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ettings" sheetId="2" state="visible" r:id="rId4"/>
    <sheet name="Per Line" sheetId="3" state="visible" r:id="rId5"/>
    <sheet name="Per Invoice" sheetId="4" state="visible" r:id="rId6"/>
  </sheets>
  <definedNames>
    <definedName function="false" hidden="true" localSheetId="3" name="_xlnm._FilterDatabase" vbProcedure="false">'Per Invoice'!$A$1:$X$1501</definedName>
    <definedName function="false" hidden="true" localSheetId="2" name="_xlnm._FilterDatabase" vbProcedure="false">'Per Line'!$A$1:$AK$4001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<sst xmlns="http://schemas.openxmlformats.org/spreadsheetml/2006/main" count="99" uniqueCount="79">
  <si>
    <t xml:space="preserve">Claims Template - NASR MINING (El Nasr Mining - Edfu)</t>
  </si>
  <si>
    <t xml:space="preserve">Monthly steps</t>
  </si>
  <si>
    <t xml:space="preserve">1. Open the 'Per Line' tab. Delete the old data in the BLUE columns only (row 2 down). Never delete the green columns.</t>
  </si>
  <si>
    <t xml:space="preserve">2. Paste the new month's data as VALUES starting at A2, into the blue columns: A-M, O-U, Y-AA, AC-AG (same order as the system export).</t>
  </si>
  <si>
    <t xml:space="preserve">3. Green columns (N, V, W, X, AB) and the grey helper columns (AH-AK) calculate automatically - do not paste over them.</t>
  </si>
  <si>
    <t xml:space="preserve">4. 'Per Invoice' fills itself from 'Per Line' (one row per Order #, split into IMP / Local). No pivot table, no refresh.</t>
  </si>
  <si>
    <t xml:space="preserve">5. The ONLY manual column in 'Per Invoice' is column A 'Invoice' (blue): type the invoice number yourself. Everything else is formula.</t>
  </si>
  <si>
    <t xml:space="preserve">6. Open 'Settings' and check STATUS says OK (Per Line totals = Per Invoice totals).</t>
  </si>
  <si>
    <t xml:space="preserve">Colour legend</t>
  </si>
  <si>
    <t xml:space="preserve">Blue header = typed/pasted by you (raw data, and 'Invoice' in Per Invoice).   Green header = formula (do not paste over).   Grey header = helper formula (do not touch).   Yellow cell (Settings) = editable rate.</t>
  </si>
  <si>
    <t xml:space="preserve">Calculation rules (taken from the September sheet)</t>
  </si>
  <si>
    <t xml:space="preserve">Co val = Order Co Payment x Product Total / 100.   Discount = Product Total x Rebates / 100.   Subtotal = Product Total - Discount.   Net = Subtotal - Co val.</t>
  </si>
  <si>
    <t xml:space="preserve">Rebates per line = Local rate (15%) if Local is TRUE, otherwise Imported rate (8%). Rates are set in 'Settings'.</t>
  </si>
  <si>
    <t xml:space="preserve">Per Invoice: IMP = sum of Product Total of non-local lines; Local = sum of Product Total of local lines; Grand Total = IMP + Local. IMP val = IMP x 8%. Local val = Local x 15%. Discount = Local val + IMP val. Subtotal = Grand Total - Discount. Net = Subtotal - Co val.</t>
  </si>
  <si>
    <t xml:space="preserve">Capacity: up to 4,000 lines and 1,500 invoices per month. A line with an empty Order # is ignored.</t>
  </si>
  <si>
    <t xml:space="preserve">Company settings &amp; checks</t>
  </si>
  <si>
    <t xml:space="preserve">Insurance Company</t>
  </si>
  <si>
    <t xml:space="preserve">NASR MINING</t>
  </si>
  <si>
    <t xml:space="preserve">Informational only</t>
  </si>
  <si>
    <t xml:space="preserve">Corporate</t>
  </si>
  <si>
    <t xml:space="preserve">El Nasr Mining - Edfu</t>
  </si>
  <si>
    <t xml:space="preserve">Local products rebate %</t>
  </si>
  <si>
    <t xml:space="preserve">Source: September sheet (Rebates = 15 on Local lines, 8 on non-local lines; Per Invoice used 0.15 / 0.08).</t>
  </si>
  <si>
    <t xml:space="preserve">Imported (IMP) products rebate %</t>
  </si>
  <si>
    <t xml:space="preserve">Change here if the contract rates change - Per Line and Per Invoice both follow.</t>
  </si>
  <si>
    <t xml:space="preserve">Month totals / reconciliation</t>
  </si>
  <si>
    <t xml:space="preserve">Lines loaded</t>
  </si>
  <si>
    <t xml:space="preserve">Invoices (unique Order #)</t>
  </si>
  <si>
    <t xml:space="preserve">Invoices shown in Per Invoice</t>
  </si>
  <si>
    <t xml:space="preserve">Grand Total - Per Line (Product Total)</t>
  </si>
  <si>
    <t xml:space="preserve">Grand Total - Per Invoice</t>
  </si>
  <si>
    <t xml:space="preserve">Discount - Per Line</t>
  </si>
  <si>
    <t xml:space="preserve">Discount - Per Invoice</t>
  </si>
  <si>
    <t xml:space="preserve">Co val - Per Invoice</t>
  </si>
  <si>
    <t xml:space="preserve">Net - Per Line</t>
  </si>
  <si>
    <t xml:space="preserve">Net - Per Invoice</t>
  </si>
  <si>
    <t xml:space="preserve">STATUS</t>
  </si>
  <si>
    <t xml:space="preserve">Cycle</t>
  </si>
  <si>
    <t xml:space="preserve">Ticket #</t>
  </si>
  <si>
    <t xml:space="preserve">Stage</t>
  </si>
  <si>
    <t xml:space="preserve">Order #</t>
  </si>
  <si>
    <t xml:space="preserve">Channel</t>
  </si>
  <si>
    <t xml:space="preserve">Create At</t>
  </si>
  <si>
    <t xml:space="preserve">Country Portal ID</t>
  </si>
  <si>
    <t xml:space="preserve">Card</t>
  </si>
  <si>
    <t xml:space="preserve">Name</t>
  </si>
  <si>
    <t xml:space="preserve">Status</t>
  </si>
  <si>
    <t xml:space="preserve">Order Co Payment</t>
  </si>
  <si>
    <t xml:space="preserve">Co val</t>
  </si>
  <si>
    <t xml:space="preserve">By Patient</t>
  </si>
  <si>
    <t xml:space="preserve">heisenberg id</t>
  </si>
  <si>
    <t xml:space="preserve">Product Name</t>
  </si>
  <si>
    <t xml:space="preserve">Local</t>
  </si>
  <si>
    <t xml:space="preserve">Unit</t>
  </si>
  <si>
    <t xml:space="preserve">Quantity</t>
  </si>
  <si>
    <t xml:space="preserve">Unit Price</t>
  </si>
  <si>
    <t xml:space="preserve">Discount</t>
  </si>
  <si>
    <t xml:space="preserve">Subtotal</t>
  </si>
  <si>
    <t xml:space="preserve">Net</t>
  </si>
  <si>
    <t xml:space="preserve">Product Total</t>
  </si>
  <si>
    <t xml:space="preserve">ERX ID</t>
  </si>
  <si>
    <t xml:space="preserve">Special Rebates?</t>
  </si>
  <si>
    <t xml:space="preserve">Rebates</t>
  </si>
  <si>
    <t xml:space="preserve">Approval Type</t>
  </si>
  <si>
    <t xml:space="preserve">Max Limit</t>
  </si>
  <si>
    <t xml:space="preserve">Exceeding Limit</t>
  </si>
  <si>
    <t xml:space="preserve">By Patient (Delivered)</t>
  </si>
  <si>
    <t xml:space="preserve">Has OTP?</t>
  </si>
  <si>
    <t xml:space="preserve">Order 1st Row (helper)</t>
  </si>
  <si>
    <t xml:space="preserve">Invoice # (helper)</t>
  </si>
  <si>
    <t xml:space="preserve">Is Local (helper)</t>
  </si>
  <si>
    <t xml:space="preserve">Sort Key (helper)</t>
  </si>
  <si>
    <t xml:space="preserve">Invoice</t>
  </si>
  <si>
    <t xml:space="preserve">%</t>
  </si>
  <si>
    <t xml:space="preserve">IMP</t>
  </si>
  <si>
    <t xml:space="preserve">IMP val</t>
  </si>
  <si>
    <t xml:space="preserve">Local val</t>
  </si>
  <si>
    <t xml:space="preserve">Grand Total</t>
  </si>
  <si>
    <t xml:space="preserve">Src Row (helper)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</si>
</sst>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#,##0.00"/>
    <numFmt numFmtId="168" formatCode="dd/mm/yyyy\ hh:mm"/>
    <numFmt numFmtId="169" formatCode="#,##0.00##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3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80808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28.3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28.3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90"/>
  </cols>
  <sheetData>
    <row r="1" customFormat="false" ht="16.15" hidden="false" customHeight="false" outlineLevel="0" collapsed="false">
      <c r="B1" s="3" t="s">
        <v>15</v>
      </c>
    </row>
    <row r="3" customFormat="false" ht="15" hidden="false" customHeight="false" outlineLevel="0" collapsed="false">
      <c r="B3" s="4" t="s">
        <v>16</v>
      </c>
      <c r="C3" s="5" t="s">
        <v>17</v>
      </c>
      <c r="D3" s="6" t="s">
        <v>18</v>
      </c>
    </row>
    <row r="4" customFormat="false" ht="15" hidden="false" customHeight="false" outlineLevel="0" collapsed="false">
      <c r="B4" s="4" t="s">
        <v>19</v>
      </c>
      <c r="C4" s="5" t="s">
        <v>20</v>
      </c>
      <c r="D4" s="6" t="s">
        <v>18</v>
      </c>
    </row>
    <row r="6" customFormat="false" ht="15" hidden="false" customHeight="false" outlineLevel="0" collapsed="false">
      <c r="B6" s="4" t="s">
        <v>21</v>
      </c>
      <c r="C6" s="7" t="n">
        <v>0.15</v>
      </c>
      <c r="D6" s="6" t="s">
        <v>22</v>
      </c>
    </row>
    <row r="7" customFormat="false" ht="15" hidden="false" customHeight="false" outlineLevel="0" collapsed="false">
      <c r="B7" s="4" t="s">
        <v>23</v>
      </c>
      <c r="C7" s="7" t="n">
        <v>0.08</v>
      </c>
      <c r="D7" s="6" t="s">
        <v>24</v>
      </c>
    </row>
    <row r="9" customFormat="false" ht="15" hidden="false" customHeight="false" outlineLevel="0" collapsed="false">
      <c r="B9" s="4" t="s">
        <v>25</v>
      </c>
    </row>
    <row r="10" customFormat="false" ht="15" hidden="false" customHeight="false" outlineLevel="0" collapsed="false">
      <c r="B10" s="8" t="s">
        <v>26</v>
      </c>
      <c r="C10" s="9" t="n">
        <f aca="false">COUNTA('Per Line'!$D$2:$D$4001)</f>
        <v>0</v>
      </c>
    </row>
    <row r="11" customFormat="false" ht="15" hidden="false" customHeight="false" outlineLevel="0" collapsed="false">
      <c r="B11" s="8" t="s">
        <v>27</v>
      </c>
      <c r="C11" s="9" t="n">
        <f aca="false">MAX('Per Line'!$AI$2:$AI$4001)</f>
        <v>0</v>
      </c>
    </row>
    <row r="12" customFormat="false" ht="15" hidden="false" customHeight="false" outlineLevel="0" collapsed="false">
      <c r="B12" s="8" t="s">
        <v>28</v>
      </c>
      <c r="C12" s="9" t="n">
        <f aca="false">SUMPRODUCT(--('Per Invoice'!$B$2:$B$1501&lt;&gt;""))</f>
        <v>0</v>
      </c>
    </row>
    <row r="13" customFormat="false" ht="15" hidden="false" customHeight="false" outlineLevel="0" collapsed="false">
      <c r="B13" s="8" t="s">
        <v>29</v>
      </c>
      <c r="C13" s="10" t="n">
        <f aca="false">SUM('Per Line'!$Y$2:$Y$4001)</f>
        <v>0</v>
      </c>
    </row>
    <row r="14" customFormat="false" ht="15" hidden="false" customHeight="false" outlineLevel="0" collapsed="false">
      <c r="B14" s="8" t="s">
        <v>30</v>
      </c>
      <c r="C14" s="10" t="n">
        <f aca="false">SUM('Per Invoice'!$V$2:$V$1501)</f>
        <v>0</v>
      </c>
    </row>
    <row r="15" customFormat="false" ht="15" hidden="false" customHeight="false" outlineLevel="0" collapsed="false">
      <c r="B15" s="8" t="s">
        <v>31</v>
      </c>
      <c r="C15" s="10" t="n">
        <f aca="false">SUM('Per Line'!$V$2:$V$4001)</f>
        <v>0</v>
      </c>
    </row>
    <row r="16" customFormat="false" ht="15" hidden="false" customHeight="false" outlineLevel="0" collapsed="false">
      <c r="B16" s="8" t="s">
        <v>32</v>
      </c>
      <c r="C16" s="10" t="n">
        <f aca="false">SUM('Per Invoice'!$T$2:$T$1501)</f>
        <v>0</v>
      </c>
    </row>
    <row r="17" customFormat="false" ht="15" hidden="false" customHeight="false" outlineLevel="0" collapsed="false">
      <c r="B17" s="8" t="s">
        <v>33</v>
      </c>
      <c r="C17" s="10" t="n">
        <f aca="false">SUM('Per Invoice'!$L$2:$L$1501)</f>
        <v>0</v>
      </c>
    </row>
    <row r="18" customFormat="false" ht="15" hidden="false" customHeight="false" outlineLevel="0" collapsed="false">
      <c r="B18" s="8" t="s">
        <v>34</v>
      </c>
      <c r="C18" s="10" t="n">
        <f aca="false">SUM('Per Line'!$X$2:$X$4001)</f>
        <v>0</v>
      </c>
    </row>
    <row r="19" customFormat="false" ht="15" hidden="false" customHeight="false" outlineLevel="0" collapsed="false">
      <c r="B19" s="8" t="s">
        <v>35</v>
      </c>
      <c r="C19" s="10" t="n">
        <f aca="false">SUM('Per Invoice'!$W$2:$W$1501)</f>
        <v>0</v>
      </c>
    </row>
    <row r="21" customFormat="false" ht="15" hidden="false" customHeight="false" outlineLevel="0" collapsed="false">
      <c r="B21" s="4" t="s">
        <v>36</v>
      </c>
      <c r="C21" s="11" t="str">
        <f aca="false">IF(C10=0,"No data loaded",IF(COUNTA('Per Line'!$D:$D)-1&gt;4000,"TOO MANY LINES - extend template",IF(C11&gt;1500,"TOO MANY INVOICES - extend template",IF(AND(ROUND(C13-C14,2)=0,ROUND(C15-C16,2)=0,ROUND(C18-C19,2)=0,C11=C12),"OK","CHECK - Per Line and Per Invoice do not match"))))</f>
        <v>No data loaded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28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44"/>
    <col collapsed="false" customWidth="true" hidden="false" outlineLevel="0" max="18" min="18" style="0" width="7"/>
    <col collapsed="false" customWidth="true" hidden="false" outlineLevel="0" max="19" min="19" style="0" width="20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4" min="22" style="0" width="10"/>
    <col collapsed="false" customWidth="true" hidden="false" outlineLevel="0" max="25" min="25" style="0" width="11"/>
    <col collapsed="false" customWidth="true" hidden="false" outlineLevel="0" max="26" min="26" style="0" width="38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2" min="31" style="0" width="10"/>
    <col collapsed="false" customWidth="true" hidden="false" outlineLevel="0" max="33" min="33" style="0" width="9"/>
    <col collapsed="false" customWidth="true" hidden="false" outlineLevel="0" max="36" min="34" style="0" width="12"/>
    <col collapsed="false" customWidth="true" hidden="false" outlineLevel="0" max="37" min="37" style="0" width="14"/>
  </cols>
  <sheetData>
    <row r="1" customFormat="false" ht="55.2" hidden="false" customHeight="false" outlineLevel="0" collapsed="false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16</v>
      </c>
      <c r="H1" s="12" t="s">
        <v>43</v>
      </c>
      <c r="I1" s="12" t="s">
        <v>19</v>
      </c>
      <c r="J1" s="12" t="s">
        <v>44</v>
      </c>
      <c r="K1" s="12" t="s">
        <v>45</v>
      </c>
      <c r="L1" s="12" t="s">
        <v>46</v>
      </c>
      <c r="M1" s="12" t="s">
        <v>47</v>
      </c>
      <c r="N1" s="13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3" t="s">
        <v>56</v>
      </c>
      <c r="W1" s="13" t="s">
        <v>57</v>
      </c>
      <c r="X1" s="13" t="s">
        <v>58</v>
      </c>
      <c r="Y1" s="12" t="s">
        <v>59</v>
      </c>
      <c r="Z1" s="12" t="s">
        <v>60</v>
      </c>
      <c r="AA1" s="12" t="s">
        <v>61</v>
      </c>
      <c r="AB1" s="13" t="s">
        <v>62</v>
      </c>
      <c r="AC1" s="12" t="s">
        <v>63</v>
      </c>
      <c r="AD1" s="12" t="s">
        <v>64</v>
      </c>
      <c r="AE1" s="12" t="s">
        <v>65</v>
      </c>
      <c r="AF1" s="12" t="s">
        <v>66</v>
      </c>
      <c r="AG1" s="12" t="s">
        <v>67</v>
      </c>
      <c r="AH1" s="14" t="s">
        <v>68</v>
      </c>
      <c r="AI1" s="14" t="s">
        <v>69</v>
      </c>
      <c r="AJ1" s="14" t="s">
        <v>70</v>
      </c>
      <c r="AK1" s="14" t="s">
        <v>71</v>
      </c>
    </row>
    <row r="2" customFormat="false" ht="15" hidden="false" customHeight="false" outlineLevel="0" collapsed="false">
      <c r="F2" s="15"/>
      <c r="N2" s="16" t="str">
        <f aca="false">IF($D2="","",M2*Y2/100)</f>
        <v/>
      </c>
      <c r="V2" s="16" t="str">
        <f aca="false">IF($D2="","",Y2*AB2/100)</f>
        <v/>
      </c>
      <c r="W2" s="16" t="str">
        <f aca="false">IF($D2="","",Y2-V2)</f>
        <v/>
      </c>
      <c r="X2" s="16" t="str">
        <f aca="false">IF($D2="","",W2-N2)</f>
        <v/>
      </c>
      <c r="AB2" s="17" t="str">
        <f aca="false">IF($D2="","",IF(OR($R2=TRUE(),$R2="TRUE"),Settings!$C$6,Settings!$C$7)*100)</f>
        <v/>
      </c>
      <c r="AH2" s="18" t="str">
        <f aca="false">IF($D2="","",IF(COUNTIF($D$2:$D2,$D2)=1,1,0))</f>
        <v/>
      </c>
      <c r="AI2" s="18" t="str">
        <f aca="false">IF($AH2=1,SUMPRODUCT(--($AK$2:$AK$4001&lt;$AK2))+1,"")</f>
        <v/>
      </c>
      <c r="AJ2" s="18" t="str">
        <f aca="false">IF($D2="","",IF(OR($R2=TRUE(),$R2="TRUE"),1,0))</f>
        <v/>
      </c>
      <c r="AK2" s="18" t="str">
        <f aca="false">IF($AH2=1,IFERROR(VALUE(MID($D2,2,20)),1000000000)+ROW()/10000000,"")</f>
        <v/>
      </c>
    </row>
    <row r="3" customFormat="false" ht="15" hidden="false" customHeight="false" outlineLevel="0" collapsed="false">
      <c r="F3" s="15"/>
      <c r="N3" s="16" t="str">
        <f aca="false">IF($D3="","",M3*Y3/100)</f>
        <v/>
      </c>
      <c r="V3" s="16" t="str">
        <f aca="false">IF($D3="","",Y3*AB3/100)</f>
        <v/>
      </c>
      <c r="W3" s="16" t="str">
        <f aca="false">IF($D3="","",Y3-V3)</f>
        <v/>
      </c>
      <c r="X3" s="16" t="str">
        <f aca="false">IF($D3="","",W3-N3)</f>
        <v/>
      </c>
      <c r="AB3" s="17" t="str">
        <f aca="false">IF($D3="","",IF(OR($R3=TRUE(),$R3="TRUE"),Settings!$C$6,Settings!$C$7)*100)</f>
        <v/>
      </c>
      <c r="AH3" s="18" t="str">
        <f aca="false">IF($D3="","",IF(COUNTIF($D$2:$D3,$D3)=1,1,0))</f>
        <v/>
      </c>
      <c r="AI3" s="18" t="str">
        <f aca="false">IF($AH3=1,SUMPRODUCT(--($AK$2:$AK$4001&lt;$AK3))+1,"")</f>
        <v/>
      </c>
      <c r="AJ3" s="18" t="str">
        <f aca="false">IF($D3="","",IF(OR($R3=TRUE(),$R3="TRUE"),1,0))</f>
        <v/>
      </c>
      <c r="AK3" s="18" t="str">
        <f aca="false">IF($AH3=1,IFERROR(VALUE(MID($D3,2,20)),1000000000)+ROW()/10000000,"")</f>
        <v/>
      </c>
    </row>
    <row r="4" customFormat="false" ht="15" hidden="false" customHeight="false" outlineLevel="0" collapsed="false">
      <c r="F4" s="15"/>
      <c r="N4" s="16" t="str">
        <f aca="false">IF($D4="","",M4*Y4/100)</f>
        <v/>
      </c>
      <c r="V4" s="16" t="str">
        <f aca="false">IF($D4="","",Y4*AB4/100)</f>
        <v/>
      </c>
      <c r="W4" s="16" t="str">
        <f aca="false">IF($D4="","",Y4-V4)</f>
        <v/>
      </c>
      <c r="X4" s="16" t="str">
        <f aca="false">IF($D4="","",W4-N4)</f>
        <v/>
      </c>
      <c r="AB4" s="17" t="str">
        <f aca="false">IF($D4="","",IF(OR($R4=TRUE(),$R4="TRUE"),Settings!$C$6,Settings!$C$7)*100)</f>
        <v/>
      </c>
      <c r="AH4" s="18" t="str">
        <f aca="false">IF($D4="","",IF(COUNTIF($D$2:$D4,$D4)=1,1,0))</f>
        <v/>
      </c>
      <c r="AI4" s="18" t="str">
        <f aca="false">IF($AH4=1,SUMPRODUCT(--($AK$2:$AK$4001&lt;$AK4))+1,"")</f>
        <v/>
      </c>
      <c r="AJ4" s="18" t="str">
        <f aca="false">IF($D4="","",IF(OR($R4=TRUE(),$R4="TRUE"),1,0))</f>
        <v/>
      </c>
      <c r="AK4" s="18" t="str">
        <f aca="false">IF($AH4=1,IFERROR(VALUE(MID($D4,2,20)),1000000000)+ROW()/10000000,"")</f>
        <v/>
      </c>
    </row>
    <row r="5" customFormat="false" ht="15" hidden="false" customHeight="false" outlineLevel="0" collapsed="false">
      <c r="F5" s="15"/>
      <c r="N5" s="16" t="str">
        <f aca="false">IF($D5="","",M5*Y5/100)</f>
        <v/>
      </c>
      <c r="V5" s="16" t="str">
        <f aca="false">IF($D5="","",Y5*AB5/100)</f>
        <v/>
      </c>
      <c r="W5" s="16" t="str">
        <f aca="false">IF($D5="","",Y5-V5)</f>
        <v/>
      </c>
      <c r="X5" s="16" t="str">
        <f aca="false">IF($D5="","",W5-N5)</f>
        <v/>
      </c>
      <c r="AB5" s="17" t="str">
        <f aca="false">IF($D5="","",IF(OR($R5=TRUE(),$R5="TRUE"),Settings!$C$6,Settings!$C$7)*100)</f>
        <v/>
      </c>
      <c r="AH5" s="18" t="str">
        <f aca="false">IF($D5="","",IF(COUNTIF($D$2:$D5,$D5)=1,1,0))</f>
        <v/>
      </c>
      <c r="AI5" s="18" t="str">
        <f aca="false">IF($AH5=1,SUMPRODUCT(--($AK$2:$AK$4001&lt;$AK5))+1,"")</f>
        <v/>
      </c>
      <c r="AJ5" s="18" t="str">
        <f aca="false">IF($D5="","",IF(OR($R5=TRUE(),$R5="TRUE"),1,0))</f>
        <v/>
      </c>
      <c r="AK5" s="18" t="str">
        <f aca="false">IF($AH5=1,IFERROR(VALUE(MID($D5,2,20)),1000000000)+ROW()/10000000,"")</f>
        <v/>
      </c>
    </row>
    <row r="6" customFormat="false" ht="15" hidden="false" customHeight="false" outlineLevel="0" collapsed="false">
      <c r="F6" s="15"/>
      <c r="N6" s="16" t="str">
        <f aca="false">IF($D6="","",M6*Y6/100)</f>
        <v/>
      </c>
      <c r="V6" s="16" t="str">
        <f aca="false">IF($D6="","",Y6*AB6/100)</f>
        <v/>
      </c>
      <c r="W6" s="16" t="str">
        <f aca="false">IF($D6="","",Y6-V6)</f>
        <v/>
      </c>
      <c r="X6" s="16" t="str">
        <f aca="false">IF($D6="","",W6-N6)</f>
        <v/>
      </c>
      <c r="AB6" s="17" t="str">
        <f aca="false">IF($D6="","",IF(OR($R6=TRUE(),$R6="TRUE"),Settings!$C$6,Settings!$C$7)*100)</f>
        <v/>
      </c>
      <c r="AH6" s="18" t="str">
        <f aca="false">IF($D6="","",IF(COUNTIF($D$2:$D6,$D6)=1,1,0))</f>
        <v/>
      </c>
      <c r="AI6" s="18" t="str">
        <f aca="false">IF($AH6=1,SUMPRODUCT(--($AK$2:$AK$4001&lt;$AK6))+1,"")</f>
        <v/>
      </c>
      <c r="AJ6" s="18" t="str">
        <f aca="false">IF($D6="","",IF(OR($R6=TRUE(),$R6="TRUE"),1,0))</f>
        <v/>
      </c>
      <c r="AK6" s="18" t="str">
        <f aca="false">IF($AH6=1,IFERROR(VALUE(MID($D6,2,20)),1000000000)+ROW()/10000000,"")</f>
        <v/>
      </c>
    </row>
    <row r="7" customFormat="false" ht="15" hidden="false" customHeight="false" outlineLevel="0" collapsed="false">
      <c r="F7" s="15"/>
      <c r="N7" s="16" t="str">
        <f aca="false">IF($D7="","",M7*Y7/100)</f>
        <v/>
      </c>
      <c r="V7" s="16" t="str">
        <f aca="false">IF($D7="","",Y7*AB7/100)</f>
        <v/>
      </c>
      <c r="W7" s="16" t="str">
        <f aca="false">IF($D7="","",Y7-V7)</f>
        <v/>
      </c>
      <c r="X7" s="16" t="str">
        <f aca="false">IF($D7="","",W7-N7)</f>
        <v/>
      </c>
      <c r="AB7" s="17" t="str">
        <f aca="false">IF($D7="","",IF(OR($R7=TRUE(),$R7="TRUE"),Settings!$C$6,Settings!$C$7)*100)</f>
        <v/>
      </c>
      <c r="AH7" s="18" t="str">
        <f aca="false">IF($D7="","",IF(COUNTIF($D$2:$D7,$D7)=1,1,0))</f>
        <v/>
      </c>
      <c r="AI7" s="18" t="str">
        <f aca="false">IF($AH7=1,SUMPRODUCT(--($AK$2:$AK$4001&lt;$AK7))+1,"")</f>
        <v/>
      </c>
      <c r="AJ7" s="18" t="str">
        <f aca="false">IF($D7="","",IF(OR($R7=TRUE(),$R7="TRUE"),1,0))</f>
        <v/>
      </c>
      <c r="AK7" s="18" t="str">
        <f aca="false">IF($AH7=1,IFERROR(VALUE(MID($D7,2,20)),1000000000)+ROW()/10000000,"")</f>
        <v/>
      </c>
    </row>
    <row r="8" customFormat="false" ht="15" hidden="false" customHeight="false" outlineLevel="0" collapsed="false">
      <c r="F8" s="15"/>
      <c r="N8" s="16" t="str">
        <f aca="false">IF($D8="","",M8*Y8/100)</f>
        <v/>
      </c>
      <c r="V8" s="16" t="str">
        <f aca="false">IF($D8="","",Y8*AB8/100)</f>
        <v/>
      </c>
      <c r="W8" s="16" t="str">
        <f aca="false">IF($D8="","",Y8-V8)</f>
        <v/>
      </c>
      <c r="X8" s="16" t="str">
        <f aca="false">IF($D8="","",W8-N8)</f>
        <v/>
      </c>
      <c r="AB8" s="17" t="str">
        <f aca="false">IF($D8="","",IF(OR($R8=TRUE(),$R8="TRUE"),Settings!$C$6,Settings!$C$7)*100)</f>
        <v/>
      </c>
      <c r="AH8" s="18" t="str">
        <f aca="false">IF($D8="","",IF(COUNTIF($D$2:$D8,$D8)=1,1,0))</f>
        <v/>
      </c>
      <c r="AI8" s="18" t="str">
        <f aca="false">IF($AH8=1,SUMPRODUCT(--($AK$2:$AK$4001&lt;$AK8))+1,"")</f>
        <v/>
      </c>
      <c r="AJ8" s="18" t="str">
        <f aca="false">IF($D8="","",IF(OR($R8=TRUE(),$R8="TRUE"),1,0))</f>
        <v/>
      </c>
      <c r="AK8" s="18" t="str">
        <f aca="false">IF($AH8=1,IFERROR(VALUE(MID($D8,2,20)),1000000000)+ROW()/10000000,"")</f>
        <v/>
      </c>
    </row>
    <row r="9" customFormat="false" ht="15" hidden="false" customHeight="false" outlineLevel="0" collapsed="false">
      <c r="F9" s="15"/>
      <c r="N9" s="16" t="str">
        <f aca="false">IF($D9="","",M9*Y9/100)</f>
        <v/>
      </c>
      <c r="V9" s="16" t="str">
        <f aca="false">IF($D9="","",Y9*AB9/100)</f>
        <v/>
      </c>
      <c r="W9" s="16" t="str">
        <f aca="false">IF($D9="","",Y9-V9)</f>
        <v/>
      </c>
      <c r="X9" s="16" t="str">
        <f aca="false">IF($D9="","",W9-N9)</f>
        <v/>
      </c>
      <c r="AB9" s="17" t="str">
        <f aca="false">IF($D9="","",IF(OR($R9=TRUE(),$R9="TRUE"),Settings!$C$6,Settings!$C$7)*100)</f>
        <v/>
      </c>
      <c r="AH9" s="18" t="str">
        <f aca="false">IF($D9="","",IF(COUNTIF($D$2:$D9,$D9)=1,1,0))</f>
        <v/>
      </c>
      <c r="AI9" s="18" t="str">
        <f aca="false">IF($AH9=1,SUMPRODUCT(--($AK$2:$AK$4001&lt;$AK9))+1,"")</f>
        <v/>
      </c>
      <c r="AJ9" s="18" t="str">
        <f aca="false">IF($D9="","",IF(OR($R9=TRUE(),$R9="TRUE"),1,0))</f>
        <v/>
      </c>
      <c r="AK9" s="18" t="str">
        <f aca="false">IF($AH9=1,IFERROR(VALUE(MID($D9,2,20)),1000000000)+ROW()/10000000,"")</f>
        <v/>
      </c>
    </row>
    <row r="10" customFormat="false" ht="15" hidden="false" customHeight="false" outlineLevel="0" collapsed="false">
      <c r="F10" s="15"/>
      <c r="N10" s="16" t="str">
        <f aca="false">IF($D10="","",M10*Y10/100)</f>
        <v/>
      </c>
      <c r="V10" s="16" t="str">
        <f aca="false">IF($D10="","",Y10*AB10/100)</f>
        <v/>
      </c>
      <c r="W10" s="16" t="str">
        <f aca="false">IF($D10="","",Y10-V10)</f>
        <v/>
      </c>
      <c r="X10" s="16" t="str">
        <f aca="false">IF($D10="","",W10-N10)</f>
        <v/>
      </c>
      <c r="AB10" s="17" t="str">
        <f aca="false">IF($D10="","",IF(OR($R10=TRUE(),$R10="TRUE"),Settings!$C$6,Settings!$C$7)*100)</f>
        <v/>
      </c>
      <c r="AH10" s="18" t="str">
        <f aca="false">IF($D10="","",IF(COUNTIF($D$2:$D10,$D10)=1,1,0))</f>
        <v/>
      </c>
      <c r="AI10" s="18" t="str">
        <f aca="false">IF($AH10=1,SUMPRODUCT(--($AK$2:$AK$4001&lt;$AK10))+1,"")</f>
        <v/>
      </c>
      <c r="AJ10" s="18" t="str">
        <f aca="false">IF($D10="","",IF(OR($R10=TRUE(),$R10="TRUE"),1,0))</f>
        <v/>
      </c>
      <c r="AK10" s="18" t="str">
        <f aca="false">IF($AH10=1,IFERROR(VALUE(MID($D10,2,20)),1000000000)+ROW()/10000000,"")</f>
        <v/>
      </c>
    </row>
    <row r="11" customFormat="false" ht="15" hidden="false" customHeight="false" outlineLevel="0" collapsed="false">
      <c r="F11" s="15"/>
      <c r="N11" s="16" t="str">
        <f aca="false">IF($D11="","",M11*Y11/100)</f>
        <v/>
      </c>
      <c r="V11" s="16" t="str">
        <f aca="false">IF($D11="","",Y11*AB11/100)</f>
        <v/>
      </c>
      <c r="W11" s="16" t="str">
        <f aca="false">IF($D11="","",Y11-V11)</f>
        <v/>
      </c>
      <c r="X11" s="16" t="str">
        <f aca="false">IF($D11="","",W11-N11)</f>
        <v/>
      </c>
      <c r="AB11" s="17" t="str">
        <f aca="false">IF($D11="","",IF(OR($R11=TRUE(),$R11="TRUE"),Settings!$C$6,Settings!$C$7)*100)</f>
        <v/>
      </c>
      <c r="AH11" s="18" t="str">
        <f aca="false">IF($D11="","",IF(COUNTIF($D$2:$D11,$D11)=1,1,0))</f>
        <v/>
      </c>
      <c r="AI11" s="18" t="str">
        <f aca="false">IF($AH11=1,SUMPRODUCT(--($AK$2:$AK$4001&lt;$AK11))+1,"")</f>
        <v/>
      </c>
      <c r="AJ11" s="18" t="str">
        <f aca="false">IF($D11="","",IF(OR($R11=TRUE(),$R11="TRUE"),1,0))</f>
        <v/>
      </c>
      <c r="AK11" s="18" t="str">
        <f aca="false">IF($AH11=1,IFERROR(VALUE(MID($D11,2,20)),1000000000)+ROW()/10000000,"")</f>
        <v/>
      </c>
    </row>
    <row r="12" customFormat="false" ht="15" hidden="false" customHeight="false" outlineLevel="0" collapsed="false">
      <c r="F12" s="15"/>
      <c r="N12" s="16" t="str">
        <f aca="false">IF($D12="","",M12*Y12/100)</f>
        <v/>
      </c>
      <c r="V12" s="16" t="str">
        <f aca="false">IF($D12="","",Y12*AB12/100)</f>
        <v/>
      </c>
      <c r="W12" s="16" t="str">
        <f aca="false">IF($D12="","",Y12-V12)</f>
        <v/>
      </c>
      <c r="X12" s="16" t="str">
        <f aca="false">IF($D12="","",W12-N12)</f>
        <v/>
      </c>
      <c r="AB12" s="17" t="str">
        <f aca="false">IF($D12="","",IF(OR($R12=TRUE(),$R12="TRUE"),Settings!$C$6,Settings!$C$7)*100)</f>
        <v/>
      </c>
      <c r="AH12" s="18" t="str">
        <f aca="false">IF($D12="","",IF(COUNTIF($D$2:$D12,$D12)=1,1,0))</f>
        <v/>
      </c>
      <c r="AI12" s="18" t="str">
        <f aca="false">IF($AH12=1,SUMPRODUCT(--($AK$2:$AK$4001&lt;$AK12))+1,"")</f>
        <v/>
      </c>
      <c r="AJ12" s="18" t="str">
        <f aca="false">IF($D12="","",IF(OR($R12=TRUE(),$R12="TRUE"),1,0))</f>
        <v/>
      </c>
      <c r="AK12" s="18" t="str">
        <f aca="false">IF($AH12=1,IFERROR(VALUE(MID($D12,2,20)),1000000000)+ROW()/10000000,"")</f>
        <v/>
      </c>
    </row>
    <row r="13" customFormat="false" ht="15" hidden="false" customHeight="false" outlineLevel="0" collapsed="false">
      <c r="F13" s="15"/>
      <c r="N13" s="16" t="str">
        <f aca="false">IF($D13="","",M13*Y13/100)</f>
        <v/>
      </c>
      <c r="V13" s="16" t="str">
        <f aca="false">IF($D13="","",Y13*AB13/100)</f>
        <v/>
      </c>
      <c r="W13" s="16" t="str">
        <f aca="false">IF($D13="","",Y13-V13)</f>
        <v/>
      </c>
      <c r="X13" s="16" t="str">
        <f aca="false">IF($D13="","",W13-N13)</f>
        <v/>
      </c>
      <c r="AB13" s="17" t="str">
        <f aca="false">IF($D13="","",IF(OR($R13=TRUE(),$R13="TRUE"),Settings!$C$6,Settings!$C$7)*100)</f>
        <v/>
      </c>
      <c r="AH13" s="18" t="str">
        <f aca="false">IF($D13="","",IF(COUNTIF($D$2:$D13,$D13)=1,1,0))</f>
        <v/>
      </c>
      <c r="AI13" s="18" t="str">
        <f aca="false">IF($AH13=1,SUMPRODUCT(--($AK$2:$AK$4001&lt;$AK13))+1,"")</f>
        <v/>
      </c>
      <c r="AJ13" s="18" t="str">
        <f aca="false">IF($D13="","",IF(OR($R13=TRUE(),$R13="TRUE"),1,0))</f>
        <v/>
      </c>
      <c r="AK13" s="18" t="str">
        <f aca="false">IF($AH13=1,IFERROR(VALUE(MID($D13,2,20)),1000000000)+ROW()/10000000,"")</f>
        <v/>
      </c>
    </row>
    <row r="14" customFormat="false" ht="15" hidden="false" customHeight="false" outlineLevel="0" collapsed="false">
      <c r="F14" s="15"/>
      <c r="N14" s="16" t="str">
        <f aca="false">IF($D14="","",M14*Y14/100)</f>
        <v/>
      </c>
      <c r="V14" s="16" t="str">
        <f aca="false">IF($D14="","",Y14*AB14/100)</f>
        <v/>
      </c>
      <c r="W14" s="16" t="str">
        <f aca="false">IF($D14="","",Y14-V14)</f>
        <v/>
      </c>
      <c r="X14" s="16" t="str">
        <f aca="false">IF($D14="","",W14-N14)</f>
        <v/>
      </c>
      <c r="AB14" s="17" t="str">
        <f aca="false">IF($D14="","",IF(OR($R14=TRUE(),$R14="TRUE"),Settings!$C$6,Settings!$C$7)*100)</f>
        <v/>
      </c>
      <c r="AH14" s="18" t="str">
        <f aca="false">IF($D14="","",IF(COUNTIF($D$2:$D14,$D14)=1,1,0))</f>
        <v/>
      </c>
      <c r="AI14" s="18" t="str">
        <f aca="false">IF($AH14=1,SUMPRODUCT(--($AK$2:$AK$4001&lt;$AK14))+1,"")</f>
        <v/>
      </c>
      <c r="AJ14" s="18" t="str">
        <f aca="false">IF($D14="","",IF(OR($R14=TRUE(),$R14="TRUE"),1,0))</f>
        <v/>
      </c>
      <c r="AK14" s="18" t="str">
        <f aca="false">IF($AH14=1,IFERROR(VALUE(MID($D14,2,20)),1000000000)+ROW()/10000000,"")</f>
        <v/>
      </c>
    </row>
    <row r="15" customFormat="false" ht="15" hidden="false" customHeight="false" outlineLevel="0" collapsed="false">
      <c r="F15" s="15"/>
      <c r="N15" s="16" t="str">
        <f aca="false">IF($D15="","",M15*Y15/100)</f>
        <v/>
      </c>
      <c r="V15" s="16" t="str">
        <f aca="false">IF($D15="","",Y15*AB15/100)</f>
        <v/>
      </c>
      <c r="W15" s="16" t="str">
        <f aca="false">IF($D15="","",Y15-V15)</f>
        <v/>
      </c>
      <c r="X15" s="16" t="str">
        <f aca="false">IF($D15="","",W15-N15)</f>
        <v/>
      </c>
      <c r="AB15" s="17" t="str">
        <f aca="false">IF($D15="","",IF(OR($R15=TRUE(),$R15="TRUE"),Settings!$C$6,Settings!$C$7)*100)</f>
        <v/>
      </c>
      <c r="AH15" s="18" t="str">
        <f aca="false">IF($D15="","",IF(COUNTIF($D$2:$D15,$D15)=1,1,0))</f>
        <v/>
      </c>
      <c r="AI15" s="18" t="str">
        <f aca="false">IF($AH15=1,SUMPRODUCT(--($AK$2:$AK$4001&lt;$AK15))+1,"")</f>
        <v/>
      </c>
      <c r="AJ15" s="18" t="str">
        <f aca="false">IF($D15="","",IF(OR($R15=TRUE(),$R15="TRUE"),1,0))</f>
        <v/>
      </c>
      <c r="AK15" s="18" t="str">
        <f aca="false">IF($AH15=1,IFERROR(VALUE(MID($D15,2,20)),1000000000)+ROW()/10000000,"")</f>
        <v/>
      </c>
    </row>
    <row r="16" customFormat="false" ht="15" hidden="false" customHeight="false" outlineLevel="0" collapsed="false">
      <c r="F16" s="15"/>
      <c r="N16" s="16" t="str">
        <f aca="false">IF($D16="","",M16*Y16/100)</f>
        <v/>
      </c>
      <c r="V16" s="16" t="str">
        <f aca="false">IF($D16="","",Y16*AB16/100)</f>
        <v/>
      </c>
      <c r="W16" s="16" t="str">
        <f aca="false">IF($D16="","",Y16-V16)</f>
        <v/>
      </c>
      <c r="X16" s="16" t="str">
        <f aca="false">IF($D16="","",W16-N16)</f>
        <v/>
      </c>
      <c r="AB16" s="17" t="str">
        <f aca="false">IF($D16="","",IF(OR($R16=TRUE(),$R16="TRUE"),Settings!$C$6,Settings!$C$7)*100)</f>
        <v/>
      </c>
      <c r="AH16" s="18" t="str">
        <f aca="false">IF($D16="","",IF(COUNTIF($D$2:$D16,$D16)=1,1,0))</f>
        <v/>
      </c>
      <c r="AI16" s="18" t="str">
        <f aca="false">IF($AH16=1,SUMPRODUCT(--($AK$2:$AK$4001&lt;$AK16))+1,"")</f>
        <v/>
      </c>
      <c r="AJ16" s="18" t="str">
        <f aca="false">IF($D16="","",IF(OR($R16=TRUE(),$R16="TRUE"),1,0))</f>
        <v/>
      </c>
      <c r="AK16" s="18" t="str">
        <f aca="false">IF($AH16=1,IFERROR(VALUE(MID($D16,2,20)),1000000000)+ROW()/10000000,"")</f>
        <v/>
      </c>
    </row>
    <row r="17" customFormat="false" ht="15" hidden="false" customHeight="false" outlineLevel="0" collapsed="false">
      <c r="F17" s="15"/>
      <c r="N17" s="16" t="str">
        <f aca="false">IF($D17="","",M17*Y17/100)</f>
        <v/>
      </c>
      <c r="V17" s="16" t="str">
        <f aca="false">IF($D17="","",Y17*AB17/100)</f>
        <v/>
      </c>
      <c r="W17" s="16" t="str">
        <f aca="false">IF($D17="","",Y17-V17)</f>
        <v/>
      </c>
      <c r="X17" s="16" t="str">
        <f aca="false">IF($D17="","",W17-N17)</f>
        <v/>
      </c>
      <c r="AB17" s="17" t="str">
        <f aca="false">IF($D17="","",IF(OR($R17=TRUE(),$R17="TRUE"),Settings!$C$6,Settings!$C$7)*100)</f>
        <v/>
      </c>
      <c r="AH17" s="18" t="str">
        <f aca="false">IF($D17="","",IF(COUNTIF($D$2:$D17,$D17)=1,1,0))</f>
        <v/>
      </c>
      <c r="AI17" s="18" t="str">
        <f aca="false">IF($AH17=1,SUMPRODUCT(--($AK$2:$AK$4001&lt;$AK17))+1,"")</f>
        <v/>
      </c>
      <c r="AJ17" s="18" t="str">
        <f aca="false">IF($D17="","",IF(OR($R17=TRUE(),$R17="TRUE"),1,0))</f>
        <v/>
      </c>
      <c r="AK17" s="18" t="str">
        <f aca="false">IF($AH17=1,IFERROR(VALUE(MID($D17,2,20)),1000000000)+ROW()/10000000,"")</f>
        <v/>
      </c>
    </row>
    <row r="18" customFormat="false" ht="15" hidden="false" customHeight="false" outlineLevel="0" collapsed="false">
      <c r="F18" s="15"/>
      <c r="N18" s="16" t="str">
        <f aca="false">IF($D18="","",M18*Y18/100)</f>
        <v/>
      </c>
      <c r="V18" s="16" t="str">
        <f aca="false">IF($D18="","",Y18*AB18/100)</f>
        <v/>
      </c>
      <c r="W18" s="16" t="str">
        <f aca="false">IF($D18="","",Y18-V18)</f>
        <v/>
      </c>
      <c r="X18" s="16" t="str">
        <f aca="false">IF($D18="","",W18-N18)</f>
        <v/>
      </c>
      <c r="AB18" s="17" t="str">
        <f aca="false">IF($D18="","",IF(OR($R18=TRUE(),$R18="TRUE"),Settings!$C$6,Settings!$C$7)*100)</f>
        <v/>
      </c>
      <c r="AH18" s="18" t="str">
        <f aca="false">IF($D18="","",IF(COUNTIF($D$2:$D18,$D18)=1,1,0))</f>
        <v/>
      </c>
      <c r="AI18" s="18" t="str">
        <f aca="false">IF($AH18=1,SUMPRODUCT(--($AK$2:$AK$4001&lt;$AK18))+1,"")</f>
        <v/>
      </c>
      <c r="AJ18" s="18" t="str">
        <f aca="false">IF($D18="","",IF(OR($R18=TRUE(),$R18="TRUE"),1,0))</f>
        <v/>
      </c>
      <c r="AK18" s="18" t="str">
        <f aca="false">IF($AH18=1,IFERROR(VALUE(MID($D18,2,20)),1000000000)+ROW()/10000000,"")</f>
        <v/>
      </c>
    </row>
    <row r="19" customFormat="false" ht="15" hidden="false" customHeight="false" outlineLevel="0" collapsed="false">
      <c r="F19" s="15"/>
      <c r="N19" s="16" t="str">
        <f aca="false">IF($D19="","",M19*Y19/100)</f>
        <v/>
      </c>
      <c r="V19" s="16" t="str">
        <f aca="false">IF($D19="","",Y19*AB19/100)</f>
        <v/>
      </c>
      <c r="W19" s="16" t="str">
        <f aca="false">IF($D19="","",Y19-V19)</f>
        <v/>
      </c>
      <c r="X19" s="16" t="str">
        <f aca="false">IF($D19="","",W19-N19)</f>
        <v/>
      </c>
      <c r="AB19" s="17" t="str">
        <f aca="false">IF($D19="","",IF(OR($R19=TRUE(),$R19="TRUE"),Settings!$C$6,Settings!$C$7)*100)</f>
        <v/>
      </c>
      <c r="AH19" s="18" t="str">
        <f aca="false">IF($D19="","",IF(COUNTIF($D$2:$D19,$D19)=1,1,0))</f>
        <v/>
      </c>
      <c r="AI19" s="18" t="str">
        <f aca="false">IF($AH19=1,SUMPRODUCT(--($AK$2:$AK$4001&lt;$AK19))+1,"")</f>
        <v/>
      </c>
      <c r="AJ19" s="18" t="str">
        <f aca="false">IF($D19="","",IF(OR($R19=TRUE(),$R19="TRUE"),1,0))</f>
        <v/>
      </c>
      <c r="AK19" s="18" t="str">
        <f aca="false">IF($AH19=1,IFERROR(VALUE(MID($D19,2,20)),1000000000)+ROW()/10000000,"")</f>
        <v/>
      </c>
    </row>
    <row r="20" customFormat="false" ht="15" hidden="false" customHeight="false" outlineLevel="0" collapsed="false">
      <c r="F20" s="15"/>
      <c r="N20" s="16" t="str">
        <f aca="false">IF($D20="","",M20*Y20/100)</f>
        <v/>
      </c>
      <c r="V20" s="16" t="str">
        <f aca="false">IF($D20="","",Y20*AB20/100)</f>
        <v/>
      </c>
      <c r="W20" s="16" t="str">
        <f aca="false">IF($D20="","",Y20-V20)</f>
        <v/>
      </c>
      <c r="X20" s="16" t="str">
        <f aca="false">IF($D20="","",W20-N20)</f>
        <v/>
      </c>
      <c r="AB20" s="17" t="str">
        <f aca="false">IF($D20="","",IF(OR($R20=TRUE(),$R20="TRUE"),Settings!$C$6,Settings!$C$7)*100)</f>
        <v/>
      </c>
      <c r="AH20" s="18" t="str">
        <f aca="false">IF($D20="","",IF(COUNTIF($D$2:$D20,$D20)=1,1,0))</f>
        <v/>
      </c>
      <c r="AI20" s="18" t="str">
        <f aca="false">IF($AH20=1,SUMPRODUCT(--($AK$2:$AK$4001&lt;$AK20))+1,"")</f>
        <v/>
      </c>
      <c r="AJ20" s="18" t="str">
        <f aca="false">IF($D20="","",IF(OR($R20=TRUE(),$R20="TRUE"),1,0))</f>
        <v/>
      </c>
      <c r="AK20" s="18" t="str">
        <f aca="false">IF($AH20=1,IFERROR(VALUE(MID($D20,2,20)),1000000000)+ROW()/10000000,"")</f>
        <v/>
      </c>
    </row>
    <row r="21" customFormat="false" ht="15" hidden="false" customHeight="false" outlineLevel="0" collapsed="false">
      <c r="F21" s="15"/>
      <c r="N21" s="16" t="str">
        <f aca="false">IF($D21="","",M21*Y21/100)</f>
        <v/>
      </c>
      <c r="V21" s="16" t="str">
        <f aca="false">IF($D21="","",Y21*AB21/100)</f>
        <v/>
      </c>
      <c r="W21" s="16" t="str">
        <f aca="false">IF($D21="","",Y21-V21)</f>
        <v/>
      </c>
      <c r="X21" s="16" t="str">
        <f aca="false">IF($D21="","",W21-N21)</f>
        <v/>
      </c>
      <c r="AB21" s="17" t="str">
        <f aca="false">IF($D21="","",IF(OR($R21=TRUE(),$R21="TRUE"),Settings!$C$6,Settings!$C$7)*100)</f>
        <v/>
      </c>
      <c r="AH21" s="18" t="str">
        <f aca="false">IF($D21="","",IF(COUNTIF($D$2:$D21,$D21)=1,1,0))</f>
        <v/>
      </c>
      <c r="AI21" s="18" t="str">
        <f aca="false">IF($AH21=1,SUMPRODUCT(--($AK$2:$AK$4001&lt;$AK21))+1,"")</f>
        <v/>
      </c>
      <c r="AJ21" s="18" t="str">
        <f aca="false">IF($D21="","",IF(OR($R21=TRUE(),$R21="TRUE"),1,0))</f>
        <v/>
      </c>
      <c r="AK21" s="18" t="str">
        <f aca="false">IF($AH21=1,IFERROR(VALUE(MID($D21,2,20)),1000000000)+ROW()/10000000,"")</f>
        <v/>
      </c>
    </row>
    <row r="22" customFormat="false" ht="15" hidden="false" customHeight="false" outlineLevel="0" collapsed="false">
      <c r="F22" s="15"/>
      <c r="N22" s="16" t="str">
        <f aca="false">IF($D22="","",M22*Y22/100)</f>
        <v/>
      </c>
      <c r="V22" s="16" t="str">
        <f aca="false">IF($D22="","",Y22*AB22/100)</f>
        <v/>
      </c>
      <c r="W22" s="16" t="str">
        <f aca="false">IF($D22="","",Y22-V22)</f>
        <v/>
      </c>
      <c r="X22" s="16" t="str">
        <f aca="false">IF($D22="","",W22-N22)</f>
        <v/>
      </c>
      <c r="AB22" s="17" t="str">
        <f aca="false">IF($D22="","",IF(OR($R22=TRUE(),$R22="TRUE"),Settings!$C$6,Settings!$C$7)*100)</f>
        <v/>
      </c>
      <c r="AH22" s="18" t="str">
        <f aca="false">IF($D22="","",IF(COUNTIF($D$2:$D22,$D22)=1,1,0))</f>
        <v/>
      </c>
      <c r="AI22" s="18" t="str">
        <f aca="false">IF($AH22=1,SUMPRODUCT(--($AK$2:$AK$4001&lt;$AK22))+1,"")</f>
        <v/>
      </c>
      <c r="AJ22" s="18" t="str">
        <f aca="false">IF($D22="","",IF(OR($R22=TRUE(),$R22="TRUE"),1,0))</f>
        <v/>
      </c>
      <c r="AK22" s="18" t="str">
        <f aca="false">IF($AH22=1,IFERROR(VALUE(MID($D22,2,20)),1000000000)+ROW()/10000000,"")</f>
        <v/>
      </c>
    </row>
    <row r="23" customFormat="false" ht="15" hidden="false" customHeight="false" outlineLevel="0" collapsed="false">
      <c r="F23" s="15"/>
      <c r="N23" s="16" t="str">
        <f aca="false">IF($D23="","",M23*Y23/100)</f>
        <v/>
      </c>
      <c r="V23" s="16" t="str">
        <f aca="false">IF($D23="","",Y23*AB23/100)</f>
        <v/>
      </c>
      <c r="W23" s="16" t="str">
        <f aca="false">IF($D23="","",Y23-V23)</f>
        <v/>
      </c>
      <c r="X23" s="16" t="str">
        <f aca="false">IF($D23="","",W23-N23)</f>
        <v/>
      </c>
      <c r="AB23" s="17" t="str">
        <f aca="false">IF($D23="","",IF(OR($R23=TRUE(),$R23="TRUE"),Settings!$C$6,Settings!$C$7)*100)</f>
        <v/>
      </c>
      <c r="AH23" s="18" t="str">
        <f aca="false">IF($D23="","",IF(COUNTIF($D$2:$D23,$D23)=1,1,0))</f>
        <v/>
      </c>
      <c r="AI23" s="18" t="str">
        <f aca="false">IF($AH23=1,SUMPRODUCT(--($AK$2:$AK$4001&lt;$AK23))+1,"")</f>
        <v/>
      </c>
      <c r="AJ23" s="18" t="str">
        <f aca="false">IF($D23="","",IF(OR($R23=TRUE(),$R23="TRUE"),1,0))</f>
        <v/>
      </c>
      <c r="AK23" s="18" t="str">
        <f aca="false">IF($AH23=1,IFERROR(VALUE(MID($D23,2,20)),1000000000)+ROW()/10000000,"")</f>
        <v/>
      </c>
    </row>
    <row r="24" customFormat="false" ht="15" hidden="false" customHeight="false" outlineLevel="0" collapsed="false">
      <c r="F24" s="15"/>
      <c r="N24" s="16" t="str">
        <f aca="false">IF($D24="","",M24*Y24/100)</f>
        <v/>
      </c>
      <c r="V24" s="16" t="str">
        <f aca="false">IF($D24="","",Y24*AB24/100)</f>
        <v/>
      </c>
      <c r="W24" s="16" t="str">
        <f aca="false">IF($D24="","",Y24-V24)</f>
        <v/>
      </c>
      <c r="X24" s="16" t="str">
        <f aca="false">IF($D24="","",W24-N24)</f>
        <v/>
      </c>
      <c r="AB24" s="17" t="str">
        <f aca="false">IF($D24="","",IF(OR($R24=TRUE(),$R24="TRUE"),Settings!$C$6,Settings!$C$7)*100)</f>
        <v/>
      </c>
      <c r="AH24" s="18" t="str">
        <f aca="false">IF($D24="","",IF(COUNTIF($D$2:$D24,$D24)=1,1,0))</f>
        <v/>
      </c>
      <c r="AI24" s="18" t="str">
        <f aca="false">IF($AH24=1,SUMPRODUCT(--($AK$2:$AK$4001&lt;$AK24))+1,"")</f>
        <v/>
      </c>
      <c r="AJ24" s="18" t="str">
        <f aca="false">IF($D24="","",IF(OR($R24=TRUE(),$R24="TRUE"),1,0))</f>
        <v/>
      </c>
      <c r="AK24" s="18" t="str">
        <f aca="false">IF($AH24=1,IFERROR(VALUE(MID($D24,2,20)),1000000000)+ROW()/10000000,"")</f>
        <v/>
      </c>
    </row>
    <row r="25" customFormat="false" ht="15" hidden="false" customHeight="false" outlineLevel="0" collapsed="false">
      <c r="F25" s="15"/>
      <c r="N25" s="16" t="str">
        <f aca="false">IF($D25="","",M25*Y25/100)</f>
        <v/>
      </c>
      <c r="V25" s="16" t="str">
        <f aca="false">IF($D25="","",Y25*AB25/100)</f>
        <v/>
      </c>
      <c r="W25" s="16" t="str">
        <f aca="false">IF($D25="","",Y25-V25)</f>
        <v/>
      </c>
      <c r="X25" s="16" t="str">
        <f aca="false">IF($D25="","",W25-N25)</f>
        <v/>
      </c>
      <c r="AB25" s="17" t="str">
        <f aca="false">IF($D25="","",IF(OR($R25=TRUE(),$R25="TRUE"),Settings!$C$6,Settings!$C$7)*100)</f>
        <v/>
      </c>
      <c r="AH25" s="18" t="str">
        <f aca="false">IF($D25="","",IF(COUNTIF($D$2:$D25,$D25)=1,1,0))</f>
        <v/>
      </c>
      <c r="AI25" s="18" t="str">
        <f aca="false">IF($AH25=1,SUMPRODUCT(--($AK$2:$AK$4001&lt;$AK25))+1,"")</f>
        <v/>
      </c>
      <c r="AJ25" s="18" t="str">
        <f aca="false">IF($D25="","",IF(OR($R25=TRUE(),$R25="TRUE"),1,0))</f>
        <v/>
      </c>
      <c r="AK25" s="18" t="str">
        <f aca="false">IF($AH25=1,IFERROR(VALUE(MID($D25,2,20)),1000000000)+ROW()/10000000,"")</f>
        <v/>
      </c>
    </row>
    <row r="26" customFormat="false" ht="15" hidden="false" customHeight="false" outlineLevel="0" collapsed="false">
      <c r="F26" s="15"/>
      <c r="N26" s="16" t="str">
        <f aca="false">IF($D26="","",M26*Y26/100)</f>
        <v/>
      </c>
      <c r="V26" s="16" t="str">
        <f aca="false">IF($D26="","",Y26*AB26/100)</f>
        <v/>
      </c>
      <c r="W26" s="16" t="str">
        <f aca="false">IF($D26="","",Y26-V26)</f>
        <v/>
      </c>
      <c r="X26" s="16" t="str">
        <f aca="false">IF($D26="","",W26-N26)</f>
        <v/>
      </c>
      <c r="AB26" s="17" t="str">
        <f aca="false">IF($D26="","",IF(OR($R26=TRUE(),$R26="TRUE"),Settings!$C$6,Settings!$C$7)*100)</f>
        <v/>
      </c>
      <c r="AH26" s="18" t="str">
        <f aca="false">IF($D26="","",IF(COUNTIF($D$2:$D26,$D26)=1,1,0))</f>
        <v/>
      </c>
      <c r="AI26" s="18" t="str">
        <f aca="false">IF($AH26=1,SUMPRODUCT(--($AK$2:$AK$4001&lt;$AK26))+1,"")</f>
        <v/>
      </c>
      <c r="AJ26" s="18" t="str">
        <f aca="false">IF($D26="","",IF(OR($R26=TRUE(),$R26="TRUE"),1,0))</f>
        <v/>
      </c>
      <c r="AK26" s="18" t="str">
        <f aca="false">IF($AH26=1,IFERROR(VALUE(MID($D26,2,20)),1000000000)+ROW()/10000000,"")</f>
        <v/>
      </c>
    </row>
    <row r="27" customFormat="false" ht="15" hidden="false" customHeight="false" outlineLevel="0" collapsed="false">
      <c r="F27" s="15"/>
      <c r="N27" s="16" t="str">
        <f aca="false">IF($D27="","",M27*Y27/100)</f>
        <v/>
      </c>
      <c r="V27" s="16" t="str">
        <f aca="false">IF($D27="","",Y27*AB27/100)</f>
        <v/>
      </c>
      <c r="W27" s="16" t="str">
        <f aca="false">IF($D27="","",Y27-V27)</f>
        <v/>
      </c>
      <c r="X27" s="16" t="str">
        <f aca="false">IF($D27="","",W27-N27)</f>
        <v/>
      </c>
      <c r="AB27" s="17" t="str">
        <f aca="false">IF($D27="","",IF(OR($R27=TRUE(),$R27="TRUE"),Settings!$C$6,Settings!$C$7)*100)</f>
        <v/>
      </c>
      <c r="AH27" s="18" t="str">
        <f aca="false">IF($D27="","",IF(COUNTIF($D$2:$D27,$D27)=1,1,0))</f>
        <v/>
      </c>
      <c r="AI27" s="18" t="str">
        <f aca="false">IF($AH27=1,SUMPRODUCT(--($AK$2:$AK$4001&lt;$AK27))+1,"")</f>
        <v/>
      </c>
      <c r="AJ27" s="18" t="str">
        <f aca="false">IF($D27="","",IF(OR($R27=TRUE(),$R27="TRUE"),1,0))</f>
        <v/>
      </c>
      <c r="AK27" s="18" t="str">
        <f aca="false">IF($AH27=1,IFERROR(VALUE(MID($D27,2,20)),1000000000)+ROW()/10000000,"")</f>
        <v/>
      </c>
    </row>
    <row r="28" customFormat="false" ht="15" hidden="false" customHeight="false" outlineLevel="0" collapsed="false">
      <c r="F28" s="15"/>
      <c r="N28" s="16" t="str">
        <f aca="false">IF($D28="","",M28*Y28/100)</f>
        <v/>
      </c>
      <c r="V28" s="16" t="str">
        <f aca="false">IF($D28="","",Y28*AB28/100)</f>
        <v/>
      </c>
      <c r="W28" s="16" t="str">
        <f aca="false">IF($D28="","",Y28-V28)</f>
        <v/>
      </c>
      <c r="X28" s="16" t="str">
        <f aca="false">IF($D28="","",W28-N28)</f>
        <v/>
      </c>
      <c r="AB28" s="17" t="str">
        <f aca="false">IF($D28="","",IF(OR($R28=TRUE(),$R28="TRUE"),Settings!$C$6,Settings!$C$7)*100)</f>
        <v/>
      </c>
      <c r="AH28" s="18" t="str">
        <f aca="false">IF($D28="","",IF(COUNTIF($D$2:$D28,$D28)=1,1,0))</f>
        <v/>
      </c>
      <c r="AI28" s="18" t="str">
        <f aca="false">IF($AH28=1,SUMPRODUCT(--($AK$2:$AK$4001&lt;$AK28))+1,"")</f>
        <v/>
      </c>
      <c r="AJ28" s="18" t="str">
        <f aca="false">IF($D28="","",IF(OR($R28=TRUE(),$R28="TRUE"),1,0))</f>
        <v/>
      </c>
      <c r="AK28" s="18" t="str">
        <f aca="false">IF($AH28=1,IFERROR(VALUE(MID($D28,2,20)),1000000000)+ROW()/10000000,"")</f>
        <v/>
      </c>
    </row>
    <row r="29" customFormat="false" ht="15" hidden="false" customHeight="false" outlineLevel="0" collapsed="false">
      <c r="F29" s="15"/>
      <c r="N29" s="16" t="str">
        <f aca="false">IF($D29="","",M29*Y29/100)</f>
        <v/>
      </c>
      <c r="V29" s="16" t="str">
        <f aca="false">IF($D29="","",Y29*AB29/100)</f>
        <v/>
      </c>
      <c r="W29" s="16" t="str">
        <f aca="false">IF($D29="","",Y29-V29)</f>
        <v/>
      </c>
      <c r="X29" s="16" t="str">
        <f aca="false">IF($D29="","",W29-N29)</f>
        <v/>
      </c>
      <c r="AB29" s="17" t="str">
        <f aca="false">IF($D29="","",IF(OR($R29=TRUE(),$R29="TRUE"),Settings!$C$6,Settings!$C$7)*100)</f>
        <v/>
      </c>
      <c r="AH29" s="18" t="str">
        <f aca="false">IF($D29="","",IF(COUNTIF($D$2:$D29,$D29)=1,1,0))</f>
        <v/>
      </c>
      <c r="AI29" s="18" t="str">
        <f aca="false">IF($AH29=1,SUMPRODUCT(--($AK$2:$AK$4001&lt;$AK29))+1,"")</f>
        <v/>
      </c>
      <c r="AJ29" s="18" t="str">
        <f aca="false">IF($D29="","",IF(OR($R29=TRUE(),$R29="TRUE"),1,0))</f>
        <v/>
      </c>
      <c r="AK29" s="18" t="str">
        <f aca="false">IF($AH29=1,IFERROR(VALUE(MID($D29,2,20)),1000000000)+ROW()/10000000,"")</f>
        <v/>
      </c>
    </row>
    <row r="30" customFormat="false" ht="15" hidden="false" customHeight="false" outlineLevel="0" collapsed="false">
      <c r="F30" s="15"/>
      <c r="N30" s="16" t="str">
        <f aca="false">IF($D30="","",M30*Y30/100)</f>
        <v/>
      </c>
      <c r="V30" s="16" t="str">
        <f aca="false">IF($D30="","",Y30*AB30/100)</f>
        <v/>
      </c>
      <c r="W30" s="16" t="str">
        <f aca="false">IF($D30="","",Y30-V30)</f>
        <v/>
      </c>
      <c r="X30" s="16" t="str">
        <f aca="false">IF($D30="","",W30-N30)</f>
        <v/>
      </c>
      <c r="AB30" s="17" t="str">
        <f aca="false">IF($D30="","",IF(OR($R30=TRUE(),$R30="TRUE"),Settings!$C$6,Settings!$C$7)*100)</f>
        <v/>
      </c>
      <c r="AH30" s="18" t="str">
        <f aca="false">IF($D30="","",IF(COUNTIF($D$2:$D30,$D30)=1,1,0))</f>
        <v/>
      </c>
      <c r="AI30" s="18" t="str">
        <f aca="false">IF($AH30=1,SUMPRODUCT(--($AK$2:$AK$4001&lt;$AK30))+1,"")</f>
        <v/>
      </c>
      <c r="AJ30" s="18" t="str">
        <f aca="false">IF($D30="","",IF(OR($R30=TRUE(),$R30="TRUE"),1,0))</f>
        <v/>
      </c>
      <c r="AK30" s="18" t="str">
        <f aca="false">IF($AH30=1,IFERROR(VALUE(MID($D30,2,20)),1000000000)+ROW()/10000000,"")</f>
        <v/>
      </c>
    </row>
    <row r="31" customFormat="false" ht="15" hidden="false" customHeight="false" outlineLevel="0" collapsed="false">
      <c r="F31" s="15"/>
      <c r="N31" s="16" t="str">
        <f aca="false">IF($D31="","",M31*Y31/100)</f>
        <v/>
      </c>
      <c r="V31" s="16" t="str">
        <f aca="false">IF($D31="","",Y31*AB31/100)</f>
        <v/>
      </c>
      <c r="W31" s="16" t="str">
        <f aca="false">IF($D31="","",Y31-V31)</f>
        <v/>
      </c>
      <c r="X31" s="16" t="str">
        <f aca="false">IF($D31="","",W31-N31)</f>
        <v/>
      </c>
      <c r="AB31" s="17" t="str">
        <f aca="false">IF($D31="","",IF(OR($R31=TRUE(),$R31="TRUE"),Settings!$C$6,Settings!$C$7)*100)</f>
        <v/>
      </c>
      <c r="AH31" s="18" t="str">
        <f aca="false">IF($D31="","",IF(COUNTIF($D$2:$D31,$D31)=1,1,0))</f>
        <v/>
      </c>
      <c r="AI31" s="18" t="str">
        <f aca="false">IF($AH31=1,SUMPRODUCT(--($AK$2:$AK$4001&lt;$AK31))+1,"")</f>
        <v/>
      </c>
      <c r="AJ31" s="18" t="str">
        <f aca="false">IF($D31="","",IF(OR($R31=TRUE(),$R31="TRUE"),1,0))</f>
        <v/>
      </c>
      <c r="AK31" s="18" t="str">
        <f aca="false">IF($AH31=1,IFERROR(VALUE(MID($D31,2,20)),1000000000)+ROW()/10000000,"")</f>
        <v/>
      </c>
    </row>
    <row r="32" customFormat="false" ht="15" hidden="false" customHeight="false" outlineLevel="0" collapsed="false">
      <c r="F32" s="15"/>
      <c r="N32" s="16" t="str">
        <f aca="false">IF($D32="","",M32*Y32/100)</f>
        <v/>
      </c>
      <c r="V32" s="16" t="str">
        <f aca="false">IF($D32="","",Y32*AB32/100)</f>
        <v/>
      </c>
      <c r="W32" s="16" t="str">
        <f aca="false">IF($D32="","",Y32-V32)</f>
        <v/>
      </c>
      <c r="X32" s="16" t="str">
        <f aca="false">IF($D32="","",W32-N32)</f>
        <v/>
      </c>
      <c r="AB32" s="17" t="str">
        <f aca="false">IF($D32="","",IF(OR($R32=TRUE(),$R32="TRUE"),Settings!$C$6,Settings!$C$7)*100)</f>
        <v/>
      </c>
      <c r="AH32" s="18" t="str">
        <f aca="false">IF($D32="","",IF(COUNTIF($D$2:$D32,$D32)=1,1,0))</f>
        <v/>
      </c>
      <c r="AI32" s="18" t="str">
        <f aca="false">IF($AH32=1,SUMPRODUCT(--($AK$2:$AK$4001&lt;$AK32))+1,"")</f>
        <v/>
      </c>
      <c r="AJ32" s="18" t="str">
        <f aca="false">IF($D32="","",IF(OR($R32=TRUE(),$R32="TRUE"),1,0))</f>
        <v/>
      </c>
      <c r="AK32" s="18" t="str">
        <f aca="false">IF($AH32=1,IFERROR(VALUE(MID($D32,2,20)),1000000000)+ROW()/10000000,"")</f>
        <v/>
      </c>
    </row>
    <row r="33" customFormat="false" ht="15" hidden="false" customHeight="false" outlineLevel="0" collapsed="false">
      <c r="F33" s="15"/>
      <c r="N33" s="16" t="str">
        <f aca="false">IF($D33="","",M33*Y33/100)</f>
        <v/>
      </c>
      <c r="V33" s="16" t="str">
        <f aca="false">IF($D33="","",Y33*AB33/100)</f>
        <v/>
      </c>
      <c r="W33" s="16" t="str">
        <f aca="false">IF($D33="","",Y33-V33)</f>
        <v/>
      </c>
      <c r="X33" s="16" t="str">
        <f aca="false">IF($D33="","",W33-N33)</f>
        <v/>
      </c>
      <c r="AB33" s="17" t="str">
        <f aca="false">IF($D33="","",IF(OR($R33=TRUE(),$R33="TRUE"),Settings!$C$6,Settings!$C$7)*100)</f>
        <v/>
      </c>
      <c r="AH33" s="18" t="str">
        <f aca="false">IF($D33="","",IF(COUNTIF($D$2:$D33,$D33)=1,1,0))</f>
        <v/>
      </c>
      <c r="AI33" s="18" t="str">
        <f aca="false">IF($AH33=1,SUMPRODUCT(--($AK$2:$AK$4001&lt;$AK33))+1,"")</f>
        <v/>
      </c>
      <c r="AJ33" s="18" t="str">
        <f aca="false">IF($D33="","",IF(OR($R33=TRUE(),$R33="TRUE"),1,0))</f>
        <v/>
      </c>
      <c r="AK33" s="18" t="str">
        <f aca="false">IF($AH33=1,IFERROR(VALUE(MID($D33,2,20)),1000000000)+ROW()/10000000,"")</f>
        <v/>
      </c>
    </row>
    <row r="34" customFormat="false" ht="15" hidden="false" customHeight="false" outlineLevel="0" collapsed="false">
      <c r="F34" s="15"/>
      <c r="N34" s="16" t="str">
        <f aca="false">IF($D34="","",M34*Y34/100)</f>
        <v/>
      </c>
      <c r="V34" s="16" t="str">
        <f aca="false">IF($D34="","",Y34*AB34/100)</f>
        <v/>
      </c>
      <c r="W34" s="16" t="str">
        <f aca="false">IF($D34="","",Y34-V34)</f>
        <v/>
      </c>
      <c r="X34" s="16" t="str">
        <f aca="false">IF($D34="","",W34-N34)</f>
        <v/>
      </c>
      <c r="AB34" s="17" t="str">
        <f aca="false">IF($D34="","",IF(OR($R34=TRUE(),$R34="TRUE"),Settings!$C$6,Settings!$C$7)*100)</f>
        <v/>
      </c>
      <c r="AH34" s="18" t="str">
        <f aca="false">IF($D34="","",IF(COUNTIF($D$2:$D34,$D34)=1,1,0))</f>
        <v/>
      </c>
      <c r="AI34" s="18" t="str">
        <f aca="false">IF($AH34=1,SUMPRODUCT(--($AK$2:$AK$4001&lt;$AK34))+1,"")</f>
        <v/>
      </c>
      <c r="AJ34" s="18" t="str">
        <f aca="false">IF($D34="","",IF(OR($R34=TRUE(),$R34="TRUE"),1,0))</f>
        <v/>
      </c>
      <c r="AK34" s="18" t="str">
        <f aca="false">IF($AH34=1,IFERROR(VALUE(MID($D34,2,20)),1000000000)+ROW()/10000000,"")</f>
        <v/>
      </c>
    </row>
    <row r="35" customFormat="false" ht="15" hidden="false" customHeight="false" outlineLevel="0" collapsed="false">
      <c r="F35" s="15"/>
      <c r="N35" s="16" t="str">
        <f aca="false">IF($D35="","",M35*Y35/100)</f>
        <v/>
      </c>
      <c r="V35" s="16" t="str">
        <f aca="false">IF($D35="","",Y35*AB35/100)</f>
        <v/>
      </c>
      <c r="W35" s="16" t="str">
        <f aca="false">IF($D35="","",Y35-V35)</f>
        <v/>
      </c>
      <c r="X35" s="16" t="str">
        <f aca="false">IF($D35="","",W35-N35)</f>
        <v/>
      </c>
      <c r="AB35" s="17" t="str">
        <f aca="false">IF($D35="","",IF(OR($R35=TRUE(),$R35="TRUE"),Settings!$C$6,Settings!$C$7)*100)</f>
        <v/>
      </c>
      <c r="AH35" s="18" t="str">
        <f aca="false">IF($D35="","",IF(COUNTIF($D$2:$D35,$D35)=1,1,0))</f>
        <v/>
      </c>
      <c r="AI35" s="18" t="str">
        <f aca="false">IF($AH35=1,SUMPRODUCT(--($AK$2:$AK$4001&lt;$AK35))+1,"")</f>
        <v/>
      </c>
      <c r="AJ35" s="18" t="str">
        <f aca="false">IF($D35="","",IF(OR($R35=TRUE(),$R35="TRUE"),1,0))</f>
        <v/>
      </c>
      <c r="AK35" s="18" t="str">
        <f aca="false">IF($AH35=1,IFERROR(VALUE(MID($D35,2,20)),1000000000)+ROW()/10000000,"")</f>
        <v/>
      </c>
    </row>
    <row r="36" customFormat="false" ht="15" hidden="false" customHeight="false" outlineLevel="0" collapsed="false">
      <c r="F36" s="15"/>
      <c r="N36" s="16" t="str">
        <f aca="false">IF($D36="","",M36*Y36/100)</f>
        <v/>
      </c>
      <c r="V36" s="16" t="str">
        <f aca="false">IF($D36="","",Y36*AB36/100)</f>
        <v/>
      </c>
      <c r="W36" s="16" t="str">
        <f aca="false">IF($D36="","",Y36-V36)</f>
        <v/>
      </c>
      <c r="X36" s="16" t="str">
        <f aca="false">IF($D36="","",W36-N36)</f>
        <v/>
      </c>
      <c r="AB36" s="17" t="str">
        <f aca="false">IF($D36="","",IF(OR($R36=TRUE(),$R36="TRUE"),Settings!$C$6,Settings!$C$7)*100)</f>
        <v/>
      </c>
      <c r="AH36" s="18" t="str">
        <f aca="false">IF($D36="","",IF(COUNTIF($D$2:$D36,$D36)=1,1,0))</f>
        <v/>
      </c>
      <c r="AI36" s="18" t="str">
        <f aca="false">IF($AH36=1,SUMPRODUCT(--($AK$2:$AK$4001&lt;$AK36))+1,"")</f>
        <v/>
      </c>
      <c r="AJ36" s="18" t="str">
        <f aca="false">IF($D36="","",IF(OR($R36=TRUE(),$R36="TRUE"),1,0))</f>
        <v/>
      </c>
      <c r="AK36" s="18" t="str">
        <f aca="false">IF($AH36=1,IFERROR(VALUE(MID($D36,2,20)),1000000000)+ROW()/10000000,"")</f>
        <v/>
      </c>
    </row>
    <row r="37" customFormat="false" ht="15" hidden="false" customHeight="false" outlineLevel="0" collapsed="false">
      <c r="F37" s="15"/>
      <c r="N37" s="16" t="str">
        <f aca="false">IF($D37="","",M37*Y37/100)</f>
        <v/>
      </c>
      <c r="V37" s="16" t="str">
        <f aca="false">IF($D37="","",Y37*AB37/100)</f>
        <v/>
      </c>
      <c r="W37" s="16" t="str">
        <f aca="false">IF($D37="","",Y37-V37)</f>
        <v/>
      </c>
      <c r="X37" s="16" t="str">
        <f aca="false">IF($D37="","",W37-N37)</f>
        <v/>
      </c>
      <c r="AB37" s="17" t="str">
        <f aca="false">IF($D37="","",IF(OR($R37=TRUE(),$R37="TRUE"),Settings!$C$6,Settings!$C$7)*100)</f>
        <v/>
      </c>
      <c r="AH37" s="18" t="str">
        <f aca="false">IF($D37="","",IF(COUNTIF($D$2:$D37,$D37)=1,1,0))</f>
        <v/>
      </c>
      <c r="AI37" s="18" t="str">
        <f aca="false">IF($AH37=1,SUMPRODUCT(--($AK$2:$AK$4001&lt;$AK37))+1,"")</f>
        <v/>
      </c>
      <c r="AJ37" s="18" t="str">
        <f aca="false">IF($D37="","",IF(OR($R37=TRUE(),$R37="TRUE"),1,0))</f>
        <v/>
      </c>
      <c r="AK37" s="18" t="str">
        <f aca="false">IF($AH37=1,IFERROR(VALUE(MID($D37,2,20)),1000000000)+ROW()/10000000,"")</f>
        <v/>
      </c>
    </row>
    <row r="38" customFormat="false" ht="15" hidden="false" customHeight="false" outlineLevel="0" collapsed="false">
      <c r="F38" s="15"/>
      <c r="N38" s="16" t="str">
        <f aca="false">IF($D38="","",M38*Y38/100)</f>
        <v/>
      </c>
      <c r="V38" s="16" t="str">
        <f aca="false">IF($D38="","",Y38*AB38/100)</f>
        <v/>
      </c>
      <c r="W38" s="16" t="str">
        <f aca="false">IF($D38="","",Y38-V38)</f>
        <v/>
      </c>
      <c r="X38" s="16" t="str">
        <f aca="false">IF($D38="","",W38-N38)</f>
        <v/>
      </c>
      <c r="AB38" s="17" t="str">
        <f aca="false">IF($D38="","",IF(OR($R38=TRUE(),$R38="TRUE"),Settings!$C$6,Settings!$C$7)*100)</f>
        <v/>
      </c>
      <c r="AH38" s="18" t="str">
        <f aca="false">IF($D38="","",IF(COUNTIF($D$2:$D38,$D38)=1,1,0))</f>
        <v/>
      </c>
      <c r="AI38" s="18" t="str">
        <f aca="false">IF($AH38=1,SUMPRODUCT(--($AK$2:$AK$4001&lt;$AK38))+1,"")</f>
        <v/>
      </c>
      <c r="AJ38" s="18" t="str">
        <f aca="false">IF($D38="","",IF(OR($R38=TRUE(),$R38="TRUE"),1,0))</f>
        <v/>
      </c>
      <c r="AK38" s="18" t="str">
        <f aca="false">IF($AH38=1,IFERROR(VALUE(MID($D38,2,20)),1000000000)+ROW()/10000000,"")</f>
        <v/>
      </c>
    </row>
    <row r="39" customFormat="false" ht="15" hidden="false" customHeight="false" outlineLevel="0" collapsed="false">
      <c r="F39" s="15"/>
      <c r="N39" s="16" t="str">
        <f aca="false">IF($D39="","",M39*Y39/100)</f>
        <v/>
      </c>
      <c r="V39" s="16" t="str">
        <f aca="false">IF($D39="","",Y39*AB39/100)</f>
        <v/>
      </c>
      <c r="W39" s="16" t="str">
        <f aca="false">IF($D39="","",Y39-V39)</f>
        <v/>
      </c>
      <c r="X39" s="16" t="str">
        <f aca="false">IF($D39="","",W39-N39)</f>
        <v/>
      </c>
      <c r="AB39" s="17" t="str">
        <f aca="false">IF($D39="","",IF(OR($R39=TRUE(),$R39="TRUE"),Settings!$C$6,Settings!$C$7)*100)</f>
        <v/>
      </c>
      <c r="AH39" s="18" t="str">
        <f aca="false">IF($D39="","",IF(COUNTIF($D$2:$D39,$D39)=1,1,0))</f>
        <v/>
      </c>
      <c r="AI39" s="18" t="str">
        <f aca="false">IF($AH39=1,SUMPRODUCT(--($AK$2:$AK$4001&lt;$AK39))+1,"")</f>
        <v/>
      </c>
      <c r="AJ39" s="18" t="str">
        <f aca="false">IF($D39="","",IF(OR($R39=TRUE(),$R39="TRUE"),1,0))</f>
        <v/>
      </c>
      <c r="AK39" s="18" t="str">
        <f aca="false">IF($AH39=1,IFERROR(VALUE(MID($D39,2,20)),1000000000)+ROW()/10000000,"")</f>
        <v/>
      </c>
    </row>
    <row r="40" customFormat="false" ht="15" hidden="false" customHeight="false" outlineLevel="0" collapsed="false">
      <c r="F40" s="15"/>
      <c r="N40" s="16" t="str">
        <f aca="false">IF($D40="","",M40*Y40/100)</f>
        <v/>
      </c>
      <c r="V40" s="16" t="str">
        <f aca="false">IF($D40="","",Y40*AB40/100)</f>
        <v/>
      </c>
      <c r="W40" s="16" t="str">
        <f aca="false">IF($D40="","",Y40-V40)</f>
        <v/>
      </c>
      <c r="X40" s="16" t="str">
        <f aca="false">IF($D40="","",W40-N40)</f>
        <v/>
      </c>
      <c r="AB40" s="17" t="str">
        <f aca="false">IF($D40="","",IF(OR($R40=TRUE(),$R40="TRUE"),Settings!$C$6,Settings!$C$7)*100)</f>
        <v/>
      </c>
      <c r="AH40" s="18" t="str">
        <f aca="false">IF($D40="","",IF(COUNTIF($D$2:$D40,$D40)=1,1,0))</f>
        <v/>
      </c>
      <c r="AI40" s="18" t="str">
        <f aca="false">IF($AH40=1,SUMPRODUCT(--($AK$2:$AK$4001&lt;$AK40))+1,"")</f>
        <v/>
      </c>
      <c r="AJ40" s="18" t="str">
        <f aca="false">IF($D40="","",IF(OR($R40=TRUE(),$R40="TRUE"),1,0))</f>
        <v/>
      </c>
      <c r="AK40" s="18" t="str">
        <f aca="false">IF($AH40=1,IFERROR(VALUE(MID($D40,2,20)),1000000000)+ROW()/10000000,"")</f>
        <v/>
      </c>
    </row>
    <row r="41" customFormat="false" ht="15" hidden="false" customHeight="false" outlineLevel="0" collapsed="false">
      <c r="F41" s="15"/>
      <c r="N41" s="16" t="str">
        <f aca="false">IF($D41="","",M41*Y41/100)</f>
        <v/>
      </c>
      <c r="V41" s="16" t="str">
        <f aca="false">IF($D41="","",Y41*AB41/100)</f>
        <v/>
      </c>
      <c r="W41" s="16" t="str">
        <f aca="false">IF($D41="","",Y41-V41)</f>
        <v/>
      </c>
      <c r="X41" s="16" t="str">
        <f aca="false">IF($D41="","",W41-N41)</f>
        <v/>
      </c>
      <c r="AB41" s="17" t="str">
        <f aca="false">IF($D41="","",IF(OR($R41=TRUE(),$R41="TRUE"),Settings!$C$6,Settings!$C$7)*100)</f>
        <v/>
      </c>
      <c r="AH41" s="18" t="str">
        <f aca="false">IF($D41="","",IF(COUNTIF($D$2:$D41,$D41)=1,1,0))</f>
        <v/>
      </c>
      <c r="AI41" s="18" t="str">
        <f aca="false">IF($AH41=1,SUMPRODUCT(--($AK$2:$AK$4001&lt;$AK41))+1,"")</f>
        <v/>
      </c>
      <c r="AJ41" s="18" t="str">
        <f aca="false">IF($D41="","",IF(OR($R41=TRUE(),$R41="TRUE"),1,0))</f>
        <v/>
      </c>
      <c r="AK41" s="18" t="str">
        <f aca="false">IF($AH41=1,IFERROR(VALUE(MID($D41,2,20)),1000000000)+ROW()/10000000,"")</f>
        <v/>
      </c>
    </row>
    <row r="42" customFormat="false" ht="15" hidden="false" customHeight="false" outlineLevel="0" collapsed="false">
      <c r="F42" s="15"/>
      <c r="N42" s="16" t="str">
        <f aca="false">IF($D42="","",M42*Y42/100)</f>
        <v/>
      </c>
      <c r="V42" s="16" t="str">
        <f aca="false">IF($D42="","",Y42*AB42/100)</f>
        <v/>
      </c>
      <c r="W42" s="16" t="str">
        <f aca="false">IF($D42="","",Y42-V42)</f>
        <v/>
      </c>
      <c r="X42" s="16" t="str">
        <f aca="false">IF($D42="","",W42-N42)</f>
        <v/>
      </c>
      <c r="AB42" s="17" t="str">
        <f aca="false">IF($D42="","",IF(OR($R42=TRUE(),$R42="TRUE"),Settings!$C$6,Settings!$C$7)*100)</f>
        <v/>
      </c>
      <c r="AH42" s="18" t="str">
        <f aca="false">IF($D42="","",IF(COUNTIF($D$2:$D42,$D42)=1,1,0))</f>
        <v/>
      </c>
      <c r="AI42" s="18" t="str">
        <f aca="false">IF($AH42=1,SUMPRODUCT(--($AK$2:$AK$4001&lt;$AK42))+1,"")</f>
        <v/>
      </c>
      <c r="AJ42" s="18" t="str">
        <f aca="false">IF($D42="","",IF(OR($R42=TRUE(),$R42="TRUE"),1,0))</f>
        <v/>
      </c>
      <c r="AK42" s="18" t="str">
        <f aca="false">IF($AH42=1,IFERROR(VALUE(MID($D42,2,20)),1000000000)+ROW()/10000000,"")</f>
        <v/>
      </c>
    </row>
    <row r="43" customFormat="false" ht="15" hidden="false" customHeight="false" outlineLevel="0" collapsed="false">
      <c r="F43" s="15"/>
      <c r="N43" s="16" t="str">
        <f aca="false">IF($D43="","",M43*Y43/100)</f>
        <v/>
      </c>
      <c r="V43" s="16" t="str">
        <f aca="false">IF($D43="","",Y43*AB43/100)</f>
        <v/>
      </c>
      <c r="W43" s="16" t="str">
        <f aca="false">IF($D43="","",Y43-V43)</f>
        <v/>
      </c>
      <c r="X43" s="16" t="str">
        <f aca="false">IF($D43="","",W43-N43)</f>
        <v/>
      </c>
      <c r="AB43" s="17" t="str">
        <f aca="false">IF($D43="","",IF(OR($R43=TRUE(),$R43="TRUE"),Settings!$C$6,Settings!$C$7)*100)</f>
        <v/>
      </c>
      <c r="AH43" s="18" t="str">
        <f aca="false">IF($D43="","",IF(COUNTIF($D$2:$D43,$D43)=1,1,0))</f>
        <v/>
      </c>
      <c r="AI43" s="18" t="str">
        <f aca="false">IF($AH43=1,SUMPRODUCT(--($AK$2:$AK$4001&lt;$AK43))+1,"")</f>
        <v/>
      </c>
      <c r="AJ43" s="18" t="str">
        <f aca="false">IF($D43="","",IF(OR($R43=TRUE(),$R43="TRUE"),1,0))</f>
        <v/>
      </c>
      <c r="AK43" s="18" t="str">
        <f aca="false">IF($AH43=1,IFERROR(VALUE(MID($D43,2,20)),1000000000)+ROW()/10000000,"")</f>
        <v/>
      </c>
    </row>
    <row r="44" customFormat="false" ht="15" hidden="false" customHeight="false" outlineLevel="0" collapsed="false">
      <c r="F44" s="15"/>
      <c r="N44" s="16" t="str">
        <f aca="false">IF($D44="","",M44*Y44/100)</f>
        <v/>
      </c>
      <c r="V44" s="16" t="str">
        <f aca="false">IF($D44="","",Y44*AB44/100)</f>
        <v/>
      </c>
      <c r="W44" s="16" t="str">
        <f aca="false">IF($D44="","",Y44-V44)</f>
        <v/>
      </c>
      <c r="X44" s="16" t="str">
        <f aca="false">IF($D44="","",W44-N44)</f>
        <v/>
      </c>
      <c r="AB44" s="17" t="str">
        <f aca="false">IF($D44="","",IF(OR($R44=TRUE(),$R44="TRUE"),Settings!$C$6,Settings!$C$7)*100)</f>
        <v/>
      </c>
      <c r="AH44" s="18" t="str">
        <f aca="false">IF($D44="","",IF(COUNTIF($D$2:$D44,$D44)=1,1,0))</f>
        <v/>
      </c>
      <c r="AI44" s="18" t="str">
        <f aca="false">IF($AH44=1,SUMPRODUCT(--($AK$2:$AK$4001&lt;$AK44))+1,"")</f>
        <v/>
      </c>
      <c r="AJ44" s="18" t="str">
        <f aca="false">IF($D44="","",IF(OR($R44=TRUE(),$R44="TRUE"),1,0))</f>
        <v/>
      </c>
      <c r="AK44" s="18" t="str">
        <f aca="false">IF($AH44=1,IFERROR(VALUE(MID($D44,2,20)),1000000000)+ROW()/10000000,"")</f>
        <v/>
      </c>
    </row>
    <row r="45" customFormat="false" ht="15" hidden="false" customHeight="false" outlineLevel="0" collapsed="false">
      <c r="F45" s="15"/>
      <c r="N45" s="16" t="str">
        <f aca="false">IF($D45="","",M45*Y45/100)</f>
        <v/>
      </c>
      <c r="V45" s="16" t="str">
        <f aca="false">IF($D45="","",Y45*AB45/100)</f>
        <v/>
      </c>
      <c r="W45" s="16" t="str">
        <f aca="false">IF($D45="","",Y45-V45)</f>
        <v/>
      </c>
      <c r="X45" s="16" t="str">
        <f aca="false">IF($D45="","",W45-N45)</f>
        <v/>
      </c>
      <c r="AB45" s="17" t="str">
        <f aca="false">IF($D45="","",IF(OR($R45=TRUE(),$R45="TRUE"),Settings!$C$6,Settings!$C$7)*100)</f>
        <v/>
      </c>
      <c r="AH45" s="18" t="str">
        <f aca="false">IF($D45="","",IF(COUNTIF($D$2:$D45,$D45)=1,1,0))</f>
        <v/>
      </c>
      <c r="AI45" s="18" t="str">
        <f aca="false">IF($AH45=1,SUMPRODUCT(--($AK$2:$AK$4001&lt;$AK45))+1,"")</f>
        <v/>
      </c>
      <c r="AJ45" s="18" t="str">
        <f aca="false">IF($D45="","",IF(OR($R45=TRUE(),$R45="TRUE"),1,0))</f>
        <v/>
      </c>
      <c r="AK45" s="18" t="str">
        <f aca="false">IF($AH45=1,IFERROR(VALUE(MID($D45,2,20)),1000000000)+ROW()/10000000,"")</f>
        <v/>
      </c>
    </row>
    <row r="46" customFormat="false" ht="15" hidden="false" customHeight="false" outlineLevel="0" collapsed="false">
      <c r="F46" s="15"/>
      <c r="N46" s="16" t="str">
        <f aca="false">IF($D46="","",M46*Y46/100)</f>
        <v/>
      </c>
      <c r="V46" s="16" t="str">
        <f aca="false">IF($D46="","",Y46*AB46/100)</f>
        <v/>
      </c>
      <c r="W46" s="16" t="str">
        <f aca="false">IF($D46="","",Y46-V46)</f>
        <v/>
      </c>
      <c r="X46" s="16" t="str">
        <f aca="false">IF($D46="","",W46-N46)</f>
        <v/>
      </c>
      <c r="AB46" s="17" t="str">
        <f aca="false">IF($D46="","",IF(OR($R46=TRUE(),$R46="TRUE"),Settings!$C$6,Settings!$C$7)*100)</f>
        <v/>
      </c>
      <c r="AH46" s="18" t="str">
        <f aca="false">IF($D46="","",IF(COUNTIF($D$2:$D46,$D46)=1,1,0))</f>
        <v/>
      </c>
      <c r="AI46" s="18" t="str">
        <f aca="false">IF($AH46=1,SUMPRODUCT(--($AK$2:$AK$4001&lt;$AK46))+1,"")</f>
        <v/>
      </c>
      <c r="AJ46" s="18" t="str">
        <f aca="false">IF($D46="","",IF(OR($R46=TRUE(),$R46="TRUE"),1,0))</f>
        <v/>
      </c>
      <c r="AK46" s="18" t="str">
        <f aca="false">IF($AH46=1,IFERROR(VALUE(MID($D46,2,20)),1000000000)+ROW()/10000000,"")</f>
        <v/>
      </c>
    </row>
    <row r="47" customFormat="false" ht="15" hidden="false" customHeight="false" outlineLevel="0" collapsed="false">
      <c r="F47" s="15"/>
      <c r="N47" s="16" t="str">
        <f aca="false">IF($D47="","",M47*Y47/100)</f>
        <v/>
      </c>
      <c r="V47" s="16" t="str">
        <f aca="false">IF($D47="","",Y47*AB47/100)</f>
        <v/>
      </c>
      <c r="W47" s="16" t="str">
        <f aca="false">IF($D47="","",Y47-V47)</f>
        <v/>
      </c>
      <c r="X47" s="16" t="str">
        <f aca="false">IF($D47="","",W47-N47)</f>
        <v/>
      </c>
      <c r="AB47" s="17" t="str">
        <f aca="false">IF($D47="","",IF(OR($R47=TRUE(),$R47="TRUE"),Settings!$C$6,Settings!$C$7)*100)</f>
        <v/>
      </c>
      <c r="AH47" s="18" t="str">
        <f aca="false">IF($D47="","",IF(COUNTIF($D$2:$D47,$D47)=1,1,0))</f>
        <v/>
      </c>
      <c r="AI47" s="18" t="str">
        <f aca="false">IF($AH47=1,SUMPRODUCT(--($AK$2:$AK$4001&lt;$AK47))+1,"")</f>
        <v/>
      </c>
      <c r="AJ47" s="18" t="str">
        <f aca="false">IF($D47="","",IF(OR($R47=TRUE(),$R47="TRUE"),1,0))</f>
        <v/>
      </c>
      <c r="AK47" s="18" t="str">
        <f aca="false">IF($AH47=1,IFERROR(VALUE(MID($D47,2,20)),1000000000)+ROW()/10000000,"")</f>
        <v/>
      </c>
    </row>
    <row r="48" customFormat="false" ht="15" hidden="false" customHeight="false" outlineLevel="0" collapsed="false">
      <c r="F48" s="15"/>
      <c r="N48" s="16" t="str">
        <f aca="false">IF($D48="","",M48*Y48/100)</f>
        <v/>
      </c>
      <c r="V48" s="16" t="str">
        <f aca="false">IF($D48="","",Y48*AB48/100)</f>
        <v/>
      </c>
      <c r="W48" s="16" t="str">
        <f aca="false">IF($D48="","",Y48-V48)</f>
        <v/>
      </c>
      <c r="X48" s="16" t="str">
        <f aca="false">IF($D48="","",W48-N48)</f>
        <v/>
      </c>
      <c r="AB48" s="17" t="str">
        <f aca="false">IF($D48="","",IF(OR($R48=TRUE(),$R48="TRUE"),Settings!$C$6,Settings!$C$7)*100)</f>
        <v/>
      </c>
      <c r="AH48" s="18" t="str">
        <f aca="false">IF($D48="","",IF(COUNTIF($D$2:$D48,$D48)=1,1,0))</f>
        <v/>
      </c>
      <c r="AI48" s="18" t="str">
        <f aca="false">IF($AH48=1,SUMPRODUCT(--($AK$2:$AK$4001&lt;$AK48))+1,"")</f>
        <v/>
      </c>
      <c r="AJ48" s="18" t="str">
        <f aca="false">IF($D48="","",IF(OR($R48=TRUE(),$R48="TRUE"),1,0))</f>
        <v/>
      </c>
      <c r="AK48" s="18" t="str">
        <f aca="false">IF($AH48=1,IFERROR(VALUE(MID($D48,2,20)),1000000000)+ROW()/10000000,"")</f>
        <v/>
      </c>
    </row>
    <row r="49" customFormat="false" ht="15" hidden="false" customHeight="false" outlineLevel="0" collapsed="false">
      <c r="F49" s="15"/>
      <c r="N49" s="16" t="str">
        <f aca="false">IF($D49="","",M49*Y49/100)</f>
        <v/>
      </c>
      <c r="V49" s="16" t="str">
        <f aca="false">IF($D49="","",Y49*AB49/100)</f>
        <v/>
      </c>
      <c r="W49" s="16" t="str">
        <f aca="false">IF($D49="","",Y49-V49)</f>
        <v/>
      </c>
      <c r="X49" s="16" t="str">
        <f aca="false">IF($D49="","",W49-N49)</f>
        <v/>
      </c>
      <c r="AB49" s="17" t="str">
        <f aca="false">IF($D49="","",IF(OR($R49=TRUE(),$R49="TRUE"),Settings!$C$6,Settings!$C$7)*100)</f>
        <v/>
      </c>
      <c r="AH49" s="18" t="str">
        <f aca="false">IF($D49="","",IF(COUNTIF($D$2:$D49,$D49)=1,1,0))</f>
        <v/>
      </c>
      <c r="AI49" s="18" t="str">
        <f aca="false">IF($AH49=1,SUMPRODUCT(--($AK$2:$AK$4001&lt;$AK49))+1,"")</f>
        <v/>
      </c>
      <c r="AJ49" s="18" t="str">
        <f aca="false">IF($D49="","",IF(OR($R49=TRUE(),$R49="TRUE"),1,0))</f>
        <v/>
      </c>
      <c r="AK49" s="18" t="str">
        <f aca="false">IF($AH49=1,IFERROR(VALUE(MID($D49,2,20)),1000000000)+ROW()/10000000,"")</f>
        <v/>
      </c>
    </row>
    <row r="50" customFormat="false" ht="15" hidden="false" customHeight="false" outlineLevel="0" collapsed="false">
      <c r="F50" s="15"/>
      <c r="N50" s="16" t="str">
        <f aca="false">IF($D50="","",M50*Y50/100)</f>
        <v/>
      </c>
      <c r="V50" s="16" t="str">
        <f aca="false">IF($D50="","",Y50*AB50/100)</f>
        <v/>
      </c>
      <c r="W50" s="16" t="str">
        <f aca="false">IF($D50="","",Y50-V50)</f>
        <v/>
      </c>
      <c r="X50" s="16" t="str">
        <f aca="false">IF($D50="","",W50-N50)</f>
        <v/>
      </c>
      <c r="AB50" s="17" t="str">
        <f aca="false">IF($D50="","",IF(OR($R50=TRUE(),$R50="TRUE"),Settings!$C$6,Settings!$C$7)*100)</f>
        <v/>
      </c>
      <c r="AH50" s="18" t="str">
        <f aca="false">IF($D50="","",IF(COUNTIF($D$2:$D50,$D50)=1,1,0))</f>
        <v/>
      </c>
      <c r="AI50" s="18" t="str">
        <f aca="false">IF($AH50=1,SUMPRODUCT(--($AK$2:$AK$4001&lt;$AK50))+1,"")</f>
        <v/>
      </c>
      <c r="AJ50" s="18" t="str">
        <f aca="false">IF($D50="","",IF(OR($R50=TRUE(),$R50="TRUE"),1,0))</f>
        <v/>
      </c>
      <c r="AK50" s="18" t="str">
        <f aca="false">IF($AH50=1,IFERROR(VALUE(MID($D50,2,20)),1000000000)+ROW()/10000000,"")</f>
        <v/>
      </c>
    </row>
    <row r="51" customFormat="false" ht="15" hidden="false" customHeight="false" outlineLevel="0" collapsed="false">
      <c r="F51" s="15"/>
      <c r="N51" s="16" t="str">
        <f aca="false">IF($D51="","",M51*Y51/100)</f>
        <v/>
      </c>
      <c r="V51" s="16" t="str">
        <f aca="false">IF($D51="","",Y51*AB51/100)</f>
        <v/>
      </c>
      <c r="W51" s="16" t="str">
        <f aca="false">IF($D51="","",Y51-V51)</f>
        <v/>
      </c>
      <c r="X51" s="16" t="str">
        <f aca="false">IF($D51="","",W51-N51)</f>
        <v/>
      </c>
      <c r="AB51" s="17" t="str">
        <f aca="false">IF($D51="","",IF(OR($R51=TRUE(),$R51="TRUE"),Settings!$C$6,Settings!$C$7)*100)</f>
        <v/>
      </c>
      <c r="AH51" s="18" t="str">
        <f aca="false">IF($D51="","",IF(COUNTIF($D$2:$D51,$D51)=1,1,0))</f>
        <v/>
      </c>
      <c r="AI51" s="18" t="str">
        <f aca="false">IF($AH51=1,SUMPRODUCT(--($AK$2:$AK$4001&lt;$AK51))+1,"")</f>
        <v/>
      </c>
      <c r="AJ51" s="18" t="str">
        <f aca="false">IF($D51="","",IF(OR($R51=TRUE(),$R51="TRUE"),1,0))</f>
        <v/>
      </c>
      <c r="AK51" s="18" t="str">
        <f aca="false">IF($AH51=1,IFERROR(VALUE(MID($D51,2,20)),1000000000)+ROW()/10000000,"")</f>
        <v/>
      </c>
    </row>
    <row r="52" customFormat="false" ht="15" hidden="false" customHeight="false" outlineLevel="0" collapsed="false">
      <c r="F52" s="15"/>
      <c r="N52" s="16" t="str">
        <f aca="false">IF($D52="","",M52*Y52/100)</f>
        <v/>
      </c>
      <c r="V52" s="16" t="str">
        <f aca="false">IF($D52="","",Y52*AB52/100)</f>
        <v/>
      </c>
      <c r="W52" s="16" t="str">
        <f aca="false">IF($D52="","",Y52-V52)</f>
        <v/>
      </c>
      <c r="X52" s="16" t="str">
        <f aca="false">IF($D52="","",W52-N52)</f>
        <v/>
      </c>
      <c r="AB52" s="17" t="str">
        <f aca="false">IF($D52="","",IF(OR($R52=TRUE(),$R52="TRUE"),Settings!$C$6,Settings!$C$7)*100)</f>
        <v/>
      </c>
      <c r="AH52" s="18" t="str">
        <f aca="false">IF($D52="","",IF(COUNTIF($D$2:$D52,$D52)=1,1,0))</f>
        <v/>
      </c>
      <c r="AI52" s="18" t="str">
        <f aca="false">IF($AH52=1,SUMPRODUCT(--($AK$2:$AK$4001&lt;$AK52))+1,"")</f>
        <v/>
      </c>
      <c r="AJ52" s="18" t="str">
        <f aca="false">IF($D52="","",IF(OR($R52=TRUE(),$R52="TRUE"),1,0))</f>
        <v/>
      </c>
      <c r="AK52" s="18" t="str">
        <f aca="false">IF($AH52=1,IFERROR(VALUE(MID($D52,2,20)),1000000000)+ROW()/10000000,"")</f>
        <v/>
      </c>
    </row>
    <row r="53" customFormat="false" ht="15" hidden="false" customHeight="false" outlineLevel="0" collapsed="false">
      <c r="F53" s="15"/>
      <c r="N53" s="16" t="str">
        <f aca="false">IF($D53="","",M53*Y53/100)</f>
        <v/>
      </c>
      <c r="V53" s="16" t="str">
        <f aca="false">IF($D53="","",Y53*AB53/100)</f>
        <v/>
      </c>
      <c r="W53" s="16" t="str">
        <f aca="false">IF($D53="","",Y53-V53)</f>
        <v/>
      </c>
      <c r="X53" s="16" t="str">
        <f aca="false">IF($D53="","",W53-N53)</f>
        <v/>
      </c>
      <c r="AB53" s="17" t="str">
        <f aca="false">IF($D53="","",IF(OR($R53=TRUE(),$R53="TRUE"),Settings!$C$6,Settings!$C$7)*100)</f>
        <v/>
      </c>
      <c r="AH53" s="18" t="str">
        <f aca="false">IF($D53="","",IF(COUNTIF($D$2:$D53,$D53)=1,1,0))</f>
        <v/>
      </c>
      <c r="AI53" s="18" t="str">
        <f aca="false">IF($AH53=1,SUMPRODUCT(--($AK$2:$AK$4001&lt;$AK53))+1,"")</f>
        <v/>
      </c>
      <c r="AJ53" s="18" t="str">
        <f aca="false">IF($D53="","",IF(OR($R53=TRUE(),$R53="TRUE"),1,0))</f>
        <v/>
      </c>
      <c r="AK53" s="18" t="str">
        <f aca="false">IF($AH53=1,IFERROR(VALUE(MID($D53,2,20)),1000000000)+ROW()/10000000,"")</f>
        <v/>
      </c>
    </row>
    <row r="54" customFormat="false" ht="15" hidden="false" customHeight="false" outlineLevel="0" collapsed="false">
      <c r="F54" s="15"/>
      <c r="N54" s="16" t="str">
        <f aca="false">IF($D54="","",M54*Y54/100)</f>
        <v/>
      </c>
      <c r="V54" s="16" t="str">
        <f aca="false">IF($D54="","",Y54*AB54/100)</f>
        <v/>
      </c>
      <c r="W54" s="16" t="str">
        <f aca="false">IF($D54="","",Y54-V54)</f>
        <v/>
      </c>
      <c r="X54" s="16" t="str">
        <f aca="false">IF($D54="","",W54-N54)</f>
        <v/>
      </c>
      <c r="AB54" s="17" t="str">
        <f aca="false">IF($D54="","",IF(OR($R54=TRUE(),$R54="TRUE"),Settings!$C$6,Settings!$C$7)*100)</f>
        <v/>
      </c>
      <c r="AH54" s="18" t="str">
        <f aca="false">IF($D54="","",IF(COUNTIF($D$2:$D54,$D54)=1,1,0))</f>
        <v/>
      </c>
      <c r="AI54" s="18" t="str">
        <f aca="false">IF($AH54=1,SUMPRODUCT(--($AK$2:$AK$4001&lt;$AK54))+1,"")</f>
        <v/>
      </c>
      <c r="AJ54" s="18" t="str">
        <f aca="false">IF($D54="","",IF(OR($R54=TRUE(),$R54="TRUE"),1,0))</f>
        <v/>
      </c>
      <c r="AK54" s="18" t="str">
        <f aca="false">IF($AH54=1,IFERROR(VALUE(MID($D54,2,20)),1000000000)+ROW()/10000000,"")</f>
        <v/>
      </c>
    </row>
    <row r="55" customFormat="false" ht="15" hidden="false" customHeight="false" outlineLevel="0" collapsed="false">
      <c r="F55" s="15"/>
      <c r="N55" s="16" t="str">
        <f aca="false">IF($D55="","",M55*Y55/100)</f>
        <v/>
      </c>
      <c r="V55" s="16" t="str">
        <f aca="false">IF($D55="","",Y55*AB55/100)</f>
        <v/>
      </c>
      <c r="W55" s="16" t="str">
        <f aca="false">IF($D55="","",Y55-V55)</f>
        <v/>
      </c>
      <c r="X55" s="16" t="str">
        <f aca="false">IF($D55="","",W55-N55)</f>
        <v/>
      </c>
      <c r="AB55" s="17" t="str">
        <f aca="false">IF($D55="","",IF(OR($R55=TRUE(),$R55="TRUE"),Settings!$C$6,Settings!$C$7)*100)</f>
        <v/>
      </c>
      <c r="AH55" s="18" t="str">
        <f aca="false">IF($D55="","",IF(COUNTIF($D$2:$D55,$D55)=1,1,0))</f>
        <v/>
      </c>
      <c r="AI55" s="18" t="str">
        <f aca="false">IF($AH55=1,SUMPRODUCT(--($AK$2:$AK$4001&lt;$AK55))+1,"")</f>
        <v/>
      </c>
      <c r="AJ55" s="18" t="str">
        <f aca="false">IF($D55="","",IF(OR($R55=TRUE(),$R55="TRUE"),1,0))</f>
        <v/>
      </c>
      <c r="AK55" s="18" t="str">
        <f aca="false">IF($AH55=1,IFERROR(VALUE(MID($D55,2,20)),1000000000)+ROW()/10000000,"")</f>
        <v/>
      </c>
    </row>
    <row r="56" customFormat="false" ht="15" hidden="false" customHeight="false" outlineLevel="0" collapsed="false">
      <c r="F56" s="15"/>
      <c r="N56" s="16" t="str">
        <f aca="false">IF($D56="","",M56*Y56/100)</f>
        <v/>
      </c>
      <c r="V56" s="16" t="str">
        <f aca="false">IF($D56="","",Y56*AB56/100)</f>
        <v/>
      </c>
      <c r="W56" s="16" t="str">
        <f aca="false">IF($D56="","",Y56-V56)</f>
        <v/>
      </c>
      <c r="X56" s="16" t="str">
        <f aca="false">IF($D56="","",W56-N56)</f>
        <v/>
      </c>
      <c r="AB56" s="17" t="str">
        <f aca="false">IF($D56="","",IF(OR($R56=TRUE(),$R56="TRUE"),Settings!$C$6,Settings!$C$7)*100)</f>
        <v/>
      </c>
      <c r="AH56" s="18" t="str">
        <f aca="false">IF($D56="","",IF(COUNTIF($D$2:$D56,$D56)=1,1,0))</f>
        <v/>
      </c>
      <c r="AI56" s="18" t="str">
        <f aca="false">IF($AH56=1,SUMPRODUCT(--($AK$2:$AK$4001&lt;$AK56))+1,"")</f>
        <v/>
      </c>
      <c r="AJ56" s="18" t="str">
        <f aca="false">IF($D56="","",IF(OR($R56=TRUE(),$R56="TRUE"),1,0))</f>
        <v/>
      </c>
      <c r="AK56" s="18" t="str">
        <f aca="false">IF($AH56=1,IFERROR(VALUE(MID($D56,2,20)),1000000000)+ROW()/10000000,"")</f>
        <v/>
      </c>
    </row>
    <row r="57" customFormat="false" ht="15" hidden="false" customHeight="false" outlineLevel="0" collapsed="false">
      <c r="F57" s="15"/>
      <c r="N57" s="16" t="str">
        <f aca="false">IF($D57="","",M57*Y57/100)</f>
        <v/>
      </c>
      <c r="V57" s="16" t="str">
        <f aca="false">IF($D57="","",Y57*AB57/100)</f>
        <v/>
      </c>
      <c r="W57" s="16" t="str">
        <f aca="false">IF($D57="","",Y57-V57)</f>
        <v/>
      </c>
      <c r="X57" s="16" t="str">
        <f aca="false">IF($D57="","",W57-N57)</f>
        <v/>
      </c>
      <c r="AB57" s="17" t="str">
        <f aca="false">IF($D57="","",IF(OR($R57=TRUE(),$R57="TRUE"),Settings!$C$6,Settings!$C$7)*100)</f>
        <v/>
      </c>
      <c r="AH57" s="18" t="str">
        <f aca="false">IF($D57="","",IF(COUNTIF($D$2:$D57,$D57)=1,1,0))</f>
        <v/>
      </c>
      <c r="AI57" s="18" t="str">
        <f aca="false">IF($AH57=1,SUMPRODUCT(--($AK$2:$AK$4001&lt;$AK57))+1,"")</f>
        <v/>
      </c>
      <c r="AJ57" s="18" t="str">
        <f aca="false">IF($D57="","",IF(OR($R57=TRUE(),$R57="TRUE"),1,0))</f>
        <v/>
      </c>
      <c r="AK57" s="18" t="str">
        <f aca="false">IF($AH57=1,IFERROR(VALUE(MID($D57,2,20)),1000000000)+ROW()/10000000,"")</f>
        <v/>
      </c>
    </row>
    <row r="58" customFormat="false" ht="15" hidden="false" customHeight="false" outlineLevel="0" collapsed="false">
      <c r="F58" s="15"/>
      <c r="N58" s="16" t="str">
        <f aca="false">IF($D58="","",M58*Y58/100)</f>
        <v/>
      </c>
      <c r="V58" s="16" t="str">
        <f aca="false">IF($D58="","",Y58*AB58/100)</f>
        <v/>
      </c>
      <c r="W58" s="16" t="str">
        <f aca="false">IF($D58="","",Y58-V58)</f>
        <v/>
      </c>
      <c r="X58" s="16" t="str">
        <f aca="false">IF($D58="","",W58-N58)</f>
        <v/>
      </c>
      <c r="AB58" s="17" t="str">
        <f aca="false">IF($D58="","",IF(OR($R58=TRUE(),$R58="TRUE"),Settings!$C$6,Settings!$C$7)*100)</f>
        <v/>
      </c>
      <c r="AH58" s="18" t="str">
        <f aca="false">IF($D58="","",IF(COUNTIF($D$2:$D58,$D58)=1,1,0))</f>
        <v/>
      </c>
      <c r="AI58" s="18" t="str">
        <f aca="false">IF($AH58=1,SUMPRODUCT(--($AK$2:$AK$4001&lt;$AK58))+1,"")</f>
        <v/>
      </c>
      <c r="AJ58" s="18" t="str">
        <f aca="false">IF($D58="","",IF(OR($R58=TRUE(),$R58="TRUE"),1,0))</f>
        <v/>
      </c>
      <c r="AK58" s="18" t="str">
        <f aca="false">IF($AH58=1,IFERROR(VALUE(MID($D58,2,20)),1000000000)+ROW()/10000000,"")</f>
        <v/>
      </c>
    </row>
    <row r="59" customFormat="false" ht="15" hidden="false" customHeight="false" outlineLevel="0" collapsed="false">
      <c r="F59" s="15"/>
      <c r="N59" s="16" t="str">
        <f aca="false">IF($D59="","",M59*Y59/100)</f>
        <v/>
      </c>
      <c r="V59" s="16" t="str">
        <f aca="false">IF($D59="","",Y59*AB59/100)</f>
        <v/>
      </c>
      <c r="W59" s="16" t="str">
        <f aca="false">IF($D59="","",Y59-V59)</f>
        <v/>
      </c>
      <c r="X59" s="16" t="str">
        <f aca="false">IF($D59="","",W59-N59)</f>
        <v/>
      </c>
      <c r="AB59" s="17" t="str">
        <f aca="false">IF($D59="","",IF(OR($R59=TRUE(),$R59="TRUE"),Settings!$C$6,Settings!$C$7)*100)</f>
        <v/>
      </c>
      <c r="AH59" s="18" t="str">
        <f aca="false">IF($D59="","",IF(COUNTIF($D$2:$D59,$D59)=1,1,0))</f>
        <v/>
      </c>
      <c r="AI59" s="18" t="str">
        <f aca="false">IF($AH59=1,SUMPRODUCT(--($AK$2:$AK$4001&lt;$AK59))+1,"")</f>
        <v/>
      </c>
      <c r="AJ59" s="18" t="str">
        <f aca="false">IF($D59="","",IF(OR($R59=TRUE(),$R59="TRUE"),1,0))</f>
        <v/>
      </c>
      <c r="AK59" s="18" t="str">
        <f aca="false">IF($AH59=1,IFERROR(VALUE(MID($D59,2,20)),1000000000)+ROW()/10000000,"")</f>
        <v/>
      </c>
    </row>
    <row r="60" customFormat="false" ht="15" hidden="false" customHeight="false" outlineLevel="0" collapsed="false">
      <c r="F60" s="15"/>
      <c r="N60" s="16" t="str">
        <f aca="false">IF($D60="","",M60*Y60/100)</f>
        <v/>
      </c>
      <c r="V60" s="16" t="str">
        <f aca="false">IF($D60="","",Y60*AB60/100)</f>
        <v/>
      </c>
      <c r="W60" s="16" t="str">
        <f aca="false">IF($D60="","",Y60-V60)</f>
        <v/>
      </c>
      <c r="X60" s="16" t="str">
        <f aca="false">IF($D60="","",W60-N60)</f>
        <v/>
      </c>
      <c r="AB60" s="17" t="str">
        <f aca="false">IF($D60="","",IF(OR($R60=TRUE(),$R60="TRUE"),Settings!$C$6,Settings!$C$7)*100)</f>
        <v/>
      </c>
      <c r="AH60" s="18" t="str">
        <f aca="false">IF($D60="","",IF(COUNTIF($D$2:$D60,$D60)=1,1,0))</f>
        <v/>
      </c>
      <c r="AI60" s="18" t="str">
        <f aca="false">IF($AH60=1,SUMPRODUCT(--($AK$2:$AK$4001&lt;$AK60))+1,"")</f>
        <v/>
      </c>
      <c r="AJ60" s="18" t="str">
        <f aca="false">IF($D60="","",IF(OR($R60=TRUE(),$R60="TRUE"),1,0))</f>
        <v/>
      </c>
      <c r="AK60" s="18" t="str">
        <f aca="false">IF($AH60=1,IFERROR(VALUE(MID($D60,2,20)),1000000000)+ROW()/10000000,"")</f>
        <v/>
      </c>
    </row>
    <row r="61" customFormat="false" ht="15" hidden="false" customHeight="false" outlineLevel="0" collapsed="false">
      <c r="F61" s="15"/>
      <c r="N61" s="16" t="str">
        <f aca="false">IF($D61="","",M61*Y61/100)</f>
        <v/>
      </c>
      <c r="V61" s="16" t="str">
        <f aca="false">IF($D61="","",Y61*AB61/100)</f>
        <v/>
      </c>
      <c r="W61" s="16" t="str">
        <f aca="false">IF($D61="","",Y61-V61)</f>
        <v/>
      </c>
      <c r="X61" s="16" t="str">
        <f aca="false">IF($D61="","",W61-N61)</f>
        <v/>
      </c>
      <c r="AB61" s="17" t="str">
        <f aca="false">IF($D61="","",IF(OR($R61=TRUE(),$R61="TRUE"),Settings!$C$6,Settings!$C$7)*100)</f>
        <v/>
      </c>
      <c r="AH61" s="18" t="str">
        <f aca="false">IF($D61="","",IF(COUNTIF($D$2:$D61,$D61)=1,1,0))</f>
        <v/>
      </c>
      <c r="AI61" s="18" t="str">
        <f aca="false">IF($AH61=1,SUMPRODUCT(--($AK$2:$AK$4001&lt;$AK61))+1,"")</f>
        <v/>
      </c>
      <c r="AJ61" s="18" t="str">
        <f aca="false">IF($D61="","",IF(OR($R61=TRUE(),$R61="TRUE"),1,0))</f>
        <v/>
      </c>
      <c r="AK61" s="18" t="str">
        <f aca="false">IF($AH61=1,IFERROR(VALUE(MID($D61,2,20)),1000000000)+ROW()/10000000,"")</f>
        <v/>
      </c>
    </row>
    <row r="62" customFormat="false" ht="15" hidden="false" customHeight="false" outlineLevel="0" collapsed="false">
      <c r="F62" s="15"/>
      <c r="N62" s="16" t="str">
        <f aca="false">IF($D62="","",M62*Y62/100)</f>
        <v/>
      </c>
      <c r="V62" s="16" t="str">
        <f aca="false">IF($D62="","",Y62*AB62/100)</f>
        <v/>
      </c>
      <c r="W62" s="16" t="str">
        <f aca="false">IF($D62="","",Y62-V62)</f>
        <v/>
      </c>
      <c r="X62" s="16" t="str">
        <f aca="false">IF($D62="","",W62-N62)</f>
        <v/>
      </c>
      <c r="AB62" s="17" t="str">
        <f aca="false">IF($D62="","",IF(OR($R62=TRUE(),$R62="TRUE"),Settings!$C$6,Settings!$C$7)*100)</f>
        <v/>
      </c>
      <c r="AH62" s="18" t="str">
        <f aca="false">IF($D62="","",IF(COUNTIF($D$2:$D62,$D62)=1,1,0))</f>
        <v/>
      </c>
      <c r="AI62" s="18" t="str">
        <f aca="false">IF($AH62=1,SUMPRODUCT(--($AK$2:$AK$4001&lt;$AK62))+1,"")</f>
        <v/>
      </c>
      <c r="AJ62" s="18" t="str">
        <f aca="false">IF($D62="","",IF(OR($R62=TRUE(),$R62="TRUE"),1,0))</f>
        <v/>
      </c>
      <c r="AK62" s="18" t="str">
        <f aca="false">IF($AH62=1,IFERROR(VALUE(MID($D62,2,20)),1000000000)+ROW()/10000000,"")</f>
        <v/>
      </c>
    </row>
    <row r="63" customFormat="false" ht="15" hidden="false" customHeight="false" outlineLevel="0" collapsed="false">
      <c r="F63" s="15"/>
      <c r="N63" s="16" t="str">
        <f aca="false">IF($D63="","",M63*Y63/100)</f>
        <v/>
      </c>
      <c r="V63" s="16" t="str">
        <f aca="false">IF($D63="","",Y63*AB63/100)</f>
        <v/>
      </c>
      <c r="W63" s="16" t="str">
        <f aca="false">IF($D63="","",Y63-V63)</f>
        <v/>
      </c>
      <c r="X63" s="16" t="str">
        <f aca="false">IF($D63="","",W63-N63)</f>
        <v/>
      </c>
      <c r="AB63" s="17" t="str">
        <f aca="false">IF($D63="","",IF(OR($R63=TRUE(),$R63="TRUE"),Settings!$C$6,Settings!$C$7)*100)</f>
        <v/>
      </c>
      <c r="AH63" s="18" t="str">
        <f aca="false">IF($D63="","",IF(COUNTIF($D$2:$D63,$D63)=1,1,0))</f>
        <v/>
      </c>
      <c r="AI63" s="18" t="str">
        <f aca="false">IF($AH63=1,SUMPRODUCT(--($AK$2:$AK$4001&lt;$AK63))+1,"")</f>
        <v/>
      </c>
      <c r="AJ63" s="18" t="str">
        <f aca="false">IF($D63="","",IF(OR($R63=TRUE(),$R63="TRUE"),1,0))</f>
        <v/>
      </c>
      <c r="AK63" s="18" t="str">
        <f aca="false">IF($AH63=1,IFERROR(VALUE(MID($D63,2,20)),1000000000)+ROW()/10000000,"")</f>
        <v/>
      </c>
    </row>
    <row r="64" customFormat="false" ht="15" hidden="false" customHeight="false" outlineLevel="0" collapsed="false">
      <c r="F64" s="15"/>
      <c r="N64" s="16" t="str">
        <f aca="false">IF($D64="","",M64*Y64/100)</f>
        <v/>
      </c>
      <c r="V64" s="16" t="str">
        <f aca="false">IF($D64="","",Y64*AB64/100)</f>
        <v/>
      </c>
      <c r="W64" s="16" t="str">
        <f aca="false">IF($D64="","",Y64-V64)</f>
        <v/>
      </c>
      <c r="X64" s="16" t="str">
        <f aca="false">IF($D64="","",W64-N64)</f>
        <v/>
      </c>
      <c r="AB64" s="17" t="str">
        <f aca="false">IF($D64="","",IF(OR($R64=TRUE(),$R64="TRUE"),Settings!$C$6,Settings!$C$7)*100)</f>
        <v/>
      </c>
      <c r="AH64" s="18" t="str">
        <f aca="false">IF($D64="","",IF(COUNTIF($D$2:$D64,$D64)=1,1,0))</f>
        <v/>
      </c>
      <c r="AI64" s="18" t="str">
        <f aca="false">IF($AH64=1,SUMPRODUCT(--($AK$2:$AK$4001&lt;$AK64))+1,"")</f>
        <v/>
      </c>
      <c r="AJ64" s="18" t="str">
        <f aca="false">IF($D64="","",IF(OR($R64=TRUE(),$R64="TRUE"),1,0))</f>
        <v/>
      </c>
      <c r="AK64" s="18" t="str">
        <f aca="false">IF($AH64=1,IFERROR(VALUE(MID($D64,2,20)),1000000000)+ROW()/10000000,"")</f>
        <v/>
      </c>
    </row>
    <row r="65" customFormat="false" ht="15" hidden="false" customHeight="false" outlineLevel="0" collapsed="false">
      <c r="F65" s="15"/>
      <c r="N65" s="16" t="str">
        <f aca="false">IF($D65="","",M65*Y65/100)</f>
        <v/>
      </c>
      <c r="V65" s="16" t="str">
        <f aca="false">IF($D65="","",Y65*AB65/100)</f>
        <v/>
      </c>
      <c r="W65" s="16" t="str">
        <f aca="false">IF($D65="","",Y65-V65)</f>
        <v/>
      </c>
      <c r="X65" s="16" t="str">
        <f aca="false">IF($D65="","",W65-N65)</f>
        <v/>
      </c>
      <c r="AB65" s="17" t="str">
        <f aca="false">IF($D65="","",IF(OR($R65=TRUE(),$R65="TRUE"),Settings!$C$6,Settings!$C$7)*100)</f>
        <v/>
      </c>
      <c r="AH65" s="18" t="str">
        <f aca="false">IF($D65="","",IF(COUNTIF($D$2:$D65,$D65)=1,1,0))</f>
        <v/>
      </c>
      <c r="AI65" s="18" t="str">
        <f aca="false">IF($AH65=1,SUMPRODUCT(--($AK$2:$AK$4001&lt;$AK65))+1,"")</f>
        <v/>
      </c>
      <c r="AJ65" s="18" t="str">
        <f aca="false">IF($D65="","",IF(OR($R65=TRUE(),$R65="TRUE"),1,0))</f>
        <v/>
      </c>
      <c r="AK65" s="18" t="str">
        <f aca="false">IF($AH65=1,IFERROR(VALUE(MID($D65,2,20)),1000000000)+ROW()/10000000,"")</f>
        <v/>
      </c>
    </row>
    <row r="66" customFormat="false" ht="15" hidden="false" customHeight="false" outlineLevel="0" collapsed="false">
      <c r="F66" s="15"/>
      <c r="N66" s="16" t="str">
        <f aca="false">IF($D66="","",M66*Y66/100)</f>
        <v/>
      </c>
      <c r="V66" s="16" t="str">
        <f aca="false">IF($D66="","",Y66*AB66/100)</f>
        <v/>
      </c>
      <c r="W66" s="16" t="str">
        <f aca="false">IF($D66="","",Y66-V66)</f>
        <v/>
      </c>
      <c r="X66" s="16" t="str">
        <f aca="false">IF($D66="","",W66-N66)</f>
        <v/>
      </c>
      <c r="AB66" s="17" t="str">
        <f aca="false">IF($D66="","",IF(OR($R66=TRUE(),$R66="TRUE"),Settings!$C$6,Settings!$C$7)*100)</f>
        <v/>
      </c>
      <c r="AH66" s="18" t="str">
        <f aca="false">IF($D66="","",IF(COUNTIF($D$2:$D66,$D66)=1,1,0))</f>
        <v/>
      </c>
      <c r="AI66" s="18" t="str">
        <f aca="false">IF($AH66=1,SUMPRODUCT(--($AK$2:$AK$4001&lt;$AK66))+1,"")</f>
        <v/>
      </c>
      <c r="AJ66" s="18" t="str">
        <f aca="false">IF($D66="","",IF(OR($R66=TRUE(),$R66="TRUE"),1,0))</f>
        <v/>
      </c>
      <c r="AK66" s="18" t="str">
        <f aca="false">IF($AH66=1,IFERROR(VALUE(MID($D66,2,20)),1000000000)+ROW()/10000000,"")</f>
        <v/>
      </c>
    </row>
    <row r="67" customFormat="false" ht="15" hidden="false" customHeight="false" outlineLevel="0" collapsed="false">
      <c r="F67" s="15"/>
      <c r="N67" s="16" t="str">
        <f aca="false">IF($D67="","",M67*Y67/100)</f>
        <v/>
      </c>
      <c r="V67" s="16" t="str">
        <f aca="false">IF($D67="","",Y67*AB67/100)</f>
        <v/>
      </c>
      <c r="W67" s="16" t="str">
        <f aca="false">IF($D67="","",Y67-V67)</f>
        <v/>
      </c>
      <c r="X67" s="16" t="str">
        <f aca="false">IF($D67="","",W67-N67)</f>
        <v/>
      </c>
      <c r="AB67" s="17" t="str">
        <f aca="false">IF($D67="","",IF(OR($R67=TRUE(),$R67="TRUE"),Settings!$C$6,Settings!$C$7)*100)</f>
        <v/>
      </c>
      <c r="AH67" s="18" t="str">
        <f aca="false">IF($D67="","",IF(COUNTIF($D$2:$D67,$D67)=1,1,0))</f>
        <v/>
      </c>
      <c r="AI67" s="18" t="str">
        <f aca="false">IF($AH67=1,SUMPRODUCT(--($AK$2:$AK$4001&lt;$AK67))+1,"")</f>
        <v/>
      </c>
      <c r="AJ67" s="18" t="str">
        <f aca="false">IF($D67="","",IF(OR($R67=TRUE(),$R67="TRUE"),1,0))</f>
        <v/>
      </c>
      <c r="AK67" s="18" t="str">
        <f aca="false">IF($AH67=1,IFERROR(VALUE(MID($D67,2,20)),1000000000)+ROW()/10000000,"")</f>
        <v/>
      </c>
    </row>
    <row r="68" customFormat="false" ht="15" hidden="false" customHeight="false" outlineLevel="0" collapsed="false">
      <c r="F68" s="15"/>
      <c r="N68" s="16" t="str">
        <f aca="false">IF($D68="","",M68*Y68/100)</f>
        <v/>
      </c>
      <c r="V68" s="16" t="str">
        <f aca="false">IF($D68="","",Y68*AB68/100)</f>
        <v/>
      </c>
      <c r="W68" s="16" t="str">
        <f aca="false">IF($D68="","",Y68-V68)</f>
        <v/>
      </c>
      <c r="X68" s="16" t="str">
        <f aca="false">IF($D68="","",W68-N68)</f>
        <v/>
      </c>
      <c r="AB68" s="17" t="str">
        <f aca="false">IF($D68="","",IF(OR($R68=TRUE(),$R68="TRUE"),Settings!$C$6,Settings!$C$7)*100)</f>
        <v/>
      </c>
      <c r="AH68" s="18" t="str">
        <f aca="false">IF($D68="","",IF(COUNTIF($D$2:$D68,$D68)=1,1,0))</f>
        <v/>
      </c>
      <c r="AI68" s="18" t="str">
        <f aca="false">IF($AH68=1,SUMPRODUCT(--($AK$2:$AK$4001&lt;$AK68))+1,"")</f>
        <v/>
      </c>
      <c r="AJ68" s="18" t="str">
        <f aca="false">IF($D68="","",IF(OR($R68=TRUE(),$R68="TRUE"),1,0))</f>
        <v/>
      </c>
      <c r="AK68" s="18" t="str">
        <f aca="false">IF($AH68=1,IFERROR(VALUE(MID($D68,2,20)),1000000000)+ROW()/10000000,"")</f>
        <v/>
      </c>
    </row>
    <row r="69" customFormat="false" ht="15" hidden="false" customHeight="false" outlineLevel="0" collapsed="false">
      <c r="F69" s="15"/>
      <c r="N69" s="16" t="str">
        <f aca="false">IF($D69="","",M69*Y69/100)</f>
        <v/>
      </c>
      <c r="V69" s="16" t="str">
        <f aca="false">IF($D69="","",Y69*AB69/100)</f>
        <v/>
      </c>
      <c r="W69" s="16" t="str">
        <f aca="false">IF($D69="","",Y69-V69)</f>
        <v/>
      </c>
      <c r="X69" s="16" t="str">
        <f aca="false">IF($D69="","",W69-N69)</f>
        <v/>
      </c>
      <c r="AB69" s="17" t="str">
        <f aca="false">IF($D69="","",IF(OR($R69=TRUE(),$R69="TRUE"),Settings!$C$6,Settings!$C$7)*100)</f>
        <v/>
      </c>
      <c r="AH69" s="18" t="str">
        <f aca="false">IF($D69="","",IF(COUNTIF($D$2:$D69,$D69)=1,1,0))</f>
        <v/>
      </c>
      <c r="AI69" s="18" t="str">
        <f aca="false">IF($AH69=1,SUMPRODUCT(--($AK$2:$AK$4001&lt;$AK69))+1,"")</f>
        <v/>
      </c>
      <c r="AJ69" s="18" t="str">
        <f aca="false">IF($D69="","",IF(OR($R69=TRUE(),$R69="TRUE"),1,0))</f>
        <v/>
      </c>
      <c r="AK69" s="18" t="str">
        <f aca="false">IF($AH69=1,IFERROR(VALUE(MID($D69,2,20)),1000000000)+ROW()/10000000,"")</f>
        <v/>
      </c>
    </row>
    <row r="70" customFormat="false" ht="15" hidden="false" customHeight="false" outlineLevel="0" collapsed="false">
      <c r="F70" s="15"/>
      <c r="N70" s="16" t="str">
        <f aca="false">IF($D70="","",M70*Y70/100)</f>
        <v/>
      </c>
      <c r="V70" s="16" t="str">
        <f aca="false">IF($D70="","",Y70*AB70/100)</f>
        <v/>
      </c>
      <c r="W70" s="16" t="str">
        <f aca="false">IF($D70="","",Y70-V70)</f>
        <v/>
      </c>
      <c r="X70" s="16" t="str">
        <f aca="false">IF($D70="","",W70-N70)</f>
        <v/>
      </c>
      <c r="AB70" s="17" t="str">
        <f aca="false">IF($D70="","",IF(OR($R70=TRUE(),$R70="TRUE"),Settings!$C$6,Settings!$C$7)*100)</f>
        <v/>
      </c>
      <c r="AH70" s="18" t="str">
        <f aca="false">IF($D70="","",IF(COUNTIF($D$2:$D70,$D70)=1,1,0))</f>
        <v/>
      </c>
      <c r="AI70" s="18" t="str">
        <f aca="false">IF($AH70=1,SUMPRODUCT(--($AK$2:$AK$4001&lt;$AK70))+1,"")</f>
        <v/>
      </c>
      <c r="AJ70" s="18" t="str">
        <f aca="false">IF($D70="","",IF(OR($R70=TRUE(),$R70="TRUE"),1,0))</f>
        <v/>
      </c>
      <c r="AK70" s="18" t="str">
        <f aca="false">IF($AH70=1,IFERROR(VALUE(MID($D70,2,20)),1000000000)+ROW()/10000000,"")</f>
        <v/>
      </c>
    </row>
    <row r="71" customFormat="false" ht="15" hidden="false" customHeight="false" outlineLevel="0" collapsed="false">
      <c r="F71" s="15"/>
      <c r="N71" s="16" t="str">
        <f aca="false">IF($D71="","",M71*Y71/100)</f>
        <v/>
      </c>
      <c r="V71" s="16" t="str">
        <f aca="false">IF($D71="","",Y71*AB71/100)</f>
        <v/>
      </c>
      <c r="W71" s="16" t="str">
        <f aca="false">IF($D71="","",Y71-V71)</f>
        <v/>
      </c>
      <c r="X71" s="16" t="str">
        <f aca="false">IF($D71="","",W71-N71)</f>
        <v/>
      </c>
      <c r="AB71" s="17" t="str">
        <f aca="false">IF($D71="","",IF(OR($R71=TRUE(),$R71="TRUE"),Settings!$C$6,Settings!$C$7)*100)</f>
        <v/>
      </c>
      <c r="AH71" s="18" t="str">
        <f aca="false">IF($D71="","",IF(COUNTIF($D$2:$D71,$D71)=1,1,0))</f>
        <v/>
      </c>
      <c r="AI71" s="18" t="str">
        <f aca="false">IF($AH71=1,SUMPRODUCT(--($AK$2:$AK$4001&lt;$AK71))+1,"")</f>
        <v/>
      </c>
      <c r="AJ71" s="18" t="str">
        <f aca="false">IF($D71="","",IF(OR($R71=TRUE(),$R71="TRUE"),1,0))</f>
        <v/>
      </c>
      <c r="AK71" s="18" t="str">
        <f aca="false">IF($AH71=1,IFERROR(VALUE(MID($D71,2,20)),1000000000)+ROW()/10000000,"")</f>
        <v/>
      </c>
    </row>
    <row r="72" customFormat="false" ht="15" hidden="false" customHeight="false" outlineLevel="0" collapsed="false">
      <c r="F72" s="15"/>
      <c r="N72" s="16" t="str">
        <f aca="false">IF($D72="","",M72*Y72/100)</f>
        <v/>
      </c>
      <c r="V72" s="16" t="str">
        <f aca="false">IF($D72="","",Y72*AB72/100)</f>
        <v/>
      </c>
      <c r="W72" s="16" t="str">
        <f aca="false">IF($D72="","",Y72-V72)</f>
        <v/>
      </c>
      <c r="X72" s="16" t="str">
        <f aca="false">IF($D72="","",W72-N72)</f>
        <v/>
      </c>
      <c r="AB72" s="17" t="str">
        <f aca="false">IF($D72="","",IF(OR($R72=TRUE(),$R72="TRUE"),Settings!$C$6,Settings!$C$7)*100)</f>
        <v/>
      </c>
      <c r="AH72" s="18" t="str">
        <f aca="false">IF($D72="","",IF(COUNTIF($D$2:$D72,$D72)=1,1,0))</f>
        <v/>
      </c>
      <c r="AI72" s="18" t="str">
        <f aca="false">IF($AH72=1,SUMPRODUCT(--($AK$2:$AK$4001&lt;$AK72))+1,"")</f>
        <v/>
      </c>
      <c r="AJ72" s="18" t="str">
        <f aca="false">IF($D72="","",IF(OR($R72=TRUE(),$R72="TRUE"),1,0))</f>
        <v/>
      </c>
      <c r="AK72" s="18" t="str">
        <f aca="false">IF($AH72=1,IFERROR(VALUE(MID($D72,2,20)),1000000000)+ROW()/10000000,"")</f>
        <v/>
      </c>
    </row>
    <row r="73" customFormat="false" ht="15" hidden="false" customHeight="false" outlineLevel="0" collapsed="false">
      <c r="F73" s="15"/>
      <c r="N73" s="16" t="str">
        <f aca="false">IF($D73="","",M73*Y73/100)</f>
        <v/>
      </c>
      <c r="V73" s="16" t="str">
        <f aca="false">IF($D73="","",Y73*AB73/100)</f>
        <v/>
      </c>
      <c r="W73" s="16" t="str">
        <f aca="false">IF($D73="","",Y73-V73)</f>
        <v/>
      </c>
      <c r="X73" s="16" t="str">
        <f aca="false">IF($D73="","",W73-N73)</f>
        <v/>
      </c>
      <c r="AB73" s="17" t="str">
        <f aca="false">IF($D73="","",IF(OR($R73=TRUE(),$R73="TRUE"),Settings!$C$6,Settings!$C$7)*100)</f>
        <v/>
      </c>
      <c r="AH73" s="18" t="str">
        <f aca="false">IF($D73="","",IF(COUNTIF($D$2:$D73,$D73)=1,1,0))</f>
        <v/>
      </c>
      <c r="AI73" s="18" t="str">
        <f aca="false">IF($AH73=1,SUMPRODUCT(--($AK$2:$AK$4001&lt;$AK73))+1,"")</f>
        <v/>
      </c>
      <c r="AJ73" s="18" t="str">
        <f aca="false">IF($D73="","",IF(OR($R73=TRUE(),$R73="TRUE"),1,0))</f>
        <v/>
      </c>
      <c r="AK73" s="18" t="str">
        <f aca="false">IF($AH73=1,IFERROR(VALUE(MID($D73,2,20)),1000000000)+ROW()/10000000,"")</f>
        <v/>
      </c>
    </row>
    <row r="74" customFormat="false" ht="15" hidden="false" customHeight="false" outlineLevel="0" collapsed="false">
      <c r="F74" s="15"/>
      <c r="N74" s="16" t="str">
        <f aca="false">IF($D74="","",M74*Y74/100)</f>
        <v/>
      </c>
      <c r="V74" s="16" t="str">
        <f aca="false">IF($D74="","",Y74*AB74/100)</f>
        <v/>
      </c>
      <c r="W74" s="16" t="str">
        <f aca="false">IF($D74="","",Y74-V74)</f>
        <v/>
      </c>
      <c r="X74" s="16" t="str">
        <f aca="false">IF($D74="","",W74-N74)</f>
        <v/>
      </c>
      <c r="AB74" s="17" t="str">
        <f aca="false">IF($D74="","",IF(OR($R74=TRUE(),$R74="TRUE"),Settings!$C$6,Settings!$C$7)*100)</f>
        <v/>
      </c>
      <c r="AH74" s="18" t="str">
        <f aca="false">IF($D74="","",IF(COUNTIF($D$2:$D74,$D74)=1,1,0))</f>
        <v/>
      </c>
      <c r="AI74" s="18" t="str">
        <f aca="false">IF($AH74=1,SUMPRODUCT(--($AK$2:$AK$4001&lt;$AK74))+1,"")</f>
        <v/>
      </c>
      <c r="AJ74" s="18" t="str">
        <f aca="false">IF($D74="","",IF(OR($R74=TRUE(),$R74="TRUE"),1,0))</f>
        <v/>
      </c>
      <c r="AK74" s="18" t="str">
        <f aca="false">IF($AH74=1,IFERROR(VALUE(MID($D74,2,20)),1000000000)+ROW()/10000000,"")</f>
        <v/>
      </c>
    </row>
    <row r="75" customFormat="false" ht="15" hidden="false" customHeight="false" outlineLevel="0" collapsed="false">
      <c r="F75" s="15"/>
      <c r="N75" s="16" t="str">
        <f aca="false">IF($D75="","",M75*Y75/100)</f>
        <v/>
      </c>
      <c r="V75" s="16" t="str">
        <f aca="false">IF($D75="","",Y75*AB75/100)</f>
        <v/>
      </c>
      <c r="W75" s="16" t="str">
        <f aca="false">IF($D75="","",Y75-V75)</f>
        <v/>
      </c>
      <c r="X75" s="16" t="str">
        <f aca="false">IF($D75="","",W75-N75)</f>
        <v/>
      </c>
      <c r="AB75" s="17" t="str">
        <f aca="false">IF($D75="","",IF(OR($R75=TRUE(),$R75="TRUE"),Settings!$C$6,Settings!$C$7)*100)</f>
        <v/>
      </c>
      <c r="AH75" s="18" t="str">
        <f aca="false">IF($D75="","",IF(COUNTIF($D$2:$D75,$D75)=1,1,0))</f>
        <v/>
      </c>
      <c r="AI75" s="18" t="str">
        <f aca="false">IF($AH75=1,SUMPRODUCT(--($AK$2:$AK$4001&lt;$AK75))+1,"")</f>
        <v/>
      </c>
      <c r="AJ75" s="18" t="str">
        <f aca="false">IF($D75="","",IF(OR($R75=TRUE(),$R75="TRUE"),1,0))</f>
        <v/>
      </c>
      <c r="AK75" s="18" t="str">
        <f aca="false">IF($AH75=1,IFERROR(VALUE(MID($D75,2,20)),1000000000)+ROW()/10000000,"")</f>
        <v/>
      </c>
    </row>
    <row r="76" customFormat="false" ht="15" hidden="false" customHeight="false" outlineLevel="0" collapsed="false">
      <c r="F76" s="15"/>
      <c r="N76" s="16" t="str">
        <f aca="false">IF($D76="","",M76*Y76/100)</f>
        <v/>
      </c>
      <c r="V76" s="16" t="str">
        <f aca="false">IF($D76="","",Y76*AB76/100)</f>
        <v/>
      </c>
      <c r="W76" s="16" t="str">
        <f aca="false">IF($D76="","",Y76-V76)</f>
        <v/>
      </c>
      <c r="X76" s="16" t="str">
        <f aca="false">IF($D76="","",W76-N76)</f>
        <v/>
      </c>
      <c r="AB76" s="17" t="str">
        <f aca="false">IF($D76="","",IF(OR($R76=TRUE(),$R76="TRUE"),Settings!$C$6,Settings!$C$7)*100)</f>
        <v/>
      </c>
      <c r="AH76" s="18" t="str">
        <f aca="false">IF($D76="","",IF(COUNTIF($D$2:$D76,$D76)=1,1,0))</f>
        <v/>
      </c>
      <c r="AI76" s="18" t="str">
        <f aca="false">IF($AH76=1,SUMPRODUCT(--($AK$2:$AK$4001&lt;$AK76))+1,"")</f>
        <v/>
      </c>
      <c r="AJ76" s="18" t="str">
        <f aca="false">IF($D76="","",IF(OR($R76=TRUE(),$R76="TRUE"),1,0))</f>
        <v/>
      </c>
      <c r="AK76" s="18" t="str">
        <f aca="false">IF($AH76=1,IFERROR(VALUE(MID($D76,2,20)),1000000000)+ROW()/10000000,"")</f>
        <v/>
      </c>
    </row>
    <row r="77" customFormat="false" ht="15" hidden="false" customHeight="false" outlineLevel="0" collapsed="false">
      <c r="F77" s="15"/>
      <c r="N77" s="16" t="str">
        <f aca="false">IF($D77="","",M77*Y77/100)</f>
        <v/>
      </c>
      <c r="V77" s="16" t="str">
        <f aca="false">IF($D77="","",Y77*AB77/100)</f>
        <v/>
      </c>
      <c r="W77" s="16" t="str">
        <f aca="false">IF($D77="","",Y77-V77)</f>
        <v/>
      </c>
      <c r="X77" s="16" t="str">
        <f aca="false">IF($D77="","",W77-N77)</f>
        <v/>
      </c>
      <c r="AB77" s="17" t="str">
        <f aca="false">IF($D77="","",IF(OR($R77=TRUE(),$R77="TRUE"),Settings!$C$6,Settings!$C$7)*100)</f>
        <v/>
      </c>
      <c r="AH77" s="18" t="str">
        <f aca="false">IF($D77="","",IF(COUNTIF($D$2:$D77,$D77)=1,1,0))</f>
        <v/>
      </c>
      <c r="AI77" s="18" t="str">
        <f aca="false">IF($AH77=1,SUMPRODUCT(--($AK$2:$AK$4001&lt;$AK77))+1,"")</f>
        <v/>
      </c>
      <c r="AJ77" s="18" t="str">
        <f aca="false">IF($D77="","",IF(OR($R77=TRUE(),$R77="TRUE"),1,0))</f>
        <v/>
      </c>
      <c r="AK77" s="18" t="str">
        <f aca="false">IF($AH77=1,IFERROR(VALUE(MID($D77,2,20)),1000000000)+ROW()/10000000,"")</f>
        <v/>
      </c>
    </row>
    <row r="78" customFormat="false" ht="15" hidden="false" customHeight="false" outlineLevel="0" collapsed="false">
      <c r="F78" s="15"/>
      <c r="N78" s="16" t="str">
        <f aca="false">IF($D78="","",M78*Y78/100)</f>
        <v/>
      </c>
      <c r="V78" s="16" t="str">
        <f aca="false">IF($D78="","",Y78*AB78/100)</f>
        <v/>
      </c>
      <c r="W78" s="16" t="str">
        <f aca="false">IF($D78="","",Y78-V78)</f>
        <v/>
      </c>
      <c r="X78" s="16" t="str">
        <f aca="false">IF($D78="","",W78-N78)</f>
        <v/>
      </c>
      <c r="AB78" s="17" t="str">
        <f aca="false">IF($D78="","",IF(OR($R78=TRUE(),$R78="TRUE"),Settings!$C$6,Settings!$C$7)*100)</f>
        <v/>
      </c>
      <c r="AH78" s="18" t="str">
        <f aca="false">IF($D78="","",IF(COUNTIF($D$2:$D78,$D78)=1,1,0))</f>
        <v/>
      </c>
      <c r="AI78" s="18" t="str">
        <f aca="false">IF($AH78=1,SUMPRODUCT(--($AK$2:$AK$4001&lt;$AK78))+1,"")</f>
        <v/>
      </c>
      <c r="AJ78" s="18" t="str">
        <f aca="false">IF($D78="","",IF(OR($R78=TRUE(),$R78="TRUE"),1,0))</f>
        <v/>
      </c>
      <c r="AK78" s="18" t="str">
        <f aca="false">IF($AH78=1,IFERROR(VALUE(MID($D78,2,20)),1000000000)+ROW()/10000000,"")</f>
        <v/>
      </c>
    </row>
    <row r="79" customFormat="false" ht="15" hidden="false" customHeight="false" outlineLevel="0" collapsed="false">
      <c r="F79" s="15"/>
      <c r="N79" s="16" t="str">
        <f aca="false">IF($D79="","",M79*Y79/100)</f>
        <v/>
      </c>
      <c r="V79" s="16" t="str">
        <f aca="false">IF($D79="","",Y79*AB79/100)</f>
        <v/>
      </c>
      <c r="W79" s="16" t="str">
        <f aca="false">IF($D79="","",Y79-V79)</f>
        <v/>
      </c>
      <c r="X79" s="16" t="str">
        <f aca="false">IF($D79="","",W79-N79)</f>
        <v/>
      </c>
      <c r="AB79" s="17" t="str">
        <f aca="false">IF($D79="","",IF(OR($R79=TRUE(),$R79="TRUE"),Settings!$C$6,Settings!$C$7)*100)</f>
        <v/>
      </c>
      <c r="AH79" s="18" t="str">
        <f aca="false">IF($D79="","",IF(COUNTIF($D$2:$D79,$D79)=1,1,0))</f>
        <v/>
      </c>
      <c r="AI79" s="18" t="str">
        <f aca="false">IF($AH79=1,SUMPRODUCT(--($AK$2:$AK$4001&lt;$AK79))+1,"")</f>
        <v/>
      </c>
      <c r="AJ79" s="18" t="str">
        <f aca="false">IF($D79="","",IF(OR($R79=TRUE(),$R79="TRUE"),1,0))</f>
        <v/>
      </c>
      <c r="AK79" s="18" t="str">
        <f aca="false">IF($AH79=1,IFERROR(VALUE(MID($D79,2,20)),1000000000)+ROW()/10000000,"")</f>
        <v/>
      </c>
    </row>
    <row r="80" customFormat="false" ht="15" hidden="false" customHeight="false" outlineLevel="0" collapsed="false">
      <c r="F80" s="15"/>
      <c r="N80" s="16" t="str">
        <f aca="false">IF($D80="","",M80*Y80/100)</f>
        <v/>
      </c>
      <c r="V80" s="16" t="str">
        <f aca="false">IF($D80="","",Y80*AB80/100)</f>
        <v/>
      </c>
      <c r="W80" s="16" t="str">
        <f aca="false">IF($D80="","",Y80-V80)</f>
        <v/>
      </c>
      <c r="X80" s="16" t="str">
        <f aca="false">IF($D80="","",W80-N80)</f>
        <v/>
      </c>
      <c r="AB80" s="17" t="str">
        <f aca="false">IF($D80="","",IF(OR($R80=TRUE(),$R80="TRUE"),Settings!$C$6,Settings!$C$7)*100)</f>
        <v/>
      </c>
      <c r="AH80" s="18" t="str">
        <f aca="false">IF($D80="","",IF(COUNTIF($D$2:$D80,$D80)=1,1,0))</f>
        <v/>
      </c>
      <c r="AI80" s="18" t="str">
        <f aca="false">IF($AH80=1,SUMPRODUCT(--($AK$2:$AK$4001&lt;$AK80))+1,"")</f>
        <v/>
      </c>
      <c r="AJ80" s="18" t="str">
        <f aca="false">IF($D80="","",IF(OR($R80=TRUE(),$R80="TRUE"),1,0))</f>
        <v/>
      </c>
      <c r="AK80" s="18" t="str">
        <f aca="false">IF($AH80=1,IFERROR(VALUE(MID($D80,2,20)),1000000000)+ROW()/10000000,"")</f>
        <v/>
      </c>
    </row>
    <row r="81" customFormat="false" ht="15" hidden="false" customHeight="false" outlineLevel="0" collapsed="false">
      <c r="F81" s="15"/>
      <c r="N81" s="16" t="str">
        <f aca="false">IF($D81="","",M81*Y81/100)</f>
        <v/>
      </c>
      <c r="V81" s="16" t="str">
        <f aca="false">IF($D81="","",Y81*AB81/100)</f>
        <v/>
      </c>
      <c r="W81" s="16" t="str">
        <f aca="false">IF($D81="","",Y81-V81)</f>
        <v/>
      </c>
      <c r="X81" s="16" t="str">
        <f aca="false">IF($D81="","",W81-N81)</f>
        <v/>
      </c>
      <c r="AB81" s="17" t="str">
        <f aca="false">IF($D81="","",IF(OR($R81=TRUE(),$R81="TRUE"),Settings!$C$6,Settings!$C$7)*100)</f>
        <v/>
      </c>
      <c r="AH81" s="18" t="str">
        <f aca="false">IF($D81="","",IF(COUNTIF($D$2:$D81,$D81)=1,1,0))</f>
        <v/>
      </c>
      <c r="AI81" s="18" t="str">
        <f aca="false">IF($AH81=1,SUMPRODUCT(--($AK$2:$AK$4001&lt;$AK81))+1,"")</f>
        <v/>
      </c>
      <c r="AJ81" s="18" t="str">
        <f aca="false">IF($D81="","",IF(OR($R81=TRUE(),$R81="TRUE"),1,0))</f>
        <v/>
      </c>
      <c r="AK81" s="18" t="str">
        <f aca="false">IF($AH81=1,IFERROR(VALUE(MID($D81,2,20)),1000000000)+ROW()/10000000,"")</f>
        <v/>
      </c>
    </row>
    <row r="82" customFormat="false" ht="15" hidden="false" customHeight="false" outlineLevel="0" collapsed="false">
      <c r="F82" s="15"/>
      <c r="N82" s="16" t="str">
        <f aca="false">IF($D82="","",M82*Y82/100)</f>
        <v/>
      </c>
      <c r="V82" s="16" t="str">
        <f aca="false">IF($D82="","",Y82*AB82/100)</f>
        <v/>
      </c>
      <c r="W82" s="16" t="str">
        <f aca="false">IF($D82="","",Y82-V82)</f>
        <v/>
      </c>
      <c r="X82" s="16" t="str">
        <f aca="false">IF($D82="","",W82-N82)</f>
        <v/>
      </c>
      <c r="AB82" s="17" t="str">
        <f aca="false">IF($D82="","",IF(OR($R82=TRUE(),$R82="TRUE"),Settings!$C$6,Settings!$C$7)*100)</f>
        <v/>
      </c>
      <c r="AH82" s="18" t="str">
        <f aca="false">IF($D82="","",IF(COUNTIF($D$2:$D82,$D82)=1,1,0))</f>
        <v/>
      </c>
      <c r="AI82" s="18" t="str">
        <f aca="false">IF($AH82=1,SUMPRODUCT(--($AK$2:$AK$4001&lt;$AK82))+1,"")</f>
        <v/>
      </c>
      <c r="AJ82" s="18" t="str">
        <f aca="false">IF($D82="","",IF(OR($R82=TRUE(),$R82="TRUE"),1,0))</f>
        <v/>
      </c>
      <c r="AK82" s="18" t="str">
        <f aca="false">IF($AH82=1,IFERROR(VALUE(MID($D82,2,20)),1000000000)+ROW()/10000000,"")</f>
        <v/>
      </c>
    </row>
    <row r="83" customFormat="false" ht="15" hidden="false" customHeight="false" outlineLevel="0" collapsed="false">
      <c r="F83" s="15"/>
      <c r="N83" s="16" t="str">
        <f aca="false">IF($D83="","",M83*Y83/100)</f>
        <v/>
      </c>
      <c r="V83" s="16" t="str">
        <f aca="false">IF($D83="","",Y83*AB83/100)</f>
        <v/>
      </c>
      <c r="W83" s="16" t="str">
        <f aca="false">IF($D83="","",Y83-V83)</f>
        <v/>
      </c>
      <c r="X83" s="16" t="str">
        <f aca="false">IF($D83="","",W83-N83)</f>
        <v/>
      </c>
      <c r="AB83" s="17" t="str">
        <f aca="false">IF($D83="","",IF(OR($R83=TRUE(),$R83="TRUE"),Settings!$C$6,Settings!$C$7)*100)</f>
        <v/>
      </c>
      <c r="AH83" s="18" t="str">
        <f aca="false">IF($D83="","",IF(COUNTIF($D$2:$D83,$D83)=1,1,0))</f>
        <v/>
      </c>
      <c r="AI83" s="18" t="str">
        <f aca="false">IF($AH83=1,SUMPRODUCT(--($AK$2:$AK$4001&lt;$AK83))+1,"")</f>
        <v/>
      </c>
      <c r="AJ83" s="18" t="str">
        <f aca="false">IF($D83="","",IF(OR($R83=TRUE(),$R83="TRUE"),1,0))</f>
        <v/>
      </c>
      <c r="AK83" s="18" t="str">
        <f aca="false">IF($AH83=1,IFERROR(VALUE(MID($D83,2,20)),1000000000)+ROW()/10000000,"")</f>
        <v/>
      </c>
    </row>
    <row r="84" customFormat="false" ht="15" hidden="false" customHeight="false" outlineLevel="0" collapsed="false">
      <c r="F84" s="15"/>
      <c r="N84" s="16" t="str">
        <f aca="false">IF($D84="","",M84*Y84/100)</f>
        <v/>
      </c>
      <c r="V84" s="16" t="str">
        <f aca="false">IF($D84="","",Y84*AB84/100)</f>
        <v/>
      </c>
      <c r="W84" s="16" t="str">
        <f aca="false">IF($D84="","",Y84-V84)</f>
        <v/>
      </c>
      <c r="X84" s="16" t="str">
        <f aca="false">IF($D84="","",W84-N84)</f>
        <v/>
      </c>
      <c r="AB84" s="17" t="str">
        <f aca="false">IF($D84="","",IF(OR($R84=TRUE(),$R84="TRUE"),Settings!$C$6,Settings!$C$7)*100)</f>
        <v/>
      </c>
      <c r="AH84" s="18" t="str">
        <f aca="false">IF($D84="","",IF(COUNTIF($D$2:$D84,$D84)=1,1,0))</f>
        <v/>
      </c>
      <c r="AI84" s="18" t="str">
        <f aca="false">IF($AH84=1,SUMPRODUCT(--($AK$2:$AK$4001&lt;$AK84))+1,"")</f>
        <v/>
      </c>
      <c r="AJ84" s="18" t="str">
        <f aca="false">IF($D84="","",IF(OR($R84=TRUE(),$R84="TRUE"),1,0))</f>
        <v/>
      </c>
      <c r="AK84" s="18" t="str">
        <f aca="false">IF($AH84=1,IFERROR(VALUE(MID($D84,2,20)),1000000000)+ROW()/10000000,"")</f>
        <v/>
      </c>
    </row>
    <row r="85" customFormat="false" ht="15" hidden="false" customHeight="false" outlineLevel="0" collapsed="false">
      <c r="F85" s="15"/>
      <c r="N85" s="16" t="str">
        <f aca="false">IF($D85="","",M85*Y85/100)</f>
        <v/>
      </c>
      <c r="V85" s="16" t="str">
        <f aca="false">IF($D85="","",Y85*AB85/100)</f>
        <v/>
      </c>
      <c r="W85" s="16" t="str">
        <f aca="false">IF($D85="","",Y85-V85)</f>
        <v/>
      </c>
      <c r="X85" s="16" t="str">
        <f aca="false">IF($D85="","",W85-N85)</f>
        <v/>
      </c>
      <c r="AB85" s="17" t="str">
        <f aca="false">IF($D85="","",IF(OR($R85=TRUE(),$R85="TRUE"),Settings!$C$6,Settings!$C$7)*100)</f>
        <v/>
      </c>
      <c r="AH85" s="18" t="str">
        <f aca="false">IF($D85="","",IF(COUNTIF($D$2:$D85,$D85)=1,1,0))</f>
        <v/>
      </c>
      <c r="AI85" s="18" t="str">
        <f aca="false">IF($AH85=1,SUMPRODUCT(--($AK$2:$AK$4001&lt;$AK85))+1,"")</f>
        <v/>
      </c>
      <c r="AJ85" s="18" t="str">
        <f aca="false">IF($D85="","",IF(OR($R85=TRUE(),$R85="TRUE"),1,0))</f>
        <v/>
      </c>
      <c r="AK85" s="18" t="str">
        <f aca="false">IF($AH85=1,IFERROR(VALUE(MID($D85,2,20)),1000000000)+ROW()/10000000,"")</f>
        <v/>
      </c>
    </row>
    <row r="86" customFormat="false" ht="15" hidden="false" customHeight="false" outlineLevel="0" collapsed="false">
      <c r="F86" s="15"/>
      <c r="N86" s="16" t="str">
        <f aca="false">IF($D86="","",M86*Y86/100)</f>
        <v/>
      </c>
      <c r="V86" s="16" t="str">
        <f aca="false">IF($D86="","",Y86*AB86/100)</f>
        <v/>
      </c>
      <c r="W86" s="16" t="str">
        <f aca="false">IF($D86="","",Y86-V86)</f>
        <v/>
      </c>
      <c r="X86" s="16" t="str">
        <f aca="false">IF($D86="","",W86-N86)</f>
        <v/>
      </c>
      <c r="AB86" s="17" t="str">
        <f aca="false">IF($D86="","",IF(OR($R86=TRUE(),$R86="TRUE"),Settings!$C$6,Settings!$C$7)*100)</f>
        <v/>
      </c>
      <c r="AH86" s="18" t="str">
        <f aca="false">IF($D86="","",IF(COUNTIF($D$2:$D86,$D86)=1,1,0))</f>
        <v/>
      </c>
      <c r="AI86" s="18" t="str">
        <f aca="false">IF($AH86=1,SUMPRODUCT(--($AK$2:$AK$4001&lt;$AK86))+1,"")</f>
        <v/>
      </c>
      <c r="AJ86" s="18" t="str">
        <f aca="false">IF($D86="","",IF(OR($R86=TRUE(),$R86="TRUE"),1,0))</f>
        <v/>
      </c>
      <c r="AK86" s="18" t="str">
        <f aca="false">IF($AH86=1,IFERROR(VALUE(MID($D86,2,20)),1000000000)+ROW()/10000000,"")</f>
        <v/>
      </c>
    </row>
    <row r="87" customFormat="false" ht="15" hidden="false" customHeight="false" outlineLevel="0" collapsed="false">
      <c r="F87" s="15"/>
      <c r="N87" s="16" t="str">
        <f aca="false">IF($D87="","",M87*Y87/100)</f>
        <v/>
      </c>
      <c r="V87" s="16" t="str">
        <f aca="false">IF($D87="","",Y87*AB87/100)</f>
        <v/>
      </c>
      <c r="W87" s="16" t="str">
        <f aca="false">IF($D87="","",Y87-V87)</f>
        <v/>
      </c>
      <c r="X87" s="16" t="str">
        <f aca="false">IF($D87="","",W87-N87)</f>
        <v/>
      </c>
      <c r="AB87" s="17" t="str">
        <f aca="false">IF($D87="","",IF(OR($R87=TRUE(),$R87="TRUE"),Settings!$C$6,Settings!$C$7)*100)</f>
        <v/>
      </c>
      <c r="AH87" s="18" t="str">
        <f aca="false">IF($D87="","",IF(COUNTIF($D$2:$D87,$D87)=1,1,0))</f>
        <v/>
      </c>
      <c r="AI87" s="18" t="str">
        <f aca="false">IF($AH87=1,SUMPRODUCT(--($AK$2:$AK$4001&lt;$AK87))+1,"")</f>
        <v/>
      </c>
      <c r="AJ87" s="18" t="str">
        <f aca="false">IF($D87="","",IF(OR($R87=TRUE(),$R87="TRUE"),1,0))</f>
        <v/>
      </c>
      <c r="AK87" s="18" t="str">
        <f aca="false">IF($AH87=1,IFERROR(VALUE(MID($D87,2,20)),1000000000)+ROW()/10000000,"")</f>
        <v/>
      </c>
    </row>
    <row r="88" customFormat="false" ht="15" hidden="false" customHeight="false" outlineLevel="0" collapsed="false">
      <c r="F88" s="15"/>
      <c r="N88" s="16" t="str">
        <f aca="false">IF($D88="","",M88*Y88/100)</f>
        <v/>
      </c>
      <c r="V88" s="16" t="str">
        <f aca="false">IF($D88="","",Y88*AB88/100)</f>
        <v/>
      </c>
      <c r="W88" s="16" t="str">
        <f aca="false">IF($D88="","",Y88-V88)</f>
        <v/>
      </c>
      <c r="X88" s="16" t="str">
        <f aca="false">IF($D88="","",W88-N88)</f>
        <v/>
      </c>
      <c r="AB88" s="17" t="str">
        <f aca="false">IF($D88="","",IF(OR($R88=TRUE(),$R88="TRUE"),Settings!$C$6,Settings!$C$7)*100)</f>
        <v/>
      </c>
      <c r="AH88" s="18" t="str">
        <f aca="false">IF($D88="","",IF(COUNTIF($D$2:$D88,$D88)=1,1,0))</f>
        <v/>
      </c>
      <c r="AI88" s="18" t="str">
        <f aca="false">IF($AH88=1,SUMPRODUCT(--($AK$2:$AK$4001&lt;$AK88))+1,"")</f>
        <v/>
      </c>
      <c r="AJ88" s="18" t="str">
        <f aca="false">IF($D88="","",IF(OR($R88=TRUE(),$R88="TRUE"),1,0))</f>
        <v/>
      </c>
      <c r="AK88" s="18" t="str">
        <f aca="false">IF($AH88=1,IFERROR(VALUE(MID($D88,2,20)),1000000000)+ROW()/10000000,"")</f>
        <v/>
      </c>
    </row>
    <row r="89" customFormat="false" ht="15" hidden="false" customHeight="false" outlineLevel="0" collapsed="false">
      <c r="F89" s="15"/>
      <c r="N89" s="16" t="str">
        <f aca="false">IF($D89="","",M89*Y89/100)</f>
        <v/>
      </c>
      <c r="V89" s="16" t="str">
        <f aca="false">IF($D89="","",Y89*AB89/100)</f>
        <v/>
      </c>
      <c r="W89" s="16" t="str">
        <f aca="false">IF($D89="","",Y89-V89)</f>
        <v/>
      </c>
      <c r="X89" s="16" t="str">
        <f aca="false">IF($D89="","",W89-N89)</f>
        <v/>
      </c>
      <c r="AB89" s="17" t="str">
        <f aca="false">IF($D89="","",IF(OR($R89=TRUE(),$R89="TRUE"),Settings!$C$6,Settings!$C$7)*100)</f>
        <v/>
      </c>
      <c r="AH89" s="18" t="str">
        <f aca="false">IF($D89="","",IF(COUNTIF($D$2:$D89,$D89)=1,1,0))</f>
        <v/>
      </c>
      <c r="AI89" s="18" t="str">
        <f aca="false">IF($AH89=1,SUMPRODUCT(--($AK$2:$AK$4001&lt;$AK89))+1,"")</f>
        <v/>
      </c>
      <c r="AJ89" s="18" t="str">
        <f aca="false">IF($D89="","",IF(OR($R89=TRUE(),$R89="TRUE"),1,0))</f>
        <v/>
      </c>
      <c r="AK89" s="18" t="str">
        <f aca="false">IF($AH89=1,IFERROR(VALUE(MID($D89,2,20)),1000000000)+ROW()/10000000,"")</f>
        <v/>
      </c>
    </row>
    <row r="90" customFormat="false" ht="15" hidden="false" customHeight="false" outlineLevel="0" collapsed="false">
      <c r="F90" s="15"/>
      <c r="N90" s="16" t="str">
        <f aca="false">IF($D90="","",M90*Y90/100)</f>
        <v/>
      </c>
      <c r="V90" s="16" t="str">
        <f aca="false">IF($D90="","",Y90*AB90/100)</f>
        <v/>
      </c>
      <c r="W90" s="16" t="str">
        <f aca="false">IF($D90="","",Y90-V90)</f>
        <v/>
      </c>
      <c r="X90" s="16" t="str">
        <f aca="false">IF($D90="","",W90-N90)</f>
        <v/>
      </c>
      <c r="AB90" s="17" t="str">
        <f aca="false">IF($D90="","",IF(OR($R90=TRUE(),$R90="TRUE"),Settings!$C$6,Settings!$C$7)*100)</f>
        <v/>
      </c>
      <c r="AH90" s="18" t="str">
        <f aca="false">IF($D90="","",IF(COUNTIF($D$2:$D90,$D90)=1,1,0))</f>
        <v/>
      </c>
      <c r="AI90" s="18" t="str">
        <f aca="false">IF($AH90=1,SUMPRODUCT(--($AK$2:$AK$4001&lt;$AK90))+1,"")</f>
        <v/>
      </c>
      <c r="AJ90" s="18" t="str">
        <f aca="false">IF($D90="","",IF(OR($R90=TRUE(),$R90="TRUE"),1,0))</f>
        <v/>
      </c>
      <c r="AK90" s="18" t="str">
        <f aca="false">IF($AH90=1,IFERROR(VALUE(MID($D90,2,20)),1000000000)+ROW()/10000000,"")</f>
        <v/>
      </c>
    </row>
    <row r="91" customFormat="false" ht="15" hidden="false" customHeight="false" outlineLevel="0" collapsed="false">
      <c r="F91" s="15"/>
      <c r="N91" s="16" t="str">
        <f aca="false">IF($D91="","",M91*Y91/100)</f>
        <v/>
      </c>
      <c r="V91" s="16" t="str">
        <f aca="false">IF($D91="","",Y91*AB91/100)</f>
        <v/>
      </c>
      <c r="W91" s="16" t="str">
        <f aca="false">IF($D91="","",Y91-V91)</f>
        <v/>
      </c>
      <c r="X91" s="16" t="str">
        <f aca="false">IF($D91="","",W91-N91)</f>
        <v/>
      </c>
      <c r="AB91" s="17" t="str">
        <f aca="false">IF($D91="","",IF(OR($R91=TRUE(),$R91="TRUE"),Settings!$C$6,Settings!$C$7)*100)</f>
        <v/>
      </c>
      <c r="AH91" s="18" t="str">
        <f aca="false">IF($D91="","",IF(COUNTIF($D$2:$D91,$D91)=1,1,0))</f>
        <v/>
      </c>
      <c r="AI91" s="18" t="str">
        <f aca="false">IF($AH91=1,SUMPRODUCT(--($AK$2:$AK$4001&lt;$AK91))+1,"")</f>
        <v/>
      </c>
      <c r="AJ91" s="18" t="str">
        <f aca="false">IF($D91="","",IF(OR($R91=TRUE(),$R91="TRUE"),1,0))</f>
        <v/>
      </c>
      <c r="AK91" s="18" t="str">
        <f aca="false">IF($AH91=1,IFERROR(VALUE(MID($D91,2,20)),1000000000)+ROW()/10000000,"")</f>
        <v/>
      </c>
    </row>
    <row r="92" customFormat="false" ht="15" hidden="false" customHeight="false" outlineLevel="0" collapsed="false">
      <c r="F92" s="15"/>
      <c r="N92" s="16" t="str">
        <f aca="false">IF($D92="","",M92*Y92/100)</f>
        <v/>
      </c>
      <c r="V92" s="16" t="str">
        <f aca="false">IF($D92="","",Y92*AB92/100)</f>
        <v/>
      </c>
      <c r="W92" s="16" t="str">
        <f aca="false">IF($D92="","",Y92-V92)</f>
        <v/>
      </c>
      <c r="X92" s="16" t="str">
        <f aca="false">IF($D92="","",W92-N92)</f>
        <v/>
      </c>
      <c r="AB92" s="17" t="str">
        <f aca="false">IF($D92="","",IF(OR($R92=TRUE(),$R92="TRUE"),Settings!$C$6,Settings!$C$7)*100)</f>
        <v/>
      </c>
      <c r="AH92" s="18" t="str">
        <f aca="false">IF($D92="","",IF(COUNTIF($D$2:$D92,$D92)=1,1,0))</f>
        <v/>
      </c>
      <c r="AI92" s="18" t="str">
        <f aca="false">IF($AH92=1,SUMPRODUCT(--($AK$2:$AK$4001&lt;$AK92))+1,"")</f>
        <v/>
      </c>
      <c r="AJ92" s="18" t="str">
        <f aca="false">IF($D92="","",IF(OR($R92=TRUE(),$R92="TRUE"),1,0))</f>
        <v/>
      </c>
      <c r="AK92" s="18" t="str">
        <f aca="false">IF($AH92=1,IFERROR(VALUE(MID($D92,2,20)),1000000000)+ROW()/10000000,"")</f>
        <v/>
      </c>
    </row>
    <row r="93" customFormat="false" ht="15" hidden="false" customHeight="false" outlineLevel="0" collapsed="false">
      <c r="F93" s="15"/>
      <c r="N93" s="16" t="str">
        <f aca="false">IF($D93="","",M93*Y93/100)</f>
        <v/>
      </c>
      <c r="V93" s="16" t="str">
        <f aca="false">IF($D93="","",Y93*AB93/100)</f>
        <v/>
      </c>
      <c r="W93" s="16" t="str">
        <f aca="false">IF($D93="","",Y93-V93)</f>
        <v/>
      </c>
      <c r="X93" s="16" t="str">
        <f aca="false">IF($D93="","",W93-N93)</f>
        <v/>
      </c>
      <c r="AB93" s="17" t="str">
        <f aca="false">IF($D93="","",IF(OR($R93=TRUE(),$R93="TRUE"),Settings!$C$6,Settings!$C$7)*100)</f>
        <v/>
      </c>
      <c r="AH93" s="18" t="str">
        <f aca="false">IF($D93="","",IF(COUNTIF($D$2:$D93,$D93)=1,1,0))</f>
        <v/>
      </c>
      <c r="AI93" s="18" t="str">
        <f aca="false">IF($AH93=1,SUMPRODUCT(--($AK$2:$AK$4001&lt;$AK93))+1,"")</f>
        <v/>
      </c>
      <c r="AJ93" s="18" t="str">
        <f aca="false">IF($D93="","",IF(OR($R93=TRUE(),$R93="TRUE"),1,0))</f>
        <v/>
      </c>
      <c r="AK93" s="18" t="str">
        <f aca="false">IF($AH93=1,IFERROR(VALUE(MID($D93,2,20)),1000000000)+ROW()/10000000,"")</f>
        <v/>
      </c>
    </row>
    <row r="94" customFormat="false" ht="15" hidden="false" customHeight="false" outlineLevel="0" collapsed="false">
      <c r="F94" s="15"/>
      <c r="N94" s="16" t="str">
        <f aca="false">IF($D94="","",M94*Y94/100)</f>
        <v/>
      </c>
      <c r="V94" s="16" t="str">
        <f aca="false">IF($D94="","",Y94*AB94/100)</f>
        <v/>
      </c>
      <c r="W94" s="16" t="str">
        <f aca="false">IF($D94="","",Y94-V94)</f>
        <v/>
      </c>
      <c r="X94" s="16" t="str">
        <f aca="false">IF($D94="","",W94-N94)</f>
        <v/>
      </c>
      <c r="AB94" s="17" t="str">
        <f aca="false">IF($D94="","",IF(OR($R94=TRUE(),$R94="TRUE"),Settings!$C$6,Settings!$C$7)*100)</f>
        <v/>
      </c>
      <c r="AH94" s="18" t="str">
        <f aca="false">IF($D94="","",IF(COUNTIF($D$2:$D94,$D94)=1,1,0))</f>
        <v/>
      </c>
      <c r="AI94" s="18" t="str">
        <f aca="false">IF($AH94=1,SUMPRODUCT(--($AK$2:$AK$4001&lt;$AK94))+1,"")</f>
        <v/>
      </c>
      <c r="AJ94" s="18" t="str">
        <f aca="false">IF($D94="","",IF(OR($R94=TRUE(),$R94="TRUE"),1,0))</f>
        <v/>
      </c>
      <c r="AK94" s="18" t="str">
        <f aca="false">IF($AH94=1,IFERROR(VALUE(MID($D94,2,20)),1000000000)+ROW()/10000000,"")</f>
        <v/>
      </c>
    </row>
    <row r="95" customFormat="false" ht="15" hidden="false" customHeight="false" outlineLevel="0" collapsed="false">
      <c r="F95" s="15"/>
      <c r="N95" s="16" t="str">
        <f aca="false">IF($D95="","",M95*Y95/100)</f>
        <v/>
      </c>
      <c r="V95" s="16" t="str">
        <f aca="false">IF($D95="","",Y95*AB95/100)</f>
        <v/>
      </c>
      <c r="W95" s="16" t="str">
        <f aca="false">IF($D95="","",Y95-V95)</f>
        <v/>
      </c>
      <c r="X95" s="16" t="str">
        <f aca="false">IF($D95="","",W95-N95)</f>
        <v/>
      </c>
      <c r="AB95" s="17" t="str">
        <f aca="false">IF($D95="","",IF(OR($R95=TRUE(),$R95="TRUE"),Settings!$C$6,Settings!$C$7)*100)</f>
        <v/>
      </c>
      <c r="AH95" s="18" t="str">
        <f aca="false">IF($D95="","",IF(COUNTIF($D$2:$D95,$D95)=1,1,0))</f>
        <v/>
      </c>
      <c r="AI95" s="18" t="str">
        <f aca="false">IF($AH95=1,SUMPRODUCT(--($AK$2:$AK$4001&lt;$AK95))+1,"")</f>
        <v/>
      </c>
      <c r="AJ95" s="18" t="str">
        <f aca="false">IF($D95="","",IF(OR($R95=TRUE(),$R95="TRUE"),1,0))</f>
        <v/>
      </c>
      <c r="AK95" s="18" t="str">
        <f aca="false">IF($AH95=1,IFERROR(VALUE(MID($D95,2,20)),1000000000)+ROW()/10000000,"")</f>
        <v/>
      </c>
    </row>
    <row r="96" customFormat="false" ht="15" hidden="false" customHeight="false" outlineLevel="0" collapsed="false">
      <c r="F96" s="15"/>
      <c r="N96" s="16" t="str">
        <f aca="false">IF($D96="","",M96*Y96/100)</f>
        <v/>
      </c>
      <c r="V96" s="16" t="str">
        <f aca="false">IF($D96="","",Y96*AB96/100)</f>
        <v/>
      </c>
      <c r="W96" s="16" t="str">
        <f aca="false">IF($D96="","",Y96-V96)</f>
        <v/>
      </c>
      <c r="X96" s="16" t="str">
        <f aca="false">IF($D96="","",W96-N96)</f>
        <v/>
      </c>
      <c r="AB96" s="17" t="str">
        <f aca="false">IF($D96="","",IF(OR($R96=TRUE(),$R96="TRUE"),Settings!$C$6,Settings!$C$7)*100)</f>
        <v/>
      </c>
      <c r="AH96" s="18" t="str">
        <f aca="false">IF($D96="","",IF(COUNTIF($D$2:$D96,$D96)=1,1,0))</f>
        <v/>
      </c>
      <c r="AI96" s="18" t="str">
        <f aca="false">IF($AH96=1,SUMPRODUCT(--($AK$2:$AK$4001&lt;$AK96))+1,"")</f>
        <v/>
      </c>
      <c r="AJ96" s="18" t="str">
        <f aca="false">IF($D96="","",IF(OR($R96=TRUE(),$R96="TRUE"),1,0))</f>
        <v/>
      </c>
      <c r="AK96" s="18" t="str">
        <f aca="false">IF($AH96=1,IFERROR(VALUE(MID($D96,2,20)),1000000000)+ROW()/10000000,"")</f>
        <v/>
      </c>
    </row>
    <row r="97" customFormat="false" ht="15" hidden="false" customHeight="false" outlineLevel="0" collapsed="false">
      <c r="F97" s="15"/>
      <c r="N97" s="16" t="str">
        <f aca="false">IF($D97="","",M97*Y97/100)</f>
        <v/>
      </c>
      <c r="V97" s="16" t="str">
        <f aca="false">IF($D97="","",Y97*AB97/100)</f>
        <v/>
      </c>
      <c r="W97" s="16" t="str">
        <f aca="false">IF($D97="","",Y97-V97)</f>
        <v/>
      </c>
      <c r="X97" s="16" t="str">
        <f aca="false">IF($D97="","",W97-N97)</f>
        <v/>
      </c>
      <c r="AB97" s="17" t="str">
        <f aca="false">IF($D97="","",IF(OR($R97=TRUE(),$R97="TRUE"),Settings!$C$6,Settings!$C$7)*100)</f>
        <v/>
      </c>
      <c r="AH97" s="18" t="str">
        <f aca="false">IF($D97="","",IF(COUNTIF($D$2:$D97,$D97)=1,1,0))</f>
        <v/>
      </c>
      <c r="AI97" s="18" t="str">
        <f aca="false">IF($AH97=1,SUMPRODUCT(--($AK$2:$AK$4001&lt;$AK97))+1,"")</f>
        <v/>
      </c>
      <c r="AJ97" s="18" t="str">
        <f aca="false">IF($D97="","",IF(OR($R97=TRUE(),$R97="TRUE"),1,0))</f>
        <v/>
      </c>
      <c r="AK97" s="18" t="str">
        <f aca="false">IF($AH97=1,IFERROR(VALUE(MID($D97,2,20)),1000000000)+ROW()/10000000,"")</f>
        <v/>
      </c>
    </row>
    <row r="98" customFormat="false" ht="15" hidden="false" customHeight="false" outlineLevel="0" collapsed="false">
      <c r="F98" s="15"/>
      <c r="N98" s="16" t="str">
        <f aca="false">IF($D98="","",M98*Y98/100)</f>
        <v/>
      </c>
      <c r="V98" s="16" t="str">
        <f aca="false">IF($D98="","",Y98*AB98/100)</f>
        <v/>
      </c>
      <c r="W98" s="16" t="str">
        <f aca="false">IF($D98="","",Y98-V98)</f>
        <v/>
      </c>
      <c r="X98" s="16" t="str">
        <f aca="false">IF($D98="","",W98-N98)</f>
        <v/>
      </c>
      <c r="AB98" s="17" t="str">
        <f aca="false">IF($D98="","",IF(OR($R98=TRUE(),$R98="TRUE"),Settings!$C$6,Settings!$C$7)*100)</f>
        <v/>
      </c>
      <c r="AH98" s="18" t="str">
        <f aca="false">IF($D98="","",IF(COUNTIF($D$2:$D98,$D98)=1,1,0))</f>
        <v/>
      </c>
      <c r="AI98" s="18" t="str">
        <f aca="false">IF($AH98=1,SUMPRODUCT(--($AK$2:$AK$4001&lt;$AK98))+1,"")</f>
        <v/>
      </c>
      <c r="AJ98" s="18" t="str">
        <f aca="false">IF($D98="","",IF(OR($R98=TRUE(),$R98="TRUE"),1,0))</f>
        <v/>
      </c>
      <c r="AK98" s="18" t="str">
        <f aca="false">IF($AH98=1,IFERROR(VALUE(MID($D98,2,20)),1000000000)+ROW()/10000000,"")</f>
        <v/>
      </c>
    </row>
    <row r="99" customFormat="false" ht="15" hidden="false" customHeight="false" outlineLevel="0" collapsed="false">
      <c r="F99" s="15"/>
      <c r="N99" s="16" t="str">
        <f aca="false">IF($D99="","",M99*Y99/100)</f>
        <v/>
      </c>
      <c r="V99" s="16" t="str">
        <f aca="false">IF($D99="","",Y99*AB99/100)</f>
        <v/>
      </c>
      <c r="W99" s="16" t="str">
        <f aca="false">IF($D99="","",Y99-V99)</f>
        <v/>
      </c>
      <c r="X99" s="16" t="str">
        <f aca="false">IF($D99="","",W99-N99)</f>
        <v/>
      </c>
      <c r="AB99" s="17" t="str">
        <f aca="false">IF($D99="","",IF(OR($R99=TRUE(),$R99="TRUE"),Settings!$C$6,Settings!$C$7)*100)</f>
        <v/>
      </c>
      <c r="AH99" s="18" t="str">
        <f aca="false">IF($D99="","",IF(COUNTIF($D$2:$D99,$D99)=1,1,0))</f>
        <v/>
      </c>
      <c r="AI99" s="18" t="str">
        <f aca="false">IF($AH99=1,SUMPRODUCT(--($AK$2:$AK$4001&lt;$AK99))+1,"")</f>
        <v/>
      </c>
      <c r="AJ99" s="18" t="str">
        <f aca="false">IF($D99="","",IF(OR($R99=TRUE(),$R99="TRUE"),1,0))</f>
        <v/>
      </c>
      <c r="AK99" s="18" t="str">
        <f aca="false">IF($AH99=1,IFERROR(VALUE(MID($D99,2,20)),1000000000)+ROW()/10000000,"")</f>
        <v/>
      </c>
    </row>
    <row r="100" customFormat="false" ht="15" hidden="false" customHeight="false" outlineLevel="0" collapsed="false">
      <c r="F100" s="15"/>
      <c r="N100" s="16" t="str">
        <f aca="false">IF($D100="","",M100*Y100/100)</f>
        <v/>
      </c>
      <c r="V100" s="16" t="str">
        <f aca="false">IF($D100="","",Y100*AB100/100)</f>
        <v/>
      </c>
      <c r="W100" s="16" t="str">
        <f aca="false">IF($D100="","",Y100-V100)</f>
        <v/>
      </c>
      <c r="X100" s="16" t="str">
        <f aca="false">IF($D100="","",W100-N100)</f>
        <v/>
      </c>
      <c r="AB100" s="17" t="str">
        <f aca="false">IF($D100="","",IF(OR($R100=TRUE(),$R100="TRUE"),Settings!$C$6,Settings!$C$7)*100)</f>
        <v/>
      </c>
      <c r="AH100" s="18" t="str">
        <f aca="false">IF($D100="","",IF(COUNTIF($D$2:$D100,$D100)=1,1,0))</f>
        <v/>
      </c>
      <c r="AI100" s="18" t="str">
        <f aca="false">IF($AH100=1,SUMPRODUCT(--($AK$2:$AK$4001&lt;$AK100))+1,"")</f>
        <v/>
      </c>
      <c r="AJ100" s="18" t="str">
        <f aca="false">IF($D100="","",IF(OR($R100=TRUE(),$R100="TRUE"),1,0))</f>
        <v/>
      </c>
      <c r="AK100" s="18" t="str">
        <f aca="false">IF($AH100=1,IFERROR(VALUE(MID($D100,2,20)),1000000000)+ROW()/10000000,"")</f>
        <v/>
      </c>
    </row>
    <row r="101" customFormat="false" ht="15" hidden="false" customHeight="false" outlineLevel="0" collapsed="false">
      <c r="F101" s="15"/>
      <c r="N101" s="16" t="str">
        <f aca="false">IF($D101="","",M101*Y101/100)</f>
        <v/>
      </c>
      <c r="V101" s="16" t="str">
        <f aca="false">IF($D101="","",Y101*AB101/100)</f>
        <v/>
      </c>
      <c r="W101" s="16" t="str">
        <f aca="false">IF($D101="","",Y101-V101)</f>
        <v/>
      </c>
      <c r="X101" s="16" t="str">
        <f aca="false">IF($D101="","",W101-N101)</f>
        <v/>
      </c>
      <c r="AB101" s="17" t="str">
        <f aca="false">IF($D101="","",IF(OR($R101=TRUE(),$R101="TRUE"),Settings!$C$6,Settings!$C$7)*100)</f>
        <v/>
      </c>
      <c r="AH101" s="18" t="str">
        <f aca="false">IF($D101="","",IF(COUNTIF($D$2:$D101,$D101)=1,1,0))</f>
        <v/>
      </c>
      <c r="AI101" s="18" t="str">
        <f aca="false">IF($AH101=1,SUMPRODUCT(--($AK$2:$AK$4001&lt;$AK101))+1,"")</f>
        <v/>
      </c>
      <c r="AJ101" s="18" t="str">
        <f aca="false">IF($D101="","",IF(OR($R101=TRUE(),$R101="TRUE"),1,0))</f>
        <v/>
      </c>
      <c r="AK101" s="18" t="str">
        <f aca="false">IF($AH101=1,IFERROR(VALUE(MID($D101,2,20)),1000000000)+ROW()/10000000,"")</f>
        <v/>
      </c>
    </row>
    <row r="102" customFormat="false" ht="15" hidden="false" customHeight="false" outlineLevel="0" collapsed="false">
      <c r="F102" s="15"/>
      <c r="N102" s="16" t="str">
        <f aca="false">IF($D102="","",M102*Y102/100)</f>
        <v/>
      </c>
      <c r="V102" s="16" t="str">
        <f aca="false">IF($D102="","",Y102*AB102/100)</f>
        <v/>
      </c>
      <c r="W102" s="16" t="str">
        <f aca="false">IF($D102="","",Y102-V102)</f>
        <v/>
      </c>
      <c r="X102" s="16" t="str">
        <f aca="false">IF($D102="","",W102-N102)</f>
        <v/>
      </c>
      <c r="AB102" s="17" t="str">
        <f aca="false">IF($D102="","",IF(OR($R102=TRUE(),$R102="TRUE"),Settings!$C$6,Settings!$C$7)*100)</f>
        <v/>
      </c>
      <c r="AH102" s="18" t="str">
        <f aca="false">IF($D102="","",IF(COUNTIF($D$2:$D102,$D102)=1,1,0))</f>
        <v/>
      </c>
      <c r="AI102" s="18" t="str">
        <f aca="false">IF($AH102=1,SUMPRODUCT(--($AK$2:$AK$4001&lt;$AK102))+1,"")</f>
        <v/>
      </c>
      <c r="AJ102" s="18" t="str">
        <f aca="false">IF($D102="","",IF(OR($R102=TRUE(),$R102="TRUE"),1,0))</f>
        <v/>
      </c>
      <c r="AK102" s="18" t="str">
        <f aca="false">IF($AH102=1,IFERROR(VALUE(MID($D102,2,20)),1000000000)+ROW()/10000000,"")</f>
        <v/>
      </c>
    </row>
    <row r="103" customFormat="false" ht="15" hidden="false" customHeight="false" outlineLevel="0" collapsed="false">
      <c r="F103" s="15"/>
      <c r="N103" s="16" t="str">
        <f aca="false">IF($D103="","",M103*Y103/100)</f>
        <v/>
      </c>
      <c r="V103" s="16" t="str">
        <f aca="false">IF($D103="","",Y103*AB103/100)</f>
        <v/>
      </c>
      <c r="W103" s="16" t="str">
        <f aca="false">IF($D103="","",Y103-V103)</f>
        <v/>
      </c>
      <c r="X103" s="16" t="str">
        <f aca="false">IF($D103="","",W103-N103)</f>
        <v/>
      </c>
      <c r="AB103" s="17" t="str">
        <f aca="false">IF($D103="","",IF(OR($R103=TRUE(),$R103="TRUE"),Settings!$C$6,Settings!$C$7)*100)</f>
        <v/>
      </c>
      <c r="AH103" s="18" t="str">
        <f aca="false">IF($D103="","",IF(COUNTIF($D$2:$D103,$D103)=1,1,0))</f>
        <v/>
      </c>
      <c r="AI103" s="18" t="str">
        <f aca="false">IF($AH103=1,SUMPRODUCT(--($AK$2:$AK$4001&lt;$AK103))+1,"")</f>
        <v/>
      </c>
      <c r="AJ103" s="18" t="str">
        <f aca="false">IF($D103="","",IF(OR($R103=TRUE(),$R103="TRUE"),1,0))</f>
        <v/>
      </c>
      <c r="AK103" s="18" t="str">
        <f aca="false">IF($AH103=1,IFERROR(VALUE(MID($D103,2,20)),1000000000)+ROW()/10000000,"")</f>
        <v/>
      </c>
    </row>
    <row r="104" customFormat="false" ht="15" hidden="false" customHeight="false" outlineLevel="0" collapsed="false">
      <c r="F104" s="15"/>
      <c r="N104" s="16" t="str">
        <f aca="false">IF($D104="","",M104*Y104/100)</f>
        <v/>
      </c>
      <c r="V104" s="16" t="str">
        <f aca="false">IF($D104="","",Y104*AB104/100)</f>
        <v/>
      </c>
      <c r="W104" s="16" t="str">
        <f aca="false">IF($D104="","",Y104-V104)</f>
        <v/>
      </c>
      <c r="X104" s="16" t="str">
        <f aca="false">IF($D104="","",W104-N104)</f>
        <v/>
      </c>
      <c r="AB104" s="17" t="str">
        <f aca="false">IF($D104="","",IF(OR($R104=TRUE(),$R104="TRUE"),Settings!$C$6,Settings!$C$7)*100)</f>
        <v/>
      </c>
      <c r="AH104" s="18" t="str">
        <f aca="false">IF($D104="","",IF(COUNTIF($D$2:$D104,$D104)=1,1,0))</f>
        <v/>
      </c>
      <c r="AI104" s="18" t="str">
        <f aca="false">IF($AH104=1,SUMPRODUCT(--($AK$2:$AK$4001&lt;$AK104))+1,"")</f>
        <v/>
      </c>
      <c r="AJ104" s="18" t="str">
        <f aca="false">IF($D104="","",IF(OR($R104=TRUE(),$R104="TRUE"),1,0))</f>
        <v/>
      </c>
      <c r="AK104" s="18" t="str">
        <f aca="false">IF($AH104=1,IFERROR(VALUE(MID($D104,2,20)),1000000000)+ROW()/10000000,"")</f>
        <v/>
      </c>
    </row>
    <row r="105" customFormat="false" ht="15" hidden="false" customHeight="false" outlineLevel="0" collapsed="false">
      <c r="F105" s="15"/>
      <c r="N105" s="16" t="str">
        <f aca="false">IF($D105="","",M105*Y105/100)</f>
        <v/>
      </c>
      <c r="V105" s="16" t="str">
        <f aca="false">IF($D105="","",Y105*AB105/100)</f>
        <v/>
      </c>
      <c r="W105" s="16" t="str">
        <f aca="false">IF($D105="","",Y105-V105)</f>
        <v/>
      </c>
      <c r="X105" s="16" t="str">
        <f aca="false">IF($D105="","",W105-N105)</f>
        <v/>
      </c>
      <c r="AB105" s="17" t="str">
        <f aca="false">IF($D105="","",IF(OR($R105=TRUE(),$R105="TRUE"),Settings!$C$6,Settings!$C$7)*100)</f>
        <v/>
      </c>
      <c r="AH105" s="18" t="str">
        <f aca="false">IF($D105="","",IF(COUNTIF($D$2:$D105,$D105)=1,1,0))</f>
        <v/>
      </c>
      <c r="AI105" s="18" t="str">
        <f aca="false">IF($AH105=1,SUMPRODUCT(--($AK$2:$AK$4001&lt;$AK105))+1,"")</f>
        <v/>
      </c>
      <c r="AJ105" s="18" t="str">
        <f aca="false">IF($D105="","",IF(OR($R105=TRUE(),$R105="TRUE"),1,0))</f>
        <v/>
      </c>
      <c r="AK105" s="18" t="str">
        <f aca="false">IF($AH105=1,IFERROR(VALUE(MID($D105,2,20)),1000000000)+ROW()/10000000,"")</f>
        <v/>
      </c>
    </row>
    <row r="106" customFormat="false" ht="15" hidden="false" customHeight="false" outlineLevel="0" collapsed="false">
      <c r="F106" s="15"/>
      <c r="N106" s="16" t="str">
        <f aca="false">IF($D106="","",M106*Y106/100)</f>
        <v/>
      </c>
      <c r="V106" s="16" t="str">
        <f aca="false">IF($D106="","",Y106*AB106/100)</f>
        <v/>
      </c>
      <c r="W106" s="16" t="str">
        <f aca="false">IF($D106="","",Y106-V106)</f>
        <v/>
      </c>
      <c r="X106" s="16" t="str">
        <f aca="false">IF($D106="","",W106-N106)</f>
        <v/>
      </c>
      <c r="AB106" s="17" t="str">
        <f aca="false">IF($D106="","",IF(OR($R106=TRUE(),$R106="TRUE"),Settings!$C$6,Settings!$C$7)*100)</f>
        <v/>
      </c>
      <c r="AH106" s="18" t="str">
        <f aca="false">IF($D106="","",IF(COUNTIF($D$2:$D106,$D106)=1,1,0))</f>
        <v/>
      </c>
      <c r="AI106" s="18" t="str">
        <f aca="false">IF($AH106=1,SUMPRODUCT(--($AK$2:$AK$4001&lt;$AK106))+1,"")</f>
        <v/>
      </c>
      <c r="AJ106" s="18" t="str">
        <f aca="false">IF($D106="","",IF(OR($R106=TRUE(),$R106="TRUE"),1,0))</f>
        <v/>
      </c>
      <c r="AK106" s="18" t="str">
        <f aca="false">IF($AH106=1,IFERROR(VALUE(MID($D106,2,20)),1000000000)+ROW()/10000000,"")</f>
        <v/>
      </c>
    </row>
    <row r="107" customFormat="false" ht="15" hidden="false" customHeight="false" outlineLevel="0" collapsed="false">
      <c r="F107" s="15"/>
      <c r="N107" s="16" t="str">
        <f aca="false">IF($D107="","",M107*Y107/100)</f>
        <v/>
      </c>
      <c r="V107" s="16" t="str">
        <f aca="false">IF($D107="","",Y107*AB107/100)</f>
        <v/>
      </c>
      <c r="W107" s="16" t="str">
        <f aca="false">IF($D107="","",Y107-V107)</f>
        <v/>
      </c>
      <c r="X107" s="16" t="str">
        <f aca="false">IF($D107="","",W107-N107)</f>
        <v/>
      </c>
      <c r="AB107" s="17" t="str">
        <f aca="false">IF($D107="","",IF(OR($R107=TRUE(),$R107="TRUE"),Settings!$C$6,Settings!$C$7)*100)</f>
        <v/>
      </c>
      <c r="AH107" s="18" t="str">
        <f aca="false">IF($D107="","",IF(COUNTIF($D$2:$D107,$D107)=1,1,0))</f>
        <v/>
      </c>
      <c r="AI107" s="18" t="str">
        <f aca="false">IF($AH107=1,SUMPRODUCT(--($AK$2:$AK$4001&lt;$AK107))+1,"")</f>
        <v/>
      </c>
      <c r="AJ107" s="18" t="str">
        <f aca="false">IF($D107="","",IF(OR($R107=TRUE(),$R107="TRUE"),1,0))</f>
        <v/>
      </c>
      <c r="AK107" s="18" t="str">
        <f aca="false">IF($AH107=1,IFERROR(VALUE(MID($D107,2,20)),1000000000)+ROW()/10000000,"")</f>
        <v/>
      </c>
    </row>
    <row r="108" customFormat="false" ht="15" hidden="false" customHeight="false" outlineLevel="0" collapsed="false">
      <c r="F108" s="15"/>
      <c r="N108" s="16" t="str">
        <f aca="false">IF($D108="","",M108*Y108/100)</f>
        <v/>
      </c>
      <c r="V108" s="16" t="str">
        <f aca="false">IF($D108="","",Y108*AB108/100)</f>
        <v/>
      </c>
      <c r="W108" s="16" t="str">
        <f aca="false">IF($D108="","",Y108-V108)</f>
        <v/>
      </c>
      <c r="X108" s="16" t="str">
        <f aca="false">IF($D108="","",W108-N108)</f>
        <v/>
      </c>
      <c r="AB108" s="17" t="str">
        <f aca="false">IF($D108="","",IF(OR($R108=TRUE(),$R108="TRUE"),Settings!$C$6,Settings!$C$7)*100)</f>
        <v/>
      </c>
      <c r="AH108" s="18" t="str">
        <f aca="false">IF($D108="","",IF(COUNTIF($D$2:$D108,$D108)=1,1,0))</f>
        <v/>
      </c>
      <c r="AI108" s="18" t="str">
        <f aca="false">IF($AH108=1,SUMPRODUCT(--($AK$2:$AK$4001&lt;$AK108))+1,"")</f>
        <v/>
      </c>
      <c r="AJ108" s="18" t="str">
        <f aca="false">IF($D108="","",IF(OR($R108=TRUE(),$R108="TRUE"),1,0))</f>
        <v/>
      </c>
      <c r="AK108" s="18" t="str">
        <f aca="false">IF($AH108=1,IFERROR(VALUE(MID($D108,2,20)),1000000000)+ROW()/10000000,"")</f>
        <v/>
      </c>
    </row>
    <row r="109" customFormat="false" ht="15" hidden="false" customHeight="false" outlineLevel="0" collapsed="false">
      <c r="F109" s="15"/>
      <c r="N109" s="16" t="str">
        <f aca="false">IF($D109="","",M109*Y109/100)</f>
        <v/>
      </c>
      <c r="V109" s="16" t="str">
        <f aca="false">IF($D109="","",Y109*AB109/100)</f>
        <v/>
      </c>
      <c r="W109" s="16" t="str">
        <f aca="false">IF($D109="","",Y109-V109)</f>
        <v/>
      </c>
      <c r="X109" s="16" t="str">
        <f aca="false">IF($D109="","",W109-N109)</f>
        <v/>
      </c>
      <c r="AB109" s="17" t="str">
        <f aca="false">IF($D109="","",IF(OR($R109=TRUE(),$R109="TRUE"),Settings!$C$6,Settings!$C$7)*100)</f>
        <v/>
      </c>
      <c r="AH109" s="18" t="str">
        <f aca="false">IF($D109="","",IF(COUNTIF($D$2:$D109,$D109)=1,1,0))</f>
        <v/>
      </c>
      <c r="AI109" s="18" t="str">
        <f aca="false">IF($AH109=1,SUMPRODUCT(--($AK$2:$AK$4001&lt;$AK109))+1,"")</f>
        <v/>
      </c>
      <c r="AJ109" s="18" t="str">
        <f aca="false">IF($D109="","",IF(OR($R109=TRUE(),$R109="TRUE"),1,0))</f>
        <v/>
      </c>
      <c r="AK109" s="18" t="str">
        <f aca="false">IF($AH109=1,IFERROR(VALUE(MID($D109,2,20)),1000000000)+ROW()/10000000,"")</f>
        <v/>
      </c>
    </row>
    <row r="110" customFormat="false" ht="15" hidden="false" customHeight="false" outlineLevel="0" collapsed="false">
      <c r="F110" s="15"/>
      <c r="N110" s="16" t="str">
        <f aca="false">IF($D110="","",M110*Y110/100)</f>
        <v/>
      </c>
      <c r="V110" s="16" t="str">
        <f aca="false">IF($D110="","",Y110*AB110/100)</f>
        <v/>
      </c>
      <c r="W110" s="16" t="str">
        <f aca="false">IF($D110="","",Y110-V110)</f>
        <v/>
      </c>
      <c r="X110" s="16" t="str">
        <f aca="false">IF($D110="","",W110-N110)</f>
        <v/>
      </c>
      <c r="AB110" s="17" t="str">
        <f aca="false">IF($D110="","",IF(OR($R110=TRUE(),$R110="TRUE"),Settings!$C$6,Settings!$C$7)*100)</f>
        <v/>
      </c>
      <c r="AH110" s="18" t="str">
        <f aca="false">IF($D110="","",IF(COUNTIF($D$2:$D110,$D110)=1,1,0))</f>
        <v/>
      </c>
      <c r="AI110" s="18" t="str">
        <f aca="false">IF($AH110=1,SUMPRODUCT(--($AK$2:$AK$4001&lt;$AK110))+1,"")</f>
        <v/>
      </c>
      <c r="AJ110" s="18" t="str">
        <f aca="false">IF($D110="","",IF(OR($R110=TRUE(),$R110="TRUE"),1,0))</f>
        <v/>
      </c>
      <c r="AK110" s="18" t="str">
        <f aca="false">IF($AH110=1,IFERROR(VALUE(MID($D110,2,20)),1000000000)+ROW()/10000000,"")</f>
        <v/>
      </c>
    </row>
    <row r="111" customFormat="false" ht="15" hidden="false" customHeight="false" outlineLevel="0" collapsed="false">
      <c r="F111" s="15"/>
      <c r="N111" s="16" t="str">
        <f aca="false">IF($D111="","",M111*Y111/100)</f>
        <v/>
      </c>
      <c r="V111" s="16" t="str">
        <f aca="false">IF($D111="","",Y111*AB111/100)</f>
        <v/>
      </c>
      <c r="W111" s="16" t="str">
        <f aca="false">IF($D111="","",Y111-V111)</f>
        <v/>
      </c>
      <c r="X111" s="16" t="str">
        <f aca="false">IF($D111="","",W111-N111)</f>
        <v/>
      </c>
      <c r="AB111" s="17" t="str">
        <f aca="false">IF($D111="","",IF(OR($R111=TRUE(),$R111="TRUE"),Settings!$C$6,Settings!$C$7)*100)</f>
        <v/>
      </c>
      <c r="AH111" s="18" t="str">
        <f aca="false">IF($D111="","",IF(COUNTIF($D$2:$D111,$D111)=1,1,0))</f>
        <v/>
      </c>
      <c r="AI111" s="18" t="str">
        <f aca="false">IF($AH111=1,SUMPRODUCT(--($AK$2:$AK$4001&lt;$AK111))+1,"")</f>
        <v/>
      </c>
      <c r="AJ111" s="18" t="str">
        <f aca="false">IF($D111="","",IF(OR($R111=TRUE(),$R111="TRUE"),1,0))</f>
        <v/>
      </c>
      <c r="AK111" s="18" t="str">
        <f aca="false">IF($AH111=1,IFERROR(VALUE(MID($D111,2,20)),1000000000)+ROW()/10000000,"")</f>
        <v/>
      </c>
    </row>
    <row r="112" customFormat="false" ht="15" hidden="false" customHeight="false" outlineLevel="0" collapsed="false">
      <c r="F112" s="15"/>
      <c r="N112" s="16" t="str">
        <f aca="false">IF($D112="","",M112*Y112/100)</f>
        <v/>
      </c>
      <c r="V112" s="16" t="str">
        <f aca="false">IF($D112="","",Y112*AB112/100)</f>
        <v/>
      </c>
      <c r="W112" s="16" t="str">
        <f aca="false">IF($D112="","",Y112-V112)</f>
        <v/>
      </c>
      <c r="X112" s="16" t="str">
        <f aca="false">IF($D112="","",W112-N112)</f>
        <v/>
      </c>
      <c r="AB112" s="17" t="str">
        <f aca="false">IF($D112="","",IF(OR($R112=TRUE(),$R112="TRUE"),Settings!$C$6,Settings!$C$7)*100)</f>
        <v/>
      </c>
      <c r="AH112" s="18" t="str">
        <f aca="false">IF($D112="","",IF(COUNTIF($D$2:$D112,$D112)=1,1,0))</f>
        <v/>
      </c>
      <c r="AI112" s="18" t="str">
        <f aca="false">IF($AH112=1,SUMPRODUCT(--($AK$2:$AK$4001&lt;$AK112))+1,"")</f>
        <v/>
      </c>
      <c r="AJ112" s="18" t="str">
        <f aca="false">IF($D112="","",IF(OR($R112=TRUE(),$R112="TRUE"),1,0))</f>
        <v/>
      </c>
      <c r="AK112" s="18" t="str">
        <f aca="false">IF($AH112=1,IFERROR(VALUE(MID($D112,2,20)),1000000000)+ROW()/10000000,"")</f>
        <v/>
      </c>
    </row>
    <row r="113" customFormat="false" ht="15" hidden="false" customHeight="false" outlineLevel="0" collapsed="false">
      <c r="F113" s="15"/>
      <c r="N113" s="16" t="str">
        <f aca="false">IF($D113="","",M113*Y113/100)</f>
        <v/>
      </c>
      <c r="V113" s="16" t="str">
        <f aca="false">IF($D113="","",Y113*AB113/100)</f>
        <v/>
      </c>
      <c r="W113" s="16" t="str">
        <f aca="false">IF($D113="","",Y113-V113)</f>
        <v/>
      </c>
      <c r="X113" s="16" t="str">
        <f aca="false">IF($D113="","",W113-N113)</f>
        <v/>
      </c>
      <c r="AB113" s="17" t="str">
        <f aca="false">IF($D113="","",IF(OR($R113=TRUE(),$R113="TRUE"),Settings!$C$6,Settings!$C$7)*100)</f>
        <v/>
      </c>
      <c r="AH113" s="18" t="str">
        <f aca="false">IF($D113="","",IF(COUNTIF($D$2:$D113,$D113)=1,1,0))</f>
        <v/>
      </c>
      <c r="AI113" s="18" t="str">
        <f aca="false">IF($AH113=1,SUMPRODUCT(--($AK$2:$AK$4001&lt;$AK113))+1,"")</f>
        <v/>
      </c>
      <c r="AJ113" s="18" t="str">
        <f aca="false">IF($D113="","",IF(OR($R113=TRUE(),$R113="TRUE"),1,0))</f>
        <v/>
      </c>
      <c r="AK113" s="18" t="str">
        <f aca="false">IF($AH113=1,IFERROR(VALUE(MID($D113,2,20)),1000000000)+ROW()/10000000,"")</f>
        <v/>
      </c>
    </row>
    <row r="114" customFormat="false" ht="15" hidden="false" customHeight="false" outlineLevel="0" collapsed="false">
      <c r="F114" s="15"/>
      <c r="N114" s="16" t="str">
        <f aca="false">IF($D114="","",M114*Y114/100)</f>
        <v/>
      </c>
      <c r="V114" s="16" t="str">
        <f aca="false">IF($D114="","",Y114*AB114/100)</f>
        <v/>
      </c>
      <c r="W114" s="16" t="str">
        <f aca="false">IF($D114="","",Y114-V114)</f>
        <v/>
      </c>
      <c r="X114" s="16" t="str">
        <f aca="false">IF($D114="","",W114-N114)</f>
        <v/>
      </c>
      <c r="AB114" s="17" t="str">
        <f aca="false">IF($D114="","",IF(OR($R114=TRUE(),$R114="TRUE"),Settings!$C$6,Settings!$C$7)*100)</f>
        <v/>
      </c>
      <c r="AH114" s="18" t="str">
        <f aca="false">IF($D114="","",IF(COUNTIF($D$2:$D114,$D114)=1,1,0))</f>
        <v/>
      </c>
      <c r="AI114" s="18" t="str">
        <f aca="false">IF($AH114=1,SUMPRODUCT(--($AK$2:$AK$4001&lt;$AK114))+1,"")</f>
        <v/>
      </c>
      <c r="AJ114" s="18" t="str">
        <f aca="false">IF($D114="","",IF(OR($R114=TRUE(),$R114="TRUE"),1,0))</f>
        <v/>
      </c>
      <c r="AK114" s="18" t="str">
        <f aca="false">IF($AH114=1,IFERROR(VALUE(MID($D114,2,20)),1000000000)+ROW()/10000000,"")</f>
        <v/>
      </c>
    </row>
    <row r="115" customFormat="false" ht="15" hidden="false" customHeight="false" outlineLevel="0" collapsed="false">
      <c r="F115" s="15"/>
      <c r="N115" s="16" t="str">
        <f aca="false">IF($D115="","",M115*Y115/100)</f>
        <v/>
      </c>
      <c r="V115" s="16" t="str">
        <f aca="false">IF($D115="","",Y115*AB115/100)</f>
        <v/>
      </c>
      <c r="W115" s="16" t="str">
        <f aca="false">IF($D115="","",Y115-V115)</f>
        <v/>
      </c>
      <c r="X115" s="16" t="str">
        <f aca="false">IF($D115="","",W115-N115)</f>
        <v/>
      </c>
      <c r="AB115" s="17" t="str">
        <f aca="false">IF($D115="","",IF(OR($R115=TRUE(),$R115="TRUE"),Settings!$C$6,Settings!$C$7)*100)</f>
        <v/>
      </c>
      <c r="AH115" s="18" t="str">
        <f aca="false">IF($D115="","",IF(COUNTIF($D$2:$D115,$D115)=1,1,0))</f>
        <v/>
      </c>
      <c r="AI115" s="18" t="str">
        <f aca="false">IF($AH115=1,SUMPRODUCT(--($AK$2:$AK$4001&lt;$AK115))+1,"")</f>
        <v/>
      </c>
      <c r="AJ115" s="18" t="str">
        <f aca="false">IF($D115="","",IF(OR($R115=TRUE(),$R115="TRUE"),1,0))</f>
        <v/>
      </c>
      <c r="AK115" s="18" t="str">
        <f aca="false">IF($AH115=1,IFERROR(VALUE(MID($D115,2,20)),1000000000)+ROW()/10000000,"")</f>
        <v/>
      </c>
    </row>
    <row r="116" customFormat="false" ht="15" hidden="false" customHeight="false" outlineLevel="0" collapsed="false">
      <c r="F116" s="15"/>
      <c r="N116" s="16" t="str">
        <f aca="false">IF($D116="","",M116*Y116/100)</f>
        <v/>
      </c>
      <c r="V116" s="16" t="str">
        <f aca="false">IF($D116="","",Y116*AB116/100)</f>
        <v/>
      </c>
      <c r="W116" s="16" t="str">
        <f aca="false">IF($D116="","",Y116-V116)</f>
        <v/>
      </c>
      <c r="X116" s="16" t="str">
        <f aca="false">IF($D116="","",W116-N116)</f>
        <v/>
      </c>
      <c r="AB116" s="17" t="str">
        <f aca="false">IF($D116="","",IF(OR($R116=TRUE(),$R116="TRUE"),Settings!$C$6,Settings!$C$7)*100)</f>
        <v/>
      </c>
      <c r="AH116" s="18" t="str">
        <f aca="false">IF($D116="","",IF(COUNTIF($D$2:$D116,$D116)=1,1,0))</f>
        <v/>
      </c>
      <c r="AI116" s="18" t="str">
        <f aca="false">IF($AH116=1,SUMPRODUCT(--($AK$2:$AK$4001&lt;$AK116))+1,"")</f>
        <v/>
      </c>
      <c r="AJ116" s="18" t="str">
        <f aca="false">IF($D116="","",IF(OR($R116=TRUE(),$R116="TRUE"),1,0))</f>
        <v/>
      </c>
      <c r="AK116" s="18" t="str">
        <f aca="false">IF($AH116=1,IFERROR(VALUE(MID($D116,2,20)),1000000000)+ROW()/10000000,"")</f>
        <v/>
      </c>
    </row>
    <row r="117" customFormat="false" ht="15" hidden="false" customHeight="false" outlineLevel="0" collapsed="false">
      <c r="F117" s="15"/>
      <c r="N117" s="16" t="str">
        <f aca="false">IF($D117="","",M117*Y117/100)</f>
        <v/>
      </c>
      <c r="V117" s="16" t="str">
        <f aca="false">IF($D117="","",Y117*AB117/100)</f>
        <v/>
      </c>
      <c r="W117" s="16" t="str">
        <f aca="false">IF($D117="","",Y117-V117)</f>
        <v/>
      </c>
      <c r="X117" s="16" t="str">
        <f aca="false">IF($D117="","",W117-N117)</f>
        <v/>
      </c>
      <c r="AB117" s="17" t="str">
        <f aca="false">IF($D117="","",IF(OR($R117=TRUE(),$R117="TRUE"),Settings!$C$6,Settings!$C$7)*100)</f>
        <v/>
      </c>
      <c r="AH117" s="18" t="str">
        <f aca="false">IF($D117="","",IF(COUNTIF($D$2:$D117,$D117)=1,1,0))</f>
        <v/>
      </c>
      <c r="AI117" s="18" t="str">
        <f aca="false">IF($AH117=1,SUMPRODUCT(--($AK$2:$AK$4001&lt;$AK117))+1,"")</f>
        <v/>
      </c>
      <c r="AJ117" s="18" t="str">
        <f aca="false">IF($D117="","",IF(OR($R117=TRUE(),$R117="TRUE"),1,0))</f>
        <v/>
      </c>
      <c r="AK117" s="18" t="str">
        <f aca="false">IF($AH117=1,IFERROR(VALUE(MID($D117,2,20)),1000000000)+ROW()/10000000,"")</f>
        <v/>
      </c>
    </row>
    <row r="118" customFormat="false" ht="15" hidden="false" customHeight="false" outlineLevel="0" collapsed="false">
      <c r="F118" s="15"/>
      <c r="N118" s="16" t="str">
        <f aca="false">IF($D118="","",M118*Y118/100)</f>
        <v/>
      </c>
      <c r="V118" s="16" t="str">
        <f aca="false">IF($D118="","",Y118*AB118/100)</f>
        <v/>
      </c>
      <c r="W118" s="16" t="str">
        <f aca="false">IF($D118="","",Y118-V118)</f>
        <v/>
      </c>
      <c r="X118" s="16" t="str">
        <f aca="false">IF($D118="","",W118-N118)</f>
        <v/>
      </c>
      <c r="AB118" s="17" t="str">
        <f aca="false">IF($D118="","",IF(OR($R118=TRUE(),$R118="TRUE"),Settings!$C$6,Settings!$C$7)*100)</f>
        <v/>
      </c>
      <c r="AH118" s="18" t="str">
        <f aca="false">IF($D118="","",IF(COUNTIF($D$2:$D118,$D118)=1,1,0))</f>
        <v/>
      </c>
      <c r="AI118" s="18" t="str">
        <f aca="false">IF($AH118=1,SUMPRODUCT(--($AK$2:$AK$4001&lt;$AK118))+1,"")</f>
        <v/>
      </c>
      <c r="AJ118" s="18" t="str">
        <f aca="false">IF($D118="","",IF(OR($R118=TRUE(),$R118="TRUE"),1,0))</f>
        <v/>
      </c>
      <c r="AK118" s="18" t="str">
        <f aca="false">IF($AH118=1,IFERROR(VALUE(MID($D118,2,20)),1000000000)+ROW()/10000000,"")</f>
        <v/>
      </c>
    </row>
    <row r="119" customFormat="false" ht="15" hidden="false" customHeight="false" outlineLevel="0" collapsed="false">
      <c r="F119" s="15"/>
      <c r="N119" s="16" t="str">
        <f aca="false">IF($D119="","",M119*Y119/100)</f>
        <v/>
      </c>
      <c r="V119" s="16" t="str">
        <f aca="false">IF($D119="","",Y119*AB119/100)</f>
        <v/>
      </c>
      <c r="W119" s="16" t="str">
        <f aca="false">IF($D119="","",Y119-V119)</f>
        <v/>
      </c>
      <c r="X119" s="16" t="str">
        <f aca="false">IF($D119="","",W119-N119)</f>
        <v/>
      </c>
      <c r="AB119" s="17" t="str">
        <f aca="false">IF($D119="","",IF(OR($R119=TRUE(),$R119="TRUE"),Settings!$C$6,Settings!$C$7)*100)</f>
        <v/>
      </c>
      <c r="AH119" s="18" t="str">
        <f aca="false">IF($D119="","",IF(COUNTIF($D$2:$D119,$D119)=1,1,0))</f>
        <v/>
      </c>
      <c r="AI119" s="18" t="str">
        <f aca="false">IF($AH119=1,SUMPRODUCT(--($AK$2:$AK$4001&lt;$AK119))+1,"")</f>
        <v/>
      </c>
      <c r="AJ119" s="18" t="str">
        <f aca="false">IF($D119="","",IF(OR($R119=TRUE(),$R119="TRUE"),1,0))</f>
        <v/>
      </c>
      <c r="AK119" s="18" t="str">
        <f aca="false">IF($AH119=1,IFERROR(VALUE(MID($D119,2,20)),1000000000)+ROW()/10000000,"")</f>
        <v/>
      </c>
    </row>
    <row r="120" customFormat="false" ht="15" hidden="false" customHeight="false" outlineLevel="0" collapsed="false">
      <c r="F120" s="15"/>
      <c r="N120" s="16" t="str">
        <f aca="false">IF($D120="","",M120*Y120/100)</f>
        <v/>
      </c>
      <c r="V120" s="16" t="str">
        <f aca="false">IF($D120="","",Y120*AB120/100)</f>
        <v/>
      </c>
      <c r="W120" s="16" t="str">
        <f aca="false">IF($D120="","",Y120-V120)</f>
        <v/>
      </c>
      <c r="X120" s="16" t="str">
        <f aca="false">IF($D120="","",W120-N120)</f>
        <v/>
      </c>
      <c r="AB120" s="17" t="str">
        <f aca="false">IF($D120="","",IF(OR($R120=TRUE(),$R120="TRUE"),Settings!$C$6,Settings!$C$7)*100)</f>
        <v/>
      </c>
      <c r="AH120" s="18" t="str">
        <f aca="false">IF($D120="","",IF(COUNTIF($D$2:$D120,$D120)=1,1,0))</f>
        <v/>
      </c>
      <c r="AI120" s="18" t="str">
        <f aca="false">IF($AH120=1,SUMPRODUCT(--($AK$2:$AK$4001&lt;$AK120))+1,"")</f>
        <v/>
      </c>
      <c r="AJ120" s="18" t="str">
        <f aca="false">IF($D120="","",IF(OR($R120=TRUE(),$R120="TRUE"),1,0))</f>
        <v/>
      </c>
      <c r="AK120" s="18" t="str">
        <f aca="false">IF($AH120=1,IFERROR(VALUE(MID($D120,2,20)),1000000000)+ROW()/10000000,"")</f>
        <v/>
      </c>
    </row>
    <row r="121" customFormat="false" ht="15" hidden="false" customHeight="false" outlineLevel="0" collapsed="false">
      <c r="F121" s="15"/>
      <c r="N121" s="16" t="str">
        <f aca="false">IF($D121="","",M121*Y121/100)</f>
        <v/>
      </c>
      <c r="V121" s="16" t="str">
        <f aca="false">IF($D121="","",Y121*AB121/100)</f>
        <v/>
      </c>
      <c r="W121" s="16" t="str">
        <f aca="false">IF($D121="","",Y121-V121)</f>
        <v/>
      </c>
      <c r="X121" s="16" t="str">
        <f aca="false">IF($D121="","",W121-N121)</f>
        <v/>
      </c>
      <c r="AB121" s="17" t="str">
        <f aca="false">IF($D121="","",IF(OR($R121=TRUE(),$R121="TRUE"),Settings!$C$6,Settings!$C$7)*100)</f>
        <v/>
      </c>
      <c r="AH121" s="18" t="str">
        <f aca="false">IF($D121="","",IF(COUNTIF($D$2:$D121,$D121)=1,1,0))</f>
        <v/>
      </c>
      <c r="AI121" s="18" t="str">
        <f aca="false">IF($AH121=1,SUMPRODUCT(--($AK$2:$AK$4001&lt;$AK121))+1,"")</f>
        <v/>
      </c>
      <c r="AJ121" s="18" t="str">
        <f aca="false">IF($D121="","",IF(OR($R121=TRUE(),$R121="TRUE"),1,0))</f>
        <v/>
      </c>
      <c r="AK121" s="18" t="str">
        <f aca="false">IF($AH121=1,IFERROR(VALUE(MID($D121,2,20)),1000000000)+ROW()/10000000,"")</f>
        <v/>
      </c>
    </row>
    <row r="122" customFormat="false" ht="15" hidden="false" customHeight="false" outlineLevel="0" collapsed="false">
      <c r="F122" s="15"/>
      <c r="N122" s="16" t="str">
        <f aca="false">IF($D122="","",M122*Y122/100)</f>
        <v/>
      </c>
      <c r="V122" s="16" t="str">
        <f aca="false">IF($D122="","",Y122*AB122/100)</f>
        <v/>
      </c>
      <c r="W122" s="16" t="str">
        <f aca="false">IF($D122="","",Y122-V122)</f>
        <v/>
      </c>
      <c r="X122" s="16" t="str">
        <f aca="false">IF($D122="","",W122-N122)</f>
        <v/>
      </c>
      <c r="AB122" s="17" t="str">
        <f aca="false">IF($D122="","",IF(OR($R122=TRUE(),$R122="TRUE"),Settings!$C$6,Settings!$C$7)*100)</f>
        <v/>
      </c>
      <c r="AH122" s="18" t="str">
        <f aca="false">IF($D122="","",IF(COUNTIF($D$2:$D122,$D122)=1,1,0))</f>
        <v/>
      </c>
      <c r="AI122" s="18" t="str">
        <f aca="false">IF($AH122=1,SUMPRODUCT(--($AK$2:$AK$4001&lt;$AK122))+1,"")</f>
        <v/>
      </c>
      <c r="AJ122" s="18" t="str">
        <f aca="false">IF($D122="","",IF(OR($R122=TRUE(),$R122="TRUE"),1,0))</f>
        <v/>
      </c>
      <c r="AK122" s="18" t="str">
        <f aca="false">IF($AH122=1,IFERROR(VALUE(MID($D122,2,20)),1000000000)+ROW()/10000000,"")</f>
        <v/>
      </c>
    </row>
    <row r="123" customFormat="false" ht="15" hidden="false" customHeight="false" outlineLevel="0" collapsed="false">
      <c r="F123" s="15"/>
      <c r="N123" s="16" t="str">
        <f aca="false">IF($D123="","",M123*Y123/100)</f>
        <v/>
      </c>
      <c r="V123" s="16" t="str">
        <f aca="false">IF($D123="","",Y123*AB123/100)</f>
        <v/>
      </c>
      <c r="W123" s="16" t="str">
        <f aca="false">IF($D123="","",Y123-V123)</f>
        <v/>
      </c>
      <c r="X123" s="16" t="str">
        <f aca="false">IF($D123="","",W123-N123)</f>
        <v/>
      </c>
      <c r="AB123" s="17" t="str">
        <f aca="false">IF($D123="","",IF(OR($R123=TRUE(),$R123="TRUE"),Settings!$C$6,Settings!$C$7)*100)</f>
        <v/>
      </c>
      <c r="AH123" s="18" t="str">
        <f aca="false">IF($D123="","",IF(COUNTIF($D$2:$D123,$D123)=1,1,0))</f>
        <v/>
      </c>
      <c r="AI123" s="18" t="str">
        <f aca="false">IF($AH123=1,SUMPRODUCT(--($AK$2:$AK$4001&lt;$AK123))+1,"")</f>
        <v/>
      </c>
      <c r="AJ123" s="18" t="str">
        <f aca="false">IF($D123="","",IF(OR($R123=TRUE(),$R123="TRUE"),1,0))</f>
        <v/>
      </c>
      <c r="AK123" s="18" t="str">
        <f aca="false">IF($AH123=1,IFERROR(VALUE(MID($D123,2,20)),1000000000)+ROW()/10000000,"")</f>
        <v/>
      </c>
    </row>
    <row r="124" customFormat="false" ht="15" hidden="false" customHeight="false" outlineLevel="0" collapsed="false">
      <c r="F124" s="15"/>
      <c r="N124" s="16" t="str">
        <f aca="false">IF($D124="","",M124*Y124/100)</f>
        <v/>
      </c>
      <c r="V124" s="16" t="str">
        <f aca="false">IF($D124="","",Y124*AB124/100)</f>
        <v/>
      </c>
      <c r="W124" s="16" t="str">
        <f aca="false">IF($D124="","",Y124-V124)</f>
        <v/>
      </c>
      <c r="X124" s="16" t="str">
        <f aca="false">IF($D124="","",W124-N124)</f>
        <v/>
      </c>
      <c r="AB124" s="17" t="str">
        <f aca="false">IF($D124="","",IF(OR($R124=TRUE(),$R124="TRUE"),Settings!$C$6,Settings!$C$7)*100)</f>
        <v/>
      </c>
      <c r="AH124" s="18" t="str">
        <f aca="false">IF($D124="","",IF(COUNTIF($D$2:$D124,$D124)=1,1,0))</f>
        <v/>
      </c>
      <c r="AI124" s="18" t="str">
        <f aca="false">IF($AH124=1,SUMPRODUCT(--($AK$2:$AK$4001&lt;$AK124))+1,"")</f>
        <v/>
      </c>
      <c r="AJ124" s="18" t="str">
        <f aca="false">IF($D124="","",IF(OR($R124=TRUE(),$R124="TRUE"),1,0))</f>
        <v/>
      </c>
      <c r="AK124" s="18" t="str">
        <f aca="false">IF($AH124=1,IFERROR(VALUE(MID($D124,2,20)),1000000000)+ROW()/10000000,"")</f>
        <v/>
      </c>
    </row>
    <row r="125" customFormat="false" ht="15" hidden="false" customHeight="false" outlineLevel="0" collapsed="false">
      <c r="F125" s="15"/>
      <c r="N125" s="16" t="str">
        <f aca="false">IF($D125="","",M125*Y125/100)</f>
        <v/>
      </c>
      <c r="V125" s="16" t="str">
        <f aca="false">IF($D125="","",Y125*AB125/100)</f>
        <v/>
      </c>
      <c r="W125" s="16" t="str">
        <f aca="false">IF($D125="","",Y125-V125)</f>
        <v/>
      </c>
      <c r="X125" s="16" t="str">
        <f aca="false">IF($D125="","",W125-N125)</f>
        <v/>
      </c>
      <c r="AB125" s="17" t="str">
        <f aca="false">IF($D125="","",IF(OR($R125=TRUE(),$R125="TRUE"),Settings!$C$6,Settings!$C$7)*100)</f>
        <v/>
      </c>
      <c r="AH125" s="18" t="str">
        <f aca="false">IF($D125="","",IF(COUNTIF($D$2:$D125,$D125)=1,1,0))</f>
        <v/>
      </c>
      <c r="AI125" s="18" t="str">
        <f aca="false">IF($AH125=1,SUMPRODUCT(--($AK$2:$AK$4001&lt;$AK125))+1,"")</f>
        <v/>
      </c>
      <c r="AJ125" s="18" t="str">
        <f aca="false">IF($D125="","",IF(OR($R125=TRUE(),$R125="TRUE"),1,0))</f>
        <v/>
      </c>
      <c r="AK125" s="18" t="str">
        <f aca="false">IF($AH125=1,IFERROR(VALUE(MID($D125,2,20)),1000000000)+ROW()/10000000,"")</f>
        <v/>
      </c>
    </row>
    <row r="126" customFormat="false" ht="15" hidden="false" customHeight="false" outlineLevel="0" collapsed="false">
      <c r="F126" s="15"/>
      <c r="N126" s="16" t="str">
        <f aca="false">IF($D126="","",M126*Y126/100)</f>
        <v/>
      </c>
      <c r="V126" s="16" t="str">
        <f aca="false">IF($D126="","",Y126*AB126/100)</f>
        <v/>
      </c>
      <c r="W126" s="16" t="str">
        <f aca="false">IF($D126="","",Y126-V126)</f>
        <v/>
      </c>
      <c r="X126" s="16" t="str">
        <f aca="false">IF($D126="","",W126-N126)</f>
        <v/>
      </c>
      <c r="AB126" s="17" t="str">
        <f aca="false">IF($D126="","",IF(OR($R126=TRUE(),$R126="TRUE"),Settings!$C$6,Settings!$C$7)*100)</f>
        <v/>
      </c>
      <c r="AH126" s="18" t="str">
        <f aca="false">IF($D126="","",IF(COUNTIF($D$2:$D126,$D126)=1,1,0))</f>
        <v/>
      </c>
      <c r="AI126" s="18" t="str">
        <f aca="false">IF($AH126=1,SUMPRODUCT(--($AK$2:$AK$4001&lt;$AK126))+1,"")</f>
        <v/>
      </c>
      <c r="AJ126" s="18" t="str">
        <f aca="false">IF($D126="","",IF(OR($R126=TRUE(),$R126="TRUE"),1,0))</f>
        <v/>
      </c>
      <c r="AK126" s="18" t="str">
        <f aca="false">IF($AH126=1,IFERROR(VALUE(MID($D126,2,20)),1000000000)+ROW()/10000000,"")</f>
        <v/>
      </c>
    </row>
    <row r="127" customFormat="false" ht="15" hidden="false" customHeight="false" outlineLevel="0" collapsed="false">
      <c r="F127" s="15"/>
      <c r="N127" s="16" t="str">
        <f aca="false">IF($D127="","",M127*Y127/100)</f>
        <v/>
      </c>
      <c r="V127" s="16" t="str">
        <f aca="false">IF($D127="","",Y127*AB127/100)</f>
        <v/>
      </c>
      <c r="W127" s="16" t="str">
        <f aca="false">IF($D127="","",Y127-V127)</f>
        <v/>
      </c>
      <c r="X127" s="16" t="str">
        <f aca="false">IF($D127="","",W127-N127)</f>
        <v/>
      </c>
      <c r="AB127" s="17" t="str">
        <f aca="false">IF($D127="","",IF(OR($R127=TRUE(),$R127="TRUE"),Settings!$C$6,Settings!$C$7)*100)</f>
        <v/>
      </c>
      <c r="AH127" s="18" t="str">
        <f aca="false">IF($D127="","",IF(COUNTIF($D$2:$D127,$D127)=1,1,0))</f>
        <v/>
      </c>
      <c r="AI127" s="18" t="str">
        <f aca="false">IF($AH127=1,SUMPRODUCT(--($AK$2:$AK$4001&lt;$AK127))+1,"")</f>
        <v/>
      </c>
      <c r="AJ127" s="18" t="str">
        <f aca="false">IF($D127="","",IF(OR($R127=TRUE(),$R127="TRUE"),1,0))</f>
        <v/>
      </c>
      <c r="AK127" s="18" t="str">
        <f aca="false">IF($AH127=1,IFERROR(VALUE(MID($D127,2,20)),1000000000)+ROW()/10000000,"")</f>
        <v/>
      </c>
    </row>
    <row r="128" customFormat="false" ht="15" hidden="false" customHeight="false" outlineLevel="0" collapsed="false">
      <c r="F128" s="15"/>
      <c r="N128" s="16" t="str">
        <f aca="false">IF($D128="","",M128*Y128/100)</f>
        <v/>
      </c>
      <c r="V128" s="16" t="str">
        <f aca="false">IF($D128="","",Y128*AB128/100)</f>
        <v/>
      </c>
      <c r="W128" s="16" t="str">
        <f aca="false">IF($D128="","",Y128-V128)</f>
        <v/>
      </c>
      <c r="X128" s="16" t="str">
        <f aca="false">IF($D128="","",W128-N128)</f>
        <v/>
      </c>
      <c r="AB128" s="17" t="str">
        <f aca="false">IF($D128="","",IF(OR($R128=TRUE(),$R128="TRUE"),Settings!$C$6,Settings!$C$7)*100)</f>
        <v/>
      </c>
      <c r="AH128" s="18" t="str">
        <f aca="false">IF($D128="","",IF(COUNTIF($D$2:$D128,$D128)=1,1,0))</f>
        <v/>
      </c>
      <c r="AI128" s="18" t="str">
        <f aca="false">IF($AH128=1,SUMPRODUCT(--($AK$2:$AK$4001&lt;$AK128))+1,"")</f>
        <v/>
      </c>
      <c r="AJ128" s="18" t="str">
        <f aca="false">IF($D128="","",IF(OR($R128=TRUE(),$R128="TRUE"),1,0))</f>
        <v/>
      </c>
      <c r="AK128" s="18" t="str">
        <f aca="false">IF($AH128=1,IFERROR(VALUE(MID($D128,2,20)),1000000000)+ROW()/10000000,"")</f>
        <v/>
      </c>
    </row>
    <row r="129" customFormat="false" ht="15" hidden="false" customHeight="false" outlineLevel="0" collapsed="false">
      <c r="F129" s="15"/>
      <c r="N129" s="16" t="str">
        <f aca="false">IF($D129="","",M129*Y129/100)</f>
        <v/>
      </c>
      <c r="V129" s="16" t="str">
        <f aca="false">IF($D129="","",Y129*AB129/100)</f>
        <v/>
      </c>
      <c r="W129" s="16" t="str">
        <f aca="false">IF($D129="","",Y129-V129)</f>
        <v/>
      </c>
      <c r="X129" s="16" t="str">
        <f aca="false">IF($D129="","",W129-N129)</f>
        <v/>
      </c>
      <c r="AB129" s="17" t="str">
        <f aca="false">IF($D129="","",IF(OR($R129=TRUE(),$R129="TRUE"),Settings!$C$6,Settings!$C$7)*100)</f>
        <v/>
      </c>
      <c r="AH129" s="18" t="str">
        <f aca="false">IF($D129="","",IF(COUNTIF($D$2:$D129,$D129)=1,1,0))</f>
        <v/>
      </c>
      <c r="AI129" s="18" t="str">
        <f aca="false">IF($AH129=1,SUMPRODUCT(--($AK$2:$AK$4001&lt;$AK129))+1,"")</f>
        <v/>
      </c>
      <c r="AJ129" s="18" t="str">
        <f aca="false">IF($D129="","",IF(OR($R129=TRUE(),$R129="TRUE"),1,0))</f>
        <v/>
      </c>
      <c r="AK129" s="18" t="str">
        <f aca="false">IF($AH129=1,IFERROR(VALUE(MID($D129,2,20)),1000000000)+ROW()/10000000,"")</f>
        <v/>
      </c>
    </row>
    <row r="130" customFormat="false" ht="15" hidden="false" customHeight="false" outlineLevel="0" collapsed="false">
      <c r="F130" s="15"/>
      <c r="N130" s="16" t="str">
        <f aca="false">IF($D130="","",M130*Y130/100)</f>
        <v/>
      </c>
      <c r="V130" s="16" t="str">
        <f aca="false">IF($D130="","",Y130*AB130/100)</f>
        <v/>
      </c>
      <c r="W130" s="16" t="str">
        <f aca="false">IF($D130="","",Y130-V130)</f>
        <v/>
      </c>
      <c r="X130" s="16" t="str">
        <f aca="false">IF($D130="","",W130-N130)</f>
        <v/>
      </c>
      <c r="AB130" s="17" t="str">
        <f aca="false">IF($D130="","",IF(OR($R130=TRUE(),$R130="TRUE"),Settings!$C$6,Settings!$C$7)*100)</f>
        <v/>
      </c>
      <c r="AH130" s="18" t="str">
        <f aca="false">IF($D130="","",IF(COUNTIF($D$2:$D130,$D130)=1,1,0))</f>
        <v/>
      </c>
      <c r="AI130" s="18" t="str">
        <f aca="false">IF($AH130=1,SUMPRODUCT(--($AK$2:$AK$4001&lt;$AK130))+1,"")</f>
        <v/>
      </c>
      <c r="AJ130" s="18" t="str">
        <f aca="false">IF($D130="","",IF(OR($R130=TRUE(),$R130="TRUE"),1,0))</f>
        <v/>
      </c>
      <c r="AK130" s="18" t="str">
        <f aca="false">IF($AH130=1,IFERROR(VALUE(MID($D130,2,20)),1000000000)+ROW()/10000000,"")</f>
        <v/>
      </c>
    </row>
    <row r="131" customFormat="false" ht="15" hidden="false" customHeight="false" outlineLevel="0" collapsed="false">
      <c r="F131" s="15"/>
      <c r="N131" s="16" t="str">
        <f aca="false">IF($D131="","",M131*Y131/100)</f>
        <v/>
      </c>
      <c r="V131" s="16" t="str">
        <f aca="false">IF($D131="","",Y131*AB131/100)</f>
        <v/>
      </c>
      <c r="W131" s="16" t="str">
        <f aca="false">IF($D131="","",Y131-V131)</f>
        <v/>
      </c>
      <c r="X131" s="16" t="str">
        <f aca="false">IF($D131="","",W131-N131)</f>
        <v/>
      </c>
      <c r="AB131" s="17" t="str">
        <f aca="false">IF($D131="","",IF(OR($R131=TRUE(),$R131="TRUE"),Settings!$C$6,Settings!$C$7)*100)</f>
        <v/>
      </c>
      <c r="AH131" s="18" t="str">
        <f aca="false">IF($D131="","",IF(COUNTIF($D$2:$D131,$D131)=1,1,0))</f>
        <v/>
      </c>
      <c r="AI131" s="18" t="str">
        <f aca="false">IF($AH131=1,SUMPRODUCT(--($AK$2:$AK$4001&lt;$AK131))+1,"")</f>
        <v/>
      </c>
      <c r="AJ131" s="18" t="str">
        <f aca="false">IF($D131="","",IF(OR($R131=TRUE(),$R131="TRUE"),1,0))</f>
        <v/>
      </c>
      <c r="AK131" s="18" t="str">
        <f aca="false">IF($AH131=1,IFERROR(VALUE(MID($D131,2,20)),1000000000)+ROW()/10000000,"")</f>
        <v/>
      </c>
    </row>
    <row r="132" customFormat="false" ht="15" hidden="false" customHeight="false" outlineLevel="0" collapsed="false">
      <c r="F132" s="15"/>
      <c r="N132" s="16" t="str">
        <f aca="false">IF($D132="","",M132*Y132/100)</f>
        <v/>
      </c>
      <c r="V132" s="16" t="str">
        <f aca="false">IF($D132="","",Y132*AB132/100)</f>
        <v/>
      </c>
      <c r="W132" s="16" t="str">
        <f aca="false">IF($D132="","",Y132-V132)</f>
        <v/>
      </c>
      <c r="X132" s="16" t="str">
        <f aca="false">IF($D132="","",W132-N132)</f>
        <v/>
      </c>
      <c r="AB132" s="17" t="str">
        <f aca="false">IF($D132="","",IF(OR($R132=TRUE(),$R132="TRUE"),Settings!$C$6,Settings!$C$7)*100)</f>
        <v/>
      </c>
      <c r="AH132" s="18" t="str">
        <f aca="false">IF($D132="","",IF(COUNTIF($D$2:$D132,$D132)=1,1,0))</f>
        <v/>
      </c>
      <c r="AI132" s="18" t="str">
        <f aca="false">IF($AH132=1,SUMPRODUCT(--($AK$2:$AK$4001&lt;$AK132))+1,"")</f>
        <v/>
      </c>
      <c r="AJ132" s="18" t="str">
        <f aca="false">IF($D132="","",IF(OR($R132=TRUE(),$R132="TRUE"),1,0))</f>
        <v/>
      </c>
      <c r="AK132" s="18" t="str">
        <f aca="false">IF($AH132=1,IFERROR(VALUE(MID($D132,2,20)),1000000000)+ROW()/10000000,"")</f>
        <v/>
      </c>
    </row>
    <row r="133" customFormat="false" ht="15" hidden="false" customHeight="false" outlineLevel="0" collapsed="false">
      <c r="F133" s="15"/>
      <c r="N133" s="16" t="str">
        <f aca="false">IF($D133="","",M133*Y133/100)</f>
        <v/>
      </c>
      <c r="V133" s="16" t="str">
        <f aca="false">IF($D133="","",Y133*AB133/100)</f>
        <v/>
      </c>
      <c r="W133" s="16" t="str">
        <f aca="false">IF($D133="","",Y133-V133)</f>
        <v/>
      </c>
      <c r="X133" s="16" t="str">
        <f aca="false">IF($D133="","",W133-N133)</f>
        <v/>
      </c>
      <c r="AB133" s="17" t="str">
        <f aca="false">IF($D133="","",IF(OR($R133=TRUE(),$R133="TRUE"),Settings!$C$6,Settings!$C$7)*100)</f>
        <v/>
      </c>
      <c r="AH133" s="18" t="str">
        <f aca="false">IF($D133="","",IF(COUNTIF($D$2:$D133,$D133)=1,1,0))</f>
        <v/>
      </c>
      <c r="AI133" s="18" t="str">
        <f aca="false">IF($AH133=1,SUMPRODUCT(--($AK$2:$AK$4001&lt;$AK133))+1,"")</f>
        <v/>
      </c>
      <c r="AJ133" s="18" t="str">
        <f aca="false">IF($D133="","",IF(OR($R133=TRUE(),$R133="TRUE"),1,0))</f>
        <v/>
      </c>
      <c r="AK133" s="18" t="str">
        <f aca="false">IF($AH133=1,IFERROR(VALUE(MID($D133,2,20)),1000000000)+ROW()/10000000,"")</f>
        <v/>
      </c>
    </row>
    <row r="134" customFormat="false" ht="15" hidden="false" customHeight="false" outlineLevel="0" collapsed="false">
      <c r="F134" s="15"/>
      <c r="N134" s="16" t="str">
        <f aca="false">IF($D134="","",M134*Y134/100)</f>
        <v/>
      </c>
      <c r="V134" s="16" t="str">
        <f aca="false">IF($D134="","",Y134*AB134/100)</f>
        <v/>
      </c>
      <c r="W134" s="16" t="str">
        <f aca="false">IF($D134="","",Y134-V134)</f>
        <v/>
      </c>
      <c r="X134" s="16" t="str">
        <f aca="false">IF($D134="","",W134-N134)</f>
        <v/>
      </c>
      <c r="AB134" s="17" t="str">
        <f aca="false">IF($D134="","",IF(OR($R134=TRUE(),$R134="TRUE"),Settings!$C$6,Settings!$C$7)*100)</f>
        <v/>
      </c>
      <c r="AH134" s="18" t="str">
        <f aca="false">IF($D134="","",IF(COUNTIF($D$2:$D134,$D134)=1,1,0))</f>
        <v/>
      </c>
      <c r="AI134" s="18" t="str">
        <f aca="false">IF($AH134=1,SUMPRODUCT(--($AK$2:$AK$4001&lt;$AK134))+1,"")</f>
        <v/>
      </c>
      <c r="AJ134" s="18" t="str">
        <f aca="false">IF($D134="","",IF(OR($R134=TRUE(),$R134="TRUE"),1,0))</f>
        <v/>
      </c>
      <c r="AK134" s="18" t="str">
        <f aca="false">IF($AH134=1,IFERROR(VALUE(MID($D134,2,20)),1000000000)+ROW()/10000000,"")</f>
        <v/>
      </c>
    </row>
    <row r="135" customFormat="false" ht="15" hidden="false" customHeight="false" outlineLevel="0" collapsed="false">
      <c r="F135" s="15"/>
      <c r="N135" s="16" t="str">
        <f aca="false">IF($D135="","",M135*Y135/100)</f>
        <v/>
      </c>
      <c r="V135" s="16" t="str">
        <f aca="false">IF($D135="","",Y135*AB135/100)</f>
        <v/>
      </c>
      <c r="W135" s="16" t="str">
        <f aca="false">IF($D135="","",Y135-V135)</f>
        <v/>
      </c>
      <c r="X135" s="16" t="str">
        <f aca="false">IF($D135="","",W135-N135)</f>
        <v/>
      </c>
      <c r="AB135" s="17" t="str">
        <f aca="false">IF($D135="","",IF(OR($R135=TRUE(),$R135="TRUE"),Settings!$C$6,Settings!$C$7)*100)</f>
        <v/>
      </c>
      <c r="AH135" s="18" t="str">
        <f aca="false">IF($D135="","",IF(COUNTIF($D$2:$D135,$D135)=1,1,0))</f>
        <v/>
      </c>
      <c r="AI135" s="18" t="str">
        <f aca="false">IF($AH135=1,SUMPRODUCT(--($AK$2:$AK$4001&lt;$AK135))+1,"")</f>
        <v/>
      </c>
      <c r="AJ135" s="18" t="str">
        <f aca="false">IF($D135="","",IF(OR($R135=TRUE(),$R135="TRUE"),1,0))</f>
        <v/>
      </c>
      <c r="AK135" s="18" t="str">
        <f aca="false">IF($AH135=1,IFERROR(VALUE(MID($D135,2,20)),1000000000)+ROW()/10000000,"")</f>
        <v/>
      </c>
    </row>
    <row r="136" customFormat="false" ht="15" hidden="false" customHeight="false" outlineLevel="0" collapsed="false">
      <c r="F136" s="15"/>
      <c r="N136" s="16" t="str">
        <f aca="false">IF($D136="","",M136*Y136/100)</f>
        <v/>
      </c>
      <c r="V136" s="16" t="str">
        <f aca="false">IF($D136="","",Y136*AB136/100)</f>
        <v/>
      </c>
      <c r="W136" s="16" t="str">
        <f aca="false">IF($D136="","",Y136-V136)</f>
        <v/>
      </c>
      <c r="X136" s="16" t="str">
        <f aca="false">IF($D136="","",W136-N136)</f>
        <v/>
      </c>
      <c r="AB136" s="17" t="str">
        <f aca="false">IF($D136="","",IF(OR($R136=TRUE(),$R136="TRUE"),Settings!$C$6,Settings!$C$7)*100)</f>
        <v/>
      </c>
      <c r="AH136" s="18" t="str">
        <f aca="false">IF($D136="","",IF(COUNTIF($D$2:$D136,$D136)=1,1,0))</f>
        <v/>
      </c>
      <c r="AI136" s="18" t="str">
        <f aca="false">IF($AH136=1,SUMPRODUCT(--($AK$2:$AK$4001&lt;$AK136))+1,"")</f>
        <v/>
      </c>
      <c r="AJ136" s="18" t="str">
        <f aca="false">IF($D136="","",IF(OR($R136=TRUE(),$R136="TRUE"),1,0))</f>
        <v/>
      </c>
      <c r="AK136" s="18" t="str">
        <f aca="false">IF($AH136=1,IFERROR(VALUE(MID($D136,2,20)),1000000000)+ROW()/10000000,"")</f>
        <v/>
      </c>
    </row>
    <row r="137" customFormat="false" ht="15" hidden="false" customHeight="false" outlineLevel="0" collapsed="false">
      <c r="F137" s="15"/>
      <c r="N137" s="16" t="str">
        <f aca="false">IF($D137="","",M137*Y137/100)</f>
        <v/>
      </c>
      <c r="V137" s="16" t="str">
        <f aca="false">IF($D137="","",Y137*AB137/100)</f>
        <v/>
      </c>
      <c r="W137" s="16" t="str">
        <f aca="false">IF($D137="","",Y137-V137)</f>
        <v/>
      </c>
      <c r="X137" s="16" t="str">
        <f aca="false">IF($D137="","",W137-N137)</f>
        <v/>
      </c>
      <c r="AB137" s="17" t="str">
        <f aca="false">IF($D137="","",IF(OR($R137=TRUE(),$R137="TRUE"),Settings!$C$6,Settings!$C$7)*100)</f>
        <v/>
      </c>
      <c r="AH137" s="18" t="str">
        <f aca="false">IF($D137="","",IF(COUNTIF($D$2:$D137,$D137)=1,1,0))</f>
        <v/>
      </c>
      <c r="AI137" s="18" t="str">
        <f aca="false">IF($AH137=1,SUMPRODUCT(--($AK$2:$AK$4001&lt;$AK137))+1,"")</f>
        <v/>
      </c>
      <c r="AJ137" s="18" t="str">
        <f aca="false">IF($D137="","",IF(OR($R137=TRUE(),$R137="TRUE"),1,0))</f>
        <v/>
      </c>
      <c r="AK137" s="18" t="str">
        <f aca="false">IF($AH137=1,IFERROR(VALUE(MID($D137,2,20)),1000000000)+ROW()/10000000,"")</f>
        <v/>
      </c>
    </row>
    <row r="138" customFormat="false" ht="15" hidden="false" customHeight="false" outlineLevel="0" collapsed="false">
      <c r="F138" s="15"/>
      <c r="N138" s="16" t="str">
        <f aca="false">IF($D138="","",M138*Y138/100)</f>
        <v/>
      </c>
      <c r="V138" s="16" t="str">
        <f aca="false">IF($D138="","",Y138*AB138/100)</f>
        <v/>
      </c>
      <c r="W138" s="16" t="str">
        <f aca="false">IF($D138="","",Y138-V138)</f>
        <v/>
      </c>
      <c r="X138" s="16" t="str">
        <f aca="false">IF($D138="","",W138-N138)</f>
        <v/>
      </c>
      <c r="AB138" s="17" t="str">
        <f aca="false">IF($D138="","",IF(OR($R138=TRUE(),$R138="TRUE"),Settings!$C$6,Settings!$C$7)*100)</f>
        <v/>
      </c>
      <c r="AH138" s="18" t="str">
        <f aca="false">IF($D138="","",IF(COUNTIF($D$2:$D138,$D138)=1,1,0))</f>
        <v/>
      </c>
      <c r="AI138" s="18" t="str">
        <f aca="false">IF($AH138=1,SUMPRODUCT(--($AK$2:$AK$4001&lt;$AK138))+1,"")</f>
        <v/>
      </c>
      <c r="AJ138" s="18" t="str">
        <f aca="false">IF($D138="","",IF(OR($R138=TRUE(),$R138="TRUE"),1,0))</f>
        <v/>
      </c>
      <c r="AK138" s="18" t="str">
        <f aca="false">IF($AH138=1,IFERROR(VALUE(MID($D138,2,20)),1000000000)+ROW()/10000000,"")</f>
        <v/>
      </c>
    </row>
    <row r="139" customFormat="false" ht="15" hidden="false" customHeight="false" outlineLevel="0" collapsed="false">
      <c r="F139" s="15"/>
      <c r="N139" s="16" t="str">
        <f aca="false">IF($D139="","",M139*Y139/100)</f>
        <v/>
      </c>
      <c r="V139" s="16" t="str">
        <f aca="false">IF($D139="","",Y139*AB139/100)</f>
        <v/>
      </c>
      <c r="W139" s="16" t="str">
        <f aca="false">IF($D139="","",Y139-V139)</f>
        <v/>
      </c>
      <c r="X139" s="16" t="str">
        <f aca="false">IF($D139="","",W139-N139)</f>
        <v/>
      </c>
      <c r="AB139" s="17" t="str">
        <f aca="false">IF($D139="","",IF(OR($R139=TRUE(),$R139="TRUE"),Settings!$C$6,Settings!$C$7)*100)</f>
        <v/>
      </c>
      <c r="AH139" s="18" t="str">
        <f aca="false">IF($D139="","",IF(COUNTIF($D$2:$D139,$D139)=1,1,0))</f>
        <v/>
      </c>
      <c r="AI139" s="18" t="str">
        <f aca="false">IF($AH139=1,SUMPRODUCT(--($AK$2:$AK$4001&lt;$AK139))+1,"")</f>
        <v/>
      </c>
      <c r="AJ139" s="18" t="str">
        <f aca="false">IF($D139="","",IF(OR($R139=TRUE(),$R139="TRUE"),1,0))</f>
        <v/>
      </c>
      <c r="AK139" s="18" t="str">
        <f aca="false">IF($AH139=1,IFERROR(VALUE(MID($D139,2,20)),1000000000)+ROW()/10000000,"")</f>
        <v/>
      </c>
    </row>
    <row r="140" customFormat="false" ht="15" hidden="false" customHeight="false" outlineLevel="0" collapsed="false">
      <c r="F140" s="15"/>
      <c r="N140" s="16" t="str">
        <f aca="false">IF($D140="","",M140*Y140/100)</f>
        <v/>
      </c>
      <c r="V140" s="16" t="str">
        <f aca="false">IF($D140="","",Y140*AB140/100)</f>
        <v/>
      </c>
      <c r="W140" s="16" t="str">
        <f aca="false">IF($D140="","",Y140-V140)</f>
        <v/>
      </c>
      <c r="X140" s="16" t="str">
        <f aca="false">IF($D140="","",W140-N140)</f>
        <v/>
      </c>
      <c r="AB140" s="17" t="str">
        <f aca="false">IF($D140="","",IF(OR($R140=TRUE(),$R140="TRUE"),Settings!$C$6,Settings!$C$7)*100)</f>
        <v/>
      </c>
      <c r="AH140" s="18" t="str">
        <f aca="false">IF($D140="","",IF(COUNTIF($D$2:$D140,$D140)=1,1,0))</f>
        <v/>
      </c>
      <c r="AI140" s="18" t="str">
        <f aca="false">IF($AH140=1,SUMPRODUCT(--($AK$2:$AK$4001&lt;$AK140))+1,"")</f>
        <v/>
      </c>
      <c r="AJ140" s="18" t="str">
        <f aca="false">IF($D140="","",IF(OR($R140=TRUE(),$R140="TRUE"),1,0))</f>
        <v/>
      </c>
      <c r="AK140" s="18" t="str">
        <f aca="false">IF($AH140=1,IFERROR(VALUE(MID($D140,2,20)),1000000000)+ROW()/10000000,"")</f>
        <v/>
      </c>
    </row>
    <row r="141" customFormat="false" ht="15" hidden="false" customHeight="false" outlineLevel="0" collapsed="false">
      <c r="F141" s="15"/>
      <c r="N141" s="16" t="str">
        <f aca="false">IF($D141="","",M141*Y141/100)</f>
        <v/>
      </c>
      <c r="V141" s="16" t="str">
        <f aca="false">IF($D141="","",Y141*AB141/100)</f>
        <v/>
      </c>
      <c r="W141" s="16" t="str">
        <f aca="false">IF($D141="","",Y141-V141)</f>
        <v/>
      </c>
      <c r="X141" s="16" t="str">
        <f aca="false">IF($D141="","",W141-N141)</f>
        <v/>
      </c>
      <c r="AB141" s="17" t="str">
        <f aca="false">IF($D141="","",IF(OR($R141=TRUE(),$R141="TRUE"),Settings!$C$6,Settings!$C$7)*100)</f>
        <v/>
      </c>
      <c r="AH141" s="18" t="str">
        <f aca="false">IF($D141="","",IF(COUNTIF($D$2:$D141,$D141)=1,1,0))</f>
        <v/>
      </c>
      <c r="AI141" s="18" t="str">
        <f aca="false">IF($AH141=1,SUMPRODUCT(--($AK$2:$AK$4001&lt;$AK141))+1,"")</f>
        <v/>
      </c>
      <c r="AJ141" s="18" t="str">
        <f aca="false">IF($D141="","",IF(OR($R141=TRUE(),$R141="TRUE"),1,0))</f>
        <v/>
      </c>
      <c r="AK141" s="18" t="str">
        <f aca="false">IF($AH141=1,IFERROR(VALUE(MID($D141,2,20)),1000000000)+ROW()/10000000,"")</f>
        <v/>
      </c>
    </row>
    <row r="142" customFormat="false" ht="15" hidden="false" customHeight="false" outlineLevel="0" collapsed="false">
      <c r="F142" s="15"/>
      <c r="N142" s="16" t="str">
        <f aca="false">IF($D142="","",M142*Y142/100)</f>
        <v/>
      </c>
      <c r="V142" s="16" t="str">
        <f aca="false">IF($D142="","",Y142*AB142/100)</f>
        <v/>
      </c>
      <c r="W142" s="16" t="str">
        <f aca="false">IF($D142="","",Y142-V142)</f>
        <v/>
      </c>
      <c r="X142" s="16" t="str">
        <f aca="false">IF($D142="","",W142-N142)</f>
        <v/>
      </c>
      <c r="AB142" s="17" t="str">
        <f aca="false">IF($D142="","",IF(OR($R142=TRUE(),$R142="TRUE"),Settings!$C$6,Settings!$C$7)*100)</f>
        <v/>
      </c>
      <c r="AH142" s="18" t="str">
        <f aca="false">IF($D142="","",IF(COUNTIF($D$2:$D142,$D142)=1,1,0))</f>
        <v/>
      </c>
      <c r="AI142" s="18" t="str">
        <f aca="false">IF($AH142=1,SUMPRODUCT(--($AK$2:$AK$4001&lt;$AK142))+1,"")</f>
        <v/>
      </c>
      <c r="AJ142" s="18" t="str">
        <f aca="false">IF($D142="","",IF(OR($R142=TRUE(),$R142="TRUE"),1,0))</f>
        <v/>
      </c>
      <c r="AK142" s="18" t="str">
        <f aca="false">IF($AH142=1,IFERROR(VALUE(MID($D142,2,20)),1000000000)+ROW()/10000000,"")</f>
        <v/>
      </c>
    </row>
    <row r="143" customFormat="false" ht="15" hidden="false" customHeight="false" outlineLevel="0" collapsed="false">
      <c r="F143" s="15"/>
      <c r="N143" s="16" t="str">
        <f aca="false">IF($D143="","",M143*Y143/100)</f>
        <v/>
      </c>
      <c r="V143" s="16" t="str">
        <f aca="false">IF($D143="","",Y143*AB143/100)</f>
        <v/>
      </c>
      <c r="W143" s="16" t="str">
        <f aca="false">IF($D143="","",Y143-V143)</f>
        <v/>
      </c>
      <c r="X143" s="16" t="str">
        <f aca="false">IF($D143="","",W143-N143)</f>
        <v/>
      </c>
      <c r="AB143" s="17" t="str">
        <f aca="false">IF($D143="","",IF(OR($R143=TRUE(),$R143="TRUE"),Settings!$C$6,Settings!$C$7)*100)</f>
        <v/>
      </c>
      <c r="AH143" s="18" t="str">
        <f aca="false">IF($D143="","",IF(COUNTIF($D$2:$D143,$D143)=1,1,0))</f>
        <v/>
      </c>
      <c r="AI143" s="18" t="str">
        <f aca="false">IF($AH143=1,SUMPRODUCT(--($AK$2:$AK$4001&lt;$AK143))+1,"")</f>
        <v/>
      </c>
      <c r="AJ143" s="18" t="str">
        <f aca="false">IF($D143="","",IF(OR($R143=TRUE(),$R143="TRUE"),1,0))</f>
        <v/>
      </c>
      <c r="AK143" s="18" t="str">
        <f aca="false">IF($AH143=1,IFERROR(VALUE(MID($D143,2,20)),1000000000)+ROW()/10000000,"")</f>
        <v/>
      </c>
    </row>
    <row r="144" customFormat="false" ht="15" hidden="false" customHeight="false" outlineLevel="0" collapsed="false">
      <c r="F144" s="15"/>
      <c r="N144" s="16" t="str">
        <f aca="false">IF($D144="","",M144*Y144/100)</f>
        <v/>
      </c>
      <c r="V144" s="16" t="str">
        <f aca="false">IF($D144="","",Y144*AB144/100)</f>
        <v/>
      </c>
      <c r="W144" s="16" t="str">
        <f aca="false">IF($D144="","",Y144-V144)</f>
        <v/>
      </c>
      <c r="X144" s="16" t="str">
        <f aca="false">IF($D144="","",W144-N144)</f>
        <v/>
      </c>
      <c r="AB144" s="17" t="str">
        <f aca="false">IF($D144="","",IF(OR($R144=TRUE(),$R144="TRUE"),Settings!$C$6,Settings!$C$7)*100)</f>
        <v/>
      </c>
      <c r="AH144" s="18" t="str">
        <f aca="false">IF($D144="","",IF(COUNTIF($D$2:$D144,$D144)=1,1,0))</f>
        <v/>
      </c>
      <c r="AI144" s="18" t="str">
        <f aca="false">IF($AH144=1,SUMPRODUCT(--($AK$2:$AK$4001&lt;$AK144))+1,"")</f>
        <v/>
      </c>
      <c r="AJ144" s="18" t="str">
        <f aca="false">IF($D144="","",IF(OR($R144=TRUE(),$R144="TRUE"),1,0))</f>
        <v/>
      </c>
      <c r="AK144" s="18" t="str">
        <f aca="false">IF($AH144=1,IFERROR(VALUE(MID($D144,2,20)),1000000000)+ROW()/10000000,"")</f>
        <v/>
      </c>
    </row>
    <row r="145" customFormat="false" ht="15" hidden="false" customHeight="false" outlineLevel="0" collapsed="false">
      <c r="F145" s="15"/>
      <c r="N145" s="16" t="str">
        <f aca="false">IF($D145="","",M145*Y145/100)</f>
        <v/>
      </c>
      <c r="V145" s="16" t="str">
        <f aca="false">IF($D145="","",Y145*AB145/100)</f>
        <v/>
      </c>
      <c r="W145" s="16" t="str">
        <f aca="false">IF($D145="","",Y145-V145)</f>
        <v/>
      </c>
      <c r="X145" s="16" t="str">
        <f aca="false">IF($D145="","",W145-N145)</f>
        <v/>
      </c>
      <c r="AB145" s="17" t="str">
        <f aca="false">IF($D145="","",IF(OR($R145=TRUE(),$R145="TRUE"),Settings!$C$6,Settings!$C$7)*100)</f>
        <v/>
      </c>
      <c r="AH145" s="18" t="str">
        <f aca="false">IF($D145="","",IF(COUNTIF($D$2:$D145,$D145)=1,1,0))</f>
        <v/>
      </c>
      <c r="AI145" s="18" t="str">
        <f aca="false">IF($AH145=1,SUMPRODUCT(--($AK$2:$AK$4001&lt;$AK145))+1,"")</f>
        <v/>
      </c>
      <c r="AJ145" s="18" t="str">
        <f aca="false">IF($D145="","",IF(OR($R145=TRUE(),$R145="TRUE"),1,0))</f>
        <v/>
      </c>
      <c r="AK145" s="18" t="str">
        <f aca="false">IF($AH145=1,IFERROR(VALUE(MID($D145,2,20)),1000000000)+ROW()/10000000,"")</f>
        <v/>
      </c>
    </row>
    <row r="146" customFormat="false" ht="15" hidden="false" customHeight="false" outlineLevel="0" collapsed="false">
      <c r="F146" s="15"/>
      <c r="N146" s="16" t="str">
        <f aca="false">IF($D146="","",M146*Y146/100)</f>
        <v/>
      </c>
      <c r="V146" s="16" t="str">
        <f aca="false">IF($D146="","",Y146*AB146/100)</f>
        <v/>
      </c>
      <c r="W146" s="16" t="str">
        <f aca="false">IF($D146="","",Y146-V146)</f>
        <v/>
      </c>
      <c r="X146" s="16" t="str">
        <f aca="false">IF($D146="","",W146-N146)</f>
        <v/>
      </c>
      <c r="AB146" s="17" t="str">
        <f aca="false">IF($D146="","",IF(OR($R146=TRUE(),$R146="TRUE"),Settings!$C$6,Settings!$C$7)*100)</f>
        <v/>
      </c>
      <c r="AH146" s="18" t="str">
        <f aca="false">IF($D146="","",IF(COUNTIF($D$2:$D146,$D146)=1,1,0))</f>
        <v/>
      </c>
      <c r="AI146" s="18" t="str">
        <f aca="false">IF($AH146=1,SUMPRODUCT(--($AK$2:$AK$4001&lt;$AK146))+1,"")</f>
        <v/>
      </c>
      <c r="AJ146" s="18" t="str">
        <f aca="false">IF($D146="","",IF(OR($R146=TRUE(),$R146="TRUE"),1,0))</f>
        <v/>
      </c>
      <c r="AK146" s="18" t="str">
        <f aca="false">IF($AH146=1,IFERROR(VALUE(MID($D146,2,20)),1000000000)+ROW()/10000000,"")</f>
        <v/>
      </c>
    </row>
    <row r="147" customFormat="false" ht="15" hidden="false" customHeight="false" outlineLevel="0" collapsed="false">
      <c r="F147" s="15"/>
      <c r="N147" s="16" t="str">
        <f aca="false">IF($D147="","",M147*Y147/100)</f>
        <v/>
      </c>
      <c r="V147" s="16" t="str">
        <f aca="false">IF($D147="","",Y147*AB147/100)</f>
        <v/>
      </c>
      <c r="W147" s="16" t="str">
        <f aca="false">IF($D147="","",Y147-V147)</f>
        <v/>
      </c>
      <c r="X147" s="16" t="str">
        <f aca="false">IF($D147="","",W147-N147)</f>
        <v/>
      </c>
      <c r="AB147" s="17" t="str">
        <f aca="false">IF($D147="","",IF(OR($R147=TRUE(),$R147="TRUE"),Settings!$C$6,Settings!$C$7)*100)</f>
        <v/>
      </c>
      <c r="AH147" s="18" t="str">
        <f aca="false">IF($D147="","",IF(COUNTIF($D$2:$D147,$D147)=1,1,0))</f>
        <v/>
      </c>
      <c r="AI147" s="18" t="str">
        <f aca="false">IF($AH147=1,SUMPRODUCT(--($AK$2:$AK$4001&lt;$AK147))+1,"")</f>
        <v/>
      </c>
      <c r="AJ147" s="18" t="str">
        <f aca="false">IF($D147="","",IF(OR($R147=TRUE(),$R147="TRUE"),1,0))</f>
        <v/>
      </c>
      <c r="AK147" s="18" t="str">
        <f aca="false">IF($AH147=1,IFERROR(VALUE(MID($D147,2,20)),1000000000)+ROW()/10000000,"")</f>
        <v/>
      </c>
    </row>
    <row r="148" customFormat="false" ht="15" hidden="false" customHeight="false" outlineLevel="0" collapsed="false">
      <c r="F148" s="15"/>
      <c r="N148" s="16" t="str">
        <f aca="false">IF($D148="","",M148*Y148/100)</f>
        <v/>
      </c>
      <c r="V148" s="16" t="str">
        <f aca="false">IF($D148="","",Y148*AB148/100)</f>
        <v/>
      </c>
      <c r="W148" s="16" t="str">
        <f aca="false">IF($D148="","",Y148-V148)</f>
        <v/>
      </c>
      <c r="X148" s="16" t="str">
        <f aca="false">IF($D148="","",W148-N148)</f>
        <v/>
      </c>
      <c r="AB148" s="17" t="str">
        <f aca="false">IF($D148="","",IF(OR($R148=TRUE(),$R148="TRUE"),Settings!$C$6,Settings!$C$7)*100)</f>
        <v/>
      </c>
      <c r="AH148" s="18" t="str">
        <f aca="false">IF($D148="","",IF(COUNTIF($D$2:$D148,$D148)=1,1,0))</f>
        <v/>
      </c>
      <c r="AI148" s="18" t="str">
        <f aca="false">IF($AH148=1,SUMPRODUCT(--($AK$2:$AK$4001&lt;$AK148))+1,"")</f>
        <v/>
      </c>
      <c r="AJ148" s="18" t="str">
        <f aca="false">IF($D148="","",IF(OR($R148=TRUE(),$R148="TRUE"),1,0))</f>
        <v/>
      </c>
      <c r="AK148" s="18" t="str">
        <f aca="false">IF($AH148=1,IFERROR(VALUE(MID($D148,2,20)),1000000000)+ROW()/10000000,"")</f>
        <v/>
      </c>
    </row>
    <row r="149" customFormat="false" ht="15" hidden="false" customHeight="false" outlineLevel="0" collapsed="false">
      <c r="F149" s="15"/>
      <c r="N149" s="16" t="str">
        <f aca="false">IF($D149="","",M149*Y149/100)</f>
        <v/>
      </c>
      <c r="V149" s="16" t="str">
        <f aca="false">IF($D149="","",Y149*AB149/100)</f>
        <v/>
      </c>
      <c r="W149" s="16" t="str">
        <f aca="false">IF($D149="","",Y149-V149)</f>
        <v/>
      </c>
      <c r="X149" s="16" t="str">
        <f aca="false">IF($D149="","",W149-N149)</f>
        <v/>
      </c>
      <c r="AB149" s="17" t="str">
        <f aca="false">IF($D149="","",IF(OR($R149=TRUE(),$R149="TRUE"),Settings!$C$6,Settings!$C$7)*100)</f>
        <v/>
      </c>
      <c r="AH149" s="18" t="str">
        <f aca="false">IF($D149="","",IF(COUNTIF($D$2:$D149,$D149)=1,1,0))</f>
        <v/>
      </c>
      <c r="AI149" s="18" t="str">
        <f aca="false">IF($AH149=1,SUMPRODUCT(--($AK$2:$AK$4001&lt;$AK149))+1,"")</f>
        <v/>
      </c>
      <c r="AJ149" s="18" t="str">
        <f aca="false">IF($D149="","",IF(OR($R149=TRUE(),$R149="TRUE"),1,0))</f>
        <v/>
      </c>
      <c r="AK149" s="18" t="str">
        <f aca="false">IF($AH149=1,IFERROR(VALUE(MID($D149,2,20)),1000000000)+ROW()/10000000,"")</f>
        <v/>
      </c>
    </row>
    <row r="150" customFormat="false" ht="15" hidden="false" customHeight="false" outlineLevel="0" collapsed="false">
      <c r="F150" s="15"/>
      <c r="N150" s="16" t="str">
        <f aca="false">IF($D150="","",M150*Y150/100)</f>
        <v/>
      </c>
      <c r="V150" s="16" t="str">
        <f aca="false">IF($D150="","",Y150*AB150/100)</f>
        <v/>
      </c>
      <c r="W150" s="16" t="str">
        <f aca="false">IF($D150="","",Y150-V150)</f>
        <v/>
      </c>
      <c r="X150" s="16" t="str">
        <f aca="false">IF($D150="","",W150-N150)</f>
        <v/>
      </c>
      <c r="AB150" s="17" t="str">
        <f aca="false">IF($D150="","",IF(OR($R150=TRUE(),$R150="TRUE"),Settings!$C$6,Settings!$C$7)*100)</f>
        <v/>
      </c>
      <c r="AH150" s="18" t="str">
        <f aca="false">IF($D150="","",IF(COUNTIF($D$2:$D150,$D150)=1,1,0))</f>
        <v/>
      </c>
      <c r="AI150" s="18" t="str">
        <f aca="false">IF($AH150=1,SUMPRODUCT(--($AK$2:$AK$4001&lt;$AK150))+1,"")</f>
        <v/>
      </c>
      <c r="AJ150" s="18" t="str">
        <f aca="false">IF($D150="","",IF(OR($R150=TRUE(),$R150="TRUE"),1,0))</f>
        <v/>
      </c>
      <c r="AK150" s="18" t="str">
        <f aca="false">IF($AH150=1,IFERROR(VALUE(MID($D150,2,20)),1000000000)+ROW()/10000000,"")</f>
        <v/>
      </c>
    </row>
    <row r="151" customFormat="false" ht="15" hidden="false" customHeight="false" outlineLevel="0" collapsed="false">
      <c r="F151" s="15"/>
      <c r="N151" s="16" t="str">
        <f aca="false">IF($D151="","",M151*Y151/100)</f>
        <v/>
      </c>
      <c r="V151" s="16" t="str">
        <f aca="false">IF($D151="","",Y151*AB151/100)</f>
        <v/>
      </c>
      <c r="W151" s="16" t="str">
        <f aca="false">IF($D151="","",Y151-V151)</f>
        <v/>
      </c>
      <c r="X151" s="16" t="str">
        <f aca="false">IF($D151="","",W151-N151)</f>
        <v/>
      </c>
      <c r="AB151" s="17" t="str">
        <f aca="false">IF($D151="","",IF(OR($R151=TRUE(),$R151="TRUE"),Settings!$C$6,Settings!$C$7)*100)</f>
        <v/>
      </c>
      <c r="AH151" s="18" t="str">
        <f aca="false">IF($D151="","",IF(COUNTIF($D$2:$D151,$D151)=1,1,0))</f>
        <v/>
      </c>
      <c r="AI151" s="18" t="str">
        <f aca="false">IF($AH151=1,SUMPRODUCT(--($AK$2:$AK$4001&lt;$AK151))+1,"")</f>
        <v/>
      </c>
      <c r="AJ151" s="18" t="str">
        <f aca="false">IF($D151="","",IF(OR($R151=TRUE(),$R151="TRUE"),1,0))</f>
        <v/>
      </c>
      <c r="AK151" s="18" t="str">
        <f aca="false">IF($AH151=1,IFERROR(VALUE(MID($D151,2,20)),1000000000)+ROW()/10000000,"")</f>
        <v/>
      </c>
    </row>
    <row r="152" customFormat="false" ht="15" hidden="false" customHeight="false" outlineLevel="0" collapsed="false">
      <c r="F152" s="15"/>
      <c r="N152" s="16" t="str">
        <f aca="false">IF($D152="","",M152*Y152/100)</f>
        <v/>
      </c>
      <c r="V152" s="16" t="str">
        <f aca="false">IF($D152="","",Y152*AB152/100)</f>
        <v/>
      </c>
      <c r="W152" s="16" t="str">
        <f aca="false">IF($D152="","",Y152-V152)</f>
        <v/>
      </c>
      <c r="X152" s="16" t="str">
        <f aca="false">IF($D152="","",W152-N152)</f>
        <v/>
      </c>
      <c r="AB152" s="17" t="str">
        <f aca="false">IF($D152="","",IF(OR($R152=TRUE(),$R152="TRUE"),Settings!$C$6,Settings!$C$7)*100)</f>
        <v/>
      </c>
      <c r="AH152" s="18" t="str">
        <f aca="false">IF($D152="","",IF(COUNTIF($D$2:$D152,$D152)=1,1,0))</f>
        <v/>
      </c>
      <c r="AI152" s="18" t="str">
        <f aca="false">IF($AH152=1,SUMPRODUCT(--($AK$2:$AK$4001&lt;$AK152))+1,"")</f>
        <v/>
      </c>
      <c r="AJ152" s="18" t="str">
        <f aca="false">IF($D152="","",IF(OR($R152=TRUE(),$R152="TRUE"),1,0))</f>
        <v/>
      </c>
      <c r="AK152" s="18" t="str">
        <f aca="false">IF($AH152=1,IFERROR(VALUE(MID($D152,2,20)),1000000000)+ROW()/10000000,"")</f>
        <v/>
      </c>
    </row>
    <row r="153" customFormat="false" ht="15" hidden="false" customHeight="false" outlineLevel="0" collapsed="false">
      <c r="F153" s="15"/>
      <c r="N153" s="16" t="str">
        <f aca="false">IF($D153="","",M153*Y153/100)</f>
        <v/>
      </c>
      <c r="V153" s="16" t="str">
        <f aca="false">IF($D153="","",Y153*AB153/100)</f>
        <v/>
      </c>
      <c r="W153" s="16" t="str">
        <f aca="false">IF($D153="","",Y153-V153)</f>
        <v/>
      </c>
      <c r="X153" s="16" t="str">
        <f aca="false">IF($D153="","",W153-N153)</f>
        <v/>
      </c>
      <c r="AB153" s="17" t="str">
        <f aca="false">IF($D153="","",IF(OR($R153=TRUE(),$R153="TRUE"),Settings!$C$6,Settings!$C$7)*100)</f>
        <v/>
      </c>
      <c r="AH153" s="18" t="str">
        <f aca="false">IF($D153="","",IF(COUNTIF($D$2:$D153,$D153)=1,1,0))</f>
        <v/>
      </c>
      <c r="AI153" s="18" t="str">
        <f aca="false">IF($AH153=1,SUMPRODUCT(--($AK$2:$AK$4001&lt;$AK153))+1,"")</f>
        <v/>
      </c>
      <c r="AJ153" s="18" t="str">
        <f aca="false">IF($D153="","",IF(OR($R153=TRUE(),$R153="TRUE"),1,0))</f>
        <v/>
      </c>
      <c r="AK153" s="18" t="str">
        <f aca="false">IF($AH153=1,IFERROR(VALUE(MID($D153,2,20)),1000000000)+ROW()/10000000,"")</f>
        <v/>
      </c>
    </row>
    <row r="154" customFormat="false" ht="15" hidden="false" customHeight="false" outlineLevel="0" collapsed="false">
      <c r="F154" s="15"/>
      <c r="N154" s="16" t="str">
        <f aca="false">IF($D154="","",M154*Y154/100)</f>
        <v/>
      </c>
      <c r="V154" s="16" t="str">
        <f aca="false">IF($D154="","",Y154*AB154/100)</f>
        <v/>
      </c>
      <c r="W154" s="16" t="str">
        <f aca="false">IF($D154="","",Y154-V154)</f>
        <v/>
      </c>
      <c r="X154" s="16" t="str">
        <f aca="false">IF($D154="","",W154-N154)</f>
        <v/>
      </c>
      <c r="AB154" s="17" t="str">
        <f aca="false">IF($D154="","",IF(OR($R154=TRUE(),$R154="TRUE"),Settings!$C$6,Settings!$C$7)*100)</f>
        <v/>
      </c>
      <c r="AH154" s="18" t="str">
        <f aca="false">IF($D154="","",IF(COUNTIF($D$2:$D154,$D154)=1,1,0))</f>
        <v/>
      </c>
      <c r="AI154" s="18" t="str">
        <f aca="false">IF($AH154=1,SUMPRODUCT(--($AK$2:$AK$4001&lt;$AK154))+1,"")</f>
        <v/>
      </c>
      <c r="AJ154" s="18" t="str">
        <f aca="false">IF($D154="","",IF(OR($R154=TRUE(),$R154="TRUE"),1,0))</f>
        <v/>
      </c>
      <c r="AK154" s="18" t="str">
        <f aca="false">IF($AH154=1,IFERROR(VALUE(MID($D154,2,20)),1000000000)+ROW()/10000000,"")</f>
        <v/>
      </c>
    </row>
    <row r="155" customFormat="false" ht="15" hidden="false" customHeight="false" outlineLevel="0" collapsed="false">
      <c r="F155" s="15"/>
      <c r="N155" s="16" t="str">
        <f aca="false">IF($D155="","",M155*Y155/100)</f>
        <v/>
      </c>
      <c r="V155" s="16" t="str">
        <f aca="false">IF($D155="","",Y155*AB155/100)</f>
        <v/>
      </c>
      <c r="W155" s="16" t="str">
        <f aca="false">IF($D155="","",Y155-V155)</f>
        <v/>
      </c>
      <c r="X155" s="16" t="str">
        <f aca="false">IF($D155="","",W155-N155)</f>
        <v/>
      </c>
      <c r="AB155" s="17" t="str">
        <f aca="false">IF($D155="","",IF(OR($R155=TRUE(),$R155="TRUE"),Settings!$C$6,Settings!$C$7)*100)</f>
        <v/>
      </c>
      <c r="AH155" s="18" t="str">
        <f aca="false">IF($D155="","",IF(COUNTIF($D$2:$D155,$D155)=1,1,0))</f>
        <v/>
      </c>
      <c r="AI155" s="18" t="str">
        <f aca="false">IF($AH155=1,SUMPRODUCT(--($AK$2:$AK$4001&lt;$AK155))+1,"")</f>
        <v/>
      </c>
      <c r="AJ155" s="18" t="str">
        <f aca="false">IF($D155="","",IF(OR($R155=TRUE(),$R155="TRUE"),1,0))</f>
        <v/>
      </c>
      <c r="AK155" s="18" t="str">
        <f aca="false">IF($AH155=1,IFERROR(VALUE(MID($D155,2,20)),1000000000)+ROW()/10000000,"")</f>
        <v/>
      </c>
    </row>
    <row r="156" customFormat="false" ht="15" hidden="false" customHeight="false" outlineLevel="0" collapsed="false">
      <c r="F156" s="15"/>
      <c r="N156" s="16" t="str">
        <f aca="false">IF($D156="","",M156*Y156/100)</f>
        <v/>
      </c>
      <c r="V156" s="16" t="str">
        <f aca="false">IF($D156="","",Y156*AB156/100)</f>
        <v/>
      </c>
      <c r="W156" s="16" t="str">
        <f aca="false">IF($D156="","",Y156-V156)</f>
        <v/>
      </c>
      <c r="X156" s="16" t="str">
        <f aca="false">IF($D156="","",W156-N156)</f>
        <v/>
      </c>
      <c r="AB156" s="17" t="str">
        <f aca="false">IF($D156="","",IF(OR($R156=TRUE(),$R156="TRUE"),Settings!$C$6,Settings!$C$7)*100)</f>
        <v/>
      </c>
      <c r="AH156" s="18" t="str">
        <f aca="false">IF($D156="","",IF(COUNTIF($D$2:$D156,$D156)=1,1,0))</f>
        <v/>
      </c>
      <c r="AI156" s="18" t="str">
        <f aca="false">IF($AH156=1,SUMPRODUCT(--($AK$2:$AK$4001&lt;$AK156))+1,"")</f>
        <v/>
      </c>
      <c r="AJ156" s="18" t="str">
        <f aca="false">IF($D156="","",IF(OR($R156=TRUE(),$R156="TRUE"),1,0))</f>
        <v/>
      </c>
      <c r="AK156" s="18" t="str">
        <f aca="false">IF($AH156=1,IFERROR(VALUE(MID($D156,2,20)),1000000000)+ROW()/10000000,"")</f>
        <v/>
      </c>
    </row>
    <row r="157" customFormat="false" ht="15" hidden="false" customHeight="false" outlineLevel="0" collapsed="false">
      <c r="F157" s="15"/>
      <c r="N157" s="16" t="str">
        <f aca="false">IF($D157="","",M157*Y157/100)</f>
        <v/>
      </c>
      <c r="V157" s="16" t="str">
        <f aca="false">IF($D157="","",Y157*AB157/100)</f>
        <v/>
      </c>
      <c r="W157" s="16" t="str">
        <f aca="false">IF($D157="","",Y157-V157)</f>
        <v/>
      </c>
      <c r="X157" s="16" t="str">
        <f aca="false">IF($D157="","",W157-N157)</f>
        <v/>
      </c>
      <c r="AB157" s="17" t="str">
        <f aca="false">IF($D157="","",IF(OR($R157=TRUE(),$R157="TRUE"),Settings!$C$6,Settings!$C$7)*100)</f>
        <v/>
      </c>
      <c r="AH157" s="18" t="str">
        <f aca="false">IF($D157="","",IF(COUNTIF($D$2:$D157,$D157)=1,1,0))</f>
        <v/>
      </c>
      <c r="AI157" s="18" t="str">
        <f aca="false">IF($AH157=1,SUMPRODUCT(--($AK$2:$AK$4001&lt;$AK157))+1,"")</f>
        <v/>
      </c>
      <c r="AJ157" s="18" t="str">
        <f aca="false">IF($D157="","",IF(OR($R157=TRUE(),$R157="TRUE"),1,0))</f>
        <v/>
      </c>
      <c r="AK157" s="18" t="str">
        <f aca="false">IF($AH157=1,IFERROR(VALUE(MID($D157,2,20)),1000000000)+ROW()/10000000,"")</f>
        <v/>
      </c>
    </row>
    <row r="158" customFormat="false" ht="15" hidden="false" customHeight="false" outlineLevel="0" collapsed="false">
      <c r="F158" s="15"/>
      <c r="N158" s="16" t="str">
        <f aca="false">IF($D158="","",M158*Y158/100)</f>
        <v/>
      </c>
      <c r="V158" s="16" t="str">
        <f aca="false">IF($D158="","",Y158*AB158/100)</f>
        <v/>
      </c>
      <c r="W158" s="16" t="str">
        <f aca="false">IF($D158="","",Y158-V158)</f>
        <v/>
      </c>
      <c r="X158" s="16" t="str">
        <f aca="false">IF($D158="","",W158-N158)</f>
        <v/>
      </c>
      <c r="AB158" s="17" t="str">
        <f aca="false">IF($D158="","",IF(OR($R158=TRUE(),$R158="TRUE"),Settings!$C$6,Settings!$C$7)*100)</f>
        <v/>
      </c>
      <c r="AH158" s="18" t="str">
        <f aca="false">IF($D158="","",IF(COUNTIF($D$2:$D158,$D158)=1,1,0))</f>
        <v/>
      </c>
      <c r="AI158" s="18" t="str">
        <f aca="false">IF($AH158=1,SUMPRODUCT(--($AK$2:$AK$4001&lt;$AK158))+1,"")</f>
        <v/>
      </c>
      <c r="AJ158" s="18" t="str">
        <f aca="false">IF($D158="","",IF(OR($R158=TRUE(),$R158="TRUE"),1,0))</f>
        <v/>
      </c>
      <c r="AK158" s="18" t="str">
        <f aca="false">IF($AH158=1,IFERROR(VALUE(MID($D158,2,20)),1000000000)+ROW()/10000000,"")</f>
        <v/>
      </c>
    </row>
    <row r="159" customFormat="false" ht="15" hidden="false" customHeight="false" outlineLevel="0" collapsed="false">
      <c r="F159" s="15"/>
      <c r="N159" s="16" t="str">
        <f aca="false">IF($D159="","",M159*Y159/100)</f>
        <v/>
      </c>
      <c r="V159" s="16" t="str">
        <f aca="false">IF($D159="","",Y159*AB159/100)</f>
        <v/>
      </c>
      <c r="W159" s="16" t="str">
        <f aca="false">IF($D159="","",Y159-V159)</f>
        <v/>
      </c>
      <c r="X159" s="16" t="str">
        <f aca="false">IF($D159="","",W159-N159)</f>
        <v/>
      </c>
      <c r="AB159" s="17" t="str">
        <f aca="false">IF($D159="","",IF(OR($R159=TRUE(),$R159="TRUE"),Settings!$C$6,Settings!$C$7)*100)</f>
        <v/>
      </c>
      <c r="AH159" s="18" t="str">
        <f aca="false">IF($D159="","",IF(COUNTIF($D$2:$D159,$D159)=1,1,0))</f>
        <v/>
      </c>
      <c r="AI159" s="18" t="str">
        <f aca="false">IF($AH159=1,SUMPRODUCT(--($AK$2:$AK$4001&lt;$AK159))+1,"")</f>
        <v/>
      </c>
      <c r="AJ159" s="18" t="str">
        <f aca="false">IF($D159="","",IF(OR($R159=TRUE(),$R159="TRUE"),1,0))</f>
        <v/>
      </c>
      <c r="AK159" s="18" t="str">
        <f aca="false">IF($AH159=1,IFERROR(VALUE(MID($D159,2,20)),1000000000)+ROW()/10000000,"")</f>
        <v/>
      </c>
    </row>
    <row r="160" customFormat="false" ht="15" hidden="false" customHeight="false" outlineLevel="0" collapsed="false">
      <c r="F160" s="15"/>
      <c r="N160" s="16" t="str">
        <f aca="false">IF($D160="","",M160*Y160/100)</f>
        <v/>
      </c>
      <c r="V160" s="16" t="str">
        <f aca="false">IF($D160="","",Y160*AB160/100)</f>
        <v/>
      </c>
      <c r="W160" s="16" t="str">
        <f aca="false">IF($D160="","",Y160-V160)</f>
        <v/>
      </c>
      <c r="X160" s="16" t="str">
        <f aca="false">IF($D160="","",W160-N160)</f>
        <v/>
      </c>
      <c r="AB160" s="17" t="str">
        <f aca="false">IF($D160="","",IF(OR($R160=TRUE(),$R160="TRUE"),Settings!$C$6,Settings!$C$7)*100)</f>
        <v/>
      </c>
      <c r="AH160" s="18" t="str">
        <f aca="false">IF($D160="","",IF(COUNTIF($D$2:$D160,$D160)=1,1,0))</f>
        <v/>
      </c>
      <c r="AI160" s="18" t="str">
        <f aca="false">IF($AH160=1,SUMPRODUCT(--($AK$2:$AK$4001&lt;$AK160))+1,"")</f>
        <v/>
      </c>
      <c r="AJ160" s="18" t="str">
        <f aca="false">IF($D160="","",IF(OR($R160=TRUE(),$R160="TRUE"),1,0))</f>
        <v/>
      </c>
      <c r="AK160" s="18" t="str">
        <f aca="false">IF($AH160=1,IFERROR(VALUE(MID($D160,2,20)),1000000000)+ROW()/10000000,"")</f>
        <v/>
      </c>
    </row>
    <row r="161" customFormat="false" ht="15" hidden="false" customHeight="false" outlineLevel="0" collapsed="false">
      <c r="F161" s="15"/>
      <c r="N161" s="16" t="str">
        <f aca="false">IF($D161="","",M161*Y161/100)</f>
        <v/>
      </c>
      <c r="V161" s="16" t="str">
        <f aca="false">IF($D161="","",Y161*AB161/100)</f>
        <v/>
      </c>
      <c r="W161" s="16" t="str">
        <f aca="false">IF($D161="","",Y161-V161)</f>
        <v/>
      </c>
      <c r="X161" s="16" t="str">
        <f aca="false">IF($D161="","",W161-N161)</f>
        <v/>
      </c>
      <c r="AB161" s="17" t="str">
        <f aca="false">IF($D161="","",IF(OR($R161=TRUE(),$R161="TRUE"),Settings!$C$6,Settings!$C$7)*100)</f>
        <v/>
      </c>
      <c r="AH161" s="18" t="str">
        <f aca="false">IF($D161="","",IF(COUNTIF($D$2:$D161,$D161)=1,1,0))</f>
        <v/>
      </c>
      <c r="AI161" s="18" t="str">
        <f aca="false">IF($AH161=1,SUMPRODUCT(--($AK$2:$AK$4001&lt;$AK161))+1,"")</f>
        <v/>
      </c>
      <c r="AJ161" s="18" t="str">
        <f aca="false">IF($D161="","",IF(OR($R161=TRUE(),$R161="TRUE"),1,0))</f>
        <v/>
      </c>
      <c r="AK161" s="18" t="str">
        <f aca="false">IF($AH161=1,IFERROR(VALUE(MID($D161,2,20)),1000000000)+ROW()/10000000,"")</f>
        <v/>
      </c>
    </row>
    <row r="162" customFormat="false" ht="15" hidden="false" customHeight="false" outlineLevel="0" collapsed="false">
      <c r="F162" s="15"/>
      <c r="N162" s="16" t="str">
        <f aca="false">IF($D162="","",M162*Y162/100)</f>
        <v/>
      </c>
      <c r="V162" s="16" t="str">
        <f aca="false">IF($D162="","",Y162*AB162/100)</f>
        <v/>
      </c>
      <c r="W162" s="16" t="str">
        <f aca="false">IF($D162="","",Y162-V162)</f>
        <v/>
      </c>
      <c r="X162" s="16" t="str">
        <f aca="false">IF($D162="","",W162-N162)</f>
        <v/>
      </c>
      <c r="AB162" s="17" t="str">
        <f aca="false">IF($D162="","",IF(OR($R162=TRUE(),$R162="TRUE"),Settings!$C$6,Settings!$C$7)*100)</f>
        <v/>
      </c>
      <c r="AH162" s="18" t="str">
        <f aca="false">IF($D162="","",IF(COUNTIF($D$2:$D162,$D162)=1,1,0))</f>
        <v/>
      </c>
      <c r="AI162" s="18" t="str">
        <f aca="false">IF($AH162=1,SUMPRODUCT(--($AK$2:$AK$4001&lt;$AK162))+1,"")</f>
        <v/>
      </c>
      <c r="AJ162" s="18" t="str">
        <f aca="false">IF($D162="","",IF(OR($R162=TRUE(),$R162="TRUE"),1,0))</f>
        <v/>
      </c>
      <c r="AK162" s="18" t="str">
        <f aca="false">IF($AH162=1,IFERROR(VALUE(MID($D162,2,20)),1000000000)+ROW()/10000000,"")</f>
        <v/>
      </c>
    </row>
    <row r="163" customFormat="false" ht="15" hidden="false" customHeight="false" outlineLevel="0" collapsed="false">
      <c r="F163" s="15"/>
      <c r="N163" s="16" t="str">
        <f aca="false">IF($D163="","",M163*Y163/100)</f>
        <v/>
      </c>
      <c r="V163" s="16" t="str">
        <f aca="false">IF($D163="","",Y163*AB163/100)</f>
        <v/>
      </c>
      <c r="W163" s="16" t="str">
        <f aca="false">IF($D163="","",Y163-V163)</f>
        <v/>
      </c>
      <c r="X163" s="16" t="str">
        <f aca="false">IF($D163="","",W163-N163)</f>
        <v/>
      </c>
      <c r="AB163" s="17" t="str">
        <f aca="false">IF($D163="","",IF(OR($R163=TRUE(),$R163="TRUE"),Settings!$C$6,Settings!$C$7)*100)</f>
        <v/>
      </c>
      <c r="AH163" s="18" t="str">
        <f aca="false">IF($D163="","",IF(COUNTIF($D$2:$D163,$D163)=1,1,0))</f>
        <v/>
      </c>
      <c r="AI163" s="18" t="str">
        <f aca="false">IF($AH163=1,SUMPRODUCT(--($AK$2:$AK$4001&lt;$AK163))+1,"")</f>
        <v/>
      </c>
      <c r="AJ163" s="18" t="str">
        <f aca="false">IF($D163="","",IF(OR($R163=TRUE(),$R163="TRUE"),1,0))</f>
        <v/>
      </c>
      <c r="AK163" s="18" t="str">
        <f aca="false">IF($AH163=1,IFERROR(VALUE(MID($D163,2,20)),1000000000)+ROW()/10000000,"")</f>
        <v/>
      </c>
    </row>
    <row r="164" customFormat="false" ht="15" hidden="false" customHeight="false" outlineLevel="0" collapsed="false">
      <c r="F164" s="15"/>
      <c r="N164" s="16" t="str">
        <f aca="false">IF($D164="","",M164*Y164/100)</f>
        <v/>
      </c>
      <c r="V164" s="16" t="str">
        <f aca="false">IF($D164="","",Y164*AB164/100)</f>
        <v/>
      </c>
      <c r="W164" s="16" t="str">
        <f aca="false">IF($D164="","",Y164-V164)</f>
        <v/>
      </c>
      <c r="X164" s="16" t="str">
        <f aca="false">IF($D164="","",W164-N164)</f>
        <v/>
      </c>
      <c r="AB164" s="17" t="str">
        <f aca="false">IF($D164="","",IF(OR($R164=TRUE(),$R164="TRUE"),Settings!$C$6,Settings!$C$7)*100)</f>
        <v/>
      </c>
      <c r="AH164" s="18" t="str">
        <f aca="false">IF($D164="","",IF(COUNTIF($D$2:$D164,$D164)=1,1,0))</f>
        <v/>
      </c>
      <c r="AI164" s="18" t="str">
        <f aca="false">IF($AH164=1,SUMPRODUCT(--($AK$2:$AK$4001&lt;$AK164))+1,"")</f>
        <v/>
      </c>
      <c r="AJ164" s="18" t="str">
        <f aca="false">IF($D164="","",IF(OR($R164=TRUE(),$R164="TRUE"),1,0))</f>
        <v/>
      </c>
      <c r="AK164" s="18" t="str">
        <f aca="false">IF($AH164=1,IFERROR(VALUE(MID($D164,2,20)),1000000000)+ROW()/10000000,"")</f>
        <v/>
      </c>
    </row>
    <row r="165" customFormat="false" ht="15" hidden="false" customHeight="false" outlineLevel="0" collapsed="false">
      <c r="F165" s="15"/>
      <c r="N165" s="16" t="str">
        <f aca="false">IF($D165="","",M165*Y165/100)</f>
        <v/>
      </c>
      <c r="V165" s="16" t="str">
        <f aca="false">IF($D165="","",Y165*AB165/100)</f>
        <v/>
      </c>
      <c r="W165" s="16" t="str">
        <f aca="false">IF($D165="","",Y165-V165)</f>
        <v/>
      </c>
      <c r="X165" s="16" t="str">
        <f aca="false">IF($D165="","",W165-N165)</f>
        <v/>
      </c>
      <c r="AB165" s="17" t="str">
        <f aca="false">IF($D165="","",IF(OR($R165=TRUE(),$R165="TRUE"),Settings!$C$6,Settings!$C$7)*100)</f>
        <v/>
      </c>
      <c r="AH165" s="18" t="str">
        <f aca="false">IF($D165="","",IF(COUNTIF($D$2:$D165,$D165)=1,1,0))</f>
        <v/>
      </c>
      <c r="AI165" s="18" t="str">
        <f aca="false">IF($AH165=1,SUMPRODUCT(--($AK$2:$AK$4001&lt;$AK165))+1,"")</f>
        <v/>
      </c>
      <c r="AJ165" s="18" t="str">
        <f aca="false">IF($D165="","",IF(OR($R165=TRUE(),$R165="TRUE"),1,0))</f>
        <v/>
      </c>
      <c r="AK165" s="18" t="str">
        <f aca="false">IF($AH165=1,IFERROR(VALUE(MID($D165,2,20)),1000000000)+ROW()/10000000,"")</f>
        <v/>
      </c>
    </row>
    <row r="166" customFormat="false" ht="15" hidden="false" customHeight="false" outlineLevel="0" collapsed="false">
      <c r="F166" s="15"/>
      <c r="N166" s="16" t="str">
        <f aca="false">IF($D166="","",M166*Y166/100)</f>
        <v/>
      </c>
      <c r="V166" s="16" t="str">
        <f aca="false">IF($D166="","",Y166*AB166/100)</f>
        <v/>
      </c>
      <c r="W166" s="16" t="str">
        <f aca="false">IF($D166="","",Y166-V166)</f>
        <v/>
      </c>
      <c r="X166" s="16" t="str">
        <f aca="false">IF($D166="","",W166-N166)</f>
        <v/>
      </c>
      <c r="AB166" s="17" t="str">
        <f aca="false">IF($D166="","",IF(OR($R166=TRUE(),$R166="TRUE"),Settings!$C$6,Settings!$C$7)*100)</f>
        <v/>
      </c>
      <c r="AH166" s="18" t="str">
        <f aca="false">IF($D166="","",IF(COUNTIF($D$2:$D166,$D166)=1,1,0))</f>
        <v/>
      </c>
      <c r="AI166" s="18" t="str">
        <f aca="false">IF($AH166=1,SUMPRODUCT(--($AK$2:$AK$4001&lt;$AK166))+1,"")</f>
        <v/>
      </c>
      <c r="AJ166" s="18" t="str">
        <f aca="false">IF($D166="","",IF(OR($R166=TRUE(),$R166="TRUE"),1,0))</f>
        <v/>
      </c>
      <c r="AK166" s="18" t="str">
        <f aca="false">IF($AH166=1,IFERROR(VALUE(MID($D166,2,20)),1000000000)+ROW()/10000000,"")</f>
        <v/>
      </c>
    </row>
    <row r="167" customFormat="false" ht="15" hidden="false" customHeight="false" outlineLevel="0" collapsed="false">
      <c r="F167" s="15"/>
      <c r="N167" s="16" t="str">
        <f aca="false">IF($D167="","",M167*Y167/100)</f>
        <v/>
      </c>
      <c r="V167" s="16" t="str">
        <f aca="false">IF($D167="","",Y167*AB167/100)</f>
        <v/>
      </c>
      <c r="W167" s="16" t="str">
        <f aca="false">IF($D167="","",Y167-V167)</f>
        <v/>
      </c>
      <c r="X167" s="16" t="str">
        <f aca="false">IF($D167="","",W167-N167)</f>
        <v/>
      </c>
      <c r="AB167" s="17" t="str">
        <f aca="false">IF($D167="","",IF(OR($R167=TRUE(),$R167="TRUE"),Settings!$C$6,Settings!$C$7)*100)</f>
        <v/>
      </c>
      <c r="AH167" s="18" t="str">
        <f aca="false">IF($D167="","",IF(COUNTIF($D$2:$D167,$D167)=1,1,0))</f>
        <v/>
      </c>
      <c r="AI167" s="18" t="str">
        <f aca="false">IF($AH167=1,SUMPRODUCT(--($AK$2:$AK$4001&lt;$AK167))+1,"")</f>
        <v/>
      </c>
      <c r="AJ167" s="18" t="str">
        <f aca="false">IF($D167="","",IF(OR($R167=TRUE(),$R167="TRUE"),1,0))</f>
        <v/>
      </c>
      <c r="AK167" s="18" t="str">
        <f aca="false">IF($AH167=1,IFERROR(VALUE(MID($D167,2,20)),1000000000)+ROW()/10000000,"")</f>
        <v/>
      </c>
    </row>
    <row r="168" customFormat="false" ht="15" hidden="false" customHeight="false" outlineLevel="0" collapsed="false">
      <c r="F168" s="15"/>
      <c r="N168" s="16" t="str">
        <f aca="false">IF($D168="","",M168*Y168/100)</f>
        <v/>
      </c>
      <c r="V168" s="16" t="str">
        <f aca="false">IF($D168="","",Y168*AB168/100)</f>
        <v/>
      </c>
      <c r="W168" s="16" t="str">
        <f aca="false">IF($D168="","",Y168-V168)</f>
        <v/>
      </c>
      <c r="X168" s="16" t="str">
        <f aca="false">IF($D168="","",W168-N168)</f>
        <v/>
      </c>
      <c r="AB168" s="17" t="str">
        <f aca="false">IF($D168="","",IF(OR($R168=TRUE(),$R168="TRUE"),Settings!$C$6,Settings!$C$7)*100)</f>
        <v/>
      </c>
      <c r="AH168" s="18" t="str">
        <f aca="false">IF($D168="","",IF(COUNTIF($D$2:$D168,$D168)=1,1,0))</f>
        <v/>
      </c>
      <c r="AI168" s="18" t="str">
        <f aca="false">IF($AH168=1,SUMPRODUCT(--($AK$2:$AK$4001&lt;$AK168))+1,"")</f>
        <v/>
      </c>
      <c r="AJ168" s="18" t="str">
        <f aca="false">IF($D168="","",IF(OR($R168=TRUE(),$R168="TRUE"),1,0))</f>
        <v/>
      </c>
      <c r="AK168" s="18" t="str">
        <f aca="false">IF($AH168=1,IFERROR(VALUE(MID($D168,2,20)),1000000000)+ROW()/10000000,"")</f>
        <v/>
      </c>
    </row>
    <row r="169" customFormat="false" ht="15" hidden="false" customHeight="false" outlineLevel="0" collapsed="false">
      <c r="F169" s="15"/>
      <c r="N169" s="16" t="str">
        <f aca="false">IF($D169="","",M169*Y169/100)</f>
        <v/>
      </c>
      <c r="V169" s="16" t="str">
        <f aca="false">IF($D169="","",Y169*AB169/100)</f>
        <v/>
      </c>
      <c r="W169" s="16" t="str">
        <f aca="false">IF($D169="","",Y169-V169)</f>
        <v/>
      </c>
      <c r="X169" s="16" t="str">
        <f aca="false">IF($D169="","",W169-N169)</f>
        <v/>
      </c>
      <c r="AB169" s="17" t="str">
        <f aca="false">IF($D169="","",IF(OR($R169=TRUE(),$R169="TRUE"),Settings!$C$6,Settings!$C$7)*100)</f>
        <v/>
      </c>
      <c r="AH169" s="18" t="str">
        <f aca="false">IF($D169="","",IF(COUNTIF($D$2:$D169,$D169)=1,1,0))</f>
        <v/>
      </c>
      <c r="AI169" s="18" t="str">
        <f aca="false">IF($AH169=1,SUMPRODUCT(--($AK$2:$AK$4001&lt;$AK169))+1,"")</f>
        <v/>
      </c>
      <c r="AJ169" s="18" t="str">
        <f aca="false">IF($D169="","",IF(OR($R169=TRUE(),$R169="TRUE"),1,0))</f>
        <v/>
      </c>
      <c r="AK169" s="18" t="str">
        <f aca="false">IF($AH169=1,IFERROR(VALUE(MID($D169,2,20)),1000000000)+ROW()/10000000,"")</f>
        <v/>
      </c>
    </row>
    <row r="170" customFormat="false" ht="15" hidden="false" customHeight="false" outlineLevel="0" collapsed="false">
      <c r="F170" s="15"/>
      <c r="N170" s="16" t="str">
        <f aca="false">IF($D170="","",M170*Y170/100)</f>
        <v/>
      </c>
      <c r="V170" s="16" t="str">
        <f aca="false">IF($D170="","",Y170*AB170/100)</f>
        <v/>
      </c>
      <c r="W170" s="16" t="str">
        <f aca="false">IF($D170="","",Y170-V170)</f>
        <v/>
      </c>
      <c r="X170" s="16" t="str">
        <f aca="false">IF($D170="","",W170-N170)</f>
        <v/>
      </c>
      <c r="AB170" s="17" t="str">
        <f aca="false">IF($D170="","",IF(OR($R170=TRUE(),$R170="TRUE"),Settings!$C$6,Settings!$C$7)*100)</f>
        <v/>
      </c>
      <c r="AH170" s="18" t="str">
        <f aca="false">IF($D170="","",IF(COUNTIF($D$2:$D170,$D170)=1,1,0))</f>
        <v/>
      </c>
      <c r="AI170" s="18" t="str">
        <f aca="false">IF($AH170=1,SUMPRODUCT(--($AK$2:$AK$4001&lt;$AK170))+1,"")</f>
        <v/>
      </c>
      <c r="AJ170" s="18" t="str">
        <f aca="false">IF($D170="","",IF(OR($R170=TRUE(),$R170="TRUE"),1,0))</f>
        <v/>
      </c>
      <c r="AK170" s="18" t="str">
        <f aca="false">IF($AH170=1,IFERROR(VALUE(MID($D170,2,20)),1000000000)+ROW()/10000000,"")</f>
        <v/>
      </c>
    </row>
    <row r="171" customFormat="false" ht="15" hidden="false" customHeight="false" outlineLevel="0" collapsed="false">
      <c r="F171" s="15"/>
      <c r="N171" s="16" t="str">
        <f aca="false">IF($D171="","",M171*Y171/100)</f>
        <v/>
      </c>
      <c r="V171" s="16" t="str">
        <f aca="false">IF($D171="","",Y171*AB171/100)</f>
        <v/>
      </c>
      <c r="W171" s="16" t="str">
        <f aca="false">IF($D171="","",Y171-V171)</f>
        <v/>
      </c>
      <c r="X171" s="16" t="str">
        <f aca="false">IF($D171="","",W171-N171)</f>
        <v/>
      </c>
      <c r="AB171" s="17" t="str">
        <f aca="false">IF($D171="","",IF(OR($R171=TRUE(),$R171="TRUE"),Settings!$C$6,Settings!$C$7)*100)</f>
        <v/>
      </c>
      <c r="AH171" s="18" t="str">
        <f aca="false">IF($D171="","",IF(COUNTIF($D$2:$D171,$D171)=1,1,0))</f>
        <v/>
      </c>
      <c r="AI171" s="18" t="str">
        <f aca="false">IF($AH171=1,SUMPRODUCT(--($AK$2:$AK$4001&lt;$AK171))+1,"")</f>
        <v/>
      </c>
      <c r="AJ171" s="18" t="str">
        <f aca="false">IF($D171="","",IF(OR($R171=TRUE(),$R171="TRUE"),1,0))</f>
        <v/>
      </c>
      <c r="AK171" s="18" t="str">
        <f aca="false">IF($AH171=1,IFERROR(VALUE(MID($D171,2,20)),1000000000)+ROW()/10000000,"")</f>
        <v/>
      </c>
    </row>
    <row r="172" customFormat="false" ht="15" hidden="false" customHeight="false" outlineLevel="0" collapsed="false">
      <c r="F172" s="15"/>
      <c r="N172" s="16" t="str">
        <f aca="false">IF($D172="","",M172*Y172/100)</f>
        <v/>
      </c>
      <c r="V172" s="16" t="str">
        <f aca="false">IF($D172="","",Y172*AB172/100)</f>
        <v/>
      </c>
      <c r="W172" s="16" t="str">
        <f aca="false">IF($D172="","",Y172-V172)</f>
        <v/>
      </c>
      <c r="X172" s="16" t="str">
        <f aca="false">IF($D172="","",W172-N172)</f>
        <v/>
      </c>
      <c r="AB172" s="17" t="str">
        <f aca="false">IF($D172="","",IF(OR($R172=TRUE(),$R172="TRUE"),Settings!$C$6,Settings!$C$7)*100)</f>
        <v/>
      </c>
      <c r="AH172" s="18" t="str">
        <f aca="false">IF($D172="","",IF(COUNTIF($D$2:$D172,$D172)=1,1,0))</f>
        <v/>
      </c>
      <c r="AI172" s="18" t="str">
        <f aca="false">IF($AH172=1,SUMPRODUCT(--($AK$2:$AK$4001&lt;$AK172))+1,"")</f>
        <v/>
      </c>
      <c r="AJ172" s="18" t="str">
        <f aca="false">IF($D172="","",IF(OR($R172=TRUE(),$R172="TRUE"),1,0))</f>
        <v/>
      </c>
      <c r="AK172" s="18" t="str">
        <f aca="false">IF($AH172=1,IFERROR(VALUE(MID($D172,2,20)),1000000000)+ROW()/10000000,"")</f>
        <v/>
      </c>
    </row>
    <row r="173" customFormat="false" ht="15" hidden="false" customHeight="false" outlineLevel="0" collapsed="false">
      <c r="F173" s="15"/>
      <c r="N173" s="16" t="str">
        <f aca="false">IF($D173="","",M173*Y173/100)</f>
        <v/>
      </c>
      <c r="V173" s="16" t="str">
        <f aca="false">IF($D173="","",Y173*AB173/100)</f>
        <v/>
      </c>
      <c r="W173" s="16" t="str">
        <f aca="false">IF($D173="","",Y173-V173)</f>
        <v/>
      </c>
      <c r="X173" s="16" t="str">
        <f aca="false">IF($D173="","",W173-N173)</f>
        <v/>
      </c>
      <c r="AB173" s="17" t="str">
        <f aca="false">IF($D173="","",IF(OR($R173=TRUE(),$R173="TRUE"),Settings!$C$6,Settings!$C$7)*100)</f>
        <v/>
      </c>
      <c r="AH173" s="18" t="str">
        <f aca="false">IF($D173="","",IF(COUNTIF($D$2:$D173,$D173)=1,1,0))</f>
        <v/>
      </c>
      <c r="AI173" s="18" t="str">
        <f aca="false">IF($AH173=1,SUMPRODUCT(--($AK$2:$AK$4001&lt;$AK173))+1,"")</f>
        <v/>
      </c>
      <c r="AJ173" s="18" t="str">
        <f aca="false">IF($D173="","",IF(OR($R173=TRUE(),$R173="TRUE"),1,0))</f>
        <v/>
      </c>
      <c r="AK173" s="18" t="str">
        <f aca="false">IF($AH173=1,IFERROR(VALUE(MID($D173,2,20)),1000000000)+ROW()/10000000,"")</f>
        <v/>
      </c>
    </row>
    <row r="174" customFormat="false" ht="15" hidden="false" customHeight="false" outlineLevel="0" collapsed="false">
      <c r="F174" s="15"/>
      <c r="N174" s="16" t="str">
        <f aca="false">IF($D174="","",M174*Y174/100)</f>
        <v/>
      </c>
      <c r="V174" s="16" t="str">
        <f aca="false">IF($D174="","",Y174*AB174/100)</f>
        <v/>
      </c>
      <c r="W174" s="16" t="str">
        <f aca="false">IF($D174="","",Y174-V174)</f>
        <v/>
      </c>
      <c r="X174" s="16" t="str">
        <f aca="false">IF($D174="","",W174-N174)</f>
        <v/>
      </c>
      <c r="AB174" s="17" t="str">
        <f aca="false">IF($D174="","",IF(OR($R174=TRUE(),$R174="TRUE"),Settings!$C$6,Settings!$C$7)*100)</f>
        <v/>
      </c>
      <c r="AH174" s="18" t="str">
        <f aca="false">IF($D174="","",IF(COUNTIF($D$2:$D174,$D174)=1,1,0))</f>
        <v/>
      </c>
      <c r="AI174" s="18" t="str">
        <f aca="false">IF($AH174=1,SUMPRODUCT(--($AK$2:$AK$4001&lt;$AK174))+1,"")</f>
        <v/>
      </c>
      <c r="AJ174" s="18" t="str">
        <f aca="false">IF($D174="","",IF(OR($R174=TRUE(),$R174="TRUE"),1,0))</f>
        <v/>
      </c>
      <c r="AK174" s="18" t="str">
        <f aca="false">IF($AH174=1,IFERROR(VALUE(MID($D174,2,20)),1000000000)+ROW()/10000000,"")</f>
        <v/>
      </c>
    </row>
    <row r="175" customFormat="false" ht="15" hidden="false" customHeight="false" outlineLevel="0" collapsed="false">
      <c r="F175" s="15"/>
      <c r="N175" s="16" t="str">
        <f aca="false">IF($D175="","",M175*Y175/100)</f>
        <v/>
      </c>
      <c r="V175" s="16" t="str">
        <f aca="false">IF($D175="","",Y175*AB175/100)</f>
        <v/>
      </c>
      <c r="W175" s="16" t="str">
        <f aca="false">IF($D175="","",Y175-V175)</f>
        <v/>
      </c>
      <c r="X175" s="16" t="str">
        <f aca="false">IF($D175="","",W175-N175)</f>
        <v/>
      </c>
      <c r="AB175" s="17" t="str">
        <f aca="false">IF($D175="","",IF(OR($R175=TRUE(),$R175="TRUE"),Settings!$C$6,Settings!$C$7)*100)</f>
        <v/>
      </c>
      <c r="AH175" s="18" t="str">
        <f aca="false">IF($D175="","",IF(COUNTIF($D$2:$D175,$D175)=1,1,0))</f>
        <v/>
      </c>
      <c r="AI175" s="18" t="str">
        <f aca="false">IF($AH175=1,SUMPRODUCT(--($AK$2:$AK$4001&lt;$AK175))+1,"")</f>
        <v/>
      </c>
      <c r="AJ175" s="18" t="str">
        <f aca="false">IF($D175="","",IF(OR($R175=TRUE(),$R175="TRUE"),1,0))</f>
        <v/>
      </c>
      <c r="AK175" s="18" t="str">
        <f aca="false">IF($AH175=1,IFERROR(VALUE(MID($D175,2,20)),1000000000)+ROW()/10000000,"")</f>
        <v/>
      </c>
    </row>
    <row r="176" customFormat="false" ht="15" hidden="false" customHeight="false" outlineLevel="0" collapsed="false">
      <c r="F176" s="15"/>
      <c r="N176" s="16" t="str">
        <f aca="false">IF($D176="","",M176*Y176/100)</f>
        <v/>
      </c>
      <c r="V176" s="16" t="str">
        <f aca="false">IF($D176="","",Y176*AB176/100)</f>
        <v/>
      </c>
      <c r="W176" s="16" t="str">
        <f aca="false">IF($D176="","",Y176-V176)</f>
        <v/>
      </c>
      <c r="X176" s="16" t="str">
        <f aca="false">IF($D176="","",W176-N176)</f>
        <v/>
      </c>
      <c r="AB176" s="17" t="str">
        <f aca="false">IF($D176="","",IF(OR($R176=TRUE(),$R176="TRUE"),Settings!$C$6,Settings!$C$7)*100)</f>
        <v/>
      </c>
      <c r="AH176" s="18" t="str">
        <f aca="false">IF($D176="","",IF(COUNTIF($D$2:$D176,$D176)=1,1,0))</f>
        <v/>
      </c>
      <c r="AI176" s="18" t="str">
        <f aca="false">IF($AH176=1,SUMPRODUCT(--($AK$2:$AK$4001&lt;$AK176))+1,"")</f>
        <v/>
      </c>
      <c r="AJ176" s="18" t="str">
        <f aca="false">IF($D176="","",IF(OR($R176=TRUE(),$R176="TRUE"),1,0))</f>
        <v/>
      </c>
      <c r="AK176" s="18" t="str">
        <f aca="false">IF($AH176=1,IFERROR(VALUE(MID($D176,2,20)),1000000000)+ROW()/10000000,"")</f>
        <v/>
      </c>
    </row>
    <row r="177" customFormat="false" ht="15" hidden="false" customHeight="false" outlineLevel="0" collapsed="false">
      <c r="F177" s="15"/>
      <c r="N177" s="16" t="str">
        <f aca="false">IF($D177="","",M177*Y177/100)</f>
        <v/>
      </c>
      <c r="V177" s="16" t="str">
        <f aca="false">IF($D177="","",Y177*AB177/100)</f>
        <v/>
      </c>
      <c r="W177" s="16" t="str">
        <f aca="false">IF($D177="","",Y177-V177)</f>
        <v/>
      </c>
      <c r="X177" s="16" t="str">
        <f aca="false">IF($D177="","",W177-N177)</f>
        <v/>
      </c>
      <c r="AB177" s="17" t="str">
        <f aca="false">IF($D177="","",IF(OR($R177=TRUE(),$R177="TRUE"),Settings!$C$6,Settings!$C$7)*100)</f>
        <v/>
      </c>
      <c r="AH177" s="18" t="str">
        <f aca="false">IF($D177="","",IF(COUNTIF($D$2:$D177,$D177)=1,1,0))</f>
        <v/>
      </c>
      <c r="AI177" s="18" t="str">
        <f aca="false">IF($AH177=1,SUMPRODUCT(--($AK$2:$AK$4001&lt;$AK177))+1,"")</f>
        <v/>
      </c>
      <c r="AJ177" s="18" t="str">
        <f aca="false">IF($D177="","",IF(OR($R177=TRUE(),$R177="TRUE"),1,0))</f>
        <v/>
      </c>
      <c r="AK177" s="18" t="str">
        <f aca="false">IF($AH177=1,IFERROR(VALUE(MID($D177,2,20)),1000000000)+ROW()/10000000,"")</f>
        <v/>
      </c>
    </row>
    <row r="178" customFormat="false" ht="15" hidden="false" customHeight="false" outlineLevel="0" collapsed="false">
      <c r="F178" s="15"/>
      <c r="N178" s="16" t="str">
        <f aca="false">IF($D178="","",M178*Y178/100)</f>
        <v/>
      </c>
      <c r="V178" s="16" t="str">
        <f aca="false">IF($D178="","",Y178*AB178/100)</f>
        <v/>
      </c>
      <c r="W178" s="16" t="str">
        <f aca="false">IF($D178="","",Y178-V178)</f>
        <v/>
      </c>
      <c r="X178" s="16" t="str">
        <f aca="false">IF($D178="","",W178-N178)</f>
        <v/>
      </c>
      <c r="AB178" s="17" t="str">
        <f aca="false">IF($D178="","",IF(OR($R178=TRUE(),$R178="TRUE"),Settings!$C$6,Settings!$C$7)*100)</f>
        <v/>
      </c>
      <c r="AH178" s="18" t="str">
        <f aca="false">IF($D178="","",IF(COUNTIF($D$2:$D178,$D178)=1,1,0))</f>
        <v/>
      </c>
      <c r="AI178" s="18" t="str">
        <f aca="false">IF($AH178=1,SUMPRODUCT(--($AK$2:$AK$4001&lt;$AK178))+1,"")</f>
        <v/>
      </c>
      <c r="AJ178" s="18" t="str">
        <f aca="false">IF($D178="","",IF(OR($R178=TRUE(),$R178="TRUE"),1,0))</f>
        <v/>
      </c>
      <c r="AK178" s="18" t="str">
        <f aca="false">IF($AH178=1,IFERROR(VALUE(MID($D178,2,20)),1000000000)+ROW()/10000000,"")</f>
        <v/>
      </c>
    </row>
    <row r="179" customFormat="false" ht="15" hidden="false" customHeight="false" outlineLevel="0" collapsed="false">
      <c r="F179" s="15"/>
      <c r="N179" s="16" t="str">
        <f aca="false">IF($D179="","",M179*Y179/100)</f>
        <v/>
      </c>
      <c r="V179" s="16" t="str">
        <f aca="false">IF($D179="","",Y179*AB179/100)</f>
        <v/>
      </c>
      <c r="W179" s="16" t="str">
        <f aca="false">IF($D179="","",Y179-V179)</f>
        <v/>
      </c>
      <c r="X179" s="16" t="str">
        <f aca="false">IF($D179="","",W179-N179)</f>
        <v/>
      </c>
      <c r="AB179" s="17" t="str">
        <f aca="false">IF($D179="","",IF(OR($R179=TRUE(),$R179="TRUE"),Settings!$C$6,Settings!$C$7)*100)</f>
        <v/>
      </c>
      <c r="AH179" s="18" t="str">
        <f aca="false">IF($D179="","",IF(COUNTIF($D$2:$D179,$D179)=1,1,0))</f>
        <v/>
      </c>
      <c r="AI179" s="18" t="str">
        <f aca="false">IF($AH179=1,SUMPRODUCT(--($AK$2:$AK$4001&lt;$AK179))+1,"")</f>
        <v/>
      </c>
      <c r="AJ179" s="18" t="str">
        <f aca="false">IF($D179="","",IF(OR($R179=TRUE(),$R179="TRUE"),1,0))</f>
        <v/>
      </c>
      <c r="AK179" s="18" t="str">
        <f aca="false">IF($AH179=1,IFERROR(VALUE(MID($D179,2,20)),1000000000)+ROW()/10000000,"")</f>
        <v/>
      </c>
    </row>
    <row r="180" customFormat="false" ht="15" hidden="false" customHeight="false" outlineLevel="0" collapsed="false">
      <c r="F180" s="15"/>
      <c r="N180" s="16" t="str">
        <f aca="false">IF($D180="","",M180*Y180/100)</f>
        <v/>
      </c>
      <c r="V180" s="16" t="str">
        <f aca="false">IF($D180="","",Y180*AB180/100)</f>
        <v/>
      </c>
      <c r="W180" s="16" t="str">
        <f aca="false">IF($D180="","",Y180-V180)</f>
        <v/>
      </c>
      <c r="X180" s="16" t="str">
        <f aca="false">IF($D180="","",W180-N180)</f>
        <v/>
      </c>
      <c r="AB180" s="17" t="str">
        <f aca="false">IF($D180="","",IF(OR($R180=TRUE(),$R180="TRUE"),Settings!$C$6,Settings!$C$7)*100)</f>
        <v/>
      </c>
      <c r="AH180" s="18" t="str">
        <f aca="false">IF($D180="","",IF(COUNTIF($D$2:$D180,$D180)=1,1,0))</f>
        <v/>
      </c>
      <c r="AI180" s="18" t="str">
        <f aca="false">IF($AH180=1,SUMPRODUCT(--($AK$2:$AK$4001&lt;$AK180))+1,"")</f>
        <v/>
      </c>
      <c r="AJ180" s="18" t="str">
        <f aca="false">IF($D180="","",IF(OR($R180=TRUE(),$R180="TRUE"),1,0))</f>
        <v/>
      </c>
      <c r="AK180" s="18" t="str">
        <f aca="false">IF($AH180=1,IFERROR(VALUE(MID($D180,2,20)),1000000000)+ROW()/10000000,"")</f>
        <v/>
      </c>
    </row>
    <row r="181" customFormat="false" ht="15" hidden="false" customHeight="false" outlineLevel="0" collapsed="false">
      <c r="F181" s="15"/>
      <c r="N181" s="16" t="str">
        <f aca="false">IF($D181="","",M181*Y181/100)</f>
        <v/>
      </c>
      <c r="V181" s="16" t="str">
        <f aca="false">IF($D181="","",Y181*AB181/100)</f>
        <v/>
      </c>
      <c r="W181" s="16" t="str">
        <f aca="false">IF($D181="","",Y181-V181)</f>
        <v/>
      </c>
      <c r="X181" s="16" t="str">
        <f aca="false">IF($D181="","",W181-N181)</f>
        <v/>
      </c>
      <c r="AB181" s="17" t="str">
        <f aca="false">IF($D181="","",IF(OR($R181=TRUE(),$R181="TRUE"),Settings!$C$6,Settings!$C$7)*100)</f>
        <v/>
      </c>
      <c r="AH181" s="18" t="str">
        <f aca="false">IF($D181="","",IF(COUNTIF($D$2:$D181,$D181)=1,1,0))</f>
        <v/>
      </c>
      <c r="AI181" s="18" t="str">
        <f aca="false">IF($AH181=1,SUMPRODUCT(--($AK$2:$AK$4001&lt;$AK181))+1,"")</f>
        <v/>
      </c>
      <c r="AJ181" s="18" t="str">
        <f aca="false">IF($D181="","",IF(OR($R181=TRUE(),$R181="TRUE"),1,0))</f>
        <v/>
      </c>
      <c r="AK181" s="18" t="str">
        <f aca="false">IF($AH181=1,IFERROR(VALUE(MID($D181,2,20)),1000000000)+ROW()/10000000,"")</f>
        <v/>
      </c>
    </row>
    <row r="182" customFormat="false" ht="15" hidden="false" customHeight="false" outlineLevel="0" collapsed="false">
      <c r="F182" s="15"/>
      <c r="N182" s="16" t="str">
        <f aca="false">IF($D182="","",M182*Y182/100)</f>
        <v/>
      </c>
      <c r="V182" s="16" t="str">
        <f aca="false">IF($D182="","",Y182*AB182/100)</f>
        <v/>
      </c>
      <c r="W182" s="16" t="str">
        <f aca="false">IF($D182="","",Y182-V182)</f>
        <v/>
      </c>
      <c r="X182" s="16" t="str">
        <f aca="false">IF($D182="","",W182-N182)</f>
        <v/>
      </c>
      <c r="AB182" s="17" t="str">
        <f aca="false">IF($D182="","",IF(OR($R182=TRUE(),$R182="TRUE"),Settings!$C$6,Settings!$C$7)*100)</f>
        <v/>
      </c>
      <c r="AH182" s="18" t="str">
        <f aca="false">IF($D182="","",IF(COUNTIF($D$2:$D182,$D182)=1,1,0))</f>
        <v/>
      </c>
      <c r="AI182" s="18" t="str">
        <f aca="false">IF($AH182=1,SUMPRODUCT(--($AK$2:$AK$4001&lt;$AK182))+1,"")</f>
        <v/>
      </c>
      <c r="AJ182" s="18" t="str">
        <f aca="false">IF($D182="","",IF(OR($R182=TRUE(),$R182="TRUE"),1,0))</f>
        <v/>
      </c>
      <c r="AK182" s="18" t="str">
        <f aca="false">IF($AH182=1,IFERROR(VALUE(MID($D182,2,20)),1000000000)+ROW()/10000000,"")</f>
        <v/>
      </c>
    </row>
    <row r="183" customFormat="false" ht="15" hidden="false" customHeight="false" outlineLevel="0" collapsed="false">
      <c r="F183" s="15"/>
      <c r="N183" s="16" t="str">
        <f aca="false">IF($D183="","",M183*Y183/100)</f>
        <v/>
      </c>
      <c r="V183" s="16" t="str">
        <f aca="false">IF($D183="","",Y183*AB183/100)</f>
        <v/>
      </c>
      <c r="W183" s="16" t="str">
        <f aca="false">IF($D183="","",Y183-V183)</f>
        <v/>
      </c>
      <c r="X183" s="16" t="str">
        <f aca="false">IF($D183="","",W183-N183)</f>
        <v/>
      </c>
      <c r="AB183" s="17" t="str">
        <f aca="false">IF($D183="","",IF(OR($R183=TRUE(),$R183="TRUE"),Settings!$C$6,Settings!$C$7)*100)</f>
        <v/>
      </c>
      <c r="AH183" s="18" t="str">
        <f aca="false">IF($D183="","",IF(COUNTIF($D$2:$D183,$D183)=1,1,0))</f>
        <v/>
      </c>
      <c r="AI183" s="18" t="str">
        <f aca="false">IF($AH183=1,SUMPRODUCT(--($AK$2:$AK$4001&lt;$AK183))+1,"")</f>
        <v/>
      </c>
      <c r="AJ183" s="18" t="str">
        <f aca="false">IF($D183="","",IF(OR($R183=TRUE(),$R183="TRUE"),1,0))</f>
        <v/>
      </c>
      <c r="AK183" s="18" t="str">
        <f aca="false">IF($AH183=1,IFERROR(VALUE(MID($D183,2,20)),1000000000)+ROW()/10000000,"")</f>
        <v/>
      </c>
    </row>
    <row r="184" customFormat="false" ht="15" hidden="false" customHeight="false" outlineLevel="0" collapsed="false">
      <c r="F184" s="15"/>
      <c r="N184" s="16" t="str">
        <f aca="false">IF($D184="","",M184*Y184/100)</f>
        <v/>
      </c>
      <c r="V184" s="16" t="str">
        <f aca="false">IF($D184="","",Y184*AB184/100)</f>
        <v/>
      </c>
      <c r="W184" s="16" t="str">
        <f aca="false">IF($D184="","",Y184-V184)</f>
        <v/>
      </c>
      <c r="X184" s="16" t="str">
        <f aca="false">IF($D184="","",W184-N184)</f>
        <v/>
      </c>
      <c r="AB184" s="17" t="str">
        <f aca="false">IF($D184="","",IF(OR($R184=TRUE(),$R184="TRUE"),Settings!$C$6,Settings!$C$7)*100)</f>
        <v/>
      </c>
      <c r="AH184" s="18" t="str">
        <f aca="false">IF($D184="","",IF(COUNTIF($D$2:$D184,$D184)=1,1,0))</f>
        <v/>
      </c>
      <c r="AI184" s="18" t="str">
        <f aca="false">IF($AH184=1,SUMPRODUCT(--($AK$2:$AK$4001&lt;$AK184))+1,"")</f>
        <v/>
      </c>
      <c r="AJ184" s="18" t="str">
        <f aca="false">IF($D184="","",IF(OR($R184=TRUE(),$R184="TRUE"),1,0))</f>
        <v/>
      </c>
      <c r="AK184" s="18" t="str">
        <f aca="false">IF($AH184=1,IFERROR(VALUE(MID($D184,2,20)),1000000000)+ROW()/10000000,"")</f>
        <v/>
      </c>
    </row>
    <row r="185" customFormat="false" ht="15" hidden="false" customHeight="false" outlineLevel="0" collapsed="false">
      <c r="F185" s="15"/>
      <c r="N185" s="16" t="str">
        <f aca="false">IF($D185="","",M185*Y185/100)</f>
        <v/>
      </c>
      <c r="V185" s="16" t="str">
        <f aca="false">IF($D185="","",Y185*AB185/100)</f>
        <v/>
      </c>
      <c r="W185" s="16" t="str">
        <f aca="false">IF($D185="","",Y185-V185)</f>
        <v/>
      </c>
      <c r="X185" s="16" t="str">
        <f aca="false">IF($D185="","",W185-N185)</f>
        <v/>
      </c>
      <c r="AB185" s="17" t="str">
        <f aca="false">IF($D185="","",IF(OR($R185=TRUE(),$R185="TRUE"),Settings!$C$6,Settings!$C$7)*100)</f>
        <v/>
      </c>
      <c r="AH185" s="18" t="str">
        <f aca="false">IF($D185="","",IF(COUNTIF($D$2:$D185,$D185)=1,1,0))</f>
        <v/>
      </c>
      <c r="AI185" s="18" t="str">
        <f aca="false">IF($AH185=1,SUMPRODUCT(--($AK$2:$AK$4001&lt;$AK185))+1,"")</f>
        <v/>
      </c>
      <c r="AJ185" s="18" t="str">
        <f aca="false">IF($D185="","",IF(OR($R185=TRUE(),$R185="TRUE"),1,0))</f>
        <v/>
      </c>
      <c r="AK185" s="18" t="str">
        <f aca="false">IF($AH185=1,IFERROR(VALUE(MID($D185,2,20)),1000000000)+ROW()/10000000,"")</f>
        <v/>
      </c>
    </row>
    <row r="186" customFormat="false" ht="15" hidden="false" customHeight="false" outlineLevel="0" collapsed="false">
      <c r="F186" s="15"/>
      <c r="N186" s="16" t="str">
        <f aca="false">IF($D186="","",M186*Y186/100)</f>
        <v/>
      </c>
      <c r="V186" s="16" t="str">
        <f aca="false">IF($D186="","",Y186*AB186/100)</f>
        <v/>
      </c>
      <c r="W186" s="16" t="str">
        <f aca="false">IF($D186="","",Y186-V186)</f>
        <v/>
      </c>
      <c r="X186" s="16" t="str">
        <f aca="false">IF($D186="","",W186-N186)</f>
        <v/>
      </c>
      <c r="AB186" s="17" t="str">
        <f aca="false">IF($D186="","",IF(OR($R186=TRUE(),$R186="TRUE"),Settings!$C$6,Settings!$C$7)*100)</f>
        <v/>
      </c>
      <c r="AH186" s="18" t="str">
        <f aca="false">IF($D186="","",IF(COUNTIF($D$2:$D186,$D186)=1,1,0))</f>
        <v/>
      </c>
      <c r="AI186" s="18" t="str">
        <f aca="false">IF($AH186=1,SUMPRODUCT(--($AK$2:$AK$4001&lt;$AK186))+1,"")</f>
        <v/>
      </c>
      <c r="AJ186" s="18" t="str">
        <f aca="false">IF($D186="","",IF(OR($R186=TRUE(),$R186="TRUE"),1,0))</f>
        <v/>
      </c>
      <c r="AK186" s="18" t="str">
        <f aca="false">IF($AH186=1,IFERROR(VALUE(MID($D186,2,20)),1000000000)+ROW()/10000000,"")</f>
        <v/>
      </c>
    </row>
    <row r="187" customFormat="false" ht="15" hidden="false" customHeight="false" outlineLevel="0" collapsed="false">
      <c r="F187" s="15"/>
      <c r="N187" s="16" t="str">
        <f aca="false">IF($D187="","",M187*Y187/100)</f>
        <v/>
      </c>
      <c r="V187" s="16" t="str">
        <f aca="false">IF($D187="","",Y187*AB187/100)</f>
        <v/>
      </c>
      <c r="W187" s="16" t="str">
        <f aca="false">IF($D187="","",Y187-V187)</f>
        <v/>
      </c>
      <c r="X187" s="16" t="str">
        <f aca="false">IF($D187="","",W187-N187)</f>
        <v/>
      </c>
      <c r="AB187" s="17" t="str">
        <f aca="false">IF($D187="","",IF(OR($R187=TRUE(),$R187="TRUE"),Settings!$C$6,Settings!$C$7)*100)</f>
        <v/>
      </c>
      <c r="AH187" s="18" t="str">
        <f aca="false">IF($D187="","",IF(COUNTIF($D$2:$D187,$D187)=1,1,0))</f>
        <v/>
      </c>
      <c r="AI187" s="18" t="str">
        <f aca="false">IF($AH187=1,SUMPRODUCT(--($AK$2:$AK$4001&lt;$AK187))+1,"")</f>
        <v/>
      </c>
      <c r="AJ187" s="18" t="str">
        <f aca="false">IF($D187="","",IF(OR($R187=TRUE(),$R187="TRUE"),1,0))</f>
        <v/>
      </c>
      <c r="AK187" s="18" t="str">
        <f aca="false">IF($AH187=1,IFERROR(VALUE(MID($D187,2,20)),1000000000)+ROW()/10000000,"")</f>
        <v/>
      </c>
    </row>
    <row r="188" customFormat="false" ht="15" hidden="false" customHeight="false" outlineLevel="0" collapsed="false">
      <c r="F188" s="15"/>
      <c r="N188" s="16" t="str">
        <f aca="false">IF($D188="","",M188*Y188/100)</f>
        <v/>
      </c>
      <c r="V188" s="16" t="str">
        <f aca="false">IF($D188="","",Y188*AB188/100)</f>
        <v/>
      </c>
      <c r="W188" s="16" t="str">
        <f aca="false">IF($D188="","",Y188-V188)</f>
        <v/>
      </c>
      <c r="X188" s="16" t="str">
        <f aca="false">IF($D188="","",W188-N188)</f>
        <v/>
      </c>
      <c r="AB188" s="17" t="str">
        <f aca="false">IF($D188="","",IF(OR($R188=TRUE(),$R188="TRUE"),Settings!$C$6,Settings!$C$7)*100)</f>
        <v/>
      </c>
      <c r="AH188" s="18" t="str">
        <f aca="false">IF($D188="","",IF(COUNTIF($D$2:$D188,$D188)=1,1,0))</f>
        <v/>
      </c>
      <c r="AI188" s="18" t="str">
        <f aca="false">IF($AH188=1,SUMPRODUCT(--($AK$2:$AK$4001&lt;$AK188))+1,"")</f>
        <v/>
      </c>
      <c r="AJ188" s="18" t="str">
        <f aca="false">IF($D188="","",IF(OR($R188=TRUE(),$R188="TRUE"),1,0))</f>
        <v/>
      </c>
      <c r="AK188" s="18" t="str">
        <f aca="false">IF($AH188=1,IFERROR(VALUE(MID($D188,2,20)),1000000000)+ROW()/10000000,"")</f>
        <v/>
      </c>
    </row>
    <row r="189" customFormat="false" ht="15" hidden="false" customHeight="false" outlineLevel="0" collapsed="false">
      <c r="F189" s="15"/>
      <c r="N189" s="16" t="str">
        <f aca="false">IF($D189="","",M189*Y189/100)</f>
        <v/>
      </c>
      <c r="V189" s="16" t="str">
        <f aca="false">IF($D189="","",Y189*AB189/100)</f>
        <v/>
      </c>
      <c r="W189" s="16" t="str">
        <f aca="false">IF($D189="","",Y189-V189)</f>
        <v/>
      </c>
      <c r="X189" s="16" t="str">
        <f aca="false">IF($D189="","",W189-N189)</f>
        <v/>
      </c>
      <c r="AB189" s="17" t="str">
        <f aca="false">IF($D189="","",IF(OR($R189=TRUE(),$R189="TRUE"),Settings!$C$6,Settings!$C$7)*100)</f>
        <v/>
      </c>
      <c r="AH189" s="18" t="str">
        <f aca="false">IF($D189="","",IF(COUNTIF($D$2:$D189,$D189)=1,1,0))</f>
        <v/>
      </c>
      <c r="AI189" s="18" t="str">
        <f aca="false">IF($AH189=1,SUMPRODUCT(--($AK$2:$AK$4001&lt;$AK189))+1,"")</f>
        <v/>
      </c>
      <c r="AJ189" s="18" t="str">
        <f aca="false">IF($D189="","",IF(OR($R189=TRUE(),$R189="TRUE"),1,0))</f>
        <v/>
      </c>
      <c r="AK189" s="18" t="str">
        <f aca="false">IF($AH189=1,IFERROR(VALUE(MID($D189,2,20)),1000000000)+ROW()/10000000,"")</f>
        <v/>
      </c>
    </row>
    <row r="190" customFormat="false" ht="15" hidden="false" customHeight="false" outlineLevel="0" collapsed="false">
      <c r="F190" s="15"/>
      <c r="N190" s="16" t="str">
        <f aca="false">IF($D190="","",M190*Y190/100)</f>
        <v/>
      </c>
      <c r="V190" s="16" t="str">
        <f aca="false">IF($D190="","",Y190*AB190/100)</f>
        <v/>
      </c>
      <c r="W190" s="16" t="str">
        <f aca="false">IF($D190="","",Y190-V190)</f>
        <v/>
      </c>
      <c r="X190" s="16" t="str">
        <f aca="false">IF($D190="","",W190-N190)</f>
        <v/>
      </c>
      <c r="AB190" s="17" t="str">
        <f aca="false">IF($D190="","",IF(OR($R190=TRUE(),$R190="TRUE"),Settings!$C$6,Settings!$C$7)*100)</f>
        <v/>
      </c>
      <c r="AH190" s="18" t="str">
        <f aca="false">IF($D190="","",IF(COUNTIF($D$2:$D190,$D190)=1,1,0))</f>
        <v/>
      </c>
      <c r="AI190" s="18" t="str">
        <f aca="false">IF($AH190=1,SUMPRODUCT(--($AK$2:$AK$4001&lt;$AK190))+1,"")</f>
        <v/>
      </c>
      <c r="AJ190" s="18" t="str">
        <f aca="false">IF($D190="","",IF(OR($R190=TRUE(),$R190="TRUE"),1,0))</f>
        <v/>
      </c>
      <c r="AK190" s="18" t="str">
        <f aca="false">IF($AH190=1,IFERROR(VALUE(MID($D190,2,20)),1000000000)+ROW()/10000000,"")</f>
        <v/>
      </c>
    </row>
    <row r="191" customFormat="false" ht="15" hidden="false" customHeight="false" outlineLevel="0" collapsed="false">
      <c r="F191" s="15"/>
      <c r="N191" s="16" t="str">
        <f aca="false">IF($D191="","",M191*Y191/100)</f>
        <v/>
      </c>
      <c r="V191" s="16" t="str">
        <f aca="false">IF($D191="","",Y191*AB191/100)</f>
        <v/>
      </c>
      <c r="W191" s="16" t="str">
        <f aca="false">IF($D191="","",Y191-V191)</f>
        <v/>
      </c>
      <c r="X191" s="16" t="str">
        <f aca="false">IF($D191="","",W191-N191)</f>
        <v/>
      </c>
      <c r="AB191" s="17" t="str">
        <f aca="false">IF($D191="","",IF(OR($R191=TRUE(),$R191="TRUE"),Settings!$C$6,Settings!$C$7)*100)</f>
        <v/>
      </c>
      <c r="AH191" s="18" t="str">
        <f aca="false">IF($D191="","",IF(COUNTIF($D$2:$D191,$D191)=1,1,0))</f>
        <v/>
      </c>
      <c r="AI191" s="18" t="str">
        <f aca="false">IF($AH191=1,SUMPRODUCT(--($AK$2:$AK$4001&lt;$AK191))+1,"")</f>
        <v/>
      </c>
      <c r="AJ191" s="18" t="str">
        <f aca="false">IF($D191="","",IF(OR($R191=TRUE(),$R191="TRUE"),1,0))</f>
        <v/>
      </c>
      <c r="AK191" s="18" t="str">
        <f aca="false">IF($AH191=1,IFERROR(VALUE(MID($D191,2,20)),1000000000)+ROW()/10000000,"")</f>
        <v/>
      </c>
    </row>
    <row r="192" customFormat="false" ht="15" hidden="false" customHeight="false" outlineLevel="0" collapsed="false">
      <c r="F192" s="15"/>
      <c r="N192" s="16" t="str">
        <f aca="false">IF($D192="","",M192*Y192/100)</f>
        <v/>
      </c>
      <c r="V192" s="16" t="str">
        <f aca="false">IF($D192="","",Y192*AB192/100)</f>
        <v/>
      </c>
      <c r="W192" s="16" t="str">
        <f aca="false">IF($D192="","",Y192-V192)</f>
        <v/>
      </c>
      <c r="X192" s="16" t="str">
        <f aca="false">IF($D192="","",W192-N192)</f>
        <v/>
      </c>
      <c r="AB192" s="17" t="str">
        <f aca="false">IF($D192="","",IF(OR($R192=TRUE(),$R192="TRUE"),Settings!$C$6,Settings!$C$7)*100)</f>
        <v/>
      </c>
      <c r="AH192" s="18" t="str">
        <f aca="false">IF($D192="","",IF(COUNTIF($D$2:$D192,$D192)=1,1,0))</f>
        <v/>
      </c>
      <c r="AI192" s="18" t="str">
        <f aca="false">IF($AH192=1,SUMPRODUCT(--($AK$2:$AK$4001&lt;$AK192))+1,"")</f>
        <v/>
      </c>
      <c r="AJ192" s="18" t="str">
        <f aca="false">IF($D192="","",IF(OR($R192=TRUE(),$R192="TRUE"),1,0))</f>
        <v/>
      </c>
      <c r="AK192" s="18" t="str">
        <f aca="false">IF($AH192=1,IFERROR(VALUE(MID($D192,2,20)),1000000000)+ROW()/10000000,"")</f>
        <v/>
      </c>
    </row>
    <row r="193" customFormat="false" ht="15" hidden="false" customHeight="false" outlineLevel="0" collapsed="false">
      <c r="F193" s="15"/>
      <c r="N193" s="16" t="str">
        <f aca="false">IF($D193="","",M193*Y193/100)</f>
        <v/>
      </c>
      <c r="V193" s="16" t="str">
        <f aca="false">IF($D193="","",Y193*AB193/100)</f>
        <v/>
      </c>
      <c r="W193" s="16" t="str">
        <f aca="false">IF($D193="","",Y193-V193)</f>
        <v/>
      </c>
      <c r="X193" s="16" t="str">
        <f aca="false">IF($D193="","",W193-N193)</f>
        <v/>
      </c>
      <c r="AB193" s="17" t="str">
        <f aca="false">IF($D193="","",IF(OR($R193=TRUE(),$R193="TRUE"),Settings!$C$6,Settings!$C$7)*100)</f>
        <v/>
      </c>
      <c r="AH193" s="18" t="str">
        <f aca="false">IF($D193="","",IF(COUNTIF($D$2:$D193,$D193)=1,1,0))</f>
        <v/>
      </c>
      <c r="AI193" s="18" t="str">
        <f aca="false">IF($AH193=1,SUMPRODUCT(--($AK$2:$AK$4001&lt;$AK193))+1,"")</f>
        <v/>
      </c>
      <c r="AJ193" s="18" t="str">
        <f aca="false">IF($D193="","",IF(OR($R193=TRUE(),$R193="TRUE"),1,0))</f>
        <v/>
      </c>
      <c r="AK193" s="18" t="str">
        <f aca="false">IF($AH193=1,IFERROR(VALUE(MID($D193,2,20)),1000000000)+ROW()/10000000,"")</f>
        <v/>
      </c>
    </row>
    <row r="194" customFormat="false" ht="15" hidden="false" customHeight="false" outlineLevel="0" collapsed="false">
      <c r="F194" s="15"/>
      <c r="N194" s="16" t="str">
        <f aca="false">IF($D194="","",M194*Y194/100)</f>
        <v/>
      </c>
      <c r="V194" s="16" t="str">
        <f aca="false">IF($D194="","",Y194*AB194/100)</f>
        <v/>
      </c>
      <c r="W194" s="16" t="str">
        <f aca="false">IF($D194="","",Y194-V194)</f>
        <v/>
      </c>
      <c r="X194" s="16" t="str">
        <f aca="false">IF($D194="","",W194-N194)</f>
        <v/>
      </c>
      <c r="AB194" s="17" t="str">
        <f aca="false">IF($D194="","",IF(OR($R194=TRUE(),$R194="TRUE"),Settings!$C$6,Settings!$C$7)*100)</f>
        <v/>
      </c>
      <c r="AH194" s="18" t="str">
        <f aca="false">IF($D194="","",IF(COUNTIF($D$2:$D194,$D194)=1,1,0))</f>
        <v/>
      </c>
      <c r="AI194" s="18" t="str">
        <f aca="false">IF($AH194=1,SUMPRODUCT(--($AK$2:$AK$4001&lt;$AK194))+1,"")</f>
        <v/>
      </c>
      <c r="AJ194" s="18" t="str">
        <f aca="false">IF($D194="","",IF(OR($R194=TRUE(),$R194="TRUE"),1,0))</f>
        <v/>
      </c>
      <c r="AK194" s="18" t="str">
        <f aca="false">IF($AH194=1,IFERROR(VALUE(MID($D194,2,20)),1000000000)+ROW()/10000000,"")</f>
        <v/>
      </c>
    </row>
    <row r="195" customFormat="false" ht="15" hidden="false" customHeight="false" outlineLevel="0" collapsed="false">
      <c r="F195" s="15"/>
      <c r="N195" s="16" t="str">
        <f aca="false">IF($D195="","",M195*Y195/100)</f>
        <v/>
      </c>
      <c r="V195" s="16" t="str">
        <f aca="false">IF($D195="","",Y195*AB195/100)</f>
        <v/>
      </c>
      <c r="W195" s="16" t="str">
        <f aca="false">IF($D195="","",Y195-V195)</f>
        <v/>
      </c>
      <c r="X195" s="16" t="str">
        <f aca="false">IF($D195="","",W195-N195)</f>
        <v/>
      </c>
      <c r="AB195" s="17" t="str">
        <f aca="false">IF($D195="","",IF(OR($R195=TRUE(),$R195="TRUE"),Settings!$C$6,Settings!$C$7)*100)</f>
        <v/>
      </c>
      <c r="AH195" s="18" t="str">
        <f aca="false">IF($D195="","",IF(COUNTIF($D$2:$D195,$D195)=1,1,0))</f>
        <v/>
      </c>
      <c r="AI195" s="18" t="str">
        <f aca="false">IF($AH195=1,SUMPRODUCT(--($AK$2:$AK$4001&lt;$AK195))+1,"")</f>
        <v/>
      </c>
      <c r="AJ195" s="18" t="str">
        <f aca="false">IF($D195="","",IF(OR($R195=TRUE(),$R195="TRUE"),1,0))</f>
        <v/>
      </c>
      <c r="AK195" s="18" t="str">
        <f aca="false">IF($AH195=1,IFERROR(VALUE(MID($D195,2,20)),1000000000)+ROW()/10000000,"")</f>
        <v/>
      </c>
    </row>
    <row r="196" customFormat="false" ht="15" hidden="false" customHeight="false" outlineLevel="0" collapsed="false">
      <c r="F196" s="15"/>
      <c r="N196" s="16" t="str">
        <f aca="false">IF($D196="","",M196*Y196/100)</f>
        <v/>
      </c>
      <c r="V196" s="16" t="str">
        <f aca="false">IF($D196="","",Y196*AB196/100)</f>
        <v/>
      </c>
      <c r="W196" s="16" t="str">
        <f aca="false">IF($D196="","",Y196-V196)</f>
        <v/>
      </c>
      <c r="X196" s="16" t="str">
        <f aca="false">IF($D196="","",W196-N196)</f>
        <v/>
      </c>
      <c r="AB196" s="17" t="str">
        <f aca="false">IF($D196="","",IF(OR($R196=TRUE(),$R196="TRUE"),Settings!$C$6,Settings!$C$7)*100)</f>
        <v/>
      </c>
      <c r="AH196" s="18" t="str">
        <f aca="false">IF($D196="","",IF(COUNTIF($D$2:$D196,$D196)=1,1,0))</f>
        <v/>
      </c>
      <c r="AI196" s="18" t="str">
        <f aca="false">IF($AH196=1,SUMPRODUCT(--($AK$2:$AK$4001&lt;$AK196))+1,"")</f>
        <v/>
      </c>
      <c r="AJ196" s="18" t="str">
        <f aca="false">IF($D196="","",IF(OR($R196=TRUE(),$R196="TRUE"),1,0))</f>
        <v/>
      </c>
      <c r="AK196" s="18" t="str">
        <f aca="false">IF($AH196=1,IFERROR(VALUE(MID($D196,2,20)),1000000000)+ROW()/10000000,"")</f>
        <v/>
      </c>
    </row>
    <row r="197" customFormat="false" ht="15" hidden="false" customHeight="false" outlineLevel="0" collapsed="false">
      <c r="F197" s="15"/>
      <c r="N197" s="16" t="str">
        <f aca="false">IF($D197="","",M197*Y197/100)</f>
        <v/>
      </c>
      <c r="V197" s="16" t="str">
        <f aca="false">IF($D197="","",Y197*AB197/100)</f>
        <v/>
      </c>
      <c r="W197" s="16" t="str">
        <f aca="false">IF($D197="","",Y197-V197)</f>
        <v/>
      </c>
      <c r="X197" s="16" t="str">
        <f aca="false">IF($D197="","",W197-N197)</f>
        <v/>
      </c>
      <c r="AB197" s="17" t="str">
        <f aca="false">IF($D197="","",IF(OR($R197=TRUE(),$R197="TRUE"),Settings!$C$6,Settings!$C$7)*100)</f>
        <v/>
      </c>
      <c r="AH197" s="18" t="str">
        <f aca="false">IF($D197="","",IF(COUNTIF($D$2:$D197,$D197)=1,1,0))</f>
        <v/>
      </c>
      <c r="AI197" s="18" t="str">
        <f aca="false">IF($AH197=1,SUMPRODUCT(--($AK$2:$AK$4001&lt;$AK197))+1,"")</f>
        <v/>
      </c>
      <c r="AJ197" s="18" t="str">
        <f aca="false">IF($D197="","",IF(OR($R197=TRUE(),$R197="TRUE"),1,0))</f>
        <v/>
      </c>
      <c r="AK197" s="18" t="str">
        <f aca="false">IF($AH197=1,IFERROR(VALUE(MID($D197,2,20)),1000000000)+ROW()/10000000,"")</f>
        <v/>
      </c>
    </row>
    <row r="198" customFormat="false" ht="15" hidden="false" customHeight="false" outlineLevel="0" collapsed="false">
      <c r="F198" s="15"/>
      <c r="N198" s="16" t="str">
        <f aca="false">IF($D198="","",M198*Y198/100)</f>
        <v/>
      </c>
      <c r="V198" s="16" t="str">
        <f aca="false">IF($D198="","",Y198*AB198/100)</f>
        <v/>
      </c>
      <c r="W198" s="16" t="str">
        <f aca="false">IF($D198="","",Y198-V198)</f>
        <v/>
      </c>
      <c r="X198" s="16" t="str">
        <f aca="false">IF($D198="","",W198-N198)</f>
        <v/>
      </c>
      <c r="AB198" s="17" t="str">
        <f aca="false">IF($D198="","",IF(OR($R198=TRUE(),$R198="TRUE"),Settings!$C$6,Settings!$C$7)*100)</f>
        <v/>
      </c>
      <c r="AH198" s="18" t="str">
        <f aca="false">IF($D198="","",IF(COUNTIF($D$2:$D198,$D198)=1,1,0))</f>
        <v/>
      </c>
      <c r="AI198" s="18" t="str">
        <f aca="false">IF($AH198=1,SUMPRODUCT(--($AK$2:$AK$4001&lt;$AK198))+1,"")</f>
        <v/>
      </c>
      <c r="AJ198" s="18" t="str">
        <f aca="false">IF($D198="","",IF(OR($R198=TRUE(),$R198="TRUE"),1,0))</f>
        <v/>
      </c>
      <c r="AK198" s="18" t="str">
        <f aca="false">IF($AH198=1,IFERROR(VALUE(MID($D198,2,20)),1000000000)+ROW()/10000000,"")</f>
        <v/>
      </c>
    </row>
    <row r="199" customFormat="false" ht="15" hidden="false" customHeight="false" outlineLevel="0" collapsed="false">
      <c r="F199" s="15"/>
      <c r="N199" s="16" t="str">
        <f aca="false">IF($D199="","",M199*Y199/100)</f>
        <v/>
      </c>
      <c r="V199" s="16" t="str">
        <f aca="false">IF($D199="","",Y199*AB199/100)</f>
        <v/>
      </c>
      <c r="W199" s="16" t="str">
        <f aca="false">IF($D199="","",Y199-V199)</f>
        <v/>
      </c>
      <c r="X199" s="16" t="str">
        <f aca="false">IF($D199="","",W199-N199)</f>
        <v/>
      </c>
      <c r="AB199" s="17" t="str">
        <f aca="false">IF($D199="","",IF(OR($R199=TRUE(),$R199="TRUE"),Settings!$C$6,Settings!$C$7)*100)</f>
        <v/>
      </c>
      <c r="AH199" s="18" t="str">
        <f aca="false">IF($D199="","",IF(COUNTIF($D$2:$D199,$D199)=1,1,0))</f>
        <v/>
      </c>
      <c r="AI199" s="18" t="str">
        <f aca="false">IF($AH199=1,SUMPRODUCT(--($AK$2:$AK$4001&lt;$AK199))+1,"")</f>
        <v/>
      </c>
      <c r="AJ199" s="18" t="str">
        <f aca="false">IF($D199="","",IF(OR($R199=TRUE(),$R199="TRUE"),1,0))</f>
        <v/>
      </c>
      <c r="AK199" s="18" t="str">
        <f aca="false">IF($AH199=1,IFERROR(VALUE(MID($D199,2,20)),1000000000)+ROW()/10000000,"")</f>
        <v/>
      </c>
    </row>
    <row r="200" customFormat="false" ht="15" hidden="false" customHeight="false" outlineLevel="0" collapsed="false">
      <c r="F200" s="15"/>
      <c r="N200" s="16" t="str">
        <f aca="false">IF($D200="","",M200*Y200/100)</f>
        <v/>
      </c>
      <c r="V200" s="16" t="str">
        <f aca="false">IF($D200="","",Y200*AB200/100)</f>
        <v/>
      </c>
      <c r="W200" s="16" t="str">
        <f aca="false">IF($D200="","",Y200-V200)</f>
        <v/>
      </c>
      <c r="X200" s="16" t="str">
        <f aca="false">IF($D200="","",W200-N200)</f>
        <v/>
      </c>
      <c r="AB200" s="17" t="str">
        <f aca="false">IF($D200="","",IF(OR($R200=TRUE(),$R200="TRUE"),Settings!$C$6,Settings!$C$7)*100)</f>
        <v/>
      </c>
      <c r="AH200" s="18" t="str">
        <f aca="false">IF($D200="","",IF(COUNTIF($D$2:$D200,$D200)=1,1,0))</f>
        <v/>
      </c>
      <c r="AI200" s="18" t="str">
        <f aca="false">IF($AH200=1,SUMPRODUCT(--($AK$2:$AK$4001&lt;$AK200))+1,"")</f>
        <v/>
      </c>
      <c r="AJ200" s="18" t="str">
        <f aca="false">IF($D200="","",IF(OR($R200=TRUE(),$R200="TRUE"),1,0))</f>
        <v/>
      </c>
      <c r="AK200" s="18" t="str">
        <f aca="false">IF($AH200=1,IFERROR(VALUE(MID($D200,2,20)),1000000000)+ROW()/10000000,"")</f>
        <v/>
      </c>
    </row>
    <row r="201" customFormat="false" ht="15" hidden="false" customHeight="false" outlineLevel="0" collapsed="false">
      <c r="F201" s="15"/>
      <c r="N201" s="16" t="str">
        <f aca="false">IF($D201="","",M201*Y201/100)</f>
        <v/>
      </c>
      <c r="V201" s="16" t="str">
        <f aca="false">IF($D201="","",Y201*AB201/100)</f>
        <v/>
      </c>
      <c r="W201" s="16" t="str">
        <f aca="false">IF($D201="","",Y201-V201)</f>
        <v/>
      </c>
      <c r="X201" s="16" t="str">
        <f aca="false">IF($D201="","",W201-N201)</f>
        <v/>
      </c>
      <c r="AB201" s="17" t="str">
        <f aca="false">IF($D201="","",IF(OR($R201=TRUE(),$R201="TRUE"),Settings!$C$6,Settings!$C$7)*100)</f>
        <v/>
      </c>
      <c r="AH201" s="18" t="str">
        <f aca="false">IF($D201="","",IF(COUNTIF($D$2:$D201,$D201)=1,1,0))</f>
        <v/>
      </c>
      <c r="AI201" s="18" t="str">
        <f aca="false">IF($AH201=1,SUMPRODUCT(--($AK$2:$AK$4001&lt;$AK201))+1,"")</f>
        <v/>
      </c>
      <c r="AJ201" s="18" t="str">
        <f aca="false">IF($D201="","",IF(OR($R201=TRUE(),$R201="TRUE"),1,0))</f>
        <v/>
      </c>
      <c r="AK201" s="18" t="str">
        <f aca="false">IF($AH201=1,IFERROR(VALUE(MID($D201,2,20)),1000000000)+ROW()/10000000,"")</f>
        <v/>
      </c>
    </row>
    <row r="202" customFormat="false" ht="15" hidden="false" customHeight="false" outlineLevel="0" collapsed="false">
      <c r="F202" s="15"/>
      <c r="N202" s="16" t="str">
        <f aca="false">IF($D202="","",M202*Y202/100)</f>
        <v/>
      </c>
      <c r="V202" s="16" t="str">
        <f aca="false">IF($D202="","",Y202*AB202/100)</f>
        <v/>
      </c>
      <c r="W202" s="16" t="str">
        <f aca="false">IF($D202="","",Y202-V202)</f>
        <v/>
      </c>
      <c r="X202" s="16" t="str">
        <f aca="false">IF($D202="","",W202-N202)</f>
        <v/>
      </c>
      <c r="AB202" s="17" t="str">
        <f aca="false">IF($D202="","",IF(OR($R202=TRUE(),$R202="TRUE"),Settings!$C$6,Settings!$C$7)*100)</f>
        <v/>
      </c>
      <c r="AH202" s="18" t="str">
        <f aca="false">IF($D202="","",IF(COUNTIF($D$2:$D202,$D202)=1,1,0))</f>
        <v/>
      </c>
      <c r="AI202" s="18" t="str">
        <f aca="false">IF($AH202=1,SUMPRODUCT(--($AK$2:$AK$4001&lt;$AK202))+1,"")</f>
        <v/>
      </c>
      <c r="AJ202" s="18" t="str">
        <f aca="false">IF($D202="","",IF(OR($R202=TRUE(),$R202="TRUE"),1,0))</f>
        <v/>
      </c>
      <c r="AK202" s="18" t="str">
        <f aca="false">IF($AH202=1,IFERROR(VALUE(MID($D202,2,20)),1000000000)+ROW()/10000000,"")</f>
        <v/>
      </c>
    </row>
    <row r="203" customFormat="false" ht="15" hidden="false" customHeight="false" outlineLevel="0" collapsed="false">
      <c r="F203" s="15"/>
      <c r="N203" s="16" t="str">
        <f aca="false">IF($D203="","",M203*Y203/100)</f>
        <v/>
      </c>
      <c r="V203" s="16" t="str">
        <f aca="false">IF($D203="","",Y203*AB203/100)</f>
        <v/>
      </c>
      <c r="W203" s="16" t="str">
        <f aca="false">IF($D203="","",Y203-V203)</f>
        <v/>
      </c>
      <c r="X203" s="16" t="str">
        <f aca="false">IF($D203="","",W203-N203)</f>
        <v/>
      </c>
      <c r="AB203" s="17" t="str">
        <f aca="false">IF($D203="","",IF(OR($R203=TRUE(),$R203="TRUE"),Settings!$C$6,Settings!$C$7)*100)</f>
        <v/>
      </c>
      <c r="AH203" s="18" t="str">
        <f aca="false">IF($D203="","",IF(COUNTIF($D$2:$D203,$D203)=1,1,0))</f>
        <v/>
      </c>
      <c r="AI203" s="18" t="str">
        <f aca="false">IF($AH203=1,SUMPRODUCT(--($AK$2:$AK$4001&lt;$AK203))+1,"")</f>
        <v/>
      </c>
      <c r="AJ203" s="18" t="str">
        <f aca="false">IF($D203="","",IF(OR($R203=TRUE(),$R203="TRUE"),1,0))</f>
        <v/>
      </c>
      <c r="AK203" s="18" t="str">
        <f aca="false">IF($AH203=1,IFERROR(VALUE(MID($D203,2,20)),1000000000)+ROW()/10000000,"")</f>
        <v/>
      </c>
    </row>
    <row r="204" customFormat="false" ht="15" hidden="false" customHeight="false" outlineLevel="0" collapsed="false">
      <c r="F204" s="15"/>
      <c r="N204" s="16" t="str">
        <f aca="false">IF($D204="","",M204*Y204/100)</f>
        <v/>
      </c>
      <c r="V204" s="16" t="str">
        <f aca="false">IF($D204="","",Y204*AB204/100)</f>
        <v/>
      </c>
      <c r="W204" s="16" t="str">
        <f aca="false">IF($D204="","",Y204-V204)</f>
        <v/>
      </c>
      <c r="X204" s="16" t="str">
        <f aca="false">IF($D204="","",W204-N204)</f>
        <v/>
      </c>
      <c r="AB204" s="17" t="str">
        <f aca="false">IF($D204="","",IF(OR($R204=TRUE(),$R204="TRUE"),Settings!$C$6,Settings!$C$7)*100)</f>
        <v/>
      </c>
      <c r="AH204" s="18" t="str">
        <f aca="false">IF($D204="","",IF(COUNTIF($D$2:$D204,$D204)=1,1,0))</f>
        <v/>
      </c>
      <c r="AI204" s="18" t="str">
        <f aca="false">IF($AH204=1,SUMPRODUCT(--($AK$2:$AK$4001&lt;$AK204))+1,"")</f>
        <v/>
      </c>
      <c r="AJ204" s="18" t="str">
        <f aca="false">IF($D204="","",IF(OR($R204=TRUE(),$R204="TRUE"),1,0))</f>
        <v/>
      </c>
      <c r="AK204" s="18" t="str">
        <f aca="false">IF($AH204=1,IFERROR(VALUE(MID($D204,2,20)),1000000000)+ROW()/10000000,"")</f>
        <v/>
      </c>
    </row>
    <row r="205" customFormat="false" ht="15" hidden="false" customHeight="false" outlineLevel="0" collapsed="false">
      <c r="F205" s="15"/>
      <c r="N205" s="16" t="str">
        <f aca="false">IF($D205="","",M205*Y205/100)</f>
        <v/>
      </c>
      <c r="V205" s="16" t="str">
        <f aca="false">IF($D205="","",Y205*AB205/100)</f>
        <v/>
      </c>
      <c r="W205" s="16" t="str">
        <f aca="false">IF($D205="","",Y205-V205)</f>
        <v/>
      </c>
      <c r="X205" s="16" t="str">
        <f aca="false">IF($D205="","",W205-N205)</f>
        <v/>
      </c>
      <c r="AB205" s="17" t="str">
        <f aca="false">IF($D205="","",IF(OR($R205=TRUE(),$R205="TRUE"),Settings!$C$6,Settings!$C$7)*100)</f>
        <v/>
      </c>
      <c r="AH205" s="18" t="str">
        <f aca="false">IF($D205="","",IF(COUNTIF($D$2:$D205,$D205)=1,1,0))</f>
        <v/>
      </c>
      <c r="AI205" s="18" t="str">
        <f aca="false">IF($AH205=1,SUMPRODUCT(--($AK$2:$AK$4001&lt;$AK205))+1,"")</f>
        <v/>
      </c>
      <c r="AJ205" s="18" t="str">
        <f aca="false">IF($D205="","",IF(OR($R205=TRUE(),$R205="TRUE"),1,0))</f>
        <v/>
      </c>
      <c r="AK205" s="18" t="str">
        <f aca="false">IF($AH205=1,IFERROR(VALUE(MID($D205,2,20)),1000000000)+ROW()/10000000,"")</f>
        <v/>
      </c>
    </row>
    <row r="206" customFormat="false" ht="15" hidden="false" customHeight="false" outlineLevel="0" collapsed="false">
      <c r="F206" s="15"/>
      <c r="N206" s="16" t="str">
        <f aca="false">IF($D206="","",M206*Y206/100)</f>
        <v/>
      </c>
      <c r="V206" s="16" t="str">
        <f aca="false">IF($D206="","",Y206*AB206/100)</f>
        <v/>
      </c>
      <c r="W206" s="16" t="str">
        <f aca="false">IF($D206="","",Y206-V206)</f>
        <v/>
      </c>
      <c r="X206" s="16" t="str">
        <f aca="false">IF($D206="","",W206-N206)</f>
        <v/>
      </c>
      <c r="AB206" s="17" t="str">
        <f aca="false">IF($D206="","",IF(OR($R206=TRUE(),$R206="TRUE"),Settings!$C$6,Settings!$C$7)*100)</f>
        <v/>
      </c>
      <c r="AH206" s="18" t="str">
        <f aca="false">IF($D206="","",IF(COUNTIF($D$2:$D206,$D206)=1,1,0))</f>
        <v/>
      </c>
      <c r="AI206" s="18" t="str">
        <f aca="false">IF($AH206=1,SUMPRODUCT(--($AK$2:$AK$4001&lt;$AK206))+1,"")</f>
        <v/>
      </c>
      <c r="AJ206" s="18" t="str">
        <f aca="false">IF($D206="","",IF(OR($R206=TRUE(),$R206="TRUE"),1,0))</f>
        <v/>
      </c>
      <c r="AK206" s="18" t="str">
        <f aca="false">IF($AH206=1,IFERROR(VALUE(MID($D206,2,20)),1000000000)+ROW()/10000000,"")</f>
        <v/>
      </c>
    </row>
    <row r="207" customFormat="false" ht="15" hidden="false" customHeight="false" outlineLevel="0" collapsed="false">
      <c r="F207" s="15"/>
      <c r="N207" s="16" t="str">
        <f aca="false">IF($D207="","",M207*Y207/100)</f>
        <v/>
      </c>
      <c r="V207" s="16" t="str">
        <f aca="false">IF($D207="","",Y207*AB207/100)</f>
        <v/>
      </c>
      <c r="W207" s="16" t="str">
        <f aca="false">IF($D207="","",Y207-V207)</f>
        <v/>
      </c>
      <c r="X207" s="16" t="str">
        <f aca="false">IF($D207="","",W207-N207)</f>
        <v/>
      </c>
      <c r="AB207" s="17" t="str">
        <f aca="false">IF($D207="","",IF(OR($R207=TRUE(),$R207="TRUE"),Settings!$C$6,Settings!$C$7)*100)</f>
        <v/>
      </c>
      <c r="AH207" s="18" t="str">
        <f aca="false">IF($D207="","",IF(COUNTIF($D$2:$D207,$D207)=1,1,0))</f>
        <v/>
      </c>
      <c r="AI207" s="18" t="str">
        <f aca="false">IF($AH207=1,SUMPRODUCT(--($AK$2:$AK$4001&lt;$AK207))+1,"")</f>
        <v/>
      </c>
      <c r="AJ207" s="18" t="str">
        <f aca="false">IF($D207="","",IF(OR($R207=TRUE(),$R207="TRUE"),1,0))</f>
        <v/>
      </c>
      <c r="AK207" s="18" t="str">
        <f aca="false">IF($AH207=1,IFERROR(VALUE(MID($D207,2,20)),1000000000)+ROW()/10000000,"")</f>
        <v/>
      </c>
    </row>
    <row r="208" customFormat="false" ht="15" hidden="false" customHeight="false" outlineLevel="0" collapsed="false">
      <c r="F208" s="15"/>
      <c r="N208" s="16" t="str">
        <f aca="false">IF($D208="","",M208*Y208/100)</f>
        <v/>
      </c>
      <c r="V208" s="16" t="str">
        <f aca="false">IF($D208="","",Y208*AB208/100)</f>
        <v/>
      </c>
      <c r="W208" s="16" t="str">
        <f aca="false">IF($D208="","",Y208-V208)</f>
        <v/>
      </c>
      <c r="X208" s="16" t="str">
        <f aca="false">IF($D208="","",W208-N208)</f>
        <v/>
      </c>
      <c r="AB208" s="17" t="str">
        <f aca="false">IF($D208="","",IF(OR($R208=TRUE(),$R208="TRUE"),Settings!$C$6,Settings!$C$7)*100)</f>
        <v/>
      </c>
      <c r="AH208" s="18" t="str">
        <f aca="false">IF($D208="","",IF(COUNTIF($D$2:$D208,$D208)=1,1,0))</f>
        <v/>
      </c>
      <c r="AI208" s="18" t="str">
        <f aca="false">IF($AH208=1,SUMPRODUCT(--($AK$2:$AK$4001&lt;$AK208))+1,"")</f>
        <v/>
      </c>
      <c r="AJ208" s="18" t="str">
        <f aca="false">IF($D208="","",IF(OR($R208=TRUE(),$R208="TRUE"),1,0))</f>
        <v/>
      </c>
      <c r="AK208" s="18" t="str">
        <f aca="false">IF($AH208=1,IFERROR(VALUE(MID($D208,2,20)),1000000000)+ROW()/10000000,"")</f>
        <v/>
      </c>
    </row>
    <row r="209" customFormat="false" ht="15" hidden="false" customHeight="false" outlineLevel="0" collapsed="false">
      <c r="F209" s="15"/>
      <c r="N209" s="16" t="str">
        <f aca="false">IF($D209="","",M209*Y209/100)</f>
        <v/>
      </c>
      <c r="V209" s="16" t="str">
        <f aca="false">IF($D209="","",Y209*AB209/100)</f>
        <v/>
      </c>
      <c r="W209" s="16" t="str">
        <f aca="false">IF($D209="","",Y209-V209)</f>
        <v/>
      </c>
      <c r="X209" s="16" t="str">
        <f aca="false">IF($D209="","",W209-N209)</f>
        <v/>
      </c>
      <c r="AB209" s="17" t="str">
        <f aca="false">IF($D209="","",IF(OR($R209=TRUE(),$R209="TRUE"),Settings!$C$6,Settings!$C$7)*100)</f>
        <v/>
      </c>
      <c r="AH209" s="18" t="str">
        <f aca="false">IF($D209="","",IF(COUNTIF($D$2:$D209,$D209)=1,1,0))</f>
        <v/>
      </c>
      <c r="AI209" s="18" t="str">
        <f aca="false">IF($AH209=1,SUMPRODUCT(--($AK$2:$AK$4001&lt;$AK209))+1,"")</f>
        <v/>
      </c>
      <c r="AJ209" s="18" t="str">
        <f aca="false">IF($D209="","",IF(OR($R209=TRUE(),$R209="TRUE"),1,0))</f>
        <v/>
      </c>
      <c r="AK209" s="18" t="str">
        <f aca="false">IF($AH209=1,IFERROR(VALUE(MID($D209,2,20)),1000000000)+ROW()/10000000,"")</f>
        <v/>
      </c>
    </row>
    <row r="210" customFormat="false" ht="15" hidden="false" customHeight="false" outlineLevel="0" collapsed="false">
      <c r="F210" s="15"/>
      <c r="N210" s="16" t="str">
        <f aca="false">IF($D210="","",M210*Y210/100)</f>
        <v/>
      </c>
      <c r="V210" s="16" t="str">
        <f aca="false">IF($D210="","",Y210*AB210/100)</f>
        <v/>
      </c>
      <c r="W210" s="16" t="str">
        <f aca="false">IF($D210="","",Y210-V210)</f>
        <v/>
      </c>
      <c r="X210" s="16" t="str">
        <f aca="false">IF($D210="","",W210-N210)</f>
        <v/>
      </c>
      <c r="AB210" s="17" t="str">
        <f aca="false">IF($D210="","",IF(OR($R210=TRUE(),$R210="TRUE"),Settings!$C$6,Settings!$C$7)*100)</f>
        <v/>
      </c>
      <c r="AH210" s="18" t="str">
        <f aca="false">IF($D210="","",IF(COUNTIF($D$2:$D210,$D210)=1,1,0))</f>
        <v/>
      </c>
      <c r="AI210" s="18" t="str">
        <f aca="false">IF($AH210=1,SUMPRODUCT(--($AK$2:$AK$4001&lt;$AK210))+1,"")</f>
        <v/>
      </c>
      <c r="AJ210" s="18" t="str">
        <f aca="false">IF($D210="","",IF(OR($R210=TRUE(),$R210="TRUE"),1,0))</f>
        <v/>
      </c>
      <c r="AK210" s="18" t="str">
        <f aca="false">IF($AH210=1,IFERROR(VALUE(MID($D210,2,20)),1000000000)+ROW()/10000000,"")</f>
        <v/>
      </c>
    </row>
    <row r="211" customFormat="false" ht="15" hidden="false" customHeight="false" outlineLevel="0" collapsed="false">
      <c r="F211" s="15"/>
      <c r="N211" s="16" t="str">
        <f aca="false">IF($D211="","",M211*Y211/100)</f>
        <v/>
      </c>
      <c r="V211" s="16" t="str">
        <f aca="false">IF($D211="","",Y211*AB211/100)</f>
        <v/>
      </c>
      <c r="W211" s="16" t="str">
        <f aca="false">IF($D211="","",Y211-V211)</f>
        <v/>
      </c>
      <c r="X211" s="16" t="str">
        <f aca="false">IF($D211="","",W211-N211)</f>
        <v/>
      </c>
      <c r="AB211" s="17" t="str">
        <f aca="false">IF($D211="","",IF(OR($R211=TRUE(),$R211="TRUE"),Settings!$C$6,Settings!$C$7)*100)</f>
        <v/>
      </c>
      <c r="AH211" s="18" t="str">
        <f aca="false">IF($D211="","",IF(COUNTIF($D$2:$D211,$D211)=1,1,0))</f>
        <v/>
      </c>
      <c r="AI211" s="18" t="str">
        <f aca="false">IF($AH211=1,SUMPRODUCT(--($AK$2:$AK$4001&lt;$AK211))+1,"")</f>
        <v/>
      </c>
      <c r="AJ211" s="18" t="str">
        <f aca="false">IF($D211="","",IF(OR($R211=TRUE(),$R211="TRUE"),1,0))</f>
        <v/>
      </c>
      <c r="AK211" s="18" t="str">
        <f aca="false">IF($AH211=1,IFERROR(VALUE(MID($D211,2,20)),1000000000)+ROW()/10000000,"")</f>
        <v/>
      </c>
    </row>
    <row r="212" customFormat="false" ht="15" hidden="false" customHeight="false" outlineLevel="0" collapsed="false">
      <c r="F212" s="15"/>
      <c r="N212" s="16" t="str">
        <f aca="false">IF($D212="","",M212*Y212/100)</f>
        <v/>
      </c>
      <c r="V212" s="16" t="str">
        <f aca="false">IF($D212="","",Y212*AB212/100)</f>
        <v/>
      </c>
      <c r="W212" s="16" t="str">
        <f aca="false">IF($D212="","",Y212-V212)</f>
        <v/>
      </c>
      <c r="X212" s="16" t="str">
        <f aca="false">IF($D212="","",W212-N212)</f>
        <v/>
      </c>
      <c r="AB212" s="17" t="str">
        <f aca="false">IF($D212="","",IF(OR($R212=TRUE(),$R212="TRUE"),Settings!$C$6,Settings!$C$7)*100)</f>
        <v/>
      </c>
      <c r="AH212" s="18" t="str">
        <f aca="false">IF($D212="","",IF(COUNTIF($D$2:$D212,$D212)=1,1,0))</f>
        <v/>
      </c>
      <c r="AI212" s="18" t="str">
        <f aca="false">IF($AH212=1,SUMPRODUCT(--($AK$2:$AK$4001&lt;$AK212))+1,"")</f>
        <v/>
      </c>
      <c r="AJ212" s="18" t="str">
        <f aca="false">IF($D212="","",IF(OR($R212=TRUE(),$R212="TRUE"),1,0))</f>
        <v/>
      </c>
      <c r="AK212" s="18" t="str">
        <f aca="false">IF($AH212=1,IFERROR(VALUE(MID($D212,2,20)),1000000000)+ROW()/10000000,"")</f>
        <v/>
      </c>
    </row>
    <row r="213" customFormat="false" ht="15" hidden="false" customHeight="false" outlineLevel="0" collapsed="false">
      <c r="F213" s="15"/>
      <c r="N213" s="16" t="str">
        <f aca="false">IF($D213="","",M213*Y213/100)</f>
        <v/>
      </c>
      <c r="V213" s="16" t="str">
        <f aca="false">IF($D213="","",Y213*AB213/100)</f>
        <v/>
      </c>
      <c r="W213" s="16" t="str">
        <f aca="false">IF($D213="","",Y213-V213)</f>
        <v/>
      </c>
      <c r="X213" s="16" t="str">
        <f aca="false">IF($D213="","",W213-N213)</f>
        <v/>
      </c>
      <c r="AB213" s="17" t="str">
        <f aca="false">IF($D213="","",IF(OR($R213=TRUE(),$R213="TRUE"),Settings!$C$6,Settings!$C$7)*100)</f>
        <v/>
      </c>
      <c r="AH213" s="18" t="str">
        <f aca="false">IF($D213="","",IF(COUNTIF($D$2:$D213,$D213)=1,1,0))</f>
        <v/>
      </c>
      <c r="AI213" s="18" t="str">
        <f aca="false">IF($AH213=1,SUMPRODUCT(--($AK$2:$AK$4001&lt;$AK213))+1,"")</f>
        <v/>
      </c>
      <c r="AJ213" s="18" t="str">
        <f aca="false">IF($D213="","",IF(OR($R213=TRUE(),$R213="TRUE"),1,0))</f>
        <v/>
      </c>
      <c r="AK213" s="18" t="str">
        <f aca="false">IF($AH213=1,IFERROR(VALUE(MID($D213,2,20)),1000000000)+ROW()/10000000,"")</f>
        <v/>
      </c>
    </row>
    <row r="214" customFormat="false" ht="15" hidden="false" customHeight="false" outlineLevel="0" collapsed="false">
      <c r="F214" s="15"/>
      <c r="N214" s="16" t="str">
        <f aca="false">IF($D214="","",M214*Y214/100)</f>
        <v/>
      </c>
      <c r="V214" s="16" t="str">
        <f aca="false">IF($D214="","",Y214*AB214/100)</f>
        <v/>
      </c>
      <c r="W214" s="16" t="str">
        <f aca="false">IF($D214="","",Y214-V214)</f>
        <v/>
      </c>
      <c r="X214" s="16" t="str">
        <f aca="false">IF($D214="","",W214-N214)</f>
        <v/>
      </c>
      <c r="AB214" s="17" t="str">
        <f aca="false">IF($D214="","",IF(OR($R214=TRUE(),$R214="TRUE"),Settings!$C$6,Settings!$C$7)*100)</f>
        <v/>
      </c>
      <c r="AH214" s="18" t="str">
        <f aca="false">IF($D214="","",IF(COUNTIF($D$2:$D214,$D214)=1,1,0))</f>
        <v/>
      </c>
      <c r="AI214" s="18" t="str">
        <f aca="false">IF($AH214=1,SUMPRODUCT(--($AK$2:$AK$4001&lt;$AK214))+1,"")</f>
        <v/>
      </c>
      <c r="AJ214" s="18" t="str">
        <f aca="false">IF($D214="","",IF(OR($R214=TRUE(),$R214="TRUE"),1,0))</f>
        <v/>
      </c>
      <c r="AK214" s="18" t="str">
        <f aca="false">IF($AH214=1,IFERROR(VALUE(MID($D214,2,20)),1000000000)+ROW()/10000000,"")</f>
        <v/>
      </c>
    </row>
    <row r="215" customFormat="false" ht="15" hidden="false" customHeight="false" outlineLevel="0" collapsed="false">
      <c r="F215" s="15"/>
      <c r="N215" s="16" t="str">
        <f aca="false">IF($D215="","",M215*Y215/100)</f>
        <v/>
      </c>
      <c r="V215" s="16" t="str">
        <f aca="false">IF($D215="","",Y215*AB215/100)</f>
        <v/>
      </c>
      <c r="W215" s="16" t="str">
        <f aca="false">IF($D215="","",Y215-V215)</f>
        <v/>
      </c>
      <c r="X215" s="16" t="str">
        <f aca="false">IF($D215="","",W215-N215)</f>
        <v/>
      </c>
      <c r="AB215" s="17" t="str">
        <f aca="false">IF($D215="","",IF(OR($R215=TRUE(),$R215="TRUE"),Settings!$C$6,Settings!$C$7)*100)</f>
        <v/>
      </c>
      <c r="AH215" s="18" t="str">
        <f aca="false">IF($D215="","",IF(COUNTIF($D$2:$D215,$D215)=1,1,0))</f>
        <v/>
      </c>
      <c r="AI215" s="18" t="str">
        <f aca="false">IF($AH215=1,SUMPRODUCT(--($AK$2:$AK$4001&lt;$AK215))+1,"")</f>
        <v/>
      </c>
      <c r="AJ215" s="18" t="str">
        <f aca="false">IF($D215="","",IF(OR($R215=TRUE(),$R215="TRUE"),1,0))</f>
        <v/>
      </c>
      <c r="AK215" s="18" t="str">
        <f aca="false">IF($AH215=1,IFERROR(VALUE(MID($D215,2,20)),1000000000)+ROW()/10000000,"")</f>
        <v/>
      </c>
    </row>
    <row r="216" customFormat="false" ht="15" hidden="false" customHeight="false" outlineLevel="0" collapsed="false">
      <c r="F216" s="15"/>
      <c r="N216" s="16" t="str">
        <f aca="false">IF($D216="","",M216*Y216/100)</f>
        <v/>
      </c>
      <c r="V216" s="16" t="str">
        <f aca="false">IF($D216="","",Y216*AB216/100)</f>
        <v/>
      </c>
      <c r="W216" s="16" t="str">
        <f aca="false">IF($D216="","",Y216-V216)</f>
        <v/>
      </c>
      <c r="X216" s="16" t="str">
        <f aca="false">IF($D216="","",W216-N216)</f>
        <v/>
      </c>
      <c r="AB216" s="17" t="str">
        <f aca="false">IF($D216="","",IF(OR($R216=TRUE(),$R216="TRUE"),Settings!$C$6,Settings!$C$7)*100)</f>
        <v/>
      </c>
      <c r="AH216" s="18" t="str">
        <f aca="false">IF($D216="","",IF(COUNTIF($D$2:$D216,$D216)=1,1,0))</f>
        <v/>
      </c>
      <c r="AI216" s="18" t="str">
        <f aca="false">IF($AH216=1,SUMPRODUCT(--($AK$2:$AK$4001&lt;$AK216))+1,"")</f>
        <v/>
      </c>
      <c r="AJ216" s="18" t="str">
        <f aca="false">IF($D216="","",IF(OR($R216=TRUE(),$R216="TRUE"),1,0))</f>
        <v/>
      </c>
      <c r="AK216" s="18" t="str">
        <f aca="false">IF($AH216=1,IFERROR(VALUE(MID($D216,2,20)),1000000000)+ROW()/10000000,"")</f>
        <v/>
      </c>
    </row>
    <row r="217" customFormat="false" ht="15" hidden="false" customHeight="false" outlineLevel="0" collapsed="false">
      <c r="F217" s="15"/>
      <c r="N217" s="16" t="str">
        <f aca="false">IF($D217="","",M217*Y217/100)</f>
        <v/>
      </c>
      <c r="V217" s="16" t="str">
        <f aca="false">IF($D217="","",Y217*AB217/100)</f>
        <v/>
      </c>
      <c r="W217" s="16" t="str">
        <f aca="false">IF($D217="","",Y217-V217)</f>
        <v/>
      </c>
      <c r="X217" s="16" t="str">
        <f aca="false">IF($D217="","",W217-N217)</f>
        <v/>
      </c>
      <c r="AB217" s="17" t="str">
        <f aca="false">IF($D217="","",IF(OR($R217=TRUE(),$R217="TRUE"),Settings!$C$6,Settings!$C$7)*100)</f>
        <v/>
      </c>
      <c r="AH217" s="18" t="str">
        <f aca="false">IF($D217="","",IF(COUNTIF($D$2:$D217,$D217)=1,1,0))</f>
        <v/>
      </c>
      <c r="AI217" s="18" t="str">
        <f aca="false">IF($AH217=1,SUMPRODUCT(--($AK$2:$AK$4001&lt;$AK217))+1,"")</f>
        <v/>
      </c>
      <c r="AJ217" s="18" t="str">
        <f aca="false">IF($D217="","",IF(OR($R217=TRUE(),$R217="TRUE"),1,0))</f>
        <v/>
      </c>
      <c r="AK217" s="18" t="str">
        <f aca="false">IF($AH217=1,IFERROR(VALUE(MID($D217,2,20)),1000000000)+ROW()/10000000,"")</f>
        <v/>
      </c>
    </row>
    <row r="218" customFormat="false" ht="15" hidden="false" customHeight="false" outlineLevel="0" collapsed="false">
      <c r="F218" s="15"/>
      <c r="N218" s="16" t="str">
        <f aca="false">IF($D218="","",M218*Y218/100)</f>
        <v/>
      </c>
      <c r="V218" s="16" t="str">
        <f aca="false">IF($D218="","",Y218*AB218/100)</f>
        <v/>
      </c>
      <c r="W218" s="16" t="str">
        <f aca="false">IF($D218="","",Y218-V218)</f>
        <v/>
      </c>
      <c r="X218" s="16" t="str">
        <f aca="false">IF($D218="","",W218-N218)</f>
        <v/>
      </c>
      <c r="AB218" s="17" t="str">
        <f aca="false">IF($D218="","",IF(OR($R218=TRUE(),$R218="TRUE"),Settings!$C$6,Settings!$C$7)*100)</f>
        <v/>
      </c>
      <c r="AH218" s="18" t="str">
        <f aca="false">IF($D218="","",IF(COUNTIF($D$2:$D218,$D218)=1,1,0))</f>
        <v/>
      </c>
      <c r="AI218" s="18" t="str">
        <f aca="false">IF($AH218=1,SUMPRODUCT(--($AK$2:$AK$4001&lt;$AK218))+1,"")</f>
        <v/>
      </c>
      <c r="AJ218" s="18" t="str">
        <f aca="false">IF($D218="","",IF(OR($R218=TRUE(),$R218="TRUE"),1,0))</f>
        <v/>
      </c>
      <c r="AK218" s="18" t="str">
        <f aca="false">IF($AH218=1,IFERROR(VALUE(MID($D218,2,20)),1000000000)+ROW()/10000000,"")</f>
        <v/>
      </c>
    </row>
    <row r="219" customFormat="false" ht="15" hidden="false" customHeight="false" outlineLevel="0" collapsed="false">
      <c r="F219" s="15"/>
      <c r="N219" s="16" t="str">
        <f aca="false">IF($D219="","",M219*Y219/100)</f>
        <v/>
      </c>
      <c r="V219" s="16" t="str">
        <f aca="false">IF($D219="","",Y219*AB219/100)</f>
        <v/>
      </c>
      <c r="W219" s="16" t="str">
        <f aca="false">IF($D219="","",Y219-V219)</f>
        <v/>
      </c>
      <c r="X219" s="16" t="str">
        <f aca="false">IF($D219="","",W219-N219)</f>
        <v/>
      </c>
      <c r="AB219" s="17" t="str">
        <f aca="false">IF($D219="","",IF(OR($R219=TRUE(),$R219="TRUE"),Settings!$C$6,Settings!$C$7)*100)</f>
        <v/>
      </c>
      <c r="AH219" s="18" t="str">
        <f aca="false">IF($D219="","",IF(COUNTIF($D$2:$D219,$D219)=1,1,0))</f>
        <v/>
      </c>
      <c r="AI219" s="18" t="str">
        <f aca="false">IF($AH219=1,SUMPRODUCT(--($AK$2:$AK$4001&lt;$AK219))+1,"")</f>
        <v/>
      </c>
      <c r="AJ219" s="18" t="str">
        <f aca="false">IF($D219="","",IF(OR($R219=TRUE(),$R219="TRUE"),1,0))</f>
        <v/>
      </c>
      <c r="AK219" s="18" t="str">
        <f aca="false">IF($AH219=1,IFERROR(VALUE(MID($D219,2,20)),1000000000)+ROW()/10000000,"")</f>
        <v/>
      </c>
    </row>
    <row r="220" customFormat="false" ht="15" hidden="false" customHeight="false" outlineLevel="0" collapsed="false">
      <c r="F220" s="15"/>
      <c r="N220" s="16" t="str">
        <f aca="false">IF($D220="","",M220*Y220/100)</f>
        <v/>
      </c>
      <c r="V220" s="16" t="str">
        <f aca="false">IF($D220="","",Y220*AB220/100)</f>
        <v/>
      </c>
      <c r="W220" s="16" t="str">
        <f aca="false">IF($D220="","",Y220-V220)</f>
        <v/>
      </c>
      <c r="X220" s="16" t="str">
        <f aca="false">IF($D220="","",W220-N220)</f>
        <v/>
      </c>
      <c r="AB220" s="17" t="str">
        <f aca="false">IF($D220="","",IF(OR($R220=TRUE(),$R220="TRUE"),Settings!$C$6,Settings!$C$7)*100)</f>
        <v/>
      </c>
      <c r="AH220" s="18" t="str">
        <f aca="false">IF($D220="","",IF(COUNTIF($D$2:$D220,$D220)=1,1,0))</f>
        <v/>
      </c>
      <c r="AI220" s="18" t="str">
        <f aca="false">IF($AH220=1,SUMPRODUCT(--($AK$2:$AK$4001&lt;$AK220))+1,"")</f>
        <v/>
      </c>
      <c r="AJ220" s="18" t="str">
        <f aca="false">IF($D220="","",IF(OR($R220=TRUE(),$R220="TRUE"),1,0))</f>
        <v/>
      </c>
      <c r="AK220" s="18" t="str">
        <f aca="false">IF($AH220=1,IFERROR(VALUE(MID($D220,2,20)),1000000000)+ROW()/10000000,"")</f>
        <v/>
      </c>
    </row>
    <row r="221" customFormat="false" ht="15" hidden="false" customHeight="false" outlineLevel="0" collapsed="false">
      <c r="F221" s="15"/>
      <c r="N221" s="16" t="str">
        <f aca="false">IF($D221="","",M221*Y221/100)</f>
        <v/>
      </c>
      <c r="V221" s="16" t="str">
        <f aca="false">IF($D221="","",Y221*AB221/100)</f>
        <v/>
      </c>
      <c r="W221" s="16" t="str">
        <f aca="false">IF($D221="","",Y221-V221)</f>
        <v/>
      </c>
      <c r="X221" s="16" t="str">
        <f aca="false">IF($D221="","",W221-N221)</f>
        <v/>
      </c>
      <c r="AB221" s="17" t="str">
        <f aca="false">IF($D221="","",IF(OR($R221=TRUE(),$R221="TRUE"),Settings!$C$6,Settings!$C$7)*100)</f>
        <v/>
      </c>
      <c r="AH221" s="18" t="str">
        <f aca="false">IF($D221="","",IF(COUNTIF($D$2:$D221,$D221)=1,1,0))</f>
        <v/>
      </c>
      <c r="AI221" s="18" t="str">
        <f aca="false">IF($AH221=1,SUMPRODUCT(--($AK$2:$AK$4001&lt;$AK221))+1,"")</f>
        <v/>
      </c>
      <c r="AJ221" s="18" t="str">
        <f aca="false">IF($D221="","",IF(OR($R221=TRUE(),$R221="TRUE"),1,0))</f>
        <v/>
      </c>
      <c r="AK221" s="18" t="str">
        <f aca="false">IF($AH221=1,IFERROR(VALUE(MID($D221,2,20)),1000000000)+ROW()/10000000,"")</f>
        <v/>
      </c>
    </row>
    <row r="222" customFormat="false" ht="15" hidden="false" customHeight="false" outlineLevel="0" collapsed="false">
      <c r="F222" s="15"/>
      <c r="N222" s="16" t="str">
        <f aca="false">IF($D222="","",M222*Y222/100)</f>
        <v/>
      </c>
      <c r="V222" s="16" t="str">
        <f aca="false">IF($D222="","",Y222*AB222/100)</f>
        <v/>
      </c>
      <c r="W222" s="16" t="str">
        <f aca="false">IF($D222="","",Y222-V222)</f>
        <v/>
      </c>
      <c r="X222" s="16" t="str">
        <f aca="false">IF($D222="","",W222-N222)</f>
        <v/>
      </c>
      <c r="AB222" s="17" t="str">
        <f aca="false">IF($D222="","",IF(OR($R222=TRUE(),$R222="TRUE"),Settings!$C$6,Settings!$C$7)*100)</f>
        <v/>
      </c>
      <c r="AH222" s="18" t="str">
        <f aca="false">IF($D222="","",IF(COUNTIF($D$2:$D222,$D222)=1,1,0))</f>
        <v/>
      </c>
      <c r="AI222" s="18" t="str">
        <f aca="false">IF($AH222=1,SUMPRODUCT(--($AK$2:$AK$4001&lt;$AK222))+1,"")</f>
        <v/>
      </c>
      <c r="AJ222" s="18" t="str">
        <f aca="false">IF($D222="","",IF(OR($R222=TRUE(),$R222="TRUE"),1,0))</f>
        <v/>
      </c>
      <c r="AK222" s="18" t="str">
        <f aca="false">IF($AH222=1,IFERROR(VALUE(MID($D222,2,20)),1000000000)+ROW()/10000000,"")</f>
        <v/>
      </c>
    </row>
    <row r="223" customFormat="false" ht="15" hidden="false" customHeight="false" outlineLevel="0" collapsed="false">
      <c r="F223" s="15"/>
      <c r="N223" s="16" t="str">
        <f aca="false">IF($D223="","",M223*Y223/100)</f>
        <v/>
      </c>
      <c r="V223" s="16" t="str">
        <f aca="false">IF($D223="","",Y223*AB223/100)</f>
        <v/>
      </c>
      <c r="W223" s="16" t="str">
        <f aca="false">IF($D223="","",Y223-V223)</f>
        <v/>
      </c>
      <c r="X223" s="16" t="str">
        <f aca="false">IF($D223="","",W223-N223)</f>
        <v/>
      </c>
      <c r="AB223" s="17" t="str">
        <f aca="false">IF($D223="","",IF(OR($R223=TRUE(),$R223="TRUE"),Settings!$C$6,Settings!$C$7)*100)</f>
        <v/>
      </c>
      <c r="AH223" s="18" t="str">
        <f aca="false">IF($D223="","",IF(COUNTIF($D$2:$D223,$D223)=1,1,0))</f>
        <v/>
      </c>
      <c r="AI223" s="18" t="str">
        <f aca="false">IF($AH223=1,SUMPRODUCT(--($AK$2:$AK$4001&lt;$AK223))+1,"")</f>
        <v/>
      </c>
      <c r="AJ223" s="18" t="str">
        <f aca="false">IF($D223="","",IF(OR($R223=TRUE(),$R223="TRUE"),1,0))</f>
        <v/>
      </c>
      <c r="AK223" s="18" t="str">
        <f aca="false">IF($AH223=1,IFERROR(VALUE(MID($D223,2,20)),1000000000)+ROW()/10000000,"")</f>
        <v/>
      </c>
    </row>
    <row r="224" customFormat="false" ht="15" hidden="false" customHeight="false" outlineLevel="0" collapsed="false">
      <c r="F224" s="15"/>
      <c r="N224" s="16" t="str">
        <f aca="false">IF($D224="","",M224*Y224/100)</f>
        <v/>
      </c>
      <c r="V224" s="16" t="str">
        <f aca="false">IF($D224="","",Y224*AB224/100)</f>
        <v/>
      </c>
      <c r="W224" s="16" t="str">
        <f aca="false">IF($D224="","",Y224-V224)</f>
        <v/>
      </c>
      <c r="X224" s="16" t="str">
        <f aca="false">IF($D224="","",W224-N224)</f>
        <v/>
      </c>
      <c r="AB224" s="17" t="str">
        <f aca="false">IF($D224="","",IF(OR($R224=TRUE(),$R224="TRUE"),Settings!$C$6,Settings!$C$7)*100)</f>
        <v/>
      </c>
      <c r="AH224" s="18" t="str">
        <f aca="false">IF($D224="","",IF(COUNTIF($D$2:$D224,$D224)=1,1,0))</f>
        <v/>
      </c>
      <c r="AI224" s="18" t="str">
        <f aca="false">IF($AH224=1,SUMPRODUCT(--($AK$2:$AK$4001&lt;$AK224))+1,"")</f>
        <v/>
      </c>
      <c r="AJ224" s="18" t="str">
        <f aca="false">IF($D224="","",IF(OR($R224=TRUE(),$R224="TRUE"),1,0))</f>
        <v/>
      </c>
      <c r="AK224" s="18" t="str">
        <f aca="false">IF($AH224=1,IFERROR(VALUE(MID($D224,2,20)),1000000000)+ROW()/10000000,"")</f>
        <v/>
      </c>
    </row>
    <row r="225" customFormat="false" ht="15" hidden="false" customHeight="false" outlineLevel="0" collapsed="false">
      <c r="F225" s="15"/>
      <c r="N225" s="16" t="str">
        <f aca="false">IF($D225="","",M225*Y225/100)</f>
        <v/>
      </c>
      <c r="V225" s="16" t="str">
        <f aca="false">IF($D225="","",Y225*AB225/100)</f>
        <v/>
      </c>
      <c r="W225" s="16" t="str">
        <f aca="false">IF($D225="","",Y225-V225)</f>
        <v/>
      </c>
      <c r="X225" s="16" t="str">
        <f aca="false">IF($D225="","",W225-N225)</f>
        <v/>
      </c>
      <c r="AB225" s="17" t="str">
        <f aca="false">IF($D225="","",IF(OR($R225=TRUE(),$R225="TRUE"),Settings!$C$6,Settings!$C$7)*100)</f>
        <v/>
      </c>
      <c r="AH225" s="18" t="str">
        <f aca="false">IF($D225="","",IF(COUNTIF($D$2:$D225,$D225)=1,1,0))</f>
        <v/>
      </c>
      <c r="AI225" s="18" t="str">
        <f aca="false">IF($AH225=1,SUMPRODUCT(--($AK$2:$AK$4001&lt;$AK225))+1,"")</f>
        <v/>
      </c>
      <c r="AJ225" s="18" t="str">
        <f aca="false">IF($D225="","",IF(OR($R225=TRUE(),$R225="TRUE"),1,0))</f>
        <v/>
      </c>
      <c r="AK225" s="18" t="str">
        <f aca="false">IF($AH225=1,IFERROR(VALUE(MID($D225,2,20)),1000000000)+ROW()/10000000,"")</f>
        <v/>
      </c>
    </row>
    <row r="226" customFormat="false" ht="15" hidden="false" customHeight="false" outlineLevel="0" collapsed="false">
      <c r="F226" s="15"/>
      <c r="N226" s="16" t="str">
        <f aca="false">IF($D226="","",M226*Y226/100)</f>
        <v/>
      </c>
      <c r="V226" s="16" t="str">
        <f aca="false">IF($D226="","",Y226*AB226/100)</f>
        <v/>
      </c>
      <c r="W226" s="16" t="str">
        <f aca="false">IF($D226="","",Y226-V226)</f>
        <v/>
      </c>
      <c r="X226" s="16" t="str">
        <f aca="false">IF($D226="","",W226-N226)</f>
        <v/>
      </c>
      <c r="AB226" s="17" t="str">
        <f aca="false">IF($D226="","",IF(OR($R226=TRUE(),$R226="TRUE"),Settings!$C$6,Settings!$C$7)*100)</f>
        <v/>
      </c>
      <c r="AH226" s="18" t="str">
        <f aca="false">IF($D226="","",IF(COUNTIF($D$2:$D226,$D226)=1,1,0))</f>
        <v/>
      </c>
      <c r="AI226" s="18" t="str">
        <f aca="false">IF($AH226=1,SUMPRODUCT(--($AK$2:$AK$4001&lt;$AK226))+1,"")</f>
        <v/>
      </c>
      <c r="AJ226" s="18" t="str">
        <f aca="false">IF($D226="","",IF(OR($R226=TRUE(),$R226="TRUE"),1,0))</f>
        <v/>
      </c>
      <c r="AK226" s="18" t="str">
        <f aca="false">IF($AH226=1,IFERROR(VALUE(MID($D226,2,20)),1000000000)+ROW()/10000000,"")</f>
        <v/>
      </c>
    </row>
    <row r="227" customFormat="false" ht="15" hidden="false" customHeight="false" outlineLevel="0" collapsed="false">
      <c r="F227" s="15"/>
      <c r="N227" s="16" t="str">
        <f aca="false">IF($D227="","",M227*Y227/100)</f>
        <v/>
      </c>
      <c r="V227" s="16" t="str">
        <f aca="false">IF($D227="","",Y227*AB227/100)</f>
        <v/>
      </c>
      <c r="W227" s="16" t="str">
        <f aca="false">IF($D227="","",Y227-V227)</f>
        <v/>
      </c>
      <c r="X227" s="16" t="str">
        <f aca="false">IF($D227="","",W227-N227)</f>
        <v/>
      </c>
      <c r="AB227" s="17" t="str">
        <f aca="false">IF($D227="","",IF(OR($R227=TRUE(),$R227="TRUE"),Settings!$C$6,Settings!$C$7)*100)</f>
        <v/>
      </c>
      <c r="AH227" s="18" t="str">
        <f aca="false">IF($D227="","",IF(COUNTIF($D$2:$D227,$D227)=1,1,0))</f>
        <v/>
      </c>
      <c r="AI227" s="18" t="str">
        <f aca="false">IF($AH227=1,SUMPRODUCT(--($AK$2:$AK$4001&lt;$AK227))+1,"")</f>
        <v/>
      </c>
      <c r="AJ227" s="18" t="str">
        <f aca="false">IF($D227="","",IF(OR($R227=TRUE(),$R227="TRUE"),1,0))</f>
        <v/>
      </c>
      <c r="AK227" s="18" t="str">
        <f aca="false">IF($AH227=1,IFERROR(VALUE(MID($D227,2,20)),1000000000)+ROW()/10000000,"")</f>
        <v/>
      </c>
    </row>
    <row r="228" customFormat="false" ht="15" hidden="false" customHeight="false" outlineLevel="0" collapsed="false">
      <c r="F228" s="15"/>
      <c r="N228" s="16" t="str">
        <f aca="false">IF($D228="","",M228*Y228/100)</f>
        <v/>
      </c>
      <c r="V228" s="16" t="str">
        <f aca="false">IF($D228="","",Y228*AB228/100)</f>
        <v/>
      </c>
      <c r="W228" s="16" t="str">
        <f aca="false">IF($D228="","",Y228-V228)</f>
        <v/>
      </c>
      <c r="X228" s="16" t="str">
        <f aca="false">IF($D228="","",W228-N228)</f>
        <v/>
      </c>
      <c r="AB228" s="17" t="str">
        <f aca="false">IF($D228="","",IF(OR($R228=TRUE(),$R228="TRUE"),Settings!$C$6,Settings!$C$7)*100)</f>
        <v/>
      </c>
      <c r="AH228" s="18" t="str">
        <f aca="false">IF($D228="","",IF(COUNTIF($D$2:$D228,$D228)=1,1,0))</f>
        <v/>
      </c>
      <c r="AI228" s="18" t="str">
        <f aca="false">IF($AH228=1,SUMPRODUCT(--($AK$2:$AK$4001&lt;$AK228))+1,"")</f>
        <v/>
      </c>
      <c r="AJ228" s="18" t="str">
        <f aca="false">IF($D228="","",IF(OR($R228=TRUE(),$R228="TRUE"),1,0))</f>
        <v/>
      </c>
      <c r="AK228" s="18" t="str">
        <f aca="false">IF($AH228=1,IFERROR(VALUE(MID($D228,2,20)),1000000000)+ROW()/10000000,"")</f>
        <v/>
      </c>
    </row>
    <row r="229" customFormat="false" ht="15" hidden="false" customHeight="false" outlineLevel="0" collapsed="false">
      <c r="F229" s="15"/>
      <c r="N229" s="16" t="str">
        <f aca="false">IF($D229="","",M229*Y229/100)</f>
        <v/>
      </c>
      <c r="V229" s="16" t="str">
        <f aca="false">IF($D229="","",Y229*AB229/100)</f>
        <v/>
      </c>
      <c r="W229" s="16" t="str">
        <f aca="false">IF($D229="","",Y229-V229)</f>
        <v/>
      </c>
      <c r="X229" s="16" t="str">
        <f aca="false">IF($D229="","",W229-N229)</f>
        <v/>
      </c>
      <c r="AB229" s="17" t="str">
        <f aca="false">IF($D229="","",IF(OR($R229=TRUE(),$R229="TRUE"),Settings!$C$6,Settings!$C$7)*100)</f>
        <v/>
      </c>
      <c r="AH229" s="18" t="str">
        <f aca="false">IF($D229="","",IF(COUNTIF($D$2:$D229,$D229)=1,1,0))</f>
        <v/>
      </c>
      <c r="AI229" s="18" t="str">
        <f aca="false">IF($AH229=1,SUMPRODUCT(--($AK$2:$AK$4001&lt;$AK229))+1,"")</f>
        <v/>
      </c>
      <c r="AJ229" s="18" t="str">
        <f aca="false">IF($D229="","",IF(OR($R229=TRUE(),$R229="TRUE"),1,0))</f>
        <v/>
      </c>
      <c r="AK229" s="18" t="str">
        <f aca="false">IF($AH229=1,IFERROR(VALUE(MID($D229,2,20)),1000000000)+ROW()/10000000,"")</f>
        <v/>
      </c>
    </row>
    <row r="230" customFormat="false" ht="15" hidden="false" customHeight="false" outlineLevel="0" collapsed="false">
      <c r="F230" s="15"/>
      <c r="N230" s="16" t="str">
        <f aca="false">IF($D230="","",M230*Y230/100)</f>
        <v/>
      </c>
      <c r="V230" s="16" t="str">
        <f aca="false">IF($D230="","",Y230*AB230/100)</f>
        <v/>
      </c>
      <c r="W230" s="16" t="str">
        <f aca="false">IF($D230="","",Y230-V230)</f>
        <v/>
      </c>
      <c r="X230" s="16" t="str">
        <f aca="false">IF($D230="","",W230-N230)</f>
        <v/>
      </c>
      <c r="AB230" s="17" t="str">
        <f aca="false">IF($D230="","",IF(OR($R230=TRUE(),$R230="TRUE"),Settings!$C$6,Settings!$C$7)*100)</f>
        <v/>
      </c>
      <c r="AH230" s="18" t="str">
        <f aca="false">IF($D230="","",IF(COUNTIF($D$2:$D230,$D230)=1,1,0))</f>
        <v/>
      </c>
      <c r="AI230" s="18" t="str">
        <f aca="false">IF($AH230=1,SUMPRODUCT(--($AK$2:$AK$4001&lt;$AK230))+1,"")</f>
        <v/>
      </c>
      <c r="AJ230" s="18" t="str">
        <f aca="false">IF($D230="","",IF(OR($R230=TRUE(),$R230="TRUE"),1,0))</f>
        <v/>
      </c>
      <c r="AK230" s="18" t="str">
        <f aca="false">IF($AH230=1,IFERROR(VALUE(MID($D230,2,20)),1000000000)+ROW()/10000000,"")</f>
        <v/>
      </c>
    </row>
    <row r="231" customFormat="false" ht="15" hidden="false" customHeight="false" outlineLevel="0" collapsed="false">
      <c r="F231" s="15"/>
      <c r="N231" s="16" t="str">
        <f aca="false">IF($D231="","",M231*Y231/100)</f>
        <v/>
      </c>
      <c r="V231" s="16" t="str">
        <f aca="false">IF($D231="","",Y231*AB231/100)</f>
        <v/>
      </c>
      <c r="W231" s="16" t="str">
        <f aca="false">IF($D231="","",Y231-V231)</f>
        <v/>
      </c>
      <c r="X231" s="16" t="str">
        <f aca="false">IF($D231="","",W231-N231)</f>
        <v/>
      </c>
      <c r="AB231" s="17" t="str">
        <f aca="false">IF($D231="","",IF(OR($R231=TRUE(),$R231="TRUE"),Settings!$C$6,Settings!$C$7)*100)</f>
        <v/>
      </c>
      <c r="AH231" s="18" t="str">
        <f aca="false">IF($D231="","",IF(COUNTIF($D$2:$D231,$D231)=1,1,0))</f>
        <v/>
      </c>
      <c r="AI231" s="18" t="str">
        <f aca="false">IF($AH231=1,SUMPRODUCT(--($AK$2:$AK$4001&lt;$AK231))+1,"")</f>
        <v/>
      </c>
      <c r="AJ231" s="18" t="str">
        <f aca="false">IF($D231="","",IF(OR($R231=TRUE(),$R231="TRUE"),1,0))</f>
        <v/>
      </c>
      <c r="AK231" s="18" t="str">
        <f aca="false">IF($AH231=1,IFERROR(VALUE(MID($D231,2,20)),1000000000)+ROW()/10000000,"")</f>
        <v/>
      </c>
    </row>
    <row r="232" customFormat="false" ht="15" hidden="false" customHeight="false" outlineLevel="0" collapsed="false">
      <c r="F232" s="15"/>
      <c r="N232" s="16" t="str">
        <f aca="false">IF($D232="","",M232*Y232/100)</f>
        <v/>
      </c>
      <c r="V232" s="16" t="str">
        <f aca="false">IF($D232="","",Y232*AB232/100)</f>
        <v/>
      </c>
      <c r="W232" s="16" t="str">
        <f aca="false">IF($D232="","",Y232-V232)</f>
        <v/>
      </c>
      <c r="X232" s="16" t="str">
        <f aca="false">IF($D232="","",W232-N232)</f>
        <v/>
      </c>
      <c r="AB232" s="17" t="str">
        <f aca="false">IF($D232="","",IF(OR($R232=TRUE(),$R232="TRUE"),Settings!$C$6,Settings!$C$7)*100)</f>
        <v/>
      </c>
      <c r="AH232" s="18" t="str">
        <f aca="false">IF($D232="","",IF(COUNTIF($D$2:$D232,$D232)=1,1,0))</f>
        <v/>
      </c>
      <c r="AI232" s="18" t="str">
        <f aca="false">IF($AH232=1,SUMPRODUCT(--($AK$2:$AK$4001&lt;$AK232))+1,"")</f>
        <v/>
      </c>
      <c r="AJ232" s="18" t="str">
        <f aca="false">IF($D232="","",IF(OR($R232=TRUE(),$R232="TRUE"),1,0))</f>
        <v/>
      </c>
      <c r="AK232" s="18" t="str">
        <f aca="false">IF($AH232=1,IFERROR(VALUE(MID($D232,2,20)),1000000000)+ROW()/10000000,"")</f>
        <v/>
      </c>
    </row>
    <row r="233" customFormat="false" ht="15" hidden="false" customHeight="false" outlineLevel="0" collapsed="false">
      <c r="F233" s="15"/>
      <c r="N233" s="16" t="str">
        <f aca="false">IF($D233="","",M233*Y233/100)</f>
        <v/>
      </c>
      <c r="V233" s="16" t="str">
        <f aca="false">IF($D233="","",Y233*AB233/100)</f>
        <v/>
      </c>
      <c r="W233" s="16" t="str">
        <f aca="false">IF($D233="","",Y233-V233)</f>
        <v/>
      </c>
      <c r="X233" s="16" t="str">
        <f aca="false">IF($D233="","",W233-N233)</f>
        <v/>
      </c>
      <c r="AB233" s="17" t="str">
        <f aca="false">IF($D233="","",IF(OR($R233=TRUE(),$R233="TRUE"),Settings!$C$6,Settings!$C$7)*100)</f>
        <v/>
      </c>
      <c r="AH233" s="18" t="str">
        <f aca="false">IF($D233="","",IF(COUNTIF($D$2:$D233,$D233)=1,1,0))</f>
        <v/>
      </c>
      <c r="AI233" s="18" t="str">
        <f aca="false">IF($AH233=1,SUMPRODUCT(--($AK$2:$AK$4001&lt;$AK233))+1,"")</f>
        <v/>
      </c>
      <c r="AJ233" s="18" t="str">
        <f aca="false">IF($D233="","",IF(OR($R233=TRUE(),$R233="TRUE"),1,0))</f>
        <v/>
      </c>
      <c r="AK233" s="18" t="str">
        <f aca="false">IF($AH233=1,IFERROR(VALUE(MID($D233,2,20)),1000000000)+ROW()/10000000,"")</f>
        <v/>
      </c>
    </row>
    <row r="234" customFormat="false" ht="15" hidden="false" customHeight="false" outlineLevel="0" collapsed="false">
      <c r="F234" s="15"/>
      <c r="N234" s="16" t="str">
        <f aca="false">IF($D234="","",M234*Y234/100)</f>
        <v/>
      </c>
      <c r="V234" s="16" t="str">
        <f aca="false">IF($D234="","",Y234*AB234/100)</f>
        <v/>
      </c>
      <c r="W234" s="16" t="str">
        <f aca="false">IF($D234="","",Y234-V234)</f>
        <v/>
      </c>
      <c r="X234" s="16" t="str">
        <f aca="false">IF($D234="","",W234-N234)</f>
        <v/>
      </c>
      <c r="AB234" s="17" t="str">
        <f aca="false">IF($D234="","",IF(OR($R234=TRUE(),$R234="TRUE"),Settings!$C$6,Settings!$C$7)*100)</f>
        <v/>
      </c>
      <c r="AH234" s="18" t="str">
        <f aca="false">IF($D234="","",IF(COUNTIF($D$2:$D234,$D234)=1,1,0))</f>
        <v/>
      </c>
      <c r="AI234" s="18" t="str">
        <f aca="false">IF($AH234=1,SUMPRODUCT(--($AK$2:$AK$4001&lt;$AK234))+1,"")</f>
        <v/>
      </c>
      <c r="AJ234" s="18" t="str">
        <f aca="false">IF($D234="","",IF(OR($R234=TRUE(),$R234="TRUE"),1,0))</f>
        <v/>
      </c>
      <c r="AK234" s="18" t="str">
        <f aca="false">IF($AH234=1,IFERROR(VALUE(MID($D234,2,20)),1000000000)+ROW()/10000000,"")</f>
        <v/>
      </c>
    </row>
    <row r="235" customFormat="false" ht="15" hidden="false" customHeight="false" outlineLevel="0" collapsed="false">
      <c r="F235" s="15"/>
      <c r="N235" s="16" t="str">
        <f aca="false">IF($D235="","",M235*Y235/100)</f>
        <v/>
      </c>
      <c r="V235" s="16" t="str">
        <f aca="false">IF($D235="","",Y235*AB235/100)</f>
        <v/>
      </c>
      <c r="W235" s="16" t="str">
        <f aca="false">IF($D235="","",Y235-V235)</f>
        <v/>
      </c>
      <c r="X235" s="16" t="str">
        <f aca="false">IF($D235="","",W235-N235)</f>
        <v/>
      </c>
      <c r="AB235" s="17" t="str">
        <f aca="false">IF($D235="","",IF(OR($R235=TRUE(),$R235="TRUE"),Settings!$C$6,Settings!$C$7)*100)</f>
        <v/>
      </c>
      <c r="AH235" s="18" t="str">
        <f aca="false">IF($D235="","",IF(COUNTIF($D$2:$D235,$D235)=1,1,0))</f>
        <v/>
      </c>
      <c r="AI235" s="18" t="str">
        <f aca="false">IF($AH235=1,SUMPRODUCT(--($AK$2:$AK$4001&lt;$AK235))+1,"")</f>
        <v/>
      </c>
      <c r="AJ235" s="18" t="str">
        <f aca="false">IF($D235="","",IF(OR($R235=TRUE(),$R235="TRUE"),1,0))</f>
        <v/>
      </c>
      <c r="AK235" s="18" t="str">
        <f aca="false">IF($AH235=1,IFERROR(VALUE(MID($D235,2,20)),1000000000)+ROW()/10000000,"")</f>
        <v/>
      </c>
    </row>
    <row r="236" customFormat="false" ht="15" hidden="false" customHeight="false" outlineLevel="0" collapsed="false">
      <c r="F236" s="15"/>
      <c r="N236" s="16" t="str">
        <f aca="false">IF($D236="","",M236*Y236/100)</f>
        <v/>
      </c>
      <c r="V236" s="16" t="str">
        <f aca="false">IF($D236="","",Y236*AB236/100)</f>
        <v/>
      </c>
      <c r="W236" s="16" t="str">
        <f aca="false">IF($D236="","",Y236-V236)</f>
        <v/>
      </c>
      <c r="X236" s="16" t="str">
        <f aca="false">IF($D236="","",W236-N236)</f>
        <v/>
      </c>
      <c r="AB236" s="17" t="str">
        <f aca="false">IF($D236="","",IF(OR($R236=TRUE(),$R236="TRUE"),Settings!$C$6,Settings!$C$7)*100)</f>
        <v/>
      </c>
      <c r="AH236" s="18" t="str">
        <f aca="false">IF($D236="","",IF(COUNTIF($D$2:$D236,$D236)=1,1,0))</f>
        <v/>
      </c>
      <c r="AI236" s="18" t="str">
        <f aca="false">IF($AH236=1,SUMPRODUCT(--($AK$2:$AK$4001&lt;$AK236))+1,"")</f>
        <v/>
      </c>
      <c r="AJ236" s="18" t="str">
        <f aca="false">IF($D236="","",IF(OR($R236=TRUE(),$R236="TRUE"),1,0))</f>
        <v/>
      </c>
      <c r="AK236" s="18" t="str">
        <f aca="false">IF($AH236=1,IFERROR(VALUE(MID($D236,2,20)),1000000000)+ROW()/10000000,"")</f>
        <v/>
      </c>
    </row>
    <row r="237" customFormat="false" ht="15" hidden="false" customHeight="false" outlineLevel="0" collapsed="false">
      <c r="F237" s="15"/>
      <c r="N237" s="16" t="str">
        <f aca="false">IF($D237="","",M237*Y237/100)</f>
        <v/>
      </c>
      <c r="V237" s="16" t="str">
        <f aca="false">IF($D237="","",Y237*AB237/100)</f>
        <v/>
      </c>
      <c r="W237" s="16" t="str">
        <f aca="false">IF($D237="","",Y237-V237)</f>
        <v/>
      </c>
      <c r="X237" s="16" t="str">
        <f aca="false">IF($D237="","",W237-N237)</f>
        <v/>
      </c>
      <c r="AB237" s="17" t="str">
        <f aca="false">IF($D237="","",IF(OR($R237=TRUE(),$R237="TRUE"),Settings!$C$6,Settings!$C$7)*100)</f>
        <v/>
      </c>
      <c r="AH237" s="18" t="str">
        <f aca="false">IF($D237="","",IF(COUNTIF($D$2:$D237,$D237)=1,1,0))</f>
        <v/>
      </c>
      <c r="AI237" s="18" t="str">
        <f aca="false">IF($AH237=1,SUMPRODUCT(--($AK$2:$AK$4001&lt;$AK237))+1,"")</f>
        <v/>
      </c>
      <c r="AJ237" s="18" t="str">
        <f aca="false">IF($D237="","",IF(OR($R237=TRUE(),$R237="TRUE"),1,0))</f>
        <v/>
      </c>
      <c r="AK237" s="18" t="str">
        <f aca="false">IF($AH237=1,IFERROR(VALUE(MID($D237,2,20)),1000000000)+ROW()/10000000,"")</f>
        <v/>
      </c>
    </row>
    <row r="238" customFormat="false" ht="15" hidden="false" customHeight="false" outlineLevel="0" collapsed="false">
      <c r="F238" s="15"/>
      <c r="N238" s="16" t="str">
        <f aca="false">IF($D238="","",M238*Y238/100)</f>
        <v/>
      </c>
      <c r="V238" s="16" t="str">
        <f aca="false">IF($D238="","",Y238*AB238/100)</f>
        <v/>
      </c>
      <c r="W238" s="16" t="str">
        <f aca="false">IF($D238="","",Y238-V238)</f>
        <v/>
      </c>
      <c r="X238" s="16" t="str">
        <f aca="false">IF($D238="","",W238-N238)</f>
        <v/>
      </c>
      <c r="AB238" s="17" t="str">
        <f aca="false">IF($D238="","",IF(OR($R238=TRUE(),$R238="TRUE"),Settings!$C$6,Settings!$C$7)*100)</f>
        <v/>
      </c>
      <c r="AH238" s="18" t="str">
        <f aca="false">IF($D238="","",IF(COUNTIF($D$2:$D238,$D238)=1,1,0))</f>
        <v/>
      </c>
      <c r="AI238" s="18" t="str">
        <f aca="false">IF($AH238=1,SUMPRODUCT(--($AK$2:$AK$4001&lt;$AK238))+1,"")</f>
        <v/>
      </c>
      <c r="AJ238" s="18" t="str">
        <f aca="false">IF($D238="","",IF(OR($R238=TRUE(),$R238="TRUE"),1,0))</f>
        <v/>
      </c>
      <c r="AK238" s="18" t="str">
        <f aca="false">IF($AH238=1,IFERROR(VALUE(MID($D238,2,20)),1000000000)+ROW()/10000000,"")</f>
        <v/>
      </c>
    </row>
    <row r="239" customFormat="false" ht="15" hidden="false" customHeight="false" outlineLevel="0" collapsed="false">
      <c r="F239" s="15"/>
      <c r="N239" s="16" t="str">
        <f aca="false">IF($D239="","",M239*Y239/100)</f>
        <v/>
      </c>
      <c r="V239" s="16" t="str">
        <f aca="false">IF($D239="","",Y239*AB239/100)</f>
        <v/>
      </c>
      <c r="W239" s="16" t="str">
        <f aca="false">IF($D239="","",Y239-V239)</f>
        <v/>
      </c>
      <c r="X239" s="16" t="str">
        <f aca="false">IF($D239="","",W239-N239)</f>
        <v/>
      </c>
      <c r="AB239" s="17" t="str">
        <f aca="false">IF($D239="","",IF(OR($R239=TRUE(),$R239="TRUE"),Settings!$C$6,Settings!$C$7)*100)</f>
        <v/>
      </c>
      <c r="AH239" s="18" t="str">
        <f aca="false">IF($D239="","",IF(COUNTIF($D$2:$D239,$D239)=1,1,0))</f>
        <v/>
      </c>
      <c r="AI239" s="18" t="str">
        <f aca="false">IF($AH239=1,SUMPRODUCT(--($AK$2:$AK$4001&lt;$AK239))+1,"")</f>
        <v/>
      </c>
      <c r="AJ239" s="18" t="str">
        <f aca="false">IF($D239="","",IF(OR($R239=TRUE(),$R239="TRUE"),1,0))</f>
        <v/>
      </c>
      <c r="AK239" s="18" t="str">
        <f aca="false">IF($AH239=1,IFERROR(VALUE(MID($D239,2,20)),1000000000)+ROW()/10000000,"")</f>
        <v/>
      </c>
    </row>
    <row r="240" customFormat="false" ht="15" hidden="false" customHeight="false" outlineLevel="0" collapsed="false">
      <c r="F240" s="15"/>
      <c r="N240" s="16" t="str">
        <f aca="false">IF($D240="","",M240*Y240/100)</f>
        <v/>
      </c>
      <c r="V240" s="16" t="str">
        <f aca="false">IF($D240="","",Y240*AB240/100)</f>
        <v/>
      </c>
      <c r="W240" s="16" t="str">
        <f aca="false">IF($D240="","",Y240-V240)</f>
        <v/>
      </c>
      <c r="X240" s="16" t="str">
        <f aca="false">IF($D240="","",W240-N240)</f>
        <v/>
      </c>
      <c r="AB240" s="17" t="str">
        <f aca="false">IF($D240="","",IF(OR($R240=TRUE(),$R240="TRUE"),Settings!$C$6,Settings!$C$7)*100)</f>
        <v/>
      </c>
      <c r="AH240" s="18" t="str">
        <f aca="false">IF($D240="","",IF(COUNTIF($D$2:$D240,$D240)=1,1,0))</f>
        <v/>
      </c>
      <c r="AI240" s="18" t="str">
        <f aca="false">IF($AH240=1,SUMPRODUCT(--($AK$2:$AK$4001&lt;$AK240))+1,"")</f>
        <v/>
      </c>
      <c r="AJ240" s="18" t="str">
        <f aca="false">IF($D240="","",IF(OR($R240=TRUE(),$R240="TRUE"),1,0))</f>
        <v/>
      </c>
      <c r="AK240" s="18" t="str">
        <f aca="false">IF($AH240=1,IFERROR(VALUE(MID($D240,2,20)),1000000000)+ROW()/10000000,"")</f>
        <v/>
      </c>
    </row>
    <row r="241" customFormat="false" ht="15" hidden="false" customHeight="false" outlineLevel="0" collapsed="false">
      <c r="F241" s="15"/>
      <c r="N241" s="16" t="str">
        <f aca="false">IF($D241="","",M241*Y241/100)</f>
        <v/>
      </c>
      <c r="V241" s="16" t="str">
        <f aca="false">IF($D241="","",Y241*AB241/100)</f>
        <v/>
      </c>
      <c r="W241" s="16" t="str">
        <f aca="false">IF($D241="","",Y241-V241)</f>
        <v/>
      </c>
      <c r="X241" s="16" t="str">
        <f aca="false">IF($D241="","",W241-N241)</f>
        <v/>
      </c>
      <c r="AB241" s="17" t="str">
        <f aca="false">IF($D241="","",IF(OR($R241=TRUE(),$R241="TRUE"),Settings!$C$6,Settings!$C$7)*100)</f>
        <v/>
      </c>
      <c r="AH241" s="18" t="str">
        <f aca="false">IF($D241="","",IF(COUNTIF($D$2:$D241,$D241)=1,1,0))</f>
        <v/>
      </c>
      <c r="AI241" s="18" t="str">
        <f aca="false">IF($AH241=1,SUMPRODUCT(--($AK$2:$AK$4001&lt;$AK241))+1,"")</f>
        <v/>
      </c>
      <c r="AJ241" s="18" t="str">
        <f aca="false">IF($D241="","",IF(OR($R241=TRUE(),$R241="TRUE"),1,0))</f>
        <v/>
      </c>
      <c r="AK241" s="18" t="str">
        <f aca="false">IF($AH241=1,IFERROR(VALUE(MID($D241,2,20)),1000000000)+ROW()/10000000,"")</f>
        <v/>
      </c>
    </row>
    <row r="242" customFormat="false" ht="15" hidden="false" customHeight="false" outlineLevel="0" collapsed="false">
      <c r="F242" s="15"/>
      <c r="N242" s="16" t="str">
        <f aca="false">IF($D242="","",M242*Y242/100)</f>
        <v/>
      </c>
      <c r="V242" s="16" t="str">
        <f aca="false">IF($D242="","",Y242*AB242/100)</f>
        <v/>
      </c>
      <c r="W242" s="16" t="str">
        <f aca="false">IF($D242="","",Y242-V242)</f>
        <v/>
      </c>
      <c r="X242" s="16" t="str">
        <f aca="false">IF($D242="","",W242-N242)</f>
        <v/>
      </c>
      <c r="AB242" s="17" t="str">
        <f aca="false">IF($D242="","",IF(OR($R242=TRUE(),$R242="TRUE"),Settings!$C$6,Settings!$C$7)*100)</f>
        <v/>
      </c>
      <c r="AH242" s="18" t="str">
        <f aca="false">IF($D242="","",IF(COUNTIF($D$2:$D242,$D242)=1,1,0))</f>
        <v/>
      </c>
      <c r="AI242" s="18" t="str">
        <f aca="false">IF($AH242=1,SUMPRODUCT(--($AK$2:$AK$4001&lt;$AK242))+1,"")</f>
        <v/>
      </c>
      <c r="AJ242" s="18" t="str">
        <f aca="false">IF($D242="","",IF(OR($R242=TRUE(),$R242="TRUE"),1,0))</f>
        <v/>
      </c>
      <c r="AK242" s="18" t="str">
        <f aca="false">IF($AH242=1,IFERROR(VALUE(MID($D242,2,20)),1000000000)+ROW()/10000000,"")</f>
        <v/>
      </c>
    </row>
    <row r="243" customFormat="false" ht="15" hidden="false" customHeight="false" outlineLevel="0" collapsed="false">
      <c r="F243" s="15"/>
      <c r="N243" s="16" t="str">
        <f aca="false">IF($D243="","",M243*Y243/100)</f>
        <v/>
      </c>
      <c r="V243" s="16" t="str">
        <f aca="false">IF($D243="","",Y243*AB243/100)</f>
        <v/>
      </c>
      <c r="W243" s="16" t="str">
        <f aca="false">IF($D243="","",Y243-V243)</f>
        <v/>
      </c>
      <c r="X243" s="16" t="str">
        <f aca="false">IF($D243="","",W243-N243)</f>
        <v/>
      </c>
      <c r="AB243" s="17" t="str">
        <f aca="false">IF($D243="","",IF(OR($R243=TRUE(),$R243="TRUE"),Settings!$C$6,Settings!$C$7)*100)</f>
        <v/>
      </c>
      <c r="AH243" s="18" t="str">
        <f aca="false">IF($D243="","",IF(COUNTIF($D$2:$D243,$D243)=1,1,0))</f>
        <v/>
      </c>
      <c r="AI243" s="18" t="str">
        <f aca="false">IF($AH243=1,SUMPRODUCT(--($AK$2:$AK$4001&lt;$AK243))+1,"")</f>
        <v/>
      </c>
      <c r="AJ243" s="18" t="str">
        <f aca="false">IF($D243="","",IF(OR($R243=TRUE(),$R243="TRUE"),1,0))</f>
        <v/>
      </c>
      <c r="AK243" s="18" t="str">
        <f aca="false">IF($AH243=1,IFERROR(VALUE(MID($D243,2,20)),1000000000)+ROW()/10000000,"")</f>
        <v/>
      </c>
    </row>
    <row r="244" customFormat="false" ht="15" hidden="false" customHeight="false" outlineLevel="0" collapsed="false">
      <c r="F244" s="15"/>
      <c r="N244" s="16" t="str">
        <f aca="false">IF($D244="","",M244*Y244/100)</f>
        <v/>
      </c>
      <c r="V244" s="16" t="str">
        <f aca="false">IF($D244="","",Y244*AB244/100)</f>
        <v/>
      </c>
      <c r="W244" s="16" t="str">
        <f aca="false">IF($D244="","",Y244-V244)</f>
        <v/>
      </c>
      <c r="X244" s="16" t="str">
        <f aca="false">IF($D244="","",W244-N244)</f>
        <v/>
      </c>
      <c r="AB244" s="17" t="str">
        <f aca="false">IF($D244="","",IF(OR($R244=TRUE(),$R244="TRUE"),Settings!$C$6,Settings!$C$7)*100)</f>
        <v/>
      </c>
      <c r="AH244" s="18" t="str">
        <f aca="false">IF($D244="","",IF(COUNTIF($D$2:$D244,$D244)=1,1,0))</f>
        <v/>
      </c>
      <c r="AI244" s="18" t="str">
        <f aca="false">IF($AH244=1,SUMPRODUCT(--($AK$2:$AK$4001&lt;$AK244))+1,"")</f>
        <v/>
      </c>
      <c r="AJ244" s="18" t="str">
        <f aca="false">IF($D244="","",IF(OR($R244=TRUE(),$R244="TRUE"),1,0))</f>
        <v/>
      </c>
      <c r="AK244" s="18" t="str">
        <f aca="false">IF($AH244=1,IFERROR(VALUE(MID($D244,2,20)),1000000000)+ROW()/10000000,"")</f>
        <v/>
      </c>
    </row>
    <row r="245" customFormat="false" ht="15" hidden="false" customHeight="false" outlineLevel="0" collapsed="false">
      <c r="F245" s="15"/>
      <c r="N245" s="16" t="str">
        <f aca="false">IF($D245="","",M245*Y245/100)</f>
        <v/>
      </c>
      <c r="V245" s="16" t="str">
        <f aca="false">IF($D245="","",Y245*AB245/100)</f>
        <v/>
      </c>
      <c r="W245" s="16" t="str">
        <f aca="false">IF($D245="","",Y245-V245)</f>
        <v/>
      </c>
      <c r="X245" s="16" t="str">
        <f aca="false">IF($D245="","",W245-N245)</f>
        <v/>
      </c>
      <c r="AB245" s="17" t="str">
        <f aca="false">IF($D245="","",IF(OR($R245=TRUE(),$R245="TRUE"),Settings!$C$6,Settings!$C$7)*100)</f>
        <v/>
      </c>
      <c r="AH245" s="18" t="str">
        <f aca="false">IF($D245="","",IF(COUNTIF($D$2:$D245,$D245)=1,1,0))</f>
        <v/>
      </c>
      <c r="AI245" s="18" t="str">
        <f aca="false">IF($AH245=1,SUMPRODUCT(--($AK$2:$AK$4001&lt;$AK245))+1,"")</f>
        <v/>
      </c>
      <c r="AJ245" s="18" t="str">
        <f aca="false">IF($D245="","",IF(OR($R245=TRUE(),$R245="TRUE"),1,0))</f>
        <v/>
      </c>
      <c r="AK245" s="18" t="str">
        <f aca="false">IF($AH245=1,IFERROR(VALUE(MID($D245,2,20)),1000000000)+ROW()/10000000,"")</f>
        <v/>
      </c>
    </row>
    <row r="246" customFormat="false" ht="15" hidden="false" customHeight="false" outlineLevel="0" collapsed="false">
      <c r="F246" s="15"/>
      <c r="N246" s="16" t="str">
        <f aca="false">IF($D246="","",M246*Y246/100)</f>
        <v/>
      </c>
      <c r="V246" s="16" t="str">
        <f aca="false">IF($D246="","",Y246*AB246/100)</f>
        <v/>
      </c>
      <c r="W246" s="16" t="str">
        <f aca="false">IF($D246="","",Y246-V246)</f>
        <v/>
      </c>
      <c r="X246" s="16" t="str">
        <f aca="false">IF($D246="","",W246-N246)</f>
        <v/>
      </c>
      <c r="AB246" s="17" t="str">
        <f aca="false">IF($D246="","",IF(OR($R246=TRUE(),$R246="TRUE"),Settings!$C$6,Settings!$C$7)*100)</f>
        <v/>
      </c>
      <c r="AH246" s="18" t="str">
        <f aca="false">IF($D246="","",IF(COUNTIF($D$2:$D246,$D246)=1,1,0))</f>
        <v/>
      </c>
      <c r="AI246" s="18" t="str">
        <f aca="false">IF($AH246=1,SUMPRODUCT(--($AK$2:$AK$4001&lt;$AK246))+1,"")</f>
        <v/>
      </c>
      <c r="AJ246" s="18" t="str">
        <f aca="false">IF($D246="","",IF(OR($R246=TRUE(),$R246="TRUE"),1,0))</f>
        <v/>
      </c>
      <c r="AK246" s="18" t="str">
        <f aca="false">IF($AH246=1,IFERROR(VALUE(MID($D246,2,20)),1000000000)+ROW()/10000000,"")</f>
        <v/>
      </c>
    </row>
    <row r="247" customFormat="false" ht="15" hidden="false" customHeight="false" outlineLevel="0" collapsed="false">
      <c r="F247" s="15"/>
      <c r="N247" s="16" t="str">
        <f aca="false">IF($D247="","",M247*Y247/100)</f>
        <v/>
      </c>
      <c r="V247" s="16" t="str">
        <f aca="false">IF($D247="","",Y247*AB247/100)</f>
        <v/>
      </c>
      <c r="W247" s="16" t="str">
        <f aca="false">IF($D247="","",Y247-V247)</f>
        <v/>
      </c>
      <c r="X247" s="16" t="str">
        <f aca="false">IF($D247="","",W247-N247)</f>
        <v/>
      </c>
      <c r="AB247" s="17" t="str">
        <f aca="false">IF($D247="","",IF(OR($R247=TRUE(),$R247="TRUE"),Settings!$C$6,Settings!$C$7)*100)</f>
        <v/>
      </c>
      <c r="AH247" s="18" t="str">
        <f aca="false">IF($D247="","",IF(COUNTIF($D$2:$D247,$D247)=1,1,0))</f>
        <v/>
      </c>
      <c r="AI247" s="18" t="str">
        <f aca="false">IF($AH247=1,SUMPRODUCT(--($AK$2:$AK$4001&lt;$AK247))+1,"")</f>
        <v/>
      </c>
      <c r="AJ247" s="18" t="str">
        <f aca="false">IF($D247="","",IF(OR($R247=TRUE(),$R247="TRUE"),1,0))</f>
        <v/>
      </c>
      <c r="AK247" s="18" t="str">
        <f aca="false">IF($AH247=1,IFERROR(VALUE(MID($D247,2,20)),1000000000)+ROW()/10000000,"")</f>
        <v/>
      </c>
    </row>
    <row r="248" customFormat="false" ht="15" hidden="false" customHeight="false" outlineLevel="0" collapsed="false">
      <c r="F248" s="15"/>
      <c r="N248" s="16" t="str">
        <f aca="false">IF($D248="","",M248*Y248/100)</f>
        <v/>
      </c>
      <c r="V248" s="16" t="str">
        <f aca="false">IF($D248="","",Y248*AB248/100)</f>
        <v/>
      </c>
      <c r="W248" s="16" t="str">
        <f aca="false">IF($D248="","",Y248-V248)</f>
        <v/>
      </c>
      <c r="X248" s="16" t="str">
        <f aca="false">IF($D248="","",W248-N248)</f>
        <v/>
      </c>
      <c r="AB248" s="17" t="str">
        <f aca="false">IF($D248="","",IF(OR($R248=TRUE(),$R248="TRUE"),Settings!$C$6,Settings!$C$7)*100)</f>
        <v/>
      </c>
      <c r="AH248" s="18" t="str">
        <f aca="false">IF($D248="","",IF(COUNTIF($D$2:$D248,$D248)=1,1,0))</f>
        <v/>
      </c>
      <c r="AI248" s="18" t="str">
        <f aca="false">IF($AH248=1,SUMPRODUCT(--($AK$2:$AK$4001&lt;$AK248))+1,"")</f>
        <v/>
      </c>
      <c r="AJ248" s="18" t="str">
        <f aca="false">IF($D248="","",IF(OR($R248=TRUE(),$R248="TRUE"),1,0))</f>
        <v/>
      </c>
      <c r="AK248" s="18" t="str">
        <f aca="false">IF($AH248=1,IFERROR(VALUE(MID($D248,2,20)),1000000000)+ROW()/10000000,"")</f>
        <v/>
      </c>
    </row>
    <row r="249" customFormat="false" ht="15" hidden="false" customHeight="false" outlineLevel="0" collapsed="false">
      <c r="F249" s="15"/>
      <c r="N249" s="16" t="str">
        <f aca="false">IF($D249="","",M249*Y249/100)</f>
        <v/>
      </c>
      <c r="V249" s="16" t="str">
        <f aca="false">IF($D249="","",Y249*AB249/100)</f>
        <v/>
      </c>
      <c r="W249" s="16" t="str">
        <f aca="false">IF($D249="","",Y249-V249)</f>
        <v/>
      </c>
      <c r="X249" s="16" t="str">
        <f aca="false">IF($D249="","",W249-N249)</f>
        <v/>
      </c>
      <c r="AB249" s="17" t="str">
        <f aca="false">IF($D249="","",IF(OR($R249=TRUE(),$R249="TRUE"),Settings!$C$6,Settings!$C$7)*100)</f>
        <v/>
      </c>
      <c r="AH249" s="18" t="str">
        <f aca="false">IF($D249="","",IF(COUNTIF($D$2:$D249,$D249)=1,1,0))</f>
        <v/>
      </c>
      <c r="AI249" s="18" t="str">
        <f aca="false">IF($AH249=1,SUMPRODUCT(--($AK$2:$AK$4001&lt;$AK249))+1,"")</f>
        <v/>
      </c>
      <c r="AJ249" s="18" t="str">
        <f aca="false">IF($D249="","",IF(OR($R249=TRUE(),$R249="TRUE"),1,0))</f>
        <v/>
      </c>
      <c r="AK249" s="18" t="str">
        <f aca="false">IF($AH249=1,IFERROR(VALUE(MID($D249,2,20)),1000000000)+ROW()/10000000,"")</f>
        <v/>
      </c>
    </row>
    <row r="250" customFormat="false" ht="15" hidden="false" customHeight="false" outlineLevel="0" collapsed="false">
      <c r="F250" s="15"/>
      <c r="N250" s="16" t="str">
        <f aca="false">IF($D250="","",M250*Y250/100)</f>
        <v/>
      </c>
      <c r="V250" s="16" t="str">
        <f aca="false">IF($D250="","",Y250*AB250/100)</f>
        <v/>
      </c>
      <c r="W250" s="16" t="str">
        <f aca="false">IF($D250="","",Y250-V250)</f>
        <v/>
      </c>
      <c r="X250" s="16" t="str">
        <f aca="false">IF($D250="","",W250-N250)</f>
        <v/>
      </c>
      <c r="AB250" s="17" t="str">
        <f aca="false">IF($D250="","",IF(OR($R250=TRUE(),$R250="TRUE"),Settings!$C$6,Settings!$C$7)*100)</f>
        <v/>
      </c>
      <c r="AH250" s="18" t="str">
        <f aca="false">IF($D250="","",IF(COUNTIF($D$2:$D250,$D250)=1,1,0))</f>
        <v/>
      </c>
      <c r="AI250" s="18" t="str">
        <f aca="false">IF($AH250=1,SUMPRODUCT(--($AK$2:$AK$4001&lt;$AK250))+1,"")</f>
        <v/>
      </c>
      <c r="AJ250" s="18" t="str">
        <f aca="false">IF($D250="","",IF(OR($R250=TRUE(),$R250="TRUE"),1,0))</f>
        <v/>
      </c>
      <c r="AK250" s="18" t="str">
        <f aca="false">IF($AH250=1,IFERROR(VALUE(MID($D250,2,20)),1000000000)+ROW()/10000000,"")</f>
        <v/>
      </c>
    </row>
    <row r="251" customFormat="false" ht="15" hidden="false" customHeight="false" outlineLevel="0" collapsed="false">
      <c r="F251" s="15"/>
      <c r="N251" s="16" t="str">
        <f aca="false">IF($D251="","",M251*Y251/100)</f>
        <v/>
      </c>
      <c r="V251" s="16" t="str">
        <f aca="false">IF($D251="","",Y251*AB251/100)</f>
        <v/>
      </c>
      <c r="W251" s="16" t="str">
        <f aca="false">IF($D251="","",Y251-V251)</f>
        <v/>
      </c>
      <c r="X251" s="16" t="str">
        <f aca="false">IF($D251="","",W251-N251)</f>
        <v/>
      </c>
      <c r="AB251" s="17" t="str">
        <f aca="false">IF($D251="","",IF(OR($R251=TRUE(),$R251="TRUE"),Settings!$C$6,Settings!$C$7)*100)</f>
        <v/>
      </c>
      <c r="AH251" s="18" t="str">
        <f aca="false">IF($D251="","",IF(COUNTIF($D$2:$D251,$D251)=1,1,0))</f>
        <v/>
      </c>
      <c r="AI251" s="18" t="str">
        <f aca="false">IF($AH251=1,SUMPRODUCT(--($AK$2:$AK$4001&lt;$AK251))+1,"")</f>
        <v/>
      </c>
      <c r="AJ251" s="18" t="str">
        <f aca="false">IF($D251="","",IF(OR($R251=TRUE(),$R251="TRUE"),1,0))</f>
        <v/>
      </c>
      <c r="AK251" s="18" t="str">
        <f aca="false">IF($AH251=1,IFERROR(VALUE(MID($D251,2,20)),1000000000)+ROW()/10000000,"")</f>
        <v/>
      </c>
    </row>
    <row r="252" customFormat="false" ht="15" hidden="false" customHeight="false" outlineLevel="0" collapsed="false">
      <c r="F252" s="15"/>
      <c r="N252" s="16" t="str">
        <f aca="false">IF($D252="","",M252*Y252/100)</f>
        <v/>
      </c>
      <c r="V252" s="16" t="str">
        <f aca="false">IF($D252="","",Y252*AB252/100)</f>
        <v/>
      </c>
      <c r="W252" s="16" t="str">
        <f aca="false">IF($D252="","",Y252-V252)</f>
        <v/>
      </c>
      <c r="X252" s="16" t="str">
        <f aca="false">IF($D252="","",W252-N252)</f>
        <v/>
      </c>
      <c r="AB252" s="17" t="str">
        <f aca="false">IF($D252="","",IF(OR($R252=TRUE(),$R252="TRUE"),Settings!$C$6,Settings!$C$7)*100)</f>
        <v/>
      </c>
      <c r="AH252" s="18" t="str">
        <f aca="false">IF($D252="","",IF(COUNTIF($D$2:$D252,$D252)=1,1,0))</f>
        <v/>
      </c>
      <c r="AI252" s="18" t="str">
        <f aca="false">IF($AH252=1,SUMPRODUCT(--($AK$2:$AK$4001&lt;$AK252))+1,"")</f>
        <v/>
      </c>
      <c r="AJ252" s="18" t="str">
        <f aca="false">IF($D252="","",IF(OR($R252=TRUE(),$R252="TRUE"),1,0))</f>
        <v/>
      </c>
      <c r="AK252" s="18" t="str">
        <f aca="false">IF($AH252=1,IFERROR(VALUE(MID($D252,2,20)),1000000000)+ROW()/10000000,"")</f>
        <v/>
      </c>
    </row>
    <row r="253" customFormat="false" ht="15" hidden="false" customHeight="false" outlineLevel="0" collapsed="false">
      <c r="F253" s="15"/>
      <c r="N253" s="16" t="str">
        <f aca="false">IF($D253="","",M253*Y253/100)</f>
        <v/>
      </c>
      <c r="V253" s="16" t="str">
        <f aca="false">IF($D253="","",Y253*AB253/100)</f>
        <v/>
      </c>
      <c r="W253" s="16" t="str">
        <f aca="false">IF($D253="","",Y253-V253)</f>
        <v/>
      </c>
      <c r="X253" s="16" t="str">
        <f aca="false">IF($D253="","",W253-N253)</f>
        <v/>
      </c>
      <c r="AB253" s="17" t="str">
        <f aca="false">IF($D253="","",IF(OR($R253=TRUE(),$R253="TRUE"),Settings!$C$6,Settings!$C$7)*100)</f>
        <v/>
      </c>
      <c r="AH253" s="18" t="str">
        <f aca="false">IF($D253="","",IF(COUNTIF($D$2:$D253,$D253)=1,1,0))</f>
        <v/>
      </c>
      <c r="AI253" s="18" t="str">
        <f aca="false">IF($AH253=1,SUMPRODUCT(--($AK$2:$AK$4001&lt;$AK253))+1,"")</f>
        <v/>
      </c>
      <c r="AJ253" s="18" t="str">
        <f aca="false">IF($D253="","",IF(OR($R253=TRUE(),$R253="TRUE"),1,0))</f>
        <v/>
      </c>
      <c r="AK253" s="18" t="str">
        <f aca="false">IF($AH253=1,IFERROR(VALUE(MID($D253,2,20)),1000000000)+ROW()/10000000,"")</f>
        <v/>
      </c>
    </row>
    <row r="254" customFormat="false" ht="15" hidden="false" customHeight="false" outlineLevel="0" collapsed="false">
      <c r="F254" s="15"/>
      <c r="N254" s="16" t="str">
        <f aca="false">IF($D254="","",M254*Y254/100)</f>
        <v/>
      </c>
      <c r="V254" s="16" t="str">
        <f aca="false">IF($D254="","",Y254*AB254/100)</f>
        <v/>
      </c>
      <c r="W254" s="16" t="str">
        <f aca="false">IF($D254="","",Y254-V254)</f>
        <v/>
      </c>
      <c r="X254" s="16" t="str">
        <f aca="false">IF($D254="","",W254-N254)</f>
        <v/>
      </c>
      <c r="AB254" s="17" t="str">
        <f aca="false">IF($D254="","",IF(OR($R254=TRUE(),$R254="TRUE"),Settings!$C$6,Settings!$C$7)*100)</f>
        <v/>
      </c>
      <c r="AH254" s="18" t="str">
        <f aca="false">IF($D254="","",IF(COUNTIF($D$2:$D254,$D254)=1,1,0))</f>
        <v/>
      </c>
      <c r="AI254" s="18" t="str">
        <f aca="false">IF($AH254=1,SUMPRODUCT(--($AK$2:$AK$4001&lt;$AK254))+1,"")</f>
        <v/>
      </c>
      <c r="AJ254" s="18" t="str">
        <f aca="false">IF($D254="","",IF(OR($R254=TRUE(),$R254="TRUE"),1,0))</f>
        <v/>
      </c>
      <c r="AK254" s="18" t="str">
        <f aca="false">IF($AH254=1,IFERROR(VALUE(MID($D254,2,20)),1000000000)+ROW()/10000000,"")</f>
        <v/>
      </c>
    </row>
    <row r="255" customFormat="false" ht="15" hidden="false" customHeight="false" outlineLevel="0" collapsed="false">
      <c r="F255" s="15"/>
      <c r="N255" s="16" t="str">
        <f aca="false">IF($D255="","",M255*Y255/100)</f>
        <v/>
      </c>
      <c r="V255" s="16" t="str">
        <f aca="false">IF($D255="","",Y255*AB255/100)</f>
        <v/>
      </c>
      <c r="W255" s="16" t="str">
        <f aca="false">IF($D255="","",Y255-V255)</f>
        <v/>
      </c>
      <c r="X255" s="16" t="str">
        <f aca="false">IF($D255="","",W255-N255)</f>
        <v/>
      </c>
      <c r="AB255" s="17" t="str">
        <f aca="false">IF($D255="","",IF(OR($R255=TRUE(),$R255="TRUE"),Settings!$C$6,Settings!$C$7)*100)</f>
        <v/>
      </c>
      <c r="AH255" s="18" t="str">
        <f aca="false">IF($D255="","",IF(COUNTIF($D$2:$D255,$D255)=1,1,0))</f>
        <v/>
      </c>
      <c r="AI255" s="18" t="str">
        <f aca="false">IF($AH255=1,SUMPRODUCT(--($AK$2:$AK$4001&lt;$AK255))+1,"")</f>
        <v/>
      </c>
      <c r="AJ255" s="18" t="str">
        <f aca="false">IF($D255="","",IF(OR($R255=TRUE(),$R255="TRUE"),1,0))</f>
        <v/>
      </c>
      <c r="AK255" s="18" t="str">
        <f aca="false">IF($AH255=1,IFERROR(VALUE(MID($D255,2,20)),1000000000)+ROW()/10000000,"")</f>
        <v/>
      </c>
    </row>
    <row r="256" customFormat="false" ht="15" hidden="false" customHeight="false" outlineLevel="0" collapsed="false">
      <c r="F256" s="15"/>
      <c r="N256" s="16" t="str">
        <f aca="false">IF($D256="","",M256*Y256/100)</f>
        <v/>
      </c>
      <c r="V256" s="16" t="str">
        <f aca="false">IF($D256="","",Y256*AB256/100)</f>
        <v/>
      </c>
      <c r="W256" s="16" t="str">
        <f aca="false">IF($D256="","",Y256-V256)</f>
        <v/>
      </c>
      <c r="X256" s="16" t="str">
        <f aca="false">IF($D256="","",W256-N256)</f>
        <v/>
      </c>
      <c r="AB256" s="17" t="str">
        <f aca="false">IF($D256="","",IF(OR($R256=TRUE(),$R256="TRUE"),Settings!$C$6,Settings!$C$7)*100)</f>
        <v/>
      </c>
      <c r="AH256" s="18" t="str">
        <f aca="false">IF($D256="","",IF(COUNTIF($D$2:$D256,$D256)=1,1,0))</f>
        <v/>
      </c>
      <c r="AI256" s="18" t="str">
        <f aca="false">IF($AH256=1,SUMPRODUCT(--($AK$2:$AK$4001&lt;$AK256))+1,"")</f>
        <v/>
      </c>
      <c r="AJ256" s="18" t="str">
        <f aca="false">IF($D256="","",IF(OR($R256=TRUE(),$R256="TRUE"),1,0))</f>
        <v/>
      </c>
      <c r="AK256" s="18" t="str">
        <f aca="false">IF($AH256=1,IFERROR(VALUE(MID($D256,2,20)),1000000000)+ROW()/10000000,"")</f>
        <v/>
      </c>
    </row>
    <row r="257" customFormat="false" ht="15" hidden="false" customHeight="false" outlineLevel="0" collapsed="false">
      <c r="F257" s="15"/>
      <c r="N257" s="16" t="str">
        <f aca="false">IF($D257="","",M257*Y257/100)</f>
        <v/>
      </c>
      <c r="V257" s="16" t="str">
        <f aca="false">IF($D257="","",Y257*AB257/100)</f>
        <v/>
      </c>
      <c r="W257" s="16" t="str">
        <f aca="false">IF($D257="","",Y257-V257)</f>
        <v/>
      </c>
      <c r="X257" s="16" t="str">
        <f aca="false">IF($D257="","",W257-N257)</f>
        <v/>
      </c>
      <c r="AB257" s="17" t="str">
        <f aca="false">IF($D257="","",IF(OR($R257=TRUE(),$R257="TRUE"),Settings!$C$6,Settings!$C$7)*100)</f>
        <v/>
      </c>
      <c r="AH257" s="18" t="str">
        <f aca="false">IF($D257="","",IF(COUNTIF($D$2:$D257,$D257)=1,1,0))</f>
        <v/>
      </c>
      <c r="AI257" s="18" t="str">
        <f aca="false">IF($AH257=1,SUMPRODUCT(--($AK$2:$AK$4001&lt;$AK257))+1,"")</f>
        <v/>
      </c>
      <c r="AJ257" s="18" t="str">
        <f aca="false">IF($D257="","",IF(OR($R257=TRUE(),$R257="TRUE"),1,0))</f>
        <v/>
      </c>
      <c r="AK257" s="18" t="str">
        <f aca="false">IF($AH257=1,IFERROR(VALUE(MID($D257,2,20)),1000000000)+ROW()/10000000,"")</f>
        <v/>
      </c>
    </row>
    <row r="258" customFormat="false" ht="15" hidden="false" customHeight="false" outlineLevel="0" collapsed="false">
      <c r="F258" s="15"/>
      <c r="N258" s="16" t="str">
        <f aca="false">IF($D258="","",M258*Y258/100)</f>
        <v/>
      </c>
      <c r="V258" s="16" t="str">
        <f aca="false">IF($D258="","",Y258*AB258/100)</f>
        <v/>
      </c>
      <c r="W258" s="16" t="str">
        <f aca="false">IF($D258="","",Y258-V258)</f>
        <v/>
      </c>
      <c r="X258" s="16" t="str">
        <f aca="false">IF($D258="","",W258-N258)</f>
        <v/>
      </c>
      <c r="AB258" s="17" t="str">
        <f aca="false">IF($D258="","",IF(OR($R258=TRUE(),$R258="TRUE"),Settings!$C$6,Settings!$C$7)*100)</f>
        <v/>
      </c>
      <c r="AH258" s="18" t="str">
        <f aca="false">IF($D258="","",IF(COUNTIF($D$2:$D258,$D258)=1,1,0))</f>
        <v/>
      </c>
      <c r="AI258" s="18" t="str">
        <f aca="false">IF($AH258=1,SUMPRODUCT(--($AK$2:$AK$4001&lt;$AK258))+1,"")</f>
        <v/>
      </c>
      <c r="AJ258" s="18" t="str">
        <f aca="false">IF($D258="","",IF(OR($R258=TRUE(),$R258="TRUE"),1,0))</f>
        <v/>
      </c>
      <c r="AK258" s="18" t="str">
        <f aca="false">IF($AH258=1,IFERROR(VALUE(MID($D258,2,20)),1000000000)+ROW()/10000000,"")</f>
        <v/>
      </c>
    </row>
    <row r="259" customFormat="false" ht="15" hidden="false" customHeight="false" outlineLevel="0" collapsed="false">
      <c r="F259" s="15"/>
      <c r="N259" s="16" t="str">
        <f aca="false">IF($D259="","",M259*Y259/100)</f>
        <v/>
      </c>
      <c r="V259" s="16" t="str">
        <f aca="false">IF($D259="","",Y259*AB259/100)</f>
        <v/>
      </c>
      <c r="W259" s="16" t="str">
        <f aca="false">IF($D259="","",Y259-V259)</f>
        <v/>
      </c>
      <c r="X259" s="16" t="str">
        <f aca="false">IF($D259="","",W259-N259)</f>
        <v/>
      </c>
      <c r="AB259" s="17" t="str">
        <f aca="false">IF($D259="","",IF(OR($R259=TRUE(),$R259="TRUE"),Settings!$C$6,Settings!$C$7)*100)</f>
        <v/>
      </c>
      <c r="AH259" s="18" t="str">
        <f aca="false">IF($D259="","",IF(COUNTIF($D$2:$D259,$D259)=1,1,0))</f>
        <v/>
      </c>
      <c r="AI259" s="18" t="str">
        <f aca="false">IF($AH259=1,SUMPRODUCT(--($AK$2:$AK$4001&lt;$AK259))+1,"")</f>
        <v/>
      </c>
      <c r="AJ259" s="18" t="str">
        <f aca="false">IF($D259="","",IF(OR($R259=TRUE(),$R259="TRUE"),1,0))</f>
        <v/>
      </c>
      <c r="AK259" s="18" t="str">
        <f aca="false">IF($AH259=1,IFERROR(VALUE(MID($D259,2,20)),1000000000)+ROW()/10000000,"")</f>
        <v/>
      </c>
    </row>
    <row r="260" customFormat="false" ht="15" hidden="false" customHeight="false" outlineLevel="0" collapsed="false">
      <c r="F260" s="15"/>
      <c r="N260" s="16" t="str">
        <f aca="false">IF($D260="","",M260*Y260/100)</f>
        <v/>
      </c>
      <c r="V260" s="16" t="str">
        <f aca="false">IF($D260="","",Y260*AB260/100)</f>
        <v/>
      </c>
      <c r="W260" s="16" t="str">
        <f aca="false">IF($D260="","",Y260-V260)</f>
        <v/>
      </c>
      <c r="X260" s="16" t="str">
        <f aca="false">IF($D260="","",W260-N260)</f>
        <v/>
      </c>
      <c r="AB260" s="17" t="str">
        <f aca="false">IF($D260="","",IF(OR($R260=TRUE(),$R260="TRUE"),Settings!$C$6,Settings!$C$7)*100)</f>
        <v/>
      </c>
      <c r="AH260" s="18" t="str">
        <f aca="false">IF($D260="","",IF(COUNTIF($D$2:$D260,$D260)=1,1,0))</f>
        <v/>
      </c>
      <c r="AI260" s="18" t="str">
        <f aca="false">IF($AH260=1,SUMPRODUCT(--($AK$2:$AK$4001&lt;$AK260))+1,"")</f>
        <v/>
      </c>
      <c r="AJ260" s="18" t="str">
        <f aca="false">IF($D260="","",IF(OR($R260=TRUE(),$R260="TRUE"),1,0))</f>
        <v/>
      </c>
      <c r="AK260" s="18" t="str">
        <f aca="false">IF($AH260=1,IFERROR(VALUE(MID($D260,2,20)),1000000000)+ROW()/10000000,"")</f>
        <v/>
      </c>
    </row>
    <row r="261" customFormat="false" ht="15" hidden="false" customHeight="false" outlineLevel="0" collapsed="false">
      <c r="F261" s="15"/>
      <c r="N261" s="16" t="str">
        <f aca="false">IF($D261="","",M261*Y261/100)</f>
        <v/>
      </c>
      <c r="V261" s="16" t="str">
        <f aca="false">IF($D261="","",Y261*AB261/100)</f>
        <v/>
      </c>
      <c r="W261" s="16" t="str">
        <f aca="false">IF($D261="","",Y261-V261)</f>
        <v/>
      </c>
      <c r="X261" s="16" t="str">
        <f aca="false">IF($D261="","",W261-N261)</f>
        <v/>
      </c>
      <c r="AB261" s="17" t="str">
        <f aca="false">IF($D261="","",IF(OR($R261=TRUE(),$R261="TRUE"),Settings!$C$6,Settings!$C$7)*100)</f>
        <v/>
      </c>
      <c r="AH261" s="18" t="str">
        <f aca="false">IF($D261="","",IF(COUNTIF($D$2:$D261,$D261)=1,1,0))</f>
        <v/>
      </c>
      <c r="AI261" s="18" t="str">
        <f aca="false">IF($AH261=1,SUMPRODUCT(--($AK$2:$AK$4001&lt;$AK261))+1,"")</f>
        <v/>
      </c>
      <c r="AJ261" s="18" t="str">
        <f aca="false">IF($D261="","",IF(OR($R261=TRUE(),$R261="TRUE"),1,0))</f>
        <v/>
      </c>
      <c r="AK261" s="18" t="str">
        <f aca="false">IF($AH261=1,IFERROR(VALUE(MID($D261,2,20)),1000000000)+ROW()/10000000,"")</f>
        <v/>
      </c>
    </row>
    <row r="262" customFormat="false" ht="15" hidden="false" customHeight="false" outlineLevel="0" collapsed="false">
      <c r="F262" s="15"/>
      <c r="N262" s="16" t="str">
        <f aca="false">IF($D262="","",M262*Y262/100)</f>
        <v/>
      </c>
      <c r="V262" s="16" t="str">
        <f aca="false">IF($D262="","",Y262*AB262/100)</f>
        <v/>
      </c>
      <c r="W262" s="16" t="str">
        <f aca="false">IF($D262="","",Y262-V262)</f>
        <v/>
      </c>
      <c r="X262" s="16" t="str">
        <f aca="false">IF($D262="","",W262-N262)</f>
        <v/>
      </c>
      <c r="AB262" s="17" t="str">
        <f aca="false">IF($D262="","",IF(OR($R262=TRUE(),$R262="TRUE"),Settings!$C$6,Settings!$C$7)*100)</f>
        <v/>
      </c>
      <c r="AH262" s="18" t="str">
        <f aca="false">IF($D262="","",IF(COUNTIF($D$2:$D262,$D262)=1,1,0))</f>
        <v/>
      </c>
      <c r="AI262" s="18" t="str">
        <f aca="false">IF($AH262=1,SUMPRODUCT(--($AK$2:$AK$4001&lt;$AK262))+1,"")</f>
        <v/>
      </c>
      <c r="AJ262" s="18" t="str">
        <f aca="false">IF($D262="","",IF(OR($R262=TRUE(),$R262="TRUE"),1,0))</f>
        <v/>
      </c>
      <c r="AK262" s="18" t="str">
        <f aca="false">IF($AH262=1,IFERROR(VALUE(MID($D262,2,20)),1000000000)+ROW()/10000000,"")</f>
        <v/>
      </c>
    </row>
    <row r="263" customFormat="false" ht="15" hidden="false" customHeight="false" outlineLevel="0" collapsed="false">
      <c r="F263" s="15"/>
      <c r="N263" s="16" t="str">
        <f aca="false">IF($D263="","",M263*Y263/100)</f>
        <v/>
      </c>
      <c r="V263" s="16" t="str">
        <f aca="false">IF($D263="","",Y263*AB263/100)</f>
        <v/>
      </c>
      <c r="W263" s="16" t="str">
        <f aca="false">IF($D263="","",Y263-V263)</f>
        <v/>
      </c>
      <c r="X263" s="16" t="str">
        <f aca="false">IF($D263="","",W263-N263)</f>
        <v/>
      </c>
      <c r="AB263" s="17" t="str">
        <f aca="false">IF($D263="","",IF(OR($R263=TRUE(),$R263="TRUE"),Settings!$C$6,Settings!$C$7)*100)</f>
        <v/>
      </c>
      <c r="AH263" s="18" t="str">
        <f aca="false">IF($D263="","",IF(COUNTIF($D$2:$D263,$D263)=1,1,0))</f>
        <v/>
      </c>
      <c r="AI263" s="18" t="str">
        <f aca="false">IF($AH263=1,SUMPRODUCT(--($AK$2:$AK$4001&lt;$AK263))+1,"")</f>
        <v/>
      </c>
      <c r="AJ263" s="18" t="str">
        <f aca="false">IF($D263="","",IF(OR($R263=TRUE(),$R263="TRUE"),1,0))</f>
        <v/>
      </c>
      <c r="AK263" s="18" t="str">
        <f aca="false">IF($AH263=1,IFERROR(VALUE(MID($D263,2,20)),1000000000)+ROW()/10000000,"")</f>
        <v/>
      </c>
    </row>
    <row r="264" customFormat="false" ht="15" hidden="false" customHeight="false" outlineLevel="0" collapsed="false">
      <c r="F264" s="15"/>
      <c r="N264" s="16" t="str">
        <f aca="false">IF($D264="","",M264*Y264/100)</f>
        <v/>
      </c>
      <c r="V264" s="16" t="str">
        <f aca="false">IF($D264="","",Y264*AB264/100)</f>
        <v/>
      </c>
      <c r="W264" s="16" t="str">
        <f aca="false">IF($D264="","",Y264-V264)</f>
        <v/>
      </c>
      <c r="X264" s="16" t="str">
        <f aca="false">IF($D264="","",W264-N264)</f>
        <v/>
      </c>
      <c r="AB264" s="17" t="str">
        <f aca="false">IF($D264="","",IF(OR($R264=TRUE(),$R264="TRUE"),Settings!$C$6,Settings!$C$7)*100)</f>
        <v/>
      </c>
      <c r="AH264" s="18" t="str">
        <f aca="false">IF($D264="","",IF(COUNTIF($D$2:$D264,$D264)=1,1,0))</f>
        <v/>
      </c>
      <c r="AI264" s="18" t="str">
        <f aca="false">IF($AH264=1,SUMPRODUCT(--($AK$2:$AK$4001&lt;$AK264))+1,"")</f>
        <v/>
      </c>
      <c r="AJ264" s="18" t="str">
        <f aca="false">IF($D264="","",IF(OR($R264=TRUE(),$R264="TRUE"),1,0))</f>
        <v/>
      </c>
      <c r="AK264" s="18" t="str">
        <f aca="false">IF($AH264=1,IFERROR(VALUE(MID($D264,2,20)),1000000000)+ROW()/10000000,"")</f>
        <v/>
      </c>
    </row>
    <row r="265" customFormat="false" ht="15" hidden="false" customHeight="false" outlineLevel="0" collapsed="false">
      <c r="F265" s="15"/>
      <c r="N265" s="16" t="str">
        <f aca="false">IF($D265="","",M265*Y265/100)</f>
        <v/>
      </c>
      <c r="V265" s="16" t="str">
        <f aca="false">IF($D265="","",Y265*AB265/100)</f>
        <v/>
      </c>
      <c r="W265" s="16" t="str">
        <f aca="false">IF($D265="","",Y265-V265)</f>
        <v/>
      </c>
      <c r="X265" s="16" t="str">
        <f aca="false">IF($D265="","",W265-N265)</f>
        <v/>
      </c>
      <c r="AB265" s="17" t="str">
        <f aca="false">IF($D265="","",IF(OR($R265=TRUE(),$R265="TRUE"),Settings!$C$6,Settings!$C$7)*100)</f>
        <v/>
      </c>
      <c r="AH265" s="18" t="str">
        <f aca="false">IF($D265="","",IF(COUNTIF($D$2:$D265,$D265)=1,1,0))</f>
        <v/>
      </c>
      <c r="AI265" s="18" t="str">
        <f aca="false">IF($AH265=1,SUMPRODUCT(--($AK$2:$AK$4001&lt;$AK265))+1,"")</f>
        <v/>
      </c>
      <c r="AJ265" s="18" t="str">
        <f aca="false">IF($D265="","",IF(OR($R265=TRUE(),$R265="TRUE"),1,0))</f>
        <v/>
      </c>
      <c r="AK265" s="18" t="str">
        <f aca="false">IF($AH265=1,IFERROR(VALUE(MID($D265,2,20)),1000000000)+ROW()/10000000,"")</f>
        <v/>
      </c>
    </row>
    <row r="266" customFormat="false" ht="15" hidden="false" customHeight="false" outlineLevel="0" collapsed="false">
      <c r="F266" s="15"/>
      <c r="N266" s="16" t="str">
        <f aca="false">IF($D266="","",M266*Y266/100)</f>
        <v/>
      </c>
      <c r="V266" s="16" t="str">
        <f aca="false">IF($D266="","",Y266*AB266/100)</f>
        <v/>
      </c>
      <c r="W266" s="16" t="str">
        <f aca="false">IF($D266="","",Y266-V266)</f>
        <v/>
      </c>
      <c r="X266" s="16" t="str">
        <f aca="false">IF($D266="","",W266-N266)</f>
        <v/>
      </c>
      <c r="AB266" s="17" t="str">
        <f aca="false">IF($D266="","",IF(OR($R266=TRUE(),$R266="TRUE"),Settings!$C$6,Settings!$C$7)*100)</f>
        <v/>
      </c>
      <c r="AH266" s="18" t="str">
        <f aca="false">IF($D266="","",IF(COUNTIF($D$2:$D266,$D266)=1,1,0))</f>
        <v/>
      </c>
      <c r="AI266" s="18" t="str">
        <f aca="false">IF($AH266=1,SUMPRODUCT(--($AK$2:$AK$4001&lt;$AK266))+1,"")</f>
        <v/>
      </c>
      <c r="AJ266" s="18" t="str">
        <f aca="false">IF($D266="","",IF(OR($R266=TRUE(),$R266="TRUE"),1,0))</f>
        <v/>
      </c>
      <c r="AK266" s="18" t="str">
        <f aca="false">IF($AH266=1,IFERROR(VALUE(MID($D266,2,20)),1000000000)+ROW()/10000000,"")</f>
        <v/>
      </c>
    </row>
    <row r="267" customFormat="false" ht="15" hidden="false" customHeight="false" outlineLevel="0" collapsed="false">
      <c r="F267" s="15"/>
      <c r="N267" s="16" t="str">
        <f aca="false">IF($D267="","",M267*Y267/100)</f>
        <v/>
      </c>
      <c r="V267" s="16" t="str">
        <f aca="false">IF($D267="","",Y267*AB267/100)</f>
        <v/>
      </c>
      <c r="W267" s="16" t="str">
        <f aca="false">IF($D267="","",Y267-V267)</f>
        <v/>
      </c>
      <c r="X267" s="16" t="str">
        <f aca="false">IF($D267="","",W267-N267)</f>
        <v/>
      </c>
      <c r="AB267" s="17" t="str">
        <f aca="false">IF($D267="","",IF(OR($R267=TRUE(),$R267="TRUE"),Settings!$C$6,Settings!$C$7)*100)</f>
        <v/>
      </c>
      <c r="AH267" s="18" t="str">
        <f aca="false">IF($D267="","",IF(COUNTIF($D$2:$D267,$D267)=1,1,0))</f>
        <v/>
      </c>
      <c r="AI267" s="18" t="str">
        <f aca="false">IF($AH267=1,SUMPRODUCT(--($AK$2:$AK$4001&lt;$AK267))+1,"")</f>
        <v/>
      </c>
      <c r="AJ267" s="18" t="str">
        <f aca="false">IF($D267="","",IF(OR($R267=TRUE(),$R267="TRUE"),1,0))</f>
        <v/>
      </c>
      <c r="AK267" s="18" t="str">
        <f aca="false">IF($AH267=1,IFERROR(VALUE(MID($D267,2,20)),1000000000)+ROW()/10000000,"")</f>
        <v/>
      </c>
    </row>
    <row r="268" customFormat="false" ht="15" hidden="false" customHeight="false" outlineLevel="0" collapsed="false">
      <c r="F268" s="15"/>
      <c r="N268" s="16" t="str">
        <f aca="false">IF($D268="","",M268*Y268/100)</f>
        <v/>
      </c>
      <c r="V268" s="16" t="str">
        <f aca="false">IF($D268="","",Y268*AB268/100)</f>
        <v/>
      </c>
      <c r="W268" s="16" t="str">
        <f aca="false">IF($D268="","",Y268-V268)</f>
        <v/>
      </c>
      <c r="X268" s="16" t="str">
        <f aca="false">IF($D268="","",W268-N268)</f>
        <v/>
      </c>
      <c r="AB268" s="17" t="str">
        <f aca="false">IF($D268="","",IF(OR($R268=TRUE(),$R268="TRUE"),Settings!$C$6,Settings!$C$7)*100)</f>
        <v/>
      </c>
      <c r="AH268" s="18" t="str">
        <f aca="false">IF($D268="","",IF(COUNTIF($D$2:$D268,$D268)=1,1,0))</f>
        <v/>
      </c>
      <c r="AI268" s="18" t="str">
        <f aca="false">IF($AH268=1,SUMPRODUCT(--($AK$2:$AK$4001&lt;$AK268))+1,"")</f>
        <v/>
      </c>
      <c r="AJ268" s="18" t="str">
        <f aca="false">IF($D268="","",IF(OR($R268=TRUE(),$R268="TRUE"),1,0))</f>
        <v/>
      </c>
      <c r="AK268" s="18" t="str">
        <f aca="false">IF($AH268=1,IFERROR(VALUE(MID($D268,2,20)),1000000000)+ROW()/10000000,"")</f>
        <v/>
      </c>
    </row>
    <row r="269" customFormat="false" ht="15" hidden="false" customHeight="false" outlineLevel="0" collapsed="false">
      <c r="F269" s="15"/>
      <c r="N269" s="16" t="str">
        <f aca="false">IF($D269="","",M269*Y269/100)</f>
        <v/>
      </c>
      <c r="V269" s="16" t="str">
        <f aca="false">IF($D269="","",Y269*AB269/100)</f>
        <v/>
      </c>
      <c r="W269" s="16" t="str">
        <f aca="false">IF($D269="","",Y269-V269)</f>
        <v/>
      </c>
      <c r="X269" s="16" t="str">
        <f aca="false">IF($D269="","",W269-N269)</f>
        <v/>
      </c>
      <c r="AB269" s="17" t="str">
        <f aca="false">IF($D269="","",IF(OR($R269=TRUE(),$R269="TRUE"),Settings!$C$6,Settings!$C$7)*100)</f>
        <v/>
      </c>
      <c r="AH269" s="18" t="str">
        <f aca="false">IF($D269="","",IF(COUNTIF($D$2:$D269,$D269)=1,1,0))</f>
        <v/>
      </c>
      <c r="AI269" s="18" t="str">
        <f aca="false">IF($AH269=1,SUMPRODUCT(--($AK$2:$AK$4001&lt;$AK269))+1,"")</f>
        <v/>
      </c>
      <c r="AJ269" s="18" t="str">
        <f aca="false">IF($D269="","",IF(OR($R269=TRUE(),$R269="TRUE"),1,0))</f>
        <v/>
      </c>
      <c r="AK269" s="18" t="str">
        <f aca="false">IF($AH269=1,IFERROR(VALUE(MID($D269,2,20)),1000000000)+ROW()/10000000,"")</f>
        <v/>
      </c>
    </row>
    <row r="270" customFormat="false" ht="15" hidden="false" customHeight="false" outlineLevel="0" collapsed="false">
      <c r="F270" s="15"/>
      <c r="N270" s="16" t="str">
        <f aca="false">IF($D270="","",M270*Y270/100)</f>
        <v/>
      </c>
      <c r="V270" s="16" t="str">
        <f aca="false">IF($D270="","",Y270*AB270/100)</f>
        <v/>
      </c>
      <c r="W270" s="16" t="str">
        <f aca="false">IF($D270="","",Y270-V270)</f>
        <v/>
      </c>
      <c r="X270" s="16" t="str">
        <f aca="false">IF($D270="","",W270-N270)</f>
        <v/>
      </c>
      <c r="AB270" s="17" t="str">
        <f aca="false">IF($D270="","",IF(OR($R270=TRUE(),$R270="TRUE"),Settings!$C$6,Settings!$C$7)*100)</f>
        <v/>
      </c>
      <c r="AH270" s="18" t="str">
        <f aca="false">IF($D270="","",IF(COUNTIF($D$2:$D270,$D270)=1,1,0))</f>
        <v/>
      </c>
      <c r="AI270" s="18" t="str">
        <f aca="false">IF($AH270=1,SUMPRODUCT(--($AK$2:$AK$4001&lt;$AK270))+1,"")</f>
        <v/>
      </c>
      <c r="AJ270" s="18" t="str">
        <f aca="false">IF($D270="","",IF(OR($R270=TRUE(),$R270="TRUE"),1,0))</f>
        <v/>
      </c>
      <c r="AK270" s="18" t="str">
        <f aca="false">IF($AH270=1,IFERROR(VALUE(MID($D270,2,20)),1000000000)+ROW()/10000000,"")</f>
        <v/>
      </c>
    </row>
    <row r="271" customFormat="false" ht="15" hidden="false" customHeight="false" outlineLevel="0" collapsed="false">
      <c r="F271" s="15"/>
      <c r="N271" s="16" t="str">
        <f aca="false">IF($D271="","",M271*Y271/100)</f>
        <v/>
      </c>
      <c r="V271" s="16" t="str">
        <f aca="false">IF($D271="","",Y271*AB271/100)</f>
        <v/>
      </c>
      <c r="W271" s="16" t="str">
        <f aca="false">IF($D271="","",Y271-V271)</f>
        <v/>
      </c>
      <c r="X271" s="16" t="str">
        <f aca="false">IF($D271="","",W271-N271)</f>
        <v/>
      </c>
      <c r="AB271" s="17" t="str">
        <f aca="false">IF($D271="","",IF(OR($R271=TRUE(),$R271="TRUE"),Settings!$C$6,Settings!$C$7)*100)</f>
        <v/>
      </c>
      <c r="AH271" s="18" t="str">
        <f aca="false">IF($D271="","",IF(COUNTIF($D$2:$D271,$D271)=1,1,0))</f>
        <v/>
      </c>
      <c r="AI271" s="18" t="str">
        <f aca="false">IF($AH271=1,SUMPRODUCT(--($AK$2:$AK$4001&lt;$AK271))+1,"")</f>
        <v/>
      </c>
      <c r="AJ271" s="18" t="str">
        <f aca="false">IF($D271="","",IF(OR($R271=TRUE(),$R271="TRUE"),1,0))</f>
        <v/>
      </c>
      <c r="AK271" s="18" t="str">
        <f aca="false">IF($AH271=1,IFERROR(VALUE(MID($D271,2,20)),1000000000)+ROW()/10000000,"")</f>
        <v/>
      </c>
    </row>
    <row r="272" customFormat="false" ht="15" hidden="false" customHeight="false" outlineLevel="0" collapsed="false">
      <c r="F272" s="15"/>
      <c r="N272" s="16" t="str">
        <f aca="false">IF($D272="","",M272*Y272/100)</f>
        <v/>
      </c>
      <c r="V272" s="16" t="str">
        <f aca="false">IF($D272="","",Y272*AB272/100)</f>
        <v/>
      </c>
      <c r="W272" s="16" t="str">
        <f aca="false">IF($D272="","",Y272-V272)</f>
        <v/>
      </c>
      <c r="X272" s="16" t="str">
        <f aca="false">IF($D272="","",W272-N272)</f>
        <v/>
      </c>
      <c r="AB272" s="17" t="str">
        <f aca="false">IF($D272="","",IF(OR($R272=TRUE(),$R272="TRUE"),Settings!$C$6,Settings!$C$7)*100)</f>
        <v/>
      </c>
      <c r="AH272" s="18" t="str">
        <f aca="false">IF($D272="","",IF(COUNTIF($D$2:$D272,$D272)=1,1,0))</f>
        <v/>
      </c>
      <c r="AI272" s="18" t="str">
        <f aca="false">IF($AH272=1,SUMPRODUCT(--($AK$2:$AK$4001&lt;$AK272))+1,"")</f>
        <v/>
      </c>
      <c r="AJ272" s="18" t="str">
        <f aca="false">IF($D272="","",IF(OR($R272=TRUE(),$R272="TRUE"),1,0))</f>
        <v/>
      </c>
      <c r="AK272" s="18" t="str">
        <f aca="false">IF($AH272=1,IFERROR(VALUE(MID($D272,2,20)),1000000000)+ROW()/10000000,"")</f>
        <v/>
      </c>
    </row>
    <row r="273" customFormat="false" ht="15" hidden="false" customHeight="false" outlineLevel="0" collapsed="false">
      <c r="F273" s="15"/>
      <c r="N273" s="16" t="str">
        <f aca="false">IF($D273="","",M273*Y273/100)</f>
        <v/>
      </c>
      <c r="V273" s="16" t="str">
        <f aca="false">IF($D273="","",Y273*AB273/100)</f>
        <v/>
      </c>
      <c r="W273" s="16" t="str">
        <f aca="false">IF($D273="","",Y273-V273)</f>
        <v/>
      </c>
      <c r="X273" s="16" t="str">
        <f aca="false">IF($D273="","",W273-N273)</f>
        <v/>
      </c>
      <c r="AB273" s="17" t="str">
        <f aca="false">IF($D273="","",IF(OR($R273=TRUE(),$R273="TRUE"),Settings!$C$6,Settings!$C$7)*100)</f>
        <v/>
      </c>
      <c r="AH273" s="18" t="str">
        <f aca="false">IF($D273="","",IF(COUNTIF($D$2:$D273,$D273)=1,1,0))</f>
        <v/>
      </c>
      <c r="AI273" s="18" t="str">
        <f aca="false">IF($AH273=1,SUMPRODUCT(--($AK$2:$AK$4001&lt;$AK273))+1,"")</f>
        <v/>
      </c>
      <c r="AJ273" s="18" t="str">
        <f aca="false">IF($D273="","",IF(OR($R273=TRUE(),$R273="TRUE"),1,0))</f>
        <v/>
      </c>
      <c r="AK273" s="18" t="str">
        <f aca="false">IF($AH273=1,IFERROR(VALUE(MID($D273,2,20)),1000000000)+ROW()/10000000,"")</f>
        <v/>
      </c>
    </row>
    <row r="274" customFormat="false" ht="15" hidden="false" customHeight="false" outlineLevel="0" collapsed="false">
      <c r="F274" s="15"/>
      <c r="N274" s="16" t="str">
        <f aca="false">IF($D274="","",M274*Y274/100)</f>
        <v/>
      </c>
      <c r="V274" s="16" t="str">
        <f aca="false">IF($D274="","",Y274*AB274/100)</f>
        <v/>
      </c>
      <c r="W274" s="16" t="str">
        <f aca="false">IF($D274="","",Y274-V274)</f>
        <v/>
      </c>
      <c r="X274" s="16" t="str">
        <f aca="false">IF($D274="","",W274-N274)</f>
        <v/>
      </c>
      <c r="AB274" s="17" t="str">
        <f aca="false">IF($D274="","",IF(OR($R274=TRUE(),$R274="TRUE"),Settings!$C$6,Settings!$C$7)*100)</f>
        <v/>
      </c>
      <c r="AH274" s="18" t="str">
        <f aca="false">IF($D274="","",IF(COUNTIF($D$2:$D274,$D274)=1,1,0))</f>
        <v/>
      </c>
      <c r="AI274" s="18" t="str">
        <f aca="false">IF($AH274=1,SUMPRODUCT(--($AK$2:$AK$4001&lt;$AK274))+1,"")</f>
        <v/>
      </c>
      <c r="AJ274" s="18" t="str">
        <f aca="false">IF($D274="","",IF(OR($R274=TRUE(),$R274="TRUE"),1,0))</f>
        <v/>
      </c>
      <c r="AK274" s="18" t="str">
        <f aca="false">IF($AH274=1,IFERROR(VALUE(MID($D274,2,20)),1000000000)+ROW()/10000000,"")</f>
        <v/>
      </c>
    </row>
    <row r="275" customFormat="false" ht="15" hidden="false" customHeight="false" outlineLevel="0" collapsed="false">
      <c r="F275" s="15"/>
      <c r="N275" s="16" t="str">
        <f aca="false">IF($D275="","",M275*Y275/100)</f>
        <v/>
      </c>
      <c r="V275" s="16" t="str">
        <f aca="false">IF($D275="","",Y275*AB275/100)</f>
        <v/>
      </c>
      <c r="W275" s="16" t="str">
        <f aca="false">IF($D275="","",Y275-V275)</f>
        <v/>
      </c>
      <c r="X275" s="16" t="str">
        <f aca="false">IF($D275="","",W275-N275)</f>
        <v/>
      </c>
      <c r="AB275" s="17" t="str">
        <f aca="false">IF($D275="","",IF(OR($R275=TRUE(),$R275="TRUE"),Settings!$C$6,Settings!$C$7)*100)</f>
        <v/>
      </c>
      <c r="AH275" s="18" t="str">
        <f aca="false">IF($D275="","",IF(COUNTIF($D$2:$D275,$D275)=1,1,0))</f>
        <v/>
      </c>
      <c r="AI275" s="18" t="str">
        <f aca="false">IF($AH275=1,SUMPRODUCT(--($AK$2:$AK$4001&lt;$AK275))+1,"")</f>
        <v/>
      </c>
      <c r="AJ275" s="18" t="str">
        <f aca="false">IF($D275="","",IF(OR($R275=TRUE(),$R275="TRUE"),1,0))</f>
        <v/>
      </c>
      <c r="AK275" s="18" t="str">
        <f aca="false">IF($AH275=1,IFERROR(VALUE(MID($D275,2,20)),1000000000)+ROW()/10000000,"")</f>
        <v/>
      </c>
    </row>
    <row r="276" customFormat="false" ht="15" hidden="false" customHeight="false" outlineLevel="0" collapsed="false">
      <c r="F276" s="15"/>
      <c r="N276" s="16" t="str">
        <f aca="false">IF($D276="","",M276*Y276/100)</f>
        <v/>
      </c>
      <c r="V276" s="16" t="str">
        <f aca="false">IF($D276="","",Y276*AB276/100)</f>
        <v/>
      </c>
      <c r="W276" s="16" t="str">
        <f aca="false">IF($D276="","",Y276-V276)</f>
        <v/>
      </c>
      <c r="X276" s="16" t="str">
        <f aca="false">IF($D276="","",W276-N276)</f>
        <v/>
      </c>
      <c r="AB276" s="17" t="str">
        <f aca="false">IF($D276="","",IF(OR($R276=TRUE(),$R276="TRUE"),Settings!$C$6,Settings!$C$7)*100)</f>
        <v/>
      </c>
      <c r="AH276" s="18" t="str">
        <f aca="false">IF($D276="","",IF(COUNTIF($D$2:$D276,$D276)=1,1,0))</f>
        <v/>
      </c>
      <c r="AI276" s="18" t="str">
        <f aca="false">IF($AH276=1,SUMPRODUCT(--($AK$2:$AK$4001&lt;$AK276))+1,"")</f>
        <v/>
      </c>
      <c r="AJ276" s="18" t="str">
        <f aca="false">IF($D276="","",IF(OR($R276=TRUE(),$R276="TRUE"),1,0))</f>
        <v/>
      </c>
      <c r="AK276" s="18" t="str">
        <f aca="false">IF($AH276=1,IFERROR(VALUE(MID($D276,2,20)),1000000000)+ROW()/10000000,"")</f>
        <v/>
      </c>
    </row>
    <row r="277" customFormat="false" ht="15" hidden="false" customHeight="false" outlineLevel="0" collapsed="false">
      <c r="F277" s="15"/>
      <c r="N277" s="16" t="str">
        <f aca="false">IF($D277="","",M277*Y277/100)</f>
        <v/>
      </c>
      <c r="V277" s="16" t="str">
        <f aca="false">IF($D277="","",Y277*AB277/100)</f>
        <v/>
      </c>
      <c r="W277" s="16" t="str">
        <f aca="false">IF($D277="","",Y277-V277)</f>
        <v/>
      </c>
      <c r="X277" s="16" t="str">
        <f aca="false">IF($D277="","",W277-N277)</f>
        <v/>
      </c>
      <c r="AB277" s="17" t="str">
        <f aca="false">IF($D277="","",IF(OR($R277=TRUE(),$R277="TRUE"),Settings!$C$6,Settings!$C$7)*100)</f>
        <v/>
      </c>
      <c r="AH277" s="18" t="str">
        <f aca="false">IF($D277="","",IF(COUNTIF($D$2:$D277,$D277)=1,1,0))</f>
        <v/>
      </c>
      <c r="AI277" s="18" t="str">
        <f aca="false">IF($AH277=1,SUMPRODUCT(--($AK$2:$AK$4001&lt;$AK277))+1,"")</f>
        <v/>
      </c>
      <c r="AJ277" s="18" t="str">
        <f aca="false">IF($D277="","",IF(OR($R277=TRUE(),$R277="TRUE"),1,0))</f>
        <v/>
      </c>
      <c r="AK277" s="18" t="str">
        <f aca="false">IF($AH277=1,IFERROR(VALUE(MID($D277,2,20)),1000000000)+ROW()/10000000,"")</f>
        <v/>
      </c>
    </row>
    <row r="278" customFormat="false" ht="15" hidden="false" customHeight="false" outlineLevel="0" collapsed="false">
      <c r="F278" s="15"/>
      <c r="N278" s="16" t="str">
        <f aca="false">IF($D278="","",M278*Y278/100)</f>
        <v/>
      </c>
      <c r="V278" s="16" t="str">
        <f aca="false">IF($D278="","",Y278*AB278/100)</f>
        <v/>
      </c>
      <c r="W278" s="16" t="str">
        <f aca="false">IF($D278="","",Y278-V278)</f>
        <v/>
      </c>
      <c r="X278" s="16" t="str">
        <f aca="false">IF($D278="","",W278-N278)</f>
        <v/>
      </c>
      <c r="AB278" s="17" t="str">
        <f aca="false">IF($D278="","",IF(OR($R278=TRUE(),$R278="TRUE"),Settings!$C$6,Settings!$C$7)*100)</f>
        <v/>
      </c>
      <c r="AH278" s="18" t="str">
        <f aca="false">IF($D278="","",IF(COUNTIF($D$2:$D278,$D278)=1,1,0))</f>
        <v/>
      </c>
      <c r="AI278" s="18" t="str">
        <f aca="false">IF($AH278=1,SUMPRODUCT(--($AK$2:$AK$4001&lt;$AK278))+1,"")</f>
        <v/>
      </c>
      <c r="AJ278" s="18" t="str">
        <f aca="false">IF($D278="","",IF(OR($R278=TRUE(),$R278="TRUE"),1,0))</f>
        <v/>
      </c>
      <c r="AK278" s="18" t="str">
        <f aca="false">IF($AH278=1,IFERROR(VALUE(MID($D278,2,20)),1000000000)+ROW()/10000000,"")</f>
        <v/>
      </c>
    </row>
    <row r="279" customFormat="false" ht="15" hidden="false" customHeight="false" outlineLevel="0" collapsed="false">
      <c r="F279" s="15"/>
      <c r="N279" s="16" t="str">
        <f aca="false">IF($D279="","",M279*Y279/100)</f>
        <v/>
      </c>
      <c r="V279" s="16" t="str">
        <f aca="false">IF($D279="","",Y279*AB279/100)</f>
        <v/>
      </c>
      <c r="W279" s="16" t="str">
        <f aca="false">IF($D279="","",Y279-V279)</f>
        <v/>
      </c>
      <c r="X279" s="16" t="str">
        <f aca="false">IF($D279="","",W279-N279)</f>
        <v/>
      </c>
      <c r="AB279" s="17" t="str">
        <f aca="false">IF($D279="","",IF(OR($R279=TRUE(),$R279="TRUE"),Settings!$C$6,Settings!$C$7)*100)</f>
        <v/>
      </c>
      <c r="AH279" s="18" t="str">
        <f aca="false">IF($D279="","",IF(COUNTIF($D$2:$D279,$D279)=1,1,0))</f>
        <v/>
      </c>
      <c r="AI279" s="18" t="str">
        <f aca="false">IF($AH279=1,SUMPRODUCT(--($AK$2:$AK$4001&lt;$AK279))+1,"")</f>
        <v/>
      </c>
      <c r="AJ279" s="18" t="str">
        <f aca="false">IF($D279="","",IF(OR($R279=TRUE(),$R279="TRUE"),1,0))</f>
        <v/>
      </c>
      <c r="AK279" s="18" t="str">
        <f aca="false">IF($AH279=1,IFERROR(VALUE(MID($D279,2,20)),1000000000)+ROW()/10000000,"")</f>
        <v/>
      </c>
    </row>
    <row r="280" customFormat="false" ht="15" hidden="false" customHeight="false" outlineLevel="0" collapsed="false">
      <c r="F280" s="15"/>
      <c r="N280" s="16" t="str">
        <f aca="false">IF($D280="","",M280*Y280/100)</f>
        <v/>
      </c>
      <c r="V280" s="16" t="str">
        <f aca="false">IF($D280="","",Y280*AB280/100)</f>
        <v/>
      </c>
      <c r="W280" s="16" t="str">
        <f aca="false">IF($D280="","",Y280-V280)</f>
        <v/>
      </c>
      <c r="X280" s="16" t="str">
        <f aca="false">IF($D280="","",W280-N280)</f>
        <v/>
      </c>
      <c r="AB280" s="17" t="str">
        <f aca="false">IF($D280="","",IF(OR($R280=TRUE(),$R280="TRUE"),Settings!$C$6,Settings!$C$7)*100)</f>
        <v/>
      </c>
      <c r="AH280" s="18" t="str">
        <f aca="false">IF($D280="","",IF(COUNTIF($D$2:$D280,$D280)=1,1,0))</f>
        <v/>
      </c>
      <c r="AI280" s="18" t="str">
        <f aca="false">IF($AH280=1,SUMPRODUCT(--($AK$2:$AK$4001&lt;$AK280))+1,"")</f>
        <v/>
      </c>
      <c r="AJ280" s="18" t="str">
        <f aca="false">IF($D280="","",IF(OR($R280=TRUE(),$R280="TRUE"),1,0))</f>
        <v/>
      </c>
      <c r="AK280" s="18" t="str">
        <f aca="false">IF($AH280=1,IFERROR(VALUE(MID($D280,2,20)),1000000000)+ROW()/10000000,"")</f>
        <v/>
      </c>
    </row>
    <row r="281" customFormat="false" ht="15" hidden="false" customHeight="false" outlineLevel="0" collapsed="false">
      <c r="F281" s="15"/>
      <c r="N281" s="16" t="str">
        <f aca="false">IF($D281="","",M281*Y281/100)</f>
        <v/>
      </c>
      <c r="V281" s="16" t="str">
        <f aca="false">IF($D281="","",Y281*AB281/100)</f>
        <v/>
      </c>
      <c r="W281" s="16" t="str">
        <f aca="false">IF($D281="","",Y281-V281)</f>
        <v/>
      </c>
      <c r="X281" s="16" t="str">
        <f aca="false">IF($D281="","",W281-N281)</f>
        <v/>
      </c>
      <c r="AB281" s="17" t="str">
        <f aca="false">IF($D281="","",IF(OR($R281=TRUE(),$R281="TRUE"),Settings!$C$6,Settings!$C$7)*100)</f>
        <v/>
      </c>
      <c r="AH281" s="18" t="str">
        <f aca="false">IF($D281="","",IF(COUNTIF($D$2:$D281,$D281)=1,1,0))</f>
        <v/>
      </c>
      <c r="AI281" s="18" t="str">
        <f aca="false">IF($AH281=1,SUMPRODUCT(--($AK$2:$AK$4001&lt;$AK281))+1,"")</f>
        <v/>
      </c>
      <c r="AJ281" s="18" t="str">
        <f aca="false">IF($D281="","",IF(OR($R281=TRUE(),$R281="TRUE"),1,0))</f>
        <v/>
      </c>
      <c r="AK281" s="18" t="str">
        <f aca="false">IF($AH281=1,IFERROR(VALUE(MID($D281,2,20)),1000000000)+ROW()/10000000,"")</f>
        <v/>
      </c>
    </row>
    <row r="282" customFormat="false" ht="15" hidden="false" customHeight="false" outlineLevel="0" collapsed="false">
      <c r="F282" s="15"/>
      <c r="N282" s="16" t="str">
        <f aca="false">IF($D282="","",M282*Y282/100)</f>
        <v/>
      </c>
      <c r="V282" s="16" t="str">
        <f aca="false">IF($D282="","",Y282*AB282/100)</f>
        <v/>
      </c>
      <c r="W282" s="16" t="str">
        <f aca="false">IF($D282="","",Y282-V282)</f>
        <v/>
      </c>
      <c r="X282" s="16" t="str">
        <f aca="false">IF($D282="","",W282-N282)</f>
        <v/>
      </c>
      <c r="AB282" s="17" t="str">
        <f aca="false">IF($D282="","",IF(OR($R282=TRUE(),$R282="TRUE"),Settings!$C$6,Settings!$C$7)*100)</f>
        <v/>
      </c>
      <c r="AH282" s="18" t="str">
        <f aca="false">IF($D282="","",IF(COUNTIF($D$2:$D282,$D282)=1,1,0))</f>
        <v/>
      </c>
      <c r="AI282" s="18" t="str">
        <f aca="false">IF($AH282=1,SUMPRODUCT(--($AK$2:$AK$4001&lt;$AK282))+1,"")</f>
        <v/>
      </c>
      <c r="AJ282" s="18" t="str">
        <f aca="false">IF($D282="","",IF(OR($R282=TRUE(),$R282="TRUE"),1,0))</f>
        <v/>
      </c>
      <c r="AK282" s="18" t="str">
        <f aca="false">IF($AH282=1,IFERROR(VALUE(MID($D282,2,20)),1000000000)+ROW()/10000000,"")</f>
        <v/>
      </c>
    </row>
    <row r="283" customFormat="false" ht="15" hidden="false" customHeight="false" outlineLevel="0" collapsed="false">
      <c r="F283" s="15"/>
      <c r="N283" s="16" t="str">
        <f aca="false">IF($D283="","",M283*Y283/100)</f>
        <v/>
      </c>
      <c r="V283" s="16" t="str">
        <f aca="false">IF($D283="","",Y283*AB283/100)</f>
        <v/>
      </c>
      <c r="W283" s="16" t="str">
        <f aca="false">IF($D283="","",Y283-V283)</f>
        <v/>
      </c>
      <c r="X283" s="16" t="str">
        <f aca="false">IF($D283="","",W283-N283)</f>
        <v/>
      </c>
      <c r="AB283" s="17" t="str">
        <f aca="false">IF($D283="","",IF(OR($R283=TRUE(),$R283="TRUE"),Settings!$C$6,Settings!$C$7)*100)</f>
        <v/>
      </c>
      <c r="AH283" s="18" t="str">
        <f aca="false">IF($D283="","",IF(COUNTIF($D$2:$D283,$D283)=1,1,0))</f>
        <v/>
      </c>
      <c r="AI283" s="18" t="str">
        <f aca="false">IF($AH283=1,SUMPRODUCT(--($AK$2:$AK$4001&lt;$AK283))+1,"")</f>
        <v/>
      </c>
      <c r="AJ283" s="18" t="str">
        <f aca="false">IF($D283="","",IF(OR($R283=TRUE(),$R283="TRUE"),1,0))</f>
        <v/>
      </c>
      <c r="AK283" s="18" t="str">
        <f aca="false">IF($AH283=1,IFERROR(VALUE(MID($D283,2,20)),1000000000)+ROW()/10000000,"")</f>
        <v/>
      </c>
    </row>
    <row r="284" customFormat="false" ht="15" hidden="false" customHeight="false" outlineLevel="0" collapsed="false">
      <c r="F284" s="15"/>
      <c r="N284" s="16" t="str">
        <f aca="false">IF($D284="","",M284*Y284/100)</f>
        <v/>
      </c>
      <c r="V284" s="16" t="str">
        <f aca="false">IF($D284="","",Y284*AB284/100)</f>
        <v/>
      </c>
      <c r="W284" s="16" t="str">
        <f aca="false">IF($D284="","",Y284-V284)</f>
        <v/>
      </c>
      <c r="X284" s="16" t="str">
        <f aca="false">IF($D284="","",W284-N284)</f>
        <v/>
      </c>
      <c r="AB284" s="17" t="str">
        <f aca="false">IF($D284="","",IF(OR($R284=TRUE(),$R284="TRUE"),Settings!$C$6,Settings!$C$7)*100)</f>
        <v/>
      </c>
      <c r="AH284" s="18" t="str">
        <f aca="false">IF($D284="","",IF(COUNTIF($D$2:$D284,$D284)=1,1,0))</f>
        <v/>
      </c>
      <c r="AI284" s="18" t="str">
        <f aca="false">IF($AH284=1,SUMPRODUCT(--($AK$2:$AK$4001&lt;$AK284))+1,"")</f>
        <v/>
      </c>
      <c r="AJ284" s="18" t="str">
        <f aca="false">IF($D284="","",IF(OR($R284=TRUE(),$R284="TRUE"),1,0))</f>
        <v/>
      </c>
      <c r="AK284" s="18" t="str">
        <f aca="false">IF($AH284=1,IFERROR(VALUE(MID($D284,2,20)),1000000000)+ROW()/10000000,"")</f>
        <v/>
      </c>
    </row>
    <row r="285" customFormat="false" ht="15" hidden="false" customHeight="false" outlineLevel="0" collapsed="false">
      <c r="F285" s="15"/>
      <c r="N285" s="16" t="str">
        <f aca="false">IF($D285="","",M285*Y285/100)</f>
        <v/>
      </c>
      <c r="V285" s="16" t="str">
        <f aca="false">IF($D285="","",Y285*AB285/100)</f>
        <v/>
      </c>
      <c r="W285" s="16" t="str">
        <f aca="false">IF($D285="","",Y285-V285)</f>
        <v/>
      </c>
      <c r="X285" s="16" t="str">
        <f aca="false">IF($D285="","",W285-N285)</f>
        <v/>
      </c>
      <c r="AB285" s="17" t="str">
        <f aca="false">IF($D285="","",IF(OR($R285=TRUE(),$R285="TRUE"),Settings!$C$6,Settings!$C$7)*100)</f>
        <v/>
      </c>
      <c r="AH285" s="18" t="str">
        <f aca="false">IF($D285="","",IF(COUNTIF($D$2:$D285,$D285)=1,1,0))</f>
        <v/>
      </c>
      <c r="AI285" s="18" t="str">
        <f aca="false">IF($AH285=1,SUMPRODUCT(--($AK$2:$AK$4001&lt;$AK285))+1,"")</f>
        <v/>
      </c>
      <c r="AJ285" s="18" t="str">
        <f aca="false">IF($D285="","",IF(OR($R285=TRUE(),$R285="TRUE"),1,0))</f>
        <v/>
      </c>
      <c r="AK285" s="18" t="str">
        <f aca="false">IF($AH285=1,IFERROR(VALUE(MID($D285,2,20)),1000000000)+ROW()/10000000,"")</f>
        <v/>
      </c>
    </row>
    <row r="286" customFormat="false" ht="15" hidden="false" customHeight="false" outlineLevel="0" collapsed="false">
      <c r="F286" s="15"/>
      <c r="N286" s="16" t="str">
        <f aca="false">IF($D286="","",M286*Y286/100)</f>
        <v/>
      </c>
      <c r="V286" s="16" t="str">
        <f aca="false">IF($D286="","",Y286*AB286/100)</f>
        <v/>
      </c>
      <c r="W286" s="16" t="str">
        <f aca="false">IF($D286="","",Y286-V286)</f>
        <v/>
      </c>
      <c r="X286" s="16" t="str">
        <f aca="false">IF($D286="","",W286-N286)</f>
        <v/>
      </c>
      <c r="AB286" s="17" t="str">
        <f aca="false">IF($D286="","",IF(OR($R286=TRUE(),$R286="TRUE"),Settings!$C$6,Settings!$C$7)*100)</f>
        <v/>
      </c>
      <c r="AH286" s="18" t="str">
        <f aca="false">IF($D286="","",IF(COUNTIF($D$2:$D286,$D286)=1,1,0))</f>
        <v/>
      </c>
      <c r="AI286" s="18" t="str">
        <f aca="false">IF($AH286=1,SUMPRODUCT(--($AK$2:$AK$4001&lt;$AK286))+1,"")</f>
        <v/>
      </c>
      <c r="AJ286" s="18" t="str">
        <f aca="false">IF($D286="","",IF(OR($R286=TRUE(),$R286="TRUE"),1,0))</f>
        <v/>
      </c>
      <c r="AK286" s="18" t="str">
        <f aca="false">IF($AH286=1,IFERROR(VALUE(MID($D286,2,20)),1000000000)+ROW()/10000000,"")</f>
        <v/>
      </c>
    </row>
    <row r="287" customFormat="false" ht="15" hidden="false" customHeight="false" outlineLevel="0" collapsed="false">
      <c r="F287" s="15"/>
      <c r="N287" s="16" t="str">
        <f aca="false">IF($D287="","",M287*Y287/100)</f>
        <v/>
      </c>
      <c r="V287" s="16" t="str">
        <f aca="false">IF($D287="","",Y287*AB287/100)</f>
        <v/>
      </c>
      <c r="W287" s="16" t="str">
        <f aca="false">IF($D287="","",Y287-V287)</f>
        <v/>
      </c>
      <c r="X287" s="16" t="str">
        <f aca="false">IF($D287="","",W287-N287)</f>
        <v/>
      </c>
      <c r="AB287" s="17" t="str">
        <f aca="false">IF($D287="","",IF(OR($R287=TRUE(),$R287="TRUE"),Settings!$C$6,Settings!$C$7)*100)</f>
        <v/>
      </c>
      <c r="AH287" s="18" t="str">
        <f aca="false">IF($D287="","",IF(COUNTIF($D$2:$D287,$D287)=1,1,0))</f>
        <v/>
      </c>
      <c r="AI287" s="18" t="str">
        <f aca="false">IF($AH287=1,SUMPRODUCT(--($AK$2:$AK$4001&lt;$AK287))+1,"")</f>
        <v/>
      </c>
      <c r="AJ287" s="18" t="str">
        <f aca="false">IF($D287="","",IF(OR($R287=TRUE(),$R287="TRUE"),1,0))</f>
        <v/>
      </c>
      <c r="AK287" s="18" t="str">
        <f aca="false">IF($AH287=1,IFERROR(VALUE(MID($D287,2,20)),1000000000)+ROW()/10000000,"")</f>
        <v/>
      </c>
    </row>
    <row r="288" customFormat="false" ht="15" hidden="false" customHeight="false" outlineLevel="0" collapsed="false">
      <c r="F288" s="15"/>
      <c r="N288" s="16" t="str">
        <f aca="false">IF($D288="","",M288*Y288/100)</f>
        <v/>
      </c>
      <c r="V288" s="16" t="str">
        <f aca="false">IF($D288="","",Y288*AB288/100)</f>
        <v/>
      </c>
      <c r="W288" s="16" t="str">
        <f aca="false">IF($D288="","",Y288-V288)</f>
        <v/>
      </c>
      <c r="X288" s="16" t="str">
        <f aca="false">IF($D288="","",W288-N288)</f>
        <v/>
      </c>
      <c r="AB288" s="17" t="str">
        <f aca="false">IF($D288="","",IF(OR($R288=TRUE(),$R288="TRUE"),Settings!$C$6,Settings!$C$7)*100)</f>
        <v/>
      </c>
      <c r="AH288" s="18" t="str">
        <f aca="false">IF($D288="","",IF(COUNTIF($D$2:$D288,$D288)=1,1,0))</f>
        <v/>
      </c>
      <c r="AI288" s="18" t="str">
        <f aca="false">IF($AH288=1,SUMPRODUCT(--($AK$2:$AK$4001&lt;$AK288))+1,"")</f>
        <v/>
      </c>
      <c r="AJ288" s="18" t="str">
        <f aca="false">IF($D288="","",IF(OR($R288=TRUE(),$R288="TRUE"),1,0))</f>
        <v/>
      </c>
      <c r="AK288" s="18" t="str">
        <f aca="false">IF($AH288=1,IFERROR(VALUE(MID($D288,2,20)),1000000000)+ROW()/10000000,"")</f>
        <v/>
      </c>
    </row>
    <row r="289" customFormat="false" ht="15" hidden="false" customHeight="false" outlineLevel="0" collapsed="false">
      <c r="F289" s="15"/>
      <c r="N289" s="16" t="str">
        <f aca="false">IF($D289="","",M289*Y289/100)</f>
        <v/>
      </c>
      <c r="V289" s="16" t="str">
        <f aca="false">IF($D289="","",Y289*AB289/100)</f>
        <v/>
      </c>
      <c r="W289" s="16" t="str">
        <f aca="false">IF($D289="","",Y289-V289)</f>
        <v/>
      </c>
      <c r="X289" s="16" t="str">
        <f aca="false">IF($D289="","",W289-N289)</f>
        <v/>
      </c>
      <c r="AB289" s="17" t="str">
        <f aca="false">IF($D289="","",IF(OR($R289=TRUE(),$R289="TRUE"),Settings!$C$6,Settings!$C$7)*100)</f>
        <v/>
      </c>
      <c r="AH289" s="18" t="str">
        <f aca="false">IF($D289="","",IF(COUNTIF($D$2:$D289,$D289)=1,1,0))</f>
        <v/>
      </c>
      <c r="AI289" s="18" t="str">
        <f aca="false">IF($AH289=1,SUMPRODUCT(--($AK$2:$AK$4001&lt;$AK289))+1,"")</f>
        <v/>
      </c>
      <c r="AJ289" s="18" t="str">
        <f aca="false">IF($D289="","",IF(OR($R289=TRUE(),$R289="TRUE"),1,0))</f>
        <v/>
      </c>
      <c r="AK289" s="18" t="str">
        <f aca="false">IF($AH289=1,IFERROR(VALUE(MID($D289,2,20)),1000000000)+ROW()/10000000,"")</f>
        <v/>
      </c>
    </row>
    <row r="290" customFormat="false" ht="15" hidden="false" customHeight="false" outlineLevel="0" collapsed="false">
      <c r="F290" s="15"/>
      <c r="N290" s="16" t="str">
        <f aca="false">IF($D290="","",M290*Y290/100)</f>
        <v/>
      </c>
      <c r="V290" s="16" t="str">
        <f aca="false">IF($D290="","",Y290*AB290/100)</f>
        <v/>
      </c>
      <c r="W290" s="16" t="str">
        <f aca="false">IF($D290="","",Y290-V290)</f>
        <v/>
      </c>
      <c r="X290" s="16" t="str">
        <f aca="false">IF($D290="","",W290-N290)</f>
        <v/>
      </c>
      <c r="AB290" s="17" t="str">
        <f aca="false">IF($D290="","",IF(OR($R290=TRUE(),$R290="TRUE"),Settings!$C$6,Settings!$C$7)*100)</f>
        <v/>
      </c>
      <c r="AH290" s="18" t="str">
        <f aca="false">IF($D290="","",IF(COUNTIF($D$2:$D290,$D290)=1,1,0))</f>
        <v/>
      </c>
      <c r="AI290" s="18" t="str">
        <f aca="false">IF($AH290=1,SUMPRODUCT(--($AK$2:$AK$4001&lt;$AK290))+1,"")</f>
        <v/>
      </c>
      <c r="AJ290" s="18" t="str">
        <f aca="false">IF($D290="","",IF(OR($R290=TRUE(),$R290="TRUE"),1,0))</f>
        <v/>
      </c>
      <c r="AK290" s="18" t="str">
        <f aca="false">IF($AH290=1,IFERROR(VALUE(MID($D290,2,20)),1000000000)+ROW()/10000000,"")</f>
        <v/>
      </c>
    </row>
    <row r="291" customFormat="false" ht="15" hidden="false" customHeight="false" outlineLevel="0" collapsed="false">
      <c r="F291" s="15"/>
      <c r="N291" s="16" t="str">
        <f aca="false">IF($D291="","",M291*Y291/100)</f>
        <v/>
      </c>
      <c r="V291" s="16" t="str">
        <f aca="false">IF($D291="","",Y291*AB291/100)</f>
        <v/>
      </c>
      <c r="W291" s="16" t="str">
        <f aca="false">IF($D291="","",Y291-V291)</f>
        <v/>
      </c>
      <c r="X291" s="16" t="str">
        <f aca="false">IF($D291="","",W291-N291)</f>
        <v/>
      </c>
      <c r="AB291" s="17" t="str">
        <f aca="false">IF($D291="","",IF(OR($R291=TRUE(),$R291="TRUE"),Settings!$C$6,Settings!$C$7)*100)</f>
        <v/>
      </c>
      <c r="AH291" s="18" t="str">
        <f aca="false">IF($D291="","",IF(COUNTIF($D$2:$D291,$D291)=1,1,0))</f>
        <v/>
      </c>
      <c r="AI291" s="18" t="str">
        <f aca="false">IF($AH291=1,SUMPRODUCT(--($AK$2:$AK$4001&lt;$AK291))+1,"")</f>
        <v/>
      </c>
      <c r="AJ291" s="18" t="str">
        <f aca="false">IF($D291="","",IF(OR($R291=TRUE(),$R291="TRUE"),1,0))</f>
        <v/>
      </c>
      <c r="AK291" s="18" t="str">
        <f aca="false">IF($AH291=1,IFERROR(VALUE(MID($D291,2,20)),1000000000)+ROW()/10000000,"")</f>
        <v/>
      </c>
    </row>
    <row r="292" customFormat="false" ht="15" hidden="false" customHeight="false" outlineLevel="0" collapsed="false">
      <c r="F292" s="15"/>
      <c r="N292" s="16" t="str">
        <f aca="false">IF($D292="","",M292*Y292/100)</f>
        <v/>
      </c>
      <c r="V292" s="16" t="str">
        <f aca="false">IF($D292="","",Y292*AB292/100)</f>
        <v/>
      </c>
      <c r="W292" s="16" t="str">
        <f aca="false">IF($D292="","",Y292-V292)</f>
        <v/>
      </c>
      <c r="X292" s="16" t="str">
        <f aca="false">IF($D292="","",W292-N292)</f>
        <v/>
      </c>
      <c r="AB292" s="17" t="str">
        <f aca="false">IF($D292="","",IF(OR($R292=TRUE(),$R292="TRUE"),Settings!$C$6,Settings!$C$7)*100)</f>
        <v/>
      </c>
      <c r="AH292" s="18" t="str">
        <f aca="false">IF($D292="","",IF(COUNTIF($D$2:$D292,$D292)=1,1,0))</f>
        <v/>
      </c>
      <c r="AI292" s="18" t="str">
        <f aca="false">IF($AH292=1,SUMPRODUCT(--($AK$2:$AK$4001&lt;$AK292))+1,"")</f>
        <v/>
      </c>
      <c r="AJ292" s="18" t="str">
        <f aca="false">IF($D292="","",IF(OR($R292=TRUE(),$R292="TRUE"),1,0))</f>
        <v/>
      </c>
      <c r="AK292" s="18" t="str">
        <f aca="false">IF($AH292=1,IFERROR(VALUE(MID($D292,2,20)),1000000000)+ROW()/10000000,"")</f>
        <v/>
      </c>
    </row>
    <row r="293" customFormat="false" ht="15" hidden="false" customHeight="false" outlineLevel="0" collapsed="false">
      <c r="F293" s="15"/>
      <c r="N293" s="16" t="str">
        <f aca="false">IF($D293="","",M293*Y293/100)</f>
        <v/>
      </c>
      <c r="V293" s="16" t="str">
        <f aca="false">IF($D293="","",Y293*AB293/100)</f>
        <v/>
      </c>
      <c r="W293" s="16" t="str">
        <f aca="false">IF($D293="","",Y293-V293)</f>
        <v/>
      </c>
      <c r="X293" s="16" t="str">
        <f aca="false">IF($D293="","",W293-N293)</f>
        <v/>
      </c>
      <c r="AB293" s="17" t="str">
        <f aca="false">IF($D293="","",IF(OR($R293=TRUE(),$R293="TRUE"),Settings!$C$6,Settings!$C$7)*100)</f>
        <v/>
      </c>
      <c r="AH293" s="18" t="str">
        <f aca="false">IF($D293="","",IF(COUNTIF($D$2:$D293,$D293)=1,1,0))</f>
        <v/>
      </c>
      <c r="AI293" s="18" t="str">
        <f aca="false">IF($AH293=1,SUMPRODUCT(--($AK$2:$AK$4001&lt;$AK293))+1,"")</f>
        <v/>
      </c>
      <c r="AJ293" s="18" t="str">
        <f aca="false">IF($D293="","",IF(OR($R293=TRUE(),$R293="TRUE"),1,0))</f>
        <v/>
      </c>
      <c r="AK293" s="18" t="str">
        <f aca="false">IF($AH293=1,IFERROR(VALUE(MID($D293,2,20)),1000000000)+ROW()/10000000,"")</f>
        <v/>
      </c>
    </row>
    <row r="294" customFormat="false" ht="15" hidden="false" customHeight="false" outlineLevel="0" collapsed="false">
      <c r="F294" s="15"/>
      <c r="N294" s="16" t="str">
        <f aca="false">IF($D294="","",M294*Y294/100)</f>
        <v/>
      </c>
      <c r="V294" s="16" t="str">
        <f aca="false">IF($D294="","",Y294*AB294/100)</f>
        <v/>
      </c>
      <c r="W294" s="16" t="str">
        <f aca="false">IF($D294="","",Y294-V294)</f>
        <v/>
      </c>
      <c r="X294" s="16" t="str">
        <f aca="false">IF($D294="","",W294-N294)</f>
        <v/>
      </c>
      <c r="AB294" s="17" t="str">
        <f aca="false">IF($D294="","",IF(OR($R294=TRUE(),$R294="TRUE"),Settings!$C$6,Settings!$C$7)*100)</f>
        <v/>
      </c>
      <c r="AH294" s="18" t="str">
        <f aca="false">IF($D294="","",IF(COUNTIF($D$2:$D294,$D294)=1,1,0))</f>
        <v/>
      </c>
      <c r="AI294" s="18" t="str">
        <f aca="false">IF($AH294=1,SUMPRODUCT(--($AK$2:$AK$4001&lt;$AK294))+1,"")</f>
        <v/>
      </c>
      <c r="AJ294" s="18" t="str">
        <f aca="false">IF($D294="","",IF(OR($R294=TRUE(),$R294="TRUE"),1,0))</f>
        <v/>
      </c>
      <c r="AK294" s="18" t="str">
        <f aca="false">IF($AH294=1,IFERROR(VALUE(MID($D294,2,20)),1000000000)+ROW()/10000000,"")</f>
        <v/>
      </c>
    </row>
    <row r="295" customFormat="false" ht="15" hidden="false" customHeight="false" outlineLevel="0" collapsed="false">
      <c r="F295" s="15"/>
      <c r="N295" s="16" t="str">
        <f aca="false">IF($D295="","",M295*Y295/100)</f>
        <v/>
      </c>
      <c r="V295" s="16" t="str">
        <f aca="false">IF($D295="","",Y295*AB295/100)</f>
        <v/>
      </c>
      <c r="W295" s="16" t="str">
        <f aca="false">IF($D295="","",Y295-V295)</f>
        <v/>
      </c>
      <c r="X295" s="16" t="str">
        <f aca="false">IF($D295="","",W295-N295)</f>
        <v/>
      </c>
      <c r="AB295" s="17" t="str">
        <f aca="false">IF($D295="","",IF(OR($R295=TRUE(),$R295="TRUE"),Settings!$C$6,Settings!$C$7)*100)</f>
        <v/>
      </c>
      <c r="AH295" s="18" t="str">
        <f aca="false">IF($D295="","",IF(COUNTIF($D$2:$D295,$D295)=1,1,0))</f>
        <v/>
      </c>
      <c r="AI295" s="18" t="str">
        <f aca="false">IF($AH295=1,SUMPRODUCT(--($AK$2:$AK$4001&lt;$AK295))+1,"")</f>
        <v/>
      </c>
      <c r="AJ295" s="18" t="str">
        <f aca="false">IF($D295="","",IF(OR($R295=TRUE(),$R295="TRUE"),1,0))</f>
        <v/>
      </c>
      <c r="AK295" s="18" t="str">
        <f aca="false">IF($AH295=1,IFERROR(VALUE(MID($D295,2,20)),1000000000)+ROW()/10000000,"")</f>
        <v/>
      </c>
    </row>
    <row r="296" customFormat="false" ht="15" hidden="false" customHeight="false" outlineLevel="0" collapsed="false">
      <c r="F296" s="15"/>
      <c r="N296" s="16" t="str">
        <f aca="false">IF($D296="","",M296*Y296/100)</f>
        <v/>
      </c>
      <c r="V296" s="16" t="str">
        <f aca="false">IF($D296="","",Y296*AB296/100)</f>
        <v/>
      </c>
      <c r="W296" s="16" t="str">
        <f aca="false">IF($D296="","",Y296-V296)</f>
        <v/>
      </c>
      <c r="X296" s="16" t="str">
        <f aca="false">IF($D296="","",W296-N296)</f>
        <v/>
      </c>
      <c r="AB296" s="17" t="str">
        <f aca="false">IF($D296="","",IF(OR($R296=TRUE(),$R296="TRUE"),Settings!$C$6,Settings!$C$7)*100)</f>
        <v/>
      </c>
      <c r="AH296" s="18" t="str">
        <f aca="false">IF($D296="","",IF(COUNTIF($D$2:$D296,$D296)=1,1,0))</f>
        <v/>
      </c>
      <c r="AI296" s="18" t="str">
        <f aca="false">IF($AH296=1,SUMPRODUCT(--($AK$2:$AK$4001&lt;$AK296))+1,"")</f>
        <v/>
      </c>
      <c r="AJ296" s="18" t="str">
        <f aca="false">IF($D296="","",IF(OR($R296=TRUE(),$R296="TRUE"),1,0))</f>
        <v/>
      </c>
      <c r="AK296" s="18" t="str">
        <f aca="false">IF($AH296=1,IFERROR(VALUE(MID($D296,2,20)),1000000000)+ROW()/10000000,"")</f>
        <v/>
      </c>
    </row>
    <row r="297" customFormat="false" ht="15" hidden="false" customHeight="false" outlineLevel="0" collapsed="false">
      <c r="F297" s="15"/>
      <c r="N297" s="16" t="str">
        <f aca="false">IF($D297="","",M297*Y297/100)</f>
        <v/>
      </c>
      <c r="V297" s="16" t="str">
        <f aca="false">IF($D297="","",Y297*AB297/100)</f>
        <v/>
      </c>
      <c r="W297" s="16" t="str">
        <f aca="false">IF($D297="","",Y297-V297)</f>
        <v/>
      </c>
      <c r="X297" s="16" t="str">
        <f aca="false">IF($D297="","",W297-N297)</f>
        <v/>
      </c>
      <c r="AB297" s="17" t="str">
        <f aca="false">IF($D297="","",IF(OR($R297=TRUE(),$R297="TRUE"),Settings!$C$6,Settings!$C$7)*100)</f>
        <v/>
      </c>
      <c r="AH297" s="18" t="str">
        <f aca="false">IF($D297="","",IF(COUNTIF($D$2:$D297,$D297)=1,1,0))</f>
        <v/>
      </c>
      <c r="AI297" s="18" t="str">
        <f aca="false">IF($AH297=1,SUMPRODUCT(--($AK$2:$AK$4001&lt;$AK297))+1,"")</f>
        <v/>
      </c>
      <c r="AJ297" s="18" t="str">
        <f aca="false">IF($D297="","",IF(OR($R297=TRUE(),$R297="TRUE"),1,0))</f>
        <v/>
      </c>
      <c r="AK297" s="18" t="str">
        <f aca="false">IF($AH297=1,IFERROR(VALUE(MID($D297,2,20)),1000000000)+ROW()/10000000,"")</f>
        <v/>
      </c>
    </row>
    <row r="298" customFormat="false" ht="15" hidden="false" customHeight="false" outlineLevel="0" collapsed="false">
      <c r="F298" s="15"/>
      <c r="N298" s="16" t="str">
        <f aca="false">IF($D298="","",M298*Y298/100)</f>
        <v/>
      </c>
      <c r="V298" s="16" t="str">
        <f aca="false">IF($D298="","",Y298*AB298/100)</f>
        <v/>
      </c>
      <c r="W298" s="16" t="str">
        <f aca="false">IF($D298="","",Y298-V298)</f>
        <v/>
      </c>
      <c r="X298" s="16" t="str">
        <f aca="false">IF($D298="","",W298-N298)</f>
        <v/>
      </c>
      <c r="AB298" s="17" t="str">
        <f aca="false">IF($D298="","",IF(OR($R298=TRUE(),$R298="TRUE"),Settings!$C$6,Settings!$C$7)*100)</f>
        <v/>
      </c>
      <c r="AH298" s="18" t="str">
        <f aca="false">IF($D298="","",IF(COUNTIF($D$2:$D298,$D298)=1,1,0))</f>
        <v/>
      </c>
      <c r="AI298" s="18" t="str">
        <f aca="false">IF($AH298=1,SUMPRODUCT(--($AK$2:$AK$4001&lt;$AK298))+1,"")</f>
        <v/>
      </c>
      <c r="AJ298" s="18" t="str">
        <f aca="false">IF($D298="","",IF(OR($R298=TRUE(),$R298="TRUE"),1,0))</f>
        <v/>
      </c>
      <c r="AK298" s="18" t="str">
        <f aca="false">IF($AH298=1,IFERROR(VALUE(MID($D298,2,20)),1000000000)+ROW()/10000000,"")</f>
        <v/>
      </c>
    </row>
    <row r="299" customFormat="false" ht="15" hidden="false" customHeight="false" outlineLevel="0" collapsed="false">
      <c r="F299" s="15"/>
      <c r="N299" s="16" t="str">
        <f aca="false">IF($D299="","",M299*Y299/100)</f>
        <v/>
      </c>
      <c r="V299" s="16" t="str">
        <f aca="false">IF($D299="","",Y299*AB299/100)</f>
        <v/>
      </c>
      <c r="W299" s="16" t="str">
        <f aca="false">IF($D299="","",Y299-V299)</f>
        <v/>
      </c>
      <c r="X299" s="16" t="str">
        <f aca="false">IF($D299="","",W299-N299)</f>
        <v/>
      </c>
      <c r="AB299" s="17" t="str">
        <f aca="false">IF($D299="","",IF(OR($R299=TRUE(),$R299="TRUE"),Settings!$C$6,Settings!$C$7)*100)</f>
        <v/>
      </c>
      <c r="AH299" s="18" t="str">
        <f aca="false">IF($D299="","",IF(COUNTIF($D$2:$D299,$D299)=1,1,0))</f>
        <v/>
      </c>
      <c r="AI299" s="18" t="str">
        <f aca="false">IF($AH299=1,SUMPRODUCT(--($AK$2:$AK$4001&lt;$AK299))+1,"")</f>
        <v/>
      </c>
      <c r="AJ299" s="18" t="str">
        <f aca="false">IF($D299="","",IF(OR($R299=TRUE(),$R299="TRUE"),1,0))</f>
        <v/>
      </c>
      <c r="AK299" s="18" t="str">
        <f aca="false">IF($AH299=1,IFERROR(VALUE(MID($D299,2,20)),1000000000)+ROW()/10000000,"")</f>
        <v/>
      </c>
    </row>
    <row r="300" customFormat="false" ht="15" hidden="false" customHeight="false" outlineLevel="0" collapsed="false">
      <c r="F300" s="15"/>
      <c r="N300" s="16" t="str">
        <f aca="false">IF($D300="","",M300*Y300/100)</f>
        <v/>
      </c>
      <c r="V300" s="16" t="str">
        <f aca="false">IF($D300="","",Y300*AB300/100)</f>
        <v/>
      </c>
      <c r="W300" s="16" t="str">
        <f aca="false">IF($D300="","",Y300-V300)</f>
        <v/>
      </c>
      <c r="X300" s="16" t="str">
        <f aca="false">IF($D300="","",W300-N300)</f>
        <v/>
      </c>
      <c r="AB300" s="17" t="str">
        <f aca="false">IF($D300="","",IF(OR($R300=TRUE(),$R300="TRUE"),Settings!$C$6,Settings!$C$7)*100)</f>
        <v/>
      </c>
      <c r="AH300" s="18" t="str">
        <f aca="false">IF($D300="","",IF(COUNTIF($D$2:$D300,$D300)=1,1,0))</f>
        <v/>
      </c>
      <c r="AI300" s="18" t="str">
        <f aca="false">IF($AH300=1,SUMPRODUCT(--($AK$2:$AK$4001&lt;$AK300))+1,"")</f>
        <v/>
      </c>
      <c r="AJ300" s="18" t="str">
        <f aca="false">IF($D300="","",IF(OR($R300=TRUE(),$R300="TRUE"),1,0))</f>
        <v/>
      </c>
      <c r="AK300" s="18" t="str">
        <f aca="false">IF($AH300=1,IFERROR(VALUE(MID($D300,2,20)),1000000000)+ROW()/10000000,"")</f>
        <v/>
      </c>
    </row>
    <row r="301" customFormat="false" ht="15" hidden="false" customHeight="false" outlineLevel="0" collapsed="false">
      <c r="F301" s="15"/>
      <c r="N301" s="16" t="str">
        <f aca="false">IF($D301="","",M301*Y301/100)</f>
        <v/>
      </c>
      <c r="V301" s="16" t="str">
        <f aca="false">IF($D301="","",Y301*AB301/100)</f>
        <v/>
      </c>
      <c r="W301" s="16" t="str">
        <f aca="false">IF($D301="","",Y301-V301)</f>
        <v/>
      </c>
      <c r="X301" s="16" t="str">
        <f aca="false">IF($D301="","",W301-N301)</f>
        <v/>
      </c>
      <c r="AB301" s="17" t="str">
        <f aca="false">IF($D301="","",IF(OR($R301=TRUE(),$R301="TRUE"),Settings!$C$6,Settings!$C$7)*100)</f>
        <v/>
      </c>
      <c r="AH301" s="18" t="str">
        <f aca="false">IF($D301="","",IF(COUNTIF($D$2:$D301,$D301)=1,1,0))</f>
        <v/>
      </c>
      <c r="AI301" s="18" t="str">
        <f aca="false">IF($AH301=1,SUMPRODUCT(--($AK$2:$AK$4001&lt;$AK301))+1,"")</f>
        <v/>
      </c>
      <c r="AJ301" s="18" t="str">
        <f aca="false">IF($D301="","",IF(OR($R301=TRUE(),$R301="TRUE"),1,0))</f>
        <v/>
      </c>
      <c r="AK301" s="18" t="str">
        <f aca="false">IF($AH301=1,IFERROR(VALUE(MID($D301,2,20)),1000000000)+ROW()/10000000,"")</f>
        <v/>
      </c>
    </row>
    <row r="302" customFormat="false" ht="15" hidden="false" customHeight="false" outlineLevel="0" collapsed="false">
      <c r="F302" s="15"/>
      <c r="N302" s="16" t="str">
        <f aca="false">IF($D302="","",M302*Y302/100)</f>
        <v/>
      </c>
      <c r="V302" s="16" t="str">
        <f aca="false">IF($D302="","",Y302*AB302/100)</f>
        <v/>
      </c>
      <c r="W302" s="16" t="str">
        <f aca="false">IF($D302="","",Y302-V302)</f>
        <v/>
      </c>
      <c r="X302" s="16" t="str">
        <f aca="false">IF($D302="","",W302-N302)</f>
        <v/>
      </c>
      <c r="AB302" s="17" t="str">
        <f aca="false">IF($D302="","",IF(OR($R302=TRUE(),$R302="TRUE"),Settings!$C$6,Settings!$C$7)*100)</f>
        <v/>
      </c>
      <c r="AH302" s="18" t="str">
        <f aca="false">IF($D302="","",IF(COUNTIF($D$2:$D302,$D302)=1,1,0))</f>
        <v/>
      </c>
      <c r="AI302" s="18" t="str">
        <f aca="false">IF($AH302=1,SUMPRODUCT(--($AK$2:$AK$4001&lt;$AK302))+1,"")</f>
        <v/>
      </c>
      <c r="AJ302" s="18" t="str">
        <f aca="false">IF($D302="","",IF(OR($R302=TRUE(),$R302="TRUE"),1,0))</f>
        <v/>
      </c>
      <c r="AK302" s="18" t="str">
        <f aca="false">IF($AH302=1,IFERROR(VALUE(MID($D302,2,20)),1000000000)+ROW()/10000000,"")</f>
        <v/>
      </c>
    </row>
    <row r="303" customFormat="false" ht="15" hidden="false" customHeight="false" outlineLevel="0" collapsed="false">
      <c r="F303" s="15"/>
      <c r="N303" s="16" t="str">
        <f aca="false">IF($D303="","",M303*Y303/100)</f>
        <v/>
      </c>
      <c r="V303" s="16" t="str">
        <f aca="false">IF($D303="","",Y303*AB303/100)</f>
        <v/>
      </c>
      <c r="W303" s="16" t="str">
        <f aca="false">IF($D303="","",Y303-V303)</f>
        <v/>
      </c>
      <c r="X303" s="16" t="str">
        <f aca="false">IF($D303="","",W303-N303)</f>
        <v/>
      </c>
      <c r="AB303" s="17" t="str">
        <f aca="false">IF($D303="","",IF(OR($R303=TRUE(),$R303="TRUE"),Settings!$C$6,Settings!$C$7)*100)</f>
        <v/>
      </c>
      <c r="AH303" s="18" t="str">
        <f aca="false">IF($D303="","",IF(COUNTIF($D$2:$D303,$D303)=1,1,0))</f>
        <v/>
      </c>
      <c r="AI303" s="18" t="str">
        <f aca="false">IF($AH303=1,SUMPRODUCT(--($AK$2:$AK$4001&lt;$AK303))+1,"")</f>
        <v/>
      </c>
      <c r="AJ303" s="18" t="str">
        <f aca="false">IF($D303="","",IF(OR($R303=TRUE(),$R303="TRUE"),1,0))</f>
        <v/>
      </c>
      <c r="AK303" s="18" t="str">
        <f aca="false">IF($AH303=1,IFERROR(VALUE(MID($D303,2,20)),1000000000)+ROW()/10000000,"")</f>
        <v/>
      </c>
    </row>
    <row r="304" customFormat="false" ht="15" hidden="false" customHeight="false" outlineLevel="0" collapsed="false">
      <c r="F304" s="15"/>
      <c r="N304" s="16" t="str">
        <f aca="false">IF($D304="","",M304*Y304/100)</f>
        <v/>
      </c>
      <c r="V304" s="16" t="str">
        <f aca="false">IF($D304="","",Y304*AB304/100)</f>
        <v/>
      </c>
      <c r="W304" s="16" t="str">
        <f aca="false">IF($D304="","",Y304-V304)</f>
        <v/>
      </c>
      <c r="X304" s="16" t="str">
        <f aca="false">IF($D304="","",W304-N304)</f>
        <v/>
      </c>
      <c r="AB304" s="17" t="str">
        <f aca="false">IF($D304="","",IF(OR($R304=TRUE(),$R304="TRUE"),Settings!$C$6,Settings!$C$7)*100)</f>
        <v/>
      </c>
      <c r="AH304" s="18" t="str">
        <f aca="false">IF($D304="","",IF(COUNTIF($D$2:$D304,$D304)=1,1,0))</f>
        <v/>
      </c>
      <c r="AI304" s="18" t="str">
        <f aca="false">IF($AH304=1,SUMPRODUCT(--($AK$2:$AK$4001&lt;$AK304))+1,"")</f>
        <v/>
      </c>
      <c r="AJ304" s="18" t="str">
        <f aca="false">IF($D304="","",IF(OR($R304=TRUE(),$R304="TRUE"),1,0))</f>
        <v/>
      </c>
      <c r="AK304" s="18" t="str">
        <f aca="false">IF($AH304=1,IFERROR(VALUE(MID($D304,2,20)),1000000000)+ROW()/10000000,"")</f>
        <v/>
      </c>
    </row>
    <row r="305" customFormat="false" ht="15" hidden="false" customHeight="false" outlineLevel="0" collapsed="false">
      <c r="F305" s="15"/>
      <c r="N305" s="16" t="str">
        <f aca="false">IF($D305="","",M305*Y305/100)</f>
        <v/>
      </c>
      <c r="V305" s="16" t="str">
        <f aca="false">IF($D305="","",Y305*AB305/100)</f>
        <v/>
      </c>
      <c r="W305" s="16" t="str">
        <f aca="false">IF($D305="","",Y305-V305)</f>
        <v/>
      </c>
      <c r="X305" s="16" t="str">
        <f aca="false">IF($D305="","",W305-N305)</f>
        <v/>
      </c>
      <c r="AB305" s="17" t="str">
        <f aca="false">IF($D305="","",IF(OR($R305=TRUE(),$R305="TRUE"),Settings!$C$6,Settings!$C$7)*100)</f>
        <v/>
      </c>
      <c r="AH305" s="18" t="str">
        <f aca="false">IF($D305="","",IF(COUNTIF($D$2:$D305,$D305)=1,1,0))</f>
        <v/>
      </c>
      <c r="AI305" s="18" t="str">
        <f aca="false">IF($AH305=1,SUMPRODUCT(--($AK$2:$AK$4001&lt;$AK305))+1,"")</f>
        <v/>
      </c>
      <c r="AJ305" s="18" t="str">
        <f aca="false">IF($D305="","",IF(OR($R305=TRUE(),$R305="TRUE"),1,0))</f>
        <v/>
      </c>
      <c r="AK305" s="18" t="str">
        <f aca="false">IF($AH305=1,IFERROR(VALUE(MID($D305,2,20)),1000000000)+ROW()/10000000,"")</f>
        <v/>
      </c>
    </row>
    <row r="306" customFormat="false" ht="15" hidden="false" customHeight="false" outlineLevel="0" collapsed="false">
      <c r="F306" s="15"/>
      <c r="N306" s="16" t="str">
        <f aca="false">IF($D306="","",M306*Y306/100)</f>
        <v/>
      </c>
      <c r="V306" s="16" t="str">
        <f aca="false">IF($D306="","",Y306*AB306/100)</f>
        <v/>
      </c>
      <c r="W306" s="16" t="str">
        <f aca="false">IF($D306="","",Y306-V306)</f>
        <v/>
      </c>
      <c r="X306" s="16" t="str">
        <f aca="false">IF($D306="","",W306-N306)</f>
        <v/>
      </c>
      <c r="AB306" s="17" t="str">
        <f aca="false">IF($D306="","",IF(OR($R306=TRUE(),$R306="TRUE"),Settings!$C$6,Settings!$C$7)*100)</f>
        <v/>
      </c>
      <c r="AH306" s="18" t="str">
        <f aca="false">IF($D306="","",IF(COUNTIF($D$2:$D306,$D306)=1,1,0))</f>
        <v/>
      </c>
      <c r="AI306" s="18" t="str">
        <f aca="false">IF($AH306=1,SUMPRODUCT(--($AK$2:$AK$4001&lt;$AK306))+1,"")</f>
        <v/>
      </c>
      <c r="AJ306" s="18" t="str">
        <f aca="false">IF($D306="","",IF(OR($R306=TRUE(),$R306="TRUE"),1,0))</f>
        <v/>
      </c>
      <c r="AK306" s="18" t="str">
        <f aca="false">IF($AH306=1,IFERROR(VALUE(MID($D306,2,20)),1000000000)+ROW()/10000000,"")</f>
        <v/>
      </c>
    </row>
    <row r="307" customFormat="false" ht="15" hidden="false" customHeight="false" outlineLevel="0" collapsed="false">
      <c r="F307" s="15"/>
      <c r="N307" s="16" t="str">
        <f aca="false">IF($D307="","",M307*Y307/100)</f>
        <v/>
      </c>
      <c r="V307" s="16" t="str">
        <f aca="false">IF($D307="","",Y307*AB307/100)</f>
        <v/>
      </c>
      <c r="W307" s="16" t="str">
        <f aca="false">IF($D307="","",Y307-V307)</f>
        <v/>
      </c>
      <c r="X307" s="16" t="str">
        <f aca="false">IF($D307="","",W307-N307)</f>
        <v/>
      </c>
      <c r="AB307" s="17" t="str">
        <f aca="false">IF($D307="","",IF(OR($R307=TRUE(),$R307="TRUE"),Settings!$C$6,Settings!$C$7)*100)</f>
        <v/>
      </c>
      <c r="AH307" s="18" t="str">
        <f aca="false">IF($D307="","",IF(COUNTIF($D$2:$D307,$D307)=1,1,0))</f>
        <v/>
      </c>
      <c r="AI307" s="18" t="str">
        <f aca="false">IF($AH307=1,SUMPRODUCT(--($AK$2:$AK$4001&lt;$AK307))+1,"")</f>
        <v/>
      </c>
      <c r="AJ307" s="18" t="str">
        <f aca="false">IF($D307="","",IF(OR($R307=TRUE(),$R307="TRUE"),1,0))</f>
        <v/>
      </c>
      <c r="AK307" s="18" t="str">
        <f aca="false">IF($AH307=1,IFERROR(VALUE(MID($D307,2,20)),1000000000)+ROW()/10000000,"")</f>
        <v/>
      </c>
    </row>
    <row r="308" customFormat="false" ht="15" hidden="false" customHeight="false" outlineLevel="0" collapsed="false">
      <c r="F308" s="15"/>
      <c r="N308" s="16" t="str">
        <f aca="false">IF($D308="","",M308*Y308/100)</f>
        <v/>
      </c>
      <c r="V308" s="16" t="str">
        <f aca="false">IF($D308="","",Y308*AB308/100)</f>
        <v/>
      </c>
      <c r="W308" s="16" t="str">
        <f aca="false">IF($D308="","",Y308-V308)</f>
        <v/>
      </c>
      <c r="X308" s="16" t="str">
        <f aca="false">IF($D308="","",W308-N308)</f>
        <v/>
      </c>
      <c r="AB308" s="17" t="str">
        <f aca="false">IF($D308="","",IF(OR($R308=TRUE(),$R308="TRUE"),Settings!$C$6,Settings!$C$7)*100)</f>
        <v/>
      </c>
      <c r="AH308" s="18" t="str">
        <f aca="false">IF($D308="","",IF(COUNTIF($D$2:$D308,$D308)=1,1,0))</f>
        <v/>
      </c>
      <c r="AI308" s="18" t="str">
        <f aca="false">IF($AH308=1,SUMPRODUCT(--($AK$2:$AK$4001&lt;$AK308))+1,"")</f>
        <v/>
      </c>
      <c r="AJ308" s="18" t="str">
        <f aca="false">IF($D308="","",IF(OR($R308=TRUE(),$R308="TRUE"),1,0))</f>
        <v/>
      </c>
      <c r="AK308" s="18" t="str">
        <f aca="false">IF($AH308=1,IFERROR(VALUE(MID($D308,2,20)),1000000000)+ROW()/10000000,"")</f>
        <v/>
      </c>
    </row>
    <row r="309" customFormat="false" ht="15" hidden="false" customHeight="false" outlineLevel="0" collapsed="false">
      <c r="F309" s="15"/>
      <c r="N309" s="16" t="str">
        <f aca="false">IF($D309="","",M309*Y309/100)</f>
        <v/>
      </c>
      <c r="V309" s="16" t="str">
        <f aca="false">IF($D309="","",Y309*AB309/100)</f>
        <v/>
      </c>
      <c r="W309" s="16" t="str">
        <f aca="false">IF($D309="","",Y309-V309)</f>
        <v/>
      </c>
      <c r="X309" s="16" t="str">
        <f aca="false">IF($D309="","",W309-N309)</f>
        <v/>
      </c>
      <c r="AB309" s="17" t="str">
        <f aca="false">IF($D309="","",IF(OR($R309=TRUE(),$R309="TRUE"),Settings!$C$6,Settings!$C$7)*100)</f>
        <v/>
      </c>
      <c r="AH309" s="18" t="str">
        <f aca="false">IF($D309="","",IF(COUNTIF($D$2:$D309,$D309)=1,1,0))</f>
        <v/>
      </c>
      <c r="AI309" s="18" t="str">
        <f aca="false">IF($AH309=1,SUMPRODUCT(--($AK$2:$AK$4001&lt;$AK309))+1,"")</f>
        <v/>
      </c>
      <c r="AJ309" s="18" t="str">
        <f aca="false">IF($D309="","",IF(OR($R309=TRUE(),$R309="TRUE"),1,0))</f>
        <v/>
      </c>
      <c r="AK309" s="18" t="str">
        <f aca="false">IF($AH309=1,IFERROR(VALUE(MID($D309,2,20)),1000000000)+ROW()/10000000,"")</f>
        <v/>
      </c>
    </row>
    <row r="310" customFormat="false" ht="15" hidden="false" customHeight="false" outlineLevel="0" collapsed="false">
      <c r="F310" s="15"/>
      <c r="N310" s="16" t="str">
        <f aca="false">IF($D310="","",M310*Y310/100)</f>
        <v/>
      </c>
      <c r="V310" s="16" t="str">
        <f aca="false">IF($D310="","",Y310*AB310/100)</f>
        <v/>
      </c>
      <c r="W310" s="16" t="str">
        <f aca="false">IF($D310="","",Y310-V310)</f>
        <v/>
      </c>
      <c r="X310" s="16" t="str">
        <f aca="false">IF($D310="","",W310-N310)</f>
        <v/>
      </c>
      <c r="AB310" s="17" t="str">
        <f aca="false">IF($D310="","",IF(OR($R310=TRUE(),$R310="TRUE"),Settings!$C$6,Settings!$C$7)*100)</f>
        <v/>
      </c>
      <c r="AH310" s="18" t="str">
        <f aca="false">IF($D310="","",IF(COUNTIF($D$2:$D310,$D310)=1,1,0))</f>
        <v/>
      </c>
      <c r="AI310" s="18" t="str">
        <f aca="false">IF($AH310=1,SUMPRODUCT(--($AK$2:$AK$4001&lt;$AK310))+1,"")</f>
        <v/>
      </c>
      <c r="AJ310" s="18" t="str">
        <f aca="false">IF($D310="","",IF(OR($R310=TRUE(),$R310="TRUE"),1,0))</f>
        <v/>
      </c>
      <c r="AK310" s="18" t="str">
        <f aca="false">IF($AH310=1,IFERROR(VALUE(MID($D310,2,20)),1000000000)+ROW()/10000000,"")</f>
        <v/>
      </c>
    </row>
    <row r="311" customFormat="false" ht="15" hidden="false" customHeight="false" outlineLevel="0" collapsed="false">
      <c r="F311" s="15"/>
      <c r="N311" s="16" t="str">
        <f aca="false">IF($D311="","",M311*Y311/100)</f>
        <v/>
      </c>
      <c r="V311" s="16" t="str">
        <f aca="false">IF($D311="","",Y311*AB311/100)</f>
        <v/>
      </c>
      <c r="W311" s="16" t="str">
        <f aca="false">IF($D311="","",Y311-V311)</f>
        <v/>
      </c>
      <c r="X311" s="16" t="str">
        <f aca="false">IF($D311="","",W311-N311)</f>
        <v/>
      </c>
      <c r="AB311" s="17" t="str">
        <f aca="false">IF($D311="","",IF(OR($R311=TRUE(),$R311="TRUE"),Settings!$C$6,Settings!$C$7)*100)</f>
        <v/>
      </c>
      <c r="AH311" s="18" t="str">
        <f aca="false">IF($D311="","",IF(COUNTIF($D$2:$D311,$D311)=1,1,0))</f>
        <v/>
      </c>
      <c r="AI311" s="18" t="str">
        <f aca="false">IF($AH311=1,SUMPRODUCT(--($AK$2:$AK$4001&lt;$AK311))+1,"")</f>
        <v/>
      </c>
      <c r="AJ311" s="18" t="str">
        <f aca="false">IF($D311="","",IF(OR($R311=TRUE(),$R311="TRUE"),1,0))</f>
        <v/>
      </c>
      <c r="AK311" s="18" t="str">
        <f aca="false">IF($AH311=1,IFERROR(VALUE(MID($D311,2,20)),1000000000)+ROW()/10000000,"")</f>
        <v/>
      </c>
    </row>
    <row r="312" customFormat="false" ht="15" hidden="false" customHeight="false" outlineLevel="0" collapsed="false">
      <c r="F312" s="15"/>
      <c r="N312" s="16" t="str">
        <f aca="false">IF($D312="","",M312*Y312/100)</f>
        <v/>
      </c>
      <c r="V312" s="16" t="str">
        <f aca="false">IF($D312="","",Y312*AB312/100)</f>
        <v/>
      </c>
      <c r="W312" s="16" t="str">
        <f aca="false">IF($D312="","",Y312-V312)</f>
        <v/>
      </c>
      <c r="X312" s="16" t="str">
        <f aca="false">IF($D312="","",W312-N312)</f>
        <v/>
      </c>
      <c r="AB312" s="17" t="str">
        <f aca="false">IF($D312="","",IF(OR($R312=TRUE(),$R312="TRUE"),Settings!$C$6,Settings!$C$7)*100)</f>
        <v/>
      </c>
      <c r="AH312" s="18" t="str">
        <f aca="false">IF($D312="","",IF(COUNTIF($D$2:$D312,$D312)=1,1,0))</f>
        <v/>
      </c>
      <c r="AI312" s="18" t="str">
        <f aca="false">IF($AH312=1,SUMPRODUCT(--($AK$2:$AK$4001&lt;$AK312))+1,"")</f>
        <v/>
      </c>
      <c r="AJ312" s="18" t="str">
        <f aca="false">IF($D312="","",IF(OR($R312=TRUE(),$R312="TRUE"),1,0))</f>
        <v/>
      </c>
      <c r="AK312" s="18" t="str">
        <f aca="false">IF($AH312=1,IFERROR(VALUE(MID($D312,2,20)),1000000000)+ROW()/10000000,"")</f>
        <v/>
      </c>
    </row>
    <row r="313" customFormat="false" ht="15" hidden="false" customHeight="false" outlineLevel="0" collapsed="false">
      <c r="F313" s="15"/>
      <c r="N313" s="16" t="str">
        <f aca="false">IF($D313="","",M313*Y313/100)</f>
        <v/>
      </c>
      <c r="V313" s="16" t="str">
        <f aca="false">IF($D313="","",Y313*AB313/100)</f>
        <v/>
      </c>
      <c r="W313" s="16" t="str">
        <f aca="false">IF($D313="","",Y313-V313)</f>
        <v/>
      </c>
      <c r="X313" s="16" t="str">
        <f aca="false">IF($D313="","",W313-N313)</f>
        <v/>
      </c>
      <c r="AB313" s="17" t="str">
        <f aca="false">IF($D313="","",IF(OR($R313=TRUE(),$R313="TRUE"),Settings!$C$6,Settings!$C$7)*100)</f>
        <v/>
      </c>
      <c r="AH313" s="18" t="str">
        <f aca="false">IF($D313="","",IF(COUNTIF($D$2:$D313,$D313)=1,1,0))</f>
        <v/>
      </c>
      <c r="AI313" s="18" t="str">
        <f aca="false">IF($AH313=1,SUMPRODUCT(--($AK$2:$AK$4001&lt;$AK313))+1,"")</f>
        <v/>
      </c>
      <c r="AJ313" s="18" t="str">
        <f aca="false">IF($D313="","",IF(OR($R313=TRUE(),$R313="TRUE"),1,0))</f>
        <v/>
      </c>
      <c r="AK313" s="18" t="str">
        <f aca="false">IF($AH313=1,IFERROR(VALUE(MID($D313,2,20)),1000000000)+ROW()/10000000,"")</f>
        <v/>
      </c>
    </row>
    <row r="314" customFormat="false" ht="15" hidden="false" customHeight="false" outlineLevel="0" collapsed="false">
      <c r="F314" s="15"/>
      <c r="N314" s="16" t="str">
        <f aca="false">IF($D314="","",M314*Y314/100)</f>
        <v/>
      </c>
      <c r="V314" s="16" t="str">
        <f aca="false">IF($D314="","",Y314*AB314/100)</f>
        <v/>
      </c>
      <c r="W314" s="16" t="str">
        <f aca="false">IF($D314="","",Y314-V314)</f>
        <v/>
      </c>
      <c r="X314" s="16" t="str">
        <f aca="false">IF($D314="","",W314-N314)</f>
        <v/>
      </c>
      <c r="AB314" s="17" t="str">
        <f aca="false">IF($D314="","",IF(OR($R314=TRUE(),$R314="TRUE"),Settings!$C$6,Settings!$C$7)*100)</f>
        <v/>
      </c>
      <c r="AH314" s="18" t="str">
        <f aca="false">IF($D314="","",IF(COUNTIF($D$2:$D314,$D314)=1,1,0))</f>
        <v/>
      </c>
      <c r="AI314" s="18" t="str">
        <f aca="false">IF($AH314=1,SUMPRODUCT(--($AK$2:$AK$4001&lt;$AK314))+1,"")</f>
        <v/>
      </c>
      <c r="AJ314" s="18" t="str">
        <f aca="false">IF($D314="","",IF(OR($R314=TRUE(),$R314="TRUE"),1,0))</f>
        <v/>
      </c>
      <c r="AK314" s="18" t="str">
        <f aca="false">IF($AH314=1,IFERROR(VALUE(MID($D314,2,20)),1000000000)+ROW()/10000000,"")</f>
        <v/>
      </c>
    </row>
    <row r="315" customFormat="false" ht="15" hidden="false" customHeight="false" outlineLevel="0" collapsed="false">
      <c r="F315" s="15"/>
      <c r="N315" s="16" t="str">
        <f aca="false">IF($D315="","",M315*Y315/100)</f>
        <v/>
      </c>
      <c r="V315" s="16" t="str">
        <f aca="false">IF($D315="","",Y315*AB315/100)</f>
        <v/>
      </c>
      <c r="W315" s="16" t="str">
        <f aca="false">IF($D315="","",Y315-V315)</f>
        <v/>
      </c>
      <c r="X315" s="16" t="str">
        <f aca="false">IF($D315="","",W315-N315)</f>
        <v/>
      </c>
      <c r="AB315" s="17" t="str">
        <f aca="false">IF($D315="","",IF(OR($R315=TRUE(),$R315="TRUE"),Settings!$C$6,Settings!$C$7)*100)</f>
        <v/>
      </c>
      <c r="AH315" s="18" t="str">
        <f aca="false">IF($D315="","",IF(COUNTIF($D$2:$D315,$D315)=1,1,0))</f>
        <v/>
      </c>
      <c r="AI315" s="18" t="str">
        <f aca="false">IF($AH315=1,SUMPRODUCT(--($AK$2:$AK$4001&lt;$AK315))+1,"")</f>
        <v/>
      </c>
      <c r="AJ315" s="18" t="str">
        <f aca="false">IF($D315="","",IF(OR($R315=TRUE(),$R315="TRUE"),1,0))</f>
        <v/>
      </c>
      <c r="AK315" s="18" t="str">
        <f aca="false">IF($AH315=1,IFERROR(VALUE(MID($D315,2,20)),1000000000)+ROW()/10000000,"")</f>
        <v/>
      </c>
    </row>
    <row r="316" customFormat="false" ht="15" hidden="false" customHeight="false" outlineLevel="0" collapsed="false">
      <c r="F316" s="15"/>
      <c r="N316" s="16" t="str">
        <f aca="false">IF($D316="","",M316*Y316/100)</f>
        <v/>
      </c>
      <c r="V316" s="16" t="str">
        <f aca="false">IF($D316="","",Y316*AB316/100)</f>
        <v/>
      </c>
      <c r="W316" s="16" t="str">
        <f aca="false">IF($D316="","",Y316-V316)</f>
        <v/>
      </c>
      <c r="X316" s="16" t="str">
        <f aca="false">IF($D316="","",W316-N316)</f>
        <v/>
      </c>
      <c r="AB316" s="17" t="str">
        <f aca="false">IF($D316="","",IF(OR($R316=TRUE(),$R316="TRUE"),Settings!$C$6,Settings!$C$7)*100)</f>
        <v/>
      </c>
      <c r="AH316" s="18" t="str">
        <f aca="false">IF($D316="","",IF(COUNTIF($D$2:$D316,$D316)=1,1,0))</f>
        <v/>
      </c>
      <c r="AI316" s="18" t="str">
        <f aca="false">IF($AH316=1,SUMPRODUCT(--($AK$2:$AK$4001&lt;$AK316))+1,"")</f>
        <v/>
      </c>
      <c r="AJ316" s="18" t="str">
        <f aca="false">IF($D316="","",IF(OR($R316=TRUE(),$R316="TRUE"),1,0))</f>
        <v/>
      </c>
      <c r="AK316" s="18" t="str">
        <f aca="false">IF($AH316=1,IFERROR(VALUE(MID($D316,2,20)),1000000000)+ROW()/10000000,"")</f>
        <v/>
      </c>
    </row>
    <row r="317" customFormat="false" ht="15" hidden="false" customHeight="false" outlineLevel="0" collapsed="false">
      <c r="F317" s="15"/>
      <c r="N317" s="16" t="str">
        <f aca="false">IF($D317="","",M317*Y317/100)</f>
        <v/>
      </c>
      <c r="V317" s="16" t="str">
        <f aca="false">IF($D317="","",Y317*AB317/100)</f>
        <v/>
      </c>
      <c r="W317" s="16" t="str">
        <f aca="false">IF($D317="","",Y317-V317)</f>
        <v/>
      </c>
      <c r="X317" s="16" t="str">
        <f aca="false">IF($D317="","",W317-N317)</f>
        <v/>
      </c>
      <c r="AB317" s="17" t="str">
        <f aca="false">IF($D317="","",IF(OR($R317=TRUE(),$R317="TRUE"),Settings!$C$6,Settings!$C$7)*100)</f>
        <v/>
      </c>
      <c r="AH317" s="18" t="str">
        <f aca="false">IF($D317="","",IF(COUNTIF($D$2:$D317,$D317)=1,1,0))</f>
        <v/>
      </c>
      <c r="AI317" s="18" t="str">
        <f aca="false">IF($AH317=1,SUMPRODUCT(--($AK$2:$AK$4001&lt;$AK317))+1,"")</f>
        <v/>
      </c>
      <c r="AJ317" s="18" t="str">
        <f aca="false">IF($D317="","",IF(OR($R317=TRUE(),$R317="TRUE"),1,0))</f>
        <v/>
      </c>
      <c r="AK317" s="18" t="str">
        <f aca="false">IF($AH317=1,IFERROR(VALUE(MID($D317,2,20)),1000000000)+ROW()/10000000,"")</f>
        <v/>
      </c>
    </row>
    <row r="318" customFormat="false" ht="15" hidden="false" customHeight="false" outlineLevel="0" collapsed="false">
      <c r="F318" s="15"/>
      <c r="N318" s="16" t="str">
        <f aca="false">IF($D318="","",M318*Y318/100)</f>
        <v/>
      </c>
      <c r="V318" s="16" t="str">
        <f aca="false">IF($D318="","",Y318*AB318/100)</f>
        <v/>
      </c>
      <c r="W318" s="16" t="str">
        <f aca="false">IF($D318="","",Y318-V318)</f>
        <v/>
      </c>
      <c r="X318" s="16" t="str">
        <f aca="false">IF($D318="","",W318-N318)</f>
        <v/>
      </c>
      <c r="AB318" s="17" t="str">
        <f aca="false">IF($D318="","",IF(OR($R318=TRUE(),$R318="TRUE"),Settings!$C$6,Settings!$C$7)*100)</f>
        <v/>
      </c>
      <c r="AH318" s="18" t="str">
        <f aca="false">IF($D318="","",IF(COUNTIF($D$2:$D318,$D318)=1,1,0))</f>
        <v/>
      </c>
      <c r="AI318" s="18" t="str">
        <f aca="false">IF($AH318=1,SUMPRODUCT(--($AK$2:$AK$4001&lt;$AK318))+1,"")</f>
        <v/>
      </c>
      <c r="AJ318" s="18" t="str">
        <f aca="false">IF($D318="","",IF(OR($R318=TRUE(),$R318="TRUE"),1,0))</f>
        <v/>
      </c>
      <c r="AK318" s="18" t="str">
        <f aca="false">IF($AH318=1,IFERROR(VALUE(MID($D318,2,20)),1000000000)+ROW()/10000000,"")</f>
        <v/>
      </c>
    </row>
    <row r="319" customFormat="false" ht="15" hidden="false" customHeight="false" outlineLevel="0" collapsed="false">
      <c r="F319" s="15"/>
      <c r="N319" s="16" t="str">
        <f aca="false">IF($D319="","",M319*Y319/100)</f>
        <v/>
      </c>
      <c r="V319" s="16" t="str">
        <f aca="false">IF($D319="","",Y319*AB319/100)</f>
        <v/>
      </c>
      <c r="W319" s="16" t="str">
        <f aca="false">IF($D319="","",Y319-V319)</f>
        <v/>
      </c>
      <c r="X319" s="16" t="str">
        <f aca="false">IF($D319="","",W319-N319)</f>
        <v/>
      </c>
      <c r="AB319" s="17" t="str">
        <f aca="false">IF($D319="","",IF(OR($R319=TRUE(),$R319="TRUE"),Settings!$C$6,Settings!$C$7)*100)</f>
        <v/>
      </c>
      <c r="AH319" s="18" t="str">
        <f aca="false">IF($D319="","",IF(COUNTIF($D$2:$D319,$D319)=1,1,0))</f>
        <v/>
      </c>
      <c r="AI319" s="18" t="str">
        <f aca="false">IF($AH319=1,SUMPRODUCT(--($AK$2:$AK$4001&lt;$AK319))+1,"")</f>
        <v/>
      </c>
      <c r="AJ319" s="18" t="str">
        <f aca="false">IF($D319="","",IF(OR($R319=TRUE(),$R319="TRUE"),1,0))</f>
        <v/>
      </c>
      <c r="AK319" s="18" t="str">
        <f aca="false">IF($AH319=1,IFERROR(VALUE(MID($D319,2,20)),1000000000)+ROW()/10000000,"")</f>
        <v/>
      </c>
    </row>
    <row r="320" customFormat="false" ht="15" hidden="false" customHeight="false" outlineLevel="0" collapsed="false">
      <c r="F320" s="15"/>
      <c r="N320" s="16" t="str">
        <f aca="false">IF($D320="","",M320*Y320/100)</f>
        <v/>
      </c>
      <c r="V320" s="16" t="str">
        <f aca="false">IF($D320="","",Y320*AB320/100)</f>
        <v/>
      </c>
      <c r="W320" s="16" t="str">
        <f aca="false">IF($D320="","",Y320-V320)</f>
        <v/>
      </c>
      <c r="X320" s="16" t="str">
        <f aca="false">IF($D320="","",W320-N320)</f>
        <v/>
      </c>
      <c r="AB320" s="17" t="str">
        <f aca="false">IF($D320="","",IF(OR($R320=TRUE(),$R320="TRUE"),Settings!$C$6,Settings!$C$7)*100)</f>
        <v/>
      </c>
      <c r="AH320" s="18" t="str">
        <f aca="false">IF($D320="","",IF(COUNTIF($D$2:$D320,$D320)=1,1,0))</f>
        <v/>
      </c>
      <c r="AI320" s="18" t="str">
        <f aca="false">IF($AH320=1,SUMPRODUCT(--($AK$2:$AK$4001&lt;$AK320))+1,"")</f>
        <v/>
      </c>
      <c r="AJ320" s="18" t="str">
        <f aca="false">IF($D320="","",IF(OR($R320=TRUE(),$R320="TRUE"),1,0))</f>
        <v/>
      </c>
      <c r="AK320" s="18" t="str">
        <f aca="false">IF($AH320=1,IFERROR(VALUE(MID($D320,2,20)),1000000000)+ROW()/10000000,"")</f>
        <v/>
      </c>
    </row>
    <row r="321" customFormat="false" ht="15" hidden="false" customHeight="false" outlineLevel="0" collapsed="false">
      <c r="F321" s="15"/>
      <c r="N321" s="16" t="str">
        <f aca="false">IF($D321="","",M321*Y321/100)</f>
        <v/>
      </c>
      <c r="V321" s="16" t="str">
        <f aca="false">IF($D321="","",Y321*AB321/100)</f>
        <v/>
      </c>
      <c r="W321" s="16" t="str">
        <f aca="false">IF($D321="","",Y321-V321)</f>
        <v/>
      </c>
      <c r="X321" s="16" t="str">
        <f aca="false">IF($D321="","",W321-N321)</f>
        <v/>
      </c>
      <c r="AB321" s="17" t="str">
        <f aca="false">IF($D321="","",IF(OR($R321=TRUE(),$R321="TRUE"),Settings!$C$6,Settings!$C$7)*100)</f>
        <v/>
      </c>
      <c r="AH321" s="18" t="str">
        <f aca="false">IF($D321="","",IF(COUNTIF($D$2:$D321,$D321)=1,1,0))</f>
        <v/>
      </c>
      <c r="AI321" s="18" t="str">
        <f aca="false">IF($AH321=1,SUMPRODUCT(--($AK$2:$AK$4001&lt;$AK321))+1,"")</f>
        <v/>
      </c>
      <c r="AJ321" s="18" t="str">
        <f aca="false">IF($D321="","",IF(OR($R321=TRUE(),$R321="TRUE"),1,0))</f>
        <v/>
      </c>
      <c r="AK321" s="18" t="str">
        <f aca="false">IF($AH321=1,IFERROR(VALUE(MID($D321,2,20)),1000000000)+ROW()/10000000,"")</f>
        <v/>
      </c>
    </row>
    <row r="322" customFormat="false" ht="15" hidden="false" customHeight="false" outlineLevel="0" collapsed="false">
      <c r="F322" s="15"/>
      <c r="N322" s="16" t="str">
        <f aca="false">IF($D322="","",M322*Y322/100)</f>
        <v/>
      </c>
      <c r="V322" s="16" t="str">
        <f aca="false">IF($D322="","",Y322*AB322/100)</f>
        <v/>
      </c>
      <c r="W322" s="16" t="str">
        <f aca="false">IF($D322="","",Y322-V322)</f>
        <v/>
      </c>
      <c r="X322" s="16" t="str">
        <f aca="false">IF($D322="","",W322-N322)</f>
        <v/>
      </c>
      <c r="AB322" s="17" t="str">
        <f aca="false">IF($D322="","",IF(OR($R322=TRUE(),$R322="TRUE"),Settings!$C$6,Settings!$C$7)*100)</f>
        <v/>
      </c>
      <c r="AH322" s="18" t="str">
        <f aca="false">IF($D322="","",IF(COUNTIF($D$2:$D322,$D322)=1,1,0))</f>
        <v/>
      </c>
      <c r="AI322" s="18" t="str">
        <f aca="false">IF($AH322=1,SUMPRODUCT(--($AK$2:$AK$4001&lt;$AK322))+1,"")</f>
        <v/>
      </c>
      <c r="AJ322" s="18" t="str">
        <f aca="false">IF($D322="","",IF(OR($R322=TRUE(),$R322="TRUE"),1,0))</f>
        <v/>
      </c>
      <c r="AK322" s="18" t="str">
        <f aca="false">IF($AH322=1,IFERROR(VALUE(MID($D322,2,20)),1000000000)+ROW()/10000000,"")</f>
        <v/>
      </c>
    </row>
    <row r="323" customFormat="false" ht="15" hidden="false" customHeight="false" outlineLevel="0" collapsed="false">
      <c r="F323" s="15"/>
      <c r="N323" s="16" t="str">
        <f aca="false">IF($D323="","",M323*Y323/100)</f>
        <v/>
      </c>
      <c r="V323" s="16" t="str">
        <f aca="false">IF($D323="","",Y323*AB323/100)</f>
        <v/>
      </c>
      <c r="W323" s="16" t="str">
        <f aca="false">IF($D323="","",Y323-V323)</f>
        <v/>
      </c>
      <c r="X323" s="16" t="str">
        <f aca="false">IF($D323="","",W323-N323)</f>
        <v/>
      </c>
      <c r="AB323" s="17" t="str">
        <f aca="false">IF($D323="","",IF(OR($R323=TRUE(),$R323="TRUE"),Settings!$C$6,Settings!$C$7)*100)</f>
        <v/>
      </c>
      <c r="AH323" s="18" t="str">
        <f aca="false">IF($D323="","",IF(COUNTIF($D$2:$D323,$D323)=1,1,0))</f>
        <v/>
      </c>
      <c r="AI323" s="18" t="str">
        <f aca="false">IF($AH323=1,SUMPRODUCT(--($AK$2:$AK$4001&lt;$AK323))+1,"")</f>
        <v/>
      </c>
      <c r="AJ323" s="18" t="str">
        <f aca="false">IF($D323="","",IF(OR($R323=TRUE(),$R323="TRUE"),1,0))</f>
        <v/>
      </c>
      <c r="AK323" s="18" t="str">
        <f aca="false">IF($AH323=1,IFERROR(VALUE(MID($D323,2,20)),1000000000)+ROW()/10000000,"")</f>
        <v/>
      </c>
    </row>
    <row r="324" customFormat="false" ht="15" hidden="false" customHeight="false" outlineLevel="0" collapsed="false">
      <c r="F324" s="15"/>
      <c r="N324" s="16" t="str">
        <f aca="false">IF($D324="","",M324*Y324/100)</f>
        <v/>
      </c>
      <c r="V324" s="16" t="str">
        <f aca="false">IF($D324="","",Y324*AB324/100)</f>
        <v/>
      </c>
      <c r="W324" s="16" t="str">
        <f aca="false">IF($D324="","",Y324-V324)</f>
        <v/>
      </c>
      <c r="X324" s="16" t="str">
        <f aca="false">IF($D324="","",W324-N324)</f>
        <v/>
      </c>
      <c r="AB324" s="17" t="str">
        <f aca="false">IF($D324="","",IF(OR($R324=TRUE(),$R324="TRUE"),Settings!$C$6,Settings!$C$7)*100)</f>
        <v/>
      </c>
      <c r="AH324" s="18" t="str">
        <f aca="false">IF($D324="","",IF(COUNTIF($D$2:$D324,$D324)=1,1,0))</f>
        <v/>
      </c>
      <c r="AI324" s="18" t="str">
        <f aca="false">IF($AH324=1,SUMPRODUCT(--($AK$2:$AK$4001&lt;$AK324))+1,"")</f>
        <v/>
      </c>
      <c r="AJ324" s="18" t="str">
        <f aca="false">IF($D324="","",IF(OR($R324=TRUE(),$R324="TRUE"),1,0))</f>
        <v/>
      </c>
      <c r="AK324" s="18" t="str">
        <f aca="false">IF($AH324=1,IFERROR(VALUE(MID($D324,2,20)),1000000000)+ROW()/10000000,"")</f>
        <v/>
      </c>
    </row>
    <row r="325" customFormat="false" ht="15" hidden="false" customHeight="false" outlineLevel="0" collapsed="false">
      <c r="F325" s="15"/>
      <c r="N325" s="16" t="str">
        <f aca="false">IF($D325="","",M325*Y325/100)</f>
        <v/>
      </c>
      <c r="V325" s="16" t="str">
        <f aca="false">IF($D325="","",Y325*AB325/100)</f>
        <v/>
      </c>
      <c r="W325" s="16" t="str">
        <f aca="false">IF($D325="","",Y325-V325)</f>
        <v/>
      </c>
      <c r="X325" s="16" t="str">
        <f aca="false">IF($D325="","",W325-N325)</f>
        <v/>
      </c>
      <c r="AB325" s="17" t="str">
        <f aca="false">IF($D325="","",IF(OR($R325=TRUE(),$R325="TRUE"),Settings!$C$6,Settings!$C$7)*100)</f>
        <v/>
      </c>
      <c r="AH325" s="18" t="str">
        <f aca="false">IF($D325="","",IF(COUNTIF($D$2:$D325,$D325)=1,1,0))</f>
        <v/>
      </c>
      <c r="AI325" s="18" t="str">
        <f aca="false">IF($AH325=1,SUMPRODUCT(--($AK$2:$AK$4001&lt;$AK325))+1,"")</f>
        <v/>
      </c>
      <c r="AJ325" s="18" t="str">
        <f aca="false">IF($D325="","",IF(OR($R325=TRUE(),$R325="TRUE"),1,0))</f>
        <v/>
      </c>
      <c r="AK325" s="18" t="str">
        <f aca="false">IF($AH325=1,IFERROR(VALUE(MID($D325,2,20)),1000000000)+ROW()/10000000,"")</f>
        <v/>
      </c>
    </row>
    <row r="326" customFormat="false" ht="15" hidden="false" customHeight="false" outlineLevel="0" collapsed="false">
      <c r="F326" s="15"/>
      <c r="N326" s="16" t="str">
        <f aca="false">IF($D326="","",M326*Y326/100)</f>
        <v/>
      </c>
      <c r="V326" s="16" t="str">
        <f aca="false">IF($D326="","",Y326*AB326/100)</f>
        <v/>
      </c>
      <c r="W326" s="16" t="str">
        <f aca="false">IF($D326="","",Y326-V326)</f>
        <v/>
      </c>
      <c r="X326" s="16" t="str">
        <f aca="false">IF($D326="","",W326-N326)</f>
        <v/>
      </c>
      <c r="AB326" s="17" t="str">
        <f aca="false">IF($D326="","",IF(OR($R326=TRUE(),$R326="TRUE"),Settings!$C$6,Settings!$C$7)*100)</f>
        <v/>
      </c>
      <c r="AH326" s="18" t="str">
        <f aca="false">IF($D326="","",IF(COUNTIF($D$2:$D326,$D326)=1,1,0))</f>
        <v/>
      </c>
      <c r="AI326" s="18" t="str">
        <f aca="false">IF($AH326=1,SUMPRODUCT(--($AK$2:$AK$4001&lt;$AK326))+1,"")</f>
        <v/>
      </c>
      <c r="AJ326" s="18" t="str">
        <f aca="false">IF($D326="","",IF(OR($R326=TRUE(),$R326="TRUE"),1,0))</f>
        <v/>
      </c>
      <c r="AK326" s="18" t="str">
        <f aca="false">IF($AH326=1,IFERROR(VALUE(MID($D326,2,20)),1000000000)+ROW()/10000000,"")</f>
        <v/>
      </c>
    </row>
    <row r="327" customFormat="false" ht="15" hidden="false" customHeight="false" outlineLevel="0" collapsed="false">
      <c r="F327" s="15"/>
      <c r="N327" s="16" t="str">
        <f aca="false">IF($D327="","",M327*Y327/100)</f>
        <v/>
      </c>
      <c r="V327" s="16" t="str">
        <f aca="false">IF($D327="","",Y327*AB327/100)</f>
        <v/>
      </c>
      <c r="W327" s="16" t="str">
        <f aca="false">IF($D327="","",Y327-V327)</f>
        <v/>
      </c>
      <c r="X327" s="16" t="str">
        <f aca="false">IF($D327="","",W327-N327)</f>
        <v/>
      </c>
      <c r="AB327" s="17" t="str">
        <f aca="false">IF($D327="","",IF(OR($R327=TRUE(),$R327="TRUE"),Settings!$C$6,Settings!$C$7)*100)</f>
        <v/>
      </c>
      <c r="AH327" s="18" t="str">
        <f aca="false">IF($D327="","",IF(COUNTIF($D$2:$D327,$D327)=1,1,0))</f>
        <v/>
      </c>
      <c r="AI327" s="18" t="str">
        <f aca="false">IF($AH327=1,SUMPRODUCT(--($AK$2:$AK$4001&lt;$AK327))+1,"")</f>
        <v/>
      </c>
      <c r="AJ327" s="18" t="str">
        <f aca="false">IF($D327="","",IF(OR($R327=TRUE(),$R327="TRUE"),1,0))</f>
        <v/>
      </c>
      <c r="AK327" s="18" t="str">
        <f aca="false">IF($AH327=1,IFERROR(VALUE(MID($D327,2,20)),1000000000)+ROW()/10000000,"")</f>
        <v/>
      </c>
    </row>
    <row r="328" customFormat="false" ht="15" hidden="false" customHeight="false" outlineLevel="0" collapsed="false">
      <c r="F328" s="15"/>
      <c r="N328" s="16" t="str">
        <f aca="false">IF($D328="","",M328*Y328/100)</f>
        <v/>
      </c>
      <c r="V328" s="16" t="str">
        <f aca="false">IF($D328="","",Y328*AB328/100)</f>
        <v/>
      </c>
      <c r="W328" s="16" t="str">
        <f aca="false">IF($D328="","",Y328-V328)</f>
        <v/>
      </c>
      <c r="X328" s="16" t="str">
        <f aca="false">IF($D328="","",W328-N328)</f>
        <v/>
      </c>
      <c r="AB328" s="17" t="str">
        <f aca="false">IF($D328="","",IF(OR($R328=TRUE(),$R328="TRUE"),Settings!$C$6,Settings!$C$7)*100)</f>
        <v/>
      </c>
      <c r="AH328" s="18" t="str">
        <f aca="false">IF($D328="","",IF(COUNTIF($D$2:$D328,$D328)=1,1,0))</f>
        <v/>
      </c>
      <c r="AI328" s="18" t="str">
        <f aca="false">IF($AH328=1,SUMPRODUCT(--($AK$2:$AK$4001&lt;$AK328))+1,"")</f>
        <v/>
      </c>
      <c r="AJ328" s="18" t="str">
        <f aca="false">IF($D328="","",IF(OR($R328=TRUE(),$R328="TRUE"),1,0))</f>
        <v/>
      </c>
      <c r="AK328" s="18" t="str">
        <f aca="false">IF($AH328=1,IFERROR(VALUE(MID($D328,2,20)),1000000000)+ROW()/10000000,"")</f>
        <v/>
      </c>
    </row>
    <row r="329" customFormat="false" ht="15" hidden="false" customHeight="false" outlineLevel="0" collapsed="false">
      <c r="F329" s="15"/>
      <c r="N329" s="16" t="str">
        <f aca="false">IF($D329="","",M329*Y329/100)</f>
        <v/>
      </c>
      <c r="V329" s="16" t="str">
        <f aca="false">IF($D329="","",Y329*AB329/100)</f>
        <v/>
      </c>
      <c r="W329" s="16" t="str">
        <f aca="false">IF($D329="","",Y329-V329)</f>
        <v/>
      </c>
      <c r="X329" s="16" t="str">
        <f aca="false">IF($D329="","",W329-N329)</f>
        <v/>
      </c>
      <c r="AB329" s="17" t="str">
        <f aca="false">IF($D329="","",IF(OR($R329=TRUE(),$R329="TRUE"),Settings!$C$6,Settings!$C$7)*100)</f>
        <v/>
      </c>
      <c r="AH329" s="18" t="str">
        <f aca="false">IF($D329="","",IF(COUNTIF($D$2:$D329,$D329)=1,1,0))</f>
        <v/>
      </c>
      <c r="AI329" s="18" t="str">
        <f aca="false">IF($AH329=1,SUMPRODUCT(--($AK$2:$AK$4001&lt;$AK329))+1,"")</f>
        <v/>
      </c>
      <c r="AJ329" s="18" t="str">
        <f aca="false">IF($D329="","",IF(OR($R329=TRUE(),$R329="TRUE"),1,0))</f>
        <v/>
      </c>
      <c r="AK329" s="18" t="str">
        <f aca="false">IF($AH329=1,IFERROR(VALUE(MID($D329,2,20)),1000000000)+ROW()/10000000,"")</f>
        <v/>
      </c>
    </row>
    <row r="330" customFormat="false" ht="15" hidden="false" customHeight="false" outlineLevel="0" collapsed="false">
      <c r="F330" s="15"/>
      <c r="N330" s="16" t="str">
        <f aca="false">IF($D330="","",M330*Y330/100)</f>
        <v/>
      </c>
      <c r="V330" s="16" t="str">
        <f aca="false">IF($D330="","",Y330*AB330/100)</f>
        <v/>
      </c>
      <c r="W330" s="16" t="str">
        <f aca="false">IF($D330="","",Y330-V330)</f>
        <v/>
      </c>
      <c r="X330" s="16" t="str">
        <f aca="false">IF($D330="","",W330-N330)</f>
        <v/>
      </c>
      <c r="AB330" s="17" t="str">
        <f aca="false">IF($D330="","",IF(OR($R330=TRUE(),$R330="TRUE"),Settings!$C$6,Settings!$C$7)*100)</f>
        <v/>
      </c>
      <c r="AH330" s="18" t="str">
        <f aca="false">IF($D330="","",IF(COUNTIF($D$2:$D330,$D330)=1,1,0))</f>
        <v/>
      </c>
      <c r="AI330" s="18" t="str">
        <f aca="false">IF($AH330=1,SUMPRODUCT(--($AK$2:$AK$4001&lt;$AK330))+1,"")</f>
        <v/>
      </c>
      <c r="AJ330" s="18" t="str">
        <f aca="false">IF($D330="","",IF(OR($R330=TRUE(),$R330="TRUE"),1,0))</f>
        <v/>
      </c>
      <c r="AK330" s="18" t="str">
        <f aca="false">IF($AH330=1,IFERROR(VALUE(MID($D330,2,20)),1000000000)+ROW()/10000000,"")</f>
        <v/>
      </c>
    </row>
    <row r="331" customFormat="false" ht="15" hidden="false" customHeight="false" outlineLevel="0" collapsed="false">
      <c r="F331" s="15"/>
      <c r="N331" s="16" t="str">
        <f aca="false">IF($D331="","",M331*Y331/100)</f>
        <v/>
      </c>
      <c r="V331" s="16" t="str">
        <f aca="false">IF($D331="","",Y331*AB331/100)</f>
        <v/>
      </c>
      <c r="W331" s="16" t="str">
        <f aca="false">IF($D331="","",Y331-V331)</f>
        <v/>
      </c>
      <c r="X331" s="16" t="str">
        <f aca="false">IF($D331="","",W331-N331)</f>
        <v/>
      </c>
      <c r="AB331" s="17" t="str">
        <f aca="false">IF($D331="","",IF(OR($R331=TRUE(),$R331="TRUE"),Settings!$C$6,Settings!$C$7)*100)</f>
        <v/>
      </c>
      <c r="AH331" s="18" t="str">
        <f aca="false">IF($D331="","",IF(COUNTIF($D$2:$D331,$D331)=1,1,0))</f>
        <v/>
      </c>
      <c r="AI331" s="18" t="str">
        <f aca="false">IF($AH331=1,SUMPRODUCT(--($AK$2:$AK$4001&lt;$AK331))+1,"")</f>
        <v/>
      </c>
      <c r="AJ331" s="18" t="str">
        <f aca="false">IF($D331="","",IF(OR($R331=TRUE(),$R331="TRUE"),1,0))</f>
        <v/>
      </c>
      <c r="AK331" s="18" t="str">
        <f aca="false">IF($AH331=1,IFERROR(VALUE(MID($D331,2,20)),1000000000)+ROW()/10000000,"")</f>
        <v/>
      </c>
    </row>
    <row r="332" customFormat="false" ht="15" hidden="false" customHeight="false" outlineLevel="0" collapsed="false">
      <c r="F332" s="15"/>
      <c r="N332" s="16" t="str">
        <f aca="false">IF($D332="","",M332*Y332/100)</f>
        <v/>
      </c>
      <c r="V332" s="16" t="str">
        <f aca="false">IF($D332="","",Y332*AB332/100)</f>
        <v/>
      </c>
      <c r="W332" s="16" t="str">
        <f aca="false">IF($D332="","",Y332-V332)</f>
        <v/>
      </c>
      <c r="X332" s="16" t="str">
        <f aca="false">IF($D332="","",W332-N332)</f>
        <v/>
      </c>
      <c r="AB332" s="17" t="str">
        <f aca="false">IF($D332="","",IF(OR($R332=TRUE(),$R332="TRUE"),Settings!$C$6,Settings!$C$7)*100)</f>
        <v/>
      </c>
      <c r="AH332" s="18" t="str">
        <f aca="false">IF($D332="","",IF(COUNTIF($D$2:$D332,$D332)=1,1,0))</f>
        <v/>
      </c>
      <c r="AI332" s="18" t="str">
        <f aca="false">IF($AH332=1,SUMPRODUCT(--($AK$2:$AK$4001&lt;$AK332))+1,"")</f>
        <v/>
      </c>
      <c r="AJ332" s="18" t="str">
        <f aca="false">IF($D332="","",IF(OR($R332=TRUE(),$R332="TRUE"),1,0))</f>
        <v/>
      </c>
      <c r="AK332" s="18" t="str">
        <f aca="false">IF($AH332=1,IFERROR(VALUE(MID($D332,2,20)),1000000000)+ROW()/10000000,"")</f>
        <v/>
      </c>
    </row>
    <row r="333" customFormat="false" ht="15" hidden="false" customHeight="false" outlineLevel="0" collapsed="false">
      <c r="F333" s="15"/>
      <c r="N333" s="16" t="str">
        <f aca="false">IF($D333="","",M333*Y333/100)</f>
        <v/>
      </c>
      <c r="V333" s="16" t="str">
        <f aca="false">IF($D333="","",Y333*AB333/100)</f>
        <v/>
      </c>
      <c r="W333" s="16" t="str">
        <f aca="false">IF($D333="","",Y333-V333)</f>
        <v/>
      </c>
      <c r="X333" s="16" t="str">
        <f aca="false">IF($D333="","",W333-N333)</f>
        <v/>
      </c>
      <c r="AB333" s="17" t="str">
        <f aca="false">IF($D333="","",IF(OR($R333=TRUE(),$R333="TRUE"),Settings!$C$6,Settings!$C$7)*100)</f>
        <v/>
      </c>
      <c r="AH333" s="18" t="str">
        <f aca="false">IF($D333="","",IF(COUNTIF($D$2:$D333,$D333)=1,1,0))</f>
        <v/>
      </c>
      <c r="AI333" s="18" t="str">
        <f aca="false">IF($AH333=1,SUMPRODUCT(--($AK$2:$AK$4001&lt;$AK333))+1,"")</f>
        <v/>
      </c>
      <c r="AJ333" s="18" t="str">
        <f aca="false">IF($D333="","",IF(OR($R333=TRUE(),$R333="TRUE"),1,0))</f>
        <v/>
      </c>
      <c r="AK333" s="18" t="str">
        <f aca="false">IF($AH333=1,IFERROR(VALUE(MID($D333,2,20)),1000000000)+ROW()/10000000,"")</f>
        <v/>
      </c>
    </row>
    <row r="334" customFormat="false" ht="15" hidden="false" customHeight="false" outlineLevel="0" collapsed="false">
      <c r="F334" s="15"/>
      <c r="N334" s="16" t="str">
        <f aca="false">IF($D334="","",M334*Y334/100)</f>
        <v/>
      </c>
      <c r="V334" s="16" t="str">
        <f aca="false">IF($D334="","",Y334*AB334/100)</f>
        <v/>
      </c>
      <c r="W334" s="16" t="str">
        <f aca="false">IF($D334="","",Y334-V334)</f>
        <v/>
      </c>
      <c r="X334" s="16" t="str">
        <f aca="false">IF($D334="","",W334-N334)</f>
        <v/>
      </c>
      <c r="AB334" s="17" t="str">
        <f aca="false">IF($D334="","",IF(OR($R334=TRUE(),$R334="TRUE"),Settings!$C$6,Settings!$C$7)*100)</f>
        <v/>
      </c>
      <c r="AH334" s="18" t="str">
        <f aca="false">IF($D334="","",IF(COUNTIF($D$2:$D334,$D334)=1,1,0))</f>
        <v/>
      </c>
      <c r="AI334" s="18" t="str">
        <f aca="false">IF($AH334=1,SUMPRODUCT(--($AK$2:$AK$4001&lt;$AK334))+1,"")</f>
        <v/>
      </c>
      <c r="AJ334" s="18" t="str">
        <f aca="false">IF($D334="","",IF(OR($R334=TRUE(),$R334="TRUE"),1,0))</f>
        <v/>
      </c>
      <c r="AK334" s="18" t="str">
        <f aca="false">IF($AH334=1,IFERROR(VALUE(MID($D334,2,20)),1000000000)+ROW()/10000000,"")</f>
        <v/>
      </c>
    </row>
    <row r="335" customFormat="false" ht="15" hidden="false" customHeight="false" outlineLevel="0" collapsed="false">
      <c r="F335" s="15"/>
      <c r="N335" s="16" t="str">
        <f aca="false">IF($D335="","",M335*Y335/100)</f>
        <v/>
      </c>
      <c r="V335" s="16" t="str">
        <f aca="false">IF($D335="","",Y335*AB335/100)</f>
        <v/>
      </c>
      <c r="W335" s="16" t="str">
        <f aca="false">IF($D335="","",Y335-V335)</f>
        <v/>
      </c>
      <c r="X335" s="16" t="str">
        <f aca="false">IF($D335="","",W335-N335)</f>
        <v/>
      </c>
      <c r="AB335" s="17" t="str">
        <f aca="false">IF($D335="","",IF(OR($R335=TRUE(),$R335="TRUE"),Settings!$C$6,Settings!$C$7)*100)</f>
        <v/>
      </c>
      <c r="AH335" s="18" t="str">
        <f aca="false">IF($D335="","",IF(COUNTIF($D$2:$D335,$D335)=1,1,0))</f>
        <v/>
      </c>
      <c r="AI335" s="18" t="str">
        <f aca="false">IF($AH335=1,SUMPRODUCT(--($AK$2:$AK$4001&lt;$AK335))+1,"")</f>
        <v/>
      </c>
      <c r="AJ335" s="18" t="str">
        <f aca="false">IF($D335="","",IF(OR($R335=TRUE(),$R335="TRUE"),1,0))</f>
        <v/>
      </c>
      <c r="AK335" s="18" t="str">
        <f aca="false">IF($AH335=1,IFERROR(VALUE(MID($D335,2,20)),1000000000)+ROW()/10000000,"")</f>
        <v/>
      </c>
    </row>
    <row r="336" customFormat="false" ht="15" hidden="false" customHeight="false" outlineLevel="0" collapsed="false">
      <c r="F336" s="15"/>
      <c r="N336" s="16" t="str">
        <f aca="false">IF($D336="","",M336*Y336/100)</f>
        <v/>
      </c>
      <c r="V336" s="16" t="str">
        <f aca="false">IF($D336="","",Y336*AB336/100)</f>
        <v/>
      </c>
      <c r="W336" s="16" t="str">
        <f aca="false">IF($D336="","",Y336-V336)</f>
        <v/>
      </c>
      <c r="X336" s="16" t="str">
        <f aca="false">IF($D336="","",W336-N336)</f>
        <v/>
      </c>
      <c r="AB336" s="17" t="str">
        <f aca="false">IF($D336="","",IF(OR($R336=TRUE(),$R336="TRUE"),Settings!$C$6,Settings!$C$7)*100)</f>
        <v/>
      </c>
      <c r="AH336" s="18" t="str">
        <f aca="false">IF($D336="","",IF(COUNTIF($D$2:$D336,$D336)=1,1,0))</f>
        <v/>
      </c>
      <c r="AI336" s="18" t="str">
        <f aca="false">IF($AH336=1,SUMPRODUCT(--($AK$2:$AK$4001&lt;$AK336))+1,"")</f>
        <v/>
      </c>
      <c r="AJ336" s="18" t="str">
        <f aca="false">IF($D336="","",IF(OR($R336=TRUE(),$R336="TRUE"),1,0))</f>
        <v/>
      </c>
      <c r="AK336" s="18" t="str">
        <f aca="false">IF($AH336=1,IFERROR(VALUE(MID($D336,2,20)),1000000000)+ROW()/10000000,"")</f>
        <v/>
      </c>
    </row>
    <row r="337" customFormat="false" ht="15" hidden="false" customHeight="false" outlineLevel="0" collapsed="false">
      <c r="F337" s="15"/>
      <c r="N337" s="16" t="str">
        <f aca="false">IF($D337="","",M337*Y337/100)</f>
        <v/>
      </c>
      <c r="V337" s="16" t="str">
        <f aca="false">IF($D337="","",Y337*AB337/100)</f>
        <v/>
      </c>
      <c r="W337" s="16" t="str">
        <f aca="false">IF($D337="","",Y337-V337)</f>
        <v/>
      </c>
      <c r="X337" s="16" t="str">
        <f aca="false">IF($D337="","",W337-N337)</f>
        <v/>
      </c>
      <c r="AB337" s="17" t="str">
        <f aca="false">IF($D337="","",IF(OR($R337=TRUE(),$R337="TRUE"),Settings!$C$6,Settings!$C$7)*100)</f>
        <v/>
      </c>
      <c r="AH337" s="18" t="str">
        <f aca="false">IF($D337="","",IF(COUNTIF($D$2:$D337,$D337)=1,1,0))</f>
        <v/>
      </c>
      <c r="AI337" s="18" t="str">
        <f aca="false">IF($AH337=1,SUMPRODUCT(--($AK$2:$AK$4001&lt;$AK337))+1,"")</f>
        <v/>
      </c>
      <c r="AJ337" s="18" t="str">
        <f aca="false">IF($D337="","",IF(OR($R337=TRUE(),$R337="TRUE"),1,0))</f>
        <v/>
      </c>
      <c r="AK337" s="18" t="str">
        <f aca="false">IF($AH337=1,IFERROR(VALUE(MID($D337,2,20)),1000000000)+ROW()/10000000,"")</f>
        <v/>
      </c>
    </row>
    <row r="338" customFormat="false" ht="15" hidden="false" customHeight="false" outlineLevel="0" collapsed="false">
      <c r="F338" s="15"/>
      <c r="N338" s="16" t="str">
        <f aca="false">IF($D338="","",M338*Y338/100)</f>
        <v/>
      </c>
      <c r="V338" s="16" t="str">
        <f aca="false">IF($D338="","",Y338*AB338/100)</f>
        <v/>
      </c>
      <c r="W338" s="16" t="str">
        <f aca="false">IF($D338="","",Y338-V338)</f>
        <v/>
      </c>
      <c r="X338" s="16" t="str">
        <f aca="false">IF($D338="","",W338-N338)</f>
        <v/>
      </c>
      <c r="AB338" s="17" t="str">
        <f aca="false">IF($D338="","",IF(OR($R338=TRUE(),$R338="TRUE"),Settings!$C$6,Settings!$C$7)*100)</f>
        <v/>
      </c>
      <c r="AH338" s="18" t="str">
        <f aca="false">IF($D338="","",IF(COUNTIF($D$2:$D338,$D338)=1,1,0))</f>
        <v/>
      </c>
      <c r="AI338" s="18" t="str">
        <f aca="false">IF($AH338=1,SUMPRODUCT(--($AK$2:$AK$4001&lt;$AK338))+1,"")</f>
        <v/>
      </c>
      <c r="AJ338" s="18" t="str">
        <f aca="false">IF($D338="","",IF(OR($R338=TRUE(),$R338="TRUE"),1,0))</f>
        <v/>
      </c>
      <c r="AK338" s="18" t="str">
        <f aca="false">IF($AH338=1,IFERROR(VALUE(MID($D338,2,20)),1000000000)+ROW()/10000000,"")</f>
        <v/>
      </c>
    </row>
    <row r="339" customFormat="false" ht="15" hidden="false" customHeight="false" outlineLevel="0" collapsed="false">
      <c r="F339" s="15"/>
      <c r="N339" s="16" t="str">
        <f aca="false">IF($D339="","",M339*Y339/100)</f>
        <v/>
      </c>
      <c r="V339" s="16" t="str">
        <f aca="false">IF($D339="","",Y339*AB339/100)</f>
        <v/>
      </c>
      <c r="W339" s="16" t="str">
        <f aca="false">IF($D339="","",Y339-V339)</f>
        <v/>
      </c>
      <c r="X339" s="16" t="str">
        <f aca="false">IF($D339="","",W339-N339)</f>
        <v/>
      </c>
      <c r="AB339" s="17" t="str">
        <f aca="false">IF($D339="","",IF(OR($R339=TRUE(),$R339="TRUE"),Settings!$C$6,Settings!$C$7)*100)</f>
        <v/>
      </c>
      <c r="AH339" s="18" t="str">
        <f aca="false">IF($D339="","",IF(COUNTIF($D$2:$D339,$D339)=1,1,0))</f>
        <v/>
      </c>
      <c r="AI339" s="18" t="str">
        <f aca="false">IF($AH339=1,SUMPRODUCT(--($AK$2:$AK$4001&lt;$AK339))+1,"")</f>
        <v/>
      </c>
      <c r="AJ339" s="18" t="str">
        <f aca="false">IF($D339="","",IF(OR($R339=TRUE(),$R339="TRUE"),1,0))</f>
        <v/>
      </c>
      <c r="AK339" s="18" t="str">
        <f aca="false">IF($AH339=1,IFERROR(VALUE(MID($D339,2,20)),1000000000)+ROW()/10000000,"")</f>
        <v/>
      </c>
    </row>
    <row r="340" customFormat="false" ht="15" hidden="false" customHeight="false" outlineLevel="0" collapsed="false">
      <c r="F340" s="15"/>
      <c r="N340" s="16" t="str">
        <f aca="false">IF($D340="","",M340*Y340/100)</f>
        <v/>
      </c>
      <c r="V340" s="16" t="str">
        <f aca="false">IF($D340="","",Y340*AB340/100)</f>
        <v/>
      </c>
      <c r="W340" s="16" t="str">
        <f aca="false">IF($D340="","",Y340-V340)</f>
        <v/>
      </c>
      <c r="X340" s="16" t="str">
        <f aca="false">IF($D340="","",W340-N340)</f>
        <v/>
      </c>
      <c r="AB340" s="17" t="str">
        <f aca="false">IF($D340="","",IF(OR($R340=TRUE(),$R340="TRUE"),Settings!$C$6,Settings!$C$7)*100)</f>
        <v/>
      </c>
      <c r="AH340" s="18" t="str">
        <f aca="false">IF($D340="","",IF(COUNTIF($D$2:$D340,$D340)=1,1,0))</f>
        <v/>
      </c>
      <c r="AI340" s="18" t="str">
        <f aca="false">IF($AH340=1,SUMPRODUCT(--($AK$2:$AK$4001&lt;$AK340))+1,"")</f>
        <v/>
      </c>
      <c r="AJ340" s="18" t="str">
        <f aca="false">IF($D340="","",IF(OR($R340=TRUE(),$R340="TRUE"),1,0))</f>
        <v/>
      </c>
      <c r="AK340" s="18" t="str">
        <f aca="false">IF($AH340=1,IFERROR(VALUE(MID($D340,2,20)),1000000000)+ROW()/10000000,"")</f>
        <v/>
      </c>
    </row>
    <row r="341" customFormat="false" ht="15" hidden="false" customHeight="false" outlineLevel="0" collapsed="false">
      <c r="F341" s="15"/>
      <c r="N341" s="16" t="str">
        <f aca="false">IF($D341="","",M341*Y341/100)</f>
        <v/>
      </c>
      <c r="V341" s="16" t="str">
        <f aca="false">IF($D341="","",Y341*AB341/100)</f>
        <v/>
      </c>
      <c r="W341" s="16" t="str">
        <f aca="false">IF($D341="","",Y341-V341)</f>
        <v/>
      </c>
      <c r="X341" s="16" t="str">
        <f aca="false">IF($D341="","",W341-N341)</f>
        <v/>
      </c>
      <c r="AB341" s="17" t="str">
        <f aca="false">IF($D341="","",IF(OR($R341=TRUE(),$R341="TRUE"),Settings!$C$6,Settings!$C$7)*100)</f>
        <v/>
      </c>
      <c r="AH341" s="18" t="str">
        <f aca="false">IF($D341="","",IF(COUNTIF($D$2:$D341,$D341)=1,1,0))</f>
        <v/>
      </c>
      <c r="AI341" s="18" t="str">
        <f aca="false">IF($AH341=1,SUMPRODUCT(--($AK$2:$AK$4001&lt;$AK341))+1,"")</f>
        <v/>
      </c>
      <c r="AJ341" s="18" t="str">
        <f aca="false">IF($D341="","",IF(OR($R341=TRUE(),$R341="TRUE"),1,0))</f>
        <v/>
      </c>
      <c r="AK341" s="18" t="str">
        <f aca="false">IF($AH341=1,IFERROR(VALUE(MID($D341,2,20)),1000000000)+ROW()/10000000,"")</f>
        <v/>
      </c>
    </row>
    <row r="342" customFormat="false" ht="15" hidden="false" customHeight="false" outlineLevel="0" collapsed="false">
      <c r="F342" s="15"/>
      <c r="N342" s="16" t="str">
        <f aca="false">IF($D342="","",M342*Y342/100)</f>
        <v/>
      </c>
      <c r="V342" s="16" t="str">
        <f aca="false">IF($D342="","",Y342*AB342/100)</f>
        <v/>
      </c>
      <c r="W342" s="16" t="str">
        <f aca="false">IF($D342="","",Y342-V342)</f>
        <v/>
      </c>
      <c r="X342" s="16" t="str">
        <f aca="false">IF($D342="","",W342-N342)</f>
        <v/>
      </c>
      <c r="AB342" s="17" t="str">
        <f aca="false">IF($D342="","",IF(OR($R342=TRUE(),$R342="TRUE"),Settings!$C$6,Settings!$C$7)*100)</f>
        <v/>
      </c>
      <c r="AH342" s="18" t="str">
        <f aca="false">IF($D342="","",IF(COUNTIF($D$2:$D342,$D342)=1,1,0))</f>
        <v/>
      </c>
      <c r="AI342" s="18" t="str">
        <f aca="false">IF($AH342=1,SUMPRODUCT(--($AK$2:$AK$4001&lt;$AK342))+1,"")</f>
        <v/>
      </c>
      <c r="AJ342" s="18" t="str">
        <f aca="false">IF($D342="","",IF(OR($R342=TRUE(),$R342="TRUE"),1,0))</f>
        <v/>
      </c>
      <c r="AK342" s="18" t="str">
        <f aca="false">IF($AH342=1,IFERROR(VALUE(MID($D342,2,20)),1000000000)+ROW()/10000000,"")</f>
        <v/>
      </c>
    </row>
    <row r="343" customFormat="false" ht="15" hidden="false" customHeight="false" outlineLevel="0" collapsed="false">
      <c r="F343" s="15"/>
      <c r="N343" s="16" t="str">
        <f aca="false">IF($D343="","",M343*Y343/100)</f>
        <v/>
      </c>
      <c r="V343" s="16" t="str">
        <f aca="false">IF($D343="","",Y343*AB343/100)</f>
        <v/>
      </c>
      <c r="W343" s="16" t="str">
        <f aca="false">IF($D343="","",Y343-V343)</f>
        <v/>
      </c>
      <c r="X343" s="16" t="str">
        <f aca="false">IF($D343="","",W343-N343)</f>
        <v/>
      </c>
      <c r="AB343" s="17" t="str">
        <f aca="false">IF($D343="","",IF(OR($R343=TRUE(),$R343="TRUE"),Settings!$C$6,Settings!$C$7)*100)</f>
        <v/>
      </c>
      <c r="AH343" s="18" t="str">
        <f aca="false">IF($D343="","",IF(COUNTIF($D$2:$D343,$D343)=1,1,0))</f>
        <v/>
      </c>
      <c r="AI343" s="18" t="str">
        <f aca="false">IF($AH343=1,SUMPRODUCT(--($AK$2:$AK$4001&lt;$AK343))+1,"")</f>
        <v/>
      </c>
      <c r="AJ343" s="18" t="str">
        <f aca="false">IF($D343="","",IF(OR($R343=TRUE(),$R343="TRUE"),1,0))</f>
        <v/>
      </c>
      <c r="AK343" s="18" t="str">
        <f aca="false">IF($AH343=1,IFERROR(VALUE(MID($D343,2,20)),1000000000)+ROW()/10000000,"")</f>
        <v/>
      </c>
    </row>
    <row r="344" customFormat="false" ht="15" hidden="false" customHeight="false" outlineLevel="0" collapsed="false">
      <c r="F344" s="15"/>
      <c r="N344" s="16" t="str">
        <f aca="false">IF($D344="","",M344*Y344/100)</f>
        <v/>
      </c>
      <c r="V344" s="16" t="str">
        <f aca="false">IF($D344="","",Y344*AB344/100)</f>
        <v/>
      </c>
      <c r="W344" s="16" t="str">
        <f aca="false">IF($D344="","",Y344-V344)</f>
        <v/>
      </c>
      <c r="X344" s="16" t="str">
        <f aca="false">IF($D344="","",W344-N344)</f>
        <v/>
      </c>
      <c r="AB344" s="17" t="str">
        <f aca="false">IF($D344="","",IF(OR($R344=TRUE(),$R344="TRUE"),Settings!$C$6,Settings!$C$7)*100)</f>
        <v/>
      </c>
      <c r="AH344" s="18" t="str">
        <f aca="false">IF($D344="","",IF(COUNTIF($D$2:$D344,$D344)=1,1,0))</f>
        <v/>
      </c>
      <c r="AI344" s="18" t="str">
        <f aca="false">IF($AH344=1,SUMPRODUCT(--($AK$2:$AK$4001&lt;$AK344))+1,"")</f>
        <v/>
      </c>
      <c r="AJ344" s="18" t="str">
        <f aca="false">IF($D344="","",IF(OR($R344=TRUE(),$R344="TRUE"),1,0))</f>
        <v/>
      </c>
      <c r="AK344" s="18" t="str">
        <f aca="false">IF($AH344=1,IFERROR(VALUE(MID($D344,2,20)),1000000000)+ROW()/10000000,"")</f>
        <v/>
      </c>
    </row>
    <row r="345" customFormat="false" ht="15" hidden="false" customHeight="false" outlineLevel="0" collapsed="false">
      <c r="F345" s="15"/>
      <c r="N345" s="16" t="str">
        <f aca="false">IF($D345="","",M345*Y345/100)</f>
        <v/>
      </c>
      <c r="V345" s="16" t="str">
        <f aca="false">IF($D345="","",Y345*AB345/100)</f>
        <v/>
      </c>
      <c r="W345" s="16" t="str">
        <f aca="false">IF($D345="","",Y345-V345)</f>
        <v/>
      </c>
      <c r="X345" s="16" t="str">
        <f aca="false">IF($D345="","",W345-N345)</f>
        <v/>
      </c>
      <c r="AB345" s="17" t="str">
        <f aca="false">IF($D345="","",IF(OR($R345=TRUE(),$R345="TRUE"),Settings!$C$6,Settings!$C$7)*100)</f>
        <v/>
      </c>
      <c r="AH345" s="18" t="str">
        <f aca="false">IF($D345="","",IF(COUNTIF($D$2:$D345,$D345)=1,1,0))</f>
        <v/>
      </c>
      <c r="AI345" s="18" t="str">
        <f aca="false">IF($AH345=1,SUMPRODUCT(--($AK$2:$AK$4001&lt;$AK345))+1,"")</f>
        <v/>
      </c>
      <c r="AJ345" s="18" t="str">
        <f aca="false">IF($D345="","",IF(OR($R345=TRUE(),$R345="TRUE"),1,0))</f>
        <v/>
      </c>
      <c r="AK345" s="18" t="str">
        <f aca="false">IF($AH345=1,IFERROR(VALUE(MID($D345,2,20)),1000000000)+ROW()/10000000,"")</f>
        <v/>
      </c>
    </row>
    <row r="346" customFormat="false" ht="15" hidden="false" customHeight="false" outlineLevel="0" collapsed="false">
      <c r="F346" s="15"/>
      <c r="N346" s="16" t="str">
        <f aca="false">IF($D346="","",M346*Y346/100)</f>
        <v/>
      </c>
      <c r="V346" s="16" t="str">
        <f aca="false">IF($D346="","",Y346*AB346/100)</f>
        <v/>
      </c>
      <c r="W346" s="16" t="str">
        <f aca="false">IF($D346="","",Y346-V346)</f>
        <v/>
      </c>
      <c r="X346" s="16" t="str">
        <f aca="false">IF($D346="","",W346-N346)</f>
        <v/>
      </c>
      <c r="AB346" s="17" t="str">
        <f aca="false">IF($D346="","",IF(OR($R346=TRUE(),$R346="TRUE"),Settings!$C$6,Settings!$C$7)*100)</f>
        <v/>
      </c>
      <c r="AH346" s="18" t="str">
        <f aca="false">IF($D346="","",IF(COUNTIF($D$2:$D346,$D346)=1,1,0))</f>
        <v/>
      </c>
      <c r="AI346" s="18" t="str">
        <f aca="false">IF($AH346=1,SUMPRODUCT(--($AK$2:$AK$4001&lt;$AK346))+1,"")</f>
        <v/>
      </c>
      <c r="AJ346" s="18" t="str">
        <f aca="false">IF($D346="","",IF(OR($R346=TRUE(),$R346="TRUE"),1,0))</f>
        <v/>
      </c>
      <c r="AK346" s="18" t="str">
        <f aca="false">IF($AH346=1,IFERROR(VALUE(MID($D346,2,20)),1000000000)+ROW()/10000000,"")</f>
        <v/>
      </c>
    </row>
    <row r="347" customFormat="false" ht="15" hidden="false" customHeight="false" outlineLevel="0" collapsed="false">
      <c r="F347" s="15"/>
      <c r="N347" s="16" t="str">
        <f aca="false">IF($D347="","",M347*Y347/100)</f>
        <v/>
      </c>
      <c r="V347" s="16" t="str">
        <f aca="false">IF($D347="","",Y347*AB347/100)</f>
        <v/>
      </c>
      <c r="W347" s="16" t="str">
        <f aca="false">IF($D347="","",Y347-V347)</f>
        <v/>
      </c>
      <c r="X347" s="16" t="str">
        <f aca="false">IF($D347="","",W347-N347)</f>
        <v/>
      </c>
      <c r="AB347" s="17" t="str">
        <f aca="false">IF($D347="","",IF(OR($R347=TRUE(),$R347="TRUE"),Settings!$C$6,Settings!$C$7)*100)</f>
        <v/>
      </c>
      <c r="AH347" s="18" t="str">
        <f aca="false">IF($D347="","",IF(COUNTIF($D$2:$D347,$D347)=1,1,0))</f>
        <v/>
      </c>
      <c r="AI347" s="18" t="str">
        <f aca="false">IF($AH347=1,SUMPRODUCT(--($AK$2:$AK$4001&lt;$AK347))+1,"")</f>
        <v/>
      </c>
      <c r="AJ347" s="18" t="str">
        <f aca="false">IF($D347="","",IF(OR($R347=TRUE(),$R347="TRUE"),1,0))</f>
        <v/>
      </c>
      <c r="AK347" s="18" t="str">
        <f aca="false">IF($AH347=1,IFERROR(VALUE(MID($D347,2,20)),1000000000)+ROW()/10000000,"")</f>
        <v/>
      </c>
    </row>
    <row r="348" customFormat="false" ht="15" hidden="false" customHeight="false" outlineLevel="0" collapsed="false">
      <c r="F348" s="15"/>
      <c r="N348" s="16" t="str">
        <f aca="false">IF($D348="","",M348*Y348/100)</f>
        <v/>
      </c>
      <c r="V348" s="16" t="str">
        <f aca="false">IF($D348="","",Y348*AB348/100)</f>
        <v/>
      </c>
      <c r="W348" s="16" t="str">
        <f aca="false">IF($D348="","",Y348-V348)</f>
        <v/>
      </c>
      <c r="X348" s="16" t="str">
        <f aca="false">IF($D348="","",W348-N348)</f>
        <v/>
      </c>
      <c r="AB348" s="17" t="str">
        <f aca="false">IF($D348="","",IF(OR($R348=TRUE(),$R348="TRUE"),Settings!$C$6,Settings!$C$7)*100)</f>
        <v/>
      </c>
      <c r="AH348" s="18" t="str">
        <f aca="false">IF($D348="","",IF(COUNTIF($D$2:$D348,$D348)=1,1,0))</f>
        <v/>
      </c>
      <c r="AI348" s="18" t="str">
        <f aca="false">IF($AH348=1,SUMPRODUCT(--($AK$2:$AK$4001&lt;$AK348))+1,"")</f>
        <v/>
      </c>
      <c r="AJ348" s="18" t="str">
        <f aca="false">IF($D348="","",IF(OR($R348=TRUE(),$R348="TRUE"),1,0))</f>
        <v/>
      </c>
      <c r="AK348" s="18" t="str">
        <f aca="false">IF($AH348=1,IFERROR(VALUE(MID($D348,2,20)),1000000000)+ROW()/10000000,"")</f>
        <v/>
      </c>
    </row>
    <row r="349" customFormat="false" ht="15" hidden="false" customHeight="false" outlineLevel="0" collapsed="false">
      <c r="F349" s="15"/>
      <c r="N349" s="16" t="str">
        <f aca="false">IF($D349="","",M349*Y349/100)</f>
        <v/>
      </c>
      <c r="V349" s="16" t="str">
        <f aca="false">IF($D349="","",Y349*AB349/100)</f>
        <v/>
      </c>
      <c r="W349" s="16" t="str">
        <f aca="false">IF($D349="","",Y349-V349)</f>
        <v/>
      </c>
      <c r="X349" s="16" t="str">
        <f aca="false">IF($D349="","",W349-N349)</f>
        <v/>
      </c>
      <c r="AB349" s="17" t="str">
        <f aca="false">IF($D349="","",IF(OR($R349=TRUE(),$R349="TRUE"),Settings!$C$6,Settings!$C$7)*100)</f>
        <v/>
      </c>
      <c r="AH349" s="18" t="str">
        <f aca="false">IF($D349="","",IF(COUNTIF($D$2:$D349,$D349)=1,1,0))</f>
        <v/>
      </c>
      <c r="AI349" s="18" t="str">
        <f aca="false">IF($AH349=1,SUMPRODUCT(--($AK$2:$AK$4001&lt;$AK349))+1,"")</f>
        <v/>
      </c>
      <c r="AJ349" s="18" t="str">
        <f aca="false">IF($D349="","",IF(OR($R349=TRUE(),$R349="TRUE"),1,0))</f>
        <v/>
      </c>
      <c r="AK349" s="18" t="str">
        <f aca="false">IF($AH349=1,IFERROR(VALUE(MID($D349,2,20)),1000000000)+ROW()/10000000,"")</f>
        <v/>
      </c>
    </row>
    <row r="350" customFormat="false" ht="15" hidden="false" customHeight="false" outlineLevel="0" collapsed="false">
      <c r="F350" s="15"/>
      <c r="N350" s="16" t="str">
        <f aca="false">IF($D350="","",M350*Y350/100)</f>
        <v/>
      </c>
      <c r="V350" s="16" t="str">
        <f aca="false">IF($D350="","",Y350*AB350/100)</f>
        <v/>
      </c>
      <c r="W350" s="16" t="str">
        <f aca="false">IF($D350="","",Y350-V350)</f>
        <v/>
      </c>
      <c r="X350" s="16" t="str">
        <f aca="false">IF($D350="","",W350-N350)</f>
        <v/>
      </c>
      <c r="AB350" s="17" t="str">
        <f aca="false">IF($D350="","",IF(OR($R350=TRUE(),$R350="TRUE"),Settings!$C$6,Settings!$C$7)*100)</f>
        <v/>
      </c>
      <c r="AH350" s="18" t="str">
        <f aca="false">IF($D350="","",IF(COUNTIF($D$2:$D350,$D350)=1,1,0))</f>
        <v/>
      </c>
      <c r="AI350" s="18" t="str">
        <f aca="false">IF($AH350=1,SUMPRODUCT(--($AK$2:$AK$4001&lt;$AK350))+1,"")</f>
        <v/>
      </c>
      <c r="AJ350" s="18" t="str">
        <f aca="false">IF($D350="","",IF(OR($R350=TRUE(),$R350="TRUE"),1,0))</f>
        <v/>
      </c>
      <c r="AK350" s="18" t="str">
        <f aca="false">IF($AH350=1,IFERROR(VALUE(MID($D350,2,20)),1000000000)+ROW()/10000000,"")</f>
        <v/>
      </c>
    </row>
    <row r="351" customFormat="false" ht="15" hidden="false" customHeight="false" outlineLevel="0" collapsed="false">
      <c r="F351" s="15"/>
      <c r="N351" s="16" t="str">
        <f aca="false">IF($D351="","",M351*Y351/100)</f>
        <v/>
      </c>
      <c r="V351" s="16" t="str">
        <f aca="false">IF($D351="","",Y351*AB351/100)</f>
        <v/>
      </c>
      <c r="W351" s="16" t="str">
        <f aca="false">IF($D351="","",Y351-V351)</f>
        <v/>
      </c>
      <c r="X351" s="16" t="str">
        <f aca="false">IF($D351="","",W351-N351)</f>
        <v/>
      </c>
      <c r="AB351" s="17" t="str">
        <f aca="false">IF($D351="","",IF(OR($R351=TRUE(),$R351="TRUE"),Settings!$C$6,Settings!$C$7)*100)</f>
        <v/>
      </c>
      <c r="AH351" s="18" t="str">
        <f aca="false">IF($D351="","",IF(COUNTIF($D$2:$D351,$D351)=1,1,0))</f>
        <v/>
      </c>
      <c r="AI351" s="18" t="str">
        <f aca="false">IF($AH351=1,SUMPRODUCT(--($AK$2:$AK$4001&lt;$AK351))+1,"")</f>
        <v/>
      </c>
      <c r="AJ351" s="18" t="str">
        <f aca="false">IF($D351="","",IF(OR($R351=TRUE(),$R351="TRUE"),1,0))</f>
        <v/>
      </c>
      <c r="AK351" s="18" t="str">
        <f aca="false">IF($AH351=1,IFERROR(VALUE(MID($D351,2,20)),1000000000)+ROW()/10000000,"")</f>
        <v/>
      </c>
    </row>
    <row r="352" customFormat="false" ht="15" hidden="false" customHeight="false" outlineLevel="0" collapsed="false">
      <c r="F352" s="15"/>
      <c r="N352" s="16" t="str">
        <f aca="false">IF($D352="","",M352*Y352/100)</f>
        <v/>
      </c>
      <c r="V352" s="16" t="str">
        <f aca="false">IF($D352="","",Y352*AB352/100)</f>
        <v/>
      </c>
      <c r="W352" s="16" t="str">
        <f aca="false">IF($D352="","",Y352-V352)</f>
        <v/>
      </c>
      <c r="X352" s="16" t="str">
        <f aca="false">IF($D352="","",W352-N352)</f>
        <v/>
      </c>
      <c r="AB352" s="17" t="str">
        <f aca="false">IF($D352="","",IF(OR($R352=TRUE(),$R352="TRUE"),Settings!$C$6,Settings!$C$7)*100)</f>
        <v/>
      </c>
      <c r="AH352" s="18" t="str">
        <f aca="false">IF($D352="","",IF(COUNTIF($D$2:$D352,$D352)=1,1,0))</f>
        <v/>
      </c>
      <c r="AI352" s="18" t="str">
        <f aca="false">IF($AH352=1,SUMPRODUCT(--($AK$2:$AK$4001&lt;$AK352))+1,"")</f>
        <v/>
      </c>
      <c r="AJ352" s="18" t="str">
        <f aca="false">IF($D352="","",IF(OR($R352=TRUE(),$R352="TRUE"),1,0))</f>
        <v/>
      </c>
      <c r="AK352" s="18" t="str">
        <f aca="false">IF($AH352=1,IFERROR(VALUE(MID($D352,2,20)),1000000000)+ROW()/10000000,"")</f>
        <v/>
      </c>
    </row>
    <row r="353" customFormat="false" ht="15" hidden="false" customHeight="false" outlineLevel="0" collapsed="false">
      <c r="F353" s="15"/>
      <c r="N353" s="16" t="str">
        <f aca="false">IF($D353="","",M353*Y353/100)</f>
        <v/>
      </c>
      <c r="V353" s="16" t="str">
        <f aca="false">IF($D353="","",Y353*AB353/100)</f>
        <v/>
      </c>
      <c r="W353" s="16" t="str">
        <f aca="false">IF($D353="","",Y353-V353)</f>
        <v/>
      </c>
      <c r="X353" s="16" t="str">
        <f aca="false">IF($D353="","",W353-N353)</f>
        <v/>
      </c>
      <c r="AB353" s="17" t="str">
        <f aca="false">IF($D353="","",IF(OR($R353=TRUE(),$R353="TRUE"),Settings!$C$6,Settings!$C$7)*100)</f>
        <v/>
      </c>
      <c r="AH353" s="18" t="str">
        <f aca="false">IF($D353="","",IF(COUNTIF($D$2:$D353,$D353)=1,1,0))</f>
        <v/>
      </c>
      <c r="AI353" s="18" t="str">
        <f aca="false">IF($AH353=1,SUMPRODUCT(--($AK$2:$AK$4001&lt;$AK353))+1,"")</f>
        <v/>
      </c>
      <c r="AJ353" s="18" t="str">
        <f aca="false">IF($D353="","",IF(OR($R353=TRUE(),$R353="TRUE"),1,0))</f>
        <v/>
      </c>
      <c r="AK353" s="18" t="str">
        <f aca="false">IF($AH353=1,IFERROR(VALUE(MID($D353,2,20)),1000000000)+ROW()/10000000,"")</f>
        <v/>
      </c>
    </row>
    <row r="354" customFormat="false" ht="15" hidden="false" customHeight="false" outlineLevel="0" collapsed="false">
      <c r="F354" s="15"/>
      <c r="N354" s="16" t="str">
        <f aca="false">IF($D354="","",M354*Y354/100)</f>
        <v/>
      </c>
      <c r="V354" s="16" t="str">
        <f aca="false">IF($D354="","",Y354*AB354/100)</f>
        <v/>
      </c>
      <c r="W354" s="16" t="str">
        <f aca="false">IF($D354="","",Y354-V354)</f>
        <v/>
      </c>
      <c r="X354" s="16" t="str">
        <f aca="false">IF($D354="","",W354-N354)</f>
        <v/>
      </c>
      <c r="AB354" s="17" t="str">
        <f aca="false">IF($D354="","",IF(OR($R354=TRUE(),$R354="TRUE"),Settings!$C$6,Settings!$C$7)*100)</f>
        <v/>
      </c>
      <c r="AH354" s="18" t="str">
        <f aca="false">IF($D354="","",IF(COUNTIF($D$2:$D354,$D354)=1,1,0))</f>
        <v/>
      </c>
      <c r="AI354" s="18" t="str">
        <f aca="false">IF($AH354=1,SUMPRODUCT(--($AK$2:$AK$4001&lt;$AK354))+1,"")</f>
        <v/>
      </c>
      <c r="AJ354" s="18" t="str">
        <f aca="false">IF($D354="","",IF(OR($R354=TRUE(),$R354="TRUE"),1,0))</f>
        <v/>
      </c>
      <c r="AK354" s="18" t="str">
        <f aca="false">IF($AH354=1,IFERROR(VALUE(MID($D354,2,20)),1000000000)+ROW()/10000000,"")</f>
        <v/>
      </c>
    </row>
    <row r="355" customFormat="false" ht="15" hidden="false" customHeight="false" outlineLevel="0" collapsed="false">
      <c r="F355" s="15"/>
      <c r="N355" s="16" t="str">
        <f aca="false">IF($D355="","",M355*Y355/100)</f>
        <v/>
      </c>
      <c r="V355" s="16" t="str">
        <f aca="false">IF($D355="","",Y355*AB355/100)</f>
        <v/>
      </c>
      <c r="W355" s="16" t="str">
        <f aca="false">IF($D355="","",Y355-V355)</f>
        <v/>
      </c>
      <c r="X355" s="16" t="str">
        <f aca="false">IF($D355="","",W355-N355)</f>
        <v/>
      </c>
      <c r="AB355" s="17" t="str">
        <f aca="false">IF($D355="","",IF(OR($R355=TRUE(),$R355="TRUE"),Settings!$C$6,Settings!$C$7)*100)</f>
        <v/>
      </c>
      <c r="AH355" s="18" t="str">
        <f aca="false">IF($D355="","",IF(COUNTIF($D$2:$D355,$D355)=1,1,0))</f>
        <v/>
      </c>
      <c r="AI355" s="18" t="str">
        <f aca="false">IF($AH355=1,SUMPRODUCT(--($AK$2:$AK$4001&lt;$AK355))+1,"")</f>
        <v/>
      </c>
      <c r="AJ355" s="18" t="str">
        <f aca="false">IF($D355="","",IF(OR($R355=TRUE(),$R355="TRUE"),1,0))</f>
        <v/>
      </c>
      <c r="AK355" s="18" t="str">
        <f aca="false">IF($AH355=1,IFERROR(VALUE(MID($D355,2,20)),1000000000)+ROW()/10000000,"")</f>
        <v/>
      </c>
    </row>
    <row r="356" customFormat="false" ht="15" hidden="false" customHeight="false" outlineLevel="0" collapsed="false">
      <c r="F356" s="15"/>
      <c r="N356" s="16" t="str">
        <f aca="false">IF($D356="","",M356*Y356/100)</f>
        <v/>
      </c>
      <c r="V356" s="16" t="str">
        <f aca="false">IF($D356="","",Y356*AB356/100)</f>
        <v/>
      </c>
      <c r="W356" s="16" t="str">
        <f aca="false">IF($D356="","",Y356-V356)</f>
        <v/>
      </c>
      <c r="X356" s="16" t="str">
        <f aca="false">IF($D356="","",W356-N356)</f>
        <v/>
      </c>
      <c r="AB356" s="17" t="str">
        <f aca="false">IF($D356="","",IF(OR($R356=TRUE(),$R356="TRUE"),Settings!$C$6,Settings!$C$7)*100)</f>
        <v/>
      </c>
      <c r="AH356" s="18" t="str">
        <f aca="false">IF($D356="","",IF(COUNTIF($D$2:$D356,$D356)=1,1,0))</f>
        <v/>
      </c>
      <c r="AI356" s="18" t="str">
        <f aca="false">IF($AH356=1,SUMPRODUCT(--($AK$2:$AK$4001&lt;$AK356))+1,"")</f>
        <v/>
      </c>
      <c r="AJ356" s="18" t="str">
        <f aca="false">IF($D356="","",IF(OR($R356=TRUE(),$R356="TRUE"),1,0))</f>
        <v/>
      </c>
      <c r="AK356" s="18" t="str">
        <f aca="false">IF($AH356=1,IFERROR(VALUE(MID($D356,2,20)),1000000000)+ROW()/10000000,"")</f>
        <v/>
      </c>
    </row>
    <row r="357" customFormat="false" ht="15" hidden="false" customHeight="false" outlineLevel="0" collapsed="false">
      <c r="F357" s="15"/>
      <c r="N357" s="16" t="str">
        <f aca="false">IF($D357="","",M357*Y357/100)</f>
        <v/>
      </c>
      <c r="V357" s="16" t="str">
        <f aca="false">IF($D357="","",Y357*AB357/100)</f>
        <v/>
      </c>
      <c r="W357" s="16" t="str">
        <f aca="false">IF($D357="","",Y357-V357)</f>
        <v/>
      </c>
      <c r="X357" s="16" t="str">
        <f aca="false">IF($D357="","",W357-N357)</f>
        <v/>
      </c>
      <c r="AB357" s="17" t="str">
        <f aca="false">IF($D357="","",IF(OR($R357=TRUE(),$R357="TRUE"),Settings!$C$6,Settings!$C$7)*100)</f>
        <v/>
      </c>
      <c r="AH357" s="18" t="str">
        <f aca="false">IF($D357="","",IF(COUNTIF($D$2:$D357,$D357)=1,1,0))</f>
        <v/>
      </c>
      <c r="AI357" s="18" t="str">
        <f aca="false">IF($AH357=1,SUMPRODUCT(--($AK$2:$AK$4001&lt;$AK357))+1,"")</f>
        <v/>
      </c>
      <c r="AJ357" s="18" t="str">
        <f aca="false">IF($D357="","",IF(OR($R357=TRUE(),$R357="TRUE"),1,0))</f>
        <v/>
      </c>
      <c r="AK357" s="18" t="str">
        <f aca="false">IF($AH357=1,IFERROR(VALUE(MID($D357,2,20)),1000000000)+ROW()/10000000,"")</f>
        <v/>
      </c>
    </row>
    <row r="358" customFormat="false" ht="15" hidden="false" customHeight="false" outlineLevel="0" collapsed="false">
      <c r="F358" s="15"/>
      <c r="N358" s="16" t="str">
        <f aca="false">IF($D358="","",M358*Y358/100)</f>
        <v/>
      </c>
      <c r="V358" s="16" t="str">
        <f aca="false">IF($D358="","",Y358*AB358/100)</f>
        <v/>
      </c>
      <c r="W358" s="16" t="str">
        <f aca="false">IF($D358="","",Y358-V358)</f>
        <v/>
      </c>
      <c r="X358" s="16" t="str">
        <f aca="false">IF($D358="","",W358-N358)</f>
        <v/>
      </c>
      <c r="AB358" s="17" t="str">
        <f aca="false">IF($D358="","",IF(OR($R358=TRUE(),$R358="TRUE"),Settings!$C$6,Settings!$C$7)*100)</f>
        <v/>
      </c>
      <c r="AH358" s="18" t="str">
        <f aca="false">IF($D358="","",IF(COUNTIF($D$2:$D358,$D358)=1,1,0))</f>
        <v/>
      </c>
      <c r="AI358" s="18" t="str">
        <f aca="false">IF($AH358=1,SUMPRODUCT(--($AK$2:$AK$4001&lt;$AK358))+1,"")</f>
        <v/>
      </c>
      <c r="AJ358" s="18" t="str">
        <f aca="false">IF($D358="","",IF(OR($R358=TRUE(),$R358="TRUE"),1,0))</f>
        <v/>
      </c>
      <c r="AK358" s="18" t="str">
        <f aca="false">IF($AH358=1,IFERROR(VALUE(MID($D358,2,20)),1000000000)+ROW()/10000000,"")</f>
        <v/>
      </c>
    </row>
    <row r="359" customFormat="false" ht="15" hidden="false" customHeight="false" outlineLevel="0" collapsed="false">
      <c r="F359" s="15"/>
      <c r="N359" s="16" t="str">
        <f aca="false">IF($D359="","",M359*Y359/100)</f>
        <v/>
      </c>
      <c r="V359" s="16" t="str">
        <f aca="false">IF($D359="","",Y359*AB359/100)</f>
        <v/>
      </c>
      <c r="W359" s="16" t="str">
        <f aca="false">IF($D359="","",Y359-V359)</f>
        <v/>
      </c>
      <c r="X359" s="16" t="str">
        <f aca="false">IF($D359="","",W359-N359)</f>
        <v/>
      </c>
      <c r="AB359" s="17" t="str">
        <f aca="false">IF($D359="","",IF(OR($R359=TRUE(),$R359="TRUE"),Settings!$C$6,Settings!$C$7)*100)</f>
        <v/>
      </c>
      <c r="AH359" s="18" t="str">
        <f aca="false">IF($D359="","",IF(COUNTIF($D$2:$D359,$D359)=1,1,0))</f>
        <v/>
      </c>
      <c r="AI359" s="18" t="str">
        <f aca="false">IF($AH359=1,SUMPRODUCT(--($AK$2:$AK$4001&lt;$AK359))+1,"")</f>
        <v/>
      </c>
      <c r="AJ359" s="18" t="str">
        <f aca="false">IF($D359="","",IF(OR($R359=TRUE(),$R359="TRUE"),1,0))</f>
        <v/>
      </c>
      <c r="AK359" s="18" t="str">
        <f aca="false">IF($AH359=1,IFERROR(VALUE(MID($D359,2,20)),1000000000)+ROW()/10000000,"")</f>
        <v/>
      </c>
    </row>
    <row r="360" customFormat="false" ht="15" hidden="false" customHeight="false" outlineLevel="0" collapsed="false">
      <c r="F360" s="15"/>
      <c r="N360" s="16" t="str">
        <f aca="false">IF($D360="","",M360*Y360/100)</f>
        <v/>
      </c>
      <c r="V360" s="16" t="str">
        <f aca="false">IF($D360="","",Y360*AB360/100)</f>
        <v/>
      </c>
      <c r="W360" s="16" t="str">
        <f aca="false">IF($D360="","",Y360-V360)</f>
        <v/>
      </c>
      <c r="X360" s="16" t="str">
        <f aca="false">IF($D360="","",W360-N360)</f>
        <v/>
      </c>
      <c r="AB360" s="17" t="str">
        <f aca="false">IF($D360="","",IF(OR($R360=TRUE(),$R360="TRUE"),Settings!$C$6,Settings!$C$7)*100)</f>
        <v/>
      </c>
      <c r="AH360" s="18" t="str">
        <f aca="false">IF($D360="","",IF(COUNTIF($D$2:$D360,$D360)=1,1,0))</f>
        <v/>
      </c>
      <c r="AI360" s="18" t="str">
        <f aca="false">IF($AH360=1,SUMPRODUCT(--($AK$2:$AK$4001&lt;$AK360))+1,"")</f>
        <v/>
      </c>
      <c r="AJ360" s="18" t="str">
        <f aca="false">IF($D360="","",IF(OR($R360=TRUE(),$R360="TRUE"),1,0))</f>
        <v/>
      </c>
      <c r="AK360" s="18" t="str">
        <f aca="false">IF($AH360=1,IFERROR(VALUE(MID($D360,2,20)),1000000000)+ROW()/10000000,"")</f>
        <v/>
      </c>
    </row>
    <row r="361" customFormat="false" ht="15" hidden="false" customHeight="false" outlineLevel="0" collapsed="false">
      <c r="F361" s="15"/>
      <c r="N361" s="16" t="str">
        <f aca="false">IF($D361="","",M361*Y361/100)</f>
        <v/>
      </c>
      <c r="V361" s="16" t="str">
        <f aca="false">IF($D361="","",Y361*AB361/100)</f>
        <v/>
      </c>
      <c r="W361" s="16" t="str">
        <f aca="false">IF($D361="","",Y361-V361)</f>
        <v/>
      </c>
      <c r="X361" s="16" t="str">
        <f aca="false">IF($D361="","",W361-N361)</f>
        <v/>
      </c>
      <c r="AB361" s="17" t="str">
        <f aca="false">IF($D361="","",IF(OR($R361=TRUE(),$R361="TRUE"),Settings!$C$6,Settings!$C$7)*100)</f>
        <v/>
      </c>
      <c r="AH361" s="18" t="str">
        <f aca="false">IF($D361="","",IF(COUNTIF($D$2:$D361,$D361)=1,1,0))</f>
        <v/>
      </c>
      <c r="AI361" s="18" t="str">
        <f aca="false">IF($AH361=1,SUMPRODUCT(--($AK$2:$AK$4001&lt;$AK361))+1,"")</f>
        <v/>
      </c>
      <c r="AJ361" s="18" t="str">
        <f aca="false">IF($D361="","",IF(OR($R361=TRUE(),$R361="TRUE"),1,0))</f>
        <v/>
      </c>
      <c r="AK361" s="18" t="str">
        <f aca="false">IF($AH361=1,IFERROR(VALUE(MID($D361,2,20)),1000000000)+ROW()/10000000,"")</f>
        <v/>
      </c>
    </row>
    <row r="362" customFormat="false" ht="15" hidden="false" customHeight="false" outlineLevel="0" collapsed="false">
      <c r="F362" s="15"/>
      <c r="N362" s="16" t="str">
        <f aca="false">IF($D362="","",M362*Y362/100)</f>
        <v/>
      </c>
      <c r="V362" s="16" t="str">
        <f aca="false">IF($D362="","",Y362*AB362/100)</f>
        <v/>
      </c>
      <c r="W362" s="16" t="str">
        <f aca="false">IF($D362="","",Y362-V362)</f>
        <v/>
      </c>
      <c r="X362" s="16" t="str">
        <f aca="false">IF($D362="","",W362-N362)</f>
        <v/>
      </c>
      <c r="AB362" s="17" t="str">
        <f aca="false">IF($D362="","",IF(OR($R362=TRUE(),$R362="TRUE"),Settings!$C$6,Settings!$C$7)*100)</f>
        <v/>
      </c>
      <c r="AH362" s="18" t="str">
        <f aca="false">IF($D362="","",IF(COUNTIF($D$2:$D362,$D362)=1,1,0))</f>
        <v/>
      </c>
      <c r="AI362" s="18" t="str">
        <f aca="false">IF($AH362=1,SUMPRODUCT(--($AK$2:$AK$4001&lt;$AK362))+1,"")</f>
        <v/>
      </c>
      <c r="AJ362" s="18" t="str">
        <f aca="false">IF($D362="","",IF(OR($R362=TRUE(),$R362="TRUE"),1,0))</f>
        <v/>
      </c>
      <c r="AK362" s="18" t="str">
        <f aca="false">IF($AH362=1,IFERROR(VALUE(MID($D362,2,20)),1000000000)+ROW()/10000000,"")</f>
        <v/>
      </c>
    </row>
    <row r="363" customFormat="false" ht="15" hidden="false" customHeight="false" outlineLevel="0" collapsed="false">
      <c r="F363" s="15"/>
      <c r="N363" s="16" t="str">
        <f aca="false">IF($D363="","",M363*Y363/100)</f>
        <v/>
      </c>
      <c r="V363" s="16" t="str">
        <f aca="false">IF($D363="","",Y363*AB363/100)</f>
        <v/>
      </c>
      <c r="W363" s="16" t="str">
        <f aca="false">IF($D363="","",Y363-V363)</f>
        <v/>
      </c>
      <c r="X363" s="16" t="str">
        <f aca="false">IF($D363="","",W363-N363)</f>
        <v/>
      </c>
      <c r="AB363" s="17" t="str">
        <f aca="false">IF($D363="","",IF(OR($R363=TRUE(),$R363="TRUE"),Settings!$C$6,Settings!$C$7)*100)</f>
        <v/>
      </c>
      <c r="AH363" s="18" t="str">
        <f aca="false">IF($D363="","",IF(COUNTIF($D$2:$D363,$D363)=1,1,0))</f>
        <v/>
      </c>
      <c r="AI363" s="18" t="str">
        <f aca="false">IF($AH363=1,SUMPRODUCT(--($AK$2:$AK$4001&lt;$AK363))+1,"")</f>
        <v/>
      </c>
      <c r="AJ363" s="18" t="str">
        <f aca="false">IF($D363="","",IF(OR($R363=TRUE(),$R363="TRUE"),1,0))</f>
        <v/>
      </c>
      <c r="AK363" s="18" t="str">
        <f aca="false">IF($AH363=1,IFERROR(VALUE(MID($D363,2,20)),1000000000)+ROW()/10000000,"")</f>
        <v/>
      </c>
    </row>
    <row r="364" customFormat="false" ht="15" hidden="false" customHeight="false" outlineLevel="0" collapsed="false">
      <c r="F364" s="15"/>
      <c r="N364" s="16" t="str">
        <f aca="false">IF($D364="","",M364*Y364/100)</f>
        <v/>
      </c>
      <c r="V364" s="16" t="str">
        <f aca="false">IF($D364="","",Y364*AB364/100)</f>
        <v/>
      </c>
      <c r="W364" s="16" t="str">
        <f aca="false">IF($D364="","",Y364-V364)</f>
        <v/>
      </c>
      <c r="X364" s="16" t="str">
        <f aca="false">IF($D364="","",W364-N364)</f>
        <v/>
      </c>
      <c r="AB364" s="17" t="str">
        <f aca="false">IF($D364="","",IF(OR($R364=TRUE(),$R364="TRUE"),Settings!$C$6,Settings!$C$7)*100)</f>
        <v/>
      </c>
      <c r="AH364" s="18" t="str">
        <f aca="false">IF($D364="","",IF(COUNTIF($D$2:$D364,$D364)=1,1,0))</f>
        <v/>
      </c>
      <c r="AI364" s="18" t="str">
        <f aca="false">IF($AH364=1,SUMPRODUCT(--($AK$2:$AK$4001&lt;$AK364))+1,"")</f>
        <v/>
      </c>
      <c r="AJ364" s="18" t="str">
        <f aca="false">IF($D364="","",IF(OR($R364=TRUE(),$R364="TRUE"),1,0))</f>
        <v/>
      </c>
      <c r="AK364" s="18" t="str">
        <f aca="false">IF($AH364=1,IFERROR(VALUE(MID($D364,2,20)),1000000000)+ROW()/10000000,"")</f>
        <v/>
      </c>
    </row>
    <row r="365" customFormat="false" ht="15" hidden="false" customHeight="false" outlineLevel="0" collapsed="false">
      <c r="F365" s="15"/>
      <c r="N365" s="16" t="str">
        <f aca="false">IF($D365="","",M365*Y365/100)</f>
        <v/>
      </c>
      <c r="V365" s="16" t="str">
        <f aca="false">IF($D365="","",Y365*AB365/100)</f>
        <v/>
      </c>
      <c r="W365" s="16" t="str">
        <f aca="false">IF($D365="","",Y365-V365)</f>
        <v/>
      </c>
      <c r="X365" s="16" t="str">
        <f aca="false">IF($D365="","",W365-N365)</f>
        <v/>
      </c>
      <c r="AB365" s="17" t="str">
        <f aca="false">IF($D365="","",IF(OR($R365=TRUE(),$R365="TRUE"),Settings!$C$6,Settings!$C$7)*100)</f>
        <v/>
      </c>
      <c r="AH365" s="18" t="str">
        <f aca="false">IF($D365="","",IF(COUNTIF($D$2:$D365,$D365)=1,1,0))</f>
        <v/>
      </c>
      <c r="AI365" s="18" t="str">
        <f aca="false">IF($AH365=1,SUMPRODUCT(--($AK$2:$AK$4001&lt;$AK365))+1,"")</f>
        <v/>
      </c>
      <c r="AJ365" s="18" t="str">
        <f aca="false">IF($D365="","",IF(OR($R365=TRUE(),$R365="TRUE"),1,0))</f>
        <v/>
      </c>
      <c r="AK365" s="18" t="str">
        <f aca="false">IF($AH365=1,IFERROR(VALUE(MID($D365,2,20)),1000000000)+ROW()/10000000,"")</f>
        <v/>
      </c>
    </row>
    <row r="366" customFormat="false" ht="15" hidden="false" customHeight="false" outlineLevel="0" collapsed="false">
      <c r="F366" s="15"/>
      <c r="N366" s="16" t="str">
        <f aca="false">IF($D366="","",M366*Y366/100)</f>
        <v/>
      </c>
      <c r="V366" s="16" t="str">
        <f aca="false">IF($D366="","",Y366*AB366/100)</f>
        <v/>
      </c>
      <c r="W366" s="16" t="str">
        <f aca="false">IF($D366="","",Y366-V366)</f>
        <v/>
      </c>
      <c r="X366" s="16" t="str">
        <f aca="false">IF($D366="","",W366-N366)</f>
        <v/>
      </c>
      <c r="AB366" s="17" t="str">
        <f aca="false">IF($D366="","",IF(OR($R366=TRUE(),$R366="TRUE"),Settings!$C$6,Settings!$C$7)*100)</f>
        <v/>
      </c>
      <c r="AH366" s="18" t="str">
        <f aca="false">IF($D366="","",IF(COUNTIF($D$2:$D366,$D366)=1,1,0))</f>
        <v/>
      </c>
      <c r="AI366" s="18" t="str">
        <f aca="false">IF($AH366=1,SUMPRODUCT(--($AK$2:$AK$4001&lt;$AK366))+1,"")</f>
        <v/>
      </c>
      <c r="AJ366" s="18" t="str">
        <f aca="false">IF($D366="","",IF(OR($R366=TRUE(),$R366="TRUE"),1,0))</f>
        <v/>
      </c>
      <c r="AK366" s="18" t="str">
        <f aca="false">IF($AH366=1,IFERROR(VALUE(MID($D366,2,20)),1000000000)+ROW()/10000000,"")</f>
        <v/>
      </c>
    </row>
    <row r="367" customFormat="false" ht="15" hidden="false" customHeight="false" outlineLevel="0" collapsed="false">
      <c r="F367" s="15"/>
      <c r="N367" s="16" t="str">
        <f aca="false">IF($D367="","",M367*Y367/100)</f>
        <v/>
      </c>
      <c r="V367" s="16" t="str">
        <f aca="false">IF($D367="","",Y367*AB367/100)</f>
        <v/>
      </c>
      <c r="W367" s="16" t="str">
        <f aca="false">IF($D367="","",Y367-V367)</f>
        <v/>
      </c>
      <c r="X367" s="16" t="str">
        <f aca="false">IF($D367="","",W367-N367)</f>
        <v/>
      </c>
      <c r="AB367" s="17" t="str">
        <f aca="false">IF($D367="","",IF(OR($R367=TRUE(),$R367="TRUE"),Settings!$C$6,Settings!$C$7)*100)</f>
        <v/>
      </c>
      <c r="AH367" s="18" t="str">
        <f aca="false">IF($D367="","",IF(COUNTIF($D$2:$D367,$D367)=1,1,0))</f>
        <v/>
      </c>
      <c r="AI367" s="18" t="str">
        <f aca="false">IF($AH367=1,SUMPRODUCT(--($AK$2:$AK$4001&lt;$AK367))+1,"")</f>
        <v/>
      </c>
      <c r="AJ367" s="18" t="str">
        <f aca="false">IF($D367="","",IF(OR($R367=TRUE(),$R367="TRUE"),1,0))</f>
        <v/>
      </c>
      <c r="AK367" s="18" t="str">
        <f aca="false">IF($AH367=1,IFERROR(VALUE(MID($D367,2,20)),1000000000)+ROW()/10000000,"")</f>
        <v/>
      </c>
    </row>
    <row r="368" customFormat="false" ht="15" hidden="false" customHeight="false" outlineLevel="0" collapsed="false">
      <c r="F368" s="15"/>
      <c r="N368" s="16" t="str">
        <f aca="false">IF($D368="","",M368*Y368/100)</f>
        <v/>
      </c>
      <c r="V368" s="16" t="str">
        <f aca="false">IF($D368="","",Y368*AB368/100)</f>
        <v/>
      </c>
      <c r="W368" s="16" t="str">
        <f aca="false">IF($D368="","",Y368-V368)</f>
        <v/>
      </c>
      <c r="X368" s="16" t="str">
        <f aca="false">IF($D368="","",W368-N368)</f>
        <v/>
      </c>
      <c r="AB368" s="17" t="str">
        <f aca="false">IF($D368="","",IF(OR($R368=TRUE(),$R368="TRUE"),Settings!$C$6,Settings!$C$7)*100)</f>
        <v/>
      </c>
      <c r="AH368" s="18" t="str">
        <f aca="false">IF($D368="","",IF(COUNTIF($D$2:$D368,$D368)=1,1,0))</f>
        <v/>
      </c>
      <c r="AI368" s="18" t="str">
        <f aca="false">IF($AH368=1,SUMPRODUCT(--($AK$2:$AK$4001&lt;$AK368))+1,"")</f>
        <v/>
      </c>
      <c r="AJ368" s="18" t="str">
        <f aca="false">IF($D368="","",IF(OR($R368=TRUE(),$R368="TRUE"),1,0))</f>
        <v/>
      </c>
      <c r="AK368" s="18" t="str">
        <f aca="false">IF($AH368=1,IFERROR(VALUE(MID($D368,2,20)),1000000000)+ROW()/10000000,"")</f>
        <v/>
      </c>
    </row>
    <row r="369" customFormat="false" ht="15" hidden="false" customHeight="false" outlineLevel="0" collapsed="false">
      <c r="F369" s="15"/>
      <c r="N369" s="16" t="str">
        <f aca="false">IF($D369="","",M369*Y369/100)</f>
        <v/>
      </c>
      <c r="V369" s="16" t="str">
        <f aca="false">IF($D369="","",Y369*AB369/100)</f>
        <v/>
      </c>
      <c r="W369" s="16" t="str">
        <f aca="false">IF($D369="","",Y369-V369)</f>
        <v/>
      </c>
      <c r="X369" s="16" t="str">
        <f aca="false">IF($D369="","",W369-N369)</f>
        <v/>
      </c>
      <c r="AB369" s="17" t="str">
        <f aca="false">IF($D369="","",IF(OR($R369=TRUE(),$R369="TRUE"),Settings!$C$6,Settings!$C$7)*100)</f>
        <v/>
      </c>
      <c r="AH369" s="18" t="str">
        <f aca="false">IF($D369="","",IF(COUNTIF($D$2:$D369,$D369)=1,1,0))</f>
        <v/>
      </c>
      <c r="AI369" s="18" t="str">
        <f aca="false">IF($AH369=1,SUMPRODUCT(--($AK$2:$AK$4001&lt;$AK369))+1,"")</f>
        <v/>
      </c>
      <c r="AJ369" s="18" t="str">
        <f aca="false">IF($D369="","",IF(OR($R369=TRUE(),$R369="TRUE"),1,0))</f>
        <v/>
      </c>
      <c r="AK369" s="18" t="str">
        <f aca="false">IF($AH369=1,IFERROR(VALUE(MID($D369,2,20)),1000000000)+ROW()/10000000,"")</f>
        <v/>
      </c>
    </row>
    <row r="370" customFormat="false" ht="15" hidden="false" customHeight="false" outlineLevel="0" collapsed="false">
      <c r="F370" s="15"/>
      <c r="N370" s="16" t="str">
        <f aca="false">IF($D370="","",M370*Y370/100)</f>
        <v/>
      </c>
      <c r="V370" s="16" t="str">
        <f aca="false">IF($D370="","",Y370*AB370/100)</f>
        <v/>
      </c>
      <c r="W370" s="16" t="str">
        <f aca="false">IF($D370="","",Y370-V370)</f>
        <v/>
      </c>
      <c r="X370" s="16" t="str">
        <f aca="false">IF($D370="","",W370-N370)</f>
        <v/>
      </c>
      <c r="AB370" s="17" t="str">
        <f aca="false">IF($D370="","",IF(OR($R370=TRUE(),$R370="TRUE"),Settings!$C$6,Settings!$C$7)*100)</f>
        <v/>
      </c>
      <c r="AH370" s="18" t="str">
        <f aca="false">IF($D370="","",IF(COUNTIF($D$2:$D370,$D370)=1,1,0))</f>
        <v/>
      </c>
      <c r="AI370" s="18" t="str">
        <f aca="false">IF($AH370=1,SUMPRODUCT(--($AK$2:$AK$4001&lt;$AK370))+1,"")</f>
        <v/>
      </c>
      <c r="AJ370" s="18" t="str">
        <f aca="false">IF($D370="","",IF(OR($R370=TRUE(),$R370="TRUE"),1,0))</f>
        <v/>
      </c>
      <c r="AK370" s="18" t="str">
        <f aca="false">IF($AH370=1,IFERROR(VALUE(MID($D370,2,20)),1000000000)+ROW()/10000000,"")</f>
        <v/>
      </c>
    </row>
    <row r="371" customFormat="false" ht="15" hidden="false" customHeight="false" outlineLevel="0" collapsed="false">
      <c r="F371" s="15"/>
      <c r="N371" s="16" t="str">
        <f aca="false">IF($D371="","",M371*Y371/100)</f>
        <v/>
      </c>
      <c r="V371" s="16" t="str">
        <f aca="false">IF($D371="","",Y371*AB371/100)</f>
        <v/>
      </c>
      <c r="W371" s="16" t="str">
        <f aca="false">IF($D371="","",Y371-V371)</f>
        <v/>
      </c>
      <c r="X371" s="16" t="str">
        <f aca="false">IF($D371="","",W371-N371)</f>
        <v/>
      </c>
      <c r="AB371" s="17" t="str">
        <f aca="false">IF($D371="","",IF(OR($R371=TRUE(),$R371="TRUE"),Settings!$C$6,Settings!$C$7)*100)</f>
        <v/>
      </c>
      <c r="AH371" s="18" t="str">
        <f aca="false">IF($D371="","",IF(COUNTIF($D$2:$D371,$D371)=1,1,0))</f>
        <v/>
      </c>
      <c r="AI371" s="18" t="str">
        <f aca="false">IF($AH371=1,SUMPRODUCT(--($AK$2:$AK$4001&lt;$AK371))+1,"")</f>
        <v/>
      </c>
      <c r="AJ371" s="18" t="str">
        <f aca="false">IF($D371="","",IF(OR($R371=TRUE(),$R371="TRUE"),1,0))</f>
        <v/>
      </c>
      <c r="AK371" s="18" t="str">
        <f aca="false">IF($AH371=1,IFERROR(VALUE(MID($D371,2,20)),1000000000)+ROW()/10000000,"")</f>
        <v/>
      </c>
    </row>
    <row r="372" customFormat="false" ht="15" hidden="false" customHeight="false" outlineLevel="0" collapsed="false">
      <c r="F372" s="15"/>
      <c r="N372" s="16" t="str">
        <f aca="false">IF($D372="","",M372*Y372/100)</f>
        <v/>
      </c>
      <c r="V372" s="16" t="str">
        <f aca="false">IF($D372="","",Y372*AB372/100)</f>
        <v/>
      </c>
      <c r="W372" s="16" t="str">
        <f aca="false">IF($D372="","",Y372-V372)</f>
        <v/>
      </c>
      <c r="X372" s="16" t="str">
        <f aca="false">IF($D372="","",W372-N372)</f>
        <v/>
      </c>
      <c r="AB372" s="17" t="str">
        <f aca="false">IF($D372="","",IF(OR($R372=TRUE(),$R372="TRUE"),Settings!$C$6,Settings!$C$7)*100)</f>
        <v/>
      </c>
      <c r="AH372" s="18" t="str">
        <f aca="false">IF($D372="","",IF(COUNTIF($D$2:$D372,$D372)=1,1,0))</f>
        <v/>
      </c>
      <c r="AI372" s="18" t="str">
        <f aca="false">IF($AH372=1,SUMPRODUCT(--($AK$2:$AK$4001&lt;$AK372))+1,"")</f>
        <v/>
      </c>
      <c r="AJ372" s="18" t="str">
        <f aca="false">IF($D372="","",IF(OR($R372=TRUE(),$R372="TRUE"),1,0))</f>
        <v/>
      </c>
      <c r="AK372" s="18" t="str">
        <f aca="false">IF($AH372=1,IFERROR(VALUE(MID($D372,2,20)),1000000000)+ROW()/10000000,"")</f>
        <v/>
      </c>
    </row>
    <row r="373" customFormat="false" ht="15" hidden="false" customHeight="false" outlineLevel="0" collapsed="false">
      <c r="F373" s="15"/>
      <c r="N373" s="16" t="str">
        <f aca="false">IF($D373="","",M373*Y373/100)</f>
        <v/>
      </c>
      <c r="V373" s="16" t="str">
        <f aca="false">IF($D373="","",Y373*AB373/100)</f>
        <v/>
      </c>
      <c r="W373" s="16" t="str">
        <f aca="false">IF($D373="","",Y373-V373)</f>
        <v/>
      </c>
      <c r="X373" s="16" t="str">
        <f aca="false">IF($D373="","",W373-N373)</f>
        <v/>
      </c>
      <c r="AB373" s="17" t="str">
        <f aca="false">IF($D373="","",IF(OR($R373=TRUE(),$R373="TRUE"),Settings!$C$6,Settings!$C$7)*100)</f>
        <v/>
      </c>
      <c r="AH373" s="18" t="str">
        <f aca="false">IF($D373="","",IF(COUNTIF($D$2:$D373,$D373)=1,1,0))</f>
        <v/>
      </c>
      <c r="AI373" s="18" t="str">
        <f aca="false">IF($AH373=1,SUMPRODUCT(--($AK$2:$AK$4001&lt;$AK373))+1,"")</f>
        <v/>
      </c>
      <c r="AJ373" s="18" t="str">
        <f aca="false">IF($D373="","",IF(OR($R373=TRUE(),$R373="TRUE"),1,0))</f>
        <v/>
      </c>
      <c r="AK373" s="18" t="str">
        <f aca="false">IF($AH373=1,IFERROR(VALUE(MID($D373,2,20)),1000000000)+ROW()/10000000,"")</f>
        <v/>
      </c>
    </row>
    <row r="374" customFormat="false" ht="15" hidden="false" customHeight="false" outlineLevel="0" collapsed="false">
      <c r="F374" s="15"/>
      <c r="N374" s="16" t="str">
        <f aca="false">IF($D374="","",M374*Y374/100)</f>
        <v/>
      </c>
      <c r="V374" s="16" t="str">
        <f aca="false">IF($D374="","",Y374*AB374/100)</f>
        <v/>
      </c>
      <c r="W374" s="16" t="str">
        <f aca="false">IF($D374="","",Y374-V374)</f>
        <v/>
      </c>
      <c r="X374" s="16" t="str">
        <f aca="false">IF($D374="","",W374-N374)</f>
        <v/>
      </c>
      <c r="AB374" s="17" t="str">
        <f aca="false">IF($D374="","",IF(OR($R374=TRUE(),$R374="TRUE"),Settings!$C$6,Settings!$C$7)*100)</f>
        <v/>
      </c>
      <c r="AH374" s="18" t="str">
        <f aca="false">IF($D374="","",IF(COUNTIF($D$2:$D374,$D374)=1,1,0))</f>
        <v/>
      </c>
      <c r="AI374" s="18" t="str">
        <f aca="false">IF($AH374=1,SUMPRODUCT(--($AK$2:$AK$4001&lt;$AK374))+1,"")</f>
        <v/>
      </c>
      <c r="AJ374" s="18" t="str">
        <f aca="false">IF($D374="","",IF(OR($R374=TRUE(),$R374="TRUE"),1,0))</f>
        <v/>
      </c>
      <c r="AK374" s="18" t="str">
        <f aca="false">IF($AH374=1,IFERROR(VALUE(MID($D374,2,20)),1000000000)+ROW()/10000000,"")</f>
        <v/>
      </c>
    </row>
    <row r="375" customFormat="false" ht="15" hidden="false" customHeight="false" outlineLevel="0" collapsed="false">
      <c r="F375" s="15"/>
      <c r="N375" s="16" t="str">
        <f aca="false">IF($D375="","",M375*Y375/100)</f>
        <v/>
      </c>
      <c r="V375" s="16" t="str">
        <f aca="false">IF($D375="","",Y375*AB375/100)</f>
        <v/>
      </c>
      <c r="W375" s="16" t="str">
        <f aca="false">IF($D375="","",Y375-V375)</f>
        <v/>
      </c>
      <c r="X375" s="16" t="str">
        <f aca="false">IF($D375="","",W375-N375)</f>
        <v/>
      </c>
      <c r="AB375" s="17" t="str">
        <f aca="false">IF($D375="","",IF(OR($R375=TRUE(),$R375="TRUE"),Settings!$C$6,Settings!$C$7)*100)</f>
        <v/>
      </c>
      <c r="AH375" s="18" t="str">
        <f aca="false">IF($D375="","",IF(COUNTIF($D$2:$D375,$D375)=1,1,0))</f>
        <v/>
      </c>
      <c r="AI375" s="18" t="str">
        <f aca="false">IF($AH375=1,SUMPRODUCT(--($AK$2:$AK$4001&lt;$AK375))+1,"")</f>
        <v/>
      </c>
      <c r="AJ375" s="18" t="str">
        <f aca="false">IF($D375="","",IF(OR($R375=TRUE(),$R375="TRUE"),1,0))</f>
        <v/>
      </c>
      <c r="AK375" s="18" t="str">
        <f aca="false">IF($AH375=1,IFERROR(VALUE(MID($D375,2,20)),1000000000)+ROW()/10000000,"")</f>
        <v/>
      </c>
    </row>
    <row r="376" customFormat="false" ht="15" hidden="false" customHeight="false" outlineLevel="0" collapsed="false">
      <c r="F376" s="15"/>
      <c r="N376" s="16" t="str">
        <f aca="false">IF($D376="","",M376*Y376/100)</f>
        <v/>
      </c>
      <c r="V376" s="16" t="str">
        <f aca="false">IF($D376="","",Y376*AB376/100)</f>
        <v/>
      </c>
      <c r="W376" s="16" t="str">
        <f aca="false">IF($D376="","",Y376-V376)</f>
        <v/>
      </c>
      <c r="X376" s="16" t="str">
        <f aca="false">IF($D376="","",W376-N376)</f>
        <v/>
      </c>
      <c r="AB376" s="17" t="str">
        <f aca="false">IF($D376="","",IF(OR($R376=TRUE(),$R376="TRUE"),Settings!$C$6,Settings!$C$7)*100)</f>
        <v/>
      </c>
      <c r="AH376" s="18" t="str">
        <f aca="false">IF($D376="","",IF(COUNTIF($D$2:$D376,$D376)=1,1,0))</f>
        <v/>
      </c>
      <c r="AI376" s="18" t="str">
        <f aca="false">IF($AH376=1,SUMPRODUCT(--($AK$2:$AK$4001&lt;$AK376))+1,"")</f>
        <v/>
      </c>
      <c r="AJ376" s="18" t="str">
        <f aca="false">IF($D376="","",IF(OR($R376=TRUE(),$R376="TRUE"),1,0))</f>
        <v/>
      </c>
      <c r="AK376" s="18" t="str">
        <f aca="false">IF($AH376=1,IFERROR(VALUE(MID($D376,2,20)),1000000000)+ROW()/10000000,"")</f>
        <v/>
      </c>
    </row>
    <row r="377" customFormat="false" ht="15" hidden="false" customHeight="false" outlineLevel="0" collapsed="false">
      <c r="F377" s="15"/>
      <c r="N377" s="16" t="str">
        <f aca="false">IF($D377="","",M377*Y377/100)</f>
        <v/>
      </c>
      <c r="V377" s="16" t="str">
        <f aca="false">IF($D377="","",Y377*AB377/100)</f>
        <v/>
      </c>
      <c r="W377" s="16" t="str">
        <f aca="false">IF($D377="","",Y377-V377)</f>
        <v/>
      </c>
      <c r="X377" s="16" t="str">
        <f aca="false">IF($D377="","",W377-N377)</f>
        <v/>
      </c>
      <c r="AB377" s="17" t="str">
        <f aca="false">IF($D377="","",IF(OR($R377=TRUE(),$R377="TRUE"),Settings!$C$6,Settings!$C$7)*100)</f>
        <v/>
      </c>
      <c r="AH377" s="18" t="str">
        <f aca="false">IF($D377="","",IF(COUNTIF($D$2:$D377,$D377)=1,1,0))</f>
        <v/>
      </c>
      <c r="AI377" s="18" t="str">
        <f aca="false">IF($AH377=1,SUMPRODUCT(--($AK$2:$AK$4001&lt;$AK377))+1,"")</f>
        <v/>
      </c>
      <c r="AJ377" s="18" t="str">
        <f aca="false">IF($D377="","",IF(OR($R377=TRUE(),$R377="TRUE"),1,0))</f>
        <v/>
      </c>
      <c r="AK377" s="18" t="str">
        <f aca="false">IF($AH377=1,IFERROR(VALUE(MID($D377,2,20)),1000000000)+ROW()/10000000,"")</f>
        <v/>
      </c>
    </row>
    <row r="378" customFormat="false" ht="15" hidden="false" customHeight="false" outlineLevel="0" collapsed="false">
      <c r="F378" s="15"/>
      <c r="N378" s="16" t="str">
        <f aca="false">IF($D378="","",M378*Y378/100)</f>
        <v/>
      </c>
      <c r="V378" s="16" t="str">
        <f aca="false">IF($D378="","",Y378*AB378/100)</f>
        <v/>
      </c>
      <c r="W378" s="16" t="str">
        <f aca="false">IF($D378="","",Y378-V378)</f>
        <v/>
      </c>
      <c r="X378" s="16" t="str">
        <f aca="false">IF($D378="","",W378-N378)</f>
        <v/>
      </c>
      <c r="AB378" s="17" t="str">
        <f aca="false">IF($D378="","",IF(OR($R378=TRUE(),$R378="TRUE"),Settings!$C$6,Settings!$C$7)*100)</f>
        <v/>
      </c>
      <c r="AH378" s="18" t="str">
        <f aca="false">IF($D378="","",IF(COUNTIF($D$2:$D378,$D378)=1,1,0))</f>
        <v/>
      </c>
      <c r="AI378" s="18" t="str">
        <f aca="false">IF($AH378=1,SUMPRODUCT(--($AK$2:$AK$4001&lt;$AK378))+1,"")</f>
        <v/>
      </c>
      <c r="AJ378" s="18" t="str">
        <f aca="false">IF($D378="","",IF(OR($R378=TRUE(),$R378="TRUE"),1,0))</f>
        <v/>
      </c>
      <c r="AK378" s="18" t="str">
        <f aca="false">IF($AH378=1,IFERROR(VALUE(MID($D378,2,20)),1000000000)+ROW()/10000000,"")</f>
        <v/>
      </c>
    </row>
    <row r="379" customFormat="false" ht="15" hidden="false" customHeight="false" outlineLevel="0" collapsed="false">
      <c r="F379" s="15"/>
      <c r="N379" s="16" t="str">
        <f aca="false">IF($D379="","",M379*Y379/100)</f>
        <v/>
      </c>
      <c r="V379" s="16" t="str">
        <f aca="false">IF($D379="","",Y379*AB379/100)</f>
        <v/>
      </c>
      <c r="W379" s="16" t="str">
        <f aca="false">IF($D379="","",Y379-V379)</f>
        <v/>
      </c>
      <c r="X379" s="16" t="str">
        <f aca="false">IF($D379="","",W379-N379)</f>
        <v/>
      </c>
      <c r="AB379" s="17" t="str">
        <f aca="false">IF($D379="","",IF(OR($R379=TRUE(),$R379="TRUE"),Settings!$C$6,Settings!$C$7)*100)</f>
        <v/>
      </c>
      <c r="AH379" s="18" t="str">
        <f aca="false">IF($D379="","",IF(COUNTIF($D$2:$D379,$D379)=1,1,0))</f>
        <v/>
      </c>
      <c r="AI379" s="18" t="str">
        <f aca="false">IF($AH379=1,SUMPRODUCT(--($AK$2:$AK$4001&lt;$AK379))+1,"")</f>
        <v/>
      </c>
      <c r="AJ379" s="18" t="str">
        <f aca="false">IF($D379="","",IF(OR($R379=TRUE(),$R379="TRUE"),1,0))</f>
        <v/>
      </c>
      <c r="AK379" s="18" t="str">
        <f aca="false">IF($AH379=1,IFERROR(VALUE(MID($D379,2,20)),1000000000)+ROW()/10000000,"")</f>
        <v/>
      </c>
    </row>
    <row r="380" customFormat="false" ht="15" hidden="false" customHeight="false" outlineLevel="0" collapsed="false">
      <c r="F380" s="15"/>
      <c r="N380" s="16" t="str">
        <f aca="false">IF($D380="","",M380*Y380/100)</f>
        <v/>
      </c>
      <c r="V380" s="16" t="str">
        <f aca="false">IF($D380="","",Y380*AB380/100)</f>
        <v/>
      </c>
      <c r="W380" s="16" t="str">
        <f aca="false">IF($D380="","",Y380-V380)</f>
        <v/>
      </c>
      <c r="X380" s="16" t="str">
        <f aca="false">IF($D380="","",W380-N380)</f>
        <v/>
      </c>
      <c r="AB380" s="17" t="str">
        <f aca="false">IF($D380="","",IF(OR($R380=TRUE(),$R380="TRUE"),Settings!$C$6,Settings!$C$7)*100)</f>
        <v/>
      </c>
      <c r="AH380" s="18" t="str">
        <f aca="false">IF($D380="","",IF(COUNTIF($D$2:$D380,$D380)=1,1,0))</f>
        <v/>
      </c>
      <c r="AI380" s="18" t="str">
        <f aca="false">IF($AH380=1,SUMPRODUCT(--($AK$2:$AK$4001&lt;$AK380))+1,"")</f>
        <v/>
      </c>
      <c r="AJ380" s="18" t="str">
        <f aca="false">IF($D380="","",IF(OR($R380=TRUE(),$R380="TRUE"),1,0))</f>
        <v/>
      </c>
      <c r="AK380" s="18" t="str">
        <f aca="false">IF($AH380=1,IFERROR(VALUE(MID($D380,2,20)),1000000000)+ROW()/10000000,"")</f>
        <v/>
      </c>
    </row>
    <row r="381" customFormat="false" ht="15" hidden="false" customHeight="false" outlineLevel="0" collapsed="false">
      <c r="F381" s="15"/>
      <c r="N381" s="16" t="str">
        <f aca="false">IF($D381="","",M381*Y381/100)</f>
        <v/>
      </c>
      <c r="V381" s="16" t="str">
        <f aca="false">IF($D381="","",Y381*AB381/100)</f>
        <v/>
      </c>
      <c r="W381" s="16" t="str">
        <f aca="false">IF($D381="","",Y381-V381)</f>
        <v/>
      </c>
      <c r="X381" s="16" t="str">
        <f aca="false">IF($D381="","",W381-N381)</f>
        <v/>
      </c>
      <c r="AB381" s="17" t="str">
        <f aca="false">IF($D381="","",IF(OR($R381=TRUE(),$R381="TRUE"),Settings!$C$6,Settings!$C$7)*100)</f>
        <v/>
      </c>
      <c r="AH381" s="18" t="str">
        <f aca="false">IF($D381="","",IF(COUNTIF($D$2:$D381,$D381)=1,1,0))</f>
        <v/>
      </c>
      <c r="AI381" s="18" t="str">
        <f aca="false">IF($AH381=1,SUMPRODUCT(--($AK$2:$AK$4001&lt;$AK381))+1,"")</f>
        <v/>
      </c>
      <c r="AJ381" s="18" t="str">
        <f aca="false">IF($D381="","",IF(OR($R381=TRUE(),$R381="TRUE"),1,0))</f>
        <v/>
      </c>
      <c r="AK381" s="18" t="str">
        <f aca="false">IF($AH381=1,IFERROR(VALUE(MID($D381,2,20)),1000000000)+ROW()/10000000,"")</f>
        <v/>
      </c>
    </row>
    <row r="382" customFormat="false" ht="15" hidden="false" customHeight="false" outlineLevel="0" collapsed="false">
      <c r="F382" s="15"/>
      <c r="N382" s="16" t="str">
        <f aca="false">IF($D382="","",M382*Y382/100)</f>
        <v/>
      </c>
      <c r="V382" s="16" t="str">
        <f aca="false">IF($D382="","",Y382*AB382/100)</f>
        <v/>
      </c>
      <c r="W382" s="16" t="str">
        <f aca="false">IF($D382="","",Y382-V382)</f>
        <v/>
      </c>
      <c r="X382" s="16" t="str">
        <f aca="false">IF($D382="","",W382-N382)</f>
        <v/>
      </c>
      <c r="AB382" s="17" t="str">
        <f aca="false">IF($D382="","",IF(OR($R382=TRUE(),$R382="TRUE"),Settings!$C$6,Settings!$C$7)*100)</f>
        <v/>
      </c>
      <c r="AH382" s="18" t="str">
        <f aca="false">IF($D382="","",IF(COUNTIF($D$2:$D382,$D382)=1,1,0))</f>
        <v/>
      </c>
      <c r="AI382" s="18" t="str">
        <f aca="false">IF($AH382=1,SUMPRODUCT(--($AK$2:$AK$4001&lt;$AK382))+1,"")</f>
        <v/>
      </c>
      <c r="AJ382" s="18" t="str">
        <f aca="false">IF($D382="","",IF(OR($R382=TRUE(),$R382="TRUE"),1,0))</f>
        <v/>
      </c>
      <c r="AK382" s="18" t="str">
        <f aca="false">IF($AH382=1,IFERROR(VALUE(MID($D382,2,20)),1000000000)+ROW()/10000000,"")</f>
        <v/>
      </c>
    </row>
    <row r="383" customFormat="false" ht="15" hidden="false" customHeight="false" outlineLevel="0" collapsed="false">
      <c r="F383" s="15"/>
      <c r="N383" s="16" t="str">
        <f aca="false">IF($D383="","",M383*Y383/100)</f>
        <v/>
      </c>
      <c r="V383" s="16" t="str">
        <f aca="false">IF($D383="","",Y383*AB383/100)</f>
        <v/>
      </c>
      <c r="W383" s="16" t="str">
        <f aca="false">IF($D383="","",Y383-V383)</f>
        <v/>
      </c>
      <c r="X383" s="16" t="str">
        <f aca="false">IF($D383="","",W383-N383)</f>
        <v/>
      </c>
      <c r="AB383" s="17" t="str">
        <f aca="false">IF($D383="","",IF(OR($R383=TRUE(),$R383="TRUE"),Settings!$C$6,Settings!$C$7)*100)</f>
        <v/>
      </c>
      <c r="AH383" s="18" t="str">
        <f aca="false">IF($D383="","",IF(COUNTIF($D$2:$D383,$D383)=1,1,0))</f>
        <v/>
      </c>
      <c r="AI383" s="18" t="str">
        <f aca="false">IF($AH383=1,SUMPRODUCT(--($AK$2:$AK$4001&lt;$AK383))+1,"")</f>
        <v/>
      </c>
      <c r="AJ383" s="18" t="str">
        <f aca="false">IF($D383="","",IF(OR($R383=TRUE(),$R383="TRUE"),1,0))</f>
        <v/>
      </c>
      <c r="AK383" s="18" t="str">
        <f aca="false">IF($AH383=1,IFERROR(VALUE(MID($D383,2,20)),1000000000)+ROW()/10000000,"")</f>
        <v/>
      </c>
    </row>
    <row r="384" customFormat="false" ht="15" hidden="false" customHeight="false" outlineLevel="0" collapsed="false">
      <c r="F384" s="15"/>
      <c r="N384" s="16" t="str">
        <f aca="false">IF($D384="","",M384*Y384/100)</f>
        <v/>
      </c>
      <c r="V384" s="16" t="str">
        <f aca="false">IF($D384="","",Y384*AB384/100)</f>
        <v/>
      </c>
      <c r="W384" s="16" t="str">
        <f aca="false">IF($D384="","",Y384-V384)</f>
        <v/>
      </c>
      <c r="X384" s="16" t="str">
        <f aca="false">IF($D384="","",W384-N384)</f>
        <v/>
      </c>
      <c r="AB384" s="17" t="str">
        <f aca="false">IF($D384="","",IF(OR($R384=TRUE(),$R384="TRUE"),Settings!$C$6,Settings!$C$7)*100)</f>
        <v/>
      </c>
      <c r="AH384" s="18" t="str">
        <f aca="false">IF($D384="","",IF(COUNTIF($D$2:$D384,$D384)=1,1,0))</f>
        <v/>
      </c>
      <c r="AI384" s="18" t="str">
        <f aca="false">IF($AH384=1,SUMPRODUCT(--($AK$2:$AK$4001&lt;$AK384))+1,"")</f>
        <v/>
      </c>
      <c r="AJ384" s="18" t="str">
        <f aca="false">IF($D384="","",IF(OR($R384=TRUE(),$R384="TRUE"),1,0))</f>
        <v/>
      </c>
      <c r="AK384" s="18" t="str">
        <f aca="false">IF($AH384=1,IFERROR(VALUE(MID($D384,2,20)),1000000000)+ROW()/10000000,"")</f>
        <v/>
      </c>
    </row>
    <row r="385" customFormat="false" ht="15" hidden="false" customHeight="false" outlineLevel="0" collapsed="false">
      <c r="F385" s="15"/>
      <c r="N385" s="16" t="str">
        <f aca="false">IF($D385="","",M385*Y385/100)</f>
        <v/>
      </c>
      <c r="V385" s="16" t="str">
        <f aca="false">IF($D385="","",Y385*AB385/100)</f>
        <v/>
      </c>
      <c r="W385" s="16" t="str">
        <f aca="false">IF($D385="","",Y385-V385)</f>
        <v/>
      </c>
      <c r="X385" s="16" t="str">
        <f aca="false">IF($D385="","",W385-N385)</f>
        <v/>
      </c>
      <c r="AB385" s="17" t="str">
        <f aca="false">IF($D385="","",IF(OR($R385=TRUE(),$R385="TRUE"),Settings!$C$6,Settings!$C$7)*100)</f>
        <v/>
      </c>
      <c r="AH385" s="18" t="str">
        <f aca="false">IF($D385="","",IF(COUNTIF($D$2:$D385,$D385)=1,1,0))</f>
        <v/>
      </c>
      <c r="AI385" s="18" t="str">
        <f aca="false">IF($AH385=1,SUMPRODUCT(--($AK$2:$AK$4001&lt;$AK385))+1,"")</f>
        <v/>
      </c>
      <c r="AJ385" s="18" t="str">
        <f aca="false">IF($D385="","",IF(OR($R385=TRUE(),$R385="TRUE"),1,0))</f>
        <v/>
      </c>
      <c r="AK385" s="18" t="str">
        <f aca="false">IF($AH385=1,IFERROR(VALUE(MID($D385,2,20)),1000000000)+ROW()/10000000,"")</f>
        <v/>
      </c>
    </row>
    <row r="386" customFormat="false" ht="15" hidden="false" customHeight="false" outlineLevel="0" collapsed="false">
      <c r="F386" s="15"/>
      <c r="N386" s="16" t="str">
        <f aca="false">IF($D386="","",M386*Y386/100)</f>
        <v/>
      </c>
      <c r="V386" s="16" t="str">
        <f aca="false">IF($D386="","",Y386*AB386/100)</f>
        <v/>
      </c>
      <c r="W386" s="16" t="str">
        <f aca="false">IF($D386="","",Y386-V386)</f>
        <v/>
      </c>
      <c r="X386" s="16" t="str">
        <f aca="false">IF($D386="","",W386-N386)</f>
        <v/>
      </c>
      <c r="AB386" s="17" t="str">
        <f aca="false">IF($D386="","",IF(OR($R386=TRUE(),$R386="TRUE"),Settings!$C$6,Settings!$C$7)*100)</f>
        <v/>
      </c>
      <c r="AH386" s="18" t="str">
        <f aca="false">IF($D386="","",IF(COUNTIF($D$2:$D386,$D386)=1,1,0))</f>
        <v/>
      </c>
      <c r="AI386" s="18" t="str">
        <f aca="false">IF($AH386=1,SUMPRODUCT(--($AK$2:$AK$4001&lt;$AK386))+1,"")</f>
        <v/>
      </c>
      <c r="AJ386" s="18" t="str">
        <f aca="false">IF($D386="","",IF(OR($R386=TRUE(),$R386="TRUE"),1,0))</f>
        <v/>
      </c>
      <c r="AK386" s="18" t="str">
        <f aca="false">IF($AH386=1,IFERROR(VALUE(MID($D386,2,20)),1000000000)+ROW()/10000000,"")</f>
        <v/>
      </c>
    </row>
    <row r="387" customFormat="false" ht="15" hidden="false" customHeight="false" outlineLevel="0" collapsed="false">
      <c r="F387" s="15"/>
      <c r="N387" s="16" t="str">
        <f aca="false">IF($D387="","",M387*Y387/100)</f>
        <v/>
      </c>
      <c r="V387" s="16" t="str">
        <f aca="false">IF($D387="","",Y387*AB387/100)</f>
        <v/>
      </c>
      <c r="W387" s="16" t="str">
        <f aca="false">IF($D387="","",Y387-V387)</f>
        <v/>
      </c>
      <c r="X387" s="16" t="str">
        <f aca="false">IF($D387="","",W387-N387)</f>
        <v/>
      </c>
      <c r="AB387" s="17" t="str">
        <f aca="false">IF($D387="","",IF(OR($R387=TRUE(),$R387="TRUE"),Settings!$C$6,Settings!$C$7)*100)</f>
        <v/>
      </c>
      <c r="AH387" s="18" t="str">
        <f aca="false">IF($D387="","",IF(COUNTIF($D$2:$D387,$D387)=1,1,0))</f>
        <v/>
      </c>
      <c r="AI387" s="18" t="str">
        <f aca="false">IF($AH387=1,SUMPRODUCT(--($AK$2:$AK$4001&lt;$AK387))+1,"")</f>
        <v/>
      </c>
      <c r="AJ387" s="18" t="str">
        <f aca="false">IF($D387="","",IF(OR($R387=TRUE(),$R387="TRUE"),1,0))</f>
        <v/>
      </c>
      <c r="AK387" s="18" t="str">
        <f aca="false">IF($AH387=1,IFERROR(VALUE(MID($D387,2,20)),1000000000)+ROW()/10000000,"")</f>
        <v/>
      </c>
    </row>
    <row r="388" customFormat="false" ht="15" hidden="false" customHeight="false" outlineLevel="0" collapsed="false">
      <c r="F388" s="15"/>
      <c r="N388" s="16" t="str">
        <f aca="false">IF($D388="","",M388*Y388/100)</f>
        <v/>
      </c>
      <c r="V388" s="16" t="str">
        <f aca="false">IF($D388="","",Y388*AB388/100)</f>
        <v/>
      </c>
      <c r="W388" s="16" t="str">
        <f aca="false">IF($D388="","",Y388-V388)</f>
        <v/>
      </c>
      <c r="X388" s="16" t="str">
        <f aca="false">IF($D388="","",W388-N388)</f>
        <v/>
      </c>
      <c r="AB388" s="17" t="str">
        <f aca="false">IF($D388="","",IF(OR($R388=TRUE(),$R388="TRUE"),Settings!$C$6,Settings!$C$7)*100)</f>
        <v/>
      </c>
      <c r="AH388" s="18" t="str">
        <f aca="false">IF($D388="","",IF(COUNTIF($D$2:$D388,$D388)=1,1,0))</f>
        <v/>
      </c>
      <c r="AI388" s="18" t="str">
        <f aca="false">IF($AH388=1,SUMPRODUCT(--($AK$2:$AK$4001&lt;$AK388))+1,"")</f>
        <v/>
      </c>
      <c r="AJ388" s="18" t="str">
        <f aca="false">IF($D388="","",IF(OR($R388=TRUE(),$R388="TRUE"),1,0))</f>
        <v/>
      </c>
      <c r="AK388" s="18" t="str">
        <f aca="false">IF($AH388=1,IFERROR(VALUE(MID($D388,2,20)),1000000000)+ROW()/10000000,"")</f>
        <v/>
      </c>
    </row>
    <row r="389" customFormat="false" ht="15" hidden="false" customHeight="false" outlineLevel="0" collapsed="false">
      <c r="F389" s="15"/>
      <c r="N389" s="16" t="str">
        <f aca="false">IF($D389="","",M389*Y389/100)</f>
        <v/>
      </c>
      <c r="V389" s="16" t="str">
        <f aca="false">IF($D389="","",Y389*AB389/100)</f>
        <v/>
      </c>
      <c r="W389" s="16" t="str">
        <f aca="false">IF($D389="","",Y389-V389)</f>
        <v/>
      </c>
      <c r="X389" s="16" t="str">
        <f aca="false">IF($D389="","",W389-N389)</f>
        <v/>
      </c>
      <c r="AB389" s="17" t="str">
        <f aca="false">IF($D389="","",IF(OR($R389=TRUE(),$R389="TRUE"),Settings!$C$6,Settings!$C$7)*100)</f>
        <v/>
      </c>
      <c r="AH389" s="18" t="str">
        <f aca="false">IF($D389="","",IF(COUNTIF($D$2:$D389,$D389)=1,1,0))</f>
        <v/>
      </c>
      <c r="AI389" s="18" t="str">
        <f aca="false">IF($AH389=1,SUMPRODUCT(--($AK$2:$AK$4001&lt;$AK389))+1,"")</f>
        <v/>
      </c>
      <c r="AJ389" s="18" t="str">
        <f aca="false">IF($D389="","",IF(OR($R389=TRUE(),$R389="TRUE"),1,0))</f>
        <v/>
      </c>
      <c r="AK389" s="18" t="str">
        <f aca="false">IF($AH389=1,IFERROR(VALUE(MID($D389,2,20)),1000000000)+ROW()/10000000,"")</f>
        <v/>
      </c>
    </row>
    <row r="390" customFormat="false" ht="15" hidden="false" customHeight="false" outlineLevel="0" collapsed="false">
      <c r="F390" s="15"/>
      <c r="N390" s="16" t="str">
        <f aca="false">IF($D390="","",M390*Y390/100)</f>
        <v/>
      </c>
      <c r="V390" s="16" t="str">
        <f aca="false">IF($D390="","",Y390*AB390/100)</f>
        <v/>
      </c>
      <c r="W390" s="16" t="str">
        <f aca="false">IF($D390="","",Y390-V390)</f>
        <v/>
      </c>
      <c r="X390" s="16" t="str">
        <f aca="false">IF($D390="","",W390-N390)</f>
        <v/>
      </c>
      <c r="AB390" s="17" t="str">
        <f aca="false">IF($D390="","",IF(OR($R390=TRUE(),$R390="TRUE"),Settings!$C$6,Settings!$C$7)*100)</f>
        <v/>
      </c>
      <c r="AH390" s="18" t="str">
        <f aca="false">IF($D390="","",IF(COUNTIF($D$2:$D390,$D390)=1,1,0))</f>
        <v/>
      </c>
      <c r="AI390" s="18" t="str">
        <f aca="false">IF($AH390=1,SUMPRODUCT(--($AK$2:$AK$4001&lt;$AK390))+1,"")</f>
        <v/>
      </c>
      <c r="AJ390" s="18" t="str">
        <f aca="false">IF($D390="","",IF(OR($R390=TRUE(),$R390="TRUE"),1,0))</f>
        <v/>
      </c>
      <c r="AK390" s="18" t="str">
        <f aca="false">IF($AH390=1,IFERROR(VALUE(MID($D390,2,20)),1000000000)+ROW()/10000000,"")</f>
        <v/>
      </c>
    </row>
    <row r="391" customFormat="false" ht="15" hidden="false" customHeight="false" outlineLevel="0" collapsed="false">
      <c r="F391" s="15"/>
      <c r="N391" s="16" t="str">
        <f aca="false">IF($D391="","",M391*Y391/100)</f>
        <v/>
      </c>
      <c r="V391" s="16" t="str">
        <f aca="false">IF($D391="","",Y391*AB391/100)</f>
        <v/>
      </c>
      <c r="W391" s="16" t="str">
        <f aca="false">IF($D391="","",Y391-V391)</f>
        <v/>
      </c>
      <c r="X391" s="16" t="str">
        <f aca="false">IF($D391="","",W391-N391)</f>
        <v/>
      </c>
      <c r="AB391" s="17" t="str">
        <f aca="false">IF($D391="","",IF(OR($R391=TRUE(),$R391="TRUE"),Settings!$C$6,Settings!$C$7)*100)</f>
        <v/>
      </c>
      <c r="AH391" s="18" t="str">
        <f aca="false">IF($D391="","",IF(COUNTIF($D$2:$D391,$D391)=1,1,0))</f>
        <v/>
      </c>
      <c r="AI391" s="18" t="str">
        <f aca="false">IF($AH391=1,SUMPRODUCT(--($AK$2:$AK$4001&lt;$AK391))+1,"")</f>
        <v/>
      </c>
      <c r="AJ391" s="18" t="str">
        <f aca="false">IF($D391="","",IF(OR($R391=TRUE(),$R391="TRUE"),1,0))</f>
        <v/>
      </c>
      <c r="AK391" s="18" t="str">
        <f aca="false">IF($AH391=1,IFERROR(VALUE(MID($D391,2,20)),1000000000)+ROW()/10000000,"")</f>
        <v/>
      </c>
    </row>
    <row r="392" customFormat="false" ht="15" hidden="false" customHeight="false" outlineLevel="0" collapsed="false">
      <c r="F392" s="15"/>
      <c r="N392" s="16" t="str">
        <f aca="false">IF($D392="","",M392*Y392/100)</f>
        <v/>
      </c>
      <c r="V392" s="16" t="str">
        <f aca="false">IF($D392="","",Y392*AB392/100)</f>
        <v/>
      </c>
      <c r="W392" s="16" t="str">
        <f aca="false">IF($D392="","",Y392-V392)</f>
        <v/>
      </c>
      <c r="X392" s="16" t="str">
        <f aca="false">IF($D392="","",W392-N392)</f>
        <v/>
      </c>
      <c r="AB392" s="17" t="str">
        <f aca="false">IF($D392="","",IF(OR($R392=TRUE(),$R392="TRUE"),Settings!$C$6,Settings!$C$7)*100)</f>
        <v/>
      </c>
      <c r="AH392" s="18" t="str">
        <f aca="false">IF($D392="","",IF(COUNTIF($D$2:$D392,$D392)=1,1,0))</f>
        <v/>
      </c>
      <c r="AI392" s="18" t="str">
        <f aca="false">IF($AH392=1,SUMPRODUCT(--($AK$2:$AK$4001&lt;$AK392))+1,"")</f>
        <v/>
      </c>
      <c r="AJ392" s="18" t="str">
        <f aca="false">IF($D392="","",IF(OR($R392=TRUE(),$R392="TRUE"),1,0))</f>
        <v/>
      </c>
      <c r="AK392" s="18" t="str">
        <f aca="false">IF($AH392=1,IFERROR(VALUE(MID($D392,2,20)),1000000000)+ROW()/10000000,"")</f>
        <v/>
      </c>
    </row>
    <row r="393" customFormat="false" ht="15" hidden="false" customHeight="false" outlineLevel="0" collapsed="false">
      <c r="F393" s="15"/>
      <c r="N393" s="16" t="str">
        <f aca="false">IF($D393="","",M393*Y393/100)</f>
        <v/>
      </c>
      <c r="V393" s="16" t="str">
        <f aca="false">IF($D393="","",Y393*AB393/100)</f>
        <v/>
      </c>
      <c r="W393" s="16" t="str">
        <f aca="false">IF($D393="","",Y393-V393)</f>
        <v/>
      </c>
      <c r="X393" s="16" t="str">
        <f aca="false">IF($D393="","",W393-N393)</f>
        <v/>
      </c>
      <c r="AB393" s="17" t="str">
        <f aca="false">IF($D393="","",IF(OR($R393=TRUE(),$R393="TRUE"),Settings!$C$6,Settings!$C$7)*100)</f>
        <v/>
      </c>
      <c r="AH393" s="18" t="str">
        <f aca="false">IF($D393="","",IF(COUNTIF($D$2:$D393,$D393)=1,1,0))</f>
        <v/>
      </c>
      <c r="AI393" s="18" t="str">
        <f aca="false">IF($AH393=1,SUMPRODUCT(--($AK$2:$AK$4001&lt;$AK393))+1,"")</f>
        <v/>
      </c>
      <c r="AJ393" s="18" t="str">
        <f aca="false">IF($D393="","",IF(OR($R393=TRUE(),$R393="TRUE"),1,0))</f>
        <v/>
      </c>
      <c r="AK393" s="18" t="str">
        <f aca="false">IF($AH393=1,IFERROR(VALUE(MID($D393,2,20)),1000000000)+ROW()/10000000,"")</f>
        <v/>
      </c>
    </row>
    <row r="394" customFormat="false" ht="15" hidden="false" customHeight="false" outlineLevel="0" collapsed="false">
      <c r="F394" s="15"/>
      <c r="N394" s="16" t="str">
        <f aca="false">IF($D394="","",M394*Y394/100)</f>
        <v/>
      </c>
      <c r="V394" s="16" t="str">
        <f aca="false">IF($D394="","",Y394*AB394/100)</f>
        <v/>
      </c>
      <c r="W394" s="16" t="str">
        <f aca="false">IF($D394="","",Y394-V394)</f>
        <v/>
      </c>
      <c r="X394" s="16" t="str">
        <f aca="false">IF($D394="","",W394-N394)</f>
        <v/>
      </c>
      <c r="AB394" s="17" t="str">
        <f aca="false">IF($D394="","",IF(OR($R394=TRUE(),$R394="TRUE"),Settings!$C$6,Settings!$C$7)*100)</f>
        <v/>
      </c>
      <c r="AH394" s="18" t="str">
        <f aca="false">IF($D394="","",IF(COUNTIF($D$2:$D394,$D394)=1,1,0))</f>
        <v/>
      </c>
      <c r="AI394" s="18" t="str">
        <f aca="false">IF($AH394=1,SUMPRODUCT(--($AK$2:$AK$4001&lt;$AK394))+1,"")</f>
        <v/>
      </c>
      <c r="AJ394" s="18" t="str">
        <f aca="false">IF($D394="","",IF(OR($R394=TRUE(),$R394="TRUE"),1,0))</f>
        <v/>
      </c>
      <c r="AK394" s="18" t="str">
        <f aca="false">IF($AH394=1,IFERROR(VALUE(MID($D394,2,20)),1000000000)+ROW()/10000000,"")</f>
        <v/>
      </c>
    </row>
    <row r="395" customFormat="false" ht="15" hidden="false" customHeight="false" outlineLevel="0" collapsed="false">
      <c r="F395" s="15"/>
      <c r="N395" s="16" t="str">
        <f aca="false">IF($D395="","",M395*Y395/100)</f>
        <v/>
      </c>
      <c r="V395" s="16" t="str">
        <f aca="false">IF($D395="","",Y395*AB395/100)</f>
        <v/>
      </c>
      <c r="W395" s="16" t="str">
        <f aca="false">IF($D395="","",Y395-V395)</f>
        <v/>
      </c>
      <c r="X395" s="16" t="str">
        <f aca="false">IF($D395="","",W395-N395)</f>
        <v/>
      </c>
      <c r="AB395" s="17" t="str">
        <f aca="false">IF($D395="","",IF(OR($R395=TRUE(),$R395="TRUE"),Settings!$C$6,Settings!$C$7)*100)</f>
        <v/>
      </c>
      <c r="AH395" s="18" t="str">
        <f aca="false">IF($D395="","",IF(COUNTIF($D$2:$D395,$D395)=1,1,0))</f>
        <v/>
      </c>
      <c r="AI395" s="18" t="str">
        <f aca="false">IF($AH395=1,SUMPRODUCT(--($AK$2:$AK$4001&lt;$AK395))+1,"")</f>
        <v/>
      </c>
      <c r="AJ395" s="18" t="str">
        <f aca="false">IF($D395="","",IF(OR($R395=TRUE(),$R395="TRUE"),1,0))</f>
        <v/>
      </c>
      <c r="AK395" s="18" t="str">
        <f aca="false">IF($AH395=1,IFERROR(VALUE(MID($D395,2,20)),1000000000)+ROW()/10000000,"")</f>
        <v/>
      </c>
    </row>
    <row r="396" customFormat="false" ht="15" hidden="false" customHeight="false" outlineLevel="0" collapsed="false">
      <c r="F396" s="15"/>
      <c r="N396" s="16" t="str">
        <f aca="false">IF($D396="","",M396*Y396/100)</f>
        <v/>
      </c>
      <c r="V396" s="16" t="str">
        <f aca="false">IF($D396="","",Y396*AB396/100)</f>
        <v/>
      </c>
      <c r="W396" s="16" t="str">
        <f aca="false">IF($D396="","",Y396-V396)</f>
        <v/>
      </c>
      <c r="X396" s="16" t="str">
        <f aca="false">IF($D396="","",W396-N396)</f>
        <v/>
      </c>
      <c r="AB396" s="17" t="str">
        <f aca="false">IF($D396="","",IF(OR($R396=TRUE(),$R396="TRUE"),Settings!$C$6,Settings!$C$7)*100)</f>
        <v/>
      </c>
      <c r="AH396" s="18" t="str">
        <f aca="false">IF($D396="","",IF(COUNTIF($D$2:$D396,$D396)=1,1,0))</f>
        <v/>
      </c>
      <c r="AI396" s="18" t="str">
        <f aca="false">IF($AH396=1,SUMPRODUCT(--($AK$2:$AK$4001&lt;$AK396))+1,"")</f>
        <v/>
      </c>
      <c r="AJ396" s="18" t="str">
        <f aca="false">IF($D396="","",IF(OR($R396=TRUE(),$R396="TRUE"),1,0))</f>
        <v/>
      </c>
      <c r="AK396" s="18" t="str">
        <f aca="false">IF($AH396=1,IFERROR(VALUE(MID($D396,2,20)),1000000000)+ROW()/10000000,"")</f>
        <v/>
      </c>
    </row>
    <row r="397" customFormat="false" ht="15" hidden="false" customHeight="false" outlineLevel="0" collapsed="false">
      <c r="F397" s="15"/>
      <c r="N397" s="16" t="str">
        <f aca="false">IF($D397="","",M397*Y397/100)</f>
        <v/>
      </c>
      <c r="V397" s="16" t="str">
        <f aca="false">IF($D397="","",Y397*AB397/100)</f>
        <v/>
      </c>
      <c r="W397" s="16" t="str">
        <f aca="false">IF($D397="","",Y397-V397)</f>
        <v/>
      </c>
      <c r="X397" s="16" t="str">
        <f aca="false">IF($D397="","",W397-N397)</f>
        <v/>
      </c>
      <c r="AB397" s="17" t="str">
        <f aca="false">IF($D397="","",IF(OR($R397=TRUE(),$R397="TRUE"),Settings!$C$6,Settings!$C$7)*100)</f>
        <v/>
      </c>
      <c r="AH397" s="18" t="str">
        <f aca="false">IF($D397="","",IF(COUNTIF($D$2:$D397,$D397)=1,1,0))</f>
        <v/>
      </c>
      <c r="AI397" s="18" t="str">
        <f aca="false">IF($AH397=1,SUMPRODUCT(--($AK$2:$AK$4001&lt;$AK397))+1,"")</f>
        <v/>
      </c>
      <c r="AJ397" s="18" t="str">
        <f aca="false">IF($D397="","",IF(OR($R397=TRUE(),$R397="TRUE"),1,0))</f>
        <v/>
      </c>
      <c r="AK397" s="18" t="str">
        <f aca="false">IF($AH397=1,IFERROR(VALUE(MID($D397,2,20)),1000000000)+ROW()/10000000,"")</f>
        <v/>
      </c>
    </row>
    <row r="398" customFormat="false" ht="15" hidden="false" customHeight="false" outlineLevel="0" collapsed="false">
      <c r="F398" s="15"/>
      <c r="N398" s="16" t="str">
        <f aca="false">IF($D398="","",M398*Y398/100)</f>
        <v/>
      </c>
      <c r="V398" s="16" t="str">
        <f aca="false">IF($D398="","",Y398*AB398/100)</f>
        <v/>
      </c>
      <c r="W398" s="16" t="str">
        <f aca="false">IF($D398="","",Y398-V398)</f>
        <v/>
      </c>
      <c r="X398" s="16" t="str">
        <f aca="false">IF($D398="","",W398-N398)</f>
        <v/>
      </c>
      <c r="AB398" s="17" t="str">
        <f aca="false">IF($D398="","",IF(OR($R398=TRUE(),$R398="TRUE"),Settings!$C$6,Settings!$C$7)*100)</f>
        <v/>
      </c>
      <c r="AH398" s="18" t="str">
        <f aca="false">IF($D398="","",IF(COUNTIF($D$2:$D398,$D398)=1,1,0))</f>
        <v/>
      </c>
      <c r="AI398" s="18" t="str">
        <f aca="false">IF($AH398=1,SUMPRODUCT(--($AK$2:$AK$4001&lt;$AK398))+1,"")</f>
        <v/>
      </c>
      <c r="AJ398" s="18" t="str">
        <f aca="false">IF($D398="","",IF(OR($R398=TRUE(),$R398="TRUE"),1,0))</f>
        <v/>
      </c>
      <c r="AK398" s="18" t="str">
        <f aca="false">IF($AH398=1,IFERROR(VALUE(MID($D398,2,20)),1000000000)+ROW()/10000000,"")</f>
        <v/>
      </c>
    </row>
    <row r="399" customFormat="false" ht="15" hidden="false" customHeight="false" outlineLevel="0" collapsed="false">
      <c r="F399" s="15"/>
      <c r="N399" s="16" t="str">
        <f aca="false">IF($D399="","",M399*Y399/100)</f>
        <v/>
      </c>
      <c r="V399" s="16" t="str">
        <f aca="false">IF($D399="","",Y399*AB399/100)</f>
        <v/>
      </c>
      <c r="W399" s="16" t="str">
        <f aca="false">IF($D399="","",Y399-V399)</f>
        <v/>
      </c>
      <c r="X399" s="16" t="str">
        <f aca="false">IF($D399="","",W399-N399)</f>
        <v/>
      </c>
      <c r="AB399" s="17" t="str">
        <f aca="false">IF($D399="","",IF(OR($R399=TRUE(),$R399="TRUE"),Settings!$C$6,Settings!$C$7)*100)</f>
        <v/>
      </c>
      <c r="AH399" s="18" t="str">
        <f aca="false">IF($D399="","",IF(COUNTIF($D$2:$D399,$D399)=1,1,0))</f>
        <v/>
      </c>
      <c r="AI399" s="18" t="str">
        <f aca="false">IF($AH399=1,SUMPRODUCT(--($AK$2:$AK$4001&lt;$AK399))+1,"")</f>
        <v/>
      </c>
      <c r="AJ399" s="18" t="str">
        <f aca="false">IF($D399="","",IF(OR($R399=TRUE(),$R399="TRUE"),1,0))</f>
        <v/>
      </c>
      <c r="AK399" s="18" t="str">
        <f aca="false">IF($AH399=1,IFERROR(VALUE(MID($D399,2,20)),1000000000)+ROW()/10000000,"")</f>
        <v/>
      </c>
    </row>
    <row r="400" customFormat="false" ht="15" hidden="false" customHeight="false" outlineLevel="0" collapsed="false">
      <c r="F400" s="15"/>
      <c r="N400" s="16" t="str">
        <f aca="false">IF($D400="","",M400*Y400/100)</f>
        <v/>
      </c>
      <c r="V400" s="16" t="str">
        <f aca="false">IF($D400="","",Y400*AB400/100)</f>
        <v/>
      </c>
      <c r="W400" s="16" t="str">
        <f aca="false">IF($D400="","",Y400-V400)</f>
        <v/>
      </c>
      <c r="X400" s="16" t="str">
        <f aca="false">IF($D400="","",W400-N400)</f>
        <v/>
      </c>
      <c r="AB400" s="17" t="str">
        <f aca="false">IF($D400="","",IF(OR($R400=TRUE(),$R400="TRUE"),Settings!$C$6,Settings!$C$7)*100)</f>
        <v/>
      </c>
      <c r="AH400" s="18" t="str">
        <f aca="false">IF($D400="","",IF(COUNTIF($D$2:$D400,$D400)=1,1,0))</f>
        <v/>
      </c>
      <c r="AI400" s="18" t="str">
        <f aca="false">IF($AH400=1,SUMPRODUCT(--($AK$2:$AK$4001&lt;$AK400))+1,"")</f>
        <v/>
      </c>
      <c r="AJ400" s="18" t="str">
        <f aca="false">IF($D400="","",IF(OR($R400=TRUE(),$R400="TRUE"),1,0))</f>
        <v/>
      </c>
      <c r="AK400" s="18" t="str">
        <f aca="false">IF($AH400=1,IFERROR(VALUE(MID($D400,2,20)),1000000000)+ROW()/10000000,"")</f>
        <v/>
      </c>
    </row>
    <row r="401" customFormat="false" ht="15" hidden="false" customHeight="false" outlineLevel="0" collapsed="false">
      <c r="F401" s="15"/>
      <c r="N401" s="16" t="str">
        <f aca="false">IF($D401="","",M401*Y401/100)</f>
        <v/>
      </c>
      <c r="V401" s="16" t="str">
        <f aca="false">IF($D401="","",Y401*AB401/100)</f>
        <v/>
      </c>
      <c r="W401" s="16" t="str">
        <f aca="false">IF($D401="","",Y401-V401)</f>
        <v/>
      </c>
      <c r="X401" s="16" t="str">
        <f aca="false">IF($D401="","",W401-N401)</f>
        <v/>
      </c>
      <c r="AB401" s="17" t="str">
        <f aca="false">IF($D401="","",IF(OR($R401=TRUE(),$R401="TRUE"),Settings!$C$6,Settings!$C$7)*100)</f>
        <v/>
      </c>
      <c r="AH401" s="18" t="str">
        <f aca="false">IF($D401="","",IF(COUNTIF($D$2:$D401,$D401)=1,1,0))</f>
        <v/>
      </c>
      <c r="AI401" s="18" t="str">
        <f aca="false">IF($AH401=1,SUMPRODUCT(--($AK$2:$AK$4001&lt;$AK401))+1,"")</f>
        <v/>
      </c>
      <c r="AJ401" s="18" t="str">
        <f aca="false">IF($D401="","",IF(OR($R401=TRUE(),$R401="TRUE"),1,0))</f>
        <v/>
      </c>
      <c r="AK401" s="18" t="str">
        <f aca="false">IF($AH401=1,IFERROR(VALUE(MID($D401,2,20)),1000000000)+ROW()/10000000,"")</f>
        <v/>
      </c>
    </row>
    <row r="402" customFormat="false" ht="15" hidden="false" customHeight="false" outlineLevel="0" collapsed="false">
      <c r="F402" s="15"/>
      <c r="N402" s="16" t="str">
        <f aca="false">IF($D402="","",M402*Y402/100)</f>
        <v/>
      </c>
      <c r="V402" s="16" t="str">
        <f aca="false">IF($D402="","",Y402*AB402/100)</f>
        <v/>
      </c>
      <c r="W402" s="16" t="str">
        <f aca="false">IF($D402="","",Y402-V402)</f>
        <v/>
      </c>
      <c r="X402" s="16" t="str">
        <f aca="false">IF($D402="","",W402-N402)</f>
        <v/>
      </c>
      <c r="AB402" s="17" t="str">
        <f aca="false">IF($D402="","",IF(OR($R402=TRUE(),$R402="TRUE"),Settings!$C$6,Settings!$C$7)*100)</f>
        <v/>
      </c>
      <c r="AH402" s="18" t="str">
        <f aca="false">IF($D402="","",IF(COUNTIF($D$2:$D402,$D402)=1,1,0))</f>
        <v/>
      </c>
      <c r="AI402" s="18" t="str">
        <f aca="false">IF($AH402=1,SUMPRODUCT(--($AK$2:$AK$4001&lt;$AK402))+1,"")</f>
        <v/>
      </c>
      <c r="AJ402" s="18" t="str">
        <f aca="false">IF($D402="","",IF(OR($R402=TRUE(),$R402="TRUE"),1,0))</f>
        <v/>
      </c>
      <c r="AK402" s="18" t="str">
        <f aca="false">IF($AH402=1,IFERROR(VALUE(MID($D402,2,20)),1000000000)+ROW()/10000000,"")</f>
        <v/>
      </c>
    </row>
    <row r="403" customFormat="false" ht="15" hidden="false" customHeight="false" outlineLevel="0" collapsed="false">
      <c r="F403" s="15"/>
      <c r="N403" s="16" t="str">
        <f aca="false">IF($D403="","",M403*Y403/100)</f>
        <v/>
      </c>
      <c r="V403" s="16" t="str">
        <f aca="false">IF($D403="","",Y403*AB403/100)</f>
        <v/>
      </c>
      <c r="W403" s="16" t="str">
        <f aca="false">IF($D403="","",Y403-V403)</f>
        <v/>
      </c>
      <c r="X403" s="16" t="str">
        <f aca="false">IF($D403="","",W403-N403)</f>
        <v/>
      </c>
      <c r="AB403" s="17" t="str">
        <f aca="false">IF($D403="","",IF(OR($R403=TRUE(),$R403="TRUE"),Settings!$C$6,Settings!$C$7)*100)</f>
        <v/>
      </c>
      <c r="AH403" s="18" t="str">
        <f aca="false">IF($D403="","",IF(COUNTIF($D$2:$D403,$D403)=1,1,0))</f>
        <v/>
      </c>
      <c r="AI403" s="18" t="str">
        <f aca="false">IF($AH403=1,SUMPRODUCT(--($AK$2:$AK$4001&lt;$AK403))+1,"")</f>
        <v/>
      </c>
      <c r="AJ403" s="18" t="str">
        <f aca="false">IF($D403="","",IF(OR($R403=TRUE(),$R403="TRUE"),1,0))</f>
        <v/>
      </c>
      <c r="AK403" s="18" t="str">
        <f aca="false">IF($AH403=1,IFERROR(VALUE(MID($D403,2,20)),1000000000)+ROW()/10000000,"")</f>
        <v/>
      </c>
    </row>
    <row r="404" customFormat="false" ht="15" hidden="false" customHeight="false" outlineLevel="0" collapsed="false">
      <c r="F404" s="15"/>
      <c r="N404" s="16" t="str">
        <f aca="false">IF($D404="","",M404*Y404/100)</f>
        <v/>
      </c>
      <c r="V404" s="16" t="str">
        <f aca="false">IF($D404="","",Y404*AB404/100)</f>
        <v/>
      </c>
      <c r="W404" s="16" t="str">
        <f aca="false">IF($D404="","",Y404-V404)</f>
        <v/>
      </c>
      <c r="X404" s="16" t="str">
        <f aca="false">IF($D404="","",W404-N404)</f>
        <v/>
      </c>
      <c r="AB404" s="17" t="str">
        <f aca="false">IF($D404="","",IF(OR($R404=TRUE(),$R404="TRUE"),Settings!$C$6,Settings!$C$7)*100)</f>
        <v/>
      </c>
      <c r="AH404" s="18" t="str">
        <f aca="false">IF($D404="","",IF(COUNTIF($D$2:$D404,$D404)=1,1,0))</f>
        <v/>
      </c>
      <c r="AI404" s="18" t="str">
        <f aca="false">IF($AH404=1,SUMPRODUCT(--($AK$2:$AK$4001&lt;$AK404))+1,"")</f>
        <v/>
      </c>
      <c r="AJ404" s="18" t="str">
        <f aca="false">IF($D404="","",IF(OR($R404=TRUE(),$R404="TRUE"),1,0))</f>
        <v/>
      </c>
      <c r="AK404" s="18" t="str">
        <f aca="false">IF($AH404=1,IFERROR(VALUE(MID($D404,2,20)),1000000000)+ROW()/10000000,"")</f>
        <v/>
      </c>
    </row>
    <row r="405" customFormat="false" ht="15" hidden="false" customHeight="false" outlineLevel="0" collapsed="false">
      <c r="F405" s="15"/>
      <c r="N405" s="16" t="str">
        <f aca="false">IF($D405="","",M405*Y405/100)</f>
        <v/>
      </c>
      <c r="V405" s="16" t="str">
        <f aca="false">IF($D405="","",Y405*AB405/100)</f>
        <v/>
      </c>
      <c r="W405" s="16" t="str">
        <f aca="false">IF($D405="","",Y405-V405)</f>
        <v/>
      </c>
      <c r="X405" s="16" t="str">
        <f aca="false">IF($D405="","",W405-N405)</f>
        <v/>
      </c>
      <c r="AB405" s="17" t="str">
        <f aca="false">IF($D405="","",IF(OR($R405=TRUE(),$R405="TRUE"),Settings!$C$6,Settings!$C$7)*100)</f>
        <v/>
      </c>
      <c r="AH405" s="18" t="str">
        <f aca="false">IF($D405="","",IF(COUNTIF($D$2:$D405,$D405)=1,1,0))</f>
        <v/>
      </c>
      <c r="AI405" s="18" t="str">
        <f aca="false">IF($AH405=1,SUMPRODUCT(--($AK$2:$AK$4001&lt;$AK405))+1,"")</f>
        <v/>
      </c>
      <c r="AJ405" s="18" t="str">
        <f aca="false">IF($D405="","",IF(OR($R405=TRUE(),$R405="TRUE"),1,0))</f>
        <v/>
      </c>
      <c r="AK405" s="18" t="str">
        <f aca="false">IF($AH405=1,IFERROR(VALUE(MID($D405,2,20)),1000000000)+ROW()/10000000,"")</f>
        <v/>
      </c>
    </row>
    <row r="406" customFormat="false" ht="15" hidden="false" customHeight="false" outlineLevel="0" collapsed="false">
      <c r="F406" s="15"/>
      <c r="N406" s="16" t="str">
        <f aca="false">IF($D406="","",M406*Y406/100)</f>
        <v/>
      </c>
      <c r="V406" s="16" t="str">
        <f aca="false">IF($D406="","",Y406*AB406/100)</f>
        <v/>
      </c>
      <c r="W406" s="16" t="str">
        <f aca="false">IF($D406="","",Y406-V406)</f>
        <v/>
      </c>
      <c r="X406" s="16" t="str">
        <f aca="false">IF($D406="","",W406-N406)</f>
        <v/>
      </c>
      <c r="AB406" s="17" t="str">
        <f aca="false">IF($D406="","",IF(OR($R406=TRUE(),$R406="TRUE"),Settings!$C$6,Settings!$C$7)*100)</f>
        <v/>
      </c>
      <c r="AH406" s="18" t="str">
        <f aca="false">IF($D406="","",IF(COUNTIF($D$2:$D406,$D406)=1,1,0))</f>
        <v/>
      </c>
      <c r="AI406" s="18" t="str">
        <f aca="false">IF($AH406=1,SUMPRODUCT(--($AK$2:$AK$4001&lt;$AK406))+1,"")</f>
        <v/>
      </c>
      <c r="AJ406" s="18" t="str">
        <f aca="false">IF($D406="","",IF(OR($R406=TRUE(),$R406="TRUE"),1,0))</f>
        <v/>
      </c>
      <c r="AK406" s="18" t="str">
        <f aca="false">IF($AH406=1,IFERROR(VALUE(MID($D406,2,20)),1000000000)+ROW()/10000000,"")</f>
        <v/>
      </c>
    </row>
    <row r="407" customFormat="false" ht="15" hidden="false" customHeight="false" outlineLevel="0" collapsed="false">
      <c r="F407" s="15"/>
      <c r="N407" s="16" t="str">
        <f aca="false">IF($D407="","",M407*Y407/100)</f>
        <v/>
      </c>
      <c r="V407" s="16" t="str">
        <f aca="false">IF($D407="","",Y407*AB407/100)</f>
        <v/>
      </c>
      <c r="W407" s="16" t="str">
        <f aca="false">IF($D407="","",Y407-V407)</f>
        <v/>
      </c>
      <c r="X407" s="16" t="str">
        <f aca="false">IF($D407="","",W407-N407)</f>
        <v/>
      </c>
      <c r="AB407" s="17" t="str">
        <f aca="false">IF($D407="","",IF(OR($R407=TRUE(),$R407="TRUE"),Settings!$C$6,Settings!$C$7)*100)</f>
        <v/>
      </c>
      <c r="AH407" s="18" t="str">
        <f aca="false">IF($D407="","",IF(COUNTIF($D$2:$D407,$D407)=1,1,0))</f>
        <v/>
      </c>
      <c r="AI407" s="18" t="str">
        <f aca="false">IF($AH407=1,SUMPRODUCT(--($AK$2:$AK$4001&lt;$AK407))+1,"")</f>
        <v/>
      </c>
      <c r="AJ407" s="18" t="str">
        <f aca="false">IF($D407="","",IF(OR($R407=TRUE(),$R407="TRUE"),1,0))</f>
        <v/>
      </c>
      <c r="AK407" s="18" t="str">
        <f aca="false">IF($AH407=1,IFERROR(VALUE(MID($D407,2,20)),1000000000)+ROW()/10000000,"")</f>
        <v/>
      </c>
    </row>
    <row r="408" customFormat="false" ht="15" hidden="false" customHeight="false" outlineLevel="0" collapsed="false">
      <c r="F408" s="15"/>
      <c r="N408" s="16" t="str">
        <f aca="false">IF($D408="","",M408*Y408/100)</f>
        <v/>
      </c>
      <c r="V408" s="16" t="str">
        <f aca="false">IF($D408="","",Y408*AB408/100)</f>
        <v/>
      </c>
      <c r="W408" s="16" t="str">
        <f aca="false">IF($D408="","",Y408-V408)</f>
        <v/>
      </c>
      <c r="X408" s="16" t="str">
        <f aca="false">IF($D408="","",W408-N408)</f>
        <v/>
      </c>
      <c r="AB408" s="17" t="str">
        <f aca="false">IF($D408="","",IF(OR($R408=TRUE(),$R408="TRUE"),Settings!$C$6,Settings!$C$7)*100)</f>
        <v/>
      </c>
      <c r="AH408" s="18" t="str">
        <f aca="false">IF($D408="","",IF(COUNTIF($D$2:$D408,$D408)=1,1,0))</f>
        <v/>
      </c>
      <c r="AI408" s="18" t="str">
        <f aca="false">IF($AH408=1,SUMPRODUCT(--($AK$2:$AK$4001&lt;$AK408))+1,"")</f>
        <v/>
      </c>
      <c r="AJ408" s="18" t="str">
        <f aca="false">IF($D408="","",IF(OR($R408=TRUE(),$R408="TRUE"),1,0))</f>
        <v/>
      </c>
      <c r="AK408" s="18" t="str">
        <f aca="false">IF($AH408=1,IFERROR(VALUE(MID($D408,2,20)),1000000000)+ROW()/10000000,"")</f>
        <v/>
      </c>
    </row>
    <row r="409" customFormat="false" ht="15" hidden="false" customHeight="false" outlineLevel="0" collapsed="false">
      <c r="F409" s="15"/>
      <c r="N409" s="16" t="str">
        <f aca="false">IF($D409="","",M409*Y409/100)</f>
        <v/>
      </c>
      <c r="V409" s="16" t="str">
        <f aca="false">IF($D409="","",Y409*AB409/100)</f>
        <v/>
      </c>
      <c r="W409" s="16" t="str">
        <f aca="false">IF($D409="","",Y409-V409)</f>
        <v/>
      </c>
      <c r="X409" s="16" t="str">
        <f aca="false">IF($D409="","",W409-N409)</f>
        <v/>
      </c>
      <c r="AB409" s="17" t="str">
        <f aca="false">IF($D409="","",IF(OR($R409=TRUE(),$R409="TRUE"),Settings!$C$6,Settings!$C$7)*100)</f>
        <v/>
      </c>
      <c r="AH409" s="18" t="str">
        <f aca="false">IF($D409="","",IF(COUNTIF($D$2:$D409,$D409)=1,1,0))</f>
        <v/>
      </c>
      <c r="AI409" s="18" t="str">
        <f aca="false">IF($AH409=1,SUMPRODUCT(--($AK$2:$AK$4001&lt;$AK409))+1,"")</f>
        <v/>
      </c>
      <c r="AJ409" s="18" t="str">
        <f aca="false">IF($D409="","",IF(OR($R409=TRUE(),$R409="TRUE"),1,0))</f>
        <v/>
      </c>
      <c r="AK409" s="18" t="str">
        <f aca="false">IF($AH409=1,IFERROR(VALUE(MID($D409,2,20)),1000000000)+ROW()/10000000,"")</f>
        <v/>
      </c>
    </row>
    <row r="410" customFormat="false" ht="15" hidden="false" customHeight="false" outlineLevel="0" collapsed="false">
      <c r="F410" s="15"/>
      <c r="N410" s="16" t="str">
        <f aca="false">IF($D410="","",M410*Y410/100)</f>
        <v/>
      </c>
      <c r="V410" s="16" t="str">
        <f aca="false">IF($D410="","",Y410*AB410/100)</f>
        <v/>
      </c>
      <c r="W410" s="16" t="str">
        <f aca="false">IF($D410="","",Y410-V410)</f>
        <v/>
      </c>
      <c r="X410" s="16" t="str">
        <f aca="false">IF($D410="","",W410-N410)</f>
        <v/>
      </c>
      <c r="AB410" s="17" t="str">
        <f aca="false">IF($D410="","",IF(OR($R410=TRUE(),$R410="TRUE"),Settings!$C$6,Settings!$C$7)*100)</f>
        <v/>
      </c>
      <c r="AH410" s="18" t="str">
        <f aca="false">IF($D410="","",IF(COUNTIF($D$2:$D410,$D410)=1,1,0))</f>
        <v/>
      </c>
      <c r="AI410" s="18" t="str">
        <f aca="false">IF($AH410=1,SUMPRODUCT(--($AK$2:$AK$4001&lt;$AK410))+1,"")</f>
        <v/>
      </c>
      <c r="AJ410" s="18" t="str">
        <f aca="false">IF($D410="","",IF(OR($R410=TRUE(),$R410="TRUE"),1,0))</f>
        <v/>
      </c>
      <c r="AK410" s="18" t="str">
        <f aca="false">IF($AH410=1,IFERROR(VALUE(MID($D410,2,20)),1000000000)+ROW()/10000000,"")</f>
        <v/>
      </c>
    </row>
    <row r="411" customFormat="false" ht="15" hidden="false" customHeight="false" outlineLevel="0" collapsed="false">
      <c r="F411" s="15"/>
      <c r="N411" s="16" t="str">
        <f aca="false">IF($D411="","",M411*Y411/100)</f>
        <v/>
      </c>
      <c r="V411" s="16" t="str">
        <f aca="false">IF($D411="","",Y411*AB411/100)</f>
        <v/>
      </c>
      <c r="W411" s="16" t="str">
        <f aca="false">IF($D411="","",Y411-V411)</f>
        <v/>
      </c>
      <c r="X411" s="16" t="str">
        <f aca="false">IF($D411="","",W411-N411)</f>
        <v/>
      </c>
      <c r="AB411" s="17" t="str">
        <f aca="false">IF($D411="","",IF(OR($R411=TRUE(),$R411="TRUE"),Settings!$C$6,Settings!$C$7)*100)</f>
        <v/>
      </c>
      <c r="AH411" s="18" t="str">
        <f aca="false">IF($D411="","",IF(COUNTIF($D$2:$D411,$D411)=1,1,0))</f>
        <v/>
      </c>
      <c r="AI411" s="18" t="str">
        <f aca="false">IF($AH411=1,SUMPRODUCT(--($AK$2:$AK$4001&lt;$AK411))+1,"")</f>
        <v/>
      </c>
      <c r="AJ411" s="18" t="str">
        <f aca="false">IF($D411="","",IF(OR($R411=TRUE(),$R411="TRUE"),1,0))</f>
        <v/>
      </c>
      <c r="AK411" s="18" t="str">
        <f aca="false">IF($AH411=1,IFERROR(VALUE(MID($D411,2,20)),1000000000)+ROW()/10000000,"")</f>
        <v/>
      </c>
    </row>
    <row r="412" customFormat="false" ht="15" hidden="false" customHeight="false" outlineLevel="0" collapsed="false">
      <c r="F412" s="15"/>
      <c r="N412" s="16" t="str">
        <f aca="false">IF($D412="","",M412*Y412/100)</f>
        <v/>
      </c>
      <c r="V412" s="16" t="str">
        <f aca="false">IF($D412="","",Y412*AB412/100)</f>
        <v/>
      </c>
      <c r="W412" s="16" t="str">
        <f aca="false">IF($D412="","",Y412-V412)</f>
        <v/>
      </c>
      <c r="X412" s="16" t="str">
        <f aca="false">IF($D412="","",W412-N412)</f>
        <v/>
      </c>
      <c r="AB412" s="17" t="str">
        <f aca="false">IF($D412="","",IF(OR($R412=TRUE(),$R412="TRUE"),Settings!$C$6,Settings!$C$7)*100)</f>
        <v/>
      </c>
      <c r="AH412" s="18" t="str">
        <f aca="false">IF($D412="","",IF(COUNTIF($D$2:$D412,$D412)=1,1,0))</f>
        <v/>
      </c>
      <c r="AI412" s="18" t="str">
        <f aca="false">IF($AH412=1,SUMPRODUCT(--($AK$2:$AK$4001&lt;$AK412))+1,"")</f>
        <v/>
      </c>
      <c r="AJ412" s="18" t="str">
        <f aca="false">IF($D412="","",IF(OR($R412=TRUE(),$R412="TRUE"),1,0))</f>
        <v/>
      </c>
      <c r="AK412" s="18" t="str">
        <f aca="false">IF($AH412=1,IFERROR(VALUE(MID($D412,2,20)),1000000000)+ROW()/10000000,"")</f>
        <v/>
      </c>
    </row>
    <row r="413" customFormat="false" ht="15" hidden="false" customHeight="false" outlineLevel="0" collapsed="false">
      <c r="F413" s="15"/>
      <c r="N413" s="16" t="str">
        <f aca="false">IF($D413="","",M413*Y413/100)</f>
        <v/>
      </c>
      <c r="V413" s="16" t="str">
        <f aca="false">IF($D413="","",Y413*AB413/100)</f>
        <v/>
      </c>
      <c r="W413" s="16" t="str">
        <f aca="false">IF($D413="","",Y413-V413)</f>
        <v/>
      </c>
      <c r="X413" s="16" t="str">
        <f aca="false">IF($D413="","",W413-N413)</f>
        <v/>
      </c>
      <c r="AB413" s="17" t="str">
        <f aca="false">IF($D413="","",IF(OR($R413=TRUE(),$R413="TRUE"),Settings!$C$6,Settings!$C$7)*100)</f>
        <v/>
      </c>
      <c r="AH413" s="18" t="str">
        <f aca="false">IF($D413="","",IF(COUNTIF($D$2:$D413,$D413)=1,1,0))</f>
        <v/>
      </c>
      <c r="AI413" s="18" t="str">
        <f aca="false">IF($AH413=1,SUMPRODUCT(--($AK$2:$AK$4001&lt;$AK413))+1,"")</f>
        <v/>
      </c>
      <c r="AJ413" s="18" t="str">
        <f aca="false">IF($D413="","",IF(OR($R413=TRUE(),$R413="TRUE"),1,0))</f>
        <v/>
      </c>
      <c r="AK413" s="18" t="str">
        <f aca="false">IF($AH413=1,IFERROR(VALUE(MID($D413,2,20)),1000000000)+ROW()/10000000,"")</f>
        <v/>
      </c>
    </row>
    <row r="414" customFormat="false" ht="15" hidden="false" customHeight="false" outlineLevel="0" collapsed="false">
      <c r="F414" s="15"/>
      <c r="N414" s="16" t="str">
        <f aca="false">IF($D414="","",M414*Y414/100)</f>
        <v/>
      </c>
      <c r="V414" s="16" t="str">
        <f aca="false">IF($D414="","",Y414*AB414/100)</f>
        <v/>
      </c>
      <c r="W414" s="16" t="str">
        <f aca="false">IF($D414="","",Y414-V414)</f>
        <v/>
      </c>
      <c r="X414" s="16" t="str">
        <f aca="false">IF($D414="","",W414-N414)</f>
        <v/>
      </c>
      <c r="AB414" s="17" t="str">
        <f aca="false">IF($D414="","",IF(OR($R414=TRUE(),$R414="TRUE"),Settings!$C$6,Settings!$C$7)*100)</f>
        <v/>
      </c>
      <c r="AH414" s="18" t="str">
        <f aca="false">IF($D414="","",IF(COUNTIF($D$2:$D414,$D414)=1,1,0))</f>
        <v/>
      </c>
      <c r="AI414" s="18" t="str">
        <f aca="false">IF($AH414=1,SUMPRODUCT(--($AK$2:$AK$4001&lt;$AK414))+1,"")</f>
        <v/>
      </c>
      <c r="AJ414" s="18" t="str">
        <f aca="false">IF($D414="","",IF(OR($R414=TRUE(),$R414="TRUE"),1,0))</f>
        <v/>
      </c>
      <c r="AK414" s="18" t="str">
        <f aca="false">IF($AH414=1,IFERROR(VALUE(MID($D414,2,20)),1000000000)+ROW()/10000000,"")</f>
        <v/>
      </c>
    </row>
    <row r="415" customFormat="false" ht="15" hidden="false" customHeight="false" outlineLevel="0" collapsed="false">
      <c r="F415" s="15"/>
      <c r="N415" s="16" t="str">
        <f aca="false">IF($D415="","",M415*Y415/100)</f>
        <v/>
      </c>
      <c r="V415" s="16" t="str">
        <f aca="false">IF($D415="","",Y415*AB415/100)</f>
        <v/>
      </c>
      <c r="W415" s="16" t="str">
        <f aca="false">IF($D415="","",Y415-V415)</f>
        <v/>
      </c>
      <c r="X415" s="16" t="str">
        <f aca="false">IF($D415="","",W415-N415)</f>
        <v/>
      </c>
      <c r="AB415" s="17" t="str">
        <f aca="false">IF($D415="","",IF(OR($R415=TRUE(),$R415="TRUE"),Settings!$C$6,Settings!$C$7)*100)</f>
        <v/>
      </c>
      <c r="AH415" s="18" t="str">
        <f aca="false">IF($D415="","",IF(COUNTIF($D$2:$D415,$D415)=1,1,0))</f>
        <v/>
      </c>
      <c r="AI415" s="18" t="str">
        <f aca="false">IF($AH415=1,SUMPRODUCT(--($AK$2:$AK$4001&lt;$AK415))+1,"")</f>
        <v/>
      </c>
      <c r="AJ415" s="18" t="str">
        <f aca="false">IF($D415="","",IF(OR($R415=TRUE(),$R415="TRUE"),1,0))</f>
        <v/>
      </c>
      <c r="AK415" s="18" t="str">
        <f aca="false">IF($AH415=1,IFERROR(VALUE(MID($D415,2,20)),1000000000)+ROW()/10000000,"")</f>
        <v/>
      </c>
    </row>
    <row r="416" customFormat="false" ht="15" hidden="false" customHeight="false" outlineLevel="0" collapsed="false">
      <c r="F416" s="15"/>
      <c r="N416" s="16" t="str">
        <f aca="false">IF($D416="","",M416*Y416/100)</f>
        <v/>
      </c>
      <c r="V416" s="16" t="str">
        <f aca="false">IF($D416="","",Y416*AB416/100)</f>
        <v/>
      </c>
      <c r="W416" s="16" t="str">
        <f aca="false">IF($D416="","",Y416-V416)</f>
        <v/>
      </c>
      <c r="X416" s="16" t="str">
        <f aca="false">IF($D416="","",W416-N416)</f>
        <v/>
      </c>
      <c r="AB416" s="17" t="str">
        <f aca="false">IF($D416="","",IF(OR($R416=TRUE(),$R416="TRUE"),Settings!$C$6,Settings!$C$7)*100)</f>
        <v/>
      </c>
      <c r="AH416" s="18" t="str">
        <f aca="false">IF($D416="","",IF(COUNTIF($D$2:$D416,$D416)=1,1,0))</f>
        <v/>
      </c>
      <c r="AI416" s="18" t="str">
        <f aca="false">IF($AH416=1,SUMPRODUCT(--($AK$2:$AK$4001&lt;$AK416))+1,"")</f>
        <v/>
      </c>
      <c r="AJ416" s="18" t="str">
        <f aca="false">IF($D416="","",IF(OR($R416=TRUE(),$R416="TRUE"),1,0))</f>
        <v/>
      </c>
      <c r="AK416" s="18" t="str">
        <f aca="false">IF($AH416=1,IFERROR(VALUE(MID($D416,2,20)),1000000000)+ROW()/10000000,"")</f>
        <v/>
      </c>
    </row>
    <row r="417" customFormat="false" ht="15" hidden="false" customHeight="false" outlineLevel="0" collapsed="false">
      <c r="F417" s="15"/>
      <c r="N417" s="16" t="str">
        <f aca="false">IF($D417="","",M417*Y417/100)</f>
        <v/>
      </c>
      <c r="V417" s="16" t="str">
        <f aca="false">IF($D417="","",Y417*AB417/100)</f>
        <v/>
      </c>
      <c r="W417" s="16" t="str">
        <f aca="false">IF($D417="","",Y417-V417)</f>
        <v/>
      </c>
      <c r="X417" s="16" t="str">
        <f aca="false">IF($D417="","",W417-N417)</f>
        <v/>
      </c>
      <c r="AB417" s="17" t="str">
        <f aca="false">IF($D417="","",IF(OR($R417=TRUE(),$R417="TRUE"),Settings!$C$6,Settings!$C$7)*100)</f>
        <v/>
      </c>
      <c r="AH417" s="18" t="str">
        <f aca="false">IF($D417="","",IF(COUNTIF($D$2:$D417,$D417)=1,1,0))</f>
        <v/>
      </c>
      <c r="AI417" s="18" t="str">
        <f aca="false">IF($AH417=1,SUMPRODUCT(--($AK$2:$AK$4001&lt;$AK417))+1,"")</f>
        <v/>
      </c>
      <c r="AJ417" s="18" t="str">
        <f aca="false">IF($D417="","",IF(OR($R417=TRUE(),$R417="TRUE"),1,0))</f>
        <v/>
      </c>
      <c r="AK417" s="18" t="str">
        <f aca="false">IF($AH417=1,IFERROR(VALUE(MID($D417,2,20)),1000000000)+ROW()/10000000,"")</f>
        <v/>
      </c>
    </row>
    <row r="418" customFormat="false" ht="15" hidden="false" customHeight="false" outlineLevel="0" collapsed="false">
      <c r="F418" s="15"/>
      <c r="N418" s="16" t="str">
        <f aca="false">IF($D418="","",M418*Y418/100)</f>
        <v/>
      </c>
      <c r="V418" s="16" t="str">
        <f aca="false">IF($D418="","",Y418*AB418/100)</f>
        <v/>
      </c>
      <c r="W418" s="16" t="str">
        <f aca="false">IF($D418="","",Y418-V418)</f>
        <v/>
      </c>
      <c r="X418" s="16" t="str">
        <f aca="false">IF($D418="","",W418-N418)</f>
        <v/>
      </c>
      <c r="AB418" s="17" t="str">
        <f aca="false">IF($D418="","",IF(OR($R418=TRUE(),$R418="TRUE"),Settings!$C$6,Settings!$C$7)*100)</f>
        <v/>
      </c>
      <c r="AH418" s="18" t="str">
        <f aca="false">IF($D418="","",IF(COUNTIF($D$2:$D418,$D418)=1,1,0))</f>
        <v/>
      </c>
      <c r="AI418" s="18" t="str">
        <f aca="false">IF($AH418=1,SUMPRODUCT(--($AK$2:$AK$4001&lt;$AK418))+1,"")</f>
        <v/>
      </c>
      <c r="AJ418" s="18" t="str">
        <f aca="false">IF($D418="","",IF(OR($R418=TRUE(),$R418="TRUE"),1,0))</f>
        <v/>
      </c>
      <c r="AK418" s="18" t="str">
        <f aca="false">IF($AH418=1,IFERROR(VALUE(MID($D418,2,20)),1000000000)+ROW()/10000000,"")</f>
        <v/>
      </c>
    </row>
    <row r="419" customFormat="false" ht="15" hidden="false" customHeight="false" outlineLevel="0" collapsed="false">
      <c r="F419" s="15"/>
      <c r="N419" s="16" t="str">
        <f aca="false">IF($D419="","",M419*Y419/100)</f>
        <v/>
      </c>
      <c r="V419" s="16" t="str">
        <f aca="false">IF($D419="","",Y419*AB419/100)</f>
        <v/>
      </c>
      <c r="W419" s="16" t="str">
        <f aca="false">IF($D419="","",Y419-V419)</f>
        <v/>
      </c>
      <c r="X419" s="16" t="str">
        <f aca="false">IF($D419="","",W419-N419)</f>
        <v/>
      </c>
      <c r="AB419" s="17" t="str">
        <f aca="false">IF($D419="","",IF(OR($R419=TRUE(),$R419="TRUE"),Settings!$C$6,Settings!$C$7)*100)</f>
        <v/>
      </c>
      <c r="AH419" s="18" t="str">
        <f aca="false">IF($D419="","",IF(COUNTIF($D$2:$D419,$D419)=1,1,0))</f>
        <v/>
      </c>
      <c r="AI419" s="18" t="str">
        <f aca="false">IF($AH419=1,SUMPRODUCT(--($AK$2:$AK$4001&lt;$AK419))+1,"")</f>
        <v/>
      </c>
      <c r="AJ419" s="18" t="str">
        <f aca="false">IF($D419="","",IF(OR($R419=TRUE(),$R419="TRUE"),1,0))</f>
        <v/>
      </c>
      <c r="AK419" s="18" t="str">
        <f aca="false">IF($AH419=1,IFERROR(VALUE(MID($D419,2,20)),1000000000)+ROW()/10000000,"")</f>
        <v/>
      </c>
    </row>
    <row r="420" customFormat="false" ht="15" hidden="false" customHeight="false" outlineLevel="0" collapsed="false">
      <c r="F420" s="15"/>
      <c r="N420" s="16" t="str">
        <f aca="false">IF($D420="","",M420*Y420/100)</f>
        <v/>
      </c>
      <c r="V420" s="16" t="str">
        <f aca="false">IF($D420="","",Y420*AB420/100)</f>
        <v/>
      </c>
      <c r="W420" s="16" t="str">
        <f aca="false">IF($D420="","",Y420-V420)</f>
        <v/>
      </c>
      <c r="X420" s="16" t="str">
        <f aca="false">IF($D420="","",W420-N420)</f>
        <v/>
      </c>
      <c r="AB420" s="17" t="str">
        <f aca="false">IF($D420="","",IF(OR($R420=TRUE(),$R420="TRUE"),Settings!$C$6,Settings!$C$7)*100)</f>
        <v/>
      </c>
      <c r="AH420" s="18" t="str">
        <f aca="false">IF($D420="","",IF(COUNTIF($D$2:$D420,$D420)=1,1,0))</f>
        <v/>
      </c>
      <c r="AI420" s="18" t="str">
        <f aca="false">IF($AH420=1,SUMPRODUCT(--($AK$2:$AK$4001&lt;$AK420))+1,"")</f>
        <v/>
      </c>
      <c r="AJ420" s="18" t="str">
        <f aca="false">IF($D420="","",IF(OR($R420=TRUE(),$R420="TRUE"),1,0))</f>
        <v/>
      </c>
      <c r="AK420" s="18" t="str">
        <f aca="false">IF($AH420=1,IFERROR(VALUE(MID($D420,2,20)),1000000000)+ROW()/10000000,"")</f>
        <v/>
      </c>
    </row>
    <row r="421" customFormat="false" ht="15" hidden="false" customHeight="false" outlineLevel="0" collapsed="false">
      <c r="F421" s="15"/>
      <c r="N421" s="16" t="str">
        <f aca="false">IF($D421="","",M421*Y421/100)</f>
        <v/>
      </c>
      <c r="V421" s="16" t="str">
        <f aca="false">IF($D421="","",Y421*AB421/100)</f>
        <v/>
      </c>
      <c r="W421" s="16" t="str">
        <f aca="false">IF($D421="","",Y421-V421)</f>
        <v/>
      </c>
      <c r="X421" s="16" t="str">
        <f aca="false">IF($D421="","",W421-N421)</f>
        <v/>
      </c>
      <c r="AB421" s="17" t="str">
        <f aca="false">IF($D421="","",IF(OR($R421=TRUE(),$R421="TRUE"),Settings!$C$6,Settings!$C$7)*100)</f>
        <v/>
      </c>
      <c r="AH421" s="18" t="str">
        <f aca="false">IF($D421="","",IF(COUNTIF($D$2:$D421,$D421)=1,1,0))</f>
        <v/>
      </c>
      <c r="AI421" s="18" t="str">
        <f aca="false">IF($AH421=1,SUMPRODUCT(--($AK$2:$AK$4001&lt;$AK421))+1,"")</f>
        <v/>
      </c>
      <c r="AJ421" s="18" t="str">
        <f aca="false">IF($D421="","",IF(OR($R421=TRUE(),$R421="TRUE"),1,0))</f>
        <v/>
      </c>
      <c r="AK421" s="18" t="str">
        <f aca="false">IF($AH421=1,IFERROR(VALUE(MID($D421,2,20)),1000000000)+ROW()/10000000,"")</f>
        <v/>
      </c>
    </row>
    <row r="422" customFormat="false" ht="15" hidden="false" customHeight="false" outlineLevel="0" collapsed="false">
      <c r="F422" s="15"/>
      <c r="N422" s="16" t="str">
        <f aca="false">IF($D422="","",M422*Y422/100)</f>
        <v/>
      </c>
      <c r="V422" s="16" t="str">
        <f aca="false">IF($D422="","",Y422*AB422/100)</f>
        <v/>
      </c>
      <c r="W422" s="16" t="str">
        <f aca="false">IF($D422="","",Y422-V422)</f>
        <v/>
      </c>
      <c r="X422" s="16" t="str">
        <f aca="false">IF($D422="","",W422-N422)</f>
        <v/>
      </c>
      <c r="AB422" s="17" t="str">
        <f aca="false">IF($D422="","",IF(OR($R422=TRUE(),$R422="TRUE"),Settings!$C$6,Settings!$C$7)*100)</f>
        <v/>
      </c>
      <c r="AH422" s="18" t="str">
        <f aca="false">IF($D422="","",IF(COUNTIF($D$2:$D422,$D422)=1,1,0))</f>
        <v/>
      </c>
      <c r="AI422" s="18" t="str">
        <f aca="false">IF($AH422=1,SUMPRODUCT(--($AK$2:$AK$4001&lt;$AK422))+1,"")</f>
        <v/>
      </c>
      <c r="AJ422" s="18" t="str">
        <f aca="false">IF($D422="","",IF(OR($R422=TRUE(),$R422="TRUE"),1,0))</f>
        <v/>
      </c>
      <c r="AK422" s="18" t="str">
        <f aca="false">IF($AH422=1,IFERROR(VALUE(MID($D422,2,20)),1000000000)+ROW()/10000000,"")</f>
        <v/>
      </c>
    </row>
    <row r="423" customFormat="false" ht="15" hidden="false" customHeight="false" outlineLevel="0" collapsed="false">
      <c r="F423" s="15"/>
      <c r="N423" s="16" t="str">
        <f aca="false">IF($D423="","",M423*Y423/100)</f>
        <v/>
      </c>
      <c r="V423" s="16" t="str">
        <f aca="false">IF($D423="","",Y423*AB423/100)</f>
        <v/>
      </c>
      <c r="W423" s="16" t="str">
        <f aca="false">IF($D423="","",Y423-V423)</f>
        <v/>
      </c>
      <c r="X423" s="16" t="str">
        <f aca="false">IF($D423="","",W423-N423)</f>
        <v/>
      </c>
      <c r="AB423" s="17" t="str">
        <f aca="false">IF($D423="","",IF(OR($R423=TRUE(),$R423="TRUE"),Settings!$C$6,Settings!$C$7)*100)</f>
        <v/>
      </c>
      <c r="AH423" s="18" t="str">
        <f aca="false">IF($D423="","",IF(COUNTIF($D$2:$D423,$D423)=1,1,0))</f>
        <v/>
      </c>
      <c r="AI423" s="18" t="str">
        <f aca="false">IF($AH423=1,SUMPRODUCT(--($AK$2:$AK$4001&lt;$AK423))+1,"")</f>
        <v/>
      </c>
      <c r="AJ423" s="18" t="str">
        <f aca="false">IF($D423="","",IF(OR($R423=TRUE(),$R423="TRUE"),1,0))</f>
        <v/>
      </c>
      <c r="AK423" s="18" t="str">
        <f aca="false">IF($AH423=1,IFERROR(VALUE(MID($D423,2,20)),1000000000)+ROW()/10000000,"")</f>
        <v/>
      </c>
    </row>
    <row r="424" customFormat="false" ht="15" hidden="false" customHeight="false" outlineLevel="0" collapsed="false">
      <c r="F424" s="15"/>
      <c r="N424" s="16" t="str">
        <f aca="false">IF($D424="","",M424*Y424/100)</f>
        <v/>
      </c>
      <c r="V424" s="16" t="str">
        <f aca="false">IF($D424="","",Y424*AB424/100)</f>
        <v/>
      </c>
      <c r="W424" s="16" t="str">
        <f aca="false">IF($D424="","",Y424-V424)</f>
        <v/>
      </c>
      <c r="X424" s="16" t="str">
        <f aca="false">IF($D424="","",W424-N424)</f>
        <v/>
      </c>
      <c r="AB424" s="17" t="str">
        <f aca="false">IF($D424="","",IF(OR($R424=TRUE(),$R424="TRUE"),Settings!$C$6,Settings!$C$7)*100)</f>
        <v/>
      </c>
      <c r="AH424" s="18" t="str">
        <f aca="false">IF($D424="","",IF(COUNTIF($D$2:$D424,$D424)=1,1,0))</f>
        <v/>
      </c>
      <c r="AI424" s="18" t="str">
        <f aca="false">IF($AH424=1,SUMPRODUCT(--($AK$2:$AK$4001&lt;$AK424))+1,"")</f>
        <v/>
      </c>
      <c r="AJ424" s="18" t="str">
        <f aca="false">IF($D424="","",IF(OR($R424=TRUE(),$R424="TRUE"),1,0))</f>
        <v/>
      </c>
      <c r="AK424" s="18" t="str">
        <f aca="false">IF($AH424=1,IFERROR(VALUE(MID($D424,2,20)),1000000000)+ROW()/10000000,"")</f>
        <v/>
      </c>
    </row>
    <row r="425" customFormat="false" ht="15" hidden="false" customHeight="false" outlineLevel="0" collapsed="false">
      <c r="F425" s="15"/>
      <c r="N425" s="16" t="str">
        <f aca="false">IF($D425="","",M425*Y425/100)</f>
        <v/>
      </c>
      <c r="V425" s="16" t="str">
        <f aca="false">IF($D425="","",Y425*AB425/100)</f>
        <v/>
      </c>
      <c r="W425" s="16" t="str">
        <f aca="false">IF($D425="","",Y425-V425)</f>
        <v/>
      </c>
      <c r="X425" s="16" t="str">
        <f aca="false">IF($D425="","",W425-N425)</f>
        <v/>
      </c>
      <c r="AB425" s="17" t="str">
        <f aca="false">IF($D425="","",IF(OR($R425=TRUE(),$R425="TRUE"),Settings!$C$6,Settings!$C$7)*100)</f>
        <v/>
      </c>
      <c r="AH425" s="18" t="str">
        <f aca="false">IF($D425="","",IF(COUNTIF($D$2:$D425,$D425)=1,1,0))</f>
        <v/>
      </c>
      <c r="AI425" s="18" t="str">
        <f aca="false">IF($AH425=1,SUMPRODUCT(--($AK$2:$AK$4001&lt;$AK425))+1,"")</f>
        <v/>
      </c>
      <c r="AJ425" s="18" t="str">
        <f aca="false">IF($D425="","",IF(OR($R425=TRUE(),$R425="TRUE"),1,0))</f>
        <v/>
      </c>
      <c r="AK425" s="18" t="str">
        <f aca="false">IF($AH425=1,IFERROR(VALUE(MID($D425,2,20)),1000000000)+ROW()/10000000,"")</f>
        <v/>
      </c>
    </row>
    <row r="426" customFormat="false" ht="15" hidden="false" customHeight="false" outlineLevel="0" collapsed="false">
      <c r="F426" s="15"/>
      <c r="N426" s="16" t="str">
        <f aca="false">IF($D426="","",M426*Y426/100)</f>
        <v/>
      </c>
      <c r="V426" s="16" t="str">
        <f aca="false">IF($D426="","",Y426*AB426/100)</f>
        <v/>
      </c>
      <c r="W426" s="16" t="str">
        <f aca="false">IF($D426="","",Y426-V426)</f>
        <v/>
      </c>
      <c r="X426" s="16" t="str">
        <f aca="false">IF($D426="","",W426-N426)</f>
        <v/>
      </c>
      <c r="AB426" s="17" t="str">
        <f aca="false">IF($D426="","",IF(OR($R426=TRUE(),$R426="TRUE"),Settings!$C$6,Settings!$C$7)*100)</f>
        <v/>
      </c>
      <c r="AH426" s="18" t="str">
        <f aca="false">IF($D426="","",IF(COUNTIF($D$2:$D426,$D426)=1,1,0))</f>
        <v/>
      </c>
      <c r="AI426" s="18" t="str">
        <f aca="false">IF($AH426=1,SUMPRODUCT(--($AK$2:$AK$4001&lt;$AK426))+1,"")</f>
        <v/>
      </c>
      <c r="AJ426" s="18" t="str">
        <f aca="false">IF($D426="","",IF(OR($R426=TRUE(),$R426="TRUE"),1,0))</f>
        <v/>
      </c>
      <c r="AK426" s="18" t="str">
        <f aca="false">IF($AH426=1,IFERROR(VALUE(MID($D426,2,20)),1000000000)+ROW()/10000000,"")</f>
        <v/>
      </c>
    </row>
    <row r="427" customFormat="false" ht="15" hidden="false" customHeight="false" outlineLevel="0" collapsed="false">
      <c r="F427" s="15"/>
      <c r="N427" s="16" t="str">
        <f aca="false">IF($D427="","",M427*Y427/100)</f>
        <v/>
      </c>
      <c r="V427" s="16" t="str">
        <f aca="false">IF($D427="","",Y427*AB427/100)</f>
        <v/>
      </c>
      <c r="W427" s="16" t="str">
        <f aca="false">IF($D427="","",Y427-V427)</f>
        <v/>
      </c>
      <c r="X427" s="16" t="str">
        <f aca="false">IF($D427="","",W427-N427)</f>
        <v/>
      </c>
      <c r="AB427" s="17" t="str">
        <f aca="false">IF($D427="","",IF(OR($R427=TRUE(),$R427="TRUE"),Settings!$C$6,Settings!$C$7)*100)</f>
        <v/>
      </c>
      <c r="AH427" s="18" t="str">
        <f aca="false">IF($D427="","",IF(COUNTIF($D$2:$D427,$D427)=1,1,0))</f>
        <v/>
      </c>
      <c r="AI427" s="18" t="str">
        <f aca="false">IF($AH427=1,SUMPRODUCT(--($AK$2:$AK$4001&lt;$AK427))+1,"")</f>
        <v/>
      </c>
      <c r="AJ427" s="18" t="str">
        <f aca="false">IF($D427="","",IF(OR($R427=TRUE(),$R427="TRUE"),1,0))</f>
        <v/>
      </c>
      <c r="AK427" s="18" t="str">
        <f aca="false">IF($AH427=1,IFERROR(VALUE(MID($D427,2,20)),1000000000)+ROW()/10000000,"")</f>
        <v/>
      </c>
    </row>
    <row r="428" customFormat="false" ht="15" hidden="false" customHeight="false" outlineLevel="0" collapsed="false">
      <c r="F428" s="15"/>
      <c r="N428" s="16" t="str">
        <f aca="false">IF($D428="","",M428*Y428/100)</f>
        <v/>
      </c>
      <c r="V428" s="16" t="str">
        <f aca="false">IF($D428="","",Y428*AB428/100)</f>
        <v/>
      </c>
      <c r="W428" s="16" t="str">
        <f aca="false">IF($D428="","",Y428-V428)</f>
        <v/>
      </c>
      <c r="X428" s="16" t="str">
        <f aca="false">IF($D428="","",W428-N428)</f>
        <v/>
      </c>
      <c r="AB428" s="17" t="str">
        <f aca="false">IF($D428="","",IF(OR($R428=TRUE(),$R428="TRUE"),Settings!$C$6,Settings!$C$7)*100)</f>
        <v/>
      </c>
      <c r="AH428" s="18" t="str">
        <f aca="false">IF($D428="","",IF(COUNTIF($D$2:$D428,$D428)=1,1,0))</f>
        <v/>
      </c>
      <c r="AI428" s="18" t="str">
        <f aca="false">IF($AH428=1,SUMPRODUCT(--($AK$2:$AK$4001&lt;$AK428))+1,"")</f>
        <v/>
      </c>
      <c r="AJ428" s="18" t="str">
        <f aca="false">IF($D428="","",IF(OR($R428=TRUE(),$R428="TRUE"),1,0))</f>
        <v/>
      </c>
      <c r="AK428" s="18" t="str">
        <f aca="false">IF($AH428=1,IFERROR(VALUE(MID($D428,2,20)),1000000000)+ROW()/10000000,"")</f>
        <v/>
      </c>
    </row>
    <row r="429" customFormat="false" ht="15" hidden="false" customHeight="false" outlineLevel="0" collapsed="false">
      <c r="F429" s="15"/>
      <c r="N429" s="16" t="str">
        <f aca="false">IF($D429="","",M429*Y429/100)</f>
        <v/>
      </c>
      <c r="V429" s="16" t="str">
        <f aca="false">IF($D429="","",Y429*AB429/100)</f>
        <v/>
      </c>
      <c r="W429" s="16" t="str">
        <f aca="false">IF($D429="","",Y429-V429)</f>
        <v/>
      </c>
      <c r="X429" s="16" t="str">
        <f aca="false">IF($D429="","",W429-N429)</f>
        <v/>
      </c>
      <c r="AB429" s="17" t="str">
        <f aca="false">IF($D429="","",IF(OR($R429=TRUE(),$R429="TRUE"),Settings!$C$6,Settings!$C$7)*100)</f>
        <v/>
      </c>
      <c r="AH429" s="18" t="str">
        <f aca="false">IF($D429="","",IF(COUNTIF($D$2:$D429,$D429)=1,1,0))</f>
        <v/>
      </c>
      <c r="AI429" s="18" t="str">
        <f aca="false">IF($AH429=1,SUMPRODUCT(--($AK$2:$AK$4001&lt;$AK429))+1,"")</f>
        <v/>
      </c>
      <c r="AJ429" s="18" t="str">
        <f aca="false">IF($D429="","",IF(OR($R429=TRUE(),$R429="TRUE"),1,0))</f>
        <v/>
      </c>
      <c r="AK429" s="18" t="str">
        <f aca="false">IF($AH429=1,IFERROR(VALUE(MID($D429,2,20)),1000000000)+ROW()/10000000,"")</f>
        <v/>
      </c>
    </row>
    <row r="430" customFormat="false" ht="15" hidden="false" customHeight="false" outlineLevel="0" collapsed="false">
      <c r="F430" s="15"/>
      <c r="N430" s="16" t="str">
        <f aca="false">IF($D430="","",M430*Y430/100)</f>
        <v/>
      </c>
      <c r="V430" s="16" t="str">
        <f aca="false">IF($D430="","",Y430*AB430/100)</f>
        <v/>
      </c>
      <c r="W430" s="16" t="str">
        <f aca="false">IF($D430="","",Y430-V430)</f>
        <v/>
      </c>
      <c r="X430" s="16" t="str">
        <f aca="false">IF($D430="","",W430-N430)</f>
        <v/>
      </c>
      <c r="AB430" s="17" t="str">
        <f aca="false">IF($D430="","",IF(OR($R430=TRUE(),$R430="TRUE"),Settings!$C$6,Settings!$C$7)*100)</f>
        <v/>
      </c>
      <c r="AH430" s="18" t="str">
        <f aca="false">IF($D430="","",IF(COUNTIF($D$2:$D430,$D430)=1,1,0))</f>
        <v/>
      </c>
      <c r="AI430" s="18" t="str">
        <f aca="false">IF($AH430=1,SUMPRODUCT(--($AK$2:$AK$4001&lt;$AK430))+1,"")</f>
        <v/>
      </c>
      <c r="AJ430" s="18" t="str">
        <f aca="false">IF($D430="","",IF(OR($R430=TRUE(),$R430="TRUE"),1,0))</f>
        <v/>
      </c>
      <c r="AK430" s="18" t="str">
        <f aca="false">IF($AH430=1,IFERROR(VALUE(MID($D430,2,20)),1000000000)+ROW()/10000000,"")</f>
        <v/>
      </c>
    </row>
    <row r="431" customFormat="false" ht="15" hidden="false" customHeight="false" outlineLevel="0" collapsed="false">
      <c r="F431" s="15"/>
      <c r="N431" s="16" t="str">
        <f aca="false">IF($D431="","",M431*Y431/100)</f>
        <v/>
      </c>
      <c r="V431" s="16" t="str">
        <f aca="false">IF($D431="","",Y431*AB431/100)</f>
        <v/>
      </c>
      <c r="W431" s="16" t="str">
        <f aca="false">IF($D431="","",Y431-V431)</f>
        <v/>
      </c>
      <c r="X431" s="16" t="str">
        <f aca="false">IF($D431="","",W431-N431)</f>
        <v/>
      </c>
      <c r="AB431" s="17" t="str">
        <f aca="false">IF($D431="","",IF(OR($R431=TRUE(),$R431="TRUE"),Settings!$C$6,Settings!$C$7)*100)</f>
        <v/>
      </c>
      <c r="AH431" s="18" t="str">
        <f aca="false">IF($D431="","",IF(COUNTIF($D$2:$D431,$D431)=1,1,0))</f>
        <v/>
      </c>
      <c r="AI431" s="18" t="str">
        <f aca="false">IF($AH431=1,SUMPRODUCT(--($AK$2:$AK$4001&lt;$AK431))+1,"")</f>
        <v/>
      </c>
      <c r="AJ431" s="18" t="str">
        <f aca="false">IF($D431="","",IF(OR($R431=TRUE(),$R431="TRUE"),1,0))</f>
        <v/>
      </c>
      <c r="AK431" s="18" t="str">
        <f aca="false">IF($AH431=1,IFERROR(VALUE(MID($D431,2,20)),1000000000)+ROW()/10000000,"")</f>
        <v/>
      </c>
    </row>
    <row r="432" customFormat="false" ht="15" hidden="false" customHeight="false" outlineLevel="0" collapsed="false">
      <c r="F432" s="15"/>
      <c r="N432" s="16" t="str">
        <f aca="false">IF($D432="","",M432*Y432/100)</f>
        <v/>
      </c>
      <c r="V432" s="16" t="str">
        <f aca="false">IF($D432="","",Y432*AB432/100)</f>
        <v/>
      </c>
      <c r="W432" s="16" t="str">
        <f aca="false">IF($D432="","",Y432-V432)</f>
        <v/>
      </c>
      <c r="X432" s="16" t="str">
        <f aca="false">IF($D432="","",W432-N432)</f>
        <v/>
      </c>
      <c r="AB432" s="17" t="str">
        <f aca="false">IF($D432="","",IF(OR($R432=TRUE(),$R432="TRUE"),Settings!$C$6,Settings!$C$7)*100)</f>
        <v/>
      </c>
      <c r="AH432" s="18" t="str">
        <f aca="false">IF($D432="","",IF(COUNTIF($D$2:$D432,$D432)=1,1,0))</f>
        <v/>
      </c>
      <c r="AI432" s="18" t="str">
        <f aca="false">IF($AH432=1,SUMPRODUCT(--($AK$2:$AK$4001&lt;$AK432))+1,"")</f>
        <v/>
      </c>
      <c r="AJ432" s="18" t="str">
        <f aca="false">IF($D432="","",IF(OR($R432=TRUE(),$R432="TRUE"),1,0))</f>
        <v/>
      </c>
      <c r="AK432" s="18" t="str">
        <f aca="false">IF($AH432=1,IFERROR(VALUE(MID($D432,2,20)),1000000000)+ROW()/10000000,"")</f>
        <v/>
      </c>
    </row>
    <row r="433" customFormat="false" ht="15" hidden="false" customHeight="false" outlineLevel="0" collapsed="false">
      <c r="F433" s="15"/>
      <c r="N433" s="16" t="str">
        <f aca="false">IF($D433="","",M433*Y433/100)</f>
        <v/>
      </c>
      <c r="V433" s="16" t="str">
        <f aca="false">IF($D433="","",Y433*AB433/100)</f>
        <v/>
      </c>
      <c r="W433" s="16" t="str">
        <f aca="false">IF($D433="","",Y433-V433)</f>
        <v/>
      </c>
      <c r="X433" s="16" t="str">
        <f aca="false">IF($D433="","",W433-N433)</f>
        <v/>
      </c>
      <c r="AB433" s="17" t="str">
        <f aca="false">IF($D433="","",IF(OR($R433=TRUE(),$R433="TRUE"),Settings!$C$6,Settings!$C$7)*100)</f>
        <v/>
      </c>
      <c r="AH433" s="18" t="str">
        <f aca="false">IF($D433="","",IF(COUNTIF($D$2:$D433,$D433)=1,1,0))</f>
        <v/>
      </c>
      <c r="AI433" s="18" t="str">
        <f aca="false">IF($AH433=1,SUMPRODUCT(--($AK$2:$AK$4001&lt;$AK433))+1,"")</f>
        <v/>
      </c>
      <c r="AJ433" s="18" t="str">
        <f aca="false">IF($D433="","",IF(OR($R433=TRUE(),$R433="TRUE"),1,0))</f>
        <v/>
      </c>
      <c r="AK433" s="18" t="str">
        <f aca="false">IF($AH433=1,IFERROR(VALUE(MID($D433,2,20)),1000000000)+ROW()/10000000,"")</f>
        <v/>
      </c>
    </row>
    <row r="434" customFormat="false" ht="15" hidden="false" customHeight="false" outlineLevel="0" collapsed="false">
      <c r="F434" s="15"/>
      <c r="N434" s="16" t="str">
        <f aca="false">IF($D434="","",M434*Y434/100)</f>
        <v/>
      </c>
      <c r="V434" s="16" t="str">
        <f aca="false">IF($D434="","",Y434*AB434/100)</f>
        <v/>
      </c>
      <c r="W434" s="16" t="str">
        <f aca="false">IF($D434="","",Y434-V434)</f>
        <v/>
      </c>
      <c r="X434" s="16" t="str">
        <f aca="false">IF($D434="","",W434-N434)</f>
        <v/>
      </c>
      <c r="AB434" s="17" t="str">
        <f aca="false">IF($D434="","",IF(OR($R434=TRUE(),$R434="TRUE"),Settings!$C$6,Settings!$C$7)*100)</f>
        <v/>
      </c>
      <c r="AH434" s="18" t="str">
        <f aca="false">IF($D434="","",IF(COUNTIF($D$2:$D434,$D434)=1,1,0))</f>
        <v/>
      </c>
      <c r="AI434" s="18" t="str">
        <f aca="false">IF($AH434=1,SUMPRODUCT(--($AK$2:$AK$4001&lt;$AK434))+1,"")</f>
        <v/>
      </c>
      <c r="AJ434" s="18" t="str">
        <f aca="false">IF($D434="","",IF(OR($R434=TRUE(),$R434="TRUE"),1,0))</f>
        <v/>
      </c>
      <c r="AK434" s="18" t="str">
        <f aca="false">IF($AH434=1,IFERROR(VALUE(MID($D434,2,20)),1000000000)+ROW()/10000000,"")</f>
        <v/>
      </c>
    </row>
    <row r="435" customFormat="false" ht="15" hidden="false" customHeight="false" outlineLevel="0" collapsed="false">
      <c r="F435" s="15"/>
      <c r="N435" s="16" t="str">
        <f aca="false">IF($D435="","",M435*Y435/100)</f>
        <v/>
      </c>
      <c r="V435" s="16" t="str">
        <f aca="false">IF($D435="","",Y435*AB435/100)</f>
        <v/>
      </c>
      <c r="W435" s="16" t="str">
        <f aca="false">IF($D435="","",Y435-V435)</f>
        <v/>
      </c>
      <c r="X435" s="16" t="str">
        <f aca="false">IF($D435="","",W435-N435)</f>
        <v/>
      </c>
      <c r="AB435" s="17" t="str">
        <f aca="false">IF($D435="","",IF(OR($R435=TRUE(),$R435="TRUE"),Settings!$C$6,Settings!$C$7)*100)</f>
        <v/>
      </c>
      <c r="AH435" s="18" t="str">
        <f aca="false">IF($D435="","",IF(COUNTIF($D$2:$D435,$D435)=1,1,0))</f>
        <v/>
      </c>
      <c r="AI435" s="18" t="str">
        <f aca="false">IF($AH435=1,SUMPRODUCT(--($AK$2:$AK$4001&lt;$AK435))+1,"")</f>
        <v/>
      </c>
      <c r="AJ435" s="18" t="str">
        <f aca="false">IF($D435="","",IF(OR($R435=TRUE(),$R435="TRUE"),1,0))</f>
        <v/>
      </c>
      <c r="AK435" s="18" t="str">
        <f aca="false">IF($AH435=1,IFERROR(VALUE(MID($D435,2,20)),1000000000)+ROW()/10000000,"")</f>
        <v/>
      </c>
    </row>
    <row r="436" customFormat="false" ht="15" hidden="false" customHeight="false" outlineLevel="0" collapsed="false">
      <c r="F436" s="15"/>
      <c r="N436" s="16" t="str">
        <f aca="false">IF($D436="","",M436*Y436/100)</f>
        <v/>
      </c>
      <c r="V436" s="16" t="str">
        <f aca="false">IF($D436="","",Y436*AB436/100)</f>
        <v/>
      </c>
      <c r="W436" s="16" t="str">
        <f aca="false">IF($D436="","",Y436-V436)</f>
        <v/>
      </c>
      <c r="X436" s="16" t="str">
        <f aca="false">IF($D436="","",W436-N436)</f>
        <v/>
      </c>
      <c r="AB436" s="17" t="str">
        <f aca="false">IF($D436="","",IF(OR($R436=TRUE(),$R436="TRUE"),Settings!$C$6,Settings!$C$7)*100)</f>
        <v/>
      </c>
      <c r="AH436" s="18" t="str">
        <f aca="false">IF($D436="","",IF(COUNTIF($D$2:$D436,$D436)=1,1,0))</f>
        <v/>
      </c>
      <c r="AI436" s="18" t="str">
        <f aca="false">IF($AH436=1,SUMPRODUCT(--($AK$2:$AK$4001&lt;$AK436))+1,"")</f>
        <v/>
      </c>
      <c r="AJ436" s="18" t="str">
        <f aca="false">IF($D436="","",IF(OR($R436=TRUE(),$R436="TRUE"),1,0))</f>
        <v/>
      </c>
      <c r="AK436" s="18" t="str">
        <f aca="false">IF($AH436=1,IFERROR(VALUE(MID($D436,2,20)),1000000000)+ROW()/10000000,"")</f>
        <v/>
      </c>
    </row>
    <row r="437" customFormat="false" ht="15" hidden="false" customHeight="false" outlineLevel="0" collapsed="false">
      <c r="F437" s="15"/>
      <c r="N437" s="16" t="str">
        <f aca="false">IF($D437="","",M437*Y437/100)</f>
        <v/>
      </c>
      <c r="V437" s="16" t="str">
        <f aca="false">IF($D437="","",Y437*AB437/100)</f>
        <v/>
      </c>
      <c r="W437" s="16" t="str">
        <f aca="false">IF($D437="","",Y437-V437)</f>
        <v/>
      </c>
      <c r="X437" s="16" t="str">
        <f aca="false">IF($D437="","",W437-N437)</f>
        <v/>
      </c>
      <c r="AB437" s="17" t="str">
        <f aca="false">IF($D437="","",IF(OR($R437=TRUE(),$R437="TRUE"),Settings!$C$6,Settings!$C$7)*100)</f>
        <v/>
      </c>
      <c r="AH437" s="18" t="str">
        <f aca="false">IF($D437="","",IF(COUNTIF($D$2:$D437,$D437)=1,1,0))</f>
        <v/>
      </c>
      <c r="AI437" s="18" t="str">
        <f aca="false">IF($AH437=1,SUMPRODUCT(--($AK$2:$AK$4001&lt;$AK437))+1,"")</f>
        <v/>
      </c>
      <c r="AJ437" s="18" t="str">
        <f aca="false">IF($D437="","",IF(OR($R437=TRUE(),$R437="TRUE"),1,0))</f>
        <v/>
      </c>
      <c r="AK437" s="18" t="str">
        <f aca="false">IF($AH437=1,IFERROR(VALUE(MID($D437,2,20)),1000000000)+ROW()/10000000,"")</f>
        <v/>
      </c>
    </row>
    <row r="438" customFormat="false" ht="15" hidden="false" customHeight="false" outlineLevel="0" collapsed="false">
      <c r="F438" s="15"/>
      <c r="N438" s="16" t="str">
        <f aca="false">IF($D438="","",M438*Y438/100)</f>
        <v/>
      </c>
      <c r="V438" s="16" t="str">
        <f aca="false">IF($D438="","",Y438*AB438/100)</f>
        <v/>
      </c>
      <c r="W438" s="16" t="str">
        <f aca="false">IF($D438="","",Y438-V438)</f>
        <v/>
      </c>
      <c r="X438" s="16" t="str">
        <f aca="false">IF($D438="","",W438-N438)</f>
        <v/>
      </c>
      <c r="AB438" s="17" t="str">
        <f aca="false">IF($D438="","",IF(OR($R438=TRUE(),$R438="TRUE"),Settings!$C$6,Settings!$C$7)*100)</f>
        <v/>
      </c>
      <c r="AH438" s="18" t="str">
        <f aca="false">IF($D438="","",IF(COUNTIF($D$2:$D438,$D438)=1,1,0))</f>
        <v/>
      </c>
      <c r="AI438" s="18" t="str">
        <f aca="false">IF($AH438=1,SUMPRODUCT(--($AK$2:$AK$4001&lt;$AK438))+1,"")</f>
        <v/>
      </c>
      <c r="AJ438" s="18" t="str">
        <f aca="false">IF($D438="","",IF(OR($R438=TRUE(),$R438="TRUE"),1,0))</f>
        <v/>
      </c>
      <c r="AK438" s="18" t="str">
        <f aca="false">IF($AH438=1,IFERROR(VALUE(MID($D438,2,20)),1000000000)+ROW()/10000000,"")</f>
        <v/>
      </c>
    </row>
    <row r="439" customFormat="false" ht="15" hidden="false" customHeight="false" outlineLevel="0" collapsed="false">
      <c r="F439" s="15"/>
      <c r="N439" s="16" t="str">
        <f aca="false">IF($D439="","",M439*Y439/100)</f>
        <v/>
      </c>
      <c r="V439" s="16" t="str">
        <f aca="false">IF($D439="","",Y439*AB439/100)</f>
        <v/>
      </c>
      <c r="W439" s="16" t="str">
        <f aca="false">IF($D439="","",Y439-V439)</f>
        <v/>
      </c>
      <c r="X439" s="16" t="str">
        <f aca="false">IF($D439="","",W439-N439)</f>
        <v/>
      </c>
      <c r="AB439" s="17" t="str">
        <f aca="false">IF($D439="","",IF(OR($R439=TRUE(),$R439="TRUE"),Settings!$C$6,Settings!$C$7)*100)</f>
        <v/>
      </c>
      <c r="AH439" s="18" t="str">
        <f aca="false">IF($D439="","",IF(COUNTIF($D$2:$D439,$D439)=1,1,0))</f>
        <v/>
      </c>
      <c r="AI439" s="18" t="str">
        <f aca="false">IF($AH439=1,SUMPRODUCT(--($AK$2:$AK$4001&lt;$AK439))+1,"")</f>
        <v/>
      </c>
      <c r="AJ439" s="18" t="str">
        <f aca="false">IF($D439="","",IF(OR($R439=TRUE(),$R439="TRUE"),1,0))</f>
        <v/>
      </c>
      <c r="AK439" s="18" t="str">
        <f aca="false">IF($AH439=1,IFERROR(VALUE(MID($D439,2,20)),1000000000)+ROW()/10000000,"")</f>
        <v/>
      </c>
    </row>
    <row r="440" customFormat="false" ht="15" hidden="false" customHeight="false" outlineLevel="0" collapsed="false">
      <c r="F440" s="15"/>
      <c r="N440" s="16" t="str">
        <f aca="false">IF($D440="","",M440*Y440/100)</f>
        <v/>
      </c>
      <c r="V440" s="16" t="str">
        <f aca="false">IF($D440="","",Y440*AB440/100)</f>
        <v/>
      </c>
      <c r="W440" s="16" t="str">
        <f aca="false">IF($D440="","",Y440-V440)</f>
        <v/>
      </c>
      <c r="X440" s="16" t="str">
        <f aca="false">IF($D440="","",W440-N440)</f>
        <v/>
      </c>
      <c r="AB440" s="17" t="str">
        <f aca="false">IF($D440="","",IF(OR($R440=TRUE(),$R440="TRUE"),Settings!$C$6,Settings!$C$7)*100)</f>
        <v/>
      </c>
      <c r="AH440" s="18" t="str">
        <f aca="false">IF($D440="","",IF(COUNTIF($D$2:$D440,$D440)=1,1,0))</f>
        <v/>
      </c>
      <c r="AI440" s="18" t="str">
        <f aca="false">IF($AH440=1,SUMPRODUCT(--($AK$2:$AK$4001&lt;$AK440))+1,"")</f>
        <v/>
      </c>
      <c r="AJ440" s="18" t="str">
        <f aca="false">IF($D440="","",IF(OR($R440=TRUE(),$R440="TRUE"),1,0))</f>
        <v/>
      </c>
      <c r="AK440" s="18" t="str">
        <f aca="false">IF($AH440=1,IFERROR(VALUE(MID($D440,2,20)),1000000000)+ROW()/10000000,"")</f>
        <v/>
      </c>
    </row>
    <row r="441" customFormat="false" ht="15" hidden="false" customHeight="false" outlineLevel="0" collapsed="false">
      <c r="F441" s="15"/>
      <c r="N441" s="16" t="str">
        <f aca="false">IF($D441="","",M441*Y441/100)</f>
        <v/>
      </c>
      <c r="V441" s="16" t="str">
        <f aca="false">IF($D441="","",Y441*AB441/100)</f>
        <v/>
      </c>
      <c r="W441" s="16" t="str">
        <f aca="false">IF($D441="","",Y441-V441)</f>
        <v/>
      </c>
      <c r="X441" s="16" t="str">
        <f aca="false">IF($D441="","",W441-N441)</f>
        <v/>
      </c>
      <c r="AB441" s="17" t="str">
        <f aca="false">IF($D441="","",IF(OR($R441=TRUE(),$R441="TRUE"),Settings!$C$6,Settings!$C$7)*100)</f>
        <v/>
      </c>
      <c r="AH441" s="18" t="str">
        <f aca="false">IF($D441="","",IF(COUNTIF($D$2:$D441,$D441)=1,1,0))</f>
        <v/>
      </c>
      <c r="AI441" s="18" t="str">
        <f aca="false">IF($AH441=1,SUMPRODUCT(--($AK$2:$AK$4001&lt;$AK441))+1,"")</f>
        <v/>
      </c>
      <c r="AJ441" s="18" t="str">
        <f aca="false">IF($D441="","",IF(OR($R441=TRUE(),$R441="TRUE"),1,0))</f>
        <v/>
      </c>
      <c r="AK441" s="18" t="str">
        <f aca="false">IF($AH441=1,IFERROR(VALUE(MID($D441,2,20)),1000000000)+ROW()/10000000,"")</f>
        <v/>
      </c>
    </row>
    <row r="442" customFormat="false" ht="15" hidden="false" customHeight="false" outlineLevel="0" collapsed="false">
      <c r="F442" s="15"/>
      <c r="N442" s="16" t="str">
        <f aca="false">IF($D442="","",M442*Y442/100)</f>
        <v/>
      </c>
      <c r="V442" s="16" t="str">
        <f aca="false">IF($D442="","",Y442*AB442/100)</f>
        <v/>
      </c>
      <c r="W442" s="16" t="str">
        <f aca="false">IF($D442="","",Y442-V442)</f>
        <v/>
      </c>
      <c r="X442" s="16" t="str">
        <f aca="false">IF($D442="","",W442-N442)</f>
        <v/>
      </c>
      <c r="AB442" s="17" t="str">
        <f aca="false">IF($D442="","",IF(OR($R442=TRUE(),$R442="TRUE"),Settings!$C$6,Settings!$C$7)*100)</f>
        <v/>
      </c>
      <c r="AH442" s="18" t="str">
        <f aca="false">IF($D442="","",IF(COUNTIF($D$2:$D442,$D442)=1,1,0))</f>
        <v/>
      </c>
      <c r="AI442" s="18" t="str">
        <f aca="false">IF($AH442=1,SUMPRODUCT(--($AK$2:$AK$4001&lt;$AK442))+1,"")</f>
        <v/>
      </c>
      <c r="AJ442" s="18" t="str">
        <f aca="false">IF($D442="","",IF(OR($R442=TRUE(),$R442="TRUE"),1,0))</f>
        <v/>
      </c>
      <c r="AK442" s="18" t="str">
        <f aca="false">IF($AH442=1,IFERROR(VALUE(MID($D442,2,20)),1000000000)+ROW()/10000000,"")</f>
        <v/>
      </c>
    </row>
    <row r="443" customFormat="false" ht="15" hidden="false" customHeight="false" outlineLevel="0" collapsed="false">
      <c r="F443" s="15"/>
      <c r="N443" s="16" t="str">
        <f aca="false">IF($D443="","",M443*Y443/100)</f>
        <v/>
      </c>
      <c r="V443" s="16" t="str">
        <f aca="false">IF($D443="","",Y443*AB443/100)</f>
        <v/>
      </c>
      <c r="W443" s="16" t="str">
        <f aca="false">IF($D443="","",Y443-V443)</f>
        <v/>
      </c>
      <c r="X443" s="16" t="str">
        <f aca="false">IF($D443="","",W443-N443)</f>
        <v/>
      </c>
      <c r="AB443" s="17" t="str">
        <f aca="false">IF($D443="","",IF(OR($R443=TRUE(),$R443="TRUE"),Settings!$C$6,Settings!$C$7)*100)</f>
        <v/>
      </c>
      <c r="AH443" s="18" t="str">
        <f aca="false">IF($D443="","",IF(COUNTIF($D$2:$D443,$D443)=1,1,0))</f>
        <v/>
      </c>
      <c r="AI443" s="18" t="str">
        <f aca="false">IF($AH443=1,SUMPRODUCT(--($AK$2:$AK$4001&lt;$AK443))+1,"")</f>
        <v/>
      </c>
      <c r="AJ443" s="18" t="str">
        <f aca="false">IF($D443="","",IF(OR($R443=TRUE(),$R443="TRUE"),1,0))</f>
        <v/>
      </c>
      <c r="AK443" s="18" t="str">
        <f aca="false">IF($AH443=1,IFERROR(VALUE(MID($D443,2,20)),1000000000)+ROW()/10000000,"")</f>
        <v/>
      </c>
    </row>
    <row r="444" customFormat="false" ht="15" hidden="false" customHeight="false" outlineLevel="0" collapsed="false">
      <c r="F444" s="15"/>
      <c r="N444" s="16" t="str">
        <f aca="false">IF($D444="","",M444*Y444/100)</f>
        <v/>
      </c>
      <c r="V444" s="16" t="str">
        <f aca="false">IF($D444="","",Y444*AB444/100)</f>
        <v/>
      </c>
      <c r="W444" s="16" t="str">
        <f aca="false">IF($D444="","",Y444-V444)</f>
        <v/>
      </c>
      <c r="X444" s="16" t="str">
        <f aca="false">IF($D444="","",W444-N444)</f>
        <v/>
      </c>
      <c r="AB444" s="17" t="str">
        <f aca="false">IF($D444="","",IF(OR($R444=TRUE(),$R444="TRUE"),Settings!$C$6,Settings!$C$7)*100)</f>
        <v/>
      </c>
      <c r="AH444" s="18" t="str">
        <f aca="false">IF($D444="","",IF(COUNTIF($D$2:$D444,$D444)=1,1,0))</f>
        <v/>
      </c>
      <c r="AI444" s="18" t="str">
        <f aca="false">IF($AH444=1,SUMPRODUCT(--($AK$2:$AK$4001&lt;$AK444))+1,"")</f>
        <v/>
      </c>
      <c r="AJ444" s="18" t="str">
        <f aca="false">IF($D444="","",IF(OR($R444=TRUE(),$R444="TRUE"),1,0))</f>
        <v/>
      </c>
      <c r="AK444" s="18" t="str">
        <f aca="false">IF($AH444=1,IFERROR(VALUE(MID($D444,2,20)),1000000000)+ROW()/10000000,"")</f>
        <v/>
      </c>
    </row>
    <row r="445" customFormat="false" ht="15" hidden="false" customHeight="false" outlineLevel="0" collapsed="false">
      <c r="F445" s="15"/>
      <c r="N445" s="16" t="str">
        <f aca="false">IF($D445="","",M445*Y445/100)</f>
        <v/>
      </c>
      <c r="V445" s="16" t="str">
        <f aca="false">IF($D445="","",Y445*AB445/100)</f>
        <v/>
      </c>
      <c r="W445" s="16" t="str">
        <f aca="false">IF($D445="","",Y445-V445)</f>
        <v/>
      </c>
      <c r="X445" s="16" t="str">
        <f aca="false">IF($D445="","",W445-N445)</f>
        <v/>
      </c>
      <c r="AB445" s="17" t="str">
        <f aca="false">IF($D445="","",IF(OR($R445=TRUE(),$R445="TRUE"),Settings!$C$6,Settings!$C$7)*100)</f>
        <v/>
      </c>
      <c r="AH445" s="18" t="str">
        <f aca="false">IF($D445="","",IF(COUNTIF($D$2:$D445,$D445)=1,1,0))</f>
        <v/>
      </c>
      <c r="AI445" s="18" t="str">
        <f aca="false">IF($AH445=1,SUMPRODUCT(--($AK$2:$AK$4001&lt;$AK445))+1,"")</f>
        <v/>
      </c>
      <c r="AJ445" s="18" t="str">
        <f aca="false">IF($D445="","",IF(OR($R445=TRUE(),$R445="TRUE"),1,0))</f>
        <v/>
      </c>
      <c r="AK445" s="18" t="str">
        <f aca="false">IF($AH445=1,IFERROR(VALUE(MID($D445,2,20)),1000000000)+ROW()/10000000,"")</f>
        <v/>
      </c>
    </row>
    <row r="446" customFormat="false" ht="15" hidden="false" customHeight="false" outlineLevel="0" collapsed="false">
      <c r="F446" s="15"/>
      <c r="N446" s="16" t="str">
        <f aca="false">IF($D446="","",M446*Y446/100)</f>
        <v/>
      </c>
      <c r="V446" s="16" t="str">
        <f aca="false">IF($D446="","",Y446*AB446/100)</f>
        <v/>
      </c>
      <c r="W446" s="16" t="str">
        <f aca="false">IF($D446="","",Y446-V446)</f>
        <v/>
      </c>
      <c r="X446" s="16" t="str">
        <f aca="false">IF($D446="","",W446-N446)</f>
        <v/>
      </c>
      <c r="AB446" s="17" t="str">
        <f aca="false">IF($D446="","",IF(OR($R446=TRUE(),$R446="TRUE"),Settings!$C$6,Settings!$C$7)*100)</f>
        <v/>
      </c>
      <c r="AH446" s="18" t="str">
        <f aca="false">IF($D446="","",IF(COUNTIF($D$2:$D446,$D446)=1,1,0))</f>
        <v/>
      </c>
      <c r="AI446" s="18" t="str">
        <f aca="false">IF($AH446=1,SUMPRODUCT(--($AK$2:$AK$4001&lt;$AK446))+1,"")</f>
        <v/>
      </c>
      <c r="AJ446" s="18" t="str">
        <f aca="false">IF($D446="","",IF(OR($R446=TRUE(),$R446="TRUE"),1,0))</f>
        <v/>
      </c>
      <c r="AK446" s="18" t="str">
        <f aca="false">IF($AH446=1,IFERROR(VALUE(MID($D446,2,20)),1000000000)+ROW()/10000000,"")</f>
        <v/>
      </c>
    </row>
    <row r="447" customFormat="false" ht="15" hidden="false" customHeight="false" outlineLevel="0" collapsed="false">
      <c r="F447" s="15"/>
      <c r="N447" s="16" t="str">
        <f aca="false">IF($D447="","",M447*Y447/100)</f>
        <v/>
      </c>
      <c r="V447" s="16" t="str">
        <f aca="false">IF($D447="","",Y447*AB447/100)</f>
        <v/>
      </c>
      <c r="W447" s="16" t="str">
        <f aca="false">IF($D447="","",Y447-V447)</f>
        <v/>
      </c>
      <c r="X447" s="16" t="str">
        <f aca="false">IF($D447="","",W447-N447)</f>
        <v/>
      </c>
      <c r="AB447" s="17" t="str">
        <f aca="false">IF($D447="","",IF(OR($R447=TRUE(),$R447="TRUE"),Settings!$C$6,Settings!$C$7)*100)</f>
        <v/>
      </c>
      <c r="AH447" s="18" t="str">
        <f aca="false">IF($D447="","",IF(COUNTIF($D$2:$D447,$D447)=1,1,0))</f>
        <v/>
      </c>
      <c r="AI447" s="18" t="str">
        <f aca="false">IF($AH447=1,SUMPRODUCT(--($AK$2:$AK$4001&lt;$AK447))+1,"")</f>
        <v/>
      </c>
      <c r="AJ447" s="18" t="str">
        <f aca="false">IF($D447="","",IF(OR($R447=TRUE(),$R447="TRUE"),1,0))</f>
        <v/>
      </c>
      <c r="AK447" s="18" t="str">
        <f aca="false">IF($AH447=1,IFERROR(VALUE(MID($D447,2,20)),1000000000)+ROW()/10000000,"")</f>
        <v/>
      </c>
    </row>
    <row r="448" customFormat="false" ht="15" hidden="false" customHeight="false" outlineLevel="0" collapsed="false">
      <c r="F448" s="15"/>
      <c r="N448" s="16" t="str">
        <f aca="false">IF($D448="","",M448*Y448/100)</f>
        <v/>
      </c>
      <c r="V448" s="16" t="str">
        <f aca="false">IF($D448="","",Y448*AB448/100)</f>
        <v/>
      </c>
      <c r="W448" s="16" t="str">
        <f aca="false">IF($D448="","",Y448-V448)</f>
        <v/>
      </c>
      <c r="X448" s="16" t="str">
        <f aca="false">IF($D448="","",W448-N448)</f>
        <v/>
      </c>
      <c r="AB448" s="17" t="str">
        <f aca="false">IF($D448="","",IF(OR($R448=TRUE(),$R448="TRUE"),Settings!$C$6,Settings!$C$7)*100)</f>
        <v/>
      </c>
      <c r="AH448" s="18" t="str">
        <f aca="false">IF($D448="","",IF(COUNTIF($D$2:$D448,$D448)=1,1,0))</f>
        <v/>
      </c>
      <c r="AI448" s="18" t="str">
        <f aca="false">IF($AH448=1,SUMPRODUCT(--($AK$2:$AK$4001&lt;$AK448))+1,"")</f>
        <v/>
      </c>
      <c r="AJ448" s="18" t="str">
        <f aca="false">IF($D448="","",IF(OR($R448=TRUE(),$R448="TRUE"),1,0))</f>
        <v/>
      </c>
      <c r="AK448" s="18" t="str">
        <f aca="false">IF($AH448=1,IFERROR(VALUE(MID($D448,2,20)),1000000000)+ROW()/10000000,"")</f>
        <v/>
      </c>
    </row>
    <row r="449" customFormat="false" ht="15" hidden="false" customHeight="false" outlineLevel="0" collapsed="false">
      <c r="F449" s="15"/>
      <c r="N449" s="16" t="str">
        <f aca="false">IF($D449="","",M449*Y449/100)</f>
        <v/>
      </c>
      <c r="V449" s="16" t="str">
        <f aca="false">IF($D449="","",Y449*AB449/100)</f>
        <v/>
      </c>
      <c r="W449" s="16" t="str">
        <f aca="false">IF($D449="","",Y449-V449)</f>
        <v/>
      </c>
      <c r="X449" s="16" t="str">
        <f aca="false">IF($D449="","",W449-N449)</f>
        <v/>
      </c>
      <c r="AB449" s="17" t="str">
        <f aca="false">IF($D449="","",IF(OR($R449=TRUE(),$R449="TRUE"),Settings!$C$6,Settings!$C$7)*100)</f>
        <v/>
      </c>
      <c r="AH449" s="18" t="str">
        <f aca="false">IF($D449="","",IF(COUNTIF($D$2:$D449,$D449)=1,1,0))</f>
        <v/>
      </c>
      <c r="AI449" s="18" t="str">
        <f aca="false">IF($AH449=1,SUMPRODUCT(--($AK$2:$AK$4001&lt;$AK449))+1,"")</f>
        <v/>
      </c>
      <c r="AJ449" s="18" t="str">
        <f aca="false">IF($D449="","",IF(OR($R449=TRUE(),$R449="TRUE"),1,0))</f>
        <v/>
      </c>
      <c r="AK449" s="18" t="str">
        <f aca="false">IF($AH449=1,IFERROR(VALUE(MID($D449,2,20)),1000000000)+ROW()/10000000,"")</f>
        <v/>
      </c>
    </row>
    <row r="450" customFormat="false" ht="15" hidden="false" customHeight="false" outlineLevel="0" collapsed="false">
      <c r="F450" s="15"/>
      <c r="N450" s="16" t="str">
        <f aca="false">IF($D450="","",M450*Y450/100)</f>
        <v/>
      </c>
      <c r="V450" s="16" t="str">
        <f aca="false">IF($D450="","",Y450*AB450/100)</f>
        <v/>
      </c>
      <c r="W450" s="16" t="str">
        <f aca="false">IF($D450="","",Y450-V450)</f>
        <v/>
      </c>
      <c r="X450" s="16" t="str">
        <f aca="false">IF($D450="","",W450-N450)</f>
        <v/>
      </c>
      <c r="AB450" s="17" t="str">
        <f aca="false">IF($D450="","",IF(OR($R450=TRUE(),$R450="TRUE"),Settings!$C$6,Settings!$C$7)*100)</f>
        <v/>
      </c>
      <c r="AH450" s="18" t="str">
        <f aca="false">IF($D450="","",IF(COUNTIF($D$2:$D450,$D450)=1,1,0))</f>
        <v/>
      </c>
      <c r="AI450" s="18" t="str">
        <f aca="false">IF($AH450=1,SUMPRODUCT(--($AK$2:$AK$4001&lt;$AK450))+1,"")</f>
        <v/>
      </c>
      <c r="AJ450" s="18" t="str">
        <f aca="false">IF($D450="","",IF(OR($R450=TRUE(),$R450="TRUE"),1,0))</f>
        <v/>
      </c>
      <c r="AK450" s="18" t="str">
        <f aca="false">IF($AH450=1,IFERROR(VALUE(MID($D450,2,20)),1000000000)+ROW()/10000000,"")</f>
        <v/>
      </c>
    </row>
    <row r="451" customFormat="false" ht="15" hidden="false" customHeight="false" outlineLevel="0" collapsed="false">
      <c r="F451" s="15"/>
      <c r="N451" s="16" t="str">
        <f aca="false">IF($D451="","",M451*Y451/100)</f>
        <v/>
      </c>
      <c r="V451" s="16" t="str">
        <f aca="false">IF($D451="","",Y451*AB451/100)</f>
        <v/>
      </c>
      <c r="W451" s="16" t="str">
        <f aca="false">IF($D451="","",Y451-V451)</f>
        <v/>
      </c>
      <c r="X451" s="16" t="str">
        <f aca="false">IF($D451="","",W451-N451)</f>
        <v/>
      </c>
      <c r="AB451" s="17" t="str">
        <f aca="false">IF($D451="","",IF(OR($R451=TRUE(),$R451="TRUE"),Settings!$C$6,Settings!$C$7)*100)</f>
        <v/>
      </c>
      <c r="AH451" s="18" t="str">
        <f aca="false">IF($D451="","",IF(COUNTIF($D$2:$D451,$D451)=1,1,0))</f>
        <v/>
      </c>
      <c r="AI451" s="18" t="str">
        <f aca="false">IF($AH451=1,SUMPRODUCT(--($AK$2:$AK$4001&lt;$AK451))+1,"")</f>
        <v/>
      </c>
      <c r="AJ451" s="18" t="str">
        <f aca="false">IF($D451="","",IF(OR($R451=TRUE(),$R451="TRUE"),1,0))</f>
        <v/>
      </c>
      <c r="AK451" s="18" t="str">
        <f aca="false">IF($AH451=1,IFERROR(VALUE(MID($D451,2,20)),1000000000)+ROW()/10000000,"")</f>
        <v/>
      </c>
    </row>
    <row r="452" customFormat="false" ht="15" hidden="false" customHeight="false" outlineLevel="0" collapsed="false">
      <c r="F452" s="15"/>
      <c r="N452" s="16" t="str">
        <f aca="false">IF($D452="","",M452*Y452/100)</f>
        <v/>
      </c>
      <c r="V452" s="16" t="str">
        <f aca="false">IF($D452="","",Y452*AB452/100)</f>
        <v/>
      </c>
      <c r="W452" s="16" t="str">
        <f aca="false">IF($D452="","",Y452-V452)</f>
        <v/>
      </c>
      <c r="X452" s="16" t="str">
        <f aca="false">IF($D452="","",W452-N452)</f>
        <v/>
      </c>
      <c r="AB452" s="17" t="str">
        <f aca="false">IF($D452="","",IF(OR($R452=TRUE(),$R452="TRUE"),Settings!$C$6,Settings!$C$7)*100)</f>
        <v/>
      </c>
      <c r="AH452" s="18" t="str">
        <f aca="false">IF($D452="","",IF(COUNTIF($D$2:$D452,$D452)=1,1,0))</f>
        <v/>
      </c>
      <c r="AI452" s="18" t="str">
        <f aca="false">IF($AH452=1,SUMPRODUCT(--($AK$2:$AK$4001&lt;$AK452))+1,"")</f>
        <v/>
      </c>
      <c r="AJ452" s="18" t="str">
        <f aca="false">IF($D452="","",IF(OR($R452=TRUE(),$R452="TRUE"),1,0))</f>
        <v/>
      </c>
      <c r="AK452" s="18" t="str">
        <f aca="false">IF($AH452=1,IFERROR(VALUE(MID($D452,2,20)),1000000000)+ROW()/10000000,"")</f>
        <v/>
      </c>
    </row>
    <row r="453" customFormat="false" ht="15" hidden="false" customHeight="false" outlineLevel="0" collapsed="false">
      <c r="F453" s="15"/>
      <c r="N453" s="16" t="str">
        <f aca="false">IF($D453="","",M453*Y453/100)</f>
        <v/>
      </c>
      <c r="V453" s="16" t="str">
        <f aca="false">IF($D453="","",Y453*AB453/100)</f>
        <v/>
      </c>
      <c r="W453" s="16" t="str">
        <f aca="false">IF($D453="","",Y453-V453)</f>
        <v/>
      </c>
      <c r="X453" s="16" t="str">
        <f aca="false">IF($D453="","",W453-N453)</f>
        <v/>
      </c>
      <c r="AB453" s="17" t="str">
        <f aca="false">IF($D453="","",IF(OR($R453=TRUE(),$R453="TRUE"),Settings!$C$6,Settings!$C$7)*100)</f>
        <v/>
      </c>
      <c r="AH453" s="18" t="str">
        <f aca="false">IF($D453="","",IF(COUNTIF($D$2:$D453,$D453)=1,1,0))</f>
        <v/>
      </c>
      <c r="AI453" s="18" t="str">
        <f aca="false">IF($AH453=1,SUMPRODUCT(--($AK$2:$AK$4001&lt;$AK453))+1,"")</f>
        <v/>
      </c>
      <c r="AJ453" s="18" t="str">
        <f aca="false">IF($D453="","",IF(OR($R453=TRUE(),$R453="TRUE"),1,0))</f>
        <v/>
      </c>
      <c r="AK453" s="18" t="str">
        <f aca="false">IF($AH453=1,IFERROR(VALUE(MID($D453,2,20)),1000000000)+ROW()/10000000,"")</f>
        <v/>
      </c>
    </row>
    <row r="454" customFormat="false" ht="15" hidden="false" customHeight="false" outlineLevel="0" collapsed="false">
      <c r="F454" s="15"/>
      <c r="N454" s="16" t="str">
        <f aca="false">IF($D454="","",M454*Y454/100)</f>
        <v/>
      </c>
      <c r="V454" s="16" t="str">
        <f aca="false">IF($D454="","",Y454*AB454/100)</f>
        <v/>
      </c>
      <c r="W454" s="16" t="str">
        <f aca="false">IF($D454="","",Y454-V454)</f>
        <v/>
      </c>
      <c r="X454" s="16" t="str">
        <f aca="false">IF($D454="","",W454-N454)</f>
        <v/>
      </c>
      <c r="AB454" s="17" t="str">
        <f aca="false">IF($D454="","",IF(OR($R454=TRUE(),$R454="TRUE"),Settings!$C$6,Settings!$C$7)*100)</f>
        <v/>
      </c>
      <c r="AH454" s="18" t="str">
        <f aca="false">IF($D454="","",IF(COUNTIF($D$2:$D454,$D454)=1,1,0))</f>
        <v/>
      </c>
      <c r="AI454" s="18" t="str">
        <f aca="false">IF($AH454=1,SUMPRODUCT(--($AK$2:$AK$4001&lt;$AK454))+1,"")</f>
        <v/>
      </c>
      <c r="AJ454" s="18" t="str">
        <f aca="false">IF($D454="","",IF(OR($R454=TRUE(),$R454="TRUE"),1,0))</f>
        <v/>
      </c>
      <c r="AK454" s="18" t="str">
        <f aca="false">IF($AH454=1,IFERROR(VALUE(MID($D454,2,20)),1000000000)+ROW()/10000000,"")</f>
        <v/>
      </c>
    </row>
    <row r="455" customFormat="false" ht="15" hidden="false" customHeight="false" outlineLevel="0" collapsed="false">
      <c r="F455" s="15"/>
      <c r="N455" s="16" t="str">
        <f aca="false">IF($D455="","",M455*Y455/100)</f>
        <v/>
      </c>
      <c r="V455" s="16" t="str">
        <f aca="false">IF($D455="","",Y455*AB455/100)</f>
        <v/>
      </c>
      <c r="W455" s="16" t="str">
        <f aca="false">IF($D455="","",Y455-V455)</f>
        <v/>
      </c>
      <c r="X455" s="16" t="str">
        <f aca="false">IF($D455="","",W455-N455)</f>
        <v/>
      </c>
      <c r="AB455" s="17" t="str">
        <f aca="false">IF($D455="","",IF(OR($R455=TRUE(),$R455="TRUE"),Settings!$C$6,Settings!$C$7)*100)</f>
        <v/>
      </c>
      <c r="AH455" s="18" t="str">
        <f aca="false">IF($D455="","",IF(COUNTIF($D$2:$D455,$D455)=1,1,0))</f>
        <v/>
      </c>
      <c r="AI455" s="18" t="str">
        <f aca="false">IF($AH455=1,SUMPRODUCT(--($AK$2:$AK$4001&lt;$AK455))+1,"")</f>
        <v/>
      </c>
      <c r="AJ455" s="18" t="str">
        <f aca="false">IF($D455="","",IF(OR($R455=TRUE(),$R455="TRUE"),1,0))</f>
        <v/>
      </c>
      <c r="AK455" s="18" t="str">
        <f aca="false">IF($AH455=1,IFERROR(VALUE(MID($D455,2,20)),1000000000)+ROW()/10000000,"")</f>
        <v/>
      </c>
    </row>
    <row r="456" customFormat="false" ht="15" hidden="false" customHeight="false" outlineLevel="0" collapsed="false">
      <c r="F456" s="15"/>
      <c r="N456" s="16" t="str">
        <f aca="false">IF($D456="","",M456*Y456/100)</f>
        <v/>
      </c>
      <c r="V456" s="16" t="str">
        <f aca="false">IF($D456="","",Y456*AB456/100)</f>
        <v/>
      </c>
      <c r="W456" s="16" t="str">
        <f aca="false">IF($D456="","",Y456-V456)</f>
        <v/>
      </c>
      <c r="X456" s="16" t="str">
        <f aca="false">IF($D456="","",W456-N456)</f>
        <v/>
      </c>
      <c r="AB456" s="17" t="str">
        <f aca="false">IF($D456="","",IF(OR($R456=TRUE(),$R456="TRUE"),Settings!$C$6,Settings!$C$7)*100)</f>
        <v/>
      </c>
      <c r="AH456" s="18" t="str">
        <f aca="false">IF($D456="","",IF(COUNTIF($D$2:$D456,$D456)=1,1,0))</f>
        <v/>
      </c>
      <c r="AI456" s="18" t="str">
        <f aca="false">IF($AH456=1,SUMPRODUCT(--($AK$2:$AK$4001&lt;$AK456))+1,"")</f>
        <v/>
      </c>
      <c r="AJ456" s="18" t="str">
        <f aca="false">IF($D456="","",IF(OR($R456=TRUE(),$R456="TRUE"),1,0))</f>
        <v/>
      </c>
      <c r="AK456" s="18" t="str">
        <f aca="false">IF($AH456=1,IFERROR(VALUE(MID($D456,2,20)),1000000000)+ROW()/10000000,"")</f>
        <v/>
      </c>
    </row>
    <row r="457" customFormat="false" ht="15" hidden="false" customHeight="false" outlineLevel="0" collapsed="false">
      <c r="F457" s="15"/>
      <c r="N457" s="16" t="str">
        <f aca="false">IF($D457="","",M457*Y457/100)</f>
        <v/>
      </c>
      <c r="V457" s="16" t="str">
        <f aca="false">IF($D457="","",Y457*AB457/100)</f>
        <v/>
      </c>
      <c r="W457" s="16" t="str">
        <f aca="false">IF($D457="","",Y457-V457)</f>
        <v/>
      </c>
      <c r="X457" s="16" t="str">
        <f aca="false">IF($D457="","",W457-N457)</f>
        <v/>
      </c>
      <c r="AB457" s="17" t="str">
        <f aca="false">IF($D457="","",IF(OR($R457=TRUE(),$R457="TRUE"),Settings!$C$6,Settings!$C$7)*100)</f>
        <v/>
      </c>
      <c r="AH457" s="18" t="str">
        <f aca="false">IF($D457="","",IF(COUNTIF($D$2:$D457,$D457)=1,1,0))</f>
        <v/>
      </c>
      <c r="AI457" s="18" t="str">
        <f aca="false">IF($AH457=1,SUMPRODUCT(--($AK$2:$AK$4001&lt;$AK457))+1,"")</f>
        <v/>
      </c>
      <c r="AJ457" s="18" t="str">
        <f aca="false">IF($D457="","",IF(OR($R457=TRUE(),$R457="TRUE"),1,0))</f>
        <v/>
      </c>
      <c r="AK457" s="18" t="str">
        <f aca="false">IF($AH457=1,IFERROR(VALUE(MID($D457,2,20)),1000000000)+ROW()/10000000,"")</f>
        <v/>
      </c>
    </row>
    <row r="458" customFormat="false" ht="15" hidden="false" customHeight="false" outlineLevel="0" collapsed="false">
      <c r="F458" s="15"/>
      <c r="N458" s="16" t="str">
        <f aca="false">IF($D458="","",M458*Y458/100)</f>
        <v/>
      </c>
      <c r="V458" s="16" t="str">
        <f aca="false">IF($D458="","",Y458*AB458/100)</f>
        <v/>
      </c>
      <c r="W458" s="16" t="str">
        <f aca="false">IF($D458="","",Y458-V458)</f>
        <v/>
      </c>
      <c r="X458" s="16" t="str">
        <f aca="false">IF($D458="","",W458-N458)</f>
        <v/>
      </c>
      <c r="AB458" s="17" t="str">
        <f aca="false">IF($D458="","",IF(OR($R458=TRUE(),$R458="TRUE"),Settings!$C$6,Settings!$C$7)*100)</f>
        <v/>
      </c>
      <c r="AH458" s="18" t="str">
        <f aca="false">IF($D458="","",IF(COUNTIF($D$2:$D458,$D458)=1,1,0))</f>
        <v/>
      </c>
      <c r="AI458" s="18" t="str">
        <f aca="false">IF($AH458=1,SUMPRODUCT(--($AK$2:$AK$4001&lt;$AK458))+1,"")</f>
        <v/>
      </c>
      <c r="AJ458" s="18" t="str">
        <f aca="false">IF($D458="","",IF(OR($R458=TRUE(),$R458="TRUE"),1,0))</f>
        <v/>
      </c>
      <c r="AK458" s="18" t="str">
        <f aca="false">IF($AH458=1,IFERROR(VALUE(MID($D458,2,20)),1000000000)+ROW()/10000000,"")</f>
        <v/>
      </c>
    </row>
    <row r="459" customFormat="false" ht="15" hidden="false" customHeight="false" outlineLevel="0" collapsed="false">
      <c r="F459" s="15"/>
      <c r="N459" s="16" t="str">
        <f aca="false">IF($D459="","",M459*Y459/100)</f>
        <v/>
      </c>
      <c r="V459" s="16" t="str">
        <f aca="false">IF($D459="","",Y459*AB459/100)</f>
        <v/>
      </c>
      <c r="W459" s="16" t="str">
        <f aca="false">IF($D459="","",Y459-V459)</f>
        <v/>
      </c>
      <c r="X459" s="16" t="str">
        <f aca="false">IF($D459="","",W459-N459)</f>
        <v/>
      </c>
      <c r="AB459" s="17" t="str">
        <f aca="false">IF($D459="","",IF(OR($R459=TRUE(),$R459="TRUE"),Settings!$C$6,Settings!$C$7)*100)</f>
        <v/>
      </c>
      <c r="AH459" s="18" t="str">
        <f aca="false">IF($D459="","",IF(COUNTIF($D$2:$D459,$D459)=1,1,0))</f>
        <v/>
      </c>
      <c r="AI459" s="18" t="str">
        <f aca="false">IF($AH459=1,SUMPRODUCT(--($AK$2:$AK$4001&lt;$AK459))+1,"")</f>
        <v/>
      </c>
      <c r="AJ459" s="18" t="str">
        <f aca="false">IF($D459="","",IF(OR($R459=TRUE(),$R459="TRUE"),1,0))</f>
        <v/>
      </c>
      <c r="AK459" s="18" t="str">
        <f aca="false">IF($AH459=1,IFERROR(VALUE(MID($D459,2,20)),1000000000)+ROW()/10000000,"")</f>
        <v/>
      </c>
    </row>
    <row r="460" customFormat="false" ht="15" hidden="false" customHeight="false" outlineLevel="0" collapsed="false">
      <c r="F460" s="15"/>
      <c r="N460" s="16" t="str">
        <f aca="false">IF($D460="","",M460*Y460/100)</f>
        <v/>
      </c>
      <c r="V460" s="16" t="str">
        <f aca="false">IF($D460="","",Y460*AB460/100)</f>
        <v/>
      </c>
      <c r="W460" s="16" t="str">
        <f aca="false">IF($D460="","",Y460-V460)</f>
        <v/>
      </c>
      <c r="X460" s="16" t="str">
        <f aca="false">IF($D460="","",W460-N460)</f>
        <v/>
      </c>
      <c r="AB460" s="17" t="str">
        <f aca="false">IF($D460="","",IF(OR($R460=TRUE(),$R460="TRUE"),Settings!$C$6,Settings!$C$7)*100)</f>
        <v/>
      </c>
      <c r="AH460" s="18" t="str">
        <f aca="false">IF($D460="","",IF(COUNTIF($D$2:$D460,$D460)=1,1,0))</f>
        <v/>
      </c>
      <c r="AI460" s="18" t="str">
        <f aca="false">IF($AH460=1,SUMPRODUCT(--($AK$2:$AK$4001&lt;$AK460))+1,"")</f>
        <v/>
      </c>
      <c r="AJ460" s="18" t="str">
        <f aca="false">IF($D460="","",IF(OR($R460=TRUE(),$R460="TRUE"),1,0))</f>
        <v/>
      </c>
      <c r="AK460" s="18" t="str">
        <f aca="false">IF($AH460=1,IFERROR(VALUE(MID($D460,2,20)),1000000000)+ROW()/10000000,"")</f>
        <v/>
      </c>
    </row>
    <row r="461" customFormat="false" ht="15" hidden="false" customHeight="false" outlineLevel="0" collapsed="false">
      <c r="F461" s="15"/>
      <c r="N461" s="16" t="str">
        <f aca="false">IF($D461="","",M461*Y461/100)</f>
        <v/>
      </c>
      <c r="V461" s="16" t="str">
        <f aca="false">IF($D461="","",Y461*AB461/100)</f>
        <v/>
      </c>
      <c r="W461" s="16" t="str">
        <f aca="false">IF($D461="","",Y461-V461)</f>
        <v/>
      </c>
      <c r="X461" s="16" t="str">
        <f aca="false">IF($D461="","",W461-N461)</f>
        <v/>
      </c>
      <c r="AB461" s="17" t="str">
        <f aca="false">IF($D461="","",IF(OR($R461=TRUE(),$R461="TRUE"),Settings!$C$6,Settings!$C$7)*100)</f>
        <v/>
      </c>
      <c r="AH461" s="18" t="str">
        <f aca="false">IF($D461="","",IF(COUNTIF($D$2:$D461,$D461)=1,1,0))</f>
        <v/>
      </c>
      <c r="AI461" s="18" t="str">
        <f aca="false">IF($AH461=1,SUMPRODUCT(--($AK$2:$AK$4001&lt;$AK461))+1,"")</f>
        <v/>
      </c>
      <c r="AJ461" s="18" t="str">
        <f aca="false">IF($D461="","",IF(OR($R461=TRUE(),$R461="TRUE"),1,0))</f>
        <v/>
      </c>
      <c r="AK461" s="18" t="str">
        <f aca="false">IF($AH461=1,IFERROR(VALUE(MID($D461,2,20)),1000000000)+ROW()/10000000,"")</f>
        <v/>
      </c>
    </row>
    <row r="462" customFormat="false" ht="15" hidden="false" customHeight="false" outlineLevel="0" collapsed="false">
      <c r="F462" s="15"/>
      <c r="N462" s="16" t="str">
        <f aca="false">IF($D462="","",M462*Y462/100)</f>
        <v/>
      </c>
      <c r="V462" s="16" t="str">
        <f aca="false">IF($D462="","",Y462*AB462/100)</f>
        <v/>
      </c>
      <c r="W462" s="16" t="str">
        <f aca="false">IF($D462="","",Y462-V462)</f>
        <v/>
      </c>
      <c r="X462" s="16" t="str">
        <f aca="false">IF($D462="","",W462-N462)</f>
        <v/>
      </c>
      <c r="AB462" s="17" t="str">
        <f aca="false">IF($D462="","",IF(OR($R462=TRUE(),$R462="TRUE"),Settings!$C$6,Settings!$C$7)*100)</f>
        <v/>
      </c>
      <c r="AH462" s="18" t="str">
        <f aca="false">IF($D462="","",IF(COUNTIF($D$2:$D462,$D462)=1,1,0))</f>
        <v/>
      </c>
      <c r="AI462" s="18" t="str">
        <f aca="false">IF($AH462=1,SUMPRODUCT(--($AK$2:$AK$4001&lt;$AK462))+1,"")</f>
        <v/>
      </c>
      <c r="AJ462" s="18" t="str">
        <f aca="false">IF($D462="","",IF(OR($R462=TRUE(),$R462="TRUE"),1,0))</f>
        <v/>
      </c>
      <c r="AK462" s="18" t="str">
        <f aca="false">IF($AH462=1,IFERROR(VALUE(MID($D462,2,20)),1000000000)+ROW()/10000000,"")</f>
        <v/>
      </c>
    </row>
    <row r="463" customFormat="false" ht="15" hidden="false" customHeight="false" outlineLevel="0" collapsed="false">
      <c r="F463" s="15"/>
      <c r="N463" s="16" t="str">
        <f aca="false">IF($D463="","",M463*Y463/100)</f>
        <v/>
      </c>
      <c r="V463" s="16" t="str">
        <f aca="false">IF($D463="","",Y463*AB463/100)</f>
        <v/>
      </c>
      <c r="W463" s="16" t="str">
        <f aca="false">IF($D463="","",Y463-V463)</f>
        <v/>
      </c>
      <c r="X463" s="16" t="str">
        <f aca="false">IF($D463="","",W463-N463)</f>
        <v/>
      </c>
      <c r="AB463" s="17" t="str">
        <f aca="false">IF($D463="","",IF(OR($R463=TRUE(),$R463="TRUE"),Settings!$C$6,Settings!$C$7)*100)</f>
        <v/>
      </c>
      <c r="AH463" s="18" t="str">
        <f aca="false">IF($D463="","",IF(COUNTIF($D$2:$D463,$D463)=1,1,0))</f>
        <v/>
      </c>
      <c r="AI463" s="18" t="str">
        <f aca="false">IF($AH463=1,SUMPRODUCT(--($AK$2:$AK$4001&lt;$AK463))+1,"")</f>
        <v/>
      </c>
      <c r="AJ463" s="18" t="str">
        <f aca="false">IF($D463="","",IF(OR($R463=TRUE(),$R463="TRUE"),1,0))</f>
        <v/>
      </c>
      <c r="AK463" s="18" t="str">
        <f aca="false">IF($AH463=1,IFERROR(VALUE(MID($D463,2,20)),1000000000)+ROW()/10000000,"")</f>
        <v/>
      </c>
    </row>
    <row r="464" customFormat="false" ht="15" hidden="false" customHeight="false" outlineLevel="0" collapsed="false">
      <c r="F464" s="15"/>
      <c r="N464" s="16" t="str">
        <f aca="false">IF($D464="","",M464*Y464/100)</f>
        <v/>
      </c>
      <c r="V464" s="16" t="str">
        <f aca="false">IF($D464="","",Y464*AB464/100)</f>
        <v/>
      </c>
      <c r="W464" s="16" t="str">
        <f aca="false">IF($D464="","",Y464-V464)</f>
        <v/>
      </c>
      <c r="X464" s="16" t="str">
        <f aca="false">IF($D464="","",W464-N464)</f>
        <v/>
      </c>
      <c r="AB464" s="17" t="str">
        <f aca="false">IF($D464="","",IF(OR($R464=TRUE(),$R464="TRUE"),Settings!$C$6,Settings!$C$7)*100)</f>
        <v/>
      </c>
      <c r="AH464" s="18" t="str">
        <f aca="false">IF($D464="","",IF(COUNTIF($D$2:$D464,$D464)=1,1,0))</f>
        <v/>
      </c>
      <c r="AI464" s="18" t="str">
        <f aca="false">IF($AH464=1,SUMPRODUCT(--($AK$2:$AK$4001&lt;$AK464))+1,"")</f>
        <v/>
      </c>
      <c r="AJ464" s="18" t="str">
        <f aca="false">IF($D464="","",IF(OR($R464=TRUE(),$R464="TRUE"),1,0))</f>
        <v/>
      </c>
      <c r="AK464" s="18" t="str">
        <f aca="false">IF($AH464=1,IFERROR(VALUE(MID($D464,2,20)),1000000000)+ROW()/10000000,"")</f>
        <v/>
      </c>
    </row>
    <row r="465" customFormat="false" ht="15" hidden="false" customHeight="false" outlineLevel="0" collapsed="false">
      <c r="F465" s="15"/>
      <c r="N465" s="16" t="str">
        <f aca="false">IF($D465="","",M465*Y465/100)</f>
        <v/>
      </c>
      <c r="V465" s="16" t="str">
        <f aca="false">IF($D465="","",Y465*AB465/100)</f>
        <v/>
      </c>
      <c r="W465" s="16" t="str">
        <f aca="false">IF($D465="","",Y465-V465)</f>
        <v/>
      </c>
      <c r="X465" s="16" t="str">
        <f aca="false">IF($D465="","",W465-N465)</f>
        <v/>
      </c>
      <c r="AB465" s="17" t="str">
        <f aca="false">IF($D465="","",IF(OR($R465=TRUE(),$R465="TRUE"),Settings!$C$6,Settings!$C$7)*100)</f>
        <v/>
      </c>
      <c r="AH465" s="18" t="str">
        <f aca="false">IF($D465="","",IF(COUNTIF($D$2:$D465,$D465)=1,1,0))</f>
        <v/>
      </c>
      <c r="AI465" s="18" t="str">
        <f aca="false">IF($AH465=1,SUMPRODUCT(--($AK$2:$AK$4001&lt;$AK465))+1,"")</f>
        <v/>
      </c>
      <c r="AJ465" s="18" t="str">
        <f aca="false">IF($D465="","",IF(OR($R465=TRUE(),$R465="TRUE"),1,0))</f>
        <v/>
      </c>
      <c r="AK465" s="18" t="str">
        <f aca="false">IF($AH465=1,IFERROR(VALUE(MID($D465,2,20)),1000000000)+ROW()/10000000,"")</f>
        <v/>
      </c>
    </row>
    <row r="466" customFormat="false" ht="15" hidden="false" customHeight="false" outlineLevel="0" collapsed="false">
      <c r="F466" s="15"/>
      <c r="N466" s="16" t="str">
        <f aca="false">IF($D466="","",M466*Y466/100)</f>
        <v/>
      </c>
      <c r="V466" s="16" t="str">
        <f aca="false">IF($D466="","",Y466*AB466/100)</f>
        <v/>
      </c>
      <c r="W466" s="16" t="str">
        <f aca="false">IF($D466="","",Y466-V466)</f>
        <v/>
      </c>
      <c r="X466" s="16" t="str">
        <f aca="false">IF($D466="","",W466-N466)</f>
        <v/>
      </c>
      <c r="AB466" s="17" t="str">
        <f aca="false">IF($D466="","",IF(OR($R466=TRUE(),$R466="TRUE"),Settings!$C$6,Settings!$C$7)*100)</f>
        <v/>
      </c>
      <c r="AH466" s="18" t="str">
        <f aca="false">IF($D466="","",IF(COUNTIF($D$2:$D466,$D466)=1,1,0))</f>
        <v/>
      </c>
      <c r="AI466" s="18" t="str">
        <f aca="false">IF($AH466=1,SUMPRODUCT(--($AK$2:$AK$4001&lt;$AK466))+1,"")</f>
        <v/>
      </c>
      <c r="AJ466" s="18" t="str">
        <f aca="false">IF($D466="","",IF(OR($R466=TRUE(),$R466="TRUE"),1,0))</f>
        <v/>
      </c>
      <c r="AK466" s="18" t="str">
        <f aca="false">IF($AH466=1,IFERROR(VALUE(MID($D466,2,20)),1000000000)+ROW()/10000000,"")</f>
        <v/>
      </c>
    </row>
    <row r="467" customFormat="false" ht="15" hidden="false" customHeight="false" outlineLevel="0" collapsed="false">
      <c r="F467" s="15"/>
      <c r="N467" s="16" t="str">
        <f aca="false">IF($D467="","",M467*Y467/100)</f>
        <v/>
      </c>
      <c r="V467" s="16" t="str">
        <f aca="false">IF($D467="","",Y467*AB467/100)</f>
        <v/>
      </c>
      <c r="W467" s="16" t="str">
        <f aca="false">IF($D467="","",Y467-V467)</f>
        <v/>
      </c>
      <c r="X467" s="16" t="str">
        <f aca="false">IF($D467="","",W467-N467)</f>
        <v/>
      </c>
      <c r="AB467" s="17" t="str">
        <f aca="false">IF($D467="","",IF(OR($R467=TRUE(),$R467="TRUE"),Settings!$C$6,Settings!$C$7)*100)</f>
        <v/>
      </c>
      <c r="AH467" s="18" t="str">
        <f aca="false">IF($D467="","",IF(COUNTIF($D$2:$D467,$D467)=1,1,0))</f>
        <v/>
      </c>
      <c r="AI467" s="18" t="str">
        <f aca="false">IF($AH467=1,SUMPRODUCT(--($AK$2:$AK$4001&lt;$AK467))+1,"")</f>
        <v/>
      </c>
      <c r="AJ467" s="18" t="str">
        <f aca="false">IF($D467="","",IF(OR($R467=TRUE(),$R467="TRUE"),1,0))</f>
        <v/>
      </c>
      <c r="AK467" s="18" t="str">
        <f aca="false">IF($AH467=1,IFERROR(VALUE(MID($D467,2,20)),1000000000)+ROW()/10000000,"")</f>
        <v/>
      </c>
    </row>
    <row r="468" customFormat="false" ht="15" hidden="false" customHeight="false" outlineLevel="0" collapsed="false">
      <c r="F468" s="15"/>
      <c r="N468" s="16" t="str">
        <f aca="false">IF($D468="","",M468*Y468/100)</f>
        <v/>
      </c>
      <c r="V468" s="16" t="str">
        <f aca="false">IF($D468="","",Y468*AB468/100)</f>
        <v/>
      </c>
      <c r="W468" s="16" t="str">
        <f aca="false">IF($D468="","",Y468-V468)</f>
        <v/>
      </c>
      <c r="X468" s="16" t="str">
        <f aca="false">IF($D468="","",W468-N468)</f>
        <v/>
      </c>
      <c r="AB468" s="17" t="str">
        <f aca="false">IF($D468="","",IF(OR($R468=TRUE(),$R468="TRUE"),Settings!$C$6,Settings!$C$7)*100)</f>
        <v/>
      </c>
      <c r="AH468" s="18" t="str">
        <f aca="false">IF($D468="","",IF(COUNTIF($D$2:$D468,$D468)=1,1,0))</f>
        <v/>
      </c>
      <c r="AI468" s="18" t="str">
        <f aca="false">IF($AH468=1,SUMPRODUCT(--($AK$2:$AK$4001&lt;$AK468))+1,"")</f>
        <v/>
      </c>
      <c r="AJ468" s="18" t="str">
        <f aca="false">IF($D468="","",IF(OR($R468=TRUE(),$R468="TRUE"),1,0))</f>
        <v/>
      </c>
      <c r="AK468" s="18" t="str">
        <f aca="false">IF($AH468=1,IFERROR(VALUE(MID($D468,2,20)),1000000000)+ROW()/10000000,"")</f>
        <v/>
      </c>
    </row>
    <row r="469" customFormat="false" ht="15" hidden="false" customHeight="false" outlineLevel="0" collapsed="false">
      <c r="F469" s="15"/>
      <c r="N469" s="16" t="str">
        <f aca="false">IF($D469="","",M469*Y469/100)</f>
        <v/>
      </c>
      <c r="V469" s="16" t="str">
        <f aca="false">IF($D469="","",Y469*AB469/100)</f>
        <v/>
      </c>
      <c r="W469" s="16" t="str">
        <f aca="false">IF($D469="","",Y469-V469)</f>
        <v/>
      </c>
      <c r="X469" s="16" t="str">
        <f aca="false">IF($D469="","",W469-N469)</f>
        <v/>
      </c>
      <c r="AB469" s="17" t="str">
        <f aca="false">IF($D469="","",IF(OR($R469=TRUE(),$R469="TRUE"),Settings!$C$6,Settings!$C$7)*100)</f>
        <v/>
      </c>
      <c r="AH469" s="18" t="str">
        <f aca="false">IF($D469="","",IF(COUNTIF($D$2:$D469,$D469)=1,1,0))</f>
        <v/>
      </c>
      <c r="AI469" s="18" t="str">
        <f aca="false">IF($AH469=1,SUMPRODUCT(--($AK$2:$AK$4001&lt;$AK469))+1,"")</f>
        <v/>
      </c>
      <c r="AJ469" s="18" t="str">
        <f aca="false">IF($D469="","",IF(OR($R469=TRUE(),$R469="TRUE"),1,0))</f>
        <v/>
      </c>
      <c r="AK469" s="18" t="str">
        <f aca="false">IF($AH469=1,IFERROR(VALUE(MID($D469,2,20)),1000000000)+ROW()/10000000,"")</f>
        <v/>
      </c>
    </row>
    <row r="470" customFormat="false" ht="15" hidden="false" customHeight="false" outlineLevel="0" collapsed="false">
      <c r="F470" s="15"/>
      <c r="N470" s="16" t="str">
        <f aca="false">IF($D470="","",M470*Y470/100)</f>
        <v/>
      </c>
      <c r="V470" s="16" t="str">
        <f aca="false">IF($D470="","",Y470*AB470/100)</f>
        <v/>
      </c>
      <c r="W470" s="16" t="str">
        <f aca="false">IF($D470="","",Y470-V470)</f>
        <v/>
      </c>
      <c r="X470" s="16" t="str">
        <f aca="false">IF($D470="","",W470-N470)</f>
        <v/>
      </c>
      <c r="AB470" s="17" t="str">
        <f aca="false">IF($D470="","",IF(OR($R470=TRUE(),$R470="TRUE"),Settings!$C$6,Settings!$C$7)*100)</f>
        <v/>
      </c>
      <c r="AH470" s="18" t="str">
        <f aca="false">IF($D470="","",IF(COUNTIF($D$2:$D470,$D470)=1,1,0))</f>
        <v/>
      </c>
      <c r="AI470" s="18" t="str">
        <f aca="false">IF($AH470=1,SUMPRODUCT(--($AK$2:$AK$4001&lt;$AK470))+1,"")</f>
        <v/>
      </c>
      <c r="AJ470" s="18" t="str">
        <f aca="false">IF($D470="","",IF(OR($R470=TRUE(),$R470="TRUE"),1,0))</f>
        <v/>
      </c>
      <c r="AK470" s="18" t="str">
        <f aca="false">IF($AH470=1,IFERROR(VALUE(MID($D470,2,20)),1000000000)+ROW()/10000000,"")</f>
        <v/>
      </c>
    </row>
    <row r="471" customFormat="false" ht="15" hidden="false" customHeight="false" outlineLevel="0" collapsed="false">
      <c r="F471" s="15"/>
      <c r="N471" s="16" t="str">
        <f aca="false">IF($D471="","",M471*Y471/100)</f>
        <v/>
      </c>
      <c r="V471" s="16" t="str">
        <f aca="false">IF($D471="","",Y471*AB471/100)</f>
        <v/>
      </c>
      <c r="W471" s="16" t="str">
        <f aca="false">IF($D471="","",Y471-V471)</f>
        <v/>
      </c>
      <c r="X471" s="16" t="str">
        <f aca="false">IF($D471="","",W471-N471)</f>
        <v/>
      </c>
      <c r="AB471" s="17" t="str">
        <f aca="false">IF($D471="","",IF(OR($R471=TRUE(),$R471="TRUE"),Settings!$C$6,Settings!$C$7)*100)</f>
        <v/>
      </c>
      <c r="AH471" s="18" t="str">
        <f aca="false">IF($D471="","",IF(COUNTIF($D$2:$D471,$D471)=1,1,0))</f>
        <v/>
      </c>
      <c r="AI471" s="18" t="str">
        <f aca="false">IF($AH471=1,SUMPRODUCT(--($AK$2:$AK$4001&lt;$AK471))+1,"")</f>
        <v/>
      </c>
      <c r="AJ471" s="18" t="str">
        <f aca="false">IF($D471="","",IF(OR($R471=TRUE(),$R471="TRUE"),1,0))</f>
        <v/>
      </c>
      <c r="AK471" s="18" t="str">
        <f aca="false">IF($AH471=1,IFERROR(VALUE(MID($D471,2,20)),1000000000)+ROW()/10000000,"")</f>
        <v/>
      </c>
    </row>
    <row r="472" customFormat="false" ht="15" hidden="false" customHeight="false" outlineLevel="0" collapsed="false">
      <c r="F472" s="15"/>
      <c r="N472" s="16" t="str">
        <f aca="false">IF($D472="","",M472*Y472/100)</f>
        <v/>
      </c>
      <c r="V472" s="16" t="str">
        <f aca="false">IF($D472="","",Y472*AB472/100)</f>
        <v/>
      </c>
      <c r="W472" s="16" t="str">
        <f aca="false">IF($D472="","",Y472-V472)</f>
        <v/>
      </c>
      <c r="X472" s="16" t="str">
        <f aca="false">IF($D472="","",W472-N472)</f>
        <v/>
      </c>
      <c r="AB472" s="17" t="str">
        <f aca="false">IF($D472="","",IF(OR($R472=TRUE(),$R472="TRUE"),Settings!$C$6,Settings!$C$7)*100)</f>
        <v/>
      </c>
      <c r="AH472" s="18" t="str">
        <f aca="false">IF($D472="","",IF(COUNTIF($D$2:$D472,$D472)=1,1,0))</f>
        <v/>
      </c>
      <c r="AI472" s="18" t="str">
        <f aca="false">IF($AH472=1,SUMPRODUCT(--($AK$2:$AK$4001&lt;$AK472))+1,"")</f>
        <v/>
      </c>
      <c r="AJ472" s="18" t="str">
        <f aca="false">IF($D472="","",IF(OR($R472=TRUE(),$R472="TRUE"),1,0))</f>
        <v/>
      </c>
      <c r="AK472" s="18" t="str">
        <f aca="false">IF($AH472=1,IFERROR(VALUE(MID($D472,2,20)),1000000000)+ROW()/10000000,"")</f>
        <v/>
      </c>
    </row>
    <row r="473" customFormat="false" ht="15" hidden="false" customHeight="false" outlineLevel="0" collapsed="false">
      <c r="F473" s="15"/>
      <c r="N473" s="16" t="str">
        <f aca="false">IF($D473="","",M473*Y473/100)</f>
        <v/>
      </c>
      <c r="V473" s="16" t="str">
        <f aca="false">IF($D473="","",Y473*AB473/100)</f>
        <v/>
      </c>
      <c r="W473" s="16" t="str">
        <f aca="false">IF($D473="","",Y473-V473)</f>
        <v/>
      </c>
      <c r="X473" s="16" t="str">
        <f aca="false">IF($D473="","",W473-N473)</f>
        <v/>
      </c>
      <c r="AB473" s="17" t="str">
        <f aca="false">IF($D473="","",IF(OR($R473=TRUE(),$R473="TRUE"),Settings!$C$6,Settings!$C$7)*100)</f>
        <v/>
      </c>
      <c r="AH473" s="18" t="str">
        <f aca="false">IF($D473="","",IF(COUNTIF($D$2:$D473,$D473)=1,1,0))</f>
        <v/>
      </c>
      <c r="AI473" s="18" t="str">
        <f aca="false">IF($AH473=1,SUMPRODUCT(--($AK$2:$AK$4001&lt;$AK473))+1,"")</f>
        <v/>
      </c>
      <c r="AJ473" s="18" t="str">
        <f aca="false">IF($D473="","",IF(OR($R473=TRUE(),$R473="TRUE"),1,0))</f>
        <v/>
      </c>
      <c r="AK473" s="18" t="str">
        <f aca="false">IF($AH473=1,IFERROR(VALUE(MID($D473,2,20)),1000000000)+ROW()/10000000,"")</f>
        <v/>
      </c>
    </row>
    <row r="474" customFormat="false" ht="15" hidden="false" customHeight="false" outlineLevel="0" collapsed="false">
      <c r="F474" s="15"/>
      <c r="N474" s="16" t="str">
        <f aca="false">IF($D474="","",M474*Y474/100)</f>
        <v/>
      </c>
      <c r="V474" s="16" t="str">
        <f aca="false">IF($D474="","",Y474*AB474/100)</f>
        <v/>
      </c>
      <c r="W474" s="16" t="str">
        <f aca="false">IF($D474="","",Y474-V474)</f>
        <v/>
      </c>
      <c r="X474" s="16" t="str">
        <f aca="false">IF($D474="","",W474-N474)</f>
        <v/>
      </c>
      <c r="AB474" s="17" t="str">
        <f aca="false">IF($D474="","",IF(OR($R474=TRUE(),$R474="TRUE"),Settings!$C$6,Settings!$C$7)*100)</f>
        <v/>
      </c>
      <c r="AH474" s="18" t="str">
        <f aca="false">IF($D474="","",IF(COUNTIF($D$2:$D474,$D474)=1,1,0))</f>
        <v/>
      </c>
      <c r="AI474" s="18" t="str">
        <f aca="false">IF($AH474=1,SUMPRODUCT(--($AK$2:$AK$4001&lt;$AK474))+1,"")</f>
        <v/>
      </c>
      <c r="AJ474" s="18" t="str">
        <f aca="false">IF($D474="","",IF(OR($R474=TRUE(),$R474="TRUE"),1,0))</f>
        <v/>
      </c>
      <c r="AK474" s="18" t="str">
        <f aca="false">IF($AH474=1,IFERROR(VALUE(MID($D474,2,20)),1000000000)+ROW()/10000000,"")</f>
        <v/>
      </c>
    </row>
    <row r="475" customFormat="false" ht="15" hidden="false" customHeight="false" outlineLevel="0" collapsed="false">
      <c r="F475" s="15"/>
      <c r="N475" s="16" t="str">
        <f aca="false">IF($D475="","",M475*Y475/100)</f>
        <v/>
      </c>
      <c r="V475" s="16" t="str">
        <f aca="false">IF($D475="","",Y475*AB475/100)</f>
        <v/>
      </c>
      <c r="W475" s="16" t="str">
        <f aca="false">IF($D475="","",Y475-V475)</f>
        <v/>
      </c>
      <c r="X475" s="16" t="str">
        <f aca="false">IF($D475="","",W475-N475)</f>
        <v/>
      </c>
      <c r="AB475" s="17" t="str">
        <f aca="false">IF($D475="","",IF(OR($R475=TRUE(),$R475="TRUE"),Settings!$C$6,Settings!$C$7)*100)</f>
        <v/>
      </c>
      <c r="AH475" s="18" t="str">
        <f aca="false">IF($D475="","",IF(COUNTIF($D$2:$D475,$D475)=1,1,0))</f>
        <v/>
      </c>
      <c r="AI475" s="18" t="str">
        <f aca="false">IF($AH475=1,SUMPRODUCT(--($AK$2:$AK$4001&lt;$AK475))+1,"")</f>
        <v/>
      </c>
      <c r="AJ475" s="18" t="str">
        <f aca="false">IF($D475="","",IF(OR($R475=TRUE(),$R475="TRUE"),1,0))</f>
        <v/>
      </c>
      <c r="AK475" s="18" t="str">
        <f aca="false">IF($AH475=1,IFERROR(VALUE(MID($D475,2,20)),1000000000)+ROW()/10000000,"")</f>
        <v/>
      </c>
    </row>
    <row r="476" customFormat="false" ht="15" hidden="false" customHeight="false" outlineLevel="0" collapsed="false">
      <c r="F476" s="15"/>
      <c r="N476" s="16" t="str">
        <f aca="false">IF($D476="","",M476*Y476/100)</f>
        <v/>
      </c>
      <c r="V476" s="16" t="str">
        <f aca="false">IF($D476="","",Y476*AB476/100)</f>
        <v/>
      </c>
      <c r="W476" s="16" t="str">
        <f aca="false">IF($D476="","",Y476-V476)</f>
        <v/>
      </c>
      <c r="X476" s="16" t="str">
        <f aca="false">IF($D476="","",W476-N476)</f>
        <v/>
      </c>
      <c r="AB476" s="17" t="str">
        <f aca="false">IF($D476="","",IF(OR($R476=TRUE(),$R476="TRUE"),Settings!$C$6,Settings!$C$7)*100)</f>
        <v/>
      </c>
      <c r="AH476" s="18" t="str">
        <f aca="false">IF($D476="","",IF(COUNTIF($D$2:$D476,$D476)=1,1,0))</f>
        <v/>
      </c>
      <c r="AI476" s="18" t="str">
        <f aca="false">IF($AH476=1,SUMPRODUCT(--($AK$2:$AK$4001&lt;$AK476))+1,"")</f>
        <v/>
      </c>
      <c r="AJ476" s="18" t="str">
        <f aca="false">IF($D476="","",IF(OR($R476=TRUE(),$R476="TRUE"),1,0))</f>
        <v/>
      </c>
      <c r="AK476" s="18" t="str">
        <f aca="false">IF($AH476=1,IFERROR(VALUE(MID($D476,2,20)),1000000000)+ROW()/10000000,"")</f>
        <v/>
      </c>
    </row>
    <row r="477" customFormat="false" ht="15" hidden="false" customHeight="false" outlineLevel="0" collapsed="false">
      <c r="F477" s="15"/>
      <c r="N477" s="16" t="str">
        <f aca="false">IF($D477="","",M477*Y477/100)</f>
        <v/>
      </c>
      <c r="V477" s="16" t="str">
        <f aca="false">IF($D477="","",Y477*AB477/100)</f>
        <v/>
      </c>
      <c r="W477" s="16" t="str">
        <f aca="false">IF($D477="","",Y477-V477)</f>
        <v/>
      </c>
      <c r="X477" s="16" t="str">
        <f aca="false">IF($D477="","",W477-N477)</f>
        <v/>
      </c>
      <c r="AB477" s="17" t="str">
        <f aca="false">IF($D477="","",IF(OR($R477=TRUE(),$R477="TRUE"),Settings!$C$6,Settings!$C$7)*100)</f>
        <v/>
      </c>
      <c r="AH477" s="18" t="str">
        <f aca="false">IF($D477="","",IF(COUNTIF($D$2:$D477,$D477)=1,1,0))</f>
        <v/>
      </c>
      <c r="AI477" s="18" t="str">
        <f aca="false">IF($AH477=1,SUMPRODUCT(--($AK$2:$AK$4001&lt;$AK477))+1,"")</f>
        <v/>
      </c>
      <c r="AJ477" s="18" t="str">
        <f aca="false">IF($D477="","",IF(OR($R477=TRUE(),$R477="TRUE"),1,0))</f>
        <v/>
      </c>
      <c r="AK477" s="18" t="str">
        <f aca="false">IF($AH477=1,IFERROR(VALUE(MID($D477,2,20)),1000000000)+ROW()/10000000,"")</f>
        <v/>
      </c>
    </row>
    <row r="478" customFormat="false" ht="15" hidden="false" customHeight="false" outlineLevel="0" collapsed="false">
      <c r="F478" s="15"/>
      <c r="N478" s="16" t="str">
        <f aca="false">IF($D478="","",M478*Y478/100)</f>
        <v/>
      </c>
      <c r="V478" s="16" t="str">
        <f aca="false">IF($D478="","",Y478*AB478/100)</f>
        <v/>
      </c>
      <c r="W478" s="16" t="str">
        <f aca="false">IF($D478="","",Y478-V478)</f>
        <v/>
      </c>
      <c r="X478" s="16" t="str">
        <f aca="false">IF($D478="","",W478-N478)</f>
        <v/>
      </c>
      <c r="AB478" s="17" t="str">
        <f aca="false">IF($D478="","",IF(OR($R478=TRUE(),$R478="TRUE"),Settings!$C$6,Settings!$C$7)*100)</f>
        <v/>
      </c>
      <c r="AH478" s="18" t="str">
        <f aca="false">IF($D478="","",IF(COUNTIF($D$2:$D478,$D478)=1,1,0))</f>
        <v/>
      </c>
      <c r="AI478" s="18" t="str">
        <f aca="false">IF($AH478=1,SUMPRODUCT(--($AK$2:$AK$4001&lt;$AK478))+1,"")</f>
        <v/>
      </c>
      <c r="AJ478" s="18" t="str">
        <f aca="false">IF($D478="","",IF(OR($R478=TRUE(),$R478="TRUE"),1,0))</f>
        <v/>
      </c>
      <c r="AK478" s="18" t="str">
        <f aca="false">IF($AH478=1,IFERROR(VALUE(MID($D478,2,20)),1000000000)+ROW()/10000000,"")</f>
        <v/>
      </c>
    </row>
    <row r="479" customFormat="false" ht="15" hidden="false" customHeight="false" outlineLevel="0" collapsed="false">
      <c r="F479" s="15"/>
      <c r="N479" s="16" t="str">
        <f aca="false">IF($D479="","",M479*Y479/100)</f>
        <v/>
      </c>
      <c r="V479" s="16" t="str">
        <f aca="false">IF($D479="","",Y479*AB479/100)</f>
        <v/>
      </c>
      <c r="W479" s="16" t="str">
        <f aca="false">IF($D479="","",Y479-V479)</f>
        <v/>
      </c>
      <c r="X479" s="16" t="str">
        <f aca="false">IF($D479="","",W479-N479)</f>
        <v/>
      </c>
      <c r="AB479" s="17" t="str">
        <f aca="false">IF($D479="","",IF(OR($R479=TRUE(),$R479="TRUE"),Settings!$C$6,Settings!$C$7)*100)</f>
        <v/>
      </c>
      <c r="AH479" s="18" t="str">
        <f aca="false">IF($D479="","",IF(COUNTIF($D$2:$D479,$D479)=1,1,0))</f>
        <v/>
      </c>
      <c r="AI479" s="18" t="str">
        <f aca="false">IF($AH479=1,SUMPRODUCT(--($AK$2:$AK$4001&lt;$AK479))+1,"")</f>
        <v/>
      </c>
      <c r="AJ479" s="18" t="str">
        <f aca="false">IF($D479="","",IF(OR($R479=TRUE(),$R479="TRUE"),1,0))</f>
        <v/>
      </c>
      <c r="AK479" s="18" t="str">
        <f aca="false">IF($AH479=1,IFERROR(VALUE(MID($D479,2,20)),1000000000)+ROW()/10000000,"")</f>
        <v/>
      </c>
    </row>
    <row r="480" customFormat="false" ht="15" hidden="false" customHeight="false" outlineLevel="0" collapsed="false">
      <c r="F480" s="15"/>
      <c r="N480" s="16" t="str">
        <f aca="false">IF($D480="","",M480*Y480/100)</f>
        <v/>
      </c>
      <c r="V480" s="16" t="str">
        <f aca="false">IF($D480="","",Y480*AB480/100)</f>
        <v/>
      </c>
      <c r="W480" s="16" t="str">
        <f aca="false">IF($D480="","",Y480-V480)</f>
        <v/>
      </c>
      <c r="X480" s="16" t="str">
        <f aca="false">IF($D480="","",W480-N480)</f>
        <v/>
      </c>
      <c r="AB480" s="17" t="str">
        <f aca="false">IF($D480="","",IF(OR($R480=TRUE(),$R480="TRUE"),Settings!$C$6,Settings!$C$7)*100)</f>
        <v/>
      </c>
      <c r="AH480" s="18" t="str">
        <f aca="false">IF($D480="","",IF(COUNTIF($D$2:$D480,$D480)=1,1,0))</f>
        <v/>
      </c>
      <c r="AI480" s="18" t="str">
        <f aca="false">IF($AH480=1,SUMPRODUCT(--($AK$2:$AK$4001&lt;$AK480))+1,"")</f>
        <v/>
      </c>
      <c r="AJ480" s="18" t="str">
        <f aca="false">IF($D480="","",IF(OR($R480=TRUE(),$R480="TRUE"),1,0))</f>
        <v/>
      </c>
      <c r="AK480" s="18" t="str">
        <f aca="false">IF($AH480=1,IFERROR(VALUE(MID($D480,2,20)),1000000000)+ROW()/10000000,"")</f>
        <v/>
      </c>
    </row>
    <row r="481" customFormat="false" ht="15" hidden="false" customHeight="false" outlineLevel="0" collapsed="false">
      <c r="F481" s="15"/>
      <c r="N481" s="16" t="str">
        <f aca="false">IF($D481="","",M481*Y481/100)</f>
        <v/>
      </c>
      <c r="V481" s="16" t="str">
        <f aca="false">IF($D481="","",Y481*AB481/100)</f>
        <v/>
      </c>
      <c r="W481" s="16" t="str">
        <f aca="false">IF($D481="","",Y481-V481)</f>
        <v/>
      </c>
      <c r="X481" s="16" t="str">
        <f aca="false">IF($D481="","",W481-N481)</f>
        <v/>
      </c>
      <c r="AB481" s="17" t="str">
        <f aca="false">IF($D481="","",IF(OR($R481=TRUE(),$R481="TRUE"),Settings!$C$6,Settings!$C$7)*100)</f>
        <v/>
      </c>
      <c r="AH481" s="18" t="str">
        <f aca="false">IF($D481="","",IF(COUNTIF($D$2:$D481,$D481)=1,1,0))</f>
        <v/>
      </c>
      <c r="AI481" s="18" t="str">
        <f aca="false">IF($AH481=1,SUMPRODUCT(--($AK$2:$AK$4001&lt;$AK481))+1,"")</f>
        <v/>
      </c>
      <c r="AJ481" s="18" t="str">
        <f aca="false">IF($D481="","",IF(OR($R481=TRUE(),$R481="TRUE"),1,0))</f>
        <v/>
      </c>
      <c r="AK481" s="18" t="str">
        <f aca="false">IF($AH481=1,IFERROR(VALUE(MID($D481,2,20)),1000000000)+ROW()/10000000,"")</f>
        <v/>
      </c>
    </row>
    <row r="482" customFormat="false" ht="15" hidden="false" customHeight="false" outlineLevel="0" collapsed="false">
      <c r="F482" s="15"/>
      <c r="N482" s="16" t="str">
        <f aca="false">IF($D482="","",M482*Y482/100)</f>
        <v/>
      </c>
      <c r="V482" s="16" t="str">
        <f aca="false">IF($D482="","",Y482*AB482/100)</f>
        <v/>
      </c>
      <c r="W482" s="16" t="str">
        <f aca="false">IF($D482="","",Y482-V482)</f>
        <v/>
      </c>
      <c r="X482" s="16" t="str">
        <f aca="false">IF($D482="","",W482-N482)</f>
        <v/>
      </c>
      <c r="AB482" s="17" t="str">
        <f aca="false">IF($D482="","",IF(OR($R482=TRUE(),$R482="TRUE"),Settings!$C$6,Settings!$C$7)*100)</f>
        <v/>
      </c>
      <c r="AH482" s="18" t="str">
        <f aca="false">IF($D482="","",IF(COUNTIF($D$2:$D482,$D482)=1,1,0))</f>
        <v/>
      </c>
      <c r="AI482" s="18" t="str">
        <f aca="false">IF($AH482=1,SUMPRODUCT(--($AK$2:$AK$4001&lt;$AK482))+1,"")</f>
        <v/>
      </c>
      <c r="AJ482" s="18" t="str">
        <f aca="false">IF($D482="","",IF(OR($R482=TRUE(),$R482="TRUE"),1,0))</f>
        <v/>
      </c>
      <c r="AK482" s="18" t="str">
        <f aca="false">IF($AH482=1,IFERROR(VALUE(MID($D482,2,20)),1000000000)+ROW()/10000000,"")</f>
        <v/>
      </c>
    </row>
    <row r="483" customFormat="false" ht="15" hidden="false" customHeight="false" outlineLevel="0" collapsed="false">
      <c r="F483" s="15"/>
      <c r="N483" s="16" t="str">
        <f aca="false">IF($D483="","",M483*Y483/100)</f>
        <v/>
      </c>
      <c r="V483" s="16" t="str">
        <f aca="false">IF($D483="","",Y483*AB483/100)</f>
        <v/>
      </c>
      <c r="W483" s="16" t="str">
        <f aca="false">IF($D483="","",Y483-V483)</f>
        <v/>
      </c>
      <c r="X483" s="16" t="str">
        <f aca="false">IF($D483="","",W483-N483)</f>
        <v/>
      </c>
      <c r="AB483" s="17" t="str">
        <f aca="false">IF($D483="","",IF(OR($R483=TRUE(),$R483="TRUE"),Settings!$C$6,Settings!$C$7)*100)</f>
        <v/>
      </c>
      <c r="AH483" s="18" t="str">
        <f aca="false">IF($D483="","",IF(COUNTIF($D$2:$D483,$D483)=1,1,0))</f>
        <v/>
      </c>
      <c r="AI483" s="18" t="str">
        <f aca="false">IF($AH483=1,SUMPRODUCT(--($AK$2:$AK$4001&lt;$AK483))+1,"")</f>
        <v/>
      </c>
      <c r="AJ483" s="18" t="str">
        <f aca="false">IF($D483="","",IF(OR($R483=TRUE(),$R483="TRUE"),1,0))</f>
        <v/>
      </c>
      <c r="AK483" s="18" t="str">
        <f aca="false">IF($AH483=1,IFERROR(VALUE(MID($D483,2,20)),1000000000)+ROW()/10000000,"")</f>
        <v/>
      </c>
    </row>
    <row r="484" customFormat="false" ht="15" hidden="false" customHeight="false" outlineLevel="0" collapsed="false">
      <c r="F484" s="15"/>
      <c r="N484" s="16" t="str">
        <f aca="false">IF($D484="","",M484*Y484/100)</f>
        <v/>
      </c>
      <c r="V484" s="16" t="str">
        <f aca="false">IF($D484="","",Y484*AB484/100)</f>
        <v/>
      </c>
      <c r="W484" s="16" t="str">
        <f aca="false">IF($D484="","",Y484-V484)</f>
        <v/>
      </c>
      <c r="X484" s="16" t="str">
        <f aca="false">IF($D484="","",W484-N484)</f>
        <v/>
      </c>
      <c r="AB484" s="17" t="str">
        <f aca="false">IF($D484="","",IF(OR($R484=TRUE(),$R484="TRUE"),Settings!$C$6,Settings!$C$7)*100)</f>
        <v/>
      </c>
      <c r="AH484" s="18" t="str">
        <f aca="false">IF($D484="","",IF(COUNTIF($D$2:$D484,$D484)=1,1,0))</f>
        <v/>
      </c>
      <c r="AI484" s="18" t="str">
        <f aca="false">IF($AH484=1,SUMPRODUCT(--($AK$2:$AK$4001&lt;$AK484))+1,"")</f>
        <v/>
      </c>
      <c r="AJ484" s="18" t="str">
        <f aca="false">IF($D484="","",IF(OR($R484=TRUE(),$R484="TRUE"),1,0))</f>
        <v/>
      </c>
      <c r="AK484" s="18" t="str">
        <f aca="false">IF($AH484=1,IFERROR(VALUE(MID($D484,2,20)),1000000000)+ROW()/10000000,"")</f>
        <v/>
      </c>
    </row>
    <row r="485" customFormat="false" ht="15" hidden="false" customHeight="false" outlineLevel="0" collapsed="false">
      <c r="F485" s="15"/>
      <c r="N485" s="16" t="str">
        <f aca="false">IF($D485="","",M485*Y485/100)</f>
        <v/>
      </c>
      <c r="V485" s="16" t="str">
        <f aca="false">IF($D485="","",Y485*AB485/100)</f>
        <v/>
      </c>
      <c r="W485" s="16" t="str">
        <f aca="false">IF($D485="","",Y485-V485)</f>
        <v/>
      </c>
      <c r="X485" s="16" t="str">
        <f aca="false">IF($D485="","",W485-N485)</f>
        <v/>
      </c>
      <c r="AB485" s="17" t="str">
        <f aca="false">IF($D485="","",IF(OR($R485=TRUE(),$R485="TRUE"),Settings!$C$6,Settings!$C$7)*100)</f>
        <v/>
      </c>
      <c r="AH485" s="18" t="str">
        <f aca="false">IF($D485="","",IF(COUNTIF($D$2:$D485,$D485)=1,1,0))</f>
        <v/>
      </c>
      <c r="AI485" s="18" t="str">
        <f aca="false">IF($AH485=1,SUMPRODUCT(--($AK$2:$AK$4001&lt;$AK485))+1,"")</f>
        <v/>
      </c>
      <c r="AJ485" s="18" t="str">
        <f aca="false">IF($D485="","",IF(OR($R485=TRUE(),$R485="TRUE"),1,0))</f>
        <v/>
      </c>
      <c r="AK485" s="18" t="str">
        <f aca="false">IF($AH485=1,IFERROR(VALUE(MID($D485,2,20)),1000000000)+ROW()/10000000,"")</f>
        <v/>
      </c>
    </row>
    <row r="486" customFormat="false" ht="15" hidden="false" customHeight="false" outlineLevel="0" collapsed="false">
      <c r="F486" s="15"/>
      <c r="N486" s="16" t="str">
        <f aca="false">IF($D486="","",M486*Y486/100)</f>
        <v/>
      </c>
      <c r="V486" s="16" t="str">
        <f aca="false">IF($D486="","",Y486*AB486/100)</f>
        <v/>
      </c>
      <c r="W486" s="16" t="str">
        <f aca="false">IF($D486="","",Y486-V486)</f>
        <v/>
      </c>
      <c r="X486" s="16" t="str">
        <f aca="false">IF($D486="","",W486-N486)</f>
        <v/>
      </c>
      <c r="AB486" s="17" t="str">
        <f aca="false">IF($D486="","",IF(OR($R486=TRUE(),$R486="TRUE"),Settings!$C$6,Settings!$C$7)*100)</f>
        <v/>
      </c>
      <c r="AH486" s="18" t="str">
        <f aca="false">IF($D486="","",IF(COUNTIF($D$2:$D486,$D486)=1,1,0))</f>
        <v/>
      </c>
      <c r="AI486" s="18" t="str">
        <f aca="false">IF($AH486=1,SUMPRODUCT(--($AK$2:$AK$4001&lt;$AK486))+1,"")</f>
        <v/>
      </c>
      <c r="AJ486" s="18" t="str">
        <f aca="false">IF($D486="","",IF(OR($R486=TRUE(),$R486="TRUE"),1,0))</f>
        <v/>
      </c>
      <c r="AK486" s="18" t="str">
        <f aca="false">IF($AH486=1,IFERROR(VALUE(MID($D486,2,20)),1000000000)+ROW()/10000000,"")</f>
        <v/>
      </c>
    </row>
    <row r="487" customFormat="false" ht="15" hidden="false" customHeight="false" outlineLevel="0" collapsed="false">
      <c r="F487" s="15"/>
      <c r="N487" s="16" t="str">
        <f aca="false">IF($D487="","",M487*Y487/100)</f>
        <v/>
      </c>
      <c r="V487" s="16" t="str">
        <f aca="false">IF($D487="","",Y487*AB487/100)</f>
        <v/>
      </c>
      <c r="W487" s="16" t="str">
        <f aca="false">IF($D487="","",Y487-V487)</f>
        <v/>
      </c>
      <c r="X487" s="16" t="str">
        <f aca="false">IF($D487="","",W487-N487)</f>
        <v/>
      </c>
      <c r="AB487" s="17" t="str">
        <f aca="false">IF($D487="","",IF(OR($R487=TRUE(),$R487="TRUE"),Settings!$C$6,Settings!$C$7)*100)</f>
        <v/>
      </c>
      <c r="AH487" s="18" t="str">
        <f aca="false">IF($D487="","",IF(COUNTIF($D$2:$D487,$D487)=1,1,0))</f>
        <v/>
      </c>
      <c r="AI487" s="18" t="str">
        <f aca="false">IF($AH487=1,SUMPRODUCT(--($AK$2:$AK$4001&lt;$AK487))+1,"")</f>
        <v/>
      </c>
      <c r="AJ487" s="18" t="str">
        <f aca="false">IF($D487="","",IF(OR($R487=TRUE(),$R487="TRUE"),1,0))</f>
        <v/>
      </c>
      <c r="AK487" s="18" t="str">
        <f aca="false">IF($AH487=1,IFERROR(VALUE(MID($D487,2,20)),1000000000)+ROW()/10000000,"")</f>
        <v/>
      </c>
    </row>
    <row r="488" customFormat="false" ht="15" hidden="false" customHeight="false" outlineLevel="0" collapsed="false">
      <c r="F488" s="15"/>
      <c r="N488" s="16" t="str">
        <f aca="false">IF($D488="","",M488*Y488/100)</f>
        <v/>
      </c>
      <c r="V488" s="16" t="str">
        <f aca="false">IF($D488="","",Y488*AB488/100)</f>
        <v/>
      </c>
      <c r="W488" s="16" t="str">
        <f aca="false">IF($D488="","",Y488-V488)</f>
        <v/>
      </c>
      <c r="X488" s="16" t="str">
        <f aca="false">IF($D488="","",W488-N488)</f>
        <v/>
      </c>
      <c r="AB488" s="17" t="str">
        <f aca="false">IF($D488="","",IF(OR($R488=TRUE(),$R488="TRUE"),Settings!$C$6,Settings!$C$7)*100)</f>
        <v/>
      </c>
      <c r="AH488" s="18" t="str">
        <f aca="false">IF($D488="","",IF(COUNTIF($D$2:$D488,$D488)=1,1,0))</f>
        <v/>
      </c>
      <c r="AI488" s="18" t="str">
        <f aca="false">IF($AH488=1,SUMPRODUCT(--($AK$2:$AK$4001&lt;$AK488))+1,"")</f>
        <v/>
      </c>
      <c r="AJ488" s="18" t="str">
        <f aca="false">IF($D488="","",IF(OR($R488=TRUE(),$R488="TRUE"),1,0))</f>
        <v/>
      </c>
      <c r="AK488" s="18" t="str">
        <f aca="false">IF($AH488=1,IFERROR(VALUE(MID($D488,2,20)),1000000000)+ROW()/10000000,"")</f>
        <v/>
      </c>
    </row>
    <row r="489" customFormat="false" ht="15" hidden="false" customHeight="false" outlineLevel="0" collapsed="false">
      <c r="F489" s="15"/>
      <c r="N489" s="16" t="str">
        <f aca="false">IF($D489="","",M489*Y489/100)</f>
        <v/>
      </c>
      <c r="V489" s="16" t="str">
        <f aca="false">IF($D489="","",Y489*AB489/100)</f>
        <v/>
      </c>
      <c r="W489" s="16" t="str">
        <f aca="false">IF($D489="","",Y489-V489)</f>
        <v/>
      </c>
      <c r="X489" s="16" t="str">
        <f aca="false">IF($D489="","",W489-N489)</f>
        <v/>
      </c>
      <c r="AB489" s="17" t="str">
        <f aca="false">IF($D489="","",IF(OR($R489=TRUE(),$R489="TRUE"),Settings!$C$6,Settings!$C$7)*100)</f>
        <v/>
      </c>
      <c r="AH489" s="18" t="str">
        <f aca="false">IF($D489="","",IF(COUNTIF($D$2:$D489,$D489)=1,1,0))</f>
        <v/>
      </c>
      <c r="AI489" s="18" t="str">
        <f aca="false">IF($AH489=1,SUMPRODUCT(--($AK$2:$AK$4001&lt;$AK489))+1,"")</f>
        <v/>
      </c>
      <c r="AJ489" s="18" t="str">
        <f aca="false">IF($D489="","",IF(OR($R489=TRUE(),$R489="TRUE"),1,0))</f>
        <v/>
      </c>
      <c r="AK489" s="18" t="str">
        <f aca="false">IF($AH489=1,IFERROR(VALUE(MID($D489,2,20)),1000000000)+ROW()/10000000,"")</f>
        <v/>
      </c>
    </row>
    <row r="490" customFormat="false" ht="15" hidden="false" customHeight="false" outlineLevel="0" collapsed="false">
      <c r="F490" s="15"/>
      <c r="N490" s="16" t="str">
        <f aca="false">IF($D490="","",M490*Y490/100)</f>
        <v/>
      </c>
      <c r="V490" s="16" t="str">
        <f aca="false">IF($D490="","",Y490*AB490/100)</f>
        <v/>
      </c>
      <c r="W490" s="16" t="str">
        <f aca="false">IF($D490="","",Y490-V490)</f>
        <v/>
      </c>
      <c r="X490" s="16" t="str">
        <f aca="false">IF($D490="","",W490-N490)</f>
        <v/>
      </c>
      <c r="AB490" s="17" t="str">
        <f aca="false">IF($D490="","",IF(OR($R490=TRUE(),$R490="TRUE"),Settings!$C$6,Settings!$C$7)*100)</f>
        <v/>
      </c>
      <c r="AH490" s="18" t="str">
        <f aca="false">IF($D490="","",IF(COUNTIF($D$2:$D490,$D490)=1,1,0))</f>
        <v/>
      </c>
      <c r="AI490" s="18" t="str">
        <f aca="false">IF($AH490=1,SUMPRODUCT(--($AK$2:$AK$4001&lt;$AK490))+1,"")</f>
        <v/>
      </c>
      <c r="AJ490" s="18" t="str">
        <f aca="false">IF($D490="","",IF(OR($R490=TRUE(),$R490="TRUE"),1,0))</f>
        <v/>
      </c>
      <c r="AK490" s="18" t="str">
        <f aca="false">IF($AH490=1,IFERROR(VALUE(MID($D490,2,20)),1000000000)+ROW()/10000000,"")</f>
        <v/>
      </c>
    </row>
    <row r="491" customFormat="false" ht="15" hidden="false" customHeight="false" outlineLevel="0" collapsed="false">
      <c r="F491" s="15"/>
      <c r="N491" s="16" t="str">
        <f aca="false">IF($D491="","",M491*Y491/100)</f>
        <v/>
      </c>
      <c r="V491" s="16" t="str">
        <f aca="false">IF($D491="","",Y491*AB491/100)</f>
        <v/>
      </c>
      <c r="W491" s="16" t="str">
        <f aca="false">IF($D491="","",Y491-V491)</f>
        <v/>
      </c>
      <c r="X491" s="16" t="str">
        <f aca="false">IF($D491="","",W491-N491)</f>
        <v/>
      </c>
      <c r="AB491" s="17" t="str">
        <f aca="false">IF($D491="","",IF(OR($R491=TRUE(),$R491="TRUE"),Settings!$C$6,Settings!$C$7)*100)</f>
        <v/>
      </c>
      <c r="AH491" s="18" t="str">
        <f aca="false">IF($D491="","",IF(COUNTIF($D$2:$D491,$D491)=1,1,0))</f>
        <v/>
      </c>
      <c r="AI491" s="18" t="str">
        <f aca="false">IF($AH491=1,SUMPRODUCT(--($AK$2:$AK$4001&lt;$AK491))+1,"")</f>
        <v/>
      </c>
      <c r="AJ491" s="18" t="str">
        <f aca="false">IF($D491="","",IF(OR($R491=TRUE(),$R491="TRUE"),1,0))</f>
        <v/>
      </c>
      <c r="AK491" s="18" t="str">
        <f aca="false">IF($AH491=1,IFERROR(VALUE(MID($D491,2,20)),1000000000)+ROW()/10000000,"")</f>
        <v/>
      </c>
    </row>
    <row r="492" customFormat="false" ht="15" hidden="false" customHeight="false" outlineLevel="0" collapsed="false">
      <c r="F492" s="15"/>
      <c r="N492" s="16" t="str">
        <f aca="false">IF($D492="","",M492*Y492/100)</f>
        <v/>
      </c>
      <c r="V492" s="16" t="str">
        <f aca="false">IF($D492="","",Y492*AB492/100)</f>
        <v/>
      </c>
      <c r="W492" s="16" t="str">
        <f aca="false">IF($D492="","",Y492-V492)</f>
        <v/>
      </c>
      <c r="X492" s="16" t="str">
        <f aca="false">IF($D492="","",W492-N492)</f>
        <v/>
      </c>
      <c r="AB492" s="17" t="str">
        <f aca="false">IF($D492="","",IF(OR($R492=TRUE(),$R492="TRUE"),Settings!$C$6,Settings!$C$7)*100)</f>
        <v/>
      </c>
      <c r="AH492" s="18" t="str">
        <f aca="false">IF($D492="","",IF(COUNTIF($D$2:$D492,$D492)=1,1,0))</f>
        <v/>
      </c>
      <c r="AI492" s="18" t="str">
        <f aca="false">IF($AH492=1,SUMPRODUCT(--($AK$2:$AK$4001&lt;$AK492))+1,"")</f>
        <v/>
      </c>
      <c r="AJ492" s="18" t="str">
        <f aca="false">IF($D492="","",IF(OR($R492=TRUE(),$R492="TRUE"),1,0))</f>
        <v/>
      </c>
      <c r="AK492" s="18" t="str">
        <f aca="false">IF($AH492=1,IFERROR(VALUE(MID($D492,2,20)),1000000000)+ROW()/10000000,"")</f>
        <v/>
      </c>
    </row>
    <row r="493" customFormat="false" ht="15" hidden="false" customHeight="false" outlineLevel="0" collapsed="false">
      <c r="F493" s="15"/>
      <c r="N493" s="16" t="str">
        <f aca="false">IF($D493="","",M493*Y493/100)</f>
        <v/>
      </c>
      <c r="V493" s="16" t="str">
        <f aca="false">IF($D493="","",Y493*AB493/100)</f>
        <v/>
      </c>
      <c r="W493" s="16" t="str">
        <f aca="false">IF($D493="","",Y493-V493)</f>
        <v/>
      </c>
      <c r="X493" s="16" t="str">
        <f aca="false">IF($D493="","",W493-N493)</f>
        <v/>
      </c>
      <c r="AB493" s="17" t="str">
        <f aca="false">IF($D493="","",IF(OR($R493=TRUE(),$R493="TRUE"),Settings!$C$6,Settings!$C$7)*100)</f>
        <v/>
      </c>
      <c r="AH493" s="18" t="str">
        <f aca="false">IF($D493="","",IF(COUNTIF($D$2:$D493,$D493)=1,1,0))</f>
        <v/>
      </c>
      <c r="AI493" s="18" t="str">
        <f aca="false">IF($AH493=1,SUMPRODUCT(--($AK$2:$AK$4001&lt;$AK493))+1,"")</f>
        <v/>
      </c>
      <c r="AJ493" s="18" t="str">
        <f aca="false">IF($D493="","",IF(OR($R493=TRUE(),$R493="TRUE"),1,0))</f>
        <v/>
      </c>
      <c r="AK493" s="18" t="str">
        <f aca="false">IF($AH493=1,IFERROR(VALUE(MID($D493,2,20)),1000000000)+ROW()/10000000,"")</f>
        <v/>
      </c>
    </row>
    <row r="494" customFormat="false" ht="15" hidden="false" customHeight="false" outlineLevel="0" collapsed="false">
      <c r="F494" s="15"/>
      <c r="N494" s="16" t="str">
        <f aca="false">IF($D494="","",M494*Y494/100)</f>
        <v/>
      </c>
      <c r="V494" s="16" t="str">
        <f aca="false">IF($D494="","",Y494*AB494/100)</f>
        <v/>
      </c>
      <c r="W494" s="16" t="str">
        <f aca="false">IF($D494="","",Y494-V494)</f>
        <v/>
      </c>
      <c r="X494" s="16" t="str">
        <f aca="false">IF($D494="","",W494-N494)</f>
        <v/>
      </c>
      <c r="AB494" s="17" t="str">
        <f aca="false">IF($D494="","",IF(OR($R494=TRUE(),$R494="TRUE"),Settings!$C$6,Settings!$C$7)*100)</f>
        <v/>
      </c>
      <c r="AH494" s="18" t="str">
        <f aca="false">IF($D494="","",IF(COUNTIF($D$2:$D494,$D494)=1,1,0))</f>
        <v/>
      </c>
      <c r="AI494" s="18" t="str">
        <f aca="false">IF($AH494=1,SUMPRODUCT(--($AK$2:$AK$4001&lt;$AK494))+1,"")</f>
        <v/>
      </c>
      <c r="AJ494" s="18" t="str">
        <f aca="false">IF($D494="","",IF(OR($R494=TRUE(),$R494="TRUE"),1,0))</f>
        <v/>
      </c>
      <c r="AK494" s="18" t="str">
        <f aca="false">IF($AH494=1,IFERROR(VALUE(MID($D494,2,20)),1000000000)+ROW()/10000000,"")</f>
        <v/>
      </c>
    </row>
    <row r="495" customFormat="false" ht="15" hidden="false" customHeight="false" outlineLevel="0" collapsed="false">
      <c r="F495" s="15"/>
      <c r="N495" s="16" t="str">
        <f aca="false">IF($D495="","",M495*Y495/100)</f>
        <v/>
      </c>
      <c r="V495" s="16" t="str">
        <f aca="false">IF($D495="","",Y495*AB495/100)</f>
        <v/>
      </c>
      <c r="W495" s="16" t="str">
        <f aca="false">IF($D495="","",Y495-V495)</f>
        <v/>
      </c>
      <c r="X495" s="16" t="str">
        <f aca="false">IF($D495="","",W495-N495)</f>
        <v/>
      </c>
      <c r="AB495" s="17" t="str">
        <f aca="false">IF($D495="","",IF(OR($R495=TRUE(),$R495="TRUE"),Settings!$C$6,Settings!$C$7)*100)</f>
        <v/>
      </c>
      <c r="AH495" s="18" t="str">
        <f aca="false">IF($D495="","",IF(COUNTIF($D$2:$D495,$D495)=1,1,0))</f>
        <v/>
      </c>
      <c r="AI495" s="18" t="str">
        <f aca="false">IF($AH495=1,SUMPRODUCT(--($AK$2:$AK$4001&lt;$AK495))+1,"")</f>
        <v/>
      </c>
      <c r="AJ495" s="18" t="str">
        <f aca="false">IF($D495="","",IF(OR($R495=TRUE(),$R495="TRUE"),1,0))</f>
        <v/>
      </c>
      <c r="AK495" s="18" t="str">
        <f aca="false">IF($AH495=1,IFERROR(VALUE(MID($D495,2,20)),1000000000)+ROW()/10000000,"")</f>
        <v/>
      </c>
    </row>
    <row r="496" customFormat="false" ht="15" hidden="false" customHeight="false" outlineLevel="0" collapsed="false">
      <c r="F496" s="15"/>
      <c r="N496" s="16" t="str">
        <f aca="false">IF($D496="","",M496*Y496/100)</f>
        <v/>
      </c>
      <c r="V496" s="16" t="str">
        <f aca="false">IF($D496="","",Y496*AB496/100)</f>
        <v/>
      </c>
      <c r="W496" s="16" t="str">
        <f aca="false">IF($D496="","",Y496-V496)</f>
        <v/>
      </c>
      <c r="X496" s="16" t="str">
        <f aca="false">IF($D496="","",W496-N496)</f>
        <v/>
      </c>
      <c r="AB496" s="17" t="str">
        <f aca="false">IF($D496="","",IF(OR($R496=TRUE(),$R496="TRUE"),Settings!$C$6,Settings!$C$7)*100)</f>
        <v/>
      </c>
      <c r="AH496" s="18" t="str">
        <f aca="false">IF($D496="","",IF(COUNTIF($D$2:$D496,$D496)=1,1,0))</f>
        <v/>
      </c>
      <c r="AI496" s="18" t="str">
        <f aca="false">IF($AH496=1,SUMPRODUCT(--($AK$2:$AK$4001&lt;$AK496))+1,"")</f>
        <v/>
      </c>
      <c r="AJ496" s="18" t="str">
        <f aca="false">IF($D496="","",IF(OR($R496=TRUE(),$R496="TRUE"),1,0))</f>
        <v/>
      </c>
      <c r="AK496" s="18" t="str">
        <f aca="false">IF($AH496=1,IFERROR(VALUE(MID($D496,2,20)),1000000000)+ROW()/10000000,"")</f>
        <v/>
      </c>
    </row>
    <row r="497" customFormat="false" ht="15" hidden="false" customHeight="false" outlineLevel="0" collapsed="false">
      <c r="F497" s="15"/>
      <c r="N497" s="16" t="str">
        <f aca="false">IF($D497="","",M497*Y497/100)</f>
        <v/>
      </c>
      <c r="V497" s="16" t="str">
        <f aca="false">IF($D497="","",Y497*AB497/100)</f>
        <v/>
      </c>
      <c r="W497" s="16" t="str">
        <f aca="false">IF($D497="","",Y497-V497)</f>
        <v/>
      </c>
      <c r="X497" s="16" t="str">
        <f aca="false">IF($D497="","",W497-N497)</f>
        <v/>
      </c>
      <c r="AB497" s="17" t="str">
        <f aca="false">IF($D497="","",IF(OR($R497=TRUE(),$R497="TRUE"),Settings!$C$6,Settings!$C$7)*100)</f>
        <v/>
      </c>
      <c r="AH497" s="18" t="str">
        <f aca="false">IF($D497="","",IF(COUNTIF($D$2:$D497,$D497)=1,1,0))</f>
        <v/>
      </c>
      <c r="AI497" s="18" t="str">
        <f aca="false">IF($AH497=1,SUMPRODUCT(--($AK$2:$AK$4001&lt;$AK497))+1,"")</f>
        <v/>
      </c>
      <c r="AJ497" s="18" t="str">
        <f aca="false">IF($D497="","",IF(OR($R497=TRUE(),$R497="TRUE"),1,0))</f>
        <v/>
      </c>
      <c r="AK497" s="18" t="str">
        <f aca="false">IF($AH497=1,IFERROR(VALUE(MID($D497,2,20)),1000000000)+ROW()/10000000,"")</f>
        <v/>
      </c>
    </row>
    <row r="498" customFormat="false" ht="15" hidden="false" customHeight="false" outlineLevel="0" collapsed="false">
      <c r="F498" s="15"/>
      <c r="N498" s="16" t="str">
        <f aca="false">IF($D498="","",M498*Y498/100)</f>
        <v/>
      </c>
      <c r="V498" s="16" t="str">
        <f aca="false">IF($D498="","",Y498*AB498/100)</f>
        <v/>
      </c>
      <c r="W498" s="16" t="str">
        <f aca="false">IF($D498="","",Y498-V498)</f>
        <v/>
      </c>
      <c r="X498" s="16" t="str">
        <f aca="false">IF($D498="","",W498-N498)</f>
        <v/>
      </c>
      <c r="AB498" s="17" t="str">
        <f aca="false">IF($D498="","",IF(OR($R498=TRUE(),$R498="TRUE"),Settings!$C$6,Settings!$C$7)*100)</f>
        <v/>
      </c>
      <c r="AH498" s="18" t="str">
        <f aca="false">IF($D498="","",IF(COUNTIF($D$2:$D498,$D498)=1,1,0))</f>
        <v/>
      </c>
      <c r="AI498" s="18" t="str">
        <f aca="false">IF($AH498=1,SUMPRODUCT(--($AK$2:$AK$4001&lt;$AK498))+1,"")</f>
        <v/>
      </c>
      <c r="AJ498" s="18" t="str">
        <f aca="false">IF($D498="","",IF(OR($R498=TRUE(),$R498="TRUE"),1,0))</f>
        <v/>
      </c>
      <c r="AK498" s="18" t="str">
        <f aca="false">IF($AH498=1,IFERROR(VALUE(MID($D498,2,20)),1000000000)+ROW()/10000000,"")</f>
        <v/>
      </c>
    </row>
    <row r="499" customFormat="false" ht="15" hidden="false" customHeight="false" outlineLevel="0" collapsed="false">
      <c r="F499" s="15"/>
      <c r="N499" s="16" t="str">
        <f aca="false">IF($D499="","",M499*Y499/100)</f>
        <v/>
      </c>
      <c r="V499" s="16" t="str">
        <f aca="false">IF($D499="","",Y499*AB499/100)</f>
        <v/>
      </c>
      <c r="W499" s="16" t="str">
        <f aca="false">IF($D499="","",Y499-V499)</f>
        <v/>
      </c>
      <c r="X499" s="16" t="str">
        <f aca="false">IF($D499="","",W499-N499)</f>
        <v/>
      </c>
      <c r="AB499" s="17" t="str">
        <f aca="false">IF($D499="","",IF(OR($R499=TRUE(),$R499="TRUE"),Settings!$C$6,Settings!$C$7)*100)</f>
        <v/>
      </c>
      <c r="AH499" s="18" t="str">
        <f aca="false">IF($D499="","",IF(COUNTIF($D$2:$D499,$D499)=1,1,0))</f>
        <v/>
      </c>
      <c r="AI499" s="18" t="str">
        <f aca="false">IF($AH499=1,SUMPRODUCT(--($AK$2:$AK$4001&lt;$AK499))+1,"")</f>
        <v/>
      </c>
      <c r="AJ499" s="18" t="str">
        <f aca="false">IF($D499="","",IF(OR($R499=TRUE(),$R499="TRUE"),1,0))</f>
        <v/>
      </c>
      <c r="AK499" s="18" t="str">
        <f aca="false">IF($AH499=1,IFERROR(VALUE(MID($D499,2,20)),1000000000)+ROW()/10000000,"")</f>
        <v/>
      </c>
    </row>
    <row r="500" customFormat="false" ht="15" hidden="false" customHeight="false" outlineLevel="0" collapsed="false">
      <c r="F500" s="15"/>
      <c r="N500" s="16" t="str">
        <f aca="false">IF($D500="","",M500*Y500/100)</f>
        <v/>
      </c>
      <c r="V500" s="16" t="str">
        <f aca="false">IF($D500="","",Y500*AB500/100)</f>
        <v/>
      </c>
      <c r="W500" s="16" t="str">
        <f aca="false">IF($D500="","",Y500-V500)</f>
        <v/>
      </c>
      <c r="X500" s="16" t="str">
        <f aca="false">IF($D500="","",W500-N500)</f>
        <v/>
      </c>
      <c r="AB500" s="17" t="str">
        <f aca="false">IF($D500="","",IF(OR($R500=TRUE(),$R500="TRUE"),Settings!$C$6,Settings!$C$7)*100)</f>
        <v/>
      </c>
      <c r="AH500" s="18" t="str">
        <f aca="false">IF($D500="","",IF(COUNTIF($D$2:$D500,$D500)=1,1,0))</f>
        <v/>
      </c>
      <c r="AI500" s="18" t="str">
        <f aca="false">IF($AH500=1,SUMPRODUCT(--($AK$2:$AK$4001&lt;$AK500))+1,"")</f>
        <v/>
      </c>
      <c r="AJ500" s="18" t="str">
        <f aca="false">IF($D500="","",IF(OR($R500=TRUE(),$R500="TRUE"),1,0))</f>
        <v/>
      </c>
      <c r="AK500" s="18" t="str">
        <f aca="false">IF($AH500=1,IFERROR(VALUE(MID($D500,2,20)),1000000000)+ROW()/10000000,"")</f>
        <v/>
      </c>
    </row>
    <row r="501" customFormat="false" ht="15" hidden="false" customHeight="false" outlineLevel="0" collapsed="false">
      <c r="F501" s="15"/>
      <c r="N501" s="16" t="str">
        <f aca="false">IF($D501="","",M501*Y501/100)</f>
        <v/>
      </c>
      <c r="V501" s="16" t="str">
        <f aca="false">IF($D501="","",Y501*AB501/100)</f>
        <v/>
      </c>
      <c r="W501" s="16" t="str">
        <f aca="false">IF($D501="","",Y501-V501)</f>
        <v/>
      </c>
      <c r="X501" s="16" t="str">
        <f aca="false">IF($D501="","",W501-N501)</f>
        <v/>
      </c>
      <c r="AB501" s="17" t="str">
        <f aca="false">IF($D501="","",IF(OR($R501=TRUE(),$R501="TRUE"),Settings!$C$6,Settings!$C$7)*100)</f>
        <v/>
      </c>
      <c r="AH501" s="18" t="str">
        <f aca="false">IF($D501="","",IF(COUNTIF($D$2:$D501,$D501)=1,1,0))</f>
        <v/>
      </c>
      <c r="AI501" s="18" t="str">
        <f aca="false">IF($AH501=1,SUMPRODUCT(--($AK$2:$AK$4001&lt;$AK501))+1,"")</f>
        <v/>
      </c>
      <c r="AJ501" s="18" t="str">
        <f aca="false">IF($D501="","",IF(OR($R501=TRUE(),$R501="TRUE"),1,0))</f>
        <v/>
      </c>
      <c r="AK501" s="18" t="str">
        <f aca="false">IF($AH501=1,IFERROR(VALUE(MID($D501,2,20)),1000000000)+ROW()/10000000,"")</f>
        <v/>
      </c>
    </row>
    <row r="502" customFormat="false" ht="15" hidden="false" customHeight="false" outlineLevel="0" collapsed="false">
      <c r="F502" s="15"/>
      <c r="N502" s="16" t="str">
        <f aca="false">IF($D502="","",M502*Y502/100)</f>
        <v/>
      </c>
      <c r="V502" s="16" t="str">
        <f aca="false">IF($D502="","",Y502*AB502/100)</f>
        <v/>
      </c>
      <c r="W502" s="16" t="str">
        <f aca="false">IF($D502="","",Y502-V502)</f>
        <v/>
      </c>
      <c r="X502" s="16" t="str">
        <f aca="false">IF($D502="","",W502-N502)</f>
        <v/>
      </c>
      <c r="AB502" s="17" t="str">
        <f aca="false">IF($D502="","",IF(OR($R502=TRUE(),$R502="TRUE"),Settings!$C$6,Settings!$C$7)*100)</f>
        <v/>
      </c>
      <c r="AH502" s="18" t="str">
        <f aca="false">IF($D502="","",IF(COUNTIF($D$2:$D502,$D502)=1,1,0))</f>
        <v/>
      </c>
      <c r="AI502" s="18" t="str">
        <f aca="false">IF($AH502=1,SUMPRODUCT(--($AK$2:$AK$4001&lt;$AK502))+1,"")</f>
        <v/>
      </c>
      <c r="AJ502" s="18" t="str">
        <f aca="false">IF($D502="","",IF(OR($R502=TRUE(),$R502="TRUE"),1,0))</f>
        <v/>
      </c>
      <c r="AK502" s="18" t="str">
        <f aca="false">IF($AH502=1,IFERROR(VALUE(MID($D502,2,20)),1000000000)+ROW()/10000000,"")</f>
        <v/>
      </c>
    </row>
    <row r="503" customFormat="false" ht="15" hidden="false" customHeight="false" outlineLevel="0" collapsed="false">
      <c r="F503" s="15"/>
      <c r="N503" s="16" t="str">
        <f aca="false">IF($D503="","",M503*Y503/100)</f>
        <v/>
      </c>
      <c r="V503" s="16" t="str">
        <f aca="false">IF($D503="","",Y503*AB503/100)</f>
        <v/>
      </c>
      <c r="W503" s="16" t="str">
        <f aca="false">IF($D503="","",Y503-V503)</f>
        <v/>
      </c>
      <c r="X503" s="16" t="str">
        <f aca="false">IF($D503="","",W503-N503)</f>
        <v/>
      </c>
      <c r="AB503" s="17" t="str">
        <f aca="false">IF($D503="","",IF(OR($R503=TRUE(),$R503="TRUE"),Settings!$C$6,Settings!$C$7)*100)</f>
        <v/>
      </c>
      <c r="AH503" s="18" t="str">
        <f aca="false">IF($D503="","",IF(COUNTIF($D$2:$D503,$D503)=1,1,0))</f>
        <v/>
      </c>
      <c r="AI503" s="18" t="str">
        <f aca="false">IF($AH503=1,SUMPRODUCT(--($AK$2:$AK$4001&lt;$AK503))+1,"")</f>
        <v/>
      </c>
      <c r="AJ503" s="18" t="str">
        <f aca="false">IF($D503="","",IF(OR($R503=TRUE(),$R503="TRUE"),1,0))</f>
        <v/>
      </c>
      <c r="AK503" s="18" t="str">
        <f aca="false">IF($AH503=1,IFERROR(VALUE(MID($D503,2,20)),1000000000)+ROW()/10000000,"")</f>
        <v/>
      </c>
    </row>
    <row r="504" customFormat="false" ht="15" hidden="false" customHeight="false" outlineLevel="0" collapsed="false">
      <c r="F504" s="15"/>
      <c r="N504" s="16" t="str">
        <f aca="false">IF($D504="","",M504*Y504/100)</f>
        <v/>
      </c>
      <c r="V504" s="16" t="str">
        <f aca="false">IF($D504="","",Y504*AB504/100)</f>
        <v/>
      </c>
      <c r="W504" s="16" t="str">
        <f aca="false">IF($D504="","",Y504-V504)</f>
        <v/>
      </c>
      <c r="X504" s="16" t="str">
        <f aca="false">IF($D504="","",W504-N504)</f>
        <v/>
      </c>
      <c r="AB504" s="17" t="str">
        <f aca="false">IF($D504="","",IF(OR($R504=TRUE(),$R504="TRUE"),Settings!$C$6,Settings!$C$7)*100)</f>
        <v/>
      </c>
      <c r="AH504" s="18" t="str">
        <f aca="false">IF($D504="","",IF(COUNTIF($D$2:$D504,$D504)=1,1,0))</f>
        <v/>
      </c>
      <c r="AI504" s="18" t="str">
        <f aca="false">IF($AH504=1,SUMPRODUCT(--($AK$2:$AK$4001&lt;$AK504))+1,"")</f>
        <v/>
      </c>
      <c r="AJ504" s="18" t="str">
        <f aca="false">IF($D504="","",IF(OR($R504=TRUE(),$R504="TRUE"),1,0))</f>
        <v/>
      </c>
      <c r="AK504" s="18" t="str">
        <f aca="false">IF($AH504=1,IFERROR(VALUE(MID($D504,2,20)),1000000000)+ROW()/10000000,"")</f>
        <v/>
      </c>
    </row>
    <row r="505" customFormat="false" ht="15" hidden="false" customHeight="false" outlineLevel="0" collapsed="false">
      <c r="F505" s="15"/>
      <c r="N505" s="16" t="str">
        <f aca="false">IF($D505="","",M505*Y505/100)</f>
        <v/>
      </c>
      <c r="V505" s="16" t="str">
        <f aca="false">IF($D505="","",Y505*AB505/100)</f>
        <v/>
      </c>
      <c r="W505" s="16" t="str">
        <f aca="false">IF($D505="","",Y505-V505)</f>
        <v/>
      </c>
      <c r="X505" s="16" t="str">
        <f aca="false">IF($D505="","",W505-N505)</f>
        <v/>
      </c>
      <c r="AB505" s="17" t="str">
        <f aca="false">IF($D505="","",IF(OR($R505=TRUE(),$R505="TRUE"),Settings!$C$6,Settings!$C$7)*100)</f>
        <v/>
      </c>
      <c r="AH505" s="18" t="str">
        <f aca="false">IF($D505="","",IF(COUNTIF($D$2:$D505,$D505)=1,1,0))</f>
        <v/>
      </c>
      <c r="AI505" s="18" t="str">
        <f aca="false">IF($AH505=1,SUMPRODUCT(--($AK$2:$AK$4001&lt;$AK505))+1,"")</f>
        <v/>
      </c>
      <c r="AJ505" s="18" t="str">
        <f aca="false">IF($D505="","",IF(OR($R505=TRUE(),$R505="TRUE"),1,0))</f>
        <v/>
      </c>
      <c r="AK505" s="18" t="str">
        <f aca="false">IF($AH505=1,IFERROR(VALUE(MID($D505,2,20)),1000000000)+ROW()/10000000,"")</f>
        <v/>
      </c>
    </row>
    <row r="506" customFormat="false" ht="15" hidden="false" customHeight="false" outlineLevel="0" collapsed="false">
      <c r="F506" s="15"/>
      <c r="N506" s="16" t="str">
        <f aca="false">IF($D506="","",M506*Y506/100)</f>
        <v/>
      </c>
      <c r="V506" s="16" t="str">
        <f aca="false">IF($D506="","",Y506*AB506/100)</f>
        <v/>
      </c>
      <c r="W506" s="16" t="str">
        <f aca="false">IF($D506="","",Y506-V506)</f>
        <v/>
      </c>
      <c r="X506" s="16" t="str">
        <f aca="false">IF($D506="","",W506-N506)</f>
        <v/>
      </c>
      <c r="AB506" s="17" t="str">
        <f aca="false">IF($D506="","",IF(OR($R506=TRUE(),$R506="TRUE"),Settings!$C$6,Settings!$C$7)*100)</f>
        <v/>
      </c>
      <c r="AH506" s="18" t="str">
        <f aca="false">IF($D506="","",IF(COUNTIF($D$2:$D506,$D506)=1,1,0))</f>
        <v/>
      </c>
      <c r="AI506" s="18" t="str">
        <f aca="false">IF($AH506=1,SUMPRODUCT(--($AK$2:$AK$4001&lt;$AK506))+1,"")</f>
        <v/>
      </c>
      <c r="AJ506" s="18" t="str">
        <f aca="false">IF($D506="","",IF(OR($R506=TRUE(),$R506="TRUE"),1,0))</f>
        <v/>
      </c>
      <c r="AK506" s="18" t="str">
        <f aca="false">IF($AH506=1,IFERROR(VALUE(MID($D506,2,20)),1000000000)+ROW()/10000000,"")</f>
        <v/>
      </c>
    </row>
    <row r="507" customFormat="false" ht="15" hidden="false" customHeight="false" outlineLevel="0" collapsed="false">
      <c r="F507" s="15"/>
      <c r="N507" s="16" t="str">
        <f aca="false">IF($D507="","",M507*Y507/100)</f>
        <v/>
      </c>
      <c r="V507" s="16" t="str">
        <f aca="false">IF($D507="","",Y507*AB507/100)</f>
        <v/>
      </c>
      <c r="W507" s="16" t="str">
        <f aca="false">IF($D507="","",Y507-V507)</f>
        <v/>
      </c>
      <c r="X507" s="16" t="str">
        <f aca="false">IF($D507="","",W507-N507)</f>
        <v/>
      </c>
      <c r="AB507" s="17" t="str">
        <f aca="false">IF($D507="","",IF(OR($R507=TRUE(),$R507="TRUE"),Settings!$C$6,Settings!$C$7)*100)</f>
        <v/>
      </c>
      <c r="AH507" s="18" t="str">
        <f aca="false">IF($D507="","",IF(COUNTIF($D$2:$D507,$D507)=1,1,0))</f>
        <v/>
      </c>
      <c r="AI507" s="18" t="str">
        <f aca="false">IF($AH507=1,SUMPRODUCT(--($AK$2:$AK$4001&lt;$AK507))+1,"")</f>
        <v/>
      </c>
      <c r="AJ507" s="18" t="str">
        <f aca="false">IF($D507="","",IF(OR($R507=TRUE(),$R507="TRUE"),1,0))</f>
        <v/>
      </c>
      <c r="AK507" s="18" t="str">
        <f aca="false">IF($AH507=1,IFERROR(VALUE(MID($D507,2,20)),1000000000)+ROW()/10000000,"")</f>
        <v/>
      </c>
    </row>
    <row r="508" customFormat="false" ht="15" hidden="false" customHeight="false" outlineLevel="0" collapsed="false">
      <c r="F508" s="15"/>
      <c r="N508" s="16" t="str">
        <f aca="false">IF($D508="","",M508*Y508/100)</f>
        <v/>
      </c>
      <c r="V508" s="16" t="str">
        <f aca="false">IF($D508="","",Y508*AB508/100)</f>
        <v/>
      </c>
      <c r="W508" s="16" t="str">
        <f aca="false">IF($D508="","",Y508-V508)</f>
        <v/>
      </c>
      <c r="X508" s="16" t="str">
        <f aca="false">IF($D508="","",W508-N508)</f>
        <v/>
      </c>
      <c r="AB508" s="17" t="str">
        <f aca="false">IF($D508="","",IF(OR($R508=TRUE(),$R508="TRUE"),Settings!$C$6,Settings!$C$7)*100)</f>
        <v/>
      </c>
      <c r="AH508" s="18" t="str">
        <f aca="false">IF($D508="","",IF(COUNTIF($D$2:$D508,$D508)=1,1,0))</f>
        <v/>
      </c>
      <c r="AI508" s="18" t="str">
        <f aca="false">IF($AH508=1,SUMPRODUCT(--($AK$2:$AK$4001&lt;$AK508))+1,"")</f>
        <v/>
      </c>
      <c r="AJ508" s="18" t="str">
        <f aca="false">IF($D508="","",IF(OR($R508=TRUE(),$R508="TRUE"),1,0))</f>
        <v/>
      </c>
      <c r="AK508" s="18" t="str">
        <f aca="false">IF($AH508=1,IFERROR(VALUE(MID($D508,2,20)),1000000000)+ROW()/10000000,"")</f>
        <v/>
      </c>
    </row>
    <row r="509" customFormat="false" ht="15" hidden="false" customHeight="false" outlineLevel="0" collapsed="false">
      <c r="F509" s="15"/>
      <c r="N509" s="16" t="str">
        <f aca="false">IF($D509="","",M509*Y509/100)</f>
        <v/>
      </c>
      <c r="V509" s="16" t="str">
        <f aca="false">IF($D509="","",Y509*AB509/100)</f>
        <v/>
      </c>
      <c r="W509" s="16" t="str">
        <f aca="false">IF($D509="","",Y509-V509)</f>
        <v/>
      </c>
      <c r="X509" s="16" t="str">
        <f aca="false">IF($D509="","",W509-N509)</f>
        <v/>
      </c>
      <c r="AB509" s="17" t="str">
        <f aca="false">IF($D509="","",IF(OR($R509=TRUE(),$R509="TRUE"),Settings!$C$6,Settings!$C$7)*100)</f>
        <v/>
      </c>
      <c r="AH509" s="18" t="str">
        <f aca="false">IF($D509="","",IF(COUNTIF($D$2:$D509,$D509)=1,1,0))</f>
        <v/>
      </c>
      <c r="AI509" s="18" t="str">
        <f aca="false">IF($AH509=1,SUMPRODUCT(--($AK$2:$AK$4001&lt;$AK509))+1,"")</f>
        <v/>
      </c>
      <c r="AJ509" s="18" t="str">
        <f aca="false">IF($D509="","",IF(OR($R509=TRUE(),$R509="TRUE"),1,0))</f>
        <v/>
      </c>
      <c r="AK509" s="18" t="str">
        <f aca="false">IF($AH509=1,IFERROR(VALUE(MID($D509,2,20)),1000000000)+ROW()/10000000,"")</f>
        <v/>
      </c>
    </row>
    <row r="510" customFormat="false" ht="15" hidden="false" customHeight="false" outlineLevel="0" collapsed="false">
      <c r="F510" s="15"/>
      <c r="N510" s="16" t="str">
        <f aca="false">IF($D510="","",M510*Y510/100)</f>
        <v/>
      </c>
      <c r="V510" s="16" t="str">
        <f aca="false">IF($D510="","",Y510*AB510/100)</f>
        <v/>
      </c>
      <c r="W510" s="16" t="str">
        <f aca="false">IF($D510="","",Y510-V510)</f>
        <v/>
      </c>
      <c r="X510" s="16" t="str">
        <f aca="false">IF($D510="","",W510-N510)</f>
        <v/>
      </c>
      <c r="AB510" s="17" t="str">
        <f aca="false">IF($D510="","",IF(OR($R510=TRUE(),$R510="TRUE"),Settings!$C$6,Settings!$C$7)*100)</f>
        <v/>
      </c>
      <c r="AH510" s="18" t="str">
        <f aca="false">IF($D510="","",IF(COUNTIF($D$2:$D510,$D510)=1,1,0))</f>
        <v/>
      </c>
      <c r="AI510" s="18" t="str">
        <f aca="false">IF($AH510=1,SUMPRODUCT(--($AK$2:$AK$4001&lt;$AK510))+1,"")</f>
        <v/>
      </c>
      <c r="AJ510" s="18" t="str">
        <f aca="false">IF($D510="","",IF(OR($R510=TRUE(),$R510="TRUE"),1,0))</f>
        <v/>
      </c>
      <c r="AK510" s="18" t="str">
        <f aca="false">IF($AH510=1,IFERROR(VALUE(MID($D510,2,20)),1000000000)+ROW()/10000000,"")</f>
        <v/>
      </c>
    </row>
    <row r="511" customFormat="false" ht="15" hidden="false" customHeight="false" outlineLevel="0" collapsed="false">
      <c r="F511" s="15"/>
      <c r="N511" s="16" t="str">
        <f aca="false">IF($D511="","",M511*Y511/100)</f>
        <v/>
      </c>
      <c r="V511" s="16" t="str">
        <f aca="false">IF($D511="","",Y511*AB511/100)</f>
        <v/>
      </c>
      <c r="W511" s="16" t="str">
        <f aca="false">IF($D511="","",Y511-V511)</f>
        <v/>
      </c>
      <c r="X511" s="16" t="str">
        <f aca="false">IF($D511="","",W511-N511)</f>
        <v/>
      </c>
      <c r="AB511" s="17" t="str">
        <f aca="false">IF($D511="","",IF(OR($R511=TRUE(),$R511="TRUE"),Settings!$C$6,Settings!$C$7)*100)</f>
        <v/>
      </c>
      <c r="AH511" s="18" t="str">
        <f aca="false">IF($D511="","",IF(COUNTIF($D$2:$D511,$D511)=1,1,0))</f>
        <v/>
      </c>
      <c r="AI511" s="18" t="str">
        <f aca="false">IF($AH511=1,SUMPRODUCT(--($AK$2:$AK$4001&lt;$AK511))+1,"")</f>
        <v/>
      </c>
      <c r="AJ511" s="18" t="str">
        <f aca="false">IF($D511="","",IF(OR($R511=TRUE(),$R511="TRUE"),1,0))</f>
        <v/>
      </c>
      <c r="AK511" s="18" t="str">
        <f aca="false">IF($AH511=1,IFERROR(VALUE(MID($D511,2,20)),1000000000)+ROW()/10000000,"")</f>
        <v/>
      </c>
    </row>
    <row r="512" customFormat="false" ht="15" hidden="false" customHeight="false" outlineLevel="0" collapsed="false">
      <c r="F512" s="15"/>
      <c r="N512" s="16" t="str">
        <f aca="false">IF($D512="","",M512*Y512/100)</f>
        <v/>
      </c>
      <c r="V512" s="16" t="str">
        <f aca="false">IF($D512="","",Y512*AB512/100)</f>
        <v/>
      </c>
      <c r="W512" s="16" t="str">
        <f aca="false">IF($D512="","",Y512-V512)</f>
        <v/>
      </c>
      <c r="X512" s="16" t="str">
        <f aca="false">IF($D512="","",W512-N512)</f>
        <v/>
      </c>
      <c r="AB512" s="17" t="str">
        <f aca="false">IF($D512="","",IF(OR($R512=TRUE(),$R512="TRUE"),Settings!$C$6,Settings!$C$7)*100)</f>
        <v/>
      </c>
      <c r="AH512" s="18" t="str">
        <f aca="false">IF($D512="","",IF(COUNTIF($D$2:$D512,$D512)=1,1,0))</f>
        <v/>
      </c>
      <c r="AI512" s="18" t="str">
        <f aca="false">IF($AH512=1,SUMPRODUCT(--($AK$2:$AK$4001&lt;$AK512))+1,"")</f>
        <v/>
      </c>
      <c r="AJ512" s="18" t="str">
        <f aca="false">IF($D512="","",IF(OR($R512=TRUE(),$R512="TRUE"),1,0))</f>
        <v/>
      </c>
      <c r="AK512" s="18" t="str">
        <f aca="false">IF($AH512=1,IFERROR(VALUE(MID($D512,2,20)),1000000000)+ROW()/10000000,"")</f>
        <v/>
      </c>
    </row>
    <row r="513" customFormat="false" ht="15" hidden="false" customHeight="false" outlineLevel="0" collapsed="false">
      <c r="F513" s="15"/>
      <c r="N513" s="16" t="str">
        <f aca="false">IF($D513="","",M513*Y513/100)</f>
        <v/>
      </c>
      <c r="V513" s="16" t="str">
        <f aca="false">IF($D513="","",Y513*AB513/100)</f>
        <v/>
      </c>
      <c r="W513" s="16" t="str">
        <f aca="false">IF($D513="","",Y513-V513)</f>
        <v/>
      </c>
      <c r="X513" s="16" t="str">
        <f aca="false">IF($D513="","",W513-N513)</f>
        <v/>
      </c>
      <c r="AB513" s="17" t="str">
        <f aca="false">IF($D513="","",IF(OR($R513=TRUE(),$R513="TRUE"),Settings!$C$6,Settings!$C$7)*100)</f>
        <v/>
      </c>
      <c r="AH513" s="18" t="str">
        <f aca="false">IF($D513="","",IF(COUNTIF($D$2:$D513,$D513)=1,1,0))</f>
        <v/>
      </c>
      <c r="AI513" s="18" t="str">
        <f aca="false">IF($AH513=1,SUMPRODUCT(--($AK$2:$AK$4001&lt;$AK513))+1,"")</f>
        <v/>
      </c>
      <c r="AJ513" s="18" t="str">
        <f aca="false">IF($D513="","",IF(OR($R513=TRUE(),$R513="TRUE"),1,0))</f>
        <v/>
      </c>
      <c r="AK513" s="18" t="str">
        <f aca="false">IF($AH513=1,IFERROR(VALUE(MID($D513,2,20)),1000000000)+ROW()/10000000,"")</f>
        <v/>
      </c>
    </row>
    <row r="514" customFormat="false" ht="15" hidden="false" customHeight="false" outlineLevel="0" collapsed="false">
      <c r="F514" s="15"/>
      <c r="N514" s="16" t="str">
        <f aca="false">IF($D514="","",M514*Y514/100)</f>
        <v/>
      </c>
      <c r="V514" s="16" t="str">
        <f aca="false">IF($D514="","",Y514*AB514/100)</f>
        <v/>
      </c>
      <c r="W514" s="16" t="str">
        <f aca="false">IF($D514="","",Y514-V514)</f>
        <v/>
      </c>
      <c r="X514" s="16" t="str">
        <f aca="false">IF($D514="","",W514-N514)</f>
        <v/>
      </c>
      <c r="AB514" s="17" t="str">
        <f aca="false">IF($D514="","",IF(OR($R514=TRUE(),$R514="TRUE"),Settings!$C$6,Settings!$C$7)*100)</f>
        <v/>
      </c>
      <c r="AH514" s="18" t="str">
        <f aca="false">IF($D514="","",IF(COUNTIF($D$2:$D514,$D514)=1,1,0))</f>
        <v/>
      </c>
      <c r="AI514" s="18" t="str">
        <f aca="false">IF($AH514=1,SUMPRODUCT(--($AK$2:$AK$4001&lt;$AK514))+1,"")</f>
        <v/>
      </c>
      <c r="AJ514" s="18" t="str">
        <f aca="false">IF($D514="","",IF(OR($R514=TRUE(),$R514="TRUE"),1,0))</f>
        <v/>
      </c>
      <c r="AK514" s="18" t="str">
        <f aca="false">IF($AH514=1,IFERROR(VALUE(MID($D514,2,20)),1000000000)+ROW()/10000000,"")</f>
        <v/>
      </c>
    </row>
    <row r="515" customFormat="false" ht="15" hidden="false" customHeight="false" outlineLevel="0" collapsed="false">
      <c r="F515" s="15"/>
      <c r="N515" s="16" t="str">
        <f aca="false">IF($D515="","",M515*Y515/100)</f>
        <v/>
      </c>
      <c r="V515" s="16" t="str">
        <f aca="false">IF($D515="","",Y515*AB515/100)</f>
        <v/>
      </c>
      <c r="W515" s="16" t="str">
        <f aca="false">IF($D515="","",Y515-V515)</f>
        <v/>
      </c>
      <c r="X515" s="16" t="str">
        <f aca="false">IF($D515="","",W515-N515)</f>
        <v/>
      </c>
      <c r="AB515" s="17" t="str">
        <f aca="false">IF($D515="","",IF(OR($R515=TRUE(),$R515="TRUE"),Settings!$C$6,Settings!$C$7)*100)</f>
        <v/>
      </c>
      <c r="AH515" s="18" t="str">
        <f aca="false">IF($D515="","",IF(COUNTIF($D$2:$D515,$D515)=1,1,0))</f>
        <v/>
      </c>
      <c r="AI515" s="18" t="str">
        <f aca="false">IF($AH515=1,SUMPRODUCT(--($AK$2:$AK$4001&lt;$AK515))+1,"")</f>
        <v/>
      </c>
      <c r="AJ515" s="18" t="str">
        <f aca="false">IF($D515="","",IF(OR($R515=TRUE(),$R515="TRUE"),1,0))</f>
        <v/>
      </c>
      <c r="AK515" s="18" t="str">
        <f aca="false">IF($AH515=1,IFERROR(VALUE(MID($D515,2,20)),1000000000)+ROW()/10000000,"")</f>
        <v/>
      </c>
    </row>
    <row r="516" customFormat="false" ht="15" hidden="false" customHeight="false" outlineLevel="0" collapsed="false">
      <c r="F516" s="15"/>
      <c r="N516" s="16" t="str">
        <f aca="false">IF($D516="","",M516*Y516/100)</f>
        <v/>
      </c>
      <c r="V516" s="16" t="str">
        <f aca="false">IF($D516="","",Y516*AB516/100)</f>
        <v/>
      </c>
      <c r="W516" s="16" t="str">
        <f aca="false">IF($D516="","",Y516-V516)</f>
        <v/>
      </c>
      <c r="X516" s="16" t="str">
        <f aca="false">IF($D516="","",W516-N516)</f>
        <v/>
      </c>
      <c r="AB516" s="17" t="str">
        <f aca="false">IF($D516="","",IF(OR($R516=TRUE(),$R516="TRUE"),Settings!$C$6,Settings!$C$7)*100)</f>
        <v/>
      </c>
      <c r="AH516" s="18" t="str">
        <f aca="false">IF($D516="","",IF(COUNTIF($D$2:$D516,$D516)=1,1,0))</f>
        <v/>
      </c>
      <c r="AI516" s="18" t="str">
        <f aca="false">IF($AH516=1,SUMPRODUCT(--($AK$2:$AK$4001&lt;$AK516))+1,"")</f>
        <v/>
      </c>
      <c r="AJ516" s="18" t="str">
        <f aca="false">IF($D516="","",IF(OR($R516=TRUE(),$R516="TRUE"),1,0))</f>
        <v/>
      </c>
      <c r="AK516" s="18" t="str">
        <f aca="false">IF($AH516=1,IFERROR(VALUE(MID($D516,2,20)),1000000000)+ROW()/10000000,"")</f>
        <v/>
      </c>
    </row>
    <row r="517" customFormat="false" ht="15" hidden="false" customHeight="false" outlineLevel="0" collapsed="false">
      <c r="F517" s="15"/>
      <c r="N517" s="16" t="str">
        <f aca="false">IF($D517="","",M517*Y517/100)</f>
        <v/>
      </c>
      <c r="V517" s="16" t="str">
        <f aca="false">IF($D517="","",Y517*AB517/100)</f>
        <v/>
      </c>
      <c r="W517" s="16" t="str">
        <f aca="false">IF($D517="","",Y517-V517)</f>
        <v/>
      </c>
      <c r="X517" s="16" t="str">
        <f aca="false">IF($D517="","",W517-N517)</f>
        <v/>
      </c>
      <c r="AB517" s="17" t="str">
        <f aca="false">IF($D517="","",IF(OR($R517=TRUE(),$R517="TRUE"),Settings!$C$6,Settings!$C$7)*100)</f>
        <v/>
      </c>
      <c r="AH517" s="18" t="str">
        <f aca="false">IF($D517="","",IF(COUNTIF($D$2:$D517,$D517)=1,1,0))</f>
        <v/>
      </c>
      <c r="AI517" s="18" t="str">
        <f aca="false">IF($AH517=1,SUMPRODUCT(--($AK$2:$AK$4001&lt;$AK517))+1,"")</f>
        <v/>
      </c>
      <c r="AJ517" s="18" t="str">
        <f aca="false">IF($D517="","",IF(OR($R517=TRUE(),$R517="TRUE"),1,0))</f>
        <v/>
      </c>
      <c r="AK517" s="18" t="str">
        <f aca="false">IF($AH517=1,IFERROR(VALUE(MID($D517,2,20)),1000000000)+ROW()/10000000,"")</f>
        <v/>
      </c>
    </row>
    <row r="518" customFormat="false" ht="15" hidden="false" customHeight="false" outlineLevel="0" collapsed="false">
      <c r="F518" s="15"/>
      <c r="N518" s="16" t="str">
        <f aca="false">IF($D518="","",M518*Y518/100)</f>
        <v/>
      </c>
      <c r="V518" s="16" t="str">
        <f aca="false">IF($D518="","",Y518*AB518/100)</f>
        <v/>
      </c>
      <c r="W518" s="16" t="str">
        <f aca="false">IF($D518="","",Y518-V518)</f>
        <v/>
      </c>
      <c r="X518" s="16" t="str">
        <f aca="false">IF($D518="","",W518-N518)</f>
        <v/>
      </c>
      <c r="AB518" s="17" t="str">
        <f aca="false">IF($D518="","",IF(OR($R518=TRUE(),$R518="TRUE"),Settings!$C$6,Settings!$C$7)*100)</f>
        <v/>
      </c>
      <c r="AH518" s="18" t="str">
        <f aca="false">IF($D518="","",IF(COUNTIF($D$2:$D518,$D518)=1,1,0))</f>
        <v/>
      </c>
      <c r="AI518" s="18" t="str">
        <f aca="false">IF($AH518=1,SUMPRODUCT(--($AK$2:$AK$4001&lt;$AK518))+1,"")</f>
        <v/>
      </c>
      <c r="AJ518" s="18" t="str">
        <f aca="false">IF($D518="","",IF(OR($R518=TRUE(),$R518="TRUE"),1,0))</f>
        <v/>
      </c>
      <c r="AK518" s="18" t="str">
        <f aca="false">IF($AH518=1,IFERROR(VALUE(MID($D518,2,20)),1000000000)+ROW()/10000000,"")</f>
        <v/>
      </c>
    </row>
    <row r="519" customFormat="false" ht="15" hidden="false" customHeight="false" outlineLevel="0" collapsed="false">
      <c r="F519" s="15"/>
      <c r="N519" s="16" t="str">
        <f aca="false">IF($D519="","",M519*Y519/100)</f>
        <v/>
      </c>
      <c r="V519" s="16" t="str">
        <f aca="false">IF($D519="","",Y519*AB519/100)</f>
        <v/>
      </c>
      <c r="W519" s="16" t="str">
        <f aca="false">IF($D519="","",Y519-V519)</f>
        <v/>
      </c>
      <c r="X519" s="16" t="str">
        <f aca="false">IF($D519="","",W519-N519)</f>
        <v/>
      </c>
      <c r="AB519" s="17" t="str">
        <f aca="false">IF($D519="","",IF(OR($R519=TRUE(),$R519="TRUE"),Settings!$C$6,Settings!$C$7)*100)</f>
        <v/>
      </c>
      <c r="AH519" s="18" t="str">
        <f aca="false">IF($D519="","",IF(COUNTIF($D$2:$D519,$D519)=1,1,0))</f>
        <v/>
      </c>
      <c r="AI519" s="18" t="str">
        <f aca="false">IF($AH519=1,SUMPRODUCT(--($AK$2:$AK$4001&lt;$AK519))+1,"")</f>
        <v/>
      </c>
      <c r="AJ519" s="18" t="str">
        <f aca="false">IF($D519="","",IF(OR($R519=TRUE(),$R519="TRUE"),1,0))</f>
        <v/>
      </c>
      <c r="AK519" s="18" t="str">
        <f aca="false">IF($AH519=1,IFERROR(VALUE(MID($D519,2,20)),1000000000)+ROW()/10000000,"")</f>
        <v/>
      </c>
    </row>
    <row r="520" customFormat="false" ht="15" hidden="false" customHeight="false" outlineLevel="0" collapsed="false">
      <c r="F520" s="15"/>
      <c r="N520" s="16" t="str">
        <f aca="false">IF($D520="","",M520*Y520/100)</f>
        <v/>
      </c>
      <c r="V520" s="16" t="str">
        <f aca="false">IF($D520="","",Y520*AB520/100)</f>
        <v/>
      </c>
      <c r="W520" s="16" t="str">
        <f aca="false">IF($D520="","",Y520-V520)</f>
        <v/>
      </c>
      <c r="X520" s="16" t="str">
        <f aca="false">IF($D520="","",W520-N520)</f>
        <v/>
      </c>
      <c r="AB520" s="17" t="str">
        <f aca="false">IF($D520="","",IF(OR($R520=TRUE(),$R520="TRUE"),Settings!$C$6,Settings!$C$7)*100)</f>
        <v/>
      </c>
      <c r="AH520" s="18" t="str">
        <f aca="false">IF($D520="","",IF(COUNTIF($D$2:$D520,$D520)=1,1,0))</f>
        <v/>
      </c>
      <c r="AI520" s="18" t="str">
        <f aca="false">IF($AH520=1,SUMPRODUCT(--($AK$2:$AK$4001&lt;$AK520))+1,"")</f>
        <v/>
      </c>
      <c r="AJ520" s="18" t="str">
        <f aca="false">IF($D520="","",IF(OR($R520=TRUE(),$R520="TRUE"),1,0))</f>
        <v/>
      </c>
      <c r="AK520" s="18" t="str">
        <f aca="false">IF($AH520=1,IFERROR(VALUE(MID($D520,2,20)),1000000000)+ROW()/10000000,"")</f>
        <v/>
      </c>
    </row>
    <row r="521" customFormat="false" ht="15" hidden="false" customHeight="false" outlineLevel="0" collapsed="false">
      <c r="F521" s="15"/>
      <c r="N521" s="16" t="str">
        <f aca="false">IF($D521="","",M521*Y521/100)</f>
        <v/>
      </c>
      <c r="V521" s="16" t="str">
        <f aca="false">IF($D521="","",Y521*AB521/100)</f>
        <v/>
      </c>
      <c r="W521" s="16" t="str">
        <f aca="false">IF($D521="","",Y521-V521)</f>
        <v/>
      </c>
      <c r="X521" s="16" t="str">
        <f aca="false">IF($D521="","",W521-N521)</f>
        <v/>
      </c>
      <c r="AB521" s="17" t="str">
        <f aca="false">IF($D521="","",IF(OR($R521=TRUE(),$R521="TRUE"),Settings!$C$6,Settings!$C$7)*100)</f>
        <v/>
      </c>
      <c r="AH521" s="18" t="str">
        <f aca="false">IF($D521="","",IF(COUNTIF($D$2:$D521,$D521)=1,1,0))</f>
        <v/>
      </c>
      <c r="AI521" s="18" t="str">
        <f aca="false">IF($AH521=1,SUMPRODUCT(--($AK$2:$AK$4001&lt;$AK521))+1,"")</f>
        <v/>
      </c>
      <c r="AJ521" s="18" t="str">
        <f aca="false">IF($D521="","",IF(OR($R521=TRUE(),$R521="TRUE"),1,0))</f>
        <v/>
      </c>
      <c r="AK521" s="18" t="str">
        <f aca="false">IF($AH521=1,IFERROR(VALUE(MID($D521,2,20)),1000000000)+ROW()/10000000,"")</f>
        <v/>
      </c>
    </row>
    <row r="522" customFormat="false" ht="15" hidden="false" customHeight="false" outlineLevel="0" collapsed="false">
      <c r="F522" s="15"/>
      <c r="N522" s="16" t="str">
        <f aca="false">IF($D522="","",M522*Y522/100)</f>
        <v/>
      </c>
      <c r="V522" s="16" t="str">
        <f aca="false">IF($D522="","",Y522*AB522/100)</f>
        <v/>
      </c>
      <c r="W522" s="16" t="str">
        <f aca="false">IF($D522="","",Y522-V522)</f>
        <v/>
      </c>
      <c r="X522" s="16" t="str">
        <f aca="false">IF($D522="","",W522-N522)</f>
        <v/>
      </c>
      <c r="AB522" s="17" t="str">
        <f aca="false">IF($D522="","",IF(OR($R522=TRUE(),$R522="TRUE"),Settings!$C$6,Settings!$C$7)*100)</f>
        <v/>
      </c>
      <c r="AH522" s="18" t="str">
        <f aca="false">IF($D522="","",IF(COUNTIF($D$2:$D522,$D522)=1,1,0))</f>
        <v/>
      </c>
      <c r="AI522" s="18" t="str">
        <f aca="false">IF($AH522=1,SUMPRODUCT(--($AK$2:$AK$4001&lt;$AK522))+1,"")</f>
        <v/>
      </c>
      <c r="AJ522" s="18" t="str">
        <f aca="false">IF($D522="","",IF(OR($R522=TRUE(),$R522="TRUE"),1,0))</f>
        <v/>
      </c>
      <c r="AK522" s="18" t="str">
        <f aca="false">IF($AH522=1,IFERROR(VALUE(MID($D522,2,20)),1000000000)+ROW()/10000000,"")</f>
        <v/>
      </c>
    </row>
    <row r="523" customFormat="false" ht="15" hidden="false" customHeight="false" outlineLevel="0" collapsed="false">
      <c r="F523" s="15"/>
      <c r="N523" s="16" t="str">
        <f aca="false">IF($D523="","",M523*Y523/100)</f>
        <v/>
      </c>
      <c r="V523" s="16" t="str">
        <f aca="false">IF($D523="","",Y523*AB523/100)</f>
        <v/>
      </c>
      <c r="W523" s="16" t="str">
        <f aca="false">IF($D523="","",Y523-V523)</f>
        <v/>
      </c>
      <c r="X523" s="16" t="str">
        <f aca="false">IF($D523="","",W523-N523)</f>
        <v/>
      </c>
      <c r="AB523" s="17" t="str">
        <f aca="false">IF($D523="","",IF(OR($R523=TRUE(),$R523="TRUE"),Settings!$C$6,Settings!$C$7)*100)</f>
        <v/>
      </c>
      <c r="AH523" s="18" t="str">
        <f aca="false">IF($D523="","",IF(COUNTIF($D$2:$D523,$D523)=1,1,0))</f>
        <v/>
      </c>
      <c r="AI523" s="18" t="str">
        <f aca="false">IF($AH523=1,SUMPRODUCT(--($AK$2:$AK$4001&lt;$AK523))+1,"")</f>
        <v/>
      </c>
      <c r="AJ523" s="18" t="str">
        <f aca="false">IF($D523="","",IF(OR($R523=TRUE(),$R523="TRUE"),1,0))</f>
        <v/>
      </c>
      <c r="AK523" s="18" t="str">
        <f aca="false">IF($AH523=1,IFERROR(VALUE(MID($D523,2,20)),1000000000)+ROW()/10000000,"")</f>
        <v/>
      </c>
    </row>
    <row r="524" customFormat="false" ht="15" hidden="false" customHeight="false" outlineLevel="0" collapsed="false">
      <c r="F524" s="15"/>
      <c r="N524" s="16" t="str">
        <f aca="false">IF($D524="","",M524*Y524/100)</f>
        <v/>
      </c>
      <c r="V524" s="16" t="str">
        <f aca="false">IF($D524="","",Y524*AB524/100)</f>
        <v/>
      </c>
      <c r="W524" s="16" t="str">
        <f aca="false">IF($D524="","",Y524-V524)</f>
        <v/>
      </c>
      <c r="X524" s="16" t="str">
        <f aca="false">IF($D524="","",W524-N524)</f>
        <v/>
      </c>
      <c r="AB524" s="17" t="str">
        <f aca="false">IF($D524="","",IF(OR($R524=TRUE(),$R524="TRUE"),Settings!$C$6,Settings!$C$7)*100)</f>
        <v/>
      </c>
      <c r="AH524" s="18" t="str">
        <f aca="false">IF($D524="","",IF(COUNTIF($D$2:$D524,$D524)=1,1,0))</f>
        <v/>
      </c>
      <c r="AI524" s="18" t="str">
        <f aca="false">IF($AH524=1,SUMPRODUCT(--($AK$2:$AK$4001&lt;$AK524))+1,"")</f>
        <v/>
      </c>
      <c r="AJ524" s="18" t="str">
        <f aca="false">IF($D524="","",IF(OR($R524=TRUE(),$R524="TRUE"),1,0))</f>
        <v/>
      </c>
      <c r="AK524" s="18" t="str">
        <f aca="false">IF($AH524=1,IFERROR(VALUE(MID($D524,2,20)),1000000000)+ROW()/10000000,"")</f>
        <v/>
      </c>
    </row>
    <row r="525" customFormat="false" ht="15" hidden="false" customHeight="false" outlineLevel="0" collapsed="false">
      <c r="F525" s="15"/>
      <c r="N525" s="16" t="str">
        <f aca="false">IF($D525="","",M525*Y525/100)</f>
        <v/>
      </c>
      <c r="V525" s="16" t="str">
        <f aca="false">IF($D525="","",Y525*AB525/100)</f>
        <v/>
      </c>
      <c r="W525" s="16" t="str">
        <f aca="false">IF($D525="","",Y525-V525)</f>
        <v/>
      </c>
      <c r="X525" s="16" t="str">
        <f aca="false">IF($D525="","",W525-N525)</f>
        <v/>
      </c>
      <c r="AB525" s="17" t="str">
        <f aca="false">IF($D525="","",IF(OR($R525=TRUE(),$R525="TRUE"),Settings!$C$6,Settings!$C$7)*100)</f>
        <v/>
      </c>
      <c r="AH525" s="18" t="str">
        <f aca="false">IF($D525="","",IF(COUNTIF($D$2:$D525,$D525)=1,1,0))</f>
        <v/>
      </c>
      <c r="AI525" s="18" t="str">
        <f aca="false">IF($AH525=1,SUMPRODUCT(--($AK$2:$AK$4001&lt;$AK525))+1,"")</f>
        <v/>
      </c>
      <c r="AJ525" s="18" t="str">
        <f aca="false">IF($D525="","",IF(OR($R525=TRUE(),$R525="TRUE"),1,0))</f>
        <v/>
      </c>
      <c r="AK525" s="18" t="str">
        <f aca="false">IF($AH525=1,IFERROR(VALUE(MID($D525,2,20)),1000000000)+ROW()/10000000,"")</f>
        <v/>
      </c>
    </row>
    <row r="526" customFormat="false" ht="15" hidden="false" customHeight="false" outlineLevel="0" collapsed="false">
      <c r="F526" s="15"/>
      <c r="N526" s="16" t="str">
        <f aca="false">IF($D526="","",M526*Y526/100)</f>
        <v/>
      </c>
      <c r="V526" s="16" t="str">
        <f aca="false">IF($D526="","",Y526*AB526/100)</f>
        <v/>
      </c>
      <c r="W526" s="16" t="str">
        <f aca="false">IF($D526="","",Y526-V526)</f>
        <v/>
      </c>
      <c r="X526" s="16" t="str">
        <f aca="false">IF($D526="","",W526-N526)</f>
        <v/>
      </c>
      <c r="AB526" s="17" t="str">
        <f aca="false">IF($D526="","",IF(OR($R526=TRUE(),$R526="TRUE"),Settings!$C$6,Settings!$C$7)*100)</f>
        <v/>
      </c>
      <c r="AH526" s="18" t="str">
        <f aca="false">IF($D526="","",IF(COUNTIF($D$2:$D526,$D526)=1,1,0))</f>
        <v/>
      </c>
      <c r="AI526" s="18" t="str">
        <f aca="false">IF($AH526=1,SUMPRODUCT(--($AK$2:$AK$4001&lt;$AK526))+1,"")</f>
        <v/>
      </c>
      <c r="AJ526" s="18" t="str">
        <f aca="false">IF($D526="","",IF(OR($R526=TRUE(),$R526="TRUE"),1,0))</f>
        <v/>
      </c>
      <c r="AK526" s="18" t="str">
        <f aca="false">IF($AH526=1,IFERROR(VALUE(MID($D526,2,20)),1000000000)+ROW()/10000000,"")</f>
        <v/>
      </c>
    </row>
    <row r="527" customFormat="false" ht="15" hidden="false" customHeight="false" outlineLevel="0" collapsed="false">
      <c r="F527" s="15"/>
      <c r="N527" s="16" t="str">
        <f aca="false">IF($D527="","",M527*Y527/100)</f>
        <v/>
      </c>
      <c r="V527" s="16" t="str">
        <f aca="false">IF($D527="","",Y527*AB527/100)</f>
        <v/>
      </c>
      <c r="W527" s="16" t="str">
        <f aca="false">IF($D527="","",Y527-V527)</f>
        <v/>
      </c>
      <c r="X527" s="16" t="str">
        <f aca="false">IF($D527="","",W527-N527)</f>
        <v/>
      </c>
      <c r="AB527" s="17" t="str">
        <f aca="false">IF($D527="","",IF(OR($R527=TRUE(),$R527="TRUE"),Settings!$C$6,Settings!$C$7)*100)</f>
        <v/>
      </c>
      <c r="AH527" s="18" t="str">
        <f aca="false">IF($D527="","",IF(COUNTIF($D$2:$D527,$D527)=1,1,0))</f>
        <v/>
      </c>
      <c r="AI527" s="18" t="str">
        <f aca="false">IF($AH527=1,SUMPRODUCT(--($AK$2:$AK$4001&lt;$AK527))+1,"")</f>
        <v/>
      </c>
      <c r="AJ527" s="18" t="str">
        <f aca="false">IF($D527="","",IF(OR($R527=TRUE(),$R527="TRUE"),1,0))</f>
        <v/>
      </c>
      <c r="AK527" s="18" t="str">
        <f aca="false">IF($AH527=1,IFERROR(VALUE(MID($D527,2,20)),1000000000)+ROW()/10000000,"")</f>
        <v/>
      </c>
    </row>
    <row r="528" customFormat="false" ht="15" hidden="false" customHeight="false" outlineLevel="0" collapsed="false">
      <c r="F528" s="15"/>
      <c r="N528" s="16" t="str">
        <f aca="false">IF($D528="","",M528*Y528/100)</f>
        <v/>
      </c>
      <c r="V528" s="16" t="str">
        <f aca="false">IF($D528="","",Y528*AB528/100)</f>
        <v/>
      </c>
      <c r="W528" s="16" t="str">
        <f aca="false">IF($D528="","",Y528-V528)</f>
        <v/>
      </c>
      <c r="X528" s="16" t="str">
        <f aca="false">IF($D528="","",W528-N528)</f>
        <v/>
      </c>
      <c r="AB528" s="17" t="str">
        <f aca="false">IF($D528="","",IF(OR($R528=TRUE(),$R528="TRUE"),Settings!$C$6,Settings!$C$7)*100)</f>
        <v/>
      </c>
      <c r="AH528" s="18" t="str">
        <f aca="false">IF($D528="","",IF(COUNTIF($D$2:$D528,$D528)=1,1,0))</f>
        <v/>
      </c>
      <c r="AI528" s="18" t="str">
        <f aca="false">IF($AH528=1,SUMPRODUCT(--($AK$2:$AK$4001&lt;$AK528))+1,"")</f>
        <v/>
      </c>
      <c r="AJ528" s="18" t="str">
        <f aca="false">IF($D528="","",IF(OR($R528=TRUE(),$R528="TRUE"),1,0))</f>
        <v/>
      </c>
      <c r="AK528" s="18" t="str">
        <f aca="false">IF($AH528=1,IFERROR(VALUE(MID($D528,2,20)),1000000000)+ROW()/10000000,"")</f>
        <v/>
      </c>
    </row>
    <row r="529" customFormat="false" ht="15" hidden="false" customHeight="false" outlineLevel="0" collapsed="false">
      <c r="F529" s="15"/>
      <c r="N529" s="16" t="str">
        <f aca="false">IF($D529="","",M529*Y529/100)</f>
        <v/>
      </c>
      <c r="V529" s="16" t="str">
        <f aca="false">IF($D529="","",Y529*AB529/100)</f>
        <v/>
      </c>
      <c r="W529" s="16" t="str">
        <f aca="false">IF($D529="","",Y529-V529)</f>
        <v/>
      </c>
      <c r="X529" s="16" t="str">
        <f aca="false">IF($D529="","",W529-N529)</f>
        <v/>
      </c>
      <c r="AB529" s="17" t="str">
        <f aca="false">IF($D529="","",IF(OR($R529=TRUE(),$R529="TRUE"),Settings!$C$6,Settings!$C$7)*100)</f>
        <v/>
      </c>
      <c r="AH529" s="18" t="str">
        <f aca="false">IF($D529="","",IF(COUNTIF($D$2:$D529,$D529)=1,1,0))</f>
        <v/>
      </c>
      <c r="AI529" s="18" t="str">
        <f aca="false">IF($AH529=1,SUMPRODUCT(--($AK$2:$AK$4001&lt;$AK529))+1,"")</f>
        <v/>
      </c>
      <c r="AJ529" s="18" t="str">
        <f aca="false">IF($D529="","",IF(OR($R529=TRUE(),$R529="TRUE"),1,0))</f>
        <v/>
      </c>
      <c r="AK529" s="18" t="str">
        <f aca="false">IF($AH529=1,IFERROR(VALUE(MID($D529,2,20)),1000000000)+ROW()/10000000,"")</f>
        <v/>
      </c>
    </row>
    <row r="530" customFormat="false" ht="15" hidden="false" customHeight="false" outlineLevel="0" collapsed="false">
      <c r="F530" s="15"/>
      <c r="N530" s="16" t="str">
        <f aca="false">IF($D530="","",M530*Y530/100)</f>
        <v/>
      </c>
      <c r="V530" s="16" t="str">
        <f aca="false">IF($D530="","",Y530*AB530/100)</f>
        <v/>
      </c>
      <c r="W530" s="16" t="str">
        <f aca="false">IF($D530="","",Y530-V530)</f>
        <v/>
      </c>
      <c r="X530" s="16" t="str">
        <f aca="false">IF($D530="","",W530-N530)</f>
        <v/>
      </c>
      <c r="AB530" s="17" t="str">
        <f aca="false">IF($D530="","",IF(OR($R530=TRUE(),$R530="TRUE"),Settings!$C$6,Settings!$C$7)*100)</f>
        <v/>
      </c>
      <c r="AH530" s="18" t="str">
        <f aca="false">IF($D530="","",IF(COUNTIF($D$2:$D530,$D530)=1,1,0))</f>
        <v/>
      </c>
      <c r="AI530" s="18" t="str">
        <f aca="false">IF($AH530=1,SUMPRODUCT(--($AK$2:$AK$4001&lt;$AK530))+1,"")</f>
        <v/>
      </c>
      <c r="AJ530" s="18" t="str">
        <f aca="false">IF($D530="","",IF(OR($R530=TRUE(),$R530="TRUE"),1,0))</f>
        <v/>
      </c>
      <c r="AK530" s="18" t="str">
        <f aca="false">IF($AH530=1,IFERROR(VALUE(MID($D530,2,20)),1000000000)+ROW()/10000000,"")</f>
        <v/>
      </c>
    </row>
    <row r="531" customFormat="false" ht="15" hidden="false" customHeight="false" outlineLevel="0" collapsed="false">
      <c r="F531" s="15"/>
      <c r="N531" s="16" t="str">
        <f aca="false">IF($D531="","",M531*Y531/100)</f>
        <v/>
      </c>
      <c r="V531" s="16" t="str">
        <f aca="false">IF($D531="","",Y531*AB531/100)</f>
        <v/>
      </c>
      <c r="W531" s="16" t="str">
        <f aca="false">IF($D531="","",Y531-V531)</f>
        <v/>
      </c>
      <c r="X531" s="16" t="str">
        <f aca="false">IF($D531="","",W531-N531)</f>
        <v/>
      </c>
      <c r="AB531" s="17" t="str">
        <f aca="false">IF($D531="","",IF(OR($R531=TRUE(),$R531="TRUE"),Settings!$C$6,Settings!$C$7)*100)</f>
        <v/>
      </c>
      <c r="AH531" s="18" t="str">
        <f aca="false">IF($D531="","",IF(COUNTIF($D$2:$D531,$D531)=1,1,0))</f>
        <v/>
      </c>
      <c r="AI531" s="18" t="str">
        <f aca="false">IF($AH531=1,SUMPRODUCT(--($AK$2:$AK$4001&lt;$AK531))+1,"")</f>
        <v/>
      </c>
      <c r="AJ531" s="18" t="str">
        <f aca="false">IF($D531="","",IF(OR($R531=TRUE(),$R531="TRUE"),1,0))</f>
        <v/>
      </c>
      <c r="AK531" s="18" t="str">
        <f aca="false">IF($AH531=1,IFERROR(VALUE(MID($D531,2,20)),1000000000)+ROW()/10000000,"")</f>
        <v/>
      </c>
    </row>
    <row r="532" customFormat="false" ht="15" hidden="false" customHeight="false" outlineLevel="0" collapsed="false">
      <c r="F532" s="15"/>
      <c r="N532" s="16" t="str">
        <f aca="false">IF($D532="","",M532*Y532/100)</f>
        <v/>
      </c>
      <c r="V532" s="16" t="str">
        <f aca="false">IF($D532="","",Y532*AB532/100)</f>
        <v/>
      </c>
      <c r="W532" s="16" t="str">
        <f aca="false">IF($D532="","",Y532-V532)</f>
        <v/>
      </c>
      <c r="X532" s="16" t="str">
        <f aca="false">IF($D532="","",W532-N532)</f>
        <v/>
      </c>
      <c r="AB532" s="17" t="str">
        <f aca="false">IF($D532="","",IF(OR($R532=TRUE(),$R532="TRUE"),Settings!$C$6,Settings!$C$7)*100)</f>
        <v/>
      </c>
      <c r="AH532" s="18" t="str">
        <f aca="false">IF($D532="","",IF(COUNTIF($D$2:$D532,$D532)=1,1,0))</f>
        <v/>
      </c>
      <c r="AI532" s="18" t="str">
        <f aca="false">IF($AH532=1,SUMPRODUCT(--($AK$2:$AK$4001&lt;$AK532))+1,"")</f>
        <v/>
      </c>
      <c r="AJ532" s="18" t="str">
        <f aca="false">IF($D532="","",IF(OR($R532=TRUE(),$R532="TRUE"),1,0))</f>
        <v/>
      </c>
      <c r="AK532" s="18" t="str">
        <f aca="false">IF($AH532=1,IFERROR(VALUE(MID($D532,2,20)),1000000000)+ROW()/10000000,"")</f>
        <v/>
      </c>
    </row>
    <row r="533" customFormat="false" ht="15" hidden="false" customHeight="false" outlineLevel="0" collapsed="false">
      <c r="F533" s="15"/>
      <c r="N533" s="16" t="str">
        <f aca="false">IF($D533="","",M533*Y533/100)</f>
        <v/>
      </c>
      <c r="V533" s="16" t="str">
        <f aca="false">IF($D533="","",Y533*AB533/100)</f>
        <v/>
      </c>
      <c r="W533" s="16" t="str">
        <f aca="false">IF($D533="","",Y533-V533)</f>
        <v/>
      </c>
      <c r="X533" s="16" t="str">
        <f aca="false">IF($D533="","",W533-N533)</f>
        <v/>
      </c>
      <c r="AB533" s="17" t="str">
        <f aca="false">IF($D533="","",IF(OR($R533=TRUE(),$R533="TRUE"),Settings!$C$6,Settings!$C$7)*100)</f>
        <v/>
      </c>
      <c r="AH533" s="18" t="str">
        <f aca="false">IF($D533="","",IF(COUNTIF($D$2:$D533,$D533)=1,1,0))</f>
        <v/>
      </c>
      <c r="AI533" s="18" t="str">
        <f aca="false">IF($AH533=1,SUMPRODUCT(--($AK$2:$AK$4001&lt;$AK533))+1,"")</f>
        <v/>
      </c>
      <c r="AJ533" s="18" t="str">
        <f aca="false">IF($D533="","",IF(OR($R533=TRUE(),$R533="TRUE"),1,0))</f>
        <v/>
      </c>
      <c r="AK533" s="18" t="str">
        <f aca="false">IF($AH533=1,IFERROR(VALUE(MID($D533,2,20)),1000000000)+ROW()/10000000,"")</f>
        <v/>
      </c>
    </row>
    <row r="534" customFormat="false" ht="15" hidden="false" customHeight="false" outlineLevel="0" collapsed="false">
      <c r="F534" s="15"/>
      <c r="N534" s="16" t="str">
        <f aca="false">IF($D534="","",M534*Y534/100)</f>
        <v/>
      </c>
      <c r="V534" s="16" t="str">
        <f aca="false">IF($D534="","",Y534*AB534/100)</f>
        <v/>
      </c>
      <c r="W534" s="16" t="str">
        <f aca="false">IF($D534="","",Y534-V534)</f>
        <v/>
      </c>
      <c r="X534" s="16" t="str">
        <f aca="false">IF($D534="","",W534-N534)</f>
        <v/>
      </c>
      <c r="AB534" s="17" t="str">
        <f aca="false">IF($D534="","",IF(OR($R534=TRUE(),$R534="TRUE"),Settings!$C$6,Settings!$C$7)*100)</f>
        <v/>
      </c>
      <c r="AH534" s="18" t="str">
        <f aca="false">IF($D534="","",IF(COUNTIF($D$2:$D534,$D534)=1,1,0))</f>
        <v/>
      </c>
      <c r="AI534" s="18" t="str">
        <f aca="false">IF($AH534=1,SUMPRODUCT(--($AK$2:$AK$4001&lt;$AK534))+1,"")</f>
        <v/>
      </c>
      <c r="AJ534" s="18" t="str">
        <f aca="false">IF($D534="","",IF(OR($R534=TRUE(),$R534="TRUE"),1,0))</f>
        <v/>
      </c>
      <c r="AK534" s="18" t="str">
        <f aca="false">IF($AH534=1,IFERROR(VALUE(MID($D534,2,20)),1000000000)+ROW()/10000000,"")</f>
        <v/>
      </c>
    </row>
    <row r="535" customFormat="false" ht="15" hidden="false" customHeight="false" outlineLevel="0" collapsed="false">
      <c r="F535" s="15"/>
      <c r="N535" s="16" t="str">
        <f aca="false">IF($D535="","",M535*Y535/100)</f>
        <v/>
      </c>
      <c r="V535" s="16" t="str">
        <f aca="false">IF($D535="","",Y535*AB535/100)</f>
        <v/>
      </c>
      <c r="W535" s="16" t="str">
        <f aca="false">IF($D535="","",Y535-V535)</f>
        <v/>
      </c>
      <c r="X535" s="16" t="str">
        <f aca="false">IF($D535="","",W535-N535)</f>
        <v/>
      </c>
      <c r="AB535" s="17" t="str">
        <f aca="false">IF($D535="","",IF(OR($R535=TRUE(),$R535="TRUE"),Settings!$C$6,Settings!$C$7)*100)</f>
        <v/>
      </c>
      <c r="AH535" s="18" t="str">
        <f aca="false">IF($D535="","",IF(COUNTIF($D$2:$D535,$D535)=1,1,0))</f>
        <v/>
      </c>
      <c r="AI535" s="18" t="str">
        <f aca="false">IF($AH535=1,SUMPRODUCT(--($AK$2:$AK$4001&lt;$AK535))+1,"")</f>
        <v/>
      </c>
      <c r="AJ535" s="18" t="str">
        <f aca="false">IF($D535="","",IF(OR($R535=TRUE(),$R535="TRUE"),1,0))</f>
        <v/>
      </c>
      <c r="AK535" s="18" t="str">
        <f aca="false">IF($AH535=1,IFERROR(VALUE(MID($D535,2,20)),1000000000)+ROW()/10000000,"")</f>
        <v/>
      </c>
    </row>
    <row r="536" customFormat="false" ht="15" hidden="false" customHeight="false" outlineLevel="0" collapsed="false">
      <c r="F536" s="15"/>
      <c r="N536" s="16" t="str">
        <f aca="false">IF($D536="","",M536*Y536/100)</f>
        <v/>
      </c>
      <c r="V536" s="16" t="str">
        <f aca="false">IF($D536="","",Y536*AB536/100)</f>
        <v/>
      </c>
      <c r="W536" s="16" t="str">
        <f aca="false">IF($D536="","",Y536-V536)</f>
        <v/>
      </c>
      <c r="X536" s="16" t="str">
        <f aca="false">IF($D536="","",W536-N536)</f>
        <v/>
      </c>
      <c r="AB536" s="17" t="str">
        <f aca="false">IF($D536="","",IF(OR($R536=TRUE(),$R536="TRUE"),Settings!$C$6,Settings!$C$7)*100)</f>
        <v/>
      </c>
      <c r="AH536" s="18" t="str">
        <f aca="false">IF($D536="","",IF(COUNTIF($D$2:$D536,$D536)=1,1,0))</f>
        <v/>
      </c>
      <c r="AI536" s="18" t="str">
        <f aca="false">IF($AH536=1,SUMPRODUCT(--($AK$2:$AK$4001&lt;$AK536))+1,"")</f>
        <v/>
      </c>
      <c r="AJ536" s="18" t="str">
        <f aca="false">IF($D536="","",IF(OR($R536=TRUE(),$R536="TRUE"),1,0))</f>
        <v/>
      </c>
      <c r="AK536" s="18" t="str">
        <f aca="false">IF($AH536=1,IFERROR(VALUE(MID($D536,2,20)),1000000000)+ROW()/10000000,"")</f>
        <v/>
      </c>
    </row>
    <row r="537" customFormat="false" ht="15" hidden="false" customHeight="false" outlineLevel="0" collapsed="false">
      <c r="F537" s="15"/>
      <c r="N537" s="16" t="str">
        <f aca="false">IF($D537="","",M537*Y537/100)</f>
        <v/>
      </c>
      <c r="V537" s="16" t="str">
        <f aca="false">IF($D537="","",Y537*AB537/100)</f>
        <v/>
      </c>
      <c r="W537" s="16" t="str">
        <f aca="false">IF($D537="","",Y537-V537)</f>
        <v/>
      </c>
      <c r="X537" s="16" t="str">
        <f aca="false">IF($D537="","",W537-N537)</f>
        <v/>
      </c>
      <c r="AB537" s="17" t="str">
        <f aca="false">IF($D537="","",IF(OR($R537=TRUE(),$R537="TRUE"),Settings!$C$6,Settings!$C$7)*100)</f>
        <v/>
      </c>
      <c r="AH537" s="18" t="str">
        <f aca="false">IF($D537="","",IF(COUNTIF($D$2:$D537,$D537)=1,1,0))</f>
        <v/>
      </c>
      <c r="AI537" s="18" t="str">
        <f aca="false">IF($AH537=1,SUMPRODUCT(--($AK$2:$AK$4001&lt;$AK537))+1,"")</f>
        <v/>
      </c>
      <c r="AJ537" s="18" t="str">
        <f aca="false">IF($D537="","",IF(OR($R537=TRUE(),$R537="TRUE"),1,0))</f>
        <v/>
      </c>
      <c r="AK537" s="18" t="str">
        <f aca="false">IF($AH537=1,IFERROR(VALUE(MID($D537,2,20)),1000000000)+ROW()/10000000,"")</f>
        <v/>
      </c>
    </row>
    <row r="538" customFormat="false" ht="15" hidden="false" customHeight="false" outlineLevel="0" collapsed="false">
      <c r="F538" s="15"/>
      <c r="N538" s="16" t="str">
        <f aca="false">IF($D538="","",M538*Y538/100)</f>
        <v/>
      </c>
      <c r="V538" s="16" t="str">
        <f aca="false">IF($D538="","",Y538*AB538/100)</f>
        <v/>
      </c>
      <c r="W538" s="16" t="str">
        <f aca="false">IF($D538="","",Y538-V538)</f>
        <v/>
      </c>
      <c r="X538" s="16" t="str">
        <f aca="false">IF($D538="","",W538-N538)</f>
        <v/>
      </c>
      <c r="AB538" s="17" t="str">
        <f aca="false">IF($D538="","",IF(OR($R538=TRUE(),$R538="TRUE"),Settings!$C$6,Settings!$C$7)*100)</f>
        <v/>
      </c>
      <c r="AH538" s="18" t="str">
        <f aca="false">IF($D538="","",IF(COUNTIF($D$2:$D538,$D538)=1,1,0))</f>
        <v/>
      </c>
      <c r="AI538" s="18" t="str">
        <f aca="false">IF($AH538=1,SUMPRODUCT(--($AK$2:$AK$4001&lt;$AK538))+1,"")</f>
        <v/>
      </c>
      <c r="AJ538" s="18" t="str">
        <f aca="false">IF($D538="","",IF(OR($R538=TRUE(),$R538="TRUE"),1,0))</f>
        <v/>
      </c>
      <c r="AK538" s="18" t="str">
        <f aca="false">IF($AH538=1,IFERROR(VALUE(MID($D538,2,20)),1000000000)+ROW()/10000000,"")</f>
        <v/>
      </c>
    </row>
    <row r="539" customFormat="false" ht="15" hidden="false" customHeight="false" outlineLevel="0" collapsed="false">
      <c r="F539" s="15"/>
      <c r="N539" s="16" t="str">
        <f aca="false">IF($D539="","",M539*Y539/100)</f>
        <v/>
      </c>
      <c r="V539" s="16" t="str">
        <f aca="false">IF($D539="","",Y539*AB539/100)</f>
        <v/>
      </c>
      <c r="W539" s="16" t="str">
        <f aca="false">IF($D539="","",Y539-V539)</f>
        <v/>
      </c>
      <c r="X539" s="16" t="str">
        <f aca="false">IF($D539="","",W539-N539)</f>
        <v/>
      </c>
      <c r="AB539" s="17" t="str">
        <f aca="false">IF($D539="","",IF(OR($R539=TRUE(),$R539="TRUE"),Settings!$C$6,Settings!$C$7)*100)</f>
        <v/>
      </c>
      <c r="AH539" s="18" t="str">
        <f aca="false">IF($D539="","",IF(COUNTIF($D$2:$D539,$D539)=1,1,0))</f>
        <v/>
      </c>
      <c r="AI539" s="18" t="str">
        <f aca="false">IF($AH539=1,SUMPRODUCT(--($AK$2:$AK$4001&lt;$AK539))+1,"")</f>
        <v/>
      </c>
      <c r="AJ539" s="18" t="str">
        <f aca="false">IF($D539="","",IF(OR($R539=TRUE(),$R539="TRUE"),1,0))</f>
        <v/>
      </c>
      <c r="AK539" s="18" t="str">
        <f aca="false">IF($AH539=1,IFERROR(VALUE(MID($D539,2,20)),1000000000)+ROW()/10000000,"")</f>
        <v/>
      </c>
    </row>
    <row r="540" customFormat="false" ht="15" hidden="false" customHeight="false" outlineLevel="0" collapsed="false">
      <c r="F540" s="15"/>
      <c r="N540" s="16" t="str">
        <f aca="false">IF($D540="","",M540*Y540/100)</f>
        <v/>
      </c>
      <c r="V540" s="16" t="str">
        <f aca="false">IF($D540="","",Y540*AB540/100)</f>
        <v/>
      </c>
      <c r="W540" s="16" t="str">
        <f aca="false">IF($D540="","",Y540-V540)</f>
        <v/>
      </c>
      <c r="X540" s="16" t="str">
        <f aca="false">IF($D540="","",W540-N540)</f>
        <v/>
      </c>
      <c r="AB540" s="17" t="str">
        <f aca="false">IF($D540="","",IF(OR($R540=TRUE(),$R540="TRUE"),Settings!$C$6,Settings!$C$7)*100)</f>
        <v/>
      </c>
      <c r="AH540" s="18" t="str">
        <f aca="false">IF($D540="","",IF(COUNTIF($D$2:$D540,$D540)=1,1,0))</f>
        <v/>
      </c>
      <c r="AI540" s="18" t="str">
        <f aca="false">IF($AH540=1,SUMPRODUCT(--($AK$2:$AK$4001&lt;$AK540))+1,"")</f>
        <v/>
      </c>
      <c r="AJ540" s="18" t="str">
        <f aca="false">IF($D540="","",IF(OR($R540=TRUE(),$R540="TRUE"),1,0))</f>
        <v/>
      </c>
      <c r="AK540" s="18" t="str">
        <f aca="false">IF($AH540=1,IFERROR(VALUE(MID($D540,2,20)),1000000000)+ROW()/10000000,"")</f>
        <v/>
      </c>
    </row>
    <row r="541" customFormat="false" ht="15" hidden="false" customHeight="false" outlineLevel="0" collapsed="false">
      <c r="F541" s="15"/>
      <c r="N541" s="16" t="str">
        <f aca="false">IF($D541="","",M541*Y541/100)</f>
        <v/>
      </c>
      <c r="V541" s="16" t="str">
        <f aca="false">IF($D541="","",Y541*AB541/100)</f>
        <v/>
      </c>
      <c r="W541" s="16" t="str">
        <f aca="false">IF($D541="","",Y541-V541)</f>
        <v/>
      </c>
      <c r="X541" s="16" t="str">
        <f aca="false">IF($D541="","",W541-N541)</f>
        <v/>
      </c>
      <c r="AB541" s="17" t="str">
        <f aca="false">IF($D541="","",IF(OR($R541=TRUE(),$R541="TRUE"),Settings!$C$6,Settings!$C$7)*100)</f>
        <v/>
      </c>
      <c r="AH541" s="18" t="str">
        <f aca="false">IF($D541="","",IF(COUNTIF($D$2:$D541,$D541)=1,1,0))</f>
        <v/>
      </c>
      <c r="AI541" s="18" t="str">
        <f aca="false">IF($AH541=1,SUMPRODUCT(--($AK$2:$AK$4001&lt;$AK541))+1,"")</f>
        <v/>
      </c>
      <c r="AJ541" s="18" t="str">
        <f aca="false">IF($D541="","",IF(OR($R541=TRUE(),$R541="TRUE"),1,0))</f>
        <v/>
      </c>
      <c r="AK541" s="18" t="str">
        <f aca="false">IF($AH541=1,IFERROR(VALUE(MID($D541,2,20)),1000000000)+ROW()/10000000,"")</f>
        <v/>
      </c>
    </row>
    <row r="542" customFormat="false" ht="15" hidden="false" customHeight="false" outlineLevel="0" collapsed="false">
      <c r="F542" s="15"/>
      <c r="N542" s="16" t="str">
        <f aca="false">IF($D542="","",M542*Y542/100)</f>
        <v/>
      </c>
      <c r="V542" s="16" t="str">
        <f aca="false">IF($D542="","",Y542*AB542/100)</f>
        <v/>
      </c>
      <c r="W542" s="16" t="str">
        <f aca="false">IF($D542="","",Y542-V542)</f>
        <v/>
      </c>
      <c r="X542" s="16" t="str">
        <f aca="false">IF($D542="","",W542-N542)</f>
        <v/>
      </c>
      <c r="AB542" s="17" t="str">
        <f aca="false">IF($D542="","",IF(OR($R542=TRUE(),$R542="TRUE"),Settings!$C$6,Settings!$C$7)*100)</f>
        <v/>
      </c>
      <c r="AH542" s="18" t="str">
        <f aca="false">IF($D542="","",IF(COUNTIF($D$2:$D542,$D542)=1,1,0))</f>
        <v/>
      </c>
      <c r="AI542" s="18" t="str">
        <f aca="false">IF($AH542=1,SUMPRODUCT(--($AK$2:$AK$4001&lt;$AK542))+1,"")</f>
        <v/>
      </c>
      <c r="AJ542" s="18" t="str">
        <f aca="false">IF($D542="","",IF(OR($R542=TRUE(),$R542="TRUE"),1,0))</f>
        <v/>
      </c>
      <c r="AK542" s="18" t="str">
        <f aca="false">IF($AH542=1,IFERROR(VALUE(MID($D542,2,20)),1000000000)+ROW()/10000000,"")</f>
        <v/>
      </c>
    </row>
    <row r="543" customFormat="false" ht="15" hidden="false" customHeight="false" outlineLevel="0" collapsed="false">
      <c r="F543" s="15"/>
      <c r="N543" s="16" t="str">
        <f aca="false">IF($D543="","",M543*Y543/100)</f>
        <v/>
      </c>
      <c r="V543" s="16" t="str">
        <f aca="false">IF($D543="","",Y543*AB543/100)</f>
        <v/>
      </c>
      <c r="W543" s="16" t="str">
        <f aca="false">IF($D543="","",Y543-V543)</f>
        <v/>
      </c>
      <c r="X543" s="16" t="str">
        <f aca="false">IF($D543="","",W543-N543)</f>
        <v/>
      </c>
      <c r="AB543" s="17" t="str">
        <f aca="false">IF($D543="","",IF(OR($R543=TRUE(),$R543="TRUE"),Settings!$C$6,Settings!$C$7)*100)</f>
        <v/>
      </c>
      <c r="AH543" s="18" t="str">
        <f aca="false">IF($D543="","",IF(COUNTIF($D$2:$D543,$D543)=1,1,0))</f>
        <v/>
      </c>
      <c r="AI543" s="18" t="str">
        <f aca="false">IF($AH543=1,SUMPRODUCT(--($AK$2:$AK$4001&lt;$AK543))+1,"")</f>
        <v/>
      </c>
      <c r="AJ543" s="18" t="str">
        <f aca="false">IF($D543="","",IF(OR($R543=TRUE(),$R543="TRUE"),1,0))</f>
        <v/>
      </c>
      <c r="AK543" s="18" t="str">
        <f aca="false">IF($AH543=1,IFERROR(VALUE(MID($D543,2,20)),1000000000)+ROW()/10000000,"")</f>
        <v/>
      </c>
    </row>
    <row r="544" customFormat="false" ht="15" hidden="false" customHeight="false" outlineLevel="0" collapsed="false">
      <c r="F544" s="15"/>
      <c r="N544" s="16" t="str">
        <f aca="false">IF($D544="","",M544*Y544/100)</f>
        <v/>
      </c>
      <c r="V544" s="16" t="str">
        <f aca="false">IF($D544="","",Y544*AB544/100)</f>
        <v/>
      </c>
      <c r="W544" s="16" t="str">
        <f aca="false">IF($D544="","",Y544-V544)</f>
        <v/>
      </c>
      <c r="X544" s="16" t="str">
        <f aca="false">IF($D544="","",W544-N544)</f>
        <v/>
      </c>
      <c r="AB544" s="17" t="str">
        <f aca="false">IF($D544="","",IF(OR($R544=TRUE(),$R544="TRUE"),Settings!$C$6,Settings!$C$7)*100)</f>
        <v/>
      </c>
      <c r="AH544" s="18" t="str">
        <f aca="false">IF($D544="","",IF(COUNTIF($D$2:$D544,$D544)=1,1,0))</f>
        <v/>
      </c>
      <c r="AI544" s="18" t="str">
        <f aca="false">IF($AH544=1,SUMPRODUCT(--($AK$2:$AK$4001&lt;$AK544))+1,"")</f>
        <v/>
      </c>
      <c r="AJ544" s="18" t="str">
        <f aca="false">IF($D544="","",IF(OR($R544=TRUE(),$R544="TRUE"),1,0))</f>
        <v/>
      </c>
      <c r="AK544" s="18" t="str">
        <f aca="false">IF($AH544=1,IFERROR(VALUE(MID($D544,2,20)),1000000000)+ROW()/10000000,"")</f>
        <v/>
      </c>
    </row>
    <row r="545" customFormat="false" ht="15" hidden="false" customHeight="false" outlineLevel="0" collapsed="false">
      <c r="F545" s="15"/>
      <c r="N545" s="16" t="str">
        <f aca="false">IF($D545="","",M545*Y545/100)</f>
        <v/>
      </c>
      <c r="V545" s="16" t="str">
        <f aca="false">IF($D545="","",Y545*AB545/100)</f>
        <v/>
      </c>
      <c r="W545" s="16" t="str">
        <f aca="false">IF($D545="","",Y545-V545)</f>
        <v/>
      </c>
      <c r="X545" s="16" t="str">
        <f aca="false">IF($D545="","",W545-N545)</f>
        <v/>
      </c>
      <c r="AB545" s="17" t="str">
        <f aca="false">IF($D545="","",IF(OR($R545=TRUE(),$R545="TRUE"),Settings!$C$6,Settings!$C$7)*100)</f>
        <v/>
      </c>
      <c r="AH545" s="18" t="str">
        <f aca="false">IF($D545="","",IF(COUNTIF($D$2:$D545,$D545)=1,1,0))</f>
        <v/>
      </c>
      <c r="AI545" s="18" t="str">
        <f aca="false">IF($AH545=1,SUMPRODUCT(--($AK$2:$AK$4001&lt;$AK545))+1,"")</f>
        <v/>
      </c>
      <c r="AJ545" s="18" t="str">
        <f aca="false">IF($D545="","",IF(OR($R545=TRUE(),$R545="TRUE"),1,0))</f>
        <v/>
      </c>
      <c r="AK545" s="18" t="str">
        <f aca="false">IF($AH545=1,IFERROR(VALUE(MID($D545,2,20)),1000000000)+ROW()/10000000,"")</f>
        <v/>
      </c>
    </row>
    <row r="546" customFormat="false" ht="15" hidden="false" customHeight="false" outlineLevel="0" collapsed="false">
      <c r="F546" s="15"/>
      <c r="N546" s="16" t="str">
        <f aca="false">IF($D546="","",M546*Y546/100)</f>
        <v/>
      </c>
      <c r="V546" s="16" t="str">
        <f aca="false">IF($D546="","",Y546*AB546/100)</f>
        <v/>
      </c>
      <c r="W546" s="16" t="str">
        <f aca="false">IF($D546="","",Y546-V546)</f>
        <v/>
      </c>
      <c r="X546" s="16" t="str">
        <f aca="false">IF($D546="","",W546-N546)</f>
        <v/>
      </c>
      <c r="AB546" s="17" t="str">
        <f aca="false">IF($D546="","",IF(OR($R546=TRUE(),$R546="TRUE"),Settings!$C$6,Settings!$C$7)*100)</f>
        <v/>
      </c>
      <c r="AH546" s="18" t="str">
        <f aca="false">IF($D546="","",IF(COUNTIF($D$2:$D546,$D546)=1,1,0))</f>
        <v/>
      </c>
      <c r="AI546" s="18" t="str">
        <f aca="false">IF($AH546=1,SUMPRODUCT(--($AK$2:$AK$4001&lt;$AK546))+1,"")</f>
        <v/>
      </c>
      <c r="AJ546" s="18" t="str">
        <f aca="false">IF($D546="","",IF(OR($R546=TRUE(),$R546="TRUE"),1,0))</f>
        <v/>
      </c>
      <c r="AK546" s="18" t="str">
        <f aca="false">IF($AH546=1,IFERROR(VALUE(MID($D546,2,20)),1000000000)+ROW()/10000000,"")</f>
        <v/>
      </c>
    </row>
    <row r="547" customFormat="false" ht="15" hidden="false" customHeight="false" outlineLevel="0" collapsed="false">
      <c r="F547" s="15"/>
      <c r="N547" s="16" t="str">
        <f aca="false">IF($D547="","",M547*Y547/100)</f>
        <v/>
      </c>
      <c r="V547" s="16" t="str">
        <f aca="false">IF($D547="","",Y547*AB547/100)</f>
        <v/>
      </c>
      <c r="W547" s="16" t="str">
        <f aca="false">IF($D547="","",Y547-V547)</f>
        <v/>
      </c>
      <c r="X547" s="16" t="str">
        <f aca="false">IF($D547="","",W547-N547)</f>
        <v/>
      </c>
      <c r="AB547" s="17" t="str">
        <f aca="false">IF($D547="","",IF(OR($R547=TRUE(),$R547="TRUE"),Settings!$C$6,Settings!$C$7)*100)</f>
        <v/>
      </c>
      <c r="AH547" s="18" t="str">
        <f aca="false">IF($D547="","",IF(COUNTIF($D$2:$D547,$D547)=1,1,0))</f>
        <v/>
      </c>
      <c r="AI547" s="18" t="str">
        <f aca="false">IF($AH547=1,SUMPRODUCT(--($AK$2:$AK$4001&lt;$AK547))+1,"")</f>
        <v/>
      </c>
      <c r="AJ547" s="18" t="str">
        <f aca="false">IF($D547="","",IF(OR($R547=TRUE(),$R547="TRUE"),1,0))</f>
        <v/>
      </c>
      <c r="AK547" s="18" t="str">
        <f aca="false">IF($AH547=1,IFERROR(VALUE(MID($D547,2,20)),1000000000)+ROW()/10000000,"")</f>
        <v/>
      </c>
    </row>
    <row r="548" customFormat="false" ht="15" hidden="false" customHeight="false" outlineLevel="0" collapsed="false">
      <c r="F548" s="15"/>
      <c r="N548" s="16" t="str">
        <f aca="false">IF($D548="","",M548*Y548/100)</f>
        <v/>
      </c>
      <c r="V548" s="16" t="str">
        <f aca="false">IF($D548="","",Y548*AB548/100)</f>
        <v/>
      </c>
      <c r="W548" s="16" t="str">
        <f aca="false">IF($D548="","",Y548-V548)</f>
        <v/>
      </c>
      <c r="X548" s="16" t="str">
        <f aca="false">IF($D548="","",W548-N548)</f>
        <v/>
      </c>
      <c r="AB548" s="17" t="str">
        <f aca="false">IF($D548="","",IF(OR($R548=TRUE(),$R548="TRUE"),Settings!$C$6,Settings!$C$7)*100)</f>
        <v/>
      </c>
      <c r="AH548" s="18" t="str">
        <f aca="false">IF($D548="","",IF(COUNTIF($D$2:$D548,$D548)=1,1,0))</f>
        <v/>
      </c>
      <c r="AI548" s="18" t="str">
        <f aca="false">IF($AH548=1,SUMPRODUCT(--($AK$2:$AK$4001&lt;$AK548))+1,"")</f>
        <v/>
      </c>
      <c r="AJ548" s="18" t="str">
        <f aca="false">IF($D548="","",IF(OR($R548=TRUE(),$R548="TRUE"),1,0))</f>
        <v/>
      </c>
      <c r="AK548" s="18" t="str">
        <f aca="false">IF($AH548=1,IFERROR(VALUE(MID($D548,2,20)),1000000000)+ROW()/10000000,"")</f>
        <v/>
      </c>
    </row>
    <row r="549" customFormat="false" ht="15" hidden="false" customHeight="false" outlineLevel="0" collapsed="false">
      <c r="F549" s="15"/>
      <c r="N549" s="16" t="str">
        <f aca="false">IF($D549="","",M549*Y549/100)</f>
        <v/>
      </c>
      <c r="V549" s="16" t="str">
        <f aca="false">IF($D549="","",Y549*AB549/100)</f>
        <v/>
      </c>
      <c r="W549" s="16" t="str">
        <f aca="false">IF($D549="","",Y549-V549)</f>
        <v/>
      </c>
      <c r="X549" s="16" t="str">
        <f aca="false">IF($D549="","",W549-N549)</f>
        <v/>
      </c>
      <c r="AB549" s="17" t="str">
        <f aca="false">IF($D549="","",IF(OR($R549=TRUE(),$R549="TRUE"),Settings!$C$6,Settings!$C$7)*100)</f>
        <v/>
      </c>
      <c r="AH549" s="18" t="str">
        <f aca="false">IF($D549="","",IF(COUNTIF($D$2:$D549,$D549)=1,1,0))</f>
        <v/>
      </c>
      <c r="AI549" s="18" t="str">
        <f aca="false">IF($AH549=1,SUMPRODUCT(--($AK$2:$AK$4001&lt;$AK549))+1,"")</f>
        <v/>
      </c>
      <c r="AJ549" s="18" t="str">
        <f aca="false">IF($D549="","",IF(OR($R549=TRUE(),$R549="TRUE"),1,0))</f>
        <v/>
      </c>
      <c r="AK549" s="18" t="str">
        <f aca="false">IF($AH549=1,IFERROR(VALUE(MID($D549,2,20)),1000000000)+ROW()/10000000,"")</f>
        <v/>
      </c>
    </row>
    <row r="550" customFormat="false" ht="15" hidden="false" customHeight="false" outlineLevel="0" collapsed="false">
      <c r="F550" s="15"/>
      <c r="N550" s="16" t="str">
        <f aca="false">IF($D550="","",M550*Y550/100)</f>
        <v/>
      </c>
      <c r="V550" s="16" t="str">
        <f aca="false">IF($D550="","",Y550*AB550/100)</f>
        <v/>
      </c>
      <c r="W550" s="16" t="str">
        <f aca="false">IF($D550="","",Y550-V550)</f>
        <v/>
      </c>
      <c r="X550" s="16" t="str">
        <f aca="false">IF($D550="","",W550-N550)</f>
        <v/>
      </c>
      <c r="AB550" s="17" t="str">
        <f aca="false">IF($D550="","",IF(OR($R550=TRUE(),$R550="TRUE"),Settings!$C$6,Settings!$C$7)*100)</f>
        <v/>
      </c>
      <c r="AH550" s="18" t="str">
        <f aca="false">IF($D550="","",IF(COUNTIF($D$2:$D550,$D550)=1,1,0))</f>
        <v/>
      </c>
      <c r="AI550" s="18" t="str">
        <f aca="false">IF($AH550=1,SUMPRODUCT(--($AK$2:$AK$4001&lt;$AK550))+1,"")</f>
        <v/>
      </c>
      <c r="AJ550" s="18" t="str">
        <f aca="false">IF($D550="","",IF(OR($R550=TRUE(),$R550="TRUE"),1,0))</f>
        <v/>
      </c>
      <c r="AK550" s="18" t="str">
        <f aca="false">IF($AH550=1,IFERROR(VALUE(MID($D550,2,20)),1000000000)+ROW()/10000000,"")</f>
        <v/>
      </c>
    </row>
    <row r="551" customFormat="false" ht="15" hidden="false" customHeight="false" outlineLevel="0" collapsed="false">
      <c r="F551" s="15"/>
      <c r="N551" s="16" t="str">
        <f aca="false">IF($D551="","",M551*Y551/100)</f>
        <v/>
      </c>
      <c r="V551" s="16" t="str">
        <f aca="false">IF($D551="","",Y551*AB551/100)</f>
        <v/>
      </c>
      <c r="W551" s="16" t="str">
        <f aca="false">IF($D551="","",Y551-V551)</f>
        <v/>
      </c>
      <c r="X551" s="16" t="str">
        <f aca="false">IF($D551="","",W551-N551)</f>
        <v/>
      </c>
      <c r="AB551" s="17" t="str">
        <f aca="false">IF($D551="","",IF(OR($R551=TRUE(),$R551="TRUE"),Settings!$C$6,Settings!$C$7)*100)</f>
        <v/>
      </c>
      <c r="AH551" s="18" t="str">
        <f aca="false">IF($D551="","",IF(COUNTIF($D$2:$D551,$D551)=1,1,0))</f>
        <v/>
      </c>
      <c r="AI551" s="18" t="str">
        <f aca="false">IF($AH551=1,SUMPRODUCT(--($AK$2:$AK$4001&lt;$AK551))+1,"")</f>
        <v/>
      </c>
      <c r="AJ551" s="18" t="str">
        <f aca="false">IF($D551="","",IF(OR($R551=TRUE(),$R551="TRUE"),1,0))</f>
        <v/>
      </c>
      <c r="AK551" s="18" t="str">
        <f aca="false">IF($AH551=1,IFERROR(VALUE(MID($D551,2,20)),1000000000)+ROW()/10000000,"")</f>
        <v/>
      </c>
    </row>
    <row r="552" customFormat="false" ht="15" hidden="false" customHeight="false" outlineLevel="0" collapsed="false">
      <c r="F552" s="15"/>
      <c r="N552" s="16" t="str">
        <f aca="false">IF($D552="","",M552*Y552/100)</f>
        <v/>
      </c>
      <c r="V552" s="16" t="str">
        <f aca="false">IF($D552="","",Y552*AB552/100)</f>
        <v/>
      </c>
      <c r="W552" s="16" t="str">
        <f aca="false">IF($D552="","",Y552-V552)</f>
        <v/>
      </c>
      <c r="X552" s="16" t="str">
        <f aca="false">IF($D552="","",W552-N552)</f>
        <v/>
      </c>
      <c r="AB552" s="17" t="str">
        <f aca="false">IF($D552="","",IF(OR($R552=TRUE(),$R552="TRUE"),Settings!$C$6,Settings!$C$7)*100)</f>
        <v/>
      </c>
      <c r="AH552" s="18" t="str">
        <f aca="false">IF($D552="","",IF(COUNTIF($D$2:$D552,$D552)=1,1,0))</f>
        <v/>
      </c>
      <c r="AI552" s="18" t="str">
        <f aca="false">IF($AH552=1,SUMPRODUCT(--($AK$2:$AK$4001&lt;$AK552))+1,"")</f>
        <v/>
      </c>
      <c r="AJ552" s="18" t="str">
        <f aca="false">IF($D552="","",IF(OR($R552=TRUE(),$R552="TRUE"),1,0))</f>
        <v/>
      </c>
      <c r="AK552" s="18" t="str">
        <f aca="false">IF($AH552=1,IFERROR(VALUE(MID($D552,2,20)),1000000000)+ROW()/10000000,"")</f>
        <v/>
      </c>
    </row>
    <row r="553" customFormat="false" ht="15" hidden="false" customHeight="false" outlineLevel="0" collapsed="false">
      <c r="F553" s="15"/>
      <c r="N553" s="16" t="str">
        <f aca="false">IF($D553="","",M553*Y553/100)</f>
        <v/>
      </c>
      <c r="V553" s="16" t="str">
        <f aca="false">IF($D553="","",Y553*AB553/100)</f>
        <v/>
      </c>
      <c r="W553" s="16" t="str">
        <f aca="false">IF($D553="","",Y553-V553)</f>
        <v/>
      </c>
      <c r="X553" s="16" t="str">
        <f aca="false">IF($D553="","",W553-N553)</f>
        <v/>
      </c>
      <c r="AB553" s="17" t="str">
        <f aca="false">IF($D553="","",IF(OR($R553=TRUE(),$R553="TRUE"),Settings!$C$6,Settings!$C$7)*100)</f>
        <v/>
      </c>
      <c r="AH553" s="18" t="str">
        <f aca="false">IF($D553="","",IF(COUNTIF($D$2:$D553,$D553)=1,1,0))</f>
        <v/>
      </c>
      <c r="AI553" s="18" t="str">
        <f aca="false">IF($AH553=1,SUMPRODUCT(--($AK$2:$AK$4001&lt;$AK553))+1,"")</f>
        <v/>
      </c>
      <c r="AJ553" s="18" t="str">
        <f aca="false">IF($D553="","",IF(OR($R553=TRUE(),$R553="TRUE"),1,0))</f>
        <v/>
      </c>
      <c r="AK553" s="18" t="str">
        <f aca="false">IF($AH553=1,IFERROR(VALUE(MID($D553,2,20)),1000000000)+ROW()/10000000,"")</f>
        <v/>
      </c>
    </row>
    <row r="554" customFormat="false" ht="15" hidden="false" customHeight="false" outlineLevel="0" collapsed="false">
      <c r="F554" s="15"/>
      <c r="N554" s="16" t="str">
        <f aca="false">IF($D554="","",M554*Y554/100)</f>
        <v/>
      </c>
      <c r="V554" s="16" t="str">
        <f aca="false">IF($D554="","",Y554*AB554/100)</f>
        <v/>
      </c>
      <c r="W554" s="16" t="str">
        <f aca="false">IF($D554="","",Y554-V554)</f>
        <v/>
      </c>
      <c r="X554" s="16" t="str">
        <f aca="false">IF($D554="","",W554-N554)</f>
        <v/>
      </c>
      <c r="AB554" s="17" t="str">
        <f aca="false">IF($D554="","",IF(OR($R554=TRUE(),$R554="TRUE"),Settings!$C$6,Settings!$C$7)*100)</f>
        <v/>
      </c>
      <c r="AH554" s="18" t="str">
        <f aca="false">IF($D554="","",IF(COUNTIF($D$2:$D554,$D554)=1,1,0))</f>
        <v/>
      </c>
      <c r="AI554" s="18" t="str">
        <f aca="false">IF($AH554=1,SUMPRODUCT(--($AK$2:$AK$4001&lt;$AK554))+1,"")</f>
        <v/>
      </c>
      <c r="AJ554" s="18" t="str">
        <f aca="false">IF($D554="","",IF(OR($R554=TRUE(),$R554="TRUE"),1,0))</f>
        <v/>
      </c>
      <c r="AK554" s="18" t="str">
        <f aca="false">IF($AH554=1,IFERROR(VALUE(MID($D554,2,20)),1000000000)+ROW()/10000000,"")</f>
        <v/>
      </c>
    </row>
    <row r="555" customFormat="false" ht="15" hidden="false" customHeight="false" outlineLevel="0" collapsed="false">
      <c r="F555" s="15"/>
      <c r="N555" s="16" t="str">
        <f aca="false">IF($D555="","",M555*Y555/100)</f>
        <v/>
      </c>
      <c r="V555" s="16" t="str">
        <f aca="false">IF($D555="","",Y555*AB555/100)</f>
        <v/>
      </c>
      <c r="W555" s="16" t="str">
        <f aca="false">IF($D555="","",Y555-V555)</f>
        <v/>
      </c>
      <c r="X555" s="16" t="str">
        <f aca="false">IF($D555="","",W555-N555)</f>
        <v/>
      </c>
      <c r="AB555" s="17" t="str">
        <f aca="false">IF($D555="","",IF(OR($R555=TRUE(),$R555="TRUE"),Settings!$C$6,Settings!$C$7)*100)</f>
        <v/>
      </c>
      <c r="AH555" s="18" t="str">
        <f aca="false">IF($D555="","",IF(COUNTIF($D$2:$D555,$D555)=1,1,0))</f>
        <v/>
      </c>
      <c r="AI555" s="18" t="str">
        <f aca="false">IF($AH555=1,SUMPRODUCT(--($AK$2:$AK$4001&lt;$AK555))+1,"")</f>
        <v/>
      </c>
      <c r="AJ555" s="18" t="str">
        <f aca="false">IF($D555="","",IF(OR($R555=TRUE(),$R555="TRUE"),1,0))</f>
        <v/>
      </c>
      <c r="AK555" s="18" t="str">
        <f aca="false">IF($AH555=1,IFERROR(VALUE(MID($D555,2,20)),1000000000)+ROW()/10000000,"")</f>
        <v/>
      </c>
    </row>
    <row r="556" customFormat="false" ht="15" hidden="false" customHeight="false" outlineLevel="0" collapsed="false">
      <c r="F556" s="15"/>
      <c r="N556" s="16" t="str">
        <f aca="false">IF($D556="","",M556*Y556/100)</f>
        <v/>
      </c>
      <c r="V556" s="16" t="str">
        <f aca="false">IF($D556="","",Y556*AB556/100)</f>
        <v/>
      </c>
      <c r="W556" s="16" t="str">
        <f aca="false">IF($D556="","",Y556-V556)</f>
        <v/>
      </c>
      <c r="X556" s="16" t="str">
        <f aca="false">IF($D556="","",W556-N556)</f>
        <v/>
      </c>
      <c r="AB556" s="17" t="str">
        <f aca="false">IF($D556="","",IF(OR($R556=TRUE(),$R556="TRUE"),Settings!$C$6,Settings!$C$7)*100)</f>
        <v/>
      </c>
      <c r="AH556" s="18" t="str">
        <f aca="false">IF($D556="","",IF(COUNTIF($D$2:$D556,$D556)=1,1,0))</f>
        <v/>
      </c>
      <c r="AI556" s="18" t="str">
        <f aca="false">IF($AH556=1,SUMPRODUCT(--($AK$2:$AK$4001&lt;$AK556))+1,"")</f>
        <v/>
      </c>
      <c r="AJ556" s="18" t="str">
        <f aca="false">IF($D556="","",IF(OR($R556=TRUE(),$R556="TRUE"),1,0))</f>
        <v/>
      </c>
      <c r="AK556" s="18" t="str">
        <f aca="false">IF($AH556=1,IFERROR(VALUE(MID($D556,2,20)),1000000000)+ROW()/10000000,"")</f>
        <v/>
      </c>
    </row>
    <row r="557" customFormat="false" ht="15" hidden="false" customHeight="false" outlineLevel="0" collapsed="false">
      <c r="F557" s="15"/>
      <c r="N557" s="16" t="str">
        <f aca="false">IF($D557="","",M557*Y557/100)</f>
        <v/>
      </c>
      <c r="V557" s="16" t="str">
        <f aca="false">IF($D557="","",Y557*AB557/100)</f>
        <v/>
      </c>
      <c r="W557" s="16" t="str">
        <f aca="false">IF($D557="","",Y557-V557)</f>
        <v/>
      </c>
      <c r="X557" s="16" t="str">
        <f aca="false">IF($D557="","",W557-N557)</f>
        <v/>
      </c>
      <c r="AB557" s="17" t="str">
        <f aca="false">IF($D557="","",IF(OR($R557=TRUE(),$R557="TRUE"),Settings!$C$6,Settings!$C$7)*100)</f>
        <v/>
      </c>
      <c r="AH557" s="18" t="str">
        <f aca="false">IF($D557="","",IF(COUNTIF($D$2:$D557,$D557)=1,1,0))</f>
        <v/>
      </c>
      <c r="AI557" s="18" t="str">
        <f aca="false">IF($AH557=1,SUMPRODUCT(--($AK$2:$AK$4001&lt;$AK557))+1,"")</f>
        <v/>
      </c>
      <c r="AJ557" s="18" t="str">
        <f aca="false">IF($D557="","",IF(OR($R557=TRUE(),$R557="TRUE"),1,0))</f>
        <v/>
      </c>
      <c r="AK557" s="18" t="str">
        <f aca="false">IF($AH557=1,IFERROR(VALUE(MID($D557,2,20)),1000000000)+ROW()/10000000,"")</f>
        <v/>
      </c>
    </row>
    <row r="558" customFormat="false" ht="15" hidden="false" customHeight="false" outlineLevel="0" collapsed="false">
      <c r="F558" s="15"/>
      <c r="N558" s="16" t="str">
        <f aca="false">IF($D558="","",M558*Y558/100)</f>
        <v/>
      </c>
      <c r="V558" s="16" t="str">
        <f aca="false">IF($D558="","",Y558*AB558/100)</f>
        <v/>
      </c>
      <c r="W558" s="16" t="str">
        <f aca="false">IF($D558="","",Y558-V558)</f>
        <v/>
      </c>
      <c r="X558" s="16" t="str">
        <f aca="false">IF($D558="","",W558-N558)</f>
        <v/>
      </c>
      <c r="AB558" s="17" t="str">
        <f aca="false">IF($D558="","",IF(OR($R558=TRUE(),$R558="TRUE"),Settings!$C$6,Settings!$C$7)*100)</f>
        <v/>
      </c>
      <c r="AH558" s="18" t="str">
        <f aca="false">IF($D558="","",IF(COUNTIF($D$2:$D558,$D558)=1,1,0))</f>
        <v/>
      </c>
      <c r="AI558" s="18" t="str">
        <f aca="false">IF($AH558=1,SUMPRODUCT(--($AK$2:$AK$4001&lt;$AK558))+1,"")</f>
        <v/>
      </c>
      <c r="AJ558" s="18" t="str">
        <f aca="false">IF($D558="","",IF(OR($R558=TRUE(),$R558="TRUE"),1,0))</f>
        <v/>
      </c>
      <c r="AK558" s="18" t="str">
        <f aca="false">IF($AH558=1,IFERROR(VALUE(MID($D558,2,20)),1000000000)+ROW()/10000000,"")</f>
        <v/>
      </c>
    </row>
    <row r="559" customFormat="false" ht="15" hidden="false" customHeight="false" outlineLevel="0" collapsed="false">
      <c r="F559" s="15"/>
      <c r="N559" s="16" t="str">
        <f aca="false">IF($D559="","",M559*Y559/100)</f>
        <v/>
      </c>
      <c r="V559" s="16" t="str">
        <f aca="false">IF($D559="","",Y559*AB559/100)</f>
        <v/>
      </c>
      <c r="W559" s="16" t="str">
        <f aca="false">IF($D559="","",Y559-V559)</f>
        <v/>
      </c>
      <c r="X559" s="16" t="str">
        <f aca="false">IF($D559="","",W559-N559)</f>
        <v/>
      </c>
      <c r="AB559" s="17" t="str">
        <f aca="false">IF($D559="","",IF(OR($R559=TRUE(),$R559="TRUE"),Settings!$C$6,Settings!$C$7)*100)</f>
        <v/>
      </c>
      <c r="AH559" s="18" t="str">
        <f aca="false">IF($D559="","",IF(COUNTIF($D$2:$D559,$D559)=1,1,0))</f>
        <v/>
      </c>
      <c r="AI559" s="18" t="str">
        <f aca="false">IF($AH559=1,SUMPRODUCT(--($AK$2:$AK$4001&lt;$AK559))+1,"")</f>
        <v/>
      </c>
      <c r="AJ559" s="18" t="str">
        <f aca="false">IF($D559="","",IF(OR($R559=TRUE(),$R559="TRUE"),1,0))</f>
        <v/>
      </c>
      <c r="AK559" s="18" t="str">
        <f aca="false">IF($AH559=1,IFERROR(VALUE(MID($D559,2,20)),1000000000)+ROW()/10000000,"")</f>
        <v/>
      </c>
    </row>
    <row r="560" customFormat="false" ht="15" hidden="false" customHeight="false" outlineLevel="0" collapsed="false">
      <c r="F560" s="15"/>
      <c r="N560" s="16" t="str">
        <f aca="false">IF($D560="","",M560*Y560/100)</f>
        <v/>
      </c>
      <c r="V560" s="16" t="str">
        <f aca="false">IF($D560="","",Y560*AB560/100)</f>
        <v/>
      </c>
      <c r="W560" s="16" t="str">
        <f aca="false">IF($D560="","",Y560-V560)</f>
        <v/>
      </c>
      <c r="X560" s="16" t="str">
        <f aca="false">IF($D560="","",W560-N560)</f>
        <v/>
      </c>
      <c r="AB560" s="17" t="str">
        <f aca="false">IF($D560="","",IF(OR($R560=TRUE(),$R560="TRUE"),Settings!$C$6,Settings!$C$7)*100)</f>
        <v/>
      </c>
      <c r="AH560" s="18" t="str">
        <f aca="false">IF($D560="","",IF(COUNTIF($D$2:$D560,$D560)=1,1,0))</f>
        <v/>
      </c>
      <c r="AI560" s="18" t="str">
        <f aca="false">IF($AH560=1,SUMPRODUCT(--($AK$2:$AK$4001&lt;$AK560))+1,"")</f>
        <v/>
      </c>
      <c r="AJ560" s="18" t="str">
        <f aca="false">IF($D560="","",IF(OR($R560=TRUE(),$R560="TRUE"),1,0))</f>
        <v/>
      </c>
      <c r="AK560" s="18" t="str">
        <f aca="false">IF($AH560=1,IFERROR(VALUE(MID($D560,2,20)),1000000000)+ROW()/10000000,"")</f>
        <v/>
      </c>
    </row>
    <row r="561" customFormat="false" ht="15" hidden="false" customHeight="false" outlineLevel="0" collapsed="false">
      <c r="F561" s="15"/>
      <c r="N561" s="16" t="str">
        <f aca="false">IF($D561="","",M561*Y561/100)</f>
        <v/>
      </c>
      <c r="V561" s="16" t="str">
        <f aca="false">IF($D561="","",Y561*AB561/100)</f>
        <v/>
      </c>
      <c r="W561" s="16" t="str">
        <f aca="false">IF($D561="","",Y561-V561)</f>
        <v/>
      </c>
      <c r="X561" s="16" t="str">
        <f aca="false">IF($D561="","",W561-N561)</f>
        <v/>
      </c>
      <c r="AB561" s="17" t="str">
        <f aca="false">IF($D561="","",IF(OR($R561=TRUE(),$R561="TRUE"),Settings!$C$6,Settings!$C$7)*100)</f>
        <v/>
      </c>
      <c r="AH561" s="18" t="str">
        <f aca="false">IF($D561="","",IF(COUNTIF($D$2:$D561,$D561)=1,1,0))</f>
        <v/>
      </c>
      <c r="AI561" s="18" t="str">
        <f aca="false">IF($AH561=1,SUMPRODUCT(--($AK$2:$AK$4001&lt;$AK561))+1,"")</f>
        <v/>
      </c>
      <c r="AJ561" s="18" t="str">
        <f aca="false">IF($D561="","",IF(OR($R561=TRUE(),$R561="TRUE"),1,0))</f>
        <v/>
      </c>
      <c r="AK561" s="18" t="str">
        <f aca="false">IF($AH561=1,IFERROR(VALUE(MID($D561,2,20)),1000000000)+ROW()/10000000,"")</f>
        <v/>
      </c>
    </row>
    <row r="562" customFormat="false" ht="15" hidden="false" customHeight="false" outlineLevel="0" collapsed="false">
      <c r="F562" s="15"/>
      <c r="N562" s="16" t="str">
        <f aca="false">IF($D562="","",M562*Y562/100)</f>
        <v/>
      </c>
      <c r="V562" s="16" t="str">
        <f aca="false">IF($D562="","",Y562*AB562/100)</f>
        <v/>
      </c>
      <c r="W562" s="16" t="str">
        <f aca="false">IF($D562="","",Y562-V562)</f>
        <v/>
      </c>
      <c r="X562" s="16" t="str">
        <f aca="false">IF($D562="","",W562-N562)</f>
        <v/>
      </c>
      <c r="AB562" s="17" t="str">
        <f aca="false">IF($D562="","",IF(OR($R562=TRUE(),$R562="TRUE"),Settings!$C$6,Settings!$C$7)*100)</f>
        <v/>
      </c>
      <c r="AH562" s="18" t="str">
        <f aca="false">IF($D562="","",IF(COUNTIF($D$2:$D562,$D562)=1,1,0))</f>
        <v/>
      </c>
      <c r="AI562" s="18" t="str">
        <f aca="false">IF($AH562=1,SUMPRODUCT(--($AK$2:$AK$4001&lt;$AK562))+1,"")</f>
        <v/>
      </c>
      <c r="AJ562" s="18" t="str">
        <f aca="false">IF($D562="","",IF(OR($R562=TRUE(),$R562="TRUE"),1,0))</f>
        <v/>
      </c>
      <c r="AK562" s="18" t="str">
        <f aca="false">IF($AH562=1,IFERROR(VALUE(MID($D562,2,20)),1000000000)+ROW()/10000000,"")</f>
        <v/>
      </c>
    </row>
    <row r="563" customFormat="false" ht="15" hidden="false" customHeight="false" outlineLevel="0" collapsed="false">
      <c r="F563" s="15"/>
      <c r="N563" s="16" t="str">
        <f aca="false">IF($D563="","",M563*Y563/100)</f>
        <v/>
      </c>
      <c r="V563" s="16" t="str">
        <f aca="false">IF($D563="","",Y563*AB563/100)</f>
        <v/>
      </c>
      <c r="W563" s="16" t="str">
        <f aca="false">IF($D563="","",Y563-V563)</f>
        <v/>
      </c>
      <c r="X563" s="16" t="str">
        <f aca="false">IF($D563="","",W563-N563)</f>
        <v/>
      </c>
      <c r="AB563" s="17" t="str">
        <f aca="false">IF($D563="","",IF(OR($R563=TRUE(),$R563="TRUE"),Settings!$C$6,Settings!$C$7)*100)</f>
        <v/>
      </c>
      <c r="AH563" s="18" t="str">
        <f aca="false">IF($D563="","",IF(COUNTIF($D$2:$D563,$D563)=1,1,0))</f>
        <v/>
      </c>
      <c r="AI563" s="18" t="str">
        <f aca="false">IF($AH563=1,SUMPRODUCT(--($AK$2:$AK$4001&lt;$AK563))+1,"")</f>
        <v/>
      </c>
      <c r="AJ563" s="18" t="str">
        <f aca="false">IF($D563="","",IF(OR($R563=TRUE(),$R563="TRUE"),1,0))</f>
        <v/>
      </c>
      <c r="AK563" s="18" t="str">
        <f aca="false">IF($AH563=1,IFERROR(VALUE(MID($D563,2,20)),1000000000)+ROW()/10000000,"")</f>
        <v/>
      </c>
    </row>
    <row r="564" customFormat="false" ht="15" hidden="false" customHeight="false" outlineLevel="0" collapsed="false">
      <c r="F564" s="15"/>
      <c r="N564" s="16" t="str">
        <f aca="false">IF($D564="","",M564*Y564/100)</f>
        <v/>
      </c>
      <c r="V564" s="16" t="str">
        <f aca="false">IF($D564="","",Y564*AB564/100)</f>
        <v/>
      </c>
      <c r="W564" s="16" t="str">
        <f aca="false">IF($D564="","",Y564-V564)</f>
        <v/>
      </c>
      <c r="X564" s="16" t="str">
        <f aca="false">IF($D564="","",W564-N564)</f>
        <v/>
      </c>
      <c r="AB564" s="17" t="str">
        <f aca="false">IF($D564="","",IF(OR($R564=TRUE(),$R564="TRUE"),Settings!$C$6,Settings!$C$7)*100)</f>
        <v/>
      </c>
      <c r="AH564" s="18" t="str">
        <f aca="false">IF($D564="","",IF(COUNTIF($D$2:$D564,$D564)=1,1,0))</f>
        <v/>
      </c>
      <c r="AI564" s="18" t="str">
        <f aca="false">IF($AH564=1,SUMPRODUCT(--($AK$2:$AK$4001&lt;$AK564))+1,"")</f>
        <v/>
      </c>
      <c r="AJ564" s="18" t="str">
        <f aca="false">IF($D564="","",IF(OR($R564=TRUE(),$R564="TRUE"),1,0))</f>
        <v/>
      </c>
      <c r="AK564" s="18" t="str">
        <f aca="false">IF($AH564=1,IFERROR(VALUE(MID($D564,2,20)),1000000000)+ROW()/10000000,"")</f>
        <v/>
      </c>
    </row>
    <row r="565" customFormat="false" ht="15" hidden="false" customHeight="false" outlineLevel="0" collapsed="false">
      <c r="F565" s="15"/>
      <c r="N565" s="16" t="str">
        <f aca="false">IF($D565="","",M565*Y565/100)</f>
        <v/>
      </c>
      <c r="V565" s="16" t="str">
        <f aca="false">IF($D565="","",Y565*AB565/100)</f>
        <v/>
      </c>
      <c r="W565" s="16" t="str">
        <f aca="false">IF($D565="","",Y565-V565)</f>
        <v/>
      </c>
      <c r="X565" s="16" t="str">
        <f aca="false">IF($D565="","",W565-N565)</f>
        <v/>
      </c>
      <c r="AB565" s="17" t="str">
        <f aca="false">IF($D565="","",IF(OR($R565=TRUE(),$R565="TRUE"),Settings!$C$6,Settings!$C$7)*100)</f>
        <v/>
      </c>
      <c r="AH565" s="18" t="str">
        <f aca="false">IF($D565="","",IF(COUNTIF($D$2:$D565,$D565)=1,1,0))</f>
        <v/>
      </c>
      <c r="AI565" s="18" t="str">
        <f aca="false">IF($AH565=1,SUMPRODUCT(--($AK$2:$AK$4001&lt;$AK565))+1,"")</f>
        <v/>
      </c>
      <c r="AJ565" s="18" t="str">
        <f aca="false">IF($D565="","",IF(OR($R565=TRUE(),$R565="TRUE"),1,0))</f>
        <v/>
      </c>
      <c r="AK565" s="18" t="str">
        <f aca="false">IF($AH565=1,IFERROR(VALUE(MID($D565,2,20)),1000000000)+ROW()/10000000,"")</f>
        <v/>
      </c>
    </row>
    <row r="566" customFormat="false" ht="15" hidden="false" customHeight="false" outlineLevel="0" collapsed="false">
      <c r="F566" s="15"/>
      <c r="N566" s="16" t="str">
        <f aca="false">IF($D566="","",M566*Y566/100)</f>
        <v/>
      </c>
      <c r="V566" s="16" t="str">
        <f aca="false">IF($D566="","",Y566*AB566/100)</f>
        <v/>
      </c>
      <c r="W566" s="16" t="str">
        <f aca="false">IF($D566="","",Y566-V566)</f>
        <v/>
      </c>
      <c r="X566" s="16" t="str">
        <f aca="false">IF($D566="","",W566-N566)</f>
        <v/>
      </c>
      <c r="AB566" s="17" t="str">
        <f aca="false">IF($D566="","",IF(OR($R566=TRUE(),$R566="TRUE"),Settings!$C$6,Settings!$C$7)*100)</f>
        <v/>
      </c>
      <c r="AH566" s="18" t="str">
        <f aca="false">IF($D566="","",IF(COUNTIF($D$2:$D566,$D566)=1,1,0))</f>
        <v/>
      </c>
      <c r="AI566" s="18" t="str">
        <f aca="false">IF($AH566=1,SUMPRODUCT(--($AK$2:$AK$4001&lt;$AK566))+1,"")</f>
        <v/>
      </c>
      <c r="AJ566" s="18" t="str">
        <f aca="false">IF($D566="","",IF(OR($R566=TRUE(),$R566="TRUE"),1,0))</f>
        <v/>
      </c>
      <c r="AK566" s="18" t="str">
        <f aca="false">IF($AH566=1,IFERROR(VALUE(MID($D566,2,20)),1000000000)+ROW()/10000000,"")</f>
        <v/>
      </c>
    </row>
    <row r="567" customFormat="false" ht="15" hidden="false" customHeight="false" outlineLevel="0" collapsed="false">
      <c r="F567" s="15"/>
      <c r="N567" s="16" t="str">
        <f aca="false">IF($D567="","",M567*Y567/100)</f>
        <v/>
      </c>
      <c r="V567" s="16" t="str">
        <f aca="false">IF($D567="","",Y567*AB567/100)</f>
        <v/>
      </c>
      <c r="W567" s="16" t="str">
        <f aca="false">IF($D567="","",Y567-V567)</f>
        <v/>
      </c>
      <c r="X567" s="16" t="str">
        <f aca="false">IF($D567="","",W567-N567)</f>
        <v/>
      </c>
      <c r="AB567" s="17" t="str">
        <f aca="false">IF($D567="","",IF(OR($R567=TRUE(),$R567="TRUE"),Settings!$C$6,Settings!$C$7)*100)</f>
        <v/>
      </c>
      <c r="AH567" s="18" t="str">
        <f aca="false">IF($D567="","",IF(COUNTIF($D$2:$D567,$D567)=1,1,0))</f>
        <v/>
      </c>
      <c r="AI567" s="18" t="str">
        <f aca="false">IF($AH567=1,SUMPRODUCT(--($AK$2:$AK$4001&lt;$AK567))+1,"")</f>
        <v/>
      </c>
      <c r="AJ567" s="18" t="str">
        <f aca="false">IF($D567="","",IF(OR($R567=TRUE(),$R567="TRUE"),1,0))</f>
        <v/>
      </c>
      <c r="AK567" s="18" t="str">
        <f aca="false">IF($AH567=1,IFERROR(VALUE(MID($D567,2,20)),1000000000)+ROW()/10000000,"")</f>
        <v/>
      </c>
    </row>
    <row r="568" customFormat="false" ht="15" hidden="false" customHeight="false" outlineLevel="0" collapsed="false">
      <c r="F568" s="15"/>
      <c r="N568" s="16" t="str">
        <f aca="false">IF($D568="","",M568*Y568/100)</f>
        <v/>
      </c>
      <c r="V568" s="16" t="str">
        <f aca="false">IF($D568="","",Y568*AB568/100)</f>
        <v/>
      </c>
      <c r="W568" s="16" t="str">
        <f aca="false">IF($D568="","",Y568-V568)</f>
        <v/>
      </c>
      <c r="X568" s="16" t="str">
        <f aca="false">IF($D568="","",W568-N568)</f>
        <v/>
      </c>
      <c r="AB568" s="17" t="str">
        <f aca="false">IF($D568="","",IF(OR($R568=TRUE(),$R568="TRUE"),Settings!$C$6,Settings!$C$7)*100)</f>
        <v/>
      </c>
      <c r="AH568" s="18" t="str">
        <f aca="false">IF($D568="","",IF(COUNTIF($D$2:$D568,$D568)=1,1,0))</f>
        <v/>
      </c>
      <c r="AI568" s="18" t="str">
        <f aca="false">IF($AH568=1,SUMPRODUCT(--($AK$2:$AK$4001&lt;$AK568))+1,"")</f>
        <v/>
      </c>
      <c r="AJ568" s="18" t="str">
        <f aca="false">IF($D568="","",IF(OR($R568=TRUE(),$R568="TRUE"),1,0))</f>
        <v/>
      </c>
      <c r="AK568" s="18" t="str">
        <f aca="false">IF($AH568=1,IFERROR(VALUE(MID($D568,2,20)),1000000000)+ROW()/10000000,"")</f>
        <v/>
      </c>
    </row>
    <row r="569" customFormat="false" ht="15" hidden="false" customHeight="false" outlineLevel="0" collapsed="false">
      <c r="F569" s="15"/>
      <c r="N569" s="16" t="str">
        <f aca="false">IF($D569="","",M569*Y569/100)</f>
        <v/>
      </c>
      <c r="V569" s="16" t="str">
        <f aca="false">IF($D569="","",Y569*AB569/100)</f>
        <v/>
      </c>
      <c r="W569" s="16" t="str">
        <f aca="false">IF($D569="","",Y569-V569)</f>
        <v/>
      </c>
      <c r="X569" s="16" t="str">
        <f aca="false">IF($D569="","",W569-N569)</f>
        <v/>
      </c>
      <c r="AB569" s="17" t="str">
        <f aca="false">IF($D569="","",IF(OR($R569=TRUE(),$R569="TRUE"),Settings!$C$6,Settings!$C$7)*100)</f>
        <v/>
      </c>
      <c r="AH569" s="18" t="str">
        <f aca="false">IF($D569="","",IF(COUNTIF($D$2:$D569,$D569)=1,1,0))</f>
        <v/>
      </c>
      <c r="AI569" s="18" t="str">
        <f aca="false">IF($AH569=1,SUMPRODUCT(--($AK$2:$AK$4001&lt;$AK569))+1,"")</f>
        <v/>
      </c>
      <c r="AJ569" s="18" t="str">
        <f aca="false">IF($D569="","",IF(OR($R569=TRUE(),$R569="TRUE"),1,0))</f>
        <v/>
      </c>
      <c r="AK569" s="18" t="str">
        <f aca="false">IF($AH569=1,IFERROR(VALUE(MID($D569,2,20)),1000000000)+ROW()/10000000,"")</f>
        <v/>
      </c>
    </row>
    <row r="570" customFormat="false" ht="15" hidden="false" customHeight="false" outlineLevel="0" collapsed="false">
      <c r="F570" s="15"/>
      <c r="N570" s="16" t="str">
        <f aca="false">IF($D570="","",M570*Y570/100)</f>
        <v/>
      </c>
      <c r="V570" s="16" t="str">
        <f aca="false">IF($D570="","",Y570*AB570/100)</f>
        <v/>
      </c>
      <c r="W570" s="16" t="str">
        <f aca="false">IF($D570="","",Y570-V570)</f>
        <v/>
      </c>
      <c r="X570" s="16" t="str">
        <f aca="false">IF($D570="","",W570-N570)</f>
        <v/>
      </c>
      <c r="AB570" s="17" t="str">
        <f aca="false">IF($D570="","",IF(OR($R570=TRUE(),$R570="TRUE"),Settings!$C$6,Settings!$C$7)*100)</f>
        <v/>
      </c>
      <c r="AH570" s="18" t="str">
        <f aca="false">IF($D570="","",IF(COUNTIF($D$2:$D570,$D570)=1,1,0))</f>
        <v/>
      </c>
      <c r="AI570" s="18" t="str">
        <f aca="false">IF($AH570=1,SUMPRODUCT(--($AK$2:$AK$4001&lt;$AK570))+1,"")</f>
        <v/>
      </c>
      <c r="AJ570" s="18" t="str">
        <f aca="false">IF($D570="","",IF(OR($R570=TRUE(),$R570="TRUE"),1,0))</f>
        <v/>
      </c>
      <c r="AK570" s="18" t="str">
        <f aca="false">IF($AH570=1,IFERROR(VALUE(MID($D570,2,20)),1000000000)+ROW()/10000000,"")</f>
        <v/>
      </c>
    </row>
    <row r="571" customFormat="false" ht="15" hidden="false" customHeight="false" outlineLevel="0" collapsed="false">
      <c r="F571" s="15"/>
      <c r="N571" s="16" t="str">
        <f aca="false">IF($D571="","",M571*Y571/100)</f>
        <v/>
      </c>
      <c r="V571" s="16" t="str">
        <f aca="false">IF($D571="","",Y571*AB571/100)</f>
        <v/>
      </c>
      <c r="W571" s="16" t="str">
        <f aca="false">IF($D571="","",Y571-V571)</f>
        <v/>
      </c>
      <c r="X571" s="16" t="str">
        <f aca="false">IF($D571="","",W571-N571)</f>
        <v/>
      </c>
      <c r="AB571" s="17" t="str">
        <f aca="false">IF($D571="","",IF(OR($R571=TRUE(),$R571="TRUE"),Settings!$C$6,Settings!$C$7)*100)</f>
        <v/>
      </c>
      <c r="AH571" s="18" t="str">
        <f aca="false">IF($D571="","",IF(COUNTIF($D$2:$D571,$D571)=1,1,0))</f>
        <v/>
      </c>
      <c r="AI571" s="18" t="str">
        <f aca="false">IF($AH571=1,SUMPRODUCT(--($AK$2:$AK$4001&lt;$AK571))+1,"")</f>
        <v/>
      </c>
      <c r="AJ571" s="18" t="str">
        <f aca="false">IF($D571="","",IF(OR($R571=TRUE(),$R571="TRUE"),1,0))</f>
        <v/>
      </c>
      <c r="AK571" s="18" t="str">
        <f aca="false">IF($AH571=1,IFERROR(VALUE(MID($D571,2,20)),1000000000)+ROW()/10000000,"")</f>
        <v/>
      </c>
    </row>
    <row r="572" customFormat="false" ht="15" hidden="false" customHeight="false" outlineLevel="0" collapsed="false">
      <c r="F572" s="15"/>
      <c r="N572" s="16" t="str">
        <f aca="false">IF($D572="","",M572*Y572/100)</f>
        <v/>
      </c>
      <c r="V572" s="16" t="str">
        <f aca="false">IF($D572="","",Y572*AB572/100)</f>
        <v/>
      </c>
      <c r="W572" s="16" t="str">
        <f aca="false">IF($D572="","",Y572-V572)</f>
        <v/>
      </c>
      <c r="X572" s="16" t="str">
        <f aca="false">IF($D572="","",W572-N572)</f>
        <v/>
      </c>
      <c r="AB572" s="17" t="str">
        <f aca="false">IF($D572="","",IF(OR($R572=TRUE(),$R572="TRUE"),Settings!$C$6,Settings!$C$7)*100)</f>
        <v/>
      </c>
      <c r="AH572" s="18" t="str">
        <f aca="false">IF($D572="","",IF(COUNTIF($D$2:$D572,$D572)=1,1,0))</f>
        <v/>
      </c>
      <c r="AI572" s="18" t="str">
        <f aca="false">IF($AH572=1,SUMPRODUCT(--($AK$2:$AK$4001&lt;$AK572))+1,"")</f>
        <v/>
      </c>
      <c r="AJ572" s="18" t="str">
        <f aca="false">IF($D572="","",IF(OR($R572=TRUE(),$R572="TRUE"),1,0))</f>
        <v/>
      </c>
      <c r="AK572" s="18" t="str">
        <f aca="false">IF($AH572=1,IFERROR(VALUE(MID($D572,2,20)),1000000000)+ROW()/10000000,"")</f>
        <v/>
      </c>
    </row>
    <row r="573" customFormat="false" ht="15" hidden="false" customHeight="false" outlineLevel="0" collapsed="false">
      <c r="F573" s="15"/>
      <c r="N573" s="16" t="str">
        <f aca="false">IF($D573="","",M573*Y573/100)</f>
        <v/>
      </c>
      <c r="V573" s="16" t="str">
        <f aca="false">IF($D573="","",Y573*AB573/100)</f>
        <v/>
      </c>
      <c r="W573" s="16" t="str">
        <f aca="false">IF($D573="","",Y573-V573)</f>
        <v/>
      </c>
      <c r="X573" s="16" t="str">
        <f aca="false">IF($D573="","",W573-N573)</f>
        <v/>
      </c>
      <c r="AB573" s="17" t="str">
        <f aca="false">IF($D573="","",IF(OR($R573=TRUE(),$R573="TRUE"),Settings!$C$6,Settings!$C$7)*100)</f>
        <v/>
      </c>
      <c r="AH573" s="18" t="str">
        <f aca="false">IF($D573="","",IF(COUNTIF($D$2:$D573,$D573)=1,1,0))</f>
        <v/>
      </c>
      <c r="AI573" s="18" t="str">
        <f aca="false">IF($AH573=1,SUMPRODUCT(--($AK$2:$AK$4001&lt;$AK573))+1,"")</f>
        <v/>
      </c>
      <c r="AJ573" s="18" t="str">
        <f aca="false">IF($D573="","",IF(OR($R573=TRUE(),$R573="TRUE"),1,0))</f>
        <v/>
      </c>
      <c r="AK573" s="18" t="str">
        <f aca="false">IF($AH573=1,IFERROR(VALUE(MID($D573,2,20)),1000000000)+ROW()/10000000,"")</f>
        <v/>
      </c>
    </row>
    <row r="574" customFormat="false" ht="15" hidden="false" customHeight="false" outlineLevel="0" collapsed="false">
      <c r="F574" s="15"/>
      <c r="N574" s="16" t="str">
        <f aca="false">IF($D574="","",M574*Y574/100)</f>
        <v/>
      </c>
      <c r="V574" s="16" t="str">
        <f aca="false">IF($D574="","",Y574*AB574/100)</f>
        <v/>
      </c>
      <c r="W574" s="16" t="str">
        <f aca="false">IF($D574="","",Y574-V574)</f>
        <v/>
      </c>
      <c r="X574" s="16" t="str">
        <f aca="false">IF($D574="","",W574-N574)</f>
        <v/>
      </c>
      <c r="AB574" s="17" t="str">
        <f aca="false">IF($D574="","",IF(OR($R574=TRUE(),$R574="TRUE"),Settings!$C$6,Settings!$C$7)*100)</f>
        <v/>
      </c>
      <c r="AH574" s="18" t="str">
        <f aca="false">IF($D574="","",IF(COUNTIF($D$2:$D574,$D574)=1,1,0))</f>
        <v/>
      </c>
      <c r="AI574" s="18" t="str">
        <f aca="false">IF($AH574=1,SUMPRODUCT(--($AK$2:$AK$4001&lt;$AK574))+1,"")</f>
        <v/>
      </c>
      <c r="AJ574" s="18" t="str">
        <f aca="false">IF($D574="","",IF(OR($R574=TRUE(),$R574="TRUE"),1,0))</f>
        <v/>
      </c>
      <c r="AK574" s="18" t="str">
        <f aca="false">IF($AH574=1,IFERROR(VALUE(MID($D574,2,20)),1000000000)+ROW()/10000000,"")</f>
        <v/>
      </c>
    </row>
    <row r="575" customFormat="false" ht="15" hidden="false" customHeight="false" outlineLevel="0" collapsed="false">
      <c r="F575" s="15"/>
      <c r="N575" s="16" t="str">
        <f aca="false">IF($D575="","",M575*Y575/100)</f>
        <v/>
      </c>
      <c r="V575" s="16" t="str">
        <f aca="false">IF($D575="","",Y575*AB575/100)</f>
        <v/>
      </c>
      <c r="W575" s="16" t="str">
        <f aca="false">IF($D575="","",Y575-V575)</f>
        <v/>
      </c>
      <c r="X575" s="16" t="str">
        <f aca="false">IF($D575="","",W575-N575)</f>
        <v/>
      </c>
      <c r="AB575" s="17" t="str">
        <f aca="false">IF($D575="","",IF(OR($R575=TRUE(),$R575="TRUE"),Settings!$C$6,Settings!$C$7)*100)</f>
        <v/>
      </c>
      <c r="AH575" s="18" t="str">
        <f aca="false">IF($D575="","",IF(COUNTIF($D$2:$D575,$D575)=1,1,0))</f>
        <v/>
      </c>
      <c r="AI575" s="18" t="str">
        <f aca="false">IF($AH575=1,SUMPRODUCT(--($AK$2:$AK$4001&lt;$AK575))+1,"")</f>
        <v/>
      </c>
      <c r="AJ575" s="18" t="str">
        <f aca="false">IF($D575="","",IF(OR($R575=TRUE(),$R575="TRUE"),1,0))</f>
        <v/>
      </c>
      <c r="AK575" s="18" t="str">
        <f aca="false">IF($AH575=1,IFERROR(VALUE(MID($D575,2,20)),1000000000)+ROW()/10000000,"")</f>
        <v/>
      </c>
    </row>
    <row r="576" customFormat="false" ht="15" hidden="false" customHeight="false" outlineLevel="0" collapsed="false">
      <c r="F576" s="15"/>
      <c r="N576" s="16" t="str">
        <f aca="false">IF($D576="","",M576*Y576/100)</f>
        <v/>
      </c>
      <c r="V576" s="16" t="str">
        <f aca="false">IF($D576="","",Y576*AB576/100)</f>
        <v/>
      </c>
      <c r="W576" s="16" t="str">
        <f aca="false">IF($D576="","",Y576-V576)</f>
        <v/>
      </c>
      <c r="X576" s="16" t="str">
        <f aca="false">IF($D576="","",W576-N576)</f>
        <v/>
      </c>
      <c r="AB576" s="17" t="str">
        <f aca="false">IF($D576="","",IF(OR($R576=TRUE(),$R576="TRUE"),Settings!$C$6,Settings!$C$7)*100)</f>
        <v/>
      </c>
      <c r="AH576" s="18" t="str">
        <f aca="false">IF($D576="","",IF(COUNTIF($D$2:$D576,$D576)=1,1,0))</f>
        <v/>
      </c>
      <c r="AI576" s="18" t="str">
        <f aca="false">IF($AH576=1,SUMPRODUCT(--($AK$2:$AK$4001&lt;$AK576))+1,"")</f>
        <v/>
      </c>
      <c r="AJ576" s="18" t="str">
        <f aca="false">IF($D576="","",IF(OR($R576=TRUE(),$R576="TRUE"),1,0))</f>
        <v/>
      </c>
      <c r="AK576" s="18" t="str">
        <f aca="false">IF($AH576=1,IFERROR(VALUE(MID($D576,2,20)),1000000000)+ROW()/10000000,"")</f>
        <v/>
      </c>
    </row>
    <row r="577" customFormat="false" ht="15" hidden="false" customHeight="false" outlineLevel="0" collapsed="false">
      <c r="F577" s="15"/>
      <c r="N577" s="16" t="str">
        <f aca="false">IF($D577="","",M577*Y577/100)</f>
        <v/>
      </c>
      <c r="V577" s="16" t="str">
        <f aca="false">IF($D577="","",Y577*AB577/100)</f>
        <v/>
      </c>
      <c r="W577" s="16" t="str">
        <f aca="false">IF($D577="","",Y577-V577)</f>
        <v/>
      </c>
      <c r="X577" s="16" t="str">
        <f aca="false">IF($D577="","",W577-N577)</f>
        <v/>
      </c>
      <c r="AB577" s="17" t="str">
        <f aca="false">IF($D577="","",IF(OR($R577=TRUE(),$R577="TRUE"),Settings!$C$6,Settings!$C$7)*100)</f>
        <v/>
      </c>
      <c r="AH577" s="18" t="str">
        <f aca="false">IF($D577="","",IF(COUNTIF($D$2:$D577,$D577)=1,1,0))</f>
        <v/>
      </c>
      <c r="AI577" s="18" t="str">
        <f aca="false">IF($AH577=1,SUMPRODUCT(--($AK$2:$AK$4001&lt;$AK577))+1,"")</f>
        <v/>
      </c>
      <c r="AJ577" s="18" t="str">
        <f aca="false">IF($D577="","",IF(OR($R577=TRUE(),$R577="TRUE"),1,0))</f>
        <v/>
      </c>
      <c r="AK577" s="18" t="str">
        <f aca="false">IF($AH577=1,IFERROR(VALUE(MID($D577,2,20)),1000000000)+ROW()/10000000,"")</f>
        <v/>
      </c>
    </row>
    <row r="578" customFormat="false" ht="15" hidden="false" customHeight="false" outlineLevel="0" collapsed="false">
      <c r="F578" s="15"/>
      <c r="N578" s="16" t="str">
        <f aca="false">IF($D578="","",M578*Y578/100)</f>
        <v/>
      </c>
      <c r="V578" s="16" t="str">
        <f aca="false">IF($D578="","",Y578*AB578/100)</f>
        <v/>
      </c>
      <c r="W578" s="16" t="str">
        <f aca="false">IF($D578="","",Y578-V578)</f>
        <v/>
      </c>
      <c r="X578" s="16" t="str">
        <f aca="false">IF($D578="","",W578-N578)</f>
        <v/>
      </c>
      <c r="AB578" s="17" t="str">
        <f aca="false">IF($D578="","",IF(OR($R578=TRUE(),$R578="TRUE"),Settings!$C$6,Settings!$C$7)*100)</f>
        <v/>
      </c>
      <c r="AH578" s="18" t="str">
        <f aca="false">IF($D578="","",IF(COUNTIF($D$2:$D578,$D578)=1,1,0))</f>
        <v/>
      </c>
      <c r="AI578" s="18" t="str">
        <f aca="false">IF($AH578=1,SUMPRODUCT(--($AK$2:$AK$4001&lt;$AK578))+1,"")</f>
        <v/>
      </c>
      <c r="AJ578" s="18" t="str">
        <f aca="false">IF($D578="","",IF(OR($R578=TRUE(),$R578="TRUE"),1,0))</f>
        <v/>
      </c>
      <c r="AK578" s="18" t="str">
        <f aca="false">IF($AH578=1,IFERROR(VALUE(MID($D578,2,20)),1000000000)+ROW()/10000000,"")</f>
        <v/>
      </c>
    </row>
    <row r="579" customFormat="false" ht="15" hidden="false" customHeight="false" outlineLevel="0" collapsed="false">
      <c r="F579" s="15"/>
      <c r="N579" s="16" t="str">
        <f aca="false">IF($D579="","",M579*Y579/100)</f>
        <v/>
      </c>
      <c r="V579" s="16" t="str">
        <f aca="false">IF($D579="","",Y579*AB579/100)</f>
        <v/>
      </c>
      <c r="W579" s="16" t="str">
        <f aca="false">IF($D579="","",Y579-V579)</f>
        <v/>
      </c>
      <c r="X579" s="16" t="str">
        <f aca="false">IF($D579="","",W579-N579)</f>
        <v/>
      </c>
      <c r="AB579" s="17" t="str">
        <f aca="false">IF($D579="","",IF(OR($R579=TRUE(),$R579="TRUE"),Settings!$C$6,Settings!$C$7)*100)</f>
        <v/>
      </c>
      <c r="AH579" s="18" t="str">
        <f aca="false">IF($D579="","",IF(COUNTIF($D$2:$D579,$D579)=1,1,0))</f>
        <v/>
      </c>
      <c r="AI579" s="18" t="str">
        <f aca="false">IF($AH579=1,SUMPRODUCT(--($AK$2:$AK$4001&lt;$AK579))+1,"")</f>
        <v/>
      </c>
      <c r="AJ579" s="18" t="str">
        <f aca="false">IF($D579="","",IF(OR($R579=TRUE(),$R579="TRUE"),1,0))</f>
        <v/>
      </c>
      <c r="AK579" s="18" t="str">
        <f aca="false">IF($AH579=1,IFERROR(VALUE(MID($D579,2,20)),1000000000)+ROW()/10000000,"")</f>
        <v/>
      </c>
    </row>
    <row r="580" customFormat="false" ht="15" hidden="false" customHeight="false" outlineLevel="0" collapsed="false">
      <c r="F580" s="15"/>
      <c r="N580" s="16" t="str">
        <f aca="false">IF($D580="","",M580*Y580/100)</f>
        <v/>
      </c>
      <c r="V580" s="16" t="str">
        <f aca="false">IF($D580="","",Y580*AB580/100)</f>
        <v/>
      </c>
      <c r="W580" s="16" t="str">
        <f aca="false">IF($D580="","",Y580-V580)</f>
        <v/>
      </c>
      <c r="X580" s="16" t="str">
        <f aca="false">IF($D580="","",W580-N580)</f>
        <v/>
      </c>
      <c r="AB580" s="17" t="str">
        <f aca="false">IF($D580="","",IF(OR($R580=TRUE(),$R580="TRUE"),Settings!$C$6,Settings!$C$7)*100)</f>
        <v/>
      </c>
      <c r="AH580" s="18" t="str">
        <f aca="false">IF($D580="","",IF(COUNTIF($D$2:$D580,$D580)=1,1,0))</f>
        <v/>
      </c>
      <c r="AI580" s="18" t="str">
        <f aca="false">IF($AH580=1,SUMPRODUCT(--($AK$2:$AK$4001&lt;$AK580))+1,"")</f>
        <v/>
      </c>
      <c r="AJ580" s="18" t="str">
        <f aca="false">IF($D580="","",IF(OR($R580=TRUE(),$R580="TRUE"),1,0))</f>
        <v/>
      </c>
      <c r="AK580" s="18" t="str">
        <f aca="false">IF($AH580=1,IFERROR(VALUE(MID($D580,2,20)),1000000000)+ROW()/10000000,"")</f>
        <v/>
      </c>
    </row>
    <row r="581" customFormat="false" ht="15" hidden="false" customHeight="false" outlineLevel="0" collapsed="false">
      <c r="F581" s="15"/>
      <c r="N581" s="16" t="str">
        <f aca="false">IF($D581="","",M581*Y581/100)</f>
        <v/>
      </c>
      <c r="V581" s="16" t="str">
        <f aca="false">IF($D581="","",Y581*AB581/100)</f>
        <v/>
      </c>
      <c r="W581" s="16" t="str">
        <f aca="false">IF($D581="","",Y581-V581)</f>
        <v/>
      </c>
      <c r="X581" s="16" t="str">
        <f aca="false">IF($D581="","",W581-N581)</f>
        <v/>
      </c>
      <c r="AB581" s="17" t="str">
        <f aca="false">IF($D581="","",IF(OR($R581=TRUE(),$R581="TRUE"),Settings!$C$6,Settings!$C$7)*100)</f>
        <v/>
      </c>
      <c r="AH581" s="18" t="str">
        <f aca="false">IF($D581="","",IF(COUNTIF($D$2:$D581,$D581)=1,1,0))</f>
        <v/>
      </c>
      <c r="AI581" s="18" t="str">
        <f aca="false">IF($AH581=1,SUMPRODUCT(--($AK$2:$AK$4001&lt;$AK581))+1,"")</f>
        <v/>
      </c>
      <c r="AJ581" s="18" t="str">
        <f aca="false">IF($D581="","",IF(OR($R581=TRUE(),$R581="TRUE"),1,0))</f>
        <v/>
      </c>
      <c r="AK581" s="18" t="str">
        <f aca="false">IF($AH581=1,IFERROR(VALUE(MID($D581,2,20)),1000000000)+ROW()/10000000,"")</f>
        <v/>
      </c>
    </row>
    <row r="582" customFormat="false" ht="15" hidden="false" customHeight="false" outlineLevel="0" collapsed="false">
      <c r="F582" s="15"/>
      <c r="N582" s="16" t="str">
        <f aca="false">IF($D582="","",M582*Y582/100)</f>
        <v/>
      </c>
      <c r="V582" s="16" t="str">
        <f aca="false">IF($D582="","",Y582*AB582/100)</f>
        <v/>
      </c>
      <c r="W582" s="16" t="str">
        <f aca="false">IF($D582="","",Y582-V582)</f>
        <v/>
      </c>
      <c r="X582" s="16" t="str">
        <f aca="false">IF($D582="","",W582-N582)</f>
        <v/>
      </c>
      <c r="AB582" s="17" t="str">
        <f aca="false">IF($D582="","",IF(OR($R582=TRUE(),$R582="TRUE"),Settings!$C$6,Settings!$C$7)*100)</f>
        <v/>
      </c>
      <c r="AH582" s="18" t="str">
        <f aca="false">IF($D582="","",IF(COUNTIF($D$2:$D582,$D582)=1,1,0))</f>
        <v/>
      </c>
      <c r="AI582" s="18" t="str">
        <f aca="false">IF($AH582=1,SUMPRODUCT(--($AK$2:$AK$4001&lt;$AK582))+1,"")</f>
        <v/>
      </c>
      <c r="AJ582" s="18" t="str">
        <f aca="false">IF($D582="","",IF(OR($R582=TRUE(),$R582="TRUE"),1,0))</f>
        <v/>
      </c>
      <c r="AK582" s="18" t="str">
        <f aca="false">IF($AH582=1,IFERROR(VALUE(MID($D582,2,20)),1000000000)+ROW()/10000000,"")</f>
        <v/>
      </c>
    </row>
    <row r="583" customFormat="false" ht="15" hidden="false" customHeight="false" outlineLevel="0" collapsed="false">
      <c r="F583" s="15"/>
      <c r="N583" s="16" t="str">
        <f aca="false">IF($D583="","",M583*Y583/100)</f>
        <v/>
      </c>
      <c r="V583" s="16" t="str">
        <f aca="false">IF($D583="","",Y583*AB583/100)</f>
        <v/>
      </c>
      <c r="W583" s="16" t="str">
        <f aca="false">IF($D583="","",Y583-V583)</f>
        <v/>
      </c>
      <c r="X583" s="16" t="str">
        <f aca="false">IF($D583="","",W583-N583)</f>
        <v/>
      </c>
      <c r="AB583" s="17" t="str">
        <f aca="false">IF($D583="","",IF(OR($R583=TRUE(),$R583="TRUE"),Settings!$C$6,Settings!$C$7)*100)</f>
        <v/>
      </c>
      <c r="AH583" s="18" t="str">
        <f aca="false">IF($D583="","",IF(COUNTIF($D$2:$D583,$D583)=1,1,0))</f>
        <v/>
      </c>
      <c r="AI583" s="18" t="str">
        <f aca="false">IF($AH583=1,SUMPRODUCT(--($AK$2:$AK$4001&lt;$AK583))+1,"")</f>
        <v/>
      </c>
      <c r="AJ583" s="18" t="str">
        <f aca="false">IF($D583="","",IF(OR($R583=TRUE(),$R583="TRUE"),1,0))</f>
        <v/>
      </c>
      <c r="AK583" s="18" t="str">
        <f aca="false">IF($AH583=1,IFERROR(VALUE(MID($D583,2,20)),1000000000)+ROW()/10000000,"")</f>
        <v/>
      </c>
    </row>
    <row r="584" customFormat="false" ht="15" hidden="false" customHeight="false" outlineLevel="0" collapsed="false">
      <c r="F584" s="15"/>
      <c r="N584" s="16" t="str">
        <f aca="false">IF($D584="","",M584*Y584/100)</f>
        <v/>
      </c>
      <c r="V584" s="16" t="str">
        <f aca="false">IF($D584="","",Y584*AB584/100)</f>
        <v/>
      </c>
      <c r="W584" s="16" t="str">
        <f aca="false">IF($D584="","",Y584-V584)</f>
        <v/>
      </c>
      <c r="X584" s="16" t="str">
        <f aca="false">IF($D584="","",W584-N584)</f>
        <v/>
      </c>
      <c r="AB584" s="17" t="str">
        <f aca="false">IF($D584="","",IF(OR($R584=TRUE(),$R584="TRUE"),Settings!$C$6,Settings!$C$7)*100)</f>
        <v/>
      </c>
      <c r="AH584" s="18" t="str">
        <f aca="false">IF($D584="","",IF(COUNTIF($D$2:$D584,$D584)=1,1,0))</f>
        <v/>
      </c>
      <c r="AI584" s="18" t="str">
        <f aca="false">IF($AH584=1,SUMPRODUCT(--($AK$2:$AK$4001&lt;$AK584))+1,"")</f>
        <v/>
      </c>
      <c r="AJ584" s="18" t="str">
        <f aca="false">IF($D584="","",IF(OR($R584=TRUE(),$R584="TRUE"),1,0))</f>
        <v/>
      </c>
      <c r="AK584" s="18" t="str">
        <f aca="false">IF($AH584=1,IFERROR(VALUE(MID($D584,2,20)),1000000000)+ROW()/10000000,"")</f>
        <v/>
      </c>
    </row>
    <row r="585" customFormat="false" ht="15" hidden="false" customHeight="false" outlineLevel="0" collapsed="false">
      <c r="F585" s="15"/>
      <c r="N585" s="16" t="str">
        <f aca="false">IF($D585="","",M585*Y585/100)</f>
        <v/>
      </c>
      <c r="V585" s="16" t="str">
        <f aca="false">IF($D585="","",Y585*AB585/100)</f>
        <v/>
      </c>
      <c r="W585" s="16" t="str">
        <f aca="false">IF($D585="","",Y585-V585)</f>
        <v/>
      </c>
      <c r="X585" s="16" t="str">
        <f aca="false">IF($D585="","",W585-N585)</f>
        <v/>
      </c>
      <c r="AB585" s="17" t="str">
        <f aca="false">IF($D585="","",IF(OR($R585=TRUE(),$R585="TRUE"),Settings!$C$6,Settings!$C$7)*100)</f>
        <v/>
      </c>
      <c r="AH585" s="18" t="str">
        <f aca="false">IF($D585="","",IF(COUNTIF($D$2:$D585,$D585)=1,1,0))</f>
        <v/>
      </c>
      <c r="AI585" s="18" t="str">
        <f aca="false">IF($AH585=1,SUMPRODUCT(--($AK$2:$AK$4001&lt;$AK585))+1,"")</f>
        <v/>
      </c>
      <c r="AJ585" s="18" t="str">
        <f aca="false">IF($D585="","",IF(OR($R585=TRUE(),$R585="TRUE"),1,0))</f>
        <v/>
      </c>
      <c r="AK585" s="18" t="str">
        <f aca="false">IF($AH585=1,IFERROR(VALUE(MID($D585,2,20)),1000000000)+ROW()/10000000,"")</f>
        <v/>
      </c>
    </row>
    <row r="586" customFormat="false" ht="15" hidden="false" customHeight="false" outlineLevel="0" collapsed="false">
      <c r="F586" s="15"/>
      <c r="N586" s="16" t="str">
        <f aca="false">IF($D586="","",M586*Y586/100)</f>
        <v/>
      </c>
      <c r="V586" s="16" t="str">
        <f aca="false">IF($D586="","",Y586*AB586/100)</f>
        <v/>
      </c>
      <c r="W586" s="16" t="str">
        <f aca="false">IF($D586="","",Y586-V586)</f>
        <v/>
      </c>
      <c r="X586" s="16" t="str">
        <f aca="false">IF($D586="","",W586-N586)</f>
        <v/>
      </c>
      <c r="AB586" s="17" t="str">
        <f aca="false">IF($D586="","",IF(OR($R586=TRUE(),$R586="TRUE"),Settings!$C$6,Settings!$C$7)*100)</f>
        <v/>
      </c>
      <c r="AH586" s="18" t="str">
        <f aca="false">IF($D586="","",IF(COUNTIF($D$2:$D586,$D586)=1,1,0))</f>
        <v/>
      </c>
      <c r="AI586" s="18" t="str">
        <f aca="false">IF($AH586=1,SUMPRODUCT(--($AK$2:$AK$4001&lt;$AK586))+1,"")</f>
        <v/>
      </c>
      <c r="AJ586" s="18" t="str">
        <f aca="false">IF($D586="","",IF(OR($R586=TRUE(),$R586="TRUE"),1,0))</f>
        <v/>
      </c>
      <c r="AK586" s="18" t="str">
        <f aca="false">IF($AH586=1,IFERROR(VALUE(MID($D586,2,20)),1000000000)+ROW()/10000000,"")</f>
        <v/>
      </c>
    </row>
    <row r="587" customFormat="false" ht="15" hidden="false" customHeight="false" outlineLevel="0" collapsed="false">
      <c r="F587" s="15"/>
      <c r="N587" s="16" t="str">
        <f aca="false">IF($D587="","",M587*Y587/100)</f>
        <v/>
      </c>
      <c r="V587" s="16" t="str">
        <f aca="false">IF($D587="","",Y587*AB587/100)</f>
        <v/>
      </c>
      <c r="W587" s="16" t="str">
        <f aca="false">IF($D587="","",Y587-V587)</f>
        <v/>
      </c>
      <c r="X587" s="16" t="str">
        <f aca="false">IF($D587="","",W587-N587)</f>
        <v/>
      </c>
      <c r="AB587" s="17" t="str">
        <f aca="false">IF($D587="","",IF(OR($R587=TRUE(),$R587="TRUE"),Settings!$C$6,Settings!$C$7)*100)</f>
        <v/>
      </c>
      <c r="AH587" s="18" t="str">
        <f aca="false">IF($D587="","",IF(COUNTIF($D$2:$D587,$D587)=1,1,0))</f>
        <v/>
      </c>
      <c r="AI587" s="18" t="str">
        <f aca="false">IF($AH587=1,SUMPRODUCT(--($AK$2:$AK$4001&lt;$AK587))+1,"")</f>
        <v/>
      </c>
      <c r="AJ587" s="18" t="str">
        <f aca="false">IF($D587="","",IF(OR($R587=TRUE(),$R587="TRUE"),1,0))</f>
        <v/>
      </c>
      <c r="AK587" s="18" t="str">
        <f aca="false">IF($AH587=1,IFERROR(VALUE(MID($D587,2,20)),1000000000)+ROW()/10000000,"")</f>
        <v/>
      </c>
    </row>
    <row r="588" customFormat="false" ht="15" hidden="false" customHeight="false" outlineLevel="0" collapsed="false">
      <c r="F588" s="15"/>
      <c r="N588" s="16" t="str">
        <f aca="false">IF($D588="","",M588*Y588/100)</f>
        <v/>
      </c>
      <c r="V588" s="16" t="str">
        <f aca="false">IF($D588="","",Y588*AB588/100)</f>
        <v/>
      </c>
      <c r="W588" s="16" t="str">
        <f aca="false">IF($D588="","",Y588-V588)</f>
        <v/>
      </c>
      <c r="X588" s="16" t="str">
        <f aca="false">IF($D588="","",W588-N588)</f>
        <v/>
      </c>
      <c r="AB588" s="17" t="str">
        <f aca="false">IF($D588="","",IF(OR($R588=TRUE(),$R588="TRUE"),Settings!$C$6,Settings!$C$7)*100)</f>
        <v/>
      </c>
      <c r="AH588" s="18" t="str">
        <f aca="false">IF($D588="","",IF(COUNTIF($D$2:$D588,$D588)=1,1,0))</f>
        <v/>
      </c>
      <c r="AI588" s="18" t="str">
        <f aca="false">IF($AH588=1,SUMPRODUCT(--($AK$2:$AK$4001&lt;$AK588))+1,"")</f>
        <v/>
      </c>
      <c r="AJ588" s="18" t="str">
        <f aca="false">IF($D588="","",IF(OR($R588=TRUE(),$R588="TRUE"),1,0))</f>
        <v/>
      </c>
      <c r="AK588" s="18" t="str">
        <f aca="false">IF($AH588=1,IFERROR(VALUE(MID($D588,2,20)),1000000000)+ROW()/10000000,"")</f>
        <v/>
      </c>
    </row>
    <row r="589" customFormat="false" ht="15" hidden="false" customHeight="false" outlineLevel="0" collapsed="false">
      <c r="F589" s="15"/>
      <c r="N589" s="16" t="str">
        <f aca="false">IF($D589="","",M589*Y589/100)</f>
        <v/>
      </c>
      <c r="V589" s="16" t="str">
        <f aca="false">IF($D589="","",Y589*AB589/100)</f>
        <v/>
      </c>
      <c r="W589" s="16" t="str">
        <f aca="false">IF($D589="","",Y589-V589)</f>
        <v/>
      </c>
      <c r="X589" s="16" t="str">
        <f aca="false">IF($D589="","",W589-N589)</f>
        <v/>
      </c>
      <c r="AB589" s="17" t="str">
        <f aca="false">IF($D589="","",IF(OR($R589=TRUE(),$R589="TRUE"),Settings!$C$6,Settings!$C$7)*100)</f>
        <v/>
      </c>
      <c r="AH589" s="18" t="str">
        <f aca="false">IF($D589="","",IF(COUNTIF($D$2:$D589,$D589)=1,1,0))</f>
        <v/>
      </c>
      <c r="AI589" s="18" t="str">
        <f aca="false">IF($AH589=1,SUMPRODUCT(--($AK$2:$AK$4001&lt;$AK589))+1,"")</f>
        <v/>
      </c>
      <c r="AJ589" s="18" t="str">
        <f aca="false">IF($D589="","",IF(OR($R589=TRUE(),$R589="TRUE"),1,0))</f>
        <v/>
      </c>
      <c r="AK589" s="18" t="str">
        <f aca="false">IF($AH589=1,IFERROR(VALUE(MID($D589,2,20)),1000000000)+ROW()/10000000,"")</f>
        <v/>
      </c>
    </row>
    <row r="590" customFormat="false" ht="15" hidden="false" customHeight="false" outlineLevel="0" collapsed="false">
      <c r="F590" s="15"/>
      <c r="N590" s="16" t="str">
        <f aca="false">IF($D590="","",M590*Y590/100)</f>
        <v/>
      </c>
      <c r="V590" s="16" t="str">
        <f aca="false">IF($D590="","",Y590*AB590/100)</f>
        <v/>
      </c>
      <c r="W590" s="16" t="str">
        <f aca="false">IF($D590="","",Y590-V590)</f>
        <v/>
      </c>
      <c r="X590" s="16" t="str">
        <f aca="false">IF($D590="","",W590-N590)</f>
        <v/>
      </c>
      <c r="AB590" s="17" t="str">
        <f aca="false">IF($D590="","",IF(OR($R590=TRUE(),$R590="TRUE"),Settings!$C$6,Settings!$C$7)*100)</f>
        <v/>
      </c>
      <c r="AH590" s="18" t="str">
        <f aca="false">IF($D590="","",IF(COUNTIF($D$2:$D590,$D590)=1,1,0))</f>
        <v/>
      </c>
      <c r="AI590" s="18" t="str">
        <f aca="false">IF($AH590=1,SUMPRODUCT(--($AK$2:$AK$4001&lt;$AK590))+1,"")</f>
        <v/>
      </c>
      <c r="AJ590" s="18" t="str">
        <f aca="false">IF($D590="","",IF(OR($R590=TRUE(),$R590="TRUE"),1,0))</f>
        <v/>
      </c>
      <c r="AK590" s="18" t="str">
        <f aca="false">IF($AH590=1,IFERROR(VALUE(MID($D590,2,20)),1000000000)+ROW()/10000000,"")</f>
        <v/>
      </c>
    </row>
    <row r="591" customFormat="false" ht="15" hidden="false" customHeight="false" outlineLevel="0" collapsed="false">
      <c r="F591" s="15"/>
      <c r="N591" s="16" t="str">
        <f aca="false">IF($D591="","",M591*Y591/100)</f>
        <v/>
      </c>
      <c r="V591" s="16" t="str">
        <f aca="false">IF($D591="","",Y591*AB591/100)</f>
        <v/>
      </c>
      <c r="W591" s="16" t="str">
        <f aca="false">IF($D591="","",Y591-V591)</f>
        <v/>
      </c>
      <c r="X591" s="16" t="str">
        <f aca="false">IF($D591="","",W591-N591)</f>
        <v/>
      </c>
      <c r="AB591" s="17" t="str">
        <f aca="false">IF($D591="","",IF(OR($R591=TRUE(),$R591="TRUE"),Settings!$C$6,Settings!$C$7)*100)</f>
        <v/>
      </c>
      <c r="AH591" s="18" t="str">
        <f aca="false">IF($D591="","",IF(COUNTIF($D$2:$D591,$D591)=1,1,0))</f>
        <v/>
      </c>
      <c r="AI591" s="18" t="str">
        <f aca="false">IF($AH591=1,SUMPRODUCT(--($AK$2:$AK$4001&lt;$AK591))+1,"")</f>
        <v/>
      </c>
      <c r="AJ591" s="18" t="str">
        <f aca="false">IF($D591="","",IF(OR($R591=TRUE(),$R591="TRUE"),1,0))</f>
        <v/>
      </c>
      <c r="AK591" s="18" t="str">
        <f aca="false">IF($AH591=1,IFERROR(VALUE(MID($D591,2,20)),1000000000)+ROW()/10000000,"")</f>
        <v/>
      </c>
    </row>
    <row r="592" customFormat="false" ht="15" hidden="false" customHeight="false" outlineLevel="0" collapsed="false">
      <c r="F592" s="15"/>
      <c r="N592" s="16" t="str">
        <f aca="false">IF($D592="","",M592*Y592/100)</f>
        <v/>
      </c>
      <c r="V592" s="16" t="str">
        <f aca="false">IF($D592="","",Y592*AB592/100)</f>
        <v/>
      </c>
      <c r="W592" s="16" t="str">
        <f aca="false">IF($D592="","",Y592-V592)</f>
        <v/>
      </c>
      <c r="X592" s="16" t="str">
        <f aca="false">IF($D592="","",W592-N592)</f>
        <v/>
      </c>
      <c r="AB592" s="17" t="str">
        <f aca="false">IF($D592="","",IF(OR($R592=TRUE(),$R592="TRUE"),Settings!$C$6,Settings!$C$7)*100)</f>
        <v/>
      </c>
      <c r="AH592" s="18" t="str">
        <f aca="false">IF($D592="","",IF(COUNTIF($D$2:$D592,$D592)=1,1,0))</f>
        <v/>
      </c>
      <c r="AI592" s="18" t="str">
        <f aca="false">IF($AH592=1,SUMPRODUCT(--($AK$2:$AK$4001&lt;$AK592))+1,"")</f>
        <v/>
      </c>
      <c r="AJ592" s="18" t="str">
        <f aca="false">IF($D592="","",IF(OR($R592=TRUE(),$R592="TRUE"),1,0))</f>
        <v/>
      </c>
      <c r="AK592" s="18" t="str">
        <f aca="false">IF($AH592=1,IFERROR(VALUE(MID($D592,2,20)),1000000000)+ROW()/10000000,"")</f>
        <v/>
      </c>
    </row>
    <row r="593" customFormat="false" ht="15" hidden="false" customHeight="false" outlineLevel="0" collapsed="false">
      <c r="F593" s="15"/>
      <c r="N593" s="16" t="str">
        <f aca="false">IF($D593="","",M593*Y593/100)</f>
        <v/>
      </c>
      <c r="V593" s="16" t="str">
        <f aca="false">IF($D593="","",Y593*AB593/100)</f>
        <v/>
      </c>
      <c r="W593" s="16" t="str">
        <f aca="false">IF($D593="","",Y593-V593)</f>
        <v/>
      </c>
      <c r="X593" s="16" t="str">
        <f aca="false">IF($D593="","",W593-N593)</f>
        <v/>
      </c>
      <c r="AB593" s="17" t="str">
        <f aca="false">IF($D593="","",IF(OR($R593=TRUE(),$R593="TRUE"),Settings!$C$6,Settings!$C$7)*100)</f>
        <v/>
      </c>
      <c r="AH593" s="18" t="str">
        <f aca="false">IF($D593="","",IF(COUNTIF($D$2:$D593,$D593)=1,1,0))</f>
        <v/>
      </c>
      <c r="AI593" s="18" t="str">
        <f aca="false">IF($AH593=1,SUMPRODUCT(--($AK$2:$AK$4001&lt;$AK593))+1,"")</f>
        <v/>
      </c>
      <c r="AJ593" s="18" t="str">
        <f aca="false">IF($D593="","",IF(OR($R593=TRUE(),$R593="TRUE"),1,0))</f>
        <v/>
      </c>
      <c r="AK593" s="18" t="str">
        <f aca="false">IF($AH593=1,IFERROR(VALUE(MID($D593,2,20)),1000000000)+ROW()/10000000,"")</f>
        <v/>
      </c>
    </row>
    <row r="594" customFormat="false" ht="15" hidden="false" customHeight="false" outlineLevel="0" collapsed="false">
      <c r="F594" s="15"/>
      <c r="N594" s="16" t="str">
        <f aca="false">IF($D594="","",M594*Y594/100)</f>
        <v/>
      </c>
      <c r="V594" s="16" t="str">
        <f aca="false">IF($D594="","",Y594*AB594/100)</f>
        <v/>
      </c>
      <c r="W594" s="16" t="str">
        <f aca="false">IF($D594="","",Y594-V594)</f>
        <v/>
      </c>
      <c r="X594" s="16" t="str">
        <f aca="false">IF($D594="","",W594-N594)</f>
        <v/>
      </c>
      <c r="AB594" s="17" t="str">
        <f aca="false">IF($D594="","",IF(OR($R594=TRUE(),$R594="TRUE"),Settings!$C$6,Settings!$C$7)*100)</f>
        <v/>
      </c>
      <c r="AH594" s="18" t="str">
        <f aca="false">IF($D594="","",IF(COUNTIF($D$2:$D594,$D594)=1,1,0))</f>
        <v/>
      </c>
      <c r="AI594" s="18" t="str">
        <f aca="false">IF($AH594=1,SUMPRODUCT(--($AK$2:$AK$4001&lt;$AK594))+1,"")</f>
        <v/>
      </c>
      <c r="AJ594" s="18" t="str">
        <f aca="false">IF($D594="","",IF(OR($R594=TRUE(),$R594="TRUE"),1,0))</f>
        <v/>
      </c>
      <c r="AK594" s="18" t="str">
        <f aca="false">IF($AH594=1,IFERROR(VALUE(MID($D594,2,20)),1000000000)+ROW()/10000000,"")</f>
        <v/>
      </c>
    </row>
    <row r="595" customFormat="false" ht="15" hidden="false" customHeight="false" outlineLevel="0" collapsed="false">
      <c r="F595" s="15"/>
      <c r="N595" s="16" t="str">
        <f aca="false">IF($D595="","",M595*Y595/100)</f>
        <v/>
      </c>
      <c r="V595" s="16" t="str">
        <f aca="false">IF($D595="","",Y595*AB595/100)</f>
        <v/>
      </c>
      <c r="W595" s="16" t="str">
        <f aca="false">IF($D595="","",Y595-V595)</f>
        <v/>
      </c>
      <c r="X595" s="16" t="str">
        <f aca="false">IF($D595="","",W595-N595)</f>
        <v/>
      </c>
      <c r="AB595" s="17" t="str">
        <f aca="false">IF($D595="","",IF(OR($R595=TRUE(),$R595="TRUE"),Settings!$C$6,Settings!$C$7)*100)</f>
        <v/>
      </c>
      <c r="AH595" s="18" t="str">
        <f aca="false">IF($D595="","",IF(COUNTIF($D$2:$D595,$D595)=1,1,0))</f>
        <v/>
      </c>
      <c r="AI595" s="18" t="str">
        <f aca="false">IF($AH595=1,SUMPRODUCT(--($AK$2:$AK$4001&lt;$AK595))+1,"")</f>
        <v/>
      </c>
      <c r="AJ595" s="18" t="str">
        <f aca="false">IF($D595="","",IF(OR($R595=TRUE(),$R595="TRUE"),1,0))</f>
        <v/>
      </c>
      <c r="AK595" s="18" t="str">
        <f aca="false">IF($AH595=1,IFERROR(VALUE(MID($D595,2,20)),1000000000)+ROW()/10000000,"")</f>
        <v/>
      </c>
    </row>
    <row r="596" customFormat="false" ht="15" hidden="false" customHeight="false" outlineLevel="0" collapsed="false">
      <c r="F596" s="15"/>
      <c r="N596" s="16" t="str">
        <f aca="false">IF($D596="","",M596*Y596/100)</f>
        <v/>
      </c>
      <c r="V596" s="16" t="str">
        <f aca="false">IF($D596="","",Y596*AB596/100)</f>
        <v/>
      </c>
      <c r="W596" s="16" t="str">
        <f aca="false">IF($D596="","",Y596-V596)</f>
        <v/>
      </c>
      <c r="X596" s="16" t="str">
        <f aca="false">IF($D596="","",W596-N596)</f>
        <v/>
      </c>
      <c r="AB596" s="17" t="str">
        <f aca="false">IF($D596="","",IF(OR($R596=TRUE(),$R596="TRUE"),Settings!$C$6,Settings!$C$7)*100)</f>
        <v/>
      </c>
      <c r="AH596" s="18" t="str">
        <f aca="false">IF($D596="","",IF(COUNTIF($D$2:$D596,$D596)=1,1,0))</f>
        <v/>
      </c>
      <c r="AI596" s="18" t="str">
        <f aca="false">IF($AH596=1,SUMPRODUCT(--($AK$2:$AK$4001&lt;$AK596))+1,"")</f>
        <v/>
      </c>
      <c r="AJ596" s="18" t="str">
        <f aca="false">IF($D596="","",IF(OR($R596=TRUE(),$R596="TRUE"),1,0))</f>
        <v/>
      </c>
      <c r="AK596" s="18" t="str">
        <f aca="false">IF($AH596=1,IFERROR(VALUE(MID($D596,2,20)),1000000000)+ROW()/10000000,"")</f>
        <v/>
      </c>
    </row>
    <row r="597" customFormat="false" ht="15" hidden="false" customHeight="false" outlineLevel="0" collapsed="false">
      <c r="F597" s="15"/>
      <c r="N597" s="16" t="str">
        <f aca="false">IF($D597="","",M597*Y597/100)</f>
        <v/>
      </c>
      <c r="V597" s="16" t="str">
        <f aca="false">IF($D597="","",Y597*AB597/100)</f>
        <v/>
      </c>
      <c r="W597" s="16" t="str">
        <f aca="false">IF($D597="","",Y597-V597)</f>
        <v/>
      </c>
      <c r="X597" s="16" t="str">
        <f aca="false">IF($D597="","",W597-N597)</f>
        <v/>
      </c>
      <c r="AB597" s="17" t="str">
        <f aca="false">IF($D597="","",IF(OR($R597=TRUE(),$R597="TRUE"),Settings!$C$6,Settings!$C$7)*100)</f>
        <v/>
      </c>
      <c r="AH597" s="18" t="str">
        <f aca="false">IF($D597="","",IF(COUNTIF($D$2:$D597,$D597)=1,1,0))</f>
        <v/>
      </c>
      <c r="AI597" s="18" t="str">
        <f aca="false">IF($AH597=1,SUMPRODUCT(--($AK$2:$AK$4001&lt;$AK597))+1,"")</f>
        <v/>
      </c>
      <c r="AJ597" s="18" t="str">
        <f aca="false">IF($D597="","",IF(OR($R597=TRUE(),$R597="TRUE"),1,0))</f>
        <v/>
      </c>
      <c r="AK597" s="18" t="str">
        <f aca="false">IF($AH597=1,IFERROR(VALUE(MID($D597,2,20)),1000000000)+ROW()/10000000,"")</f>
        <v/>
      </c>
    </row>
    <row r="598" customFormat="false" ht="15" hidden="false" customHeight="false" outlineLevel="0" collapsed="false">
      <c r="F598" s="15"/>
      <c r="N598" s="16" t="str">
        <f aca="false">IF($D598="","",M598*Y598/100)</f>
        <v/>
      </c>
      <c r="V598" s="16" t="str">
        <f aca="false">IF($D598="","",Y598*AB598/100)</f>
        <v/>
      </c>
      <c r="W598" s="16" t="str">
        <f aca="false">IF($D598="","",Y598-V598)</f>
        <v/>
      </c>
      <c r="X598" s="16" t="str">
        <f aca="false">IF($D598="","",W598-N598)</f>
        <v/>
      </c>
      <c r="AB598" s="17" t="str">
        <f aca="false">IF($D598="","",IF(OR($R598=TRUE(),$R598="TRUE"),Settings!$C$6,Settings!$C$7)*100)</f>
        <v/>
      </c>
      <c r="AH598" s="18" t="str">
        <f aca="false">IF($D598="","",IF(COUNTIF($D$2:$D598,$D598)=1,1,0))</f>
        <v/>
      </c>
      <c r="AI598" s="18" t="str">
        <f aca="false">IF($AH598=1,SUMPRODUCT(--($AK$2:$AK$4001&lt;$AK598))+1,"")</f>
        <v/>
      </c>
      <c r="AJ598" s="18" t="str">
        <f aca="false">IF($D598="","",IF(OR($R598=TRUE(),$R598="TRUE"),1,0))</f>
        <v/>
      </c>
      <c r="AK598" s="18" t="str">
        <f aca="false">IF($AH598=1,IFERROR(VALUE(MID($D598,2,20)),1000000000)+ROW()/10000000,"")</f>
        <v/>
      </c>
    </row>
    <row r="599" customFormat="false" ht="15" hidden="false" customHeight="false" outlineLevel="0" collapsed="false">
      <c r="F599" s="15"/>
      <c r="N599" s="16" t="str">
        <f aca="false">IF($D599="","",M599*Y599/100)</f>
        <v/>
      </c>
      <c r="V599" s="16" t="str">
        <f aca="false">IF($D599="","",Y599*AB599/100)</f>
        <v/>
      </c>
      <c r="W599" s="16" t="str">
        <f aca="false">IF($D599="","",Y599-V599)</f>
        <v/>
      </c>
      <c r="X599" s="16" t="str">
        <f aca="false">IF($D599="","",W599-N599)</f>
        <v/>
      </c>
      <c r="AB599" s="17" t="str">
        <f aca="false">IF($D599="","",IF(OR($R599=TRUE(),$R599="TRUE"),Settings!$C$6,Settings!$C$7)*100)</f>
        <v/>
      </c>
      <c r="AH599" s="18" t="str">
        <f aca="false">IF($D599="","",IF(COUNTIF($D$2:$D599,$D599)=1,1,0))</f>
        <v/>
      </c>
      <c r="AI599" s="18" t="str">
        <f aca="false">IF($AH599=1,SUMPRODUCT(--($AK$2:$AK$4001&lt;$AK599))+1,"")</f>
        <v/>
      </c>
      <c r="AJ599" s="18" t="str">
        <f aca="false">IF($D599="","",IF(OR($R599=TRUE(),$R599="TRUE"),1,0))</f>
        <v/>
      </c>
      <c r="AK599" s="18" t="str">
        <f aca="false">IF($AH599=1,IFERROR(VALUE(MID($D599,2,20)),1000000000)+ROW()/10000000,"")</f>
        <v/>
      </c>
    </row>
    <row r="600" customFormat="false" ht="15" hidden="false" customHeight="false" outlineLevel="0" collapsed="false">
      <c r="F600" s="15"/>
      <c r="N600" s="16" t="str">
        <f aca="false">IF($D600="","",M600*Y600/100)</f>
        <v/>
      </c>
      <c r="V600" s="16" t="str">
        <f aca="false">IF($D600="","",Y600*AB600/100)</f>
        <v/>
      </c>
      <c r="W600" s="16" t="str">
        <f aca="false">IF($D600="","",Y600-V600)</f>
        <v/>
      </c>
      <c r="X600" s="16" t="str">
        <f aca="false">IF($D600="","",W600-N600)</f>
        <v/>
      </c>
      <c r="AB600" s="17" t="str">
        <f aca="false">IF($D600="","",IF(OR($R600=TRUE(),$R600="TRUE"),Settings!$C$6,Settings!$C$7)*100)</f>
        <v/>
      </c>
      <c r="AH600" s="18" t="str">
        <f aca="false">IF($D600="","",IF(COUNTIF($D$2:$D600,$D600)=1,1,0))</f>
        <v/>
      </c>
      <c r="AI600" s="18" t="str">
        <f aca="false">IF($AH600=1,SUMPRODUCT(--($AK$2:$AK$4001&lt;$AK600))+1,"")</f>
        <v/>
      </c>
      <c r="AJ600" s="18" t="str">
        <f aca="false">IF($D600="","",IF(OR($R600=TRUE(),$R600="TRUE"),1,0))</f>
        <v/>
      </c>
      <c r="AK600" s="18" t="str">
        <f aca="false">IF($AH600=1,IFERROR(VALUE(MID($D600,2,20)),1000000000)+ROW()/10000000,"")</f>
        <v/>
      </c>
    </row>
    <row r="601" customFormat="false" ht="15" hidden="false" customHeight="false" outlineLevel="0" collapsed="false">
      <c r="F601" s="15"/>
      <c r="N601" s="16" t="str">
        <f aca="false">IF($D601="","",M601*Y601/100)</f>
        <v/>
      </c>
      <c r="V601" s="16" t="str">
        <f aca="false">IF($D601="","",Y601*AB601/100)</f>
        <v/>
      </c>
      <c r="W601" s="16" t="str">
        <f aca="false">IF($D601="","",Y601-V601)</f>
        <v/>
      </c>
      <c r="X601" s="16" t="str">
        <f aca="false">IF($D601="","",W601-N601)</f>
        <v/>
      </c>
      <c r="AB601" s="17" t="str">
        <f aca="false">IF($D601="","",IF(OR($R601=TRUE(),$R601="TRUE"),Settings!$C$6,Settings!$C$7)*100)</f>
        <v/>
      </c>
      <c r="AH601" s="18" t="str">
        <f aca="false">IF($D601="","",IF(COUNTIF($D$2:$D601,$D601)=1,1,0))</f>
        <v/>
      </c>
      <c r="AI601" s="18" t="str">
        <f aca="false">IF($AH601=1,SUMPRODUCT(--($AK$2:$AK$4001&lt;$AK601))+1,"")</f>
        <v/>
      </c>
      <c r="AJ601" s="18" t="str">
        <f aca="false">IF($D601="","",IF(OR($R601=TRUE(),$R601="TRUE"),1,0))</f>
        <v/>
      </c>
      <c r="AK601" s="18" t="str">
        <f aca="false">IF($AH601=1,IFERROR(VALUE(MID($D601,2,20)),1000000000)+ROW()/10000000,"")</f>
        <v/>
      </c>
    </row>
    <row r="602" customFormat="false" ht="15" hidden="false" customHeight="false" outlineLevel="0" collapsed="false">
      <c r="F602" s="15"/>
      <c r="N602" s="16" t="str">
        <f aca="false">IF($D602="","",M602*Y602/100)</f>
        <v/>
      </c>
      <c r="V602" s="16" t="str">
        <f aca="false">IF($D602="","",Y602*AB602/100)</f>
        <v/>
      </c>
      <c r="W602" s="16" t="str">
        <f aca="false">IF($D602="","",Y602-V602)</f>
        <v/>
      </c>
      <c r="X602" s="16" t="str">
        <f aca="false">IF($D602="","",W602-N602)</f>
        <v/>
      </c>
      <c r="AB602" s="17" t="str">
        <f aca="false">IF($D602="","",IF(OR($R602=TRUE(),$R602="TRUE"),Settings!$C$6,Settings!$C$7)*100)</f>
        <v/>
      </c>
      <c r="AH602" s="18" t="str">
        <f aca="false">IF($D602="","",IF(COUNTIF($D$2:$D602,$D602)=1,1,0))</f>
        <v/>
      </c>
      <c r="AI602" s="18" t="str">
        <f aca="false">IF($AH602=1,SUMPRODUCT(--($AK$2:$AK$4001&lt;$AK602))+1,"")</f>
        <v/>
      </c>
      <c r="AJ602" s="18" t="str">
        <f aca="false">IF($D602="","",IF(OR($R602=TRUE(),$R602="TRUE"),1,0))</f>
        <v/>
      </c>
      <c r="AK602" s="18" t="str">
        <f aca="false">IF($AH602=1,IFERROR(VALUE(MID($D602,2,20)),1000000000)+ROW()/10000000,"")</f>
        <v/>
      </c>
    </row>
    <row r="603" customFormat="false" ht="15" hidden="false" customHeight="false" outlineLevel="0" collapsed="false">
      <c r="F603" s="15"/>
      <c r="N603" s="16" t="str">
        <f aca="false">IF($D603="","",M603*Y603/100)</f>
        <v/>
      </c>
      <c r="V603" s="16" t="str">
        <f aca="false">IF($D603="","",Y603*AB603/100)</f>
        <v/>
      </c>
      <c r="W603" s="16" t="str">
        <f aca="false">IF($D603="","",Y603-V603)</f>
        <v/>
      </c>
      <c r="X603" s="16" t="str">
        <f aca="false">IF($D603="","",W603-N603)</f>
        <v/>
      </c>
      <c r="AB603" s="17" t="str">
        <f aca="false">IF($D603="","",IF(OR($R603=TRUE(),$R603="TRUE"),Settings!$C$6,Settings!$C$7)*100)</f>
        <v/>
      </c>
      <c r="AH603" s="18" t="str">
        <f aca="false">IF($D603="","",IF(COUNTIF($D$2:$D603,$D603)=1,1,0))</f>
        <v/>
      </c>
      <c r="AI603" s="18" t="str">
        <f aca="false">IF($AH603=1,SUMPRODUCT(--($AK$2:$AK$4001&lt;$AK603))+1,"")</f>
        <v/>
      </c>
      <c r="AJ603" s="18" t="str">
        <f aca="false">IF($D603="","",IF(OR($R603=TRUE(),$R603="TRUE"),1,0))</f>
        <v/>
      </c>
      <c r="AK603" s="18" t="str">
        <f aca="false">IF($AH603=1,IFERROR(VALUE(MID($D603,2,20)),1000000000)+ROW()/10000000,"")</f>
        <v/>
      </c>
    </row>
    <row r="604" customFormat="false" ht="15" hidden="false" customHeight="false" outlineLevel="0" collapsed="false">
      <c r="F604" s="15"/>
      <c r="N604" s="16" t="str">
        <f aca="false">IF($D604="","",M604*Y604/100)</f>
        <v/>
      </c>
      <c r="V604" s="16" t="str">
        <f aca="false">IF($D604="","",Y604*AB604/100)</f>
        <v/>
      </c>
      <c r="W604" s="16" t="str">
        <f aca="false">IF($D604="","",Y604-V604)</f>
        <v/>
      </c>
      <c r="X604" s="16" t="str">
        <f aca="false">IF($D604="","",W604-N604)</f>
        <v/>
      </c>
      <c r="AB604" s="17" t="str">
        <f aca="false">IF($D604="","",IF(OR($R604=TRUE(),$R604="TRUE"),Settings!$C$6,Settings!$C$7)*100)</f>
        <v/>
      </c>
      <c r="AH604" s="18" t="str">
        <f aca="false">IF($D604="","",IF(COUNTIF($D$2:$D604,$D604)=1,1,0))</f>
        <v/>
      </c>
      <c r="AI604" s="18" t="str">
        <f aca="false">IF($AH604=1,SUMPRODUCT(--($AK$2:$AK$4001&lt;$AK604))+1,"")</f>
        <v/>
      </c>
      <c r="AJ604" s="18" t="str">
        <f aca="false">IF($D604="","",IF(OR($R604=TRUE(),$R604="TRUE"),1,0))</f>
        <v/>
      </c>
      <c r="AK604" s="18" t="str">
        <f aca="false">IF($AH604=1,IFERROR(VALUE(MID($D604,2,20)),1000000000)+ROW()/10000000,"")</f>
        <v/>
      </c>
    </row>
    <row r="605" customFormat="false" ht="15" hidden="false" customHeight="false" outlineLevel="0" collapsed="false">
      <c r="F605" s="15"/>
      <c r="N605" s="16" t="str">
        <f aca="false">IF($D605="","",M605*Y605/100)</f>
        <v/>
      </c>
      <c r="V605" s="16" t="str">
        <f aca="false">IF($D605="","",Y605*AB605/100)</f>
        <v/>
      </c>
      <c r="W605" s="16" t="str">
        <f aca="false">IF($D605="","",Y605-V605)</f>
        <v/>
      </c>
      <c r="X605" s="16" t="str">
        <f aca="false">IF($D605="","",W605-N605)</f>
        <v/>
      </c>
      <c r="AB605" s="17" t="str">
        <f aca="false">IF($D605="","",IF(OR($R605=TRUE(),$R605="TRUE"),Settings!$C$6,Settings!$C$7)*100)</f>
        <v/>
      </c>
      <c r="AH605" s="18" t="str">
        <f aca="false">IF($D605="","",IF(COUNTIF($D$2:$D605,$D605)=1,1,0))</f>
        <v/>
      </c>
      <c r="AI605" s="18" t="str">
        <f aca="false">IF($AH605=1,SUMPRODUCT(--($AK$2:$AK$4001&lt;$AK605))+1,"")</f>
        <v/>
      </c>
      <c r="AJ605" s="18" t="str">
        <f aca="false">IF($D605="","",IF(OR($R605=TRUE(),$R605="TRUE"),1,0))</f>
        <v/>
      </c>
      <c r="AK605" s="18" t="str">
        <f aca="false">IF($AH605=1,IFERROR(VALUE(MID($D605,2,20)),1000000000)+ROW()/10000000,"")</f>
        <v/>
      </c>
    </row>
    <row r="606" customFormat="false" ht="15" hidden="false" customHeight="false" outlineLevel="0" collapsed="false">
      <c r="F606" s="15"/>
      <c r="N606" s="16" t="str">
        <f aca="false">IF($D606="","",M606*Y606/100)</f>
        <v/>
      </c>
      <c r="V606" s="16" t="str">
        <f aca="false">IF($D606="","",Y606*AB606/100)</f>
        <v/>
      </c>
      <c r="W606" s="16" t="str">
        <f aca="false">IF($D606="","",Y606-V606)</f>
        <v/>
      </c>
      <c r="X606" s="16" t="str">
        <f aca="false">IF($D606="","",W606-N606)</f>
        <v/>
      </c>
      <c r="AB606" s="17" t="str">
        <f aca="false">IF($D606="","",IF(OR($R606=TRUE(),$R606="TRUE"),Settings!$C$6,Settings!$C$7)*100)</f>
        <v/>
      </c>
      <c r="AH606" s="18" t="str">
        <f aca="false">IF($D606="","",IF(COUNTIF($D$2:$D606,$D606)=1,1,0))</f>
        <v/>
      </c>
      <c r="AI606" s="18" t="str">
        <f aca="false">IF($AH606=1,SUMPRODUCT(--($AK$2:$AK$4001&lt;$AK606))+1,"")</f>
        <v/>
      </c>
      <c r="AJ606" s="18" t="str">
        <f aca="false">IF($D606="","",IF(OR($R606=TRUE(),$R606="TRUE"),1,0))</f>
        <v/>
      </c>
      <c r="AK606" s="18" t="str">
        <f aca="false">IF($AH606=1,IFERROR(VALUE(MID($D606,2,20)),1000000000)+ROW()/10000000,"")</f>
        <v/>
      </c>
    </row>
    <row r="607" customFormat="false" ht="15" hidden="false" customHeight="false" outlineLevel="0" collapsed="false">
      <c r="F607" s="15"/>
      <c r="N607" s="16" t="str">
        <f aca="false">IF($D607="","",M607*Y607/100)</f>
        <v/>
      </c>
      <c r="V607" s="16" t="str">
        <f aca="false">IF($D607="","",Y607*AB607/100)</f>
        <v/>
      </c>
      <c r="W607" s="16" t="str">
        <f aca="false">IF($D607="","",Y607-V607)</f>
        <v/>
      </c>
      <c r="X607" s="16" t="str">
        <f aca="false">IF($D607="","",W607-N607)</f>
        <v/>
      </c>
      <c r="AB607" s="17" t="str">
        <f aca="false">IF($D607="","",IF(OR($R607=TRUE(),$R607="TRUE"),Settings!$C$6,Settings!$C$7)*100)</f>
        <v/>
      </c>
      <c r="AH607" s="18" t="str">
        <f aca="false">IF($D607="","",IF(COUNTIF($D$2:$D607,$D607)=1,1,0))</f>
        <v/>
      </c>
      <c r="AI607" s="18" t="str">
        <f aca="false">IF($AH607=1,SUMPRODUCT(--($AK$2:$AK$4001&lt;$AK607))+1,"")</f>
        <v/>
      </c>
      <c r="AJ607" s="18" t="str">
        <f aca="false">IF($D607="","",IF(OR($R607=TRUE(),$R607="TRUE"),1,0))</f>
        <v/>
      </c>
      <c r="AK607" s="18" t="str">
        <f aca="false">IF($AH607=1,IFERROR(VALUE(MID($D607,2,20)),1000000000)+ROW()/10000000,"")</f>
        <v/>
      </c>
    </row>
    <row r="608" customFormat="false" ht="15" hidden="false" customHeight="false" outlineLevel="0" collapsed="false">
      <c r="F608" s="15"/>
      <c r="N608" s="16" t="str">
        <f aca="false">IF($D608="","",M608*Y608/100)</f>
        <v/>
      </c>
      <c r="V608" s="16" t="str">
        <f aca="false">IF($D608="","",Y608*AB608/100)</f>
        <v/>
      </c>
      <c r="W608" s="16" t="str">
        <f aca="false">IF($D608="","",Y608-V608)</f>
        <v/>
      </c>
      <c r="X608" s="16" t="str">
        <f aca="false">IF($D608="","",W608-N608)</f>
        <v/>
      </c>
      <c r="AB608" s="17" t="str">
        <f aca="false">IF($D608="","",IF(OR($R608=TRUE(),$R608="TRUE"),Settings!$C$6,Settings!$C$7)*100)</f>
        <v/>
      </c>
      <c r="AH608" s="18" t="str">
        <f aca="false">IF($D608="","",IF(COUNTIF($D$2:$D608,$D608)=1,1,0))</f>
        <v/>
      </c>
      <c r="AI608" s="18" t="str">
        <f aca="false">IF($AH608=1,SUMPRODUCT(--($AK$2:$AK$4001&lt;$AK608))+1,"")</f>
        <v/>
      </c>
      <c r="AJ608" s="18" t="str">
        <f aca="false">IF($D608="","",IF(OR($R608=TRUE(),$R608="TRUE"),1,0))</f>
        <v/>
      </c>
      <c r="AK608" s="18" t="str">
        <f aca="false">IF($AH608=1,IFERROR(VALUE(MID($D608,2,20)),1000000000)+ROW()/10000000,"")</f>
        <v/>
      </c>
    </row>
    <row r="609" customFormat="false" ht="15" hidden="false" customHeight="false" outlineLevel="0" collapsed="false">
      <c r="F609" s="15"/>
      <c r="N609" s="16" t="str">
        <f aca="false">IF($D609="","",M609*Y609/100)</f>
        <v/>
      </c>
      <c r="V609" s="16" t="str">
        <f aca="false">IF($D609="","",Y609*AB609/100)</f>
        <v/>
      </c>
      <c r="W609" s="16" t="str">
        <f aca="false">IF($D609="","",Y609-V609)</f>
        <v/>
      </c>
      <c r="X609" s="16" t="str">
        <f aca="false">IF($D609="","",W609-N609)</f>
        <v/>
      </c>
      <c r="AB609" s="17" t="str">
        <f aca="false">IF($D609="","",IF(OR($R609=TRUE(),$R609="TRUE"),Settings!$C$6,Settings!$C$7)*100)</f>
        <v/>
      </c>
      <c r="AH609" s="18" t="str">
        <f aca="false">IF($D609="","",IF(COUNTIF($D$2:$D609,$D609)=1,1,0))</f>
        <v/>
      </c>
      <c r="AI609" s="18" t="str">
        <f aca="false">IF($AH609=1,SUMPRODUCT(--($AK$2:$AK$4001&lt;$AK609))+1,"")</f>
        <v/>
      </c>
      <c r="AJ609" s="18" t="str">
        <f aca="false">IF($D609="","",IF(OR($R609=TRUE(),$R609="TRUE"),1,0))</f>
        <v/>
      </c>
      <c r="AK609" s="18" t="str">
        <f aca="false">IF($AH609=1,IFERROR(VALUE(MID($D609,2,20)),1000000000)+ROW()/10000000,"")</f>
        <v/>
      </c>
    </row>
    <row r="610" customFormat="false" ht="15" hidden="false" customHeight="false" outlineLevel="0" collapsed="false">
      <c r="F610" s="15"/>
      <c r="N610" s="16" t="str">
        <f aca="false">IF($D610="","",M610*Y610/100)</f>
        <v/>
      </c>
      <c r="V610" s="16" t="str">
        <f aca="false">IF($D610="","",Y610*AB610/100)</f>
        <v/>
      </c>
      <c r="W610" s="16" t="str">
        <f aca="false">IF($D610="","",Y610-V610)</f>
        <v/>
      </c>
      <c r="X610" s="16" t="str">
        <f aca="false">IF($D610="","",W610-N610)</f>
        <v/>
      </c>
      <c r="AB610" s="17" t="str">
        <f aca="false">IF($D610="","",IF(OR($R610=TRUE(),$R610="TRUE"),Settings!$C$6,Settings!$C$7)*100)</f>
        <v/>
      </c>
      <c r="AH610" s="18" t="str">
        <f aca="false">IF($D610="","",IF(COUNTIF($D$2:$D610,$D610)=1,1,0))</f>
        <v/>
      </c>
      <c r="AI610" s="18" t="str">
        <f aca="false">IF($AH610=1,SUMPRODUCT(--($AK$2:$AK$4001&lt;$AK610))+1,"")</f>
        <v/>
      </c>
      <c r="AJ610" s="18" t="str">
        <f aca="false">IF($D610="","",IF(OR($R610=TRUE(),$R610="TRUE"),1,0))</f>
        <v/>
      </c>
      <c r="AK610" s="18" t="str">
        <f aca="false">IF($AH610=1,IFERROR(VALUE(MID($D610,2,20)),1000000000)+ROW()/10000000,"")</f>
        <v/>
      </c>
    </row>
    <row r="611" customFormat="false" ht="15" hidden="false" customHeight="false" outlineLevel="0" collapsed="false">
      <c r="F611" s="15"/>
      <c r="N611" s="16" t="str">
        <f aca="false">IF($D611="","",M611*Y611/100)</f>
        <v/>
      </c>
      <c r="V611" s="16" t="str">
        <f aca="false">IF($D611="","",Y611*AB611/100)</f>
        <v/>
      </c>
      <c r="W611" s="16" t="str">
        <f aca="false">IF($D611="","",Y611-V611)</f>
        <v/>
      </c>
      <c r="X611" s="16" t="str">
        <f aca="false">IF($D611="","",W611-N611)</f>
        <v/>
      </c>
      <c r="AB611" s="17" t="str">
        <f aca="false">IF($D611="","",IF(OR($R611=TRUE(),$R611="TRUE"),Settings!$C$6,Settings!$C$7)*100)</f>
        <v/>
      </c>
      <c r="AH611" s="18" t="str">
        <f aca="false">IF($D611="","",IF(COUNTIF($D$2:$D611,$D611)=1,1,0))</f>
        <v/>
      </c>
      <c r="AI611" s="18" t="str">
        <f aca="false">IF($AH611=1,SUMPRODUCT(--($AK$2:$AK$4001&lt;$AK611))+1,"")</f>
        <v/>
      </c>
      <c r="AJ611" s="18" t="str">
        <f aca="false">IF($D611="","",IF(OR($R611=TRUE(),$R611="TRUE"),1,0))</f>
        <v/>
      </c>
      <c r="AK611" s="18" t="str">
        <f aca="false">IF($AH611=1,IFERROR(VALUE(MID($D611,2,20)),1000000000)+ROW()/10000000,"")</f>
        <v/>
      </c>
    </row>
    <row r="612" customFormat="false" ht="15" hidden="false" customHeight="false" outlineLevel="0" collapsed="false">
      <c r="F612" s="15"/>
      <c r="N612" s="16" t="str">
        <f aca="false">IF($D612="","",M612*Y612/100)</f>
        <v/>
      </c>
      <c r="V612" s="16" t="str">
        <f aca="false">IF($D612="","",Y612*AB612/100)</f>
        <v/>
      </c>
      <c r="W612" s="16" t="str">
        <f aca="false">IF($D612="","",Y612-V612)</f>
        <v/>
      </c>
      <c r="X612" s="16" t="str">
        <f aca="false">IF($D612="","",W612-N612)</f>
        <v/>
      </c>
      <c r="AB612" s="17" t="str">
        <f aca="false">IF($D612="","",IF(OR($R612=TRUE(),$R612="TRUE"),Settings!$C$6,Settings!$C$7)*100)</f>
        <v/>
      </c>
      <c r="AH612" s="18" t="str">
        <f aca="false">IF($D612="","",IF(COUNTIF($D$2:$D612,$D612)=1,1,0))</f>
        <v/>
      </c>
      <c r="AI612" s="18" t="str">
        <f aca="false">IF($AH612=1,SUMPRODUCT(--($AK$2:$AK$4001&lt;$AK612))+1,"")</f>
        <v/>
      </c>
      <c r="AJ612" s="18" t="str">
        <f aca="false">IF($D612="","",IF(OR($R612=TRUE(),$R612="TRUE"),1,0))</f>
        <v/>
      </c>
      <c r="AK612" s="18" t="str">
        <f aca="false">IF($AH612=1,IFERROR(VALUE(MID($D612,2,20)),1000000000)+ROW()/10000000,"")</f>
        <v/>
      </c>
    </row>
    <row r="613" customFormat="false" ht="15" hidden="false" customHeight="false" outlineLevel="0" collapsed="false">
      <c r="F613" s="15"/>
      <c r="N613" s="16" t="str">
        <f aca="false">IF($D613="","",M613*Y613/100)</f>
        <v/>
      </c>
      <c r="V613" s="16" t="str">
        <f aca="false">IF($D613="","",Y613*AB613/100)</f>
        <v/>
      </c>
      <c r="W613" s="16" t="str">
        <f aca="false">IF($D613="","",Y613-V613)</f>
        <v/>
      </c>
      <c r="X613" s="16" t="str">
        <f aca="false">IF($D613="","",W613-N613)</f>
        <v/>
      </c>
      <c r="AB613" s="17" t="str">
        <f aca="false">IF($D613="","",IF(OR($R613=TRUE(),$R613="TRUE"),Settings!$C$6,Settings!$C$7)*100)</f>
        <v/>
      </c>
      <c r="AH613" s="18" t="str">
        <f aca="false">IF($D613="","",IF(COUNTIF($D$2:$D613,$D613)=1,1,0))</f>
        <v/>
      </c>
      <c r="AI613" s="18" t="str">
        <f aca="false">IF($AH613=1,SUMPRODUCT(--($AK$2:$AK$4001&lt;$AK613))+1,"")</f>
        <v/>
      </c>
      <c r="AJ613" s="18" t="str">
        <f aca="false">IF($D613="","",IF(OR($R613=TRUE(),$R613="TRUE"),1,0))</f>
        <v/>
      </c>
      <c r="AK613" s="18" t="str">
        <f aca="false">IF($AH613=1,IFERROR(VALUE(MID($D613,2,20)),1000000000)+ROW()/10000000,"")</f>
        <v/>
      </c>
    </row>
    <row r="614" customFormat="false" ht="15" hidden="false" customHeight="false" outlineLevel="0" collapsed="false">
      <c r="F614" s="15"/>
      <c r="N614" s="16" t="str">
        <f aca="false">IF($D614="","",M614*Y614/100)</f>
        <v/>
      </c>
      <c r="V614" s="16" t="str">
        <f aca="false">IF($D614="","",Y614*AB614/100)</f>
        <v/>
      </c>
      <c r="W614" s="16" t="str">
        <f aca="false">IF($D614="","",Y614-V614)</f>
        <v/>
      </c>
      <c r="X614" s="16" t="str">
        <f aca="false">IF($D614="","",W614-N614)</f>
        <v/>
      </c>
      <c r="AB614" s="17" t="str">
        <f aca="false">IF($D614="","",IF(OR($R614=TRUE(),$R614="TRUE"),Settings!$C$6,Settings!$C$7)*100)</f>
        <v/>
      </c>
      <c r="AH614" s="18" t="str">
        <f aca="false">IF($D614="","",IF(COUNTIF($D$2:$D614,$D614)=1,1,0))</f>
        <v/>
      </c>
      <c r="AI614" s="18" t="str">
        <f aca="false">IF($AH614=1,SUMPRODUCT(--($AK$2:$AK$4001&lt;$AK614))+1,"")</f>
        <v/>
      </c>
      <c r="AJ614" s="18" t="str">
        <f aca="false">IF($D614="","",IF(OR($R614=TRUE(),$R614="TRUE"),1,0))</f>
        <v/>
      </c>
      <c r="AK614" s="18" t="str">
        <f aca="false">IF($AH614=1,IFERROR(VALUE(MID($D614,2,20)),1000000000)+ROW()/10000000,"")</f>
        <v/>
      </c>
    </row>
    <row r="615" customFormat="false" ht="15" hidden="false" customHeight="false" outlineLevel="0" collapsed="false">
      <c r="F615" s="15"/>
      <c r="N615" s="16" t="str">
        <f aca="false">IF($D615="","",M615*Y615/100)</f>
        <v/>
      </c>
      <c r="V615" s="16" t="str">
        <f aca="false">IF($D615="","",Y615*AB615/100)</f>
        <v/>
      </c>
      <c r="W615" s="16" t="str">
        <f aca="false">IF($D615="","",Y615-V615)</f>
        <v/>
      </c>
      <c r="X615" s="16" t="str">
        <f aca="false">IF($D615="","",W615-N615)</f>
        <v/>
      </c>
      <c r="AB615" s="17" t="str">
        <f aca="false">IF($D615="","",IF(OR($R615=TRUE(),$R615="TRUE"),Settings!$C$6,Settings!$C$7)*100)</f>
        <v/>
      </c>
      <c r="AH615" s="18" t="str">
        <f aca="false">IF($D615="","",IF(COUNTIF($D$2:$D615,$D615)=1,1,0))</f>
        <v/>
      </c>
      <c r="AI615" s="18" t="str">
        <f aca="false">IF($AH615=1,SUMPRODUCT(--($AK$2:$AK$4001&lt;$AK615))+1,"")</f>
        <v/>
      </c>
      <c r="AJ615" s="18" t="str">
        <f aca="false">IF($D615="","",IF(OR($R615=TRUE(),$R615="TRUE"),1,0))</f>
        <v/>
      </c>
      <c r="AK615" s="18" t="str">
        <f aca="false">IF($AH615=1,IFERROR(VALUE(MID($D615,2,20)),1000000000)+ROW()/10000000,"")</f>
        <v/>
      </c>
    </row>
    <row r="616" customFormat="false" ht="15" hidden="false" customHeight="false" outlineLevel="0" collapsed="false">
      <c r="F616" s="15"/>
      <c r="N616" s="16" t="str">
        <f aca="false">IF($D616="","",M616*Y616/100)</f>
        <v/>
      </c>
      <c r="V616" s="16" t="str">
        <f aca="false">IF($D616="","",Y616*AB616/100)</f>
        <v/>
      </c>
      <c r="W616" s="16" t="str">
        <f aca="false">IF($D616="","",Y616-V616)</f>
        <v/>
      </c>
      <c r="X616" s="16" t="str">
        <f aca="false">IF($D616="","",W616-N616)</f>
        <v/>
      </c>
      <c r="AB616" s="17" t="str">
        <f aca="false">IF($D616="","",IF(OR($R616=TRUE(),$R616="TRUE"),Settings!$C$6,Settings!$C$7)*100)</f>
        <v/>
      </c>
      <c r="AH616" s="18" t="str">
        <f aca="false">IF($D616="","",IF(COUNTIF($D$2:$D616,$D616)=1,1,0))</f>
        <v/>
      </c>
      <c r="AI616" s="18" t="str">
        <f aca="false">IF($AH616=1,SUMPRODUCT(--($AK$2:$AK$4001&lt;$AK616))+1,"")</f>
        <v/>
      </c>
      <c r="AJ616" s="18" t="str">
        <f aca="false">IF($D616="","",IF(OR($R616=TRUE(),$R616="TRUE"),1,0))</f>
        <v/>
      </c>
      <c r="AK616" s="18" t="str">
        <f aca="false">IF($AH616=1,IFERROR(VALUE(MID($D616,2,20)),1000000000)+ROW()/10000000,"")</f>
        <v/>
      </c>
    </row>
    <row r="617" customFormat="false" ht="15" hidden="false" customHeight="false" outlineLevel="0" collapsed="false">
      <c r="F617" s="15"/>
      <c r="N617" s="16" t="str">
        <f aca="false">IF($D617="","",M617*Y617/100)</f>
        <v/>
      </c>
      <c r="V617" s="16" t="str">
        <f aca="false">IF($D617="","",Y617*AB617/100)</f>
        <v/>
      </c>
      <c r="W617" s="16" t="str">
        <f aca="false">IF($D617="","",Y617-V617)</f>
        <v/>
      </c>
      <c r="X617" s="16" t="str">
        <f aca="false">IF($D617="","",W617-N617)</f>
        <v/>
      </c>
      <c r="AB617" s="17" t="str">
        <f aca="false">IF($D617="","",IF(OR($R617=TRUE(),$R617="TRUE"),Settings!$C$6,Settings!$C$7)*100)</f>
        <v/>
      </c>
      <c r="AH617" s="18" t="str">
        <f aca="false">IF($D617="","",IF(COUNTIF($D$2:$D617,$D617)=1,1,0))</f>
        <v/>
      </c>
      <c r="AI617" s="18" t="str">
        <f aca="false">IF($AH617=1,SUMPRODUCT(--($AK$2:$AK$4001&lt;$AK617))+1,"")</f>
        <v/>
      </c>
      <c r="AJ617" s="18" t="str">
        <f aca="false">IF($D617="","",IF(OR($R617=TRUE(),$R617="TRUE"),1,0))</f>
        <v/>
      </c>
      <c r="AK617" s="18" t="str">
        <f aca="false">IF($AH617=1,IFERROR(VALUE(MID($D617,2,20)),1000000000)+ROW()/10000000,"")</f>
        <v/>
      </c>
    </row>
    <row r="618" customFormat="false" ht="15" hidden="false" customHeight="false" outlineLevel="0" collapsed="false">
      <c r="F618" s="15"/>
      <c r="N618" s="16" t="str">
        <f aca="false">IF($D618="","",M618*Y618/100)</f>
        <v/>
      </c>
      <c r="V618" s="16" t="str">
        <f aca="false">IF($D618="","",Y618*AB618/100)</f>
        <v/>
      </c>
      <c r="W618" s="16" t="str">
        <f aca="false">IF($D618="","",Y618-V618)</f>
        <v/>
      </c>
      <c r="X618" s="16" t="str">
        <f aca="false">IF($D618="","",W618-N618)</f>
        <v/>
      </c>
      <c r="AB618" s="17" t="str">
        <f aca="false">IF($D618="","",IF(OR($R618=TRUE(),$R618="TRUE"),Settings!$C$6,Settings!$C$7)*100)</f>
        <v/>
      </c>
      <c r="AH618" s="18" t="str">
        <f aca="false">IF($D618="","",IF(COUNTIF($D$2:$D618,$D618)=1,1,0))</f>
        <v/>
      </c>
      <c r="AI618" s="18" t="str">
        <f aca="false">IF($AH618=1,SUMPRODUCT(--($AK$2:$AK$4001&lt;$AK618))+1,"")</f>
        <v/>
      </c>
      <c r="AJ618" s="18" t="str">
        <f aca="false">IF($D618="","",IF(OR($R618=TRUE(),$R618="TRUE"),1,0))</f>
        <v/>
      </c>
      <c r="AK618" s="18" t="str">
        <f aca="false">IF($AH618=1,IFERROR(VALUE(MID($D618,2,20)),1000000000)+ROW()/10000000,"")</f>
        <v/>
      </c>
    </row>
    <row r="619" customFormat="false" ht="15" hidden="false" customHeight="false" outlineLevel="0" collapsed="false">
      <c r="F619" s="15"/>
      <c r="N619" s="16" t="str">
        <f aca="false">IF($D619="","",M619*Y619/100)</f>
        <v/>
      </c>
      <c r="V619" s="16" t="str">
        <f aca="false">IF($D619="","",Y619*AB619/100)</f>
        <v/>
      </c>
      <c r="W619" s="16" t="str">
        <f aca="false">IF($D619="","",Y619-V619)</f>
        <v/>
      </c>
      <c r="X619" s="16" t="str">
        <f aca="false">IF($D619="","",W619-N619)</f>
        <v/>
      </c>
      <c r="AB619" s="17" t="str">
        <f aca="false">IF($D619="","",IF(OR($R619=TRUE(),$R619="TRUE"),Settings!$C$6,Settings!$C$7)*100)</f>
        <v/>
      </c>
      <c r="AH619" s="18" t="str">
        <f aca="false">IF($D619="","",IF(COUNTIF($D$2:$D619,$D619)=1,1,0))</f>
        <v/>
      </c>
      <c r="AI619" s="18" t="str">
        <f aca="false">IF($AH619=1,SUMPRODUCT(--($AK$2:$AK$4001&lt;$AK619))+1,"")</f>
        <v/>
      </c>
      <c r="AJ619" s="18" t="str">
        <f aca="false">IF($D619="","",IF(OR($R619=TRUE(),$R619="TRUE"),1,0))</f>
        <v/>
      </c>
      <c r="AK619" s="18" t="str">
        <f aca="false">IF($AH619=1,IFERROR(VALUE(MID($D619,2,20)),1000000000)+ROW()/10000000,"")</f>
        <v/>
      </c>
    </row>
    <row r="620" customFormat="false" ht="15" hidden="false" customHeight="false" outlineLevel="0" collapsed="false">
      <c r="F620" s="15"/>
      <c r="N620" s="16" t="str">
        <f aca="false">IF($D620="","",M620*Y620/100)</f>
        <v/>
      </c>
      <c r="V620" s="16" t="str">
        <f aca="false">IF($D620="","",Y620*AB620/100)</f>
        <v/>
      </c>
      <c r="W620" s="16" t="str">
        <f aca="false">IF($D620="","",Y620-V620)</f>
        <v/>
      </c>
      <c r="X620" s="16" t="str">
        <f aca="false">IF($D620="","",W620-N620)</f>
        <v/>
      </c>
      <c r="AB620" s="17" t="str">
        <f aca="false">IF($D620="","",IF(OR($R620=TRUE(),$R620="TRUE"),Settings!$C$6,Settings!$C$7)*100)</f>
        <v/>
      </c>
      <c r="AH620" s="18" t="str">
        <f aca="false">IF($D620="","",IF(COUNTIF($D$2:$D620,$D620)=1,1,0))</f>
        <v/>
      </c>
      <c r="AI620" s="18" t="str">
        <f aca="false">IF($AH620=1,SUMPRODUCT(--($AK$2:$AK$4001&lt;$AK620))+1,"")</f>
        <v/>
      </c>
      <c r="AJ620" s="18" t="str">
        <f aca="false">IF($D620="","",IF(OR($R620=TRUE(),$R620="TRUE"),1,0))</f>
        <v/>
      </c>
      <c r="AK620" s="18" t="str">
        <f aca="false">IF($AH620=1,IFERROR(VALUE(MID($D620,2,20)),1000000000)+ROW()/10000000,"")</f>
        <v/>
      </c>
    </row>
    <row r="621" customFormat="false" ht="15" hidden="false" customHeight="false" outlineLevel="0" collapsed="false">
      <c r="F621" s="15"/>
      <c r="N621" s="16" t="str">
        <f aca="false">IF($D621="","",M621*Y621/100)</f>
        <v/>
      </c>
      <c r="V621" s="16" t="str">
        <f aca="false">IF($D621="","",Y621*AB621/100)</f>
        <v/>
      </c>
      <c r="W621" s="16" t="str">
        <f aca="false">IF($D621="","",Y621-V621)</f>
        <v/>
      </c>
      <c r="X621" s="16" t="str">
        <f aca="false">IF($D621="","",W621-N621)</f>
        <v/>
      </c>
      <c r="AB621" s="17" t="str">
        <f aca="false">IF($D621="","",IF(OR($R621=TRUE(),$R621="TRUE"),Settings!$C$6,Settings!$C$7)*100)</f>
        <v/>
      </c>
      <c r="AH621" s="18" t="str">
        <f aca="false">IF($D621="","",IF(COUNTIF($D$2:$D621,$D621)=1,1,0))</f>
        <v/>
      </c>
      <c r="AI621" s="18" t="str">
        <f aca="false">IF($AH621=1,SUMPRODUCT(--($AK$2:$AK$4001&lt;$AK621))+1,"")</f>
        <v/>
      </c>
      <c r="AJ621" s="18" t="str">
        <f aca="false">IF($D621="","",IF(OR($R621=TRUE(),$R621="TRUE"),1,0))</f>
        <v/>
      </c>
      <c r="AK621" s="18" t="str">
        <f aca="false">IF($AH621=1,IFERROR(VALUE(MID($D621,2,20)),1000000000)+ROW()/10000000,"")</f>
        <v/>
      </c>
    </row>
    <row r="622" customFormat="false" ht="15" hidden="false" customHeight="false" outlineLevel="0" collapsed="false">
      <c r="F622" s="15"/>
      <c r="N622" s="16" t="str">
        <f aca="false">IF($D622="","",M622*Y622/100)</f>
        <v/>
      </c>
      <c r="V622" s="16" t="str">
        <f aca="false">IF($D622="","",Y622*AB622/100)</f>
        <v/>
      </c>
      <c r="W622" s="16" t="str">
        <f aca="false">IF($D622="","",Y622-V622)</f>
        <v/>
      </c>
      <c r="X622" s="16" t="str">
        <f aca="false">IF($D622="","",W622-N622)</f>
        <v/>
      </c>
      <c r="AB622" s="17" t="str">
        <f aca="false">IF($D622="","",IF(OR($R622=TRUE(),$R622="TRUE"),Settings!$C$6,Settings!$C$7)*100)</f>
        <v/>
      </c>
      <c r="AH622" s="18" t="str">
        <f aca="false">IF($D622="","",IF(COUNTIF($D$2:$D622,$D622)=1,1,0))</f>
        <v/>
      </c>
      <c r="AI622" s="18" t="str">
        <f aca="false">IF($AH622=1,SUMPRODUCT(--($AK$2:$AK$4001&lt;$AK622))+1,"")</f>
        <v/>
      </c>
      <c r="AJ622" s="18" t="str">
        <f aca="false">IF($D622="","",IF(OR($R622=TRUE(),$R622="TRUE"),1,0))</f>
        <v/>
      </c>
      <c r="AK622" s="18" t="str">
        <f aca="false">IF($AH622=1,IFERROR(VALUE(MID($D622,2,20)),1000000000)+ROW()/10000000,"")</f>
        <v/>
      </c>
    </row>
    <row r="623" customFormat="false" ht="15" hidden="false" customHeight="false" outlineLevel="0" collapsed="false">
      <c r="F623" s="15"/>
      <c r="N623" s="16" t="str">
        <f aca="false">IF($D623="","",M623*Y623/100)</f>
        <v/>
      </c>
      <c r="V623" s="16" t="str">
        <f aca="false">IF($D623="","",Y623*AB623/100)</f>
        <v/>
      </c>
      <c r="W623" s="16" t="str">
        <f aca="false">IF($D623="","",Y623-V623)</f>
        <v/>
      </c>
      <c r="X623" s="16" t="str">
        <f aca="false">IF($D623="","",W623-N623)</f>
        <v/>
      </c>
      <c r="AB623" s="17" t="str">
        <f aca="false">IF($D623="","",IF(OR($R623=TRUE(),$R623="TRUE"),Settings!$C$6,Settings!$C$7)*100)</f>
        <v/>
      </c>
      <c r="AH623" s="18" t="str">
        <f aca="false">IF($D623="","",IF(COUNTIF($D$2:$D623,$D623)=1,1,0))</f>
        <v/>
      </c>
      <c r="AI623" s="18" t="str">
        <f aca="false">IF($AH623=1,SUMPRODUCT(--($AK$2:$AK$4001&lt;$AK623))+1,"")</f>
        <v/>
      </c>
      <c r="AJ623" s="18" t="str">
        <f aca="false">IF($D623="","",IF(OR($R623=TRUE(),$R623="TRUE"),1,0))</f>
        <v/>
      </c>
      <c r="AK623" s="18" t="str">
        <f aca="false">IF($AH623=1,IFERROR(VALUE(MID($D623,2,20)),1000000000)+ROW()/10000000,"")</f>
        <v/>
      </c>
    </row>
    <row r="624" customFormat="false" ht="15" hidden="false" customHeight="false" outlineLevel="0" collapsed="false">
      <c r="F624" s="15"/>
      <c r="N624" s="16" t="str">
        <f aca="false">IF($D624="","",M624*Y624/100)</f>
        <v/>
      </c>
      <c r="V624" s="16" t="str">
        <f aca="false">IF($D624="","",Y624*AB624/100)</f>
        <v/>
      </c>
      <c r="W624" s="16" t="str">
        <f aca="false">IF($D624="","",Y624-V624)</f>
        <v/>
      </c>
      <c r="X624" s="16" t="str">
        <f aca="false">IF($D624="","",W624-N624)</f>
        <v/>
      </c>
      <c r="AB624" s="17" t="str">
        <f aca="false">IF($D624="","",IF(OR($R624=TRUE(),$R624="TRUE"),Settings!$C$6,Settings!$C$7)*100)</f>
        <v/>
      </c>
      <c r="AH624" s="18" t="str">
        <f aca="false">IF($D624="","",IF(COUNTIF($D$2:$D624,$D624)=1,1,0))</f>
        <v/>
      </c>
      <c r="AI624" s="18" t="str">
        <f aca="false">IF($AH624=1,SUMPRODUCT(--($AK$2:$AK$4001&lt;$AK624))+1,"")</f>
        <v/>
      </c>
      <c r="AJ624" s="18" t="str">
        <f aca="false">IF($D624="","",IF(OR($R624=TRUE(),$R624="TRUE"),1,0))</f>
        <v/>
      </c>
      <c r="AK624" s="18" t="str">
        <f aca="false">IF($AH624=1,IFERROR(VALUE(MID($D624,2,20)),1000000000)+ROW()/10000000,"")</f>
        <v/>
      </c>
    </row>
    <row r="625" customFormat="false" ht="15" hidden="false" customHeight="false" outlineLevel="0" collapsed="false">
      <c r="F625" s="15"/>
      <c r="N625" s="16" t="str">
        <f aca="false">IF($D625="","",M625*Y625/100)</f>
        <v/>
      </c>
      <c r="V625" s="16" t="str">
        <f aca="false">IF($D625="","",Y625*AB625/100)</f>
        <v/>
      </c>
      <c r="W625" s="16" t="str">
        <f aca="false">IF($D625="","",Y625-V625)</f>
        <v/>
      </c>
      <c r="X625" s="16" t="str">
        <f aca="false">IF($D625="","",W625-N625)</f>
        <v/>
      </c>
      <c r="AB625" s="17" t="str">
        <f aca="false">IF($D625="","",IF(OR($R625=TRUE(),$R625="TRUE"),Settings!$C$6,Settings!$C$7)*100)</f>
        <v/>
      </c>
      <c r="AH625" s="18" t="str">
        <f aca="false">IF($D625="","",IF(COUNTIF($D$2:$D625,$D625)=1,1,0))</f>
        <v/>
      </c>
      <c r="AI625" s="18" t="str">
        <f aca="false">IF($AH625=1,SUMPRODUCT(--($AK$2:$AK$4001&lt;$AK625))+1,"")</f>
        <v/>
      </c>
      <c r="AJ625" s="18" t="str">
        <f aca="false">IF($D625="","",IF(OR($R625=TRUE(),$R625="TRUE"),1,0))</f>
        <v/>
      </c>
      <c r="AK625" s="18" t="str">
        <f aca="false">IF($AH625=1,IFERROR(VALUE(MID($D625,2,20)),1000000000)+ROW()/10000000,"")</f>
        <v/>
      </c>
    </row>
    <row r="626" customFormat="false" ht="15" hidden="false" customHeight="false" outlineLevel="0" collapsed="false">
      <c r="F626" s="15"/>
      <c r="N626" s="16" t="str">
        <f aca="false">IF($D626="","",M626*Y626/100)</f>
        <v/>
      </c>
      <c r="V626" s="16" t="str">
        <f aca="false">IF($D626="","",Y626*AB626/100)</f>
        <v/>
      </c>
      <c r="W626" s="16" t="str">
        <f aca="false">IF($D626="","",Y626-V626)</f>
        <v/>
      </c>
      <c r="X626" s="16" t="str">
        <f aca="false">IF($D626="","",W626-N626)</f>
        <v/>
      </c>
      <c r="AB626" s="17" t="str">
        <f aca="false">IF($D626="","",IF(OR($R626=TRUE(),$R626="TRUE"),Settings!$C$6,Settings!$C$7)*100)</f>
        <v/>
      </c>
      <c r="AH626" s="18" t="str">
        <f aca="false">IF($D626="","",IF(COUNTIF($D$2:$D626,$D626)=1,1,0))</f>
        <v/>
      </c>
      <c r="AI626" s="18" t="str">
        <f aca="false">IF($AH626=1,SUMPRODUCT(--($AK$2:$AK$4001&lt;$AK626))+1,"")</f>
        <v/>
      </c>
      <c r="AJ626" s="18" t="str">
        <f aca="false">IF($D626="","",IF(OR($R626=TRUE(),$R626="TRUE"),1,0))</f>
        <v/>
      </c>
      <c r="AK626" s="18" t="str">
        <f aca="false">IF($AH626=1,IFERROR(VALUE(MID($D626,2,20)),1000000000)+ROW()/10000000,"")</f>
        <v/>
      </c>
    </row>
    <row r="627" customFormat="false" ht="15" hidden="false" customHeight="false" outlineLevel="0" collapsed="false">
      <c r="F627" s="15"/>
      <c r="N627" s="16" t="str">
        <f aca="false">IF($D627="","",M627*Y627/100)</f>
        <v/>
      </c>
      <c r="V627" s="16" t="str">
        <f aca="false">IF($D627="","",Y627*AB627/100)</f>
        <v/>
      </c>
      <c r="W627" s="16" t="str">
        <f aca="false">IF($D627="","",Y627-V627)</f>
        <v/>
      </c>
      <c r="X627" s="16" t="str">
        <f aca="false">IF($D627="","",W627-N627)</f>
        <v/>
      </c>
      <c r="AB627" s="17" t="str">
        <f aca="false">IF($D627="","",IF(OR($R627=TRUE(),$R627="TRUE"),Settings!$C$6,Settings!$C$7)*100)</f>
        <v/>
      </c>
      <c r="AH627" s="18" t="str">
        <f aca="false">IF($D627="","",IF(COUNTIF($D$2:$D627,$D627)=1,1,0))</f>
        <v/>
      </c>
      <c r="AI627" s="18" t="str">
        <f aca="false">IF($AH627=1,SUMPRODUCT(--($AK$2:$AK$4001&lt;$AK627))+1,"")</f>
        <v/>
      </c>
      <c r="AJ627" s="18" t="str">
        <f aca="false">IF($D627="","",IF(OR($R627=TRUE(),$R627="TRUE"),1,0))</f>
        <v/>
      </c>
      <c r="AK627" s="18" t="str">
        <f aca="false">IF($AH627=1,IFERROR(VALUE(MID($D627,2,20)),1000000000)+ROW()/10000000,"")</f>
        <v/>
      </c>
    </row>
    <row r="628" customFormat="false" ht="15" hidden="false" customHeight="false" outlineLevel="0" collapsed="false">
      <c r="F628" s="15"/>
      <c r="N628" s="16" t="str">
        <f aca="false">IF($D628="","",M628*Y628/100)</f>
        <v/>
      </c>
      <c r="V628" s="16" t="str">
        <f aca="false">IF($D628="","",Y628*AB628/100)</f>
        <v/>
      </c>
      <c r="W628" s="16" t="str">
        <f aca="false">IF($D628="","",Y628-V628)</f>
        <v/>
      </c>
      <c r="X628" s="16" t="str">
        <f aca="false">IF($D628="","",W628-N628)</f>
        <v/>
      </c>
      <c r="AB628" s="17" t="str">
        <f aca="false">IF($D628="","",IF(OR($R628=TRUE(),$R628="TRUE"),Settings!$C$6,Settings!$C$7)*100)</f>
        <v/>
      </c>
      <c r="AH628" s="18" t="str">
        <f aca="false">IF($D628="","",IF(COUNTIF($D$2:$D628,$D628)=1,1,0))</f>
        <v/>
      </c>
      <c r="AI628" s="18" t="str">
        <f aca="false">IF($AH628=1,SUMPRODUCT(--($AK$2:$AK$4001&lt;$AK628))+1,"")</f>
        <v/>
      </c>
      <c r="AJ628" s="18" t="str">
        <f aca="false">IF($D628="","",IF(OR($R628=TRUE(),$R628="TRUE"),1,0))</f>
        <v/>
      </c>
      <c r="AK628" s="18" t="str">
        <f aca="false">IF($AH628=1,IFERROR(VALUE(MID($D628,2,20)),1000000000)+ROW()/10000000,"")</f>
        <v/>
      </c>
    </row>
    <row r="629" customFormat="false" ht="15" hidden="false" customHeight="false" outlineLevel="0" collapsed="false">
      <c r="F629" s="15"/>
      <c r="N629" s="16" t="str">
        <f aca="false">IF($D629="","",M629*Y629/100)</f>
        <v/>
      </c>
      <c r="V629" s="16" t="str">
        <f aca="false">IF($D629="","",Y629*AB629/100)</f>
        <v/>
      </c>
      <c r="W629" s="16" t="str">
        <f aca="false">IF($D629="","",Y629-V629)</f>
        <v/>
      </c>
      <c r="X629" s="16" t="str">
        <f aca="false">IF($D629="","",W629-N629)</f>
        <v/>
      </c>
      <c r="AB629" s="17" t="str">
        <f aca="false">IF($D629="","",IF(OR($R629=TRUE(),$R629="TRUE"),Settings!$C$6,Settings!$C$7)*100)</f>
        <v/>
      </c>
      <c r="AH629" s="18" t="str">
        <f aca="false">IF($D629="","",IF(COUNTIF($D$2:$D629,$D629)=1,1,0))</f>
        <v/>
      </c>
      <c r="AI629" s="18" t="str">
        <f aca="false">IF($AH629=1,SUMPRODUCT(--($AK$2:$AK$4001&lt;$AK629))+1,"")</f>
        <v/>
      </c>
      <c r="AJ629" s="18" t="str">
        <f aca="false">IF($D629="","",IF(OR($R629=TRUE(),$R629="TRUE"),1,0))</f>
        <v/>
      </c>
      <c r="AK629" s="18" t="str">
        <f aca="false">IF($AH629=1,IFERROR(VALUE(MID($D629,2,20)),1000000000)+ROW()/10000000,"")</f>
        <v/>
      </c>
    </row>
    <row r="630" customFormat="false" ht="15" hidden="false" customHeight="false" outlineLevel="0" collapsed="false">
      <c r="F630" s="15"/>
      <c r="N630" s="16" t="str">
        <f aca="false">IF($D630="","",M630*Y630/100)</f>
        <v/>
      </c>
      <c r="V630" s="16" t="str">
        <f aca="false">IF($D630="","",Y630*AB630/100)</f>
        <v/>
      </c>
      <c r="W630" s="16" t="str">
        <f aca="false">IF($D630="","",Y630-V630)</f>
        <v/>
      </c>
      <c r="X630" s="16" t="str">
        <f aca="false">IF($D630="","",W630-N630)</f>
        <v/>
      </c>
      <c r="AB630" s="17" t="str">
        <f aca="false">IF($D630="","",IF(OR($R630=TRUE(),$R630="TRUE"),Settings!$C$6,Settings!$C$7)*100)</f>
        <v/>
      </c>
      <c r="AH630" s="18" t="str">
        <f aca="false">IF($D630="","",IF(COUNTIF($D$2:$D630,$D630)=1,1,0))</f>
        <v/>
      </c>
      <c r="AI630" s="18" t="str">
        <f aca="false">IF($AH630=1,SUMPRODUCT(--($AK$2:$AK$4001&lt;$AK630))+1,"")</f>
        <v/>
      </c>
      <c r="AJ630" s="18" t="str">
        <f aca="false">IF($D630="","",IF(OR($R630=TRUE(),$R630="TRUE"),1,0))</f>
        <v/>
      </c>
      <c r="AK630" s="18" t="str">
        <f aca="false">IF($AH630=1,IFERROR(VALUE(MID($D630,2,20)),1000000000)+ROW()/10000000,"")</f>
        <v/>
      </c>
    </row>
    <row r="631" customFormat="false" ht="15" hidden="false" customHeight="false" outlineLevel="0" collapsed="false">
      <c r="F631" s="15"/>
      <c r="N631" s="16" t="str">
        <f aca="false">IF($D631="","",M631*Y631/100)</f>
        <v/>
      </c>
      <c r="V631" s="16" t="str">
        <f aca="false">IF($D631="","",Y631*AB631/100)</f>
        <v/>
      </c>
      <c r="W631" s="16" t="str">
        <f aca="false">IF($D631="","",Y631-V631)</f>
        <v/>
      </c>
      <c r="X631" s="16" t="str">
        <f aca="false">IF($D631="","",W631-N631)</f>
        <v/>
      </c>
      <c r="AB631" s="17" t="str">
        <f aca="false">IF($D631="","",IF(OR($R631=TRUE(),$R631="TRUE"),Settings!$C$6,Settings!$C$7)*100)</f>
        <v/>
      </c>
      <c r="AH631" s="18" t="str">
        <f aca="false">IF($D631="","",IF(COUNTIF($D$2:$D631,$D631)=1,1,0))</f>
        <v/>
      </c>
      <c r="AI631" s="18" t="str">
        <f aca="false">IF($AH631=1,SUMPRODUCT(--($AK$2:$AK$4001&lt;$AK631))+1,"")</f>
        <v/>
      </c>
      <c r="AJ631" s="18" t="str">
        <f aca="false">IF($D631="","",IF(OR($R631=TRUE(),$R631="TRUE"),1,0))</f>
        <v/>
      </c>
      <c r="AK631" s="18" t="str">
        <f aca="false">IF($AH631=1,IFERROR(VALUE(MID($D631,2,20)),1000000000)+ROW()/10000000,"")</f>
        <v/>
      </c>
    </row>
    <row r="632" customFormat="false" ht="15" hidden="false" customHeight="false" outlineLevel="0" collapsed="false">
      <c r="F632" s="15"/>
      <c r="N632" s="16" t="str">
        <f aca="false">IF($D632="","",M632*Y632/100)</f>
        <v/>
      </c>
      <c r="V632" s="16" t="str">
        <f aca="false">IF($D632="","",Y632*AB632/100)</f>
        <v/>
      </c>
      <c r="W632" s="16" t="str">
        <f aca="false">IF($D632="","",Y632-V632)</f>
        <v/>
      </c>
      <c r="X632" s="16" t="str">
        <f aca="false">IF($D632="","",W632-N632)</f>
        <v/>
      </c>
      <c r="AB632" s="17" t="str">
        <f aca="false">IF($D632="","",IF(OR($R632=TRUE(),$R632="TRUE"),Settings!$C$6,Settings!$C$7)*100)</f>
        <v/>
      </c>
      <c r="AH632" s="18" t="str">
        <f aca="false">IF($D632="","",IF(COUNTIF($D$2:$D632,$D632)=1,1,0))</f>
        <v/>
      </c>
      <c r="AI632" s="18" t="str">
        <f aca="false">IF($AH632=1,SUMPRODUCT(--($AK$2:$AK$4001&lt;$AK632))+1,"")</f>
        <v/>
      </c>
      <c r="AJ632" s="18" t="str">
        <f aca="false">IF($D632="","",IF(OR($R632=TRUE(),$R632="TRUE"),1,0))</f>
        <v/>
      </c>
      <c r="AK632" s="18" t="str">
        <f aca="false">IF($AH632=1,IFERROR(VALUE(MID($D632,2,20)),1000000000)+ROW()/10000000,"")</f>
        <v/>
      </c>
    </row>
    <row r="633" customFormat="false" ht="15" hidden="false" customHeight="false" outlineLevel="0" collapsed="false">
      <c r="F633" s="15"/>
      <c r="N633" s="16" t="str">
        <f aca="false">IF($D633="","",M633*Y633/100)</f>
        <v/>
      </c>
      <c r="V633" s="16" t="str">
        <f aca="false">IF($D633="","",Y633*AB633/100)</f>
        <v/>
      </c>
      <c r="W633" s="16" t="str">
        <f aca="false">IF($D633="","",Y633-V633)</f>
        <v/>
      </c>
      <c r="X633" s="16" t="str">
        <f aca="false">IF($D633="","",W633-N633)</f>
        <v/>
      </c>
      <c r="AB633" s="17" t="str">
        <f aca="false">IF($D633="","",IF(OR($R633=TRUE(),$R633="TRUE"),Settings!$C$6,Settings!$C$7)*100)</f>
        <v/>
      </c>
      <c r="AH633" s="18" t="str">
        <f aca="false">IF($D633="","",IF(COUNTIF($D$2:$D633,$D633)=1,1,0))</f>
        <v/>
      </c>
      <c r="AI633" s="18" t="str">
        <f aca="false">IF($AH633=1,SUMPRODUCT(--($AK$2:$AK$4001&lt;$AK633))+1,"")</f>
        <v/>
      </c>
      <c r="AJ633" s="18" t="str">
        <f aca="false">IF($D633="","",IF(OR($R633=TRUE(),$R633="TRUE"),1,0))</f>
        <v/>
      </c>
      <c r="AK633" s="18" t="str">
        <f aca="false">IF($AH633=1,IFERROR(VALUE(MID($D633,2,20)),1000000000)+ROW()/10000000,"")</f>
        <v/>
      </c>
    </row>
    <row r="634" customFormat="false" ht="15" hidden="false" customHeight="false" outlineLevel="0" collapsed="false">
      <c r="F634" s="15"/>
      <c r="N634" s="16" t="str">
        <f aca="false">IF($D634="","",M634*Y634/100)</f>
        <v/>
      </c>
      <c r="V634" s="16" t="str">
        <f aca="false">IF($D634="","",Y634*AB634/100)</f>
        <v/>
      </c>
      <c r="W634" s="16" t="str">
        <f aca="false">IF($D634="","",Y634-V634)</f>
        <v/>
      </c>
      <c r="X634" s="16" t="str">
        <f aca="false">IF($D634="","",W634-N634)</f>
        <v/>
      </c>
      <c r="AB634" s="17" t="str">
        <f aca="false">IF($D634="","",IF(OR($R634=TRUE(),$R634="TRUE"),Settings!$C$6,Settings!$C$7)*100)</f>
        <v/>
      </c>
      <c r="AH634" s="18" t="str">
        <f aca="false">IF($D634="","",IF(COUNTIF($D$2:$D634,$D634)=1,1,0))</f>
        <v/>
      </c>
      <c r="AI634" s="18" t="str">
        <f aca="false">IF($AH634=1,SUMPRODUCT(--($AK$2:$AK$4001&lt;$AK634))+1,"")</f>
        <v/>
      </c>
      <c r="AJ634" s="18" t="str">
        <f aca="false">IF($D634="","",IF(OR($R634=TRUE(),$R634="TRUE"),1,0))</f>
        <v/>
      </c>
      <c r="AK634" s="18" t="str">
        <f aca="false">IF($AH634=1,IFERROR(VALUE(MID($D634,2,20)),1000000000)+ROW()/10000000,"")</f>
        <v/>
      </c>
    </row>
    <row r="635" customFormat="false" ht="15" hidden="false" customHeight="false" outlineLevel="0" collapsed="false">
      <c r="F635" s="15"/>
      <c r="N635" s="16" t="str">
        <f aca="false">IF($D635="","",M635*Y635/100)</f>
        <v/>
      </c>
      <c r="V635" s="16" t="str">
        <f aca="false">IF($D635="","",Y635*AB635/100)</f>
        <v/>
      </c>
      <c r="W635" s="16" t="str">
        <f aca="false">IF($D635="","",Y635-V635)</f>
        <v/>
      </c>
      <c r="X635" s="16" t="str">
        <f aca="false">IF($D635="","",W635-N635)</f>
        <v/>
      </c>
      <c r="AB635" s="17" t="str">
        <f aca="false">IF($D635="","",IF(OR($R635=TRUE(),$R635="TRUE"),Settings!$C$6,Settings!$C$7)*100)</f>
        <v/>
      </c>
      <c r="AH635" s="18" t="str">
        <f aca="false">IF($D635="","",IF(COUNTIF($D$2:$D635,$D635)=1,1,0))</f>
        <v/>
      </c>
      <c r="AI635" s="18" t="str">
        <f aca="false">IF($AH635=1,SUMPRODUCT(--($AK$2:$AK$4001&lt;$AK635))+1,"")</f>
        <v/>
      </c>
      <c r="AJ635" s="18" t="str">
        <f aca="false">IF($D635="","",IF(OR($R635=TRUE(),$R635="TRUE"),1,0))</f>
        <v/>
      </c>
      <c r="AK635" s="18" t="str">
        <f aca="false">IF($AH635=1,IFERROR(VALUE(MID($D635,2,20)),1000000000)+ROW()/10000000,"")</f>
        <v/>
      </c>
    </row>
    <row r="636" customFormat="false" ht="15" hidden="false" customHeight="false" outlineLevel="0" collapsed="false">
      <c r="F636" s="15"/>
      <c r="N636" s="16" t="str">
        <f aca="false">IF($D636="","",M636*Y636/100)</f>
        <v/>
      </c>
      <c r="V636" s="16" t="str">
        <f aca="false">IF($D636="","",Y636*AB636/100)</f>
        <v/>
      </c>
      <c r="W636" s="16" t="str">
        <f aca="false">IF($D636="","",Y636-V636)</f>
        <v/>
      </c>
      <c r="X636" s="16" t="str">
        <f aca="false">IF($D636="","",W636-N636)</f>
        <v/>
      </c>
      <c r="AB636" s="17" t="str">
        <f aca="false">IF($D636="","",IF(OR($R636=TRUE(),$R636="TRUE"),Settings!$C$6,Settings!$C$7)*100)</f>
        <v/>
      </c>
      <c r="AH636" s="18" t="str">
        <f aca="false">IF($D636="","",IF(COUNTIF($D$2:$D636,$D636)=1,1,0))</f>
        <v/>
      </c>
      <c r="AI636" s="18" t="str">
        <f aca="false">IF($AH636=1,SUMPRODUCT(--($AK$2:$AK$4001&lt;$AK636))+1,"")</f>
        <v/>
      </c>
      <c r="AJ636" s="18" t="str">
        <f aca="false">IF($D636="","",IF(OR($R636=TRUE(),$R636="TRUE"),1,0))</f>
        <v/>
      </c>
      <c r="AK636" s="18" t="str">
        <f aca="false">IF($AH636=1,IFERROR(VALUE(MID($D636,2,20)),1000000000)+ROW()/10000000,"")</f>
        <v/>
      </c>
    </row>
    <row r="637" customFormat="false" ht="15" hidden="false" customHeight="false" outlineLevel="0" collapsed="false">
      <c r="F637" s="15"/>
      <c r="N637" s="16" t="str">
        <f aca="false">IF($D637="","",M637*Y637/100)</f>
        <v/>
      </c>
      <c r="V637" s="16" t="str">
        <f aca="false">IF($D637="","",Y637*AB637/100)</f>
        <v/>
      </c>
      <c r="W637" s="16" t="str">
        <f aca="false">IF($D637="","",Y637-V637)</f>
        <v/>
      </c>
      <c r="X637" s="16" t="str">
        <f aca="false">IF($D637="","",W637-N637)</f>
        <v/>
      </c>
      <c r="AB637" s="17" t="str">
        <f aca="false">IF($D637="","",IF(OR($R637=TRUE(),$R637="TRUE"),Settings!$C$6,Settings!$C$7)*100)</f>
        <v/>
      </c>
      <c r="AH637" s="18" t="str">
        <f aca="false">IF($D637="","",IF(COUNTIF($D$2:$D637,$D637)=1,1,0))</f>
        <v/>
      </c>
      <c r="AI637" s="18" t="str">
        <f aca="false">IF($AH637=1,SUMPRODUCT(--($AK$2:$AK$4001&lt;$AK637))+1,"")</f>
        <v/>
      </c>
      <c r="AJ637" s="18" t="str">
        <f aca="false">IF($D637="","",IF(OR($R637=TRUE(),$R637="TRUE"),1,0))</f>
        <v/>
      </c>
      <c r="AK637" s="18" t="str">
        <f aca="false">IF($AH637=1,IFERROR(VALUE(MID($D637,2,20)),1000000000)+ROW()/10000000,"")</f>
        <v/>
      </c>
    </row>
    <row r="638" customFormat="false" ht="15" hidden="false" customHeight="false" outlineLevel="0" collapsed="false">
      <c r="F638" s="15"/>
      <c r="N638" s="16" t="str">
        <f aca="false">IF($D638="","",M638*Y638/100)</f>
        <v/>
      </c>
      <c r="V638" s="16" t="str">
        <f aca="false">IF($D638="","",Y638*AB638/100)</f>
        <v/>
      </c>
      <c r="W638" s="16" t="str">
        <f aca="false">IF($D638="","",Y638-V638)</f>
        <v/>
      </c>
      <c r="X638" s="16" t="str">
        <f aca="false">IF($D638="","",W638-N638)</f>
        <v/>
      </c>
      <c r="AB638" s="17" t="str">
        <f aca="false">IF($D638="","",IF(OR($R638=TRUE(),$R638="TRUE"),Settings!$C$6,Settings!$C$7)*100)</f>
        <v/>
      </c>
      <c r="AH638" s="18" t="str">
        <f aca="false">IF($D638="","",IF(COUNTIF($D$2:$D638,$D638)=1,1,0))</f>
        <v/>
      </c>
      <c r="AI638" s="18" t="str">
        <f aca="false">IF($AH638=1,SUMPRODUCT(--($AK$2:$AK$4001&lt;$AK638))+1,"")</f>
        <v/>
      </c>
      <c r="AJ638" s="18" t="str">
        <f aca="false">IF($D638="","",IF(OR($R638=TRUE(),$R638="TRUE"),1,0))</f>
        <v/>
      </c>
      <c r="AK638" s="18" t="str">
        <f aca="false">IF($AH638=1,IFERROR(VALUE(MID($D638,2,20)),1000000000)+ROW()/10000000,"")</f>
        <v/>
      </c>
    </row>
    <row r="639" customFormat="false" ht="15" hidden="false" customHeight="false" outlineLevel="0" collapsed="false">
      <c r="F639" s="15"/>
      <c r="N639" s="16" t="str">
        <f aca="false">IF($D639="","",M639*Y639/100)</f>
        <v/>
      </c>
      <c r="V639" s="16" t="str">
        <f aca="false">IF($D639="","",Y639*AB639/100)</f>
        <v/>
      </c>
      <c r="W639" s="16" t="str">
        <f aca="false">IF($D639="","",Y639-V639)</f>
        <v/>
      </c>
      <c r="X639" s="16" t="str">
        <f aca="false">IF($D639="","",W639-N639)</f>
        <v/>
      </c>
      <c r="AB639" s="17" t="str">
        <f aca="false">IF($D639="","",IF(OR($R639=TRUE(),$R639="TRUE"),Settings!$C$6,Settings!$C$7)*100)</f>
        <v/>
      </c>
      <c r="AH639" s="18" t="str">
        <f aca="false">IF($D639="","",IF(COUNTIF($D$2:$D639,$D639)=1,1,0))</f>
        <v/>
      </c>
      <c r="AI639" s="18" t="str">
        <f aca="false">IF($AH639=1,SUMPRODUCT(--($AK$2:$AK$4001&lt;$AK639))+1,"")</f>
        <v/>
      </c>
      <c r="AJ639" s="18" t="str">
        <f aca="false">IF($D639="","",IF(OR($R639=TRUE(),$R639="TRUE"),1,0))</f>
        <v/>
      </c>
      <c r="AK639" s="18" t="str">
        <f aca="false">IF($AH639=1,IFERROR(VALUE(MID($D639,2,20)),1000000000)+ROW()/10000000,"")</f>
        <v/>
      </c>
    </row>
    <row r="640" customFormat="false" ht="15" hidden="false" customHeight="false" outlineLevel="0" collapsed="false">
      <c r="F640" s="15"/>
      <c r="N640" s="16" t="str">
        <f aca="false">IF($D640="","",M640*Y640/100)</f>
        <v/>
      </c>
      <c r="V640" s="16" t="str">
        <f aca="false">IF($D640="","",Y640*AB640/100)</f>
        <v/>
      </c>
      <c r="W640" s="16" t="str">
        <f aca="false">IF($D640="","",Y640-V640)</f>
        <v/>
      </c>
      <c r="X640" s="16" t="str">
        <f aca="false">IF($D640="","",W640-N640)</f>
        <v/>
      </c>
      <c r="AB640" s="17" t="str">
        <f aca="false">IF($D640="","",IF(OR($R640=TRUE(),$R640="TRUE"),Settings!$C$6,Settings!$C$7)*100)</f>
        <v/>
      </c>
      <c r="AH640" s="18" t="str">
        <f aca="false">IF($D640="","",IF(COUNTIF($D$2:$D640,$D640)=1,1,0))</f>
        <v/>
      </c>
      <c r="AI640" s="18" t="str">
        <f aca="false">IF($AH640=1,SUMPRODUCT(--($AK$2:$AK$4001&lt;$AK640))+1,"")</f>
        <v/>
      </c>
      <c r="AJ640" s="18" t="str">
        <f aca="false">IF($D640="","",IF(OR($R640=TRUE(),$R640="TRUE"),1,0))</f>
        <v/>
      </c>
      <c r="AK640" s="18" t="str">
        <f aca="false">IF($AH640=1,IFERROR(VALUE(MID($D640,2,20)),1000000000)+ROW()/10000000,"")</f>
        <v/>
      </c>
    </row>
    <row r="641" customFormat="false" ht="15" hidden="false" customHeight="false" outlineLevel="0" collapsed="false">
      <c r="F641" s="15"/>
      <c r="N641" s="16" t="str">
        <f aca="false">IF($D641="","",M641*Y641/100)</f>
        <v/>
      </c>
      <c r="V641" s="16" t="str">
        <f aca="false">IF($D641="","",Y641*AB641/100)</f>
        <v/>
      </c>
      <c r="W641" s="16" t="str">
        <f aca="false">IF($D641="","",Y641-V641)</f>
        <v/>
      </c>
      <c r="X641" s="16" t="str">
        <f aca="false">IF($D641="","",W641-N641)</f>
        <v/>
      </c>
      <c r="AB641" s="17" t="str">
        <f aca="false">IF($D641="","",IF(OR($R641=TRUE(),$R641="TRUE"),Settings!$C$6,Settings!$C$7)*100)</f>
        <v/>
      </c>
      <c r="AH641" s="18" t="str">
        <f aca="false">IF($D641="","",IF(COUNTIF($D$2:$D641,$D641)=1,1,0))</f>
        <v/>
      </c>
      <c r="AI641" s="18" t="str">
        <f aca="false">IF($AH641=1,SUMPRODUCT(--($AK$2:$AK$4001&lt;$AK641))+1,"")</f>
        <v/>
      </c>
      <c r="AJ641" s="18" t="str">
        <f aca="false">IF($D641="","",IF(OR($R641=TRUE(),$R641="TRUE"),1,0))</f>
        <v/>
      </c>
      <c r="AK641" s="18" t="str">
        <f aca="false">IF($AH641=1,IFERROR(VALUE(MID($D641,2,20)),1000000000)+ROW()/10000000,"")</f>
        <v/>
      </c>
    </row>
    <row r="642" customFormat="false" ht="15" hidden="false" customHeight="false" outlineLevel="0" collapsed="false">
      <c r="F642" s="15"/>
      <c r="N642" s="16" t="str">
        <f aca="false">IF($D642="","",M642*Y642/100)</f>
        <v/>
      </c>
      <c r="V642" s="16" t="str">
        <f aca="false">IF($D642="","",Y642*AB642/100)</f>
        <v/>
      </c>
      <c r="W642" s="16" t="str">
        <f aca="false">IF($D642="","",Y642-V642)</f>
        <v/>
      </c>
      <c r="X642" s="16" t="str">
        <f aca="false">IF($D642="","",W642-N642)</f>
        <v/>
      </c>
      <c r="AB642" s="17" t="str">
        <f aca="false">IF($D642="","",IF(OR($R642=TRUE(),$R642="TRUE"),Settings!$C$6,Settings!$C$7)*100)</f>
        <v/>
      </c>
      <c r="AH642" s="18" t="str">
        <f aca="false">IF($D642="","",IF(COUNTIF($D$2:$D642,$D642)=1,1,0))</f>
        <v/>
      </c>
      <c r="AI642" s="18" t="str">
        <f aca="false">IF($AH642=1,SUMPRODUCT(--($AK$2:$AK$4001&lt;$AK642))+1,"")</f>
        <v/>
      </c>
      <c r="AJ642" s="18" t="str">
        <f aca="false">IF($D642="","",IF(OR($R642=TRUE(),$R642="TRUE"),1,0))</f>
        <v/>
      </c>
      <c r="AK642" s="18" t="str">
        <f aca="false">IF($AH642=1,IFERROR(VALUE(MID($D642,2,20)),1000000000)+ROW()/10000000,"")</f>
        <v/>
      </c>
    </row>
    <row r="643" customFormat="false" ht="15" hidden="false" customHeight="false" outlineLevel="0" collapsed="false">
      <c r="F643" s="15"/>
      <c r="N643" s="16" t="str">
        <f aca="false">IF($D643="","",M643*Y643/100)</f>
        <v/>
      </c>
      <c r="V643" s="16" t="str">
        <f aca="false">IF($D643="","",Y643*AB643/100)</f>
        <v/>
      </c>
      <c r="W643" s="16" t="str">
        <f aca="false">IF($D643="","",Y643-V643)</f>
        <v/>
      </c>
      <c r="X643" s="16" t="str">
        <f aca="false">IF($D643="","",W643-N643)</f>
        <v/>
      </c>
      <c r="AB643" s="17" t="str">
        <f aca="false">IF($D643="","",IF(OR($R643=TRUE(),$R643="TRUE"),Settings!$C$6,Settings!$C$7)*100)</f>
        <v/>
      </c>
      <c r="AH643" s="18" t="str">
        <f aca="false">IF($D643="","",IF(COUNTIF($D$2:$D643,$D643)=1,1,0))</f>
        <v/>
      </c>
      <c r="AI643" s="18" t="str">
        <f aca="false">IF($AH643=1,SUMPRODUCT(--($AK$2:$AK$4001&lt;$AK643))+1,"")</f>
        <v/>
      </c>
      <c r="AJ643" s="18" t="str">
        <f aca="false">IF($D643="","",IF(OR($R643=TRUE(),$R643="TRUE"),1,0))</f>
        <v/>
      </c>
      <c r="AK643" s="18" t="str">
        <f aca="false">IF($AH643=1,IFERROR(VALUE(MID($D643,2,20)),1000000000)+ROW()/10000000,"")</f>
        <v/>
      </c>
    </row>
    <row r="644" customFormat="false" ht="15" hidden="false" customHeight="false" outlineLevel="0" collapsed="false">
      <c r="F644" s="15"/>
      <c r="N644" s="16" t="str">
        <f aca="false">IF($D644="","",M644*Y644/100)</f>
        <v/>
      </c>
      <c r="V644" s="16" t="str">
        <f aca="false">IF($D644="","",Y644*AB644/100)</f>
        <v/>
      </c>
      <c r="W644" s="16" t="str">
        <f aca="false">IF($D644="","",Y644-V644)</f>
        <v/>
      </c>
      <c r="X644" s="16" t="str">
        <f aca="false">IF($D644="","",W644-N644)</f>
        <v/>
      </c>
      <c r="AB644" s="17" t="str">
        <f aca="false">IF($D644="","",IF(OR($R644=TRUE(),$R644="TRUE"),Settings!$C$6,Settings!$C$7)*100)</f>
        <v/>
      </c>
      <c r="AH644" s="18" t="str">
        <f aca="false">IF($D644="","",IF(COUNTIF($D$2:$D644,$D644)=1,1,0))</f>
        <v/>
      </c>
      <c r="AI644" s="18" t="str">
        <f aca="false">IF($AH644=1,SUMPRODUCT(--($AK$2:$AK$4001&lt;$AK644))+1,"")</f>
        <v/>
      </c>
      <c r="AJ644" s="18" t="str">
        <f aca="false">IF($D644="","",IF(OR($R644=TRUE(),$R644="TRUE"),1,0))</f>
        <v/>
      </c>
      <c r="AK644" s="18" t="str">
        <f aca="false">IF($AH644=1,IFERROR(VALUE(MID($D644,2,20)),1000000000)+ROW()/10000000,"")</f>
        <v/>
      </c>
    </row>
    <row r="645" customFormat="false" ht="15" hidden="false" customHeight="false" outlineLevel="0" collapsed="false">
      <c r="F645" s="15"/>
      <c r="N645" s="16" t="str">
        <f aca="false">IF($D645="","",M645*Y645/100)</f>
        <v/>
      </c>
      <c r="V645" s="16" t="str">
        <f aca="false">IF($D645="","",Y645*AB645/100)</f>
        <v/>
      </c>
      <c r="W645" s="16" t="str">
        <f aca="false">IF($D645="","",Y645-V645)</f>
        <v/>
      </c>
      <c r="X645" s="16" t="str">
        <f aca="false">IF($D645="","",W645-N645)</f>
        <v/>
      </c>
      <c r="AB645" s="17" t="str">
        <f aca="false">IF($D645="","",IF(OR($R645=TRUE(),$R645="TRUE"),Settings!$C$6,Settings!$C$7)*100)</f>
        <v/>
      </c>
      <c r="AH645" s="18" t="str">
        <f aca="false">IF($D645="","",IF(COUNTIF($D$2:$D645,$D645)=1,1,0))</f>
        <v/>
      </c>
      <c r="AI645" s="18" t="str">
        <f aca="false">IF($AH645=1,SUMPRODUCT(--($AK$2:$AK$4001&lt;$AK645))+1,"")</f>
        <v/>
      </c>
      <c r="AJ645" s="18" t="str">
        <f aca="false">IF($D645="","",IF(OR($R645=TRUE(),$R645="TRUE"),1,0))</f>
        <v/>
      </c>
      <c r="AK645" s="18" t="str">
        <f aca="false">IF($AH645=1,IFERROR(VALUE(MID($D645,2,20)),1000000000)+ROW()/10000000,"")</f>
        <v/>
      </c>
    </row>
    <row r="646" customFormat="false" ht="15" hidden="false" customHeight="false" outlineLevel="0" collapsed="false">
      <c r="F646" s="15"/>
      <c r="N646" s="16" t="str">
        <f aca="false">IF($D646="","",M646*Y646/100)</f>
        <v/>
      </c>
      <c r="V646" s="16" t="str">
        <f aca="false">IF($D646="","",Y646*AB646/100)</f>
        <v/>
      </c>
      <c r="W646" s="16" t="str">
        <f aca="false">IF($D646="","",Y646-V646)</f>
        <v/>
      </c>
      <c r="X646" s="16" t="str">
        <f aca="false">IF($D646="","",W646-N646)</f>
        <v/>
      </c>
      <c r="AB646" s="17" t="str">
        <f aca="false">IF($D646="","",IF(OR($R646=TRUE(),$R646="TRUE"),Settings!$C$6,Settings!$C$7)*100)</f>
        <v/>
      </c>
      <c r="AH646" s="18" t="str">
        <f aca="false">IF($D646="","",IF(COUNTIF($D$2:$D646,$D646)=1,1,0))</f>
        <v/>
      </c>
      <c r="AI646" s="18" t="str">
        <f aca="false">IF($AH646=1,SUMPRODUCT(--($AK$2:$AK$4001&lt;$AK646))+1,"")</f>
        <v/>
      </c>
      <c r="AJ646" s="18" t="str">
        <f aca="false">IF($D646="","",IF(OR($R646=TRUE(),$R646="TRUE"),1,0))</f>
        <v/>
      </c>
      <c r="AK646" s="18" t="str">
        <f aca="false">IF($AH646=1,IFERROR(VALUE(MID($D646,2,20)),1000000000)+ROW()/10000000,"")</f>
        <v/>
      </c>
    </row>
    <row r="647" customFormat="false" ht="15" hidden="false" customHeight="false" outlineLevel="0" collapsed="false">
      <c r="F647" s="15"/>
      <c r="N647" s="16" t="str">
        <f aca="false">IF($D647="","",M647*Y647/100)</f>
        <v/>
      </c>
      <c r="V647" s="16" t="str">
        <f aca="false">IF($D647="","",Y647*AB647/100)</f>
        <v/>
      </c>
      <c r="W647" s="16" t="str">
        <f aca="false">IF($D647="","",Y647-V647)</f>
        <v/>
      </c>
      <c r="X647" s="16" t="str">
        <f aca="false">IF($D647="","",W647-N647)</f>
        <v/>
      </c>
      <c r="AB647" s="17" t="str">
        <f aca="false">IF($D647="","",IF(OR($R647=TRUE(),$R647="TRUE"),Settings!$C$6,Settings!$C$7)*100)</f>
        <v/>
      </c>
      <c r="AH647" s="18" t="str">
        <f aca="false">IF($D647="","",IF(COUNTIF($D$2:$D647,$D647)=1,1,0))</f>
        <v/>
      </c>
      <c r="AI647" s="18" t="str">
        <f aca="false">IF($AH647=1,SUMPRODUCT(--($AK$2:$AK$4001&lt;$AK647))+1,"")</f>
        <v/>
      </c>
      <c r="AJ647" s="18" t="str">
        <f aca="false">IF($D647="","",IF(OR($R647=TRUE(),$R647="TRUE"),1,0))</f>
        <v/>
      </c>
      <c r="AK647" s="18" t="str">
        <f aca="false">IF($AH647=1,IFERROR(VALUE(MID($D647,2,20)),1000000000)+ROW()/10000000,"")</f>
        <v/>
      </c>
    </row>
    <row r="648" customFormat="false" ht="15" hidden="false" customHeight="false" outlineLevel="0" collapsed="false">
      <c r="F648" s="15"/>
      <c r="N648" s="16" t="str">
        <f aca="false">IF($D648="","",M648*Y648/100)</f>
        <v/>
      </c>
      <c r="V648" s="16" t="str">
        <f aca="false">IF($D648="","",Y648*AB648/100)</f>
        <v/>
      </c>
      <c r="W648" s="16" t="str">
        <f aca="false">IF($D648="","",Y648-V648)</f>
        <v/>
      </c>
      <c r="X648" s="16" t="str">
        <f aca="false">IF($D648="","",W648-N648)</f>
        <v/>
      </c>
      <c r="AB648" s="17" t="str">
        <f aca="false">IF($D648="","",IF(OR($R648=TRUE(),$R648="TRUE"),Settings!$C$6,Settings!$C$7)*100)</f>
        <v/>
      </c>
      <c r="AH648" s="18" t="str">
        <f aca="false">IF($D648="","",IF(COUNTIF($D$2:$D648,$D648)=1,1,0))</f>
        <v/>
      </c>
      <c r="AI648" s="18" t="str">
        <f aca="false">IF($AH648=1,SUMPRODUCT(--($AK$2:$AK$4001&lt;$AK648))+1,"")</f>
        <v/>
      </c>
      <c r="AJ648" s="18" t="str">
        <f aca="false">IF($D648="","",IF(OR($R648=TRUE(),$R648="TRUE"),1,0))</f>
        <v/>
      </c>
      <c r="AK648" s="18" t="str">
        <f aca="false">IF($AH648=1,IFERROR(VALUE(MID($D648,2,20)),1000000000)+ROW()/10000000,"")</f>
        <v/>
      </c>
    </row>
    <row r="649" customFormat="false" ht="15" hidden="false" customHeight="false" outlineLevel="0" collapsed="false">
      <c r="F649" s="15"/>
      <c r="N649" s="16" t="str">
        <f aca="false">IF($D649="","",M649*Y649/100)</f>
        <v/>
      </c>
      <c r="V649" s="16" t="str">
        <f aca="false">IF($D649="","",Y649*AB649/100)</f>
        <v/>
      </c>
      <c r="W649" s="16" t="str">
        <f aca="false">IF($D649="","",Y649-V649)</f>
        <v/>
      </c>
      <c r="X649" s="16" t="str">
        <f aca="false">IF($D649="","",W649-N649)</f>
        <v/>
      </c>
      <c r="AB649" s="17" t="str">
        <f aca="false">IF($D649="","",IF(OR($R649=TRUE(),$R649="TRUE"),Settings!$C$6,Settings!$C$7)*100)</f>
        <v/>
      </c>
      <c r="AH649" s="18" t="str">
        <f aca="false">IF($D649="","",IF(COUNTIF($D$2:$D649,$D649)=1,1,0))</f>
        <v/>
      </c>
      <c r="AI649" s="18" t="str">
        <f aca="false">IF($AH649=1,SUMPRODUCT(--($AK$2:$AK$4001&lt;$AK649))+1,"")</f>
        <v/>
      </c>
      <c r="AJ649" s="18" t="str">
        <f aca="false">IF($D649="","",IF(OR($R649=TRUE(),$R649="TRUE"),1,0))</f>
        <v/>
      </c>
      <c r="AK649" s="18" t="str">
        <f aca="false">IF($AH649=1,IFERROR(VALUE(MID($D649,2,20)),1000000000)+ROW()/10000000,"")</f>
        <v/>
      </c>
    </row>
    <row r="650" customFormat="false" ht="15" hidden="false" customHeight="false" outlineLevel="0" collapsed="false">
      <c r="F650" s="15"/>
      <c r="N650" s="16" t="str">
        <f aca="false">IF($D650="","",M650*Y650/100)</f>
        <v/>
      </c>
      <c r="V650" s="16" t="str">
        <f aca="false">IF($D650="","",Y650*AB650/100)</f>
        <v/>
      </c>
      <c r="W650" s="16" t="str">
        <f aca="false">IF($D650="","",Y650-V650)</f>
        <v/>
      </c>
      <c r="X650" s="16" t="str">
        <f aca="false">IF($D650="","",W650-N650)</f>
        <v/>
      </c>
      <c r="AB650" s="17" t="str">
        <f aca="false">IF($D650="","",IF(OR($R650=TRUE(),$R650="TRUE"),Settings!$C$6,Settings!$C$7)*100)</f>
        <v/>
      </c>
      <c r="AH650" s="18" t="str">
        <f aca="false">IF($D650="","",IF(COUNTIF($D$2:$D650,$D650)=1,1,0))</f>
        <v/>
      </c>
      <c r="AI650" s="18" t="str">
        <f aca="false">IF($AH650=1,SUMPRODUCT(--($AK$2:$AK$4001&lt;$AK650))+1,"")</f>
        <v/>
      </c>
      <c r="AJ650" s="18" t="str">
        <f aca="false">IF($D650="","",IF(OR($R650=TRUE(),$R650="TRUE"),1,0))</f>
        <v/>
      </c>
      <c r="AK650" s="18" t="str">
        <f aca="false">IF($AH650=1,IFERROR(VALUE(MID($D650,2,20)),1000000000)+ROW()/10000000,"")</f>
        <v/>
      </c>
    </row>
    <row r="651" customFormat="false" ht="15" hidden="false" customHeight="false" outlineLevel="0" collapsed="false">
      <c r="F651" s="15"/>
      <c r="N651" s="16" t="str">
        <f aca="false">IF($D651="","",M651*Y651/100)</f>
        <v/>
      </c>
      <c r="V651" s="16" t="str">
        <f aca="false">IF($D651="","",Y651*AB651/100)</f>
        <v/>
      </c>
      <c r="W651" s="16" t="str">
        <f aca="false">IF($D651="","",Y651-V651)</f>
        <v/>
      </c>
      <c r="X651" s="16" t="str">
        <f aca="false">IF($D651="","",W651-N651)</f>
        <v/>
      </c>
      <c r="AB651" s="17" t="str">
        <f aca="false">IF($D651="","",IF(OR($R651=TRUE(),$R651="TRUE"),Settings!$C$6,Settings!$C$7)*100)</f>
        <v/>
      </c>
      <c r="AH651" s="18" t="str">
        <f aca="false">IF($D651="","",IF(COUNTIF($D$2:$D651,$D651)=1,1,0))</f>
        <v/>
      </c>
      <c r="AI651" s="18" t="str">
        <f aca="false">IF($AH651=1,SUMPRODUCT(--($AK$2:$AK$4001&lt;$AK651))+1,"")</f>
        <v/>
      </c>
      <c r="AJ651" s="18" t="str">
        <f aca="false">IF($D651="","",IF(OR($R651=TRUE(),$R651="TRUE"),1,0))</f>
        <v/>
      </c>
      <c r="AK651" s="18" t="str">
        <f aca="false">IF($AH651=1,IFERROR(VALUE(MID($D651,2,20)),1000000000)+ROW()/10000000,"")</f>
        <v/>
      </c>
    </row>
    <row r="652" customFormat="false" ht="15" hidden="false" customHeight="false" outlineLevel="0" collapsed="false">
      <c r="F652" s="15"/>
      <c r="N652" s="16" t="str">
        <f aca="false">IF($D652="","",M652*Y652/100)</f>
        <v/>
      </c>
      <c r="V652" s="16" t="str">
        <f aca="false">IF($D652="","",Y652*AB652/100)</f>
        <v/>
      </c>
      <c r="W652" s="16" t="str">
        <f aca="false">IF($D652="","",Y652-V652)</f>
        <v/>
      </c>
      <c r="X652" s="16" t="str">
        <f aca="false">IF($D652="","",W652-N652)</f>
        <v/>
      </c>
      <c r="AB652" s="17" t="str">
        <f aca="false">IF($D652="","",IF(OR($R652=TRUE(),$R652="TRUE"),Settings!$C$6,Settings!$C$7)*100)</f>
        <v/>
      </c>
      <c r="AH652" s="18" t="str">
        <f aca="false">IF($D652="","",IF(COUNTIF($D$2:$D652,$D652)=1,1,0))</f>
        <v/>
      </c>
      <c r="AI652" s="18" t="str">
        <f aca="false">IF($AH652=1,SUMPRODUCT(--($AK$2:$AK$4001&lt;$AK652))+1,"")</f>
        <v/>
      </c>
      <c r="AJ652" s="18" t="str">
        <f aca="false">IF($D652="","",IF(OR($R652=TRUE(),$R652="TRUE"),1,0))</f>
        <v/>
      </c>
      <c r="AK652" s="18" t="str">
        <f aca="false">IF($AH652=1,IFERROR(VALUE(MID($D652,2,20)),1000000000)+ROW()/10000000,"")</f>
        <v/>
      </c>
    </row>
    <row r="653" customFormat="false" ht="15" hidden="false" customHeight="false" outlineLevel="0" collapsed="false">
      <c r="F653" s="15"/>
      <c r="N653" s="16" t="str">
        <f aca="false">IF($D653="","",M653*Y653/100)</f>
        <v/>
      </c>
      <c r="V653" s="16" t="str">
        <f aca="false">IF($D653="","",Y653*AB653/100)</f>
        <v/>
      </c>
      <c r="W653" s="16" t="str">
        <f aca="false">IF($D653="","",Y653-V653)</f>
        <v/>
      </c>
      <c r="X653" s="16" t="str">
        <f aca="false">IF($D653="","",W653-N653)</f>
        <v/>
      </c>
      <c r="AB653" s="17" t="str">
        <f aca="false">IF($D653="","",IF(OR($R653=TRUE(),$R653="TRUE"),Settings!$C$6,Settings!$C$7)*100)</f>
        <v/>
      </c>
      <c r="AH653" s="18" t="str">
        <f aca="false">IF($D653="","",IF(COUNTIF($D$2:$D653,$D653)=1,1,0))</f>
        <v/>
      </c>
      <c r="AI653" s="18" t="str">
        <f aca="false">IF($AH653=1,SUMPRODUCT(--($AK$2:$AK$4001&lt;$AK653))+1,"")</f>
        <v/>
      </c>
      <c r="AJ653" s="18" t="str">
        <f aca="false">IF($D653="","",IF(OR($R653=TRUE(),$R653="TRUE"),1,0))</f>
        <v/>
      </c>
      <c r="AK653" s="18" t="str">
        <f aca="false">IF($AH653=1,IFERROR(VALUE(MID($D653,2,20)),1000000000)+ROW()/10000000,"")</f>
        <v/>
      </c>
    </row>
    <row r="654" customFormat="false" ht="15" hidden="false" customHeight="false" outlineLevel="0" collapsed="false">
      <c r="F654" s="15"/>
      <c r="N654" s="16" t="str">
        <f aca="false">IF($D654="","",M654*Y654/100)</f>
        <v/>
      </c>
      <c r="V654" s="16" t="str">
        <f aca="false">IF($D654="","",Y654*AB654/100)</f>
        <v/>
      </c>
      <c r="W654" s="16" t="str">
        <f aca="false">IF($D654="","",Y654-V654)</f>
        <v/>
      </c>
      <c r="X654" s="16" t="str">
        <f aca="false">IF($D654="","",W654-N654)</f>
        <v/>
      </c>
      <c r="AB654" s="17" t="str">
        <f aca="false">IF($D654="","",IF(OR($R654=TRUE(),$R654="TRUE"),Settings!$C$6,Settings!$C$7)*100)</f>
        <v/>
      </c>
      <c r="AH654" s="18" t="str">
        <f aca="false">IF($D654="","",IF(COUNTIF($D$2:$D654,$D654)=1,1,0))</f>
        <v/>
      </c>
      <c r="AI654" s="18" t="str">
        <f aca="false">IF($AH654=1,SUMPRODUCT(--($AK$2:$AK$4001&lt;$AK654))+1,"")</f>
        <v/>
      </c>
      <c r="AJ654" s="18" t="str">
        <f aca="false">IF($D654="","",IF(OR($R654=TRUE(),$R654="TRUE"),1,0))</f>
        <v/>
      </c>
      <c r="AK654" s="18" t="str">
        <f aca="false">IF($AH654=1,IFERROR(VALUE(MID($D654,2,20)),1000000000)+ROW()/10000000,"")</f>
        <v/>
      </c>
    </row>
    <row r="655" customFormat="false" ht="15" hidden="false" customHeight="false" outlineLevel="0" collapsed="false">
      <c r="F655" s="15"/>
      <c r="N655" s="16" t="str">
        <f aca="false">IF($D655="","",M655*Y655/100)</f>
        <v/>
      </c>
      <c r="V655" s="16" t="str">
        <f aca="false">IF($D655="","",Y655*AB655/100)</f>
        <v/>
      </c>
      <c r="W655" s="16" t="str">
        <f aca="false">IF($D655="","",Y655-V655)</f>
        <v/>
      </c>
      <c r="X655" s="16" t="str">
        <f aca="false">IF($D655="","",W655-N655)</f>
        <v/>
      </c>
      <c r="AB655" s="17" t="str">
        <f aca="false">IF($D655="","",IF(OR($R655=TRUE(),$R655="TRUE"),Settings!$C$6,Settings!$C$7)*100)</f>
        <v/>
      </c>
      <c r="AH655" s="18" t="str">
        <f aca="false">IF($D655="","",IF(COUNTIF($D$2:$D655,$D655)=1,1,0))</f>
        <v/>
      </c>
      <c r="AI655" s="18" t="str">
        <f aca="false">IF($AH655=1,SUMPRODUCT(--($AK$2:$AK$4001&lt;$AK655))+1,"")</f>
        <v/>
      </c>
      <c r="AJ655" s="18" t="str">
        <f aca="false">IF($D655="","",IF(OR($R655=TRUE(),$R655="TRUE"),1,0))</f>
        <v/>
      </c>
      <c r="AK655" s="18" t="str">
        <f aca="false">IF($AH655=1,IFERROR(VALUE(MID($D655,2,20)),1000000000)+ROW()/10000000,"")</f>
        <v/>
      </c>
    </row>
    <row r="656" customFormat="false" ht="15" hidden="false" customHeight="false" outlineLevel="0" collapsed="false">
      <c r="F656" s="15"/>
      <c r="N656" s="16" t="str">
        <f aca="false">IF($D656="","",M656*Y656/100)</f>
        <v/>
      </c>
      <c r="V656" s="16" t="str">
        <f aca="false">IF($D656="","",Y656*AB656/100)</f>
        <v/>
      </c>
      <c r="W656" s="16" t="str">
        <f aca="false">IF($D656="","",Y656-V656)</f>
        <v/>
      </c>
      <c r="X656" s="16" t="str">
        <f aca="false">IF($D656="","",W656-N656)</f>
        <v/>
      </c>
      <c r="AB656" s="17" t="str">
        <f aca="false">IF($D656="","",IF(OR($R656=TRUE(),$R656="TRUE"),Settings!$C$6,Settings!$C$7)*100)</f>
        <v/>
      </c>
      <c r="AH656" s="18" t="str">
        <f aca="false">IF($D656="","",IF(COUNTIF($D$2:$D656,$D656)=1,1,0))</f>
        <v/>
      </c>
      <c r="AI656" s="18" t="str">
        <f aca="false">IF($AH656=1,SUMPRODUCT(--($AK$2:$AK$4001&lt;$AK656))+1,"")</f>
        <v/>
      </c>
      <c r="AJ656" s="18" t="str">
        <f aca="false">IF($D656="","",IF(OR($R656=TRUE(),$R656="TRUE"),1,0))</f>
        <v/>
      </c>
      <c r="AK656" s="18" t="str">
        <f aca="false">IF($AH656=1,IFERROR(VALUE(MID($D656,2,20)),1000000000)+ROW()/10000000,"")</f>
        <v/>
      </c>
    </row>
    <row r="657" customFormat="false" ht="15" hidden="false" customHeight="false" outlineLevel="0" collapsed="false">
      <c r="F657" s="15"/>
      <c r="N657" s="16" t="str">
        <f aca="false">IF($D657="","",M657*Y657/100)</f>
        <v/>
      </c>
      <c r="V657" s="16" t="str">
        <f aca="false">IF($D657="","",Y657*AB657/100)</f>
        <v/>
      </c>
      <c r="W657" s="16" t="str">
        <f aca="false">IF($D657="","",Y657-V657)</f>
        <v/>
      </c>
      <c r="X657" s="16" t="str">
        <f aca="false">IF($D657="","",W657-N657)</f>
        <v/>
      </c>
      <c r="AB657" s="17" t="str">
        <f aca="false">IF($D657="","",IF(OR($R657=TRUE(),$R657="TRUE"),Settings!$C$6,Settings!$C$7)*100)</f>
        <v/>
      </c>
      <c r="AH657" s="18" t="str">
        <f aca="false">IF($D657="","",IF(COUNTIF($D$2:$D657,$D657)=1,1,0))</f>
        <v/>
      </c>
      <c r="AI657" s="18" t="str">
        <f aca="false">IF($AH657=1,SUMPRODUCT(--($AK$2:$AK$4001&lt;$AK657))+1,"")</f>
        <v/>
      </c>
      <c r="AJ657" s="18" t="str">
        <f aca="false">IF($D657="","",IF(OR($R657=TRUE(),$R657="TRUE"),1,0))</f>
        <v/>
      </c>
      <c r="AK657" s="18" t="str">
        <f aca="false">IF($AH657=1,IFERROR(VALUE(MID($D657,2,20)),1000000000)+ROW()/10000000,"")</f>
        <v/>
      </c>
    </row>
    <row r="658" customFormat="false" ht="15" hidden="false" customHeight="false" outlineLevel="0" collapsed="false">
      <c r="F658" s="15"/>
      <c r="N658" s="16" t="str">
        <f aca="false">IF($D658="","",M658*Y658/100)</f>
        <v/>
      </c>
      <c r="V658" s="16" t="str">
        <f aca="false">IF($D658="","",Y658*AB658/100)</f>
        <v/>
      </c>
      <c r="W658" s="16" t="str">
        <f aca="false">IF($D658="","",Y658-V658)</f>
        <v/>
      </c>
      <c r="X658" s="16" t="str">
        <f aca="false">IF($D658="","",W658-N658)</f>
        <v/>
      </c>
      <c r="AB658" s="17" t="str">
        <f aca="false">IF($D658="","",IF(OR($R658=TRUE(),$R658="TRUE"),Settings!$C$6,Settings!$C$7)*100)</f>
        <v/>
      </c>
      <c r="AH658" s="18" t="str">
        <f aca="false">IF($D658="","",IF(COUNTIF($D$2:$D658,$D658)=1,1,0))</f>
        <v/>
      </c>
      <c r="AI658" s="18" t="str">
        <f aca="false">IF($AH658=1,SUMPRODUCT(--($AK$2:$AK$4001&lt;$AK658))+1,"")</f>
        <v/>
      </c>
      <c r="AJ658" s="18" t="str">
        <f aca="false">IF($D658="","",IF(OR($R658=TRUE(),$R658="TRUE"),1,0))</f>
        <v/>
      </c>
      <c r="AK658" s="18" t="str">
        <f aca="false">IF($AH658=1,IFERROR(VALUE(MID($D658,2,20)),1000000000)+ROW()/10000000,"")</f>
        <v/>
      </c>
    </row>
    <row r="659" customFormat="false" ht="15" hidden="false" customHeight="false" outlineLevel="0" collapsed="false">
      <c r="F659" s="15"/>
      <c r="N659" s="16" t="str">
        <f aca="false">IF($D659="","",M659*Y659/100)</f>
        <v/>
      </c>
      <c r="V659" s="16" t="str">
        <f aca="false">IF($D659="","",Y659*AB659/100)</f>
        <v/>
      </c>
      <c r="W659" s="16" t="str">
        <f aca="false">IF($D659="","",Y659-V659)</f>
        <v/>
      </c>
      <c r="X659" s="16" t="str">
        <f aca="false">IF($D659="","",W659-N659)</f>
        <v/>
      </c>
      <c r="AB659" s="17" t="str">
        <f aca="false">IF($D659="","",IF(OR($R659=TRUE(),$R659="TRUE"),Settings!$C$6,Settings!$C$7)*100)</f>
        <v/>
      </c>
      <c r="AH659" s="18" t="str">
        <f aca="false">IF($D659="","",IF(COUNTIF($D$2:$D659,$D659)=1,1,0))</f>
        <v/>
      </c>
      <c r="AI659" s="18" t="str">
        <f aca="false">IF($AH659=1,SUMPRODUCT(--($AK$2:$AK$4001&lt;$AK659))+1,"")</f>
        <v/>
      </c>
      <c r="AJ659" s="18" t="str">
        <f aca="false">IF($D659="","",IF(OR($R659=TRUE(),$R659="TRUE"),1,0))</f>
        <v/>
      </c>
      <c r="AK659" s="18" t="str">
        <f aca="false">IF($AH659=1,IFERROR(VALUE(MID($D659,2,20)),1000000000)+ROW()/10000000,"")</f>
        <v/>
      </c>
    </row>
    <row r="660" customFormat="false" ht="15" hidden="false" customHeight="false" outlineLevel="0" collapsed="false">
      <c r="F660" s="15"/>
      <c r="N660" s="16" t="str">
        <f aca="false">IF($D660="","",M660*Y660/100)</f>
        <v/>
      </c>
      <c r="V660" s="16" t="str">
        <f aca="false">IF($D660="","",Y660*AB660/100)</f>
        <v/>
      </c>
      <c r="W660" s="16" t="str">
        <f aca="false">IF($D660="","",Y660-V660)</f>
        <v/>
      </c>
      <c r="X660" s="16" t="str">
        <f aca="false">IF($D660="","",W660-N660)</f>
        <v/>
      </c>
      <c r="AB660" s="17" t="str">
        <f aca="false">IF($D660="","",IF(OR($R660=TRUE(),$R660="TRUE"),Settings!$C$6,Settings!$C$7)*100)</f>
        <v/>
      </c>
      <c r="AH660" s="18" t="str">
        <f aca="false">IF($D660="","",IF(COUNTIF($D$2:$D660,$D660)=1,1,0))</f>
        <v/>
      </c>
      <c r="AI660" s="18" t="str">
        <f aca="false">IF($AH660=1,SUMPRODUCT(--($AK$2:$AK$4001&lt;$AK660))+1,"")</f>
        <v/>
      </c>
      <c r="AJ660" s="18" t="str">
        <f aca="false">IF($D660="","",IF(OR($R660=TRUE(),$R660="TRUE"),1,0))</f>
        <v/>
      </c>
      <c r="AK660" s="18" t="str">
        <f aca="false">IF($AH660=1,IFERROR(VALUE(MID($D660,2,20)),1000000000)+ROW()/10000000,"")</f>
        <v/>
      </c>
    </row>
    <row r="661" customFormat="false" ht="15" hidden="false" customHeight="false" outlineLevel="0" collapsed="false">
      <c r="F661" s="15"/>
      <c r="N661" s="16" t="str">
        <f aca="false">IF($D661="","",M661*Y661/100)</f>
        <v/>
      </c>
      <c r="V661" s="16" t="str">
        <f aca="false">IF($D661="","",Y661*AB661/100)</f>
        <v/>
      </c>
      <c r="W661" s="16" t="str">
        <f aca="false">IF($D661="","",Y661-V661)</f>
        <v/>
      </c>
      <c r="X661" s="16" t="str">
        <f aca="false">IF($D661="","",W661-N661)</f>
        <v/>
      </c>
      <c r="AB661" s="17" t="str">
        <f aca="false">IF($D661="","",IF(OR($R661=TRUE(),$R661="TRUE"),Settings!$C$6,Settings!$C$7)*100)</f>
        <v/>
      </c>
      <c r="AH661" s="18" t="str">
        <f aca="false">IF($D661="","",IF(COUNTIF($D$2:$D661,$D661)=1,1,0))</f>
        <v/>
      </c>
      <c r="AI661" s="18" t="str">
        <f aca="false">IF($AH661=1,SUMPRODUCT(--($AK$2:$AK$4001&lt;$AK661))+1,"")</f>
        <v/>
      </c>
      <c r="AJ661" s="18" t="str">
        <f aca="false">IF($D661="","",IF(OR($R661=TRUE(),$R661="TRUE"),1,0))</f>
        <v/>
      </c>
      <c r="AK661" s="18" t="str">
        <f aca="false">IF($AH661=1,IFERROR(VALUE(MID($D661,2,20)),1000000000)+ROW()/10000000,"")</f>
        <v/>
      </c>
    </row>
    <row r="662" customFormat="false" ht="15" hidden="false" customHeight="false" outlineLevel="0" collapsed="false">
      <c r="F662" s="15"/>
      <c r="N662" s="16" t="str">
        <f aca="false">IF($D662="","",M662*Y662/100)</f>
        <v/>
      </c>
      <c r="V662" s="16" t="str">
        <f aca="false">IF($D662="","",Y662*AB662/100)</f>
        <v/>
      </c>
      <c r="W662" s="16" t="str">
        <f aca="false">IF($D662="","",Y662-V662)</f>
        <v/>
      </c>
      <c r="X662" s="16" t="str">
        <f aca="false">IF($D662="","",W662-N662)</f>
        <v/>
      </c>
      <c r="AB662" s="17" t="str">
        <f aca="false">IF($D662="","",IF(OR($R662=TRUE(),$R662="TRUE"),Settings!$C$6,Settings!$C$7)*100)</f>
        <v/>
      </c>
      <c r="AH662" s="18" t="str">
        <f aca="false">IF($D662="","",IF(COUNTIF($D$2:$D662,$D662)=1,1,0))</f>
        <v/>
      </c>
      <c r="AI662" s="18" t="str">
        <f aca="false">IF($AH662=1,SUMPRODUCT(--($AK$2:$AK$4001&lt;$AK662))+1,"")</f>
        <v/>
      </c>
      <c r="AJ662" s="18" t="str">
        <f aca="false">IF($D662="","",IF(OR($R662=TRUE(),$R662="TRUE"),1,0))</f>
        <v/>
      </c>
      <c r="AK662" s="18" t="str">
        <f aca="false">IF($AH662=1,IFERROR(VALUE(MID($D662,2,20)),1000000000)+ROW()/10000000,"")</f>
        <v/>
      </c>
    </row>
    <row r="663" customFormat="false" ht="15" hidden="false" customHeight="false" outlineLevel="0" collapsed="false">
      <c r="F663" s="15"/>
      <c r="N663" s="16" t="str">
        <f aca="false">IF($D663="","",M663*Y663/100)</f>
        <v/>
      </c>
      <c r="V663" s="16" t="str">
        <f aca="false">IF($D663="","",Y663*AB663/100)</f>
        <v/>
      </c>
      <c r="W663" s="16" t="str">
        <f aca="false">IF($D663="","",Y663-V663)</f>
        <v/>
      </c>
      <c r="X663" s="16" t="str">
        <f aca="false">IF($D663="","",W663-N663)</f>
        <v/>
      </c>
      <c r="AB663" s="17" t="str">
        <f aca="false">IF($D663="","",IF(OR($R663=TRUE(),$R663="TRUE"),Settings!$C$6,Settings!$C$7)*100)</f>
        <v/>
      </c>
      <c r="AH663" s="18" t="str">
        <f aca="false">IF($D663="","",IF(COUNTIF($D$2:$D663,$D663)=1,1,0))</f>
        <v/>
      </c>
      <c r="AI663" s="18" t="str">
        <f aca="false">IF($AH663=1,SUMPRODUCT(--($AK$2:$AK$4001&lt;$AK663))+1,"")</f>
        <v/>
      </c>
      <c r="AJ663" s="18" t="str">
        <f aca="false">IF($D663="","",IF(OR($R663=TRUE(),$R663="TRUE"),1,0))</f>
        <v/>
      </c>
      <c r="AK663" s="18" t="str">
        <f aca="false">IF($AH663=1,IFERROR(VALUE(MID($D663,2,20)),1000000000)+ROW()/10000000,"")</f>
        <v/>
      </c>
    </row>
    <row r="664" customFormat="false" ht="15" hidden="false" customHeight="false" outlineLevel="0" collapsed="false">
      <c r="F664" s="15"/>
      <c r="N664" s="16" t="str">
        <f aca="false">IF($D664="","",M664*Y664/100)</f>
        <v/>
      </c>
      <c r="V664" s="16" t="str">
        <f aca="false">IF($D664="","",Y664*AB664/100)</f>
        <v/>
      </c>
      <c r="W664" s="16" t="str">
        <f aca="false">IF($D664="","",Y664-V664)</f>
        <v/>
      </c>
      <c r="X664" s="16" t="str">
        <f aca="false">IF($D664="","",W664-N664)</f>
        <v/>
      </c>
      <c r="AB664" s="17" t="str">
        <f aca="false">IF($D664="","",IF(OR($R664=TRUE(),$R664="TRUE"),Settings!$C$6,Settings!$C$7)*100)</f>
        <v/>
      </c>
      <c r="AH664" s="18" t="str">
        <f aca="false">IF($D664="","",IF(COUNTIF($D$2:$D664,$D664)=1,1,0))</f>
        <v/>
      </c>
      <c r="AI664" s="18" t="str">
        <f aca="false">IF($AH664=1,SUMPRODUCT(--($AK$2:$AK$4001&lt;$AK664))+1,"")</f>
        <v/>
      </c>
      <c r="AJ664" s="18" t="str">
        <f aca="false">IF($D664="","",IF(OR($R664=TRUE(),$R664="TRUE"),1,0))</f>
        <v/>
      </c>
      <c r="AK664" s="18" t="str">
        <f aca="false">IF($AH664=1,IFERROR(VALUE(MID($D664,2,20)),1000000000)+ROW()/10000000,"")</f>
        <v/>
      </c>
    </row>
    <row r="665" customFormat="false" ht="15" hidden="false" customHeight="false" outlineLevel="0" collapsed="false">
      <c r="F665" s="15"/>
      <c r="N665" s="16" t="str">
        <f aca="false">IF($D665="","",M665*Y665/100)</f>
        <v/>
      </c>
      <c r="V665" s="16" t="str">
        <f aca="false">IF($D665="","",Y665*AB665/100)</f>
        <v/>
      </c>
      <c r="W665" s="16" t="str">
        <f aca="false">IF($D665="","",Y665-V665)</f>
        <v/>
      </c>
      <c r="X665" s="16" t="str">
        <f aca="false">IF($D665="","",W665-N665)</f>
        <v/>
      </c>
      <c r="AB665" s="17" t="str">
        <f aca="false">IF($D665="","",IF(OR($R665=TRUE(),$R665="TRUE"),Settings!$C$6,Settings!$C$7)*100)</f>
        <v/>
      </c>
      <c r="AH665" s="18" t="str">
        <f aca="false">IF($D665="","",IF(COUNTIF($D$2:$D665,$D665)=1,1,0))</f>
        <v/>
      </c>
      <c r="AI665" s="18" t="str">
        <f aca="false">IF($AH665=1,SUMPRODUCT(--($AK$2:$AK$4001&lt;$AK665))+1,"")</f>
        <v/>
      </c>
      <c r="AJ665" s="18" t="str">
        <f aca="false">IF($D665="","",IF(OR($R665=TRUE(),$R665="TRUE"),1,0))</f>
        <v/>
      </c>
      <c r="AK665" s="18" t="str">
        <f aca="false">IF($AH665=1,IFERROR(VALUE(MID($D665,2,20)),1000000000)+ROW()/10000000,"")</f>
        <v/>
      </c>
    </row>
    <row r="666" customFormat="false" ht="15" hidden="false" customHeight="false" outlineLevel="0" collapsed="false">
      <c r="F666" s="15"/>
      <c r="N666" s="16" t="str">
        <f aca="false">IF($D666="","",M666*Y666/100)</f>
        <v/>
      </c>
      <c r="V666" s="16" t="str">
        <f aca="false">IF($D666="","",Y666*AB666/100)</f>
        <v/>
      </c>
      <c r="W666" s="16" t="str">
        <f aca="false">IF($D666="","",Y666-V666)</f>
        <v/>
      </c>
      <c r="X666" s="16" t="str">
        <f aca="false">IF($D666="","",W666-N666)</f>
        <v/>
      </c>
      <c r="AB666" s="17" t="str">
        <f aca="false">IF($D666="","",IF(OR($R666=TRUE(),$R666="TRUE"),Settings!$C$6,Settings!$C$7)*100)</f>
        <v/>
      </c>
      <c r="AH666" s="18" t="str">
        <f aca="false">IF($D666="","",IF(COUNTIF($D$2:$D666,$D666)=1,1,0))</f>
        <v/>
      </c>
      <c r="AI666" s="18" t="str">
        <f aca="false">IF($AH666=1,SUMPRODUCT(--($AK$2:$AK$4001&lt;$AK666))+1,"")</f>
        <v/>
      </c>
      <c r="AJ666" s="18" t="str">
        <f aca="false">IF($D666="","",IF(OR($R666=TRUE(),$R666="TRUE"),1,0))</f>
        <v/>
      </c>
      <c r="AK666" s="18" t="str">
        <f aca="false">IF($AH666=1,IFERROR(VALUE(MID($D666,2,20)),1000000000)+ROW()/10000000,"")</f>
        <v/>
      </c>
    </row>
    <row r="667" customFormat="false" ht="15" hidden="false" customHeight="false" outlineLevel="0" collapsed="false">
      <c r="F667" s="15"/>
      <c r="N667" s="16" t="str">
        <f aca="false">IF($D667="","",M667*Y667/100)</f>
        <v/>
      </c>
      <c r="V667" s="16" t="str">
        <f aca="false">IF($D667="","",Y667*AB667/100)</f>
        <v/>
      </c>
      <c r="W667" s="16" t="str">
        <f aca="false">IF($D667="","",Y667-V667)</f>
        <v/>
      </c>
      <c r="X667" s="16" t="str">
        <f aca="false">IF($D667="","",W667-N667)</f>
        <v/>
      </c>
      <c r="AB667" s="17" t="str">
        <f aca="false">IF($D667="","",IF(OR($R667=TRUE(),$R667="TRUE"),Settings!$C$6,Settings!$C$7)*100)</f>
        <v/>
      </c>
      <c r="AH667" s="18" t="str">
        <f aca="false">IF($D667="","",IF(COUNTIF($D$2:$D667,$D667)=1,1,0))</f>
        <v/>
      </c>
      <c r="AI667" s="18" t="str">
        <f aca="false">IF($AH667=1,SUMPRODUCT(--($AK$2:$AK$4001&lt;$AK667))+1,"")</f>
        <v/>
      </c>
      <c r="AJ667" s="18" t="str">
        <f aca="false">IF($D667="","",IF(OR($R667=TRUE(),$R667="TRUE"),1,0))</f>
        <v/>
      </c>
      <c r="AK667" s="18" t="str">
        <f aca="false">IF($AH667=1,IFERROR(VALUE(MID($D667,2,20)),1000000000)+ROW()/10000000,"")</f>
        <v/>
      </c>
    </row>
    <row r="668" customFormat="false" ht="15" hidden="false" customHeight="false" outlineLevel="0" collapsed="false">
      <c r="F668" s="15"/>
      <c r="N668" s="16" t="str">
        <f aca="false">IF($D668="","",M668*Y668/100)</f>
        <v/>
      </c>
      <c r="V668" s="16" t="str">
        <f aca="false">IF($D668="","",Y668*AB668/100)</f>
        <v/>
      </c>
      <c r="W668" s="16" t="str">
        <f aca="false">IF($D668="","",Y668-V668)</f>
        <v/>
      </c>
      <c r="X668" s="16" t="str">
        <f aca="false">IF($D668="","",W668-N668)</f>
        <v/>
      </c>
      <c r="AB668" s="17" t="str">
        <f aca="false">IF($D668="","",IF(OR($R668=TRUE(),$R668="TRUE"),Settings!$C$6,Settings!$C$7)*100)</f>
        <v/>
      </c>
      <c r="AH668" s="18" t="str">
        <f aca="false">IF($D668="","",IF(COUNTIF($D$2:$D668,$D668)=1,1,0))</f>
        <v/>
      </c>
      <c r="AI668" s="18" t="str">
        <f aca="false">IF($AH668=1,SUMPRODUCT(--($AK$2:$AK$4001&lt;$AK668))+1,"")</f>
        <v/>
      </c>
      <c r="AJ668" s="18" t="str">
        <f aca="false">IF($D668="","",IF(OR($R668=TRUE(),$R668="TRUE"),1,0))</f>
        <v/>
      </c>
      <c r="AK668" s="18" t="str">
        <f aca="false">IF($AH668=1,IFERROR(VALUE(MID($D668,2,20)),1000000000)+ROW()/10000000,"")</f>
        <v/>
      </c>
    </row>
    <row r="669" customFormat="false" ht="15" hidden="false" customHeight="false" outlineLevel="0" collapsed="false">
      <c r="F669" s="15"/>
      <c r="N669" s="16" t="str">
        <f aca="false">IF($D669="","",M669*Y669/100)</f>
        <v/>
      </c>
      <c r="V669" s="16" t="str">
        <f aca="false">IF($D669="","",Y669*AB669/100)</f>
        <v/>
      </c>
      <c r="W669" s="16" t="str">
        <f aca="false">IF($D669="","",Y669-V669)</f>
        <v/>
      </c>
      <c r="X669" s="16" t="str">
        <f aca="false">IF($D669="","",W669-N669)</f>
        <v/>
      </c>
      <c r="AB669" s="17" t="str">
        <f aca="false">IF($D669="","",IF(OR($R669=TRUE(),$R669="TRUE"),Settings!$C$6,Settings!$C$7)*100)</f>
        <v/>
      </c>
      <c r="AH669" s="18" t="str">
        <f aca="false">IF($D669="","",IF(COUNTIF($D$2:$D669,$D669)=1,1,0))</f>
        <v/>
      </c>
      <c r="AI669" s="18" t="str">
        <f aca="false">IF($AH669=1,SUMPRODUCT(--($AK$2:$AK$4001&lt;$AK669))+1,"")</f>
        <v/>
      </c>
      <c r="AJ669" s="18" t="str">
        <f aca="false">IF($D669="","",IF(OR($R669=TRUE(),$R669="TRUE"),1,0))</f>
        <v/>
      </c>
      <c r="AK669" s="18" t="str">
        <f aca="false">IF($AH669=1,IFERROR(VALUE(MID($D669,2,20)),1000000000)+ROW()/10000000,"")</f>
        <v/>
      </c>
    </row>
    <row r="670" customFormat="false" ht="15" hidden="false" customHeight="false" outlineLevel="0" collapsed="false">
      <c r="F670" s="15"/>
      <c r="N670" s="16" t="str">
        <f aca="false">IF($D670="","",M670*Y670/100)</f>
        <v/>
      </c>
      <c r="V670" s="16" t="str">
        <f aca="false">IF($D670="","",Y670*AB670/100)</f>
        <v/>
      </c>
      <c r="W670" s="16" t="str">
        <f aca="false">IF($D670="","",Y670-V670)</f>
        <v/>
      </c>
      <c r="X670" s="16" t="str">
        <f aca="false">IF($D670="","",W670-N670)</f>
        <v/>
      </c>
      <c r="AB670" s="17" t="str">
        <f aca="false">IF($D670="","",IF(OR($R670=TRUE(),$R670="TRUE"),Settings!$C$6,Settings!$C$7)*100)</f>
        <v/>
      </c>
      <c r="AH670" s="18" t="str">
        <f aca="false">IF($D670="","",IF(COUNTIF($D$2:$D670,$D670)=1,1,0))</f>
        <v/>
      </c>
      <c r="AI670" s="18" t="str">
        <f aca="false">IF($AH670=1,SUMPRODUCT(--($AK$2:$AK$4001&lt;$AK670))+1,"")</f>
        <v/>
      </c>
      <c r="AJ670" s="18" t="str">
        <f aca="false">IF($D670="","",IF(OR($R670=TRUE(),$R670="TRUE"),1,0))</f>
        <v/>
      </c>
      <c r="AK670" s="18" t="str">
        <f aca="false">IF($AH670=1,IFERROR(VALUE(MID($D670,2,20)),1000000000)+ROW()/10000000,"")</f>
        <v/>
      </c>
    </row>
    <row r="671" customFormat="false" ht="15" hidden="false" customHeight="false" outlineLevel="0" collapsed="false">
      <c r="F671" s="15"/>
      <c r="N671" s="16" t="str">
        <f aca="false">IF($D671="","",M671*Y671/100)</f>
        <v/>
      </c>
      <c r="V671" s="16" t="str">
        <f aca="false">IF($D671="","",Y671*AB671/100)</f>
        <v/>
      </c>
      <c r="W671" s="16" t="str">
        <f aca="false">IF($D671="","",Y671-V671)</f>
        <v/>
      </c>
      <c r="X671" s="16" t="str">
        <f aca="false">IF($D671="","",W671-N671)</f>
        <v/>
      </c>
      <c r="AB671" s="17" t="str">
        <f aca="false">IF($D671="","",IF(OR($R671=TRUE(),$R671="TRUE"),Settings!$C$6,Settings!$C$7)*100)</f>
        <v/>
      </c>
      <c r="AH671" s="18" t="str">
        <f aca="false">IF($D671="","",IF(COUNTIF($D$2:$D671,$D671)=1,1,0))</f>
        <v/>
      </c>
      <c r="AI671" s="18" t="str">
        <f aca="false">IF($AH671=1,SUMPRODUCT(--($AK$2:$AK$4001&lt;$AK671))+1,"")</f>
        <v/>
      </c>
      <c r="AJ671" s="18" t="str">
        <f aca="false">IF($D671="","",IF(OR($R671=TRUE(),$R671="TRUE"),1,0))</f>
        <v/>
      </c>
      <c r="AK671" s="18" t="str">
        <f aca="false">IF($AH671=1,IFERROR(VALUE(MID($D671,2,20)),1000000000)+ROW()/10000000,"")</f>
        <v/>
      </c>
    </row>
    <row r="672" customFormat="false" ht="15" hidden="false" customHeight="false" outlineLevel="0" collapsed="false">
      <c r="F672" s="15"/>
      <c r="N672" s="16" t="str">
        <f aca="false">IF($D672="","",M672*Y672/100)</f>
        <v/>
      </c>
      <c r="V672" s="16" t="str">
        <f aca="false">IF($D672="","",Y672*AB672/100)</f>
        <v/>
      </c>
      <c r="W672" s="16" t="str">
        <f aca="false">IF($D672="","",Y672-V672)</f>
        <v/>
      </c>
      <c r="X672" s="16" t="str">
        <f aca="false">IF($D672="","",W672-N672)</f>
        <v/>
      </c>
      <c r="AB672" s="17" t="str">
        <f aca="false">IF($D672="","",IF(OR($R672=TRUE(),$R672="TRUE"),Settings!$C$6,Settings!$C$7)*100)</f>
        <v/>
      </c>
      <c r="AH672" s="18" t="str">
        <f aca="false">IF($D672="","",IF(COUNTIF($D$2:$D672,$D672)=1,1,0))</f>
        <v/>
      </c>
      <c r="AI672" s="18" t="str">
        <f aca="false">IF($AH672=1,SUMPRODUCT(--($AK$2:$AK$4001&lt;$AK672))+1,"")</f>
        <v/>
      </c>
      <c r="AJ672" s="18" t="str">
        <f aca="false">IF($D672="","",IF(OR($R672=TRUE(),$R672="TRUE"),1,0))</f>
        <v/>
      </c>
      <c r="AK672" s="18" t="str">
        <f aca="false">IF($AH672=1,IFERROR(VALUE(MID($D672,2,20)),1000000000)+ROW()/10000000,"")</f>
        <v/>
      </c>
    </row>
    <row r="673" customFormat="false" ht="15" hidden="false" customHeight="false" outlineLevel="0" collapsed="false">
      <c r="F673" s="15"/>
      <c r="N673" s="16" t="str">
        <f aca="false">IF($D673="","",M673*Y673/100)</f>
        <v/>
      </c>
      <c r="V673" s="16" t="str">
        <f aca="false">IF($D673="","",Y673*AB673/100)</f>
        <v/>
      </c>
      <c r="W673" s="16" t="str">
        <f aca="false">IF($D673="","",Y673-V673)</f>
        <v/>
      </c>
      <c r="X673" s="16" t="str">
        <f aca="false">IF($D673="","",W673-N673)</f>
        <v/>
      </c>
      <c r="AB673" s="17" t="str">
        <f aca="false">IF($D673="","",IF(OR($R673=TRUE(),$R673="TRUE"),Settings!$C$6,Settings!$C$7)*100)</f>
        <v/>
      </c>
      <c r="AH673" s="18" t="str">
        <f aca="false">IF($D673="","",IF(COUNTIF($D$2:$D673,$D673)=1,1,0))</f>
        <v/>
      </c>
      <c r="AI673" s="18" t="str">
        <f aca="false">IF($AH673=1,SUMPRODUCT(--($AK$2:$AK$4001&lt;$AK673))+1,"")</f>
        <v/>
      </c>
      <c r="AJ673" s="18" t="str">
        <f aca="false">IF($D673="","",IF(OR($R673=TRUE(),$R673="TRUE"),1,0))</f>
        <v/>
      </c>
      <c r="AK673" s="18" t="str">
        <f aca="false">IF($AH673=1,IFERROR(VALUE(MID($D673,2,20)),1000000000)+ROW()/10000000,"")</f>
        <v/>
      </c>
    </row>
    <row r="674" customFormat="false" ht="15" hidden="false" customHeight="false" outlineLevel="0" collapsed="false">
      <c r="F674" s="15"/>
      <c r="N674" s="16" t="str">
        <f aca="false">IF($D674="","",M674*Y674/100)</f>
        <v/>
      </c>
      <c r="V674" s="16" t="str">
        <f aca="false">IF($D674="","",Y674*AB674/100)</f>
        <v/>
      </c>
      <c r="W674" s="16" t="str">
        <f aca="false">IF($D674="","",Y674-V674)</f>
        <v/>
      </c>
      <c r="X674" s="16" t="str">
        <f aca="false">IF($D674="","",W674-N674)</f>
        <v/>
      </c>
      <c r="AB674" s="17" t="str">
        <f aca="false">IF($D674="","",IF(OR($R674=TRUE(),$R674="TRUE"),Settings!$C$6,Settings!$C$7)*100)</f>
        <v/>
      </c>
      <c r="AH674" s="18" t="str">
        <f aca="false">IF($D674="","",IF(COUNTIF($D$2:$D674,$D674)=1,1,0))</f>
        <v/>
      </c>
      <c r="AI674" s="18" t="str">
        <f aca="false">IF($AH674=1,SUMPRODUCT(--($AK$2:$AK$4001&lt;$AK674))+1,"")</f>
        <v/>
      </c>
      <c r="AJ674" s="18" t="str">
        <f aca="false">IF($D674="","",IF(OR($R674=TRUE(),$R674="TRUE"),1,0))</f>
        <v/>
      </c>
      <c r="AK674" s="18" t="str">
        <f aca="false">IF($AH674=1,IFERROR(VALUE(MID($D674,2,20)),1000000000)+ROW()/10000000,"")</f>
        <v/>
      </c>
    </row>
    <row r="675" customFormat="false" ht="15" hidden="false" customHeight="false" outlineLevel="0" collapsed="false">
      <c r="F675" s="15"/>
      <c r="N675" s="16" t="str">
        <f aca="false">IF($D675="","",M675*Y675/100)</f>
        <v/>
      </c>
      <c r="V675" s="16" t="str">
        <f aca="false">IF($D675="","",Y675*AB675/100)</f>
        <v/>
      </c>
      <c r="W675" s="16" t="str">
        <f aca="false">IF($D675="","",Y675-V675)</f>
        <v/>
      </c>
      <c r="X675" s="16" t="str">
        <f aca="false">IF($D675="","",W675-N675)</f>
        <v/>
      </c>
      <c r="AB675" s="17" t="str">
        <f aca="false">IF($D675="","",IF(OR($R675=TRUE(),$R675="TRUE"),Settings!$C$6,Settings!$C$7)*100)</f>
        <v/>
      </c>
      <c r="AH675" s="18" t="str">
        <f aca="false">IF($D675="","",IF(COUNTIF($D$2:$D675,$D675)=1,1,0))</f>
        <v/>
      </c>
      <c r="AI675" s="18" t="str">
        <f aca="false">IF($AH675=1,SUMPRODUCT(--($AK$2:$AK$4001&lt;$AK675))+1,"")</f>
        <v/>
      </c>
      <c r="AJ675" s="18" t="str">
        <f aca="false">IF($D675="","",IF(OR($R675=TRUE(),$R675="TRUE"),1,0))</f>
        <v/>
      </c>
      <c r="AK675" s="18" t="str">
        <f aca="false">IF($AH675=1,IFERROR(VALUE(MID($D675,2,20)),1000000000)+ROW()/10000000,"")</f>
        <v/>
      </c>
    </row>
    <row r="676" customFormat="false" ht="15" hidden="false" customHeight="false" outlineLevel="0" collapsed="false">
      <c r="F676" s="15"/>
      <c r="N676" s="16" t="str">
        <f aca="false">IF($D676="","",M676*Y676/100)</f>
        <v/>
      </c>
      <c r="V676" s="16" t="str">
        <f aca="false">IF($D676="","",Y676*AB676/100)</f>
        <v/>
      </c>
      <c r="W676" s="16" t="str">
        <f aca="false">IF($D676="","",Y676-V676)</f>
        <v/>
      </c>
      <c r="X676" s="16" t="str">
        <f aca="false">IF($D676="","",W676-N676)</f>
        <v/>
      </c>
      <c r="AB676" s="17" t="str">
        <f aca="false">IF($D676="","",IF(OR($R676=TRUE(),$R676="TRUE"),Settings!$C$6,Settings!$C$7)*100)</f>
        <v/>
      </c>
      <c r="AH676" s="18" t="str">
        <f aca="false">IF($D676="","",IF(COUNTIF($D$2:$D676,$D676)=1,1,0))</f>
        <v/>
      </c>
      <c r="AI676" s="18" t="str">
        <f aca="false">IF($AH676=1,SUMPRODUCT(--($AK$2:$AK$4001&lt;$AK676))+1,"")</f>
        <v/>
      </c>
      <c r="AJ676" s="18" t="str">
        <f aca="false">IF($D676="","",IF(OR($R676=TRUE(),$R676="TRUE"),1,0))</f>
        <v/>
      </c>
      <c r="AK676" s="18" t="str">
        <f aca="false">IF($AH676=1,IFERROR(VALUE(MID($D676,2,20)),1000000000)+ROW()/10000000,"")</f>
        <v/>
      </c>
    </row>
    <row r="677" customFormat="false" ht="15" hidden="false" customHeight="false" outlineLevel="0" collapsed="false">
      <c r="F677" s="15"/>
      <c r="N677" s="16" t="str">
        <f aca="false">IF($D677="","",M677*Y677/100)</f>
        <v/>
      </c>
      <c r="V677" s="16" t="str">
        <f aca="false">IF($D677="","",Y677*AB677/100)</f>
        <v/>
      </c>
      <c r="W677" s="16" t="str">
        <f aca="false">IF($D677="","",Y677-V677)</f>
        <v/>
      </c>
      <c r="X677" s="16" t="str">
        <f aca="false">IF($D677="","",W677-N677)</f>
        <v/>
      </c>
      <c r="AB677" s="17" t="str">
        <f aca="false">IF($D677="","",IF(OR($R677=TRUE(),$R677="TRUE"),Settings!$C$6,Settings!$C$7)*100)</f>
        <v/>
      </c>
      <c r="AH677" s="18" t="str">
        <f aca="false">IF($D677="","",IF(COUNTIF($D$2:$D677,$D677)=1,1,0))</f>
        <v/>
      </c>
      <c r="AI677" s="18" t="str">
        <f aca="false">IF($AH677=1,SUMPRODUCT(--($AK$2:$AK$4001&lt;$AK677))+1,"")</f>
        <v/>
      </c>
      <c r="AJ677" s="18" t="str">
        <f aca="false">IF($D677="","",IF(OR($R677=TRUE(),$R677="TRUE"),1,0))</f>
        <v/>
      </c>
      <c r="AK677" s="18" t="str">
        <f aca="false">IF($AH677=1,IFERROR(VALUE(MID($D677,2,20)),1000000000)+ROW()/10000000,"")</f>
        <v/>
      </c>
    </row>
    <row r="678" customFormat="false" ht="15" hidden="false" customHeight="false" outlineLevel="0" collapsed="false">
      <c r="F678" s="15"/>
      <c r="N678" s="16" t="str">
        <f aca="false">IF($D678="","",M678*Y678/100)</f>
        <v/>
      </c>
      <c r="V678" s="16" t="str">
        <f aca="false">IF($D678="","",Y678*AB678/100)</f>
        <v/>
      </c>
      <c r="W678" s="16" t="str">
        <f aca="false">IF($D678="","",Y678-V678)</f>
        <v/>
      </c>
      <c r="X678" s="16" t="str">
        <f aca="false">IF($D678="","",W678-N678)</f>
        <v/>
      </c>
      <c r="AB678" s="17" t="str">
        <f aca="false">IF($D678="","",IF(OR($R678=TRUE(),$R678="TRUE"),Settings!$C$6,Settings!$C$7)*100)</f>
        <v/>
      </c>
      <c r="AH678" s="18" t="str">
        <f aca="false">IF($D678="","",IF(COUNTIF($D$2:$D678,$D678)=1,1,0))</f>
        <v/>
      </c>
      <c r="AI678" s="18" t="str">
        <f aca="false">IF($AH678=1,SUMPRODUCT(--($AK$2:$AK$4001&lt;$AK678))+1,"")</f>
        <v/>
      </c>
      <c r="AJ678" s="18" t="str">
        <f aca="false">IF($D678="","",IF(OR($R678=TRUE(),$R678="TRUE"),1,0))</f>
        <v/>
      </c>
      <c r="AK678" s="18" t="str">
        <f aca="false">IF($AH678=1,IFERROR(VALUE(MID($D678,2,20)),1000000000)+ROW()/10000000,"")</f>
        <v/>
      </c>
    </row>
    <row r="679" customFormat="false" ht="15" hidden="false" customHeight="false" outlineLevel="0" collapsed="false">
      <c r="F679" s="15"/>
      <c r="N679" s="16" t="str">
        <f aca="false">IF($D679="","",M679*Y679/100)</f>
        <v/>
      </c>
      <c r="V679" s="16" t="str">
        <f aca="false">IF($D679="","",Y679*AB679/100)</f>
        <v/>
      </c>
      <c r="W679" s="16" t="str">
        <f aca="false">IF($D679="","",Y679-V679)</f>
        <v/>
      </c>
      <c r="X679" s="16" t="str">
        <f aca="false">IF($D679="","",W679-N679)</f>
        <v/>
      </c>
      <c r="AB679" s="17" t="str">
        <f aca="false">IF($D679="","",IF(OR($R679=TRUE(),$R679="TRUE"),Settings!$C$6,Settings!$C$7)*100)</f>
        <v/>
      </c>
      <c r="AH679" s="18" t="str">
        <f aca="false">IF($D679="","",IF(COUNTIF($D$2:$D679,$D679)=1,1,0))</f>
        <v/>
      </c>
      <c r="AI679" s="18" t="str">
        <f aca="false">IF($AH679=1,SUMPRODUCT(--($AK$2:$AK$4001&lt;$AK679))+1,"")</f>
        <v/>
      </c>
      <c r="AJ679" s="18" t="str">
        <f aca="false">IF($D679="","",IF(OR($R679=TRUE(),$R679="TRUE"),1,0))</f>
        <v/>
      </c>
      <c r="AK679" s="18" t="str">
        <f aca="false">IF($AH679=1,IFERROR(VALUE(MID($D679,2,20)),1000000000)+ROW()/10000000,"")</f>
        <v/>
      </c>
    </row>
    <row r="680" customFormat="false" ht="15" hidden="false" customHeight="false" outlineLevel="0" collapsed="false">
      <c r="F680" s="15"/>
      <c r="N680" s="16" t="str">
        <f aca="false">IF($D680="","",M680*Y680/100)</f>
        <v/>
      </c>
      <c r="V680" s="16" t="str">
        <f aca="false">IF($D680="","",Y680*AB680/100)</f>
        <v/>
      </c>
      <c r="W680" s="16" t="str">
        <f aca="false">IF($D680="","",Y680-V680)</f>
        <v/>
      </c>
      <c r="X680" s="16" t="str">
        <f aca="false">IF($D680="","",W680-N680)</f>
        <v/>
      </c>
      <c r="AB680" s="17" t="str">
        <f aca="false">IF($D680="","",IF(OR($R680=TRUE(),$R680="TRUE"),Settings!$C$6,Settings!$C$7)*100)</f>
        <v/>
      </c>
      <c r="AH680" s="18" t="str">
        <f aca="false">IF($D680="","",IF(COUNTIF($D$2:$D680,$D680)=1,1,0))</f>
        <v/>
      </c>
      <c r="AI680" s="18" t="str">
        <f aca="false">IF($AH680=1,SUMPRODUCT(--($AK$2:$AK$4001&lt;$AK680))+1,"")</f>
        <v/>
      </c>
      <c r="AJ680" s="18" t="str">
        <f aca="false">IF($D680="","",IF(OR($R680=TRUE(),$R680="TRUE"),1,0))</f>
        <v/>
      </c>
      <c r="AK680" s="18" t="str">
        <f aca="false">IF($AH680=1,IFERROR(VALUE(MID($D680,2,20)),1000000000)+ROW()/10000000,"")</f>
        <v/>
      </c>
    </row>
    <row r="681" customFormat="false" ht="15" hidden="false" customHeight="false" outlineLevel="0" collapsed="false">
      <c r="F681" s="15"/>
      <c r="N681" s="16" t="str">
        <f aca="false">IF($D681="","",M681*Y681/100)</f>
        <v/>
      </c>
      <c r="V681" s="16" t="str">
        <f aca="false">IF($D681="","",Y681*AB681/100)</f>
        <v/>
      </c>
      <c r="W681" s="16" t="str">
        <f aca="false">IF($D681="","",Y681-V681)</f>
        <v/>
      </c>
      <c r="X681" s="16" t="str">
        <f aca="false">IF($D681="","",W681-N681)</f>
        <v/>
      </c>
      <c r="AB681" s="17" t="str">
        <f aca="false">IF($D681="","",IF(OR($R681=TRUE(),$R681="TRUE"),Settings!$C$6,Settings!$C$7)*100)</f>
        <v/>
      </c>
      <c r="AH681" s="18" t="str">
        <f aca="false">IF($D681="","",IF(COUNTIF($D$2:$D681,$D681)=1,1,0))</f>
        <v/>
      </c>
      <c r="AI681" s="18" t="str">
        <f aca="false">IF($AH681=1,SUMPRODUCT(--($AK$2:$AK$4001&lt;$AK681))+1,"")</f>
        <v/>
      </c>
      <c r="AJ681" s="18" t="str">
        <f aca="false">IF($D681="","",IF(OR($R681=TRUE(),$R681="TRUE"),1,0))</f>
        <v/>
      </c>
      <c r="AK681" s="18" t="str">
        <f aca="false">IF($AH681=1,IFERROR(VALUE(MID($D681,2,20)),1000000000)+ROW()/10000000,"")</f>
        <v/>
      </c>
    </row>
    <row r="682" customFormat="false" ht="15" hidden="false" customHeight="false" outlineLevel="0" collapsed="false">
      <c r="F682" s="15"/>
      <c r="N682" s="16" t="str">
        <f aca="false">IF($D682="","",M682*Y682/100)</f>
        <v/>
      </c>
      <c r="V682" s="16" t="str">
        <f aca="false">IF($D682="","",Y682*AB682/100)</f>
        <v/>
      </c>
      <c r="W682" s="16" t="str">
        <f aca="false">IF($D682="","",Y682-V682)</f>
        <v/>
      </c>
      <c r="X682" s="16" t="str">
        <f aca="false">IF($D682="","",W682-N682)</f>
        <v/>
      </c>
      <c r="AB682" s="17" t="str">
        <f aca="false">IF($D682="","",IF(OR($R682=TRUE(),$R682="TRUE"),Settings!$C$6,Settings!$C$7)*100)</f>
        <v/>
      </c>
      <c r="AH682" s="18" t="str">
        <f aca="false">IF($D682="","",IF(COUNTIF($D$2:$D682,$D682)=1,1,0))</f>
        <v/>
      </c>
      <c r="AI682" s="18" t="str">
        <f aca="false">IF($AH682=1,SUMPRODUCT(--($AK$2:$AK$4001&lt;$AK682))+1,"")</f>
        <v/>
      </c>
      <c r="AJ682" s="18" t="str">
        <f aca="false">IF($D682="","",IF(OR($R682=TRUE(),$R682="TRUE"),1,0))</f>
        <v/>
      </c>
      <c r="AK682" s="18" t="str">
        <f aca="false">IF($AH682=1,IFERROR(VALUE(MID($D682,2,20)),1000000000)+ROW()/10000000,"")</f>
        <v/>
      </c>
    </row>
    <row r="683" customFormat="false" ht="15" hidden="false" customHeight="false" outlineLevel="0" collapsed="false">
      <c r="F683" s="15"/>
      <c r="N683" s="16" t="str">
        <f aca="false">IF($D683="","",M683*Y683/100)</f>
        <v/>
      </c>
      <c r="V683" s="16" t="str">
        <f aca="false">IF($D683="","",Y683*AB683/100)</f>
        <v/>
      </c>
      <c r="W683" s="16" t="str">
        <f aca="false">IF($D683="","",Y683-V683)</f>
        <v/>
      </c>
      <c r="X683" s="16" t="str">
        <f aca="false">IF($D683="","",W683-N683)</f>
        <v/>
      </c>
      <c r="AB683" s="17" t="str">
        <f aca="false">IF($D683="","",IF(OR($R683=TRUE(),$R683="TRUE"),Settings!$C$6,Settings!$C$7)*100)</f>
        <v/>
      </c>
      <c r="AH683" s="18" t="str">
        <f aca="false">IF($D683="","",IF(COUNTIF($D$2:$D683,$D683)=1,1,0))</f>
        <v/>
      </c>
      <c r="AI683" s="18" t="str">
        <f aca="false">IF($AH683=1,SUMPRODUCT(--($AK$2:$AK$4001&lt;$AK683))+1,"")</f>
        <v/>
      </c>
      <c r="AJ683" s="18" t="str">
        <f aca="false">IF($D683="","",IF(OR($R683=TRUE(),$R683="TRUE"),1,0))</f>
        <v/>
      </c>
      <c r="AK683" s="18" t="str">
        <f aca="false">IF($AH683=1,IFERROR(VALUE(MID($D683,2,20)),1000000000)+ROW()/10000000,"")</f>
        <v/>
      </c>
    </row>
    <row r="684" customFormat="false" ht="15" hidden="false" customHeight="false" outlineLevel="0" collapsed="false">
      <c r="F684" s="15"/>
      <c r="N684" s="16" t="str">
        <f aca="false">IF($D684="","",M684*Y684/100)</f>
        <v/>
      </c>
      <c r="V684" s="16" t="str">
        <f aca="false">IF($D684="","",Y684*AB684/100)</f>
        <v/>
      </c>
      <c r="W684" s="16" t="str">
        <f aca="false">IF($D684="","",Y684-V684)</f>
        <v/>
      </c>
      <c r="X684" s="16" t="str">
        <f aca="false">IF($D684="","",W684-N684)</f>
        <v/>
      </c>
      <c r="AB684" s="17" t="str">
        <f aca="false">IF($D684="","",IF(OR($R684=TRUE(),$R684="TRUE"),Settings!$C$6,Settings!$C$7)*100)</f>
        <v/>
      </c>
      <c r="AH684" s="18" t="str">
        <f aca="false">IF($D684="","",IF(COUNTIF($D$2:$D684,$D684)=1,1,0))</f>
        <v/>
      </c>
      <c r="AI684" s="18" t="str">
        <f aca="false">IF($AH684=1,SUMPRODUCT(--($AK$2:$AK$4001&lt;$AK684))+1,"")</f>
        <v/>
      </c>
      <c r="AJ684" s="18" t="str">
        <f aca="false">IF($D684="","",IF(OR($R684=TRUE(),$R684="TRUE"),1,0))</f>
        <v/>
      </c>
      <c r="AK684" s="18" t="str">
        <f aca="false">IF($AH684=1,IFERROR(VALUE(MID($D684,2,20)),1000000000)+ROW()/10000000,"")</f>
        <v/>
      </c>
    </row>
    <row r="685" customFormat="false" ht="15" hidden="false" customHeight="false" outlineLevel="0" collapsed="false">
      <c r="F685" s="15"/>
      <c r="N685" s="16" t="str">
        <f aca="false">IF($D685="","",M685*Y685/100)</f>
        <v/>
      </c>
      <c r="V685" s="16" t="str">
        <f aca="false">IF($D685="","",Y685*AB685/100)</f>
        <v/>
      </c>
      <c r="W685" s="16" t="str">
        <f aca="false">IF($D685="","",Y685-V685)</f>
        <v/>
      </c>
      <c r="X685" s="16" t="str">
        <f aca="false">IF($D685="","",W685-N685)</f>
        <v/>
      </c>
      <c r="AB685" s="17" t="str">
        <f aca="false">IF($D685="","",IF(OR($R685=TRUE(),$R685="TRUE"),Settings!$C$6,Settings!$C$7)*100)</f>
        <v/>
      </c>
      <c r="AH685" s="18" t="str">
        <f aca="false">IF($D685="","",IF(COUNTIF($D$2:$D685,$D685)=1,1,0))</f>
        <v/>
      </c>
      <c r="AI685" s="18" t="str">
        <f aca="false">IF($AH685=1,SUMPRODUCT(--($AK$2:$AK$4001&lt;$AK685))+1,"")</f>
        <v/>
      </c>
      <c r="AJ685" s="18" t="str">
        <f aca="false">IF($D685="","",IF(OR($R685=TRUE(),$R685="TRUE"),1,0))</f>
        <v/>
      </c>
      <c r="AK685" s="18" t="str">
        <f aca="false">IF($AH685=1,IFERROR(VALUE(MID($D685,2,20)),1000000000)+ROW()/10000000,"")</f>
        <v/>
      </c>
    </row>
    <row r="686" customFormat="false" ht="15" hidden="false" customHeight="false" outlineLevel="0" collapsed="false">
      <c r="F686" s="15"/>
      <c r="N686" s="16" t="str">
        <f aca="false">IF($D686="","",M686*Y686/100)</f>
        <v/>
      </c>
      <c r="V686" s="16" t="str">
        <f aca="false">IF($D686="","",Y686*AB686/100)</f>
        <v/>
      </c>
      <c r="W686" s="16" t="str">
        <f aca="false">IF($D686="","",Y686-V686)</f>
        <v/>
      </c>
      <c r="X686" s="16" t="str">
        <f aca="false">IF($D686="","",W686-N686)</f>
        <v/>
      </c>
      <c r="AB686" s="17" t="str">
        <f aca="false">IF($D686="","",IF(OR($R686=TRUE(),$R686="TRUE"),Settings!$C$6,Settings!$C$7)*100)</f>
        <v/>
      </c>
      <c r="AH686" s="18" t="str">
        <f aca="false">IF($D686="","",IF(COUNTIF($D$2:$D686,$D686)=1,1,0))</f>
        <v/>
      </c>
      <c r="AI686" s="18" t="str">
        <f aca="false">IF($AH686=1,SUMPRODUCT(--($AK$2:$AK$4001&lt;$AK686))+1,"")</f>
        <v/>
      </c>
      <c r="AJ686" s="18" t="str">
        <f aca="false">IF($D686="","",IF(OR($R686=TRUE(),$R686="TRUE"),1,0))</f>
        <v/>
      </c>
      <c r="AK686" s="18" t="str">
        <f aca="false">IF($AH686=1,IFERROR(VALUE(MID($D686,2,20)),1000000000)+ROW()/10000000,"")</f>
        <v/>
      </c>
    </row>
    <row r="687" customFormat="false" ht="15" hidden="false" customHeight="false" outlineLevel="0" collapsed="false">
      <c r="F687" s="15"/>
      <c r="N687" s="16" t="str">
        <f aca="false">IF($D687="","",M687*Y687/100)</f>
        <v/>
      </c>
      <c r="V687" s="16" t="str">
        <f aca="false">IF($D687="","",Y687*AB687/100)</f>
        <v/>
      </c>
      <c r="W687" s="16" t="str">
        <f aca="false">IF($D687="","",Y687-V687)</f>
        <v/>
      </c>
      <c r="X687" s="16" t="str">
        <f aca="false">IF($D687="","",W687-N687)</f>
        <v/>
      </c>
      <c r="AB687" s="17" t="str">
        <f aca="false">IF($D687="","",IF(OR($R687=TRUE(),$R687="TRUE"),Settings!$C$6,Settings!$C$7)*100)</f>
        <v/>
      </c>
      <c r="AH687" s="18" t="str">
        <f aca="false">IF($D687="","",IF(COUNTIF($D$2:$D687,$D687)=1,1,0))</f>
        <v/>
      </c>
      <c r="AI687" s="18" t="str">
        <f aca="false">IF($AH687=1,SUMPRODUCT(--($AK$2:$AK$4001&lt;$AK687))+1,"")</f>
        <v/>
      </c>
      <c r="AJ687" s="18" t="str">
        <f aca="false">IF($D687="","",IF(OR($R687=TRUE(),$R687="TRUE"),1,0))</f>
        <v/>
      </c>
      <c r="AK687" s="18" t="str">
        <f aca="false">IF($AH687=1,IFERROR(VALUE(MID($D687,2,20)),1000000000)+ROW()/10000000,"")</f>
        <v/>
      </c>
    </row>
    <row r="688" customFormat="false" ht="15" hidden="false" customHeight="false" outlineLevel="0" collapsed="false">
      <c r="F688" s="15"/>
      <c r="N688" s="16" t="str">
        <f aca="false">IF($D688="","",M688*Y688/100)</f>
        <v/>
      </c>
      <c r="V688" s="16" t="str">
        <f aca="false">IF($D688="","",Y688*AB688/100)</f>
        <v/>
      </c>
      <c r="W688" s="16" t="str">
        <f aca="false">IF($D688="","",Y688-V688)</f>
        <v/>
      </c>
      <c r="X688" s="16" t="str">
        <f aca="false">IF($D688="","",W688-N688)</f>
        <v/>
      </c>
      <c r="AB688" s="17" t="str">
        <f aca="false">IF($D688="","",IF(OR($R688=TRUE(),$R688="TRUE"),Settings!$C$6,Settings!$C$7)*100)</f>
        <v/>
      </c>
      <c r="AH688" s="18" t="str">
        <f aca="false">IF($D688="","",IF(COUNTIF($D$2:$D688,$D688)=1,1,0))</f>
        <v/>
      </c>
      <c r="AI688" s="18" t="str">
        <f aca="false">IF($AH688=1,SUMPRODUCT(--($AK$2:$AK$4001&lt;$AK688))+1,"")</f>
        <v/>
      </c>
      <c r="AJ688" s="18" t="str">
        <f aca="false">IF($D688="","",IF(OR($R688=TRUE(),$R688="TRUE"),1,0))</f>
        <v/>
      </c>
      <c r="AK688" s="18" t="str">
        <f aca="false">IF($AH688=1,IFERROR(VALUE(MID($D688,2,20)),1000000000)+ROW()/10000000,"")</f>
        <v/>
      </c>
    </row>
    <row r="689" customFormat="false" ht="15" hidden="false" customHeight="false" outlineLevel="0" collapsed="false">
      <c r="F689" s="15"/>
      <c r="N689" s="16" t="str">
        <f aca="false">IF($D689="","",M689*Y689/100)</f>
        <v/>
      </c>
      <c r="V689" s="16" t="str">
        <f aca="false">IF($D689="","",Y689*AB689/100)</f>
        <v/>
      </c>
      <c r="W689" s="16" t="str">
        <f aca="false">IF($D689="","",Y689-V689)</f>
        <v/>
      </c>
      <c r="X689" s="16" t="str">
        <f aca="false">IF($D689="","",W689-N689)</f>
        <v/>
      </c>
      <c r="AB689" s="17" t="str">
        <f aca="false">IF($D689="","",IF(OR($R689=TRUE(),$R689="TRUE"),Settings!$C$6,Settings!$C$7)*100)</f>
        <v/>
      </c>
      <c r="AH689" s="18" t="str">
        <f aca="false">IF($D689="","",IF(COUNTIF($D$2:$D689,$D689)=1,1,0))</f>
        <v/>
      </c>
      <c r="AI689" s="18" t="str">
        <f aca="false">IF($AH689=1,SUMPRODUCT(--($AK$2:$AK$4001&lt;$AK689))+1,"")</f>
        <v/>
      </c>
      <c r="AJ689" s="18" t="str">
        <f aca="false">IF($D689="","",IF(OR($R689=TRUE(),$R689="TRUE"),1,0))</f>
        <v/>
      </c>
      <c r="AK689" s="18" t="str">
        <f aca="false">IF($AH689=1,IFERROR(VALUE(MID($D689,2,20)),1000000000)+ROW()/10000000,"")</f>
        <v/>
      </c>
    </row>
    <row r="690" customFormat="false" ht="15" hidden="false" customHeight="false" outlineLevel="0" collapsed="false">
      <c r="F690" s="15"/>
      <c r="N690" s="16" t="str">
        <f aca="false">IF($D690="","",M690*Y690/100)</f>
        <v/>
      </c>
      <c r="V690" s="16" t="str">
        <f aca="false">IF($D690="","",Y690*AB690/100)</f>
        <v/>
      </c>
      <c r="W690" s="16" t="str">
        <f aca="false">IF($D690="","",Y690-V690)</f>
        <v/>
      </c>
      <c r="X690" s="16" t="str">
        <f aca="false">IF($D690="","",W690-N690)</f>
        <v/>
      </c>
      <c r="AB690" s="17" t="str">
        <f aca="false">IF($D690="","",IF(OR($R690=TRUE(),$R690="TRUE"),Settings!$C$6,Settings!$C$7)*100)</f>
        <v/>
      </c>
      <c r="AH690" s="18" t="str">
        <f aca="false">IF($D690="","",IF(COUNTIF($D$2:$D690,$D690)=1,1,0))</f>
        <v/>
      </c>
      <c r="AI690" s="18" t="str">
        <f aca="false">IF($AH690=1,SUMPRODUCT(--($AK$2:$AK$4001&lt;$AK690))+1,"")</f>
        <v/>
      </c>
      <c r="AJ690" s="18" t="str">
        <f aca="false">IF($D690="","",IF(OR($R690=TRUE(),$R690="TRUE"),1,0))</f>
        <v/>
      </c>
      <c r="AK690" s="18" t="str">
        <f aca="false">IF($AH690=1,IFERROR(VALUE(MID($D690,2,20)),1000000000)+ROW()/10000000,"")</f>
        <v/>
      </c>
    </row>
    <row r="691" customFormat="false" ht="15" hidden="false" customHeight="false" outlineLevel="0" collapsed="false">
      <c r="F691" s="15"/>
      <c r="N691" s="16" t="str">
        <f aca="false">IF($D691="","",M691*Y691/100)</f>
        <v/>
      </c>
      <c r="V691" s="16" t="str">
        <f aca="false">IF($D691="","",Y691*AB691/100)</f>
        <v/>
      </c>
      <c r="W691" s="16" t="str">
        <f aca="false">IF($D691="","",Y691-V691)</f>
        <v/>
      </c>
      <c r="X691" s="16" t="str">
        <f aca="false">IF($D691="","",W691-N691)</f>
        <v/>
      </c>
      <c r="AB691" s="17" t="str">
        <f aca="false">IF($D691="","",IF(OR($R691=TRUE(),$R691="TRUE"),Settings!$C$6,Settings!$C$7)*100)</f>
        <v/>
      </c>
      <c r="AH691" s="18" t="str">
        <f aca="false">IF($D691="","",IF(COUNTIF($D$2:$D691,$D691)=1,1,0))</f>
        <v/>
      </c>
      <c r="AI691" s="18" t="str">
        <f aca="false">IF($AH691=1,SUMPRODUCT(--($AK$2:$AK$4001&lt;$AK691))+1,"")</f>
        <v/>
      </c>
      <c r="AJ691" s="18" t="str">
        <f aca="false">IF($D691="","",IF(OR($R691=TRUE(),$R691="TRUE"),1,0))</f>
        <v/>
      </c>
      <c r="AK691" s="18" t="str">
        <f aca="false">IF($AH691=1,IFERROR(VALUE(MID($D691,2,20)),1000000000)+ROW()/10000000,"")</f>
        <v/>
      </c>
    </row>
    <row r="692" customFormat="false" ht="15" hidden="false" customHeight="false" outlineLevel="0" collapsed="false">
      <c r="F692" s="15"/>
      <c r="N692" s="16" t="str">
        <f aca="false">IF($D692="","",M692*Y692/100)</f>
        <v/>
      </c>
      <c r="V692" s="16" t="str">
        <f aca="false">IF($D692="","",Y692*AB692/100)</f>
        <v/>
      </c>
      <c r="W692" s="16" t="str">
        <f aca="false">IF($D692="","",Y692-V692)</f>
        <v/>
      </c>
      <c r="X692" s="16" t="str">
        <f aca="false">IF($D692="","",W692-N692)</f>
        <v/>
      </c>
      <c r="AB692" s="17" t="str">
        <f aca="false">IF($D692="","",IF(OR($R692=TRUE(),$R692="TRUE"),Settings!$C$6,Settings!$C$7)*100)</f>
        <v/>
      </c>
      <c r="AH692" s="18" t="str">
        <f aca="false">IF($D692="","",IF(COUNTIF($D$2:$D692,$D692)=1,1,0))</f>
        <v/>
      </c>
      <c r="AI692" s="18" t="str">
        <f aca="false">IF($AH692=1,SUMPRODUCT(--($AK$2:$AK$4001&lt;$AK692))+1,"")</f>
        <v/>
      </c>
      <c r="AJ692" s="18" t="str">
        <f aca="false">IF($D692="","",IF(OR($R692=TRUE(),$R692="TRUE"),1,0))</f>
        <v/>
      </c>
      <c r="AK692" s="18" t="str">
        <f aca="false">IF($AH692=1,IFERROR(VALUE(MID($D692,2,20)),1000000000)+ROW()/10000000,"")</f>
        <v/>
      </c>
    </row>
    <row r="693" customFormat="false" ht="15" hidden="false" customHeight="false" outlineLevel="0" collapsed="false">
      <c r="F693" s="15"/>
      <c r="N693" s="16" t="str">
        <f aca="false">IF($D693="","",M693*Y693/100)</f>
        <v/>
      </c>
      <c r="V693" s="16" t="str">
        <f aca="false">IF($D693="","",Y693*AB693/100)</f>
        <v/>
      </c>
      <c r="W693" s="16" t="str">
        <f aca="false">IF($D693="","",Y693-V693)</f>
        <v/>
      </c>
      <c r="X693" s="16" t="str">
        <f aca="false">IF($D693="","",W693-N693)</f>
        <v/>
      </c>
      <c r="AB693" s="17" t="str">
        <f aca="false">IF($D693="","",IF(OR($R693=TRUE(),$R693="TRUE"),Settings!$C$6,Settings!$C$7)*100)</f>
        <v/>
      </c>
      <c r="AH693" s="18" t="str">
        <f aca="false">IF($D693="","",IF(COUNTIF($D$2:$D693,$D693)=1,1,0))</f>
        <v/>
      </c>
      <c r="AI693" s="18" t="str">
        <f aca="false">IF($AH693=1,SUMPRODUCT(--($AK$2:$AK$4001&lt;$AK693))+1,"")</f>
        <v/>
      </c>
      <c r="AJ693" s="18" t="str">
        <f aca="false">IF($D693="","",IF(OR($R693=TRUE(),$R693="TRUE"),1,0))</f>
        <v/>
      </c>
      <c r="AK693" s="18" t="str">
        <f aca="false">IF($AH693=1,IFERROR(VALUE(MID($D693,2,20)),1000000000)+ROW()/10000000,"")</f>
        <v/>
      </c>
    </row>
    <row r="694" customFormat="false" ht="15" hidden="false" customHeight="false" outlineLevel="0" collapsed="false">
      <c r="F694" s="15"/>
      <c r="N694" s="16" t="str">
        <f aca="false">IF($D694="","",M694*Y694/100)</f>
        <v/>
      </c>
      <c r="V694" s="16" t="str">
        <f aca="false">IF($D694="","",Y694*AB694/100)</f>
        <v/>
      </c>
      <c r="W694" s="16" t="str">
        <f aca="false">IF($D694="","",Y694-V694)</f>
        <v/>
      </c>
      <c r="X694" s="16" t="str">
        <f aca="false">IF($D694="","",W694-N694)</f>
        <v/>
      </c>
      <c r="AB694" s="17" t="str">
        <f aca="false">IF($D694="","",IF(OR($R694=TRUE(),$R694="TRUE"),Settings!$C$6,Settings!$C$7)*100)</f>
        <v/>
      </c>
      <c r="AH694" s="18" t="str">
        <f aca="false">IF($D694="","",IF(COUNTIF($D$2:$D694,$D694)=1,1,0))</f>
        <v/>
      </c>
      <c r="AI694" s="18" t="str">
        <f aca="false">IF($AH694=1,SUMPRODUCT(--($AK$2:$AK$4001&lt;$AK694))+1,"")</f>
        <v/>
      </c>
      <c r="AJ694" s="18" t="str">
        <f aca="false">IF($D694="","",IF(OR($R694=TRUE(),$R694="TRUE"),1,0))</f>
        <v/>
      </c>
      <c r="AK694" s="18" t="str">
        <f aca="false">IF($AH694=1,IFERROR(VALUE(MID($D694,2,20)),1000000000)+ROW()/10000000,"")</f>
        <v/>
      </c>
    </row>
    <row r="695" customFormat="false" ht="15" hidden="false" customHeight="false" outlineLevel="0" collapsed="false">
      <c r="F695" s="15"/>
      <c r="N695" s="16" t="str">
        <f aca="false">IF($D695="","",M695*Y695/100)</f>
        <v/>
      </c>
      <c r="V695" s="16" t="str">
        <f aca="false">IF($D695="","",Y695*AB695/100)</f>
        <v/>
      </c>
      <c r="W695" s="16" t="str">
        <f aca="false">IF($D695="","",Y695-V695)</f>
        <v/>
      </c>
      <c r="X695" s="16" t="str">
        <f aca="false">IF($D695="","",W695-N695)</f>
        <v/>
      </c>
      <c r="AB695" s="17" t="str">
        <f aca="false">IF($D695="","",IF(OR($R695=TRUE(),$R695="TRUE"),Settings!$C$6,Settings!$C$7)*100)</f>
        <v/>
      </c>
      <c r="AH695" s="18" t="str">
        <f aca="false">IF($D695="","",IF(COUNTIF($D$2:$D695,$D695)=1,1,0))</f>
        <v/>
      </c>
      <c r="AI695" s="18" t="str">
        <f aca="false">IF($AH695=1,SUMPRODUCT(--($AK$2:$AK$4001&lt;$AK695))+1,"")</f>
        <v/>
      </c>
      <c r="AJ695" s="18" t="str">
        <f aca="false">IF($D695="","",IF(OR($R695=TRUE(),$R695="TRUE"),1,0))</f>
        <v/>
      </c>
      <c r="AK695" s="18" t="str">
        <f aca="false">IF($AH695=1,IFERROR(VALUE(MID($D695,2,20)),1000000000)+ROW()/10000000,"")</f>
        <v/>
      </c>
    </row>
    <row r="696" customFormat="false" ht="15" hidden="false" customHeight="false" outlineLevel="0" collapsed="false">
      <c r="F696" s="15"/>
      <c r="N696" s="16" t="str">
        <f aca="false">IF($D696="","",M696*Y696/100)</f>
        <v/>
      </c>
      <c r="V696" s="16" t="str">
        <f aca="false">IF($D696="","",Y696*AB696/100)</f>
        <v/>
      </c>
      <c r="W696" s="16" t="str">
        <f aca="false">IF($D696="","",Y696-V696)</f>
        <v/>
      </c>
      <c r="X696" s="16" t="str">
        <f aca="false">IF($D696="","",W696-N696)</f>
        <v/>
      </c>
      <c r="AB696" s="17" t="str">
        <f aca="false">IF($D696="","",IF(OR($R696=TRUE(),$R696="TRUE"),Settings!$C$6,Settings!$C$7)*100)</f>
        <v/>
      </c>
      <c r="AH696" s="18" t="str">
        <f aca="false">IF($D696="","",IF(COUNTIF($D$2:$D696,$D696)=1,1,0))</f>
        <v/>
      </c>
      <c r="AI696" s="18" t="str">
        <f aca="false">IF($AH696=1,SUMPRODUCT(--($AK$2:$AK$4001&lt;$AK696))+1,"")</f>
        <v/>
      </c>
      <c r="AJ696" s="18" t="str">
        <f aca="false">IF($D696="","",IF(OR($R696=TRUE(),$R696="TRUE"),1,0))</f>
        <v/>
      </c>
      <c r="AK696" s="18" t="str">
        <f aca="false">IF($AH696=1,IFERROR(VALUE(MID($D696,2,20)),1000000000)+ROW()/10000000,"")</f>
        <v/>
      </c>
    </row>
    <row r="697" customFormat="false" ht="15" hidden="false" customHeight="false" outlineLevel="0" collapsed="false">
      <c r="F697" s="15"/>
      <c r="N697" s="16" t="str">
        <f aca="false">IF($D697="","",M697*Y697/100)</f>
        <v/>
      </c>
      <c r="V697" s="16" t="str">
        <f aca="false">IF($D697="","",Y697*AB697/100)</f>
        <v/>
      </c>
      <c r="W697" s="16" t="str">
        <f aca="false">IF($D697="","",Y697-V697)</f>
        <v/>
      </c>
      <c r="X697" s="16" t="str">
        <f aca="false">IF($D697="","",W697-N697)</f>
        <v/>
      </c>
      <c r="AB697" s="17" t="str">
        <f aca="false">IF($D697="","",IF(OR($R697=TRUE(),$R697="TRUE"),Settings!$C$6,Settings!$C$7)*100)</f>
        <v/>
      </c>
      <c r="AH697" s="18" t="str">
        <f aca="false">IF($D697="","",IF(COUNTIF($D$2:$D697,$D697)=1,1,0))</f>
        <v/>
      </c>
      <c r="AI697" s="18" t="str">
        <f aca="false">IF($AH697=1,SUMPRODUCT(--($AK$2:$AK$4001&lt;$AK697))+1,"")</f>
        <v/>
      </c>
      <c r="AJ697" s="18" t="str">
        <f aca="false">IF($D697="","",IF(OR($R697=TRUE(),$R697="TRUE"),1,0))</f>
        <v/>
      </c>
      <c r="AK697" s="18" t="str">
        <f aca="false">IF($AH697=1,IFERROR(VALUE(MID($D697,2,20)),1000000000)+ROW()/10000000,"")</f>
        <v/>
      </c>
    </row>
    <row r="698" customFormat="false" ht="15" hidden="false" customHeight="false" outlineLevel="0" collapsed="false">
      <c r="F698" s="15"/>
      <c r="N698" s="16" t="str">
        <f aca="false">IF($D698="","",M698*Y698/100)</f>
        <v/>
      </c>
      <c r="V698" s="16" t="str">
        <f aca="false">IF($D698="","",Y698*AB698/100)</f>
        <v/>
      </c>
      <c r="W698" s="16" t="str">
        <f aca="false">IF($D698="","",Y698-V698)</f>
        <v/>
      </c>
      <c r="X698" s="16" t="str">
        <f aca="false">IF($D698="","",W698-N698)</f>
        <v/>
      </c>
      <c r="AB698" s="17" t="str">
        <f aca="false">IF($D698="","",IF(OR($R698=TRUE(),$R698="TRUE"),Settings!$C$6,Settings!$C$7)*100)</f>
        <v/>
      </c>
      <c r="AH698" s="18" t="str">
        <f aca="false">IF($D698="","",IF(COUNTIF($D$2:$D698,$D698)=1,1,0))</f>
        <v/>
      </c>
      <c r="AI698" s="18" t="str">
        <f aca="false">IF($AH698=1,SUMPRODUCT(--($AK$2:$AK$4001&lt;$AK698))+1,"")</f>
        <v/>
      </c>
      <c r="AJ698" s="18" t="str">
        <f aca="false">IF($D698="","",IF(OR($R698=TRUE(),$R698="TRUE"),1,0))</f>
        <v/>
      </c>
      <c r="AK698" s="18" t="str">
        <f aca="false">IF($AH698=1,IFERROR(VALUE(MID($D698,2,20)),1000000000)+ROW()/10000000,"")</f>
        <v/>
      </c>
    </row>
    <row r="699" customFormat="false" ht="15" hidden="false" customHeight="false" outlineLevel="0" collapsed="false">
      <c r="F699" s="15"/>
      <c r="N699" s="16" t="str">
        <f aca="false">IF($D699="","",M699*Y699/100)</f>
        <v/>
      </c>
      <c r="V699" s="16" t="str">
        <f aca="false">IF($D699="","",Y699*AB699/100)</f>
        <v/>
      </c>
      <c r="W699" s="16" t="str">
        <f aca="false">IF($D699="","",Y699-V699)</f>
        <v/>
      </c>
      <c r="X699" s="16" t="str">
        <f aca="false">IF($D699="","",W699-N699)</f>
        <v/>
      </c>
      <c r="AB699" s="17" t="str">
        <f aca="false">IF($D699="","",IF(OR($R699=TRUE(),$R699="TRUE"),Settings!$C$6,Settings!$C$7)*100)</f>
        <v/>
      </c>
      <c r="AH699" s="18" t="str">
        <f aca="false">IF($D699="","",IF(COUNTIF($D$2:$D699,$D699)=1,1,0))</f>
        <v/>
      </c>
      <c r="AI699" s="18" t="str">
        <f aca="false">IF($AH699=1,SUMPRODUCT(--($AK$2:$AK$4001&lt;$AK699))+1,"")</f>
        <v/>
      </c>
      <c r="AJ699" s="18" t="str">
        <f aca="false">IF($D699="","",IF(OR($R699=TRUE(),$R699="TRUE"),1,0))</f>
        <v/>
      </c>
      <c r="AK699" s="18" t="str">
        <f aca="false">IF($AH699=1,IFERROR(VALUE(MID($D699,2,20)),1000000000)+ROW()/10000000,"")</f>
        <v/>
      </c>
    </row>
    <row r="700" customFormat="false" ht="15" hidden="false" customHeight="false" outlineLevel="0" collapsed="false">
      <c r="F700" s="15"/>
      <c r="N700" s="16" t="str">
        <f aca="false">IF($D700="","",M700*Y700/100)</f>
        <v/>
      </c>
      <c r="V700" s="16" t="str">
        <f aca="false">IF($D700="","",Y700*AB700/100)</f>
        <v/>
      </c>
      <c r="W700" s="16" t="str">
        <f aca="false">IF($D700="","",Y700-V700)</f>
        <v/>
      </c>
      <c r="X700" s="16" t="str">
        <f aca="false">IF($D700="","",W700-N700)</f>
        <v/>
      </c>
      <c r="AB700" s="17" t="str">
        <f aca="false">IF($D700="","",IF(OR($R700=TRUE(),$R700="TRUE"),Settings!$C$6,Settings!$C$7)*100)</f>
        <v/>
      </c>
      <c r="AH700" s="18" t="str">
        <f aca="false">IF($D700="","",IF(COUNTIF($D$2:$D700,$D700)=1,1,0))</f>
        <v/>
      </c>
      <c r="AI700" s="18" t="str">
        <f aca="false">IF($AH700=1,SUMPRODUCT(--($AK$2:$AK$4001&lt;$AK700))+1,"")</f>
        <v/>
      </c>
      <c r="AJ700" s="18" t="str">
        <f aca="false">IF($D700="","",IF(OR($R700=TRUE(),$R700="TRUE"),1,0))</f>
        <v/>
      </c>
      <c r="AK700" s="18" t="str">
        <f aca="false">IF($AH700=1,IFERROR(VALUE(MID($D700,2,20)),1000000000)+ROW()/10000000,"")</f>
        <v/>
      </c>
    </row>
    <row r="701" customFormat="false" ht="15" hidden="false" customHeight="false" outlineLevel="0" collapsed="false">
      <c r="F701" s="15"/>
      <c r="N701" s="16" t="str">
        <f aca="false">IF($D701="","",M701*Y701/100)</f>
        <v/>
      </c>
      <c r="V701" s="16" t="str">
        <f aca="false">IF($D701="","",Y701*AB701/100)</f>
        <v/>
      </c>
      <c r="W701" s="16" t="str">
        <f aca="false">IF($D701="","",Y701-V701)</f>
        <v/>
      </c>
      <c r="X701" s="16" t="str">
        <f aca="false">IF($D701="","",W701-N701)</f>
        <v/>
      </c>
      <c r="AB701" s="17" t="str">
        <f aca="false">IF($D701="","",IF(OR($R701=TRUE(),$R701="TRUE"),Settings!$C$6,Settings!$C$7)*100)</f>
        <v/>
      </c>
      <c r="AH701" s="18" t="str">
        <f aca="false">IF($D701="","",IF(COUNTIF($D$2:$D701,$D701)=1,1,0))</f>
        <v/>
      </c>
      <c r="AI701" s="18" t="str">
        <f aca="false">IF($AH701=1,SUMPRODUCT(--($AK$2:$AK$4001&lt;$AK701))+1,"")</f>
        <v/>
      </c>
      <c r="AJ701" s="18" t="str">
        <f aca="false">IF($D701="","",IF(OR($R701=TRUE(),$R701="TRUE"),1,0))</f>
        <v/>
      </c>
      <c r="AK701" s="18" t="str">
        <f aca="false">IF($AH701=1,IFERROR(VALUE(MID($D701,2,20)),1000000000)+ROW()/10000000,"")</f>
        <v/>
      </c>
    </row>
    <row r="702" customFormat="false" ht="15" hidden="false" customHeight="false" outlineLevel="0" collapsed="false">
      <c r="F702" s="15"/>
      <c r="N702" s="16" t="str">
        <f aca="false">IF($D702="","",M702*Y702/100)</f>
        <v/>
      </c>
      <c r="V702" s="16" t="str">
        <f aca="false">IF($D702="","",Y702*AB702/100)</f>
        <v/>
      </c>
      <c r="W702" s="16" t="str">
        <f aca="false">IF($D702="","",Y702-V702)</f>
        <v/>
      </c>
      <c r="X702" s="16" t="str">
        <f aca="false">IF($D702="","",W702-N702)</f>
        <v/>
      </c>
      <c r="AB702" s="17" t="str">
        <f aca="false">IF($D702="","",IF(OR($R702=TRUE(),$R702="TRUE"),Settings!$C$6,Settings!$C$7)*100)</f>
        <v/>
      </c>
      <c r="AH702" s="18" t="str">
        <f aca="false">IF($D702="","",IF(COUNTIF($D$2:$D702,$D702)=1,1,0))</f>
        <v/>
      </c>
      <c r="AI702" s="18" t="str">
        <f aca="false">IF($AH702=1,SUMPRODUCT(--($AK$2:$AK$4001&lt;$AK702))+1,"")</f>
        <v/>
      </c>
      <c r="AJ702" s="18" t="str">
        <f aca="false">IF($D702="","",IF(OR($R702=TRUE(),$R702="TRUE"),1,0))</f>
        <v/>
      </c>
      <c r="AK702" s="18" t="str">
        <f aca="false">IF($AH702=1,IFERROR(VALUE(MID($D702,2,20)),1000000000)+ROW()/10000000,"")</f>
        <v/>
      </c>
    </row>
    <row r="703" customFormat="false" ht="15" hidden="false" customHeight="false" outlineLevel="0" collapsed="false">
      <c r="F703" s="15"/>
      <c r="N703" s="16" t="str">
        <f aca="false">IF($D703="","",M703*Y703/100)</f>
        <v/>
      </c>
      <c r="V703" s="16" t="str">
        <f aca="false">IF($D703="","",Y703*AB703/100)</f>
        <v/>
      </c>
      <c r="W703" s="16" t="str">
        <f aca="false">IF($D703="","",Y703-V703)</f>
        <v/>
      </c>
      <c r="X703" s="16" t="str">
        <f aca="false">IF($D703="","",W703-N703)</f>
        <v/>
      </c>
      <c r="AB703" s="17" t="str">
        <f aca="false">IF($D703="","",IF(OR($R703=TRUE(),$R703="TRUE"),Settings!$C$6,Settings!$C$7)*100)</f>
        <v/>
      </c>
      <c r="AH703" s="18" t="str">
        <f aca="false">IF($D703="","",IF(COUNTIF($D$2:$D703,$D703)=1,1,0))</f>
        <v/>
      </c>
      <c r="AI703" s="18" t="str">
        <f aca="false">IF($AH703=1,SUMPRODUCT(--($AK$2:$AK$4001&lt;$AK703))+1,"")</f>
        <v/>
      </c>
      <c r="AJ703" s="18" t="str">
        <f aca="false">IF($D703="","",IF(OR($R703=TRUE(),$R703="TRUE"),1,0))</f>
        <v/>
      </c>
      <c r="AK703" s="18" t="str">
        <f aca="false">IF($AH703=1,IFERROR(VALUE(MID($D703,2,20)),1000000000)+ROW()/10000000,"")</f>
        <v/>
      </c>
    </row>
    <row r="704" customFormat="false" ht="15" hidden="false" customHeight="false" outlineLevel="0" collapsed="false">
      <c r="F704" s="15"/>
      <c r="N704" s="16" t="str">
        <f aca="false">IF($D704="","",M704*Y704/100)</f>
        <v/>
      </c>
      <c r="V704" s="16" t="str">
        <f aca="false">IF($D704="","",Y704*AB704/100)</f>
        <v/>
      </c>
      <c r="W704" s="16" t="str">
        <f aca="false">IF($D704="","",Y704-V704)</f>
        <v/>
      </c>
      <c r="X704" s="16" t="str">
        <f aca="false">IF($D704="","",W704-N704)</f>
        <v/>
      </c>
      <c r="AB704" s="17" t="str">
        <f aca="false">IF($D704="","",IF(OR($R704=TRUE(),$R704="TRUE"),Settings!$C$6,Settings!$C$7)*100)</f>
        <v/>
      </c>
      <c r="AH704" s="18" t="str">
        <f aca="false">IF($D704="","",IF(COUNTIF($D$2:$D704,$D704)=1,1,0))</f>
        <v/>
      </c>
      <c r="AI704" s="18" t="str">
        <f aca="false">IF($AH704=1,SUMPRODUCT(--($AK$2:$AK$4001&lt;$AK704))+1,"")</f>
        <v/>
      </c>
      <c r="AJ704" s="18" t="str">
        <f aca="false">IF($D704="","",IF(OR($R704=TRUE(),$R704="TRUE"),1,0))</f>
        <v/>
      </c>
      <c r="AK704" s="18" t="str">
        <f aca="false">IF($AH704=1,IFERROR(VALUE(MID($D704,2,20)),1000000000)+ROW()/10000000,"")</f>
        <v/>
      </c>
    </row>
    <row r="705" customFormat="false" ht="15" hidden="false" customHeight="false" outlineLevel="0" collapsed="false">
      <c r="F705" s="15"/>
      <c r="N705" s="16" t="str">
        <f aca="false">IF($D705="","",M705*Y705/100)</f>
        <v/>
      </c>
      <c r="V705" s="16" t="str">
        <f aca="false">IF($D705="","",Y705*AB705/100)</f>
        <v/>
      </c>
      <c r="W705" s="16" t="str">
        <f aca="false">IF($D705="","",Y705-V705)</f>
        <v/>
      </c>
      <c r="X705" s="16" t="str">
        <f aca="false">IF($D705="","",W705-N705)</f>
        <v/>
      </c>
      <c r="AB705" s="17" t="str">
        <f aca="false">IF($D705="","",IF(OR($R705=TRUE(),$R705="TRUE"),Settings!$C$6,Settings!$C$7)*100)</f>
        <v/>
      </c>
      <c r="AH705" s="18" t="str">
        <f aca="false">IF($D705="","",IF(COUNTIF($D$2:$D705,$D705)=1,1,0))</f>
        <v/>
      </c>
      <c r="AI705" s="18" t="str">
        <f aca="false">IF($AH705=1,SUMPRODUCT(--($AK$2:$AK$4001&lt;$AK705))+1,"")</f>
        <v/>
      </c>
      <c r="AJ705" s="18" t="str">
        <f aca="false">IF($D705="","",IF(OR($R705=TRUE(),$R705="TRUE"),1,0))</f>
        <v/>
      </c>
      <c r="AK705" s="18" t="str">
        <f aca="false">IF($AH705=1,IFERROR(VALUE(MID($D705,2,20)),1000000000)+ROW()/10000000,"")</f>
        <v/>
      </c>
    </row>
    <row r="706" customFormat="false" ht="15" hidden="false" customHeight="false" outlineLevel="0" collapsed="false">
      <c r="F706" s="15"/>
      <c r="N706" s="16" t="str">
        <f aca="false">IF($D706="","",M706*Y706/100)</f>
        <v/>
      </c>
      <c r="V706" s="16" t="str">
        <f aca="false">IF($D706="","",Y706*AB706/100)</f>
        <v/>
      </c>
      <c r="W706" s="16" t="str">
        <f aca="false">IF($D706="","",Y706-V706)</f>
        <v/>
      </c>
      <c r="X706" s="16" t="str">
        <f aca="false">IF($D706="","",W706-N706)</f>
        <v/>
      </c>
      <c r="AB706" s="17" t="str">
        <f aca="false">IF($D706="","",IF(OR($R706=TRUE(),$R706="TRUE"),Settings!$C$6,Settings!$C$7)*100)</f>
        <v/>
      </c>
      <c r="AH706" s="18" t="str">
        <f aca="false">IF($D706="","",IF(COUNTIF($D$2:$D706,$D706)=1,1,0))</f>
        <v/>
      </c>
      <c r="AI706" s="18" t="str">
        <f aca="false">IF($AH706=1,SUMPRODUCT(--($AK$2:$AK$4001&lt;$AK706))+1,"")</f>
        <v/>
      </c>
      <c r="AJ706" s="18" t="str">
        <f aca="false">IF($D706="","",IF(OR($R706=TRUE(),$R706="TRUE"),1,0))</f>
        <v/>
      </c>
      <c r="AK706" s="18" t="str">
        <f aca="false">IF($AH706=1,IFERROR(VALUE(MID($D706,2,20)),1000000000)+ROW()/10000000,"")</f>
        <v/>
      </c>
    </row>
    <row r="707" customFormat="false" ht="15" hidden="false" customHeight="false" outlineLevel="0" collapsed="false">
      <c r="F707" s="15"/>
      <c r="N707" s="16" t="str">
        <f aca="false">IF($D707="","",M707*Y707/100)</f>
        <v/>
      </c>
      <c r="V707" s="16" t="str">
        <f aca="false">IF($D707="","",Y707*AB707/100)</f>
        <v/>
      </c>
      <c r="W707" s="16" t="str">
        <f aca="false">IF($D707="","",Y707-V707)</f>
        <v/>
      </c>
      <c r="X707" s="16" t="str">
        <f aca="false">IF($D707="","",W707-N707)</f>
        <v/>
      </c>
      <c r="AB707" s="17" t="str">
        <f aca="false">IF($D707="","",IF(OR($R707=TRUE(),$R707="TRUE"),Settings!$C$6,Settings!$C$7)*100)</f>
        <v/>
      </c>
      <c r="AH707" s="18" t="str">
        <f aca="false">IF($D707="","",IF(COUNTIF($D$2:$D707,$D707)=1,1,0))</f>
        <v/>
      </c>
      <c r="AI707" s="18" t="str">
        <f aca="false">IF($AH707=1,SUMPRODUCT(--($AK$2:$AK$4001&lt;$AK707))+1,"")</f>
        <v/>
      </c>
      <c r="AJ707" s="18" t="str">
        <f aca="false">IF($D707="","",IF(OR($R707=TRUE(),$R707="TRUE"),1,0))</f>
        <v/>
      </c>
      <c r="AK707" s="18" t="str">
        <f aca="false">IF($AH707=1,IFERROR(VALUE(MID($D707,2,20)),1000000000)+ROW()/10000000,"")</f>
        <v/>
      </c>
    </row>
    <row r="708" customFormat="false" ht="15" hidden="false" customHeight="false" outlineLevel="0" collapsed="false">
      <c r="F708" s="15"/>
      <c r="N708" s="16" t="str">
        <f aca="false">IF($D708="","",M708*Y708/100)</f>
        <v/>
      </c>
      <c r="V708" s="16" t="str">
        <f aca="false">IF($D708="","",Y708*AB708/100)</f>
        <v/>
      </c>
      <c r="W708" s="16" t="str">
        <f aca="false">IF($D708="","",Y708-V708)</f>
        <v/>
      </c>
      <c r="X708" s="16" t="str">
        <f aca="false">IF($D708="","",W708-N708)</f>
        <v/>
      </c>
      <c r="AB708" s="17" t="str">
        <f aca="false">IF($D708="","",IF(OR($R708=TRUE(),$R708="TRUE"),Settings!$C$6,Settings!$C$7)*100)</f>
        <v/>
      </c>
      <c r="AH708" s="18" t="str">
        <f aca="false">IF($D708="","",IF(COUNTIF($D$2:$D708,$D708)=1,1,0))</f>
        <v/>
      </c>
      <c r="AI708" s="18" t="str">
        <f aca="false">IF($AH708=1,SUMPRODUCT(--($AK$2:$AK$4001&lt;$AK708))+1,"")</f>
        <v/>
      </c>
      <c r="AJ708" s="18" t="str">
        <f aca="false">IF($D708="","",IF(OR($R708=TRUE(),$R708="TRUE"),1,0))</f>
        <v/>
      </c>
      <c r="AK708" s="18" t="str">
        <f aca="false">IF($AH708=1,IFERROR(VALUE(MID($D708,2,20)),1000000000)+ROW()/10000000,"")</f>
        <v/>
      </c>
    </row>
    <row r="709" customFormat="false" ht="15" hidden="false" customHeight="false" outlineLevel="0" collapsed="false">
      <c r="F709" s="15"/>
      <c r="N709" s="16" t="str">
        <f aca="false">IF($D709="","",M709*Y709/100)</f>
        <v/>
      </c>
      <c r="V709" s="16" t="str">
        <f aca="false">IF($D709="","",Y709*AB709/100)</f>
        <v/>
      </c>
      <c r="W709" s="16" t="str">
        <f aca="false">IF($D709="","",Y709-V709)</f>
        <v/>
      </c>
      <c r="X709" s="16" t="str">
        <f aca="false">IF($D709="","",W709-N709)</f>
        <v/>
      </c>
      <c r="AB709" s="17" t="str">
        <f aca="false">IF($D709="","",IF(OR($R709=TRUE(),$R709="TRUE"),Settings!$C$6,Settings!$C$7)*100)</f>
        <v/>
      </c>
      <c r="AH709" s="18" t="str">
        <f aca="false">IF($D709="","",IF(COUNTIF($D$2:$D709,$D709)=1,1,0))</f>
        <v/>
      </c>
      <c r="AI709" s="18" t="str">
        <f aca="false">IF($AH709=1,SUMPRODUCT(--($AK$2:$AK$4001&lt;$AK709))+1,"")</f>
        <v/>
      </c>
      <c r="AJ709" s="18" t="str">
        <f aca="false">IF($D709="","",IF(OR($R709=TRUE(),$R709="TRUE"),1,0))</f>
        <v/>
      </c>
      <c r="AK709" s="18" t="str">
        <f aca="false">IF($AH709=1,IFERROR(VALUE(MID($D709,2,20)),1000000000)+ROW()/10000000,"")</f>
        <v/>
      </c>
    </row>
    <row r="710" customFormat="false" ht="15" hidden="false" customHeight="false" outlineLevel="0" collapsed="false">
      <c r="F710" s="15"/>
      <c r="N710" s="16" t="str">
        <f aca="false">IF($D710="","",M710*Y710/100)</f>
        <v/>
      </c>
      <c r="V710" s="16" t="str">
        <f aca="false">IF($D710="","",Y710*AB710/100)</f>
        <v/>
      </c>
      <c r="W710" s="16" t="str">
        <f aca="false">IF($D710="","",Y710-V710)</f>
        <v/>
      </c>
      <c r="X710" s="16" t="str">
        <f aca="false">IF($D710="","",W710-N710)</f>
        <v/>
      </c>
      <c r="AB710" s="17" t="str">
        <f aca="false">IF($D710="","",IF(OR($R710=TRUE(),$R710="TRUE"),Settings!$C$6,Settings!$C$7)*100)</f>
        <v/>
      </c>
      <c r="AH710" s="18" t="str">
        <f aca="false">IF($D710="","",IF(COUNTIF($D$2:$D710,$D710)=1,1,0))</f>
        <v/>
      </c>
      <c r="AI710" s="18" t="str">
        <f aca="false">IF($AH710=1,SUMPRODUCT(--($AK$2:$AK$4001&lt;$AK710))+1,"")</f>
        <v/>
      </c>
      <c r="AJ710" s="18" t="str">
        <f aca="false">IF($D710="","",IF(OR($R710=TRUE(),$R710="TRUE"),1,0))</f>
        <v/>
      </c>
      <c r="AK710" s="18" t="str">
        <f aca="false">IF($AH710=1,IFERROR(VALUE(MID($D710,2,20)),1000000000)+ROW()/10000000,"")</f>
        <v/>
      </c>
    </row>
    <row r="711" customFormat="false" ht="15" hidden="false" customHeight="false" outlineLevel="0" collapsed="false">
      <c r="F711" s="15"/>
      <c r="N711" s="16" t="str">
        <f aca="false">IF($D711="","",M711*Y711/100)</f>
        <v/>
      </c>
      <c r="V711" s="16" t="str">
        <f aca="false">IF($D711="","",Y711*AB711/100)</f>
        <v/>
      </c>
      <c r="W711" s="16" t="str">
        <f aca="false">IF($D711="","",Y711-V711)</f>
        <v/>
      </c>
      <c r="X711" s="16" t="str">
        <f aca="false">IF($D711="","",W711-N711)</f>
        <v/>
      </c>
      <c r="AB711" s="17" t="str">
        <f aca="false">IF($D711="","",IF(OR($R711=TRUE(),$R711="TRUE"),Settings!$C$6,Settings!$C$7)*100)</f>
        <v/>
      </c>
      <c r="AH711" s="18" t="str">
        <f aca="false">IF($D711="","",IF(COUNTIF($D$2:$D711,$D711)=1,1,0))</f>
        <v/>
      </c>
      <c r="AI711" s="18" t="str">
        <f aca="false">IF($AH711=1,SUMPRODUCT(--($AK$2:$AK$4001&lt;$AK711))+1,"")</f>
        <v/>
      </c>
      <c r="AJ711" s="18" t="str">
        <f aca="false">IF($D711="","",IF(OR($R711=TRUE(),$R711="TRUE"),1,0))</f>
        <v/>
      </c>
      <c r="AK711" s="18" t="str">
        <f aca="false">IF($AH711=1,IFERROR(VALUE(MID($D711,2,20)),1000000000)+ROW()/10000000,"")</f>
        <v/>
      </c>
    </row>
    <row r="712" customFormat="false" ht="15" hidden="false" customHeight="false" outlineLevel="0" collapsed="false">
      <c r="F712" s="15"/>
      <c r="N712" s="16" t="str">
        <f aca="false">IF($D712="","",M712*Y712/100)</f>
        <v/>
      </c>
      <c r="V712" s="16" t="str">
        <f aca="false">IF($D712="","",Y712*AB712/100)</f>
        <v/>
      </c>
      <c r="W712" s="16" t="str">
        <f aca="false">IF($D712="","",Y712-V712)</f>
        <v/>
      </c>
      <c r="X712" s="16" t="str">
        <f aca="false">IF($D712="","",W712-N712)</f>
        <v/>
      </c>
      <c r="AB712" s="17" t="str">
        <f aca="false">IF($D712="","",IF(OR($R712=TRUE(),$R712="TRUE"),Settings!$C$6,Settings!$C$7)*100)</f>
        <v/>
      </c>
      <c r="AH712" s="18" t="str">
        <f aca="false">IF($D712="","",IF(COUNTIF($D$2:$D712,$D712)=1,1,0))</f>
        <v/>
      </c>
      <c r="AI712" s="18" t="str">
        <f aca="false">IF($AH712=1,SUMPRODUCT(--($AK$2:$AK$4001&lt;$AK712))+1,"")</f>
        <v/>
      </c>
      <c r="AJ712" s="18" t="str">
        <f aca="false">IF($D712="","",IF(OR($R712=TRUE(),$R712="TRUE"),1,0))</f>
        <v/>
      </c>
      <c r="AK712" s="18" t="str">
        <f aca="false">IF($AH712=1,IFERROR(VALUE(MID($D712,2,20)),1000000000)+ROW()/10000000,"")</f>
        <v/>
      </c>
    </row>
    <row r="713" customFormat="false" ht="15" hidden="false" customHeight="false" outlineLevel="0" collapsed="false">
      <c r="F713" s="15"/>
      <c r="N713" s="16" t="str">
        <f aca="false">IF($D713="","",M713*Y713/100)</f>
        <v/>
      </c>
      <c r="V713" s="16" t="str">
        <f aca="false">IF($D713="","",Y713*AB713/100)</f>
        <v/>
      </c>
      <c r="W713" s="16" t="str">
        <f aca="false">IF($D713="","",Y713-V713)</f>
        <v/>
      </c>
      <c r="X713" s="16" t="str">
        <f aca="false">IF($D713="","",W713-N713)</f>
        <v/>
      </c>
      <c r="AB713" s="17" t="str">
        <f aca="false">IF($D713="","",IF(OR($R713=TRUE(),$R713="TRUE"),Settings!$C$6,Settings!$C$7)*100)</f>
        <v/>
      </c>
      <c r="AH713" s="18" t="str">
        <f aca="false">IF($D713="","",IF(COUNTIF($D$2:$D713,$D713)=1,1,0))</f>
        <v/>
      </c>
      <c r="AI713" s="18" t="str">
        <f aca="false">IF($AH713=1,SUMPRODUCT(--($AK$2:$AK$4001&lt;$AK713))+1,"")</f>
        <v/>
      </c>
      <c r="AJ713" s="18" t="str">
        <f aca="false">IF($D713="","",IF(OR($R713=TRUE(),$R713="TRUE"),1,0))</f>
        <v/>
      </c>
      <c r="AK713" s="18" t="str">
        <f aca="false">IF($AH713=1,IFERROR(VALUE(MID($D713,2,20)),1000000000)+ROW()/10000000,"")</f>
        <v/>
      </c>
    </row>
    <row r="714" customFormat="false" ht="15" hidden="false" customHeight="false" outlineLevel="0" collapsed="false">
      <c r="F714" s="15"/>
      <c r="N714" s="16" t="str">
        <f aca="false">IF($D714="","",M714*Y714/100)</f>
        <v/>
      </c>
      <c r="V714" s="16" t="str">
        <f aca="false">IF($D714="","",Y714*AB714/100)</f>
        <v/>
      </c>
      <c r="W714" s="16" t="str">
        <f aca="false">IF($D714="","",Y714-V714)</f>
        <v/>
      </c>
      <c r="X714" s="16" t="str">
        <f aca="false">IF($D714="","",W714-N714)</f>
        <v/>
      </c>
      <c r="AB714" s="17" t="str">
        <f aca="false">IF($D714="","",IF(OR($R714=TRUE(),$R714="TRUE"),Settings!$C$6,Settings!$C$7)*100)</f>
        <v/>
      </c>
      <c r="AH714" s="18" t="str">
        <f aca="false">IF($D714="","",IF(COUNTIF($D$2:$D714,$D714)=1,1,0))</f>
        <v/>
      </c>
      <c r="AI714" s="18" t="str">
        <f aca="false">IF($AH714=1,SUMPRODUCT(--($AK$2:$AK$4001&lt;$AK714))+1,"")</f>
        <v/>
      </c>
      <c r="AJ714" s="18" t="str">
        <f aca="false">IF($D714="","",IF(OR($R714=TRUE(),$R714="TRUE"),1,0))</f>
        <v/>
      </c>
      <c r="AK714" s="18" t="str">
        <f aca="false">IF($AH714=1,IFERROR(VALUE(MID($D714,2,20)),1000000000)+ROW()/10000000,"")</f>
        <v/>
      </c>
    </row>
    <row r="715" customFormat="false" ht="15" hidden="false" customHeight="false" outlineLevel="0" collapsed="false">
      <c r="F715" s="15"/>
      <c r="N715" s="16" t="str">
        <f aca="false">IF($D715="","",M715*Y715/100)</f>
        <v/>
      </c>
      <c r="V715" s="16" t="str">
        <f aca="false">IF($D715="","",Y715*AB715/100)</f>
        <v/>
      </c>
      <c r="W715" s="16" t="str">
        <f aca="false">IF($D715="","",Y715-V715)</f>
        <v/>
      </c>
      <c r="X715" s="16" t="str">
        <f aca="false">IF($D715="","",W715-N715)</f>
        <v/>
      </c>
      <c r="AB715" s="17" t="str">
        <f aca="false">IF($D715="","",IF(OR($R715=TRUE(),$R715="TRUE"),Settings!$C$6,Settings!$C$7)*100)</f>
        <v/>
      </c>
      <c r="AH715" s="18" t="str">
        <f aca="false">IF($D715="","",IF(COUNTIF($D$2:$D715,$D715)=1,1,0))</f>
        <v/>
      </c>
      <c r="AI715" s="18" t="str">
        <f aca="false">IF($AH715=1,SUMPRODUCT(--($AK$2:$AK$4001&lt;$AK715))+1,"")</f>
        <v/>
      </c>
      <c r="AJ715" s="18" t="str">
        <f aca="false">IF($D715="","",IF(OR($R715=TRUE(),$R715="TRUE"),1,0))</f>
        <v/>
      </c>
      <c r="AK715" s="18" t="str">
        <f aca="false">IF($AH715=1,IFERROR(VALUE(MID($D715,2,20)),1000000000)+ROW()/10000000,"")</f>
        <v/>
      </c>
    </row>
    <row r="716" customFormat="false" ht="15" hidden="false" customHeight="false" outlineLevel="0" collapsed="false">
      <c r="F716" s="15"/>
      <c r="N716" s="16" t="str">
        <f aca="false">IF($D716="","",M716*Y716/100)</f>
        <v/>
      </c>
      <c r="V716" s="16" t="str">
        <f aca="false">IF($D716="","",Y716*AB716/100)</f>
        <v/>
      </c>
      <c r="W716" s="16" t="str">
        <f aca="false">IF($D716="","",Y716-V716)</f>
        <v/>
      </c>
      <c r="X716" s="16" t="str">
        <f aca="false">IF($D716="","",W716-N716)</f>
        <v/>
      </c>
      <c r="AB716" s="17" t="str">
        <f aca="false">IF($D716="","",IF(OR($R716=TRUE(),$R716="TRUE"),Settings!$C$6,Settings!$C$7)*100)</f>
        <v/>
      </c>
      <c r="AH716" s="18" t="str">
        <f aca="false">IF($D716="","",IF(COUNTIF($D$2:$D716,$D716)=1,1,0))</f>
        <v/>
      </c>
      <c r="AI716" s="18" t="str">
        <f aca="false">IF($AH716=1,SUMPRODUCT(--($AK$2:$AK$4001&lt;$AK716))+1,"")</f>
        <v/>
      </c>
      <c r="AJ716" s="18" t="str">
        <f aca="false">IF($D716="","",IF(OR($R716=TRUE(),$R716="TRUE"),1,0))</f>
        <v/>
      </c>
      <c r="AK716" s="18" t="str">
        <f aca="false">IF($AH716=1,IFERROR(VALUE(MID($D716,2,20)),1000000000)+ROW()/10000000,"")</f>
        <v/>
      </c>
    </row>
    <row r="717" customFormat="false" ht="15" hidden="false" customHeight="false" outlineLevel="0" collapsed="false">
      <c r="F717" s="15"/>
      <c r="N717" s="16" t="str">
        <f aca="false">IF($D717="","",M717*Y717/100)</f>
        <v/>
      </c>
      <c r="V717" s="16" t="str">
        <f aca="false">IF($D717="","",Y717*AB717/100)</f>
        <v/>
      </c>
      <c r="W717" s="16" t="str">
        <f aca="false">IF($D717="","",Y717-V717)</f>
        <v/>
      </c>
      <c r="X717" s="16" t="str">
        <f aca="false">IF($D717="","",W717-N717)</f>
        <v/>
      </c>
      <c r="AB717" s="17" t="str">
        <f aca="false">IF($D717="","",IF(OR($R717=TRUE(),$R717="TRUE"),Settings!$C$6,Settings!$C$7)*100)</f>
        <v/>
      </c>
      <c r="AH717" s="18" t="str">
        <f aca="false">IF($D717="","",IF(COUNTIF($D$2:$D717,$D717)=1,1,0))</f>
        <v/>
      </c>
      <c r="AI717" s="18" t="str">
        <f aca="false">IF($AH717=1,SUMPRODUCT(--($AK$2:$AK$4001&lt;$AK717))+1,"")</f>
        <v/>
      </c>
      <c r="AJ717" s="18" t="str">
        <f aca="false">IF($D717="","",IF(OR($R717=TRUE(),$R717="TRUE"),1,0))</f>
        <v/>
      </c>
      <c r="AK717" s="18" t="str">
        <f aca="false">IF($AH717=1,IFERROR(VALUE(MID($D717,2,20)),1000000000)+ROW()/10000000,"")</f>
        <v/>
      </c>
    </row>
    <row r="718" customFormat="false" ht="15" hidden="false" customHeight="false" outlineLevel="0" collapsed="false">
      <c r="F718" s="15"/>
      <c r="N718" s="16" t="str">
        <f aca="false">IF($D718="","",M718*Y718/100)</f>
        <v/>
      </c>
      <c r="V718" s="16" t="str">
        <f aca="false">IF($D718="","",Y718*AB718/100)</f>
        <v/>
      </c>
      <c r="W718" s="16" t="str">
        <f aca="false">IF($D718="","",Y718-V718)</f>
        <v/>
      </c>
      <c r="X718" s="16" t="str">
        <f aca="false">IF($D718="","",W718-N718)</f>
        <v/>
      </c>
      <c r="AB718" s="17" t="str">
        <f aca="false">IF($D718="","",IF(OR($R718=TRUE(),$R718="TRUE"),Settings!$C$6,Settings!$C$7)*100)</f>
        <v/>
      </c>
      <c r="AH718" s="18" t="str">
        <f aca="false">IF($D718="","",IF(COUNTIF($D$2:$D718,$D718)=1,1,0))</f>
        <v/>
      </c>
      <c r="AI718" s="18" t="str">
        <f aca="false">IF($AH718=1,SUMPRODUCT(--($AK$2:$AK$4001&lt;$AK718))+1,"")</f>
        <v/>
      </c>
      <c r="AJ718" s="18" t="str">
        <f aca="false">IF($D718="","",IF(OR($R718=TRUE(),$R718="TRUE"),1,0))</f>
        <v/>
      </c>
      <c r="AK718" s="18" t="str">
        <f aca="false">IF($AH718=1,IFERROR(VALUE(MID($D718,2,20)),1000000000)+ROW()/10000000,"")</f>
        <v/>
      </c>
    </row>
    <row r="719" customFormat="false" ht="15" hidden="false" customHeight="false" outlineLevel="0" collapsed="false">
      <c r="F719" s="15"/>
      <c r="N719" s="16" t="str">
        <f aca="false">IF($D719="","",M719*Y719/100)</f>
        <v/>
      </c>
      <c r="V719" s="16" t="str">
        <f aca="false">IF($D719="","",Y719*AB719/100)</f>
        <v/>
      </c>
      <c r="W719" s="16" t="str">
        <f aca="false">IF($D719="","",Y719-V719)</f>
        <v/>
      </c>
      <c r="X719" s="16" t="str">
        <f aca="false">IF($D719="","",W719-N719)</f>
        <v/>
      </c>
      <c r="AB719" s="17" t="str">
        <f aca="false">IF($D719="","",IF(OR($R719=TRUE(),$R719="TRUE"),Settings!$C$6,Settings!$C$7)*100)</f>
        <v/>
      </c>
      <c r="AH719" s="18" t="str">
        <f aca="false">IF($D719="","",IF(COUNTIF($D$2:$D719,$D719)=1,1,0))</f>
        <v/>
      </c>
      <c r="AI719" s="18" t="str">
        <f aca="false">IF($AH719=1,SUMPRODUCT(--($AK$2:$AK$4001&lt;$AK719))+1,"")</f>
        <v/>
      </c>
      <c r="AJ719" s="18" t="str">
        <f aca="false">IF($D719="","",IF(OR($R719=TRUE(),$R719="TRUE"),1,0))</f>
        <v/>
      </c>
      <c r="AK719" s="18" t="str">
        <f aca="false">IF($AH719=1,IFERROR(VALUE(MID($D719,2,20)),1000000000)+ROW()/10000000,"")</f>
        <v/>
      </c>
    </row>
    <row r="720" customFormat="false" ht="15" hidden="false" customHeight="false" outlineLevel="0" collapsed="false">
      <c r="F720" s="15"/>
      <c r="N720" s="16" t="str">
        <f aca="false">IF($D720="","",M720*Y720/100)</f>
        <v/>
      </c>
      <c r="V720" s="16" t="str">
        <f aca="false">IF($D720="","",Y720*AB720/100)</f>
        <v/>
      </c>
      <c r="W720" s="16" t="str">
        <f aca="false">IF($D720="","",Y720-V720)</f>
        <v/>
      </c>
      <c r="X720" s="16" t="str">
        <f aca="false">IF($D720="","",W720-N720)</f>
        <v/>
      </c>
      <c r="AB720" s="17" t="str">
        <f aca="false">IF($D720="","",IF(OR($R720=TRUE(),$R720="TRUE"),Settings!$C$6,Settings!$C$7)*100)</f>
        <v/>
      </c>
      <c r="AH720" s="18" t="str">
        <f aca="false">IF($D720="","",IF(COUNTIF($D$2:$D720,$D720)=1,1,0))</f>
        <v/>
      </c>
      <c r="AI720" s="18" t="str">
        <f aca="false">IF($AH720=1,SUMPRODUCT(--($AK$2:$AK$4001&lt;$AK720))+1,"")</f>
        <v/>
      </c>
      <c r="AJ720" s="18" t="str">
        <f aca="false">IF($D720="","",IF(OR($R720=TRUE(),$R720="TRUE"),1,0))</f>
        <v/>
      </c>
      <c r="AK720" s="18" t="str">
        <f aca="false">IF($AH720=1,IFERROR(VALUE(MID($D720,2,20)),1000000000)+ROW()/10000000,"")</f>
        <v/>
      </c>
    </row>
    <row r="721" customFormat="false" ht="15" hidden="false" customHeight="false" outlineLevel="0" collapsed="false">
      <c r="F721" s="15"/>
      <c r="N721" s="16" t="str">
        <f aca="false">IF($D721="","",M721*Y721/100)</f>
        <v/>
      </c>
      <c r="V721" s="16" t="str">
        <f aca="false">IF($D721="","",Y721*AB721/100)</f>
        <v/>
      </c>
      <c r="W721" s="16" t="str">
        <f aca="false">IF($D721="","",Y721-V721)</f>
        <v/>
      </c>
      <c r="X721" s="16" t="str">
        <f aca="false">IF($D721="","",W721-N721)</f>
        <v/>
      </c>
      <c r="AB721" s="17" t="str">
        <f aca="false">IF($D721="","",IF(OR($R721=TRUE(),$R721="TRUE"),Settings!$C$6,Settings!$C$7)*100)</f>
        <v/>
      </c>
      <c r="AH721" s="18" t="str">
        <f aca="false">IF($D721="","",IF(COUNTIF($D$2:$D721,$D721)=1,1,0))</f>
        <v/>
      </c>
      <c r="AI721" s="18" t="str">
        <f aca="false">IF($AH721=1,SUMPRODUCT(--($AK$2:$AK$4001&lt;$AK721))+1,"")</f>
        <v/>
      </c>
      <c r="AJ721" s="18" t="str">
        <f aca="false">IF($D721="","",IF(OR($R721=TRUE(),$R721="TRUE"),1,0))</f>
        <v/>
      </c>
      <c r="AK721" s="18" t="str">
        <f aca="false">IF($AH721=1,IFERROR(VALUE(MID($D721,2,20)),1000000000)+ROW()/10000000,"")</f>
        <v/>
      </c>
    </row>
    <row r="722" customFormat="false" ht="15" hidden="false" customHeight="false" outlineLevel="0" collapsed="false">
      <c r="F722" s="15"/>
      <c r="N722" s="16" t="str">
        <f aca="false">IF($D722="","",M722*Y722/100)</f>
        <v/>
      </c>
      <c r="V722" s="16" t="str">
        <f aca="false">IF($D722="","",Y722*AB722/100)</f>
        <v/>
      </c>
      <c r="W722" s="16" t="str">
        <f aca="false">IF($D722="","",Y722-V722)</f>
        <v/>
      </c>
      <c r="X722" s="16" t="str">
        <f aca="false">IF($D722="","",W722-N722)</f>
        <v/>
      </c>
      <c r="AB722" s="17" t="str">
        <f aca="false">IF($D722="","",IF(OR($R722=TRUE(),$R722="TRUE"),Settings!$C$6,Settings!$C$7)*100)</f>
        <v/>
      </c>
      <c r="AH722" s="18" t="str">
        <f aca="false">IF($D722="","",IF(COUNTIF($D$2:$D722,$D722)=1,1,0))</f>
        <v/>
      </c>
      <c r="AI722" s="18" t="str">
        <f aca="false">IF($AH722=1,SUMPRODUCT(--($AK$2:$AK$4001&lt;$AK722))+1,"")</f>
        <v/>
      </c>
      <c r="AJ722" s="18" t="str">
        <f aca="false">IF($D722="","",IF(OR($R722=TRUE(),$R722="TRUE"),1,0))</f>
        <v/>
      </c>
      <c r="AK722" s="18" t="str">
        <f aca="false">IF($AH722=1,IFERROR(VALUE(MID($D722,2,20)),1000000000)+ROW()/10000000,"")</f>
        <v/>
      </c>
    </row>
    <row r="723" customFormat="false" ht="15" hidden="false" customHeight="false" outlineLevel="0" collapsed="false">
      <c r="F723" s="15"/>
      <c r="N723" s="16" t="str">
        <f aca="false">IF($D723="","",M723*Y723/100)</f>
        <v/>
      </c>
      <c r="V723" s="16" t="str">
        <f aca="false">IF($D723="","",Y723*AB723/100)</f>
        <v/>
      </c>
      <c r="W723" s="16" t="str">
        <f aca="false">IF($D723="","",Y723-V723)</f>
        <v/>
      </c>
      <c r="X723" s="16" t="str">
        <f aca="false">IF($D723="","",W723-N723)</f>
        <v/>
      </c>
      <c r="AB723" s="17" t="str">
        <f aca="false">IF($D723="","",IF(OR($R723=TRUE(),$R723="TRUE"),Settings!$C$6,Settings!$C$7)*100)</f>
        <v/>
      </c>
      <c r="AH723" s="18" t="str">
        <f aca="false">IF($D723="","",IF(COUNTIF($D$2:$D723,$D723)=1,1,0))</f>
        <v/>
      </c>
      <c r="AI723" s="18" t="str">
        <f aca="false">IF($AH723=1,SUMPRODUCT(--($AK$2:$AK$4001&lt;$AK723))+1,"")</f>
        <v/>
      </c>
      <c r="AJ723" s="18" t="str">
        <f aca="false">IF($D723="","",IF(OR($R723=TRUE(),$R723="TRUE"),1,0))</f>
        <v/>
      </c>
      <c r="AK723" s="18" t="str">
        <f aca="false">IF($AH723=1,IFERROR(VALUE(MID($D723,2,20)),1000000000)+ROW()/10000000,"")</f>
        <v/>
      </c>
    </row>
    <row r="724" customFormat="false" ht="15" hidden="false" customHeight="false" outlineLevel="0" collapsed="false">
      <c r="F724" s="15"/>
      <c r="N724" s="16" t="str">
        <f aca="false">IF($D724="","",M724*Y724/100)</f>
        <v/>
      </c>
      <c r="V724" s="16" t="str">
        <f aca="false">IF($D724="","",Y724*AB724/100)</f>
        <v/>
      </c>
      <c r="W724" s="16" t="str">
        <f aca="false">IF($D724="","",Y724-V724)</f>
        <v/>
      </c>
      <c r="X724" s="16" t="str">
        <f aca="false">IF($D724="","",W724-N724)</f>
        <v/>
      </c>
      <c r="AB724" s="17" t="str">
        <f aca="false">IF($D724="","",IF(OR($R724=TRUE(),$R724="TRUE"),Settings!$C$6,Settings!$C$7)*100)</f>
        <v/>
      </c>
      <c r="AH724" s="18" t="str">
        <f aca="false">IF($D724="","",IF(COUNTIF($D$2:$D724,$D724)=1,1,0))</f>
        <v/>
      </c>
      <c r="AI724" s="18" t="str">
        <f aca="false">IF($AH724=1,SUMPRODUCT(--($AK$2:$AK$4001&lt;$AK724))+1,"")</f>
        <v/>
      </c>
      <c r="AJ724" s="18" t="str">
        <f aca="false">IF($D724="","",IF(OR($R724=TRUE(),$R724="TRUE"),1,0))</f>
        <v/>
      </c>
      <c r="AK724" s="18" t="str">
        <f aca="false">IF($AH724=1,IFERROR(VALUE(MID($D724,2,20)),1000000000)+ROW()/10000000,"")</f>
        <v/>
      </c>
    </row>
    <row r="725" customFormat="false" ht="15" hidden="false" customHeight="false" outlineLevel="0" collapsed="false">
      <c r="F725" s="15"/>
      <c r="N725" s="16" t="str">
        <f aca="false">IF($D725="","",M725*Y725/100)</f>
        <v/>
      </c>
      <c r="V725" s="16" t="str">
        <f aca="false">IF($D725="","",Y725*AB725/100)</f>
        <v/>
      </c>
      <c r="W725" s="16" t="str">
        <f aca="false">IF($D725="","",Y725-V725)</f>
        <v/>
      </c>
      <c r="X725" s="16" t="str">
        <f aca="false">IF($D725="","",W725-N725)</f>
        <v/>
      </c>
      <c r="AB725" s="17" t="str">
        <f aca="false">IF($D725="","",IF(OR($R725=TRUE(),$R725="TRUE"),Settings!$C$6,Settings!$C$7)*100)</f>
        <v/>
      </c>
      <c r="AH725" s="18" t="str">
        <f aca="false">IF($D725="","",IF(COUNTIF($D$2:$D725,$D725)=1,1,0))</f>
        <v/>
      </c>
      <c r="AI725" s="18" t="str">
        <f aca="false">IF($AH725=1,SUMPRODUCT(--($AK$2:$AK$4001&lt;$AK725))+1,"")</f>
        <v/>
      </c>
      <c r="AJ725" s="18" t="str">
        <f aca="false">IF($D725="","",IF(OR($R725=TRUE(),$R725="TRUE"),1,0))</f>
        <v/>
      </c>
      <c r="AK725" s="18" t="str">
        <f aca="false">IF($AH725=1,IFERROR(VALUE(MID($D725,2,20)),1000000000)+ROW()/10000000,"")</f>
        <v/>
      </c>
    </row>
    <row r="726" customFormat="false" ht="15" hidden="false" customHeight="false" outlineLevel="0" collapsed="false">
      <c r="F726" s="15"/>
      <c r="N726" s="16" t="str">
        <f aca="false">IF($D726="","",M726*Y726/100)</f>
        <v/>
      </c>
      <c r="V726" s="16" t="str">
        <f aca="false">IF($D726="","",Y726*AB726/100)</f>
        <v/>
      </c>
      <c r="W726" s="16" t="str">
        <f aca="false">IF($D726="","",Y726-V726)</f>
        <v/>
      </c>
      <c r="X726" s="16" t="str">
        <f aca="false">IF($D726="","",W726-N726)</f>
        <v/>
      </c>
      <c r="AB726" s="17" t="str">
        <f aca="false">IF($D726="","",IF(OR($R726=TRUE(),$R726="TRUE"),Settings!$C$6,Settings!$C$7)*100)</f>
        <v/>
      </c>
      <c r="AH726" s="18" t="str">
        <f aca="false">IF($D726="","",IF(COUNTIF($D$2:$D726,$D726)=1,1,0))</f>
        <v/>
      </c>
      <c r="AI726" s="18" t="str">
        <f aca="false">IF($AH726=1,SUMPRODUCT(--($AK$2:$AK$4001&lt;$AK726))+1,"")</f>
        <v/>
      </c>
      <c r="AJ726" s="18" t="str">
        <f aca="false">IF($D726="","",IF(OR($R726=TRUE(),$R726="TRUE"),1,0))</f>
        <v/>
      </c>
      <c r="AK726" s="18" t="str">
        <f aca="false">IF($AH726=1,IFERROR(VALUE(MID($D726,2,20)),1000000000)+ROW()/10000000,"")</f>
        <v/>
      </c>
    </row>
    <row r="727" customFormat="false" ht="15" hidden="false" customHeight="false" outlineLevel="0" collapsed="false">
      <c r="F727" s="15"/>
      <c r="N727" s="16" t="str">
        <f aca="false">IF($D727="","",M727*Y727/100)</f>
        <v/>
      </c>
      <c r="V727" s="16" t="str">
        <f aca="false">IF($D727="","",Y727*AB727/100)</f>
        <v/>
      </c>
      <c r="W727" s="16" t="str">
        <f aca="false">IF($D727="","",Y727-V727)</f>
        <v/>
      </c>
      <c r="X727" s="16" t="str">
        <f aca="false">IF($D727="","",W727-N727)</f>
        <v/>
      </c>
      <c r="AB727" s="17" t="str">
        <f aca="false">IF($D727="","",IF(OR($R727=TRUE(),$R727="TRUE"),Settings!$C$6,Settings!$C$7)*100)</f>
        <v/>
      </c>
      <c r="AH727" s="18" t="str">
        <f aca="false">IF($D727="","",IF(COUNTIF($D$2:$D727,$D727)=1,1,0))</f>
        <v/>
      </c>
      <c r="AI727" s="18" t="str">
        <f aca="false">IF($AH727=1,SUMPRODUCT(--($AK$2:$AK$4001&lt;$AK727))+1,"")</f>
        <v/>
      </c>
      <c r="AJ727" s="18" t="str">
        <f aca="false">IF($D727="","",IF(OR($R727=TRUE(),$R727="TRUE"),1,0))</f>
        <v/>
      </c>
      <c r="AK727" s="18" t="str">
        <f aca="false">IF($AH727=1,IFERROR(VALUE(MID($D727,2,20)),1000000000)+ROW()/10000000,"")</f>
        <v/>
      </c>
    </row>
    <row r="728" customFormat="false" ht="15" hidden="false" customHeight="false" outlineLevel="0" collapsed="false">
      <c r="F728" s="15"/>
      <c r="N728" s="16" t="str">
        <f aca="false">IF($D728="","",M728*Y728/100)</f>
        <v/>
      </c>
      <c r="V728" s="16" t="str">
        <f aca="false">IF($D728="","",Y728*AB728/100)</f>
        <v/>
      </c>
      <c r="W728" s="16" t="str">
        <f aca="false">IF($D728="","",Y728-V728)</f>
        <v/>
      </c>
      <c r="X728" s="16" t="str">
        <f aca="false">IF($D728="","",W728-N728)</f>
        <v/>
      </c>
      <c r="AB728" s="17" t="str">
        <f aca="false">IF($D728="","",IF(OR($R728=TRUE(),$R728="TRUE"),Settings!$C$6,Settings!$C$7)*100)</f>
        <v/>
      </c>
      <c r="AH728" s="18" t="str">
        <f aca="false">IF($D728="","",IF(COUNTIF($D$2:$D728,$D728)=1,1,0))</f>
        <v/>
      </c>
      <c r="AI728" s="18" t="str">
        <f aca="false">IF($AH728=1,SUMPRODUCT(--($AK$2:$AK$4001&lt;$AK728))+1,"")</f>
        <v/>
      </c>
      <c r="AJ728" s="18" t="str">
        <f aca="false">IF($D728="","",IF(OR($R728=TRUE(),$R728="TRUE"),1,0))</f>
        <v/>
      </c>
      <c r="AK728" s="18" t="str">
        <f aca="false">IF($AH728=1,IFERROR(VALUE(MID($D728,2,20)),1000000000)+ROW()/10000000,"")</f>
        <v/>
      </c>
    </row>
    <row r="729" customFormat="false" ht="15" hidden="false" customHeight="false" outlineLevel="0" collapsed="false">
      <c r="F729" s="15"/>
      <c r="N729" s="16" t="str">
        <f aca="false">IF($D729="","",M729*Y729/100)</f>
        <v/>
      </c>
      <c r="V729" s="16" t="str">
        <f aca="false">IF($D729="","",Y729*AB729/100)</f>
        <v/>
      </c>
      <c r="W729" s="16" t="str">
        <f aca="false">IF($D729="","",Y729-V729)</f>
        <v/>
      </c>
      <c r="X729" s="16" t="str">
        <f aca="false">IF($D729="","",W729-N729)</f>
        <v/>
      </c>
      <c r="AB729" s="17" t="str">
        <f aca="false">IF($D729="","",IF(OR($R729=TRUE(),$R729="TRUE"),Settings!$C$6,Settings!$C$7)*100)</f>
        <v/>
      </c>
      <c r="AH729" s="18" t="str">
        <f aca="false">IF($D729="","",IF(COUNTIF($D$2:$D729,$D729)=1,1,0))</f>
        <v/>
      </c>
      <c r="AI729" s="18" t="str">
        <f aca="false">IF($AH729=1,SUMPRODUCT(--($AK$2:$AK$4001&lt;$AK729))+1,"")</f>
        <v/>
      </c>
      <c r="AJ729" s="18" t="str">
        <f aca="false">IF($D729="","",IF(OR($R729=TRUE(),$R729="TRUE"),1,0))</f>
        <v/>
      </c>
      <c r="AK729" s="18" t="str">
        <f aca="false">IF($AH729=1,IFERROR(VALUE(MID($D729,2,20)),1000000000)+ROW()/10000000,"")</f>
        <v/>
      </c>
    </row>
    <row r="730" customFormat="false" ht="15" hidden="false" customHeight="false" outlineLevel="0" collapsed="false">
      <c r="F730" s="15"/>
      <c r="N730" s="16" t="str">
        <f aca="false">IF($D730="","",M730*Y730/100)</f>
        <v/>
      </c>
      <c r="V730" s="16" t="str">
        <f aca="false">IF($D730="","",Y730*AB730/100)</f>
        <v/>
      </c>
      <c r="W730" s="16" t="str">
        <f aca="false">IF($D730="","",Y730-V730)</f>
        <v/>
      </c>
      <c r="X730" s="16" t="str">
        <f aca="false">IF($D730="","",W730-N730)</f>
        <v/>
      </c>
      <c r="AB730" s="17" t="str">
        <f aca="false">IF($D730="","",IF(OR($R730=TRUE(),$R730="TRUE"),Settings!$C$6,Settings!$C$7)*100)</f>
        <v/>
      </c>
      <c r="AH730" s="18" t="str">
        <f aca="false">IF($D730="","",IF(COUNTIF($D$2:$D730,$D730)=1,1,0))</f>
        <v/>
      </c>
      <c r="AI730" s="18" t="str">
        <f aca="false">IF($AH730=1,SUMPRODUCT(--($AK$2:$AK$4001&lt;$AK730))+1,"")</f>
        <v/>
      </c>
      <c r="AJ730" s="18" t="str">
        <f aca="false">IF($D730="","",IF(OR($R730=TRUE(),$R730="TRUE"),1,0))</f>
        <v/>
      </c>
      <c r="AK730" s="18" t="str">
        <f aca="false">IF($AH730=1,IFERROR(VALUE(MID($D730,2,20)),1000000000)+ROW()/10000000,"")</f>
        <v/>
      </c>
    </row>
    <row r="731" customFormat="false" ht="15" hidden="false" customHeight="false" outlineLevel="0" collapsed="false">
      <c r="F731" s="15"/>
      <c r="N731" s="16" t="str">
        <f aca="false">IF($D731="","",M731*Y731/100)</f>
        <v/>
      </c>
      <c r="V731" s="16" t="str">
        <f aca="false">IF($D731="","",Y731*AB731/100)</f>
        <v/>
      </c>
      <c r="W731" s="16" t="str">
        <f aca="false">IF($D731="","",Y731-V731)</f>
        <v/>
      </c>
      <c r="X731" s="16" t="str">
        <f aca="false">IF($D731="","",W731-N731)</f>
        <v/>
      </c>
      <c r="AB731" s="17" t="str">
        <f aca="false">IF($D731="","",IF(OR($R731=TRUE(),$R731="TRUE"),Settings!$C$6,Settings!$C$7)*100)</f>
        <v/>
      </c>
      <c r="AH731" s="18" t="str">
        <f aca="false">IF($D731="","",IF(COUNTIF($D$2:$D731,$D731)=1,1,0))</f>
        <v/>
      </c>
      <c r="AI731" s="18" t="str">
        <f aca="false">IF($AH731=1,SUMPRODUCT(--($AK$2:$AK$4001&lt;$AK731))+1,"")</f>
        <v/>
      </c>
      <c r="AJ731" s="18" t="str">
        <f aca="false">IF($D731="","",IF(OR($R731=TRUE(),$R731="TRUE"),1,0))</f>
        <v/>
      </c>
      <c r="AK731" s="18" t="str">
        <f aca="false">IF($AH731=1,IFERROR(VALUE(MID($D731,2,20)),1000000000)+ROW()/10000000,"")</f>
        <v/>
      </c>
    </row>
    <row r="732" customFormat="false" ht="15" hidden="false" customHeight="false" outlineLevel="0" collapsed="false">
      <c r="F732" s="15"/>
      <c r="N732" s="16" t="str">
        <f aca="false">IF($D732="","",M732*Y732/100)</f>
        <v/>
      </c>
      <c r="V732" s="16" t="str">
        <f aca="false">IF($D732="","",Y732*AB732/100)</f>
        <v/>
      </c>
      <c r="W732" s="16" t="str">
        <f aca="false">IF($D732="","",Y732-V732)</f>
        <v/>
      </c>
      <c r="X732" s="16" t="str">
        <f aca="false">IF($D732="","",W732-N732)</f>
        <v/>
      </c>
      <c r="AB732" s="17" t="str">
        <f aca="false">IF($D732="","",IF(OR($R732=TRUE(),$R732="TRUE"),Settings!$C$6,Settings!$C$7)*100)</f>
        <v/>
      </c>
      <c r="AH732" s="18" t="str">
        <f aca="false">IF($D732="","",IF(COUNTIF($D$2:$D732,$D732)=1,1,0))</f>
        <v/>
      </c>
      <c r="AI732" s="18" t="str">
        <f aca="false">IF($AH732=1,SUMPRODUCT(--($AK$2:$AK$4001&lt;$AK732))+1,"")</f>
        <v/>
      </c>
      <c r="AJ732" s="18" t="str">
        <f aca="false">IF($D732="","",IF(OR($R732=TRUE(),$R732="TRUE"),1,0))</f>
        <v/>
      </c>
      <c r="AK732" s="18" t="str">
        <f aca="false">IF($AH732=1,IFERROR(VALUE(MID($D732,2,20)),1000000000)+ROW()/10000000,"")</f>
        <v/>
      </c>
    </row>
    <row r="733" customFormat="false" ht="15" hidden="false" customHeight="false" outlineLevel="0" collapsed="false">
      <c r="F733" s="15"/>
      <c r="N733" s="16" t="str">
        <f aca="false">IF($D733="","",M733*Y733/100)</f>
        <v/>
      </c>
      <c r="V733" s="16" t="str">
        <f aca="false">IF($D733="","",Y733*AB733/100)</f>
        <v/>
      </c>
      <c r="W733" s="16" t="str">
        <f aca="false">IF($D733="","",Y733-V733)</f>
        <v/>
      </c>
      <c r="X733" s="16" t="str">
        <f aca="false">IF($D733="","",W733-N733)</f>
        <v/>
      </c>
      <c r="AB733" s="17" t="str">
        <f aca="false">IF($D733="","",IF(OR($R733=TRUE(),$R733="TRUE"),Settings!$C$6,Settings!$C$7)*100)</f>
        <v/>
      </c>
      <c r="AH733" s="18" t="str">
        <f aca="false">IF($D733="","",IF(COUNTIF($D$2:$D733,$D733)=1,1,0))</f>
        <v/>
      </c>
      <c r="AI733" s="18" t="str">
        <f aca="false">IF($AH733=1,SUMPRODUCT(--($AK$2:$AK$4001&lt;$AK733))+1,"")</f>
        <v/>
      </c>
      <c r="AJ733" s="18" t="str">
        <f aca="false">IF($D733="","",IF(OR($R733=TRUE(),$R733="TRUE"),1,0))</f>
        <v/>
      </c>
      <c r="AK733" s="18" t="str">
        <f aca="false">IF($AH733=1,IFERROR(VALUE(MID($D733,2,20)),1000000000)+ROW()/10000000,"")</f>
        <v/>
      </c>
    </row>
    <row r="734" customFormat="false" ht="15" hidden="false" customHeight="false" outlineLevel="0" collapsed="false">
      <c r="F734" s="15"/>
      <c r="N734" s="16" t="str">
        <f aca="false">IF($D734="","",M734*Y734/100)</f>
        <v/>
      </c>
      <c r="V734" s="16" t="str">
        <f aca="false">IF($D734="","",Y734*AB734/100)</f>
        <v/>
      </c>
      <c r="W734" s="16" t="str">
        <f aca="false">IF($D734="","",Y734-V734)</f>
        <v/>
      </c>
      <c r="X734" s="16" t="str">
        <f aca="false">IF($D734="","",W734-N734)</f>
        <v/>
      </c>
      <c r="AB734" s="17" t="str">
        <f aca="false">IF($D734="","",IF(OR($R734=TRUE(),$R734="TRUE"),Settings!$C$6,Settings!$C$7)*100)</f>
        <v/>
      </c>
      <c r="AH734" s="18" t="str">
        <f aca="false">IF($D734="","",IF(COUNTIF($D$2:$D734,$D734)=1,1,0))</f>
        <v/>
      </c>
      <c r="AI734" s="18" t="str">
        <f aca="false">IF($AH734=1,SUMPRODUCT(--($AK$2:$AK$4001&lt;$AK734))+1,"")</f>
        <v/>
      </c>
      <c r="AJ734" s="18" t="str">
        <f aca="false">IF($D734="","",IF(OR($R734=TRUE(),$R734="TRUE"),1,0))</f>
        <v/>
      </c>
      <c r="AK734" s="18" t="str">
        <f aca="false">IF($AH734=1,IFERROR(VALUE(MID($D734,2,20)),1000000000)+ROW()/10000000,"")</f>
        <v/>
      </c>
    </row>
    <row r="735" customFormat="false" ht="15" hidden="false" customHeight="false" outlineLevel="0" collapsed="false">
      <c r="F735" s="15"/>
      <c r="N735" s="16" t="str">
        <f aca="false">IF($D735="","",M735*Y735/100)</f>
        <v/>
      </c>
      <c r="V735" s="16" t="str">
        <f aca="false">IF($D735="","",Y735*AB735/100)</f>
        <v/>
      </c>
      <c r="W735" s="16" t="str">
        <f aca="false">IF($D735="","",Y735-V735)</f>
        <v/>
      </c>
      <c r="X735" s="16" t="str">
        <f aca="false">IF($D735="","",W735-N735)</f>
        <v/>
      </c>
      <c r="AB735" s="17" t="str">
        <f aca="false">IF($D735="","",IF(OR($R735=TRUE(),$R735="TRUE"),Settings!$C$6,Settings!$C$7)*100)</f>
        <v/>
      </c>
      <c r="AH735" s="18" t="str">
        <f aca="false">IF($D735="","",IF(COUNTIF($D$2:$D735,$D735)=1,1,0))</f>
        <v/>
      </c>
      <c r="AI735" s="18" t="str">
        <f aca="false">IF($AH735=1,SUMPRODUCT(--($AK$2:$AK$4001&lt;$AK735))+1,"")</f>
        <v/>
      </c>
      <c r="AJ735" s="18" t="str">
        <f aca="false">IF($D735="","",IF(OR($R735=TRUE(),$R735="TRUE"),1,0))</f>
        <v/>
      </c>
      <c r="AK735" s="18" t="str">
        <f aca="false">IF($AH735=1,IFERROR(VALUE(MID($D735,2,20)),1000000000)+ROW()/10000000,"")</f>
        <v/>
      </c>
    </row>
    <row r="736" customFormat="false" ht="15" hidden="false" customHeight="false" outlineLevel="0" collapsed="false">
      <c r="F736" s="15"/>
      <c r="N736" s="16" t="str">
        <f aca="false">IF($D736="","",M736*Y736/100)</f>
        <v/>
      </c>
      <c r="V736" s="16" t="str">
        <f aca="false">IF($D736="","",Y736*AB736/100)</f>
        <v/>
      </c>
      <c r="W736" s="16" t="str">
        <f aca="false">IF($D736="","",Y736-V736)</f>
        <v/>
      </c>
      <c r="X736" s="16" t="str">
        <f aca="false">IF($D736="","",W736-N736)</f>
        <v/>
      </c>
      <c r="AB736" s="17" t="str">
        <f aca="false">IF($D736="","",IF(OR($R736=TRUE(),$R736="TRUE"),Settings!$C$6,Settings!$C$7)*100)</f>
        <v/>
      </c>
      <c r="AH736" s="18" t="str">
        <f aca="false">IF($D736="","",IF(COUNTIF($D$2:$D736,$D736)=1,1,0))</f>
        <v/>
      </c>
      <c r="AI736" s="18" t="str">
        <f aca="false">IF($AH736=1,SUMPRODUCT(--($AK$2:$AK$4001&lt;$AK736))+1,"")</f>
        <v/>
      </c>
      <c r="AJ736" s="18" t="str">
        <f aca="false">IF($D736="","",IF(OR($R736=TRUE(),$R736="TRUE"),1,0))</f>
        <v/>
      </c>
      <c r="AK736" s="18" t="str">
        <f aca="false">IF($AH736=1,IFERROR(VALUE(MID($D736,2,20)),1000000000)+ROW()/10000000,"")</f>
        <v/>
      </c>
    </row>
    <row r="737" customFormat="false" ht="15" hidden="false" customHeight="false" outlineLevel="0" collapsed="false">
      <c r="F737" s="15"/>
      <c r="N737" s="16" t="str">
        <f aca="false">IF($D737="","",M737*Y737/100)</f>
        <v/>
      </c>
      <c r="V737" s="16" t="str">
        <f aca="false">IF($D737="","",Y737*AB737/100)</f>
        <v/>
      </c>
      <c r="W737" s="16" t="str">
        <f aca="false">IF($D737="","",Y737-V737)</f>
        <v/>
      </c>
      <c r="X737" s="16" t="str">
        <f aca="false">IF($D737="","",W737-N737)</f>
        <v/>
      </c>
      <c r="AB737" s="17" t="str">
        <f aca="false">IF($D737="","",IF(OR($R737=TRUE(),$R737="TRUE"),Settings!$C$6,Settings!$C$7)*100)</f>
        <v/>
      </c>
      <c r="AH737" s="18" t="str">
        <f aca="false">IF($D737="","",IF(COUNTIF($D$2:$D737,$D737)=1,1,0))</f>
        <v/>
      </c>
      <c r="AI737" s="18" t="str">
        <f aca="false">IF($AH737=1,SUMPRODUCT(--($AK$2:$AK$4001&lt;$AK737))+1,"")</f>
        <v/>
      </c>
      <c r="AJ737" s="18" t="str">
        <f aca="false">IF($D737="","",IF(OR($R737=TRUE(),$R737="TRUE"),1,0))</f>
        <v/>
      </c>
      <c r="AK737" s="18" t="str">
        <f aca="false">IF($AH737=1,IFERROR(VALUE(MID($D737,2,20)),1000000000)+ROW()/10000000,"")</f>
        <v/>
      </c>
    </row>
    <row r="738" customFormat="false" ht="15" hidden="false" customHeight="false" outlineLevel="0" collapsed="false">
      <c r="F738" s="15"/>
      <c r="N738" s="16" t="str">
        <f aca="false">IF($D738="","",M738*Y738/100)</f>
        <v/>
      </c>
      <c r="V738" s="16" t="str">
        <f aca="false">IF($D738="","",Y738*AB738/100)</f>
        <v/>
      </c>
      <c r="W738" s="16" t="str">
        <f aca="false">IF($D738="","",Y738-V738)</f>
        <v/>
      </c>
      <c r="X738" s="16" t="str">
        <f aca="false">IF($D738="","",W738-N738)</f>
        <v/>
      </c>
      <c r="AB738" s="17" t="str">
        <f aca="false">IF($D738="","",IF(OR($R738=TRUE(),$R738="TRUE"),Settings!$C$6,Settings!$C$7)*100)</f>
        <v/>
      </c>
      <c r="AH738" s="18" t="str">
        <f aca="false">IF($D738="","",IF(COUNTIF($D$2:$D738,$D738)=1,1,0))</f>
        <v/>
      </c>
      <c r="AI738" s="18" t="str">
        <f aca="false">IF($AH738=1,SUMPRODUCT(--($AK$2:$AK$4001&lt;$AK738))+1,"")</f>
        <v/>
      </c>
      <c r="AJ738" s="18" t="str">
        <f aca="false">IF($D738="","",IF(OR($R738=TRUE(),$R738="TRUE"),1,0))</f>
        <v/>
      </c>
      <c r="AK738" s="18" t="str">
        <f aca="false">IF($AH738=1,IFERROR(VALUE(MID($D738,2,20)),1000000000)+ROW()/10000000,"")</f>
        <v/>
      </c>
    </row>
    <row r="739" customFormat="false" ht="15" hidden="false" customHeight="false" outlineLevel="0" collapsed="false">
      <c r="F739" s="15"/>
      <c r="N739" s="16" t="str">
        <f aca="false">IF($D739="","",M739*Y739/100)</f>
        <v/>
      </c>
      <c r="V739" s="16" t="str">
        <f aca="false">IF($D739="","",Y739*AB739/100)</f>
        <v/>
      </c>
      <c r="W739" s="16" t="str">
        <f aca="false">IF($D739="","",Y739-V739)</f>
        <v/>
      </c>
      <c r="X739" s="16" t="str">
        <f aca="false">IF($D739="","",W739-N739)</f>
        <v/>
      </c>
      <c r="AB739" s="17" t="str">
        <f aca="false">IF($D739="","",IF(OR($R739=TRUE(),$R739="TRUE"),Settings!$C$6,Settings!$C$7)*100)</f>
        <v/>
      </c>
      <c r="AH739" s="18" t="str">
        <f aca="false">IF($D739="","",IF(COUNTIF($D$2:$D739,$D739)=1,1,0))</f>
        <v/>
      </c>
      <c r="AI739" s="18" t="str">
        <f aca="false">IF($AH739=1,SUMPRODUCT(--($AK$2:$AK$4001&lt;$AK739))+1,"")</f>
        <v/>
      </c>
      <c r="AJ739" s="18" t="str">
        <f aca="false">IF($D739="","",IF(OR($R739=TRUE(),$R739="TRUE"),1,0))</f>
        <v/>
      </c>
      <c r="AK739" s="18" t="str">
        <f aca="false">IF($AH739=1,IFERROR(VALUE(MID($D739,2,20)),1000000000)+ROW()/10000000,"")</f>
        <v/>
      </c>
    </row>
    <row r="740" customFormat="false" ht="15" hidden="false" customHeight="false" outlineLevel="0" collapsed="false">
      <c r="F740" s="15"/>
      <c r="N740" s="16" t="str">
        <f aca="false">IF($D740="","",M740*Y740/100)</f>
        <v/>
      </c>
      <c r="V740" s="16" t="str">
        <f aca="false">IF($D740="","",Y740*AB740/100)</f>
        <v/>
      </c>
      <c r="W740" s="16" t="str">
        <f aca="false">IF($D740="","",Y740-V740)</f>
        <v/>
      </c>
      <c r="X740" s="16" t="str">
        <f aca="false">IF($D740="","",W740-N740)</f>
        <v/>
      </c>
      <c r="AB740" s="17" t="str">
        <f aca="false">IF($D740="","",IF(OR($R740=TRUE(),$R740="TRUE"),Settings!$C$6,Settings!$C$7)*100)</f>
        <v/>
      </c>
      <c r="AH740" s="18" t="str">
        <f aca="false">IF($D740="","",IF(COUNTIF($D$2:$D740,$D740)=1,1,0))</f>
        <v/>
      </c>
      <c r="AI740" s="18" t="str">
        <f aca="false">IF($AH740=1,SUMPRODUCT(--($AK$2:$AK$4001&lt;$AK740))+1,"")</f>
        <v/>
      </c>
      <c r="AJ740" s="18" t="str">
        <f aca="false">IF($D740="","",IF(OR($R740=TRUE(),$R740="TRUE"),1,0))</f>
        <v/>
      </c>
      <c r="AK740" s="18" t="str">
        <f aca="false">IF($AH740=1,IFERROR(VALUE(MID($D740,2,20)),1000000000)+ROW()/10000000,"")</f>
        <v/>
      </c>
    </row>
    <row r="741" customFormat="false" ht="15" hidden="false" customHeight="false" outlineLevel="0" collapsed="false">
      <c r="F741" s="15"/>
      <c r="N741" s="16" t="str">
        <f aca="false">IF($D741="","",M741*Y741/100)</f>
        <v/>
      </c>
      <c r="V741" s="16" t="str">
        <f aca="false">IF($D741="","",Y741*AB741/100)</f>
        <v/>
      </c>
      <c r="W741" s="16" t="str">
        <f aca="false">IF($D741="","",Y741-V741)</f>
        <v/>
      </c>
      <c r="X741" s="16" t="str">
        <f aca="false">IF($D741="","",W741-N741)</f>
        <v/>
      </c>
      <c r="AB741" s="17" t="str">
        <f aca="false">IF($D741="","",IF(OR($R741=TRUE(),$R741="TRUE"),Settings!$C$6,Settings!$C$7)*100)</f>
        <v/>
      </c>
      <c r="AH741" s="18" t="str">
        <f aca="false">IF($D741="","",IF(COUNTIF($D$2:$D741,$D741)=1,1,0))</f>
        <v/>
      </c>
      <c r="AI741" s="18" t="str">
        <f aca="false">IF($AH741=1,SUMPRODUCT(--($AK$2:$AK$4001&lt;$AK741))+1,"")</f>
        <v/>
      </c>
      <c r="AJ741" s="18" t="str">
        <f aca="false">IF($D741="","",IF(OR($R741=TRUE(),$R741="TRUE"),1,0))</f>
        <v/>
      </c>
      <c r="AK741" s="18" t="str">
        <f aca="false">IF($AH741=1,IFERROR(VALUE(MID($D741,2,20)),1000000000)+ROW()/10000000,"")</f>
        <v/>
      </c>
    </row>
    <row r="742" customFormat="false" ht="15" hidden="false" customHeight="false" outlineLevel="0" collapsed="false">
      <c r="F742" s="15"/>
      <c r="N742" s="16" t="str">
        <f aca="false">IF($D742="","",M742*Y742/100)</f>
        <v/>
      </c>
      <c r="V742" s="16" t="str">
        <f aca="false">IF($D742="","",Y742*AB742/100)</f>
        <v/>
      </c>
      <c r="W742" s="16" t="str">
        <f aca="false">IF($D742="","",Y742-V742)</f>
        <v/>
      </c>
      <c r="X742" s="16" t="str">
        <f aca="false">IF($D742="","",W742-N742)</f>
        <v/>
      </c>
      <c r="AB742" s="17" t="str">
        <f aca="false">IF($D742="","",IF(OR($R742=TRUE(),$R742="TRUE"),Settings!$C$6,Settings!$C$7)*100)</f>
        <v/>
      </c>
      <c r="AH742" s="18" t="str">
        <f aca="false">IF($D742="","",IF(COUNTIF($D$2:$D742,$D742)=1,1,0))</f>
        <v/>
      </c>
      <c r="AI742" s="18" t="str">
        <f aca="false">IF($AH742=1,SUMPRODUCT(--($AK$2:$AK$4001&lt;$AK742))+1,"")</f>
        <v/>
      </c>
      <c r="AJ742" s="18" t="str">
        <f aca="false">IF($D742="","",IF(OR($R742=TRUE(),$R742="TRUE"),1,0))</f>
        <v/>
      </c>
      <c r="AK742" s="18" t="str">
        <f aca="false">IF($AH742=1,IFERROR(VALUE(MID($D742,2,20)),1000000000)+ROW()/10000000,"")</f>
        <v/>
      </c>
    </row>
    <row r="743" customFormat="false" ht="15" hidden="false" customHeight="false" outlineLevel="0" collapsed="false">
      <c r="F743" s="15"/>
      <c r="N743" s="16" t="str">
        <f aca="false">IF($D743="","",M743*Y743/100)</f>
        <v/>
      </c>
      <c r="V743" s="16" t="str">
        <f aca="false">IF($D743="","",Y743*AB743/100)</f>
        <v/>
      </c>
      <c r="W743" s="16" t="str">
        <f aca="false">IF($D743="","",Y743-V743)</f>
        <v/>
      </c>
      <c r="X743" s="16" t="str">
        <f aca="false">IF($D743="","",W743-N743)</f>
        <v/>
      </c>
      <c r="AB743" s="17" t="str">
        <f aca="false">IF($D743="","",IF(OR($R743=TRUE(),$R743="TRUE"),Settings!$C$6,Settings!$C$7)*100)</f>
        <v/>
      </c>
      <c r="AH743" s="18" t="str">
        <f aca="false">IF($D743="","",IF(COUNTIF($D$2:$D743,$D743)=1,1,0))</f>
        <v/>
      </c>
      <c r="AI743" s="18" t="str">
        <f aca="false">IF($AH743=1,SUMPRODUCT(--($AK$2:$AK$4001&lt;$AK743))+1,"")</f>
        <v/>
      </c>
      <c r="AJ743" s="18" t="str">
        <f aca="false">IF($D743="","",IF(OR($R743=TRUE(),$R743="TRUE"),1,0))</f>
        <v/>
      </c>
      <c r="AK743" s="18" t="str">
        <f aca="false">IF($AH743=1,IFERROR(VALUE(MID($D743,2,20)),1000000000)+ROW()/10000000,"")</f>
        <v/>
      </c>
    </row>
    <row r="744" customFormat="false" ht="15" hidden="false" customHeight="false" outlineLevel="0" collapsed="false">
      <c r="F744" s="15"/>
      <c r="N744" s="16" t="str">
        <f aca="false">IF($D744="","",M744*Y744/100)</f>
        <v/>
      </c>
      <c r="V744" s="16" t="str">
        <f aca="false">IF($D744="","",Y744*AB744/100)</f>
        <v/>
      </c>
      <c r="W744" s="16" t="str">
        <f aca="false">IF($D744="","",Y744-V744)</f>
        <v/>
      </c>
      <c r="X744" s="16" t="str">
        <f aca="false">IF($D744="","",W744-N744)</f>
        <v/>
      </c>
      <c r="AB744" s="17" t="str">
        <f aca="false">IF($D744="","",IF(OR($R744=TRUE(),$R744="TRUE"),Settings!$C$6,Settings!$C$7)*100)</f>
        <v/>
      </c>
      <c r="AH744" s="18" t="str">
        <f aca="false">IF($D744="","",IF(COUNTIF($D$2:$D744,$D744)=1,1,0))</f>
        <v/>
      </c>
      <c r="AI744" s="18" t="str">
        <f aca="false">IF($AH744=1,SUMPRODUCT(--($AK$2:$AK$4001&lt;$AK744))+1,"")</f>
        <v/>
      </c>
      <c r="AJ744" s="18" t="str">
        <f aca="false">IF($D744="","",IF(OR($R744=TRUE(),$R744="TRUE"),1,0))</f>
        <v/>
      </c>
      <c r="AK744" s="18" t="str">
        <f aca="false">IF($AH744=1,IFERROR(VALUE(MID($D744,2,20)),1000000000)+ROW()/10000000,"")</f>
        <v/>
      </c>
    </row>
    <row r="745" customFormat="false" ht="15" hidden="false" customHeight="false" outlineLevel="0" collapsed="false">
      <c r="F745" s="15"/>
      <c r="N745" s="16" t="str">
        <f aca="false">IF($D745="","",M745*Y745/100)</f>
        <v/>
      </c>
      <c r="V745" s="16" t="str">
        <f aca="false">IF($D745="","",Y745*AB745/100)</f>
        <v/>
      </c>
      <c r="W745" s="16" t="str">
        <f aca="false">IF($D745="","",Y745-V745)</f>
        <v/>
      </c>
      <c r="X745" s="16" t="str">
        <f aca="false">IF($D745="","",W745-N745)</f>
        <v/>
      </c>
      <c r="AB745" s="17" t="str">
        <f aca="false">IF($D745="","",IF(OR($R745=TRUE(),$R745="TRUE"),Settings!$C$6,Settings!$C$7)*100)</f>
        <v/>
      </c>
      <c r="AH745" s="18" t="str">
        <f aca="false">IF($D745="","",IF(COUNTIF($D$2:$D745,$D745)=1,1,0))</f>
        <v/>
      </c>
      <c r="AI745" s="18" t="str">
        <f aca="false">IF($AH745=1,SUMPRODUCT(--($AK$2:$AK$4001&lt;$AK745))+1,"")</f>
        <v/>
      </c>
      <c r="AJ745" s="18" t="str">
        <f aca="false">IF($D745="","",IF(OR($R745=TRUE(),$R745="TRUE"),1,0))</f>
        <v/>
      </c>
      <c r="AK745" s="18" t="str">
        <f aca="false">IF($AH745=1,IFERROR(VALUE(MID($D745,2,20)),1000000000)+ROW()/10000000,"")</f>
        <v/>
      </c>
    </row>
    <row r="746" customFormat="false" ht="15" hidden="false" customHeight="false" outlineLevel="0" collapsed="false">
      <c r="F746" s="15"/>
      <c r="N746" s="16" t="str">
        <f aca="false">IF($D746="","",M746*Y746/100)</f>
        <v/>
      </c>
      <c r="V746" s="16" t="str">
        <f aca="false">IF($D746="","",Y746*AB746/100)</f>
        <v/>
      </c>
      <c r="W746" s="16" t="str">
        <f aca="false">IF($D746="","",Y746-V746)</f>
        <v/>
      </c>
      <c r="X746" s="16" t="str">
        <f aca="false">IF($D746="","",W746-N746)</f>
        <v/>
      </c>
      <c r="AB746" s="17" t="str">
        <f aca="false">IF($D746="","",IF(OR($R746=TRUE(),$R746="TRUE"),Settings!$C$6,Settings!$C$7)*100)</f>
        <v/>
      </c>
      <c r="AH746" s="18" t="str">
        <f aca="false">IF($D746="","",IF(COUNTIF($D$2:$D746,$D746)=1,1,0))</f>
        <v/>
      </c>
      <c r="AI746" s="18" t="str">
        <f aca="false">IF($AH746=1,SUMPRODUCT(--($AK$2:$AK$4001&lt;$AK746))+1,"")</f>
        <v/>
      </c>
      <c r="AJ746" s="18" t="str">
        <f aca="false">IF($D746="","",IF(OR($R746=TRUE(),$R746="TRUE"),1,0))</f>
        <v/>
      </c>
      <c r="AK746" s="18" t="str">
        <f aca="false">IF($AH746=1,IFERROR(VALUE(MID($D746,2,20)),1000000000)+ROW()/10000000,"")</f>
        <v/>
      </c>
    </row>
    <row r="747" customFormat="false" ht="15" hidden="false" customHeight="false" outlineLevel="0" collapsed="false">
      <c r="F747" s="15"/>
      <c r="N747" s="16" t="str">
        <f aca="false">IF($D747="","",M747*Y747/100)</f>
        <v/>
      </c>
      <c r="V747" s="16" t="str">
        <f aca="false">IF($D747="","",Y747*AB747/100)</f>
        <v/>
      </c>
      <c r="W747" s="16" t="str">
        <f aca="false">IF($D747="","",Y747-V747)</f>
        <v/>
      </c>
      <c r="X747" s="16" t="str">
        <f aca="false">IF($D747="","",W747-N747)</f>
        <v/>
      </c>
      <c r="AB747" s="17" t="str">
        <f aca="false">IF($D747="","",IF(OR($R747=TRUE(),$R747="TRUE"),Settings!$C$6,Settings!$C$7)*100)</f>
        <v/>
      </c>
      <c r="AH747" s="18" t="str">
        <f aca="false">IF($D747="","",IF(COUNTIF($D$2:$D747,$D747)=1,1,0))</f>
        <v/>
      </c>
      <c r="AI747" s="18" t="str">
        <f aca="false">IF($AH747=1,SUMPRODUCT(--($AK$2:$AK$4001&lt;$AK747))+1,"")</f>
        <v/>
      </c>
      <c r="AJ747" s="18" t="str">
        <f aca="false">IF($D747="","",IF(OR($R747=TRUE(),$R747="TRUE"),1,0))</f>
        <v/>
      </c>
      <c r="AK747" s="18" t="str">
        <f aca="false">IF($AH747=1,IFERROR(VALUE(MID($D747,2,20)),1000000000)+ROW()/10000000,"")</f>
        <v/>
      </c>
    </row>
    <row r="748" customFormat="false" ht="15" hidden="false" customHeight="false" outlineLevel="0" collapsed="false">
      <c r="F748" s="15"/>
      <c r="N748" s="16" t="str">
        <f aca="false">IF($D748="","",M748*Y748/100)</f>
        <v/>
      </c>
      <c r="V748" s="16" t="str">
        <f aca="false">IF($D748="","",Y748*AB748/100)</f>
        <v/>
      </c>
      <c r="W748" s="16" t="str">
        <f aca="false">IF($D748="","",Y748-V748)</f>
        <v/>
      </c>
      <c r="X748" s="16" t="str">
        <f aca="false">IF($D748="","",W748-N748)</f>
        <v/>
      </c>
      <c r="AB748" s="17" t="str">
        <f aca="false">IF($D748="","",IF(OR($R748=TRUE(),$R748="TRUE"),Settings!$C$6,Settings!$C$7)*100)</f>
        <v/>
      </c>
      <c r="AH748" s="18" t="str">
        <f aca="false">IF($D748="","",IF(COUNTIF($D$2:$D748,$D748)=1,1,0))</f>
        <v/>
      </c>
      <c r="AI748" s="18" t="str">
        <f aca="false">IF($AH748=1,SUMPRODUCT(--($AK$2:$AK$4001&lt;$AK748))+1,"")</f>
        <v/>
      </c>
      <c r="AJ748" s="18" t="str">
        <f aca="false">IF($D748="","",IF(OR($R748=TRUE(),$R748="TRUE"),1,0))</f>
        <v/>
      </c>
      <c r="AK748" s="18" t="str">
        <f aca="false">IF($AH748=1,IFERROR(VALUE(MID($D748,2,20)),1000000000)+ROW()/10000000,"")</f>
        <v/>
      </c>
    </row>
    <row r="749" customFormat="false" ht="15" hidden="false" customHeight="false" outlineLevel="0" collapsed="false">
      <c r="F749" s="15"/>
      <c r="N749" s="16" t="str">
        <f aca="false">IF($D749="","",M749*Y749/100)</f>
        <v/>
      </c>
      <c r="V749" s="16" t="str">
        <f aca="false">IF($D749="","",Y749*AB749/100)</f>
        <v/>
      </c>
      <c r="W749" s="16" t="str">
        <f aca="false">IF($D749="","",Y749-V749)</f>
        <v/>
      </c>
      <c r="X749" s="16" t="str">
        <f aca="false">IF($D749="","",W749-N749)</f>
        <v/>
      </c>
      <c r="AB749" s="17" t="str">
        <f aca="false">IF($D749="","",IF(OR($R749=TRUE(),$R749="TRUE"),Settings!$C$6,Settings!$C$7)*100)</f>
        <v/>
      </c>
      <c r="AH749" s="18" t="str">
        <f aca="false">IF($D749="","",IF(COUNTIF($D$2:$D749,$D749)=1,1,0))</f>
        <v/>
      </c>
      <c r="AI749" s="18" t="str">
        <f aca="false">IF($AH749=1,SUMPRODUCT(--($AK$2:$AK$4001&lt;$AK749))+1,"")</f>
        <v/>
      </c>
      <c r="AJ749" s="18" t="str">
        <f aca="false">IF($D749="","",IF(OR($R749=TRUE(),$R749="TRUE"),1,0))</f>
        <v/>
      </c>
      <c r="AK749" s="18" t="str">
        <f aca="false">IF($AH749=1,IFERROR(VALUE(MID($D749,2,20)),1000000000)+ROW()/10000000,"")</f>
        <v/>
      </c>
    </row>
    <row r="750" customFormat="false" ht="15" hidden="false" customHeight="false" outlineLevel="0" collapsed="false">
      <c r="F750" s="15"/>
      <c r="N750" s="16" t="str">
        <f aca="false">IF($D750="","",M750*Y750/100)</f>
        <v/>
      </c>
      <c r="V750" s="16" t="str">
        <f aca="false">IF($D750="","",Y750*AB750/100)</f>
        <v/>
      </c>
      <c r="W750" s="16" t="str">
        <f aca="false">IF($D750="","",Y750-V750)</f>
        <v/>
      </c>
      <c r="X750" s="16" t="str">
        <f aca="false">IF($D750="","",W750-N750)</f>
        <v/>
      </c>
      <c r="AB750" s="17" t="str">
        <f aca="false">IF($D750="","",IF(OR($R750=TRUE(),$R750="TRUE"),Settings!$C$6,Settings!$C$7)*100)</f>
        <v/>
      </c>
      <c r="AH750" s="18" t="str">
        <f aca="false">IF($D750="","",IF(COUNTIF($D$2:$D750,$D750)=1,1,0))</f>
        <v/>
      </c>
      <c r="AI750" s="18" t="str">
        <f aca="false">IF($AH750=1,SUMPRODUCT(--($AK$2:$AK$4001&lt;$AK750))+1,"")</f>
        <v/>
      </c>
      <c r="AJ750" s="18" t="str">
        <f aca="false">IF($D750="","",IF(OR($R750=TRUE(),$R750="TRUE"),1,0))</f>
        <v/>
      </c>
      <c r="AK750" s="18" t="str">
        <f aca="false">IF($AH750=1,IFERROR(VALUE(MID($D750,2,20)),1000000000)+ROW()/10000000,"")</f>
        <v/>
      </c>
    </row>
    <row r="751" customFormat="false" ht="15" hidden="false" customHeight="false" outlineLevel="0" collapsed="false">
      <c r="F751" s="15"/>
      <c r="N751" s="16" t="str">
        <f aca="false">IF($D751="","",M751*Y751/100)</f>
        <v/>
      </c>
      <c r="V751" s="16" t="str">
        <f aca="false">IF($D751="","",Y751*AB751/100)</f>
        <v/>
      </c>
      <c r="W751" s="16" t="str">
        <f aca="false">IF($D751="","",Y751-V751)</f>
        <v/>
      </c>
      <c r="X751" s="16" t="str">
        <f aca="false">IF($D751="","",W751-N751)</f>
        <v/>
      </c>
      <c r="AB751" s="17" t="str">
        <f aca="false">IF($D751="","",IF(OR($R751=TRUE(),$R751="TRUE"),Settings!$C$6,Settings!$C$7)*100)</f>
        <v/>
      </c>
      <c r="AH751" s="18" t="str">
        <f aca="false">IF($D751="","",IF(COUNTIF($D$2:$D751,$D751)=1,1,0))</f>
        <v/>
      </c>
      <c r="AI751" s="18" t="str">
        <f aca="false">IF($AH751=1,SUMPRODUCT(--($AK$2:$AK$4001&lt;$AK751))+1,"")</f>
        <v/>
      </c>
      <c r="AJ751" s="18" t="str">
        <f aca="false">IF($D751="","",IF(OR($R751=TRUE(),$R751="TRUE"),1,0))</f>
        <v/>
      </c>
      <c r="AK751" s="18" t="str">
        <f aca="false">IF($AH751=1,IFERROR(VALUE(MID($D751,2,20)),1000000000)+ROW()/10000000,"")</f>
        <v/>
      </c>
    </row>
    <row r="752" customFormat="false" ht="15" hidden="false" customHeight="false" outlineLevel="0" collapsed="false">
      <c r="F752" s="15"/>
      <c r="N752" s="16" t="str">
        <f aca="false">IF($D752="","",M752*Y752/100)</f>
        <v/>
      </c>
      <c r="V752" s="16" t="str">
        <f aca="false">IF($D752="","",Y752*AB752/100)</f>
        <v/>
      </c>
      <c r="W752" s="16" t="str">
        <f aca="false">IF($D752="","",Y752-V752)</f>
        <v/>
      </c>
      <c r="X752" s="16" t="str">
        <f aca="false">IF($D752="","",W752-N752)</f>
        <v/>
      </c>
      <c r="AB752" s="17" t="str">
        <f aca="false">IF($D752="","",IF(OR($R752=TRUE(),$R752="TRUE"),Settings!$C$6,Settings!$C$7)*100)</f>
        <v/>
      </c>
      <c r="AH752" s="18" t="str">
        <f aca="false">IF($D752="","",IF(COUNTIF($D$2:$D752,$D752)=1,1,0))</f>
        <v/>
      </c>
      <c r="AI752" s="18" t="str">
        <f aca="false">IF($AH752=1,SUMPRODUCT(--($AK$2:$AK$4001&lt;$AK752))+1,"")</f>
        <v/>
      </c>
      <c r="AJ752" s="18" t="str">
        <f aca="false">IF($D752="","",IF(OR($R752=TRUE(),$R752="TRUE"),1,0))</f>
        <v/>
      </c>
      <c r="AK752" s="18" t="str">
        <f aca="false">IF($AH752=1,IFERROR(VALUE(MID($D752,2,20)),1000000000)+ROW()/10000000,"")</f>
        <v/>
      </c>
    </row>
    <row r="753" customFormat="false" ht="15" hidden="false" customHeight="false" outlineLevel="0" collapsed="false">
      <c r="F753" s="15"/>
      <c r="N753" s="16" t="str">
        <f aca="false">IF($D753="","",M753*Y753/100)</f>
        <v/>
      </c>
      <c r="V753" s="16" t="str">
        <f aca="false">IF($D753="","",Y753*AB753/100)</f>
        <v/>
      </c>
      <c r="W753" s="16" t="str">
        <f aca="false">IF($D753="","",Y753-V753)</f>
        <v/>
      </c>
      <c r="X753" s="16" t="str">
        <f aca="false">IF($D753="","",W753-N753)</f>
        <v/>
      </c>
      <c r="AB753" s="17" t="str">
        <f aca="false">IF($D753="","",IF(OR($R753=TRUE(),$R753="TRUE"),Settings!$C$6,Settings!$C$7)*100)</f>
        <v/>
      </c>
      <c r="AH753" s="18" t="str">
        <f aca="false">IF($D753="","",IF(COUNTIF($D$2:$D753,$D753)=1,1,0))</f>
        <v/>
      </c>
      <c r="AI753" s="18" t="str">
        <f aca="false">IF($AH753=1,SUMPRODUCT(--($AK$2:$AK$4001&lt;$AK753))+1,"")</f>
        <v/>
      </c>
      <c r="AJ753" s="18" t="str">
        <f aca="false">IF($D753="","",IF(OR($R753=TRUE(),$R753="TRUE"),1,0))</f>
        <v/>
      </c>
      <c r="AK753" s="18" t="str">
        <f aca="false">IF($AH753=1,IFERROR(VALUE(MID($D753,2,20)),1000000000)+ROW()/10000000,"")</f>
        <v/>
      </c>
    </row>
    <row r="754" customFormat="false" ht="15" hidden="false" customHeight="false" outlineLevel="0" collapsed="false">
      <c r="F754" s="15"/>
      <c r="N754" s="16" t="str">
        <f aca="false">IF($D754="","",M754*Y754/100)</f>
        <v/>
      </c>
      <c r="V754" s="16" t="str">
        <f aca="false">IF($D754="","",Y754*AB754/100)</f>
        <v/>
      </c>
      <c r="W754" s="16" t="str">
        <f aca="false">IF($D754="","",Y754-V754)</f>
        <v/>
      </c>
      <c r="X754" s="16" t="str">
        <f aca="false">IF($D754="","",W754-N754)</f>
        <v/>
      </c>
      <c r="AB754" s="17" t="str">
        <f aca="false">IF($D754="","",IF(OR($R754=TRUE(),$R754="TRUE"),Settings!$C$6,Settings!$C$7)*100)</f>
        <v/>
      </c>
      <c r="AH754" s="18" t="str">
        <f aca="false">IF($D754="","",IF(COUNTIF($D$2:$D754,$D754)=1,1,0))</f>
        <v/>
      </c>
      <c r="AI754" s="18" t="str">
        <f aca="false">IF($AH754=1,SUMPRODUCT(--($AK$2:$AK$4001&lt;$AK754))+1,"")</f>
        <v/>
      </c>
      <c r="AJ754" s="18" t="str">
        <f aca="false">IF($D754="","",IF(OR($R754=TRUE(),$R754="TRUE"),1,0))</f>
        <v/>
      </c>
      <c r="AK754" s="18" t="str">
        <f aca="false">IF($AH754=1,IFERROR(VALUE(MID($D754,2,20)),1000000000)+ROW()/10000000,"")</f>
        <v/>
      </c>
    </row>
    <row r="755" customFormat="false" ht="15" hidden="false" customHeight="false" outlineLevel="0" collapsed="false">
      <c r="F755" s="15"/>
      <c r="N755" s="16" t="str">
        <f aca="false">IF($D755="","",M755*Y755/100)</f>
        <v/>
      </c>
      <c r="V755" s="16" t="str">
        <f aca="false">IF($D755="","",Y755*AB755/100)</f>
        <v/>
      </c>
      <c r="W755" s="16" t="str">
        <f aca="false">IF($D755="","",Y755-V755)</f>
        <v/>
      </c>
      <c r="X755" s="16" t="str">
        <f aca="false">IF($D755="","",W755-N755)</f>
        <v/>
      </c>
      <c r="AB755" s="17" t="str">
        <f aca="false">IF($D755="","",IF(OR($R755=TRUE(),$R755="TRUE"),Settings!$C$6,Settings!$C$7)*100)</f>
        <v/>
      </c>
      <c r="AH755" s="18" t="str">
        <f aca="false">IF($D755="","",IF(COUNTIF($D$2:$D755,$D755)=1,1,0))</f>
        <v/>
      </c>
      <c r="AI755" s="18" t="str">
        <f aca="false">IF($AH755=1,SUMPRODUCT(--($AK$2:$AK$4001&lt;$AK755))+1,"")</f>
        <v/>
      </c>
      <c r="AJ755" s="18" t="str">
        <f aca="false">IF($D755="","",IF(OR($R755=TRUE(),$R755="TRUE"),1,0))</f>
        <v/>
      </c>
      <c r="AK755" s="18" t="str">
        <f aca="false">IF($AH755=1,IFERROR(VALUE(MID($D755,2,20)),1000000000)+ROW()/10000000,"")</f>
        <v/>
      </c>
    </row>
    <row r="756" customFormat="false" ht="15" hidden="false" customHeight="false" outlineLevel="0" collapsed="false">
      <c r="F756" s="15"/>
      <c r="N756" s="16" t="str">
        <f aca="false">IF($D756="","",M756*Y756/100)</f>
        <v/>
      </c>
      <c r="V756" s="16" t="str">
        <f aca="false">IF($D756="","",Y756*AB756/100)</f>
        <v/>
      </c>
      <c r="W756" s="16" t="str">
        <f aca="false">IF($D756="","",Y756-V756)</f>
        <v/>
      </c>
      <c r="X756" s="16" t="str">
        <f aca="false">IF($D756="","",W756-N756)</f>
        <v/>
      </c>
      <c r="AB756" s="17" t="str">
        <f aca="false">IF($D756="","",IF(OR($R756=TRUE(),$R756="TRUE"),Settings!$C$6,Settings!$C$7)*100)</f>
        <v/>
      </c>
      <c r="AH756" s="18" t="str">
        <f aca="false">IF($D756="","",IF(COUNTIF($D$2:$D756,$D756)=1,1,0))</f>
        <v/>
      </c>
      <c r="AI756" s="18" t="str">
        <f aca="false">IF($AH756=1,SUMPRODUCT(--($AK$2:$AK$4001&lt;$AK756))+1,"")</f>
        <v/>
      </c>
      <c r="AJ756" s="18" t="str">
        <f aca="false">IF($D756="","",IF(OR($R756=TRUE(),$R756="TRUE"),1,0))</f>
        <v/>
      </c>
      <c r="AK756" s="18" t="str">
        <f aca="false">IF($AH756=1,IFERROR(VALUE(MID($D756,2,20)),1000000000)+ROW()/10000000,"")</f>
        <v/>
      </c>
    </row>
    <row r="757" customFormat="false" ht="15" hidden="false" customHeight="false" outlineLevel="0" collapsed="false">
      <c r="F757" s="15"/>
      <c r="N757" s="16" t="str">
        <f aca="false">IF($D757="","",M757*Y757/100)</f>
        <v/>
      </c>
      <c r="V757" s="16" t="str">
        <f aca="false">IF($D757="","",Y757*AB757/100)</f>
        <v/>
      </c>
      <c r="W757" s="16" t="str">
        <f aca="false">IF($D757="","",Y757-V757)</f>
        <v/>
      </c>
      <c r="X757" s="16" t="str">
        <f aca="false">IF($D757="","",W757-N757)</f>
        <v/>
      </c>
      <c r="AB757" s="17" t="str">
        <f aca="false">IF($D757="","",IF(OR($R757=TRUE(),$R757="TRUE"),Settings!$C$6,Settings!$C$7)*100)</f>
        <v/>
      </c>
      <c r="AH757" s="18" t="str">
        <f aca="false">IF($D757="","",IF(COUNTIF($D$2:$D757,$D757)=1,1,0))</f>
        <v/>
      </c>
      <c r="AI757" s="18" t="str">
        <f aca="false">IF($AH757=1,SUMPRODUCT(--($AK$2:$AK$4001&lt;$AK757))+1,"")</f>
        <v/>
      </c>
      <c r="AJ757" s="18" t="str">
        <f aca="false">IF($D757="","",IF(OR($R757=TRUE(),$R757="TRUE"),1,0))</f>
        <v/>
      </c>
      <c r="AK757" s="18" t="str">
        <f aca="false">IF($AH757=1,IFERROR(VALUE(MID($D757,2,20)),1000000000)+ROW()/10000000,"")</f>
        <v/>
      </c>
    </row>
    <row r="758" customFormat="false" ht="15" hidden="false" customHeight="false" outlineLevel="0" collapsed="false">
      <c r="F758" s="15"/>
      <c r="N758" s="16" t="str">
        <f aca="false">IF($D758="","",M758*Y758/100)</f>
        <v/>
      </c>
      <c r="V758" s="16" t="str">
        <f aca="false">IF($D758="","",Y758*AB758/100)</f>
        <v/>
      </c>
      <c r="W758" s="16" t="str">
        <f aca="false">IF($D758="","",Y758-V758)</f>
        <v/>
      </c>
      <c r="X758" s="16" t="str">
        <f aca="false">IF($D758="","",W758-N758)</f>
        <v/>
      </c>
      <c r="AB758" s="17" t="str">
        <f aca="false">IF($D758="","",IF(OR($R758=TRUE(),$R758="TRUE"),Settings!$C$6,Settings!$C$7)*100)</f>
        <v/>
      </c>
      <c r="AH758" s="18" t="str">
        <f aca="false">IF($D758="","",IF(COUNTIF($D$2:$D758,$D758)=1,1,0))</f>
        <v/>
      </c>
      <c r="AI758" s="18" t="str">
        <f aca="false">IF($AH758=1,SUMPRODUCT(--($AK$2:$AK$4001&lt;$AK758))+1,"")</f>
        <v/>
      </c>
      <c r="AJ758" s="18" t="str">
        <f aca="false">IF($D758="","",IF(OR($R758=TRUE(),$R758="TRUE"),1,0))</f>
        <v/>
      </c>
      <c r="AK758" s="18" t="str">
        <f aca="false">IF($AH758=1,IFERROR(VALUE(MID($D758,2,20)),1000000000)+ROW()/10000000,"")</f>
        <v/>
      </c>
    </row>
    <row r="759" customFormat="false" ht="15" hidden="false" customHeight="false" outlineLevel="0" collapsed="false">
      <c r="F759" s="15"/>
      <c r="N759" s="16" t="str">
        <f aca="false">IF($D759="","",M759*Y759/100)</f>
        <v/>
      </c>
      <c r="V759" s="16" t="str">
        <f aca="false">IF($D759="","",Y759*AB759/100)</f>
        <v/>
      </c>
      <c r="W759" s="16" t="str">
        <f aca="false">IF($D759="","",Y759-V759)</f>
        <v/>
      </c>
      <c r="X759" s="16" t="str">
        <f aca="false">IF($D759="","",W759-N759)</f>
        <v/>
      </c>
      <c r="AB759" s="17" t="str">
        <f aca="false">IF($D759="","",IF(OR($R759=TRUE(),$R759="TRUE"),Settings!$C$6,Settings!$C$7)*100)</f>
        <v/>
      </c>
      <c r="AH759" s="18" t="str">
        <f aca="false">IF($D759="","",IF(COUNTIF($D$2:$D759,$D759)=1,1,0))</f>
        <v/>
      </c>
      <c r="AI759" s="18" t="str">
        <f aca="false">IF($AH759=1,SUMPRODUCT(--($AK$2:$AK$4001&lt;$AK759))+1,"")</f>
        <v/>
      </c>
      <c r="AJ759" s="18" t="str">
        <f aca="false">IF($D759="","",IF(OR($R759=TRUE(),$R759="TRUE"),1,0))</f>
        <v/>
      </c>
      <c r="AK759" s="18" t="str">
        <f aca="false">IF($AH759=1,IFERROR(VALUE(MID($D759,2,20)),1000000000)+ROW()/10000000,"")</f>
        <v/>
      </c>
    </row>
    <row r="760" customFormat="false" ht="15" hidden="false" customHeight="false" outlineLevel="0" collapsed="false">
      <c r="F760" s="15"/>
      <c r="N760" s="16" t="str">
        <f aca="false">IF($D760="","",M760*Y760/100)</f>
        <v/>
      </c>
      <c r="V760" s="16" t="str">
        <f aca="false">IF($D760="","",Y760*AB760/100)</f>
        <v/>
      </c>
      <c r="W760" s="16" t="str">
        <f aca="false">IF($D760="","",Y760-V760)</f>
        <v/>
      </c>
      <c r="X760" s="16" t="str">
        <f aca="false">IF($D760="","",W760-N760)</f>
        <v/>
      </c>
      <c r="AB760" s="17" t="str">
        <f aca="false">IF($D760="","",IF(OR($R760=TRUE(),$R760="TRUE"),Settings!$C$6,Settings!$C$7)*100)</f>
        <v/>
      </c>
      <c r="AH760" s="18" t="str">
        <f aca="false">IF($D760="","",IF(COUNTIF($D$2:$D760,$D760)=1,1,0))</f>
        <v/>
      </c>
      <c r="AI760" s="18" t="str">
        <f aca="false">IF($AH760=1,SUMPRODUCT(--($AK$2:$AK$4001&lt;$AK760))+1,"")</f>
        <v/>
      </c>
      <c r="AJ760" s="18" t="str">
        <f aca="false">IF($D760="","",IF(OR($R760=TRUE(),$R760="TRUE"),1,0))</f>
        <v/>
      </c>
      <c r="AK760" s="18" t="str">
        <f aca="false">IF($AH760=1,IFERROR(VALUE(MID($D760,2,20)),1000000000)+ROW()/10000000,"")</f>
        <v/>
      </c>
    </row>
    <row r="761" customFormat="false" ht="15" hidden="false" customHeight="false" outlineLevel="0" collapsed="false">
      <c r="F761" s="15"/>
      <c r="N761" s="16" t="str">
        <f aca="false">IF($D761="","",M761*Y761/100)</f>
        <v/>
      </c>
      <c r="V761" s="16" t="str">
        <f aca="false">IF($D761="","",Y761*AB761/100)</f>
        <v/>
      </c>
      <c r="W761" s="16" t="str">
        <f aca="false">IF($D761="","",Y761-V761)</f>
        <v/>
      </c>
      <c r="X761" s="16" t="str">
        <f aca="false">IF($D761="","",W761-N761)</f>
        <v/>
      </c>
      <c r="AB761" s="17" t="str">
        <f aca="false">IF($D761="","",IF(OR($R761=TRUE(),$R761="TRUE"),Settings!$C$6,Settings!$C$7)*100)</f>
        <v/>
      </c>
      <c r="AH761" s="18" t="str">
        <f aca="false">IF($D761="","",IF(COUNTIF($D$2:$D761,$D761)=1,1,0))</f>
        <v/>
      </c>
      <c r="AI761" s="18" t="str">
        <f aca="false">IF($AH761=1,SUMPRODUCT(--($AK$2:$AK$4001&lt;$AK761))+1,"")</f>
        <v/>
      </c>
      <c r="AJ761" s="18" t="str">
        <f aca="false">IF($D761="","",IF(OR($R761=TRUE(),$R761="TRUE"),1,0))</f>
        <v/>
      </c>
      <c r="AK761" s="18" t="str">
        <f aca="false">IF($AH761=1,IFERROR(VALUE(MID($D761,2,20)),1000000000)+ROW()/10000000,"")</f>
        <v/>
      </c>
    </row>
    <row r="762" customFormat="false" ht="15" hidden="false" customHeight="false" outlineLevel="0" collapsed="false">
      <c r="F762" s="15"/>
      <c r="N762" s="16" t="str">
        <f aca="false">IF($D762="","",M762*Y762/100)</f>
        <v/>
      </c>
      <c r="V762" s="16" t="str">
        <f aca="false">IF($D762="","",Y762*AB762/100)</f>
        <v/>
      </c>
      <c r="W762" s="16" t="str">
        <f aca="false">IF($D762="","",Y762-V762)</f>
        <v/>
      </c>
      <c r="X762" s="16" t="str">
        <f aca="false">IF($D762="","",W762-N762)</f>
        <v/>
      </c>
      <c r="AB762" s="17" t="str">
        <f aca="false">IF($D762="","",IF(OR($R762=TRUE(),$R762="TRUE"),Settings!$C$6,Settings!$C$7)*100)</f>
        <v/>
      </c>
      <c r="AH762" s="18" t="str">
        <f aca="false">IF($D762="","",IF(COUNTIF($D$2:$D762,$D762)=1,1,0))</f>
        <v/>
      </c>
      <c r="AI762" s="18" t="str">
        <f aca="false">IF($AH762=1,SUMPRODUCT(--($AK$2:$AK$4001&lt;$AK762))+1,"")</f>
        <v/>
      </c>
      <c r="AJ762" s="18" t="str">
        <f aca="false">IF($D762="","",IF(OR($R762=TRUE(),$R762="TRUE"),1,0))</f>
        <v/>
      </c>
      <c r="AK762" s="18" t="str">
        <f aca="false">IF($AH762=1,IFERROR(VALUE(MID($D762,2,20)),1000000000)+ROW()/10000000,"")</f>
        <v/>
      </c>
    </row>
    <row r="763" customFormat="false" ht="15" hidden="false" customHeight="false" outlineLevel="0" collapsed="false">
      <c r="F763" s="15"/>
      <c r="N763" s="16" t="str">
        <f aca="false">IF($D763="","",M763*Y763/100)</f>
        <v/>
      </c>
      <c r="V763" s="16" t="str">
        <f aca="false">IF($D763="","",Y763*AB763/100)</f>
        <v/>
      </c>
      <c r="W763" s="16" t="str">
        <f aca="false">IF($D763="","",Y763-V763)</f>
        <v/>
      </c>
      <c r="X763" s="16" t="str">
        <f aca="false">IF($D763="","",W763-N763)</f>
        <v/>
      </c>
      <c r="AB763" s="17" t="str">
        <f aca="false">IF($D763="","",IF(OR($R763=TRUE(),$R763="TRUE"),Settings!$C$6,Settings!$C$7)*100)</f>
        <v/>
      </c>
      <c r="AH763" s="18" t="str">
        <f aca="false">IF($D763="","",IF(COUNTIF($D$2:$D763,$D763)=1,1,0))</f>
        <v/>
      </c>
      <c r="AI763" s="18" t="str">
        <f aca="false">IF($AH763=1,SUMPRODUCT(--($AK$2:$AK$4001&lt;$AK763))+1,"")</f>
        <v/>
      </c>
      <c r="AJ763" s="18" t="str">
        <f aca="false">IF($D763="","",IF(OR($R763=TRUE(),$R763="TRUE"),1,0))</f>
        <v/>
      </c>
      <c r="AK763" s="18" t="str">
        <f aca="false">IF($AH763=1,IFERROR(VALUE(MID($D763,2,20)),1000000000)+ROW()/10000000,"")</f>
        <v/>
      </c>
    </row>
    <row r="764" customFormat="false" ht="15" hidden="false" customHeight="false" outlineLevel="0" collapsed="false">
      <c r="F764" s="15"/>
      <c r="N764" s="16" t="str">
        <f aca="false">IF($D764="","",M764*Y764/100)</f>
        <v/>
      </c>
      <c r="V764" s="16" t="str">
        <f aca="false">IF($D764="","",Y764*AB764/100)</f>
        <v/>
      </c>
      <c r="W764" s="16" t="str">
        <f aca="false">IF($D764="","",Y764-V764)</f>
        <v/>
      </c>
      <c r="X764" s="16" t="str">
        <f aca="false">IF($D764="","",W764-N764)</f>
        <v/>
      </c>
      <c r="AB764" s="17" t="str">
        <f aca="false">IF($D764="","",IF(OR($R764=TRUE(),$R764="TRUE"),Settings!$C$6,Settings!$C$7)*100)</f>
        <v/>
      </c>
      <c r="AH764" s="18" t="str">
        <f aca="false">IF($D764="","",IF(COUNTIF($D$2:$D764,$D764)=1,1,0))</f>
        <v/>
      </c>
      <c r="AI764" s="18" t="str">
        <f aca="false">IF($AH764=1,SUMPRODUCT(--($AK$2:$AK$4001&lt;$AK764))+1,"")</f>
        <v/>
      </c>
      <c r="AJ764" s="18" t="str">
        <f aca="false">IF($D764="","",IF(OR($R764=TRUE(),$R764="TRUE"),1,0))</f>
        <v/>
      </c>
      <c r="AK764" s="18" t="str">
        <f aca="false">IF($AH764=1,IFERROR(VALUE(MID($D764,2,20)),1000000000)+ROW()/10000000,"")</f>
        <v/>
      </c>
    </row>
    <row r="765" customFormat="false" ht="15" hidden="false" customHeight="false" outlineLevel="0" collapsed="false">
      <c r="F765" s="15"/>
      <c r="N765" s="16" t="str">
        <f aca="false">IF($D765="","",M765*Y765/100)</f>
        <v/>
      </c>
      <c r="V765" s="16" t="str">
        <f aca="false">IF($D765="","",Y765*AB765/100)</f>
        <v/>
      </c>
      <c r="W765" s="16" t="str">
        <f aca="false">IF($D765="","",Y765-V765)</f>
        <v/>
      </c>
      <c r="X765" s="16" t="str">
        <f aca="false">IF($D765="","",W765-N765)</f>
        <v/>
      </c>
      <c r="AB765" s="17" t="str">
        <f aca="false">IF($D765="","",IF(OR($R765=TRUE(),$R765="TRUE"),Settings!$C$6,Settings!$C$7)*100)</f>
        <v/>
      </c>
      <c r="AH765" s="18" t="str">
        <f aca="false">IF($D765="","",IF(COUNTIF($D$2:$D765,$D765)=1,1,0))</f>
        <v/>
      </c>
      <c r="AI765" s="18" t="str">
        <f aca="false">IF($AH765=1,SUMPRODUCT(--($AK$2:$AK$4001&lt;$AK765))+1,"")</f>
        <v/>
      </c>
      <c r="AJ765" s="18" t="str">
        <f aca="false">IF($D765="","",IF(OR($R765=TRUE(),$R765="TRUE"),1,0))</f>
        <v/>
      </c>
      <c r="AK765" s="18" t="str">
        <f aca="false">IF($AH765=1,IFERROR(VALUE(MID($D765,2,20)),1000000000)+ROW()/10000000,"")</f>
        <v/>
      </c>
    </row>
    <row r="766" customFormat="false" ht="15" hidden="false" customHeight="false" outlineLevel="0" collapsed="false">
      <c r="F766" s="15"/>
      <c r="N766" s="16" t="str">
        <f aca="false">IF($D766="","",M766*Y766/100)</f>
        <v/>
      </c>
      <c r="V766" s="16" t="str">
        <f aca="false">IF($D766="","",Y766*AB766/100)</f>
        <v/>
      </c>
      <c r="W766" s="16" t="str">
        <f aca="false">IF($D766="","",Y766-V766)</f>
        <v/>
      </c>
      <c r="X766" s="16" t="str">
        <f aca="false">IF($D766="","",W766-N766)</f>
        <v/>
      </c>
      <c r="AB766" s="17" t="str">
        <f aca="false">IF($D766="","",IF(OR($R766=TRUE(),$R766="TRUE"),Settings!$C$6,Settings!$C$7)*100)</f>
        <v/>
      </c>
      <c r="AH766" s="18" t="str">
        <f aca="false">IF($D766="","",IF(COUNTIF($D$2:$D766,$D766)=1,1,0))</f>
        <v/>
      </c>
      <c r="AI766" s="18" t="str">
        <f aca="false">IF($AH766=1,SUMPRODUCT(--($AK$2:$AK$4001&lt;$AK766))+1,"")</f>
        <v/>
      </c>
      <c r="AJ766" s="18" t="str">
        <f aca="false">IF($D766="","",IF(OR($R766=TRUE(),$R766="TRUE"),1,0))</f>
        <v/>
      </c>
      <c r="AK766" s="18" t="str">
        <f aca="false">IF($AH766=1,IFERROR(VALUE(MID($D766,2,20)),1000000000)+ROW()/10000000,"")</f>
        <v/>
      </c>
    </row>
    <row r="767" customFormat="false" ht="15" hidden="false" customHeight="false" outlineLevel="0" collapsed="false">
      <c r="F767" s="15"/>
      <c r="N767" s="16" t="str">
        <f aca="false">IF($D767="","",M767*Y767/100)</f>
        <v/>
      </c>
      <c r="V767" s="16" t="str">
        <f aca="false">IF($D767="","",Y767*AB767/100)</f>
        <v/>
      </c>
      <c r="W767" s="16" t="str">
        <f aca="false">IF($D767="","",Y767-V767)</f>
        <v/>
      </c>
      <c r="X767" s="16" t="str">
        <f aca="false">IF($D767="","",W767-N767)</f>
        <v/>
      </c>
      <c r="AB767" s="17" t="str">
        <f aca="false">IF($D767="","",IF(OR($R767=TRUE(),$R767="TRUE"),Settings!$C$6,Settings!$C$7)*100)</f>
        <v/>
      </c>
      <c r="AH767" s="18" t="str">
        <f aca="false">IF($D767="","",IF(COUNTIF($D$2:$D767,$D767)=1,1,0))</f>
        <v/>
      </c>
      <c r="AI767" s="18" t="str">
        <f aca="false">IF($AH767=1,SUMPRODUCT(--($AK$2:$AK$4001&lt;$AK767))+1,"")</f>
        <v/>
      </c>
      <c r="AJ767" s="18" t="str">
        <f aca="false">IF($D767="","",IF(OR($R767=TRUE(),$R767="TRUE"),1,0))</f>
        <v/>
      </c>
      <c r="AK767" s="18" t="str">
        <f aca="false">IF($AH767=1,IFERROR(VALUE(MID($D767,2,20)),1000000000)+ROW()/10000000,"")</f>
        <v/>
      </c>
    </row>
    <row r="768" customFormat="false" ht="15" hidden="false" customHeight="false" outlineLevel="0" collapsed="false">
      <c r="F768" s="15"/>
      <c r="N768" s="16" t="str">
        <f aca="false">IF($D768="","",M768*Y768/100)</f>
        <v/>
      </c>
      <c r="V768" s="16" t="str">
        <f aca="false">IF($D768="","",Y768*AB768/100)</f>
        <v/>
      </c>
      <c r="W768" s="16" t="str">
        <f aca="false">IF($D768="","",Y768-V768)</f>
        <v/>
      </c>
      <c r="X768" s="16" t="str">
        <f aca="false">IF($D768="","",W768-N768)</f>
        <v/>
      </c>
      <c r="AB768" s="17" t="str">
        <f aca="false">IF($D768="","",IF(OR($R768=TRUE(),$R768="TRUE"),Settings!$C$6,Settings!$C$7)*100)</f>
        <v/>
      </c>
      <c r="AH768" s="18" t="str">
        <f aca="false">IF($D768="","",IF(COUNTIF($D$2:$D768,$D768)=1,1,0))</f>
        <v/>
      </c>
      <c r="AI768" s="18" t="str">
        <f aca="false">IF($AH768=1,SUMPRODUCT(--($AK$2:$AK$4001&lt;$AK768))+1,"")</f>
        <v/>
      </c>
      <c r="AJ768" s="18" t="str">
        <f aca="false">IF($D768="","",IF(OR($R768=TRUE(),$R768="TRUE"),1,0))</f>
        <v/>
      </c>
      <c r="AK768" s="18" t="str">
        <f aca="false">IF($AH768=1,IFERROR(VALUE(MID($D768,2,20)),1000000000)+ROW()/10000000,"")</f>
        <v/>
      </c>
    </row>
    <row r="769" customFormat="false" ht="15" hidden="false" customHeight="false" outlineLevel="0" collapsed="false">
      <c r="F769" s="15"/>
      <c r="N769" s="16" t="str">
        <f aca="false">IF($D769="","",M769*Y769/100)</f>
        <v/>
      </c>
      <c r="V769" s="16" t="str">
        <f aca="false">IF($D769="","",Y769*AB769/100)</f>
        <v/>
      </c>
      <c r="W769" s="16" t="str">
        <f aca="false">IF($D769="","",Y769-V769)</f>
        <v/>
      </c>
      <c r="X769" s="16" t="str">
        <f aca="false">IF($D769="","",W769-N769)</f>
        <v/>
      </c>
      <c r="AB769" s="17" t="str">
        <f aca="false">IF($D769="","",IF(OR($R769=TRUE(),$R769="TRUE"),Settings!$C$6,Settings!$C$7)*100)</f>
        <v/>
      </c>
      <c r="AH769" s="18" t="str">
        <f aca="false">IF($D769="","",IF(COUNTIF($D$2:$D769,$D769)=1,1,0))</f>
        <v/>
      </c>
      <c r="AI769" s="18" t="str">
        <f aca="false">IF($AH769=1,SUMPRODUCT(--($AK$2:$AK$4001&lt;$AK769))+1,"")</f>
        <v/>
      </c>
      <c r="AJ769" s="18" t="str">
        <f aca="false">IF($D769="","",IF(OR($R769=TRUE(),$R769="TRUE"),1,0))</f>
        <v/>
      </c>
      <c r="AK769" s="18" t="str">
        <f aca="false">IF($AH769=1,IFERROR(VALUE(MID($D769,2,20)),1000000000)+ROW()/10000000,"")</f>
        <v/>
      </c>
    </row>
    <row r="770" customFormat="false" ht="15" hidden="false" customHeight="false" outlineLevel="0" collapsed="false">
      <c r="F770" s="15"/>
      <c r="N770" s="16" t="str">
        <f aca="false">IF($D770="","",M770*Y770/100)</f>
        <v/>
      </c>
      <c r="V770" s="16" t="str">
        <f aca="false">IF($D770="","",Y770*AB770/100)</f>
        <v/>
      </c>
      <c r="W770" s="16" t="str">
        <f aca="false">IF($D770="","",Y770-V770)</f>
        <v/>
      </c>
      <c r="X770" s="16" t="str">
        <f aca="false">IF($D770="","",W770-N770)</f>
        <v/>
      </c>
      <c r="AB770" s="17" t="str">
        <f aca="false">IF($D770="","",IF(OR($R770=TRUE(),$R770="TRUE"),Settings!$C$6,Settings!$C$7)*100)</f>
        <v/>
      </c>
      <c r="AH770" s="18" t="str">
        <f aca="false">IF($D770="","",IF(COUNTIF($D$2:$D770,$D770)=1,1,0))</f>
        <v/>
      </c>
      <c r="AI770" s="18" t="str">
        <f aca="false">IF($AH770=1,SUMPRODUCT(--($AK$2:$AK$4001&lt;$AK770))+1,"")</f>
        <v/>
      </c>
      <c r="AJ770" s="18" t="str">
        <f aca="false">IF($D770="","",IF(OR($R770=TRUE(),$R770="TRUE"),1,0))</f>
        <v/>
      </c>
      <c r="AK770" s="18" t="str">
        <f aca="false">IF($AH770=1,IFERROR(VALUE(MID($D770,2,20)),1000000000)+ROW()/10000000,"")</f>
        <v/>
      </c>
    </row>
    <row r="771" customFormat="false" ht="15" hidden="false" customHeight="false" outlineLevel="0" collapsed="false">
      <c r="F771" s="15"/>
      <c r="N771" s="16" t="str">
        <f aca="false">IF($D771="","",M771*Y771/100)</f>
        <v/>
      </c>
      <c r="V771" s="16" t="str">
        <f aca="false">IF($D771="","",Y771*AB771/100)</f>
        <v/>
      </c>
      <c r="W771" s="16" t="str">
        <f aca="false">IF($D771="","",Y771-V771)</f>
        <v/>
      </c>
      <c r="X771" s="16" t="str">
        <f aca="false">IF($D771="","",W771-N771)</f>
        <v/>
      </c>
      <c r="AB771" s="17" t="str">
        <f aca="false">IF($D771="","",IF(OR($R771=TRUE(),$R771="TRUE"),Settings!$C$6,Settings!$C$7)*100)</f>
        <v/>
      </c>
      <c r="AH771" s="18" t="str">
        <f aca="false">IF($D771="","",IF(COUNTIF($D$2:$D771,$D771)=1,1,0))</f>
        <v/>
      </c>
      <c r="AI771" s="18" t="str">
        <f aca="false">IF($AH771=1,SUMPRODUCT(--($AK$2:$AK$4001&lt;$AK771))+1,"")</f>
        <v/>
      </c>
      <c r="AJ771" s="18" t="str">
        <f aca="false">IF($D771="","",IF(OR($R771=TRUE(),$R771="TRUE"),1,0))</f>
        <v/>
      </c>
      <c r="AK771" s="18" t="str">
        <f aca="false">IF($AH771=1,IFERROR(VALUE(MID($D771,2,20)),1000000000)+ROW()/10000000,"")</f>
        <v/>
      </c>
    </row>
    <row r="772" customFormat="false" ht="15" hidden="false" customHeight="false" outlineLevel="0" collapsed="false">
      <c r="F772" s="15"/>
      <c r="N772" s="16" t="str">
        <f aca="false">IF($D772="","",M772*Y772/100)</f>
        <v/>
      </c>
      <c r="V772" s="16" t="str">
        <f aca="false">IF($D772="","",Y772*AB772/100)</f>
        <v/>
      </c>
      <c r="W772" s="16" t="str">
        <f aca="false">IF($D772="","",Y772-V772)</f>
        <v/>
      </c>
      <c r="X772" s="16" t="str">
        <f aca="false">IF($D772="","",W772-N772)</f>
        <v/>
      </c>
      <c r="AB772" s="17" t="str">
        <f aca="false">IF($D772="","",IF(OR($R772=TRUE(),$R772="TRUE"),Settings!$C$6,Settings!$C$7)*100)</f>
        <v/>
      </c>
      <c r="AH772" s="18" t="str">
        <f aca="false">IF($D772="","",IF(COUNTIF($D$2:$D772,$D772)=1,1,0))</f>
        <v/>
      </c>
      <c r="AI772" s="18" t="str">
        <f aca="false">IF($AH772=1,SUMPRODUCT(--($AK$2:$AK$4001&lt;$AK772))+1,"")</f>
        <v/>
      </c>
      <c r="AJ772" s="18" t="str">
        <f aca="false">IF($D772="","",IF(OR($R772=TRUE(),$R772="TRUE"),1,0))</f>
        <v/>
      </c>
      <c r="AK772" s="18" t="str">
        <f aca="false">IF($AH772=1,IFERROR(VALUE(MID($D772,2,20)),1000000000)+ROW()/10000000,"")</f>
        <v/>
      </c>
    </row>
    <row r="773" customFormat="false" ht="15" hidden="false" customHeight="false" outlineLevel="0" collapsed="false">
      <c r="F773" s="15"/>
      <c r="N773" s="16" t="str">
        <f aca="false">IF($D773="","",M773*Y773/100)</f>
        <v/>
      </c>
      <c r="V773" s="16" t="str">
        <f aca="false">IF($D773="","",Y773*AB773/100)</f>
        <v/>
      </c>
      <c r="W773" s="16" t="str">
        <f aca="false">IF($D773="","",Y773-V773)</f>
        <v/>
      </c>
      <c r="X773" s="16" t="str">
        <f aca="false">IF($D773="","",W773-N773)</f>
        <v/>
      </c>
      <c r="AB773" s="17" t="str">
        <f aca="false">IF($D773="","",IF(OR($R773=TRUE(),$R773="TRUE"),Settings!$C$6,Settings!$C$7)*100)</f>
        <v/>
      </c>
      <c r="AH773" s="18" t="str">
        <f aca="false">IF($D773="","",IF(COUNTIF($D$2:$D773,$D773)=1,1,0))</f>
        <v/>
      </c>
      <c r="AI773" s="18" t="str">
        <f aca="false">IF($AH773=1,SUMPRODUCT(--($AK$2:$AK$4001&lt;$AK773))+1,"")</f>
        <v/>
      </c>
      <c r="AJ773" s="18" t="str">
        <f aca="false">IF($D773="","",IF(OR($R773=TRUE(),$R773="TRUE"),1,0))</f>
        <v/>
      </c>
      <c r="AK773" s="18" t="str">
        <f aca="false">IF($AH773=1,IFERROR(VALUE(MID($D773,2,20)),1000000000)+ROW()/10000000,"")</f>
        <v/>
      </c>
    </row>
    <row r="774" customFormat="false" ht="15" hidden="false" customHeight="false" outlineLevel="0" collapsed="false">
      <c r="F774" s="15"/>
      <c r="N774" s="16" t="str">
        <f aca="false">IF($D774="","",M774*Y774/100)</f>
        <v/>
      </c>
      <c r="V774" s="16" t="str">
        <f aca="false">IF($D774="","",Y774*AB774/100)</f>
        <v/>
      </c>
      <c r="W774" s="16" t="str">
        <f aca="false">IF($D774="","",Y774-V774)</f>
        <v/>
      </c>
      <c r="X774" s="16" t="str">
        <f aca="false">IF($D774="","",W774-N774)</f>
        <v/>
      </c>
      <c r="AB774" s="17" t="str">
        <f aca="false">IF($D774="","",IF(OR($R774=TRUE(),$R774="TRUE"),Settings!$C$6,Settings!$C$7)*100)</f>
        <v/>
      </c>
      <c r="AH774" s="18" t="str">
        <f aca="false">IF($D774="","",IF(COUNTIF($D$2:$D774,$D774)=1,1,0))</f>
        <v/>
      </c>
      <c r="AI774" s="18" t="str">
        <f aca="false">IF($AH774=1,SUMPRODUCT(--($AK$2:$AK$4001&lt;$AK774))+1,"")</f>
        <v/>
      </c>
      <c r="AJ774" s="18" t="str">
        <f aca="false">IF($D774="","",IF(OR($R774=TRUE(),$R774="TRUE"),1,0))</f>
        <v/>
      </c>
      <c r="AK774" s="18" t="str">
        <f aca="false">IF($AH774=1,IFERROR(VALUE(MID($D774,2,20)),1000000000)+ROW()/10000000,"")</f>
        <v/>
      </c>
    </row>
    <row r="775" customFormat="false" ht="15" hidden="false" customHeight="false" outlineLevel="0" collapsed="false">
      <c r="F775" s="15"/>
      <c r="N775" s="16" t="str">
        <f aca="false">IF($D775="","",M775*Y775/100)</f>
        <v/>
      </c>
      <c r="V775" s="16" t="str">
        <f aca="false">IF($D775="","",Y775*AB775/100)</f>
        <v/>
      </c>
      <c r="W775" s="16" t="str">
        <f aca="false">IF($D775="","",Y775-V775)</f>
        <v/>
      </c>
      <c r="X775" s="16" t="str">
        <f aca="false">IF($D775="","",W775-N775)</f>
        <v/>
      </c>
      <c r="AB775" s="17" t="str">
        <f aca="false">IF($D775="","",IF(OR($R775=TRUE(),$R775="TRUE"),Settings!$C$6,Settings!$C$7)*100)</f>
        <v/>
      </c>
      <c r="AH775" s="18" t="str">
        <f aca="false">IF($D775="","",IF(COUNTIF($D$2:$D775,$D775)=1,1,0))</f>
        <v/>
      </c>
      <c r="AI775" s="18" t="str">
        <f aca="false">IF($AH775=1,SUMPRODUCT(--($AK$2:$AK$4001&lt;$AK775))+1,"")</f>
        <v/>
      </c>
      <c r="AJ775" s="18" t="str">
        <f aca="false">IF($D775="","",IF(OR($R775=TRUE(),$R775="TRUE"),1,0))</f>
        <v/>
      </c>
      <c r="AK775" s="18" t="str">
        <f aca="false">IF($AH775=1,IFERROR(VALUE(MID($D775,2,20)),1000000000)+ROW()/10000000,"")</f>
        <v/>
      </c>
    </row>
    <row r="776" customFormat="false" ht="15" hidden="false" customHeight="false" outlineLevel="0" collapsed="false">
      <c r="F776" s="15"/>
      <c r="N776" s="16" t="str">
        <f aca="false">IF($D776="","",M776*Y776/100)</f>
        <v/>
      </c>
      <c r="V776" s="16" t="str">
        <f aca="false">IF($D776="","",Y776*AB776/100)</f>
        <v/>
      </c>
      <c r="W776" s="16" t="str">
        <f aca="false">IF($D776="","",Y776-V776)</f>
        <v/>
      </c>
      <c r="X776" s="16" t="str">
        <f aca="false">IF($D776="","",W776-N776)</f>
        <v/>
      </c>
      <c r="AB776" s="17" t="str">
        <f aca="false">IF($D776="","",IF(OR($R776=TRUE(),$R776="TRUE"),Settings!$C$6,Settings!$C$7)*100)</f>
        <v/>
      </c>
      <c r="AH776" s="18" t="str">
        <f aca="false">IF($D776="","",IF(COUNTIF($D$2:$D776,$D776)=1,1,0))</f>
        <v/>
      </c>
      <c r="AI776" s="18" t="str">
        <f aca="false">IF($AH776=1,SUMPRODUCT(--($AK$2:$AK$4001&lt;$AK776))+1,"")</f>
        <v/>
      </c>
      <c r="AJ776" s="18" t="str">
        <f aca="false">IF($D776="","",IF(OR($R776=TRUE(),$R776="TRUE"),1,0))</f>
        <v/>
      </c>
      <c r="AK776" s="18" t="str">
        <f aca="false">IF($AH776=1,IFERROR(VALUE(MID($D776,2,20)),1000000000)+ROW()/10000000,"")</f>
        <v/>
      </c>
    </row>
    <row r="777" customFormat="false" ht="15" hidden="false" customHeight="false" outlineLevel="0" collapsed="false">
      <c r="F777" s="15"/>
      <c r="N777" s="16" t="str">
        <f aca="false">IF($D777="","",M777*Y777/100)</f>
        <v/>
      </c>
      <c r="V777" s="16" t="str">
        <f aca="false">IF($D777="","",Y777*AB777/100)</f>
        <v/>
      </c>
      <c r="W777" s="16" t="str">
        <f aca="false">IF($D777="","",Y777-V777)</f>
        <v/>
      </c>
      <c r="X777" s="16" t="str">
        <f aca="false">IF($D777="","",W777-N777)</f>
        <v/>
      </c>
      <c r="AB777" s="17" t="str">
        <f aca="false">IF($D777="","",IF(OR($R777=TRUE(),$R777="TRUE"),Settings!$C$6,Settings!$C$7)*100)</f>
        <v/>
      </c>
      <c r="AH777" s="18" t="str">
        <f aca="false">IF($D777="","",IF(COUNTIF($D$2:$D777,$D777)=1,1,0))</f>
        <v/>
      </c>
      <c r="AI777" s="18" t="str">
        <f aca="false">IF($AH777=1,SUMPRODUCT(--($AK$2:$AK$4001&lt;$AK777))+1,"")</f>
        <v/>
      </c>
      <c r="AJ777" s="18" t="str">
        <f aca="false">IF($D777="","",IF(OR($R777=TRUE(),$R777="TRUE"),1,0))</f>
        <v/>
      </c>
      <c r="AK777" s="18" t="str">
        <f aca="false">IF($AH777=1,IFERROR(VALUE(MID($D777,2,20)),1000000000)+ROW()/10000000,"")</f>
        <v/>
      </c>
    </row>
    <row r="778" customFormat="false" ht="15" hidden="false" customHeight="false" outlineLevel="0" collapsed="false">
      <c r="F778" s="15"/>
      <c r="N778" s="16" t="str">
        <f aca="false">IF($D778="","",M778*Y778/100)</f>
        <v/>
      </c>
      <c r="V778" s="16" t="str">
        <f aca="false">IF($D778="","",Y778*AB778/100)</f>
        <v/>
      </c>
      <c r="W778" s="16" t="str">
        <f aca="false">IF($D778="","",Y778-V778)</f>
        <v/>
      </c>
      <c r="X778" s="16" t="str">
        <f aca="false">IF($D778="","",W778-N778)</f>
        <v/>
      </c>
      <c r="AB778" s="17" t="str">
        <f aca="false">IF($D778="","",IF(OR($R778=TRUE(),$R778="TRUE"),Settings!$C$6,Settings!$C$7)*100)</f>
        <v/>
      </c>
      <c r="AH778" s="18" t="str">
        <f aca="false">IF($D778="","",IF(COUNTIF($D$2:$D778,$D778)=1,1,0))</f>
        <v/>
      </c>
      <c r="AI778" s="18" t="str">
        <f aca="false">IF($AH778=1,SUMPRODUCT(--($AK$2:$AK$4001&lt;$AK778))+1,"")</f>
        <v/>
      </c>
      <c r="AJ778" s="18" t="str">
        <f aca="false">IF($D778="","",IF(OR($R778=TRUE(),$R778="TRUE"),1,0))</f>
        <v/>
      </c>
      <c r="AK778" s="18" t="str">
        <f aca="false">IF($AH778=1,IFERROR(VALUE(MID($D778,2,20)),1000000000)+ROW()/10000000,"")</f>
        <v/>
      </c>
    </row>
    <row r="779" customFormat="false" ht="15" hidden="false" customHeight="false" outlineLevel="0" collapsed="false">
      <c r="F779" s="15"/>
      <c r="N779" s="16" t="str">
        <f aca="false">IF($D779="","",M779*Y779/100)</f>
        <v/>
      </c>
      <c r="V779" s="16" t="str">
        <f aca="false">IF($D779="","",Y779*AB779/100)</f>
        <v/>
      </c>
      <c r="W779" s="16" t="str">
        <f aca="false">IF($D779="","",Y779-V779)</f>
        <v/>
      </c>
      <c r="X779" s="16" t="str">
        <f aca="false">IF($D779="","",W779-N779)</f>
        <v/>
      </c>
      <c r="AB779" s="17" t="str">
        <f aca="false">IF($D779="","",IF(OR($R779=TRUE(),$R779="TRUE"),Settings!$C$6,Settings!$C$7)*100)</f>
        <v/>
      </c>
      <c r="AH779" s="18" t="str">
        <f aca="false">IF($D779="","",IF(COUNTIF($D$2:$D779,$D779)=1,1,0))</f>
        <v/>
      </c>
      <c r="AI779" s="18" t="str">
        <f aca="false">IF($AH779=1,SUMPRODUCT(--($AK$2:$AK$4001&lt;$AK779))+1,"")</f>
        <v/>
      </c>
      <c r="AJ779" s="18" t="str">
        <f aca="false">IF($D779="","",IF(OR($R779=TRUE(),$R779="TRUE"),1,0))</f>
        <v/>
      </c>
      <c r="AK779" s="18" t="str">
        <f aca="false">IF($AH779=1,IFERROR(VALUE(MID($D779,2,20)),1000000000)+ROW()/10000000,"")</f>
        <v/>
      </c>
    </row>
    <row r="780" customFormat="false" ht="15" hidden="false" customHeight="false" outlineLevel="0" collapsed="false">
      <c r="F780" s="15"/>
      <c r="N780" s="16" t="str">
        <f aca="false">IF($D780="","",M780*Y780/100)</f>
        <v/>
      </c>
      <c r="V780" s="16" t="str">
        <f aca="false">IF($D780="","",Y780*AB780/100)</f>
        <v/>
      </c>
      <c r="W780" s="16" t="str">
        <f aca="false">IF($D780="","",Y780-V780)</f>
        <v/>
      </c>
      <c r="X780" s="16" t="str">
        <f aca="false">IF($D780="","",W780-N780)</f>
        <v/>
      </c>
      <c r="AB780" s="17" t="str">
        <f aca="false">IF($D780="","",IF(OR($R780=TRUE(),$R780="TRUE"),Settings!$C$6,Settings!$C$7)*100)</f>
        <v/>
      </c>
      <c r="AH780" s="18" t="str">
        <f aca="false">IF($D780="","",IF(COUNTIF($D$2:$D780,$D780)=1,1,0))</f>
        <v/>
      </c>
      <c r="AI780" s="18" t="str">
        <f aca="false">IF($AH780=1,SUMPRODUCT(--($AK$2:$AK$4001&lt;$AK780))+1,"")</f>
        <v/>
      </c>
      <c r="AJ780" s="18" t="str">
        <f aca="false">IF($D780="","",IF(OR($R780=TRUE(),$R780="TRUE"),1,0))</f>
        <v/>
      </c>
      <c r="AK780" s="18" t="str">
        <f aca="false">IF($AH780=1,IFERROR(VALUE(MID($D780,2,20)),1000000000)+ROW()/10000000,"")</f>
        <v/>
      </c>
    </row>
    <row r="781" customFormat="false" ht="15" hidden="false" customHeight="false" outlineLevel="0" collapsed="false">
      <c r="F781" s="15"/>
      <c r="N781" s="16" t="str">
        <f aca="false">IF($D781="","",M781*Y781/100)</f>
        <v/>
      </c>
      <c r="V781" s="16" t="str">
        <f aca="false">IF($D781="","",Y781*AB781/100)</f>
        <v/>
      </c>
      <c r="W781" s="16" t="str">
        <f aca="false">IF($D781="","",Y781-V781)</f>
        <v/>
      </c>
      <c r="X781" s="16" t="str">
        <f aca="false">IF($D781="","",W781-N781)</f>
        <v/>
      </c>
      <c r="AB781" s="17" t="str">
        <f aca="false">IF($D781="","",IF(OR($R781=TRUE(),$R781="TRUE"),Settings!$C$6,Settings!$C$7)*100)</f>
        <v/>
      </c>
      <c r="AH781" s="18" t="str">
        <f aca="false">IF($D781="","",IF(COUNTIF($D$2:$D781,$D781)=1,1,0))</f>
        <v/>
      </c>
      <c r="AI781" s="18" t="str">
        <f aca="false">IF($AH781=1,SUMPRODUCT(--($AK$2:$AK$4001&lt;$AK781))+1,"")</f>
        <v/>
      </c>
      <c r="AJ781" s="18" t="str">
        <f aca="false">IF($D781="","",IF(OR($R781=TRUE(),$R781="TRUE"),1,0))</f>
        <v/>
      </c>
      <c r="AK781" s="18" t="str">
        <f aca="false">IF($AH781=1,IFERROR(VALUE(MID($D781,2,20)),1000000000)+ROW()/10000000,"")</f>
        <v/>
      </c>
    </row>
    <row r="782" customFormat="false" ht="15" hidden="false" customHeight="false" outlineLevel="0" collapsed="false">
      <c r="F782" s="15"/>
      <c r="N782" s="16" t="str">
        <f aca="false">IF($D782="","",M782*Y782/100)</f>
        <v/>
      </c>
      <c r="V782" s="16" t="str">
        <f aca="false">IF($D782="","",Y782*AB782/100)</f>
        <v/>
      </c>
      <c r="W782" s="16" t="str">
        <f aca="false">IF($D782="","",Y782-V782)</f>
        <v/>
      </c>
      <c r="X782" s="16" t="str">
        <f aca="false">IF($D782="","",W782-N782)</f>
        <v/>
      </c>
      <c r="AB782" s="17" t="str">
        <f aca="false">IF($D782="","",IF(OR($R782=TRUE(),$R782="TRUE"),Settings!$C$6,Settings!$C$7)*100)</f>
        <v/>
      </c>
      <c r="AH782" s="18" t="str">
        <f aca="false">IF($D782="","",IF(COUNTIF($D$2:$D782,$D782)=1,1,0))</f>
        <v/>
      </c>
      <c r="AI782" s="18" t="str">
        <f aca="false">IF($AH782=1,SUMPRODUCT(--($AK$2:$AK$4001&lt;$AK782))+1,"")</f>
        <v/>
      </c>
      <c r="AJ782" s="18" t="str">
        <f aca="false">IF($D782="","",IF(OR($R782=TRUE(),$R782="TRUE"),1,0))</f>
        <v/>
      </c>
      <c r="AK782" s="18" t="str">
        <f aca="false">IF($AH782=1,IFERROR(VALUE(MID($D782,2,20)),1000000000)+ROW()/10000000,"")</f>
        <v/>
      </c>
    </row>
    <row r="783" customFormat="false" ht="15" hidden="false" customHeight="false" outlineLevel="0" collapsed="false">
      <c r="F783" s="15"/>
      <c r="N783" s="16" t="str">
        <f aca="false">IF($D783="","",M783*Y783/100)</f>
        <v/>
      </c>
      <c r="V783" s="16" t="str">
        <f aca="false">IF($D783="","",Y783*AB783/100)</f>
        <v/>
      </c>
      <c r="W783" s="16" t="str">
        <f aca="false">IF($D783="","",Y783-V783)</f>
        <v/>
      </c>
      <c r="X783" s="16" t="str">
        <f aca="false">IF($D783="","",W783-N783)</f>
        <v/>
      </c>
      <c r="AB783" s="17" t="str">
        <f aca="false">IF($D783="","",IF(OR($R783=TRUE(),$R783="TRUE"),Settings!$C$6,Settings!$C$7)*100)</f>
        <v/>
      </c>
      <c r="AH783" s="18" t="str">
        <f aca="false">IF($D783="","",IF(COUNTIF($D$2:$D783,$D783)=1,1,0))</f>
        <v/>
      </c>
      <c r="AI783" s="18" t="str">
        <f aca="false">IF($AH783=1,SUMPRODUCT(--($AK$2:$AK$4001&lt;$AK783))+1,"")</f>
        <v/>
      </c>
      <c r="AJ783" s="18" t="str">
        <f aca="false">IF($D783="","",IF(OR($R783=TRUE(),$R783="TRUE"),1,0))</f>
        <v/>
      </c>
      <c r="AK783" s="18" t="str">
        <f aca="false">IF($AH783=1,IFERROR(VALUE(MID($D783,2,20)),1000000000)+ROW()/10000000,"")</f>
        <v/>
      </c>
    </row>
    <row r="784" customFormat="false" ht="15" hidden="false" customHeight="false" outlineLevel="0" collapsed="false">
      <c r="F784" s="15"/>
      <c r="N784" s="16" t="str">
        <f aca="false">IF($D784="","",M784*Y784/100)</f>
        <v/>
      </c>
      <c r="V784" s="16" t="str">
        <f aca="false">IF($D784="","",Y784*AB784/100)</f>
        <v/>
      </c>
      <c r="W784" s="16" t="str">
        <f aca="false">IF($D784="","",Y784-V784)</f>
        <v/>
      </c>
      <c r="X784" s="16" t="str">
        <f aca="false">IF($D784="","",W784-N784)</f>
        <v/>
      </c>
      <c r="AB784" s="17" t="str">
        <f aca="false">IF($D784="","",IF(OR($R784=TRUE(),$R784="TRUE"),Settings!$C$6,Settings!$C$7)*100)</f>
        <v/>
      </c>
      <c r="AH784" s="18" t="str">
        <f aca="false">IF($D784="","",IF(COUNTIF($D$2:$D784,$D784)=1,1,0))</f>
        <v/>
      </c>
      <c r="AI784" s="18" t="str">
        <f aca="false">IF($AH784=1,SUMPRODUCT(--($AK$2:$AK$4001&lt;$AK784))+1,"")</f>
        <v/>
      </c>
      <c r="AJ784" s="18" t="str">
        <f aca="false">IF($D784="","",IF(OR($R784=TRUE(),$R784="TRUE"),1,0))</f>
        <v/>
      </c>
      <c r="AK784" s="18" t="str">
        <f aca="false">IF($AH784=1,IFERROR(VALUE(MID($D784,2,20)),1000000000)+ROW()/10000000,"")</f>
        <v/>
      </c>
    </row>
    <row r="785" customFormat="false" ht="15" hidden="false" customHeight="false" outlineLevel="0" collapsed="false">
      <c r="F785" s="15"/>
      <c r="N785" s="16" t="str">
        <f aca="false">IF($D785="","",M785*Y785/100)</f>
        <v/>
      </c>
      <c r="V785" s="16" t="str">
        <f aca="false">IF($D785="","",Y785*AB785/100)</f>
        <v/>
      </c>
      <c r="W785" s="16" t="str">
        <f aca="false">IF($D785="","",Y785-V785)</f>
        <v/>
      </c>
      <c r="X785" s="16" t="str">
        <f aca="false">IF($D785="","",W785-N785)</f>
        <v/>
      </c>
      <c r="AB785" s="17" t="str">
        <f aca="false">IF($D785="","",IF(OR($R785=TRUE(),$R785="TRUE"),Settings!$C$6,Settings!$C$7)*100)</f>
        <v/>
      </c>
      <c r="AH785" s="18" t="str">
        <f aca="false">IF($D785="","",IF(COUNTIF($D$2:$D785,$D785)=1,1,0))</f>
        <v/>
      </c>
      <c r="AI785" s="18" t="str">
        <f aca="false">IF($AH785=1,SUMPRODUCT(--($AK$2:$AK$4001&lt;$AK785))+1,"")</f>
        <v/>
      </c>
      <c r="AJ785" s="18" t="str">
        <f aca="false">IF($D785="","",IF(OR($R785=TRUE(),$R785="TRUE"),1,0))</f>
        <v/>
      </c>
      <c r="AK785" s="18" t="str">
        <f aca="false">IF($AH785=1,IFERROR(VALUE(MID($D785,2,20)),1000000000)+ROW()/10000000,"")</f>
        <v/>
      </c>
    </row>
    <row r="786" customFormat="false" ht="15" hidden="false" customHeight="false" outlineLevel="0" collapsed="false">
      <c r="F786" s="15"/>
      <c r="N786" s="16" t="str">
        <f aca="false">IF($D786="","",M786*Y786/100)</f>
        <v/>
      </c>
      <c r="V786" s="16" t="str">
        <f aca="false">IF($D786="","",Y786*AB786/100)</f>
        <v/>
      </c>
      <c r="W786" s="16" t="str">
        <f aca="false">IF($D786="","",Y786-V786)</f>
        <v/>
      </c>
      <c r="X786" s="16" t="str">
        <f aca="false">IF($D786="","",W786-N786)</f>
        <v/>
      </c>
      <c r="AB786" s="17" t="str">
        <f aca="false">IF($D786="","",IF(OR($R786=TRUE(),$R786="TRUE"),Settings!$C$6,Settings!$C$7)*100)</f>
        <v/>
      </c>
      <c r="AH786" s="18" t="str">
        <f aca="false">IF($D786="","",IF(COUNTIF($D$2:$D786,$D786)=1,1,0))</f>
        <v/>
      </c>
      <c r="AI786" s="18" t="str">
        <f aca="false">IF($AH786=1,SUMPRODUCT(--($AK$2:$AK$4001&lt;$AK786))+1,"")</f>
        <v/>
      </c>
      <c r="AJ786" s="18" t="str">
        <f aca="false">IF($D786="","",IF(OR($R786=TRUE(),$R786="TRUE"),1,0))</f>
        <v/>
      </c>
      <c r="AK786" s="18" t="str">
        <f aca="false">IF($AH786=1,IFERROR(VALUE(MID($D786,2,20)),1000000000)+ROW()/10000000,"")</f>
        <v/>
      </c>
    </row>
    <row r="787" customFormat="false" ht="15" hidden="false" customHeight="false" outlineLevel="0" collapsed="false">
      <c r="F787" s="15"/>
      <c r="N787" s="16" t="str">
        <f aca="false">IF($D787="","",M787*Y787/100)</f>
        <v/>
      </c>
      <c r="V787" s="16" t="str">
        <f aca="false">IF($D787="","",Y787*AB787/100)</f>
        <v/>
      </c>
      <c r="W787" s="16" t="str">
        <f aca="false">IF($D787="","",Y787-V787)</f>
        <v/>
      </c>
      <c r="X787" s="16" t="str">
        <f aca="false">IF($D787="","",W787-N787)</f>
        <v/>
      </c>
      <c r="AB787" s="17" t="str">
        <f aca="false">IF($D787="","",IF(OR($R787=TRUE(),$R787="TRUE"),Settings!$C$6,Settings!$C$7)*100)</f>
        <v/>
      </c>
      <c r="AH787" s="18" t="str">
        <f aca="false">IF($D787="","",IF(COUNTIF($D$2:$D787,$D787)=1,1,0))</f>
        <v/>
      </c>
      <c r="AI787" s="18" t="str">
        <f aca="false">IF($AH787=1,SUMPRODUCT(--($AK$2:$AK$4001&lt;$AK787))+1,"")</f>
        <v/>
      </c>
      <c r="AJ787" s="18" t="str">
        <f aca="false">IF($D787="","",IF(OR($R787=TRUE(),$R787="TRUE"),1,0))</f>
        <v/>
      </c>
      <c r="AK787" s="18" t="str">
        <f aca="false">IF($AH787=1,IFERROR(VALUE(MID($D787,2,20)),1000000000)+ROW()/10000000,"")</f>
        <v/>
      </c>
    </row>
    <row r="788" customFormat="false" ht="15" hidden="false" customHeight="false" outlineLevel="0" collapsed="false">
      <c r="F788" s="15"/>
      <c r="N788" s="16" t="str">
        <f aca="false">IF($D788="","",M788*Y788/100)</f>
        <v/>
      </c>
      <c r="V788" s="16" t="str">
        <f aca="false">IF($D788="","",Y788*AB788/100)</f>
        <v/>
      </c>
      <c r="W788" s="16" t="str">
        <f aca="false">IF($D788="","",Y788-V788)</f>
        <v/>
      </c>
      <c r="X788" s="16" t="str">
        <f aca="false">IF($D788="","",W788-N788)</f>
        <v/>
      </c>
      <c r="AB788" s="17" t="str">
        <f aca="false">IF($D788="","",IF(OR($R788=TRUE(),$R788="TRUE"),Settings!$C$6,Settings!$C$7)*100)</f>
        <v/>
      </c>
      <c r="AH788" s="18" t="str">
        <f aca="false">IF($D788="","",IF(COUNTIF($D$2:$D788,$D788)=1,1,0))</f>
        <v/>
      </c>
      <c r="AI788" s="18" t="str">
        <f aca="false">IF($AH788=1,SUMPRODUCT(--($AK$2:$AK$4001&lt;$AK788))+1,"")</f>
        <v/>
      </c>
      <c r="AJ788" s="18" t="str">
        <f aca="false">IF($D788="","",IF(OR($R788=TRUE(),$R788="TRUE"),1,0))</f>
        <v/>
      </c>
      <c r="AK788" s="18" t="str">
        <f aca="false">IF($AH788=1,IFERROR(VALUE(MID($D788,2,20)),1000000000)+ROW()/10000000,"")</f>
        <v/>
      </c>
    </row>
    <row r="789" customFormat="false" ht="15" hidden="false" customHeight="false" outlineLevel="0" collapsed="false">
      <c r="F789" s="15"/>
      <c r="N789" s="16" t="str">
        <f aca="false">IF($D789="","",M789*Y789/100)</f>
        <v/>
      </c>
      <c r="V789" s="16" t="str">
        <f aca="false">IF($D789="","",Y789*AB789/100)</f>
        <v/>
      </c>
      <c r="W789" s="16" t="str">
        <f aca="false">IF($D789="","",Y789-V789)</f>
        <v/>
      </c>
      <c r="X789" s="16" t="str">
        <f aca="false">IF($D789="","",W789-N789)</f>
        <v/>
      </c>
      <c r="AB789" s="17" t="str">
        <f aca="false">IF($D789="","",IF(OR($R789=TRUE(),$R789="TRUE"),Settings!$C$6,Settings!$C$7)*100)</f>
        <v/>
      </c>
      <c r="AH789" s="18" t="str">
        <f aca="false">IF($D789="","",IF(COUNTIF($D$2:$D789,$D789)=1,1,0))</f>
        <v/>
      </c>
      <c r="AI789" s="18" t="str">
        <f aca="false">IF($AH789=1,SUMPRODUCT(--($AK$2:$AK$4001&lt;$AK789))+1,"")</f>
        <v/>
      </c>
      <c r="AJ789" s="18" t="str">
        <f aca="false">IF($D789="","",IF(OR($R789=TRUE(),$R789="TRUE"),1,0))</f>
        <v/>
      </c>
      <c r="AK789" s="18" t="str">
        <f aca="false">IF($AH789=1,IFERROR(VALUE(MID($D789,2,20)),1000000000)+ROW()/10000000,"")</f>
        <v/>
      </c>
    </row>
    <row r="790" customFormat="false" ht="15" hidden="false" customHeight="false" outlineLevel="0" collapsed="false">
      <c r="F790" s="15"/>
      <c r="N790" s="16" t="str">
        <f aca="false">IF($D790="","",M790*Y790/100)</f>
        <v/>
      </c>
      <c r="V790" s="16" t="str">
        <f aca="false">IF($D790="","",Y790*AB790/100)</f>
        <v/>
      </c>
      <c r="W790" s="16" t="str">
        <f aca="false">IF($D790="","",Y790-V790)</f>
        <v/>
      </c>
      <c r="X790" s="16" t="str">
        <f aca="false">IF($D790="","",W790-N790)</f>
        <v/>
      </c>
      <c r="AB790" s="17" t="str">
        <f aca="false">IF($D790="","",IF(OR($R790=TRUE(),$R790="TRUE"),Settings!$C$6,Settings!$C$7)*100)</f>
        <v/>
      </c>
      <c r="AH790" s="18" t="str">
        <f aca="false">IF($D790="","",IF(COUNTIF($D$2:$D790,$D790)=1,1,0))</f>
        <v/>
      </c>
      <c r="AI790" s="18" t="str">
        <f aca="false">IF($AH790=1,SUMPRODUCT(--($AK$2:$AK$4001&lt;$AK790))+1,"")</f>
        <v/>
      </c>
      <c r="AJ790" s="18" t="str">
        <f aca="false">IF($D790="","",IF(OR($R790=TRUE(),$R790="TRUE"),1,0))</f>
        <v/>
      </c>
      <c r="AK790" s="18" t="str">
        <f aca="false">IF($AH790=1,IFERROR(VALUE(MID($D790,2,20)),1000000000)+ROW()/10000000,"")</f>
        <v/>
      </c>
    </row>
    <row r="791" customFormat="false" ht="15" hidden="false" customHeight="false" outlineLevel="0" collapsed="false">
      <c r="F791" s="15"/>
      <c r="N791" s="16" t="str">
        <f aca="false">IF($D791="","",M791*Y791/100)</f>
        <v/>
      </c>
      <c r="V791" s="16" t="str">
        <f aca="false">IF($D791="","",Y791*AB791/100)</f>
        <v/>
      </c>
      <c r="W791" s="16" t="str">
        <f aca="false">IF($D791="","",Y791-V791)</f>
        <v/>
      </c>
      <c r="X791" s="16" t="str">
        <f aca="false">IF($D791="","",W791-N791)</f>
        <v/>
      </c>
      <c r="AB791" s="17" t="str">
        <f aca="false">IF($D791="","",IF(OR($R791=TRUE(),$R791="TRUE"),Settings!$C$6,Settings!$C$7)*100)</f>
        <v/>
      </c>
      <c r="AH791" s="18" t="str">
        <f aca="false">IF($D791="","",IF(COUNTIF($D$2:$D791,$D791)=1,1,0))</f>
        <v/>
      </c>
      <c r="AI791" s="18" t="str">
        <f aca="false">IF($AH791=1,SUMPRODUCT(--($AK$2:$AK$4001&lt;$AK791))+1,"")</f>
        <v/>
      </c>
      <c r="AJ791" s="18" t="str">
        <f aca="false">IF($D791="","",IF(OR($R791=TRUE(),$R791="TRUE"),1,0))</f>
        <v/>
      </c>
      <c r="AK791" s="18" t="str">
        <f aca="false">IF($AH791=1,IFERROR(VALUE(MID($D791,2,20)),1000000000)+ROW()/10000000,"")</f>
        <v/>
      </c>
    </row>
    <row r="792" customFormat="false" ht="15" hidden="false" customHeight="false" outlineLevel="0" collapsed="false">
      <c r="F792" s="15"/>
      <c r="N792" s="16" t="str">
        <f aca="false">IF($D792="","",M792*Y792/100)</f>
        <v/>
      </c>
      <c r="V792" s="16" t="str">
        <f aca="false">IF($D792="","",Y792*AB792/100)</f>
        <v/>
      </c>
      <c r="W792" s="16" t="str">
        <f aca="false">IF($D792="","",Y792-V792)</f>
        <v/>
      </c>
      <c r="X792" s="16" t="str">
        <f aca="false">IF($D792="","",W792-N792)</f>
        <v/>
      </c>
      <c r="AB792" s="17" t="str">
        <f aca="false">IF($D792="","",IF(OR($R792=TRUE(),$R792="TRUE"),Settings!$C$6,Settings!$C$7)*100)</f>
        <v/>
      </c>
      <c r="AH792" s="18" t="str">
        <f aca="false">IF($D792="","",IF(COUNTIF($D$2:$D792,$D792)=1,1,0))</f>
        <v/>
      </c>
      <c r="AI792" s="18" t="str">
        <f aca="false">IF($AH792=1,SUMPRODUCT(--($AK$2:$AK$4001&lt;$AK792))+1,"")</f>
        <v/>
      </c>
      <c r="AJ792" s="18" t="str">
        <f aca="false">IF($D792="","",IF(OR($R792=TRUE(),$R792="TRUE"),1,0))</f>
        <v/>
      </c>
      <c r="AK792" s="18" t="str">
        <f aca="false">IF($AH792=1,IFERROR(VALUE(MID($D792,2,20)),1000000000)+ROW()/10000000,"")</f>
        <v/>
      </c>
    </row>
    <row r="793" customFormat="false" ht="15" hidden="false" customHeight="false" outlineLevel="0" collapsed="false">
      <c r="F793" s="15"/>
      <c r="N793" s="16" t="str">
        <f aca="false">IF($D793="","",M793*Y793/100)</f>
        <v/>
      </c>
      <c r="V793" s="16" t="str">
        <f aca="false">IF($D793="","",Y793*AB793/100)</f>
        <v/>
      </c>
      <c r="W793" s="16" t="str">
        <f aca="false">IF($D793="","",Y793-V793)</f>
        <v/>
      </c>
      <c r="X793" s="16" t="str">
        <f aca="false">IF($D793="","",W793-N793)</f>
        <v/>
      </c>
      <c r="AB793" s="17" t="str">
        <f aca="false">IF($D793="","",IF(OR($R793=TRUE(),$R793="TRUE"),Settings!$C$6,Settings!$C$7)*100)</f>
        <v/>
      </c>
      <c r="AH793" s="18" t="str">
        <f aca="false">IF($D793="","",IF(COUNTIF($D$2:$D793,$D793)=1,1,0))</f>
        <v/>
      </c>
      <c r="AI793" s="18" t="str">
        <f aca="false">IF($AH793=1,SUMPRODUCT(--($AK$2:$AK$4001&lt;$AK793))+1,"")</f>
        <v/>
      </c>
      <c r="AJ793" s="18" t="str">
        <f aca="false">IF($D793="","",IF(OR($R793=TRUE(),$R793="TRUE"),1,0))</f>
        <v/>
      </c>
      <c r="AK793" s="18" t="str">
        <f aca="false">IF($AH793=1,IFERROR(VALUE(MID($D793,2,20)),1000000000)+ROW()/10000000,"")</f>
        <v/>
      </c>
    </row>
    <row r="794" customFormat="false" ht="15" hidden="false" customHeight="false" outlineLevel="0" collapsed="false">
      <c r="F794" s="15"/>
      <c r="N794" s="16" t="str">
        <f aca="false">IF($D794="","",M794*Y794/100)</f>
        <v/>
      </c>
      <c r="V794" s="16" t="str">
        <f aca="false">IF($D794="","",Y794*AB794/100)</f>
        <v/>
      </c>
      <c r="W794" s="16" t="str">
        <f aca="false">IF($D794="","",Y794-V794)</f>
        <v/>
      </c>
      <c r="X794" s="16" t="str">
        <f aca="false">IF($D794="","",W794-N794)</f>
        <v/>
      </c>
      <c r="AB794" s="17" t="str">
        <f aca="false">IF($D794="","",IF(OR($R794=TRUE(),$R794="TRUE"),Settings!$C$6,Settings!$C$7)*100)</f>
        <v/>
      </c>
      <c r="AH794" s="18" t="str">
        <f aca="false">IF($D794="","",IF(COUNTIF($D$2:$D794,$D794)=1,1,0))</f>
        <v/>
      </c>
      <c r="AI794" s="18" t="str">
        <f aca="false">IF($AH794=1,SUMPRODUCT(--($AK$2:$AK$4001&lt;$AK794))+1,"")</f>
        <v/>
      </c>
      <c r="AJ794" s="18" t="str">
        <f aca="false">IF($D794="","",IF(OR($R794=TRUE(),$R794="TRUE"),1,0))</f>
        <v/>
      </c>
      <c r="AK794" s="18" t="str">
        <f aca="false">IF($AH794=1,IFERROR(VALUE(MID($D794,2,20)),1000000000)+ROW()/10000000,"")</f>
        <v/>
      </c>
    </row>
    <row r="795" customFormat="false" ht="15" hidden="false" customHeight="false" outlineLevel="0" collapsed="false">
      <c r="F795" s="15"/>
      <c r="N795" s="16" t="str">
        <f aca="false">IF($D795="","",M795*Y795/100)</f>
        <v/>
      </c>
      <c r="V795" s="16" t="str">
        <f aca="false">IF($D795="","",Y795*AB795/100)</f>
        <v/>
      </c>
      <c r="W795" s="16" t="str">
        <f aca="false">IF($D795="","",Y795-V795)</f>
        <v/>
      </c>
      <c r="X795" s="16" t="str">
        <f aca="false">IF($D795="","",W795-N795)</f>
        <v/>
      </c>
      <c r="AB795" s="17" t="str">
        <f aca="false">IF($D795="","",IF(OR($R795=TRUE(),$R795="TRUE"),Settings!$C$6,Settings!$C$7)*100)</f>
        <v/>
      </c>
      <c r="AH795" s="18" t="str">
        <f aca="false">IF($D795="","",IF(COUNTIF($D$2:$D795,$D795)=1,1,0))</f>
        <v/>
      </c>
      <c r="AI795" s="18" t="str">
        <f aca="false">IF($AH795=1,SUMPRODUCT(--($AK$2:$AK$4001&lt;$AK795))+1,"")</f>
        <v/>
      </c>
      <c r="AJ795" s="18" t="str">
        <f aca="false">IF($D795="","",IF(OR($R795=TRUE(),$R795="TRUE"),1,0))</f>
        <v/>
      </c>
      <c r="AK795" s="18" t="str">
        <f aca="false">IF($AH795=1,IFERROR(VALUE(MID($D795,2,20)),1000000000)+ROW()/10000000,"")</f>
        <v/>
      </c>
    </row>
    <row r="796" customFormat="false" ht="15" hidden="false" customHeight="false" outlineLevel="0" collapsed="false">
      <c r="F796" s="15"/>
      <c r="N796" s="16" t="str">
        <f aca="false">IF($D796="","",M796*Y796/100)</f>
        <v/>
      </c>
      <c r="V796" s="16" t="str">
        <f aca="false">IF($D796="","",Y796*AB796/100)</f>
        <v/>
      </c>
      <c r="W796" s="16" t="str">
        <f aca="false">IF($D796="","",Y796-V796)</f>
        <v/>
      </c>
      <c r="X796" s="16" t="str">
        <f aca="false">IF($D796="","",W796-N796)</f>
        <v/>
      </c>
      <c r="AB796" s="17" t="str">
        <f aca="false">IF($D796="","",IF(OR($R796=TRUE(),$R796="TRUE"),Settings!$C$6,Settings!$C$7)*100)</f>
        <v/>
      </c>
      <c r="AH796" s="18" t="str">
        <f aca="false">IF($D796="","",IF(COUNTIF($D$2:$D796,$D796)=1,1,0))</f>
        <v/>
      </c>
      <c r="AI796" s="18" t="str">
        <f aca="false">IF($AH796=1,SUMPRODUCT(--($AK$2:$AK$4001&lt;$AK796))+1,"")</f>
        <v/>
      </c>
      <c r="AJ796" s="18" t="str">
        <f aca="false">IF($D796="","",IF(OR($R796=TRUE(),$R796="TRUE"),1,0))</f>
        <v/>
      </c>
      <c r="AK796" s="18" t="str">
        <f aca="false">IF($AH796=1,IFERROR(VALUE(MID($D796,2,20)),1000000000)+ROW()/10000000,"")</f>
        <v/>
      </c>
    </row>
    <row r="797" customFormat="false" ht="15" hidden="false" customHeight="false" outlineLevel="0" collapsed="false">
      <c r="F797" s="15"/>
      <c r="N797" s="16" t="str">
        <f aca="false">IF($D797="","",M797*Y797/100)</f>
        <v/>
      </c>
      <c r="V797" s="16" t="str">
        <f aca="false">IF($D797="","",Y797*AB797/100)</f>
        <v/>
      </c>
      <c r="W797" s="16" t="str">
        <f aca="false">IF($D797="","",Y797-V797)</f>
        <v/>
      </c>
      <c r="X797" s="16" t="str">
        <f aca="false">IF($D797="","",W797-N797)</f>
        <v/>
      </c>
      <c r="AB797" s="17" t="str">
        <f aca="false">IF($D797="","",IF(OR($R797=TRUE(),$R797="TRUE"),Settings!$C$6,Settings!$C$7)*100)</f>
        <v/>
      </c>
      <c r="AH797" s="18" t="str">
        <f aca="false">IF($D797="","",IF(COUNTIF($D$2:$D797,$D797)=1,1,0))</f>
        <v/>
      </c>
      <c r="AI797" s="18" t="str">
        <f aca="false">IF($AH797=1,SUMPRODUCT(--($AK$2:$AK$4001&lt;$AK797))+1,"")</f>
        <v/>
      </c>
      <c r="AJ797" s="18" t="str">
        <f aca="false">IF($D797="","",IF(OR($R797=TRUE(),$R797="TRUE"),1,0))</f>
        <v/>
      </c>
      <c r="AK797" s="18" t="str">
        <f aca="false">IF($AH797=1,IFERROR(VALUE(MID($D797,2,20)),1000000000)+ROW()/10000000,"")</f>
        <v/>
      </c>
    </row>
    <row r="798" customFormat="false" ht="15" hidden="false" customHeight="false" outlineLevel="0" collapsed="false">
      <c r="F798" s="15"/>
      <c r="N798" s="16" t="str">
        <f aca="false">IF($D798="","",M798*Y798/100)</f>
        <v/>
      </c>
      <c r="V798" s="16" t="str">
        <f aca="false">IF($D798="","",Y798*AB798/100)</f>
        <v/>
      </c>
      <c r="W798" s="16" t="str">
        <f aca="false">IF($D798="","",Y798-V798)</f>
        <v/>
      </c>
      <c r="X798" s="16" t="str">
        <f aca="false">IF($D798="","",W798-N798)</f>
        <v/>
      </c>
      <c r="AB798" s="17" t="str">
        <f aca="false">IF($D798="","",IF(OR($R798=TRUE(),$R798="TRUE"),Settings!$C$6,Settings!$C$7)*100)</f>
        <v/>
      </c>
      <c r="AH798" s="18" t="str">
        <f aca="false">IF($D798="","",IF(COUNTIF($D$2:$D798,$D798)=1,1,0))</f>
        <v/>
      </c>
      <c r="AI798" s="18" t="str">
        <f aca="false">IF($AH798=1,SUMPRODUCT(--($AK$2:$AK$4001&lt;$AK798))+1,"")</f>
        <v/>
      </c>
      <c r="AJ798" s="18" t="str">
        <f aca="false">IF($D798="","",IF(OR($R798=TRUE(),$R798="TRUE"),1,0))</f>
        <v/>
      </c>
      <c r="AK798" s="18" t="str">
        <f aca="false">IF($AH798=1,IFERROR(VALUE(MID($D798,2,20)),1000000000)+ROW()/10000000,"")</f>
        <v/>
      </c>
    </row>
    <row r="799" customFormat="false" ht="15" hidden="false" customHeight="false" outlineLevel="0" collapsed="false">
      <c r="F799" s="15"/>
      <c r="N799" s="16" t="str">
        <f aca="false">IF($D799="","",M799*Y799/100)</f>
        <v/>
      </c>
      <c r="V799" s="16" t="str">
        <f aca="false">IF($D799="","",Y799*AB799/100)</f>
        <v/>
      </c>
      <c r="W799" s="16" t="str">
        <f aca="false">IF($D799="","",Y799-V799)</f>
        <v/>
      </c>
      <c r="X799" s="16" t="str">
        <f aca="false">IF($D799="","",W799-N799)</f>
        <v/>
      </c>
      <c r="AB799" s="17" t="str">
        <f aca="false">IF($D799="","",IF(OR($R799=TRUE(),$R799="TRUE"),Settings!$C$6,Settings!$C$7)*100)</f>
        <v/>
      </c>
      <c r="AH799" s="18" t="str">
        <f aca="false">IF($D799="","",IF(COUNTIF($D$2:$D799,$D799)=1,1,0))</f>
        <v/>
      </c>
      <c r="AI799" s="18" t="str">
        <f aca="false">IF($AH799=1,SUMPRODUCT(--($AK$2:$AK$4001&lt;$AK799))+1,"")</f>
        <v/>
      </c>
      <c r="AJ799" s="18" t="str">
        <f aca="false">IF($D799="","",IF(OR($R799=TRUE(),$R799="TRUE"),1,0))</f>
        <v/>
      </c>
      <c r="AK799" s="18" t="str">
        <f aca="false">IF($AH799=1,IFERROR(VALUE(MID($D799,2,20)),1000000000)+ROW()/10000000,"")</f>
        <v/>
      </c>
    </row>
    <row r="800" customFormat="false" ht="15" hidden="false" customHeight="false" outlineLevel="0" collapsed="false">
      <c r="F800" s="15"/>
      <c r="N800" s="16" t="str">
        <f aca="false">IF($D800="","",M800*Y800/100)</f>
        <v/>
      </c>
      <c r="V800" s="16" t="str">
        <f aca="false">IF($D800="","",Y800*AB800/100)</f>
        <v/>
      </c>
      <c r="W800" s="16" t="str">
        <f aca="false">IF($D800="","",Y800-V800)</f>
        <v/>
      </c>
      <c r="X800" s="16" t="str">
        <f aca="false">IF($D800="","",W800-N800)</f>
        <v/>
      </c>
      <c r="AB800" s="17" t="str">
        <f aca="false">IF($D800="","",IF(OR($R800=TRUE(),$R800="TRUE"),Settings!$C$6,Settings!$C$7)*100)</f>
        <v/>
      </c>
      <c r="AH800" s="18" t="str">
        <f aca="false">IF($D800="","",IF(COUNTIF($D$2:$D800,$D800)=1,1,0))</f>
        <v/>
      </c>
      <c r="AI800" s="18" t="str">
        <f aca="false">IF($AH800=1,SUMPRODUCT(--($AK$2:$AK$4001&lt;$AK800))+1,"")</f>
        <v/>
      </c>
      <c r="AJ800" s="18" t="str">
        <f aca="false">IF($D800="","",IF(OR($R800=TRUE(),$R800="TRUE"),1,0))</f>
        <v/>
      </c>
      <c r="AK800" s="18" t="str">
        <f aca="false">IF($AH800=1,IFERROR(VALUE(MID($D800,2,20)),1000000000)+ROW()/10000000,"")</f>
        <v/>
      </c>
    </row>
    <row r="801" customFormat="false" ht="15" hidden="false" customHeight="false" outlineLevel="0" collapsed="false">
      <c r="F801" s="15"/>
      <c r="N801" s="16" t="str">
        <f aca="false">IF($D801="","",M801*Y801/100)</f>
        <v/>
      </c>
      <c r="V801" s="16" t="str">
        <f aca="false">IF($D801="","",Y801*AB801/100)</f>
        <v/>
      </c>
      <c r="W801" s="16" t="str">
        <f aca="false">IF($D801="","",Y801-V801)</f>
        <v/>
      </c>
      <c r="X801" s="16" t="str">
        <f aca="false">IF($D801="","",W801-N801)</f>
        <v/>
      </c>
      <c r="AB801" s="17" t="str">
        <f aca="false">IF($D801="","",IF(OR($R801=TRUE(),$R801="TRUE"),Settings!$C$6,Settings!$C$7)*100)</f>
        <v/>
      </c>
      <c r="AH801" s="18" t="str">
        <f aca="false">IF($D801="","",IF(COUNTIF($D$2:$D801,$D801)=1,1,0))</f>
        <v/>
      </c>
      <c r="AI801" s="18" t="str">
        <f aca="false">IF($AH801=1,SUMPRODUCT(--($AK$2:$AK$4001&lt;$AK801))+1,"")</f>
        <v/>
      </c>
      <c r="AJ801" s="18" t="str">
        <f aca="false">IF($D801="","",IF(OR($R801=TRUE(),$R801="TRUE"),1,0))</f>
        <v/>
      </c>
      <c r="AK801" s="18" t="str">
        <f aca="false">IF($AH801=1,IFERROR(VALUE(MID($D801,2,20)),1000000000)+ROW()/10000000,"")</f>
        <v/>
      </c>
    </row>
    <row r="802" customFormat="false" ht="15" hidden="false" customHeight="false" outlineLevel="0" collapsed="false">
      <c r="F802" s="15"/>
      <c r="N802" s="16" t="str">
        <f aca="false">IF($D802="","",M802*Y802/100)</f>
        <v/>
      </c>
      <c r="V802" s="16" t="str">
        <f aca="false">IF($D802="","",Y802*AB802/100)</f>
        <v/>
      </c>
      <c r="W802" s="16" t="str">
        <f aca="false">IF($D802="","",Y802-V802)</f>
        <v/>
      </c>
      <c r="X802" s="16" t="str">
        <f aca="false">IF($D802="","",W802-N802)</f>
        <v/>
      </c>
      <c r="AB802" s="17" t="str">
        <f aca="false">IF($D802="","",IF(OR($R802=TRUE(),$R802="TRUE"),Settings!$C$6,Settings!$C$7)*100)</f>
        <v/>
      </c>
      <c r="AH802" s="18" t="str">
        <f aca="false">IF($D802="","",IF(COUNTIF($D$2:$D802,$D802)=1,1,0))</f>
        <v/>
      </c>
      <c r="AI802" s="18" t="str">
        <f aca="false">IF($AH802=1,SUMPRODUCT(--($AK$2:$AK$4001&lt;$AK802))+1,"")</f>
        <v/>
      </c>
      <c r="AJ802" s="18" t="str">
        <f aca="false">IF($D802="","",IF(OR($R802=TRUE(),$R802="TRUE"),1,0))</f>
        <v/>
      </c>
      <c r="AK802" s="18" t="str">
        <f aca="false">IF($AH802=1,IFERROR(VALUE(MID($D802,2,20)),1000000000)+ROW()/10000000,"")</f>
        <v/>
      </c>
    </row>
    <row r="803" customFormat="false" ht="15" hidden="false" customHeight="false" outlineLevel="0" collapsed="false">
      <c r="F803" s="15"/>
      <c r="N803" s="16" t="str">
        <f aca="false">IF($D803="","",M803*Y803/100)</f>
        <v/>
      </c>
      <c r="V803" s="16" t="str">
        <f aca="false">IF($D803="","",Y803*AB803/100)</f>
        <v/>
      </c>
      <c r="W803" s="16" t="str">
        <f aca="false">IF($D803="","",Y803-V803)</f>
        <v/>
      </c>
      <c r="X803" s="16" t="str">
        <f aca="false">IF($D803="","",W803-N803)</f>
        <v/>
      </c>
      <c r="AB803" s="17" t="str">
        <f aca="false">IF($D803="","",IF(OR($R803=TRUE(),$R803="TRUE"),Settings!$C$6,Settings!$C$7)*100)</f>
        <v/>
      </c>
      <c r="AH803" s="18" t="str">
        <f aca="false">IF($D803="","",IF(COUNTIF($D$2:$D803,$D803)=1,1,0))</f>
        <v/>
      </c>
      <c r="AI803" s="18" t="str">
        <f aca="false">IF($AH803=1,SUMPRODUCT(--($AK$2:$AK$4001&lt;$AK803))+1,"")</f>
        <v/>
      </c>
      <c r="AJ803" s="18" t="str">
        <f aca="false">IF($D803="","",IF(OR($R803=TRUE(),$R803="TRUE"),1,0))</f>
        <v/>
      </c>
      <c r="AK803" s="18" t="str">
        <f aca="false">IF($AH803=1,IFERROR(VALUE(MID($D803,2,20)),1000000000)+ROW()/10000000,"")</f>
        <v/>
      </c>
    </row>
    <row r="804" customFormat="false" ht="15" hidden="false" customHeight="false" outlineLevel="0" collapsed="false">
      <c r="F804" s="15"/>
      <c r="N804" s="16" t="str">
        <f aca="false">IF($D804="","",M804*Y804/100)</f>
        <v/>
      </c>
      <c r="V804" s="16" t="str">
        <f aca="false">IF($D804="","",Y804*AB804/100)</f>
        <v/>
      </c>
      <c r="W804" s="16" t="str">
        <f aca="false">IF($D804="","",Y804-V804)</f>
        <v/>
      </c>
      <c r="X804" s="16" t="str">
        <f aca="false">IF($D804="","",W804-N804)</f>
        <v/>
      </c>
      <c r="AB804" s="17" t="str">
        <f aca="false">IF($D804="","",IF(OR($R804=TRUE(),$R804="TRUE"),Settings!$C$6,Settings!$C$7)*100)</f>
        <v/>
      </c>
      <c r="AH804" s="18" t="str">
        <f aca="false">IF($D804="","",IF(COUNTIF($D$2:$D804,$D804)=1,1,0))</f>
        <v/>
      </c>
      <c r="AI804" s="18" t="str">
        <f aca="false">IF($AH804=1,SUMPRODUCT(--($AK$2:$AK$4001&lt;$AK804))+1,"")</f>
        <v/>
      </c>
      <c r="AJ804" s="18" t="str">
        <f aca="false">IF($D804="","",IF(OR($R804=TRUE(),$R804="TRUE"),1,0))</f>
        <v/>
      </c>
      <c r="AK804" s="18" t="str">
        <f aca="false">IF($AH804=1,IFERROR(VALUE(MID($D804,2,20)),1000000000)+ROW()/10000000,"")</f>
        <v/>
      </c>
    </row>
    <row r="805" customFormat="false" ht="15" hidden="false" customHeight="false" outlineLevel="0" collapsed="false">
      <c r="F805" s="15"/>
      <c r="N805" s="16" t="str">
        <f aca="false">IF($D805="","",M805*Y805/100)</f>
        <v/>
      </c>
      <c r="V805" s="16" t="str">
        <f aca="false">IF($D805="","",Y805*AB805/100)</f>
        <v/>
      </c>
      <c r="W805" s="16" t="str">
        <f aca="false">IF($D805="","",Y805-V805)</f>
        <v/>
      </c>
      <c r="X805" s="16" t="str">
        <f aca="false">IF($D805="","",W805-N805)</f>
        <v/>
      </c>
      <c r="AB805" s="17" t="str">
        <f aca="false">IF($D805="","",IF(OR($R805=TRUE(),$R805="TRUE"),Settings!$C$6,Settings!$C$7)*100)</f>
        <v/>
      </c>
      <c r="AH805" s="18" t="str">
        <f aca="false">IF($D805="","",IF(COUNTIF($D$2:$D805,$D805)=1,1,0))</f>
        <v/>
      </c>
      <c r="AI805" s="18" t="str">
        <f aca="false">IF($AH805=1,SUMPRODUCT(--($AK$2:$AK$4001&lt;$AK805))+1,"")</f>
        <v/>
      </c>
      <c r="AJ805" s="18" t="str">
        <f aca="false">IF($D805="","",IF(OR($R805=TRUE(),$R805="TRUE"),1,0))</f>
        <v/>
      </c>
      <c r="AK805" s="18" t="str">
        <f aca="false">IF($AH805=1,IFERROR(VALUE(MID($D805,2,20)),1000000000)+ROW()/10000000,"")</f>
        <v/>
      </c>
    </row>
    <row r="806" customFormat="false" ht="15" hidden="false" customHeight="false" outlineLevel="0" collapsed="false">
      <c r="F806" s="15"/>
      <c r="N806" s="16" t="str">
        <f aca="false">IF($D806="","",M806*Y806/100)</f>
        <v/>
      </c>
      <c r="V806" s="16" t="str">
        <f aca="false">IF($D806="","",Y806*AB806/100)</f>
        <v/>
      </c>
      <c r="W806" s="16" t="str">
        <f aca="false">IF($D806="","",Y806-V806)</f>
        <v/>
      </c>
      <c r="X806" s="16" t="str">
        <f aca="false">IF($D806="","",W806-N806)</f>
        <v/>
      </c>
      <c r="AB806" s="17" t="str">
        <f aca="false">IF($D806="","",IF(OR($R806=TRUE(),$R806="TRUE"),Settings!$C$6,Settings!$C$7)*100)</f>
        <v/>
      </c>
      <c r="AH806" s="18" t="str">
        <f aca="false">IF($D806="","",IF(COUNTIF($D$2:$D806,$D806)=1,1,0))</f>
        <v/>
      </c>
      <c r="AI806" s="18" t="str">
        <f aca="false">IF($AH806=1,SUMPRODUCT(--($AK$2:$AK$4001&lt;$AK806))+1,"")</f>
        <v/>
      </c>
      <c r="AJ806" s="18" t="str">
        <f aca="false">IF($D806="","",IF(OR($R806=TRUE(),$R806="TRUE"),1,0))</f>
        <v/>
      </c>
      <c r="AK806" s="18" t="str">
        <f aca="false">IF($AH806=1,IFERROR(VALUE(MID($D806,2,20)),1000000000)+ROW()/10000000,"")</f>
        <v/>
      </c>
    </row>
    <row r="807" customFormat="false" ht="15" hidden="false" customHeight="false" outlineLevel="0" collapsed="false">
      <c r="F807" s="15"/>
      <c r="N807" s="16" t="str">
        <f aca="false">IF($D807="","",M807*Y807/100)</f>
        <v/>
      </c>
      <c r="V807" s="16" t="str">
        <f aca="false">IF($D807="","",Y807*AB807/100)</f>
        <v/>
      </c>
      <c r="W807" s="16" t="str">
        <f aca="false">IF($D807="","",Y807-V807)</f>
        <v/>
      </c>
      <c r="X807" s="16" t="str">
        <f aca="false">IF($D807="","",W807-N807)</f>
        <v/>
      </c>
      <c r="AB807" s="17" t="str">
        <f aca="false">IF($D807="","",IF(OR($R807=TRUE(),$R807="TRUE"),Settings!$C$6,Settings!$C$7)*100)</f>
        <v/>
      </c>
      <c r="AH807" s="18" t="str">
        <f aca="false">IF($D807="","",IF(COUNTIF($D$2:$D807,$D807)=1,1,0))</f>
        <v/>
      </c>
      <c r="AI807" s="18" t="str">
        <f aca="false">IF($AH807=1,SUMPRODUCT(--($AK$2:$AK$4001&lt;$AK807))+1,"")</f>
        <v/>
      </c>
      <c r="AJ807" s="18" t="str">
        <f aca="false">IF($D807="","",IF(OR($R807=TRUE(),$R807="TRUE"),1,0))</f>
        <v/>
      </c>
      <c r="AK807" s="18" t="str">
        <f aca="false">IF($AH807=1,IFERROR(VALUE(MID($D807,2,20)),1000000000)+ROW()/10000000,"")</f>
        <v/>
      </c>
    </row>
    <row r="808" customFormat="false" ht="15" hidden="false" customHeight="false" outlineLevel="0" collapsed="false">
      <c r="F808" s="15"/>
      <c r="N808" s="16" t="str">
        <f aca="false">IF($D808="","",M808*Y808/100)</f>
        <v/>
      </c>
      <c r="V808" s="16" t="str">
        <f aca="false">IF($D808="","",Y808*AB808/100)</f>
        <v/>
      </c>
      <c r="W808" s="16" t="str">
        <f aca="false">IF($D808="","",Y808-V808)</f>
        <v/>
      </c>
      <c r="X808" s="16" t="str">
        <f aca="false">IF($D808="","",W808-N808)</f>
        <v/>
      </c>
      <c r="AB808" s="17" t="str">
        <f aca="false">IF($D808="","",IF(OR($R808=TRUE(),$R808="TRUE"),Settings!$C$6,Settings!$C$7)*100)</f>
        <v/>
      </c>
      <c r="AH808" s="18" t="str">
        <f aca="false">IF($D808="","",IF(COUNTIF($D$2:$D808,$D808)=1,1,0))</f>
        <v/>
      </c>
      <c r="AI808" s="18" t="str">
        <f aca="false">IF($AH808=1,SUMPRODUCT(--($AK$2:$AK$4001&lt;$AK808))+1,"")</f>
        <v/>
      </c>
      <c r="AJ808" s="18" t="str">
        <f aca="false">IF($D808="","",IF(OR($R808=TRUE(),$R808="TRUE"),1,0))</f>
        <v/>
      </c>
      <c r="AK808" s="18" t="str">
        <f aca="false">IF($AH808=1,IFERROR(VALUE(MID($D808,2,20)),1000000000)+ROW()/10000000,"")</f>
        <v/>
      </c>
    </row>
    <row r="809" customFormat="false" ht="15" hidden="false" customHeight="false" outlineLevel="0" collapsed="false">
      <c r="F809" s="15"/>
      <c r="N809" s="16" t="str">
        <f aca="false">IF($D809="","",M809*Y809/100)</f>
        <v/>
      </c>
      <c r="V809" s="16" t="str">
        <f aca="false">IF($D809="","",Y809*AB809/100)</f>
        <v/>
      </c>
      <c r="W809" s="16" t="str">
        <f aca="false">IF($D809="","",Y809-V809)</f>
        <v/>
      </c>
      <c r="X809" s="16" t="str">
        <f aca="false">IF($D809="","",W809-N809)</f>
        <v/>
      </c>
      <c r="AB809" s="17" t="str">
        <f aca="false">IF($D809="","",IF(OR($R809=TRUE(),$R809="TRUE"),Settings!$C$6,Settings!$C$7)*100)</f>
        <v/>
      </c>
      <c r="AH809" s="18" t="str">
        <f aca="false">IF($D809="","",IF(COUNTIF($D$2:$D809,$D809)=1,1,0))</f>
        <v/>
      </c>
      <c r="AI809" s="18" t="str">
        <f aca="false">IF($AH809=1,SUMPRODUCT(--($AK$2:$AK$4001&lt;$AK809))+1,"")</f>
        <v/>
      </c>
      <c r="AJ809" s="18" t="str">
        <f aca="false">IF($D809="","",IF(OR($R809=TRUE(),$R809="TRUE"),1,0))</f>
        <v/>
      </c>
      <c r="AK809" s="18" t="str">
        <f aca="false">IF($AH809=1,IFERROR(VALUE(MID($D809,2,20)),1000000000)+ROW()/10000000,"")</f>
        <v/>
      </c>
    </row>
    <row r="810" customFormat="false" ht="15" hidden="false" customHeight="false" outlineLevel="0" collapsed="false">
      <c r="F810" s="15"/>
      <c r="N810" s="16" t="str">
        <f aca="false">IF($D810="","",M810*Y810/100)</f>
        <v/>
      </c>
      <c r="V810" s="16" t="str">
        <f aca="false">IF($D810="","",Y810*AB810/100)</f>
        <v/>
      </c>
      <c r="W810" s="16" t="str">
        <f aca="false">IF($D810="","",Y810-V810)</f>
        <v/>
      </c>
      <c r="X810" s="16" t="str">
        <f aca="false">IF($D810="","",W810-N810)</f>
        <v/>
      </c>
      <c r="AB810" s="17" t="str">
        <f aca="false">IF($D810="","",IF(OR($R810=TRUE(),$R810="TRUE"),Settings!$C$6,Settings!$C$7)*100)</f>
        <v/>
      </c>
      <c r="AH810" s="18" t="str">
        <f aca="false">IF($D810="","",IF(COUNTIF($D$2:$D810,$D810)=1,1,0))</f>
        <v/>
      </c>
      <c r="AI810" s="18" t="str">
        <f aca="false">IF($AH810=1,SUMPRODUCT(--($AK$2:$AK$4001&lt;$AK810))+1,"")</f>
        <v/>
      </c>
      <c r="AJ810" s="18" t="str">
        <f aca="false">IF($D810="","",IF(OR($R810=TRUE(),$R810="TRUE"),1,0))</f>
        <v/>
      </c>
      <c r="AK810" s="18" t="str">
        <f aca="false">IF($AH810=1,IFERROR(VALUE(MID($D810,2,20)),1000000000)+ROW()/10000000,"")</f>
        <v/>
      </c>
    </row>
    <row r="811" customFormat="false" ht="15" hidden="false" customHeight="false" outlineLevel="0" collapsed="false">
      <c r="F811" s="15"/>
      <c r="N811" s="16" t="str">
        <f aca="false">IF($D811="","",M811*Y811/100)</f>
        <v/>
      </c>
      <c r="V811" s="16" t="str">
        <f aca="false">IF($D811="","",Y811*AB811/100)</f>
        <v/>
      </c>
      <c r="W811" s="16" t="str">
        <f aca="false">IF($D811="","",Y811-V811)</f>
        <v/>
      </c>
      <c r="X811" s="16" t="str">
        <f aca="false">IF($D811="","",W811-N811)</f>
        <v/>
      </c>
      <c r="AB811" s="17" t="str">
        <f aca="false">IF($D811="","",IF(OR($R811=TRUE(),$R811="TRUE"),Settings!$C$6,Settings!$C$7)*100)</f>
        <v/>
      </c>
      <c r="AH811" s="18" t="str">
        <f aca="false">IF($D811="","",IF(COUNTIF($D$2:$D811,$D811)=1,1,0))</f>
        <v/>
      </c>
      <c r="AI811" s="18" t="str">
        <f aca="false">IF($AH811=1,SUMPRODUCT(--($AK$2:$AK$4001&lt;$AK811))+1,"")</f>
        <v/>
      </c>
      <c r="AJ811" s="18" t="str">
        <f aca="false">IF($D811="","",IF(OR($R811=TRUE(),$R811="TRUE"),1,0))</f>
        <v/>
      </c>
      <c r="AK811" s="18" t="str">
        <f aca="false">IF($AH811=1,IFERROR(VALUE(MID($D811,2,20)),1000000000)+ROW()/10000000,"")</f>
        <v/>
      </c>
    </row>
    <row r="812" customFormat="false" ht="15" hidden="false" customHeight="false" outlineLevel="0" collapsed="false">
      <c r="F812" s="15"/>
      <c r="N812" s="16" t="str">
        <f aca="false">IF($D812="","",M812*Y812/100)</f>
        <v/>
      </c>
      <c r="V812" s="16" t="str">
        <f aca="false">IF($D812="","",Y812*AB812/100)</f>
        <v/>
      </c>
      <c r="W812" s="16" t="str">
        <f aca="false">IF($D812="","",Y812-V812)</f>
        <v/>
      </c>
      <c r="X812" s="16" t="str">
        <f aca="false">IF($D812="","",W812-N812)</f>
        <v/>
      </c>
      <c r="AB812" s="17" t="str">
        <f aca="false">IF($D812="","",IF(OR($R812=TRUE(),$R812="TRUE"),Settings!$C$6,Settings!$C$7)*100)</f>
        <v/>
      </c>
      <c r="AH812" s="18" t="str">
        <f aca="false">IF($D812="","",IF(COUNTIF($D$2:$D812,$D812)=1,1,0))</f>
        <v/>
      </c>
      <c r="AI812" s="18" t="str">
        <f aca="false">IF($AH812=1,SUMPRODUCT(--($AK$2:$AK$4001&lt;$AK812))+1,"")</f>
        <v/>
      </c>
      <c r="AJ812" s="18" t="str">
        <f aca="false">IF($D812="","",IF(OR($R812=TRUE(),$R812="TRUE"),1,0))</f>
        <v/>
      </c>
      <c r="AK812" s="18" t="str">
        <f aca="false">IF($AH812=1,IFERROR(VALUE(MID($D812,2,20)),1000000000)+ROW()/10000000,"")</f>
        <v/>
      </c>
    </row>
    <row r="813" customFormat="false" ht="15" hidden="false" customHeight="false" outlineLevel="0" collapsed="false">
      <c r="F813" s="15"/>
      <c r="N813" s="16" t="str">
        <f aca="false">IF($D813="","",M813*Y813/100)</f>
        <v/>
      </c>
      <c r="V813" s="16" t="str">
        <f aca="false">IF($D813="","",Y813*AB813/100)</f>
        <v/>
      </c>
      <c r="W813" s="16" t="str">
        <f aca="false">IF($D813="","",Y813-V813)</f>
        <v/>
      </c>
      <c r="X813" s="16" t="str">
        <f aca="false">IF($D813="","",W813-N813)</f>
        <v/>
      </c>
      <c r="AB813" s="17" t="str">
        <f aca="false">IF($D813="","",IF(OR($R813=TRUE(),$R813="TRUE"),Settings!$C$6,Settings!$C$7)*100)</f>
        <v/>
      </c>
      <c r="AH813" s="18" t="str">
        <f aca="false">IF($D813="","",IF(COUNTIF($D$2:$D813,$D813)=1,1,0))</f>
        <v/>
      </c>
      <c r="AI813" s="18" t="str">
        <f aca="false">IF($AH813=1,SUMPRODUCT(--($AK$2:$AK$4001&lt;$AK813))+1,"")</f>
        <v/>
      </c>
      <c r="AJ813" s="18" t="str">
        <f aca="false">IF($D813="","",IF(OR($R813=TRUE(),$R813="TRUE"),1,0))</f>
        <v/>
      </c>
      <c r="AK813" s="18" t="str">
        <f aca="false">IF($AH813=1,IFERROR(VALUE(MID($D813,2,20)),1000000000)+ROW()/10000000,"")</f>
        <v/>
      </c>
    </row>
    <row r="814" customFormat="false" ht="15" hidden="false" customHeight="false" outlineLevel="0" collapsed="false">
      <c r="F814" s="15"/>
      <c r="N814" s="16" t="str">
        <f aca="false">IF($D814="","",M814*Y814/100)</f>
        <v/>
      </c>
      <c r="V814" s="16" t="str">
        <f aca="false">IF($D814="","",Y814*AB814/100)</f>
        <v/>
      </c>
      <c r="W814" s="16" t="str">
        <f aca="false">IF($D814="","",Y814-V814)</f>
        <v/>
      </c>
      <c r="X814" s="16" t="str">
        <f aca="false">IF($D814="","",W814-N814)</f>
        <v/>
      </c>
      <c r="AB814" s="17" t="str">
        <f aca="false">IF($D814="","",IF(OR($R814=TRUE(),$R814="TRUE"),Settings!$C$6,Settings!$C$7)*100)</f>
        <v/>
      </c>
      <c r="AH814" s="18" t="str">
        <f aca="false">IF($D814="","",IF(COUNTIF($D$2:$D814,$D814)=1,1,0))</f>
        <v/>
      </c>
      <c r="AI814" s="18" t="str">
        <f aca="false">IF($AH814=1,SUMPRODUCT(--($AK$2:$AK$4001&lt;$AK814))+1,"")</f>
        <v/>
      </c>
      <c r="AJ814" s="18" t="str">
        <f aca="false">IF($D814="","",IF(OR($R814=TRUE(),$R814="TRUE"),1,0))</f>
        <v/>
      </c>
      <c r="AK814" s="18" t="str">
        <f aca="false">IF($AH814=1,IFERROR(VALUE(MID($D814,2,20)),1000000000)+ROW()/10000000,"")</f>
        <v/>
      </c>
    </row>
    <row r="815" customFormat="false" ht="15" hidden="false" customHeight="false" outlineLevel="0" collapsed="false">
      <c r="F815" s="15"/>
      <c r="N815" s="16" t="str">
        <f aca="false">IF($D815="","",M815*Y815/100)</f>
        <v/>
      </c>
      <c r="V815" s="16" t="str">
        <f aca="false">IF($D815="","",Y815*AB815/100)</f>
        <v/>
      </c>
      <c r="W815" s="16" t="str">
        <f aca="false">IF($D815="","",Y815-V815)</f>
        <v/>
      </c>
      <c r="X815" s="16" t="str">
        <f aca="false">IF($D815="","",W815-N815)</f>
        <v/>
      </c>
      <c r="AB815" s="17" t="str">
        <f aca="false">IF($D815="","",IF(OR($R815=TRUE(),$R815="TRUE"),Settings!$C$6,Settings!$C$7)*100)</f>
        <v/>
      </c>
      <c r="AH815" s="18" t="str">
        <f aca="false">IF($D815="","",IF(COUNTIF($D$2:$D815,$D815)=1,1,0))</f>
        <v/>
      </c>
      <c r="AI815" s="18" t="str">
        <f aca="false">IF($AH815=1,SUMPRODUCT(--($AK$2:$AK$4001&lt;$AK815))+1,"")</f>
        <v/>
      </c>
      <c r="AJ815" s="18" t="str">
        <f aca="false">IF($D815="","",IF(OR($R815=TRUE(),$R815="TRUE"),1,0))</f>
        <v/>
      </c>
      <c r="AK815" s="18" t="str">
        <f aca="false">IF($AH815=1,IFERROR(VALUE(MID($D815,2,20)),1000000000)+ROW()/10000000,"")</f>
        <v/>
      </c>
    </row>
    <row r="816" customFormat="false" ht="15" hidden="false" customHeight="false" outlineLevel="0" collapsed="false">
      <c r="F816" s="15"/>
      <c r="N816" s="16" t="str">
        <f aca="false">IF($D816="","",M816*Y816/100)</f>
        <v/>
      </c>
      <c r="V816" s="16" t="str">
        <f aca="false">IF($D816="","",Y816*AB816/100)</f>
        <v/>
      </c>
      <c r="W816" s="16" t="str">
        <f aca="false">IF($D816="","",Y816-V816)</f>
        <v/>
      </c>
      <c r="X816" s="16" t="str">
        <f aca="false">IF($D816="","",W816-N816)</f>
        <v/>
      </c>
      <c r="AB816" s="17" t="str">
        <f aca="false">IF($D816="","",IF(OR($R816=TRUE(),$R816="TRUE"),Settings!$C$6,Settings!$C$7)*100)</f>
        <v/>
      </c>
      <c r="AH816" s="18" t="str">
        <f aca="false">IF($D816="","",IF(COUNTIF($D$2:$D816,$D816)=1,1,0))</f>
        <v/>
      </c>
      <c r="AI816" s="18" t="str">
        <f aca="false">IF($AH816=1,SUMPRODUCT(--($AK$2:$AK$4001&lt;$AK816))+1,"")</f>
        <v/>
      </c>
      <c r="AJ816" s="18" t="str">
        <f aca="false">IF($D816="","",IF(OR($R816=TRUE(),$R816="TRUE"),1,0))</f>
        <v/>
      </c>
      <c r="AK816" s="18" t="str">
        <f aca="false">IF($AH816=1,IFERROR(VALUE(MID($D816,2,20)),1000000000)+ROW()/10000000,"")</f>
        <v/>
      </c>
    </row>
    <row r="817" customFormat="false" ht="15" hidden="false" customHeight="false" outlineLevel="0" collapsed="false">
      <c r="F817" s="15"/>
      <c r="N817" s="16" t="str">
        <f aca="false">IF($D817="","",M817*Y817/100)</f>
        <v/>
      </c>
      <c r="V817" s="16" t="str">
        <f aca="false">IF($D817="","",Y817*AB817/100)</f>
        <v/>
      </c>
      <c r="W817" s="16" t="str">
        <f aca="false">IF($D817="","",Y817-V817)</f>
        <v/>
      </c>
      <c r="X817" s="16" t="str">
        <f aca="false">IF($D817="","",W817-N817)</f>
        <v/>
      </c>
      <c r="AB817" s="17" t="str">
        <f aca="false">IF($D817="","",IF(OR($R817=TRUE(),$R817="TRUE"),Settings!$C$6,Settings!$C$7)*100)</f>
        <v/>
      </c>
      <c r="AH817" s="18" t="str">
        <f aca="false">IF($D817="","",IF(COUNTIF($D$2:$D817,$D817)=1,1,0))</f>
        <v/>
      </c>
      <c r="AI817" s="18" t="str">
        <f aca="false">IF($AH817=1,SUMPRODUCT(--($AK$2:$AK$4001&lt;$AK817))+1,"")</f>
        <v/>
      </c>
      <c r="AJ817" s="18" t="str">
        <f aca="false">IF($D817="","",IF(OR($R817=TRUE(),$R817="TRUE"),1,0))</f>
        <v/>
      </c>
      <c r="AK817" s="18" t="str">
        <f aca="false">IF($AH817=1,IFERROR(VALUE(MID($D817,2,20)),1000000000)+ROW()/10000000,"")</f>
        <v/>
      </c>
    </row>
    <row r="818" customFormat="false" ht="15" hidden="false" customHeight="false" outlineLevel="0" collapsed="false">
      <c r="F818" s="15"/>
      <c r="N818" s="16" t="str">
        <f aca="false">IF($D818="","",M818*Y818/100)</f>
        <v/>
      </c>
      <c r="V818" s="16" t="str">
        <f aca="false">IF($D818="","",Y818*AB818/100)</f>
        <v/>
      </c>
      <c r="W818" s="16" t="str">
        <f aca="false">IF($D818="","",Y818-V818)</f>
        <v/>
      </c>
      <c r="X818" s="16" t="str">
        <f aca="false">IF($D818="","",W818-N818)</f>
        <v/>
      </c>
      <c r="AB818" s="17" t="str">
        <f aca="false">IF($D818="","",IF(OR($R818=TRUE(),$R818="TRUE"),Settings!$C$6,Settings!$C$7)*100)</f>
        <v/>
      </c>
      <c r="AH818" s="18" t="str">
        <f aca="false">IF($D818="","",IF(COUNTIF($D$2:$D818,$D818)=1,1,0))</f>
        <v/>
      </c>
      <c r="AI818" s="18" t="str">
        <f aca="false">IF($AH818=1,SUMPRODUCT(--($AK$2:$AK$4001&lt;$AK818))+1,"")</f>
        <v/>
      </c>
      <c r="AJ818" s="18" t="str">
        <f aca="false">IF($D818="","",IF(OR($R818=TRUE(),$R818="TRUE"),1,0))</f>
        <v/>
      </c>
      <c r="AK818" s="18" t="str">
        <f aca="false">IF($AH818=1,IFERROR(VALUE(MID($D818,2,20)),1000000000)+ROW()/10000000,"")</f>
        <v/>
      </c>
    </row>
    <row r="819" customFormat="false" ht="15" hidden="false" customHeight="false" outlineLevel="0" collapsed="false">
      <c r="F819" s="15"/>
      <c r="N819" s="16" t="str">
        <f aca="false">IF($D819="","",M819*Y819/100)</f>
        <v/>
      </c>
      <c r="V819" s="16" t="str">
        <f aca="false">IF($D819="","",Y819*AB819/100)</f>
        <v/>
      </c>
      <c r="W819" s="16" t="str">
        <f aca="false">IF($D819="","",Y819-V819)</f>
        <v/>
      </c>
      <c r="X819" s="16" t="str">
        <f aca="false">IF($D819="","",W819-N819)</f>
        <v/>
      </c>
      <c r="AB819" s="17" t="str">
        <f aca="false">IF($D819="","",IF(OR($R819=TRUE(),$R819="TRUE"),Settings!$C$6,Settings!$C$7)*100)</f>
        <v/>
      </c>
      <c r="AH819" s="18" t="str">
        <f aca="false">IF($D819="","",IF(COUNTIF($D$2:$D819,$D819)=1,1,0))</f>
        <v/>
      </c>
      <c r="AI819" s="18" t="str">
        <f aca="false">IF($AH819=1,SUMPRODUCT(--($AK$2:$AK$4001&lt;$AK819))+1,"")</f>
        <v/>
      </c>
      <c r="AJ819" s="18" t="str">
        <f aca="false">IF($D819="","",IF(OR($R819=TRUE(),$R819="TRUE"),1,0))</f>
        <v/>
      </c>
      <c r="AK819" s="18" t="str">
        <f aca="false">IF($AH819=1,IFERROR(VALUE(MID($D819,2,20)),1000000000)+ROW()/10000000,"")</f>
        <v/>
      </c>
    </row>
    <row r="820" customFormat="false" ht="15" hidden="false" customHeight="false" outlineLevel="0" collapsed="false">
      <c r="F820" s="15"/>
      <c r="N820" s="16" t="str">
        <f aca="false">IF($D820="","",M820*Y820/100)</f>
        <v/>
      </c>
      <c r="V820" s="16" t="str">
        <f aca="false">IF($D820="","",Y820*AB820/100)</f>
        <v/>
      </c>
      <c r="W820" s="16" t="str">
        <f aca="false">IF($D820="","",Y820-V820)</f>
        <v/>
      </c>
      <c r="X820" s="16" t="str">
        <f aca="false">IF($D820="","",W820-N820)</f>
        <v/>
      </c>
      <c r="AB820" s="17" t="str">
        <f aca="false">IF($D820="","",IF(OR($R820=TRUE(),$R820="TRUE"),Settings!$C$6,Settings!$C$7)*100)</f>
        <v/>
      </c>
      <c r="AH820" s="18" t="str">
        <f aca="false">IF($D820="","",IF(COUNTIF($D$2:$D820,$D820)=1,1,0))</f>
        <v/>
      </c>
      <c r="AI820" s="18" t="str">
        <f aca="false">IF($AH820=1,SUMPRODUCT(--($AK$2:$AK$4001&lt;$AK820))+1,"")</f>
        <v/>
      </c>
      <c r="AJ820" s="18" t="str">
        <f aca="false">IF($D820="","",IF(OR($R820=TRUE(),$R820="TRUE"),1,0))</f>
        <v/>
      </c>
      <c r="AK820" s="18" t="str">
        <f aca="false">IF($AH820=1,IFERROR(VALUE(MID($D820,2,20)),1000000000)+ROW()/10000000,"")</f>
        <v/>
      </c>
    </row>
    <row r="821" customFormat="false" ht="15" hidden="false" customHeight="false" outlineLevel="0" collapsed="false">
      <c r="F821" s="15"/>
      <c r="N821" s="16" t="str">
        <f aca="false">IF($D821="","",M821*Y821/100)</f>
        <v/>
      </c>
      <c r="V821" s="16" t="str">
        <f aca="false">IF($D821="","",Y821*AB821/100)</f>
        <v/>
      </c>
      <c r="W821" s="16" t="str">
        <f aca="false">IF($D821="","",Y821-V821)</f>
        <v/>
      </c>
      <c r="X821" s="16" t="str">
        <f aca="false">IF($D821="","",W821-N821)</f>
        <v/>
      </c>
      <c r="AB821" s="17" t="str">
        <f aca="false">IF($D821="","",IF(OR($R821=TRUE(),$R821="TRUE"),Settings!$C$6,Settings!$C$7)*100)</f>
        <v/>
      </c>
      <c r="AH821" s="18" t="str">
        <f aca="false">IF($D821="","",IF(COUNTIF($D$2:$D821,$D821)=1,1,0))</f>
        <v/>
      </c>
      <c r="AI821" s="18" t="str">
        <f aca="false">IF($AH821=1,SUMPRODUCT(--($AK$2:$AK$4001&lt;$AK821))+1,"")</f>
        <v/>
      </c>
      <c r="AJ821" s="18" t="str">
        <f aca="false">IF($D821="","",IF(OR($R821=TRUE(),$R821="TRUE"),1,0))</f>
        <v/>
      </c>
      <c r="AK821" s="18" t="str">
        <f aca="false">IF($AH821=1,IFERROR(VALUE(MID($D821,2,20)),1000000000)+ROW()/10000000,"")</f>
        <v/>
      </c>
    </row>
    <row r="822" customFormat="false" ht="15" hidden="false" customHeight="false" outlineLevel="0" collapsed="false">
      <c r="F822" s="15"/>
      <c r="N822" s="16" t="str">
        <f aca="false">IF($D822="","",M822*Y822/100)</f>
        <v/>
      </c>
      <c r="V822" s="16" t="str">
        <f aca="false">IF($D822="","",Y822*AB822/100)</f>
        <v/>
      </c>
      <c r="W822" s="16" t="str">
        <f aca="false">IF($D822="","",Y822-V822)</f>
        <v/>
      </c>
      <c r="X822" s="16" t="str">
        <f aca="false">IF($D822="","",W822-N822)</f>
        <v/>
      </c>
      <c r="AB822" s="17" t="str">
        <f aca="false">IF($D822="","",IF(OR($R822=TRUE(),$R822="TRUE"),Settings!$C$6,Settings!$C$7)*100)</f>
        <v/>
      </c>
      <c r="AH822" s="18" t="str">
        <f aca="false">IF($D822="","",IF(COUNTIF($D$2:$D822,$D822)=1,1,0))</f>
        <v/>
      </c>
      <c r="AI822" s="18" t="str">
        <f aca="false">IF($AH822=1,SUMPRODUCT(--($AK$2:$AK$4001&lt;$AK822))+1,"")</f>
        <v/>
      </c>
      <c r="AJ822" s="18" t="str">
        <f aca="false">IF($D822="","",IF(OR($R822=TRUE(),$R822="TRUE"),1,0))</f>
        <v/>
      </c>
      <c r="AK822" s="18" t="str">
        <f aca="false">IF($AH822=1,IFERROR(VALUE(MID($D822,2,20)),1000000000)+ROW()/10000000,"")</f>
        <v/>
      </c>
    </row>
    <row r="823" customFormat="false" ht="15" hidden="false" customHeight="false" outlineLevel="0" collapsed="false">
      <c r="F823" s="15"/>
      <c r="N823" s="16" t="str">
        <f aca="false">IF($D823="","",M823*Y823/100)</f>
        <v/>
      </c>
      <c r="V823" s="16" t="str">
        <f aca="false">IF($D823="","",Y823*AB823/100)</f>
        <v/>
      </c>
      <c r="W823" s="16" t="str">
        <f aca="false">IF($D823="","",Y823-V823)</f>
        <v/>
      </c>
      <c r="X823" s="16" t="str">
        <f aca="false">IF($D823="","",W823-N823)</f>
        <v/>
      </c>
      <c r="AB823" s="17" t="str">
        <f aca="false">IF($D823="","",IF(OR($R823=TRUE(),$R823="TRUE"),Settings!$C$6,Settings!$C$7)*100)</f>
        <v/>
      </c>
      <c r="AH823" s="18" t="str">
        <f aca="false">IF($D823="","",IF(COUNTIF($D$2:$D823,$D823)=1,1,0))</f>
        <v/>
      </c>
      <c r="AI823" s="18" t="str">
        <f aca="false">IF($AH823=1,SUMPRODUCT(--($AK$2:$AK$4001&lt;$AK823))+1,"")</f>
        <v/>
      </c>
      <c r="AJ823" s="18" t="str">
        <f aca="false">IF($D823="","",IF(OR($R823=TRUE(),$R823="TRUE"),1,0))</f>
        <v/>
      </c>
      <c r="AK823" s="18" t="str">
        <f aca="false">IF($AH823=1,IFERROR(VALUE(MID($D823,2,20)),1000000000)+ROW()/10000000,"")</f>
        <v/>
      </c>
    </row>
    <row r="824" customFormat="false" ht="15" hidden="false" customHeight="false" outlineLevel="0" collapsed="false">
      <c r="F824" s="15"/>
      <c r="N824" s="16" t="str">
        <f aca="false">IF($D824="","",M824*Y824/100)</f>
        <v/>
      </c>
      <c r="V824" s="16" t="str">
        <f aca="false">IF($D824="","",Y824*AB824/100)</f>
        <v/>
      </c>
      <c r="W824" s="16" t="str">
        <f aca="false">IF($D824="","",Y824-V824)</f>
        <v/>
      </c>
      <c r="X824" s="16" t="str">
        <f aca="false">IF($D824="","",W824-N824)</f>
        <v/>
      </c>
      <c r="AB824" s="17" t="str">
        <f aca="false">IF($D824="","",IF(OR($R824=TRUE(),$R824="TRUE"),Settings!$C$6,Settings!$C$7)*100)</f>
        <v/>
      </c>
      <c r="AH824" s="18" t="str">
        <f aca="false">IF($D824="","",IF(COUNTIF($D$2:$D824,$D824)=1,1,0))</f>
        <v/>
      </c>
      <c r="AI824" s="18" t="str">
        <f aca="false">IF($AH824=1,SUMPRODUCT(--($AK$2:$AK$4001&lt;$AK824))+1,"")</f>
        <v/>
      </c>
      <c r="AJ824" s="18" t="str">
        <f aca="false">IF($D824="","",IF(OR($R824=TRUE(),$R824="TRUE"),1,0))</f>
        <v/>
      </c>
      <c r="AK824" s="18" t="str">
        <f aca="false">IF($AH824=1,IFERROR(VALUE(MID($D824,2,20)),1000000000)+ROW()/10000000,"")</f>
        <v/>
      </c>
    </row>
    <row r="825" customFormat="false" ht="15" hidden="false" customHeight="false" outlineLevel="0" collapsed="false">
      <c r="F825" s="15"/>
      <c r="N825" s="16" t="str">
        <f aca="false">IF($D825="","",M825*Y825/100)</f>
        <v/>
      </c>
      <c r="V825" s="16" t="str">
        <f aca="false">IF($D825="","",Y825*AB825/100)</f>
        <v/>
      </c>
      <c r="W825" s="16" t="str">
        <f aca="false">IF($D825="","",Y825-V825)</f>
        <v/>
      </c>
      <c r="X825" s="16" t="str">
        <f aca="false">IF($D825="","",W825-N825)</f>
        <v/>
      </c>
      <c r="AB825" s="17" t="str">
        <f aca="false">IF($D825="","",IF(OR($R825=TRUE(),$R825="TRUE"),Settings!$C$6,Settings!$C$7)*100)</f>
        <v/>
      </c>
      <c r="AH825" s="18" t="str">
        <f aca="false">IF($D825="","",IF(COUNTIF($D$2:$D825,$D825)=1,1,0))</f>
        <v/>
      </c>
      <c r="AI825" s="18" t="str">
        <f aca="false">IF($AH825=1,SUMPRODUCT(--($AK$2:$AK$4001&lt;$AK825))+1,"")</f>
        <v/>
      </c>
      <c r="AJ825" s="18" t="str">
        <f aca="false">IF($D825="","",IF(OR($R825=TRUE(),$R825="TRUE"),1,0))</f>
        <v/>
      </c>
      <c r="AK825" s="18" t="str">
        <f aca="false">IF($AH825=1,IFERROR(VALUE(MID($D825,2,20)),1000000000)+ROW()/10000000,"")</f>
        <v/>
      </c>
    </row>
    <row r="826" customFormat="false" ht="15" hidden="false" customHeight="false" outlineLevel="0" collapsed="false">
      <c r="F826" s="15"/>
      <c r="N826" s="16" t="str">
        <f aca="false">IF($D826="","",M826*Y826/100)</f>
        <v/>
      </c>
      <c r="V826" s="16" t="str">
        <f aca="false">IF($D826="","",Y826*AB826/100)</f>
        <v/>
      </c>
      <c r="W826" s="16" t="str">
        <f aca="false">IF($D826="","",Y826-V826)</f>
        <v/>
      </c>
      <c r="X826" s="16" t="str">
        <f aca="false">IF($D826="","",W826-N826)</f>
        <v/>
      </c>
      <c r="AB826" s="17" t="str">
        <f aca="false">IF($D826="","",IF(OR($R826=TRUE(),$R826="TRUE"),Settings!$C$6,Settings!$C$7)*100)</f>
        <v/>
      </c>
      <c r="AH826" s="18" t="str">
        <f aca="false">IF($D826="","",IF(COUNTIF($D$2:$D826,$D826)=1,1,0))</f>
        <v/>
      </c>
      <c r="AI826" s="18" t="str">
        <f aca="false">IF($AH826=1,SUMPRODUCT(--($AK$2:$AK$4001&lt;$AK826))+1,"")</f>
        <v/>
      </c>
      <c r="AJ826" s="18" t="str">
        <f aca="false">IF($D826="","",IF(OR($R826=TRUE(),$R826="TRUE"),1,0))</f>
        <v/>
      </c>
      <c r="AK826" s="18" t="str">
        <f aca="false">IF($AH826=1,IFERROR(VALUE(MID($D826,2,20)),1000000000)+ROW()/10000000,"")</f>
        <v/>
      </c>
    </row>
    <row r="827" customFormat="false" ht="15" hidden="false" customHeight="false" outlineLevel="0" collapsed="false">
      <c r="F827" s="15"/>
      <c r="N827" s="16" t="str">
        <f aca="false">IF($D827="","",M827*Y827/100)</f>
        <v/>
      </c>
      <c r="V827" s="16" t="str">
        <f aca="false">IF($D827="","",Y827*AB827/100)</f>
        <v/>
      </c>
      <c r="W827" s="16" t="str">
        <f aca="false">IF($D827="","",Y827-V827)</f>
        <v/>
      </c>
      <c r="X827" s="16" t="str">
        <f aca="false">IF($D827="","",W827-N827)</f>
        <v/>
      </c>
      <c r="AB827" s="17" t="str">
        <f aca="false">IF($D827="","",IF(OR($R827=TRUE(),$R827="TRUE"),Settings!$C$6,Settings!$C$7)*100)</f>
        <v/>
      </c>
      <c r="AH827" s="18" t="str">
        <f aca="false">IF($D827="","",IF(COUNTIF($D$2:$D827,$D827)=1,1,0))</f>
        <v/>
      </c>
      <c r="AI827" s="18" t="str">
        <f aca="false">IF($AH827=1,SUMPRODUCT(--($AK$2:$AK$4001&lt;$AK827))+1,"")</f>
        <v/>
      </c>
      <c r="AJ827" s="18" t="str">
        <f aca="false">IF($D827="","",IF(OR($R827=TRUE(),$R827="TRUE"),1,0))</f>
        <v/>
      </c>
      <c r="AK827" s="18" t="str">
        <f aca="false">IF($AH827=1,IFERROR(VALUE(MID($D827,2,20)),1000000000)+ROW()/10000000,"")</f>
        <v/>
      </c>
    </row>
    <row r="828" customFormat="false" ht="15" hidden="false" customHeight="false" outlineLevel="0" collapsed="false">
      <c r="F828" s="15"/>
      <c r="N828" s="16" t="str">
        <f aca="false">IF($D828="","",M828*Y828/100)</f>
        <v/>
      </c>
      <c r="V828" s="16" t="str">
        <f aca="false">IF($D828="","",Y828*AB828/100)</f>
        <v/>
      </c>
      <c r="W828" s="16" t="str">
        <f aca="false">IF($D828="","",Y828-V828)</f>
        <v/>
      </c>
      <c r="X828" s="16" t="str">
        <f aca="false">IF($D828="","",W828-N828)</f>
        <v/>
      </c>
      <c r="AB828" s="17" t="str">
        <f aca="false">IF($D828="","",IF(OR($R828=TRUE(),$R828="TRUE"),Settings!$C$6,Settings!$C$7)*100)</f>
        <v/>
      </c>
      <c r="AH828" s="18" t="str">
        <f aca="false">IF($D828="","",IF(COUNTIF($D$2:$D828,$D828)=1,1,0))</f>
        <v/>
      </c>
      <c r="AI828" s="18" t="str">
        <f aca="false">IF($AH828=1,SUMPRODUCT(--($AK$2:$AK$4001&lt;$AK828))+1,"")</f>
        <v/>
      </c>
      <c r="AJ828" s="18" t="str">
        <f aca="false">IF($D828="","",IF(OR($R828=TRUE(),$R828="TRUE"),1,0))</f>
        <v/>
      </c>
      <c r="AK828" s="18" t="str">
        <f aca="false">IF($AH828=1,IFERROR(VALUE(MID($D828,2,20)),1000000000)+ROW()/10000000,"")</f>
        <v/>
      </c>
    </row>
    <row r="829" customFormat="false" ht="15" hidden="false" customHeight="false" outlineLevel="0" collapsed="false">
      <c r="F829" s="15"/>
      <c r="N829" s="16" t="str">
        <f aca="false">IF($D829="","",M829*Y829/100)</f>
        <v/>
      </c>
      <c r="V829" s="16" t="str">
        <f aca="false">IF($D829="","",Y829*AB829/100)</f>
        <v/>
      </c>
      <c r="W829" s="16" t="str">
        <f aca="false">IF($D829="","",Y829-V829)</f>
        <v/>
      </c>
      <c r="X829" s="16" t="str">
        <f aca="false">IF($D829="","",W829-N829)</f>
        <v/>
      </c>
      <c r="AB829" s="17" t="str">
        <f aca="false">IF($D829="","",IF(OR($R829=TRUE(),$R829="TRUE"),Settings!$C$6,Settings!$C$7)*100)</f>
        <v/>
      </c>
      <c r="AH829" s="18" t="str">
        <f aca="false">IF($D829="","",IF(COUNTIF($D$2:$D829,$D829)=1,1,0))</f>
        <v/>
      </c>
      <c r="AI829" s="18" t="str">
        <f aca="false">IF($AH829=1,SUMPRODUCT(--($AK$2:$AK$4001&lt;$AK829))+1,"")</f>
        <v/>
      </c>
      <c r="AJ829" s="18" t="str">
        <f aca="false">IF($D829="","",IF(OR($R829=TRUE(),$R829="TRUE"),1,0))</f>
        <v/>
      </c>
      <c r="AK829" s="18" t="str">
        <f aca="false">IF($AH829=1,IFERROR(VALUE(MID($D829,2,20)),1000000000)+ROW()/10000000,"")</f>
        <v/>
      </c>
    </row>
    <row r="830" customFormat="false" ht="15" hidden="false" customHeight="false" outlineLevel="0" collapsed="false">
      <c r="F830" s="15"/>
      <c r="N830" s="16" t="str">
        <f aca="false">IF($D830="","",M830*Y830/100)</f>
        <v/>
      </c>
      <c r="V830" s="16" t="str">
        <f aca="false">IF($D830="","",Y830*AB830/100)</f>
        <v/>
      </c>
      <c r="W830" s="16" t="str">
        <f aca="false">IF($D830="","",Y830-V830)</f>
        <v/>
      </c>
      <c r="X830" s="16" t="str">
        <f aca="false">IF($D830="","",W830-N830)</f>
        <v/>
      </c>
      <c r="AB830" s="17" t="str">
        <f aca="false">IF($D830="","",IF(OR($R830=TRUE(),$R830="TRUE"),Settings!$C$6,Settings!$C$7)*100)</f>
        <v/>
      </c>
      <c r="AH830" s="18" t="str">
        <f aca="false">IF($D830="","",IF(COUNTIF($D$2:$D830,$D830)=1,1,0))</f>
        <v/>
      </c>
      <c r="AI830" s="18" t="str">
        <f aca="false">IF($AH830=1,SUMPRODUCT(--($AK$2:$AK$4001&lt;$AK830))+1,"")</f>
        <v/>
      </c>
      <c r="AJ830" s="18" t="str">
        <f aca="false">IF($D830="","",IF(OR($R830=TRUE(),$R830="TRUE"),1,0))</f>
        <v/>
      </c>
      <c r="AK830" s="18" t="str">
        <f aca="false">IF($AH830=1,IFERROR(VALUE(MID($D830,2,20)),1000000000)+ROW()/10000000,"")</f>
        <v/>
      </c>
    </row>
    <row r="831" customFormat="false" ht="15" hidden="false" customHeight="false" outlineLevel="0" collapsed="false">
      <c r="F831" s="15"/>
      <c r="N831" s="16" t="str">
        <f aca="false">IF($D831="","",M831*Y831/100)</f>
        <v/>
      </c>
      <c r="V831" s="16" t="str">
        <f aca="false">IF($D831="","",Y831*AB831/100)</f>
        <v/>
      </c>
      <c r="W831" s="16" t="str">
        <f aca="false">IF($D831="","",Y831-V831)</f>
        <v/>
      </c>
      <c r="X831" s="16" t="str">
        <f aca="false">IF($D831="","",W831-N831)</f>
        <v/>
      </c>
      <c r="AB831" s="17" t="str">
        <f aca="false">IF($D831="","",IF(OR($R831=TRUE(),$R831="TRUE"),Settings!$C$6,Settings!$C$7)*100)</f>
        <v/>
      </c>
      <c r="AH831" s="18" t="str">
        <f aca="false">IF($D831="","",IF(COUNTIF($D$2:$D831,$D831)=1,1,0))</f>
        <v/>
      </c>
      <c r="AI831" s="18" t="str">
        <f aca="false">IF($AH831=1,SUMPRODUCT(--($AK$2:$AK$4001&lt;$AK831))+1,"")</f>
        <v/>
      </c>
      <c r="AJ831" s="18" t="str">
        <f aca="false">IF($D831="","",IF(OR($R831=TRUE(),$R831="TRUE"),1,0))</f>
        <v/>
      </c>
      <c r="AK831" s="18" t="str">
        <f aca="false">IF($AH831=1,IFERROR(VALUE(MID($D831,2,20)),1000000000)+ROW()/10000000,"")</f>
        <v/>
      </c>
    </row>
    <row r="832" customFormat="false" ht="15" hidden="false" customHeight="false" outlineLevel="0" collapsed="false">
      <c r="F832" s="15"/>
      <c r="N832" s="16" t="str">
        <f aca="false">IF($D832="","",M832*Y832/100)</f>
        <v/>
      </c>
      <c r="V832" s="16" t="str">
        <f aca="false">IF($D832="","",Y832*AB832/100)</f>
        <v/>
      </c>
      <c r="W832" s="16" t="str">
        <f aca="false">IF($D832="","",Y832-V832)</f>
        <v/>
      </c>
      <c r="X832" s="16" t="str">
        <f aca="false">IF($D832="","",W832-N832)</f>
        <v/>
      </c>
      <c r="AB832" s="17" t="str">
        <f aca="false">IF($D832="","",IF(OR($R832=TRUE(),$R832="TRUE"),Settings!$C$6,Settings!$C$7)*100)</f>
        <v/>
      </c>
      <c r="AH832" s="18" t="str">
        <f aca="false">IF($D832="","",IF(COUNTIF($D$2:$D832,$D832)=1,1,0))</f>
        <v/>
      </c>
      <c r="AI832" s="18" t="str">
        <f aca="false">IF($AH832=1,SUMPRODUCT(--($AK$2:$AK$4001&lt;$AK832))+1,"")</f>
        <v/>
      </c>
      <c r="AJ832" s="18" t="str">
        <f aca="false">IF($D832="","",IF(OR($R832=TRUE(),$R832="TRUE"),1,0))</f>
        <v/>
      </c>
      <c r="AK832" s="18" t="str">
        <f aca="false">IF($AH832=1,IFERROR(VALUE(MID($D832,2,20)),1000000000)+ROW()/10000000,"")</f>
        <v/>
      </c>
    </row>
    <row r="833" customFormat="false" ht="15" hidden="false" customHeight="false" outlineLevel="0" collapsed="false">
      <c r="F833" s="15"/>
      <c r="N833" s="16" t="str">
        <f aca="false">IF($D833="","",M833*Y833/100)</f>
        <v/>
      </c>
      <c r="V833" s="16" t="str">
        <f aca="false">IF($D833="","",Y833*AB833/100)</f>
        <v/>
      </c>
      <c r="W833" s="16" t="str">
        <f aca="false">IF($D833="","",Y833-V833)</f>
        <v/>
      </c>
      <c r="X833" s="16" t="str">
        <f aca="false">IF($D833="","",W833-N833)</f>
        <v/>
      </c>
      <c r="AB833" s="17" t="str">
        <f aca="false">IF($D833="","",IF(OR($R833=TRUE(),$R833="TRUE"),Settings!$C$6,Settings!$C$7)*100)</f>
        <v/>
      </c>
      <c r="AH833" s="18" t="str">
        <f aca="false">IF($D833="","",IF(COUNTIF($D$2:$D833,$D833)=1,1,0))</f>
        <v/>
      </c>
      <c r="AI833" s="18" t="str">
        <f aca="false">IF($AH833=1,SUMPRODUCT(--($AK$2:$AK$4001&lt;$AK833))+1,"")</f>
        <v/>
      </c>
      <c r="AJ833" s="18" t="str">
        <f aca="false">IF($D833="","",IF(OR($R833=TRUE(),$R833="TRUE"),1,0))</f>
        <v/>
      </c>
      <c r="AK833" s="18" t="str">
        <f aca="false">IF($AH833=1,IFERROR(VALUE(MID($D833,2,20)),1000000000)+ROW()/10000000,"")</f>
        <v/>
      </c>
    </row>
    <row r="834" customFormat="false" ht="15" hidden="false" customHeight="false" outlineLevel="0" collapsed="false">
      <c r="F834" s="15"/>
      <c r="N834" s="16" t="str">
        <f aca="false">IF($D834="","",M834*Y834/100)</f>
        <v/>
      </c>
      <c r="V834" s="16" t="str">
        <f aca="false">IF($D834="","",Y834*AB834/100)</f>
        <v/>
      </c>
      <c r="W834" s="16" t="str">
        <f aca="false">IF($D834="","",Y834-V834)</f>
        <v/>
      </c>
      <c r="X834" s="16" t="str">
        <f aca="false">IF($D834="","",W834-N834)</f>
        <v/>
      </c>
      <c r="AB834" s="17" t="str">
        <f aca="false">IF($D834="","",IF(OR($R834=TRUE(),$R834="TRUE"),Settings!$C$6,Settings!$C$7)*100)</f>
        <v/>
      </c>
      <c r="AH834" s="18" t="str">
        <f aca="false">IF($D834="","",IF(COUNTIF($D$2:$D834,$D834)=1,1,0))</f>
        <v/>
      </c>
      <c r="AI834" s="18" t="str">
        <f aca="false">IF($AH834=1,SUMPRODUCT(--($AK$2:$AK$4001&lt;$AK834))+1,"")</f>
        <v/>
      </c>
      <c r="AJ834" s="18" t="str">
        <f aca="false">IF($D834="","",IF(OR($R834=TRUE(),$R834="TRUE"),1,0))</f>
        <v/>
      </c>
      <c r="AK834" s="18" t="str">
        <f aca="false">IF($AH834=1,IFERROR(VALUE(MID($D834,2,20)),1000000000)+ROW()/10000000,"")</f>
        <v/>
      </c>
    </row>
    <row r="835" customFormat="false" ht="15" hidden="false" customHeight="false" outlineLevel="0" collapsed="false">
      <c r="F835" s="15"/>
      <c r="N835" s="16" t="str">
        <f aca="false">IF($D835="","",M835*Y835/100)</f>
        <v/>
      </c>
      <c r="V835" s="16" t="str">
        <f aca="false">IF($D835="","",Y835*AB835/100)</f>
        <v/>
      </c>
      <c r="W835" s="16" t="str">
        <f aca="false">IF($D835="","",Y835-V835)</f>
        <v/>
      </c>
      <c r="X835" s="16" t="str">
        <f aca="false">IF($D835="","",W835-N835)</f>
        <v/>
      </c>
      <c r="AB835" s="17" t="str">
        <f aca="false">IF($D835="","",IF(OR($R835=TRUE(),$R835="TRUE"),Settings!$C$6,Settings!$C$7)*100)</f>
        <v/>
      </c>
      <c r="AH835" s="18" t="str">
        <f aca="false">IF($D835="","",IF(COUNTIF($D$2:$D835,$D835)=1,1,0))</f>
        <v/>
      </c>
      <c r="AI835" s="18" t="str">
        <f aca="false">IF($AH835=1,SUMPRODUCT(--($AK$2:$AK$4001&lt;$AK835))+1,"")</f>
        <v/>
      </c>
      <c r="AJ835" s="18" t="str">
        <f aca="false">IF($D835="","",IF(OR($R835=TRUE(),$R835="TRUE"),1,0))</f>
        <v/>
      </c>
      <c r="AK835" s="18" t="str">
        <f aca="false">IF($AH835=1,IFERROR(VALUE(MID($D835,2,20)),1000000000)+ROW()/10000000,"")</f>
        <v/>
      </c>
    </row>
    <row r="836" customFormat="false" ht="15" hidden="false" customHeight="false" outlineLevel="0" collapsed="false">
      <c r="F836" s="15"/>
      <c r="N836" s="16" t="str">
        <f aca="false">IF($D836="","",M836*Y836/100)</f>
        <v/>
      </c>
      <c r="V836" s="16" t="str">
        <f aca="false">IF($D836="","",Y836*AB836/100)</f>
        <v/>
      </c>
      <c r="W836" s="16" t="str">
        <f aca="false">IF($D836="","",Y836-V836)</f>
        <v/>
      </c>
      <c r="X836" s="16" t="str">
        <f aca="false">IF($D836="","",W836-N836)</f>
        <v/>
      </c>
      <c r="AB836" s="17" t="str">
        <f aca="false">IF($D836="","",IF(OR($R836=TRUE(),$R836="TRUE"),Settings!$C$6,Settings!$C$7)*100)</f>
        <v/>
      </c>
      <c r="AH836" s="18" t="str">
        <f aca="false">IF($D836="","",IF(COUNTIF($D$2:$D836,$D836)=1,1,0))</f>
        <v/>
      </c>
      <c r="AI836" s="18" t="str">
        <f aca="false">IF($AH836=1,SUMPRODUCT(--($AK$2:$AK$4001&lt;$AK836))+1,"")</f>
        <v/>
      </c>
      <c r="AJ836" s="18" t="str">
        <f aca="false">IF($D836="","",IF(OR($R836=TRUE(),$R836="TRUE"),1,0))</f>
        <v/>
      </c>
      <c r="AK836" s="18" t="str">
        <f aca="false">IF($AH836=1,IFERROR(VALUE(MID($D836,2,20)),1000000000)+ROW()/10000000,"")</f>
        <v/>
      </c>
    </row>
    <row r="837" customFormat="false" ht="15" hidden="false" customHeight="false" outlineLevel="0" collapsed="false">
      <c r="F837" s="15"/>
      <c r="N837" s="16" t="str">
        <f aca="false">IF($D837="","",M837*Y837/100)</f>
        <v/>
      </c>
      <c r="V837" s="16" t="str">
        <f aca="false">IF($D837="","",Y837*AB837/100)</f>
        <v/>
      </c>
      <c r="W837" s="16" t="str">
        <f aca="false">IF($D837="","",Y837-V837)</f>
        <v/>
      </c>
      <c r="X837" s="16" t="str">
        <f aca="false">IF($D837="","",W837-N837)</f>
        <v/>
      </c>
      <c r="AB837" s="17" t="str">
        <f aca="false">IF($D837="","",IF(OR($R837=TRUE(),$R837="TRUE"),Settings!$C$6,Settings!$C$7)*100)</f>
        <v/>
      </c>
      <c r="AH837" s="18" t="str">
        <f aca="false">IF($D837="","",IF(COUNTIF($D$2:$D837,$D837)=1,1,0))</f>
        <v/>
      </c>
      <c r="AI837" s="18" t="str">
        <f aca="false">IF($AH837=1,SUMPRODUCT(--($AK$2:$AK$4001&lt;$AK837))+1,"")</f>
        <v/>
      </c>
      <c r="AJ837" s="18" t="str">
        <f aca="false">IF($D837="","",IF(OR($R837=TRUE(),$R837="TRUE"),1,0))</f>
        <v/>
      </c>
      <c r="AK837" s="18" t="str">
        <f aca="false">IF($AH837=1,IFERROR(VALUE(MID($D837,2,20)),1000000000)+ROW()/10000000,"")</f>
        <v/>
      </c>
    </row>
    <row r="838" customFormat="false" ht="15" hidden="false" customHeight="false" outlineLevel="0" collapsed="false">
      <c r="F838" s="15"/>
      <c r="N838" s="16" t="str">
        <f aca="false">IF($D838="","",M838*Y838/100)</f>
        <v/>
      </c>
      <c r="V838" s="16" t="str">
        <f aca="false">IF($D838="","",Y838*AB838/100)</f>
        <v/>
      </c>
      <c r="W838" s="16" t="str">
        <f aca="false">IF($D838="","",Y838-V838)</f>
        <v/>
      </c>
      <c r="X838" s="16" t="str">
        <f aca="false">IF($D838="","",W838-N838)</f>
        <v/>
      </c>
      <c r="AB838" s="17" t="str">
        <f aca="false">IF($D838="","",IF(OR($R838=TRUE(),$R838="TRUE"),Settings!$C$6,Settings!$C$7)*100)</f>
        <v/>
      </c>
      <c r="AH838" s="18" t="str">
        <f aca="false">IF($D838="","",IF(COUNTIF($D$2:$D838,$D838)=1,1,0))</f>
        <v/>
      </c>
      <c r="AI838" s="18" t="str">
        <f aca="false">IF($AH838=1,SUMPRODUCT(--($AK$2:$AK$4001&lt;$AK838))+1,"")</f>
        <v/>
      </c>
      <c r="AJ838" s="18" t="str">
        <f aca="false">IF($D838="","",IF(OR($R838=TRUE(),$R838="TRUE"),1,0))</f>
        <v/>
      </c>
      <c r="AK838" s="18" t="str">
        <f aca="false">IF($AH838=1,IFERROR(VALUE(MID($D838,2,20)),1000000000)+ROW()/10000000,"")</f>
        <v/>
      </c>
    </row>
    <row r="839" customFormat="false" ht="15" hidden="false" customHeight="false" outlineLevel="0" collapsed="false">
      <c r="F839" s="15"/>
      <c r="N839" s="16" t="str">
        <f aca="false">IF($D839="","",M839*Y839/100)</f>
        <v/>
      </c>
      <c r="V839" s="16" t="str">
        <f aca="false">IF($D839="","",Y839*AB839/100)</f>
        <v/>
      </c>
      <c r="W839" s="16" t="str">
        <f aca="false">IF($D839="","",Y839-V839)</f>
        <v/>
      </c>
      <c r="X839" s="16" t="str">
        <f aca="false">IF($D839="","",W839-N839)</f>
        <v/>
      </c>
      <c r="AB839" s="17" t="str">
        <f aca="false">IF($D839="","",IF(OR($R839=TRUE(),$R839="TRUE"),Settings!$C$6,Settings!$C$7)*100)</f>
        <v/>
      </c>
      <c r="AH839" s="18" t="str">
        <f aca="false">IF($D839="","",IF(COUNTIF($D$2:$D839,$D839)=1,1,0))</f>
        <v/>
      </c>
      <c r="AI839" s="18" t="str">
        <f aca="false">IF($AH839=1,SUMPRODUCT(--($AK$2:$AK$4001&lt;$AK839))+1,"")</f>
        <v/>
      </c>
      <c r="AJ839" s="18" t="str">
        <f aca="false">IF($D839="","",IF(OR($R839=TRUE(),$R839="TRUE"),1,0))</f>
        <v/>
      </c>
      <c r="AK839" s="18" t="str">
        <f aca="false">IF($AH839=1,IFERROR(VALUE(MID($D839,2,20)),1000000000)+ROW()/10000000,"")</f>
        <v/>
      </c>
    </row>
    <row r="840" customFormat="false" ht="15" hidden="false" customHeight="false" outlineLevel="0" collapsed="false">
      <c r="F840" s="15"/>
      <c r="N840" s="16" t="str">
        <f aca="false">IF($D840="","",M840*Y840/100)</f>
        <v/>
      </c>
      <c r="V840" s="16" t="str">
        <f aca="false">IF($D840="","",Y840*AB840/100)</f>
        <v/>
      </c>
      <c r="W840" s="16" t="str">
        <f aca="false">IF($D840="","",Y840-V840)</f>
        <v/>
      </c>
      <c r="X840" s="16" t="str">
        <f aca="false">IF($D840="","",W840-N840)</f>
        <v/>
      </c>
      <c r="AB840" s="17" t="str">
        <f aca="false">IF($D840="","",IF(OR($R840=TRUE(),$R840="TRUE"),Settings!$C$6,Settings!$C$7)*100)</f>
        <v/>
      </c>
      <c r="AH840" s="18" t="str">
        <f aca="false">IF($D840="","",IF(COUNTIF($D$2:$D840,$D840)=1,1,0))</f>
        <v/>
      </c>
      <c r="AI840" s="18" t="str">
        <f aca="false">IF($AH840=1,SUMPRODUCT(--($AK$2:$AK$4001&lt;$AK840))+1,"")</f>
        <v/>
      </c>
      <c r="AJ840" s="18" t="str">
        <f aca="false">IF($D840="","",IF(OR($R840=TRUE(),$R840="TRUE"),1,0))</f>
        <v/>
      </c>
      <c r="AK840" s="18" t="str">
        <f aca="false">IF($AH840=1,IFERROR(VALUE(MID($D840,2,20)),1000000000)+ROW()/10000000,"")</f>
        <v/>
      </c>
    </row>
    <row r="841" customFormat="false" ht="15" hidden="false" customHeight="false" outlineLevel="0" collapsed="false">
      <c r="F841" s="15"/>
      <c r="N841" s="16" t="str">
        <f aca="false">IF($D841="","",M841*Y841/100)</f>
        <v/>
      </c>
      <c r="V841" s="16" t="str">
        <f aca="false">IF($D841="","",Y841*AB841/100)</f>
        <v/>
      </c>
      <c r="W841" s="16" t="str">
        <f aca="false">IF($D841="","",Y841-V841)</f>
        <v/>
      </c>
      <c r="X841" s="16" t="str">
        <f aca="false">IF($D841="","",W841-N841)</f>
        <v/>
      </c>
      <c r="AB841" s="17" t="str">
        <f aca="false">IF($D841="","",IF(OR($R841=TRUE(),$R841="TRUE"),Settings!$C$6,Settings!$C$7)*100)</f>
        <v/>
      </c>
      <c r="AH841" s="18" t="str">
        <f aca="false">IF($D841="","",IF(COUNTIF($D$2:$D841,$D841)=1,1,0))</f>
        <v/>
      </c>
      <c r="AI841" s="18" t="str">
        <f aca="false">IF($AH841=1,SUMPRODUCT(--($AK$2:$AK$4001&lt;$AK841))+1,"")</f>
        <v/>
      </c>
      <c r="AJ841" s="18" t="str">
        <f aca="false">IF($D841="","",IF(OR($R841=TRUE(),$R841="TRUE"),1,0))</f>
        <v/>
      </c>
      <c r="AK841" s="18" t="str">
        <f aca="false">IF($AH841=1,IFERROR(VALUE(MID($D841,2,20)),1000000000)+ROW()/10000000,"")</f>
        <v/>
      </c>
    </row>
    <row r="842" customFormat="false" ht="15" hidden="false" customHeight="false" outlineLevel="0" collapsed="false">
      <c r="F842" s="15"/>
      <c r="N842" s="16" t="str">
        <f aca="false">IF($D842="","",M842*Y842/100)</f>
        <v/>
      </c>
      <c r="V842" s="16" t="str">
        <f aca="false">IF($D842="","",Y842*AB842/100)</f>
        <v/>
      </c>
      <c r="W842" s="16" t="str">
        <f aca="false">IF($D842="","",Y842-V842)</f>
        <v/>
      </c>
      <c r="X842" s="16" t="str">
        <f aca="false">IF($D842="","",W842-N842)</f>
        <v/>
      </c>
      <c r="AB842" s="17" t="str">
        <f aca="false">IF($D842="","",IF(OR($R842=TRUE(),$R842="TRUE"),Settings!$C$6,Settings!$C$7)*100)</f>
        <v/>
      </c>
      <c r="AH842" s="18" t="str">
        <f aca="false">IF($D842="","",IF(COUNTIF($D$2:$D842,$D842)=1,1,0))</f>
        <v/>
      </c>
      <c r="AI842" s="18" t="str">
        <f aca="false">IF($AH842=1,SUMPRODUCT(--($AK$2:$AK$4001&lt;$AK842))+1,"")</f>
        <v/>
      </c>
      <c r="AJ842" s="18" t="str">
        <f aca="false">IF($D842="","",IF(OR($R842=TRUE(),$R842="TRUE"),1,0))</f>
        <v/>
      </c>
      <c r="AK842" s="18" t="str">
        <f aca="false">IF($AH842=1,IFERROR(VALUE(MID($D842,2,20)),1000000000)+ROW()/10000000,"")</f>
        <v/>
      </c>
    </row>
    <row r="843" customFormat="false" ht="15" hidden="false" customHeight="false" outlineLevel="0" collapsed="false">
      <c r="F843" s="15"/>
      <c r="N843" s="16" t="str">
        <f aca="false">IF($D843="","",M843*Y843/100)</f>
        <v/>
      </c>
      <c r="V843" s="16" t="str">
        <f aca="false">IF($D843="","",Y843*AB843/100)</f>
        <v/>
      </c>
      <c r="W843" s="16" t="str">
        <f aca="false">IF($D843="","",Y843-V843)</f>
        <v/>
      </c>
      <c r="X843" s="16" t="str">
        <f aca="false">IF($D843="","",W843-N843)</f>
        <v/>
      </c>
      <c r="AB843" s="17" t="str">
        <f aca="false">IF($D843="","",IF(OR($R843=TRUE(),$R843="TRUE"),Settings!$C$6,Settings!$C$7)*100)</f>
        <v/>
      </c>
      <c r="AH843" s="18" t="str">
        <f aca="false">IF($D843="","",IF(COUNTIF($D$2:$D843,$D843)=1,1,0))</f>
        <v/>
      </c>
      <c r="AI843" s="18" t="str">
        <f aca="false">IF($AH843=1,SUMPRODUCT(--($AK$2:$AK$4001&lt;$AK843))+1,"")</f>
        <v/>
      </c>
      <c r="AJ843" s="18" t="str">
        <f aca="false">IF($D843="","",IF(OR($R843=TRUE(),$R843="TRUE"),1,0))</f>
        <v/>
      </c>
      <c r="AK843" s="18" t="str">
        <f aca="false">IF($AH843=1,IFERROR(VALUE(MID($D843,2,20)),1000000000)+ROW()/10000000,"")</f>
        <v/>
      </c>
    </row>
    <row r="844" customFormat="false" ht="15" hidden="false" customHeight="false" outlineLevel="0" collapsed="false">
      <c r="F844" s="15"/>
      <c r="N844" s="16" t="str">
        <f aca="false">IF($D844="","",M844*Y844/100)</f>
        <v/>
      </c>
      <c r="V844" s="16" t="str">
        <f aca="false">IF($D844="","",Y844*AB844/100)</f>
        <v/>
      </c>
      <c r="W844" s="16" t="str">
        <f aca="false">IF($D844="","",Y844-V844)</f>
        <v/>
      </c>
      <c r="X844" s="16" t="str">
        <f aca="false">IF($D844="","",W844-N844)</f>
        <v/>
      </c>
      <c r="AB844" s="17" t="str">
        <f aca="false">IF($D844="","",IF(OR($R844=TRUE(),$R844="TRUE"),Settings!$C$6,Settings!$C$7)*100)</f>
        <v/>
      </c>
      <c r="AH844" s="18" t="str">
        <f aca="false">IF($D844="","",IF(COUNTIF($D$2:$D844,$D844)=1,1,0))</f>
        <v/>
      </c>
      <c r="AI844" s="18" t="str">
        <f aca="false">IF($AH844=1,SUMPRODUCT(--($AK$2:$AK$4001&lt;$AK844))+1,"")</f>
        <v/>
      </c>
      <c r="AJ844" s="18" t="str">
        <f aca="false">IF($D844="","",IF(OR($R844=TRUE(),$R844="TRUE"),1,0))</f>
        <v/>
      </c>
      <c r="AK844" s="18" t="str">
        <f aca="false">IF($AH844=1,IFERROR(VALUE(MID($D844,2,20)),1000000000)+ROW()/10000000,"")</f>
        <v/>
      </c>
    </row>
    <row r="845" customFormat="false" ht="15" hidden="false" customHeight="false" outlineLevel="0" collapsed="false">
      <c r="F845" s="15"/>
      <c r="N845" s="16" t="str">
        <f aca="false">IF($D845="","",M845*Y845/100)</f>
        <v/>
      </c>
      <c r="V845" s="16" t="str">
        <f aca="false">IF($D845="","",Y845*AB845/100)</f>
        <v/>
      </c>
      <c r="W845" s="16" t="str">
        <f aca="false">IF($D845="","",Y845-V845)</f>
        <v/>
      </c>
      <c r="X845" s="16" t="str">
        <f aca="false">IF($D845="","",W845-N845)</f>
        <v/>
      </c>
      <c r="AB845" s="17" t="str">
        <f aca="false">IF($D845="","",IF(OR($R845=TRUE(),$R845="TRUE"),Settings!$C$6,Settings!$C$7)*100)</f>
        <v/>
      </c>
      <c r="AH845" s="18" t="str">
        <f aca="false">IF($D845="","",IF(COUNTIF($D$2:$D845,$D845)=1,1,0))</f>
        <v/>
      </c>
      <c r="AI845" s="18" t="str">
        <f aca="false">IF($AH845=1,SUMPRODUCT(--($AK$2:$AK$4001&lt;$AK845))+1,"")</f>
        <v/>
      </c>
      <c r="AJ845" s="18" t="str">
        <f aca="false">IF($D845="","",IF(OR($R845=TRUE(),$R845="TRUE"),1,0))</f>
        <v/>
      </c>
      <c r="AK845" s="18" t="str">
        <f aca="false">IF($AH845=1,IFERROR(VALUE(MID($D845,2,20)),1000000000)+ROW()/10000000,"")</f>
        <v/>
      </c>
    </row>
    <row r="846" customFormat="false" ht="15" hidden="false" customHeight="false" outlineLevel="0" collapsed="false">
      <c r="F846" s="15"/>
      <c r="N846" s="16" t="str">
        <f aca="false">IF($D846="","",M846*Y846/100)</f>
        <v/>
      </c>
      <c r="V846" s="16" t="str">
        <f aca="false">IF($D846="","",Y846*AB846/100)</f>
        <v/>
      </c>
      <c r="W846" s="16" t="str">
        <f aca="false">IF($D846="","",Y846-V846)</f>
        <v/>
      </c>
      <c r="X846" s="16" t="str">
        <f aca="false">IF($D846="","",W846-N846)</f>
        <v/>
      </c>
      <c r="AB846" s="17" t="str">
        <f aca="false">IF($D846="","",IF(OR($R846=TRUE(),$R846="TRUE"),Settings!$C$6,Settings!$C$7)*100)</f>
        <v/>
      </c>
      <c r="AH846" s="18" t="str">
        <f aca="false">IF($D846="","",IF(COUNTIF($D$2:$D846,$D846)=1,1,0))</f>
        <v/>
      </c>
      <c r="AI846" s="18" t="str">
        <f aca="false">IF($AH846=1,SUMPRODUCT(--($AK$2:$AK$4001&lt;$AK846))+1,"")</f>
        <v/>
      </c>
      <c r="AJ846" s="18" t="str">
        <f aca="false">IF($D846="","",IF(OR($R846=TRUE(),$R846="TRUE"),1,0))</f>
        <v/>
      </c>
      <c r="AK846" s="18" t="str">
        <f aca="false">IF($AH846=1,IFERROR(VALUE(MID($D846,2,20)),1000000000)+ROW()/10000000,"")</f>
        <v/>
      </c>
    </row>
    <row r="847" customFormat="false" ht="15" hidden="false" customHeight="false" outlineLevel="0" collapsed="false">
      <c r="F847" s="15"/>
      <c r="N847" s="16" t="str">
        <f aca="false">IF($D847="","",M847*Y847/100)</f>
        <v/>
      </c>
      <c r="V847" s="16" t="str">
        <f aca="false">IF($D847="","",Y847*AB847/100)</f>
        <v/>
      </c>
      <c r="W847" s="16" t="str">
        <f aca="false">IF($D847="","",Y847-V847)</f>
        <v/>
      </c>
      <c r="X847" s="16" t="str">
        <f aca="false">IF($D847="","",W847-N847)</f>
        <v/>
      </c>
      <c r="AB847" s="17" t="str">
        <f aca="false">IF($D847="","",IF(OR($R847=TRUE(),$R847="TRUE"),Settings!$C$6,Settings!$C$7)*100)</f>
        <v/>
      </c>
      <c r="AH847" s="18" t="str">
        <f aca="false">IF($D847="","",IF(COUNTIF($D$2:$D847,$D847)=1,1,0))</f>
        <v/>
      </c>
      <c r="AI847" s="18" t="str">
        <f aca="false">IF($AH847=1,SUMPRODUCT(--($AK$2:$AK$4001&lt;$AK847))+1,"")</f>
        <v/>
      </c>
      <c r="AJ847" s="18" t="str">
        <f aca="false">IF($D847="","",IF(OR($R847=TRUE(),$R847="TRUE"),1,0))</f>
        <v/>
      </c>
      <c r="AK847" s="18" t="str">
        <f aca="false">IF($AH847=1,IFERROR(VALUE(MID($D847,2,20)),1000000000)+ROW()/10000000,"")</f>
        <v/>
      </c>
    </row>
    <row r="848" customFormat="false" ht="15" hidden="false" customHeight="false" outlineLevel="0" collapsed="false">
      <c r="F848" s="15"/>
      <c r="N848" s="16" t="str">
        <f aca="false">IF($D848="","",M848*Y848/100)</f>
        <v/>
      </c>
      <c r="V848" s="16" t="str">
        <f aca="false">IF($D848="","",Y848*AB848/100)</f>
        <v/>
      </c>
      <c r="W848" s="16" t="str">
        <f aca="false">IF($D848="","",Y848-V848)</f>
        <v/>
      </c>
      <c r="X848" s="16" t="str">
        <f aca="false">IF($D848="","",W848-N848)</f>
        <v/>
      </c>
      <c r="AB848" s="17" t="str">
        <f aca="false">IF($D848="","",IF(OR($R848=TRUE(),$R848="TRUE"),Settings!$C$6,Settings!$C$7)*100)</f>
        <v/>
      </c>
      <c r="AH848" s="18" t="str">
        <f aca="false">IF($D848="","",IF(COUNTIF($D$2:$D848,$D848)=1,1,0))</f>
        <v/>
      </c>
      <c r="AI848" s="18" t="str">
        <f aca="false">IF($AH848=1,SUMPRODUCT(--($AK$2:$AK$4001&lt;$AK848))+1,"")</f>
        <v/>
      </c>
      <c r="AJ848" s="18" t="str">
        <f aca="false">IF($D848="","",IF(OR($R848=TRUE(),$R848="TRUE"),1,0))</f>
        <v/>
      </c>
      <c r="AK848" s="18" t="str">
        <f aca="false">IF($AH848=1,IFERROR(VALUE(MID($D848,2,20)),1000000000)+ROW()/10000000,"")</f>
        <v/>
      </c>
    </row>
    <row r="849" customFormat="false" ht="15" hidden="false" customHeight="false" outlineLevel="0" collapsed="false">
      <c r="F849" s="15"/>
      <c r="N849" s="16" t="str">
        <f aca="false">IF($D849="","",M849*Y849/100)</f>
        <v/>
      </c>
      <c r="V849" s="16" t="str">
        <f aca="false">IF($D849="","",Y849*AB849/100)</f>
        <v/>
      </c>
      <c r="W849" s="16" t="str">
        <f aca="false">IF($D849="","",Y849-V849)</f>
        <v/>
      </c>
      <c r="X849" s="16" t="str">
        <f aca="false">IF($D849="","",W849-N849)</f>
        <v/>
      </c>
      <c r="AB849" s="17" t="str">
        <f aca="false">IF($D849="","",IF(OR($R849=TRUE(),$R849="TRUE"),Settings!$C$6,Settings!$C$7)*100)</f>
        <v/>
      </c>
      <c r="AH849" s="18" t="str">
        <f aca="false">IF($D849="","",IF(COUNTIF($D$2:$D849,$D849)=1,1,0))</f>
        <v/>
      </c>
      <c r="AI849" s="18" t="str">
        <f aca="false">IF($AH849=1,SUMPRODUCT(--($AK$2:$AK$4001&lt;$AK849))+1,"")</f>
        <v/>
      </c>
      <c r="AJ849" s="18" t="str">
        <f aca="false">IF($D849="","",IF(OR($R849=TRUE(),$R849="TRUE"),1,0))</f>
        <v/>
      </c>
      <c r="AK849" s="18" t="str">
        <f aca="false">IF($AH849=1,IFERROR(VALUE(MID($D849,2,20)),1000000000)+ROW()/10000000,"")</f>
        <v/>
      </c>
    </row>
    <row r="850" customFormat="false" ht="15" hidden="false" customHeight="false" outlineLevel="0" collapsed="false">
      <c r="F850" s="15"/>
      <c r="N850" s="16" t="str">
        <f aca="false">IF($D850="","",M850*Y850/100)</f>
        <v/>
      </c>
      <c r="V850" s="16" t="str">
        <f aca="false">IF($D850="","",Y850*AB850/100)</f>
        <v/>
      </c>
      <c r="W850" s="16" t="str">
        <f aca="false">IF($D850="","",Y850-V850)</f>
        <v/>
      </c>
      <c r="X850" s="16" t="str">
        <f aca="false">IF($D850="","",W850-N850)</f>
        <v/>
      </c>
      <c r="AB850" s="17" t="str">
        <f aca="false">IF($D850="","",IF(OR($R850=TRUE(),$R850="TRUE"),Settings!$C$6,Settings!$C$7)*100)</f>
        <v/>
      </c>
      <c r="AH850" s="18" t="str">
        <f aca="false">IF($D850="","",IF(COUNTIF($D$2:$D850,$D850)=1,1,0))</f>
        <v/>
      </c>
      <c r="AI850" s="18" t="str">
        <f aca="false">IF($AH850=1,SUMPRODUCT(--($AK$2:$AK$4001&lt;$AK850))+1,"")</f>
        <v/>
      </c>
      <c r="AJ850" s="18" t="str">
        <f aca="false">IF($D850="","",IF(OR($R850=TRUE(),$R850="TRUE"),1,0))</f>
        <v/>
      </c>
      <c r="AK850" s="18" t="str">
        <f aca="false">IF($AH850=1,IFERROR(VALUE(MID($D850,2,20)),1000000000)+ROW()/10000000,"")</f>
        <v/>
      </c>
    </row>
    <row r="851" customFormat="false" ht="15" hidden="false" customHeight="false" outlineLevel="0" collapsed="false">
      <c r="F851" s="15"/>
      <c r="N851" s="16" t="str">
        <f aca="false">IF($D851="","",M851*Y851/100)</f>
        <v/>
      </c>
      <c r="V851" s="16" t="str">
        <f aca="false">IF($D851="","",Y851*AB851/100)</f>
        <v/>
      </c>
      <c r="W851" s="16" t="str">
        <f aca="false">IF($D851="","",Y851-V851)</f>
        <v/>
      </c>
      <c r="X851" s="16" t="str">
        <f aca="false">IF($D851="","",W851-N851)</f>
        <v/>
      </c>
      <c r="AB851" s="17" t="str">
        <f aca="false">IF($D851="","",IF(OR($R851=TRUE(),$R851="TRUE"),Settings!$C$6,Settings!$C$7)*100)</f>
        <v/>
      </c>
      <c r="AH851" s="18" t="str">
        <f aca="false">IF($D851="","",IF(COUNTIF($D$2:$D851,$D851)=1,1,0))</f>
        <v/>
      </c>
      <c r="AI851" s="18" t="str">
        <f aca="false">IF($AH851=1,SUMPRODUCT(--($AK$2:$AK$4001&lt;$AK851))+1,"")</f>
        <v/>
      </c>
      <c r="AJ851" s="18" t="str">
        <f aca="false">IF($D851="","",IF(OR($R851=TRUE(),$R851="TRUE"),1,0))</f>
        <v/>
      </c>
      <c r="AK851" s="18" t="str">
        <f aca="false">IF($AH851=1,IFERROR(VALUE(MID($D851,2,20)),1000000000)+ROW()/10000000,"")</f>
        <v/>
      </c>
    </row>
    <row r="852" customFormat="false" ht="15" hidden="false" customHeight="false" outlineLevel="0" collapsed="false">
      <c r="F852" s="15"/>
      <c r="N852" s="16" t="str">
        <f aca="false">IF($D852="","",M852*Y852/100)</f>
        <v/>
      </c>
      <c r="V852" s="16" t="str">
        <f aca="false">IF($D852="","",Y852*AB852/100)</f>
        <v/>
      </c>
      <c r="W852" s="16" t="str">
        <f aca="false">IF($D852="","",Y852-V852)</f>
        <v/>
      </c>
      <c r="X852" s="16" t="str">
        <f aca="false">IF($D852="","",W852-N852)</f>
        <v/>
      </c>
      <c r="AB852" s="17" t="str">
        <f aca="false">IF($D852="","",IF(OR($R852=TRUE(),$R852="TRUE"),Settings!$C$6,Settings!$C$7)*100)</f>
        <v/>
      </c>
      <c r="AH852" s="18" t="str">
        <f aca="false">IF($D852="","",IF(COUNTIF($D$2:$D852,$D852)=1,1,0))</f>
        <v/>
      </c>
      <c r="AI852" s="18" t="str">
        <f aca="false">IF($AH852=1,SUMPRODUCT(--($AK$2:$AK$4001&lt;$AK852))+1,"")</f>
        <v/>
      </c>
      <c r="AJ852" s="18" t="str">
        <f aca="false">IF($D852="","",IF(OR($R852=TRUE(),$R852="TRUE"),1,0))</f>
        <v/>
      </c>
      <c r="AK852" s="18" t="str">
        <f aca="false">IF($AH852=1,IFERROR(VALUE(MID($D852,2,20)),1000000000)+ROW()/10000000,"")</f>
        <v/>
      </c>
    </row>
    <row r="853" customFormat="false" ht="15" hidden="false" customHeight="false" outlineLevel="0" collapsed="false">
      <c r="F853" s="15"/>
      <c r="N853" s="16" t="str">
        <f aca="false">IF($D853="","",M853*Y853/100)</f>
        <v/>
      </c>
      <c r="V853" s="16" t="str">
        <f aca="false">IF($D853="","",Y853*AB853/100)</f>
        <v/>
      </c>
      <c r="W853" s="16" t="str">
        <f aca="false">IF($D853="","",Y853-V853)</f>
        <v/>
      </c>
      <c r="X853" s="16" t="str">
        <f aca="false">IF($D853="","",W853-N853)</f>
        <v/>
      </c>
      <c r="AB853" s="17" t="str">
        <f aca="false">IF($D853="","",IF(OR($R853=TRUE(),$R853="TRUE"),Settings!$C$6,Settings!$C$7)*100)</f>
        <v/>
      </c>
      <c r="AH853" s="18" t="str">
        <f aca="false">IF($D853="","",IF(COUNTIF($D$2:$D853,$D853)=1,1,0))</f>
        <v/>
      </c>
      <c r="AI853" s="18" t="str">
        <f aca="false">IF($AH853=1,SUMPRODUCT(--($AK$2:$AK$4001&lt;$AK853))+1,"")</f>
        <v/>
      </c>
      <c r="AJ853" s="18" t="str">
        <f aca="false">IF($D853="","",IF(OR($R853=TRUE(),$R853="TRUE"),1,0))</f>
        <v/>
      </c>
      <c r="AK853" s="18" t="str">
        <f aca="false">IF($AH853=1,IFERROR(VALUE(MID($D853,2,20)),1000000000)+ROW()/10000000,"")</f>
        <v/>
      </c>
    </row>
    <row r="854" customFormat="false" ht="15" hidden="false" customHeight="false" outlineLevel="0" collapsed="false">
      <c r="F854" s="15"/>
      <c r="N854" s="16" t="str">
        <f aca="false">IF($D854="","",M854*Y854/100)</f>
        <v/>
      </c>
      <c r="V854" s="16" t="str">
        <f aca="false">IF($D854="","",Y854*AB854/100)</f>
        <v/>
      </c>
      <c r="W854" s="16" t="str">
        <f aca="false">IF($D854="","",Y854-V854)</f>
        <v/>
      </c>
      <c r="X854" s="16" t="str">
        <f aca="false">IF($D854="","",W854-N854)</f>
        <v/>
      </c>
      <c r="AB854" s="17" t="str">
        <f aca="false">IF($D854="","",IF(OR($R854=TRUE(),$R854="TRUE"),Settings!$C$6,Settings!$C$7)*100)</f>
        <v/>
      </c>
      <c r="AH854" s="18" t="str">
        <f aca="false">IF($D854="","",IF(COUNTIF($D$2:$D854,$D854)=1,1,0))</f>
        <v/>
      </c>
      <c r="AI854" s="18" t="str">
        <f aca="false">IF($AH854=1,SUMPRODUCT(--($AK$2:$AK$4001&lt;$AK854))+1,"")</f>
        <v/>
      </c>
      <c r="AJ854" s="18" t="str">
        <f aca="false">IF($D854="","",IF(OR($R854=TRUE(),$R854="TRUE"),1,0))</f>
        <v/>
      </c>
      <c r="AK854" s="18" t="str">
        <f aca="false">IF($AH854=1,IFERROR(VALUE(MID($D854,2,20)),1000000000)+ROW()/10000000,"")</f>
        <v/>
      </c>
    </row>
    <row r="855" customFormat="false" ht="15" hidden="false" customHeight="false" outlineLevel="0" collapsed="false">
      <c r="F855" s="15"/>
      <c r="N855" s="16" t="str">
        <f aca="false">IF($D855="","",M855*Y855/100)</f>
        <v/>
      </c>
      <c r="V855" s="16" t="str">
        <f aca="false">IF($D855="","",Y855*AB855/100)</f>
        <v/>
      </c>
      <c r="W855" s="16" t="str">
        <f aca="false">IF($D855="","",Y855-V855)</f>
        <v/>
      </c>
      <c r="X855" s="16" t="str">
        <f aca="false">IF($D855="","",W855-N855)</f>
        <v/>
      </c>
      <c r="AB855" s="17" t="str">
        <f aca="false">IF($D855="","",IF(OR($R855=TRUE(),$R855="TRUE"),Settings!$C$6,Settings!$C$7)*100)</f>
        <v/>
      </c>
      <c r="AH855" s="18" t="str">
        <f aca="false">IF($D855="","",IF(COUNTIF($D$2:$D855,$D855)=1,1,0))</f>
        <v/>
      </c>
      <c r="AI855" s="18" t="str">
        <f aca="false">IF($AH855=1,SUMPRODUCT(--($AK$2:$AK$4001&lt;$AK855))+1,"")</f>
        <v/>
      </c>
      <c r="AJ855" s="18" t="str">
        <f aca="false">IF($D855="","",IF(OR($R855=TRUE(),$R855="TRUE"),1,0))</f>
        <v/>
      </c>
      <c r="AK855" s="18" t="str">
        <f aca="false">IF($AH855=1,IFERROR(VALUE(MID($D855,2,20)),1000000000)+ROW()/10000000,"")</f>
        <v/>
      </c>
    </row>
    <row r="856" customFormat="false" ht="15" hidden="false" customHeight="false" outlineLevel="0" collapsed="false">
      <c r="F856" s="15"/>
      <c r="N856" s="16" t="str">
        <f aca="false">IF($D856="","",M856*Y856/100)</f>
        <v/>
      </c>
      <c r="V856" s="16" t="str">
        <f aca="false">IF($D856="","",Y856*AB856/100)</f>
        <v/>
      </c>
      <c r="W856" s="16" t="str">
        <f aca="false">IF($D856="","",Y856-V856)</f>
        <v/>
      </c>
      <c r="X856" s="16" t="str">
        <f aca="false">IF($D856="","",W856-N856)</f>
        <v/>
      </c>
      <c r="AB856" s="17" t="str">
        <f aca="false">IF($D856="","",IF(OR($R856=TRUE(),$R856="TRUE"),Settings!$C$6,Settings!$C$7)*100)</f>
        <v/>
      </c>
      <c r="AH856" s="18" t="str">
        <f aca="false">IF($D856="","",IF(COUNTIF($D$2:$D856,$D856)=1,1,0))</f>
        <v/>
      </c>
      <c r="AI856" s="18" t="str">
        <f aca="false">IF($AH856=1,SUMPRODUCT(--($AK$2:$AK$4001&lt;$AK856))+1,"")</f>
        <v/>
      </c>
      <c r="AJ856" s="18" t="str">
        <f aca="false">IF($D856="","",IF(OR($R856=TRUE(),$R856="TRUE"),1,0))</f>
        <v/>
      </c>
      <c r="AK856" s="18" t="str">
        <f aca="false">IF($AH856=1,IFERROR(VALUE(MID($D856,2,20)),1000000000)+ROW()/10000000,"")</f>
        <v/>
      </c>
    </row>
    <row r="857" customFormat="false" ht="15" hidden="false" customHeight="false" outlineLevel="0" collapsed="false">
      <c r="F857" s="15"/>
      <c r="N857" s="16" t="str">
        <f aca="false">IF($D857="","",M857*Y857/100)</f>
        <v/>
      </c>
      <c r="V857" s="16" t="str">
        <f aca="false">IF($D857="","",Y857*AB857/100)</f>
        <v/>
      </c>
      <c r="W857" s="16" t="str">
        <f aca="false">IF($D857="","",Y857-V857)</f>
        <v/>
      </c>
      <c r="X857" s="16" t="str">
        <f aca="false">IF($D857="","",W857-N857)</f>
        <v/>
      </c>
      <c r="AB857" s="17" t="str">
        <f aca="false">IF($D857="","",IF(OR($R857=TRUE(),$R857="TRUE"),Settings!$C$6,Settings!$C$7)*100)</f>
        <v/>
      </c>
      <c r="AH857" s="18" t="str">
        <f aca="false">IF($D857="","",IF(COUNTIF($D$2:$D857,$D857)=1,1,0))</f>
        <v/>
      </c>
      <c r="AI857" s="18" t="str">
        <f aca="false">IF($AH857=1,SUMPRODUCT(--($AK$2:$AK$4001&lt;$AK857))+1,"")</f>
        <v/>
      </c>
      <c r="AJ857" s="18" t="str">
        <f aca="false">IF($D857="","",IF(OR($R857=TRUE(),$R857="TRUE"),1,0))</f>
        <v/>
      </c>
      <c r="AK857" s="18" t="str">
        <f aca="false">IF($AH857=1,IFERROR(VALUE(MID($D857,2,20)),1000000000)+ROW()/10000000,"")</f>
        <v/>
      </c>
    </row>
    <row r="858" customFormat="false" ht="15" hidden="false" customHeight="false" outlineLevel="0" collapsed="false">
      <c r="F858" s="15"/>
      <c r="N858" s="16" t="str">
        <f aca="false">IF($D858="","",M858*Y858/100)</f>
        <v/>
      </c>
      <c r="V858" s="16" t="str">
        <f aca="false">IF($D858="","",Y858*AB858/100)</f>
        <v/>
      </c>
      <c r="W858" s="16" t="str">
        <f aca="false">IF($D858="","",Y858-V858)</f>
        <v/>
      </c>
      <c r="X858" s="16" t="str">
        <f aca="false">IF($D858="","",W858-N858)</f>
        <v/>
      </c>
      <c r="AB858" s="17" t="str">
        <f aca="false">IF($D858="","",IF(OR($R858=TRUE(),$R858="TRUE"),Settings!$C$6,Settings!$C$7)*100)</f>
        <v/>
      </c>
      <c r="AH858" s="18" t="str">
        <f aca="false">IF($D858="","",IF(COUNTIF($D$2:$D858,$D858)=1,1,0))</f>
        <v/>
      </c>
      <c r="AI858" s="18" t="str">
        <f aca="false">IF($AH858=1,SUMPRODUCT(--($AK$2:$AK$4001&lt;$AK858))+1,"")</f>
        <v/>
      </c>
      <c r="AJ858" s="18" t="str">
        <f aca="false">IF($D858="","",IF(OR($R858=TRUE(),$R858="TRUE"),1,0))</f>
        <v/>
      </c>
      <c r="AK858" s="18" t="str">
        <f aca="false">IF($AH858=1,IFERROR(VALUE(MID($D858,2,20)),1000000000)+ROW()/10000000,"")</f>
        <v/>
      </c>
    </row>
    <row r="859" customFormat="false" ht="15" hidden="false" customHeight="false" outlineLevel="0" collapsed="false">
      <c r="F859" s="15"/>
      <c r="N859" s="16" t="str">
        <f aca="false">IF($D859="","",M859*Y859/100)</f>
        <v/>
      </c>
      <c r="V859" s="16" t="str">
        <f aca="false">IF($D859="","",Y859*AB859/100)</f>
        <v/>
      </c>
      <c r="W859" s="16" t="str">
        <f aca="false">IF($D859="","",Y859-V859)</f>
        <v/>
      </c>
      <c r="X859" s="16" t="str">
        <f aca="false">IF($D859="","",W859-N859)</f>
        <v/>
      </c>
      <c r="AB859" s="17" t="str">
        <f aca="false">IF($D859="","",IF(OR($R859=TRUE(),$R859="TRUE"),Settings!$C$6,Settings!$C$7)*100)</f>
        <v/>
      </c>
      <c r="AH859" s="18" t="str">
        <f aca="false">IF($D859="","",IF(COUNTIF($D$2:$D859,$D859)=1,1,0))</f>
        <v/>
      </c>
      <c r="AI859" s="18" t="str">
        <f aca="false">IF($AH859=1,SUMPRODUCT(--($AK$2:$AK$4001&lt;$AK859))+1,"")</f>
        <v/>
      </c>
      <c r="AJ859" s="18" t="str">
        <f aca="false">IF($D859="","",IF(OR($R859=TRUE(),$R859="TRUE"),1,0))</f>
        <v/>
      </c>
      <c r="AK859" s="18" t="str">
        <f aca="false">IF($AH859=1,IFERROR(VALUE(MID($D859,2,20)),1000000000)+ROW()/10000000,"")</f>
        <v/>
      </c>
    </row>
    <row r="860" customFormat="false" ht="15" hidden="false" customHeight="false" outlineLevel="0" collapsed="false">
      <c r="F860" s="15"/>
      <c r="N860" s="16" t="str">
        <f aca="false">IF($D860="","",M860*Y860/100)</f>
        <v/>
      </c>
      <c r="V860" s="16" t="str">
        <f aca="false">IF($D860="","",Y860*AB860/100)</f>
        <v/>
      </c>
      <c r="W860" s="16" t="str">
        <f aca="false">IF($D860="","",Y860-V860)</f>
        <v/>
      </c>
      <c r="X860" s="16" t="str">
        <f aca="false">IF($D860="","",W860-N860)</f>
        <v/>
      </c>
      <c r="AB860" s="17" t="str">
        <f aca="false">IF($D860="","",IF(OR($R860=TRUE(),$R860="TRUE"),Settings!$C$6,Settings!$C$7)*100)</f>
        <v/>
      </c>
      <c r="AH860" s="18" t="str">
        <f aca="false">IF($D860="","",IF(COUNTIF($D$2:$D860,$D860)=1,1,0))</f>
        <v/>
      </c>
      <c r="AI860" s="18" t="str">
        <f aca="false">IF($AH860=1,SUMPRODUCT(--($AK$2:$AK$4001&lt;$AK860))+1,"")</f>
        <v/>
      </c>
      <c r="AJ860" s="18" t="str">
        <f aca="false">IF($D860="","",IF(OR($R860=TRUE(),$R860="TRUE"),1,0))</f>
        <v/>
      </c>
      <c r="AK860" s="18" t="str">
        <f aca="false">IF($AH860=1,IFERROR(VALUE(MID($D860,2,20)),1000000000)+ROW()/10000000,"")</f>
        <v/>
      </c>
    </row>
    <row r="861" customFormat="false" ht="15" hidden="false" customHeight="false" outlineLevel="0" collapsed="false">
      <c r="F861" s="15"/>
      <c r="N861" s="16" t="str">
        <f aca="false">IF($D861="","",M861*Y861/100)</f>
        <v/>
      </c>
      <c r="V861" s="16" t="str">
        <f aca="false">IF($D861="","",Y861*AB861/100)</f>
        <v/>
      </c>
      <c r="W861" s="16" t="str">
        <f aca="false">IF($D861="","",Y861-V861)</f>
        <v/>
      </c>
      <c r="X861" s="16" t="str">
        <f aca="false">IF($D861="","",W861-N861)</f>
        <v/>
      </c>
      <c r="AB861" s="17" t="str">
        <f aca="false">IF($D861="","",IF(OR($R861=TRUE(),$R861="TRUE"),Settings!$C$6,Settings!$C$7)*100)</f>
        <v/>
      </c>
      <c r="AH861" s="18" t="str">
        <f aca="false">IF($D861="","",IF(COUNTIF($D$2:$D861,$D861)=1,1,0))</f>
        <v/>
      </c>
      <c r="AI861" s="18" t="str">
        <f aca="false">IF($AH861=1,SUMPRODUCT(--($AK$2:$AK$4001&lt;$AK861))+1,"")</f>
        <v/>
      </c>
      <c r="AJ861" s="18" t="str">
        <f aca="false">IF($D861="","",IF(OR($R861=TRUE(),$R861="TRUE"),1,0))</f>
        <v/>
      </c>
      <c r="AK861" s="18" t="str">
        <f aca="false">IF($AH861=1,IFERROR(VALUE(MID($D861,2,20)),1000000000)+ROW()/10000000,"")</f>
        <v/>
      </c>
    </row>
    <row r="862" customFormat="false" ht="15" hidden="false" customHeight="false" outlineLevel="0" collapsed="false">
      <c r="F862" s="15"/>
      <c r="N862" s="16" t="str">
        <f aca="false">IF($D862="","",M862*Y862/100)</f>
        <v/>
      </c>
      <c r="V862" s="16" t="str">
        <f aca="false">IF($D862="","",Y862*AB862/100)</f>
        <v/>
      </c>
      <c r="W862" s="16" t="str">
        <f aca="false">IF($D862="","",Y862-V862)</f>
        <v/>
      </c>
      <c r="X862" s="16" t="str">
        <f aca="false">IF($D862="","",W862-N862)</f>
        <v/>
      </c>
      <c r="AB862" s="17" t="str">
        <f aca="false">IF($D862="","",IF(OR($R862=TRUE(),$R862="TRUE"),Settings!$C$6,Settings!$C$7)*100)</f>
        <v/>
      </c>
      <c r="AH862" s="18" t="str">
        <f aca="false">IF($D862="","",IF(COUNTIF($D$2:$D862,$D862)=1,1,0))</f>
        <v/>
      </c>
      <c r="AI862" s="18" t="str">
        <f aca="false">IF($AH862=1,SUMPRODUCT(--($AK$2:$AK$4001&lt;$AK862))+1,"")</f>
        <v/>
      </c>
      <c r="AJ862" s="18" t="str">
        <f aca="false">IF($D862="","",IF(OR($R862=TRUE(),$R862="TRUE"),1,0))</f>
        <v/>
      </c>
      <c r="AK862" s="18" t="str">
        <f aca="false">IF($AH862=1,IFERROR(VALUE(MID($D862,2,20)),1000000000)+ROW()/10000000,"")</f>
        <v/>
      </c>
    </row>
    <row r="863" customFormat="false" ht="15" hidden="false" customHeight="false" outlineLevel="0" collapsed="false">
      <c r="F863" s="15"/>
      <c r="N863" s="16" t="str">
        <f aca="false">IF($D863="","",M863*Y863/100)</f>
        <v/>
      </c>
      <c r="V863" s="16" t="str">
        <f aca="false">IF($D863="","",Y863*AB863/100)</f>
        <v/>
      </c>
      <c r="W863" s="16" t="str">
        <f aca="false">IF($D863="","",Y863-V863)</f>
        <v/>
      </c>
      <c r="X863" s="16" t="str">
        <f aca="false">IF($D863="","",W863-N863)</f>
        <v/>
      </c>
      <c r="AB863" s="17" t="str">
        <f aca="false">IF($D863="","",IF(OR($R863=TRUE(),$R863="TRUE"),Settings!$C$6,Settings!$C$7)*100)</f>
        <v/>
      </c>
      <c r="AH863" s="18" t="str">
        <f aca="false">IF($D863="","",IF(COUNTIF($D$2:$D863,$D863)=1,1,0))</f>
        <v/>
      </c>
      <c r="AI863" s="18" t="str">
        <f aca="false">IF($AH863=1,SUMPRODUCT(--($AK$2:$AK$4001&lt;$AK863))+1,"")</f>
        <v/>
      </c>
      <c r="AJ863" s="18" t="str">
        <f aca="false">IF($D863="","",IF(OR($R863=TRUE(),$R863="TRUE"),1,0))</f>
        <v/>
      </c>
      <c r="AK863" s="18" t="str">
        <f aca="false">IF($AH863=1,IFERROR(VALUE(MID($D863,2,20)),1000000000)+ROW()/10000000,"")</f>
        <v/>
      </c>
    </row>
    <row r="864" customFormat="false" ht="15" hidden="false" customHeight="false" outlineLevel="0" collapsed="false">
      <c r="F864" s="15"/>
      <c r="N864" s="16" t="str">
        <f aca="false">IF($D864="","",M864*Y864/100)</f>
        <v/>
      </c>
      <c r="V864" s="16" t="str">
        <f aca="false">IF($D864="","",Y864*AB864/100)</f>
        <v/>
      </c>
      <c r="W864" s="16" t="str">
        <f aca="false">IF($D864="","",Y864-V864)</f>
        <v/>
      </c>
      <c r="X864" s="16" t="str">
        <f aca="false">IF($D864="","",W864-N864)</f>
        <v/>
      </c>
      <c r="AB864" s="17" t="str">
        <f aca="false">IF($D864="","",IF(OR($R864=TRUE(),$R864="TRUE"),Settings!$C$6,Settings!$C$7)*100)</f>
        <v/>
      </c>
      <c r="AH864" s="18" t="str">
        <f aca="false">IF($D864="","",IF(COUNTIF($D$2:$D864,$D864)=1,1,0))</f>
        <v/>
      </c>
      <c r="AI864" s="18" t="str">
        <f aca="false">IF($AH864=1,SUMPRODUCT(--($AK$2:$AK$4001&lt;$AK864))+1,"")</f>
        <v/>
      </c>
      <c r="AJ864" s="18" t="str">
        <f aca="false">IF($D864="","",IF(OR($R864=TRUE(),$R864="TRUE"),1,0))</f>
        <v/>
      </c>
      <c r="AK864" s="18" t="str">
        <f aca="false">IF($AH864=1,IFERROR(VALUE(MID($D864,2,20)),1000000000)+ROW()/10000000,"")</f>
        <v/>
      </c>
    </row>
    <row r="865" customFormat="false" ht="15" hidden="false" customHeight="false" outlineLevel="0" collapsed="false">
      <c r="F865" s="15"/>
      <c r="N865" s="16" t="str">
        <f aca="false">IF($D865="","",M865*Y865/100)</f>
        <v/>
      </c>
      <c r="V865" s="16" t="str">
        <f aca="false">IF($D865="","",Y865*AB865/100)</f>
        <v/>
      </c>
      <c r="W865" s="16" t="str">
        <f aca="false">IF($D865="","",Y865-V865)</f>
        <v/>
      </c>
      <c r="X865" s="16" t="str">
        <f aca="false">IF($D865="","",W865-N865)</f>
        <v/>
      </c>
      <c r="AB865" s="17" t="str">
        <f aca="false">IF($D865="","",IF(OR($R865=TRUE(),$R865="TRUE"),Settings!$C$6,Settings!$C$7)*100)</f>
        <v/>
      </c>
      <c r="AH865" s="18" t="str">
        <f aca="false">IF($D865="","",IF(COUNTIF($D$2:$D865,$D865)=1,1,0))</f>
        <v/>
      </c>
      <c r="AI865" s="18" t="str">
        <f aca="false">IF($AH865=1,SUMPRODUCT(--($AK$2:$AK$4001&lt;$AK865))+1,"")</f>
        <v/>
      </c>
      <c r="AJ865" s="18" t="str">
        <f aca="false">IF($D865="","",IF(OR($R865=TRUE(),$R865="TRUE"),1,0))</f>
        <v/>
      </c>
      <c r="AK865" s="18" t="str">
        <f aca="false">IF($AH865=1,IFERROR(VALUE(MID($D865,2,20)),1000000000)+ROW()/10000000,"")</f>
        <v/>
      </c>
    </row>
    <row r="866" customFormat="false" ht="15" hidden="false" customHeight="false" outlineLevel="0" collapsed="false">
      <c r="F866" s="15"/>
      <c r="N866" s="16" t="str">
        <f aca="false">IF($D866="","",M866*Y866/100)</f>
        <v/>
      </c>
      <c r="V866" s="16" t="str">
        <f aca="false">IF($D866="","",Y866*AB866/100)</f>
        <v/>
      </c>
      <c r="W866" s="16" t="str">
        <f aca="false">IF($D866="","",Y866-V866)</f>
        <v/>
      </c>
      <c r="X866" s="16" t="str">
        <f aca="false">IF($D866="","",W866-N866)</f>
        <v/>
      </c>
      <c r="AB866" s="17" t="str">
        <f aca="false">IF($D866="","",IF(OR($R866=TRUE(),$R866="TRUE"),Settings!$C$6,Settings!$C$7)*100)</f>
        <v/>
      </c>
      <c r="AH866" s="18" t="str">
        <f aca="false">IF($D866="","",IF(COUNTIF($D$2:$D866,$D866)=1,1,0))</f>
        <v/>
      </c>
      <c r="AI866" s="18" t="str">
        <f aca="false">IF($AH866=1,SUMPRODUCT(--($AK$2:$AK$4001&lt;$AK866))+1,"")</f>
        <v/>
      </c>
      <c r="AJ866" s="18" t="str">
        <f aca="false">IF($D866="","",IF(OR($R866=TRUE(),$R866="TRUE"),1,0))</f>
        <v/>
      </c>
      <c r="AK866" s="18" t="str">
        <f aca="false">IF($AH866=1,IFERROR(VALUE(MID($D866,2,20)),1000000000)+ROW()/10000000,"")</f>
        <v/>
      </c>
    </row>
    <row r="867" customFormat="false" ht="15" hidden="false" customHeight="false" outlineLevel="0" collapsed="false">
      <c r="F867" s="15"/>
      <c r="N867" s="16" t="str">
        <f aca="false">IF($D867="","",M867*Y867/100)</f>
        <v/>
      </c>
      <c r="V867" s="16" t="str">
        <f aca="false">IF($D867="","",Y867*AB867/100)</f>
        <v/>
      </c>
      <c r="W867" s="16" t="str">
        <f aca="false">IF($D867="","",Y867-V867)</f>
        <v/>
      </c>
      <c r="X867" s="16" t="str">
        <f aca="false">IF($D867="","",W867-N867)</f>
        <v/>
      </c>
      <c r="AB867" s="17" t="str">
        <f aca="false">IF($D867="","",IF(OR($R867=TRUE(),$R867="TRUE"),Settings!$C$6,Settings!$C$7)*100)</f>
        <v/>
      </c>
      <c r="AH867" s="18" t="str">
        <f aca="false">IF($D867="","",IF(COUNTIF($D$2:$D867,$D867)=1,1,0))</f>
        <v/>
      </c>
      <c r="AI867" s="18" t="str">
        <f aca="false">IF($AH867=1,SUMPRODUCT(--($AK$2:$AK$4001&lt;$AK867))+1,"")</f>
        <v/>
      </c>
      <c r="AJ867" s="18" t="str">
        <f aca="false">IF($D867="","",IF(OR($R867=TRUE(),$R867="TRUE"),1,0))</f>
        <v/>
      </c>
      <c r="AK867" s="18" t="str">
        <f aca="false">IF($AH867=1,IFERROR(VALUE(MID($D867,2,20)),1000000000)+ROW()/10000000,"")</f>
        <v/>
      </c>
    </row>
    <row r="868" customFormat="false" ht="15" hidden="false" customHeight="false" outlineLevel="0" collapsed="false">
      <c r="F868" s="15"/>
      <c r="N868" s="16" t="str">
        <f aca="false">IF($D868="","",M868*Y868/100)</f>
        <v/>
      </c>
      <c r="V868" s="16" t="str">
        <f aca="false">IF($D868="","",Y868*AB868/100)</f>
        <v/>
      </c>
      <c r="W868" s="16" t="str">
        <f aca="false">IF($D868="","",Y868-V868)</f>
        <v/>
      </c>
      <c r="X868" s="16" t="str">
        <f aca="false">IF($D868="","",W868-N868)</f>
        <v/>
      </c>
      <c r="AB868" s="17" t="str">
        <f aca="false">IF($D868="","",IF(OR($R868=TRUE(),$R868="TRUE"),Settings!$C$6,Settings!$C$7)*100)</f>
        <v/>
      </c>
      <c r="AH868" s="18" t="str">
        <f aca="false">IF($D868="","",IF(COUNTIF($D$2:$D868,$D868)=1,1,0))</f>
        <v/>
      </c>
      <c r="AI868" s="18" t="str">
        <f aca="false">IF($AH868=1,SUMPRODUCT(--($AK$2:$AK$4001&lt;$AK868))+1,"")</f>
        <v/>
      </c>
      <c r="AJ868" s="18" t="str">
        <f aca="false">IF($D868="","",IF(OR($R868=TRUE(),$R868="TRUE"),1,0))</f>
        <v/>
      </c>
      <c r="AK868" s="18" t="str">
        <f aca="false">IF($AH868=1,IFERROR(VALUE(MID($D868,2,20)),1000000000)+ROW()/10000000,"")</f>
        <v/>
      </c>
    </row>
    <row r="869" customFormat="false" ht="15" hidden="false" customHeight="false" outlineLevel="0" collapsed="false">
      <c r="F869" s="15"/>
      <c r="N869" s="16" t="str">
        <f aca="false">IF($D869="","",M869*Y869/100)</f>
        <v/>
      </c>
      <c r="V869" s="16" t="str">
        <f aca="false">IF($D869="","",Y869*AB869/100)</f>
        <v/>
      </c>
      <c r="W869" s="16" t="str">
        <f aca="false">IF($D869="","",Y869-V869)</f>
        <v/>
      </c>
      <c r="X869" s="16" t="str">
        <f aca="false">IF($D869="","",W869-N869)</f>
        <v/>
      </c>
      <c r="AB869" s="17" t="str">
        <f aca="false">IF($D869="","",IF(OR($R869=TRUE(),$R869="TRUE"),Settings!$C$6,Settings!$C$7)*100)</f>
        <v/>
      </c>
      <c r="AH869" s="18" t="str">
        <f aca="false">IF($D869="","",IF(COUNTIF($D$2:$D869,$D869)=1,1,0))</f>
        <v/>
      </c>
      <c r="AI869" s="18" t="str">
        <f aca="false">IF($AH869=1,SUMPRODUCT(--($AK$2:$AK$4001&lt;$AK869))+1,"")</f>
        <v/>
      </c>
      <c r="AJ869" s="18" t="str">
        <f aca="false">IF($D869="","",IF(OR($R869=TRUE(),$R869="TRUE"),1,0))</f>
        <v/>
      </c>
      <c r="AK869" s="18" t="str">
        <f aca="false">IF($AH869=1,IFERROR(VALUE(MID($D869,2,20)),1000000000)+ROW()/10000000,"")</f>
        <v/>
      </c>
    </row>
    <row r="870" customFormat="false" ht="15" hidden="false" customHeight="false" outlineLevel="0" collapsed="false">
      <c r="F870" s="15"/>
      <c r="N870" s="16" t="str">
        <f aca="false">IF($D870="","",M870*Y870/100)</f>
        <v/>
      </c>
      <c r="V870" s="16" t="str">
        <f aca="false">IF($D870="","",Y870*AB870/100)</f>
        <v/>
      </c>
      <c r="W870" s="16" t="str">
        <f aca="false">IF($D870="","",Y870-V870)</f>
        <v/>
      </c>
      <c r="X870" s="16" t="str">
        <f aca="false">IF($D870="","",W870-N870)</f>
        <v/>
      </c>
      <c r="AB870" s="17" t="str">
        <f aca="false">IF($D870="","",IF(OR($R870=TRUE(),$R870="TRUE"),Settings!$C$6,Settings!$C$7)*100)</f>
        <v/>
      </c>
      <c r="AH870" s="18" t="str">
        <f aca="false">IF($D870="","",IF(COUNTIF($D$2:$D870,$D870)=1,1,0))</f>
        <v/>
      </c>
      <c r="AI870" s="18" t="str">
        <f aca="false">IF($AH870=1,SUMPRODUCT(--($AK$2:$AK$4001&lt;$AK870))+1,"")</f>
        <v/>
      </c>
      <c r="AJ870" s="18" t="str">
        <f aca="false">IF($D870="","",IF(OR($R870=TRUE(),$R870="TRUE"),1,0))</f>
        <v/>
      </c>
      <c r="AK870" s="18" t="str">
        <f aca="false">IF($AH870=1,IFERROR(VALUE(MID($D870,2,20)),1000000000)+ROW()/10000000,"")</f>
        <v/>
      </c>
    </row>
    <row r="871" customFormat="false" ht="15" hidden="false" customHeight="false" outlineLevel="0" collapsed="false">
      <c r="F871" s="15"/>
      <c r="N871" s="16" t="str">
        <f aca="false">IF($D871="","",M871*Y871/100)</f>
        <v/>
      </c>
      <c r="V871" s="16" t="str">
        <f aca="false">IF($D871="","",Y871*AB871/100)</f>
        <v/>
      </c>
      <c r="W871" s="16" t="str">
        <f aca="false">IF($D871="","",Y871-V871)</f>
        <v/>
      </c>
      <c r="X871" s="16" t="str">
        <f aca="false">IF($D871="","",W871-N871)</f>
        <v/>
      </c>
      <c r="AB871" s="17" t="str">
        <f aca="false">IF($D871="","",IF(OR($R871=TRUE(),$R871="TRUE"),Settings!$C$6,Settings!$C$7)*100)</f>
        <v/>
      </c>
      <c r="AH871" s="18" t="str">
        <f aca="false">IF($D871="","",IF(COUNTIF($D$2:$D871,$D871)=1,1,0))</f>
        <v/>
      </c>
      <c r="AI871" s="18" t="str">
        <f aca="false">IF($AH871=1,SUMPRODUCT(--($AK$2:$AK$4001&lt;$AK871))+1,"")</f>
        <v/>
      </c>
      <c r="AJ871" s="18" t="str">
        <f aca="false">IF($D871="","",IF(OR($R871=TRUE(),$R871="TRUE"),1,0))</f>
        <v/>
      </c>
      <c r="AK871" s="18" t="str">
        <f aca="false">IF($AH871=1,IFERROR(VALUE(MID($D871,2,20)),1000000000)+ROW()/10000000,"")</f>
        <v/>
      </c>
    </row>
    <row r="872" customFormat="false" ht="15" hidden="false" customHeight="false" outlineLevel="0" collapsed="false">
      <c r="F872" s="15"/>
      <c r="N872" s="16" t="str">
        <f aca="false">IF($D872="","",M872*Y872/100)</f>
        <v/>
      </c>
      <c r="V872" s="16" t="str">
        <f aca="false">IF($D872="","",Y872*AB872/100)</f>
        <v/>
      </c>
      <c r="W872" s="16" t="str">
        <f aca="false">IF($D872="","",Y872-V872)</f>
        <v/>
      </c>
      <c r="X872" s="16" t="str">
        <f aca="false">IF($D872="","",W872-N872)</f>
        <v/>
      </c>
      <c r="AB872" s="17" t="str">
        <f aca="false">IF($D872="","",IF(OR($R872=TRUE(),$R872="TRUE"),Settings!$C$6,Settings!$C$7)*100)</f>
        <v/>
      </c>
      <c r="AH872" s="18" t="str">
        <f aca="false">IF($D872="","",IF(COUNTIF($D$2:$D872,$D872)=1,1,0))</f>
        <v/>
      </c>
      <c r="AI872" s="18" t="str">
        <f aca="false">IF($AH872=1,SUMPRODUCT(--($AK$2:$AK$4001&lt;$AK872))+1,"")</f>
        <v/>
      </c>
      <c r="AJ872" s="18" t="str">
        <f aca="false">IF($D872="","",IF(OR($R872=TRUE(),$R872="TRUE"),1,0))</f>
        <v/>
      </c>
      <c r="AK872" s="18" t="str">
        <f aca="false">IF($AH872=1,IFERROR(VALUE(MID($D872,2,20)),1000000000)+ROW()/10000000,"")</f>
        <v/>
      </c>
    </row>
    <row r="873" customFormat="false" ht="15" hidden="false" customHeight="false" outlineLevel="0" collapsed="false">
      <c r="F873" s="15"/>
      <c r="N873" s="16" t="str">
        <f aca="false">IF($D873="","",M873*Y873/100)</f>
        <v/>
      </c>
      <c r="V873" s="16" t="str">
        <f aca="false">IF($D873="","",Y873*AB873/100)</f>
        <v/>
      </c>
      <c r="W873" s="16" t="str">
        <f aca="false">IF($D873="","",Y873-V873)</f>
        <v/>
      </c>
      <c r="X873" s="16" t="str">
        <f aca="false">IF($D873="","",W873-N873)</f>
        <v/>
      </c>
      <c r="AB873" s="17" t="str">
        <f aca="false">IF($D873="","",IF(OR($R873=TRUE(),$R873="TRUE"),Settings!$C$6,Settings!$C$7)*100)</f>
        <v/>
      </c>
      <c r="AH873" s="18" t="str">
        <f aca="false">IF($D873="","",IF(COUNTIF($D$2:$D873,$D873)=1,1,0))</f>
        <v/>
      </c>
      <c r="AI873" s="18" t="str">
        <f aca="false">IF($AH873=1,SUMPRODUCT(--($AK$2:$AK$4001&lt;$AK873))+1,"")</f>
        <v/>
      </c>
      <c r="AJ873" s="18" t="str">
        <f aca="false">IF($D873="","",IF(OR($R873=TRUE(),$R873="TRUE"),1,0))</f>
        <v/>
      </c>
      <c r="AK873" s="18" t="str">
        <f aca="false">IF($AH873=1,IFERROR(VALUE(MID($D873,2,20)),1000000000)+ROW()/10000000,"")</f>
        <v/>
      </c>
    </row>
    <row r="874" customFormat="false" ht="15" hidden="false" customHeight="false" outlineLevel="0" collapsed="false">
      <c r="F874" s="15"/>
      <c r="N874" s="16" t="str">
        <f aca="false">IF($D874="","",M874*Y874/100)</f>
        <v/>
      </c>
      <c r="V874" s="16" t="str">
        <f aca="false">IF($D874="","",Y874*AB874/100)</f>
        <v/>
      </c>
      <c r="W874" s="16" t="str">
        <f aca="false">IF($D874="","",Y874-V874)</f>
        <v/>
      </c>
      <c r="X874" s="16" t="str">
        <f aca="false">IF($D874="","",W874-N874)</f>
        <v/>
      </c>
      <c r="AB874" s="17" t="str">
        <f aca="false">IF($D874="","",IF(OR($R874=TRUE(),$R874="TRUE"),Settings!$C$6,Settings!$C$7)*100)</f>
        <v/>
      </c>
      <c r="AH874" s="18" t="str">
        <f aca="false">IF($D874="","",IF(COUNTIF($D$2:$D874,$D874)=1,1,0))</f>
        <v/>
      </c>
      <c r="AI874" s="18" t="str">
        <f aca="false">IF($AH874=1,SUMPRODUCT(--($AK$2:$AK$4001&lt;$AK874))+1,"")</f>
        <v/>
      </c>
      <c r="AJ874" s="18" t="str">
        <f aca="false">IF($D874="","",IF(OR($R874=TRUE(),$R874="TRUE"),1,0))</f>
        <v/>
      </c>
      <c r="AK874" s="18" t="str">
        <f aca="false">IF($AH874=1,IFERROR(VALUE(MID($D874,2,20)),1000000000)+ROW()/10000000,"")</f>
        <v/>
      </c>
    </row>
    <row r="875" customFormat="false" ht="15" hidden="false" customHeight="false" outlineLevel="0" collapsed="false">
      <c r="F875" s="15"/>
      <c r="N875" s="16" t="str">
        <f aca="false">IF($D875="","",M875*Y875/100)</f>
        <v/>
      </c>
      <c r="V875" s="16" t="str">
        <f aca="false">IF($D875="","",Y875*AB875/100)</f>
        <v/>
      </c>
      <c r="W875" s="16" t="str">
        <f aca="false">IF($D875="","",Y875-V875)</f>
        <v/>
      </c>
      <c r="X875" s="16" t="str">
        <f aca="false">IF($D875="","",W875-N875)</f>
        <v/>
      </c>
      <c r="AB875" s="17" t="str">
        <f aca="false">IF($D875="","",IF(OR($R875=TRUE(),$R875="TRUE"),Settings!$C$6,Settings!$C$7)*100)</f>
        <v/>
      </c>
      <c r="AH875" s="18" t="str">
        <f aca="false">IF($D875="","",IF(COUNTIF($D$2:$D875,$D875)=1,1,0))</f>
        <v/>
      </c>
      <c r="AI875" s="18" t="str">
        <f aca="false">IF($AH875=1,SUMPRODUCT(--($AK$2:$AK$4001&lt;$AK875))+1,"")</f>
        <v/>
      </c>
      <c r="AJ875" s="18" t="str">
        <f aca="false">IF($D875="","",IF(OR($R875=TRUE(),$R875="TRUE"),1,0))</f>
        <v/>
      </c>
      <c r="AK875" s="18" t="str">
        <f aca="false">IF($AH875=1,IFERROR(VALUE(MID($D875,2,20)),1000000000)+ROW()/10000000,"")</f>
        <v/>
      </c>
    </row>
    <row r="876" customFormat="false" ht="15" hidden="false" customHeight="false" outlineLevel="0" collapsed="false">
      <c r="F876" s="15"/>
      <c r="N876" s="16" t="str">
        <f aca="false">IF($D876="","",M876*Y876/100)</f>
        <v/>
      </c>
      <c r="V876" s="16" t="str">
        <f aca="false">IF($D876="","",Y876*AB876/100)</f>
        <v/>
      </c>
      <c r="W876" s="16" t="str">
        <f aca="false">IF($D876="","",Y876-V876)</f>
        <v/>
      </c>
      <c r="X876" s="16" t="str">
        <f aca="false">IF($D876="","",W876-N876)</f>
        <v/>
      </c>
      <c r="AB876" s="17" t="str">
        <f aca="false">IF($D876="","",IF(OR($R876=TRUE(),$R876="TRUE"),Settings!$C$6,Settings!$C$7)*100)</f>
        <v/>
      </c>
      <c r="AH876" s="18" t="str">
        <f aca="false">IF($D876="","",IF(COUNTIF($D$2:$D876,$D876)=1,1,0))</f>
        <v/>
      </c>
      <c r="AI876" s="18" t="str">
        <f aca="false">IF($AH876=1,SUMPRODUCT(--($AK$2:$AK$4001&lt;$AK876))+1,"")</f>
        <v/>
      </c>
      <c r="AJ876" s="18" t="str">
        <f aca="false">IF($D876="","",IF(OR($R876=TRUE(),$R876="TRUE"),1,0))</f>
        <v/>
      </c>
      <c r="AK876" s="18" t="str">
        <f aca="false">IF($AH876=1,IFERROR(VALUE(MID($D876,2,20)),1000000000)+ROW()/10000000,"")</f>
        <v/>
      </c>
    </row>
    <row r="877" customFormat="false" ht="15" hidden="false" customHeight="false" outlineLevel="0" collapsed="false">
      <c r="F877" s="15"/>
      <c r="N877" s="16" t="str">
        <f aca="false">IF($D877="","",M877*Y877/100)</f>
        <v/>
      </c>
      <c r="V877" s="16" t="str">
        <f aca="false">IF($D877="","",Y877*AB877/100)</f>
        <v/>
      </c>
      <c r="W877" s="16" t="str">
        <f aca="false">IF($D877="","",Y877-V877)</f>
        <v/>
      </c>
      <c r="X877" s="16" t="str">
        <f aca="false">IF($D877="","",W877-N877)</f>
        <v/>
      </c>
      <c r="AB877" s="17" t="str">
        <f aca="false">IF($D877="","",IF(OR($R877=TRUE(),$R877="TRUE"),Settings!$C$6,Settings!$C$7)*100)</f>
        <v/>
      </c>
      <c r="AH877" s="18" t="str">
        <f aca="false">IF($D877="","",IF(COUNTIF($D$2:$D877,$D877)=1,1,0))</f>
        <v/>
      </c>
      <c r="AI877" s="18" t="str">
        <f aca="false">IF($AH877=1,SUMPRODUCT(--($AK$2:$AK$4001&lt;$AK877))+1,"")</f>
        <v/>
      </c>
      <c r="AJ877" s="18" t="str">
        <f aca="false">IF($D877="","",IF(OR($R877=TRUE(),$R877="TRUE"),1,0))</f>
        <v/>
      </c>
      <c r="AK877" s="18" t="str">
        <f aca="false">IF($AH877=1,IFERROR(VALUE(MID($D877,2,20)),1000000000)+ROW()/10000000,"")</f>
        <v/>
      </c>
    </row>
    <row r="878" customFormat="false" ht="15" hidden="false" customHeight="false" outlineLevel="0" collapsed="false">
      <c r="F878" s="15"/>
      <c r="N878" s="16" t="str">
        <f aca="false">IF($D878="","",M878*Y878/100)</f>
        <v/>
      </c>
      <c r="V878" s="16" t="str">
        <f aca="false">IF($D878="","",Y878*AB878/100)</f>
        <v/>
      </c>
      <c r="W878" s="16" t="str">
        <f aca="false">IF($D878="","",Y878-V878)</f>
        <v/>
      </c>
      <c r="X878" s="16" t="str">
        <f aca="false">IF($D878="","",W878-N878)</f>
        <v/>
      </c>
      <c r="AB878" s="17" t="str">
        <f aca="false">IF($D878="","",IF(OR($R878=TRUE(),$R878="TRUE"),Settings!$C$6,Settings!$C$7)*100)</f>
        <v/>
      </c>
      <c r="AH878" s="18" t="str">
        <f aca="false">IF($D878="","",IF(COUNTIF($D$2:$D878,$D878)=1,1,0))</f>
        <v/>
      </c>
      <c r="AI878" s="18" t="str">
        <f aca="false">IF($AH878=1,SUMPRODUCT(--($AK$2:$AK$4001&lt;$AK878))+1,"")</f>
        <v/>
      </c>
      <c r="AJ878" s="18" t="str">
        <f aca="false">IF($D878="","",IF(OR($R878=TRUE(),$R878="TRUE"),1,0))</f>
        <v/>
      </c>
      <c r="AK878" s="18" t="str">
        <f aca="false">IF($AH878=1,IFERROR(VALUE(MID($D878,2,20)),1000000000)+ROW()/10000000,"")</f>
        <v/>
      </c>
    </row>
    <row r="879" customFormat="false" ht="15" hidden="false" customHeight="false" outlineLevel="0" collapsed="false">
      <c r="F879" s="15"/>
      <c r="N879" s="16" t="str">
        <f aca="false">IF($D879="","",M879*Y879/100)</f>
        <v/>
      </c>
      <c r="V879" s="16" t="str">
        <f aca="false">IF($D879="","",Y879*AB879/100)</f>
        <v/>
      </c>
      <c r="W879" s="16" t="str">
        <f aca="false">IF($D879="","",Y879-V879)</f>
        <v/>
      </c>
      <c r="X879" s="16" t="str">
        <f aca="false">IF($D879="","",W879-N879)</f>
        <v/>
      </c>
      <c r="AB879" s="17" t="str">
        <f aca="false">IF($D879="","",IF(OR($R879=TRUE(),$R879="TRUE"),Settings!$C$6,Settings!$C$7)*100)</f>
        <v/>
      </c>
      <c r="AH879" s="18" t="str">
        <f aca="false">IF($D879="","",IF(COUNTIF($D$2:$D879,$D879)=1,1,0))</f>
        <v/>
      </c>
      <c r="AI879" s="18" t="str">
        <f aca="false">IF($AH879=1,SUMPRODUCT(--($AK$2:$AK$4001&lt;$AK879))+1,"")</f>
        <v/>
      </c>
      <c r="AJ879" s="18" t="str">
        <f aca="false">IF($D879="","",IF(OR($R879=TRUE(),$R879="TRUE"),1,0))</f>
        <v/>
      </c>
      <c r="AK879" s="18" t="str">
        <f aca="false">IF($AH879=1,IFERROR(VALUE(MID($D879,2,20)),1000000000)+ROW()/10000000,"")</f>
        <v/>
      </c>
    </row>
    <row r="880" customFormat="false" ht="15" hidden="false" customHeight="false" outlineLevel="0" collapsed="false">
      <c r="F880" s="15"/>
      <c r="N880" s="16" t="str">
        <f aca="false">IF($D880="","",M880*Y880/100)</f>
        <v/>
      </c>
      <c r="V880" s="16" t="str">
        <f aca="false">IF($D880="","",Y880*AB880/100)</f>
        <v/>
      </c>
      <c r="W880" s="16" t="str">
        <f aca="false">IF($D880="","",Y880-V880)</f>
        <v/>
      </c>
      <c r="X880" s="16" t="str">
        <f aca="false">IF($D880="","",W880-N880)</f>
        <v/>
      </c>
      <c r="AB880" s="17" t="str">
        <f aca="false">IF($D880="","",IF(OR($R880=TRUE(),$R880="TRUE"),Settings!$C$6,Settings!$C$7)*100)</f>
        <v/>
      </c>
      <c r="AH880" s="18" t="str">
        <f aca="false">IF($D880="","",IF(COUNTIF($D$2:$D880,$D880)=1,1,0))</f>
        <v/>
      </c>
      <c r="AI880" s="18" t="str">
        <f aca="false">IF($AH880=1,SUMPRODUCT(--($AK$2:$AK$4001&lt;$AK880))+1,"")</f>
        <v/>
      </c>
      <c r="AJ880" s="18" t="str">
        <f aca="false">IF($D880="","",IF(OR($R880=TRUE(),$R880="TRUE"),1,0))</f>
        <v/>
      </c>
      <c r="AK880" s="18" t="str">
        <f aca="false">IF($AH880=1,IFERROR(VALUE(MID($D880,2,20)),1000000000)+ROW()/10000000,"")</f>
        <v/>
      </c>
    </row>
    <row r="881" customFormat="false" ht="15" hidden="false" customHeight="false" outlineLevel="0" collapsed="false">
      <c r="F881" s="15"/>
      <c r="N881" s="16" t="str">
        <f aca="false">IF($D881="","",M881*Y881/100)</f>
        <v/>
      </c>
      <c r="V881" s="16" t="str">
        <f aca="false">IF($D881="","",Y881*AB881/100)</f>
        <v/>
      </c>
      <c r="W881" s="16" t="str">
        <f aca="false">IF($D881="","",Y881-V881)</f>
        <v/>
      </c>
      <c r="X881" s="16" t="str">
        <f aca="false">IF($D881="","",W881-N881)</f>
        <v/>
      </c>
      <c r="AB881" s="17" t="str">
        <f aca="false">IF($D881="","",IF(OR($R881=TRUE(),$R881="TRUE"),Settings!$C$6,Settings!$C$7)*100)</f>
        <v/>
      </c>
      <c r="AH881" s="18" t="str">
        <f aca="false">IF($D881="","",IF(COUNTIF($D$2:$D881,$D881)=1,1,0))</f>
        <v/>
      </c>
      <c r="AI881" s="18" t="str">
        <f aca="false">IF($AH881=1,SUMPRODUCT(--($AK$2:$AK$4001&lt;$AK881))+1,"")</f>
        <v/>
      </c>
      <c r="AJ881" s="18" t="str">
        <f aca="false">IF($D881="","",IF(OR($R881=TRUE(),$R881="TRUE"),1,0))</f>
        <v/>
      </c>
      <c r="AK881" s="18" t="str">
        <f aca="false">IF($AH881=1,IFERROR(VALUE(MID($D881,2,20)),1000000000)+ROW()/10000000,"")</f>
        <v/>
      </c>
    </row>
    <row r="882" customFormat="false" ht="15" hidden="false" customHeight="false" outlineLevel="0" collapsed="false">
      <c r="F882" s="15"/>
      <c r="N882" s="16" t="str">
        <f aca="false">IF($D882="","",M882*Y882/100)</f>
        <v/>
      </c>
      <c r="V882" s="16" t="str">
        <f aca="false">IF($D882="","",Y882*AB882/100)</f>
        <v/>
      </c>
      <c r="W882" s="16" t="str">
        <f aca="false">IF($D882="","",Y882-V882)</f>
        <v/>
      </c>
      <c r="X882" s="16" t="str">
        <f aca="false">IF($D882="","",W882-N882)</f>
        <v/>
      </c>
      <c r="AB882" s="17" t="str">
        <f aca="false">IF($D882="","",IF(OR($R882=TRUE(),$R882="TRUE"),Settings!$C$6,Settings!$C$7)*100)</f>
        <v/>
      </c>
      <c r="AH882" s="18" t="str">
        <f aca="false">IF($D882="","",IF(COUNTIF($D$2:$D882,$D882)=1,1,0))</f>
        <v/>
      </c>
      <c r="AI882" s="18" t="str">
        <f aca="false">IF($AH882=1,SUMPRODUCT(--($AK$2:$AK$4001&lt;$AK882))+1,"")</f>
        <v/>
      </c>
      <c r="AJ882" s="18" t="str">
        <f aca="false">IF($D882="","",IF(OR($R882=TRUE(),$R882="TRUE"),1,0))</f>
        <v/>
      </c>
      <c r="AK882" s="18" t="str">
        <f aca="false">IF($AH882=1,IFERROR(VALUE(MID($D882,2,20)),1000000000)+ROW()/10000000,"")</f>
        <v/>
      </c>
    </row>
    <row r="883" customFormat="false" ht="15" hidden="false" customHeight="false" outlineLevel="0" collapsed="false">
      <c r="F883" s="15"/>
      <c r="N883" s="16" t="str">
        <f aca="false">IF($D883="","",M883*Y883/100)</f>
        <v/>
      </c>
      <c r="V883" s="16" t="str">
        <f aca="false">IF($D883="","",Y883*AB883/100)</f>
        <v/>
      </c>
      <c r="W883" s="16" t="str">
        <f aca="false">IF($D883="","",Y883-V883)</f>
        <v/>
      </c>
      <c r="X883" s="16" t="str">
        <f aca="false">IF($D883="","",W883-N883)</f>
        <v/>
      </c>
      <c r="AB883" s="17" t="str">
        <f aca="false">IF($D883="","",IF(OR($R883=TRUE(),$R883="TRUE"),Settings!$C$6,Settings!$C$7)*100)</f>
        <v/>
      </c>
      <c r="AH883" s="18" t="str">
        <f aca="false">IF($D883="","",IF(COUNTIF($D$2:$D883,$D883)=1,1,0))</f>
        <v/>
      </c>
      <c r="AI883" s="18" t="str">
        <f aca="false">IF($AH883=1,SUMPRODUCT(--($AK$2:$AK$4001&lt;$AK883))+1,"")</f>
        <v/>
      </c>
      <c r="AJ883" s="18" t="str">
        <f aca="false">IF($D883="","",IF(OR($R883=TRUE(),$R883="TRUE"),1,0))</f>
        <v/>
      </c>
      <c r="AK883" s="18" t="str">
        <f aca="false">IF($AH883=1,IFERROR(VALUE(MID($D883,2,20)),1000000000)+ROW()/10000000,"")</f>
        <v/>
      </c>
    </row>
    <row r="884" customFormat="false" ht="15" hidden="false" customHeight="false" outlineLevel="0" collapsed="false">
      <c r="F884" s="15"/>
      <c r="N884" s="16" t="str">
        <f aca="false">IF($D884="","",M884*Y884/100)</f>
        <v/>
      </c>
      <c r="V884" s="16" t="str">
        <f aca="false">IF($D884="","",Y884*AB884/100)</f>
        <v/>
      </c>
      <c r="W884" s="16" t="str">
        <f aca="false">IF($D884="","",Y884-V884)</f>
        <v/>
      </c>
      <c r="X884" s="16" t="str">
        <f aca="false">IF($D884="","",W884-N884)</f>
        <v/>
      </c>
      <c r="AB884" s="17" t="str">
        <f aca="false">IF($D884="","",IF(OR($R884=TRUE(),$R884="TRUE"),Settings!$C$6,Settings!$C$7)*100)</f>
        <v/>
      </c>
      <c r="AH884" s="18" t="str">
        <f aca="false">IF($D884="","",IF(COUNTIF($D$2:$D884,$D884)=1,1,0))</f>
        <v/>
      </c>
      <c r="AI884" s="18" t="str">
        <f aca="false">IF($AH884=1,SUMPRODUCT(--($AK$2:$AK$4001&lt;$AK884))+1,"")</f>
        <v/>
      </c>
      <c r="AJ884" s="18" t="str">
        <f aca="false">IF($D884="","",IF(OR($R884=TRUE(),$R884="TRUE"),1,0))</f>
        <v/>
      </c>
      <c r="AK884" s="18" t="str">
        <f aca="false">IF($AH884=1,IFERROR(VALUE(MID($D884,2,20)),1000000000)+ROW()/10000000,"")</f>
        <v/>
      </c>
    </row>
    <row r="885" customFormat="false" ht="15" hidden="false" customHeight="false" outlineLevel="0" collapsed="false">
      <c r="F885" s="15"/>
      <c r="N885" s="16" t="str">
        <f aca="false">IF($D885="","",M885*Y885/100)</f>
        <v/>
      </c>
      <c r="V885" s="16" t="str">
        <f aca="false">IF($D885="","",Y885*AB885/100)</f>
        <v/>
      </c>
      <c r="W885" s="16" t="str">
        <f aca="false">IF($D885="","",Y885-V885)</f>
        <v/>
      </c>
      <c r="X885" s="16" t="str">
        <f aca="false">IF($D885="","",W885-N885)</f>
        <v/>
      </c>
      <c r="AB885" s="17" t="str">
        <f aca="false">IF($D885="","",IF(OR($R885=TRUE(),$R885="TRUE"),Settings!$C$6,Settings!$C$7)*100)</f>
        <v/>
      </c>
      <c r="AH885" s="18" t="str">
        <f aca="false">IF($D885="","",IF(COUNTIF($D$2:$D885,$D885)=1,1,0))</f>
        <v/>
      </c>
      <c r="AI885" s="18" t="str">
        <f aca="false">IF($AH885=1,SUMPRODUCT(--($AK$2:$AK$4001&lt;$AK885))+1,"")</f>
        <v/>
      </c>
      <c r="AJ885" s="18" t="str">
        <f aca="false">IF($D885="","",IF(OR($R885=TRUE(),$R885="TRUE"),1,0))</f>
        <v/>
      </c>
      <c r="AK885" s="18" t="str">
        <f aca="false">IF($AH885=1,IFERROR(VALUE(MID($D885,2,20)),1000000000)+ROW()/10000000,"")</f>
        <v/>
      </c>
    </row>
    <row r="886" customFormat="false" ht="15" hidden="false" customHeight="false" outlineLevel="0" collapsed="false">
      <c r="F886" s="15"/>
      <c r="N886" s="16" t="str">
        <f aca="false">IF($D886="","",M886*Y886/100)</f>
        <v/>
      </c>
      <c r="V886" s="16" t="str">
        <f aca="false">IF($D886="","",Y886*AB886/100)</f>
        <v/>
      </c>
      <c r="W886" s="16" t="str">
        <f aca="false">IF($D886="","",Y886-V886)</f>
        <v/>
      </c>
      <c r="X886" s="16" t="str">
        <f aca="false">IF($D886="","",W886-N886)</f>
        <v/>
      </c>
      <c r="AB886" s="17" t="str">
        <f aca="false">IF($D886="","",IF(OR($R886=TRUE(),$R886="TRUE"),Settings!$C$6,Settings!$C$7)*100)</f>
        <v/>
      </c>
      <c r="AH886" s="18" t="str">
        <f aca="false">IF($D886="","",IF(COUNTIF($D$2:$D886,$D886)=1,1,0))</f>
        <v/>
      </c>
      <c r="AI886" s="18" t="str">
        <f aca="false">IF($AH886=1,SUMPRODUCT(--($AK$2:$AK$4001&lt;$AK886))+1,"")</f>
        <v/>
      </c>
      <c r="AJ886" s="18" t="str">
        <f aca="false">IF($D886="","",IF(OR($R886=TRUE(),$R886="TRUE"),1,0))</f>
        <v/>
      </c>
      <c r="AK886" s="18" t="str">
        <f aca="false">IF($AH886=1,IFERROR(VALUE(MID($D886,2,20)),1000000000)+ROW()/10000000,"")</f>
        <v/>
      </c>
    </row>
    <row r="887" customFormat="false" ht="15" hidden="false" customHeight="false" outlineLevel="0" collapsed="false">
      <c r="F887" s="15"/>
      <c r="N887" s="16" t="str">
        <f aca="false">IF($D887="","",M887*Y887/100)</f>
        <v/>
      </c>
      <c r="V887" s="16" t="str">
        <f aca="false">IF($D887="","",Y887*AB887/100)</f>
        <v/>
      </c>
      <c r="W887" s="16" t="str">
        <f aca="false">IF($D887="","",Y887-V887)</f>
        <v/>
      </c>
      <c r="X887" s="16" t="str">
        <f aca="false">IF($D887="","",W887-N887)</f>
        <v/>
      </c>
      <c r="AB887" s="17" t="str">
        <f aca="false">IF($D887="","",IF(OR($R887=TRUE(),$R887="TRUE"),Settings!$C$6,Settings!$C$7)*100)</f>
        <v/>
      </c>
      <c r="AH887" s="18" t="str">
        <f aca="false">IF($D887="","",IF(COUNTIF($D$2:$D887,$D887)=1,1,0))</f>
        <v/>
      </c>
      <c r="AI887" s="18" t="str">
        <f aca="false">IF($AH887=1,SUMPRODUCT(--($AK$2:$AK$4001&lt;$AK887))+1,"")</f>
        <v/>
      </c>
      <c r="AJ887" s="18" t="str">
        <f aca="false">IF($D887="","",IF(OR($R887=TRUE(),$R887="TRUE"),1,0))</f>
        <v/>
      </c>
      <c r="AK887" s="18" t="str">
        <f aca="false">IF($AH887=1,IFERROR(VALUE(MID($D887,2,20)),1000000000)+ROW()/10000000,"")</f>
        <v/>
      </c>
    </row>
    <row r="888" customFormat="false" ht="15" hidden="false" customHeight="false" outlineLevel="0" collapsed="false">
      <c r="F888" s="15"/>
      <c r="N888" s="16" t="str">
        <f aca="false">IF($D888="","",M888*Y888/100)</f>
        <v/>
      </c>
      <c r="V888" s="16" t="str">
        <f aca="false">IF($D888="","",Y888*AB888/100)</f>
        <v/>
      </c>
      <c r="W888" s="16" t="str">
        <f aca="false">IF($D888="","",Y888-V888)</f>
        <v/>
      </c>
      <c r="X888" s="16" t="str">
        <f aca="false">IF($D888="","",W888-N888)</f>
        <v/>
      </c>
      <c r="AB888" s="17" t="str">
        <f aca="false">IF($D888="","",IF(OR($R888=TRUE(),$R888="TRUE"),Settings!$C$6,Settings!$C$7)*100)</f>
        <v/>
      </c>
      <c r="AH888" s="18" t="str">
        <f aca="false">IF($D888="","",IF(COUNTIF($D$2:$D888,$D888)=1,1,0))</f>
        <v/>
      </c>
      <c r="AI888" s="18" t="str">
        <f aca="false">IF($AH888=1,SUMPRODUCT(--($AK$2:$AK$4001&lt;$AK888))+1,"")</f>
        <v/>
      </c>
      <c r="AJ888" s="18" t="str">
        <f aca="false">IF($D888="","",IF(OR($R888=TRUE(),$R888="TRUE"),1,0))</f>
        <v/>
      </c>
      <c r="AK888" s="18" t="str">
        <f aca="false">IF($AH888=1,IFERROR(VALUE(MID($D888,2,20)),1000000000)+ROW()/10000000,"")</f>
        <v/>
      </c>
    </row>
    <row r="889" customFormat="false" ht="15" hidden="false" customHeight="false" outlineLevel="0" collapsed="false">
      <c r="F889" s="15"/>
      <c r="N889" s="16" t="str">
        <f aca="false">IF($D889="","",M889*Y889/100)</f>
        <v/>
      </c>
      <c r="V889" s="16" t="str">
        <f aca="false">IF($D889="","",Y889*AB889/100)</f>
        <v/>
      </c>
      <c r="W889" s="16" t="str">
        <f aca="false">IF($D889="","",Y889-V889)</f>
        <v/>
      </c>
      <c r="X889" s="16" t="str">
        <f aca="false">IF($D889="","",W889-N889)</f>
        <v/>
      </c>
      <c r="AB889" s="17" t="str">
        <f aca="false">IF($D889="","",IF(OR($R889=TRUE(),$R889="TRUE"),Settings!$C$6,Settings!$C$7)*100)</f>
        <v/>
      </c>
      <c r="AH889" s="18" t="str">
        <f aca="false">IF($D889="","",IF(COUNTIF($D$2:$D889,$D889)=1,1,0))</f>
        <v/>
      </c>
      <c r="AI889" s="18" t="str">
        <f aca="false">IF($AH889=1,SUMPRODUCT(--($AK$2:$AK$4001&lt;$AK889))+1,"")</f>
        <v/>
      </c>
      <c r="AJ889" s="18" t="str">
        <f aca="false">IF($D889="","",IF(OR($R889=TRUE(),$R889="TRUE"),1,0))</f>
        <v/>
      </c>
      <c r="AK889" s="18" t="str">
        <f aca="false">IF($AH889=1,IFERROR(VALUE(MID($D889,2,20)),1000000000)+ROW()/10000000,"")</f>
        <v/>
      </c>
    </row>
    <row r="890" customFormat="false" ht="15" hidden="false" customHeight="false" outlineLevel="0" collapsed="false">
      <c r="F890" s="15"/>
      <c r="N890" s="16" t="str">
        <f aca="false">IF($D890="","",M890*Y890/100)</f>
        <v/>
      </c>
      <c r="V890" s="16" t="str">
        <f aca="false">IF($D890="","",Y890*AB890/100)</f>
        <v/>
      </c>
      <c r="W890" s="16" t="str">
        <f aca="false">IF($D890="","",Y890-V890)</f>
        <v/>
      </c>
      <c r="X890" s="16" t="str">
        <f aca="false">IF($D890="","",W890-N890)</f>
        <v/>
      </c>
      <c r="AB890" s="17" t="str">
        <f aca="false">IF($D890="","",IF(OR($R890=TRUE(),$R890="TRUE"),Settings!$C$6,Settings!$C$7)*100)</f>
        <v/>
      </c>
      <c r="AH890" s="18" t="str">
        <f aca="false">IF($D890="","",IF(COUNTIF($D$2:$D890,$D890)=1,1,0))</f>
        <v/>
      </c>
      <c r="AI890" s="18" t="str">
        <f aca="false">IF($AH890=1,SUMPRODUCT(--($AK$2:$AK$4001&lt;$AK890))+1,"")</f>
        <v/>
      </c>
      <c r="AJ890" s="18" t="str">
        <f aca="false">IF($D890="","",IF(OR($R890=TRUE(),$R890="TRUE"),1,0))</f>
        <v/>
      </c>
      <c r="AK890" s="18" t="str">
        <f aca="false">IF($AH890=1,IFERROR(VALUE(MID($D890,2,20)),1000000000)+ROW()/10000000,"")</f>
        <v/>
      </c>
    </row>
    <row r="891" customFormat="false" ht="15" hidden="false" customHeight="false" outlineLevel="0" collapsed="false">
      <c r="F891" s="15"/>
      <c r="N891" s="16" t="str">
        <f aca="false">IF($D891="","",M891*Y891/100)</f>
        <v/>
      </c>
      <c r="V891" s="16" t="str">
        <f aca="false">IF($D891="","",Y891*AB891/100)</f>
        <v/>
      </c>
      <c r="W891" s="16" t="str">
        <f aca="false">IF($D891="","",Y891-V891)</f>
        <v/>
      </c>
      <c r="X891" s="16" t="str">
        <f aca="false">IF($D891="","",W891-N891)</f>
        <v/>
      </c>
      <c r="AB891" s="17" t="str">
        <f aca="false">IF($D891="","",IF(OR($R891=TRUE(),$R891="TRUE"),Settings!$C$6,Settings!$C$7)*100)</f>
        <v/>
      </c>
      <c r="AH891" s="18" t="str">
        <f aca="false">IF($D891="","",IF(COUNTIF($D$2:$D891,$D891)=1,1,0))</f>
        <v/>
      </c>
      <c r="AI891" s="18" t="str">
        <f aca="false">IF($AH891=1,SUMPRODUCT(--($AK$2:$AK$4001&lt;$AK891))+1,"")</f>
        <v/>
      </c>
      <c r="AJ891" s="18" t="str">
        <f aca="false">IF($D891="","",IF(OR($R891=TRUE(),$R891="TRUE"),1,0))</f>
        <v/>
      </c>
      <c r="AK891" s="18" t="str">
        <f aca="false">IF($AH891=1,IFERROR(VALUE(MID($D891,2,20)),1000000000)+ROW()/10000000,"")</f>
        <v/>
      </c>
    </row>
    <row r="892" customFormat="false" ht="15" hidden="false" customHeight="false" outlineLevel="0" collapsed="false">
      <c r="F892" s="15"/>
      <c r="N892" s="16" t="str">
        <f aca="false">IF($D892="","",M892*Y892/100)</f>
        <v/>
      </c>
      <c r="V892" s="16" t="str">
        <f aca="false">IF($D892="","",Y892*AB892/100)</f>
        <v/>
      </c>
      <c r="W892" s="16" t="str">
        <f aca="false">IF($D892="","",Y892-V892)</f>
        <v/>
      </c>
      <c r="X892" s="16" t="str">
        <f aca="false">IF($D892="","",W892-N892)</f>
        <v/>
      </c>
      <c r="AB892" s="17" t="str">
        <f aca="false">IF($D892="","",IF(OR($R892=TRUE(),$R892="TRUE"),Settings!$C$6,Settings!$C$7)*100)</f>
        <v/>
      </c>
      <c r="AH892" s="18" t="str">
        <f aca="false">IF($D892="","",IF(COUNTIF($D$2:$D892,$D892)=1,1,0))</f>
        <v/>
      </c>
      <c r="AI892" s="18" t="str">
        <f aca="false">IF($AH892=1,SUMPRODUCT(--($AK$2:$AK$4001&lt;$AK892))+1,"")</f>
        <v/>
      </c>
      <c r="AJ892" s="18" t="str">
        <f aca="false">IF($D892="","",IF(OR($R892=TRUE(),$R892="TRUE"),1,0))</f>
        <v/>
      </c>
      <c r="AK892" s="18" t="str">
        <f aca="false">IF($AH892=1,IFERROR(VALUE(MID($D892,2,20)),1000000000)+ROW()/10000000,"")</f>
        <v/>
      </c>
    </row>
    <row r="893" customFormat="false" ht="15" hidden="false" customHeight="false" outlineLevel="0" collapsed="false">
      <c r="F893" s="15"/>
      <c r="N893" s="16" t="str">
        <f aca="false">IF($D893="","",M893*Y893/100)</f>
        <v/>
      </c>
      <c r="V893" s="16" t="str">
        <f aca="false">IF($D893="","",Y893*AB893/100)</f>
        <v/>
      </c>
      <c r="W893" s="16" t="str">
        <f aca="false">IF($D893="","",Y893-V893)</f>
        <v/>
      </c>
      <c r="X893" s="16" t="str">
        <f aca="false">IF($D893="","",W893-N893)</f>
        <v/>
      </c>
      <c r="AB893" s="17" t="str">
        <f aca="false">IF($D893="","",IF(OR($R893=TRUE(),$R893="TRUE"),Settings!$C$6,Settings!$C$7)*100)</f>
        <v/>
      </c>
      <c r="AH893" s="18" t="str">
        <f aca="false">IF($D893="","",IF(COUNTIF($D$2:$D893,$D893)=1,1,0))</f>
        <v/>
      </c>
      <c r="AI893" s="18" t="str">
        <f aca="false">IF($AH893=1,SUMPRODUCT(--($AK$2:$AK$4001&lt;$AK893))+1,"")</f>
        <v/>
      </c>
      <c r="AJ893" s="18" t="str">
        <f aca="false">IF($D893="","",IF(OR($R893=TRUE(),$R893="TRUE"),1,0))</f>
        <v/>
      </c>
      <c r="AK893" s="18" t="str">
        <f aca="false">IF($AH893=1,IFERROR(VALUE(MID($D893,2,20)),1000000000)+ROW()/10000000,"")</f>
        <v/>
      </c>
    </row>
    <row r="894" customFormat="false" ht="15" hidden="false" customHeight="false" outlineLevel="0" collapsed="false">
      <c r="F894" s="15"/>
      <c r="N894" s="16" t="str">
        <f aca="false">IF($D894="","",M894*Y894/100)</f>
        <v/>
      </c>
      <c r="V894" s="16" t="str">
        <f aca="false">IF($D894="","",Y894*AB894/100)</f>
        <v/>
      </c>
      <c r="W894" s="16" t="str">
        <f aca="false">IF($D894="","",Y894-V894)</f>
        <v/>
      </c>
      <c r="X894" s="16" t="str">
        <f aca="false">IF($D894="","",W894-N894)</f>
        <v/>
      </c>
      <c r="AB894" s="17" t="str">
        <f aca="false">IF($D894="","",IF(OR($R894=TRUE(),$R894="TRUE"),Settings!$C$6,Settings!$C$7)*100)</f>
        <v/>
      </c>
      <c r="AH894" s="18" t="str">
        <f aca="false">IF($D894="","",IF(COUNTIF($D$2:$D894,$D894)=1,1,0))</f>
        <v/>
      </c>
      <c r="AI894" s="18" t="str">
        <f aca="false">IF($AH894=1,SUMPRODUCT(--($AK$2:$AK$4001&lt;$AK894))+1,"")</f>
        <v/>
      </c>
      <c r="AJ894" s="18" t="str">
        <f aca="false">IF($D894="","",IF(OR($R894=TRUE(),$R894="TRUE"),1,0))</f>
        <v/>
      </c>
      <c r="AK894" s="18" t="str">
        <f aca="false">IF($AH894=1,IFERROR(VALUE(MID($D894,2,20)),1000000000)+ROW()/10000000,"")</f>
        <v/>
      </c>
    </row>
    <row r="895" customFormat="false" ht="15" hidden="false" customHeight="false" outlineLevel="0" collapsed="false">
      <c r="F895" s="15"/>
      <c r="N895" s="16" t="str">
        <f aca="false">IF($D895="","",M895*Y895/100)</f>
        <v/>
      </c>
      <c r="V895" s="16" t="str">
        <f aca="false">IF($D895="","",Y895*AB895/100)</f>
        <v/>
      </c>
      <c r="W895" s="16" t="str">
        <f aca="false">IF($D895="","",Y895-V895)</f>
        <v/>
      </c>
      <c r="X895" s="16" t="str">
        <f aca="false">IF($D895="","",W895-N895)</f>
        <v/>
      </c>
      <c r="AB895" s="17" t="str">
        <f aca="false">IF($D895="","",IF(OR($R895=TRUE(),$R895="TRUE"),Settings!$C$6,Settings!$C$7)*100)</f>
        <v/>
      </c>
      <c r="AH895" s="18" t="str">
        <f aca="false">IF($D895="","",IF(COUNTIF($D$2:$D895,$D895)=1,1,0))</f>
        <v/>
      </c>
      <c r="AI895" s="18" t="str">
        <f aca="false">IF($AH895=1,SUMPRODUCT(--($AK$2:$AK$4001&lt;$AK895))+1,"")</f>
        <v/>
      </c>
      <c r="AJ895" s="18" t="str">
        <f aca="false">IF($D895="","",IF(OR($R895=TRUE(),$R895="TRUE"),1,0))</f>
        <v/>
      </c>
      <c r="AK895" s="18" t="str">
        <f aca="false">IF($AH895=1,IFERROR(VALUE(MID($D895,2,20)),1000000000)+ROW()/10000000,"")</f>
        <v/>
      </c>
    </row>
    <row r="896" customFormat="false" ht="15" hidden="false" customHeight="false" outlineLevel="0" collapsed="false">
      <c r="F896" s="15"/>
      <c r="N896" s="16" t="str">
        <f aca="false">IF($D896="","",M896*Y896/100)</f>
        <v/>
      </c>
      <c r="V896" s="16" t="str">
        <f aca="false">IF($D896="","",Y896*AB896/100)</f>
        <v/>
      </c>
      <c r="W896" s="16" t="str">
        <f aca="false">IF($D896="","",Y896-V896)</f>
        <v/>
      </c>
      <c r="X896" s="16" t="str">
        <f aca="false">IF($D896="","",W896-N896)</f>
        <v/>
      </c>
      <c r="AB896" s="17" t="str">
        <f aca="false">IF($D896="","",IF(OR($R896=TRUE(),$R896="TRUE"),Settings!$C$6,Settings!$C$7)*100)</f>
        <v/>
      </c>
      <c r="AH896" s="18" t="str">
        <f aca="false">IF($D896="","",IF(COUNTIF($D$2:$D896,$D896)=1,1,0))</f>
        <v/>
      </c>
      <c r="AI896" s="18" t="str">
        <f aca="false">IF($AH896=1,SUMPRODUCT(--($AK$2:$AK$4001&lt;$AK896))+1,"")</f>
        <v/>
      </c>
      <c r="AJ896" s="18" t="str">
        <f aca="false">IF($D896="","",IF(OR($R896=TRUE(),$R896="TRUE"),1,0))</f>
        <v/>
      </c>
      <c r="AK896" s="18" t="str">
        <f aca="false">IF($AH896=1,IFERROR(VALUE(MID($D896,2,20)),1000000000)+ROW()/10000000,"")</f>
        <v/>
      </c>
    </row>
    <row r="897" customFormat="false" ht="15" hidden="false" customHeight="false" outlineLevel="0" collapsed="false">
      <c r="F897" s="15"/>
      <c r="N897" s="16" t="str">
        <f aca="false">IF($D897="","",M897*Y897/100)</f>
        <v/>
      </c>
      <c r="V897" s="16" t="str">
        <f aca="false">IF($D897="","",Y897*AB897/100)</f>
        <v/>
      </c>
      <c r="W897" s="16" t="str">
        <f aca="false">IF($D897="","",Y897-V897)</f>
        <v/>
      </c>
      <c r="X897" s="16" t="str">
        <f aca="false">IF($D897="","",W897-N897)</f>
        <v/>
      </c>
      <c r="AB897" s="17" t="str">
        <f aca="false">IF($D897="","",IF(OR($R897=TRUE(),$R897="TRUE"),Settings!$C$6,Settings!$C$7)*100)</f>
        <v/>
      </c>
      <c r="AH897" s="18" t="str">
        <f aca="false">IF($D897="","",IF(COUNTIF($D$2:$D897,$D897)=1,1,0))</f>
        <v/>
      </c>
      <c r="AI897" s="18" t="str">
        <f aca="false">IF($AH897=1,SUMPRODUCT(--($AK$2:$AK$4001&lt;$AK897))+1,"")</f>
        <v/>
      </c>
      <c r="AJ897" s="18" t="str">
        <f aca="false">IF($D897="","",IF(OR($R897=TRUE(),$R897="TRUE"),1,0))</f>
        <v/>
      </c>
      <c r="AK897" s="18" t="str">
        <f aca="false">IF($AH897=1,IFERROR(VALUE(MID($D897,2,20)),1000000000)+ROW()/10000000,"")</f>
        <v/>
      </c>
    </row>
    <row r="898" customFormat="false" ht="15" hidden="false" customHeight="false" outlineLevel="0" collapsed="false">
      <c r="F898" s="15"/>
      <c r="N898" s="16" t="str">
        <f aca="false">IF($D898="","",M898*Y898/100)</f>
        <v/>
      </c>
      <c r="V898" s="16" t="str">
        <f aca="false">IF($D898="","",Y898*AB898/100)</f>
        <v/>
      </c>
      <c r="W898" s="16" t="str">
        <f aca="false">IF($D898="","",Y898-V898)</f>
        <v/>
      </c>
      <c r="X898" s="16" t="str">
        <f aca="false">IF($D898="","",W898-N898)</f>
        <v/>
      </c>
      <c r="AB898" s="17" t="str">
        <f aca="false">IF($D898="","",IF(OR($R898=TRUE(),$R898="TRUE"),Settings!$C$6,Settings!$C$7)*100)</f>
        <v/>
      </c>
      <c r="AH898" s="18" t="str">
        <f aca="false">IF($D898="","",IF(COUNTIF($D$2:$D898,$D898)=1,1,0))</f>
        <v/>
      </c>
      <c r="AI898" s="18" t="str">
        <f aca="false">IF($AH898=1,SUMPRODUCT(--($AK$2:$AK$4001&lt;$AK898))+1,"")</f>
        <v/>
      </c>
      <c r="AJ898" s="18" t="str">
        <f aca="false">IF($D898="","",IF(OR($R898=TRUE(),$R898="TRUE"),1,0))</f>
        <v/>
      </c>
      <c r="AK898" s="18" t="str">
        <f aca="false">IF($AH898=1,IFERROR(VALUE(MID($D898,2,20)),1000000000)+ROW()/10000000,"")</f>
        <v/>
      </c>
    </row>
    <row r="899" customFormat="false" ht="15" hidden="false" customHeight="false" outlineLevel="0" collapsed="false">
      <c r="F899" s="15"/>
      <c r="N899" s="16" t="str">
        <f aca="false">IF($D899="","",M899*Y899/100)</f>
        <v/>
      </c>
      <c r="V899" s="16" t="str">
        <f aca="false">IF($D899="","",Y899*AB899/100)</f>
        <v/>
      </c>
      <c r="W899" s="16" t="str">
        <f aca="false">IF($D899="","",Y899-V899)</f>
        <v/>
      </c>
      <c r="X899" s="16" t="str">
        <f aca="false">IF($D899="","",W899-N899)</f>
        <v/>
      </c>
      <c r="AB899" s="17" t="str">
        <f aca="false">IF($D899="","",IF(OR($R899=TRUE(),$R899="TRUE"),Settings!$C$6,Settings!$C$7)*100)</f>
        <v/>
      </c>
      <c r="AH899" s="18" t="str">
        <f aca="false">IF($D899="","",IF(COUNTIF($D$2:$D899,$D899)=1,1,0))</f>
        <v/>
      </c>
      <c r="AI899" s="18" t="str">
        <f aca="false">IF($AH899=1,SUMPRODUCT(--($AK$2:$AK$4001&lt;$AK899))+1,"")</f>
        <v/>
      </c>
      <c r="AJ899" s="18" t="str">
        <f aca="false">IF($D899="","",IF(OR($R899=TRUE(),$R899="TRUE"),1,0))</f>
        <v/>
      </c>
      <c r="AK899" s="18" t="str">
        <f aca="false">IF($AH899=1,IFERROR(VALUE(MID($D899,2,20)),1000000000)+ROW()/10000000,"")</f>
        <v/>
      </c>
    </row>
    <row r="900" customFormat="false" ht="15" hidden="false" customHeight="false" outlineLevel="0" collapsed="false">
      <c r="F900" s="15"/>
      <c r="N900" s="16" t="str">
        <f aca="false">IF($D900="","",M900*Y900/100)</f>
        <v/>
      </c>
      <c r="V900" s="16" t="str">
        <f aca="false">IF($D900="","",Y900*AB900/100)</f>
        <v/>
      </c>
      <c r="W900" s="16" t="str">
        <f aca="false">IF($D900="","",Y900-V900)</f>
        <v/>
      </c>
      <c r="X900" s="16" t="str">
        <f aca="false">IF($D900="","",W900-N900)</f>
        <v/>
      </c>
      <c r="AB900" s="17" t="str">
        <f aca="false">IF($D900="","",IF(OR($R900=TRUE(),$R900="TRUE"),Settings!$C$6,Settings!$C$7)*100)</f>
        <v/>
      </c>
      <c r="AH900" s="18" t="str">
        <f aca="false">IF($D900="","",IF(COUNTIF($D$2:$D900,$D900)=1,1,0))</f>
        <v/>
      </c>
      <c r="AI900" s="18" t="str">
        <f aca="false">IF($AH900=1,SUMPRODUCT(--($AK$2:$AK$4001&lt;$AK900))+1,"")</f>
        <v/>
      </c>
      <c r="AJ900" s="18" t="str">
        <f aca="false">IF($D900="","",IF(OR($R900=TRUE(),$R900="TRUE"),1,0))</f>
        <v/>
      </c>
      <c r="AK900" s="18" t="str">
        <f aca="false">IF($AH900=1,IFERROR(VALUE(MID($D900,2,20)),1000000000)+ROW()/10000000,"")</f>
        <v/>
      </c>
    </row>
    <row r="901" customFormat="false" ht="15" hidden="false" customHeight="false" outlineLevel="0" collapsed="false">
      <c r="F901" s="15"/>
      <c r="N901" s="16" t="str">
        <f aca="false">IF($D901="","",M901*Y901/100)</f>
        <v/>
      </c>
      <c r="V901" s="16" t="str">
        <f aca="false">IF($D901="","",Y901*AB901/100)</f>
        <v/>
      </c>
      <c r="W901" s="16" t="str">
        <f aca="false">IF($D901="","",Y901-V901)</f>
        <v/>
      </c>
      <c r="X901" s="16" t="str">
        <f aca="false">IF($D901="","",W901-N901)</f>
        <v/>
      </c>
      <c r="AB901" s="17" t="str">
        <f aca="false">IF($D901="","",IF(OR($R901=TRUE(),$R901="TRUE"),Settings!$C$6,Settings!$C$7)*100)</f>
        <v/>
      </c>
      <c r="AH901" s="18" t="str">
        <f aca="false">IF($D901="","",IF(COUNTIF($D$2:$D901,$D901)=1,1,0))</f>
        <v/>
      </c>
      <c r="AI901" s="18" t="str">
        <f aca="false">IF($AH901=1,SUMPRODUCT(--($AK$2:$AK$4001&lt;$AK901))+1,"")</f>
        <v/>
      </c>
      <c r="AJ901" s="18" t="str">
        <f aca="false">IF($D901="","",IF(OR($R901=TRUE(),$R901="TRUE"),1,0))</f>
        <v/>
      </c>
      <c r="AK901" s="18" t="str">
        <f aca="false">IF($AH901=1,IFERROR(VALUE(MID($D901,2,20)),1000000000)+ROW()/10000000,"")</f>
        <v/>
      </c>
    </row>
    <row r="902" customFormat="false" ht="15" hidden="false" customHeight="false" outlineLevel="0" collapsed="false">
      <c r="F902" s="15"/>
      <c r="N902" s="16" t="str">
        <f aca="false">IF($D902="","",M902*Y902/100)</f>
        <v/>
      </c>
      <c r="V902" s="16" t="str">
        <f aca="false">IF($D902="","",Y902*AB902/100)</f>
        <v/>
      </c>
      <c r="W902" s="16" t="str">
        <f aca="false">IF($D902="","",Y902-V902)</f>
        <v/>
      </c>
      <c r="X902" s="16" t="str">
        <f aca="false">IF($D902="","",W902-N902)</f>
        <v/>
      </c>
      <c r="AB902" s="17" t="str">
        <f aca="false">IF($D902="","",IF(OR($R902=TRUE(),$R902="TRUE"),Settings!$C$6,Settings!$C$7)*100)</f>
        <v/>
      </c>
      <c r="AH902" s="18" t="str">
        <f aca="false">IF($D902="","",IF(COUNTIF($D$2:$D902,$D902)=1,1,0))</f>
        <v/>
      </c>
      <c r="AI902" s="18" t="str">
        <f aca="false">IF($AH902=1,SUMPRODUCT(--($AK$2:$AK$4001&lt;$AK902))+1,"")</f>
        <v/>
      </c>
      <c r="AJ902" s="18" t="str">
        <f aca="false">IF($D902="","",IF(OR($R902=TRUE(),$R902="TRUE"),1,0))</f>
        <v/>
      </c>
      <c r="AK902" s="18" t="str">
        <f aca="false">IF($AH902=1,IFERROR(VALUE(MID($D902,2,20)),1000000000)+ROW()/10000000,"")</f>
        <v/>
      </c>
    </row>
    <row r="903" customFormat="false" ht="15" hidden="false" customHeight="false" outlineLevel="0" collapsed="false">
      <c r="F903" s="15"/>
      <c r="N903" s="16" t="str">
        <f aca="false">IF($D903="","",M903*Y903/100)</f>
        <v/>
      </c>
      <c r="V903" s="16" t="str">
        <f aca="false">IF($D903="","",Y903*AB903/100)</f>
        <v/>
      </c>
      <c r="W903" s="16" t="str">
        <f aca="false">IF($D903="","",Y903-V903)</f>
        <v/>
      </c>
      <c r="X903" s="16" t="str">
        <f aca="false">IF($D903="","",W903-N903)</f>
        <v/>
      </c>
      <c r="AB903" s="17" t="str">
        <f aca="false">IF($D903="","",IF(OR($R903=TRUE(),$R903="TRUE"),Settings!$C$6,Settings!$C$7)*100)</f>
        <v/>
      </c>
      <c r="AH903" s="18" t="str">
        <f aca="false">IF($D903="","",IF(COUNTIF($D$2:$D903,$D903)=1,1,0))</f>
        <v/>
      </c>
      <c r="AI903" s="18" t="str">
        <f aca="false">IF($AH903=1,SUMPRODUCT(--($AK$2:$AK$4001&lt;$AK903))+1,"")</f>
        <v/>
      </c>
      <c r="AJ903" s="18" t="str">
        <f aca="false">IF($D903="","",IF(OR($R903=TRUE(),$R903="TRUE"),1,0))</f>
        <v/>
      </c>
      <c r="AK903" s="18" t="str">
        <f aca="false">IF($AH903=1,IFERROR(VALUE(MID($D903,2,20)),1000000000)+ROW()/10000000,"")</f>
        <v/>
      </c>
    </row>
    <row r="904" customFormat="false" ht="15" hidden="false" customHeight="false" outlineLevel="0" collapsed="false">
      <c r="F904" s="15"/>
      <c r="N904" s="16" t="str">
        <f aca="false">IF($D904="","",M904*Y904/100)</f>
        <v/>
      </c>
      <c r="V904" s="16" t="str">
        <f aca="false">IF($D904="","",Y904*AB904/100)</f>
        <v/>
      </c>
      <c r="W904" s="16" t="str">
        <f aca="false">IF($D904="","",Y904-V904)</f>
        <v/>
      </c>
      <c r="X904" s="16" t="str">
        <f aca="false">IF($D904="","",W904-N904)</f>
        <v/>
      </c>
      <c r="AB904" s="17" t="str">
        <f aca="false">IF($D904="","",IF(OR($R904=TRUE(),$R904="TRUE"),Settings!$C$6,Settings!$C$7)*100)</f>
        <v/>
      </c>
      <c r="AH904" s="18" t="str">
        <f aca="false">IF($D904="","",IF(COUNTIF($D$2:$D904,$D904)=1,1,0))</f>
        <v/>
      </c>
      <c r="AI904" s="18" t="str">
        <f aca="false">IF($AH904=1,SUMPRODUCT(--($AK$2:$AK$4001&lt;$AK904))+1,"")</f>
        <v/>
      </c>
      <c r="AJ904" s="18" t="str">
        <f aca="false">IF($D904="","",IF(OR($R904=TRUE(),$R904="TRUE"),1,0))</f>
        <v/>
      </c>
      <c r="AK904" s="18" t="str">
        <f aca="false">IF($AH904=1,IFERROR(VALUE(MID($D904,2,20)),1000000000)+ROW()/10000000,"")</f>
        <v/>
      </c>
    </row>
    <row r="905" customFormat="false" ht="15" hidden="false" customHeight="false" outlineLevel="0" collapsed="false">
      <c r="F905" s="15"/>
      <c r="N905" s="16" t="str">
        <f aca="false">IF($D905="","",M905*Y905/100)</f>
        <v/>
      </c>
      <c r="V905" s="16" t="str">
        <f aca="false">IF($D905="","",Y905*AB905/100)</f>
        <v/>
      </c>
      <c r="W905" s="16" t="str">
        <f aca="false">IF($D905="","",Y905-V905)</f>
        <v/>
      </c>
      <c r="X905" s="16" t="str">
        <f aca="false">IF($D905="","",W905-N905)</f>
        <v/>
      </c>
      <c r="AB905" s="17" t="str">
        <f aca="false">IF($D905="","",IF(OR($R905=TRUE(),$R905="TRUE"),Settings!$C$6,Settings!$C$7)*100)</f>
        <v/>
      </c>
      <c r="AH905" s="18" t="str">
        <f aca="false">IF($D905="","",IF(COUNTIF($D$2:$D905,$D905)=1,1,0))</f>
        <v/>
      </c>
      <c r="AI905" s="18" t="str">
        <f aca="false">IF($AH905=1,SUMPRODUCT(--($AK$2:$AK$4001&lt;$AK905))+1,"")</f>
        <v/>
      </c>
      <c r="AJ905" s="18" t="str">
        <f aca="false">IF($D905="","",IF(OR($R905=TRUE(),$R905="TRUE"),1,0))</f>
        <v/>
      </c>
      <c r="AK905" s="18" t="str">
        <f aca="false">IF($AH905=1,IFERROR(VALUE(MID($D905,2,20)),1000000000)+ROW()/10000000,"")</f>
        <v/>
      </c>
    </row>
    <row r="906" customFormat="false" ht="15" hidden="false" customHeight="false" outlineLevel="0" collapsed="false">
      <c r="F906" s="15"/>
      <c r="N906" s="16" t="str">
        <f aca="false">IF($D906="","",M906*Y906/100)</f>
        <v/>
      </c>
      <c r="V906" s="16" t="str">
        <f aca="false">IF($D906="","",Y906*AB906/100)</f>
        <v/>
      </c>
      <c r="W906" s="16" t="str">
        <f aca="false">IF($D906="","",Y906-V906)</f>
        <v/>
      </c>
      <c r="X906" s="16" t="str">
        <f aca="false">IF($D906="","",W906-N906)</f>
        <v/>
      </c>
      <c r="AB906" s="17" t="str">
        <f aca="false">IF($D906="","",IF(OR($R906=TRUE(),$R906="TRUE"),Settings!$C$6,Settings!$C$7)*100)</f>
        <v/>
      </c>
      <c r="AH906" s="18" t="str">
        <f aca="false">IF($D906="","",IF(COUNTIF($D$2:$D906,$D906)=1,1,0))</f>
        <v/>
      </c>
      <c r="AI906" s="18" t="str">
        <f aca="false">IF($AH906=1,SUMPRODUCT(--($AK$2:$AK$4001&lt;$AK906))+1,"")</f>
        <v/>
      </c>
      <c r="AJ906" s="18" t="str">
        <f aca="false">IF($D906="","",IF(OR($R906=TRUE(),$R906="TRUE"),1,0))</f>
        <v/>
      </c>
      <c r="AK906" s="18" t="str">
        <f aca="false">IF($AH906=1,IFERROR(VALUE(MID($D906,2,20)),1000000000)+ROW()/10000000,"")</f>
        <v/>
      </c>
    </row>
    <row r="907" customFormat="false" ht="15" hidden="false" customHeight="false" outlineLevel="0" collapsed="false">
      <c r="F907" s="15"/>
      <c r="N907" s="16" t="str">
        <f aca="false">IF($D907="","",M907*Y907/100)</f>
        <v/>
      </c>
      <c r="V907" s="16" t="str">
        <f aca="false">IF($D907="","",Y907*AB907/100)</f>
        <v/>
      </c>
      <c r="W907" s="16" t="str">
        <f aca="false">IF($D907="","",Y907-V907)</f>
        <v/>
      </c>
      <c r="X907" s="16" t="str">
        <f aca="false">IF($D907="","",W907-N907)</f>
        <v/>
      </c>
      <c r="AB907" s="17" t="str">
        <f aca="false">IF($D907="","",IF(OR($R907=TRUE(),$R907="TRUE"),Settings!$C$6,Settings!$C$7)*100)</f>
        <v/>
      </c>
      <c r="AH907" s="18" t="str">
        <f aca="false">IF($D907="","",IF(COUNTIF($D$2:$D907,$D907)=1,1,0))</f>
        <v/>
      </c>
      <c r="AI907" s="18" t="str">
        <f aca="false">IF($AH907=1,SUMPRODUCT(--($AK$2:$AK$4001&lt;$AK907))+1,"")</f>
        <v/>
      </c>
      <c r="AJ907" s="18" t="str">
        <f aca="false">IF($D907="","",IF(OR($R907=TRUE(),$R907="TRUE"),1,0))</f>
        <v/>
      </c>
      <c r="AK907" s="18" t="str">
        <f aca="false">IF($AH907=1,IFERROR(VALUE(MID($D907,2,20)),1000000000)+ROW()/10000000,"")</f>
        <v/>
      </c>
    </row>
    <row r="908" customFormat="false" ht="15" hidden="false" customHeight="false" outlineLevel="0" collapsed="false">
      <c r="F908" s="15"/>
      <c r="N908" s="16" t="str">
        <f aca="false">IF($D908="","",M908*Y908/100)</f>
        <v/>
      </c>
      <c r="V908" s="16" t="str">
        <f aca="false">IF($D908="","",Y908*AB908/100)</f>
        <v/>
      </c>
      <c r="W908" s="16" t="str">
        <f aca="false">IF($D908="","",Y908-V908)</f>
        <v/>
      </c>
      <c r="X908" s="16" t="str">
        <f aca="false">IF($D908="","",W908-N908)</f>
        <v/>
      </c>
      <c r="AB908" s="17" t="str">
        <f aca="false">IF($D908="","",IF(OR($R908=TRUE(),$R908="TRUE"),Settings!$C$6,Settings!$C$7)*100)</f>
        <v/>
      </c>
      <c r="AH908" s="18" t="str">
        <f aca="false">IF($D908="","",IF(COUNTIF($D$2:$D908,$D908)=1,1,0))</f>
        <v/>
      </c>
      <c r="AI908" s="18" t="str">
        <f aca="false">IF($AH908=1,SUMPRODUCT(--($AK$2:$AK$4001&lt;$AK908))+1,"")</f>
        <v/>
      </c>
      <c r="AJ908" s="18" t="str">
        <f aca="false">IF($D908="","",IF(OR($R908=TRUE(),$R908="TRUE"),1,0))</f>
        <v/>
      </c>
      <c r="AK908" s="18" t="str">
        <f aca="false">IF($AH908=1,IFERROR(VALUE(MID($D908,2,20)),1000000000)+ROW()/10000000,"")</f>
        <v/>
      </c>
    </row>
    <row r="909" customFormat="false" ht="15" hidden="false" customHeight="false" outlineLevel="0" collapsed="false">
      <c r="F909" s="15"/>
      <c r="N909" s="16" t="str">
        <f aca="false">IF($D909="","",M909*Y909/100)</f>
        <v/>
      </c>
      <c r="V909" s="16" t="str">
        <f aca="false">IF($D909="","",Y909*AB909/100)</f>
        <v/>
      </c>
      <c r="W909" s="16" t="str">
        <f aca="false">IF($D909="","",Y909-V909)</f>
        <v/>
      </c>
      <c r="X909" s="16" t="str">
        <f aca="false">IF($D909="","",W909-N909)</f>
        <v/>
      </c>
      <c r="AB909" s="17" t="str">
        <f aca="false">IF($D909="","",IF(OR($R909=TRUE(),$R909="TRUE"),Settings!$C$6,Settings!$C$7)*100)</f>
        <v/>
      </c>
      <c r="AH909" s="18" t="str">
        <f aca="false">IF($D909="","",IF(COUNTIF($D$2:$D909,$D909)=1,1,0))</f>
        <v/>
      </c>
      <c r="AI909" s="18" t="str">
        <f aca="false">IF($AH909=1,SUMPRODUCT(--($AK$2:$AK$4001&lt;$AK909))+1,"")</f>
        <v/>
      </c>
      <c r="AJ909" s="18" t="str">
        <f aca="false">IF($D909="","",IF(OR($R909=TRUE(),$R909="TRUE"),1,0))</f>
        <v/>
      </c>
      <c r="AK909" s="18" t="str">
        <f aca="false">IF($AH909=1,IFERROR(VALUE(MID($D909,2,20)),1000000000)+ROW()/10000000,"")</f>
        <v/>
      </c>
    </row>
    <row r="910" customFormat="false" ht="15" hidden="false" customHeight="false" outlineLevel="0" collapsed="false">
      <c r="F910" s="15"/>
      <c r="N910" s="16" t="str">
        <f aca="false">IF($D910="","",M910*Y910/100)</f>
        <v/>
      </c>
      <c r="V910" s="16" t="str">
        <f aca="false">IF($D910="","",Y910*AB910/100)</f>
        <v/>
      </c>
      <c r="W910" s="16" t="str">
        <f aca="false">IF($D910="","",Y910-V910)</f>
        <v/>
      </c>
      <c r="X910" s="16" t="str">
        <f aca="false">IF($D910="","",W910-N910)</f>
        <v/>
      </c>
      <c r="AB910" s="17" t="str">
        <f aca="false">IF($D910="","",IF(OR($R910=TRUE(),$R910="TRUE"),Settings!$C$6,Settings!$C$7)*100)</f>
        <v/>
      </c>
      <c r="AH910" s="18" t="str">
        <f aca="false">IF($D910="","",IF(COUNTIF($D$2:$D910,$D910)=1,1,0))</f>
        <v/>
      </c>
      <c r="AI910" s="18" t="str">
        <f aca="false">IF($AH910=1,SUMPRODUCT(--($AK$2:$AK$4001&lt;$AK910))+1,"")</f>
        <v/>
      </c>
      <c r="AJ910" s="18" t="str">
        <f aca="false">IF($D910="","",IF(OR($R910=TRUE(),$R910="TRUE"),1,0))</f>
        <v/>
      </c>
      <c r="AK910" s="18" t="str">
        <f aca="false">IF($AH910=1,IFERROR(VALUE(MID($D910,2,20)),1000000000)+ROW()/10000000,"")</f>
        <v/>
      </c>
    </row>
    <row r="911" customFormat="false" ht="15" hidden="false" customHeight="false" outlineLevel="0" collapsed="false">
      <c r="F911" s="15"/>
      <c r="N911" s="16" t="str">
        <f aca="false">IF($D911="","",M911*Y911/100)</f>
        <v/>
      </c>
      <c r="V911" s="16" t="str">
        <f aca="false">IF($D911="","",Y911*AB911/100)</f>
        <v/>
      </c>
      <c r="W911" s="16" t="str">
        <f aca="false">IF($D911="","",Y911-V911)</f>
        <v/>
      </c>
      <c r="X911" s="16" t="str">
        <f aca="false">IF($D911="","",W911-N911)</f>
        <v/>
      </c>
      <c r="AB911" s="17" t="str">
        <f aca="false">IF($D911="","",IF(OR($R911=TRUE(),$R911="TRUE"),Settings!$C$6,Settings!$C$7)*100)</f>
        <v/>
      </c>
      <c r="AH911" s="18" t="str">
        <f aca="false">IF($D911="","",IF(COUNTIF($D$2:$D911,$D911)=1,1,0))</f>
        <v/>
      </c>
      <c r="AI911" s="18" t="str">
        <f aca="false">IF($AH911=1,SUMPRODUCT(--($AK$2:$AK$4001&lt;$AK911))+1,"")</f>
        <v/>
      </c>
      <c r="AJ911" s="18" t="str">
        <f aca="false">IF($D911="","",IF(OR($R911=TRUE(),$R911="TRUE"),1,0))</f>
        <v/>
      </c>
      <c r="AK911" s="18" t="str">
        <f aca="false">IF($AH911=1,IFERROR(VALUE(MID($D911,2,20)),1000000000)+ROW()/10000000,"")</f>
        <v/>
      </c>
    </row>
    <row r="912" customFormat="false" ht="15" hidden="false" customHeight="false" outlineLevel="0" collapsed="false">
      <c r="F912" s="15"/>
      <c r="N912" s="16" t="str">
        <f aca="false">IF($D912="","",M912*Y912/100)</f>
        <v/>
      </c>
      <c r="V912" s="16" t="str">
        <f aca="false">IF($D912="","",Y912*AB912/100)</f>
        <v/>
      </c>
      <c r="W912" s="16" t="str">
        <f aca="false">IF($D912="","",Y912-V912)</f>
        <v/>
      </c>
      <c r="X912" s="16" t="str">
        <f aca="false">IF($D912="","",W912-N912)</f>
        <v/>
      </c>
      <c r="AB912" s="17" t="str">
        <f aca="false">IF($D912="","",IF(OR($R912=TRUE(),$R912="TRUE"),Settings!$C$6,Settings!$C$7)*100)</f>
        <v/>
      </c>
      <c r="AH912" s="18" t="str">
        <f aca="false">IF($D912="","",IF(COUNTIF($D$2:$D912,$D912)=1,1,0))</f>
        <v/>
      </c>
      <c r="AI912" s="18" t="str">
        <f aca="false">IF($AH912=1,SUMPRODUCT(--($AK$2:$AK$4001&lt;$AK912))+1,"")</f>
        <v/>
      </c>
      <c r="AJ912" s="18" t="str">
        <f aca="false">IF($D912="","",IF(OR($R912=TRUE(),$R912="TRUE"),1,0))</f>
        <v/>
      </c>
      <c r="AK912" s="18" t="str">
        <f aca="false">IF($AH912=1,IFERROR(VALUE(MID($D912,2,20)),1000000000)+ROW()/10000000,"")</f>
        <v/>
      </c>
    </row>
    <row r="913" customFormat="false" ht="15" hidden="false" customHeight="false" outlineLevel="0" collapsed="false">
      <c r="F913" s="15"/>
      <c r="N913" s="16" t="str">
        <f aca="false">IF($D913="","",M913*Y913/100)</f>
        <v/>
      </c>
      <c r="V913" s="16" t="str">
        <f aca="false">IF($D913="","",Y913*AB913/100)</f>
        <v/>
      </c>
      <c r="W913" s="16" t="str">
        <f aca="false">IF($D913="","",Y913-V913)</f>
        <v/>
      </c>
      <c r="X913" s="16" t="str">
        <f aca="false">IF($D913="","",W913-N913)</f>
        <v/>
      </c>
      <c r="AB913" s="17" t="str">
        <f aca="false">IF($D913="","",IF(OR($R913=TRUE(),$R913="TRUE"),Settings!$C$6,Settings!$C$7)*100)</f>
        <v/>
      </c>
      <c r="AH913" s="18" t="str">
        <f aca="false">IF($D913="","",IF(COUNTIF($D$2:$D913,$D913)=1,1,0))</f>
        <v/>
      </c>
      <c r="AI913" s="18" t="str">
        <f aca="false">IF($AH913=1,SUMPRODUCT(--($AK$2:$AK$4001&lt;$AK913))+1,"")</f>
        <v/>
      </c>
      <c r="AJ913" s="18" t="str">
        <f aca="false">IF($D913="","",IF(OR($R913=TRUE(),$R913="TRUE"),1,0))</f>
        <v/>
      </c>
      <c r="AK913" s="18" t="str">
        <f aca="false">IF($AH913=1,IFERROR(VALUE(MID($D913,2,20)),1000000000)+ROW()/10000000,"")</f>
        <v/>
      </c>
    </row>
    <row r="914" customFormat="false" ht="15" hidden="false" customHeight="false" outlineLevel="0" collapsed="false">
      <c r="F914" s="15"/>
      <c r="N914" s="16" t="str">
        <f aca="false">IF($D914="","",M914*Y914/100)</f>
        <v/>
      </c>
      <c r="V914" s="16" t="str">
        <f aca="false">IF($D914="","",Y914*AB914/100)</f>
        <v/>
      </c>
      <c r="W914" s="16" t="str">
        <f aca="false">IF($D914="","",Y914-V914)</f>
        <v/>
      </c>
      <c r="X914" s="16" t="str">
        <f aca="false">IF($D914="","",W914-N914)</f>
        <v/>
      </c>
      <c r="AB914" s="17" t="str">
        <f aca="false">IF($D914="","",IF(OR($R914=TRUE(),$R914="TRUE"),Settings!$C$6,Settings!$C$7)*100)</f>
        <v/>
      </c>
      <c r="AH914" s="18" t="str">
        <f aca="false">IF($D914="","",IF(COUNTIF($D$2:$D914,$D914)=1,1,0))</f>
        <v/>
      </c>
      <c r="AI914" s="18" t="str">
        <f aca="false">IF($AH914=1,SUMPRODUCT(--($AK$2:$AK$4001&lt;$AK914))+1,"")</f>
        <v/>
      </c>
      <c r="AJ914" s="18" t="str">
        <f aca="false">IF($D914="","",IF(OR($R914=TRUE(),$R914="TRUE"),1,0))</f>
        <v/>
      </c>
      <c r="AK914" s="18" t="str">
        <f aca="false">IF($AH914=1,IFERROR(VALUE(MID($D914,2,20)),1000000000)+ROW()/10000000,"")</f>
        <v/>
      </c>
    </row>
    <row r="915" customFormat="false" ht="15" hidden="false" customHeight="false" outlineLevel="0" collapsed="false">
      <c r="F915" s="15"/>
      <c r="N915" s="16" t="str">
        <f aca="false">IF($D915="","",M915*Y915/100)</f>
        <v/>
      </c>
      <c r="V915" s="16" t="str">
        <f aca="false">IF($D915="","",Y915*AB915/100)</f>
        <v/>
      </c>
      <c r="W915" s="16" t="str">
        <f aca="false">IF($D915="","",Y915-V915)</f>
        <v/>
      </c>
      <c r="X915" s="16" t="str">
        <f aca="false">IF($D915="","",W915-N915)</f>
        <v/>
      </c>
      <c r="AB915" s="17" t="str">
        <f aca="false">IF($D915="","",IF(OR($R915=TRUE(),$R915="TRUE"),Settings!$C$6,Settings!$C$7)*100)</f>
        <v/>
      </c>
      <c r="AH915" s="18" t="str">
        <f aca="false">IF($D915="","",IF(COUNTIF($D$2:$D915,$D915)=1,1,0))</f>
        <v/>
      </c>
      <c r="AI915" s="18" t="str">
        <f aca="false">IF($AH915=1,SUMPRODUCT(--($AK$2:$AK$4001&lt;$AK915))+1,"")</f>
        <v/>
      </c>
      <c r="AJ915" s="18" t="str">
        <f aca="false">IF($D915="","",IF(OR($R915=TRUE(),$R915="TRUE"),1,0))</f>
        <v/>
      </c>
      <c r="AK915" s="18" t="str">
        <f aca="false">IF($AH915=1,IFERROR(VALUE(MID($D915,2,20)),1000000000)+ROW()/10000000,"")</f>
        <v/>
      </c>
    </row>
    <row r="916" customFormat="false" ht="15" hidden="false" customHeight="false" outlineLevel="0" collapsed="false">
      <c r="F916" s="15"/>
      <c r="N916" s="16" t="str">
        <f aca="false">IF($D916="","",M916*Y916/100)</f>
        <v/>
      </c>
      <c r="V916" s="16" t="str">
        <f aca="false">IF($D916="","",Y916*AB916/100)</f>
        <v/>
      </c>
      <c r="W916" s="16" t="str">
        <f aca="false">IF($D916="","",Y916-V916)</f>
        <v/>
      </c>
      <c r="X916" s="16" t="str">
        <f aca="false">IF($D916="","",W916-N916)</f>
        <v/>
      </c>
      <c r="AB916" s="17" t="str">
        <f aca="false">IF($D916="","",IF(OR($R916=TRUE(),$R916="TRUE"),Settings!$C$6,Settings!$C$7)*100)</f>
        <v/>
      </c>
      <c r="AH916" s="18" t="str">
        <f aca="false">IF($D916="","",IF(COUNTIF($D$2:$D916,$D916)=1,1,0))</f>
        <v/>
      </c>
      <c r="AI916" s="18" t="str">
        <f aca="false">IF($AH916=1,SUMPRODUCT(--($AK$2:$AK$4001&lt;$AK916))+1,"")</f>
        <v/>
      </c>
      <c r="AJ916" s="18" t="str">
        <f aca="false">IF($D916="","",IF(OR($R916=TRUE(),$R916="TRUE"),1,0))</f>
        <v/>
      </c>
      <c r="AK916" s="18" t="str">
        <f aca="false">IF($AH916=1,IFERROR(VALUE(MID($D916,2,20)),1000000000)+ROW()/10000000,"")</f>
        <v/>
      </c>
    </row>
    <row r="917" customFormat="false" ht="15" hidden="false" customHeight="false" outlineLevel="0" collapsed="false">
      <c r="F917" s="15"/>
      <c r="N917" s="16" t="str">
        <f aca="false">IF($D917="","",M917*Y917/100)</f>
        <v/>
      </c>
      <c r="V917" s="16" t="str">
        <f aca="false">IF($D917="","",Y917*AB917/100)</f>
        <v/>
      </c>
      <c r="W917" s="16" t="str">
        <f aca="false">IF($D917="","",Y917-V917)</f>
        <v/>
      </c>
      <c r="X917" s="16" t="str">
        <f aca="false">IF($D917="","",W917-N917)</f>
        <v/>
      </c>
      <c r="AB917" s="17" t="str">
        <f aca="false">IF($D917="","",IF(OR($R917=TRUE(),$R917="TRUE"),Settings!$C$6,Settings!$C$7)*100)</f>
        <v/>
      </c>
      <c r="AH917" s="18" t="str">
        <f aca="false">IF($D917="","",IF(COUNTIF($D$2:$D917,$D917)=1,1,0))</f>
        <v/>
      </c>
      <c r="AI917" s="18" t="str">
        <f aca="false">IF($AH917=1,SUMPRODUCT(--($AK$2:$AK$4001&lt;$AK917))+1,"")</f>
        <v/>
      </c>
      <c r="AJ917" s="18" t="str">
        <f aca="false">IF($D917="","",IF(OR($R917=TRUE(),$R917="TRUE"),1,0))</f>
        <v/>
      </c>
      <c r="AK917" s="18" t="str">
        <f aca="false">IF($AH917=1,IFERROR(VALUE(MID($D917,2,20)),1000000000)+ROW()/10000000,"")</f>
        <v/>
      </c>
    </row>
    <row r="918" customFormat="false" ht="15" hidden="false" customHeight="false" outlineLevel="0" collapsed="false">
      <c r="F918" s="15"/>
      <c r="N918" s="16" t="str">
        <f aca="false">IF($D918="","",M918*Y918/100)</f>
        <v/>
      </c>
      <c r="V918" s="16" t="str">
        <f aca="false">IF($D918="","",Y918*AB918/100)</f>
        <v/>
      </c>
      <c r="W918" s="16" t="str">
        <f aca="false">IF($D918="","",Y918-V918)</f>
        <v/>
      </c>
      <c r="X918" s="16" t="str">
        <f aca="false">IF($D918="","",W918-N918)</f>
        <v/>
      </c>
      <c r="AB918" s="17" t="str">
        <f aca="false">IF($D918="","",IF(OR($R918=TRUE(),$R918="TRUE"),Settings!$C$6,Settings!$C$7)*100)</f>
        <v/>
      </c>
      <c r="AH918" s="18" t="str">
        <f aca="false">IF($D918="","",IF(COUNTIF($D$2:$D918,$D918)=1,1,0))</f>
        <v/>
      </c>
      <c r="AI918" s="18" t="str">
        <f aca="false">IF($AH918=1,SUMPRODUCT(--($AK$2:$AK$4001&lt;$AK918))+1,"")</f>
        <v/>
      </c>
      <c r="AJ918" s="18" t="str">
        <f aca="false">IF($D918="","",IF(OR($R918=TRUE(),$R918="TRUE"),1,0))</f>
        <v/>
      </c>
      <c r="AK918" s="18" t="str">
        <f aca="false">IF($AH918=1,IFERROR(VALUE(MID($D918,2,20)),1000000000)+ROW()/10000000,"")</f>
        <v/>
      </c>
    </row>
    <row r="919" customFormat="false" ht="15" hidden="false" customHeight="false" outlineLevel="0" collapsed="false">
      <c r="F919" s="15"/>
      <c r="N919" s="16" t="str">
        <f aca="false">IF($D919="","",M919*Y919/100)</f>
        <v/>
      </c>
      <c r="V919" s="16" t="str">
        <f aca="false">IF($D919="","",Y919*AB919/100)</f>
        <v/>
      </c>
      <c r="W919" s="16" t="str">
        <f aca="false">IF($D919="","",Y919-V919)</f>
        <v/>
      </c>
      <c r="X919" s="16" t="str">
        <f aca="false">IF($D919="","",W919-N919)</f>
        <v/>
      </c>
      <c r="AB919" s="17" t="str">
        <f aca="false">IF($D919="","",IF(OR($R919=TRUE(),$R919="TRUE"),Settings!$C$6,Settings!$C$7)*100)</f>
        <v/>
      </c>
      <c r="AH919" s="18" t="str">
        <f aca="false">IF($D919="","",IF(COUNTIF($D$2:$D919,$D919)=1,1,0))</f>
        <v/>
      </c>
      <c r="AI919" s="18" t="str">
        <f aca="false">IF($AH919=1,SUMPRODUCT(--($AK$2:$AK$4001&lt;$AK919))+1,"")</f>
        <v/>
      </c>
      <c r="AJ919" s="18" t="str">
        <f aca="false">IF($D919="","",IF(OR($R919=TRUE(),$R919="TRUE"),1,0))</f>
        <v/>
      </c>
      <c r="AK919" s="18" t="str">
        <f aca="false">IF($AH919=1,IFERROR(VALUE(MID($D919,2,20)),1000000000)+ROW()/10000000,"")</f>
        <v/>
      </c>
    </row>
    <row r="920" customFormat="false" ht="15" hidden="false" customHeight="false" outlineLevel="0" collapsed="false">
      <c r="F920" s="15"/>
      <c r="N920" s="16" t="str">
        <f aca="false">IF($D920="","",M920*Y920/100)</f>
        <v/>
      </c>
      <c r="V920" s="16" t="str">
        <f aca="false">IF($D920="","",Y920*AB920/100)</f>
        <v/>
      </c>
      <c r="W920" s="16" t="str">
        <f aca="false">IF($D920="","",Y920-V920)</f>
        <v/>
      </c>
      <c r="X920" s="16" t="str">
        <f aca="false">IF($D920="","",W920-N920)</f>
        <v/>
      </c>
      <c r="AB920" s="17" t="str">
        <f aca="false">IF($D920="","",IF(OR($R920=TRUE(),$R920="TRUE"),Settings!$C$6,Settings!$C$7)*100)</f>
        <v/>
      </c>
      <c r="AH920" s="18" t="str">
        <f aca="false">IF($D920="","",IF(COUNTIF($D$2:$D920,$D920)=1,1,0))</f>
        <v/>
      </c>
      <c r="AI920" s="18" t="str">
        <f aca="false">IF($AH920=1,SUMPRODUCT(--($AK$2:$AK$4001&lt;$AK920))+1,"")</f>
        <v/>
      </c>
      <c r="AJ920" s="18" t="str">
        <f aca="false">IF($D920="","",IF(OR($R920=TRUE(),$R920="TRUE"),1,0))</f>
        <v/>
      </c>
      <c r="AK920" s="18" t="str">
        <f aca="false">IF($AH920=1,IFERROR(VALUE(MID($D920,2,20)),1000000000)+ROW()/10000000,"")</f>
        <v/>
      </c>
    </row>
    <row r="921" customFormat="false" ht="15" hidden="false" customHeight="false" outlineLevel="0" collapsed="false">
      <c r="F921" s="15"/>
      <c r="N921" s="16" t="str">
        <f aca="false">IF($D921="","",M921*Y921/100)</f>
        <v/>
      </c>
      <c r="V921" s="16" t="str">
        <f aca="false">IF($D921="","",Y921*AB921/100)</f>
        <v/>
      </c>
      <c r="W921" s="16" t="str">
        <f aca="false">IF($D921="","",Y921-V921)</f>
        <v/>
      </c>
      <c r="X921" s="16" t="str">
        <f aca="false">IF($D921="","",W921-N921)</f>
        <v/>
      </c>
      <c r="AB921" s="17" t="str">
        <f aca="false">IF($D921="","",IF(OR($R921=TRUE(),$R921="TRUE"),Settings!$C$6,Settings!$C$7)*100)</f>
        <v/>
      </c>
      <c r="AH921" s="18" t="str">
        <f aca="false">IF($D921="","",IF(COUNTIF($D$2:$D921,$D921)=1,1,0))</f>
        <v/>
      </c>
      <c r="AI921" s="18" t="str">
        <f aca="false">IF($AH921=1,SUMPRODUCT(--($AK$2:$AK$4001&lt;$AK921))+1,"")</f>
        <v/>
      </c>
      <c r="AJ921" s="18" t="str">
        <f aca="false">IF($D921="","",IF(OR($R921=TRUE(),$R921="TRUE"),1,0))</f>
        <v/>
      </c>
      <c r="AK921" s="18" t="str">
        <f aca="false">IF($AH921=1,IFERROR(VALUE(MID($D921,2,20)),1000000000)+ROW()/10000000,"")</f>
        <v/>
      </c>
    </row>
    <row r="922" customFormat="false" ht="15" hidden="false" customHeight="false" outlineLevel="0" collapsed="false">
      <c r="F922" s="15"/>
      <c r="N922" s="16" t="str">
        <f aca="false">IF($D922="","",M922*Y922/100)</f>
        <v/>
      </c>
      <c r="V922" s="16" t="str">
        <f aca="false">IF($D922="","",Y922*AB922/100)</f>
        <v/>
      </c>
      <c r="W922" s="16" t="str">
        <f aca="false">IF($D922="","",Y922-V922)</f>
        <v/>
      </c>
      <c r="X922" s="16" t="str">
        <f aca="false">IF($D922="","",W922-N922)</f>
        <v/>
      </c>
      <c r="AB922" s="17" t="str">
        <f aca="false">IF($D922="","",IF(OR($R922=TRUE(),$R922="TRUE"),Settings!$C$6,Settings!$C$7)*100)</f>
        <v/>
      </c>
      <c r="AH922" s="18" t="str">
        <f aca="false">IF($D922="","",IF(COUNTIF($D$2:$D922,$D922)=1,1,0))</f>
        <v/>
      </c>
      <c r="AI922" s="18" t="str">
        <f aca="false">IF($AH922=1,SUMPRODUCT(--($AK$2:$AK$4001&lt;$AK922))+1,"")</f>
        <v/>
      </c>
      <c r="AJ922" s="18" t="str">
        <f aca="false">IF($D922="","",IF(OR($R922=TRUE(),$R922="TRUE"),1,0))</f>
        <v/>
      </c>
      <c r="AK922" s="18" t="str">
        <f aca="false">IF($AH922=1,IFERROR(VALUE(MID($D922,2,20)),1000000000)+ROW()/10000000,"")</f>
        <v/>
      </c>
    </row>
    <row r="923" customFormat="false" ht="15" hidden="false" customHeight="false" outlineLevel="0" collapsed="false">
      <c r="F923" s="15"/>
      <c r="N923" s="16" t="str">
        <f aca="false">IF($D923="","",M923*Y923/100)</f>
        <v/>
      </c>
      <c r="V923" s="16" t="str">
        <f aca="false">IF($D923="","",Y923*AB923/100)</f>
        <v/>
      </c>
      <c r="W923" s="16" t="str">
        <f aca="false">IF($D923="","",Y923-V923)</f>
        <v/>
      </c>
      <c r="X923" s="16" t="str">
        <f aca="false">IF($D923="","",W923-N923)</f>
        <v/>
      </c>
      <c r="AB923" s="17" t="str">
        <f aca="false">IF($D923="","",IF(OR($R923=TRUE(),$R923="TRUE"),Settings!$C$6,Settings!$C$7)*100)</f>
        <v/>
      </c>
      <c r="AH923" s="18" t="str">
        <f aca="false">IF($D923="","",IF(COUNTIF($D$2:$D923,$D923)=1,1,0))</f>
        <v/>
      </c>
      <c r="AI923" s="18" t="str">
        <f aca="false">IF($AH923=1,SUMPRODUCT(--($AK$2:$AK$4001&lt;$AK923))+1,"")</f>
        <v/>
      </c>
      <c r="AJ923" s="18" t="str">
        <f aca="false">IF($D923="","",IF(OR($R923=TRUE(),$R923="TRUE"),1,0))</f>
        <v/>
      </c>
      <c r="AK923" s="18" t="str">
        <f aca="false">IF($AH923=1,IFERROR(VALUE(MID($D923,2,20)),1000000000)+ROW()/10000000,"")</f>
        <v/>
      </c>
    </row>
    <row r="924" customFormat="false" ht="15" hidden="false" customHeight="false" outlineLevel="0" collapsed="false">
      <c r="F924" s="15"/>
      <c r="N924" s="16" t="str">
        <f aca="false">IF($D924="","",M924*Y924/100)</f>
        <v/>
      </c>
      <c r="V924" s="16" t="str">
        <f aca="false">IF($D924="","",Y924*AB924/100)</f>
        <v/>
      </c>
      <c r="W924" s="16" t="str">
        <f aca="false">IF($D924="","",Y924-V924)</f>
        <v/>
      </c>
      <c r="X924" s="16" t="str">
        <f aca="false">IF($D924="","",W924-N924)</f>
        <v/>
      </c>
      <c r="AB924" s="17" t="str">
        <f aca="false">IF($D924="","",IF(OR($R924=TRUE(),$R924="TRUE"),Settings!$C$6,Settings!$C$7)*100)</f>
        <v/>
      </c>
      <c r="AH924" s="18" t="str">
        <f aca="false">IF($D924="","",IF(COUNTIF($D$2:$D924,$D924)=1,1,0))</f>
        <v/>
      </c>
      <c r="AI924" s="18" t="str">
        <f aca="false">IF($AH924=1,SUMPRODUCT(--($AK$2:$AK$4001&lt;$AK924))+1,"")</f>
        <v/>
      </c>
      <c r="AJ924" s="18" t="str">
        <f aca="false">IF($D924="","",IF(OR($R924=TRUE(),$R924="TRUE"),1,0))</f>
        <v/>
      </c>
      <c r="AK924" s="18" t="str">
        <f aca="false">IF($AH924=1,IFERROR(VALUE(MID($D924,2,20)),1000000000)+ROW()/10000000,"")</f>
        <v/>
      </c>
    </row>
    <row r="925" customFormat="false" ht="15" hidden="false" customHeight="false" outlineLevel="0" collapsed="false">
      <c r="F925" s="15"/>
      <c r="N925" s="16" t="str">
        <f aca="false">IF($D925="","",M925*Y925/100)</f>
        <v/>
      </c>
      <c r="V925" s="16" t="str">
        <f aca="false">IF($D925="","",Y925*AB925/100)</f>
        <v/>
      </c>
      <c r="W925" s="16" t="str">
        <f aca="false">IF($D925="","",Y925-V925)</f>
        <v/>
      </c>
      <c r="X925" s="16" t="str">
        <f aca="false">IF($D925="","",W925-N925)</f>
        <v/>
      </c>
      <c r="AB925" s="17" t="str">
        <f aca="false">IF($D925="","",IF(OR($R925=TRUE(),$R925="TRUE"),Settings!$C$6,Settings!$C$7)*100)</f>
        <v/>
      </c>
      <c r="AH925" s="18" t="str">
        <f aca="false">IF($D925="","",IF(COUNTIF($D$2:$D925,$D925)=1,1,0))</f>
        <v/>
      </c>
      <c r="AI925" s="18" t="str">
        <f aca="false">IF($AH925=1,SUMPRODUCT(--($AK$2:$AK$4001&lt;$AK925))+1,"")</f>
        <v/>
      </c>
      <c r="AJ925" s="18" t="str">
        <f aca="false">IF($D925="","",IF(OR($R925=TRUE(),$R925="TRUE"),1,0))</f>
        <v/>
      </c>
      <c r="AK925" s="18" t="str">
        <f aca="false">IF($AH925=1,IFERROR(VALUE(MID($D925,2,20)),1000000000)+ROW()/10000000,"")</f>
        <v/>
      </c>
    </row>
    <row r="926" customFormat="false" ht="15" hidden="false" customHeight="false" outlineLevel="0" collapsed="false">
      <c r="F926" s="15"/>
      <c r="N926" s="16" t="str">
        <f aca="false">IF($D926="","",M926*Y926/100)</f>
        <v/>
      </c>
      <c r="V926" s="16" t="str">
        <f aca="false">IF($D926="","",Y926*AB926/100)</f>
        <v/>
      </c>
      <c r="W926" s="16" t="str">
        <f aca="false">IF($D926="","",Y926-V926)</f>
        <v/>
      </c>
      <c r="X926" s="16" t="str">
        <f aca="false">IF($D926="","",W926-N926)</f>
        <v/>
      </c>
      <c r="AB926" s="17" t="str">
        <f aca="false">IF($D926="","",IF(OR($R926=TRUE(),$R926="TRUE"),Settings!$C$6,Settings!$C$7)*100)</f>
        <v/>
      </c>
      <c r="AH926" s="18" t="str">
        <f aca="false">IF($D926="","",IF(COUNTIF($D$2:$D926,$D926)=1,1,0))</f>
        <v/>
      </c>
      <c r="AI926" s="18" t="str">
        <f aca="false">IF($AH926=1,SUMPRODUCT(--($AK$2:$AK$4001&lt;$AK926))+1,"")</f>
        <v/>
      </c>
      <c r="AJ926" s="18" t="str">
        <f aca="false">IF($D926="","",IF(OR($R926=TRUE(),$R926="TRUE"),1,0))</f>
        <v/>
      </c>
      <c r="AK926" s="18" t="str">
        <f aca="false">IF($AH926=1,IFERROR(VALUE(MID($D926,2,20)),1000000000)+ROW()/10000000,"")</f>
        <v/>
      </c>
    </row>
    <row r="927" customFormat="false" ht="15" hidden="false" customHeight="false" outlineLevel="0" collapsed="false">
      <c r="F927" s="15"/>
      <c r="N927" s="16" t="str">
        <f aca="false">IF($D927="","",M927*Y927/100)</f>
        <v/>
      </c>
      <c r="V927" s="16" t="str">
        <f aca="false">IF($D927="","",Y927*AB927/100)</f>
        <v/>
      </c>
      <c r="W927" s="16" t="str">
        <f aca="false">IF($D927="","",Y927-V927)</f>
        <v/>
      </c>
      <c r="X927" s="16" t="str">
        <f aca="false">IF($D927="","",W927-N927)</f>
        <v/>
      </c>
      <c r="AB927" s="17" t="str">
        <f aca="false">IF($D927="","",IF(OR($R927=TRUE(),$R927="TRUE"),Settings!$C$6,Settings!$C$7)*100)</f>
        <v/>
      </c>
      <c r="AH927" s="18" t="str">
        <f aca="false">IF($D927="","",IF(COUNTIF($D$2:$D927,$D927)=1,1,0))</f>
        <v/>
      </c>
      <c r="AI927" s="18" t="str">
        <f aca="false">IF($AH927=1,SUMPRODUCT(--($AK$2:$AK$4001&lt;$AK927))+1,"")</f>
        <v/>
      </c>
      <c r="AJ927" s="18" t="str">
        <f aca="false">IF($D927="","",IF(OR($R927=TRUE(),$R927="TRUE"),1,0))</f>
        <v/>
      </c>
      <c r="AK927" s="18" t="str">
        <f aca="false">IF($AH927=1,IFERROR(VALUE(MID($D927,2,20)),1000000000)+ROW()/10000000,"")</f>
        <v/>
      </c>
    </row>
    <row r="928" customFormat="false" ht="15" hidden="false" customHeight="false" outlineLevel="0" collapsed="false">
      <c r="F928" s="15"/>
      <c r="N928" s="16" t="str">
        <f aca="false">IF($D928="","",M928*Y928/100)</f>
        <v/>
      </c>
      <c r="V928" s="16" t="str">
        <f aca="false">IF($D928="","",Y928*AB928/100)</f>
        <v/>
      </c>
      <c r="W928" s="16" t="str">
        <f aca="false">IF($D928="","",Y928-V928)</f>
        <v/>
      </c>
      <c r="X928" s="16" t="str">
        <f aca="false">IF($D928="","",W928-N928)</f>
        <v/>
      </c>
      <c r="AB928" s="17" t="str">
        <f aca="false">IF($D928="","",IF(OR($R928=TRUE(),$R928="TRUE"),Settings!$C$6,Settings!$C$7)*100)</f>
        <v/>
      </c>
      <c r="AH928" s="18" t="str">
        <f aca="false">IF($D928="","",IF(COUNTIF($D$2:$D928,$D928)=1,1,0))</f>
        <v/>
      </c>
      <c r="AI928" s="18" t="str">
        <f aca="false">IF($AH928=1,SUMPRODUCT(--($AK$2:$AK$4001&lt;$AK928))+1,"")</f>
        <v/>
      </c>
      <c r="AJ928" s="18" t="str">
        <f aca="false">IF($D928="","",IF(OR($R928=TRUE(),$R928="TRUE"),1,0))</f>
        <v/>
      </c>
      <c r="AK928" s="18" t="str">
        <f aca="false">IF($AH928=1,IFERROR(VALUE(MID($D928,2,20)),1000000000)+ROW()/10000000,"")</f>
        <v/>
      </c>
    </row>
    <row r="929" customFormat="false" ht="15" hidden="false" customHeight="false" outlineLevel="0" collapsed="false">
      <c r="F929" s="15"/>
      <c r="N929" s="16" t="str">
        <f aca="false">IF($D929="","",M929*Y929/100)</f>
        <v/>
      </c>
      <c r="V929" s="16" t="str">
        <f aca="false">IF($D929="","",Y929*AB929/100)</f>
        <v/>
      </c>
      <c r="W929" s="16" t="str">
        <f aca="false">IF($D929="","",Y929-V929)</f>
        <v/>
      </c>
      <c r="X929" s="16" t="str">
        <f aca="false">IF($D929="","",W929-N929)</f>
        <v/>
      </c>
      <c r="AB929" s="17" t="str">
        <f aca="false">IF($D929="","",IF(OR($R929=TRUE(),$R929="TRUE"),Settings!$C$6,Settings!$C$7)*100)</f>
        <v/>
      </c>
      <c r="AH929" s="18" t="str">
        <f aca="false">IF($D929="","",IF(COUNTIF($D$2:$D929,$D929)=1,1,0))</f>
        <v/>
      </c>
      <c r="AI929" s="18" t="str">
        <f aca="false">IF($AH929=1,SUMPRODUCT(--($AK$2:$AK$4001&lt;$AK929))+1,"")</f>
        <v/>
      </c>
      <c r="AJ929" s="18" t="str">
        <f aca="false">IF($D929="","",IF(OR($R929=TRUE(),$R929="TRUE"),1,0))</f>
        <v/>
      </c>
      <c r="AK929" s="18" t="str">
        <f aca="false">IF($AH929=1,IFERROR(VALUE(MID($D929,2,20)),1000000000)+ROW()/10000000,"")</f>
        <v/>
      </c>
    </row>
    <row r="930" customFormat="false" ht="15" hidden="false" customHeight="false" outlineLevel="0" collapsed="false">
      <c r="F930" s="15"/>
      <c r="N930" s="16" t="str">
        <f aca="false">IF($D930="","",M930*Y930/100)</f>
        <v/>
      </c>
      <c r="V930" s="16" t="str">
        <f aca="false">IF($D930="","",Y930*AB930/100)</f>
        <v/>
      </c>
      <c r="W930" s="16" t="str">
        <f aca="false">IF($D930="","",Y930-V930)</f>
        <v/>
      </c>
      <c r="X930" s="16" t="str">
        <f aca="false">IF($D930="","",W930-N930)</f>
        <v/>
      </c>
      <c r="AB930" s="17" t="str">
        <f aca="false">IF($D930="","",IF(OR($R930=TRUE(),$R930="TRUE"),Settings!$C$6,Settings!$C$7)*100)</f>
        <v/>
      </c>
      <c r="AH930" s="18" t="str">
        <f aca="false">IF($D930="","",IF(COUNTIF($D$2:$D930,$D930)=1,1,0))</f>
        <v/>
      </c>
      <c r="AI930" s="18" t="str">
        <f aca="false">IF($AH930=1,SUMPRODUCT(--($AK$2:$AK$4001&lt;$AK930))+1,"")</f>
        <v/>
      </c>
      <c r="AJ930" s="18" t="str">
        <f aca="false">IF($D930="","",IF(OR($R930=TRUE(),$R930="TRUE"),1,0))</f>
        <v/>
      </c>
      <c r="AK930" s="18" t="str">
        <f aca="false">IF($AH930=1,IFERROR(VALUE(MID($D930,2,20)),1000000000)+ROW()/10000000,"")</f>
        <v/>
      </c>
    </row>
    <row r="931" customFormat="false" ht="15" hidden="false" customHeight="false" outlineLevel="0" collapsed="false">
      <c r="F931" s="15"/>
      <c r="N931" s="16" t="str">
        <f aca="false">IF($D931="","",M931*Y931/100)</f>
        <v/>
      </c>
      <c r="V931" s="16" t="str">
        <f aca="false">IF($D931="","",Y931*AB931/100)</f>
        <v/>
      </c>
      <c r="W931" s="16" t="str">
        <f aca="false">IF($D931="","",Y931-V931)</f>
        <v/>
      </c>
      <c r="X931" s="16" t="str">
        <f aca="false">IF($D931="","",W931-N931)</f>
        <v/>
      </c>
      <c r="AB931" s="17" t="str">
        <f aca="false">IF($D931="","",IF(OR($R931=TRUE(),$R931="TRUE"),Settings!$C$6,Settings!$C$7)*100)</f>
        <v/>
      </c>
      <c r="AH931" s="18" t="str">
        <f aca="false">IF($D931="","",IF(COUNTIF($D$2:$D931,$D931)=1,1,0))</f>
        <v/>
      </c>
      <c r="AI931" s="18" t="str">
        <f aca="false">IF($AH931=1,SUMPRODUCT(--($AK$2:$AK$4001&lt;$AK931))+1,"")</f>
        <v/>
      </c>
      <c r="AJ931" s="18" t="str">
        <f aca="false">IF($D931="","",IF(OR($R931=TRUE(),$R931="TRUE"),1,0))</f>
        <v/>
      </c>
      <c r="AK931" s="18" t="str">
        <f aca="false">IF($AH931=1,IFERROR(VALUE(MID($D931,2,20)),1000000000)+ROW()/10000000,"")</f>
        <v/>
      </c>
    </row>
    <row r="932" customFormat="false" ht="15" hidden="false" customHeight="false" outlineLevel="0" collapsed="false">
      <c r="F932" s="15"/>
      <c r="N932" s="16" t="str">
        <f aca="false">IF($D932="","",M932*Y932/100)</f>
        <v/>
      </c>
      <c r="V932" s="16" t="str">
        <f aca="false">IF($D932="","",Y932*AB932/100)</f>
        <v/>
      </c>
      <c r="W932" s="16" t="str">
        <f aca="false">IF($D932="","",Y932-V932)</f>
        <v/>
      </c>
      <c r="X932" s="16" t="str">
        <f aca="false">IF($D932="","",W932-N932)</f>
        <v/>
      </c>
      <c r="AB932" s="17" t="str">
        <f aca="false">IF($D932="","",IF(OR($R932=TRUE(),$R932="TRUE"),Settings!$C$6,Settings!$C$7)*100)</f>
        <v/>
      </c>
      <c r="AH932" s="18" t="str">
        <f aca="false">IF($D932="","",IF(COUNTIF($D$2:$D932,$D932)=1,1,0))</f>
        <v/>
      </c>
      <c r="AI932" s="18" t="str">
        <f aca="false">IF($AH932=1,SUMPRODUCT(--($AK$2:$AK$4001&lt;$AK932))+1,"")</f>
        <v/>
      </c>
      <c r="AJ932" s="18" t="str">
        <f aca="false">IF($D932="","",IF(OR($R932=TRUE(),$R932="TRUE"),1,0))</f>
        <v/>
      </c>
      <c r="AK932" s="18" t="str">
        <f aca="false">IF($AH932=1,IFERROR(VALUE(MID($D932,2,20)),1000000000)+ROW()/10000000,"")</f>
        <v/>
      </c>
    </row>
    <row r="933" customFormat="false" ht="15" hidden="false" customHeight="false" outlineLevel="0" collapsed="false">
      <c r="F933" s="15"/>
      <c r="N933" s="16" t="str">
        <f aca="false">IF($D933="","",M933*Y933/100)</f>
        <v/>
      </c>
      <c r="V933" s="16" t="str">
        <f aca="false">IF($D933="","",Y933*AB933/100)</f>
        <v/>
      </c>
      <c r="W933" s="16" t="str">
        <f aca="false">IF($D933="","",Y933-V933)</f>
        <v/>
      </c>
      <c r="X933" s="16" t="str">
        <f aca="false">IF($D933="","",W933-N933)</f>
        <v/>
      </c>
      <c r="AB933" s="17" t="str">
        <f aca="false">IF($D933="","",IF(OR($R933=TRUE(),$R933="TRUE"),Settings!$C$6,Settings!$C$7)*100)</f>
        <v/>
      </c>
      <c r="AH933" s="18" t="str">
        <f aca="false">IF($D933="","",IF(COUNTIF($D$2:$D933,$D933)=1,1,0))</f>
        <v/>
      </c>
      <c r="AI933" s="18" t="str">
        <f aca="false">IF($AH933=1,SUMPRODUCT(--($AK$2:$AK$4001&lt;$AK933))+1,"")</f>
        <v/>
      </c>
      <c r="AJ933" s="18" t="str">
        <f aca="false">IF($D933="","",IF(OR($R933=TRUE(),$R933="TRUE"),1,0))</f>
        <v/>
      </c>
      <c r="AK933" s="18" t="str">
        <f aca="false">IF($AH933=1,IFERROR(VALUE(MID($D933,2,20)),1000000000)+ROW()/10000000,"")</f>
        <v/>
      </c>
    </row>
    <row r="934" customFormat="false" ht="15" hidden="false" customHeight="false" outlineLevel="0" collapsed="false">
      <c r="F934" s="15"/>
      <c r="N934" s="16" t="str">
        <f aca="false">IF($D934="","",M934*Y934/100)</f>
        <v/>
      </c>
      <c r="V934" s="16" t="str">
        <f aca="false">IF($D934="","",Y934*AB934/100)</f>
        <v/>
      </c>
      <c r="W934" s="16" t="str">
        <f aca="false">IF($D934="","",Y934-V934)</f>
        <v/>
      </c>
      <c r="X934" s="16" t="str">
        <f aca="false">IF($D934="","",W934-N934)</f>
        <v/>
      </c>
      <c r="AB934" s="17" t="str">
        <f aca="false">IF($D934="","",IF(OR($R934=TRUE(),$R934="TRUE"),Settings!$C$6,Settings!$C$7)*100)</f>
        <v/>
      </c>
      <c r="AH934" s="18" t="str">
        <f aca="false">IF($D934="","",IF(COUNTIF($D$2:$D934,$D934)=1,1,0))</f>
        <v/>
      </c>
      <c r="AI934" s="18" t="str">
        <f aca="false">IF($AH934=1,SUMPRODUCT(--($AK$2:$AK$4001&lt;$AK934))+1,"")</f>
        <v/>
      </c>
      <c r="AJ934" s="18" t="str">
        <f aca="false">IF($D934="","",IF(OR($R934=TRUE(),$R934="TRUE"),1,0))</f>
        <v/>
      </c>
      <c r="AK934" s="18" t="str">
        <f aca="false">IF($AH934=1,IFERROR(VALUE(MID($D934,2,20)),1000000000)+ROW()/10000000,"")</f>
        <v/>
      </c>
    </row>
    <row r="935" customFormat="false" ht="15" hidden="false" customHeight="false" outlineLevel="0" collapsed="false">
      <c r="F935" s="15"/>
      <c r="N935" s="16" t="str">
        <f aca="false">IF($D935="","",M935*Y935/100)</f>
        <v/>
      </c>
      <c r="V935" s="16" t="str">
        <f aca="false">IF($D935="","",Y935*AB935/100)</f>
        <v/>
      </c>
      <c r="W935" s="16" t="str">
        <f aca="false">IF($D935="","",Y935-V935)</f>
        <v/>
      </c>
      <c r="X935" s="16" t="str">
        <f aca="false">IF($D935="","",W935-N935)</f>
        <v/>
      </c>
      <c r="AB935" s="17" t="str">
        <f aca="false">IF($D935="","",IF(OR($R935=TRUE(),$R935="TRUE"),Settings!$C$6,Settings!$C$7)*100)</f>
        <v/>
      </c>
      <c r="AH935" s="18" t="str">
        <f aca="false">IF($D935="","",IF(COUNTIF($D$2:$D935,$D935)=1,1,0))</f>
        <v/>
      </c>
      <c r="AI935" s="18" t="str">
        <f aca="false">IF($AH935=1,SUMPRODUCT(--($AK$2:$AK$4001&lt;$AK935))+1,"")</f>
        <v/>
      </c>
      <c r="AJ935" s="18" t="str">
        <f aca="false">IF($D935="","",IF(OR($R935=TRUE(),$R935="TRUE"),1,0))</f>
        <v/>
      </c>
      <c r="AK935" s="18" t="str">
        <f aca="false">IF($AH935=1,IFERROR(VALUE(MID($D935,2,20)),1000000000)+ROW()/10000000,"")</f>
        <v/>
      </c>
    </row>
    <row r="936" customFormat="false" ht="15" hidden="false" customHeight="false" outlineLevel="0" collapsed="false">
      <c r="F936" s="15"/>
      <c r="N936" s="16" t="str">
        <f aca="false">IF($D936="","",M936*Y936/100)</f>
        <v/>
      </c>
      <c r="V936" s="16" t="str">
        <f aca="false">IF($D936="","",Y936*AB936/100)</f>
        <v/>
      </c>
      <c r="W936" s="16" t="str">
        <f aca="false">IF($D936="","",Y936-V936)</f>
        <v/>
      </c>
      <c r="X936" s="16" t="str">
        <f aca="false">IF($D936="","",W936-N936)</f>
        <v/>
      </c>
      <c r="AB936" s="17" t="str">
        <f aca="false">IF($D936="","",IF(OR($R936=TRUE(),$R936="TRUE"),Settings!$C$6,Settings!$C$7)*100)</f>
        <v/>
      </c>
      <c r="AH936" s="18" t="str">
        <f aca="false">IF($D936="","",IF(COUNTIF($D$2:$D936,$D936)=1,1,0))</f>
        <v/>
      </c>
      <c r="AI936" s="18" t="str">
        <f aca="false">IF($AH936=1,SUMPRODUCT(--($AK$2:$AK$4001&lt;$AK936))+1,"")</f>
        <v/>
      </c>
      <c r="AJ936" s="18" t="str">
        <f aca="false">IF($D936="","",IF(OR($R936=TRUE(),$R936="TRUE"),1,0))</f>
        <v/>
      </c>
      <c r="AK936" s="18" t="str">
        <f aca="false">IF($AH936=1,IFERROR(VALUE(MID($D936,2,20)),1000000000)+ROW()/10000000,"")</f>
        <v/>
      </c>
    </row>
    <row r="937" customFormat="false" ht="15" hidden="false" customHeight="false" outlineLevel="0" collapsed="false">
      <c r="F937" s="15"/>
      <c r="N937" s="16" t="str">
        <f aca="false">IF($D937="","",M937*Y937/100)</f>
        <v/>
      </c>
      <c r="V937" s="16" t="str">
        <f aca="false">IF($D937="","",Y937*AB937/100)</f>
        <v/>
      </c>
      <c r="W937" s="16" t="str">
        <f aca="false">IF($D937="","",Y937-V937)</f>
        <v/>
      </c>
      <c r="X937" s="16" t="str">
        <f aca="false">IF($D937="","",W937-N937)</f>
        <v/>
      </c>
      <c r="AB937" s="17" t="str">
        <f aca="false">IF($D937="","",IF(OR($R937=TRUE(),$R937="TRUE"),Settings!$C$6,Settings!$C$7)*100)</f>
        <v/>
      </c>
      <c r="AH937" s="18" t="str">
        <f aca="false">IF($D937="","",IF(COUNTIF($D$2:$D937,$D937)=1,1,0))</f>
        <v/>
      </c>
      <c r="AI937" s="18" t="str">
        <f aca="false">IF($AH937=1,SUMPRODUCT(--($AK$2:$AK$4001&lt;$AK937))+1,"")</f>
        <v/>
      </c>
      <c r="AJ937" s="18" t="str">
        <f aca="false">IF($D937="","",IF(OR($R937=TRUE(),$R937="TRUE"),1,0))</f>
        <v/>
      </c>
      <c r="AK937" s="18" t="str">
        <f aca="false">IF($AH937=1,IFERROR(VALUE(MID($D937,2,20)),1000000000)+ROW()/10000000,"")</f>
        <v/>
      </c>
    </row>
    <row r="938" customFormat="false" ht="15" hidden="false" customHeight="false" outlineLevel="0" collapsed="false">
      <c r="F938" s="15"/>
      <c r="N938" s="16" t="str">
        <f aca="false">IF($D938="","",M938*Y938/100)</f>
        <v/>
      </c>
      <c r="V938" s="16" t="str">
        <f aca="false">IF($D938="","",Y938*AB938/100)</f>
        <v/>
      </c>
      <c r="W938" s="16" t="str">
        <f aca="false">IF($D938="","",Y938-V938)</f>
        <v/>
      </c>
      <c r="X938" s="16" t="str">
        <f aca="false">IF($D938="","",W938-N938)</f>
        <v/>
      </c>
      <c r="AB938" s="17" t="str">
        <f aca="false">IF($D938="","",IF(OR($R938=TRUE(),$R938="TRUE"),Settings!$C$6,Settings!$C$7)*100)</f>
        <v/>
      </c>
      <c r="AH938" s="18" t="str">
        <f aca="false">IF($D938="","",IF(COUNTIF($D$2:$D938,$D938)=1,1,0))</f>
        <v/>
      </c>
      <c r="AI938" s="18" t="str">
        <f aca="false">IF($AH938=1,SUMPRODUCT(--($AK$2:$AK$4001&lt;$AK938))+1,"")</f>
        <v/>
      </c>
      <c r="AJ938" s="18" t="str">
        <f aca="false">IF($D938="","",IF(OR($R938=TRUE(),$R938="TRUE"),1,0))</f>
        <v/>
      </c>
      <c r="AK938" s="18" t="str">
        <f aca="false">IF($AH938=1,IFERROR(VALUE(MID($D938,2,20)),1000000000)+ROW()/10000000,"")</f>
        <v/>
      </c>
    </row>
    <row r="939" customFormat="false" ht="15" hidden="false" customHeight="false" outlineLevel="0" collapsed="false">
      <c r="F939" s="15"/>
      <c r="N939" s="16" t="str">
        <f aca="false">IF($D939="","",M939*Y939/100)</f>
        <v/>
      </c>
      <c r="V939" s="16" t="str">
        <f aca="false">IF($D939="","",Y939*AB939/100)</f>
        <v/>
      </c>
      <c r="W939" s="16" t="str">
        <f aca="false">IF($D939="","",Y939-V939)</f>
        <v/>
      </c>
      <c r="X939" s="16" t="str">
        <f aca="false">IF($D939="","",W939-N939)</f>
        <v/>
      </c>
      <c r="AB939" s="17" t="str">
        <f aca="false">IF($D939="","",IF(OR($R939=TRUE(),$R939="TRUE"),Settings!$C$6,Settings!$C$7)*100)</f>
        <v/>
      </c>
      <c r="AH939" s="18" t="str">
        <f aca="false">IF($D939="","",IF(COUNTIF($D$2:$D939,$D939)=1,1,0))</f>
        <v/>
      </c>
      <c r="AI939" s="18" t="str">
        <f aca="false">IF($AH939=1,SUMPRODUCT(--($AK$2:$AK$4001&lt;$AK939))+1,"")</f>
        <v/>
      </c>
      <c r="AJ939" s="18" t="str">
        <f aca="false">IF($D939="","",IF(OR($R939=TRUE(),$R939="TRUE"),1,0))</f>
        <v/>
      </c>
      <c r="AK939" s="18" t="str">
        <f aca="false">IF($AH939=1,IFERROR(VALUE(MID($D939,2,20)),1000000000)+ROW()/10000000,"")</f>
        <v/>
      </c>
    </row>
    <row r="940" customFormat="false" ht="15" hidden="false" customHeight="false" outlineLevel="0" collapsed="false">
      <c r="F940" s="15"/>
      <c r="N940" s="16" t="str">
        <f aca="false">IF($D940="","",M940*Y940/100)</f>
        <v/>
      </c>
      <c r="V940" s="16" t="str">
        <f aca="false">IF($D940="","",Y940*AB940/100)</f>
        <v/>
      </c>
      <c r="W940" s="16" t="str">
        <f aca="false">IF($D940="","",Y940-V940)</f>
        <v/>
      </c>
      <c r="X940" s="16" t="str">
        <f aca="false">IF($D940="","",W940-N940)</f>
        <v/>
      </c>
      <c r="AB940" s="17" t="str">
        <f aca="false">IF($D940="","",IF(OR($R940=TRUE(),$R940="TRUE"),Settings!$C$6,Settings!$C$7)*100)</f>
        <v/>
      </c>
      <c r="AH940" s="18" t="str">
        <f aca="false">IF($D940="","",IF(COUNTIF($D$2:$D940,$D940)=1,1,0))</f>
        <v/>
      </c>
      <c r="AI940" s="18" t="str">
        <f aca="false">IF($AH940=1,SUMPRODUCT(--($AK$2:$AK$4001&lt;$AK940))+1,"")</f>
        <v/>
      </c>
      <c r="AJ940" s="18" t="str">
        <f aca="false">IF($D940="","",IF(OR($R940=TRUE(),$R940="TRUE"),1,0))</f>
        <v/>
      </c>
      <c r="AK940" s="18" t="str">
        <f aca="false">IF($AH940=1,IFERROR(VALUE(MID($D940,2,20)),1000000000)+ROW()/10000000,"")</f>
        <v/>
      </c>
    </row>
    <row r="941" customFormat="false" ht="15" hidden="false" customHeight="false" outlineLevel="0" collapsed="false">
      <c r="F941" s="15"/>
      <c r="N941" s="16" t="str">
        <f aca="false">IF($D941="","",M941*Y941/100)</f>
        <v/>
      </c>
      <c r="V941" s="16" t="str">
        <f aca="false">IF($D941="","",Y941*AB941/100)</f>
        <v/>
      </c>
      <c r="W941" s="16" t="str">
        <f aca="false">IF($D941="","",Y941-V941)</f>
        <v/>
      </c>
      <c r="X941" s="16" t="str">
        <f aca="false">IF($D941="","",W941-N941)</f>
        <v/>
      </c>
      <c r="AB941" s="17" t="str">
        <f aca="false">IF($D941="","",IF(OR($R941=TRUE(),$R941="TRUE"),Settings!$C$6,Settings!$C$7)*100)</f>
        <v/>
      </c>
      <c r="AH941" s="18" t="str">
        <f aca="false">IF($D941="","",IF(COUNTIF($D$2:$D941,$D941)=1,1,0))</f>
        <v/>
      </c>
      <c r="AI941" s="18" t="str">
        <f aca="false">IF($AH941=1,SUMPRODUCT(--($AK$2:$AK$4001&lt;$AK941))+1,"")</f>
        <v/>
      </c>
      <c r="AJ941" s="18" t="str">
        <f aca="false">IF($D941="","",IF(OR($R941=TRUE(),$R941="TRUE"),1,0))</f>
        <v/>
      </c>
      <c r="AK941" s="18" t="str">
        <f aca="false">IF($AH941=1,IFERROR(VALUE(MID($D941,2,20)),1000000000)+ROW()/10000000,"")</f>
        <v/>
      </c>
    </row>
    <row r="942" customFormat="false" ht="15" hidden="false" customHeight="false" outlineLevel="0" collapsed="false">
      <c r="F942" s="15"/>
      <c r="N942" s="16" t="str">
        <f aca="false">IF($D942="","",M942*Y942/100)</f>
        <v/>
      </c>
      <c r="V942" s="16" t="str">
        <f aca="false">IF($D942="","",Y942*AB942/100)</f>
        <v/>
      </c>
      <c r="W942" s="16" t="str">
        <f aca="false">IF($D942="","",Y942-V942)</f>
        <v/>
      </c>
      <c r="X942" s="16" t="str">
        <f aca="false">IF($D942="","",W942-N942)</f>
        <v/>
      </c>
      <c r="AB942" s="17" t="str">
        <f aca="false">IF($D942="","",IF(OR($R942=TRUE(),$R942="TRUE"),Settings!$C$6,Settings!$C$7)*100)</f>
        <v/>
      </c>
      <c r="AH942" s="18" t="str">
        <f aca="false">IF($D942="","",IF(COUNTIF($D$2:$D942,$D942)=1,1,0))</f>
        <v/>
      </c>
      <c r="AI942" s="18" t="str">
        <f aca="false">IF($AH942=1,SUMPRODUCT(--($AK$2:$AK$4001&lt;$AK942))+1,"")</f>
        <v/>
      </c>
      <c r="AJ942" s="18" t="str">
        <f aca="false">IF($D942="","",IF(OR($R942=TRUE(),$R942="TRUE"),1,0))</f>
        <v/>
      </c>
      <c r="AK942" s="18" t="str">
        <f aca="false">IF($AH942=1,IFERROR(VALUE(MID($D942,2,20)),1000000000)+ROW()/10000000,"")</f>
        <v/>
      </c>
    </row>
    <row r="943" customFormat="false" ht="15" hidden="false" customHeight="false" outlineLevel="0" collapsed="false">
      <c r="F943" s="15"/>
      <c r="N943" s="16" t="str">
        <f aca="false">IF($D943="","",M943*Y943/100)</f>
        <v/>
      </c>
      <c r="V943" s="16" t="str">
        <f aca="false">IF($D943="","",Y943*AB943/100)</f>
        <v/>
      </c>
      <c r="W943" s="16" t="str">
        <f aca="false">IF($D943="","",Y943-V943)</f>
        <v/>
      </c>
      <c r="X943" s="16" t="str">
        <f aca="false">IF($D943="","",W943-N943)</f>
        <v/>
      </c>
      <c r="AB943" s="17" t="str">
        <f aca="false">IF($D943="","",IF(OR($R943=TRUE(),$R943="TRUE"),Settings!$C$6,Settings!$C$7)*100)</f>
        <v/>
      </c>
      <c r="AH943" s="18" t="str">
        <f aca="false">IF($D943="","",IF(COUNTIF($D$2:$D943,$D943)=1,1,0))</f>
        <v/>
      </c>
      <c r="AI943" s="18" t="str">
        <f aca="false">IF($AH943=1,SUMPRODUCT(--($AK$2:$AK$4001&lt;$AK943))+1,"")</f>
        <v/>
      </c>
      <c r="AJ943" s="18" t="str">
        <f aca="false">IF($D943="","",IF(OR($R943=TRUE(),$R943="TRUE"),1,0))</f>
        <v/>
      </c>
      <c r="AK943" s="18" t="str">
        <f aca="false">IF($AH943=1,IFERROR(VALUE(MID($D943,2,20)),1000000000)+ROW()/10000000,"")</f>
        <v/>
      </c>
    </row>
    <row r="944" customFormat="false" ht="15" hidden="false" customHeight="false" outlineLevel="0" collapsed="false">
      <c r="F944" s="15"/>
      <c r="N944" s="16" t="str">
        <f aca="false">IF($D944="","",M944*Y944/100)</f>
        <v/>
      </c>
      <c r="V944" s="16" t="str">
        <f aca="false">IF($D944="","",Y944*AB944/100)</f>
        <v/>
      </c>
      <c r="W944" s="16" t="str">
        <f aca="false">IF($D944="","",Y944-V944)</f>
        <v/>
      </c>
      <c r="X944" s="16" t="str">
        <f aca="false">IF($D944="","",W944-N944)</f>
        <v/>
      </c>
      <c r="AB944" s="17" t="str">
        <f aca="false">IF($D944="","",IF(OR($R944=TRUE(),$R944="TRUE"),Settings!$C$6,Settings!$C$7)*100)</f>
        <v/>
      </c>
      <c r="AH944" s="18" t="str">
        <f aca="false">IF($D944="","",IF(COUNTIF($D$2:$D944,$D944)=1,1,0))</f>
        <v/>
      </c>
      <c r="AI944" s="18" t="str">
        <f aca="false">IF($AH944=1,SUMPRODUCT(--($AK$2:$AK$4001&lt;$AK944))+1,"")</f>
        <v/>
      </c>
      <c r="AJ944" s="18" t="str">
        <f aca="false">IF($D944="","",IF(OR($R944=TRUE(),$R944="TRUE"),1,0))</f>
        <v/>
      </c>
      <c r="AK944" s="18" t="str">
        <f aca="false">IF($AH944=1,IFERROR(VALUE(MID($D944,2,20)),1000000000)+ROW()/10000000,"")</f>
        <v/>
      </c>
    </row>
    <row r="945" customFormat="false" ht="15" hidden="false" customHeight="false" outlineLevel="0" collapsed="false">
      <c r="F945" s="15"/>
      <c r="N945" s="16" t="str">
        <f aca="false">IF($D945="","",M945*Y945/100)</f>
        <v/>
      </c>
      <c r="V945" s="16" t="str">
        <f aca="false">IF($D945="","",Y945*AB945/100)</f>
        <v/>
      </c>
      <c r="W945" s="16" t="str">
        <f aca="false">IF($D945="","",Y945-V945)</f>
        <v/>
      </c>
      <c r="X945" s="16" t="str">
        <f aca="false">IF($D945="","",W945-N945)</f>
        <v/>
      </c>
      <c r="AB945" s="17" t="str">
        <f aca="false">IF($D945="","",IF(OR($R945=TRUE(),$R945="TRUE"),Settings!$C$6,Settings!$C$7)*100)</f>
        <v/>
      </c>
      <c r="AH945" s="18" t="str">
        <f aca="false">IF($D945="","",IF(COUNTIF($D$2:$D945,$D945)=1,1,0))</f>
        <v/>
      </c>
      <c r="AI945" s="18" t="str">
        <f aca="false">IF($AH945=1,SUMPRODUCT(--($AK$2:$AK$4001&lt;$AK945))+1,"")</f>
        <v/>
      </c>
      <c r="AJ945" s="18" t="str">
        <f aca="false">IF($D945="","",IF(OR($R945=TRUE(),$R945="TRUE"),1,0))</f>
        <v/>
      </c>
      <c r="AK945" s="18" t="str">
        <f aca="false">IF($AH945=1,IFERROR(VALUE(MID($D945,2,20)),1000000000)+ROW()/10000000,"")</f>
        <v/>
      </c>
    </row>
    <row r="946" customFormat="false" ht="15" hidden="false" customHeight="false" outlineLevel="0" collapsed="false">
      <c r="F946" s="15"/>
      <c r="N946" s="16" t="str">
        <f aca="false">IF($D946="","",M946*Y946/100)</f>
        <v/>
      </c>
      <c r="V946" s="16" t="str">
        <f aca="false">IF($D946="","",Y946*AB946/100)</f>
        <v/>
      </c>
      <c r="W946" s="16" t="str">
        <f aca="false">IF($D946="","",Y946-V946)</f>
        <v/>
      </c>
      <c r="X946" s="16" t="str">
        <f aca="false">IF($D946="","",W946-N946)</f>
        <v/>
      </c>
      <c r="AB946" s="17" t="str">
        <f aca="false">IF($D946="","",IF(OR($R946=TRUE(),$R946="TRUE"),Settings!$C$6,Settings!$C$7)*100)</f>
        <v/>
      </c>
      <c r="AH946" s="18" t="str">
        <f aca="false">IF($D946="","",IF(COUNTIF($D$2:$D946,$D946)=1,1,0))</f>
        <v/>
      </c>
      <c r="AI946" s="18" t="str">
        <f aca="false">IF($AH946=1,SUMPRODUCT(--($AK$2:$AK$4001&lt;$AK946))+1,"")</f>
        <v/>
      </c>
      <c r="AJ946" s="18" t="str">
        <f aca="false">IF($D946="","",IF(OR($R946=TRUE(),$R946="TRUE"),1,0))</f>
        <v/>
      </c>
      <c r="AK946" s="18" t="str">
        <f aca="false">IF($AH946=1,IFERROR(VALUE(MID($D946,2,20)),1000000000)+ROW()/10000000,"")</f>
        <v/>
      </c>
    </row>
    <row r="947" customFormat="false" ht="15" hidden="false" customHeight="false" outlineLevel="0" collapsed="false">
      <c r="F947" s="15"/>
      <c r="N947" s="16" t="str">
        <f aca="false">IF($D947="","",M947*Y947/100)</f>
        <v/>
      </c>
      <c r="V947" s="16" t="str">
        <f aca="false">IF($D947="","",Y947*AB947/100)</f>
        <v/>
      </c>
      <c r="W947" s="16" t="str">
        <f aca="false">IF($D947="","",Y947-V947)</f>
        <v/>
      </c>
      <c r="X947" s="16" t="str">
        <f aca="false">IF($D947="","",W947-N947)</f>
        <v/>
      </c>
      <c r="AB947" s="17" t="str">
        <f aca="false">IF($D947="","",IF(OR($R947=TRUE(),$R947="TRUE"),Settings!$C$6,Settings!$C$7)*100)</f>
        <v/>
      </c>
      <c r="AH947" s="18" t="str">
        <f aca="false">IF($D947="","",IF(COUNTIF($D$2:$D947,$D947)=1,1,0))</f>
        <v/>
      </c>
      <c r="AI947" s="18" t="str">
        <f aca="false">IF($AH947=1,SUMPRODUCT(--($AK$2:$AK$4001&lt;$AK947))+1,"")</f>
        <v/>
      </c>
      <c r="AJ947" s="18" t="str">
        <f aca="false">IF($D947="","",IF(OR($R947=TRUE(),$R947="TRUE"),1,0))</f>
        <v/>
      </c>
      <c r="AK947" s="18" t="str">
        <f aca="false">IF($AH947=1,IFERROR(VALUE(MID($D947,2,20)),1000000000)+ROW()/10000000,"")</f>
        <v/>
      </c>
    </row>
    <row r="948" customFormat="false" ht="15" hidden="false" customHeight="false" outlineLevel="0" collapsed="false">
      <c r="F948" s="15"/>
      <c r="N948" s="16" t="str">
        <f aca="false">IF($D948="","",M948*Y948/100)</f>
        <v/>
      </c>
      <c r="V948" s="16" t="str">
        <f aca="false">IF($D948="","",Y948*AB948/100)</f>
        <v/>
      </c>
      <c r="W948" s="16" t="str">
        <f aca="false">IF($D948="","",Y948-V948)</f>
        <v/>
      </c>
      <c r="X948" s="16" t="str">
        <f aca="false">IF($D948="","",W948-N948)</f>
        <v/>
      </c>
      <c r="AB948" s="17" t="str">
        <f aca="false">IF($D948="","",IF(OR($R948=TRUE(),$R948="TRUE"),Settings!$C$6,Settings!$C$7)*100)</f>
        <v/>
      </c>
      <c r="AH948" s="18" t="str">
        <f aca="false">IF($D948="","",IF(COUNTIF($D$2:$D948,$D948)=1,1,0))</f>
        <v/>
      </c>
      <c r="AI948" s="18" t="str">
        <f aca="false">IF($AH948=1,SUMPRODUCT(--($AK$2:$AK$4001&lt;$AK948))+1,"")</f>
        <v/>
      </c>
      <c r="AJ948" s="18" t="str">
        <f aca="false">IF($D948="","",IF(OR($R948=TRUE(),$R948="TRUE"),1,0))</f>
        <v/>
      </c>
      <c r="AK948" s="18" t="str">
        <f aca="false">IF($AH948=1,IFERROR(VALUE(MID($D948,2,20)),1000000000)+ROW()/10000000,"")</f>
        <v/>
      </c>
    </row>
    <row r="949" customFormat="false" ht="15" hidden="false" customHeight="false" outlineLevel="0" collapsed="false">
      <c r="F949" s="15"/>
      <c r="N949" s="16" t="str">
        <f aca="false">IF($D949="","",M949*Y949/100)</f>
        <v/>
      </c>
      <c r="V949" s="16" t="str">
        <f aca="false">IF($D949="","",Y949*AB949/100)</f>
        <v/>
      </c>
      <c r="W949" s="16" t="str">
        <f aca="false">IF($D949="","",Y949-V949)</f>
        <v/>
      </c>
      <c r="X949" s="16" t="str">
        <f aca="false">IF($D949="","",W949-N949)</f>
        <v/>
      </c>
      <c r="AB949" s="17" t="str">
        <f aca="false">IF($D949="","",IF(OR($R949=TRUE(),$R949="TRUE"),Settings!$C$6,Settings!$C$7)*100)</f>
        <v/>
      </c>
      <c r="AH949" s="18" t="str">
        <f aca="false">IF($D949="","",IF(COUNTIF($D$2:$D949,$D949)=1,1,0))</f>
        <v/>
      </c>
      <c r="AI949" s="18" t="str">
        <f aca="false">IF($AH949=1,SUMPRODUCT(--($AK$2:$AK$4001&lt;$AK949))+1,"")</f>
        <v/>
      </c>
      <c r="AJ949" s="18" t="str">
        <f aca="false">IF($D949="","",IF(OR($R949=TRUE(),$R949="TRUE"),1,0))</f>
        <v/>
      </c>
      <c r="AK949" s="18" t="str">
        <f aca="false">IF($AH949=1,IFERROR(VALUE(MID($D949,2,20)),1000000000)+ROW()/10000000,"")</f>
        <v/>
      </c>
    </row>
    <row r="950" customFormat="false" ht="15" hidden="false" customHeight="false" outlineLevel="0" collapsed="false">
      <c r="F950" s="15"/>
      <c r="N950" s="16" t="str">
        <f aca="false">IF($D950="","",M950*Y950/100)</f>
        <v/>
      </c>
      <c r="V950" s="16" t="str">
        <f aca="false">IF($D950="","",Y950*AB950/100)</f>
        <v/>
      </c>
      <c r="W950" s="16" t="str">
        <f aca="false">IF($D950="","",Y950-V950)</f>
        <v/>
      </c>
      <c r="X950" s="16" t="str">
        <f aca="false">IF($D950="","",W950-N950)</f>
        <v/>
      </c>
      <c r="AB950" s="17" t="str">
        <f aca="false">IF($D950="","",IF(OR($R950=TRUE(),$R950="TRUE"),Settings!$C$6,Settings!$C$7)*100)</f>
        <v/>
      </c>
      <c r="AH950" s="18" t="str">
        <f aca="false">IF($D950="","",IF(COUNTIF($D$2:$D950,$D950)=1,1,0))</f>
        <v/>
      </c>
      <c r="AI950" s="18" t="str">
        <f aca="false">IF($AH950=1,SUMPRODUCT(--($AK$2:$AK$4001&lt;$AK950))+1,"")</f>
        <v/>
      </c>
      <c r="AJ950" s="18" t="str">
        <f aca="false">IF($D950="","",IF(OR($R950=TRUE(),$R950="TRUE"),1,0))</f>
        <v/>
      </c>
      <c r="AK950" s="18" t="str">
        <f aca="false">IF($AH950=1,IFERROR(VALUE(MID($D950,2,20)),1000000000)+ROW()/10000000,"")</f>
        <v/>
      </c>
    </row>
    <row r="951" customFormat="false" ht="15" hidden="false" customHeight="false" outlineLevel="0" collapsed="false">
      <c r="F951" s="15"/>
      <c r="N951" s="16" t="str">
        <f aca="false">IF($D951="","",M951*Y951/100)</f>
        <v/>
      </c>
      <c r="V951" s="16" t="str">
        <f aca="false">IF($D951="","",Y951*AB951/100)</f>
        <v/>
      </c>
      <c r="W951" s="16" t="str">
        <f aca="false">IF($D951="","",Y951-V951)</f>
        <v/>
      </c>
      <c r="X951" s="16" t="str">
        <f aca="false">IF($D951="","",W951-N951)</f>
        <v/>
      </c>
      <c r="AB951" s="17" t="str">
        <f aca="false">IF($D951="","",IF(OR($R951=TRUE(),$R951="TRUE"),Settings!$C$6,Settings!$C$7)*100)</f>
        <v/>
      </c>
      <c r="AH951" s="18" t="str">
        <f aca="false">IF($D951="","",IF(COUNTIF($D$2:$D951,$D951)=1,1,0))</f>
        <v/>
      </c>
      <c r="AI951" s="18" t="str">
        <f aca="false">IF($AH951=1,SUMPRODUCT(--($AK$2:$AK$4001&lt;$AK951))+1,"")</f>
        <v/>
      </c>
      <c r="AJ951" s="18" t="str">
        <f aca="false">IF($D951="","",IF(OR($R951=TRUE(),$R951="TRUE"),1,0))</f>
        <v/>
      </c>
      <c r="AK951" s="18" t="str">
        <f aca="false">IF($AH951=1,IFERROR(VALUE(MID($D951,2,20)),1000000000)+ROW()/10000000,"")</f>
        <v/>
      </c>
    </row>
    <row r="952" customFormat="false" ht="15" hidden="false" customHeight="false" outlineLevel="0" collapsed="false">
      <c r="F952" s="15"/>
      <c r="N952" s="16" t="str">
        <f aca="false">IF($D952="","",M952*Y952/100)</f>
        <v/>
      </c>
      <c r="V952" s="16" t="str">
        <f aca="false">IF($D952="","",Y952*AB952/100)</f>
        <v/>
      </c>
      <c r="W952" s="16" t="str">
        <f aca="false">IF($D952="","",Y952-V952)</f>
        <v/>
      </c>
      <c r="X952" s="16" t="str">
        <f aca="false">IF($D952="","",W952-N952)</f>
        <v/>
      </c>
      <c r="AB952" s="17" t="str">
        <f aca="false">IF($D952="","",IF(OR($R952=TRUE(),$R952="TRUE"),Settings!$C$6,Settings!$C$7)*100)</f>
        <v/>
      </c>
      <c r="AH952" s="18" t="str">
        <f aca="false">IF($D952="","",IF(COUNTIF($D$2:$D952,$D952)=1,1,0))</f>
        <v/>
      </c>
      <c r="AI952" s="18" t="str">
        <f aca="false">IF($AH952=1,SUMPRODUCT(--($AK$2:$AK$4001&lt;$AK952))+1,"")</f>
        <v/>
      </c>
      <c r="AJ952" s="18" t="str">
        <f aca="false">IF($D952="","",IF(OR($R952=TRUE(),$R952="TRUE"),1,0))</f>
        <v/>
      </c>
      <c r="AK952" s="18" t="str">
        <f aca="false">IF($AH952=1,IFERROR(VALUE(MID($D952,2,20)),1000000000)+ROW()/10000000,"")</f>
        <v/>
      </c>
    </row>
    <row r="953" customFormat="false" ht="15" hidden="false" customHeight="false" outlineLevel="0" collapsed="false">
      <c r="F953" s="15"/>
      <c r="N953" s="16" t="str">
        <f aca="false">IF($D953="","",M953*Y953/100)</f>
        <v/>
      </c>
      <c r="V953" s="16" t="str">
        <f aca="false">IF($D953="","",Y953*AB953/100)</f>
        <v/>
      </c>
      <c r="W953" s="16" t="str">
        <f aca="false">IF($D953="","",Y953-V953)</f>
        <v/>
      </c>
      <c r="X953" s="16" t="str">
        <f aca="false">IF($D953="","",W953-N953)</f>
        <v/>
      </c>
      <c r="AB953" s="17" t="str">
        <f aca="false">IF($D953="","",IF(OR($R953=TRUE(),$R953="TRUE"),Settings!$C$6,Settings!$C$7)*100)</f>
        <v/>
      </c>
      <c r="AH953" s="18" t="str">
        <f aca="false">IF($D953="","",IF(COUNTIF($D$2:$D953,$D953)=1,1,0))</f>
        <v/>
      </c>
      <c r="AI953" s="18" t="str">
        <f aca="false">IF($AH953=1,SUMPRODUCT(--($AK$2:$AK$4001&lt;$AK953))+1,"")</f>
        <v/>
      </c>
      <c r="AJ953" s="18" t="str">
        <f aca="false">IF($D953="","",IF(OR($R953=TRUE(),$R953="TRUE"),1,0))</f>
        <v/>
      </c>
      <c r="AK953" s="18" t="str">
        <f aca="false">IF($AH953=1,IFERROR(VALUE(MID($D953,2,20)),1000000000)+ROW()/10000000,"")</f>
        <v/>
      </c>
    </row>
    <row r="954" customFormat="false" ht="15" hidden="false" customHeight="false" outlineLevel="0" collapsed="false">
      <c r="F954" s="15"/>
      <c r="N954" s="16" t="str">
        <f aca="false">IF($D954="","",M954*Y954/100)</f>
        <v/>
      </c>
      <c r="V954" s="16" t="str">
        <f aca="false">IF($D954="","",Y954*AB954/100)</f>
        <v/>
      </c>
      <c r="W954" s="16" t="str">
        <f aca="false">IF($D954="","",Y954-V954)</f>
        <v/>
      </c>
      <c r="X954" s="16" t="str">
        <f aca="false">IF($D954="","",W954-N954)</f>
        <v/>
      </c>
      <c r="AB954" s="17" t="str">
        <f aca="false">IF($D954="","",IF(OR($R954=TRUE(),$R954="TRUE"),Settings!$C$6,Settings!$C$7)*100)</f>
        <v/>
      </c>
      <c r="AH954" s="18" t="str">
        <f aca="false">IF($D954="","",IF(COUNTIF($D$2:$D954,$D954)=1,1,0))</f>
        <v/>
      </c>
      <c r="AI954" s="18" t="str">
        <f aca="false">IF($AH954=1,SUMPRODUCT(--($AK$2:$AK$4001&lt;$AK954))+1,"")</f>
        <v/>
      </c>
      <c r="AJ954" s="18" t="str">
        <f aca="false">IF($D954="","",IF(OR($R954=TRUE(),$R954="TRUE"),1,0))</f>
        <v/>
      </c>
      <c r="AK954" s="18" t="str">
        <f aca="false">IF($AH954=1,IFERROR(VALUE(MID($D954,2,20)),1000000000)+ROW()/10000000,"")</f>
        <v/>
      </c>
    </row>
    <row r="955" customFormat="false" ht="15" hidden="false" customHeight="false" outlineLevel="0" collapsed="false">
      <c r="F955" s="15"/>
      <c r="N955" s="16" t="str">
        <f aca="false">IF($D955="","",M955*Y955/100)</f>
        <v/>
      </c>
      <c r="V955" s="16" t="str">
        <f aca="false">IF($D955="","",Y955*AB955/100)</f>
        <v/>
      </c>
      <c r="W955" s="16" t="str">
        <f aca="false">IF($D955="","",Y955-V955)</f>
        <v/>
      </c>
      <c r="X955" s="16" t="str">
        <f aca="false">IF($D955="","",W955-N955)</f>
        <v/>
      </c>
      <c r="AB955" s="17" t="str">
        <f aca="false">IF($D955="","",IF(OR($R955=TRUE(),$R955="TRUE"),Settings!$C$6,Settings!$C$7)*100)</f>
        <v/>
      </c>
      <c r="AH955" s="18" t="str">
        <f aca="false">IF($D955="","",IF(COUNTIF($D$2:$D955,$D955)=1,1,0))</f>
        <v/>
      </c>
      <c r="AI955" s="18" t="str">
        <f aca="false">IF($AH955=1,SUMPRODUCT(--($AK$2:$AK$4001&lt;$AK955))+1,"")</f>
        <v/>
      </c>
      <c r="AJ955" s="18" t="str">
        <f aca="false">IF($D955="","",IF(OR($R955=TRUE(),$R955="TRUE"),1,0))</f>
        <v/>
      </c>
      <c r="AK955" s="18" t="str">
        <f aca="false">IF($AH955=1,IFERROR(VALUE(MID($D955,2,20)),1000000000)+ROW()/10000000,"")</f>
        <v/>
      </c>
    </row>
    <row r="956" customFormat="false" ht="15" hidden="false" customHeight="false" outlineLevel="0" collapsed="false">
      <c r="F956" s="15"/>
      <c r="N956" s="16" t="str">
        <f aca="false">IF($D956="","",M956*Y956/100)</f>
        <v/>
      </c>
      <c r="V956" s="16" t="str">
        <f aca="false">IF($D956="","",Y956*AB956/100)</f>
        <v/>
      </c>
      <c r="W956" s="16" t="str">
        <f aca="false">IF($D956="","",Y956-V956)</f>
        <v/>
      </c>
      <c r="X956" s="16" t="str">
        <f aca="false">IF($D956="","",W956-N956)</f>
        <v/>
      </c>
      <c r="AB956" s="17" t="str">
        <f aca="false">IF($D956="","",IF(OR($R956=TRUE(),$R956="TRUE"),Settings!$C$6,Settings!$C$7)*100)</f>
        <v/>
      </c>
      <c r="AH956" s="18" t="str">
        <f aca="false">IF($D956="","",IF(COUNTIF($D$2:$D956,$D956)=1,1,0))</f>
        <v/>
      </c>
      <c r="AI956" s="18" t="str">
        <f aca="false">IF($AH956=1,SUMPRODUCT(--($AK$2:$AK$4001&lt;$AK956))+1,"")</f>
        <v/>
      </c>
      <c r="AJ956" s="18" t="str">
        <f aca="false">IF($D956="","",IF(OR($R956=TRUE(),$R956="TRUE"),1,0))</f>
        <v/>
      </c>
      <c r="AK956" s="18" t="str">
        <f aca="false">IF($AH956=1,IFERROR(VALUE(MID($D956,2,20)),1000000000)+ROW()/10000000,"")</f>
        <v/>
      </c>
    </row>
    <row r="957" customFormat="false" ht="15" hidden="false" customHeight="false" outlineLevel="0" collapsed="false">
      <c r="F957" s="15"/>
      <c r="N957" s="16" t="str">
        <f aca="false">IF($D957="","",M957*Y957/100)</f>
        <v/>
      </c>
      <c r="V957" s="16" t="str">
        <f aca="false">IF($D957="","",Y957*AB957/100)</f>
        <v/>
      </c>
      <c r="W957" s="16" t="str">
        <f aca="false">IF($D957="","",Y957-V957)</f>
        <v/>
      </c>
      <c r="X957" s="16" t="str">
        <f aca="false">IF($D957="","",W957-N957)</f>
        <v/>
      </c>
      <c r="AB957" s="17" t="str">
        <f aca="false">IF($D957="","",IF(OR($R957=TRUE(),$R957="TRUE"),Settings!$C$6,Settings!$C$7)*100)</f>
        <v/>
      </c>
      <c r="AH957" s="18" t="str">
        <f aca="false">IF($D957="","",IF(COUNTIF($D$2:$D957,$D957)=1,1,0))</f>
        <v/>
      </c>
      <c r="AI957" s="18" t="str">
        <f aca="false">IF($AH957=1,SUMPRODUCT(--($AK$2:$AK$4001&lt;$AK957))+1,"")</f>
        <v/>
      </c>
      <c r="AJ957" s="18" t="str">
        <f aca="false">IF($D957="","",IF(OR($R957=TRUE(),$R957="TRUE"),1,0))</f>
        <v/>
      </c>
      <c r="AK957" s="18" t="str">
        <f aca="false">IF($AH957=1,IFERROR(VALUE(MID($D957,2,20)),1000000000)+ROW()/10000000,"")</f>
        <v/>
      </c>
    </row>
    <row r="958" customFormat="false" ht="15" hidden="false" customHeight="false" outlineLevel="0" collapsed="false">
      <c r="F958" s="15"/>
      <c r="N958" s="16" t="str">
        <f aca="false">IF($D958="","",M958*Y958/100)</f>
        <v/>
      </c>
      <c r="V958" s="16" t="str">
        <f aca="false">IF($D958="","",Y958*AB958/100)</f>
        <v/>
      </c>
      <c r="W958" s="16" t="str">
        <f aca="false">IF($D958="","",Y958-V958)</f>
        <v/>
      </c>
      <c r="X958" s="16" t="str">
        <f aca="false">IF($D958="","",W958-N958)</f>
        <v/>
      </c>
      <c r="AB958" s="17" t="str">
        <f aca="false">IF($D958="","",IF(OR($R958=TRUE(),$R958="TRUE"),Settings!$C$6,Settings!$C$7)*100)</f>
        <v/>
      </c>
      <c r="AH958" s="18" t="str">
        <f aca="false">IF($D958="","",IF(COUNTIF($D$2:$D958,$D958)=1,1,0))</f>
        <v/>
      </c>
      <c r="AI958" s="18" t="str">
        <f aca="false">IF($AH958=1,SUMPRODUCT(--($AK$2:$AK$4001&lt;$AK958))+1,"")</f>
        <v/>
      </c>
      <c r="AJ958" s="18" t="str">
        <f aca="false">IF($D958="","",IF(OR($R958=TRUE(),$R958="TRUE"),1,0))</f>
        <v/>
      </c>
      <c r="AK958" s="18" t="str">
        <f aca="false">IF($AH958=1,IFERROR(VALUE(MID($D958,2,20)),1000000000)+ROW()/10000000,"")</f>
        <v/>
      </c>
    </row>
    <row r="959" customFormat="false" ht="15" hidden="false" customHeight="false" outlineLevel="0" collapsed="false">
      <c r="F959" s="15"/>
      <c r="N959" s="16" t="str">
        <f aca="false">IF($D959="","",M959*Y959/100)</f>
        <v/>
      </c>
      <c r="V959" s="16" t="str">
        <f aca="false">IF($D959="","",Y959*AB959/100)</f>
        <v/>
      </c>
      <c r="W959" s="16" t="str">
        <f aca="false">IF($D959="","",Y959-V959)</f>
        <v/>
      </c>
      <c r="X959" s="16" t="str">
        <f aca="false">IF($D959="","",W959-N959)</f>
        <v/>
      </c>
      <c r="AB959" s="17" t="str">
        <f aca="false">IF($D959="","",IF(OR($R959=TRUE(),$R959="TRUE"),Settings!$C$6,Settings!$C$7)*100)</f>
        <v/>
      </c>
      <c r="AH959" s="18" t="str">
        <f aca="false">IF($D959="","",IF(COUNTIF($D$2:$D959,$D959)=1,1,0))</f>
        <v/>
      </c>
      <c r="AI959" s="18" t="str">
        <f aca="false">IF($AH959=1,SUMPRODUCT(--($AK$2:$AK$4001&lt;$AK959))+1,"")</f>
        <v/>
      </c>
      <c r="AJ959" s="18" t="str">
        <f aca="false">IF($D959="","",IF(OR($R959=TRUE(),$R959="TRUE"),1,0))</f>
        <v/>
      </c>
      <c r="AK959" s="18" t="str">
        <f aca="false">IF($AH959=1,IFERROR(VALUE(MID($D959,2,20)),1000000000)+ROW()/10000000,"")</f>
        <v/>
      </c>
    </row>
    <row r="960" customFormat="false" ht="15" hidden="false" customHeight="false" outlineLevel="0" collapsed="false">
      <c r="F960" s="15"/>
      <c r="N960" s="16" t="str">
        <f aca="false">IF($D960="","",M960*Y960/100)</f>
        <v/>
      </c>
      <c r="V960" s="16" t="str">
        <f aca="false">IF($D960="","",Y960*AB960/100)</f>
        <v/>
      </c>
      <c r="W960" s="16" t="str">
        <f aca="false">IF($D960="","",Y960-V960)</f>
        <v/>
      </c>
      <c r="X960" s="16" t="str">
        <f aca="false">IF($D960="","",W960-N960)</f>
        <v/>
      </c>
      <c r="AB960" s="17" t="str">
        <f aca="false">IF($D960="","",IF(OR($R960=TRUE(),$R960="TRUE"),Settings!$C$6,Settings!$C$7)*100)</f>
        <v/>
      </c>
      <c r="AH960" s="18" t="str">
        <f aca="false">IF($D960="","",IF(COUNTIF($D$2:$D960,$D960)=1,1,0))</f>
        <v/>
      </c>
      <c r="AI960" s="18" t="str">
        <f aca="false">IF($AH960=1,SUMPRODUCT(--($AK$2:$AK$4001&lt;$AK960))+1,"")</f>
        <v/>
      </c>
      <c r="AJ960" s="18" t="str">
        <f aca="false">IF($D960="","",IF(OR($R960=TRUE(),$R960="TRUE"),1,0))</f>
        <v/>
      </c>
      <c r="AK960" s="18" t="str">
        <f aca="false">IF($AH960=1,IFERROR(VALUE(MID($D960,2,20)),1000000000)+ROW()/10000000,"")</f>
        <v/>
      </c>
    </row>
    <row r="961" customFormat="false" ht="15" hidden="false" customHeight="false" outlineLevel="0" collapsed="false">
      <c r="F961" s="15"/>
      <c r="N961" s="16" t="str">
        <f aca="false">IF($D961="","",M961*Y961/100)</f>
        <v/>
      </c>
      <c r="V961" s="16" t="str">
        <f aca="false">IF($D961="","",Y961*AB961/100)</f>
        <v/>
      </c>
      <c r="W961" s="16" t="str">
        <f aca="false">IF($D961="","",Y961-V961)</f>
        <v/>
      </c>
      <c r="X961" s="16" t="str">
        <f aca="false">IF($D961="","",W961-N961)</f>
        <v/>
      </c>
      <c r="AB961" s="17" t="str">
        <f aca="false">IF($D961="","",IF(OR($R961=TRUE(),$R961="TRUE"),Settings!$C$6,Settings!$C$7)*100)</f>
        <v/>
      </c>
      <c r="AH961" s="18" t="str">
        <f aca="false">IF($D961="","",IF(COUNTIF($D$2:$D961,$D961)=1,1,0))</f>
        <v/>
      </c>
      <c r="AI961" s="18" t="str">
        <f aca="false">IF($AH961=1,SUMPRODUCT(--($AK$2:$AK$4001&lt;$AK961))+1,"")</f>
        <v/>
      </c>
      <c r="AJ961" s="18" t="str">
        <f aca="false">IF($D961="","",IF(OR($R961=TRUE(),$R961="TRUE"),1,0))</f>
        <v/>
      </c>
      <c r="AK961" s="18" t="str">
        <f aca="false">IF($AH961=1,IFERROR(VALUE(MID($D961,2,20)),1000000000)+ROW()/10000000,"")</f>
        <v/>
      </c>
    </row>
    <row r="962" customFormat="false" ht="15" hidden="false" customHeight="false" outlineLevel="0" collapsed="false">
      <c r="F962" s="15"/>
      <c r="N962" s="16" t="str">
        <f aca="false">IF($D962="","",M962*Y962/100)</f>
        <v/>
      </c>
      <c r="V962" s="16" t="str">
        <f aca="false">IF($D962="","",Y962*AB962/100)</f>
        <v/>
      </c>
      <c r="W962" s="16" t="str">
        <f aca="false">IF($D962="","",Y962-V962)</f>
        <v/>
      </c>
      <c r="X962" s="16" t="str">
        <f aca="false">IF($D962="","",W962-N962)</f>
        <v/>
      </c>
      <c r="AB962" s="17" t="str">
        <f aca="false">IF($D962="","",IF(OR($R962=TRUE(),$R962="TRUE"),Settings!$C$6,Settings!$C$7)*100)</f>
        <v/>
      </c>
      <c r="AH962" s="18" t="str">
        <f aca="false">IF($D962="","",IF(COUNTIF($D$2:$D962,$D962)=1,1,0))</f>
        <v/>
      </c>
      <c r="AI962" s="18" t="str">
        <f aca="false">IF($AH962=1,SUMPRODUCT(--($AK$2:$AK$4001&lt;$AK962))+1,"")</f>
        <v/>
      </c>
      <c r="AJ962" s="18" t="str">
        <f aca="false">IF($D962="","",IF(OR($R962=TRUE(),$R962="TRUE"),1,0))</f>
        <v/>
      </c>
      <c r="AK962" s="18" t="str">
        <f aca="false">IF($AH962=1,IFERROR(VALUE(MID($D962,2,20)),1000000000)+ROW()/10000000,"")</f>
        <v/>
      </c>
    </row>
    <row r="963" customFormat="false" ht="15" hidden="false" customHeight="false" outlineLevel="0" collapsed="false">
      <c r="F963" s="15"/>
      <c r="N963" s="16" t="str">
        <f aca="false">IF($D963="","",M963*Y963/100)</f>
        <v/>
      </c>
      <c r="V963" s="16" t="str">
        <f aca="false">IF($D963="","",Y963*AB963/100)</f>
        <v/>
      </c>
      <c r="W963" s="16" t="str">
        <f aca="false">IF($D963="","",Y963-V963)</f>
        <v/>
      </c>
      <c r="X963" s="16" t="str">
        <f aca="false">IF($D963="","",W963-N963)</f>
        <v/>
      </c>
      <c r="AB963" s="17" t="str">
        <f aca="false">IF($D963="","",IF(OR($R963=TRUE(),$R963="TRUE"),Settings!$C$6,Settings!$C$7)*100)</f>
        <v/>
      </c>
      <c r="AH963" s="18" t="str">
        <f aca="false">IF($D963="","",IF(COUNTIF($D$2:$D963,$D963)=1,1,0))</f>
        <v/>
      </c>
      <c r="AI963" s="18" t="str">
        <f aca="false">IF($AH963=1,SUMPRODUCT(--($AK$2:$AK$4001&lt;$AK963))+1,"")</f>
        <v/>
      </c>
      <c r="AJ963" s="18" t="str">
        <f aca="false">IF($D963="","",IF(OR($R963=TRUE(),$R963="TRUE"),1,0))</f>
        <v/>
      </c>
      <c r="AK963" s="18" t="str">
        <f aca="false">IF($AH963=1,IFERROR(VALUE(MID($D963,2,20)),1000000000)+ROW()/10000000,"")</f>
        <v/>
      </c>
    </row>
    <row r="964" customFormat="false" ht="15" hidden="false" customHeight="false" outlineLevel="0" collapsed="false">
      <c r="F964" s="15"/>
      <c r="N964" s="16" t="str">
        <f aca="false">IF($D964="","",M964*Y964/100)</f>
        <v/>
      </c>
      <c r="V964" s="16" t="str">
        <f aca="false">IF($D964="","",Y964*AB964/100)</f>
        <v/>
      </c>
      <c r="W964" s="16" t="str">
        <f aca="false">IF($D964="","",Y964-V964)</f>
        <v/>
      </c>
      <c r="X964" s="16" t="str">
        <f aca="false">IF($D964="","",W964-N964)</f>
        <v/>
      </c>
      <c r="AB964" s="17" t="str">
        <f aca="false">IF($D964="","",IF(OR($R964=TRUE(),$R964="TRUE"),Settings!$C$6,Settings!$C$7)*100)</f>
        <v/>
      </c>
      <c r="AH964" s="18" t="str">
        <f aca="false">IF($D964="","",IF(COUNTIF($D$2:$D964,$D964)=1,1,0))</f>
        <v/>
      </c>
      <c r="AI964" s="18" t="str">
        <f aca="false">IF($AH964=1,SUMPRODUCT(--($AK$2:$AK$4001&lt;$AK964))+1,"")</f>
        <v/>
      </c>
      <c r="AJ964" s="18" t="str">
        <f aca="false">IF($D964="","",IF(OR($R964=TRUE(),$R964="TRUE"),1,0))</f>
        <v/>
      </c>
      <c r="AK964" s="18" t="str">
        <f aca="false">IF($AH964=1,IFERROR(VALUE(MID($D964,2,20)),1000000000)+ROW()/10000000,"")</f>
        <v/>
      </c>
    </row>
    <row r="965" customFormat="false" ht="15" hidden="false" customHeight="false" outlineLevel="0" collapsed="false">
      <c r="F965" s="15"/>
      <c r="N965" s="16" t="str">
        <f aca="false">IF($D965="","",M965*Y965/100)</f>
        <v/>
      </c>
      <c r="V965" s="16" t="str">
        <f aca="false">IF($D965="","",Y965*AB965/100)</f>
        <v/>
      </c>
      <c r="W965" s="16" t="str">
        <f aca="false">IF($D965="","",Y965-V965)</f>
        <v/>
      </c>
      <c r="X965" s="16" t="str">
        <f aca="false">IF($D965="","",W965-N965)</f>
        <v/>
      </c>
      <c r="AB965" s="17" t="str">
        <f aca="false">IF($D965="","",IF(OR($R965=TRUE(),$R965="TRUE"),Settings!$C$6,Settings!$C$7)*100)</f>
        <v/>
      </c>
      <c r="AH965" s="18" t="str">
        <f aca="false">IF($D965="","",IF(COUNTIF($D$2:$D965,$D965)=1,1,0))</f>
        <v/>
      </c>
      <c r="AI965" s="18" t="str">
        <f aca="false">IF($AH965=1,SUMPRODUCT(--($AK$2:$AK$4001&lt;$AK965))+1,"")</f>
        <v/>
      </c>
      <c r="AJ965" s="18" t="str">
        <f aca="false">IF($D965="","",IF(OR($R965=TRUE(),$R965="TRUE"),1,0))</f>
        <v/>
      </c>
      <c r="AK965" s="18" t="str">
        <f aca="false">IF($AH965=1,IFERROR(VALUE(MID($D965,2,20)),1000000000)+ROW()/10000000,"")</f>
        <v/>
      </c>
    </row>
    <row r="966" customFormat="false" ht="15" hidden="false" customHeight="false" outlineLevel="0" collapsed="false">
      <c r="F966" s="15"/>
      <c r="N966" s="16" t="str">
        <f aca="false">IF($D966="","",M966*Y966/100)</f>
        <v/>
      </c>
      <c r="V966" s="16" t="str">
        <f aca="false">IF($D966="","",Y966*AB966/100)</f>
        <v/>
      </c>
      <c r="W966" s="16" t="str">
        <f aca="false">IF($D966="","",Y966-V966)</f>
        <v/>
      </c>
      <c r="X966" s="16" t="str">
        <f aca="false">IF($D966="","",W966-N966)</f>
        <v/>
      </c>
      <c r="AB966" s="17" t="str">
        <f aca="false">IF($D966="","",IF(OR($R966=TRUE(),$R966="TRUE"),Settings!$C$6,Settings!$C$7)*100)</f>
        <v/>
      </c>
      <c r="AH966" s="18" t="str">
        <f aca="false">IF($D966="","",IF(COUNTIF($D$2:$D966,$D966)=1,1,0))</f>
        <v/>
      </c>
      <c r="AI966" s="18" t="str">
        <f aca="false">IF($AH966=1,SUMPRODUCT(--($AK$2:$AK$4001&lt;$AK966))+1,"")</f>
        <v/>
      </c>
      <c r="AJ966" s="18" t="str">
        <f aca="false">IF($D966="","",IF(OR($R966=TRUE(),$R966="TRUE"),1,0))</f>
        <v/>
      </c>
      <c r="AK966" s="18" t="str">
        <f aca="false">IF($AH966=1,IFERROR(VALUE(MID($D966,2,20)),1000000000)+ROW()/10000000,"")</f>
        <v/>
      </c>
    </row>
    <row r="967" customFormat="false" ht="15" hidden="false" customHeight="false" outlineLevel="0" collapsed="false">
      <c r="F967" s="15"/>
      <c r="N967" s="16" t="str">
        <f aca="false">IF($D967="","",M967*Y967/100)</f>
        <v/>
      </c>
      <c r="V967" s="16" t="str">
        <f aca="false">IF($D967="","",Y967*AB967/100)</f>
        <v/>
      </c>
      <c r="W967" s="16" t="str">
        <f aca="false">IF($D967="","",Y967-V967)</f>
        <v/>
      </c>
      <c r="X967" s="16" t="str">
        <f aca="false">IF($D967="","",W967-N967)</f>
        <v/>
      </c>
      <c r="AB967" s="17" t="str">
        <f aca="false">IF($D967="","",IF(OR($R967=TRUE(),$R967="TRUE"),Settings!$C$6,Settings!$C$7)*100)</f>
        <v/>
      </c>
      <c r="AH967" s="18" t="str">
        <f aca="false">IF($D967="","",IF(COUNTIF($D$2:$D967,$D967)=1,1,0))</f>
        <v/>
      </c>
      <c r="AI967" s="18" t="str">
        <f aca="false">IF($AH967=1,SUMPRODUCT(--($AK$2:$AK$4001&lt;$AK967))+1,"")</f>
        <v/>
      </c>
      <c r="AJ967" s="18" t="str">
        <f aca="false">IF($D967="","",IF(OR($R967=TRUE(),$R967="TRUE"),1,0))</f>
        <v/>
      </c>
      <c r="AK967" s="18" t="str">
        <f aca="false">IF($AH967=1,IFERROR(VALUE(MID($D967,2,20)),1000000000)+ROW()/10000000,"")</f>
        <v/>
      </c>
    </row>
    <row r="968" customFormat="false" ht="15" hidden="false" customHeight="false" outlineLevel="0" collapsed="false">
      <c r="F968" s="15"/>
      <c r="N968" s="16" t="str">
        <f aca="false">IF($D968="","",M968*Y968/100)</f>
        <v/>
      </c>
      <c r="V968" s="16" t="str">
        <f aca="false">IF($D968="","",Y968*AB968/100)</f>
        <v/>
      </c>
      <c r="W968" s="16" t="str">
        <f aca="false">IF($D968="","",Y968-V968)</f>
        <v/>
      </c>
      <c r="X968" s="16" t="str">
        <f aca="false">IF($D968="","",W968-N968)</f>
        <v/>
      </c>
      <c r="AB968" s="17" t="str">
        <f aca="false">IF($D968="","",IF(OR($R968=TRUE(),$R968="TRUE"),Settings!$C$6,Settings!$C$7)*100)</f>
        <v/>
      </c>
      <c r="AH968" s="18" t="str">
        <f aca="false">IF($D968="","",IF(COUNTIF($D$2:$D968,$D968)=1,1,0))</f>
        <v/>
      </c>
      <c r="AI968" s="18" t="str">
        <f aca="false">IF($AH968=1,SUMPRODUCT(--($AK$2:$AK$4001&lt;$AK968))+1,"")</f>
        <v/>
      </c>
      <c r="AJ968" s="18" t="str">
        <f aca="false">IF($D968="","",IF(OR($R968=TRUE(),$R968="TRUE"),1,0))</f>
        <v/>
      </c>
      <c r="AK968" s="18" t="str">
        <f aca="false">IF($AH968=1,IFERROR(VALUE(MID($D968,2,20)),1000000000)+ROW()/10000000,"")</f>
        <v/>
      </c>
    </row>
    <row r="969" customFormat="false" ht="15" hidden="false" customHeight="false" outlineLevel="0" collapsed="false">
      <c r="F969" s="15"/>
      <c r="N969" s="16" t="str">
        <f aca="false">IF($D969="","",M969*Y969/100)</f>
        <v/>
      </c>
      <c r="V969" s="16" t="str">
        <f aca="false">IF($D969="","",Y969*AB969/100)</f>
        <v/>
      </c>
      <c r="W969" s="16" t="str">
        <f aca="false">IF($D969="","",Y969-V969)</f>
        <v/>
      </c>
      <c r="X969" s="16" t="str">
        <f aca="false">IF($D969="","",W969-N969)</f>
        <v/>
      </c>
      <c r="AB969" s="17" t="str">
        <f aca="false">IF($D969="","",IF(OR($R969=TRUE(),$R969="TRUE"),Settings!$C$6,Settings!$C$7)*100)</f>
        <v/>
      </c>
      <c r="AH969" s="18" t="str">
        <f aca="false">IF($D969="","",IF(COUNTIF($D$2:$D969,$D969)=1,1,0))</f>
        <v/>
      </c>
      <c r="AI969" s="18" t="str">
        <f aca="false">IF($AH969=1,SUMPRODUCT(--($AK$2:$AK$4001&lt;$AK969))+1,"")</f>
        <v/>
      </c>
      <c r="AJ969" s="18" t="str">
        <f aca="false">IF($D969="","",IF(OR($R969=TRUE(),$R969="TRUE"),1,0))</f>
        <v/>
      </c>
      <c r="AK969" s="18" t="str">
        <f aca="false">IF($AH969=1,IFERROR(VALUE(MID($D969,2,20)),1000000000)+ROW()/10000000,"")</f>
        <v/>
      </c>
    </row>
    <row r="970" customFormat="false" ht="15" hidden="false" customHeight="false" outlineLevel="0" collapsed="false">
      <c r="F970" s="15"/>
      <c r="N970" s="16" t="str">
        <f aca="false">IF($D970="","",M970*Y970/100)</f>
        <v/>
      </c>
      <c r="V970" s="16" t="str">
        <f aca="false">IF($D970="","",Y970*AB970/100)</f>
        <v/>
      </c>
      <c r="W970" s="16" t="str">
        <f aca="false">IF($D970="","",Y970-V970)</f>
        <v/>
      </c>
      <c r="X970" s="16" t="str">
        <f aca="false">IF($D970="","",W970-N970)</f>
        <v/>
      </c>
      <c r="AB970" s="17" t="str">
        <f aca="false">IF($D970="","",IF(OR($R970=TRUE(),$R970="TRUE"),Settings!$C$6,Settings!$C$7)*100)</f>
        <v/>
      </c>
      <c r="AH970" s="18" t="str">
        <f aca="false">IF($D970="","",IF(COUNTIF($D$2:$D970,$D970)=1,1,0))</f>
        <v/>
      </c>
      <c r="AI970" s="18" t="str">
        <f aca="false">IF($AH970=1,SUMPRODUCT(--($AK$2:$AK$4001&lt;$AK970))+1,"")</f>
        <v/>
      </c>
      <c r="AJ970" s="18" t="str">
        <f aca="false">IF($D970="","",IF(OR($R970=TRUE(),$R970="TRUE"),1,0))</f>
        <v/>
      </c>
      <c r="AK970" s="18" t="str">
        <f aca="false">IF($AH970=1,IFERROR(VALUE(MID($D970,2,20)),1000000000)+ROW()/10000000,"")</f>
        <v/>
      </c>
    </row>
    <row r="971" customFormat="false" ht="15" hidden="false" customHeight="false" outlineLevel="0" collapsed="false">
      <c r="F971" s="15"/>
      <c r="N971" s="16" t="str">
        <f aca="false">IF($D971="","",M971*Y971/100)</f>
        <v/>
      </c>
      <c r="V971" s="16" t="str">
        <f aca="false">IF($D971="","",Y971*AB971/100)</f>
        <v/>
      </c>
      <c r="W971" s="16" t="str">
        <f aca="false">IF($D971="","",Y971-V971)</f>
        <v/>
      </c>
      <c r="X971" s="16" t="str">
        <f aca="false">IF($D971="","",W971-N971)</f>
        <v/>
      </c>
      <c r="AB971" s="17" t="str">
        <f aca="false">IF($D971="","",IF(OR($R971=TRUE(),$R971="TRUE"),Settings!$C$6,Settings!$C$7)*100)</f>
        <v/>
      </c>
      <c r="AH971" s="18" t="str">
        <f aca="false">IF($D971="","",IF(COUNTIF($D$2:$D971,$D971)=1,1,0))</f>
        <v/>
      </c>
      <c r="AI971" s="18" t="str">
        <f aca="false">IF($AH971=1,SUMPRODUCT(--($AK$2:$AK$4001&lt;$AK971))+1,"")</f>
        <v/>
      </c>
      <c r="AJ971" s="18" t="str">
        <f aca="false">IF($D971="","",IF(OR($R971=TRUE(),$R971="TRUE"),1,0))</f>
        <v/>
      </c>
      <c r="AK971" s="18" t="str">
        <f aca="false">IF($AH971=1,IFERROR(VALUE(MID($D971,2,20)),1000000000)+ROW()/10000000,"")</f>
        <v/>
      </c>
    </row>
    <row r="972" customFormat="false" ht="15" hidden="false" customHeight="false" outlineLevel="0" collapsed="false">
      <c r="F972" s="15"/>
      <c r="N972" s="16" t="str">
        <f aca="false">IF($D972="","",M972*Y972/100)</f>
        <v/>
      </c>
      <c r="V972" s="16" t="str">
        <f aca="false">IF($D972="","",Y972*AB972/100)</f>
        <v/>
      </c>
      <c r="W972" s="16" t="str">
        <f aca="false">IF($D972="","",Y972-V972)</f>
        <v/>
      </c>
      <c r="X972" s="16" t="str">
        <f aca="false">IF($D972="","",W972-N972)</f>
        <v/>
      </c>
      <c r="AB972" s="17" t="str">
        <f aca="false">IF($D972="","",IF(OR($R972=TRUE(),$R972="TRUE"),Settings!$C$6,Settings!$C$7)*100)</f>
        <v/>
      </c>
      <c r="AH972" s="18" t="str">
        <f aca="false">IF($D972="","",IF(COUNTIF($D$2:$D972,$D972)=1,1,0))</f>
        <v/>
      </c>
      <c r="AI972" s="18" t="str">
        <f aca="false">IF($AH972=1,SUMPRODUCT(--($AK$2:$AK$4001&lt;$AK972))+1,"")</f>
        <v/>
      </c>
      <c r="AJ972" s="18" t="str">
        <f aca="false">IF($D972="","",IF(OR($R972=TRUE(),$R972="TRUE"),1,0))</f>
        <v/>
      </c>
      <c r="AK972" s="18" t="str">
        <f aca="false">IF($AH972=1,IFERROR(VALUE(MID($D972,2,20)),1000000000)+ROW()/10000000,"")</f>
        <v/>
      </c>
    </row>
    <row r="973" customFormat="false" ht="15" hidden="false" customHeight="false" outlineLevel="0" collapsed="false">
      <c r="F973" s="15"/>
      <c r="N973" s="16" t="str">
        <f aca="false">IF($D973="","",M973*Y973/100)</f>
        <v/>
      </c>
      <c r="V973" s="16" t="str">
        <f aca="false">IF($D973="","",Y973*AB973/100)</f>
        <v/>
      </c>
      <c r="W973" s="16" t="str">
        <f aca="false">IF($D973="","",Y973-V973)</f>
        <v/>
      </c>
      <c r="X973" s="16" t="str">
        <f aca="false">IF($D973="","",W973-N973)</f>
        <v/>
      </c>
      <c r="AB973" s="17" t="str">
        <f aca="false">IF($D973="","",IF(OR($R973=TRUE(),$R973="TRUE"),Settings!$C$6,Settings!$C$7)*100)</f>
        <v/>
      </c>
      <c r="AH973" s="18" t="str">
        <f aca="false">IF($D973="","",IF(COUNTIF($D$2:$D973,$D973)=1,1,0))</f>
        <v/>
      </c>
      <c r="AI973" s="18" t="str">
        <f aca="false">IF($AH973=1,SUMPRODUCT(--($AK$2:$AK$4001&lt;$AK973))+1,"")</f>
        <v/>
      </c>
      <c r="AJ973" s="18" t="str">
        <f aca="false">IF($D973="","",IF(OR($R973=TRUE(),$R973="TRUE"),1,0))</f>
        <v/>
      </c>
      <c r="AK973" s="18" t="str">
        <f aca="false">IF($AH973=1,IFERROR(VALUE(MID($D973,2,20)),1000000000)+ROW()/10000000,"")</f>
        <v/>
      </c>
    </row>
    <row r="974" customFormat="false" ht="15" hidden="false" customHeight="false" outlineLevel="0" collapsed="false">
      <c r="F974" s="15"/>
      <c r="N974" s="16" t="str">
        <f aca="false">IF($D974="","",M974*Y974/100)</f>
        <v/>
      </c>
      <c r="V974" s="16" t="str">
        <f aca="false">IF($D974="","",Y974*AB974/100)</f>
        <v/>
      </c>
      <c r="W974" s="16" t="str">
        <f aca="false">IF($D974="","",Y974-V974)</f>
        <v/>
      </c>
      <c r="X974" s="16" t="str">
        <f aca="false">IF($D974="","",W974-N974)</f>
        <v/>
      </c>
      <c r="AB974" s="17" t="str">
        <f aca="false">IF($D974="","",IF(OR($R974=TRUE(),$R974="TRUE"),Settings!$C$6,Settings!$C$7)*100)</f>
        <v/>
      </c>
      <c r="AH974" s="18" t="str">
        <f aca="false">IF($D974="","",IF(COUNTIF($D$2:$D974,$D974)=1,1,0))</f>
        <v/>
      </c>
      <c r="AI974" s="18" t="str">
        <f aca="false">IF($AH974=1,SUMPRODUCT(--($AK$2:$AK$4001&lt;$AK974))+1,"")</f>
        <v/>
      </c>
      <c r="AJ974" s="18" t="str">
        <f aca="false">IF($D974="","",IF(OR($R974=TRUE(),$R974="TRUE"),1,0))</f>
        <v/>
      </c>
      <c r="AK974" s="18" t="str">
        <f aca="false">IF($AH974=1,IFERROR(VALUE(MID($D974,2,20)),1000000000)+ROW()/10000000,"")</f>
        <v/>
      </c>
    </row>
    <row r="975" customFormat="false" ht="15" hidden="false" customHeight="false" outlineLevel="0" collapsed="false">
      <c r="F975" s="15"/>
      <c r="N975" s="16" t="str">
        <f aca="false">IF($D975="","",M975*Y975/100)</f>
        <v/>
      </c>
      <c r="V975" s="16" t="str">
        <f aca="false">IF($D975="","",Y975*AB975/100)</f>
        <v/>
      </c>
      <c r="W975" s="16" t="str">
        <f aca="false">IF($D975="","",Y975-V975)</f>
        <v/>
      </c>
      <c r="X975" s="16" t="str">
        <f aca="false">IF($D975="","",W975-N975)</f>
        <v/>
      </c>
      <c r="AB975" s="17" t="str">
        <f aca="false">IF($D975="","",IF(OR($R975=TRUE(),$R975="TRUE"),Settings!$C$6,Settings!$C$7)*100)</f>
        <v/>
      </c>
      <c r="AH975" s="18" t="str">
        <f aca="false">IF($D975="","",IF(COUNTIF($D$2:$D975,$D975)=1,1,0))</f>
        <v/>
      </c>
      <c r="AI975" s="18" t="str">
        <f aca="false">IF($AH975=1,SUMPRODUCT(--($AK$2:$AK$4001&lt;$AK975))+1,"")</f>
        <v/>
      </c>
      <c r="AJ975" s="18" t="str">
        <f aca="false">IF($D975="","",IF(OR($R975=TRUE(),$R975="TRUE"),1,0))</f>
        <v/>
      </c>
      <c r="AK975" s="18" t="str">
        <f aca="false">IF($AH975=1,IFERROR(VALUE(MID($D975,2,20)),1000000000)+ROW()/10000000,"")</f>
        <v/>
      </c>
    </row>
    <row r="976" customFormat="false" ht="15" hidden="false" customHeight="false" outlineLevel="0" collapsed="false">
      <c r="F976" s="15"/>
      <c r="N976" s="16" t="str">
        <f aca="false">IF($D976="","",M976*Y976/100)</f>
        <v/>
      </c>
      <c r="V976" s="16" t="str">
        <f aca="false">IF($D976="","",Y976*AB976/100)</f>
        <v/>
      </c>
      <c r="W976" s="16" t="str">
        <f aca="false">IF($D976="","",Y976-V976)</f>
        <v/>
      </c>
      <c r="X976" s="16" t="str">
        <f aca="false">IF($D976="","",W976-N976)</f>
        <v/>
      </c>
      <c r="AB976" s="17" t="str">
        <f aca="false">IF($D976="","",IF(OR($R976=TRUE(),$R976="TRUE"),Settings!$C$6,Settings!$C$7)*100)</f>
        <v/>
      </c>
      <c r="AH976" s="18" t="str">
        <f aca="false">IF($D976="","",IF(COUNTIF($D$2:$D976,$D976)=1,1,0))</f>
        <v/>
      </c>
      <c r="AI976" s="18" t="str">
        <f aca="false">IF($AH976=1,SUMPRODUCT(--($AK$2:$AK$4001&lt;$AK976))+1,"")</f>
        <v/>
      </c>
      <c r="AJ976" s="18" t="str">
        <f aca="false">IF($D976="","",IF(OR($R976=TRUE(),$R976="TRUE"),1,0))</f>
        <v/>
      </c>
      <c r="AK976" s="18" t="str">
        <f aca="false">IF($AH976=1,IFERROR(VALUE(MID($D976,2,20)),1000000000)+ROW()/10000000,"")</f>
        <v/>
      </c>
    </row>
    <row r="977" customFormat="false" ht="15" hidden="false" customHeight="false" outlineLevel="0" collapsed="false">
      <c r="F977" s="15"/>
      <c r="N977" s="16" t="str">
        <f aca="false">IF($D977="","",M977*Y977/100)</f>
        <v/>
      </c>
      <c r="V977" s="16" t="str">
        <f aca="false">IF($D977="","",Y977*AB977/100)</f>
        <v/>
      </c>
      <c r="W977" s="16" t="str">
        <f aca="false">IF($D977="","",Y977-V977)</f>
        <v/>
      </c>
      <c r="X977" s="16" t="str">
        <f aca="false">IF($D977="","",W977-N977)</f>
        <v/>
      </c>
      <c r="AB977" s="17" t="str">
        <f aca="false">IF($D977="","",IF(OR($R977=TRUE(),$R977="TRUE"),Settings!$C$6,Settings!$C$7)*100)</f>
        <v/>
      </c>
      <c r="AH977" s="18" t="str">
        <f aca="false">IF($D977="","",IF(COUNTIF($D$2:$D977,$D977)=1,1,0))</f>
        <v/>
      </c>
      <c r="AI977" s="18" t="str">
        <f aca="false">IF($AH977=1,SUMPRODUCT(--($AK$2:$AK$4001&lt;$AK977))+1,"")</f>
        <v/>
      </c>
      <c r="AJ977" s="18" t="str">
        <f aca="false">IF($D977="","",IF(OR($R977=TRUE(),$R977="TRUE"),1,0))</f>
        <v/>
      </c>
      <c r="AK977" s="18" t="str">
        <f aca="false">IF($AH977=1,IFERROR(VALUE(MID($D977,2,20)),1000000000)+ROW()/10000000,"")</f>
        <v/>
      </c>
    </row>
    <row r="978" customFormat="false" ht="15" hidden="false" customHeight="false" outlineLevel="0" collapsed="false">
      <c r="F978" s="15"/>
      <c r="N978" s="16" t="str">
        <f aca="false">IF($D978="","",M978*Y978/100)</f>
        <v/>
      </c>
      <c r="V978" s="16" t="str">
        <f aca="false">IF($D978="","",Y978*AB978/100)</f>
        <v/>
      </c>
      <c r="W978" s="16" t="str">
        <f aca="false">IF($D978="","",Y978-V978)</f>
        <v/>
      </c>
      <c r="X978" s="16" t="str">
        <f aca="false">IF($D978="","",W978-N978)</f>
        <v/>
      </c>
      <c r="AB978" s="17" t="str">
        <f aca="false">IF($D978="","",IF(OR($R978=TRUE(),$R978="TRUE"),Settings!$C$6,Settings!$C$7)*100)</f>
        <v/>
      </c>
      <c r="AH978" s="18" t="str">
        <f aca="false">IF($D978="","",IF(COUNTIF($D$2:$D978,$D978)=1,1,0))</f>
        <v/>
      </c>
      <c r="AI978" s="18" t="str">
        <f aca="false">IF($AH978=1,SUMPRODUCT(--($AK$2:$AK$4001&lt;$AK978))+1,"")</f>
        <v/>
      </c>
      <c r="AJ978" s="18" t="str">
        <f aca="false">IF($D978="","",IF(OR($R978=TRUE(),$R978="TRUE"),1,0))</f>
        <v/>
      </c>
      <c r="AK978" s="18" t="str">
        <f aca="false">IF($AH978=1,IFERROR(VALUE(MID($D978,2,20)),1000000000)+ROW()/10000000,"")</f>
        <v/>
      </c>
    </row>
    <row r="979" customFormat="false" ht="15" hidden="false" customHeight="false" outlineLevel="0" collapsed="false">
      <c r="F979" s="15"/>
      <c r="N979" s="16" t="str">
        <f aca="false">IF($D979="","",M979*Y979/100)</f>
        <v/>
      </c>
      <c r="V979" s="16" t="str">
        <f aca="false">IF($D979="","",Y979*AB979/100)</f>
        <v/>
      </c>
      <c r="W979" s="16" t="str">
        <f aca="false">IF($D979="","",Y979-V979)</f>
        <v/>
      </c>
      <c r="X979" s="16" t="str">
        <f aca="false">IF($D979="","",W979-N979)</f>
        <v/>
      </c>
      <c r="AB979" s="17" t="str">
        <f aca="false">IF($D979="","",IF(OR($R979=TRUE(),$R979="TRUE"),Settings!$C$6,Settings!$C$7)*100)</f>
        <v/>
      </c>
      <c r="AH979" s="18" t="str">
        <f aca="false">IF($D979="","",IF(COUNTIF($D$2:$D979,$D979)=1,1,0))</f>
        <v/>
      </c>
      <c r="AI979" s="18" t="str">
        <f aca="false">IF($AH979=1,SUMPRODUCT(--($AK$2:$AK$4001&lt;$AK979))+1,"")</f>
        <v/>
      </c>
      <c r="AJ979" s="18" t="str">
        <f aca="false">IF($D979="","",IF(OR($R979=TRUE(),$R979="TRUE"),1,0))</f>
        <v/>
      </c>
      <c r="AK979" s="18" t="str">
        <f aca="false">IF($AH979=1,IFERROR(VALUE(MID($D979,2,20)),1000000000)+ROW()/10000000,"")</f>
        <v/>
      </c>
    </row>
    <row r="980" customFormat="false" ht="15" hidden="false" customHeight="false" outlineLevel="0" collapsed="false">
      <c r="F980" s="15"/>
      <c r="N980" s="16" t="str">
        <f aca="false">IF($D980="","",M980*Y980/100)</f>
        <v/>
      </c>
      <c r="V980" s="16" t="str">
        <f aca="false">IF($D980="","",Y980*AB980/100)</f>
        <v/>
      </c>
      <c r="W980" s="16" t="str">
        <f aca="false">IF($D980="","",Y980-V980)</f>
        <v/>
      </c>
      <c r="X980" s="16" t="str">
        <f aca="false">IF($D980="","",W980-N980)</f>
        <v/>
      </c>
      <c r="AB980" s="17" t="str">
        <f aca="false">IF($D980="","",IF(OR($R980=TRUE(),$R980="TRUE"),Settings!$C$6,Settings!$C$7)*100)</f>
        <v/>
      </c>
      <c r="AH980" s="18" t="str">
        <f aca="false">IF($D980="","",IF(COUNTIF($D$2:$D980,$D980)=1,1,0))</f>
        <v/>
      </c>
      <c r="AI980" s="18" t="str">
        <f aca="false">IF($AH980=1,SUMPRODUCT(--($AK$2:$AK$4001&lt;$AK980))+1,"")</f>
        <v/>
      </c>
      <c r="AJ980" s="18" t="str">
        <f aca="false">IF($D980="","",IF(OR($R980=TRUE(),$R980="TRUE"),1,0))</f>
        <v/>
      </c>
      <c r="AK980" s="18" t="str">
        <f aca="false">IF($AH980=1,IFERROR(VALUE(MID($D980,2,20)),1000000000)+ROW()/10000000,"")</f>
        <v/>
      </c>
    </row>
    <row r="981" customFormat="false" ht="15" hidden="false" customHeight="false" outlineLevel="0" collapsed="false">
      <c r="F981" s="15"/>
      <c r="N981" s="16" t="str">
        <f aca="false">IF($D981="","",M981*Y981/100)</f>
        <v/>
      </c>
      <c r="V981" s="16" t="str">
        <f aca="false">IF($D981="","",Y981*AB981/100)</f>
        <v/>
      </c>
      <c r="W981" s="16" t="str">
        <f aca="false">IF($D981="","",Y981-V981)</f>
        <v/>
      </c>
      <c r="X981" s="16" t="str">
        <f aca="false">IF($D981="","",W981-N981)</f>
        <v/>
      </c>
      <c r="AB981" s="17" t="str">
        <f aca="false">IF($D981="","",IF(OR($R981=TRUE(),$R981="TRUE"),Settings!$C$6,Settings!$C$7)*100)</f>
        <v/>
      </c>
      <c r="AH981" s="18" t="str">
        <f aca="false">IF($D981="","",IF(COUNTIF($D$2:$D981,$D981)=1,1,0))</f>
        <v/>
      </c>
      <c r="AI981" s="18" t="str">
        <f aca="false">IF($AH981=1,SUMPRODUCT(--($AK$2:$AK$4001&lt;$AK981))+1,"")</f>
        <v/>
      </c>
      <c r="AJ981" s="18" t="str">
        <f aca="false">IF($D981="","",IF(OR($R981=TRUE(),$R981="TRUE"),1,0))</f>
        <v/>
      </c>
      <c r="AK981" s="18" t="str">
        <f aca="false">IF($AH981=1,IFERROR(VALUE(MID($D981,2,20)),1000000000)+ROW()/10000000,"")</f>
        <v/>
      </c>
    </row>
    <row r="982" customFormat="false" ht="15" hidden="false" customHeight="false" outlineLevel="0" collapsed="false">
      <c r="F982" s="15"/>
      <c r="N982" s="16" t="str">
        <f aca="false">IF($D982="","",M982*Y982/100)</f>
        <v/>
      </c>
      <c r="V982" s="16" t="str">
        <f aca="false">IF($D982="","",Y982*AB982/100)</f>
        <v/>
      </c>
      <c r="W982" s="16" t="str">
        <f aca="false">IF($D982="","",Y982-V982)</f>
        <v/>
      </c>
      <c r="X982" s="16" t="str">
        <f aca="false">IF($D982="","",W982-N982)</f>
        <v/>
      </c>
      <c r="AB982" s="17" t="str">
        <f aca="false">IF($D982="","",IF(OR($R982=TRUE(),$R982="TRUE"),Settings!$C$6,Settings!$C$7)*100)</f>
        <v/>
      </c>
      <c r="AH982" s="18" t="str">
        <f aca="false">IF($D982="","",IF(COUNTIF($D$2:$D982,$D982)=1,1,0))</f>
        <v/>
      </c>
      <c r="AI982" s="18" t="str">
        <f aca="false">IF($AH982=1,SUMPRODUCT(--($AK$2:$AK$4001&lt;$AK982))+1,"")</f>
        <v/>
      </c>
      <c r="AJ982" s="18" t="str">
        <f aca="false">IF($D982="","",IF(OR($R982=TRUE(),$R982="TRUE"),1,0))</f>
        <v/>
      </c>
      <c r="AK982" s="18" t="str">
        <f aca="false">IF($AH982=1,IFERROR(VALUE(MID($D982,2,20)),1000000000)+ROW()/10000000,"")</f>
        <v/>
      </c>
    </row>
    <row r="983" customFormat="false" ht="15" hidden="false" customHeight="false" outlineLevel="0" collapsed="false">
      <c r="F983" s="15"/>
      <c r="N983" s="16" t="str">
        <f aca="false">IF($D983="","",M983*Y983/100)</f>
        <v/>
      </c>
      <c r="V983" s="16" t="str">
        <f aca="false">IF($D983="","",Y983*AB983/100)</f>
        <v/>
      </c>
      <c r="W983" s="16" t="str">
        <f aca="false">IF($D983="","",Y983-V983)</f>
        <v/>
      </c>
      <c r="X983" s="16" t="str">
        <f aca="false">IF($D983="","",W983-N983)</f>
        <v/>
      </c>
      <c r="AB983" s="17" t="str">
        <f aca="false">IF($D983="","",IF(OR($R983=TRUE(),$R983="TRUE"),Settings!$C$6,Settings!$C$7)*100)</f>
        <v/>
      </c>
      <c r="AH983" s="18" t="str">
        <f aca="false">IF($D983="","",IF(COUNTIF($D$2:$D983,$D983)=1,1,0))</f>
        <v/>
      </c>
      <c r="AI983" s="18" t="str">
        <f aca="false">IF($AH983=1,SUMPRODUCT(--($AK$2:$AK$4001&lt;$AK983))+1,"")</f>
        <v/>
      </c>
      <c r="AJ983" s="18" t="str">
        <f aca="false">IF($D983="","",IF(OR($R983=TRUE(),$R983="TRUE"),1,0))</f>
        <v/>
      </c>
      <c r="AK983" s="18" t="str">
        <f aca="false">IF($AH983=1,IFERROR(VALUE(MID($D983,2,20)),1000000000)+ROW()/10000000,"")</f>
        <v/>
      </c>
    </row>
    <row r="984" customFormat="false" ht="15" hidden="false" customHeight="false" outlineLevel="0" collapsed="false">
      <c r="F984" s="15"/>
      <c r="N984" s="16" t="str">
        <f aca="false">IF($D984="","",M984*Y984/100)</f>
        <v/>
      </c>
      <c r="V984" s="16" t="str">
        <f aca="false">IF($D984="","",Y984*AB984/100)</f>
        <v/>
      </c>
      <c r="W984" s="16" t="str">
        <f aca="false">IF($D984="","",Y984-V984)</f>
        <v/>
      </c>
      <c r="X984" s="16" t="str">
        <f aca="false">IF($D984="","",W984-N984)</f>
        <v/>
      </c>
      <c r="AB984" s="17" t="str">
        <f aca="false">IF($D984="","",IF(OR($R984=TRUE(),$R984="TRUE"),Settings!$C$6,Settings!$C$7)*100)</f>
        <v/>
      </c>
      <c r="AH984" s="18" t="str">
        <f aca="false">IF($D984="","",IF(COUNTIF($D$2:$D984,$D984)=1,1,0))</f>
        <v/>
      </c>
      <c r="AI984" s="18" t="str">
        <f aca="false">IF($AH984=1,SUMPRODUCT(--($AK$2:$AK$4001&lt;$AK984))+1,"")</f>
        <v/>
      </c>
      <c r="AJ984" s="18" t="str">
        <f aca="false">IF($D984="","",IF(OR($R984=TRUE(),$R984="TRUE"),1,0))</f>
        <v/>
      </c>
      <c r="AK984" s="18" t="str">
        <f aca="false">IF($AH984=1,IFERROR(VALUE(MID($D984,2,20)),1000000000)+ROW()/10000000,"")</f>
        <v/>
      </c>
    </row>
    <row r="985" customFormat="false" ht="15" hidden="false" customHeight="false" outlineLevel="0" collapsed="false">
      <c r="F985" s="15"/>
      <c r="N985" s="16" t="str">
        <f aca="false">IF($D985="","",M985*Y985/100)</f>
        <v/>
      </c>
      <c r="V985" s="16" t="str">
        <f aca="false">IF($D985="","",Y985*AB985/100)</f>
        <v/>
      </c>
      <c r="W985" s="16" t="str">
        <f aca="false">IF($D985="","",Y985-V985)</f>
        <v/>
      </c>
      <c r="X985" s="16" t="str">
        <f aca="false">IF($D985="","",W985-N985)</f>
        <v/>
      </c>
      <c r="AB985" s="17" t="str">
        <f aca="false">IF($D985="","",IF(OR($R985=TRUE(),$R985="TRUE"),Settings!$C$6,Settings!$C$7)*100)</f>
        <v/>
      </c>
      <c r="AH985" s="18" t="str">
        <f aca="false">IF($D985="","",IF(COUNTIF($D$2:$D985,$D985)=1,1,0))</f>
        <v/>
      </c>
      <c r="AI985" s="18" t="str">
        <f aca="false">IF($AH985=1,SUMPRODUCT(--($AK$2:$AK$4001&lt;$AK985))+1,"")</f>
        <v/>
      </c>
      <c r="AJ985" s="18" t="str">
        <f aca="false">IF($D985="","",IF(OR($R985=TRUE(),$R985="TRUE"),1,0))</f>
        <v/>
      </c>
      <c r="AK985" s="18" t="str">
        <f aca="false">IF($AH985=1,IFERROR(VALUE(MID($D985,2,20)),1000000000)+ROW()/10000000,"")</f>
        <v/>
      </c>
    </row>
    <row r="986" customFormat="false" ht="15" hidden="false" customHeight="false" outlineLevel="0" collapsed="false">
      <c r="F986" s="15"/>
      <c r="N986" s="16" t="str">
        <f aca="false">IF($D986="","",M986*Y986/100)</f>
        <v/>
      </c>
      <c r="V986" s="16" t="str">
        <f aca="false">IF($D986="","",Y986*AB986/100)</f>
        <v/>
      </c>
      <c r="W986" s="16" t="str">
        <f aca="false">IF($D986="","",Y986-V986)</f>
        <v/>
      </c>
      <c r="X986" s="16" t="str">
        <f aca="false">IF($D986="","",W986-N986)</f>
        <v/>
      </c>
      <c r="AB986" s="17" t="str">
        <f aca="false">IF($D986="","",IF(OR($R986=TRUE(),$R986="TRUE"),Settings!$C$6,Settings!$C$7)*100)</f>
        <v/>
      </c>
      <c r="AH986" s="18" t="str">
        <f aca="false">IF($D986="","",IF(COUNTIF($D$2:$D986,$D986)=1,1,0))</f>
        <v/>
      </c>
      <c r="AI986" s="18" t="str">
        <f aca="false">IF($AH986=1,SUMPRODUCT(--($AK$2:$AK$4001&lt;$AK986))+1,"")</f>
        <v/>
      </c>
      <c r="AJ986" s="18" t="str">
        <f aca="false">IF($D986="","",IF(OR($R986=TRUE(),$R986="TRUE"),1,0))</f>
        <v/>
      </c>
      <c r="AK986" s="18" t="str">
        <f aca="false">IF($AH986=1,IFERROR(VALUE(MID($D986,2,20)),1000000000)+ROW()/10000000,"")</f>
        <v/>
      </c>
    </row>
    <row r="987" customFormat="false" ht="15" hidden="false" customHeight="false" outlineLevel="0" collapsed="false">
      <c r="F987" s="15"/>
      <c r="N987" s="16" t="str">
        <f aca="false">IF($D987="","",M987*Y987/100)</f>
        <v/>
      </c>
      <c r="V987" s="16" t="str">
        <f aca="false">IF($D987="","",Y987*AB987/100)</f>
        <v/>
      </c>
      <c r="W987" s="16" t="str">
        <f aca="false">IF($D987="","",Y987-V987)</f>
        <v/>
      </c>
      <c r="X987" s="16" t="str">
        <f aca="false">IF($D987="","",W987-N987)</f>
        <v/>
      </c>
      <c r="AB987" s="17" t="str">
        <f aca="false">IF($D987="","",IF(OR($R987=TRUE(),$R987="TRUE"),Settings!$C$6,Settings!$C$7)*100)</f>
        <v/>
      </c>
      <c r="AH987" s="18" t="str">
        <f aca="false">IF($D987="","",IF(COUNTIF($D$2:$D987,$D987)=1,1,0))</f>
        <v/>
      </c>
      <c r="AI987" s="18" t="str">
        <f aca="false">IF($AH987=1,SUMPRODUCT(--($AK$2:$AK$4001&lt;$AK987))+1,"")</f>
        <v/>
      </c>
      <c r="AJ987" s="18" t="str">
        <f aca="false">IF($D987="","",IF(OR($R987=TRUE(),$R987="TRUE"),1,0))</f>
        <v/>
      </c>
      <c r="AK987" s="18" t="str">
        <f aca="false">IF($AH987=1,IFERROR(VALUE(MID($D987,2,20)),1000000000)+ROW()/10000000,"")</f>
        <v/>
      </c>
    </row>
    <row r="988" customFormat="false" ht="15" hidden="false" customHeight="false" outlineLevel="0" collapsed="false">
      <c r="F988" s="15"/>
      <c r="N988" s="16" t="str">
        <f aca="false">IF($D988="","",M988*Y988/100)</f>
        <v/>
      </c>
      <c r="V988" s="16" t="str">
        <f aca="false">IF($D988="","",Y988*AB988/100)</f>
        <v/>
      </c>
      <c r="W988" s="16" t="str">
        <f aca="false">IF($D988="","",Y988-V988)</f>
        <v/>
      </c>
      <c r="X988" s="16" t="str">
        <f aca="false">IF($D988="","",W988-N988)</f>
        <v/>
      </c>
      <c r="AB988" s="17" t="str">
        <f aca="false">IF($D988="","",IF(OR($R988=TRUE(),$R988="TRUE"),Settings!$C$6,Settings!$C$7)*100)</f>
        <v/>
      </c>
      <c r="AH988" s="18" t="str">
        <f aca="false">IF($D988="","",IF(COUNTIF($D$2:$D988,$D988)=1,1,0))</f>
        <v/>
      </c>
      <c r="AI988" s="18" t="str">
        <f aca="false">IF($AH988=1,SUMPRODUCT(--($AK$2:$AK$4001&lt;$AK988))+1,"")</f>
        <v/>
      </c>
      <c r="AJ988" s="18" t="str">
        <f aca="false">IF($D988="","",IF(OR($R988=TRUE(),$R988="TRUE"),1,0))</f>
        <v/>
      </c>
      <c r="AK988" s="18" t="str">
        <f aca="false">IF($AH988=1,IFERROR(VALUE(MID($D988,2,20)),1000000000)+ROW()/10000000,"")</f>
        <v/>
      </c>
    </row>
    <row r="989" customFormat="false" ht="15" hidden="false" customHeight="false" outlineLevel="0" collapsed="false">
      <c r="F989" s="15"/>
      <c r="N989" s="16" t="str">
        <f aca="false">IF($D989="","",M989*Y989/100)</f>
        <v/>
      </c>
      <c r="V989" s="16" t="str">
        <f aca="false">IF($D989="","",Y989*AB989/100)</f>
        <v/>
      </c>
      <c r="W989" s="16" t="str">
        <f aca="false">IF($D989="","",Y989-V989)</f>
        <v/>
      </c>
      <c r="X989" s="16" t="str">
        <f aca="false">IF($D989="","",W989-N989)</f>
        <v/>
      </c>
      <c r="AB989" s="17" t="str">
        <f aca="false">IF($D989="","",IF(OR($R989=TRUE(),$R989="TRUE"),Settings!$C$6,Settings!$C$7)*100)</f>
        <v/>
      </c>
      <c r="AH989" s="18" t="str">
        <f aca="false">IF($D989="","",IF(COUNTIF($D$2:$D989,$D989)=1,1,0))</f>
        <v/>
      </c>
      <c r="AI989" s="18" t="str">
        <f aca="false">IF($AH989=1,SUMPRODUCT(--($AK$2:$AK$4001&lt;$AK989))+1,"")</f>
        <v/>
      </c>
      <c r="AJ989" s="18" t="str">
        <f aca="false">IF($D989="","",IF(OR($R989=TRUE(),$R989="TRUE"),1,0))</f>
        <v/>
      </c>
      <c r="AK989" s="18" t="str">
        <f aca="false">IF($AH989=1,IFERROR(VALUE(MID($D989,2,20)),1000000000)+ROW()/10000000,"")</f>
        <v/>
      </c>
    </row>
    <row r="990" customFormat="false" ht="15" hidden="false" customHeight="false" outlineLevel="0" collapsed="false">
      <c r="F990" s="15"/>
      <c r="N990" s="16" t="str">
        <f aca="false">IF($D990="","",M990*Y990/100)</f>
        <v/>
      </c>
      <c r="V990" s="16" t="str">
        <f aca="false">IF($D990="","",Y990*AB990/100)</f>
        <v/>
      </c>
      <c r="W990" s="16" t="str">
        <f aca="false">IF($D990="","",Y990-V990)</f>
        <v/>
      </c>
      <c r="X990" s="16" t="str">
        <f aca="false">IF($D990="","",W990-N990)</f>
        <v/>
      </c>
      <c r="AB990" s="17" t="str">
        <f aca="false">IF($D990="","",IF(OR($R990=TRUE(),$R990="TRUE"),Settings!$C$6,Settings!$C$7)*100)</f>
        <v/>
      </c>
      <c r="AH990" s="18" t="str">
        <f aca="false">IF($D990="","",IF(COUNTIF($D$2:$D990,$D990)=1,1,0))</f>
        <v/>
      </c>
      <c r="AI990" s="18" t="str">
        <f aca="false">IF($AH990=1,SUMPRODUCT(--($AK$2:$AK$4001&lt;$AK990))+1,"")</f>
        <v/>
      </c>
      <c r="AJ990" s="18" t="str">
        <f aca="false">IF($D990="","",IF(OR($R990=TRUE(),$R990="TRUE"),1,0))</f>
        <v/>
      </c>
      <c r="AK990" s="18" t="str">
        <f aca="false">IF($AH990=1,IFERROR(VALUE(MID($D990,2,20)),1000000000)+ROW()/10000000,"")</f>
        <v/>
      </c>
    </row>
    <row r="991" customFormat="false" ht="15" hidden="false" customHeight="false" outlineLevel="0" collapsed="false">
      <c r="F991" s="15"/>
      <c r="N991" s="16" t="str">
        <f aca="false">IF($D991="","",M991*Y991/100)</f>
        <v/>
      </c>
      <c r="V991" s="16" t="str">
        <f aca="false">IF($D991="","",Y991*AB991/100)</f>
        <v/>
      </c>
      <c r="W991" s="16" t="str">
        <f aca="false">IF($D991="","",Y991-V991)</f>
        <v/>
      </c>
      <c r="X991" s="16" t="str">
        <f aca="false">IF($D991="","",W991-N991)</f>
        <v/>
      </c>
      <c r="AB991" s="17" t="str">
        <f aca="false">IF($D991="","",IF(OR($R991=TRUE(),$R991="TRUE"),Settings!$C$6,Settings!$C$7)*100)</f>
        <v/>
      </c>
      <c r="AH991" s="18" t="str">
        <f aca="false">IF($D991="","",IF(COUNTIF($D$2:$D991,$D991)=1,1,0))</f>
        <v/>
      </c>
      <c r="AI991" s="18" t="str">
        <f aca="false">IF($AH991=1,SUMPRODUCT(--($AK$2:$AK$4001&lt;$AK991))+1,"")</f>
        <v/>
      </c>
      <c r="AJ991" s="18" t="str">
        <f aca="false">IF($D991="","",IF(OR($R991=TRUE(),$R991="TRUE"),1,0))</f>
        <v/>
      </c>
      <c r="AK991" s="18" t="str">
        <f aca="false">IF($AH991=1,IFERROR(VALUE(MID($D991,2,20)),1000000000)+ROW()/10000000,"")</f>
        <v/>
      </c>
    </row>
    <row r="992" customFormat="false" ht="15" hidden="false" customHeight="false" outlineLevel="0" collapsed="false">
      <c r="F992" s="15"/>
      <c r="N992" s="16" t="str">
        <f aca="false">IF($D992="","",M992*Y992/100)</f>
        <v/>
      </c>
      <c r="V992" s="16" t="str">
        <f aca="false">IF($D992="","",Y992*AB992/100)</f>
        <v/>
      </c>
      <c r="W992" s="16" t="str">
        <f aca="false">IF($D992="","",Y992-V992)</f>
        <v/>
      </c>
      <c r="X992" s="16" t="str">
        <f aca="false">IF($D992="","",W992-N992)</f>
        <v/>
      </c>
      <c r="AB992" s="17" t="str">
        <f aca="false">IF($D992="","",IF(OR($R992=TRUE(),$R992="TRUE"),Settings!$C$6,Settings!$C$7)*100)</f>
        <v/>
      </c>
      <c r="AH992" s="18" t="str">
        <f aca="false">IF($D992="","",IF(COUNTIF($D$2:$D992,$D992)=1,1,0))</f>
        <v/>
      </c>
      <c r="AI992" s="18" t="str">
        <f aca="false">IF($AH992=1,SUMPRODUCT(--($AK$2:$AK$4001&lt;$AK992))+1,"")</f>
        <v/>
      </c>
      <c r="AJ992" s="18" t="str">
        <f aca="false">IF($D992="","",IF(OR($R992=TRUE(),$R992="TRUE"),1,0))</f>
        <v/>
      </c>
      <c r="AK992" s="18" t="str">
        <f aca="false">IF($AH992=1,IFERROR(VALUE(MID($D992,2,20)),1000000000)+ROW()/10000000,"")</f>
        <v/>
      </c>
    </row>
    <row r="993" customFormat="false" ht="15" hidden="false" customHeight="false" outlineLevel="0" collapsed="false">
      <c r="F993" s="15"/>
      <c r="N993" s="16" t="str">
        <f aca="false">IF($D993="","",M993*Y993/100)</f>
        <v/>
      </c>
      <c r="V993" s="16" t="str">
        <f aca="false">IF($D993="","",Y993*AB993/100)</f>
        <v/>
      </c>
      <c r="W993" s="16" t="str">
        <f aca="false">IF($D993="","",Y993-V993)</f>
        <v/>
      </c>
      <c r="X993" s="16" t="str">
        <f aca="false">IF($D993="","",W993-N993)</f>
        <v/>
      </c>
      <c r="AB993" s="17" t="str">
        <f aca="false">IF($D993="","",IF(OR($R993=TRUE(),$R993="TRUE"),Settings!$C$6,Settings!$C$7)*100)</f>
        <v/>
      </c>
      <c r="AH993" s="18" t="str">
        <f aca="false">IF($D993="","",IF(COUNTIF($D$2:$D993,$D993)=1,1,0))</f>
        <v/>
      </c>
      <c r="AI993" s="18" t="str">
        <f aca="false">IF($AH993=1,SUMPRODUCT(--($AK$2:$AK$4001&lt;$AK993))+1,"")</f>
        <v/>
      </c>
      <c r="AJ993" s="18" t="str">
        <f aca="false">IF($D993="","",IF(OR($R993=TRUE(),$R993="TRUE"),1,0))</f>
        <v/>
      </c>
      <c r="AK993" s="18" t="str">
        <f aca="false">IF($AH993=1,IFERROR(VALUE(MID($D993,2,20)),1000000000)+ROW()/10000000,"")</f>
        <v/>
      </c>
    </row>
    <row r="994" customFormat="false" ht="15" hidden="false" customHeight="false" outlineLevel="0" collapsed="false">
      <c r="F994" s="15"/>
      <c r="N994" s="16" t="str">
        <f aca="false">IF($D994="","",M994*Y994/100)</f>
        <v/>
      </c>
      <c r="V994" s="16" t="str">
        <f aca="false">IF($D994="","",Y994*AB994/100)</f>
        <v/>
      </c>
      <c r="W994" s="16" t="str">
        <f aca="false">IF($D994="","",Y994-V994)</f>
        <v/>
      </c>
      <c r="X994" s="16" t="str">
        <f aca="false">IF($D994="","",W994-N994)</f>
        <v/>
      </c>
      <c r="AB994" s="17" t="str">
        <f aca="false">IF($D994="","",IF(OR($R994=TRUE(),$R994="TRUE"),Settings!$C$6,Settings!$C$7)*100)</f>
        <v/>
      </c>
      <c r="AH994" s="18" t="str">
        <f aca="false">IF($D994="","",IF(COUNTIF($D$2:$D994,$D994)=1,1,0))</f>
        <v/>
      </c>
      <c r="AI994" s="18" t="str">
        <f aca="false">IF($AH994=1,SUMPRODUCT(--($AK$2:$AK$4001&lt;$AK994))+1,"")</f>
        <v/>
      </c>
      <c r="AJ994" s="18" t="str">
        <f aca="false">IF($D994="","",IF(OR($R994=TRUE(),$R994="TRUE"),1,0))</f>
        <v/>
      </c>
      <c r="AK994" s="18" t="str">
        <f aca="false">IF($AH994=1,IFERROR(VALUE(MID($D994,2,20)),1000000000)+ROW()/10000000,"")</f>
        <v/>
      </c>
    </row>
    <row r="995" customFormat="false" ht="15" hidden="false" customHeight="false" outlineLevel="0" collapsed="false">
      <c r="F995" s="15"/>
      <c r="N995" s="16" t="str">
        <f aca="false">IF($D995="","",M995*Y995/100)</f>
        <v/>
      </c>
      <c r="V995" s="16" t="str">
        <f aca="false">IF($D995="","",Y995*AB995/100)</f>
        <v/>
      </c>
      <c r="W995" s="16" t="str">
        <f aca="false">IF($D995="","",Y995-V995)</f>
        <v/>
      </c>
      <c r="X995" s="16" t="str">
        <f aca="false">IF($D995="","",W995-N995)</f>
        <v/>
      </c>
      <c r="AB995" s="17" t="str">
        <f aca="false">IF($D995="","",IF(OR($R995=TRUE(),$R995="TRUE"),Settings!$C$6,Settings!$C$7)*100)</f>
        <v/>
      </c>
      <c r="AH995" s="18" t="str">
        <f aca="false">IF($D995="","",IF(COUNTIF($D$2:$D995,$D995)=1,1,0))</f>
        <v/>
      </c>
      <c r="AI995" s="18" t="str">
        <f aca="false">IF($AH995=1,SUMPRODUCT(--($AK$2:$AK$4001&lt;$AK995))+1,"")</f>
        <v/>
      </c>
      <c r="AJ995" s="18" t="str">
        <f aca="false">IF($D995="","",IF(OR($R995=TRUE(),$R995="TRUE"),1,0))</f>
        <v/>
      </c>
      <c r="AK995" s="18" t="str">
        <f aca="false">IF($AH995=1,IFERROR(VALUE(MID($D995,2,20)),1000000000)+ROW()/10000000,"")</f>
        <v/>
      </c>
    </row>
    <row r="996" customFormat="false" ht="15" hidden="false" customHeight="false" outlineLevel="0" collapsed="false">
      <c r="F996" s="15"/>
      <c r="N996" s="16" t="str">
        <f aca="false">IF($D996="","",M996*Y996/100)</f>
        <v/>
      </c>
      <c r="V996" s="16" t="str">
        <f aca="false">IF($D996="","",Y996*AB996/100)</f>
        <v/>
      </c>
      <c r="W996" s="16" t="str">
        <f aca="false">IF($D996="","",Y996-V996)</f>
        <v/>
      </c>
      <c r="X996" s="16" t="str">
        <f aca="false">IF($D996="","",W996-N996)</f>
        <v/>
      </c>
      <c r="AB996" s="17" t="str">
        <f aca="false">IF($D996="","",IF(OR($R996=TRUE(),$R996="TRUE"),Settings!$C$6,Settings!$C$7)*100)</f>
        <v/>
      </c>
      <c r="AH996" s="18" t="str">
        <f aca="false">IF($D996="","",IF(COUNTIF($D$2:$D996,$D996)=1,1,0))</f>
        <v/>
      </c>
      <c r="AI996" s="18" t="str">
        <f aca="false">IF($AH996=1,SUMPRODUCT(--($AK$2:$AK$4001&lt;$AK996))+1,"")</f>
        <v/>
      </c>
      <c r="AJ996" s="18" t="str">
        <f aca="false">IF($D996="","",IF(OR($R996=TRUE(),$R996="TRUE"),1,0))</f>
        <v/>
      </c>
      <c r="AK996" s="18" t="str">
        <f aca="false">IF($AH996=1,IFERROR(VALUE(MID($D996,2,20)),1000000000)+ROW()/10000000,"")</f>
        <v/>
      </c>
    </row>
    <row r="997" customFormat="false" ht="15" hidden="false" customHeight="false" outlineLevel="0" collapsed="false">
      <c r="F997" s="15"/>
      <c r="N997" s="16" t="str">
        <f aca="false">IF($D997="","",M997*Y997/100)</f>
        <v/>
      </c>
      <c r="V997" s="16" t="str">
        <f aca="false">IF($D997="","",Y997*AB997/100)</f>
        <v/>
      </c>
      <c r="W997" s="16" t="str">
        <f aca="false">IF($D997="","",Y997-V997)</f>
        <v/>
      </c>
      <c r="X997" s="16" t="str">
        <f aca="false">IF($D997="","",W997-N997)</f>
        <v/>
      </c>
      <c r="AB997" s="17" t="str">
        <f aca="false">IF($D997="","",IF(OR($R997=TRUE(),$R997="TRUE"),Settings!$C$6,Settings!$C$7)*100)</f>
        <v/>
      </c>
      <c r="AH997" s="18" t="str">
        <f aca="false">IF($D997="","",IF(COUNTIF($D$2:$D997,$D997)=1,1,0))</f>
        <v/>
      </c>
      <c r="AI997" s="18" t="str">
        <f aca="false">IF($AH997=1,SUMPRODUCT(--($AK$2:$AK$4001&lt;$AK997))+1,"")</f>
        <v/>
      </c>
      <c r="AJ997" s="18" t="str">
        <f aca="false">IF($D997="","",IF(OR($R997=TRUE(),$R997="TRUE"),1,0))</f>
        <v/>
      </c>
      <c r="AK997" s="18" t="str">
        <f aca="false">IF($AH997=1,IFERROR(VALUE(MID($D997,2,20)),1000000000)+ROW()/10000000,"")</f>
        <v/>
      </c>
    </row>
    <row r="998" customFormat="false" ht="15" hidden="false" customHeight="false" outlineLevel="0" collapsed="false">
      <c r="F998" s="15"/>
      <c r="N998" s="16" t="str">
        <f aca="false">IF($D998="","",M998*Y998/100)</f>
        <v/>
      </c>
      <c r="V998" s="16" t="str">
        <f aca="false">IF($D998="","",Y998*AB998/100)</f>
        <v/>
      </c>
      <c r="W998" s="16" t="str">
        <f aca="false">IF($D998="","",Y998-V998)</f>
        <v/>
      </c>
      <c r="X998" s="16" t="str">
        <f aca="false">IF($D998="","",W998-N998)</f>
        <v/>
      </c>
      <c r="AB998" s="17" t="str">
        <f aca="false">IF($D998="","",IF(OR($R998=TRUE(),$R998="TRUE"),Settings!$C$6,Settings!$C$7)*100)</f>
        <v/>
      </c>
      <c r="AH998" s="18" t="str">
        <f aca="false">IF($D998="","",IF(COUNTIF($D$2:$D998,$D998)=1,1,0))</f>
        <v/>
      </c>
      <c r="AI998" s="18" t="str">
        <f aca="false">IF($AH998=1,SUMPRODUCT(--($AK$2:$AK$4001&lt;$AK998))+1,"")</f>
        <v/>
      </c>
      <c r="AJ998" s="18" t="str">
        <f aca="false">IF($D998="","",IF(OR($R998=TRUE(),$R998="TRUE"),1,0))</f>
        <v/>
      </c>
      <c r="AK998" s="18" t="str">
        <f aca="false">IF($AH998=1,IFERROR(VALUE(MID($D998,2,20)),1000000000)+ROW()/10000000,"")</f>
        <v/>
      </c>
    </row>
    <row r="999" customFormat="false" ht="15" hidden="false" customHeight="false" outlineLevel="0" collapsed="false">
      <c r="F999" s="15"/>
      <c r="N999" s="16" t="str">
        <f aca="false">IF($D999="","",M999*Y999/100)</f>
        <v/>
      </c>
      <c r="V999" s="16" t="str">
        <f aca="false">IF($D999="","",Y999*AB999/100)</f>
        <v/>
      </c>
      <c r="W999" s="16" t="str">
        <f aca="false">IF($D999="","",Y999-V999)</f>
        <v/>
      </c>
      <c r="X999" s="16" t="str">
        <f aca="false">IF($D999="","",W999-N999)</f>
        <v/>
      </c>
      <c r="AB999" s="17" t="str">
        <f aca="false">IF($D999="","",IF(OR($R999=TRUE(),$R999="TRUE"),Settings!$C$6,Settings!$C$7)*100)</f>
        <v/>
      </c>
      <c r="AH999" s="18" t="str">
        <f aca="false">IF($D999="","",IF(COUNTIF($D$2:$D999,$D999)=1,1,0))</f>
        <v/>
      </c>
      <c r="AI999" s="18" t="str">
        <f aca="false">IF($AH999=1,SUMPRODUCT(--($AK$2:$AK$4001&lt;$AK999))+1,"")</f>
        <v/>
      </c>
      <c r="AJ999" s="18" t="str">
        <f aca="false">IF($D999="","",IF(OR($R999=TRUE(),$R999="TRUE"),1,0))</f>
        <v/>
      </c>
      <c r="AK999" s="18" t="str">
        <f aca="false">IF($AH999=1,IFERROR(VALUE(MID($D999,2,20)),1000000000)+ROW()/10000000,"")</f>
        <v/>
      </c>
    </row>
    <row r="1000" customFormat="false" ht="15" hidden="false" customHeight="false" outlineLevel="0" collapsed="false">
      <c r="F1000" s="15"/>
      <c r="N1000" s="16" t="str">
        <f aca="false">IF($D1000="","",M1000*Y1000/100)</f>
        <v/>
      </c>
      <c r="V1000" s="16" t="str">
        <f aca="false">IF($D1000="","",Y1000*AB1000/100)</f>
        <v/>
      </c>
      <c r="W1000" s="16" t="str">
        <f aca="false">IF($D1000="","",Y1000-V1000)</f>
        <v/>
      </c>
      <c r="X1000" s="16" t="str">
        <f aca="false">IF($D1000="","",W1000-N1000)</f>
        <v/>
      </c>
      <c r="AB1000" s="17" t="str">
        <f aca="false">IF($D1000="","",IF(OR($R1000=TRUE(),$R1000="TRUE"),Settings!$C$6,Settings!$C$7)*100)</f>
        <v/>
      </c>
      <c r="AH1000" s="18" t="str">
        <f aca="false">IF($D1000="","",IF(COUNTIF($D$2:$D1000,$D1000)=1,1,0))</f>
        <v/>
      </c>
      <c r="AI1000" s="18" t="str">
        <f aca="false">IF($AH1000=1,SUMPRODUCT(--($AK$2:$AK$4001&lt;$AK1000))+1,"")</f>
        <v/>
      </c>
      <c r="AJ1000" s="18" t="str">
        <f aca="false">IF($D1000="","",IF(OR($R1000=TRUE(),$R1000="TRUE"),1,0))</f>
        <v/>
      </c>
      <c r="AK1000" s="18" t="str">
        <f aca="false">IF($AH1000=1,IFERROR(VALUE(MID($D1000,2,20)),1000000000)+ROW()/10000000,"")</f>
        <v/>
      </c>
    </row>
    <row r="1001" customFormat="false" ht="15" hidden="false" customHeight="false" outlineLevel="0" collapsed="false">
      <c r="F1001" s="15"/>
      <c r="N1001" s="16" t="str">
        <f aca="false">IF($D1001="","",M1001*Y1001/100)</f>
        <v/>
      </c>
      <c r="V1001" s="16" t="str">
        <f aca="false">IF($D1001="","",Y1001*AB1001/100)</f>
        <v/>
      </c>
      <c r="W1001" s="16" t="str">
        <f aca="false">IF($D1001="","",Y1001-V1001)</f>
        <v/>
      </c>
      <c r="X1001" s="16" t="str">
        <f aca="false">IF($D1001="","",W1001-N1001)</f>
        <v/>
      </c>
      <c r="AB1001" s="17" t="str">
        <f aca="false">IF($D1001="","",IF(OR($R1001=TRUE(),$R1001="TRUE"),Settings!$C$6,Settings!$C$7)*100)</f>
        <v/>
      </c>
      <c r="AH1001" s="18" t="str">
        <f aca="false">IF($D1001="","",IF(COUNTIF($D$2:$D1001,$D1001)=1,1,0))</f>
        <v/>
      </c>
      <c r="AI1001" s="18" t="str">
        <f aca="false">IF($AH1001=1,SUMPRODUCT(--($AK$2:$AK$4001&lt;$AK1001))+1,"")</f>
        <v/>
      </c>
      <c r="AJ1001" s="18" t="str">
        <f aca="false">IF($D1001="","",IF(OR($R1001=TRUE(),$R1001="TRUE"),1,0))</f>
        <v/>
      </c>
      <c r="AK1001" s="18" t="str">
        <f aca="false">IF($AH1001=1,IFERROR(VALUE(MID($D1001,2,20)),1000000000)+ROW()/10000000,"")</f>
        <v/>
      </c>
    </row>
    <row r="1002" customFormat="false" ht="15" hidden="false" customHeight="false" outlineLevel="0" collapsed="false">
      <c r="F1002" s="15"/>
      <c r="N1002" s="16" t="str">
        <f aca="false">IF($D1002="","",M1002*Y1002/100)</f>
        <v/>
      </c>
      <c r="V1002" s="16" t="str">
        <f aca="false">IF($D1002="","",Y1002*AB1002/100)</f>
        <v/>
      </c>
      <c r="W1002" s="16" t="str">
        <f aca="false">IF($D1002="","",Y1002-V1002)</f>
        <v/>
      </c>
      <c r="X1002" s="16" t="str">
        <f aca="false">IF($D1002="","",W1002-N1002)</f>
        <v/>
      </c>
      <c r="AB1002" s="17" t="str">
        <f aca="false">IF($D1002="","",IF(OR($R1002=TRUE(),$R1002="TRUE"),Settings!$C$6,Settings!$C$7)*100)</f>
        <v/>
      </c>
      <c r="AH1002" s="18" t="str">
        <f aca="false">IF($D1002="","",IF(COUNTIF($D$2:$D1002,$D1002)=1,1,0))</f>
        <v/>
      </c>
      <c r="AI1002" s="18" t="str">
        <f aca="false">IF($AH1002=1,SUMPRODUCT(--($AK$2:$AK$4001&lt;$AK1002))+1,"")</f>
        <v/>
      </c>
      <c r="AJ1002" s="18" t="str">
        <f aca="false">IF($D1002="","",IF(OR($R1002=TRUE(),$R1002="TRUE"),1,0))</f>
        <v/>
      </c>
      <c r="AK1002" s="18" t="str">
        <f aca="false">IF($AH1002=1,IFERROR(VALUE(MID($D1002,2,20)),1000000000)+ROW()/10000000,"")</f>
        <v/>
      </c>
    </row>
    <row r="1003" customFormat="false" ht="15" hidden="false" customHeight="false" outlineLevel="0" collapsed="false">
      <c r="F1003" s="15"/>
      <c r="N1003" s="16" t="str">
        <f aca="false">IF($D1003="","",M1003*Y1003/100)</f>
        <v/>
      </c>
      <c r="V1003" s="16" t="str">
        <f aca="false">IF($D1003="","",Y1003*AB1003/100)</f>
        <v/>
      </c>
      <c r="W1003" s="16" t="str">
        <f aca="false">IF($D1003="","",Y1003-V1003)</f>
        <v/>
      </c>
      <c r="X1003" s="16" t="str">
        <f aca="false">IF($D1003="","",W1003-N1003)</f>
        <v/>
      </c>
      <c r="AB1003" s="17" t="str">
        <f aca="false">IF($D1003="","",IF(OR($R1003=TRUE(),$R1003="TRUE"),Settings!$C$6,Settings!$C$7)*100)</f>
        <v/>
      </c>
      <c r="AH1003" s="18" t="str">
        <f aca="false">IF($D1003="","",IF(COUNTIF($D$2:$D1003,$D1003)=1,1,0))</f>
        <v/>
      </c>
      <c r="AI1003" s="18" t="str">
        <f aca="false">IF($AH1003=1,SUMPRODUCT(--($AK$2:$AK$4001&lt;$AK1003))+1,"")</f>
        <v/>
      </c>
      <c r="AJ1003" s="18" t="str">
        <f aca="false">IF($D1003="","",IF(OR($R1003=TRUE(),$R1003="TRUE"),1,0))</f>
        <v/>
      </c>
      <c r="AK1003" s="18" t="str">
        <f aca="false">IF($AH1003=1,IFERROR(VALUE(MID($D1003,2,20)),1000000000)+ROW()/10000000,"")</f>
        <v/>
      </c>
    </row>
    <row r="1004" customFormat="false" ht="15" hidden="false" customHeight="false" outlineLevel="0" collapsed="false">
      <c r="F1004" s="15"/>
      <c r="N1004" s="16" t="str">
        <f aca="false">IF($D1004="","",M1004*Y1004/100)</f>
        <v/>
      </c>
      <c r="V1004" s="16" t="str">
        <f aca="false">IF($D1004="","",Y1004*AB1004/100)</f>
        <v/>
      </c>
      <c r="W1004" s="16" t="str">
        <f aca="false">IF($D1004="","",Y1004-V1004)</f>
        <v/>
      </c>
      <c r="X1004" s="16" t="str">
        <f aca="false">IF($D1004="","",W1004-N1004)</f>
        <v/>
      </c>
      <c r="AB1004" s="17" t="str">
        <f aca="false">IF($D1004="","",IF(OR($R1004=TRUE(),$R1004="TRUE"),Settings!$C$6,Settings!$C$7)*100)</f>
        <v/>
      </c>
      <c r="AH1004" s="18" t="str">
        <f aca="false">IF($D1004="","",IF(COUNTIF($D$2:$D1004,$D1004)=1,1,0))</f>
        <v/>
      </c>
      <c r="AI1004" s="18" t="str">
        <f aca="false">IF($AH1004=1,SUMPRODUCT(--($AK$2:$AK$4001&lt;$AK1004))+1,"")</f>
        <v/>
      </c>
      <c r="AJ1004" s="18" t="str">
        <f aca="false">IF($D1004="","",IF(OR($R1004=TRUE(),$R1004="TRUE"),1,0))</f>
        <v/>
      </c>
      <c r="AK1004" s="18" t="str">
        <f aca="false">IF($AH1004=1,IFERROR(VALUE(MID($D1004,2,20)),1000000000)+ROW()/10000000,"")</f>
        <v/>
      </c>
    </row>
    <row r="1005" customFormat="false" ht="15" hidden="false" customHeight="false" outlineLevel="0" collapsed="false">
      <c r="F1005" s="15"/>
      <c r="N1005" s="16" t="str">
        <f aca="false">IF($D1005="","",M1005*Y1005/100)</f>
        <v/>
      </c>
      <c r="V1005" s="16" t="str">
        <f aca="false">IF($D1005="","",Y1005*AB1005/100)</f>
        <v/>
      </c>
      <c r="W1005" s="16" t="str">
        <f aca="false">IF($D1005="","",Y1005-V1005)</f>
        <v/>
      </c>
      <c r="X1005" s="16" t="str">
        <f aca="false">IF($D1005="","",W1005-N1005)</f>
        <v/>
      </c>
      <c r="AB1005" s="17" t="str">
        <f aca="false">IF($D1005="","",IF(OR($R1005=TRUE(),$R1005="TRUE"),Settings!$C$6,Settings!$C$7)*100)</f>
        <v/>
      </c>
      <c r="AH1005" s="18" t="str">
        <f aca="false">IF($D1005="","",IF(COUNTIF($D$2:$D1005,$D1005)=1,1,0))</f>
        <v/>
      </c>
      <c r="AI1005" s="18" t="str">
        <f aca="false">IF($AH1005=1,SUMPRODUCT(--($AK$2:$AK$4001&lt;$AK1005))+1,"")</f>
        <v/>
      </c>
      <c r="AJ1005" s="18" t="str">
        <f aca="false">IF($D1005="","",IF(OR($R1005=TRUE(),$R1005="TRUE"),1,0))</f>
        <v/>
      </c>
      <c r="AK1005" s="18" t="str">
        <f aca="false">IF($AH1005=1,IFERROR(VALUE(MID($D1005,2,20)),1000000000)+ROW()/10000000,"")</f>
        <v/>
      </c>
    </row>
    <row r="1006" customFormat="false" ht="15" hidden="false" customHeight="false" outlineLevel="0" collapsed="false">
      <c r="F1006" s="15"/>
      <c r="N1006" s="16" t="str">
        <f aca="false">IF($D1006="","",M1006*Y1006/100)</f>
        <v/>
      </c>
      <c r="V1006" s="16" t="str">
        <f aca="false">IF($D1006="","",Y1006*AB1006/100)</f>
        <v/>
      </c>
      <c r="W1006" s="16" t="str">
        <f aca="false">IF($D1006="","",Y1006-V1006)</f>
        <v/>
      </c>
      <c r="X1006" s="16" t="str">
        <f aca="false">IF($D1006="","",W1006-N1006)</f>
        <v/>
      </c>
      <c r="AB1006" s="17" t="str">
        <f aca="false">IF($D1006="","",IF(OR($R1006=TRUE(),$R1006="TRUE"),Settings!$C$6,Settings!$C$7)*100)</f>
        <v/>
      </c>
      <c r="AH1006" s="18" t="str">
        <f aca="false">IF($D1006="","",IF(COUNTIF($D$2:$D1006,$D1006)=1,1,0))</f>
        <v/>
      </c>
      <c r="AI1006" s="18" t="str">
        <f aca="false">IF($AH1006=1,SUMPRODUCT(--($AK$2:$AK$4001&lt;$AK1006))+1,"")</f>
        <v/>
      </c>
      <c r="AJ1006" s="18" t="str">
        <f aca="false">IF($D1006="","",IF(OR($R1006=TRUE(),$R1006="TRUE"),1,0))</f>
        <v/>
      </c>
      <c r="AK1006" s="18" t="str">
        <f aca="false">IF($AH1006=1,IFERROR(VALUE(MID($D1006,2,20)),1000000000)+ROW()/10000000,"")</f>
        <v/>
      </c>
    </row>
    <row r="1007" customFormat="false" ht="15" hidden="false" customHeight="false" outlineLevel="0" collapsed="false">
      <c r="F1007" s="15"/>
      <c r="N1007" s="16" t="str">
        <f aca="false">IF($D1007="","",M1007*Y1007/100)</f>
        <v/>
      </c>
      <c r="V1007" s="16" t="str">
        <f aca="false">IF($D1007="","",Y1007*AB1007/100)</f>
        <v/>
      </c>
      <c r="W1007" s="16" t="str">
        <f aca="false">IF($D1007="","",Y1007-V1007)</f>
        <v/>
      </c>
      <c r="X1007" s="16" t="str">
        <f aca="false">IF($D1007="","",W1007-N1007)</f>
        <v/>
      </c>
      <c r="AB1007" s="17" t="str">
        <f aca="false">IF($D1007="","",IF(OR($R1007=TRUE(),$R1007="TRUE"),Settings!$C$6,Settings!$C$7)*100)</f>
        <v/>
      </c>
      <c r="AH1007" s="18" t="str">
        <f aca="false">IF($D1007="","",IF(COUNTIF($D$2:$D1007,$D1007)=1,1,0))</f>
        <v/>
      </c>
      <c r="AI1007" s="18" t="str">
        <f aca="false">IF($AH1007=1,SUMPRODUCT(--($AK$2:$AK$4001&lt;$AK1007))+1,"")</f>
        <v/>
      </c>
      <c r="AJ1007" s="18" t="str">
        <f aca="false">IF($D1007="","",IF(OR($R1007=TRUE(),$R1007="TRUE"),1,0))</f>
        <v/>
      </c>
      <c r="AK1007" s="18" t="str">
        <f aca="false">IF($AH1007=1,IFERROR(VALUE(MID($D1007,2,20)),1000000000)+ROW()/10000000,"")</f>
        <v/>
      </c>
    </row>
    <row r="1008" customFormat="false" ht="15" hidden="false" customHeight="false" outlineLevel="0" collapsed="false">
      <c r="F1008" s="15"/>
      <c r="N1008" s="16" t="str">
        <f aca="false">IF($D1008="","",M1008*Y1008/100)</f>
        <v/>
      </c>
      <c r="V1008" s="16" t="str">
        <f aca="false">IF($D1008="","",Y1008*AB1008/100)</f>
        <v/>
      </c>
      <c r="W1008" s="16" t="str">
        <f aca="false">IF($D1008="","",Y1008-V1008)</f>
        <v/>
      </c>
      <c r="X1008" s="16" t="str">
        <f aca="false">IF($D1008="","",W1008-N1008)</f>
        <v/>
      </c>
      <c r="AB1008" s="17" t="str">
        <f aca="false">IF($D1008="","",IF(OR($R1008=TRUE(),$R1008="TRUE"),Settings!$C$6,Settings!$C$7)*100)</f>
        <v/>
      </c>
      <c r="AH1008" s="18" t="str">
        <f aca="false">IF($D1008="","",IF(COUNTIF($D$2:$D1008,$D1008)=1,1,0))</f>
        <v/>
      </c>
      <c r="AI1008" s="18" t="str">
        <f aca="false">IF($AH1008=1,SUMPRODUCT(--($AK$2:$AK$4001&lt;$AK1008))+1,"")</f>
        <v/>
      </c>
      <c r="AJ1008" s="18" t="str">
        <f aca="false">IF($D1008="","",IF(OR($R1008=TRUE(),$R1008="TRUE"),1,0))</f>
        <v/>
      </c>
      <c r="AK1008" s="18" t="str">
        <f aca="false">IF($AH1008=1,IFERROR(VALUE(MID($D1008,2,20)),1000000000)+ROW()/10000000,"")</f>
        <v/>
      </c>
    </row>
    <row r="1009" customFormat="false" ht="15" hidden="false" customHeight="false" outlineLevel="0" collapsed="false">
      <c r="F1009" s="15"/>
      <c r="N1009" s="16" t="str">
        <f aca="false">IF($D1009="","",M1009*Y1009/100)</f>
        <v/>
      </c>
      <c r="V1009" s="16" t="str">
        <f aca="false">IF($D1009="","",Y1009*AB1009/100)</f>
        <v/>
      </c>
      <c r="W1009" s="16" t="str">
        <f aca="false">IF($D1009="","",Y1009-V1009)</f>
        <v/>
      </c>
      <c r="X1009" s="16" t="str">
        <f aca="false">IF($D1009="","",W1009-N1009)</f>
        <v/>
      </c>
      <c r="AB1009" s="17" t="str">
        <f aca="false">IF($D1009="","",IF(OR($R1009=TRUE(),$R1009="TRUE"),Settings!$C$6,Settings!$C$7)*100)</f>
        <v/>
      </c>
      <c r="AH1009" s="18" t="str">
        <f aca="false">IF($D1009="","",IF(COUNTIF($D$2:$D1009,$D1009)=1,1,0))</f>
        <v/>
      </c>
      <c r="AI1009" s="18" t="str">
        <f aca="false">IF($AH1009=1,SUMPRODUCT(--($AK$2:$AK$4001&lt;$AK1009))+1,"")</f>
        <v/>
      </c>
      <c r="AJ1009" s="18" t="str">
        <f aca="false">IF($D1009="","",IF(OR($R1009=TRUE(),$R1009="TRUE"),1,0))</f>
        <v/>
      </c>
      <c r="AK1009" s="18" t="str">
        <f aca="false">IF($AH1009=1,IFERROR(VALUE(MID($D1009,2,20)),1000000000)+ROW()/10000000,"")</f>
        <v/>
      </c>
    </row>
    <row r="1010" customFormat="false" ht="15" hidden="false" customHeight="false" outlineLevel="0" collapsed="false">
      <c r="F1010" s="15"/>
      <c r="N1010" s="16" t="str">
        <f aca="false">IF($D1010="","",M1010*Y1010/100)</f>
        <v/>
      </c>
      <c r="V1010" s="16" t="str">
        <f aca="false">IF($D1010="","",Y1010*AB1010/100)</f>
        <v/>
      </c>
      <c r="W1010" s="16" t="str">
        <f aca="false">IF($D1010="","",Y1010-V1010)</f>
        <v/>
      </c>
      <c r="X1010" s="16" t="str">
        <f aca="false">IF($D1010="","",W1010-N1010)</f>
        <v/>
      </c>
      <c r="AB1010" s="17" t="str">
        <f aca="false">IF($D1010="","",IF(OR($R1010=TRUE(),$R1010="TRUE"),Settings!$C$6,Settings!$C$7)*100)</f>
        <v/>
      </c>
      <c r="AH1010" s="18" t="str">
        <f aca="false">IF($D1010="","",IF(COUNTIF($D$2:$D1010,$D1010)=1,1,0))</f>
        <v/>
      </c>
      <c r="AI1010" s="18" t="str">
        <f aca="false">IF($AH1010=1,SUMPRODUCT(--($AK$2:$AK$4001&lt;$AK1010))+1,"")</f>
        <v/>
      </c>
      <c r="AJ1010" s="18" t="str">
        <f aca="false">IF($D1010="","",IF(OR($R1010=TRUE(),$R1010="TRUE"),1,0))</f>
        <v/>
      </c>
      <c r="AK1010" s="18" t="str">
        <f aca="false">IF($AH1010=1,IFERROR(VALUE(MID($D1010,2,20)),1000000000)+ROW()/10000000,"")</f>
        <v/>
      </c>
    </row>
    <row r="1011" customFormat="false" ht="15" hidden="false" customHeight="false" outlineLevel="0" collapsed="false">
      <c r="F1011" s="15"/>
      <c r="N1011" s="16" t="str">
        <f aca="false">IF($D1011="","",M1011*Y1011/100)</f>
        <v/>
      </c>
      <c r="V1011" s="16" t="str">
        <f aca="false">IF($D1011="","",Y1011*AB1011/100)</f>
        <v/>
      </c>
      <c r="W1011" s="16" t="str">
        <f aca="false">IF($D1011="","",Y1011-V1011)</f>
        <v/>
      </c>
      <c r="X1011" s="16" t="str">
        <f aca="false">IF($D1011="","",W1011-N1011)</f>
        <v/>
      </c>
      <c r="AB1011" s="17" t="str">
        <f aca="false">IF($D1011="","",IF(OR($R1011=TRUE(),$R1011="TRUE"),Settings!$C$6,Settings!$C$7)*100)</f>
        <v/>
      </c>
      <c r="AH1011" s="18" t="str">
        <f aca="false">IF($D1011="","",IF(COUNTIF($D$2:$D1011,$D1011)=1,1,0))</f>
        <v/>
      </c>
      <c r="AI1011" s="18" t="str">
        <f aca="false">IF($AH1011=1,SUMPRODUCT(--($AK$2:$AK$4001&lt;$AK1011))+1,"")</f>
        <v/>
      </c>
      <c r="AJ1011" s="18" t="str">
        <f aca="false">IF($D1011="","",IF(OR($R1011=TRUE(),$R1011="TRUE"),1,0))</f>
        <v/>
      </c>
      <c r="AK1011" s="18" t="str">
        <f aca="false">IF($AH1011=1,IFERROR(VALUE(MID($D1011,2,20)),1000000000)+ROW()/10000000,"")</f>
        <v/>
      </c>
    </row>
    <row r="1012" customFormat="false" ht="15" hidden="false" customHeight="false" outlineLevel="0" collapsed="false">
      <c r="F1012" s="15"/>
      <c r="N1012" s="16" t="str">
        <f aca="false">IF($D1012="","",M1012*Y1012/100)</f>
        <v/>
      </c>
      <c r="V1012" s="16" t="str">
        <f aca="false">IF($D1012="","",Y1012*AB1012/100)</f>
        <v/>
      </c>
      <c r="W1012" s="16" t="str">
        <f aca="false">IF($D1012="","",Y1012-V1012)</f>
        <v/>
      </c>
      <c r="X1012" s="16" t="str">
        <f aca="false">IF($D1012="","",W1012-N1012)</f>
        <v/>
      </c>
      <c r="AB1012" s="17" t="str">
        <f aca="false">IF($D1012="","",IF(OR($R1012=TRUE(),$R1012="TRUE"),Settings!$C$6,Settings!$C$7)*100)</f>
        <v/>
      </c>
      <c r="AH1012" s="18" t="str">
        <f aca="false">IF($D1012="","",IF(COUNTIF($D$2:$D1012,$D1012)=1,1,0))</f>
        <v/>
      </c>
      <c r="AI1012" s="18" t="str">
        <f aca="false">IF($AH1012=1,SUMPRODUCT(--($AK$2:$AK$4001&lt;$AK1012))+1,"")</f>
        <v/>
      </c>
      <c r="AJ1012" s="18" t="str">
        <f aca="false">IF($D1012="","",IF(OR($R1012=TRUE(),$R1012="TRUE"),1,0))</f>
        <v/>
      </c>
      <c r="AK1012" s="18" t="str">
        <f aca="false">IF($AH1012=1,IFERROR(VALUE(MID($D1012,2,20)),1000000000)+ROW()/10000000,"")</f>
        <v/>
      </c>
    </row>
    <row r="1013" customFormat="false" ht="15" hidden="false" customHeight="false" outlineLevel="0" collapsed="false">
      <c r="F1013" s="15"/>
      <c r="N1013" s="16" t="str">
        <f aca="false">IF($D1013="","",M1013*Y1013/100)</f>
        <v/>
      </c>
      <c r="V1013" s="16" t="str">
        <f aca="false">IF($D1013="","",Y1013*AB1013/100)</f>
        <v/>
      </c>
      <c r="W1013" s="16" t="str">
        <f aca="false">IF($D1013="","",Y1013-V1013)</f>
        <v/>
      </c>
      <c r="X1013" s="16" t="str">
        <f aca="false">IF($D1013="","",W1013-N1013)</f>
        <v/>
      </c>
      <c r="AB1013" s="17" t="str">
        <f aca="false">IF($D1013="","",IF(OR($R1013=TRUE(),$R1013="TRUE"),Settings!$C$6,Settings!$C$7)*100)</f>
        <v/>
      </c>
      <c r="AH1013" s="18" t="str">
        <f aca="false">IF($D1013="","",IF(COUNTIF($D$2:$D1013,$D1013)=1,1,0))</f>
        <v/>
      </c>
      <c r="AI1013" s="18" t="str">
        <f aca="false">IF($AH1013=1,SUMPRODUCT(--($AK$2:$AK$4001&lt;$AK1013))+1,"")</f>
        <v/>
      </c>
      <c r="AJ1013" s="18" t="str">
        <f aca="false">IF($D1013="","",IF(OR($R1013=TRUE(),$R1013="TRUE"),1,0))</f>
        <v/>
      </c>
      <c r="AK1013" s="18" t="str">
        <f aca="false">IF($AH1013=1,IFERROR(VALUE(MID($D1013,2,20)),1000000000)+ROW()/10000000,"")</f>
        <v/>
      </c>
    </row>
    <row r="1014" customFormat="false" ht="15" hidden="false" customHeight="false" outlineLevel="0" collapsed="false">
      <c r="F1014" s="15"/>
      <c r="N1014" s="16" t="str">
        <f aca="false">IF($D1014="","",M1014*Y1014/100)</f>
        <v/>
      </c>
      <c r="V1014" s="16" t="str">
        <f aca="false">IF($D1014="","",Y1014*AB1014/100)</f>
        <v/>
      </c>
      <c r="W1014" s="16" t="str">
        <f aca="false">IF($D1014="","",Y1014-V1014)</f>
        <v/>
      </c>
      <c r="X1014" s="16" t="str">
        <f aca="false">IF($D1014="","",W1014-N1014)</f>
        <v/>
      </c>
      <c r="AB1014" s="17" t="str">
        <f aca="false">IF($D1014="","",IF(OR($R1014=TRUE(),$R1014="TRUE"),Settings!$C$6,Settings!$C$7)*100)</f>
        <v/>
      </c>
      <c r="AH1014" s="18" t="str">
        <f aca="false">IF($D1014="","",IF(COUNTIF($D$2:$D1014,$D1014)=1,1,0))</f>
        <v/>
      </c>
      <c r="AI1014" s="18" t="str">
        <f aca="false">IF($AH1014=1,SUMPRODUCT(--($AK$2:$AK$4001&lt;$AK1014))+1,"")</f>
        <v/>
      </c>
      <c r="AJ1014" s="18" t="str">
        <f aca="false">IF($D1014="","",IF(OR($R1014=TRUE(),$R1014="TRUE"),1,0))</f>
        <v/>
      </c>
      <c r="AK1014" s="18" t="str">
        <f aca="false">IF($AH1014=1,IFERROR(VALUE(MID($D1014,2,20)),1000000000)+ROW()/10000000,"")</f>
        <v/>
      </c>
    </row>
    <row r="1015" customFormat="false" ht="15" hidden="false" customHeight="false" outlineLevel="0" collapsed="false">
      <c r="F1015" s="15"/>
      <c r="N1015" s="16" t="str">
        <f aca="false">IF($D1015="","",M1015*Y1015/100)</f>
        <v/>
      </c>
      <c r="V1015" s="16" t="str">
        <f aca="false">IF($D1015="","",Y1015*AB1015/100)</f>
        <v/>
      </c>
      <c r="W1015" s="16" t="str">
        <f aca="false">IF($D1015="","",Y1015-V1015)</f>
        <v/>
      </c>
      <c r="X1015" s="16" t="str">
        <f aca="false">IF($D1015="","",W1015-N1015)</f>
        <v/>
      </c>
      <c r="AB1015" s="17" t="str">
        <f aca="false">IF($D1015="","",IF(OR($R1015=TRUE(),$R1015="TRUE"),Settings!$C$6,Settings!$C$7)*100)</f>
        <v/>
      </c>
      <c r="AH1015" s="18" t="str">
        <f aca="false">IF($D1015="","",IF(COUNTIF($D$2:$D1015,$D1015)=1,1,0))</f>
        <v/>
      </c>
      <c r="AI1015" s="18" t="str">
        <f aca="false">IF($AH1015=1,SUMPRODUCT(--($AK$2:$AK$4001&lt;$AK1015))+1,"")</f>
        <v/>
      </c>
      <c r="AJ1015" s="18" t="str">
        <f aca="false">IF($D1015="","",IF(OR($R1015=TRUE(),$R1015="TRUE"),1,0))</f>
        <v/>
      </c>
      <c r="AK1015" s="18" t="str">
        <f aca="false">IF($AH1015=1,IFERROR(VALUE(MID($D1015,2,20)),1000000000)+ROW()/10000000,"")</f>
        <v/>
      </c>
    </row>
    <row r="1016" customFormat="false" ht="15" hidden="false" customHeight="false" outlineLevel="0" collapsed="false">
      <c r="F1016" s="15"/>
      <c r="N1016" s="16" t="str">
        <f aca="false">IF($D1016="","",M1016*Y1016/100)</f>
        <v/>
      </c>
      <c r="V1016" s="16" t="str">
        <f aca="false">IF($D1016="","",Y1016*AB1016/100)</f>
        <v/>
      </c>
      <c r="W1016" s="16" t="str">
        <f aca="false">IF($D1016="","",Y1016-V1016)</f>
        <v/>
      </c>
      <c r="X1016" s="16" t="str">
        <f aca="false">IF($D1016="","",W1016-N1016)</f>
        <v/>
      </c>
      <c r="AB1016" s="17" t="str">
        <f aca="false">IF($D1016="","",IF(OR($R1016=TRUE(),$R1016="TRUE"),Settings!$C$6,Settings!$C$7)*100)</f>
        <v/>
      </c>
      <c r="AH1016" s="18" t="str">
        <f aca="false">IF($D1016="","",IF(COUNTIF($D$2:$D1016,$D1016)=1,1,0))</f>
        <v/>
      </c>
      <c r="AI1016" s="18" t="str">
        <f aca="false">IF($AH1016=1,SUMPRODUCT(--($AK$2:$AK$4001&lt;$AK1016))+1,"")</f>
        <v/>
      </c>
      <c r="AJ1016" s="18" t="str">
        <f aca="false">IF($D1016="","",IF(OR($R1016=TRUE(),$R1016="TRUE"),1,0))</f>
        <v/>
      </c>
      <c r="AK1016" s="18" t="str">
        <f aca="false">IF($AH1016=1,IFERROR(VALUE(MID($D1016,2,20)),1000000000)+ROW()/10000000,"")</f>
        <v/>
      </c>
    </row>
    <row r="1017" customFormat="false" ht="15" hidden="false" customHeight="false" outlineLevel="0" collapsed="false">
      <c r="F1017" s="15"/>
      <c r="N1017" s="16" t="str">
        <f aca="false">IF($D1017="","",M1017*Y1017/100)</f>
        <v/>
      </c>
      <c r="V1017" s="16" t="str">
        <f aca="false">IF($D1017="","",Y1017*AB1017/100)</f>
        <v/>
      </c>
      <c r="W1017" s="16" t="str">
        <f aca="false">IF($D1017="","",Y1017-V1017)</f>
        <v/>
      </c>
      <c r="X1017" s="16" t="str">
        <f aca="false">IF($D1017="","",W1017-N1017)</f>
        <v/>
      </c>
      <c r="AB1017" s="17" t="str">
        <f aca="false">IF($D1017="","",IF(OR($R1017=TRUE(),$R1017="TRUE"),Settings!$C$6,Settings!$C$7)*100)</f>
        <v/>
      </c>
      <c r="AH1017" s="18" t="str">
        <f aca="false">IF($D1017="","",IF(COUNTIF($D$2:$D1017,$D1017)=1,1,0))</f>
        <v/>
      </c>
      <c r="AI1017" s="18" t="str">
        <f aca="false">IF($AH1017=1,SUMPRODUCT(--($AK$2:$AK$4001&lt;$AK1017))+1,"")</f>
        <v/>
      </c>
      <c r="AJ1017" s="18" t="str">
        <f aca="false">IF($D1017="","",IF(OR($R1017=TRUE(),$R1017="TRUE"),1,0))</f>
        <v/>
      </c>
      <c r="AK1017" s="18" t="str">
        <f aca="false">IF($AH1017=1,IFERROR(VALUE(MID($D1017,2,20)),1000000000)+ROW()/10000000,"")</f>
        <v/>
      </c>
    </row>
    <row r="1018" customFormat="false" ht="15" hidden="false" customHeight="false" outlineLevel="0" collapsed="false">
      <c r="F1018" s="15"/>
      <c r="N1018" s="16" t="str">
        <f aca="false">IF($D1018="","",M1018*Y1018/100)</f>
        <v/>
      </c>
      <c r="V1018" s="16" t="str">
        <f aca="false">IF($D1018="","",Y1018*AB1018/100)</f>
        <v/>
      </c>
      <c r="W1018" s="16" t="str">
        <f aca="false">IF($D1018="","",Y1018-V1018)</f>
        <v/>
      </c>
      <c r="X1018" s="16" t="str">
        <f aca="false">IF($D1018="","",W1018-N1018)</f>
        <v/>
      </c>
      <c r="AB1018" s="17" t="str">
        <f aca="false">IF($D1018="","",IF(OR($R1018=TRUE(),$R1018="TRUE"),Settings!$C$6,Settings!$C$7)*100)</f>
        <v/>
      </c>
      <c r="AH1018" s="18" t="str">
        <f aca="false">IF($D1018="","",IF(COUNTIF($D$2:$D1018,$D1018)=1,1,0))</f>
        <v/>
      </c>
      <c r="AI1018" s="18" t="str">
        <f aca="false">IF($AH1018=1,SUMPRODUCT(--($AK$2:$AK$4001&lt;$AK1018))+1,"")</f>
        <v/>
      </c>
      <c r="AJ1018" s="18" t="str">
        <f aca="false">IF($D1018="","",IF(OR($R1018=TRUE(),$R1018="TRUE"),1,0))</f>
        <v/>
      </c>
      <c r="AK1018" s="18" t="str">
        <f aca="false">IF($AH1018=1,IFERROR(VALUE(MID($D1018,2,20)),1000000000)+ROW()/10000000,"")</f>
        <v/>
      </c>
    </row>
    <row r="1019" customFormat="false" ht="15" hidden="false" customHeight="false" outlineLevel="0" collapsed="false">
      <c r="F1019" s="15"/>
      <c r="N1019" s="16" t="str">
        <f aca="false">IF($D1019="","",M1019*Y1019/100)</f>
        <v/>
      </c>
      <c r="V1019" s="16" t="str">
        <f aca="false">IF($D1019="","",Y1019*AB1019/100)</f>
        <v/>
      </c>
      <c r="W1019" s="16" t="str">
        <f aca="false">IF($D1019="","",Y1019-V1019)</f>
        <v/>
      </c>
      <c r="X1019" s="16" t="str">
        <f aca="false">IF($D1019="","",W1019-N1019)</f>
        <v/>
      </c>
      <c r="AB1019" s="17" t="str">
        <f aca="false">IF($D1019="","",IF(OR($R1019=TRUE(),$R1019="TRUE"),Settings!$C$6,Settings!$C$7)*100)</f>
        <v/>
      </c>
      <c r="AH1019" s="18" t="str">
        <f aca="false">IF($D1019="","",IF(COUNTIF($D$2:$D1019,$D1019)=1,1,0))</f>
        <v/>
      </c>
      <c r="AI1019" s="18" t="str">
        <f aca="false">IF($AH1019=1,SUMPRODUCT(--($AK$2:$AK$4001&lt;$AK1019))+1,"")</f>
        <v/>
      </c>
      <c r="AJ1019" s="18" t="str">
        <f aca="false">IF($D1019="","",IF(OR($R1019=TRUE(),$R1019="TRUE"),1,0))</f>
        <v/>
      </c>
      <c r="AK1019" s="18" t="str">
        <f aca="false">IF($AH1019=1,IFERROR(VALUE(MID($D1019,2,20)),1000000000)+ROW()/10000000,"")</f>
        <v/>
      </c>
    </row>
    <row r="1020" customFormat="false" ht="15" hidden="false" customHeight="false" outlineLevel="0" collapsed="false">
      <c r="F1020" s="15"/>
      <c r="N1020" s="16" t="str">
        <f aca="false">IF($D1020="","",M1020*Y1020/100)</f>
        <v/>
      </c>
      <c r="V1020" s="16" t="str">
        <f aca="false">IF($D1020="","",Y1020*AB1020/100)</f>
        <v/>
      </c>
      <c r="W1020" s="16" t="str">
        <f aca="false">IF($D1020="","",Y1020-V1020)</f>
        <v/>
      </c>
      <c r="X1020" s="16" t="str">
        <f aca="false">IF($D1020="","",W1020-N1020)</f>
        <v/>
      </c>
      <c r="AB1020" s="17" t="str">
        <f aca="false">IF($D1020="","",IF(OR($R1020=TRUE(),$R1020="TRUE"),Settings!$C$6,Settings!$C$7)*100)</f>
        <v/>
      </c>
      <c r="AH1020" s="18" t="str">
        <f aca="false">IF($D1020="","",IF(COUNTIF($D$2:$D1020,$D1020)=1,1,0))</f>
        <v/>
      </c>
      <c r="AI1020" s="18" t="str">
        <f aca="false">IF($AH1020=1,SUMPRODUCT(--($AK$2:$AK$4001&lt;$AK1020))+1,"")</f>
        <v/>
      </c>
      <c r="AJ1020" s="18" t="str">
        <f aca="false">IF($D1020="","",IF(OR($R1020=TRUE(),$R1020="TRUE"),1,0))</f>
        <v/>
      </c>
      <c r="AK1020" s="18" t="str">
        <f aca="false">IF($AH1020=1,IFERROR(VALUE(MID($D1020,2,20)),1000000000)+ROW()/10000000,"")</f>
        <v/>
      </c>
    </row>
    <row r="1021" customFormat="false" ht="15" hidden="false" customHeight="false" outlineLevel="0" collapsed="false">
      <c r="F1021" s="15"/>
      <c r="N1021" s="16" t="str">
        <f aca="false">IF($D1021="","",M1021*Y1021/100)</f>
        <v/>
      </c>
      <c r="V1021" s="16" t="str">
        <f aca="false">IF($D1021="","",Y1021*AB1021/100)</f>
        <v/>
      </c>
      <c r="W1021" s="16" t="str">
        <f aca="false">IF($D1021="","",Y1021-V1021)</f>
        <v/>
      </c>
      <c r="X1021" s="16" t="str">
        <f aca="false">IF($D1021="","",W1021-N1021)</f>
        <v/>
      </c>
      <c r="AB1021" s="17" t="str">
        <f aca="false">IF($D1021="","",IF(OR($R1021=TRUE(),$R1021="TRUE"),Settings!$C$6,Settings!$C$7)*100)</f>
        <v/>
      </c>
      <c r="AH1021" s="18" t="str">
        <f aca="false">IF($D1021="","",IF(COUNTIF($D$2:$D1021,$D1021)=1,1,0))</f>
        <v/>
      </c>
      <c r="AI1021" s="18" t="str">
        <f aca="false">IF($AH1021=1,SUMPRODUCT(--($AK$2:$AK$4001&lt;$AK1021))+1,"")</f>
        <v/>
      </c>
      <c r="AJ1021" s="18" t="str">
        <f aca="false">IF($D1021="","",IF(OR($R1021=TRUE(),$R1021="TRUE"),1,0))</f>
        <v/>
      </c>
      <c r="AK1021" s="18" t="str">
        <f aca="false">IF($AH1021=1,IFERROR(VALUE(MID($D1021,2,20)),1000000000)+ROW()/10000000,"")</f>
        <v/>
      </c>
    </row>
    <row r="1022" customFormat="false" ht="15" hidden="false" customHeight="false" outlineLevel="0" collapsed="false">
      <c r="F1022" s="15"/>
      <c r="N1022" s="16" t="str">
        <f aca="false">IF($D1022="","",M1022*Y1022/100)</f>
        <v/>
      </c>
      <c r="V1022" s="16" t="str">
        <f aca="false">IF($D1022="","",Y1022*AB1022/100)</f>
        <v/>
      </c>
      <c r="W1022" s="16" t="str">
        <f aca="false">IF($D1022="","",Y1022-V1022)</f>
        <v/>
      </c>
      <c r="X1022" s="16" t="str">
        <f aca="false">IF($D1022="","",W1022-N1022)</f>
        <v/>
      </c>
      <c r="AB1022" s="17" t="str">
        <f aca="false">IF($D1022="","",IF(OR($R1022=TRUE(),$R1022="TRUE"),Settings!$C$6,Settings!$C$7)*100)</f>
        <v/>
      </c>
      <c r="AH1022" s="18" t="str">
        <f aca="false">IF($D1022="","",IF(COUNTIF($D$2:$D1022,$D1022)=1,1,0))</f>
        <v/>
      </c>
      <c r="AI1022" s="18" t="str">
        <f aca="false">IF($AH1022=1,SUMPRODUCT(--($AK$2:$AK$4001&lt;$AK1022))+1,"")</f>
        <v/>
      </c>
      <c r="AJ1022" s="18" t="str">
        <f aca="false">IF($D1022="","",IF(OR($R1022=TRUE(),$R1022="TRUE"),1,0))</f>
        <v/>
      </c>
      <c r="AK1022" s="18" t="str">
        <f aca="false">IF($AH1022=1,IFERROR(VALUE(MID($D1022,2,20)),1000000000)+ROW()/10000000,"")</f>
        <v/>
      </c>
    </row>
    <row r="1023" customFormat="false" ht="15" hidden="false" customHeight="false" outlineLevel="0" collapsed="false">
      <c r="F1023" s="15"/>
      <c r="N1023" s="16" t="str">
        <f aca="false">IF($D1023="","",M1023*Y1023/100)</f>
        <v/>
      </c>
      <c r="V1023" s="16" t="str">
        <f aca="false">IF($D1023="","",Y1023*AB1023/100)</f>
        <v/>
      </c>
      <c r="W1023" s="16" t="str">
        <f aca="false">IF($D1023="","",Y1023-V1023)</f>
        <v/>
      </c>
      <c r="X1023" s="16" t="str">
        <f aca="false">IF($D1023="","",W1023-N1023)</f>
        <v/>
      </c>
      <c r="AB1023" s="17" t="str">
        <f aca="false">IF($D1023="","",IF(OR($R1023=TRUE(),$R1023="TRUE"),Settings!$C$6,Settings!$C$7)*100)</f>
        <v/>
      </c>
      <c r="AH1023" s="18" t="str">
        <f aca="false">IF($D1023="","",IF(COUNTIF($D$2:$D1023,$D1023)=1,1,0))</f>
        <v/>
      </c>
      <c r="AI1023" s="18" t="str">
        <f aca="false">IF($AH1023=1,SUMPRODUCT(--($AK$2:$AK$4001&lt;$AK1023))+1,"")</f>
        <v/>
      </c>
      <c r="AJ1023" s="18" t="str">
        <f aca="false">IF($D1023="","",IF(OR($R1023=TRUE(),$R1023="TRUE"),1,0))</f>
        <v/>
      </c>
      <c r="AK1023" s="18" t="str">
        <f aca="false">IF($AH1023=1,IFERROR(VALUE(MID($D1023,2,20)),1000000000)+ROW()/10000000,"")</f>
        <v/>
      </c>
    </row>
    <row r="1024" customFormat="false" ht="15" hidden="false" customHeight="false" outlineLevel="0" collapsed="false">
      <c r="F1024" s="15"/>
      <c r="N1024" s="16" t="str">
        <f aca="false">IF($D1024="","",M1024*Y1024/100)</f>
        <v/>
      </c>
      <c r="V1024" s="16" t="str">
        <f aca="false">IF($D1024="","",Y1024*AB1024/100)</f>
        <v/>
      </c>
      <c r="W1024" s="16" t="str">
        <f aca="false">IF($D1024="","",Y1024-V1024)</f>
        <v/>
      </c>
      <c r="X1024" s="16" t="str">
        <f aca="false">IF($D1024="","",W1024-N1024)</f>
        <v/>
      </c>
      <c r="AB1024" s="17" t="str">
        <f aca="false">IF($D1024="","",IF(OR($R1024=TRUE(),$R1024="TRUE"),Settings!$C$6,Settings!$C$7)*100)</f>
        <v/>
      </c>
      <c r="AH1024" s="18" t="str">
        <f aca="false">IF($D1024="","",IF(COUNTIF($D$2:$D1024,$D1024)=1,1,0))</f>
        <v/>
      </c>
      <c r="AI1024" s="18" t="str">
        <f aca="false">IF($AH1024=1,SUMPRODUCT(--($AK$2:$AK$4001&lt;$AK1024))+1,"")</f>
        <v/>
      </c>
      <c r="AJ1024" s="18" t="str">
        <f aca="false">IF($D1024="","",IF(OR($R1024=TRUE(),$R1024="TRUE"),1,0))</f>
        <v/>
      </c>
      <c r="AK1024" s="18" t="str">
        <f aca="false">IF($AH1024=1,IFERROR(VALUE(MID($D1024,2,20)),1000000000)+ROW()/10000000,"")</f>
        <v/>
      </c>
    </row>
    <row r="1025" customFormat="false" ht="15" hidden="false" customHeight="false" outlineLevel="0" collapsed="false">
      <c r="F1025" s="15"/>
      <c r="N1025" s="16" t="str">
        <f aca="false">IF($D1025="","",M1025*Y1025/100)</f>
        <v/>
      </c>
      <c r="V1025" s="16" t="str">
        <f aca="false">IF($D1025="","",Y1025*AB1025/100)</f>
        <v/>
      </c>
      <c r="W1025" s="16" t="str">
        <f aca="false">IF($D1025="","",Y1025-V1025)</f>
        <v/>
      </c>
      <c r="X1025" s="16" t="str">
        <f aca="false">IF($D1025="","",W1025-N1025)</f>
        <v/>
      </c>
      <c r="AB1025" s="17" t="str">
        <f aca="false">IF($D1025="","",IF(OR($R1025=TRUE(),$R1025="TRUE"),Settings!$C$6,Settings!$C$7)*100)</f>
        <v/>
      </c>
      <c r="AH1025" s="18" t="str">
        <f aca="false">IF($D1025="","",IF(COUNTIF($D$2:$D1025,$D1025)=1,1,0))</f>
        <v/>
      </c>
      <c r="AI1025" s="18" t="str">
        <f aca="false">IF($AH1025=1,SUMPRODUCT(--($AK$2:$AK$4001&lt;$AK1025))+1,"")</f>
        <v/>
      </c>
      <c r="AJ1025" s="18" t="str">
        <f aca="false">IF($D1025="","",IF(OR($R1025=TRUE(),$R1025="TRUE"),1,0))</f>
        <v/>
      </c>
      <c r="AK1025" s="18" t="str">
        <f aca="false">IF($AH1025=1,IFERROR(VALUE(MID($D1025,2,20)),1000000000)+ROW()/10000000,"")</f>
        <v/>
      </c>
    </row>
    <row r="1026" customFormat="false" ht="15" hidden="false" customHeight="false" outlineLevel="0" collapsed="false">
      <c r="F1026" s="15"/>
      <c r="N1026" s="16" t="str">
        <f aca="false">IF($D1026="","",M1026*Y1026/100)</f>
        <v/>
      </c>
      <c r="V1026" s="16" t="str">
        <f aca="false">IF($D1026="","",Y1026*AB1026/100)</f>
        <v/>
      </c>
      <c r="W1026" s="16" t="str">
        <f aca="false">IF($D1026="","",Y1026-V1026)</f>
        <v/>
      </c>
      <c r="X1026" s="16" t="str">
        <f aca="false">IF($D1026="","",W1026-N1026)</f>
        <v/>
      </c>
      <c r="AB1026" s="17" t="str">
        <f aca="false">IF($D1026="","",IF(OR($R1026=TRUE(),$R1026="TRUE"),Settings!$C$6,Settings!$C$7)*100)</f>
        <v/>
      </c>
      <c r="AH1026" s="18" t="str">
        <f aca="false">IF($D1026="","",IF(COUNTIF($D$2:$D1026,$D1026)=1,1,0))</f>
        <v/>
      </c>
      <c r="AI1026" s="18" t="str">
        <f aca="false">IF($AH1026=1,SUMPRODUCT(--($AK$2:$AK$4001&lt;$AK1026))+1,"")</f>
        <v/>
      </c>
      <c r="AJ1026" s="18" t="str">
        <f aca="false">IF($D1026="","",IF(OR($R1026=TRUE(),$R1026="TRUE"),1,0))</f>
        <v/>
      </c>
      <c r="AK1026" s="18" t="str">
        <f aca="false">IF($AH1026=1,IFERROR(VALUE(MID($D1026,2,20)),1000000000)+ROW()/10000000,"")</f>
        <v/>
      </c>
    </row>
    <row r="1027" customFormat="false" ht="15" hidden="false" customHeight="false" outlineLevel="0" collapsed="false">
      <c r="F1027" s="15"/>
      <c r="N1027" s="16" t="str">
        <f aca="false">IF($D1027="","",M1027*Y1027/100)</f>
        <v/>
      </c>
      <c r="V1027" s="16" t="str">
        <f aca="false">IF($D1027="","",Y1027*AB1027/100)</f>
        <v/>
      </c>
      <c r="W1027" s="16" t="str">
        <f aca="false">IF($D1027="","",Y1027-V1027)</f>
        <v/>
      </c>
      <c r="X1027" s="16" t="str">
        <f aca="false">IF($D1027="","",W1027-N1027)</f>
        <v/>
      </c>
      <c r="AB1027" s="17" t="str">
        <f aca="false">IF($D1027="","",IF(OR($R1027=TRUE(),$R1027="TRUE"),Settings!$C$6,Settings!$C$7)*100)</f>
        <v/>
      </c>
      <c r="AH1027" s="18" t="str">
        <f aca="false">IF($D1027="","",IF(COUNTIF($D$2:$D1027,$D1027)=1,1,0))</f>
        <v/>
      </c>
      <c r="AI1027" s="18" t="str">
        <f aca="false">IF($AH1027=1,SUMPRODUCT(--($AK$2:$AK$4001&lt;$AK1027))+1,"")</f>
        <v/>
      </c>
      <c r="AJ1027" s="18" t="str">
        <f aca="false">IF($D1027="","",IF(OR($R1027=TRUE(),$R1027="TRUE"),1,0))</f>
        <v/>
      </c>
      <c r="AK1027" s="18" t="str">
        <f aca="false">IF($AH1027=1,IFERROR(VALUE(MID($D1027,2,20)),1000000000)+ROW()/10000000,"")</f>
        <v/>
      </c>
    </row>
    <row r="1028" customFormat="false" ht="15" hidden="false" customHeight="false" outlineLevel="0" collapsed="false">
      <c r="F1028" s="15"/>
      <c r="N1028" s="16" t="str">
        <f aca="false">IF($D1028="","",M1028*Y1028/100)</f>
        <v/>
      </c>
      <c r="V1028" s="16" t="str">
        <f aca="false">IF($D1028="","",Y1028*AB1028/100)</f>
        <v/>
      </c>
      <c r="W1028" s="16" t="str">
        <f aca="false">IF($D1028="","",Y1028-V1028)</f>
        <v/>
      </c>
      <c r="X1028" s="16" t="str">
        <f aca="false">IF($D1028="","",W1028-N1028)</f>
        <v/>
      </c>
      <c r="AB1028" s="17" t="str">
        <f aca="false">IF($D1028="","",IF(OR($R1028=TRUE(),$R1028="TRUE"),Settings!$C$6,Settings!$C$7)*100)</f>
        <v/>
      </c>
      <c r="AH1028" s="18" t="str">
        <f aca="false">IF($D1028="","",IF(COUNTIF($D$2:$D1028,$D1028)=1,1,0))</f>
        <v/>
      </c>
      <c r="AI1028" s="18" t="str">
        <f aca="false">IF($AH1028=1,SUMPRODUCT(--($AK$2:$AK$4001&lt;$AK1028))+1,"")</f>
        <v/>
      </c>
      <c r="AJ1028" s="18" t="str">
        <f aca="false">IF($D1028="","",IF(OR($R1028=TRUE(),$R1028="TRUE"),1,0))</f>
        <v/>
      </c>
      <c r="AK1028" s="18" t="str">
        <f aca="false">IF($AH1028=1,IFERROR(VALUE(MID($D1028,2,20)),1000000000)+ROW()/10000000,"")</f>
        <v/>
      </c>
    </row>
    <row r="1029" customFormat="false" ht="15" hidden="false" customHeight="false" outlineLevel="0" collapsed="false">
      <c r="F1029" s="15"/>
      <c r="N1029" s="16" t="str">
        <f aca="false">IF($D1029="","",M1029*Y1029/100)</f>
        <v/>
      </c>
      <c r="V1029" s="16" t="str">
        <f aca="false">IF($D1029="","",Y1029*AB1029/100)</f>
        <v/>
      </c>
      <c r="W1029" s="16" t="str">
        <f aca="false">IF($D1029="","",Y1029-V1029)</f>
        <v/>
      </c>
      <c r="X1029" s="16" t="str">
        <f aca="false">IF($D1029="","",W1029-N1029)</f>
        <v/>
      </c>
      <c r="AB1029" s="17" t="str">
        <f aca="false">IF($D1029="","",IF(OR($R1029=TRUE(),$R1029="TRUE"),Settings!$C$6,Settings!$C$7)*100)</f>
        <v/>
      </c>
      <c r="AH1029" s="18" t="str">
        <f aca="false">IF($D1029="","",IF(COUNTIF($D$2:$D1029,$D1029)=1,1,0))</f>
        <v/>
      </c>
      <c r="AI1029" s="18" t="str">
        <f aca="false">IF($AH1029=1,SUMPRODUCT(--($AK$2:$AK$4001&lt;$AK1029))+1,"")</f>
        <v/>
      </c>
      <c r="AJ1029" s="18" t="str">
        <f aca="false">IF($D1029="","",IF(OR($R1029=TRUE(),$R1029="TRUE"),1,0))</f>
        <v/>
      </c>
      <c r="AK1029" s="18" t="str">
        <f aca="false">IF($AH1029=1,IFERROR(VALUE(MID($D1029,2,20)),1000000000)+ROW()/10000000,"")</f>
        <v/>
      </c>
    </row>
    <row r="1030" customFormat="false" ht="15" hidden="false" customHeight="false" outlineLevel="0" collapsed="false">
      <c r="F1030" s="15"/>
      <c r="N1030" s="16" t="str">
        <f aca="false">IF($D1030="","",M1030*Y1030/100)</f>
        <v/>
      </c>
      <c r="V1030" s="16" t="str">
        <f aca="false">IF($D1030="","",Y1030*AB1030/100)</f>
        <v/>
      </c>
      <c r="W1030" s="16" t="str">
        <f aca="false">IF($D1030="","",Y1030-V1030)</f>
        <v/>
      </c>
      <c r="X1030" s="16" t="str">
        <f aca="false">IF($D1030="","",W1030-N1030)</f>
        <v/>
      </c>
      <c r="AB1030" s="17" t="str">
        <f aca="false">IF($D1030="","",IF(OR($R1030=TRUE(),$R1030="TRUE"),Settings!$C$6,Settings!$C$7)*100)</f>
        <v/>
      </c>
      <c r="AH1030" s="18" t="str">
        <f aca="false">IF($D1030="","",IF(COUNTIF($D$2:$D1030,$D1030)=1,1,0))</f>
        <v/>
      </c>
      <c r="AI1030" s="18" t="str">
        <f aca="false">IF($AH1030=1,SUMPRODUCT(--($AK$2:$AK$4001&lt;$AK1030))+1,"")</f>
        <v/>
      </c>
      <c r="AJ1030" s="18" t="str">
        <f aca="false">IF($D1030="","",IF(OR($R1030=TRUE(),$R1030="TRUE"),1,0))</f>
        <v/>
      </c>
      <c r="AK1030" s="18" t="str">
        <f aca="false">IF($AH1030=1,IFERROR(VALUE(MID($D1030,2,20)),1000000000)+ROW()/10000000,"")</f>
        <v/>
      </c>
    </row>
    <row r="1031" customFormat="false" ht="15" hidden="false" customHeight="false" outlineLevel="0" collapsed="false">
      <c r="F1031" s="15"/>
      <c r="N1031" s="16" t="str">
        <f aca="false">IF($D1031="","",M1031*Y1031/100)</f>
        <v/>
      </c>
      <c r="V1031" s="16" t="str">
        <f aca="false">IF($D1031="","",Y1031*AB1031/100)</f>
        <v/>
      </c>
      <c r="W1031" s="16" t="str">
        <f aca="false">IF($D1031="","",Y1031-V1031)</f>
        <v/>
      </c>
      <c r="X1031" s="16" t="str">
        <f aca="false">IF($D1031="","",W1031-N1031)</f>
        <v/>
      </c>
      <c r="AB1031" s="17" t="str">
        <f aca="false">IF($D1031="","",IF(OR($R1031=TRUE(),$R1031="TRUE"),Settings!$C$6,Settings!$C$7)*100)</f>
        <v/>
      </c>
      <c r="AH1031" s="18" t="str">
        <f aca="false">IF($D1031="","",IF(COUNTIF($D$2:$D1031,$D1031)=1,1,0))</f>
        <v/>
      </c>
      <c r="AI1031" s="18" t="str">
        <f aca="false">IF($AH1031=1,SUMPRODUCT(--($AK$2:$AK$4001&lt;$AK1031))+1,"")</f>
        <v/>
      </c>
      <c r="AJ1031" s="18" t="str">
        <f aca="false">IF($D1031="","",IF(OR($R1031=TRUE(),$R1031="TRUE"),1,0))</f>
        <v/>
      </c>
      <c r="AK1031" s="18" t="str">
        <f aca="false">IF($AH1031=1,IFERROR(VALUE(MID($D1031,2,20)),1000000000)+ROW()/10000000,"")</f>
        <v/>
      </c>
    </row>
    <row r="1032" customFormat="false" ht="15" hidden="false" customHeight="false" outlineLevel="0" collapsed="false">
      <c r="F1032" s="15"/>
      <c r="N1032" s="16" t="str">
        <f aca="false">IF($D1032="","",M1032*Y1032/100)</f>
        <v/>
      </c>
      <c r="V1032" s="16" t="str">
        <f aca="false">IF($D1032="","",Y1032*AB1032/100)</f>
        <v/>
      </c>
      <c r="W1032" s="16" t="str">
        <f aca="false">IF($D1032="","",Y1032-V1032)</f>
        <v/>
      </c>
      <c r="X1032" s="16" t="str">
        <f aca="false">IF($D1032="","",W1032-N1032)</f>
        <v/>
      </c>
      <c r="AB1032" s="17" t="str">
        <f aca="false">IF($D1032="","",IF(OR($R1032=TRUE(),$R1032="TRUE"),Settings!$C$6,Settings!$C$7)*100)</f>
        <v/>
      </c>
      <c r="AH1032" s="18" t="str">
        <f aca="false">IF($D1032="","",IF(COUNTIF($D$2:$D1032,$D1032)=1,1,0))</f>
        <v/>
      </c>
      <c r="AI1032" s="18" t="str">
        <f aca="false">IF($AH1032=1,SUMPRODUCT(--($AK$2:$AK$4001&lt;$AK1032))+1,"")</f>
        <v/>
      </c>
      <c r="AJ1032" s="18" t="str">
        <f aca="false">IF($D1032="","",IF(OR($R1032=TRUE(),$R1032="TRUE"),1,0))</f>
        <v/>
      </c>
      <c r="AK1032" s="18" t="str">
        <f aca="false">IF($AH1032=1,IFERROR(VALUE(MID($D1032,2,20)),1000000000)+ROW()/10000000,"")</f>
        <v/>
      </c>
    </row>
    <row r="1033" customFormat="false" ht="15" hidden="false" customHeight="false" outlineLevel="0" collapsed="false">
      <c r="F1033" s="15"/>
      <c r="N1033" s="16" t="str">
        <f aca="false">IF($D1033="","",M1033*Y1033/100)</f>
        <v/>
      </c>
      <c r="V1033" s="16" t="str">
        <f aca="false">IF($D1033="","",Y1033*AB1033/100)</f>
        <v/>
      </c>
      <c r="W1033" s="16" t="str">
        <f aca="false">IF($D1033="","",Y1033-V1033)</f>
        <v/>
      </c>
      <c r="X1033" s="16" t="str">
        <f aca="false">IF($D1033="","",W1033-N1033)</f>
        <v/>
      </c>
      <c r="AB1033" s="17" t="str">
        <f aca="false">IF($D1033="","",IF(OR($R1033=TRUE(),$R1033="TRUE"),Settings!$C$6,Settings!$C$7)*100)</f>
        <v/>
      </c>
      <c r="AH1033" s="18" t="str">
        <f aca="false">IF($D1033="","",IF(COUNTIF($D$2:$D1033,$D1033)=1,1,0))</f>
        <v/>
      </c>
      <c r="AI1033" s="18" t="str">
        <f aca="false">IF($AH1033=1,SUMPRODUCT(--($AK$2:$AK$4001&lt;$AK1033))+1,"")</f>
        <v/>
      </c>
      <c r="AJ1033" s="18" t="str">
        <f aca="false">IF($D1033="","",IF(OR($R1033=TRUE(),$R1033="TRUE"),1,0))</f>
        <v/>
      </c>
      <c r="AK1033" s="18" t="str">
        <f aca="false">IF($AH1033=1,IFERROR(VALUE(MID($D1033,2,20)),1000000000)+ROW()/10000000,"")</f>
        <v/>
      </c>
    </row>
    <row r="1034" customFormat="false" ht="15" hidden="false" customHeight="false" outlineLevel="0" collapsed="false">
      <c r="F1034" s="15"/>
      <c r="N1034" s="16" t="str">
        <f aca="false">IF($D1034="","",M1034*Y1034/100)</f>
        <v/>
      </c>
      <c r="V1034" s="16" t="str">
        <f aca="false">IF($D1034="","",Y1034*AB1034/100)</f>
        <v/>
      </c>
      <c r="W1034" s="16" t="str">
        <f aca="false">IF($D1034="","",Y1034-V1034)</f>
        <v/>
      </c>
      <c r="X1034" s="16" t="str">
        <f aca="false">IF($D1034="","",W1034-N1034)</f>
        <v/>
      </c>
      <c r="AB1034" s="17" t="str">
        <f aca="false">IF($D1034="","",IF(OR($R1034=TRUE(),$R1034="TRUE"),Settings!$C$6,Settings!$C$7)*100)</f>
        <v/>
      </c>
      <c r="AH1034" s="18" t="str">
        <f aca="false">IF($D1034="","",IF(COUNTIF($D$2:$D1034,$D1034)=1,1,0))</f>
        <v/>
      </c>
      <c r="AI1034" s="18" t="str">
        <f aca="false">IF($AH1034=1,SUMPRODUCT(--($AK$2:$AK$4001&lt;$AK1034))+1,"")</f>
        <v/>
      </c>
      <c r="AJ1034" s="18" t="str">
        <f aca="false">IF($D1034="","",IF(OR($R1034=TRUE(),$R1034="TRUE"),1,0))</f>
        <v/>
      </c>
      <c r="AK1034" s="18" t="str">
        <f aca="false">IF($AH1034=1,IFERROR(VALUE(MID($D1034,2,20)),1000000000)+ROW()/10000000,"")</f>
        <v/>
      </c>
    </row>
    <row r="1035" customFormat="false" ht="15" hidden="false" customHeight="false" outlineLevel="0" collapsed="false">
      <c r="F1035" s="15"/>
      <c r="N1035" s="16" t="str">
        <f aca="false">IF($D1035="","",M1035*Y1035/100)</f>
        <v/>
      </c>
      <c r="V1035" s="16" t="str">
        <f aca="false">IF($D1035="","",Y1035*AB1035/100)</f>
        <v/>
      </c>
      <c r="W1035" s="16" t="str">
        <f aca="false">IF($D1035="","",Y1035-V1035)</f>
        <v/>
      </c>
      <c r="X1035" s="16" t="str">
        <f aca="false">IF($D1035="","",W1035-N1035)</f>
        <v/>
      </c>
      <c r="AB1035" s="17" t="str">
        <f aca="false">IF($D1035="","",IF(OR($R1035=TRUE(),$R1035="TRUE"),Settings!$C$6,Settings!$C$7)*100)</f>
        <v/>
      </c>
      <c r="AH1035" s="18" t="str">
        <f aca="false">IF($D1035="","",IF(COUNTIF($D$2:$D1035,$D1035)=1,1,0))</f>
        <v/>
      </c>
      <c r="AI1035" s="18" t="str">
        <f aca="false">IF($AH1035=1,SUMPRODUCT(--($AK$2:$AK$4001&lt;$AK1035))+1,"")</f>
        <v/>
      </c>
      <c r="AJ1035" s="18" t="str">
        <f aca="false">IF($D1035="","",IF(OR($R1035=TRUE(),$R1035="TRUE"),1,0))</f>
        <v/>
      </c>
      <c r="AK1035" s="18" t="str">
        <f aca="false">IF($AH1035=1,IFERROR(VALUE(MID($D1035,2,20)),1000000000)+ROW()/10000000,"")</f>
        <v/>
      </c>
    </row>
    <row r="1036" customFormat="false" ht="15" hidden="false" customHeight="false" outlineLevel="0" collapsed="false">
      <c r="F1036" s="15"/>
      <c r="N1036" s="16" t="str">
        <f aca="false">IF($D1036="","",M1036*Y1036/100)</f>
        <v/>
      </c>
      <c r="V1036" s="16" t="str">
        <f aca="false">IF($D1036="","",Y1036*AB1036/100)</f>
        <v/>
      </c>
      <c r="W1036" s="16" t="str">
        <f aca="false">IF($D1036="","",Y1036-V1036)</f>
        <v/>
      </c>
      <c r="X1036" s="16" t="str">
        <f aca="false">IF($D1036="","",W1036-N1036)</f>
        <v/>
      </c>
      <c r="AB1036" s="17" t="str">
        <f aca="false">IF($D1036="","",IF(OR($R1036=TRUE(),$R1036="TRUE"),Settings!$C$6,Settings!$C$7)*100)</f>
        <v/>
      </c>
      <c r="AH1036" s="18" t="str">
        <f aca="false">IF($D1036="","",IF(COUNTIF($D$2:$D1036,$D1036)=1,1,0))</f>
        <v/>
      </c>
      <c r="AI1036" s="18" t="str">
        <f aca="false">IF($AH1036=1,SUMPRODUCT(--($AK$2:$AK$4001&lt;$AK1036))+1,"")</f>
        <v/>
      </c>
      <c r="AJ1036" s="18" t="str">
        <f aca="false">IF($D1036="","",IF(OR($R1036=TRUE(),$R1036="TRUE"),1,0))</f>
        <v/>
      </c>
      <c r="AK1036" s="18" t="str">
        <f aca="false">IF($AH1036=1,IFERROR(VALUE(MID($D1036,2,20)),1000000000)+ROW()/10000000,"")</f>
        <v/>
      </c>
    </row>
    <row r="1037" customFormat="false" ht="15" hidden="false" customHeight="false" outlineLevel="0" collapsed="false">
      <c r="F1037" s="15"/>
      <c r="N1037" s="16" t="str">
        <f aca="false">IF($D1037="","",M1037*Y1037/100)</f>
        <v/>
      </c>
      <c r="V1037" s="16" t="str">
        <f aca="false">IF($D1037="","",Y1037*AB1037/100)</f>
        <v/>
      </c>
      <c r="W1037" s="16" t="str">
        <f aca="false">IF($D1037="","",Y1037-V1037)</f>
        <v/>
      </c>
      <c r="X1037" s="16" t="str">
        <f aca="false">IF($D1037="","",W1037-N1037)</f>
        <v/>
      </c>
      <c r="AB1037" s="17" t="str">
        <f aca="false">IF($D1037="","",IF(OR($R1037=TRUE(),$R1037="TRUE"),Settings!$C$6,Settings!$C$7)*100)</f>
        <v/>
      </c>
      <c r="AH1037" s="18" t="str">
        <f aca="false">IF($D1037="","",IF(COUNTIF($D$2:$D1037,$D1037)=1,1,0))</f>
        <v/>
      </c>
      <c r="AI1037" s="18" t="str">
        <f aca="false">IF($AH1037=1,SUMPRODUCT(--($AK$2:$AK$4001&lt;$AK1037))+1,"")</f>
        <v/>
      </c>
      <c r="AJ1037" s="18" t="str">
        <f aca="false">IF($D1037="","",IF(OR($R1037=TRUE(),$R1037="TRUE"),1,0))</f>
        <v/>
      </c>
      <c r="AK1037" s="18" t="str">
        <f aca="false">IF($AH1037=1,IFERROR(VALUE(MID($D1037,2,20)),1000000000)+ROW()/10000000,"")</f>
        <v/>
      </c>
    </row>
    <row r="1038" customFormat="false" ht="15" hidden="false" customHeight="false" outlineLevel="0" collapsed="false">
      <c r="F1038" s="15"/>
      <c r="N1038" s="16" t="str">
        <f aca="false">IF($D1038="","",M1038*Y1038/100)</f>
        <v/>
      </c>
      <c r="V1038" s="16" t="str">
        <f aca="false">IF($D1038="","",Y1038*AB1038/100)</f>
        <v/>
      </c>
      <c r="W1038" s="16" t="str">
        <f aca="false">IF($D1038="","",Y1038-V1038)</f>
        <v/>
      </c>
      <c r="X1038" s="16" t="str">
        <f aca="false">IF($D1038="","",W1038-N1038)</f>
        <v/>
      </c>
      <c r="AB1038" s="17" t="str">
        <f aca="false">IF($D1038="","",IF(OR($R1038=TRUE(),$R1038="TRUE"),Settings!$C$6,Settings!$C$7)*100)</f>
        <v/>
      </c>
      <c r="AH1038" s="18" t="str">
        <f aca="false">IF($D1038="","",IF(COUNTIF($D$2:$D1038,$D1038)=1,1,0))</f>
        <v/>
      </c>
      <c r="AI1038" s="18" t="str">
        <f aca="false">IF($AH1038=1,SUMPRODUCT(--($AK$2:$AK$4001&lt;$AK1038))+1,"")</f>
        <v/>
      </c>
      <c r="AJ1038" s="18" t="str">
        <f aca="false">IF($D1038="","",IF(OR($R1038=TRUE(),$R1038="TRUE"),1,0))</f>
        <v/>
      </c>
      <c r="AK1038" s="18" t="str">
        <f aca="false">IF($AH1038=1,IFERROR(VALUE(MID($D1038,2,20)),1000000000)+ROW()/10000000,"")</f>
        <v/>
      </c>
    </row>
    <row r="1039" customFormat="false" ht="15" hidden="false" customHeight="false" outlineLevel="0" collapsed="false">
      <c r="F1039" s="15"/>
      <c r="N1039" s="16" t="str">
        <f aca="false">IF($D1039="","",M1039*Y1039/100)</f>
        <v/>
      </c>
      <c r="V1039" s="16" t="str">
        <f aca="false">IF($D1039="","",Y1039*AB1039/100)</f>
        <v/>
      </c>
      <c r="W1039" s="16" t="str">
        <f aca="false">IF($D1039="","",Y1039-V1039)</f>
        <v/>
      </c>
      <c r="X1039" s="16" t="str">
        <f aca="false">IF($D1039="","",W1039-N1039)</f>
        <v/>
      </c>
      <c r="AB1039" s="17" t="str">
        <f aca="false">IF($D1039="","",IF(OR($R1039=TRUE(),$R1039="TRUE"),Settings!$C$6,Settings!$C$7)*100)</f>
        <v/>
      </c>
      <c r="AH1039" s="18" t="str">
        <f aca="false">IF($D1039="","",IF(COUNTIF($D$2:$D1039,$D1039)=1,1,0))</f>
        <v/>
      </c>
      <c r="AI1039" s="18" t="str">
        <f aca="false">IF($AH1039=1,SUMPRODUCT(--($AK$2:$AK$4001&lt;$AK1039))+1,"")</f>
        <v/>
      </c>
      <c r="AJ1039" s="18" t="str">
        <f aca="false">IF($D1039="","",IF(OR($R1039=TRUE(),$R1039="TRUE"),1,0))</f>
        <v/>
      </c>
      <c r="AK1039" s="18" t="str">
        <f aca="false">IF($AH1039=1,IFERROR(VALUE(MID($D1039,2,20)),1000000000)+ROW()/10000000,"")</f>
        <v/>
      </c>
    </row>
    <row r="1040" customFormat="false" ht="15" hidden="false" customHeight="false" outlineLevel="0" collapsed="false">
      <c r="F1040" s="15"/>
      <c r="N1040" s="16" t="str">
        <f aca="false">IF($D1040="","",M1040*Y1040/100)</f>
        <v/>
      </c>
      <c r="V1040" s="16" t="str">
        <f aca="false">IF($D1040="","",Y1040*AB1040/100)</f>
        <v/>
      </c>
      <c r="W1040" s="16" t="str">
        <f aca="false">IF($D1040="","",Y1040-V1040)</f>
        <v/>
      </c>
      <c r="X1040" s="16" t="str">
        <f aca="false">IF($D1040="","",W1040-N1040)</f>
        <v/>
      </c>
      <c r="AB1040" s="17" t="str">
        <f aca="false">IF($D1040="","",IF(OR($R1040=TRUE(),$R1040="TRUE"),Settings!$C$6,Settings!$C$7)*100)</f>
        <v/>
      </c>
      <c r="AH1040" s="18" t="str">
        <f aca="false">IF($D1040="","",IF(COUNTIF($D$2:$D1040,$D1040)=1,1,0))</f>
        <v/>
      </c>
      <c r="AI1040" s="18" t="str">
        <f aca="false">IF($AH1040=1,SUMPRODUCT(--($AK$2:$AK$4001&lt;$AK1040))+1,"")</f>
        <v/>
      </c>
      <c r="AJ1040" s="18" t="str">
        <f aca="false">IF($D1040="","",IF(OR($R1040=TRUE(),$R1040="TRUE"),1,0))</f>
        <v/>
      </c>
      <c r="AK1040" s="18" t="str">
        <f aca="false">IF($AH1040=1,IFERROR(VALUE(MID($D1040,2,20)),1000000000)+ROW()/10000000,"")</f>
        <v/>
      </c>
    </row>
    <row r="1041" customFormat="false" ht="15" hidden="false" customHeight="false" outlineLevel="0" collapsed="false">
      <c r="F1041" s="15"/>
      <c r="N1041" s="16" t="str">
        <f aca="false">IF($D1041="","",M1041*Y1041/100)</f>
        <v/>
      </c>
      <c r="V1041" s="16" t="str">
        <f aca="false">IF($D1041="","",Y1041*AB1041/100)</f>
        <v/>
      </c>
      <c r="W1041" s="16" t="str">
        <f aca="false">IF($D1041="","",Y1041-V1041)</f>
        <v/>
      </c>
      <c r="X1041" s="16" t="str">
        <f aca="false">IF($D1041="","",W1041-N1041)</f>
        <v/>
      </c>
      <c r="AB1041" s="17" t="str">
        <f aca="false">IF($D1041="","",IF(OR($R1041=TRUE(),$R1041="TRUE"),Settings!$C$6,Settings!$C$7)*100)</f>
        <v/>
      </c>
      <c r="AH1041" s="18" t="str">
        <f aca="false">IF($D1041="","",IF(COUNTIF($D$2:$D1041,$D1041)=1,1,0))</f>
        <v/>
      </c>
      <c r="AI1041" s="18" t="str">
        <f aca="false">IF($AH1041=1,SUMPRODUCT(--($AK$2:$AK$4001&lt;$AK1041))+1,"")</f>
        <v/>
      </c>
      <c r="AJ1041" s="18" t="str">
        <f aca="false">IF($D1041="","",IF(OR($R1041=TRUE(),$R1041="TRUE"),1,0))</f>
        <v/>
      </c>
      <c r="AK1041" s="18" t="str">
        <f aca="false">IF($AH1041=1,IFERROR(VALUE(MID($D1041,2,20)),1000000000)+ROW()/10000000,"")</f>
        <v/>
      </c>
    </row>
    <row r="1042" customFormat="false" ht="15" hidden="false" customHeight="false" outlineLevel="0" collapsed="false">
      <c r="F1042" s="15"/>
      <c r="N1042" s="16" t="str">
        <f aca="false">IF($D1042="","",M1042*Y1042/100)</f>
        <v/>
      </c>
      <c r="V1042" s="16" t="str">
        <f aca="false">IF($D1042="","",Y1042*AB1042/100)</f>
        <v/>
      </c>
      <c r="W1042" s="16" t="str">
        <f aca="false">IF($D1042="","",Y1042-V1042)</f>
        <v/>
      </c>
      <c r="X1042" s="16" t="str">
        <f aca="false">IF($D1042="","",W1042-N1042)</f>
        <v/>
      </c>
      <c r="AB1042" s="17" t="str">
        <f aca="false">IF($D1042="","",IF(OR($R1042=TRUE(),$R1042="TRUE"),Settings!$C$6,Settings!$C$7)*100)</f>
        <v/>
      </c>
      <c r="AH1042" s="18" t="str">
        <f aca="false">IF($D1042="","",IF(COUNTIF($D$2:$D1042,$D1042)=1,1,0))</f>
        <v/>
      </c>
      <c r="AI1042" s="18" t="str">
        <f aca="false">IF($AH1042=1,SUMPRODUCT(--($AK$2:$AK$4001&lt;$AK1042))+1,"")</f>
        <v/>
      </c>
      <c r="AJ1042" s="18" t="str">
        <f aca="false">IF($D1042="","",IF(OR($R1042=TRUE(),$R1042="TRUE"),1,0))</f>
        <v/>
      </c>
      <c r="AK1042" s="18" t="str">
        <f aca="false">IF($AH1042=1,IFERROR(VALUE(MID($D1042,2,20)),1000000000)+ROW()/10000000,"")</f>
        <v/>
      </c>
    </row>
    <row r="1043" customFormat="false" ht="15" hidden="false" customHeight="false" outlineLevel="0" collapsed="false">
      <c r="F1043" s="15"/>
      <c r="N1043" s="16" t="str">
        <f aca="false">IF($D1043="","",M1043*Y1043/100)</f>
        <v/>
      </c>
      <c r="V1043" s="16" t="str">
        <f aca="false">IF($D1043="","",Y1043*AB1043/100)</f>
        <v/>
      </c>
      <c r="W1043" s="16" t="str">
        <f aca="false">IF($D1043="","",Y1043-V1043)</f>
        <v/>
      </c>
      <c r="X1043" s="16" t="str">
        <f aca="false">IF($D1043="","",W1043-N1043)</f>
        <v/>
      </c>
      <c r="AB1043" s="17" t="str">
        <f aca="false">IF($D1043="","",IF(OR($R1043=TRUE(),$R1043="TRUE"),Settings!$C$6,Settings!$C$7)*100)</f>
        <v/>
      </c>
      <c r="AH1043" s="18" t="str">
        <f aca="false">IF($D1043="","",IF(COUNTIF($D$2:$D1043,$D1043)=1,1,0))</f>
        <v/>
      </c>
      <c r="AI1043" s="18" t="str">
        <f aca="false">IF($AH1043=1,SUMPRODUCT(--($AK$2:$AK$4001&lt;$AK1043))+1,"")</f>
        <v/>
      </c>
      <c r="AJ1043" s="18" t="str">
        <f aca="false">IF($D1043="","",IF(OR($R1043=TRUE(),$R1043="TRUE"),1,0))</f>
        <v/>
      </c>
      <c r="AK1043" s="18" t="str">
        <f aca="false">IF($AH1043=1,IFERROR(VALUE(MID($D1043,2,20)),1000000000)+ROW()/10000000,"")</f>
        <v/>
      </c>
    </row>
    <row r="1044" customFormat="false" ht="15" hidden="false" customHeight="false" outlineLevel="0" collapsed="false">
      <c r="F1044" s="15"/>
      <c r="N1044" s="16" t="str">
        <f aca="false">IF($D1044="","",M1044*Y1044/100)</f>
        <v/>
      </c>
      <c r="V1044" s="16" t="str">
        <f aca="false">IF($D1044="","",Y1044*AB1044/100)</f>
        <v/>
      </c>
      <c r="W1044" s="16" t="str">
        <f aca="false">IF($D1044="","",Y1044-V1044)</f>
        <v/>
      </c>
      <c r="X1044" s="16" t="str">
        <f aca="false">IF($D1044="","",W1044-N1044)</f>
        <v/>
      </c>
      <c r="AB1044" s="17" t="str">
        <f aca="false">IF($D1044="","",IF(OR($R1044=TRUE(),$R1044="TRUE"),Settings!$C$6,Settings!$C$7)*100)</f>
        <v/>
      </c>
      <c r="AH1044" s="18" t="str">
        <f aca="false">IF($D1044="","",IF(COUNTIF($D$2:$D1044,$D1044)=1,1,0))</f>
        <v/>
      </c>
      <c r="AI1044" s="18" t="str">
        <f aca="false">IF($AH1044=1,SUMPRODUCT(--($AK$2:$AK$4001&lt;$AK1044))+1,"")</f>
        <v/>
      </c>
      <c r="AJ1044" s="18" t="str">
        <f aca="false">IF($D1044="","",IF(OR($R1044=TRUE(),$R1044="TRUE"),1,0))</f>
        <v/>
      </c>
      <c r="AK1044" s="18" t="str">
        <f aca="false">IF($AH1044=1,IFERROR(VALUE(MID($D1044,2,20)),1000000000)+ROW()/10000000,"")</f>
        <v/>
      </c>
    </row>
    <row r="1045" customFormat="false" ht="15" hidden="false" customHeight="false" outlineLevel="0" collapsed="false">
      <c r="F1045" s="15"/>
      <c r="N1045" s="16" t="str">
        <f aca="false">IF($D1045="","",M1045*Y1045/100)</f>
        <v/>
      </c>
      <c r="V1045" s="16" t="str">
        <f aca="false">IF($D1045="","",Y1045*AB1045/100)</f>
        <v/>
      </c>
      <c r="W1045" s="16" t="str">
        <f aca="false">IF($D1045="","",Y1045-V1045)</f>
        <v/>
      </c>
      <c r="X1045" s="16" t="str">
        <f aca="false">IF($D1045="","",W1045-N1045)</f>
        <v/>
      </c>
      <c r="AB1045" s="17" t="str">
        <f aca="false">IF($D1045="","",IF(OR($R1045=TRUE(),$R1045="TRUE"),Settings!$C$6,Settings!$C$7)*100)</f>
        <v/>
      </c>
      <c r="AH1045" s="18" t="str">
        <f aca="false">IF($D1045="","",IF(COUNTIF($D$2:$D1045,$D1045)=1,1,0))</f>
        <v/>
      </c>
      <c r="AI1045" s="18" t="str">
        <f aca="false">IF($AH1045=1,SUMPRODUCT(--($AK$2:$AK$4001&lt;$AK1045))+1,"")</f>
        <v/>
      </c>
      <c r="AJ1045" s="18" t="str">
        <f aca="false">IF($D1045="","",IF(OR($R1045=TRUE(),$R1045="TRUE"),1,0))</f>
        <v/>
      </c>
      <c r="AK1045" s="18" t="str">
        <f aca="false">IF($AH1045=1,IFERROR(VALUE(MID($D1045,2,20)),1000000000)+ROW()/10000000,"")</f>
        <v/>
      </c>
    </row>
    <row r="1046" customFormat="false" ht="15" hidden="false" customHeight="false" outlineLevel="0" collapsed="false">
      <c r="F1046" s="15"/>
      <c r="N1046" s="16" t="str">
        <f aca="false">IF($D1046="","",M1046*Y1046/100)</f>
        <v/>
      </c>
      <c r="V1046" s="16" t="str">
        <f aca="false">IF($D1046="","",Y1046*AB1046/100)</f>
        <v/>
      </c>
      <c r="W1046" s="16" t="str">
        <f aca="false">IF($D1046="","",Y1046-V1046)</f>
        <v/>
      </c>
      <c r="X1046" s="16" t="str">
        <f aca="false">IF($D1046="","",W1046-N1046)</f>
        <v/>
      </c>
      <c r="AB1046" s="17" t="str">
        <f aca="false">IF($D1046="","",IF(OR($R1046=TRUE(),$R1046="TRUE"),Settings!$C$6,Settings!$C$7)*100)</f>
        <v/>
      </c>
      <c r="AH1046" s="18" t="str">
        <f aca="false">IF($D1046="","",IF(COUNTIF($D$2:$D1046,$D1046)=1,1,0))</f>
        <v/>
      </c>
      <c r="AI1046" s="18" t="str">
        <f aca="false">IF($AH1046=1,SUMPRODUCT(--($AK$2:$AK$4001&lt;$AK1046))+1,"")</f>
        <v/>
      </c>
      <c r="AJ1046" s="18" t="str">
        <f aca="false">IF($D1046="","",IF(OR($R1046=TRUE(),$R1046="TRUE"),1,0))</f>
        <v/>
      </c>
      <c r="AK1046" s="18" t="str">
        <f aca="false">IF($AH1046=1,IFERROR(VALUE(MID($D1046,2,20)),1000000000)+ROW()/10000000,"")</f>
        <v/>
      </c>
    </row>
    <row r="1047" customFormat="false" ht="15" hidden="false" customHeight="false" outlineLevel="0" collapsed="false">
      <c r="F1047" s="15"/>
      <c r="N1047" s="16" t="str">
        <f aca="false">IF($D1047="","",M1047*Y1047/100)</f>
        <v/>
      </c>
      <c r="V1047" s="16" t="str">
        <f aca="false">IF($D1047="","",Y1047*AB1047/100)</f>
        <v/>
      </c>
      <c r="W1047" s="16" t="str">
        <f aca="false">IF($D1047="","",Y1047-V1047)</f>
        <v/>
      </c>
      <c r="X1047" s="16" t="str">
        <f aca="false">IF($D1047="","",W1047-N1047)</f>
        <v/>
      </c>
      <c r="AB1047" s="17" t="str">
        <f aca="false">IF($D1047="","",IF(OR($R1047=TRUE(),$R1047="TRUE"),Settings!$C$6,Settings!$C$7)*100)</f>
        <v/>
      </c>
      <c r="AH1047" s="18" t="str">
        <f aca="false">IF($D1047="","",IF(COUNTIF($D$2:$D1047,$D1047)=1,1,0))</f>
        <v/>
      </c>
      <c r="AI1047" s="18" t="str">
        <f aca="false">IF($AH1047=1,SUMPRODUCT(--($AK$2:$AK$4001&lt;$AK1047))+1,"")</f>
        <v/>
      </c>
      <c r="AJ1047" s="18" t="str">
        <f aca="false">IF($D1047="","",IF(OR($R1047=TRUE(),$R1047="TRUE"),1,0))</f>
        <v/>
      </c>
      <c r="AK1047" s="18" t="str">
        <f aca="false">IF($AH1047=1,IFERROR(VALUE(MID($D1047,2,20)),1000000000)+ROW()/10000000,"")</f>
        <v/>
      </c>
    </row>
    <row r="1048" customFormat="false" ht="15" hidden="false" customHeight="false" outlineLevel="0" collapsed="false">
      <c r="F1048" s="15"/>
      <c r="N1048" s="16" t="str">
        <f aca="false">IF($D1048="","",M1048*Y1048/100)</f>
        <v/>
      </c>
      <c r="V1048" s="16" t="str">
        <f aca="false">IF($D1048="","",Y1048*AB1048/100)</f>
        <v/>
      </c>
      <c r="W1048" s="16" t="str">
        <f aca="false">IF($D1048="","",Y1048-V1048)</f>
        <v/>
      </c>
      <c r="X1048" s="16" t="str">
        <f aca="false">IF($D1048="","",W1048-N1048)</f>
        <v/>
      </c>
      <c r="AB1048" s="17" t="str">
        <f aca="false">IF($D1048="","",IF(OR($R1048=TRUE(),$R1048="TRUE"),Settings!$C$6,Settings!$C$7)*100)</f>
        <v/>
      </c>
      <c r="AH1048" s="18" t="str">
        <f aca="false">IF($D1048="","",IF(COUNTIF($D$2:$D1048,$D1048)=1,1,0))</f>
        <v/>
      </c>
      <c r="AI1048" s="18" t="str">
        <f aca="false">IF($AH1048=1,SUMPRODUCT(--($AK$2:$AK$4001&lt;$AK1048))+1,"")</f>
        <v/>
      </c>
      <c r="AJ1048" s="18" t="str">
        <f aca="false">IF($D1048="","",IF(OR($R1048=TRUE(),$R1048="TRUE"),1,0))</f>
        <v/>
      </c>
      <c r="AK1048" s="18" t="str">
        <f aca="false">IF($AH1048=1,IFERROR(VALUE(MID($D1048,2,20)),1000000000)+ROW()/10000000,"")</f>
        <v/>
      </c>
    </row>
    <row r="1049" customFormat="false" ht="15" hidden="false" customHeight="false" outlineLevel="0" collapsed="false">
      <c r="F1049" s="15"/>
      <c r="N1049" s="16" t="str">
        <f aca="false">IF($D1049="","",M1049*Y1049/100)</f>
        <v/>
      </c>
      <c r="V1049" s="16" t="str">
        <f aca="false">IF($D1049="","",Y1049*AB1049/100)</f>
        <v/>
      </c>
      <c r="W1049" s="16" t="str">
        <f aca="false">IF($D1049="","",Y1049-V1049)</f>
        <v/>
      </c>
      <c r="X1049" s="16" t="str">
        <f aca="false">IF($D1049="","",W1049-N1049)</f>
        <v/>
      </c>
      <c r="AB1049" s="17" t="str">
        <f aca="false">IF($D1049="","",IF(OR($R1049=TRUE(),$R1049="TRUE"),Settings!$C$6,Settings!$C$7)*100)</f>
        <v/>
      </c>
      <c r="AH1049" s="18" t="str">
        <f aca="false">IF($D1049="","",IF(COUNTIF($D$2:$D1049,$D1049)=1,1,0))</f>
        <v/>
      </c>
      <c r="AI1049" s="18" t="str">
        <f aca="false">IF($AH1049=1,SUMPRODUCT(--($AK$2:$AK$4001&lt;$AK1049))+1,"")</f>
        <v/>
      </c>
      <c r="AJ1049" s="18" t="str">
        <f aca="false">IF($D1049="","",IF(OR($R1049=TRUE(),$R1049="TRUE"),1,0))</f>
        <v/>
      </c>
      <c r="AK1049" s="18" t="str">
        <f aca="false">IF($AH1049=1,IFERROR(VALUE(MID($D1049,2,20)),1000000000)+ROW()/10000000,"")</f>
        <v/>
      </c>
    </row>
    <row r="1050" customFormat="false" ht="15" hidden="false" customHeight="false" outlineLevel="0" collapsed="false">
      <c r="F1050" s="15"/>
      <c r="N1050" s="16" t="str">
        <f aca="false">IF($D1050="","",M1050*Y1050/100)</f>
        <v/>
      </c>
      <c r="V1050" s="16" t="str">
        <f aca="false">IF($D1050="","",Y1050*AB1050/100)</f>
        <v/>
      </c>
      <c r="W1050" s="16" t="str">
        <f aca="false">IF($D1050="","",Y1050-V1050)</f>
        <v/>
      </c>
      <c r="X1050" s="16" t="str">
        <f aca="false">IF($D1050="","",W1050-N1050)</f>
        <v/>
      </c>
      <c r="AB1050" s="17" t="str">
        <f aca="false">IF($D1050="","",IF(OR($R1050=TRUE(),$R1050="TRUE"),Settings!$C$6,Settings!$C$7)*100)</f>
        <v/>
      </c>
      <c r="AH1050" s="18" t="str">
        <f aca="false">IF($D1050="","",IF(COUNTIF($D$2:$D1050,$D1050)=1,1,0))</f>
        <v/>
      </c>
      <c r="AI1050" s="18" t="str">
        <f aca="false">IF($AH1050=1,SUMPRODUCT(--($AK$2:$AK$4001&lt;$AK1050))+1,"")</f>
        <v/>
      </c>
      <c r="AJ1050" s="18" t="str">
        <f aca="false">IF($D1050="","",IF(OR($R1050=TRUE(),$R1050="TRUE"),1,0))</f>
        <v/>
      </c>
      <c r="AK1050" s="18" t="str">
        <f aca="false">IF($AH1050=1,IFERROR(VALUE(MID($D1050,2,20)),1000000000)+ROW()/10000000,"")</f>
        <v/>
      </c>
    </row>
    <row r="1051" customFormat="false" ht="15" hidden="false" customHeight="false" outlineLevel="0" collapsed="false">
      <c r="F1051" s="15"/>
      <c r="N1051" s="16" t="str">
        <f aca="false">IF($D1051="","",M1051*Y1051/100)</f>
        <v/>
      </c>
      <c r="V1051" s="16" t="str">
        <f aca="false">IF($D1051="","",Y1051*AB1051/100)</f>
        <v/>
      </c>
      <c r="W1051" s="16" t="str">
        <f aca="false">IF($D1051="","",Y1051-V1051)</f>
        <v/>
      </c>
      <c r="X1051" s="16" t="str">
        <f aca="false">IF($D1051="","",W1051-N1051)</f>
        <v/>
      </c>
      <c r="AB1051" s="17" t="str">
        <f aca="false">IF($D1051="","",IF(OR($R1051=TRUE(),$R1051="TRUE"),Settings!$C$6,Settings!$C$7)*100)</f>
        <v/>
      </c>
      <c r="AH1051" s="18" t="str">
        <f aca="false">IF($D1051="","",IF(COUNTIF($D$2:$D1051,$D1051)=1,1,0))</f>
        <v/>
      </c>
      <c r="AI1051" s="18" t="str">
        <f aca="false">IF($AH1051=1,SUMPRODUCT(--($AK$2:$AK$4001&lt;$AK1051))+1,"")</f>
        <v/>
      </c>
      <c r="AJ1051" s="18" t="str">
        <f aca="false">IF($D1051="","",IF(OR($R1051=TRUE(),$R1051="TRUE"),1,0))</f>
        <v/>
      </c>
      <c r="AK1051" s="18" t="str">
        <f aca="false">IF($AH1051=1,IFERROR(VALUE(MID($D1051,2,20)),1000000000)+ROW()/10000000,"")</f>
        <v/>
      </c>
    </row>
    <row r="1052" customFormat="false" ht="15" hidden="false" customHeight="false" outlineLevel="0" collapsed="false">
      <c r="F1052" s="15"/>
      <c r="N1052" s="16" t="str">
        <f aca="false">IF($D1052="","",M1052*Y1052/100)</f>
        <v/>
      </c>
      <c r="V1052" s="16" t="str">
        <f aca="false">IF($D1052="","",Y1052*AB1052/100)</f>
        <v/>
      </c>
      <c r="W1052" s="16" t="str">
        <f aca="false">IF($D1052="","",Y1052-V1052)</f>
        <v/>
      </c>
      <c r="X1052" s="16" t="str">
        <f aca="false">IF($D1052="","",W1052-N1052)</f>
        <v/>
      </c>
      <c r="AB1052" s="17" t="str">
        <f aca="false">IF($D1052="","",IF(OR($R1052=TRUE(),$R1052="TRUE"),Settings!$C$6,Settings!$C$7)*100)</f>
        <v/>
      </c>
      <c r="AH1052" s="18" t="str">
        <f aca="false">IF($D1052="","",IF(COUNTIF($D$2:$D1052,$D1052)=1,1,0))</f>
        <v/>
      </c>
      <c r="AI1052" s="18" t="str">
        <f aca="false">IF($AH1052=1,SUMPRODUCT(--($AK$2:$AK$4001&lt;$AK1052))+1,"")</f>
        <v/>
      </c>
      <c r="AJ1052" s="18" t="str">
        <f aca="false">IF($D1052="","",IF(OR($R1052=TRUE(),$R1052="TRUE"),1,0))</f>
        <v/>
      </c>
      <c r="AK1052" s="18" t="str">
        <f aca="false">IF($AH1052=1,IFERROR(VALUE(MID($D1052,2,20)),1000000000)+ROW()/10000000,"")</f>
        <v/>
      </c>
    </row>
    <row r="1053" customFormat="false" ht="15" hidden="false" customHeight="false" outlineLevel="0" collapsed="false">
      <c r="F1053" s="15"/>
      <c r="N1053" s="16" t="str">
        <f aca="false">IF($D1053="","",M1053*Y1053/100)</f>
        <v/>
      </c>
      <c r="V1053" s="16" t="str">
        <f aca="false">IF($D1053="","",Y1053*AB1053/100)</f>
        <v/>
      </c>
      <c r="W1053" s="16" t="str">
        <f aca="false">IF($D1053="","",Y1053-V1053)</f>
        <v/>
      </c>
      <c r="X1053" s="16" t="str">
        <f aca="false">IF($D1053="","",W1053-N1053)</f>
        <v/>
      </c>
      <c r="AB1053" s="17" t="str">
        <f aca="false">IF($D1053="","",IF(OR($R1053=TRUE(),$R1053="TRUE"),Settings!$C$6,Settings!$C$7)*100)</f>
        <v/>
      </c>
      <c r="AH1053" s="18" t="str">
        <f aca="false">IF($D1053="","",IF(COUNTIF($D$2:$D1053,$D1053)=1,1,0))</f>
        <v/>
      </c>
      <c r="AI1053" s="18" t="str">
        <f aca="false">IF($AH1053=1,SUMPRODUCT(--($AK$2:$AK$4001&lt;$AK1053))+1,"")</f>
        <v/>
      </c>
      <c r="AJ1053" s="18" t="str">
        <f aca="false">IF($D1053="","",IF(OR($R1053=TRUE(),$R1053="TRUE"),1,0))</f>
        <v/>
      </c>
      <c r="AK1053" s="18" t="str">
        <f aca="false">IF($AH1053=1,IFERROR(VALUE(MID($D1053,2,20)),1000000000)+ROW()/10000000,"")</f>
        <v/>
      </c>
    </row>
    <row r="1054" customFormat="false" ht="15" hidden="false" customHeight="false" outlineLevel="0" collapsed="false">
      <c r="F1054" s="15"/>
      <c r="N1054" s="16" t="str">
        <f aca="false">IF($D1054="","",M1054*Y1054/100)</f>
        <v/>
      </c>
      <c r="V1054" s="16" t="str">
        <f aca="false">IF($D1054="","",Y1054*AB1054/100)</f>
        <v/>
      </c>
      <c r="W1054" s="16" t="str">
        <f aca="false">IF($D1054="","",Y1054-V1054)</f>
        <v/>
      </c>
      <c r="X1054" s="16" t="str">
        <f aca="false">IF($D1054="","",W1054-N1054)</f>
        <v/>
      </c>
      <c r="AB1054" s="17" t="str">
        <f aca="false">IF($D1054="","",IF(OR($R1054=TRUE(),$R1054="TRUE"),Settings!$C$6,Settings!$C$7)*100)</f>
        <v/>
      </c>
      <c r="AH1054" s="18" t="str">
        <f aca="false">IF($D1054="","",IF(COUNTIF($D$2:$D1054,$D1054)=1,1,0))</f>
        <v/>
      </c>
      <c r="AI1054" s="18" t="str">
        <f aca="false">IF($AH1054=1,SUMPRODUCT(--($AK$2:$AK$4001&lt;$AK1054))+1,"")</f>
        <v/>
      </c>
      <c r="AJ1054" s="18" t="str">
        <f aca="false">IF($D1054="","",IF(OR($R1054=TRUE(),$R1054="TRUE"),1,0))</f>
        <v/>
      </c>
      <c r="AK1054" s="18" t="str">
        <f aca="false">IF($AH1054=1,IFERROR(VALUE(MID($D1054,2,20)),1000000000)+ROW()/10000000,"")</f>
        <v/>
      </c>
    </row>
    <row r="1055" customFormat="false" ht="15" hidden="false" customHeight="false" outlineLevel="0" collapsed="false">
      <c r="F1055" s="15"/>
      <c r="N1055" s="16" t="str">
        <f aca="false">IF($D1055="","",M1055*Y1055/100)</f>
        <v/>
      </c>
      <c r="V1055" s="16" t="str">
        <f aca="false">IF($D1055="","",Y1055*AB1055/100)</f>
        <v/>
      </c>
      <c r="W1055" s="16" t="str">
        <f aca="false">IF($D1055="","",Y1055-V1055)</f>
        <v/>
      </c>
      <c r="X1055" s="16" t="str">
        <f aca="false">IF($D1055="","",W1055-N1055)</f>
        <v/>
      </c>
      <c r="AB1055" s="17" t="str">
        <f aca="false">IF($D1055="","",IF(OR($R1055=TRUE(),$R1055="TRUE"),Settings!$C$6,Settings!$C$7)*100)</f>
        <v/>
      </c>
      <c r="AH1055" s="18" t="str">
        <f aca="false">IF($D1055="","",IF(COUNTIF($D$2:$D1055,$D1055)=1,1,0))</f>
        <v/>
      </c>
      <c r="AI1055" s="18" t="str">
        <f aca="false">IF($AH1055=1,SUMPRODUCT(--($AK$2:$AK$4001&lt;$AK1055))+1,"")</f>
        <v/>
      </c>
      <c r="AJ1055" s="18" t="str">
        <f aca="false">IF($D1055="","",IF(OR($R1055=TRUE(),$R1055="TRUE"),1,0))</f>
        <v/>
      </c>
      <c r="AK1055" s="18" t="str">
        <f aca="false">IF($AH1055=1,IFERROR(VALUE(MID($D1055,2,20)),1000000000)+ROW()/10000000,"")</f>
        <v/>
      </c>
    </row>
    <row r="1056" customFormat="false" ht="15" hidden="false" customHeight="false" outlineLevel="0" collapsed="false">
      <c r="F1056" s="15"/>
      <c r="N1056" s="16" t="str">
        <f aca="false">IF($D1056="","",M1056*Y1056/100)</f>
        <v/>
      </c>
      <c r="V1056" s="16" t="str">
        <f aca="false">IF($D1056="","",Y1056*AB1056/100)</f>
        <v/>
      </c>
      <c r="W1056" s="16" t="str">
        <f aca="false">IF($D1056="","",Y1056-V1056)</f>
        <v/>
      </c>
      <c r="X1056" s="16" t="str">
        <f aca="false">IF($D1056="","",W1056-N1056)</f>
        <v/>
      </c>
      <c r="AB1056" s="17" t="str">
        <f aca="false">IF($D1056="","",IF(OR($R1056=TRUE(),$R1056="TRUE"),Settings!$C$6,Settings!$C$7)*100)</f>
        <v/>
      </c>
      <c r="AH1056" s="18" t="str">
        <f aca="false">IF($D1056="","",IF(COUNTIF($D$2:$D1056,$D1056)=1,1,0))</f>
        <v/>
      </c>
      <c r="AI1056" s="18" t="str">
        <f aca="false">IF($AH1056=1,SUMPRODUCT(--($AK$2:$AK$4001&lt;$AK1056))+1,"")</f>
        <v/>
      </c>
      <c r="AJ1056" s="18" t="str">
        <f aca="false">IF($D1056="","",IF(OR($R1056=TRUE(),$R1056="TRUE"),1,0))</f>
        <v/>
      </c>
      <c r="AK1056" s="18" t="str">
        <f aca="false">IF($AH1056=1,IFERROR(VALUE(MID($D1056,2,20)),1000000000)+ROW()/10000000,"")</f>
        <v/>
      </c>
    </row>
    <row r="1057" customFormat="false" ht="15" hidden="false" customHeight="false" outlineLevel="0" collapsed="false">
      <c r="F1057" s="15"/>
      <c r="N1057" s="16" t="str">
        <f aca="false">IF($D1057="","",M1057*Y1057/100)</f>
        <v/>
      </c>
      <c r="V1057" s="16" t="str">
        <f aca="false">IF($D1057="","",Y1057*AB1057/100)</f>
        <v/>
      </c>
      <c r="W1057" s="16" t="str">
        <f aca="false">IF($D1057="","",Y1057-V1057)</f>
        <v/>
      </c>
      <c r="X1057" s="16" t="str">
        <f aca="false">IF($D1057="","",W1057-N1057)</f>
        <v/>
      </c>
      <c r="AB1057" s="17" t="str">
        <f aca="false">IF($D1057="","",IF(OR($R1057=TRUE(),$R1057="TRUE"),Settings!$C$6,Settings!$C$7)*100)</f>
        <v/>
      </c>
      <c r="AH1057" s="18" t="str">
        <f aca="false">IF($D1057="","",IF(COUNTIF($D$2:$D1057,$D1057)=1,1,0))</f>
        <v/>
      </c>
      <c r="AI1057" s="18" t="str">
        <f aca="false">IF($AH1057=1,SUMPRODUCT(--($AK$2:$AK$4001&lt;$AK1057))+1,"")</f>
        <v/>
      </c>
      <c r="AJ1057" s="18" t="str">
        <f aca="false">IF($D1057="","",IF(OR($R1057=TRUE(),$R1057="TRUE"),1,0))</f>
        <v/>
      </c>
      <c r="AK1057" s="18" t="str">
        <f aca="false">IF($AH1057=1,IFERROR(VALUE(MID($D1057,2,20)),1000000000)+ROW()/10000000,"")</f>
        <v/>
      </c>
    </row>
    <row r="1058" customFormat="false" ht="15" hidden="false" customHeight="false" outlineLevel="0" collapsed="false">
      <c r="F1058" s="15"/>
      <c r="N1058" s="16" t="str">
        <f aca="false">IF($D1058="","",M1058*Y1058/100)</f>
        <v/>
      </c>
      <c r="V1058" s="16" t="str">
        <f aca="false">IF($D1058="","",Y1058*AB1058/100)</f>
        <v/>
      </c>
      <c r="W1058" s="16" t="str">
        <f aca="false">IF($D1058="","",Y1058-V1058)</f>
        <v/>
      </c>
      <c r="X1058" s="16" t="str">
        <f aca="false">IF($D1058="","",W1058-N1058)</f>
        <v/>
      </c>
      <c r="AB1058" s="17" t="str">
        <f aca="false">IF($D1058="","",IF(OR($R1058=TRUE(),$R1058="TRUE"),Settings!$C$6,Settings!$C$7)*100)</f>
        <v/>
      </c>
      <c r="AH1058" s="18" t="str">
        <f aca="false">IF($D1058="","",IF(COUNTIF($D$2:$D1058,$D1058)=1,1,0))</f>
        <v/>
      </c>
      <c r="AI1058" s="18" t="str">
        <f aca="false">IF($AH1058=1,SUMPRODUCT(--($AK$2:$AK$4001&lt;$AK1058))+1,"")</f>
        <v/>
      </c>
      <c r="AJ1058" s="18" t="str">
        <f aca="false">IF($D1058="","",IF(OR($R1058=TRUE(),$R1058="TRUE"),1,0))</f>
        <v/>
      </c>
      <c r="AK1058" s="18" t="str">
        <f aca="false">IF($AH1058=1,IFERROR(VALUE(MID($D1058,2,20)),1000000000)+ROW()/10000000,"")</f>
        <v/>
      </c>
    </row>
    <row r="1059" customFormat="false" ht="15" hidden="false" customHeight="false" outlineLevel="0" collapsed="false">
      <c r="F1059" s="15"/>
      <c r="N1059" s="16" t="str">
        <f aca="false">IF($D1059="","",M1059*Y1059/100)</f>
        <v/>
      </c>
      <c r="V1059" s="16" t="str">
        <f aca="false">IF($D1059="","",Y1059*AB1059/100)</f>
        <v/>
      </c>
      <c r="W1059" s="16" t="str">
        <f aca="false">IF($D1059="","",Y1059-V1059)</f>
        <v/>
      </c>
      <c r="X1059" s="16" t="str">
        <f aca="false">IF($D1059="","",W1059-N1059)</f>
        <v/>
      </c>
      <c r="AB1059" s="17" t="str">
        <f aca="false">IF($D1059="","",IF(OR($R1059=TRUE(),$R1059="TRUE"),Settings!$C$6,Settings!$C$7)*100)</f>
        <v/>
      </c>
      <c r="AH1059" s="18" t="str">
        <f aca="false">IF($D1059="","",IF(COUNTIF($D$2:$D1059,$D1059)=1,1,0))</f>
        <v/>
      </c>
      <c r="AI1059" s="18" t="str">
        <f aca="false">IF($AH1059=1,SUMPRODUCT(--($AK$2:$AK$4001&lt;$AK1059))+1,"")</f>
        <v/>
      </c>
      <c r="AJ1059" s="18" t="str">
        <f aca="false">IF($D1059="","",IF(OR($R1059=TRUE(),$R1059="TRUE"),1,0))</f>
        <v/>
      </c>
      <c r="AK1059" s="18" t="str">
        <f aca="false">IF($AH1059=1,IFERROR(VALUE(MID($D1059,2,20)),1000000000)+ROW()/10000000,"")</f>
        <v/>
      </c>
    </row>
    <row r="1060" customFormat="false" ht="15" hidden="false" customHeight="false" outlineLevel="0" collapsed="false">
      <c r="F1060" s="15"/>
      <c r="N1060" s="16" t="str">
        <f aca="false">IF($D1060="","",M1060*Y1060/100)</f>
        <v/>
      </c>
      <c r="V1060" s="16" t="str">
        <f aca="false">IF($D1060="","",Y1060*AB1060/100)</f>
        <v/>
      </c>
      <c r="W1060" s="16" t="str">
        <f aca="false">IF($D1060="","",Y1060-V1060)</f>
        <v/>
      </c>
      <c r="X1060" s="16" t="str">
        <f aca="false">IF($D1060="","",W1060-N1060)</f>
        <v/>
      </c>
      <c r="AB1060" s="17" t="str">
        <f aca="false">IF($D1060="","",IF(OR($R1060=TRUE(),$R1060="TRUE"),Settings!$C$6,Settings!$C$7)*100)</f>
        <v/>
      </c>
      <c r="AH1060" s="18" t="str">
        <f aca="false">IF($D1060="","",IF(COUNTIF($D$2:$D1060,$D1060)=1,1,0))</f>
        <v/>
      </c>
      <c r="AI1060" s="18" t="str">
        <f aca="false">IF($AH1060=1,SUMPRODUCT(--($AK$2:$AK$4001&lt;$AK1060))+1,"")</f>
        <v/>
      </c>
      <c r="AJ1060" s="18" t="str">
        <f aca="false">IF($D1060="","",IF(OR($R1060=TRUE(),$R1060="TRUE"),1,0))</f>
        <v/>
      </c>
      <c r="AK1060" s="18" t="str">
        <f aca="false">IF($AH1060=1,IFERROR(VALUE(MID($D1060,2,20)),1000000000)+ROW()/10000000,"")</f>
        <v/>
      </c>
    </row>
    <row r="1061" customFormat="false" ht="15" hidden="false" customHeight="false" outlineLevel="0" collapsed="false">
      <c r="F1061" s="15"/>
      <c r="N1061" s="16" t="str">
        <f aca="false">IF($D1061="","",M1061*Y1061/100)</f>
        <v/>
      </c>
      <c r="V1061" s="16" t="str">
        <f aca="false">IF($D1061="","",Y1061*AB1061/100)</f>
        <v/>
      </c>
      <c r="W1061" s="16" t="str">
        <f aca="false">IF($D1061="","",Y1061-V1061)</f>
        <v/>
      </c>
      <c r="X1061" s="16" t="str">
        <f aca="false">IF($D1061="","",W1061-N1061)</f>
        <v/>
      </c>
      <c r="AB1061" s="17" t="str">
        <f aca="false">IF($D1061="","",IF(OR($R1061=TRUE(),$R1061="TRUE"),Settings!$C$6,Settings!$C$7)*100)</f>
        <v/>
      </c>
      <c r="AH1061" s="18" t="str">
        <f aca="false">IF($D1061="","",IF(COUNTIF($D$2:$D1061,$D1061)=1,1,0))</f>
        <v/>
      </c>
      <c r="AI1061" s="18" t="str">
        <f aca="false">IF($AH1061=1,SUMPRODUCT(--($AK$2:$AK$4001&lt;$AK1061))+1,"")</f>
        <v/>
      </c>
      <c r="AJ1061" s="18" t="str">
        <f aca="false">IF($D1061="","",IF(OR($R1061=TRUE(),$R1061="TRUE"),1,0))</f>
        <v/>
      </c>
      <c r="AK1061" s="18" t="str">
        <f aca="false">IF($AH1061=1,IFERROR(VALUE(MID($D1061,2,20)),1000000000)+ROW()/10000000,"")</f>
        <v/>
      </c>
    </row>
    <row r="1062" customFormat="false" ht="15" hidden="false" customHeight="false" outlineLevel="0" collapsed="false">
      <c r="F1062" s="15"/>
      <c r="N1062" s="16" t="str">
        <f aca="false">IF($D1062="","",M1062*Y1062/100)</f>
        <v/>
      </c>
      <c r="V1062" s="16" t="str">
        <f aca="false">IF($D1062="","",Y1062*AB1062/100)</f>
        <v/>
      </c>
      <c r="W1062" s="16" t="str">
        <f aca="false">IF($D1062="","",Y1062-V1062)</f>
        <v/>
      </c>
      <c r="X1062" s="16" t="str">
        <f aca="false">IF($D1062="","",W1062-N1062)</f>
        <v/>
      </c>
      <c r="AB1062" s="17" t="str">
        <f aca="false">IF($D1062="","",IF(OR($R1062=TRUE(),$R1062="TRUE"),Settings!$C$6,Settings!$C$7)*100)</f>
        <v/>
      </c>
      <c r="AH1062" s="18" t="str">
        <f aca="false">IF($D1062="","",IF(COUNTIF($D$2:$D1062,$D1062)=1,1,0))</f>
        <v/>
      </c>
      <c r="AI1062" s="18" t="str">
        <f aca="false">IF($AH1062=1,SUMPRODUCT(--($AK$2:$AK$4001&lt;$AK1062))+1,"")</f>
        <v/>
      </c>
      <c r="AJ1062" s="18" t="str">
        <f aca="false">IF($D1062="","",IF(OR($R1062=TRUE(),$R1062="TRUE"),1,0))</f>
        <v/>
      </c>
      <c r="AK1062" s="18" t="str">
        <f aca="false">IF($AH1062=1,IFERROR(VALUE(MID($D1062,2,20)),1000000000)+ROW()/10000000,"")</f>
        <v/>
      </c>
    </row>
    <row r="1063" customFormat="false" ht="15" hidden="false" customHeight="false" outlineLevel="0" collapsed="false">
      <c r="F1063" s="15"/>
      <c r="N1063" s="16" t="str">
        <f aca="false">IF($D1063="","",M1063*Y1063/100)</f>
        <v/>
      </c>
      <c r="V1063" s="16" t="str">
        <f aca="false">IF($D1063="","",Y1063*AB1063/100)</f>
        <v/>
      </c>
      <c r="W1063" s="16" t="str">
        <f aca="false">IF($D1063="","",Y1063-V1063)</f>
        <v/>
      </c>
      <c r="X1063" s="16" t="str">
        <f aca="false">IF($D1063="","",W1063-N1063)</f>
        <v/>
      </c>
      <c r="AB1063" s="17" t="str">
        <f aca="false">IF($D1063="","",IF(OR($R1063=TRUE(),$R1063="TRUE"),Settings!$C$6,Settings!$C$7)*100)</f>
        <v/>
      </c>
      <c r="AH1063" s="18" t="str">
        <f aca="false">IF($D1063="","",IF(COUNTIF($D$2:$D1063,$D1063)=1,1,0))</f>
        <v/>
      </c>
      <c r="AI1063" s="18" t="str">
        <f aca="false">IF($AH1063=1,SUMPRODUCT(--($AK$2:$AK$4001&lt;$AK1063))+1,"")</f>
        <v/>
      </c>
      <c r="AJ1063" s="18" t="str">
        <f aca="false">IF($D1063="","",IF(OR($R1063=TRUE(),$R1063="TRUE"),1,0))</f>
        <v/>
      </c>
      <c r="AK1063" s="18" t="str">
        <f aca="false">IF($AH1063=1,IFERROR(VALUE(MID($D1063,2,20)),1000000000)+ROW()/10000000,"")</f>
        <v/>
      </c>
    </row>
    <row r="1064" customFormat="false" ht="15" hidden="false" customHeight="false" outlineLevel="0" collapsed="false">
      <c r="F1064" s="15"/>
      <c r="N1064" s="16" t="str">
        <f aca="false">IF($D1064="","",M1064*Y1064/100)</f>
        <v/>
      </c>
      <c r="V1064" s="16" t="str">
        <f aca="false">IF($D1064="","",Y1064*AB1064/100)</f>
        <v/>
      </c>
      <c r="W1064" s="16" t="str">
        <f aca="false">IF($D1064="","",Y1064-V1064)</f>
        <v/>
      </c>
      <c r="X1064" s="16" t="str">
        <f aca="false">IF($D1064="","",W1064-N1064)</f>
        <v/>
      </c>
      <c r="AB1064" s="17" t="str">
        <f aca="false">IF($D1064="","",IF(OR($R1064=TRUE(),$R1064="TRUE"),Settings!$C$6,Settings!$C$7)*100)</f>
        <v/>
      </c>
      <c r="AH1064" s="18" t="str">
        <f aca="false">IF($D1064="","",IF(COUNTIF($D$2:$D1064,$D1064)=1,1,0))</f>
        <v/>
      </c>
      <c r="AI1064" s="18" t="str">
        <f aca="false">IF($AH1064=1,SUMPRODUCT(--($AK$2:$AK$4001&lt;$AK1064))+1,"")</f>
        <v/>
      </c>
      <c r="AJ1064" s="18" t="str">
        <f aca="false">IF($D1064="","",IF(OR($R1064=TRUE(),$R1064="TRUE"),1,0))</f>
        <v/>
      </c>
      <c r="AK1064" s="18" t="str">
        <f aca="false">IF($AH1064=1,IFERROR(VALUE(MID($D1064,2,20)),1000000000)+ROW()/10000000,"")</f>
        <v/>
      </c>
    </row>
    <row r="1065" customFormat="false" ht="15" hidden="false" customHeight="false" outlineLevel="0" collapsed="false">
      <c r="F1065" s="15"/>
      <c r="N1065" s="16" t="str">
        <f aca="false">IF($D1065="","",M1065*Y1065/100)</f>
        <v/>
      </c>
      <c r="V1065" s="16" t="str">
        <f aca="false">IF($D1065="","",Y1065*AB1065/100)</f>
        <v/>
      </c>
      <c r="W1065" s="16" t="str">
        <f aca="false">IF($D1065="","",Y1065-V1065)</f>
        <v/>
      </c>
      <c r="X1065" s="16" t="str">
        <f aca="false">IF($D1065="","",W1065-N1065)</f>
        <v/>
      </c>
      <c r="AB1065" s="17" t="str">
        <f aca="false">IF($D1065="","",IF(OR($R1065=TRUE(),$R1065="TRUE"),Settings!$C$6,Settings!$C$7)*100)</f>
        <v/>
      </c>
      <c r="AH1065" s="18" t="str">
        <f aca="false">IF($D1065="","",IF(COUNTIF($D$2:$D1065,$D1065)=1,1,0))</f>
        <v/>
      </c>
      <c r="AI1065" s="18" t="str">
        <f aca="false">IF($AH1065=1,SUMPRODUCT(--($AK$2:$AK$4001&lt;$AK1065))+1,"")</f>
        <v/>
      </c>
      <c r="AJ1065" s="18" t="str">
        <f aca="false">IF($D1065="","",IF(OR($R1065=TRUE(),$R1065="TRUE"),1,0))</f>
        <v/>
      </c>
      <c r="AK1065" s="18" t="str">
        <f aca="false">IF($AH1065=1,IFERROR(VALUE(MID($D1065,2,20)),1000000000)+ROW()/10000000,"")</f>
        <v/>
      </c>
    </row>
    <row r="1066" customFormat="false" ht="15" hidden="false" customHeight="false" outlineLevel="0" collapsed="false">
      <c r="F1066" s="15"/>
      <c r="N1066" s="16" t="str">
        <f aca="false">IF($D1066="","",M1066*Y1066/100)</f>
        <v/>
      </c>
      <c r="V1066" s="16" t="str">
        <f aca="false">IF($D1066="","",Y1066*AB1066/100)</f>
        <v/>
      </c>
      <c r="W1066" s="16" t="str">
        <f aca="false">IF($D1066="","",Y1066-V1066)</f>
        <v/>
      </c>
      <c r="X1066" s="16" t="str">
        <f aca="false">IF($D1066="","",W1066-N1066)</f>
        <v/>
      </c>
      <c r="AB1066" s="17" t="str">
        <f aca="false">IF($D1066="","",IF(OR($R1066=TRUE(),$R1066="TRUE"),Settings!$C$6,Settings!$C$7)*100)</f>
        <v/>
      </c>
      <c r="AH1066" s="18" t="str">
        <f aca="false">IF($D1066="","",IF(COUNTIF($D$2:$D1066,$D1066)=1,1,0))</f>
        <v/>
      </c>
      <c r="AI1066" s="18" t="str">
        <f aca="false">IF($AH1066=1,SUMPRODUCT(--($AK$2:$AK$4001&lt;$AK1066))+1,"")</f>
        <v/>
      </c>
      <c r="AJ1066" s="18" t="str">
        <f aca="false">IF($D1066="","",IF(OR($R1066=TRUE(),$R1066="TRUE"),1,0))</f>
        <v/>
      </c>
      <c r="AK1066" s="18" t="str">
        <f aca="false">IF($AH1066=1,IFERROR(VALUE(MID($D1066,2,20)),1000000000)+ROW()/10000000,"")</f>
        <v/>
      </c>
    </row>
    <row r="1067" customFormat="false" ht="15" hidden="false" customHeight="false" outlineLevel="0" collapsed="false">
      <c r="F1067" s="15"/>
      <c r="N1067" s="16" t="str">
        <f aca="false">IF($D1067="","",M1067*Y1067/100)</f>
        <v/>
      </c>
      <c r="V1067" s="16" t="str">
        <f aca="false">IF($D1067="","",Y1067*AB1067/100)</f>
        <v/>
      </c>
      <c r="W1067" s="16" t="str">
        <f aca="false">IF($D1067="","",Y1067-V1067)</f>
        <v/>
      </c>
      <c r="X1067" s="16" t="str">
        <f aca="false">IF($D1067="","",W1067-N1067)</f>
        <v/>
      </c>
      <c r="AB1067" s="17" t="str">
        <f aca="false">IF($D1067="","",IF(OR($R1067=TRUE(),$R1067="TRUE"),Settings!$C$6,Settings!$C$7)*100)</f>
        <v/>
      </c>
      <c r="AH1067" s="18" t="str">
        <f aca="false">IF($D1067="","",IF(COUNTIF($D$2:$D1067,$D1067)=1,1,0))</f>
        <v/>
      </c>
      <c r="AI1067" s="18" t="str">
        <f aca="false">IF($AH1067=1,SUMPRODUCT(--($AK$2:$AK$4001&lt;$AK1067))+1,"")</f>
        <v/>
      </c>
      <c r="AJ1067" s="18" t="str">
        <f aca="false">IF($D1067="","",IF(OR($R1067=TRUE(),$R1067="TRUE"),1,0))</f>
        <v/>
      </c>
      <c r="AK1067" s="18" t="str">
        <f aca="false">IF($AH1067=1,IFERROR(VALUE(MID($D1067,2,20)),1000000000)+ROW()/10000000,"")</f>
        <v/>
      </c>
    </row>
    <row r="1068" customFormat="false" ht="15" hidden="false" customHeight="false" outlineLevel="0" collapsed="false">
      <c r="F1068" s="15"/>
      <c r="N1068" s="16" t="str">
        <f aca="false">IF($D1068="","",M1068*Y1068/100)</f>
        <v/>
      </c>
      <c r="V1068" s="16" t="str">
        <f aca="false">IF($D1068="","",Y1068*AB1068/100)</f>
        <v/>
      </c>
      <c r="W1068" s="16" t="str">
        <f aca="false">IF($D1068="","",Y1068-V1068)</f>
        <v/>
      </c>
      <c r="X1068" s="16" t="str">
        <f aca="false">IF($D1068="","",W1068-N1068)</f>
        <v/>
      </c>
      <c r="AB1068" s="17" t="str">
        <f aca="false">IF($D1068="","",IF(OR($R1068=TRUE(),$R1068="TRUE"),Settings!$C$6,Settings!$C$7)*100)</f>
        <v/>
      </c>
      <c r="AH1068" s="18" t="str">
        <f aca="false">IF($D1068="","",IF(COUNTIF($D$2:$D1068,$D1068)=1,1,0))</f>
        <v/>
      </c>
      <c r="AI1068" s="18" t="str">
        <f aca="false">IF($AH1068=1,SUMPRODUCT(--($AK$2:$AK$4001&lt;$AK1068))+1,"")</f>
        <v/>
      </c>
      <c r="AJ1068" s="18" t="str">
        <f aca="false">IF($D1068="","",IF(OR($R1068=TRUE(),$R1068="TRUE"),1,0))</f>
        <v/>
      </c>
      <c r="AK1068" s="18" t="str">
        <f aca="false">IF($AH1068=1,IFERROR(VALUE(MID($D1068,2,20)),1000000000)+ROW()/10000000,"")</f>
        <v/>
      </c>
    </row>
    <row r="1069" customFormat="false" ht="15" hidden="false" customHeight="false" outlineLevel="0" collapsed="false">
      <c r="F1069" s="15"/>
      <c r="N1069" s="16" t="str">
        <f aca="false">IF($D1069="","",M1069*Y1069/100)</f>
        <v/>
      </c>
      <c r="V1069" s="16" t="str">
        <f aca="false">IF($D1069="","",Y1069*AB1069/100)</f>
        <v/>
      </c>
      <c r="W1069" s="16" t="str">
        <f aca="false">IF($D1069="","",Y1069-V1069)</f>
        <v/>
      </c>
      <c r="X1069" s="16" t="str">
        <f aca="false">IF($D1069="","",W1069-N1069)</f>
        <v/>
      </c>
      <c r="AB1069" s="17" t="str">
        <f aca="false">IF($D1069="","",IF(OR($R1069=TRUE(),$R1069="TRUE"),Settings!$C$6,Settings!$C$7)*100)</f>
        <v/>
      </c>
      <c r="AH1069" s="18" t="str">
        <f aca="false">IF($D1069="","",IF(COUNTIF($D$2:$D1069,$D1069)=1,1,0))</f>
        <v/>
      </c>
      <c r="AI1069" s="18" t="str">
        <f aca="false">IF($AH1069=1,SUMPRODUCT(--($AK$2:$AK$4001&lt;$AK1069))+1,"")</f>
        <v/>
      </c>
      <c r="AJ1069" s="18" t="str">
        <f aca="false">IF($D1069="","",IF(OR($R1069=TRUE(),$R1069="TRUE"),1,0))</f>
        <v/>
      </c>
      <c r="AK1069" s="18" t="str">
        <f aca="false">IF($AH1069=1,IFERROR(VALUE(MID($D1069,2,20)),1000000000)+ROW()/10000000,"")</f>
        <v/>
      </c>
    </row>
    <row r="1070" customFormat="false" ht="15" hidden="false" customHeight="false" outlineLevel="0" collapsed="false">
      <c r="F1070" s="15"/>
      <c r="N1070" s="16" t="str">
        <f aca="false">IF($D1070="","",M1070*Y1070/100)</f>
        <v/>
      </c>
      <c r="V1070" s="16" t="str">
        <f aca="false">IF($D1070="","",Y1070*AB1070/100)</f>
        <v/>
      </c>
      <c r="W1070" s="16" t="str">
        <f aca="false">IF($D1070="","",Y1070-V1070)</f>
        <v/>
      </c>
      <c r="X1070" s="16" t="str">
        <f aca="false">IF($D1070="","",W1070-N1070)</f>
        <v/>
      </c>
      <c r="AB1070" s="17" t="str">
        <f aca="false">IF($D1070="","",IF(OR($R1070=TRUE(),$R1070="TRUE"),Settings!$C$6,Settings!$C$7)*100)</f>
        <v/>
      </c>
      <c r="AH1070" s="18" t="str">
        <f aca="false">IF($D1070="","",IF(COUNTIF($D$2:$D1070,$D1070)=1,1,0))</f>
        <v/>
      </c>
      <c r="AI1070" s="18" t="str">
        <f aca="false">IF($AH1070=1,SUMPRODUCT(--($AK$2:$AK$4001&lt;$AK1070))+1,"")</f>
        <v/>
      </c>
      <c r="AJ1070" s="18" t="str">
        <f aca="false">IF($D1070="","",IF(OR($R1070=TRUE(),$R1070="TRUE"),1,0))</f>
        <v/>
      </c>
      <c r="AK1070" s="18" t="str">
        <f aca="false">IF($AH1070=1,IFERROR(VALUE(MID($D1070,2,20)),1000000000)+ROW()/10000000,"")</f>
        <v/>
      </c>
    </row>
    <row r="1071" customFormat="false" ht="15" hidden="false" customHeight="false" outlineLevel="0" collapsed="false">
      <c r="F1071" s="15"/>
      <c r="N1071" s="16" t="str">
        <f aca="false">IF($D1071="","",M1071*Y1071/100)</f>
        <v/>
      </c>
      <c r="V1071" s="16" t="str">
        <f aca="false">IF($D1071="","",Y1071*AB1071/100)</f>
        <v/>
      </c>
      <c r="W1071" s="16" t="str">
        <f aca="false">IF($D1071="","",Y1071-V1071)</f>
        <v/>
      </c>
      <c r="X1071" s="16" t="str">
        <f aca="false">IF($D1071="","",W1071-N1071)</f>
        <v/>
      </c>
      <c r="AB1071" s="17" t="str">
        <f aca="false">IF($D1071="","",IF(OR($R1071=TRUE(),$R1071="TRUE"),Settings!$C$6,Settings!$C$7)*100)</f>
        <v/>
      </c>
      <c r="AH1071" s="18" t="str">
        <f aca="false">IF($D1071="","",IF(COUNTIF($D$2:$D1071,$D1071)=1,1,0))</f>
        <v/>
      </c>
      <c r="AI1071" s="18" t="str">
        <f aca="false">IF($AH1071=1,SUMPRODUCT(--($AK$2:$AK$4001&lt;$AK1071))+1,"")</f>
        <v/>
      </c>
      <c r="AJ1071" s="18" t="str">
        <f aca="false">IF($D1071="","",IF(OR($R1071=TRUE(),$R1071="TRUE"),1,0))</f>
        <v/>
      </c>
      <c r="AK1071" s="18" t="str">
        <f aca="false">IF($AH1071=1,IFERROR(VALUE(MID($D1071,2,20)),1000000000)+ROW()/10000000,"")</f>
        <v/>
      </c>
    </row>
    <row r="1072" customFormat="false" ht="15" hidden="false" customHeight="false" outlineLevel="0" collapsed="false">
      <c r="F1072" s="15"/>
      <c r="N1072" s="16" t="str">
        <f aca="false">IF($D1072="","",M1072*Y1072/100)</f>
        <v/>
      </c>
      <c r="V1072" s="16" t="str">
        <f aca="false">IF($D1072="","",Y1072*AB1072/100)</f>
        <v/>
      </c>
      <c r="W1072" s="16" t="str">
        <f aca="false">IF($D1072="","",Y1072-V1072)</f>
        <v/>
      </c>
      <c r="X1072" s="16" t="str">
        <f aca="false">IF($D1072="","",W1072-N1072)</f>
        <v/>
      </c>
      <c r="AB1072" s="17" t="str">
        <f aca="false">IF($D1072="","",IF(OR($R1072=TRUE(),$R1072="TRUE"),Settings!$C$6,Settings!$C$7)*100)</f>
        <v/>
      </c>
      <c r="AH1072" s="18" t="str">
        <f aca="false">IF($D1072="","",IF(COUNTIF($D$2:$D1072,$D1072)=1,1,0))</f>
        <v/>
      </c>
      <c r="AI1072" s="18" t="str">
        <f aca="false">IF($AH1072=1,SUMPRODUCT(--($AK$2:$AK$4001&lt;$AK1072))+1,"")</f>
        <v/>
      </c>
      <c r="AJ1072" s="18" t="str">
        <f aca="false">IF($D1072="","",IF(OR($R1072=TRUE(),$R1072="TRUE"),1,0))</f>
        <v/>
      </c>
      <c r="AK1072" s="18" t="str">
        <f aca="false">IF($AH1072=1,IFERROR(VALUE(MID($D1072,2,20)),1000000000)+ROW()/10000000,"")</f>
        <v/>
      </c>
    </row>
    <row r="1073" customFormat="false" ht="15" hidden="false" customHeight="false" outlineLevel="0" collapsed="false">
      <c r="F1073" s="15"/>
      <c r="N1073" s="16" t="str">
        <f aca="false">IF($D1073="","",M1073*Y1073/100)</f>
        <v/>
      </c>
      <c r="V1073" s="16" t="str">
        <f aca="false">IF($D1073="","",Y1073*AB1073/100)</f>
        <v/>
      </c>
      <c r="W1073" s="16" t="str">
        <f aca="false">IF($D1073="","",Y1073-V1073)</f>
        <v/>
      </c>
      <c r="X1073" s="16" t="str">
        <f aca="false">IF($D1073="","",W1073-N1073)</f>
        <v/>
      </c>
      <c r="AB1073" s="17" t="str">
        <f aca="false">IF($D1073="","",IF(OR($R1073=TRUE(),$R1073="TRUE"),Settings!$C$6,Settings!$C$7)*100)</f>
        <v/>
      </c>
      <c r="AH1073" s="18" t="str">
        <f aca="false">IF($D1073="","",IF(COUNTIF($D$2:$D1073,$D1073)=1,1,0))</f>
        <v/>
      </c>
      <c r="AI1073" s="18" t="str">
        <f aca="false">IF($AH1073=1,SUMPRODUCT(--($AK$2:$AK$4001&lt;$AK1073))+1,"")</f>
        <v/>
      </c>
      <c r="AJ1073" s="18" t="str">
        <f aca="false">IF($D1073="","",IF(OR($R1073=TRUE(),$R1073="TRUE"),1,0))</f>
        <v/>
      </c>
      <c r="AK1073" s="18" t="str">
        <f aca="false">IF($AH1073=1,IFERROR(VALUE(MID($D1073,2,20)),1000000000)+ROW()/10000000,"")</f>
        <v/>
      </c>
    </row>
    <row r="1074" customFormat="false" ht="15" hidden="false" customHeight="false" outlineLevel="0" collapsed="false">
      <c r="F1074" s="15"/>
      <c r="N1074" s="16" t="str">
        <f aca="false">IF($D1074="","",M1074*Y1074/100)</f>
        <v/>
      </c>
      <c r="V1074" s="16" t="str">
        <f aca="false">IF($D1074="","",Y1074*AB1074/100)</f>
        <v/>
      </c>
      <c r="W1074" s="16" t="str">
        <f aca="false">IF($D1074="","",Y1074-V1074)</f>
        <v/>
      </c>
      <c r="X1074" s="16" t="str">
        <f aca="false">IF($D1074="","",W1074-N1074)</f>
        <v/>
      </c>
      <c r="AB1074" s="17" t="str">
        <f aca="false">IF($D1074="","",IF(OR($R1074=TRUE(),$R1074="TRUE"),Settings!$C$6,Settings!$C$7)*100)</f>
        <v/>
      </c>
      <c r="AH1074" s="18" t="str">
        <f aca="false">IF($D1074="","",IF(COUNTIF($D$2:$D1074,$D1074)=1,1,0))</f>
        <v/>
      </c>
      <c r="AI1074" s="18" t="str">
        <f aca="false">IF($AH1074=1,SUMPRODUCT(--($AK$2:$AK$4001&lt;$AK1074))+1,"")</f>
        <v/>
      </c>
      <c r="AJ1074" s="18" t="str">
        <f aca="false">IF($D1074="","",IF(OR($R1074=TRUE(),$R1074="TRUE"),1,0))</f>
        <v/>
      </c>
      <c r="AK1074" s="18" t="str">
        <f aca="false">IF($AH1074=1,IFERROR(VALUE(MID($D1074,2,20)),1000000000)+ROW()/10000000,"")</f>
        <v/>
      </c>
    </row>
    <row r="1075" customFormat="false" ht="15" hidden="false" customHeight="false" outlineLevel="0" collapsed="false">
      <c r="F1075" s="15"/>
      <c r="N1075" s="16" t="str">
        <f aca="false">IF($D1075="","",M1075*Y1075/100)</f>
        <v/>
      </c>
      <c r="V1075" s="16" t="str">
        <f aca="false">IF($D1075="","",Y1075*AB1075/100)</f>
        <v/>
      </c>
      <c r="W1075" s="16" t="str">
        <f aca="false">IF($D1075="","",Y1075-V1075)</f>
        <v/>
      </c>
      <c r="X1075" s="16" t="str">
        <f aca="false">IF($D1075="","",W1075-N1075)</f>
        <v/>
      </c>
      <c r="AB1075" s="17" t="str">
        <f aca="false">IF($D1075="","",IF(OR($R1075=TRUE(),$R1075="TRUE"),Settings!$C$6,Settings!$C$7)*100)</f>
        <v/>
      </c>
      <c r="AH1075" s="18" t="str">
        <f aca="false">IF($D1075="","",IF(COUNTIF($D$2:$D1075,$D1075)=1,1,0))</f>
        <v/>
      </c>
      <c r="AI1075" s="18" t="str">
        <f aca="false">IF($AH1075=1,SUMPRODUCT(--($AK$2:$AK$4001&lt;$AK1075))+1,"")</f>
        <v/>
      </c>
      <c r="AJ1075" s="18" t="str">
        <f aca="false">IF($D1075="","",IF(OR($R1075=TRUE(),$R1075="TRUE"),1,0))</f>
        <v/>
      </c>
      <c r="AK1075" s="18" t="str">
        <f aca="false">IF($AH1075=1,IFERROR(VALUE(MID($D1075,2,20)),1000000000)+ROW()/10000000,"")</f>
        <v/>
      </c>
    </row>
    <row r="1076" customFormat="false" ht="15" hidden="false" customHeight="false" outlineLevel="0" collapsed="false">
      <c r="F1076" s="15"/>
      <c r="N1076" s="16" t="str">
        <f aca="false">IF($D1076="","",M1076*Y1076/100)</f>
        <v/>
      </c>
      <c r="V1076" s="16" t="str">
        <f aca="false">IF($D1076="","",Y1076*AB1076/100)</f>
        <v/>
      </c>
      <c r="W1076" s="16" t="str">
        <f aca="false">IF($D1076="","",Y1076-V1076)</f>
        <v/>
      </c>
      <c r="X1076" s="16" t="str">
        <f aca="false">IF($D1076="","",W1076-N1076)</f>
        <v/>
      </c>
      <c r="AB1076" s="17" t="str">
        <f aca="false">IF($D1076="","",IF(OR($R1076=TRUE(),$R1076="TRUE"),Settings!$C$6,Settings!$C$7)*100)</f>
        <v/>
      </c>
      <c r="AH1076" s="18" t="str">
        <f aca="false">IF($D1076="","",IF(COUNTIF($D$2:$D1076,$D1076)=1,1,0))</f>
        <v/>
      </c>
      <c r="AI1076" s="18" t="str">
        <f aca="false">IF($AH1076=1,SUMPRODUCT(--($AK$2:$AK$4001&lt;$AK1076))+1,"")</f>
        <v/>
      </c>
      <c r="AJ1076" s="18" t="str">
        <f aca="false">IF($D1076="","",IF(OR($R1076=TRUE(),$R1076="TRUE"),1,0))</f>
        <v/>
      </c>
      <c r="AK1076" s="18" t="str">
        <f aca="false">IF($AH1076=1,IFERROR(VALUE(MID($D1076,2,20)),1000000000)+ROW()/10000000,"")</f>
        <v/>
      </c>
    </row>
    <row r="1077" customFormat="false" ht="15" hidden="false" customHeight="false" outlineLevel="0" collapsed="false">
      <c r="F1077" s="15"/>
      <c r="N1077" s="16" t="str">
        <f aca="false">IF($D1077="","",M1077*Y1077/100)</f>
        <v/>
      </c>
      <c r="V1077" s="16" t="str">
        <f aca="false">IF($D1077="","",Y1077*AB1077/100)</f>
        <v/>
      </c>
      <c r="W1077" s="16" t="str">
        <f aca="false">IF($D1077="","",Y1077-V1077)</f>
        <v/>
      </c>
      <c r="X1077" s="16" t="str">
        <f aca="false">IF($D1077="","",W1077-N1077)</f>
        <v/>
      </c>
      <c r="AB1077" s="17" t="str">
        <f aca="false">IF($D1077="","",IF(OR($R1077=TRUE(),$R1077="TRUE"),Settings!$C$6,Settings!$C$7)*100)</f>
        <v/>
      </c>
      <c r="AH1077" s="18" t="str">
        <f aca="false">IF($D1077="","",IF(COUNTIF($D$2:$D1077,$D1077)=1,1,0))</f>
        <v/>
      </c>
      <c r="AI1077" s="18" t="str">
        <f aca="false">IF($AH1077=1,SUMPRODUCT(--($AK$2:$AK$4001&lt;$AK1077))+1,"")</f>
        <v/>
      </c>
      <c r="AJ1077" s="18" t="str">
        <f aca="false">IF($D1077="","",IF(OR($R1077=TRUE(),$R1077="TRUE"),1,0))</f>
        <v/>
      </c>
      <c r="AK1077" s="18" t="str">
        <f aca="false">IF($AH1077=1,IFERROR(VALUE(MID($D1077,2,20)),1000000000)+ROW()/10000000,"")</f>
        <v/>
      </c>
    </row>
    <row r="1078" customFormat="false" ht="15" hidden="false" customHeight="false" outlineLevel="0" collapsed="false">
      <c r="F1078" s="15"/>
      <c r="N1078" s="16" t="str">
        <f aca="false">IF($D1078="","",M1078*Y1078/100)</f>
        <v/>
      </c>
      <c r="V1078" s="16" t="str">
        <f aca="false">IF($D1078="","",Y1078*AB1078/100)</f>
        <v/>
      </c>
      <c r="W1078" s="16" t="str">
        <f aca="false">IF($D1078="","",Y1078-V1078)</f>
        <v/>
      </c>
      <c r="X1078" s="16" t="str">
        <f aca="false">IF($D1078="","",W1078-N1078)</f>
        <v/>
      </c>
      <c r="AB1078" s="17" t="str">
        <f aca="false">IF($D1078="","",IF(OR($R1078=TRUE(),$R1078="TRUE"),Settings!$C$6,Settings!$C$7)*100)</f>
        <v/>
      </c>
      <c r="AH1078" s="18" t="str">
        <f aca="false">IF($D1078="","",IF(COUNTIF($D$2:$D1078,$D1078)=1,1,0))</f>
        <v/>
      </c>
      <c r="AI1078" s="18" t="str">
        <f aca="false">IF($AH1078=1,SUMPRODUCT(--($AK$2:$AK$4001&lt;$AK1078))+1,"")</f>
        <v/>
      </c>
      <c r="AJ1078" s="18" t="str">
        <f aca="false">IF($D1078="","",IF(OR($R1078=TRUE(),$R1078="TRUE"),1,0))</f>
        <v/>
      </c>
      <c r="AK1078" s="18" t="str">
        <f aca="false">IF($AH1078=1,IFERROR(VALUE(MID($D1078,2,20)),1000000000)+ROW()/10000000,"")</f>
        <v/>
      </c>
    </row>
    <row r="1079" customFormat="false" ht="15" hidden="false" customHeight="false" outlineLevel="0" collapsed="false">
      <c r="F1079" s="15"/>
      <c r="N1079" s="16" t="str">
        <f aca="false">IF($D1079="","",M1079*Y1079/100)</f>
        <v/>
      </c>
      <c r="V1079" s="16" t="str">
        <f aca="false">IF($D1079="","",Y1079*AB1079/100)</f>
        <v/>
      </c>
      <c r="W1079" s="16" t="str">
        <f aca="false">IF($D1079="","",Y1079-V1079)</f>
        <v/>
      </c>
      <c r="X1079" s="16" t="str">
        <f aca="false">IF($D1079="","",W1079-N1079)</f>
        <v/>
      </c>
      <c r="AB1079" s="17" t="str">
        <f aca="false">IF($D1079="","",IF(OR($R1079=TRUE(),$R1079="TRUE"),Settings!$C$6,Settings!$C$7)*100)</f>
        <v/>
      </c>
      <c r="AH1079" s="18" t="str">
        <f aca="false">IF($D1079="","",IF(COUNTIF($D$2:$D1079,$D1079)=1,1,0))</f>
        <v/>
      </c>
      <c r="AI1079" s="18" t="str">
        <f aca="false">IF($AH1079=1,SUMPRODUCT(--($AK$2:$AK$4001&lt;$AK1079))+1,"")</f>
        <v/>
      </c>
      <c r="AJ1079" s="18" t="str">
        <f aca="false">IF($D1079="","",IF(OR($R1079=TRUE(),$R1079="TRUE"),1,0))</f>
        <v/>
      </c>
      <c r="AK1079" s="18" t="str">
        <f aca="false">IF($AH1079=1,IFERROR(VALUE(MID($D1079,2,20)),1000000000)+ROW()/10000000,"")</f>
        <v/>
      </c>
    </row>
    <row r="1080" customFormat="false" ht="15" hidden="false" customHeight="false" outlineLevel="0" collapsed="false">
      <c r="F1080" s="15"/>
      <c r="N1080" s="16" t="str">
        <f aca="false">IF($D1080="","",M1080*Y1080/100)</f>
        <v/>
      </c>
      <c r="V1080" s="16" t="str">
        <f aca="false">IF($D1080="","",Y1080*AB1080/100)</f>
        <v/>
      </c>
      <c r="W1080" s="16" t="str">
        <f aca="false">IF($D1080="","",Y1080-V1080)</f>
        <v/>
      </c>
      <c r="X1080" s="16" t="str">
        <f aca="false">IF($D1080="","",W1080-N1080)</f>
        <v/>
      </c>
      <c r="AB1080" s="17" t="str">
        <f aca="false">IF($D1080="","",IF(OR($R1080=TRUE(),$R1080="TRUE"),Settings!$C$6,Settings!$C$7)*100)</f>
        <v/>
      </c>
      <c r="AH1080" s="18" t="str">
        <f aca="false">IF($D1080="","",IF(COUNTIF($D$2:$D1080,$D1080)=1,1,0))</f>
        <v/>
      </c>
      <c r="AI1080" s="18" t="str">
        <f aca="false">IF($AH1080=1,SUMPRODUCT(--($AK$2:$AK$4001&lt;$AK1080))+1,"")</f>
        <v/>
      </c>
      <c r="AJ1080" s="18" t="str">
        <f aca="false">IF($D1080="","",IF(OR($R1080=TRUE(),$R1080="TRUE"),1,0))</f>
        <v/>
      </c>
      <c r="AK1080" s="18" t="str">
        <f aca="false">IF($AH1080=1,IFERROR(VALUE(MID($D1080,2,20)),1000000000)+ROW()/10000000,"")</f>
        <v/>
      </c>
    </row>
    <row r="1081" customFormat="false" ht="15" hidden="false" customHeight="false" outlineLevel="0" collapsed="false">
      <c r="F1081" s="15"/>
      <c r="N1081" s="16" t="str">
        <f aca="false">IF($D1081="","",M1081*Y1081/100)</f>
        <v/>
      </c>
      <c r="V1081" s="16" t="str">
        <f aca="false">IF($D1081="","",Y1081*AB1081/100)</f>
        <v/>
      </c>
      <c r="W1081" s="16" t="str">
        <f aca="false">IF($D1081="","",Y1081-V1081)</f>
        <v/>
      </c>
      <c r="X1081" s="16" t="str">
        <f aca="false">IF($D1081="","",W1081-N1081)</f>
        <v/>
      </c>
      <c r="AB1081" s="17" t="str">
        <f aca="false">IF($D1081="","",IF(OR($R1081=TRUE(),$R1081="TRUE"),Settings!$C$6,Settings!$C$7)*100)</f>
        <v/>
      </c>
      <c r="AH1081" s="18" t="str">
        <f aca="false">IF($D1081="","",IF(COUNTIF($D$2:$D1081,$D1081)=1,1,0))</f>
        <v/>
      </c>
      <c r="AI1081" s="18" t="str">
        <f aca="false">IF($AH1081=1,SUMPRODUCT(--($AK$2:$AK$4001&lt;$AK1081))+1,"")</f>
        <v/>
      </c>
      <c r="AJ1081" s="18" t="str">
        <f aca="false">IF($D1081="","",IF(OR($R1081=TRUE(),$R1081="TRUE"),1,0))</f>
        <v/>
      </c>
      <c r="AK1081" s="18" t="str">
        <f aca="false">IF($AH1081=1,IFERROR(VALUE(MID($D1081,2,20)),1000000000)+ROW()/10000000,"")</f>
        <v/>
      </c>
    </row>
    <row r="1082" customFormat="false" ht="15" hidden="false" customHeight="false" outlineLevel="0" collapsed="false">
      <c r="F1082" s="15"/>
      <c r="N1082" s="16" t="str">
        <f aca="false">IF($D1082="","",M1082*Y1082/100)</f>
        <v/>
      </c>
      <c r="V1082" s="16" t="str">
        <f aca="false">IF($D1082="","",Y1082*AB1082/100)</f>
        <v/>
      </c>
      <c r="W1082" s="16" t="str">
        <f aca="false">IF($D1082="","",Y1082-V1082)</f>
        <v/>
      </c>
      <c r="X1082" s="16" t="str">
        <f aca="false">IF($D1082="","",W1082-N1082)</f>
        <v/>
      </c>
      <c r="AB1082" s="17" t="str">
        <f aca="false">IF($D1082="","",IF(OR($R1082=TRUE(),$R1082="TRUE"),Settings!$C$6,Settings!$C$7)*100)</f>
        <v/>
      </c>
      <c r="AH1082" s="18" t="str">
        <f aca="false">IF($D1082="","",IF(COUNTIF($D$2:$D1082,$D1082)=1,1,0))</f>
        <v/>
      </c>
      <c r="AI1082" s="18" t="str">
        <f aca="false">IF($AH1082=1,SUMPRODUCT(--($AK$2:$AK$4001&lt;$AK1082))+1,"")</f>
        <v/>
      </c>
      <c r="AJ1082" s="18" t="str">
        <f aca="false">IF($D1082="","",IF(OR($R1082=TRUE(),$R1082="TRUE"),1,0))</f>
        <v/>
      </c>
      <c r="AK1082" s="18" t="str">
        <f aca="false">IF($AH1082=1,IFERROR(VALUE(MID($D1082,2,20)),1000000000)+ROW()/10000000,"")</f>
        <v/>
      </c>
    </row>
    <row r="1083" customFormat="false" ht="15" hidden="false" customHeight="false" outlineLevel="0" collapsed="false">
      <c r="F1083" s="15"/>
      <c r="N1083" s="16" t="str">
        <f aca="false">IF($D1083="","",M1083*Y1083/100)</f>
        <v/>
      </c>
      <c r="V1083" s="16" t="str">
        <f aca="false">IF($D1083="","",Y1083*AB1083/100)</f>
        <v/>
      </c>
      <c r="W1083" s="16" t="str">
        <f aca="false">IF($D1083="","",Y1083-V1083)</f>
        <v/>
      </c>
      <c r="X1083" s="16" t="str">
        <f aca="false">IF($D1083="","",W1083-N1083)</f>
        <v/>
      </c>
      <c r="AB1083" s="17" t="str">
        <f aca="false">IF($D1083="","",IF(OR($R1083=TRUE(),$R1083="TRUE"),Settings!$C$6,Settings!$C$7)*100)</f>
        <v/>
      </c>
      <c r="AH1083" s="18" t="str">
        <f aca="false">IF($D1083="","",IF(COUNTIF($D$2:$D1083,$D1083)=1,1,0))</f>
        <v/>
      </c>
      <c r="AI1083" s="18" t="str">
        <f aca="false">IF($AH1083=1,SUMPRODUCT(--($AK$2:$AK$4001&lt;$AK1083))+1,"")</f>
        <v/>
      </c>
      <c r="AJ1083" s="18" t="str">
        <f aca="false">IF($D1083="","",IF(OR($R1083=TRUE(),$R1083="TRUE"),1,0))</f>
        <v/>
      </c>
      <c r="AK1083" s="18" t="str">
        <f aca="false">IF($AH1083=1,IFERROR(VALUE(MID($D1083,2,20)),1000000000)+ROW()/10000000,"")</f>
        <v/>
      </c>
    </row>
    <row r="1084" customFormat="false" ht="15" hidden="false" customHeight="false" outlineLevel="0" collapsed="false">
      <c r="F1084" s="15"/>
      <c r="N1084" s="16" t="str">
        <f aca="false">IF($D1084="","",M1084*Y1084/100)</f>
        <v/>
      </c>
      <c r="V1084" s="16" t="str">
        <f aca="false">IF($D1084="","",Y1084*AB1084/100)</f>
        <v/>
      </c>
      <c r="W1084" s="16" t="str">
        <f aca="false">IF($D1084="","",Y1084-V1084)</f>
        <v/>
      </c>
      <c r="X1084" s="16" t="str">
        <f aca="false">IF($D1084="","",W1084-N1084)</f>
        <v/>
      </c>
      <c r="AB1084" s="17" t="str">
        <f aca="false">IF($D1084="","",IF(OR($R1084=TRUE(),$R1084="TRUE"),Settings!$C$6,Settings!$C$7)*100)</f>
        <v/>
      </c>
      <c r="AH1084" s="18" t="str">
        <f aca="false">IF($D1084="","",IF(COUNTIF($D$2:$D1084,$D1084)=1,1,0))</f>
        <v/>
      </c>
      <c r="AI1084" s="18" t="str">
        <f aca="false">IF($AH1084=1,SUMPRODUCT(--($AK$2:$AK$4001&lt;$AK1084))+1,"")</f>
        <v/>
      </c>
      <c r="AJ1084" s="18" t="str">
        <f aca="false">IF($D1084="","",IF(OR($R1084=TRUE(),$R1084="TRUE"),1,0))</f>
        <v/>
      </c>
      <c r="AK1084" s="18" t="str">
        <f aca="false">IF($AH1084=1,IFERROR(VALUE(MID($D1084,2,20)),1000000000)+ROW()/10000000,"")</f>
        <v/>
      </c>
    </row>
    <row r="1085" customFormat="false" ht="15" hidden="false" customHeight="false" outlineLevel="0" collapsed="false">
      <c r="F1085" s="15"/>
      <c r="N1085" s="16" t="str">
        <f aca="false">IF($D1085="","",M1085*Y1085/100)</f>
        <v/>
      </c>
      <c r="V1085" s="16" t="str">
        <f aca="false">IF($D1085="","",Y1085*AB1085/100)</f>
        <v/>
      </c>
      <c r="W1085" s="16" t="str">
        <f aca="false">IF($D1085="","",Y1085-V1085)</f>
        <v/>
      </c>
      <c r="X1085" s="16" t="str">
        <f aca="false">IF($D1085="","",W1085-N1085)</f>
        <v/>
      </c>
      <c r="AB1085" s="17" t="str">
        <f aca="false">IF($D1085="","",IF(OR($R1085=TRUE(),$R1085="TRUE"),Settings!$C$6,Settings!$C$7)*100)</f>
        <v/>
      </c>
      <c r="AH1085" s="18" t="str">
        <f aca="false">IF($D1085="","",IF(COUNTIF($D$2:$D1085,$D1085)=1,1,0))</f>
        <v/>
      </c>
      <c r="AI1085" s="18" t="str">
        <f aca="false">IF($AH1085=1,SUMPRODUCT(--($AK$2:$AK$4001&lt;$AK1085))+1,"")</f>
        <v/>
      </c>
      <c r="AJ1085" s="18" t="str">
        <f aca="false">IF($D1085="","",IF(OR($R1085=TRUE(),$R1085="TRUE"),1,0))</f>
        <v/>
      </c>
      <c r="AK1085" s="18" t="str">
        <f aca="false">IF($AH1085=1,IFERROR(VALUE(MID($D1085,2,20)),1000000000)+ROW()/10000000,"")</f>
        <v/>
      </c>
    </row>
    <row r="1086" customFormat="false" ht="15" hidden="false" customHeight="false" outlineLevel="0" collapsed="false">
      <c r="F1086" s="15"/>
      <c r="N1086" s="16" t="str">
        <f aca="false">IF($D1086="","",M1086*Y1086/100)</f>
        <v/>
      </c>
      <c r="V1086" s="16" t="str">
        <f aca="false">IF($D1086="","",Y1086*AB1086/100)</f>
        <v/>
      </c>
      <c r="W1086" s="16" t="str">
        <f aca="false">IF($D1086="","",Y1086-V1086)</f>
        <v/>
      </c>
      <c r="X1086" s="16" t="str">
        <f aca="false">IF($D1086="","",W1086-N1086)</f>
        <v/>
      </c>
      <c r="AB1086" s="17" t="str">
        <f aca="false">IF($D1086="","",IF(OR($R1086=TRUE(),$R1086="TRUE"),Settings!$C$6,Settings!$C$7)*100)</f>
        <v/>
      </c>
      <c r="AH1086" s="18" t="str">
        <f aca="false">IF($D1086="","",IF(COUNTIF($D$2:$D1086,$D1086)=1,1,0))</f>
        <v/>
      </c>
      <c r="AI1086" s="18" t="str">
        <f aca="false">IF($AH1086=1,SUMPRODUCT(--($AK$2:$AK$4001&lt;$AK1086))+1,"")</f>
        <v/>
      </c>
      <c r="AJ1086" s="18" t="str">
        <f aca="false">IF($D1086="","",IF(OR($R1086=TRUE(),$R1086="TRUE"),1,0))</f>
        <v/>
      </c>
      <c r="AK1086" s="18" t="str">
        <f aca="false">IF($AH1086=1,IFERROR(VALUE(MID($D1086,2,20)),1000000000)+ROW()/10000000,"")</f>
        <v/>
      </c>
    </row>
    <row r="1087" customFormat="false" ht="15" hidden="false" customHeight="false" outlineLevel="0" collapsed="false">
      <c r="F1087" s="15"/>
      <c r="N1087" s="16" t="str">
        <f aca="false">IF($D1087="","",M1087*Y1087/100)</f>
        <v/>
      </c>
      <c r="V1087" s="16" t="str">
        <f aca="false">IF($D1087="","",Y1087*AB1087/100)</f>
        <v/>
      </c>
      <c r="W1087" s="16" t="str">
        <f aca="false">IF($D1087="","",Y1087-V1087)</f>
        <v/>
      </c>
      <c r="X1087" s="16" t="str">
        <f aca="false">IF($D1087="","",W1087-N1087)</f>
        <v/>
      </c>
      <c r="AB1087" s="17" t="str">
        <f aca="false">IF($D1087="","",IF(OR($R1087=TRUE(),$R1087="TRUE"),Settings!$C$6,Settings!$C$7)*100)</f>
        <v/>
      </c>
      <c r="AH1087" s="18" t="str">
        <f aca="false">IF($D1087="","",IF(COUNTIF($D$2:$D1087,$D1087)=1,1,0))</f>
        <v/>
      </c>
      <c r="AI1087" s="18" t="str">
        <f aca="false">IF($AH1087=1,SUMPRODUCT(--($AK$2:$AK$4001&lt;$AK1087))+1,"")</f>
        <v/>
      </c>
      <c r="AJ1087" s="18" t="str">
        <f aca="false">IF($D1087="","",IF(OR($R1087=TRUE(),$R1087="TRUE"),1,0))</f>
        <v/>
      </c>
      <c r="AK1087" s="18" t="str">
        <f aca="false">IF($AH1087=1,IFERROR(VALUE(MID($D1087,2,20)),1000000000)+ROW()/10000000,"")</f>
        <v/>
      </c>
    </row>
    <row r="1088" customFormat="false" ht="15" hidden="false" customHeight="false" outlineLevel="0" collapsed="false">
      <c r="F1088" s="15"/>
      <c r="N1088" s="16" t="str">
        <f aca="false">IF($D1088="","",M1088*Y1088/100)</f>
        <v/>
      </c>
      <c r="V1088" s="16" t="str">
        <f aca="false">IF($D1088="","",Y1088*AB1088/100)</f>
        <v/>
      </c>
      <c r="W1088" s="16" t="str">
        <f aca="false">IF($D1088="","",Y1088-V1088)</f>
        <v/>
      </c>
      <c r="X1088" s="16" t="str">
        <f aca="false">IF($D1088="","",W1088-N1088)</f>
        <v/>
      </c>
      <c r="AB1088" s="17" t="str">
        <f aca="false">IF($D1088="","",IF(OR($R1088=TRUE(),$R1088="TRUE"),Settings!$C$6,Settings!$C$7)*100)</f>
        <v/>
      </c>
      <c r="AH1088" s="18" t="str">
        <f aca="false">IF($D1088="","",IF(COUNTIF($D$2:$D1088,$D1088)=1,1,0))</f>
        <v/>
      </c>
      <c r="AI1088" s="18" t="str">
        <f aca="false">IF($AH1088=1,SUMPRODUCT(--($AK$2:$AK$4001&lt;$AK1088))+1,"")</f>
        <v/>
      </c>
      <c r="AJ1088" s="18" t="str">
        <f aca="false">IF($D1088="","",IF(OR($R1088=TRUE(),$R1088="TRUE"),1,0))</f>
        <v/>
      </c>
      <c r="AK1088" s="18" t="str">
        <f aca="false">IF($AH1088=1,IFERROR(VALUE(MID($D1088,2,20)),1000000000)+ROW()/10000000,"")</f>
        <v/>
      </c>
    </row>
    <row r="1089" customFormat="false" ht="15" hidden="false" customHeight="false" outlineLevel="0" collapsed="false">
      <c r="F1089" s="15"/>
      <c r="N1089" s="16" t="str">
        <f aca="false">IF($D1089="","",M1089*Y1089/100)</f>
        <v/>
      </c>
      <c r="V1089" s="16" t="str">
        <f aca="false">IF($D1089="","",Y1089*AB1089/100)</f>
        <v/>
      </c>
      <c r="W1089" s="16" t="str">
        <f aca="false">IF($D1089="","",Y1089-V1089)</f>
        <v/>
      </c>
      <c r="X1089" s="16" t="str">
        <f aca="false">IF($D1089="","",W1089-N1089)</f>
        <v/>
      </c>
      <c r="AB1089" s="17" t="str">
        <f aca="false">IF($D1089="","",IF(OR($R1089=TRUE(),$R1089="TRUE"),Settings!$C$6,Settings!$C$7)*100)</f>
        <v/>
      </c>
      <c r="AH1089" s="18" t="str">
        <f aca="false">IF($D1089="","",IF(COUNTIF($D$2:$D1089,$D1089)=1,1,0))</f>
        <v/>
      </c>
      <c r="AI1089" s="18" t="str">
        <f aca="false">IF($AH1089=1,SUMPRODUCT(--($AK$2:$AK$4001&lt;$AK1089))+1,"")</f>
        <v/>
      </c>
      <c r="AJ1089" s="18" t="str">
        <f aca="false">IF($D1089="","",IF(OR($R1089=TRUE(),$R1089="TRUE"),1,0))</f>
        <v/>
      </c>
      <c r="AK1089" s="18" t="str">
        <f aca="false">IF($AH1089=1,IFERROR(VALUE(MID($D1089,2,20)),1000000000)+ROW()/10000000,"")</f>
        <v/>
      </c>
    </row>
    <row r="1090" customFormat="false" ht="15" hidden="false" customHeight="false" outlineLevel="0" collapsed="false">
      <c r="F1090" s="15"/>
      <c r="N1090" s="16" t="str">
        <f aca="false">IF($D1090="","",M1090*Y1090/100)</f>
        <v/>
      </c>
      <c r="V1090" s="16" t="str">
        <f aca="false">IF($D1090="","",Y1090*AB1090/100)</f>
        <v/>
      </c>
      <c r="W1090" s="16" t="str">
        <f aca="false">IF($D1090="","",Y1090-V1090)</f>
        <v/>
      </c>
      <c r="X1090" s="16" t="str">
        <f aca="false">IF($D1090="","",W1090-N1090)</f>
        <v/>
      </c>
      <c r="AB1090" s="17" t="str">
        <f aca="false">IF($D1090="","",IF(OR($R1090=TRUE(),$R1090="TRUE"),Settings!$C$6,Settings!$C$7)*100)</f>
        <v/>
      </c>
      <c r="AH1090" s="18" t="str">
        <f aca="false">IF($D1090="","",IF(COUNTIF($D$2:$D1090,$D1090)=1,1,0))</f>
        <v/>
      </c>
      <c r="AI1090" s="18" t="str">
        <f aca="false">IF($AH1090=1,SUMPRODUCT(--($AK$2:$AK$4001&lt;$AK1090))+1,"")</f>
        <v/>
      </c>
      <c r="AJ1090" s="18" t="str">
        <f aca="false">IF($D1090="","",IF(OR($R1090=TRUE(),$R1090="TRUE"),1,0))</f>
        <v/>
      </c>
      <c r="AK1090" s="18" t="str">
        <f aca="false">IF($AH1090=1,IFERROR(VALUE(MID($D1090,2,20)),1000000000)+ROW()/10000000,"")</f>
        <v/>
      </c>
    </row>
    <row r="1091" customFormat="false" ht="15" hidden="false" customHeight="false" outlineLevel="0" collapsed="false">
      <c r="F1091" s="15"/>
      <c r="N1091" s="16" t="str">
        <f aca="false">IF($D1091="","",M1091*Y1091/100)</f>
        <v/>
      </c>
      <c r="V1091" s="16" t="str">
        <f aca="false">IF($D1091="","",Y1091*AB1091/100)</f>
        <v/>
      </c>
      <c r="W1091" s="16" t="str">
        <f aca="false">IF($D1091="","",Y1091-V1091)</f>
        <v/>
      </c>
      <c r="X1091" s="16" t="str">
        <f aca="false">IF($D1091="","",W1091-N1091)</f>
        <v/>
      </c>
      <c r="AB1091" s="17" t="str">
        <f aca="false">IF($D1091="","",IF(OR($R1091=TRUE(),$R1091="TRUE"),Settings!$C$6,Settings!$C$7)*100)</f>
        <v/>
      </c>
      <c r="AH1091" s="18" t="str">
        <f aca="false">IF($D1091="","",IF(COUNTIF($D$2:$D1091,$D1091)=1,1,0))</f>
        <v/>
      </c>
      <c r="AI1091" s="18" t="str">
        <f aca="false">IF($AH1091=1,SUMPRODUCT(--($AK$2:$AK$4001&lt;$AK1091))+1,"")</f>
        <v/>
      </c>
      <c r="AJ1091" s="18" t="str">
        <f aca="false">IF($D1091="","",IF(OR($R1091=TRUE(),$R1091="TRUE"),1,0))</f>
        <v/>
      </c>
      <c r="AK1091" s="18" t="str">
        <f aca="false">IF($AH1091=1,IFERROR(VALUE(MID($D1091,2,20)),1000000000)+ROW()/10000000,"")</f>
        <v/>
      </c>
    </row>
    <row r="1092" customFormat="false" ht="15" hidden="false" customHeight="false" outlineLevel="0" collapsed="false">
      <c r="F1092" s="15"/>
      <c r="N1092" s="16" t="str">
        <f aca="false">IF($D1092="","",M1092*Y1092/100)</f>
        <v/>
      </c>
      <c r="V1092" s="16" t="str">
        <f aca="false">IF($D1092="","",Y1092*AB1092/100)</f>
        <v/>
      </c>
      <c r="W1092" s="16" t="str">
        <f aca="false">IF($D1092="","",Y1092-V1092)</f>
        <v/>
      </c>
      <c r="X1092" s="16" t="str">
        <f aca="false">IF($D1092="","",W1092-N1092)</f>
        <v/>
      </c>
      <c r="AB1092" s="17" t="str">
        <f aca="false">IF($D1092="","",IF(OR($R1092=TRUE(),$R1092="TRUE"),Settings!$C$6,Settings!$C$7)*100)</f>
        <v/>
      </c>
      <c r="AH1092" s="18" t="str">
        <f aca="false">IF($D1092="","",IF(COUNTIF($D$2:$D1092,$D1092)=1,1,0))</f>
        <v/>
      </c>
      <c r="AI1092" s="18" t="str">
        <f aca="false">IF($AH1092=1,SUMPRODUCT(--($AK$2:$AK$4001&lt;$AK1092))+1,"")</f>
        <v/>
      </c>
      <c r="AJ1092" s="18" t="str">
        <f aca="false">IF($D1092="","",IF(OR($R1092=TRUE(),$R1092="TRUE"),1,0))</f>
        <v/>
      </c>
      <c r="AK1092" s="18" t="str">
        <f aca="false">IF($AH1092=1,IFERROR(VALUE(MID($D1092,2,20)),1000000000)+ROW()/10000000,"")</f>
        <v/>
      </c>
    </row>
    <row r="1093" customFormat="false" ht="15" hidden="false" customHeight="false" outlineLevel="0" collapsed="false">
      <c r="F1093" s="15"/>
      <c r="N1093" s="16" t="str">
        <f aca="false">IF($D1093="","",M1093*Y1093/100)</f>
        <v/>
      </c>
      <c r="V1093" s="16" t="str">
        <f aca="false">IF($D1093="","",Y1093*AB1093/100)</f>
        <v/>
      </c>
      <c r="W1093" s="16" t="str">
        <f aca="false">IF($D1093="","",Y1093-V1093)</f>
        <v/>
      </c>
      <c r="X1093" s="16" t="str">
        <f aca="false">IF($D1093="","",W1093-N1093)</f>
        <v/>
      </c>
      <c r="AB1093" s="17" t="str">
        <f aca="false">IF($D1093="","",IF(OR($R1093=TRUE(),$R1093="TRUE"),Settings!$C$6,Settings!$C$7)*100)</f>
        <v/>
      </c>
      <c r="AH1093" s="18" t="str">
        <f aca="false">IF($D1093="","",IF(COUNTIF($D$2:$D1093,$D1093)=1,1,0))</f>
        <v/>
      </c>
      <c r="AI1093" s="18" t="str">
        <f aca="false">IF($AH1093=1,SUMPRODUCT(--($AK$2:$AK$4001&lt;$AK1093))+1,"")</f>
        <v/>
      </c>
      <c r="AJ1093" s="18" t="str">
        <f aca="false">IF($D1093="","",IF(OR($R1093=TRUE(),$R1093="TRUE"),1,0))</f>
        <v/>
      </c>
      <c r="AK1093" s="18" t="str">
        <f aca="false">IF($AH1093=1,IFERROR(VALUE(MID($D1093,2,20)),1000000000)+ROW()/10000000,"")</f>
        <v/>
      </c>
    </row>
    <row r="1094" customFormat="false" ht="15" hidden="false" customHeight="false" outlineLevel="0" collapsed="false">
      <c r="F1094" s="15"/>
      <c r="N1094" s="16" t="str">
        <f aca="false">IF($D1094="","",M1094*Y1094/100)</f>
        <v/>
      </c>
      <c r="V1094" s="16" t="str">
        <f aca="false">IF($D1094="","",Y1094*AB1094/100)</f>
        <v/>
      </c>
      <c r="W1094" s="16" t="str">
        <f aca="false">IF($D1094="","",Y1094-V1094)</f>
        <v/>
      </c>
      <c r="X1094" s="16" t="str">
        <f aca="false">IF($D1094="","",W1094-N1094)</f>
        <v/>
      </c>
      <c r="AB1094" s="17" t="str">
        <f aca="false">IF($D1094="","",IF(OR($R1094=TRUE(),$R1094="TRUE"),Settings!$C$6,Settings!$C$7)*100)</f>
        <v/>
      </c>
      <c r="AH1094" s="18" t="str">
        <f aca="false">IF($D1094="","",IF(COUNTIF($D$2:$D1094,$D1094)=1,1,0))</f>
        <v/>
      </c>
      <c r="AI1094" s="18" t="str">
        <f aca="false">IF($AH1094=1,SUMPRODUCT(--($AK$2:$AK$4001&lt;$AK1094))+1,"")</f>
        <v/>
      </c>
      <c r="AJ1094" s="18" t="str">
        <f aca="false">IF($D1094="","",IF(OR($R1094=TRUE(),$R1094="TRUE"),1,0))</f>
        <v/>
      </c>
      <c r="AK1094" s="18" t="str">
        <f aca="false">IF($AH1094=1,IFERROR(VALUE(MID($D1094,2,20)),1000000000)+ROW()/10000000,"")</f>
        <v/>
      </c>
    </row>
    <row r="1095" customFormat="false" ht="15" hidden="false" customHeight="false" outlineLevel="0" collapsed="false">
      <c r="F1095" s="15"/>
      <c r="N1095" s="16" t="str">
        <f aca="false">IF($D1095="","",M1095*Y1095/100)</f>
        <v/>
      </c>
      <c r="V1095" s="16" t="str">
        <f aca="false">IF($D1095="","",Y1095*AB1095/100)</f>
        <v/>
      </c>
      <c r="W1095" s="16" t="str">
        <f aca="false">IF($D1095="","",Y1095-V1095)</f>
        <v/>
      </c>
      <c r="X1095" s="16" t="str">
        <f aca="false">IF($D1095="","",W1095-N1095)</f>
        <v/>
      </c>
      <c r="AB1095" s="17" t="str">
        <f aca="false">IF($D1095="","",IF(OR($R1095=TRUE(),$R1095="TRUE"),Settings!$C$6,Settings!$C$7)*100)</f>
        <v/>
      </c>
      <c r="AH1095" s="18" t="str">
        <f aca="false">IF($D1095="","",IF(COUNTIF($D$2:$D1095,$D1095)=1,1,0))</f>
        <v/>
      </c>
      <c r="AI1095" s="18" t="str">
        <f aca="false">IF($AH1095=1,SUMPRODUCT(--($AK$2:$AK$4001&lt;$AK1095))+1,"")</f>
        <v/>
      </c>
      <c r="AJ1095" s="18" t="str">
        <f aca="false">IF($D1095="","",IF(OR($R1095=TRUE(),$R1095="TRUE"),1,0))</f>
        <v/>
      </c>
      <c r="AK1095" s="18" t="str">
        <f aca="false">IF($AH1095=1,IFERROR(VALUE(MID($D1095,2,20)),1000000000)+ROW()/10000000,"")</f>
        <v/>
      </c>
    </row>
    <row r="1096" customFormat="false" ht="15" hidden="false" customHeight="false" outlineLevel="0" collapsed="false">
      <c r="F1096" s="15"/>
      <c r="N1096" s="16" t="str">
        <f aca="false">IF($D1096="","",M1096*Y1096/100)</f>
        <v/>
      </c>
      <c r="V1096" s="16" t="str">
        <f aca="false">IF($D1096="","",Y1096*AB1096/100)</f>
        <v/>
      </c>
      <c r="W1096" s="16" t="str">
        <f aca="false">IF($D1096="","",Y1096-V1096)</f>
        <v/>
      </c>
      <c r="X1096" s="16" t="str">
        <f aca="false">IF($D1096="","",W1096-N1096)</f>
        <v/>
      </c>
      <c r="AB1096" s="17" t="str">
        <f aca="false">IF($D1096="","",IF(OR($R1096=TRUE(),$R1096="TRUE"),Settings!$C$6,Settings!$C$7)*100)</f>
        <v/>
      </c>
      <c r="AH1096" s="18" t="str">
        <f aca="false">IF($D1096="","",IF(COUNTIF($D$2:$D1096,$D1096)=1,1,0))</f>
        <v/>
      </c>
      <c r="AI1096" s="18" t="str">
        <f aca="false">IF($AH1096=1,SUMPRODUCT(--($AK$2:$AK$4001&lt;$AK1096))+1,"")</f>
        <v/>
      </c>
      <c r="AJ1096" s="18" t="str">
        <f aca="false">IF($D1096="","",IF(OR($R1096=TRUE(),$R1096="TRUE"),1,0))</f>
        <v/>
      </c>
      <c r="AK1096" s="18" t="str">
        <f aca="false">IF($AH1096=1,IFERROR(VALUE(MID($D1096,2,20)),1000000000)+ROW()/10000000,"")</f>
        <v/>
      </c>
    </row>
    <row r="1097" customFormat="false" ht="15" hidden="false" customHeight="false" outlineLevel="0" collapsed="false">
      <c r="F1097" s="15"/>
      <c r="N1097" s="16" t="str">
        <f aca="false">IF($D1097="","",M1097*Y1097/100)</f>
        <v/>
      </c>
      <c r="V1097" s="16" t="str">
        <f aca="false">IF($D1097="","",Y1097*AB1097/100)</f>
        <v/>
      </c>
      <c r="W1097" s="16" t="str">
        <f aca="false">IF($D1097="","",Y1097-V1097)</f>
        <v/>
      </c>
      <c r="X1097" s="16" t="str">
        <f aca="false">IF($D1097="","",W1097-N1097)</f>
        <v/>
      </c>
      <c r="AB1097" s="17" t="str">
        <f aca="false">IF($D1097="","",IF(OR($R1097=TRUE(),$R1097="TRUE"),Settings!$C$6,Settings!$C$7)*100)</f>
        <v/>
      </c>
      <c r="AH1097" s="18" t="str">
        <f aca="false">IF($D1097="","",IF(COUNTIF($D$2:$D1097,$D1097)=1,1,0))</f>
        <v/>
      </c>
      <c r="AI1097" s="18" t="str">
        <f aca="false">IF($AH1097=1,SUMPRODUCT(--($AK$2:$AK$4001&lt;$AK1097))+1,"")</f>
        <v/>
      </c>
      <c r="AJ1097" s="18" t="str">
        <f aca="false">IF($D1097="","",IF(OR($R1097=TRUE(),$R1097="TRUE"),1,0))</f>
        <v/>
      </c>
      <c r="AK1097" s="18" t="str">
        <f aca="false">IF($AH1097=1,IFERROR(VALUE(MID($D1097,2,20)),1000000000)+ROW()/10000000,"")</f>
        <v/>
      </c>
    </row>
    <row r="1098" customFormat="false" ht="15" hidden="false" customHeight="false" outlineLevel="0" collapsed="false">
      <c r="F1098" s="15"/>
      <c r="N1098" s="16" t="str">
        <f aca="false">IF($D1098="","",M1098*Y1098/100)</f>
        <v/>
      </c>
      <c r="V1098" s="16" t="str">
        <f aca="false">IF($D1098="","",Y1098*AB1098/100)</f>
        <v/>
      </c>
      <c r="W1098" s="16" t="str">
        <f aca="false">IF($D1098="","",Y1098-V1098)</f>
        <v/>
      </c>
      <c r="X1098" s="16" t="str">
        <f aca="false">IF($D1098="","",W1098-N1098)</f>
        <v/>
      </c>
      <c r="AB1098" s="17" t="str">
        <f aca="false">IF($D1098="","",IF(OR($R1098=TRUE(),$R1098="TRUE"),Settings!$C$6,Settings!$C$7)*100)</f>
        <v/>
      </c>
      <c r="AH1098" s="18" t="str">
        <f aca="false">IF($D1098="","",IF(COUNTIF($D$2:$D1098,$D1098)=1,1,0))</f>
        <v/>
      </c>
      <c r="AI1098" s="18" t="str">
        <f aca="false">IF($AH1098=1,SUMPRODUCT(--($AK$2:$AK$4001&lt;$AK1098))+1,"")</f>
        <v/>
      </c>
      <c r="AJ1098" s="18" t="str">
        <f aca="false">IF($D1098="","",IF(OR($R1098=TRUE(),$R1098="TRUE"),1,0))</f>
        <v/>
      </c>
      <c r="AK1098" s="18" t="str">
        <f aca="false">IF($AH1098=1,IFERROR(VALUE(MID($D1098,2,20)),1000000000)+ROW()/10000000,"")</f>
        <v/>
      </c>
    </row>
    <row r="1099" customFormat="false" ht="15" hidden="false" customHeight="false" outlineLevel="0" collapsed="false">
      <c r="F1099" s="15"/>
      <c r="N1099" s="16" t="str">
        <f aca="false">IF($D1099="","",M1099*Y1099/100)</f>
        <v/>
      </c>
      <c r="V1099" s="16" t="str">
        <f aca="false">IF($D1099="","",Y1099*AB1099/100)</f>
        <v/>
      </c>
      <c r="W1099" s="16" t="str">
        <f aca="false">IF($D1099="","",Y1099-V1099)</f>
        <v/>
      </c>
      <c r="X1099" s="16" t="str">
        <f aca="false">IF($D1099="","",W1099-N1099)</f>
        <v/>
      </c>
      <c r="AB1099" s="17" t="str">
        <f aca="false">IF($D1099="","",IF(OR($R1099=TRUE(),$R1099="TRUE"),Settings!$C$6,Settings!$C$7)*100)</f>
        <v/>
      </c>
      <c r="AH1099" s="18" t="str">
        <f aca="false">IF($D1099="","",IF(COUNTIF($D$2:$D1099,$D1099)=1,1,0))</f>
        <v/>
      </c>
      <c r="AI1099" s="18" t="str">
        <f aca="false">IF($AH1099=1,SUMPRODUCT(--($AK$2:$AK$4001&lt;$AK1099))+1,"")</f>
        <v/>
      </c>
      <c r="AJ1099" s="18" t="str">
        <f aca="false">IF($D1099="","",IF(OR($R1099=TRUE(),$R1099="TRUE"),1,0))</f>
        <v/>
      </c>
      <c r="AK1099" s="18" t="str">
        <f aca="false">IF($AH1099=1,IFERROR(VALUE(MID($D1099,2,20)),1000000000)+ROW()/10000000,"")</f>
        <v/>
      </c>
    </row>
    <row r="1100" customFormat="false" ht="15" hidden="false" customHeight="false" outlineLevel="0" collapsed="false">
      <c r="F1100" s="15"/>
      <c r="N1100" s="16" t="str">
        <f aca="false">IF($D1100="","",M1100*Y1100/100)</f>
        <v/>
      </c>
      <c r="V1100" s="16" t="str">
        <f aca="false">IF($D1100="","",Y1100*AB1100/100)</f>
        <v/>
      </c>
      <c r="W1100" s="16" t="str">
        <f aca="false">IF($D1100="","",Y1100-V1100)</f>
        <v/>
      </c>
      <c r="X1100" s="16" t="str">
        <f aca="false">IF($D1100="","",W1100-N1100)</f>
        <v/>
      </c>
      <c r="AB1100" s="17" t="str">
        <f aca="false">IF($D1100="","",IF(OR($R1100=TRUE(),$R1100="TRUE"),Settings!$C$6,Settings!$C$7)*100)</f>
        <v/>
      </c>
      <c r="AH1100" s="18" t="str">
        <f aca="false">IF($D1100="","",IF(COUNTIF($D$2:$D1100,$D1100)=1,1,0))</f>
        <v/>
      </c>
      <c r="AI1100" s="18" t="str">
        <f aca="false">IF($AH1100=1,SUMPRODUCT(--($AK$2:$AK$4001&lt;$AK1100))+1,"")</f>
        <v/>
      </c>
      <c r="AJ1100" s="18" t="str">
        <f aca="false">IF($D1100="","",IF(OR($R1100=TRUE(),$R1100="TRUE"),1,0))</f>
        <v/>
      </c>
      <c r="AK1100" s="18" t="str">
        <f aca="false">IF($AH1100=1,IFERROR(VALUE(MID($D1100,2,20)),1000000000)+ROW()/10000000,"")</f>
        <v/>
      </c>
    </row>
    <row r="1101" customFormat="false" ht="15" hidden="false" customHeight="false" outlineLevel="0" collapsed="false">
      <c r="F1101" s="15"/>
      <c r="N1101" s="16" t="str">
        <f aca="false">IF($D1101="","",M1101*Y1101/100)</f>
        <v/>
      </c>
      <c r="V1101" s="16" t="str">
        <f aca="false">IF($D1101="","",Y1101*AB1101/100)</f>
        <v/>
      </c>
      <c r="W1101" s="16" t="str">
        <f aca="false">IF($D1101="","",Y1101-V1101)</f>
        <v/>
      </c>
      <c r="X1101" s="16" t="str">
        <f aca="false">IF($D1101="","",W1101-N1101)</f>
        <v/>
      </c>
      <c r="AB1101" s="17" t="str">
        <f aca="false">IF($D1101="","",IF(OR($R1101=TRUE(),$R1101="TRUE"),Settings!$C$6,Settings!$C$7)*100)</f>
        <v/>
      </c>
      <c r="AH1101" s="18" t="str">
        <f aca="false">IF($D1101="","",IF(COUNTIF($D$2:$D1101,$D1101)=1,1,0))</f>
        <v/>
      </c>
      <c r="AI1101" s="18" t="str">
        <f aca="false">IF($AH1101=1,SUMPRODUCT(--($AK$2:$AK$4001&lt;$AK1101))+1,"")</f>
        <v/>
      </c>
      <c r="AJ1101" s="18" t="str">
        <f aca="false">IF($D1101="","",IF(OR($R1101=TRUE(),$R1101="TRUE"),1,0))</f>
        <v/>
      </c>
      <c r="AK1101" s="18" t="str">
        <f aca="false">IF($AH1101=1,IFERROR(VALUE(MID($D1101,2,20)),1000000000)+ROW()/10000000,"")</f>
        <v/>
      </c>
    </row>
    <row r="1102" customFormat="false" ht="15" hidden="false" customHeight="false" outlineLevel="0" collapsed="false">
      <c r="F1102" s="15"/>
      <c r="N1102" s="16" t="str">
        <f aca="false">IF($D1102="","",M1102*Y1102/100)</f>
        <v/>
      </c>
      <c r="V1102" s="16" t="str">
        <f aca="false">IF($D1102="","",Y1102*AB1102/100)</f>
        <v/>
      </c>
      <c r="W1102" s="16" t="str">
        <f aca="false">IF($D1102="","",Y1102-V1102)</f>
        <v/>
      </c>
      <c r="X1102" s="16" t="str">
        <f aca="false">IF($D1102="","",W1102-N1102)</f>
        <v/>
      </c>
      <c r="AB1102" s="17" t="str">
        <f aca="false">IF($D1102="","",IF(OR($R1102=TRUE(),$R1102="TRUE"),Settings!$C$6,Settings!$C$7)*100)</f>
        <v/>
      </c>
      <c r="AH1102" s="18" t="str">
        <f aca="false">IF($D1102="","",IF(COUNTIF($D$2:$D1102,$D1102)=1,1,0))</f>
        <v/>
      </c>
      <c r="AI1102" s="18" t="str">
        <f aca="false">IF($AH1102=1,SUMPRODUCT(--($AK$2:$AK$4001&lt;$AK1102))+1,"")</f>
        <v/>
      </c>
      <c r="AJ1102" s="18" t="str">
        <f aca="false">IF($D1102="","",IF(OR($R1102=TRUE(),$R1102="TRUE"),1,0))</f>
        <v/>
      </c>
      <c r="AK1102" s="18" t="str">
        <f aca="false">IF($AH1102=1,IFERROR(VALUE(MID($D1102,2,20)),1000000000)+ROW()/10000000,"")</f>
        <v/>
      </c>
    </row>
    <row r="1103" customFormat="false" ht="15" hidden="false" customHeight="false" outlineLevel="0" collapsed="false">
      <c r="F1103" s="15"/>
      <c r="N1103" s="16" t="str">
        <f aca="false">IF($D1103="","",M1103*Y1103/100)</f>
        <v/>
      </c>
      <c r="V1103" s="16" t="str">
        <f aca="false">IF($D1103="","",Y1103*AB1103/100)</f>
        <v/>
      </c>
      <c r="W1103" s="16" t="str">
        <f aca="false">IF($D1103="","",Y1103-V1103)</f>
        <v/>
      </c>
      <c r="X1103" s="16" t="str">
        <f aca="false">IF($D1103="","",W1103-N1103)</f>
        <v/>
      </c>
      <c r="AB1103" s="17" t="str">
        <f aca="false">IF($D1103="","",IF(OR($R1103=TRUE(),$R1103="TRUE"),Settings!$C$6,Settings!$C$7)*100)</f>
        <v/>
      </c>
      <c r="AH1103" s="18" t="str">
        <f aca="false">IF($D1103="","",IF(COUNTIF($D$2:$D1103,$D1103)=1,1,0))</f>
        <v/>
      </c>
      <c r="AI1103" s="18" t="str">
        <f aca="false">IF($AH1103=1,SUMPRODUCT(--($AK$2:$AK$4001&lt;$AK1103))+1,"")</f>
        <v/>
      </c>
      <c r="AJ1103" s="18" t="str">
        <f aca="false">IF($D1103="","",IF(OR($R1103=TRUE(),$R1103="TRUE"),1,0))</f>
        <v/>
      </c>
      <c r="AK1103" s="18" t="str">
        <f aca="false">IF($AH1103=1,IFERROR(VALUE(MID($D1103,2,20)),1000000000)+ROW()/10000000,"")</f>
        <v/>
      </c>
    </row>
    <row r="1104" customFormat="false" ht="15" hidden="false" customHeight="false" outlineLevel="0" collapsed="false">
      <c r="F1104" s="15"/>
      <c r="N1104" s="16" t="str">
        <f aca="false">IF($D1104="","",M1104*Y1104/100)</f>
        <v/>
      </c>
      <c r="V1104" s="16" t="str">
        <f aca="false">IF($D1104="","",Y1104*AB1104/100)</f>
        <v/>
      </c>
      <c r="W1104" s="16" t="str">
        <f aca="false">IF($D1104="","",Y1104-V1104)</f>
        <v/>
      </c>
      <c r="X1104" s="16" t="str">
        <f aca="false">IF($D1104="","",W1104-N1104)</f>
        <v/>
      </c>
      <c r="AB1104" s="17" t="str">
        <f aca="false">IF($D1104="","",IF(OR($R1104=TRUE(),$R1104="TRUE"),Settings!$C$6,Settings!$C$7)*100)</f>
        <v/>
      </c>
      <c r="AH1104" s="18" t="str">
        <f aca="false">IF($D1104="","",IF(COUNTIF($D$2:$D1104,$D1104)=1,1,0))</f>
        <v/>
      </c>
      <c r="AI1104" s="18" t="str">
        <f aca="false">IF($AH1104=1,SUMPRODUCT(--($AK$2:$AK$4001&lt;$AK1104))+1,"")</f>
        <v/>
      </c>
      <c r="AJ1104" s="18" t="str">
        <f aca="false">IF($D1104="","",IF(OR($R1104=TRUE(),$R1104="TRUE"),1,0))</f>
        <v/>
      </c>
      <c r="AK1104" s="18" t="str">
        <f aca="false">IF($AH1104=1,IFERROR(VALUE(MID($D1104,2,20)),1000000000)+ROW()/10000000,"")</f>
        <v/>
      </c>
    </row>
    <row r="1105" customFormat="false" ht="15" hidden="false" customHeight="false" outlineLevel="0" collapsed="false">
      <c r="F1105" s="15"/>
      <c r="N1105" s="16" t="str">
        <f aca="false">IF($D1105="","",M1105*Y1105/100)</f>
        <v/>
      </c>
      <c r="V1105" s="16" t="str">
        <f aca="false">IF($D1105="","",Y1105*AB1105/100)</f>
        <v/>
      </c>
      <c r="W1105" s="16" t="str">
        <f aca="false">IF($D1105="","",Y1105-V1105)</f>
        <v/>
      </c>
      <c r="X1105" s="16" t="str">
        <f aca="false">IF($D1105="","",W1105-N1105)</f>
        <v/>
      </c>
      <c r="AB1105" s="17" t="str">
        <f aca="false">IF($D1105="","",IF(OR($R1105=TRUE(),$R1105="TRUE"),Settings!$C$6,Settings!$C$7)*100)</f>
        <v/>
      </c>
      <c r="AH1105" s="18" t="str">
        <f aca="false">IF($D1105="","",IF(COUNTIF($D$2:$D1105,$D1105)=1,1,0))</f>
        <v/>
      </c>
      <c r="AI1105" s="18" t="str">
        <f aca="false">IF($AH1105=1,SUMPRODUCT(--($AK$2:$AK$4001&lt;$AK1105))+1,"")</f>
        <v/>
      </c>
      <c r="AJ1105" s="18" t="str">
        <f aca="false">IF($D1105="","",IF(OR($R1105=TRUE(),$R1105="TRUE"),1,0))</f>
        <v/>
      </c>
      <c r="AK1105" s="18" t="str">
        <f aca="false">IF($AH1105=1,IFERROR(VALUE(MID($D1105,2,20)),1000000000)+ROW()/10000000,"")</f>
        <v/>
      </c>
    </row>
    <row r="1106" customFormat="false" ht="15" hidden="false" customHeight="false" outlineLevel="0" collapsed="false">
      <c r="F1106" s="15"/>
      <c r="N1106" s="16" t="str">
        <f aca="false">IF($D1106="","",M1106*Y1106/100)</f>
        <v/>
      </c>
      <c r="V1106" s="16" t="str">
        <f aca="false">IF($D1106="","",Y1106*AB1106/100)</f>
        <v/>
      </c>
      <c r="W1106" s="16" t="str">
        <f aca="false">IF($D1106="","",Y1106-V1106)</f>
        <v/>
      </c>
      <c r="X1106" s="16" t="str">
        <f aca="false">IF($D1106="","",W1106-N1106)</f>
        <v/>
      </c>
      <c r="AB1106" s="17" t="str">
        <f aca="false">IF($D1106="","",IF(OR($R1106=TRUE(),$R1106="TRUE"),Settings!$C$6,Settings!$C$7)*100)</f>
        <v/>
      </c>
      <c r="AH1106" s="18" t="str">
        <f aca="false">IF($D1106="","",IF(COUNTIF($D$2:$D1106,$D1106)=1,1,0))</f>
        <v/>
      </c>
      <c r="AI1106" s="18" t="str">
        <f aca="false">IF($AH1106=1,SUMPRODUCT(--($AK$2:$AK$4001&lt;$AK1106))+1,"")</f>
        <v/>
      </c>
      <c r="AJ1106" s="18" t="str">
        <f aca="false">IF($D1106="","",IF(OR($R1106=TRUE(),$R1106="TRUE"),1,0))</f>
        <v/>
      </c>
      <c r="AK1106" s="18" t="str">
        <f aca="false">IF($AH1106=1,IFERROR(VALUE(MID($D1106,2,20)),1000000000)+ROW()/10000000,"")</f>
        <v/>
      </c>
    </row>
    <row r="1107" customFormat="false" ht="15" hidden="false" customHeight="false" outlineLevel="0" collapsed="false">
      <c r="F1107" s="15"/>
      <c r="N1107" s="16" t="str">
        <f aca="false">IF($D1107="","",M1107*Y1107/100)</f>
        <v/>
      </c>
      <c r="V1107" s="16" t="str">
        <f aca="false">IF($D1107="","",Y1107*AB1107/100)</f>
        <v/>
      </c>
      <c r="W1107" s="16" t="str">
        <f aca="false">IF($D1107="","",Y1107-V1107)</f>
        <v/>
      </c>
      <c r="X1107" s="16" t="str">
        <f aca="false">IF($D1107="","",W1107-N1107)</f>
        <v/>
      </c>
      <c r="AB1107" s="17" t="str">
        <f aca="false">IF($D1107="","",IF(OR($R1107=TRUE(),$R1107="TRUE"),Settings!$C$6,Settings!$C$7)*100)</f>
        <v/>
      </c>
      <c r="AH1107" s="18" t="str">
        <f aca="false">IF($D1107="","",IF(COUNTIF($D$2:$D1107,$D1107)=1,1,0))</f>
        <v/>
      </c>
      <c r="AI1107" s="18" t="str">
        <f aca="false">IF($AH1107=1,SUMPRODUCT(--($AK$2:$AK$4001&lt;$AK1107))+1,"")</f>
        <v/>
      </c>
      <c r="AJ1107" s="18" t="str">
        <f aca="false">IF($D1107="","",IF(OR($R1107=TRUE(),$R1107="TRUE"),1,0))</f>
        <v/>
      </c>
      <c r="AK1107" s="18" t="str">
        <f aca="false">IF($AH1107=1,IFERROR(VALUE(MID($D1107,2,20)),1000000000)+ROW()/10000000,"")</f>
        <v/>
      </c>
    </row>
    <row r="1108" customFormat="false" ht="15" hidden="false" customHeight="false" outlineLevel="0" collapsed="false">
      <c r="F1108" s="15"/>
      <c r="N1108" s="16" t="str">
        <f aca="false">IF($D1108="","",M1108*Y1108/100)</f>
        <v/>
      </c>
      <c r="V1108" s="16" t="str">
        <f aca="false">IF($D1108="","",Y1108*AB1108/100)</f>
        <v/>
      </c>
      <c r="W1108" s="16" t="str">
        <f aca="false">IF($D1108="","",Y1108-V1108)</f>
        <v/>
      </c>
      <c r="X1108" s="16" t="str">
        <f aca="false">IF($D1108="","",W1108-N1108)</f>
        <v/>
      </c>
      <c r="AB1108" s="17" t="str">
        <f aca="false">IF($D1108="","",IF(OR($R1108=TRUE(),$R1108="TRUE"),Settings!$C$6,Settings!$C$7)*100)</f>
        <v/>
      </c>
      <c r="AH1108" s="18" t="str">
        <f aca="false">IF($D1108="","",IF(COUNTIF($D$2:$D1108,$D1108)=1,1,0))</f>
        <v/>
      </c>
      <c r="AI1108" s="18" t="str">
        <f aca="false">IF($AH1108=1,SUMPRODUCT(--($AK$2:$AK$4001&lt;$AK1108))+1,"")</f>
        <v/>
      </c>
      <c r="AJ1108" s="18" t="str">
        <f aca="false">IF($D1108="","",IF(OR($R1108=TRUE(),$R1108="TRUE"),1,0))</f>
        <v/>
      </c>
      <c r="AK1108" s="18" t="str">
        <f aca="false">IF($AH1108=1,IFERROR(VALUE(MID($D1108,2,20)),1000000000)+ROW()/10000000,"")</f>
        <v/>
      </c>
    </row>
    <row r="1109" customFormat="false" ht="15" hidden="false" customHeight="false" outlineLevel="0" collapsed="false">
      <c r="F1109" s="15"/>
      <c r="N1109" s="16" t="str">
        <f aca="false">IF($D1109="","",M1109*Y1109/100)</f>
        <v/>
      </c>
      <c r="V1109" s="16" t="str">
        <f aca="false">IF($D1109="","",Y1109*AB1109/100)</f>
        <v/>
      </c>
      <c r="W1109" s="16" t="str">
        <f aca="false">IF($D1109="","",Y1109-V1109)</f>
        <v/>
      </c>
      <c r="X1109" s="16" t="str">
        <f aca="false">IF($D1109="","",W1109-N1109)</f>
        <v/>
      </c>
      <c r="AB1109" s="17" t="str">
        <f aca="false">IF($D1109="","",IF(OR($R1109=TRUE(),$R1109="TRUE"),Settings!$C$6,Settings!$C$7)*100)</f>
        <v/>
      </c>
      <c r="AH1109" s="18" t="str">
        <f aca="false">IF($D1109="","",IF(COUNTIF($D$2:$D1109,$D1109)=1,1,0))</f>
        <v/>
      </c>
      <c r="AI1109" s="18" t="str">
        <f aca="false">IF($AH1109=1,SUMPRODUCT(--($AK$2:$AK$4001&lt;$AK1109))+1,"")</f>
        <v/>
      </c>
      <c r="AJ1109" s="18" t="str">
        <f aca="false">IF($D1109="","",IF(OR($R1109=TRUE(),$R1109="TRUE"),1,0))</f>
        <v/>
      </c>
      <c r="AK1109" s="18" t="str">
        <f aca="false">IF($AH1109=1,IFERROR(VALUE(MID($D1109,2,20)),1000000000)+ROW()/10000000,"")</f>
        <v/>
      </c>
    </row>
    <row r="1110" customFormat="false" ht="15" hidden="false" customHeight="false" outlineLevel="0" collapsed="false">
      <c r="F1110" s="15"/>
      <c r="N1110" s="16" t="str">
        <f aca="false">IF($D1110="","",M1110*Y1110/100)</f>
        <v/>
      </c>
      <c r="V1110" s="16" t="str">
        <f aca="false">IF($D1110="","",Y1110*AB1110/100)</f>
        <v/>
      </c>
      <c r="W1110" s="16" t="str">
        <f aca="false">IF($D1110="","",Y1110-V1110)</f>
        <v/>
      </c>
      <c r="X1110" s="16" t="str">
        <f aca="false">IF($D1110="","",W1110-N1110)</f>
        <v/>
      </c>
      <c r="AB1110" s="17" t="str">
        <f aca="false">IF($D1110="","",IF(OR($R1110=TRUE(),$R1110="TRUE"),Settings!$C$6,Settings!$C$7)*100)</f>
        <v/>
      </c>
      <c r="AH1110" s="18" t="str">
        <f aca="false">IF($D1110="","",IF(COUNTIF($D$2:$D1110,$D1110)=1,1,0))</f>
        <v/>
      </c>
      <c r="AI1110" s="18" t="str">
        <f aca="false">IF($AH1110=1,SUMPRODUCT(--($AK$2:$AK$4001&lt;$AK1110))+1,"")</f>
        <v/>
      </c>
      <c r="AJ1110" s="18" t="str">
        <f aca="false">IF($D1110="","",IF(OR($R1110=TRUE(),$R1110="TRUE"),1,0))</f>
        <v/>
      </c>
      <c r="AK1110" s="18" t="str">
        <f aca="false">IF($AH1110=1,IFERROR(VALUE(MID($D1110,2,20)),1000000000)+ROW()/10000000,"")</f>
        <v/>
      </c>
    </row>
    <row r="1111" customFormat="false" ht="15" hidden="false" customHeight="false" outlineLevel="0" collapsed="false">
      <c r="F1111" s="15"/>
      <c r="N1111" s="16" t="str">
        <f aca="false">IF($D1111="","",M1111*Y1111/100)</f>
        <v/>
      </c>
      <c r="V1111" s="16" t="str">
        <f aca="false">IF($D1111="","",Y1111*AB1111/100)</f>
        <v/>
      </c>
      <c r="W1111" s="16" t="str">
        <f aca="false">IF($D1111="","",Y1111-V1111)</f>
        <v/>
      </c>
      <c r="X1111" s="16" t="str">
        <f aca="false">IF($D1111="","",W1111-N1111)</f>
        <v/>
      </c>
      <c r="AB1111" s="17" t="str">
        <f aca="false">IF($D1111="","",IF(OR($R1111=TRUE(),$R1111="TRUE"),Settings!$C$6,Settings!$C$7)*100)</f>
        <v/>
      </c>
      <c r="AH1111" s="18" t="str">
        <f aca="false">IF($D1111="","",IF(COUNTIF($D$2:$D1111,$D1111)=1,1,0))</f>
        <v/>
      </c>
      <c r="AI1111" s="18" t="str">
        <f aca="false">IF($AH1111=1,SUMPRODUCT(--($AK$2:$AK$4001&lt;$AK1111))+1,"")</f>
        <v/>
      </c>
      <c r="AJ1111" s="18" t="str">
        <f aca="false">IF($D1111="","",IF(OR($R1111=TRUE(),$R1111="TRUE"),1,0))</f>
        <v/>
      </c>
      <c r="AK1111" s="18" t="str">
        <f aca="false">IF($AH1111=1,IFERROR(VALUE(MID($D1111,2,20)),1000000000)+ROW()/10000000,"")</f>
        <v/>
      </c>
    </row>
    <row r="1112" customFormat="false" ht="15" hidden="false" customHeight="false" outlineLevel="0" collapsed="false">
      <c r="F1112" s="15"/>
      <c r="N1112" s="16" t="str">
        <f aca="false">IF($D1112="","",M1112*Y1112/100)</f>
        <v/>
      </c>
      <c r="V1112" s="16" t="str">
        <f aca="false">IF($D1112="","",Y1112*AB1112/100)</f>
        <v/>
      </c>
      <c r="W1112" s="16" t="str">
        <f aca="false">IF($D1112="","",Y1112-V1112)</f>
        <v/>
      </c>
      <c r="X1112" s="16" t="str">
        <f aca="false">IF($D1112="","",W1112-N1112)</f>
        <v/>
      </c>
      <c r="AB1112" s="17" t="str">
        <f aca="false">IF($D1112="","",IF(OR($R1112=TRUE(),$R1112="TRUE"),Settings!$C$6,Settings!$C$7)*100)</f>
        <v/>
      </c>
      <c r="AH1112" s="18" t="str">
        <f aca="false">IF($D1112="","",IF(COUNTIF($D$2:$D1112,$D1112)=1,1,0))</f>
        <v/>
      </c>
      <c r="AI1112" s="18" t="str">
        <f aca="false">IF($AH1112=1,SUMPRODUCT(--($AK$2:$AK$4001&lt;$AK1112))+1,"")</f>
        <v/>
      </c>
      <c r="AJ1112" s="18" t="str">
        <f aca="false">IF($D1112="","",IF(OR($R1112=TRUE(),$R1112="TRUE"),1,0))</f>
        <v/>
      </c>
      <c r="AK1112" s="18" t="str">
        <f aca="false">IF($AH1112=1,IFERROR(VALUE(MID($D1112,2,20)),1000000000)+ROW()/10000000,"")</f>
        <v/>
      </c>
    </row>
    <row r="1113" customFormat="false" ht="15" hidden="false" customHeight="false" outlineLevel="0" collapsed="false">
      <c r="F1113" s="15"/>
      <c r="N1113" s="16" t="str">
        <f aca="false">IF($D1113="","",M1113*Y1113/100)</f>
        <v/>
      </c>
      <c r="V1113" s="16" t="str">
        <f aca="false">IF($D1113="","",Y1113*AB1113/100)</f>
        <v/>
      </c>
      <c r="W1113" s="16" t="str">
        <f aca="false">IF($D1113="","",Y1113-V1113)</f>
        <v/>
      </c>
      <c r="X1113" s="16" t="str">
        <f aca="false">IF($D1113="","",W1113-N1113)</f>
        <v/>
      </c>
      <c r="AB1113" s="17" t="str">
        <f aca="false">IF($D1113="","",IF(OR($R1113=TRUE(),$R1113="TRUE"),Settings!$C$6,Settings!$C$7)*100)</f>
        <v/>
      </c>
      <c r="AH1113" s="18" t="str">
        <f aca="false">IF($D1113="","",IF(COUNTIF($D$2:$D1113,$D1113)=1,1,0))</f>
        <v/>
      </c>
      <c r="AI1113" s="18" t="str">
        <f aca="false">IF($AH1113=1,SUMPRODUCT(--($AK$2:$AK$4001&lt;$AK1113))+1,"")</f>
        <v/>
      </c>
      <c r="AJ1113" s="18" t="str">
        <f aca="false">IF($D1113="","",IF(OR($R1113=TRUE(),$R1113="TRUE"),1,0))</f>
        <v/>
      </c>
      <c r="AK1113" s="18" t="str">
        <f aca="false">IF($AH1113=1,IFERROR(VALUE(MID($D1113,2,20)),1000000000)+ROW()/10000000,"")</f>
        <v/>
      </c>
    </row>
    <row r="1114" customFormat="false" ht="15" hidden="false" customHeight="false" outlineLevel="0" collapsed="false">
      <c r="F1114" s="15"/>
      <c r="N1114" s="16" t="str">
        <f aca="false">IF($D1114="","",M1114*Y1114/100)</f>
        <v/>
      </c>
      <c r="V1114" s="16" t="str">
        <f aca="false">IF($D1114="","",Y1114*AB1114/100)</f>
        <v/>
      </c>
      <c r="W1114" s="16" t="str">
        <f aca="false">IF($D1114="","",Y1114-V1114)</f>
        <v/>
      </c>
      <c r="X1114" s="16" t="str">
        <f aca="false">IF($D1114="","",W1114-N1114)</f>
        <v/>
      </c>
      <c r="AB1114" s="17" t="str">
        <f aca="false">IF($D1114="","",IF(OR($R1114=TRUE(),$R1114="TRUE"),Settings!$C$6,Settings!$C$7)*100)</f>
        <v/>
      </c>
      <c r="AH1114" s="18" t="str">
        <f aca="false">IF($D1114="","",IF(COUNTIF($D$2:$D1114,$D1114)=1,1,0))</f>
        <v/>
      </c>
      <c r="AI1114" s="18" t="str">
        <f aca="false">IF($AH1114=1,SUMPRODUCT(--($AK$2:$AK$4001&lt;$AK1114))+1,"")</f>
        <v/>
      </c>
      <c r="AJ1114" s="18" t="str">
        <f aca="false">IF($D1114="","",IF(OR($R1114=TRUE(),$R1114="TRUE"),1,0))</f>
        <v/>
      </c>
      <c r="AK1114" s="18" t="str">
        <f aca="false">IF($AH1114=1,IFERROR(VALUE(MID($D1114,2,20)),1000000000)+ROW()/10000000,"")</f>
        <v/>
      </c>
    </row>
    <row r="1115" customFormat="false" ht="15" hidden="false" customHeight="false" outlineLevel="0" collapsed="false">
      <c r="F1115" s="15"/>
      <c r="N1115" s="16" t="str">
        <f aca="false">IF($D1115="","",M1115*Y1115/100)</f>
        <v/>
      </c>
      <c r="V1115" s="16" t="str">
        <f aca="false">IF($D1115="","",Y1115*AB1115/100)</f>
        <v/>
      </c>
      <c r="W1115" s="16" t="str">
        <f aca="false">IF($D1115="","",Y1115-V1115)</f>
        <v/>
      </c>
      <c r="X1115" s="16" t="str">
        <f aca="false">IF($D1115="","",W1115-N1115)</f>
        <v/>
      </c>
      <c r="AB1115" s="17" t="str">
        <f aca="false">IF($D1115="","",IF(OR($R1115=TRUE(),$R1115="TRUE"),Settings!$C$6,Settings!$C$7)*100)</f>
        <v/>
      </c>
      <c r="AH1115" s="18" t="str">
        <f aca="false">IF($D1115="","",IF(COUNTIF($D$2:$D1115,$D1115)=1,1,0))</f>
        <v/>
      </c>
      <c r="AI1115" s="18" t="str">
        <f aca="false">IF($AH1115=1,SUMPRODUCT(--($AK$2:$AK$4001&lt;$AK1115))+1,"")</f>
        <v/>
      </c>
      <c r="AJ1115" s="18" t="str">
        <f aca="false">IF($D1115="","",IF(OR($R1115=TRUE(),$R1115="TRUE"),1,0))</f>
        <v/>
      </c>
      <c r="AK1115" s="18" t="str">
        <f aca="false">IF($AH1115=1,IFERROR(VALUE(MID($D1115,2,20)),1000000000)+ROW()/10000000,"")</f>
        <v/>
      </c>
    </row>
    <row r="1116" customFormat="false" ht="15" hidden="false" customHeight="false" outlineLevel="0" collapsed="false">
      <c r="F1116" s="15"/>
      <c r="N1116" s="16" t="str">
        <f aca="false">IF($D1116="","",M1116*Y1116/100)</f>
        <v/>
      </c>
      <c r="V1116" s="16" t="str">
        <f aca="false">IF($D1116="","",Y1116*AB1116/100)</f>
        <v/>
      </c>
      <c r="W1116" s="16" t="str">
        <f aca="false">IF($D1116="","",Y1116-V1116)</f>
        <v/>
      </c>
      <c r="X1116" s="16" t="str">
        <f aca="false">IF($D1116="","",W1116-N1116)</f>
        <v/>
      </c>
      <c r="AB1116" s="17" t="str">
        <f aca="false">IF($D1116="","",IF(OR($R1116=TRUE(),$R1116="TRUE"),Settings!$C$6,Settings!$C$7)*100)</f>
        <v/>
      </c>
      <c r="AH1116" s="18" t="str">
        <f aca="false">IF($D1116="","",IF(COUNTIF($D$2:$D1116,$D1116)=1,1,0))</f>
        <v/>
      </c>
      <c r="AI1116" s="18" t="str">
        <f aca="false">IF($AH1116=1,SUMPRODUCT(--($AK$2:$AK$4001&lt;$AK1116))+1,"")</f>
        <v/>
      </c>
      <c r="AJ1116" s="18" t="str">
        <f aca="false">IF($D1116="","",IF(OR($R1116=TRUE(),$R1116="TRUE"),1,0))</f>
        <v/>
      </c>
      <c r="AK1116" s="18" t="str">
        <f aca="false">IF($AH1116=1,IFERROR(VALUE(MID($D1116,2,20)),1000000000)+ROW()/10000000,"")</f>
        <v/>
      </c>
    </row>
    <row r="1117" customFormat="false" ht="15" hidden="false" customHeight="false" outlineLevel="0" collapsed="false">
      <c r="F1117" s="15"/>
      <c r="N1117" s="16" t="str">
        <f aca="false">IF($D1117="","",M1117*Y1117/100)</f>
        <v/>
      </c>
      <c r="V1117" s="16" t="str">
        <f aca="false">IF($D1117="","",Y1117*AB1117/100)</f>
        <v/>
      </c>
      <c r="W1117" s="16" t="str">
        <f aca="false">IF($D1117="","",Y1117-V1117)</f>
        <v/>
      </c>
      <c r="X1117" s="16" t="str">
        <f aca="false">IF($D1117="","",W1117-N1117)</f>
        <v/>
      </c>
      <c r="AB1117" s="17" t="str">
        <f aca="false">IF($D1117="","",IF(OR($R1117=TRUE(),$R1117="TRUE"),Settings!$C$6,Settings!$C$7)*100)</f>
        <v/>
      </c>
      <c r="AH1117" s="18" t="str">
        <f aca="false">IF($D1117="","",IF(COUNTIF($D$2:$D1117,$D1117)=1,1,0))</f>
        <v/>
      </c>
      <c r="AI1117" s="18" t="str">
        <f aca="false">IF($AH1117=1,SUMPRODUCT(--($AK$2:$AK$4001&lt;$AK1117))+1,"")</f>
        <v/>
      </c>
      <c r="AJ1117" s="18" t="str">
        <f aca="false">IF($D1117="","",IF(OR($R1117=TRUE(),$R1117="TRUE"),1,0))</f>
        <v/>
      </c>
      <c r="AK1117" s="18" t="str">
        <f aca="false">IF($AH1117=1,IFERROR(VALUE(MID($D1117,2,20)),1000000000)+ROW()/10000000,"")</f>
        <v/>
      </c>
    </row>
    <row r="1118" customFormat="false" ht="15" hidden="false" customHeight="false" outlineLevel="0" collapsed="false">
      <c r="F1118" s="15"/>
      <c r="N1118" s="16" t="str">
        <f aca="false">IF($D1118="","",M1118*Y1118/100)</f>
        <v/>
      </c>
      <c r="V1118" s="16" t="str">
        <f aca="false">IF($D1118="","",Y1118*AB1118/100)</f>
        <v/>
      </c>
      <c r="W1118" s="16" t="str">
        <f aca="false">IF($D1118="","",Y1118-V1118)</f>
        <v/>
      </c>
      <c r="X1118" s="16" t="str">
        <f aca="false">IF($D1118="","",W1118-N1118)</f>
        <v/>
      </c>
      <c r="AB1118" s="17" t="str">
        <f aca="false">IF($D1118="","",IF(OR($R1118=TRUE(),$R1118="TRUE"),Settings!$C$6,Settings!$C$7)*100)</f>
        <v/>
      </c>
      <c r="AH1118" s="18" t="str">
        <f aca="false">IF($D1118="","",IF(COUNTIF($D$2:$D1118,$D1118)=1,1,0))</f>
        <v/>
      </c>
      <c r="AI1118" s="18" t="str">
        <f aca="false">IF($AH1118=1,SUMPRODUCT(--($AK$2:$AK$4001&lt;$AK1118))+1,"")</f>
        <v/>
      </c>
      <c r="AJ1118" s="18" t="str">
        <f aca="false">IF($D1118="","",IF(OR($R1118=TRUE(),$R1118="TRUE"),1,0))</f>
        <v/>
      </c>
      <c r="AK1118" s="18" t="str">
        <f aca="false">IF($AH1118=1,IFERROR(VALUE(MID($D1118,2,20)),1000000000)+ROW()/10000000,"")</f>
        <v/>
      </c>
    </row>
    <row r="1119" customFormat="false" ht="15" hidden="false" customHeight="false" outlineLevel="0" collapsed="false">
      <c r="F1119" s="15"/>
      <c r="N1119" s="16" t="str">
        <f aca="false">IF($D1119="","",M1119*Y1119/100)</f>
        <v/>
      </c>
      <c r="V1119" s="16" t="str">
        <f aca="false">IF($D1119="","",Y1119*AB1119/100)</f>
        <v/>
      </c>
      <c r="W1119" s="16" t="str">
        <f aca="false">IF($D1119="","",Y1119-V1119)</f>
        <v/>
      </c>
      <c r="X1119" s="16" t="str">
        <f aca="false">IF($D1119="","",W1119-N1119)</f>
        <v/>
      </c>
      <c r="AB1119" s="17" t="str">
        <f aca="false">IF($D1119="","",IF(OR($R1119=TRUE(),$R1119="TRUE"),Settings!$C$6,Settings!$C$7)*100)</f>
        <v/>
      </c>
      <c r="AH1119" s="18" t="str">
        <f aca="false">IF($D1119="","",IF(COUNTIF($D$2:$D1119,$D1119)=1,1,0))</f>
        <v/>
      </c>
      <c r="AI1119" s="18" t="str">
        <f aca="false">IF($AH1119=1,SUMPRODUCT(--($AK$2:$AK$4001&lt;$AK1119))+1,"")</f>
        <v/>
      </c>
      <c r="AJ1119" s="18" t="str">
        <f aca="false">IF($D1119="","",IF(OR($R1119=TRUE(),$R1119="TRUE"),1,0))</f>
        <v/>
      </c>
      <c r="AK1119" s="18" t="str">
        <f aca="false">IF($AH1119=1,IFERROR(VALUE(MID($D1119,2,20)),1000000000)+ROW()/10000000,"")</f>
        <v/>
      </c>
    </row>
    <row r="1120" customFormat="false" ht="15" hidden="false" customHeight="false" outlineLevel="0" collapsed="false">
      <c r="F1120" s="15"/>
      <c r="N1120" s="16" t="str">
        <f aca="false">IF($D1120="","",M1120*Y1120/100)</f>
        <v/>
      </c>
      <c r="V1120" s="16" t="str">
        <f aca="false">IF($D1120="","",Y1120*AB1120/100)</f>
        <v/>
      </c>
      <c r="W1120" s="16" t="str">
        <f aca="false">IF($D1120="","",Y1120-V1120)</f>
        <v/>
      </c>
      <c r="X1120" s="16" t="str">
        <f aca="false">IF($D1120="","",W1120-N1120)</f>
        <v/>
      </c>
      <c r="AB1120" s="17" t="str">
        <f aca="false">IF($D1120="","",IF(OR($R1120=TRUE(),$R1120="TRUE"),Settings!$C$6,Settings!$C$7)*100)</f>
        <v/>
      </c>
      <c r="AH1120" s="18" t="str">
        <f aca="false">IF($D1120="","",IF(COUNTIF($D$2:$D1120,$D1120)=1,1,0))</f>
        <v/>
      </c>
      <c r="AI1120" s="18" t="str">
        <f aca="false">IF($AH1120=1,SUMPRODUCT(--($AK$2:$AK$4001&lt;$AK1120))+1,"")</f>
        <v/>
      </c>
      <c r="AJ1120" s="18" t="str">
        <f aca="false">IF($D1120="","",IF(OR($R1120=TRUE(),$R1120="TRUE"),1,0))</f>
        <v/>
      </c>
      <c r="AK1120" s="18" t="str">
        <f aca="false">IF($AH1120=1,IFERROR(VALUE(MID($D1120,2,20)),1000000000)+ROW()/10000000,"")</f>
        <v/>
      </c>
    </row>
    <row r="1121" customFormat="false" ht="15" hidden="false" customHeight="false" outlineLevel="0" collapsed="false">
      <c r="F1121" s="15"/>
      <c r="N1121" s="16" t="str">
        <f aca="false">IF($D1121="","",M1121*Y1121/100)</f>
        <v/>
      </c>
      <c r="V1121" s="16" t="str">
        <f aca="false">IF($D1121="","",Y1121*AB1121/100)</f>
        <v/>
      </c>
      <c r="W1121" s="16" t="str">
        <f aca="false">IF($D1121="","",Y1121-V1121)</f>
        <v/>
      </c>
      <c r="X1121" s="16" t="str">
        <f aca="false">IF($D1121="","",W1121-N1121)</f>
        <v/>
      </c>
      <c r="AB1121" s="17" t="str">
        <f aca="false">IF($D1121="","",IF(OR($R1121=TRUE(),$R1121="TRUE"),Settings!$C$6,Settings!$C$7)*100)</f>
        <v/>
      </c>
      <c r="AH1121" s="18" t="str">
        <f aca="false">IF($D1121="","",IF(COUNTIF($D$2:$D1121,$D1121)=1,1,0))</f>
        <v/>
      </c>
      <c r="AI1121" s="18" t="str">
        <f aca="false">IF($AH1121=1,SUMPRODUCT(--($AK$2:$AK$4001&lt;$AK1121))+1,"")</f>
        <v/>
      </c>
      <c r="AJ1121" s="18" t="str">
        <f aca="false">IF($D1121="","",IF(OR($R1121=TRUE(),$R1121="TRUE"),1,0))</f>
        <v/>
      </c>
      <c r="AK1121" s="18" t="str">
        <f aca="false">IF($AH1121=1,IFERROR(VALUE(MID($D1121,2,20)),1000000000)+ROW()/10000000,"")</f>
        <v/>
      </c>
    </row>
    <row r="1122" customFormat="false" ht="15" hidden="false" customHeight="false" outlineLevel="0" collapsed="false">
      <c r="F1122" s="15"/>
      <c r="N1122" s="16" t="str">
        <f aca="false">IF($D1122="","",M1122*Y1122/100)</f>
        <v/>
      </c>
      <c r="V1122" s="16" t="str">
        <f aca="false">IF($D1122="","",Y1122*AB1122/100)</f>
        <v/>
      </c>
      <c r="W1122" s="16" t="str">
        <f aca="false">IF($D1122="","",Y1122-V1122)</f>
        <v/>
      </c>
      <c r="X1122" s="16" t="str">
        <f aca="false">IF($D1122="","",W1122-N1122)</f>
        <v/>
      </c>
      <c r="AB1122" s="17" t="str">
        <f aca="false">IF($D1122="","",IF(OR($R1122=TRUE(),$R1122="TRUE"),Settings!$C$6,Settings!$C$7)*100)</f>
        <v/>
      </c>
      <c r="AH1122" s="18" t="str">
        <f aca="false">IF($D1122="","",IF(COUNTIF($D$2:$D1122,$D1122)=1,1,0))</f>
        <v/>
      </c>
      <c r="AI1122" s="18" t="str">
        <f aca="false">IF($AH1122=1,SUMPRODUCT(--($AK$2:$AK$4001&lt;$AK1122))+1,"")</f>
        <v/>
      </c>
      <c r="AJ1122" s="18" t="str">
        <f aca="false">IF($D1122="","",IF(OR($R1122=TRUE(),$R1122="TRUE"),1,0))</f>
        <v/>
      </c>
      <c r="AK1122" s="18" t="str">
        <f aca="false">IF($AH1122=1,IFERROR(VALUE(MID($D1122,2,20)),1000000000)+ROW()/10000000,"")</f>
        <v/>
      </c>
    </row>
    <row r="1123" customFormat="false" ht="15" hidden="false" customHeight="false" outlineLevel="0" collapsed="false">
      <c r="F1123" s="15"/>
      <c r="N1123" s="16" t="str">
        <f aca="false">IF($D1123="","",M1123*Y1123/100)</f>
        <v/>
      </c>
      <c r="V1123" s="16" t="str">
        <f aca="false">IF($D1123="","",Y1123*AB1123/100)</f>
        <v/>
      </c>
      <c r="W1123" s="16" t="str">
        <f aca="false">IF($D1123="","",Y1123-V1123)</f>
        <v/>
      </c>
      <c r="X1123" s="16" t="str">
        <f aca="false">IF($D1123="","",W1123-N1123)</f>
        <v/>
      </c>
      <c r="AB1123" s="17" t="str">
        <f aca="false">IF($D1123="","",IF(OR($R1123=TRUE(),$R1123="TRUE"),Settings!$C$6,Settings!$C$7)*100)</f>
        <v/>
      </c>
      <c r="AH1123" s="18" t="str">
        <f aca="false">IF($D1123="","",IF(COUNTIF($D$2:$D1123,$D1123)=1,1,0))</f>
        <v/>
      </c>
      <c r="AI1123" s="18" t="str">
        <f aca="false">IF($AH1123=1,SUMPRODUCT(--($AK$2:$AK$4001&lt;$AK1123))+1,"")</f>
        <v/>
      </c>
      <c r="AJ1123" s="18" t="str">
        <f aca="false">IF($D1123="","",IF(OR($R1123=TRUE(),$R1123="TRUE"),1,0))</f>
        <v/>
      </c>
      <c r="AK1123" s="18" t="str">
        <f aca="false">IF($AH1123=1,IFERROR(VALUE(MID($D1123,2,20)),1000000000)+ROW()/10000000,"")</f>
        <v/>
      </c>
    </row>
    <row r="1124" customFormat="false" ht="15" hidden="false" customHeight="false" outlineLevel="0" collapsed="false">
      <c r="F1124" s="15"/>
      <c r="N1124" s="16" t="str">
        <f aca="false">IF($D1124="","",M1124*Y1124/100)</f>
        <v/>
      </c>
      <c r="V1124" s="16" t="str">
        <f aca="false">IF($D1124="","",Y1124*AB1124/100)</f>
        <v/>
      </c>
      <c r="W1124" s="16" t="str">
        <f aca="false">IF($D1124="","",Y1124-V1124)</f>
        <v/>
      </c>
      <c r="X1124" s="16" t="str">
        <f aca="false">IF($D1124="","",W1124-N1124)</f>
        <v/>
      </c>
      <c r="AB1124" s="17" t="str">
        <f aca="false">IF($D1124="","",IF(OR($R1124=TRUE(),$R1124="TRUE"),Settings!$C$6,Settings!$C$7)*100)</f>
        <v/>
      </c>
      <c r="AH1124" s="18" t="str">
        <f aca="false">IF($D1124="","",IF(COUNTIF($D$2:$D1124,$D1124)=1,1,0))</f>
        <v/>
      </c>
      <c r="AI1124" s="18" t="str">
        <f aca="false">IF($AH1124=1,SUMPRODUCT(--($AK$2:$AK$4001&lt;$AK1124))+1,"")</f>
        <v/>
      </c>
      <c r="AJ1124" s="18" t="str">
        <f aca="false">IF($D1124="","",IF(OR($R1124=TRUE(),$R1124="TRUE"),1,0))</f>
        <v/>
      </c>
      <c r="AK1124" s="18" t="str">
        <f aca="false">IF($AH1124=1,IFERROR(VALUE(MID($D1124,2,20)),1000000000)+ROW()/10000000,"")</f>
        <v/>
      </c>
    </row>
    <row r="1125" customFormat="false" ht="15" hidden="false" customHeight="false" outlineLevel="0" collapsed="false">
      <c r="F1125" s="15"/>
      <c r="N1125" s="16" t="str">
        <f aca="false">IF($D1125="","",M1125*Y1125/100)</f>
        <v/>
      </c>
      <c r="V1125" s="16" t="str">
        <f aca="false">IF($D1125="","",Y1125*AB1125/100)</f>
        <v/>
      </c>
      <c r="W1125" s="16" t="str">
        <f aca="false">IF($D1125="","",Y1125-V1125)</f>
        <v/>
      </c>
      <c r="X1125" s="16" t="str">
        <f aca="false">IF($D1125="","",W1125-N1125)</f>
        <v/>
      </c>
      <c r="AB1125" s="17" t="str">
        <f aca="false">IF($D1125="","",IF(OR($R1125=TRUE(),$R1125="TRUE"),Settings!$C$6,Settings!$C$7)*100)</f>
        <v/>
      </c>
      <c r="AH1125" s="18" t="str">
        <f aca="false">IF($D1125="","",IF(COUNTIF($D$2:$D1125,$D1125)=1,1,0))</f>
        <v/>
      </c>
      <c r="AI1125" s="18" t="str">
        <f aca="false">IF($AH1125=1,SUMPRODUCT(--($AK$2:$AK$4001&lt;$AK1125))+1,"")</f>
        <v/>
      </c>
      <c r="AJ1125" s="18" t="str">
        <f aca="false">IF($D1125="","",IF(OR($R1125=TRUE(),$R1125="TRUE"),1,0))</f>
        <v/>
      </c>
      <c r="AK1125" s="18" t="str">
        <f aca="false">IF($AH1125=1,IFERROR(VALUE(MID($D1125,2,20)),1000000000)+ROW()/10000000,"")</f>
        <v/>
      </c>
    </row>
    <row r="1126" customFormat="false" ht="15" hidden="false" customHeight="false" outlineLevel="0" collapsed="false">
      <c r="F1126" s="15"/>
      <c r="N1126" s="16" t="str">
        <f aca="false">IF($D1126="","",M1126*Y1126/100)</f>
        <v/>
      </c>
      <c r="V1126" s="16" t="str">
        <f aca="false">IF($D1126="","",Y1126*AB1126/100)</f>
        <v/>
      </c>
      <c r="W1126" s="16" t="str">
        <f aca="false">IF($D1126="","",Y1126-V1126)</f>
        <v/>
      </c>
      <c r="X1126" s="16" t="str">
        <f aca="false">IF($D1126="","",W1126-N1126)</f>
        <v/>
      </c>
      <c r="AB1126" s="17" t="str">
        <f aca="false">IF($D1126="","",IF(OR($R1126=TRUE(),$R1126="TRUE"),Settings!$C$6,Settings!$C$7)*100)</f>
        <v/>
      </c>
      <c r="AH1126" s="18" t="str">
        <f aca="false">IF($D1126="","",IF(COUNTIF($D$2:$D1126,$D1126)=1,1,0))</f>
        <v/>
      </c>
      <c r="AI1126" s="18" t="str">
        <f aca="false">IF($AH1126=1,SUMPRODUCT(--($AK$2:$AK$4001&lt;$AK1126))+1,"")</f>
        <v/>
      </c>
      <c r="AJ1126" s="18" t="str">
        <f aca="false">IF($D1126="","",IF(OR($R1126=TRUE(),$R1126="TRUE"),1,0))</f>
        <v/>
      </c>
      <c r="AK1126" s="18" t="str">
        <f aca="false">IF($AH1126=1,IFERROR(VALUE(MID($D1126,2,20)),1000000000)+ROW()/10000000,"")</f>
        <v/>
      </c>
    </row>
    <row r="1127" customFormat="false" ht="15" hidden="false" customHeight="false" outlineLevel="0" collapsed="false">
      <c r="F1127" s="15"/>
      <c r="N1127" s="16" t="str">
        <f aca="false">IF($D1127="","",M1127*Y1127/100)</f>
        <v/>
      </c>
      <c r="V1127" s="16" t="str">
        <f aca="false">IF($D1127="","",Y1127*AB1127/100)</f>
        <v/>
      </c>
      <c r="W1127" s="16" t="str">
        <f aca="false">IF($D1127="","",Y1127-V1127)</f>
        <v/>
      </c>
      <c r="X1127" s="16" t="str">
        <f aca="false">IF($D1127="","",W1127-N1127)</f>
        <v/>
      </c>
      <c r="AB1127" s="17" t="str">
        <f aca="false">IF($D1127="","",IF(OR($R1127=TRUE(),$R1127="TRUE"),Settings!$C$6,Settings!$C$7)*100)</f>
        <v/>
      </c>
      <c r="AH1127" s="18" t="str">
        <f aca="false">IF($D1127="","",IF(COUNTIF($D$2:$D1127,$D1127)=1,1,0))</f>
        <v/>
      </c>
      <c r="AI1127" s="18" t="str">
        <f aca="false">IF($AH1127=1,SUMPRODUCT(--($AK$2:$AK$4001&lt;$AK1127))+1,"")</f>
        <v/>
      </c>
      <c r="AJ1127" s="18" t="str">
        <f aca="false">IF($D1127="","",IF(OR($R1127=TRUE(),$R1127="TRUE"),1,0))</f>
        <v/>
      </c>
      <c r="AK1127" s="18" t="str">
        <f aca="false">IF($AH1127=1,IFERROR(VALUE(MID($D1127,2,20)),1000000000)+ROW()/10000000,"")</f>
        <v/>
      </c>
    </row>
    <row r="1128" customFormat="false" ht="15" hidden="false" customHeight="false" outlineLevel="0" collapsed="false">
      <c r="F1128" s="15"/>
      <c r="N1128" s="16" t="str">
        <f aca="false">IF($D1128="","",M1128*Y1128/100)</f>
        <v/>
      </c>
      <c r="V1128" s="16" t="str">
        <f aca="false">IF($D1128="","",Y1128*AB1128/100)</f>
        <v/>
      </c>
      <c r="W1128" s="16" t="str">
        <f aca="false">IF($D1128="","",Y1128-V1128)</f>
        <v/>
      </c>
      <c r="X1128" s="16" t="str">
        <f aca="false">IF($D1128="","",W1128-N1128)</f>
        <v/>
      </c>
      <c r="AB1128" s="17" t="str">
        <f aca="false">IF($D1128="","",IF(OR($R1128=TRUE(),$R1128="TRUE"),Settings!$C$6,Settings!$C$7)*100)</f>
        <v/>
      </c>
      <c r="AH1128" s="18" t="str">
        <f aca="false">IF($D1128="","",IF(COUNTIF($D$2:$D1128,$D1128)=1,1,0))</f>
        <v/>
      </c>
      <c r="AI1128" s="18" t="str">
        <f aca="false">IF($AH1128=1,SUMPRODUCT(--($AK$2:$AK$4001&lt;$AK1128))+1,"")</f>
        <v/>
      </c>
      <c r="AJ1128" s="18" t="str">
        <f aca="false">IF($D1128="","",IF(OR($R1128=TRUE(),$R1128="TRUE"),1,0))</f>
        <v/>
      </c>
      <c r="AK1128" s="18" t="str">
        <f aca="false">IF($AH1128=1,IFERROR(VALUE(MID($D1128,2,20)),1000000000)+ROW()/10000000,"")</f>
        <v/>
      </c>
    </row>
    <row r="1129" customFormat="false" ht="15" hidden="false" customHeight="false" outlineLevel="0" collapsed="false">
      <c r="F1129" s="15"/>
      <c r="N1129" s="16" t="str">
        <f aca="false">IF($D1129="","",M1129*Y1129/100)</f>
        <v/>
      </c>
      <c r="V1129" s="16" t="str">
        <f aca="false">IF($D1129="","",Y1129*AB1129/100)</f>
        <v/>
      </c>
      <c r="W1129" s="16" t="str">
        <f aca="false">IF($D1129="","",Y1129-V1129)</f>
        <v/>
      </c>
      <c r="X1129" s="16" t="str">
        <f aca="false">IF($D1129="","",W1129-N1129)</f>
        <v/>
      </c>
      <c r="AB1129" s="17" t="str">
        <f aca="false">IF($D1129="","",IF(OR($R1129=TRUE(),$R1129="TRUE"),Settings!$C$6,Settings!$C$7)*100)</f>
        <v/>
      </c>
      <c r="AH1129" s="18" t="str">
        <f aca="false">IF($D1129="","",IF(COUNTIF($D$2:$D1129,$D1129)=1,1,0))</f>
        <v/>
      </c>
      <c r="AI1129" s="18" t="str">
        <f aca="false">IF($AH1129=1,SUMPRODUCT(--($AK$2:$AK$4001&lt;$AK1129))+1,"")</f>
        <v/>
      </c>
      <c r="AJ1129" s="18" t="str">
        <f aca="false">IF($D1129="","",IF(OR($R1129=TRUE(),$R1129="TRUE"),1,0))</f>
        <v/>
      </c>
      <c r="AK1129" s="18" t="str">
        <f aca="false">IF($AH1129=1,IFERROR(VALUE(MID($D1129,2,20)),1000000000)+ROW()/10000000,"")</f>
        <v/>
      </c>
    </row>
    <row r="1130" customFormat="false" ht="15" hidden="false" customHeight="false" outlineLevel="0" collapsed="false">
      <c r="F1130" s="15"/>
      <c r="N1130" s="16" t="str">
        <f aca="false">IF($D1130="","",M1130*Y1130/100)</f>
        <v/>
      </c>
      <c r="V1130" s="16" t="str">
        <f aca="false">IF($D1130="","",Y1130*AB1130/100)</f>
        <v/>
      </c>
      <c r="W1130" s="16" t="str">
        <f aca="false">IF($D1130="","",Y1130-V1130)</f>
        <v/>
      </c>
      <c r="X1130" s="16" t="str">
        <f aca="false">IF($D1130="","",W1130-N1130)</f>
        <v/>
      </c>
      <c r="AB1130" s="17" t="str">
        <f aca="false">IF($D1130="","",IF(OR($R1130=TRUE(),$R1130="TRUE"),Settings!$C$6,Settings!$C$7)*100)</f>
        <v/>
      </c>
      <c r="AH1130" s="18" t="str">
        <f aca="false">IF($D1130="","",IF(COUNTIF($D$2:$D1130,$D1130)=1,1,0))</f>
        <v/>
      </c>
      <c r="AI1130" s="18" t="str">
        <f aca="false">IF($AH1130=1,SUMPRODUCT(--($AK$2:$AK$4001&lt;$AK1130))+1,"")</f>
        <v/>
      </c>
      <c r="AJ1130" s="18" t="str">
        <f aca="false">IF($D1130="","",IF(OR($R1130=TRUE(),$R1130="TRUE"),1,0))</f>
        <v/>
      </c>
      <c r="AK1130" s="18" t="str">
        <f aca="false">IF($AH1130=1,IFERROR(VALUE(MID($D1130,2,20)),1000000000)+ROW()/10000000,"")</f>
        <v/>
      </c>
    </row>
    <row r="1131" customFormat="false" ht="15" hidden="false" customHeight="false" outlineLevel="0" collapsed="false">
      <c r="F1131" s="15"/>
      <c r="N1131" s="16" t="str">
        <f aca="false">IF($D1131="","",M1131*Y1131/100)</f>
        <v/>
      </c>
      <c r="V1131" s="16" t="str">
        <f aca="false">IF($D1131="","",Y1131*AB1131/100)</f>
        <v/>
      </c>
      <c r="W1131" s="16" t="str">
        <f aca="false">IF($D1131="","",Y1131-V1131)</f>
        <v/>
      </c>
      <c r="X1131" s="16" t="str">
        <f aca="false">IF($D1131="","",W1131-N1131)</f>
        <v/>
      </c>
      <c r="AB1131" s="17" t="str">
        <f aca="false">IF($D1131="","",IF(OR($R1131=TRUE(),$R1131="TRUE"),Settings!$C$6,Settings!$C$7)*100)</f>
        <v/>
      </c>
      <c r="AH1131" s="18" t="str">
        <f aca="false">IF($D1131="","",IF(COUNTIF($D$2:$D1131,$D1131)=1,1,0))</f>
        <v/>
      </c>
      <c r="AI1131" s="18" t="str">
        <f aca="false">IF($AH1131=1,SUMPRODUCT(--($AK$2:$AK$4001&lt;$AK1131))+1,"")</f>
        <v/>
      </c>
      <c r="AJ1131" s="18" t="str">
        <f aca="false">IF($D1131="","",IF(OR($R1131=TRUE(),$R1131="TRUE"),1,0))</f>
        <v/>
      </c>
      <c r="AK1131" s="18" t="str">
        <f aca="false">IF($AH1131=1,IFERROR(VALUE(MID($D1131,2,20)),1000000000)+ROW()/10000000,"")</f>
        <v/>
      </c>
    </row>
    <row r="1132" customFormat="false" ht="15" hidden="false" customHeight="false" outlineLevel="0" collapsed="false">
      <c r="F1132" s="15"/>
      <c r="N1132" s="16" t="str">
        <f aca="false">IF($D1132="","",M1132*Y1132/100)</f>
        <v/>
      </c>
      <c r="V1132" s="16" t="str">
        <f aca="false">IF($D1132="","",Y1132*AB1132/100)</f>
        <v/>
      </c>
      <c r="W1132" s="16" t="str">
        <f aca="false">IF($D1132="","",Y1132-V1132)</f>
        <v/>
      </c>
      <c r="X1132" s="16" t="str">
        <f aca="false">IF($D1132="","",W1132-N1132)</f>
        <v/>
      </c>
      <c r="AB1132" s="17" t="str">
        <f aca="false">IF($D1132="","",IF(OR($R1132=TRUE(),$R1132="TRUE"),Settings!$C$6,Settings!$C$7)*100)</f>
        <v/>
      </c>
      <c r="AH1132" s="18" t="str">
        <f aca="false">IF($D1132="","",IF(COUNTIF($D$2:$D1132,$D1132)=1,1,0))</f>
        <v/>
      </c>
      <c r="AI1132" s="18" t="str">
        <f aca="false">IF($AH1132=1,SUMPRODUCT(--($AK$2:$AK$4001&lt;$AK1132))+1,"")</f>
        <v/>
      </c>
      <c r="AJ1132" s="18" t="str">
        <f aca="false">IF($D1132="","",IF(OR($R1132=TRUE(),$R1132="TRUE"),1,0))</f>
        <v/>
      </c>
      <c r="AK1132" s="18" t="str">
        <f aca="false">IF($AH1132=1,IFERROR(VALUE(MID($D1132,2,20)),1000000000)+ROW()/10000000,"")</f>
        <v/>
      </c>
    </row>
    <row r="1133" customFormat="false" ht="15" hidden="false" customHeight="false" outlineLevel="0" collapsed="false">
      <c r="F1133" s="15"/>
      <c r="N1133" s="16" t="str">
        <f aca="false">IF($D1133="","",M1133*Y1133/100)</f>
        <v/>
      </c>
      <c r="V1133" s="16" t="str">
        <f aca="false">IF($D1133="","",Y1133*AB1133/100)</f>
        <v/>
      </c>
      <c r="W1133" s="16" t="str">
        <f aca="false">IF($D1133="","",Y1133-V1133)</f>
        <v/>
      </c>
      <c r="X1133" s="16" t="str">
        <f aca="false">IF($D1133="","",W1133-N1133)</f>
        <v/>
      </c>
      <c r="AB1133" s="17" t="str">
        <f aca="false">IF($D1133="","",IF(OR($R1133=TRUE(),$R1133="TRUE"),Settings!$C$6,Settings!$C$7)*100)</f>
        <v/>
      </c>
      <c r="AH1133" s="18" t="str">
        <f aca="false">IF($D1133="","",IF(COUNTIF($D$2:$D1133,$D1133)=1,1,0))</f>
        <v/>
      </c>
      <c r="AI1133" s="18" t="str">
        <f aca="false">IF($AH1133=1,SUMPRODUCT(--($AK$2:$AK$4001&lt;$AK1133))+1,"")</f>
        <v/>
      </c>
      <c r="AJ1133" s="18" t="str">
        <f aca="false">IF($D1133="","",IF(OR($R1133=TRUE(),$R1133="TRUE"),1,0))</f>
        <v/>
      </c>
      <c r="AK1133" s="18" t="str">
        <f aca="false">IF($AH1133=1,IFERROR(VALUE(MID($D1133,2,20)),1000000000)+ROW()/10000000,"")</f>
        <v/>
      </c>
    </row>
    <row r="1134" customFormat="false" ht="15" hidden="false" customHeight="false" outlineLevel="0" collapsed="false">
      <c r="F1134" s="15"/>
      <c r="N1134" s="16" t="str">
        <f aca="false">IF($D1134="","",M1134*Y1134/100)</f>
        <v/>
      </c>
      <c r="V1134" s="16" t="str">
        <f aca="false">IF($D1134="","",Y1134*AB1134/100)</f>
        <v/>
      </c>
      <c r="W1134" s="16" t="str">
        <f aca="false">IF($D1134="","",Y1134-V1134)</f>
        <v/>
      </c>
      <c r="X1134" s="16" t="str">
        <f aca="false">IF($D1134="","",W1134-N1134)</f>
        <v/>
      </c>
      <c r="AB1134" s="17" t="str">
        <f aca="false">IF($D1134="","",IF(OR($R1134=TRUE(),$R1134="TRUE"),Settings!$C$6,Settings!$C$7)*100)</f>
        <v/>
      </c>
      <c r="AH1134" s="18" t="str">
        <f aca="false">IF($D1134="","",IF(COUNTIF($D$2:$D1134,$D1134)=1,1,0))</f>
        <v/>
      </c>
      <c r="AI1134" s="18" t="str">
        <f aca="false">IF($AH1134=1,SUMPRODUCT(--($AK$2:$AK$4001&lt;$AK1134))+1,"")</f>
        <v/>
      </c>
      <c r="AJ1134" s="18" t="str">
        <f aca="false">IF($D1134="","",IF(OR($R1134=TRUE(),$R1134="TRUE"),1,0))</f>
        <v/>
      </c>
      <c r="AK1134" s="18" t="str">
        <f aca="false">IF($AH1134=1,IFERROR(VALUE(MID($D1134,2,20)),1000000000)+ROW()/10000000,"")</f>
        <v/>
      </c>
    </row>
    <row r="1135" customFormat="false" ht="15" hidden="false" customHeight="false" outlineLevel="0" collapsed="false">
      <c r="F1135" s="15"/>
      <c r="N1135" s="16" t="str">
        <f aca="false">IF($D1135="","",M1135*Y1135/100)</f>
        <v/>
      </c>
      <c r="V1135" s="16" t="str">
        <f aca="false">IF($D1135="","",Y1135*AB1135/100)</f>
        <v/>
      </c>
      <c r="W1135" s="16" t="str">
        <f aca="false">IF($D1135="","",Y1135-V1135)</f>
        <v/>
      </c>
      <c r="X1135" s="16" t="str">
        <f aca="false">IF($D1135="","",W1135-N1135)</f>
        <v/>
      </c>
      <c r="AB1135" s="17" t="str">
        <f aca="false">IF($D1135="","",IF(OR($R1135=TRUE(),$R1135="TRUE"),Settings!$C$6,Settings!$C$7)*100)</f>
        <v/>
      </c>
      <c r="AH1135" s="18" t="str">
        <f aca="false">IF($D1135="","",IF(COUNTIF($D$2:$D1135,$D1135)=1,1,0))</f>
        <v/>
      </c>
      <c r="AI1135" s="18" t="str">
        <f aca="false">IF($AH1135=1,SUMPRODUCT(--($AK$2:$AK$4001&lt;$AK1135))+1,"")</f>
        <v/>
      </c>
      <c r="AJ1135" s="18" t="str">
        <f aca="false">IF($D1135="","",IF(OR($R1135=TRUE(),$R1135="TRUE"),1,0))</f>
        <v/>
      </c>
      <c r="AK1135" s="18" t="str">
        <f aca="false">IF($AH1135=1,IFERROR(VALUE(MID($D1135,2,20)),1000000000)+ROW()/10000000,"")</f>
        <v/>
      </c>
    </row>
    <row r="1136" customFormat="false" ht="15" hidden="false" customHeight="false" outlineLevel="0" collapsed="false">
      <c r="F1136" s="15"/>
      <c r="N1136" s="16" t="str">
        <f aca="false">IF($D1136="","",M1136*Y1136/100)</f>
        <v/>
      </c>
      <c r="V1136" s="16" t="str">
        <f aca="false">IF($D1136="","",Y1136*AB1136/100)</f>
        <v/>
      </c>
      <c r="W1136" s="16" t="str">
        <f aca="false">IF($D1136="","",Y1136-V1136)</f>
        <v/>
      </c>
      <c r="X1136" s="16" t="str">
        <f aca="false">IF($D1136="","",W1136-N1136)</f>
        <v/>
      </c>
      <c r="AB1136" s="17" t="str">
        <f aca="false">IF($D1136="","",IF(OR($R1136=TRUE(),$R1136="TRUE"),Settings!$C$6,Settings!$C$7)*100)</f>
        <v/>
      </c>
      <c r="AH1136" s="18" t="str">
        <f aca="false">IF($D1136="","",IF(COUNTIF($D$2:$D1136,$D1136)=1,1,0))</f>
        <v/>
      </c>
      <c r="AI1136" s="18" t="str">
        <f aca="false">IF($AH1136=1,SUMPRODUCT(--($AK$2:$AK$4001&lt;$AK1136))+1,"")</f>
        <v/>
      </c>
      <c r="AJ1136" s="18" t="str">
        <f aca="false">IF($D1136="","",IF(OR($R1136=TRUE(),$R1136="TRUE"),1,0))</f>
        <v/>
      </c>
      <c r="AK1136" s="18" t="str">
        <f aca="false">IF($AH1136=1,IFERROR(VALUE(MID($D1136,2,20)),1000000000)+ROW()/10000000,"")</f>
        <v/>
      </c>
    </row>
    <row r="1137" customFormat="false" ht="15" hidden="false" customHeight="false" outlineLevel="0" collapsed="false">
      <c r="F1137" s="15"/>
      <c r="N1137" s="16" t="str">
        <f aca="false">IF($D1137="","",M1137*Y1137/100)</f>
        <v/>
      </c>
      <c r="V1137" s="16" t="str">
        <f aca="false">IF($D1137="","",Y1137*AB1137/100)</f>
        <v/>
      </c>
      <c r="W1137" s="16" t="str">
        <f aca="false">IF($D1137="","",Y1137-V1137)</f>
        <v/>
      </c>
      <c r="X1137" s="16" t="str">
        <f aca="false">IF($D1137="","",W1137-N1137)</f>
        <v/>
      </c>
      <c r="AB1137" s="17" t="str">
        <f aca="false">IF($D1137="","",IF(OR($R1137=TRUE(),$R1137="TRUE"),Settings!$C$6,Settings!$C$7)*100)</f>
        <v/>
      </c>
      <c r="AH1137" s="18" t="str">
        <f aca="false">IF($D1137="","",IF(COUNTIF($D$2:$D1137,$D1137)=1,1,0))</f>
        <v/>
      </c>
      <c r="AI1137" s="18" t="str">
        <f aca="false">IF($AH1137=1,SUMPRODUCT(--($AK$2:$AK$4001&lt;$AK1137))+1,"")</f>
        <v/>
      </c>
      <c r="AJ1137" s="18" t="str">
        <f aca="false">IF($D1137="","",IF(OR($R1137=TRUE(),$R1137="TRUE"),1,0))</f>
        <v/>
      </c>
      <c r="AK1137" s="18" t="str">
        <f aca="false">IF($AH1137=1,IFERROR(VALUE(MID($D1137,2,20)),1000000000)+ROW()/10000000,"")</f>
        <v/>
      </c>
    </row>
    <row r="1138" customFormat="false" ht="15" hidden="false" customHeight="false" outlineLevel="0" collapsed="false">
      <c r="F1138" s="15"/>
      <c r="N1138" s="16" t="str">
        <f aca="false">IF($D1138="","",M1138*Y1138/100)</f>
        <v/>
      </c>
      <c r="V1138" s="16" t="str">
        <f aca="false">IF($D1138="","",Y1138*AB1138/100)</f>
        <v/>
      </c>
      <c r="W1138" s="16" t="str">
        <f aca="false">IF($D1138="","",Y1138-V1138)</f>
        <v/>
      </c>
      <c r="X1138" s="16" t="str">
        <f aca="false">IF($D1138="","",W1138-N1138)</f>
        <v/>
      </c>
      <c r="AB1138" s="17" t="str">
        <f aca="false">IF($D1138="","",IF(OR($R1138=TRUE(),$R1138="TRUE"),Settings!$C$6,Settings!$C$7)*100)</f>
        <v/>
      </c>
      <c r="AH1138" s="18" t="str">
        <f aca="false">IF($D1138="","",IF(COUNTIF($D$2:$D1138,$D1138)=1,1,0))</f>
        <v/>
      </c>
      <c r="AI1138" s="18" t="str">
        <f aca="false">IF($AH1138=1,SUMPRODUCT(--($AK$2:$AK$4001&lt;$AK1138))+1,"")</f>
        <v/>
      </c>
      <c r="AJ1138" s="18" t="str">
        <f aca="false">IF($D1138="","",IF(OR($R1138=TRUE(),$R1138="TRUE"),1,0))</f>
        <v/>
      </c>
      <c r="AK1138" s="18" t="str">
        <f aca="false">IF($AH1138=1,IFERROR(VALUE(MID($D1138,2,20)),1000000000)+ROW()/10000000,"")</f>
        <v/>
      </c>
    </row>
    <row r="1139" customFormat="false" ht="15" hidden="false" customHeight="false" outlineLevel="0" collapsed="false">
      <c r="F1139" s="15"/>
      <c r="N1139" s="16" t="str">
        <f aca="false">IF($D1139="","",M1139*Y1139/100)</f>
        <v/>
      </c>
      <c r="V1139" s="16" t="str">
        <f aca="false">IF($D1139="","",Y1139*AB1139/100)</f>
        <v/>
      </c>
      <c r="W1139" s="16" t="str">
        <f aca="false">IF($D1139="","",Y1139-V1139)</f>
        <v/>
      </c>
      <c r="X1139" s="16" t="str">
        <f aca="false">IF($D1139="","",W1139-N1139)</f>
        <v/>
      </c>
      <c r="AB1139" s="17" t="str">
        <f aca="false">IF($D1139="","",IF(OR($R1139=TRUE(),$R1139="TRUE"),Settings!$C$6,Settings!$C$7)*100)</f>
        <v/>
      </c>
      <c r="AH1139" s="18" t="str">
        <f aca="false">IF($D1139="","",IF(COUNTIF($D$2:$D1139,$D1139)=1,1,0))</f>
        <v/>
      </c>
      <c r="AI1139" s="18" t="str">
        <f aca="false">IF($AH1139=1,SUMPRODUCT(--($AK$2:$AK$4001&lt;$AK1139))+1,"")</f>
        <v/>
      </c>
      <c r="AJ1139" s="18" t="str">
        <f aca="false">IF($D1139="","",IF(OR($R1139=TRUE(),$R1139="TRUE"),1,0))</f>
        <v/>
      </c>
      <c r="AK1139" s="18" t="str">
        <f aca="false">IF($AH1139=1,IFERROR(VALUE(MID($D1139,2,20)),1000000000)+ROW()/10000000,"")</f>
        <v/>
      </c>
    </row>
    <row r="1140" customFormat="false" ht="15" hidden="false" customHeight="false" outlineLevel="0" collapsed="false">
      <c r="F1140" s="15"/>
      <c r="N1140" s="16" t="str">
        <f aca="false">IF($D1140="","",M1140*Y1140/100)</f>
        <v/>
      </c>
      <c r="V1140" s="16" t="str">
        <f aca="false">IF($D1140="","",Y1140*AB1140/100)</f>
        <v/>
      </c>
      <c r="W1140" s="16" t="str">
        <f aca="false">IF($D1140="","",Y1140-V1140)</f>
        <v/>
      </c>
      <c r="X1140" s="16" t="str">
        <f aca="false">IF($D1140="","",W1140-N1140)</f>
        <v/>
      </c>
      <c r="AB1140" s="17" t="str">
        <f aca="false">IF($D1140="","",IF(OR($R1140=TRUE(),$R1140="TRUE"),Settings!$C$6,Settings!$C$7)*100)</f>
        <v/>
      </c>
      <c r="AH1140" s="18" t="str">
        <f aca="false">IF($D1140="","",IF(COUNTIF($D$2:$D1140,$D1140)=1,1,0))</f>
        <v/>
      </c>
      <c r="AI1140" s="18" t="str">
        <f aca="false">IF($AH1140=1,SUMPRODUCT(--($AK$2:$AK$4001&lt;$AK1140))+1,"")</f>
        <v/>
      </c>
      <c r="AJ1140" s="18" t="str">
        <f aca="false">IF($D1140="","",IF(OR($R1140=TRUE(),$R1140="TRUE"),1,0))</f>
        <v/>
      </c>
      <c r="AK1140" s="18" t="str">
        <f aca="false">IF($AH1140=1,IFERROR(VALUE(MID($D1140,2,20)),1000000000)+ROW()/10000000,"")</f>
        <v/>
      </c>
    </row>
    <row r="1141" customFormat="false" ht="15" hidden="false" customHeight="false" outlineLevel="0" collapsed="false">
      <c r="F1141" s="15"/>
      <c r="N1141" s="16" t="str">
        <f aca="false">IF($D1141="","",M1141*Y1141/100)</f>
        <v/>
      </c>
      <c r="V1141" s="16" t="str">
        <f aca="false">IF($D1141="","",Y1141*AB1141/100)</f>
        <v/>
      </c>
      <c r="W1141" s="16" t="str">
        <f aca="false">IF($D1141="","",Y1141-V1141)</f>
        <v/>
      </c>
      <c r="X1141" s="16" t="str">
        <f aca="false">IF($D1141="","",W1141-N1141)</f>
        <v/>
      </c>
      <c r="AB1141" s="17" t="str">
        <f aca="false">IF($D1141="","",IF(OR($R1141=TRUE(),$R1141="TRUE"),Settings!$C$6,Settings!$C$7)*100)</f>
        <v/>
      </c>
      <c r="AH1141" s="18" t="str">
        <f aca="false">IF($D1141="","",IF(COUNTIF($D$2:$D1141,$D1141)=1,1,0))</f>
        <v/>
      </c>
      <c r="AI1141" s="18" t="str">
        <f aca="false">IF($AH1141=1,SUMPRODUCT(--($AK$2:$AK$4001&lt;$AK1141))+1,"")</f>
        <v/>
      </c>
      <c r="AJ1141" s="18" t="str">
        <f aca="false">IF($D1141="","",IF(OR($R1141=TRUE(),$R1141="TRUE"),1,0))</f>
        <v/>
      </c>
      <c r="AK1141" s="18" t="str">
        <f aca="false">IF($AH1141=1,IFERROR(VALUE(MID($D1141,2,20)),1000000000)+ROW()/10000000,"")</f>
        <v/>
      </c>
    </row>
    <row r="1142" customFormat="false" ht="15" hidden="false" customHeight="false" outlineLevel="0" collapsed="false">
      <c r="F1142" s="15"/>
      <c r="N1142" s="16" t="str">
        <f aca="false">IF($D1142="","",M1142*Y1142/100)</f>
        <v/>
      </c>
      <c r="V1142" s="16" t="str">
        <f aca="false">IF($D1142="","",Y1142*AB1142/100)</f>
        <v/>
      </c>
      <c r="W1142" s="16" t="str">
        <f aca="false">IF($D1142="","",Y1142-V1142)</f>
        <v/>
      </c>
      <c r="X1142" s="16" t="str">
        <f aca="false">IF($D1142="","",W1142-N1142)</f>
        <v/>
      </c>
      <c r="AB1142" s="17" t="str">
        <f aca="false">IF($D1142="","",IF(OR($R1142=TRUE(),$R1142="TRUE"),Settings!$C$6,Settings!$C$7)*100)</f>
        <v/>
      </c>
      <c r="AH1142" s="18" t="str">
        <f aca="false">IF($D1142="","",IF(COUNTIF($D$2:$D1142,$D1142)=1,1,0))</f>
        <v/>
      </c>
      <c r="AI1142" s="18" t="str">
        <f aca="false">IF($AH1142=1,SUMPRODUCT(--($AK$2:$AK$4001&lt;$AK1142))+1,"")</f>
        <v/>
      </c>
      <c r="AJ1142" s="18" t="str">
        <f aca="false">IF($D1142="","",IF(OR($R1142=TRUE(),$R1142="TRUE"),1,0))</f>
        <v/>
      </c>
      <c r="AK1142" s="18" t="str">
        <f aca="false">IF($AH1142=1,IFERROR(VALUE(MID($D1142,2,20)),1000000000)+ROW()/10000000,"")</f>
        <v/>
      </c>
    </row>
    <row r="1143" customFormat="false" ht="15" hidden="false" customHeight="false" outlineLevel="0" collapsed="false">
      <c r="F1143" s="15"/>
      <c r="N1143" s="16" t="str">
        <f aca="false">IF($D1143="","",M1143*Y1143/100)</f>
        <v/>
      </c>
      <c r="V1143" s="16" t="str">
        <f aca="false">IF($D1143="","",Y1143*AB1143/100)</f>
        <v/>
      </c>
      <c r="W1143" s="16" t="str">
        <f aca="false">IF($D1143="","",Y1143-V1143)</f>
        <v/>
      </c>
      <c r="X1143" s="16" t="str">
        <f aca="false">IF($D1143="","",W1143-N1143)</f>
        <v/>
      </c>
      <c r="AB1143" s="17" t="str">
        <f aca="false">IF($D1143="","",IF(OR($R1143=TRUE(),$R1143="TRUE"),Settings!$C$6,Settings!$C$7)*100)</f>
        <v/>
      </c>
      <c r="AH1143" s="18" t="str">
        <f aca="false">IF($D1143="","",IF(COUNTIF($D$2:$D1143,$D1143)=1,1,0))</f>
        <v/>
      </c>
      <c r="AI1143" s="18" t="str">
        <f aca="false">IF($AH1143=1,SUMPRODUCT(--($AK$2:$AK$4001&lt;$AK1143))+1,"")</f>
        <v/>
      </c>
      <c r="AJ1143" s="18" t="str">
        <f aca="false">IF($D1143="","",IF(OR($R1143=TRUE(),$R1143="TRUE"),1,0))</f>
        <v/>
      </c>
      <c r="AK1143" s="18" t="str">
        <f aca="false">IF($AH1143=1,IFERROR(VALUE(MID($D1143,2,20)),1000000000)+ROW()/10000000,"")</f>
        <v/>
      </c>
    </row>
    <row r="1144" customFormat="false" ht="15" hidden="false" customHeight="false" outlineLevel="0" collapsed="false">
      <c r="F1144" s="15"/>
      <c r="N1144" s="16" t="str">
        <f aca="false">IF($D1144="","",M1144*Y1144/100)</f>
        <v/>
      </c>
      <c r="V1144" s="16" t="str">
        <f aca="false">IF($D1144="","",Y1144*AB1144/100)</f>
        <v/>
      </c>
      <c r="W1144" s="16" t="str">
        <f aca="false">IF($D1144="","",Y1144-V1144)</f>
        <v/>
      </c>
      <c r="X1144" s="16" t="str">
        <f aca="false">IF($D1144="","",W1144-N1144)</f>
        <v/>
      </c>
      <c r="AB1144" s="17" t="str">
        <f aca="false">IF($D1144="","",IF(OR($R1144=TRUE(),$R1144="TRUE"),Settings!$C$6,Settings!$C$7)*100)</f>
        <v/>
      </c>
      <c r="AH1144" s="18" t="str">
        <f aca="false">IF($D1144="","",IF(COUNTIF($D$2:$D1144,$D1144)=1,1,0))</f>
        <v/>
      </c>
      <c r="AI1144" s="18" t="str">
        <f aca="false">IF($AH1144=1,SUMPRODUCT(--($AK$2:$AK$4001&lt;$AK1144))+1,"")</f>
        <v/>
      </c>
      <c r="AJ1144" s="18" t="str">
        <f aca="false">IF($D1144="","",IF(OR($R1144=TRUE(),$R1144="TRUE"),1,0))</f>
        <v/>
      </c>
      <c r="AK1144" s="18" t="str">
        <f aca="false">IF($AH1144=1,IFERROR(VALUE(MID($D1144,2,20)),1000000000)+ROW()/10000000,"")</f>
        <v/>
      </c>
    </row>
    <row r="1145" customFormat="false" ht="15" hidden="false" customHeight="false" outlineLevel="0" collapsed="false">
      <c r="F1145" s="15"/>
      <c r="N1145" s="16" t="str">
        <f aca="false">IF($D1145="","",M1145*Y1145/100)</f>
        <v/>
      </c>
      <c r="V1145" s="16" t="str">
        <f aca="false">IF($D1145="","",Y1145*AB1145/100)</f>
        <v/>
      </c>
      <c r="W1145" s="16" t="str">
        <f aca="false">IF($D1145="","",Y1145-V1145)</f>
        <v/>
      </c>
      <c r="X1145" s="16" t="str">
        <f aca="false">IF($D1145="","",W1145-N1145)</f>
        <v/>
      </c>
      <c r="AB1145" s="17" t="str">
        <f aca="false">IF($D1145="","",IF(OR($R1145=TRUE(),$R1145="TRUE"),Settings!$C$6,Settings!$C$7)*100)</f>
        <v/>
      </c>
      <c r="AH1145" s="18" t="str">
        <f aca="false">IF($D1145="","",IF(COUNTIF($D$2:$D1145,$D1145)=1,1,0))</f>
        <v/>
      </c>
      <c r="AI1145" s="18" t="str">
        <f aca="false">IF($AH1145=1,SUMPRODUCT(--($AK$2:$AK$4001&lt;$AK1145))+1,"")</f>
        <v/>
      </c>
      <c r="AJ1145" s="18" t="str">
        <f aca="false">IF($D1145="","",IF(OR($R1145=TRUE(),$R1145="TRUE"),1,0))</f>
        <v/>
      </c>
      <c r="AK1145" s="18" t="str">
        <f aca="false">IF($AH1145=1,IFERROR(VALUE(MID($D1145,2,20)),1000000000)+ROW()/10000000,"")</f>
        <v/>
      </c>
    </row>
    <row r="1146" customFormat="false" ht="15" hidden="false" customHeight="false" outlineLevel="0" collapsed="false">
      <c r="F1146" s="15"/>
      <c r="N1146" s="16" t="str">
        <f aca="false">IF($D1146="","",M1146*Y1146/100)</f>
        <v/>
      </c>
      <c r="V1146" s="16" t="str">
        <f aca="false">IF($D1146="","",Y1146*AB1146/100)</f>
        <v/>
      </c>
      <c r="W1146" s="16" t="str">
        <f aca="false">IF($D1146="","",Y1146-V1146)</f>
        <v/>
      </c>
      <c r="X1146" s="16" t="str">
        <f aca="false">IF($D1146="","",W1146-N1146)</f>
        <v/>
      </c>
      <c r="AB1146" s="17" t="str">
        <f aca="false">IF($D1146="","",IF(OR($R1146=TRUE(),$R1146="TRUE"),Settings!$C$6,Settings!$C$7)*100)</f>
        <v/>
      </c>
      <c r="AH1146" s="18" t="str">
        <f aca="false">IF($D1146="","",IF(COUNTIF($D$2:$D1146,$D1146)=1,1,0))</f>
        <v/>
      </c>
      <c r="AI1146" s="18" t="str">
        <f aca="false">IF($AH1146=1,SUMPRODUCT(--($AK$2:$AK$4001&lt;$AK1146))+1,"")</f>
        <v/>
      </c>
      <c r="AJ1146" s="18" t="str">
        <f aca="false">IF($D1146="","",IF(OR($R1146=TRUE(),$R1146="TRUE"),1,0))</f>
        <v/>
      </c>
      <c r="AK1146" s="18" t="str">
        <f aca="false">IF($AH1146=1,IFERROR(VALUE(MID($D1146,2,20)),1000000000)+ROW()/10000000,"")</f>
        <v/>
      </c>
    </row>
    <row r="1147" customFormat="false" ht="15" hidden="false" customHeight="false" outlineLevel="0" collapsed="false">
      <c r="F1147" s="15"/>
      <c r="N1147" s="16" t="str">
        <f aca="false">IF($D1147="","",M1147*Y1147/100)</f>
        <v/>
      </c>
      <c r="V1147" s="16" t="str">
        <f aca="false">IF($D1147="","",Y1147*AB1147/100)</f>
        <v/>
      </c>
      <c r="W1147" s="16" t="str">
        <f aca="false">IF($D1147="","",Y1147-V1147)</f>
        <v/>
      </c>
      <c r="X1147" s="16" t="str">
        <f aca="false">IF($D1147="","",W1147-N1147)</f>
        <v/>
      </c>
      <c r="AB1147" s="17" t="str">
        <f aca="false">IF($D1147="","",IF(OR($R1147=TRUE(),$R1147="TRUE"),Settings!$C$6,Settings!$C$7)*100)</f>
        <v/>
      </c>
      <c r="AH1147" s="18" t="str">
        <f aca="false">IF($D1147="","",IF(COUNTIF($D$2:$D1147,$D1147)=1,1,0))</f>
        <v/>
      </c>
      <c r="AI1147" s="18" t="str">
        <f aca="false">IF($AH1147=1,SUMPRODUCT(--($AK$2:$AK$4001&lt;$AK1147))+1,"")</f>
        <v/>
      </c>
      <c r="AJ1147" s="18" t="str">
        <f aca="false">IF($D1147="","",IF(OR($R1147=TRUE(),$R1147="TRUE"),1,0))</f>
        <v/>
      </c>
      <c r="AK1147" s="18" t="str">
        <f aca="false">IF($AH1147=1,IFERROR(VALUE(MID($D1147,2,20)),1000000000)+ROW()/10000000,"")</f>
        <v/>
      </c>
    </row>
    <row r="1148" customFormat="false" ht="15" hidden="false" customHeight="false" outlineLevel="0" collapsed="false">
      <c r="F1148" s="15"/>
      <c r="N1148" s="16" t="str">
        <f aca="false">IF($D1148="","",M1148*Y1148/100)</f>
        <v/>
      </c>
      <c r="V1148" s="16" t="str">
        <f aca="false">IF($D1148="","",Y1148*AB1148/100)</f>
        <v/>
      </c>
      <c r="W1148" s="16" t="str">
        <f aca="false">IF($D1148="","",Y1148-V1148)</f>
        <v/>
      </c>
      <c r="X1148" s="16" t="str">
        <f aca="false">IF($D1148="","",W1148-N1148)</f>
        <v/>
      </c>
      <c r="AB1148" s="17" t="str">
        <f aca="false">IF($D1148="","",IF(OR($R1148=TRUE(),$R1148="TRUE"),Settings!$C$6,Settings!$C$7)*100)</f>
        <v/>
      </c>
      <c r="AH1148" s="18" t="str">
        <f aca="false">IF($D1148="","",IF(COUNTIF($D$2:$D1148,$D1148)=1,1,0))</f>
        <v/>
      </c>
      <c r="AI1148" s="18" t="str">
        <f aca="false">IF($AH1148=1,SUMPRODUCT(--($AK$2:$AK$4001&lt;$AK1148))+1,"")</f>
        <v/>
      </c>
      <c r="AJ1148" s="18" t="str">
        <f aca="false">IF($D1148="","",IF(OR($R1148=TRUE(),$R1148="TRUE"),1,0))</f>
        <v/>
      </c>
      <c r="AK1148" s="18" t="str">
        <f aca="false">IF($AH1148=1,IFERROR(VALUE(MID($D1148,2,20)),1000000000)+ROW()/10000000,"")</f>
        <v/>
      </c>
    </row>
    <row r="1149" customFormat="false" ht="15" hidden="false" customHeight="false" outlineLevel="0" collapsed="false">
      <c r="F1149" s="15"/>
      <c r="N1149" s="16" t="str">
        <f aca="false">IF($D1149="","",M1149*Y1149/100)</f>
        <v/>
      </c>
      <c r="V1149" s="16" t="str">
        <f aca="false">IF($D1149="","",Y1149*AB1149/100)</f>
        <v/>
      </c>
      <c r="W1149" s="16" t="str">
        <f aca="false">IF($D1149="","",Y1149-V1149)</f>
        <v/>
      </c>
      <c r="X1149" s="16" t="str">
        <f aca="false">IF($D1149="","",W1149-N1149)</f>
        <v/>
      </c>
      <c r="AB1149" s="17" t="str">
        <f aca="false">IF($D1149="","",IF(OR($R1149=TRUE(),$R1149="TRUE"),Settings!$C$6,Settings!$C$7)*100)</f>
        <v/>
      </c>
      <c r="AH1149" s="18" t="str">
        <f aca="false">IF($D1149="","",IF(COUNTIF($D$2:$D1149,$D1149)=1,1,0))</f>
        <v/>
      </c>
      <c r="AI1149" s="18" t="str">
        <f aca="false">IF($AH1149=1,SUMPRODUCT(--($AK$2:$AK$4001&lt;$AK1149))+1,"")</f>
        <v/>
      </c>
      <c r="AJ1149" s="18" t="str">
        <f aca="false">IF($D1149="","",IF(OR($R1149=TRUE(),$R1149="TRUE"),1,0))</f>
        <v/>
      </c>
      <c r="AK1149" s="18" t="str">
        <f aca="false">IF($AH1149=1,IFERROR(VALUE(MID($D1149,2,20)),1000000000)+ROW()/10000000,"")</f>
        <v/>
      </c>
    </row>
    <row r="1150" customFormat="false" ht="15" hidden="false" customHeight="false" outlineLevel="0" collapsed="false">
      <c r="F1150" s="15"/>
      <c r="N1150" s="16" t="str">
        <f aca="false">IF($D1150="","",M1150*Y1150/100)</f>
        <v/>
      </c>
      <c r="V1150" s="16" t="str">
        <f aca="false">IF($D1150="","",Y1150*AB1150/100)</f>
        <v/>
      </c>
      <c r="W1150" s="16" t="str">
        <f aca="false">IF($D1150="","",Y1150-V1150)</f>
        <v/>
      </c>
      <c r="X1150" s="16" t="str">
        <f aca="false">IF($D1150="","",W1150-N1150)</f>
        <v/>
      </c>
      <c r="AB1150" s="17" t="str">
        <f aca="false">IF($D1150="","",IF(OR($R1150=TRUE(),$R1150="TRUE"),Settings!$C$6,Settings!$C$7)*100)</f>
        <v/>
      </c>
      <c r="AH1150" s="18" t="str">
        <f aca="false">IF($D1150="","",IF(COUNTIF($D$2:$D1150,$D1150)=1,1,0))</f>
        <v/>
      </c>
      <c r="AI1150" s="18" t="str">
        <f aca="false">IF($AH1150=1,SUMPRODUCT(--($AK$2:$AK$4001&lt;$AK1150))+1,"")</f>
        <v/>
      </c>
      <c r="AJ1150" s="18" t="str">
        <f aca="false">IF($D1150="","",IF(OR($R1150=TRUE(),$R1150="TRUE"),1,0))</f>
        <v/>
      </c>
      <c r="AK1150" s="18" t="str">
        <f aca="false">IF($AH1150=1,IFERROR(VALUE(MID($D1150,2,20)),1000000000)+ROW()/10000000,"")</f>
        <v/>
      </c>
    </row>
    <row r="1151" customFormat="false" ht="15" hidden="false" customHeight="false" outlineLevel="0" collapsed="false">
      <c r="F1151" s="15"/>
      <c r="N1151" s="16" t="str">
        <f aca="false">IF($D1151="","",M1151*Y1151/100)</f>
        <v/>
      </c>
      <c r="V1151" s="16" t="str">
        <f aca="false">IF($D1151="","",Y1151*AB1151/100)</f>
        <v/>
      </c>
      <c r="W1151" s="16" t="str">
        <f aca="false">IF($D1151="","",Y1151-V1151)</f>
        <v/>
      </c>
      <c r="X1151" s="16" t="str">
        <f aca="false">IF($D1151="","",W1151-N1151)</f>
        <v/>
      </c>
      <c r="AB1151" s="17" t="str">
        <f aca="false">IF($D1151="","",IF(OR($R1151=TRUE(),$R1151="TRUE"),Settings!$C$6,Settings!$C$7)*100)</f>
        <v/>
      </c>
      <c r="AH1151" s="18" t="str">
        <f aca="false">IF($D1151="","",IF(COUNTIF($D$2:$D1151,$D1151)=1,1,0))</f>
        <v/>
      </c>
      <c r="AI1151" s="18" t="str">
        <f aca="false">IF($AH1151=1,SUMPRODUCT(--($AK$2:$AK$4001&lt;$AK1151))+1,"")</f>
        <v/>
      </c>
      <c r="AJ1151" s="18" t="str">
        <f aca="false">IF($D1151="","",IF(OR($R1151=TRUE(),$R1151="TRUE"),1,0))</f>
        <v/>
      </c>
      <c r="AK1151" s="18" t="str">
        <f aca="false">IF($AH1151=1,IFERROR(VALUE(MID($D1151,2,20)),1000000000)+ROW()/10000000,"")</f>
        <v/>
      </c>
    </row>
    <row r="1152" customFormat="false" ht="15" hidden="false" customHeight="false" outlineLevel="0" collapsed="false">
      <c r="F1152" s="15"/>
      <c r="N1152" s="16" t="str">
        <f aca="false">IF($D1152="","",M1152*Y1152/100)</f>
        <v/>
      </c>
      <c r="V1152" s="16" t="str">
        <f aca="false">IF($D1152="","",Y1152*AB1152/100)</f>
        <v/>
      </c>
      <c r="W1152" s="16" t="str">
        <f aca="false">IF($D1152="","",Y1152-V1152)</f>
        <v/>
      </c>
      <c r="X1152" s="16" t="str">
        <f aca="false">IF($D1152="","",W1152-N1152)</f>
        <v/>
      </c>
      <c r="AB1152" s="17" t="str">
        <f aca="false">IF($D1152="","",IF(OR($R1152=TRUE(),$R1152="TRUE"),Settings!$C$6,Settings!$C$7)*100)</f>
        <v/>
      </c>
      <c r="AH1152" s="18" t="str">
        <f aca="false">IF($D1152="","",IF(COUNTIF($D$2:$D1152,$D1152)=1,1,0))</f>
        <v/>
      </c>
      <c r="AI1152" s="18" t="str">
        <f aca="false">IF($AH1152=1,SUMPRODUCT(--($AK$2:$AK$4001&lt;$AK1152))+1,"")</f>
        <v/>
      </c>
      <c r="AJ1152" s="18" t="str">
        <f aca="false">IF($D1152="","",IF(OR($R1152=TRUE(),$R1152="TRUE"),1,0))</f>
        <v/>
      </c>
      <c r="AK1152" s="18" t="str">
        <f aca="false">IF($AH1152=1,IFERROR(VALUE(MID($D1152,2,20)),1000000000)+ROW()/10000000,"")</f>
        <v/>
      </c>
    </row>
    <row r="1153" customFormat="false" ht="15" hidden="false" customHeight="false" outlineLevel="0" collapsed="false">
      <c r="F1153" s="15"/>
      <c r="N1153" s="16" t="str">
        <f aca="false">IF($D1153="","",M1153*Y1153/100)</f>
        <v/>
      </c>
      <c r="V1153" s="16" t="str">
        <f aca="false">IF($D1153="","",Y1153*AB1153/100)</f>
        <v/>
      </c>
      <c r="W1153" s="16" t="str">
        <f aca="false">IF($D1153="","",Y1153-V1153)</f>
        <v/>
      </c>
      <c r="X1153" s="16" t="str">
        <f aca="false">IF($D1153="","",W1153-N1153)</f>
        <v/>
      </c>
      <c r="AB1153" s="17" t="str">
        <f aca="false">IF($D1153="","",IF(OR($R1153=TRUE(),$R1153="TRUE"),Settings!$C$6,Settings!$C$7)*100)</f>
        <v/>
      </c>
      <c r="AH1153" s="18" t="str">
        <f aca="false">IF($D1153="","",IF(COUNTIF($D$2:$D1153,$D1153)=1,1,0))</f>
        <v/>
      </c>
      <c r="AI1153" s="18" t="str">
        <f aca="false">IF($AH1153=1,SUMPRODUCT(--($AK$2:$AK$4001&lt;$AK1153))+1,"")</f>
        <v/>
      </c>
      <c r="AJ1153" s="18" t="str">
        <f aca="false">IF($D1153="","",IF(OR($R1153=TRUE(),$R1153="TRUE"),1,0))</f>
        <v/>
      </c>
      <c r="AK1153" s="18" t="str">
        <f aca="false">IF($AH1153=1,IFERROR(VALUE(MID($D1153,2,20)),1000000000)+ROW()/10000000,"")</f>
        <v/>
      </c>
    </row>
    <row r="1154" customFormat="false" ht="15" hidden="false" customHeight="false" outlineLevel="0" collapsed="false">
      <c r="F1154" s="15"/>
      <c r="N1154" s="16" t="str">
        <f aca="false">IF($D1154="","",M1154*Y1154/100)</f>
        <v/>
      </c>
      <c r="V1154" s="16" t="str">
        <f aca="false">IF($D1154="","",Y1154*AB1154/100)</f>
        <v/>
      </c>
      <c r="W1154" s="16" t="str">
        <f aca="false">IF($D1154="","",Y1154-V1154)</f>
        <v/>
      </c>
      <c r="X1154" s="16" t="str">
        <f aca="false">IF($D1154="","",W1154-N1154)</f>
        <v/>
      </c>
      <c r="AB1154" s="17" t="str">
        <f aca="false">IF($D1154="","",IF(OR($R1154=TRUE(),$R1154="TRUE"),Settings!$C$6,Settings!$C$7)*100)</f>
        <v/>
      </c>
      <c r="AH1154" s="18" t="str">
        <f aca="false">IF($D1154="","",IF(COUNTIF($D$2:$D1154,$D1154)=1,1,0))</f>
        <v/>
      </c>
      <c r="AI1154" s="18" t="str">
        <f aca="false">IF($AH1154=1,SUMPRODUCT(--($AK$2:$AK$4001&lt;$AK1154))+1,"")</f>
        <v/>
      </c>
      <c r="AJ1154" s="18" t="str">
        <f aca="false">IF($D1154="","",IF(OR($R1154=TRUE(),$R1154="TRUE"),1,0))</f>
        <v/>
      </c>
      <c r="AK1154" s="18" t="str">
        <f aca="false">IF($AH1154=1,IFERROR(VALUE(MID($D1154,2,20)),1000000000)+ROW()/10000000,"")</f>
        <v/>
      </c>
    </row>
    <row r="1155" customFormat="false" ht="15" hidden="false" customHeight="false" outlineLevel="0" collapsed="false">
      <c r="F1155" s="15"/>
      <c r="N1155" s="16" t="str">
        <f aca="false">IF($D1155="","",M1155*Y1155/100)</f>
        <v/>
      </c>
      <c r="V1155" s="16" t="str">
        <f aca="false">IF($D1155="","",Y1155*AB1155/100)</f>
        <v/>
      </c>
      <c r="W1155" s="16" t="str">
        <f aca="false">IF($D1155="","",Y1155-V1155)</f>
        <v/>
      </c>
      <c r="X1155" s="16" t="str">
        <f aca="false">IF($D1155="","",W1155-N1155)</f>
        <v/>
      </c>
      <c r="AB1155" s="17" t="str">
        <f aca="false">IF($D1155="","",IF(OR($R1155=TRUE(),$R1155="TRUE"),Settings!$C$6,Settings!$C$7)*100)</f>
        <v/>
      </c>
      <c r="AH1155" s="18" t="str">
        <f aca="false">IF($D1155="","",IF(COUNTIF($D$2:$D1155,$D1155)=1,1,0))</f>
        <v/>
      </c>
      <c r="AI1155" s="18" t="str">
        <f aca="false">IF($AH1155=1,SUMPRODUCT(--($AK$2:$AK$4001&lt;$AK1155))+1,"")</f>
        <v/>
      </c>
      <c r="AJ1155" s="18" t="str">
        <f aca="false">IF($D1155="","",IF(OR($R1155=TRUE(),$R1155="TRUE"),1,0))</f>
        <v/>
      </c>
      <c r="AK1155" s="18" t="str">
        <f aca="false">IF($AH1155=1,IFERROR(VALUE(MID($D1155,2,20)),1000000000)+ROW()/10000000,"")</f>
        <v/>
      </c>
    </row>
    <row r="1156" customFormat="false" ht="15" hidden="false" customHeight="false" outlineLevel="0" collapsed="false">
      <c r="F1156" s="15"/>
      <c r="N1156" s="16" t="str">
        <f aca="false">IF($D1156="","",M1156*Y1156/100)</f>
        <v/>
      </c>
      <c r="V1156" s="16" t="str">
        <f aca="false">IF($D1156="","",Y1156*AB1156/100)</f>
        <v/>
      </c>
      <c r="W1156" s="16" t="str">
        <f aca="false">IF($D1156="","",Y1156-V1156)</f>
        <v/>
      </c>
      <c r="X1156" s="16" t="str">
        <f aca="false">IF($D1156="","",W1156-N1156)</f>
        <v/>
      </c>
      <c r="AB1156" s="17" t="str">
        <f aca="false">IF($D1156="","",IF(OR($R1156=TRUE(),$R1156="TRUE"),Settings!$C$6,Settings!$C$7)*100)</f>
        <v/>
      </c>
      <c r="AH1156" s="18" t="str">
        <f aca="false">IF($D1156="","",IF(COUNTIF($D$2:$D1156,$D1156)=1,1,0))</f>
        <v/>
      </c>
      <c r="AI1156" s="18" t="str">
        <f aca="false">IF($AH1156=1,SUMPRODUCT(--($AK$2:$AK$4001&lt;$AK1156))+1,"")</f>
        <v/>
      </c>
      <c r="AJ1156" s="18" t="str">
        <f aca="false">IF($D1156="","",IF(OR($R1156=TRUE(),$R1156="TRUE"),1,0))</f>
        <v/>
      </c>
      <c r="AK1156" s="18" t="str">
        <f aca="false">IF($AH1156=1,IFERROR(VALUE(MID($D1156,2,20)),1000000000)+ROW()/10000000,"")</f>
        <v/>
      </c>
    </row>
    <row r="1157" customFormat="false" ht="15" hidden="false" customHeight="false" outlineLevel="0" collapsed="false">
      <c r="F1157" s="15"/>
      <c r="N1157" s="16" t="str">
        <f aca="false">IF($D1157="","",M1157*Y1157/100)</f>
        <v/>
      </c>
      <c r="V1157" s="16" t="str">
        <f aca="false">IF($D1157="","",Y1157*AB1157/100)</f>
        <v/>
      </c>
      <c r="W1157" s="16" t="str">
        <f aca="false">IF($D1157="","",Y1157-V1157)</f>
        <v/>
      </c>
      <c r="X1157" s="16" t="str">
        <f aca="false">IF($D1157="","",W1157-N1157)</f>
        <v/>
      </c>
      <c r="AB1157" s="17" t="str">
        <f aca="false">IF($D1157="","",IF(OR($R1157=TRUE(),$R1157="TRUE"),Settings!$C$6,Settings!$C$7)*100)</f>
        <v/>
      </c>
      <c r="AH1157" s="18" t="str">
        <f aca="false">IF($D1157="","",IF(COUNTIF($D$2:$D1157,$D1157)=1,1,0))</f>
        <v/>
      </c>
      <c r="AI1157" s="18" t="str">
        <f aca="false">IF($AH1157=1,SUMPRODUCT(--($AK$2:$AK$4001&lt;$AK1157))+1,"")</f>
        <v/>
      </c>
      <c r="AJ1157" s="18" t="str">
        <f aca="false">IF($D1157="","",IF(OR($R1157=TRUE(),$R1157="TRUE"),1,0))</f>
        <v/>
      </c>
      <c r="AK1157" s="18" t="str">
        <f aca="false">IF($AH1157=1,IFERROR(VALUE(MID($D1157,2,20)),1000000000)+ROW()/10000000,"")</f>
        <v/>
      </c>
    </row>
    <row r="1158" customFormat="false" ht="15" hidden="false" customHeight="false" outlineLevel="0" collapsed="false">
      <c r="F1158" s="15"/>
      <c r="N1158" s="16" t="str">
        <f aca="false">IF($D1158="","",M1158*Y1158/100)</f>
        <v/>
      </c>
      <c r="V1158" s="16" t="str">
        <f aca="false">IF($D1158="","",Y1158*AB1158/100)</f>
        <v/>
      </c>
      <c r="W1158" s="16" t="str">
        <f aca="false">IF($D1158="","",Y1158-V1158)</f>
        <v/>
      </c>
      <c r="X1158" s="16" t="str">
        <f aca="false">IF($D1158="","",W1158-N1158)</f>
        <v/>
      </c>
      <c r="AB1158" s="17" t="str">
        <f aca="false">IF($D1158="","",IF(OR($R1158=TRUE(),$R1158="TRUE"),Settings!$C$6,Settings!$C$7)*100)</f>
        <v/>
      </c>
      <c r="AH1158" s="18" t="str">
        <f aca="false">IF($D1158="","",IF(COUNTIF($D$2:$D1158,$D1158)=1,1,0))</f>
        <v/>
      </c>
      <c r="AI1158" s="18" t="str">
        <f aca="false">IF($AH1158=1,SUMPRODUCT(--($AK$2:$AK$4001&lt;$AK1158))+1,"")</f>
        <v/>
      </c>
      <c r="AJ1158" s="18" t="str">
        <f aca="false">IF($D1158="","",IF(OR($R1158=TRUE(),$R1158="TRUE"),1,0))</f>
        <v/>
      </c>
      <c r="AK1158" s="18" t="str">
        <f aca="false">IF($AH1158=1,IFERROR(VALUE(MID($D1158,2,20)),1000000000)+ROW()/10000000,"")</f>
        <v/>
      </c>
    </row>
    <row r="1159" customFormat="false" ht="15" hidden="false" customHeight="false" outlineLevel="0" collapsed="false">
      <c r="F1159" s="15"/>
      <c r="N1159" s="16" t="str">
        <f aca="false">IF($D1159="","",M1159*Y1159/100)</f>
        <v/>
      </c>
      <c r="V1159" s="16" t="str">
        <f aca="false">IF($D1159="","",Y1159*AB1159/100)</f>
        <v/>
      </c>
      <c r="W1159" s="16" t="str">
        <f aca="false">IF($D1159="","",Y1159-V1159)</f>
        <v/>
      </c>
      <c r="X1159" s="16" t="str">
        <f aca="false">IF($D1159="","",W1159-N1159)</f>
        <v/>
      </c>
      <c r="AB1159" s="17" t="str">
        <f aca="false">IF($D1159="","",IF(OR($R1159=TRUE(),$R1159="TRUE"),Settings!$C$6,Settings!$C$7)*100)</f>
        <v/>
      </c>
      <c r="AH1159" s="18" t="str">
        <f aca="false">IF($D1159="","",IF(COUNTIF($D$2:$D1159,$D1159)=1,1,0))</f>
        <v/>
      </c>
      <c r="AI1159" s="18" t="str">
        <f aca="false">IF($AH1159=1,SUMPRODUCT(--($AK$2:$AK$4001&lt;$AK1159))+1,"")</f>
        <v/>
      </c>
      <c r="AJ1159" s="18" t="str">
        <f aca="false">IF($D1159="","",IF(OR($R1159=TRUE(),$R1159="TRUE"),1,0))</f>
        <v/>
      </c>
      <c r="AK1159" s="18" t="str">
        <f aca="false">IF($AH1159=1,IFERROR(VALUE(MID($D1159,2,20)),1000000000)+ROW()/10000000,"")</f>
        <v/>
      </c>
    </row>
    <row r="1160" customFormat="false" ht="15" hidden="false" customHeight="false" outlineLevel="0" collapsed="false">
      <c r="F1160" s="15"/>
      <c r="N1160" s="16" t="str">
        <f aca="false">IF($D1160="","",M1160*Y1160/100)</f>
        <v/>
      </c>
      <c r="V1160" s="16" t="str">
        <f aca="false">IF($D1160="","",Y1160*AB1160/100)</f>
        <v/>
      </c>
      <c r="W1160" s="16" t="str">
        <f aca="false">IF($D1160="","",Y1160-V1160)</f>
        <v/>
      </c>
      <c r="X1160" s="16" t="str">
        <f aca="false">IF($D1160="","",W1160-N1160)</f>
        <v/>
      </c>
      <c r="AB1160" s="17" t="str">
        <f aca="false">IF($D1160="","",IF(OR($R1160=TRUE(),$R1160="TRUE"),Settings!$C$6,Settings!$C$7)*100)</f>
        <v/>
      </c>
      <c r="AH1160" s="18" t="str">
        <f aca="false">IF($D1160="","",IF(COUNTIF($D$2:$D1160,$D1160)=1,1,0))</f>
        <v/>
      </c>
      <c r="AI1160" s="18" t="str">
        <f aca="false">IF($AH1160=1,SUMPRODUCT(--($AK$2:$AK$4001&lt;$AK1160))+1,"")</f>
        <v/>
      </c>
      <c r="AJ1160" s="18" t="str">
        <f aca="false">IF($D1160="","",IF(OR($R1160=TRUE(),$R1160="TRUE"),1,0))</f>
        <v/>
      </c>
      <c r="AK1160" s="18" t="str">
        <f aca="false">IF($AH1160=1,IFERROR(VALUE(MID($D1160,2,20)),1000000000)+ROW()/10000000,"")</f>
        <v/>
      </c>
    </row>
    <row r="1161" customFormat="false" ht="15" hidden="false" customHeight="false" outlineLevel="0" collapsed="false">
      <c r="F1161" s="15"/>
      <c r="N1161" s="16" t="str">
        <f aca="false">IF($D1161="","",M1161*Y1161/100)</f>
        <v/>
      </c>
      <c r="V1161" s="16" t="str">
        <f aca="false">IF($D1161="","",Y1161*AB1161/100)</f>
        <v/>
      </c>
      <c r="W1161" s="16" t="str">
        <f aca="false">IF($D1161="","",Y1161-V1161)</f>
        <v/>
      </c>
      <c r="X1161" s="16" t="str">
        <f aca="false">IF($D1161="","",W1161-N1161)</f>
        <v/>
      </c>
      <c r="AB1161" s="17" t="str">
        <f aca="false">IF($D1161="","",IF(OR($R1161=TRUE(),$R1161="TRUE"),Settings!$C$6,Settings!$C$7)*100)</f>
        <v/>
      </c>
      <c r="AH1161" s="18" t="str">
        <f aca="false">IF($D1161="","",IF(COUNTIF($D$2:$D1161,$D1161)=1,1,0))</f>
        <v/>
      </c>
      <c r="AI1161" s="18" t="str">
        <f aca="false">IF($AH1161=1,SUMPRODUCT(--($AK$2:$AK$4001&lt;$AK1161))+1,"")</f>
        <v/>
      </c>
      <c r="AJ1161" s="18" t="str">
        <f aca="false">IF($D1161="","",IF(OR($R1161=TRUE(),$R1161="TRUE"),1,0))</f>
        <v/>
      </c>
      <c r="AK1161" s="18" t="str">
        <f aca="false">IF($AH1161=1,IFERROR(VALUE(MID($D1161,2,20)),1000000000)+ROW()/10000000,"")</f>
        <v/>
      </c>
    </row>
    <row r="1162" customFormat="false" ht="15" hidden="false" customHeight="false" outlineLevel="0" collapsed="false">
      <c r="F1162" s="15"/>
      <c r="N1162" s="16" t="str">
        <f aca="false">IF($D1162="","",M1162*Y1162/100)</f>
        <v/>
      </c>
      <c r="V1162" s="16" t="str">
        <f aca="false">IF($D1162="","",Y1162*AB1162/100)</f>
        <v/>
      </c>
      <c r="W1162" s="16" t="str">
        <f aca="false">IF($D1162="","",Y1162-V1162)</f>
        <v/>
      </c>
      <c r="X1162" s="16" t="str">
        <f aca="false">IF($D1162="","",W1162-N1162)</f>
        <v/>
      </c>
      <c r="AB1162" s="17" t="str">
        <f aca="false">IF($D1162="","",IF(OR($R1162=TRUE(),$R1162="TRUE"),Settings!$C$6,Settings!$C$7)*100)</f>
        <v/>
      </c>
      <c r="AH1162" s="18" t="str">
        <f aca="false">IF($D1162="","",IF(COUNTIF($D$2:$D1162,$D1162)=1,1,0))</f>
        <v/>
      </c>
      <c r="AI1162" s="18" t="str">
        <f aca="false">IF($AH1162=1,SUMPRODUCT(--($AK$2:$AK$4001&lt;$AK1162))+1,"")</f>
        <v/>
      </c>
      <c r="AJ1162" s="18" t="str">
        <f aca="false">IF($D1162="","",IF(OR($R1162=TRUE(),$R1162="TRUE"),1,0))</f>
        <v/>
      </c>
      <c r="AK1162" s="18" t="str">
        <f aca="false">IF($AH1162=1,IFERROR(VALUE(MID($D1162,2,20)),1000000000)+ROW()/10000000,"")</f>
        <v/>
      </c>
    </row>
    <row r="1163" customFormat="false" ht="15" hidden="false" customHeight="false" outlineLevel="0" collapsed="false">
      <c r="F1163" s="15"/>
      <c r="N1163" s="16" t="str">
        <f aca="false">IF($D1163="","",M1163*Y1163/100)</f>
        <v/>
      </c>
      <c r="V1163" s="16" t="str">
        <f aca="false">IF($D1163="","",Y1163*AB1163/100)</f>
        <v/>
      </c>
      <c r="W1163" s="16" t="str">
        <f aca="false">IF($D1163="","",Y1163-V1163)</f>
        <v/>
      </c>
      <c r="X1163" s="16" t="str">
        <f aca="false">IF($D1163="","",W1163-N1163)</f>
        <v/>
      </c>
      <c r="AB1163" s="17" t="str">
        <f aca="false">IF($D1163="","",IF(OR($R1163=TRUE(),$R1163="TRUE"),Settings!$C$6,Settings!$C$7)*100)</f>
        <v/>
      </c>
      <c r="AH1163" s="18" t="str">
        <f aca="false">IF($D1163="","",IF(COUNTIF($D$2:$D1163,$D1163)=1,1,0))</f>
        <v/>
      </c>
      <c r="AI1163" s="18" t="str">
        <f aca="false">IF($AH1163=1,SUMPRODUCT(--($AK$2:$AK$4001&lt;$AK1163))+1,"")</f>
        <v/>
      </c>
      <c r="AJ1163" s="18" t="str">
        <f aca="false">IF($D1163="","",IF(OR($R1163=TRUE(),$R1163="TRUE"),1,0))</f>
        <v/>
      </c>
      <c r="AK1163" s="18" t="str">
        <f aca="false">IF($AH1163=1,IFERROR(VALUE(MID($D1163,2,20)),1000000000)+ROW()/10000000,"")</f>
        <v/>
      </c>
    </row>
    <row r="1164" customFormat="false" ht="15" hidden="false" customHeight="false" outlineLevel="0" collapsed="false">
      <c r="F1164" s="15"/>
      <c r="N1164" s="16" t="str">
        <f aca="false">IF($D1164="","",M1164*Y1164/100)</f>
        <v/>
      </c>
      <c r="V1164" s="16" t="str">
        <f aca="false">IF($D1164="","",Y1164*AB1164/100)</f>
        <v/>
      </c>
      <c r="W1164" s="16" t="str">
        <f aca="false">IF($D1164="","",Y1164-V1164)</f>
        <v/>
      </c>
      <c r="X1164" s="16" t="str">
        <f aca="false">IF($D1164="","",W1164-N1164)</f>
        <v/>
      </c>
      <c r="AB1164" s="17" t="str">
        <f aca="false">IF($D1164="","",IF(OR($R1164=TRUE(),$R1164="TRUE"),Settings!$C$6,Settings!$C$7)*100)</f>
        <v/>
      </c>
      <c r="AH1164" s="18" t="str">
        <f aca="false">IF($D1164="","",IF(COUNTIF($D$2:$D1164,$D1164)=1,1,0))</f>
        <v/>
      </c>
      <c r="AI1164" s="18" t="str">
        <f aca="false">IF($AH1164=1,SUMPRODUCT(--($AK$2:$AK$4001&lt;$AK1164))+1,"")</f>
        <v/>
      </c>
      <c r="AJ1164" s="18" t="str">
        <f aca="false">IF($D1164="","",IF(OR($R1164=TRUE(),$R1164="TRUE"),1,0))</f>
        <v/>
      </c>
      <c r="AK1164" s="18" t="str">
        <f aca="false">IF($AH1164=1,IFERROR(VALUE(MID($D1164,2,20)),1000000000)+ROW()/10000000,"")</f>
        <v/>
      </c>
    </row>
    <row r="1165" customFormat="false" ht="15" hidden="false" customHeight="false" outlineLevel="0" collapsed="false">
      <c r="F1165" s="15"/>
      <c r="N1165" s="16" t="str">
        <f aca="false">IF($D1165="","",M1165*Y1165/100)</f>
        <v/>
      </c>
      <c r="V1165" s="16" t="str">
        <f aca="false">IF($D1165="","",Y1165*AB1165/100)</f>
        <v/>
      </c>
      <c r="W1165" s="16" t="str">
        <f aca="false">IF($D1165="","",Y1165-V1165)</f>
        <v/>
      </c>
      <c r="X1165" s="16" t="str">
        <f aca="false">IF($D1165="","",W1165-N1165)</f>
        <v/>
      </c>
      <c r="AB1165" s="17" t="str">
        <f aca="false">IF($D1165="","",IF(OR($R1165=TRUE(),$R1165="TRUE"),Settings!$C$6,Settings!$C$7)*100)</f>
        <v/>
      </c>
      <c r="AH1165" s="18" t="str">
        <f aca="false">IF($D1165="","",IF(COUNTIF($D$2:$D1165,$D1165)=1,1,0))</f>
        <v/>
      </c>
      <c r="AI1165" s="18" t="str">
        <f aca="false">IF($AH1165=1,SUMPRODUCT(--($AK$2:$AK$4001&lt;$AK1165))+1,"")</f>
        <v/>
      </c>
      <c r="AJ1165" s="18" t="str">
        <f aca="false">IF($D1165="","",IF(OR($R1165=TRUE(),$R1165="TRUE"),1,0))</f>
        <v/>
      </c>
      <c r="AK1165" s="18" t="str">
        <f aca="false">IF($AH1165=1,IFERROR(VALUE(MID($D1165,2,20)),1000000000)+ROW()/10000000,"")</f>
        <v/>
      </c>
    </row>
    <row r="1166" customFormat="false" ht="15" hidden="false" customHeight="false" outlineLevel="0" collapsed="false">
      <c r="F1166" s="15"/>
      <c r="N1166" s="16" t="str">
        <f aca="false">IF($D1166="","",M1166*Y1166/100)</f>
        <v/>
      </c>
      <c r="V1166" s="16" t="str">
        <f aca="false">IF($D1166="","",Y1166*AB1166/100)</f>
        <v/>
      </c>
      <c r="W1166" s="16" t="str">
        <f aca="false">IF($D1166="","",Y1166-V1166)</f>
        <v/>
      </c>
      <c r="X1166" s="16" t="str">
        <f aca="false">IF($D1166="","",W1166-N1166)</f>
        <v/>
      </c>
      <c r="AB1166" s="17" t="str">
        <f aca="false">IF($D1166="","",IF(OR($R1166=TRUE(),$R1166="TRUE"),Settings!$C$6,Settings!$C$7)*100)</f>
        <v/>
      </c>
      <c r="AH1166" s="18" t="str">
        <f aca="false">IF($D1166="","",IF(COUNTIF($D$2:$D1166,$D1166)=1,1,0))</f>
        <v/>
      </c>
      <c r="AI1166" s="18" t="str">
        <f aca="false">IF($AH1166=1,SUMPRODUCT(--($AK$2:$AK$4001&lt;$AK1166))+1,"")</f>
        <v/>
      </c>
      <c r="AJ1166" s="18" t="str">
        <f aca="false">IF($D1166="","",IF(OR($R1166=TRUE(),$R1166="TRUE"),1,0))</f>
        <v/>
      </c>
      <c r="AK1166" s="18" t="str">
        <f aca="false">IF($AH1166=1,IFERROR(VALUE(MID($D1166,2,20)),1000000000)+ROW()/10000000,"")</f>
        <v/>
      </c>
    </row>
    <row r="1167" customFormat="false" ht="15" hidden="false" customHeight="false" outlineLevel="0" collapsed="false">
      <c r="F1167" s="15"/>
      <c r="N1167" s="16" t="str">
        <f aca="false">IF($D1167="","",M1167*Y1167/100)</f>
        <v/>
      </c>
      <c r="V1167" s="16" t="str">
        <f aca="false">IF($D1167="","",Y1167*AB1167/100)</f>
        <v/>
      </c>
      <c r="W1167" s="16" t="str">
        <f aca="false">IF($D1167="","",Y1167-V1167)</f>
        <v/>
      </c>
      <c r="X1167" s="16" t="str">
        <f aca="false">IF($D1167="","",W1167-N1167)</f>
        <v/>
      </c>
      <c r="AB1167" s="17" t="str">
        <f aca="false">IF($D1167="","",IF(OR($R1167=TRUE(),$R1167="TRUE"),Settings!$C$6,Settings!$C$7)*100)</f>
        <v/>
      </c>
      <c r="AH1167" s="18" t="str">
        <f aca="false">IF($D1167="","",IF(COUNTIF($D$2:$D1167,$D1167)=1,1,0))</f>
        <v/>
      </c>
      <c r="AI1167" s="18" t="str">
        <f aca="false">IF($AH1167=1,SUMPRODUCT(--($AK$2:$AK$4001&lt;$AK1167))+1,"")</f>
        <v/>
      </c>
      <c r="AJ1167" s="18" t="str">
        <f aca="false">IF($D1167="","",IF(OR($R1167=TRUE(),$R1167="TRUE"),1,0))</f>
        <v/>
      </c>
      <c r="AK1167" s="18" t="str">
        <f aca="false">IF($AH1167=1,IFERROR(VALUE(MID($D1167,2,20)),1000000000)+ROW()/10000000,"")</f>
        <v/>
      </c>
    </row>
    <row r="1168" customFormat="false" ht="15" hidden="false" customHeight="false" outlineLevel="0" collapsed="false">
      <c r="F1168" s="15"/>
      <c r="N1168" s="16" t="str">
        <f aca="false">IF($D1168="","",M1168*Y1168/100)</f>
        <v/>
      </c>
      <c r="V1168" s="16" t="str">
        <f aca="false">IF($D1168="","",Y1168*AB1168/100)</f>
        <v/>
      </c>
      <c r="W1168" s="16" t="str">
        <f aca="false">IF($D1168="","",Y1168-V1168)</f>
        <v/>
      </c>
      <c r="X1168" s="16" t="str">
        <f aca="false">IF($D1168="","",W1168-N1168)</f>
        <v/>
      </c>
      <c r="AB1168" s="17" t="str">
        <f aca="false">IF($D1168="","",IF(OR($R1168=TRUE(),$R1168="TRUE"),Settings!$C$6,Settings!$C$7)*100)</f>
        <v/>
      </c>
      <c r="AH1168" s="18" t="str">
        <f aca="false">IF($D1168="","",IF(COUNTIF($D$2:$D1168,$D1168)=1,1,0))</f>
        <v/>
      </c>
      <c r="AI1168" s="18" t="str">
        <f aca="false">IF($AH1168=1,SUMPRODUCT(--($AK$2:$AK$4001&lt;$AK1168))+1,"")</f>
        <v/>
      </c>
      <c r="AJ1168" s="18" t="str">
        <f aca="false">IF($D1168="","",IF(OR($R1168=TRUE(),$R1168="TRUE"),1,0))</f>
        <v/>
      </c>
      <c r="AK1168" s="18" t="str">
        <f aca="false">IF($AH1168=1,IFERROR(VALUE(MID($D1168,2,20)),1000000000)+ROW()/10000000,"")</f>
        <v/>
      </c>
    </row>
    <row r="1169" customFormat="false" ht="15" hidden="false" customHeight="false" outlineLevel="0" collapsed="false">
      <c r="F1169" s="15"/>
      <c r="N1169" s="16" t="str">
        <f aca="false">IF($D1169="","",M1169*Y1169/100)</f>
        <v/>
      </c>
      <c r="V1169" s="16" t="str">
        <f aca="false">IF($D1169="","",Y1169*AB1169/100)</f>
        <v/>
      </c>
      <c r="W1169" s="16" t="str">
        <f aca="false">IF($D1169="","",Y1169-V1169)</f>
        <v/>
      </c>
      <c r="X1169" s="16" t="str">
        <f aca="false">IF($D1169="","",W1169-N1169)</f>
        <v/>
      </c>
      <c r="AB1169" s="17" t="str">
        <f aca="false">IF($D1169="","",IF(OR($R1169=TRUE(),$R1169="TRUE"),Settings!$C$6,Settings!$C$7)*100)</f>
        <v/>
      </c>
      <c r="AH1169" s="18" t="str">
        <f aca="false">IF($D1169="","",IF(COUNTIF($D$2:$D1169,$D1169)=1,1,0))</f>
        <v/>
      </c>
      <c r="AI1169" s="18" t="str">
        <f aca="false">IF($AH1169=1,SUMPRODUCT(--($AK$2:$AK$4001&lt;$AK1169))+1,"")</f>
        <v/>
      </c>
      <c r="AJ1169" s="18" t="str">
        <f aca="false">IF($D1169="","",IF(OR($R1169=TRUE(),$R1169="TRUE"),1,0))</f>
        <v/>
      </c>
      <c r="AK1169" s="18" t="str">
        <f aca="false">IF($AH1169=1,IFERROR(VALUE(MID($D1169,2,20)),1000000000)+ROW()/10000000,"")</f>
        <v/>
      </c>
    </row>
    <row r="1170" customFormat="false" ht="15" hidden="false" customHeight="false" outlineLevel="0" collapsed="false">
      <c r="F1170" s="15"/>
      <c r="N1170" s="16" t="str">
        <f aca="false">IF($D1170="","",M1170*Y1170/100)</f>
        <v/>
      </c>
      <c r="V1170" s="16" t="str">
        <f aca="false">IF($D1170="","",Y1170*AB1170/100)</f>
        <v/>
      </c>
      <c r="W1170" s="16" t="str">
        <f aca="false">IF($D1170="","",Y1170-V1170)</f>
        <v/>
      </c>
      <c r="X1170" s="16" t="str">
        <f aca="false">IF($D1170="","",W1170-N1170)</f>
        <v/>
      </c>
      <c r="AB1170" s="17" t="str">
        <f aca="false">IF($D1170="","",IF(OR($R1170=TRUE(),$R1170="TRUE"),Settings!$C$6,Settings!$C$7)*100)</f>
        <v/>
      </c>
      <c r="AH1170" s="18" t="str">
        <f aca="false">IF($D1170="","",IF(COUNTIF($D$2:$D1170,$D1170)=1,1,0))</f>
        <v/>
      </c>
      <c r="AI1170" s="18" t="str">
        <f aca="false">IF($AH1170=1,SUMPRODUCT(--($AK$2:$AK$4001&lt;$AK1170))+1,"")</f>
        <v/>
      </c>
      <c r="AJ1170" s="18" t="str">
        <f aca="false">IF($D1170="","",IF(OR($R1170=TRUE(),$R1170="TRUE"),1,0))</f>
        <v/>
      </c>
      <c r="AK1170" s="18" t="str">
        <f aca="false">IF($AH1170=1,IFERROR(VALUE(MID($D1170,2,20)),1000000000)+ROW()/10000000,"")</f>
        <v/>
      </c>
    </row>
    <row r="1171" customFormat="false" ht="15" hidden="false" customHeight="false" outlineLevel="0" collapsed="false">
      <c r="F1171" s="15"/>
      <c r="N1171" s="16" t="str">
        <f aca="false">IF($D1171="","",M1171*Y1171/100)</f>
        <v/>
      </c>
      <c r="V1171" s="16" t="str">
        <f aca="false">IF($D1171="","",Y1171*AB1171/100)</f>
        <v/>
      </c>
      <c r="W1171" s="16" t="str">
        <f aca="false">IF($D1171="","",Y1171-V1171)</f>
        <v/>
      </c>
      <c r="X1171" s="16" t="str">
        <f aca="false">IF($D1171="","",W1171-N1171)</f>
        <v/>
      </c>
      <c r="AB1171" s="17" t="str">
        <f aca="false">IF($D1171="","",IF(OR($R1171=TRUE(),$R1171="TRUE"),Settings!$C$6,Settings!$C$7)*100)</f>
        <v/>
      </c>
      <c r="AH1171" s="18" t="str">
        <f aca="false">IF($D1171="","",IF(COUNTIF($D$2:$D1171,$D1171)=1,1,0))</f>
        <v/>
      </c>
      <c r="AI1171" s="18" t="str">
        <f aca="false">IF($AH1171=1,SUMPRODUCT(--($AK$2:$AK$4001&lt;$AK1171))+1,"")</f>
        <v/>
      </c>
      <c r="AJ1171" s="18" t="str">
        <f aca="false">IF($D1171="","",IF(OR($R1171=TRUE(),$R1171="TRUE"),1,0))</f>
        <v/>
      </c>
      <c r="AK1171" s="18" t="str">
        <f aca="false">IF($AH1171=1,IFERROR(VALUE(MID($D1171,2,20)),1000000000)+ROW()/10000000,"")</f>
        <v/>
      </c>
    </row>
    <row r="1172" customFormat="false" ht="15" hidden="false" customHeight="false" outlineLevel="0" collapsed="false">
      <c r="F1172" s="15"/>
      <c r="N1172" s="16" t="str">
        <f aca="false">IF($D1172="","",M1172*Y1172/100)</f>
        <v/>
      </c>
      <c r="V1172" s="16" t="str">
        <f aca="false">IF($D1172="","",Y1172*AB1172/100)</f>
        <v/>
      </c>
      <c r="W1172" s="16" t="str">
        <f aca="false">IF($D1172="","",Y1172-V1172)</f>
        <v/>
      </c>
      <c r="X1172" s="16" t="str">
        <f aca="false">IF($D1172="","",W1172-N1172)</f>
        <v/>
      </c>
      <c r="AB1172" s="17" t="str">
        <f aca="false">IF($D1172="","",IF(OR($R1172=TRUE(),$R1172="TRUE"),Settings!$C$6,Settings!$C$7)*100)</f>
        <v/>
      </c>
      <c r="AH1172" s="18" t="str">
        <f aca="false">IF($D1172="","",IF(COUNTIF($D$2:$D1172,$D1172)=1,1,0))</f>
        <v/>
      </c>
      <c r="AI1172" s="18" t="str">
        <f aca="false">IF($AH1172=1,SUMPRODUCT(--($AK$2:$AK$4001&lt;$AK1172))+1,"")</f>
        <v/>
      </c>
      <c r="AJ1172" s="18" t="str">
        <f aca="false">IF($D1172="","",IF(OR($R1172=TRUE(),$R1172="TRUE"),1,0))</f>
        <v/>
      </c>
      <c r="AK1172" s="18" t="str">
        <f aca="false">IF($AH1172=1,IFERROR(VALUE(MID($D1172,2,20)),1000000000)+ROW()/10000000,"")</f>
        <v/>
      </c>
    </row>
    <row r="1173" customFormat="false" ht="15" hidden="false" customHeight="false" outlineLevel="0" collapsed="false">
      <c r="F1173" s="15"/>
      <c r="N1173" s="16" t="str">
        <f aca="false">IF($D1173="","",M1173*Y1173/100)</f>
        <v/>
      </c>
      <c r="V1173" s="16" t="str">
        <f aca="false">IF($D1173="","",Y1173*AB1173/100)</f>
        <v/>
      </c>
      <c r="W1173" s="16" t="str">
        <f aca="false">IF($D1173="","",Y1173-V1173)</f>
        <v/>
      </c>
      <c r="X1173" s="16" t="str">
        <f aca="false">IF($D1173="","",W1173-N1173)</f>
        <v/>
      </c>
      <c r="AB1173" s="17" t="str">
        <f aca="false">IF($D1173="","",IF(OR($R1173=TRUE(),$R1173="TRUE"),Settings!$C$6,Settings!$C$7)*100)</f>
        <v/>
      </c>
      <c r="AH1173" s="18" t="str">
        <f aca="false">IF($D1173="","",IF(COUNTIF($D$2:$D1173,$D1173)=1,1,0))</f>
        <v/>
      </c>
      <c r="AI1173" s="18" t="str">
        <f aca="false">IF($AH1173=1,SUMPRODUCT(--($AK$2:$AK$4001&lt;$AK1173))+1,"")</f>
        <v/>
      </c>
      <c r="AJ1173" s="18" t="str">
        <f aca="false">IF($D1173="","",IF(OR($R1173=TRUE(),$R1173="TRUE"),1,0))</f>
        <v/>
      </c>
      <c r="AK1173" s="18" t="str">
        <f aca="false">IF($AH1173=1,IFERROR(VALUE(MID($D1173,2,20)),1000000000)+ROW()/10000000,"")</f>
        <v/>
      </c>
    </row>
    <row r="1174" customFormat="false" ht="15" hidden="false" customHeight="false" outlineLevel="0" collapsed="false">
      <c r="F1174" s="15"/>
      <c r="N1174" s="16" t="str">
        <f aca="false">IF($D1174="","",M1174*Y1174/100)</f>
        <v/>
      </c>
      <c r="V1174" s="16" t="str">
        <f aca="false">IF($D1174="","",Y1174*AB1174/100)</f>
        <v/>
      </c>
      <c r="W1174" s="16" t="str">
        <f aca="false">IF($D1174="","",Y1174-V1174)</f>
        <v/>
      </c>
      <c r="X1174" s="16" t="str">
        <f aca="false">IF($D1174="","",W1174-N1174)</f>
        <v/>
      </c>
      <c r="AB1174" s="17" t="str">
        <f aca="false">IF($D1174="","",IF(OR($R1174=TRUE(),$R1174="TRUE"),Settings!$C$6,Settings!$C$7)*100)</f>
        <v/>
      </c>
      <c r="AH1174" s="18" t="str">
        <f aca="false">IF($D1174="","",IF(COUNTIF($D$2:$D1174,$D1174)=1,1,0))</f>
        <v/>
      </c>
      <c r="AI1174" s="18" t="str">
        <f aca="false">IF($AH1174=1,SUMPRODUCT(--($AK$2:$AK$4001&lt;$AK1174))+1,"")</f>
        <v/>
      </c>
      <c r="AJ1174" s="18" t="str">
        <f aca="false">IF($D1174="","",IF(OR($R1174=TRUE(),$R1174="TRUE"),1,0))</f>
        <v/>
      </c>
      <c r="AK1174" s="18" t="str">
        <f aca="false">IF($AH1174=1,IFERROR(VALUE(MID($D1174,2,20)),1000000000)+ROW()/10000000,"")</f>
        <v/>
      </c>
    </row>
    <row r="1175" customFormat="false" ht="15" hidden="false" customHeight="false" outlineLevel="0" collapsed="false">
      <c r="F1175" s="15"/>
      <c r="N1175" s="16" t="str">
        <f aca="false">IF($D1175="","",M1175*Y1175/100)</f>
        <v/>
      </c>
      <c r="V1175" s="16" t="str">
        <f aca="false">IF($D1175="","",Y1175*AB1175/100)</f>
        <v/>
      </c>
      <c r="W1175" s="16" t="str">
        <f aca="false">IF($D1175="","",Y1175-V1175)</f>
        <v/>
      </c>
      <c r="X1175" s="16" t="str">
        <f aca="false">IF($D1175="","",W1175-N1175)</f>
        <v/>
      </c>
      <c r="AB1175" s="17" t="str">
        <f aca="false">IF($D1175="","",IF(OR($R1175=TRUE(),$R1175="TRUE"),Settings!$C$6,Settings!$C$7)*100)</f>
        <v/>
      </c>
      <c r="AH1175" s="18" t="str">
        <f aca="false">IF($D1175="","",IF(COUNTIF($D$2:$D1175,$D1175)=1,1,0))</f>
        <v/>
      </c>
      <c r="AI1175" s="18" t="str">
        <f aca="false">IF($AH1175=1,SUMPRODUCT(--($AK$2:$AK$4001&lt;$AK1175))+1,"")</f>
        <v/>
      </c>
      <c r="AJ1175" s="18" t="str">
        <f aca="false">IF($D1175="","",IF(OR($R1175=TRUE(),$R1175="TRUE"),1,0))</f>
        <v/>
      </c>
      <c r="AK1175" s="18" t="str">
        <f aca="false">IF($AH1175=1,IFERROR(VALUE(MID($D1175,2,20)),1000000000)+ROW()/10000000,"")</f>
        <v/>
      </c>
    </row>
    <row r="1176" customFormat="false" ht="15" hidden="false" customHeight="false" outlineLevel="0" collapsed="false">
      <c r="F1176" s="15"/>
      <c r="N1176" s="16" t="str">
        <f aca="false">IF($D1176="","",M1176*Y1176/100)</f>
        <v/>
      </c>
      <c r="V1176" s="16" t="str">
        <f aca="false">IF($D1176="","",Y1176*AB1176/100)</f>
        <v/>
      </c>
      <c r="W1176" s="16" t="str">
        <f aca="false">IF($D1176="","",Y1176-V1176)</f>
        <v/>
      </c>
      <c r="X1176" s="16" t="str">
        <f aca="false">IF($D1176="","",W1176-N1176)</f>
        <v/>
      </c>
      <c r="AB1176" s="17" t="str">
        <f aca="false">IF($D1176="","",IF(OR($R1176=TRUE(),$R1176="TRUE"),Settings!$C$6,Settings!$C$7)*100)</f>
        <v/>
      </c>
      <c r="AH1176" s="18" t="str">
        <f aca="false">IF($D1176="","",IF(COUNTIF($D$2:$D1176,$D1176)=1,1,0))</f>
        <v/>
      </c>
      <c r="AI1176" s="18" t="str">
        <f aca="false">IF($AH1176=1,SUMPRODUCT(--($AK$2:$AK$4001&lt;$AK1176))+1,"")</f>
        <v/>
      </c>
      <c r="AJ1176" s="18" t="str">
        <f aca="false">IF($D1176="","",IF(OR($R1176=TRUE(),$R1176="TRUE"),1,0))</f>
        <v/>
      </c>
      <c r="AK1176" s="18" t="str">
        <f aca="false">IF($AH1176=1,IFERROR(VALUE(MID($D1176,2,20)),1000000000)+ROW()/10000000,"")</f>
        <v/>
      </c>
    </row>
    <row r="1177" customFormat="false" ht="15" hidden="false" customHeight="false" outlineLevel="0" collapsed="false">
      <c r="F1177" s="15"/>
      <c r="N1177" s="16" t="str">
        <f aca="false">IF($D1177="","",M1177*Y1177/100)</f>
        <v/>
      </c>
      <c r="V1177" s="16" t="str">
        <f aca="false">IF($D1177="","",Y1177*AB1177/100)</f>
        <v/>
      </c>
      <c r="W1177" s="16" t="str">
        <f aca="false">IF($D1177="","",Y1177-V1177)</f>
        <v/>
      </c>
      <c r="X1177" s="16" t="str">
        <f aca="false">IF($D1177="","",W1177-N1177)</f>
        <v/>
      </c>
      <c r="AB1177" s="17" t="str">
        <f aca="false">IF($D1177="","",IF(OR($R1177=TRUE(),$R1177="TRUE"),Settings!$C$6,Settings!$C$7)*100)</f>
        <v/>
      </c>
      <c r="AH1177" s="18" t="str">
        <f aca="false">IF($D1177="","",IF(COUNTIF($D$2:$D1177,$D1177)=1,1,0))</f>
        <v/>
      </c>
      <c r="AI1177" s="18" t="str">
        <f aca="false">IF($AH1177=1,SUMPRODUCT(--($AK$2:$AK$4001&lt;$AK1177))+1,"")</f>
        <v/>
      </c>
      <c r="AJ1177" s="18" t="str">
        <f aca="false">IF($D1177="","",IF(OR($R1177=TRUE(),$R1177="TRUE"),1,0))</f>
        <v/>
      </c>
      <c r="AK1177" s="18" t="str">
        <f aca="false">IF($AH1177=1,IFERROR(VALUE(MID($D1177,2,20)),1000000000)+ROW()/10000000,"")</f>
        <v/>
      </c>
    </row>
    <row r="1178" customFormat="false" ht="15" hidden="false" customHeight="false" outlineLevel="0" collapsed="false">
      <c r="F1178" s="15"/>
      <c r="N1178" s="16" t="str">
        <f aca="false">IF($D1178="","",M1178*Y1178/100)</f>
        <v/>
      </c>
      <c r="V1178" s="16" t="str">
        <f aca="false">IF($D1178="","",Y1178*AB1178/100)</f>
        <v/>
      </c>
      <c r="W1178" s="16" t="str">
        <f aca="false">IF($D1178="","",Y1178-V1178)</f>
        <v/>
      </c>
      <c r="X1178" s="16" t="str">
        <f aca="false">IF($D1178="","",W1178-N1178)</f>
        <v/>
      </c>
      <c r="AB1178" s="17" t="str">
        <f aca="false">IF($D1178="","",IF(OR($R1178=TRUE(),$R1178="TRUE"),Settings!$C$6,Settings!$C$7)*100)</f>
        <v/>
      </c>
      <c r="AH1178" s="18" t="str">
        <f aca="false">IF($D1178="","",IF(COUNTIF($D$2:$D1178,$D1178)=1,1,0))</f>
        <v/>
      </c>
      <c r="AI1178" s="18" t="str">
        <f aca="false">IF($AH1178=1,SUMPRODUCT(--($AK$2:$AK$4001&lt;$AK1178))+1,"")</f>
        <v/>
      </c>
      <c r="AJ1178" s="18" t="str">
        <f aca="false">IF($D1178="","",IF(OR($R1178=TRUE(),$R1178="TRUE"),1,0))</f>
        <v/>
      </c>
      <c r="AK1178" s="18" t="str">
        <f aca="false">IF($AH1178=1,IFERROR(VALUE(MID($D1178,2,20)),1000000000)+ROW()/10000000,"")</f>
        <v/>
      </c>
    </row>
    <row r="1179" customFormat="false" ht="15" hidden="false" customHeight="false" outlineLevel="0" collapsed="false">
      <c r="F1179" s="15"/>
      <c r="N1179" s="16" t="str">
        <f aca="false">IF($D1179="","",M1179*Y1179/100)</f>
        <v/>
      </c>
      <c r="V1179" s="16" t="str">
        <f aca="false">IF($D1179="","",Y1179*AB1179/100)</f>
        <v/>
      </c>
      <c r="W1179" s="16" t="str">
        <f aca="false">IF($D1179="","",Y1179-V1179)</f>
        <v/>
      </c>
      <c r="X1179" s="16" t="str">
        <f aca="false">IF($D1179="","",W1179-N1179)</f>
        <v/>
      </c>
      <c r="AB1179" s="17" t="str">
        <f aca="false">IF($D1179="","",IF(OR($R1179=TRUE(),$R1179="TRUE"),Settings!$C$6,Settings!$C$7)*100)</f>
        <v/>
      </c>
      <c r="AH1179" s="18" t="str">
        <f aca="false">IF($D1179="","",IF(COUNTIF($D$2:$D1179,$D1179)=1,1,0))</f>
        <v/>
      </c>
      <c r="AI1179" s="18" t="str">
        <f aca="false">IF($AH1179=1,SUMPRODUCT(--($AK$2:$AK$4001&lt;$AK1179))+1,"")</f>
        <v/>
      </c>
      <c r="AJ1179" s="18" t="str">
        <f aca="false">IF($D1179="","",IF(OR($R1179=TRUE(),$R1179="TRUE"),1,0))</f>
        <v/>
      </c>
      <c r="AK1179" s="18" t="str">
        <f aca="false">IF($AH1179=1,IFERROR(VALUE(MID($D1179,2,20)),1000000000)+ROW()/10000000,"")</f>
        <v/>
      </c>
    </row>
    <row r="1180" customFormat="false" ht="15" hidden="false" customHeight="false" outlineLevel="0" collapsed="false">
      <c r="F1180" s="15"/>
      <c r="N1180" s="16" t="str">
        <f aca="false">IF($D1180="","",M1180*Y1180/100)</f>
        <v/>
      </c>
      <c r="V1180" s="16" t="str">
        <f aca="false">IF($D1180="","",Y1180*AB1180/100)</f>
        <v/>
      </c>
      <c r="W1180" s="16" t="str">
        <f aca="false">IF($D1180="","",Y1180-V1180)</f>
        <v/>
      </c>
      <c r="X1180" s="16" t="str">
        <f aca="false">IF($D1180="","",W1180-N1180)</f>
        <v/>
      </c>
      <c r="AB1180" s="17" t="str">
        <f aca="false">IF($D1180="","",IF(OR($R1180=TRUE(),$R1180="TRUE"),Settings!$C$6,Settings!$C$7)*100)</f>
        <v/>
      </c>
      <c r="AH1180" s="18" t="str">
        <f aca="false">IF($D1180="","",IF(COUNTIF($D$2:$D1180,$D1180)=1,1,0))</f>
        <v/>
      </c>
      <c r="AI1180" s="18" t="str">
        <f aca="false">IF($AH1180=1,SUMPRODUCT(--($AK$2:$AK$4001&lt;$AK1180))+1,"")</f>
        <v/>
      </c>
      <c r="AJ1180" s="18" t="str">
        <f aca="false">IF($D1180="","",IF(OR($R1180=TRUE(),$R1180="TRUE"),1,0))</f>
        <v/>
      </c>
      <c r="AK1180" s="18" t="str">
        <f aca="false">IF($AH1180=1,IFERROR(VALUE(MID($D1180,2,20)),1000000000)+ROW()/10000000,"")</f>
        <v/>
      </c>
    </row>
    <row r="1181" customFormat="false" ht="15" hidden="false" customHeight="false" outlineLevel="0" collapsed="false">
      <c r="F1181" s="15"/>
      <c r="N1181" s="16" t="str">
        <f aca="false">IF($D1181="","",M1181*Y1181/100)</f>
        <v/>
      </c>
      <c r="V1181" s="16" t="str">
        <f aca="false">IF($D1181="","",Y1181*AB1181/100)</f>
        <v/>
      </c>
      <c r="W1181" s="16" t="str">
        <f aca="false">IF($D1181="","",Y1181-V1181)</f>
        <v/>
      </c>
      <c r="X1181" s="16" t="str">
        <f aca="false">IF($D1181="","",W1181-N1181)</f>
        <v/>
      </c>
      <c r="AB1181" s="17" t="str">
        <f aca="false">IF($D1181="","",IF(OR($R1181=TRUE(),$R1181="TRUE"),Settings!$C$6,Settings!$C$7)*100)</f>
        <v/>
      </c>
      <c r="AH1181" s="18" t="str">
        <f aca="false">IF($D1181="","",IF(COUNTIF($D$2:$D1181,$D1181)=1,1,0))</f>
        <v/>
      </c>
      <c r="AI1181" s="18" t="str">
        <f aca="false">IF($AH1181=1,SUMPRODUCT(--($AK$2:$AK$4001&lt;$AK1181))+1,"")</f>
        <v/>
      </c>
      <c r="AJ1181" s="18" t="str">
        <f aca="false">IF($D1181="","",IF(OR($R1181=TRUE(),$R1181="TRUE"),1,0))</f>
        <v/>
      </c>
      <c r="AK1181" s="18" t="str">
        <f aca="false">IF($AH1181=1,IFERROR(VALUE(MID($D1181,2,20)),1000000000)+ROW()/10000000,"")</f>
        <v/>
      </c>
    </row>
    <row r="1182" customFormat="false" ht="15" hidden="false" customHeight="false" outlineLevel="0" collapsed="false">
      <c r="F1182" s="15"/>
      <c r="N1182" s="16" t="str">
        <f aca="false">IF($D1182="","",M1182*Y1182/100)</f>
        <v/>
      </c>
      <c r="V1182" s="16" t="str">
        <f aca="false">IF($D1182="","",Y1182*AB1182/100)</f>
        <v/>
      </c>
      <c r="W1182" s="16" t="str">
        <f aca="false">IF($D1182="","",Y1182-V1182)</f>
        <v/>
      </c>
      <c r="X1182" s="16" t="str">
        <f aca="false">IF($D1182="","",W1182-N1182)</f>
        <v/>
      </c>
      <c r="AB1182" s="17" t="str">
        <f aca="false">IF($D1182="","",IF(OR($R1182=TRUE(),$R1182="TRUE"),Settings!$C$6,Settings!$C$7)*100)</f>
        <v/>
      </c>
      <c r="AH1182" s="18" t="str">
        <f aca="false">IF($D1182="","",IF(COUNTIF($D$2:$D1182,$D1182)=1,1,0))</f>
        <v/>
      </c>
      <c r="AI1182" s="18" t="str">
        <f aca="false">IF($AH1182=1,SUMPRODUCT(--($AK$2:$AK$4001&lt;$AK1182))+1,"")</f>
        <v/>
      </c>
      <c r="AJ1182" s="18" t="str">
        <f aca="false">IF($D1182="","",IF(OR($R1182=TRUE(),$R1182="TRUE"),1,0))</f>
        <v/>
      </c>
      <c r="AK1182" s="18" t="str">
        <f aca="false">IF($AH1182=1,IFERROR(VALUE(MID($D1182,2,20)),1000000000)+ROW()/10000000,"")</f>
        <v/>
      </c>
    </row>
    <row r="1183" customFormat="false" ht="15" hidden="false" customHeight="false" outlineLevel="0" collapsed="false">
      <c r="F1183" s="15"/>
      <c r="N1183" s="16" t="str">
        <f aca="false">IF($D1183="","",M1183*Y1183/100)</f>
        <v/>
      </c>
      <c r="V1183" s="16" t="str">
        <f aca="false">IF($D1183="","",Y1183*AB1183/100)</f>
        <v/>
      </c>
      <c r="W1183" s="16" t="str">
        <f aca="false">IF($D1183="","",Y1183-V1183)</f>
        <v/>
      </c>
      <c r="X1183" s="16" t="str">
        <f aca="false">IF($D1183="","",W1183-N1183)</f>
        <v/>
      </c>
      <c r="AB1183" s="17" t="str">
        <f aca="false">IF($D1183="","",IF(OR($R1183=TRUE(),$R1183="TRUE"),Settings!$C$6,Settings!$C$7)*100)</f>
        <v/>
      </c>
      <c r="AH1183" s="18" t="str">
        <f aca="false">IF($D1183="","",IF(COUNTIF($D$2:$D1183,$D1183)=1,1,0))</f>
        <v/>
      </c>
      <c r="AI1183" s="18" t="str">
        <f aca="false">IF($AH1183=1,SUMPRODUCT(--($AK$2:$AK$4001&lt;$AK1183))+1,"")</f>
        <v/>
      </c>
      <c r="AJ1183" s="18" t="str">
        <f aca="false">IF($D1183="","",IF(OR($R1183=TRUE(),$R1183="TRUE"),1,0))</f>
        <v/>
      </c>
      <c r="AK1183" s="18" t="str">
        <f aca="false">IF($AH1183=1,IFERROR(VALUE(MID($D1183,2,20)),1000000000)+ROW()/10000000,"")</f>
        <v/>
      </c>
    </row>
    <row r="1184" customFormat="false" ht="15" hidden="false" customHeight="false" outlineLevel="0" collapsed="false">
      <c r="F1184" s="15"/>
      <c r="N1184" s="16" t="str">
        <f aca="false">IF($D1184="","",M1184*Y1184/100)</f>
        <v/>
      </c>
      <c r="V1184" s="16" t="str">
        <f aca="false">IF($D1184="","",Y1184*AB1184/100)</f>
        <v/>
      </c>
      <c r="W1184" s="16" t="str">
        <f aca="false">IF($D1184="","",Y1184-V1184)</f>
        <v/>
      </c>
      <c r="X1184" s="16" t="str">
        <f aca="false">IF($D1184="","",W1184-N1184)</f>
        <v/>
      </c>
      <c r="AB1184" s="17" t="str">
        <f aca="false">IF($D1184="","",IF(OR($R1184=TRUE(),$R1184="TRUE"),Settings!$C$6,Settings!$C$7)*100)</f>
        <v/>
      </c>
      <c r="AH1184" s="18" t="str">
        <f aca="false">IF($D1184="","",IF(COUNTIF($D$2:$D1184,$D1184)=1,1,0))</f>
        <v/>
      </c>
      <c r="AI1184" s="18" t="str">
        <f aca="false">IF($AH1184=1,SUMPRODUCT(--($AK$2:$AK$4001&lt;$AK1184))+1,"")</f>
        <v/>
      </c>
      <c r="AJ1184" s="18" t="str">
        <f aca="false">IF($D1184="","",IF(OR($R1184=TRUE(),$R1184="TRUE"),1,0))</f>
        <v/>
      </c>
      <c r="AK1184" s="18" t="str">
        <f aca="false">IF($AH1184=1,IFERROR(VALUE(MID($D1184,2,20)),1000000000)+ROW()/10000000,"")</f>
        <v/>
      </c>
    </row>
    <row r="1185" customFormat="false" ht="15" hidden="false" customHeight="false" outlineLevel="0" collapsed="false">
      <c r="F1185" s="15"/>
      <c r="N1185" s="16" t="str">
        <f aca="false">IF($D1185="","",M1185*Y1185/100)</f>
        <v/>
      </c>
      <c r="V1185" s="16" t="str">
        <f aca="false">IF($D1185="","",Y1185*AB1185/100)</f>
        <v/>
      </c>
      <c r="W1185" s="16" t="str">
        <f aca="false">IF($D1185="","",Y1185-V1185)</f>
        <v/>
      </c>
      <c r="X1185" s="16" t="str">
        <f aca="false">IF($D1185="","",W1185-N1185)</f>
        <v/>
      </c>
      <c r="AB1185" s="17" t="str">
        <f aca="false">IF($D1185="","",IF(OR($R1185=TRUE(),$R1185="TRUE"),Settings!$C$6,Settings!$C$7)*100)</f>
        <v/>
      </c>
      <c r="AH1185" s="18" t="str">
        <f aca="false">IF($D1185="","",IF(COUNTIF($D$2:$D1185,$D1185)=1,1,0))</f>
        <v/>
      </c>
      <c r="AI1185" s="18" t="str">
        <f aca="false">IF($AH1185=1,SUMPRODUCT(--($AK$2:$AK$4001&lt;$AK1185))+1,"")</f>
        <v/>
      </c>
      <c r="AJ1185" s="18" t="str">
        <f aca="false">IF($D1185="","",IF(OR($R1185=TRUE(),$R1185="TRUE"),1,0))</f>
        <v/>
      </c>
      <c r="AK1185" s="18" t="str">
        <f aca="false">IF($AH1185=1,IFERROR(VALUE(MID($D1185,2,20)),1000000000)+ROW()/10000000,"")</f>
        <v/>
      </c>
    </row>
    <row r="1186" customFormat="false" ht="15" hidden="false" customHeight="false" outlineLevel="0" collapsed="false">
      <c r="F1186" s="15"/>
      <c r="N1186" s="16" t="str">
        <f aca="false">IF($D1186="","",M1186*Y1186/100)</f>
        <v/>
      </c>
      <c r="V1186" s="16" t="str">
        <f aca="false">IF($D1186="","",Y1186*AB1186/100)</f>
        <v/>
      </c>
      <c r="W1186" s="16" t="str">
        <f aca="false">IF($D1186="","",Y1186-V1186)</f>
        <v/>
      </c>
      <c r="X1186" s="16" t="str">
        <f aca="false">IF($D1186="","",W1186-N1186)</f>
        <v/>
      </c>
      <c r="AB1186" s="17" t="str">
        <f aca="false">IF($D1186="","",IF(OR($R1186=TRUE(),$R1186="TRUE"),Settings!$C$6,Settings!$C$7)*100)</f>
        <v/>
      </c>
      <c r="AH1186" s="18" t="str">
        <f aca="false">IF($D1186="","",IF(COUNTIF($D$2:$D1186,$D1186)=1,1,0))</f>
        <v/>
      </c>
      <c r="AI1186" s="18" t="str">
        <f aca="false">IF($AH1186=1,SUMPRODUCT(--($AK$2:$AK$4001&lt;$AK1186))+1,"")</f>
        <v/>
      </c>
      <c r="AJ1186" s="18" t="str">
        <f aca="false">IF($D1186="","",IF(OR($R1186=TRUE(),$R1186="TRUE"),1,0))</f>
        <v/>
      </c>
      <c r="AK1186" s="18" t="str">
        <f aca="false">IF($AH1186=1,IFERROR(VALUE(MID($D1186,2,20)),1000000000)+ROW()/10000000,"")</f>
        <v/>
      </c>
    </row>
    <row r="1187" customFormat="false" ht="15" hidden="false" customHeight="false" outlineLevel="0" collapsed="false">
      <c r="F1187" s="15"/>
      <c r="N1187" s="16" t="str">
        <f aca="false">IF($D1187="","",M1187*Y1187/100)</f>
        <v/>
      </c>
      <c r="V1187" s="16" t="str">
        <f aca="false">IF($D1187="","",Y1187*AB1187/100)</f>
        <v/>
      </c>
      <c r="W1187" s="16" t="str">
        <f aca="false">IF($D1187="","",Y1187-V1187)</f>
        <v/>
      </c>
      <c r="X1187" s="16" t="str">
        <f aca="false">IF($D1187="","",W1187-N1187)</f>
        <v/>
      </c>
      <c r="AB1187" s="17" t="str">
        <f aca="false">IF($D1187="","",IF(OR($R1187=TRUE(),$R1187="TRUE"),Settings!$C$6,Settings!$C$7)*100)</f>
        <v/>
      </c>
      <c r="AH1187" s="18" t="str">
        <f aca="false">IF($D1187="","",IF(COUNTIF($D$2:$D1187,$D1187)=1,1,0))</f>
        <v/>
      </c>
      <c r="AI1187" s="18" t="str">
        <f aca="false">IF($AH1187=1,SUMPRODUCT(--($AK$2:$AK$4001&lt;$AK1187))+1,"")</f>
        <v/>
      </c>
      <c r="AJ1187" s="18" t="str">
        <f aca="false">IF($D1187="","",IF(OR($R1187=TRUE(),$R1187="TRUE"),1,0))</f>
        <v/>
      </c>
      <c r="AK1187" s="18" t="str">
        <f aca="false">IF($AH1187=1,IFERROR(VALUE(MID($D1187,2,20)),1000000000)+ROW()/10000000,"")</f>
        <v/>
      </c>
    </row>
    <row r="1188" customFormat="false" ht="15" hidden="false" customHeight="false" outlineLevel="0" collapsed="false">
      <c r="F1188" s="15"/>
      <c r="N1188" s="16" t="str">
        <f aca="false">IF($D1188="","",M1188*Y1188/100)</f>
        <v/>
      </c>
      <c r="V1188" s="16" t="str">
        <f aca="false">IF($D1188="","",Y1188*AB1188/100)</f>
        <v/>
      </c>
      <c r="W1188" s="16" t="str">
        <f aca="false">IF($D1188="","",Y1188-V1188)</f>
        <v/>
      </c>
      <c r="X1188" s="16" t="str">
        <f aca="false">IF($D1188="","",W1188-N1188)</f>
        <v/>
      </c>
      <c r="AB1188" s="17" t="str">
        <f aca="false">IF($D1188="","",IF(OR($R1188=TRUE(),$R1188="TRUE"),Settings!$C$6,Settings!$C$7)*100)</f>
        <v/>
      </c>
      <c r="AH1188" s="18" t="str">
        <f aca="false">IF($D1188="","",IF(COUNTIF($D$2:$D1188,$D1188)=1,1,0))</f>
        <v/>
      </c>
      <c r="AI1188" s="18" t="str">
        <f aca="false">IF($AH1188=1,SUMPRODUCT(--($AK$2:$AK$4001&lt;$AK1188))+1,"")</f>
        <v/>
      </c>
      <c r="AJ1188" s="18" t="str">
        <f aca="false">IF($D1188="","",IF(OR($R1188=TRUE(),$R1188="TRUE"),1,0))</f>
        <v/>
      </c>
      <c r="AK1188" s="18" t="str">
        <f aca="false">IF($AH1188=1,IFERROR(VALUE(MID($D1188,2,20)),1000000000)+ROW()/10000000,"")</f>
        <v/>
      </c>
    </row>
    <row r="1189" customFormat="false" ht="15" hidden="false" customHeight="false" outlineLevel="0" collapsed="false">
      <c r="F1189" s="15"/>
      <c r="N1189" s="16" t="str">
        <f aca="false">IF($D1189="","",M1189*Y1189/100)</f>
        <v/>
      </c>
      <c r="V1189" s="16" t="str">
        <f aca="false">IF($D1189="","",Y1189*AB1189/100)</f>
        <v/>
      </c>
      <c r="W1189" s="16" t="str">
        <f aca="false">IF($D1189="","",Y1189-V1189)</f>
        <v/>
      </c>
      <c r="X1189" s="16" t="str">
        <f aca="false">IF($D1189="","",W1189-N1189)</f>
        <v/>
      </c>
      <c r="AB1189" s="17" t="str">
        <f aca="false">IF($D1189="","",IF(OR($R1189=TRUE(),$R1189="TRUE"),Settings!$C$6,Settings!$C$7)*100)</f>
        <v/>
      </c>
      <c r="AH1189" s="18" t="str">
        <f aca="false">IF($D1189="","",IF(COUNTIF($D$2:$D1189,$D1189)=1,1,0))</f>
        <v/>
      </c>
      <c r="AI1189" s="18" t="str">
        <f aca="false">IF($AH1189=1,SUMPRODUCT(--($AK$2:$AK$4001&lt;$AK1189))+1,"")</f>
        <v/>
      </c>
      <c r="AJ1189" s="18" t="str">
        <f aca="false">IF($D1189="","",IF(OR($R1189=TRUE(),$R1189="TRUE"),1,0))</f>
        <v/>
      </c>
      <c r="AK1189" s="18" t="str">
        <f aca="false">IF($AH1189=1,IFERROR(VALUE(MID($D1189,2,20)),1000000000)+ROW()/10000000,"")</f>
        <v/>
      </c>
    </row>
    <row r="1190" customFormat="false" ht="15" hidden="false" customHeight="false" outlineLevel="0" collapsed="false">
      <c r="F1190" s="15"/>
      <c r="N1190" s="16" t="str">
        <f aca="false">IF($D1190="","",M1190*Y1190/100)</f>
        <v/>
      </c>
      <c r="V1190" s="16" t="str">
        <f aca="false">IF($D1190="","",Y1190*AB1190/100)</f>
        <v/>
      </c>
      <c r="W1190" s="16" t="str">
        <f aca="false">IF($D1190="","",Y1190-V1190)</f>
        <v/>
      </c>
      <c r="X1190" s="16" t="str">
        <f aca="false">IF($D1190="","",W1190-N1190)</f>
        <v/>
      </c>
      <c r="AB1190" s="17" t="str">
        <f aca="false">IF($D1190="","",IF(OR($R1190=TRUE(),$R1190="TRUE"),Settings!$C$6,Settings!$C$7)*100)</f>
        <v/>
      </c>
      <c r="AH1190" s="18" t="str">
        <f aca="false">IF($D1190="","",IF(COUNTIF($D$2:$D1190,$D1190)=1,1,0))</f>
        <v/>
      </c>
      <c r="AI1190" s="18" t="str">
        <f aca="false">IF($AH1190=1,SUMPRODUCT(--($AK$2:$AK$4001&lt;$AK1190))+1,"")</f>
        <v/>
      </c>
      <c r="AJ1190" s="18" t="str">
        <f aca="false">IF($D1190="","",IF(OR($R1190=TRUE(),$R1190="TRUE"),1,0))</f>
        <v/>
      </c>
      <c r="AK1190" s="18" t="str">
        <f aca="false">IF($AH1190=1,IFERROR(VALUE(MID($D1190,2,20)),1000000000)+ROW()/10000000,"")</f>
        <v/>
      </c>
    </row>
    <row r="1191" customFormat="false" ht="15" hidden="false" customHeight="false" outlineLevel="0" collapsed="false">
      <c r="F1191" s="15"/>
      <c r="N1191" s="16" t="str">
        <f aca="false">IF($D1191="","",M1191*Y1191/100)</f>
        <v/>
      </c>
      <c r="V1191" s="16" t="str">
        <f aca="false">IF($D1191="","",Y1191*AB1191/100)</f>
        <v/>
      </c>
      <c r="W1191" s="16" t="str">
        <f aca="false">IF($D1191="","",Y1191-V1191)</f>
        <v/>
      </c>
      <c r="X1191" s="16" t="str">
        <f aca="false">IF($D1191="","",W1191-N1191)</f>
        <v/>
      </c>
      <c r="AB1191" s="17" t="str">
        <f aca="false">IF($D1191="","",IF(OR($R1191=TRUE(),$R1191="TRUE"),Settings!$C$6,Settings!$C$7)*100)</f>
        <v/>
      </c>
      <c r="AH1191" s="18" t="str">
        <f aca="false">IF($D1191="","",IF(COUNTIF($D$2:$D1191,$D1191)=1,1,0))</f>
        <v/>
      </c>
      <c r="AI1191" s="18" t="str">
        <f aca="false">IF($AH1191=1,SUMPRODUCT(--($AK$2:$AK$4001&lt;$AK1191))+1,"")</f>
        <v/>
      </c>
      <c r="AJ1191" s="18" t="str">
        <f aca="false">IF($D1191="","",IF(OR($R1191=TRUE(),$R1191="TRUE"),1,0))</f>
        <v/>
      </c>
      <c r="AK1191" s="18" t="str">
        <f aca="false">IF($AH1191=1,IFERROR(VALUE(MID($D1191,2,20)),1000000000)+ROW()/10000000,"")</f>
        <v/>
      </c>
    </row>
    <row r="1192" customFormat="false" ht="15" hidden="false" customHeight="false" outlineLevel="0" collapsed="false">
      <c r="F1192" s="15"/>
      <c r="N1192" s="16" t="str">
        <f aca="false">IF($D1192="","",M1192*Y1192/100)</f>
        <v/>
      </c>
      <c r="V1192" s="16" t="str">
        <f aca="false">IF($D1192="","",Y1192*AB1192/100)</f>
        <v/>
      </c>
      <c r="W1192" s="16" t="str">
        <f aca="false">IF($D1192="","",Y1192-V1192)</f>
        <v/>
      </c>
      <c r="X1192" s="16" t="str">
        <f aca="false">IF($D1192="","",W1192-N1192)</f>
        <v/>
      </c>
      <c r="AB1192" s="17" t="str">
        <f aca="false">IF($D1192="","",IF(OR($R1192=TRUE(),$R1192="TRUE"),Settings!$C$6,Settings!$C$7)*100)</f>
        <v/>
      </c>
      <c r="AH1192" s="18" t="str">
        <f aca="false">IF($D1192="","",IF(COUNTIF($D$2:$D1192,$D1192)=1,1,0))</f>
        <v/>
      </c>
      <c r="AI1192" s="18" t="str">
        <f aca="false">IF($AH1192=1,SUMPRODUCT(--($AK$2:$AK$4001&lt;$AK1192))+1,"")</f>
        <v/>
      </c>
      <c r="AJ1192" s="18" t="str">
        <f aca="false">IF($D1192="","",IF(OR($R1192=TRUE(),$R1192="TRUE"),1,0))</f>
        <v/>
      </c>
      <c r="AK1192" s="18" t="str">
        <f aca="false">IF($AH1192=1,IFERROR(VALUE(MID($D1192,2,20)),1000000000)+ROW()/10000000,"")</f>
        <v/>
      </c>
    </row>
    <row r="1193" customFormat="false" ht="15" hidden="false" customHeight="false" outlineLevel="0" collapsed="false">
      <c r="F1193" s="15"/>
      <c r="N1193" s="16" t="str">
        <f aca="false">IF($D1193="","",M1193*Y1193/100)</f>
        <v/>
      </c>
      <c r="V1193" s="16" t="str">
        <f aca="false">IF($D1193="","",Y1193*AB1193/100)</f>
        <v/>
      </c>
      <c r="W1193" s="16" t="str">
        <f aca="false">IF($D1193="","",Y1193-V1193)</f>
        <v/>
      </c>
      <c r="X1193" s="16" t="str">
        <f aca="false">IF($D1193="","",W1193-N1193)</f>
        <v/>
      </c>
      <c r="AB1193" s="17" t="str">
        <f aca="false">IF($D1193="","",IF(OR($R1193=TRUE(),$R1193="TRUE"),Settings!$C$6,Settings!$C$7)*100)</f>
        <v/>
      </c>
      <c r="AH1193" s="18" t="str">
        <f aca="false">IF($D1193="","",IF(COUNTIF($D$2:$D1193,$D1193)=1,1,0))</f>
        <v/>
      </c>
      <c r="AI1193" s="18" t="str">
        <f aca="false">IF($AH1193=1,SUMPRODUCT(--($AK$2:$AK$4001&lt;$AK1193))+1,"")</f>
        <v/>
      </c>
      <c r="AJ1193" s="18" t="str">
        <f aca="false">IF($D1193="","",IF(OR($R1193=TRUE(),$R1193="TRUE"),1,0))</f>
        <v/>
      </c>
      <c r="AK1193" s="18" t="str">
        <f aca="false">IF($AH1193=1,IFERROR(VALUE(MID($D1193,2,20)),1000000000)+ROW()/10000000,"")</f>
        <v/>
      </c>
    </row>
    <row r="1194" customFormat="false" ht="15" hidden="false" customHeight="false" outlineLevel="0" collapsed="false">
      <c r="F1194" s="15"/>
      <c r="N1194" s="16" t="str">
        <f aca="false">IF($D1194="","",M1194*Y1194/100)</f>
        <v/>
      </c>
      <c r="V1194" s="16" t="str">
        <f aca="false">IF($D1194="","",Y1194*AB1194/100)</f>
        <v/>
      </c>
      <c r="W1194" s="16" t="str">
        <f aca="false">IF($D1194="","",Y1194-V1194)</f>
        <v/>
      </c>
      <c r="X1194" s="16" t="str">
        <f aca="false">IF($D1194="","",W1194-N1194)</f>
        <v/>
      </c>
      <c r="AB1194" s="17" t="str">
        <f aca="false">IF($D1194="","",IF(OR($R1194=TRUE(),$R1194="TRUE"),Settings!$C$6,Settings!$C$7)*100)</f>
        <v/>
      </c>
      <c r="AH1194" s="18" t="str">
        <f aca="false">IF($D1194="","",IF(COUNTIF($D$2:$D1194,$D1194)=1,1,0))</f>
        <v/>
      </c>
      <c r="AI1194" s="18" t="str">
        <f aca="false">IF($AH1194=1,SUMPRODUCT(--($AK$2:$AK$4001&lt;$AK1194))+1,"")</f>
        <v/>
      </c>
      <c r="AJ1194" s="18" t="str">
        <f aca="false">IF($D1194="","",IF(OR($R1194=TRUE(),$R1194="TRUE"),1,0))</f>
        <v/>
      </c>
      <c r="AK1194" s="18" t="str">
        <f aca="false">IF($AH1194=1,IFERROR(VALUE(MID($D1194,2,20)),1000000000)+ROW()/10000000,"")</f>
        <v/>
      </c>
    </row>
    <row r="1195" customFormat="false" ht="15" hidden="false" customHeight="false" outlineLevel="0" collapsed="false">
      <c r="F1195" s="15"/>
      <c r="N1195" s="16" t="str">
        <f aca="false">IF($D1195="","",M1195*Y1195/100)</f>
        <v/>
      </c>
      <c r="V1195" s="16" t="str">
        <f aca="false">IF($D1195="","",Y1195*AB1195/100)</f>
        <v/>
      </c>
      <c r="W1195" s="16" t="str">
        <f aca="false">IF($D1195="","",Y1195-V1195)</f>
        <v/>
      </c>
      <c r="X1195" s="16" t="str">
        <f aca="false">IF($D1195="","",W1195-N1195)</f>
        <v/>
      </c>
      <c r="AB1195" s="17" t="str">
        <f aca="false">IF($D1195="","",IF(OR($R1195=TRUE(),$R1195="TRUE"),Settings!$C$6,Settings!$C$7)*100)</f>
        <v/>
      </c>
      <c r="AH1195" s="18" t="str">
        <f aca="false">IF($D1195="","",IF(COUNTIF($D$2:$D1195,$D1195)=1,1,0))</f>
        <v/>
      </c>
      <c r="AI1195" s="18" t="str">
        <f aca="false">IF($AH1195=1,SUMPRODUCT(--($AK$2:$AK$4001&lt;$AK1195))+1,"")</f>
        <v/>
      </c>
      <c r="AJ1195" s="18" t="str">
        <f aca="false">IF($D1195="","",IF(OR($R1195=TRUE(),$R1195="TRUE"),1,0))</f>
        <v/>
      </c>
      <c r="AK1195" s="18" t="str">
        <f aca="false">IF($AH1195=1,IFERROR(VALUE(MID($D1195,2,20)),1000000000)+ROW()/10000000,"")</f>
        <v/>
      </c>
    </row>
    <row r="1196" customFormat="false" ht="15" hidden="false" customHeight="false" outlineLevel="0" collapsed="false">
      <c r="F1196" s="15"/>
      <c r="N1196" s="16" t="str">
        <f aca="false">IF($D1196="","",M1196*Y1196/100)</f>
        <v/>
      </c>
      <c r="V1196" s="16" t="str">
        <f aca="false">IF($D1196="","",Y1196*AB1196/100)</f>
        <v/>
      </c>
      <c r="W1196" s="16" t="str">
        <f aca="false">IF($D1196="","",Y1196-V1196)</f>
        <v/>
      </c>
      <c r="X1196" s="16" t="str">
        <f aca="false">IF($D1196="","",W1196-N1196)</f>
        <v/>
      </c>
      <c r="AB1196" s="17" t="str">
        <f aca="false">IF($D1196="","",IF(OR($R1196=TRUE(),$R1196="TRUE"),Settings!$C$6,Settings!$C$7)*100)</f>
        <v/>
      </c>
      <c r="AH1196" s="18" t="str">
        <f aca="false">IF($D1196="","",IF(COUNTIF($D$2:$D1196,$D1196)=1,1,0))</f>
        <v/>
      </c>
      <c r="AI1196" s="18" t="str">
        <f aca="false">IF($AH1196=1,SUMPRODUCT(--($AK$2:$AK$4001&lt;$AK1196))+1,"")</f>
        <v/>
      </c>
      <c r="AJ1196" s="18" t="str">
        <f aca="false">IF($D1196="","",IF(OR($R1196=TRUE(),$R1196="TRUE"),1,0))</f>
        <v/>
      </c>
      <c r="AK1196" s="18" t="str">
        <f aca="false">IF($AH1196=1,IFERROR(VALUE(MID($D1196,2,20)),1000000000)+ROW()/10000000,"")</f>
        <v/>
      </c>
    </row>
    <row r="1197" customFormat="false" ht="15" hidden="false" customHeight="false" outlineLevel="0" collapsed="false">
      <c r="F1197" s="15"/>
      <c r="N1197" s="16" t="str">
        <f aca="false">IF($D1197="","",M1197*Y1197/100)</f>
        <v/>
      </c>
      <c r="V1197" s="16" t="str">
        <f aca="false">IF($D1197="","",Y1197*AB1197/100)</f>
        <v/>
      </c>
      <c r="W1197" s="16" t="str">
        <f aca="false">IF($D1197="","",Y1197-V1197)</f>
        <v/>
      </c>
      <c r="X1197" s="16" t="str">
        <f aca="false">IF($D1197="","",W1197-N1197)</f>
        <v/>
      </c>
      <c r="AB1197" s="17" t="str">
        <f aca="false">IF($D1197="","",IF(OR($R1197=TRUE(),$R1197="TRUE"),Settings!$C$6,Settings!$C$7)*100)</f>
        <v/>
      </c>
      <c r="AH1197" s="18" t="str">
        <f aca="false">IF($D1197="","",IF(COUNTIF($D$2:$D1197,$D1197)=1,1,0))</f>
        <v/>
      </c>
      <c r="AI1197" s="18" t="str">
        <f aca="false">IF($AH1197=1,SUMPRODUCT(--($AK$2:$AK$4001&lt;$AK1197))+1,"")</f>
        <v/>
      </c>
      <c r="AJ1197" s="18" t="str">
        <f aca="false">IF($D1197="","",IF(OR($R1197=TRUE(),$R1197="TRUE"),1,0))</f>
        <v/>
      </c>
      <c r="AK1197" s="18" t="str">
        <f aca="false">IF($AH1197=1,IFERROR(VALUE(MID($D1197,2,20)),1000000000)+ROW()/10000000,"")</f>
        <v/>
      </c>
    </row>
    <row r="1198" customFormat="false" ht="15" hidden="false" customHeight="false" outlineLevel="0" collapsed="false">
      <c r="F1198" s="15"/>
      <c r="N1198" s="16" t="str">
        <f aca="false">IF($D1198="","",M1198*Y1198/100)</f>
        <v/>
      </c>
      <c r="V1198" s="16" t="str">
        <f aca="false">IF($D1198="","",Y1198*AB1198/100)</f>
        <v/>
      </c>
      <c r="W1198" s="16" t="str">
        <f aca="false">IF($D1198="","",Y1198-V1198)</f>
        <v/>
      </c>
      <c r="X1198" s="16" t="str">
        <f aca="false">IF($D1198="","",W1198-N1198)</f>
        <v/>
      </c>
      <c r="AB1198" s="17" t="str">
        <f aca="false">IF($D1198="","",IF(OR($R1198=TRUE(),$R1198="TRUE"),Settings!$C$6,Settings!$C$7)*100)</f>
        <v/>
      </c>
      <c r="AH1198" s="18" t="str">
        <f aca="false">IF($D1198="","",IF(COUNTIF($D$2:$D1198,$D1198)=1,1,0))</f>
        <v/>
      </c>
      <c r="AI1198" s="18" t="str">
        <f aca="false">IF($AH1198=1,SUMPRODUCT(--($AK$2:$AK$4001&lt;$AK1198))+1,"")</f>
        <v/>
      </c>
      <c r="AJ1198" s="18" t="str">
        <f aca="false">IF($D1198="","",IF(OR($R1198=TRUE(),$R1198="TRUE"),1,0))</f>
        <v/>
      </c>
      <c r="AK1198" s="18" t="str">
        <f aca="false">IF($AH1198=1,IFERROR(VALUE(MID($D1198,2,20)),1000000000)+ROW()/10000000,"")</f>
        <v/>
      </c>
    </row>
    <row r="1199" customFormat="false" ht="15" hidden="false" customHeight="false" outlineLevel="0" collapsed="false">
      <c r="F1199" s="15"/>
      <c r="N1199" s="16" t="str">
        <f aca="false">IF($D1199="","",M1199*Y1199/100)</f>
        <v/>
      </c>
      <c r="V1199" s="16" t="str">
        <f aca="false">IF($D1199="","",Y1199*AB1199/100)</f>
        <v/>
      </c>
      <c r="W1199" s="16" t="str">
        <f aca="false">IF($D1199="","",Y1199-V1199)</f>
        <v/>
      </c>
      <c r="X1199" s="16" t="str">
        <f aca="false">IF($D1199="","",W1199-N1199)</f>
        <v/>
      </c>
      <c r="AB1199" s="17" t="str">
        <f aca="false">IF($D1199="","",IF(OR($R1199=TRUE(),$R1199="TRUE"),Settings!$C$6,Settings!$C$7)*100)</f>
        <v/>
      </c>
      <c r="AH1199" s="18" t="str">
        <f aca="false">IF($D1199="","",IF(COUNTIF($D$2:$D1199,$D1199)=1,1,0))</f>
        <v/>
      </c>
      <c r="AI1199" s="18" t="str">
        <f aca="false">IF($AH1199=1,SUMPRODUCT(--($AK$2:$AK$4001&lt;$AK1199))+1,"")</f>
        <v/>
      </c>
      <c r="AJ1199" s="18" t="str">
        <f aca="false">IF($D1199="","",IF(OR($R1199=TRUE(),$R1199="TRUE"),1,0))</f>
        <v/>
      </c>
      <c r="AK1199" s="18" t="str">
        <f aca="false">IF($AH1199=1,IFERROR(VALUE(MID($D1199,2,20)),1000000000)+ROW()/10000000,"")</f>
        <v/>
      </c>
    </row>
    <row r="1200" customFormat="false" ht="15" hidden="false" customHeight="false" outlineLevel="0" collapsed="false">
      <c r="F1200" s="15"/>
      <c r="N1200" s="16" t="str">
        <f aca="false">IF($D1200="","",M1200*Y1200/100)</f>
        <v/>
      </c>
      <c r="V1200" s="16" t="str">
        <f aca="false">IF($D1200="","",Y1200*AB1200/100)</f>
        <v/>
      </c>
      <c r="W1200" s="16" t="str">
        <f aca="false">IF($D1200="","",Y1200-V1200)</f>
        <v/>
      </c>
      <c r="X1200" s="16" t="str">
        <f aca="false">IF($D1200="","",W1200-N1200)</f>
        <v/>
      </c>
      <c r="AB1200" s="17" t="str">
        <f aca="false">IF($D1200="","",IF(OR($R1200=TRUE(),$R1200="TRUE"),Settings!$C$6,Settings!$C$7)*100)</f>
        <v/>
      </c>
      <c r="AH1200" s="18" t="str">
        <f aca="false">IF($D1200="","",IF(COUNTIF($D$2:$D1200,$D1200)=1,1,0))</f>
        <v/>
      </c>
      <c r="AI1200" s="18" t="str">
        <f aca="false">IF($AH1200=1,SUMPRODUCT(--($AK$2:$AK$4001&lt;$AK1200))+1,"")</f>
        <v/>
      </c>
      <c r="AJ1200" s="18" t="str">
        <f aca="false">IF($D1200="","",IF(OR($R1200=TRUE(),$R1200="TRUE"),1,0))</f>
        <v/>
      </c>
      <c r="AK1200" s="18" t="str">
        <f aca="false">IF($AH1200=1,IFERROR(VALUE(MID($D1200,2,20)),1000000000)+ROW()/10000000,"")</f>
        <v/>
      </c>
    </row>
    <row r="1201" customFormat="false" ht="15" hidden="false" customHeight="false" outlineLevel="0" collapsed="false">
      <c r="F1201" s="15"/>
      <c r="N1201" s="16" t="str">
        <f aca="false">IF($D1201="","",M1201*Y1201/100)</f>
        <v/>
      </c>
      <c r="V1201" s="16" t="str">
        <f aca="false">IF($D1201="","",Y1201*AB1201/100)</f>
        <v/>
      </c>
      <c r="W1201" s="16" t="str">
        <f aca="false">IF($D1201="","",Y1201-V1201)</f>
        <v/>
      </c>
      <c r="X1201" s="16" t="str">
        <f aca="false">IF($D1201="","",W1201-N1201)</f>
        <v/>
      </c>
      <c r="AB1201" s="17" t="str">
        <f aca="false">IF($D1201="","",IF(OR($R1201=TRUE(),$R1201="TRUE"),Settings!$C$6,Settings!$C$7)*100)</f>
        <v/>
      </c>
      <c r="AH1201" s="18" t="str">
        <f aca="false">IF($D1201="","",IF(COUNTIF($D$2:$D1201,$D1201)=1,1,0))</f>
        <v/>
      </c>
      <c r="AI1201" s="18" t="str">
        <f aca="false">IF($AH1201=1,SUMPRODUCT(--($AK$2:$AK$4001&lt;$AK1201))+1,"")</f>
        <v/>
      </c>
      <c r="AJ1201" s="18" t="str">
        <f aca="false">IF($D1201="","",IF(OR($R1201=TRUE(),$R1201="TRUE"),1,0))</f>
        <v/>
      </c>
      <c r="AK1201" s="18" t="str">
        <f aca="false">IF($AH1201=1,IFERROR(VALUE(MID($D1201,2,20)),1000000000)+ROW()/10000000,"")</f>
        <v/>
      </c>
    </row>
    <row r="1202" customFormat="false" ht="15" hidden="false" customHeight="false" outlineLevel="0" collapsed="false">
      <c r="F1202" s="15"/>
      <c r="N1202" s="16" t="str">
        <f aca="false">IF($D1202="","",M1202*Y1202/100)</f>
        <v/>
      </c>
      <c r="V1202" s="16" t="str">
        <f aca="false">IF($D1202="","",Y1202*AB1202/100)</f>
        <v/>
      </c>
      <c r="W1202" s="16" t="str">
        <f aca="false">IF($D1202="","",Y1202-V1202)</f>
        <v/>
      </c>
      <c r="X1202" s="16" t="str">
        <f aca="false">IF($D1202="","",W1202-N1202)</f>
        <v/>
      </c>
      <c r="AB1202" s="17" t="str">
        <f aca="false">IF($D1202="","",IF(OR($R1202=TRUE(),$R1202="TRUE"),Settings!$C$6,Settings!$C$7)*100)</f>
        <v/>
      </c>
      <c r="AH1202" s="18" t="str">
        <f aca="false">IF($D1202="","",IF(COUNTIF($D$2:$D1202,$D1202)=1,1,0))</f>
        <v/>
      </c>
      <c r="AI1202" s="18" t="str">
        <f aca="false">IF($AH1202=1,SUMPRODUCT(--($AK$2:$AK$4001&lt;$AK1202))+1,"")</f>
        <v/>
      </c>
      <c r="AJ1202" s="18" t="str">
        <f aca="false">IF($D1202="","",IF(OR($R1202=TRUE(),$R1202="TRUE"),1,0))</f>
        <v/>
      </c>
      <c r="AK1202" s="18" t="str">
        <f aca="false">IF($AH1202=1,IFERROR(VALUE(MID($D1202,2,20)),1000000000)+ROW()/10000000,"")</f>
        <v/>
      </c>
    </row>
    <row r="1203" customFormat="false" ht="15" hidden="false" customHeight="false" outlineLevel="0" collapsed="false">
      <c r="F1203" s="15"/>
      <c r="N1203" s="16" t="str">
        <f aca="false">IF($D1203="","",M1203*Y1203/100)</f>
        <v/>
      </c>
      <c r="V1203" s="16" t="str">
        <f aca="false">IF($D1203="","",Y1203*AB1203/100)</f>
        <v/>
      </c>
      <c r="W1203" s="16" t="str">
        <f aca="false">IF($D1203="","",Y1203-V1203)</f>
        <v/>
      </c>
      <c r="X1203" s="16" t="str">
        <f aca="false">IF($D1203="","",W1203-N1203)</f>
        <v/>
      </c>
      <c r="AB1203" s="17" t="str">
        <f aca="false">IF($D1203="","",IF(OR($R1203=TRUE(),$R1203="TRUE"),Settings!$C$6,Settings!$C$7)*100)</f>
        <v/>
      </c>
      <c r="AH1203" s="18" t="str">
        <f aca="false">IF($D1203="","",IF(COUNTIF($D$2:$D1203,$D1203)=1,1,0))</f>
        <v/>
      </c>
      <c r="AI1203" s="18" t="str">
        <f aca="false">IF($AH1203=1,SUMPRODUCT(--($AK$2:$AK$4001&lt;$AK1203))+1,"")</f>
        <v/>
      </c>
      <c r="AJ1203" s="18" t="str">
        <f aca="false">IF($D1203="","",IF(OR($R1203=TRUE(),$R1203="TRUE"),1,0))</f>
        <v/>
      </c>
      <c r="AK1203" s="18" t="str">
        <f aca="false">IF($AH1203=1,IFERROR(VALUE(MID($D1203,2,20)),1000000000)+ROW()/10000000,"")</f>
        <v/>
      </c>
    </row>
    <row r="1204" customFormat="false" ht="15" hidden="false" customHeight="false" outlineLevel="0" collapsed="false">
      <c r="F1204" s="15"/>
      <c r="N1204" s="16" t="str">
        <f aca="false">IF($D1204="","",M1204*Y1204/100)</f>
        <v/>
      </c>
      <c r="V1204" s="16" t="str">
        <f aca="false">IF($D1204="","",Y1204*AB1204/100)</f>
        <v/>
      </c>
      <c r="W1204" s="16" t="str">
        <f aca="false">IF($D1204="","",Y1204-V1204)</f>
        <v/>
      </c>
      <c r="X1204" s="16" t="str">
        <f aca="false">IF($D1204="","",W1204-N1204)</f>
        <v/>
      </c>
      <c r="AB1204" s="17" t="str">
        <f aca="false">IF($D1204="","",IF(OR($R1204=TRUE(),$R1204="TRUE"),Settings!$C$6,Settings!$C$7)*100)</f>
        <v/>
      </c>
      <c r="AH1204" s="18" t="str">
        <f aca="false">IF($D1204="","",IF(COUNTIF($D$2:$D1204,$D1204)=1,1,0))</f>
        <v/>
      </c>
      <c r="AI1204" s="18" t="str">
        <f aca="false">IF($AH1204=1,SUMPRODUCT(--($AK$2:$AK$4001&lt;$AK1204))+1,"")</f>
        <v/>
      </c>
      <c r="AJ1204" s="18" t="str">
        <f aca="false">IF($D1204="","",IF(OR($R1204=TRUE(),$R1204="TRUE"),1,0))</f>
        <v/>
      </c>
      <c r="AK1204" s="18" t="str">
        <f aca="false">IF($AH1204=1,IFERROR(VALUE(MID($D1204,2,20)),1000000000)+ROW()/10000000,"")</f>
        <v/>
      </c>
    </row>
    <row r="1205" customFormat="false" ht="15" hidden="false" customHeight="false" outlineLevel="0" collapsed="false">
      <c r="F1205" s="15"/>
      <c r="N1205" s="16" t="str">
        <f aca="false">IF($D1205="","",M1205*Y1205/100)</f>
        <v/>
      </c>
      <c r="V1205" s="16" t="str">
        <f aca="false">IF($D1205="","",Y1205*AB1205/100)</f>
        <v/>
      </c>
      <c r="W1205" s="16" t="str">
        <f aca="false">IF($D1205="","",Y1205-V1205)</f>
        <v/>
      </c>
      <c r="X1205" s="16" t="str">
        <f aca="false">IF($D1205="","",W1205-N1205)</f>
        <v/>
      </c>
      <c r="AB1205" s="17" t="str">
        <f aca="false">IF($D1205="","",IF(OR($R1205=TRUE(),$R1205="TRUE"),Settings!$C$6,Settings!$C$7)*100)</f>
        <v/>
      </c>
      <c r="AH1205" s="18" t="str">
        <f aca="false">IF($D1205="","",IF(COUNTIF($D$2:$D1205,$D1205)=1,1,0))</f>
        <v/>
      </c>
      <c r="AI1205" s="18" t="str">
        <f aca="false">IF($AH1205=1,SUMPRODUCT(--($AK$2:$AK$4001&lt;$AK1205))+1,"")</f>
        <v/>
      </c>
      <c r="AJ1205" s="18" t="str">
        <f aca="false">IF($D1205="","",IF(OR($R1205=TRUE(),$R1205="TRUE"),1,0))</f>
        <v/>
      </c>
      <c r="AK1205" s="18" t="str">
        <f aca="false">IF($AH1205=1,IFERROR(VALUE(MID($D1205,2,20)),1000000000)+ROW()/10000000,"")</f>
        <v/>
      </c>
    </row>
    <row r="1206" customFormat="false" ht="15" hidden="false" customHeight="false" outlineLevel="0" collapsed="false">
      <c r="F1206" s="15"/>
      <c r="N1206" s="16" t="str">
        <f aca="false">IF($D1206="","",M1206*Y1206/100)</f>
        <v/>
      </c>
      <c r="V1206" s="16" t="str">
        <f aca="false">IF($D1206="","",Y1206*AB1206/100)</f>
        <v/>
      </c>
      <c r="W1206" s="16" t="str">
        <f aca="false">IF($D1206="","",Y1206-V1206)</f>
        <v/>
      </c>
      <c r="X1206" s="16" t="str">
        <f aca="false">IF($D1206="","",W1206-N1206)</f>
        <v/>
      </c>
      <c r="AB1206" s="17" t="str">
        <f aca="false">IF($D1206="","",IF(OR($R1206=TRUE(),$R1206="TRUE"),Settings!$C$6,Settings!$C$7)*100)</f>
        <v/>
      </c>
      <c r="AH1206" s="18" t="str">
        <f aca="false">IF($D1206="","",IF(COUNTIF($D$2:$D1206,$D1206)=1,1,0))</f>
        <v/>
      </c>
      <c r="AI1206" s="18" t="str">
        <f aca="false">IF($AH1206=1,SUMPRODUCT(--($AK$2:$AK$4001&lt;$AK1206))+1,"")</f>
        <v/>
      </c>
      <c r="AJ1206" s="18" t="str">
        <f aca="false">IF($D1206="","",IF(OR($R1206=TRUE(),$R1206="TRUE"),1,0))</f>
        <v/>
      </c>
      <c r="AK1206" s="18" t="str">
        <f aca="false">IF($AH1206=1,IFERROR(VALUE(MID($D1206,2,20)),1000000000)+ROW()/10000000,"")</f>
        <v/>
      </c>
    </row>
    <row r="1207" customFormat="false" ht="15" hidden="false" customHeight="false" outlineLevel="0" collapsed="false">
      <c r="F1207" s="15"/>
      <c r="N1207" s="16" t="str">
        <f aca="false">IF($D1207="","",M1207*Y1207/100)</f>
        <v/>
      </c>
      <c r="V1207" s="16" t="str">
        <f aca="false">IF($D1207="","",Y1207*AB1207/100)</f>
        <v/>
      </c>
      <c r="W1207" s="16" t="str">
        <f aca="false">IF($D1207="","",Y1207-V1207)</f>
        <v/>
      </c>
      <c r="X1207" s="16" t="str">
        <f aca="false">IF($D1207="","",W1207-N1207)</f>
        <v/>
      </c>
      <c r="AB1207" s="17" t="str">
        <f aca="false">IF($D1207="","",IF(OR($R1207=TRUE(),$R1207="TRUE"),Settings!$C$6,Settings!$C$7)*100)</f>
        <v/>
      </c>
      <c r="AH1207" s="18" t="str">
        <f aca="false">IF($D1207="","",IF(COUNTIF($D$2:$D1207,$D1207)=1,1,0))</f>
        <v/>
      </c>
      <c r="AI1207" s="18" t="str">
        <f aca="false">IF($AH1207=1,SUMPRODUCT(--($AK$2:$AK$4001&lt;$AK1207))+1,"")</f>
        <v/>
      </c>
      <c r="AJ1207" s="18" t="str">
        <f aca="false">IF($D1207="","",IF(OR($R1207=TRUE(),$R1207="TRUE"),1,0))</f>
        <v/>
      </c>
      <c r="AK1207" s="18" t="str">
        <f aca="false">IF($AH1207=1,IFERROR(VALUE(MID($D1207,2,20)),1000000000)+ROW()/10000000,"")</f>
        <v/>
      </c>
    </row>
    <row r="1208" customFormat="false" ht="15" hidden="false" customHeight="false" outlineLevel="0" collapsed="false">
      <c r="F1208" s="15"/>
      <c r="N1208" s="16" t="str">
        <f aca="false">IF($D1208="","",M1208*Y1208/100)</f>
        <v/>
      </c>
      <c r="V1208" s="16" t="str">
        <f aca="false">IF($D1208="","",Y1208*AB1208/100)</f>
        <v/>
      </c>
      <c r="W1208" s="16" t="str">
        <f aca="false">IF($D1208="","",Y1208-V1208)</f>
        <v/>
      </c>
      <c r="X1208" s="16" t="str">
        <f aca="false">IF($D1208="","",W1208-N1208)</f>
        <v/>
      </c>
      <c r="AB1208" s="17" t="str">
        <f aca="false">IF($D1208="","",IF(OR($R1208=TRUE(),$R1208="TRUE"),Settings!$C$6,Settings!$C$7)*100)</f>
        <v/>
      </c>
      <c r="AH1208" s="18" t="str">
        <f aca="false">IF($D1208="","",IF(COUNTIF($D$2:$D1208,$D1208)=1,1,0))</f>
        <v/>
      </c>
      <c r="AI1208" s="18" t="str">
        <f aca="false">IF($AH1208=1,SUMPRODUCT(--($AK$2:$AK$4001&lt;$AK1208))+1,"")</f>
        <v/>
      </c>
      <c r="AJ1208" s="18" t="str">
        <f aca="false">IF($D1208="","",IF(OR($R1208=TRUE(),$R1208="TRUE"),1,0))</f>
        <v/>
      </c>
      <c r="AK1208" s="18" t="str">
        <f aca="false">IF($AH1208=1,IFERROR(VALUE(MID($D1208,2,20)),1000000000)+ROW()/10000000,"")</f>
        <v/>
      </c>
    </row>
    <row r="1209" customFormat="false" ht="15" hidden="false" customHeight="false" outlineLevel="0" collapsed="false">
      <c r="F1209" s="15"/>
      <c r="N1209" s="16" t="str">
        <f aca="false">IF($D1209="","",M1209*Y1209/100)</f>
        <v/>
      </c>
      <c r="V1209" s="16" t="str">
        <f aca="false">IF($D1209="","",Y1209*AB1209/100)</f>
        <v/>
      </c>
      <c r="W1209" s="16" t="str">
        <f aca="false">IF($D1209="","",Y1209-V1209)</f>
        <v/>
      </c>
      <c r="X1209" s="16" t="str">
        <f aca="false">IF($D1209="","",W1209-N1209)</f>
        <v/>
      </c>
      <c r="AB1209" s="17" t="str">
        <f aca="false">IF($D1209="","",IF(OR($R1209=TRUE(),$R1209="TRUE"),Settings!$C$6,Settings!$C$7)*100)</f>
        <v/>
      </c>
      <c r="AH1209" s="18" t="str">
        <f aca="false">IF($D1209="","",IF(COUNTIF($D$2:$D1209,$D1209)=1,1,0))</f>
        <v/>
      </c>
      <c r="AI1209" s="18" t="str">
        <f aca="false">IF($AH1209=1,SUMPRODUCT(--($AK$2:$AK$4001&lt;$AK1209))+1,"")</f>
        <v/>
      </c>
      <c r="AJ1209" s="18" t="str">
        <f aca="false">IF($D1209="","",IF(OR($R1209=TRUE(),$R1209="TRUE"),1,0))</f>
        <v/>
      </c>
      <c r="AK1209" s="18" t="str">
        <f aca="false">IF($AH1209=1,IFERROR(VALUE(MID($D1209,2,20)),1000000000)+ROW()/10000000,"")</f>
        <v/>
      </c>
    </row>
    <row r="1210" customFormat="false" ht="15" hidden="false" customHeight="false" outlineLevel="0" collapsed="false">
      <c r="F1210" s="15"/>
      <c r="N1210" s="16" t="str">
        <f aca="false">IF($D1210="","",M1210*Y1210/100)</f>
        <v/>
      </c>
      <c r="V1210" s="16" t="str">
        <f aca="false">IF($D1210="","",Y1210*AB1210/100)</f>
        <v/>
      </c>
      <c r="W1210" s="16" t="str">
        <f aca="false">IF($D1210="","",Y1210-V1210)</f>
        <v/>
      </c>
      <c r="X1210" s="16" t="str">
        <f aca="false">IF($D1210="","",W1210-N1210)</f>
        <v/>
      </c>
      <c r="AB1210" s="17" t="str">
        <f aca="false">IF($D1210="","",IF(OR($R1210=TRUE(),$R1210="TRUE"),Settings!$C$6,Settings!$C$7)*100)</f>
        <v/>
      </c>
      <c r="AH1210" s="18" t="str">
        <f aca="false">IF($D1210="","",IF(COUNTIF($D$2:$D1210,$D1210)=1,1,0))</f>
        <v/>
      </c>
      <c r="AI1210" s="18" t="str">
        <f aca="false">IF($AH1210=1,SUMPRODUCT(--($AK$2:$AK$4001&lt;$AK1210))+1,"")</f>
        <v/>
      </c>
      <c r="AJ1210" s="18" t="str">
        <f aca="false">IF($D1210="","",IF(OR($R1210=TRUE(),$R1210="TRUE"),1,0))</f>
        <v/>
      </c>
      <c r="AK1210" s="18" t="str">
        <f aca="false">IF($AH1210=1,IFERROR(VALUE(MID($D1210,2,20)),1000000000)+ROW()/10000000,"")</f>
        <v/>
      </c>
    </row>
    <row r="1211" customFormat="false" ht="15" hidden="false" customHeight="false" outlineLevel="0" collapsed="false">
      <c r="F1211" s="15"/>
      <c r="N1211" s="16" t="str">
        <f aca="false">IF($D1211="","",M1211*Y1211/100)</f>
        <v/>
      </c>
      <c r="V1211" s="16" t="str">
        <f aca="false">IF($D1211="","",Y1211*AB1211/100)</f>
        <v/>
      </c>
      <c r="W1211" s="16" t="str">
        <f aca="false">IF($D1211="","",Y1211-V1211)</f>
        <v/>
      </c>
      <c r="X1211" s="16" t="str">
        <f aca="false">IF($D1211="","",W1211-N1211)</f>
        <v/>
      </c>
      <c r="AB1211" s="17" t="str">
        <f aca="false">IF($D1211="","",IF(OR($R1211=TRUE(),$R1211="TRUE"),Settings!$C$6,Settings!$C$7)*100)</f>
        <v/>
      </c>
      <c r="AH1211" s="18" t="str">
        <f aca="false">IF($D1211="","",IF(COUNTIF($D$2:$D1211,$D1211)=1,1,0))</f>
        <v/>
      </c>
      <c r="AI1211" s="18" t="str">
        <f aca="false">IF($AH1211=1,SUMPRODUCT(--($AK$2:$AK$4001&lt;$AK1211))+1,"")</f>
        <v/>
      </c>
      <c r="AJ1211" s="18" t="str">
        <f aca="false">IF($D1211="","",IF(OR($R1211=TRUE(),$R1211="TRUE"),1,0))</f>
        <v/>
      </c>
      <c r="AK1211" s="18" t="str">
        <f aca="false">IF($AH1211=1,IFERROR(VALUE(MID($D1211,2,20)),1000000000)+ROW()/10000000,"")</f>
        <v/>
      </c>
    </row>
    <row r="1212" customFormat="false" ht="15" hidden="false" customHeight="false" outlineLevel="0" collapsed="false">
      <c r="F1212" s="15"/>
      <c r="N1212" s="16" t="str">
        <f aca="false">IF($D1212="","",M1212*Y1212/100)</f>
        <v/>
      </c>
      <c r="V1212" s="16" t="str">
        <f aca="false">IF($D1212="","",Y1212*AB1212/100)</f>
        <v/>
      </c>
      <c r="W1212" s="16" t="str">
        <f aca="false">IF($D1212="","",Y1212-V1212)</f>
        <v/>
      </c>
      <c r="X1212" s="16" t="str">
        <f aca="false">IF($D1212="","",W1212-N1212)</f>
        <v/>
      </c>
      <c r="AB1212" s="17" t="str">
        <f aca="false">IF($D1212="","",IF(OR($R1212=TRUE(),$R1212="TRUE"),Settings!$C$6,Settings!$C$7)*100)</f>
        <v/>
      </c>
      <c r="AH1212" s="18" t="str">
        <f aca="false">IF($D1212="","",IF(COUNTIF($D$2:$D1212,$D1212)=1,1,0))</f>
        <v/>
      </c>
      <c r="AI1212" s="18" t="str">
        <f aca="false">IF($AH1212=1,SUMPRODUCT(--($AK$2:$AK$4001&lt;$AK1212))+1,"")</f>
        <v/>
      </c>
      <c r="AJ1212" s="18" t="str">
        <f aca="false">IF($D1212="","",IF(OR($R1212=TRUE(),$R1212="TRUE"),1,0))</f>
        <v/>
      </c>
      <c r="AK1212" s="18" t="str">
        <f aca="false">IF($AH1212=1,IFERROR(VALUE(MID($D1212,2,20)),1000000000)+ROW()/10000000,"")</f>
        <v/>
      </c>
    </row>
    <row r="1213" customFormat="false" ht="15" hidden="false" customHeight="false" outlineLevel="0" collapsed="false">
      <c r="F1213" s="15"/>
      <c r="N1213" s="16" t="str">
        <f aca="false">IF($D1213="","",M1213*Y1213/100)</f>
        <v/>
      </c>
      <c r="V1213" s="16" t="str">
        <f aca="false">IF($D1213="","",Y1213*AB1213/100)</f>
        <v/>
      </c>
      <c r="W1213" s="16" t="str">
        <f aca="false">IF($D1213="","",Y1213-V1213)</f>
        <v/>
      </c>
      <c r="X1213" s="16" t="str">
        <f aca="false">IF($D1213="","",W1213-N1213)</f>
        <v/>
      </c>
      <c r="AB1213" s="17" t="str">
        <f aca="false">IF($D1213="","",IF(OR($R1213=TRUE(),$R1213="TRUE"),Settings!$C$6,Settings!$C$7)*100)</f>
        <v/>
      </c>
      <c r="AH1213" s="18" t="str">
        <f aca="false">IF($D1213="","",IF(COUNTIF($D$2:$D1213,$D1213)=1,1,0))</f>
        <v/>
      </c>
      <c r="AI1213" s="18" t="str">
        <f aca="false">IF($AH1213=1,SUMPRODUCT(--($AK$2:$AK$4001&lt;$AK1213))+1,"")</f>
        <v/>
      </c>
      <c r="AJ1213" s="18" t="str">
        <f aca="false">IF($D1213="","",IF(OR($R1213=TRUE(),$R1213="TRUE"),1,0))</f>
        <v/>
      </c>
      <c r="AK1213" s="18" t="str">
        <f aca="false">IF($AH1213=1,IFERROR(VALUE(MID($D1213,2,20)),1000000000)+ROW()/10000000,"")</f>
        <v/>
      </c>
    </row>
    <row r="1214" customFormat="false" ht="15" hidden="false" customHeight="false" outlineLevel="0" collapsed="false">
      <c r="F1214" s="15"/>
      <c r="N1214" s="16" t="str">
        <f aca="false">IF($D1214="","",M1214*Y1214/100)</f>
        <v/>
      </c>
      <c r="V1214" s="16" t="str">
        <f aca="false">IF($D1214="","",Y1214*AB1214/100)</f>
        <v/>
      </c>
      <c r="W1214" s="16" t="str">
        <f aca="false">IF($D1214="","",Y1214-V1214)</f>
        <v/>
      </c>
      <c r="X1214" s="16" t="str">
        <f aca="false">IF($D1214="","",W1214-N1214)</f>
        <v/>
      </c>
      <c r="AB1214" s="17" t="str">
        <f aca="false">IF($D1214="","",IF(OR($R1214=TRUE(),$R1214="TRUE"),Settings!$C$6,Settings!$C$7)*100)</f>
        <v/>
      </c>
      <c r="AH1214" s="18" t="str">
        <f aca="false">IF($D1214="","",IF(COUNTIF($D$2:$D1214,$D1214)=1,1,0))</f>
        <v/>
      </c>
      <c r="AI1214" s="18" t="str">
        <f aca="false">IF($AH1214=1,SUMPRODUCT(--($AK$2:$AK$4001&lt;$AK1214))+1,"")</f>
        <v/>
      </c>
      <c r="AJ1214" s="18" t="str">
        <f aca="false">IF($D1214="","",IF(OR($R1214=TRUE(),$R1214="TRUE"),1,0))</f>
        <v/>
      </c>
      <c r="AK1214" s="18" t="str">
        <f aca="false">IF($AH1214=1,IFERROR(VALUE(MID($D1214,2,20)),1000000000)+ROW()/10000000,"")</f>
        <v/>
      </c>
    </row>
    <row r="1215" customFormat="false" ht="15" hidden="false" customHeight="false" outlineLevel="0" collapsed="false">
      <c r="F1215" s="15"/>
      <c r="N1215" s="16" t="str">
        <f aca="false">IF($D1215="","",M1215*Y1215/100)</f>
        <v/>
      </c>
      <c r="V1215" s="16" t="str">
        <f aca="false">IF($D1215="","",Y1215*AB1215/100)</f>
        <v/>
      </c>
      <c r="W1215" s="16" t="str">
        <f aca="false">IF($D1215="","",Y1215-V1215)</f>
        <v/>
      </c>
      <c r="X1215" s="16" t="str">
        <f aca="false">IF($D1215="","",W1215-N1215)</f>
        <v/>
      </c>
      <c r="AB1215" s="17" t="str">
        <f aca="false">IF($D1215="","",IF(OR($R1215=TRUE(),$R1215="TRUE"),Settings!$C$6,Settings!$C$7)*100)</f>
        <v/>
      </c>
      <c r="AH1215" s="18" t="str">
        <f aca="false">IF($D1215="","",IF(COUNTIF($D$2:$D1215,$D1215)=1,1,0))</f>
        <v/>
      </c>
      <c r="AI1215" s="18" t="str">
        <f aca="false">IF($AH1215=1,SUMPRODUCT(--($AK$2:$AK$4001&lt;$AK1215))+1,"")</f>
        <v/>
      </c>
      <c r="AJ1215" s="18" t="str">
        <f aca="false">IF($D1215="","",IF(OR($R1215=TRUE(),$R1215="TRUE"),1,0))</f>
        <v/>
      </c>
      <c r="AK1215" s="18" t="str">
        <f aca="false">IF($AH1215=1,IFERROR(VALUE(MID($D1215,2,20)),1000000000)+ROW()/10000000,"")</f>
        <v/>
      </c>
    </row>
    <row r="1216" customFormat="false" ht="15" hidden="false" customHeight="false" outlineLevel="0" collapsed="false">
      <c r="F1216" s="15"/>
      <c r="N1216" s="16" t="str">
        <f aca="false">IF($D1216="","",M1216*Y1216/100)</f>
        <v/>
      </c>
      <c r="V1216" s="16" t="str">
        <f aca="false">IF($D1216="","",Y1216*AB1216/100)</f>
        <v/>
      </c>
      <c r="W1216" s="16" t="str">
        <f aca="false">IF($D1216="","",Y1216-V1216)</f>
        <v/>
      </c>
      <c r="X1216" s="16" t="str">
        <f aca="false">IF($D1216="","",W1216-N1216)</f>
        <v/>
      </c>
      <c r="AB1216" s="17" t="str">
        <f aca="false">IF($D1216="","",IF(OR($R1216=TRUE(),$R1216="TRUE"),Settings!$C$6,Settings!$C$7)*100)</f>
        <v/>
      </c>
      <c r="AH1216" s="18" t="str">
        <f aca="false">IF($D1216="","",IF(COUNTIF($D$2:$D1216,$D1216)=1,1,0))</f>
        <v/>
      </c>
      <c r="AI1216" s="18" t="str">
        <f aca="false">IF($AH1216=1,SUMPRODUCT(--($AK$2:$AK$4001&lt;$AK1216))+1,"")</f>
        <v/>
      </c>
      <c r="AJ1216" s="18" t="str">
        <f aca="false">IF($D1216="","",IF(OR($R1216=TRUE(),$R1216="TRUE"),1,0))</f>
        <v/>
      </c>
      <c r="AK1216" s="18" t="str">
        <f aca="false">IF($AH1216=1,IFERROR(VALUE(MID($D1216,2,20)),1000000000)+ROW()/10000000,"")</f>
        <v/>
      </c>
    </row>
    <row r="1217" customFormat="false" ht="15" hidden="false" customHeight="false" outlineLevel="0" collapsed="false">
      <c r="F1217" s="15"/>
      <c r="N1217" s="16" t="str">
        <f aca="false">IF($D1217="","",M1217*Y1217/100)</f>
        <v/>
      </c>
      <c r="V1217" s="16" t="str">
        <f aca="false">IF($D1217="","",Y1217*AB1217/100)</f>
        <v/>
      </c>
      <c r="W1217" s="16" t="str">
        <f aca="false">IF($D1217="","",Y1217-V1217)</f>
        <v/>
      </c>
      <c r="X1217" s="16" t="str">
        <f aca="false">IF($D1217="","",W1217-N1217)</f>
        <v/>
      </c>
      <c r="AB1217" s="17" t="str">
        <f aca="false">IF($D1217="","",IF(OR($R1217=TRUE(),$R1217="TRUE"),Settings!$C$6,Settings!$C$7)*100)</f>
        <v/>
      </c>
      <c r="AH1217" s="18" t="str">
        <f aca="false">IF($D1217="","",IF(COUNTIF($D$2:$D1217,$D1217)=1,1,0))</f>
        <v/>
      </c>
      <c r="AI1217" s="18" t="str">
        <f aca="false">IF($AH1217=1,SUMPRODUCT(--($AK$2:$AK$4001&lt;$AK1217))+1,"")</f>
        <v/>
      </c>
      <c r="AJ1217" s="18" t="str">
        <f aca="false">IF($D1217="","",IF(OR($R1217=TRUE(),$R1217="TRUE"),1,0))</f>
        <v/>
      </c>
      <c r="AK1217" s="18" t="str">
        <f aca="false">IF($AH1217=1,IFERROR(VALUE(MID($D1217,2,20)),1000000000)+ROW()/10000000,"")</f>
        <v/>
      </c>
    </row>
    <row r="1218" customFormat="false" ht="15" hidden="false" customHeight="false" outlineLevel="0" collapsed="false">
      <c r="F1218" s="15"/>
      <c r="N1218" s="16" t="str">
        <f aca="false">IF($D1218="","",M1218*Y1218/100)</f>
        <v/>
      </c>
      <c r="V1218" s="16" t="str">
        <f aca="false">IF($D1218="","",Y1218*AB1218/100)</f>
        <v/>
      </c>
      <c r="W1218" s="16" t="str">
        <f aca="false">IF($D1218="","",Y1218-V1218)</f>
        <v/>
      </c>
      <c r="X1218" s="16" t="str">
        <f aca="false">IF($D1218="","",W1218-N1218)</f>
        <v/>
      </c>
      <c r="AB1218" s="17" t="str">
        <f aca="false">IF($D1218="","",IF(OR($R1218=TRUE(),$R1218="TRUE"),Settings!$C$6,Settings!$C$7)*100)</f>
        <v/>
      </c>
      <c r="AH1218" s="18" t="str">
        <f aca="false">IF($D1218="","",IF(COUNTIF($D$2:$D1218,$D1218)=1,1,0))</f>
        <v/>
      </c>
      <c r="AI1218" s="18" t="str">
        <f aca="false">IF($AH1218=1,SUMPRODUCT(--($AK$2:$AK$4001&lt;$AK1218))+1,"")</f>
        <v/>
      </c>
      <c r="AJ1218" s="18" t="str">
        <f aca="false">IF($D1218="","",IF(OR($R1218=TRUE(),$R1218="TRUE"),1,0))</f>
        <v/>
      </c>
      <c r="AK1218" s="18" t="str">
        <f aca="false">IF($AH1218=1,IFERROR(VALUE(MID($D1218,2,20)),1000000000)+ROW()/10000000,"")</f>
        <v/>
      </c>
    </row>
    <row r="1219" customFormat="false" ht="15" hidden="false" customHeight="false" outlineLevel="0" collapsed="false">
      <c r="F1219" s="15"/>
      <c r="N1219" s="16" t="str">
        <f aca="false">IF($D1219="","",M1219*Y1219/100)</f>
        <v/>
      </c>
      <c r="V1219" s="16" t="str">
        <f aca="false">IF($D1219="","",Y1219*AB1219/100)</f>
        <v/>
      </c>
      <c r="W1219" s="16" t="str">
        <f aca="false">IF($D1219="","",Y1219-V1219)</f>
        <v/>
      </c>
      <c r="X1219" s="16" t="str">
        <f aca="false">IF($D1219="","",W1219-N1219)</f>
        <v/>
      </c>
      <c r="AB1219" s="17" t="str">
        <f aca="false">IF($D1219="","",IF(OR($R1219=TRUE(),$R1219="TRUE"),Settings!$C$6,Settings!$C$7)*100)</f>
        <v/>
      </c>
      <c r="AH1219" s="18" t="str">
        <f aca="false">IF($D1219="","",IF(COUNTIF($D$2:$D1219,$D1219)=1,1,0))</f>
        <v/>
      </c>
      <c r="AI1219" s="18" t="str">
        <f aca="false">IF($AH1219=1,SUMPRODUCT(--($AK$2:$AK$4001&lt;$AK1219))+1,"")</f>
        <v/>
      </c>
      <c r="AJ1219" s="18" t="str">
        <f aca="false">IF($D1219="","",IF(OR($R1219=TRUE(),$R1219="TRUE"),1,0))</f>
        <v/>
      </c>
      <c r="AK1219" s="18" t="str">
        <f aca="false">IF($AH1219=1,IFERROR(VALUE(MID($D1219,2,20)),1000000000)+ROW()/10000000,"")</f>
        <v/>
      </c>
    </row>
    <row r="1220" customFormat="false" ht="15" hidden="false" customHeight="false" outlineLevel="0" collapsed="false">
      <c r="F1220" s="15"/>
      <c r="N1220" s="16" t="str">
        <f aca="false">IF($D1220="","",M1220*Y1220/100)</f>
        <v/>
      </c>
      <c r="V1220" s="16" t="str">
        <f aca="false">IF($D1220="","",Y1220*AB1220/100)</f>
        <v/>
      </c>
      <c r="W1220" s="16" t="str">
        <f aca="false">IF($D1220="","",Y1220-V1220)</f>
        <v/>
      </c>
      <c r="X1220" s="16" t="str">
        <f aca="false">IF($D1220="","",W1220-N1220)</f>
        <v/>
      </c>
      <c r="AB1220" s="17" t="str">
        <f aca="false">IF($D1220="","",IF(OR($R1220=TRUE(),$R1220="TRUE"),Settings!$C$6,Settings!$C$7)*100)</f>
        <v/>
      </c>
      <c r="AH1220" s="18" t="str">
        <f aca="false">IF($D1220="","",IF(COUNTIF($D$2:$D1220,$D1220)=1,1,0))</f>
        <v/>
      </c>
      <c r="AI1220" s="18" t="str">
        <f aca="false">IF($AH1220=1,SUMPRODUCT(--($AK$2:$AK$4001&lt;$AK1220))+1,"")</f>
        <v/>
      </c>
      <c r="AJ1220" s="18" t="str">
        <f aca="false">IF($D1220="","",IF(OR($R1220=TRUE(),$R1220="TRUE"),1,0))</f>
        <v/>
      </c>
      <c r="AK1220" s="18" t="str">
        <f aca="false">IF($AH1220=1,IFERROR(VALUE(MID($D1220,2,20)),1000000000)+ROW()/10000000,"")</f>
        <v/>
      </c>
    </row>
    <row r="1221" customFormat="false" ht="15" hidden="false" customHeight="false" outlineLevel="0" collapsed="false">
      <c r="F1221" s="15"/>
      <c r="N1221" s="16" t="str">
        <f aca="false">IF($D1221="","",M1221*Y1221/100)</f>
        <v/>
      </c>
      <c r="V1221" s="16" t="str">
        <f aca="false">IF($D1221="","",Y1221*AB1221/100)</f>
        <v/>
      </c>
      <c r="W1221" s="16" t="str">
        <f aca="false">IF($D1221="","",Y1221-V1221)</f>
        <v/>
      </c>
      <c r="X1221" s="16" t="str">
        <f aca="false">IF($D1221="","",W1221-N1221)</f>
        <v/>
      </c>
      <c r="AB1221" s="17" t="str">
        <f aca="false">IF($D1221="","",IF(OR($R1221=TRUE(),$R1221="TRUE"),Settings!$C$6,Settings!$C$7)*100)</f>
        <v/>
      </c>
      <c r="AH1221" s="18" t="str">
        <f aca="false">IF($D1221="","",IF(COUNTIF($D$2:$D1221,$D1221)=1,1,0))</f>
        <v/>
      </c>
      <c r="AI1221" s="18" t="str">
        <f aca="false">IF($AH1221=1,SUMPRODUCT(--($AK$2:$AK$4001&lt;$AK1221))+1,"")</f>
        <v/>
      </c>
      <c r="AJ1221" s="18" t="str">
        <f aca="false">IF($D1221="","",IF(OR($R1221=TRUE(),$R1221="TRUE"),1,0))</f>
        <v/>
      </c>
      <c r="AK1221" s="18" t="str">
        <f aca="false">IF($AH1221=1,IFERROR(VALUE(MID($D1221,2,20)),1000000000)+ROW()/10000000,"")</f>
        <v/>
      </c>
    </row>
    <row r="1222" customFormat="false" ht="15" hidden="false" customHeight="false" outlineLevel="0" collapsed="false">
      <c r="F1222" s="15"/>
      <c r="N1222" s="16" t="str">
        <f aca="false">IF($D1222="","",M1222*Y1222/100)</f>
        <v/>
      </c>
      <c r="V1222" s="16" t="str">
        <f aca="false">IF($D1222="","",Y1222*AB1222/100)</f>
        <v/>
      </c>
      <c r="W1222" s="16" t="str">
        <f aca="false">IF($D1222="","",Y1222-V1222)</f>
        <v/>
      </c>
      <c r="X1222" s="16" t="str">
        <f aca="false">IF($D1222="","",W1222-N1222)</f>
        <v/>
      </c>
      <c r="AB1222" s="17" t="str">
        <f aca="false">IF($D1222="","",IF(OR($R1222=TRUE(),$R1222="TRUE"),Settings!$C$6,Settings!$C$7)*100)</f>
        <v/>
      </c>
      <c r="AH1222" s="18" t="str">
        <f aca="false">IF($D1222="","",IF(COUNTIF($D$2:$D1222,$D1222)=1,1,0))</f>
        <v/>
      </c>
      <c r="AI1222" s="18" t="str">
        <f aca="false">IF($AH1222=1,SUMPRODUCT(--($AK$2:$AK$4001&lt;$AK1222))+1,"")</f>
        <v/>
      </c>
      <c r="AJ1222" s="18" t="str">
        <f aca="false">IF($D1222="","",IF(OR($R1222=TRUE(),$R1222="TRUE"),1,0))</f>
        <v/>
      </c>
      <c r="AK1222" s="18" t="str">
        <f aca="false">IF($AH1222=1,IFERROR(VALUE(MID($D1222,2,20)),1000000000)+ROW()/10000000,"")</f>
        <v/>
      </c>
    </row>
    <row r="1223" customFormat="false" ht="15" hidden="false" customHeight="false" outlineLevel="0" collapsed="false">
      <c r="F1223" s="15"/>
      <c r="N1223" s="16" t="str">
        <f aca="false">IF($D1223="","",M1223*Y1223/100)</f>
        <v/>
      </c>
      <c r="V1223" s="16" t="str">
        <f aca="false">IF($D1223="","",Y1223*AB1223/100)</f>
        <v/>
      </c>
      <c r="W1223" s="16" t="str">
        <f aca="false">IF($D1223="","",Y1223-V1223)</f>
        <v/>
      </c>
      <c r="X1223" s="16" t="str">
        <f aca="false">IF($D1223="","",W1223-N1223)</f>
        <v/>
      </c>
      <c r="AB1223" s="17" t="str">
        <f aca="false">IF($D1223="","",IF(OR($R1223=TRUE(),$R1223="TRUE"),Settings!$C$6,Settings!$C$7)*100)</f>
        <v/>
      </c>
      <c r="AH1223" s="18" t="str">
        <f aca="false">IF($D1223="","",IF(COUNTIF($D$2:$D1223,$D1223)=1,1,0))</f>
        <v/>
      </c>
      <c r="AI1223" s="18" t="str">
        <f aca="false">IF($AH1223=1,SUMPRODUCT(--($AK$2:$AK$4001&lt;$AK1223))+1,"")</f>
        <v/>
      </c>
      <c r="AJ1223" s="18" t="str">
        <f aca="false">IF($D1223="","",IF(OR($R1223=TRUE(),$R1223="TRUE"),1,0))</f>
        <v/>
      </c>
      <c r="AK1223" s="18" t="str">
        <f aca="false">IF($AH1223=1,IFERROR(VALUE(MID($D1223,2,20)),1000000000)+ROW()/10000000,"")</f>
        <v/>
      </c>
    </row>
    <row r="1224" customFormat="false" ht="15" hidden="false" customHeight="false" outlineLevel="0" collapsed="false">
      <c r="F1224" s="15"/>
      <c r="N1224" s="16" t="str">
        <f aca="false">IF($D1224="","",M1224*Y1224/100)</f>
        <v/>
      </c>
      <c r="V1224" s="16" t="str">
        <f aca="false">IF($D1224="","",Y1224*AB1224/100)</f>
        <v/>
      </c>
      <c r="W1224" s="16" t="str">
        <f aca="false">IF($D1224="","",Y1224-V1224)</f>
        <v/>
      </c>
      <c r="X1224" s="16" t="str">
        <f aca="false">IF($D1224="","",W1224-N1224)</f>
        <v/>
      </c>
      <c r="AB1224" s="17" t="str">
        <f aca="false">IF($D1224="","",IF(OR($R1224=TRUE(),$R1224="TRUE"),Settings!$C$6,Settings!$C$7)*100)</f>
        <v/>
      </c>
      <c r="AH1224" s="18" t="str">
        <f aca="false">IF($D1224="","",IF(COUNTIF($D$2:$D1224,$D1224)=1,1,0))</f>
        <v/>
      </c>
      <c r="AI1224" s="18" t="str">
        <f aca="false">IF($AH1224=1,SUMPRODUCT(--($AK$2:$AK$4001&lt;$AK1224))+1,"")</f>
        <v/>
      </c>
      <c r="AJ1224" s="18" t="str">
        <f aca="false">IF($D1224="","",IF(OR($R1224=TRUE(),$R1224="TRUE"),1,0))</f>
        <v/>
      </c>
      <c r="AK1224" s="18" t="str">
        <f aca="false">IF($AH1224=1,IFERROR(VALUE(MID($D1224,2,20)),1000000000)+ROW()/10000000,"")</f>
        <v/>
      </c>
    </row>
    <row r="1225" customFormat="false" ht="15" hidden="false" customHeight="false" outlineLevel="0" collapsed="false">
      <c r="F1225" s="15"/>
      <c r="N1225" s="16" t="str">
        <f aca="false">IF($D1225="","",M1225*Y1225/100)</f>
        <v/>
      </c>
      <c r="V1225" s="16" t="str">
        <f aca="false">IF($D1225="","",Y1225*AB1225/100)</f>
        <v/>
      </c>
      <c r="W1225" s="16" t="str">
        <f aca="false">IF($D1225="","",Y1225-V1225)</f>
        <v/>
      </c>
      <c r="X1225" s="16" t="str">
        <f aca="false">IF($D1225="","",W1225-N1225)</f>
        <v/>
      </c>
      <c r="AB1225" s="17" t="str">
        <f aca="false">IF($D1225="","",IF(OR($R1225=TRUE(),$R1225="TRUE"),Settings!$C$6,Settings!$C$7)*100)</f>
        <v/>
      </c>
      <c r="AH1225" s="18" t="str">
        <f aca="false">IF($D1225="","",IF(COUNTIF($D$2:$D1225,$D1225)=1,1,0))</f>
        <v/>
      </c>
      <c r="AI1225" s="18" t="str">
        <f aca="false">IF($AH1225=1,SUMPRODUCT(--($AK$2:$AK$4001&lt;$AK1225))+1,"")</f>
        <v/>
      </c>
      <c r="AJ1225" s="18" t="str">
        <f aca="false">IF($D1225="","",IF(OR($R1225=TRUE(),$R1225="TRUE"),1,0))</f>
        <v/>
      </c>
      <c r="AK1225" s="18" t="str">
        <f aca="false">IF($AH1225=1,IFERROR(VALUE(MID($D1225,2,20)),1000000000)+ROW()/10000000,"")</f>
        <v/>
      </c>
    </row>
    <row r="1226" customFormat="false" ht="15" hidden="false" customHeight="false" outlineLevel="0" collapsed="false">
      <c r="F1226" s="15"/>
      <c r="N1226" s="16" t="str">
        <f aca="false">IF($D1226="","",M1226*Y1226/100)</f>
        <v/>
      </c>
      <c r="V1226" s="16" t="str">
        <f aca="false">IF($D1226="","",Y1226*AB1226/100)</f>
        <v/>
      </c>
      <c r="W1226" s="16" t="str">
        <f aca="false">IF($D1226="","",Y1226-V1226)</f>
        <v/>
      </c>
      <c r="X1226" s="16" t="str">
        <f aca="false">IF($D1226="","",W1226-N1226)</f>
        <v/>
      </c>
      <c r="AB1226" s="17" t="str">
        <f aca="false">IF($D1226="","",IF(OR($R1226=TRUE(),$R1226="TRUE"),Settings!$C$6,Settings!$C$7)*100)</f>
        <v/>
      </c>
      <c r="AH1226" s="18" t="str">
        <f aca="false">IF($D1226="","",IF(COUNTIF($D$2:$D1226,$D1226)=1,1,0))</f>
        <v/>
      </c>
      <c r="AI1226" s="18" t="str">
        <f aca="false">IF($AH1226=1,SUMPRODUCT(--($AK$2:$AK$4001&lt;$AK1226))+1,"")</f>
        <v/>
      </c>
      <c r="AJ1226" s="18" t="str">
        <f aca="false">IF($D1226="","",IF(OR($R1226=TRUE(),$R1226="TRUE"),1,0))</f>
        <v/>
      </c>
      <c r="AK1226" s="18" t="str">
        <f aca="false">IF($AH1226=1,IFERROR(VALUE(MID($D1226,2,20)),1000000000)+ROW()/10000000,"")</f>
        <v/>
      </c>
    </row>
    <row r="1227" customFormat="false" ht="15" hidden="false" customHeight="false" outlineLevel="0" collapsed="false">
      <c r="F1227" s="15"/>
      <c r="N1227" s="16" t="str">
        <f aca="false">IF($D1227="","",M1227*Y1227/100)</f>
        <v/>
      </c>
      <c r="V1227" s="16" t="str">
        <f aca="false">IF($D1227="","",Y1227*AB1227/100)</f>
        <v/>
      </c>
      <c r="W1227" s="16" t="str">
        <f aca="false">IF($D1227="","",Y1227-V1227)</f>
        <v/>
      </c>
      <c r="X1227" s="16" t="str">
        <f aca="false">IF($D1227="","",W1227-N1227)</f>
        <v/>
      </c>
      <c r="AB1227" s="17" t="str">
        <f aca="false">IF($D1227="","",IF(OR($R1227=TRUE(),$R1227="TRUE"),Settings!$C$6,Settings!$C$7)*100)</f>
        <v/>
      </c>
      <c r="AH1227" s="18" t="str">
        <f aca="false">IF($D1227="","",IF(COUNTIF($D$2:$D1227,$D1227)=1,1,0))</f>
        <v/>
      </c>
      <c r="AI1227" s="18" t="str">
        <f aca="false">IF($AH1227=1,SUMPRODUCT(--($AK$2:$AK$4001&lt;$AK1227))+1,"")</f>
        <v/>
      </c>
      <c r="AJ1227" s="18" t="str">
        <f aca="false">IF($D1227="","",IF(OR($R1227=TRUE(),$R1227="TRUE"),1,0))</f>
        <v/>
      </c>
      <c r="AK1227" s="18" t="str">
        <f aca="false">IF($AH1227=1,IFERROR(VALUE(MID($D1227,2,20)),1000000000)+ROW()/10000000,"")</f>
        <v/>
      </c>
    </row>
    <row r="1228" customFormat="false" ht="15" hidden="false" customHeight="false" outlineLevel="0" collapsed="false">
      <c r="F1228" s="15"/>
      <c r="N1228" s="16" t="str">
        <f aca="false">IF($D1228="","",M1228*Y1228/100)</f>
        <v/>
      </c>
      <c r="V1228" s="16" t="str">
        <f aca="false">IF($D1228="","",Y1228*AB1228/100)</f>
        <v/>
      </c>
      <c r="W1228" s="16" t="str">
        <f aca="false">IF($D1228="","",Y1228-V1228)</f>
        <v/>
      </c>
      <c r="X1228" s="16" t="str">
        <f aca="false">IF($D1228="","",W1228-N1228)</f>
        <v/>
      </c>
      <c r="AB1228" s="17" t="str">
        <f aca="false">IF($D1228="","",IF(OR($R1228=TRUE(),$R1228="TRUE"),Settings!$C$6,Settings!$C$7)*100)</f>
        <v/>
      </c>
      <c r="AH1228" s="18" t="str">
        <f aca="false">IF($D1228="","",IF(COUNTIF($D$2:$D1228,$D1228)=1,1,0))</f>
        <v/>
      </c>
      <c r="AI1228" s="18" t="str">
        <f aca="false">IF($AH1228=1,SUMPRODUCT(--($AK$2:$AK$4001&lt;$AK1228))+1,"")</f>
        <v/>
      </c>
      <c r="AJ1228" s="18" t="str">
        <f aca="false">IF($D1228="","",IF(OR($R1228=TRUE(),$R1228="TRUE"),1,0))</f>
        <v/>
      </c>
      <c r="AK1228" s="18" t="str">
        <f aca="false">IF($AH1228=1,IFERROR(VALUE(MID($D1228,2,20)),1000000000)+ROW()/10000000,"")</f>
        <v/>
      </c>
    </row>
    <row r="1229" customFormat="false" ht="15" hidden="false" customHeight="false" outlineLevel="0" collapsed="false">
      <c r="F1229" s="15"/>
      <c r="N1229" s="16" t="str">
        <f aca="false">IF($D1229="","",M1229*Y1229/100)</f>
        <v/>
      </c>
      <c r="V1229" s="16" t="str">
        <f aca="false">IF($D1229="","",Y1229*AB1229/100)</f>
        <v/>
      </c>
      <c r="W1229" s="16" t="str">
        <f aca="false">IF($D1229="","",Y1229-V1229)</f>
        <v/>
      </c>
      <c r="X1229" s="16" t="str">
        <f aca="false">IF($D1229="","",W1229-N1229)</f>
        <v/>
      </c>
      <c r="AB1229" s="17" t="str">
        <f aca="false">IF($D1229="","",IF(OR($R1229=TRUE(),$R1229="TRUE"),Settings!$C$6,Settings!$C$7)*100)</f>
        <v/>
      </c>
      <c r="AH1229" s="18" t="str">
        <f aca="false">IF($D1229="","",IF(COUNTIF($D$2:$D1229,$D1229)=1,1,0))</f>
        <v/>
      </c>
      <c r="AI1229" s="18" t="str">
        <f aca="false">IF($AH1229=1,SUMPRODUCT(--($AK$2:$AK$4001&lt;$AK1229))+1,"")</f>
        <v/>
      </c>
      <c r="AJ1229" s="18" t="str">
        <f aca="false">IF($D1229="","",IF(OR($R1229=TRUE(),$R1229="TRUE"),1,0))</f>
        <v/>
      </c>
      <c r="AK1229" s="18" t="str">
        <f aca="false">IF($AH1229=1,IFERROR(VALUE(MID($D1229,2,20)),1000000000)+ROW()/10000000,"")</f>
        <v/>
      </c>
    </row>
    <row r="1230" customFormat="false" ht="15" hidden="false" customHeight="false" outlineLevel="0" collapsed="false">
      <c r="F1230" s="15"/>
      <c r="N1230" s="16" t="str">
        <f aca="false">IF($D1230="","",M1230*Y1230/100)</f>
        <v/>
      </c>
      <c r="V1230" s="16" t="str">
        <f aca="false">IF($D1230="","",Y1230*AB1230/100)</f>
        <v/>
      </c>
      <c r="W1230" s="16" t="str">
        <f aca="false">IF($D1230="","",Y1230-V1230)</f>
        <v/>
      </c>
      <c r="X1230" s="16" t="str">
        <f aca="false">IF($D1230="","",W1230-N1230)</f>
        <v/>
      </c>
      <c r="AB1230" s="17" t="str">
        <f aca="false">IF($D1230="","",IF(OR($R1230=TRUE(),$R1230="TRUE"),Settings!$C$6,Settings!$C$7)*100)</f>
        <v/>
      </c>
      <c r="AH1230" s="18" t="str">
        <f aca="false">IF($D1230="","",IF(COUNTIF($D$2:$D1230,$D1230)=1,1,0))</f>
        <v/>
      </c>
      <c r="AI1230" s="18" t="str">
        <f aca="false">IF($AH1230=1,SUMPRODUCT(--($AK$2:$AK$4001&lt;$AK1230))+1,"")</f>
        <v/>
      </c>
      <c r="AJ1230" s="18" t="str">
        <f aca="false">IF($D1230="","",IF(OR($R1230=TRUE(),$R1230="TRUE"),1,0))</f>
        <v/>
      </c>
      <c r="AK1230" s="18" t="str">
        <f aca="false">IF($AH1230=1,IFERROR(VALUE(MID($D1230,2,20)),1000000000)+ROW()/10000000,"")</f>
        <v/>
      </c>
    </row>
    <row r="1231" customFormat="false" ht="15" hidden="false" customHeight="false" outlineLevel="0" collapsed="false">
      <c r="F1231" s="15"/>
      <c r="N1231" s="16" t="str">
        <f aca="false">IF($D1231="","",M1231*Y1231/100)</f>
        <v/>
      </c>
      <c r="V1231" s="16" t="str">
        <f aca="false">IF($D1231="","",Y1231*AB1231/100)</f>
        <v/>
      </c>
      <c r="W1231" s="16" t="str">
        <f aca="false">IF($D1231="","",Y1231-V1231)</f>
        <v/>
      </c>
      <c r="X1231" s="16" t="str">
        <f aca="false">IF($D1231="","",W1231-N1231)</f>
        <v/>
      </c>
      <c r="AB1231" s="17" t="str">
        <f aca="false">IF($D1231="","",IF(OR($R1231=TRUE(),$R1231="TRUE"),Settings!$C$6,Settings!$C$7)*100)</f>
        <v/>
      </c>
      <c r="AH1231" s="18" t="str">
        <f aca="false">IF($D1231="","",IF(COUNTIF($D$2:$D1231,$D1231)=1,1,0))</f>
        <v/>
      </c>
      <c r="AI1231" s="18" t="str">
        <f aca="false">IF($AH1231=1,SUMPRODUCT(--($AK$2:$AK$4001&lt;$AK1231))+1,"")</f>
        <v/>
      </c>
      <c r="AJ1231" s="18" t="str">
        <f aca="false">IF($D1231="","",IF(OR($R1231=TRUE(),$R1231="TRUE"),1,0))</f>
        <v/>
      </c>
      <c r="AK1231" s="18" t="str">
        <f aca="false">IF($AH1231=1,IFERROR(VALUE(MID($D1231,2,20)),1000000000)+ROW()/10000000,"")</f>
        <v/>
      </c>
    </row>
    <row r="1232" customFormat="false" ht="15" hidden="false" customHeight="false" outlineLevel="0" collapsed="false">
      <c r="F1232" s="15"/>
      <c r="N1232" s="16" t="str">
        <f aca="false">IF($D1232="","",M1232*Y1232/100)</f>
        <v/>
      </c>
      <c r="V1232" s="16" t="str">
        <f aca="false">IF($D1232="","",Y1232*AB1232/100)</f>
        <v/>
      </c>
      <c r="W1232" s="16" t="str">
        <f aca="false">IF($D1232="","",Y1232-V1232)</f>
        <v/>
      </c>
      <c r="X1232" s="16" t="str">
        <f aca="false">IF($D1232="","",W1232-N1232)</f>
        <v/>
      </c>
      <c r="AB1232" s="17" t="str">
        <f aca="false">IF($D1232="","",IF(OR($R1232=TRUE(),$R1232="TRUE"),Settings!$C$6,Settings!$C$7)*100)</f>
        <v/>
      </c>
      <c r="AH1232" s="18" t="str">
        <f aca="false">IF($D1232="","",IF(COUNTIF($D$2:$D1232,$D1232)=1,1,0))</f>
        <v/>
      </c>
      <c r="AI1232" s="18" t="str">
        <f aca="false">IF($AH1232=1,SUMPRODUCT(--($AK$2:$AK$4001&lt;$AK1232))+1,"")</f>
        <v/>
      </c>
      <c r="AJ1232" s="18" t="str">
        <f aca="false">IF($D1232="","",IF(OR($R1232=TRUE(),$R1232="TRUE"),1,0))</f>
        <v/>
      </c>
      <c r="AK1232" s="18" t="str">
        <f aca="false">IF($AH1232=1,IFERROR(VALUE(MID($D1232,2,20)),1000000000)+ROW()/10000000,"")</f>
        <v/>
      </c>
    </row>
    <row r="1233" customFormat="false" ht="15" hidden="false" customHeight="false" outlineLevel="0" collapsed="false">
      <c r="F1233" s="15"/>
      <c r="N1233" s="16" t="str">
        <f aca="false">IF($D1233="","",M1233*Y1233/100)</f>
        <v/>
      </c>
      <c r="V1233" s="16" t="str">
        <f aca="false">IF($D1233="","",Y1233*AB1233/100)</f>
        <v/>
      </c>
      <c r="W1233" s="16" t="str">
        <f aca="false">IF($D1233="","",Y1233-V1233)</f>
        <v/>
      </c>
      <c r="X1233" s="16" t="str">
        <f aca="false">IF($D1233="","",W1233-N1233)</f>
        <v/>
      </c>
      <c r="AB1233" s="17" t="str">
        <f aca="false">IF($D1233="","",IF(OR($R1233=TRUE(),$R1233="TRUE"),Settings!$C$6,Settings!$C$7)*100)</f>
        <v/>
      </c>
      <c r="AH1233" s="18" t="str">
        <f aca="false">IF($D1233="","",IF(COUNTIF($D$2:$D1233,$D1233)=1,1,0))</f>
        <v/>
      </c>
      <c r="AI1233" s="18" t="str">
        <f aca="false">IF($AH1233=1,SUMPRODUCT(--($AK$2:$AK$4001&lt;$AK1233))+1,"")</f>
        <v/>
      </c>
      <c r="AJ1233" s="18" t="str">
        <f aca="false">IF($D1233="","",IF(OR($R1233=TRUE(),$R1233="TRUE"),1,0))</f>
        <v/>
      </c>
      <c r="AK1233" s="18" t="str">
        <f aca="false">IF($AH1233=1,IFERROR(VALUE(MID($D1233,2,20)),1000000000)+ROW()/10000000,"")</f>
        <v/>
      </c>
    </row>
    <row r="1234" customFormat="false" ht="15" hidden="false" customHeight="false" outlineLevel="0" collapsed="false">
      <c r="F1234" s="15"/>
      <c r="N1234" s="16" t="str">
        <f aca="false">IF($D1234="","",M1234*Y1234/100)</f>
        <v/>
      </c>
      <c r="V1234" s="16" t="str">
        <f aca="false">IF($D1234="","",Y1234*AB1234/100)</f>
        <v/>
      </c>
      <c r="W1234" s="16" t="str">
        <f aca="false">IF($D1234="","",Y1234-V1234)</f>
        <v/>
      </c>
      <c r="X1234" s="16" t="str">
        <f aca="false">IF($D1234="","",W1234-N1234)</f>
        <v/>
      </c>
      <c r="AB1234" s="17" t="str">
        <f aca="false">IF($D1234="","",IF(OR($R1234=TRUE(),$R1234="TRUE"),Settings!$C$6,Settings!$C$7)*100)</f>
        <v/>
      </c>
      <c r="AH1234" s="18" t="str">
        <f aca="false">IF($D1234="","",IF(COUNTIF($D$2:$D1234,$D1234)=1,1,0))</f>
        <v/>
      </c>
      <c r="AI1234" s="18" t="str">
        <f aca="false">IF($AH1234=1,SUMPRODUCT(--($AK$2:$AK$4001&lt;$AK1234))+1,"")</f>
        <v/>
      </c>
      <c r="AJ1234" s="18" t="str">
        <f aca="false">IF($D1234="","",IF(OR($R1234=TRUE(),$R1234="TRUE"),1,0))</f>
        <v/>
      </c>
      <c r="AK1234" s="18" t="str">
        <f aca="false">IF($AH1234=1,IFERROR(VALUE(MID($D1234,2,20)),1000000000)+ROW()/10000000,"")</f>
        <v/>
      </c>
    </row>
    <row r="1235" customFormat="false" ht="15" hidden="false" customHeight="false" outlineLevel="0" collapsed="false">
      <c r="F1235" s="15"/>
      <c r="N1235" s="16" t="str">
        <f aca="false">IF($D1235="","",M1235*Y1235/100)</f>
        <v/>
      </c>
      <c r="V1235" s="16" t="str">
        <f aca="false">IF($D1235="","",Y1235*AB1235/100)</f>
        <v/>
      </c>
      <c r="W1235" s="16" t="str">
        <f aca="false">IF($D1235="","",Y1235-V1235)</f>
        <v/>
      </c>
      <c r="X1235" s="16" t="str">
        <f aca="false">IF($D1235="","",W1235-N1235)</f>
        <v/>
      </c>
      <c r="AB1235" s="17" t="str">
        <f aca="false">IF($D1235="","",IF(OR($R1235=TRUE(),$R1235="TRUE"),Settings!$C$6,Settings!$C$7)*100)</f>
        <v/>
      </c>
      <c r="AH1235" s="18" t="str">
        <f aca="false">IF($D1235="","",IF(COUNTIF($D$2:$D1235,$D1235)=1,1,0))</f>
        <v/>
      </c>
      <c r="AI1235" s="18" t="str">
        <f aca="false">IF($AH1235=1,SUMPRODUCT(--($AK$2:$AK$4001&lt;$AK1235))+1,"")</f>
        <v/>
      </c>
      <c r="AJ1235" s="18" t="str">
        <f aca="false">IF($D1235="","",IF(OR($R1235=TRUE(),$R1235="TRUE"),1,0))</f>
        <v/>
      </c>
      <c r="AK1235" s="18" t="str">
        <f aca="false">IF($AH1235=1,IFERROR(VALUE(MID($D1235,2,20)),1000000000)+ROW()/10000000,"")</f>
        <v/>
      </c>
    </row>
    <row r="1236" customFormat="false" ht="15" hidden="false" customHeight="false" outlineLevel="0" collapsed="false">
      <c r="F1236" s="15"/>
      <c r="N1236" s="16" t="str">
        <f aca="false">IF($D1236="","",M1236*Y1236/100)</f>
        <v/>
      </c>
      <c r="V1236" s="16" t="str">
        <f aca="false">IF($D1236="","",Y1236*AB1236/100)</f>
        <v/>
      </c>
      <c r="W1236" s="16" t="str">
        <f aca="false">IF($D1236="","",Y1236-V1236)</f>
        <v/>
      </c>
      <c r="X1236" s="16" t="str">
        <f aca="false">IF($D1236="","",W1236-N1236)</f>
        <v/>
      </c>
      <c r="AB1236" s="17" t="str">
        <f aca="false">IF($D1236="","",IF(OR($R1236=TRUE(),$R1236="TRUE"),Settings!$C$6,Settings!$C$7)*100)</f>
        <v/>
      </c>
      <c r="AH1236" s="18" t="str">
        <f aca="false">IF($D1236="","",IF(COUNTIF($D$2:$D1236,$D1236)=1,1,0))</f>
        <v/>
      </c>
      <c r="AI1236" s="18" t="str">
        <f aca="false">IF($AH1236=1,SUMPRODUCT(--($AK$2:$AK$4001&lt;$AK1236))+1,"")</f>
        <v/>
      </c>
      <c r="AJ1236" s="18" t="str">
        <f aca="false">IF($D1236="","",IF(OR($R1236=TRUE(),$R1236="TRUE"),1,0))</f>
        <v/>
      </c>
      <c r="AK1236" s="18" t="str">
        <f aca="false">IF($AH1236=1,IFERROR(VALUE(MID($D1236,2,20)),1000000000)+ROW()/10000000,"")</f>
        <v/>
      </c>
    </row>
    <row r="1237" customFormat="false" ht="15" hidden="false" customHeight="false" outlineLevel="0" collapsed="false">
      <c r="F1237" s="15"/>
      <c r="N1237" s="16" t="str">
        <f aca="false">IF($D1237="","",M1237*Y1237/100)</f>
        <v/>
      </c>
      <c r="V1237" s="16" t="str">
        <f aca="false">IF($D1237="","",Y1237*AB1237/100)</f>
        <v/>
      </c>
      <c r="W1237" s="16" t="str">
        <f aca="false">IF($D1237="","",Y1237-V1237)</f>
        <v/>
      </c>
      <c r="X1237" s="16" t="str">
        <f aca="false">IF($D1237="","",W1237-N1237)</f>
        <v/>
      </c>
      <c r="AB1237" s="17" t="str">
        <f aca="false">IF($D1237="","",IF(OR($R1237=TRUE(),$R1237="TRUE"),Settings!$C$6,Settings!$C$7)*100)</f>
        <v/>
      </c>
      <c r="AH1237" s="18" t="str">
        <f aca="false">IF($D1237="","",IF(COUNTIF($D$2:$D1237,$D1237)=1,1,0))</f>
        <v/>
      </c>
      <c r="AI1237" s="18" t="str">
        <f aca="false">IF($AH1237=1,SUMPRODUCT(--($AK$2:$AK$4001&lt;$AK1237))+1,"")</f>
        <v/>
      </c>
      <c r="AJ1237" s="18" t="str">
        <f aca="false">IF($D1237="","",IF(OR($R1237=TRUE(),$R1237="TRUE"),1,0))</f>
        <v/>
      </c>
      <c r="AK1237" s="18" t="str">
        <f aca="false">IF($AH1237=1,IFERROR(VALUE(MID($D1237,2,20)),1000000000)+ROW()/10000000,"")</f>
        <v/>
      </c>
    </row>
    <row r="1238" customFormat="false" ht="15" hidden="false" customHeight="false" outlineLevel="0" collapsed="false">
      <c r="F1238" s="15"/>
      <c r="N1238" s="16" t="str">
        <f aca="false">IF($D1238="","",M1238*Y1238/100)</f>
        <v/>
      </c>
      <c r="V1238" s="16" t="str">
        <f aca="false">IF($D1238="","",Y1238*AB1238/100)</f>
        <v/>
      </c>
      <c r="W1238" s="16" t="str">
        <f aca="false">IF($D1238="","",Y1238-V1238)</f>
        <v/>
      </c>
      <c r="X1238" s="16" t="str">
        <f aca="false">IF($D1238="","",W1238-N1238)</f>
        <v/>
      </c>
      <c r="AB1238" s="17" t="str">
        <f aca="false">IF($D1238="","",IF(OR($R1238=TRUE(),$R1238="TRUE"),Settings!$C$6,Settings!$C$7)*100)</f>
        <v/>
      </c>
      <c r="AH1238" s="18" t="str">
        <f aca="false">IF($D1238="","",IF(COUNTIF($D$2:$D1238,$D1238)=1,1,0))</f>
        <v/>
      </c>
      <c r="AI1238" s="18" t="str">
        <f aca="false">IF($AH1238=1,SUMPRODUCT(--($AK$2:$AK$4001&lt;$AK1238))+1,"")</f>
        <v/>
      </c>
      <c r="AJ1238" s="18" t="str">
        <f aca="false">IF($D1238="","",IF(OR($R1238=TRUE(),$R1238="TRUE"),1,0))</f>
        <v/>
      </c>
      <c r="AK1238" s="18" t="str">
        <f aca="false">IF($AH1238=1,IFERROR(VALUE(MID($D1238,2,20)),1000000000)+ROW()/10000000,"")</f>
        <v/>
      </c>
    </row>
    <row r="1239" customFormat="false" ht="15" hidden="false" customHeight="false" outlineLevel="0" collapsed="false">
      <c r="F1239" s="15"/>
      <c r="N1239" s="16" t="str">
        <f aca="false">IF($D1239="","",M1239*Y1239/100)</f>
        <v/>
      </c>
      <c r="V1239" s="16" t="str">
        <f aca="false">IF($D1239="","",Y1239*AB1239/100)</f>
        <v/>
      </c>
      <c r="W1239" s="16" t="str">
        <f aca="false">IF($D1239="","",Y1239-V1239)</f>
        <v/>
      </c>
      <c r="X1239" s="16" t="str">
        <f aca="false">IF($D1239="","",W1239-N1239)</f>
        <v/>
      </c>
      <c r="AB1239" s="17" t="str">
        <f aca="false">IF($D1239="","",IF(OR($R1239=TRUE(),$R1239="TRUE"),Settings!$C$6,Settings!$C$7)*100)</f>
        <v/>
      </c>
      <c r="AH1239" s="18" t="str">
        <f aca="false">IF($D1239="","",IF(COUNTIF($D$2:$D1239,$D1239)=1,1,0))</f>
        <v/>
      </c>
      <c r="AI1239" s="18" t="str">
        <f aca="false">IF($AH1239=1,SUMPRODUCT(--($AK$2:$AK$4001&lt;$AK1239))+1,"")</f>
        <v/>
      </c>
      <c r="AJ1239" s="18" t="str">
        <f aca="false">IF($D1239="","",IF(OR($R1239=TRUE(),$R1239="TRUE"),1,0))</f>
        <v/>
      </c>
      <c r="AK1239" s="18" t="str">
        <f aca="false">IF($AH1239=1,IFERROR(VALUE(MID($D1239,2,20)),1000000000)+ROW()/10000000,"")</f>
        <v/>
      </c>
    </row>
    <row r="1240" customFormat="false" ht="15" hidden="false" customHeight="false" outlineLevel="0" collapsed="false">
      <c r="F1240" s="15"/>
      <c r="N1240" s="16" t="str">
        <f aca="false">IF($D1240="","",M1240*Y1240/100)</f>
        <v/>
      </c>
      <c r="V1240" s="16" t="str">
        <f aca="false">IF($D1240="","",Y1240*AB1240/100)</f>
        <v/>
      </c>
      <c r="W1240" s="16" t="str">
        <f aca="false">IF($D1240="","",Y1240-V1240)</f>
        <v/>
      </c>
      <c r="X1240" s="16" t="str">
        <f aca="false">IF($D1240="","",W1240-N1240)</f>
        <v/>
      </c>
      <c r="AB1240" s="17" t="str">
        <f aca="false">IF($D1240="","",IF(OR($R1240=TRUE(),$R1240="TRUE"),Settings!$C$6,Settings!$C$7)*100)</f>
        <v/>
      </c>
      <c r="AH1240" s="18" t="str">
        <f aca="false">IF($D1240="","",IF(COUNTIF($D$2:$D1240,$D1240)=1,1,0))</f>
        <v/>
      </c>
      <c r="AI1240" s="18" t="str">
        <f aca="false">IF($AH1240=1,SUMPRODUCT(--($AK$2:$AK$4001&lt;$AK1240))+1,"")</f>
        <v/>
      </c>
      <c r="AJ1240" s="18" t="str">
        <f aca="false">IF($D1240="","",IF(OR($R1240=TRUE(),$R1240="TRUE"),1,0))</f>
        <v/>
      </c>
      <c r="AK1240" s="18" t="str">
        <f aca="false">IF($AH1240=1,IFERROR(VALUE(MID($D1240,2,20)),1000000000)+ROW()/10000000,"")</f>
        <v/>
      </c>
    </row>
    <row r="1241" customFormat="false" ht="15" hidden="false" customHeight="false" outlineLevel="0" collapsed="false">
      <c r="F1241" s="15"/>
      <c r="N1241" s="16" t="str">
        <f aca="false">IF($D1241="","",M1241*Y1241/100)</f>
        <v/>
      </c>
      <c r="V1241" s="16" t="str">
        <f aca="false">IF($D1241="","",Y1241*AB1241/100)</f>
        <v/>
      </c>
      <c r="W1241" s="16" t="str">
        <f aca="false">IF($D1241="","",Y1241-V1241)</f>
        <v/>
      </c>
      <c r="X1241" s="16" t="str">
        <f aca="false">IF($D1241="","",W1241-N1241)</f>
        <v/>
      </c>
      <c r="AB1241" s="17" t="str">
        <f aca="false">IF($D1241="","",IF(OR($R1241=TRUE(),$R1241="TRUE"),Settings!$C$6,Settings!$C$7)*100)</f>
        <v/>
      </c>
      <c r="AH1241" s="18" t="str">
        <f aca="false">IF($D1241="","",IF(COUNTIF($D$2:$D1241,$D1241)=1,1,0))</f>
        <v/>
      </c>
      <c r="AI1241" s="18" t="str">
        <f aca="false">IF($AH1241=1,SUMPRODUCT(--($AK$2:$AK$4001&lt;$AK1241))+1,"")</f>
        <v/>
      </c>
      <c r="AJ1241" s="18" t="str">
        <f aca="false">IF($D1241="","",IF(OR($R1241=TRUE(),$R1241="TRUE"),1,0))</f>
        <v/>
      </c>
      <c r="AK1241" s="18" t="str">
        <f aca="false">IF($AH1241=1,IFERROR(VALUE(MID($D1241,2,20)),1000000000)+ROW()/10000000,"")</f>
        <v/>
      </c>
    </row>
    <row r="1242" customFormat="false" ht="15" hidden="false" customHeight="false" outlineLevel="0" collapsed="false">
      <c r="F1242" s="15"/>
      <c r="N1242" s="16" t="str">
        <f aca="false">IF($D1242="","",M1242*Y1242/100)</f>
        <v/>
      </c>
      <c r="V1242" s="16" t="str">
        <f aca="false">IF($D1242="","",Y1242*AB1242/100)</f>
        <v/>
      </c>
      <c r="W1242" s="16" t="str">
        <f aca="false">IF($D1242="","",Y1242-V1242)</f>
        <v/>
      </c>
      <c r="X1242" s="16" t="str">
        <f aca="false">IF($D1242="","",W1242-N1242)</f>
        <v/>
      </c>
      <c r="AB1242" s="17" t="str">
        <f aca="false">IF($D1242="","",IF(OR($R1242=TRUE(),$R1242="TRUE"),Settings!$C$6,Settings!$C$7)*100)</f>
        <v/>
      </c>
      <c r="AH1242" s="18" t="str">
        <f aca="false">IF($D1242="","",IF(COUNTIF($D$2:$D1242,$D1242)=1,1,0))</f>
        <v/>
      </c>
      <c r="AI1242" s="18" t="str">
        <f aca="false">IF($AH1242=1,SUMPRODUCT(--($AK$2:$AK$4001&lt;$AK1242))+1,"")</f>
        <v/>
      </c>
      <c r="AJ1242" s="18" t="str">
        <f aca="false">IF($D1242="","",IF(OR($R1242=TRUE(),$R1242="TRUE"),1,0))</f>
        <v/>
      </c>
      <c r="AK1242" s="18" t="str">
        <f aca="false">IF($AH1242=1,IFERROR(VALUE(MID($D1242,2,20)),1000000000)+ROW()/10000000,"")</f>
        <v/>
      </c>
    </row>
    <row r="1243" customFormat="false" ht="15" hidden="false" customHeight="false" outlineLevel="0" collapsed="false">
      <c r="F1243" s="15"/>
      <c r="N1243" s="16" t="str">
        <f aca="false">IF($D1243="","",M1243*Y1243/100)</f>
        <v/>
      </c>
      <c r="V1243" s="16" t="str">
        <f aca="false">IF($D1243="","",Y1243*AB1243/100)</f>
        <v/>
      </c>
      <c r="W1243" s="16" t="str">
        <f aca="false">IF($D1243="","",Y1243-V1243)</f>
        <v/>
      </c>
      <c r="X1243" s="16" t="str">
        <f aca="false">IF($D1243="","",W1243-N1243)</f>
        <v/>
      </c>
      <c r="AB1243" s="17" t="str">
        <f aca="false">IF($D1243="","",IF(OR($R1243=TRUE(),$R1243="TRUE"),Settings!$C$6,Settings!$C$7)*100)</f>
        <v/>
      </c>
      <c r="AH1243" s="18" t="str">
        <f aca="false">IF($D1243="","",IF(COUNTIF($D$2:$D1243,$D1243)=1,1,0))</f>
        <v/>
      </c>
      <c r="AI1243" s="18" t="str">
        <f aca="false">IF($AH1243=1,SUMPRODUCT(--($AK$2:$AK$4001&lt;$AK1243))+1,"")</f>
        <v/>
      </c>
      <c r="AJ1243" s="18" t="str">
        <f aca="false">IF($D1243="","",IF(OR($R1243=TRUE(),$R1243="TRUE"),1,0))</f>
        <v/>
      </c>
      <c r="AK1243" s="18" t="str">
        <f aca="false">IF($AH1243=1,IFERROR(VALUE(MID($D1243,2,20)),1000000000)+ROW()/10000000,"")</f>
        <v/>
      </c>
    </row>
    <row r="1244" customFormat="false" ht="15" hidden="false" customHeight="false" outlineLevel="0" collapsed="false">
      <c r="F1244" s="15"/>
      <c r="N1244" s="16" t="str">
        <f aca="false">IF($D1244="","",M1244*Y1244/100)</f>
        <v/>
      </c>
      <c r="V1244" s="16" t="str">
        <f aca="false">IF($D1244="","",Y1244*AB1244/100)</f>
        <v/>
      </c>
      <c r="W1244" s="16" t="str">
        <f aca="false">IF($D1244="","",Y1244-V1244)</f>
        <v/>
      </c>
      <c r="X1244" s="16" t="str">
        <f aca="false">IF($D1244="","",W1244-N1244)</f>
        <v/>
      </c>
      <c r="AB1244" s="17" t="str">
        <f aca="false">IF($D1244="","",IF(OR($R1244=TRUE(),$R1244="TRUE"),Settings!$C$6,Settings!$C$7)*100)</f>
        <v/>
      </c>
      <c r="AH1244" s="18" t="str">
        <f aca="false">IF($D1244="","",IF(COUNTIF($D$2:$D1244,$D1244)=1,1,0))</f>
        <v/>
      </c>
      <c r="AI1244" s="18" t="str">
        <f aca="false">IF($AH1244=1,SUMPRODUCT(--($AK$2:$AK$4001&lt;$AK1244))+1,"")</f>
        <v/>
      </c>
      <c r="AJ1244" s="18" t="str">
        <f aca="false">IF($D1244="","",IF(OR($R1244=TRUE(),$R1244="TRUE"),1,0))</f>
        <v/>
      </c>
      <c r="AK1244" s="18" t="str">
        <f aca="false">IF($AH1244=1,IFERROR(VALUE(MID($D1244,2,20)),1000000000)+ROW()/10000000,"")</f>
        <v/>
      </c>
    </row>
    <row r="1245" customFormat="false" ht="15" hidden="false" customHeight="false" outlineLevel="0" collapsed="false">
      <c r="F1245" s="15"/>
      <c r="N1245" s="16" t="str">
        <f aca="false">IF($D1245="","",M1245*Y1245/100)</f>
        <v/>
      </c>
      <c r="V1245" s="16" t="str">
        <f aca="false">IF($D1245="","",Y1245*AB1245/100)</f>
        <v/>
      </c>
      <c r="W1245" s="16" t="str">
        <f aca="false">IF($D1245="","",Y1245-V1245)</f>
        <v/>
      </c>
      <c r="X1245" s="16" t="str">
        <f aca="false">IF($D1245="","",W1245-N1245)</f>
        <v/>
      </c>
      <c r="AB1245" s="17" t="str">
        <f aca="false">IF($D1245="","",IF(OR($R1245=TRUE(),$R1245="TRUE"),Settings!$C$6,Settings!$C$7)*100)</f>
        <v/>
      </c>
      <c r="AH1245" s="18" t="str">
        <f aca="false">IF($D1245="","",IF(COUNTIF($D$2:$D1245,$D1245)=1,1,0))</f>
        <v/>
      </c>
      <c r="AI1245" s="18" t="str">
        <f aca="false">IF($AH1245=1,SUMPRODUCT(--($AK$2:$AK$4001&lt;$AK1245))+1,"")</f>
        <v/>
      </c>
      <c r="AJ1245" s="18" t="str">
        <f aca="false">IF($D1245="","",IF(OR($R1245=TRUE(),$R1245="TRUE"),1,0))</f>
        <v/>
      </c>
      <c r="AK1245" s="18" t="str">
        <f aca="false">IF($AH1245=1,IFERROR(VALUE(MID($D1245,2,20)),1000000000)+ROW()/10000000,"")</f>
        <v/>
      </c>
    </row>
    <row r="1246" customFormat="false" ht="15" hidden="false" customHeight="false" outlineLevel="0" collapsed="false">
      <c r="F1246" s="15"/>
      <c r="N1246" s="16" t="str">
        <f aca="false">IF($D1246="","",M1246*Y1246/100)</f>
        <v/>
      </c>
      <c r="V1246" s="16" t="str">
        <f aca="false">IF($D1246="","",Y1246*AB1246/100)</f>
        <v/>
      </c>
      <c r="W1246" s="16" t="str">
        <f aca="false">IF($D1246="","",Y1246-V1246)</f>
        <v/>
      </c>
      <c r="X1246" s="16" t="str">
        <f aca="false">IF($D1246="","",W1246-N1246)</f>
        <v/>
      </c>
      <c r="AB1246" s="17" t="str">
        <f aca="false">IF($D1246="","",IF(OR($R1246=TRUE(),$R1246="TRUE"),Settings!$C$6,Settings!$C$7)*100)</f>
        <v/>
      </c>
      <c r="AH1246" s="18" t="str">
        <f aca="false">IF($D1246="","",IF(COUNTIF($D$2:$D1246,$D1246)=1,1,0))</f>
        <v/>
      </c>
      <c r="AI1246" s="18" t="str">
        <f aca="false">IF($AH1246=1,SUMPRODUCT(--($AK$2:$AK$4001&lt;$AK1246))+1,"")</f>
        <v/>
      </c>
      <c r="AJ1246" s="18" t="str">
        <f aca="false">IF($D1246="","",IF(OR($R1246=TRUE(),$R1246="TRUE"),1,0))</f>
        <v/>
      </c>
      <c r="AK1246" s="18" t="str">
        <f aca="false">IF($AH1246=1,IFERROR(VALUE(MID($D1246,2,20)),1000000000)+ROW()/10000000,"")</f>
        <v/>
      </c>
    </row>
    <row r="1247" customFormat="false" ht="15" hidden="false" customHeight="false" outlineLevel="0" collapsed="false">
      <c r="F1247" s="15"/>
      <c r="N1247" s="16" t="str">
        <f aca="false">IF($D1247="","",M1247*Y1247/100)</f>
        <v/>
      </c>
      <c r="V1247" s="16" t="str">
        <f aca="false">IF($D1247="","",Y1247*AB1247/100)</f>
        <v/>
      </c>
      <c r="W1247" s="16" t="str">
        <f aca="false">IF($D1247="","",Y1247-V1247)</f>
        <v/>
      </c>
      <c r="X1247" s="16" t="str">
        <f aca="false">IF($D1247="","",W1247-N1247)</f>
        <v/>
      </c>
      <c r="AB1247" s="17" t="str">
        <f aca="false">IF($D1247="","",IF(OR($R1247=TRUE(),$R1247="TRUE"),Settings!$C$6,Settings!$C$7)*100)</f>
        <v/>
      </c>
      <c r="AH1247" s="18" t="str">
        <f aca="false">IF($D1247="","",IF(COUNTIF($D$2:$D1247,$D1247)=1,1,0))</f>
        <v/>
      </c>
      <c r="AI1247" s="18" t="str">
        <f aca="false">IF($AH1247=1,SUMPRODUCT(--($AK$2:$AK$4001&lt;$AK1247))+1,"")</f>
        <v/>
      </c>
      <c r="AJ1247" s="18" t="str">
        <f aca="false">IF($D1247="","",IF(OR($R1247=TRUE(),$R1247="TRUE"),1,0))</f>
        <v/>
      </c>
      <c r="AK1247" s="18" t="str">
        <f aca="false">IF($AH1247=1,IFERROR(VALUE(MID($D1247,2,20)),1000000000)+ROW()/10000000,"")</f>
        <v/>
      </c>
    </row>
    <row r="1248" customFormat="false" ht="15" hidden="false" customHeight="false" outlineLevel="0" collapsed="false">
      <c r="F1248" s="15"/>
      <c r="N1248" s="16" t="str">
        <f aca="false">IF($D1248="","",M1248*Y1248/100)</f>
        <v/>
      </c>
      <c r="V1248" s="16" t="str">
        <f aca="false">IF($D1248="","",Y1248*AB1248/100)</f>
        <v/>
      </c>
      <c r="W1248" s="16" t="str">
        <f aca="false">IF($D1248="","",Y1248-V1248)</f>
        <v/>
      </c>
      <c r="X1248" s="16" t="str">
        <f aca="false">IF($D1248="","",W1248-N1248)</f>
        <v/>
      </c>
      <c r="AB1248" s="17" t="str">
        <f aca="false">IF($D1248="","",IF(OR($R1248=TRUE(),$R1248="TRUE"),Settings!$C$6,Settings!$C$7)*100)</f>
        <v/>
      </c>
      <c r="AH1248" s="18" t="str">
        <f aca="false">IF($D1248="","",IF(COUNTIF($D$2:$D1248,$D1248)=1,1,0))</f>
        <v/>
      </c>
      <c r="AI1248" s="18" t="str">
        <f aca="false">IF($AH1248=1,SUMPRODUCT(--($AK$2:$AK$4001&lt;$AK1248))+1,"")</f>
        <v/>
      </c>
      <c r="AJ1248" s="18" t="str">
        <f aca="false">IF($D1248="","",IF(OR($R1248=TRUE(),$R1248="TRUE"),1,0))</f>
        <v/>
      </c>
      <c r="AK1248" s="18" t="str">
        <f aca="false">IF($AH1248=1,IFERROR(VALUE(MID($D1248,2,20)),1000000000)+ROW()/10000000,"")</f>
        <v/>
      </c>
    </row>
    <row r="1249" customFormat="false" ht="15" hidden="false" customHeight="false" outlineLevel="0" collapsed="false">
      <c r="F1249" s="15"/>
      <c r="N1249" s="16" t="str">
        <f aca="false">IF($D1249="","",M1249*Y1249/100)</f>
        <v/>
      </c>
      <c r="V1249" s="16" t="str">
        <f aca="false">IF($D1249="","",Y1249*AB1249/100)</f>
        <v/>
      </c>
      <c r="W1249" s="16" t="str">
        <f aca="false">IF($D1249="","",Y1249-V1249)</f>
        <v/>
      </c>
      <c r="X1249" s="16" t="str">
        <f aca="false">IF($D1249="","",W1249-N1249)</f>
        <v/>
      </c>
      <c r="AB1249" s="17" t="str">
        <f aca="false">IF($D1249="","",IF(OR($R1249=TRUE(),$R1249="TRUE"),Settings!$C$6,Settings!$C$7)*100)</f>
        <v/>
      </c>
      <c r="AH1249" s="18" t="str">
        <f aca="false">IF($D1249="","",IF(COUNTIF($D$2:$D1249,$D1249)=1,1,0))</f>
        <v/>
      </c>
      <c r="AI1249" s="18" t="str">
        <f aca="false">IF($AH1249=1,SUMPRODUCT(--($AK$2:$AK$4001&lt;$AK1249))+1,"")</f>
        <v/>
      </c>
      <c r="AJ1249" s="18" t="str">
        <f aca="false">IF($D1249="","",IF(OR($R1249=TRUE(),$R1249="TRUE"),1,0))</f>
        <v/>
      </c>
      <c r="AK1249" s="18" t="str">
        <f aca="false">IF($AH1249=1,IFERROR(VALUE(MID($D1249,2,20)),1000000000)+ROW()/10000000,"")</f>
        <v/>
      </c>
    </row>
    <row r="1250" customFormat="false" ht="15" hidden="false" customHeight="false" outlineLevel="0" collapsed="false">
      <c r="F1250" s="15"/>
      <c r="N1250" s="16" t="str">
        <f aca="false">IF($D1250="","",M1250*Y1250/100)</f>
        <v/>
      </c>
      <c r="V1250" s="16" t="str">
        <f aca="false">IF($D1250="","",Y1250*AB1250/100)</f>
        <v/>
      </c>
      <c r="W1250" s="16" t="str">
        <f aca="false">IF($D1250="","",Y1250-V1250)</f>
        <v/>
      </c>
      <c r="X1250" s="16" t="str">
        <f aca="false">IF($D1250="","",W1250-N1250)</f>
        <v/>
      </c>
      <c r="AB1250" s="17" t="str">
        <f aca="false">IF($D1250="","",IF(OR($R1250=TRUE(),$R1250="TRUE"),Settings!$C$6,Settings!$C$7)*100)</f>
        <v/>
      </c>
      <c r="AH1250" s="18" t="str">
        <f aca="false">IF($D1250="","",IF(COUNTIF($D$2:$D1250,$D1250)=1,1,0))</f>
        <v/>
      </c>
      <c r="AI1250" s="18" t="str">
        <f aca="false">IF($AH1250=1,SUMPRODUCT(--($AK$2:$AK$4001&lt;$AK1250))+1,"")</f>
        <v/>
      </c>
      <c r="AJ1250" s="18" t="str">
        <f aca="false">IF($D1250="","",IF(OR($R1250=TRUE(),$R1250="TRUE"),1,0))</f>
        <v/>
      </c>
      <c r="AK1250" s="18" t="str">
        <f aca="false">IF($AH1250=1,IFERROR(VALUE(MID($D1250,2,20)),1000000000)+ROW()/10000000,"")</f>
        <v/>
      </c>
    </row>
    <row r="1251" customFormat="false" ht="15" hidden="false" customHeight="false" outlineLevel="0" collapsed="false">
      <c r="F1251" s="15"/>
      <c r="N1251" s="16" t="str">
        <f aca="false">IF($D1251="","",M1251*Y1251/100)</f>
        <v/>
      </c>
      <c r="V1251" s="16" t="str">
        <f aca="false">IF($D1251="","",Y1251*AB1251/100)</f>
        <v/>
      </c>
      <c r="W1251" s="16" t="str">
        <f aca="false">IF($D1251="","",Y1251-V1251)</f>
        <v/>
      </c>
      <c r="X1251" s="16" t="str">
        <f aca="false">IF($D1251="","",W1251-N1251)</f>
        <v/>
      </c>
      <c r="AB1251" s="17" t="str">
        <f aca="false">IF($D1251="","",IF(OR($R1251=TRUE(),$R1251="TRUE"),Settings!$C$6,Settings!$C$7)*100)</f>
        <v/>
      </c>
      <c r="AH1251" s="18" t="str">
        <f aca="false">IF($D1251="","",IF(COUNTIF($D$2:$D1251,$D1251)=1,1,0))</f>
        <v/>
      </c>
      <c r="AI1251" s="18" t="str">
        <f aca="false">IF($AH1251=1,SUMPRODUCT(--($AK$2:$AK$4001&lt;$AK1251))+1,"")</f>
        <v/>
      </c>
      <c r="AJ1251" s="18" t="str">
        <f aca="false">IF($D1251="","",IF(OR($R1251=TRUE(),$R1251="TRUE"),1,0))</f>
        <v/>
      </c>
      <c r="AK1251" s="18" t="str">
        <f aca="false">IF($AH1251=1,IFERROR(VALUE(MID($D1251,2,20)),1000000000)+ROW()/10000000,"")</f>
        <v/>
      </c>
    </row>
    <row r="1252" customFormat="false" ht="15" hidden="false" customHeight="false" outlineLevel="0" collapsed="false">
      <c r="F1252" s="15"/>
      <c r="N1252" s="16" t="str">
        <f aca="false">IF($D1252="","",M1252*Y1252/100)</f>
        <v/>
      </c>
      <c r="V1252" s="16" t="str">
        <f aca="false">IF($D1252="","",Y1252*AB1252/100)</f>
        <v/>
      </c>
      <c r="W1252" s="16" t="str">
        <f aca="false">IF($D1252="","",Y1252-V1252)</f>
        <v/>
      </c>
      <c r="X1252" s="16" t="str">
        <f aca="false">IF($D1252="","",W1252-N1252)</f>
        <v/>
      </c>
      <c r="AB1252" s="17" t="str">
        <f aca="false">IF($D1252="","",IF(OR($R1252=TRUE(),$R1252="TRUE"),Settings!$C$6,Settings!$C$7)*100)</f>
        <v/>
      </c>
      <c r="AH1252" s="18" t="str">
        <f aca="false">IF($D1252="","",IF(COUNTIF($D$2:$D1252,$D1252)=1,1,0))</f>
        <v/>
      </c>
      <c r="AI1252" s="18" t="str">
        <f aca="false">IF($AH1252=1,SUMPRODUCT(--($AK$2:$AK$4001&lt;$AK1252))+1,"")</f>
        <v/>
      </c>
      <c r="AJ1252" s="18" t="str">
        <f aca="false">IF($D1252="","",IF(OR($R1252=TRUE(),$R1252="TRUE"),1,0))</f>
        <v/>
      </c>
      <c r="AK1252" s="18" t="str">
        <f aca="false">IF($AH1252=1,IFERROR(VALUE(MID($D1252,2,20)),1000000000)+ROW()/10000000,"")</f>
        <v/>
      </c>
    </row>
    <row r="1253" customFormat="false" ht="15" hidden="false" customHeight="false" outlineLevel="0" collapsed="false">
      <c r="F1253" s="15"/>
      <c r="N1253" s="16" t="str">
        <f aca="false">IF($D1253="","",M1253*Y1253/100)</f>
        <v/>
      </c>
      <c r="V1253" s="16" t="str">
        <f aca="false">IF($D1253="","",Y1253*AB1253/100)</f>
        <v/>
      </c>
      <c r="W1253" s="16" t="str">
        <f aca="false">IF($D1253="","",Y1253-V1253)</f>
        <v/>
      </c>
      <c r="X1253" s="16" t="str">
        <f aca="false">IF($D1253="","",W1253-N1253)</f>
        <v/>
      </c>
      <c r="AB1253" s="17" t="str">
        <f aca="false">IF($D1253="","",IF(OR($R1253=TRUE(),$R1253="TRUE"),Settings!$C$6,Settings!$C$7)*100)</f>
        <v/>
      </c>
      <c r="AH1253" s="18" t="str">
        <f aca="false">IF($D1253="","",IF(COUNTIF($D$2:$D1253,$D1253)=1,1,0))</f>
        <v/>
      </c>
      <c r="AI1253" s="18" t="str">
        <f aca="false">IF($AH1253=1,SUMPRODUCT(--($AK$2:$AK$4001&lt;$AK1253))+1,"")</f>
        <v/>
      </c>
      <c r="AJ1253" s="18" t="str">
        <f aca="false">IF($D1253="","",IF(OR($R1253=TRUE(),$R1253="TRUE"),1,0))</f>
        <v/>
      </c>
      <c r="AK1253" s="18" t="str">
        <f aca="false">IF($AH1253=1,IFERROR(VALUE(MID($D1253,2,20)),1000000000)+ROW()/10000000,"")</f>
        <v/>
      </c>
    </row>
    <row r="1254" customFormat="false" ht="15" hidden="false" customHeight="false" outlineLevel="0" collapsed="false">
      <c r="F1254" s="15"/>
      <c r="N1254" s="16" t="str">
        <f aca="false">IF($D1254="","",M1254*Y1254/100)</f>
        <v/>
      </c>
      <c r="V1254" s="16" t="str">
        <f aca="false">IF($D1254="","",Y1254*AB1254/100)</f>
        <v/>
      </c>
      <c r="W1254" s="16" t="str">
        <f aca="false">IF($D1254="","",Y1254-V1254)</f>
        <v/>
      </c>
      <c r="X1254" s="16" t="str">
        <f aca="false">IF($D1254="","",W1254-N1254)</f>
        <v/>
      </c>
      <c r="AB1254" s="17" t="str">
        <f aca="false">IF($D1254="","",IF(OR($R1254=TRUE(),$R1254="TRUE"),Settings!$C$6,Settings!$C$7)*100)</f>
        <v/>
      </c>
      <c r="AH1254" s="18" t="str">
        <f aca="false">IF($D1254="","",IF(COUNTIF($D$2:$D1254,$D1254)=1,1,0))</f>
        <v/>
      </c>
      <c r="AI1254" s="18" t="str">
        <f aca="false">IF($AH1254=1,SUMPRODUCT(--($AK$2:$AK$4001&lt;$AK1254))+1,"")</f>
        <v/>
      </c>
      <c r="AJ1254" s="18" t="str">
        <f aca="false">IF($D1254="","",IF(OR($R1254=TRUE(),$R1254="TRUE"),1,0))</f>
        <v/>
      </c>
      <c r="AK1254" s="18" t="str">
        <f aca="false">IF($AH1254=1,IFERROR(VALUE(MID($D1254,2,20)),1000000000)+ROW()/10000000,"")</f>
        <v/>
      </c>
    </row>
    <row r="1255" customFormat="false" ht="15" hidden="false" customHeight="false" outlineLevel="0" collapsed="false">
      <c r="F1255" s="15"/>
      <c r="N1255" s="16" t="str">
        <f aca="false">IF($D1255="","",M1255*Y1255/100)</f>
        <v/>
      </c>
      <c r="V1255" s="16" t="str">
        <f aca="false">IF($D1255="","",Y1255*AB1255/100)</f>
        <v/>
      </c>
      <c r="W1255" s="16" t="str">
        <f aca="false">IF($D1255="","",Y1255-V1255)</f>
        <v/>
      </c>
      <c r="X1255" s="16" t="str">
        <f aca="false">IF($D1255="","",W1255-N1255)</f>
        <v/>
      </c>
      <c r="AB1255" s="17" t="str">
        <f aca="false">IF($D1255="","",IF(OR($R1255=TRUE(),$R1255="TRUE"),Settings!$C$6,Settings!$C$7)*100)</f>
        <v/>
      </c>
      <c r="AH1255" s="18" t="str">
        <f aca="false">IF($D1255="","",IF(COUNTIF($D$2:$D1255,$D1255)=1,1,0))</f>
        <v/>
      </c>
      <c r="AI1255" s="18" t="str">
        <f aca="false">IF($AH1255=1,SUMPRODUCT(--($AK$2:$AK$4001&lt;$AK1255))+1,"")</f>
        <v/>
      </c>
      <c r="AJ1255" s="18" t="str">
        <f aca="false">IF($D1255="","",IF(OR($R1255=TRUE(),$R1255="TRUE"),1,0))</f>
        <v/>
      </c>
      <c r="AK1255" s="18" t="str">
        <f aca="false">IF($AH1255=1,IFERROR(VALUE(MID($D1255,2,20)),1000000000)+ROW()/10000000,"")</f>
        <v/>
      </c>
    </row>
    <row r="1256" customFormat="false" ht="15" hidden="false" customHeight="false" outlineLevel="0" collapsed="false">
      <c r="F1256" s="15"/>
      <c r="N1256" s="16" t="str">
        <f aca="false">IF($D1256="","",M1256*Y1256/100)</f>
        <v/>
      </c>
      <c r="V1256" s="16" t="str">
        <f aca="false">IF($D1256="","",Y1256*AB1256/100)</f>
        <v/>
      </c>
      <c r="W1256" s="16" t="str">
        <f aca="false">IF($D1256="","",Y1256-V1256)</f>
        <v/>
      </c>
      <c r="X1256" s="16" t="str">
        <f aca="false">IF($D1256="","",W1256-N1256)</f>
        <v/>
      </c>
      <c r="AB1256" s="17" t="str">
        <f aca="false">IF($D1256="","",IF(OR($R1256=TRUE(),$R1256="TRUE"),Settings!$C$6,Settings!$C$7)*100)</f>
        <v/>
      </c>
      <c r="AH1256" s="18" t="str">
        <f aca="false">IF($D1256="","",IF(COUNTIF($D$2:$D1256,$D1256)=1,1,0))</f>
        <v/>
      </c>
      <c r="AI1256" s="18" t="str">
        <f aca="false">IF($AH1256=1,SUMPRODUCT(--($AK$2:$AK$4001&lt;$AK1256))+1,"")</f>
        <v/>
      </c>
      <c r="AJ1256" s="18" t="str">
        <f aca="false">IF($D1256="","",IF(OR($R1256=TRUE(),$R1256="TRUE"),1,0))</f>
        <v/>
      </c>
      <c r="AK1256" s="18" t="str">
        <f aca="false">IF($AH1256=1,IFERROR(VALUE(MID($D1256,2,20)),1000000000)+ROW()/10000000,"")</f>
        <v/>
      </c>
    </row>
    <row r="1257" customFormat="false" ht="15" hidden="false" customHeight="false" outlineLevel="0" collapsed="false">
      <c r="F1257" s="15"/>
      <c r="N1257" s="16" t="str">
        <f aca="false">IF($D1257="","",M1257*Y1257/100)</f>
        <v/>
      </c>
      <c r="V1257" s="16" t="str">
        <f aca="false">IF($D1257="","",Y1257*AB1257/100)</f>
        <v/>
      </c>
      <c r="W1257" s="16" t="str">
        <f aca="false">IF($D1257="","",Y1257-V1257)</f>
        <v/>
      </c>
      <c r="X1257" s="16" t="str">
        <f aca="false">IF($D1257="","",W1257-N1257)</f>
        <v/>
      </c>
      <c r="AB1257" s="17" t="str">
        <f aca="false">IF($D1257="","",IF(OR($R1257=TRUE(),$R1257="TRUE"),Settings!$C$6,Settings!$C$7)*100)</f>
        <v/>
      </c>
      <c r="AH1257" s="18" t="str">
        <f aca="false">IF($D1257="","",IF(COUNTIF($D$2:$D1257,$D1257)=1,1,0))</f>
        <v/>
      </c>
      <c r="AI1257" s="18" t="str">
        <f aca="false">IF($AH1257=1,SUMPRODUCT(--($AK$2:$AK$4001&lt;$AK1257))+1,"")</f>
        <v/>
      </c>
      <c r="AJ1257" s="18" t="str">
        <f aca="false">IF($D1257="","",IF(OR($R1257=TRUE(),$R1257="TRUE"),1,0))</f>
        <v/>
      </c>
      <c r="AK1257" s="18" t="str">
        <f aca="false">IF($AH1257=1,IFERROR(VALUE(MID($D1257,2,20)),1000000000)+ROW()/10000000,"")</f>
        <v/>
      </c>
    </row>
    <row r="1258" customFormat="false" ht="15" hidden="false" customHeight="false" outlineLevel="0" collapsed="false">
      <c r="F1258" s="15"/>
      <c r="N1258" s="16" t="str">
        <f aca="false">IF($D1258="","",M1258*Y1258/100)</f>
        <v/>
      </c>
      <c r="V1258" s="16" t="str">
        <f aca="false">IF($D1258="","",Y1258*AB1258/100)</f>
        <v/>
      </c>
      <c r="W1258" s="16" t="str">
        <f aca="false">IF($D1258="","",Y1258-V1258)</f>
        <v/>
      </c>
      <c r="X1258" s="16" t="str">
        <f aca="false">IF($D1258="","",W1258-N1258)</f>
        <v/>
      </c>
      <c r="AB1258" s="17" t="str">
        <f aca="false">IF($D1258="","",IF(OR($R1258=TRUE(),$R1258="TRUE"),Settings!$C$6,Settings!$C$7)*100)</f>
        <v/>
      </c>
      <c r="AH1258" s="18" t="str">
        <f aca="false">IF($D1258="","",IF(COUNTIF($D$2:$D1258,$D1258)=1,1,0))</f>
        <v/>
      </c>
      <c r="AI1258" s="18" t="str">
        <f aca="false">IF($AH1258=1,SUMPRODUCT(--($AK$2:$AK$4001&lt;$AK1258))+1,"")</f>
        <v/>
      </c>
      <c r="AJ1258" s="18" t="str">
        <f aca="false">IF($D1258="","",IF(OR($R1258=TRUE(),$R1258="TRUE"),1,0))</f>
        <v/>
      </c>
      <c r="AK1258" s="18" t="str">
        <f aca="false">IF($AH1258=1,IFERROR(VALUE(MID($D1258,2,20)),1000000000)+ROW()/10000000,"")</f>
        <v/>
      </c>
    </row>
    <row r="1259" customFormat="false" ht="15" hidden="false" customHeight="false" outlineLevel="0" collapsed="false">
      <c r="F1259" s="15"/>
      <c r="N1259" s="16" t="str">
        <f aca="false">IF($D1259="","",M1259*Y1259/100)</f>
        <v/>
      </c>
      <c r="V1259" s="16" t="str">
        <f aca="false">IF($D1259="","",Y1259*AB1259/100)</f>
        <v/>
      </c>
      <c r="W1259" s="16" t="str">
        <f aca="false">IF($D1259="","",Y1259-V1259)</f>
        <v/>
      </c>
      <c r="X1259" s="16" t="str">
        <f aca="false">IF($D1259="","",W1259-N1259)</f>
        <v/>
      </c>
      <c r="AB1259" s="17" t="str">
        <f aca="false">IF($D1259="","",IF(OR($R1259=TRUE(),$R1259="TRUE"),Settings!$C$6,Settings!$C$7)*100)</f>
        <v/>
      </c>
      <c r="AH1259" s="18" t="str">
        <f aca="false">IF($D1259="","",IF(COUNTIF($D$2:$D1259,$D1259)=1,1,0))</f>
        <v/>
      </c>
      <c r="AI1259" s="18" t="str">
        <f aca="false">IF($AH1259=1,SUMPRODUCT(--($AK$2:$AK$4001&lt;$AK1259))+1,"")</f>
        <v/>
      </c>
      <c r="AJ1259" s="18" t="str">
        <f aca="false">IF($D1259="","",IF(OR($R1259=TRUE(),$R1259="TRUE"),1,0))</f>
        <v/>
      </c>
      <c r="AK1259" s="18" t="str">
        <f aca="false">IF($AH1259=1,IFERROR(VALUE(MID($D1259,2,20)),1000000000)+ROW()/10000000,"")</f>
        <v/>
      </c>
    </row>
    <row r="1260" customFormat="false" ht="15" hidden="false" customHeight="false" outlineLevel="0" collapsed="false">
      <c r="F1260" s="15"/>
      <c r="N1260" s="16" t="str">
        <f aca="false">IF($D1260="","",M1260*Y1260/100)</f>
        <v/>
      </c>
      <c r="V1260" s="16" t="str">
        <f aca="false">IF($D1260="","",Y1260*AB1260/100)</f>
        <v/>
      </c>
      <c r="W1260" s="16" t="str">
        <f aca="false">IF($D1260="","",Y1260-V1260)</f>
        <v/>
      </c>
      <c r="X1260" s="16" t="str">
        <f aca="false">IF($D1260="","",W1260-N1260)</f>
        <v/>
      </c>
      <c r="AB1260" s="17" t="str">
        <f aca="false">IF($D1260="","",IF(OR($R1260=TRUE(),$R1260="TRUE"),Settings!$C$6,Settings!$C$7)*100)</f>
        <v/>
      </c>
      <c r="AH1260" s="18" t="str">
        <f aca="false">IF($D1260="","",IF(COUNTIF($D$2:$D1260,$D1260)=1,1,0))</f>
        <v/>
      </c>
      <c r="AI1260" s="18" t="str">
        <f aca="false">IF($AH1260=1,SUMPRODUCT(--($AK$2:$AK$4001&lt;$AK1260))+1,"")</f>
        <v/>
      </c>
      <c r="AJ1260" s="18" t="str">
        <f aca="false">IF($D1260="","",IF(OR($R1260=TRUE(),$R1260="TRUE"),1,0))</f>
        <v/>
      </c>
      <c r="AK1260" s="18" t="str">
        <f aca="false">IF($AH1260=1,IFERROR(VALUE(MID($D1260,2,20)),1000000000)+ROW()/10000000,"")</f>
        <v/>
      </c>
    </row>
    <row r="1261" customFormat="false" ht="15" hidden="false" customHeight="false" outlineLevel="0" collapsed="false">
      <c r="F1261" s="15"/>
      <c r="N1261" s="16" t="str">
        <f aca="false">IF($D1261="","",M1261*Y1261/100)</f>
        <v/>
      </c>
      <c r="V1261" s="16" t="str">
        <f aca="false">IF($D1261="","",Y1261*AB1261/100)</f>
        <v/>
      </c>
      <c r="W1261" s="16" t="str">
        <f aca="false">IF($D1261="","",Y1261-V1261)</f>
        <v/>
      </c>
      <c r="X1261" s="16" t="str">
        <f aca="false">IF($D1261="","",W1261-N1261)</f>
        <v/>
      </c>
      <c r="AB1261" s="17" t="str">
        <f aca="false">IF($D1261="","",IF(OR($R1261=TRUE(),$R1261="TRUE"),Settings!$C$6,Settings!$C$7)*100)</f>
        <v/>
      </c>
      <c r="AH1261" s="18" t="str">
        <f aca="false">IF($D1261="","",IF(COUNTIF($D$2:$D1261,$D1261)=1,1,0))</f>
        <v/>
      </c>
      <c r="AI1261" s="18" t="str">
        <f aca="false">IF($AH1261=1,SUMPRODUCT(--($AK$2:$AK$4001&lt;$AK1261))+1,"")</f>
        <v/>
      </c>
      <c r="AJ1261" s="18" t="str">
        <f aca="false">IF($D1261="","",IF(OR($R1261=TRUE(),$R1261="TRUE"),1,0))</f>
        <v/>
      </c>
      <c r="AK1261" s="18" t="str">
        <f aca="false">IF($AH1261=1,IFERROR(VALUE(MID($D1261,2,20)),1000000000)+ROW()/10000000,"")</f>
        <v/>
      </c>
    </row>
    <row r="1262" customFormat="false" ht="15" hidden="false" customHeight="false" outlineLevel="0" collapsed="false">
      <c r="F1262" s="15"/>
      <c r="N1262" s="16" t="str">
        <f aca="false">IF($D1262="","",M1262*Y1262/100)</f>
        <v/>
      </c>
      <c r="V1262" s="16" t="str">
        <f aca="false">IF($D1262="","",Y1262*AB1262/100)</f>
        <v/>
      </c>
      <c r="W1262" s="16" t="str">
        <f aca="false">IF($D1262="","",Y1262-V1262)</f>
        <v/>
      </c>
      <c r="X1262" s="16" t="str">
        <f aca="false">IF($D1262="","",W1262-N1262)</f>
        <v/>
      </c>
      <c r="AB1262" s="17" t="str">
        <f aca="false">IF($D1262="","",IF(OR($R1262=TRUE(),$R1262="TRUE"),Settings!$C$6,Settings!$C$7)*100)</f>
        <v/>
      </c>
      <c r="AH1262" s="18" t="str">
        <f aca="false">IF($D1262="","",IF(COUNTIF($D$2:$D1262,$D1262)=1,1,0))</f>
        <v/>
      </c>
      <c r="AI1262" s="18" t="str">
        <f aca="false">IF($AH1262=1,SUMPRODUCT(--($AK$2:$AK$4001&lt;$AK1262))+1,"")</f>
        <v/>
      </c>
      <c r="AJ1262" s="18" t="str">
        <f aca="false">IF($D1262="","",IF(OR($R1262=TRUE(),$R1262="TRUE"),1,0))</f>
        <v/>
      </c>
      <c r="AK1262" s="18" t="str">
        <f aca="false">IF($AH1262=1,IFERROR(VALUE(MID($D1262,2,20)),1000000000)+ROW()/10000000,"")</f>
        <v/>
      </c>
    </row>
    <row r="1263" customFormat="false" ht="15" hidden="false" customHeight="false" outlineLevel="0" collapsed="false">
      <c r="F1263" s="15"/>
      <c r="N1263" s="16" t="str">
        <f aca="false">IF($D1263="","",M1263*Y1263/100)</f>
        <v/>
      </c>
      <c r="V1263" s="16" t="str">
        <f aca="false">IF($D1263="","",Y1263*AB1263/100)</f>
        <v/>
      </c>
      <c r="W1263" s="16" t="str">
        <f aca="false">IF($D1263="","",Y1263-V1263)</f>
        <v/>
      </c>
      <c r="X1263" s="16" t="str">
        <f aca="false">IF($D1263="","",W1263-N1263)</f>
        <v/>
      </c>
      <c r="AB1263" s="17" t="str">
        <f aca="false">IF($D1263="","",IF(OR($R1263=TRUE(),$R1263="TRUE"),Settings!$C$6,Settings!$C$7)*100)</f>
        <v/>
      </c>
      <c r="AH1263" s="18" t="str">
        <f aca="false">IF($D1263="","",IF(COUNTIF($D$2:$D1263,$D1263)=1,1,0))</f>
        <v/>
      </c>
      <c r="AI1263" s="18" t="str">
        <f aca="false">IF($AH1263=1,SUMPRODUCT(--($AK$2:$AK$4001&lt;$AK1263))+1,"")</f>
        <v/>
      </c>
      <c r="AJ1263" s="18" t="str">
        <f aca="false">IF($D1263="","",IF(OR($R1263=TRUE(),$R1263="TRUE"),1,0))</f>
        <v/>
      </c>
      <c r="AK1263" s="18" t="str">
        <f aca="false">IF($AH1263=1,IFERROR(VALUE(MID($D1263,2,20)),1000000000)+ROW()/10000000,"")</f>
        <v/>
      </c>
    </row>
    <row r="1264" customFormat="false" ht="15" hidden="false" customHeight="false" outlineLevel="0" collapsed="false">
      <c r="F1264" s="15"/>
      <c r="N1264" s="16" t="str">
        <f aca="false">IF($D1264="","",M1264*Y1264/100)</f>
        <v/>
      </c>
      <c r="V1264" s="16" t="str">
        <f aca="false">IF($D1264="","",Y1264*AB1264/100)</f>
        <v/>
      </c>
      <c r="W1264" s="16" t="str">
        <f aca="false">IF($D1264="","",Y1264-V1264)</f>
        <v/>
      </c>
      <c r="X1264" s="16" t="str">
        <f aca="false">IF($D1264="","",W1264-N1264)</f>
        <v/>
      </c>
      <c r="AB1264" s="17" t="str">
        <f aca="false">IF($D1264="","",IF(OR($R1264=TRUE(),$R1264="TRUE"),Settings!$C$6,Settings!$C$7)*100)</f>
        <v/>
      </c>
      <c r="AH1264" s="18" t="str">
        <f aca="false">IF($D1264="","",IF(COUNTIF($D$2:$D1264,$D1264)=1,1,0))</f>
        <v/>
      </c>
      <c r="AI1264" s="18" t="str">
        <f aca="false">IF($AH1264=1,SUMPRODUCT(--($AK$2:$AK$4001&lt;$AK1264))+1,"")</f>
        <v/>
      </c>
      <c r="AJ1264" s="18" t="str">
        <f aca="false">IF($D1264="","",IF(OR($R1264=TRUE(),$R1264="TRUE"),1,0))</f>
        <v/>
      </c>
      <c r="AK1264" s="18" t="str">
        <f aca="false">IF($AH1264=1,IFERROR(VALUE(MID($D1264,2,20)),1000000000)+ROW()/10000000,"")</f>
        <v/>
      </c>
    </row>
    <row r="1265" customFormat="false" ht="15" hidden="false" customHeight="false" outlineLevel="0" collapsed="false">
      <c r="F1265" s="15"/>
      <c r="N1265" s="16" t="str">
        <f aca="false">IF($D1265="","",M1265*Y1265/100)</f>
        <v/>
      </c>
      <c r="V1265" s="16" t="str">
        <f aca="false">IF($D1265="","",Y1265*AB1265/100)</f>
        <v/>
      </c>
      <c r="W1265" s="16" t="str">
        <f aca="false">IF($D1265="","",Y1265-V1265)</f>
        <v/>
      </c>
      <c r="X1265" s="16" t="str">
        <f aca="false">IF($D1265="","",W1265-N1265)</f>
        <v/>
      </c>
      <c r="AB1265" s="17" t="str">
        <f aca="false">IF($D1265="","",IF(OR($R1265=TRUE(),$R1265="TRUE"),Settings!$C$6,Settings!$C$7)*100)</f>
        <v/>
      </c>
      <c r="AH1265" s="18" t="str">
        <f aca="false">IF($D1265="","",IF(COUNTIF($D$2:$D1265,$D1265)=1,1,0))</f>
        <v/>
      </c>
      <c r="AI1265" s="18" t="str">
        <f aca="false">IF($AH1265=1,SUMPRODUCT(--($AK$2:$AK$4001&lt;$AK1265))+1,"")</f>
        <v/>
      </c>
      <c r="AJ1265" s="18" t="str">
        <f aca="false">IF($D1265="","",IF(OR($R1265=TRUE(),$R1265="TRUE"),1,0))</f>
        <v/>
      </c>
      <c r="AK1265" s="18" t="str">
        <f aca="false">IF($AH1265=1,IFERROR(VALUE(MID($D1265,2,20)),1000000000)+ROW()/10000000,"")</f>
        <v/>
      </c>
    </row>
    <row r="1266" customFormat="false" ht="15" hidden="false" customHeight="false" outlineLevel="0" collapsed="false">
      <c r="F1266" s="15"/>
      <c r="N1266" s="16" t="str">
        <f aca="false">IF($D1266="","",M1266*Y1266/100)</f>
        <v/>
      </c>
      <c r="V1266" s="16" t="str">
        <f aca="false">IF($D1266="","",Y1266*AB1266/100)</f>
        <v/>
      </c>
      <c r="W1266" s="16" t="str">
        <f aca="false">IF($D1266="","",Y1266-V1266)</f>
        <v/>
      </c>
      <c r="X1266" s="16" t="str">
        <f aca="false">IF($D1266="","",W1266-N1266)</f>
        <v/>
      </c>
      <c r="AB1266" s="17" t="str">
        <f aca="false">IF($D1266="","",IF(OR($R1266=TRUE(),$R1266="TRUE"),Settings!$C$6,Settings!$C$7)*100)</f>
        <v/>
      </c>
      <c r="AH1266" s="18" t="str">
        <f aca="false">IF($D1266="","",IF(COUNTIF($D$2:$D1266,$D1266)=1,1,0))</f>
        <v/>
      </c>
      <c r="AI1266" s="18" t="str">
        <f aca="false">IF($AH1266=1,SUMPRODUCT(--($AK$2:$AK$4001&lt;$AK1266))+1,"")</f>
        <v/>
      </c>
      <c r="AJ1266" s="18" t="str">
        <f aca="false">IF($D1266="","",IF(OR($R1266=TRUE(),$R1266="TRUE"),1,0))</f>
        <v/>
      </c>
      <c r="AK1266" s="18" t="str">
        <f aca="false">IF($AH1266=1,IFERROR(VALUE(MID($D1266,2,20)),1000000000)+ROW()/10000000,"")</f>
        <v/>
      </c>
    </row>
    <row r="1267" customFormat="false" ht="15" hidden="false" customHeight="false" outlineLevel="0" collapsed="false">
      <c r="F1267" s="15"/>
      <c r="N1267" s="16" t="str">
        <f aca="false">IF($D1267="","",M1267*Y1267/100)</f>
        <v/>
      </c>
      <c r="V1267" s="16" t="str">
        <f aca="false">IF($D1267="","",Y1267*AB1267/100)</f>
        <v/>
      </c>
      <c r="W1267" s="16" t="str">
        <f aca="false">IF($D1267="","",Y1267-V1267)</f>
        <v/>
      </c>
      <c r="X1267" s="16" t="str">
        <f aca="false">IF($D1267="","",W1267-N1267)</f>
        <v/>
      </c>
      <c r="AB1267" s="17" t="str">
        <f aca="false">IF($D1267="","",IF(OR($R1267=TRUE(),$R1267="TRUE"),Settings!$C$6,Settings!$C$7)*100)</f>
        <v/>
      </c>
      <c r="AH1267" s="18" t="str">
        <f aca="false">IF($D1267="","",IF(COUNTIF($D$2:$D1267,$D1267)=1,1,0))</f>
        <v/>
      </c>
      <c r="AI1267" s="18" t="str">
        <f aca="false">IF($AH1267=1,SUMPRODUCT(--($AK$2:$AK$4001&lt;$AK1267))+1,"")</f>
        <v/>
      </c>
      <c r="AJ1267" s="18" t="str">
        <f aca="false">IF($D1267="","",IF(OR($R1267=TRUE(),$R1267="TRUE"),1,0))</f>
        <v/>
      </c>
      <c r="AK1267" s="18" t="str">
        <f aca="false">IF($AH1267=1,IFERROR(VALUE(MID($D1267,2,20)),1000000000)+ROW()/10000000,"")</f>
        <v/>
      </c>
    </row>
    <row r="1268" customFormat="false" ht="15" hidden="false" customHeight="false" outlineLevel="0" collapsed="false">
      <c r="F1268" s="15"/>
      <c r="N1268" s="16" t="str">
        <f aca="false">IF($D1268="","",M1268*Y1268/100)</f>
        <v/>
      </c>
      <c r="V1268" s="16" t="str">
        <f aca="false">IF($D1268="","",Y1268*AB1268/100)</f>
        <v/>
      </c>
      <c r="W1268" s="16" t="str">
        <f aca="false">IF($D1268="","",Y1268-V1268)</f>
        <v/>
      </c>
      <c r="X1268" s="16" t="str">
        <f aca="false">IF($D1268="","",W1268-N1268)</f>
        <v/>
      </c>
      <c r="AB1268" s="17" t="str">
        <f aca="false">IF($D1268="","",IF(OR($R1268=TRUE(),$R1268="TRUE"),Settings!$C$6,Settings!$C$7)*100)</f>
        <v/>
      </c>
      <c r="AH1268" s="18" t="str">
        <f aca="false">IF($D1268="","",IF(COUNTIF($D$2:$D1268,$D1268)=1,1,0))</f>
        <v/>
      </c>
      <c r="AI1268" s="18" t="str">
        <f aca="false">IF($AH1268=1,SUMPRODUCT(--($AK$2:$AK$4001&lt;$AK1268))+1,"")</f>
        <v/>
      </c>
      <c r="AJ1268" s="18" t="str">
        <f aca="false">IF($D1268="","",IF(OR($R1268=TRUE(),$R1268="TRUE"),1,0))</f>
        <v/>
      </c>
      <c r="AK1268" s="18" t="str">
        <f aca="false">IF($AH1268=1,IFERROR(VALUE(MID($D1268,2,20)),1000000000)+ROW()/10000000,"")</f>
        <v/>
      </c>
    </row>
    <row r="1269" customFormat="false" ht="15" hidden="false" customHeight="false" outlineLevel="0" collapsed="false">
      <c r="F1269" s="15"/>
      <c r="N1269" s="16" t="str">
        <f aca="false">IF($D1269="","",M1269*Y1269/100)</f>
        <v/>
      </c>
      <c r="V1269" s="16" t="str">
        <f aca="false">IF($D1269="","",Y1269*AB1269/100)</f>
        <v/>
      </c>
      <c r="W1269" s="16" t="str">
        <f aca="false">IF($D1269="","",Y1269-V1269)</f>
        <v/>
      </c>
      <c r="X1269" s="16" t="str">
        <f aca="false">IF($D1269="","",W1269-N1269)</f>
        <v/>
      </c>
      <c r="AB1269" s="17" t="str">
        <f aca="false">IF($D1269="","",IF(OR($R1269=TRUE(),$R1269="TRUE"),Settings!$C$6,Settings!$C$7)*100)</f>
        <v/>
      </c>
      <c r="AH1269" s="18" t="str">
        <f aca="false">IF($D1269="","",IF(COUNTIF($D$2:$D1269,$D1269)=1,1,0))</f>
        <v/>
      </c>
      <c r="AI1269" s="18" t="str">
        <f aca="false">IF($AH1269=1,SUMPRODUCT(--($AK$2:$AK$4001&lt;$AK1269))+1,"")</f>
        <v/>
      </c>
      <c r="AJ1269" s="18" t="str">
        <f aca="false">IF($D1269="","",IF(OR($R1269=TRUE(),$R1269="TRUE"),1,0))</f>
        <v/>
      </c>
      <c r="AK1269" s="18" t="str">
        <f aca="false">IF($AH1269=1,IFERROR(VALUE(MID($D1269,2,20)),1000000000)+ROW()/10000000,"")</f>
        <v/>
      </c>
    </row>
    <row r="1270" customFormat="false" ht="15" hidden="false" customHeight="false" outlineLevel="0" collapsed="false">
      <c r="F1270" s="15"/>
      <c r="N1270" s="16" t="str">
        <f aca="false">IF($D1270="","",M1270*Y1270/100)</f>
        <v/>
      </c>
      <c r="V1270" s="16" t="str">
        <f aca="false">IF($D1270="","",Y1270*AB1270/100)</f>
        <v/>
      </c>
      <c r="W1270" s="16" t="str">
        <f aca="false">IF($D1270="","",Y1270-V1270)</f>
        <v/>
      </c>
      <c r="X1270" s="16" t="str">
        <f aca="false">IF($D1270="","",W1270-N1270)</f>
        <v/>
      </c>
      <c r="AB1270" s="17" t="str">
        <f aca="false">IF($D1270="","",IF(OR($R1270=TRUE(),$R1270="TRUE"),Settings!$C$6,Settings!$C$7)*100)</f>
        <v/>
      </c>
      <c r="AH1270" s="18" t="str">
        <f aca="false">IF($D1270="","",IF(COUNTIF($D$2:$D1270,$D1270)=1,1,0))</f>
        <v/>
      </c>
      <c r="AI1270" s="18" t="str">
        <f aca="false">IF($AH1270=1,SUMPRODUCT(--($AK$2:$AK$4001&lt;$AK1270))+1,"")</f>
        <v/>
      </c>
      <c r="AJ1270" s="18" t="str">
        <f aca="false">IF($D1270="","",IF(OR($R1270=TRUE(),$R1270="TRUE"),1,0))</f>
        <v/>
      </c>
      <c r="AK1270" s="18" t="str">
        <f aca="false">IF($AH1270=1,IFERROR(VALUE(MID($D1270,2,20)),1000000000)+ROW()/10000000,"")</f>
        <v/>
      </c>
    </row>
    <row r="1271" customFormat="false" ht="15" hidden="false" customHeight="false" outlineLevel="0" collapsed="false">
      <c r="F1271" s="15"/>
      <c r="N1271" s="16" t="str">
        <f aca="false">IF($D1271="","",M1271*Y1271/100)</f>
        <v/>
      </c>
      <c r="V1271" s="16" t="str">
        <f aca="false">IF($D1271="","",Y1271*AB1271/100)</f>
        <v/>
      </c>
      <c r="W1271" s="16" t="str">
        <f aca="false">IF($D1271="","",Y1271-V1271)</f>
        <v/>
      </c>
      <c r="X1271" s="16" t="str">
        <f aca="false">IF($D1271="","",W1271-N1271)</f>
        <v/>
      </c>
      <c r="AB1271" s="17" t="str">
        <f aca="false">IF($D1271="","",IF(OR($R1271=TRUE(),$R1271="TRUE"),Settings!$C$6,Settings!$C$7)*100)</f>
        <v/>
      </c>
      <c r="AH1271" s="18" t="str">
        <f aca="false">IF($D1271="","",IF(COUNTIF($D$2:$D1271,$D1271)=1,1,0))</f>
        <v/>
      </c>
      <c r="AI1271" s="18" t="str">
        <f aca="false">IF($AH1271=1,SUMPRODUCT(--($AK$2:$AK$4001&lt;$AK1271))+1,"")</f>
        <v/>
      </c>
      <c r="AJ1271" s="18" t="str">
        <f aca="false">IF($D1271="","",IF(OR($R1271=TRUE(),$R1271="TRUE"),1,0))</f>
        <v/>
      </c>
      <c r="AK1271" s="18" t="str">
        <f aca="false">IF($AH1271=1,IFERROR(VALUE(MID($D1271,2,20)),1000000000)+ROW()/10000000,"")</f>
        <v/>
      </c>
    </row>
    <row r="1272" customFormat="false" ht="15" hidden="false" customHeight="false" outlineLevel="0" collapsed="false">
      <c r="F1272" s="15"/>
      <c r="N1272" s="16" t="str">
        <f aca="false">IF($D1272="","",M1272*Y1272/100)</f>
        <v/>
      </c>
      <c r="V1272" s="16" t="str">
        <f aca="false">IF($D1272="","",Y1272*AB1272/100)</f>
        <v/>
      </c>
      <c r="W1272" s="16" t="str">
        <f aca="false">IF($D1272="","",Y1272-V1272)</f>
        <v/>
      </c>
      <c r="X1272" s="16" t="str">
        <f aca="false">IF($D1272="","",W1272-N1272)</f>
        <v/>
      </c>
      <c r="AB1272" s="17" t="str">
        <f aca="false">IF($D1272="","",IF(OR($R1272=TRUE(),$R1272="TRUE"),Settings!$C$6,Settings!$C$7)*100)</f>
        <v/>
      </c>
      <c r="AH1272" s="18" t="str">
        <f aca="false">IF($D1272="","",IF(COUNTIF($D$2:$D1272,$D1272)=1,1,0))</f>
        <v/>
      </c>
      <c r="AI1272" s="18" t="str">
        <f aca="false">IF($AH1272=1,SUMPRODUCT(--($AK$2:$AK$4001&lt;$AK1272))+1,"")</f>
        <v/>
      </c>
      <c r="AJ1272" s="18" t="str">
        <f aca="false">IF($D1272="","",IF(OR($R1272=TRUE(),$R1272="TRUE"),1,0))</f>
        <v/>
      </c>
      <c r="AK1272" s="18" t="str">
        <f aca="false">IF($AH1272=1,IFERROR(VALUE(MID($D1272,2,20)),1000000000)+ROW()/10000000,"")</f>
        <v/>
      </c>
    </row>
    <row r="1273" customFormat="false" ht="15" hidden="false" customHeight="false" outlineLevel="0" collapsed="false">
      <c r="F1273" s="15"/>
      <c r="N1273" s="16" t="str">
        <f aca="false">IF($D1273="","",M1273*Y1273/100)</f>
        <v/>
      </c>
      <c r="V1273" s="16" t="str">
        <f aca="false">IF($D1273="","",Y1273*AB1273/100)</f>
        <v/>
      </c>
      <c r="W1273" s="16" t="str">
        <f aca="false">IF($D1273="","",Y1273-V1273)</f>
        <v/>
      </c>
      <c r="X1273" s="16" t="str">
        <f aca="false">IF($D1273="","",W1273-N1273)</f>
        <v/>
      </c>
      <c r="AB1273" s="17" t="str">
        <f aca="false">IF($D1273="","",IF(OR($R1273=TRUE(),$R1273="TRUE"),Settings!$C$6,Settings!$C$7)*100)</f>
        <v/>
      </c>
      <c r="AH1273" s="18" t="str">
        <f aca="false">IF($D1273="","",IF(COUNTIF($D$2:$D1273,$D1273)=1,1,0))</f>
        <v/>
      </c>
      <c r="AI1273" s="18" t="str">
        <f aca="false">IF($AH1273=1,SUMPRODUCT(--($AK$2:$AK$4001&lt;$AK1273))+1,"")</f>
        <v/>
      </c>
      <c r="AJ1273" s="18" t="str">
        <f aca="false">IF($D1273="","",IF(OR($R1273=TRUE(),$R1273="TRUE"),1,0))</f>
        <v/>
      </c>
      <c r="AK1273" s="18" t="str">
        <f aca="false">IF($AH1273=1,IFERROR(VALUE(MID($D1273,2,20)),1000000000)+ROW()/10000000,"")</f>
        <v/>
      </c>
    </row>
    <row r="1274" customFormat="false" ht="15" hidden="false" customHeight="false" outlineLevel="0" collapsed="false">
      <c r="F1274" s="15"/>
      <c r="N1274" s="16" t="str">
        <f aca="false">IF($D1274="","",M1274*Y1274/100)</f>
        <v/>
      </c>
      <c r="V1274" s="16" t="str">
        <f aca="false">IF($D1274="","",Y1274*AB1274/100)</f>
        <v/>
      </c>
      <c r="W1274" s="16" t="str">
        <f aca="false">IF($D1274="","",Y1274-V1274)</f>
        <v/>
      </c>
      <c r="X1274" s="16" t="str">
        <f aca="false">IF($D1274="","",W1274-N1274)</f>
        <v/>
      </c>
      <c r="AB1274" s="17" t="str">
        <f aca="false">IF($D1274="","",IF(OR($R1274=TRUE(),$R1274="TRUE"),Settings!$C$6,Settings!$C$7)*100)</f>
        <v/>
      </c>
      <c r="AH1274" s="18" t="str">
        <f aca="false">IF($D1274="","",IF(COUNTIF($D$2:$D1274,$D1274)=1,1,0))</f>
        <v/>
      </c>
      <c r="AI1274" s="18" t="str">
        <f aca="false">IF($AH1274=1,SUMPRODUCT(--($AK$2:$AK$4001&lt;$AK1274))+1,"")</f>
        <v/>
      </c>
      <c r="AJ1274" s="18" t="str">
        <f aca="false">IF($D1274="","",IF(OR($R1274=TRUE(),$R1274="TRUE"),1,0))</f>
        <v/>
      </c>
      <c r="AK1274" s="18" t="str">
        <f aca="false">IF($AH1274=1,IFERROR(VALUE(MID($D1274,2,20)),1000000000)+ROW()/10000000,"")</f>
        <v/>
      </c>
    </row>
    <row r="1275" customFormat="false" ht="15" hidden="false" customHeight="false" outlineLevel="0" collapsed="false">
      <c r="F1275" s="15"/>
      <c r="N1275" s="16" t="str">
        <f aca="false">IF($D1275="","",M1275*Y1275/100)</f>
        <v/>
      </c>
      <c r="V1275" s="16" t="str">
        <f aca="false">IF($D1275="","",Y1275*AB1275/100)</f>
        <v/>
      </c>
      <c r="W1275" s="16" t="str">
        <f aca="false">IF($D1275="","",Y1275-V1275)</f>
        <v/>
      </c>
      <c r="X1275" s="16" t="str">
        <f aca="false">IF($D1275="","",W1275-N1275)</f>
        <v/>
      </c>
      <c r="AB1275" s="17" t="str">
        <f aca="false">IF($D1275="","",IF(OR($R1275=TRUE(),$R1275="TRUE"),Settings!$C$6,Settings!$C$7)*100)</f>
        <v/>
      </c>
      <c r="AH1275" s="18" t="str">
        <f aca="false">IF($D1275="","",IF(COUNTIF($D$2:$D1275,$D1275)=1,1,0))</f>
        <v/>
      </c>
      <c r="AI1275" s="18" t="str">
        <f aca="false">IF($AH1275=1,SUMPRODUCT(--($AK$2:$AK$4001&lt;$AK1275))+1,"")</f>
        <v/>
      </c>
      <c r="AJ1275" s="18" t="str">
        <f aca="false">IF($D1275="","",IF(OR($R1275=TRUE(),$R1275="TRUE"),1,0))</f>
        <v/>
      </c>
      <c r="AK1275" s="18" t="str">
        <f aca="false">IF($AH1275=1,IFERROR(VALUE(MID($D1275,2,20)),1000000000)+ROW()/10000000,"")</f>
        <v/>
      </c>
    </row>
    <row r="1276" customFormat="false" ht="15" hidden="false" customHeight="false" outlineLevel="0" collapsed="false">
      <c r="F1276" s="15"/>
      <c r="N1276" s="16" t="str">
        <f aca="false">IF($D1276="","",M1276*Y1276/100)</f>
        <v/>
      </c>
      <c r="V1276" s="16" t="str">
        <f aca="false">IF($D1276="","",Y1276*AB1276/100)</f>
        <v/>
      </c>
      <c r="W1276" s="16" t="str">
        <f aca="false">IF($D1276="","",Y1276-V1276)</f>
        <v/>
      </c>
      <c r="X1276" s="16" t="str">
        <f aca="false">IF($D1276="","",W1276-N1276)</f>
        <v/>
      </c>
      <c r="AB1276" s="17" t="str">
        <f aca="false">IF($D1276="","",IF(OR($R1276=TRUE(),$R1276="TRUE"),Settings!$C$6,Settings!$C$7)*100)</f>
        <v/>
      </c>
      <c r="AH1276" s="18" t="str">
        <f aca="false">IF($D1276="","",IF(COUNTIF($D$2:$D1276,$D1276)=1,1,0))</f>
        <v/>
      </c>
      <c r="AI1276" s="18" t="str">
        <f aca="false">IF($AH1276=1,SUMPRODUCT(--($AK$2:$AK$4001&lt;$AK1276))+1,"")</f>
        <v/>
      </c>
      <c r="AJ1276" s="18" t="str">
        <f aca="false">IF($D1276="","",IF(OR($R1276=TRUE(),$R1276="TRUE"),1,0))</f>
        <v/>
      </c>
      <c r="AK1276" s="18" t="str">
        <f aca="false">IF($AH1276=1,IFERROR(VALUE(MID($D1276,2,20)),1000000000)+ROW()/10000000,"")</f>
        <v/>
      </c>
    </row>
    <row r="1277" customFormat="false" ht="15" hidden="false" customHeight="false" outlineLevel="0" collapsed="false">
      <c r="F1277" s="15"/>
      <c r="N1277" s="16" t="str">
        <f aca="false">IF($D1277="","",M1277*Y1277/100)</f>
        <v/>
      </c>
      <c r="V1277" s="16" t="str">
        <f aca="false">IF($D1277="","",Y1277*AB1277/100)</f>
        <v/>
      </c>
      <c r="W1277" s="16" t="str">
        <f aca="false">IF($D1277="","",Y1277-V1277)</f>
        <v/>
      </c>
      <c r="X1277" s="16" t="str">
        <f aca="false">IF($D1277="","",W1277-N1277)</f>
        <v/>
      </c>
      <c r="AB1277" s="17" t="str">
        <f aca="false">IF($D1277="","",IF(OR($R1277=TRUE(),$R1277="TRUE"),Settings!$C$6,Settings!$C$7)*100)</f>
        <v/>
      </c>
      <c r="AH1277" s="18" t="str">
        <f aca="false">IF($D1277="","",IF(COUNTIF($D$2:$D1277,$D1277)=1,1,0))</f>
        <v/>
      </c>
      <c r="AI1277" s="18" t="str">
        <f aca="false">IF($AH1277=1,SUMPRODUCT(--($AK$2:$AK$4001&lt;$AK1277))+1,"")</f>
        <v/>
      </c>
      <c r="AJ1277" s="18" t="str">
        <f aca="false">IF($D1277="","",IF(OR($R1277=TRUE(),$R1277="TRUE"),1,0))</f>
        <v/>
      </c>
      <c r="AK1277" s="18" t="str">
        <f aca="false">IF($AH1277=1,IFERROR(VALUE(MID($D1277,2,20)),1000000000)+ROW()/10000000,"")</f>
        <v/>
      </c>
    </row>
    <row r="1278" customFormat="false" ht="15" hidden="false" customHeight="false" outlineLevel="0" collapsed="false">
      <c r="F1278" s="15"/>
      <c r="N1278" s="16" t="str">
        <f aca="false">IF($D1278="","",M1278*Y1278/100)</f>
        <v/>
      </c>
      <c r="V1278" s="16" t="str">
        <f aca="false">IF($D1278="","",Y1278*AB1278/100)</f>
        <v/>
      </c>
      <c r="W1278" s="16" t="str">
        <f aca="false">IF($D1278="","",Y1278-V1278)</f>
        <v/>
      </c>
      <c r="X1278" s="16" t="str">
        <f aca="false">IF($D1278="","",W1278-N1278)</f>
        <v/>
      </c>
      <c r="AB1278" s="17" t="str">
        <f aca="false">IF($D1278="","",IF(OR($R1278=TRUE(),$R1278="TRUE"),Settings!$C$6,Settings!$C$7)*100)</f>
        <v/>
      </c>
      <c r="AH1278" s="18" t="str">
        <f aca="false">IF($D1278="","",IF(COUNTIF($D$2:$D1278,$D1278)=1,1,0))</f>
        <v/>
      </c>
      <c r="AI1278" s="18" t="str">
        <f aca="false">IF($AH1278=1,SUMPRODUCT(--($AK$2:$AK$4001&lt;$AK1278))+1,"")</f>
        <v/>
      </c>
      <c r="AJ1278" s="18" t="str">
        <f aca="false">IF($D1278="","",IF(OR($R1278=TRUE(),$R1278="TRUE"),1,0))</f>
        <v/>
      </c>
      <c r="AK1278" s="18" t="str">
        <f aca="false">IF($AH1278=1,IFERROR(VALUE(MID($D1278,2,20)),1000000000)+ROW()/10000000,"")</f>
        <v/>
      </c>
    </row>
    <row r="1279" customFormat="false" ht="15" hidden="false" customHeight="false" outlineLevel="0" collapsed="false">
      <c r="F1279" s="15"/>
      <c r="N1279" s="16" t="str">
        <f aca="false">IF($D1279="","",M1279*Y1279/100)</f>
        <v/>
      </c>
      <c r="V1279" s="16" t="str">
        <f aca="false">IF($D1279="","",Y1279*AB1279/100)</f>
        <v/>
      </c>
      <c r="W1279" s="16" t="str">
        <f aca="false">IF($D1279="","",Y1279-V1279)</f>
        <v/>
      </c>
      <c r="X1279" s="16" t="str">
        <f aca="false">IF($D1279="","",W1279-N1279)</f>
        <v/>
      </c>
      <c r="AB1279" s="17" t="str">
        <f aca="false">IF($D1279="","",IF(OR($R1279=TRUE(),$R1279="TRUE"),Settings!$C$6,Settings!$C$7)*100)</f>
        <v/>
      </c>
      <c r="AH1279" s="18" t="str">
        <f aca="false">IF($D1279="","",IF(COUNTIF($D$2:$D1279,$D1279)=1,1,0))</f>
        <v/>
      </c>
      <c r="AI1279" s="18" t="str">
        <f aca="false">IF($AH1279=1,SUMPRODUCT(--($AK$2:$AK$4001&lt;$AK1279))+1,"")</f>
        <v/>
      </c>
      <c r="AJ1279" s="18" t="str">
        <f aca="false">IF($D1279="","",IF(OR($R1279=TRUE(),$R1279="TRUE"),1,0))</f>
        <v/>
      </c>
      <c r="AK1279" s="18" t="str">
        <f aca="false">IF($AH1279=1,IFERROR(VALUE(MID($D1279,2,20)),1000000000)+ROW()/10000000,"")</f>
        <v/>
      </c>
    </row>
    <row r="1280" customFormat="false" ht="15" hidden="false" customHeight="false" outlineLevel="0" collapsed="false">
      <c r="F1280" s="15"/>
      <c r="N1280" s="16" t="str">
        <f aca="false">IF($D1280="","",M1280*Y1280/100)</f>
        <v/>
      </c>
      <c r="V1280" s="16" t="str">
        <f aca="false">IF($D1280="","",Y1280*AB1280/100)</f>
        <v/>
      </c>
      <c r="W1280" s="16" t="str">
        <f aca="false">IF($D1280="","",Y1280-V1280)</f>
        <v/>
      </c>
      <c r="X1280" s="16" t="str">
        <f aca="false">IF($D1280="","",W1280-N1280)</f>
        <v/>
      </c>
      <c r="AB1280" s="17" t="str">
        <f aca="false">IF($D1280="","",IF(OR($R1280=TRUE(),$R1280="TRUE"),Settings!$C$6,Settings!$C$7)*100)</f>
        <v/>
      </c>
      <c r="AH1280" s="18" t="str">
        <f aca="false">IF($D1280="","",IF(COUNTIF($D$2:$D1280,$D1280)=1,1,0))</f>
        <v/>
      </c>
      <c r="AI1280" s="18" t="str">
        <f aca="false">IF($AH1280=1,SUMPRODUCT(--($AK$2:$AK$4001&lt;$AK1280))+1,"")</f>
        <v/>
      </c>
      <c r="AJ1280" s="18" t="str">
        <f aca="false">IF($D1280="","",IF(OR($R1280=TRUE(),$R1280="TRUE"),1,0))</f>
        <v/>
      </c>
      <c r="AK1280" s="18" t="str">
        <f aca="false">IF($AH1280=1,IFERROR(VALUE(MID($D1280,2,20)),1000000000)+ROW()/10000000,"")</f>
        <v/>
      </c>
    </row>
    <row r="1281" customFormat="false" ht="15" hidden="false" customHeight="false" outlineLevel="0" collapsed="false">
      <c r="F1281" s="15"/>
      <c r="N1281" s="16" t="str">
        <f aca="false">IF($D1281="","",M1281*Y1281/100)</f>
        <v/>
      </c>
      <c r="V1281" s="16" t="str">
        <f aca="false">IF($D1281="","",Y1281*AB1281/100)</f>
        <v/>
      </c>
      <c r="W1281" s="16" t="str">
        <f aca="false">IF($D1281="","",Y1281-V1281)</f>
        <v/>
      </c>
      <c r="X1281" s="16" t="str">
        <f aca="false">IF($D1281="","",W1281-N1281)</f>
        <v/>
      </c>
      <c r="AB1281" s="17" t="str">
        <f aca="false">IF($D1281="","",IF(OR($R1281=TRUE(),$R1281="TRUE"),Settings!$C$6,Settings!$C$7)*100)</f>
        <v/>
      </c>
      <c r="AH1281" s="18" t="str">
        <f aca="false">IF($D1281="","",IF(COUNTIF($D$2:$D1281,$D1281)=1,1,0))</f>
        <v/>
      </c>
      <c r="AI1281" s="18" t="str">
        <f aca="false">IF($AH1281=1,SUMPRODUCT(--($AK$2:$AK$4001&lt;$AK1281))+1,"")</f>
        <v/>
      </c>
      <c r="AJ1281" s="18" t="str">
        <f aca="false">IF($D1281="","",IF(OR($R1281=TRUE(),$R1281="TRUE"),1,0))</f>
        <v/>
      </c>
      <c r="AK1281" s="18" t="str">
        <f aca="false">IF($AH1281=1,IFERROR(VALUE(MID($D1281,2,20)),1000000000)+ROW()/10000000,"")</f>
        <v/>
      </c>
    </row>
    <row r="1282" customFormat="false" ht="15" hidden="false" customHeight="false" outlineLevel="0" collapsed="false">
      <c r="F1282" s="15"/>
      <c r="N1282" s="16" t="str">
        <f aca="false">IF($D1282="","",M1282*Y1282/100)</f>
        <v/>
      </c>
      <c r="V1282" s="16" t="str">
        <f aca="false">IF($D1282="","",Y1282*AB1282/100)</f>
        <v/>
      </c>
      <c r="W1282" s="16" t="str">
        <f aca="false">IF($D1282="","",Y1282-V1282)</f>
        <v/>
      </c>
      <c r="X1282" s="16" t="str">
        <f aca="false">IF($D1282="","",W1282-N1282)</f>
        <v/>
      </c>
      <c r="AB1282" s="17" t="str">
        <f aca="false">IF($D1282="","",IF(OR($R1282=TRUE(),$R1282="TRUE"),Settings!$C$6,Settings!$C$7)*100)</f>
        <v/>
      </c>
      <c r="AH1282" s="18" t="str">
        <f aca="false">IF($D1282="","",IF(COUNTIF($D$2:$D1282,$D1282)=1,1,0))</f>
        <v/>
      </c>
      <c r="AI1282" s="18" t="str">
        <f aca="false">IF($AH1282=1,SUMPRODUCT(--($AK$2:$AK$4001&lt;$AK1282))+1,"")</f>
        <v/>
      </c>
      <c r="AJ1282" s="18" t="str">
        <f aca="false">IF($D1282="","",IF(OR($R1282=TRUE(),$R1282="TRUE"),1,0))</f>
        <v/>
      </c>
      <c r="AK1282" s="18" t="str">
        <f aca="false">IF($AH1282=1,IFERROR(VALUE(MID($D1282,2,20)),1000000000)+ROW()/10000000,"")</f>
        <v/>
      </c>
    </row>
    <row r="1283" customFormat="false" ht="15" hidden="false" customHeight="false" outlineLevel="0" collapsed="false">
      <c r="F1283" s="15"/>
      <c r="N1283" s="16" t="str">
        <f aca="false">IF($D1283="","",M1283*Y1283/100)</f>
        <v/>
      </c>
      <c r="V1283" s="16" t="str">
        <f aca="false">IF($D1283="","",Y1283*AB1283/100)</f>
        <v/>
      </c>
      <c r="W1283" s="16" t="str">
        <f aca="false">IF($D1283="","",Y1283-V1283)</f>
        <v/>
      </c>
      <c r="X1283" s="16" t="str">
        <f aca="false">IF($D1283="","",W1283-N1283)</f>
        <v/>
      </c>
      <c r="AB1283" s="17" t="str">
        <f aca="false">IF($D1283="","",IF(OR($R1283=TRUE(),$R1283="TRUE"),Settings!$C$6,Settings!$C$7)*100)</f>
        <v/>
      </c>
      <c r="AH1283" s="18" t="str">
        <f aca="false">IF($D1283="","",IF(COUNTIF($D$2:$D1283,$D1283)=1,1,0))</f>
        <v/>
      </c>
      <c r="AI1283" s="18" t="str">
        <f aca="false">IF($AH1283=1,SUMPRODUCT(--($AK$2:$AK$4001&lt;$AK1283))+1,"")</f>
        <v/>
      </c>
      <c r="AJ1283" s="18" t="str">
        <f aca="false">IF($D1283="","",IF(OR($R1283=TRUE(),$R1283="TRUE"),1,0))</f>
        <v/>
      </c>
      <c r="AK1283" s="18" t="str">
        <f aca="false">IF($AH1283=1,IFERROR(VALUE(MID($D1283,2,20)),1000000000)+ROW()/10000000,"")</f>
        <v/>
      </c>
    </row>
    <row r="1284" customFormat="false" ht="15" hidden="false" customHeight="false" outlineLevel="0" collapsed="false">
      <c r="F1284" s="15"/>
      <c r="N1284" s="16" t="str">
        <f aca="false">IF($D1284="","",M1284*Y1284/100)</f>
        <v/>
      </c>
      <c r="V1284" s="16" t="str">
        <f aca="false">IF($D1284="","",Y1284*AB1284/100)</f>
        <v/>
      </c>
      <c r="W1284" s="16" t="str">
        <f aca="false">IF($D1284="","",Y1284-V1284)</f>
        <v/>
      </c>
      <c r="X1284" s="16" t="str">
        <f aca="false">IF($D1284="","",W1284-N1284)</f>
        <v/>
      </c>
      <c r="AB1284" s="17" t="str">
        <f aca="false">IF($D1284="","",IF(OR($R1284=TRUE(),$R1284="TRUE"),Settings!$C$6,Settings!$C$7)*100)</f>
        <v/>
      </c>
      <c r="AH1284" s="18" t="str">
        <f aca="false">IF($D1284="","",IF(COUNTIF($D$2:$D1284,$D1284)=1,1,0))</f>
        <v/>
      </c>
      <c r="AI1284" s="18" t="str">
        <f aca="false">IF($AH1284=1,SUMPRODUCT(--($AK$2:$AK$4001&lt;$AK1284))+1,"")</f>
        <v/>
      </c>
      <c r="AJ1284" s="18" t="str">
        <f aca="false">IF($D1284="","",IF(OR($R1284=TRUE(),$R1284="TRUE"),1,0))</f>
        <v/>
      </c>
      <c r="AK1284" s="18" t="str">
        <f aca="false">IF($AH1284=1,IFERROR(VALUE(MID($D1284,2,20)),1000000000)+ROW()/10000000,"")</f>
        <v/>
      </c>
    </row>
    <row r="1285" customFormat="false" ht="15" hidden="false" customHeight="false" outlineLevel="0" collapsed="false">
      <c r="F1285" s="15"/>
      <c r="N1285" s="16" t="str">
        <f aca="false">IF($D1285="","",M1285*Y1285/100)</f>
        <v/>
      </c>
      <c r="V1285" s="16" t="str">
        <f aca="false">IF($D1285="","",Y1285*AB1285/100)</f>
        <v/>
      </c>
      <c r="W1285" s="16" t="str">
        <f aca="false">IF($D1285="","",Y1285-V1285)</f>
        <v/>
      </c>
      <c r="X1285" s="16" t="str">
        <f aca="false">IF($D1285="","",W1285-N1285)</f>
        <v/>
      </c>
      <c r="AB1285" s="17" t="str">
        <f aca="false">IF($D1285="","",IF(OR($R1285=TRUE(),$R1285="TRUE"),Settings!$C$6,Settings!$C$7)*100)</f>
        <v/>
      </c>
      <c r="AH1285" s="18" t="str">
        <f aca="false">IF($D1285="","",IF(COUNTIF($D$2:$D1285,$D1285)=1,1,0))</f>
        <v/>
      </c>
      <c r="AI1285" s="18" t="str">
        <f aca="false">IF($AH1285=1,SUMPRODUCT(--($AK$2:$AK$4001&lt;$AK1285))+1,"")</f>
        <v/>
      </c>
      <c r="AJ1285" s="18" t="str">
        <f aca="false">IF($D1285="","",IF(OR($R1285=TRUE(),$R1285="TRUE"),1,0))</f>
        <v/>
      </c>
      <c r="AK1285" s="18" t="str">
        <f aca="false">IF($AH1285=1,IFERROR(VALUE(MID($D1285,2,20)),1000000000)+ROW()/10000000,"")</f>
        <v/>
      </c>
    </row>
    <row r="1286" customFormat="false" ht="15" hidden="false" customHeight="false" outlineLevel="0" collapsed="false">
      <c r="F1286" s="15"/>
      <c r="N1286" s="16" t="str">
        <f aca="false">IF($D1286="","",M1286*Y1286/100)</f>
        <v/>
      </c>
      <c r="V1286" s="16" t="str">
        <f aca="false">IF($D1286="","",Y1286*AB1286/100)</f>
        <v/>
      </c>
      <c r="W1286" s="16" t="str">
        <f aca="false">IF($D1286="","",Y1286-V1286)</f>
        <v/>
      </c>
      <c r="X1286" s="16" t="str">
        <f aca="false">IF($D1286="","",W1286-N1286)</f>
        <v/>
      </c>
      <c r="AB1286" s="17" t="str">
        <f aca="false">IF($D1286="","",IF(OR($R1286=TRUE(),$R1286="TRUE"),Settings!$C$6,Settings!$C$7)*100)</f>
        <v/>
      </c>
      <c r="AH1286" s="18" t="str">
        <f aca="false">IF($D1286="","",IF(COUNTIF($D$2:$D1286,$D1286)=1,1,0))</f>
        <v/>
      </c>
      <c r="AI1286" s="18" t="str">
        <f aca="false">IF($AH1286=1,SUMPRODUCT(--($AK$2:$AK$4001&lt;$AK1286))+1,"")</f>
        <v/>
      </c>
      <c r="AJ1286" s="18" t="str">
        <f aca="false">IF($D1286="","",IF(OR($R1286=TRUE(),$R1286="TRUE"),1,0))</f>
        <v/>
      </c>
      <c r="AK1286" s="18" t="str">
        <f aca="false">IF($AH1286=1,IFERROR(VALUE(MID($D1286,2,20)),1000000000)+ROW()/10000000,"")</f>
        <v/>
      </c>
    </row>
    <row r="1287" customFormat="false" ht="15" hidden="false" customHeight="false" outlineLevel="0" collapsed="false">
      <c r="F1287" s="15"/>
      <c r="N1287" s="16" t="str">
        <f aca="false">IF($D1287="","",M1287*Y1287/100)</f>
        <v/>
      </c>
      <c r="V1287" s="16" t="str">
        <f aca="false">IF($D1287="","",Y1287*AB1287/100)</f>
        <v/>
      </c>
      <c r="W1287" s="16" t="str">
        <f aca="false">IF($D1287="","",Y1287-V1287)</f>
        <v/>
      </c>
      <c r="X1287" s="16" t="str">
        <f aca="false">IF($D1287="","",W1287-N1287)</f>
        <v/>
      </c>
      <c r="AB1287" s="17" t="str">
        <f aca="false">IF($D1287="","",IF(OR($R1287=TRUE(),$R1287="TRUE"),Settings!$C$6,Settings!$C$7)*100)</f>
        <v/>
      </c>
      <c r="AH1287" s="18" t="str">
        <f aca="false">IF($D1287="","",IF(COUNTIF($D$2:$D1287,$D1287)=1,1,0))</f>
        <v/>
      </c>
      <c r="AI1287" s="18" t="str">
        <f aca="false">IF($AH1287=1,SUMPRODUCT(--($AK$2:$AK$4001&lt;$AK1287))+1,"")</f>
        <v/>
      </c>
      <c r="AJ1287" s="18" t="str">
        <f aca="false">IF($D1287="","",IF(OR($R1287=TRUE(),$R1287="TRUE"),1,0))</f>
        <v/>
      </c>
      <c r="AK1287" s="18" t="str">
        <f aca="false">IF($AH1287=1,IFERROR(VALUE(MID($D1287,2,20)),1000000000)+ROW()/10000000,"")</f>
        <v/>
      </c>
    </row>
    <row r="1288" customFormat="false" ht="15" hidden="false" customHeight="false" outlineLevel="0" collapsed="false">
      <c r="F1288" s="15"/>
      <c r="N1288" s="16" t="str">
        <f aca="false">IF($D1288="","",M1288*Y1288/100)</f>
        <v/>
      </c>
      <c r="V1288" s="16" t="str">
        <f aca="false">IF($D1288="","",Y1288*AB1288/100)</f>
        <v/>
      </c>
      <c r="W1288" s="16" t="str">
        <f aca="false">IF($D1288="","",Y1288-V1288)</f>
        <v/>
      </c>
      <c r="X1288" s="16" t="str">
        <f aca="false">IF($D1288="","",W1288-N1288)</f>
        <v/>
      </c>
      <c r="AB1288" s="17" t="str">
        <f aca="false">IF($D1288="","",IF(OR($R1288=TRUE(),$R1288="TRUE"),Settings!$C$6,Settings!$C$7)*100)</f>
        <v/>
      </c>
      <c r="AH1288" s="18" t="str">
        <f aca="false">IF($D1288="","",IF(COUNTIF($D$2:$D1288,$D1288)=1,1,0))</f>
        <v/>
      </c>
      <c r="AI1288" s="18" t="str">
        <f aca="false">IF($AH1288=1,SUMPRODUCT(--($AK$2:$AK$4001&lt;$AK1288))+1,"")</f>
        <v/>
      </c>
      <c r="AJ1288" s="18" t="str">
        <f aca="false">IF($D1288="","",IF(OR($R1288=TRUE(),$R1288="TRUE"),1,0))</f>
        <v/>
      </c>
      <c r="AK1288" s="18" t="str">
        <f aca="false">IF($AH1288=1,IFERROR(VALUE(MID($D1288,2,20)),1000000000)+ROW()/10000000,"")</f>
        <v/>
      </c>
    </row>
    <row r="1289" customFormat="false" ht="15" hidden="false" customHeight="false" outlineLevel="0" collapsed="false">
      <c r="F1289" s="15"/>
      <c r="N1289" s="16" t="str">
        <f aca="false">IF($D1289="","",M1289*Y1289/100)</f>
        <v/>
      </c>
      <c r="V1289" s="16" t="str">
        <f aca="false">IF($D1289="","",Y1289*AB1289/100)</f>
        <v/>
      </c>
      <c r="W1289" s="16" t="str">
        <f aca="false">IF($D1289="","",Y1289-V1289)</f>
        <v/>
      </c>
      <c r="X1289" s="16" t="str">
        <f aca="false">IF($D1289="","",W1289-N1289)</f>
        <v/>
      </c>
      <c r="AB1289" s="17" t="str">
        <f aca="false">IF($D1289="","",IF(OR($R1289=TRUE(),$R1289="TRUE"),Settings!$C$6,Settings!$C$7)*100)</f>
        <v/>
      </c>
      <c r="AH1289" s="18" t="str">
        <f aca="false">IF($D1289="","",IF(COUNTIF($D$2:$D1289,$D1289)=1,1,0))</f>
        <v/>
      </c>
      <c r="AI1289" s="18" t="str">
        <f aca="false">IF($AH1289=1,SUMPRODUCT(--($AK$2:$AK$4001&lt;$AK1289))+1,"")</f>
        <v/>
      </c>
      <c r="AJ1289" s="18" t="str">
        <f aca="false">IF($D1289="","",IF(OR($R1289=TRUE(),$R1289="TRUE"),1,0))</f>
        <v/>
      </c>
      <c r="AK1289" s="18" t="str">
        <f aca="false">IF($AH1289=1,IFERROR(VALUE(MID($D1289,2,20)),1000000000)+ROW()/10000000,"")</f>
        <v/>
      </c>
    </row>
    <row r="1290" customFormat="false" ht="15" hidden="false" customHeight="false" outlineLevel="0" collapsed="false">
      <c r="F1290" s="15"/>
      <c r="N1290" s="16" t="str">
        <f aca="false">IF($D1290="","",M1290*Y1290/100)</f>
        <v/>
      </c>
      <c r="V1290" s="16" t="str">
        <f aca="false">IF($D1290="","",Y1290*AB1290/100)</f>
        <v/>
      </c>
      <c r="W1290" s="16" t="str">
        <f aca="false">IF($D1290="","",Y1290-V1290)</f>
        <v/>
      </c>
      <c r="X1290" s="16" t="str">
        <f aca="false">IF($D1290="","",W1290-N1290)</f>
        <v/>
      </c>
      <c r="AB1290" s="17" t="str">
        <f aca="false">IF($D1290="","",IF(OR($R1290=TRUE(),$R1290="TRUE"),Settings!$C$6,Settings!$C$7)*100)</f>
        <v/>
      </c>
      <c r="AH1290" s="18" t="str">
        <f aca="false">IF($D1290="","",IF(COUNTIF($D$2:$D1290,$D1290)=1,1,0))</f>
        <v/>
      </c>
      <c r="AI1290" s="18" t="str">
        <f aca="false">IF($AH1290=1,SUMPRODUCT(--($AK$2:$AK$4001&lt;$AK1290))+1,"")</f>
        <v/>
      </c>
      <c r="AJ1290" s="18" t="str">
        <f aca="false">IF($D1290="","",IF(OR($R1290=TRUE(),$R1290="TRUE"),1,0))</f>
        <v/>
      </c>
      <c r="AK1290" s="18" t="str">
        <f aca="false">IF($AH1290=1,IFERROR(VALUE(MID($D1290,2,20)),1000000000)+ROW()/10000000,"")</f>
        <v/>
      </c>
    </row>
    <row r="1291" customFormat="false" ht="15" hidden="false" customHeight="false" outlineLevel="0" collapsed="false">
      <c r="F1291" s="15"/>
      <c r="N1291" s="16" t="str">
        <f aca="false">IF($D1291="","",M1291*Y1291/100)</f>
        <v/>
      </c>
      <c r="V1291" s="16" t="str">
        <f aca="false">IF($D1291="","",Y1291*AB1291/100)</f>
        <v/>
      </c>
      <c r="W1291" s="16" t="str">
        <f aca="false">IF($D1291="","",Y1291-V1291)</f>
        <v/>
      </c>
      <c r="X1291" s="16" t="str">
        <f aca="false">IF($D1291="","",W1291-N1291)</f>
        <v/>
      </c>
      <c r="AB1291" s="17" t="str">
        <f aca="false">IF($D1291="","",IF(OR($R1291=TRUE(),$R1291="TRUE"),Settings!$C$6,Settings!$C$7)*100)</f>
        <v/>
      </c>
      <c r="AH1291" s="18" t="str">
        <f aca="false">IF($D1291="","",IF(COUNTIF($D$2:$D1291,$D1291)=1,1,0))</f>
        <v/>
      </c>
      <c r="AI1291" s="18" t="str">
        <f aca="false">IF($AH1291=1,SUMPRODUCT(--($AK$2:$AK$4001&lt;$AK1291))+1,"")</f>
        <v/>
      </c>
      <c r="AJ1291" s="18" t="str">
        <f aca="false">IF($D1291="","",IF(OR($R1291=TRUE(),$R1291="TRUE"),1,0))</f>
        <v/>
      </c>
      <c r="AK1291" s="18" t="str">
        <f aca="false">IF($AH1291=1,IFERROR(VALUE(MID($D1291,2,20)),1000000000)+ROW()/10000000,"")</f>
        <v/>
      </c>
    </row>
    <row r="1292" customFormat="false" ht="15" hidden="false" customHeight="false" outlineLevel="0" collapsed="false">
      <c r="F1292" s="15"/>
      <c r="N1292" s="16" t="str">
        <f aca="false">IF($D1292="","",M1292*Y1292/100)</f>
        <v/>
      </c>
      <c r="V1292" s="16" t="str">
        <f aca="false">IF($D1292="","",Y1292*AB1292/100)</f>
        <v/>
      </c>
      <c r="W1292" s="16" t="str">
        <f aca="false">IF($D1292="","",Y1292-V1292)</f>
        <v/>
      </c>
      <c r="X1292" s="16" t="str">
        <f aca="false">IF($D1292="","",W1292-N1292)</f>
        <v/>
      </c>
      <c r="AB1292" s="17" t="str">
        <f aca="false">IF($D1292="","",IF(OR($R1292=TRUE(),$R1292="TRUE"),Settings!$C$6,Settings!$C$7)*100)</f>
        <v/>
      </c>
      <c r="AH1292" s="18" t="str">
        <f aca="false">IF($D1292="","",IF(COUNTIF($D$2:$D1292,$D1292)=1,1,0))</f>
        <v/>
      </c>
      <c r="AI1292" s="18" t="str">
        <f aca="false">IF($AH1292=1,SUMPRODUCT(--($AK$2:$AK$4001&lt;$AK1292))+1,"")</f>
        <v/>
      </c>
      <c r="AJ1292" s="18" t="str">
        <f aca="false">IF($D1292="","",IF(OR($R1292=TRUE(),$R1292="TRUE"),1,0))</f>
        <v/>
      </c>
      <c r="AK1292" s="18" t="str">
        <f aca="false">IF($AH1292=1,IFERROR(VALUE(MID($D1292,2,20)),1000000000)+ROW()/10000000,"")</f>
        <v/>
      </c>
    </row>
    <row r="1293" customFormat="false" ht="15" hidden="false" customHeight="false" outlineLevel="0" collapsed="false">
      <c r="F1293" s="15"/>
      <c r="N1293" s="16" t="str">
        <f aca="false">IF($D1293="","",M1293*Y1293/100)</f>
        <v/>
      </c>
      <c r="V1293" s="16" t="str">
        <f aca="false">IF($D1293="","",Y1293*AB1293/100)</f>
        <v/>
      </c>
      <c r="W1293" s="16" t="str">
        <f aca="false">IF($D1293="","",Y1293-V1293)</f>
        <v/>
      </c>
      <c r="X1293" s="16" t="str">
        <f aca="false">IF($D1293="","",W1293-N1293)</f>
        <v/>
      </c>
      <c r="AB1293" s="17" t="str">
        <f aca="false">IF($D1293="","",IF(OR($R1293=TRUE(),$R1293="TRUE"),Settings!$C$6,Settings!$C$7)*100)</f>
        <v/>
      </c>
      <c r="AH1293" s="18" t="str">
        <f aca="false">IF($D1293="","",IF(COUNTIF($D$2:$D1293,$D1293)=1,1,0))</f>
        <v/>
      </c>
      <c r="AI1293" s="18" t="str">
        <f aca="false">IF($AH1293=1,SUMPRODUCT(--($AK$2:$AK$4001&lt;$AK1293))+1,"")</f>
        <v/>
      </c>
      <c r="AJ1293" s="18" t="str">
        <f aca="false">IF($D1293="","",IF(OR($R1293=TRUE(),$R1293="TRUE"),1,0))</f>
        <v/>
      </c>
      <c r="AK1293" s="18" t="str">
        <f aca="false">IF($AH1293=1,IFERROR(VALUE(MID($D1293,2,20)),1000000000)+ROW()/10000000,"")</f>
        <v/>
      </c>
    </row>
    <row r="1294" customFormat="false" ht="15" hidden="false" customHeight="false" outlineLevel="0" collapsed="false">
      <c r="F1294" s="15"/>
      <c r="N1294" s="16" t="str">
        <f aca="false">IF($D1294="","",M1294*Y1294/100)</f>
        <v/>
      </c>
      <c r="V1294" s="16" t="str">
        <f aca="false">IF($D1294="","",Y1294*AB1294/100)</f>
        <v/>
      </c>
      <c r="W1294" s="16" t="str">
        <f aca="false">IF($D1294="","",Y1294-V1294)</f>
        <v/>
      </c>
      <c r="X1294" s="16" t="str">
        <f aca="false">IF($D1294="","",W1294-N1294)</f>
        <v/>
      </c>
      <c r="AB1294" s="17" t="str">
        <f aca="false">IF($D1294="","",IF(OR($R1294=TRUE(),$R1294="TRUE"),Settings!$C$6,Settings!$C$7)*100)</f>
        <v/>
      </c>
      <c r="AH1294" s="18" t="str">
        <f aca="false">IF($D1294="","",IF(COUNTIF($D$2:$D1294,$D1294)=1,1,0))</f>
        <v/>
      </c>
      <c r="AI1294" s="18" t="str">
        <f aca="false">IF($AH1294=1,SUMPRODUCT(--($AK$2:$AK$4001&lt;$AK1294))+1,"")</f>
        <v/>
      </c>
      <c r="AJ1294" s="18" t="str">
        <f aca="false">IF($D1294="","",IF(OR($R1294=TRUE(),$R1294="TRUE"),1,0))</f>
        <v/>
      </c>
      <c r="AK1294" s="18" t="str">
        <f aca="false">IF($AH1294=1,IFERROR(VALUE(MID($D1294,2,20)),1000000000)+ROW()/10000000,"")</f>
        <v/>
      </c>
    </row>
    <row r="1295" customFormat="false" ht="15" hidden="false" customHeight="false" outlineLevel="0" collapsed="false">
      <c r="F1295" s="15"/>
      <c r="N1295" s="16" t="str">
        <f aca="false">IF($D1295="","",M1295*Y1295/100)</f>
        <v/>
      </c>
      <c r="V1295" s="16" t="str">
        <f aca="false">IF($D1295="","",Y1295*AB1295/100)</f>
        <v/>
      </c>
      <c r="W1295" s="16" t="str">
        <f aca="false">IF($D1295="","",Y1295-V1295)</f>
        <v/>
      </c>
      <c r="X1295" s="16" t="str">
        <f aca="false">IF($D1295="","",W1295-N1295)</f>
        <v/>
      </c>
      <c r="AB1295" s="17" t="str">
        <f aca="false">IF($D1295="","",IF(OR($R1295=TRUE(),$R1295="TRUE"),Settings!$C$6,Settings!$C$7)*100)</f>
        <v/>
      </c>
      <c r="AH1295" s="18" t="str">
        <f aca="false">IF($D1295="","",IF(COUNTIF($D$2:$D1295,$D1295)=1,1,0))</f>
        <v/>
      </c>
      <c r="AI1295" s="18" t="str">
        <f aca="false">IF($AH1295=1,SUMPRODUCT(--($AK$2:$AK$4001&lt;$AK1295))+1,"")</f>
        <v/>
      </c>
      <c r="AJ1295" s="18" t="str">
        <f aca="false">IF($D1295="","",IF(OR($R1295=TRUE(),$R1295="TRUE"),1,0))</f>
        <v/>
      </c>
      <c r="AK1295" s="18" t="str">
        <f aca="false">IF($AH1295=1,IFERROR(VALUE(MID($D1295,2,20)),1000000000)+ROW()/10000000,"")</f>
        <v/>
      </c>
    </row>
    <row r="1296" customFormat="false" ht="15" hidden="false" customHeight="false" outlineLevel="0" collapsed="false">
      <c r="F1296" s="15"/>
      <c r="N1296" s="16" t="str">
        <f aca="false">IF($D1296="","",M1296*Y1296/100)</f>
        <v/>
      </c>
      <c r="V1296" s="16" t="str">
        <f aca="false">IF($D1296="","",Y1296*AB1296/100)</f>
        <v/>
      </c>
      <c r="W1296" s="16" t="str">
        <f aca="false">IF($D1296="","",Y1296-V1296)</f>
        <v/>
      </c>
      <c r="X1296" s="16" t="str">
        <f aca="false">IF($D1296="","",W1296-N1296)</f>
        <v/>
      </c>
      <c r="AB1296" s="17" t="str">
        <f aca="false">IF($D1296="","",IF(OR($R1296=TRUE(),$R1296="TRUE"),Settings!$C$6,Settings!$C$7)*100)</f>
        <v/>
      </c>
      <c r="AH1296" s="18" t="str">
        <f aca="false">IF($D1296="","",IF(COUNTIF($D$2:$D1296,$D1296)=1,1,0))</f>
        <v/>
      </c>
      <c r="AI1296" s="18" t="str">
        <f aca="false">IF($AH1296=1,SUMPRODUCT(--($AK$2:$AK$4001&lt;$AK1296))+1,"")</f>
        <v/>
      </c>
      <c r="AJ1296" s="18" t="str">
        <f aca="false">IF($D1296="","",IF(OR($R1296=TRUE(),$R1296="TRUE"),1,0))</f>
        <v/>
      </c>
      <c r="AK1296" s="18" t="str">
        <f aca="false">IF($AH1296=1,IFERROR(VALUE(MID($D1296,2,20)),1000000000)+ROW()/10000000,"")</f>
        <v/>
      </c>
    </row>
    <row r="1297" customFormat="false" ht="15" hidden="false" customHeight="false" outlineLevel="0" collapsed="false">
      <c r="F1297" s="15"/>
      <c r="N1297" s="16" t="str">
        <f aca="false">IF($D1297="","",M1297*Y1297/100)</f>
        <v/>
      </c>
      <c r="V1297" s="16" t="str">
        <f aca="false">IF($D1297="","",Y1297*AB1297/100)</f>
        <v/>
      </c>
      <c r="W1297" s="16" t="str">
        <f aca="false">IF($D1297="","",Y1297-V1297)</f>
        <v/>
      </c>
      <c r="X1297" s="16" t="str">
        <f aca="false">IF($D1297="","",W1297-N1297)</f>
        <v/>
      </c>
      <c r="AB1297" s="17" t="str">
        <f aca="false">IF($D1297="","",IF(OR($R1297=TRUE(),$R1297="TRUE"),Settings!$C$6,Settings!$C$7)*100)</f>
        <v/>
      </c>
      <c r="AH1297" s="18" t="str">
        <f aca="false">IF($D1297="","",IF(COUNTIF($D$2:$D1297,$D1297)=1,1,0))</f>
        <v/>
      </c>
      <c r="AI1297" s="18" t="str">
        <f aca="false">IF($AH1297=1,SUMPRODUCT(--($AK$2:$AK$4001&lt;$AK1297))+1,"")</f>
        <v/>
      </c>
      <c r="AJ1297" s="18" t="str">
        <f aca="false">IF($D1297="","",IF(OR($R1297=TRUE(),$R1297="TRUE"),1,0))</f>
        <v/>
      </c>
      <c r="AK1297" s="18" t="str">
        <f aca="false">IF($AH1297=1,IFERROR(VALUE(MID($D1297,2,20)),1000000000)+ROW()/10000000,"")</f>
        <v/>
      </c>
    </row>
    <row r="1298" customFormat="false" ht="15" hidden="false" customHeight="false" outlineLevel="0" collapsed="false">
      <c r="F1298" s="15"/>
      <c r="N1298" s="16" t="str">
        <f aca="false">IF($D1298="","",M1298*Y1298/100)</f>
        <v/>
      </c>
      <c r="V1298" s="16" t="str">
        <f aca="false">IF($D1298="","",Y1298*AB1298/100)</f>
        <v/>
      </c>
      <c r="W1298" s="16" t="str">
        <f aca="false">IF($D1298="","",Y1298-V1298)</f>
        <v/>
      </c>
      <c r="X1298" s="16" t="str">
        <f aca="false">IF($D1298="","",W1298-N1298)</f>
        <v/>
      </c>
      <c r="AB1298" s="17" t="str">
        <f aca="false">IF($D1298="","",IF(OR($R1298=TRUE(),$R1298="TRUE"),Settings!$C$6,Settings!$C$7)*100)</f>
        <v/>
      </c>
      <c r="AH1298" s="18" t="str">
        <f aca="false">IF($D1298="","",IF(COUNTIF($D$2:$D1298,$D1298)=1,1,0))</f>
        <v/>
      </c>
      <c r="AI1298" s="18" t="str">
        <f aca="false">IF($AH1298=1,SUMPRODUCT(--($AK$2:$AK$4001&lt;$AK1298))+1,"")</f>
        <v/>
      </c>
      <c r="AJ1298" s="18" t="str">
        <f aca="false">IF($D1298="","",IF(OR($R1298=TRUE(),$R1298="TRUE"),1,0))</f>
        <v/>
      </c>
      <c r="AK1298" s="18" t="str">
        <f aca="false">IF($AH1298=1,IFERROR(VALUE(MID($D1298,2,20)),1000000000)+ROW()/10000000,"")</f>
        <v/>
      </c>
    </row>
    <row r="1299" customFormat="false" ht="15" hidden="false" customHeight="false" outlineLevel="0" collapsed="false">
      <c r="F1299" s="15"/>
      <c r="N1299" s="16" t="str">
        <f aca="false">IF($D1299="","",M1299*Y1299/100)</f>
        <v/>
      </c>
      <c r="V1299" s="16" t="str">
        <f aca="false">IF($D1299="","",Y1299*AB1299/100)</f>
        <v/>
      </c>
      <c r="W1299" s="16" t="str">
        <f aca="false">IF($D1299="","",Y1299-V1299)</f>
        <v/>
      </c>
      <c r="X1299" s="16" t="str">
        <f aca="false">IF($D1299="","",W1299-N1299)</f>
        <v/>
      </c>
      <c r="AB1299" s="17" t="str">
        <f aca="false">IF($D1299="","",IF(OR($R1299=TRUE(),$R1299="TRUE"),Settings!$C$6,Settings!$C$7)*100)</f>
        <v/>
      </c>
      <c r="AH1299" s="18" t="str">
        <f aca="false">IF($D1299="","",IF(COUNTIF($D$2:$D1299,$D1299)=1,1,0))</f>
        <v/>
      </c>
      <c r="AI1299" s="18" t="str">
        <f aca="false">IF($AH1299=1,SUMPRODUCT(--($AK$2:$AK$4001&lt;$AK1299))+1,"")</f>
        <v/>
      </c>
      <c r="AJ1299" s="18" t="str">
        <f aca="false">IF($D1299="","",IF(OR($R1299=TRUE(),$R1299="TRUE"),1,0))</f>
        <v/>
      </c>
      <c r="AK1299" s="18" t="str">
        <f aca="false">IF($AH1299=1,IFERROR(VALUE(MID($D1299,2,20)),1000000000)+ROW()/10000000,"")</f>
        <v/>
      </c>
    </row>
    <row r="1300" customFormat="false" ht="15" hidden="false" customHeight="false" outlineLevel="0" collapsed="false">
      <c r="F1300" s="15"/>
      <c r="N1300" s="16" t="str">
        <f aca="false">IF($D1300="","",M1300*Y1300/100)</f>
        <v/>
      </c>
      <c r="V1300" s="16" t="str">
        <f aca="false">IF($D1300="","",Y1300*AB1300/100)</f>
        <v/>
      </c>
      <c r="W1300" s="16" t="str">
        <f aca="false">IF($D1300="","",Y1300-V1300)</f>
        <v/>
      </c>
      <c r="X1300" s="16" t="str">
        <f aca="false">IF($D1300="","",W1300-N1300)</f>
        <v/>
      </c>
      <c r="AB1300" s="17" t="str">
        <f aca="false">IF($D1300="","",IF(OR($R1300=TRUE(),$R1300="TRUE"),Settings!$C$6,Settings!$C$7)*100)</f>
        <v/>
      </c>
      <c r="AH1300" s="18" t="str">
        <f aca="false">IF($D1300="","",IF(COUNTIF($D$2:$D1300,$D1300)=1,1,0))</f>
        <v/>
      </c>
      <c r="AI1300" s="18" t="str">
        <f aca="false">IF($AH1300=1,SUMPRODUCT(--($AK$2:$AK$4001&lt;$AK1300))+1,"")</f>
        <v/>
      </c>
      <c r="AJ1300" s="18" t="str">
        <f aca="false">IF($D1300="","",IF(OR($R1300=TRUE(),$R1300="TRUE"),1,0))</f>
        <v/>
      </c>
      <c r="AK1300" s="18" t="str">
        <f aca="false">IF($AH1300=1,IFERROR(VALUE(MID($D1300,2,20)),1000000000)+ROW()/10000000,"")</f>
        <v/>
      </c>
    </row>
    <row r="1301" customFormat="false" ht="15" hidden="false" customHeight="false" outlineLevel="0" collapsed="false">
      <c r="F1301" s="15"/>
      <c r="N1301" s="16" t="str">
        <f aca="false">IF($D1301="","",M1301*Y1301/100)</f>
        <v/>
      </c>
      <c r="V1301" s="16" t="str">
        <f aca="false">IF($D1301="","",Y1301*AB1301/100)</f>
        <v/>
      </c>
      <c r="W1301" s="16" t="str">
        <f aca="false">IF($D1301="","",Y1301-V1301)</f>
        <v/>
      </c>
      <c r="X1301" s="16" t="str">
        <f aca="false">IF($D1301="","",W1301-N1301)</f>
        <v/>
      </c>
      <c r="AB1301" s="17" t="str">
        <f aca="false">IF($D1301="","",IF(OR($R1301=TRUE(),$R1301="TRUE"),Settings!$C$6,Settings!$C$7)*100)</f>
        <v/>
      </c>
      <c r="AH1301" s="18" t="str">
        <f aca="false">IF($D1301="","",IF(COUNTIF($D$2:$D1301,$D1301)=1,1,0))</f>
        <v/>
      </c>
      <c r="AI1301" s="18" t="str">
        <f aca="false">IF($AH1301=1,SUMPRODUCT(--($AK$2:$AK$4001&lt;$AK1301))+1,"")</f>
        <v/>
      </c>
      <c r="AJ1301" s="18" t="str">
        <f aca="false">IF($D1301="","",IF(OR($R1301=TRUE(),$R1301="TRUE"),1,0))</f>
        <v/>
      </c>
      <c r="AK1301" s="18" t="str">
        <f aca="false">IF($AH1301=1,IFERROR(VALUE(MID($D1301,2,20)),1000000000)+ROW()/10000000,"")</f>
        <v/>
      </c>
    </row>
    <row r="1302" customFormat="false" ht="15" hidden="false" customHeight="false" outlineLevel="0" collapsed="false">
      <c r="F1302" s="15"/>
      <c r="N1302" s="16" t="str">
        <f aca="false">IF($D1302="","",M1302*Y1302/100)</f>
        <v/>
      </c>
      <c r="V1302" s="16" t="str">
        <f aca="false">IF($D1302="","",Y1302*AB1302/100)</f>
        <v/>
      </c>
      <c r="W1302" s="16" t="str">
        <f aca="false">IF($D1302="","",Y1302-V1302)</f>
        <v/>
      </c>
      <c r="X1302" s="16" t="str">
        <f aca="false">IF($D1302="","",W1302-N1302)</f>
        <v/>
      </c>
      <c r="AB1302" s="17" t="str">
        <f aca="false">IF($D1302="","",IF(OR($R1302=TRUE(),$R1302="TRUE"),Settings!$C$6,Settings!$C$7)*100)</f>
        <v/>
      </c>
      <c r="AH1302" s="18" t="str">
        <f aca="false">IF($D1302="","",IF(COUNTIF($D$2:$D1302,$D1302)=1,1,0))</f>
        <v/>
      </c>
      <c r="AI1302" s="18" t="str">
        <f aca="false">IF($AH1302=1,SUMPRODUCT(--($AK$2:$AK$4001&lt;$AK1302))+1,"")</f>
        <v/>
      </c>
      <c r="AJ1302" s="18" t="str">
        <f aca="false">IF($D1302="","",IF(OR($R1302=TRUE(),$R1302="TRUE"),1,0))</f>
        <v/>
      </c>
      <c r="AK1302" s="18" t="str">
        <f aca="false">IF($AH1302=1,IFERROR(VALUE(MID($D1302,2,20)),1000000000)+ROW()/10000000,"")</f>
        <v/>
      </c>
    </row>
    <row r="1303" customFormat="false" ht="15" hidden="false" customHeight="false" outlineLevel="0" collapsed="false">
      <c r="F1303" s="15"/>
      <c r="N1303" s="16" t="str">
        <f aca="false">IF($D1303="","",M1303*Y1303/100)</f>
        <v/>
      </c>
      <c r="V1303" s="16" t="str">
        <f aca="false">IF($D1303="","",Y1303*AB1303/100)</f>
        <v/>
      </c>
      <c r="W1303" s="16" t="str">
        <f aca="false">IF($D1303="","",Y1303-V1303)</f>
        <v/>
      </c>
      <c r="X1303" s="16" t="str">
        <f aca="false">IF($D1303="","",W1303-N1303)</f>
        <v/>
      </c>
      <c r="AB1303" s="17" t="str">
        <f aca="false">IF($D1303="","",IF(OR($R1303=TRUE(),$R1303="TRUE"),Settings!$C$6,Settings!$C$7)*100)</f>
        <v/>
      </c>
      <c r="AH1303" s="18" t="str">
        <f aca="false">IF($D1303="","",IF(COUNTIF($D$2:$D1303,$D1303)=1,1,0))</f>
        <v/>
      </c>
      <c r="AI1303" s="18" t="str">
        <f aca="false">IF($AH1303=1,SUMPRODUCT(--($AK$2:$AK$4001&lt;$AK1303))+1,"")</f>
        <v/>
      </c>
      <c r="AJ1303" s="18" t="str">
        <f aca="false">IF($D1303="","",IF(OR($R1303=TRUE(),$R1303="TRUE"),1,0))</f>
        <v/>
      </c>
      <c r="AK1303" s="18" t="str">
        <f aca="false">IF($AH1303=1,IFERROR(VALUE(MID($D1303,2,20)),1000000000)+ROW()/10000000,"")</f>
        <v/>
      </c>
    </row>
    <row r="1304" customFormat="false" ht="15" hidden="false" customHeight="false" outlineLevel="0" collapsed="false">
      <c r="F1304" s="15"/>
      <c r="N1304" s="16" t="str">
        <f aca="false">IF($D1304="","",M1304*Y1304/100)</f>
        <v/>
      </c>
      <c r="V1304" s="16" t="str">
        <f aca="false">IF($D1304="","",Y1304*AB1304/100)</f>
        <v/>
      </c>
      <c r="W1304" s="16" t="str">
        <f aca="false">IF($D1304="","",Y1304-V1304)</f>
        <v/>
      </c>
      <c r="X1304" s="16" t="str">
        <f aca="false">IF($D1304="","",W1304-N1304)</f>
        <v/>
      </c>
      <c r="AB1304" s="17" t="str">
        <f aca="false">IF($D1304="","",IF(OR($R1304=TRUE(),$R1304="TRUE"),Settings!$C$6,Settings!$C$7)*100)</f>
        <v/>
      </c>
      <c r="AH1304" s="18" t="str">
        <f aca="false">IF($D1304="","",IF(COUNTIF($D$2:$D1304,$D1304)=1,1,0))</f>
        <v/>
      </c>
      <c r="AI1304" s="18" t="str">
        <f aca="false">IF($AH1304=1,SUMPRODUCT(--($AK$2:$AK$4001&lt;$AK1304))+1,"")</f>
        <v/>
      </c>
      <c r="AJ1304" s="18" t="str">
        <f aca="false">IF($D1304="","",IF(OR($R1304=TRUE(),$R1304="TRUE"),1,0))</f>
        <v/>
      </c>
      <c r="AK1304" s="18" t="str">
        <f aca="false">IF($AH1304=1,IFERROR(VALUE(MID($D1304,2,20)),1000000000)+ROW()/10000000,"")</f>
        <v/>
      </c>
    </row>
    <row r="1305" customFormat="false" ht="15" hidden="false" customHeight="false" outlineLevel="0" collapsed="false">
      <c r="F1305" s="15"/>
      <c r="N1305" s="16" t="str">
        <f aca="false">IF($D1305="","",M1305*Y1305/100)</f>
        <v/>
      </c>
      <c r="V1305" s="16" t="str">
        <f aca="false">IF($D1305="","",Y1305*AB1305/100)</f>
        <v/>
      </c>
      <c r="W1305" s="16" t="str">
        <f aca="false">IF($D1305="","",Y1305-V1305)</f>
        <v/>
      </c>
      <c r="X1305" s="16" t="str">
        <f aca="false">IF($D1305="","",W1305-N1305)</f>
        <v/>
      </c>
      <c r="AB1305" s="17" t="str">
        <f aca="false">IF($D1305="","",IF(OR($R1305=TRUE(),$R1305="TRUE"),Settings!$C$6,Settings!$C$7)*100)</f>
        <v/>
      </c>
      <c r="AH1305" s="18" t="str">
        <f aca="false">IF($D1305="","",IF(COUNTIF($D$2:$D1305,$D1305)=1,1,0))</f>
        <v/>
      </c>
      <c r="AI1305" s="18" t="str">
        <f aca="false">IF($AH1305=1,SUMPRODUCT(--($AK$2:$AK$4001&lt;$AK1305))+1,"")</f>
        <v/>
      </c>
      <c r="AJ1305" s="18" t="str">
        <f aca="false">IF($D1305="","",IF(OR($R1305=TRUE(),$R1305="TRUE"),1,0))</f>
        <v/>
      </c>
      <c r="AK1305" s="18" t="str">
        <f aca="false">IF($AH1305=1,IFERROR(VALUE(MID($D1305,2,20)),1000000000)+ROW()/10000000,"")</f>
        <v/>
      </c>
    </row>
    <row r="1306" customFormat="false" ht="15" hidden="false" customHeight="false" outlineLevel="0" collapsed="false">
      <c r="F1306" s="15"/>
      <c r="N1306" s="16" t="str">
        <f aca="false">IF($D1306="","",M1306*Y1306/100)</f>
        <v/>
      </c>
      <c r="V1306" s="16" t="str">
        <f aca="false">IF($D1306="","",Y1306*AB1306/100)</f>
        <v/>
      </c>
      <c r="W1306" s="16" t="str">
        <f aca="false">IF($D1306="","",Y1306-V1306)</f>
        <v/>
      </c>
      <c r="X1306" s="16" t="str">
        <f aca="false">IF($D1306="","",W1306-N1306)</f>
        <v/>
      </c>
      <c r="AB1306" s="17" t="str">
        <f aca="false">IF($D1306="","",IF(OR($R1306=TRUE(),$R1306="TRUE"),Settings!$C$6,Settings!$C$7)*100)</f>
        <v/>
      </c>
      <c r="AH1306" s="18" t="str">
        <f aca="false">IF($D1306="","",IF(COUNTIF($D$2:$D1306,$D1306)=1,1,0))</f>
        <v/>
      </c>
      <c r="AI1306" s="18" t="str">
        <f aca="false">IF($AH1306=1,SUMPRODUCT(--($AK$2:$AK$4001&lt;$AK1306))+1,"")</f>
        <v/>
      </c>
      <c r="AJ1306" s="18" t="str">
        <f aca="false">IF($D1306="","",IF(OR($R1306=TRUE(),$R1306="TRUE"),1,0))</f>
        <v/>
      </c>
      <c r="AK1306" s="18" t="str">
        <f aca="false">IF($AH1306=1,IFERROR(VALUE(MID($D1306,2,20)),1000000000)+ROW()/10000000,"")</f>
        <v/>
      </c>
    </row>
    <row r="1307" customFormat="false" ht="15" hidden="false" customHeight="false" outlineLevel="0" collapsed="false">
      <c r="F1307" s="15"/>
      <c r="N1307" s="16" t="str">
        <f aca="false">IF($D1307="","",M1307*Y1307/100)</f>
        <v/>
      </c>
      <c r="V1307" s="16" t="str">
        <f aca="false">IF($D1307="","",Y1307*AB1307/100)</f>
        <v/>
      </c>
      <c r="W1307" s="16" t="str">
        <f aca="false">IF($D1307="","",Y1307-V1307)</f>
        <v/>
      </c>
      <c r="X1307" s="16" t="str">
        <f aca="false">IF($D1307="","",W1307-N1307)</f>
        <v/>
      </c>
      <c r="AB1307" s="17" t="str">
        <f aca="false">IF($D1307="","",IF(OR($R1307=TRUE(),$R1307="TRUE"),Settings!$C$6,Settings!$C$7)*100)</f>
        <v/>
      </c>
      <c r="AH1307" s="18" t="str">
        <f aca="false">IF($D1307="","",IF(COUNTIF($D$2:$D1307,$D1307)=1,1,0))</f>
        <v/>
      </c>
      <c r="AI1307" s="18" t="str">
        <f aca="false">IF($AH1307=1,SUMPRODUCT(--($AK$2:$AK$4001&lt;$AK1307))+1,"")</f>
        <v/>
      </c>
      <c r="AJ1307" s="18" t="str">
        <f aca="false">IF($D1307="","",IF(OR($R1307=TRUE(),$R1307="TRUE"),1,0))</f>
        <v/>
      </c>
      <c r="AK1307" s="18" t="str">
        <f aca="false">IF($AH1307=1,IFERROR(VALUE(MID($D1307,2,20)),1000000000)+ROW()/10000000,"")</f>
        <v/>
      </c>
    </row>
    <row r="1308" customFormat="false" ht="15" hidden="false" customHeight="false" outlineLevel="0" collapsed="false">
      <c r="F1308" s="15"/>
      <c r="N1308" s="16" t="str">
        <f aca="false">IF($D1308="","",M1308*Y1308/100)</f>
        <v/>
      </c>
      <c r="V1308" s="16" t="str">
        <f aca="false">IF($D1308="","",Y1308*AB1308/100)</f>
        <v/>
      </c>
      <c r="W1308" s="16" t="str">
        <f aca="false">IF($D1308="","",Y1308-V1308)</f>
        <v/>
      </c>
      <c r="X1308" s="16" t="str">
        <f aca="false">IF($D1308="","",W1308-N1308)</f>
        <v/>
      </c>
      <c r="AB1308" s="17" t="str">
        <f aca="false">IF($D1308="","",IF(OR($R1308=TRUE(),$R1308="TRUE"),Settings!$C$6,Settings!$C$7)*100)</f>
        <v/>
      </c>
      <c r="AH1308" s="18" t="str">
        <f aca="false">IF($D1308="","",IF(COUNTIF($D$2:$D1308,$D1308)=1,1,0))</f>
        <v/>
      </c>
      <c r="AI1308" s="18" t="str">
        <f aca="false">IF($AH1308=1,SUMPRODUCT(--($AK$2:$AK$4001&lt;$AK1308))+1,"")</f>
        <v/>
      </c>
      <c r="AJ1308" s="18" t="str">
        <f aca="false">IF($D1308="","",IF(OR($R1308=TRUE(),$R1308="TRUE"),1,0))</f>
        <v/>
      </c>
      <c r="AK1308" s="18" t="str">
        <f aca="false">IF($AH1308=1,IFERROR(VALUE(MID($D1308,2,20)),1000000000)+ROW()/10000000,"")</f>
        <v/>
      </c>
    </row>
    <row r="1309" customFormat="false" ht="15" hidden="false" customHeight="false" outlineLevel="0" collapsed="false">
      <c r="F1309" s="15"/>
      <c r="N1309" s="16" t="str">
        <f aca="false">IF($D1309="","",M1309*Y1309/100)</f>
        <v/>
      </c>
      <c r="V1309" s="16" t="str">
        <f aca="false">IF($D1309="","",Y1309*AB1309/100)</f>
        <v/>
      </c>
      <c r="W1309" s="16" t="str">
        <f aca="false">IF($D1309="","",Y1309-V1309)</f>
        <v/>
      </c>
      <c r="X1309" s="16" t="str">
        <f aca="false">IF($D1309="","",W1309-N1309)</f>
        <v/>
      </c>
      <c r="AB1309" s="17" t="str">
        <f aca="false">IF($D1309="","",IF(OR($R1309=TRUE(),$R1309="TRUE"),Settings!$C$6,Settings!$C$7)*100)</f>
        <v/>
      </c>
      <c r="AH1309" s="18" t="str">
        <f aca="false">IF($D1309="","",IF(COUNTIF($D$2:$D1309,$D1309)=1,1,0))</f>
        <v/>
      </c>
      <c r="AI1309" s="18" t="str">
        <f aca="false">IF($AH1309=1,SUMPRODUCT(--($AK$2:$AK$4001&lt;$AK1309))+1,"")</f>
        <v/>
      </c>
      <c r="AJ1309" s="18" t="str">
        <f aca="false">IF($D1309="","",IF(OR($R1309=TRUE(),$R1309="TRUE"),1,0))</f>
        <v/>
      </c>
      <c r="AK1309" s="18" t="str">
        <f aca="false">IF($AH1309=1,IFERROR(VALUE(MID($D1309,2,20)),1000000000)+ROW()/10000000,"")</f>
        <v/>
      </c>
    </row>
    <row r="1310" customFormat="false" ht="15" hidden="false" customHeight="false" outlineLevel="0" collapsed="false">
      <c r="F1310" s="15"/>
      <c r="N1310" s="16" t="str">
        <f aca="false">IF($D1310="","",M1310*Y1310/100)</f>
        <v/>
      </c>
      <c r="V1310" s="16" t="str">
        <f aca="false">IF($D1310="","",Y1310*AB1310/100)</f>
        <v/>
      </c>
      <c r="W1310" s="16" t="str">
        <f aca="false">IF($D1310="","",Y1310-V1310)</f>
        <v/>
      </c>
      <c r="X1310" s="16" t="str">
        <f aca="false">IF($D1310="","",W1310-N1310)</f>
        <v/>
      </c>
      <c r="AB1310" s="17" t="str">
        <f aca="false">IF($D1310="","",IF(OR($R1310=TRUE(),$R1310="TRUE"),Settings!$C$6,Settings!$C$7)*100)</f>
        <v/>
      </c>
      <c r="AH1310" s="18" t="str">
        <f aca="false">IF($D1310="","",IF(COUNTIF($D$2:$D1310,$D1310)=1,1,0))</f>
        <v/>
      </c>
      <c r="AI1310" s="18" t="str">
        <f aca="false">IF($AH1310=1,SUMPRODUCT(--($AK$2:$AK$4001&lt;$AK1310))+1,"")</f>
        <v/>
      </c>
      <c r="AJ1310" s="18" t="str">
        <f aca="false">IF($D1310="","",IF(OR($R1310=TRUE(),$R1310="TRUE"),1,0))</f>
        <v/>
      </c>
      <c r="AK1310" s="18" t="str">
        <f aca="false">IF($AH1310=1,IFERROR(VALUE(MID($D1310,2,20)),1000000000)+ROW()/10000000,"")</f>
        <v/>
      </c>
    </row>
    <row r="1311" customFormat="false" ht="15" hidden="false" customHeight="false" outlineLevel="0" collapsed="false">
      <c r="F1311" s="15"/>
      <c r="N1311" s="16" t="str">
        <f aca="false">IF($D1311="","",M1311*Y1311/100)</f>
        <v/>
      </c>
      <c r="V1311" s="16" t="str">
        <f aca="false">IF($D1311="","",Y1311*AB1311/100)</f>
        <v/>
      </c>
      <c r="W1311" s="16" t="str">
        <f aca="false">IF($D1311="","",Y1311-V1311)</f>
        <v/>
      </c>
      <c r="X1311" s="16" t="str">
        <f aca="false">IF($D1311="","",W1311-N1311)</f>
        <v/>
      </c>
      <c r="AB1311" s="17" t="str">
        <f aca="false">IF($D1311="","",IF(OR($R1311=TRUE(),$R1311="TRUE"),Settings!$C$6,Settings!$C$7)*100)</f>
        <v/>
      </c>
      <c r="AH1311" s="18" t="str">
        <f aca="false">IF($D1311="","",IF(COUNTIF($D$2:$D1311,$D1311)=1,1,0))</f>
        <v/>
      </c>
      <c r="AI1311" s="18" t="str">
        <f aca="false">IF($AH1311=1,SUMPRODUCT(--($AK$2:$AK$4001&lt;$AK1311))+1,"")</f>
        <v/>
      </c>
      <c r="AJ1311" s="18" t="str">
        <f aca="false">IF($D1311="","",IF(OR($R1311=TRUE(),$R1311="TRUE"),1,0))</f>
        <v/>
      </c>
      <c r="AK1311" s="18" t="str">
        <f aca="false">IF($AH1311=1,IFERROR(VALUE(MID($D1311,2,20)),1000000000)+ROW()/10000000,"")</f>
        <v/>
      </c>
    </row>
    <row r="1312" customFormat="false" ht="15" hidden="false" customHeight="false" outlineLevel="0" collapsed="false">
      <c r="F1312" s="15"/>
      <c r="N1312" s="16" t="str">
        <f aca="false">IF($D1312="","",M1312*Y1312/100)</f>
        <v/>
      </c>
      <c r="V1312" s="16" t="str">
        <f aca="false">IF($D1312="","",Y1312*AB1312/100)</f>
        <v/>
      </c>
      <c r="W1312" s="16" t="str">
        <f aca="false">IF($D1312="","",Y1312-V1312)</f>
        <v/>
      </c>
      <c r="X1312" s="16" t="str">
        <f aca="false">IF($D1312="","",W1312-N1312)</f>
        <v/>
      </c>
      <c r="AB1312" s="17" t="str">
        <f aca="false">IF($D1312="","",IF(OR($R1312=TRUE(),$R1312="TRUE"),Settings!$C$6,Settings!$C$7)*100)</f>
        <v/>
      </c>
      <c r="AH1312" s="18" t="str">
        <f aca="false">IF($D1312="","",IF(COUNTIF($D$2:$D1312,$D1312)=1,1,0))</f>
        <v/>
      </c>
      <c r="AI1312" s="18" t="str">
        <f aca="false">IF($AH1312=1,SUMPRODUCT(--($AK$2:$AK$4001&lt;$AK1312))+1,"")</f>
        <v/>
      </c>
      <c r="AJ1312" s="18" t="str">
        <f aca="false">IF($D1312="","",IF(OR($R1312=TRUE(),$R1312="TRUE"),1,0))</f>
        <v/>
      </c>
      <c r="AK1312" s="18" t="str">
        <f aca="false">IF($AH1312=1,IFERROR(VALUE(MID($D1312,2,20)),1000000000)+ROW()/10000000,"")</f>
        <v/>
      </c>
    </row>
    <row r="1313" customFormat="false" ht="15" hidden="false" customHeight="false" outlineLevel="0" collapsed="false">
      <c r="F1313" s="15"/>
      <c r="N1313" s="16" t="str">
        <f aca="false">IF($D1313="","",M1313*Y1313/100)</f>
        <v/>
      </c>
      <c r="V1313" s="16" t="str">
        <f aca="false">IF($D1313="","",Y1313*AB1313/100)</f>
        <v/>
      </c>
      <c r="W1313" s="16" t="str">
        <f aca="false">IF($D1313="","",Y1313-V1313)</f>
        <v/>
      </c>
      <c r="X1313" s="16" t="str">
        <f aca="false">IF($D1313="","",W1313-N1313)</f>
        <v/>
      </c>
      <c r="AB1313" s="17" t="str">
        <f aca="false">IF($D1313="","",IF(OR($R1313=TRUE(),$R1313="TRUE"),Settings!$C$6,Settings!$C$7)*100)</f>
        <v/>
      </c>
      <c r="AH1313" s="18" t="str">
        <f aca="false">IF($D1313="","",IF(COUNTIF($D$2:$D1313,$D1313)=1,1,0))</f>
        <v/>
      </c>
      <c r="AI1313" s="18" t="str">
        <f aca="false">IF($AH1313=1,SUMPRODUCT(--($AK$2:$AK$4001&lt;$AK1313))+1,"")</f>
        <v/>
      </c>
      <c r="AJ1313" s="18" t="str">
        <f aca="false">IF($D1313="","",IF(OR($R1313=TRUE(),$R1313="TRUE"),1,0))</f>
        <v/>
      </c>
      <c r="AK1313" s="18" t="str">
        <f aca="false">IF($AH1313=1,IFERROR(VALUE(MID($D1313,2,20)),1000000000)+ROW()/10000000,"")</f>
        <v/>
      </c>
    </row>
    <row r="1314" customFormat="false" ht="15" hidden="false" customHeight="false" outlineLevel="0" collapsed="false">
      <c r="F1314" s="15"/>
      <c r="N1314" s="16" t="str">
        <f aca="false">IF($D1314="","",M1314*Y1314/100)</f>
        <v/>
      </c>
      <c r="V1314" s="16" t="str">
        <f aca="false">IF($D1314="","",Y1314*AB1314/100)</f>
        <v/>
      </c>
      <c r="W1314" s="16" t="str">
        <f aca="false">IF($D1314="","",Y1314-V1314)</f>
        <v/>
      </c>
      <c r="X1314" s="16" t="str">
        <f aca="false">IF($D1314="","",W1314-N1314)</f>
        <v/>
      </c>
      <c r="AB1314" s="17" t="str">
        <f aca="false">IF($D1314="","",IF(OR($R1314=TRUE(),$R1314="TRUE"),Settings!$C$6,Settings!$C$7)*100)</f>
        <v/>
      </c>
      <c r="AH1314" s="18" t="str">
        <f aca="false">IF($D1314="","",IF(COUNTIF($D$2:$D1314,$D1314)=1,1,0))</f>
        <v/>
      </c>
      <c r="AI1314" s="18" t="str">
        <f aca="false">IF($AH1314=1,SUMPRODUCT(--($AK$2:$AK$4001&lt;$AK1314))+1,"")</f>
        <v/>
      </c>
      <c r="AJ1314" s="18" t="str">
        <f aca="false">IF($D1314="","",IF(OR($R1314=TRUE(),$R1314="TRUE"),1,0))</f>
        <v/>
      </c>
      <c r="AK1314" s="18" t="str">
        <f aca="false">IF($AH1314=1,IFERROR(VALUE(MID($D1314,2,20)),1000000000)+ROW()/10000000,"")</f>
        <v/>
      </c>
    </row>
    <row r="1315" customFormat="false" ht="15" hidden="false" customHeight="false" outlineLevel="0" collapsed="false">
      <c r="F1315" s="15"/>
      <c r="N1315" s="16" t="str">
        <f aca="false">IF($D1315="","",M1315*Y1315/100)</f>
        <v/>
      </c>
      <c r="V1315" s="16" t="str">
        <f aca="false">IF($D1315="","",Y1315*AB1315/100)</f>
        <v/>
      </c>
      <c r="W1315" s="16" t="str">
        <f aca="false">IF($D1315="","",Y1315-V1315)</f>
        <v/>
      </c>
      <c r="X1315" s="16" t="str">
        <f aca="false">IF($D1315="","",W1315-N1315)</f>
        <v/>
      </c>
      <c r="AB1315" s="17" t="str">
        <f aca="false">IF($D1315="","",IF(OR($R1315=TRUE(),$R1315="TRUE"),Settings!$C$6,Settings!$C$7)*100)</f>
        <v/>
      </c>
      <c r="AH1315" s="18" t="str">
        <f aca="false">IF($D1315="","",IF(COUNTIF($D$2:$D1315,$D1315)=1,1,0))</f>
        <v/>
      </c>
      <c r="AI1315" s="18" t="str">
        <f aca="false">IF($AH1315=1,SUMPRODUCT(--($AK$2:$AK$4001&lt;$AK1315))+1,"")</f>
        <v/>
      </c>
      <c r="AJ1315" s="18" t="str">
        <f aca="false">IF($D1315="","",IF(OR($R1315=TRUE(),$R1315="TRUE"),1,0))</f>
        <v/>
      </c>
      <c r="AK1315" s="18" t="str">
        <f aca="false">IF($AH1315=1,IFERROR(VALUE(MID($D1315,2,20)),1000000000)+ROW()/10000000,"")</f>
        <v/>
      </c>
    </row>
    <row r="1316" customFormat="false" ht="15" hidden="false" customHeight="false" outlineLevel="0" collapsed="false">
      <c r="F1316" s="15"/>
      <c r="N1316" s="16" t="str">
        <f aca="false">IF($D1316="","",M1316*Y1316/100)</f>
        <v/>
      </c>
      <c r="V1316" s="16" t="str">
        <f aca="false">IF($D1316="","",Y1316*AB1316/100)</f>
        <v/>
      </c>
      <c r="W1316" s="16" t="str">
        <f aca="false">IF($D1316="","",Y1316-V1316)</f>
        <v/>
      </c>
      <c r="X1316" s="16" t="str">
        <f aca="false">IF($D1316="","",W1316-N1316)</f>
        <v/>
      </c>
      <c r="AB1316" s="17" t="str">
        <f aca="false">IF($D1316="","",IF(OR($R1316=TRUE(),$R1316="TRUE"),Settings!$C$6,Settings!$C$7)*100)</f>
        <v/>
      </c>
      <c r="AH1316" s="18" t="str">
        <f aca="false">IF($D1316="","",IF(COUNTIF($D$2:$D1316,$D1316)=1,1,0))</f>
        <v/>
      </c>
      <c r="AI1316" s="18" t="str">
        <f aca="false">IF($AH1316=1,SUMPRODUCT(--($AK$2:$AK$4001&lt;$AK1316))+1,"")</f>
        <v/>
      </c>
      <c r="AJ1316" s="18" t="str">
        <f aca="false">IF($D1316="","",IF(OR($R1316=TRUE(),$R1316="TRUE"),1,0))</f>
        <v/>
      </c>
      <c r="AK1316" s="18" t="str">
        <f aca="false">IF($AH1316=1,IFERROR(VALUE(MID($D1316,2,20)),1000000000)+ROW()/10000000,"")</f>
        <v/>
      </c>
    </row>
    <row r="1317" customFormat="false" ht="15" hidden="false" customHeight="false" outlineLevel="0" collapsed="false">
      <c r="F1317" s="15"/>
      <c r="N1317" s="16" t="str">
        <f aca="false">IF($D1317="","",M1317*Y1317/100)</f>
        <v/>
      </c>
      <c r="V1317" s="16" t="str">
        <f aca="false">IF($D1317="","",Y1317*AB1317/100)</f>
        <v/>
      </c>
      <c r="W1317" s="16" t="str">
        <f aca="false">IF($D1317="","",Y1317-V1317)</f>
        <v/>
      </c>
      <c r="X1317" s="16" t="str">
        <f aca="false">IF($D1317="","",W1317-N1317)</f>
        <v/>
      </c>
      <c r="AB1317" s="17" t="str">
        <f aca="false">IF($D1317="","",IF(OR($R1317=TRUE(),$R1317="TRUE"),Settings!$C$6,Settings!$C$7)*100)</f>
        <v/>
      </c>
      <c r="AH1317" s="18" t="str">
        <f aca="false">IF($D1317="","",IF(COUNTIF($D$2:$D1317,$D1317)=1,1,0))</f>
        <v/>
      </c>
      <c r="AI1317" s="18" t="str">
        <f aca="false">IF($AH1317=1,SUMPRODUCT(--($AK$2:$AK$4001&lt;$AK1317))+1,"")</f>
        <v/>
      </c>
      <c r="AJ1317" s="18" t="str">
        <f aca="false">IF($D1317="","",IF(OR($R1317=TRUE(),$R1317="TRUE"),1,0))</f>
        <v/>
      </c>
      <c r="AK1317" s="18" t="str">
        <f aca="false">IF($AH1317=1,IFERROR(VALUE(MID($D1317,2,20)),1000000000)+ROW()/10000000,"")</f>
        <v/>
      </c>
    </row>
    <row r="1318" customFormat="false" ht="15" hidden="false" customHeight="false" outlineLevel="0" collapsed="false">
      <c r="F1318" s="15"/>
      <c r="N1318" s="16" t="str">
        <f aca="false">IF($D1318="","",M1318*Y1318/100)</f>
        <v/>
      </c>
      <c r="V1318" s="16" t="str">
        <f aca="false">IF($D1318="","",Y1318*AB1318/100)</f>
        <v/>
      </c>
      <c r="W1318" s="16" t="str">
        <f aca="false">IF($D1318="","",Y1318-V1318)</f>
        <v/>
      </c>
      <c r="X1318" s="16" t="str">
        <f aca="false">IF($D1318="","",W1318-N1318)</f>
        <v/>
      </c>
      <c r="AB1318" s="17" t="str">
        <f aca="false">IF($D1318="","",IF(OR($R1318=TRUE(),$R1318="TRUE"),Settings!$C$6,Settings!$C$7)*100)</f>
        <v/>
      </c>
      <c r="AH1318" s="18" t="str">
        <f aca="false">IF($D1318="","",IF(COUNTIF($D$2:$D1318,$D1318)=1,1,0))</f>
        <v/>
      </c>
      <c r="AI1318" s="18" t="str">
        <f aca="false">IF($AH1318=1,SUMPRODUCT(--($AK$2:$AK$4001&lt;$AK1318))+1,"")</f>
        <v/>
      </c>
      <c r="AJ1318" s="18" t="str">
        <f aca="false">IF($D1318="","",IF(OR($R1318=TRUE(),$R1318="TRUE"),1,0))</f>
        <v/>
      </c>
      <c r="AK1318" s="18" t="str">
        <f aca="false">IF($AH1318=1,IFERROR(VALUE(MID($D1318,2,20)),1000000000)+ROW()/10000000,"")</f>
        <v/>
      </c>
    </row>
    <row r="1319" customFormat="false" ht="15" hidden="false" customHeight="false" outlineLevel="0" collapsed="false">
      <c r="F1319" s="15"/>
      <c r="N1319" s="16" t="str">
        <f aca="false">IF($D1319="","",M1319*Y1319/100)</f>
        <v/>
      </c>
      <c r="V1319" s="16" t="str">
        <f aca="false">IF($D1319="","",Y1319*AB1319/100)</f>
        <v/>
      </c>
      <c r="W1319" s="16" t="str">
        <f aca="false">IF($D1319="","",Y1319-V1319)</f>
        <v/>
      </c>
      <c r="X1319" s="16" t="str">
        <f aca="false">IF($D1319="","",W1319-N1319)</f>
        <v/>
      </c>
      <c r="AB1319" s="17" t="str">
        <f aca="false">IF($D1319="","",IF(OR($R1319=TRUE(),$R1319="TRUE"),Settings!$C$6,Settings!$C$7)*100)</f>
        <v/>
      </c>
      <c r="AH1319" s="18" t="str">
        <f aca="false">IF($D1319="","",IF(COUNTIF($D$2:$D1319,$D1319)=1,1,0))</f>
        <v/>
      </c>
      <c r="AI1319" s="18" t="str">
        <f aca="false">IF($AH1319=1,SUMPRODUCT(--($AK$2:$AK$4001&lt;$AK1319))+1,"")</f>
        <v/>
      </c>
      <c r="AJ1319" s="18" t="str">
        <f aca="false">IF($D1319="","",IF(OR($R1319=TRUE(),$R1319="TRUE"),1,0))</f>
        <v/>
      </c>
      <c r="AK1319" s="18" t="str">
        <f aca="false">IF($AH1319=1,IFERROR(VALUE(MID($D1319,2,20)),1000000000)+ROW()/10000000,"")</f>
        <v/>
      </c>
    </row>
    <row r="1320" customFormat="false" ht="15" hidden="false" customHeight="false" outlineLevel="0" collapsed="false">
      <c r="F1320" s="15"/>
      <c r="N1320" s="16" t="str">
        <f aca="false">IF($D1320="","",M1320*Y1320/100)</f>
        <v/>
      </c>
      <c r="V1320" s="16" t="str">
        <f aca="false">IF($D1320="","",Y1320*AB1320/100)</f>
        <v/>
      </c>
      <c r="W1320" s="16" t="str">
        <f aca="false">IF($D1320="","",Y1320-V1320)</f>
        <v/>
      </c>
      <c r="X1320" s="16" t="str">
        <f aca="false">IF($D1320="","",W1320-N1320)</f>
        <v/>
      </c>
      <c r="AB1320" s="17" t="str">
        <f aca="false">IF($D1320="","",IF(OR($R1320=TRUE(),$R1320="TRUE"),Settings!$C$6,Settings!$C$7)*100)</f>
        <v/>
      </c>
      <c r="AH1320" s="18" t="str">
        <f aca="false">IF($D1320="","",IF(COUNTIF($D$2:$D1320,$D1320)=1,1,0))</f>
        <v/>
      </c>
      <c r="AI1320" s="18" t="str">
        <f aca="false">IF($AH1320=1,SUMPRODUCT(--($AK$2:$AK$4001&lt;$AK1320))+1,"")</f>
        <v/>
      </c>
      <c r="AJ1320" s="18" t="str">
        <f aca="false">IF($D1320="","",IF(OR($R1320=TRUE(),$R1320="TRUE"),1,0))</f>
        <v/>
      </c>
      <c r="AK1320" s="18" t="str">
        <f aca="false">IF($AH1320=1,IFERROR(VALUE(MID($D1320,2,20)),1000000000)+ROW()/10000000,"")</f>
        <v/>
      </c>
    </row>
    <row r="1321" customFormat="false" ht="15" hidden="false" customHeight="false" outlineLevel="0" collapsed="false">
      <c r="F1321" s="15"/>
      <c r="N1321" s="16" t="str">
        <f aca="false">IF($D1321="","",M1321*Y1321/100)</f>
        <v/>
      </c>
      <c r="V1321" s="16" t="str">
        <f aca="false">IF($D1321="","",Y1321*AB1321/100)</f>
        <v/>
      </c>
      <c r="W1321" s="16" t="str">
        <f aca="false">IF($D1321="","",Y1321-V1321)</f>
        <v/>
      </c>
      <c r="X1321" s="16" t="str">
        <f aca="false">IF($D1321="","",W1321-N1321)</f>
        <v/>
      </c>
      <c r="AB1321" s="17" t="str">
        <f aca="false">IF($D1321="","",IF(OR($R1321=TRUE(),$R1321="TRUE"),Settings!$C$6,Settings!$C$7)*100)</f>
        <v/>
      </c>
      <c r="AH1321" s="18" t="str">
        <f aca="false">IF($D1321="","",IF(COUNTIF($D$2:$D1321,$D1321)=1,1,0))</f>
        <v/>
      </c>
      <c r="AI1321" s="18" t="str">
        <f aca="false">IF($AH1321=1,SUMPRODUCT(--($AK$2:$AK$4001&lt;$AK1321))+1,"")</f>
        <v/>
      </c>
      <c r="AJ1321" s="18" t="str">
        <f aca="false">IF($D1321="","",IF(OR($R1321=TRUE(),$R1321="TRUE"),1,0))</f>
        <v/>
      </c>
      <c r="AK1321" s="18" t="str">
        <f aca="false">IF($AH1321=1,IFERROR(VALUE(MID($D1321,2,20)),1000000000)+ROW()/10000000,"")</f>
        <v/>
      </c>
    </row>
    <row r="1322" customFormat="false" ht="15" hidden="false" customHeight="false" outlineLevel="0" collapsed="false">
      <c r="F1322" s="15"/>
      <c r="N1322" s="16" t="str">
        <f aca="false">IF($D1322="","",M1322*Y1322/100)</f>
        <v/>
      </c>
      <c r="V1322" s="16" t="str">
        <f aca="false">IF($D1322="","",Y1322*AB1322/100)</f>
        <v/>
      </c>
      <c r="W1322" s="16" t="str">
        <f aca="false">IF($D1322="","",Y1322-V1322)</f>
        <v/>
      </c>
      <c r="X1322" s="16" t="str">
        <f aca="false">IF($D1322="","",W1322-N1322)</f>
        <v/>
      </c>
      <c r="AB1322" s="17" t="str">
        <f aca="false">IF($D1322="","",IF(OR($R1322=TRUE(),$R1322="TRUE"),Settings!$C$6,Settings!$C$7)*100)</f>
        <v/>
      </c>
      <c r="AH1322" s="18" t="str">
        <f aca="false">IF($D1322="","",IF(COUNTIF($D$2:$D1322,$D1322)=1,1,0))</f>
        <v/>
      </c>
      <c r="AI1322" s="18" t="str">
        <f aca="false">IF($AH1322=1,SUMPRODUCT(--($AK$2:$AK$4001&lt;$AK1322))+1,"")</f>
        <v/>
      </c>
      <c r="AJ1322" s="18" t="str">
        <f aca="false">IF($D1322="","",IF(OR($R1322=TRUE(),$R1322="TRUE"),1,0))</f>
        <v/>
      </c>
      <c r="AK1322" s="18" t="str">
        <f aca="false">IF($AH1322=1,IFERROR(VALUE(MID($D1322,2,20)),1000000000)+ROW()/10000000,"")</f>
        <v/>
      </c>
    </row>
    <row r="1323" customFormat="false" ht="15" hidden="false" customHeight="false" outlineLevel="0" collapsed="false">
      <c r="F1323" s="15"/>
      <c r="N1323" s="16" t="str">
        <f aca="false">IF($D1323="","",M1323*Y1323/100)</f>
        <v/>
      </c>
      <c r="V1323" s="16" t="str">
        <f aca="false">IF($D1323="","",Y1323*AB1323/100)</f>
        <v/>
      </c>
      <c r="W1323" s="16" t="str">
        <f aca="false">IF($D1323="","",Y1323-V1323)</f>
        <v/>
      </c>
      <c r="X1323" s="16" t="str">
        <f aca="false">IF($D1323="","",W1323-N1323)</f>
        <v/>
      </c>
      <c r="AB1323" s="17" t="str">
        <f aca="false">IF($D1323="","",IF(OR($R1323=TRUE(),$R1323="TRUE"),Settings!$C$6,Settings!$C$7)*100)</f>
        <v/>
      </c>
      <c r="AH1323" s="18" t="str">
        <f aca="false">IF($D1323="","",IF(COUNTIF($D$2:$D1323,$D1323)=1,1,0))</f>
        <v/>
      </c>
      <c r="AI1323" s="18" t="str">
        <f aca="false">IF($AH1323=1,SUMPRODUCT(--($AK$2:$AK$4001&lt;$AK1323))+1,"")</f>
        <v/>
      </c>
      <c r="AJ1323" s="18" t="str">
        <f aca="false">IF($D1323="","",IF(OR($R1323=TRUE(),$R1323="TRUE"),1,0))</f>
        <v/>
      </c>
      <c r="AK1323" s="18" t="str">
        <f aca="false">IF($AH1323=1,IFERROR(VALUE(MID($D1323,2,20)),1000000000)+ROW()/10000000,"")</f>
        <v/>
      </c>
    </row>
    <row r="1324" customFormat="false" ht="15" hidden="false" customHeight="false" outlineLevel="0" collapsed="false">
      <c r="F1324" s="15"/>
      <c r="N1324" s="16" t="str">
        <f aca="false">IF($D1324="","",M1324*Y1324/100)</f>
        <v/>
      </c>
      <c r="V1324" s="16" t="str">
        <f aca="false">IF($D1324="","",Y1324*AB1324/100)</f>
        <v/>
      </c>
      <c r="W1324" s="16" t="str">
        <f aca="false">IF($D1324="","",Y1324-V1324)</f>
        <v/>
      </c>
      <c r="X1324" s="16" t="str">
        <f aca="false">IF($D1324="","",W1324-N1324)</f>
        <v/>
      </c>
      <c r="AB1324" s="17" t="str">
        <f aca="false">IF($D1324="","",IF(OR($R1324=TRUE(),$R1324="TRUE"),Settings!$C$6,Settings!$C$7)*100)</f>
        <v/>
      </c>
      <c r="AH1324" s="18" t="str">
        <f aca="false">IF($D1324="","",IF(COUNTIF($D$2:$D1324,$D1324)=1,1,0))</f>
        <v/>
      </c>
      <c r="AI1324" s="18" t="str">
        <f aca="false">IF($AH1324=1,SUMPRODUCT(--($AK$2:$AK$4001&lt;$AK1324))+1,"")</f>
        <v/>
      </c>
      <c r="AJ1324" s="18" t="str">
        <f aca="false">IF($D1324="","",IF(OR($R1324=TRUE(),$R1324="TRUE"),1,0))</f>
        <v/>
      </c>
      <c r="AK1324" s="18" t="str">
        <f aca="false">IF($AH1324=1,IFERROR(VALUE(MID($D1324,2,20)),1000000000)+ROW()/10000000,"")</f>
        <v/>
      </c>
    </row>
    <row r="1325" customFormat="false" ht="15" hidden="false" customHeight="false" outlineLevel="0" collapsed="false">
      <c r="F1325" s="15"/>
      <c r="N1325" s="16" t="str">
        <f aca="false">IF($D1325="","",M1325*Y1325/100)</f>
        <v/>
      </c>
      <c r="V1325" s="16" t="str">
        <f aca="false">IF($D1325="","",Y1325*AB1325/100)</f>
        <v/>
      </c>
      <c r="W1325" s="16" t="str">
        <f aca="false">IF($D1325="","",Y1325-V1325)</f>
        <v/>
      </c>
      <c r="X1325" s="16" t="str">
        <f aca="false">IF($D1325="","",W1325-N1325)</f>
        <v/>
      </c>
      <c r="AB1325" s="17" t="str">
        <f aca="false">IF($D1325="","",IF(OR($R1325=TRUE(),$R1325="TRUE"),Settings!$C$6,Settings!$C$7)*100)</f>
        <v/>
      </c>
      <c r="AH1325" s="18" t="str">
        <f aca="false">IF($D1325="","",IF(COUNTIF($D$2:$D1325,$D1325)=1,1,0))</f>
        <v/>
      </c>
      <c r="AI1325" s="18" t="str">
        <f aca="false">IF($AH1325=1,SUMPRODUCT(--($AK$2:$AK$4001&lt;$AK1325))+1,"")</f>
        <v/>
      </c>
      <c r="AJ1325" s="18" t="str">
        <f aca="false">IF($D1325="","",IF(OR($R1325=TRUE(),$R1325="TRUE"),1,0))</f>
        <v/>
      </c>
      <c r="AK1325" s="18" t="str">
        <f aca="false">IF($AH1325=1,IFERROR(VALUE(MID($D1325,2,20)),1000000000)+ROW()/10000000,"")</f>
        <v/>
      </c>
    </row>
    <row r="1326" customFormat="false" ht="15" hidden="false" customHeight="false" outlineLevel="0" collapsed="false">
      <c r="F1326" s="15"/>
      <c r="N1326" s="16" t="str">
        <f aca="false">IF($D1326="","",M1326*Y1326/100)</f>
        <v/>
      </c>
      <c r="V1326" s="16" t="str">
        <f aca="false">IF($D1326="","",Y1326*AB1326/100)</f>
        <v/>
      </c>
      <c r="W1326" s="16" t="str">
        <f aca="false">IF($D1326="","",Y1326-V1326)</f>
        <v/>
      </c>
      <c r="X1326" s="16" t="str">
        <f aca="false">IF($D1326="","",W1326-N1326)</f>
        <v/>
      </c>
      <c r="AB1326" s="17" t="str">
        <f aca="false">IF($D1326="","",IF(OR($R1326=TRUE(),$R1326="TRUE"),Settings!$C$6,Settings!$C$7)*100)</f>
        <v/>
      </c>
      <c r="AH1326" s="18" t="str">
        <f aca="false">IF($D1326="","",IF(COUNTIF($D$2:$D1326,$D1326)=1,1,0))</f>
        <v/>
      </c>
      <c r="AI1326" s="18" t="str">
        <f aca="false">IF($AH1326=1,SUMPRODUCT(--($AK$2:$AK$4001&lt;$AK1326))+1,"")</f>
        <v/>
      </c>
      <c r="AJ1326" s="18" t="str">
        <f aca="false">IF($D1326="","",IF(OR($R1326=TRUE(),$R1326="TRUE"),1,0))</f>
        <v/>
      </c>
      <c r="AK1326" s="18" t="str">
        <f aca="false">IF($AH1326=1,IFERROR(VALUE(MID($D1326,2,20)),1000000000)+ROW()/10000000,"")</f>
        <v/>
      </c>
    </row>
    <row r="1327" customFormat="false" ht="15" hidden="false" customHeight="false" outlineLevel="0" collapsed="false">
      <c r="F1327" s="15"/>
      <c r="N1327" s="16" t="str">
        <f aca="false">IF($D1327="","",M1327*Y1327/100)</f>
        <v/>
      </c>
      <c r="V1327" s="16" t="str">
        <f aca="false">IF($D1327="","",Y1327*AB1327/100)</f>
        <v/>
      </c>
      <c r="W1327" s="16" t="str">
        <f aca="false">IF($D1327="","",Y1327-V1327)</f>
        <v/>
      </c>
      <c r="X1327" s="16" t="str">
        <f aca="false">IF($D1327="","",W1327-N1327)</f>
        <v/>
      </c>
      <c r="AB1327" s="17" t="str">
        <f aca="false">IF($D1327="","",IF(OR($R1327=TRUE(),$R1327="TRUE"),Settings!$C$6,Settings!$C$7)*100)</f>
        <v/>
      </c>
      <c r="AH1327" s="18" t="str">
        <f aca="false">IF($D1327="","",IF(COUNTIF($D$2:$D1327,$D1327)=1,1,0))</f>
        <v/>
      </c>
      <c r="AI1327" s="18" t="str">
        <f aca="false">IF($AH1327=1,SUMPRODUCT(--($AK$2:$AK$4001&lt;$AK1327))+1,"")</f>
        <v/>
      </c>
      <c r="AJ1327" s="18" t="str">
        <f aca="false">IF($D1327="","",IF(OR($R1327=TRUE(),$R1327="TRUE"),1,0))</f>
        <v/>
      </c>
      <c r="AK1327" s="18" t="str">
        <f aca="false">IF($AH1327=1,IFERROR(VALUE(MID($D1327,2,20)),1000000000)+ROW()/10000000,"")</f>
        <v/>
      </c>
    </row>
    <row r="1328" customFormat="false" ht="15" hidden="false" customHeight="false" outlineLevel="0" collapsed="false">
      <c r="F1328" s="15"/>
      <c r="N1328" s="16" t="str">
        <f aca="false">IF($D1328="","",M1328*Y1328/100)</f>
        <v/>
      </c>
      <c r="V1328" s="16" t="str">
        <f aca="false">IF($D1328="","",Y1328*AB1328/100)</f>
        <v/>
      </c>
      <c r="W1328" s="16" t="str">
        <f aca="false">IF($D1328="","",Y1328-V1328)</f>
        <v/>
      </c>
      <c r="X1328" s="16" t="str">
        <f aca="false">IF($D1328="","",W1328-N1328)</f>
        <v/>
      </c>
      <c r="AB1328" s="17" t="str">
        <f aca="false">IF($D1328="","",IF(OR($R1328=TRUE(),$R1328="TRUE"),Settings!$C$6,Settings!$C$7)*100)</f>
        <v/>
      </c>
      <c r="AH1328" s="18" t="str">
        <f aca="false">IF($D1328="","",IF(COUNTIF($D$2:$D1328,$D1328)=1,1,0))</f>
        <v/>
      </c>
      <c r="AI1328" s="18" t="str">
        <f aca="false">IF($AH1328=1,SUMPRODUCT(--($AK$2:$AK$4001&lt;$AK1328))+1,"")</f>
        <v/>
      </c>
      <c r="AJ1328" s="18" t="str">
        <f aca="false">IF($D1328="","",IF(OR($R1328=TRUE(),$R1328="TRUE"),1,0))</f>
        <v/>
      </c>
      <c r="AK1328" s="18" t="str">
        <f aca="false">IF($AH1328=1,IFERROR(VALUE(MID($D1328,2,20)),1000000000)+ROW()/10000000,"")</f>
        <v/>
      </c>
    </row>
    <row r="1329" customFormat="false" ht="15" hidden="false" customHeight="false" outlineLevel="0" collapsed="false">
      <c r="F1329" s="15"/>
      <c r="N1329" s="16" t="str">
        <f aca="false">IF($D1329="","",M1329*Y1329/100)</f>
        <v/>
      </c>
      <c r="V1329" s="16" t="str">
        <f aca="false">IF($D1329="","",Y1329*AB1329/100)</f>
        <v/>
      </c>
      <c r="W1329" s="16" t="str">
        <f aca="false">IF($D1329="","",Y1329-V1329)</f>
        <v/>
      </c>
      <c r="X1329" s="16" t="str">
        <f aca="false">IF($D1329="","",W1329-N1329)</f>
        <v/>
      </c>
      <c r="AB1329" s="17" t="str">
        <f aca="false">IF($D1329="","",IF(OR($R1329=TRUE(),$R1329="TRUE"),Settings!$C$6,Settings!$C$7)*100)</f>
        <v/>
      </c>
      <c r="AH1329" s="18" t="str">
        <f aca="false">IF($D1329="","",IF(COUNTIF($D$2:$D1329,$D1329)=1,1,0))</f>
        <v/>
      </c>
      <c r="AI1329" s="18" t="str">
        <f aca="false">IF($AH1329=1,SUMPRODUCT(--($AK$2:$AK$4001&lt;$AK1329))+1,"")</f>
        <v/>
      </c>
      <c r="AJ1329" s="18" t="str">
        <f aca="false">IF($D1329="","",IF(OR($R1329=TRUE(),$R1329="TRUE"),1,0))</f>
        <v/>
      </c>
      <c r="AK1329" s="18" t="str">
        <f aca="false">IF($AH1329=1,IFERROR(VALUE(MID($D1329,2,20)),1000000000)+ROW()/10000000,"")</f>
        <v/>
      </c>
    </row>
    <row r="1330" customFormat="false" ht="15" hidden="false" customHeight="false" outlineLevel="0" collapsed="false">
      <c r="F1330" s="15"/>
      <c r="N1330" s="16" t="str">
        <f aca="false">IF($D1330="","",M1330*Y1330/100)</f>
        <v/>
      </c>
      <c r="V1330" s="16" t="str">
        <f aca="false">IF($D1330="","",Y1330*AB1330/100)</f>
        <v/>
      </c>
      <c r="W1330" s="16" t="str">
        <f aca="false">IF($D1330="","",Y1330-V1330)</f>
        <v/>
      </c>
      <c r="X1330" s="16" t="str">
        <f aca="false">IF($D1330="","",W1330-N1330)</f>
        <v/>
      </c>
      <c r="AB1330" s="17" t="str">
        <f aca="false">IF($D1330="","",IF(OR($R1330=TRUE(),$R1330="TRUE"),Settings!$C$6,Settings!$C$7)*100)</f>
        <v/>
      </c>
      <c r="AH1330" s="18" t="str">
        <f aca="false">IF($D1330="","",IF(COUNTIF($D$2:$D1330,$D1330)=1,1,0))</f>
        <v/>
      </c>
      <c r="AI1330" s="18" t="str">
        <f aca="false">IF($AH1330=1,SUMPRODUCT(--($AK$2:$AK$4001&lt;$AK1330))+1,"")</f>
        <v/>
      </c>
      <c r="AJ1330" s="18" t="str">
        <f aca="false">IF($D1330="","",IF(OR($R1330=TRUE(),$R1330="TRUE"),1,0))</f>
        <v/>
      </c>
      <c r="AK1330" s="18" t="str">
        <f aca="false">IF($AH1330=1,IFERROR(VALUE(MID($D1330,2,20)),1000000000)+ROW()/10000000,"")</f>
        <v/>
      </c>
    </row>
    <row r="1331" customFormat="false" ht="15" hidden="false" customHeight="false" outlineLevel="0" collapsed="false">
      <c r="F1331" s="15"/>
      <c r="N1331" s="16" t="str">
        <f aca="false">IF($D1331="","",M1331*Y1331/100)</f>
        <v/>
      </c>
      <c r="V1331" s="16" t="str">
        <f aca="false">IF($D1331="","",Y1331*AB1331/100)</f>
        <v/>
      </c>
      <c r="W1331" s="16" t="str">
        <f aca="false">IF($D1331="","",Y1331-V1331)</f>
        <v/>
      </c>
      <c r="X1331" s="16" t="str">
        <f aca="false">IF($D1331="","",W1331-N1331)</f>
        <v/>
      </c>
      <c r="AB1331" s="17" t="str">
        <f aca="false">IF($D1331="","",IF(OR($R1331=TRUE(),$R1331="TRUE"),Settings!$C$6,Settings!$C$7)*100)</f>
        <v/>
      </c>
      <c r="AH1331" s="18" t="str">
        <f aca="false">IF($D1331="","",IF(COUNTIF($D$2:$D1331,$D1331)=1,1,0))</f>
        <v/>
      </c>
      <c r="AI1331" s="18" t="str">
        <f aca="false">IF($AH1331=1,SUMPRODUCT(--($AK$2:$AK$4001&lt;$AK1331))+1,"")</f>
        <v/>
      </c>
      <c r="AJ1331" s="18" t="str">
        <f aca="false">IF($D1331="","",IF(OR($R1331=TRUE(),$R1331="TRUE"),1,0))</f>
        <v/>
      </c>
      <c r="AK1331" s="18" t="str">
        <f aca="false">IF($AH1331=1,IFERROR(VALUE(MID($D1331,2,20)),1000000000)+ROW()/10000000,"")</f>
        <v/>
      </c>
    </row>
    <row r="1332" customFormat="false" ht="15" hidden="false" customHeight="false" outlineLevel="0" collapsed="false">
      <c r="F1332" s="15"/>
      <c r="N1332" s="16" t="str">
        <f aca="false">IF($D1332="","",M1332*Y1332/100)</f>
        <v/>
      </c>
      <c r="V1332" s="16" t="str">
        <f aca="false">IF($D1332="","",Y1332*AB1332/100)</f>
        <v/>
      </c>
      <c r="W1332" s="16" t="str">
        <f aca="false">IF($D1332="","",Y1332-V1332)</f>
        <v/>
      </c>
      <c r="X1332" s="16" t="str">
        <f aca="false">IF($D1332="","",W1332-N1332)</f>
        <v/>
      </c>
      <c r="AB1332" s="17" t="str">
        <f aca="false">IF($D1332="","",IF(OR($R1332=TRUE(),$R1332="TRUE"),Settings!$C$6,Settings!$C$7)*100)</f>
        <v/>
      </c>
      <c r="AH1332" s="18" t="str">
        <f aca="false">IF($D1332="","",IF(COUNTIF($D$2:$D1332,$D1332)=1,1,0))</f>
        <v/>
      </c>
      <c r="AI1332" s="18" t="str">
        <f aca="false">IF($AH1332=1,SUMPRODUCT(--($AK$2:$AK$4001&lt;$AK1332))+1,"")</f>
        <v/>
      </c>
      <c r="AJ1332" s="18" t="str">
        <f aca="false">IF($D1332="","",IF(OR($R1332=TRUE(),$R1332="TRUE"),1,0))</f>
        <v/>
      </c>
      <c r="AK1332" s="18" t="str">
        <f aca="false">IF($AH1332=1,IFERROR(VALUE(MID($D1332,2,20)),1000000000)+ROW()/10000000,"")</f>
        <v/>
      </c>
    </row>
    <row r="1333" customFormat="false" ht="15" hidden="false" customHeight="false" outlineLevel="0" collapsed="false">
      <c r="F1333" s="15"/>
      <c r="N1333" s="16" t="str">
        <f aca="false">IF($D1333="","",M1333*Y1333/100)</f>
        <v/>
      </c>
      <c r="V1333" s="16" t="str">
        <f aca="false">IF($D1333="","",Y1333*AB1333/100)</f>
        <v/>
      </c>
      <c r="W1333" s="16" t="str">
        <f aca="false">IF($D1333="","",Y1333-V1333)</f>
        <v/>
      </c>
      <c r="X1333" s="16" t="str">
        <f aca="false">IF($D1333="","",W1333-N1333)</f>
        <v/>
      </c>
      <c r="AB1333" s="17" t="str">
        <f aca="false">IF($D1333="","",IF(OR($R1333=TRUE(),$R1333="TRUE"),Settings!$C$6,Settings!$C$7)*100)</f>
        <v/>
      </c>
      <c r="AH1333" s="18" t="str">
        <f aca="false">IF($D1333="","",IF(COUNTIF($D$2:$D1333,$D1333)=1,1,0))</f>
        <v/>
      </c>
      <c r="AI1333" s="18" t="str">
        <f aca="false">IF($AH1333=1,SUMPRODUCT(--($AK$2:$AK$4001&lt;$AK1333))+1,"")</f>
        <v/>
      </c>
      <c r="AJ1333" s="18" t="str">
        <f aca="false">IF($D1333="","",IF(OR($R1333=TRUE(),$R1333="TRUE"),1,0))</f>
        <v/>
      </c>
      <c r="AK1333" s="18" t="str">
        <f aca="false">IF($AH1333=1,IFERROR(VALUE(MID($D1333,2,20)),1000000000)+ROW()/10000000,"")</f>
        <v/>
      </c>
    </row>
    <row r="1334" customFormat="false" ht="15" hidden="false" customHeight="false" outlineLevel="0" collapsed="false">
      <c r="F1334" s="15"/>
      <c r="N1334" s="16" t="str">
        <f aca="false">IF($D1334="","",M1334*Y1334/100)</f>
        <v/>
      </c>
      <c r="V1334" s="16" t="str">
        <f aca="false">IF($D1334="","",Y1334*AB1334/100)</f>
        <v/>
      </c>
      <c r="W1334" s="16" t="str">
        <f aca="false">IF($D1334="","",Y1334-V1334)</f>
        <v/>
      </c>
      <c r="X1334" s="16" t="str">
        <f aca="false">IF($D1334="","",W1334-N1334)</f>
        <v/>
      </c>
      <c r="AB1334" s="17" t="str">
        <f aca="false">IF($D1334="","",IF(OR($R1334=TRUE(),$R1334="TRUE"),Settings!$C$6,Settings!$C$7)*100)</f>
        <v/>
      </c>
      <c r="AH1334" s="18" t="str">
        <f aca="false">IF($D1334="","",IF(COUNTIF($D$2:$D1334,$D1334)=1,1,0))</f>
        <v/>
      </c>
      <c r="AI1334" s="18" t="str">
        <f aca="false">IF($AH1334=1,SUMPRODUCT(--($AK$2:$AK$4001&lt;$AK1334))+1,"")</f>
        <v/>
      </c>
      <c r="AJ1334" s="18" t="str">
        <f aca="false">IF($D1334="","",IF(OR($R1334=TRUE(),$R1334="TRUE"),1,0))</f>
        <v/>
      </c>
      <c r="AK1334" s="18" t="str">
        <f aca="false">IF($AH1334=1,IFERROR(VALUE(MID($D1334,2,20)),1000000000)+ROW()/10000000,"")</f>
        <v/>
      </c>
    </row>
    <row r="1335" customFormat="false" ht="15" hidden="false" customHeight="false" outlineLevel="0" collapsed="false">
      <c r="F1335" s="15"/>
      <c r="N1335" s="16" t="str">
        <f aca="false">IF($D1335="","",M1335*Y1335/100)</f>
        <v/>
      </c>
      <c r="V1335" s="16" t="str">
        <f aca="false">IF($D1335="","",Y1335*AB1335/100)</f>
        <v/>
      </c>
      <c r="W1335" s="16" t="str">
        <f aca="false">IF($D1335="","",Y1335-V1335)</f>
        <v/>
      </c>
      <c r="X1335" s="16" t="str">
        <f aca="false">IF($D1335="","",W1335-N1335)</f>
        <v/>
      </c>
      <c r="AB1335" s="17" t="str">
        <f aca="false">IF($D1335="","",IF(OR($R1335=TRUE(),$R1335="TRUE"),Settings!$C$6,Settings!$C$7)*100)</f>
        <v/>
      </c>
      <c r="AH1335" s="18" t="str">
        <f aca="false">IF($D1335="","",IF(COUNTIF($D$2:$D1335,$D1335)=1,1,0))</f>
        <v/>
      </c>
      <c r="AI1335" s="18" t="str">
        <f aca="false">IF($AH1335=1,SUMPRODUCT(--($AK$2:$AK$4001&lt;$AK1335))+1,"")</f>
        <v/>
      </c>
      <c r="AJ1335" s="18" t="str">
        <f aca="false">IF($D1335="","",IF(OR($R1335=TRUE(),$R1335="TRUE"),1,0))</f>
        <v/>
      </c>
      <c r="AK1335" s="18" t="str">
        <f aca="false">IF($AH1335=1,IFERROR(VALUE(MID($D1335,2,20)),1000000000)+ROW()/10000000,"")</f>
        <v/>
      </c>
    </row>
    <row r="1336" customFormat="false" ht="15" hidden="false" customHeight="false" outlineLevel="0" collapsed="false">
      <c r="F1336" s="15"/>
      <c r="N1336" s="16" t="str">
        <f aca="false">IF($D1336="","",M1336*Y1336/100)</f>
        <v/>
      </c>
      <c r="V1336" s="16" t="str">
        <f aca="false">IF($D1336="","",Y1336*AB1336/100)</f>
        <v/>
      </c>
      <c r="W1336" s="16" t="str">
        <f aca="false">IF($D1336="","",Y1336-V1336)</f>
        <v/>
      </c>
      <c r="X1336" s="16" t="str">
        <f aca="false">IF($D1336="","",W1336-N1336)</f>
        <v/>
      </c>
      <c r="AB1336" s="17" t="str">
        <f aca="false">IF($D1336="","",IF(OR($R1336=TRUE(),$R1336="TRUE"),Settings!$C$6,Settings!$C$7)*100)</f>
        <v/>
      </c>
      <c r="AH1336" s="18" t="str">
        <f aca="false">IF($D1336="","",IF(COUNTIF($D$2:$D1336,$D1336)=1,1,0))</f>
        <v/>
      </c>
      <c r="AI1336" s="18" t="str">
        <f aca="false">IF($AH1336=1,SUMPRODUCT(--($AK$2:$AK$4001&lt;$AK1336))+1,"")</f>
        <v/>
      </c>
      <c r="AJ1336" s="18" t="str">
        <f aca="false">IF($D1336="","",IF(OR($R1336=TRUE(),$R1336="TRUE"),1,0))</f>
        <v/>
      </c>
      <c r="AK1336" s="18" t="str">
        <f aca="false">IF($AH1336=1,IFERROR(VALUE(MID($D1336,2,20)),1000000000)+ROW()/10000000,"")</f>
        <v/>
      </c>
    </row>
    <row r="1337" customFormat="false" ht="15" hidden="false" customHeight="false" outlineLevel="0" collapsed="false">
      <c r="F1337" s="15"/>
      <c r="N1337" s="16" t="str">
        <f aca="false">IF($D1337="","",M1337*Y1337/100)</f>
        <v/>
      </c>
      <c r="V1337" s="16" t="str">
        <f aca="false">IF($D1337="","",Y1337*AB1337/100)</f>
        <v/>
      </c>
      <c r="W1337" s="16" t="str">
        <f aca="false">IF($D1337="","",Y1337-V1337)</f>
        <v/>
      </c>
      <c r="X1337" s="16" t="str">
        <f aca="false">IF($D1337="","",W1337-N1337)</f>
        <v/>
      </c>
      <c r="AB1337" s="17" t="str">
        <f aca="false">IF($D1337="","",IF(OR($R1337=TRUE(),$R1337="TRUE"),Settings!$C$6,Settings!$C$7)*100)</f>
        <v/>
      </c>
      <c r="AH1337" s="18" t="str">
        <f aca="false">IF($D1337="","",IF(COUNTIF($D$2:$D1337,$D1337)=1,1,0))</f>
        <v/>
      </c>
      <c r="AI1337" s="18" t="str">
        <f aca="false">IF($AH1337=1,SUMPRODUCT(--($AK$2:$AK$4001&lt;$AK1337))+1,"")</f>
        <v/>
      </c>
      <c r="AJ1337" s="18" t="str">
        <f aca="false">IF($D1337="","",IF(OR($R1337=TRUE(),$R1337="TRUE"),1,0))</f>
        <v/>
      </c>
      <c r="AK1337" s="18" t="str">
        <f aca="false">IF($AH1337=1,IFERROR(VALUE(MID($D1337,2,20)),1000000000)+ROW()/10000000,"")</f>
        <v/>
      </c>
    </row>
    <row r="1338" customFormat="false" ht="15" hidden="false" customHeight="false" outlineLevel="0" collapsed="false">
      <c r="F1338" s="15"/>
      <c r="N1338" s="16" t="str">
        <f aca="false">IF($D1338="","",M1338*Y1338/100)</f>
        <v/>
      </c>
      <c r="V1338" s="16" t="str">
        <f aca="false">IF($D1338="","",Y1338*AB1338/100)</f>
        <v/>
      </c>
      <c r="W1338" s="16" t="str">
        <f aca="false">IF($D1338="","",Y1338-V1338)</f>
        <v/>
      </c>
      <c r="X1338" s="16" t="str">
        <f aca="false">IF($D1338="","",W1338-N1338)</f>
        <v/>
      </c>
      <c r="AB1338" s="17" t="str">
        <f aca="false">IF($D1338="","",IF(OR($R1338=TRUE(),$R1338="TRUE"),Settings!$C$6,Settings!$C$7)*100)</f>
        <v/>
      </c>
      <c r="AH1338" s="18" t="str">
        <f aca="false">IF($D1338="","",IF(COUNTIF($D$2:$D1338,$D1338)=1,1,0))</f>
        <v/>
      </c>
      <c r="AI1338" s="18" t="str">
        <f aca="false">IF($AH1338=1,SUMPRODUCT(--($AK$2:$AK$4001&lt;$AK1338))+1,"")</f>
        <v/>
      </c>
      <c r="AJ1338" s="18" t="str">
        <f aca="false">IF($D1338="","",IF(OR($R1338=TRUE(),$R1338="TRUE"),1,0))</f>
        <v/>
      </c>
      <c r="AK1338" s="18" t="str">
        <f aca="false">IF($AH1338=1,IFERROR(VALUE(MID($D1338,2,20)),1000000000)+ROW()/10000000,"")</f>
        <v/>
      </c>
    </row>
    <row r="1339" customFormat="false" ht="15" hidden="false" customHeight="false" outlineLevel="0" collapsed="false">
      <c r="F1339" s="15"/>
      <c r="N1339" s="16" t="str">
        <f aca="false">IF($D1339="","",M1339*Y1339/100)</f>
        <v/>
      </c>
      <c r="V1339" s="16" t="str">
        <f aca="false">IF($D1339="","",Y1339*AB1339/100)</f>
        <v/>
      </c>
      <c r="W1339" s="16" t="str">
        <f aca="false">IF($D1339="","",Y1339-V1339)</f>
        <v/>
      </c>
      <c r="X1339" s="16" t="str">
        <f aca="false">IF($D1339="","",W1339-N1339)</f>
        <v/>
      </c>
      <c r="AB1339" s="17" t="str">
        <f aca="false">IF($D1339="","",IF(OR($R1339=TRUE(),$R1339="TRUE"),Settings!$C$6,Settings!$C$7)*100)</f>
        <v/>
      </c>
      <c r="AH1339" s="18" t="str">
        <f aca="false">IF($D1339="","",IF(COUNTIF($D$2:$D1339,$D1339)=1,1,0))</f>
        <v/>
      </c>
      <c r="AI1339" s="18" t="str">
        <f aca="false">IF($AH1339=1,SUMPRODUCT(--($AK$2:$AK$4001&lt;$AK1339))+1,"")</f>
        <v/>
      </c>
      <c r="AJ1339" s="18" t="str">
        <f aca="false">IF($D1339="","",IF(OR($R1339=TRUE(),$R1339="TRUE"),1,0))</f>
        <v/>
      </c>
      <c r="AK1339" s="18" t="str">
        <f aca="false">IF($AH1339=1,IFERROR(VALUE(MID($D1339,2,20)),1000000000)+ROW()/10000000,"")</f>
        <v/>
      </c>
    </row>
    <row r="1340" customFormat="false" ht="15" hidden="false" customHeight="false" outlineLevel="0" collapsed="false">
      <c r="F1340" s="15"/>
      <c r="N1340" s="16" t="str">
        <f aca="false">IF($D1340="","",M1340*Y1340/100)</f>
        <v/>
      </c>
      <c r="V1340" s="16" t="str">
        <f aca="false">IF($D1340="","",Y1340*AB1340/100)</f>
        <v/>
      </c>
      <c r="W1340" s="16" t="str">
        <f aca="false">IF($D1340="","",Y1340-V1340)</f>
        <v/>
      </c>
      <c r="X1340" s="16" t="str">
        <f aca="false">IF($D1340="","",W1340-N1340)</f>
        <v/>
      </c>
      <c r="AB1340" s="17" t="str">
        <f aca="false">IF($D1340="","",IF(OR($R1340=TRUE(),$R1340="TRUE"),Settings!$C$6,Settings!$C$7)*100)</f>
        <v/>
      </c>
      <c r="AH1340" s="18" t="str">
        <f aca="false">IF($D1340="","",IF(COUNTIF($D$2:$D1340,$D1340)=1,1,0))</f>
        <v/>
      </c>
      <c r="AI1340" s="18" t="str">
        <f aca="false">IF($AH1340=1,SUMPRODUCT(--($AK$2:$AK$4001&lt;$AK1340))+1,"")</f>
        <v/>
      </c>
      <c r="AJ1340" s="18" t="str">
        <f aca="false">IF($D1340="","",IF(OR($R1340=TRUE(),$R1340="TRUE"),1,0))</f>
        <v/>
      </c>
      <c r="AK1340" s="18" t="str">
        <f aca="false">IF($AH1340=1,IFERROR(VALUE(MID($D1340,2,20)),1000000000)+ROW()/10000000,"")</f>
        <v/>
      </c>
    </row>
    <row r="1341" customFormat="false" ht="15" hidden="false" customHeight="false" outlineLevel="0" collapsed="false">
      <c r="F1341" s="15"/>
      <c r="N1341" s="16" t="str">
        <f aca="false">IF($D1341="","",M1341*Y1341/100)</f>
        <v/>
      </c>
      <c r="V1341" s="16" t="str">
        <f aca="false">IF($D1341="","",Y1341*AB1341/100)</f>
        <v/>
      </c>
      <c r="W1341" s="16" t="str">
        <f aca="false">IF($D1341="","",Y1341-V1341)</f>
        <v/>
      </c>
      <c r="X1341" s="16" t="str">
        <f aca="false">IF($D1341="","",W1341-N1341)</f>
        <v/>
      </c>
      <c r="AB1341" s="17" t="str">
        <f aca="false">IF($D1341="","",IF(OR($R1341=TRUE(),$R1341="TRUE"),Settings!$C$6,Settings!$C$7)*100)</f>
        <v/>
      </c>
      <c r="AH1341" s="18" t="str">
        <f aca="false">IF($D1341="","",IF(COUNTIF($D$2:$D1341,$D1341)=1,1,0))</f>
        <v/>
      </c>
      <c r="AI1341" s="18" t="str">
        <f aca="false">IF($AH1341=1,SUMPRODUCT(--($AK$2:$AK$4001&lt;$AK1341))+1,"")</f>
        <v/>
      </c>
      <c r="AJ1341" s="18" t="str">
        <f aca="false">IF($D1341="","",IF(OR($R1341=TRUE(),$R1341="TRUE"),1,0))</f>
        <v/>
      </c>
      <c r="AK1341" s="18" t="str">
        <f aca="false">IF($AH1341=1,IFERROR(VALUE(MID($D1341,2,20)),1000000000)+ROW()/10000000,"")</f>
        <v/>
      </c>
    </row>
    <row r="1342" customFormat="false" ht="15" hidden="false" customHeight="false" outlineLevel="0" collapsed="false">
      <c r="F1342" s="15"/>
      <c r="N1342" s="16" t="str">
        <f aca="false">IF($D1342="","",M1342*Y1342/100)</f>
        <v/>
      </c>
      <c r="V1342" s="16" t="str">
        <f aca="false">IF($D1342="","",Y1342*AB1342/100)</f>
        <v/>
      </c>
      <c r="W1342" s="16" t="str">
        <f aca="false">IF($D1342="","",Y1342-V1342)</f>
        <v/>
      </c>
      <c r="X1342" s="16" t="str">
        <f aca="false">IF($D1342="","",W1342-N1342)</f>
        <v/>
      </c>
      <c r="AB1342" s="17" t="str">
        <f aca="false">IF($D1342="","",IF(OR($R1342=TRUE(),$R1342="TRUE"),Settings!$C$6,Settings!$C$7)*100)</f>
        <v/>
      </c>
      <c r="AH1342" s="18" t="str">
        <f aca="false">IF($D1342="","",IF(COUNTIF($D$2:$D1342,$D1342)=1,1,0))</f>
        <v/>
      </c>
      <c r="AI1342" s="18" t="str">
        <f aca="false">IF($AH1342=1,SUMPRODUCT(--($AK$2:$AK$4001&lt;$AK1342))+1,"")</f>
        <v/>
      </c>
      <c r="AJ1342" s="18" t="str">
        <f aca="false">IF($D1342="","",IF(OR($R1342=TRUE(),$R1342="TRUE"),1,0))</f>
        <v/>
      </c>
      <c r="AK1342" s="18" t="str">
        <f aca="false">IF($AH1342=1,IFERROR(VALUE(MID($D1342,2,20)),1000000000)+ROW()/10000000,"")</f>
        <v/>
      </c>
    </row>
    <row r="1343" customFormat="false" ht="15" hidden="false" customHeight="false" outlineLevel="0" collapsed="false">
      <c r="F1343" s="15"/>
      <c r="N1343" s="16" t="str">
        <f aca="false">IF($D1343="","",M1343*Y1343/100)</f>
        <v/>
      </c>
      <c r="V1343" s="16" t="str">
        <f aca="false">IF($D1343="","",Y1343*AB1343/100)</f>
        <v/>
      </c>
      <c r="W1343" s="16" t="str">
        <f aca="false">IF($D1343="","",Y1343-V1343)</f>
        <v/>
      </c>
      <c r="X1343" s="16" t="str">
        <f aca="false">IF($D1343="","",W1343-N1343)</f>
        <v/>
      </c>
      <c r="AB1343" s="17" t="str">
        <f aca="false">IF($D1343="","",IF(OR($R1343=TRUE(),$R1343="TRUE"),Settings!$C$6,Settings!$C$7)*100)</f>
        <v/>
      </c>
      <c r="AH1343" s="18" t="str">
        <f aca="false">IF($D1343="","",IF(COUNTIF($D$2:$D1343,$D1343)=1,1,0))</f>
        <v/>
      </c>
      <c r="AI1343" s="18" t="str">
        <f aca="false">IF($AH1343=1,SUMPRODUCT(--($AK$2:$AK$4001&lt;$AK1343))+1,"")</f>
        <v/>
      </c>
      <c r="AJ1343" s="18" t="str">
        <f aca="false">IF($D1343="","",IF(OR($R1343=TRUE(),$R1343="TRUE"),1,0))</f>
        <v/>
      </c>
      <c r="AK1343" s="18" t="str">
        <f aca="false">IF($AH1343=1,IFERROR(VALUE(MID($D1343,2,20)),1000000000)+ROW()/10000000,"")</f>
        <v/>
      </c>
    </row>
    <row r="1344" customFormat="false" ht="15" hidden="false" customHeight="false" outlineLevel="0" collapsed="false">
      <c r="F1344" s="15"/>
      <c r="N1344" s="16" t="str">
        <f aca="false">IF($D1344="","",M1344*Y1344/100)</f>
        <v/>
      </c>
      <c r="V1344" s="16" t="str">
        <f aca="false">IF($D1344="","",Y1344*AB1344/100)</f>
        <v/>
      </c>
      <c r="W1344" s="16" t="str">
        <f aca="false">IF($D1344="","",Y1344-V1344)</f>
        <v/>
      </c>
      <c r="X1344" s="16" t="str">
        <f aca="false">IF($D1344="","",W1344-N1344)</f>
        <v/>
      </c>
      <c r="AB1344" s="17" t="str">
        <f aca="false">IF($D1344="","",IF(OR($R1344=TRUE(),$R1344="TRUE"),Settings!$C$6,Settings!$C$7)*100)</f>
        <v/>
      </c>
      <c r="AH1344" s="18" t="str">
        <f aca="false">IF($D1344="","",IF(COUNTIF($D$2:$D1344,$D1344)=1,1,0))</f>
        <v/>
      </c>
      <c r="AI1344" s="18" t="str">
        <f aca="false">IF($AH1344=1,SUMPRODUCT(--($AK$2:$AK$4001&lt;$AK1344))+1,"")</f>
        <v/>
      </c>
      <c r="AJ1344" s="18" t="str">
        <f aca="false">IF($D1344="","",IF(OR($R1344=TRUE(),$R1344="TRUE"),1,0))</f>
        <v/>
      </c>
      <c r="AK1344" s="18" t="str">
        <f aca="false">IF($AH1344=1,IFERROR(VALUE(MID($D1344,2,20)),1000000000)+ROW()/10000000,"")</f>
        <v/>
      </c>
    </row>
    <row r="1345" customFormat="false" ht="15" hidden="false" customHeight="false" outlineLevel="0" collapsed="false">
      <c r="F1345" s="15"/>
      <c r="N1345" s="16" t="str">
        <f aca="false">IF($D1345="","",M1345*Y1345/100)</f>
        <v/>
      </c>
      <c r="V1345" s="16" t="str">
        <f aca="false">IF($D1345="","",Y1345*AB1345/100)</f>
        <v/>
      </c>
      <c r="W1345" s="16" t="str">
        <f aca="false">IF($D1345="","",Y1345-V1345)</f>
        <v/>
      </c>
      <c r="X1345" s="16" t="str">
        <f aca="false">IF($D1345="","",W1345-N1345)</f>
        <v/>
      </c>
      <c r="AB1345" s="17" t="str">
        <f aca="false">IF($D1345="","",IF(OR($R1345=TRUE(),$R1345="TRUE"),Settings!$C$6,Settings!$C$7)*100)</f>
        <v/>
      </c>
      <c r="AH1345" s="18" t="str">
        <f aca="false">IF($D1345="","",IF(COUNTIF($D$2:$D1345,$D1345)=1,1,0))</f>
        <v/>
      </c>
      <c r="AI1345" s="18" t="str">
        <f aca="false">IF($AH1345=1,SUMPRODUCT(--($AK$2:$AK$4001&lt;$AK1345))+1,"")</f>
        <v/>
      </c>
      <c r="AJ1345" s="18" t="str">
        <f aca="false">IF($D1345="","",IF(OR($R1345=TRUE(),$R1345="TRUE"),1,0))</f>
        <v/>
      </c>
      <c r="AK1345" s="18" t="str">
        <f aca="false">IF($AH1345=1,IFERROR(VALUE(MID($D1345,2,20)),1000000000)+ROW()/10000000,"")</f>
        <v/>
      </c>
    </row>
    <row r="1346" customFormat="false" ht="15" hidden="false" customHeight="false" outlineLevel="0" collapsed="false">
      <c r="F1346" s="15"/>
      <c r="N1346" s="16" t="str">
        <f aca="false">IF($D1346="","",M1346*Y1346/100)</f>
        <v/>
      </c>
      <c r="V1346" s="16" t="str">
        <f aca="false">IF($D1346="","",Y1346*AB1346/100)</f>
        <v/>
      </c>
      <c r="W1346" s="16" t="str">
        <f aca="false">IF($D1346="","",Y1346-V1346)</f>
        <v/>
      </c>
      <c r="X1346" s="16" t="str">
        <f aca="false">IF($D1346="","",W1346-N1346)</f>
        <v/>
      </c>
      <c r="AB1346" s="17" t="str">
        <f aca="false">IF($D1346="","",IF(OR($R1346=TRUE(),$R1346="TRUE"),Settings!$C$6,Settings!$C$7)*100)</f>
        <v/>
      </c>
      <c r="AH1346" s="18" t="str">
        <f aca="false">IF($D1346="","",IF(COUNTIF($D$2:$D1346,$D1346)=1,1,0))</f>
        <v/>
      </c>
      <c r="AI1346" s="18" t="str">
        <f aca="false">IF($AH1346=1,SUMPRODUCT(--($AK$2:$AK$4001&lt;$AK1346))+1,"")</f>
        <v/>
      </c>
      <c r="AJ1346" s="18" t="str">
        <f aca="false">IF($D1346="","",IF(OR($R1346=TRUE(),$R1346="TRUE"),1,0))</f>
        <v/>
      </c>
      <c r="AK1346" s="18" t="str">
        <f aca="false">IF($AH1346=1,IFERROR(VALUE(MID($D1346,2,20)),1000000000)+ROW()/10000000,"")</f>
        <v/>
      </c>
    </row>
    <row r="1347" customFormat="false" ht="15" hidden="false" customHeight="false" outlineLevel="0" collapsed="false">
      <c r="F1347" s="15"/>
      <c r="N1347" s="16" t="str">
        <f aca="false">IF($D1347="","",M1347*Y1347/100)</f>
        <v/>
      </c>
      <c r="V1347" s="16" t="str">
        <f aca="false">IF($D1347="","",Y1347*AB1347/100)</f>
        <v/>
      </c>
      <c r="W1347" s="16" t="str">
        <f aca="false">IF($D1347="","",Y1347-V1347)</f>
        <v/>
      </c>
      <c r="X1347" s="16" t="str">
        <f aca="false">IF($D1347="","",W1347-N1347)</f>
        <v/>
      </c>
      <c r="AB1347" s="17" t="str">
        <f aca="false">IF($D1347="","",IF(OR($R1347=TRUE(),$R1347="TRUE"),Settings!$C$6,Settings!$C$7)*100)</f>
        <v/>
      </c>
      <c r="AH1347" s="18" t="str">
        <f aca="false">IF($D1347="","",IF(COUNTIF($D$2:$D1347,$D1347)=1,1,0))</f>
        <v/>
      </c>
      <c r="AI1347" s="18" t="str">
        <f aca="false">IF($AH1347=1,SUMPRODUCT(--($AK$2:$AK$4001&lt;$AK1347))+1,"")</f>
        <v/>
      </c>
      <c r="AJ1347" s="18" t="str">
        <f aca="false">IF($D1347="","",IF(OR($R1347=TRUE(),$R1347="TRUE"),1,0))</f>
        <v/>
      </c>
      <c r="AK1347" s="18" t="str">
        <f aca="false">IF($AH1347=1,IFERROR(VALUE(MID($D1347,2,20)),1000000000)+ROW()/10000000,"")</f>
        <v/>
      </c>
    </row>
    <row r="1348" customFormat="false" ht="15" hidden="false" customHeight="false" outlineLevel="0" collapsed="false">
      <c r="F1348" s="15"/>
      <c r="N1348" s="16" t="str">
        <f aca="false">IF($D1348="","",M1348*Y1348/100)</f>
        <v/>
      </c>
      <c r="V1348" s="16" t="str">
        <f aca="false">IF($D1348="","",Y1348*AB1348/100)</f>
        <v/>
      </c>
      <c r="W1348" s="16" t="str">
        <f aca="false">IF($D1348="","",Y1348-V1348)</f>
        <v/>
      </c>
      <c r="X1348" s="16" t="str">
        <f aca="false">IF($D1348="","",W1348-N1348)</f>
        <v/>
      </c>
      <c r="AB1348" s="17" t="str">
        <f aca="false">IF($D1348="","",IF(OR($R1348=TRUE(),$R1348="TRUE"),Settings!$C$6,Settings!$C$7)*100)</f>
        <v/>
      </c>
      <c r="AH1348" s="18" t="str">
        <f aca="false">IF($D1348="","",IF(COUNTIF($D$2:$D1348,$D1348)=1,1,0))</f>
        <v/>
      </c>
      <c r="AI1348" s="18" t="str">
        <f aca="false">IF($AH1348=1,SUMPRODUCT(--($AK$2:$AK$4001&lt;$AK1348))+1,"")</f>
        <v/>
      </c>
      <c r="AJ1348" s="18" t="str">
        <f aca="false">IF($D1348="","",IF(OR($R1348=TRUE(),$R1348="TRUE"),1,0))</f>
        <v/>
      </c>
      <c r="AK1348" s="18" t="str">
        <f aca="false">IF($AH1348=1,IFERROR(VALUE(MID($D1348,2,20)),1000000000)+ROW()/10000000,"")</f>
        <v/>
      </c>
    </row>
    <row r="1349" customFormat="false" ht="15" hidden="false" customHeight="false" outlineLevel="0" collapsed="false">
      <c r="F1349" s="15"/>
      <c r="N1349" s="16" t="str">
        <f aca="false">IF($D1349="","",M1349*Y1349/100)</f>
        <v/>
      </c>
      <c r="V1349" s="16" t="str">
        <f aca="false">IF($D1349="","",Y1349*AB1349/100)</f>
        <v/>
      </c>
      <c r="W1349" s="16" t="str">
        <f aca="false">IF($D1349="","",Y1349-V1349)</f>
        <v/>
      </c>
      <c r="X1349" s="16" t="str">
        <f aca="false">IF($D1349="","",W1349-N1349)</f>
        <v/>
      </c>
      <c r="AB1349" s="17" t="str">
        <f aca="false">IF($D1349="","",IF(OR($R1349=TRUE(),$R1349="TRUE"),Settings!$C$6,Settings!$C$7)*100)</f>
        <v/>
      </c>
      <c r="AH1349" s="18" t="str">
        <f aca="false">IF($D1349="","",IF(COUNTIF($D$2:$D1349,$D1349)=1,1,0))</f>
        <v/>
      </c>
      <c r="AI1349" s="18" t="str">
        <f aca="false">IF($AH1349=1,SUMPRODUCT(--($AK$2:$AK$4001&lt;$AK1349))+1,"")</f>
        <v/>
      </c>
      <c r="AJ1349" s="18" t="str">
        <f aca="false">IF($D1349="","",IF(OR($R1349=TRUE(),$R1349="TRUE"),1,0))</f>
        <v/>
      </c>
      <c r="AK1349" s="18" t="str">
        <f aca="false">IF($AH1349=1,IFERROR(VALUE(MID($D1349,2,20)),1000000000)+ROW()/10000000,"")</f>
        <v/>
      </c>
    </row>
    <row r="1350" customFormat="false" ht="15" hidden="false" customHeight="false" outlineLevel="0" collapsed="false">
      <c r="F1350" s="15"/>
      <c r="N1350" s="16" t="str">
        <f aca="false">IF($D1350="","",M1350*Y1350/100)</f>
        <v/>
      </c>
      <c r="V1350" s="16" t="str">
        <f aca="false">IF($D1350="","",Y1350*AB1350/100)</f>
        <v/>
      </c>
      <c r="W1350" s="16" t="str">
        <f aca="false">IF($D1350="","",Y1350-V1350)</f>
        <v/>
      </c>
      <c r="X1350" s="16" t="str">
        <f aca="false">IF($D1350="","",W1350-N1350)</f>
        <v/>
      </c>
      <c r="AB1350" s="17" t="str">
        <f aca="false">IF($D1350="","",IF(OR($R1350=TRUE(),$R1350="TRUE"),Settings!$C$6,Settings!$C$7)*100)</f>
        <v/>
      </c>
      <c r="AH1350" s="18" t="str">
        <f aca="false">IF($D1350="","",IF(COUNTIF($D$2:$D1350,$D1350)=1,1,0))</f>
        <v/>
      </c>
      <c r="AI1350" s="18" t="str">
        <f aca="false">IF($AH1350=1,SUMPRODUCT(--($AK$2:$AK$4001&lt;$AK1350))+1,"")</f>
        <v/>
      </c>
      <c r="AJ1350" s="18" t="str">
        <f aca="false">IF($D1350="","",IF(OR($R1350=TRUE(),$R1350="TRUE"),1,0))</f>
        <v/>
      </c>
      <c r="AK1350" s="18" t="str">
        <f aca="false">IF($AH1350=1,IFERROR(VALUE(MID($D1350,2,20)),1000000000)+ROW()/10000000,"")</f>
        <v/>
      </c>
    </row>
    <row r="1351" customFormat="false" ht="15" hidden="false" customHeight="false" outlineLevel="0" collapsed="false">
      <c r="F1351" s="15"/>
      <c r="N1351" s="16" t="str">
        <f aca="false">IF($D1351="","",M1351*Y1351/100)</f>
        <v/>
      </c>
      <c r="V1351" s="16" t="str">
        <f aca="false">IF($D1351="","",Y1351*AB1351/100)</f>
        <v/>
      </c>
      <c r="W1351" s="16" t="str">
        <f aca="false">IF($D1351="","",Y1351-V1351)</f>
        <v/>
      </c>
      <c r="X1351" s="16" t="str">
        <f aca="false">IF($D1351="","",W1351-N1351)</f>
        <v/>
      </c>
      <c r="AB1351" s="17" t="str">
        <f aca="false">IF($D1351="","",IF(OR($R1351=TRUE(),$R1351="TRUE"),Settings!$C$6,Settings!$C$7)*100)</f>
        <v/>
      </c>
      <c r="AH1351" s="18" t="str">
        <f aca="false">IF($D1351="","",IF(COUNTIF($D$2:$D1351,$D1351)=1,1,0))</f>
        <v/>
      </c>
      <c r="AI1351" s="18" t="str">
        <f aca="false">IF($AH1351=1,SUMPRODUCT(--($AK$2:$AK$4001&lt;$AK1351))+1,"")</f>
        <v/>
      </c>
      <c r="AJ1351" s="18" t="str">
        <f aca="false">IF($D1351="","",IF(OR($R1351=TRUE(),$R1351="TRUE"),1,0))</f>
        <v/>
      </c>
      <c r="AK1351" s="18" t="str">
        <f aca="false">IF($AH1351=1,IFERROR(VALUE(MID($D1351,2,20)),1000000000)+ROW()/10000000,"")</f>
        <v/>
      </c>
    </row>
    <row r="1352" customFormat="false" ht="15" hidden="false" customHeight="false" outlineLevel="0" collapsed="false">
      <c r="F1352" s="15"/>
      <c r="N1352" s="16" t="str">
        <f aca="false">IF($D1352="","",M1352*Y1352/100)</f>
        <v/>
      </c>
      <c r="V1352" s="16" t="str">
        <f aca="false">IF($D1352="","",Y1352*AB1352/100)</f>
        <v/>
      </c>
      <c r="W1352" s="16" t="str">
        <f aca="false">IF($D1352="","",Y1352-V1352)</f>
        <v/>
      </c>
      <c r="X1352" s="16" t="str">
        <f aca="false">IF($D1352="","",W1352-N1352)</f>
        <v/>
      </c>
      <c r="AB1352" s="17" t="str">
        <f aca="false">IF($D1352="","",IF(OR($R1352=TRUE(),$R1352="TRUE"),Settings!$C$6,Settings!$C$7)*100)</f>
        <v/>
      </c>
      <c r="AH1352" s="18" t="str">
        <f aca="false">IF($D1352="","",IF(COUNTIF($D$2:$D1352,$D1352)=1,1,0))</f>
        <v/>
      </c>
      <c r="AI1352" s="18" t="str">
        <f aca="false">IF($AH1352=1,SUMPRODUCT(--($AK$2:$AK$4001&lt;$AK1352))+1,"")</f>
        <v/>
      </c>
      <c r="AJ1352" s="18" t="str">
        <f aca="false">IF($D1352="","",IF(OR($R1352=TRUE(),$R1352="TRUE"),1,0))</f>
        <v/>
      </c>
      <c r="AK1352" s="18" t="str">
        <f aca="false">IF($AH1352=1,IFERROR(VALUE(MID($D1352,2,20)),1000000000)+ROW()/10000000,"")</f>
        <v/>
      </c>
    </row>
    <row r="1353" customFormat="false" ht="15" hidden="false" customHeight="false" outlineLevel="0" collapsed="false">
      <c r="F1353" s="15"/>
      <c r="N1353" s="16" t="str">
        <f aca="false">IF($D1353="","",M1353*Y1353/100)</f>
        <v/>
      </c>
      <c r="V1353" s="16" t="str">
        <f aca="false">IF($D1353="","",Y1353*AB1353/100)</f>
        <v/>
      </c>
      <c r="W1353" s="16" t="str">
        <f aca="false">IF($D1353="","",Y1353-V1353)</f>
        <v/>
      </c>
      <c r="X1353" s="16" t="str">
        <f aca="false">IF($D1353="","",W1353-N1353)</f>
        <v/>
      </c>
      <c r="AB1353" s="17" t="str">
        <f aca="false">IF($D1353="","",IF(OR($R1353=TRUE(),$R1353="TRUE"),Settings!$C$6,Settings!$C$7)*100)</f>
        <v/>
      </c>
      <c r="AH1353" s="18" t="str">
        <f aca="false">IF($D1353="","",IF(COUNTIF($D$2:$D1353,$D1353)=1,1,0))</f>
        <v/>
      </c>
      <c r="AI1353" s="18" t="str">
        <f aca="false">IF($AH1353=1,SUMPRODUCT(--($AK$2:$AK$4001&lt;$AK1353))+1,"")</f>
        <v/>
      </c>
      <c r="AJ1353" s="18" t="str">
        <f aca="false">IF($D1353="","",IF(OR($R1353=TRUE(),$R1353="TRUE"),1,0))</f>
        <v/>
      </c>
      <c r="AK1353" s="18" t="str">
        <f aca="false">IF($AH1353=1,IFERROR(VALUE(MID($D1353,2,20)),1000000000)+ROW()/10000000,"")</f>
        <v/>
      </c>
    </row>
    <row r="1354" customFormat="false" ht="15" hidden="false" customHeight="false" outlineLevel="0" collapsed="false">
      <c r="F1354" s="15"/>
      <c r="N1354" s="16" t="str">
        <f aca="false">IF($D1354="","",M1354*Y1354/100)</f>
        <v/>
      </c>
      <c r="V1354" s="16" t="str">
        <f aca="false">IF($D1354="","",Y1354*AB1354/100)</f>
        <v/>
      </c>
      <c r="W1354" s="16" t="str">
        <f aca="false">IF($D1354="","",Y1354-V1354)</f>
        <v/>
      </c>
      <c r="X1354" s="16" t="str">
        <f aca="false">IF($D1354="","",W1354-N1354)</f>
        <v/>
      </c>
      <c r="AB1354" s="17" t="str">
        <f aca="false">IF($D1354="","",IF(OR($R1354=TRUE(),$R1354="TRUE"),Settings!$C$6,Settings!$C$7)*100)</f>
        <v/>
      </c>
      <c r="AH1354" s="18" t="str">
        <f aca="false">IF($D1354="","",IF(COUNTIF($D$2:$D1354,$D1354)=1,1,0))</f>
        <v/>
      </c>
      <c r="AI1354" s="18" t="str">
        <f aca="false">IF($AH1354=1,SUMPRODUCT(--($AK$2:$AK$4001&lt;$AK1354))+1,"")</f>
        <v/>
      </c>
      <c r="AJ1354" s="18" t="str">
        <f aca="false">IF($D1354="","",IF(OR($R1354=TRUE(),$R1354="TRUE"),1,0))</f>
        <v/>
      </c>
      <c r="AK1354" s="18" t="str">
        <f aca="false">IF($AH1354=1,IFERROR(VALUE(MID($D1354,2,20)),1000000000)+ROW()/10000000,"")</f>
        <v/>
      </c>
    </row>
    <row r="1355" customFormat="false" ht="15" hidden="false" customHeight="false" outlineLevel="0" collapsed="false">
      <c r="F1355" s="15"/>
      <c r="N1355" s="16" t="str">
        <f aca="false">IF($D1355="","",M1355*Y1355/100)</f>
        <v/>
      </c>
      <c r="V1355" s="16" t="str">
        <f aca="false">IF($D1355="","",Y1355*AB1355/100)</f>
        <v/>
      </c>
      <c r="W1355" s="16" t="str">
        <f aca="false">IF($D1355="","",Y1355-V1355)</f>
        <v/>
      </c>
      <c r="X1355" s="16" t="str">
        <f aca="false">IF($D1355="","",W1355-N1355)</f>
        <v/>
      </c>
      <c r="AB1355" s="17" t="str">
        <f aca="false">IF($D1355="","",IF(OR($R1355=TRUE(),$R1355="TRUE"),Settings!$C$6,Settings!$C$7)*100)</f>
        <v/>
      </c>
      <c r="AH1355" s="18" t="str">
        <f aca="false">IF($D1355="","",IF(COUNTIF($D$2:$D1355,$D1355)=1,1,0))</f>
        <v/>
      </c>
      <c r="AI1355" s="18" t="str">
        <f aca="false">IF($AH1355=1,SUMPRODUCT(--($AK$2:$AK$4001&lt;$AK1355))+1,"")</f>
        <v/>
      </c>
      <c r="AJ1355" s="18" t="str">
        <f aca="false">IF($D1355="","",IF(OR($R1355=TRUE(),$R1355="TRUE"),1,0))</f>
        <v/>
      </c>
      <c r="AK1355" s="18" t="str">
        <f aca="false">IF($AH1355=1,IFERROR(VALUE(MID($D1355,2,20)),1000000000)+ROW()/10000000,"")</f>
        <v/>
      </c>
    </row>
    <row r="1356" customFormat="false" ht="15" hidden="false" customHeight="false" outlineLevel="0" collapsed="false">
      <c r="F1356" s="15"/>
      <c r="N1356" s="16" t="str">
        <f aca="false">IF($D1356="","",M1356*Y1356/100)</f>
        <v/>
      </c>
      <c r="V1356" s="16" t="str">
        <f aca="false">IF($D1356="","",Y1356*AB1356/100)</f>
        <v/>
      </c>
      <c r="W1356" s="16" t="str">
        <f aca="false">IF($D1356="","",Y1356-V1356)</f>
        <v/>
      </c>
      <c r="X1356" s="16" t="str">
        <f aca="false">IF($D1356="","",W1356-N1356)</f>
        <v/>
      </c>
      <c r="AB1356" s="17" t="str">
        <f aca="false">IF($D1356="","",IF(OR($R1356=TRUE(),$R1356="TRUE"),Settings!$C$6,Settings!$C$7)*100)</f>
        <v/>
      </c>
      <c r="AH1356" s="18" t="str">
        <f aca="false">IF($D1356="","",IF(COUNTIF($D$2:$D1356,$D1356)=1,1,0))</f>
        <v/>
      </c>
      <c r="AI1356" s="18" t="str">
        <f aca="false">IF($AH1356=1,SUMPRODUCT(--($AK$2:$AK$4001&lt;$AK1356))+1,"")</f>
        <v/>
      </c>
      <c r="AJ1356" s="18" t="str">
        <f aca="false">IF($D1356="","",IF(OR($R1356=TRUE(),$R1356="TRUE"),1,0))</f>
        <v/>
      </c>
      <c r="AK1356" s="18" t="str">
        <f aca="false">IF($AH1356=1,IFERROR(VALUE(MID($D1356,2,20)),1000000000)+ROW()/10000000,"")</f>
        <v/>
      </c>
    </row>
    <row r="1357" customFormat="false" ht="15" hidden="false" customHeight="false" outlineLevel="0" collapsed="false">
      <c r="F1357" s="15"/>
      <c r="N1357" s="16" t="str">
        <f aca="false">IF($D1357="","",M1357*Y1357/100)</f>
        <v/>
      </c>
      <c r="V1357" s="16" t="str">
        <f aca="false">IF($D1357="","",Y1357*AB1357/100)</f>
        <v/>
      </c>
      <c r="W1357" s="16" t="str">
        <f aca="false">IF($D1357="","",Y1357-V1357)</f>
        <v/>
      </c>
      <c r="X1357" s="16" t="str">
        <f aca="false">IF($D1357="","",W1357-N1357)</f>
        <v/>
      </c>
      <c r="AB1357" s="17" t="str">
        <f aca="false">IF($D1357="","",IF(OR($R1357=TRUE(),$R1357="TRUE"),Settings!$C$6,Settings!$C$7)*100)</f>
        <v/>
      </c>
      <c r="AH1357" s="18" t="str">
        <f aca="false">IF($D1357="","",IF(COUNTIF($D$2:$D1357,$D1357)=1,1,0))</f>
        <v/>
      </c>
      <c r="AI1357" s="18" t="str">
        <f aca="false">IF($AH1357=1,SUMPRODUCT(--($AK$2:$AK$4001&lt;$AK1357))+1,"")</f>
        <v/>
      </c>
      <c r="AJ1357" s="18" t="str">
        <f aca="false">IF($D1357="","",IF(OR($R1357=TRUE(),$R1357="TRUE"),1,0))</f>
        <v/>
      </c>
      <c r="AK1357" s="18" t="str">
        <f aca="false">IF($AH1357=1,IFERROR(VALUE(MID($D1357,2,20)),1000000000)+ROW()/10000000,"")</f>
        <v/>
      </c>
    </row>
    <row r="1358" customFormat="false" ht="15" hidden="false" customHeight="false" outlineLevel="0" collapsed="false">
      <c r="F1358" s="15"/>
      <c r="N1358" s="16" t="str">
        <f aca="false">IF($D1358="","",M1358*Y1358/100)</f>
        <v/>
      </c>
      <c r="V1358" s="16" t="str">
        <f aca="false">IF($D1358="","",Y1358*AB1358/100)</f>
        <v/>
      </c>
      <c r="W1358" s="16" t="str">
        <f aca="false">IF($D1358="","",Y1358-V1358)</f>
        <v/>
      </c>
      <c r="X1358" s="16" t="str">
        <f aca="false">IF($D1358="","",W1358-N1358)</f>
        <v/>
      </c>
      <c r="AB1358" s="17" t="str">
        <f aca="false">IF($D1358="","",IF(OR($R1358=TRUE(),$R1358="TRUE"),Settings!$C$6,Settings!$C$7)*100)</f>
        <v/>
      </c>
      <c r="AH1358" s="18" t="str">
        <f aca="false">IF($D1358="","",IF(COUNTIF($D$2:$D1358,$D1358)=1,1,0))</f>
        <v/>
      </c>
      <c r="AI1358" s="18" t="str">
        <f aca="false">IF($AH1358=1,SUMPRODUCT(--($AK$2:$AK$4001&lt;$AK1358))+1,"")</f>
        <v/>
      </c>
      <c r="AJ1358" s="18" t="str">
        <f aca="false">IF($D1358="","",IF(OR($R1358=TRUE(),$R1358="TRUE"),1,0))</f>
        <v/>
      </c>
      <c r="AK1358" s="18" t="str">
        <f aca="false">IF($AH1358=1,IFERROR(VALUE(MID($D1358,2,20)),1000000000)+ROW()/10000000,"")</f>
        <v/>
      </c>
    </row>
    <row r="1359" customFormat="false" ht="15" hidden="false" customHeight="false" outlineLevel="0" collapsed="false">
      <c r="F1359" s="15"/>
      <c r="N1359" s="16" t="str">
        <f aca="false">IF($D1359="","",M1359*Y1359/100)</f>
        <v/>
      </c>
      <c r="V1359" s="16" t="str">
        <f aca="false">IF($D1359="","",Y1359*AB1359/100)</f>
        <v/>
      </c>
      <c r="W1359" s="16" t="str">
        <f aca="false">IF($D1359="","",Y1359-V1359)</f>
        <v/>
      </c>
      <c r="X1359" s="16" t="str">
        <f aca="false">IF($D1359="","",W1359-N1359)</f>
        <v/>
      </c>
      <c r="AB1359" s="17" t="str">
        <f aca="false">IF($D1359="","",IF(OR($R1359=TRUE(),$R1359="TRUE"),Settings!$C$6,Settings!$C$7)*100)</f>
        <v/>
      </c>
      <c r="AH1359" s="18" t="str">
        <f aca="false">IF($D1359="","",IF(COUNTIF($D$2:$D1359,$D1359)=1,1,0))</f>
        <v/>
      </c>
      <c r="AI1359" s="18" t="str">
        <f aca="false">IF($AH1359=1,SUMPRODUCT(--($AK$2:$AK$4001&lt;$AK1359))+1,"")</f>
        <v/>
      </c>
      <c r="AJ1359" s="18" t="str">
        <f aca="false">IF($D1359="","",IF(OR($R1359=TRUE(),$R1359="TRUE"),1,0))</f>
        <v/>
      </c>
      <c r="AK1359" s="18" t="str">
        <f aca="false">IF($AH1359=1,IFERROR(VALUE(MID($D1359,2,20)),1000000000)+ROW()/10000000,"")</f>
        <v/>
      </c>
    </row>
    <row r="1360" customFormat="false" ht="15" hidden="false" customHeight="false" outlineLevel="0" collapsed="false">
      <c r="F1360" s="15"/>
      <c r="N1360" s="16" t="str">
        <f aca="false">IF($D1360="","",M1360*Y1360/100)</f>
        <v/>
      </c>
      <c r="V1360" s="16" t="str">
        <f aca="false">IF($D1360="","",Y1360*AB1360/100)</f>
        <v/>
      </c>
      <c r="W1360" s="16" t="str">
        <f aca="false">IF($D1360="","",Y1360-V1360)</f>
        <v/>
      </c>
      <c r="X1360" s="16" t="str">
        <f aca="false">IF($D1360="","",W1360-N1360)</f>
        <v/>
      </c>
      <c r="AB1360" s="17" t="str">
        <f aca="false">IF($D1360="","",IF(OR($R1360=TRUE(),$R1360="TRUE"),Settings!$C$6,Settings!$C$7)*100)</f>
        <v/>
      </c>
      <c r="AH1360" s="18" t="str">
        <f aca="false">IF($D1360="","",IF(COUNTIF($D$2:$D1360,$D1360)=1,1,0))</f>
        <v/>
      </c>
      <c r="AI1360" s="18" t="str">
        <f aca="false">IF($AH1360=1,SUMPRODUCT(--($AK$2:$AK$4001&lt;$AK1360))+1,"")</f>
        <v/>
      </c>
      <c r="AJ1360" s="18" t="str">
        <f aca="false">IF($D1360="","",IF(OR($R1360=TRUE(),$R1360="TRUE"),1,0))</f>
        <v/>
      </c>
      <c r="AK1360" s="18" t="str">
        <f aca="false">IF($AH1360=1,IFERROR(VALUE(MID($D1360,2,20)),1000000000)+ROW()/10000000,"")</f>
        <v/>
      </c>
    </row>
    <row r="1361" customFormat="false" ht="15" hidden="false" customHeight="false" outlineLevel="0" collapsed="false">
      <c r="F1361" s="15"/>
      <c r="N1361" s="16" t="str">
        <f aca="false">IF($D1361="","",M1361*Y1361/100)</f>
        <v/>
      </c>
      <c r="V1361" s="16" t="str">
        <f aca="false">IF($D1361="","",Y1361*AB1361/100)</f>
        <v/>
      </c>
      <c r="W1361" s="16" t="str">
        <f aca="false">IF($D1361="","",Y1361-V1361)</f>
        <v/>
      </c>
      <c r="X1361" s="16" t="str">
        <f aca="false">IF($D1361="","",W1361-N1361)</f>
        <v/>
      </c>
      <c r="AB1361" s="17" t="str">
        <f aca="false">IF($D1361="","",IF(OR($R1361=TRUE(),$R1361="TRUE"),Settings!$C$6,Settings!$C$7)*100)</f>
        <v/>
      </c>
      <c r="AH1361" s="18" t="str">
        <f aca="false">IF($D1361="","",IF(COUNTIF($D$2:$D1361,$D1361)=1,1,0))</f>
        <v/>
      </c>
      <c r="AI1361" s="18" t="str">
        <f aca="false">IF($AH1361=1,SUMPRODUCT(--($AK$2:$AK$4001&lt;$AK1361))+1,"")</f>
        <v/>
      </c>
      <c r="AJ1361" s="18" t="str">
        <f aca="false">IF($D1361="","",IF(OR($R1361=TRUE(),$R1361="TRUE"),1,0))</f>
        <v/>
      </c>
      <c r="AK1361" s="18" t="str">
        <f aca="false">IF($AH1361=1,IFERROR(VALUE(MID($D1361,2,20)),1000000000)+ROW()/10000000,"")</f>
        <v/>
      </c>
    </row>
    <row r="1362" customFormat="false" ht="15" hidden="false" customHeight="false" outlineLevel="0" collapsed="false">
      <c r="F1362" s="15"/>
      <c r="N1362" s="16" t="str">
        <f aca="false">IF($D1362="","",M1362*Y1362/100)</f>
        <v/>
      </c>
      <c r="V1362" s="16" t="str">
        <f aca="false">IF($D1362="","",Y1362*AB1362/100)</f>
        <v/>
      </c>
      <c r="W1362" s="16" t="str">
        <f aca="false">IF($D1362="","",Y1362-V1362)</f>
        <v/>
      </c>
      <c r="X1362" s="16" t="str">
        <f aca="false">IF($D1362="","",W1362-N1362)</f>
        <v/>
      </c>
      <c r="AB1362" s="17" t="str">
        <f aca="false">IF($D1362="","",IF(OR($R1362=TRUE(),$R1362="TRUE"),Settings!$C$6,Settings!$C$7)*100)</f>
        <v/>
      </c>
      <c r="AH1362" s="18" t="str">
        <f aca="false">IF($D1362="","",IF(COUNTIF($D$2:$D1362,$D1362)=1,1,0))</f>
        <v/>
      </c>
      <c r="AI1362" s="18" t="str">
        <f aca="false">IF($AH1362=1,SUMPRODUCT(--($AK$2:$AK$4001&lt;$AK1362))+1,"")</f>
        <v/>
      </c>
      <c r="AJ1362" s="18" t="str">
        <f aca="false">IF($D1362="","",IF(OR($R1362=TRUE(),$R1362="TRUE"),1,0))</f>
        <v/>
      </c>
      <c r="AK1362" s="18" t="str">
        <f aca="false">IF($AH1362=1,IFERROR(VALUE(MID($D1362,2,20)),1000000000)+ROW()/10000000,"")</f>
        <v/>
      </c>
    </row>
    <row r="1363" customFormat="false" ht="15" hidden="false" customHeight="false" outlineLevel="0" collapsed="false">
      <c r="F1363" s="15"/>
      <c r="N1363" s="16" t="str">
        <f aca="false">IF($D1363="","",M1363*Y1363/100)</f>
        <v/>
      </c>
      <c r="V1363" s="16" t="str">
        <f aca="false">IF($D1363="","",Y1363*AB1363/100)</f>
        <v/>
      </c>
      <c r="W1363" s="16" t="str">
        <f aca="false">IF($D1363="","",Y1363-V1363)</f>
        <v/>
      </c>
      <c r="X1363" s="16" t="str">
        <f aca="false">IF($D1363="","",W1363-N1363)</f>
        <v/>
      </c>
      <c r="AB1363" s="17" t="str">
        <f aca="false">IF($D1363="","",IF(OR($R1363=TRUE(),$R1363="TRUE"),Settings!$C$6,Settings!$C$7)*100)</f>
        <v/>
      </c>
      <c r="AH1363" s="18" t="str">
        <f aca="false">IF($D1363="","",IF(COUNTIF($D$2:$D1363,$D1363)=1,1,0))</f>
        <v/>
      </c>
      <c r="AI1363" s="18" t="str">
        <f aca="false">IF($AH1363=1,SUMPRODUCT(--($AK$2:$AK$4001&lt;$AK1363))+1,"")</f>
        <v/>
      </c>
      <c r="AJ1363" s="18" t="str">
        <f aca="false">IF($D1363="","",IF(OR($R1363=TRUE(),$R1363="TRUE"),1,0))</f>
        <v/>
      </c>
      <c r="AK1363" s="18" t="str">
        <f aca="false">IF($AH1363=1,IFERROR(VALUE(MID($D1363,2,20)),1000000000)+ROW()/10000000,"")</f>
        <v/>
      </c>
    </row>
    <row r="1364" customFormat="false" ht="15" hidden="false" customHeight="false" outlineLevel="0" collapsed="false">
      <c r="F1364" s="15"/>
      <c r="N1364" s="16" t="str">
        <f aca="false">IF($D1364="","",M1364*Y1364/100)</f>
        <v/>
      </c>
      <c r="V1364" s="16" t="str">
        <f aca="false">IF($D1364="","",Y1364*AB1364/100)</f>
        <v/>
      </c>
      <c r="W1364" s="16" t="str">
        <f aca="false">IF($D1364="","",Y1364-V1364)</f>
        <v/>
      </c>
      <c r="X1364" s="16" t="str">
        <f aca="false">IF($D1364="","",W1364-N1364)</f>
        <v/>
      </c>
      <c r="AB1364" s="17" t="str">
        <f aca="false">IF($D1364="","",IF(OR($R1364=TRUE(),$R1364="TRUE"),Settings!$C$6,Settings!$C$7)*100)</f>
        <v/>
      </c>
      <c r="AH1364" s="18" t="str">
        <f aca="false">IF($D1364="","",IF(COUNTIF($D$2:$D1364,$D1364)=1,1,0))</f>
        <v/>
      </c>
      <c r="AI1364" s="18" t="str">
        <f aca="false">IF($AH1364=1,SUMPRODUCT(--($AK$2:$AK$4001&lt;$AK1364))+1,"")</f>
        <v/>
      </c>
      <c r="AJ1364" s="18" t="str">
        <f aca="false">IF($D1364="","",IF(OR($R1364=TRUE(),$R1364="TRUE"),1,0))</f>
        <v/>
      </c>
      <c r="AK1364" s="18" t="str">
        <f aca="false">IF($AH1364=1,IFERROR(VALUE(MID($D1364,2,20)),1000000000)+ROW()/10000000,"")</f>
        <v/>
      </c>
    </row>
    <row r="1365" customFormat="false" ht="15" hidden="false" customHeight="false" outlineLevel="0" collapsed="false">
      <c r="F1365" s="15"/>
      <c r="N1365" s="16" t="str">
        <f aca="false">IF($D1365="","",M1365*Y1365/100)</f>
        <v/>
      </c>
      <c r="V1365" s="16" t="str">
        <f aca="false">IF($D1365="","",Y1365*AB1365/100)</f>
        <v/>
      </c>
      <c r="W1365" s="16" t="str">
        <f aca="false">IF($D1365="","",Y1365-V1365)</f>
        <v/>
      </c>
      <c r="X1365" s="16" t="str">
        <f aca="false">IF($D1365="","",W1365-N1365)</f>
        <v/>
      </c>
      <c r="AB1365" s="17" t="str">
        <f aca="false">IF($D1365="","",IF(OR($R1365=TRUE(),$R1365="TRUE"),Settings!$C$6,Settings!$C$7)*100)</f>
        <v/>
      </c>
      <c r="AH1365" s="18" t="str">
        <f aca="false">IF($D1365="","",IF(COUNTIF($D$2:$D1365,$D1365)=1,1,0))</f>
        <v/>
      </c>
      <c r="AI1365" s="18" t="str">
        <f aca="false">IF($AH1365=1,SUMPRODUCT(--($AK$2:$AK$4001&lt;$AK1365))+1,"")</f>
        <v/>
      </c>
      <c r="AJ1365" s="18" t="str">
        <f aca="false">IF($D1365="","",IF(OR($R1365=TRUE(),$R1365="TRUE"),1,0))</f>
        <v/>
      </c>
      <c r="AK1365" s="18" t="str">
        <f aca="false">IF($AH1365=1,IFERROR(VALUE(MID($D1365,2,20)),1000000000)+ROW()/10000000,"")</f>
        <v/>
      </c>
    </row>
    <row r="1366" customFormat="false" ht="15" hidden="false" customHeight="false" outlineLevel="0" collapsed="false">
      <c r="F1366" s="15"/>
      <c r="N1366" s="16" t="str">
        <f aca="false">IF($D1366="","",M1366*Y1366/100)</f>
        <v/>
      </c>
      <c r="V1366" s="16" t="str">
        <f aca="false">IF($D1366="","",Y1366*AB1366/100)</f>
        <v/>
      </c>
      <c r="W1366" s="16" t="str">
        <f aca="false">IF($D1366="","",Y1366-V1366)</f>
        <v/>
      </c>
      <c r="X1366" s="16" t="str">
        <f aca="false">IF($D1366="","",W1366-N1366)</f>
        <v/>
      </c>
      <c r="AB1366" s="17" t="str">
        <f aca="false">IF($D1366="","",IF(OR($R1366=TRUE(),$R1366="TRUE"),Settings!$C$6,Settings!$C$7)*100)</f>
        <v/>
      </c>
      <c r="AH1366" s="18" t="str">
        <f aca="false">IF($D1366="","",IF(COUNTIF($D$2:$D1366,$D1366)=1,1,0))</f>
        <v/>
      </c>
      <c r="AI1366" s="18" t="str">
        <f aca="false">IF($AH1366=1,SUMPRODUCT(--($AK$2:$AK$4001&lt;$AK1366))+1,"")</f>
        <v/>
      </c>
      <c r="AJ1366" s="18" t="str">
        <f aca="false">IF($D1366="","",IF(OR($R1366=TRUE(),$R1366="TRUE"),1,0))</f>
        <v/>
      </c>
      <c r="AK1366" s="18" t="str">
        <f aca="false">IF($AH1366=1,IFERROR(VALUE(MID($D1366,2,20)),1000000000)+ROW()/10000000,"")</f>
        <v/>
      </c>
    </row>
    <row r="1367" customFormat="false" ht="15" hidden="false" customHeight="false" outlineLevel="0" collapsed="false">
      <c r="F1367" s="15"/>
      <c r="N1367" s="16" t="str">
        <f aca="false">IF($D1367="","",M1367*Y1367/100)</f>
        <v/>
      </c>
      <c r="V1367" s="16" t="str">
        <f aca="false">IF($D1367="","",Y1367*AB1367/100)</f>
        <v/>
      </c>
      <c r="W1367" s="16" t="str">
        <f aca="false">IF($D1367="","",Y1367-V1367)</f>
        <v/>
      </c>
      <c r="X1367" s="16" t="str">
        <f aca="false">IF($D1367="","",W1367-N1367)</f>
        <v/>
      </c>
      <c r="AB1367" s="17" t="str">
        <f aca="false">IF($D1367="","",IF(OR($R1367=TRUE(),$R1367="TRUE"),Settings!$C$6,Settings!$C$7)*100)</f>
        <v/>
      </c>
      <c r="AH1367" s="18" t="str">
        <f aca="false">IF($D1367="","",IF(COUNTIF($D$2:$D1367,$D1367)=1,1,0))</f>
        <v/>
      </c>
      <c r="AI1367" s="18" t="str">
        <f aca="false">IF($AH1367=1,SUMPRODUCT(--($AK$2:$AK$4001&lt;$AK1367))+1,"")</f>
        <v/>
      </c>
      <c r="AJ1367" s="18" t="str">
        <f aca="false">IF($D1367="","",IF(OR($R1367=TRUE(),$R1367="TRUE"),1,0))</f>
        <v/>
      </c>
      <c r="AK1367" s="18" t="str">
        <f aca="false">IF($AH1367=1,IFERROR(VALUE(MID($D1367,2,20)),1000000000)+ROW()/10000000,"")</f>
        <v/>
      </c>
    </row>
    <row r="1368" customFormat="false" ht="15" hidden="false" customHeight="false" outlineLevel="0" collapsed="false">
      <c r="F1368" s="15"/>
      <c r="N1368" s="16" t="str">
        <f aca="false">IF($D1368="","",M1368*Y1368/100)</f>
        <v/>
      </c>
      <c r="V1368" s="16" t="str">
        <f aca="false">IF($D1368="","",Y1368*AB1368/100)</f>
        <v/>
      </c>
      <c r="W1368" s="16" t="str">
        <f aca="false">IF($D1368="","",Y1368-V1368)</f>
        <v/>
      </c>
      <c r="X1368" s="16" t="str">
        <f aca="false">IF($D1368="","",W1368-N1368)</f>
        <v/>
      </c>
      <c r="AB1368" s="17" t="str">
        <f aca="false">IF($D1368="","",IF(OR($R1368=TRUE(),$R1368="TRUE"),Settings!$C$6,Settings!$C$7)*100)</f>
        <v/>
      </c>
      <c r="AH1368" s="18" t="str">
        <f aca="false">IF($D1368="","",IF(COUNTIF($D$2:$D1368,$D1368)=1,1,0))</f>
        <v/>
      </c>
      <c r="AI1368" s="18" t="str">
        <f aca="false">IF($AH1368=1,SUMPRODUCT(--($AK$2:$AK$4001&lt;$AK1368))+1,"")</f>
        <v/>
      </c>
      <c r="AJ1368" s="18" t="str">
        <f aca="false">IF($D1368="","",IF(OR($R1368=TRUE(),$R1368="TRUE"),1,0))</f>
        <v/>
      </c>
      <c r="AK1368" s="18" t="str">
        <f aca="false">IF($AH1368=1,IFERROR(VALUE(MID($D1368,2,20)),1000000000)+ROW()/10000000,"")</f>
        <v/>
      </c>
    </row>
    <row r="1369" customFormat="false" ht="15" hidden="false" customHeight="false" outlineLevel="0" collapsed="false">
      <c r="F1369" s="15"/>
      <c r="N1369" s="16" t="str">
        <f aca="false">IF($D1369="","",M1369*Y1369/100)</f>
        <v/>
      </c>
      <c r="V1369" s="16" t="str">
        <f aca="false">IF($D1369="","",Y1369*AB1369/100)</f>
        <v/>
      </c>
      <c r="W1369" s="16" t="str">
        <f aca="false">IF($D1369="","",Y1369-V1369)</f>
        <v/>
      </c>
      <c r="X1369" s="16" t="str">
        <f aca="false">IF($D1369="","",W1369-N1369)</f>
        <v/>
      </c>
      <c r="AB1369" s="17" t="str">
        <f aca="false">IF($D1369="","",IF(OR($R1369=TRUE(),$R1369="TRUE"),Settings!$C$6,Settings!$C$7)*100)</f>
        <v/>
      </c>
      <c r="AH1369" s="18" t="str">
        <f aca="false">IF($D1369="","",IF(COUNTIF($D$2:$D1369,$D1369)=1,1,0))</f>
        <v/>
      </c>
      <c r="AI1369" s="18" t="str">
        <f aca="false">IF($AH1369=1,SUMPRODUCT(--($AK$2:$AK$4001&lt;$AK1369))+1,"")</f>
        <v/>
      </c>
      <c r="AJ1369" s="18" t="str">
        <f aca="false">IF($D1369="","",IF(OR($R1369=TRUE(),$R1369="TRUE"),1,0))</f>
        <v/>
      </c>
      <c r="AK1369" s="18" t="str">
        <f aca="false">IF($AH1369=1,IFERROR(VALUE(MID($D1369,2,20)),1000000000)+ROW()/10000000,"")</f>
        <v/>
      </c>
    </row>
    <row r="1370" customFormat="false" ht="15" hidden="false" customHeight="false" outlineLevel="0" collapsed="false">
      <c r="F1370" s="15"/>
      <c r="N1370" s="16" t="str">
        <f aca="false">IF($D1370="","",M1370*Y1370/100)</f>
        <v/>
      </c>
      <c r="V1370" s="16" t="str">
        <f aca="false">IF($D1370="","",Y1370*AB1370/100)</f>
        <v/>
      </c>
      <c r="W1370" s="16" t="str">
        <f aca="false">IF($D1370="","",Y1370-V1370)</f>
        <v/>
      </c>
      <c r="X1370" s="16" t="str">
        <f aca="false">IF($D1370="","",W1370-N1370)</f>
        <v/>
      </c>
      <c r="AB1370" s="17" t="str">
        <f aca="false">IF($D1370="","",IF(OR($R1370=TRUE(),$R1370="TRUE"),Settings!$C$6,Settings!$C$7)*100)</f>
        <v/>
      </c>
      <c r="AH1370" s="18" t="str">
        <f aca="false">IF($D1370="","",IF(COUNTIF($D$2:$D1370,$D1370)=1,1,0))</f>
        <v/>
      </c>
      <c r="AI1370" s="18" t="str">
        <f aca="false">IF($AH1370=1,SUMPRODUCT(--($AK$2:$AK$4001&lt;$AK1370))+1,"")</f>
        <v/>
      </c>
      <c r="AJ1370" s="18" t="str">
        <f aca="false">IF($D1370="","",IF(OR($R1370=TRUE(),$R1370="TRUE"),1,0))</f>
        <v/>
      </c>
      <c r="AK1370" s="18" t="str">
        <f aca="false">IF($AH1370=1,IFERROR(VALUE(MID($D1370,2,20)),1000000000)+ROW()/10000000,"")</f>
        <v/>
      </c>
    </row>
    <row r="1371" customFormat="false" ht="15" hidden="false" customHeight="false" outlineLevel="0" collapsed="false">
      <c r="F1371" s="15"/>
      <c r="N1371" s="16" t="str">
        <f aca="false">IF($D1371="","",M1371*Y1371/100)</f>
        <v/>
      </c>
      <c r="V1371" s="16" t="str">
        <f aca="false">IF($D1371="","",Y1371*AB1371/100)</f>
        <v/>
      </c>
      <c r="W1371" s="16" t="str">
        <f aca="false">IF($D1371="","",Y1371-V1371)</f>
        <v/>
      </c>
      <c r="X1371" s="16" t="str">
        <f aca="false">IF($D1371="","",W1371-N1371)</f>
        <v/>
      </c>
      <c r="AB1371" s="17" t="str">
        <f aca="false">IF($D1371="","",IF(OR($R1371=TRUE(),$R1371="TRUE"),Settings!$C$6,Settings!$C$7)*100)</f>
        <v/>
      </c>
      <c r="AH1371" s="18" t="str">
        <f aca="false">IF($D1371="","",IF(COUNTIF($D$2:$D1371,$D1371)=1,1,0))</f>
        <v/>
      </c>
      <c r="AI1371" s="18" t="str">
        <f aca="false">IF($AH1371=1,SUMPRODUCT(--($AK$2:$AK$4001&lt;$AK1371))+1,"")</f>
        <v/>
      </c>
      <c r="AJ1371" s="18" t="str">
        <f aca="false">IF($D1371="","",IF(OR($R1371=TRUE(),$R1371="TRUE"),1,0))</f>
        <v/>
      </c>
      <c r="AK1371" s="18" t="str">
        <f aca="false">IF($AH1371=1,IFERROR(VALUE(MID($D1371,2,20)),1000000000)+ROW()/10000000,"")</f>
        <v/>
      </c>
    </row>
    <row r="1372" customFormat="false" ht="15" hidden="false" customHeight="false" outlineLevel="0" collapsed="false">
      <c r="F1372" s="15"/>
      <c r="N1372" s="16" t="str">
        <f aca="false">IF($D1372="","",M1372*Y1372/100)</f>
        <v/>
      </c>
      <c r="V1372" s="16" t="str">
        <f aca="false">IF($D1372="","",Y1372*AB1372/100)</f>
        <v/>
      </c>
      <c r="W1372" s="16" t="str">
        <f aca="false">IF($D1372="","",Y1372-V1372)</f>
        <v/>
      </c>
      <c r="X1372" s="16" t="str">
        <f aca="false">IF($D1372="","",W1372-N1372)</f>
        <v/>
      </c>
      <c r="AB1372" s="17" t="str">
        <f aca="false">IF($D1372="","",IF(OR($R1372=TRUE(),$R1372="TRUE"),Settings!$C$6,Settings!$C$7)*100)</f>
        <v/>
      </c>
      <c r="AH1372" s="18" t="str">
        <f aca="false">IF($D1372="","",IF(COUNTIF($D$2:$D1372,$D1372)=1,1,0))</f>
        <v/>
      </c>
      <c r="AI1372" s="18" t="str">
        <f aca="false">IF($AH1372=1,SUMPRODUCT(--($AK$2:$AK$4001&lt;$AK1372))+1,"")</f>
        <v/>
      </c>
      <c r="AJ1372" s="18" t="str">
        <f aca="false">IF($D1372="","",IF(OR($R1372=TRUE(),$R1372="TRUE"),1,0))</f>
        <v/>
      </c>
      <c r="AK1372" s="18" t="str">
        <f aca="false">IF($AH1372=1,IFERROR(VALUE(MID($D1372,2,20)),1000000000)+ROW()/10000000,"")</f>
        <v/>
      </c>
    </row>
    <row r="1373" customFormat="false" ht="15" hidden="false" customHeight="false" outlineLevel="0" collapsed="false">
      <c r="F1373" s="15"/>
      <c r="N1373" s="16" t="str">
        <f aca="false">IF($D1373="","",M1373*Y1373/100)</f>
        <v/>
      </c>
      <c r="V1373" s="16" t="str">
        <f aca="false">IF($D1373="","",Y1373*AB1373/100)</f>
        <v/>
      </c>
      <c r="W1373" s="16" t="str">
        <f aca="false">IF($D1373="","",Y1373-V1373)</f>
        <v/>
      </c>
      <c r="X1373" s="16" t="str">
        <f aca="false">IF($D1373="","",W1373-N1373)</f>
        <v/>
      </c>
      <c r="AB1373" s="17" t="str">
        <f aca="false">IF($D1373="","",IF(OR($R1373=TRUE(),$R1373="TRUE"),Settings!$C$6,Settings!$C$7)*100)</f>
        <v/>
      </c>
      <c r="AH1373" s="18" t="str">
        <f aca="false">IF($D1373="","",IF(COUNTIF($D$2:$D1373,$D1373)=1,1,0))</f>
        <v/>
      </c>
      <c r="AI1373" s="18" t="str">
        <f aca="false">IF($AH1373=1,SUMPRODUCT(--($AK$2:$AK$4001&lt;$AK1373))+1,"")</f>
        <v/>
      </c>
      <c r="AJ1373" s="18" t="str">
        <f aca="false">IF($D1373="","",IF(OR($R1373=TRUE(),$R1373="TRUE"),1,0))</f>
        <v/>
      </c>
      <c r="AK1373" s="18" t="str">
        <f aca="false">IF($AH1373=1,IFERROR(VALUE(MID($D1373,2,20)),1000000000)+ROW()/10000000,"")</f>
        <v/>
      </c>
    </row>
    <row r="1374" customFormat="false" ht="15" hidden="false" customHeight="false" outlineLevel="0" collapsed="false">
      <c r="F1374" s="15"/>
      <c r="N1374" s="16" t="str">
        <f aca="false">IF($D1374="","",M1374*Y1374/100)</f>
        <v/>
      </c>
      <c r="V1374" s="16" t="str">
        <f aca="false">IF($D1374="","",Y1374*AB1374/100)</f>
        <v/>
      </c>
      <c r="W1374" s="16" t="str">
        <f aca="false">IF($D1374="","",Y1374-V1374)</f>
        <v/>
      </c>
      <c r="X1374" s="16" t="str">
        <f aca="false">IF($D1374="","",W1374-N1374)</f>
        <v/>
      </c>
      <c r="AB1374" s="17" t="str">
        <f aca="false">IF($D1374="","",IF(OR($R1374=TRUE(),$R1374="TRUE"),Settings!$C$6,Settings!$C$7)*100)</f>
        <v/>
      </c>
      <c r="AH1374" s="18" t="str">
        <f aca="false">IF($D1374="","",IF(COUNTIF($D$2:$D1374,$D1374)=1,1,0))</f>
        <v/>
      </c>
      <c r="AI1374" s="18" t="str">
        <f aca="false">IF($AH1374=1,SUMPRODUCT(--($AK$2:$AK$4001&lt;$AK1374))+1,"")</f>
        <v/>
      </c>
      <c r="AJ1374" s="18" t="str">
        <f aca="false">IF($D1374="","",IF(OR($R1374=TRUE(),$R1374="TRUE"),1,0))</f>
        <v/>
      </c>
      <c r="AK1374" s="18" t="str">
        <f aca="false">IF($AH1374=1,IFERROR(VALUE(MID($D1374,2,20)),1000000000)+ROW()/10000000,"")</f>
        <v/>
      </c>
    </row>
    <row r="1375" customFormat="false" ht="15" hidden="false" customHeight="false" outlineLevel="0" collapsed="false">
      <c r="F1375" s="15"/>
      <c r="N1375" s="16" t="str">
        <f aca="false">IF($D1375="","",M1375*Y1375/100)</f>
        <v/>
      </c>
      <c r="V1375" s="16" t="str">
        <f aca="false">IF($D1375="","",Y1375*AB1375/100)</f>
        <v/>
      </c>
      <c r="W1375" s="16" t="str">
        <f aca="false">IF($D1375="","",Y1375-V1375)</f>
        <v/>
      </c>
      <c r="X1375" s="16" t="str">
        <f aca="false">IF($D1375="","",W1375-N1375)</f>
        <v/>
      </c>
      <c r="AB1375" s="17" t="str">
        <f aca="false">IF($D1375="","",IF(OR($R1375=TRUE(),$R1375="TRUE"),Settings!$C$6,Settings!$C$7)*100)</f>
        <v/>
      </c>
      <c r="AH1375" s="18" t="str">
        <f aca="false">IF($D1375="","",IF(COUNTIF($D$2:$D1375,$D1375)=1,1,0))</f>
        <v/>
      </c>
      <c r="AI1375" s="18" t="str">
        <f aca="false">IF($AH1375=1,SUMPRODUCT(--($AK$2:$AK$4001&lt;$AK1375))+1,"")</f>
        <v/>
      </c>
      <c r="AJ1375" s="18" t="str">
        <f aca="false">IF($D1375="","",IF(OR($R1375=TRUE(),$R1375="TRUE"),1,0))</f>
        <v/>
      </c>
      <c r="AK1375" s="18" t="str">
        <f aca="false">IF($AH1375=1,IFERROR(VALUE(MID($D1375,2,20)),1000000000)+ROW()/10000000,"")</f>
        <v/>
      </c>
    </row>
    <row r="1376" customFormat="false" ht="15" hidden="false" customHeight="false" outlineLevel="0" collapsed="false">
      <c r="F1376" s="15"/>
      <c r="N1376" s="16" t="str">
        <f aca="false">IF($D1376="","",M1376*Y1376/100)</f>
        <v/>
      </c>
      <c r="V1376" s="16" t="str">
        <f aca="false">IF($D1376="","",Y1376*AB1376/100)</f>
        <v/>
      </c>
      <c r="W1376" s="16" t="str">
        <f aca="false">IF($D1376="","",Y1376-V1376)</f>
        <v/>
      </c>
      <c r="X1376" s="16" t="str">
        <f aca="false">IF($D1376="","",W1376-N1376)</f>
        <v/>
      </c>
      <c r="AB1376" s="17" t="str">
        <f aca="false">IF($D1376="","",IF(OR($R1376=TRUE(),$R1376="TRUE"),Settings!$C$6,Settings!$C$7)*100)</f>
        <v/>
      </c>
      <c r="AH1376" s="18" t="str">
        <f aca="false">IF($D1376="","",IF(COUNTIF($D$2:$D1376,$D1376)=1,1,0))</f>
        <v/>
      </c>
      <c r="AI1376" s="18" t="str">
        <f aca="false">IF($AH1376=1,SUMPRODUCT(--($AK$2:$AK$4001&lt;$AK1376))+1,"")</f>
        <v/>
      </c>
      <c r="AJ1376" s="18" t="str">
        <f aca="false">IF($D1376="","",IF(OR($R1376=TRUE(),$R1376="TRUE"),1,0))</f>
        <v/>
      </c>
      <c r="AK1376" s="18" t="str">
        <f aca="false">IF($AH1376=1,IFERROR(VALUE(MID($D1376,2,20)),1000000000)+ROW()/10000000,"")</f>
        <v/>
      </c>
    </row>
    <row r="1377" customFormat="false" ht="15" hidden="false" customHeight="false" outlineLevel="0" collapsed="false">
      <c r="F1377" s="15"/>
      <c r="N1377" s="16" t="str">
        <f aca="false">IF($D1377="","",M1377*Y1377/100)</f>
        <v/>
      </c>
      <c r="V1377" s="16" t="str">
        <f aca="false">IF($D1377="","",Y1377*AB1377/100)</f>
        <v/>
      </c>
      <c r="W1377" s="16" t="str">
        <f aca="false">IF($D1377="","",Y1377-V1377)</f>
        <v/>
      </c>
      <c r="X1377" s="16" t="str">
        <f aca="false">IF($D1377="","",W1377-N1377)</f>
        <v/>
      </c>
      <c r="AB1377" s="17" t="str">
        <f aca="false">IF($D1377="","",IF(OR($R1377=TRUE(),$R1377="TRUE"),Settings!$C$6,Settings!$C$7)*100)</f>
        <v/>
      </c>
      <c r="AH1377" s="18" t="str">
        <f aca="false">IF($D1377="","",IF(COUNTIF($D$2:$D1377,$D1377)=1,1,0))</f>
        <v/>
      </c>
      <c r="AI1377" s="18" t="str">
        <f aca="false">IF($AH1377=1,SUMPRODUCT(--($AK$2:$AK$4001&lt;$AK1377))+1,"")</f>
        <v/>
      </c>
      <c r="AJ1377" s="18" t="str">
        <f aca="false">IF($D1377="","",IF(OR($R1377=TRUE(),$R1377="TRUE"),1,0))</f>
        <v/>
      </c>
      <c r="AK1377" s="18" t="str">
        <f aca="false">IF($AH1377=1,IFERROR(VALUE(MID($D1377,2,20)),1000000000)+ROW()/10000000,"")</f>
        <v/>
      </c>
    </row>
    <row r="1378" customFormat="false" ht="15" hidden="false" customHeight="false" outlineLevel="0" collapsed="false">
      <c r="F1378" s="15"/>
      <c r="N1378" s="16" t="str">
        <f aca="false">IF($D1378="","",M1378*Y1378/100)</f>
        <v/>
      </c>
      <c r="V1378" s="16" t="str">
        <f aca="false">IF($D1378="","",Y1378*AB1378/100)</f>
        <v/>
      </c>
      <c r="W1378" s="16" t="str">
        <f aca="false">IF($D1378="","",Y1378-V1378)</f>
        <v/>
      </c>
      <c r="X1378" s="16" t="str">
        <f aca="false">IF($D1378="","",W1378-N1378)</f>
        <v/>
      </c>
      <c r="AB1378" s="17" t="str">
        <f aca="false">IF($D1378="","",IF(OR($R1378=TRUE(),$R1378="TRUE"),Settings!$C$6,Settings!$C$7)*100)</f>
        <v/>
      </c>
      <c r="AH1378" s="18" t="str">
        <f aca="false">IF($D1378="","",IF(COUNTIF($D$2:$D1378,$D1378)=1,1,0))</f>
        <v/>
      </c>
      <c r="AI1378" s="18" t="str">
        <f aca="false">IF($AH1378=1,SUMPRODUCT(--($AK$2:$AK$4001&lt;$AK1378))+1,"")</f>
        <v/>
      </c>
      <c r="AJ1378" s="18" t="str">
        <f aca="false">IF($D1378="","",IF(OR($R1378=TRUE(),$R1378="TRUE"),1,0))</f>
        <v/>
      </c>
      <c r="AK1378" s="18" t="str">
        <f aca="false">IF($AH1378=1,IFERROR(VALUE(MID($D1378,2,20)),1000000000)+ROW()/10000000,"")</f>
        <v/>
      </c>
    </row>
    <row r="1379" customFormat="false" ht="15" hidden="false" customHeight="false" outlineLevel="0" collapsed="false">
      <c r="F1379" s="15"/>
      <c r="N1379" s="16" t="str">
        <f aca="false">IF($D1379="","",M1379*Y1379/100)</f>
        <v/>
      </c>
      <c r="V1379" s="16" t="str">
        <f aca="false">IF($D1379="","",Y1379*AB1379/100)</f>
        <v/>
      </c>
      <c r="W1379" s="16" t="str">
        <f aca="false">IF($D1379="","",Y1379-V1379)</f>
        <v/>
      </c>
      <c r="X1379" s="16" t="str">
        <f aca="false">IF($D1379="","",W1379-N1379)</f>
        <v/>
      </c>
      <c r="AB1379" s="17" t="str">
        <f aca="false">IF($D1379="","",IF(OR($R1379=TRUE(),$R1379="TRUE"),Settings!$C$6,Settings!$C$7)*100)</f>
        <v/>
      </c>
      <c r="AH1379" s="18" t="str">
        <f aca="false">IF($D1379="","",IF(COUNTIF($D$2:$D1379,$D1379)=1,1,0))</f>
        <v/>
      </c>
      <c r="AI1379" s="18" t="str">
        <f aca="false">IF($AH1379=1,SUMPRODUCT(--($AK$2:$AK$4001&lt;$AK1379))+1,"")</f>
        <v/>
      </c>
      <c r="AJ1379" s="18" t="str">
        <f aca="false">IF($D1379="","",IF(OR($R1379=TRUE(),$R1379="TRUE"),1,0))</f>
        <v/>
      </c>
      <c r="AK1379" s="18" t="str">
        <f aca="false">IF($AH1379=1,IFERROR(VALUE(MID($D1379,2,20)),1000000000)+ROW()/10000000,"")</f>
        <v/>
      </c>
    </row>
    <row r="1380" customFormat="false" ht="15" hidden="false" customHeight="false" outlineLevel="0" collapsed="false">
      <c r="F1380" s="15"/>
      <c r="N1380" s="16" t="str">
        <f aca="false">IF($D1380="","",M1380*Y1380/100)</f>
        <v/>
      </c>
      <c r="V1380" s="16" t="str">
        <f aca="false">IF($D1380="","",Y1380*AB1380/100)</f>
        <v/>
      </c>
      <c r="W1380" s="16" t="str">
        <f aca="false">IF($D1380="","",Y1380-V1380)</f>
        <v/>
      </c>
      <c r="X1380" s="16" t="str">
        <f aca="false">IF($D1380="","",W1380-N1380)</f>
        <v/>
      </c>
      <c r="AB1380" s="17" t="str">
        <f aca="false">IF($D1380="","",IF(OR($R1380=TRUE(),$R1380="TRUE"),Settings!$C$6,Settings!$C$7)*100)</f>
        <v/>
      </c>
      <c r="AH1380" s="18" t="str">
        <f aca="false">IF($D1380="","",IF(COUNTIF($D$2:$D1380,$D1380)=1,1,0))</f>
        <v/>
      </c>
      <c r="AI1380" s="18" t="str">
        <f aca="false">IF($AH1380=1,SUMPRODUCT(--($AK$2:$AK$4001&lt;$AK1380))+1,"")</f>
        <v/>
      </c>
      <c r="AJ1380" s="18" t="str">
        <f aca="false">IF($D1380="","",IF(OR($R1380=TRUE(),$R1380="TRUE"),1,0))</f>
        <v/>
      </c>
      <c r="AK1380" s="18" t="str">
        <f aca="false">IF($AH1380=1,IFERROR(VALUE(MID($D1380,2,20)),1000000000)+ROW()/10000000,"")</f>
        <v/>
      </c>
    </row>
    <row r="1381" customFormat="false" ht="15" hidden="false" customHeight="false" outlineLevel="0" collapsed="false">
      <c r="F1381" s="15"/>
      <c r="N1381" s="16" t="str">
        <f aca="false">IF($D1381="","",M1381*Y1381/100)</f>
        <v/>
      </c>
      <c r="V1381" s="16" t="str">
        <f aca="false">IF($D1381="","",Y1381*AB1381/100)</f>
        <v/>
      </c>
      <c r="W1381" s="16" t="str">
        <f aca="false">IF($D1381="","",Y1381-V1381)</f>
        <v/>
      </c>
      <c r="X1381" s="16" t="str">
        <f aca="false">IF($D1381="","",W1381-N1381)</f>
        <v/>
      </c>
      <c r="AB1381" s="17" t="str">
        <f aca="false">IF($D1381="","",IF(OR($R1381=TRUE(),$R1381="TRUE"),Settings!$C$6,Settings!$C$7)*100)</f>
        <v/>
      </c>
      <c r="AH1381" s="18" t="str">
        <f aca="false">IF($D1381="","",IF(COUNTIF($D$2:$D1381,$D1381)=1,1,0))</f>
        <v/>
      </c>
      <c r="AI1381" s="18" t="str">
        <f aca="false">IF($AH1381=1,SUMPRODUCT(--($AK$2:$AK$4001&lt;$AK1381))+1,"")</f>
        <v/>
      </c>
      <c r="AJ1381" s="18" t="str">
        <f aca="false">IF($D1381="","",IF(OR($R1381=TRUE(),$R1381="TRUE"),1,0))</f>
        <v/>
      </c>
      <c r="AK1381" s="18" t="str">
        <f aca="false">IF($AH1381=1,IFERROR(VALUE(MID($D1381,2,20)),1000000000)+ROW()/10000000,"")</f>
        <v/>
      </c>
    </row>
    <row r="1382" customFormat="false" ht="15" hidden="false" customHeight="false" outlineLevel="0" collapsed="false">
      <c r="F1382" s="15"/>
      <c r="N1382" s="16" t="str">
        <f aca="false">IF($D1382="","",M1382*Y1382/100)</f>
        <v/>
      </c>
      <c r="V1382" s="16" t="str">
        <f aca="false">IF($D1382="","",Y1382*AB1382/100)</f>
        <v/>
      </c>
      <c r="W1382" s="16" t="str">
        <f aca="false">IF($D1382="","",Y1382-V1382)</f>
        <v/>
      </c>
      <c r="X1382" s="16" t="str">
        <f aca="false">IF($D1382="","",W1382-N1382)</f>
        <v/>
      </c>
      <c r="AB1382" s="17" t="str">
        <f aca="false">IF($D1382="","",IF(OR($R1382=TRUE(),$R1382="TRUE"),Settings!$C$6,Settings!$C$7)*100)</f>
        <v/>
      </c>
      <c r="AH1382" s="18" t="str">
        <f aca="false">IF($D1382="","",IF(COUNTIF($D$2:$D1382,$D1382)=1,1,0))</f>
        <v/>
      </c>
      <c r="AI1382" s="18" t="str">
        <f aca="false">IF($AH1382=1,SUMPRODUCT(--($AK$2:$AK$4001&lt;$AK1382))+1,"")</f>
        <v/>
      </c>
      <c r="AJ1382" s="18" t="str">
        <f aca="false">IF($D1382="","",IF(OR($R1382=TRUE(),$R1382="TRUE"),1,0))</f>
        <v/>
      </c>
      <c r="AK1382" s="18" t="str">
        <f aca="false">IF($AH1382=1,IFERROR(VALUE(MID($D1382,2,20)),1000000000)+ROW()/10000000,"")</f>
        <v/>
      </c>
    </row>
    <row r="1383" customFormat="false" ht="15" hidden="false" customHeight="false" outlineLevel="0" collapsed="false">
      <c r="F1383" s="15"/>
      <c r="N1383" s="16" t="str">
        <f aca="false">IF($D1383="","",M1383*Y1383/100)</f>
        <v/>
      </c>
      <c r="V1383" s="16" t="str">
        <f aca="false">IF($D1383="","",Y1383*AB1383/100)</f>
        <v/>
      </c>
      <c r="W1383" s="16" t="str">
        <f aca="false">IF($D1383="","",Y1383-V1383)</f>
        <v/>
      </c>
      <c r="X1383" s="16" t="str">
        <f aca="false">IF($D1383="","",W1383-N1383)</f>
        <v/>
      </c>
      <c r="AB1383" s="17" t="str">
        <f aca="false">IF($D1383="","",IF(OR($R1383=TRUE(),$R1383="TRUE"),Settings!$C$6,Settings!$C$7)*100)</f>
        <v/>
      </c>
      <c r="AH1383" s="18" t="str">
        <f aca="false">IF($D1383="","",IF(COUNTIF($D$2:$D1383,$D1383)=1,1,0))</f>
        <v/>
      </c>
      <c r="AI1383" s="18" t="str">
        <f aca="false">IF($AH1383=1,SUMPRODUCT(--($AK$2:$AK$4001&lt;$AK1383))+1,"")</f>
        <v/>
      </c>
      <c r="AJ1383" s="18" t="str">
        <f aca="false">IF($D1383="","",IF(OR($R1383=TRUE(),$R1383="TRUE"),1,0))</f>
        <v/>
      </c>
      <c r="AK1383" s="18" t="str">
        <f aca="false">IF($AH1383=1,IFERROR(VALUE(MID($D1383,2,20)),1000000000)+ROW()/10000000,"")</f>
        <v/>
      </c>
    </row>
    <row r="1384" customFormat="false" ht="15" hidden="false" customHeight="false" outlineLevel="0" collapsed="false">
      <c r="F1384" s="15"/>
      <c r="N1384" s="16" t="str">
        <f aca="false">IF($D1384="","",M1384*Y1384/100)</f>
        <v/>
      </c>
      <c r="V1384" s="16" t="str">
        <f aca="false">IF($D1384="","",Y1384*AB1384/100)</f>
        <v/>
      </c>
      <c r="W1384" s="16" t="str">
        <f aca="false">IF($D1384="","",Y1384-V1384)</f>
        <v/>
      </c>
      <c r="X1384" s="16" t="str">
        <f aca="false">IF($D1384="","",W1384-N1384)</f>
        <v/>
      </c>
      <c r="AB1384" s="17" t="str">
        <f aca="false">IF($D1384="","",IF(OR($R1384=TRUE(),$R1384="TRUE"),Settings!$C$6,Settings!$C$7)*100)</f>
        <v/>
      </c>
      <c r="AH1384" s="18" t="str">
        <f aca="false">IF($D1384="","",IF(COUNTIF($D$2:$D1384,$D1384)=1,1,0))</f>
        <v/>
      </c>
      <c r="AI1384" s="18" t="str">
        <f aca="false">IF($AH1384=1,SUMPRODUCT(--($AK$2:$AK$4001&lt;$AK1384))+1,"")</f>
        <v/>
      </c>
      <c r="AJ1384" s="18" t="str">
        <f aca="false">IF($D1384="","",IF(OR($R1384=TRUE(),$R1384="TRUE"),1,0))</f>
        <v/>
      </c>
      <c r="AK1384" s="18" t="str">
        <f aca="false">IF($AH1384=1,IFERROR(VALUE(MID($D1384,2,20)),1000000000)+ROW()/10000000,"")</f>
        <v/>
      </c>
    </row>
    <row r="1385" customFormat="false" ht="15" hidden="false" customHeight="false" outlineLevel="0" collapsed="false">
      <c r="F1385" s="15"/>
      <c r="N1385" s="16" t="str">
        <f aca="false">IF($D1385="","",M1385*Y1385/100)</f>
        <v/>
      </c>
      <c r="V1385" s="16" t="str">
        <f aca="false">IF($D1385="","",Y1385*AB1385/100)</f>
        <v/>
      </c>
      <c r="W1385" s="16" t="str">
        <f aca="false">IF($D1385="","",Y1385-V1385)</f>
        <v/>
      </c>
      <c r="X1385" s="16" t="str">
        <f aca="false">IF($D1385="","",W1385-N1385)</f>
        <v/>
      </c>
      <c r="AB1385" s="17" t="str">
        <f aca="false">IF($D1385="","",IF(OR($R1385=TRUE(),$R1385="TRUE"),Settings!$C$6,Settings!$C$7)*100)</f>
        <v/>
      </c>
      <c r="AH1385" s="18" t="str">
        <f aca="false">IF($D1385="","",IF(COUNTIF($D$2:$D1385,$D1385)=1,1,0))</f>
        <v/>
      </c>
      <c r="AI1385" s="18" t="str">
        <f aca="false">IF($AH1385=1,SUMPRODUCT(--($AK$2:$AK$4001&lt;$AK1385))+1,"")</f>
        <v/>
      </c>
      <c r="AJ1385" s="18" t="str">
        <f aca="false">IF($D1385="","",IF(OR($R1385=TRUE(),$R1385="TRUE"),1,0))</f>
        <v/>
      </c>
      <c r="AK1385" s="18" t="str">
        <f aca="false">IF($AH1385=1,IFERROR(VALUE(MID($D1385,2,20)),1000000000)+ROW()/10000000,"")</f>
        <v/>
      </c>
    </row>
    <row r="1386" customFormat="false" ht="15" hidden="false" customHeight="false" outlineLevel="0" collapsed="false">
      <c r="F1386" s="15"/>
      <c r="N1386" s="16" t="str">
        <f aca="false">IF($D1386="","",M1386*Y1386/100)</f>
        <v/>
      </c>
      <c r="V1386" s="16" t="str">
        <f aca="false">IF($D1386="","",Y1386*AB1386/100)</f>
        <v/>
      </c>
      <c r="W1386" s="16" t="str">
        <f aca="false">IF($D1386="","",Y1386-V1386)</f>
        <v/>
      </c>
      <c r="X1386" s="16" t="str">
        <f aca="false">IF($D1386="","",W1386-N1386)</f>
        <v/>
      </c>
      <c r="AB1386" s="17" t="str">
        <f aca="false">IF($D1386="","",IF(OR($R1386=TRUE(),$R1386="TRUE"),Settings!$C$6,Settings!$C$7)*100)</f>
        <v/>
      </c>
      <c r="AH1386" s="18" t="str">
        <f aca="false">IF($D1386="","",IF(COUNTIF($D$2:$D1386,$D1386)=1,1,0))</f>
        <v/>
      </c>
      <c r="AI1386" s="18" t="str">
        <f aca="false">IF($AH1386=1,SUMPRODUCT(--($AK$2:$AK$4001&lt;$AK1386))+1,"")</f>
        <v/>
      </c>
      <c r="AJ1386" s="18" t="str">
        <f aca="false">IF($D1386="","",IF(OR($R1386=TRUE(),$R1386="TRUE"),1,0))</f>
        <v/>
      </c>
      <c r="AK1386" s="18" t="str">
        <f aca="false">IF($AH1386=1,IFERROR(VALUE(MID($D1386,2,20)),1000000000)+ROW()/10000000,"")</f>
        <v/>
      </c>
    </row>
    <row r="1387" customFormat="false" ht="15" hidden="false" customHeight="false" outlineLevel="0" collapsed="false">
      <c r="F1387" s="15"/>
      <c r="N1387" s="16" t="str">
        <f aca="false">IF($D1387="","",M1387*Y1387/100)</f>
        <v/>
      </c>
      <c r="V1387" s="16" t="str">
        <f aca="false">IF($D1387="","",Y1387*AB1387/100)</f>
        <v/>
      </c>
      <c r="W1387" s="16" t="str">
        <f aca="false">IF($D1387="","",Y1387-V1387)</f>
        <v/>
      </c>
      <c r="X1387" s="16" t="str">
        <f aca="false">IF($D1387="","",W1387-N1387)</f>
        <v/>
      </c>
      <c r="AB1387" s="17" t="str">
        <f aca="false">IF($D1387="","",IF(OR($R1387=TRUE(),$R1387="TRUE"),Settings!$C$6,Settings!$C$7)*100)</f>
        <v/>
      </c>
      <c r="AH1387" s="18" t="str">
        <f aca="false">IF($D1387="","",IF(COUNTIF($D$2:$D1387,$D1387)=1,1,0))</f>
        <v/>
      </c>
      <c r="AI1387" s="18" t="str">
        <f aca="false">IF($AH1387=1,SUMPRODUCT(--($AK$2:$AK$4001&lt;$AK1387))+1,"")</f>
        <v/>
      </c>
      <c r="AJ1387" s="18" t="str">
        <f aca="false">IF($D1387="","",IF(OR($R1387=TRUE(),$R1387="TRUE"),1,0))</f>
        <v/>
      </c>
      <c r="AK1387" s="18" t="str">
        <f aca="false">IF($AH1387=1,IFERROR(VALUE(MID($D1387,2,20)),1000000000)+ROW()/10000000,"")</f>
        <v/>
      </c>
    </row>
    <row r="1388" customFormat="false" ht="15" hidden="false" customHeight="false" outlineLevel="0" collapsed="false">
      <c r="F1388" s="15"/>
      <c r="N1388" s="16" t="str">
        <f aca="false">IF($D1388="","",M1388*Y1388/100)</f>
        <v/>
      </c>
      <c r="V1388" s="16" t="str">
        <f aca="false">IF($D1388="","",Y1388*AB1388/100)</f>
        <v/>
      </c>
      <c r="W1388" s="16" t="str">
        <f aca="false">IF($D1388="","",Y1388-V1388)</f>
        <v/>
      </c>
      <c r="X1388" s="16" t="str">
        <f aca="false">IF($D1388="","",W1388-N1388)</f>
        <v/>
      </c>
      <c r="AB1388" s="17" t="str">
        <f aca="false">IF($D1388="","",IF(OR($R1388=TRUE(),$R1388="TRUE"),Settings!$C$6,Settings!$C$7)*100)</f>
        <v/>
      </c>
      <c r="AH1388" s="18" t="str">
        <f aca="false">IF($D1388="","",IF(COUNTIF($D$2:$D1388,$D1388)=1,1,0))</f>
        <v/>
      </c>
      <c r="AI1388" s="18" t="str">
        <f aca="false">IF($AH1388=1,SUMPRODUCT(--($AK$2:$AK$4001&lt;$AK1388))+1,"")</f>
        <v/>
      </c>
      <c r="AJ1388" s="18" t="str">
        <f aca="false">IF($D1388="","",IF(OR($R1388=TRUE(),$R1388="TRUE"),1,0))</f>
        <v/>
      </c>
      <c r="AK1388" s="18" t="str">
        <f aca="false">IF($AH1388=1,IFERROR(VALUE(MID($D1388,2,20)),1000000000)+ROW()/10000000,"")</f>
        <v/>
      </c>
    </row>
    <row r="1389" customFormat="false" ht="15" hidden="false" customHeight="false" outlineLevel="0" collapsed="false">
      <c r="F1389" s="15"/>
      <c r="N1389" s="16" t="str">
        <f aca="false">IF($D1389="","",M1389*Y1389/100)</f>
        <v/>
      </c>
      <c r="V1389" s="16" t="str">
        <f aca="false">IF($D1389="","",Y1389*AB1389/100)</f>
        <v/>
      </c>
      <c r="W1389" s="16" t="str">
        <f aca="false">IF($D1389="","",Y1389-V1389)</f>
        <v/>
      </c>
      <c r="X1389" s="16" t="str">
        <f aca="false">IF($D1389="","",W1389-N1389)</f>
        <v/>
      </c>
      <c r="AB1389" s="17" t="str">
        <f aca="false">IF($D1389="","",IF(OR($R1389=TRUE(),$R1389="TRUE"),Settings!$C$6,Settings!$C$7)*100)</f>
        <v/>
      </c>
      <c r="AH1389" s="18" t="str">
        <f aca="false">IF($D1389="","",IF(COUNTIF($D$2:$D1389,$D1389)=1,1,0))</f>
        <v/>
      </c>
      <c r="AI1389" s="18" t="str">
        <f aca="false">IF($AH1389=1,SUMPRODUCT(--($AK$2:$AK$4001&lt;$AK1389))+1,"")</f>
        <v/>
      </c>
      <c r="AJ1389" s="18" t="str">
        <f aca="false">IF($D1389="","",IF(OR($R1389=TRUE(),$R1389="TRUE"),1,0))</f>
        <v/>
      </c>
      <c r="AK1389" s="18" t="str">
        <f aca="false">IF($AH1389=1,IFERROR(VALUE(MID($D1389,2,20)),1000000000)+ROW()/10000000,"")</f>
        <v/>
      </c>
    </row>
    <row r="1390" customFormat="false" ht="15" hidden="false" customHeight="false" outlineLevel="0" collapsed="false">
      <c r="F1390" s="15"/>
      <c r="N1390" s="16" t="str">
        <f aca="false">IF($D1390="","",M1390*Y1390/100)</f>
        <v/>
      </c>
      <c r="V1390" s="16" t="str">
        <f aca="false">IF($D1390="","",Y1390*AB1390/100)</f>
        <v/>
      </c>
      <c r="W1390" s="16" t="str">
        <f aca="false">IF($D1390="","",Y1390-V1390)</f>
        <v/>
      </c>
      <c r="X1390" s="16" t="str">
        <f aca="false">IF($D1390="","",W1390-N1390)</f>
        <v/>
      </c>
      <c r="AB1390" s="17" t="str">
        <f aca="false">IF($D1390="","",IF(OR($R1390=TRUE(),$R1390="TRUE"),Settings!$C$6,Settings!$C$7)*100)</f>
        <v/>
      </c>
      <c r="AH1390" s="18" t="str">
        <f aca="false">IF($D1390="","",IF(COUNTIF($D$2:$D1390,$D1390)=1,1,0))</f>
        <v/>
      </c>
      <c r="AI1390" s="18" t="str">
        <f aca="false">IF($AH1390=1,SUMPRODUCT(--($AK$2:$AK$4001&lt;$AK1390))+1,"")</f>
        <v/>
      </c>
      <c r="AJ1390" s="18" t="str">
        <f aca="false">IF($D1390="","",IF(OR($R1390=TRUE(),$R1390="TRUE"),1,0))</f>
        <v/>
      </c>
      <c r="AK1390" s="18" t="str">
        <f aca="false">IF($AH1390=1,IFERROR(VALUE(MID($D1390,2,20)),1000000000)+ROW()/10000000,"")</f>
        <v/>
      </c>
    </row>
    <row r="1391" customFormat="false" ht="15" hidden="false" customHeight="false" outlineLevel="0" collapsed="false">
      <c r="F1391" s="15"/>
      <c r="N1391" s="16" t="str">
        <f aca="false">IF($D1391="","",M1391*Y1391/100)</f>
        <v/>
      </c>
      <c r="V1391" s="16" t="str">
        <f aca="false">IF($D1391="","",Y1391*AB1391/100)</f>
        <v/>
      </c>
      <c r="W1391" s="16" t="str">
        <f aca="false">IF($D1391="","",Y1391-V1391)</f>
        <v/>
      </c>
      <c r="X1391" s="16" t="str">
        <f aca="false">IF($D1391="","",W1391-N1391)</f>
        <v/>
      </c>
      <c r="AB1391" s="17" t="str">
        <f aca="false">IF($D1391="","",IF(OR($R1391=TRUE(),$R1391="TRUE"),Settings!$C$6,Settings!$C$7)*100)</f>
        <v/>
      </c>
      <c r="AH1391" s="18" t="str">
        <f aca="false">IF($D1391="","",IF(COUNTIF($D$2:$D1391,$D1391)=1,1,0))</f>
        <v/>
      </c>
      <c r="AI1391" s="18" t="str">
        <f aca="false">IF($AH1391=1,SUMPRODUCT(--($AK$2:$AK$4001&lt;$AK1391))+1,"")</f>
        <v/>
      </c>
      <c r="AJ1391" s="18" t="str">
        <f aca="false">IF($D1391="","",IF(OR($R1391=TRUE(),$R1391="TRUE"),1,0))</f>
        <v/>
      </c>
      <c r="AK1391" s="18" t="str">
        <f aca="false">IF($AH1391=1,IFERROR(VALUE(MID($D1391,2,20)),1000000000)+ROW()/10000000,"")</f>
        <v/>
      </c>
    </row>
    <row r="1392" customFormat="false" ht="15" hidden="false" customHeight="false" outlineLevel="0" collapsed="false">
      <c r="F1392" s="15"/>
      <c r="N1392" s="16" t="str">
        <f aca="false">IF($D1392="","",M1392*Y1392/100)</f>
        <v/>
      </c>
      <c r="V1392" s="16" t="str">
        <f aca="false">IF($D1392="","",Y1392*AB1392/100)</f>
        <v/>
      </c>
      <c r="W1392" s="16" t="str">
        <f aca="false">IF($D1392="","",Y1392-V1392)</f>
        <v/>
      </c>
      <c r="X1392" s="16" t="str">
        <f aca="false">IF($D1392="","",W1392-N1392)</f>
        <v/>
      </c>
      <c r="AB1392" s="17" t="str">
        <f aca="false">IF($D1392="","",IF(OR($R1392=TRUE(),$R1392="TRUE"),Settings!$C$6,Settings!$C$7)*100)</f>
        <v/>
      </c>
      <c r="AH1392" s="18" t="str">
        <f aca="false">IF($D1392="","",IF(COUNTIF($D$2:$D1392,$D1392)=1,1,0))</f>
        <v/>
      </c>
      <c r="AI1392" s="18" t="str">
        <f aca="false">IF($AH1392=1,SUMPRODUCT(--($AK$2:$AK$4001&lt;$AK1392))+1,"")</f>
        <v/>
      </c>
      <c r="AJ1392" s="18" t="str">
        <f aca="false">IF($D1392="","",IF(OR($R1392=TRUE(),$R1392="TRUE"),1,0))</f>
        <v/>
      </c>
      <c r="AK1392" s="18" t="str">
        <f aca="false">IF($AH1392=1,IFERROR(VALUE(MID($D1392,2,20)),1000000000)+ROW()/10000000,"")</f>
        <v/>
      </c>
    </row>
    <row r="1393" customFormat="false" ht="15" hidden="false" customHeight="false" outlineLevel="0" collapsed="false">
      <c r="F1393" s="15"/>
      <c r="N1393" s="16" t="str">
        <f aca="false">IF($D1393="","",M1393*Y1393/100)</f>
        <v/>
      </c>
      <c r="V1393" s="16" t="str">
        <f aca="false">IF($D1393="","",Y1393*AB1393/100)</f>
        <v/>
      </c>
      <c r="W1393" s="16" t="str">
        <f aca="false">IF($D1393="","",Y1393-V1393)</f>
        <v/>
      </c>
      <c r="X1393" s="16" t="str">
        <f aca="false">IF($D1393="","",W1393-N1393)</f>
        <v/>
      </c>
      <c r="AB1393" s="17" t="str">
        <f aca="false">IF($D1393="","",IF(OR($R1393=TRUE(),$R1393="TRUE"),Settings!$C$6,Settings!$C$7)*100)</f>
        <v/>
      </c>
      <c r="AH1393" s="18" t="str">
        <f aca="false">IF($D1393="","",IF(COUNTIF($D$2:$D1393,$D1393)=1,1,0))</f>
        <v/>
      </c>
      <c r="AI1393" s="18" t="str">
        <f aca="false">IF($AH1393=1,SUMPRODUCT(--($AK$2:$AK$4001&lt;$AK1393))+1,"")</f>
        <v/>
      </c>
      <c r="AJ1393" s="18" t="str">
        <f aca="false">IF($D1393="","",IF(OR($R1393=TRUE(),$R1393="TRUE"),1,0))</f>
        <v/>
      </c>
      <c r="AK1393" s="18" t="str">
        <f aca="false">IF($AH1393=1,IFERROR(VALUE(MID($D1393,2,20)),1000000000)+ROW()/10000000,"")</f>
        <v/>
      </c>
    </row>
    <row r="1394" customFormat="false" ht="15" hidden="false" customHeight="false" outlineLevel="0" collapsed="false">
      <c r="F1394" s="15"/>
      <c r="N1394" s="16" t="str">
        <f aca="false">IF($D1394="","",M1394*Y1394/100)</f>
        <v/>
      </c>
      <c r="V1394" s="16" t="str">
        <f aca="false">IF($D1394="","",Y1394*AB1394/100)</f>
        <v/>
      </c>
      <c r="W1394" s="16" t="str">
        <f aca="false">IF($D1394="","",Y1394-V1394)</f>
        <v/>
      </c>
      <c r="X1394" s="16" t="str">
        <f aca="false">IF($D1394="","",W1394-N1394)</f>
        <v/>
      </c>
      <c r="AB1394" s="17" t="str">
        <f aca="false">IF($D1394="","",IF(OR($R1394=TRUE(),$R1394="TRUE"),Settings!$C$6,Settings!$C$7)*100)</f>
        <v/>
      </c>
      <c r="AH1394" s="18" t="str">
        <f aca="false">IF($D1394="","",IF(COUNTIF($D$2:$D1394,$D1394)=1,1,0))</f>
        <v/>
      </c>
      <c r="AI1394" s="18" t="str">
        <f aca="false">IF($AH1394=1,SUMPRODUCT(--($AK$2:$AK$4001&lt;$AK1394))+1,"")</f>
        <v/>
      </c>
      <c r="AJ1394" s="18" t="str">
        <f aca="false">IF($D1394="","",IF(OR($R1394=TRUE(),$R1394="TRUE"),1,0))</f>
        <v/>
      </c>
      <c r="AK1394" s="18" t="str">
        <f aca="false">IF($AH1394=1,IFERROR(VALUE(MID($D1394,2,20)),1000000000)+ROW()/10000000,"")</f>
        <v/>
      </c>
    </row>
    <row r="1395" customFormat="false" ht="15" hidden="false" customHeight="false" outlineLevel="0" collapsed="false">
      <c r="F1395" s="15"/>
      <c r="N1395" s="16" t="str">
        <f aca="false">IF($D1395="","",M1395*Y1395/100)</f>
        <v/>
      </c>
      <c r="V1395" s="16" t="str">
        <f aca="false">IF($D1395="","",Y1395*AB1395/100)</f>
        <v/>
      </c>
      <c r="W1395" s="16" t="str">
        <f aca="false">IF($D1395="","",Y1395-V1395)</f>
        <v/>
      </c>
      <c r="X1395" s="16" t="str">
        <f aca="false">IF($D1395="","",W1395-N1395)</f>
        <v/>
      </c>
      <c r="AB1395" s="17" t="str">
        <f aca="false">IF($D1395="","",IF(OR($R1395=TRUE(),$R1395="TRUE"),Settings!$C$6,Settings!$C$7)*100)</f>
        <v/>
      </c>
      <c r="AH1395" s="18" t="str">
        <f aca="false">IF($D1395="","",IF(COUNTIF($D$2:$D1395,$D1395)=1,1,0))</f>
        <v/>
      </c>
      <c r="AI1395" s="18" t="str">
        <f aca="false">IF($AH1395=1,SUMPRODUCT(--($AK$2:$AK$4001&lt;$AK1395))+1,"")</f>
        <v/>
      </c>
      <c r="AJ1395" s="18" t="str">
        <f aca="false">IF($D1395="","",IF(OR($R1395=TRUE(),$R1395="TRUE"),1,0))</f>
        <v/>
      </c>
      <c r="AK1395" s="18" t="str">
        <f aca="false">IF($AH1395=1,IFERROR(VALUE(MID($D1395,2,20)),1000000000)+ROW()/10000000,"")</f>
        <v/>
      </c>
    </row>
    <row r="1396" customFormat="false" ht="15" hidden="false" customHeight="false" outlineLevel="0" collapsed="false">
      <c r="F1396" s="15"/>
      <c r="N1396" s="16" t="str">
        <f aca="false">IF($D1396="","",M1396*Y1396/100)</f>
        <v/>
      </c>
      <c r="V1396" s="16" t="str">
        <f aca="false">IF($D1396="","",Y1396*AB1396/100)</f>
        <v/>
      </c>
      <c r="W1396" s="16" t="str">
        <f aca="false">IF($D1396="","",Y1396-V1396)</f>
        <v/>
      </c>
      <c r="X1396" s="16" t="str">
        <f aca="false">IF($D1396="","",W1396-N1396)</f>
        <v/>
      </c>
      <c r="AB1396" s="17" t="str">
        <f aca="false">IF($D1396="","",IF(OR($R1396=TRUE(),$R1396="TRUE"),Settings!$C$6,Settings!$C$7)*100)</f>
        <v/>
      </c>
      <c r="AH1396" s="18" t="str">
        <f aca="false">IF($D1396="","",IF(COUNTIF($D$2:$D1396,$D1396)=1,1,0))</f>
        <v/>
      </c>
      <c r="AI1396" s="18" t="str">
        <f aca="false">IF($AH1396=1,SUMPRODUCT(--($AK$2:$AK$4001&lt;$AK1396))+1,"")</f>
        <v/>
      </c>
      <c r="AJ1396" s="18" t="str">
        <f aca="false">IF($D1396="","",IF(OR($R1396=TRUE(),$R1396="TRUE"),1,0))</f>
        <v/>
      </c>
      <c r="AK1396" s="18" t="str">
        <f aca="false">IF($AH1396=1,IFERROR(VALUE(MID($D1396,2,20)),1000000000)+ROW()/10000000,"")</f>
        <v/>
      </c>
    </row>
    <row r="1397" customFormat="false" ht="15" hidden="false" customHeight="false" outlineLevel="0" collapsed="false">
      <c r="F1397" s="15"/>
      <c r="N1397" s="16" t="str">
        <f aca="false">IF($D1397="","",M1397*Y1397/100)</f>
        <v/>
      </c>
      <c r="V1397" s="16" t="str">
        <f aca="false">IF($D1397="","",Y1397*AB1397/100)</f>
        <v/>
      </c>
      <c r="W1397" s="16" t="str">
        <f aca="false">IF($D1397="","",Y1397-V1397)</f>
        <v/>
      </c>
      <c r="X1397" s="16" t="str">
        <f aca="false">IF($D1397="","",W1397-N1397)</f>
        <v/>
      </c>
      <c r="AB1397" s="17" t="str">
        <f aca="false">IF($D1397="","",IF(OR($R1397=TRUE(),$R1397="TRUE"),Settings!$C$6,Settings!$C$7)*100)</f>
        <v/>
      </c>
      <c r="AH1397" s="18" t="str">
        <f aca="false">IF($D1397="","",IF(COUNTIF($D$2:$D1397,$D1397)=1,1,0))</f>
        <v/>
      </c>
      <c r="AI1397" s="18" t="str">
        <f aca="false">IF($AH1397=1,SUMPRODUCT(--($AK$2:$AK$4001&lt;$AK1397))+1,"")</f>
        <v/>
      </c>
      <c r="AJ1397" s="18" t="str">
        <f aca="false">IF($D1397="","",IF(OR($R1397=TRUE(),$R1397="TRUE"),1,0))</f>
        <v/>
      </c>
      <c r="AK1397" s="18" t="str">
        <f aca="false">IF($AH1397=1,IFERROR(VALUE(MID($D1397,2,20)),1000000000)+ROW()/10000000,"")</f>
        <v/>
      </c>
    </row>
    <row r="1398" customFormat="false" ht="15" hidden="false" customHeight="false" outlineLevel="0" collapsed="false">
      <c r="F1398" s="15"/>
      <c r="N1398" s="16" t="str">
        <f aca="false">IF($D1398="","",M1398*Y1398/100)</f>
        <v/>
      </c>
      <c r="V1398" s="16" t="str">
        <f aca="false">IF($D1398="","",Y1398*AB1398/100)</f>
        <v/>
      </c>
      <c r="W1398" s="16" t="str">
        <f aca="false">IF($D1398="","",Y1398-V1398)</f>
        <v/>
      </c>
      <c r="X1398" s="16" t="str">
        <f aca="false">IF($D1398="","",W1398-N1398)</f>
        <v/>
      </c>
      <c r="AB1398" s="17" t="str">
        <f aca="false">IF($D1398="","",IF(OR($R1398=TRUE(),$R1398="TRUE"),Settings!$C$6,Settings!$C$7)*100)</f>
        <v/>
      </c>
      <c r="AH1398" s="18" t="str">
        <f aca="false">IF($D1398="","",IF(COUNTIF($D$2:$D1398,$D1398)=1,1,0))</f>
        <v/>
      </c>
      <c r="AI1398" s="18" t="str">
        <f aca="false">IF($AH1398=1,SUMPRODUCT(--($AK$2:$AK$4001&lt;$AK1398))+1,"")</f>
        <v/>
      </c>
      <c r="AJ1398" s="18" t="str">
        <f aca="false">IF($D1398="","",IF(OR($R1398=TRUE(),$R1398="TRUE"),1,0))</f>
        <v/>
      </c>
      <c r="AK1398" s="18" t="str">
        <f aca="false">IF($AH1398=1,IFERROR(VALUE(MID($D1398,2,20)),1000000000)+ROW()/10000000,"")</f>
        <v/>
      </c>
    </row>
    <row r="1399" customFormat="false" ht="15" hidden="false" customHeight="false" outlineLevel="0" collapsed="false">
      <c r="F1399" s="15"/>
      <c r="N1399" s="16" t="str">
        <f aca="false">IF($D1399="","",M1399*Y1399/100)</f>
        <v/>
      </c>
      <c r="V1399" s="16" t="str">
        <f aca="false">IF($D1399="","",Y1399*AB1399/100)</f>
        <v/>
      </c>
      <c r="W1399" s="16" t="str">
        <f aca="false">IF($D1399="","",Y1399-V1399)</f>
        <v/>
      </c>
      <c r="X1399" s="16" t="str">
        <f aca="false">IF($D1399="","",W1399-N1399)</f>
        <v/>
      </c>
      <c r="AB1399" s="17" t="str">
        <f aca="false">IF($D1399="","",IF(OR($R1399=TRUE(),$R1399="TRUE"),Settings!$C$6,Settings!$C$7)*100)</f>
        <v/>
      </c>
      <c r="AH1399" s="18" t="str">
        <f aca="false">IF($D1399="","",IF(COUNTIF($D$2:$D1399,$D1399)=1,1,0))</f>
        <v/>
      </c>
      <c r="AI1399" s="18" t="str">
        <f aca="false">IF($AH1399=1,SUMPRODUCT(--($AK$2:$AK$4001&lt;$AK1399))+1,"")</f>
        <v/>
      </c>
      <c r="AJ1399" s="18" t="str">
        <f aca="false">IF($D1399="","",IF(OR($R1399=TRUE(),$R1399="TRUE"),1,0))</f>
        <v/>
      </c>
      <c r="AK1399" s="18" t="str">
        <f aca="false">IF($AH1399=1,IFERROR(VALUE(MID($D1399,2,20)),1000000000)+ROW()/10000000,"")</f>
        <v/>
      </c>
    </row>
    <row r="1400" customFormat="false" ht="15" hidden="false" customHeight="false" outlineLevel="0" collapsed="false">
      <c r="F1400" s="15"/>
      <c r="N1400" s="16" t="str">
        <f aca="false">IF($D1400="","",M1400*Y1400/100)</f>
        <v/>
      </c>
      <c r="V1400" s="16" t="str">
        <f aca="false">IF($D1400="","",Y1400*AB1400/100)</f>
        <v/>
      </c>
      <c r="W1400" s="16" t="str">
        <f aca="false">IF($D1400="","",Y1400-V1400)</f>
        <v/>
      </c>
      <c r="X1400" s="16" t="str">
        <f aca="false">IF($D1400="","",W1400-N1400)</f>
        <v/>
      </c>
      <c r="AB1400" s="17" t="str">
        <f aca="false">IF($D1400="","",IF(OR($R1400=TRUE(),$R1400="TRUE"),Settings!$C$6,Settings!$C$7)*100)</f>
        <v/>
      </c>
      <c r="AH1400" s="18" t="str">
        <f aca="false">IF($D1400="","",IF(COUNTIF($D$2:$D1400,$D1400)=1,1,0))</f>
        <v/>
      </c>
      <c r="AI1400" s="18" t="str">
        <f aca="false">IF($AH1400=1,SUMPRODUCT(--($AK$2:$AK$4001&lt;$AK1400))+1,"")</f>
        <v/>
      </c>
      <c r="AJ1400" s="18" t="str">
        <f aca="false">IF($D1400="","",IF(OR($R1400=TRUE(),$R1400="TRUE"),1,0))</f>
        <v/>
      </c>
      <c r="AK1400" s="18" t="str">
        <f aca="false">IF($AH1400=1,IFERROR(VALUE(MID($D1400,2,20)),1000000000)+ROW()/10000000,"")</f>
        <v/>
      </c>
    </row>
    <row r="1401" customFormat="false" ht="15" hidden="false" customHeight="false" outlineLevel="0" collapsed="false">
      <c r="F1401" s="15"/>
      <c r="N1401" s="16" t="str">
        <f aca="false">IF($D1401="","",M1401*Y1401/100)</f>
        <v/>
      </c>
      <c r="V1401" s="16" t="str">
        <f aca="false">IF($D1401="","",Y1401*AB1401/100)</f>
        <v/>
      </c>
      <c r="W1401" s="16" t="str">
        <f aca="false">IF($D1401="","",Y1401-V1401)</f>
        <v/>
      </c>
      <c r="X1401" s="16" t="str">
        <f aca="false">IF($D1401="","",W1401-N1401)</f>
        <v/>
      </c>
      <c r="AB1401" s="17" t="str">
        <f aca="false">IF($D1401="","",IF(OR($R1401=TRUE(),$R1401="TRUE"),Settings!$C$6,Settings!$C$7)*100)</f>
        <v/>
      </c>
      <c r="AH1401" s="18" t="str">
        <f aca="false">IF($D1401="","",IF(COUNTIF($D$2:$D1401,$D1401)=1,1,0))</f>
        <v/>
      </c>
      <c r="AI1401" s="18" t="str">
        <f aca="false">IF($AH1401=1,SUMPRODUCT(--($AK$2:$AK$4001&lt;$AK1401))+1,"")</f>
        <v/>
      </c>
      <c r="AJ1401" s="18" t="str">
        <f aca="false">IF($D1401="","",IF(OR($R1401=TRUE(),$R1401="TRUE"),1,0))</f>
        <v/>
      </c>
      <c r="AK1401" s="18" t="str">
        <f aca="false">IF($AH1401=1,IFERROR(VALUE(MID($D1401,2,20)),1000000000)+ROW()/10000000,"")</f>
        <v/>
      </c>
    </row>
    <row r="1402" customFormat="false" ht="15" hidden="false" customHeight="false" outlineLevel="0" collapsed="false">
      <c r="F1402" s="15"/>
      <c r="N1402" s="16" t="str">
        <f aca="false">IF($D1402="","",M1402*Y1402/100)</f>
        <v/>
      </c>
      <c r="V1402" s="16" t="str">
        <f aca="false">IF($D1402="","",Y1402*AB1402/100)</f>
        <v/>
      </c>
      <c r="W1402" s="16" t="str">
        <f aca="false">IF($D1402="","",Y1402-V1402)</f>
        <v/>
      </c>
      <c r="X1402" s="16" t="str">
        <f aca="false">IF($D1402="","",W1402-N1402)</f>
        <v/>
      </c>
      <c r="AB1402" s="17" t="str">
        <f aca="false">IF($D1402="","",IF(OR($R1402=TRUE(),$R1402="TRUE"),Settings!$C$6,Settings!$C$7)*100)</f>
        <v/>
      </c>
      <c r="AH1402" s="18" t="str">
        <f aca="false">IF($D1402="","",IF(COUNTIF($D$2:$D1402,$D1402)=1,1,0))</f>
        <v/>
      </c>
      <c r="AI1402" s="18" t="str">
        <f aca="false">IF($AH1402=1,SUMPRODUCT(--($AK$2:$AK$4001&lt;$AK1402))+1,"")</f>
        <v/>
      </c>
      <c r="AJ1402" s="18" t="str">
        <f aca="false">IF($D1402="","",IF(OR($R1402=TRUE(),$R1402="TRUE"),1,0))</f>
        <v/>
      </c>
      <c r="AK1402" s="18" t="str">
        <f aca="false">IF($AH1402=1,IFERROR(VALUE(MID($D1402,2,20)),1000000000)+ROW()/10000000,"")</f>
        <v/>
      </c>
    </row>
    <row r="1403" customFormat="false" ht="15" hidden="false" customHeight="false" outlineLevel="0" collapsed="false">
      <c r="F1403" s="15"/>
      <c r="N1403" s="16" t="str">
        <f aca="false">IF($D1403="","",M1403*Y1403/100)</f>
        <v/>
      </c>
      <c r="V1403" s="16" t="str">
        <f aca="false">IF($D1403="","",Y1403*AB1403/100)</f>
        <v/>
      </c>
      <c r="W1403" s="16" t="str">
        <f aca="false">IF($D1403="","",Y1403-V1403)</f>
        <v/>
      </c>
      <c r="X1403" s="16" t="str">
        <f aca="false">IF($D1403="","",W1403-N1403)</f>
        <v/>
      </c>
      <c r="AB1403" s="17" t="str">
        <f aca="false">IF($D1403="","",IF(OR($R1403=TRUE(),$R1403="TRUE"),Settings!$C$6,Settings!$C$7)*100)</f>
        <v/>
      </c>
      <c r="AH1403" s="18" t="str">
        <f aca="false">IF($D1403="","",IF(COUNTIF($D$2:$D1403,$D1403)=1,1,0))</f>
        <v/>
      </c>
      <c r="AI1403" s="18" t="str">
        <f aca="false">IF($AH1403=1,SUMPRODUCT(--($AK$2:$AK$4001&lt;$AK1403))+1,"")</f>
        <v/>
      </c>
      <c r="AJ1403" s="18" t="str">
        <f aca="false">IF($D1403="","",IF(OR($R1403=TRUE(),$R1403="TRUE"),1,0))</f>
        <v/>
      </c>
      <c r="AK1403" s="18" t="str">
        <f aca="false">IF($AH1403=1,IFERROR(VALUE(MID($D1403,2,20)),1000000000)+ROW()/10000000,"")</f>
        <v/>
      </c>
    </row>
    <row r="1404" customFormat="false" ht="15" hidden="false" customHeight="false" outlineLevel="0" collapsed="false">
      <c r="F1404" s="15"/>
      <c r="N1404" s="16" t="str">
        <f aca="false">IF($D1404="","",M1404*Y1404/100)</f>
        <v/>
      </c>
      <c r="V1404" s="16" t="str">
        <f aca="false">IF($D1404="","",Y1404*AB1404/100)</f>
        <v/>
      </c>
      <c r="W1404" s="16" t="str">
        <f aca="false">IF($D1404="","",Y1404-V1404)</f>
        <v/>
      </c>
      <c r="X1404" s="16" t="str">
        <f aca="false">IF($D1404="","",W1404-N1404)</f>
        <v/>
      </c>
      <c r="AB1404" s="17" t="str">
        <f aca="false">IF($D1404="","",IF(OR($R1404=TRUE(),$R1404="TRUE"),Settings!$C$6,Settings!$C$7)*100)</f>
        <v/>
      </c>
      <c r="AH1404" s="18" t="str">
        <f aca="false">IF($D1404="","",IF(COUNTIF($D$2:$D1404,$D1404)=1,1,0))</f>
        <v/>
      </c>
      <c r="AI1404" s="18" t="str">
        <f aca="false">IF($AH1404=1,SUMPRODUCT(--($AK$2:$AK$4001&lt;$AK1404))+1,"")</f>
        <v/>
      </c>
      <c r="AJ1404" s="18" t="str">
        <f aca="false">IF($D1404="","",IF(OR($R1404=TRUE(),$R1404="TRUE"),1,0))</f>
        <v/>
      </c>
      <c r="AK1404" s="18" t="str">
        <f aca="false">IF($AH1404=1,IFERROR(VALUE(MID($D1404,2,20)),1000000000)+ROW()/10000000,"")</f>
        <v/>
      </c>
    </row>
    <row r="1405" customFormat="false" ht="15" hidden="false" customHeight="false" outlineLevel="0" collapsed="false">
      <c r="F1405" s="15"/>
      <c r="N1405" s="16" t="str">
        <f aca="false">IF($D1405="","",M1405*Y1405/100)</f>
        <v/>
      </c>
      <c r="V1405" s="16" t="str">
        <f aca="false">IF($D1405="","",Y1405*AB1405/100)</f>
        <v/>
      </c>
      <c r="W1405" s="16" t="str">
        <f aca="false">IF($D1405="","",Y1405-V1405)</f>
        <v/>
      </c>
      <c r="X1405" s="16" t="str">
        <f aca="false">IF($D1405="","",W1405-N1405)</f>
        <v/>
      </c>
      <c r="AB1405" s="17" t="str">
        <f aca="false">IF($D1405="","",IF(OR($R1405=TRUE(),$R1405="TRUE"),Settings!$C$6,Settings!$C$7)*100)</f>
        <v/>
      </c>
      <c r="AH1405" s="18" t="str">
        <f aca="false">IF($D1405="","",IF(COUNTIF($D$2:$D1405,$D1405)=1,1,0))</f>
        <v/>
      </c>
      <c r="AI1405" s="18" t="str">
        <f aca="false">IF($AH1405=1,SUMPRODUCT(--($AK$2:$AK$4001&lt;$AK1405))+1,"")</f>
        <v/>
      </c>
      <c r="AJ1405" s="18" t="str">
        <f aca="false">IF($D1405="","",IF(OR($R1405=TRUE(),$R1405="TRUE"),1,0))</f>
        <v/>
      </c>
      <c r="AK1405" s="18" t="str">
        <f aca="false">IF($AH1405=1,IFERROR(VALUE(MID($D1405,2,20)),1000000000)+ROW()/10000000,"")</f>
        <v/>
      </c>
    </row>
    <row r="1406" customFormat="false" ht="15" hidden="false" customHeight="false" outlineLevel="0" collapsed="false">
      <c r="F1406" s="15"/>
      <c r="N1406" s="16" t="str">
        <f aca="false">IF($D1406="","",M1406*Y1406/100)</f>
        <v/>
      </c>
      <c r="V1406" s="16" t="str">
        <f aca="false">IF($D1406="","",Y1406*AB1406/100)</f>
        <v/>
      </c>
      <c r="W1406" s="16" t="str">
        <f aca="false">IF($D1406="","",Y1406-V1406)</f>
        <v/>
      </c>
      <c r="X1406" s="16" t="str">
        <f aca="false">IF($D1406="","",W1406-N1406)</f>
        <v/>
      </c>
      <c r="AB1406" s="17" t="str">
        <f aca="false">IF($D1406="","",IF(OR($R1406=TRUE(),$R1406="TRUE"),Settings!$C$6,Settings!$C$7)*100)</f>
        <v/>
      </c>
      <c r="AH1406" s="18" t="str">
        <f aca="false">IF($D1406="","",IF(COUNTIF($D$2:$D1406,$D1406)=1,1,0))</f>
        <v/>
      </c>
      <c r="AI1406" s="18" t="str">
        <f aca="false">IF($AH1406=1,SUMPRODUCT(--($AK$2:$AK$4001&lt;$AK1406))+1,"")</f>
        <v/>
      </c>
      <c r="AJ1406" s="18" t="str">
        <f aca="false">IF($D1406="","",IF(OR($R1406=TRUE(),$R1406="TRUE"),1,0))</f>
        <v/>
      </c>
      <c r="AK1406" s="18" t="str">
        <f aca="false">IF($AH1406=1,IFERROR(VALUE(MID($D1406,2,20)),1000000000)+ROW()/10000000,"")</f>
        <v/>
      </c>
    </row>
    <row r="1407" customFormat="false" ht="15" hidden="false" customHeight="false" outlineLevel="0" collapsed="false">
      <c r="F1407" s="15"/>
      <c r="N1407" s="16" t="str">
        <f aca="false">IF($D1407="","",M1407*Y1407/100)</f>
        <v/>
      </c>
      <c r="V1407" s="16" t="str">
        <f aca="false">IF($D1407="","",Y1407*AB1407/100)</f>
        <v/>
      </c>
      <c r="W1407" s="16" t="str">
        <f aca="false">IF($D1407="","",Y1407-V1407)</f>
        <v/>
      </c>
      <c r="X1407" s="16" t="str">
        <f aca="false">IF($D1407="","",W1407-N1407)</f>
        <v/>
      </c>
      <c r="AB1407" s="17" t="str">
        <f aca="false">IF($D1407="","",IF(OR($R1407=TRUE(),$R1407="TRUE"),Settings!$C$6,Settings!$C$7)*100)</f>
        <v/>
      </c>
      <c r="AH1407" s="18" t="str">
        <f aca="false">IF($D1407="","",IF(COUNTIF($D$2:$D1407,$D1407)=1,1,0))</f>
        <v/>
      </c>
      <c r="AI1407" s="18" t="str">
        <f aca="false">IF($AH1407=1,SUMPRODUCT(--($AK$2:$AK$4001&lt;$AK1407))+1,"")</f>
        <v/>
      </c>
      <c r="AJ1407" s="18" t="str">
        <f aca="false">IF($D1407="","",IF(OR($R1407=TRUE(),$R1407="TRUE"),1,0))</f>
        <v/>
      </c>
      <c r="AK1407" s="18" t="str">
        <f aca="false">IF($AH1407=1,IFERROR(VALUE(MID($D1407,2,20)),1000000000)+ROW()/10000000,"")</f>
        <v/>
      </c>
    </row>
    <row r="1408" customFormat="false" ht="15" hidden="false" customHeight="false" outlineLevel="0" collapsed="false">
      <c r="F1408" s="15"/>
      <c r="N1408" s="16" t="str">
        <f aca="false">IF($D1408="","",M1408*Y1408/100)</f>
        <v/>
      </c>
      <c r="V1408" s="16" t="str">
        <f aca="false">IF($D1408="","",Y1408*AB1408/100)</f>
        <v/>
      </c>
      <c r="W1408" s="16" t="str">
        <f aca="false">IF($D1408="","",Y1408-V1408)</f>
        <v/>
      </c>
      <c r="X1408" s="16" t="str">
        <f aca="false">IF($D1408="","",W1408-N1408)</f>
        <v/>
      </c>
      <c r="AB1408" s="17" t="str">
        <f aca="false">IF($D1408="","",IF(OR($R1408=TRUE(),$R1408="TRUE"),Settings!$C$6,Settings!$C$7)*100)</f>
        <v/>
      </c>
      <c r="AH1408" s="18" t="str">
        <f aca="false">IF($D1408="","",IF(COUNTIF($D$2:$D1408,$D1408)=1,1,0))</f>
        <v/>
      </c>
      <c r="AI1408" s="18" t="str">
        <f aca="false">IF($AH1408=1,SUMPRODUCT(--($AK$2:$AK$4001&lt;$AK1408))+1,"")</f>
        <v/>
      </c>
      <c r="AJ1408" s="18" t="str">
        <f aca="false">IF($D1408="","",IF(OR($R1408=TRUE(),$R1408="TRUE"),1,0))</f>
        <v/>
      </c>
      <c r="AK1408" s="18" t="str">
        <f aca="false">IF($AH1408=1,IFERROR(VALUE(MID($D1408,2,20)),1000000000)+ROW()/10000000,"")</f>
        <v/>
      </c>
    </row>
    <row r="1409" customFormat="false" ht="15" hidden="false" customHeight="false" outlineLevel="0" collapsed="false">
      <c r="F1409" s="15"/>
      <c r="N1409" s="16" t="str">
        <f aca="false">IF($D1409="","",M1409*Y1409/100)</f>
        <v/>
      </c>
      <c r="V1409" s="16" t="str">
        <f aca="false">IF($D1409="","",Y1409*AB1409/100)</f>
        <v/>
      </c>
      <c r="W1409" s="16" t="str">
        <f aca="false">IF($D1409="","",Y1409-V1409)</f>
        <v/>
      </c>
      <c r="X1409" s="16" t="str">
        <f aca="false">IF($D1409="","",W1409-N1409)</f>
        <v/>
      </c>
      <c r="AB1409" s="17" t="str">
        <f aca="false">IF($D1409="","",IF(OR($R1409=TRUE(),$R1409="TRUE"),Settings!$C$6,Settings!$C$7)*100)</f>
        <v/>
      </c>
      <c r="AH1409" s="18" t="str">
        <f aca="false">IF($D1409="","",IF(COUNTIF($D$2:$D1409,$D1409)=1,1,0))</f>
        <v/>
      </c>
      <c r="AI1409" s="18" t="str">
        <f aca="false">IF($AH1409=1,SUMPRODUCT(--($AK$2:$AK$4001&lt;$AK1409))+1,"")</f>
        <v/>
      </c>
      <c r="AJ1409" s="18" t="str">
        <f aca="false">IF($D1409="","",IF(OR($R1409=TRUE(),$R1409="TRUE"),1,0))</f>
        <v/>
      </c>
      <c r="AK1409" s="18" t="str">
        <f aca="false">IF($AH1409=1,IFERROR(VALUE(MID($D1409,2,20)),1000000000)+ROW()/10000000,"")</f>
        <v/>
      </c>
    </row>
    <row r="1410" customFormat="false" ht="15" hidden="false" customHeight="false" outlineLevel="0" collapsed="false">
      <c r="F1410" s="15"/>
      <c r="N1410" s="16" t="str">
        <f aca="false">IF($D1410="","",M1410*Y1410/100)</f>
        <v/>
      </c>
      <c r="V1410" s="16" t="str">
        <f aca="false">IF($D1410="","",Y1410*AB1410/100)</f>
        <v/>
      </c>
      <c r="W1410" s="16" t="str">
        <f aca="false">IF($D1410="","",Y1410-V1410)</f>
        <v/>
      </c>
      <c r="X1410" s="16" t="str">
        <f aca="false">IF($D1410="","",W1410-N1410)</f>
        <v/>
      </c>
      <c r="AB1410" s="17" t="str">
        <f aca="false">IF($D1410="","",IF(OR($R1410=TRUE(),$R1410="TRUE"),Settings!$C$6,Settings!$C$7)*100)</f>
        <v/>
      </c>
      <c r="AH1410" s="18" t="str">
        <f aca="false">IF($D1410="","",IF(COUNTIF($D$2:$D1410,$D1410)=1,1,0))</f>
        <v/>
      </c>
      <c r="AI1410" s="18" t="str">
        <f aca="false">IF($AH1410=1,SUMPRODUCT(--($AK$2:$AK$4001&lt;$AK1410))+1,"")</f>
        <v/>
      </c>
      <c r="AJ1410" s="18" t="str">
        <f aca="false">IF($D1410="","",IF(OR($R1410=TRUE(),$R1410="TRUE"),1,0))</f>
        <v/>
      </c>
      <c r="AK1410" s="18" t="str">
        <f aca="false">IF($AH1410=1,IFERROR(VALUE(MID($D1410,2,20)),1000000000)+ROW()/10000000,"")</f>
        <v/>
      </c>
    </row>
    <row r="1411" customFormat="false" ht="15" hidden="false" customHeight="false" outlineLevel="0" collapsed="false">
      <c r="F1411" s="15"/>
      <c r="N1411" s="16" t="str">
        <f aca="false">IF($D1411="","",M1411*Y1411/100)</f>
        <v/>
      </c>
      <c r="V1411" s="16" t="str">
        <f aca="false">IF($D1411="","",Y1411*AB1411/100)</f>
        <v/>
      </c>
      <c r="W1411" s="16" t="str">
        <f aca="false">IF($D1411="","",Y1411-V1411)</f>
        <v/>
      </c>
      <c r="X1411" s="16" t="str">
        <f aca="false">IF($D1411="","",W1411-N1411)</f>
        <v/>
      </c>
      <c r="AB1411" s="17" t="str">
        <f aca="false">IF($D1411="","",IF(OR($R1411=TRUE(),$R1411="TRUE"),Settings!$C$6,Settings!$C$7)*100)</f>
        <v/>
      </c>
      <c r="AH1411" s="18" t="str">
        <f aca="false">IF($D1411="","",IF(COUNTIF($D$2:$D1411,$D1411)=1,1,0))</f>
        <v/>
      </c>
      <c r="AI1411" s="18" t="str">
        <f aca="false">IF($AH1411=1,SUMPRODUCT(--($AK$2:$AK$4001&lt;$AK1411))+1,"")</f>
        <v/>
      </c>
      <c r="AJ1411" s="18" t="str">
        <f aca="false">IF($D1411="","",IF(OR($R1411=TRUE(),$R1411="TRUE"),1,0))</f>
        <v/>
      </c>
      <c r="AK1411" s="18" t="str">
        <f aca="false">IF($AH1411=1,IFERROR(VALUE(MID($D1411,2,20)),1000000000)+ROW()/10000000,"")</f>
        <v/>
      </c>
    </row>
    <row r="1412" customFormat="false" ht="15" hidden="false" customHeight="false" outlineLevel="0" collapsed="false">
      <c r="F1412" s="15"/>
      <c r="N1412" s="16" t="str">
        <f aca="false">IF($D1412="","",M1412*Y1412/100)</f>
        <v/>
      </c>
      <c r="V1412" s="16" t="str">
        <f aca="false">IF($D1412="","",Y1412*AB1412/100)</f>
        <v/>
      </c>
      <c r="W1412" s="16" t="str">
        <f aca="false">IF($D1412="","",Y1412-V1412)</f>
        <v/>
      </c>
      <c r="X1412" s="16" t="str">
        <f aca="false">IF($D1412="","",W1412-N1412)</f>
        <v/>
      </c>
      <c r="AB1412" s="17" t="str">
        <f aca="false">IF($D1412="","",IF(OR($R1412=TRUE(),$R1412="TRUE"),Settings!$C$6,Settings!$C$7)*100)</f>
        <v/>
      </c>
      <c r="AH1412" s="18" t="str">
        <f aca="false">IF($D1412="","",IF(COUNTIF($D$2:$D1412,$D1412)=1,1,0))</f>
        <v/>
      </c>
      <c r="AI1412" s="18" t="str">
        <f aca="false">IF($AH1412=1,SUMPRODUCT(--($AK$2:$AK$4001&lt;$AK1412))+1,"")</f>
        <v/>
      </c>
      <c r="AJ1412" s="18" t="str">
        <f aca="false">IF($D1412="","",IF(OR($R1412=TRUE(),$R1412="TRUE"),1,0))</f>
        <v/>
      </c>
      <c r="AK1412" s="18" t="str">
        <f aca="false">IF($AH1412=1,IFERROR(VALUE(MID($D1412,2,20)),1000000000)+ROW()/10000000,"")</f>
        <v/>
      </c>
    </row>
    <row r="1413" customFormat="false" ht="15" hidden="false" customHeight="false" outlineLevel="0" collapsed="false">
      <c r="F1413" s="15"/>
      <c r="N1413" s="16" t="str">
        <f aca="false">IF($D1413="","",M1413*Y1413/100)</f>
        <v/>
      </c>
      <c r="V1413" s="16" t="str">
        <f aca="false">IF($D1413="","",Y1413*AB1413/100)</f>
        <v/>
      </c>
      <c r="W1413" s="16" t="str">
        <f aca="false">IF($D1413="","",Y1413-V1413)</f>
        <v/>
      </c>
      <c r="X1413" s="16" t="str">
        <f aca="false">IF($D1413="","",W1413-N1413)</f>
        <v/>
      </c>
      <c r="AB1413" s="17" t="str">
        <f aca="false">IF($D1413="","",IF(OR($R1413=TRUE(),$R1413="TRUE"),Settings!$C$6,Settings!$C$7)*100)</f>
        <v/>
      </c>
      <c r="AH1413" s="18" t="str">
        <f aca="false">IF($D1413="","",IF(COUNTIF($D$2:$D1413,$D1413)=1,1,0))</f>
        <v/>
      </c>
      <c r="AI1413" s="18" t="str">
        <f aca="false">IF($AH1413=1,SUMPRODUCT(--($AK$2:$AK$4001&lt;$AK1413))+1,"")</f>
        <v/>
      </c>
      <c r="AJ1413" s="18" t="str">
        <f aca="false">IF($D1413="","",IF(OR($R1413=TRUE(),$R1413="TRUE"),1,0))</f>
        <v/>
      </c>
      <c r="AK1413" s="18" t="str">
        <f aca="false">IF($AH1413=1,IFERROR(VALUE(MID($D1413,2,20)),1000000000)+ROW()/10000000,"")</f>
        <v/>
      </c>
    </row>
    <row r="1414" customFormat="false" ht="15" hidden="false" customHeight="false" outlineLevel="0" collapsed="false">
      <c r="F1414" s="15"/>
      <c r="N1414" s="16" t="str">
        <f aca="false">IF($D1414="","",M1414*Y1414/100)</f>
        <v/>
      </c>
      <c r="V1414" s="16" t="str">
        <f aca="false">IF($D1414="","",Y1414*AB1414/100)</f>
        <v/>
      </c>
      <c r="W1414" s="16" t="str">
        <f aca="false">IF($D1414="","",Y1414-V1414)</f>
        <v/>
      </c>
      <c r="X1414" s="16" t="str">
        <f aca="false">IF($D1414="","",W1414-N1414)</f>
        <v/>
      </c>
      <c r="AB1414" s="17" t="str">
        <f aca="false">IF($D1414="","",IF(OR($R1414=TRUE(),$R1414="TRUE"),Settings!$C$6,Settings!$C$7)*100)</f>
        <v/>
      </c>
      <c r="AH1414" s="18" t="str">
        <f aca="false">IF($D1414="","",IF(COUNTIF($D$2:$D1414,$D1414)=1,1,0))</f>
        <v/>
      </c>
      <c r="AI1414" s="18" t="str">
        <f aca="false">IF($AH1414=1,SUMPRODUCT(--($AK$2:$AK$4001&lt;$AK1414))+1,"")</f>
        <v/>
      </c>
      <c r="AJ1414" s="18" t="str">
        <f aca="false">IF($D1414="","",IF(OR($R1414=TRUE(),$R1414="TRUE"),1,0))</f>
        <v/>
      </c>
      <c r="AK1414" s="18" t="str">
        <f aca="false">IF($AH1414=1,IFERROR(VALUE(MID($D1414,2,20)),1000000000)+ROW()/10000000,"")</f>
        <v/>
      </c>
    </row>
    <row r="1415" customFormat="false" ht="15" hidden="false" customHeight="false" outlineLevel="0" collapsed="false">
      <c r="F1415" s="15"/>
      <c r="N1415" s="16" t="str">
        <f aca="false">IF($D1415="","",M1415*Y1415/100)</f>
        <v/>
      </c>
      <c r="V1415" s="16" t="str">
        <f aca="false">IF($D1415="","",Y1415*AB1415/100)</f>
        <v/>
      </c>
      <c r="W1415" s="16" t="str">
        <f aca="false">IF($D1415="","",Y1415-V1415)</f>
        <v/>
      </c>
      <c r="X1415" s="16" t="str">
        <f aca="false">IF($D1415="","",W1415-N1415)</f>
        <v/>
      </c>
      <c r="AB1415" s="17" t="str">
        <f aca="false">IF($D1415="","",IF(OR($R1415=TRUE(),$R1415="TRUE"),Settings!$C$6,Settings!$C$7)*100)</f>
        <v/>
      </c>
      <c r="AH1415" s="18" t="str">
        <f aca="false">IF($D1415="","",IF(COUNTIF($D$2:$D1415,$D1415)=1,1,0))</f>
        <v/>
      </c>
      <c r="AI1415" s="18" t="str">
        <f aca="false">IF($AH1415=1,SUMPRODUCT(--($AK$2:$AK$4001&lt;$AK1415))+1,"")</f>
        <v/>
      </c>
      <c r="AJ1415" s="18" t="str">
        <f aca="false">IF($D1415="","",IF(OR($R1415=TRUE(),$R1415="TRUE"),1,0))</f>
        <v/>
      </c>
      <c r="AK1415" s="18" t="str">
        <f aca="false">IF($AH1415=1,IFERROR(VALUE(MID($D1415,2,20)),1000000000)+ROW()/10000000,"")</f>
        <v/>
      </c>
    </row>
    <row r="1416" customFormat="false" ht="15" hidden="false" customHeight="false" outlineLevel="0" collapsed="false">
      <c r="F1416" s="15"/>
      <c r="N1416" s="16" t="str">
        <f aca="false">IF($D1416="","",M1416*Y1416/100)</f>
        <v/>
      </c>
      <c r="V1416" s="16" t="str">
        <f aca="false">IF($D1416="","",Y1416*AB1416/100)</f>
        <v/>
      </c>
      <c r="W1416" s="16" t="str">
        <f aca="false">IF($D1416="","",Y1416-V1416)</f>
        <v/>
      </c>
      <c r="X1416" s="16" t="str">
        <f aca="false">IF($D1416="","",W1416-N1416)</f>
        <v/>
      </c>
      <c r="AB1416" s="17" t="str">
        <f aca="false">IF($D1416="","",IF(OR($R1416=TRUE(),$R1416="TRUE"),Settings!$C$6,Settings!$C$7)*100)</f>
        <v/>
      </c>
      <c r="AH1416" s="18" t="str">
        <f aca="false">IF($D1416="","",IF(COUNTIF($D$2:$D1416,$D1416)=1,1,0))</f>
        <v/>
      </c>
      <c r="AI1416" s="18" t="str">
        <f aca="false">IF($AH1416=1,SUMPRODUCT(--($AK$2:$AK$4001&lt;$AK1416))+1,"")</f>
        <v/>
      </c>
      <c r="AJ1416" s="18" t="str">
        <f aca="false">IF($D1416="","",IF(OR($R1416=TRUE(),$R1416="TRUE"),1,0))</f>
        <v/>
      </c>
      <c r="AK1416" s="18" t="str">
        <f aca="false">IF($AH1416=1,IFERROR(VALUE(MID($D1416,2,20)),1000000000)+ROW()/10000000,"")</f>
        <v/>
      </c>
    </row>
    <row r="1417" customFormat="false" ht="15" hidden="false" customHeight="false" outlineLevel="0" collapsed="false">
      <c r="F1417" s="15"/>
      <c r="N1417" s="16" t="str">
        <f aca="false">IF($D1417="","",M1417*Y1417/100)</f>
        <v/>
      </c>
      <c r="V1417" s="16" t="str">
        <f aca="false">IF($D1417="","",Y1417*AB1417/100)</f>
        <v/>
      </c>
      <c r="W1417" s="16" t="str">
        <f aca="false">IF($D1417="","",Y1417-V1417)</f>
        <v/>
      </c>
      <c r="X1417" s="16" t="str">
        <f aca="false">IF($D1417="","",W1417-N1417)</f>
        <v/>
      </c>
      <c r="AB1417" s="17" t="str">
        <f aca="false">IF($D1417="","",IF(OR($R1417=TRUE(),$R1417="TRUE"),Settings!$C$6,Settings!$C$7)*100)</f>
        <v/>
      </c>
      <c r="AH1417" s="18" t="str">
        <f aca="false">IF($D1417="","",IF(COUNTIF($D$2:$D1417,$D1417)=1,1,0))</f>
        <v/>
      </c>
      <c r="AI1417" s="18" t="str">
        <f aca="false">IF($AH1417=1,SUMPRODUCT(--($AK$2:$AK$4001&lt;$AK1417))+1,"")</f>
        <v/>
      </c>
      <c r="AJ1417" s="18" t="str">
        <f aca="false">IF($D1417="","",IF(OR($R1417=TRUE(),$R1417="TRUE"),1,0))</f>
        <v/>
      </c>
      <c r="AK1417" s="18" t="str">
        <f aca="false">IF($AH1417=1,IFERROR(VALUE(MID($D1417,2,20)),1000000000)+ROW()/10000000,"")</f>
        <v/>
      </c>
    </row>
    <row r="1418" customFormat="false" ht="15" hidden="false" customHeight="false" outlineLevel="0" collapsed="false">
      <c r="F1418" s="15"/>
      <c r="N1418" s="16" t="str">
        <f aca="false">IF($D1418="","",M1418*Y1418/100)</f>
        <v/>
      </c>
      <c r="V1418" s="16" t="str">
        <f aca="false">IF($D1418="","",Y1418*AB1418/100)</f>
        <v/>
      </c>
      <c r="W1418" s="16" t="str">
        <f aca="false">IF($D1418="","",Y1418-V1418)</f>
        <v/>
      </c>
      <c r="X1418" s="16" t="str">
        <f aca="false">IF($D1418="","",W1418-N1418)</f>
        <v/>
      </c>
      <c r="AB1418" s="17" t="str">
        <f aca="false">IF($D1418="","",IF(OR($R1418=TRUE(),$R1418="TRUE"),Settings!$C$6,Settings!$C$7)*100)</f>
        <v/>
      </c>
      <c r="AH1418" s="18" t="str">
        <f aca="false">IF($D1418="","",IF(COUNTIF($D$2:$D1418,$D1418)=1,1,0))</f>
        <v/>
      </c>
      <c r="AI1418" s="18" t="str">
        <f aca="false">IF($AH1418=1,SUMPRODUCT(--($AK$2:$AK$4001&lt;$AK1418))+1,"")</f>
        <v/>
      </c>
      <c r="AJ1418" s="18" t="str">
        <f aca="false">IF($D1418="","",IF(OR($R1418=TRUE(),$R1418="TRUE"),1,0))</f>
        <v/>
      </c>
      <c r="AK1418" s="18" t="str">
        <f aca="false">IF($AH1418=1,IFERROR(VALUE(MID($D1418,2,20)),1000000000)+ROW()/10000000,"")</f>
        <v/>
      </c>
    </row>
    <row r="1419" customFormat="false" ht="15" hidden="false" customHeight="false" outlineLevel="0" collapsed="false">
      <c r="F1419" s="15"/>
      <c r="N1419" s="16" t="str">
        <f aca="false">IF($D1419="","",M1419*Y1419/100)</f>
        <v/>
      </c>
      <c r="V1419" s="16" t="str">
        <f aca="false">IF($D1419="","",Y1419*AB1419/100)</f>
        <v/>
      </c>
      <c r="W1419" s="16" t="str">
        <f aca="false">IF($D1419="","",Y1419-V1419)</f>
        <v/>
      </c>
      <c r="X1419" s="16" t="str">
        <f aca="false">IF($D1419="","",W1419-N1419)</f>
        <v/>
      </c>
      <c r="AB1419" s="17" t="str">
        <f aca="false">IF($D1419="","",IF(OR($R1419=TRUE(),$R1419="TRUE"),Settings!$C$6,Settings!$C$7)*100)</f>
        <v/>
      </c>
      <c r="AH1419" s="18" t="str">
        <f aca="false">IF($D1419="","",IF(COUNTIF($D$2:$D1419,$D1419)=1,1,0))</f>
        <v/>
      </c>
      <c r="AI1419" s="18" t="str">
        <f aca="false">IF($AH1419=1,SUMPRODUCT(--($AK$2:$AK$4001&lt;$AK1419))+1,"")</f>
        <v/>
      </c>
      <c r="AJ1419" s="18" t="str">
        <f aca="false">IF($D1419="","",IF(OR($R1419=TRUE(),$R1419="TRUE"),1,0))</f>
        <v/>
      </c>
      <c r="AK1419" s="18" t="str">
        <f aca="false">IF($AH1419=1,IFERROR(VALUE(MID($D1419,2,20)),1000000000)+ROW()/10000000,"")</f>
        <v/>
      </c>
    </row>
    <row r="1420" customFormat="false" ht="15" hidden="false" customHeight="false" outlineLevel="0" collapsed="false">
      <c r="F1420" s="15"/>
      <c r="N1420" s="16" t="str">
        <f aca="false">IF($D1420="","",M1420*Y1420/100)</f>
        <v/>
      </c>
      <c r="V1420" s="16" t="str">
        <f aca="false">IF($D1420="","",Y1420*AB1420/100)</f>
        <v/>
      </c>
      <c r="W1420" s="16" t="str">
        <f aca="false">IF($D1420="","",Y1420-V1420)</f>
        <v/>
      </c>
      <c r="X1420" s="16" t="str">
        <f aca="false">IF($D1420="","",W1420-N1420)</f>
        <v/>
      </c>
      <c r="AB1420" s="17" t="str">
        <f aca="false">IF($D1420="","",IF(OR($R1420=TRUE(),$R1420="TRUE"),Settings!$C$6,Settings!$C$7)*100)</f>
        <v/>
      </c>
      <c r="AH1420" s="18" t="str">
        <f aca="false">IF($D1420="","",IF(COUNTIF($D$2:$D1420,$D1420)=1,1,0))</f>
        <v/>
      </c>
      <c r="AI1420" s="18" t="str">
        <f aca="false">IF($AH1420=1,SUMPRODUCT(--($AK$2:$AK$4001&lt;$AK1420))+1,"")</f>
        <v/>
      </c>
      <c r="AJ1420" s="18" t="str">
        <f aca="false">IF($D1420="","",IF(OR($R1420=TRUE(),$R1420="TRUE"),1,0))</f>
        <v/>
      </c>
      <c r="AK1420" s="18" t="str">
        <f aca="false">IF($AH1420=1,IFERROR(VALUE(MID($D1420,2,20)),1000000000)+ROW()/10000000,"")</f>
        <v/>
      </c>
    </row>
    <row r="1421" customFormat="false" ht="15" hidden="false" customHeight="false" outlineLevel="0" collapsed="false">
      <c r="F1421" s="15"/>
      <c r="N1421" s="16" t="str">
        <f aca="false">IF($D1421="","",M1421*Y1421/100)</f>
        <v/>
      </c>
      <c r="V1421" s="16" t="str">
        <f aca="false">IF($D1421="","",Y1421*AB1421/100)</f>
        <v/>
      </c>
      <c r="W1421" s="16" t="str">
        <f aca="false">IF($D1421="","",Y1421-V1421)</f>
        <v/>
      </c>
      <c r="X1421" s="16" t="str">
        <f aca="false">IF($D1421="","",W1421-N1421)</f>
        <v/>
      </c>
      <c r="AB1421" s="17" t="str">
        <f aca="false">IF($D1421="","",IF(OR($R1421=TRUE(),$R1421="TRUE"),Settings!$C$6,Settings!$C$7)*100)</f>
        <v/>
      </c>
      <c r="AH1421" s="18" t="str">
        <f aca="false">IF($D1421="","",IF(COUNTIF($D$2:$D1421,$D1421)=1,1,0))</f>
        <v/>
      </c>
      <c r="AI1421" s="18" t="str">
        <f aca="false">IF($AH1421=1,SUMPRODUCT(--($AK$2:$AK$4001&lt;$AK1421))+1,"")</f>
        <v/>
      </c>
      <c r="AJ1421" s="18" t="str">
        <f aca="false">IF($D1421="","",IF(OR($R1421=TRUE(),$R1421="TRUE"),1,0))</f>
        <v/>
      </c>
      <c r="AK1421" s="18" t="str">
        <f aca="false">IF($AH1421=1,IFERROR(VALUE(MID($D1421,2,20)),1000000000)+ROW()/10000000,"")</f>
        <v/>
      </c>
    </row>
    <row r="1422" customFormat="false" ht="15" hidden="false" customHeight="false" outlineLevel="0" collapsed="false">
      <c r="F1422" s="15"/>
      <c r="N1422" s="16" t="str">
        <f aca="false">IF($D1422="","",M1422*Y1422/100)</f>
        <v/>
      </c>
      <c r="V1422" s="16" t="str">
        <f aca="false">IF($D1422="","",Y1422*AB1422/100)</f>
        <v/>
      </c>
      <c r="W1422" s="16" t="str">
        <f aca="false">IF($D1422="","",Y1422-V1422)</f>
        <v/>
      </c>
      <c r="X1422" s="16" t="str">
        <f aca="false">IF($D1422="","",W1422-N1422)</f>
        <v/>
      </c>
      <c r="AB1422" s="17" t="str">
        <f aca="false">IF($D1422="","",IF(OR($R1422=TRUE(),$R1422="TRUE"),Settings!$C$6,Settings!$C$7)*100)</f>
        <v/>
      </c>
      <c r="AH1422" s="18" t="str">
        <f aca="false">IF($D1422="","",IF(COUNTIF($D$2:$D1422,$D1422)=1,1,0))</f>
        <v/>
      </c>
      <c r="AI1422" s="18" t="str">
        <f aca="false">IF($AH1422=1,SUMPRODUCT(--($AK$2:$AK$4001&lt;$AK1422))+1,"")</f>
        <v/>
      </c>
      <c r="AJ1422" s="18" t="str">
        <f aca="false">IF($D1422="","",IF(OR($R1422=TRUE(),$R1422="TRUE"),1,0))</f>
        <v/>
      </c>
      <c r="AK1422" s="18" t="str">
        <f aca="false">IF($AH1422=1,IFERROR(VALUE(MID($D1422,2,20)),1000000000)+ROW()/10000000,"")</f>
        <v/>
      </c>
    </row>
    <row r="1423" customFormat="false" ht="15" hidden="false" customHeight="false" outlineLevel="0" collapsed="false">
      <c r="F1423" s="15"/>
      <c r="N1423" s="16" t="str">
        <f aca="false">IF($D1423="","",M1423*Y1423/100)</f>
        <v/>
      </c>
      <c r="V1423" s="16" t="str">
        <f aca="false">IF($D1423="","",Y1423*AB1423/100)</f>
        <v/>
      </c>
      <c r="W1423" s="16" t="str">
        <f aca="false">IF($D1423="","",Y1423-V1423)</f>
        <v/>
      </c>
      <c r="X1423" s="16" t="str">
        <f aca="false">IF($D1423="","",W1423-N1423)</f>
        <v/>
      </c>
      <c r="AB1423" s="17" t="str">
        <f aca="false">IF($D1423="","",IF(OR($R1423=TRUE(),$R1423="TRUE"),Settings!$C$6,Settings!$C$7)*100)</f>
        <v/>
      </c>
      <c r="AH1423" s="18" t="str">
        <f aca="false">IF($D1423="","",IF(COUNTIF($D$2:$D1423,$D1423)=1,1,0))</f>
        <v/>
      </c>
      <c r="AI1423" s="18" t="str">
        <f aca="false">IF($AH1423=1,SUMPRODUCT(--($AK$2:$AK$4001&lt;$AK1423))+1,"")</f>
        <v/>
      </c>
      <c r="AJ1423" s="18" t="str">
        <f aca="false">IF($D1423="","",IF(OR($R1423=TRUE(),$R1423="TRUE"),1,0))</f>
        <v/>
      </c>
      <c r="AK1423" s="18" t="str">
        <f aca="false">IF($AH1423=1,IFERROR(VALUE(MID($D1423,2,20)),1000000000)+ROW()/10000000,"")</f>
        <v/>
      </c>
    </row>
    <row r="1424" customFormat="false" ht="15" hidden="false" customHeight="false" outlineLevel="0" collapsed="false">
      <c r="F1424" s="15"/>
      <c r="N1424" s="16" t="str">
        <f aca="false">IF($D1424="","",M1424*Y1424/100)</f>
        <v/>
      </c>
      <c r="V1424" s="16" t="str">
        <f aca="false">IF($D1424="","",Y1424*AB1424/100)</f>
        <v/>
      </c>
      <c r="W1424" s="16" t="str">
        <f aca="false">IF($D1424="","",Y1424-V1424)</f>
        <v/>
      </c>
      <c r="X1424" s="16" t="str">
        <f aca="false">IF($D1424="","",W1424-N1424)</f>
        <v/>
      </c>
      <c r="AB1424" s="17" t="str">
        <f aca="false">IF($D1424="","",IF(OR($R1424=TRUE(),$R1424="TRUE"),Settings!$C$6,Settings!$C$7)*100)</f>
        <v/>
      </c>
      <c r="AH1424" s="18" t="str">
        <f aca="false">IF($D1424="","",IF(COUNTIF($D$2:$D1424,$D1424)=1,1,0))</f>
        <v/>
      </c>
      <c r="AI1424" s="18" t="str">
        <f aca="false">IF($AH1424=1,SUMPRODUCT(--($AK$2:$AK$4001&lt;$AK1424))+1,"")</f>
        <v/>
      </c>
      <c r="AJ1424" s="18" t="str">
        <f aca="false">IF($D1424="","",IF(OR($R1424=TRUE(),$R1424="TRUE"),1,0))</f>
        <v/>
      </c>
      <c r="AK1424" s="18" t="str">
        <f aca="false">IF($AH1424=1,IFERROR(VALUE(MID($D1424,2,20)),1000000000)+ROW()/10000000,"")</f>
        <v/>
      </c>
    </row>
    <row r="1425" customFormat="false" ht="15" hidden="false" customHeight="false" outlineLevel="0" collapsed="false">
      <c r="F1425" s="15"/>
      <c r="N1425" s="16" t="str">
        <f aca="false">IF($D1425="","",M1425*Y1425/100)</f>
        <v/>
      </c>
      <c r="V1425" s="16" t="str">
        <f aca="false">IF($D1425="","",Y1425*AB1425/100)</f>
        <v/>
      </c>
      <c r="W1425" s="16" t="str">
        <f aca="false">IF($D1425="","",Y1425-V1425)</f>
        <v/>
      </c>
      <c r="X1425" s="16" t="str">
        <f aca="false">IF($D1425="","",W1425-N1425)</f>
        <v/>
      </c>
      <c r="AB1425" s="17" t="str">
        <f aca="false">IF($D1425="","",IF(OR($R1425=TRUE(),$R1425="TRUE"),Settings!$C$6,Settings!$C$7)*100)</f>
        <v/>
      </c>
      <c r="AH1425" s="18" t="str">
        <f aca="false">IF($D1425="","",IF(COUNTIF($D$2:$D1425,$D1425)=1,1,0))</f>
        <v/>
      </c>
      <c r="AI1425" s="18" t="str">
        <f aca="false">IF($AH1425=1,SUMPRODUCT(--($AK$2:$AK$4001&lt;$AK1425))+1,"")</f>
        <v/>
      </c>
      <c r="AJ1425" s="18" t="str">
        <f aca="false">IF($D1425="","",IF(OR($R1425=TRUE(),$R1425="TRUE"),1,0))</f>
        <v/>
      </c>
      <c r="AK1425" s="18" t="str">
        <f aca="false">IF($AH1425=1,IFERROR(VALUE(MID($D1425,2,20)),1000000000)+ROW()/10000000,"")</f>
        <v/>
      </c>
    </row>
    <row r="1426" customFormat="false" ht="15" hidden="false" customHeight="false" outlineLevel="0" collapsed="false">
      <c r="F1426" s="15"/>
      <c r="N1426" s="16" t="str">
        <f aca="false">IF($D1426="","",M1426*Y1426/100)</f>
        <v/>
      </c>
      <c r="V1426" s="16" t="str">
        <f aca="false">IF($D1426="","",Y1426*AB1426/100)</f>
        <v/>
      </c>
      <c r="W1426" s="16" t="str">
        <f aca="false">IF($D1426="","",Y1426-V1426)</f>
        <v/>
      </c>
      <c r="X1426" s="16" t="str">
        <f aca="false">IF($D1426="","",W1426-N1426)</f>
        <v/>
      </c>
      <c r="AB1426" s="17" t="str">
        <f aca="false">IF($D1426="","",IF(OR($R1426=TRUE(),$R1426="TRUE"),Settings!$C$6,Settings!$C$7)*100)</f>
        <v/>
      </c>
      <c r="AH1426" s="18" t="str">
        <f aca="false">IF($D1426="","",IF(COUNTIF($D$2:$D1426,$D1426)=1,1,0))</f>
        <v/>
      </c>
      <c r="AI1426" s="18" t="str">
        <f aca="false">IF($AH1426=1,SUMPRODUCT(--($AK$2:$AK$4001&lt;$AK1426))+1,"")</f>
        <v/>
      </c>
      <c r="AJ1426" s="18" t="str">
        <f aca="false">IF($D1426="","",IF(OR($R1426=TRUE(),$R1426="TRUE"),1,0))</f>
        <v/>
      </c>
      <c r="AK1426" s="18" t="str">
        <f aca="false">IF($AH1426=1,IFERROR(VALUE(MID($D1426,2,20)),1000000000)+ROW()/10000000,"")</f>
        <v/>
      </c>
    </row>
    <row r="1427" customFormat="false" ht="15" hidden="false" customHeight="false" outlineLevel="0" collapsed="false">
      <c r="F1427" s="15"/>
      <c r="N1427" s="16" t="str">
        <f aca="false">IF($D1427="","",M1427*Y1427/100)</f>
        <v/>
      </c>
      <c r="V1427" s="16" t="str">
        <f aca="false">IF($D1427="","",Y1427*AB1427/100)</f>
        <v/>
      </c>
      <c r="W1427" s="16" t="str">
        <f aca="false">IF($D1427="","",Y1427-V1427)</f>
        <v/>
      </c>
      <c r="X1427" s="16" t="str">
        <f aca="false">IF($D1427="","",W1427-N1427)</f>
        <v/>
      </c>
      <c r="AB1427" s="17" t="str">
        <f aca="false">IF($D1427="","",IF(OR($R1427=TRUE(),$R1427="TRUE"),Settings!$C$6,Settings!$C$7)*100)</f>
        <v/>
      </c>
      <c r="AH1427" s="18" t="str">
        <f aca="false">IF($D1427="","",IF(COUNTIF($D$2:$D1427,$D1427)=1,1,0))</f>
        <v/>
      </c>
      <c r="AI1427" s="18" t="str">
        <f aca="false">IF($AH1427=1,SUMPRODUCT(--($AK$2:$AK$4001&lt;$AK1427))+1,"")</f>
        <v/>
      </c>
      <c r="AJ1427" s="18" t="str">
        <f aca="false">IF($D1427="","",IF(OR($R1427=TRUE(),$R1427="TRUE"),1,0))</f>
        <v/>
      </c>
      <c r="AK1427" s="18" t="str">
        <f aca="false">IF($AH1427=1,IFERROR(VALUE(MID($D1427,2,20)),1000000000)+ROW()/10000000,"")</f>
        <v/>
      </c>
    </row>
    <row r="1428" customFormat="false" ht="15" hidden="false" customHeight="false" outlineLevel="0" collapsed="false">
      <c r="F1428" s="15"/>
      <c r="N1428" s="16" t="str">
        <f aca="false">IF($D1428="","",M1428*Y1428/100)</f>
        <v/>
      </c>
      <c r="V1428" s="16" t="str">
        <f aca="false">IF($D1428="","",Y1428*AB1428/100)</f>
        <v/>
      </c>
      <c r="W1428" s="16" t="str">
        <f aca="false">IF($D1428="","",Y1428-V1428)</f>
        <v/>
      </c>
      <c r="X1428" s="16" t="str">
        <f aca="false">IF($D1428="","",W1428-N1428)</f>
        <v/>
      </c>
      <c r="AB1428" s="17" t="str">
        <f aca="false">IF($D1428="","",IF(OR($R1428=TRUE(),$R1428="TRUE"),Settings!$C$6,Settings!$C$7)*100)</f>
        <v/>
      </c>
      <c r="AH1428" s="18" t="str">
        <f aca="false">IF($D1428="","",IF(COUNTIF($D$2:$D1428,$D1428)=1,1,0))</f>
        <v/>
      </c>
      <c r="AI1428" s="18" t="str">
        <f aca="false">IF($AH1428=1,SUMPRODUCT(--($AK$2:$AK$4001&lt;$AK1428))+1,"")</f>
        <v/>
      </c>
      <c r="AJ1428" s="18" t="str">
        <f aca="false">IF($D1428="","",IF(OR($R1428=TRUE(),$R1428="TRUE"),1,0))</f>
        <v/>
      </c>
      <c r="AK1428" s="18" t="str">
        <f aca="false">IF($AH1428=1,IFERROR(VALUE(MID($D1428,2,20)),1000000000)+ROW()/10000000,"")</f>
        <v/>
      </c>
    </row>
    <row r="1429" customFormat="false" ht="15" hidden="false" customHeight="false" outlineLevel="0" collapsed="false">
      <c r="F1429" s="15"/>
      <c r="N1429" s="16" t="str">
        <f aca="false">IF($D1429="","",M1429*Y1429/100)</f>
        <v/>
      </c>
      <c r="V1429" s="16" t="str">
        <f aca="false">IF($D1429="","",Y1429*AB1429/100)</f>
        <v/>
      </c>
      <c r="W1429" s="16" t="str">
        <f aca="false">IF($D1429="","",Y1429-V1429)</f>
        <v/>
      </c>
      <c r="X1429" s="16" t="str">
        <f aca="false">IF($D1429="","",W1429-N1429)</f>
        <v/>
      </c>
      <c r="AB1429" s="17" t="str">
        <f aca="false">IF($D1429="","",IF(OR($R1429=TRUE(),$R1429="TRUE"),Settings!$C$6,Settings!$C$7)*100)</f>
        <v/>
      </c>
      <c r="AH1429" s="18" t="str">
        <f aca="false">IF($D1429="","",IF(COUNTIF($D$2:$D1429,$D1429)=1,1,0))</f>
        <v/>
      </c>
      <c r="AI1429" s="18" t="str">
        <f aca="false">IF($AH1429=1,SUMPRODUCT(--($AK$2:$AK$4001&lt;$AK1429))+1,"")</f>
        <v/>
      </c>
      <c r="AJ1429" s="18" t="str">
        <f aca="false">IF($D1429="","",IF(OR($R1429=TRUE(),$R1429="TRUE"),1,0))</f>
        <v/>
      </c>
      <c r="AK1429" s="18" t="str">
        <f aca="false">IF($AH1429=1,IFERROR(VALUE(MID($D1429,2,20)),1000000000)+ROW()/10000000,"")</f>
        <v/>
      </c>
    </row>
    <row r="1430" customFormat="false" ht="15" hidden="false" customHeight="false" outlineLevel="0" collapsed="false">
      <c r="F1430" s="15"/>
      <c r="N1430" s="16" t="str">
        <f aca="false">IF($D1430="","",M1430*Y1430/100)</f>
        <v/>
      </c>
      <c r="V1430" s="16" t="str">
        <f aca="false">IF($D1430="","",Y1430*AB1430/100)</f>
        <v/>
      </c>
      <c r="W1430" s="16" t="str">
        <f aca="false">IF($D1430="","",Y1430-V1430)</f>
        <v/>
      </c>
      <c r="X1430" s="16" t="str">
        <f aca="false">IF($D1430="","",W1430-N1430)</f>
        <v/>
      </c>
      <c r="AB1430" s="17" t="str">
        <f aca="false">IF($D1430="","",IF(OR($R1430=TRUE(),$R1430="TRUE"),Settings!$C$6,Settings!$C$7)*100)</f>
        <v/>
      </c>
      <c r="AH1430" s="18" t="str">
        <f aca="false">IF($D1430="","",IF(COUNTIF($D$2:$D1430,$D1430)=1,1,0))</f>
        <v/>
      </c>
      <c r="AI1430" s="18" t="str">
        <f aca="false">IF($AH1430=1,SUMPRODUCT(--($AK$2:$AK$4001&lt;$AK1430))+1,"")</f>
        <v/>
      </c>
      <c r="AJ1430" s="18" t="str">
        <f aca="false">IF($D1430="","",IF(OR($R1430=TRUE(),$R1430="TRUE"),1,0))</f>
        <v/>
      </c>
      <c r="AK1430" s="18" t="str">
        <f aca="false">IF($AH1430=1,IFERROR(VALUE(MID($D1430,2,20)),1000000000)+ROW()/10000000,"")</f>
        <v/>
      </c>
    </row>
    <row r="1431" customFormat="false" ht="15" hidden="false" customHeight="false" outlineLevel="0" collapsed="false">
      <c r="F1431" s="15"/>
      <c r="N1431" s="16" t="str">
        <f aca="false">IF($D1431="","",M1431*Y1431/100)</f>
        <v/>
      </c>
      <c r="V1431" s="16" t="str">
        <f aca="false">IF($D1431="","",Y1431*AB1431/100)</f>
        <v/>
      </c>
      <c r="W1431" s="16" t="str">
        <f aca="false">IF($D1431="","",Y1431-V1431)</f>
        <v/>
      </c>
      <c r="X1431" s="16" t="str">
        <f aca="false">IF($D1431="","",W1431-N1431)</f>
        <v/>
      </c>
      <c r="AB1431" s="17" t="str">
        <f aca="false">IF($D1431="","",IF(OR($R1431=TRUE(),$R1431="TRUE"),Settings!$C$6,Settings!$C$7)*100)</f>
        <v/>
      </c>
      <c r="AH1431" s="18" t="str">
        <f aca="false">IF($D1431="","",IF(COUNTIF($D$2:$D1431,$D1431)=1,1,0))</f>
        <v/>
      </c>
      <c r="AI1431" s="18" t="str">
        <f aca="false">IF($AH1431=1,SUMPRODUCT(--($AK$2:$AK$4001&lt;$AK1431))+1,"")</f>
        <v/>
      </c>
      <c r="AJ1431" s="18" t="str">
        <f aca="false">IF($D1431="","",IF(OR($R1431=TRUE(),$R1431="TRUE"),1,0))</f>
        <v/>
      </c>
      <c r="AK1431" s="18" t="str">
        <f aca="false">IF($AH1431=1,IFERROR(VALUE(MID($D1431,2,20)),1000000000)+ROW()/10000000,"")</f>
        <v/>
      </c>
    </row>
    <row r="1432" customFormat="false" ht="15" hidden="false" customHeight="false" outlineLevel="0" collapsed="false">
      <c r="F1432" s="15"/>
      <c r="N1432" s="16" t="str">
        <f aca="false">IF($D1432="","",M1432*Y1432/100)</f>
        <v/>
      </c>
      <c r="V1432" s="16" t="str">
        <f aca="false">IF($D1432="","",Y1432*AB1432/100)</f>
        <v/>
      </c>
      <c r="W1432" s="16" t="str">
        <f aca="false">IF($D1432="","",Y1432-V1432)</f>
        <v/>
      </c>
      <c r="X1432" s="16" t="str">
        <f aca="false">IF($D1432="","",W1432-N1432)</f>
        <v/>
      </c>
      <c r="AB1432" s="17" t="str">
        <f aca="false">IF($D1432="","",IF(OR($R1432=TRUE(),$R1432="TRUE"),Settings!$C$6,Settings!$C$7)*100)</f>
        <v/>
      </c>
      <c r="AH1432" s="18" t="str">
        <f aca="false">IF($D1432="","",IF(COUNTIF($D$2:$D1432,$D1432)=1,1,0))</f>
        <v/>
      </c>
      <c r="AI1432" s="18" t="str">
        <f aca="false">IF($AH1432=1,SUMPRODUCT(--($AK$2:$AK$4001&lt;$AK1432))+1,"")</f>
        <v/>
      </c>
      <c r="AJ1432" s="18" t="str">
        <f aca="false">IF($D1432="","",IF(OR($R1432=TRUE(),$R1432="TRUE"),1,0))</f>
        <v/>
      </c>
      <c r="AK1432" s="18" t="str">
        <f aca="false">IF($AH1432=1,IFERROR(VALUE(MID($D1432,2,20)),1000000000)+ROW()/10000000,"")</f>
        <v/>
      </c>
    </row>
    <row r="1433" customFormat="false" ht="15" hidden="false" customHeight="false" outlineLevel="0" collapsed="false">
      <c r="F1433" s="15"/>
      <c r="N1433" s="16" t="str">
        <f aca="false">IF($D1433="","",M1433*Y1433/100)</f>
        <v/>
      </c>
      <c r="V1433" s="16" t="str">
        <f aca="false">IF($D1433="","",Y1433*AB1433/100)</f>
        <v/>
      </c>
      <c r="W1433" s="16" t="str">
        <f aca="false">IF($D1433="","",Y1433-V1433)</f>
        <v/>
      </c>
      <c r="X1433" s="16" t="str">
        <f aca="false">IF($D1433="","",W1433-N1433)</f>
        <v/>
      </c>
      <c r="AB1433" s="17" t="str">
        <f aca="false">IF($D1433="","",IF(OR($R1433=TRUE(),$R1433="TRUE"),Settings!$C$6,Settings!$C$7)*100)</f>
        <v/>
      </c>
      <c r="AH1433" s="18" t="str">
        <f aca="false">IF($D1433="","",IF(COUNTIF($D$2:$D1433,$D1433)=1,1,0))</f>
        <v/>
      </c>
      <c r="AI1433" s="18" t="str">
        <f aca="false">IF($AH1433=1,SUMPRODUCT(--($AK$2:$AK$4001&lt;$AK1433))+1,"")</f>
        <v/>
      </c>
      <c r="AJ1433" s="18" t="str">
        <f aca="false">IF($D1433="","",IF(OR($R1433=TRUE(),$R1433="TRUE"),1,0))</f>
        <v/>
      </c>
      <c r="AK1433" s="18" t="str">
        <f aca="false">IF($AH1433=1,IFERROR(VALUE(MID($D1433,2,20)),1000000000)+ROW()/10000000,"")</f>
        <v/>
      </c>
    </row>
    <row r="1434" customFormat="false" ht="15" hidden="false" customHeight="false" outlineLevel="0" collapsed="false">
      <c r="F1434" s="15"/>
      <c r="N1434" s="16" t="str">
        <f aca="false">IF($D1434="","",M1434*Y1434/100)</f>
        <v/>
      </c>
      <c r="V1434" s="16" t="str">
        <f aca="false">IF($D1434="","",Y1434*AB1434/100)</f>
        <v/>
      </c>
      <c r="W1434" s="16" t="str">
        <f aca="false">IF($D1434="","",Y1434-V1434)</f>
        <v/>
      </c>
      <c r="X1434" s="16" t="str">
        <f aca="false">IF($D1434="","",W1434-N1434)</f>
        <v/>
      </c>
      <c r="AB1434" s="17" t="str">
        <f aca="false">IF($D1434="","",IF(OR($R1434=TRUE(),$R1434="TRUE"),Settings!$C$6,Settings!$C$7)*100)</f>
        <v/>
      </c>
      <c r="AH1434" s="18" t="str">
        <f aca="false">IF($D1434="","",IF(COUNTIF($D$2:$D1434,$D1434)=1,1,0))</f>
        <v/>
      </c>
      <c r="AI1434" s="18" t="str">
        <f aca="false">IF($AH1434=1,SUMPRODUCT(--($AK$2:$AK$4001&lt;$AK1434))+1,"")</f>
        <v/>
      </c>
      <c r="AJ1434" s="18" t="str">
        <f aca="false">IF($D1434="","",IF(OR($R1434=TRUE(),$R1434="TRUE"),1,0))</f>
        <v/>
      </c>
      <c r="AK1434" s="18" t="str">
        <f aca="false">IF($AH1434=1,IFERROR(VALUE(MID($D1434,2,20)),1000000000)+ROW()/10000000,"")</f>
        <v/>
      </c>
    </row>
    <row r="1435" customFormat="false" ht="15" hidden="false" customHeight="false" outlineLevel="0" collapsed="false">
      <c r="F1435" s="15"/>
      <c r="N1435" s="16" t="str">
        <f aca="false">IF($D1435="","",M1435*Y1435/100)</f>
        <v/>
      </c>
      <c r="V1435" s="16" t="str">
        <f aca="false">IF($D1435="","",Y1435*AB1435/100)</f>
        <v/>
      </c>
      <c r="W1435" s="16" t="str">
        <f aca="false">IF($D1435="","",Y1435-V1435)</f>
        <v/>
      </c>
      <c r="X1435" s="16" t="str">
        <f aca="false">IF($D1435="","",W1435-N1435)</f>
        <v/>
      </c>
      <c r="AB1435" s="17" t="str">
        <f aca="false">IF($D1435="","",IF(OR($R1435=TRUE(),$R1435="TRUE"),Settings!$C$6,Settings!$C$7)*100)</f>
        <v/>
      </c>
      <c r="AH1435" s="18" t="str">
        <f aca="false">IF($D1435="","",IF(COUNTIF($D$2:$D1435,$D1435)=1,1,0))</f>
        <v/>
      </c>
      <c r="AI1435" s="18" t="str">
        <f aca="false">IF($AH1435=1,SUMPRODUCT(--($AK$2:$AK$4001&lt;$AK1435))+1,"")</f>
        <v/>
      </c>
      <c r="AJ1435" s="18" t="str">
        <f aca="false">IF($D1435="","",IF(OR($R1435=TRUE(),$R1435="TRUE"),1,0))</f>
        <v/>
      </c>
      <c r="AK1435" s="18" t="str">
        <f aca="false">IF($AH1435=1,IFERROR(VALUE(MID($D1435,2,20)),1000000000)+ROW()/10000000,"")</f>
        <v/>
      </c>
    </row>
    <row r="1436" customFormat="false" ht="15" hidden="false" customHeight="false" outlineLevel="0" collapsed="false">
      <c r="F1436" s="15"/>
      <c r="N1436" s="16" t="str">
        <f aca="false">IF($D1436="","",M1436*Y1436/100)</f>
        <v/>
      </c>
      <c r="V1436" s="16" t="str">
        <f aca="false">IF($D1436="","",Y1436*AB1436/100)</f>
        <v/>
      </c>
      <c r="W1436" s="16" t="str">
        <f aca="false">IF($D1436="","",Y1436-V1436)</f>
        <v/>
      </c>
      <c r="X1436" s="16" t="str">
        <f aca="false">IF($D1436="","",W1436-N1436)</f>
        <v/>
      </c>
      <c r="AB1436" s="17" t="str">
        <f aca="false">IF($D1436="","",IF(OR($R1436=TRUE(),$R1436="TRUE"),Settings!$C$6,Settings!$C$7)*100)</f>
        <v/>
      </c>
      <c r="AH1436" s="18" t="str">
        <f aca="false">IF($D1436="","",IF(COUNTIF($D$2:$D1436,$D1436)=1,1,0))</f>
        <v/>
      </c>
      <c r="AI1436" s="18" t="str">
        <f aca="false">IF($AH1436=1,SUMPRODUCT(--($AK$2:$AK$4001&lt;$AK1436))+1,"")</f>
        <v/>
      </c>
      <c r="AJ1436" s="18" t="str">
        <f aca="false">IF($D1436="","",IF(OR($R1436=TRUE(),$R1436="TRUE"),1,0))</f>
        <v/>
      </c>
      <c r="AK1436" s="18" t="str">
        <f aca="false">IF($AH1436=1,IFERROR(VALUE(MID($D1436,2,20)),1000000000)+ROW()/10000000,"")</f>
        <v/>
      </c>
    </row>
    <row r="1437" customFormat="false" ht="15" hidden="false" customHeight="false" outlineLevel="0" collapsed="false">
      <c r="F1437" s="15"/>
      <c r="N1437" s="16" t="str">
        <f aca="false">IF($D1437="","",M1437*Y1437/100)</f>
        <v/>
      </c>
      <c r="V1437" s="16" t="str">
        <f aca="false">IF($D1437="","",Y1437*AB1437/100)</f>
        <v/>
      </c>
      <c r="W1437" s="16" t="str">
        <f aca="false">IF($D1437="","",Y1437-V1437)</f>
        <v/>
      </c>
      <c r="X1437" s="16" t="str">
        <f aca="false">IF($D1437="","",W1437-N1437)</f>
        <v/>
      </c>
      <c r="AB1437" s="17" t="str">
        <f aca="false">IF($D1437="","",IF(OR($R1437=TRUE(),$R1437="TRUE"),Settings!$C$6,Settings!$C$7)*100)</f>
        <v/>
      </c>
      <c r="AH1437" s="18" t="str">
        <f aca="false">IF($D1437="","",IF(COUNTIF($D$2:$D1437,$D1437)=1,1,0))</f>
        <v/>
      </c>
      <c r="AI1437" s="18" t="str">
        <f aca="false">IF($AH1437=1,SUMPRODUCT(--($AK$2:$AK$4001&lt;$AK1437))+1,"")</f>
        <v/>
      </c>
      <c r="AJ1437" s="18" t="str">
        <f aca="false">IF($D1437="","",IF(OR($R1437=TRUE(),$R1437="TRUE"),1,0))</f>
        <v/>
      </c>
      <c r="AK1437" s="18" t="str">
        <f aca="false">IF($AH1437=1,IFERROR(VALUE(MID($D1437,2,20)),1000000000)+ROW()/10000000,"")</f>
        <v/>
      </c>
    </row>
    <row r="1438" customFormat="false" ht="15" hidden="false" customHeight="false" outlineLevel="0" collapsed="false">
      <c r="F1438" s="15"/>
      <c r="N1438" s="16" t="str">
        <f aca="false">IF($D1438="","",M1438*Y1438/100)</f>
        <v/>
      </c>
      <c r="V1438" s="16" t="str">
        <f aca="false">IF($D1438="","",Y1438*AB1438/100)</f>
        <v/>
      </c>
      <c r="W1438" s="16" t="str">
        <f aca="false">IF($D1438="","",Y1438-V1438)</f>
        <v/>
      </c>
      <c r="X1438" s="16" t="str">
        <f aca="false">IF($D1438="","",W1438-N1438)</f>
        <v/>
      </c>
      <c r="AB1438" s="17" t="str">
        <f aca="false">IF($D1438="","",IF(OR($R1438=TRUE(),$R1438="TRUE"),Settings!$C$6,Settings!$C$7)*100)</f>
        <v/>
      </c>
      <c r="AH1438" s="18" t="str">
        <f aca="false">IF($D1438="","",IF(COUNTIF($D$2:$D1438,$D1438)=1,1,0))</f>
        <v/>
      </c>
      <c r="AI1438" s="18" t="str">
        <f aca="false">IF($AH1438=1,SUMPRODUCT(--($AK$2:$AK$4001&lt;$AK1438))+1,"")</f>
        <v/>
      </c>
      <c r="AJ1438" s="18" t="str">
        <f aca="false">IF($D1438="","",IF(OR($R1438=TRUE(),$R1438="TRUE"),1,0))</f>
        <v/>
      </c>
      <c r="AK1438" s="18" t="str">
        <f aca="false">IF($AH1438=1,IFERROR(VALUE(MID($D1438,2,20)),1000000000)+ROW()/10000000,"")</f>
        <v/>
      </c>
    </row>
    <row r="1439" customFormat="false" ht="15" hidden="false" customHeight="false" outlineLevel="0" collapsed="false">
      <c r="F1439" s="15"/>
      <c r="N1439" s="16" t="str">
        <f aca="false">IF($D1439="","",M1439*Y1439/100)</f>
        <v/>
      </c>
      <c r="V1439" s="16" t="str">
        <f aca="false">IF($D1439="","",Y1439*AB1439/100)</f>
        <v/>
      </c>
      <c r="W1439" s="16" t="str">
        <f aca="false">IF($D1439="","",Y1439-V1439)</f>
        <v/>
      </c>
      <c r="X1439" s="16" t="str">
        <f aca="false">IF($D1439="","",W1439-N1439)</f>
        <v/>
      </c>
      <c r="AB1439" s="17" t="str">
        <f aca="false">IF($D1439="","",IF(OR($R1439=TRUE(),$R1439="TRUE"),Settings!$C$6,Settings!$C$7)*100)</f>
        <v/>
      </c>
      <c r="AH1439" s="18" t="str">
        <f aca="false">IF($D1439="","",IF(COUNTIF($D$2:$D1439,$D1439)=1,1,0))</f>
        <v/>
      </c>
      <c r="AI1439" s="18" t="str">
        <f aca="false">IF($AH1439=1,SUMPRODUCT(--($AK$2:$AK$4001&lt;$AK1439))+1,"")</f>
        <v/>
      </c>
      <c r="AJ1439" s="18" t="str">
        <f aca="false">IF($D1439="","",IF(OR($R1439=TRUE(),$R1439="TRUE"),1,0))</f>
        <v/>
      </c>
      <c r="AK1439" s="18" t="str">
        <f aca="false">IF($AH1439=1,IFERROR(VALUE(MID($D1439,2,20)),1000000000)+ROW()/10000000,"")</f>
        <v/>
      </c>
    </row>
    <row r="1440" customFormat="false" ht="15" hidden="false" customHeight="false" outlineLevel="0" collapsed="false">
      <c r="F1440" s="15"/>
      <c r="N1440" s="16" t="str">
        <f aca="false">IF($D1440="","",M1440*Y1440/100)</f>
        <v/>
      </c>
      <c r="V1440" s="16" t="str">
        <f aca="false">IF($D1440="","",Y1440*AB1440/100)</f>
        <v/>
      </c>
      <c r="W1440" s="16" t="str">
        <f aca="false">IF($D1440="","",Y1440-V1440)</f>
        <v/>
      </c>
      <c r="X1440" s="16" t="str">
        <f aca="false">IF($D1440="","",W1440-N1440)</f>
        <v/>
      </c>
      <c r="AB1440" s="17" t="str">
        <f aca="false">IF($D1440="","",IF(OR($R1440=TRUE(),$R1440="TRUE"),Settings!$C$6,Settings!$C$7)*100)</f>
        <v/>
      </c>
      <c r="AH1440" s="18" t="str">
        <f aca="false">IF($D1440="","",IF(COUNTIF($D$2:$D1440,$D1440)=1,1,0))</f>
        <v/>
      </c>
      <c r="AI1440" s="18" t="str">
        <f aca="false">IF($AH1440=1,SUMPRODUCT(--($AK$2:$AK$4001&lt;$AK1440))+1,"")</f>
        <v/>
      </c>
      <c r="AJ1440" s="18" t="str">
        <f aca="false">IF($D1440="","",IF(OR($R1440=TRUE(),$R1440="TRUE"),1,0))</f>
        <v/>
      </c>
      <c r="AK1440" s="18" t="str">
        <f aca="false">IF($AH1440=1,IFERROR(VALUE(MID($D1440,2,20)),1000000000)+ROW()/10000000,"")</f>
        <v/>
      </c>
    </row>
    <row r="1441" customFormat="false" ht="15" hidden="false" customHeight="false" outlineLevel="0" collapsed="false">
      <c r="F1441" s="15"/>
      <c r="N1441" s="16" t="str">
        <f aca="false">IF($D1441="","",M1441*Y1441/100)</f>
        <v/>
      </c>
      <c r="V1441" s="16" t="str">
        <f aca="false">IF($D1441="","",Y1441*AB1441/100)</f>
        <v/>
      </c>
      <c r="W1441" s="16" t="str">
        <f aca="false">IF($D1441="","",Y1441-V1441)</f>
        <v/>
      </c>
      <c r="X1441" s="16" t="str">
        <f aca="false">IF($D1441="","",W1441-N1441)</f>
        <v/>
      </c>
      <c r="AB1441" s="17" t="str">
        <f aca="false">IF($D1441="","",IF(OR($R1441=TRUE(),$R1441="TRUE"),Settings!$C$6,Settings!$C$7)*100)</f>
        <v/>
      </c>
      <c r="AH1441" s="18" t="str">
        <f aca="false">IF($D1441="","",IF(COUNTIF($D$2:$D1441,$D1441)=1,1,0))</f>
        <v/>
      </c>
      <c r="AI1441" s="18" t="str">
        <f aca="false">IF($AH1441=1,SUMPRODUCT(--($AK$2:$AK$4001&lt;$AK1441))+1,"")</f>
        <v/>
      </c>
      <c r="AJ1441" s="18" t="str">
        <f aca="false">IF($D1441="","",IF(OR($R1441=TRUE(),$R1441="TRUE"),1,0))</f>
        <v/>
      </c>
      <c r="AK1441" s="18" t="str">
        <f aca="false">IF($AH1441=1,IFERROR(VALUE(MID($D1441,2,20)),1000000000)+ROW()/10000000,"")</f>
        <v/>
      </c>
    </row>
    <row r="1442" customFormat="false" ht="15" hidden="false" customHeight="false" outlineLevel="0" collapsed="false">
      <c r="F1442" s="15"/>
      <c r="N1442" s="16" t="str">
        <f aca="false">IF($D1442="","",M1442*Y1442/100)</f>
        <v/>
      </c>
      <c r="V1442" s="16" t="str">
        <f aca="false">IF($D1442="","",Y1442*AB1442/100)</f>
        <v/>
      </c>
      <c r="W1442" s="16" t="str">
        <f aca="false">IF($D1442="","",Y1442-V1442)</f>
        <v/>
      </c>
      <c r="X1442" s="16" t="str">
        <f aca="false">IF($D1442="","",W1442-N1442)</f>
        <v/>
      </c>
      <c r="AB1442" s="17" t="str">
        <f aca="false">IF($D1442="","",IF(OR($R1442=TRUE(),$R1442="TRUE"),Settings!$C$6,Settings!$C$7)*100)</f>
        <v/>
      </c>
      <c r="AH1442" s="18" t="str">
        <f aca="false">IF($D1442="","",IF(COUNTIF($D$2:$D1442,$D1442)=1,1,0))</f>
        <v/>
      </c>
      <c r="AI1442" s="18" t="str">
        <f aca="false">IF($AH1442=1,SUMPRODUCT(--($AK$2:$AK$4001&lt;$AK1442))+1,"")</f>
        <v/>
      </c>
      <c r="AJ1442" s="18" t="str">
        <f aca="false">IF($D1442="","",IF(OR($R1442=TRUE(),$R1442="TRUE"),1,0))</f>
        <v/>
      </c>
      <c r="AK1442" s="18" t="str">
        <f aca="false">IF($AH1442=1,IFERROR(VALUE(MID($D1442,2,20)),1000000000)+ROW()/10000000,"")</f>
        <v/>
      </c>
    </row>
    <row r="1443" customFormat="false" ht="15" hidden="false" customHeight="false" outlineLevel="0" collapsed="false">
      <c r="F1443" s="15"/>
      <c r="N1443" s="16" t="str">
        <f aca="false">IF($D1443="","",M1443*Y1443/100)</f>
        <v/>
      </c>
      <c r="V1443" s="16" t="str">
        <f aca="false">IF($D1443="","",Y1443*AB1443/100)</f>
        <v/>
      </c>
      <c r="W1443" s="16" t="str">
        <f aca="false">IF($D1443="","",Y1443-V1443)</f>
        <v/>
      </c>
      <c r="X1443" s="16" t="str">
        <f aca="false">IF($D1443="","",W1443-N1443)</f>
        <v/>
      </c>
      <c r="AB1443" s="17" t="str">
        <f aca="false">IF($D1443="","",IF(OR($R1443=TRUE(),$R1443="TRUE"),Settings!$C$6,Settings!$C$7)*100)</f>
        <v/>
      </c>
      <c r="AH1443" s="18" t="str">
        <f aca="false">IF($D1443="","",IF(COUNTIF($D$2:$D1443,$D1443)=1,1,0))</f>
        <v/>
      </c>
      <c r="AI1443" s="18" t="str">
        <f aca="false">IF($AH1443=1,SUMPRODUCT(--($AK$2:$AK$4001&lt;$AK1443))+1,"")</f>
        <v/>
      </c>
      <c r="AJ1443" s="18" t="str">
        <f aca="false">IF($D1443="","",IF(OR($R1443=TRUE(),$R1443="TRUE"),1,0))</f>
        <v/>
      </c>
      <c r="AK1443" s="18" t="str">
        <f aca="false">IF($AH1443=1,IFERROR(VALUE(MID($D1443,2,20)),1000000000)+ROW()/10000000,"")</f>
        <v/>
      </c>
    </row>
    <row r="1444" customFormat="false" ht="15" hidden="false" customHeight="false" outlineLevel="0" collapsed="false">
      <c r="F1444" s="15"/>
      <c r="N1444" s="16" t="str">
        <f aca="false">IF($D1444="","",M1444*Y1444/100)</f>
        <v/>
      </c>
      <c r="V1444" s="16" t="str">
        <f aca="false">IF($D1444="","",Y1444*AB1444/100)</f>
        <v/>
      </c>
      <c r="W1444" s="16" t="str">
        <f aca="false">IF($D1444="","",Y1444-V1444)</f>
        <v/>
      </c>
      <c r="X1444" s="16" t="str">
        <f aca="false">IF($D1444="","",W1444-N1444)</f>
        <v/>
      </c>
      <c r="AB1444" s="17" t="str">
        <f aca="false">IF($D1444="","",IF(OR($R1444=TRUE(),$R1444="TRUE"),Settings!$C$6,Settings!$C$7)*100)</f>
        <v/>
      </c>
      <c r="AH1444" s="18" t="str">
        <f aca="false">IF($D1444="","",IF(COUNTIF($D$2:$D1444,$D1444)=1,1,0))</f>
        <v/>
      </c>
      <c r="AI1444" s="18" t="str">
        <f aca="false">IF($AH1444=1,SUMPRODUCT(--($AK$2:$AK$4001&lt;$AK1444))+1,"")</f>
        <v/>
      </c>
      <c r="AJ1444" s="18" t="str">
        <f aca="false">IF($D1444="","",IF(OR($R1444=TRUE(),$R1444="TRUE"),1,0))</f>
        <v/>
      </c>
      <c r="AK1444" s="18" t="str">
        <f aca="false">IF($AH1444=1,IFERROR(VALUE(MID($D1444,2,20)),1000000000)+ROW()/10000000,"")</f>
        <v/>
      </c>
    </row>
    <row r="1445" customFormat="false" ht="15" hidden="false" customHeight="false" outlineLevel="0" collapsed="false">
      <c r="F1445" s="15"/>
      <c r="N1445" s="16" t="str">
        <f aca="false">IF($D1445="","",M1445*Y1445/100)</f>
        <v/>
      </c>
      <c r="V1445" s="16" t="str">
        <f aca="false">IF($D1445="","",Y1445*AB1445/100)</f>
        <v/>
      </c>
      <c r="W1445" s="16" t="str">
        <f aca="false">IF($D1445="","",Y1445-V1445)</f>
        <v/>
      </c>
      <c r="X1445" s="16" t="str">
        <f aca="false">IF($D1445="","",W1445-N1445)</f>
        <v/>
      </c>
      <c r="AB1445" s="17" t="str">
        <f aca="false">IF($D1445="","",IF(OR($R1445=TRUE(),$R1445="TRUE"),Settings!$C$6,Settings!$C$7)*100)</f>
        <v/>
      </c>
      <c r="AH1445" s="18" t="str">
        <f aca="false">IF($D1445="","",IF(COUNTIF($D$2:$D1445,$D1445)=1,1,0))</f>
        <v/>
      </c>
      <c r="AI1445" s="18" t="str">
        <f aca="false">IF($AH1445=1,SUMPRODUCT(--($AK$2:$AK$4001&lt;$AK1445))+1,"")</f>
        <v/>
      </c>
      <c r="AJ1445" s="18" t="str">
        <f aca="false">IF($D1445="","",IF(OR($R1445=TRUE(),$R1445="TRUE"),1,0))</f>
        <v/>
      </c>
      <c r="AK1445" s="18" t="str">
        <f aca="false">IF($AH1445=1,IFERROR(VALUE(MID($D1445,2,20)),1000000000)+ROW()/10000000,"")</f>
        <v/>
      </c>
    </row>
    <row r="1446" customFormat="false" ht="15" hidden="false" customHeight="false" outlineLevel="0" collapsed="false">
      <c r="F1446" s="15"/>
      <c r="N1446" s="16" t="str">
        <f aca="false">IF($D1446="","",M1446*Y1446/100)</f>
        <v/>
      </c>
      <c r="V1446" s="16" t="str">
        <f aca="false">IF($D1446="","",Y1446*AB1446/100)</f>
        <v/>
      </c>
      <c r="W1446" s="16" t="str">
        <f aca="false">IF($D1446="","",Y1446-V1446)</f>
        <v/>
      </c>
      <c r="X1446" s="16" t="str">
        <f aca="false">IF($D1446="","",W1446-N1446)</f>
        <v/>
      </c>
      <c r="AB1446" s="17" t="str">
        <f aca="false">IF($D1446="","",IF(OR($R1446=TRUE(),$R1446="TRUE"),Settings!$C$6,Settings!$C$7)*100)</f>
        <v/>
      </c>
      <c r="AH1446" s="18" t="str">
        <f aca="false">IF($D1446="","",IF(COUNTIF($D$2:$D1446,$D1446)=1,1,0))</f>
        <v/>
      </c>
      <c r="AI1446" s="18" t="str">
        <f aca="false">IF($AH1446=1,SUMPRODUCT(--($AK$2:$AK$4001&lt;$AK1446))+1,"")</f>
        <v/>
      </c>
      <c r="AJ1446" s="18" t="str">
        <f aca="false">IF($D1446="","",IF(OR($R1446=TRUE(),$R1446="TRUE"),1,0))</f>
        <v/>
      </c>
      <c r="AK1446" s="18" t="str">
        <f aca="false">IF($AH1446=1,IFERROR(VALUE(MID($D1446,2,20)),1000000000)+ROW()/10000000,"")</f>
        <v/>
      </c>
    </row>
    <row r="1447" customFormat="false" ht="15" hidden="false" customHeight="false" outlineLevel="0" collapsed="false">
      <c r="F1447" s="15"/>
      <c r="N1447" s="16" t="str">
        <f aca="false">IF($D1447="","",M1447*Y1447/100)</f>
        <v/>
      </c>
      <c r="V1447" s="16" t="str">
        <f aca="false">IF($D1447="","",Y1447*AB1447/100)</f>
        <v/>
      </c>
      <c r="W1447" s="16" t="str">
        <f aca="false">IF($D1447="","",Y1447-V1447)</f>
        <v/>
      </c>
      <c r="X1447" s="16" t="str">
        <f aca="false">IF($D1447="","",W1447-N1447)</f>
        <v/>
      </c>
      <c r="AB1447" s="17" t="str">
        <f aca="false">IF($D1447="","",IF(OR($R1447=TRUE(),$R1447="TRUE"),Settings!$C$6,Settings!$C$7)*100)</f>
        <v/>
      </c>
      <c r="AH1447" s="18" t="str">
        <f aca="false">IF($D1447="","",IF(COUNTIF($D$2:$D1447,$D1447)=1,1,0))</f>
        <v/>
      </c>
      <c r="AI1447" s="18" t="str">
        <f aca="false">IF($AH1447=1,SUMPRODUCT(--($AK$2:$AK$4001&lt;$AK1447))+1,"")</f>
        <v/>
      </c>
      <c r="AJ1447" s="18" t="str">
        <f aca="false">IF($D1447="","",IF(OR($R1447=TRUE(),$R1447="TRUE"),1,0))</f>
        <v/>
      </c>
      <c r="AK1447" s="18" t="str">
        <f aca="false">IF($AH1447=1,IFERROR(VALUE(MID($D1447,2,20)),1000000000)+ROW()/10000000,"")</f>
        <v/>
      </c>
    </row>
    <row r="1448" customFormat="false" ht="15" hidden="false" customHeight="false" outlineLevel="0" collapsed="false">
      <c r="F1448" s="15"/>
      <c r="N1448" s="16" t="str">
        <f aca="false">IF($D1448="","",M1448*Y1448/100)</f>
        <v/>
      </c>
      <c r="V1448" s="16" t="str">
        <f aca="false">IF($D1448="","",Y1448*AB1448/100)</f>
        <v/>
      </c>
      <c r="W1448" s="16" t="str">
        <f aca="false">IF($D1448="","",Y1448-V1448)</f>
        <v/>
      </c>
      <c r="X1448" s="16" t="str">
        <f aca="false">IF($D1448="","",W1448-N1448)</f>
        <v/>
      </c>
      <c r="AB1448" s="17" t="str">
        <f aca="false">IF($D1448="","",IF(OR($R1448=TRUE(),$R1448="TRUE"),Settings!$C$6,Settings!$C$7)*100)</f>
        <v/>
      </c>
      <c r="AH1448" s="18" t="str">
        <f aca="false">IF($D1448="","",IF(COUNTIF($D$2:$D1448,$D1448)=1,1,0))</f>
        <v/>
      </c>
      <c r="AI1448" s="18" t="str">
        <f aca="false">IF($AH1448=1,SUMPRODUCT(--($AK$2:$AK$4001&lt;$AK1448))+1,"")</f>
        <v/>
      </c>
      <c r="AJ1448" s="18" t="str">
        <f aca="false">IF($D1448="","",IF(OR($R1448=TRUE(),$R1448="TRUE"),1,0))</f>
        <v/>
      </c>
      <c r="AK1448" s="18" t="str">
        <f aca="false">IF($AH1448=1,IFERROR(VALUE(MID($D1448,2,20)),1000000000)+ROW()/10000000,"")</f>
        <v/>
      </c>
    </row>
    <row r="1449" customFormat="false" ht="15" hidden="false" customHeight="false" outlineLevel="0" collapsed="false">
      <c r="F1449" s="15"/>
      <c r="N1449" s="16" t="str">
        <f aca="false">IF($D1449="","",M1449*Y1449/100)</f>
        <v/>
      </c>
      <c r="V1449" s="16" t="str">
        <f aca="false">IF($D1449="","",Y1449*AB1449/100)</f>
        <v/>
      </c>
      <c r="W1449" s="16" t="str">
        <f aca="false">IF($D1449="","",Y1449-V1449)</f>
        <v/>
      </c>
      <c r="X1449" s="16" t="str">
        <f aca="false">IF($D1449="","",W1449-N1449)</f>
        <v/>
      </c>
      <c r="AB1449" s="17" t="str">
        <f aca="false">IF($D1449="","",IF(OR($R1449=TRUE(),$R1449="TRUE"),Settings!$C$6,Settings!$C$7)*100)</f>
        <v/>
      </c>
      <c r="AH1449" s="18" t="str">
        <f aca="false">IF($D1449="","",IF(COUNTIF($D$2:$D1449,$D1449)=1,1,0))</f>
        <v/>
      </c>
      <c r="AI1449" s="18" t="str">
        <f aca="false">IF($AH1449=1,SUMPRODUCT(--($AK$2:$AK$4001&lt;$AK1449))+1,"")</f>
        <v/>
      </c>
      <c r="AJ1449" s="18" t="str">
        <f aca="false">IF($D1449="","",IF(OR($R1449=TRUE(),$R1449="TRUE"),1,0))</f>
        <v/>
      </c>
      <c r="AK1449" s="18" t="str">
        <f aca="false">IF($AH1449=1,IFERROR(VALUE(MID($D1449,2,20)),1000000000)+ROW()/10000000,"")</f>
        <v/>
      </c>
    </row>
    <row r="1450" customFormat="false" ht="15" hidden="false" customHeight="false" outlineLevel="0" collapsed="false">
      <c r="F1450" s="15"/>
      <c r="N1450" s="16" t="str">
        <f aca="false">IF($D1450="","",M1450*Y1450/100)</f>
        <v/>
      </c>
      <c r="V1450" s="16" t="str">
        <f aca="false">IF($D1450="","",Y1450*AB1450/100)</f>
        <v/>
      </c>
      <c r="W1450" s="16" t="str">
        <f aca="false">IF($D1450="","",Y1450-V1450)</f>
        <v/>
      </c>
      <c r="X1450" s="16" t="str">
        <f aca="false">IF($D1450="","",W1450-N1450)</f>
        <v/>
      </c>
      <c r="AB1450" s="17" t="str">
        <f aca="false">IF($D1450="","",IF(OR($R1450=TRUE(),$R1450="TRUE"),Settings!$C$6,Settings!$C$7)*100)</f>
        <v/>
      </c>
      <c r="AH1450" s="18" t="str">
        <f aca="false">IF($D1450="","",IF(COUNTIF($D$2:$D1450,$D1450)=1,1,0))</f>
        <v/>
      </c>
      <c r="AI1450" s="18" t="str">
        <f aca="false">IF($AH1450=1,SUMPRODUCT(--($AK$2:$AK$4001&lt;$AK1450))+1,"")</f>
        <v/>
      </c>
      <c r="AJ1450" s="18" t="str">
        <f aca="false">IF($D1450="","",IF(OR($R1450=TRUE(),$R1450="TRUE"),1,0))</f>
        <v/>
      </c>
      <c r="AK1450" s="18" t="str">
        <f aca="false">IF($AH1450=1,IFERROR(VALUE(MID($D1450,2,20)),1000000000)+ROW()/10000000,"")</f>
        <v/>
      </c>
    </row>
    <row r="1451" customFormat="false" ht="15" hidden="false" customHeight="false" outlineLevel="0" collapsed="false">
      <c r="F1451" s="15"/>
      <c r="N1451" s="16" t="str">
        <f aca="false">IF($D1451="","",M1451*Y1451/100)</f>
        <v/>
      </c>
      <c r="V1451" s="16" t="str">
        <f aca="false">IF($D1451="","",Y1451*AB1451/100)</f>
        <v/>
      </c>
      <c r="W1451" s="16" t="str">
        <f aca="false">IF($D1451="","",Y1451-V1451)</f>
        <v/>
      </c>
      <c r="X1451" s="16" t="str">
        <f aca="false">IF($D1451="","",W1451-N1451)</f>
        <v/>
      </c>
      <c r="AB1451" s="17" t="str">
        <f aca="false">IF($D1451="","",IF(OR($R1451=TRUE(),$R1451="TRUE"),Settings!$C$6,Settings!$C$7)*100)</f>
        <v/>
      </c>
      <c r="AH1451" s="18" t="str">
        <f aca="false">IF($D1451="","",IF(COUNTIF($D$2:$D1451,$D1451)=1,1,0))</f>
        <v/>
      </c>
      <c r="AI1451" s="18" t="str">
        <f aca="false">IF($AH1451=1,SUMPRODUCT(--($AK$2:$AK$4001&lt;$AK1451))+1,"")</f>
        <v/>
      </c>
      <c r="AJ1451" s="18" t="str">
        <f aca="false">IF($D1451="","",IF(OR($R1451=TRUE(),$R1451="TRUE"),1,0))</f>
        <v/>
      </c>
      <c r="AK1451" s="18" t="str">
        <f aca="false">IF($AH1451=1,IFERROR(VALUE(MID($D1451,2,20)),1000000000)+ROW()/10000000,"")</f>
        <v/>
      </c>
    </row>
    <row r="1452" customFormat="false" ht="15" hidden="false" customHeight="false" outlineLevel="0" collapsed="false">
      <c r="F1452" s="15"/>
      <c r="N1452" s="16" t="str">
        <f aca="false">IF($D1452="","",M1452*Y1452/100)</f>
        <v/>
      </c>
      <c r="V1452" s="16" t="str">
        <f aca="false">IF($D1452="","",Y1452*AB1452/100)</f>
        <v/>
      </c>
      <c r="W1452" s="16" t="str">
        <f aca="false">IF($D1452="","",Y1452-V1452)</f>
        <v/>
      </c>
      <c r="X1452" s="16" t="str">
        <f aca="false">IF($D1452="","",W1452-N1452)</f>
        <v/>
      </c>
      <c r="AB1452" s="17" t="str">
        <f aca="false">IF($D1452="","",IF(OR($R1452=TRUE(),$R1452="TRUE"),Settings!$C$6,Settings!$C$7)*100)</f>
        <v/>
      </c>
      <c r="AH1452" s="18" t="str">
        <f aca="false">IF($D1452="","",IF(COUNTIF($D$2:$D1452,$D1452)=1,1,0))</f>
        <v/>
      </c>
      <c r="AI1452" s="18" t="str">
        <f aca="false">IF($AH1452=1,SUMPRODUCT(--($AK$2:$AK$4001&lt;$AK1452))+1,"")</f>
        <v/>
      </c>
      <c r="AJ1452" s="18" t="str">
        <f aca="false">IF($D1452="","",IF(OR($R1452=TRUE(),$R1452="TRUE"),1,0))</f>
        <v/>
      </c>
      <c r="AK1452" s="18" t="str">
        <f aca="false">IF($AH1452=1,IFERROR(VALUE(MID($D1452,2,20)),1000000000)+ROW()/10000000,"")</f>
        <v/>
      </c>
    </row>
    <row r="1453" customFormat="false" ht="15" hidden="false" customHeight="false" outlineLevel="0" collapsed="false">
      <c r="F1453" s="15"/>
      <c r="N1453" s="16" t="str">
        <f aca="false">IF($D1453="","",M1453*Y1453/100)</f>
        <v/>
      </c>
      <c r="V1453" s="16" t="str">
        <f aca="false">IF($D1453="","",Y1453*AB1453/100)</f>
        <v/>
      </c>
      <c r="W1453" s="16" t="str">
        <f aca="false">IF($D1453="","",Y1453-V1453)</f>
        <v/>
      </c>
      <c r="X1453" s="16" t="str">
        <f aca="false">IF($D1453="","",W1453-N1453)</f>
        <v/>
      </c>
      <c r="AB1453" s="17" t="str">
        <f aca="false">IF($D1453="","",IF(OR($R1453=TRUE(),$R1453="TRUE"),Settings!$C$6,Settings!$C$7)*100)</f>
        <v/>
      </c>
      <c r="AH1453" s="18" t="str">
        <f aca="false">IF($D1453="","",IF(COUNTIF($D$2:$D1453,$D1453)=1,1,0))</f>
        <v/>
      </c>
      <c r="AI1453" s="18" t="str">
        <f aca="false">IF($AH1453=1,SUMPRODUCT(--($AK$2:$AK$4001&lt;$AK1453))+1,"")</f>
        <v/>
      </c>
      <c r="AJ1453" s="18" t="str">
        <f aca="false">IF($D1453="","",IF(OR($R1453=TRUE(),$R1453="TRUE"),1,0))</f>
        <v/>
      </c>
      <c r="AK1453" s="18" t="str">
        <f aca="false">IF($AH1453=1,IFERROR(VALUE(MID($D1453,2,20)),1000000000)+ROW()/10000000,"")</f>
        <v/>
      </c>
    </row>
    <row r="1454" customFormat="false" ht="15" hidden="false" customHeight="false" outlineLevel="0" collapsed="false">
      <c r="F1454" s="15"/>
      <c r="N1454" s="16" t="str">
        <f aca="false">IF($D1454="","",M1454*Y1454/100)</f>
        <v/>
      </c>
      <c r="V1454" s="16" t="str">
        <f aca="false">IF($D1454="","",Y1454*AB1454/100)</f>
        <v/>
      </c>
      <c r="W1454" s="16" t="str">
        <f aca="false">IF($D1454="","",Y1454-V1454)</f>
        <v/>
      </c>
      <c r="X1454" s="16" t="str">
        <f aca="false">IF($D1454="","",W1454-N1454)</f>
        <v/>
      </c>
      <c r="AB1454" s="17" t="str">
        <f aca="false">IF($D1454="","",IF(OR($R1454=TRUE(),$R1454="TRUE"),Settings!$C$6,Settings!$C$7)*100)</f>
        <v/>
      </c>
      <c r="AH1454" s="18" t="str">
        <f aca="false">IF($D1454="","",IF(COUNTIF($D$2:$D1454,$D1454)=1,1,0))</f>
        <v/>
      </c>
      <c r="AI1454" s="18" t="str">
        <f aca="false">IF($AH1454=1,SUMPRODUCT(--($AK$2:$AK$4001&lt;$AK1454))+1,"")</f>
        <v/>
      </c>
      <c r="AJ1454" s="18" t="str">
        <f aca="false">IF($D1454="","",IF(OR($R1454=TRUE(),$R1454="TRUE"),1,0))</f>
        <v/>
      </c>
      <c r="AK1454" s="18" t="str">
        <f aca="false">IF($AH1454=1,IFERROR(VALUE(MID($D1454,2,20)),1000000000)+ROW()/10000000,"")</f>
        <v/>
      </c>
    </row>
    <row r="1455" customFormat="false" ht="15" hidden="false" customHeight="false" outlineLevel="0" collapsed="false">
      <c r="F1455" s="15"/>
      <c r="N1455" s="16" t="str">
        <f aca="false">IF($D1455="","",M1455*Y1455/100)</f>
        <v/>
      </c>
      <c r="V1455" s="16" t="str">
        <f aca="false">IF($D1455="","",Y1455*AB1455/100)</f>
        <v/>
      </c>
      <c r="W1455" s="16" t="str">
        <f aca="false">IF($D1455="","",Y1455-V1455)</f>
        <v/>
      </c>
      <c r="X1455" s="16" t="str">
        <f aca="false">IF($D1455="","",W1455-N1455)</f>
        <v/>
      </c>
      <c r="AB1455" s="17" t="str">
        <f aca="false">IF($D1455="","",IF(OR($R1455=TRUE(),$R1455="TRUE"),Settings!$C$6,Settings!$C$7)*100)</f>
        <v/>
      </c>
      <c r="AH1455" s="18" t="str">
        <f aca="false">IF($D1455="","",IF(COUNTIF($D$2:$D1455,$D1455)=1,1,0))</f>
        <v/>
      </c>
      <c r="AI1455" s="18" t="str">
        <f aca="false">IF($AH1455=1,SUMPRODUCT(--($AK$2:$AK$4001&lt;$AK1455))+1,"")</f>
        <v/>
      </c>
      <c r="AJ1455" s="18" t="str">
        <f aca="false">IF($D1455="","",IF(OR($R1455=TRUE(),$R1455="TRUE"),1,0))</f>
        <v/>
      </c>
      <c r="AK1455" s="18" t="str">
        <f aca="false">IF($AH1455=1,IFERROR(VALUE(MID($D1455,2,20)),1000000000)+ROW()/10000000,"")</f>
        <v/>
      </c>
    </row>
    <row r="1456" customFormat="false" ht="15" hidden="false" customHeight="false" outlineLevel="0" collapsed="false">
      <c r="F1456" s="15"/>
      <c r="N1456" s="16" t="str">
        <f aca="false">IF($D1456="","",M1456*Y1456/100)</f>
        <v/>
      </c>
      <c r="V1456" s="16" t="str">
        <f aca="false">IF($D1456="","",Y1456*AB1456/100)</f>
        <v/>
      </c>
      <c r="W1456" s="16" t="str">
        <f aca="false">IF($D1456="","",Y1456-V1456)</f>
        <v/>
      </c>
      <c r="X1456" s="16" t="str">
        <f aca="false">IF($D1456="","",W1456-N1456)</f>
        <v/>
      </c>
      <c r="AB1456" s="17" t="str">
        <f aca="false">IF($D1456="","",IF(OR($R1456=TRUE(),$R1456="TRUE"),Settings!$C$6,Settings!$C$7)*100)</f>
        <v/>
      </c>
      <c r="AH1456" s="18" t="str">
        <f aca="false">IF($D1456="","",IF(COUNTIF($D$2:$D1456,$D1456)=1,1,0))</f>
        <v/>
      </c>
      <c r="AI1456" s="18" t="str">
        <f aca="false">IF($AH1456=1,SUMPRODUCT(--($AK$2:$AK$4001&lt;$AK1456))+1,"")</f>
        <v/>
      </c>
      <c r="AJ1456" s="18" t="str">
        <f aca="false">IF($D1456="","",IF(OR($R1456=TRUE(),$R1456="TRUE"),1,0))</f>
        <v/>
      </c>
      <c r="AK1456" s="18" t="str">
        <f aca="false">IF($AH1456=1,IFERROR(VALUE(MID($D1456,2,20)),1000000000)+ROW()/10000000,"")</f>
        <v/>
      </c>
    </row>
    <row r="1457" customFormat="false" ht="15" hidden="false" customHeight="false" outlineLevel="0" collapsed="false">
      <c r="F1457" s="15"/>
      <c r="N1457" s="16" t="str">
        <f aca="false">IF($D1457="","",M1457*Y1457/100)</f>
        <v/>
      </c>
      <c r="V1457" s="16" t="str">
        <f aca="false">IF($D1457="","",Y1457*AB1457/100)</f>
        <v/>
      </c>
      <c r="W1457" s="16" t="str">
        <f aca="false">IF($D1457="","",Y1457-V1457)</f>
        <v/>
      </c>
      <c r="X1457" s="16" t="str">
        <f aca="false">IF($D1457="","",W1457-N1457)</f>
        <v/>
      </c>
      <c r="AB1457" s="17" t="str">
        <f aca="false">IF($D1457="","",IF(OR($R1457=TRUE(),$R1457="TRUE"),Settings!$C$6,Settings!$C$7)*100)</f>
        <v/>
      </c>
      <c r="AH1457" s="18" t="str">
        <f aca="false">IF($D1457="","",IF(COUNTIF($D$2:$D1457,$D1457)=1,1,0))</f>
        <v/>
      </c>
      <c r="AI1457" s="18" t="str">
        <f aca="false">IF($AH1457=1,SUMPRODUCT(--($AK$2:$AK$4001&lt;$AK1457))+1,"")</f>
        <v/>
      </c>
      <c r="AJ1457" s="18" t="str">
        <f aca="false">IF($D1457="","",IF(OR($R1457=TRUE(),$R1457="TRUE"),1,0))</f>
        <v/>
      </c>
      <c r="AK1457" s="18" t="str">
        <f aca="false">IF($AH1457=1,IFERROR(VALUE(MID($D1457,2,20)),1000000000)+ROW()/10000000,"")</f>
        <v/>
      </c>
    </row>
    <row r="1458" customFormat="false" ht="15" hidden="false" customHeight="false" outlineLevel="0" collapsed="false">
      <c r="F1458" s="15"/>
      <c r="N1458" s="16" t="str">
        <f aca="false">IF($D1458="","",M1458*Y1458/100)</f>
        <v/>
      </c>
      <c r="V1458" s="16" t="str">
        <f aca="false">IF($D1458="","",Y1458*AB1458/100)</f>
        <v/>
      </c>
      <c r="W1458" s="16" t="str">
        <f aca="false">IF($D1458="","",Y1458-V1458)</f>
        <v/>
      </c>
      <c r="X1458" s="16" t="str">
        <f aca="false">IF($D1458="","",W1458-N1458)</f>
        <v/>
      </c>
      <c r="AB1458" s="17" t="str">
        <f aca="false">IF($D1458="","",IF(OR($R1458=TRUE(),$R1458="TRUE"),Settings!$C$6,Settings!$C$7)*100)</f>
        <v/>
      </c>
      <c r="AH1458" s="18" t="str">
        <f aca="false">IF($D1458="","",IF(COUNTIF($D$2:$D1458,$D1458)=1,1,0))</f>
        <v/>
      </c>
      <c r="AI1458" s="18" t="str">
        <f aca="false">IF($AH1458=1,SUMPRODUCT(--($AK$2:$AK$4001&lt;$AK1458))+1,"")</f>
        <v/>
      </c>
      <c r="AJ1458" s="18" t="str">
        <f aca="false">IF($D1458="","",IF(OR($R1458=TRUE(),$R1458="TRUE"),1,0))</f>
        <v/>
      </c>
      <c r="AK1458" s="18" t="str">
        <f aca="false">IF($AH1458=1,IFERROR(VALUE(MID($D1458,2,20)),1000000000)+ROW()/10000000,"")</f>
        <v/>
      </c>
    </row>
    <row r="1459" customFormat="false" ht="15" hidden="false" customHeight="false" outlineLevel="0" collapsed="false">
      <c r="F1459" s="15"/>
      <c r="N1459" s="16" t="str">
        <f aca="false">IF($D1459="","",M1459*Y1459/100)</f>
        <v/>
      </c>
      <c r="V1459" s="16" t="str">
        <f aca="false">IF($D1459="","",Y1459*AB1459/100)</f>
        <v/>
      </c>
      <c r="W1459" s="16" t="str">
        <f aca="false">IF($D1459="","",Y1459-V1459)</f>
        <v/>
      </c>
      <c r="X1459" s="16" t="str">
        <f aca="false">IF($D1459="","",W1459-N1459)</f>
        <v/>
      </c>
      <c r="AB1459" s="17" t="str">
        <f aca="false">IF($D1459="","",IF(OR($R1459=TRUE(),$R1459="TRUE"),Settings!$C$6,Settings!$C$7)*100)</f>
        <v/>
      </c>
      <c r="AH1459" s="18" t="str">
        <f aca="false">IF($D1459="","",IF(COUNTIF($D$2:$D1459,$D1459)=1,1,0))</f>
        <v/>
      </c>
      <c r="AI1459" s="18" t="str">
        <f aca="false">IF($AH1459=1,SUMPRODUCT(--($AK$2:$AK$4001&lt;$AK1459))+1,"")</f>
        <v/>
      </c>
      <c r="AJ1459" s="18" t="str">
        <f aca="false">IF($D1459="","",IF(OR($R1459=TRUE(),$R1459="TRUE"),1,0))</f>
        <v/>
      </c>
      <c r="AK1459" s="18" t="str">
        <f aca="false">IF($AH1459=1,IFERROR(VALUE(MID($D1459,2,20)),1000000000)+ROW()/10000000,"")</f>
        <v/>
      </c>
    </row>
    <row r="1460" customFormat="false" ht="15" hidden="false" customHeight="false" outlineLevel="0" collapsed="false">
      <c r="F1460" s="15"/>
      <c r="N1460" s="16" t="str">
        <f aca="false">IF($D1460="","",M1460*Y1460/100)</f>
        <v/>
      </c>
      <c r="V1460" s="16" t="str">
        <f aca="false">IF($D1460="","",Y1460*AB1460/100)</f>
        <v/>
      </c>
      <c r="W1460" s="16" t="str">
        <f aca="false">IF($D1460="","",Y1460-V1460)</f>
        <v/>
      </c>
      <c r="X1460" s="16" t="str">
        <f aca="false">IF($D1460="","",W1460-N1460)</f>
        <v/>
      </c>
      <c r="AB1460" s="17" t="str">
        <f aca="false">IF($D1460="","",IF(OR($R1460=TRUE(),$R1460="TRUE"),Settings!$C$6,Settings!$C$7)*100)</f>
        <v/>
      </c>
      <c r="AH1460" s="18" t="str">
        <f aca="false">IF($D1460="","",IF(COUNTIF($D$2:$D1460,$D1460)=1,1,0))</f>
        <v/>
      </c>
      <c r="AI1460" s="18" t="str">
        <f aca="false">IF($AH1460=1,SUMPRODUCT(--($AK$2:$AK$4001&lt;$AK1460))+1,"")</f>
        <v/>
      </c>
      <c r="AJ1460" s="18" t="str">
        <f aca="false">IF($D1460="","",IF(OR($R1460=TRUE(),$R1460="TRUE"),1,0))</f>
        <v/>
      </c>
      <c r="AK1460" s="18" t="str">
        <f aca="false">IF($AH1460=1,IFERROR(VALUE(MID($D1460,2,20)),1000000000)+ROW()/10000000,"")</f>
        <v/>
      </c>
    </row>
    <row r="1461" customFormat="false" ht="15" hidden="false" customHeight="false" outlineLevel="0" collapsed="false">
      <c r="F1461" s="15"/>
      <c r="N1461" s="16" t="str">
        <f aca="false">IF($D1461="","",M1461*Y1461/100)</f>
        <v/>
      </c>
      <c r="V1461" s="16" t="str">
        <f aca="false">IF($D1461="","",Y1461*AB1461/100)</f>
        <v/>
      </c>
      <c r="W1461" s="16" t="str">
        <f aca="false">IF($D1461="","",Y1461-V1461)</f>
        <v/>
      </c>
      <c r="X1461" s="16" t="str">
        <f aca="false">IF($D1461="","",W1461-N1461)</f>
        <v/>
      </c>
      <c r="AB1461" s="17" t="str">
        <f aca="false">IF($D1461="","",IF(OR($R1461=TRUE(),$R1461="TRUE"),Settings!$C$6,Settings!$C$7)*100)</f>
        <v/>
      </c>
      <c r="AH1461" s="18" t="str">
        <f aca="false">IF($D1461="","",IF(COUNTIF($D$2:$D1461,$D1461)=1,1,0))</f>
        <v/>
      </c>
      <c r="AI1461" s="18" t="str">
        <f aca="false">IF($AH1461=1,SUMPRODUCT(--($AK$2:$AK$4001&lt;$AK1461))+1,"")</f>
        <v/>
      </c>
      <c r="AJ1461" s="18" t="str">
        <f aca="false">IF($D1461="","",IF(OR($R1461=TRUE(),$R1461="TRUE"),1,0))</f>
        <v/>
      </c>
      <c r="AK1461" s="18" t="str">
        <f aca="false">IF($AH1461=1,IFERROR(VALUE(MID($D1461,2,20)),1000000000)+ROW()/10000000,"")</f>
        <v/>
      </c>
    </row>
    <row r="1462" customFormat="false" ht="15" hidden="false" customHeight="false" outlineLevel="0" collapsed="false">
      <c r="F1462" s="15"/>
      <c r="N1462" s="16" t="str">
        <f aca="false">IF($D1462="","",M1462*Y1462/100)</f>
        <v/>
      </c>
      <c r="V1462" s="16" t="str">
        <f aca="false">IF($D1462="","",Y1462*AB1462/100)</f>
        <v/>
      </c>
      <c r="W1462" s="16" t="str">
        <f aca="false">IF($D1462="","",Y1462-V1462)</f>
        <v/>
      </c>
      <c r="X1462" s="16" t="str">
        <f aca="false">IF($D1462="","",W1462-N1462)</f>
        <v/>
      </c>
      <c r="AB1462" s="17" t="str">
        <f aca="false">IF($D1462="","",IF(OR($R1462=TRUE(),$R1462="TRUE"),Settings!$C$6,Settings!$C$7)*100)</f>
        <v/>
      </c>
      <c r="AH1462" s="18" t="str">
        <f aca="false">IF($D1462="","",IF(COUNTIF($D$2:$D1462,$D1462)=1,1,0))</f>
        <v/>
      </c>
      <c r="AI1462" s="18" t="str">
        <f aca="false">IF($AH1462=1,SUMPRODUCT(--($AK$2:$AK$4001&lt;$AK1462))+1,"")</f>
        <v/>
      </c>
      <c r="AJ1462" s="18" t="str">
        <f aca="false">IF($D1462="","",IF(OR($R1462=TRUE(),$R1462="TRUE"),1,0))</f>
        <v/>
      </c>
      <c r="AK1462" s="18" t="str">
        <f aca="false">IF($AH1462=1,IFERROR(VALUE(MID($D1462,2,20)),1000000000)+ROW()/10000000,"")</f>
        <v/>
      </c>
    </row>
    <row r="1463" customFormat="false" ht="15" hidden="false" customHeight="false" outlineLevel="0" collapsed="false">
      <c r="F1463" s="15"/>
      <c r="N1463" s="16" t="str">
        <f aca="false">IF($D1463="","",M1463*Y1463/100)</f>
        <v/>
      </c>
      <c r="V1463" s="16" t="str">
        <f aca="false">IF($D1463="","",Y1463*AB1463/100)</f>
        <v/>
      </c>
      <c r="W1463" s="16" t="str">
        <f aca="false">IF($D1463="","",Y1463-V1463)</f>
        <v/>
      </c>
      <c r="X1463" s="16" t="str">
        <f aca="false">IF($D1463="","",W1463-N1463)</f>
        <v/>
      </c>
      <c r="AB1463" s="17" t="str">
        <f aca="false">IF($D1463="","",IF(OR($R1463=TRUE(),$R1463="TRUE"),Settings!$C$6,Settings!$C$7)*100)</f>
        <v/>
      </c>
      <c r="AH1463" s="18" t="str">
        <f aca="false">IF($D1463="","",IF(COUNTIF($D$2:$D1463,$D1463)=1,1,0))</f>
        <v/>
      </c>
      <c r="AI1463" s="18" t="str">
        <f aca="false">IF($AH1463=1,SUMPRODUCT(--($AK$2:$AK$4001&lt;$AK1463))+1,"")</f>
        <v/>
      </c>
      <c r="AJ1463" s="18" t="str">
        <f aca="false">IF($D1463="","",IF(OR($R1463=TRUE(),$R1463="TRUE"),1,0))</f>
        <v/>
      </c>
      <c r="AK1463" s="18" t="str">
        <f aca="false">IF($AH1463=1,IFERROR(VALUE(MID($D1463,2,20)),1000000000)+ROW()/10000000,"")</f>
        <v/>
      </c>
    </row>
    <row r="1464" customFormat="false" ht="15" hidden="false" customHeight="false" outlineLevel="0" collapsed="false">
      <c r="F1464" s="15"/>
      <c r="N1464" s="16" t="str">
        <f aca="false">IF($D1464="","",M1464*Y1464/100)</f>
        <v/>
      </c>
      <c r="V1464" s="16" t="str">
        <f aca="false">IF($D1464="","",Y1464*AB1464/100)</f>
        <v/>
      </c>
      <c r="W1464" s="16" t="str">
        <f aca="false">IF($D1464="","",Y1464-V1464)</f>
        <v/>
      </c>
      <c r="X1464" s="16" t="str">
        <f aca="false">IF($D1464="","",W1464-N1464)</f>
        <v/>
      </c>
      <c r="AB1464" s="17" t="str">
        <f aca="false">IF($D1464="","",IF(OR($R1464=TRUE(),$R1464="TRUE"),Settings!$C$6,Settings!$C$7)*100)</f>
        <v/>
      </c>
      <c r="AH1464" s="18" t="str">
        <f aca="false">IF($D1464="","",IF(COUNTIF($D$2:$D1464,$D1464)=1,1,0))</f>
        <v/>
      </c>
      <c r="AI1464" s="18" t="str">
        <f aca="false">IF($AH1464=1,SUMPRODUCT(--($AK$2:$AK$4001&lt;$AK1464))+1,"")</f>
        <v/>
      </c>
      <c r="AJ1464" s="18" t="str">
        <f aca="false">IF($D1464="","",IF(OR($R1464=TRUE(),$R1464="TRUE"),1,0))</f>
        <v/>
      </c>
      <c r="AK1464" s="18" t="str">
        <f aca="false">IF($AH1464=1,IFERROR(VALUE(MID($D1464,2,20)),1000000000)+ROW()/10000000,"")</f>
        <v/>
      </c>
    </row>
    <row r="1465" customFormat="false" ht="15" hidden="false" customHeight="false" outlineLevel="0" collapsed="false">
      <c r="F1465" s="15"/>
      <c r="N1465" s="16" t="str">
        <f aca="false">IF($D1465="","",M1465*Y1465/100)</f>
        <v/>
      </c>
      <c r="V1465" s="16" t="str">
        <f aca="false">IF($D1465="","",Y1465*AB1465/100)</f>
        <v/>
      </c>
      <c r="W1465" s="16" t="str">
        <f aca="false">IF($D1465="","",Y1465-V1465)</f>
        <v/>
      </c>
      <c r="X1465" s="16" t="str">
        <f aca="false">IF($D1465="","",W1465-N1465)</f>
        <v/>
      </c>
      <c r="AB1465" s="17" t="str">
        <f aca="false">IF($D1465="","",IF(OR($R1465=TRUE(),$R1465="TRUE"),Settings!$C$6,Settings!$C$7)*100)</f>
        <v/>
      </c>
      <c r="AH1465" s="18" t="str">
        <f aca="false">IF($D1465="","",IF(COUNTIF($D$2:$D1465,$D1465)=1,1,0))</f>
        <v/>
      </c>
      <c r="AI1465" s="18" t="str">
        <f aca="false">IF($AH1465=1,SUMPRODUCT(--($AK$2:$AK$4001&lt;$AK1465))+1,"")</f>
        <v/>
      </c>
      <c r="AJ1465" s="18" t="str">
        <f aca="false">IF($D1465="","",IF(OR($R1465=TRUE(),$R1465="TRUE"),1,0))</f>
        <v/>
      </c>
      <c r="AK1465" s="18" t="str">
        <f aca="false">IF($AH1465=1,IFERROR(VALUE(MID($D1465,2,20)),1000000000)+ROW()/10000000,"")</f>
        <v/>
      </c>
    </row>
    <row r="1466" customFormat="false" ht="15" hidden="false" customHeight="false" outlineLevel="0" collapsed="false">
      <c r="F1466" s="15"/>
      <c r="N1466" s="16" t="str">
        <f aca="false">IF($D1466="","",M1466*Y1466/100)</f>
        <v/>
      </c>
      <c r="V1466" s="16" t="str">
        <f aca="false">IF($D1466="","",Y1466*AB1466/100)</f>
        <v/>
      </c>
      <c r="W1466" s="16" t="str">
        <f aca="false">IF($D1466="","",Y1466-V1466)</f>
        <v/>
      </c>
      <c r="X1466" s="16" t="str">
        <f aca="false">IF($D1466="","",W1466-N1466)</f>
        <v/>
      </c>
      <c r="AB1466" s="17" t="str">
        <f aca="false">IF($D1466="","",IF(OR($R1466=TRUE(),$R1466="TRUE"),Settings!$C$6,Settings!$C$7)*100)</f>
        <v/>
      </c>
      <c r="AH1466" s="18" t="str">
        <f aca="false">IF($D1466="","",IF(COUNTIF($D$2:$D1466,$D1466)=1,1,0))</f>
        <v/>
      </c>
      <c r="AI1466" s="18" t="str">
        <f aca="false">IF($AH1466=1,SUMPRODUCT(--($AK$2:$AK$4001&lt;$AK1466))+1,"")</f>
        <v/>
      </c>
      <c r="AJ1466" s="18" t="str">
        <f aca="false">IF($D1466="","",IF(OR($R1466=TRUE(),$R1466="TRUE"),1,0))</f>
        <v/>
      </c>
      <c r="AK1466" s="18" t="str">
        <f aca="false">IF($AH1466=1,IFERROR(VALUE(MID($D1466,2,20)),1000000000)+ROW()/10000000,"")</f>
        <v/>
      </c>
    </row>
    <row r="1467" customFormat="false" ht="15" hidden="false" customHeight="false" outlineLevel="0" collapsed="false">
      <c r="F1467" s="15"/>
      <c r="N1467" s="16" t="str">
        <f aca="false">IF($D1467="","",M1467*Y1467/100)</f>
        <v/>
      </c>
      <c r="V1467" s="16" t="str">
        <f aca="false">IF($D1467="","",Y1467*AB1467/100)</f>
        <v/>
      </c>
      <c r="W1467" s="16" t="str">
        <f aca="false">IF($D1467="","",Y1467-V1467)</f>
        <v/>
      </c>
      <c r="X1467" s="16" t="str">
        <f aca="false">IF($D1467="","",W1467-N1467)</f>
        <v/>
      </c>
      <c r="AB1467" s="17" t="str">
        <f aca="false">IF($D1467="","",IF(OR($R1467=TRUE(),$R1467="TRUE"),Settings!$C$6,Settings!$C$7)*100)</f>
        <v/>
      </c>
      <c r="AH1467" s="18" t="str">
        <f aca="false">IF($D1467="","",IF(COUNTIF($D$2:$D1467,$D1467)=1,1,0))</f>
        <v/>
      </c>
      <c r="AI1467" s="18" t="str">
        <f aca="false">IF($AH1467=1,SUMPRODUCT(--($AK$2:$AK$4001&lt;$AK1467))+1,"")</f>
        <v/>
      </c>
      <c r="AJ1467" s="18" t="str">
        <f aca="false">IF($D1467="","",IF(OR($R1467=TRUE(),$R1467="TRUE"),1,0))</f>
        <v/>
      </c>
      <c r="AK1467" s="18" t="str">
        <f aca="false">IF($AH1467=1,IFERROR(VALUE(MID($D1467,2,20)),1000000000)+ROW()/10000000,"")</f>
        <v/>
      </c>
    </row>
    <row r="1468" customFormat="false" ht="15" hidden="false" customHeight="false" outlineLevel="0" collapsed="false">
      <c r="F1468" s="15"/>
      <c r="N1468" s="16" t="str">
        <f aca="false">IF($D1468="","",M1468*Y1468/100)</f>
        <v/>
      </c>
      <c r="V1468" s="16" t="str">
        <f aca="false">IF($D1468="","",Y1468*AB1468/100)</f>
        <v/>
      </c>
      <c r="W1468" s="16" t="str">
        <f aca="false">IF($D1468="","",Y1468-V1468)</f>
        <v/>
      </c>
      <c r="X1468" s="16" t="str">
        <f aca="false">IF($D1468="","",W1468-N1468)</f>
        <v/>
      </c>
      <c r="AB1468" s="17" t="str">
        <f aca="false">IF($D1468="","",IF(OR($R1468=TRUE(),$R1468="TRUE"),Settings!$C$6,Settings!$C$7)*100)</f>
        <v/>
      </c>
      <c r="AH1468" s="18" t="str">
        <f aca="false">IF($D1468="","",IF(COUNTIF($D$2:$D1468,$D1468)=1,1,0))</f>
        <v/>
      </c>
      <c r="AI1468" s="18" t="str">
        <f aca="false">IF($AH1468=1,SUMPRODUCT(--($AK$2:$AK$4001&lt;$AK1468))+1,"")</f>
        <v/>
      </c>
      <c r="AJ1468" s="18" t="str">
        <f aca="false">IF($D1468="","",IF(OR($R1468=TRUE(),$R1468="TRUE"),1,0))</f>
        <v/>
      </c>
      <c r="AK1468" s="18" t="str">
        <f aca="false">IF($AH1468=1,IFERROR(VALUE(MID($D1468,2,20)),1000000000)+ROW()/10000000,"")</f>
        <v/>
      </c>
    </row>
    <row r="1469" customFormat="false" ht="15" hidden="false" customHeight="false" outlineLevel="0" collapsed="false">
      <c r="F1469" s="15"/>
      <c r="N1469" s="16" t="str">
        <f aca="false">IF($D1469="","",M1469*Y1469/100)</f>
        <v/>
      </c>
      <c r="V1469" s="16" t="str">
        <f aca="false">IF($D1469="","",Y1469*AB1469/100)</f>
        <v/>
      </c>
      <c r="W1469" s="16" t="str">
        <f aca="false">IF($D1469="","",Y1469-V1469)</f>
        <v/>
      </c>
      <c r="X1469" s="16" t="str">
        <f aca="false">IF($D1469="","",W1469-N1469)</f>
        <v/>
      </c>
      <c r="AB1469" s="17" t="str">
        <f aca="false">IF($D1469="","",IF(OR($R1469=TRUE(),$R1469="TRUE"),Settings!$C$6,Settings!$C$7)*100)</f>
        <v/>
      </c>
      <c r="AH1469" s="18" t="str">
        <f aca="false">IF($D1469="","",IF(COUNTIF($D$2:$D1469,$D1469)=1,1,0))</f>
        <v/>
      </c>
      <c r="AI1469" s="18" t="str">
        <f aca="false">IF($AH1469=1,SUMPRODUCT(--($AK$2:$AK$4001&lt;$AK1469))+1,"")</f>
        <v/>
      </c>
      <c r="AJ1469" s="18" t="str">
        <f aca="false">IF($D1469="","",IF(OR($R1469=TRUE(),$R1469="TRUE"),1,0))</f>
        <v/>
      </c>
      <c r="AK1469" s="18" t="str">
        <f aca="false">IF($AH1469=1,IFERROR(VALUE(MID($D1469,2,20)),1000000000)+ROW()/10000000,"")</f>
        <v/>
      </c>
    </row>
    <row r="1470" customFormat="false" ht="15" hidden="false" customHeight="false" outlineLevel="0" collapsed="false">
      <c r="F1470" s="15"/>
      <c r="N1470" s="16" t="str">
        <f aca="false">IF($D1470="","",M1470*Y1470/100)</f>
        <v/>
      </c>
      <c r="V1470" s="16" t="str">
        <f aca="false">IF($D1470="","",Y1470*AB1470/100)</f>
        <v/>
      </c>
      <c r="W1470" s="16" t="str">
        <f aca="false">IF($D1470="","",Y1470-V1470)</f>
        <v/>
      </c>
      <c r="X1470" s="16" t="str">
        <f aca="false">IF($D1470="","",W1470-N1470)</f>
        <v/>
      </c>
      <c r="AB1470" s="17" t="str">
        <f aca="false">IF($D1470="","",IF(OR($R1470=TRUE(),$R1470="TRUE"),Settings!$C$6,Settings!$C$7)*100)</f>
        <v/>
      </c>
      <c r="AH1470" s="18" t="str">
        <f aca="false">IF($D1470="","",IF(COUNTIF($D$2:$D1470,$D1470)=1,1,0))</f>
        <v/>
      </c>
      <c r="AI1470" s="18" t="str">
        <f aca="false">IF($AH1470=1,SUMPRODUCT(--($AK$2:$AK$4001&lt;$AK1470))+1,"")</f>
        <v/>
      </c>
      <c r="AJ1470" s="18" t="str">
        <f aca="false">IF($D1470="","",IF(OR($R1470=TRUE(),$R1470="TRUE"),1,0))</f>
        <v/>
      </c>
      <c r="AK1470" s="18" t="str">
        <f aca="false">IF($AH1470=1,IFERROR(VALUE(MID($D1470,2,20)),1000000000)+ROW()/10000000,"")</f>
        <v/>
      </c>
    </row>
    <row r="1471" customFormat="false" ht="15" hidden="false" customHeight="false" outlineLevel="0" collapsed="false">
      <c r="F1471" s="15"/>
      <c r="N1471" s="16" t="str">
        <f aca="false">IF($D1471="","",M1471*Y1471/100)</f>
        <v/>
      </c>
      <c r="V1471" s="16" t="str">
        <f aca="false">IF($D1471="","",Y1471*AB1471/100)</f>
        <v/>
      </c>
      <c r="W1471" s="16" t="str">
        <f aca="false">IF($D1471="","",Y1471-V1471)</f>
        <v/>
      </c>
      <c r="X1471" s="16" t="str">
        <f aca="false">IF($D1471="","",W1471-N1471)</f>
        <v/>
      </c>
      <c r="AB1471" s="17" t="str">
        <f aca="false">IF($D1471="","",IF(OR($R1471=TRUE(),$R1471="TRUE"),Settings!$C$6,Settings!$C$7)*100)</f>
        <v/>
      </c>
      <c r="AH1471" s="18" t="str">
        <f aca="false">IF($D1471="","",IF(COUNTIF($D$2:$D1471,$D1471)=1,1,0))</f>
        <v/>
      </c>
      <c r="AI1471" s="18" t="str">
        <f aca="false">IF($AH1471=1,SUMPRODUCT(--($AK$2:$AK$4001&lt;$AK1471))+1,"")</f>
        <v/>
      </c>
      <c r="AJ1471" s="18" t="str">
        <f aca="false">IF($D1471="","",IF(OR($R1471=TRUE(),$R1471="TRUE"),1,0))</f>
        <v/>
      </c>
      <c r="AK1471" s="18" t="str">
        <f aca="false">IF($AH1471=1,IFERROR(VALUE(MID($D1471,2,20)),1000000000)+ROW()/10000000,"")</f>
        <v/>
      </c>
    </row>
    <row r="1472" customFormat="false" ht="15" hidden="false" customHeight="false" outlineLevel="0" collapsed="false">
      <c r="F1472" s="15"/>
      <c r="N1472" s="16" t="str">
        <f aca="false">IF($D1472="","",M1472*Y1472/100)</f>
        <v/>
      </c>
      <c r="V1472" s="16" t="str">
        <f aca="false">IF($D1472="","",Y1472*AB1472/100)</f>
        <v/>
      </c>
      <c r="W1472" s="16" t="str">
        <f aca="false">IF($D1472="","",Y1472-V1472)</f>
        <v/>
      </c>
      <c r="X1472" s="16" t="str">
        <f aca="false">IF($D1472="","",W1472-N1472)</f>
        <v/>
      </c>
      <c r="AB1472" s="17" t="str">
        <f aca="false">IF($D1472="","",IF(OR($R1472=TRUE(),$R1472="TRUE"),Settings!$C$6,Settings!$C$7)*100)</f>
        <v/>
      </c>
      <c r="AH1472" s="18" t="str">
        <f aca="false">IF($D1472="","",IF(COUNTIF($D$2:$D1472,$D1472)=1,1,0))</f>
        <v/>
      </c>
      <c r="AI1472" s="18" t="str">
        <f aca="false">IF($AH1472=1,SUMPRODUCT(--($AK$2:$AK$4001&lt;$AK1472))+1,"")</f>
        <v/>
      </c>
      <c r="AJ1472" s="18" t="str">
        <f aca="false">IF($D1472="","",IF(OR($R1472=TRUE(),$R1472="TRUE"),1,0))</f>
        <v/>
      </c>
      <c r="AK1472" s="18" t="str">
        <f aca="false">IF($AH1472=1,IFERROR(VALUE(MID($D1472,2,20)),1000000000)+ROW()/10000000,"")</f>
        <v/>
      </c>
    </row>
    <row r="1473" customFormat="false" ht="15" hidden="false" customHeight="false" outlineLevel="0" collapsed="false">
      <c r="F1473" s="15"/>
      <c r="N1473" s="16" t="str">
        <f aca="false">IF($D1473="","",M1473*Y1473/100)</f>
        <v/>
      </c>
      <c r="V1473" s="16" t="str">
        <f aca="false">IF($D1473="","",Y1473*AB1473/100)</f>
        <v/>
      </c>
      <c r="W1473" s="16" t="str">
        <f aca="false">IF($D1473="","",Y1473-V1473)</f>
        <v/>
      </c>
      <c r="X1473" s="16" t="str">
        <f aca="false">IF($D1473="","",W1473-N1473)</f>
        <v/>
      </c>
      <c r="AB1473" s="17" t="str">
        <f aca="false">IF($D1473="","",IF(OR($R1473=TRUE(),$R1473="TRUE"),Settings!$C$6,Settings!$C$7)*100)</f>
        <v/>
      </c>
      <c r="AH1473" s="18" t="str">
        <f aca="false">IF($D1473="","",IF(COUNTIF($D$2:$D1473,$D1473)=1,1,0))</f>
        <v/>
      </c>
      <c r="AI1473" s="18" t="str">
        <f aca="false">IF($AH1473=1,SUMPRODUCT(--($AK$2:$AK$4001&lt;$AK1473))+1,"")</f>
        <v/>
      </c>
      <c r="AJ1473" s="18" t="str">
        <f aca="false">IF($D1473="","",IF(OR($R1473=TRUE(),$R1473="TRUE"),1,0))</f>
        <v/>
      </c>
      <c r="AK1473" s="18" t="str">
        <f aca="false">IF($AH1473=1,IFERROR(VALUE(MID($D1473,2,20)),1000000000)+ROW()/10000000,"")</f>
        <v/>
      </c>
    </row>
    <row r="1474" customFormat="false" ht="15" hidden="false" customHeight="false" outlineLevel="0" collapsed="false">
      <c r="F1474" s="15"/>
      <c r="N1474" s="16" t="str">
        <f aca="false">IF($D1474="","",M1474*Y1474/100)</f>
        <v/>
      </c>
      <c r="V1474" s="16" t="str">
        <f aca="false">IF($D1474="","",Y1474*AB1474/100)</f>
        <v/>
      </c>
      <c r="W1474" s="16" t="str">
        <f aca="false">IF($D1474="","",Y1474-V1474)</f>
        <v/>
      </c>
      <c r="X1474" s="16" t="str">
        <f aca="false">IF($D1474="","",W1474-N1474)</f>
        <v/>
      </c>
      <c r="AB1474" s="17" t="str">
        <f aca="false">IF($D1474="","",IF(OR($R1474=TRUE(),$R1474="TRUE"),Settings!$C$6,Settings!$C$7)*100)</f>
        <v/>
      </c>
      <c r="AH1474" s="18" t="str">
        <f aca="false">IF($D1474="","",IF(COUNTIF($D$2:$D1474,$D1474)=1,1,0))</f>
        <v/>
      </c>
      <c r="AI1474" s="18" t="str">
        <f aca="false">IF($AH1474=1,SUMPRODUCT(--($AK$2:$AK$4001&lt;$AK1474))+1,"")</f>
        <v/>
      </c>
      <c r="AJ1474" s="18" t="str">
        <f aca="false">IF($D1474="","",IF(OR($R1474=TRUE(),$R1474="TRUE"),1,0))</f>
        <v/>
      </c>
      <c r="AK1474" s="18" t="str">
        <f aca="false">IF($AH1474=1,IFERROR(VALUE(MID($D1474,2,20)),1000000000)+ROW()/10000000,"")</f>
        <v/>
      </c>
    </row>
    <row r="1475" customFormat="false" ht="15" hidden="false" customHeight="false" outlineLevel="0" collapsed="false">
      <c r="F1475" s="15"/>
      <c r="N1475" s="16" t="str">
        <f aca="false">IF($D1475="","",M1475*Y1475/100)</f>
        <v/>
      </c>
      <c r="V1475" s="16" t="str">
        <f aca="false">IF($D1475="","",Y1475*AB1475/100)</f>
        <v/>
      </c>
      <c r="W1475" s="16" t="str">
        <f aca="false">IF($D1475="","",Y1475-V1475)</f>
        <v/>
      </c>
      <c r="X1475" s="16" t="str">
        <f aca="false">IF($D1475="","",W1475-N1475)</f>
        <v/>
      </c>
      <c r="AB1475" s="17" t="str">
        <f aca="false">IF($D1475="","",IF(OR($R1475=TRUE(),$R1475="TRUE"),Settings!$C$6,Settings!$C$7)*100)</f>
        <v/>
      </c>
      <c r="AH1475" s="18" t="str">
        <f aca="false">IF($D1475="","",IF(COUNTIF($D$2:$D1475,$D1475)=1,1,0))</f>
        <v/>
      </c>
      <c r="AI1475" s="18" t="str">
        <f aca="false">IF($AH1475=1,SUMPRODUCT(--($AK$2:$AK$4001&lt;$AK1475))+1,"")</f>
        <v/>
      </c>
      <c r="AJ1475" s="18" t="str">
        <f aca="false">IF($D1475="","",IF(OR($R1475=TRUE(),$R1475="TRUE"),1,0))</f>
        <v/>
      </c>
      <c r="AK1475" s="18" t="str">
        <f aca="false">IF($AH1475=1,IFERROR(VALUE(MID($D1475,2,20)),1000000000)+ROW()/10000000,"")</f>
        <v/>
      </c>
    </row>
    <row r="1476" customFormat="false" ht="15" hidden="false" customHeight="false" outlineLevel="0" collapsed="false">
      <c r="F1476" s="15"/>
      <c r="N1476" s="16" t="str">
        <f aca="false">IF($D1476="","",M1476*Y1476/100)</f>
        <v/>
      </c>
      <c r="V1476" s="16" t="str">
        <f aca="false">IF($D1476="","",Y1476*AB1476/100)</f>
        <v/>
      </c>
      <c r="W1476" s="16" t="str">
        <f aca="false">IF($D1476="","",Y1476-V1476)</f>
        <v/>
      </c>
      <c r="X1476" s="16" t="str">
        <f aca="false">IF($D1476="","",W1476-N1476)</f>
        <v/>
      </c>
      <c r="AB1476" s="17" t="str">
        <f aca="false">IF($D1476="","",IF(OR($R1476=TRUE(),$R1476="TRUE"),Settings!$C$6,Settings!$C$7)*100)</f>
        <v/>
      </c>
      <c r="AH1476" s="18" t="str">
        <f aca="false">IF($D1476="","",IF(COUNTIF($D$2:$D1476,$D1476)=1,1,0))</f>
        <v/>
      </c>
      <c r="AI1476" s="18" t="str">
        <f aca="false">IF($AH1476=1,SUMPRODUCT(--($AK$2:$AK$4001&lt;$AK1476))+1,"")</f>
        <v/>
      </c>
      <c r="AJ1476" s="18" t="str">
        <f aca="false">IF($D1476="","",IF(OR($R1476=TRUE(),$R1476="TRUE"),1,0))</f>
        <v/>
      </c>
      <c r="AK1476" s="18" t="str">
        <f aca="false">IF($AH1476=1,IFERROR(VALUE(MID($D1476,2,20)),1000000000)+ROW()/10000000,"")</f>
        <v/>
      </c>
    </row>
    <row r="1477" customFormat="false" ht="15" hidden="false" customHeight="false" outlineLevel="0" collapsed="false">
      <c r="F1477" s="15"/>
      <c r="N1477" s="16" t="str">
        <f aca="false">IF($D1477="","",M1477*Y1477/100)</f>
        <v/>
      </c>
      <c r="V1477" s="16" t="str">
        <f aca="false">IF($D1477="","",Y1477*AB1477/100)</f>
        <v/>
      </c>
      <c r="W1477" s="16" t="str">
        <f aca="false">IF($D1477="","",Y1477-V1477)</f>
        <v/>
      </c>
      <c r="X1477" s="16" t="str">
        <f aca="false">IF($D1477="","",W1477-N1477)</f>
        <v/>
      </c>
      <c r="AB1477" s="17" t="str">
        <f aca="false">IF($D1477="","",IF(OR($R1477=TRUE(),$R1477="TRUE"),Settings!$C$6,Settings!$C$7)*100)</f>
        <v/>
      </c>
      <c r="AH1477" s="18" t="str">
        <f aca="false">IF($D1477="","",IF(COUNTIF($D$2:$D1477,$D1477)=1,1,0))</f>
        <v/>
      </c>
      <c r="AI1477" s="18" t="str">
        <f aca="false">IF($AH1477=1,SUMPRODUCT(--($AK$2:$AK$4001&lt;$AK1477))+1,"")</f>
        <v/>
      </c>
      <c r="AJ1477" s="18" t="str">
        <f aca="false">IF($D1477="","",IF(OR($R1477=TRUE(),$R1477="TRUE"),1,0))</f>
        <v/>
      </c>
      <c r="AK1477" s="18" t="str">
        <f aca="false">IF($AH1477=1,IFERROR(VALUE(MID($D1477,2,20)),1000000000)+ROW()/10000000,"")</f>
        <v/>
      </c>
    </row>
    <row r="1478" customFormat="false" ht="15" hidden="false" customHeight="false" outlineLevel="0" collapsed="false">
      <c r="F1478" s="15"/>
      <c r="N1478" s="16" t="str">
        <f aca="false">IF($D1478="","",M1478*Y1478/100)</f>
        <v/>
      </c>
      <c r="V1478" s="16" t="str">
        <f aca="false">IF($D1478="","",Y1478*AB1478/100)</f>
        <v/>
      </c>
      <c r="W1478" s="16" t="str">
        <f aca="false">IF($D1478="","",Y1478-V1478)</f>
        <v/>
      </c>
      <c r="X1478" s="16" t="str">
        <f aca="false">IF($D1478="","",W1478-N1478)</f>
        <v/>
      </c>
      <c r="AB1478" s="17" t="str">
        <f aca="false">IF($D1478="","",IF(OR($R1478=TRUE(),$R1478="TRUE"),Settings!$C$6,Settings!$C$7)*100)</f>
        <v/>
      </c>
      <c r="AH1478" s="18" t="str">
        <f aca="false">IF($D1478="","",IF(COUNTIF($D$2:$D1478,$D1478)=1,1,0))</f>
        <v/>
      </c>
      <c r="AI1478" s="18" t="str">
        <f aca="false">IF($AH1478=1,SUMPRODUCT(--($AK$2:$AK$4001&lt;$AK1478))+1,"")</f>
        <v/>
      </c>
      <c r="AJ1478" s="18" t="str">
        <f aca="false">IF($D1478="","",IF(OR($R1478=TRUE(),$R1478="TRUE"),1,0))</f>
        <v/>
      </c>
      <c r="AK1478" s="18" t="str">
        <f aca="false">IF($AH1478=1,IFERROR(VALUE(MID($D1478,2,20)),1000000000)+ROW()/10000000,"")</f>
        <v/>
      </c>
    </row>
    <row r="1479" customFormat="false" ht="15" hidden="false" customHeight="false" outlineLevel="0" collapsed="false">
      <c r="F1479" s="15"/>
      <c r="N1479" s="16" t="str">
        <f aca="false">IF($D1479="","",M1479*Y1479/100)</f>
        <v/>
      </c>
      <c r="V1479" s="16" t="str">
        <f aca="false">IF($D1479="","",Y1479*AB1479/100)</f>
        <v/>
      </c>
      <c r="W1479" s="16" t="str">
        <f aca="false">IF($D1479="","",Y1479-V1479)</f>
        <v/>
      </c>
      <c r="X1479" s="16" t="str">
        <f aca="false">IF($D1479="","",W1479-N1479)</f>
        <v/>
      </c>
      <c r="AB1479" s="17" t="str">
        <f aca="false">IF($D1479="","",IF(OR($R1479=TRUE(),$R1479="TRUE"),Settings!$C$6,Settings!$C$7)*100)</f>
        <v/>
      </c>
      <c r="AH1479" s="18" t="str">
        <f aca="false">IF($D1479="","",IF(COUNTIF($D$2:$D1479,$D1479)=1,1,0))</f>
        <v/>
      </c>
      <c r="AI1479" s="18" t="str">
        <f aca="false">IF($AH1479=1,SUMPRODUCT(--($AK$2:$AK$4001&lt;$AK1479))+1,"")</f>
        <v/>
      </c>
      <c r="AJ1479" s="18" t="str">
        <f aca="false">IF($D1479="","",IF(OR($R1479=TRUE(),$R1479="TRUE"),1,0))</f>
        <v/>
      </c>
      <c r="AK1479" s="18" t="str">
        <f aca="false">IF($AH1479=1,IFERROR(VALUE(MID($D1479,2,20)),1000000000)+ROW()/10000000,"")</f>
        <v/>
      </c>
    </row>
    <row r="1480" customFormat="false" ht="15" hidden="false" customHeight="false" outlineLevel="0" collapsed="false">
      <c r="F1480" s="15"/>
      <c r="N1480" s="16" t="str">
        <f aca="false">IF($D1480="","",M1480*Y1480/100)</f>
        <v/>
      </c>
      <c r="V1480" s="16" t="str">
        <f aca="false">IF($D1480="","",Y1480*AB1480/100)</f>
        <v/>
      </c>
      <c r="W1480" s="16" t="str">
        <f aca="false">IF($D1480="","",Y1480-V1480)</f>
        <v/>
      </c>
      <c r="X1480" s="16" t="str">
        <f aca="false">IF($D1480="","",W1480-N1480)</f>
        <v/>
      </c>
      <c r="AB1480" s="17" t="str">
        <f aca="false">IF($D1480="","",IF(OR($R1480=TRUE(),$R1480="TRUE"),Settings!$C$6,Settings!$C$7)*100)</f>
        <v/>
      </c>
      <c r="AH1480" s="18" t="str">
        <f aca="false">IF($D1480="","",IF(COUNTIF($D$2:$D1480,$D1480)=1,1,0))</f>
        <v/>
      </c>
      <c r="AI1480" s="18" t="str">
        <f aca="false">IF($AH1480=1,SUMPRODUCT(--($AK$2:$AK$4001&lt;$AK1480))+1,"")</f>
        <v/>
      </c>
      <c r="AJ1480" s="18" t="str">
        <f aca="false">IF($D1480="","",IF(OR($R1480=TRUE(),$R1480="TRUE"),1,0))</f>
        <v/>
      </c>
      <c r="AK1480" s="18" t="str">
        <f aca="false">IF($AH1480=1,IFERROR(VALUE(MID($D1480,2,20)),1000000000)+ROW()/10000000,"")</f>
        <v/>
      </c>
    </row>
    <row r="1481" customFormat="false" ht="15" hidden="false" customHeight="false" outlineLevel="0" collapsed="false">
      <c r="F1481" s="15"/>
      <c r="N1481" s="16" t="str">
        <f aca="false">IF($D1481="","",M1481*Y1481/100)</f>
        <v/>
      </c>
      <c r="V1481" s="16" t="str">
        <f aca="false">IF($D1481="","",Y1481*AB1481/100)</f>
        <v/>
      </c>
      <c r="W1481" s="16" t="str">
        <f aca="false">IF($D1481="","",Y1481-V1481)</f>
        <v/>
      </c>
      <c r="X1481" s="16" t="str">
        <f aca="false">IF($D1481="","",W1481-N1481)</f>
        <v/>
      </c>
      <c r="AB1481" s="17" t="str">
        <f aca="false">IF($D1481="","",IF(OR($R1481=TRUE(),$R1481="TRUE"),Settings!$C$6,Settings!$C$7)*100)</f>
        <v/>
      </c>
      <c r="AH1481" s="18" t="str">
        <f aca="false">IF($D1481="","",IF(COUNTIF($D$2:$D1481,$D1481)=1,1,0))</f>
        <v/>
      </c>
      <c r="AI1481" s="18" t="str">
        <f aca="false">IF($AH1481=1,SUMPRODUCT(--($AK$2:$AK$4001&lt;$AK1481))+1,"")</f>
        <v/>
      </c>
      <c r="AJ1481" s="18" t="str">
        <f aca="false">IF($D1481="","",IF(OR($R1481=TRUE(),$R1481="TRUE"),1,0))</f>
        <v/>
      </c>
      <c r="AK1481" s="18" t="str">
        <f aca="false">IF($AH1481=1,IFERROR(VALUE(MID($D1481,2,20)),1000000000)+ROW()/10000000,"")</f>
        <v/>
      </c>
    </row>
    <row r="1482" customFormat="false" ht="15" hidden="false" customHeight="false" outlineLevel="0" collapsed="false">
      <c r="F1482" s="15"/>
      <c r="N1482" s="16" t="str">
        <f aca="false">IF($D1482="","",M1482*Y1482/100)</f>
        <v/>
      </c>
      <c r="V1482" s="16" t="str">
        <f aca="false">IF($D1482="","",Y1482*AB1482/100)</f>
        <v/>
      </c>
      <c r="W1482" s="16" t="str">
        <f aca="false">IF($D1482="","",Y1482-V1482)</f>
        <v/>
      </c>
      <c r="X1482" s="16" t="str">
        <f aca="false">IF($D1482="","",W1482-N1482)</f>
        <v/>
      </c>
      <c r="AB1482" s="17" t="str">
        <f aca="false">IF($D1482="","",IF(OR($R1482=TRUE(),$R1482="TRUE"),Settings!$C$6,Settings!$C$7)*100)</f>
        <v/>
      </c>
      <c r="AH1482" s="18" t="str">
        <f aca="false">IF($D1482="","",IF(COUNTIF($D$2:$D1482,$D1482)=1,1,0))</f>
        <v/>
      </c>
      <c r="AI1482" s="18" t="str">
        <f aca="false">IF($AH1482=1,SUMPRODUCT(--($AK$2:$AK$4001&lt;$AK1482))+1,"")</f>
        <v/>
      </c>
      <c r="AJ1482" s="18" t="str">
        <f aca="false">IF($D1482="","",IF(OR($R1482=TRUE(),$R1482="TRUE"),1,0))</f>
        <v/>
      </c>
      <c r="AK1482" s="18" t="str">
        <f aca="false">IF($AH1482=1,IFERROR(VALUE(MID($D1482,2,20)),1000000000)+ROW()/10000000,"")</f>
        <v/>
      </c>
    </row>
    <row r="1483" customFormat="false" ht="15" hidden="false" customHeight="false" outlineLevel="0" collapsed="false">
      <c r="F1483" s="15"/>
      <c r="N1483" s="16" t="str">
        <f aca="false">IF($D1483="","",M1483*Y1483/100)</f>
        <v/>
      </c>
      <c r="V1483" s="16" t="str">
        <f aca="false">IF($D1483="","",Y1483*AB1483/100)</f>
        <v/>
      </c>
      <c r="W1483" s="16" t="str">
        <f aca="false">IF($D1483="","",Y1483-V1483)</f>
        <v/>
      </c>
      <c r="X1483" s="16" t="str">
        <f aca="false">IF($D1483="","",W1483-N1483)</f>
        <v/>
      </c>
      <c r="AB1483" s="17" t="str">
        <f aca="false">IF($D1483="","",IF(OR($R1483=TRUE(),$R1483="TRUE"),Settings!$C$6,Settings!$C$7)*100)</f>
        <v/>
      </c>
      <c r="AH1483" s="18" t="str">
        <f aca="false">IF($D1483="","",IF(COUNTIF($D$2:$D1483,$D1483)=1,1,0))</f>
        <v/>
      </c>
      <c r="AI1483" s="18" t="str">
        <f aca="false">IF($AH1483=1,SUMPRODUCT(--($AK$2:$AK$4001&lt;$AK1483))+1,"")</f>
        <v/>
      </c>
      <c r="AJ1483" s="18" t="str">
        <f aca="false">IF($D1483="","",IF(OR($R1483=TRUE(),$R1483="TRUE"),1,0))</f>
        <v/>
      </c>
      <c r="AK1483" s="18" t="str">
        <f aca="false">IF($AH1483=1,IFERROR(VALUE(MID($D1483,2,20)),1000000000)+ROW()/10000000,"")</f>
        <v/>
      </c>
    </row>
    <row r="1484" customFormat="false" ht="15" hidden="false" customHeight="false" outlineLevel="0" collapsed="false">
      <c r="F1484" s="15"/>
      <c r="N1484" s="16" t="str">
        <f aca="false">IF($D1484="","",M1484*Y1484/100)</f>
        <v/>
      </c>
      <c r="V1484" s="16" t="str">
        <f aca="false">IF($D1484="","",Y1484*AB1484/100)</f>
        <v/>
      </c>
      <c r="W1484" s="16" t="str">
        <f aca="false">IF($D1484="","",Y1484-V1484)</f>
        <v/>
      </c>
      <c r="X1484" s="16" t="str">
        <f aca="false">IF($D1484="","",W1484-N1484)</f>
        <v/>
      </c>
      <c r="AB1484" s="17" t="str">
        <f aca="false">IF($D1484="","",IF(OR($R1484=TRUE(),$R1484="TRUE"),Settings!$C$6,Settings!$C$7)*100)</f>
        <v/>
      </c>
      <c r="AH1484" s="18" t="str">
        <f aca="false">IF($D1484="","",IF(COUNTIF($D$2:$D1484,$D1484)=1,1,0))</f>
        <v/>
      </c>
      <c r="AI1484" s="18" t="str">
        <f aca="false">IF($AH1484=1,SUMPRODUCT(--($AK$2:$AK$4001&lt;$AK1484))+1,"")</f>
        <v/>
      </c>
      <c r="AJ1484" s="18" t="str">
        <f aca="false">IF($D1484="","",IF(OR($R1484=TRUE(),$R1484="TRUE"),1,0))</f>
        <v/>
      </c>
      <c r="AK1484" s="18" t="str">
        <f aca="false">IF($AH1484=1,IFERROR(VALUE(MID($D1484,2,20)),1000000000)+ROW()/10000000,"")</f>
        <v/>
      </c>
    </row>
    <row r="1485" customFormat="false" ht="15" hidden="false" customHeight="false" outlineLevel="0" collapsed="false">
      <c r="F1485" s="15"/>
      <c r="N1485" s="16" t="str">
        <f aca="false">IF($D1485="","",M1485*Y1485/100)</f>
        <v/>
      </c>
      <c r="V1485" s="16" t="str">
        <f aca="false">IF($D1485="","",Y1485*AB1485/100)</f>
        <v/>
      </c>
      <c r="W1485" s="16" t="str">
        <f aca="false">IF($D1485="","",Y1485-V1485)</f>
        <v/>
      </c>
      <c r="X1485" s="16" t="str">
        <f aca="false">IF($D1485="","",W1485-N1485)</f>
        <v/>
      </c>
      <c r="AB1485" s="17" t="str">
        <f aca="false">IF($D1485="","",IF(OR($R1485=TRUE(),$R1485="TRUE"),Settings!$C$6,Settings!$C$7)*100)</f>
        <v/>
      </c>
      <c r="AH1485" s="18" t="str">
        <f aca="false">IF($D1485="","",IF(COUNTIF($D$2:$D1485,$D1485)=1,1,0))</f>
        <v/>
      </c>
      <c r="AI1485" s="18" t="str">
        <f aca="false">IF($AH1485=1,SUMPRODUCT(--($AK$2:$AK$4001&lt;$AK1485))+1,"")</f>
        <v/>
      </c>
      <c r="AJ1485" s="18" t="str">
        <f aca="false">IF($D1485="","",IF(OR($R1485=TRUE(),$R1485="TRUE"),1,0))</f>
        <v/>
      </c>
      <c r="AK1485" s="18" t="str">
        <f aca="false">IF($AH1485=1,IFERROR(VALUE(MID($D1485,2,20)),1000000000)+ROW()/10000000,"")</f>
        <v/>
      </c>
    </row>
    <row r="1486" customFormat="false" ht="15" hidden="false" customHeight="false" outlineLevel="0" collapsed="false">
      <c r="F1486" s="15"/>
      <c r="N1486" s="16" t="str">
        <f aca="false">IF($D1486="","",M1486*Y1486/100)</f>
        <v/>
      </c>
      <c r="V1486" s="16" t="str">
        <f aca="false">IF($D1486="","",Y1486*AB1486/100)</f>
        <v/>
      </c>
      <c r="W1486" s="16" t="str">
        <f aca="false">IF($D1486="","",Y1486-V1486)</f>
        <v/>
      </c>
      <c r="X1486" s="16" t="str">
        <f aca="false">IF($D1486="","",W1486-N1486)</f>
        <v/>
      </c>
      <c r="AB1486" s="17" t="str">
        <f aca="false">IF($D1486="","",IF(OR($R1486=TRUE(),$R1486="TRUE"),Settings!$C$6,Settings!$C$7)*100)</f>
        <v/>
      </c>
      <c r="AH1486" s="18" t="str">
        <f aca="false">IF($D1486="","",IF(COUNTIF($D$2:$D1486,$D1486)=1,1,0))</f>
        <v/>
      </c>
      <c r="AI1486" s="18" t="str">
        <f aca="false">IF($AH1486=1,SUMPRODUCT(--($AK$2:$AK$4001&lt;$AK1486))+1,"")</f>
        <v/>
      </c>
      <c r="AJ1486" s="18" t="str">
        <f aca="false">IF($D1486="","",IF(OR($R1486=TRUE(),$R1486="TRUE"),1,0))</f>
        <v/>
      </c>
      <c r="AK1486" s="18" t="str">
        <f aca="false">IF($AH1486=1,IFERROR(VALUE(MID($D1486,2,20)),1000000000)+ROW()/10000000,"")</f>
        <v/>
      </c>
    </row>
    <row r="1487" customFormat="false" ht="15" hidden="false" customHeight="false" outlineLevel="0" collapsed="false">
      <c r="F1487" s="15"/>
      <c r="N1487" s="16" t="str">
        <f aca="false">IF($D1487="","",M1487*Y1487/100)</f>
        <v/>
      </c>
      <c r="V1487" s="16" t="str">
        <f aca="false">IF($D1487="","",Y1487*AB1487/100)</f>
        <v/>
      </c>
      <c r="W1487" s="16" t="str">
        <f aca="false">IF($D1487="","",Y1487-V1487)</f>
        <v/>
      </c>
      <c r="X1487" s="16" t="str">
        <f aca="false">IF($D1487="","",W1487-N1487)</f>
        <v/>
      </c>
      <c r="AB1487" s="17" t="str">
        <f aca="false">IF($D1487="","",IF(OR($R1487=TRUE(),$R1487="TRUE"),Settings!$C$6,Settings!$C$7)*100)</f>
        <v/>
      </c>
      <c r="AH1487" s="18" t="str">
        <f aca="false">IF($D1487="","",IF(COUNTIF($D$2:$D1487,$D1487)=1,1,0))</f>
        <v/>
      </c>
      <c r="AI1487" s="18" t="str">
        <f aca="false">IF($AH1487=1,SUMPRODUCT(--($AK$2:$AK$4001&lt;$AK1487))+1,"")</f>
        <v/>
      </c>
      <c r="AJ1487" s="18" t="str">
        <f aca="false">IF($D1487="","",IF(OR($R1487=TRUE(),$R1487="TRUE"),1,0))</f>
        <v/>
      </c>
      <c r="AK1487" s="18" t="str">
        <f aca="false">IF($AH1487=1,IFERROR(VALUE(MID($D1487,2,20)),1000000000)+ROW()/10000000,"")</f>
        <v/>
      </c>
    </row>
    <row r="1488" customFormat="false" ht="15" hidden="false" customHeight="false" outlineLevel="0" collapsed="false">
      <c r="F1488" s="15"/>
      <c r="N1488" s="16" t="str">
        <f aca="false">IF($D1488="","",M1488*Y1488/100)</f>
        <v/>
      </c>
      <c r="V1488" s="16" t="str">
        <f aca="false">IF($D1488="","",Y1488*AB1488/100)</f>
        <v/>
      </c>
      <c r="W1488" s="16" t="str">
        <f aca="false">IF($D1488="","",Y1488-V1488)</f>
        <v/>
      </c>
      <c r="X1488" s="16" t="str">
        <f aca="false">IF($D1488="","",W1488-N1488)</f>
        <v/>
      </c>
      <c r="AB1488" s="17" t="str">
        <f aca="false">IF($D1488="","",IF(OR($R1488=TRUE(),$R1488="TRUE"),Settings!$C$6,Settings!$C$7)*100)</f>
        <v/>
      </c>
      <c r="AH1488" s="18" t="str">
        <f aca="false">IF($D1488="","",IF(COUNTIF($D$2:$D1488,$D1488)=1,1,0))</f>
        <v/>
      </c>
      <c r="AI1488" s="18" t="str">
        <f aca="false">IF($AH1488=1,SUMPRODUCT(--($AK$2:$AK$4001&lt;$AK1488))+1,"")</f>
        <v/>
      </c>
      <c r="AJ1488" s="18" t="str">
        <f aca="false">IF($D1488="","",IF(OR($R1488=TRUE(),$R1488="TRUE"),1,0))</f>
        <v/>
      </c>
      <c r="AK1488" s="18" t="str">
        <f aca="false">IF($AH1488=1,IFERROR(VALUE(MID($D1488,2,20)),1000000000)+ROW()/10000000,"")</f>
        <v/>
      </c>
    </row>
    <row r="1489" customFormat="false" ht="15" hidden="false" customHeight="false" outlineLevel="0" collapsed="false">
      <c r="F1489" s="15"/>
      <c r="N1489" s="16" t="str">
        <f aca="false">IF($D1489="","",M1489*Y1489/100)</f>
        <v/>
      </c>
      <c r="V1489" s="16" t="str">
        <f aca="false">IF($D1489="","",Y1489*AB1489/100)</f>
        <v/>
      </c>
      <c r="W1489" s="16" t="str">
        <f aca="false">IF($D1489="","",Y1489-V1489)</f>
        <v/>
      </c>
      <c r="X1489" s="16" t="str">
        <f aca="false">IF($D1489="","",W1489-N1489)</f>
        <v/>
      </c>
      <c r="AB1489" s="17" t="str">
        <f aca="false">IF($D1489="","",IF(OR($R1489=TRUE(),$R1489="TRUE"),Settings!$C$6,Settings!$C$7)*100)</f>
        <v/>
      </c>
      <c r="AH1489" s="18" t="str">
        <f aca="false">IF($D1489="","",IF(COUNTIF($D$2:$D1489,$D1489)=1,1,0))</f>
        <v/>
      </c>
      <c r="AI1489" s="18" t="str">
        <f aca="false">IF($AH1489=1,SUMPRODUCT(--($AK$2:$AK$4001&lt;$AK1489))+1,"")</f>
        <v/>
      </c>
      <c r="AJ1489" s="18" t="str">
        <f aca="false">IF($D1489="","",IF(OR($R1489=TRUE(),$R1489="TRUE"),1,0))</f>
        <v/>
      </c>
      <c r="AK1489" s="18" t="str">
        <f aca="false">IF($AH1489=1,IFERROR(VALUE(MID($D1489,2,20)),1000000000)+ROW()/10000000,"")</f>
        <v/>
      </c>
    </row>
    <row r="1490" customFormat="false" ht="15" hidden="false" customHeight="false" outlineLevel="0" collapsed="false">
      <c r="F1490" s="15"/>
      <c r="N1490" s="16" t="str">
        <f aca="false">IF($D1490="","",M1490*Y1490/100)</f>
        <v/>
      </c>
      <c r="V1490" s="16" t="str">
        <f aca="false">IF($D1490="","",Y1490*AB1490/100)</f>
        <v/>
      </c>
      <c r="W1490" s="16" t="str">
        <f aca="false">IF($D1490="","",Y1490-V1490)</f>
        <v/>
      </c>
      <c r="X1490" s="16" t="str">
        <f aca="false">IF($D1490="","",W1490-N1490)</f>
        <v/>
      </c>
      <c r="AB1490" s="17" t="str">
        <f aca="false">IF($D1490="","",IF(OR($R1490=TRUE(),$R1490="TRUE"),Settings!$C$6,Settings!$C$7)*100)</f>
        <v/>
      </c>
      <c r="AH1490" s="18" t="str">
        <f aca="false">IF($D1490="","",IF(COUNTIF($D$2:$D1490,$D1490)=1,1,0))</f>
        <v/>
      </c>
      <c r="AI1490" s="18" t="str">
        <f aca="false">IF($AH1490=1,SUMPRODUCT(--($AK$2:$AK$4001&lt;$AK1490))+1,"")</f>
        <v/>
      </c>
      <c r="AJ1490" s="18" t="str">
        <f aca="false">IF($D1490="","",IF(OR($R1490=TRUE(),$R1490="TRUE"),1,0))</f>
        <v/>
      </c>
      <c r="AK1490" s="18" t="str">
        <f aca="false">IF($AH1490=1,IFERROR(VALUE(MID($D1490,2,20)),1000000000)+ROW()/10000000,"")</f>
        <v/>
      </c>
    </row>
    <row r="1491" customFormat="false" ht="15" hidden="false" customHeight="false" outlineLevel="0" collapsed="false">
      <c r="F1491" s="15"/>
      <c r="N1491" s="16" t="str">
        <f aca="false">IF($D1491="","",M1491*Y1491/100)</f>
        <v/>
      </c>
      <c r="V1491" s="16" t="str">
        <f aca="false">IF($D1491="","",Y1491*AB1491/100)</f>
        <v/>
      </c>
      <c r="W1491" s="16" t="str">
        <f aca="false">IF($D1491="","",Y1491-V1491)</f>
        <v/>
      </c>
      <c r="X1491" s="16" t="str">
        <f aca="false">IF($D1491="","",W1491-N1491)</f>
        <v/>
      </c>
      <c r="AB1491" s="17" t="str">
        <f aca="false">IF($D1491="","",IF(OR($R1491=TRUE(),$R1491="TRUE"),Settings!$C$6,Settings!$C$7)*100)</f>
        <v/>
      </c>
      <c r="AH1491" s="18" t="str">
        <f aca="false">IF($D1491="","",IF(COUNTIF($D$2:$D1491,$D1491)=1,1,0))</f>
        <v/>
      </c>
      <c r="AI1491" s="18" t="str">
        <f aca="false">IF($AH1491=1,SUMPRODUCT(--($AK$2:$AK$4001&lt;$AK1491))+1,"")</f>
        <v/>
      </c>
      <c r="AJ1491" s="18" t="str">
        <f aca="false">IF($D1491="","",IF(OR($R1491=TRUE(),$R1491="TRUE"),1,0))</f>
        <v/>
      </c>
      <c r="AK1491" s="18" t="str">
        <f aca="false">IF($AH1491=1,IFERROR(VALUE(MID($D1491,2,20)),1000000000)+ROW()/10000000,"")</f>
        <v/>
      </c>
    </row>
    <row r="1492" customFormat="false" ht="15" hidden="false" customHeight="false" outlineLevel="0" collapsed="false">
      <c r="F1492" s="15"/>
      <c r="N1492" s="16" t="str">
        <f aca="false">IF($D1492="","",M1492*Y1492/100)</f>
        <v/>
      </c>
      <c r="V1492" s="16" t="str">
        <f aca="false">IF($D1492="","",Y1492*AB1492/100)</f>
        <v/>
      </c>
      <c r="W1492" s="16" t="str">
        <f aca="false">IF($D1492="","",Y1492-V1492)</f>
        <v/>
      </c>
      <c r="X1492" s="16" t="str">
        <f aca="false">IF($D1492="","",W1492-N1492)</f>
        <v/>
      </c>
      <c r="AB1492" s="17" t="str">
        <f aca="false">IF($D1492="","",IF(OR($R1492=TRUE(),$R1492="TRUE"),Settings!$C$6,Settings!$C$7)*100)</f>
        <v/>
      </c>
      <c r="AH1492" s="18" t="str">
        <f aca="false">IF($D1492="","",IF(COUNTIF($D$2:$D1492,$D1492)=1,1,0))</f>
        <v/>
      </c>
      <c r="AI1492" s="18" t="str">
        <f aca="false">IF($AH1492=1,SUMPRODUCT(--($AK$2:$AK$4001&lt;$AK1492))+1,"")</f>
        <v/>
      </c>
      <c r="AJ1492" s="18" t="str">
        <f aca="false">IF($D1492="","",IF(OR($R1492=TRUE(),$R1492="TRUE"),1,0))</f>
        <v/>
      </c>
      <c r="AK1492" s="18" t="str">
        <f aca="false">IF($AH1492=1,IFERROR(VALUE(MID($D1492,2,20)),1000000000)+ROW()/10000000,"")</f>
        <v/>
      </c>
    </row>
    <row r="1493" customFormat="false" ht="15" hidden="false" customHeight="false" outlineLevel="0" collapsed="false">
      <c r="F1493" s="15"/>
      <c r="N1493" s="16" t="str">
        <f aca="false">IF($D1493="","",M1493*Y1493/100)</f>
        <v/>
      </c>
      <c r="V1493" s="16" t="str">
        <f aca="false">IF($D1493="","",Y1493*AB1493/100)</f>
        <v/>
      </c>
      <c r="W1493" s="16" t="str">
        <f aca="false">IF($D1493="","",Y1493-V1493)</f>
        <v/>
      </c>
      <c r="X1493" s="16" t="str">
        <f aca="false">IF($D1493="","",W1493-N1493)</f>
        <v/>
      </c>
      <c r="AB1493" s="17" t="str">
        <f aca="false">IF($D1493="","",IF(OR($R1493=TRUE(),$R1493="TRUE"),Settings!$C$6,Settings!$C$7)*100)</f>
        <v/>
      </c>
      <c r="AH1493" s="18" t="str">
        <f aca="false">IF($D1493="","",IF(COUNTIF($D$2:$D1493,$D1493)=1,1,0))</f>
        <v/>
      </c>
      <c r="AI1493" s="18" t="str">
        <f aca="false">IF($AH1493=1,SUMPRODUCT(--($AK$2:$AK$4001&lt;$AK1493))+1,"")</f>
        <v/>
      </c>
      <c r="AJ1493" s="18" t="str">
        <f aca="false">IF($D1493="","",IF(OR($R1493=TRUE(),$R1493="TRUE"),1,0))</f>
        <v/>
      </c>
      <c r="AK1493" s="18" t="str">
        <f aca="false">IF($AH1493=1,IFERROR(VALUE(MID($D1493,2,20)),1000000000)+ROW()/10000000,"")</f>
        <v/>
      </c>
    </row>
    <row r="1494" customFormat="false" ht="15" hidden="false" customHeight="false" outlineLevel="0" collapsed="false">
      <c r="F1494" s="15"/>
      <c r="N1494" s="16" t="str">
        <f aca="false">IF($D1494="","",M1494*Y1494/100)</f>
        <v/>
      </c>
      <c r="V1494" s="16" t="str">
        <f aca="false">IF($D1494="","",Y1494*AB1494/100)</f>
        <v/>
      </c>
      <c r="W1494" s="16" t="str">
        <f aca="false">IF($D1494="","",Y1494-V1494)</f>
        <v/>
      </c>
      <c r="X1494" s="16" t="str">
        <f aca="false">IF($D1494="","",W1494-N1494)</f>
        <v/>
      </c>
      <c r="AB1494" s="17" t="str">
        <f aca="false">IF($D1494="","",IF(OR($R1494=TRUE(),$R1494="TRUE"),Settings!$C$6,Settings!$C$7)*100)</f>
        <v/>
      </c>
      <c r="AH1494" s="18" t="str">
        <f aca="false">IF($D1494="","",IF(COUNTIF($D$2:$D1494,$D1494)=1,1,0))</f>
        <v/>
      </c>
      <c r="AI1494" s="18" t="str">
        <f aca="false">IF($AH1494=1,SUMPRODUCT(--($AK$2:$AK$4001&lt;$AK1494))+1,"")</f>
        <v/>
      </c>
      <c r="AJ1494" s="18" t="str">
        <f aca="false">IF($D1494="","",IF(OR($R1494=TRUE(),$R1494="TRUE"),1,0))</f>
        <v/>
      </c>
      <c r="AK1494" s="18" t="str">
        <f aca="false">IF($AH1494=1,IFERROR(VALUE(MID($D1494,2,20)),1000000000)+ROW()/10000000,"")</f>
        <v/>
      </c>
    </row>
    <row r="1495" customFormat="false" ht="15" hidden="false" customHeight="false" outlineLevel="0" collapsed="false">
      <c r="F1495" s="15"/>
      <c r="N1495" s="16" t="str">
        <f aca="false">IF($D1495="","",M1495*Y1495/100)</f>
        <v/>
      </c>
      <c r="V1495" s="16" t="str">
        <f aca="false">IF($D1495="","",Y1495*AB1495/100)</f>
        <v/>
      </c>
      <c r="W1495" s="16" t="str">
        <f aca="false">IF($D1495="","",Y1495-V1495)</f>
        <v/>
      </c>
      <c r="X1495" s="16" t="str">
        <f aca="false">IF($D1495="","",W1495-N1495)</f>
        <v/>
      </c>
      <c r="AB1495" s="17" t="str">
        <f aca="false">IF($D1495="","",IF(OR($R1495=TRUE(),$R1495="TRUE"),Settings!$C$6,Settings!$C$7)*100)</f>
        <v/>
      </c>
      <c r="AH1495" s="18" t="str">
        <f aca="false">IF($D1495="","",IF(COUNTIF($D$2:$D1495,$D1495)=1,1,0))</f>
        <v/>
      </c>
      <c r="AI1495" s="18" t="str">
        <f aca="false">IF($AH1495=1,SUMPRODUCT(--($AK$2:$AK$4001&lt;$AK1495))+1,"")</f>
        <v/>
      </c>
      <c r="AJ1495" s="18" t="str">
        <f aca="false">IF($D1495="","",IF(OR($R1495=TRUE(),$R1495="TRUE"),1,0))</f>
        <v/>
      </c>
      <c r="AK1495" s="18" t="str">
        <f aca="false">IF($AH1495=1,IFERROR(VALUE(MID($D1495,2,20)),1000000000)+ROW()/10000000,"")</f>
        <v/>
      </c>
    </row>
    <row r="1496" customFormat="false" ht="15" hidden="false" customHeight="false" outlineLevel="0" collapsed="false">
      <c r="F1496" s="15"/>
      <c r="N1496" s="16" t="str">
        <f aca="false">IF($D1496="","",M1496*Y1496/100)</f>
        <v/>
      </c>
      <c r="V1496" s="16" t="str">
        <f aca="false">IF($D1496="","",Y1496*AB1496/100)</f>
        <v/>
      </c>
      <c r="W1496" s="16" t="str">
        <f aca="false">IF($D1496="","",Y1496-V1496)</f>
        <v/>
      </c>
      <c r="X1496" s="16" t="str">
        <f aca="false">IF($D1496="","",W1496-N1496)</f>
        <v/>
      </c>
      <c r="AB1496" s="17" t="str">
        <f aca="false">IF($D1496="","",IF(OR($R1496=TRUE(),$R1496="TRUE"),Settings!$C$6,Settings!$C$7)*100)</f>
        <v/>
      </c>
      <c r="AH1496" s="18" t="str">
        <f aca="false">IF($D1496="","",IF(COUNTIF($D$2:$D1496,$D1496)=1,1,0))</f>
        <v/>
      </c>
      <c r="AI1496" s="18" t="str">
        <f aca="false">IF($AH1496=1,SUMPRODUCT(--($AK$2:$AK$4001&lt;$AK1496))+1,"")</f>
        <v/>
      </c>
      <c r="AJ1496" s="18" t="str">
        <f aca="false">IF($D1496="","",IF(OR($R1496=TRUE(),$R1496="TRUE"),1,0))</f>
        <v/>
      </c>
      <c r="AK1496" s="18" t="str">
        <f aca="false">IF($AH1496=1,IFERROR(VALUE(MID($D1496,2,20)),1000000000)+ROW()/10000000,"")</f>
        <v/>
      </c>
    </row>
    <row r="1497" customFormat="false" ht="15" hidden="false" customHeight="false" outlineLevel="0" collapsed="false">
      <c r="F1497" s="15"/>
      <c r="N1497" s="16" t="str">
        <f aca="false">IF($D1497="","",M1497*Y1497/100)</f>
        <v/>
      </c>
      <c r="V1497" s="16" t="str">
        <f aca="false">IF($D1497="","",Y1497*AB1497/100)</f>
        <v/>
      </c>
      <c r="W1497" s="16" t="str">
        <f aca="false">IF($D1497="","",Y1497-V1497)</f>
        <v/>
      </c>
      <c r="X1497" s="16" t="str">
        <f aca="false">IF($D1497="","",W1497-N1497)</f>
        <v/>
      </c>
      <c r="AB1497" s="17" t="str">
        <f aca="false">IF($D1497="","",IF(OR($R1497=TRUE(),$R1497="TRUE"),Settings!$C$6,Settings!$C$7)*100)</f>
        <v/>
      </c>
      <c r="AH1497" s="18" t="str">
        <f aca="false">IF($D1497="","",IF(COUNTIF($D$2:$D1497,$D1497)=1,1,0))</f>
        <v/>
      </c>
      <c r="AI1497" s="18" t="str">
        <f aca="false">IF($AH1497=1,SUMPRODUCT(--($AK$2:$AK$4001&lt;$AK1497))+1,"")</f>
        <v/>
      </c>
      <c r="AJ1497" s="18" t="str">
        <f aca="false">IF($D1497="","",IF(OR($R1497=TRUE(),$R1497="TRUE"),1,0))</f>
        <v/>
      </c>
      <c r="AK1497" s="18" t="str">
        <f aca="false">IF($AH1497=1,IFERROR(VALUE(MID($D1497,2,20)),1000000000)+ROW()/10000000,"")</f>
        <v/>
      </c>
    </row>
    <row r="1498" customFormat="false" ht="15" hidden="false" customHeight="false" outlineLevel="0" collapsed="false">
      <c r="F1498" s="15"/>
      <c r="N1498" s="16" t="str">
        <f aca="false">IF($D1498="","",M1498*Y1498/100)</f>
        <v/>
      </c>
      <c r="V1498" s="16" t="str">
        <f aca="false">IF($D1498="","",Y1498*AB1498/100)</f>
        <v/>
      </c>
      <c r="W1498" s="16" t="str">
        <f aca="false">IF($D1498="","",Y1498-V1498)</f>
        <v/>
      </c>
      <c r="X1498" s="16" t="str">
        <f aca="false">IF($D1498="","",W1498-N1498)</f>
        <v/>
      </c>
      <c r="AB1498" s="17" t="str">
        <f aca="false">IF($D1498="","",IF(OR($R1498=TRUE(),$R1498="TRUE"),Settings!$C$6,Settings!$C$7)*100)</f>
        <v/>
      </c>
      <c r="AH1498" s="18" t="str">
        <f aca="false">IF($D1498="","",IF(COUNTIF($D$2:$D1498,$D1498)=1,1,0))</f>
        <v/>
      </c>
      <c r="AI1498" s="18" t="str">
        <f aca="false">IF($AH1498=1,SUMPRODUCT(--($AK$2:$AK$4001&lt;$AK1498))+1,"")</f>
        <v/>
      </c>
      <c r="AJ1498" s="18" t="str">
        <f aca="false">IF($D1498="","",IF(OR($R1498=TRUE(),$R1498="TRUE"),1,0))</f>
        <v/>
      </c>
      <c r="AK1498" s="18" t="str">
        <f aca="false">IF($AH1498=1,IFERROR(VALUE(MID($D1498,2,20)),1000000000)+ROW()/10000000,"")</f>
        <v/>
      </c>
    </row>
    <row r="1499" customFormat="false" ht="15" hidden="false" customHeight="false" outlineLevel="0" collapsed="false">
      <c r="F1499" s="15"/>
      <c r="N1499" s="16" t="str">
        <f aca="false">IF($D1499="","",M1499*Y1499/100)</f>
        <v/>
      </c>
      <c r="V1499" s="16" t="str">
        <f aca="false">IF($D1499="","",Y1499*AB1499/100)</f>
        <v/>
      </c>
      <c r="W1499" s="16" t="str">
        <f aca="false">IF($D1499="","",Y1499-V1499)</f>
        <v/>
      </c>
      <c r="X1499" s="16" t="str">
        <f aca="false">IF($D1499="","",W1499-N1499)</f>
        <v/>
      </c>
      <c r="AB1499" s="17" t="str">
        <f aca="false">IF($D1499="","",IF(OR($R1499=TRUE(),$R1499="TRUE"),Settings!$C$6,Settings!$C$7)*100)</f>
        <v/>
      </c>
      <c r="AH1499" s="18" t="str">
        <f aca="false">IF($D1499="","",IF(COUNTIF($D$2:$D1499,$D1499)=1,1,0))</f>
        <v/>
      </c>
      <c r="AI1499" s="18" t="str">
        <f aca="false">IF($AH1499=1,SUMPRODUCT(--($AK$2:$AK$4001&lt;$AK1499))+1,"")</f>
        <v/>
      </c>
      <c r="AJ1499" s="18" t="str">
        <f aca="false">IF($D1499="","",IF(OR($R1499=TRUE(),$R1499="TRUE"),1,0))</f>
        <v/>
      </c>
      <c r="AK1499" s="18" t="str">
        <f aca="false">IF($AH1499=1,IFERROR(VALUE(MID($D1499,2,20)),1000000000)+ROW()/10000000,"")</f>
        <v/>
      </c>
    </row>
    <row r="1500" customFormat="false" ht="15" hidden="false" customHeight="false" outlineLevel="0" collapsed="false">
      <c r="F1500" s="15"/>
      <c r="N1500" s="16" t="str">
        <f aca="false">IF($D1500="","",M1500*Y1500/100)</f>
        <v/>
      </c>
      <c r="V1500" s="16" t="str">
        <f aca="false">IF($D1500="","",Y1500*AB1500/100)</f>
        <v/>
      </c>
      <c r="W1500" s="16" t="str">
        <f aca="false">IF($D1500="","",Y1500-V1500)</f>
        <v/>
      </c>
      <c r="X1500" s="16" t="str">
        <f aca="false">IF($D1500="","",W1500-N1500)</f>
        <v/>
      </c>
      <c r="AB1500" s="17" t="str">
        <f aca="false">IF($D1500="","",IF(OR($R1500=TRUE(),$R1500="TRUE"),Settings!$C$6,Settings!$C$7)*100)</f>
        <v/>
      </c>
      <c r="AH1500" s="18" t="str">
        <f aca="false">IF($D1500="","",IF(COUNTIF($D$2:$D1500,$D1500)=1,1,0))</f>
        <v/>
      </c>
      <c r="AI1500" s="18" t="str">
        <f aca="false">IF($AH1500=1,SUMPRODUCT(--($AK$2:$AK$4001&lt;$AK1500))+1,"")</f>
        <v/>
      </c>
      <c r="AJ1500" s="18" t="str">
        <f aca="false">IF($D1500="","",IF(OR($R1500=TRUE(),$R1500="TRUE"),1,0))</f>
        <v/>
      </c>
      <c r="AK1500" s="18" t="str">
        <f aca="false">IF($AH1500=1,IFERROR(VALUE(MID($D1500,2,20)),1000000000)+ROW()/10000000,"")</f>
        <v/>
      </c>
    </row>
    <row r="1501" customFormat="false" ht="15" hidden="false" customHeight="false" outlineLevel="0" collapsed="false">
      <c r="F1501" s="15"/>
      <c r="N1501" s="16" t="str">
        <f aca="false">IF($D1501="","",M1501*Y1501/100)</f>
        <v/>
      </c>
      <c r="V1501" s="16" t="str">
        <f aca="false">IF($D1501="","",Y1501*AB1501/100)</f>
        <v/>
      </c>
      <c r="W1501" s="16" t="str">
        <f aca="false">IF($D1501="","",Y1501-V1501)</f>
        <v/>
      </c>
      <c r="X1501" s="16" t="str">
        <f aca="false">IF($D1501="","",W1501-N1501)</f>
        <v/>
      </c>
      <c r="AB1501" s="17" t="str">
        <f aca="false">IF($D1501="","",IF(OR($R1501=TRUE(),$R1501="TRUE"),Settings!$C$6,Settings!$C$7)*100)</f>
        <v/>
      </c>
      <c r="AH1501" s="18" t="str">
        <f aca="false">IF($D1501="","",IF(COUNTIF($D$2:$D1501,$D1501)=1,1,0))</f>
        <v/>
      </c>
      <c r="AI1501" s="18" t="str">
        <f aca="false">IF($AH1501=1,SUMPRODUCT(--($AK$2:$AK$4001&lt;$AK1501))+1,"")</f>
        <v/>
      </c>
      <c r="AJ1501" s="18" t="str">
        <f aca="false">IF($D1501="","",IF(OR($R1501=TRUE(),$R1501="TRUE"),1,0))</f>
        <v/>
      </c>
      <c r="AK1501" s="18" t="str">
        <f aca="false">IF($AH1501=1,IFERROR(VALUE(MID($D1501,2,20)),1000000000)+ROW()/10000000,"")</f>
        <v/>
      </c>
    </row>
    <row r="1502" customFormat="false" ht="15" hidden="false" customHeight="false" outlineLevel="0" collapsed="false">
      <c r="F1502" s="15"/>
      <c r="N1502" s="16" t="str">
        <f aca="false">IF($D1502="","",M1502*Y1502/100)</f>
        <v/>
      </c>
      <c r="V1502" s="16" t="str">
        <f aca="false">IF($D1502="","",Y1502*AB1502/100)</f>
        <v/>
      </c>
      <c r="W1502" s="16" t="str">
        <f aca="false">IF($D1502="","",Y1502-V1502)</f>
        <v/>
      </c>
      <c r="X1502" s="16" t="str">
        <f aca="false">IF($D1502="","",W1502-N1502)</f>
        <v/>
      </c>
      <c r="AB1502" s="17" t="str">
        <f aca="false">IF($D1502="","",IF(OR($R1502=TRUE(),$R1502="TRUE"),Settings!$C$6,Settings!$C$7)*100)</f>
        <v/>
      </c>
      <c r="AH1502" s="18" t="str">
        <f aca="false">IF($D1502="","",IF(COUNTIF($D$2:$D1502,$D1502)=1,1,0))</f>
        <v/>
      </c>
      <c r="AI1502" s="18" t="str">
        <f aca="false">IF($AH1502=1,SUMPRODUCT(--($AK$2:$AK$4001&lt;$AK1502))+1,"")</f>
        <v/>
      </c>
      <c r="AJ1502" s="18" t="str">
        <f aca="false">IF($D1502="","",IF(OR($R1502=TRUE(),$R1502="TRUE"),1,0))</f>
        <v/>
      </c>
      <c r="AK1502" s="18" t="str">
        <f aca="false">IF($AH1502=1,IFERROR(VALUE(MID($D1502,2,20)),1000000000)+ROW()/10000000,"")</f>
        <v/>
      </c>
    </row>
    <row r="1503" customFormat="false" ht="15" hidden="false" customHeight="false" outlineLevel="0" collapsed="false">
      <c r="F1503" s="15"/>
      <c r="N1503" s="16" t="str">
        <f aca="false">IF($D1503="","",M1503*Y1503/100)</f>
        <v/>
      </c>
      <c r="V1503" s="16" t="str">
        <f aca="false">IF($D1503="","",Y1503*AB1503/100)</f>
        <v/>
      </c>
      <c r="W1503" s="16" t="str">
        <f aca="false">IF($D1503="","",Y1503-V1503)</f>
        <v/>
      </c>
      <c r="X1503" s="16" t="str">
        <f aca="false">IF($D1503="","",W1503-N1503)</f>
        <v/>
      </c>
      <c r="AB1503" s="17" t="str">
        <f aca="false">IF($D1503="","",IF(OR($R1503=TRUE(),$R1503="TRUE"),Settings!$C$6,Settings!$C$7)*100)</f>
        <v/>
      </c>
      <c r="AH1503" s="18" t="str">
        <f aca="false">IF($D1503="","",IF(COUNTIF($D$2:$D1503,$D1503)=1,1,0))</f>
        <v/>
      </c>
      <c r="AI1503" s="18" t="str">
        <f aca="false">IF($AH1503=1,SUMPRODUCT(--($AK$2:$AK$4001&lt;$AK1503))+1,"")</f>
        <v/>
      </c>
      <c r="AJ1503" s="18" t="str">
        <f aca="false">IF($D1503="","",IF(OR($R1503=TRUE(),$R1503="TRUE"),1,0))</f>
        <v/>
      </c>
      <c r="AK1503" s="18" t="str">
        <f aca="false">IF($AH1503=1,IFERROR(VALUE(MID($D1503,2,20)),1000000000)+ROW()/10000000,"")</f>
        <v/>
      </c>
    </row>
    <row r="1504" customFormat="false" ht="15" hidden="false" customHeight="false" outlineLevel="0" collapsed="false">
      <c r="F1504" s="15"/>
      <c r="N1504" s="16" t="str">
        <f aca="false">IF($D1504="","",M1504*Y1504/100)</f>
        <v/>
      </c>
      <c r="V1504" s="16" t="str">
        <f aca="false">IF($D1504="","",Y1504*AB1504/100)</f>
        <v/>
      </c>
      <c r="W1504" s="16" t="str">
        <f aca="false">IF($D1504="","",Y1504-V1504)</f>
        <v/>
      </c>
      <c r="X1504" s="16" t="str">
        <f aca="false">IF($D1504="","",W1504-N1504)</f>
        <v/>
      </c>
      <c r="AB1504" s="17" t="str">
        <f aca="false">IF($D1504="","",IF(OR($R1504=TRUE(),$R1504="TRUE"),Settings!$C$6,Settings!$C$7)*100)</f>
        <v/>
      </c>
      <c r="AH1504" s="18" t="str">
        <f aca="false">IF($D1504="","",IF(COUNTIF($D$2:$D1504,$D1504)=1,1,0))</f>
        <v/>
      </c>
      <c r="AI1504" s="18" t="str">
        <f aca="false">IF($AH1504=1,SUMPRODUCT(--($AK$2:$AK$4001&lt;$AK1504))+1,"")</f>
        <v/>
      </c>
      <c r="AJ1504" s="18" t="str">
        <f aca="false">IF($D1504="","",IF(OR($R1504=TRUE(),$R1504="TRUE"),1,0))</f>
        <v/>
      </c>
      <c r="AK1504" s="18" t="str">
        <f aca="false">IF($AH1504=1,IFERROR(VALUE(MID($D1504,2,20)),1000000000)+ROW()/10000000,"")</f>
        <v/>
      </c>
    </row>
    <row r="1505" customFormat="false" ht="15" hidden="false" customHeight="false" outlineLevel="0" collapsed="false">
      <c r="F1505" s="15"/>
      <c r="N1505" s="16" t="str">
        <f aca="false">IF($D1505="","",M1505*Y1505/100)</f>
        <v/>
      </c>
      <c r="V1505" s="16" t="str">
        <f aca="false">IF($D1505="","",Y1505*AB1505/100)</f>
        <v/>
      </c>
      <c r="W1505" s="16" t="str">
        <f aca="false">IF($D1505="","",Y1505-V1505)</f>
        <v/>
      </c>
      <c r="X1505" s="16" t="str">
        <f aca="false">IF($D1505="","",W1505-N1505)</f>
        <v/>
      </c>
      <c r="AB1505" s="17" t="str">
        <f aca="false">IF($D1505="","",IF(OR($R1505=TRUE(),$R1505="TRUE"),Settings!$C$6,Settings!$C$7)*100)</f>
        <v/>
      </c>
      <c r="AH1505" s="18" t="str">
        <f aca="false">IF($D1505="","",IF(COUNTIF($D$2:$D1505,$D1505)=1,1,0))</f>
        <v/>
      </c>
      <c r="AI1505" s="18" t="str">
        <f aca="false">IF($AH1505=1,SUMPRODUCT(--($AK$2:$AK$4001&lt;$AK1505))+1,"")</f>
        <v/>
      </c>
      <c r="AJ1505" s="18" t="str">
        <f aca="false">IF($D1505="","",IF(OR($R1505=TRUE(),$R1505="TRUE"),1,0))</f>
        <v/>
      </c>
      <c r="AK1505" s="18" t="str">
        <f aca="false">IF($AH1505=1,IFERROR(VALUE(MID($D1505,2,20)),1000000000)+ROW()/10000000,"")</f>
        <v/>
      </c>
    </row>
    <row r="1506" customFormat="false" ht="15" hidden="false" customHeight="false" outlineLevel="0" collapsed="false">
      <c r="F1506" s="15"/>
      <c r="N1506" s="16" t="str">
        <f aca="false">IF($D1506="","",M1506*Y1506/100)</f>
        <v/>
      </c>
      <c r="V1506" s="16" t="str">
        <f aca="false">IF($D1506="","",Y1506*AB1506/100)</f>
        <v/>
      </c>
      <c r="W1506" s="16" t="str">
        <f aca="false">IF($D1506="","",Y1506-V1506)</f>
        <v/>
      </c>
      <c r="X1506" s="16" t="str">
        <f aca="false">IF($D1506="","",W1506-N1506)</f>
        <v/>
      </c>
      <c r="AB1506" s="17" t="str">
        <f aca="false">IF($D1506="","",IF(OR($R1506=TRUE(),$R1506="TRUE"),Settings!$C$6,Settings!$C$7)*100)</f>
        <v/>
      </c>
      <c r="AH1506" s="18" t="str">
        <f aca="false">IF($D1506="","",IF(COUNTIF($D$2:$D1506,$D1506)=1,1,0))</f>
        <v/>
      </c>
      <c r="AI1506" s="18" t="str">
        <f aca="false">IF($AH1506=1,SUMPRODUCT(--($AK$2:$AK$4001&lt;$AK1506))+1,"")</f>
        <v/>
      </c>
      <c r="AJ1506" s="18" t="str">
        <f aca="false">IF($D1506="","",IF(OR($R1506=TRUE(),$R1506="TRUE"),1,0))</f>
        <v/>
      </c>
      <c r="AK1506" s="18" t="str">
        <f aca="false">IF($AH1506=1,IFERROR(VALUE(MID($D1506,2,20)),1000000000)+ROW()/10000000,"")</f>
        <v/>
      </c>
    </row>
    <row r="1507" customFormat="false" ht="15" hidden="false" customHeight="false" outlineLevel="0" collapsed="false">
      <c r="F1507" s="15"/>
      <c r="N1507" s="16" t="str">
        <f aca="false">IF($D1507="","",M1507*Y1507/100)</f>
        <v/>
      </c>
      <c r="V1507" s="16" t="str">
        <f aca="false">IF($D1507="","",Y1507*AB1507/100)</f>
        <v/>
      </c>
      <c r="W1507" s="16" t="str">
        <f aca="false">IF($D1507="","",Y1507-V1507)</f>
        <v/>
      </c>
      <c r="X1507" s="16" t="str">
        <f aca="false">IF($D1507="","",W1507-N1507)</f>
        <v/>
      </c>
      <c r="AB1507" s="17" t="str">
        <f aca="false">IF($D1507="","",IF(OR($R1507=TRUE(),$R1507="TRUE"),Settings!$C$6,Settings!$C$7)*100)</f>
        <v/>
      </c>
      <c r="AH1507" s="18" t="str">
        <f aca="false">IF($D1507="","",IF(COUNTIF($D$2:$D1507,$D1507)=1,1,0))</f>
        <v/>
      </c>
      <c r="AI1507" s="18" t="str">
        <f aca="false">IF($AH1507=1,SUMPRODUCT(--($AK$2:$AK$4001&lt;$AK1507))+1,"")</f>
        <v/>
      </c>
      <c r="AJ1507" s="18" t="str">
        <f aca="false">IF($D1507="","",IF(OR($R1507=TRUE(),$R1507="TRUE"),1,0))</f>
        <v/>
      </c>
      <c r="AK1507" s="18" t="str">
        <f aca="false">IF($AH1507=1,IFERROR(VALUE(MID($D1507,2,20)),1000000000)+ROW()/10000000,"")</f>
        <v/>
      </c>
    </row>
    <row r="1508" customFormat="false" ht="15" hidden="false" customHeight="false" outlineLevel="0" collapsed="false">
      <c r="F1508" s="15"/>
      <c r="N1508" s="16" t="str">
        <f aca="false">IF($D1508="","",M1508*Y1508/100)</f>
        <v/>
      </c>
      <c r="V1508" s="16" t="str">
        <f aca="false">IF($D1508="","",Y1508*AB1508/100)</f>
        <v/>
      </c>
      <c r="W1508" s="16" t="str">
        <f aca="false">IF($D1508="","",Y1508-V1508)</f>
        <v/>
      </c>
      <c r="X1508" s="16" t="str">
        <f aca="false">IF($D1508="","",W1508-N1508)</f>
        <v/>
      </c>
      <c r="AB1508" s="17" t="str">
        <f aca="false">IF($D1508="","",IF(OR($R1508=TRUE(),$R1508="TRUE"),Settings!$C$6,Settings!$C$7)*100)</f>
        <v/>
      </c>
      <c r="AH1508" s="18" t="str">
        <f aca="false">IF($D1508="","",IF(COUNTIF($D$2:$D1508,$D1508)=1,1,0))</f>
        <v/>
      </c>
      <c r="AI1508" s="18" t="str">
        <f aca="false">IF($AH1508=1,SUMPRODUCT(--($AK$2:$AK$4001&lt;$AK1508))+1,"")</f>
        <v/>
      </c>
      <c r="AJ1508" s="18" t="str">
        <f aca="false">IF($D1508="","",IF(OR($R1508=TRUE(),$R1508="TRUE"),1,0))</f>
        <v/>
      </c>
      <c r="AK1508" s="18" t="str">
        <f aca="false">IF($AH1508=1,IFERROR(VALUE(MID($D1508,2,20)),1000000000)+ROW()/10000000,"")</f>
        <v/>
      </c>
    </row>
    <row r="1509" customFormat="false" ht="15" hidden="false" customHeight="false" outlineLevel="0" collapsed="false">
      <c r="F1509" s="15"/>
      <c r="N1509" s="16" t="str">
        <f aca="false">IF($D1509="","",M1509*Y1509/100)</f>
        <v/>
      </c>
      <c r="V1509" s="16" t="str">
        <f aca="false">IF($D1509="","",Y1509*AB1509/100)</f>
        <v/>
      </c>
      <c r="W1509" s="16" t="str">
        <f aca="false">IF($D1509="","",Y1509-V1509)</f>
        <v/>
      </c>
      <c r="X1509" s="16" t="str">
        <f aca="false">IF($D1509="","",W1509-N1509)</f>
        <v/>
      </c>
      <c r="AB1509" s="17" t="str">
        <f aca="false">IF($D1509="","",IF(OR($R1509=TRUE(),$R1509="TRUE"),Settings!$C$6,Settings!$C$7)*100)</f>
        <v/>
      </c>
      <c r="AH1509" s="18" t="str">
        <f aca="false">IF($D1509="","",IF(COUNTIF($D$2:$D1509,$D1509)=1,1,0))</f>
        <v/>
      </c>
      <c r="AI1509" s="18" t="str">
        <f aca="false">IF($AH1509=1,SUMPRODUCT(--($AK$2:$AK$4001&lt;$AK1509))+1,"")</f>
        <v/>
      </c>
      <c r="AJ1509" s="18" t="str">
        <f aca="false">IF($D1509="","",IF(OR($R1509=TRUE(),$R1509="TRUE"),1,0))</f>
        <v/>
      </c>
      <c r="AK1509" s="18" t="str">
        <f aca="false">IF($AH1509=1,IFERROR(VALUE(MID($D1509,2,20)),1000000000)+ROW()/10000000,"")</f>
        <v/>
      </c>
    </row>
    <row r="1510" customFormat="false" ht="15" hidden="false" customHeight="false" outlineLevel="0" collapsed="false">
      <c r="F1510" s="15"/>
      <c r="N1510" s="16" t="str">
        <f aca="false">IF($D1510="","",M1510*Y1510/100)</f>
        <v/>
      </c>
      <c r="V1510" s="16" t="str">
        <f aca="false">IF($D1510="","",Y1510*AB1510/100)</f>
        <v/>
      </c>
      <c r="W1510" s="16" t="str">
        <f aca="false">IF($D1510="","",Y1510-V1510)</f>
        <v/>
      </c>
      <c r="X1510" s="16" t="str">
        <f aca="false">IF($D1510="","",W1510-N1510)</f>
        <v/>
      </c>
      <c r="AB1510" s="17" t="str">
        <f aca="false">IF($D1510="","",IF(OR($R1510=TRUE(),$R1510="TRUE"),Settings!$C$6,Settings!$C$7)*100)</f>
        <v/>
      </c>
      <c r="AH1510" s="18" t="str">
        <f aca="false">IF($D1510="","",IF(COUNTIF($D$2:$D1510,$D1510)=1,1,0))</f>
        <v/>
      </c>
      <c r="AI1510" s="18" t="str">
        <f aca="false">IF($AH1510=1,SUMPRODUCT(--($AK$2:$AK$4001&lt;$AK1510))+1,"")</f>
        <v/>
      </c>
      <c r="AJ1510" s="18" t="str">
        <f aca="false">IF($D1510="","",IF(OR($R1510=TRUE(),$R1510="TRUE"),1,0))</f>
        <v/>
      </c>
      <c r="AK1510" s="18" t="str">
        <f aca="false">IF($AH1510=1,IFERROR(VALUE(MID($D1510,2,20)),1000000000)+ROW()/10000000,"")</f>
        <v/>
      </c>
    </row>
    <row r="1511" customFormat="false" ht="15" hidden="false" customHeight="false" outlineLevel="0" collapsed="false">
      <c r="F1511" s="15"/>
      <c r="N1511" s="16" t="str">
        <f aca="false">IF($D1511="","",M1511*Y1511/100)</f>
        <v/>
      </c>
      <c r="V1511" s="16" t="str">
        <f aca="false">IF($D1511="","",Y1511*AB1511/100)</f>
        <v/>
      </c>
      <c r="W1511" s="16" t="str">
        <f aca="false">IF($D1511="","",Y1511-V1511)</f>
        <v/>
      </c>
      <c r="X1511" s="16" t="str">
        <f aca="false">IF($D1511="","",W1511-N1511)</f>
        <v/>
      </c>
      <c r="AB1511" s="17" t="str">
        <f aca="false">IF($D1511="","",IF(OR($R1511=TRUE(),$R1511="TRUE"),Settings!$C$6,Settings!$C$7)*100)</f>
        <v/>
      </c>
      <c r="AH1511" s="18" t="str">
        <f aca="false">IF($D1511="","",IF(COUNTIF($D$2:$D1511,$D1511)=1,1,0))</f>
        <v/>
      </c>
      <c r="AI1511" s="18" t="str">
        <f aca="false">IF($AH1511=1,SUMPRODUCT(--($AK$2:$AK$4001&lt;$AK1511))+1,"")</f>
        <v/>
      </c>
      <c r="AJ1511" s="18" t="str">
        <f aca="false">IF($D1511="","",IF(OR($R1511=TRUE(),$R1511="TRUE"),1,0))</f>
        <v/>
      </c>
      <c r="AK1511" s="18" t="str">
        <f aca="false">IF($AH1511=1,IFERROR(VALUE(MID($D1511,2,20)),1000000000)+ROW()/10000000,"")</f>
        <v/>
      </c>
    </row>
    <row r="1512" customFormat="false" ht="15" hidden="false" customHeight="false" outlineLevel="0" collapsed="false">
      <c r="F1512" s="15"/>
      <c r="N1512" s="16" t="str">
        <f aca="false">IF($D1512="","",M1512*Y1512/100)</f>
        <v/>
      </c>
      <c r="V1512" s="16" t="str">
        <f aca="false">IF($D1512="","",Y1512*AB1512/100)</f>
        <v/>
      </c>
      <c r="W1512" s="16" t="str">
        <f aca="false">IF($D1512="","",Y1512-V1512)</f>
        <v/>
      </c>
      <c r="X1512" s="16" t="str">
        <f aca="false">IF($D1512="","",W1512-N1512)</f>
        <v/>
      </c>
      <c r="AB1512" s="17" t="str">
        <f aca="false">IF($D1512="","",IF(OR($R1512=TRUE(),$R1512="TRUE"),Settings!$C$6,Settings!$C$7)*100)</f>
        <v/>
      </c>
      <c r="AH1512" s="18" t="str">
        <f aca="false">IF($D1512="","",IF(COUNTIF($D$2:$D1512,$D1512)=1,1,0))</f>
        <v/>
      </c>
      <c r="AI1512" s="18" t="str">
        <f aca="false">IF($AH1512=1,SUMPRODUCT(--($AK$2:$AK$4001&lt;$AK1512))+1,"")</f>
        <v/>
      </c>
      <c r="AJ1512" s="18" t="str">
        <f aca="false">IF($D1512="","",IF(OR($R1512=TRUE(),$R1512="TRUE"),1,0))</f>
        <v/>
      </c>
      <c r="AK1512" s="18" t="str">
        <f aca="false">IF($AH1512=1,IFERROR(VALUE(MID($D1512,2,20)),1000000000)+ROW()/10000000,"")</f>
        <v/>
      </c>
    </row>
    <row r="1513" customFormat="false" ht="15" hidden="false" customHeight="false" outlineLevel="0" collapsed="false">
      <c r="F1513" s="15"/>
      <c r="N1513" s="16" t="str">
        <f aca="false">IF($D1513="","",M1513*Y1513/100)</f>
        <v/>
      </c>
      <c r="V1513" s="16" t="str">
        <f aca="false">IF($D1513="","",Y1513*AB1513/100)</f>
        <v/>
      </c>
      <c r="W1513" s="16" t="str">
        <f aca="false">IF($D1513="","",Y1513-V1513)</f>
        <v/>
      </c>
      <c r="X1513" s="16" t="str">
        <f aca="false">IF($D1513="","",W1513-N1513)</f>
        <v/>
      </c>
      <c r="AB1513" s="17" t="str">
        <f aca="false">IF($D1513="","",IF(OR($R1513=TRUE(),$R1513="TRUE"),Settings!$C$6,Settings!$C$7)*100)</f>
        <v/>
      </c>
      <c r="AH1513" s="18" t="str">
        <f aca="false">IF($D1513="","",IF(COUNTIF($D$2:$D1513,$D1513)=1,1,0))</f>
        <v/>
      </c>
      <c r="AI1513" s="18" t="str">
        <f aca="false">IF($AH1513=1,SUMPRODUCT(--($AK$2:$AK$4001&lt;$AK1513))+1,"")</f>
        <v/>
      </c>
      <c r="AJ1513" s="18" t="str">
        <f aca="false">IF($D1513="","",IF(OR($R1513=TRUE(),$R1513="TRUE"),1,0))</f>
        <v/>
      </c>
      <c r="AK1513" s="18" t="str">
        <f aca="false">IF($AH1513=1,IFERROR(VALUE(MID($D1513,2,20)),1000000000)+ROW()/10000000,"")</f>
        <v/>
      </c>
    </row>
    <row r="1514" customFormat="false" ht="15" hidden="false" customHeight="false" outlineLevel="0" collapsed="false">
      <c r="F1514" s="15"/>
      <c r="N1514" s="16" t="str">
        <f aca="false">IF($D1514="","",M1514*Y1514/100)</f>
        <v/>
      </c>
      <c r="V1514" s="16" t="str">
        <f aca="false">IF($D1514="","",Y1514*AB1514/100)</f>
        <v/>
      </c>
      <c r="W1514" s="16" t="str">
        <f aca="false">IF($D1514="","",Y1514-V1514)</f>
        <v/>
      </c>
      <c r="X1514" s="16" t="str">
        <f aca="false">IF($D1514="","",W1514-N1514)</f>
        <v/>
      </c>
      <c r="AB1514" s="17" t="str">
        <f aca="false">IF($D1514="","",IF(OR($R1514=TRUE(),$R1514="TRUE"),Settings!$C$6,Settings!$C$7)*100)</f>
        <v/>
      </c>
      <c r="AH1514" s="18" t="str">
        <f aca="false">IF($D1514="","",IF(COUNTIF($D$2:$D1514,$D1514)=1,1,0))</f>
        <v/>
      </c>
      <c r="AI1514" s="18" t="str">
        <f aca="false">IF($AH1514=1,SUMPRODUCT(--($AK$2:$AK$4001&lt;$AK1514))+1,"")</f>
        <v/>
      </c>
      <c r="AJ1514" s="18" t="str">
        <f aca="false">IF($D1514="","",IF(OR($R1514=TRUE(),$R1514="TRUE"),1,0))</f>
        <v/>
      </c>
      <c r="AK1514" s="18" t="str">
        <f aca="false">IF($AH1514=1,IFERROR(VALUE(MID($D1514,2,20)),1000000000)+ROW()/10000000,"")</f>
        <v/>
      </c>
    </row>
    <row r="1515" customFormat="false" ht="15" hidden="false" customHeight="false" outlineLevel="0" collapsed="false">
      <c r="F1515" s="15"/>
      <c r="N1515" s="16" t="str">
        <f aca="false">IF($D1515="","",M1515*Y1515/100)</f>
        <v/>
      </c>
      <c r="V1515" s="16" t="str">
        <f aca="false">IF($D1515="","",Y1515*AB1515/100)</f>
        <v/>
      </c>
      <c r="W1515" s="16" t="str">
        <f aca="false">IF($D1515="","",Y1515-V1515)</f>
        <v/>
      </c>
      <c r="X1515" s="16" t="str">
        <f aca="false">IF($D1515="","",W1515-N1515)</f>
        <v/>
      </c>
      <c r="AB1515" s="17" t="str">
        <f aca="false">IF($D1515="","",IF(OR($R1515=TRUE(),$R1515="TRUE"),Settings!$C$6,Settings!$C$7)*100)</f>
        <v/>
      </c>
      <c r="AH1515" s="18" t="str">
        <f aca="false">IF($D1515="","",IF(COUNTIF($D$2:$D1515,$D1515)=1,1,0))</f>
        <v/>
      </c>
      <c r="AI1515" s="18" t="str">
        <f aca="false">IF($AH1515=1,SUMPRODUCT(--($AK$2:$AK$4001&lt;$AK1515))+1,"")</f>
        <v/>
      </c>
      <c r="AJ1515" s="18" t="str">
        <f aca="false">IF($D1515="","",IF(OR($R1515=TRUE(),$R1515="TRUE"),1,0))</f>
        <v/>
      </c>
      <c r="AK1515" s="18" t="str">
        <f aca="false">IF($AH1515=1,IFERROR(VALUE(MID($D1515,2,20)),1000000000)+ROW()/10000000,"")</f>
        <v/>
      </c>
    </row>
    <row r="1516" customFormat="false" ht="15" hidden="false" customHeight="false" outlineLevel="0" collapsed="false">
      <c r="F1516" s="15"/>
      <c r="N1516" s="16" t="str">
        <f aca="false">IF($D1516="","",M1516*Y1516/100)</f>
        <v/>
      </c>
      <c r="V1516" s="16" t="str">
        <f aca="false">IF($D1516="","",Y1516*AB1516/100)</f>
        <v/>
      </c>
      <c r="W1516" s="16" t="str">
        <f aca="false">IF($D1516="","",Y1516-V1516)</f>
        <v/>
      </c>
      <c r="X1516" s="16" t="str">
        <f aca="false">IF($D1516="","",W1516-N1516)</f>
        <v/>
      </c>
      <c r="AB1516" s="17" t="str">
        <f aca="false">IF($D1516="","",IF(OR($R1516=TRUE(),$R1516="TRUE"),Settings!$C$6,Settings!$C$7)*100)</f>
        <v/>
      </c>
      <c r="AH1516" s="18" t="str">
        <f aca="false">IF($D1516="","",IF(COUNTIF($D$2:$D1516,$D1516)=1,1,0))</f>
        <v/>
      </c>
      <c r="AI1516" s="18" t="str">
        <f aca="false">IF($AH1516=1,SUMPRODUCT(--($AK$2:$AK$4001&lt;$AK1516))+1,"")</f>
        <v/>
      </c>
      <c r="AJ1516" s="18" t="str">
        <f aca="false">IF($D1516="","",IF(OR($R1516=TRUE(),$R1516="TRUE"),1,0))</f>
        <v/>
      </c>
      <c r="AK1516" s="18" t="str">
        <f aca="false">IF($AH1516=1,IFERROR(VALUE(MID($D1516,2,20)),1000000000)+ROW()/10000000,"")</f>
        <v/>
      </c>
    </row>
    <row r="1517" customFormat="false" ht="15" hidden="false" customHeight="false" outlineLevel="0" collapsed="false">
      <c r="F1517" s="15"/>
      <c r="N1517" s="16" t="str">
        <f aca="false">IF($D1517="","",M1517*Y1517/100)</f>
        <v/>
      </c>
      <c r="V1517" s="16" t="str">
        <f aca="false">IF($D1517="","",Y1517*AB1517/100)</f>
        <v/>
      </c>
      <c r="W1517" s="16" t="str">
        <f aca="false">IF($D1517="","",Y1517-V1517)</f>
        <v/>
      </c>
      <c r="X1517" s="16" t="str">
        <f aca="false">IF($D1517="","",W1517-N1517)</f>
        <v/>
      </c>
      <c r="AB1517" s="17" t="str">
        <f aca="false">IF($D1517="","",IF(OR($R1517=TRUE(),$R1517="TRUE"),Settings!$C$6,Settings!$C$7)*100)</f>
        <v/>
      </c>
      <c r="AH1517" s="18" t="str">
        <f aca="false">IF($D1517="","",IF(COUNTIF($D$2:$D1517,$D1517)=1,1,0))</f>
        <v/>
      </c>
      <c r="AI1517" s="18" t="str">
        <f aca="false">IF($AH1517=1,SUMPRODUCT(--($AK$2:$AK$4001&lt;$AK1517))+1,"")</f>
        <v/>
      </c>
      <c r="AJ1517" s="18" t="str">
        <f aca="false">IF($D1517="","",IF(OR($R1517=TRUE(),$R1517="TRUE"),1,0))</f>
        <v/>
      </c>
      <c r="AK1517" s="18" t="str">
        <f aca="false">IF($AH1517=1,IFERROR(VALUE(MID($D1517,2,20)),1000000000)+ROW()/10000000,"")</f>
        <v/>
      </c>
    </row>
    <row r="1518" customFormat="false" ht="15" hidden="false" customHeight="false" outlineLevel="0" collapsed="false">
      <c r="F1518" s="15"/>
      <c r="N1518" s="16" t="str">
        <f aca="false">IF($D1518="","",M1518*Y1518/100)</f>
        <v/>
      </c>
      <c r="V1518" s="16" t="str">
        <f aca="false">IF($D1518="","",Y1518*AB1518/100)</f>
        <v/>
      </c>
      <c r="W1518" s="16" t="str">
        <f aca="false">IF($D1518="","",Y1518-V1518)</f>
        <v/>
      </c>
      <c r="X1518" s="16" t="str">
        <f aca="false">IF($D1518="","",W1518-N1518)</f>
        <v/>
      </c>
      <c r="AB1518" s="17" t="str">
        <f aca="false">IF($D1518="","",IF(OR($R1518=TRUE(),$R1518="TRUE"),Settings!$C$6,Settings!$C$7)*100)</f>
        <v/>
      </c>
      <c r="AH1518" s="18" t="str">
        <f aca="false">IF($D1518="","",IF(COUNTIF($D$2:$D1518,$D1518)=1,1,0))</f>
        <v/>
      </c>
      <c r="AI1518" s="18" t="str">
        <f aca="false">IF($AH1518=1,SUMPRODUCT(--($AK$2:$AK$4001&lt;$AK1518))+1,"")</f>
        <v/>
      </c>
      <c r="AJ1518" s="18" t="str">
        <f aca="false">IF($D1518="","",IF(OR($R1518=TRUE(),$R1518="TRUE"),1,0))</f>
        <v/>
      </c>
      <c r="AK1518" s="18" t="str">
        <f aca="false">IF($AH1518=1,IFERROR(VALUE(MID($D1518,2,20)),1000000000)+ROW()/10000000,"")</f>
        <v/>
      </c>
    </row>
    <row r="1519" customFormat="false" ht="15" hidden="false" customHeight="false" outlineLevel="0" collapsed="false">
      <c r="F1519" s="15"/>
      <c r="N1519" s="16" t="str">
        <f aca="false">IF($D1519="","",M1519*Y1519/100)</f>
        <v/>
      </c>
      <c r="V1519" s="16" t="str">
        <f aca="false">IF($D1519="","",Y1519*AB1519/100)</f>
        <v/>
      </c>
      <c r="W1519" s="16" t="str">
        <f aca="false">IF($D1519="","",Y1519-V1519)</f>
        <v/>
      </c>
      <c r="X1519" s="16" t="str">
        <f aca="false">IF($D1519="","",W1519-N1519)</f>
        <v/>
      </c>
      <c r="AB1519" s="17" t="str">
        <f aca="false">IF($D1519="","",IF(OR($R1519=TRUE(),$R1519="TRUE"),Settings!$C$6,Settings!$C$7)*100)</f>
        <v/>
      </c>
      <c r="AH1519" s="18" t="str">
        <f aca="false">IF($D1519="","",IF(COUNTIF($D$2:$D1519,$D1519)=1,1,0))</f>
        <v/>
      </c>
      <c r="AI1519" s="18" t="str">
        <f aca="false">IF($AH1519=1,SUMPRODUCT(--($AK$2:$AK$4001&lt;$AK1519))+1,"")</f>
        <v/>
      </c>
      <c r="AJ1519" s="18" t="str">
        <f aca="false">IF($D1519="","",IF(OR($R1519=TRUE(),$R1519="TRUE"),1,0))</f>
        <v/>
      </c>
      <c r="AK1519" s="18" t="str">
        <f aca="false">IF($AH1519=1,IFERROR(VALUE(MID($D1519,2,20)),1000000000)+ROW()/10000000,"")</f>
        <v/>
      </c>
    </row>
    <row r="1520" customFormat="false" ht="15" hidden="false" customHeight="false" outlineLevel="0" collapsed="false">
      <c r="F1520" s="15"/>
      <c r="N1520" s="16" t="str">
        <f aca="false">IF($D1520="","",M1520*Y1520/100)</f>
        <v/>
      </c>
      <c r="V1520" s="16" t="str">
        <f aca="false">IF($D1520="","",Y1520*AB1520/100)</f>
        <v/>
      </c>
      <c r="W1520" s="16" t="str">
        <f aca="false">IF($D1520="","",Y1520-V1520)</f>
        <v/>
      </c>
      <c r="X1520" s="16" t="str">
        <f aca="false">IF($D1520="","",W1520-N1520)</f>
        <v/>
      </c>
      <c r="AB1520" s="17" t="str">
        <f aca="false">IF($D1520="","",IF(OR($R1520=TRUE(),$R1520="TRUE"),Settings!$C$6,Settings!$C$7)*100)</f>
        <v/>
      </c>
      <c r="AH1520" s="18" t="str">
        <f aca="false">IF($D1520="","",IF(COUNTIF($D$2:$D1520,$D1520)=1,1,0))</f>
        <v/>
      </c>
      <c r="AI1520" s="18" t="str">
        <f aca="false">IF($AH1520=1,SUMPRODUCT(--($AK$2:$AK$4001&lt;$AK1520))+1,"")</f>
        <v/>
      </c>
      <c r="AJ1520" s="18" t="str">
        <f aca="false">IF($D1520="","",IF(OR($R1520=TRUE(),$R1520="TRUE"),1,0))</f>
        <v/>
      </c>
      <c r="AK1520" s="18" t="str">
        <f aca="false">IF($AH1520=1,IFERROR(VALUE(MID($D1520,2,20)),1000000000)+ROW()/10000000,"")</f>
        <v/>
      </c>
    </row>
    <row r="1521" customFormat="false" ht="15" hidden="false" customHeight="false" outlineLevel="0" collapsed="false">
      <c r="F1521" s="15"/>
      <c r="N1521" s="16" t="str">
        <f aca="false">IF($D1521="","",M1521*Y1521/100)</f>
        <v/>
      </c>
      <c r="V1521" s="16" t="str">
        <f aca="false">IF($D1521="","",Y1521*AB1521/100)</f>
        <v/>
      </c>
      <c r="W1521" s="16" t="str">
        <f aca="false">IF($D1521="","",Y1521-V1521)</f>
        <v/>
      </c>
      <c r="X1521" s="16" t="str">
        <f aca="false">IF($D1521="","",W1521-N1521)</f>
        <v/>
      </c>
      <c r="AB1521" s="17" t="str">
        <f aca="false">IF($D1521="","",IF(OR($R1521=TRUE(),$R1521="TRUE"),Settings!$C$6,Settings!$C$7)*100)</f>
        <v/>
      </c>
      <c r="AH1521" s="18" t="str">
        <f aca="false">IF($D1521="","",IF(COUNTIF($D$2:$D1521,$D1521)=1,1,0))</f>
        <v/>
      </c>
      <c r="AI1521" s="18" t="str">
        <f aca="false">IF($AH1521=1,SUMPRODUCT(--($AK$2:$AK$4001&lt;$AK1521))+1,"")</f>
        <v/>
      </c>
      <c r="AJ1521" s="18" t="str">
        <f aca="false">IF($D1521="","",IF(OR($R1521=TRUE(),$R1521="TRUE"),1,0))</f>
        <v/>
      </c>
      <c r="AK1521" s="18" t="str">
        <f aca="false">IF($AH1521=1,IFERROR(VALUE(MID($D1521,2,20)),1000000000)+ROW()/10000000,"")</f>
        <v/>
      </c>
    </row>
    <row r="1522" customFormat="false" ht="15" hidden="false" customHeight="false" outlineLevel="0" collapsed="false">
      <c r="F1522" s="15"/>
      <c r="N1522" s="16" t="str">
        <f aca="false">IF($D1522="","",M1522*Y1522/100)</f>
        <v/>
      </c>
      <c r="V1522" s="16" t="str">
        <f aca="false">IF($D1522="","",Y1522*AB1522/100)</f>
        <v/>
      </c>
      <c r="W1522" s="16" t="str">
        <f aca="false">IF($D1522="","",Y1522-V1522)</f>
        <v/>
      </c>
      <c r="X1522" s="16" t="str">
        <f aca="false">IF($D1522="","",W1522-N1522)</f>
        <v/>
      </c>
      <c r="AB1522" s="17" t="str">
        <f aca="false">IF($D1522="","",IF(OR($R1522=TRUE(),$R1522="TRUE"),Settings!$C$6,Settings!$C$7)*100)</f>
        <v/>
      </c>
      <c r="AH1522" s="18" t="str">
        <f aca="false">IF($D1522="","",IF(COUNTIF($D$2:$D1522,$D1522)=1,1,0))</f>
        <v/>
      </c>
      <c r="AI1522" s="18" t="str">
        <f aca="false">IF($AH1522=1,SUMPRODUCT(--($AK$2:$AK$4001&lt;$AK1522))+1,"")</f>
        <v/>
      </c>
      <c r="AJ1522" s="18" t="str">
        <f aca="false">IF($D1522="","",IF(OR($R1522=TRUE(),$R1522="TRUE"),1,0))</f>
        <v/>
      </c>
      <c r="AK1522" s="18" t="str">
        <f aca="false">IF($AH1522=1,IFERROR(VALUE(MID($D1522,2,20)),1000000000)+ROW()/10000000,"")</f>
        <v/>
      </c>
    </row>
    <row r="1523" customFormat="false" ht="15" hidden="false" customHeight="false" outlineLevel="0" collapsed="false">
      <c r="F1523" s="15"/>
      <c r="N1523" s="16" t="str">
        <f aca="false">IF($D1523="","",M1523*Y1523/100)</f>
        <v/>
      </c>
      <c r="V1523" s="16" t="str">
        <f aca="false">IF($D1523="","",Y1523*AB1523/100)</f>
        <v/>
      </c>
      <c r="W1523" s="16" t="str">
        <f aca="false">IF($D1523="","",Y1523-V1523)</f>
        <v/>
      </c>
      <c r="X1523" s="16" t="str">
        <f aca="false">IF($D1523="","",W1523-N1523)</f>
        <v/>
      </c>
      <c r="AB1523" s="17" t="str">
        <f aca="false">IF($D1523="","",IF(OR($R1523=TRUE(),$R1523="TRUE"),Settings!$C$6,Settings!$C$7)*100)</f>
        <v/>
      </c>
      <c r="AH1523" s="18" t="str">
        <f aca="false">IF($D1523="","",IF(COUNTIF($D$2:$D1523,$D1523)=1,1,0))</f>
        <v/>
      </c>
      <c r="AI1523" s="18" t="str">
        <f aca="false">IF($AH1523=1,SUMPRODUCT(--($AK$2:$AK$4001&lt;$AK1523))+1,"")</f>
        <v/>
      </c>
      <c r="AJ1523" s="18" t="str">
        <f aca="false">IF($D1523="","",IF(OR($R1523=TRUE(),$R1523="TRUE"),1,0))</f>
        <v/>
      </c>
      <c r="AK1523" s="18" t="str">
        <f aca="false">IF($AH1523=1,IFERROR(VALUE(MID($D1523,2,20)),1000000000)+ROW()/10000000,"")</f>
        <v/>
      </c>
    </row>
    <row r="1524" customFormat="false" ht="15" hidden="false" customHeight="false" outlineLevel="0" collapsed="false">
      <c r="F1524" s="15"/>
      <c r="N1524" s="16" t="str">
        <f aca="false">IF($D1524="","",M1524*Y1524/100)</f>
        <v/>
      </c>
      <c r="V1524" s="16" t="str">
        <f aca="false">IF($D1524="","",Y1524*AB1524/100)</f>
        <v/>
      </c>
      <c r="W1524" s="16" t="str">
        <f aca="false">IF($D1524="","",Y1524-V1524)</f>
        <v/>
      </c>
      <c r="X1524" s="16" t="str">
        <f aca="false">IF($D1524="","",W1524-N1524)</f>
        <v/>
      </c>
      <c r="AB1524" s="17" t="str">
        <f aca="false">IF($D1524="","",IF(OR($R1524=TRUE(),$R1524="TRUE"),Settings!$C$6,Settings!$C$7)*100)</f>
        <v/>
      </c>
      <c r="AH1524" s="18" t="str">
        <f aca="false">IF($D1524="","",IF(COUNTIF($D$2:$D1524,$D1524)=1,1,0))</f>
        <v/>
      </c>
      <c r="AI1524" s="18" t="str">
        <f aca="false">IF($AH1524=1,SUMPRODUCT(--($AK$2:$AK$4001&lt;$AK1524))+1,"")</f>
        <v/>
      </c>
      <c r="AJ1524" s="18" t="str">
        <f aca="false">IF($D1524="","",IF(OR($R1524=TRUE(),$R1524="TRUE"),1,0))</f>
        <v/>
      </c>
      <c r="AK1524" s="18" t="str">
        <f aca="false">IF($AH1524=1,IFERROR(VALUE(MID($D1524,2,20)),1000000000)+ROW()/10000000,"")</f>
        <v/>
      </c>
    </row>
    <row r="1525" customFormat="false" ht="15" hidden="false" customHeight="false" outlineLevel="0" collapsed="false">
      <c r="F1525" s="15"/>
      <c r="N1525" s="16" t="str">
        <f aca="false">IF($D1525="","",M1525*Y1525/100)</f>
        <v/>
      </c>
      <c r="V1525" s="16" t="str">
        <f aca="false">IF($D1525="","",Y1525*AB1525/100)</f>
        <v/>
      </c>
      <c r="W1525" s="16" t="str">
        <f aca="false">IF($D1525="","",Y1525-V1525)</f>
        <v/>
      </c>
      <c r="X1525" s="16" t="str">
        <f aca="false">IF($D1525="","",W1525-N1525)</f>
        <v/>
      </c>
      <c r="AB1525" s="17" t="str">
        <f aca="false">IF($D1525="","",IF(OR($R1525=TRUE(),$R1525="TRUE"),Settings!$C$6,Settings!$C$7)*100)</f>
        <v/>
      </c>
      <c r="AH1525" s="18" t="str">
        <f aca="false">IF($D1525="","",IF(COUNTIF($D$2:$D1525,$D1525)=1,1,0))</f>
        <v/>
      </c>
      <c r="AI1525" s="18" t="str">
        <f aca="false">IF($AH1525=1,SUMPRODUCT(--($AK$2:$AK$4001&lt;$AK1525))+1,"")</f>
        <v/>
      </c>
      <c r="AJ1525" s="18" t="str">
        <f aca="false">IF($D1525="","",IF(OR($R1525=TRUE(),$R1525="TRUE"),1,0))</f>
        <v/>
      </c>
      <c r="AK1525" s="18" t="str">
        <f aca="false">IF($AH1525=1,IFERROR(VALUE(MID($D1525,2,20)),1000000000)+ROW()/10000000,"")</f>
        <v/>
      </c>
    </row>
    <row r="1526" customFormat="false" ht="15" hidden="false" customHeight="false" outlineLevel="0" collapsed="false">
      <c r="F1526" s="15"/>
      <c r="N1526" s="16" t="str">
        <f aca="false">IF($D1526="","",M1526*Y1526/100)</f>
        <v/>
      </c>
      <c r="V1526" s="16" t="str">
        <f aca="false">IF($D1526="","",Y1526*AB1526/100)</f>
        <v/>
      </c>
      <c r="W1526" s="16" t="str">
        <f aca="false">IF($D1526="","",Y1526-V1526)</f>
        <v/>
      </c>
      <c r="X1526" s="16" t="str">
        <f aca="false">IF($D1526="","",W1526-N1526)</f>
        <v/>
      </c>
      <c r="AB1526" s="17" t="str">
        <f aca="false">IF($D1526="","",IF(OR($R1526=TRUE(),$R1526="TRUE"),Settings!$C$6,Settings!$C$7)*100)</f>
        <v/>
      </c>
      <c r="AH1526" s="18" t="str">
        <f aca="false">IF($D1526="","",IF(COUNTIF($D$2:$D1526,$D1526)=1,1,0))</f>
        <v/>
      </c>
      <c r="AI1526" s="18" t="str">
        <f aca="false">IF($AH1526=1,SUMPRODUCT(--($AK$2:$AK$4001&lt;$AK1526))+1,"")</f>
        <v/>
      </c>
      <c r="AJ1526" s="18" t="str">
        <f aca="false">IF($D1526="","",IF(OR($R1526=TRUE(),$R1526="TRUE"),1,0))</f>
        <v/>
      </c>
      <c r="AK1526" s="18" t="str">
        <f aca="false">IF($AH1526=1,IFERROR(VALUE(MID($D1526,2,20)),1000000000)+ROW()/10000000,"")</f>
        <v/>
      </c>
    </row>
    <row r="1527" customFormat="false" ht="15" hidden="false" customHeight="false" outlineLevel="0" collapsed="false">
      <c r="F1527" s="15"/>
      <c r="N1527" s="16" t="str">
        <f aca="false">IF($D1527="","",M1527*Y1527/100)</f>
        <v/>
      </c>
      <c r="V1527" s="16" t="str">
        <f aca="false">IF($D1527="","",Y1527*AB1527/100)</f>
        <v/>
      </c>
      <c r="W1527" s="16" t="str">
        <f aca="false">IF($D1527="","",Y1527-V1527)</f>
        <v/>
      </c>
      <c r="X1527" s="16" t="str">
        <f aca="false">IF($D1527="","",W1527-N1527)</f>
        <v/>
      </c>
      <c r="AB1527" s="17" t="str">
        <f aca="false">IF($D1527="","",IF(OR($R1527=TRUE(),$R1527="TRUE"),Settings!$C$6,Settings!$C$7)*100)</f>
        <v/>
      </c>
      <c r="AH1527" s="18" t="str">
        <f aca="false">IF($D1527="","",IF(COUNTIF($D$2:$D1527,$D1527)=1,1,0))</f>
        <v/>
      </c>
      <c r="AI1527" s="18" t="str">
        <f aca="false">IF($AH1527=1,SUMPRODUCT(--($AK$2:$AK$4001&lt;$AK1527))+1,"")</f>
        <v/>
      </c>
      <c r="AJ1527" s="18" t="str">
        <f aca="false">IF($D1527="","",IF(OR($R1527=TRUE(),$R1527="TRUE"),1,0))</f>
        <v/>
      </c>
      <c r="AK1527" s="18" t="str">
        <f aca="false">IF($AH1527=1,IFERROR(VALUE(MID($D1527,2,20)),1000000000)+ROW()/10000000,"")</f>
        <v/>
      </c>
    </row>
    <row r="1528" customFormat="false" ht="15" hidden="false" customHeight="false" outlineLevel="0" collapsed="false">
      <c r="F1528" s="15"/>
      <c r="N1528" s="16" t="str">
        <f aca="false">IF($D1528="","",M1528*Y1528/100)</f>
        <v/>
      </c>
      <c r="V1528" s="16" t="str">
        <f aca="false">IF($D1528="","",Y1528*AB1528/100)</f>
        <v/>
      </c>
      <c r="W1528" s="16" t="str">
        <f aca="false">IF($D1528="","",Y1528-V1528)</f>
        <v/>
      </c>
      <c r="X1528" s="16" t="str">
        <f aca="false">IF($D1528="","",W1528-N1528)</f>
        <v/>
      </c>
      <c r="AB1528" s="17" t="str">
        <f aca="false">IF($D1528="","",IF(OR($R1528=TRUE(),$R1528="TRUE"),Settings!$C$6,Settings!$C$7)*100)</f>
        <v/>
      </c>
      <c r="AH1528" s="18" t="str">
        <f aca="false">IF($D1528="","",IF(COUNTIF($D$2:$D1528,$D1528)=1,1,0))</f>
        <v/>
      </c>
      <c r="AI1528" s="18" t="str">
        <f aca="false">IF($AH1528=1,SUMPRODUCT(--($AK$2:$AK$4001&lt;$AK1528))+1,"")</f>
        <v/>
      </c>
      <c r="AJ1528" s="18" t="str">
        <f aca="false">IF($D1528="","",IF(OR($R1528=TRUE(),$R1528="TRUE"),1,0))</f>
        <v/>
      </c>
      <c r="AK1528" s="18" t="str">
        <f aca="false">IF($AH1528=1,IFERROR(VALUE(MID($D1528,2,20)),1000000000)+ROW()/10000000,"")</f>
        <v/>
      </c>
    </row>
    <row r="1529" customFormat="false" ht="15" hidden="false" customHeight="false" outlineLevel="0" collapsed="false">
      <c r="F1529" s="15"/>
      <c r="N1529" s="16" t="str">
        <f aca="false">IF($D1529="","",M1529*Y1529/100)</f>
        <v/>
      </c>
      <c r="V1529" s="16" t="str">
        <f aca="false">IF($D1529="","",Y1529*AB1529/100)</f>
        <v/>
      </c>
      <c r="W1529" s="16" t="str">
        <f aca="false">IF($D1529="","",Y1529-V1529)</f>
        <v/>
      </c>
      <c r="X1529" s="16" t="str">
        <f aca="false">IF($D1529="","",W1529-N1529)</f>
        <v/>
      </c>
      <c r="AB1529" s="17" t="str">
        <f aca="false">IF($D1529="","",IF(OR($R1529=TRUE(),$R1529="TRUE"),Settings!$C$6,Settings!$C$7)*100)</f>
        <v/>
      </c>
      <c r="AH1529" s="18" t="str">
        <f aca="false">IF($D1529="","",IF(COUNTIF($D$2:$D1529,$D1529)=1,1,0))</f>
        <v/>
      </c>
      <c r="AI1529" s="18" t="str">
        <f aca="false">IF($AH1529=1,SUMPRODUCT(--($AK$2:$AK$4001&lt;$AK1529))+1,"")</f>
        <v/>
      </c>
      <c r="AJ1529" s="18" t="str">
        <f aca="false">IF($D1529="","",IF(OR($R1529=TRUE(),$R1529="TRUE"),1,0))</f>
        <v/>
      </c>
      <c r="AK1529" s="18" t="str">
        <f aca="false">IF($AH1529=1,IFERROR(VALUE(MID($D1529,2,20)),1000000000)+ROW()/10000000,"")</f>
        <v/>
      </c>
    </row>
    <row r="1530" customFormat="false" ht="15" hidden="false" customHeight="false" outlineLevel="0" collapsed="false">
      <c r="F1530" s="15"/>
      <c r="N1530" s="16" t="str">
        <f aca="false">IF($D1530="","",M1530*Y1530/100)</f>
        <v/>
      </c>
      <c r="V1530" s="16" t="str">
        <f aca="false">IF($D1530="","",Y1530*AB1530/100)</f>
        <v/>
      </c>
      <c r="W1530" s="16" t="str">
        <f aca="false">IF($D1530="","",Y1530-V1530)</f>
        <v/>
      </c>
      <c r="X1530" s="16" t="str">
        <f aca="false">IF($D1530="","",W1530-N1530)</f>
        <v/>
      </c>
      <c r="AB1530" s="17" t="str">
        <f aca="false">IF($D1530="","",IF(OR($R1530=TRUE(),$R1530="TRUE"),Settings!$C$6,Settings!$C$7)*100)</f>
        <v/>
      </c>
      <c r="AH1530" s="18" t="str">
        <f aca="false">IF($D1530="","",IF(COUNTIF($D$2:$D1530,$D1530)=1,1,0))</f>
        <v/>
      </c>
      <c r="AI1530" s="18" t="str">
        <f aca="false">IF($AH1530=1,SUMPRODUCT(--($AK$2:$AK$4001&lt;$AK1530))+1,"")</f>
        <v/>
      </c>
      <c r="AJ1530" s="18" t="str">
        <f aca="false">IF($D1530="","",IF(OR($R1530=TRUE(),$R1530="TRUE"),1,0))</f>
        <v/>
      </c>
      <c r="AK1530" s="18" t="str">
        <f aca="false">IF($AH1530=1,IFERROR(VALUE(MID($D1530,2,20)),1000000000)+ROW()/10000000,"")</f>
        <v/>
      </c>
    </row>
    <row r="1531" customFormat="false" ht="15" hidden="false" customHeight="false" outlineLevel="0" collapsed="false">
      <c r="F1531" s="15"/>
      <c r="N1531" s="16" t="str">
        <f aca="false">IF($D1531="","",M1531*Y1531/100)</f>
        <v/>
      </c>
      <c r="V1531" s="16" t="str">
        <f aca="false">IF($D1531="","",Y1531*AB1531/100)</f>
        <v/>
      </c>
      <c r="W1531" s="16" t="str">
        <f aca="false">IF($D1531="","",Y1531-V1531)</f>
        <v/>
      </c>
      <c r="X1531" s="16" t="str">
        <f aca="false">IF($D1531="","",W1531-N1531)</f>
        <v/>
      </c>
      <c r="AB1531" s="17" t="str">
        <f aca="false">IF($D1531="","",IF(OR($R1531=TRUE(),$R1531="TRUE"),Settings!$C$6,Settings!$C$7)*100)</f>
        <v/>
      </c>
      <c r="AH1531" s="18" t="str">
        <f aca="false">IF($D1531="","",IF(COUNTIF($D$2:$D1531,$D1531)=1,1,0))</f>
        <v/>
      </c>
      <c r="AI1531" s="18" t="str">
        <f aca="false">IF($AH1531=1,SUMPRODUCT(--($AK$2:$AK$4001&lt;$AK1531))+1,"")</f>
        <v/>
      </c>
      <c r="AJ1531" s="18" t="str">
        <f aca="false">IF($D1531="","",IF(OR($R1531=TRUE(),$R1531="TRUE"),1,0))</f>
        <v/>
      </c>
      <c r="AK1531" s="18" t="str">
        <f aca="false">IF($AH1531=1,IFERROR(VALUE(MID($D1531,2,20)),1000000000)+ROW()/10000000,"")</f>
        <v/>
      </c>
    </row>
    <row r="1532" customFormat="false" ht="15" hidden="false" customHeight="false" outlineLevel="0" collapsed="false">
      <c r="F1532" s="15"/>
      <c r="N1532" s="16" t="str">
        <f aca="false">IF($D1532="","",M1532*Y1532/100)</f>
        <v/>
      </c>
      <c r="V1532" s="16" t="str">
        <f aca="false">IF($D1532="","",Y1532*AB1532/100)</f>
        <v/>
      </c>
      <c r="W1532" s="16" t="str">
        <f aca="false">IF($D1532="","",Y1532-V1532)</f>
        <v/>
      </c>
      <c r="X1532" s="16" t="str">
        <f aca="false">IF($D1532="","",W1532-N1532)</f>
        <v/>
      </c>
      <c r="AB1532" s="17" t="str">
        <f aca="false">IF($D1532="","",IF(OR($R1532=TRUE(),$R1532="TRUE"),Settings!$C$6,Settings!$C$7)*100)</f>
        <v/>
      </c>
      <c r="AH1532" s="18" t="str">
        <f aca="false">IF($D1532="","",IF(COUNTIF($D$2:$D1532,$D1532)=1,1,0))</f>
        <v/>
      </c>
      <c r="AI1532" s="18" t="str">
        <f aca="false">IF($AH1532=1,SUMPRODUCT(--($AK$2:$AK$4001&lt;$AK1532))+1,"")</f>
        <v/>
      </c>
      <c r="AJ1532" s="18" t="str">
        <f aca="false">IF($D1532="","",IF(OR($R1532=TRUE(),$R1532="TRUE"),1,0))</f>
        <v/>
      </c>
      <c r="AK1532" s="18" t="str">
        <f aca="false">IF($AH1532=1,IFERROR(VALUE(MID($D1532,2,20)),1000000000)+ROW()/10000000,"")</f>
        <v/>
      </c>
    </row>
    <row r="1533" customFormat="false" ht="15" hidden="false" customHeight="false" outlineLevel="0" collapsed="false">
      <c r="F1533" s="15"/>
      <c r="N1533" s="16" t="str">
        <f aca="false">IF($D1533="","",M1533*Y1533/100)</f>
        <v/>
      </c>
      <c r="V1533" s="16" t="str">
        <f aca="false">IF($D1533="","",Y1533*AB1533/100)</f>
        <v/>
      </c>
      <c r="W1533" s="16" t="str">
        <f aca="false">IF($D1533="","",Y1533-V1533)</f>
        <v/>
      </c>
      <c r="X1533" s="16" t="str">
        <f aca="false">IF($D1533="","",W1533-N1533)</f>
        <v/>
      </c>
      <c r="AB1533" s="17" t="str">
        <f aca="false">IF($D1533="","",IF(OR($R1533=TRUE(),$R1533="TRUE"),Settings!$C$6,Settings!$C$7)*100)</f>
        <v/>
      </c>
      <c r="AH1533" s="18" t="str">
        <f aca="false">IF($D1533="","",IF(COUNTIF($D$2:$D1533,$D1533)=1,1,0))</f>
        <v/>
      </c>
      <c r="AI1533" s="18" t="str">
        <f aca="false">IF($AH1533=1,SUMPRODUCT(--($AK$2:$AK$4001&lt;$AK1533))+1,"")</f>
        <v/>
      </c>
      <c r="AJ1533" s="18" t="str">
        <f aca="false">IF($D1533="","",IF(OR($R1533=TRUE(),$R1533="TRUE"),1,0))</f>
        <v/>
      </c>
      <c r="AK1533" s="18" t="str">
        <f aca="false">IF($AH1533=1,IFERROR(VALUE(MID($D1533,2,20)),1000000000)+ROW()/10000000,"")</f>
        <v/>
      </c>
    </row>
    <row r="1534" customFormat="false" ht="15" hidden="false" customHeight="false" outlineLevel="0" collapsed="false">
      <c r="F1534" s="15"/>
      <c r="N1534" s="16" t="str">
        <f aca="false">IF($D1534="","",M1534*Y1534/100)</f>
        <v/>
      </c>
      <c r="V1534" s="16" t="str">
        <f aca="false">IF($D1534="","",Y1534*AB1534/100)</f>
        <v/>
      </c>
      <c r="W1534" s="16" t="str">
        <f aca="false">IF($D1534="","",Y1534-V1534)</f>
        <v/>
      </c>
      <c r="X1534" s="16" t="str">
        <f aca="false">IF($D1534="","",W1534-N1534)</f>
        <v/>
      </c>
      <c r="AB1534" s="17" t="str">
        <f aca="false">IF($D1534="","",IF(OR($R1534=TRUE(),$R1534="TRUE"),Settings!$C$6,Settings!$C$7)*100)</f>
        <v/>
      </c>
      <c r="AH1534" s="18" t="str">
        <f aca="false">IF($D1534="","",IF(COUNTIF($D$2:$D1534,$D1534)=1,1,0))</f>
        <v/>
      </c>
      <c r="AI1534" s="18" t="str">
        <f aca="false">IF($AH1534=1,SUMPRODUCT(--($AK$2:$AK$4001&lt;$AK1534))+1,"")</f>
        <v/>
      </c>
      <c r="AJ1534" s="18" t="str">
        <f aca="false">IF($D1534="","",IF(OR($R1534=TRUE(),$R1534="TRUE"),1,0))</f>
        <v/>
      </c>
      <c r="AK1534" s="18" t="str">
        <f aca="false">IF($AH1534=1,IFERROR(VALUE(MID($D1534,2,20)),1000000000)+ROW()/10000000,"")</f>
        <v/>
      </c>
    </row>
    <row r="1535" customFormat="false" ht="15" hidden="false" customHeight="false" outlineLevel="0" collapsed="false">
      <c r="F1535" s="15"/>
      <c r="N1535" s="16" t="str">
        <f aca="false">IF($D1535="","",M1535*Y1535/100)</f>
        <v/>
      </c>
      <c r="V1535" s="16" t="str">
        <f aca="false">IF($D1535="","",Y1535*AB1535/100)</f>
        <v/>
      </c>
      <c r="W1535" s="16" t="str">
        <f aca="false">IF($D1535="","",Y1535-V1535)</f>
        <v/>
      </c>
      <c r="X1535" s="16" t="str">
        <f aca="false">IF($D1535="","",W1535-N1535)</f>
        <v/>
      </c>
      <c r="AB1535" s="17" t="str">
        <f aca="false">IF($D1535="","",IF(OR($R1535=TRUE(),$R1535="TRUE"),Settings!$C$6,Settings!$C$7)*100)</f>
        <v/>
      </c>
      <c r="AH1535" s="18" t="str">
        <f aca="false">IF($D1535="","",IF(COUNTIF($D$2:$D1535,$D1535)=1,1,0))</f>
        <v/>
      </c>
      <c r="AI1535" s="18" t="str">
        <f aca="false">IF($AH1535=1,SUMPRODUCT(--($AK$2:$AK$4001&lt;$AK1535))+1,"")</f>
        <v/>
      </c>
      <c r="AJ1535" s="18" t="str">
        <f aca="false">IF($D1535="","",IF(OR($R1535=TRUE(),$R1535="TRUE"),1,0))</f>
        <v/>
      </c>
      <c r="AK1535" s="18" t="str">
        <f aca="false">IF($AH1535=1,IFERROR(VALUE(MID($D1535,2,20)),1000000000)+ROW()/10000000,"")</f>
        <v/>
      </c>
    </row>
    <row r="1536" customFormat="false" ht="15" hidden="false" customHeight="false" outlineLevel="0" collapsed="false">
      <c r="F1536" s="15"/>
      <c r="N1536" s="16" t="str">
        <f aca="false">IF($D1536="","",M1536*Y1536/100)</f>
        <v/>
      </c>
      <c r="V1536" s="16" t="str">
        <f aca="false">IF($D1536="","",Y1536*AB1536/100)</f>
        <v/>
      </c>
      <c r="W1536" s="16" t="str">
        <f aca="false">IF($D1536="","",Y1536-V1536)</f>
        <v/>
      </c>
      <c r="X1536" s="16" t="str">
        <f aca="false">IF($D1536="","",W1536-N1536)</f>
        <v/>
      </c>
      <c r="AB1536" s="17" t="str">
        <f aca="false">IF($D1536="","",IF(OR($R1536=TRUE(),$R1536="TRUE"),Settings!$C$6,Settings!$C$7)*100)</f>
        <v/>
      </c>
      <c r="AH1536" s="18" t="str">
        <f aca="false">IF($D1536="","",IF(COUNTIF($D$2:$D1536,$D1536)=1,1,0))</f>
        <v/>
      </c>
      <c r="AI1536" s="18" t="str">
        <f aca="false">IF($AH1536=1,SUMPRODUCT(--($AK$2:$AK$4001&lt;$AK1536))+1,"")</f>
        <v/>
      </c>
      <c r="AJ1536" s="18" t="str">
        <f aca="false">IF($D1536="","",IF(OR($R1536=TRUE(),$R1536="TRUE"),1,0))</f>
        <v/>
      </c>
      <c r="AK1536" s="18" t="str">
        <f aca="false">IF($AH1536=1,IFERROR(VALUE(MID($D1536,2,20)),1000000000)+ROW()/10000000,"")</f>
        <v/>
      </c>
    </row>
    <row r="1537" customFormat="false" ht="15" hidden="false" customHeight="false" outlineLevel="0" collapsed="false">
      <c r="F1537" s="15"/>
      <c r="N1537" s="16" t="str">
        <f aca="false">IF($D1537="","",M1537*Y1537/100)</f>
        <v/>
      </c>
      <c r="V1537" s="16" t="str">
        <f aca="false">IF($D1537="","",Y1537*AB1537/100)</f>
        <v/>
      </c>
      <c r="W1537" s="16" t="str">
        <f aca="false">IF($D1537="","",Y1537-V1537)</f>
        <v/>
      </c>
      <c r="X1537" s="16" t="str">
        <f aca="false">IF($D1537="","",W1537-N1537)</f>
        <v/>
      </c>
      <c r="AB1537" s="17" t="str">
        <f aca="false">IF($D1537="","",IF(OR($R1537=TRUE(),$R1537="TRUE"),Settings!$C$6,Settings!$C$7)*100)</f>
        <v/>
      </c>
      <c r="AH1537" s="18" t="str">
        <f aca="false">IF($D1537="","",IF(COUNTIF($D$2:$D1537,$D1537)=1,1,0))</f>
        <v/>
      </c>
      <c r="AI1537" s="18" t="str">
        <f aca="false">IF($AH1537=1,SUMPRODUCT(--($AK$2:$AK$4001&lt;$AK1537))+1,"")</f>
        <v/>
      </c>
      <c r="AJ1537" s="18" t="str">
        <f aca="false">IF($D1537="","",IF(OR($R1537=TRUE(),$R1537="TRUE"),1,0))</f>
        <v/>
      </c>
      <c r="AK1537" s="18" t="str">
        <f aca="false">IF($AH1537=1,IFERROR(VALUE(MID($D1537,2,20)),1000000000)+ROW()/10000000,"")</f>
        <v/>
      </c>
    </row>
    <row r="1538" customFormat="false" ht="15" hidden="false" customHeight="false" outlineLevel="0" collapsed="false">
      <c r="F1538" s="15"/>
      <c r="N1538" s="16" t="str">
        <f aca="false">IF($D1538="","",M1538*Y1538/100)</f>
        <v/>
      </c>
      <c r="V1538" s="16" t="str">
        <f aca="false">IF($D1538="","",Y1538*AB1538/100)</f>
        <v/>
      </c>
      <c r="W1538" s="16" t="str">
        <f aca="false">IF($D1538="","",Y1538-V1538)</f>
        <v/>
      </c>
      <c r="X1538" s="16" t="str">
        <f aca="false">IF($D1538="","",W1538-N1538)</f>
        <v/>
      </c>
      <c r="AB1538" s="17" t="str">
        <f aca="false">IF($D1538="","",IF(OR($R1538=TRUE(),$R1538="TRUE"),Settings!$C$6,Settings!$C$7)*100)</f>
        <v/>
      </c>
      <c r="AH1538" s="18" t="str">
        <f aca="false">IF($D1538="","",IF(COUNTIF($D$2:$D1538,$D1538)=1,1,0))</f>
        <v/>
      </c>
      <c r="AI1538" s="18" t="str">
        <f aca="false">IF($AH1538=1,SUMPRODUCT(--($AK$2:$AK$4001&lt;$AK1538))+1,"")</f>
        <v/>
      </c>
      <c r="AJ1538" s="18" t="str">
        <f aca="false">IF($D1538="","",IF(OR($R1538=TRUE(),$R1538="TRUE"),1,0))</f>
        <v/>
      </c>
      <c r="AK1538" s="18" t="str">
        <f aca="false">IF($AH1538=1,IFERROR(VALUE(MID($D1538,2,20)),1000000000)+ROW()/10000000,"")</f>
        <v/>
      </c>
    </row>
    <row r="1539" customFormat="false" ht="15" hidden="false" customHeight="false" outlineLevel="0" collapsed="false">
      <c r="F1539" s="15"/>
      <c r="N1539" s="16" t="str">
        <f aca="false">IF($D1539="","",M1539*Y1539/100)</f>
        <v/>
      </c>
      <c r="V1539" s="16" t="str">
        <f aca="false">IF($D1539="","",Y1539*AB1539/100)</f>
        <v/>
      </c>
      <c r="W1539" s="16" t="str">
        <f aca="false">IF($D1539="","",Y1539-V1539)</f>
        <v/>
      </c>
      <c r="X1539" s="16" t="str">
        <f aca="false">IF($D1539="","",W1539-N1539)</f>
        <v/>
      </c>
      <c r="AB1539" s="17" t="str">
        <f aca="false">IF($D1539="","",IF(OR($R1539=TRUE(),$R1539="TRUE"),Settings!$C$6,Settings!$C$7)*100)</f>
        <v/>
      </c>
      <c r="AH1539" s="18" t="str">
        <f aca="false">IF($D1539="","",IF(COUNTIF($D$2:$D1539,$D1539)=1,1,0))</f>
        <v/>
      </c>
      <c r="AI1539" s="18" t="str">
        <f aca="false">IF($AH1539=1,SUMPRODUCT(--($AK$2:$AK$4001&lt;$AK1539))+1,"")</f>
        <v/>
      </c>
      <c r="AJ1539" s="18" t="str">
        <f aca="false">IF($D1539="","",IF(OR($R1539=TRUE(),$R1539="TRUE"),1,0))</f>
        <v/>
      </c>
      <c r="AK1539" s="18" t="str">
        <f aca="false">IF($AH1539=1,IFERROR(VALUE(MID($D1539,2,20)),1000000000)+ROW()/10000000,"")</f>
        <v/>
      </c>
    </row>
    <row r="1540" customFormat="false" ht="15" hidden="false" customHeight="false" outlineLevel="0" collapsed="false">
      <c r="F1540" s="15"/>
      <c r="N1540" s="16" t="str">
        <f aca="false">IF($D1540="","",M1540*Y1540/100)</f>
        <v/>
      </c>
      <c r="V1540" s="16" t="str">
        <f aca="false">IF($D1540="","",Y1540*AB1540/100)</f>
        <v/>
      </c>
      <c r="W1540" s="16" t="str">
        <f aca="false">IF($D1540="","",Y1540-V1540)</f>
        <v/>
      </c>
      <c r="X1540" s="16" t="str">
        <f aca="false">IF($D1540="","",W1540-N1540)</f>
        <v/>
      </c>
      <c r="AB1540" s="17" t="str">
        <f aca="false">IF($D1540="","",IF(OR($R1540=TRUE(),$R1540="TRUE"),Settings!$C$6,Settings!$C$7)*100)</f>
        <v/>
      </c>
      <c r="AH1540" s="18" t="str">
        <f aca="false">IF($D1540="","",IF(COUNTIF($D$2:$D1540,$D1540)=1,1,0))</f>
        <v/>
      </c>
      <c r="AI1540" s="18" t="str">
        <f aca="false">IF($AH1540=1,SUMPRODUCT(--($AK$2:$AK$4001&lt;$AK1540))+1,"")</f>
        <v/>
      </c>
      <c r="AJ1540" s="18" t="str">
        <f aca="false">IF($D1540="","",IF(OR($R1540=TRUE(),$R1540="TRUE"),1,0))</f>
        <v/>
      </c>
      <c r="AK1540" s="18" t="str">
        <f aca="false">IF($AH1540=1,IFERROR(VALUE(MID($D1540,2,20)),1000000000)+ROW()/10000000,"")</f>
        <v/>
      </c>
    </row>
    <row r="1541" customFormat="false" ht="15" hidden="false" customHeight="false" outlineLevel="0" collapsed="false">
      <c r="F1541" s="15"/>
      <c r="N1541" s="16" t="str">
        <f aca="false">IF($D1541="","",M1541*Y1541/100)</f>
        <v/>
      </c>
      <c r="V1541" s="16" t="str">
        <f aca="false">IF($D1541="","",Y1541*AB1541/100)</f>
        <v/>
      </c>
      <c r="W1541" s="16" t="str">
        <f aca="false">IF($D1541="","",Y1541-V1541)</f>
        <v/>
      </c>
      <c r="X1541" s="16" t="str">
        <f aca="false">IF($D1541="","",W1541-N1541)</f>
        <v/>
      </c>
      <c r="AB1541" s="17" t="str">
        <f aca="false">IF($D1541="","",IF(OR($R1541=TRUE(),$R1541="TRUE"),Settings!$C$6,Settings!$C$7)*100)</f>
        <v/>
      </c>
      <c r="AH1541" s="18" t="str">
        <f aca="false">IF($D1541="","",IF(COUNTIF($D$2:$D1541,$D1541)=1,1,0))</f>
        <v/>
      </c>
      <c r="AI1541" s="18" t="str">
        <f aca="false">IF($AH1541=1,SUMPRODUCT(--($AK$2:$AK$4001&lt;$AK1541))+1,"")</f>
        <v/>
      </c>
      <c r="AJ1541" s="18" t="str">
        <f aca="false">IF($D1541="","",IF(OR($R1541=TRUE(),$R1541="TRUE"),1,0))</f>
        <v/>
      </c>
      <c r="AK1541" s="18" t="str">
        <f aca="false">IF($AH1541=1,IFERROR(VALUE(MID($D1541,2,20)),1000000000)+ROW()/10000000,"")</f>
        <v/>
      </c>
    </row>
    <row r="1542" customFormat="false" ht="15" hidden="false" customHeight="false" outlineLevel="0" collapsed="false">
      <c r="F1542" s="15"/>
      <c r="N1542" s="16" t="str">
        <f aca="false">IF($D1542="","",M1542*Y1542/100)</f>
        <v/>
      </c>
      <c r="V1542" s="16" t="str">
        <f aca="false">IF($D1542="","",Y1542*AB1542/100)</f>
        <v/>
      </c>
      <c r="W1542" s="16" t="str">
        <f aca="false">IF($D1542="","",Y1542-V1542)</f>
        <v/>
      </c>
      <c r="X1542" s="16" t="str">
        <f aca="false">IF($D1542="","",W1542-N1542)</f>
        <v/>
      </c>
      <c r="AB1542" s="17" t="str">
        <f aca="false">IF($D1542="","",IF(OR($R1542=TRUE(),$R1542="TRUE"),Settings!$C$6,Settings!$C$7)*100)</f>
        <v/>
      </c>
      <c r="AH1542" s="18" t="str">
        <f aca="false">IF($D1542="","",IF(COUNTIF($D$2:$D1542,$D1542)=1,1,0))</f>
        <v/>
      </c>
      <c r="AI1542" s="18" t="str">
        <f aca="false">IF($AH1542=1,SUMPRODUCT(--($AK$2:$AK$4001&lt;$AK1542))+1,"")</f>
        <v/>
      </c>
      <c r="AJ1542" s="18" t="str">
        <f aca="false">IF($D1542="","",IF(OR($R1542=TRUE(),$R1542="TRUE"),1,0))</f>
        <v/>
      </c>
      <c r="AK1542" s="18" t="str">
        <f aca="false">IF($AH1542=1,IFERROR(VALUE(MID($D1542,2,20)),1000000000)+ROW()/10000000,"")</f>
        <v/>
      </c>
    </row>
    <row r="1543" customFormat="false" ht="15" hidden="false" customHeight="false" outlineLevel="0" collapsed="false">
      <c r="F1543" s="15"/>
      <c r="N1543" s="16" t="str">
        <f aca="false">IF($D1543="","",M1543*Y1543/100)</f>
        <v/>
      </c>
      <c r="V1543" s="16" t="str">
        <f aca="false">IF($D1543="","",Y1543*AB1543/100)</f>
        <v/>
      </c>
      <c r="W1543" s="16" t="str">
        <f aca="false">IF($D1543="","",Y1543-V1543)</f>
        <v/>
      </c>
      <c r="X1543" s="16" t="str">
        <f aca="false">IF($D1543="","",W1543-N1543)</f>
        <v/>
      </c>
      <c r="AB1543" s="17" t="str">
        <f aca="false">IF($D1543="","",IF(OR($R1543=TRUE(),$R1543="TRUE"),Settings!$C$6,Settings!$C$7)*100)</f>
        <v/>
      </c>
      <c r="AH1543" s="18" t="str">
        <f aca="false">IF($D1543="","",IF(COUNTIF($D$2:$D1543,$D1543)=1,1,0))</f>
        <v/>
      </c>
      <c r="AI1543" s="18" t="str">
        <f aca="false">IF($AH1543=1,SUMPRODUCT(--($AK$2:$AK$4001&lt;$AK1543))+1,"")</f>
        <v/>
      </c>
      <c r="AJ1543" s="18" t="str">
        <f aca="false">IF($D1543="","",IF(OR($R1543=TRUE(),$R1543="TRUE"),1,0))</f>
        <v/>
      </c>
      <c r="AK1543" s="18" t="str">
        <f aca="false">IF($AH1543=1,IFERROR(VALUE(MID($D1543,2,20)),1000000000)+ROW()/10000000,"")</f>
        <v/>
      </c>
    </row>
    <row r="1544" customFormat="false" ht="15" hidden="false" customHeight="false" outlineLevel="0" collapsed="false">
      <c r="F1544" s="15"/>
      <c r="N1544" s="16" t="str">
        <f aca="false">IF($D1544="","",M1544*Y1544/100)</f>
        <v/>
      </c>
      <c r="V1544" s="16" t="str">
        <f aca="false">IF($D1544="","",Y1544*AB1544/100)</f>
        <v/>
      </c>
      <c r="W1544" s="16" t="str">
        <f aca="false">IF($D1544="","",Y1544-V1544)</f>
        <v/>
      </c>
      <c r="X1544" s="16" t="str">
        <f aca="false">IF($D1544="","",W1544-N1544)</f>
        <v/>
      </c>
      <c r="AB1544" s="17" t="str">
        <f aca="false">IF($D1544="","",IF(OR($R1544=TRUE(),$R1544="TRUE"),Settings!$C$6,Settings!$C$7)*100)</f>
        <v/>
      </c>
      <c r="AH1544" s="18" t="str">
        <f aca="false">IF($D1544="","",IF(COUNTIF($D$2:$D1544,$D1544)=1,1,0))</f>
        <v/>
      </c>
      <c r="AI1544" s="18" t="str">
        <f aca="false">IF($AH1544=1,SUMPRODUCT(--($AK$2:$AK$4001&lt;$AK1544))+1,"")</f>
        <v/>
      </c>
      <c r="AJ1544" s="18" t="str">
        <f aca="false">IF($D1544="","",IF(OR($R1544=TRUE(),$R1544="TRUE"),1,0))</f>
        <v/>
      </c>
      <c r="AK1544" s="18" t="str">
        <f aca="false">IF($AH1544=1,IFERROR(VALUE(MID($D1544,2,20)),1000000000)+ROW()/10000000,"")</f>
        <v/>
      </c>
    </row>
    <row r="1545" customFormat="false" ht="15" hidden="false" customHeight="false" outlineLevel="0" collapsed="false">
      <c r="F1545" s="15"/>
      <c r="N1545" s="16" t="str">
        <f aca="false">IF($D1545="","",M1545*Y1545/100)</f>
        <v/>
      </c>
      <c r="V1545" s="16" t="str">
        <f aca="false">IF($D1545="","",Y1545*AB1545/100)</f>
        <v/>
      </c>
      <c r="W1545" s="16" t="str">
        <f aca="false">IF($D1545="","",Y1545-V1545)</f>
        <v/>
      </c>
      <c r="X1545" s="16" t="str">
        <f aca="false">IF($D1545="","",W1545-N1545)</f>
        <v/>
      </c>
      <c r="AB1545" s="17" t="str">
        <f aca="false">IF($D1545="","",IF(OR($R1545=TRUE(),$R1545="TRUE"),Settings!$C$6,Settings!$C$7)*100)</f>
        <v/>
      </c>
      <c r="AH1545" s="18" t="str">
        <f aca="false">IF($D1545="","",IF(COUNTIF($D$2:$D1545,$D1545)=1,1,0))</f>
        <v/>
      </c>
      <c r="AI1545" s="18" t="str">
        <f aca="false">IF($AH1545=1,SUMPRODUCT(--($AK$2:$AK$4001&lt;$AK1545))+1,"")</f>
        <v/>
      </c>
      <c r="AJ1545" s="18" t="str">
        <f aca="false">IF($D1545="","",IF(OR($R1545=TRUE(),$R1545="TRUE"),1,0))</f>
        <v/>
      </c>
      <c r="AK1545" s="18" t="str">
        <f aca="false">IF($AH1545=1,IFERROR(VALUE(MID($D1545,2,20)),1000000000)+ROW()/10000000,"")</f>
        <v/>
      </c>
    </row>
    <row r="1546" customFormat="false" ht="15" hidden="false" customHeight="false" outlineLevel="0" collapsed="false">
      <c r="F1546" s="15"/>
      <c r="N1546" s="16" t="str">
        <f aca="false">IF($D1546="","",M1546*Y1546/100)</f>
        <v/>
      </c>
      <c r="V1546" s="16" t="str">
        <f aca="false">IF($D1546="","",Y1546*AB1546/100)</f>
        <v/>
      </c>
      <c r="W1546" s="16" t="str">
        <f aca="false">IF($D1546="","",Y1546-V1546)</f>
        <v/>
      </c>
      <c r="X1546" s="16" t="str">
        <f aca="false">IF($D1546="","",W1546-N1546)</f>
        <v/>
      </c>
      <c r="AB1546" s="17" t="str">
        <f aca="false">IF($D1546="","",IF(OR($R1546=TRUE(),$R1546="TRUE"),Settings!$C$6,Settings!$C$7)*100)</f>
        <v/>
      </c>
      <c r="AH1546" s="18" t="str">
        <f aca="false">IF($D1546="","",IF(COUNTIF($D$2:$D1546,$D1546)=1,1,0))</f>
        <v/>
      </c>
      <c r="AI1546" s="18" t="str">
        <f aca="false">IF($AH1546=1,SUMPRODUCT(--($AK$2:$AK$4001&lt;$AK1546))+1,"")</f>
        <v/>
      </c>
      <c r="AJ1546" s="18" t="str">
        <f aca="false">IF($D1546="","",IF(OR($R1546=TRUE(),$R1546="TRUE"),1,0))</f>
        <v/>
      </c>
      <c r="AK1546" s="18" t="str">
        <f aca="false">IF($AH1546=1,IFERROR(VALUE(MID($D1546,2,20)),1000000000)+ROW()/10000000,"")</f>
        <v/>
      </c>
    </row>
    <row r="1547" customFormat="false" ht="15" hidden="false" customHeight="false" outlineLevel="0" collapsed="false">
      <c r="F1547" s="15"/>
      <c r="N1547" s="16" t="str">
        <f aca="false">IF($D1547="","",M1547*Y1547/100)</f>
        <v/>
      </c>
      <c r="V1547" s="16" t="str">
        <f aca="false">IF($D1547="","",Y1547*AB1547/100)</f>
        <v/>
      </c>
      <c r="W1547" s="16" t="str">
        <f aca="false">IF($D1547="","",Y1547-V1547)</f>
        <v/>
      </c>
      <c r="X1547" s="16" t="str">
        <f aca="false">IF($D1547="","",W1547-N1547)</f>
        <v/>
      </c>
      <c r="AB1547" s="17" t="str">
        <f aca="false">IF($D1547="","",IF(OR($R1547=TRUE(),$R1547="TRUE"),Settings!$C$6,Settings!$C$7)*100)</f>
        <v/>
      </c>
      <c r="AH1547" s="18" t="str">
        <f aca="false">IF($D1547="","",IF(COUNTIF($D$2:$D1547,$D1547)=1,1,0))</f>
        <v/>
      </c>
      <c r="AI1547" s="18" t="str">
        <f aca="false">IF($AH1547=1,SUMPRODUCT(--($AK$2:$AK$4001&lt;$AK1547))+1,"")</f>
        <v/>
      </c>
      <c r="AJ1547" s="18" t="str">
        <f aca="false">IF($D1547="","",IF(OR($R1547=TRUE(),$R1547="TRUE"),1,0))</f>
        <v/>
      </c>
      <c r="AK1547" s="18" t="str">
        <f aca="false">IF($AH1547=1,IFERROR(VALUE(MID($D1547,2,20)),1000000000)+ROW()/10000000,"")</f>
        <v/>
      </c>
    </row>
    <row r="1548" customFormat="false" ht="15" hidden="false" customHeight="false" outlineLevel="0" collapsed="false">
      <c r="F1548" s="15"/>
      <c r="N1548" s="16" t="str">
        <f aca="false">IF($D1548="","",M1548*Y1548/100)</f>
        <v/>
      </c>
      <c r="V1548" s="16" t="str">
        <f aca="false">IF($D1548="","",Y1548*AB1548/100)</f>
        <v/>
      </c>
      <c r="W1548" s="16" t="str">
        <f aca="false">IF($D1548="","",Y1548-V1548)</f>
        <v/>
      </c>
      <c r="X1548" s="16" t="str">
        <f aca="false">IF($D1548="","",W1548-N1548)</f>
        <v/>
      </c>
      <c r="AB1548" s="17" t="str">
        <f aca="false">IF($D1548="","",IF(OR($R1548=TRUE(),$R1548="TRUE"),Settings!$C$6,Settings!$C$7)*100)</f>
        <v/>
      </c>
      <c r="AH1548" s="18" t="str">
        <f aca="false">IF($D1548="","",IF(COUNTIF($D$2:$D1548,$D1548)=1,1,0))</f>
        <v/>
      </c>
      <c r="AI1548" s="18" t="str">
        <f aca="false">IF($AH1548=1,SUMPRODUCT(--($AK$2:$AK$4001&lt;$AK1548))+1,"")</f>
        <v/>
      </c>
      <c r="AJ1548" s="18" t="str">
        <f aca="false">IF($D1548="","",IF(OR($R1548=TRUE(),$R1548="TRUE"),1,0))</f>
        <v/>
      </c>
      <c r="AK1548" s="18" t="str">
        <f aca="false">IF($AH1548=1,IFERROR(VALUE(MID($D1548,2,20)),1000000000)+ROW()/10000000,"")</f>
        <v/>
      </c>
    </row>
    <row r="1549" customFormat="false" ht="15" hidden="false" customHeight="false" outlineLevel="0" collapsed="false">
      <c r="F1549" s="15"/>
      <c r="N1549" s="16" t="str">
        <f aca="false">IF($D1549="","",M1549*Y1549/100)</f>
        <v/>
      </c>
      <c r="V1549" s="16" t="str">
        <f aca="false">IF($D1549="","",Y1549*AB1549/100)</f>
        <v/>
      </c>
      <c r="W1549" s="16" t="str">
        <f aca="false">IF($D1549="","",Y1549-V1549)</f>
        <v/>
      </c>
      <c r="X1549" s="16" t="str">
        <f aca="false">IF($D1549="","",W1549-N1549)</f>
        <v/>
      </c>
      <c r="AB1549" s="17" t="str">
        <f aca="false">IF($D1549="","",IF(OR($R1549=TRUE(),$R1549="TRUE"),Settings!$C$6,Settings!$C$7)*100)</f>
        <v/>
      </c>
      <c r="AH1549" s="18" t="str">
        <f aca="false">IF($D1549="","",IF(COUNTIF($D$2:$D1549,$D1549)=1,1,0))</f>
        <v/>
      </c>
      <c r="AI1549" s="18" t="str">
        <f aca="false">IF($AH1549=1,SUMPRODUCT(--($AK$2:$AK$4001&lt;$AK1549))+1,"")</f>
        <v/>
      </c>
      <c r="AJ1549" s="18" t="str">
        <f aca="false">IF($D1549="","",IF(OR($R1549=TRUE(),$R1549="TRUE"),1,0))</f>
        <v/>
      </c>
      <c r="AK1549" s="18" t="str">
        <f aca="false">IF($AH1549=1,IFERROR(VALUE(MID($D1549,2,20)),1000000000)+ROW()/10000000,"")</f>
        <v/>
      </c>
    </row>
    <row r="1550" customFormat="false" ht="15" hidden="false" customHeight="false" outlineLevel="0" collapsed="false">
      <c r="F1550" s="15"/>
      <c r="N1550" s="16" t="str">
        <f aca="false">IF($D1550="","",M1550*Y1550/100)</f>
        <v/>
      </c>
      <c r="V1550" s="16" t="str">
        <f aca="false">IF($D1550="","",Y1550*AB1550/100)</f>
        <v/>
      </c>
      <c r="W1550" s="16" t="str">
        <f aca="false">IF($D1550="","",Y1550-V1550)</f>
        <v/>
      </c>
      <c r="X1550" s="16" t="str">
        <f aca="false">IF($D1550="","",W1550-N1550)</f>
        <v/>
      </c>
      <c r="AB1550" s="17" t="str">
        <f aca="false">IF($D1550="","",IF(OR($R1550=TRUE(),$R1550="TRUE"),Settings!$C$6,Settings!$C$7)*100)</f>
        <v/>
      </c>
      <c r="AH1550" s="18" t="str">
        <f aca="false">IF($D1550="","",IF(COUNTIF($D$2:$D1550,$D1550)=1,1,0))</f>
        <v/>
      </c>
      <c r="AI1550" s="18" t="str">
        <f aca="false">IF($AH1550=1,SUMPRODUCT(--($AK$2:$AK$4001&lt;$AK1550))+1,"")</f>
        <v/>
      </c>
      <c r="AJ1550" s="18" t="str">
        <f aca="false">IF($D1550="","",IF(OR($R1550=TRUE(),$R1550="TRUE"),1,0))</f>
        <v/>
      </c>
      <c r="AK1550" s="18" t="str">
        <f aca="false">IF($AH1550=1,IFERROR(VALUE(MID($D1550,2,20)),1000000000)+ROW()/10000000,"")</f>
        <v/>
      </c>
    </row>
    <row r="1551" customFormat="false" ht="15" hidden="false" customHeight="false" outlineLevel="0" collapsed="false">
      <c r="F1551" s="15"/>
      <c r="N1551" s="16" t="str">
        <f aca="false">IF($D1551="","",M1551*Y1551/100)</f>
        <v/>
      </c>
      <c r="V1551" s="16" t="str">
        <f aca="false">IF($D1551="","",Y1551*AB1551/100)</f>
        <v/>
      </c>
      <c r="W1551" s="16" t="str">
        <f aca="false">IF($D1551="","",Y1551-V1551)</f>
        <v/>
      </c>
      <c r="X1551" s="16" t="str">
        <f aca="false">IF($D1551="","",W1551-N1551)</f>
        <v/>
      </c>
      <c r="AB1551" s="17" t="str">
        <f aca="false">IF($D1551="","",IF(OR($R1551=TRUE(),$R1551="TRUE"),Settings!$C$6,Settings!$C$7)*100)</f>
        <v/>
      </c>
      <c r="AH1551" s="18" t="str">
        <f aca="false">IF($D1551="","",IF(COUNTIF($D$2:$D1551,$D1551)=1,1,0))</f>
        <v/>
      </c>
      <c r="AI1551" s="18" t="str">
        <f aca="false">IF($AH1551=1,SUMPRODUCT(--($AK$2:$AK$4001&lt;$AK1551))+1,"")</f>
        <v/>
      </c>
      <c r="AJ1551" s="18" t="str">
        <f aca="false">IF($D1551="","",IF(OR($R1551=TRUE(),$R1551="TRUE"),1,0))</f>
        <v/>
      </c>
      <c r="AK1551" s="18" t="str">
        <f aca="false">IF($AH1551=1,IFERROR(VALUE(MID($D1551,2,20)),1000000000)+ROW()/10000000,"")</f>
        <v/>
      </c>
    </row>
    <row r="1552" customFormat="false" ht="15" hidden="false" customHeight="false" outlineLevel="0" collapsed="false">
      <c r="F1552" s="15"/>
      <c r="N1552" s="16" t="str">
        <f aca="false">IF($D1552="","",M1552*Y1552/100)</f>
        <v/>
      </c>
      <c r="V1552" s="16" t="str">
        <f aca="false">IF($D1552="","",Y1552*AB1552/100)</f>
        <v/>
      </c>
      <c r="W1552" s="16" t="str">
        <f aca="false">IF($D1552="","",Y1552-V1552)</f>
        <v/>
      </c>
      <c r="X1552" s="16" t="str">
        <f aca="false">IF($D1552="","",W1552-N1552)</f>
        <v/>
      </c>
      <c r="AB1552" s="17" t="str">
        <f aca="false">IF($D1552="","",IF(OR($R1552=TRUE(),$R1552="TRUE"),Settings!$C$6,Settings!$C$7)*100)</f>
        <v/>
      </c>
      <c r="AH1552" s="18" t="str">
        <f aca="false">IF($D1552="","",IF(COUNTIF($D$2:$D1552,$D1552)=1,1,0))</f>
        <v/>
      </c>
      <c r="AI1552" s="18" t="str">
        <f aca="false">IF($AH1552=1,SUMPRODUCT(--($AK$2:$AK$4001&lt;$AK1552))+1,"")</f>
        <v/>
      </c>
      <c r="AJ1552" s="18" t="str">
        <f aca="false">IF($D1552="","",IF(OR($R1552=TRUE(),$R1552="TRUE"),1,0))</f>
        <v/>
      </c>
      <c r="AK1552" s="18" t="str">
        <f aca="false">IF($AH1552=1,IFERROR(VALUE(MID($D1552,2,20)),1000000000)+ROW()/10000000,"")</f>
        <v/>
      </c>
    </row>
    <row r="1553" customFormat="false" ht="15" hidden="false" customHeight="false" outlineLevel="0" collapsed="false">
      <c r="F1553" s="15"/>
      <c r="N1553" s="16" t="str">
        <f aca="false">IF($D1553="","",M1553*Y1553/100)</f>
        <v/>
      </c>
      <c r="V1553" s="16" t="str">
        <f aca="false">IF($D1553="","",Y1553*AB1553/100)</f>
        <v/>
      </c>
      <c r="W1553" s="16" t="str">
        <f aca="false">IF($D1553="","",Y1553-V1553)</f>
        <v/>
      </c>
      <c r="X1553" s="16" t="str">
        <f aca="false">IF($D1553="","",W1553-N1553)</f>
        <v/>
      </c>
      <c r="AB1553" s="17" t="str">
        <f aca="false">IF($D1553="","",IF(OR($R1553=TRUE(),$R1553="TRUE"),Settings!$C$6,Settings!$C$7)*100)</f>
        <v/>
      </c>
      <c r="AH1553" s="18" t="str">
        <f aca="false">IF($D1553="","",IF(COUNTIF($D$2:$D1553,$D1553)=1,1,0))</f>
        <v/>
      </c>
      <c r="AI1553" s="18" t="str">
        <f aca="false">IF($AH1553=1,SUMPRODUCT(--($AK$2:$AK$4001&lt;$AK1553))+1,"")</f>
        <v/>
      </c>
      <c r="AJ1553" s="18" t="str">
        <f aca="false">IF($D1553="","",IF(OR($R1553=TRUE(),$R1553="TRUE"),1,0))</f>
        <v/>
      </c>
      <c r="AK1553" s="18" t="str">
        <f aca="false">IF($AH1553=1,IFERROR(VALUE(MID($D1553,2,20)),1000000000)+ROW()/10000000,"")</f>
        <v/>
      </c>
    </row>
    <row r="1554" customFormat="false" ht="15" hidden="false" customHeight="false" outlineLevel="0" collapsed="false">
      <c r="F1554" s="15"/>
      <c r="N1554" s="16" t="str">
        <f aca="false">IF($D1554="","",M1554*Y1554/100)</f>
        <v/>
      </c>
      <c r="V1554" s="16" t="str">
        <f aca="false">IF($D1554="","",Y1554*AB1554/100)</f>
        <v/>
      </c>
      <c r="W1554" s="16" t="str">
        <f aca="false">IF($D1554="","",Y1554-V1554)</f>
        <v/>
      </c>
      <c r="X1554" s="16" t="str">
        <f aca="false">IF($D1554="","",W1554-N1554)</f>
        <v/>
      </c>
      <c r="AB1554" s="17" t="str">
        <f aca="false">IF($D1554="","",IF(OR($R1554=TRUE(),$R1554="TRUE"),Settings!$C$6,Settings!$C$7)*100)</f>
        <v/>
      </c>
      <c r="AH1554" s="18" t="str">
        <f aca="false">IF($D1554="","",IF(COUNTIF($D$2:$D1554,$D1554)=1,1,0))</f>
        <v/>
      </c>
      <c r="AI1554" s="18" t="str">
        <f aca="false">IF($AH1554=1,SUMPRODUCT(--($AK$2:$AK$4001&lt;$AK1554))+1,"")</f>
        <v/>
      </c>
      <c r="AJ1554" s="18" t="str">
        <f aca="false">IF($D1554="","",IF(OR($R1554=TRUE(),$R1554="TRUE"),1,0))</f>
        <v/>
      </c>
      <c r="AK1554" s="18" t="str">
        <f aca="false">IF($AH1554=1,IFERROR(VALUE(MID($D1554,2,20)),1000000000)+ROW()/10000000,"")</f>
        <v/>
      </c>
    </row>
    <row r="1555" customFormat="false" ht="15" hidden="false" customHeight="false" outlineLevel="0" collapsed="false">
      <c r="F1555" s="15"/>
      <c r="N1555" s="16" t="str">
        <f aca="false">IF($D1555="","",M1555*Y1555/100)</f>
        <v/>
      </c>
      <c r="V1555" s="16" t="str">
        <f aca="false">IF($D1555="","",Y1555*AB1555/100)</f>
        <v/>
      </c>
      <c r="W1555" s="16" t="str">
        <f aca="false">IF($D1555="","",Y1555-V1555)</f>
        <v/>
      </c>
      <c r="X1555" s="16" t="str">
        <f aca="false">IF($D1555="","",W1555-N1555)</f>
        <v/>
      </c>
      <c r="AB1555" s="17" t="str">
        <f aca="false">IF($D1555="","",IF(OR($R1555=TRUE(),$R1555="TRUE"),Settings!$C$6,Settings!$C$7)*100)</f>
        <v/>
      </c>
      <c r="AH1555" s="18" t="str">
        <f aca="false">IF($D1555="","",IF(COUNTIF($D$2:$D1555,$D1555)=1,1,0))</f>
        <v/>
      </c>
      <c r="AI1555" s="18" t="str">
        <f aca="false">IF($AH1555=1,SUMPRODUCT(--($AK$2:$AK$4001&lt;$AK1555))+1,"")</f>
        <v/>
      </c>
      <c r="AJ1555" s="18" t="str">
        <f aca="false">IF($D1555="","",IF(OR($R1555=TRUE(),$R1555="TRUE"),1,0))</f>
        <v/>
      </c>
      <c r="AK1555" s="18" t="str">
        <f aca="false">IF($AH1555=1,IFERROR(VALUE(MID($D1555,2,20)),1000000000)+ROW()/10000000,"")</f>
        <v/>
      </c>
    </row>
    <row r="1556" customFormat="false" ht="15" hidden="false" customHeight="false" outlineLevel="0" collapsed="false">
      <c r="F1556" s="15"/>
      <c r="N1556" s="16" t="str">
        <f aca="false">IF($D1556="","",M1556*Y1556/100)</f>
        <v/>
      </c>
      <c r="V1556" s="16" t="str">
        <f aca="false">IF($D1556="","",Y1556*AB1556/100)</f>
        <v/>
      </c>
      <c r="W1556" s="16" t="str">
        <f aca="false">IF($D1556="","",Y1556-V1556)</f>
        <v/>
      </c>
      <c r="X1556" s="16" t="str">
        <f aca="false">IF($D1556="","",W1556-N1556)</f>
        <v/>
      </c>
      <c r="AB1556" s="17" t="str">
        <f aca="false">IF($D1556="","",IF(OR($R1556=TRUE(),$R1556="TRUE"),Settings!$C$6,Settings!$C$7)*100)</f>
        <v/>
      </c>
      <c r="AH1556" s="18" t="str">
        <f aca="false">IF($D1556="","",IF(COUNTIF($D$2:$D1556,$D1556)=1,1,0))</f>
        <v/>
      </c>
      <c r="AI1556" s="18" t="str">
        <f aca="false">IF($AH1556=1,SUMPRODUCT(--($AK$2:$AK$4001&lt;$AK1556))+1,"")</f>
        <v/>
      </c>
      <c r="AJ1556" s="18" t="str">
        <f aca="false">IF($D1556="","",IF(OR($R1556=TRUE(),$R1556="TRUE"),1,0))</f>
        <v/>
      </c>
      <c r="AK1556" s="18" t="str">
        <f aca="false">IF($AH1556=1,IFERROR(VALUE(MID($D1556,2,20)),1000000000)+ROW()/10000000,"")</f>
        <v/>
      </c>
    </row>
    <row r="1557" customFormat="false" ht="15" hidden="false" customHeight="false" outlineLevel="0" collapsed="false">
      <c r="F1557" s="15"/>
      <c r="N1557" s="16" t="str">
        <f aca="false">IF($D1557="","",M1557*Y1557/100)</f>
        <v/>
      </c>
      <c r="V1557" s="16" t="str">
        <f aca="false">IF($D1557="","",Y1557*AB1557/100)</f>
        <v/>
      </c>
      <c r="W1557" s="16" t="str">
        <f aca="false">IF($D1557="","",Y1557-V1557)</f>
        <v/>
      </c>
      <c r="X1557" s="16" t="str">
        <f aca="false">IF($D1557="","",W1557-N1557)</f>
        <v/>
      </c>
      <c r="AB1557" s="17" t="str">
        <f aca="false">IF($D1557="","",IF(OR($R1557=TRUE(),$R1557="TRUE"),Settings!$C$6,Settings!$C$7)*100)</f>
        <v/>
      </c>
      <c r="AH1557" s="18" t="str">
        <f aca="false">IF($D1557="","",IF(COUNTIF($D$2:$D1557,$D1557)=1,1,0))</f>
        <v/>
      </c>
      <c r="AI1557" s="18" t="str">
        <f aca="false">IF($AH1557=1,SUMPRODUCT(--($AK$2:$AK$4001&lt;$AK1557))+1,"")</f>
        <v/>
      </c>
      <c r="AJ1557" s="18" t="str">
        <f aca="false">IF($D1557="","",IF(OR($R1557=TRUE(),$R1557="TRUE"),1,0))</f>
        <v/>
      </c>
      <c r="AK1557" s="18" t="str">
        <f aca="false">IF($AH1557=1,IFERROR(VALUE(MID($D1557,2,20)),1000000000)+ROW()/10000000,"")</f>
        <v/>
      </c>
    </row>
    <row r="1558" customFormat="false" ht="15" hidden="false" customHeight="false" outlineLevel="0" collapsed="false">
      <c r="F1558" s="15"/>
      <c r="N1558" s="16" t="str">
        <f aca="false">IF($D1558="","",M1558*Y1558/100)</f>
        <v/>
      </c>
      <c r="V1558" s="16" t="str">
        <f aca="false">IF($D1558="","",Y1558*AB1558/100)</f>
        <v/>
      </c>
      <c r="W1558" s="16" t="str">
        <f aca="false">IF($D1558="","",Y1558-V1558)</f>
        <v/>
      </c>
      <c r="X1558" s="16" t="str">
        <f aca="false">IF($D1558="","",W1558-N1558)</f>
        <v/>
      </c>
      <c r="AB1558" s="17" t="str">
        <f aca="false">IF($D1558="","",IF(OR($R1558=TRUE(),$R1558="TRUE"),Settings!$C$6,Settings!$C$7)*100)</f>
        <v/>
      </c>
      <c r="AH1558" s="18" t="str">
        <f aca="false">IF($D1558="","",IF(COUNTIF($D$2:$D1558,$D1558)=1,1,0))</f>
        <v/>
      </c>
      <c r="AI1558" s="18" t="str">
        <f aca="false">IF($AH1558=1,SUMPRODUCT(--($AK$2:$AK$4001&lt;$AK1558))+1,"")</f>
        <v/>
      </c>
      <c r="AJ1558" s="18" t="str">
        <f aca="false">IF($D1558="","",IF(OR($R1558=TRUE(),$R1558="TRUE"),1,0))</f>
        <v/>
      </c>
      <c r="AK1558" s="18" t="str">
        <f aca="false">IF($AH1558=1,IFERROR(VALUE(MID($D1558,2,20)),1000000000)+ROW()/10000000,"")</f>
        <v/>
      </c>
    </row>
    <row r="1559" customFormat="false" ht="15" hidden="false" customHeight="false" outlineLevel="0" collapsed="false">
      <c r="F1559" s="15"/>
      <c r="N1559" s="16" t="str">
        <f aca="false">IF($D1559="","",M1559*Y1559/100)</f>
        <v/>
      </c>
      <c r="V1559" s="16" t="str">
        <f aca="false">IF($D1559="","",Y1559*AB1559/100)</f>
        <v/>
      </c>
      <c r="W1559" s="16" t="str">
        <f aca="false">IF($D1559="","",Y1559-V1559)</f>
        <v/>
      </c>
      <c r="X1559" s="16" t="str">
        <f aca="false">IF($D1559="","",W1559-N1559)</f>
        <v/>
      </c>
      <c r="AB1559" s="17" t="str">
        <f aca="false">IF($D1559="","",IF(OR($R1559=TRUE(),$R1559="TRUE"),Settings!$C$6,Settings!$C$7)*100)</f>
        <v/>
      </c>
      <c r="AH1559" s="18" t="str">
        <f aca="false">IF($D1559="","",IF(COUNTIF($D$2:$D1559,$D1559)=1,1,0))</f>
        <v/>
      </c>
      <c r="AI1559" s="18" t="str">
        <f aca="false">IF($AH1559=1,SUMPRODUCT(--($AK$2:$AK$4001&lt;$AK1559))+1,"")</f>
        <v/>
      </c>
      <c r="AJ1559" s="18" t="str">
        <f aca="false">IF($D1559="","",IF(OR($R1559=TRUE(),$R1559="TRUE"),1,0))</f>
        <v/>
      </c>
      <c r="AK1559" s="18" t="str">
        <f aca="false">IF($AH1559=1,IFERROR(VALUE(MID($D1559,2,20)),1000000000)+ROW()/10000000,"")</f>
        <v/>
      </c>
    </row>
    <row r="1560" customFormat="false" ht="15" hidden="false" customHeight="false" outlineLevel="0" collapsed="false">
      <c r="F1560" s="15"/>
      <c r="N1560" s="16" t="str">
        <f aca="false">IF($D1560="","",M1560*Y1560/100)</f>
        <v/>
      </c>
      <c r="V1560" s="16" t="str">
        <f aca="false">IF($D1560="","",Y1560*AB1560/100)</f>
        <v/>
      </c>
      <c r="W1560" s="16" t="str">
        <f aca="false">IF($D1560="","",Y1560-V1560)</f>
        <v/>
      </c>
      <c r="X1560" s="16" t="str">
        <f aca="false">IF($D1560="","",W1560-N1560)</f>
        <v/>
      </c>
      <c r="AB1560" s="17" t="str">
        <f aca="false">IF($D1560="","",IF(OR($R1560=TRUE(),$R1560="TRUE"),Settings!$C$6,Settings!$C$7)*100)</f>
        <v/>
      </c>
      <c r="AH1560" s="18" t="str">
        <f aca="false">IF($D1560="","",IF(COUNTIF($D$2:$D1560,$D1560)=1,1,0))</f>
        <v/>
      </c>
      <c r="AI1560" s="18" t="str">
        <f aca="false">IF($AH1560=1,SUMPRODUCT(--($AK$2:$AK$4001&lt;$AK1560))+1,"")</f>
        <v/>
      </c>
      <c r="AJ1560" s="18" t="str">
        <f aca="false">IF($D1560="","",IF(OR($R1560=TRUE(),$R1560="TRUE"),1,0))</f>
        <v/>
      </c>
      <c r="AK1560" s="18" t="str">
        <f aca="false">IF($AH1560=1,IFERROR(VALUE(MID($D1560,2,20)),1000000000)+ROW()/10000000,"")</f>
        <v/>
      </c>
    </row>
    <row r="1561" customFormat="false" ht="15" hidden="false" customHeight="false" outlineLevel="0" collapsed="false">
      <c r="F1561" s="15"/>
      <c r="N1561" s="16" t="str">
        <f aca="false">IF($D1561="","",M1561*Y1561/100)</f>
        <v/>
      </c>
      <c r="V1561" s="16" t="str">
        <f aca="false">IF($D1561="","",Y1561*AB1561/100)</f>
        <v/>
      </c>
      <c r="W1561" s="16" t="str">
        <f aca="false">IF($D1561="","",Y1561-V1561)</f>
        <v/>
      </c>
      <c r="X1561" s="16" t="str">
        <f aca="false">IF($D1561="","",W1561-N1561)</f>
        <v/>
      </c>
      <c r="AB1561" s="17" t="str">
        <f aca="false">IF($D1561="","",IF(OR($R1561=TRUE(),$R1561="TRUE"),Settings!$C$6,Settings!$C$7)*100)</f>
        <v/>
      </c>
      <c r="AH1561" s="18" t="str">
        <f aca="false">IF($D1561="","",IF(COUNTIF($D$2:$D1561,$D1561)=1,1,0))</f>
        <v/>
      </c>
      <c r="AI1561" s="18" t="str">
        <f aca="false">IF($AH1561=1,SUMPRODUCT(--($AK$2:$AK$4001&lt;$AK1561))+1,"")</f>
        <v/>
      </c>
      <c r="AJ1561" s="18" t="str">
        <f aca="false">IF($D1561="","",IF(OR($R1561=TRUE(),$R1561="TRUE"),1,0))</f>
        <v/>
      </c>
      <c r="AK1561" s="18" t="str">
        <f aca="false">IF($AH1561=1,IFERROR(VALUE(MID($D1561,2,20)),1000000000)+ROW()/10000000,"")</f>
        <v/>
      </c>
    </row>
    <row r="1562" customFormat="false" ht="15" hidden="false" customHeight="false" outlineLevel="0" collapsed="false">
      <c r="F1562" s="15"/>
      <c r="N1562" s="16" t="str">
        <f aca="false">IF($D1562="","",M1562*Y1562/100)</f>
        <v/>
      </c>
      <c r="V1562" s="16" t="str">
        <f aca="false">IF($D1562="","",Y1562*AB1562/100)</f>
        <v/>
      </c>
      <c r="W1562" s="16" t="str">
        <f aca="false">IF($D1562="","",Y1562-V1562)</f>
        <v/>
      </c>
      <c r="X1562" s="16" t="str">
        <f aca="false">IF($D1562="","",W1562-N1562)</f>
        <v/>
      </c>
      <c r="AB1562" s="17" t="str">
        <f aca="false">IF($D1562="","",IF(OR($R1562=TRUE(),$R1562="TRUE"),Settings!$C$6,Settings!$C$7)*100)</f>
        <v/>
      </c>
      <c r="AH1562" s="18" t="str">
        <f aca="false">IF($D1562="","",IF(COUNTIF($D$2:$D1562,$D1562)=1,1,0))</f>
        <v/>
      </c>
      <c r="AI1562" s="18" t="str">
        <f aca="false">IF($AH1562=1,SUMPRODUCT(--($AK$2:$AK$4001&lt;$AK1562))+1,"")</f>
        <v/>
      </c>
      <c r="AJ1562" s="18" t="str">
        <f aca="false">IF($D1562="","",IF(OR($R1562=TRUE(),$R1562="TRUE"),1,0))</f>
        <v/>
      </c>
      <c r="AK1562" s="18" t="str">
        <f aca="false">IF($AH1562=1,IFERROR(VALUE(MID($D1562,2,20)),1000000000)+ROW()/10000000,"")</f>
        <v/>
      </c>
    </row>
    <row r="1563" customFormat="false" ht="15" hidden="false" customHeight="false" outlineLevel="0" collapsed="false">
      <c r="F1563" s="15"/>
      <c r="N1563" s="16" t="str">
        <f aca="false">IF($D1563="","",M1563*Y1563/100)</f>
        <v/>
      </c>
      <c r="V1563" s="16" t="str">
        <f aca="false">IF($D1563="","",Y1563*AB1563/100)</f>
        <v/>
      </c>
      <c r="W1563" s="16" t="str">
        <f aca="false">IF($D1563="","",Y1563-V1563)</f>
        <v/>
      </c>
      <c r="X1563" s="16" t="str">
        <f aca="false">IF($D1563="","",W1563-N1563)</f>
        <v/>
      </c>
      <c r="AB1563" s="17" t="str">
        <f aca="false">IF($D1563="","",IF(OR($R1563=TRUE(),$R1563="TRUE"),Settings!$C$6,Settings!$C$7)*100)</f>
        <v/>
      </c>
      <c r="AH1563" s="18" t="str">
        <f aca="false">IF($D1563="","",IF(COUNTIF($D$2:$D1563,$D1563)=1,1,0))</f>
        <v/>
      </c>
      <c r="AI1563" s="18" t="str">
        <f aca="false">IF($AH1563=1,SUMPRODUCT(--($AK$2:$AK$4001&lt;$AK1563))+1,"")</f>
        <v/>
      </c>
      <c r="AJ1563" s="18" t="str">
        <f aca="false">IF($D1563="","",IF(OR($R1563=TRUE(),$R1563="TRUE"),1,0))</f>
        <v/>
      </c>
      <c r="AK1563" s="18" t="str">
        <f aca="false">IF($AH1563=1,IFERROR(VALUE(MID($D1563,2,20)),1000000000)+ROW()/10000000,"")</f>
        <v/>
      </c>
    </row>
    <row r="1564" customFormat="false" ht="15" hidden="false" customHeight="false" outlineLevel="0" collapsed="false">
      <c r="F1564" s="15"/>
      <c r="N1564" s="16" t="str">
        <f aca="false">IF($D1564="","",M1564*Y1564/100)</f>
        <v/>
      </c>
      <c r="V1564" s="16" t="str">
        <f aca="false">IF($D1564="","",Y1564*AB1564/100)</f>
        <v/>
      </c>
      <c r="W1564" s="16" t="str">
        <f aca="false">IF($D1564="","",Y1564-V1564)</f>
        <v/>
      </c>
      <c r="X1564" s="16" t="str">
        <f aca="false">IF($D1564="","",W1564-N1564)</f>
        <v/>
      </c>
      <c r="AB1564" s="17" t="str">
        <f aca="false">IF($D1564="","",IF(OR($R1564=TRUE(),$R1564="TRUE"),Settings!$C$6,Settings!$C$7)*100)</f>
        <v/>
      </c>
      <c r="AH1564" s="18" t="str">
        <f aca="false">IF($D1564="","",IF(COUNTIF($D$2:$D1564,$D1564)=1,1,0))</f>
        <v/>
      </c>
      <c r="AI1564" s="18" t="str">
        <f aca="false">IF($AH1564=1,SUMPRODUCT(--($AK$2:$AK$4001&lt;$AK1564))+1,"")</f>
        <v/>
      </c>
      <c r="AJ1564" s="18" t="str">
        <f aca="false">IF($D1564="","",IF(OR($R1564=TRUE(),$R1564="TRUE"),1,0))</f>
        <v/>
      </c>
      <c r="AK1564" s="18" t="str">
        <f aca="false">IF($AH1564=1,IFERROR(VALUE(MID($D1564,2,20)),1000000000)+ROW()/10000000,"")</f>
        <v/>
      </c>
    </row>
    <row r="1565" customFormat="false" ht="15" hidden="false" customHeight="false" outlineLevel="0" collapsed="false">
      <c r="F1565" s="15"/>
      <c r="N1565" s="16" t="str">
        <f aca="false">IF($D1565="","",M1565*Y1565/100)</f>
        <v/>
      </c>
      <c r="V1565" s="16" t="str">
        <f aca="false">IF($D1565="","",Y1565*AB1565/100)</f>
        <v/>
      </c>
      <c r="W1565" s="16" t="str">
        <f aca="false">IF($D1565="","",Y1565-V1565)</f>
        <v/>
      </c>
      <c r="X1565" s="16" t="str">
        <f aca="false">IF($D1565="","",W1565-N1565)</f>
        <v/>
      </c>
      <c r="AB1565" s="17" t="str">
        <f aca="false">IF($D1565="","",IF(OR($R1565=TRUE(),$R1565="TRUE"),Settings!$C$6,Settings!$C$7)*100)</f>
        <v/>
      </c>
      <c r="AH1565" s="18" t="str">
        <f aca="false">IF($D1565="","",IF(COUNTIF($D$2:$D1565,$D1565)=1,1,0))</f>
        <v/>
      </c>
      <c r="AI1565" s="18" t="str">
        <f aca="false">IF($AH1565=1,SUMPRODUCT(--($AK$2:$AK$4001&lt;$AK1565))+1,"")</f>
        <v/>
      </c>
      <c r="AJ1565" s="18" t="str">
        <f aca="false">IF($D1565="","",IF(OR($R1565=TRUE(),$R1565="TRUE"),1,0))</f>
        <v/>
      </c>
      <c r="AK1565" s="18" t="str">
        <f aca="false">IF($AH1565=1,IFERROR(VALUE(MID($D1565,2,20)),1000000000)+ROW()/10000000,"")</f>
        <v/>
      </c>
    </row>
    <row r="1566" customFormat="false" ht="15" hidden="false" customHeight="false" outlineLevel="0" collapsed="false">
      <c r="F1566" s="15"/>
      <c r="N1566" s="16" t="str">
        <f aca="false">IF($D1566="","",M1566*Y1566/100)</f>
        <v/>
      </c>
      <c r="V1566" s="16" t="str">
        <f aca="false">IF($D1566="","",Y1566*AB1566/100)</f>
        <v/>
      </c>
      <c r="W1566" s="16" t="str">
        <f aca="false">IF($D1566="","",Y1566-V1566)</f>
        <v/>
      </c>
      <c r="X1566" s="16" t="str">
        <f aca="false">IF($D1566="","",W1566-N1566)</f>
        <v/>
      </c>
      <c r="AB1566" s="17" t="str">
        <f aca="false">IF($D1566="","",IF(OR($R1566=TRUE(),$R1566="TRUE"),Settings!$C$6,Settings!$C$7)*100)</f>
        <v/>
      </c>
      <c r="AH1566" s="18" t="str">
        <f aca="false">IF($D1566="","",IF(COUNTIF($D$2:$D1566,$D1566)=1,1,0))</f>
        <v/>
      </c>
      <c r="AI1566" s="18" t="str">
        <f aca="false">IF($AH1566=1,SUMPRODUCT(--($AK$2:$AK$4001&lt;$AK1566))+1,"")</f>
        <v/>
      </c>
      <c r="AJ1566" s="18" t="str">
        <f aca="false">IF($D1566="","",IF(OR($R1566=TRUE(),$R1566="TRUE"),1,0))</f>
        <v/>
      </c>
      <c r="AK1566" s="18" t="str">
        <f aca="false">IF($AH1566=1,IFERROR(VALUE(MID($D1566,2,20)),1000000000)+ROW()/10000000,"")</f>
        <v/>
      </c>
    </row>
    <row r="1567" customFormat="false" ht="15" hidden="false" customHeight="false" outlineLevel="0" collapsed="false">
      <c r="F1567" s="15"/>
      <c r="N1567" s="16" t="str">
        <f aca="false">IF($D1567="","",M1567*Y1567/100)</f>
        <v/>
      </c>
      <c r="V1567" s="16" t="str">
        <f aca="false">IF($D1567="","",Y1567*AB1567/100)</f>
        <v/>
      </c>
      <c r="W1567" s="16" t="str">
        <f aca="false">IF($D1567="","",Y1567-V1567)</f>
        <v/>
      </c>
      <c r="X1567" s="16" t="str">
        <f aca="false">IF($D1567="","",W1567-N1567)</f>
        <v/>
      </c>
      <c r="AB1567" s="17" t="str">
        <f aca="false">IF($D1567="","",IF(OR($R1567=TRUE(),$R1567="TRUE"),Settings!$C$6,Settings!$C$7)*100)</f>
        <v/>
      </c>
      <c r="AH1567" s="18" t="str">
        <f aca="false">IF($D1567="","",IF(COUNTIF($D$2:$D1567,$D1567)=1,1,0))</f>
        <v/>
      </c>
      <c r="AI1567" s="18" t="str">
        <f aca="false">IF($AH1567=1,SUMPRODUCT(--($AK$2:$AK$4001&lt;$AK1567))+1,"")</f>
        <v/>
      </c>
      <c r="AJ1567" s="18" t="str">
        <f aca="false">IF($D1567="","",IF(OR($R1567=TRUE(),$R1567="TRUE"),1,0))</f>
        <v/>
      </c>
      <c r="AK1567" s="18" t="str">
        <f aca="false">IF($AH1567=1,IFERROR(VALUE(MID($D1567,2,20)),1000000000)+ROW()/10000000,"")</f>
        <v/>
      </c>
    </row>
    <row r="1568" customFormat="false" ht="15" hidden="false" customHeight="false" outlineLevel="0" collapsed="false">
      <c r="F1568" s="15"/>
      <c r="N1568" s="16" t="str">
        <f aca="false">IF($D1568="","",M1568*Y1568/100)</f>
        <v/>
      </c>
      <c r="V1568" s="16" t="str">
        <f aca="false">IF($D1568="","",Y1568*AB1568/100)</f>
        <v/>
      </c>
      <c r="W1568" s="16" t="str">
        <f aca="false">IF($D1568="","",Y1568-V1568)</f>
        <v/>
      </c>
      <c r="X1568" s="16" t="str">
        <f aca="false">IF($D1568="","",W1568-N1568)</f>
        <v/>
      </c>
      <c r="AB1568" s="17" t="str">
        <f aca="false">IF($D1568="","",IF(OR($R1568=TRUE(),$R1568="TRUE"),Settings!$C$6,Settings!$C$7)*100)</f>
        <v/>
      </c>
      <c r="AH1568" s="18" t="str">
        <f aca="false">IF($D1568="","",IF(COUNTIF($D$2:$D1568,$D1568)=1,1,0))</f>
        <v/>
      </c>
      <c r="AI1568" s="18" t="str">
        <f aca="false">IF($AH1568=1,SUMPRODUCT(--($AK$2:$AK$4001&lt;$AK1568))+1,"")</f>
        <v/>
      </c>
      <c r="AJ1568" s="18" t="str">
        <f aca="false">IF($D1568="","",IF(OR($R1568=TRUE(),$R1568="TRUE"),1,0))</f>
        <v/>
      </c>
      <c r="AK1568" s="18" t="str">
        <f aca="false">IF($AH1568=1,IFERROR(VALUE(MID($D1568,2,20)),1000000000)+ROW()/10000000,"")</f>
        <v/>
      </c>
    </row>
    <row r="1569" customFormat="false" ht="15" hidden="false" customHeight="false" outlineLevel="0" collapsed="false">
      <c r="F1569" s="15"/>
      <c r="N1569" s="16" t="str">
        <f aca="false">IF($D1569="","",M1569*Y1569/100)</f>
        <v/>
      </c>
      <c r="V1569" s="16" t="str">
        <f aca="false">IF($D1569="","",Y1569*AB1569/100)</f>
        <v/>
      </c>
      <c r="W1569" s="16" t="str">
        <f aca="false">IF($D1569="","",Y1569-V1569)</f>
        <v/>
      </c>
      <c r="X1569" s="16" t="str">
        <f aca="false">IF($D1569="","",W1569-N1569)</f>
        <v/>
      </c>
      <c r="AB1569" s="17" t="str">
        <f aca="false">IF($D1569="","",IF(OR($R1569=TRUE(),$R1569="TRUE"),Settings!$C$6,Settings!$C$7)*100)</f>
        <v/>
      </c>
      <c r="AH1569" s="18" t="str">
        <f aca="false">IF($D1569="","",IF(COUNTIF($D$2:$D1569,$D1569)=1,1,0))</f>
        <v/>
      </c>
      <c r="AI1569" s="18" t="str">
        <f aca="false">IF($AH1569=1,SUMPRODUCT(--($AK$2:$AK$4001&lt;$AK1569))+1,"")</f>
        <v/>
      </c>
      <c r="AJ1569" s="18" t="str">
        <f aca="false">IF($D1569="","",IF(OR($R1569=TRUE(),$R1569="TRUE"),1,0))</f>
        <v/>
      </c>
      <c r="AK1569" s="18" t="str">
        <f aca="false">IF($AH1569=1,IFERROR(VALUE(MID($D1569,2,20)),1000000000)+ROW()/10000000,"")</f>
        <v/>
      </c>
    </row>
    <row r="1570" customFormat="false" ht="15" hidden="false" customHeight="false" outlineLevel="0" collapsed="false">
      <c r="F1570" s="15"/>
      <c r="N1570" s="16" t="str">
        <f aca="false">IF($D1570="","",M1570*Y1570/100)</f>
        <v/>
      </c>
      <c r="V1570" s="16" t="str">
        <f aca="false">IF($D1570="","",Y1570*AB1570/100)</f>
        <v/>
      </c>
      <c r="W1570" s="16" t="str">
        <f aca="false">IF($D1570="","",Y1570-V1570)</f>
        <v/>
      </c>
      <c r="X1570" s="16" t="str">
        <f aca="false">IF($D1570="","",W1570-N1570)</f>
        <v/>
      </c>
      <c r="AB1570" s="17" t="str">
        <f aca="false">IF($D1570="","",IF(OR($R1570=TRUE(),$R1570="TRUE"),Settings!$C$6,Settings!$C$7)*100)</f>
        <v/>
      </c>
      <c r="AH1570" s="18" t="str">
        <f aca="false">IF($D1570="","",IF(COUNTIF($D$2:$D1570,$D1570)=1,1,0))</f>
        <v/>
      </c>
      <c r="AI1570" s="18" t="str">
        <f aca="false">IF($AH1570=1,SUMPRODUCT(--($AK$2:$AK$4001&lt;$AK1570))+1,"")</f>
        <v/>
      </c>
      <c r="AJ1570" s="18" t="str">
        <f aca="false">IF($D1570="","",IF(OR($R1570=TRUE(),$R1570="TRUE"),1,0))</f>
        <v/>
      </c>
      <c r="AK1570" s="18" t="str">
        <f aca="false">IF($AH1570=1,IFERROR(VALUE(MID($D1570,2,20)),1000000000)+ROW()/10000000,"")</f>
        <v/>
      </c>
    </row>
    <row r="1571" customFormat="false" ht="15" hidden="false" customHeight="false" outlineLevel="0" collapsed="false">
      <c r="F1571" s="15"/>
      <c r="N1571" s="16" t="str">
        <f aca="false">IF($D1571="","",M1571*Y1571/100)</f>
        <v/>
      </c>
      <c r="V1571" s="16" t="str">
        <f aca="false">IF($D1571="","",Y1571*AB1571/100)</f>
        <v/>
      </c>
      <c r="W1571" s="16" t="str">
        <f aca="false">IF($D1571="","",Y1571-V1571)</f>
        <v/>
      </c>
      <c r="X1571" s="16" t="str">
        <f aca="false">IF($D1571="","",W1571-N1571)</f>
        <v/>
      </c>
      <c r="AB1571" s="17" t="str">
        <f aca="false">IF($D1571="","",IF(OR($R1571=TRUE(),$R1571="TRUE"),Settings!$C$6,Settings!$C$7)*100)</f>
        <v/>
      </c>
      <c r="AH1571" s="18" t="str">
        <f aca="false">IF($D1571="","",IF(COUNTIF($D$2:$D1571,$D1571)=1,1,0))</f>
        <v/>
      </c>
      <c r="AI1571" s="18" t="str">
        <f aca="false">IF($AH1571=1,SUMPRODUCT(--($AK$2:$AK$4001&lt;$AK1571))+1,"")</f>
        <v/>
      </c>
      <c r="AJ1571" s="18" t="str">
        <f aca="false">IF($D1571="","",IF(OR($R1571=TRUE(),$R1571="TRUE"),1,0))</f>
        <v/>
      </c>
      <c r="AK1571" s="18" t="str">
        <f aca="false">IF($AH1571=1,IFERROR(VALUE(MID($D1571,2,20)),1000000000)+ROW()/10000000,"")</f>
        <v/>
      </c>
    </row>
    <row r="1572" customFormat="false" ht="15" hidden="false" customHeight="false" outlineLevel="0" collapsed="false">
      <c r="F1572" s="15"/>
      <c r="N1572" s="16" t="str">
        <f aca="false">IF($D1572="","",M1572*Y1572/100)</f>
        <v/>
      </c>
      <c r="V1572" s="16" t="str">
        <f aca="false">IF($D1572="","",Y1572*AB1572/100)</f>
        <v/>
      </c>
      <c r="W1572" s="16" t="str">
        <f aca="false">IF($D1572="","",Y1572-V1572)</f>
        <v/>
      </c>
      <c r="X1572" s="16" t="str">
        <f aca="false">IF($D1572="","",W1572-N1572)</f>
        <v/>
      </c>
      <c r="AB1572" s="17" t="str">
        <f aca="false">IF($D1572="","",IF(OR($R1572=TRUE(),$R1572="TRUE"),Settings!$C$6,Settings!$C$7)*100)</f>
        <v/>
      </c>
      <c r="AH1572" s="18" t="str">
        <f aca="false">IF($D1572="","",IF(COUNTIF($D$2:$D1572,$D1572)=1,1,0))</f>
        <v/>
      </c>
      <c r="AI1572" s="18" t="str">
        <f aca="false">IF($AH1572=1,SUMPRODUCT(--($AK$2:$AK$4001&lt;$AK1572))+1,"")</f>
        <v/>
      </c>
      <c r="AJ1572" s="18" t="str">
        <f aca="false">IF($D1572="","",IF(OR($R1572=TRUE(),$R1572="TRUE"),1,0))</f>
        <v/>
      </c>
      <c r="AK1572" s="18" t="str">
        <f aca="false">IF($AH1572=1,IFERROR(VALUE(MID($D1572,2,20)),1000000000)+ROW()/10000000,"")</f>
        <v/>
      </c>
    </row>
    <row r="1573" customFormat="false" ht="15" hidden="false" customHeight="false" outlineLevel="0" collapsed="false">
      <c r="F1573" s="15"/>
      <c r="N1573" s="16" t="str">
        <f aca="false">IF($D1573="","",M1573*Y1573/100)</f>
        <v/>
      </c>
      <c r="V1573" s="16" t="str">
        <f aca="false">IF($D1573="","",Y1573*AB1573/100)</f>
        <v/>
      </c>
      <c r="W1573" s="16" t="str">
        <f aca="false">IF($D1573="","",Y1573-V1573)</f>
        <v/>
      </c>
      <c r="X1573" s="16" t="str">
        <f aca="false">IF($D1573="","",W1573-N1573)</f>
        <v/>
      </c>
      <c r="AB1573" s="17" t="str">
        <f aca="false">IF($D1573="","",IF(OR($R1573=TRUE(),$R1573="TRUE"),Settings!$C$6,Settings!$C$7)*100)</f>
        <v/>
      </c>
      <c r="AH1573" s="18" t="str">
        <f aca="false">IF($D1573="","",IF(COUNTIF($D$2:$D1573,$D1573)=1,1,0))</f>
        <v/>
      </c>
      <c r="AI1573" s="18" t="str">
        <f aca="false">IF($AH1573=1,SUMPRODUCT(--($AK$2:$AK$4001&lt;$AK1573))+1,"")</f>
        <v/>
      </c>
      <c r="AJ1573" s="18" t="str">
        <f aca="false">IF($D1573="","",IF(OR($R1573=TRUE(),$R1573="TRUE"),1,0))</f>
        <v/>
      </c>
      <c r="AK1573" s="18" t="str">
        <f aca="false">IF($AH1573=1,IFERROR(VALUE(MID($D1573,2,20)),1000000000)+ROW()/10000000,"")</f>
        <v/>
      </c>
    </row>
    <row r="1574" customFormat="false" ht="15" hidden="false" customHeight="false" outlineLevel="0" collapsed="false">
      <c r="F1574" s="15"/>
      <c r="N1574" s="16" t="str">
        <f aca="false">IF($D1574="","",M1574*Y1574/100)</f>
        <v/>
      </c>
      <c r="V1574" s="16" t="str">
        <f aca="false">IF($D1574="","",Y1574*AB1574/100)</f>
        <v/>
      </c>
      <c r="W1574" s="16" t="str">
        <f aca="false">IF($D1574="","",Y1574-V1574)</f>
        <v/>
      </c>
      <c r="X1574" s="16" t="str">
        <f aca="false">IF($D1574="","",W1574-N1574)</f>
        <v/>
      </c>
      <c r="AB1574" s="17" t="str">
        <f aca="false">IF($D1574="","",IF(OR($R1574=TRUE(),$R1574="TRUE"),Settings!$C$6,Settings!$C$7)*100)</f>
        <v/>
      </c>
      <c r="AH1574" s="18" t="str">
        <f aca="false">IF($D1574="","",IF(COUNTIF($D$2:$D1574,$D1574)=1,1,0))</f>
        <v/>
      </c>
      <c r="AI1574" s="18" t="str">
        <f aca="false">IF($AH1574=1,SUMPRODUCT(--($AK$2:$AK$4001&lt;$AK1574))+1,"")</f>
        <v/>
      </c>
      <c r="AJ1574" s="18" t="str">
        <f aca="false">IF($D1574="","",IF(OR($R1574=TRUE(),$R1574="TRUE"),1,0))</f>
        <v/>
      </c>
      <c r="AK1574" s="18" t="str">
        <f aca="false">IF($AH1574=1,IFERROR(VALUE(MID($D1574,2,20)),1000000000)+ROW()/10000000,"")</f>
        <v/>
      </c>
    </row>
    <row r="1575" customFormat="false" ht="15" hidden="false" customHeight="false" outlineLevel="0" collapsed="false">
      <c r="F1575" s="15"/>
      <c r="N1575" s="16" t="str">
        <f aca="false">IF($D1575="","",M1575*Y1575/100)</f>
        <v/>
      </c>
      <c r="V1575" s="16" t="str">
        <f aca="false">IF($D1575="","",Y1575*AB1575/100)</f>
        <v/>
      </c>
      <c r="W1575" s="16" t="str">
        <f aca="false">IF($D1575="","",Y1575-V1575)</f>
        <v/>
      </c>
      <c r="X1575" s="16" t="str">
        <f aca="false">IF($D1575="","",W1575-N1575)</f>
        <v/>
      </c>
      <c r="AB1575" s="17" t="str">
        <f aca="false">IF($D1575="","",IF(OR($R1575=TRUE(),$R1575="TRUE"),Settings!$C$6,Settings!$C$7)*100)</f>
        <v/>
      </c>
      <c r="AH1575" s="18" t="str">
        <f aca="false">IF($D1575="","",IF(COUNTIF($D$2:$D1575,$D1575)=1,1,0))</f>
        <v/>
      </c>
      <c r="AI1575" s="18" t="str">
        <f aca="false">IF($AH1575=1,SUMPRODUCT(--($AK$2:$AK$4001&lt;$AK1575))+1,"")</f>
        <v/>
      </c>
      <c r="AJ1575" s="18" t="str">
        <f aca="false">IF($D1575="","",IF(OR($R1575=TRUE(),$R1575="TRUE"),1,0))</f>
        <v/>
      </c>
      <c r="AK1575" s="18" t="str">
        <f aca="false">IF($AH1575=1,IFERROR(VALUE(MID($D1575,2,20)),1000000000)+ROW()/10000000,"")</f>
        <v/>
      </c>
    </row>
    <row r="1576" customFormat="false" ht="15" hidden="false" customHeight="false" outlineLevel="0" collapsed="false">
      <c r="F1576" s="15"/>
      <c r="N1576" s="16" t="str">
        <f aca="false">IF($D1576="","",M1576*Y1576/100)</f>
        <v/>
      </c>
      <c r="V1576" s="16" t="str">
        <f aca="false">IF($D1576="","",Y1576*AB1576/100)</f>
        <v/>
      </c>
      <c r="W1576" s="16" t="str">
        <f aca="false">IF($D1576="","",Y1576-V1576)</f>
        <v/>
      </c>
      <c r="X1576" s="16" t="str">
        <f aca="false">IF($D1576="","",W1576-N1576)</f>
        <v/>
      </c>
      <c r="AB1576" s="17" t="str">
        <f aca="false">IF($D1576="","",IF(OR($R1576=TRUE(),$R1576="TRUE"),Settings!$C$6,Settings!$C$7)*100)</f>
        <v/>
      </c>
      <c r="AH1576" s="18" t="str">
        <f aca="false">IF($D1576="","",IF(COUNTIF($D$2:$D1576,$D1576)=1,1,0))</f>
        <v/>
      </c>
      <c r="AI1576" s="18" t="str">
        <f aca="false">IF($AH1576=1,SUMPRODUCT(--($AK$2:$AK$4001&lt;$AK1576))+1,"")</f>
        <v/>
      </c>
      <c r="AJ1576" s="18" t="str">
        <f aca="false">IF($D1576="","",IF(OR($R1576=TRUE(),$R1576="TRUE"),1,0))</f>
        <v/>
      </c>
      <c r="AK1576" s="18" t="str">
        <f aca="false">IF($AH1576=1,IFERROR(VALUE(MID($D1576,2,20)),1000000000)+ROW()/10000000,"")</f>
        <v/>
      </c>
    </row>
    <row r="1577" customFormat="false" ht="15" hidden="false" customHeight="false" outlineLevel="0" collapsed="false">
      <c r="F1577" s="15"/>
      <c r="N1577" s="16" t="str">
        <f aca="false">IF($D1577="","",M1577*Y1577/100)</f>
        <v/>
      </c>
      <c r="V1577" s="16" t="str">
        <f aca="false">IF($D1577="","",Y1577*AB1577/100)</f>
        <v/>
      </c>
      <c r="W1577" s="16" t="str">
        <f aca="false">IF($D1577="","",Y1577-V1577)</f>
        <v/>
      </c>
      <c r="X1577" s="16" t="str">
        <f aca="false">IF($D1577="","",W1577-N1577)</f>
        <v/>
      </c>
      <c r="AB1577" s="17" t="str">
        <f aca="false">IF($D1577="","",IF(OR($R1577=TRUE(),$R1577="TRUE"),Settings!$C$6,Settings!$C$7)*100)</f>
        <v/>
      </c>
      <c r="AH1577" s="18" t="str">
        <f aca="false">IF($D1577="","",IF(COUNTIF($D$2:$D1577,$D1577)=1,1,0))</f>
        <v/>
      </c>
      <c r="AI1577" s="18" t="str">
        <f aca="false">IF($AH1577=1,SUMPRODUCT(--($AK$2:$AK$4001&lt;$AK1577))+1,"")</f>
        <v/>
      </c>
      <c r="AJ1577" s="18" t="str">
        <f aca="false">IF($D1577="","",IF(OR($R1577=TRUE(),$R1577="TRUE"),1,0))</f>
        <v/>
      </c>
      <c r="AK1577" s="18" t="str">
        <f aca="false">IF($AH1577=1,IFERROR(VALUE(MID($D1577,2,20)),1000000000)+ROW()/10000000,"")</f>
        <v/>
      </c>
    </row>
    <row r="1578" customFormat="false" ht="15" hidden="false" customHeight="false" outlineLevel="0" collapsed="false">
      <c r="F1578" s="15"/>
      <c r="N1578" s="16" t="str">
        <f aca="false">IF($D1578="","",M1578*Y1578/100)</f>
        <v/>
      </c>
      <c r="V1578" s="16" t="str">
        <f aca="false">IF($D1578="","",Y1578*AB1578/100)</f>
        <v/>
      </c>
      <c r="W1578" s="16" t="str">
        <f aca="false">IF($D1578="","",Y1578-V1578)</f>
        <v/>
      </c>
      <c r="X1578" s="16" t="str">
        <f aca="false">IF($D1578="","",W1578-N1578)</f>
        <v/>
      </c>
      <c r="AB1578" s="17" t="str">
        <f aca="false">IF($D1578="","",IF(OR($R1578=TRUE(),$R1578="TRUE"),Settings!$C$6,Settings!$C$7)*100)</f>
        <v/>
      </c>
      <c r="AH1578" s="18" t="str">
        <f aca="false">IF($D1578="","",IF(COUNTIF($D$2:$D1578,$D1578)=1,1,0))</f>
        <v/>
      </c>
      <c r="AI1578" s="18" t="str">
        <f aca="false">IF($AH1578=1,SUMPRODUCT(--($AK$2:$AK$4001&lt;$AK1578))+1,"")</f>
        <v/>
      </c>
      <c r="AJ1578" s="18" t="str">
        <f aca="false">IF($D1578="","",IF(OR($R1578=TRUE(),$R1578="TRUE"),1,0))</f>
        <v/>
      </c>
      <c r="AK1578" s="18" t="str">
        <f aca="false">IF($AH1578=1,IFERROR(VALUE(MID($D1578,2,20)),1000000000)+ROW()/10000000,"")</f>
        <v/>
      </c>
    </row>
    <row r="1579" customFormat="false" ht="15" hidden="false" customHeight="false" outlineLevel="0" collapsed="false">
      <c r="F1579" s="15"/>
      <c r="N1579" s="16" t="str">
        <f aca="false">IF($D1579="","",M1579*Y1579/100)</f>
        <v/>
      </c>
      <c r="V1579" s="16" t="str">
        <f aca="false">IF($D1579="","",Y1579*AB1579/100)</f>
        <v/>
      </c>
      <c r="W1579" s="16" t="str">
        <f aca="false">IF($D1579="","",Y1579-V1579)</f>
        <v/>
      </c>
      <c r="X1579" s="16" t="str">
        <f aca="false">IF($D1579="","",W1579-N1579)</f>
        <v/>
      </c>
      <c r="AB1579" s="17" t="str">
        <f aca="false">IF($D1579="","",IF(OR($R1579=TRUE(),$R1579="TRUE"),Settings!$C$6,Settings!$C$7)*100)</f>
        <v/>
      </c>
      <c r="AH1579" s="18" t="str">
        <f aca="false">IF($D1579="","",IF(COUNTIF($D$2:$D1579,$D1579)=1,1,0))</f>
        <v/>
      </c>
      <c r="AI1579" s="18" t="str">
        <f aca="false">IF($AH1579=1,SUMPRODUCT(--($AK$2:$AK$4001&lt;$AK1579))+1,"")</f>
        <v/>
      </c>
      <c r="AJ1579" s="18" t="str">
        <f aca="false">IF($D1579="","",IF(OR($R1579=TRUE(),$R1579="TRUE"),1,0))</f>
        <v/>
      </c>
      <c r="AK1579" s="18" t="str">
        <f aca="false">IF($AH1579=1,IFERROR(VALUE(MID($D1579,2,20)),1000000000)+ROW()/10000000,"")</f>
        <v/>
      </c>
    </row>
    <row r="1580" customFormat="false" ht="15" hidden="false" customHeight="false" outlineLevel="0" collapsed="false">
      <c r="F1580" s="15"/>
      <c r="N1580" s="16" t="str">
        <f aca="false">IF($D1580="","",M1580*Y1580/100)</f>
        <v/>
      </c>
      <c r="V1580" s="16" t="str">
        <f aca="false">IF($D1580="","",Y1580*AB1580/100)</f>
        <v/>
      </c>
      <c r="W1580" s="16" t="str">
        <f aca="false">IF($D1580="","",Y1580-V1580)</f>
        <v/>
      </c>
      <c r="X1580" s="16" t="str">
        <f aca="false">IF($D1580="","",W1580-N1580)</f>
        <v/>
      </c>
      <c r="AB1580" s="17" t="str">
        <f aca="false">IF($D1580="","",IF(OR($R1580=TRUE(),$R1580="TRUE"),Settings!$C$6,Settings!$C$7)*100)</f>
        <v/>
      </c>
      <c r="AH1580" s="18" t="str">
        <f aca="false">IF($D1580="","",IF(COUNTIF($D$2:$D1580,$D1580)=1,1,0))</f>
        <v/>
      </c>
      <c r="AI1580" s="18" t="str">
        <f aca="false">IF($AH1580=1,SUMPRODUCT(--($AK$2:$AK$4001&lt;$AK1580))+1,"")</f>
        <v/>
      </c>
      <c r="AJ1580" s="18" t="str">
        <f aca="false">IF($D1580="","",IF(OR($R1580=TRUE(),$R1580="TRUE"),1,0))</f>
        <v/>
      </c>
      <c r="AK1580" s="18" t="str">
        <f aca="false">IF($AH1580=1,IFERROR(VALUE(MID($D1580,2,20)),1000000000)+ROW()/10000000,"")</f>
        <v/>
      </c>
    </row>
    <row r="1581" customFormat="false" ht="15" hidden="false" customHeight="false" outlineLevel="0" collapsed="false">
      <c r="F1581" s="15"/>
      <c r="N1581" s="16" t="str">
        <f aca="false">IF($D1581="","",M1581*Y1581/100)</f>
        <v/>
      </c>
      <c r="V1581" s="16" t="str">
        <f aca="false">IF($D1581="","",Y1581*AB1581/100)</f>
        <v/>
      </c>
      <c r="W1581" s="16" t="str">
        <f aca="false">IF($D1581="","",Y1581-V1581)</f>
        <v/>
      </c>
      <c r="X1581" s="16" t="str">
        <f aca="false">IF($D1581="","",W1581-N1581)</f>
        <v/>
      </c>
      <c r="AB1581" s="17" t="str">
        <f aca="false">IF($D1581="","",IF(OR($R1581=TRUE(),$R1581="TRUE"),Settings!$C$6,Settings!$C$7)*100)</f>
        <v/>
      </c>
      <c r="AH1581" s="18" t="str">
        <f aca="false">IF($D1581="","",IF(COUNTIF($D$2:$D1581,$D1581)=1,1,0))</f>
        <v/>
      </c>
      <c r="AI1581" s="18" t="str">
        <f aca="false">IF($AH1581=1,SUMPRODUCT(--($AK$2:$AK$4001&lt;$AK1581))+1,"")</f>
        <v/>
      </c>
      <c r="AJ1581" s="18" t="str">
        <f aca="false">IF($D1581="","",IF(OR($R1581=TRUE(),$R1581="TRUE"),1,0))</f>
        <v/>
      </c>
      <c r="AK1581" s="18" t="str">
        <f aca="false">IF($AH1581=1,IFERROR(VALUE(MID($D1581,2,20)),1000000000)+ROW()/10000000,"")</f>
        <v/>
      </c>
    </row>
    <row r="1582" customFormat="false" ht="15" hidden="false" customHeight="false" outlineLevel="0" collapsed="false">
      <c r="F1582" s="15"/>
      <c r="N1582" s="16" t="str">
        <f aca="false">IF($D1582="","",M1582*Y1582/100)</f>
        <v/>
      </c>
      <c r="V1582" s="16" t="str">
        <f aca="false">IF($D1582="","",Y1582*AB1582/100)</f>
        <v/>
      </c>
      <c r="W1582" s="16" t="str">
        <f aca="false">IF($D1582="","",Y1582-V1582)</f>
        <v/>
      </c>
      <c r="X1582" s="16" t="str">
        <f aca="false">IF($D1582="","",W1582-N1582)</f>
        <v/>
      </c>
      <c r="AB1582" s="17" t="str">
        <f aca="false">IF($D1582="","",IF(OR($R1582=TRUE(),$R1582="TRUE"),Settings!$C$6,Settings!$C$7)*100)</f>
        <v/>
      </c>
      <c r="AH1582" s="18" t="str">
        <f aca="false">IF($D1582="","",IF(COUNTIF($D$2:$D1582,$D1582)=1,1,0))</f>
        <v/>
      </c>
      <c r="AI1582" s="18" t="str">
        <f aca="false">IF($AH1582=1,SUMPRODUCT(--($AK$2:$AK$4001&lt;$AK1582))+1,"")</f>
        <v/>
      </c>
      <c r="AJ1582" s="18" t="str">
        <f aca="false">IF($D1582="","",IF(OR($R1582=TRUE(),$R1582="TRUE"),1,0))</f>
        <v/>
      </c>
      <c r="AK1582" s="18" t="str">
        <f aca="false">IF($AH1582=1,IFERROR(VALUE(MID($D1582,2,20)),1000000000)+ROW()/10000000,"")</f>
        <v/>
      </c>
    </row>
    <row r="1583" customFormat="false" ht="15" hidden="false" customHeight="false" outlineLevel="0" collapsed="false">
      <c r="F1583" s="15"/>
      <c r="N1583" s="16" t="str">
        <f aca="false">IF($D1583="","",M1583*Y1583/100)</f>
        <v/>
      </c>
      <c r="V1583" s="16" t="str">
        <f aca="false">IF($D1583="","",Y1583*AB1583/100)</f>
        <v/>
      </c>
      <c r="W1583" s="16" t="str">
        <f aca="false">IF($D1583="","",Y1583-V1583)</f>
        <v/>
      </c>
      <c r="X1583" s="16" t="str">
        <f aca="false">IF($D1583="","",W1583-N1583)</f>
        <v/>
      </c>
      <c r="AB1583" s="17" t="str">
        <f aca="false">IF($D1583="","",IF(OR($R1583=TRUE(),$R1583="TRUE"),Settings!$C$6,Settings!$C$7)*100)</f>
        <v/>
      </c>
      <c r="AH1583" s="18" t="str">
        <f aca="false">IF($D1583="","",IF(COUNTIF($D$2:$D1583,$D1583)=1,1,0))</f>
        <v/>
      </c>
      <c r="AI1583" s="18" t="str">
        <f aca="false">IF($AH1583=1,SUMPRODUCT(--($AK$2:$AK$4001&lt;$AK1583))+1,"")</f>
        <v/>
      </c>
      <c r="AJ1583" s="18" t="str">
        <f aca="false">IF($D1583="","",IF(OR($R1583=TRUE(),$R1583="TRUE"),1,0))</f>
        <v/>
      </c>
      <c r="AK1583" s="18" t="str">
        <f aca="false">IF($AH1583=1,IFERROR(VALUE(MID($D1583,2,20)),1000000000)+ROW()/10000000,"")</f>
        <v/>
      </c>
    </row>
    <row r="1584" customFormat="false" ht="15" hidden="false" customHeight="false" outlineLevel="0" collapsed="false">
      <c r="F1584" s="15"/>
      <c r="N1584" s="16" t="str">
        <f aca="false">IF($D1584="","",M1584*Y1584/100)</f>
        <v/>
      </c>
      <c r="V1584" s="16" t="str">
        <f aca="false">IF($D1584="","",Y1584*AB1584/100)</f>
        <v/>
      </c>
      <c r="W1584" s="16" t="str">
        <f aca="false">IF($D1584="","",Y1584-V1584)</f>
        <v/>
      </c>
      <c r="X1584" s="16" t="str">
        <f aca="false">IF($D1584="","",W1584-N1584)</f>
        <v/>
      </c>
      <c r="AB1584" s="17" t="str">
        <f aca="false">IF($D1584="","",IF(OR($R1584=TRUE(),$R1584="TRUE"),Settings!$C$6,Settings!$C$7)*100)</f>
        <v/>
      </c>
      <c r="AH1584" s="18" t="str">
        <f aca="false">IF($D1584="","",IF(COUNTIF($D$2:$D1584,$D1584)=1,1,0))</f>
        <v/>
      </c>
      <c r="AI1584" s="18" t="str">
        <f aca="false">IF($AH1584=1,SUMPRODUCT(--($AK$2:$AK$4001&lt;$AK1584))+1,"")</f>
        <v/>
      </c>
      <c r="AJ1584" s="18" t="str">
        <f aca="false">IF($D1584="","",IF(OR($R1584=TRUE(),$R1584="TRUE"),1,0))</f>
        <v/>
      </c>
      <c r="AK1584" s="18" t="str">
        <f aca="false">IF($AH1584=1,IFERROR(VALUE(MID($D1584,2,20)),1000000000)+ROW()/10000000,"")</f>
        <v/>
      </c>
    </row>
    <row r="1585" customFormat="false" ht="15" hidden="false" customHeight="false" outlineLevel="0" collapsed="false">
      <c r="F1585" s="15"/>
      <c r="N1585" s="16" t="str">
        <f aca="false">IF($D1585="","",M1585*Y1585/100)</f>
        <v/>
      </c>
      <c r="V1585" s="16" t="str">
        <f aca="false">IF($D1585="","",Y1585*AB1585/100)</f>
        <v/>
      </c>
      <c r="W1585" s="16" t="str">
        <f aca="false">IF($D1585="","",Y1585-V1585)</f>
        <v/>
      </c>
      <c r="X1585" s="16" t="str">
        <f aca="false">IF($D1585="","",W1585-N1585)</f>
        <v/>
      </c>
      <c r="AB1585" s="17" t="str">
        <f aca="false">IF($D1585="","",IF(OR($R1585=TRUE(),$R1585="TRUE"),Settings!$C$6,Settings!$C$7)*100)</f>
        <v/>
      </c>
      <c r="AH1585" s="18" t="str">
        <f aca="false">IF($D1585="","",IF(COUNTIF($D$2:$D1585,$D1585)=1,1,0))</f>
        <v/>
      </c>
      <c r="AI1585" s="18" t="str">
        <f aca="false">IF($AH1585=1,SUMPRODUCT(--($AK$2:$AK$4001&lt;$AK1585))+1,"")</f>
        <v/>
      </c>
      <c r="AJ1585" s="18" t="str">
        <f aca="false">IF($D1585="","",IF(OR($R1585=TRUE(),$R1585="TRUE"),1,0))</f>
        <v/>
      </c>
      <c r="AK1585" s="18" t="str">
        <f aca="false">IF($AH1585=1,IFERROR(VALUE(MID($D1585,2,20)),1000000000)+ROW()/10000000,"")</f>
        <v/>
      </c>
    </row>
    <row r="1586" customFormat="false" ht="15" hidden="false" customHeight="false" outlineLevel="0" collapsed="false">
      <c r="F1586" s="15"/>
      <c r="N1586" s="16" t="str">
        <f aca="false">IF($D1586="","",M1586*Y1586/100)</f>
        <v/>
      </c>
      <c r="V1586" s="16" t="str">
        <f aca="false">IF($D1586="","",Y1586*AB1586/100)</f>
        <v/>
      </c>
      <c r="W1586" s="16" t="str">
        <f aca="false">IF($D1586="","",Y1586-V1586)</f>
        <v/>
      </c>
      <c r="X1586" s="16" t="str">
        <f aca="false">IF($D1586="","",W1586-N1586)</f>
        <v/>
      </c>
      <c r="AB1586" s="17" t="str">
        <f aca="false">IF($D1586="","",IF(OR($R1586=TRUE(),$R1586="TRUE"),Settings!$C$6,Settings!$C$7)*100)</f>
        <v/>
      </c>
      <c r="AH1586" s="18" t="str">
        <f aca="false">IF($D1586="","",IF(COUNTIF($D$2:$D1586,$D1586)=1,1,0))</f>
        <v/>
      </c>
      <c r="AI1586" s="18" t="str">
        <f aca="false">IF($AH1586=1,SUMPRODUCT(--($AK$2:$AK$4001&lt;$AK1586))+1,"")</f>
        <v/>
      </c>
      <c r="AJ1586" s="18" t="str">
        <f aca="false">IF($D1586="","",IF(OR($R1586=TRUE(),$R1586="TRUE"),1,0))</f>
        <v/>
      </c>
      <c r="AK1586" s="18" t="str">
        <f aca="false">IF($AH1586=1,IFERROR(VALUE(MID($D1586,2,20)),1000000000)+ROW()/10000000,"")</f>
        <v/>
      </c>
    </row>
    <row r="1587" customFormat="false" ht="15" hidden="false" customHeight="false" outlineLevel="0" collapsed="false">
      <c r="F1587" s="15"/>
      <c r="N1587" s="16" t="str">
        <f aca="false">IF($D1587="","",M1587*Y1587/100)</f>
        <v/>
      </c>
      <c r="V1587" s="16" t="str">
        <f aca="false">IF($D1587="","",Y1587*AB1587/100)</f>
        <v/>
      </c>
      <c r="W1587" s="16" t="str">
        <f aca="false">IF($D1587="","",Y1587-V1587)</f>
        <v/>
      </c>
      <c r="X1587" s="16" t="str">
        <f aca="false">IF($D1587="","",W1587-N1587)</f>
        <v/>
      </c>
      <c r="AB1587" s="17" t="str">
        <f aca="false">IF($D1587="","",IF(OR($R1587=TRUE(),$R1587="TRUE"),Settings!$C$6,Settings!$C$7)*100)</f>
        <v/>
      </c>
      <c r="AH1587" s="18" t="str">
        <f aca="false">IF($D1587="","",IF(COUNTIF($D$2:$D1587,$D1587)=1,1,0))</f>
        <v/>
      </c>
      <c r="AI1587" s="18" t="str">
        <f aca="false">IF($AH1587=1,SUMPRODUCT(--($AK$2:$AK$4001&lt;$AK1587))+1,"")</f>
        <v/>
      </c>
      <c r="AJ1587" s="18" t="str">
        <f aca="false">IF($D1587="","",IF(OR($R1587=TRUE(),$R1587="TRUE"),1,0))</f>
        <v/>
      </c>
      <c r="AK1587" s="18" t="str">
        <f aca="false">IF($AH1587=1,IFERROR(VALUE(MID($D1587,2,20)),1000000000)+ROW()/10000000,"")</f>
        <v/>
      </c>
    </row>
    <row r="1588" customFormat="false" ht="15" hidden="false" customHeight="false" outlineLevel="0" collapsed="false">
      <c r="F1588" s="15"/>
      <c r="N1588" s="16" t="str">
        <f aca="false">IF($D1588="","",M1588*Y1588/100)</f>
        <v/>
      </c>
      <c r="V1588" s="16" t="str">
        <f aca="false">IF($D1588="","",Y1588*AB1588/100)</f>
        <v/>
      </c>
      <c r="W1588" s="16" t="str">
        <f aca="false">IF($D1588="","",Y1588-V1588)</f>
        <v/>
      </c>
      <c r="X1588" s="16" t="str">
        <f aca="false">IF($D1588="","",W1588-N1588)</f>
        <v/>
      </c>
      <c r="AB1588" s="17" t="str">
        <f aca="false">IF($D1588="","",IF(OR($R1588=TRUE(),$R1588="TRUE"),Settings!$C$6,Settings!$C$7)*100)</f>
        <v/>
      </c>
      <c r="AH1588" s="18" t="str">
        <f aca="false">IF($D1588="","",IF(COUNTIF($D$2:$D1588,$D1588)=1,1,0))</f>
        <v/>
      </c>
      <c r="AI1588" s="18" t="str">
        <f aca="false">IF($AH1588=1,SUMPRODUCT(--($AK$2:$AK$4001&lt;$AK1588))+1,"")</f>
        <v/>
      </c>
      <c r="AJ1588" s="18" t="str">
        <f aca="false">IF($D1588="","",IF(OR($R1588=TRUE(),$R1588="TRUE"),1,0))</f>
        <v/>
      </c>
      <c r="AK1588" s="18" t="str">
        <f aca="false">IF($AH1588=1,IFERROR(VALUE(MID($D1588,2,20)),1000000000)+ROW()/10000000,"")</f>
        <v/>
      </c>
    </row>
    <row r="1589" customFormat="false" ht="15" hidden="false" customHeight="false" outlineLevel="0" collapsed="false">
      <c r="F1589" s="15"/>
      <c r="N1589" s="16" t="str">
        <f aca="false">IF($D1589="","",M1589*Y1589/100)</f>
        <v/>
      </c>
      <c r="V1589" s="16" t="str">
        <f aca="false">IF($D1589="","",Y1589*AB1589/100)</f>
        <v/>
      </c>
      <c r="W1589" s="16" t="str">
        <f aca="false">IF($D1589="","",Y1589-V1589)</f>
        <v/>
      </c>
      <c r="X1589" s="16" t="str">
        <f aca="false">IF($D1589="","",W1589-N1589)</f>
        <v/>
      </c>
      <c r="AB1589" s="17" t="str">
        <f aca="false">IF($D1589="","",IF(OR($R1589=TRUE(),$R1589="TRUE"),Settings!$C$6,Settings!$C$7)*100)</f>
        <v/>
      </c>
      <c r="AH1589" s="18" t="str">
        <f aca="false">IF($D1589="","",IF(COUNTIF($D$2:$D1589,$D1589)=1,1,0))</f>
        <v/>
      </c>
      <c r="AI1589" s="18" t="str">
        <f aca="false">IF($AH1589=1,SUMPRODUCT(--($AK$2:$AK$4001&lt;$AK1589))+1,"")</f>
        <v/>
      </c>
      <c r="AJ1589" s="18" t="str">
        <f aca="false">IF($D1589="","",IF(OR($R1589=TRUE(),$R1589="TRUE"),1,0))</f>
        <v/>
      </c>
      <c r="AK1589" s="18" t="str">
        <f aca="false">IF($AH1589=1,IFERROR(VALUE(MID($D1589,2,20)),1000000000)+ROW()/10000000,"")</f>
        <v/>
      </c>
    </row>
    <row r="1590" customFormat="false" ht="15" hidden="false" customHeight="false" outlineLevel="0" collapsed="false">
      <c r="F1590" s="15"/>
      <c r="N1590" s="16" t="str">
        <f aca="false">IF($D1590="","",M1590*Y1590/100)</f>
        <v/>
      </c>
      <c r="V1590" s="16" t="str">
        <f aca="false">IF($D1590="","",Y1590*AB1590/100)</f>
        <v/>
      </c>
      <c r="W1590" s="16" t="str">
        <f aca="false">IF($D1590="","",Y1590-V1590)</f>
        <v/>
      </c>
      <c r="X1590" s="16" t="str">
        <f aca="false">IF($D1590="","",W1590-N1590)</f>
        <v/>
      </c>
      <c r="AB1590" s="17" t="str">
        <f aca="false">IF($D1590="","",IF(OR($R1590=TRUE(),$R1590="TRUE"),Settings!$C$6,Settings!$C$7)*100)</f>
        <v/>
      </c>
      <c r="AH1590" s="18" t="str">
        <f aca="false">IF($D1590="","",IF(COUNTIF($D$2:$D1590,$D1590)=1,1,0))</f>
        <v/>
      </c>
      <c r="AI1590" s="18" t="str">
        <f aca="false">IF($AH1590=1,SUMPRODUCT(--($AK$2:$AK$4001&lt;$AK1590))+1,"")</f>
        <v/>
      </c>
      <c r="AJ1590" s="18" t="str">
        <f aca="false">IF($D1590="","",IF(OR($R1590=TRUE(),$R1590="TRUE"),1,0))</f>
        <v/>
      </c>
      <c r="AK1590" s="18" t="str">
        <f aca="false">IF($AH1590=1,IFERROR(VALUE(MID($D1590,2,20)),1000000000)+ROW()/10000000,"")</f>
        <v/>
      </c>
    </row>
    <row r="1591" customFormat="false" ht="15" hidden="false" customHeight="false" outlineLevel="0" collapsed="false">
      <c r="F1591" s="15"/>
      <c r="N1591" s="16" t="str">
        <f aca="false">IF($D1591="","",M1591*Y1591/100)</f>
        <v/>
      </c>
      <c r="V1591" s="16" t="str">
        <f aca="false">IF($D1591="","",Y1591*AB1591/100)</f>
        <v/>
      </c>
      <c r="W1591" s="16" t="str">
        <f aca="false">IF($D1591="","",Y1591-V1591)</f>
        <v/>
      </c>
      <c r="X1591" s="16" t="str">
        <f aca="false">IF($D1591="","",W1591-N1591)</f>
        <v/>
      </c>
      <c r="AB1591" s="17" t="str">
        <f aca="false">IF($D1591="","",IF(OR($R1591=TRUE(),$R1591="TRUE"),Settings!$C$6,Settings!$C$7)*100)</f>
        <v/>
      </c>
      <c r="AH1591" s="18" t="str">
        <f aca="false">IF($D1591="","",IF(COUNTIF($D$2:$D1591,$D1591)=1,1,0))</f>
        <v/>
      </c>
      <c r="AI1591" s="18" t="str">
        <f aca="false">IF($AH1591=1,SUMPRODUCT(--($AK$2:$AK$4001&lt;$AK1591))+1,"")</f>
        <v/>
      </c>
      <c r="AJ1591" s="18" t="str">
        <f aca="false">IF($D1591="","",IF(OR($R1591=TRUE(),$R1591="TRUE"),1,0))</f>
        <v/>
      </c>
      <c r="AK1591" s="18" t="str">
        <f aca="false">IF($AH1591=1,IFERROR(VALUE(MID($D1591,2,20)),1000000000)+ROW()/10000000,"")</f>
        <v/>
      </c>
    </row>
    <row r="1592" customFormat="false" ht="15" hidden="false" customHeight="false" outlineLevel="0" collapsed="false">
      <c r="F1592" s="15"/>
      <c r="N1592" s="16" t="str">
        <f aca="false">IF($D1592="","",M1592*Y1592/100)</f>
        <v/>
      </c>
      <c r="V1592" s="16" t="str">
        <f aca="false">IF($D1592="","",Y1592*AB1592/100)</f>
        <v/>
      </c>
      <c r="W1592" s="16" t="str">
        <f aca="false">IF($D1592="","",Y1592-V1592)</f>
        <v/>
      </c>
      <c r="X1592" s="16" t="str">
        <f aca="false">IF($D1592="","",W1592-N1592)</f>
        <v/>
      </c>
      <c r="AB1592" s="17" t="str">
        <f aca="false">IF($D1592="","",IF(OR($R1592=TRUE(),$R1592="TRUE"),Settings!$C$6,Settings!$C$7)*100)</f>
        <v/>
      </c>
      <c r="AH1592" s="18" t="str">
        <f aca="false">IF($D1592="","",IF(COUNTIF($D$2:$D1592,$D1592)=1,1,0))</f>
        <v/>
      </c>
      <c r="AI1592" s="18" t="str">
        <f aca="false">IF($AH1592=1,SUMPRODUCT(--($AK$2:$AK$4001&lt;$AK1592))+1,"")</f>
        <v/>
      </c>
      <c r="AJ1592" s="18" t="str">
        <f aca="false">IF($D1592="","",IF(OR($R1592=TRUE(),$R1592="TRUE"),1,0))</f>
        <v/>
      </c>
      <c r="AK1592" s="18" t="str">
        <f aca="false">IF($AH1592=1,IFERROR(VALUE(MID($D1592,2,20)),1000000000)+ROW()/10000000,"")</f>
        <v/>
      </c>
    </row>
    <row r="1593" customFormat="false" ht="15" hidden="false" customHeight="false" outlineLevel="0" collapsed="false">
      <c r="F1593" s="15"/>
      <c r="N1593" s="16" t="str">
        <f aca="false">IF($D1593="","",M1593*Y1593/100)</f>
        <v/>
      </c>
      <c r="V1593" s="16" t="str">
        <f aca="false">IF($D1593="","",Y1593*AB1593/100)</f>
        <v/>
      </c>
      <c r="W1593" s="16" t="str">
        <f aca="false">IF($D1593="","",Y1593-V1593)</f>
        <v/>
      </c>
      <c r="X1593" s="16" t="str">
        <f aca="false">IF($D1593="","",W1593-N1593)</f>
        <v/>
      </c>
      <c r="AB1593" s="17" t="str">
        <f aca="false">IF($D1593="","",IF(OR($R1593=TRUE(),$R1593="TRUE"),Settings!$C$6,Settings!$C$7)*100)</f>
        <v/>
      </c>
      <c r="AH1593" s="18" t="str">
        <f aca="false">IF($D1593="","",IF(COUNTIF($D$2:$D1593,$D1593)=1,1,0))</f>
        <v/>
      </c>
      <c r="AI1593" s="18" t="str">
        <f aca="false">IF($AH1593=1,SUMPRODUCT(--($AK$2:$AK$4001&lt;$AK1593))+1,"")</f>
        <v/>
      </c>
      <c r="AJ1593" s="18" t="str">
        <f aca="false">IF($D1593="","",IF(OR($R1593=TRUE(),$R1593="TRUE"),1,0))</f>
        <v/>
      </c>
      <c r="AK1593" s="18" t="str">
        <f aca="false">IF($AH1593=1,IFERROR(VALUE(MID($D1593,2,20)),1000000000)+ROW()/10000000,"")</f>
        <v/>
      </c>
    </row>
    <row r="1594" customFormat="false" ht="15" hidden="false" customHeight="false" outlineLevel="0" collapsed="false">
      <c r="F1594" s="15"/>
      <c r="N1594" s="16" t="str">
        <f aca="false">IF($D1594="","",M1594*Y1594/100)</f>
        <v/>
      </c>
      <c r="V1594" s="16" t="str">
        <f aca="false">IF($D1594="","",Y1594*AB1594/100)</f>
        <v/>
      </c>
      <c r="W1594" s="16" t="str">
        <f aca="false">IF($D1594="","",Y1594-V1594)</f>
        <v/>
      </c>
      <c r="X1594" s="16" t="str">
        <f aca="false">IF($D1594="","",W1594-N1594)</f>
        <v/>
      </c>
      <c r="AB1594" s="17" t="str">
        <f aca="false">IF($D1594="","",IF(OR($R1594=TRUE(),$R1594="TRUE"),Settings!$C$6,Settings!$C$7)*100)</f>
        <v/>
      </c>
      <c r="AH1594" s="18" t="str">
        <f aca="false">IF($D1594="","",IF(COUNTIF($D$2:$D1594,$D1594)=1,1,0))</f>
        <v/>
      </c>
      <c r="AI1594" s="18" t="str">
        <f aca="false">IF($AH1594=1,SUMPRODUCT(--($AK$2:$AK$4001&lt;$AK1594))+1,"")</f>
        <v/>
      </c>
      <c r="AJ1594" s="18" t="str">
        <f aca="false">IF($D1594="","",IF(OR($R1594=TRUE(),$R1594="TRUE"),1,0))</f>
        <v/>
      </c>
      <c r="AK1594" s="18" t="str">
        <f aca="false">IF($AH1594=1,IFERROR(VALUE(MID($D1594,2,20)),1000000000)+ROW()/10000000,"")</f>
        <v/>
      </c>
    </row>
    <row r="1595" customFormat="false" ht="15" hidden="false" customHeight="false" outlineLevel="0" collapsed="false">
      <c r="F1595" s="15"/>
      <c r="N1595" s="16" t="str">
        <f aca="false">IF($D1595="","",M1595*Y1595/100)</f>
        <v/>
      </c>
      <c r="V1595" s="16" t="str">
        <f aca="false">IF($D1595="","",Y1595*AB1595/100)</f>
        <v/>
      </c>
      <c r="W1595" s="16" t="str">
        <f aca="false">IF($D1595="","",Y1595-V1595)</f>
        <v/>
      </c>
      <c r="X1595" s="16" t="str">
        <f aca="false">IF($D1595="","",W1595-N1595)</f>
        <v/>
      </c>
      <c r="AB1595" s="17" t="str">
        <f aca="false">IF($D1595="","",IF(OR($R1595=TRUE(),$R1595="TRUE"),Settings!$C$6,Settings!$C$7)*100)</f>
        <v/>
      </c>
      <c r="AH1595" s="18" t="str">
        <f aca="false">IF($D1595="","",IF(COUNTIF($D$2:$D1595,$D1595)=1,1,0))</f>
        <v/>
      </c>
      <c r="AI1595" s="18" t="str">
        <f aca="false">IF($AH1595=1,SUMPRODUCT(--($AK$2:$AK$4001&lt;$AK1595))+1,"")</f>
        <v/>
      </c>
      <c r="AJ1595" s="18" t="str">
        <f aca="false">IF($D1595="","",IF(OR($R1595=TRUE(),$R1595="TRUE"),1,0))</f>
        <v/>
      </c>
      <c r="AK1595" s="18" t="str">
        <f aca="false">IF($AH1595=1,IFERROR(VALUE(MID($D1595,2,20)),1000000000)+ROW()/10000000,"")</f>
        <v/>
      </c>
    </row>
    <row r="1596" customFormat="false" ht="15" hidden="false" customHeight="false" outlineLevel="0" collapsed="false">
      <c r="F1596" s="15"/>
      <c r="N1596" s="16" t="str">
        <f aca="false">IF($D1596="","",M1596*Y1596/100)</f>
        <v/>
      </c>
      <c r="V1596" s="16" t="str">
        <f aca="false">IF($D1596="","",Y1596*AB1596/100)</f>
        <v/>
      </c>
      <c r="W1596" s="16" t="str">
        <f aca="false">IF($D1596="","",Y1596-V1596)</f>
        <v/>
      </c>
      <c r="X1596" s="16" t="str">
        <f aca="false">IF($D1596="","",W1596-N1596)</f>
        <v/>
      </c>
      <c r="AB1596" s="17" t="str">
        <f aca="false">IF($D1596="","",IF(OR($R1596=TRUE(),$R1596="TRUE"),Settings!$C$6,Settings!$C$7)*100)</f>
        <v/>
      </c>
      <c r="AH1596" s="18" t="str">
        <f aca="false">IF($D1596="","",IF(COUNTIF($D$2:$D1596,$D1596)=1,1,0))</f>
        <v/>
      </c>
      <c r="AI1596" s="18" t="str">
        <f aca="false">IF($AH1596=1,SUMPRODUCT(--($AK$2:$AK$4001&lt;$AK1596))+1,"")</f>
        <v/>
      </c>
      <c r="AJ1596" s="18" t="str">
        <f aca="false">IF($D1596="","",IF(OR($R1596=TRUE(),$R1596="TRUE"),1,0))</f>
        <v/>
      </c>
      <c r="AK1596" s="18" t="str">
        <f aca="false">IF($AH1596=1,IFERROR(VALUE(MID($D1596,2,20)),1000000000)+ROW()/10000000,"")</f>
        <v/>
      </c>
    </row>
    <row r="1597" customFormat="false" ht="15" hidden="false" customHeight="false" outlineLevel="0" collapsed="false">
      <c r="F1597" s="15"/>
      <c r="N1597" s="16" t="str">
        <f aca="false">IF($D1597="","",M1597*Y1597/100)</f>
        <v/>
      </c>
      <c r="V1597" s="16" t="str">
        <f aca="false">IF($D1597="","",Y1597*AB1597/100)</f>
        <v/>
      </c>
      <c r="W1597" s="16" t="str">
        <f aca="false">IF($D1597="","",Y1597-V1597)</f>
        <v/>
      </c>
      <c r="X1597" s="16" t="str">
        <f aca="false">IF($D1597="","",W1597-N1597)</f>
        <v/>
      </c>
      <c r="AB1597" s="17" t="str">
        <f aca="false">IF($D1597="","",IF(OR($R1597=TRUE(),$R1597="TRUE"),Settings!$C$6,Settings!$C$7)*100)</f>
        <v/>
      </c>
      <c r="AH1597" s="18" t="str">
        <f aca="false">IF($D1597="","",IF(COUNTIF($D$2:$D1597,$D1597)=1,1,0))</f>
        <v/>
      </c>
      <c r="AI1597" s="18" t="str">
        <f aca="false">IF($AH1597=1,SUMPRODUCT(--($AK$2:$AK$4001&lt;$AK1597))+1,"")</f>
        <v/>
      </c>
      <c r="AJ1597" s="18" t="str">
        <f aca="false">IF($D1597="","",IF(OR($R1597=TRUE(),$R1597="TRUE"),1,0))</f>
        <v/>
      </c>
      <c r="AK1597" s="18" t="str">
        <f aca="false">IF($AH1597=1,IFERROR(VALUE(MID($D1597,2,20)),1000000000)+ROW()/10000000,"")</f>
        <v/>
      </c>
    </row>
    <row r="1598" customFormat="false" ht="15" hidden="false" customHeight="false" outlineLevel="0" collapsed="false">
      <c r="F1598" s="15"/>
      <c r="N1598" s="16" t="str">
        <f aca="false">IF($D1598="","",M1598*Y1598/100)</f>
        <v/>
      </c>
      <c r="V1598" s="16" t="str">
        <f aca="false">IF($D1598="","",Y1598*AB1598/100)</f>
        <v/>
      </c>
      <c r="W1598" s="16" t="str">
        <f aca="false">IF($D1598="","",Y1598-V1598)</f>
        <v/>
      </c>
      <c r="X1598" s="16" t="str">
        <f aca="false">IF($D1598="","",W1598-N1598)</f>
        <v/>
      </c>
      <c r="AB1598" s="17" t="str">
        <f aca="false">IF($D1598="","",IF(OR($R1598=TRUE(),$R1598="TRUE"),Settings!$C$6,Settings!$C$7)*100)</f>
        <v/>
      </c>
      <c r="AH1598" s="18" t="str">
        <f aca="false">IF($D1598="","",IF(COUNTIF($D$2:$D1598,$D1598)=1,1,0))</f>
        <v/>
      </c>
      <c r="AI1598" s="18" t="str">
        <f aca="false">IF($AH1598=1,SUMPRODUCT(--($AK$2:$AK$4001&lt;$AK1598))+1,"")</f>
        <v/>
      </c>
      <c r="AJ1598" s="18" t="str">
        <f aca="false">IF($D1598="","",IF(OR($R1598=TRUE(),$R1598="TRUE"),1,0))</f>
        <v/>
      </c>
      <c r="AK1598" s="18" t="str">
        <f aca="false">IF($AH1598=1,IFERROR(VALUE(MID($D1598,2,20)),1000000000)+ROW()/10000000,"")</f>
        <v/>
      </c>
    </row>
    <row r="1599" customFormat="false" ht="15" hidden="false" customHeight="false" outlineLevel="0" collapsed="false">
      <c r="F1599" s="15"/>
      <c r="N1599" s="16" t="str">
        <f aca="false">IF($D1599="","",M1599*Y1599/100)</f>
        <v/>
      </c>
      <c r="V1599" s="16" t="str">
        <f aca="false">IF($D1599="","",Y1599*AB1599/100)</f>
        <v/>
      </c>
      <c r="W1599" s="16" t="str">
        <f aca="false">IF($D1599="","",Y1599-V1599)</f>
        <v/>
      </c>
      <c r="X1599" s="16" t="str">
        <f aca="false">IF($D1599="","",W1599-N1599)</f>
        <v/>
      </c>
      <c r="AB1599" s="17" t="str">
        <f aca="false">IF($D1599="","",IF(OR($R1599=TRUE(),$R1599="TRUE"),Settings!$C$6,Settings!$C$7)*100)</f>
        <v/>
      </c>
      <c r="AH1599" s="18" t="str">
        <f aca="false">IF($D1599="","",IF(COUNTIF($D$2:$D1599,$D1599)=1,1,0))</f>
        <v/>
      </c>
      <c r="AI1599" s="18" t="str">
        <f aca="false">IF($AH1599=1,SUMPRODUCT(--($AK$2:$AK$4001&lt;$AK1599))+1,"")</f>
        <v/>
      </c>
      <c r="AJ1599" s="18" t="str">
        <f aca="false">IF($D1599="","",IF(OR($R1599=TRUE(),$R1599="TRUE"),1,0))</f>
        <v/>
      </c>
      <c r="AK1599" s="18" t="str">
        <f aca="false">IF($AH1599=1,IFERROR(VALUE(MID($D1599,2,20)),1000000000)+ROW()/10000000,"")</f>
        <v/>
      </c>
    </row>
    <row r="1600" customFormat="false" ht="15" hidden="false" customHeight="false" outlineLevel="0" collapsed="false">
      <c r="F1600" s="15"/>
      <c r="N1600" s="16" t="str">
        <f aca="false">IF($D1600="","",M1600*Y1600/100)</f>
        <v/>
      </c>
      <c r="V1600" s="16" t="str">
        <f aca="false">IF($D1600="","",Y1600*AB1600/100)</f>
        <v/>
      </c>
      <c r="W1600" s="16" t="str">
        <f aca="false">IF($D1600="","",Y1600-V1600)</f>
        <v/>
      </c>
      <c r="X1600" s="16" t="str">
        <f aca="false">IF($D1600="","",W1600-N1600)</f>
        <v/>
      </c>
      <c r="AB1600" s="17" t="str">
        <f aca="false">IF($D1600="","",IF(OR($R1600=TRUE(),$R1600="TRUE"),Settings!$C$6,Settings!$C$7)*100)</f>
        <v/>
      </c>
      <c r="AH1600" s="18" t="str">
        <f aca="false">IF($D1600="","",IF(COUNTIF($D$2:$D1600,$D1600)=1,1,0))</f>
        <v/>
      </c>
      <c r="AI1600" s="18" t="str">
        <f aca="false">IF($AH1600=1,SUMPRODUCT(--($AK$2:$AK$4001&lt;$AK1600))+1,"")</f>
        <v/>
      </c>
      <c r="AJ1600" s="18" t="str">
        <f aca="false">IF($D1600="","",IF(OR($R1600=TRUE(),$R1600="TRUE"),1,0))</f>
        <v/>
      </c>
      <c r="AK1600" s="18" t="str">
        <f aca="false">IF($AH1600=1,IFERROR(VALUE(MID($D1600,2,20)),1000000000)+ROW()/10000000,"")</f>
        <v/>
      </c>
    </row>
    <row r="1601" customFormat="false" ht="15" hidden="false" customHeight="false" outlineLevel="0" collapsed="false">
      <c r="F1601" s="15"/>
      <c r="N1601" s="16" t="str">
        <f aca="false">IF($D1601="","",M1601*Y1601/100)</f>
        <v/>
      </c>
      <c r="V1601" s="16" t="str">
        <f aca="false">IF($D1601="","",Y1601*AB1601/100)</f>
        <v/>
      </c>
      <c r="W1601" s="16" t="str">
        <f aca="false">IF($D1601="","",Y1601-V1601)</f>
        <v/>
      </c>
      <c r="X1601" s="16" t="str">
        <f aca="false">IF($D1601="","",W1601-N1601)</f>
        <v/>
      </c>
      <c r="AB1601" s="17" t="str">
        <f aca="false">IF($D1601="","",IF(OR($R1601=TRUE(),$R1601="TRUE"),Settings!$C$6,Settings!$C$7)*100)</f>
        <v/>
      </c>
      <c r="AH1601" s="18" t="str">
        <f aca="false">IF($D1601="","",IF(COUNTIF($D$2:$D1601,$D1601)=1,1,0))</f>
        <v/>
      </c>
      <c r="AI1601" s="18" t="str">
        <f aca="false">IF($AH1601=1,SUMPRODUCT(--($AK$2:$AK$4001&lt;$AK1601))+1,"")</f>
        <v/>
      </c>
      <c r="AJ1601" s="18" t="str">
        <f aca="false">IF($D1601="","",IF(OR($R1601=TRUE(),$R1601="TRUE"),1,0))</f>
        <v/>
      </c>
      <c r="AK1601" s="18" t="str">
        <f aca="false">IF($AH1601=1,IFERROR(VALUE(MID($D1601,2,20)),1000000000)+ROW()/10000000,"")</f>
        <v/>
      </c>
    </row>
    <row r="1602" customFormat="false" ht="15" hidden="false" customHeight="false" outlineLevel="0" collapsed="false">
      <c r="F1602" s="15"/>
      <c r="N1602" s="16" t="str">
        <f aca="false">IF($D1602="","",M1602*Y1602/100)</f>
        <v/>
      </c>
      <c r="V1602" s="16" t="str">
        <f aca="false">IF($D1602="","",Y1602*AB1602/100)</f>
        <v/>
      </c>
      <c r="W1602" s="16" t="str">
        <f aca="false">IF($D1602="","",Y1602-V1602)</f>
        <v/>
      </c>
      <c r="X1602" s="16" t="str">
        <f aca="false">IF($D1602="","",W1602-N1602)</f>
        <v/>
      </c>
      <c r="AB1602" s="17" t="str">
        <f aca="false">IF($D1602="","",IF(OR($R1602=TRUE(),$R1602="TRUE"),Settings!$C$6,Settings!$C$7)*100)</f>
        <v/>
      </c>
      <c r="AH1602" s="18" t="str">
        <f aca="false">IF($D1602="","",IF(COUNTIF($D$2:$D1602,$D1602)=1,1,0))</f>
        <v/>
      </c>
      <c r="AI1602" s="18" t="str">
        <f aca="false">IF($AH1602=1,SUMPRODUCT(--($AK$2:$AK$4001&lt;$AK1602))+1,"")</f>
        <v/>
      </c>
      <c r="AJ1602" s="18" t="str">
        <f aca="false">IF($D1602="","",IF(OR($R1602=TRUE(),$R1602="TRUE"),1,0))</f>
        <v/>
      </c>
      <c r="AK1602" s="18" t="str">
        <f aca="false">IF($AH1602=1,IFERROR(VALUE(MID($D1602,2,20)),1000000000)+ROW()/10000000,"")</f>
        <v/>
      </c>
    </row>
    <row r="1603" customFormat="false" ht="15" hidden="false" customHeight="false" outlineLevel="0" collapsed="false">
      <c r="F1603" s="15"/>
      <c r="N1603" s="16" t="str">
        <f aca="false">IF($D1603="","",M1603*Y1603/100)</f>
        <v/>
      </c>
      <c r="V1603" s="16" t="str">
        <f aca="false">IF($D1603="","",Y1603*AB1603/100)</f>
        <v/>
      </c>
      <c r="W1603" s="16" t="str">
        <f aca="false">IF($D1603="","",Y1603-V1603)</f>
        <v/>
      </c>
      <c r="X1603" s="16" t="str">
        <f aca="false">IF($D1603="","",W1603-N1603)</f>
        <v/>
      </c>
      <c r="AB1603" s="17" t="str">
        <f aca="false">IF($D1603="","",IF(OR($R1603=TRUE(),$R1603="TRUE"),Settings!$C$6,Settings!$C$7)*100)</f>
        <v/>
      </c>
      <c r="AH1603" s="18" t="str">
        <f aca="false">IF($D1603="","",IF(COUNTIF($D$2:$D1603,$D1603)=1,1,0))</f>
        <v/>
      </c>
      <c r="AI1603" s="18" t="str">
        <f aca="false">IF($AH1603=1,SUMPRODUCT(--($AK$2:$AK$4001&lt;$AK1603))+1,"")</f>
        <v/>
      </c>
      <c r="AJ1603" s="18" t="str">
        <f aca="false">IF($D1603="","",IF(OR($R1603=TRUE(),$R1603="TRUE"),1,0))</f>
        <v/>
      </c>
      <c r="AK1603" s="18" t="str">
        <f aca="false">IF($AH1603=1,IFERROR(VALUE(MID($D1603,2,20)),1000000000)+ROW()/10000000,"")</f>
        <v/>
      </c>
    </row>
    <row r="1604" customFormat="false" ht="15" hidden="false" customHeight="false" outlineLevel="0" collapsed="false">
      <c r="F1604" s="15"/>
      <c r="N1604" s="16" t="str">
        <f aca="false">IF($D1604="","",M1604*Y1604/100)</f>
        <v/>
      </c>
      <c r="V1604" s="16" t="str">
        <f aca="false">IF($D1604="","",Y1604*AB1604/100)</f>
        <v/>
      </c>
      <c r="W1604" s="16" t="str">
        <f aca="false">IF($D1604="","",Y1604-V1604)</f>
        <v/>
      </c>
      <c r="X1604" s="16" t="str">
        <f aca="false">IF($D1604="","",W1604-N1604)</f>
        <v/>
      </c>
      <c r="AB1604" s="17" t="str">
        <f aca="false">IF($D1604="","",IF(OR($R1604=TRUE(),$R1604="TRUE"),Settings!$C$6,Settings!$C$7)*100)</f>
        <v/>
      </c>
      <c r="AH1604" s="18" t="str">
        <f aca="false">IF($D1604="","",IF(COUNTIF($D$2:$D1604,$D1604)=1,1,0))</f>
        <v/>
      </c>
      <c r="AI1604" s="18" t="str">
        <f aca="false">IF($AH1604=1,SUMPRODUCT(--($AK$2:$AK$4001&lt;$AK1604))+1,"")</f>
        <v/>
      </c>
      <c r="AJ1604" s="18" t="str">
        <f aca="false">IF($D1604="","",IF(OR($R1604=TRUE(),$R1604="TRUE"),1,0))</f>
        <v/>
      </c>
      <c r="AK1604" s="18" t="str">
        <f aca="false">IF($AH1604=1,IFERROR(VALUE(MID($D1604,2,20)),1000000000)+ROW()/10000000,"")</f>
        <v/>
      </c>
    </row>
    <row r="1605" customFormat="false" ht="15" hidden="false" customHeight="false" outlineLevel="0" collapsed="false">
      <c r="F1605" s="15"/>
      <c r="N1605" s="16" t="str">
        <f aca="false">IF($D1605="","",M1605*Y1605/100)</f>
        <v/>
      </c>
      <c r="V1605" s="16" t="str">
        <f aca="false">IF($D1605="","",Y1605*AB1605/100)</f>
        <v/>
      </c>
      <c r="W1605" s="16" t="str">
        <f aca="false">IF($D1605="","",Y1605-V1605)</f>
        <v/>
      </c>
      <c r="X1605" s="16" t="str">
        <f aca="false">IF($D1605="","",W1605-N1605)</f>
        <v/>
      </c>
      <c r="AB1605" s="17" t="str">
        <f aca="false">IF($D1605="","",IF(OR($R1605=TRUE(),$R1605="TRUE"),Settings!$C$6,Settings!$C$7)*100)</f>
        <v/>
      </c>
      <c r="AH1605" s="18" t="str">
        <f aca="false">IF($D1605="","",IF(COUNTIF($D$2:$D1605,$D1605)=1,1,0))</f>
        <v/>
      </c>
      <c r="AI1605" s="18" t="str">
        <f aca="false">IF($AH1605=1,SUMPRODUCT(--($AK$2:$AK$4001&lt;$AK1605))+1,"")</f>
        <v/>
      </c>
      <c r="AJ1605" s="18" t="str">
        <f aca="false">IF($D1605="","",IF(OR($R1605=TRUE(),$R1605="TRUE"),1,0))</f>
        <v/>
      </c>
      <c r="AK1605" s="18" t="str">
        <f aca="false">IF($AH1605=1,IFERROR(VALUE(MID($D1605,2,20)),1000000000)+ROW()/10000000,"")</f>
        <v/>
      </c>
    </row>
    <row r="1606" customFormat="false" ht="15" hidden="false" customHeight="false" outlineLevel="0" collapsed="false">
      <c r="F1606" s="15"/>
      <c r="N1606" s="16" t="str">
        <f aca="false">IF($D1606="","",M1606*Y1606/100)</f>
        <v/>
      </c>
      <c r="V1606" s="16" t="str">
        <f aca="false">IF($D1606="","",Y1606*AB1606/100)</f>
        <v/>
      </c>
      <c r="W1606" s="16" t="str">
        <f aca="false">IF($D1606="","",Y1606-V1606)</f>
        <v/>
      </c>
      <c r="X1606" s="16" t="str">
        <f aca="false">IF($D1606="","",W1606-N1606)</f>
        <v/>
      </c>
      <c r="AB1606" s="17" t="str">
        <f aca="false">IF($D1606="","",IF(OR($R1606=TRUE(),$R1606="TRUE"),Settings!$C$6,Settings!$C$7)*100)</f>
        <v/>
      </c>
      <c r="AH1606" s="18" t="str">
        <f aca="false">IF($D1606="","",IF(COUNTIF($D$2:$D1606,$D1606)=1,1,0))</f>
        <v/>
      </c>
      <c r="AI1606" s="18" t="str">
        <f aca="false">IF($AH1606=1,SUMPRODUCT(--($AK$2:$AK$4001&lt;$AK1606))+1,"")</f>
        <v/>
      </c>
      <c r="AJ1606" s="18" t="str">
        <f aca="false">IF($D1606="","",IF(OR($R1606=TRUE(),$R1606="TRUE"),1,0))</f>
        <v/>
      </c>
      <c r="AK1606" s="18" t="str">
        <f aca="false">IF($AH1606=1,IFERROR(VALUE(MID($D1606,2,20)),1000000000)+ROW()/10000000,"")</f>
        <v/>
      </c>
    </row>
    <row r="1607" customFormat="false" ht="15" hidden="false" customHeight="false" outlineLevel="0" collapsed="false">
      <c r="F1607" s="15"/>
      <c r="N1607" s="16" t="str">
        <f aca="false">IF($D1607="","",M1607*Y1607/100)</f>
        <v/>
      </c>
      <c r="V1607" s="16" t="str">
        <f aca="false">IF($D1607="","",Y1607*AB1607/100)</f>
        <v/>
      </c>
      <c r="W1607" s="16" t="str">
        <f aca="false">IF($D1607="","",Y1607-V1607)</f>
        <v/>
      </c>
      <c r="X1607" s="16" t="str">
        <f aca="false">IF($D1607="","",W1607-N1607)</f>
        <v/>
      </c>
      <c r="AB1607" s="17" t="str">
        <f aca="false">IF($D1607="","",IF(OR($R1607=TRUE(),$R1607="TRUE"),Settings!$C$6,Settings!$C$7)*100)</f>
        <v/>
      </c>
      <c r="AH1607" s="18" t="str">
        <f aca="false">IF($D1607="","",IF(COUNTIF($D$2:$D1607,$D1607)=1,1,0))</f>
        <v/>
      </c>
      <c r="AI1607" s="18" t="str">
        <f aca="false">IF($AH1607=1,SUMPRODUCT(--($AK$2:$AK$4001&lt;$AK1607))+1,"")</f>
        <v/>
      </c>
      <c r="AJ1607" s="18" t="str">
        <f aca="false">IF($D1607="","",IF(OR($R1607=TRUE(),$R1607="TRUE"),1,0))</f>
        <v/>
      </c>
      <c r="AK1607" s="18" t="str">
        <f aca="false">IF($AH1607=1,IFERROR(VALUE(MID($D1607,2,20)),1000000000)+ROW()/10000000,"")</f>
        <v/>
      </c>
    </row>
    <row r="1608" customFormat="false" ht="15" hidden="false" customHeight="false" outlineLevel="0" collapsed="false">
      <c r="F1608" s="15"/>
      <c r="N1608" s="16" t="str">
        <f aca="false">IF($D1608="","",M1608*Y1608/100)</f>
        <v/>
      </c>
      <c r="V1608" s="16" t="str">
        <f aca="false">IF($D1608="","",Y1608*AB1608/100)</f>
        <v/>
      </c>
      <c r="W1608" s="16" t="str">
        <f aca="false">IF($D1608="","",Y1608-V1608)</f>
        <v/>
      </c>
      <c r="X1608" s="16" t="str">
        <f aca="false">IF($D1608="","",W1608-N1608)</f>
        <v/>
      </c>
      <c r="AB1608" s="17" t="str">
        <f aca="false">IF($D1608="","",IF(OR($R1608=TRUE(),$R1608="TRUE"),Settings!$C$6,Settings!$C$7)*100)</f>
        <v/>
      </c>
      <c r="AH1608" s="18" t="str">
        <f aca="false">IF($D1608="","",IF(COUNTIF($D$2:$D1608,$D1608)=1,1,0))</f>
        <v/>
      </c>
      <c r="AI1608" s="18" t="str">
        <f aca="false">IF($AH1608=1,SUMPRODUCT(--($AK$2:$AK$4001&lt;$AK1608))+1,"")</f>
        <v/>
      </c>
      <c r="AJ1608" s="18" t="str">
        <f aca="false">IF($D1608="","",IF(OR($R1608=TRUE(),$R1608="TRUE"),1,0))</f>
        <v/>
      </c>
      <c r="AK1608" s="18" t="str">
        <f aca="false">IF($AH1608=1,IFERROR(VALUE(MID($D1608,2,20)),1000000000)+ROW()/10000000,"")</f>
        <v/>
      </c>
    </row>
    <row r="1609" customFormat="false" ht="15" hidden="false" customHeight="false" outlineLevel="0" collapsed="false">
      <c r="F1609" s="15"/>
      <c r="N1609" s="16" t="str">
        <f aca="false">IF($D1609="","",M1609*Y1609/100)</f>
        <v/>
      </c>
      <c r="V1609" s="16" t="str">
        <f aca="false">IF($D1609="","",Y1609*AB1609/100)</f>
        <v/>
      </c>
      <c r="W1609" s="16" t="str">
        <f aca="false">IF($D1609="","",Y1609-V1609)</f>
        <v/>
      </c>
      <c r="X1609" s="16" t="str">
        <f aca="false">IF($D1609="","",W1609-N1609)</f>
        <v/>
      </c>
      <c r="AB1609" s="17" t="str">
        <f aca="false">IF($D1609="","",IF(OR($R1609=TRUE(),$R1609="TRUE"),Settings!$C$6,Settings!$C$7)*100)</f>
        <v/>
      </c>
      <c r="AH1609" s="18" t="str">
        <f aca="false">IF($D1609="","",IF(COUNTIF($D$2:$D1609,$D1609)=1,1,0))</f>
        <v/>
      </c>
      <c r="AI1609" s="18" t="str">
        <f aca="false">IF($AH1609=1,SUMPRODUCT(--($AK$2:$AK$4001&lt;$AK1609))+1,"")</f>
        <v/>
      </c>
      <c r="AJ1609" s="18" t="str">
        <f aca="false">IF($D1609="","",IF(OR($R1609=TRUE(),$R1609="TRUE"),1,0))</f>
        <v/>
      </c>
      <c r="AK1609" s="18" t="str">
        <f aca="false">IF($AH1609=1,IFERROR(VALUE(MID($D1609,2,20)),1000000000)+ROW()/10000000,"")</f>
        <v/>
      </c>
    </row>
    <row r="1610" customFormat="false" ht="15" hidden="false" customHeight="false" outlineLevel="0" collapsed="false">
      <c r="F1610" s="15"/>
      <c r="N1610" s="16" t="str">
        <f aca="false">IF($D1610="","",M1610*Y1610/100)</f>
        <v/>
      </c>
      <c r="V1610" s="16" t="str">
        <f aca="false">IF($D1610="","",Y1610*AB1610/100)</f>
        <v/>
      </c>
      <c r="W1610" s="16" t="str">
        <f aca="false">IF($D1610="","",Y1610-V1610)</f>
        <v/>
      </c>
      <c r="X1610" s="16" t="str">
        <f aca="false">IF($D1610="","",W1610-N1610)</f>
        <v/>
      </c>
      <c r="AB1610" s="17" t="str">
        <f aca="false">IF($D1610="","",IF(OR($R1610=TRUE(),$R1610="TRUE"),Settings!$C$6,Settings!$C$7)*100)</f>
        <v/>
      </c>
      <c r="AH1610" s="18" t="str">
        <f aca="false">IF($D1610="","",IF(COUNTIF($D$2:$D1610,$D1610)=1,1,0))</f>
        <v/>
      </c>
      <c r="AI1610" s="18" t="str">
        <f aca="false">IF($AH1610=1,SUMPRODUCT(--($AK$2:$AK$4001&lt;$AK1610))+1,"")</f>
        <v/>
      </c>
      <c r="AJ1610" s="18" t="str">
        <f aca="false">IF($D1610="","",IF(OR($R1610=TRUE(),$R1610="TRUE"),1,0))</f>
        <v/>
      </c>
      <c r="AK1610" s="18" t="str">
        <f aca="false">IF($AH1610=1,IFERROR(VALUE(MID($D1610,2,20)),1000000000)+ROW()/10000000,"")</f>
        <v/>
      </c>
    </row>
    <row r="1611" customFormat="false" ht="15" hidden="false" customHeight="false" outlineLevel="0" collapsed="false">
      <c r="F1611" s="15"/>
      <c r="N1611" s="16" t="str">
        <f aca="false">IF($D1611="","",M1611*Y1611/100)</f>
        <v/>
      </c>
      <c r="V1611" s="16" t="str">
        <f aca="false">IF($D1611="","",Y1611*AB1611/100)</f>
        <v/>
      </c>
      <c r="W1611" s="16" t="str">
        <f aca="false">IF($D1611="","",Y1611-V1611)</f>
        <v/>
      </c>
      <c r="X1611" s="16" t="str">
        <f aca="false">IF($D1611="","",W1611-N1611)</f>
        <v/>
      </c>
      <c r="AB1611" s="17" t="str">
        <f aca="false">IF($D1611="","",IF(OR($R1611=TRUE(),$R1611="TRUE"),Settings!$C$6,Settings!$C$7)*100)</f>
        <v/>
      </c>
      <c r="AH1611" s="18" t="str">
        <f aca="false">IF($D1611="","",IF(COUNTIF($D$2:$D1611,$D1611)=1,1,0))</f>
        <v/>
      </c>
      <c r="AI1611" s="18" t="str">
        <f aca="false">IF($AH1611=1,SUMPRODUCT(--($AK$2:$AK$4001&lt;$AK1611))+1,"")</f>
        <v/>
      </c>
      <c r="AJ1611" s="18" t="str">
        <f aca="false">IF($D1611="","",IF(OR($R1611=TRUE(),$R1611="TRUE"),1,0))</f>
        <v/>
      </c>
      <c r="AK1611" s="18" t="str">
        <f aca="false">IF($AH1611=1,IFERROR(VALUE(MID($D1611,2,20)),1000000000)+ROW()/10000000,"")</f>
        <v/>
      </c>
    </row>
    <row r="1612" customFormat="false" ht="15" hidden="false" customHeight="false" outlineLevel="0" collapsed="false">
      <c r="F1612" s="15"/>
      <c r="N1612" s="16" t="str">
        <f aca="false">IF($D1612="","",M1612*Y1612/100)</f>
        <v/>
      </c>
      <c r="V1612" s="16" t="str">
        <f aca="false">IF($D1612="","",Y1612*AB1612/100)</f>
        <v/>
      </c>
      <c r="W1612" s="16" t="str">
        <f aca="false">IF($D1612="","",Y1612-V1612)</f>
        <v/>
      </c>
      <c r="X1612" s="16" t="str">
        <f aca="false">IF($D1612="","",W1612-N1612)</f>
        <v/>
      </c>
      <c r="AB1612" s="17" t="str">
        <f aca="false">IF($D1612="","",IF(OR($R1612=TRUE(),$R1612="TRUE"),Settings!$C$6,Settings!$C$7)*100)</f>
        <v/>
      </c>
      <c r="AH1612" s="18" t="str">
        <f aca="false">IF($D1612="","",IF(COUNTIF($D$2:$D1612,$D1612)=1,1,0))</f>
        <v/>
      </c>
      <c r="AI1612" s="18" t="str">
        <f aca="false">IF($AH1612=1,SUMPRODUCT(--($AK$2:$AK$4001&lt;$AK1612))+1,"")</f>
        <v/>
      </c>
      <c r="AJ1612" s="18" t="str">
        <f aca="false">IF($D1612="","",IF(OR($R1612=TRUE(),$R1612="TRUE"),1,0))</f>
        <v/>
      </c>
      <c r="AK1612" s="18" t="str">
        <f aca="false">IF($AH1612=1,IFERROR(VALUE(MID($D1612,2,20)),1000000000)+ROW()/10000000,"")</f>
        <v/>
      </c>
    </row>
    <row r="1613" customFormat="false" ht="15" hidden="false" customHeight="false" outlineLevel="0" collapsed="false">
      <c r="F1613" s="15"/>
      <c r="N1613" s="16" t="str">
        <f aca="false">IF($D1613="","",M1613*Y1613/100)</f>
        <v/>
      </c>
      <c r="V1613" s="16" t="str">
        <f aca="false">IF($D1613="","",Y1613*AB1613/100)</f>
        <v/>
      </c>
      <c r="W1613" s="16" t="str">
        <f aca="false">IF($D1613="","",Y1613-V1613)</f>
        <v/>
      </c>
      <c r="X1613" s="16" t="str">
        <f aca="false">IF($D1613="","",W1613-N1613)</f>
        <v/>
      </c>
      <c r="AB1613" s="17" t="str">
        <f aca="false">IF($D1613="","",IF(OR($R1613=TRUE(),$R1613="TRUE"),Settings!$C$6,Settings!$C$7)*100)</f>
        <v/>
      </c>
      <c r="AH1613" s="18" t="str">
        <f aca="false">IF($D1613="","",IF(COUNTIF($D$2:$D1613,$D1613)=1,1,0))</f>
        <v/>
      </c>
      <c r="AI1613" s="18" t="str">
        <f aca="false">IF($AH1613=1,SUMPRODUCT(--($AK$2:$AK$4001&lt;$AK1613))+1,"")</f>
        <v/>
      </c>
      <c r="AJ1613" s="18" t="str">
        <f aca="false">IF($D1613="","",IF(OR($R1613=TRUE(),$R1613="TRUE"),1,0))</f>
        <v/>
      </c>
      <c r="AK1613" s="18" t="str">
        <f aca="false">IF($AH1613=1,IFERROR(VALUE(MID($D1613,2,20)),1000000000)+ROW()/10000000,"")</f>
        <v/>
      </c>
    </row>
    <row r="1614" customFormat="false" ht="15" hidden="false" customHeight="false" outlineLevel="0" collapsed="false">
      <c r="F1614" s="15"/>
      <c r="N1614" s="16" t="str">
        <f aca="false">IF($D1614="","",M1614*Y1614/100)</f>
        <v/>
      </c>
      <c r="V1614" s="16" t="str">
        <f aca="false">IF($D1614="","",Y1614*AB1614/100)</f>
        <v/>
      </c>
      <c r="W1614" s="16" t="str">
        <f aca="false">IF($D1614="","",Y1614-V1614)</f>
        <v/>
      </c>
      <c r="X1614" s="16" t="str">
        <f aca="false">IF($D1614="","",W1614-N1614)</f>
        <v/>
      </c>
      <c r="AB1614" s="17" t="str">
        <f aca="false">IF($D1614="","",IF(OR($R1614=TRUE(),$R1614="TRUE"),Settings!$C$6,Settings!$C$7)*100)</f>
        <v/>
      </c>
      <c r="AH1614" s="18" t="str">
        <f aca="false">IF($D1614="","",IF(COUNTIF($D$2:$D1614,$D1614)=1,1,0))</f>
        <v/>
      </c>
      <c r="AI1614" s="18" t="str">
        <f aca="false">IF($AH1614=1,SUMPRODUCT(--($AK$2:$AK$4001&lt;$AK1614))+1,"")</f>
        <v/>
      </c>
      <c r="AJ1614" s="18" t="str">
        <f aca="false">IF($D1614="","",IF(OR($R1614=TRUE(),$R1614="TRUE"),1,0))</f>
        <v/>
      </c>
      <c r="AK1614" s="18" t="str">
        <f aca="false">IF($AH1614=1,IFERROR(VALUE(MID($D1614,2,20)),1000000000)+ROW()/10000000,"")</f>
        <v/>
      </c>
    </row>
    <row r="1615" customFormat="false" ht="15" hidden="false" customHeight="false" outlineLevel="0" collapsed="false">
      <c r="F1615" s="15"/>
      <c r="N1615" s="16" t="str">
        <f aca="false">IF($D1615="","",M1615*Y1615/100)</f>
        <v/>
      </c>
      <c r="V1615" s="16" t="str">
        <f aca="false">IF($D1615="","",Y1615*AB1615/100)</f>
        <v/>
      </c>
      <c r="W1615" s="16" t="str">
        <f aca="false">IF($D1615="","",Y1615-V1615)</f>
        <v/>
      </c>
      <c r="X1615" s="16" t="str">
        <f aca="false">IF($D1615="","",W1615-N1615)</f>
        <v/>
      </c>
      <c r="AB1615" s="17" t="str">
        <f aca="false">IF($D1615="","",IF(OR($R1615=TRUE(),$R1615="TRUE"),Settings!$C$6,Settings!$C$7)*100)</f>
        <v/>
      </c>
      <c r="AH1615" s="18" t="str">
        <f aca="false">IF($D1615="","",IF(COUNTIF($D$2:$D1615,$D1615)=1,1,0))</f>
        <v/>
      </c>
      <c r="AI1615" s="18" t="str">
        <f aca="false">IF($AH1615=1,SUMPRODUCT(--($AK$2:$AK$4001&lt;$AK1615))+1,"")</f>
        <v/>
      </c>
      <c r="AJ1615" s="18" t="str">
        <f aca="false">IF($D1615="","",IF(OR($R1615=TRUE(),$R1615="TRUE"),1,0))</f>
        <v/>
      </c>
      <c r="AK1615" s="18" t="str">
        <f aca="false">IF($AH1615=1,IFERROR(VALUE(MID($D1615,2,20)),1000000000)+ROW()/10000000,"")</f>
        <v/>
      </c>
    </row>
    <row r="1616" customFormat="false" ht="15" hidden="false" customHeight="false" outlineLevel="0" collapsed="false">
      <c r="F1616" s="15"/>
      <c r="N1616" s="16" t="str">
        <f aca="false">IF($D1616="","",M1616*Y1616/100)</f>
        <v/>
      </c>
      <c r="V1616" s="16" t="str">
        <f aca="false">IF($D1616="","",Y1616*AB1616/100)</f>
        <v/>
      </c>
      <c r="W1616" s="16" t="str">
        <f aca="false">IF($D1616="","",Y1616-V1616)</f>
        <v/>
      </c>
      <c r="X1616" s="16" t="str">
        <f aca="false">IF($D1616="","",W1616-N1616)</f>
        <v/>
      </c>
      <c r="AB1616" s="17" t="str">
        <f aca="false">IF($D1616="","",IF(OR($R1616=TRUE(),$R1616="TRUE"),Settings!$C$6,Settings!$C$7)*100)</f>
        <v/>
      </c>
      <c r="AH1616" s="18" t="str">
        <f aca="false">IF($D1616="","",IF(COUNTIF($D$2:$D1616,$D1616)=1,1,0))</f>
        <v/>
      </c>
      <c r="AI1616" s="18" t="str">
        <f aca="false">IF($AH1616=1,SUMPRODUCT(--($AK$2:$AK$4001&lt;$AK1616))+1,"")</f>
        <v/>
      </c>
      <c r="AJ1616" s="18" t="str">
        <f aca="false">IF($D1616="","",IF(OR($R1616=TRUE(),$R1616="TRUE"),1,0))</f>
        <v/>
      </c>
      <c r="AK1616" s="18" t="str">
        <f aca="false">IF($AH1616=1,IFERROR(VALUE(MID($D1616,2,20)),1000000000)+ROW()/10000000,"")</f>
        <v/>
      </c>
    </row>
    <row r="1617" customFormat="false" ht="15" hidden="false" customHeight="false" outlineLevel="0" collapsed="false">
      <c r="F1617" s="15"/>
      <c r="N1617" s="16" t="str">
        <f aca="false">IF($D1617="","",M1617*Y1617/100)</f>
        <v/>
      </c>
      <c r="V1617" s="16" t="str">
        <f aca="false">IF($D1617="","",Y1617*AB1617/100)</f>
        <v/>
      </c>
      <c r="W1617" s="16" t="str">
        <f aca="false">IF($D1617="","",Y1617-V1617)</f>
        <v/>
      </c>
      <c r="X1617" s="16" t="str">
        <f aca="false">IF($D1617="","",W1617-N1617)</f>
        <v/>
      </c>
      <c r="AB1617" s="17" t="str">
        <f aca="false">IF($D1617="","",IF(OR($R1617=TRUE(),$R1617="TRUE"),Settings!$C$6,Settings!$C$7)*100)</f>
        <v/>
      </c>
      <c r="AH1617" s="18" t="str">
        <f aca="false">IF($D1617="","",IF(COUNTIF($D$2:$D1617,$D1617)=1,1,0))</f>
        <v/>
      </c>
      <c r="AI1617" s="18" t="str">
        <f aca="false">IF($AH1617=1,SUMPRODUCT(--($AK$2:$AK$4001&lt;$AK1617))+1,"")</f>
        <v/>
      </c>
      <c r="AJ1617" s="18" t="str">
        <f aca="false">IF($D1617="","",IF(OR($R1617=TRUE(),$R1617="TRUE"),1,0))</f>
        <v/>
      </c>
      <c r="AK1617" s="18" t="str">
        <f aca="false">IF($AH1617=1,IFERROR(VALUE(MID($D1617,2,20)),1000000000)+ROW()/10000000,"")</f>
        <v/>
      </c>
    </row>
    <row r="1618" customFormat="false" ht="15" hidden="false" customHeight="false" outlineLevel="0" collapsed="false">
      <c r="F1618" s="15"/>
      <c r="N1618" s="16" t="str">
        <f aca="false">IF($D1618="","",M1618*Y1618/100)</f>
        <v/>
      </c>
      <c r="V1618" s="16" t="str">
        <f aca="false">IF($D1618="","",Y1618*AB1618/100)</f>
        <v/>
      </c>
      <c r="W1618" s="16" t="str">
        <f aca="false">IF($D1618="","",Y1618-V1618)</f>
        <v/>
      </c>
      <c r="X1618" s="16" t="str">
        <f aca="false">IF($D1618="","",W1618-N1618)</f>
        <v/>
      </c>
      <c r="AB1618" s="17" t="str">
        <f aca="false">IF($D1618="","",IF(OR($R1618=TRUE(),$R1618="TRUE"),Settings!$C$6,Settings!$C$7)*100)</f>
        <v/>
      </c>
      <c r="AH1618" s="18" t="str">
        <f aca="false">IF($D1618="","",IF(COUNTIF($D$2:$D1618,$D1618)=1,1,0))</f>
        <v/>
      </c>
      <c r="AI1618" s="18" t="str">
        <f aca="false">IF($AH1618=1,SUMPRODUCT(--($AK$2:$AK$4001&lt;$AK1618))+1,"")</f>
        <v/>
      </c>
      <c r="AJ1618" s="18" t="str">
        <f aca="false">IF($D1618="","",IF(OR($R1618=TRUE(),$R1618="TRUE"),1,0))</f>
        <v/>
      </c>
      <c r="AK1618" s="18" t="str">
        <f aca="false">IF($AH1618=1,IFERROR(VALUE(MID($D1618,2,20)),1000000000)+ROW()/10000000,"")</f>
        <v/>
      </c>
    </row>
    <row r="1619" customFormat="false" ht="15" hidden="false" customHeight="false" outlineLevel="0" collapsed="false">
      <c r="F1619" s="15"/>
      <c r="N1619" s="16" t="str">
        <f aca="false">IF($D1619="","",M1619*Y1619/100)</f>
        <v/>
      </c>
      <c r="V1619" s="16" t="str">
        <f aca="false">IF($D1619="","",Y1619*AB1619/100)</f>
        <v/>
      </c>
      <c r="W1619" s="16" t="str">
        <f aca="false">IF($D1619="","",Y1619-V1619)</f>
        <v/>
      </c>
      <c r="X1619" s="16" t="str">
        <f aca="false">IF($D1619="","",W1619-N1619)</f>
        <v/>
      </c>
      <c r="AB1619" s="17" t="str">
        <f aca="false">IF($D1619="","",IF(OR($R1619=TRUE(),$R1619="TRUE"),Settings!$C$6,Settings!$C$7)*100)</f>
        <v/>
      </c>
      <c r="AH1619" s="18" t="str">
        <f aca="false">IF($D1619="","",IF(COUNTIF($D$2:$D1619,$D1619)=1,1,0))</f>
        <v/>
      </c>
      <c r="AI1619" s="18" t="str">
        <f aca="false">IF($AH1619=1,SUMPRODUCT(--($AK$2:$AK$4001&lt;$AK1619))+1,"")</f>
        <v/>
      </c>
      <c r="AJ1619" s="18" t="str">
        <f aca="false">IF($D1619="","",IF(OR($R1619=TRUE(),$R1619="TRUE"),1,0))</f>
        <v/>
      </c>
      <c r="AK1619" s="18" t="str">
        <f aca="false">IF($AH1619=1,IFERROR(VALUE(MID($D1619,2,20)),1000000000)+ROW()/10000000,"")</f>
        <v/>
      </c>
    </row>
    <row r="1620" customFormat="false" ht="15" hidden="false" customHeight="false" outlineLevel="0" collapsed="false">
      <c r="F1620" s="15"/>
      <c r="N1620" s="16" t="str">
        <f aca="false">IF($D1620="","",M1620*Y1620/100)</f>
        <v/>
      </c>
      <c r="V1620" s="16" t="str">
        <f aca="false">IF($D1620="","",Y1620*AB1620/100)</f>
        <v/>
      </c>
      <c r="W1620" s="16" t="str">
        <f aca="false">IF($D1620="","",Y1620-V1620)</f>
        <v/>
      </c>
      <c r="X1620" s="16" t="str">
        <f aca="false">IF($D1620="","",W1620-N1620)</f>
        <v/>
      </c>
      <c r="AB1620" s="17" t="str">
        <f aca="false">IF($D1620="","",IF(OR($R1620=TRUE(),$R1620="TRUE"),Settings!$C$6,Settings!$C$7)*100)</f>
        <v/>
      </c>
      <c r="AH1620" s="18" t="str">
        <f aca="false">IF($D1620="","",IF(COUNTIF($D$2:$D1620,$D1620)=1,1,0))</f>
        <v/>
      </c>
      <c r="AI1620" s="18" t="str">
        <f aca="false">IF($AH1620=1,SUMPRODUCT(--($AK$2:$AK$4001&lt;$AK1620))+1,"")</f>
        <v/>
      </c>
      <c r="AJ1620" s="18" t="str">
        <f aca="false">IF($D1620="","",IF(OR($R1620=TRUE(),$R1620="TRUE"),1,0))</f>
        <v/>
      </c>
      <c r="AK1620" s="18" t="str">
        <f aca="false">IF($AH1620=1,IFERROR(VALUE(MID($D1620,2,20)),1000000000)+ROW()/10000000,"")</f>
        <v/>
      </c>
    </row>
    <row r="1621" customFormat="false" ht="15" hidden="false" customHeight="false" outlineLevel="0" collapsed="false">
      <c r="F1621" s="15"/>
      <c r="N1621" s="16" t="str">
        <f aca="false">IF($D1621="","",M1621*Y1621/100)</f>
        <v/>
      </c>
      <c r="V1621" s="16" t="str">
        <f aca="false">IF($D1621="","",Y1621*AB1621/100)</f>
        <v/>
      </c>
      <c r="W1621" s="16" t="str">
        <f aca="false">IF($D1621="","",Y1621-V1621)</f>
        <v/>
      </c>
      <c r="X1621" s="16" t="str">
        <f aca="false">IF($D1621="","",W1621-N1621)</f>
        <v/>
      </c>
      <c r="AB1621" s="17" t="str">
        <f aca="false">IF($D1621="","",IF(OR($R1621=TRUE(),$R1621="TRUE"),Settings!$C$6,Settings!$C$7)*100)</f>
        <v/>
      </c>
      <c r="AH1621" s="18" t="str">
        <f aca="false">IF($D1621="","",IF(COUNTIF($D$2:$D1621,$D1621)=1,1,0))</f>
        <v/>
      </c>
      <c r="AI1621" s="18" t="str">
        <f aca="false">IF($AH1621=1,SUMPRODUCT(--($AK$2:$AK$4001&lt;$AK1621))+1,"")</f>
        <v/>
      </c>
      <c r="AJ1621" s="18" t="str">
        <f aca="false">IF($D1621="","",IF(OR($R1621=TRUE(),$R1621="TRUE"),1,0))</f>
        <v/>
      </c>
      <c r="AK1621" s="18" t="str">
        <f aca="false">IF($AH1621=1,IFERROR(VALUE(MID($D1621,2,20)),1000000000)+ROW()/10000000,"")</f>
        <v/>
      </c>
    </row>
    <row r="1622" customFormat="false" ht="15" hidden="false" customHeight="false" outlineLevel="0" collapsed="false">
      <c r="F1622" s="15"/>
      <c r="N1622" s="16" t="str">
        <f aca="false">IF($D1622="","",M1622*Y1622/100)</f>
        <v/>
      </c>
      <c r="V1622" s="16" t="str">
        <f aca="false">IF($D1622="","",Y1622*AB1622/100)</f>
        <v/>
      </c>
      <c r="W1622" s="16" t="str">
        <f aca="false">IF($D1622="","",Y1622-V1622)</f>
        <v/>
      </c>
      <c r="X1622" s="16" t="str">
        <f aca="false">IF($D1622="","",W1622-N1622)</f>
        <v/>
      </c>
      <c r="AB1622" s="17" t="str">
        <f aca="false">IF($D1622="","",IF(OR($R1622=TRUE(),$R1622="TRUE"),Settings!$C$6,Settings!$C$7)*100)</f>
        <v/>
      </c>
      <c r="AH1622" s="18" t="str">
        <f aca="false">IF($D1622="","",IF(COUNTIF($D$2:$D1622,$D1622)=1,1,0))</f>
        <v/>
      </c>
      <c r="AI1622" s="18" t="str">
        <f aca="false">IF($AH1622=1,SUMPRODUCT(--($AK$2:$AK$4001&lt;$AK1622))+1,"")</f>
        <v/>
      </c>
      <c r="AJ1622" s="18" t="str">
        <f aca="false">IF($D1622="","",IF(OR($R1622=TRUE(),$R1622="TRUE"),1,0))</f>
        <v/>
      </c>
      <c r="AK1622" s="18" t="str">
        <f aca="false">IF($AH1622=1,IFERROR(VALUE(MID($D1622,2,20)),1000000000)+ROW()/10000000,"")</f>
        <v/>
      </c>
    </row>
    <row r="1623" customFormat="false" ht="15" hidden="false" customHeight="false" outlineLevel="0" collapsed="false">
      <c r="F1623" s="15"/>
      <c r="N1623" s="16" t="str">
        <f aca="false">IF($D1623="","",M1623*Y1623/100)</f>
        <v/>
      </c>
      <c r="V1623" s="16" t="str">
        <f aca="false">IF($D1623="","",Y1623*AB1623/100)</f>
        <v/>
      </c>
      <c r="W1623" s="16" t="str">
        <f aca="false">IF($D1623="","",Y1623-V1623)</f>
        <v/>
      </c>
      <c r="X1623" s="16" t="str">
        <f aca="false">IF($D1623="","",W1623-N1623)</f>
        <v/>
      </c>
      <c r="AB1623" s="17" t="str">
        <f aca="false">IF($D1623="","",IF(OR($R1623=TRUE(),$R1623="TRUE"),Settings!$C$6,Settings!$C$7)*100)</f>
        <v/>
      </c>
      <c r="AH1623" s="18" t="str">
        <f aca="false">IF($D1623="","",IF(COUNTIF($D$2:$D1623,$D1623)=1,1,0))</f>
        <v/>
      </c>
      <c r="AI1623" s="18" t="str">
        <f aca="false">IF($AH1623=1,SUMPRODUCT(--($AK$2:$AK$4001&lt;$AK1623))+1,"")</f>
        <v/>
      </c>
      <c r="AJ1623" s="18" t="str">
        <f aca="false">IF($D1623="","",IF(OR($R1623=TRUE(),$R1623="TRUE"),1,0))</f>
        <v/>
      </c>
      <c r="AK1623" s="18" t="str">
        <f aca="false">IF($AH1623=1,IFERROR(VALUE(MID($D1623,2,20)),1000000000)+ROW()/10000000,"")</f>
        <v/>
      </c>
    </row>
    <row r="1624" customFormat="false" ht="15" hidden="false" customHeight="false" outlineLevel="0" collapsed="false">
      <c r="F1624" s="15"/>
      <c r="N1624" s="16" t="str">
        <f aca="false">IF($D1624="","",M1624*Y1624/100)</f>
        <v/>
      </c>
      <c r="V1624" s="16" t="str">
        <f aca="false">IF($D1624="","",Y1624*AB1624/100)</f>
        <v/>
      </c>
      <c r="W1624" s="16" t="str">
        <f aca="false">IF($D1624="","",Y1624-V1624)</f>
        <v/>
      </c>
      <c r="X1624" s="16" t="str">
        <f aca="false">IF($D1624="","",W1624-N1624)</f>
        <v/>
      </c>
      <c r="AB1624" s="17" t="str">
        <f aca="false">IF($D1624="","",IF(OR($R1624=TRUE(),$R1624="TRUE"),Settings!$C$6,Settings!$C$7)*100)</f>
        <v/>
      </c>
      <c r="AH1624" s="18" t="str">
        <f aca="false">IF($D1624="","",IF(COUNTIF($D$2:$D1624,$D1624)=1,1,0))</f>
        <v/>
      </c>
      <c r="AI1624" s="18" t="str">
        <f aca="false">IF($AH1624=1,SUMPRODUCT(--($AK$2:$AK$4001&lt;$AK1624))+1,"")</f>
        <v/>
      </c>
      <c r="AJ1624" s="18" t="str">
        <f aca="false">IF($D1624="","",IF(OR($R1624=TRUE(),$R1624="TRUE"),1,0))</f>
        <v/>
      </c>
      <c r="AK1624" s="18" t="str">
        <f aca="false">IF($AH1624=1,IFERROR(VALUE(MID($D1624,2,20)),1000000000)+ROW()/10000000,"")</f>
        <v/>
      </c>
    </row>
    <row r="1625" customFormat="false" ht="15" hidden="false" customHeight="false" outlineLevel="0" collapsed="false">
      <c r="F1625" s="15"/>
      <c r="N1625" s="16" t="str">
        <f aca="false">IF($D1625="","",M1625*Y1625/100)</f>
        <v/>
      </c>
      <c r="V1625" s="16" t="str">
        <f aca="false">IF($D1625="","",Y1625*AB1625/100)</f>
        <v/>
      </c>
      <c r="W1625" s="16" t="str">
        <f aca="false">IF($D1625="","",Y1625-V1625)</f>
        <v/>
      </c>
      <c r="X1625" s="16" t="str">
        <f aca="false">IF($D1625="","",W1625-N1625)</f>
        <v/>
      </c>
      <c r="AB1625" s="17" t="str">
        <f aca="false">IF($D1625="","",IF(OR($R1625=TRUE(),$R1625="TRUE"),Settings!$C$6,Settings!$C$7)*100)</f>
        <v/>
      </c>
      <c r="AH1625" s="18" t="str">
        <f aca="false">IF($D1625="","",IF(COUNTIF($D$2:$D1625,$D1625)=1,1,0))</f>
        <v/>
      </c>
      <c r="AI1625" s="18" t="str">
        <f aca="false">IF($AH1625=1,SUMPRODUCT(--($AK$2:$AK$4001&lt;$AK1625))+1,"")</f>
        <v/>
      </c>
      <c r="AJ1625" s="18" t="str">
        <f aca="false">IF($D1625="","",IF(OR($R1625=TRUE(),$R1625="TRUE"),1,0))</f>
        <v/>
      </c>
      <c r="AK1625" s="18" t="str">
        <f aca="false">IF($AH1625=1,IFERROR(VALUE(MID($D1625,2,20)),1000000000)+ROW()/10000000,"")</f>
        <v/>
      </c>
    </row>
    <row r="1626" customFormat="false" ht="15" hidden="false" customHeight="false" outlineLevel="0" collapsed="false">
      <c r="F1626" s="15"/>
      <c r="N1626" s="16" t="str">
        <f aca="false">IF($D1626="","",M1626*Y1626/100)</f>
        <v/>
      </c>
      <c r="V1626" s="16" t="str">
        <f aca="false">IF($D1626="","",Y1626*AB1626/100)</f>
        <v/>
      </c>
      <c r="W1626" s="16" t="str">
        <f aca="false">IF($D1626="","",Y1626-V1626)</f>
        <v/>
      </c>
      <c r="X1626" s="16" t="str">
        <f aca="false">IF($D1626="","",W1626-N1626)</f>
        <v/>
      </c>
      <c r="AB1626" s="17" t="str">
        <f aca="false">IF($D1626="","",IF(OR($R1626=TRUE(),$R1626="TRUE"),Settings!$C$6,Settings!$C$7)*100)</f>
        <v/>
      </c>
      <c r="AH1626" s="18" t="str">
        <f aca="false">IF($D1626="","",IF(COUNTIF($D$2:$D1626,$D1626)=1,1,0))</f>
        <v/>
      </c>
      <c r="AI1626" s="18" t="str">
        <f aca="false">IF($AH1626=1,SUMPRODUCT(--($AK$2:$AK$4001&lt;$AK1626))+1,"")</f>
        <v/>
      </c>
      <c r="AJ1626" s="18" t="str">
        <f aca="false">IF($D1626="","",IF(OR($R1626=TRUE(),$R1626="TRUE"),1,0))</f>
        <v/>
      </c>
      <c r="AK1626" s="18" t="str">
        <f aca="false">IF($AH1626=1,IFERROR(VALUE(MID($D1626,2,20)),1000000000)+ROW()/10000000,"")</f>
        <v/>
      </c>
    </row>
    <row r="1627" customFormat="false" ht="15" hidden="false" customHeight="false" outlineLevel="0" collapsed="false">
      <c r="F1627" s="15"/>
      <c r="N1627" s="16" t="str">
        <f aca="false">IF($D1627="","",M1627*Y1627/100)</f>
        <v/>
      </c>
      <c r="V1627" s="16" t="str">
        <f aca="false">IF($D1627="","",Y1627*AB1627/100)</f>
        <v/>
      </c>
      <c r="W1627" s="16" t="str">
        <f aca="false">IF($D1627="","",Y1627-V1627)</f>
        <v/>
      </c>
      <c r="X1627" s="16" t="str">
        <f aca="false">IF($D1627="","",W1627-N1627)</f>
        <v/>
      </c>
      <c r="AB1627" s="17" t="str">
        <f aca="false">IF($D1627="","",IF(OR($R1627=TRUE(),$R1627="TRUE"),Settings!$C$6,Settings!$C$7)*100)</f>
        <v/>
      </c>
      <c r="AH1627" s="18" t="str">
        <f aca="false">IF($D1627="","",IF(COUNTIF($D$2:$D1627,$D1627)=1,1,0))</f>
        <v/>
      </c>
      <c r="AI1627" s="18" t="str">
        <f aca="false">IF($AH1627=1,SUMPRODUCT(--($AK$2:$AK$4001&lt;$AK1627))+1,"")</f>
        <v/>
      </c>
      <c r="AJ1627" s="18" t="str">
        <f aca="false">IF($D1627="","",IF(OR($R1627=TRUE(),$R1627="TRUE"),1,0))</f>
        <v/>
      </c>
      <c r="AK1627" s="18" t="str">
        <f aca="false">IF($AH1627=1,IFERROR(VALUE(MID($D1627,2,20)),1000000000)+ROW()/10000000,"")</f>
        <v/>
      </c>
    </row>
    <row r="1628" customFormat="false" ht="15" hidden="false" customHeight="false" outlineLevel="0" collapsed="false">
      <c r="F1628" s="15"/>
      <c r="N1628" s="16" t="str">
        <f aca="false">IF($D1628="","",M1628*Y1628/100)</f>
        <v/>
      </c>
      <c r="V1628" s="16" t="str">
        <f aca="false">IF($D1628="","",Y1628*AB1628/100)</f>
        <v/>
      </c>
      <c r="W1628" s="16" t="str">
        <f aca="false">IF($D1628="","",Y1628-V1628)</f>
        <v/>
      </c>
      <c r="X1628" s="16" t="str">
        <f aca="false">IF($D1628="","",W1628-N1628)</f>
        <v/>
      </c>
      <c r="AB1628" s="17" t="str">
        <f aca="false">IF($D1628="","",IF(OR($R1628=TRUE(),$R1628="TRUE"),Settings!$C$6,Settings!$C$7)*100)</f>
        <v/>
      </c>
      <c r="AH1628" s="18" t="str">
        <f aca="false">IF($D1628="","",IF(COUNTIF($D$2:$D1628,$D1628)=1,1,0))</f>
        <v/>
      </c>
      <c r="AI1628" s="18" t="str">
        <f aca="false">IF($AH1628=1,SUMPRODUCT(--($AK$2:$AK$4001&lt;$AK1628))+1,"")</f>
        <v/>
      </c>
      <c r="AJ1628" s="18" t="str">
        <f aca="false">IF($D1628="","",IF(OR($R1628=TRUE(),$R1628="TRUE"),1,0))</f>
        <v/>
      </c>
      <c r="AK1628" s="18" t="str">
        <f aca="false">IF($AH1628=1,IFERROR(VALUE(MID($D1628,2,20)),1000000000)+ROW()/10000000,"")</f>
        <v/>
      </c>
    </row>
    <row r="1629" customFormat="false" ht="15" hidden="false" customHeight="false" outlineLevel="0" collapsed="false">
      <c r="F1629" s="15"/>
      <c r="N1629" s="16" t="str">
        <f aca="false">IF($D1629="","",M1629*Y1629/100)</f>
        <v/>
      </c>
      <c r="V1629" s="16" t="str">
        <f aca="false">IF($D1629="","",Y1629*AB1629/100)</f>
        <v/>
      </c>
      <c r="W1629" s="16" t="str">
        <f aca="false">IF($D1629="","",Y1629-V1629)</f>
        <v/>
      </c>
      <c r="X1629" s="16" t="str">
        <f aca="false">IF($D1629="","",W1629-N1629)</f>
        <v/>
      </c>
      <c r="AB1629" s="17" t="str">
        <f aca="false">IF($D1629="","",IF(OR($R1629=TRUE(),$R1629="TRUE"),Settings!$C$6,Settings!$C$7)*100)</f>
        <v/>
      </c>
      <c r="AH1629" s="18" t="str">
        <f aca="false">IF($D1629="","",IF(COUNTIF($D$2:$D1629,$D1629)=1,1,0))</f>
        <v/>
      </c>
      <c r="AI1629" s="18" t="str">
        <f aca="false">IF($AH1629=1,SUMPRODUCT(--($AK$2:$AK$4001&lt;$AK1629))+1,"")</f>
        <v/>
      </c>
      <c r="AJ1629" s="18" t="str">
        <f aca="false">IF($D1629="","",IF(OR($R1629=TRUE(),$R1629="TRUE"),1,0))</f>
        <v/>
      </c>
      <c r="AK1629" s="18" t="str">
        <f aca="false">IF($AH1629=1,IFERROR(VALUE(MID($D1629,2,20)),1000000000)+ROW()/10000000,"")</f>
        <v/>
      </c>
    </row>
    <row r="1630" customFormat="false" ht="15" hidden="false" customHeight="false" outlineLevel="0" collapsed="false">
      <c r="F1630" s="15"/>
      <c r="N1630" s="16" t="str">
        <f aca="false">IF($D1630="","",M1630*Y1630/100)</f>
        <v/>
      </c>
      <c r="V1630" s="16" t="str">
        <f aca="false">IF($D1630="","",Y1630*AB1630/100)</f>
        <v/>
      </c>
      <c r="W1630" s="16" t="str">
        <f aca="false">IF($D1630="","",Y1630-V1630)</f>
        <v/>
      </c>
      <c r="X1630" s="16" t="str">
        <f aca="false">IF($D1630="","",W1630-N1630)</f>
        <v/>
      </c>
      <c r="AB1630" s="17" t="str">
        <f aca="false">IF($D1630="","",IF(OR($R1630=TRUE(),$R1630="TRUE"),Settings!$C$6,Settings!$C$7)*100)</f>
        <v/>
      </c>
      <c r="AH1630" s="18" t="str">
        <f aca="false">IF($D1630="","",IF(COUNTIF($D$2:$D1630,$D1630)=1,1,0))</f>
        <v/>
      </c>
      <c r="AI1630" s="18" t="str">
        <f aca="false">IF($AH1630=1,SUMPRODUCT(--($AK$2:$AK$4001&lt;$AK1630))+1,"")</f>
        <v/>
      </c>
      <c r="AJ1630" s="18" t="str">
        <f aca="false">IF($D1630="","",IF(OR($R1630=TRUE(),$R1630="TRUE"),1,0))</f>
        <v/>
      </c>
      <c r="AK1630" s="18" t="str">
        <f aca="false">IF($AH1630=1,IFERROR(VALUE(MID($D1630,2,20)),1000000000)+ROW()/10000000,"")</f>
        <v/>
      </c>
    </row>
    <row r="1631" customFormat="false" ht="15" hidden="false" customHeight="false" outlineLevel="0" collapsed="false">
      <c r="F1631" s="15"/>
      <c r="N1631" s="16" t="str">
        <f aca="false">IF($D1631="","",M1631*Y1631/100)</f>
        <v/>
      </c>
      <c r="V1631" s="16" t="str">
        <f aca="false">IF($D1631="","",Y1631*AB1631/100)</f>
        <v/>
      </c>
      <c r="W1631" s="16" t="str">
        <f aca="false">IF($D1631="","",Y1631-V1631)</f>
        <v/>
      </c>
      <c r="X1631" s="16" t="str">
        <f aca="false">IF($D1631="","",W1631-N1631)</f>
        <v/>
      </c>
      <c r="AB1631" s="17" t="str">
        <f aca="false">IF($D1631="","",IF(OR($R1631=TRUE(),$R1631="TRUE"),Settings!$C$6,Settings!$C$7)*100)</f>
        <v/>
      </c>
      <c r="AH1631" s="18" t="str">
        <f aca="false">IF($D1631="","",IF(COUNTIF($D$2:$D1631,$D1631)=1,1,0))</f>
        <v/>
      </c>
      <c r="AI1631" s="18" t="str">
        <f aca="false">IF($AH1631=1,SUMPRODUCT(--($AK$2:$AK$4001&lt;$AK1631))+1,"")</f>
        <v/>
      </c>
      <c r="AJ1631" s="18" t="str">
        <f aca="false">IF($D1631="","",IF(OR($R1631=TRUE(),$R1631="TRUE"),1,0))</f>
        <v/>
      </c>
      <c r="AK1631" s="18" t="str">
        <f aca="false">IF($AH1631=1,IFERROR(VALUE(MID($D1631,2,20)),1000000000)+ROW()/10000000,"")</f>
        <v/>
      </c>
    </row>
    <row r="1632" customFormat="false" ht="15" hidden="false" customHeight="false" outlineLevel="0" collapsed="false">
      <c r="F1632" s="15"/>
      <c r="N1632" s="16" t="str">
        <f aca="false">IF($D1632="","",M1632*Y1632/100)</f>
        <v/>
      </c>
      <c r="V1632" s="16" t="str">
        <f aca="false">IF($D1632="","",Y1632*AB1632/100)</f>
        <v/>
      </c>
      <c r="W1632" s="16" t="str">
        <f aca="false">IF($D1632="","",Y1632-V1632)</f>
        <v/>
      </c>
      <c r="X1632" s="16" t="str">
        <f aca="false">IF($D1632="","",W1632-N1632)</f>
        <v/>
      </c>
      <c r="AB1632" s="17" t="str">
        <f aca="false">IF($D1632="","",IF(OR($R1632=TRUE(),$R1632="TRUE"),Settings!$C$6,Settings!$C$7)*100)</f>
        <v/>
      </c>
      <c r="AH1632" s="18" t="str">
        <f aca="false">IF($D1632="","",IF(COUNTIF($D$2:$D1632,$D1632)=1,1,0))</f>
        <v/>
      </c>
      <c r="AI1632" s="18" t="str">
        <f aca="false">IF($AH1632=1,SUMPRODUCT(--($AK$2:$AK$4001&lt;$AK1632))+1,"")</f>
        <v/>
      </c>
      <c r="AJ1632" s="18" t="str">
        <f aca="false">IF($D1632="","",IF(OR($R1632=TRUE(),$R1632="TRUE"),1,0))</f>
        <v/>
      </c>
      <c r="AK1632" s="18" t="str">
        <f aca="false">IF($AH1632=1,IFERROR(VALUE(MID($D1632,2,20)),1000000000)+ROW()/10000000,"")</f>
        <v/>
      </c>
    </row>
    <row r="1633" customFormat="false" ht="15" hidden="false" customHeight="false" outlineLevel="0" collapsed="false">
      <c r="F1633" s="15"/>
      <c r="N1633" s="16" t="str">
        <f aca="false">IF($D1633="","",M1633*Y1633/100)</f>
        <v/>
      </c>
      <c r="V1633" s="16" t="str">
        <f aca="false">IF($D1633="","",Y1633*AB1633/100)</f>
        <v/>
      </c>
      <c r="W1633" s="16" t="str">
        <f aca="false">IF($D1633="","",Y1633-V1633)</f>
        <v/>
      </c>
      <c r="X1633" s="16" t="str">
        <f aca="false">IF($D1633="","",W1633-N1633)</f>
        <v/>
      </c>
      <c r="AB1633" s="17" t="str">
        <f aca="false">IF($D1633="","",IF(OR($R1633=TRUE(),$R1633="TRUE"),Settings!$C$6,Settings!$C$7)*100)</f>
        <v/>
      </c>
      <c r="AH1633" s="18" t="str">
        <f aca="false">IF($D1633="","",IF(COUNTIF($D$2:$D1633,$D1633)=1,1,0))</f>
        <v/>
      </c>
      <c r="AI1633" s="18" t="str">
        <f aca="false">IF($AH1633=1,SUMPRODUCT(--($AK$2:$AK$4001&lt;$AK1633))+1,"")</f>
        <v/>
      </c>
      <c r="AJ1633" s="18" t="str">
        <f aca="false">IF($D1633="","",IF(OR($R1633=TRUE(),$R1633="TRUE"),1,0))</f>
        <v/>
      </c>
      <c r="AK1633" s="18" t="str">
        <f aca="false">IF($AH1633=1,IFERROR(VALUE(MID($D1633,2,20)),1000000000)+ROW()/10000000,"")</f>
        <v/>
      </c>
    </row>
    <row r="1634" customFormat="false" ht="15" hidden="false" customHeight="false" outlineLevel="0" collapsed="false">
      <c r="F1634" s="15"/>
      <c r="N1634" s="16" t="str">
        <f aca="false">IF($D1634="","",M1634*Y1634/100)</f>
        <v/>
      </c>
      <c r="V1634" s="16" t="str">
        <f aca="false">IF($D1634="","",Y1634*AB1634/100)</f>
        <v/>
      </c>
      <c r="W1634" s="16" t="str">
        <f aca="false">IF($D1634="","",Y1634-V1634)</f>
        <v/>
      </c>
      <c r="X1634" s="16" t="str">
        <f aca="false">IF($D1634="","",W1634-N1634)</f>
        <v/>
      </c>
      <c r="AB1634" s="17" t="str">
        <f aca="false">IF($D1634="","",IF(OR($R1634=TRUE(),$R1634="TRUE"),Settings!$C$6,Settings!$C$7)*100)</f>
        <v/>
      </c>
      <c r="AH1634" s="18" t="str">
        <f aca="false">IF($D1634="","",IF(COUNTIF($D$2:$D1634,$D1634)=1,1,0))</f>
        <v/>
      </c>
      <c r="AI1634" s="18" t="str">
        <f aca="false">IF($AH1634=1,SUMPRODUCT(--($AK$2:$AK$4001&lt;$AK1634))+1,"")</f>
        <v/>
      </c>
      <c r="AJ1634" s="18" t="str">
        <f aca="false">IF($D1634="","",IF(OR($R1634=TRUE(),$R1634="TRUE"),1,0))</f>
        <v/>
      </c>
      <c r="AK1634" s="18" t="str">
        <f aca="false">IF($AH1634=1,IFERROR(VALUE(MID($D1634,2,20)),1000000000)+ROW()/10000000,"")</f>
        <v/>
      </c>
    </row>
    <row r="1635" customFormat="false" ht="15" hidden="false" customHeight="false" outlineLevel="0" collapsed="false">
      <c r="F1635" s="15"/>
      <c r="N1635" s="16" t="str">
        <f aca="false">IF($D1635="","",M1635*Y1635/100)</f>
        <v/>
      </c>
      <c r="V1635" s="16" t="str">
        <f aca="false">IF($D1635="","",Y1635*AB1635/100)</f>
        <v/>
      </c>
      <c r="W1635" s="16" t="str">
        <f aca="false">IF($D1635="","",Y1635-V1635)</f>
        <v/>
      </c>
      <c r="X1635" s="16" t="str">
        <f aca="false">IF($D1635="","",W1635-N1635)</f>
        <v/>
      </c>
      <c r="AB1635" s="17" t="str">
        <f aca="false">IF($D1635="","",IF(OR($R1635=TRUE(),$R1635="TRUE"),Settings!$C$6,Settings!$C$7)*100)</f>
        <v/>
      </c>
      <c r="AH1635" s="18" t="str">
        <f aca="false">IF($D1635="","",IF(COUNTIF($D$2:$D1635,$D1635)=1,1,0))</f>
        <v/>
      </c>
      <c r="AI1635" s="18" t="str">
        <f aca="false">IF($AH1635=1,SUMPRODUCT(--($AK$2:$AK$4001&lt;$AK1635))+1,"")</f>
        <v/>
      </c>
      <c r="AJ1635" s="18" t="str">
        <f aca="false">IF($D1635="","",IF(OR($R1635=TRUE(),$R1635="TRUE"),1,0))</f>
        <v/>
      </c>
      <c r="AK1635" s="18" t="str">
        <f aca="false">IF($AH1635=1,IFERROR(VALUE(MID($D1635,2,20)),1000000000)+ROW()/10000000,"")</f>
        <v/>
      </c>
    </row>
    <row r="1636" customFormat="false" ht="15" hidden="false" customHeight="false" outlineLevel="0" collapsed="false">
      <c r="F1636" s="15"/>
      <c r="N1636" s="16" t="str">
        <f aca="false">IF($D1636="","",M1636*Y1636/100)</f>
        <v/>
      </c>
      <c r="V1636" s="16" t="str">
        <f aca="false">IF($D1636="","",Y1636*AB1636/100)</f>
        <v/>
      </c>
      <c r="W1636" s="16" t="str">
        <f aca="false">IF($D1636="","",Y1636-V1636)</f>
        <v/>
      </c>
      <c r="X1636" s="16" t="str">
        <f aca="false">IF($D1636="","",W1636-N1636)</f>
        <v/>
      </c>
      <c r="AB1636" s="17" t="str">
        <f aca="false">IF($D1636="","",IF(OR($R1636=TRUE(),$R1636="TRUE"),Settings!$C$6,Settings!$C$7)*100)</f>
        <v/>
      </c>
      <c r="AH1636" s="18" t="str">
        <f aca="false">IF($D1636="","",IF(COUNTIF($D$2:$D1636,$D1636)=1,1,0))</f>
        <v/>
      </c>
      <c r="AI1636" s="18" t="str">
        <f aca="false">IF($AH1636=1,SUMPRODUCT(--($AK$2:$AK$4001&lt;$AK1636))+1,"")</f>
        <v/>
      </c>
      <c r="AJ1636" s="18" t="str">
        <f aca="false">IF($D1636="","",IF(OR($R1636=TRUE(),$R1636="TRUE"),1,0))</f>
        <v/>
      </c>
      <c r="AK1636" s="18" t="str">
        <f aca="false">IF($AH1636=1,IFERROR(VALUE(MID($D1636,2,20)),1000000000)+ROW()/10000000,"")</f>
        <v/>
      </c>
    </row>
    <row r="1637" customFormat="false" ht="15" hidden="false" customHeight="false" outlineLevel="0" collapsed="false">
      <c r="F1637" s="15"/>
      <c r="N1637" s="16" t="str">
        <f aca="false">IF($D1637="","",M1637*Y1637/100)</f>
        <v/>
      </c>
      <c r="V1637" s="16" t="str">
        <f aca="false">IF($D1637="","",Y1637*AB1637/100)</f>
        <v/>
      </c>
      <c r="W1637" s="16" t="str">
        <f aca="false">IF($D1637="","",Y1637-V1637)</f>
        <v/>
      </c>
      <c r="X1637" s="16" t="str">
        <f aca="false">IF($D1637="","",W1637-N1637)</f>
        <v/>
      </c>
      <c r="AB1637" s="17" t="str">
        <f aca="false">IF($D1637="","",IF(OR($R1637=TRUE(),$R1637="TRUE"),Settings!$C$6,Settings!$C$7)*100)</f>
        <v/>
      </c>
      <c r="AH1637" s="18" t="str">
        <f aca="false">IF($D1637="","",IF(COUNTIF($D$2:$D1637,$D1637)=1,1,0))</f>
        <v/>
      </c>
      <c r="AI1637" s="18" t="str">
        <f aca="false">IF($AH1637=1,SUMPRODUCT(--($AK$2:$AK$4001&lt;$AK1637))+1,"")</f>
        <v/>
      </c>
      <c r="AJ1637" s="18" t="str">
        <f aca="false">IF($D1637="","",IF(OR($R1637=TRUE(),$R1637="TRUE"),1,0))</f>
        <v/>
      </c>
      <c r="AK1637" s="18" t="str">
        <f aca="false">IF($AH1637=1,IFERROR(VALUE(MID($D1637,2,20)),1000000000)+ROW()/10000000,"")</f>
        <v/>
      </c>
    </row>
    <row r="1638" customFormat="false" ht="15" hidden="false" customHeight="false" outlineLevel="0" collapsed="false">
      <c r="F1638" s="15"/>
      <c r="N1638" s="16" t="str">
        <f aca="false">IF($D1638="","",M1638*Y1638/100)</f>
        <v/>
      </c>
      <c r="V1638" s="16" t="str">
        <f aca="false">IF($D1638="","",Y1638*AB1638/100)</f>
        <v/>
      </c>
      <c r="W1638" s="16" t="str">
        <f aca="false">IF($D1638="","",Y1638-V1638)</f>
        <v/>
      </c>
      <c r="X1638" s="16" t="str">
        <f aca="false">IF($D1638="","",W1638-N1638)</f>
        <v/>
      </c>
      <c r="AB1638" s="17" t="str">
        <f aca="false">IF($D1638="","",IF(OR($R1638=TRUE(),$R1638="TRUE"),Settings!$C$6,Settings!$C$7)*100)</f>
        <v/>
      </c>
      <c r="AH1638" s="18" t="str">
        <f aca="false">IF($D1638="","",IF(COUNTIF($D$2:$D1638,$D1638)=1,1,0))</f>
        <v/>
      </c>
      <c r="AI1638" s="18" t="str">
        <f aca="false">IF($AH1638=1,SUMPRODUCT(--($AK$2:$AK$4001&lt;$AK1638))+1,"")</f>
        <v/>
      </c>
      <c r="AJ1638" s="18" t="str">
        <f aca="false">IF($D1638="","",IF(OR($R1638=TRUE(),$R1638="TRUE"),1,0))</f>
        <v/>
      </c>
      <c r="AK1638" s="18" t="str">
        <f aca="false">IF($AH1638=1,IFERROR(VALUE(MID($D1638,2,20)),1000000000)+ROW()/10000000,"")</f>
        <v/>
      </c>
    </row>
    <row r="1639" customFormat="false" ht="15" hidden="false" customHeight="false" outlineLevel="0" collapsed="false">
      <c r="F1639" s="15"/>
      <c r="N1639" s="16" t="str">
        <f aca="false">IF($D1639="","",M1639*Y1639/100)</f>
        <v/>
      </c>
      <c r="V1639" s="16" t="str">
        <f aca="false">IF($D1639="","",Y1639*AB1639/100)</f>
        <v/>
      </c>
      <c r="W1639" s="16" t="str">
        <f aca="false">IF($D1639="","",Y1639-V1639)</f>
        <v/>
      </c>
      <c r="X1639" s="16" t="str">
        <f aca="false">IF($D1639="","",W1639-N1639)</f>
        <v/>
      </c>
      <c r="AB1639" s="17" t="str">
        <f aca="false">IF($D1639="","",IF(OR($R1639=TRUE(),$R1639="TRUE"),Settings!$C$6,Settings!$C$7)*100)</f>
        <v/>
      </c>
      <c r="AH1639" s="18" t="str">
        <f aca="false">IF($D1639="","",IF(COUNTIF($D$2:$D1639,$D1639)=1,1,0))</f>
        <v/>
      </c>
      <c r="AI1639" s="18" t="str">
        <f aca="false">IF($AH1639=1,SUMPRODUCT(--($AK$2:$AK$4001&lt;$AK1639))+1,"")</f>
        <v/>
      </c>
      <c r="AJ1639" s="18" t="str">
        <f aca="false">IF($D1639="","",IF(OR($R1639=TRUE(),$R1639="TRUE"),1,0))</f>
        <v/>
      </c>
      <c r="AK1639" s="18" t="str">
        <f aca="false">IF($AH1639=1,IFERROR(VALUE(MID($D1639,2,20)),1000000000)+ROW()/10000000,"")</f>
        <v/>
      </c>
    </row>
    <row r="1640" customFormat="false" ht="15" hidden="false" customHeight="false" outlineLevel="0" collapsed="false">
      <c r="F1640" s="15"/>
      <c r="N1640" s="16" t="str">
        <f aca="false">IF($D1640="","",M1640*Y1640/100)</f>
        <v/>
      </c>
      <c r="V1640" s="16" t="str">
        <f aca="false">IF($D1640="","",Y1640*AB1640/100)</f>
        <v/>
      </c>
      <c r="W1640" s="16" t="str">
        <f aca="false">IF($D1640="","",Y1640-V1640)</f>
        <v/>
      </c>
      <c r="X1640" s="16" t="str">
        <f aca="false">IF($D1640="","",W1640-N1640)</f>
        <v/>
      </c>
      <c r="AB1640" s="17" t="str">
        <f aca="false">IF($D1640="","",IF(OR($R1640=TRUE(),$R1640="TRUE"),Settings!$C$6,Settings!$C$7)*100)</f>
        <v/>
      </c>
      <c r="AH1640" s="18" t="str">
        <f aca="false">IF($D1640="","",IF(COUNTIF($D$2:$D1640,$D1640)=1,1,0))</f>
        <v/>
      </c>
      <c r="AI1640" s="18" t="str">
        <f aca="false">IF($AH1640=1,SUMPRODUCT(--($AK$2:$AK$4001&lt;$AK1640))+1,"")</f>
        <v/>
      </c>
      <c r="AJ1640" s="18" t="str">
        <f aca="false">IF($D1640="","",IF(OR($R1640=TRUE(),$R1640="TRUE"),1,0))</f>
        <v/>
      </c>
      <c r="AK1640" s="18" t="str">
        <f aca="false">IF($AH1640=1,IFERROR(VALUE(MID($D1640,2,20)),1000000000)+ROW()/10000000,"")</f>
        <v/>
      </c>
    </row>
    <row r="1641" customFormat="false" ht="15" hidden="false" customHeight="false" outlineLevel="0" collapsed="false">
      <c r="F1641" s="15"/>
      <c r="N1641" s="16" t="str">
        <f aca="false">IF($D1641="","",M1641*Y1641/100)</f>
        <v/>
      </c>
      <c r="V1641" s="16" t="str">
        <f aca="false">IF($D1641="","",Y1641*AB1641/100)</f>
        <v/>
      </c>
      <c r="W1641" s="16" t="str">
        <f aca="false">IF($D1641="","",Y1641-V1641)</f>
        <v/>
      </c>
      <c r="X1641" s="16" t="str">
        <f aca="false">IF($D1641="","",W1641-N1641)</f>
        <v/>
      </c>
      <c r="AB1641" s="17" t="str">
        <f aca="false">IF($D1641="","",IF(OR($R1641=TRUE(),$R1641="TRUE"),Settings!$C$6,Settings!$C$7)*100)</f>
        <v/>
      </c>
      <c r="AH1641" s="18" t="str">
        <f aca="false">IF($D1641="","",IF(COUNTIF($D$2:$D1641,$D1641)=1,1,0))</f>
        <v/>
      </c>
      <c r="AI1641" s="18" t="str">
        <f aca="false">IF($AH1641=1,SUMPRODUCT(--($AK$2:$AK$4001&lt;$AK1641))+1,"")</f>
        <v/>
      </c>
      <c r="AJ1641" s="18" t="str">
        <f aca="false">IF($D1641="","",IF(OR($R1641=TRUE(),$R1641="TRUE"),1,0))</f>
        <v/>
      </c>
      <c r="AK1641" s="18" t="str">
        <f aca="false">IF($AH1641=1,IFERROR(VALUE(MID($D1641,2,20)),1000000000)+ROW()/10000000,"")</f>
        <v/>
      </c>
    </row>
    <row r="1642" customFormat="false" ht="15" hidden="false" customHeight="false" outlineLevel="0" collapsed="false">
      <c r="F1642" s="15"/>
      <c r="N1642" s="16" t="str">
        <f aca="false">IF($D1642="","",M1642*Y1642/100)</f>
        <v/>
      </c>
      <c r="V1642" s="16" t="str">
        <f aca="false">IF($D1642="","",Y1642*AB1642/100)</f>
        <v/>
      </c>
      <c r="W1642" s="16" t="str">
        <f aca="false">IF($D1642="","",Y1642-V1642)</f>
        <v/>
      </c>
      <c r="X1642" s="16" t="str">
        <f aca="false">IF($D1642="","",W1642-N1642)</f>
        <v/>
      </c>
      <c r="AB1642" s="17" t="str">
        <f aca="false">IF($D1642="","",IF(OR($R1642=TRUE(),$R1642="TRUE"),Settings!$C$6,Settings!$C$7)*100)</f>
        <v/>
      </c>
      <c r="AH1642" s="18" t="str">
        <f aca="false">IF($D1642="","",IF(COUNTIF($D$2:$D1642,$D1642)=1,1,0))</f>
        <v/>
      </c>
      <c r="AI1642" s="18" t="str">
        <f aca="false">IF($AH1642=1,SUMPRODUCT(--($AK$2:$AK$4001&lt;$AK1642))+1,"")</f>
        <v/>
      </c>
      <c r="AJ1642" s="18" t="str">
        <f aca="false">IF($D1642="","",IF(OR($R1642=TRUE(),$R1642="TRUE"),1,0))</f>
        <v/>
      </c>
      <c r="AK1642" s="18" t="str">
        <f aca="false">IF($AH1642=1,IFERROR(VALUE(MID($D1642,2,20)),1000000000)+ROW()/10000000,"")</f>
        <v/>
      </c>
    </row>
    <row r="1643" customFormat="false" ht="15" hidden="false" customHeight="false" outlineLevel="0" collapsed="false">
      <c r="F1643" s="15"/>
      <c r="N1643" s="16" t="str">
        <f aca="false">IF($D1643="","",M1643*Y1643/100)</f>
        <v/>
      </c>
      <c r="V1643" s="16" t="str">
        <f aca="false">IF($D1643="","",Y1643*AB1643/100)</f>
        <v/>
      </c>
      <c r="W1643" s="16" t="str">
        <f aca="false">IF($D1643="","",Y1643-V1643)</f>
        <v/>
      </c>
      <c r="X1643" s="16" t="str">
        <f aca="false">IF($D1643="","",W1643-N1643)</f>
        <v/>
      </c>
      <c r="AB1643" s="17" t="str">
        <f aca="false">IF($D1643="","",IF(OR($R1643=TRUE(),$R1643="TRUE"),Settings!$C$6,Settings!$C$7)*100)</f>
        <v/>
      </c>
      <c r="AH1643" s="18" t="str">
        <f aca="false">IF($D1643="","",IF(COUNTIF($D$2:$D1643,$D1643)=1,1,0))</f>
        <v/>
      </c>
      <c r="AI1643" s="18" t="str">
        <f aca="false">IF($AH1643=1,SUMPRODUCT(--($AK$2:$AK$4001&lt;$AK1643))+1,"")</f>
        <v/>
      </c>
      <c r="AJ1643" s="18" t="str">
        <f aca="false">IF($D1643="","",IF(OR($R1643=TRUE(),$R1643="TRUE"),1,0))</f>
        <v/>
      </c>
      <c r="AK1643" s="18" t="str">
        <f aca="false">IF($AH1643=1,IFERROR(VALUE(MID($D1643,2,20)),1000000000)+ROW()/10000000,"")</f>
        <v/>
      </c>
    </row>
    <row r="1644" customFormat="false" ht="15" hidden="false" customHeight="false" outlineLevel="0" collapsed="false">
      <c r="F1644" s="15"/>
      <c r="N1644" s="16" t="str">
        <f aca="false">IF($D1644="","",M1644*Y1644/100)</f>
        <v/>
      </c>
      <c r="V1644" s="16" t="str">
        <f aca="false">IF($D1644="","",Y1644*AB1644/100)</f>
        <v/>
      </c>
      <c r="W1644" s="16" t="str">
        <f aca="false">IF($D1644="","",Y1644-V1644)</f>
        <v/>
      </c>
      <c r="X1644" s="16" t="str">
        <f aca="false">IF($D1644="","",W1644-N1644)</f>
        <v/>
      </c>
      <c r="AB1644" s="17" t="str">
        <f aca="false">IF($D1644="","",IF(OR($R1644=TRUE(),$R1644="TRUE"),Settings!$C$6,Settings!$C$7)*100)</f>
        <v/>
      </c>
      <c r="AH1644" s="18" t="str">
        <f aca="false">IF($D1644="","",IF(COUNTIF($D$2:$D1644,$D1644)=1,1,0))</f>
        <v/>
      </c>
      <c r="AI1644" s="18" t="str">
        <f aca="false">IF($AH1644=1,SUMPRODUCT(--($AK$2:$AK$4001&lt;$AK1644))+1,"")</f>
        <v/>
      </c>
      <c r="AJ1644" s="18" t="str">
        <f aca="false">IF($D1644="","",IF(OR($R1644=TRUE(),$R1644="TRUE"),1,0))</f>
        <v/>
      </c>
      <c r="AK1644" s="18" t="str">
        <f aca="false">IF($AH1644=1,IFERROR(VALUE(MID($D1644,2,20)),1000000000)+ROW()/10000000,"")</f>
        <v/>
      </c>
    </row>
    <row r="1645" customFormat="false" ht="15" hidden="false" customHeight="false" outlineLevel="0" collapsed="false">
      <c r="F1645" s="15"/>
      <c r="N1645" s="16" t="str">
        <f aca="false">IF($D1645="","",M1645*Y1645/100)</f>
        <v/>
      </c>
      <c r="V1645" s="16" t="str">
        <f aca="false">IF($D1645="","",Y1645*AB1645/100)</f>
        <v/>
      </c>
      <c r="W1645" s="16" t="str">
        <f aca="false">IF($D1645="","",Y1645-V1645)</f>
        <v/>
      </c>
      <c r="X1645" s="16" t="str">
        <f aca="false">IF($D1645="","",W1645-N1645)</f>
        <v/>
      </c>
      <c r="AB1645" s="17" t="str">
        <f aca="false">IF($D1645="","",IF(OR($R1645=TRUE(),$R1645="TRUE"),Settings!$C$6,Settings!$C$7)*100)</f>
        <v/>
      </c>
      <c r="AH1645" s="18" t="str">
        <f aca="false">IF($D1645="","",IF(COUNTIF($D$2:$D1645,$D1645)=1,1,0))</f>
        <v/>
      </c>
      <c r="AI1645" s="18" t="str">
        <f aca="false">IF($AH1645=1,SUMPRODUCT(--($AK$2:$AK$4001&lt;$AK1645))+1,"")</f>
        <v/>
      </c>
      <c r="AJ1645" s="18" t="str">
        <f aca="false">IF($D1645="","",IF(OR($R1645=TRUE(),$R1645="TRUE"),1,0))</f>
        <v/>
      </c>
      <c r="AK1645" s="18" t="str">
        <f aca="false">IF($AH1645=1,IFERROR(VALUE(MID($D1645,2,20)),1000000000)+ROW()/10000000,"")</f>
        <v/>
      </c>
    </row>
    <row r="1646" customFormat="false" ht="15" hidden="false" customHeight="false" outlineLevel="0" collapsed="false">
      <c r="F1646" s="15"/>
      <c r="N1646" s="16" t="str">
        <f aca="false">IF($D1646="","",M1646*Y1646/100)</f>
        <v/>
      </c>
      <c r="V1646" s="16" t="str">
        <f aca="false">IF($D1646="","",Y1646*AB1646/100)</f>
        <v/>
      </c>
      <c r="W1646" s="16" t="str">
        <f aca="false">IF($D1646="","",Y1646-V1646)</f>
        <v/>
      </c>
      <c r="X1646" s="16" t="str">
        <f aca="false">IF($D1646="","",W1646-N1646)</f>
        <v/>
      </c>
      <c r="AB1646" s="17" t="str">
        <f aca="false">IF($D1646="","",IF(OR($R1646=TRUE(),$R1646="TRUE"),Settings!$C$6,Settings!$C$7)*100)</f>
        <v/>
      </c>
      <c r="AH1646" s="18" t="str">
        <f aca="false">IF($D1646="","",IF(COUNTIF($D$2:$D1646,$D1646)=1,1,0))</f>
        <v/>
      </c>
      <c r="AI1646" s="18" t="str">
        <f aca="false">IF($AH1646=1,SUMPRODUCT(--($AK$2:$AK$4001&lt;$AK1646))+1,"")</f>
        <v/>
      </c>
      <c r="AJ1646" s="18" t="str">
        <f aca="false">IF($D1646="","",IF(OR($R1646=TRUE(),$R1646="TRUE"),1,0))</f>
        <v/>
      </c>
      <c r="AK1646" s="18" t="str">
        <f aca="false">IF($AH1646=1,IFERROR(VALUE(MID($D1646,2,20)),1000000000)+ROW()/10000000,"")</f>
        <v/>
      </c>
    </row>
    <row r="1647" customFormat="false" ht="15" hidden="false" customHeight="false" outlineLevel="0" collapsed="false">
      <c r="F1647" s="15"/>
      <c r="N1647" s="16" t="str">
        <f aca="false">IF($D1647="","",M1647*Y1647/100)</f>
        <v/>
      </c>
      <c r="V1647" s="16" t="str">
        <f aca="false">IF($D1647="","",Y1647*AB1647/100)</f>
        <v/>
      </c>
      <c r="W1647" s="16" t="str">
        <f aca="false">IF($D1647="","",Y1647-V1647)</f>
        <v/>
      </c>
      <c r="X1647" s="16" t="str">
        <f aca="false">IF($D1647="","",W1647-N1647)</f>
        <v/>
      </c>
      <c r="AB1647" s="17" t="str">
        <f aca="false">IF($D1647="","",IF(OR($R1647=TRUE(),$R1647="TRUE"),Settings!$C$6,Settings!$C$7)*100)</f>
        <v/>
      </c>
      <c r="AH1647" s="18" t="str">
        <f aca="false">IF($D1647="","",IF(COUNTIF($D$2:$D1647,$D1647)=1,1,0))</f>
        <v/>
      </c>
      <c r="AI1647" s="18" t="str">
        <f aca="false">IF($AH1647=1,SUMPRODUCT(--($AK$2:$AK$4001&lt;$AK1647))+1,"")</f>
        <v/>
      </c>
      <c r="AJ1647" s="18" t="str">
        <f aca="false">IF($D1647="","",IF(OR($R1647=TRUE(),$R1647="TRUE"),1,0))</f>
        <v/>
      </c>
      <c r="AK1647" s="18" t="str">
        <f aca="false">IF($AH1647=1,IFERROR(VALUE(MID($D1647,2,20)),1000000000)+ROW()/10000000,"")</f>
        <v/>
      </c>
    </row>
    <row r="1648" customFormat="false" ht="15" hidden="false" customHeight="false" outlineLevel="0" collapsed="false">
      <c r="F1648" s="15"/>
      <c r="N1648" s="16" t="str">
        <f aca="false">IF($D1648="","",M1648*Y1648/100)</f>
        <v/>
      </c>
      <c r="V1648" s="16" t="str">
        <f aca="false">IF($D1648="","",Y1648*AB1648/100)</f>
        <v/>
      </c>
      <c r="W1648" s="16" t="str">
        <f aca="false">IF($D1648="","",Y1648-V1648)</f>
        <v/>
      </c>
      <c r="X1648" s="16" t="str">
        <f aca="false">IF($D1648="","",W1648-N1648)</f>
        <v/>
      </c>
      <c r="AB1648" s="17" t="str">
        <f aca="false">IF($D1648="","",IF(OR($R1648=TRUE(),$R1648="TRUE"),Settings!$C$6,Settings!$C$7)*100)</f>
        <v/>
      </c>
      <c r="AH1648" s="18" t="str">
        <f aca="false">IF($D1648="","",IF(COUNTIF($D$2:$D1648,$D1648)=1,1,0))</f>
        <v/>
      </c>
      <c r="AI1648" s="18" t="str">
        <f aca="false">IF($AH1648=1,SUMPRODUCT(--($AK$2:$AK$4001&lt;$AK1648))+1,"")</f>
        <v/>
      </c>
      <c r="AJ1648" s="18" t="str">
        <f aca="false">IF($D1648="","",IF(OR($R1648=TRUE(),$R1648="TRUE"),1,0))</f>
        <v/>
      </c>
      <c r="AK1648" s="18" t="str">
        <f aca="false">IF($AH1648=1,IFERROR(VALUE(MID($D1648,2,20)),1000000000)+ROW()/10000000,"")</f>
        <v/>
      </c>
    </row>
    <row r="1649" customFormat="false" ht="15" hidden="false" customHeight="false" outlineLevel="0" collapsed="false">
      <c r="F1649" s="15"/>
      <c r="N1649" s="16" t="str">
        <f aca="false">IF($D1649="","",M1649*Y1649/100)</f>
        <v/>
      </c>
      <c r="V1649" s="16" t="str">
        <f aca="false">IF($D1649="","",Y1649*AB1649/100)</f>
        <v/>
      </c>
      <c r="W1649" s="16" t="str">
        <f aca="false">IF($D1649="","",Y1649-V1649)</f>
        <v/>
      </c>
      <c r="X1649" s="16" t="str">
        <f aca="false">IF($D1649="","",W1649-N1649)</f>
        <v/>
      </c>
      <c r="AB1649" s="17" t="str">
        <f aca="false">IF($D1649="","",IF(OR($R1649=TRUE(),$R1649="TRUE"),Settings!$C$6,Settings!$C$7)*100)</f>
        <v/>
      </c>
      <c r="AH1649" s="18" t="str">
        <f aca="false">IF($D1649="","",IF(COUNTIF($D$2:$D1649,$D1649)=1,1,0))</f>
        <v/>
      </c>
      <c r="AI1649" s="18" t="str">
        <f aca="false">IF($AH1649=1,SUMPRODUCT(--($AK$2:$AK$4001&lt;$AK1649))+1,"")</f>
        <v/>
      </c>
      <c r="AJ1649" s="18" t="str">
        <f aca="false">IF($D1649="","",IF(OR($R1649=TRUE(),$R1649="TRUE"),1,0))</f>
        <v/>
      </c>
      <c r="AK1649" s="18" t="str">
        <f aca="false">IF($AH1649=1,IFERROR(VALUE(MID($D1649,2,20)),1000000000)+ROW()/10000000,"")</f>
        <v/>
      </c>
    </row>
    <row r="1650" customFormat="false" ht="15" hidden="false" customHeight="false" outlineLevel="0" collapsed="false">
      <c r="F1650" s="15"/>
      <c r="N1650" s="16" t="str">
        <f aca="false">IF($D1650="","",M1650*Y1650/100)</f>
        <v/>
      </c>
      <c r="V1650" s="16" t="str">
        <f aca="false">IF($D1650="","",Y1650*AB1650/100)</f>
        <v/>
      </c>
      <c r="W1650" s="16" t="str">
        <f aca="false">IF($D1650="","",Y1650-V1650)</f>
        <v/>
      </c>
      <c r="X1650" s="16" t="str">
        <f aca="false">IF($D1650="","",W1650-N1650)</f>
        <v/>
      </c>
      <c r="AB1650" s="17" t="str">
        <f aca="false">IF($D1650="","",IF(OR($R1650=TRUE(),$R1650="TRUE"),Settings!$C$6,Settings!$C$7)*100)</f>
        <v/>
      </c>
      <c r="AH1650" s="18" t="str">
        <f aca="false">IF($D1650="","",IF(COUNTIF($D$2:$D1650,$D1650)=1,1,0))</f>
        <v/>
      </c>
      <c r="AI1650" s="18" t="str">
        <f aca="false">IF($AH1650=1,SUMPRODUCT(--($AK$2:$AK$4001&lt;$AK1650))+1,"")</f>
        <v/>
      </c>
      <c r="AJ1650" s="18" t="str">
        <f aca="false">IF($D1650="","",IF(OR($R1650=TRUE(),$R1650="TRUE"),1,0))</f>
        <v/>
      </c>
      <c r="AK1650" s="18" t="str">
        <f aca="false">IF($AH1650=1,IFERROR(VALUE(MID($D1650,2,20)),1000000000)+ROW()/10000000,"")</f>
        <v/>
      </c>
    </row>
    <row r="1651" customFormat="false" ht="15" hidden="false" customHeight="false" outlineLevel="0" collapsed="false">
      <c r="F1651" s="15"/>
      <c r="N1651" s="16" t="str">
        <f aca="false">IF($D1651="","",M1651*Y1651/100)</f>
        <v/>
      </c>
      <c r="V1651" s="16" t="str">
        <f aca="false">IF($D1651="","",Y1651*AB1651/100)</f>
        <v/>
      </c>
      <c r="W1651" s="16" t="str">
        <f aca="false">IF($D1651="","",Y1651-V1651)</f>
        <v/>
      </c>
      <c r="X1651" s="16" t="str">
        <f aca="false">IF($D1651="","",W1651-N1651)</f>
        <v/>
      </c>
      <c r="AB1651" s="17" t="str">
        <f aca="false">IF($D1651="","",IF(OR($R1651=TRUE(),$R1651="TRUE"),Settings!$C$6,Settings!$C$7)*100)</f>
        <v/>
      </c>
      <c r="AH1651" s="18" t="str">
        <f aca="false">IF($D1651="","",IF(COUNTIF($D$2:$D1651,$D1651)=1,1,0))</f>
        <v/>
      </c>
      <c r="AI1651" s="18" t="str">
        <f aca="false">IF($AH1651=1,SUMPRODUCT(--($AK$2:$AK$4001&lt;$AK1651))+1,"")</f>
        <v/>
      </c>
      <c r="AJ1651" s="18" t="str">
        <f aca="false">IF($D1651="","",IF(OR($R1651=TRUE(),$R1651="TRUE"),1,0))</f>
        <v/>
      </c>
      <c r="AK1651" s="18" t="str">
        <f aca="false">IF($AH1651=1,IFERROR(VALUE(MID($D1651,2,20)),1000000000)+ROW()/10000000,"")</f>
        <v/>
      </c>
    </row>
    <row r="1652" customFormat="false" ht="15" hidden="false" customHeight="false" outlineLevel="0" collapsed="false">
      <c r="F1652" s="15"/>
      <c r="N1652" s="16" t="str">
        <f aca="false">IF($D1652="","",M1652*Y1652/100)</f>
        <v/>
      </c>
      <c r="V1652" s="16" t="str">
        <f aca="false">IF($D1652="","",Y1652*AB1652/100)</f>
        <v/>
      </c>
      <c r="W1652" s="16" t="str">
        <f aca="false">IF($D1652="","",Y1652-V1652)</f>
        <v/>
      </c>
      <c r="X1652" s="16" t="str">
        <f aca="false">IF($D1652="","",W1652-N1652)</f>
        <v/>
      </c>
      <c r="AB1652" s="17" t="str">
        <f aca="false">IF($D1652="","",IF(OR($R1652=TRUE(),$R1652="TRUE"),Settings!$C$6,Settings!$C$7)*100)</f>
        <v/>
      </c>
      <c r="AH1652" s="18" t="str">
        <f aca="false">IF($D1652="","",IF(COUNTIF($D$2:$D1652,$D1652)=1,1,0))</f>
        <v/>
      </c>
      <c r="AI1652" s="18" t="str">
        <f aca="false">IF($AH1652=1,SUMPRODUCT(--($AK$2:$AK$4001&lt;$AK1652))+1,"")</f>
        <v/>
      </c>
      <c r="AJ1652" s="18" t="str">
        <f aca="false">IF($D1652="","",IF(OR($R1652=TRUE(),$R1652="TRUE"),1,0))</f>
        <v/>
      </c>
      <c r="AK1652" s="18" t="str">
        <f aca="false">IF($AH1652=1,IFERROR(VALUE(MID($D1652,2,20)),1000000000)+ROW()/10000000,"")</f>
        <v/>
      </c>
    </row>
    <row r="1653" customFormat="false" ht="15" hidden="false" customHeight="false" outlineLevel="0" collapsed="false">
      <c r="F1653" s="15"/>
      <c r="N1653" s="16" t="str">
        <f aca="false">IF($D1653="","",M1653*Y1653/100)</f>
        <v/>
      </c>
      <c r="V1653" s="16" t="str">
        <f aca="false">IF($D1653="","",Y1653*AB1653/100)</f>
        <v/>
      </c>
      <c r="W1653" s="16" t="str">
        <f aca="false">IF($D1653="","",Y1653-V1653)</f>
        <v/>
      </c>
      <c r="X1653" s="16" t="str">
        <f aca="false">IF($D1653="","",W1653-N1653)</f>
        <v/>
      </c>
      <c r="AB1653" s="17" t="str">
        <f aca="false">IF($D1653="","",IF(OR($R1653=TRUE(),$R1653="TRUE"),Settings!$C$6,Settings!$C$7)*100)</f>
        <v/>
      </c>
      <c r="AH1653" s="18" t="str">
        <f aca="false">IF($D1653="","",IF(COUNTIF($D$2:$D1653,$D1653)=1,1,0))</f>
        <v/>
      </c>
      <c r="AI1653" s="18" t="str">
        <f aca="false">IF($AH1653=1,SUMPRODUCT(--($AK$2:$AK$4001&lt;$AK1653))+1,"")</f>
        <v/>
      </c>
      <c r="AJ1653" s="18" t="str">
        <f aca="false">IF($D1653="","",IF(OR($R1653=TRUE(),$R1653="TRUE"),1,0))</f>
        <v/>
      </c>
      <c r="AK1653" s="18" t="str">
        <f aca="false">IF($AH1653=1,IFERROR(VALUE(MID($D1653,2,20)),1000000000)+ROW()/10000000,"")</f>
        <v/>
      </c>
    </row>
    <row r="1654" customFormat="false" ht="15" hidden="false" customHeight="false" outlineLevel="0" collapsed="false">
      <c r="F1654" s="15"/>
      <c r="N1654" s="16" t="str">
        <f aca="false">IF($D1654="","",M1654*Y1654/100)</f>
        <v/>
      </c>
      <c r="V1654" s="16" t="str">
        <f aca="false">IF($D1654="","",Y1654*AB1654/100)</f>
        <v/>
      </c>
      <c r="W1654" s="16" t="str">
        <f aca="false">IF($D1654="","",Y1654-V1654)</f>
        <v/>
      </c>
      <c r="X1654" s="16" t="str">
        <f aca="false">IF($D1654="","",W1654-N1654)</f>
        <v/>
      </c>
      <c r="AB1654" s="17" t="str">
        <f aca="false">IF($D1654="","",IF(OR($R1654=TRUE(),$R1654="TRUE"),Settings!$C$6,Settings!$C$7)*100)</f>
        <v/>
      </c>
      <c r="AH1654" s="18" t="str">
        <f aca="false">IF($D1654="","",IF(COUNTIF($D$2:$D1654,$D1654)=1,1,0))</f>
        <v/>
      </c>
      <c r="AI1654" s="18" t="str">
        <f aca="false">IF($AH1654=1,SUMPRODUCT(--($AK$2:$AK$4001&lt;$AK1654))+1,"")</f>
        <v/>
      </c>
      <c r="AJ1654" s="18" t="str">
        <f aca="false">IF($D1654="","",IF(OR($R1654=TRUE(),$R1654="TRUE"),1,0))</f>
        <v/>
      </c>
      <c r="AK1654" s="18" t="str">
        <f aca="false">IF($AH1654=1,IFERROR(VALUE(MID($D1654,2,20)),1000000000)+ROW()/10000000,"")</f>
        <v/>
      </c>
    </row>
    <row r="1655" customFormat="false" ht="15" hidden="false" customHeight="false" outlineLevel="0" collapsed="false">
      <c r="F1655" s="15"/>
      <c r="N1655" s="16" t="str">
        <f aca="false">IF($D1655="","",M1655*Y1655/100)</f>
        <v/>
      </c>
      <c r="V1655" s="16" t="str">
        <f aca="false">IF($D1655="","",Y1655*AB1655/100)</f>
        <v/>
      </c>
      <c r="W1655" s="16" t="str">
        <f aca="false">IF($D1655="","",Y1655-V1655)</f>
        <v/>
      </c>
      <c r="X1655" s="16" t="str">
        <f aca="false">IF($D1655="","",W1655-N1655)</f>
        <v/>
      </c>
      <c r="AB1655" s="17" t="str">
        <f aca="false">IF($D1655="","",IF(OR($R1655=TRUE(),$R1655="TRUE"),Settings!$C$6,Settings!$C$7)*100)</f>
        <v/>
      </c>
      <c r="AH1655" s="18" t="str">
        <f aca="false">IF($D1655="","",IF(COUNTIF($D$2:$D1655,$D1655)=1,1,0))</f>
        <v/>
      </c>
      <c r="AI1655" s="18" t="str">
        <f aca="false">IF($AH1655=1,SUMPRODUCT(--($AK$2:$AK$4001&lt;$AK1655))+1,"")</f>
        <v/>
      </c>
      <c r="AJ1655" s="18" t="str">
        <f aca="false">IF($D1655="","",IF(OR($R1655=TRUE(),$R1655="TRUE"),1,0))</f>
        <v/>
      </c>
      <c r="AK1655" s="18" t="str">
        <f aca="false">IF($AH1655=1,IFERROR(VALUE(MID($D1655,2,20)),1000000000)+ROW()/10000000,"")</f>
        <v/>
      </c>
    </row>
    <row r="1656" customFormat="false" ht="15" hidden="false" customHeight="false" outlineLevel="0" collapsed="false">
      <c r="F1656" s="15"/>
      <c r="N1656" s="16" t="str">
        <f aca="false">IF($D1656="","",M1656*Y1656/100)</f>
        <v/>
      </c>
      <c r="V1656" s="16" t="str">
        <f aca="false">IF($D1656="","",Y1656*AB1656/100)</f>
        <v/>
      </c>
      <c r="W1656" s="16" t="str">
        <f aca="false">IF($D1656="","",Y1656-V1656)</f>
        <v/>
      </c>
      <c r="X1656" s="16" t="str">
        <f aca="false">IF($D1656="","",W1656-N1656)</f>
        <v/>
      </c>
      <c r="AB1656" s="17" t="str">
        <f aca="false">IF($D1656="","",IF(OR($R1656=TRUE(),$R1656="TRUE"),Settings!$C$6,Settings!$C$7)*100)</f>
        <v/>
      </c>
      <c r="AH1656" s="18" t="str">
        <f aca="false">IF($D1656="","",IF(COUNTIF($D$2:$D1656,$D1656)=1,1,0))</f>
        <v/>
      </c>
      <c r="AI1656" s="18" t="str">
        <f aca="false">IF($AH1656=1,SUMPRODUCT(--($AK$2:$AK$4001&lt;$AK1656))+1,"")</f>
        <v/>
      </c>
      <c r="AJ1656" s="18" t="str">
        <f aca="false">IF($D1656="","",IF(OR($R1656=TRUE(),$R1656="TRUE"),1,0))</f>
        <v/>
      </c>
      <c r="AK1656" s="18" t="str">
        <f aca="false">IF($AH1656=1,IFERROR(VALUE(MID($D1656,2,20)),1000000000)+ROW()/10000000,"")</f>
        <v/>
      </c>
    </row>
    <row r="1657" customFormat="false" ht="15" hidden="false" customHeight="false" outlineLevel="0" collapsed="false">
      <c r="F1657" s="15"/>
      <c r="N1657" s="16" t="str">
        <f aca="false">IF($D1657="","",M1657*Y1657/100)</f>
        <v/>
      </c>
      <c r="V1657" s="16" t="str">
        <f aca="false">IF($D1657="","",Y1657*AB1657/100)</f>
        <v/>
      </c>
      <c r="W1657" s="16" t="str">
        <f aca="false">IF($D1657="","",Y1657-V1657)</f>
        <v/>
      </c>
      <c r="X1657" s="16" t="str">
        <f aca="false">IF($D1657="","",W1657-N1657)</f>
        <v/>
      </c>
      <c r="AB1657" s="17" t="str">
        <f aca="false">IF($D1657="","",IF(OR($R1657=TRUE(),$R1657="TRUE"),Settings!$C$6,Settings!$C$7)*100)</f>
        <v/>
      </c>
      <c r="AH1657" s="18" t="str">
        <f aca="false">IF($D1657="","",IF(COUNTIF($D$2:$D1657,$D1657)=1,1,0))</f>
        <v/>
      </c>
      <c r="AI1657" s="18" t="str">
        <f aca="false">IF($AH1657=1,SUMPRODUCT(--($AK$2:$AK$4001&lt;$AK1657))+1,"")</f>
        <v/>
      </c>
      <c r="AJ1657" s="18" t="str">
        <f aca="false">IF($D1657="","",IF(OR($R1657=TRUE(),$R1657="TRUE"),1,0))</f>
        <v/>
      </c>
      <c r="AK1657" s="18" t="str">
        <f aca="false">IF($AH1657=1,IFERROR(VALUE(MID($D1657,2,20)),1000000000)+ROW()/10000000,"")</f>
        <v/>
      </c>
    </row>
    <row r="1658" customFormat="false" ht="15" hidden="false" customHeight="false" outlineLevel="0" collapsed="false">
      <c r="F1658" s="15"/>
      <c r="N1658" s="16" t="str">
        <f aca="false">IF($D1658="","",M1658*Y1658/100)</f>
        <v/>
      </c>
      <c r="V1658" s="16" t="str">
        <f aca="false">IF($D1658="","",Y1658*AB1658/100)</f>
        <v/>
      </c>
      <c r="W1658" s="16" t="str">
        <f aca="false">IF($D1658="","",Y1658-V1658)</f>
        <v/>
      </c>
      <c r="X1658" s="16" t="str">
        <f aca="false">IF($D1658="","",W1658-N1658)</f>
        <v/>
      </c>
      <c r="AB1658" s="17" t="str">
        <f aca="false">IF($D1658="","",IF(OR($R1658=TRUE(),$R1658="TRUE"),Settings!$C$6,Settings!$C$7)*100)</f>
        <v/>
      </c>
      <c r="AH1658" s="18" t="str">
        <f aca="false">IF($D1658="","",IF(COUNTIF($D$2:$D1658,$D1658)=1,1,0))</f>
        <v/>
      </c>
      <c r="AI1658" s="18" t="str">
        <f aca="false">IF($AH1658=1,SUMPRODUCT(--($AK$2:$AK$4001&lt;$AK1658))+1,"")</f>
        <v/>
      </c>
      <c r="AJ1658" s="18" t="str">
        <f aca="false">IF($D1658="","",IF(OR($R1658=TRUE(),$R1658="TRUE"),1,0))</f>
        <v/>
      </c>
      <c r="AK1658" s="18" t="str">
        <f aca="false">IF($AH1658=1,IFERROR(VALUE(MID($D1658,2,20)),1000000000)+ROW()/10000000,"")</f>
        <v/>
      </c>
    </row>
    <row r="1659" customFormat="false" ht="15" hidden="false" customHeight="false" outlineLevel="0" collapsed="false">
      <c r="F1659" s="15"/>
      <c r="N1659" s="16" t="str">
        <f aca="false">IF($D1659="","",M1659*Y1659/100)</f>
        <v/>
      </c>
      <c r="V1659" s="16" t="str">
        <f aca="false">IF($D1659="","",Y1659*AB1659/100)</f>
        <v/>
      </c>
      <c r="W1659" s="16" t="str">
        <f aca="false">IF($D1659="","",Y1659-V1659)</f>
        <v/>
      </c>
      <c r="X1659" s="16" t="str">
        <f aca="false">IF($D1659="","",W1659-N1659)</f>
        <v/>
      </c>
      <c r="AB1659" s="17" t="str">
        <f aca="false">IF($D1659="","",IF(OR($R1659=TRUE(),$R1659="TRUE"),Settings!$C$6,Settings!$C$7)*100)</f>
        <v/>
      </c>
      <c r="AH1659" s="18" t="str">
        <f aca="false">IF($D1659="","",IF(COUNTIF($D$2:$D1659,$D1659)=1,1,0))</f>
        <v/>
      </c>
      <c r="AI1659" s="18" t="str">
        <f aca="false">IF($AH1659=1,SUMPRODUCT(--($AK$2:$AK$4001&lt;$AK1659))+1,"")</f>
        <v/>
      </c>
      <c r="AJ1659" s="18" t="str">
        <f aca="false">IF($D1659="","",IF(OR($R1659=TRUE(),$R1659="TRUE"),1,0))</f>
        <v/>
      </c>
      <c r="AK1659" s="18" t="str">
        <f aca="false">IF($AH1659=1,IFERROR(VALUE(MID($D1659,2,20)),1000000000)+ROW()/10000000,"")</f>
        <v/>
      </c>
    </row>
    <row r="1660" customFormat="false" ht="15" hidden="false" customHeight="false" outlineLevel="0" collapsed="false">
      <c r="F1660" s="15"/>
      <c r="N1660" s="16" t="str">
        <f aca="false">IF($D1660="","",M1660*Y1660/100)</f>
        <v/>
      </c>
      <c r="V1660" s="16" t="str">
        <f aca="false">IF($D1660="","",Y1660*AB1660/100)</f>
        <v/>
      </c>
      <c r="W1660" s="16" t="str">
        <f aca="false">IF($D1660="","",Y1660-V1660)</f>
        <v/>
      </c>
      <c r="X1660" s="16" t="str">
        <f aca="false">IF($D1660="","",W1660-N1660)</f>
        <v/>
      </c>
      <c r="AB1660" s="17" t="str">
        <f aca="false">IF($D1660="","",IF(OR($R1660=TRUE(),$R1660="TRUE"),Settings!$C$6,Settings!$C$7)*100)</f>
        <v/>
      </c>
      <c r="AH1660" s="18" t="str">
        <f aca="false">IF($D1660="","",IF(COUNTIF($D$2:$D1660,$D1660)=1,1,0))</f>
        <v/>
      </c>
      <c r="AI1660" s="18" t="str">
        <f aca="false">IF($AH1660=1,SUMPRODUCT(--($AK$2:$AK$4001&lt;$AK1660))+1,"")</f>
        <v/>
      </c>
      <c r="AJ1660" s="18" t="str">
        <f aca="false">IF($D1660="","",IF(OR($R1660=TRUE(),$R1660="TRUE"),1,0))</f>
        <v/>
      </c>
      <c r="AK1660" s="18" t="str">
        <f aca="false">IF($AH1660=1,IFERROR(VALUE(MID($D1660,2,20)),1000000000)+ROW()/10000000,"")</f>
        <v/>
      </c>
    </row>
    <row r="1661" customFormat="false" ht="15" hidden="false" customHeight="false" outlineLevel="0" collapsed="false">
      <c r="F1661" s="15"/>
      <c r="N1661" s="16" t="str">
        <f aca="false">IF($D1661="","",M1661*Y1661/100)</f>
        <v/>
      </c>
      <c r="V1661" s="16" t="str">
        <f aca="false">IF($D1661="","",Y1661*AB1661/100)</f>
        <v/>
      </c>
      <c r="W1661" s="16" t="str">
        <f aca="false">IF($D1661="","",Y1661-V1661)</f>
        <v/>
      </c>
      <c r="X1661" s="16" t="str">
        <f aca="false">IF($D1661="","",W1661-N1661)</f>
        <v/>
      </c>
      <c r="AB1661" s="17" t="str">
        <f aca="false">IF($D1661="","",IF(OR($R1661=TRUE(),$R1661="TRUE"),Settings!$C$6,Settings!$C$7)*100)</f>
        <v/>
      </c>
      <c r="AH1661" s="18" t="str">
        <f aca="false">IF($D1661="","",IF(COUNTIF($D$2:$D1661,$D1661)=1,1,0))</f>
        <v/>
      </c>
      <c r="AI1661" s="18" t="str">
        <f aca="false">IF($AH1661=1,SUMPRODUCT(--($AK$2:$AK$4001&lt;$AK1661))+1,"")</f>
        <v/>
      </c>
      <c r="AJ1661" s="18" t="str">
        <f aca="false">IF($D1661="","",IF(OR($R1661=TRUE(),$R1661="TRUE"),1,0))</f>
        <v/>
      </c>
      <c r="AK1661" s="18" t="str">
        <f aca="false">IF($AH1661=1,IFERROR(VALUE(MID($D1661,2,20)),1000000000)+ROW()/10000000,"")</f>
        <v/>
      </c>
    </row>
    <row r="1662" customFormat="false" ht="15" hidden="false" customHeight="false" outlineLevel="0" collapsed="false">
      <c r="F1662" s="15"/>
      <c r="N1662" s="16" t="str">
        <f aca="false">IF($D1662="","",M1662*Y1662/100)</f>
        <v/>
      </c>
      <c r="V1662" s="16" t="str">
        <f aca="false">IF($D1662="","",Y1662*AB1662/100)</f>
        <v/>
      </c>
      <c r="W1662" s="16" t="str">
        <f aca="false">IF($D1662="","",Y1662-V1662)</f>
        <v/>
      </c>
      <c r="X1662" s="16" t="str">
        <f aca="false">IF($D1662="","",W1662-N1662)</f>
        <v/>
      </c>
      <c r="AB1662" s="17" t="str">
        <f aca="false">IF($D1662="","",IF(OR($R1662=TRUE(),$R1662="TRUE"),Settings!$C$6,Settings!$C$7)*100)</f>
        <v/>
      </c>
      <c r="AH1662" s="18" t="str">
        <f aca="false">IF($D1662="","",IF(COUNTIF($D$2:$D1662,$D1662)=1,1,0))</f>
        <v/>
      </c>
      <c r="AI1662" s="18" t="str">
        <f aca="false">IF($AH1662=1,SUMPRODUCT(--($AK$2:$AK$4001&lt;$AK1662))+1,"")</f>
        <v/>
      </c>
      <c r="AJ1662" s="18" t="str">
        <f aca="false">IF($D1662="","",IF(OR($R1662=TRUE(),$R1662="TRUE"),1,0))</f>
        <v/>
      </c>
      <c r="AK1662" s="18" t="str">
        <f aca="false">IF($AH1662=1,IFERROR(VALUE(MID($D1662,2,20)),1000000000)+ROW()/10000000,"")</f>
        <v/>
      </c>
    </row>
    <row r="1663" customFormat="false" ht="15" hidden="false" customHeight="false" outlineLevel="0" collapsed="false">
      <c r="F1663" s="15"/>
      <c r="N1663" s="16" t="str">
        <f aca="false">IF($D1663="","",M1663*Y1663/100)</f>
        <v/>
      </c>
      <c r="V1663" s="16" t="str">
        <f aca="false">IF($D1663="","",Y1663*AB1663/100)</f>
        <v/>
      </c>
      <c r="W1663" s="16" t="str">
        <f aca="false">IF($D1663="","",Y1663-V1663)</f>
        <v/>
      </c>
      <c r="X1663" s="16" t="str">
        <f aca="false">IF($D1663="","",W1663-N1663)</f>
        <v/>
      </c>
      <c r="AB1663" s="17" t="str">
        <f aca="false">IF($D1663="","",IF(OR($R1663=TRUE(),$R1663="TRUE"),Settings!$C$6,Settings!$C$7)*100)</f>
        <v/>
      </c>
      <c r="AH1663" s="18" t="str">
        <f aca="false">IF($D1663="","",IF(COUNTIF($D$2:$D1663,$D1663)=1,1,0))</f>
        <v/>
      </c>
      <c r="AI1663" s="18" t="str">
        <f aca="false">IF($AH1663=1,SUMPRODUCT(--($AK$2:$AK$4001&lt;$AK1663))+1,"")</f>
        <v/>
      </c>
      <c r="AJ1663" s="18" t="str">
        <f aca="false">IF($D1663="","",IF(OR($R1663=TRUE(),$R1663="TRUE"),1,0))</f>
        <v/>
      </c>
      <c r="AK1663" s="18" t="str">
        <f aca="false">IF($AH1663=1,IFERROR(VALUE(MID($D1663,2,20)),1000000000)+ROW()/10000000,"")</f>
        <v/>
      </c>
    </row>
    <row r="1664" customFormat="false" ht="15" hidden="false" customHeight="false" outlineLevel="0" collapsed="false">
      <c r="F1664" s="15"/>
      <c r="N1664" s="16" t="str">
        <f aca="false">IF($D1664="","",M1664*Y1664/100)</f>
        <v/>
      </c>
      <c r="V1664" s="16" t="str">
        <f aca="false">IF($D1664="","",Y1664*AB1664/100)</f>
        <v/>
      </c>
      <c r="W1664" s="16" t="str">
        <f aca="false">IF($D1664="","",Y1664-V1664)</f>
        <v/>
      </c>
      <c r="X1664" s="16" t="str">
        <f aca="false">IF($D1664="","",W1664-N1664)</f>
        <v/>
      </c>
      <c r="AB1664" s="17" t="str">
        <f aca="false">IF($D1664="","",IF(OR($R1664=TRUE(),$R1664="TRUE"),Settings!$C$6,Settings!$C$7)*100)</f>
        <v/>
      </c>
      <c r="AH1664" s="18" t="str">
        <f aca="false">IF($D1664="","",IF(COUNTIF($D$2:$D1664,$D1664)=1,1,0))</f>
        <v/>
      </c>
      <c r="AI1664" s="18" t="str">
        <f aca="false">IF($AH1664=1,SUMPRODUCT(--($AK$2:$AK$4001&lt;$AK1664))+1,"")</f>
        <v/>
      </c>
      <c r="AJ1664" s="18" t="str">
        <f aca="false">IF($D1664="","",IF(OR($R1664=TRUE(),$R1664="TRUE"),1,0))</f>
        <v/>
      </c>
      <c r="AK1664" s="18" t="str">
        <f aca="false">IF($AH1664=1,IFERROR(VALUE(MID($D1664,2,20)),1000000000)+ROW()/10000000,"")</f>
        <v/>
      </c>
    </row>
    <row r="1665" customFormat="false" ht="15" hidden="false" customHeight="false" outlineLevel="0" collapsed="false">
      <c r="F1665" s="15"/>
      <c r="N1665" s="16" t="str">
        <f aca="false">IF($D1665="","",M1665*Y1665/100)</f>
        <v/>
      </c>
      <c r="V1665" s="16" t="str">
        <f aca="false">IF($D1665="","",Y1665*AB1665/100)</f>
        <v/>
      </c>
      <c r="W1665" s="16" t="str">
        <f aca="false">IF($D1665="","",Y1665-V1665)</f>
        <v/>
      </c>
      <c r="X1665" s="16" t="str">
        <f aca="false">IF($D1665="","",W1665-N1665)</f>
        <v/>
      </c>
      <c r="AB1665" s="17" t="str">
        <f aca="false">IF($D1665="","",IF(OR($R1665=TRUE(),$R1665="TRUE"),Settings!$C$6,Settings!$C$7)*100)</f>
        <v/>
      </c>
      <c r="AH1665" s="18" t="str">
        <f aca="false">IF($D1665="","",IF(COUNTIF($D$2:$D1665,$D1665)=1,1,0))</f>
        <v/>
      </c>
      <c r="AI1665" s="18" t="str">
        <f aca="false">IF($AH1665=1,SUMPRODUCT(--($AK$2:$AK$4001&lt;$AK1665))+1,"")</f>
        <v/>
      </c>
      <c r="AJ1665" s="18" t="str">
        <f aca="false">IF($D1665="","",IF(OR($R1665=TRUE(),$R1665="TRUE"),1,0))</f>
        <v/>
      </c>
      <c r="AK1665" s="18" t="str">
        <f aca="false">IF($AH1665=1,IFERROR(VALUE(MID($D1665,2,20)),1000000000)+ROW()/10000000,"")</f>
        <v/>
      </c>
    </row>
    <row r="1666" customFormat="false" ht="15" hidden="false" customHeight="false" outlineLevel="0" collapsed="false">
      <c r="F1666" s="15"/>
      <c r="N1666" s="16" t="str">
        <f aca="false">IF($D1666="","",M1666*Y1666/100)</f>
        <v/>
      </c>
      <c r="V1666" s="16" t="str">
        <f aca="false">IF($D1666="","",Y1666*AB1666/100)</f>
        <v/>
      </c>
      <c r="W1666" s="16" t="str">
        <f aca="false">IF($D1666="","",Y1666-V1666)</f>
        <v/>
      </c>
      <c r="X1666" s="16" t="str">
        <f aca="false">IF($D1666="","",W1666-N1666)</f>
        <v/>
      </c>
      <c r="AB1666" s="17" t="str">
        <f aca="false">IF($D1666="","",IF(OR($R1666=TRUE(),$R1666="TRUE"),Settings!$C$6,Settings!$C$7)*100)</f>
        <v/>
      </c>
      <c r="AH1666" s="18" t="str">
        <f aca="false">IF($D1666="","",IF(COUNTIF($D$2:$D1666,$D1666)=1,1,0))</f>
        <v/>
      </c>
      <c r="AI1666" s="18" t="str">
        <f aca="false">IF($AH1666=1,SUMPRODUCT(--($AK$2:$AK$4001&lt;$AK1666))+1,"")</f>
        <v/>
      </c>
      <c r="AJ1666" s="18" t="str">
        <f aca="false">IF($D1666="","",IF(OR($R1666=TRUE(),$R1666="TRUE"),1,0))</f>
        <v/>
      </c>
      <c r="AK1666" s="18" t="str">
        <f aca="false">IF($AH1666=1,IFERROR(VALUE(MID($D1666,2,20)),1000000000)+ROW()/10000000,"")</f>
        <v/>
      </c>
    </row>
    <row r="1667" customFormat="false" ht="15" hidden="false" customHeight="false" outlineLevel="0" collapsed="false">
      <c r="F1667" s="15"/>
      <c r="N1667" s="16" t="str">
        <f aca="false">IF($D1667="","",M1667*Y1667/100)</f>
        <v/>
      </c>
      <c r="V1667" s="16" t="str">
        <f aca="false">IF($D1667="","",Y1667*AB1667/100)</f>
        <v/>
      </c>
      <c r="W1667" s="16" t="str">
        <f aca="false">IF($D1667="","",Y1667-V1667)</f>
        <v/>
      </c>
      <c r="X1667" s="16" t="str">
        <f aca="false">IF($D1667="","",W1667-N1667)</f>
        <v/>
      </c>
      <c r="AB1667" s="17" t="str">
        <f aca="false">IF($D1667="","",IF(OR($R1667=TRUE(),$R1667="TRUE"),Settings!$C$6,Settings!$C$7)*100)</f>
        <v/>
      </c>
      <c r="AH1667" s="18" t="str">
        <f aca="false">IF($D1667="","",IF(COUNTIF($D$2:$D1667,$D1667)=1,1,0))</f>
        <v/>
      </c>
      <c r="AI1667" s="18" t="str">
        <f aca="false">IF($AH1667=1,SUMPRODUCT(--($AK$2:$AK$4001&lt;$AK1667))+1,"")</f>
        <v/>
      </c>
      <c r="AJ1667" s="18" t="str">
        <f aca="false">IF($D1667="","",IF(OR($R1667=TRUE(),$R1667="TRUE"),1,0))</f>
        <v/>
      </c>
      <c r="AK1667" s="18" t="str">
        <f aca="false">IF($AH1667=1,IFERROR(VALUE(MID($D1667,2,20)),1000000000)+ROW()/10000000,"")</f>
        <v/>
      </c>
    </row>
    <row r="1668" customFormat="false" ht="15" hidden="false" customHeight="false" outlineLevel="0" collapsed="false">
      <c r="F1668" s="15"/>
      <c r="N1668" s="16" t="str">
        <f aca="false">IF($D1668="","",M1668*Y1668/100)</f>
        <v/>
      </c>
      <c r="V1668" s="16" t="str">
        <f aca="false">IF($D1668="","",Y1668*AB1668/100)</f>
        <v/>
      </c>
      <c r="W1668" s="16" t="str">
        <f aca="false">IF($D1668="","",Y1668-V1668)</f>
        <v/>
      </c>
      <c r="X1668" s="16" t="str">
        <f aca="false">IF($D1668="","",W1668-N1668)</f>
        <v/>
      </c>
      <c r="AB1668" s="17" t="str">
        <f aca="false">IF($D1668="","",IF(OR($R1668=TRUE(),$R1668="TRUE"),Settings!$C$6,Settings!$C$7)*100)</f>
        <v/>
      </c>
      <c r="AH1668" s="18" t="str">
        <f aca="false">IF($D1668="","",IF(COUNTIF($D$2:$D1668,$D1668)=1,1,0))</f>
        <v/>
      </c>
      <c r="AI1668" s="18" t="str">
        <f aca="false">IF($AH1668=1,SUMPRODUCT(--($AK$2:$AK$4001&lt;$AK1668))+1,"")</f>
        <v/>
      </c>
      <c r="AJ1668" s="18" t="str">
        <f aca="false">IF($D1668="","",IF(OR($R1668=TRUE(),$R1668="TRUE"),1,0))</f>
        <v/>
      </c>
      <c r="AK1668" s="18" t="str">
        <f aca="false">IF($AH1668=1,IFERROR(VALUE(MID($D1668,2,20)),1000000000)+ROW()/10000000,"")</f>
        <v/>
      </c>
    </row>
    <row r="1669" customFormat="false" ht="15" hidden="false" customHeight="false" outlineLevel="0" collapsed="false">
      <c r="F1669" s="15"/>
      <c r="N1669" s="16" t="str">
        <f aca="false">IF($D1669="","",M1669*Y1669/100)</f>
        <v/>
      </c>
      <c r="V1669" s="16" t="str">
        <f aca="false">IF($D1669="","",Y1669*AB1669/100)</f>
        <v/>
      </c>
      <c r="W1669" s="16" t="str">
        <f aca="false">IF($D1669="","",Y1669-V1669)</f>
        <v/>
      </c>
      <c r="X1669" s="16" t="str">
        <f aca="false">IF($D1669="","",W1669-N1669)</f>
        <v/>
      </c>
      <c r="AB1669" s="17" t="str">
        <f aca="false">IF($D1669="","",IF(OR($R1669=TRUE(),$R1669="TRUE"),Settings!$C$6,Settings!$C$7)*100)</f>
        <v/>
      </c>
      <c r="AH1669" s="18" t="str">
        <f aca="false">IF($D1669="","",IF(COUNTIF($D$2:$D1669,$D1669)=1,1,0))</f>
        <v/>
      </c>
      <c r="AI1669" s="18" t="str">
        <f aca="false">IF($AH1669=1,SUMPRODUCT(--($AK$2:$AK$4001&lt;$AK1669))+1,"")</f>
        <v/>
      </c>
      <c r="AJ1669" s="18" t="str">
        <f aca="false">IF($D1669="","",IF(OR($R1669=TRUE(),$R1669="TRUE"),1,0))</f>
        <v/>
      </c>
      <c r="AK1669" s="18" t="str">
        <f aca="false">IF($AH1669=1,IFERROR(VALUE(MID($D1669,2,20)),1000000000)+ROW()/10000000,"")</f>
        <v/>
      </c>
    </row>
    <row r="1670" customFormat="false" ht="15" hidden="false" customHeight="false" outlineLevel="0" collapsed="false">
      <c r="F1670" s="15"/>
      <c r="N1670" s="16" t="str">
        <f aca="false">IF($D1670="","",M1670*Y1670/100)</f>
        <v/>
      </c>
      <c r="V1670" s="16" t="str">
        <f aca="false">IF($D1670="","",Y1670*AB1670/100)</f>
        <v/>
      </c>
      <c r="W1670" s="16" t="str">
        <f aca="false">IF($D1670="","",Y1670-V1670)</f>
        <v/>
      </c>
      <c r="X1670" s="16" t="str">
        <f aca="false">IF($D1670="","",W1670-N1670)</f>
        <v/>
      </c>
      <c r="AB1670" s="17" t="str">
        <f aca="false">IF($D1670="","",IF(OR($R1670=TRUE(),$R1670="TRUE"),Settings!$C$6,Settings!$C$7)*100)</f>
        <v/>
      </c>
      <c r="AH1670" s="18" t="str">
        <f aca="false">IF($D1670="","",IF(COUNTIF($D$2:$D1670,$D1670)=1,1,0))</f>
        <v/>
      </c>
      <c r="AI1670" s="18" t="str">
        <f aca="false">IF($AH1670=1,SUMPRODUCT(--($AK$2:$AK$4001&lt;$AK1670))+1,"")</f>
        <v/>
      </c>
      <c r="AJ1670" s="18" t="str">
        <f aca="false">IF($D1670="","",IF(OR($R1670=TRUE(),$R1670="TRUE"),1,0))</f>
        <v/>
      </c>
      <c r="AK1670" s="18" t="str">
        <f aca="false">IF($AH1670=1,IFERROR(VALUE(MID($D1670,2,20)),1000000000)+ROW()/10000000,"")</f>
        <v/>
      </c>
    </row>
    <row r="1671" customFormat="false" ht="15" hidden="false" customHeight="false" outlineLevel="0" collapsed="false">
      <c r="F1671" s="15"/>
      <c r="N1671" s="16" t="str">
        <f aca="false">IF($D1671="","",M1671*Y1671/100)</f>
        <v/>
      </c>
      <c r="V1671" s="16" t="str">
        <f aca="false">IF($D1671="","",Y1671*AB1671/100)</f>
        <v/>
      </c>
      <c r="W1671" s="16" t="str">
        <f aca="false">IF($D1671="","",Y1671-V1671)</f>
        <v/>
      </c>
      <c r="X1671" s="16" t="str">
        <f aca="false">IF($D1671="","",W1671-N1671)</f>
        <v/>
      </c>
      <c r="AB1671" s="17" t="str">
        <f aca="false">IF($D1671="","",IF(OR($R1671=TRUE(),$R1671="TRUE"),Settings!$C$6,Settings!$C$7)*100)</f>
        <v/>
      </c>
      <c r="AH1671" s="18" t="str">
        <f aca="false">IF($D1671="","",IF(COUNTIF($D$2:$D1671,$D1671)=1,1,0))</f>
        <v/>
      </c>
      <c r="AI1671" s="18" t="str">
        <f aca="false">IF($AH1671=1,SUMPRODUCT(--($AK$2:$AK$4001&lt;$AK1671))+1,"")</f>
        <v/>
      </c>
      <c r="AJ1671" s="18" t="str">
        <f aca="false">IF($D1671="","",IF(OR($R1671=TRUE(),$R1671="TRUE"),1,0))</f>
        <v/>
      </c>
      <c r="AK1671" s="18" t="str">
        <f aca="false">IF($AH1671=1,IFERROR(VALUE(MID($D1671,2,20)),1000000000)+ROW()/10000000,"")</f>
        <v/>
      </c>
    </row>
    <row r="1672" customFormat="false" ht="15" hidden="false" customHeight="false" outlineLevel="0" collapsed="false">
      <c r="F1672" s="15"/>
      <c r="N1672" s="16" t="str">
        <f aca="false">IF($D1672="","",M1672*Y1672/100)</f>
        <v/>
      </c>
      <c r="V1672" s="16" t="str">
        <f aca="false">IF($D1672="","",Y1672*AB1672/100)</f>
        <v/>
      </c>
      <c r="W1672" s="16" t="str">
        <f aca="false">IF($D1672="","",Y1672-V1672)</f>
        <v/>
      </c>
      <c r="X1672" s="16" t="str">
        <f aca="false">IF($D1672="","",W1672-N1672)</f>
        <v/>
      </c>
      <c r="AB1672" s="17" t="str">
        <f aca="false">IF($D1672="","",IF(OR($R1672=TRUE(),$R1672="TRUE"),Settings!$C$6,Settings!$C$7)*100)</f>
        <v/>
      </c>
      <c r="AH1672" s="18" t="str">
        <f aca="false">IF($D1672="","",IF(COUNTIF($D$2:$D1672,$D1672)=1,1,0))</f>
        <v/>
      </c>
      <c r="AI1672" s="18" t="str">
        <f aca="false">IF($AH1672=1,SUMPRODUCT(--($AK$2:$AK$4001&lt;$AK1672))+1,"")</f>
        <v/>
      </c>
      <c r="AJ1672" s="18" t="str">
        <f aca="false">IF($D1672="","",IF(OR($R1672=TRUE(),$R1672="TRUE"),1,0))</f>
        <v/>
      </c>
      <c r="AK1672" s="18" t="str">
        <f aca="false">IF($AH1672=1,IFERROR(VALUE(MID($D1672,2,20)),1000000000)+ROW()/10000000,"")</f>
        <v/>
      </c>
    </row>
    <row r="1673" customFormat="false" ht="15" hidden="false" customHeight="false" outlineLevel="0" collapsed="false">
      <c r="F1673" s="15"/>
      <c r="N1673" s="16" t="str">
        <f aca="false">IF($D1673="","",M1673*Y1673/100)</f>
        <v/>
      </c>
      <c r="V1673" s="16" t="str">
        <f aca="false">IF($D1673="","",Y1673*AB1673/100)</f>
        <v/>
      </c>
      <c r="W1673" s="16" t="str">
        <f aca="false">IF($D1673="","",Y1673-V1673)</f>
        <v/>
      </c>
      <c r="X1673" s="16" t="str">
        <f aca="false">IF($D1673="","",W1673-N1673)</f>
        <v/>
      </c>
      <c r="AB1673" s="17" t="str">
        <f aca="false">IF($D1673="","",IF(OR($R1673=TRUE(),$R1673="TRUE"),Settings!$C$6,Settings!$C$7)*100)</f>
        <v/>
      </c>
      <c r="AH1673" s="18" t="str">
        <f aca="false">IF($D1673="","",IF(COUNTIF($D$2:$D1673,$D1673)=1,1,0))</f>
        <v/>
      </c>
      <c r="AI1673" s="18" t="str">
        <f aca="false">IF($AH1673=1,SUMPRODUCT(--($AK$2:$AK$4001&lt;$AK1673))+1,"")</f>
        <v/>
      </c>
      <c r="AJ1673" s="18" t="str">
        <f aca="false">IF($D1673="","",IF(OR($R1673=TRUE(),$R1673="TRUE"),1,0))</f>
        <v/>
      </c>
      <c r="AK1673" s="18" t="str">
        <f aca="false">IF($AH1673=1,IFERROR(VALUE(MID($D1673,2,20)),1000000000)+ROW()/10000000,"")</f>
        <v/>
      </c>
    </row>
    <row r="1674" customFormat="false" ht="15" hidden="false" customHeight="false" outlineLevel="0" collapsed="false">
      <c r="F1674" s="15"/>
      <c r="N1674" s="16" t="str">
        <f aca="false">IF($D1674="","",M1674*Y1674/100)</f>
        <v/>
      </c>
      <c r="V1674" s="16" t="str">
        <f aca="false">IF($D1674="","",Y1674*AB1674/100)</f>
        <v/>
      </c>
      <c r="W1674" s="16" t="str">
        <f aca="false">IF($D1674="","",Y1674-V1674)</f>
        <v/>
      </c>
      <c r="X1674" s="16" t="str">
        <f aca="false">IF($D1674="","",W1674-N1674)</f>
        <v/>
      </c>
      <c r="AB1674" s="17" t="str">
        <f aca="false">IF($D1674="","",IF(OR($R1674=TRUE(),$R1674="TRUE"),Settings!$C$6,Settings!$C$7)*100)</f>
        <v/>
      </c>
      <c r="AH1674" s="18" t="str">
        <f aca="false">IF($D1674="","",IF(COUNTIF($D$2:$D1674,$D1674)=1,1,0))</f>
        <v/>
      </c>
      <c r="AI1674" s="18" t="str">
        <f aca="false">IF($AH1674=1,SUMPRODUCT(--($AK$2:$AK$4001&lt;$AK1674))+1,"")</f>
        <v/>
      </c>
      <c r="AJ1674" s="18" t="str">
        <f aca="false">IF($D1674="","",IF(OR($R1674=TRUE(),$R1674="TRUE"),1,0))</f>
        <v/>
      </c>
      <c r="AK1674" s="18" t="str">
        <f aca="false">IF($AH1674=1,IFERROR(VALUE(MID($D1674,2,20)),1000000000)+ROW()/10000000,"")</f>
        <v/>
      </c>
    </row>
    <row r="1675" customFormat="false" ht="15" hidden="false" customHeight="false" outlineLevel="0" collapsed="false">
      <c r="F1675" s="15"/>
      <c r="N1675" s="16" t="str">
        <f aca="false">IF($D1675="","",M1675*Y1675/100)</f>
        <v/>
      </c>
      <c r="V1675" s="16" t="str">
        <f aca="false">IF($D1675="","",Y1675*AB1675/100)</f>
        <v/>
      </c>
      <c r="W1675" s="16" t="str">
        <f aca="false">IF($D1675="","",Y1675-V1675)</f>
        <v/>
      </c>
      <c r="X1675" s="16" t="str">
        <f aca="false">IF($D1675="","",W1675-N1675)</f>
        <v/>
      </c>
      <c r="AB1675" s="17" t="str">
        <f aca="false">IF($D1675="","",IF(OR($R1675=TRUE(),$R1675="TRUE"),Settings!$C$6,Settings!$C$7)*100)</f>
        <v/>
      </c>
      <c r="AH1675" s="18" t="str">
        <f aca="false">IF($D1675="","",IF(COUNTIF($D$2:$D1675,$D1675)=1,1,0))</f>
        <v/>
      </c>
      <c r="AI1675" s="18" t="str">
        <f aca="false">IF($AH1675=1,SUMPRODUCT(--($AK$2:$AK$4001&lt;$AK1675))+1,"")</f>
        <v/>
      </c>
      <c r="AJ1675" s="18" t="str">
        <f aca="false">IF($D1675="","",IF(OR($R1675=TRUE(),$R1675="TRUE"),1,0))</f>
        <v/>
      </c>
      <c r="AK1675" s="18" t="str">
        <f aca="false">IF($AH1675=1,IFERROR(VALUE(MID($D1675,2,20)),1000000000)+ROW()/10000000,"")</f>
        <v/>
      </c>
    </row>
    <row r="1676" customFormat="false" ht="15" hidden="false" customHeight="false" outlineLevel="0" collapsed="false">
      <c r="F1676" s="15"/>
      <c r="N1676" s="16" t="str">
        <f aca="false">IF($D1676="","",M1676*Y1676/100)</f>
        <v/>
      </c>
      <c r="V1676" s="16" t="str">
        <f aca="false">IF($D1676="","",Y1676*AB1676/100)</f>
        <v/>
      </c>
      <c r="W1676" s="16" t="str">
        <f aca="false">IF($D1676="","",Y1676-V1676)</f>
        <v/>
      </c>
      <c r="X1676" s="16" t="str">
        <f aca="false">IF($D1676="","",W1676-N1676)</f>
        <v/>
      </c>
      <c r="AB1676" s="17" t="str">
        <f aca="false">IF($D1676="","",IF(OR($R1676=TRUE(),$R1676="TRUE"),Settings!$C$6,Settings!$C$7)*100)</f>
        <v/>
      </c>
      <c r="AH1676" s="18" t="str">
        <f aca="false">IF($D1676="","",IF(COUNTIF($D$2:$D1676,$D1676)=1,1,0))</f>
        <v/>
      </c>
      <c r="AI1676" s="18" t="str">
        <f aca="false">IF($AH1676=1,SUMPRODUCT(--($AK$2:$AK$4001&lt;$AK1676))+1,"")</f>
        <v/>
      </c>
      <c r="AJ1676" s="18" t="str">
        <f aca="false">IF($D1676="","",IF(OR($R1676=TRUE(),$R1676="TRUE"),1,0))</f>
        <v/>
      </c>
      <c r="AK1676" s="18" t="str">
        <f aca="false">IF($AH1676=1,IFERROR(VALUE(MID($D1676,2,20)),1000000000)+ROW()/10000000,"")</f>
        <v/>
      </c>
    </row>
    <row r="1677" customFormat="false" ht="15" hidden="false" customHeight="false" outlineLevel="0" collapsed="false">
      <c r="F1677" s="15"/>
      <c r="N1677" s="16" t="str">
        <f aca="false">IF($D1677="","",M1677*Y1677/100)</f>
        <v/>
      </c>
      <c r="V1677" s="16" t="str">
        <f aca="false">IF($D1677="","",Y1677*AB1677/100)</f>
        <v/>
      </c>
      <c r="W1677" s="16" t="str">
        <f aca="false">IF($D1677="","",Y1677-V1677)</f>
        <v/>
      </c>
      <c r="X1677" s="16" t="str">
        <f aca="false">IF($D1677="","",W1677-N1677)</f>
        <v/>
      </c>
      <c r="AB1677" s="17" t="str">
        <f aca="false">IF($D1677="","",IF(OR($R1677=TRUE(),$R1677="TRUE"),Settings!$C$6,Settings!$C$7)*100)</f>
        <v/>
      </c>
      <c r="AH1677" s="18" t="str">
        <f aca="false">IF($D1677="","",IF(COUNTIF($D$2:$D1677,$D1677)=1,1,0))</f>
        <v/>
      </c>
      <c r="AI1677" s="18" t="str">
        <f aca="false">IF($AH1677=1,SUMPRODUCT(--($AK$2:$AK$4001&lt;$AK1677))+1,"")</f>
        <v/>
      </c>
      <c r="AJ1677" s="18" t="str">
        <f aca="false">IF($D1677="","",IF(OR($R1677=TRUE(),$R1677="TRUE"),1,0))</f>
        <v/>
      </c>
      <c r="AK1677" s="18" t="str">
        <f aca="false">IF($AH1677=1,IFERROR(VALUE(MID($D1677,2,20)),1000000000)+ROW()/10000000,"")</f>
        <v/>
      </c>
    </row>
    <row r="1678" customFormat="false" ht="15" hidden="false" customHeight="false" outlineLevel="0" collapsed="false">
      <c r="F1678" s="15"/>
      <c r="N1678" s="16" t="str">
        <f aca="false">IF($D1678="","",M1678*Y1678/100)</f>
        <v/>
      </c>
      <c r="V1678" s="16" t="str">
        <f aca="false">IF($D1678="","",Y1678*AB1678/100)</f>
        <v/>
      </c>
      <c r="W1678" s="16" t="str">
        <f aca="false">IF($D1678="","",Y1678-V1678)</f>
        <v/>
      </c>
      <c r="X1678" s="16" t="str">
        <f aca="false">IF($D1678="","",W1678-N1678)</f>
        <v/>
      </c>
      <c r="AB1678" s="17" t="str">
        <f aca="false">IF($D1678="","",IF(OR($R1678=TRUE(),$R1678="TRUE"),Settings!$C$6,Settings!$C$7)*100)</f>
        <v/>
      </c>
      <c r="AH1678" s="18" t="str">
        <f aca="false">IF($D1678="","",IF(COUNTIF($D$2:$D1678,$D1678)=1,1,0))</f>
        <v/>
      </c>
      <c r="AI1678" s="18" t="str">
        <f aca="false">IF($AH1678=1,SUMPRODUCT(--($AK$2:$AK$4001&lt;$AK1678))+1,"")</f>
        <v/>
      </c>
      <c r="AJ1678" s="18" t="str">
        <f aca="false">IF($D1678="","",IF(OR($R1678=TRUE(),$R1678="TRUE"),1,0))</f>
        <v/>
      </c>
      <c r="AK1678" s="18" t="str">
        <f aca="false">IF($AH1678=1,IFERROR(VALUE(MID($D1678,2,20)),1000000000)+ROW()/10000000,"")</f>
        <v/>
      </c>
    </row>
    <row r="1679" customFormat="false" ht="15" hidden="false" customHeight="false" outlineLevel="0" collapsed="false">
      <c r="F1679" s="15"/>
      <c r="N1679" s="16" t="str">
        <f aca="false">IF($D1679="","",M1679*Y1679/100)</f>
        <v/>
      </c>
      <c r="V1679" s="16" t="str">
        <f aca="false">IF($D1679="","",Y1679*AB1679/100)</f>
        <v/>
      </c>
      <c r="W1679" s="16" t="str">
        <f aca="false">IF($D1679="","",Y1679-V1679)</f>
        <v/>
      </c>
      <c r="X1679" s="16" t="str">
        <f aca="false">IF($D1679="","",W1679-N1679)</f>
        <v/>
      </c>
      <c r="AB1679" s="17" t="str">
        <f aca="false">IF($D1679="","",IF(OR($R1679=TRUE(),$R1679="TRUE"),Settings!$C$6,Settings!$C$7)*100)</f>
        <v/>
      </c>
      <c r="AH1679" s="18" t="str">
        <f aca="false">IF($D1679="","",IF(COUNTIF($D$2:$D1679,$D1679)=1,1,0))</f>
        <v/>
      </c>
      <c r="AI1679" s="18" t="str">
        <f aca="false">IF($AH1679=1,SUMPRODUCT(--($AK$2:$AK$4001&lt;$AK1679))+1,"")</f>
        <v/>
      </c>
      <c r="AJ1679" s="18" t="str">
        <f aca="false">IF($D1679="","",IF(OR($R1679=TRUE(),$R1679="TRUE"),1,0))</f>
        <v/>
      </c>
      <c r="AK1679" s="18" t="str">
        <f aca="false">IF($AH1679=1,IFERROR(VALUE(MID($D1679,2,20)),1000000000)+ROW()/10000000,"")</f>
        <v/>
      </c>
    </row>
    <row r="1680" customFormat="false" ht="15" hidden="false" customHeight="false" outlineLevel="0" collapsed="false">
      <c r="F1680" s="15"/>
      <c r="N1680" s="16" t="str">
        <f aca="false">IF($D1680="","",M1680*Y1680/100)</f>
        <v/>
      </c>
      <c r="V1680" s="16" t="str">
        <f aca="false">IF($D1680="","",Y1680*AB1680/100)</f>
        <v/>
      </c>
      <c r="W1680" s="16" t="str">
        <f aca="false">IF($D1680="","",Y1680-V1680)</f>
        <v/>
      </c>
      <c r="X1680" s="16" t="str">
        <f aca="false">IF($D1680="","",W1680-N1680)</f>
        <v/>
      </c>
      <c r="AB1680" s="17" t="str">
        <f aca="false">IF($D1680="","",IF(OR($R1680=TRUE(),$R1680="TRUE"),Settings!$C$6,Settings!$C$7)*100)</f>
        <v/>
      </c>
      <c r="AH1680" s="18" t="str">
        <f aca="false">IF($D1680="","",IF(COUNTIF($D$2:$D1680,$D1680)=1,1,0))</f>
        <v/>
      </c>
      <c r="AI1680" s="18" t="str">
        <f aca="false">IF($AH1680=1,SUMPRODUCT(--($AK$2:$AK$4001&lt;$AK1680))+1,"")</f>
        <v/>
      </c>
      <c r="AJ1680" s="18" t="str">
        <f aca="false">IF($D1680="","",IF(OR($R1680=TRUE(),$R1680="TRUE"),1,0))</f>
        <v/>
      </c>
      <c r="AK1680" s="18" t="str">
        <f aca="false">IF($AH1680=1,IFERROR(VALUE(MID($D1680,2,20)),1000000000)+ROW()/10000000,"")</f>
        <v/>
      </c>
    </row>
    <row r="1681" customFormat="false" ht="15" hidden="false" customHeight="false" outlineLevel="0" collapsed="false">
      <c r="F1681" s="15"/>
      <c r="N1681" s="16" t="str">
        <f aca="false">IF($D1681="","",M1681*Y1681/100)</f>
        <v/>
      </c>
      <c r="V1681" s="16" t="str">
        <f aca="false">IF($D1681="","",Y1681*AB1681/100)</f>
        <v/>
      </c>
      <c r="W1681" s="16" t="str">
        <f aca="false">IF($D1681="","",Y1681-V1681)</f>
        <v/>
      </c>
      <c r="X1681" s="16" t="str">
        <f aca="false">IF($D1681="","",W1681-N1681)</f>
        <v/>
      </c>
      <c r="AB1681" s="17" t="str">
        <f aca="false">IF($D1681="","",IF(OR($R1681=TRUE(),$R1681="TRUE"),Settings!$C$6,Settings!$C$7)*100)</f>
        <v/>
      </c>
      <c r="AH1681" s="18" t="str">
        <f aca="false">IF($D1681="","",IF(COUNTIF($D$2:$D1681,$D1681)=1,1,0))</f>
        <v/>
      </c>
      <c r="AI1681" s="18" t="str">
        <f aca="false">IF($AH1681=1,SUMPRODUCT(--($AK$2:$AK$4001&lt;$AK1681))+1,"")</f>
        <v/>
      </c>
      <c r="AJ1681" s="18" t="str">
        <f aca="false">IF($D1681="","",IF(OR($R1681=TRUE(),$R1681="TRUE"),1,0))</f>
        <v/>
      </c>
      <c r="AK1681" s="18" t="str">
        <f aca="false">IF($AH1681=1,IFERROR(VALUE(MID($D1681,2,20)),1000000000)+ROW()/10000000,"")</f>
        <v/>
      </c>
    </row>
    <row r="1682" customFormat="false" ht="15" hidden="false" customHeight="false" outlineLevel="0" collapsed="false">
      <c r="F1682" s="15"/>
      <c r="N1682" s="16" t="str">
        <f aca="false">IF($D1682="","",M1682*Y1682/100)</f>
        <v/>
      </c>
      <c r="V1682" s="16" t="str">
        <f aca="false">IF($D1682="","",Y1682*AB1682/100)</f>
        <v/>
      </c>
      <c r="W1682" s="16" t="str">
        <f aca="false">IF($D1682="","",Y1682-V1682)</f>
        <v/>
      </c>
      <c r="X1682" s="16" t="str">
        <f aca="false">IF($D1682="","",W1682-N1682)</f>
        <v/>
      </c>
      <c r="AB1682" s="17" t="str">
        <f aca="false">IF($D1682="","",IF(OR($R1682=TRUE(),$R1682="TRUE"),Settings!$C$6,Settings!$C$7)*100)</f>
        <v/>
      </c>
      <c r="AH1682" s="18" t="str">
        <f aca="false">IF($D1682="","",IF(COUNTIF($D$2:$D1682,$D1682)=1,1,0))</f>
        <v/>
      </c>
      <c r="AI1682" s="18" t="str">
        <f aca="false">IF($AH1682=1,SUMPRODUCT(--($AK$2:$AK$4001&lt;$AK1682))+1,"")</f>
        <v/>
      </c>
      <c r="AJ1682" s="18" t="str">
        <f aca="false">IF($D1682="","",IF(OR($R1682=TRUE(),$R1682="TRUE"),1,0))</f>
        <v/>
      </c>
      <c r="AK1682" s="18" t="str">
        <f aca="false">IF($AH1682=1,IFERROR(VALUE(MID($D1682,2,20)),1000000000)+ROW()/10000000,"")</f>
        <v/>
      </c>
    </row>
    <row r="1683" customFormat="false" ht="15" hidden="false" customHeight="false" outlineLevel="0" collapsed="false">
      <c r="F1683" s="15"/>
      <c r="N1683" s="16" t="str">
        <f aca="false">IF($D1683="","",M1683*Y1683/100)</f>
        <v/>
      </c>
      <c r="V1683" s="16" t="str">
        <f aca="false">IF($D1683="","",Y1683*AB1683/100)</f>
        <v/>
      </c>
      <c r="W1683" s="16" t="str">
        <f aca="false">IF($D1683="","",Y1683-V1683)</f>
        <v/>
      </c>
      <c r="X1683" s="16" t="str">
        <f aca="false">IF($D1683="","",W1683-N1683)</f>
        <v/>
      </c>
      <c r="AB1683" s="17" t="str">
        <f aca="false">IF($D1683="","",IF(OR($R1683=TRUE(),$R1683="TRUE"),Settings!$C$6,Settings!$C$7)*100)</f>
        <v/>
      </c>
      <c r="AH1683" s="18" t="str">
        <f aca="false">IF($D1683="","",IF(COUNTIF($D$2:$D1683,$D1683)=1,1,0))</f>
        <v/>
      </c>
      <c r="AI1683" s="18" t="str">
        <f aca="false">IF($AH1683=1,SUMPRODUCT(--($AK$2:$AK$4001&lt;$AK1683))+1,"")</f>
        <v/>
      </c>
      <c r="AJ1683" s="18" t="str">
        <f aca="false">IF($D1683="","",IF(OR($R1683=TRUE(),$R1683="TRUE"),1,0))</f>
        <v/>
      </c>
      <c r="AK1683" s="18" t="str">
        <f aca="false">IF($AH1683=1,IFERROR(VALUE(MID($D1683,2,20)),1000000000)+ROW()/10000000,"")</f>
        <v/>
      </c>
    </row>
    <row r="1684" customFormat="false" ht="15" hidden="false" customHeight="false" outlineLevel="0" collapsed="false">
      <c r="F1684" s="15"/>
      <c r="N1684" s="16" t="str">
        <f aca="false">IF($D1684="","",M1684*Y1684/100)</f>
        <v/>
      </c>
      <c r="V1684" s="16" t="str">
        <f aca="false">IF($D1684="","",Y1684*AB1684/100)</f>
        <v/>
      </c>
      <c r="W1684" s="16" t="str">
        <f aca="false">IF($D1684="","",Y1684-V1684)</f>
        <v/>
      </c>
      <c r="X1684" s="16" t="str">
        <f aca="false">IF($D1684="","",W1684-N1684)</f>
        <v/>
      </c>
      <c r="AB1684" s="17" t="str">
        <f aca="false">IF($D1684="","",IF(OR($R1684=TRUE(),$R1684="TRUE"),Settings!$C$6,Settings!$C$7)*100)</f>
        <v/>
      </c>
      <c r="AH1684" s="18" t="str">
        <f aca="false">IF($D1684="","",IF(COUNTIF($D$2:$D1684,$D1684)=1,1,0))</f>
        <v/>
      </c>
      <c r="AI1684" s="18" t="str">
        <f aca="false">IF($AH1684=1,SUMPRODUCT(--($AK$2:$AK$4001&lt;$AK1684))+1,"")</f>
        <v/>
      </c>
      <c r="AJ1684" s="18" t="str">
        <f aca="false">IF($D1684="","",IF(OR($R1684=TRUE(),$R1684="TRUE"),1,0))</f>
        <v/>
      </c>
      <c r="AK1684" s="18" t="str">
        <f aca="false">IF($AH1684=1,IFERROR(VALUE(MID($D1684,2,20)),1000000000)+ROW()/10000000,"")</f>
        <v/>
      </c>
    </row>
    <row r="1685" customFormat="false" ht="15" hidden="false" customHeight="false" outlineLevel="0" collapsed="false">
      <c r="F1685" s="15"/>
      <c r="N1685" s="16" t="str">
        <f aca="false">IF($D1685="","",M1685*Y1685/100)</f>
        <v/>
      </c>
      <c r="V1685" s="16" t="str">
        <f aca="false">IF($D1685="","",Y1685*AB1685/100)</f>
        <v/>
      </c>
      <c r="W1685" s="16" t="str">
        <f aca="false">IF($D1685="","",Y1685-V1685)</f>
        <v/>
      </c>
      <c r="X1685" s="16" t="str">
        <f aca="false">IF($D1685="","",W1685-N1685)</f>
        <v/>
      </c>
      <c r="AB1685" s="17" t="str">
        <f aca="false">IF($D1685="","",IF(OR($R1685=TRUE(),$R1685="TRUE"),Settings!$C$6,Settings!$C$7)*100)</f>
        <v/>
      </c>
      <c r="AH1685" s="18" t="str">
        <f aca="false">IF($D1685="","",IF(COUNTIF($D$2:$D1685,$D1685)=1,1,0))</f>
        <v/>
      </c>
      <c r="AI1685" s="18" t="str">
        <f aca="false">IF($AH1685=1,SUMPRODUCT(--($AK$2:$AK$4001&lt;$AK1685))+1,"")</f>
        <v/>
      </c>
      <c r="AJ1685" s="18" t="str">
        <f aca="false">IF($D1685="","",IF(OR($R1685=TRUE(),$R1685="TRUE"),1,0))</f>
        <v/>
      </c>
      <c r="AK1685" s="18" t="str">
        <f aca="false">IF($AH1685=1,IFERROR(VALUE(MID($D1685,2,20)),1000000000)+ROW()/10000000,"")</f>
        <v/>
      </c>
    </row>
    <row r="1686" customFormat="false" ht="15" hidden="false" customHeight="false" outlineLevel="0" collapsed="false">
      <c r="F1686" s="15"/>
      <c r="N1686" s="16" t="str">
        <f aca="false">IF($D1686="","",M1686*Y1686/100)</f>
        <v/>
      </c>
      <c r="V1686" s="16" t="str">
        <f aca="false">IF($D1686="","",Y1686*AB1686/100)</f>
        <v/>
      </c>
      <c r="W1686" s="16" t="str">
        <f aca="false">IF($D1686="","",Y1686-V1686)</f>
        <v/>
      </c>
      <c r="X1686" s="16" t="str">
        <f aca="false">IF($D1686="","",W1686-N1686)</f>
        <v/>
      </c>
      <c r="AB1686" s="17" t="str">
        <f aca="false">IF($D1686="","",IF(OR($R1686=TRUE(),$R1686="TRUE"),Settings!$C$6,Settings!$C$7)*100)</f>
        <v/>
      </c>
      <c r="AH1686" s="18" t="str">
        <f aca="false">IF($D1686="","",IF(COUNTIF($D$2:$D1686,$D1686)=1,1,0))</f>
        <v/>
      </c>
      <c r="AI1686" s="18" t="str">
        <f aca="false">IF($AH1686=1,SUMPRODUCT(--($AK$2:$AK$4001&lt;$AK1686))+1,"")</f>
        <v/>
      </c>
      <c r="AJ1686" s="18" t="str">
        <f aca="false">IF($D1686="","",IF(OR($R1686=TRUE(),$R1686="TRUE"),1,0))</f>
        <v/>
      </c>
      <c r="AK1686" s="18" t="str">
        <f aca="false">IF($AH1686=1,IFERROR(VALUE(MID($D1686,2,20)),1000000000)+ROW()/10000000,"")</f>
        <v/>
      </c>
    </row>
    <row r="1687" customFormat="false" ht="15" hidden="false" customHeight="false" outlineLevel="0" collapsed="false">
      <c r="F1687" s="15"/>
      <c r="N1687" s="16" t="str">
        <f aca="false">IF($D1687="","",M1687*Y1687/100)</f>
        <v/>
      </c>
      <c r="V1687" s="16" t="str">
        <f aca="false">IF($D1687="","",Y1687*AB1687/100)</f>
        <v/>
      </c>
      <c r="W1687" s="16" t="str">
        <f aca="false">IF($D1687="","",Y1687-V1687)</f>
        <v/>
      </c>
      <c r="X1687" s="16" t="str">
        <f aca="false">IF($D1687="","",W1687-N1687)</f>
        <v/>
      </c>
      <c r="AB1687" s="17" t="str">
        <f aca="false">IF($D1687="","",IF(OR($R1687=TRUE(),$R1687="TRUE"),Settings!$C$6,Settings!$C$7)*100)</f>
        <v/>
      </c>
      <c r="AH1687" s="18" t="str">
        <f aca="false">IF($D1687="","",IF(COUNTIF($D$2:$D1687,$D1687)=1,1,0))</f>
        <v/>
      </c>
      <c r="AI1687" s="18" t="str">
        <f aca="false">IF($AH1687=1,SUMPRODUCT(--($AK$2:$AK$4001&lt;$AK1687))+1,"")</f>
        <v/>
      </c>
      <c r="AJ1687" s="18" t="str">
        <f aca="false">IF($D1687="","",IF(OR($R1687=TRUE(),$R1687="TRUE"),1,0))</f>
        <v/>
      </c>
      <c r="AK1687" s="18" t="str">
        <f aca="false">IF($AH1687=1,IFERROR(VALUE(MID($D1687,2,20)),1000000000)+ROW()/10000000,"")</f>
        <v/>
      </c>
    </row>
    <row r="1688" customFormat="false" ht="15" hidden="false" customHeight="false" outlineLevel="0" collapsed="false">
      <c r="F1688" s="15"/>
      <c r="N1688" s="16" t="str">
        <f aca="false">IF($D1688="","",M1688*Y1688/100)</f>
        <v/>
      </c>
      <c r="V1688" s="16" t="str">
        <f aca="false">IF($D1688="","",Y1688*AB1688/100)</f>
        <v/>
      </c>
      <c r="W1688" s="16" t="str">
        <f aca="false">IF($D1688="","",Y1688-V1688)</f>
        <v/>
      </c>
      <c r="X1688" s="16" t="str">
        <f aca="false">IF($D1688="","",W1688-N1688)</f>
        <v/>
      </c>
      <c r="AB1688" s="17" t="str">
        <f aca="false">IF($D1688="","",IF(OR($R1688=TRUE(),$R1688="TRUE"),Settings!$C$6,Settings!$C$7)*100)</f>
        <v/>
      </c>
      <c r="AH1688" s="18" t="str">
        <f aca="false">IF($D1688="","",IF(COUNTIF($D$2:$D1688,$D1688)=1,1,0))</f>
        <v/>
      </c>
      <c r="AI1688" s="18" t="str">
        <f aca="false">IF($AH1688=1,SUMPRODUCT(--($AK$2:$AK$4001&lt;$AK1688))+1,"")</f>
        <v/>
      </c>
      <c r="AJ1688" s="18" t="str">
        <f aca="false">IF($D1688="","",IF(OR($R1688=TRUE(),$R1688="TRUE"),1,0))</f>
        <v/>
      </c>
      <c r="AK1688" s="18" t="str">
        <f aca="false">IF($AH1688=1,IFERROR(VALUE(MID($D1688,2,20)),1000000000)+ROW()/10000000,"")</f>
        <v/>
      </c>
    </row>
    <row r="1689" customFormat="false" ht="15" hidden="false" customHeight="false" outlineLevel="0" collapsed="false">
      <c r="F1689" s="15"/>
      <c r="N1689" s="16" t="str">
        <f aca="false">IF($D1689="","",M1689*Y1689/100)</f>
        <v/>
      </c>
      <c r="V1689" s="16" t="str">
        <f aca="false">IF($D1689="","",Y1689*AB1689/100)</f>
        <v/>
      </c>
      <c r="W1689" s="16" t="str">
        <f aca="false">IF($D1689="","",Y1689-V1689)</f>
        <v/>
      </c>
      <c r="X1689" s="16" t="str">
        <f aca="false">IF($D1689="","",W1689-N1689)</f>
        <v/>
      </c>
      <c r="AB1689" s="17" t="str">
        <f aca="false">IF($D1689="","",IF(OR($R1689=TRUE(),$R1689="TRUE"),Settings!$C$6,Settings!$C$7)*100)</f>
        <v/>
      </c>
      <c r="AH1689" s="18" t="str">
        <f aca="false">IF($D1689="","",IF(COUNTIF($D$2:$D1689,$D1689)=1,1,0))</f>
        <v/>
      </c>
      <c r="AI1689" s="18" t="str">
        <f aca="false">IF($AH1689=1,SUMPRODUCT(--($AK$2:$AK$4001&lt;$AK1689))+1,"")</f>
        <v/>
      </c>
      <c r="AJ1689" s="18" t="str">
        <f aca="false">IF($D1689="","",IF(OR($R1689=TRUE(),$R1689="TRUE"),1,0))</f>
        <v/>
      </c>
      <c r="AK1689" s="18" t="str">
        <f aca="false">IF($AH1689=1,IFERROR(VALUE(MID($D1689,2,20)),1000000000)+ROW()/10000000,"")</f>
        <v/>
      </c>
    </row>
    <row r="1690" customFormat="false" ht="15" hidden="false" customHeight="false" outlineLevel="0" collapsed="false">
      <c r="F1690" s="15"/>
      <c r="N1690" s="16" t="str">
        <f aca="false">IF($D1690="","",M1690*Y1690/100)</f>
        <v/>
      </c>
      <c r="V1690" s="16" t="str">
        <f aca="false">IF($D1690="","",Y1690*AB1690/100)</f>
        <v/>
      </c>
      <c r="W1690" s="16" t="str">
        <f aca="false">IF($D1690="","",Y1690-V1690)</f>
        <v/>
      </c>
      <c r="X1690" s="16" t="str">
        <f aca="false">IF($D1690="","",W1690-N1690)</f>
        <v/>
      </c>
      <c r="AB1690" s="17" t="str">
        <f aca="false">IF($D1690="","",IF(OR($R1690=TRUE(),$R1690="TRUE"),Settings!$C$6,Settings!$C$7)*100)</f>
        <v/>
      </c>
      <c r="AH1690" s="18" t="str">
        <f aca="false">IF($D1690="","",IF(COUNTIF($D$2:$D1690,$D1690)=1,1,0))</f>
        <v/>
      </c>
      <c r="AI1690" s="18" t="str">
        <f aca="false">IF($AH1690=1,SUMPRODUCT(--($AK$2:$AK$4001&lt;$AK1690))+1,"")</f>
        <v/>
      </c>
      <c r="AJ1690" s="18" t="str">
        <f aca="false">IF($D1690="","",IF(OR($R1690=TRUE(),$R1690="TRUE"),1,0))</f>
        <v/>
      </c>
      <c r="AK1690" s="18" t="str">
        <f aca="false">IF($AH1690=1,IFERROR(VALUE(MID($D1690,2,20)),1000000000)+ROW()/10000000,"")</f>
        <v/>
      </c>
    </row>
    <row r="1691" customFormat="false" ht="15" hidden="false" customHeight="false" outlineLevel="0" collapsed="false">
      <c r="F1691" s="15"/>
      <c r="N1691" s="16" t="str">
        <f aca="false">IF($D1691="","",M1691*Y1691/100)</f>
        <v/>
      </c>
      <c r="V1691" s="16" t="str">
        <f aca="false">IF($D1691="","",Y1691*AB1691/100)</f>
        <v/>
      </c>
      <c r="W1691" s="16" t="str">
        <f aca="false">IF($D1691="","",Y1691-V1691)</f>
        <v/>
      </c>
      <c r="X1691" s="16" t="str">
        <f aca="false">IF($D1691="","",W1691-N1691)</f>
        <v/>
      </c>
      <c r="AB1691" s="17" t="str">
        <f aca="false">IF($D1691="","",IF(OR($R1691=TRUE(),$R1691="TRUE"),Settings!$C$6,Settings!$C$7)*100)</f>
        <v/>
      </c>
      <c r="AH1691" s="18" t="str">
        <f aca="false">IF($D1691="","",IF(COUNTIF($D$2:$D1691,$D1691)=1,1,0))</f>
        <v/>
      </c>
      <c r="AI1691" s="18" t="str">
        <f aca="false">IF($AH1691=1,SUMPRODUCT(--($AK$2:$AK$4001&lt;$AK1691))+1,"")</f>
        <v/>
      </c>
      <c r="AJ1691" s="18" t="str">
        <f aca="false">IF($D1691="","",IF(OR($R1691=TRUE(),$R1691="TRUE"),1,0))</f>
        <v/>
      </c>
      <c r="AK1691" s="18" t="str">
        <f aca="false">IF($AH1691=1,IFERROR(VALUE(MID($D1691,2,20)),1000000000)+ROW()/10000000,"")</f>
        <v/>
      </c>
    </row>
    <row r="1692" customFormat="false" ht="15" hidden="false" customHeight="false" outlineLevel="0" collapsed="false">
      <c r="F1692" s="15"/>
      <c r="N1692" s="16" t="str">
        <f aca="false">IF($D1692="","",M1692*Y1692/100)</f>
        <v/>
      </c>
      <c r="V1692" s="16" t="str">
        <f aca="false">IF($D1692="","",Y1692*AB1692/100)</f>
        <v/>
      </c>
      <c r="W1692" s="16" t="str">
        <f aca="false">IF($D1692="","",Y1692-V1692)</f>
        <v/>
      </c>
      <c r="X1692" s="16" t="str">
        <f aca="false">IF($D1692="","",W1692-N1692)</f>
        <v/>
      </c>
      <c r="AB1692" s="17" t="str">
        <f aca="false">IF($D1692="","",IF(OR($R1692=TRUE(),$R1692="TRUE"),Settings!$C$6,Settings!$C$7)*100)</f>
        <v/>
      </c>
      <c r="AH1692" s="18" t="str">
        <f aca="false">IF($D1692="","",IF(COUNTIF($D$2:$D1692,$D1692)=1,1,0))</f>
        <v/>
      </c>
      <c r="AI1692" s="18" t="str">
        <f aca="false">IF($AH1692=1,SUMPRODUCT(--($AK$2:$AK$4001&lt;$AK1692))+1,"")</f>
        <v/>
      </c>
      <c r="AJ1692" s="18" t="str">
        <f aca="false">IF($D1692="","",IF(OR($R1692=TRUE(),$R1692="TRUE"),1,0))</f>
        <v/>
      </c>
      <c r="AK1692" s="18" t="str">
        <f aca="false">IF($AH1692=1,IFERROR(VALUE(MID($D1692,2,20)),1000000000)+ROW()/10000000,"")</f>
        <v/>
      </c>
    </row>
    <row r="1693" customFormat="false" ht="15" hidden="false" customHeight="false" outlineLevel="0" collapsed="false">
      <c r="F1693" s="15"/>
      <c r="N1693" s="16" t="str">
        <f aca="false">IF($D1693="","",M1693*Y1693/100)</f>
        <v/>
      </c>
      <c r="V1693" s="16" t="str">
        <f aca="false">IF($D1693="","",Y1693*AB1693/100)</f>
        <v/>
      </c>
      <c r="W1693" s="16" t="str">
        <f aca="false">IF($D1693="","",Y1693-V1693)</f>
        <v/>
      </c>
      <c r="X1693" s="16" t="str">
        <f aca="false">IF($D1693="","",W1693-N1693)</f>
        <v/>
      </c>
      <c r="AB1693" s="17" t="str">
        <f aca="false">IF($D1693="","",IF(OR($R1693=TRUE(),$R1693="TRUE"),Settings!$C$6,Settings!$C$7)*100)</f>
        <v/>
      </c>
      <c r="AH1693" s="18" t="str">
        <f aca="false">IF($D1693="","",IF(COUNTIF($D$2:$D1693,$D1693)=1,1,0))</f>
        <v/>
      </c>
      <c r="AI1693" s="18" t="str">
        <f aca="false">IF($AH1693=1,SUMPRODUCT(--($AK$2:$AK$4001&lt;$AK1693))+1,"")</f>
        <v/>
      </c>
      <c r="AJ1693" s="18" t="str">
        <f aca="false">IF($D1693="","",IF(OR($R1693=TRUE(),$R1693="TRUE"),1,0))</f>
        <v/>
      </c>
      <c r="AK1693" s="18" t="str">
        <f aca="false">IF($AH1693=1,IFERROR(VALUE(MID($D1693,2,20)),1000000000)+ROW()/10000000,"")</f>
        <v/>
      </c>
    </row>
    <row r="1694" customFormat="false" ht="15" hidden="false" customHeight="false" outlineLevel="0" collapsed="false">
      <c r="F1694" s="15"/>
      <c r="N1694" s="16" t="str">
        <f aca="false">IF($D1694="","",M1694*Y1694/100)</f>
        <v/>
      </c>
      <c r="V1694" s="16" t="str">
        <f aca="false">IF($D1694="","",Y1694*AB1694/100)</f>
        <v/>
      </c>
      <c r="W1694" s="16" t="str">
        <f aca="false">IF($D1694="","",Y1694-V1694)</f>
        <v/>
      </c>
      <c r="X1694" s="16" t="str">
        <f aca="false">IF($D1694="","",W1694-N1694)</f>
        <v/>
      </c>
      <c r="AB1694" s="17" t="str">
        <f aca="false">IF($D1694="","",IF(OR($R1694=TRUE(),$R1694="TRUE"),Settings!$C$6,Settings!$C$7)*100)</f>
        <v/>
      </c>
      <c r="AH1694" s="18" t="str">
        <f aca="false">IF($D1694="","",IF(COUNTIF($D$2:$D1694,$D1694)=1,1,0))</f>
        <v/>
      </c>
      <c r="AI1694" s="18" t="str">
        <f aca="false">IF($AH1694=1,SUMPRODUCT(--($AK$2:$AK$4001&lt;$AK1694))+1,"")</f>
        <v/>
      </c>
      <c r="AJ1694" s="18" t="str">
        <f aca="false">IF($D1694="","",IF(OR($R1694=TRUE(),$R1694="TRUE"),1,0))</f>
        <v/>
      </c>
      <c r="AK1694" s="18" t="str">
        <f aca="false">IF($AH1694=1,IFERROR(VALUE(MID($D1694,2,20)),1000000000)+ROW()/10000000,"")</f>
        <v/>
      </c>
    </row>
    <row r="1695" customFormat="false" ht="15" hidden="false" customHeight="false" outlineLevel="0" collapsed="false">
      <c r="F1695" s="15"/>
      <c r="N1695" s="16" t="str">
        <f aca="false">IF($D1695="","",M1695*Y1695/100)</f>
        <v/>
      </c>
      <c r="V1695" s="16" t="str">
        <f aca="false">IF($D1695="","",Y1695*AB1695/100)</f>
        <v/>
      </c>
      <c r="W1695" s="16" t="str">
        <f aca="false">IF($D1695="","",Y1695-V1695)</f>
        <v/>
      </c>
      <c r="X1695" s="16" t="str">
        <f aca="false">IF($D1695="","",W1695-N1695)</f>
        <v/>
      </c>
      <c r="AB1695" s="17" t="str">
        <f aca="false">IF($D1695="","",IF(OR($R1695=TRUE(),$R1695="TRUE"),Settings!$C$6,Settings!$C$7)*100)</f>
        <v/>
      </c>
      <c r="AH1695" s="18" t="str">
        <f aca="false">IF($D1695="","",IF(COUNTIF($D$2:$D1695,$D1695)=1,1,0))</f>
        <v/>
      </c>
      <c r="AI1695" s="18" t="str">
        <f aca="false">IF($AH1695=1,SUMPRODUCT(--($AK$2:$AK$4001&lt;$AK1695))+1,"")</f>
        <v/>
      </c>
      <c r="AJ1695" s="18" t="str">
        <f aca="false">IF($D1695="","",IF(OR($R1695=TRUE(),$R1695="TRUE"),1,0))</f>
        <v/>
      </c>
      <c r="AK1695" s="18" t="str">
        <f aca="false">IF($AH1695=1,IFERROR(VALUE(MID($D1695,2,20)),1000000000)+ROW()/10000000,"")</f>
        <v/>
      </c>
    </row>
    <row r="1696" customFormat="false" ht="15" hidden="false" customHeight="false" outlineLevel="0" collapsed="false">
      <c r="F1696" s="15"/>
      <c r="N1696" s="16" t="str">
        <f aca="false">IF($D1696="","",M1696*Y1696/100)</f>
        <v/>
      </c>
      <c r="V1696" s="16" t="str">
        <f aca="false">IF($D1696="","",Y1696*AB1696/100)</f>
        <v/>
      </c>
      <c r="W1696" s="16" t="str">
        <f aca="false">IF($D1696="","",Y1696-V1696)</f>
        <v/>
      </c>
      <c r="X1696" s="16" t="str">
        <f aca="false">IF($D1696="","",W1696-N1696)</f>
        <v/>
      </c>
      <c r="AB1696" s="17" t="str">
        <f aca="false">IF($D1696="","",IF(OR($R1696=TRUE(),$R1696="TRUE"),Settings!$C$6,Settings!$C$7)*100)</f>
        <v/>
      </c>
      <c r="AH1696" s="18" t="str">
        <f aca="false">IF($D1696="","",IF(COUNTIF($D$2:$D1696,$D1696)=1,1,0))</f>
        <v/>
      </c>
      <c r="AI1696" s="18" t="str">
        <f aca="false">IF($AH1696=1,SUMPRODUCT(--($AK$2:$AK$4001&lt;$AK1696))+1,"")</f>
        <v/>
      </c>
      <c r="AJ1696" s="18" t="str">
        <f aca="false">IF($D1696="","",IF(OR($R1696=TRUE(),$R1696="TRUE"),1,0))</f>
        <v/>
      </c>
      <c r="AK1696" s="18" t="str">
        <f aca="false">IF($AH1696=1,IFERROR(VALUE(MID($D1696,2,20)),1000000000)+ROW()/10000000,"")</f>
        <v/>
      </c>
    </row>
    <row r="1697" customFormat="false" ht="15" hidden="false" customHeight="false" outlineLevel="0" collapsed="false">
      <c r="F1697" s="15"/>
      <c r="N1697" s="16" t="str">
        <f aca="false">IF($D1697="","",M1697*Y1697/100)</f>
        <v/>
      </c>
      <c r="V1697" s="16" t="str">
        <f aca="false">IF($D1697="","",Y1697*AB1697/100)</f>
        <v/>
      </c>
      <c r="W1697" s="16" t="str">
        <f aca="false">IF($D1697="","",Y1697-V1697)</f>
        <v/>
      </c>
      <c r="X1697" s="16" t="str">
        <f aca="false">IF($D1697="","",W1697-N1697)</f>
        <v/>
      </c>
      <c r="AB1697" s="17" t="str">
        <f aca="false">IF($D1697="","",IF(OR($R1697=TRUE(),$R1697="TRUE"),Settings!$C$6,Settings!$C$7)*100)</f>
        <v/>
      </c>
      <c r="AH1697" s="18" t="str">
        <f aca="false">IF($D1697="","",IF(COUNTIF($D$2:$D1697,$D1697)=1,1,0))</f>
        <v/>
      </c>
      <c r="AI1697" s="18" t="str">
        <f aca="false">IF($AH1697=1,SUMPRODUCT(--($AK$2:$AK$4001&lt;$AK1697))+1,"")</f>
        <v/>
      </c>
      <c r="AJ1697" s="18" t="str">
        <f aca="false">IF($D1697="","",IF(OR($R1697=TRUE(),$R1697="TRUE"),1,0))</f>
        <v/>
      </c>
      <c r="AK1697" s="18" t="str">
        <f aca="false">IF($AH1697=1,IFERROR(VALUE(MID($D1697,2,20)),1000000000)+ROW()/10000000,"")</f>
        <v/>
      </c>
    </row>
    <row r="1698" customFormat="false" ht="15" hidden="false" customHeight="false" outlineLevel="0" collapsed="false">
      <c r="F1698" s="15"/>
      <c r="N1698" s="16" t="str">
        <f aca="false">IF($D1698="","",M1698*Y1698/100)</f>
        <v/>
      </c>
      <c r="V1698" s="16" t="str">
        <f aca="false">IF($D1698="","",Y1698*AB1698/100)</f>
        <v/>
      </c>
      <c r="W1698" s="16" t="str">
        <f aca="false">IF($D1698="","",Y1698-V1698)</f>
        <v/>
      </c>
      <c r="X1698" s="16" t="str">
        <f aca="false">IF($D1698="","",W1698-N1698)</f>
        <v/>
      </c>
      <c r="AB1698" s="17" t="str">
        <f aca="false">IF($D1698="","",IF(OR($R1698=TRUE(),$R1698="TRUE"),Settings!$C$6,Settings!$C$7)*100)</f>
        <v/>
      </c>
      <c r="AH1698" s="18" t="str">
        <f aca="false">IF($D1698="","",IF(COUNTIF($D$2:$D1698,$D1698)=1,1,0))</f>
        <v/>
      </c>
      <c r="AI1698" s="18" t="str">
        <f aca="false">IF($AH1698=1,SUMPRODUCT(--($AK$2:$AK$4001&lt;$AK1698))+1,"")</f>
        <v/>
      </c>
      <c r="AJ1698" s="18" t="str">
        <f aca="false">IF($D1698="","",IF(OR($R1698=TRUE(),$R1698="TRUE"),1,0))</f>
        <v/>
      </c>
      <c r="AK1698" s="18" t="str">
        <f aca="false">IF($AH1698=1,IFERROR(VALUE(MID($D1698,2,20)),1000000000)+ROW()/10000000,"")</f>
        <v/>
      </c>
    </row>
    <row r="1699" customFormat="false" ht="15" hidden="false" customHeight="false" outlineLevel="0" collapsed="false">
      <c r="F1699" s="15"/>
      <c r="N1699" s="16" t="str">
        <f aca="false">IF($D1699="","",M1699*Y1699/100)</f>
        <v/>
      </c>
      <c r="V1699" s="16" t="str">
        <f aca="false">IF($D1699="","",Y1699*AB1699/100)</f>
        <v/>
      </c>
      <c r="W1699" s="16" t="str">
        <f aca="false">IF($D1699="","",Y1699-V1699)</f>
        <v/>
      </c>
      <c r="X1699" s="16" t="str">
        <f aca="false">IF($D1699="","",W1699-N1699)</f>
        <v/>
      </c>
      <c r="AB1699" s="17" t="str">
        <f aca="false">IF($D1699="","",IF(OR($R1699=TRUE(),$R1699="TRUE"),Settings!$C$6,Settings!$C$7)*100)</f>
        <v/>
      </c>
      <c r="AH1699" s="18" t="str">
        <f aca="false">IF($D1699="","",IF(COUNTIF($D$2:$D1699,$D1699)=1,1,0))</f>
        <v/>
      </c>
      <c r="AI1699" s="18" t="str">
        <f aca="false">IF($AH1699=1,SUMPRODUCT(--($AK$2:$AK$4001&lt;$AK1699))+1,"")</f>
        <v/>
      </c>
      <c r="AJ1699" s="18" t="str">
        <f aca="false">IF($D1699="","",IF(OR($R1699=TRUE(),$R1699="TRUE"),1,0))</f>
        <v/>
      </c>
      <c r="AK1699" s="18" t="str">
        <f aca="false">IF($AH1699=1,IFERROR(VALUE(MID($D1699,2,20)),1000000000)+ROW()/10000000,"")</f>
        <v/>
      </c>
    </row>
    <row r="1700" customFormat="false" ht="15" hidden="false" customHeight="false" outlineLevel="0" collapsed="false">
      <c r="F1700" s="15"/>
      <c r="N1700" s="16" t="str">
        <f aca="false">IF($D1700="","",M1700*Y1700/100)</f>
        <v/>
      </c>
      <c r="V1700" s="16" t="str">
        <f aca="false">IF($D1700="","",Y1700*AB1700/100)</f>
        <v/>
      </c>
      <c r="W1700" s="16" t="str">
        <f aca="false">IF($D1700="","",Y1700-V1700)</f>
        <v/>
      </c>
      <c r="X1700" s="16" t="str">
        <f aca="false">IF($D1700="","",W1700-N1700)</f>
        <v/>
      </c>
      <c r="AB1700" s="17" t="str">
        <f aca="false">IF($D1700="","",IF(OR($R1700=TRUE(),$R1700="TRUE"),Settings!$C$6,Settings!$C$7)*100)</f>
        <v/>
      </c>
      <c r="AH1700" s="18" t="str">
        <f aca="false">IF($D1700="","",IF(COUNTIF($D$2:$D1700,$D1700)=1,1,0))</f>
        <v/>
      </c>
      <c r="AI1700" s="18" t="str">
        <f aca="false">IF($AH1700=1,SUMPRODUCT(--($AK$2:$AK$4001&lt;$AK1700))+1,"")</f>
        <v/>
      </c>
      <c r="AJ1700" s="18" t="str">
        <f aca="false">IF($D1700="","",IF(OR($R1700=TRUE(),$R1700="TRUE"),1,0))</f>
        <v/>
      </c>
      <c r="AK1700" s="18" t="str">
        <f aca="false">IF($AH1700=1,IFERROR(VALUE(MID($D1700,2,20)),1000000000)+ROW()/10000000,"")</f>
        <v/>
      </c>
    </row>
    <row r="1701" customFormat="false" ht="15" hidden="false" customHeight="false" outlineLevel="0" collapsed="false">
      <c r="F1701" s="15"/>
      <c r="N1701" s="16" t="str">
        <f aca="false">IF($D1701="","",M1701*Y1701/100)</f>
        <v/>
      </c>
      <c r="V1701" s="16" t="str">
        <f aca="false">IF($D1701="","",Y1701*AB1701/100)</f>
        <v/>
      </c>
      <c r="W1701" s="16" t="str">
        <f aca="false">IF($D1701="","",Y1701-V1701)</f>
        <v/>
      </c>
      <c r="X1701" s="16" t="str">
        <f aca="false">IF($D1701="","",W1701-N1701)</f>
        <v/>
      </c>
      <c r="AB1701" s="17" t="str">
        <f aca="false">IF($D1701="","",IF(OR($R1701=TRUE(),$R1701="TRUE"),Settings!$C$6,Settings!$C$7)*100)</f>
        <v/>
      </c>
      <c r="AH1701" s="18" t="str">
        <f aca="false">IF($D1701="","",IF(COUNTIF($D$2:$D1701,$D1701)=1,1,0))</f>
        <v/>
      </c>
      <c r="AI1701" s="18" t="str">
        <f aca="false">IF($AH1701=1,SUMPRODUCT(--($AK$2:$AK$4001&lt;$AK1701))+1,"")</f>
        <v/>
      </c>
      <c r="AJ1701" s="18" t="str">
        <f aca="false">IF($D1701="","",IF(OR($R1701=TRUE(),$R1701="TRUE"),1,0))</f>
        <v/>
      </c>
      <c r="AK1701" s="18" t="str">
        <f aca="false">IF($AH1701=1,IFERROR(VALUE(MID($D1701,2,20)),1000000000)+ROW()/10000000,"")</f>
        <v/>
      </c>
    </row>
    <row r="1702" customFormat="false" ht="15" hidden="false" customHeight="false" outlineLevel="0" collapsed="false">
      <c r="F1702" s="15"/>
      <c r="N1702" s="16" t="str">
        <f aca="false">IF($D1702="","",M1702*Y1702/100)</f>
        <v/>
      </c>
      <c r="V1702" s="16" t="str">
        <f aca="false">IF($D1702="","",Y1702*AB1702/100)</f>
        <v/>
      </c>
      <c r="W1702" s="16" t="str">
        <f aca="false">IF($D1702="","",Y1702-V1702)</f>
        <v/>
      </c>
      <c r="X1702" s="16" t="str">
        <f aca="false">IF($D1702="","",W1702-N1702)</f>
        <v/>
      </c>
      <c r="AB1702" s="17" t="str">
        <f aca="false">IF($D1702="","",IF(OR($R1702=TRUE(),$R1702="TRUE"),Settings!$C$6,Settings!$C$7)*100)</f>
        <v/>
      </c>
      <c r="AH1702" s="18" t="str">
        <f aca="false">IF($D1702="","",IF(COUNTIF($D$2:$D1702,$D1702)=1,1,0))</f>
        <v/>
      </c>
      <c r="AI1702" s="18" t="str">
        <f aca="false">IF($AH1702=1,SUMPRODUCT(--($AK$2:$AK$4001&lt;$AK1702))+1,"")</f>
        <v/>
      </c>
      <c r="AJ1702" s="18" t="str">
        <f aca="false">IF($D1702="","",IF(OR($R1702=TRUE(),$R1702="TRUE"),1,0))</f>
        <v/>
      </c>
      <c r="AK1702" s="18" t="str">
        <f aca="false">IF($AH1702=1,IFERROR(VALUE(MID($D1702,2,20)),1000000000)+ROW()/10000000,"")</f>
        <v/>
      </c>
    </row>
    <row r="1703" customFormat="false" ht="15" hidden="false" customHeight="false" outlineLevel="0" collapsed="false">
      <c r="F1703" s="15"/>
      <c r="N1703" s="16" t="str">
        <f aca="false">IF($D1703="","",M1703*Y1703/100)</f>
        <v/>
      </c>
      <c r="V1703" s="16" t="str">
        <f aca="false">IF($D1703="","",Y1703*AB1703/100)</f>
        <v/>
      </c>
      <c r="W1703" s="16" t="str">
        <f aca="false">IF($D1703="","",Y1703-V1703)</f>
        <v/>
      </c>
      <c r="X1703" s="16" t="str">
        <f aca="false">IF($D1703="","",W1703-N1703)</f>
        <v/>
      </c>
      <c r="AB1703" s="17" t="str">
        <f aca="false">IF($D1703="","",IF(OR($R1703=TRUE(),$R1703="TRUE"),Settings!$C$6,Settings!$C$7)*100)</f>
        <v/>
      </c>
      <c r="AH1703" s="18" t="str">
        <f aca="false">IF($D1703="","",IF(COUNTIF($D$2:$D1703,$D1703)=1,1,0))</f>
        <v/>
      </c>
      <c r="AI1703" s="18" t="str">
        <f aca="false">IF($AH1703=1,SUMPRODUCT(--($AK$2:$AK$4001&lt;$AK1703))+1,"")</f>
        <v/>
      </c>
      <c r="AJ1703" s="18" t="str">
        <f aca="false">IF($D1703="","",IF(OR($R1703=TRUE(),$R1703="TRUE"),1,0))</f>
        <v/>
      </c>
      <c r="AK1703" s="18" t="str">
        <f aca="false">IF($AH1703=1,IFERROR(VALUE(MID($D1703,2,20)),1000000000)+ROW()/10000000,"")</f>
        <v/>
      </c>
    </row>
    <row r="1704" customFormat="false" ht="15" hidden="false" customHeight="false" outlineLevel="0" collapsed="false">
      <c r="F1704" s="15"/>
      <c r="N1704" s="16" t="str">
        <f aca="false">IF($D1704="","",M1704*Y1704/100)</f>
        <v/>
      </c>
      <c r="V1704" s="16" t="str">
        <f aca="false">IF($D1704="","",Y1704*AB1704/100)</f>
        <v/>
      </c>
      <c r="W1704" s="16" t="str">
        <f aca="false">IF($D1704="","",Y1704-V1704)</f>
        <v/>
      </c>
      <c r="X1704" s="16" t="str">
        <f aca="false">IF($D1704="","",W1704-N1704)</f>
        <v/>
      </c>
      <c r="AB1704" s="17" t="str">
        <f aca="false">IF($D1704="","",IF(OR($R1704=TRUE(),$R1704="TRUE"),Settings!$C$6,Settings!$C$7)*100)</f>
        <v/>
      </c>
      <c r="AH1704" s="18" t="str">
        <f aca="false">IF($D1704="","",IF(COUNTIF($D$2:$D1704,$D1704)=1,1,0))</f>
        <v/>
      </c>
      <c r="AI1704" s="18" t="str">
        <f aca="false">IF($AH1704=1,SUMPRODUCT(--($AK$2:$AK$4001&lt;$AK1704))+1,"")</f>
        <v/>
      </c>
      <c r="AJ1704" s="18" t="str">
        <f aca="false">IF($D1704="","",IF(OR($R1704=TRUE(),$R1704="TRUE"),1,0))</f>
        <v/>
      </c>
      <c r="AK1704" s="18" t="str">
        <f aca="false">IF($AH1704=1,IFERROR(VALUE(MID($D1704,2,20)),1000000000)+ROW()/10000000,"")</f>
        <v/>
      </c>
    </row>
    <row r="1705" customFormat="false" ht="15" hidden="false" customHeight="false" outlineLevel="0" collapsed="false">
      <c r="F1705" s="15"/>
      <c r="N1705" s="16" t="str">
        <f aca="false">IF($D1705="","",M1705*Y1705/100)</f>
        <v/>
      </c>
      <c r="V1705" s="16" t="str">
        <f aca="false">IF($D1705="","",Y1705*AB1705/100)</f>
        <v/>
      </c>
      <c r="W1705" s="16" t="str">
        <f aca="false">IF($D1705="","",Y1705-V1705)</f>
        <v/>
      </c>
      <c r="X1705" s="16" t="str">
        <f aca="false">IF($D1705="","",W1705-N1705)</f>
        <v/>
      </c>
      <c r="AB1705" s="17" t="str">
        <f aca="false">IF($D1705="","",IF(OR($R1705=TRUE(),$R1705="TRUE"),Settings!$C$6,Settings!$C$7)*100)</f>
        <v/>
      </c>
      <c r="AH1705" s="18" t="str">
        <f aca="false">IF($D1705="","",IF(COUNTIF($D$2:$D1705,$D1705)=1,1,0))</f>
        <v/>
      </c>
      <c r="AI1705" s="18" t="str">
        <f aca="false">IF($AH1705=1,SUMPRODUCT(--($AK$2:$AK$4001&lt;$AK1705))+1,"")</f>
        <v/>
      </c>
      <c r="AJ1705" s="18" t="str">
        <f aca="false">IF($D1705="","",IF(OR($R1705=TRUE(),$R1705="TRUE"),1,0))</f>
        <v/>
      </c>
      <c r="AK1705" s="18" t="str">
        <f aca="false">IF($AH1705=1,IFERROR(VALUE(MID($D1705,2,20)),1000000000)+ROW()/10000000,"")</f>
        <v/>
      </c>
    </row>
    <row r="1706" customFormat="false" ht="15" hidden="false" customHeight="false" outlineLevel="0" collapsed="false">
      <c r="F1706" s="15"/>
      <c r="N1706" s="16" t="str">
        <f aca="false">IF($D1706="","",M1706*Y1706/100)</f>
        <v/>
      </c>
      <c r="V1706" s="16" t="str">
        <f aca="false">IF($D1706="","",Y1706*AB1706/100)</f>
        <v/>
      </c>
      <c r="W1706" s="16" t="str">
        <f aca="false">IF($D1706="","",Y1706-V1706)</f>
        <v/>
      </c>
      <c r="X1706" s="16" t="str">
        <f aca="false">IF($D1706="","",W1706-N1706)</f>
        <v/>
      </c>
      <c r="AB1706" s="17" t="str">
        <f aca="false">IF($D1706="","",IF(OR($R1706=TRUE(),$R1706="TRUE"),Settings!$C$6,Settings!$C$7)*100)</f>
        <v/>
      </c>
      <c r="AH1706" s="18" t="str">
        <f aca="false">IF($D1706="","",IF(COUNTIF($D$2:$D1706,$D1706)=1,1,0))</f>
        <v/>
      </c>
      <c r="AI1706" s="18" t="str">
        <f aca="false">IF($AH1706=1,SUMPRODUCT(--($AK$2:$AK$4001&lt;$AK1706))+1,"")</f>
        <v/>
      </c>
      <c r="AJ1706" s="18" t="str">
        <f aca="false">IF($D1706="","",IF(OR($R1706=TRUE(),$R1706="TRUE"),1,0))</f>
        <v/>
      </c>
      <c r="AK1706" s="18" t="str">
        <f aca="false">IF($AH1706=1,IFERROR(VALUE(MID($D1706,2,20)),1000000000)+ROW()/10000000,"")</f>
        <v/>
      </c>
    </row>
    <row r="1707" customFormat="false" ht="15" hidden="false" customHeight="false" outlineLevel="0" collapsed="false">
      <c r="F1707" s="15"/>
      <c r="N1707" s="16" t="str">
        <f aca="false">IF($D1707="","",M1707*Y1707/100)</f>
        <v/>
      </c>
      <c r="V1707" s="16" t="str">
        <f aca="false">IF($D1707="","",Y1707*AB1707/100)</f>
        <v/>
      </c>
      <c r="W1707" s="16" t="str">
        <f aca="false">IF($D1707="","",Y1707-V1707)</f>
        <v/>
      </c>
      <c r="X1707" s="16" t="str">
        <f aca="false">IF($D1707="","",W1707-N1707)</f>
        <v/>
      </c>
      <c r="AB1707" s="17" t="str">
        <f aca="false">IF($D1707="","",IF(OR($R1707=TRUE(),$R1707="TRUE"),Settings!$C$6,Settings!$C$7)*100)</f>
        <v/>
      </c>
      <c r="AH1707" s="18" t="str">
        <f aca="false">IF($D1707="","",IF(COUNTIF($D$2:$D1707,$D1707)=1,1,0))</f>
        <v/>
      </c>
      <c r="AI1707" s="18" t="str">
        <f aca="false">IF($AH1707=1,SUMPRODUCT(--($AK$2:$AK$4001&lt;$AK1707))+1,"")</f>
        <v/>
      </c>
      <c r="AJ1707" s="18" t="str">
        <f aca="false">IF($D1707="","",IF(OR($R1707=TRUE(),$R1707="TRUE"),1,0))</f>
        <v/>
      </c>
      <c r="AK1707" s="18" t="str">
        <f aca="false">IF($AH1707=1,IFERROR(VALUE(MID($D1707,2,20)),1000000000)+ROW()/10000000,"")</f>
        <v/>
      </c>
    </row>
    <row r="1708" customFormat="false" ht="15" hidden="false" customHeight="false" outlineLevel="0" collapsed="false">
      <c r="F1708" s="15"/>
      <c r="N1708" s="16" t="str">
        <f aca="false">IF($D1708="","",M1708*Y1708/100)</f>
        <v/>
      </c>
      <c r="V1708" s="16" t="str">
        <f aca="false">IF($D1708="","",Y1708*AB1708/100)</f>
        <v/>
      </c>
      <c r="W1708" s="16" t="str">
        <f aca="false">IF($D1708="","",Y1708-V1708)</f>
        <v/>
      </c>
      <c r="X1708" s="16" t="str">
        <f aca="false">IF($D1708="","",W1708-N1708)</f>
        <v/>
      </c>
      <c r="AB1708" s="17" t="str">
        <f aca="false">IF($D1708="","",IF(OR($R1708=TRUE(),$R1708="TRUE"),Settings!$C$6,Settings!$C$7)*100)</f>
        <v/>
      </c>
      <c r="AH1708" s="18" t="str">
        <f aca="false">IF($D1708="","",IF(COUNTIF($D$2:$D1708,$D1708)=1,1,0))</f>
        <v/>
      </c>
      <c r="AI1708" s="18" t="str">
        <f aca="false">IF($AH1708=1,SUMPRODUCT(--($AK$2:$AK$4001&lt;$AK1708))+1,"")</f>
        <v/>
      </c>
      <c r="AJ1708" s="18" t="str">
        <f aca="false">IF($D1708="","",IF(OR($R1708=TRUE(),$R1708="TRUE"),1,0))</f>
        <v/>
      </c>
      <c r="AK1708" s="18" t="str">
        <f aca="false">IF($AH1708=1,IFERROR(VALUE(MID($D1708,2,20)),1000000000)+ROW()/10000000,"")</f>
        <v/>
      </c>
    </row>
    <row r="1709" customFormat="false" ht="15" hidden="false" customHeight="false" outlineLevel="0" collapsed="false">
      <c r="F1709" s="15"/>
      <c r="N1709" s="16" t="str">
        <f aca="false">IF($D1709="","",M1709*Y1709/100)</f>
        <v/>
      </c>
      <c r="V1709" s="16" t="str">
        <f aca="false">IF($D1709="","",Y1709*AB1709/100)</f>
        <v/>
      </c>
      <c r="W1709" s="16" t="str">
        <f aca="false">IF($D1709="","",Y1709-V1709)</f>
        <v/>
      </c>
      <c r="X1709" s="16" t="str">
        <f aca="false">IF($D1709="","",W1709-N1709)</f>
        <v/>
      </c>
      <c r="AB1709" s="17" t="str">
        <f aca="false">IF($D1709="","",IF(OR($R1709=TRUE(),$R1709="TRUE"),Settings!$C$6,Settings!$C$7)*100)</f>
        <v/>
      </c>
      <c r="AH1709" s="18" t="str">
        <f aca="false">IF($D1709="","",IF(COUNTIF($D$2:$D1709,$D1709)=1,1,0))</f>
        <v/>
      </c>
      <c r="AI1709" s="18" t="str">
        <f aca="false">IF($AH1709=1,SUMPRODUCT(--($AK$2:$AK$4001&lt;$AK1709))+1,"")</f>
        <v/>
      </c>
      <c r="AJ1709" s="18" t="str">
        <f aca="false">IF($D1709="","",IF(OR($R1709=TRUE(),$R1709="TRUE"),1,0))</f>
        <v/>
      </c>
      <c r="AK1709" s="18" t="str">
        <f aca="false">IF($AH1709=1,IFERROR(VALUE(MID($D1709,2,20)),1000000000)+ROW()/10000000,"")</f>
        <v/>
      </c>
    </row>
    <row r="1710" customFormat="false" ht="15" hidden="false" customHeight="false" outlineLevel="0" collapsed="false">
      <c r="F1710" s="15"/>
      <c r="N1710" s="16" t="str">
        <f aca="false">IF($D1710="","",M1710*Y1710/100)</f>
        <v/>
      </c>
      <c r="V1710" s="16" t="str">
        <f aca="false">IF($D1710="","",Y1710*AB1710/100)</f>
        <v/>
      </c>
      <c r="W1710" s="16" t="str">
        <f aca="false">IF($D1710="","",Y1710-V1710)</f>
        <v/>
      </c>
      <c r="X1710" s="16" t="str">
        <f aca="false">IF($D1710="","",W1710-N1710)</f>
        <v/>
      </c>
      <c r="AB1710" s="17" t="str">
        <f aca="false">IF($D1710="","",IF(OR($R1710=TRUE(),$R1710="TRUE"),Settings!$C$6,Settings!$C$7)*100)</f>
        <v/>
      </c>
      <c r="AH1710" s="18" t="str">
        <f aca="false">IF($D1710="","",IF(COUNTIF($D$2:$D1710,$D1710)=1,1,0))</f>
        <v/>
      </c>
      <c r="AI1710" s="18" t="str">
        <f aca="false">IF($AH1710=1,SUMPRODUCT(--($AK$2:$AK$4001&lt;$AK1710))+1,"")</f>
        <v/>
      </c>
      <c r="AJ1710" s="18" t="str">
        <f aca="false">IF($D1710="","",IF(OR($R1710=TRUE(),$R1710="TRUE"),1,0))</f>
        <v/>
      </c>
      <c r="AK1710" s="18" t="str">
        <f aca="false">IF($AH1710=1,IFERROR(VALUE(MID($D1710,2,20)),1000000000)+ROW()/10000000,"")</f>
        <v/>
      </c>
    </row>
    <row r="1711" customFormat="false" ht="15" hidden="false" customHeight="false" outlineLevel="0" collapsed="false">
      <c r="F1711" s="15"/>
      <c r="N1711" s="16" t="str">
        <f aca="false">IF($D1711="","",M1711*Y1711/100)</f>
        <v/>
      </c>
      <c r="V1711" s="16" t="str">
        <f aca="false">IF($D1711="","",Y1711*AB1711/100)</f>
        <v/>
      </c>
      <c r="W1711" s="16" t="str">
        <f aca="false">IF($D1711="","",Y1711-V1711)</f>
        <v/>
      </c>
      <c r="X1711" s="16" t="str">
        <f aca="false">IF($D1711="","",W1711-N1711)</f>
        <v/>
      </c>
      <c r="AB1711" s="17" t="str">
        <f aca="false">IF($D1711="","",IF(OR($R1711=TRUE(),$R1711="TRUE"),Settings!$C$6,Settings!$C$7)*100)</f>
        <v/>
      </c>
      <c r="AH1711" s="18" t="str">
        <f aca="false">IF($D1711="","",IF(COUNTIF($D$2:$D1711,$D1711)=1,1,0))</f>
        <v/>
      </c>
      <c r="AI1711" s="18" t="str">
        <f aca="false">IF($AH1711=1,SUMPRODUCT(--($AK$2:$AK$4001&lt;$AK1711))+1,"")</f>
        <v/>
      </c>
      <c r="AJ1711" s="18" t="str">
        <f aca="false">IF($D1711="","",IF(OR($R1711=TRUE(),$R1711="TRUE"),1,0))</f>
        <v/>
      </c>
      <c r="AK1711" s="18" t="str">
        <f aca="false">IF($AH1711=1,IFERROR(VALUE(MID($D1711,2,20)),1000000000)+ROW()/10000000,"")</f>
        <v/>
      </c>
    </row>
    <row r="1712" customFormat="false" ht="15" hidden="false" customHeight="false" outlineLevel="0" collapsed="false">
      <c r="F1712" s="15"/>
      <c r="N1712" s="16" t="str">
        <f aca="false">IF($D1712="","",M1712*Y1712/100)</f>
        <v/>
      </c>
      <c r="V1712" s="16" t="str">
        <f aca="false">IF($D1712="","",Y1712*AB1712/100)</f>
        <v/>
      </c>
      <c r="W1712" s="16" t="str">
        <f aca="false">IF($D1712="","",Y1712-V1712)</f>
        <v/>
      </c>
      <c r="X1712" s="16" t="str">
        <f aca="false">IF($D1712="","",W1712-N1712)</f>
        <v/>
      </c>
      <c r="AB1712" s="17" t="str">
        <f aca="false">IF($D1712="","",IF(OR($R1712=TRUE(),$R1712="TRUE"),Settings!$C$6,Settings!$C$7)*100)</f>
        <v/>
      </c>
      <c r="AH1712" s="18" t="str">
        <f aca="false">IF($D1712="","",IF(COUNTIF($D$2:$D1712,$D1712)=1,1,0))</f>
        <v/>
      </c>
      <c r="AI1712" s="18" t="str">
        <f aca="false">IF($AH1712=1,SUMPRODUCT(--($AK$2:$AK$4001&lt;$AK1712))+1,"")</f>
        <v/>
      </c>
      <c r="AJ1712" s="18" t="str">
        <f aca="false">IF($D1712="","",IF(OR($R1712=TRUE(),$R1712="TRUE"),1,0))</f>
        <v/>
      </c>
      <c r="AK1712" s="18" t="str">
        <f aca="false">IF($AH1712=1,IFERROR(VALUE(MID($D1712,2,20)),1000000000)+ROW()/10000000,"")</f>
        <v/>
      </c>
    </row>
    <row r="1713" customFormat="false" ht="15" hidden="false" customHeight="false" outlineLevel="0" collapsed="false">
      <c r="F1713" s="15"/>
      <c r="N1713" s="16" t="str">
        <f aca="false">IF($D1713="","",M1713*Y1713/100)</f>
        <v/>
      </c>
      <c r="V1713" s="16" t="str">
        <f aca="false">IF($D1713="","",Y1713*AB1713/100)</f>
        <v/>
      </c>
      <c r="W1713" s="16" t="str">
        <f aca="false">IF($D1713="","",Y1713-V1713)</f>
        <v/>
      </c>
      <c r="X1713" s="16" t="str">
        <f aca="false">IF($D1713="","",W1713-N1713)</f>
        <v/>
      </c>
      <c r="AB1713" s="17" t="str">
        <f aca="false">IF($D1713="","",IF(OR($R1713=TRUE(),$R1713="TRUE"),Settings!$C$6,Settings!$C$7)*100)</f>
        <v/>
      </c>
      <c r="AH1713" s="18" t="str">
        <f aca="false">IF($D1713="","",IF(COUNTIF($D$2:$D1713,$D1713)=1,1,0))</f>
        <v/>
      </c>
      <c r="AI1713" s="18" t="str">
        <f aca="false">IF($AH1713=1,SUMPRODUCT(--($AK$2:$AK$4001&lt;$AK1713))+1,"")</f>
        <v/>
      </c>
      <c r="AJ1713" s="18" t="str">
        <f aca="false">IF($D1713="","",IF(OR($R1713=TRUE(),$R1713="TRUE"),1,0))</f>
        <v/>
      </c>
      <c r="AK1713" s="18" t="str">
        <f aca="false">IF($AH1713=1,IFERROR(VALUE(MID($D1713,2,20)),1000000000)+ROW()/10000000,"")</f>
        <v/>
      </c>
    </row>
    <row r="1714" customFormat="false" ht="15" hidden="false" customHeight="false" outlineLevel="0" collapsed="false">
      <c r="F1714" s="15"/>
      <c r="N1714" s="16" t="str">
        <f aca="false">IF($D1714="","",M1714*Y1714/100)</f>
        <v/>
      </c>
      <c r="V1714" s="16" t="str">
        <f aca="false">IF($D1714="","",Y1714*AB1714/100)</f>
        <v/>
      </c>
      <c r="W1714" s="16" t="str">
        <f aca="false">IF($D1714="","",Y1714-V1714)</f>
        <v/>
      </c>
      <c r="X1714" s="16" t="str">
        <f aca="false">IF($D1714="","",W1714-N1714)</f>
        <v/>
      </c>
      <c r="AB1714" s="17" t="str">
        <f aca="false">IF($D1714="","",IF(OR($R1714=TRUE(),$R1714="TRUE"),Settings!$C$6,Settings!$C$7)*100)</f>
        <v/>
      </c>
      <c r="AH1714" s="18" t="str">
        <f aca="false">IF($D1714="","",IF(COUNTIF($D$2:$D1714,$D1714)=1,1,0))</f>
        <v/>
      </c>
      <c r="AI1714" s="18" t="str">
        <f aca="false">IF($AH1714=1,SUMPRODUCT(--($AK$2:$AK$4001&lt;$AK1714))+1,"")</f>
        <v/>
      </c>
      <c r="AJ1714" s="18" t="str">
        <f aca="false">IF($D1714="","",IF(OR($R1714=TRUE(),$R1714="TRUE"),1,0))</f>
        <v/>
      </c>
      <c r="AK1714" s="18" t="str">
        <f aca="false">IF($AH1714=1,IFERROR(VALUE(MID($D1714,2,20)),1000000000)+ROW()/10000000,"")</f>
        <v/>
      </c>
    </row>
    <row r="1715" customFormat="false" ht="15" hidden="false" customHeight="false" outlineLevel="0" collapsed="false">
      <c r="F1715" s="15"/>
      <c r="N1715" s="16" t="str">
        <f aca="false">IF($D1715="","",M1715*Y1715/100)</f>
        <v/>
      </c>
      <c r="V1715" s="16" t="str">
        <f aca="false">IF($D1715="","",Y1715*AB1715/100)</f>
        <v/>
      </c>
      <c r="W1715" s="16" t="str">
        <f aca="false">IF($D1715="","",Y1715-V1715)</f>
        <v/>
      </c>
      <c r="X1715" s="16" t="str">
        <f aca="false">IF($D1715="","",W1715-N1715)</f>
        <v/>
      </c>
      <c r="AB1715" s="17" t="str">
        <f aca="false">IF($D1715="","",IF(OR($R1715=TRUE(),$R1715="TRUE"),Settings!$C$6,Settings!$C$7)*100)</f>
        <v/>
      </c>
      <c r="AH1715" s="18" t="str">
        <f aca="false">IF($D1715="","",IF(COUNTIF($D$2:$D1715,$D1715)=1,1,0))</f>
        <v/>
      </c>
      <c r="AI1715" s="18" t="str">
        <f aca="false">IF($AH1715=1,SUMPRODUCT(--($AK$2:$AK$4001&lt;$AK1715))+1,"")</f>
        <v/>
      </c>
      <c r="AJ1715" s="18" t="str">
        <f aca="false">IF($D1715="","",IF(OR($R1715=TRUE(),$R1715="TRUE"),1,0))</f>
        <v/>
      </c>
      <c r="AK1715" s="18" t="str">
        <f aca="false">IF($AH1715=1,IFERROR(VALUE(MID($D1715,2,20)),1000000000)+ROW()/10000000,"")</f>
        <v/>
      </c>
    </row>
    <row r="1716" customFormat="false" ht="15" hidden="false" customHeight="false" outlineLevel="0" collapsed="false">
      <c r="F1716" s="15"/>
      <c r="N1716" s="16" t="str">
        <f aca="false">IF($D1716="","",M1716*Y1716/100)</f>
        <v/>
      </c>
      <c r="V1716" s="16" t="str">
        <f aca="false">IF($D1716="","",Y1716*AB1716/100)</f>
        <v/>
      </c>
      <c r="W1716" s="16" t="str">
        <f aca="false">IF($D1716="","",Y1716-V1716)</f>
        <v/>
      </c>
      <c r="X1716" s="16" t="str">
        <f aca="false">IF($D1716="","",W1716-N1716)</f>
        <v/>
      </c>
      <c r="AB1716" s="17" t="str">
        <f aca="false">IF($D1716="","",IF(OR($R1716=TRUE(),$R1716="TRUE"),Settings!$C$6,Settings!$C$7)*100)</f>
        <v/>
      </c>
      <c r="AH1716" s="18" t="str">
        <f aca="false">IF($D1716="","",IF(COUNTIF($D$2:$D1716,$D1716)=1,1,0))</f>
        <v/>
      </c>
      <c r="AI1716" s="18" t="str">
        <f aca="false">IF($AH1716=1,SUMPRODUCT(--($AK$2:$AK$4001&lt;$AK1716))+1,"")</f>
        <v/>
      </c>
      <c r="AJ1716" s="18" t="str">
        <f aca="false">IF($D1716="","",IF(OR($R1716=TRUE(),$R1716="TRUE"),1,0))</f>
        <v/>
      </c>
      <c r="AK1716" s="18" t="str">
        <f aca="false">IF($AH1716=1,IFERROR(VALUE(MID($D1716,2,20)),1000000000)+ROW()/10000000,"")</f>
        <v/>
      </c>
    </row>
    <row r="1717" customFormat="false" ht="15" hidden="false" customHeight="false" outlineLevel="0" collapsed="false">
      <c r="F1717" s="15"/>
      <c r="N1717" s="16" t="str">
        <f aca="false">IF($D1717="","",M1717*Y1717/100)</f>
        <v/>
      </c>
      <c r="V1717" s="16" t="str">
        <f aca="false">IF($D1717="","",Y1717*AB1717/100)</f>
        <v/>
      </c>
      <c r="W1717" s="16" t="str">
        <f aca="false">IF($D1717="","",Y1717-V1717)</f>
        <v/>
      </c>
      <c r="X1717" s="16" t="str">
        <f aca="false">IF($D1717="","",W1717-N1717)</f>
        <v/>
      </c>
      <c r="AB1717" s="17" t="str">
        <f aca="false">IF($D1717="","",IF(OR($R1717=TRUE(),$R1717="TRUE"),Settings!$C$6,Settings!$C$7)*100)</f>
        <v/>
      </c>
      <c r="AH1717" s="18" t="str">
        <f aca="false">IF($D1717="","",IF(COUNTIF($D$2:$D1717,$D1717)=1,1,0))</f>
        <v/>
      </c>
      <c r="AI1717" s="18" t="str">
        <f aca="false">IF($AH1717=1,SUMPRODUCT(--($AK$2:$AK$4001&lt;$AK1717))+1,"")</f>
        <v/>
      </c>
      <c r="AJ1717" s="18" t="str">
        <f aca="false">IF($D1717="","",IF(OR($R1717=TRUE(),$R1717="TRUE"),1,0))</f>
        <v/>
      </c>
      <c r="AK1717" s="18" t="str">
        <f aca="false">IF($AH1717=1,IFERROR(VALUE(MID($D1717,2,20)),1000000000)+ROW()/10000000,"")</f>
        <v/>
      </c>
    </row>
    <row r="1718" customFormat="false" ht="15" hidden="false" customHeight="false" outlineLevel="0" collapsed="false">
      <c r="F1718" s="15"/>
      <c r="N1718" s="16" t="str">
        <f aca="false">IF($D1718="","",M1718*Y1718/100)</f>
        <v/>
      </c>
      <c r="V1718" s="16" t="str">
        <f aca="false">IF($D1718="","",Y1718*AB1718/100)</f>
        <v/>
      </c>
      <c r="W1718" s="16" t="str">
        <f aca="false">IF($D1718="","",Y1718-V1718)</f>
        <v/>
      </c>
      <c r="X1718" s="16" t="str">
        <f aca="false">IF($D1718="","",W1718-N1718)</f>
        <v/>
      </c>
      <c r="AB1718" s="17" t="str">
        <f aca="false">IF($D1718="","",IF(OR($R1718=TRUE(),$R1718="TRUE"),Settings!$C$6,Settings!$C$7)*100)</f>
        <v/>
      </c>
      <c r="AH1718" s="18" t="str">
        <f aca="false">IF($D1718="","",IF(COUNTIF($D$2:$D1718,$D1718)=1,1,0))</f>
        <v/>
      </c>
      <c r="AI1718" s="18" t="str">
        <f aca="false">IF($AH1718=1,SUMPRODUCT(--($AK$2:$AK$4001&lt;$AK1718))+1,"")</f>
        <v/>
      </c>
      <c r="AJ1718" s="18" t="str">
        <f aca="false">IF($D1718="","",IF(OR($R1718=TRUE(),$R1718="TRUE"),1,0))</f>
        <v/>
      </c>
      <c r="AK1718" s="18" t="str">
        <f aca="false">IF($AH1718=1,IFERROR(VALUE(MID($D1718,2,20)),1000000000)+ROW()/10000000,"")</f>
        <v/>
      </c>
    </row>
    <row r="1719" customFormat="false" ht="15" hidden="false" customHeight="false" outlineLevel="0" collapsed="false">
      <c r="F1719" s="15"/>
      <c r="N1719" s="16" t="str">
        <f aca="false">IF($D1719="","",M1719*Y1719/100)</f>
        <v/>
      </c>
      <c r="V1719" s="16" t="str">
        <f aca="false">IF($D1719="","",Y1719*AB1719/100)</f>
        <v/>
      </c>
      <c r="W1719" s="16" t="str">
        <f aca="false">IF($D1719="","",Y1719-V1719)</f>
        <v/>
      </c>
      <c r="X1719" s="16" t="str">
        <f aca="false">IF($D1719="","",W1719-N1719)</f>
        <v/>
      </c>
      <c r="AB1719" s="17" t="str">
        <f aca="false">IF($D1719="","",IF(OR($R1719=TRUE(),$R1719="TRUE"),Settings!$C$6,Settings!$C$7)*100)</f>
        <v/>
      </c>
      <c r="AH1719" s="18" t="str">
        <f aca="false">IF($D1719="","",IF(COUNTIF($D$2:$D1719,$D1719)=1,1,0))</f>
        <v/>
      </c>
      <c r="AI1719" s="18" t="str">
        <f aca="false">IF($AH1719=1,SUMPRODUCT(--($AK$2:$AK$4001&lt;$AK1719))+1,"")</f>
        <v/>
      </c>
      <c r="AJ1719" s="18" t="str">
        <f aca="false">IF($D1719="","",IF(OR($R1719=TRUE(),$R1719="TRUE"),1,0))</f>
        <v/>
      </c>
      <c r="AK1719" s="18" t="str">
        <f aca="false">IF($AH1719=1,IFERROR(VALUE(MID($D1719,2,20)),1000000000)+ROW()/10000000,"")</f>
        <v/>
      </c>
    </row>
    <row r="1720" customFormat="false" ht="15" hidden="false" customHeight="false" outlineLevel="0" collapsed="false">
      <c r="F1720" s="15"/>
      <c r="N1720" s="16" t="str">
        <f aca="false">IF($D1720="","",M1720*Y1720/100)</f>
        <v/>
      </c>
      <c r="V1720" s="16" t="str">
        <f aca="false">IF($D1720="","",Y1720*AB1720/100)</f>
        <v/>
      </c>
      <c r="W1720" s="16" t="str">
        <f aca="false">IF($D1720="","",Y1720-V1720)</f>
        <v/>
      </c>
      <c r="X1720" s="16" t="str">
        <f aca="false">IF($D1720="","",W1720-N1720)</f>
        <v/>
      </c>
      <c r="AB1720" s="17" t="str">
        <f aca="false">IF($D1720="","",IF(OR($R1720=TRUE(),$R1720="TRUE"),Settings!$C$6,Settings!$C$7)*100)</f>
        <v/>
      </c>
      <c r="AH1720" s="18" t="str">
        <f aca="false">IF($D1720="","",IF(COUNTIF($D$2:$D1720,$D1720)=1,1,0))</f>
        <v/>
      </c>
      <c r="AI1720" s="18" t="str">
        <f aca="false">IF($AH1720=1,SUMPRODUCT(--($AK$2:$AK$4001&lt;$AK1720))+1,"")</f>
        <v/>
      </c>
      <c r="AJ1720" s="18" t="str">
        <f aca="false">IF($D1720="","",IF(OR($R1720=TRUE(),$R1720="TRUE"),1,0))</f>
        <v/>
      </c>
      <c r="AK1720" s="18" t="str">
        <f aca="false">IF($AH1720=1,IFERROR(VALUE(MID($D1720,2,20)),1000000000)+ROW()/10000000,"")</f>
        <v/>
      </c>
    </row>
    <row r="1721" customFormat="false" ht="15" hidden="false" customHeight="false" outlineLevel="0" collapsed="false">
      <c r="F1721" s="15"/>
      <c r="N1721" s="16" t="str">
        <f aca="false">IF($D1721="","",M1721*Y1721/100)</f>
        <v/>
      </c>
      <c r="V1721" s="16" t="str">
        <f aca="false">IF($D1721="","",Y1721*AB1721/100)</f>
        <v/>
      </c>
      <c r="W1721" s="16" t="str">
        <f aca="false">IF($D1721="","",Y1721-V1721)</f>
        <v/>
      </c>
      <c r="X1721" s="16" t="str">
        <f aca="false">IF($D1721="","",W1721-N1721)</f>
        <v/>
      </c>
      <c r="AB1721" s="17" t="str">
        <f aca="false">IF($D1721="","",IF(OR($R1721=TRUE(),$R1721="TRUE"),Settings!$C$6,Settings!$C$7)*100)</f>
        <v/>
      </c>
      <c r="AH1721" s="18" t="str">
        <f aca="false">IF($D1721="","",IF(COUNTIF($D$2:$D1721,$D1721)=1,1,0))</f>
        <v/>
      </c>
      <c r="AI1721" s="18" t="str">
        <f aca="false">IF($AH1721=1,SUMPRODUCT(--($AK$2:$AK$4001&lt;$AK1721))+1,"")</f>
        <v/>
      </c>
      <c r="AJ1721" s="18" t="str">
        <f aca="false">IF($D1721="","",IF(OR($R1721=TRUE(),$R1721="TRUE"),1,0))</f>
        <v/>
      </c>
      <c r="AK1721" s="18" t="str">
        <f aca="false">IF($AH1721=1,IFERROR(VALUE(MID($D1721,2,20)),1000000000)+ROW()/10000000,"")</f>
        <v/>
      </c>
    </row>
    <row r="1722" customFormat="false" ht="15" hidden="false" customHeight="false" outlineLevel="0" collapsed="false">
      <c r="F1722" s="15"/>
      <c r="N1722" s="16" t="str">
        <f aca="false">IF($D1722="","",M1722*Y1722/100)</f>
        <v/>
      </c>
      <c r="V1722" s="16" t="str">
        <f aca="false">IF($D1722="","",Y1722*AB1722/100)</f>
        <v/>
      </c>
      <c r="W1722" s="16" t="str">
        <f aca="false">IF($D1722="","",Y1722-V1722)</f>
        <v/>
      </c>
      <c r="X1722" s="16" t="str">
        <f aca="false">IF($D1722="","",W1722-N1722)</f>
        <v/>
      </c>
      <c r="AB1722" s="17" t="str">
        <f aca="false">IF($D1722="","",IF(OR($R1722=TRUE(),$R1722="TRUE"),Settings!$C$6,Settings!$C$7)*100)</f>
        <v/>
      </c>
      <c r="AH1722" s="18" t="str">
        <f aca="false">IF($D1722="","",IF(COUNTIF($D$2:$D1722,$D1722)=1,1,0))</f>
        <v/>
      </c>
      <c r="AI1722" s="18" t="str">
        <f aca="false">IF($AH1722=1,SUMPRODUCT(--($AK$2:$AK$4001&lt;$AK1722))+1,"")</f>
        <v/>
      </c>
      <c r="AJ1722" s="18" t="str">
        <f aca="false">IF($D1722="","",IF(OR($R1722=TRUE(),$R1722="TRUE"),1,0))</f>
        <v/>
      </c>
      <c r="AK1722" s="18" t="str">
        <f aca="false">IF($AH1722=1,IFERROR(VALUE(MID($D1722,2,20)),1000000000)+ROW()/10000000,"")</f>
        <v/>
      </c>
    </row>
    <row r="1723" customFormat="false" ht="15" hidden="false" customHeight="false" outlineLevel="0" collapsed="false">
      <c r="F1723" s="15"/>
      <c r="N1723" s="16" t="str">
        <f aca="false">IF($D1723="","",M1723*Y1723/100)</f>
        <v/>
      </c>
      <c r="V1723" s="16" t="str">
        <f aca="false">IF($D1723="","",Y1723*AB1723/100)</f>
        <v/>
      </c>
      <c r="W1723" s="16" t="str">
        <f aca="false">IF($D1723="","",Y1723-V1723)</f>
        <v/>
      </c>
      <c r="X1723" s="16" t="str">
        <f aca="false">IF($D1723="","",W1723-N1723)</f>
        <v/>
      </c>
      <c r="AB1723" s="17" t="str">
        <f aca="false">IF($D1723="","",IF(OR($R1723=TRUE(),$R1723="TRUE"),Settings!$C$6,Settings!$C$7)*100)</f>
        <v/>
      </c>
      <c r="AH1723" s="18" t="str">
        <f aca="false">IF($D1723="","",IF(COUNTIF($D$2:$D1723,$D1723)=1,1,0))</f>
        <v/>
      </c>
      <c r="AI1723" s="18" t="str">
        <f aca="false">IF($AH1723=1,SUMPRODUCT(--($AK$2:$AK$4001&lt;$AK1723))+1,"")</f>
        <v/>
      </c>
      <c r="AJ1723" s="18" t="str">
        <f aca="false">IF($D1723="","",IF(OR($R1723=TRUE(),$R1723="TRUE"),1,0))</f>
        <v/>
      </c>
      <c r="AK1723" s="18" t="str">
        <f aca="false">IF($AH1723=1,IFERROR(VALUE(MID($D1723,2,20)),1000000000)+ROW()/10000000,"")</f>
        <v/>
      </c>
    </row>
    <row r="1724" customFormat="false" ht="15" hidden="false" customHeight="false" outlineLevel="0" collapsed="false">
      <c r="F1724" s="15"/>
      <c r="N1724" s="16" t="str">
        <f aca="false">IF($D1724="","",M1724*Y1724/100)</f>
        <v/>
      </c>
      <c r="V1724" s="16" t="str">
        <f aca="false">IF($D1724="","",Y1724*AB1724/100)</f>
        <v/>
      </c>
      <c r="W1724" s="16" t="str">
        <f aca="false">IF($D1724="","",Y1724-V1724)</f>
        <v/>
      </c>
      <c r="X1724" s="16" t="str">
        <f aca="false">IF($D1724="","",W1724-N1724)</f>
        <v/>
      </c>
      <c r="AB1724" s="17" t="str">
        <f aca="false">IF($D1724="","",IF(OR($R1724=TRUE(),$R1724="TRUE"),Settings!$C$6,Settings!$C$7)*100)</f>
        <v/>
      </c>
      <c r="AH1724" s="18" t="str">
        <f aca="false">IF($D1724="","",IF(COUNTIF($D$2:$D1724,$D1724)=1,1,0))</f>
        <v/>
      </c>
      <c r="AI1724" s="18" t="str">
        <f aca="false">IF($AH1724=1,SUMPRODUCT(--($AK$2:$AK$4001&lt;$AK1724))+1,"")</f>
        <v/>
      </c>
      <c r="AJ1724" s="18" t="str">
        <f aca="false">IF($D1724="","",IF(OR($R1724=TRUE(),$R1724="TRUE"),1,0))</f>
        <v/>
      </c>
      <c r="AK1724" s="18" t="str">
        <f aca="false">IF($AH1724=1,IFERROR(VALUE(MID($D1724,2,20)),1000000000)+ROW()/10000000,"")</f>
        <v/>
      </c>
    </row>
    <row r="1725" customFormat="false" ht="15" hidden="false" customHeight="false" outlineLevel="0" collapsed="false">
      <c r="F1725" s="15"/>
      <c r="N1725" s="16" t="str">
        <f aca="false">IF($D1725="","",M1725*Y1725/100)</f>
        <v/>
      </c>
      <c r="V1725" s="16" t="str">
        <f aca="false">IF($D1725="","",Y1725*AB1725/100)</f>
        <v/>
      </c>
      <c r="W1725" s="16" t="str">
        <f aca="false">IF($D1725="","",Y1725-V1725)</f>
        <v/>
      </c>
      <c r="X1725" s="16" t="str">
        <f aca="false">IF($D1725="","",W1725-N1725)</f>
        <v/>
      </c>
      <c r="AB1725" s="17" t="str">
        <f aca="false">IF($D1725="","",IF(OR($R1725=TRUE(),$R1725="TRUE"),Settings!$C$6,Settings!$C$7)*100)</f>
        <v/>
      </c>
      <c r="AH1725" s="18" t="str">
        <f aca="false">IF($D1725="","",IF(COUNTIF($D$2:$D1725,$D1725)=1,1,0))</f>
        <v/>
      </c>
      <c r="AI1725" s="18" t="str">
        <f aca="false">IF($AH1725=1,SUMPRODUCT(--($AK$2:$AK$4001&lt;$AK1725))+1,"")</f>
        <v/>
      </c>
      <c r="AJ1725" s="18" t="str">
        <f aca="false">IF($D1725="","",IF(OR($R1725=TRUE(),$R1725="TRUE"),1,0))</f>
        <v/>
      </c>
      <c r="AK1725" s="18" t="str">
        <f aca="false">IF($AH1725=1,IFERROR(VALUE(MID($D1725,2,20)),1000000000)+ROW()/10000000,"")</f>
        <v/>
      </c>
    </row>
    <row r="1726" customFormat="false" ht="15" hidden="false" customHeight="false" outlineLevel="0" collapsed="false">
      <c r="F1726" s="15"/>
      <c r="N1726" s="16" t="str">
        <f aca="false">IF($D1726="","",M1726*Y1726/100)</f>
        <v/>
      </c>
      <c r="V1726" s="16" t="str">
        <f aca="false">IF($D1726="","",Y1726*AB1726/100)</f>
        <v/>
      </c>
      <c r="W1726" s="16" t="str">
        <f aca="false">IF($D1726="","",Y1726-V1726)</f>
        <v/>
      </c>
      <c r="X1726" s="16" t="str">
        <f aca="false">IF($D1726="","",W1726-N1726)</f>
        <v/>
      </c>
      <c r="AB1726" s="17" t="str">
        <f aca="false">IF($D1726="","",IF(OR($R1726=TRUE(),$R1726="TRUE"),Settings!$C$6,Settings!$C$7)*100)</f>
        <v/>
      </c>
      <c r="AH1726" s="18" t="str">
        <f aca="false">IF($D1726="","",IF(COUNTIF($D$2:$D1726,$D1726)=1,1,0))</f>
        <v/>
      </c>
      <c r="AI1726" s="18" t="str">
        <f aca="false">IF($AH1726=1,SUMPRODUCT(--($AK$2:$AK$4001&lt;$AK1726))+1,"")</f>
        <v/>
      </c>
      <c r="AJ1726" s="18" t="str">
        <f aca="false">IF($D1726="","",IF(OR($R1726=TRUE(),$R1726="TRUE"),1,0))</f>
        <v/>
      </c>
      <c r="AK1726" s="18" t="str">
        <f aca="false">IF($AH1726=1,IFERROR(VALUE(MID($D1726,2,20)),1000000000)+ROW()/10000000,"")</f>
        <v/>
      </c>
    </row>
    <row r="1727" customFormat="false" ht="15" hidden="false" customHeight="false" outlineLevel="0" collapsed="false">
      <c r="F1727" s="15"/>
      <c r="N1727" s="16" t="str">
        <f aca="false">IF($D1727="","",M1727*Y1727/100)</f>
        <v/>
      </c>
      <c r="V1727" s="16" t="str">
        <f aca="false">IF($D1727="","",Y1727*AB1727/100)</f>
        <v/>
      </c>
      <c r="W1727" s="16" t="str">
        <f aca="false">IF($D1727="","",Y1727-V1727)</f>
        <v/>
      </c>
      <c r="X1727" s="16" t="str">
        <f aca="false">IF($D1727="","",W1727-N1727)</f>
        <v/>
      </c>
      <c r="AB1727" s="17" t="str">
        <f aca="false">IF($D1727="","",IF(OR($R1727=TRUE(),$R1727="TRUE"),Settings!$C$6,Settings!$C$7)*100)</f>
        <v/>
      </c>
      <c r="AH1727" s="18" t="str">
        <f aca="false">IF($D1727="","",IF(COUNTIF($D$2:$D1727,$D1727)=1,1,0))</f>
        <v/>
      </c>
      <c r="AI1727" s="18" t="str">
        <f aca="false">IF($AH1727=1,SUMPRODUCT(--($AK$2:$AK$4001&lt;$AK1727))+1,"")</f>
        <v/>
      </c>
      <c r="AJ1727" s="18" t="str">
        <f aca="false">IF($D1727="","",IF(OR($R1727=TRUE(),$R1727="TRUE"),1,0))</f>
        <v/>
      </c>
      <c r="AK1727" s="18" t="str">
        <f aca="false">IF($AH1727=1,IFERROR(VALUE(MID($D1727,2,20)),1000000000)+ROW()/10000000,"")</f>
        <v/>
      </c>
    </row>
    <row r="1728" customFormat="false" ht="15" hidden="false" customHeight="false" outlineLevel="0" collapsed="false">
      <c r="F1728" s="15"/>
      <c r="N1728" s="16" t="str">
        <f aca="false">IF($D1728="","",M1728*Y1728/100)</f>
        <v/>
      </c>
      <c r="V1728" s="16" t="str">
        <f aca="false">IF($D1728="","",Y1728*AB1728/100)</f>
        <v/>
      </c>
      <c r="W1728" s="16" t="str">
        <f aca="false">IF($D1728="","",Y1728-V1728)</f>
        <v/>
      </c>
      <c r="X1728" s="16" t="str">
        <f aca="false">IF($D1728="","",W1728-N1728)</f>
        <v/>
      </c>
      <c r="AB1728" s="17" t="str">
        <f aca="false">IF($D1728="","",IF(OR($R1728=TRUE(),$R1728="TRUE"),Settings!$C$6,Settings!$C$7)*100)</f>
        <v/>
      </c>
      <c r="AH1728" s="18" t="str">
        <f aca="false">IF($D1728="","",IF(COUNTIF($D$2:$D1728,$D1728)=1,1,0))</f>
        <v/>
      </c>
      <c r="AI1728" s="18" t="str">
        <f aca="false">IF($AH1728=1,SUMPRODUCT(--($AK$2:$AK$4001&lt;$AK1728))+1,"")</f>
        <v/>
      </c>
      <c r="AJ1728" s="18" t="str">
        <f aca="false">IF($D1728="","",IF(OR($R1728=TRUE(),$R1728="TRUE"),1,0))</f>
        <v/>
      </c>
      <c r="AK1728" s="18" t="str">
        <f aca="false">IF($AH1728=1,IFERROR(VALUE(MID($D1728,2,20)),1000000000)+ROW()/10000000,"")</f>
        <v/>
      </c>
    </row>
    <row r="1729" customFormat="false" ht="15" hidden="false" customHeight="false" outlineLevel="0" collapsed="false">
      <c r="F1729" s="15"/>
      <c r="N1729" s="16" t="str">
        <f aca="false">IF($D1729="","",M1729*Y1729/100)</f>
        <v/>
      </c>
      <c r="V1729" s="16" t="str">
        <f aca="false">IF($D1729="","",Y1729*AB1729/100)</f>
        <v/>
      </c>
      <c r="W1729" s="16" t="str">
        <f aca="false">IF($D1729="","",Y1729-V1729)</f>
        <v/>
      </c>
      <c r="X1729" s="16" t="str">
        <f aca="false">IF($D1729="","",W1729-N1729)</f>
        <v/>
      </c>
      <c r="AB1729" s="17" t="str">
        <f aca="false">IF($D1729="","",IF(OR($R1729=TRUE(),$R1729="TRUE"),Settings!$C$6,Settings!$C$7)*100)</f>
        <v/>
      </c>
      <c r="AH1729" s="18" t="str">
        <f aca="false">IF($D1729="","",IF(COUNTIF($D$2:$D1729,$D1729)=1,1,0))</f>
        <v/>
      </c>
      <c r="AI1729" s="18" t="str">
        <f aca="false">IF($AH1729=1,SUMPRODUCT(--($AK$2:$AK$4001&lt;$AK1729))+1,"")</f>
        <v/>
      </c>
      <c r="AJ1729" s="18" t="str">
        <f aca="false">IF($D1729="","",IF(OR($R1729=TRUE(),$R1729="TRUE"),1,0))</f>
        <v/>
      </c>
      <c r="AK1729" s="18" t="str">
        <f aca="false">IF($AH1729=1,IFERROR(VALUE(MID($D1729,2,20)),1000000000)+ROW()/10000000,"")</f>
        <v/>
      </c>
    </row>
    <row r="1730" customFormat="false" ht="15" hidden="false" customHeight="false" outlineLevel="0" collapsed="false">
      <c r="F1730" s="15"/>
      <c r="N1730" s="16" t="str">
        <f aca="false">IF($D1730="","",M1730*Y1730/100)</f>
        <v/>
      </c>
      <c r="V1730" s="16" t="str">
        <f aca="false">IF($D1730="","",Y1730*AB1730/100)</f>
        <v/>
      </c>
      <c r="W1730" s="16" t="str">
        <f aca="false">IF($D1730="","",Y1730-V1730)</f>
        <v/>
      </c>
      <c r="X1730" s="16" t="str">
        <f aca="false">IF($D1730="","",W1730-N1730)</f>
        <v/>
      </c>
      <c r="AB1730" s="17" t="str">
        <f aca="false">IF($D1730="","",IF(OR($R1730=TRUE(),$R1730="TRUE"),Settings!$C$6,Settings!$C$7)*100)</f>
        <v/>
      </c>
      <c r="AH1730" s="18" t="str">
        <f aca="false">IF($D1730="","",IF(COUNTIF($D$2:$D1730,$D1730)=1,1,0))</f>
        <v/>
      </c>
      <c r="AI1730" s="18" t="str">
        <f aca="false">IF($AH1730=1,SUMPRODUCT(--($AK$2:$AK$4001&lt;$AK1730))+1,"")</f>
        <v/>
      </c>
      <c r="AJ1730" s="18" t="str">
        <f aca="false">IF($D1730="","",IF(OR($R1730=TRUE(),$R1730="TRUE"),1,0))</f>
        <v/>
      </c>
      <c r="AK1730" s="18" t="str">
        <f aca="false">IF($AH1730=1,IFERROR(VALUE(MID($D1730,2,20)),1000000000)+ROW()/10000000,"")</f>
        <v/>
      </c>
    </row>
    <row r="1731" customFormat="false" ht="15" hidden="false" customHeight="false" outlineLevel="0" collapsed="false">
      <c r="F1731" s="15"/>
      <c r="N1731" s="16" t="str">
        <f aca="false">IF($D1731="","",M1731*Y1731/100)</f>
        <v/>
      </c>
      <c r="V1731" s="16" t="str">
        <f aca="false">IF($D1731="","",Y1731*AB1731/100)</f>
        <v/>
      </c>
      <c r="W1731" s="16" t="str">
        <f aca="false">IF($D1731="","",Y1731-V1731)</f>
        <v/>
      </c>
      <c r="X1731" s="16" t="str">
        <f aca="false">IF($D1731="","",W1731-N1731)</f>
        <v/>
      </c>
      <c r="AB1731" s="17" t="str">
        <f aca="false">IF($D1731="","",IF(OR($R1731=TRUE(),$R1731="TRUE"),Settings!$C$6,Settings!$C$7)*100)</f>
        <v/>
      </c>
      <c r="AH1731" s="18" t="str">
        <f aca="false">IF($D1731="","",IF(COUNTIF($D$2:$D1731,$D1731)=1,1,0))</f>
        <v/>
      </c>
      <c r="AI1731" s="18" t="str">
        <f aca="false">IF($AH1731=1,SUMPRODUCT(--($AK$2:$AK$4001&lt;$AK1731))+1,"")</f>
        <v/>
      </c>
      <c r="AJ1731" s="18" t="str">
        <f aca="false">IF($D1731="","",IF(OR($R1731=TRUE(),$R1731="TRUE"),1,0))</f>
        <v/>
      </c>
      <c r="AK1731" s="18" t="str">
        <f aca="false">IF($AH1731=1,IFERROR(VALUE(MID($D1731,2,20)),1000000000)+ROW()/10000000,"")</f>
        <v/>
      </c>
    </row>
    <row r="1732" customFormat="false" ht="15" hidden="false" customHeight="false" outlineLevel="0" collapsed="false">
      <c r="F1732" s="15"/>
      <c r="N1732" s="16" t="str">
        <f aca="false">IF($D1732="","",M1732*Y1732/100)</f>
        <v/>
      </c>
      <c r="V1732" s="16" t="str">
        <f aca="false">IF($D1732="","",Y1732*AB1732/100)</f>
        <v/>
      </c>
      <c r="W1732" s="16" t="str">
        <f aca="false">IF($D1732="","",Y1732-V1732)</f>
        <v/>
      </c>
      <c r="X1732" s="16" t="str">
        <f aca="false">IF($D1732="","",W1732-N1732)</f>
        <v/>
      </c>
      <c r="AB1732" s="17" t="str">
        <f aca="false">IF($D1732="","",IF(OR($R1732=TRUE(),$R1732="TRUE"),Settings!$C$6,Settings!$C$7)*100)</f>
        <v/>
      </c>
      <c r="AH1732" s="18" t="str">
        <f aca="false">IF($D1732="","",IF(COUNTIF($D$2:$D1732,$D1732)=1,1,0))</f>
        <v/>
      </c>
      <c r="AI1732" s="18" t="str">
        <f aca="false">IF($AH1732=1,SUMPRODUCT(--($AK$2:$AK$4001&lt;$AK1732))+1,"")</f>
        <v/>
      </c>
      <c r="AJ1732" s="18" t="str">
        <f aca="false">IF($D1732="","",IF(OR($R1732=TRUE(),$R1732="TRUE"),1,0))</f>
        <v/>
      </c>
      <c r="AK1732" s="18" t="str">
        <f aca="false">IF($AH1732=1,IFERROR(VALUE(MID($D1732,2,20)),1000000000)+ROW()/10000000,"")</f>
        <v/>
      </c>
    </row>
    <row r="1733" customFormat="false" ht="15" hidden="false" customHeight="false" outlineLevel="0" collapsed="false">
      <c r="F1733" s="15"/>
      <c r="N1733" s="16" t="str">
        <f aca="false">IF($D1733="","",M1733*Y1733/100)</f>
        <v/>
      </c>
      <c r="V1733" s="16" t="str">
        <f aca="false">IF($D1733="","",Y1733*AB1733/100)</f>
        <v/>
      </c>
      <c r="W1733" s="16" t="str">
        <f aca="false">IF($D1733="","",Y1733-V1733)</f>
        <v/>
      </c>
      <c r="X1733" s="16" t="str">
        <f aca="false">IF($D1733="","",W1733-N1733)</f>
        <v/>
      </c>
      <c r="AB1733" s="17" t="str">
        <f aca="false">IF($D1733="","",IF(OR($R1733=TRUE(),$R1733="TRUE"),Settings!$C$6,Settings!$C$7)*100)</f>
        <v/>
      </c>
      <c r="AH1733" s="18" t="str">
        <f aca="false">IF($D1733="","",IF(COUNTIF($D$2:$D1733,$D1733)=1,1,0))</f>
        <v/>
      </c>
      <c r="AI1733" s="18" t="str">
        <f aca="false">IF($AH1733=1,SUMPRODUCT(--($AK$2:$AK$4001&lt;$AK1733))+1,"")</f>
        <v/>
      </c>
      <c r="AJ1733" s="18" t="str">
        <f aca="false">IF($D1733="","",IF(OR($R1733=TRUE(),$R1733="TRUE"),1,0))</f>
        <v/>
      </c>
      <c r="AK1733" s="18" t="str">
        <f aca="false">IF($AH1733=1,IFERROR(VALUE(MID($D1733,2,20)),1000000000)+ROW()/10000000,"")</f>
        <v/>
      </c>
    </row>
    <row r="1734" customFormat="false" ht="15" hidden="false" customHeight="false" outlineLevel="0" collapsed="false">
      <c r="F1734" s="15"/>
      <c r="N1734" s="16" t="str">
        <f aca="false">IF($D1734="","",M1734*Y1734/100)</f>
        <v/>
      </c>
      <c r="V1734" s="16" t="str">
        <f aca="false">IF($D1734="","",Y1734*AB1734/100)</f>
        <v/>
      </c>
      <c r="W1734" s="16" t="str">
        <f aca="false">IF($D1734="","",Y1734-V1734)</f>
        <v/>
      </c>
      <c r="X1734" s="16" t="str">
        <f aca="false">IF($D1734="","",W1734-N1734)</f>
        <v/>
      </c>
      <c r="AB1734" s="17" t="str">
        <f aca="false">IF($D1734="","",IF(OR($R1734=TRUE(),$R1734="TRUE"),Settings!$C$6,Settings!$C$7)*100)</f>
        <v/>
      </c>
      <c r="AH1734" s="18" t="str">
        <f aca="false">IF($D1734="","",IF(COUNTIF($D$2:$D1734,$D1734)=1,1,0))</f>
        <v/>
      </c>
      <c r="AI1734" s="18" t="str">
        <f aca="false">IF($AH1734=1,SUMPRODUCT(--($AK$2:$AK$4001&lt;$AK1734))+1,"")</f>
        <v/>
      </c>
      <c r="AJ1734" s="18" t="str">
        <f aca="false">IF($D1734="","",IF(OR($R1734=TRUE(),$R1734="TRUE"),1,0))</f>
        <v/>
      </c>
      <c r="AK1734" s="18" t="str">
        <f aca="false">IF($AH1734=1,IFERROR(VALUE(MID($D1734,2,20)),1000000000)+ROW()/10000000,"")</f>
        <v/>
      </c>
    </row>
    <row r="1735" customFormat="false" ht="15" hidden="false" customHeight="false" outlineLevel="0" collapsed="false">
      <c r="F1735" s="15"/>
      <c r="N1735" s="16" t="str">
        <f aca="false">IF($D1735="","",M1735*Y1735/100)</f>
        <v/>
      </c>
      <c r="V1735" s="16" t="str">
        <f aca="false">IF($D1735="","",Y1735*AB1735/100)</f>
        <v/>
      </c>
      <c r="W1735" s="16" t="str">
        <f aca="false">IF($D1735="","",Y1735-V1735)</f>
        <v/>
      </c>
      <c r="X1735" s="16" t="str">
        <f aca="false">IF($D1735="","",W1735-N1735)</f>
        <v/>
      </c>
      <c r="AB1735" s="17" t="str">
        <f aca="false">IF($D1735="","",IF(OR($R1735=TRUE(),$R1735="TRUE"),Settings!$C$6,Settings!$C$7)*100)</f>
        <v/>
      </c>
      <c r="AH1735" s="18" t="str">
        <f aca="false">IF($D1735="","",IF(COUNTIF($D$2:$D1735,$D1735)=1,1,0))</f>
        <v/>
      </c>
      <c r="AI1735" s="18" t="str">
        <f aca="false">IF($AH1735=1,SUMPRODUCT(--($AK$2:$AK$4001&lt;$AK1735))+1,"")</f>
        <v/>
      </c>
      <c r="AJ1735" s="18" t="str">
        <f aca="false">IF($D1735="","",IF(OR($R1735=TRUE(),$R1735="TRUE"),1,0))</f>
        <v/>
      </c>
      <c r="AK1735" s="18" t="str">
        <f aca="false">IF($AH1735=1,IFERROR(VALUE(MID($D1735,2,20)),1000000000)+ROW()/10000000,"")</f>
        <v/>
      </c>
    </row>
    <row r="1736" customFormat="false" ht="15" hidden="false" customHeight="false" outlineLevel="0" collapsed="false">
      <c r="F1736" s="15"/>
      <c r="N1736" s="16" t="str">
        <f aca="false">IF($D1736="","",M1736*Y1736/100)</f>
        <v/>
      </c>
      <c r="V1736" s="16" t="str">
        <f aca="false">IF($D1736="","",Y1736*AB1736/100)</f>
        <v/>
      </c>
      <c r="W1736" s="16" t="str">
        <f aca="false">IF($D1736="","",Y1736-V1736)</f>
        <v/>
      </c>
      <c r="X1736" s="16" t="str">
        <f aca="false">IF($D1736="","",W1736-N1736)</f>
        <v/>
      </c>
      <c r="AB1736" s="17" t="str">
        <f aca="false">IF($D1736="","",IF(OR($R1736=TRUE(),$R1736="TRUE"),Settings!$C$6,Settings!$C$7)*100)</f>
        <v/>
      </c>
      <c r="AH1736" s="18" t="str">
        <f aca="false">IF($D1736="","",IF(COUNTIF($D$2:$D1736,$D1736)=1,1,0))</f>
        <v/>
      </c>
      <c r="AI1736" s="18" t="str">
        <f aca="false">IF($AH1736=1,SUMPRODUCT(--($AK$2:$AK$4001&lt;$AK1736))+1,"")</f>
        <v/>
      </c>
      <c r="AJ1736" s="18" t="str">
        <f aca="false">IF($D1736="","",IF(OR($R1736=TRUE(),$R1736="TRUE"),1,0))</f>
        <v/>
      </c>
      <c r="AK1736" s="18" t="str">
        <f aca="false">IF($AH1736=1,IFERROR(VALUE(MID($D1736,2,20)),1000000000)+ROW()/10000000,"")</f>
        <v/>
      </c>
    </row>
    <row r="1737" customFormat="false" ht="15" hidden="false" customHeight="false" outlineLevel="0" collapsed="false">
      <c r="F1737" s="15"/>
      <c r="N1737" s="16" t="str">
        <f aca="false">IF($D1737="","",M1737*Y1737/100)</f>
        <v/>
      </c>
      <c r="V1737" s="16" t="str">
        <f aca="false">IF($D1737="","",Y1737*AB1737/100)</f>
        <v/>
      </c>
      <c r="W1737" s="16" t="str">
        <f aca="false">IF($D1737="","",Y1737-V1737)</f>
        <v/>
      </c>
      <c r="X1737" s="16" t="str">
        <f aca="false">IF($D1737="","",W1737-N1737)</f>
        <v/>
      </c>
      <c r="AB1737" s="17" t="str">
        <f aca="false">IF($D1737="","",IF(OR($R1737=TRUE(),$R1737="TRUE"),Settings!$C$6,Settings!$C$7)*100)</f>
        <v/>
      </c>
      <c r="AH1737" s="18" t="str">
        <f aca="false">IF($D1737="","",IF(COUNTIF($D$2:$D1737,$D1737)=1,1,0))</f>
        <v/>
      </c>
      <c r="AI1737" s="18" t="str">
        <f aca="false">IF($AH1737=1,SUMPRODUCT(--($AK$2:$AK$4001&lt;$AK1737))+1,"")</f>
        <v/>
      </c>
      <c r="AJ1737" s="18" t="str">
        <f aca="false">IF($D1737="","",IF(OR($R1737=TRUE(),$R1737="TRUE"),1,0))</f>
        <v/>
      </c>
      <c r="AK1737" s="18" t="str">
        <f aca="false">IF($AH1737=1,IFERROR(VALUE(MID($D1737,2,20)),1000000000)+ROW()/10000000,"")</f>
        <v/>
      </c>
    </row>
    <row r="1738" customFormat="false" ht="15" hidden="false" customHeight="false" outlineLevel="0" collapsed="false">
      <c r="F1738" s="15"/>
      <c r="N1738" s="16" t="str">
        <f aca="false">IF($D1738="","",M1738*Y1738/100)</f>
        <v/>
      </c>
      <c r="V1738" s="16" t="str">
        <f aca="false">IF($D1738="","",Y1738*AB1738/100)</f>
        <v/>
      </c>
      <c r="W1738" s="16" t="str">
        <f aca="false">IF($D1738="","",Y1738-V1738)</f>
        <v/>
      </c>
      <c r="X1738" s="16" t="str">
        <f aca="false">IF($D1738="","",W1738-N1738)</f>
        <v/>
      </c>
      <c r="AB1738" s="17" t="str">
        <f aca="false">IF($D1738="","",IF(OR($R1738=TRUE(),$R1738="TRUE"),Settings!$C$6,Settings!$C$7)*100)</f>
        <v/>
      </c>
      <c r="AH1738" s="18" t="str">
        <f aca="false">IF($D1738="","",IF(COUNTIF($D$2:$D1738,$D1738)=1,1,0))</f>
        <v/>
      </c>
      <c r="AI1738" s="18" t="str">
        <f aca="false">IF($AH1738=1,SUMPRODUCT(--($AK$2:$AK$4001&lt;$AK1738))+1,"")</f>
        <v/>
      </c>
      <c r="AJ1738" s="18" t="str">
        <f aca="false">IF($D1738="","",IF(OR($R1738=TRUE(),$R1738="TRUE"),1,0))</f>
        <v/>
      </c>
      <c r="AK1738" s="18" t="str">
        <f aca="false">IF($AH1738=1,IFERROR(VALUE(MID($D1738,2,20)),1000000000)+ROW()/10000000,"")</f>
        <v/>
      </c>
    </row>
    <row r="1739" customFormat="false" ht="15" hidden="false" customHeight="false" outlineLevel="0" collapsed="false">
      <c r="F1739" s="15"/>
      <c r="N1739" s="16" t="str">
        <f aca="false">IF($D1739="","",M1739*Y1739/100)</f>
        <v/>
      </c>
      <c r="V1739" s="16" t="str">
        <f aca="false">IF($D1739="","",Y1739*AB1739/100)</f>
        <v/>
      </c>
      <c r="W1739" s="16" t="str">
        <f aca="false">IF($D1739="","",Y1739-V1739)</f>
        <v/>
      </c>
      <c r="X1739" s="16" t="str">
        <f aca="false">IF($D1739="","",W1739-N1739)</f>
        <v/>
      </c>
      <c r="AB1739" s="17" t="str">
        <f aca="false">IF($D1739="","",IF(OR($R1739=TRUE(),$R1739="TRUE"),Settings!$C$6,Settings!$C$7)*100)</f>
        <v/>
      </c>
      <c r="AH1739" s="18" t="str">
        <f aca="false">IF($D1739="","",IF(COUNTIF($D$2:$D1739,$D1739)=1,1,0))</f>
        <v/>
      </c>
      <c r="AI1739" s="18" t="str">
        <f aca="false">IF($AH1739=1,SUMPRODUCT(--($AK$2:$AK$4001&lt;$AK1739))+1,"")</f>
        <v/>
      </c>
      <c r="AJ1739" s="18" t="str">
        <f aca="false">IF($D1739="","",IF(OR($R1739=TRUE(),$R1739="TRUE"),1,0))</f>
        <v/>
      </c>
      <c r="AK1739" s="18" t="str">
        <f aca="false">IF($AH1739=1,IFERROR(VALUE(MID($D1739,2,20)),1000000000)+ROW()/10000000,"")</f>
        <v/>
      </c>
    </row>
    <row r="1740" customFormat="false" ht="15" hidden="false" customHeight="false" outlineLevel="0" collapsed="false">
      <c r="F1740" s="15"/>
      <c r="N1740" s="16" t="str">
        <f aca="false">IF($D1740="","",M1740*Y1740/100)</f>
        <v/>
      </c>
      <c r="V1740" s="16" t="str">
        <f aca="false">IF($D1740="","",Y1740*AB1740/100)</f>
        <v/>
      </c>
      <c r="W1740" s="16" t="str">
        <f aca="false">IF($D1740="","",Y1740-V1740)</f>
        <v/>
      </c>
      <c r="X1740" s="16" t="str">
        <f aca="false">IF($D1740="","",W1740-N1740)</f>
        <v/>
      </c>
      <c r="AB1740" s="17" t="str">
        <f aca="false">IF($D1740="","",IF(OR($R1740=TRUE(),$R1740="TRUE"),Settings!$C$6,Settings!$C$7)*100)</f>
        <v/>
      </c>
      <c r="AH1740" s="18" t="str">
        <f aca="false">IF($D1740="","",IF(COUNTIF($D$2:$D1740,$D1740)=1,1,0))</f>
        <v/>
      </c>
      <c r="AI1740" s="18" t="str">
        <f aca="false">IF($AH1740=1,SUMPRODUCT(--($AK$2:$AK$4001&lt;$AK1740))+1,"")</f>
        <v/>
      </c>
      <c r="AJ1740" s="18" t="str">
        <f aca="false">IF($D1740="","",IF(OR($R1740=TRUE(),$R1740="TRUE"),1,0))</f>
        <v/>
      </c>
      <c r="AK1740" s="18" t="str">
        <f aca="false">IF($AH1740=1,IFERROR(VALUE(MID($D1740,2,20)),1000000000)+ROW()/10000000,"")</f>
        <v/>
      </c>
    </row>
    <row r="1741" customFormat="false" ht="15" hidden="false" customHeight="false" outlineLevel="0" collapsed="false">
      <c r="F1741" s="15"/>
      <c r="N1741" s="16" t="str">
        <f aca="false">IF($D1741="","",M1741*Y1741/100)</f>
        <v/>
      </c>
      <c r="V1741" s="16" t="str">
        <f aca="false">IF($D1741="","",Y1741*AB1741/100)</f>
        <v/>
      </c>
      <c r="W1741" s="16" t="str">
        <f aca="false">IF($D1741="","",Y1741-V1741)</f>
        <v/>
      </c>
      <c r="X1741" s="16" t="str">
        <f aca="false">IF($D1741="","",W1741-N1741)</f>
        <v/>
      </c>
      <c r="AB1741" s="17" t="str">
        <f aca="false">IF($D1741="","",IF(OR($R1741=TRUE(),$R1741="TRUE"),Settings!$C$6,Settings!$C$7)*100)</f>
        <v/>
      </c>
      <c r="AH1741" s="18" t="str">
        <f aca="false">IF($D1741="","",IF(COUNTIF($D$2:$D1741,$D1741)=1,1,0))</f>
        <v/>
      </c>
      <c r="AI1741" s="18" t="str">
        <f aca="false">IF($AH1741=1,SUMPRODUCT(--($AK$2:$AK$4001&lt;$AK1741))+1,"")</f>
        <v/>
      </c>
      <c r="AJ1741" s="18" t="str">
        <f aca="false">IF($D1741="","",IF(OR($R1741=TRUE(),$R1741="TRUE"),1,0))</f>
        <v/>
      </c>
      <c r="AK1741" s="18" t="str">
        <f aca="false">IF($AH1741=1,IFERROR(VALUE(MID($D1741,2,20)),1000000000)+ROW()/10000000,"")</f>
        <v/>
      </c>
    </row>
    <row r="1742" customFormat="false" ht="15" hidden="false" customHeight="false" outlineLevel="0" collapsed="false">
      <c r="F1742" s="15"/>
      <c r="N1742" s="16" t="str">
        <f aca="false">IF($D1742="","",M1742*Y1742/100)</f>
        <v/>
      </c>
      <c r="V1742" s="16" t="str">
        <f aca="false">IF($D1742="","",Y1742*AB1742/100)</f>
        <v/>
      </c>
      <c r="W1742" s="16" t="str">
        <f aca="false">IF($D1742="","",Y1742-V1742)</f>
        <v/>
      </c>
      <c r="X1742" s="16" t="str">
        <f aca="false">IF($D1742="","",W1742-N1742)</f>
        <v/>
      </c>
      <c r="AB1742" s="17" t="str">
        <f aca="false">IF($D1742="","",IF(OR($R1742=TRUE(),$R1742="TRUE"),Settings!$C$6,Settings!$C$7)*100)</f>
        <v/>
      </c>
      <c r="AH1742" s="18" t="str">
        <f aca="false">IF($D1742="","",IF(COUNTIF($D$2:$D1742,$D1742)=1,1,0))</f>
        <v/>
      </c>
      <c r="AI1742" s="18" t="str">
        <f aca="false">IF($AH1742=1,SUMPRODUCT(--($AK$2:$AK$4001&lt;$AK1742))+1,"")</f>
        <v/>
      </c>
      <c r="AJ1742" s="18" t="str">
        <f aca="false">IF($D1742="","",IF(OR($R1742=TRUE(),$R1742="TRUE"),1,0))</f>
        <v/>
      </c>
      <c r="AK1742" s="18" t="str">
        <f aca="false">IF($AH1742=1,IFERROR(VALUE(MID($D1742,2,20)),1000000000)+ROW()/10000000,"")</f>
        <v/>
      </c>
    </row>
    <row r="1743" customFormat="false" ht="15" hidden="false" customHeight="false" outlineLevel="0" collapsed="false">
      <c r="F1743" s="15"/>
      <c r="N1743" s="16" t="str">
        <f aca="false">IF($D1743="","",M1743*Y1743/100)</f>
        <v/>
      </c>
      <c r="V1743" s="16" t="str">
        <f aca="false">IF($D1743="","",Y1743*AB1743/100)</f>
        <v/>
      </c>
      <c r="W1743" s="16" t="str">
        <f aca="false">IF($D1743="","",Y1743-V1743)</f>
        <v/>
      </c>
      <c r="X1743" s="16" t="str">
        <f aca="false">IF($D1743="","",W1743-N1743)</f>
        <v/>
      </c>
      <c r="AB1743" s="17" t="str">
        <f aca="false">IF($D1743="","",IF(OR($R1743=TRUE(),$R1743="TRUE"),Settings!$C$6,Settings!$C$7)*100)</f>
        <v/>
      </c>
      <c r="AH1743" s="18" t="str">
        <f aca="false">IF($D1743="","",IF(COUNTIF($D$2:$D1743,$D1743)=1,1,0))</f>
        <v/>
      </c>
      <c r="AI1743" s="18" t="str">
        <f aca="false">IF($AH1743=1,SUMPRODUCT(--($AK$2:$AK$4001&lt;$AK1743))+1,"")</f>
        <v/>
      </c>
      <c r="AJ1743" s="18" t="str">
        <f aca="false">IF($D1743="","",IF(OR($R1743=TRUE(),$R1743="TRUE"),1,0))</f>
        <v/>
      </c>
      <c r="AK1743" s="18" t="str">
        <f aca="false">IF($AH1743=1,IFERROR(VALUE(MID($D1743,2,20)),1000000000)+ROW()/10000000,"")</f>
        <v/>
      </c>
    </row>
    <row r="1744" customFormat="false" ht="15" hidden="false" customHeight="false" outlineLevel="0" collapsed="false">
      <c r="F1744" s="15"/>
      <c r="N1744" s="16" t="str">
        <f aca="false">IF($D1744="","",M1744*Y1744/100)</f>
        <v/>
      </c>
      <c r="V1744" s="16" t="str">
        <f aca="false">IF($D1744="","",Y1744*AB1744/100)</f>
        <v/>
      </c>
      <c r="W1744" s="16" t="str">
        <f aca="false">IF($D1744="","",Y1744-V1744)</f>
        <v/>
      </c>
      <c r="X1744" s="16" t="str">
        <f aca="false">IF($D1744="","",W1744-N1744)</f>
        <v/>
      </c>
      <c r="AB1744" s="17" t="str">
        <f aca="false">IF($D1744="","",IF(OR($R1744=TRUE(),$R1744="TRUE"),Settings!$C$6,Settings!$C$7)*100)</f>
        <v/>
      </c>
      <c r="AH1744" s="18" t="str">
        <f aca="false">IF($D1744="","",IF(COUNTIF($D$2:$D1744,$D1744)=1,1,0))</f>
        <v/>
      </c>
      <c r="AI1744" s="18" t="str">
        <f aca="false">IF($AH1744=1,SUMPRODUCT(--($AK$2:$AK$4001&lt;$AK1744))+1,"")</f>
        <v/>
      </c>
      <c r="AJ1744" s="18" t="str">
        <f aca="false">IF($D1744="","",IF(OR($R1744=TRUE(),$R1744="TRUE"),1,0))</f>
        <v/>
      </c>
      <c r="AK1744" s="18" t="str">
        <f aca="false">IF($AH1744=1,IFERROR(VALUE(MID($D1744,2,20)),1000000000)+ROW()/10000000,"")</f>
        <v/>
      </c>
    </row>
    <row r="1745" customFormat="false" ht="15" hidden="false" customHeight="false" outlineLevel="0" collapsed="false">
      <c r="F1745" s="15"/>
      <c r="N1745" s="16" t="str">
        <f aca="false">IF($D1745="","",M1745*Y1745/100)</f>
        <v/>
      </c>
      <c r="V1745" s="16" t="str">
        <f aca="false">IF($D1745="","",Y1745*AB1745/100)</f>
        <v/>
      </c>
      <c r="W1745" s="16" t="str">
        <f aca="false">IF($D1745="","",Y1745-V1745)</f>
        <v/>
      </c>
      <c r="X1745" s="16" t="str">
        <f aca="false">IF($D1745="","",W1745-N1745)</f>
        <v/>
      </c>
      <c r="AB1745" s="17" t="str">
        <f aca="false">IF($D1745="","",IF(OR($R1745=TRUE(),$R1745="TRUE"),Settings!$C$6,Settings!$C$7)*100)</f>
        <v/>
      </c>
      <c r="AH1745" s="18" t="str">
        <f aca="false">IF($D1745="","",IF(COUNTIF($D$2:$D1745,$D1745)=1,1,0))</f>
        <v/>
      </c>
      <c r="AI1745" s="18" t="str">
        <f aca="false">IF($AH1745=1,SUMPRODUCT(--($AK$2:$AK$4001&lt;$AK1745))+1,"")</f>
        <v/>
      </c>
      <c r="AJ1745" s="18" t="str">
        <f aca="false">IF($D1745="","",IF(OR($R1745=TRUE(),$R1745="TRUE"),1,0))</f>
        <v/>
      </c>
      <c r="AK1745" s="18" t="str">
        <f aca="false">IF($AH1745=1,IFERROR(VALUE(MID($D1745,2,20)),1000000000)+ROW()/10000000,"")</f>
        <v/>
      </c>
    </row>
    <row r="1746" customFormat="false" ht="15" hidden="false" customHeight="false" outlineLevel="0" collapsed="false">
      <c r="F1746" s="15"/>
      <c r="N1746" s="16" t="str">
        <f aca="false">IF($D1746="","",M1746*Y1746/100)</f>
        <v/>
      </c>
      <c r="V1746" s="16" t="str">
        <f aca="false">IF($D1746="","",Y1746*AB1746/100)</f>
        <v/>
      </c>
      <c r="W1746" s="16" t="str">
        <f aca="false">IF($D1746="","",Y1746-V1746)</f>
        <v/>
      </c>
      <c r="X1746" s="16" t="str">
        <f aca="false">IF($D1746="","",W1746-N1746)</f>
        <v/>
      </c>
      <c r="AB1746" s="17" t="str">
        <f aca="false">IF($D1746="","",IF(OR($R1746=TRUE(),$R1746="TRUE"),Settings!$C$6,Settings!$C$7)*100)</f>
        <v/>
      </c>
      <c r="AH1746" s="18" t="str">
        <f aca="false">IF($D1746="","",IF(COUNTIF($D$2:$D1746,$D1746)=1,1,0))</f>
        <v/>
      </c>
      <c r="AI1746" s="18" t="str">
        <f aca="false">IF($AH1746=1,SUMPRODUCT(--($AK$2:$AK$4001&lt;$AK1746))+1,"")</f>
        <v/>
      </c>
      <c r="AJ1746" s="18" t="str">
        <f aca="false">IF($D1746="","",IF(OR($R1746=TRUE(),$R1746="TRUE"),1,0))</f>
        <v/>
      </c>
      <c r="AK1746" s="18" t="str">
        <f aca="false">IF($AH1746=1,IFERROR(VALUE(MID($D1746,2,20)),1000000000)+ROW()/10000000,"")</f>
        <v/>
      </c>
    </row>
    <row r="1747" customFormat="false" ht="15" hidden="false" customHeight="false" outlineLevel="0" collapsed="false">
      <c r="F1747" s="15"/>
      <c r="N1747" s="16" t="str">
        <f aca="false">IF($D1747="","",M1747*Y1747/100)</f>
        <v/>
      </c>
      <c r="V1747" s="16" t="str">
        <f aca="false">IF($D1747="","",Y1747*AB1747/100)</f>
        <v/>
      </c>
      <c r="W1747" s="16" t="str">
        <f aca="false">IF($D1747="","",Y1747-V1747)</f>
        <v/>
      </c>
      <c r="X1747" s="16" t="str">
        <f aca="false">IF($D1747="","",W1747-N1747)</f>
        <v/>
      </c>
      <c r="AB1747" s="17" t="str">
        <f aca="false">IF($D1747="","",IF(OR($R1747=TRUE(),$R1747="TRUE"),Settings!$C$6,Settings!$C$7)*100)</f>
        <v/>
      </c>
      <c r="AH1747" s="18" t="str">
        <f aca="false">IF($D1747="","",IF(COUNTIF($D$2:$D1747,$D1747)=1,1,0))</f>
        <v/>
      </c>
      <c r="AI1747" s="18" t="str">
        <f aca="false">IF($AH1747=1,SUMPRODUCT(--($AK$2:$AK$4001&lt;$AK1747))+1,"")</f>
        <v/>
      </c>
      <c r="AJ1747" s="18" t="str">
        <f aca="false">IF($D1747="","",IF(OR($R1747=TRUE(),$R1747="TRUE"),1,0))</f>
        <v/>
      </c>
      <c r="AK1747" s="18" t="str">
        <f aca="false">IF($AH1747=1,IFERROR(VALUE(MID($D1747,2,20)),1000000000)+ROW()/10000000,"")</f>
        <v/>
      </c>
    </row>
    <row r="1748" customFormat="false" ht="15" hidden="false" customHeight="false" outlineLevel="0" collapsed="false">
      <c r="F1748" s="15"/>
      <c r="N1748" s="16" t="str">
        <f aca="false">IF($D1748="","",M1748*Y1748/100)</f>
        <v/>
      </c>
      <c r="V1748" s="16" t="str">
        <f aca="false">IF($D1748="","",Y1748*AB1748/100)</f>
        <v/>
      </c>
      <c r="W1748" s="16" t="str">
        <f aca="false">IF($D1748="","",Y1748-V1748)</f>
        <v/>
      </c>
      <c r="X1748" s="16" t="str">
        <f aca="false">IF($D1748="","",W1748-N1748)</f>
        <v/>
      </c>
      <c r="AB1748" s="17" t="str">
        <f aca="false">IF($D1748="","",IF(OR($R1748=TRUE(),$R1748="TRUE"),Settings!$C$6,Settings!$C$7)*100)</f>
        <v/>
      </c>
      <c r="AH1748" s="18" t="str">
        <f aca="false">IF($D1748="","",IF(COUNTIF($D$2:$D1748,$D1748)=1,1,0))</f>
        <v/>
      </c>
      <c r="AI1748" s="18" t="str">
        <f aca="false">IF($AH1748=1,SUMPRODUCT(--($AK$2:$AK$4001&lt;$AK1748))+1,"")</f>
        <v/>
      </c>
      <c r="AJ1748" s="18" t="str">
        <f aca="false">IF($D1748="","",IF(OR($R1748=TRUE(),$R1748="TRUE"),1,0))</f>
        <v/>
      </c>
      <c r="AK1748" s="18" t="str">
        <f aca="false">IF($AH1748=1,IFERROR(VALUE(MID($D1748,2,20)),1000000000)+ROW()/10000000,"")</f>
        <v/>
      </c>
    </row>
    <row r="1749" customFormat="false" ht="15" hidden="false" customHeight="false" outlineLevel="0" collapsed="false">
      <c r="F1749" s="15"/>
      <c r="N1749" s="16" t="str">
        <f aca="false">IF($D1749="","",M1749*Y1749/100)</f>
        <v/>
      </c>
      <c r="V1749" s="16" t="str">
        <f aca="false">IF($D1749="","",Y1749*AB1749/100)</f>
        <v/>
      </c>
      <c r="W1749" s="16" t="str">
        <f aca="false">IF($D1749="","",Y1749-V1749)</f>
        <v/>
      </c>
      <c r="X1749" s="16" t="str">
        <f aca="false">IF($D1749="","",W1749-N1749)</f>
        <v/>
      </c>
      <c r="AB1749" s="17" t="str">
        <f aca="false">IF($D1749="","",IF(OR($R1749=TRUE(),$R1749="TRUE"),Settings!$C$6,Settings!$C$7)*100)</f>
        <v/>
      </c>
      <c r="AH1749" s="18" t="str">
        <f aca="false">IF($D1749="","",IF(COUNTIF($D$2:$D1749,$D1749)=1,1,0))</f>
        <v/>
      </c>
      <c r="AI1749" s="18" t="str">
        <f aca="false">IF($AH1749=1,SUMPRODUCT(--($AK$2:$AK$4001&lt;$AK1749))+1,"")</f>
        <v/>
      </c>
      <c r="AJ1749" s="18" t="str">
        <f aca="false">IF($D1749="","",IF(OR($R1749=TRUE(),$R1749="TRUE"),1,0))</f>
        <v/>
      </c>
      <c r="AK1749" s="18" t="str">
        <f aca="false">IF($AH1749=1,IFERROR(VALUE(MID($D1749,2,20)),1000000000)+ROW()/10000000,"")</f>
        <v/>
      </c>
    </row>
    <row r="1750" customFormat="false" ht="15" hidden="false" customHeight="false" outlineLevel="0" collapsed="false">
      <c r="F1750" s="15"/>
      <c r="N1750" s="16" t="str">
        <f aca="false">IF($D1750="","",M1750*Y1750/100)</f>
        <v/>
      </c>
      <c r="V1750" s="16" t="str">
        <f aca="false">IF($D1750="","",Y1750*AB1750/100)</f>
        <v/>
      </c>
      <c r="W1750" s="16" t="str">
        <f aca="false">IF($D1750="","",Y1750-V1750)</f>
        <v/>
      </c>
      <c r="X1750" s="16" t="str">
        <f aca="false">IF($D1750="","",W1750-N1750)</f>
        <v/>
      </c>
      <c r="AB1750" s="17" t="str">
        <f aca="false">IF($D1750="","",IF(OR($R1750=TRUE(),$R1750="TRUE"),Settings!$C$6,Settings!$C$7)*100)</f>
        <v/>
      </c>
      <c r="AH1750" s="18" t="str">
        <f aca="false">IF($D1750="","",IF(COUNTIF($D$2:$D1750,$D1750)=1,1,0))</f>
        <v/>
      </c>
      <c r="AI1750" s="18" t="str">
        <f aca="false">IF($AH1750=1,SUMPRODUCT(--($AK$2:$AK$4001&lt;$AK1750))+1,"")</f>
        <v/>
      </c>
      <c r="AJ1750" s="18" t="str">
        <f aca="false">IF($D1750="","",IF(OR($R1750=TRUE(),$R1750="TRUE"),1,0))</f>
        <v/>
      </c>
      <c r="AK1750" s="18" t="str">
        <f aca="false">IF($AH1750=1,IFERROR(VALUE(MID($D1750,2,20)),1000000000)+ROW()/10000000,"")</f>
        <v/>
      </c>
    </row>
    <row r="1751" customFormat="false" ht="15" hidden="false" customHeight="false" outlineLevel="0" collapsed="false">
      <c r="F1751" s="15"/>
      <c r="N1751" s="16" t="str">
        <f aca="false">IF($D1751="","",M1751*Y1751/100)</f>
        <v/>
      </c>
      <c r="V1751" s="16" t="str">
        <f aca="false">IF($D1751="","",Y1751*AB1751/100)</f>
        <v/>
      </c>
      <c r="W1751" s="16" t="str">
        <f aca="false">IF($D1751="","",Y1751-V1751)</f>
        <v/>
      </c>
      <c r="X1751" s="16" t="str">
        <f aca="false">IF($D1751="","",W1751-N1751)</f>
        <v/>
      </c>
      <c r="AB1751" s="17" t="str">
        <f aca="false">IF($D1751="","",IF(OR($R1751=TRUE(),$R1751="TRUE"),Settings!$C$6,Settings!$C$7)*100)</f>
        <v/>
      </c>
      <c r="AH1751" s="18" t="str">
        <f aca="false">IF($D1751="","",IF(COUNTIF($D$2:$D1751,$D1751)=1,1,0))</f>
        <v/>
      </c>
      <c r="AI1751" s="18" t="str">
        <f aca="false">IF($AH1751=1,SUMPRODUCT(--($AK$2:$AK$4001&lt;$AK1751))+1,"")</f>
        <v/>
      </c>
      <c r="AJ1751" s="18" t="str">
        <f aca="false">IF($D1751="","",IF(OR($R1751=TRUE(),$R1751="TRUE"),1,0))</f>
        <v/>
      </c>
      <c r="AK1751" s="18" t="str">
        <f aca="false">IF($AH1751=1,IFERROR(VALUE(MID($D1751,2,20)),1000000000)+ROW()/10000000,"")</f>
        <v/>
      </c>
    </row>
    <row r="1752" customFormat="false" ht="15" hidden="false" customHeight="false" outlineLevel="0" collapsed="false">
      <c r="F1752" s="15"/>
      <c r="N1752" s="16" t="str">
        <f aca="false">IF($D1752="","",M1752*Y1752/100)</f>
        <v/>
      </c>
      <c r="V1752" s="16" t="str">
        <f aca="false">IF($D1752="","",Y1752*AB1752/100)</f>
        <v/>
      </c>
      <c r="W1752" s="16" t="str">
        <f aca="false">IF($D1752="","",Y1752-V1752)</f>
        <v/>
      </c>
      <c r="X1752" s="16" t="str">
        <f aca="false">IF($D1752="","",W1752-N1752)</f>
        <v/>
      </c>
      <c r="AB1752" s="17" t="str">
        <f aca="false">IF($D1752="","",IF(OR($R1752=TRUE(),$R1752="TRUE"),Settings!$C$6,Settings!$C$7)*100)</f>
        <v/>
      </c>
      <c r="AH1752" s="18" t="str">
        <f aca="false">IF($D1752="","",IF(COUNTIF($D$2:$D1752,$D1752)=1,1,0))</f>
        <v/>
      </c>
      <c r="AI1752" s="18" t="str">
        <f aca="false">IF($AH1752=1,SUMPRODUCT(--($AK$2:$AK$4001&lt;$AK1752))+1,"")</f>
        <v/>
      </c>
      <c r="AJ1752" s="18" t="str">
        <f aca="false">IF($D1752="","",IF(OR($R1752=TRUE(),$R1752="TRUE"),1,0))</f>
        <v/>
      </c>
      <c r="AK1752" s="18" t="str">
        <f aca="false">IF($AH1752=1,IFERROR(VALUE(MID($D1752,2,20)),1000000000)+ROW()/10000000,"")</f>
        <v/>
      </c>
    </row>
    <row r="1753" customFormat="false" ht="15" hidden="false" customHeight="false" outlineLevel="0" collapsed="false">
      <c r="F1753" s="15"/>
      <c r="N1753" s="16" t="str">
        <f aca="false">IF($D1753="","",M1753*Y1753/100)</f>
        <v/>
      </c>
      <c r="V1753" s="16" t="str">
        <f aca="false">IF($D1753="","",Y1753*AB1753/100)</f>
        <v/>
      </c>
      <c r="W1753" s="16" t="str">
        <f aca="false">IF($D1753="","",Y1753-V1753)</f>
        <v/>
      </c>
      <c r="X1753" s="16" t="str">
        <f aca="false">IF($D1753="","",W1753-N1753)</f>
        <v/>
      </c>
      <c r="AB1753" s="17" t="str">
        <f aca="false">IF($D1753="","",IF(OR($R1753=TRUE(),$R1753="TRUE"),Settings!$C$6,Settings!$C$7)*100)</f>
        <v/>
      </c>
      <c r="AH1753" s="18" t="str">
        <f aca="false">IF($D1753="","",IF(COUNTIF($D$2:$D1753,$D1753)=1,1,0))</f>
        <v/>
      </c>
      <c r="AI1753" s="18" t="str">
        <f aca="false">IF($AH1753=1,SUMPRODUCT(--($AK$2:$AK$4001&lt;$AK1753))+1,"")</f>
        <v/>
      </c>
      <c r="AJ1753" s="18" t="str">
        <f aca="false">IF($D1753="","",IF(OR($R1753=TRUE(),$R1753="TRUE"),1,0))</f>
        <v/>
      </c>
      <c r="AK1753" s="18" t="str">
        <f aca="false">IF($AH1753=1,IFERROR(VALUE(MID($D1753,2,20)),1000000000)+ROW()/10000000,"")</f>
        <v/>
      </c>
    </row>
    <row r="1754" customFormat="false" ht="15" hidden="false" customHeight="false" outlineLevel="0" collapsed="false">
      <c r="F1754" s="15"/>
      <c r="N1754" s="16" t="str">
        <f aca="false">IF($D1754="","",M1754*Y1754/100)</f>
        <v/>
      </c>
      <c r="V1754" s="16" t="str">
        <f aca="false">IF($D1754="","",Y1754*AB1754/100)</f>
        <v/>
      </c>
      <c r="W1754" s="16" t="str">
        <f aca="false">IF($D1754="","",Y1754-V1754)</f>
        <v/>
      </c>
      <c r="X1754" s="16" t="str">
        <f aca="false">IF($D1754="","",W1754-N1754)</f>
        <v/>
      </c>
      <c r="AB1754" s="17" t="str">
        <f aca="false">IF($D1754="","",IF(OR($R1754=TRUE(),$R1754="TRUE"),Settings!$C$6,Settings!$C$7)*100)</f>
        <v/>
      </c>
      <c r="AH1754" s="18" t="str">
        <f aca="false">IF($D1754="","",IF(COUNTIF($D$2:$D1754,$D1754)=1,1,0))</f>
        <v/>
      </c>
      <c r="AI1754" s="18" t="str">
        <f aca="false">IF($AH1754=1,SUMPRODUCT(--($AK$2:$AK$4001&lt;$AK1754))+1,"")</f>
        <v/>
      </c>
      <c r="AJ1754" s="18" t="str">
        <f aca="false">IF($D1754="","",IF(OR($R1754=TRUE(),$R1754="TRUE"),1,0))</f>
        <v/>
      </c>
      <c r="AK1754" s="18" t="str">
        <f aca="false">IF($AH1754=1,IFERROR(VALUE(MID($D1754,2,20)),1000000000)+ROW()/10000000,"")</f>
        <v/>
      </c>
    </row>
    <row r="1755" customFormat="false" ht="15" hidden="false" customHeight="false" outlineLevel="0" collapsed="false">
      <c r="F1755" s="15"/>
      <c r="N1755" s="16" t="str">
        <f aca="false">IF($D1755="","",M1755*Y1755/100)</f>
        <v/>
      </c>
      <c r="V1755" s="16" t="str">
        <f aca="false">IF($D1755="","",Y1755*AB1755/100)</f>
        <v/>
      </c>
      <c r="W1755" s="16" t="str">
        <f aca="false">IF($D1755="","",Y1755-V1755)</f>
        <v/>
      </c>
      <c r="X1755" s="16" t="str">
        <f aca="false">IF($D1755="","",W1755-N1755)</f>
        <v/>
      </c>
      <c r="AB1755" s="17" t="str">
        <f aca="false">IF($D1755="","",IF(OR($R1755=TRUE(),$R1755="TRUE"),Settings!$C$6,Settings!$C$7)*100)</f>
        <v/>
      </c>
      <c r="AH1755" s="18" t="str">
        <f aca="false">IF($D1755="","",IF(COUNTIF($D$2:$D1755,$D1755)=1,1,0))</f>
        <v/>
      </c>
      <c r="AI1755" s="18" t="str">
        <f aca="false">IF($AH1755=1,SUMPRODUCT(--($AK$2:$AK$4001&lt;$AK1755))+1,"")</f>
        <v/>
      </c>
      <c r="AJ1755" s="18" t="str">
        <f aca="false">IF($D1755="","",IF(OR($R1755=TRUE(),$R1755="TRUE"),1,0))</f>
        <v/>
      </c>
      <c r="AK1755" s="18" t="str">
        <f aca="false">IF($AH1755=1,IFERROR(VALUE(MID($D1755,2,20)),1000000000)+ROW()/10000000,"")</f>
        <v/>
      </c>
    </row>
    <row r="1756" customFormat="false" ht="15" hidden="false" customHeight="false" outlineLevel="0" collapsed="false">
      <c r="F1756" s="15"/>
      <c r="N1756" s="16" t="str">
        <f aca="false">IF($D1756="","",M1756*Y1756/100)</f>
        <v/>
      </c>
      <c r="V1756" s="16" t="str">
        <f aca="false">IF($D1756="","",Y1756*AB1756/100)</f>
        <v/>
      </c>
      <c r="W1756" s="16" t="str">
        <f aca="false">IF($D1756="","",Y1756-V1756)</f>
        <v/>
      </c>
      <c r="X1756" s="16" t="str">
        <f aca="false">IF($D1756="","",W1756-N1756)</f>
        <v/>
      </c>
      <c r="AB1756" s="17" t="str">
        <f aca="false">IF($D1756="","",IF(OR($R1756=TRUE(),$R1756="TRUE"),Settings!$C$6,Settings!$C$7)*100)</f>
        <v/>
      </c>
      <c r="AH1756" s="18" t="str">
        <f aca="false">IF($D1756="","",IF(COUNTIF($D$2:$D1756,$D1756)=1,1,0))</f>
        <v/>
      </c>
      <c r="AI1756" s="18" t="str">
        <f aca="false">IF($AH1756=1,SUMPRODUCT(--($AK$2:$AK$4001&lt;$AK1756))+1,"")</f>
        <v/>
      </c>
      <c r="AJ1756" s="18" t="str">
        <f aca="false">IF($D1756="","",IF(OR($R1756=TRUE(),$R1756="TRUE"),1,0))</f>
        <v/>
      </c>
      <c r="AK1756" s="18" t="str">
        <f aca="false">IF($AH1756=1,IFERROR(VALUE(MID($D1756,2,20)),1000000000)+ROW()/10000000,"")</f>
        <v/>
      </c>
    </row>
    <row r="1757" customFormat="false" ht="15" hidden="false" customHeight="false" outlineLevel="0" collapsed="false">
      <c r="F1757" s="15"/>
      <c r="N1757" s="16" t="str">
        <f aca="false">IF($D1757="","",M1757*Y1757/100)</f>
        <v/>
      </c>
      <c r="V1757" s="16" t="str">
        <f aca="false">IF($D1757="","",Y1757*AB1757/100)</f>
        <v/>
      </c>
      <c r="W1757" s="16" t="str">
        <f aca="false">IF($D1757="","",Y1757-V1757)</f>
        <v/>
      </c>
      <c r="X1757" s="16" t="str">
        <f aca="false">IF($D1757="","",W1757-N1757)</f>
        <v/>
      </c>
      <c r="AB1757" s="17" t="str">
        <f aca="false">IF($D1757="","",IF(OR($R1757=TRUE(),$R1757="TRUE"),Settings!$C$6,Settings!$C$7)*100)</f>
        <v/>
      </c>
      <c r="AH1757" s="18" t="str">
        <f aca="false">IF($D1757="","",IF(COUNTIF($D$2:$D1757,$D1757)=1,1,0))</f>
        <v/>
      </c>
      <c r="AI1757" s="18" t="str">
        <f aca="false">IF($AH1757=1,SUMPRODUCT(--($AK$2:$AK$4001&lt;$AK1757))+1,"")</f>
        <v/>
      </c>
      <c r="AJ1757" s="18" t="str">
        <f aca="false">IF($D1757="","",IF(OR($R1757=TRUE(),$R1757="TRUE"),1,0))</f>
        <v/>
      </c>
      <c r="AK1757" s="18" t="str">
        <f aca="false">IF($AH1757=1,IFERROR(VALUE(MID($D1757,2,20)),1000000000)+ROW()/10000000,"")</f>
        <v/>
      </c>
    </row>
    <row r="1758" customFormat="false" ht="15" hidden="false" customHeight="false" outlineLevel="0" collapsed="false">
      <c r="F1758" s="15"/>
      <c r="N1758" s="16" t="str">
        <f aca="false">IF($D1758="","",M1758*Y1758/100)</f>
        <v/>
      </c>
      <c r="V1758" s="16" t="str">
        <f aca="false">IF($D1758="","",Y1758*AB1758/100)</f>
        <v/>
      </c>
      <c r="W1758" s="16" t="str">
        <f aca="false">IF($D1758="","",Y1758-V1758)</f>
        <v/>
      </c>
      <c r="X1758" s="16" t="str">
        <f aca="false">IF($D1758="","",W1758-N1758)</f>
        <v/>
      </c>
      <c r="AB1758" s="17" t="str">
        <f aca="false">IF($D1758="","",IF(OR($R1758=TRUE(),$R1758="TRUE"),Settings!$C$6,Settings!$C$7)*100)</f>
        <v/>
      </c>
      <c r="AH1758" s="18" t="str">
        <f aca="false">IF($D1758="","",IF(COUNTIF($D$2:$D1758,$D1758)=1,1,0))</f>
        <v/>
      </c>
      <c r="AI1758" s="18" t="str">
        <f aca="false">IF($AH1758=1,SUMPRODUCT(--($AK$2:$AK$4001&lt;$AK1758))+1,"")</f>
        <v/>
      </c>
      <c r="AJ1758" s="18" t="str">
        <f aca="false">IF($D1758="","",IF(OR($R1758=TRUE(),$R1758="TRUE"),1,0))</f>
        <v/>
      </c>
      <c r="AK1758" s="18" t="str">
        <f aca="false">IF($AH1758=1,IFERROR(VALUE(MID($D1758,2,20)),1000000000)+ROW()/10000000,"")</f>
        <v/>
      </c>
    </row>
    <row r="1759" customFormat="false" ht="15" hidden="false" customHeight="false" outlineLevel="0" collapsed="false">
      <c r="F1759" s="15"/>
      <c r="N1759" s="16" t="str">
        <f aca="false">IF($D1759="","",M1759*Y1759/100)</f>
        <v/>
      </c>
      <c r="V1759" s="16" t="str">
        <f aca="false">IF($D1759="","",Y1759*AB1759/100)</f>
        <v/>
      </c>
      <c r="W1759" s="16" t="str">
        <f aca="false">IF($D1759="","",Y1759-V1759)</f>
        <v/>
      </c>
      <c r="X1759" s="16" t="str">
        <f aca="false">IF($D1759="","",W1759-N1759)</f>
        <v/>
      </c>
      <c r="AB1759" s="17" t="str">
        <f aca="false">IF($D1759="","",IF(OR($R1759=TRUE(),$R1759="TRUE"),Settings!$C$6,Settings!$C$7)*100)</f>
        <v/>
      </c>
      <c r="AH1759" s="18" t="str">
        <f aca="false">IF($D1759="","",IF(COUNTIF($D$2:$D1759,$D1759)=1,1,0))</f>
        <v/>
      </c>
      <c r="AI1759" s="18" t="str">
        <f aca="false">IF($AH1759=1,SUMPRODUCT(--($AK$2:$AK$4001&lt;$AK1759))+1,"")</f>
        <v/>
      </c>
      <c r="AJ1759" s="18" t="str">
        <f aca="false">IF($D1759="","",IF(OR($R1759=TRUE(),$R1759="TRUE"),1,0))</f>
        <v/>
      </c>
      <c r="AK1759" s="18" t="str">
        <f aca="false">IF($AH1759=1,IFERROR(VALUE(MID($D1759,2,20)),1000000000)+ROW()/10000000,"")</f>
        <v/>
      </c>
    </row>
    <row r="1760" customFormat="false" ht="15" hidden="false" customHeight="false" outlineLevel="0" collapsed="false">
      <c r="F1760" s="15"/>
      <c r="N1760" s="16" t="str">
        <f aca="false">IF($D1760="","",M1760*Y1760/100)</f>
        <v/>
      </c>
      <c r="V1760" s="16" t="str">
        <f aca="false">IF($D1760="","",Y1760*AB1760/100)</f>
        <v/>
      </c>
      <c r="W1760" s="16" t="str">
        <f aca="false">IF($D1760="","",Y1760-V1760)</f>
        <v/>
      </c>
      <c r="X1760" s="16" t="str">
        <f aca="false">IF($D1760="","",W1760-N1760)</f>
        <v/>
      </c>
      <c r="AB1760" s="17" t="str">
        <f aca="false">IF($D1760="","",IF(OR($R1760=TRUE(),$R1760="TRUE"),Settings!$C$6,Settings!$C$7)*100)</f>
        <v/>
      </c>
      <c r="AH1760" s="18" t="str">
        <f aca="false">IF($D1760="","",IF(COUNTIF($D$2:$D1760,$D1760)=1,1,0))</f>
        <v/>
      </c>
      <c r="AI1760" s="18" t="str">
        <f aca="false">IF($AH1760=1,SUMPRODUCT(--($AK$2:$AK$4001&lt;$AK1760))+1,"")</f>
        <v/>
      </c>
      <c r="AJ1760" s="18" t="str">
        <f aca="false">IF($D1760="","",IF(OR($R1760=TRUE(),$R1760="TRUE"),1,0))</f>
        <v/>
      </c>
      <c r="AK1760" s="18" t="str">
        <f aca="false">IF($AH1760=1,IFERROR(VALUE(MID($D1760,2,20)),1000000000)+ROW()/10000000,"")</f>
        <v/>
      </c>
    </row>
    <row r="1761" customFormat="false" ht="15" hidden="false" customHeight="false" outlineLevel="0" collapsed="false">
      <c r="F1761" s="15"/>
      <c r="N1761" s="16" t="str">
        <f aca="false">IF($D1761="","",M1761*Y1761/100)</f>
        <v/>
      </c>
      <c r="V1761" s="16" t="str">
        <f aca="false">IF($D1761="","",Y1761*AB1761/100)</f>
        <v/>
      </c>
      <c r="W1761" s="16" t="str">
        <f aca="false">IF($D1761="","",Y1761-V1761)</f>
        <v/>
      </c>
      <c r="X1761" s="16" t="str">
        <f aca="false">IF($D1761="","",W1761-N1761)</f>
        <v/>
      </c>
      <c r="AB1761" s="17" t="str">
        <f aca="false">IF($D1761="","",IF(OR($R1761=TRUE(),$R1761="TRUE"),Settings!$C$6,Settings!$C$7)*100)</f>
        <v/>
      </c>
      <c r="AH1761" s="18" t="str">
        <f aca="false">IF($D1761="","",IF(COUNTIF($D$2:$D1761,$D1761)=1,1,0))</f>
        <v/>
      </c>
      <c r="AI1761" s="18" t="str">
        <f aca="false">IF($AH1761=1,SUMPRODUCT(--($AK$2:$AK$4001&lt;$AK1761))+1,"")</f>
        <v/>
      </c>
      <c r="AJ1761" s="18" t="str">
        <f aca="false">IF($D1761="","",IF(OR($R1761=TRUE(),$R1761="TRUE"),1,0))</f>
        <v/>
      </c>
      <c r="AK1761" s="18" t="str">
        <f aca="false">IF($AH1761=1,IFERROR(VALUE(MID($D1761,2,20)),1000000000)+ROW()/10000000,"")</f>
        <v/>
      </c>
    </row>
    <row r="1762" customFormat="false" ht="15" hidden="false" customHeight="false" outlineLevel="0" collapsed="false">
      <c r="F1762" s="15"/>
      <c r="N1762" s="16" t="str">
        <f aca="false">IF($D1762="","",M1762*Y1762/100)</f>
        <v/>
      </c>
      <c r="V1762" s="16" t="str">
        <f aca="false">IF($D1762="","",Y1762*AB1762/100)</f>
        <v/>
      </c>
      <c r="W1762" s="16" t="str">
        <f aca="false">IF($D1762="","",Y1762-V1762)</f>
        <v/>
      </c>
      <c r="X1762" s="16" t="str">
        <f aca="false">IF($D1762="","",W1762-N1762)</f>
        <v/>
      </c>
      <c r="AB1762" s="17" t="str">
        <f aca="false">IF($D1762="","",IF(OR($R1762=TRUE(),$R1762="TRUE"),Settings!$C$6,Settings!$C$7)*100)</f>
        <v/>
      </c>
      <c r="AH1762" s="18" t="str">
        <f aca="false">IF($D1762="","",IF(COUNTIF($D$2:$D1762,$D1762)=1,1,0))</f>
        <v/>
      </c>
      <c r="AI1762" s="18" t="str">
        <f aca="false">IF($AH1762=1,SUMPRODUCT(--($AK$2:$AK$4001&lt;$AK1762))+1,"")</f>
        <v/>
      </c>
      <c r="AJ1762" s="18" t="str">
        <f aca="false">IF($D1762="","",IF(OR($R1762=TRUE(),$R1762="TRUE"),1,0))</f>
        <v/>
      </c>
      <c r="AK1762" s="18" t="str">
        <f aca="false">IF($AH1762=1,IFERROR(VALUE(MID($D1762,2,20)),1000000000)+ROW()/10000000,"")</f>
        <v/>
      </c>
    </row>
    <row r="1763" customFormat="false" ht="15" hidden="false" customHeight="false" outlineLevel="0" collapsed="false">
      <c r="F1763" s="15"/>
      <c r="N1763" s="16" t="str">
        <f aca="false">IF($D1763="","",M1763*Y1763/100)</f>
        <v/>
      </c>
      <c r="V1763" s="16" t="str">
        <f aca="false">IF($D1763="","",Y1763*AB1763/100)</f>
        <v/>
      </c>
      <c r="W1763" s="16" t="str">
        <f aca="false">IF($D1763="","",Y1763-V1763)</f>
        <v/>
      </c>
      <c r="X1763" s="16" t="str">
        <f aca="false">IF($D1763="","",W1763-N1763)</f>
        <v/>
      </c>
      <c r="AB1763" s="17" t="str">
        <f aca="false">IF($D1763="","",IF(OR($R1763=TRUE(),$R1763="TRUE"),Settings!$C$6,Settings!$C$7)*100)</f>
        <v/>
      </c>
      <c r="AH1763" s="18" t="str">
        <f aca="false">IF($D1763="","",IF(COUNTIF($D$2:$D1763,$D1763)=1,1,0))</f>
        <v/>
      </c>
      <c r="AI1763" s="18" t="str">
        <f aca="false">IF($AH1763=1,SUMPRODUCT(--($AK$2:$AK$4001&lt;$AK1763))+1,"")</f>
        <v/>
      </c>
      <c r="AJ1763" s="18" t="str">
        <f aca="false">IF($D1763="","",IF(OR($R1763=TRUE(),$R1763="TRUE"),1,0))</f>
        <v/>
      </c>
      <c r="AK1763" s="18" t="str">
        <f aca="false">IF($AH1763=1,IFERROR(VALUE(MID($D1763,2,20)),1000000000)+ROW()/10000000,"")</f>
        <v/>
      </c>
    </row>
    <row r="1764" customFormat="false" ht="15" hidden="false" customHeight="false" outlineLevel="0" collapsed="false">
      <c r="F1764" s="15"/>
      <c r="N1764" s="16" t="str">
        <f aca="false">IF($D1764="","",M1764*Y1764/100)</f>
        <v/>
      </c>
      <c r="V1764" s="16" t="str">
        <f aca="false">IF($D1764="","",Y1764*AB1764/100)</f>
        <v/>
      </c>
      <c r="W1764" s="16" t="str">
        <f aca="false">IF($D1764="","",Y1764-V1764)</f>
        <v/>
      </c>
      <c r="X1764" s="16" t="str">
        <f aca="false">IF($D1764="","",W1764-N1764)</f>
        <v/>
      </c>
      <c r="AB1764" s="17" t="str">
        <f aca="false">IF($D1764="","",IF(OR($R1764=TRUE(),$R1764="TRUE"),Settings!$C$6,Settings!$C$7)*100)</f>
        <v/>
      </c>
      <c r="AH1764" s="18" t="str">
        <f aca="false">IF($D1764="","",IF(COUNTIF($D$2:$D1764,$D1764)=1,1,0))</f>
        <v/>
      </c>
      <c r="AI1764" s="18" t="str">
        <f aca="false">IF($AH1764=1,SUMPRODUCT(--($AK$2:$AK$4001&lt;$AK1764))+1,"")</f>
        <v/>
      </c>
      <c r="AJ1764" s="18" t="str">
        <f aca="false">IF($D1764="","",IF(OR($R1764=TRUE(),$R1764="TRUE"),1,0))</f>
        <v/>
      </c>
      <c r="AK1764" s="18" t="str">
        <f aca="false">IF($AH1764=1,IFERROR(VALUE(MID($D1764,2,20)),1000000000)+ROW()/10000000,"")</f>
        <v/>
      </c>
    </row>
    <row r="1765" customFormat="false" ht="15" hidden="false" customHeight="false" outlineLevel="0" collapsed="false">
      <c r="F1765" s="15"/>
      <c r="N1765" s="16" t="str">
        <f aca="false">IF($D1765="","",M1765*Y1765/100)</f>
        <v/>
      </c>
      <c r="V1765" s="16" t="str">
        <f aca="false">IF($D1765="","",Y1765*AB1765/100)</f>
        <v/>
      </c>
      <c r="W1765" s="16" t="str">
        <f aca="false">IF($D1765="","",Y1765-V1765)</f>
        <v/>
      </c>
      <c r="X1765" s="16" t="str">
        <f aca="false">IF($D1765="","",W1765-N1765)</f>
        <v/>
      </c>
      <c r="AB1765" s="17" t="str">
        <f aca="false">IF($D1765="","",IF(OR($R1765=TRUE(),$R1765="TRUE"),Settings!$C$6,Settings!$C$7)*100)</f>
        <v/>
      </c>
      <c r="AH1765" s="18" t="str">
        <f aca="false">IF($D1765="","",IF(COUNTIF($D$2:$D1765,$D1765)=1,1,0))</f>
        <v/>
      </c>
      <c r="AI1765" s="18" t="str">
        <f aca="false">IF($AH1765=1,SUMPRODUCT(--($AK$2:$AK$4001&lt;$AK1765))+1,"")</f>
        <v/>
      </c>
      <c r="AJ1765" s="18" t="str">
        <f aca="false">IF($D1765="","",IF(OR($R1765=TRUE(),$R1765="TRUE"),1,0))</f>
        <v/>
      </c>
      <c r="AK1765" s="18" t="str">
        <f aca="false">IF($AH1765=1,IFERROR(VALUE(MID($D1765,2,20)),1000000000)+ROW()/10000000,"")</f>
        <v/>
      </c>
    </row>
    <row r="1766" customFormat="false" ht="15" hidden="false" customHeight="false" outlineLevel="0" collapsed="false">
      <c r="F1766" s="15"/>
      <c r="N1766" s="16" t="str">
        <f aca="false">IF($D1766="","",M1766*Y1766/100)</f>
        <v/>
      </c>
      <c r="V1766" s="16" t="str">
        <f aca="false">IF($D1766="","",Y1766*AB1766/100)</f>
        <v/>
      </c>
      <c r="W1766" s="16" t="str">
        <f aca="false">IF($D1766="","",Y1766-V1766)</f>
        <v/>
      </c>
      <c r="X1766" s="16" t="str">
        <f aca="false">IF($D1766="","",W1766-N1766)</f>
        <v/>
      </c>
      <c r="AB1766" s="17" t="str">
        <f aca="false">IF($D1766="","",IF(OR($R1766=TRUE(),$R1766="TRUE"),Settings!$C$6,Settings!$C$7)*100)</f>
        <v/>
      </c>
      <c r="AH1766" s="18" t="str">
        <f aca="false">IF($D1766="","",IF(COUNTIF($D$2:$D1766,$D1766)=1,1,0))</f>
        <v/>
      </c>
      <c r="AI1766" s="18" t="str">
        <f aca="false">IF($AH1766=1,SUMPRODUCT(--($AK$2:$AK$4001&lt;$AK1766))+1,"")</f>
        <v/>
      </c>
      <c r="AJ1766" s="18" t="str">
        <f aca="false">IF($D1766="","",IF(OR($R1766=TRUE(),$R1766="TRUE"),1,0))</f>
        <v/>
      </c>
      <c r="AK1766" s="18" t="str">
        <f aca="false">IF($AH1766=1,IFERROR(VALUE(MID($D1766,2,20)),1000000000)+ROW()/10000000,"")</f>
        <v/>
      </c>
    </row>
    <row r="1767" customFormat="false" ht="15" hidden="false" customHeight="false" outlineLevel="0" collapsed="false">
      <c r="F1767" s="15"/>
      <c r="N1767" s="16" t="str">
        <f aca="false">IF($D1767="","",M1767*Y1767/100)</f>
        <v/>
      </c>
      <c r="V1767" s="16" t="str">
        <f aca="false">IF($D1767="","",Y1767*AB1767/100)</f>
        <v/>
      </c>
      <c r="W1767" s="16" t="str">
        <f aca="false">IF($D1767="","",Y1767-V1767)</f>
        <v/>
      </c>
      <c r="X1767" s="16" t="str">
        <f aca="false">IF($D1767="","",W1767-N1767)</f>
        <v/>
      </c>
      <c r="AB1767" s="17" t="str">
        <f aca="false">IF($D1767="","",IF(OR($R1767=TRUE(),$R1767="TRUE"),Settings!$C$6,Settings!$C$7)*100)</f>
        <v/>
      </c>
      <c r="AH1767" s="18" t="str">
        <f aca="false">IF($D1767="","",IF(COUNTIF($D$2:$D1767,$D1767)=1,1,0))</f>
        <v/>
      </c>
      <c r="AI1767" s="18" t="str">
        <f aca="false">IF($AH1767=1,SUMPRODUCT(--($AK$2:$AK$4001&lt;$AK1767))+1,"")</f>
        <v/>
      </c>
      <c r="AJ1767" s="18" t="str">
        <f aca="false">IF($D1767="","",IF(OR($R1767=TRUE(),$R1767="TRUE"),1,0))</f>
        <v/>
      </c>
      <c r="AK1767" s="18" t="str">
        <f aca="false">IF($AH1767=1,IFERROR(VALUE(MID($D1767,2,20)),1000000000)+ROW()/10000000,"")</f>
        <v/>
      </c>
    </row>
    <row r="1768" customFormat="false" ht="15" hidden="false" customHeight="false" outlineLevel="0" collapsed="false">
      <c r="F1768" s="15"/>
      <c r="N1768" s="16" t="str">
        <f aca="false">IF($D1768="","",M1768*Y1768/100)</f>
        <v/>
      </c>
      <c r="V1768" s="16" t="str">
        <f aca="false">IF($D1768="","",Y1768*AB1768/100)</f>
        <v/>
      </c>
      <c r="W1768" s="16" t="str">
        <f aca="false">IF($D1768="","",Y1768-V1768)</f>
        <v/>
      </c>
      <c r="X1768" s="16" t="str">
        <f aca="false">IF($D1768="","",W1768-N1768)</f>
        <v/>
      </c>
      <c r="AB1768" s="17" t="str">
        <f aca="false">IF($D1768="","",IF(OR($R1768=TRUE(),$R1768="TRUE"),Settings!$C$6,Settings!$C$7)*100)</f>
        <v/>
      </c>
      <c r="AH1768" s="18" t="str">
        <f aca="false">IF($D1768="","",IF(COUNTIF($D$2:$D1768,$D1768)=1,1,0))</f>
        <v/>
      </c>
      <c r="AI1768" s="18" t="str">
        <f aca="false">IF($AH1768=1,SUMPRODUCT(--($AK$2:$AK$4001&lt;$AK1768))+1,"")</f>
        <v/>
      </c>
      <c r="AJ1768" s="18" t="str">
        <f aca="false">IF($D1768="","",IF(OR($R1768=TRUE(),$R1768="TRUE"),1,0))</f>
        <v/>
      </c>
      <c r="AK1768" s="18" t="str">
        <f aca="false">IF($AH1768=1,IFERROR(VALUE(MID($D1768,2,20)),1000000000)+ROW()/10000000,"")</f>
        <v/>
      </c>
    </row>
    <row r="1769" customFormat="false" ht="15" hidden="false" customHeight="false" outlineLevel="0" collapsed="false">
      <c r="F1769" s="15"/>
      <c r="N1769" s="16" t="str">
        <f aca="false">IF($D1769="","",M1769*Y1769/100)</f>
        <v/>
      </c>
      <c r="V1769" s="16" t="str">
        <f aca="false">IF($D1769="","",Y1769*AB1769/100)</f>
        <v/>
      </c>
      <c r="W1769" s="16" t="str">
        <f aca="false">IF($D1769="","",Y1769-V1769)</f>
        <v/>
      </c>
      <c r="X1769" s="16" t="str">
        <f aca="false">IF($D1769="","",W1769-N1769)</f>
        <v/>
      </c>
      <c r="AB1769" s="17" t="str">
        <f aca="false">IF($D1769="","",IF(OR($R1769=TRUE(),$R1769="TRUE"),Settings!$C$6,Settings!$C$7)*100)</f>
        <v/>
      </c>
      <c r="AH1769" s="18" t="str">
        <f aca="false">IF($D1769="","",IF(COUNTIF($D$2:$D1769,$D1769)=1,1,0))</f>
        <v/>
      </c>
      <c r="AI1769" s="18" t="str">
        <f aca="false">IF($AH1769=1,SUMPRODUCT(--($AK$2:$AK$4001&lt;$AK1769))+1,"")</f>
        <v/>
      </c>
      <c r="AJ1769" s="18" t="str">
        <f aca="false">IF($D1769="","",IF(OR($R1769=TRUE(),$R1769="TRUE"),1,0))</f>
        <v/>
      </c>
      <c r="AK1769" s="18" t="str">
        <f aca="false">IF($AH1769=1,IFERROR(VALUE(MID($D1769,2,20)),1000000000)+ROW()/10000000,"")</f>
        <v/>
      </c>
    </row>
    <row r="1770" customFormat="false" ht="15" hidden="false" customHeight="false" outlineLevel="0" collapsed="false">
      <c r="F1770" s="15"/>
      <c r="N1770" s="16" t="str">
        <f aca="false">IF($D1770="","",M1770*Y1770/100)</f>
        <v/>
      </c>
      <c r="V1770" s="16" t="str">
        <f aca="false">IF($D1770="","",Y1770*AB1770/100)</f>
        <v/>
      </c>
      <c r="W1770" s="16" t="str">
        <f aca="false">IF($D1770="","",Y1770-V1770)</f>
        <v/>
      </c>
      <c r="X1770" s="16" t="str">
        <f aca="false">IF($D1770="","",W1770-N1770)</f>
        <v/>
      </c>
      <c r="AB1770" s="17" t="str">
        <f aca="false">IF($D1770="","",IF(OR($R1770=TRUE(),$R1770="TRUE"),Settings!$C$6,Settings!$C$7)*100)</f>
        <v/>
      </c>
      <c r="AH1770" s="18" t="str">
        <f aca="false">IF($D1770="","",IF(COUNTIF($D$2:$D1770,$D1770)=1,1,0))</f>
        <v/>
      </c>
      <c r="AI1770" s="18" t="str">
        <f aca="false">IF($AH1770=1,SUMPRODUCT(--($AK$2:$AK$4001&lt;$AK1770))+1,"")</f>
        <v/>
      </c>
      <c r="AJ1770" s="18" t="str">
        <f aca="false">IF($D1770="","",IF(OR($R1770=TRUE(),$R1770="TRUE"),1,0))</f>
        <v/>
      </c>
      <c r="AK1770" s="18" t="str">
        <f aca="false">IF($AH1770=1,IFERROR(VALUE(MID($D1770,2,20)),1000000000)+ROW()/10000000,"")</f>
        <v/>
      </c>
    </row>
    <row r="1771" customFormat="false" ht="15" hidden="false" customHeight="false" outlineLevel="0" collapsed="false">
      <c r="F1771" s="15"/>
      <c r="N1771" s="16" t="str">
        <f aca="false">IF($D1771="","",M1771*Y1771/100)</f>
        <v/>
      </c>
      <c r="V1771" s="16" t="str">
        <f aca="false">IF($D1771="","",Y1771*AB1771/100)</f>
        <v/>
      </c>
      <c r="W1771" s="16" t="str">
        <f aca="false">IF($D1771="","",Y1771-V1771)</f>
        <v/>
      </c>
      <c r="X1771" s="16" t="str">
        <f aca="false">IF($D1771="","",W1771-N1771)</f>
        <v/>
      </c>
      <c r="AB1771" s="17" t="str">
        <f aca="false">IF($D1771="","",IF(OR($R1771=TRUE(),$R1771="TRUE"),Settings!$C$6,Settings!$C$7)*100)</f>
        <v/>
      </c>
      <c r="AH1771" s="18" t="str">
        <f aca="false">IF($D1771="","",IF(COUNTIF($D$2:$D1771,$D1771)=1,1,0))</f>
        <v/>
      </c>
      <c r="AI1771" s="18" t="str">
        <f aca="false">IF($AH1771=1,SUMPRODUCT(--($AK$2:$AK$4001&lt;$AK1771))+1,"")</f>
        <v/>
      </c>
      <c r="AJ1771" s="18" t="str">
        <f aca="false">IF($D1771="","",IF(OR($R1771=TRUE(),$R1771="TRUE"),1,0))</f>
        <v/>
      </c>
      <c r="AK1771" s="18" t="str">
        <f aca="false">IF($AH1771=1,IFERROR(VALUE(MID($D1771,2,20)),1000000000)+ROW()/10000000,"")</f>
        <v/>
      </c>
    </row>
    <row r="1772" customFormat="false" ht="15" hidden="false" customHeight="false" outlineLevel="0" collapsed="false">
      <c r="F1772" s="15"/>
      <c r="N1772" s="16" t="str">
        <f aca="false">IF($D1772="","",M1772*Y1772/100)</f>
        <v/>
      </c>
      <c r="V1772" s="16" t="str">
        <f aca="false">IF($D1772="","",Y1772*AB1772/100)</f>
        <v/>
      </c>
      <c r="W1772" s="16" t="str">
        <f aca="false">IF($D1772="","",Y1772-V1772)</f>
        <v/>
      </c>
      <c r="X1772" s="16" t="str">
        <f aca="false">IF($D1772="","",W1772-N1772)</f>
        <v/>
      </c>
      <c r="AB1772" s="17" t="str">
        <f aca="false">IF($D1772="","",IF(OR($R1772=TRUE(),$R1772="TRUE"),Settings!$C$6,Settings!$C$7)*100)</f>
        <v/>
      </c>
      <c r="AH1772" s="18" t="str">
        <f aca="false">IF($D1772="","",IF(COUNTIF($D$2:$D1772,$D1772)=1,1,0))</f>
        <v/>
      </c>
      <c r="AI1772" s="18" t="str">
        <f aca="false">IF($AH1772=1,SUMPRODUCT(--($AK$2:$AK$4001&lt;$AK1772))+1,"")</f>
        <v/>
      </c>
      <c r="AJ1772" s="18" t="str">
        <f aca="false">IF($D1772="","",IF(OR($R1772=TRUE(),$R1772="TRUE"),1,0))</f>
        <v/>
      </c>
      <c r="AK1772" s="18" t="str">
        <f aca="false">IF($AH1772=1,IFERROR(VALUE(MID($D1772,2,20)),1000000000)+ROW()/10000000,"")</f>
        <v/>
      </c>
    </row>
    <row r="1773" customFormat="false" ht="15" hidden="false" customHeight="false" outlineLevel="0" collapsed="false">
      <c r="F1773" s="15"/>
      <c r="N1773" s="16" t="str">
        <f aca="false">IF($D1773="","",M1773*Y1773/100)</f>
        <v/>
      </c>
      <c r="V1773" s="16" t="str">
        <f aca="false">IF($D1773="","",Y1773*AB1773/100)</f>
        <v/>
      </c>
      <c r="W1773" s="16" t="str">
        <f aca="false">IF($D1773="","",Y1773-V1773)</f>
        <v/>
      </c>
      <c r="X1773" s="16" t="str">
        <f aca="false">IF($D1773="","",W1773-N1773)</f>
        <v/>
      </c>
      <c r="AB1773" s="17" t="str">
        <f aca="false">IF($D1773="","",IF(OR($R1773=TRUE(),$R1773="TRUE"),Settings!$C$6,Settings!$C$7)*100)</f>
        <v/>
      </c>
      <c r="AH1773" s="18" t="str">
        <f aca="false">IF($D1773="","",IF(COUNTIF($D$2:$D1773,$D1773)=1,1,0))</f>
        <v/>
      </c>
      <c r="AI1773" s="18" t="str">
        <f aca="false">IF($AH1773=1,SUMPRODUCT(--($AK$2:$AK$4001&lt;$AK1773))+1,"")</f>
        <v/>
      </c>
      <c r="AJ1773" s="18" t="str">
        <f aca="false">IF($D1773="","",IF(OR($R1773=TRUE(),$R1773="TRUE"),1,0))</f>
        <v/>
      </c>
      <c r="AK1773" s="18" t="str">
        <f aca="false">IF($AH1773=1,IFERROR(VALUE(MID($D1773,2,20)),1000000000)+ROW()/10000000,"")</f>
        <v/>
      </c>
    </row>
    <row r="1774" customFormat="false" ht="15" hidden="false" customHeight="false" outlineLevel="0" collapsed="false">
      <c r="F1774" s="15"/>
      <c r="N1774" s="16" t="str">
        <f aca="false">IF($D1774="","",M1774*Y1774/100)</f>
        <v/>
      </c>
      <c r="V1774" s="16" t="str">
        <f aca="false">IF($D1774="","",Y1774*AB1774/100)</f>
        <v/>
      </c>
      <c r="W1774" s="16" t="str">
        <f aca="false">IF($D1774="","",Y1774-V1774)</f>
        <v/>
      </c>
      <c r="X1774" s="16" t="str">
        <f aca="false">IF($D1774="","",W1774-N1774)</f>
        <v/>
      </c>
      <c r="AB1774" s="17" t="str">
        <f aca="false">IF($D1774="","",IF(OR($R1774=TRUE(),$R1774="TRUE"),Settings!$C$6,Settings!$C$7)*100)</f>
        <v/>
      </c>
      <c r="AH1774" s="18" t="str">
        <f aca="false">IF($D1774="","",IF(COUNTIF($D$2:$D1774,$D1774)=1,1,0))</f>
        <v/>
      </c>
      <c r="AI1774" s="18" t="str">
        <f aca="false">IF($AH1774=1,SUMPRODUCT(--($AK$2:$AK$4001&lt;$AK1774))+1,"")</f>
        <v/>
      </c>
      <c r="AJ1774" s="18" t="str">
        <f aca="false">IF($D1774="","",IF(OR($R1774=TRUE(),$R1774="TRUE"),1,0))</f>
        <v/>
      </c>
      <c r="AK1774" s="18" t="str">
        <f aca="false">IF($AH1774=1,IFERROR(VALUE(MID($D1774,2,20)),1000000000)+ROW()/10000000,"")</f>
        <v/>
      </c>
    </row>
    <row r="1775" customFormat="false" ht="15" hidden="false" customHeight="false" outlineLevel="0" collapsed="false">
      <c r="F1775" s="15"/>
      <c r="N1775" s="16" t="str">
        <f aca="false">IF($D1775="","",M1775*Y1775/100)</f>
        <v/>
      </c>
      <c r="V1775" s="16" t="str">
        <f aca="false">IF($D1775="","",Y1775*AB1775/100)</f>
        <v/>
      </c>
      <c r="W1775" s="16" t="str">
        <f aca="false">IF($D1775="","",Y1775-V1775)</f>
        <v/>
      </c>
      <c r="X1775" s="16" t="str">
        <f aca="false">IF($D1775="","",W1775-N1775)</f>
        <v/>
      </c>
      <c r="AB1775" s="17" t="str">
        <f aca="false">IF($D1775="","",IF(OR($R1775=TRUE(),$R1775="TRUE"),Settings!$C$6,Settings!$C$7)*100)</f>
        <v/>
      </c>
      <c r="AH1775" s="18" t="str">
        <f aca="false">IF($D1775="","",IF(COUNTIF($D$2:$D1775,$D1775)=1,1,0))</f>
        <v/>
      </c>
      <c r="AI1775" s="18" t="str">
        <f aca="false">IF($AH1775=1,SUMPRODUCT(--($AK$2:$AK$4001&lt;$AK1775))+1,"")</f>
        <v/>
      </c>
      <c r="AJ1775" s="18" t="str">
        <f aca="false">IF($D1775="","",IF(OR($R1775=TRUE(),$R1775="TRUE"),1,0))</f>
        <v/>
      </c>
      <c r="AK1775" s="18" t="str">
        <f aca="false">IF($AH1775=1,IFERROR(VALUE(MID($D1775,2,20)),1000000000)+ROW()/10000000,"")</f>
        <v/>
      </c>
    </row>
    <row r="1776" customFormat="false" ht="15" hidden="false" customHeight="false" outlineLevel="0" collapsed="false">
      <c r="F1776" s="15"/>
      <c r="N1776" s="16" t="str">
        <f aca="false">IF($D1776="","",M1776*Y1776/100)</f>
        <v/>
      </c>
      <c r="V1776" s="16" t="str">
        <f aca="false">IF($D1776="","",Y1776*AB1776/100)</f>
        <v/>
      </c>
      <c r="W1776" s="16" t="str">
        <f aca="false">IF($D1776="","",Y1776-V1776)</f>
        <v/>
      </c>
      <c r="X1776" s="16" t="str">
        <f aca="false">IF($D1776="","",W1776-N1776)</f>
        <v/>
      </c>
      <c r="AB1776" s="17" t="str">
        <f aca="false">IF($D1776="","",IF(OR($R1776=TRUE(),$R1776="TRUE"),Settings!$C$6,Settings!$C$7)*100)</f>
        <v/>
      </c>
      <c r="AH1776" s="18" t="str">
        <f aca="false">IF($D1776="","",IF(COUNTIF($D$2:$D1776,$D1776)=1,1,0))</f>
        <v/>
      </c>
      <c r="AI1776" s="18" t="str">
        <f aca="false">IF($AH1776=1,SUMPRODUCT(--($AK$2:$AK$4001&lt;$AK1776))+1,"")</f>
        <v/>
      </c>
      <c r="AJ1776" s="18" t="str">
        <f aca="false">IF($D1776="","",IF(OR($R1776=TRUE(),$R1776="TRUE"),1,0))</f>
        <v/>
      </c>
      <c r="AK1776" s="18" t="str">
        <f aca="false">IF($AH1776=1,IFERROR(VALUE(MID($D1776,2,20)),1000000000)+ROW()/10000000,"")</f>
        <v/>
      </c>
    </row>
    <row r="1777" customFormat="false" ht="15" hidden="false" customHeight="false" outlineLevel="0" collapsed="false">
      <c r="F1777" s="15"/>
      <c r="N1777" s="16" t="str">
        <f aca="false">IF($D1777="","",M1777*Y1777/100)</f>
        <v/>
      </c>
      <c r="V1777" s="16" t="str">
        <f aca="false">IF($D1777="","",Y1777*AB1777/100)</f>
        <v/>
      </c>
      <c r="W1777" s="16" t="str">
        <f aca="false">IF($D1777="","",Y1777-V1777)</f>
        <v/>
      </c>
      <c r="X1777" s="16" t="str">
        <f aca="false">IF($D1777="","",W1777-N1777)</f>
        <v/>
      </c>
      <c r="AB1777" s="17" t="str">
        <f aca="false">IF($D1777="","",IF(OR($R1777=TRUE(),$R1777="TRUE"),Settings!$C$6,Settings!$C$7)*100)</f>
        <v/>
      </c>
      <c r="AH1777" s="18" t="str">
        <f aca="false">IF($D1777="","",IF(COUNTIF($D$2:$D1777,$D1777)=1,1,0))</f>
        <v/>
      </c>
      <c r="AI1777" s="18" t="str">
        <f aca="false">IF($AH1777=1,SUMPRODUCT(--($AK$2:$AK$4001&lt;$AK1777))+1,"")</f>
        <v/>
      </c>
      <c r="AJ1777" s="18" t="str">
        <f aca="false">IF($D1777="","",IF(OR($R1777=TRUE(),$R1777="TRUE"),1,0))</f>
        <v/>
      </c>
      <c r="AK1777" s="18" t="str">
        <f aca="false">IF($AH1777=1,IFERROR(VALUE(MID($D1777,2,20)),1000000000)+ROW()/10000000,"")</f>
        <v/>
      </c>
    </row>
    <row r="1778" customFormat="false" ht="15" hidden="false" customHeight="false" outlineLevel="0" collapsed="false">
      <c r="F1778" s="15"/>
      <c r="N1778" s="16" t="str">
        <f aca="false">IF($D1778="","",M1778*Y1778/100)</f>
        <v/>
      </c>
      <c r="V1778" s="16" t="str">
        <f aca="false">IF($D1778="","",Y1778*AB1778/100)</f>
        <v/>
      </c>
      <c r="W1778" s="16" t="str">
        <f aca="false">IF($D1778="","",Y1778-V1778)</f>
        <v/>
      </c>
      <c r="X1778" s="16" t="str">
        <f aca="false">IF($D1778="","",W1778-N1778)</f>
        <v/>
      </c>
      <c r="AB1778" s="17" t="str">
        <f aca="false">IF($D1778="","",IF(OR($R1778=TRUE(),$R1778="TRUE"),Settings!$C$6,Settings!$C$7)*100)</f>
        <v/>
      </c>
      <c r="AH1778" s="18" t="str">
        <f aca="false">IF($D1778="","",IF(COUNTIF($D$2:$D1778,$D1778)=1,1,0))</f>
        <v/>
      </c>
      <c r="AI1778" s="18" t="str">
        <f aca="false">IF($AH1778=1,SUMPRODUCT(--($AK$2:$AK$4001&lt;$AK1778))+1,"")</f>
        <v/>
      </c>
      <c r="AJ1778" s="18" t="str">
        <f aca="false">IF($D1778="","",IF(OR($R1778=TRUE(),$R1778="TRUE"),1,0))</f>
        <v/>
      </c>
      <c r="AK1778" s="18" t="str">
        <f aca="false">IF($AH1778=1,IFERROR(VALUE(MID($D1778,2,20)),1000000000)+ROW()/10000000,"")</f>
        <v/>
      </c>
    </row>
    <row r="1779" customFormat="false" ht="15" hidden="false" customHeight="false" outlineLevel="0" collapsed="false">
      <c r="F1779" s="15"/>
      <c r="N1779" s="16" t="str">
        <f aca="false">IF($D1779="","",M1779*Y1779/100)</f>
        <v/>
      </c>
      <c r="V1779" s="16" t="str">
        <f aca="false">IF($D1779="","",Y1779*AB1779/100)</f>
        <v/>
      </c>
      <c r="W1779" s="16" t="str">
        <f aca="false">IF($D1779="","",Y1779-V1779)</f>
        <v/>
      </c>
      <c r="X1779" s="16" t="str">
        <f aca="false">IF($D1779="","",W1779-N1779)</f>
        <v/>
      </c>
      <c r="AB1779" s="17" t="str">
        <f aca="false">IF($D1779="","",IF(OR($R1779=TRUE(),$R1779="TRUE"),Settings!$C$6,Settings!$C$7)*100)</f>
        <v/>
      </c>
      <c r="AH1779" s="18" t="str">
        <f aca="false">IF($D1779="","",IF(COUNTIF($D$2:$D1779,$D1779)=1,1,0))</f>
        <v/>
      </c>
      <c r="AI1779" s="18" t="str">
        <f aca="false">IF($AH1779=1,SUMPRODUCT(--($AK$2:$AK$4001&lt;$AK1779))+1,"")</f>
        <v/>
      </c>
      <c r="AJ1779" s="18" t="str">
        <f aca="false">IF($D1779="","",IF(OR($R1779=TRUE(),$R1779="TRUE"),1,0))</f>
        <v/>
      </c>
      <c r="AK1779" s="18" t="str">
        <f aca="false">IF($AH1779=1,IFERROR(VALUE(MID($D1779,2,20)),1000000000)+ROW()/10000000,"")</f>
        <v/>
      </c>
    </row>
    <row r="1780" customFormat="false" ht="15" hidden="false" customHeight="false" outlineLevel="0" collapsed="false">
      <c r="F1780" s="15"/>
      <c r="N1780" s="16" t="str">
        <f aca="false">IF($D1780="","",M1780*Y1780/100)</f>
        <v/>
      </c>
      <c r="V1780" s="16" t="str">
        <f aca="false">IF($D1780="","",Y1780*AB1780/100)</f>
        <v/>
      </c>
      <c r="W1780" s="16" t="str">
        <f aca="false">IF($D1780="","",Y1780-V1780)</f>
        <v/>
      </c>
      <c r="X1780" s="16" t="str">
        <f aca="false">IF($D1780="","",W1780-N1780)</f>
        <v/>
      </c>
      <c r="AB1780" s="17" t="str">
        <f aca="false">IF($D1780="","",IF(OR($R1780=TRUE(),$R1780="TRUE"),Settings!$C$6,Settings!$C$7)*100)</f>
        <v/>
      </c>
      <c r="AH1780" s="18" t="str">
        <f aca="false">IF($D1780="","",IF(COUNTIF($D$2:$D1780,$D1780)=1,1,0))</f>
        <v/>
      </c>
      <c r="AI1780" s="18" t="str">
        <f aca="false">IF($AH1780=1,SUMPRODUCT(--($AK$2:$AK$4001&lt;$AK1780))+1,"")</f>
        <v/>
      </c>
      <c r="AJ1780" s="18" t="str">
        <f aca="false">IF($D1780="","",IF(OR($R1780=TRUE(),$R1780="TRUE"),1,0))</f>
        <v/>
      </c>
      <c r="AK1780" s="18" t="str">
        <f aca="false">IF($AH1780=1,IFERROR(VALUE(MID($D1780,2,20)),1000000000)+ROW()/10000000,"")</f>
        <v/>
      </c>
    </row>
    <row r="1781" customFormat="false" ht="15" hidden="false" customHeight="false" outlineLevel="0" collapsed="false">
      <c r="F1781" s="15"/>
      <c r="N1781" s="16" t="str">
        <f aca="false">IF($D1781="","",M1781*Y1781/100)</f>
        <v/>
      </c>
      <c r="V1781" s="16" t="str">
        <f aca="false">IF($D1781="","",Y1781*AB1781/100)</f>
        <v/>
      </c>
      <c r="W1781" s="16" t="str">
        <f aca="false">IF($D1781="","",Y1781-V1781)</f>
        <v/>
      </c>
      <c r="X1781" s="16" t="str">
        <f aca="false">IF($D1781="","",W1781-N1781)</f>
        <v/>
      </c>
      <c r="AB1781" s="17" t="str">
        <f aca="false">IF($D1781="","",IF(OR($R1781=TRUE(),$R1781="TRUE"),Settings!$C$6,Settings!$C$7)*100)</f>
        <v/>
      </c>
      <c r="AH1781" s="18" t="str">
        <f aca="false">IF($D1781="","",IF(COUNTIF($D$2:$D1781,$D1781)=1,1,0))</f>
        <v/>
      </c>
      <c r="AI1781" s="18" t="str">
        <f aca="false">IF($AH1781=1,SUMPRODUCT(--($AK$2:$AK$4001&lt;$AK1781))+1,"")</f>
        <v/>
      </c>
      <c r="AJ1781" s="18" t="str">
        <f aca="false">IF($D1781="","",IF(OR($R1781=TRUE(),$R1781="TRUE"),1,0))</f>
        <v/>
      </c>
      <c r="AK1781" s="18" t="str">
        <f aca="false">IF($AH1781=1,IFERROR(VALUE(MID($D1781,2,20)),1000000000)+ROW()/10000000,"")</f>
        <v/>
      </c>
    </row>
    <row r="1782" customFormat="false" ht="15" hidden="false" customHeight="false" outlineLevel="0" collapsed="false">
      <c r="F1782" s="15"/>
      <c r="N1782" s="16" t="str">
        <f aca="false">IF($D1782="","",M1782*Y1782/100)</f>
        <v/>
      </c>
      <c r="V1782" s="16" t="str">
        <f aca="false">IF($D1782="","",Y1782*AB1782/100)</f>
        <v/>
      </c>
      <c r="W1782" s="16" t="str">
        <f aca="false">IF($D1782="","",Y1782-V1782)</f>
        <v/>
      </c>
      <c r="X1782" s="16" t="str">
        <f aca="false">IF($D1782="","",W1782-N1782)</f>
        <v/>
      </c>
      <c r="AB1782" s="17" t="str">
        <f aca="false">IF($D1782="","",IF(OR($R1782=TRUE(),$R1782="TRUE"),Settings!$C$6,Settings!$C$7)*100)</f>
        <v/>
      </c>
      <c r="AH1782" s="18" t="str">
        <f aca="false">IF($D1782="","",IF(COUNTIF($D$2:$D1782,$D1782)=1,1,0))</f>
        <v/>
      </c>
      <c r="AI1782" s="18" t="str">
        <f aca="false">IF($AH1782=1,SUMPRODUCT(--($AK$2:$AK$4001&lt;$AK1782))+1,"")</f>
        <v/>
      </c>
      <c r="AJ1782" s="18" t="str">
        <f aca="false">IF($D1782="","",IF(OR($R1782=TRUE(),$R1782="TRUE"),1,0))</f>
        <v/>
      </c>
      <c r="AK1782" s="18" t="str">
        <f aca="false">IF($AH1782=1,IFERROR(VALUE(MID($D1782,2,20)),1000000000)+ROW()/10000000,"")</f>
        <v/>
      </c>
    </row>
    <row r="1783" customFormat="false" ht="15" hidden="false" customHeight="false" outlineLevel="0" collapsed="false">
      <c r="F1783" s="15"/>
      <c r="N1783" s="16" t="str">
        <f aca="false">IF($D1783="","",M1783*Y1783/100)</f>
        <v/>
      </c>
      <c r="V1783" s="16" t="str">
        <f aca="false">IF($D1783="","",Y1783*AB1783/100)</f>
        <v/>
      </c>
      <c r="W1783" s="16" t="str">
        <f aca="false">IF($D1783="","",Y1783-V1783)</f>
        <v/>
      </c>
      <c r="X1783" s="16" t="str">
        <f aca="false">IF($D1783="","",W1783-N1783)</f>
        <v/>
      </c>
      <c r="AB1783" s="17" t="str">
        <f aca="false">IF($D1783="","",IF(OR($R1783=TRUE(),$R1783="TRUE"),Settings!$C$6,Settings!$C$7)*100)</f>
        <v/>
      </c>
      <c r="AH1783" s="18" t="str">
        <f aca="false">IF($D1783="","",IF(COUNTIF($D$2:$D1783,$D1783)=1,1,0))</f>
        <v/>
      </c>
      <c r="AI1783" s="18" t="str">
        <f aca="false">IF($AH1783=1,SUMPRODUCT(--($AK$2:$AK$4001&lt;$AK1783))+1,"")</f>
        <v/>
      </c>
      <c r="AJ1783" s="18" t="str">
        <f aca="false">IF($D1783="","",IF(OR($R1783=TRUE(),$R1783="TRUE"),1,0))</f>
        <v/>
      </c>
      <c r="AK1783" s="18" t="str">
        <f aca="false">IF($AH1783=1,IFERROR(VALUE(MID($D1783,2,20)),1000000000)+ROW()/10000000,"")</f>
        <v/>
      </c>
    </row>
    <row r="1784" customFormat="false" ht="15" hidden="false" customHeight="false" outlineLevel="0" collapsed="false">
      <c r="F1784" s="15"/>
      <c r="N1784" s="16" t="str">
        <f aca="false">IF($D1784="","",M1784*Y1784/100)</f>
        <v/>
      </c>
      <c r="V1784" s="16" t="str">
        <f aca="false">IF($D1784="","",Y1784*AB1784/100)</f>
        <v/>
      </c>
      <c r="W1784" s="16" t="str">
        <f aca="false">IF($D1784="","",Y1784-V1784)</f>
        <v/>
      </c>
      <c r="X1784" s="16" t="str">
        <f aca="false">IF($D1784="","",W1784-N1784)</f>
        <v/>
      </c>
      <c r="AB1784" s="17" t="str">
        <f aca="false">IF($D1784="","",IF(OR($R1784=TRUE(),$R1784="TRUE"),Settings!$C$6,Settings!$C$7)*100)</f>
        <v/>
      </c>
      <c r="AH1784" s="18" t="str">
        <f aca="false">IF($D1784="","",IF(COUNTIF($D$2:$D1784,$D1784)=1,1,0))</f>
        <v/>
      </c>
      <c r="AI1784" s="18" t="str">
        <f aca="false">IF($AH1784=1,SUMPRODUCT(--($AK$2:$AK$4001&lt;$AK1784))+1,"")</f>
        <v/>
      </c>
      <c r="AJ1784" s="18" t="str">
        <f aca="false">IF($D1784="","",IF(OR($R1784=TRUE(),$R1784="TRUE"),1,0))</f>
        <v/>
      </c>
      <c r="AK1784" s="18" t="str">
        <f aca="false">IF($AH1784=1,IFERROR(VALUE(MID($D1784,2,20)),1000000000)+ROW()/10000000,"")</f>
        <v/>
      </c>
    </row>
    <row r="1785" customFormat="false" ht="15" hidden="false" customHeight="false" outlineLevel="0" collapsed="false">
      <c r="F1785" s="15"/>
      <c r="N1785" s="16" t="str">
        <f aca="false">IF($D1785="","",M1785*Y1785/100)</f>
        <v/>
      </c>
      <c r="V1785" s="16" t="str">
        <f aca="false">IF($D1785="","",Y1785*AB1785/100)</f>
        <v/>
      </c>
      <c r="W1785" s="16" t="str">
        <f aca="false">IF($D1785="","",Y1785-V1785)</f>
        <v/>
      </c>
      <c r="X1785" s="16" t="str">
        <f aca="false">IF($D1785="","",W1785-N1785)</f>
        <v/>
      </c>
      <c r="AB1785" s="17" t="str">
        <f aca="false">IF($D1785="","",IF(OR($R1785=TRUE(),$R1785="TRUE"),Settings!$C$6,Settings!$C$7)*100)</f>
        <v/>
      </c>
      <c r="AH1785" s="18" t="str">
        <f aca="false">IF($D1785="","",IF(COUNTIF($D$2:$D1785,$D1785)=1,1,0))</f>
        <v/>
      </c>
      <c r="AI1785" s="18" t="str">
        <f aca="false">IF($AH1785=1,SUMPRODUCT(--($AK$2:$AK$4001&lt;$AK1785))+1,"")</f>
        <v/>
      </c>
      <c r="AJ1785" s="18" t="str">
        <f aca="false">IF($D1785="","",IF(OR($R1785=TRUE(),$R1785="TRUE"),1,0))</f>
        <v/>
      </c>
      <c r="AK1785" s="18" t="str">
        <f aca="false">IF($AH1785=1,IFERROR(VALUE(MID($D1785,2,20)),1000000000)+ROW()/10000000,"")</f>
        <v/>
      </c>
    </row>
    <row r="1786" customFormat="false" ht="15" hidden="false" customHeight="false" outlineLevel="0" collapsed="false">
      <c r="F1786" s="15"/>
      <c r="N1786" s="16" t="str">
        <f aca="false">IF($D1786="","",M1786*Y1786/100)</f>
        <v/>
      </c>
      <c r="V1786" s="16" t="str">
        <f aca="false">IF($D1786="","",Y1786*AB1786/100)</f>
        <v/>
      </c>
      <c r="W1786" s="16" t="str">
        <f aca="false">IF($D1786="","",Y1786-V1786)</f>
        <v/>
      </c>
      <c r="X1786" s="16" t="str">
        <f aca="false">IF($D1786="","",W1786-N1786)</f>
        <v/>
      </c>
      <c r="AB1786" s="17" t="str">
        <f aca="false">IF($D1786="","",IF(OR($R1786=TRUE(),$R1786="TRUE"),Settings!$C$6,Settings!$C$7)*100)</f>
        <v/>
      </c>
      <c r="AH1786" s="18" t="str">
        <f aca="false">IF($D1786="","",IF(COUNTIF($D$2:$D1786,$D1786)=1,1,0))</f>
        <v/>
      </c>
      <c r="AI1786" s="18" t="str">
        <f aca="false">IF($AH1786=1,SUMPRODUCT(--($AK$2:$AK$4001&lt;$AK1786))+1,"")</f>
        <v/>
      </c>
      <c r="AJ1786" s="18" t="str">
        <f aca="false">IF($D1786="","",IF(OR($R1786=TRUE(),$R1786="TRUE"),1,0))</f>
        <v/>
      </c>
      <c r="AK1786" s="18" t="str">
        <f aca="false">IF($AH1786=1,IFERROR(VALUE(MID($D1786,2,20)),1000000000)+ROW()/10000000,"")</f>
        <v/>
      </c>
    </row>
    <row r="1787" customFormat="false" ht="15" hidden="false" customHeight="false" outlineLevel="0" collapsed="false">
      <c r="F1787" s="15"/>
      <c r="N1787" s="16" t="str">
        <f aca="false">IF($D1787="","",M1787*Y1787/100)</f>
        <v/>
      </c>
      <c r="V1787" s="16" t="str">
        <f aca="false">IF($D1787="","",Y1787*AB1787/100)</f>
        <v/>
      </c>
      <c r="W1787" s="16" t="str">
        <f aca="false">IF($D1787="","",Y1787-V1787)</f>
        <v/>
      </c>
      <c r="X1787" s="16" t="str">
        <f aca="false">IF($D1787="","",W1787-N1787)</f>
        <v/>
      </c>
      <c r="AB1787" s="17" t="str">
        <f aca="false">IF($D1787="","",IF(OR($R1787=TRUE(),$R1787="TRUE"),Settings!$C$6,Settings!$C$7)*100)</f>
        <v/>
      </c>
      <c r="AH1787" s="18" t="str">
        <f aca="false">IF($D1787="","",IF(COUNTIF($D$2:$D1787,$D1787)=1,1,0))</f>
        <v/>
      </c>
      <c r="AI1787" s="18" t="str">
        <f aca="false">IF($AH1787=1,SUMPRODUCT(--($AK$2:$AK$4001&lt;$AK1787))+1,"")</f>
        <v/>
      </c>
      <c r="AJ1787" s="18" t="str">
        <f aca="false">IF($D1787="","",IF(OR($R1787=TRUE(),$R1787="TRUE"),1,0))</f>
        <v/>
      </c>
      <c r="AK1787" s="18" t="str">
        <f aca="false">IF($AH1787=1,IFERROR(VALUE(MID($D1787,2,20)),1000000000)+ROW()/10000000,"")</f>
        <v/>
      </c>
    </row>
    <row r="1788" customFormat="false" ht="15" hidden="false" customHeight="false" outlineLevel="0" collapsed="false">
      <c r="F1788" s="15"/>
      <c r="N1788" s="16" t="str">
        <f aca="false">IF($D1788="","",M1788*Y1788/100)</f>
        <v/>
      </c>
      <c r="V1788" s="16" t="str">
        <f aca="false">IF($D1788="","",Y1788*AB1788/100)</f>
        <v/>
      </c>
      <c r="W1788" s="16" t="str">
        <f aca="false">IF($D1788="","",Y1788-V1788)</f>
        <v/>
      </c>
      <c r="X1788" s="16" t="str">
        <f aca="false">IF($D1788="","",W1788-N1788)</f>
        <v/>
      </c>
      <c r="AB1788" s="17" t="str">
        <f aca="false">IF($D1788="","",IF(OR($R1788=TRUE(),$R1788="TRUE"),Settings!$C$6,Settings!$C$7)*100)</f>
        <v/>
      </c>
      <c r="AH1788" s="18" t="str">
        <f aca="false">IF($D1788="","",IF(COUNTIF($D$2:$D1788,$D1788)=1,1,0))</f>
        <v/>
      </c>
      <c r="AI1788" s="18" t="str">
        <f aca="false">IF($AH1788=1,SUMPRODUCT(--($AK$2:$AK$4001&lt;$AK1788))+1,"")</f>
        <v/>
      </c>
      <c r="AJ1788" s="18" t="str">
        <f aca="false">IF($D1788="","",IF(OR($R1788=TRUE(),$R1788="TRUE"),1,0))</f>
        <v/>
      </c>
      <c r="AK1788" s="18" t="str">
        <f aca="false">IF($AH1788=1,IFERROR(VALUE(MID($D1788,2,20)),1000000000)+ROW()/10000000,"")</f>
        <v/>
      </c>
    </row>
    <row r="1789" customFormat="false" ht="15" hidden="false" customHeight="false" outlineLevel="0" collapsed="false">
      <c r="F1789" s="15"/>
      <c r="N1789" s="16" t="str">
        <f aca="false">IF($D1789="","",M1789*Y1789/100)</f>
        <v/>
      </c>
      <c r="V1789" s="16" t="str">
        <f aca="false">IF($D1789="","",Y1789*AB1789/100)</f>
        <v/>
      </c>
      <c r="W1789" s="16" t="str">
        <f aca="false">IF($D1789="","",Y1789-V1789)</f>
        <v/>
      </c>
      <c r="X1789" s="16" t="str">
        <f aca="false">IF($D1789="","",W1789-N1789)</f>
        <v/>
      </c>
      <c r="AB1789" s="17" t="str">
        <f aca="false">IF($D1789="","",IF(OR($R1789=TRUE(),$R1789="TRUE"),Settings!$C$6,Settings!$C$7)*100)</f>
        <v/>
      </c>
      <c r="AH1789" s="18" t="str">
        <f aca="false">IF($D1789="","",IF(COUNTIF($D$2:$D1789,$D1789)=1,1,0))</f>
        <v/>
      </c>
      <c r="AI1789" s="18" t="str">
        <f aca="false">IF($AH1789=1,SUMPRODUCT(--($AK$2:$AK$4001&lt;$AK1789))+1,"")</f>
        <v/>
      </c>
      <c r="AJ1789" s="18" t="str">
        <f aca="false">IF($D1789="","",IF(OR($R1789=TRUE(),$R1789="TRUE"),1,0))</f>
        <v/>
      </c>
      <c r="AK1789" s="18" t="str">
        <f aca="false">IF($AH1789=1,IFERROR(VALUE(MID($D1789,2,20)),1000000000)+ROW()/10000000,"")</f>
        <v/>
      </c>
    </row>
    <row r="1790" customFormat="false" ht="15" hidden="false" customHeight="false" outlineLevel="0" collapsed="false">
      <c r="F1790" s="15"/>
      <c r="N1790" s="16" t="str">
        <f aca="false">IF($D1790="","",M1790*Y1790/100)</f>
        <v/>
      </c>
      <c r="V1790" s="16" t="str">
        <f aca="false">IF($D1790="","",Y1790*AB1790/100)</f>
        <v/>
      </c>
      <c r="W1790" s="16" t="str">
        <f aca="false">IF($D1790="","",Y1790-V1790)</f>
        <v/>
      </c>
      <c r="X1790" s="16" t="str">
        <f aca="false">IF($D1790="","",W1790-N1790)</f>
        <v/>
      </c>
      <c r="AB1790" s="17" t="str">
        <f aca="false">IF($D1790="","",IF(OR($R1790=TRUE(),$R1790="TRUE"),Settings!$C$6,Settings!$C$7)*100)</f>
        <v/>
      </c>
      <c r="AH1790" s="18" t="str">
        <f aca="false">IF($D1790="","",IF(COUNTIF($D$2:$D1790,$D1790)=1,1,0))</f>
        <v/>
      </c>
      <c r="AI1790" s="18" t="str">
        <f aca="false">IF($AH1790=1,SUMPRODUCT(--($AK$2:$AK$4001&lt;$AK1790))+1,"")</f>
        <v/>
      </c>
      <c r="AJ1790" s="18" t="str">
        <f aca="false">IF($D1790="","",IF(OR($R1790=TRUE(),$R1790="TRUE"),1,0))</f>
        <v/>
      </c>
      <c r="AK1790" s="18" t="str">
        <f aca="false">IF($AH1790=1,IFERROR(VALUE(MID($D1790,2,20)),1000000000)+ROW()/10000000,"")</f>
        <v/>
      </c>
    </row>
    <row r="1791" customFormat="false" ht="15" hidden="false" customHeight="false" outlineLevel="0" collapsed="false">
      <c r="F1791" s="15"/>
      <c r="N1791" s="16" t="str">
        <f aca="false">IF($D1791="","",M1791*Y1791/100)</f>
        <v/>
      </c>
      <c r="V1791" s="16" t="str">
        <f aca="false">IF($D1791="","",Y1791*AB1791/100)</f>
        <v/>
      </c>
      <c r="W1791" s="16" t="str">
        <f aca="false">IF($D1791="","",Y1791-V1791)</f>
        <v/>
      </c>
      <c r="X1791" s="16" t="str">
        <f aca="false">IF($D1791="","",W1791-N1791)</f>
        <v/>
      </c>
      <c r="AB1791" s="17" t="str">
        <f aca="false">IF($D1791="","",IF(OR($R1791=TRUE(),$R1791="TRUE"),Settings!$C$6,Settings!$C$7)*100)</f>
        <v/>
      </c>
      <c r="AH1791" s="18" t="str">
        <f aca="false">IF($D1791="","",IF(COUNTIF($D$2:$D1791,$D1791)=1,1,0))</f>
        <v/>
      </c>
      <c r="AI1791" s="18" t="str">
        <f aca="false">IF($AH1791=1,SUMPRODUCT(--($AK$2:$AK$4001&lt;$AK1791))+1,"")</f>
        <v/>
      </c>
      <c r="AJ1791" s="18" t="str">
        <f aca="false">IF($D1791="","",IF(OR($R1791=TRUE(),$R1791="TRUE"),1,0))</f>
        <v/>
      </c>
      <c r="AK1791" s="18" t="str">
        <f aca="false">IF($AH1791=1,IFERROR(VALUE(MID($D1791,2,20)),1000000000)+ROW()/10000000,"")</f>
        <v/>
      </c>
    </row>
    <row r="1792" customFormat="false" ht="15" hidden="false" customHeight="false" outlineLevel="0" collapsed="false">
      <c r="F1792" s="15"/>
      <c r="N1792" s="16" t="str">
        <f aca="false">IF($D1792="","",M1792*Y1792/100)</f>
        <v/>
      </c>
      <c r="V1792" s="16" t="str">
        <f aca="false">IF($D1792="","",Y1792*AB1792/100)</f>
        <v/>
      </c>
      <c r="W1792" s="16" t="str">
        <f aca="false">IF($D1792="","",Y1792-V1792)</f>
        <v/>
      </c>
      <c r="X1792" s="16" t="str">
        <f aca="false">IF($D1792="","",W1792-N1792)</f>
        <v/>
      </c>
      <c r="AB1792" s="17" t="str">
        <f aca="false">IF($D1792="","",IF(OR($R1792=TRUE(),$R1792="TRUE"),Settings!$C$6,Settings!$C$7)*100)</f>
        <v/>
      </c>
      <c r="AH1792" s="18" t="str">
        <f aca="false">IF($D1792="","",IF(COUNTIF($D$2:$D1792,$D1792)=1,1,0))</f>
        <v/>
      </c>
      <c r="AI1792" s="18" t="str">
        <f aca="false">IF($AH1792=1,SUMPRODUCT(--($AK$2:$AK$4001&lt;$AK1792))+1,"")</f>
        <v/>
      </c>
      <c r="AJ1792" s="18" t="str">
        <f aca="false">IF($D1792="","",IF(OR($R1792=TRUE(),$R1792="TRUE"),1,0))</f>
        <v/>
      </c>
      <c r="AK1792" s="18" t="str">
        <f aca="false">IF($AH1792=1,IFERROR(VALUE(MID($D1792,2,20)),1000000000)+ROW()/10000000,"")</f>
        <v/>
      </c>
    </row>
    <row r="1793" customFormat="false" ht="15" hidden="false" customHeight="false" outlineLevel="0" collapsed="false">
      <c r="F1793" s="15"/>
      <c r="N1793" s="16" t="str">
        <f aca="false">IF($D1793="","",M1793*Y1793/100)</f>
        <v/>
      </c>
      <c r="V1793" s="16" t="str">
        <f aca="false">IF($D1793="","",Y1793*AB1793/100)</f>
        <v/>
      </c>
      <c r="W1793" s="16" t="str">
        <f aca="false">IF($D1793="","",Y1793-V1793)</f>
        <v/>
      </c>
      <c r="X1793" s="16" t="str">
        <f aca="false">IF($D1793="","",W1793-N1793)</f>
        <v/>
      </c>
      <c r="AB1793" s="17" t="str">
        <f aca="false">IF($D1793="","",IF(OR($R1793=TRUE(),$R1793="TRUE"),Settings!$C$6,Settings!$C$7)*100)</f>
        <v/>
      </c>
      <c r="AH1793" s="18" t="str">
        <f aca="false">IF($D1793="","",IF(COUNTIF($D$2:$D1793,$D1793)=1,1,0))</f>
        <v/>
      </c>
      <c r="AI1793" s="18" t="str">
        <f aca="false">IF($AH1793=1,SUMPRODUCT(--($AK$2:$AK$4001&lt;$AK1793))+1,"")</f>
        <v/>
      </c>
      <c r="AJ1793" s="18" t="str">
        <f aca="false">IF($D1793="","",IF(OR($R1793=TRUE(),$R1793="TRUE"),1,0))</f>
        <v/>
      </c>
      <c r="AK1793" s="18" t="str">
        <f aca="false">IF($AH1793=1,IFERROR(VALUE(MID($D1793,2,20)),1000000000)+ROW()/10000000,"")</f>
        <v/>
      </c>
    </row>
    <row r="1794" customFormat="false" ht="15" hidden="false" customHeight="false" outlineLevel="0" collapsed="false">
      <c r="F1794" s="15"/>
      <c r="N1794" s="16" t="str">
        <f aca="false">IF($D1794="","",M1794*Y1794/100)</f>
        <v/>
      </c>
      <c r="V1794" s="16" t="str">
        <f aca="false">IF($D1794="","",Y1794*AB1794/100)</f>
        <v/>
      </c>
      <c r="W1794" s="16" t="str">
        <f aca="false">IF($D1794="","",Y1794-V1794)</f>
        <v/>
      </c>
      <c r="X1794" s="16" t="str">
        <f aca="false">IF($D1794="","",W1794-N1794)</f>
        <v/>
      </c>
      <c r="AB1794" s="17" t="str">
        <f aca="false">IF($D1794="","",IF(OR($R1794=TRUE(),$R1794="TRUE"),Settings!$C$6,Settings!$C$7)*100)</f>
        <v/>
      </c>
      <c r="AH1794" s="18" t="str">
        <f aca="false">IF($D1794="","",IF(COUNTIF($D$2:$D1794,$D1794)=1,1,0))</f>
        <v/>
      </c>
      <c r="AI1794" s="18" t="str">
        <f aca="false">IF($AH1794=1,SUMPRODUCT(--($AK$2:$AK$4001&lt;$AK1794))+1,"")</f>
        <v/>
      </c>
      <c r="AJ1794" s="18" t="str">
        <f aca="false">IF($D1794="","",IF(OR($R1794=TRUE(),$R1794="TRUE"),1,0))</f>
        <v/>
      </c>
      <c r="AK1794" s="18" t="str">
        <f aca="false">IF($AH1794=1,IFERROR(VALUE(MID($D1794,2,20)),1000000000)+ROW()/10000000,"")</f>
        <v/>
      </c>
    </row>
    <row r="1795" customFormat="false" ht="15" hidden="false" customHeight="false" outlineLevel="0" collapsed="false">
      <c r="F1795" s="15"/>
      <c r="N1795" s="16" t="str">
        <f aca="false">IF($D1795="","",M1795*Y1795/100)</f>
        <v/>
      </c>
      <c r="V1795" s="16" t="str">
        <f aca="false">IF($D1795="","",Y1795*AB1795/100)</f>
        <v/>
      </c>
      <c r="W1795" s="16" t="str">
        <f aca="false">IF($D1795="","",Y1795-V1795)</f>
        <v/>
      </c>
      <c r="X1795" s="16" t="str">
        <f aca="false">IF($D1795="","",W1795-N1795)</f>
        <v/>
      </c>
      <c r="AB1795" s="17" t="str">
        <f aca="false">IF($D1795="","",IF(OR($R1795=TRUE(),$R1795="TRUE"),Settings!$C$6,Settings!$C$7)*100)</f>
        <v/>
      </c>
      <c r="AH1795" s="18" t="str">
        <f aca="false">IF($D1795="","",IF(COUNTIF($D$2:$D1795,$D1795)=1,1,0))</f>
        <v/>
      </c>
      <c r="AI1795" s="18" t="str">
        <f aca="false">IF($AH1795=1,SUMPRODUCT(--($AK$2:$AK$4001&lt;$AK1795))+1,"")</f>
        <v/>
      </c>
      <c r="AJ1795" s="18" t="str">
        <f aca="false">IF($D1795="","",IF(OR($R1795=TRUE(),$R1795="TRUE"),1,0))</f>
        <v/>
      </c>
      <c r="AK1795" s="18" t="str">
        <f aca="false">IF($AH1795=1,IFERROR(VALUE(MID($D1795,2,20)),1000000000)+ROW()/10000000,"")</f>
        <v/>
      </c>
    </row>
    <row r="1796" customFormat="false" ht="15" hidden="false" customHeight="false" outlineLevel="0" collapsed="false">
      <c r="F1796" s="15"/>
      <c r="N1796" s="16" t="str">
        <f aca="false">IF($D1796="","",M1796*Y1796/100)</f>
        <v/>
      </c>
      <c r="V1796" s="16" t="str">
        <f aca="false">IF($D1796="","",Y1796*AB1796/100)</f>
        <v/>
      </c>
      <c r="W1796" s="16" t="str">
        <f aca="false">IF($D1796="","",Y1796-V1796)</f>
        <v/>
      </c>
      <c r="X1796" s="16" t="str">
        <f aca="false">IF($D1796="","",W1796-N1796)</f>
        <v/>
      </c>
      <c r="AB1796" s="17" t="str">
        <f aca="false">IF($D1796="","",IF(OR($R1796=TRUE(),$R1796="TRUE"),Settings!$C$6,Settings!$C$7)*100)</f>
        <v/>
      </c>
      <c r="AH1796" s="18" t="str">
        <f aca="false">IF($D1796="","",IF(COUNTIF($D$2:$D1796,$D1796)=1,1,0))</f>
        <v/>
      </c>
      <c r="AI1796" s="18" t="str">
        <f aca="false">IF($AH1796=1,SUMPRODUCT(--($AK$2:$AK$4001&lt;$AK1796))+1,"")</f>
        <v/>
      </c>
      <c r="AJ1796" s="18" t="str">
        <f aca="false">IF($D1796="","",IF(OR($R1796=TRUE(),$R1796="TRUE"),1,0))</f>
        <v/>
      </c>
      <c r="AK1796" s="18" t="str">
        <f aca="false">IF($AH1796=1,IFERROR(VALUE(MID($D1796,2,20)),1000000000)+ROW()/10000000,"")</f>
        <v/>
      </c>
    </row>
    <row r="1797" customFormat="false" ht="15" hidden="false" customHeight="false" outlineLevel="0" collapsed="false">
      <c r="F1797" s="15"/>
      <c r="N1797" s="16" t="str">
        <f aca="false">IF($D1797="","",M1797*Y1797/100)</f>
        <v/>
      </c>
      <c r="V1797" s="16" t="str">
        <f aca="false">IF($D1797="","",Y1797*AB1797/100)</f>
        <v/>
      </c>
      <c r="W1797" s="16" t="str">
        <f aca="false">IF($D1797="","",Y1797-V1797)</f>
        <v/>
      </c>
      <c r="X1797" s="16" t="str">
        <f aca="false">IF($D1797="","",W1797-N1797)</f>
        <v/>
      </c>
      <c r="AB1797" s="17" t="str">
        <f aca="false">IF($D1797="","",IF(OR($R1797=TRUE(),$R1797="TRUE"),Settings!$C$6,Settings!$C$7)*100)</f>
        <v/>
      </c>
      <c r="AH1797" s="18" t="str">
        <f aca="false">IF($D1797="","",IF(COUNTIF($D$2:$D1797,$D1797)=1,1,0))</f>
        <v/>
      </c>
      <c r="AI1797" s="18" t="str">
        <f aca="false">IF($AH1797=1,SUMPRODUCT(--($AK$2:$AK$4001&lt;$AK1797))+1,"")</f>
        <v/>
      </c>
      <c r="AJ1797" s="18" t="str">
        <f aca="false">IF($D1797="","",IF(OR($R1797=TRUE(),$R1797="TRUE"),1,0))</f>
        <v/>
      </c>
      <c r="AK1797" s="18" t="str">
        <f aca="false">IF($AH1797=1,IFERROR(VALUE(MID($D1797,2,20)),1000000000)+ROW()/10000000,"")</f>
        <v/>
      </c>
    </row>
    <row r="1798" customFormat="false" ht="15" hidden="false" customHeight="false" outlineLevel="0" collapsed="false">
      <c r="F1798" s="15"/>
      <c r="N1798" s="16" t="str">
        <f aca="false">IF($D1798="","",M1798*Y1798/100)</f>
        <v/>
      </c>
      <c r="V1798" s="16" t="str">
        <f aca="false">IF($D1798="","",Y1798*AB1798/100)</f>
        <v/>
      </c>
      <c r="W1798" s="16" t="str">
        <f aca="false">IF($D1798="","",Y1798-V1798)</f>
        <v/>
      </c>
      <c r="X1798" s="16" t="str">
        <f aca="false">IF($D1798="","",W1798-N1798)</f>
        <v/>
      </c>
      <c r="AB1798" s="17" t="str">
        <f aca="false">IF($D1798="","",IF(OR($R1798=TRUE(),$R1798="TRUE"),Settings!$C$6,Settings!$C$7)*100)</f>
        <v/>
      </c>
      <c r="AH1798" s="18" t="str">
        <f aca="false">IF($D1798="","",IF(COUNTIF($D$2:$D1798,$D1798)=1,1,0))</f>
        <v/>
      </c>
      <c r="AI1798" s="18" t="str">
        <f aca="false">IF($AH1798=1,SUMPRODUCT(--($AK$2:$AK$4001&lt;$AK1798))+1,"")</f>
        <v/>
      </c>
      <c r="AJ1798" s="18" t="str">
        <f aca="false">IF($D1798="","",IF(OR($R1798=TRUE(),$R1798="TRUE"),1,0))</f>
        <v/>
      </c>
      <c r="AK1798" s="18" t="str">
        <f aca="false">IF($AH1798=1,IFERROR(VALUE(MID($D1798,2,20)),1000000000)+ROW()/10000000,"")</f>
        <v/>
      </c>
    </row>
    <row r="1799" customFormat="false" ht="15" hidden="false" customHeight="false" outlineLevel="0" collapsed="false">
      <c r="F1799" s="15"/>
      <c r="N1799" s="16" t="str">
        <f aca="false">IF($D1799="","",M1799*Y1799/100)</f>
        <v/>
      </c>
      <c r="V1799" s="16" t="str">
        <f aca="false">IF($D1799="","",Y1799*AB1799/100)</f>
        <v/>
      </c>
      <c r="W1799" s="16" t="str">
        <f aca="false">IF($D1799="","",Y1799-V1799)</f>
        <v/>
      </c>
      <c r="X1799" s="16" t="str">
        <f aca="false">IF($D1799="","",W1799-N1799)</f>
        <v/>
      </c>
      <c r="AB1799" s="17" t="str">
        <f aca="false">IF($D1799="","",IF(OR($R1799=TRUE(),$R1799="TRUE"),Settings!$C$6,Settings!$C$7)*100)</f>
        <v/>
      </c>
      <c r="AH1799" s="18" t="str">
        <f aca="false">IF($D1799="","",IF(COUNTIF($D$2:$D1799,$D1799)=1,1,0))</f>
        <v/>
      </c>
      <c r="AI1799" s="18" t="str">
        <f aca="false">IF($AH1799=1,SUMPRODUCT(--($AK$2:$AK$4001&lt;$AK1799))+1,"")</f>
        <v/>
      </c>
      <c r="AJ1799" s="18" t="str">
        <f aca="false">IF($D1799="","",IF(OR($R1799=TRUE(),$R1799="TRUE"),1,0))</f>
        <v/>
      </c>
      <c r="AK1799" s="18" t="str">
        <f aca="false">IF($AH1799=1,IFERROR(VALUE(MID($D1799,2,20)),1000000000)+ROW()/10000000,"")</f>
        <v/>
      </c>
    </row>
    <row r="1800" customFormat="false" ht="15" hidden="false" customHeight="false" outlineLevel="0" collapsed="false">
      <c r="F1800" s="15"/>
      <c r="N1800" s="16" t="str">
        <f aca="false">IF($D1800="","",M1800*Y1800/100)</f>
        <v/>
      </c>
      <c r="V1800" s="16" t="str">
        <f aca="false">IF($D1800="","",Y1800*AB1800/100)</f>
        <v/>
      </c>
      <c r="W1800" s="16" t="str">
        <f aca="false">IF($D1800="","",Y1800-V1800)</f>
        <v/>
      </c>
      <c r="X1800" s="16" t="str">
        <f aca="false">IF($D1800="","",W1800-N1800)</f>
        <v/>
      </c>
      <c r="AB1800" s="17" t="str">
        <f aca="false">IF($D1800="","",IF(OR($R1800=TRUE(),$R1800="TRUE"),Settings!$C$6,Settings!$C$7)*100)</f>
        <v/>
      </c>
      <c r="AH1800" s="18" t="str">
        <f aca="false">IF($D1800="","",IF(COUNTIF($D$2:$D1800,$D1800)=1,1,0))</f>
        <v/>
      </c>
      <c r="AI1800" s="18" t="str">
        <f aca="false">IF($AH1800=1,SUMPRODUCT(--($AK$2:$AK$4001&lt;$AK1800))+1,"")</f>
        <v/>
      </c>
      <c r="AJ1800" s="18" t="str">
        <f aca="false">IF($D1800="","",IF(OR($R1800=TRUE(),$R1800="TRUE"),1,0))</f>
        <v/>
      </c>
      <c r="AK1800" s="18" t="str">
        <f aca="false">IF($AH1800=1,IFERROR(VALUE(MID($D1800,2,20)),1000000000)+ROW()/10000000,"")</f>
        <v/>
      </c>
    </row>
    <row r="1801" customFormat="false" ht="15" hidden="false" customHeight="false" outlineLevel="0" collapsed="false">
      <c r="F1801" s="15"/>
      <c r="N1801" s="16" t="str">
        <f aca="false">IF($D1801="","",M1801*Y1801/100)</f>
        <v/>
      </c>
      <c r="V1801" s="16" t="str">
        <f aca="false">IF($D1801="","",Y1801*AB1801/100)</f>
        <v/>
      </c>
      <c r="W1801" s="16" t="str">
        <f aca="false">IF($D1801="","",Y1801-V1801)</f>
        <v/>
      </c>
      <c r="X1801" s="16" t="str">
        <f aca="false">IF($D1801="","",W1801-N1801)</f>
        <v/>
      </c>
      <c r="AB1801" s="17" t="str">
        <f aca="false">IF($D1801="","",IF(OR($R1801=TRUE(),$R1801="TRUE"),Settings!$C$6,Settings!$C$7)*100)</f>
        <v/>
      </c>
      <c r="AH1801" s="18" t="str">
        <f aca="false">IF($D1801="","",IF(COUNTIF($D$2:$D1801,$D1801)=1,1,0))</f>
        <v/>
      </c>
      <c r="AI1801" s="18" t="str">
        <f aca="false">IF($AH1801=1,SUMPRODUCT(--($AK$2:$AK$4001&lt;$AK1801))+1,"")</f>
        <v/>
      </c>
      <c r="AJ1801" s="18" t="str">
        <f aca="false">IF($D1801="","",IF(OR($R1801=TRUE(),$R1801="TRUE"),1,0))</f>
        <v/>
      </c>
      <c r="AK1801" s="18" t="str">
        <f aca="false">IF($AH1801=1,IFERROR(VALUE(MID($D1801,2,20)),1000000000)+ROW()/10000000,"")</f>
        <v/>
      </c>
    </row>
    <row r="1802" customFormat="false" ht="15" hidden="false" customHeight="false" outlineLevel="0" collapsed="false">
      <c r="F1802" s="15"/>
      <c r="N1802" s="16" t="str">
        <f aca="false">IF($D1802="","",M1802*Y1802/100)</f>
        <v/>
      </c>
      <c r="V1802" s="16" t="str">
        <f aca="false">IF($D1802="","",Y1802*AB1802/100)</f>
        <v/>
      </c>
      <c r="W1802" s="16" t="str">
        <f aca="false">IF($D1802="","",Y1802-V1802)</f>
        <v/>
      </c>
      <c r="X1802" s="16" t="str">
        <f aca="false">IF($D1802="","",W1802-N1802)</f>
        <v/>
      </c>
      <c r="AB1802" s="17" t="str">
        <f aca="false">IF($D1802="","",IF(OR($R1802=TRUE(),$R1802="TRUE"),Settings!$C$6,Settings!$C$7)*100)</f>
        <v/>
      </c>
      <c r="AH1802" s="18" t="str">
        <f aca="false">IF($D1802="","",IF(COUNTIF($D$2:$D1802,$D1802)=1,1,0))</f>
        <v/>
      </c>
      <c r="AI1802" s="18" t="str">
        <f aca="false">IF($AH1802=1,SUMPRODUCT(--($AK$2:$AK$4001&lt;$AK1802))+1,"")</f>
        <v/>
      </c>
      <c r="AJ1802" s="18" t="str">
        <f aca="false">IF($D1802="","",IF(OR($R1802=TRUE(),$R1802="TRUE"),1,0))</f>
        <v/>
      </c>
      <c r="AK1802" s="18" t="str">
        <f aca="false">IF($AH1802=1,IFERROR(VALUE(MID($D1802,2,20)),1000000000)+ROW()/10000000,"")</f>
        <v/>
      </c>
    </row>
    <row r="1803" customFormat="false" ht="15" hidden="false" customHeight="false" outlineLevel="0" collapsed="false">
      <c r="F1803" s="15"/>
      <c r="N1803" s="16" t="str">
        <f aca="false">IF($D1803="","",M1803*Y1803/100)</f>
        <v/>
      </c>
      <c r="V1803" s="16" t="str">
        <f aca="false">IF($D1803="","",Y1803*AB1803/100)</f>
        <v/>
      </c>
      <c r="W1803" s="16" t="str">
        <f aca="false">IF($D1803="","",Y1803-V1803)</f>
        <v/>
      </c>
      <c r="X1803" s="16" t="str">
        <f aca="false">IF($D1803="","",W1803-N1803)</f>
        <v/>
      </c>
      <c r="AB1803" s="17" t="str">
        <f aca="false">IF($D1803="","",IF(OR($R1803=TRUE(),$R1803="TRUE"),Settings!$C$6,Settings!$C$7)*100)</f>
        <v/>
      </c>
      <c r="AH1803" s="18" t="str">
        <f aca="false">IF($D1803="","",IF(COUNTIF($D$2:$D1803,$D1803)=1,1,0))</f>
        <v/>
      </c>
      <c r="AI1803" s="18" t="str">
        <f aca="false">IF($AH1803=1,SUMPRODUCT(--($AK$2:$AK$4001&lt;$AK1803))+1,"")</f>
        <v/>
      </c>
      <c r="AJ1803" s="18" t="str">
        <f aca="false">IF($D1803="","",IF(OR($R1803=TRUE(),$R1803="TRUE"),1,0))</f>
        <v/>
      </c>
      <c r="AK1803" s="18" t="str">
        <f aca="false">IF($AH1803=1,IFERROR(VALUE(MID($D1803,2,20)),1000000000)+ROW()/10000000,"")</f>
        <v/>
      </c>
    </row>
    <row r="1804" customFormat="false" ht="15" hidden="false" customHeight="false" outlineLevel="0" collapsed="false">
      <c r="F1804" s="15"/>
      <c r="N1804" s="16" t="str">
        <f aca="false">IF($D1804="","",M1804*Y1804/100)</f>
        <v/>
      </c>
      <c r="V1804" s="16" t="str">
        <f aca="false">IF($D1804="","",Y1804*AB1804/100)</f>
        <v/>
      </c>
      <c r="W1804" s="16" t="str">
        <f aca="false">IF($D1804="","",Y1804-V1804)</f>
        <v/>
      </c>
      <c r="X1804" s="16" t="str">
        <f aca="false">IF($D1804="","",W1804-N1804)</f>
        <v/>
      </c>
      <c r="AB1804" s="17" t="str">
        <f aca="false">IF($D1804="","",IF(OR($R1804=TRUE(),$R1804="TRUE"),Settings!$C$6,Settings!$C$7)*100)</f>
        <v/>
      </c>
      <c r="AH1804" s="18" t="str">
        <f aca="false">IF($D1804="","",IF(COUNTIF($D$2:$D1804,$D1804)=1,1,0))</f>
        <v/>
      </c>
      <c r="AI1804" s="18" t="str">
        <f aca="false">IF($AH1804=1,SUMPRODUCT(--($AK$2:$AK$4001&lt;$AK1804))+1,"")</f>
        <v/>
      </c>
      <c r="AJ1804" s="18" t="str">
        <f aca="false">IF($D1804="","",IF(OR($R1804=TRUE(),$R1804="TRUE"),1,0))</f>
        <v/>
      </c>
      <c r="AK1804" s="18" t="str">
        <f aca="false">IF($AH1804=1,IFERROR(VALUE(MID($D1804,2,20)),1000000000)+ROW()/10000000,"")</f>
        <v/>
      </c>
    </row>
    <row r="1805" customFormat="false" ht="15" hidden="false" customHeight="false" outlineLevel="0" collapsed="false">
      <c r="F1805" s="15"/>
      <c r="N1805" s="16" t="str">
        <f aca="false">IF($D1805="","",M1805*Y1805/100)</f>
        <v/>
      </c>
      <c r="V1805" s="16" t="str">
        <f aca="false">IF($D1805="","",Y1805*AB1805/100)</f>
        <v/>
      </c>
      <c r="W1805" s="16" t="str">
        <f aca="false">IF($D1805="","",Y1805-V1805)</f>
        <v/>
      </c>
      <c r="X1805" s="16" t="str">
        <f aca="false">IF($D1805="","",W1805-N1805)</f>
        <v/>
      </c>
      <c r="AB1805" s="17" t="str">
        <f aca="false">IF($D1805="","",IF(OR($R1805=TRUE(),$R1805="TRUE"),Settings!$C$6,Settings!$C$7)*100)</f>
        <v/>
      </c>
      <c r="AH1805" s="18" t="str">
        <f aca="false">IF($D1805="","",IF(COUNTIF($D$2:$D1805,$D1805)=1,1,0))</f>
        <v/>
      </c>
      <c r="AI1805" s="18" t="str">
        <f aca="false">IF($AH1805=1,SUMPRODUCT(--($AK$2:$AK$4001&lt;$AK1805))+1,"")</f>
        <v/>
      </c>
      <c r="AJ1805" s="18" t="str">
        <f aca="false">IF($D1805="","",IF(OR($R1805=TRUE(),$R1805="TRUE"),1,0))</f>
        <v/>
      </c>
      <c r="AK1805" s="18" t="str">
        <f aca="false">IF($AH1805=1,IFERROR(VALUE(MID($D1805,2,20)),1000000000)+ROW()/10000000,"")</f>
        <v/>
      </c>
    </row>
    <row r="1806" customFormat="false" ht="15" hidden="false" customHeight="false" outlineLevel="0" collapsed="false">
      <c r="F1806" s="15"/>
      <c r="N1806" s="16" t="str">
        <f aca="false">IF($D1806="","",M1806*Y1806/100)</f>
        <v/>
      </c>
      <c r="V1806" s="16" t="str">
        <f aca="false">IF($D1806="","",Y1806*AB1806/100)</f>
        <v/>
      </c>
      <c r="W1806" s="16" t="str">
        <f aca="false">IF($D1806="","",Y1806-V1806)</f>
        <v/>
      </c>
      <c r="X1806" s="16" t="str">
        <f aca="false">IF($D1806="","",W1806-N1806)</f>
        <v/>
      </c>
      <c r="AB1806" s="17" t="str">
        <f aca="false">IF($D1806="","",IF(OR($R1806=TRUE(),$R1806="TRUE"),Settings!$C$6,Settings!$C$7)*100)</f>
        <v/>
      </c>
      <c r="AH1806" s="18" t="str">
        <f aca="false">IF($D1806="","",IF(COUNTIF($D$2:$D1806,$D1806)=1,1,0))</f>
        <v/>
      </c>
      <c r="AI1806" s="18" t="str">
        <f aca="false">IF($AH1806=1,SUMPRODUCT(--($AK$2:$AK$4001&lt;$AK1806))+1,"")</f>
        <v/>
      </c>
      <c r="AJ1806" s="18" t="str">
        <f aca="false">IF($D1806="","",IF(OR($R1806=TRUE(),$R1806="TRUE"),1,0))</f>
        <v/>
      </c>
      <c r="AK1806" s="18" t="str">
        <f aca="false">IF($AH1806=1,IFERROR(VALUE(MID($D1806,2,20)),1000000000)+ROW()/10000000,"")</f>
        <v/>
      </c>
    </row>
    <row r="1807" customFormat="false" ht="15" hidden="false" customHeight="false" outlineLevel="0" collapsed="false">
      <c r="F1807" s="15"/>
      <c r="N1807" s="16" t="str">
        <f aca="false">IF($D1807="","",M1807*Y1807/100)</f>
        <v/>
      </c>
      <c r="V1807" s="16" t="str">
        <f aca="false">IF($D1807="","",Y1807*AB1807/100)</f>
        <v/>
      </c>
      <c r="W1807" s="16" t="str">
        <f aca="false">IF($D1807="","",Y1807-V1807)</f>
        <v/>
      </c>
      <c r="X1807" s="16" t="str">
        <f aca="false">IF($D1807="","",W1807-N1807)</f>
        <v/>
      </c>
      <c r="AB1807" s="17" t="str">
        <f aca="false">IF($D1807="","",IF(OR($R1807=TRUE(),$R1807="TRUE"),Settings!$C$6,Settings!$C$7)*100)</f>
        <v/>
      </c>
      <c r="AH1807" s="18" t="str">
        <f aca="false">IF($D1807="","",IF(COUNTIF($D$2:$D1807,$D1807)=1,1,0))</f>
        <v/>
      </c>
      <c r="AI1807" s="18" t="str">
        <f aca="false">IF($AH1807=1,SUMPRODUCT(--($AK$2:$AK$4001&lt;$AK1807))+1,"")</f>
        <v/>
      </c>
      <c r="AJ1807" s="18" t="str">
        <f aca="false">IF($D1807="","",IF(OR($R1807=TRUE(),$R1807="TRUE"),1,0))</f>
        <v/>
      </c>
      <c r="AK1807" s="18" t="str">
        <f aca="false">IF($AH1807=1,IFERROR(VALUE(MID($D1807,2,20)),1000000000)+ROW()/10000000,"")</f>
        <v/>
      </c>
    </row>
    <row r="1808" customFormat="false" ht="15" hidden="false" customHeight="false" outlineLevel="0" collapsed="false">
      <c r="F1808" s="15"/>
      <c r="N1808" s="16" t="str">
        <f aca="false">IF($D1808="","",M1808*Y1808/100)</f>
        <v/>
      </c>
      <c r="V1808" s="16" t="str">
        <f aca="false">IF($D1808="","",Y1808*AB1808/100)</f>
        <v/>
      </c>
      <c r="W1808" s="16" t="str">
        <f aca="false">IF($D1808="","",Y1808-V1808)</f>
        <v/>
      </c>
      <c r="X1808" s="16" t="str">
        <f aca="false">IF($D1808="","",W1808-N1808)</f>
        <v/>
      </c>
      <c r="AB1808" s="17" t="str">
        <f aca="false">IF($D1808="","",IF(OR($R1808=TRUE(),$R1808="TRUE"),Settings!$C$6,Settings!$C$7)*100)</f>
        <v/>
      </c>
      <c r="AH1808" s="18" t="str">
        <f aca="false">IF($D1808="","",IF(COUNTIF($D$2:$D1808,$D1808)=1,1,0))</f>
        <v/>
      </c>
      <c r="AI1808" s="18" t="str">
        <f aca="false">IF($AH1808=1,SUMPRODUCT(--($AK$2:$AK$4001&lt;$AK1808))+1,"")</f>
        <v/>
      </c>
      <c r="AJ1808" s="18" t="str">
        <f aca="false">IF($D1808="","",IF(OR($R1808=TRUE(),$R1808="TRUE"),1,0))</f>
        <v/>
      </c>
      <c r="AK1808" s="18" t="str">
        <f aca="false">IF($AH1808=1,IFERROR(VALUE(MID($D1808,2,20)),1000000000)+ROW()/10000000,"")</f>
        <v/>
      </c>
    </row>
    <row r="1809" customFormat="false" ht="15" hidden="false" customHeight="false" outlineLevel="0" collapsed="false">
      <c r="F1809" s="15"/>
      <c r="N1809" s="16" t="str">
        <f aca="false">IF($D1809="","",M1809*Y1809/100)</f>
        <v/>
      </c>
      <c r="V1809" s="16" t="str">
        <f aca="false">IF($D1809="","",Y1809*AB1809/100)</f>
        <v/>
      </c>
      <c r="W1809" s="16" t="str">
        <f aca="false">IF($D1809="","",Y1809-V1809)</f>
        <v/>
      </c>
      <c r="X1809" s="16" t="str">
        <f aca="false">IF($D1809="","",W1809-N1809)</f>
        <v/>
      </c>
      <c r="AB1809" s="17" t="str">
        <f aca="false">IF($D1809="","",IF(OR($R1809=TRUE(),$R1809="TRUE"),Settings!$C$6,Settings!$C$7)*100)</f>
        <v/>
      </c>
      <c r="AH1809" s="18" t="str">
        <f aca="false">IF($D1809="","",IF(COUNTIF($D$2:$D1809,$D1809)=1,1,0))</f>
        <v/>
      </c>
      <c r="AI1809" s="18" t="str">
        <f aca="false">IF($AH1809=1,SUMPRODUCT(--($AK$2:$AK$4001&lt;$AK1809))+1,"")</f>
        <v/>
      </c>
      <c r="AJ1809" s="18" t="str">
        <f aca="false">IF($D1809="","",IF(OR($R1809=TRUE(),$R1809="TRUE"),1,0))</f>
        <v/>
      </c>
      <c r="AK1809" s="18" t="str">
        <f aca="false">IF($AH1809=1,IFERROR(VALUE(MID($D1809,2,20)),1000000000)+ROW()/10000000,"")</f>
        <v/>
      </c>
    </row>
    <row r="1810" customFormat="false" ht="15" hidden="false" customHeight="false" outlineLevel="0" collapsed="false">
      <c r="F1810" s="15"/>
      <c r="N1810" s="16" t="str">
        <f aca="false">IF($D1810="","",M1810*Y1810/100)</f>
        <v/>
      </c>
      <c r="V1810" s="16" t="str">
        <f aca="false">IF($D1810="","",Y1810*AB1810/100)</f>
        <v/>
      </c>
      <c r="W1810" s="16" t="str">
        <f aca="false">IF($D1810="","",Y1810-V1810)</f>
        <v/>
      </c>
      <c r="X1810" s="16" t="str">
        <f aca="false">IF($D1810="","",W1810-N1810)</f>
        <v/>
      </c>
      <c r="AB1810" s="17" t="str">
        <f aca="false">IF($D1810="","",IF(OR($R1810=TRUE(),$R1810="TRUE"),Settings!$C$6,Settings!$C$7)*100)</f>
        <v/>
      </c>
      <c r="AH1810" s="18" t="str">
        <f aca="false">IF($D1810="","",IF(COUNTIF($D$2:$D1810,$D1810)=1,1,0))</f>
        <v/>
      </c>
      <c r="AI1810" s="18" t="str">
        <f aca="false">IF($AH1810=1,SUMPRODUCT(--($AK$2:$AK$4001&lt;$AK1810))+1,"")</f>
        <v/>
      </c>
      <c r="AJ1810" s="18" t="str">
        <f aca="false">IF($D1810="","",IF(OR($R1810=TRUE(),$R1810="TRUE"),1,0))</f>
        <v/>
      </c>
      <c r="AK1810" s="18" t="str">
        <f aca="false">IF($AH1810=1,IFERROR(VALUE(MID($D1810,2,20)),1000000000)+ROW()/10000000,"")</f>
        <v/>
      </c>
    </row>
    <row r="1811" customFormat="false" ht="15" hidden="false" customHeight="false" outlineLevel="0" collapsed="false">
      <c r="F1811" s="15"/>
      <c r="N1811" s="16" t="str">
        <f aca="false">IF($D1811="","",M1811*Y1811/100)</f>
        <v/>
      </c>
      <c r="V1811" s="16" t="str">
        <f aca="false">IF($D1811="","",Y1811*AB1811/100)</f>
        <v/>
      </c>
      <c r="W1811" s="16" t="str">
        <f aca="false">IF($D1811="","",Y1811-V1811)</f>
        <v/>
      </c>
      <c r="X1811" s="16" t="str">
        <f aca="false">IF($D1811="","",W1811-N1811)</f>
        <v/>
      </c>
      <c r="AB1811" s="17" t="str">
        <f aca="false">IF($D1811="","",IF(OR($R1811=TRUE(),$R1811="TRUE"),Settings!$C$6,Settings!$C$7)*100)</f>
        <v/>
      </c>
      <c r="AH1811" s="18" t="str">
        <f aca="false">IF($D1811="","",IF(COUNTIF($D$2:$D1811,$D1811)=1,1,0))</f>
        <v/>
      </c>
      <c r="AI1811" s="18" t="str">
        <f aca="false">IF($AH1811=1,SUMPRODUCT(--($AK$2:$AK$4001&lt;$AK1811))+1,"")</f>
        <v/>
      </c>
      <c r="AJ1811" s="18" t="str">
        <f aca="false">IF($D1811="","",IF(OR($R1811=TRUE(),$R1811="TRUE"),1,0))</f>
        <v/>
      </c>
      <c r="AK1811" s="18" t="str">
        <f aca="false">IF($AH1811=1,IFERROR(VALUE(MID($D1811,2,20)),1000000000)+ROW()/10000000,"")</f>
        <v/>
      </c>
    </row>
    <row r="1812" customFormat="false" ht="15" hidden="false" customHeight="false" outlineLevel="0" collapsed="false">
      <c r="F1812" s="15"/>
      <c r="N1812" s="16" t="str">
        <f aca="false">IF($D1812="","",M1812*Y1812/100)</f>
        <v/>
      </c>
      <c r="V1812" s="16" t="str">
        <f aca="false">IF($D1812="","",Y1812*AB1812/100)</f>
        <v/>
      </c>
      <c r="W1812" s="16" t="str">
        <f aca="false">IF($D1812="","",Y1812-V1812)</f>
        <v/>
      </c>
      <c r="X1812" s="16" t="str">
        <f aca="false">IF($D1812="","",W1812-N1812)</f>
        <v/>
      </c>
      <c r="AB1812" s="17" t="str">
        <f aca="false">IF($D1812="","",IF(OR($R1812=TRUE(),$R1812="TRUE"),Settings!$C$6,Settings!$C$7)*100)</f>
        <v/>
      </c>
      <c r="AH1812" s="18" t="str">
        <f aca="false">IF($D1812="","",IF(COUNTIF($D$2:$D1812,$D1812)=1,1,0))</f>
        <v/>
      </c>
      <c r="AI1812" s="18" t="str">
        <f aca="false">IF($AH1812=1,SUMPRODUCT(--($AK$2:$AK$4001&lt;$AK1812))+1,"")</f>
        <v/>
      </c>
      <c r="AJ1812" s="18" t="str">
        <f aca="false">IF($D1812="","",IF(OR($R1812=TRUE(),$R1812="TRUE"),1,0))</f>
        <v/>
      </c>
      <c r="AK1812" s="18" t="str">
        <f aca="false">IF($AH1812=1,IFERROR(VALUE(MID($D1812,2,20)),1000000000)+ROW()/10000000,"")</f>
        <v/>
      </c>
    </row>
    <row r="1813" customFormat="false" ht="15" hidden="false" customHeight="false" outlineLevel="0" collapsed="false">
      <c r="F1813" s="15"/>
      <c r="N1813" s="16" t="str">
        <f aca="false">IF($D1813="","",M1813*Y1813/100)</f>
        <v/>
      </c>
      <c r="V1813" s="16" t="str">
        <f aca="false">IF($D1813="","",Y1813*AB1813/100)</f>
        <v/>
      </c>
      <c r="W1813" s="16" t="str">
        <f aca="false">IF($D1813="","",Y1813-V1813)</f>
        <v/>
      </c>
      <c r="X1813" s="16" t="str">
        <f aca="false">IF($D1813="","",W1813-N1813)</f>
        <v/>
      </c>
      <c r="AB1813" s="17" t="str">
        <f aca="false">IF($D1813="","",IF(OR($R1813=TRUE(),$R1813="TRUE"),Settings!$C$6,Settings!$C$7)*100)</f>
        <v/>
      </c>
      <c r="AH1813" s="18" t="str">
        <f aca="false">IF($D1813="","",IF(COUNTIF($D$2:$D1813,$D1813)=1,1,0))</f>
        <v/>
      </c>
      <c r="AI1813" s="18" t="str">
        <f aca="false">IF($AH1813=1,SUMPRODUCT(--($AK$2:$AK$4001&lt;$AK1813))+1,"")</f>
        <v/>
      </c>
      <c r="AJ1813" s="18" t="str">
        <f aca="false">IF($D1813="","",IF(OR($R1813=TRUE(),$R1813="TRUE"),1,0))</f>
        <v/>
      </c>
      <c r="AK1813" s="18" t="str">
        <f aca="false">IF($AH1813=1,IFERROR(VALUE(MID($D1813,2,20)),1000000000)+ROW()/10000000,"")</f>
        <v/>
      </c>
    </row>
    <row r="1814" customFormat="false" ht="15" hidden="false" customHeight="false" outlineLevel="0" collapsed="false">
      <c r="F1814" s="15"/>
      <c r="N1814" s="16" t="str">
        <f aca="false">IF($D1814="","",M1814*Y1814/100)</f>
        <v/>
      </c>
      <c r="V1814" s="16" t="str">
        <f aca="false">IF($D1814="","",Y1814*AB1814/100)</f>
        <v/>
      </c>
      <c r="W1814" s="16" t="str">
        <f aca="false">IF($D1814="","",Y1814-V1814)</f>
        <v/>
      </c>
      <c r="X1814" s="16" t="str">
        <f aca="false">IF($D1814="","",W1814-N1814)</f>
        <v/>
      </c>
      <c r="AB1814" s="17" t="str">
        <f aca="false">IF($D1814="","",IF(OR($R1814=TRUE(),$R1814="TRUE"),Settings!$C$6,Settings!$C$7)*100)</f>
        <v/>
      </c>
      <c r="AH1814" s="18" t="str">
        <f aca="false">IF($D1814="","",IF(COUNTIF($D$2:$D1814,$D1814)=1,1,0))</f>
        <v/>
      </c>
      <c r="AI1814" s="18" t="str">
        <f aca="false">IF($AH1814=1,SUMPRODUCT(--($AK$2:$AK$4001&lt;$AK1814))+1,"")</f>
        <v/>
      </c>
      <c r="AJ1814" s="18" t="str">
        <f aca="false">IF($D1814="","",IF(OR($R1814=TRUE(),$R1814="TRUE"),1,0))</f>
        <v/>
      </c>
      <c r="AK1814" s="18" t="str">
        <f aca="false">IF($AH1814=1,IFERROR(VALUE(MID($D1814,2,20)),1000000000)+ROW()/10000000,"")</f>
        <v/>
      </c>
    </row>
    <row r="1815" customFormat="false" ht="15" hidden="false" customHeight="false" outlineLevel="0" collapsed="false">
      <c r="F1815" s="15"/>
      <c r="N1815" s="16" t="str">
        <f aca="false">IF($D1815="","",M1815*Y1815/100)</f>
        <v/>
      </c>
      <c r="V1815" s="16" t="str">
        <f aca="false">IF($D1815="","",Y1815*AB1815/100)</f>
        <v/>
      </c>
      <c r="W1815" s="16" t="str">
        <f aca="false">IF($D1815="","",Y1815-V1815)</f>
        <v/>
      </c>
      <c r="X1815" s="16" t="str">
        <f aca="false">IF($D1815="","",W1815-N1815)</f>
        <v/>
      </c>
      <c r="AB1815" s="17" t="str">
        <f aca="false">IF($D1815="","",IF(OR($R1815=TRUE(),$R1815="TRUE"),Settings!$C$6,Settings!$C$7)*100)</f>
        <v/>
      </c>
      <c r="AH1815" s="18" t="str">
        <f aca="false">IF($D1815="","",IF(COUNTIF($D$2:$D1815,$D1815)=1,1,0))</f>
        <v/>
      </c>
      <c r="AI1815" s="18" t="str">
        <f aca="false">IF($AH1815=1,SUMPRODUCT(--($AK$2:$AK$4001&lt;$AK1815))+1,"")</f>
        <v/>
      </c>
      <c r="AJ1815" s="18" t="str">
        <f aca="false">IF($D1815="","",IF(OR($R1815=TRUE(),$R1815="TRUE"),1,0))</f>
        <v/>
      </c>
      <c r="AK1815" s="18" t="str">
        <f aca="false">IF($AH1815=1,IFERROR(VALUE(MID($D1815,2,20)),1000000000)+ROW()/10000000,"")</f>
        <v/>
      </c>
    </row>
    <row r="1816" customFormat="false" ht="15" hidden="false" customHeight="false" outlineLevel="0" collapsed="false">
      <c r="F1816" s="15"/>
      <c r="N1816" s="16" t="str">
        <f aca="false">IF($D1816="","",M1816*Y1816/100)</f>
        <v/>
      </c>
      <c r="V1816" s="16" t="str">
        <f aca="false">IF($D1816="","",Y1816*AB1816/100)</f>
        <v/>
      </c>
      <c r="W1816" s="16" t="str">
        <f aca="false">IF($D1816="","",Y1816-V1816)</f>
        <v/>
      </c>
      <c r="X1816" s="16" t="str">
        <f aca="false">IF($D1816="","",W1816-N1816)</f>
        <v/>
      </c>
      <c r="AB1816" s="17" t="str">
        <f aca="false">IF($D1816="","",IF(OR($R1816=TRUE(),$R1816="TRUE"),Settings!$C$6,Settings!$C$7)*100)</f>
        <v/>
      </c>
      <c r="AH1816" s="18" t="str">
        <f aca="false">IF($D1816="","",IF(COUNTIF($D$2:$D1816,$D1816)=1,1,0))</f>
        <v/>
      </c>
      <c r="AI1816" s="18" t="str">
        <f aca="false">IF($AH1816=1,SUMPRODUCT(--($AK$2:$AK$4001&lt;$AK1816))+1,"")</f>
        <v/>
      </c>
      <c r="AJ1816" s="18" t="str">
        <f aca="false">IF($D1816="","",IF(OR($R1816=TRUE(),$R1816="TRUE"),1,0))</f>
        <v/>
      </c>
      <c r="AK1816" s="18" t="str">
        <f aca="false">IF($AH1816=1,IFERROR(VALUE(MID($D1816,2,20)),1000000000)+ROW()/10000000,"")</f>
        <v/>
      </c>
    </row>
    <row r="1817" customFormat="false" ht="15" hidden="false" customHeight="false" outlineLevel="0" collapsed="false">
      <c r="F1817" s="15"/>
      <c r="N1817" s="16" t="str">
        <f aca="false">IF($D1817="","",M1817*Y1817/100)</f>
        <v/>
      </c>
      <c r="V1817" s="16" t="str">
        <f aca="false">IF($D1817="","",Y1817*AB1817/100)</f>
        <v/>
      </c>
      <c r="W1817" s="16" t="str">
        <f aca="false">IF($D1817="","",Y1817-V1817)</f>
        <v/>
      </c>
      <c r="X1817" s="16" t="str">
        <f aca="false">IF($D1817="","",W1817-N1817)</f>
        <v/>
      </c>
      <c r="AB1817" s="17" t="str">
        <f aca="false">IF($D1817="","",IF(OR($R1817=TRUE(),$R1817="TRUE"),Settings!$C$6,Settings!$C$7)*100)</f>
        <v/>
      </c>
      <c r="AH1817" s="18" t="str">
        <f aca="false">IF($D1817="","",IF(COUNTIF($D$2:$D1817,$D1817)=1,1,0))</f>
        <v/>
      </c>
      <c r="AI1817" s="18" t="str">
        <f aca="false">IF($AH1817=1,SUMPRODUCT(--($AK$2:$AK$4001&lt;$AK1817))+1,"")</f>
        <v/>
      </c>
      <c r="AJ1817" s="18" t="str">
        <f aca="false">IF($D1817="","",IF(OR($R1817=TRUE(),$R1817="TRUE"),1,0))</f>
        <v/>
      </c>
      <c r="AK1817" s="18" t="str">
        <f aca="false">IF($AH1817=1,IFERROR(VALUE(MID($D1817,2,20)),1000000000)+ROW()/10000000,"")</f>
        <v/>
      </c>
    </row>
    <row r="1818" customFormat="false" ht="15" hidden="false" customHeight="false" outlineLevel="0" collapsed="false">
      <c r="F1818" s="15"/>
      <c r="N1818" s="16" t="str">
        <f aca="false">IF($D1818="","",M1818*Y1818/100)</f>
        <v/>
      </c>
      <c r="V1818" s="16" t="str">
        <f aca="false">IF($D1818="","",Y1818*AB1818/100)</f>
        <v/>
      </c>
      <c r="W1818" s="16" t="str">
        <f aca="false">IF($D1818="","",Y1818-V1818)</f>
        <v/>
      </c>
      <c r="X1818" s="16" t="str">
        <f aca="false">IF($D1818="","",W1818-N1818)</f>
        <v/>
      </c>
      <c r="AB1818" s="17" t="str">
        <f aca="false">IF($D1818="","",IF(OR($R1818=TRUE(),$R1818="TRUE"),Settings!$C$6,Settings!$C$7)*100)</f>
        <v/>
      </c>
      <c r="AH1818" s="18" t="str">
        <f aca="false">IF($D1818="","",IF(COUNTIF($D$2:$D1818,$D1818)=1,1,0))</f>
        <v/>
      </c>
      <c r="AI1818" s="18" t="str">
        <f aca="false">IF($AH1818=1,SUMPRODUCT(--($AK$2:$AK$4001&lt;$AK1818))+1,"")</f>
        <v/>
      </c>
      <c r="AJ1818" s="18" t="str">
        <f aca="false">IF($D1818="","",IF(OR($R1818=TRUE(),$R1818="TRUE"),1,0))</f>
        <v/>
      </c>
      <c r="AK1818" s="18" t="str">
        <f aca="false">IF($AH1818=1,IFERROR(VALUE(MID($D1818,2,20)),1000000000)+ROW()/10000000,"")</f>
        <v/>
      </c>
    </row>
    <row r="1819" customFormat="false" ht="15" hidden="false" customHeight="false" outlineLevel="0" collapsed="false">
      <c r="F1819" s="15"/>
      <c r="N1819" s="16" t="str">
        <f aca="false">IF($D1819="","",M1819*Y1819/100)</f>
        <v/>
      </c>
      <c r="V1819" s="16" t="str">
        <f aca="false">IF($D1819="","",Y1819*AB1819/100)</f>
        <v/>
      </c>
      <c r="W1819" s="16" t="str">
        <f aca="false">IF($D1819="","",Y1819-V1819)</f>
        <v/>
      </c>
      <c r="X1819" s="16" t="str">
        <f aca="false">IF($D1819="","",W1819-N1819)</f>
        <v/>
      </c>
      <c r="AB1819" s="17" t="str">
        <f aca="false">IF($D1819="","",IF(OR($R1819=TRUE(),$R1819="TRUE"),Settings!$C$6,Settings!$C$7)*100)</f>
        <v/>
      </c>
      <c r="AH1819" s="18" t="str">
        <f aca="false">IF($D1819="","",IF(COUNTIF($D$2:$D1819,$D1819)=1,1,0))</f>
        <v/>
      </c>
      <c r="AI1819" s="18" t="str">
        <f aca="false">IF($AH1819=1,SUMPRODUCT(--($AK$2:$AK$4001&lt;$AK1819))+1,"")</f>
        <v/>
      </c>
      <c r="AJ1819" s="18" t="str">
        <f aca="false">IF($D1819="","",IF(OR($R1819=TRUE(),$R1819="TRUE"),1,0))</f>
        <v/>
      </c>
      <c r="AK1819" s="18" t="str">
        <f aca="false">IF($AH1819=1,IFERROR(VALUE(MID($D1819,2,20)),1000000000)+ROW()/10000000,"")</f>
        <v/>
      </c>
    </row>
    <row r="1820" customFormat="false" ht="15" hidden="false" customHeight="false" outlineLevel="0" collapsed="false">
      <c r="F1820" s="15"/>
      <c r="N1820" s="16" t="str">
        <f aca="false">IF($D1820="","",M1820*Y1820/100)</f>
        <v/>
      </c>
      <c r="V1820" s="16" t="str">
        <f aca="false">IF($D1820="","",Y1820*AB1820/100)</f>
        <v/>
      </c>
      <c r="W1820" s="16" t="str">
        <f aca="false">IF($D1820="","",Y1820-V1820)</f>
        <v/>
      </c>
      <c r="X1820" s="16" t="str">
        <f aca="false">IF($D1820="","",W1820-N1820)</f>
        <v/>
      </c>
      <c r="AB1820" s="17" t="str">
        <f aca="false">IF($D1820="","",IF(OR($R1820=TRUE(),$R1820="TRUE"),Settings!$C$6,Settings!$C$7)*100)</f>
        <v/>
      </c>
      <c r="AH1820" s="18" t="str">
        <f aca="false">IF($D1820="","",IF(COUNTIF($D$2:$D1820,$D1820)=1,1,0))</f>
        <v/>
      </c>
      <c r="AI1820" s="18" t="str">
        <f aca="false">IF($AH1820=1,SUMPRODUCT(--($AK$2:$AK$4001&lt;$AK1820))+1,"")</f>
        <v/>
      </c>
      <c r="AJ1820" s="18" t="str">
        <f aca="false">IF($D1820="","",IF(OR($R1820=TRUE(),$R1820="TRUE"),1,0))</f>
        <v/>
      </c>
      <c r="AK1820" s="18" t="str">
        <f aca="false">IF($AH1820=1,IFERROR(VALUE(MID($D1820,2,20)),1000000000)+ROW()/10000000,"")</f>
        <v/>
      </c>
    </row>
    <row r="1821" customFormat="false" ht="15" hidden="false" customHeight="false" outlineLevel="0" collapsed="false">
      <c r="F1821" s="15"/>
      <c r="N1821" s="16" t="str">
        <f aca="false">IF($D1821="","",M1821*Y1821/100)</f>
        <v/>
      </c>
      <c r="V1821" s="16" t="str">
        <f aca="false">IF($D1821="","",Y1821*AB1821/100)</f>
        <v/>
      </c>
      <c r="W1821" s="16" t="str">
        <f aca="false">IF($D1821="","",Y1821-V1821)</f>
        <v/>
      </c>
      <c r="X1821" s="16" t="str">
        <f aca="false">IF($D1821="","",W1821-N1821)</f>
        <v/>
      </c>
      <c r="AB1821" s="17" t="str">
        <f aca="false">IF($D1821="","",IF(OR($R1821=TRUE(),$R1821="TRUE"),Settings!$C$6,Settings!$C$7)*100)</f>
        <v/>
      </c>
      <c r="AH1821" s="18" t="str">
        <f aca="false">IF($D1821="","",IF(COUNTIF($D$2:$D1821,$D1821)=1,1,0))</f>
        <v/>
      </c>
      <c r="AI1821" s="18" t="str">
        <f aca="false">IF($AH1821=1,SUMPRODUCT(--($AK$2:$AK$4001&lt;$AK1821))+1,"")</f>
        <v/>
      </c>
      <c r="AJ1821" s="18" t="str">
        <f aca="false">IF($D1821="","",IF(OR($R1821=TRUE(),$R1821="TRUE"),1,0))</f>
        <v/>
      </c>
      <c r="AK1821" s="18" t="str">
        <f aca="false">IF($AH1821=1,IFERROR(VALUE(MID($D1821,2,20)),1000000000)+ROW()/10000000,"")</f>
        <v/>
      </c>
    </row>
    <row r="1822" customFormat="false" ht="15" hidden="false" customHeight="false" outlineLevel="0" collapsed="false">
      <c r="F1822" s="15"/>
      <c r="N1822" s="16" t="str">
        <f aca="false">IF($D1822="","",M1822*Y1822/100)</f>
        <v/>
      </c>
      <c r="V1822" s="16" t="str">
        <f aca="false">IF($D1822="","",Y1822*AB1822/100)</f>
        <v/>
      </c>
      <c r="W1822" s="16" t="str">
        <f aca="false">IF($D1822="","",Y1822-V1822)</f>
        <v/>
      </c>
      <c r="X1822" s="16" t="str">
        <f aca="false">IF($D1822="","",W1822-N1822)</f>
        <v/>
      </c>
      <c r="AB1822" s="17" t="str">
        <f aca="false">IF($D1822="","",IF(OR($R1822=TRUE(),$R1822="TRUE"),Settings!$C$6,Settings!$C$7)*100)</f>
        <v/>
      </c>
      <c r="AH1822" s="18" t="str">
        <f aca="false">IF($D1822="","",IF(COUNTIF($D$2:$D1822,$D1822)=1,1,0))</f>
        <v/>
      </c>
      <c r="AI1822" s="18" t="str">
        <f aca="false">IF($AH1822=1,SUMPRODUCT(--($AK$2:$AK$4001&lt;$AK1822))+1,"")</f>
        <v/>
      </c>
      <c r="AJ1822" s="18" t="str">
        <f aca="false">IF($D1822="","",IF(OR($R1822=TRUE(),$R1822="TRUE"),1,0))</f>
        <v/>
      </c>
      <c r="AK1822" s="18" t="str">
        <f aca="false">IF($AH1822=1,IFERROR(VALUE(MID($D1822,2,20)),1000000000)+ROW()/10000000,"")</f>
        <v/>
      </c>
    </row>
    <row r="1823" customFormat="false" ht="15" hidden="false" customHeight="false" outlineLevel="0" collapsed="false">
      <c r="F1823" s="15"/>
      <c r="N1823" s="16" t="str">
        <f aca="false">IF($D1823="","",M1823*Y1823/100)</f>
        <v/>
      </c>
      <c r="V1823" s="16" t="str">
        <f aca="false">IF($D1823="","",Y1823*AB1823/100)</f>
        <v/>
      </c>
      <c r="W1823" s="16" t="str">
        <f aca="false">IF($D1823="","",Y1823-V1823)</f>
        <v/>
      </c>
      <c r="X1823" s="16" t="str">
        <f aca="false">IF($D1823="","",W1823-N1823)</f>
        <v/>
      </c>
      <c r="AB1823" s="17" t="str">
        <f aca="false">IF($D1823="","",IF(OR($R1823=TRUE(),$R1823="TRUE"),Settings!$C$6,Settings!$C$7)*100)</f>
        <v/>
      </c>
      <c r="AH1823" s="18" t="str">
        <f aca="false">IF($D1823="","",IF(COUNTIF($D$2:$D1823,$D1823)=1,1,0))</f>
        <v/>
      </c>
      <c r="AI1823" s="18" t="str">
        <f aca="false">IF($AH1823=1,SUMPRODUCT(--($AK$2:$AK$4001&lt;$AK1823))+1,"")</f>
        <v/>
      </c>
      <c r="AJ1823" s="18" t="str">
        <f aca="false">IF($D1823="","",IF(OR($R1823=TRUE(),$R1823="TRUE"),1,0))</f>
        <v/>
      </c>
      <c r="AK1823" s="18" t="str">
        <f aca="false">IF($AH1823=1,IFERROR(VALUE(MID($D1823,2,20)),1000000000)+ROW()/10000000,"")</f>
        <v/>
      </c>
    </row>
    <row r="1824" customFormat="false" ht="15" hidden="false" customHeight="false" outlineLevel="0" collapsed="false">
      <c r="F1824" s="15"/>
      <c r="N1824" s="16" t="str">
        <f aca="false">IF($D1824="","",M1824*Y1824/100)</f>
        <v/>
      </c>
      <c r="V1824" s="16" t="str">
        <f aca="false">IF($D1824="","",Y1824*AB1824/100)</f>
        <v/>
      </c>
      <c r="W1824" s="16" t="str">
        <f aca="false">IF($D1824="","",Y1824-V1824)</f>
        <v/>
      </c>
      <c r="X1824" s="16" t="str">
        <f aca="false">IF($D1824="","",W1824-N1824)</f>
        <v/>
      </c>
      <c r="AB1824" s="17" t="str">
        <f aca="false">IF($D1824="","",IF(OR($R1824=TRUE(),$R1824="TRUE"),Settings!$C$6,Settings!$C$7)*100)</f>
        <v/>
      </c>
      <c r="AH1824" s="18" t="str">
        <f aca="false">IF($D1824="","",IF(COUNTIF($D$2:$D1824,$D1824)=1,1,0))</f>
        <v/>
      </c>
      <c r="AI1824" s="18" t="str">
        <f aca="false">IF($AH1824=1,SUMPRODUCT(--($AK$2:$AK$4001&lt;$AK1824))+1,"")</f>
        <v/>
      </c>
      <c r="AJ1824" s="18" t="str">
        <f aca="false">IF($D1824="","",IF(OR($R1824=TRUE(),$R1824="TRUE"),1,0))</f>
        <v/>
      </c>
      <c r="AK1824" s="18" t="str">
        <f aca="false">IF($AH1824=1,IFERROR(VALUE(MID($D1824,2,20)),1000000000)+ROW()/10000000,"")</f>
        <v/>
      </c>
    </row>
    <row r="1825" customFormat="false" ht="15" hidden="false" customHeight="false" outlineLevel="0" collapsed="false">
      <c r="F1825" s="15"/>
      <c r="N1825" s="16" t="str">
        <f aca="false">IF($D1825="","",M1825*Y1825/100)</f>
        <v/>
      </c>
      <c r="V1825" s="16" t="str">
        <f aca="false">IF($D1825="","",Y1825*AB1825/100)</f>
        <v/>
      </c>
      <c r="W1825" s="16" t="str">
        <f aca="false">IF($D1825="","",Y1825-V1825)</f>
        <v/>
      </c>
      <c r="X1825" s="16" t="str">
        <f aca="false">IF($D1825="","",W1825-N1825)</f>
        <v/>
      </c>
      <c r="AB1825" s="17" t="str">
        <f aca="false">IF($D1825="","",IF(OR($R1825=TRUE(),$R1825="TRUE"),Settings!$C$6,Settings!$C$7)*100)</f>
        <v/>
      </c>
      <c r="AH1825" s="18" t="str">
        <f aca="false">IF($D1825="","",IF(COUNTIF($D$2:$D1825,$D1825)=1,1,0))</f>
        <v/>
      </c>
      <c r="AI1825" s="18" t="str">
        <f aca="false">IF($AH1825=1,SUMPRODUCT(--($AK$2:$AK$4001&lt;$AK1825))+1,"")</f>
        <v/>
      </c>
      <c r="AJ1825" s="18" t="str">
        <f aca="false">IF($D1825="","",IF(OR($R1825=TRUE(),$R1825="TRUE"),1,0))</f>
        <v/>
      </c>
      <c r="AK1825" s="18" t="str">
        <f aca="false">IF($AH1825=1,IFERROR(VALUE(MID($D1825,2,20)),1000000000)+ROW()/10000000,"")</f>
        <v/>
      </c>
    </row>
    <row r="1826" customFormat="false" ht="15" hidden="false" customHeight="false" outlineLevel="0" collapsed="false">
      <c r="F1826" s="15"/>
      <c r="N1826" s="16" t="str">
        <f aca="false">IF($D1826="","",M1826*Y1826/100)</f>
        <v/>
      </c>
      <c r="V1826" s="16" t="str">
        <f aca="false">IF($D1826="","",Y1826*AB1826/100)</f>
        <v/>
      </c>
      <c r="W1826" s="16" t="str">
        <f aca="false">IF($D1826="","",Y1826-V1826)</f>
        <v/>
      </c>
      <c r="X1826" s="16" t="str">
        <f aca="false">IF($D1826="","",W1826-N1826)</f>
        <v/>
      </c>
      <c r="AB1826" s="17" t="str">
        <f aca="false">IF($D1826="","",IF(OR($R1826=TRUE(),$R1826="TRUE"),Settings!$C$6,Settings!$C$7)*100)</f>
        <v/>
      </c>
      <c r="AH1826" s="18" t="str">
        <f aca="false">IF($D1826="","",IF(COUNTIF($D$2:$D1826,$D1826)=1,1,0))</f>
        <v/>
      </c>
      <c r="AI1826" s="18" t="str">
        <f aca="false">IF($AH1826=1,SUMPRODUCT(--($AK$2:$AK$4001&lt;$AK1826))+1,"")</f>
        <v/>
      </c>
      <c r="AJ1826" s="18" t="str">
        <f aca="false">IF($D1826="","",IF(OR($R1826=TRUE(),$R1826="TRUE"),1,0))</f>
        <v/>
      </c>
      <c r="AK1826" s="18" t="str">
        <f aca="false">IF($AH1826=1,IFERROR(VALUE(MID($D1826,2,20)),1000000000)+ROW()/10000000,"")</f>
        <v/>
      </c>
    </row>
    <row r="1827" customFormat="false" ht="15" hidden="false" customHeight="false" outlineLevel="0" collapsed="false">
      <c r="F1827" s="15"/>
      <c r="N1827" s="16" t="str">
        <f aca="false">IF($D1827="","",M1827*Y1827/100)</f>
        <v/>
      </c>
      <c r="V1827" s="16" t="str">
        <f aca="false">IF($D1827="","",Y1827*AB1827/100)</f>
        <v/>
      </c>
      <c r="W1827" s="16" t="str">
        <f aca="false">IF($D1827="","",Y1827-V1827)</f>
        <v/>
      </c>
      <c r="X1827" s="16" t="str">
        <f aca="false">IF($D1827="","",W1827-N1827)</f>
        <v/>
      </c>
      <c r="AB1827" s="17" t="str">
        <f aca="false">IF($D1827="","",IF(OR($R1827=TRUE(),$R1827="TRUE"),Settings!$C$6,Settings!$C$7)*100)</f>
        <v/>
      </c>
      <c r="AH1827" s="18" t="str">
        <f aca="false">IF($D1827="","",IF(COUNTIF($D$2:$D1827,$D1827)=1,1,0))</f>
        <v/>
      </c>
      <c r="AI1827" s="18" t="str">
        <f aca="false">IF($AH1827=1,SUMPRODUCT(--($AK$2:$AK$4001&lt;$AK1827))+1,"")</f>
        <v/>
      </c>
      <c r="AJ1827" s="18" t="str">
        <f aca="false">IF($D1827="","",IF(OR($R1827=TRUE(),$R1827="TRUE"),1,0))</f>
        <v/>
      </c>
      <c r="AK1827" s="18" t="str">
        <f aca="false">IF($AH1827=1,IFERROR(VALUE(MID($D1827,2,20)),1000000000)+ROW()/10000000,"")</f>
        <v/>
      </c>
    </row>
    <row r="1828" customFormat="false" ht="15" hidden="false" customHeight="false" outlineLevel="0" collapsed="false">
      <c r="F1828" s="15"/>
      <c r="N1828" s="16" t="str">
        <f aca="false">IF($D1828="","",M1828*Y1828/100)</f>
        <v/>
      </c>
      <c r="V1828" s="16" t="str">
        <f aca="false">IF($D1828="","",Y1828*AB1828/100)</f>
        <v/>
      </c>
      <c r="W1828" s="16" t="str">
        <f aca="false">IF($D1828="","",Y1828-V1828)</f>
        <v/>
      </c>
      <c r="X1828" s="16" t="str">
        <f aca="false">IF($D1828="","",W1828-N1828)</f>
        <v/>
      </c>
      <c r="AB1828" s="17" t="str">
        <f aca="false">IF($D1828="","",IF(OR($R1828=TRUE(),$R1828="TRUE"),Settings!$C$6,Settings!$C$7)*100)</f>
        <v/>
      </c>
      <c r="AH1828" s="18" t="str">
        <f aca="false">IF($D1828="","",IF(COUNTIF($D$2:$D1828,$D1828)=1,1,0))</f>
        <v/>
      </c>
      <c r="AI1828" s="18" t="str">
        <f aca="false">IF($AH1828=1,SUMPRODUCT(--($AK$2:$AK$4001&lt;$AK1828))+1,"")</f>
        <v/>
      </c>
      <c r="AJ1828" s="18" t="str">
        <f aca="false">IF($D1828="","",IF(OR($R1828=TRUE(),$R1828="TRUE"),1,0))</f>
        <v/>
      </c>
      <c r="AK1828" s="18" t="str">
        <f aca="false">IF($AH1828=1,IFERROR(VALUE(MID($D1828,2,20)),1000000000)+ROW()/10000000,"")</f>
        <v/>
      </c>
    </row>
    <row r="1829" customFormat="false" ht="15" hidden="false" customHeight="false" outlineLevel="0" collapsed="false">
      <c r="F1829" s="15"/>
      <c r="N1829" s="16" t="str">
        <f aca="false">IF($D1829="","",M1829*Y1829/100)</f>
        <v/>
      </c>
      <c r="V1829" s="16" t="str">
        <f aca="false">IF($D1829="","",Y1829*AB1829/100)</f>
        <v/>
      </c>
      <c r="W1829" s="16" t="str">
        <f aca="false">IF($D1829="","",Y1829-V1829)</f>
        <v/>
      </c>
      <c r="X1829" s="16" t="str">
        <f aca="false">IF($D1829="","",W1829-N1829)</f>
        <v/>
      </c>
      <c r="AB1829" s="17" t="str">
        <f aca="false">IF($D1829="","",IF(OR($R1829=TRUE(),$R1829="TRUE"),Settings!$C$6,Settings!$C$7)*100)</f>
        <v/>
      </c>
      <c r="AH1829" s="18" t="str">
        <f aca="false">IF($D1829="","",IF(COUNTIF($D$2:$D1829,$D1829)=1,1,0))</f>
        <v/>
      </c>
      <c r="AI1829" s="18" t="str">
        <f aca="false">IF($AH1829=1,SUMPRODUCT(--($AK$2:$AK$4001&lt;$AK1829))+1,"")</f>
        <v/>
      </c>
      <c r="AJ1829" s="18" t="str">
        <f aca="false">IF($D1829="","",IF(OR($R1829=TRUE(),$R1829="TRUE"),1,0))</f>
        <v/>
      </c>
      <c r="AK1829" s="18" t="str">
        <f aca="false">IF($AH1829=1,IFERROR(VALUE(MID($D1829,2,20)),1000000000)+ROW()/10000000,"")</f>
        <v/>
      </c>
    </row>
    <row r="1830" customFormat="false" ht="15" hidden="false" customHeight="false" outlineLevel="0" collapsed="false">
      <c r="F1830" s="15"/>
      <c r="N1830" s="16" t="str">
        <f aca="false">IF($D1830="","",M1830*Y1830/100)</f>
        <v/>
      </c>
      <c r="V1830" s="16" t="str">
        <f aca="false">IF($D1830="","",Y1830*AB1830/100)</f>
        <v/>
      </c>
      <c r="W1830" s="16" t="str">
        <f aca="false">IF($D1830="","",Y1830-V1830)</f>
        <v/>
      </c>
      <c r="X1830" s="16" t="str">
        <f aca="false">IF($D1830="","",W1830-N1830)</f>
        <v/>
      </c>
      <c r="AB1830" s="17" t="str">
        <f aca="false">IF($D1830="","",IF(OR($R1830=TRUE(),$R1830="TRUE"),Settings!$C$6,Settings!$C$7)*100)</f>
        <v/>
      </c>
      <c r="AH1830" s="18" t="str">
        <f aca="false">IF($D1830="","",IF(COUNTIF($D$2:$D1830,$D1830)=1,1,0))</f>
        <v/>
      </c>
      <c r="AI1830" s="18" t="str">
        <f aca="false">IF($AH1830=1,SUMPRODUCT(--($AK$2:$AK$4001&lt;$AK1830))+1,"")</f>
        <v/>
      </c>
      <c r="AJ1830" s="18" t="str">
        <f aca="false">IF($D1830="","",IF(OR($R1830=TRUE(),$R1830="TRUE"),1,0))</f>
        <v/>
      </c>
      <c r="AK1830" s="18" t="str">
        <f aca="false">IF($AH1830=1,IFERROR(VALUE(MID($D1830,2,20)),1000000000)+ROW()/10000000,"")</f>
        <v/>
      </c>
    </row>
    <row r="1831" customFormat="false" ht="15" hidden="false" customHeight="false" outlineLevel="0" collapsed="false">
      <c r="F1831" s="15"/>
      <c r="N1831" s="16" t="str">
        <f aca="false">IF($D1831="","",M1831*Y1831/100)</f>
        <v/>
      </c>
      <c r="V1831" s="16" t="str">
        <f aca="false">IF($D1831="","",Y1831*AB1831/100)</f>
        <v/>
      </c>
      <c r="W1831" s="16" t="str">
        <f aca="false">IF($D1831="","",Y1831-V1831)</f>
        <v/>
      </c>
      <c r="X1831" s="16" t="str">
        <f aca="false">IF($D1831="","",W1831-N1831)</f>
        <v/>
      </c>
      <c r="AB1831" s="17" t="str">
        <f aca="false">IF($D1831="","",IF(OR($R1831=TRUE(),$R1831="TRUE"),Settings!$C$6,Settings!$C$7)*100)</f>
        <v/>
      </c>
      <c r="AH1831" s="18" t="str">
        <f aca="false">IF($D1831="","",IF(COUNTIF($D$2:$D1831,$D1831)=1,1,0))</f>
        <v/>
      </c>
      <c r="AI1831" s="18" t="str">
        <f aca="false">IF($AH1831=1,SUMPRODUCT(--($AK$2:$AK$4001&lt;$AK1831))+1,"")</f>
        <v/>
      </c>
      <c r="AJ1831" s="18" t="str">
        <f aca="false">IF($D1831="","",IF(OR($R1831=TRUE(),$R1831="TRUE"),1,0))</f>
        <v/>
      </c>
      <c r="AK1831" s="18" t="str">
        <f aca="false">IF($AH1831=1,IFERROR(VALUE(MID($D1831,2,20)),1000000000)+ROW()/10000000,"")</f>
        <v/>
      </c>
    </row>
    <row r="1832" customFormat="false" ht="15" hidden="false" customHeight="false" outlineLevel="0" collapsed="false">
      <c r="F1832" s="15"/>
      <c r="N1832" s="16" t="str">
        <f aca="false">IF($D1832="","",M1832*Y1832/100)</f>
        <v/>
      </c>
      <c r="V1832" s="16" t="str">
        <f aca="false">IF($D1832="","",Y1832*AB1832/100)</f>
        <v/>
      </c>
      <c r="W1832" s="16" t="str">
        <f aca="false">IF($D1832="","",Y1832-V1832)</f>
        <v/>
      </c>
      <c r="X1832" s="16" t="str">
        <f aca="false">IF($D1832="","",W1832-N1832)</f>
        <v/>
      </c>
      <c r="AB1832" s="17" t="str">
        <f aca="false">IF($D1832="","",IF(OR($R1832=TRUE(),$R1832="TRUE"),Settings!$C$6,Settings!$C$7)*100)</f>
        <v/>
      </c>
      <c r="AH1832" s="18" t="str">
        <f aca="false">IF($D1832="","",IF(COUNTIF($D$2:$D1832,$D1832)=1,1,0))</f>
        <v/>
      </c>
      <c r="AI1832" s="18" t="str">
        <f aca="false">IF($AH1832=1,SUMPRODUCT(--($AK$2:$AK$4001&lt;$AK1832))+1,"")</f>
        <v/>
      </c>
      <c r="AJ1832" s="18" t="str">
        <f aca="false">IF($D1832="","",IF(OR($R1832=TRUE(),$R1832="TRUE"),1,0))</f>
        <v/>
      </c>
      <c r="AK1832" s="18" t="str">
        <f aca="false">IF($AH1832=1,IFERROR(VALUE(MID($D1832,2,20)),1000000000)+ROW()/10000000,"")</f>
        <v/>
      </c>
    </row>
    <row r="1833" customFormat="false" ht="15" hidden="false" customHeight="false" outlineLevel="0" collapsed="false">
      <c r="F1833" s="15"/>
      <c r="N1833" s="16" t="str">
        <f aca="false">IF($D1833="","",M1833*Y1833/100)</f>
        <v/>
      </c>
      <c r="V1833" s="16" t="str">
        <f aca="false">IF($D1833="","",Y1833*AB1833/100)</f>
        <v/>
      </c>
      <c r="W1833" s="16" t="str">
        <f aca="false">IF($D1833="","",Y1833-V1833)</f>
        <v/>
      </c>
      <c r="X1833" s="16" t="str">
        <f aca="false">IF($D1833="","",W1833-N1833)</f>
        <v/>
      </c>
      <c r="AB1833" s="17" t="str">
        <f aca="false">IF($D1833="","",IF(OR($R1833=TRUE(),$R1833="TRUE"),Settings!$C$6,Settings!$C$7)*100)</f>
        <v/>
      </c>
      <c r="AH1833" s="18" t="str">
        <f aca="false">IF($D1833="","",IF(COUNTIF($D$2:$D1833,$D1833)=1,1,0))</f>
        <v/>
      </c>
      <c r="AI1833" s="18" t="str">
        <f aca="false">IF($AH1833=1,SUMPRODUCT(--($AK$2:$AK$4001&lt;$AK1833))+1,"")</f>
        <v/>
      </c>
      <c r="AJ1833" s="18" t="str">
        <f aca="false">IF($D1833="","",IF(OR($R1833=TRUE(),$R1833="TRUE"),1,0))</f>
        <v/>
      </c>
      <c r="AK1833" s="18" t="str">
        <f aca="false">IF($AH1833=1,IFERROR(VALUE(MID($D1833,2,20)),1000000000)+ROW()/10000000,"")</f>
        <v/>
      </c>
    </row>
    <row r="1834" customFormat="false" ht="15" hidden="false" customHeight="false" outlineLevel="0" collapsed="false">
      <c r="F1834" s="15"/>
      <c r="N1834" s="16" t="str">
        <f aca="false">IF($D1834="","",M1834*Y1834/100)</f>
        <v/>
      </c>
      <c r="V1834" s="16" t="str">
        <f aca="false">IF($D1834="","",Y1834*AB1834/100)</f>
        <v/>
      </c>
      <c r="W1834" s="16" t="str">
        <f aca="false">IF($D1834="","",Y1834-V1834)</f>
        <v/>
      </c>
      <c r="X1834" s="16" t="str">
        <f aca="false">IF($D1834="","",W1834-N1834)</f>
        <v/>
      </c>
      <c r="AB1834" s="17" t="str">
        <f aca="false">IF($D1834="","",IF(OR($R1834=TRUE(),$R1834="TRUE"),Settings!$C$6,Settings!$C$7)*100)</f>
        <v/>
      </c>
      <c r="AH1834" s="18" t="str">
        <f aca="false">IF($D1834="","",IF(COUNTIF($D$2:$D1834,$D1834)=1,1,0))</f>
        <v/>
      </c>
      <c r="AI1834" s="18" t="str">
        <f aca="false">IF($AH1834=1,SUMPRODUCT(--($AK$2:$AK$4001&lt;$AK1834))+1,"")</f>
        <v/>
      </c>
      <c r="AJ1834" s="18" t="str">
        <f aca="false">IF($D1834="","",IF(OR($R1834=TRUE(),$R1834="TRUE"),1,0))</f>
        <v/>
      </c>
      <c r="AK1834" s="18" t="str">
        <f aca="false">IF($AH1834=1,IFERROR(VALUE(MID($D1834,2,20)),1000000000)+ROW()/10000000,"")</f>
        <v/>
      </c>
    </row>
    <row r="1835" customFormat="false" ht="15" hidden="false" customHeight="false" outlineLevel="0" collapsed="false">
      <c r="F1835" s="15"/>
      <c r="N1835" s="16" t="str">
        <f aca="false">IF($D1835="","",M1835*Y1835/100)</f>
        <v/>
      </c>
      <c r="V1835" s="16" t="str">
        <f aca="false">IF($D1835="","",Y1835*AB1835/100)</f>
        <v/>
      </c>
      <c r="W1835" s="16" t="str">
        <f aca="false">IF($D1835="","",Y1835-V1835)</f>
        <v/>
      </c>
      <c r="X1835" s="16" t="str">
        <f aca="false">IF($D1835="","",W1835-N1835)</f>
        <v/>
      </c>
      <c r="AB1835" s="17" t="str">
        <f aca="false">IF($D1835="","",IF(OR($R1835=TRUE(),$R1835="TRUE"),Settings!$C$6,Settings!$C$7)*100)</f>
        <v/>
      </c>
      <c r="AH1835" s="18" t="str">
        <f aca="false">IF($D1835="","",IF(COUNTIF($D$2:$D1835,$D1835)=1,1,0))</f>
        <v/>
      </c>
      <c r="AI1835" s="18" t="str">
        <f aca="false">IF($AH1835=1,SUMPRODUCT(--($AK$2:$AK$4001&lt;$AK1835))+1,"")</f>
        <v/>
      </c>
      <c r="AJ1835" s="18" t="str">
        <f aca="false">IF($D1835="","",IF(OR($R1835=TRUE(),$R1835="TRUE"),1,0))</f>
        <v/>
      </c>
      <c r="AK1835" s="18" t="str">
        <f aca="false">IF($AH1835=1,IFERROR(VALUE(MID($D1835,2,20)),1000000000)+ROW()/10000000,"")</f>
        <v/>
      </c>
    </row>
    <row r="1836" customFormat="false" ht="15" hidden="false" customHeight="false" outlineLevel="0" collapsed="false">
      <c r="F1836" s="15"/>
      <c r="N1836" s="16" t="str">
        <f aca="false">IF($D1836="","",M1836*Y1836/100)</f>
        <v/>
      </c>
      <c r="V1836" s="16" t="str">
        <f aca="false">IF($D1836="","",Y1836*AB1836/100)</f>
        <v/>
      </c>
      <c r="W1836" s="16" t="str">
        <f aca="false">IF($D1836="","",Y1836-V1836)</f>
        <v/>
      </c>
      <c r="X1836" s="16" t="str">
        <f aca="false">IF($D1836="","",W1836-N1836)</f>
        <v/>
      </c>
      <c r="AB1836" s="17" t="str">
        <f aca="false">IF($D1836="","",IF(OR($R1836=TRUE(),$R1836="TRUE"),Settings!$C$6,Settings!$C$7)*100)</f>
        <v/>
      </c>
      <c r="AH1836" s="18" t="str">
        <f aca="false">IF($D1836="","",IF(COUNTIF($D$2:$D1836,$D1836)=1,1,0))</f>
        <v/>
      </c>
      <c r="AI1836" s="18" t="str">
        <f aca="false">IF($AH1836=1,SUMPRODUCT(--($AK$2:$AK$4001&lt;$AK1836))+1,"")</f>
        <v/>
      </c>
      <c r="AJ1836" s="18" t="str">
        <f aca="false">IF($D1836="","",IF(OR($R1836=TRUE(),$R1836="TRUE"),1,0))</f>
        <v/>
      </c>
      <c r="AK1836" s="18" t="str">
        <f aca="false">IF($AH1836=1,IFERROR(VALUE(MID($D1836,2,20)),1000000000)+ROW()/10000000,"")</f>
        <v/>
      </c>
    </row>
    <row r="1837" customFormat="false" ht="15" hidden="false" customHeight="false" outlineLevel="0" collapsed="false">
      <c r="F1837" s="15"/>
      <c r="N1837" s="16" t="str">
        <f aca="false">IF($D1837="","",M1837*Y1837/100)</f>
        <v/>
      </c>
      <c r="V1837" s="16" t="str">
        <f aca="false">IF($D1837="","",Y1837*AB1837/100)</f>
        <v/>
      </c>
      <c r="W1837" s="16" t="str">
        <f aca="false">IF($D1837="","",Y1837-V1837)</f>
        <v/>
      </c>
      <c r="X1837" s="16" t="str">
        <f aca="false">IF($D1837="","",W1837-N1837)</f>
        <v/>
      </c>
      <c r="AB1837" s="17" t="str">
        <f aca="false">IF($D1837="","",IF(OR($R1837=TRUE(),$R1837="TRUE"),Settings!$C$6,Settings!$C$7)*100)</f>
        <v/>
      </c>
      <c r="AH1837" s="18" t="str">
        <f aca="false">IF($D1837="","",IF(COUNTIF($D$2:$D1837,$D1837)=1,1,0))</f>
        <v/>
      </c>
      <c r="AI1837" s="18" t="str">
        <f aca="false">IF($AH1837=1,SUMPRODUCT(--($AK$2:$AK$4001&lt;$AK1837))+1,"")</f>
        <v/>
      </c>
      <c r="AJ1837" s="18" t="str">
        <f aca="false">IF($D1837="","",IF(OR($R1837=TRUE(),$R1837="TRUE"),1,0))</f>
        <v/>
      </c>
      <c r="AK1837" s="18" t="str">
        <f aca="false">IF($AH1837=1,IFERROR(VALUE(MID($D1837,2,20)),1000000000)+ROW()/10000000,"")</f>
        <v/>
      </c>
    </row>
    <row r="1838" customFormat="false" ht="15" hidden="false" customHeight="false" outlineLevel="0" collapsed="false">
      <c r="F1838" s="15"/>
      <c r="N1838" s="16" t="str">
        <f aca="false">IF($D1838="","",M1838*Y1838/100)</f>
        <v/>
      </c>
      <c r="V1838" s="16" t="str">
        <f aca="false">IF($D1838="","",Y1838*AB1838/100)</f>
        <v/>
      </c>
      <c r="W1838" s="16" t="str">
        <f aca="false">IF($D1838="","",Y1838-V1838)</f>
        <v/>
      </c>
      <c r="X1838" s="16" t="str">
        <f aca="false">IF($D1838="","",W1838-N1838)</f>
        <v/>
      </c>
      <c r="AB1838" s="17" t="str">
        <f aca="false">IF($D1838="","",IF(OR($R1838=TRUE(),$R1838="TRUE"),Settings!$C$6,Settings!$C$7)*100)</f>
        <v/>
      </c>
      <c r="AH1838" s="18" t="str">
        <f aca="false">IF($D1838="","",IF(COUNTIF($D$2:$D1838,$D1838)=1,1,0))</f>
        <v/>
      </c>
      <c r="AI1838" s="18" t="str">
        <f aca="false">IF($AH1838=1,SUMPRODUCT(--($AK$2:$AK$4001&lt;$AK1838))+1,"")</f>
        <v/>
      </c>
      <c r="AJ1838" s="18" t="str">
        <f aca="false">IF($D1838="","",IF(OR($R1838=TRUE(),$R1838="TRUE"),1,0))</f>
        <v/>
      </c>
      <c r="AK1838" s="18" t="str">
        <f aca="false">IF($AH1838=1,IFERROR(VALUE(MID($D1838,2,20)),1000000000)+ROW()/10000000,"")</f>
        <v/>
      </c>
    </row>
    <row r="1839" customFormat="false" ht="15" hidden="false" customHeight="false" outlineLevel="0" collapsed="false">
      <c r="F1839" s="15"/>
      <c r="N1839" s="16" t="str">
        <f aca="false">IF($D1839="","",M1839*Y1839/100)</f>
        <v/>
      </c>
      <c r="V1839" s="16" t="str">
        <f aca="false">IF($D1839="","",Y1839*AB1839/100)</f>
        <v/>
      </c>
      <c r="W1839" s="16" t="str">
        <f aca="false">IF($D1839="","",Y1839-V1839)</f>
        <v/>
      </c>
      <c r="X1839" s="16" t="str">
        <f aca="false">IF($D1839="","",W1839-N1839)</f>
        <v/>
      </c>
      <c r="AB1839" s="17" t="str">
        <f aca="false">IF($D1839="","",IF(OR($R1839=TRUE(),$R1839="TRUE"),Settings!$C$6,Settings!$C$7)*100)</f>
        <v/>
      </c>
      <c r="AH1839" s="18" t="str">
        <f aca="false">IF($D1839="","",IF(COUNTIF($D$2:$D1839,$D1839)=1,1,0))</f>
        <v/>
      </c>
      <c r="AI1839" s="18" t="str">
        <f aca="false">IF($AH1839=1,SUMPRODUCT(--($AK$2:$AK$4001&lt;$AK1839))+1,"")</f>
        <v/>
      </c>
      <c r="AJ1839" s="18" t="str">
        <f aca="false">IF($D1839="","",IF(OR($R1839=TRUE(),$R1839="TRUE"),1,0))</f>
        <v/>
      </c>
      <c r="AK1839" s="18" t="str">
        <f aca="false">IF($AH1839=1,IFERROR(VALUE(MID($D1839,2,20)),1000000000)+ROW()/10000000,"")</f>
        <v/>
      </c>
    </row>
    <row r="1840" customFormat="false" ht="15" hidden="false" customHeight="false" outlineLevel="0" collapsed="false">
      <c r="F1840" s="15"/>
      <c r="N1840" s="16" t="str">
        <f aca="false">IF($D1840="","",M1840*Y1840/100)</f>
        <v/>
      </c>
      <c r="V1840" s="16" t="str">
        <f aca="false">IF($D1840="","",Y1840*AB1840/100)</f>
        <v/>
      </c>
      <c r="W1840" s="16" t="str">
        <f aca="false">IF($D1840="","",Y1840-V1840)</f>
        <v/>
      </c>
      <c r="X1840" s="16" t="str">
        <f aca="false">IF($D1840="","",W1840-N1840)</f>
        <v/>
      </c>
      <c r="AB1840" s="17" t="str">
        <f aca="false">IF($D1840="","",IF(OR($R1840=TRUE(),$R1840="TRUE"),Settings!$C$6,Settings!$C$7)*100)</f>
        <v/>
      </c>
      <c r="AH1840" s="18" t="str">
        <f aca="false">IF($D1840="","",IF(COUNTIF($D$2:$D1840,$D1840)=1,1,0))</f>
        <v/>
      </c>
      <c r="AI1840" s="18" t="str">
        <f aca="false">IF($AH1840=1,SUMPRODUCT(--($AK$2:$AK$4001&lt;$AK1840))+1,"")</f>
        <v/>
      </c>
      <c r="AJ1840" s="18" t="str">
        <f aca="false">IF($D1840="","",IF(OR($R1840=TRUE(),$R1840="TRUE"),1,0))</f>
        <v/>
      </c>
      <c r="AK1840" s="18" t="str">
        <f aca="false">IF($AH1840=1,IFERROR(VALUE(MID($D1840,2,20)),1000000000)+ROW()/10000000,"")</f>
        <v/>
      </c>
    </row>
    <row r="1841" customFormat="false" ht="15" hidden="false" customHeight="false" outlineLevel="0" collapsed="false">
      <c r="F1841" s="15"/>
      <c r="N1841" s="16" t="str">
        <f aca="false">IF($D1841="","",M1841*Y1841/100)</f>
        <v/>
      </c>
      <c r="V1841" s="16" t="str">
        <f aca="false">IF($D1841="","",Y1841*AB1841/100)</f>
        <v/>
      </c>
      <c r="W1841" s="16" t="str">
        <f aca="false">IF($D1841="","",Y1841-V1841)</f>
        <v/>
      </c>
      <c r="X1841" s="16" t="str">
        <f aca="false">IF($D1841="","",W1841-N1841)</f>
        <v/>
      </c>
      <c r="AB1841" s="17" t="str">
        <f aca="false">IF($D1841="","",IF(OR($R1841=TRUE(),$R1841="TRUE"),Settings!$C$6,Settings!$C$7)*100)</f>
        <v/>
      </c>
      <c r="AH1841" s="18" t="str">
        <f aca="false">IF($D1841="","",IF(COUNTIF($D$2:$D1841,$D1841)=1,1,0))</f>
        <v/>
      </c>
      <c r="AI1841" s="18" t="str">
        <f aca="false">IF($AH1841=1,SUMPRODUCT(--($AK$2:$AK$4001&lt;$AK1841))+1,"")</f>
        <v/>
      </c>
      <c r="AJ1841" s="18" t="str">
        <f aca="false">IF($D1841="","",IF(OR($R1841=TRUE(),$R1841="TRUE"),1,0))</f>
        <v/>
      </c>
      <c r="AK1841" s="18" t="str">
        <f aca="false">IF($AH1841=1,IFERROR(VALUE(MID($D1841,2,20)),1000000000)+ROW()/10000000,"")</f>
        <v/>
      </c>
    </row>
    <row r="1842" customFormat="false" ht="15" hidden="false" customHeight="false" outlineLevel="0" collapsed="false">
      <c r="F1842" s="15"/>
      <c r="N1842" s="16" t="str">
        <f aca="false">IF($D1842="","",M1842*Y1842/100)</f>
        <v/>
      </c>
      <c r="V1842" s="16" t="str">
        <f aca="false">IF($D1842="","",Y1842*AB1842/100)</f>
        <v/>
      </c>
      <c r="W1842" s="16" t="str">
        <f aca="false">IF($D1842="","",Y1842-V1842)</f>
        <v/>
      </c>
      <c r="X1842" s="16" t="str">
        <f aca="false">IF($D1842="","",W1842-N1842)</f>
        <v/>
      </c>
      <c r="AB1842" s="17" t="str">
        <f aca="false">IF($D1842="","",IF(OR($R1842=TRUE(),$R1842="TRUE"),Settings!$C$6,Settings!$C$7)*100)</f>
        <v/>
      </c>
      <c r="AH1842" s="18" t="str">
        <f aca="false">IF($D1842="","",IF(COUNTIF($D$2:$D1842,$D1842)=1,1,0))</f>
        <v/>
      </c>
      <c r="AI1842" s="18" t="str">
        <f aca="false">IF($AH1842=1,SUMPRODUCT(--($AK$2:$AK$4001&lt;$AK1842))+1,"")</f>
        <v/>
      </c>
      <c r="AJ1842" s="18" t="str">
        <f aca="false">IF($D1842="","",IF(OR($R1842=TRUE(),$R1842="TRUE"),1,0))</f>
        <v/>
      </c>
      <c r="AK1842" s="18" t="str">
        <f aca="false">IF($AH1842=1,IFERROR(VALUE(MID($D1842,2,20)),1000000000)+ROW()/10000000,"")</f>
        <v/>
      </c>
    </row>
    <row r="1843" customFormat="false" ht="15" hidden="false" customHeight="false" outlineLevel="0" collapsed="false">
      <c r="F1843" s="15"/>
      <c r="N1843" s="16" t="str">
        <f aca="false">IF($D1843="","",M1843*Y1843/100)</f>
        <v/>
      </c>
      <c r="V1843" s="16" t="str">
        <f aca="false">IF($D1843="","",Y1843*AB1843/100)</f>
        <v/>
      </c>
      <c r="W1843" s="16" t="str">
        <f aca="false">IF($D1843="","",Y1843-V1843)</f>
        <v/>
      </c>
      <c r="X1843" s="16" t="str">
        <f aca="false">IF($D1843="","",W1843-N1843)</f>
        <v/>
      </c>
      <c r="AB1843" s="17" t="str">
        <f aca="false">IF($D1843="","",IF(OR($R1843=TRUE(),$R1843="TRUE"),Settings!$C$6,Settings!$C$7)*100)</f>
        <v/>
      </c>
      <c r="AH1843" s="18" t="str">
        <f aca="false">IF($D1843="","",IF(COUNTIF($D$2:$D1843,$D1843)=1,1,0))</f>
        <v/>
      </c>
      <c r="AI1843" s="18" t="str">
        <f aca="false">IF($AH1843=1,SUMPRODUCT(--($AK$2:$AK$4001&lt;$AK1843))+1,"")</f>
        <v/>
      </c>
      <c r="AJ1843" s="18" t="str">
        <f aca="false">IF($D1843="","",IF(OR($R1843=TRUE(),$R1843="TRUE"),1,0))</f>
        <v/>
      </c>
      <c r="AK1843" s="18" t="str">
        <f aca="false">IF($AH1843=1,IFERROR(VALUE(MID($D1843,2,20)),1000000000)+ROW()/10000000,"")</f>
        <v/>
      </c>
    </row>
    <row r="1844" customFormat="false" ht="15" hidden="false" customHeight="false" outlineLevel="0" collapsed="false">
      <c r="F1844" s="15"/>
      <c r="N1844" s="16" t="str">
        <f aca="false">IF($D1844="","",M1844*Y1844/100)</f>
        <v/>
      </c>
      <c r="V1844" s="16" t="str">
        <f aca="false">IF($D1844="","",Y1844*AB1844/100)</f>
        <v/>
      </c>
      <c r="W1844" s="16" t="str">
        <f aca="false">IF($D1844="","",Y1844-V1844)</f>
        <v/>
      </c>
      <c r="X1844" s="16" t="str">
        <f aca="false">IF($D1844="","",W1844-N1844)</f>
        <v/>
      </c>
      <c r="AB1844" s="17" t="str">
        <f aca="false">IF($D1844="","",IF(OR($R1844=TRUE(),$R1844="TRUE"),Settings!$C$6,Settings!$C$7)*100)</f>
        <v/>
      </c>
      <c r="AH1844" s="18" t="str">
        <f aca="false">IF($D1844="","",IF(COUNTIF($D$2:$D1844,$D1844)=1,1,0))</f>
        <v/>
      </c>
      <c r="AI1844" s="18" t="str">
        <f aca="false">IF($AH1844=1,SUMPRODUCT(--($AK$2:$AK$4001&lt;$AK1844))+1,"")</f>
        <v/>
      </c>
      <c r="AJ1844" s="18" t="str">
        <f aca="false">IF($D1844="","",IF(OR($R1844=TRUE(),$R1844="TRUE"),1,0))</f>
        <v/>
      </c>
      <c r="AK1844" s="18" t="str">
        <f aca="false">IF($AH1844=1,IFERROR(VALUE(MID($D1844,2,20)),1000000000)+ROW()/10000000,"")</f>
        <v/>
      </c>
    </row>
    <row r="1845" customFormat="false" ht="15" hidden="false" customHeight="false" outlineLevel="0" collapsed="false">
      <c r="F1845" s="15"/>
      <c r="N1845" s="16" t="str">
        <f aca="false">IF($D1845="","",M1845*Y1845/100)</f>
        <v/>
      </c>
      <c r="V1845" s="16" t="str">
        <f aca="false">IF($D1845="","",Y1845*AB1845/100)</f>
        <v/>
      </c>
      <c r="W1845" s="16" t="str">
        <f aca="false">IF($D1845="","",Y1845-V1845)</f>
        <v/>
      </c>
      <c r="X1845" s="16" t="str">
        <f aca="false">IF($D1845="","",W1845-N1845)</f>
        <v/>
      </c>
      <c r="AB1845" s="17" t="str">
        <f aca="false">IF($D1845="","",IF(OR($R1845=TRUE(),$R1845="TRUE"),Settings!$C$6,Settings!$C$7)*100)</f>
        <v/>
      </c>
      <c r="AH1845" s="18" t="str">
        <f aca="false">IF($D1845="","",IF(COUNTIF($D$2:$D1845,$D1845)=1,1,0))</f>
        <v/>
      </c>
      <c r="AI1845" s="18" t="str">
        <f aca="false">IF($AH1845=1,SUMPRODUCT(--($AK$2:$AK$4001&lt;$AK1845))+1,"")</f>
        <v/>
      </c>
      <c r="AJ1845" s="18" t="str">
        <f aca="false">IF($D1845="","",IF(OR($R1845=TRUE(),$R1845="TRUE"),1,0))</f>
        <v/>
      </c>
      <c r="AK1845" s="18" t="str">
        <f aca="false">IF($AH1845=1,IFERROR(VALUE(MID($D1845,2,20)),1000000000)+ROW()/10000000,"")</f>
        <v/>
      </c>
    </row>
    <row r="1846" customFormat="false" ht="15" hidden="false" customHeight="false" outlineLevel="0" collapsed="false">
      <c r="F1846" s="15"/>
      <c r="N1846" s="16" t="str">
        <f aca="false">IF($D1846="","",M1846*Y1846/100)</f>
        <v/>
      </c>
      <c r="V1846" s="16" t="str">
        <f aca="false">IF($D1846="","",Y1846*AB1846/100)</f>
        <v/>
      </c>
      <c r="W1846" s="16" t="str">
        <f aca="false">IF($D1846="","",Y1846-V1846)</f>
        <v/>
      </c>
      <c r="X1846" s="16" t="str">
        <f aca="false">IF($D1846="","",W1846-N1846)</f>
        <v/>
      </c>
      <c r="AB1846" s="17" t="str">
        <f aca="false">IF($D1846="","",IF(OR($R1846=TRUE(),$R1846="TRUE"),Settings!$C$6,Settings!$C$7)*100)</f>
        <v/>
      </c>
      <c r="AH1846" s="18" t="str">
        <f aca="false">IF($D1846="","",IF(COUNTIF($D$2:$D1846,$D1846)=1,1,0))</f>
        <v/>
      </c>
      <c r="AI1846" s="18" t="str">
        <f aca="false">IF($AH1846=1,SUMPRODUCT(--($AK$2:$AK$4001&lt;$AK1846))+1,"")</f>
        <v/>
      </c>
      <c r="AJ1846" s="18" t="str">
        <f aca="false">IF($D1846="","",IF(OR($R1846=TRUE(),$R1846="TRUE"),1,0))</f>
        <v/>
      </c>
      <c r="AK1846" s="18" t="str">
        <f aca="false">IF($AH1846=1,IFERROR(VALUE(MID($D1846,2,20)),1000000000)+ROW()/10000000,"")</f>
        <v/>
      </c>
    </row>
    <row r="1847" customFormat="false" ht="15" hidden="false" customHeight="false" outlineLevel="0" collapsed="false">
      <c r="F1847" s="15"/>
      <c r="N1847" s="16" t="str">
        <f aca="false">IF($D1847="","",M1847*Y1847/100)</f>
        <v/>
      </c>
      <c r="V1847" s="16" t="str">
        <f aca="false">IF($D1847="","",Y1847*AB1847/100)</f>
        <v/>
      </c>
      <c r="W1847" s="16" t="str">
        <f aca="false">IF($D1847="","",Y1847-V1847)</f>
        <v/>
      </c>
      <c r="X1847" s="16" t="str">
        <f aca="false">IF($D1847="","",W1847-N1847)</f>
        <v/>
      </c>
      <c r="AB1847" s="17" t="str">
        <f aca="false">IF($D1847="","",IF(OR($R1847=TRUE(),$R1847="TRUE"),Settings!$C$6,Settings!$C$7)*100)</f>
        <v/>
      </c>
      <c r="AH1847" s="18" t="str">
        <f aca="false">IF($D1847="","",IF(COUNTIF($D$2:$D1847,$D1847)=1,1,0))</f>
        <v/>
      </c>
      <c r="AI1847" s="18" t="str">
        <f aca="false">IF($AH1847=1,SUMPRODUCT(--($AK$2:$AK$4001&lt;$AK1847))+1,"")</f>
        <v/>
      </c>
      <c r="AJ1847" s="18" t="str">
        <f aca="false">IF($D1847="","",IF(OR($R1847=TRUE(),$R1847="TRUE"),1,0))</f>
        <v/>
      </c>
      <c r="AK1847" s="18" t="str">
        <f aca="false">IF($AH1847=1,IFERROR(VALUE(MID($D1847,2,20)),1000000000)+ROW()/10000000,"")</f>
        <v/>
      </c>
    </row>
    <row r="1848" customFormat="false" ht="15" hidden="false" customHeight="false" outlineLevel="0" collapsed="false">
      <c r="F1848" s="15"/>
      <c r="N1848" s="16" t="str">
        <f aca="false">IF($D1848="","",M1848*Y1848/100)</f>
        <v/>
      </c>
      <c r="V1848" s="16" t="str">
        <f aca="false">IF($D1848="","",Y1848*AB1848/100)</f>
        <v/>
      </c>
      <c r="W1848" s="16" t="str">
        <f aca="false">IF($D1848="","",Y1848-V1848)</f>
        <v/>
      </c>
      <c r="X1848" s="16" t="str">
        <f aca="false">IF($D1848="","",W1848-N1848)</f>
        <v/>
      </c>
      <c r="AB1848" s="17" t="str">
        <f aca="false">IF($D1848="","",IF(OR($R1848=TRUE(),$R1848="TRUE"),Settings!$C$6,Settings!$C$7)*100)</f>
        <v/>
      </c>
      <c r="AH1848" s="18" t="str">
        <f aca="false">IF($D1848="","",IF(COUNTIF($D$2:$D1848,$D1848)=1,1,0))</f>
        <v/>
      </c>
      <c r="AI1848" s="18" t="str">
        <f aca="false">IF($AH1848=1,SUMPRODUCT(--($AK$2:$AK$4001&lt;$AK1848))+1,"")</f>
        <v/>
      </c>
      <c r="AJ1848" s="18" t="str">
        <f aca="false">IF($D1848="","",IF(OR($R1848=TRUE(),$R1848="TRUE"),1,0))</f>
        <v/>
      </c>
      <c r="AK1848" s="18" t="str">
        <f aca="false">IF($AH1848=1,IFERROR(VALUE(MID($D1848,2,20)),1000000000)+ROW()/10000000,"")</f>
        <v/>
      </c>
    </row>
    <row r="1849" customFormat="false" ht="15" hidden="false" customHeight="false" outlineLevel="0" collapsed="false">
      <c r="F1849" s="15"/>
      <c r="N1849" s="16" t="str">
        <f aca="false">IF($D1849="","",M1849*Y1849/100)</f>
        <v/>
      </c>
      <c r="V1849" s="16" t="str">
        <f aca="false">IF($D1849="","",Y1849*AB1849/100)</f>
        <v/>
      </c>
      <c r="W1849" s="16" t="str">
        <f aca="false">IF($D1849="","",Y1849-V1849)</f>
        <v/>
      </c>
      <c r="X1849" s="16" t="str">
        <f aca="false">IF($D1849="","",W1849-N1849)</f>
        <v/>
      </c>
      <c r="AB1849" s="17" t="str">
        <f aca="false">IF($D1849="","",IF(OR($R1849=TRUE(),$R1849="TRUE"),Settings!$C$6,Settings!$C$7)*100)</f>
        <v/>
      </c>
      <c r="AH1849" s="18" t="str">
        <f aca="false">IF($D1849="","",IF(COUNTIF($D$2:$D1849,$D1849)=1,1,0))</f>
        <v/>
      </c>
      <c r="AI1849" s="18" t="str">
        <f aca="false">IF($AH1849=1,SUMPRODUCT(--($AK$2:$AK$4001&lt;$AK1849))+1,"")</f>
        <v/>
      </c>
      <c r="AJ1849" s="18" t="str">
        <f aca="false">IF($D1849="","",IF(OR($R1849=TRUE(),$R1849="TRUE"),1,0))</f>
        <v/>
      </c>
      <c r="AK1849" s="18" t="str">
        <f aca="false">IF($AH1849=1,IFERROR(VALUE(MID($D1849,2,20)),1000000000)+ROW()/10000000,"")</f>
        <v/>
      </c>
    </row>
    <row r="1850" customFormat="false" ht="15" hidden="false" customHeight="false" outlineLevel="0" collapsed="false">
      <c r="F1850" s="15"/>
      <c r="N1850" s="16" t="str">
        <f aca="false">IF($D1850="","",M1850*Y1850/100)</f>
        <v/>
      </c>
      <c r="V1850" s="16" t="str">
        <f aca="false">IF($D1850="","",Y1850*AB1850/100)</f>
        <v/>
      </c>
      <c r="W1850" s="16" t="str">
        <f aca="false">IF($D1850="","",Y1850-V1850)</f>
        <v/>
      </c>
      <c r="X1850" s="16" t="str">
        <f aca="false">IF($D1850="","",W1850-N1850)</f>
        <v/>
      </c>
      <c r="AB1850" s="17" t="str">
        <f aca="false">IF($D1850="","",IF(OR($R1850=TRUE(),$R1850="TRUE"),Settings!$C$6,Settings!$C$7)*100)</f>
        <v/>
      </c>
      <c r="AH1850" s="18" t="str">
        <f aca="false">IF($D1850="","",IF(COUNTIF($D$2:$D1850,$D1850)=1,1,0))</f>
        <v/>
      </c>
      <c r="AI1850" s="18" t="str">
        <f aca="false">IF($AH1850=1,SUMPRODUCT(--($AK$2:$AK$4001&lt;$AK1850))+1,"")</f>
        <v/>
      </c>
      <c r="AJ1850" s="18" t="str">
        <f aca="false">IF($D1850="","",IF(OR($R1850=TRUE(),$R1850="TRUE"),1,0))</f>
        <v/>
      </c>
      <c r="AK1850" s="18" t="str">
        <f aca="false">IF($AH1850=1,IFERROR(VALUE(MID($D1850,2,20)),1000000000)+ROW()/10000000,"")</f>
        <v/>
      </c>
    </row>
    <row r="1851" customFormat="false" ht="15" hidden="false" customHeight="false" outlineLevel="0" collapsed="false">
      <c r="F1851" s="15"/>
      <c r="N1851" s="16" t="str">
        <f aca="false">IF($D1851="","",M1851*Y1851/100)</f>
        <v/>
      </c>
      <c r="V1851" s="16" t="str">
        <f aca="false">IF($D1851="","",Y1851*AB1851/100)</f>
        <v/>
      </c>
      <c r="W1851" s="16" t="str">
        <f aca="false">IF($D1851="","",Y1851-V1851)</f>
        <v/>
      </c>
      <c r="X1851" s="16" t="str">
        <f aca="false">IF($D1851="","",W1851-N1851)</f>
        <v/>
      </c>
      <c r="AB1851" s="17" t="str">
        <f aca="false">IF($D1851="","",IF(OR($R1851=TRUE(),$R1851="TRUE"),Settings!$C$6,Settings!$C$7)*100)</f>
        <v/>
      </c>
      <c r="AH1851" s="18" t="str">
        <f aca="false">IF($D1851="","",IF(COUNTIF($D$2:$D1851,$D1851)=1,1,0))</f>
        <v/>
      </c>
      <c r="AI1851" s="18" t="str">
        <f aca="false">IF($AH1851=1,SUMPRODUCT(--($AK$2:$AK$4001&lt;$AK1851))+1,"")</f>
        <v/>
      </c>
      <c r="AJ1851" s="18" t="str">
        <f aca="false">IF($D1851="","",IF(OR($R1851=TRUE(),$R1851="TRUE"),1,0))</f>
        <v/>
      </c>
      <c r="AK1851" s="18" t="str">
        <f aca="false">IF($AH1851=1,IFERROR(VALUE(MID($D1851,2,20)),1000000000)+ROW()/10000000,"")</f>
        <v/>
      </c>
    </row>
    <row r="1852" customFormat="false" ht="15" hidden="false" customHeight="false" outlineLevel="0" collapsed="false">
      <c r="F1852" s="15"/>
      <c r="N1852" s="16" t="str">
        <f aca="false">IF($D1852="","",M1852*Y1852/100)</f>
        <v/>
      </c>
      <c r="V1852" s="16" t="str">
        <f aca="false">IF($D1852="","",Y1852*AB1852/100)</f>
        <v/>
      </c>
      <c r="W1852" s="16" t="str">
        <f aca="false">IF($D1852="","",Y1852-V1852)</f>
        <v/>
      </c>
      <c r="X1852" s="16" t="str">
        <f aca="false">IF($D1852="","",W1852-N1852)</f>
        <v/>
      </c>
      <c r="AB1852" s="17" t="str">
        <f aca="false">IF($D1852="","",IF(OR($R1852=TRUE(),$R1852="TRUE"),Settings!$C$6,Settings!$C$7)*100)</f>
        <v/>
      </c>
      <c r="AH1852" s="18" t="str">
        <f aca="false">IF($D1852="","",IF(COUNTIF($D$2:$D1852,$D1852)=1,1,0))</f>
        <v/>
      </c>
      <c r="AI1852" s="18" t="str">
        <f aca="false">IF($AH1852=1,SUMPRODUCT(--($AK$2:$AK$4001&lt;$AK1852))+1,"")</f>
        <v/>
      </c>
      <c r="AJ1852" s="18" t="str">
        <f aca="false">IF($D1852="","",IF(OR($R1852=TRUE(),$R1852="TRUE"),1,0))</f>
        <v/>
      </c>
      <c r="AK1852" s="18" t="str">
        <f aca="false">IF($AH1852=1,IFERROR(VALUE(MID($D1852,2,20)),1000000000)+ROW()/10000000,"")</f>
        <v/>
      </c>
    </row>
    <row r="1853" customFormat="false" ht="15" hidden="false" customHeight="false" outlineLevel="0" collapsed="false">
      <c r="F1853" s="15"/>
      <c r="N1853" s="16" t="str">
        <f aca="false">IF($D1853="","",M1853*Y1853/100)</f>
        <v/>
      </c>
      <c r="V1853" s="16" t="str">
        <f aca="false">IF($D1853="","",Y1853*AB1853/100)</f>
        <v/>
      </c>
      <c r="W1853" s="16" t="str">
        <f aca="false">IF($D1853="","",Y1853-V1853)</f>
        <v/>
      </c>
      <c r="X1853" s="16" t="str">
        <f aca="false">IF($D1853="","",W1853-N1853)</f>
        <v/>
      </c>
      <c r="AB1853" s="17" t="str">
        <f aca="false">IF($D1853="","",IF(OR($R1853=TRUE(),$R1853="TRUE"),Settings!$C$6,Settings!$C$7)*100)</f>
        <v/>
      </c>
      <c r="AH1853" s="18" t="str">
        <f aca="false">IF($D1853="","",IF(COUNTIF($D$2:$D1853,$D1853)=1,1,0))</f>
        <v/>
      </c>
      <c r="AI1853" s="18" t="str">
        <f aca="false">IF($AH1853=1,SUMPRODUCT(--($AK$2:$AK$4001&lt;$AK1853))+1,"")</f>
        <v/>
      </c>
      <c r="AJ1853" s="18" t="str">
        <f aca="false">IF($D1853="","",IF(OR($R1853=TRUE(),$R1853="TRUE"),1,0))</f>
        <v/>
      </c>
      <c r="AK1853" s="18" t="str">
        <f aca="false">IF($AH1853=1,IFERROR(VALUE(MID($D1853,2,20)),1000000000)+ROW()/10000000,"")</f>
        <v/>
      </c>
    </row>
    <row r="1854" customFormat="false" ht="15" hidden="false" customHeight="false" outlineLevel="0" collapsed="false">
      <c r="F1854" s="15"/>
      <c r="N1854" s="16" t="str">
        <f aca="false">IF($D1854="","",M1854*Y1854/100)</f>
        <v/>
      </c>
      <c r="V1854" s="16" t="str">
        <f aca="false">IF($D1854="","",Y1854*AB1854/100)</f>
        <v/>
      </c>
      <c r="W1854" s="16" t="str">
        <f aca="false">IF($D1854="","",Y1854-V1854)</f>
        <v/>
      </c>
      <c r="X1854" s="16" t="str">
        <f aca="false">IF($D1854="","",W1854-N1854)</f>
        <v/>
      </c>
      <c r="AB1854" s="17" t="str">
        <f aca="false">IF($D1854="","",IF(OR($R1854=TRUE(),$R1854="TRUE"),Settings!$C$6,Settings!$C$7)*100)</f>
        <v/>
      </c>
      <c r="AH1854" s="18" t="str">
        <f aca="false">IF($D1854="","",IF(COUNTIF($D$2:$D1854,$D1854)=1,1,0))</f>
        <v/>
      </c>
      <c r="AI1854" s="18" t="str">
        <f aca="false">IF($AH1854=1,SUMPRODUCT(--($AK$2:$AK$4001&lt;$AK1854))+1,"")</f>
        <v/>
      </c>
      <c r="AJ1854" s="18" t="str">
        <f aca="false">IF($D1854="","",IF(OR($R1854=TRUE(),$R1854="TRUE"),1,0))</f>
        <v/>
      </c>
      <c r="AK1854" s="18" t="str">
        <f aca="false">IF($AH1854=1,IFERROR(VALUE(MID($D1854,2,20)),1000000000)+ROW()/10000000,"")</f>
        <v/>
      </c>
    </row>
    <row r="1855" customFormat="false" ht="15" hidden="false" customHeight="false" outlineLevel="0" collapsed="false">
      <c r="F1855" s="15"/>
      <c r="N1855" s="16" t="str">
        <f aca="false">IF($D1855="","",M1855*Y1855/100)</f>
        <v/>
      </c>
      <c r="V1855" s="16" t="str">
        <f aca="false">IF($D1855="","",Y1855*AB1855/100)</f>
        <v/>
      </c>
      <c r="W1855" s="16" t="str">
        <f aca="false">IF($D1855="","",Y1855-V1855)</f>
        <v/>
      </c>
      <c r="X1855" s="16" t="str">
        <f aca="false">IF($D1855="","",W1855-N1855)</f>
        <v/>
      </c>
      <c r="AB1855" s="17" t="str">
        <f aca="false">IF($D1855="","",IF(OR($R1855=TRUE(),$R1855="TRUE"),Settings!$C$6,Settings!$C$7)*100)</f>
        <v/>
      </c>
      <c r="AH1855" s="18" t="str">
        <f aca="false">IF($D1855="","",IF(COUNTIF($D$2:$D1855,$D1855)=1,1,0))</f>
        <v/>
      </c>
      <c r="AI1855" s="18" t="str">
        <f aca="false">IF($AH1855=1,SUMPRODUCT(--($AK$2:$AK$4001&lt;$AK1855))+1,"")</f>
        <v/>
      </c>
      <c r="AJ1855" s="18" t="str">
        <f aca="false">IF($D1855="","",IF(OR($R1855=TRUE(),$R1855="TRUE"),1,0))</f>
        <v/>
      </c>
      <c r="AK1855" s="18" t="str">
        <f aca="false">IF($AH1855=1,IFERROR(VALUE(MID($D1855,2,20)),1000000000)+ROW()/10000000,"")</f>
        <v/>
      </c>
    </row>
    <row r="1856" customFormat="false" ht="15" hidden="false" customHeight="false" outlineLevel="0" collapsed="false">
      <c r="F1856" s="15"/>
      <c r="N1856" s="16" t="str">
        <f aca="false">IF($D1856="","",M1856*Y1856/100)</f>
        <v/>
      </c>
      <c r="V1856" s="16" t="str">
        <f aca="false">IF($D1856="","",Y1856*AB1856/100)</f>
        <v/>
      </c>
      <c r="W1856" s="16" t="str">
        <f aca="false">IF($D1856="","",Y1856-V1856)</f>
        <v/>
      </c>
      <c r="X1856" s="16" t="str">
        <f aca="false">IF($D1856="","",W1856-N1856)</f>
        <v/>
      </c>
      <c r="AB1856" s="17" t="str">
        <f aca="false">IF($D1856="","",IF(OR($R1856=TRUE(),$R1856="TRUE"),Settings!$C$6,Settings!$C$7)*100)</f>
        <v/>
      </c>
      <c r="AH1856" s="18" t="str">
        <f aca="false">IF($D1856="","",IF(COUNTIF($D$2:$D1856,$D1856)=1,1,0))</f>
        <v/>
      </c>
      <c r="AI1856" s="18" t="str">
        <f aca="false">IF($AH1856=1,SUMPRODUCT(--($AK$2:$AK$4001&lt;$AK1856))+1,"")</f>
        <v/>
      </c>
      <c r="AJ1856" s="18" t="str">
        <f aca="false">IF($D1856="","",IF(OR($R1856=TRUE(),$R1856="TRUE"),1,0))</f>
        <v/>
      </c>
      <c r="AK1856" s="18" t="str">
        <f aca="false">IF($AH1856=1,IFERROR(VALUE(MID($D1856,2,20)),1000000000)+ROW()/10000000,"")</f>
        <v/>
      </c>
    </row>
    <row r="1857" customFormat="false" ht="15" hidden="false" customHeight="false" outlineLevel="0" collapsed="false">
      <c r="F1857" s="15"/>
      <c r="N1857" s="16" t="str">
        <f aca="false">IF($D1857="","",M1857*Y1857/100)</f>
        <v/>
      </c>
      <c r="V1857" s="16" t="str">
        <f aca="false">IF($D1857="","",Y1857*AB1857/100)</f>
        <v/>
      </c>
      <c r="W1857" s="16" t="str">
        <f aca="false">IF($D1857="","",Y1857-V1857)</f>
        <v/>
      </c>
      <c r="X1857" s="16" t="str">
        <f aca="false">IF($D1857="","",W1857-N1857)</f>
        <v/>
      </c>
      <c r="AB1857" s="17" t="str">
        <f aca="false">IF($D1857="","",IF(OR($R1857=TRUE(),$R1857="TRUE"),Settings!$C$6,Settings!$C$7)*100)</f>
        <v/>
      </c>
      <c r="AH1857" s="18" t="str">
        <f aca="false">IF($D1857="","",IF(COUNTIF($D$2:$D1857,$D1857)=1,1,0))</f>
        <v/>
      </c>
      <c r="AI1857" s="18" t="str">
        <f aca="false">IF($AH1857=1,SUMPRODUCT(--($AK$2:$AK$4001&lt;$AK1857))+1,"")</f>
        <v/>
      </c>
      <c r="AJ1857" s="18" t="str">
        <f aca="false">IF($D1857="","",IF(OR($R1857=TRUE(),$R1857="TRUE"),1,0))</f>
        <v/>
      </c>
      <c r="AK1857" s="18" t="str">
        <f aca="false">IF($AH1857=1,IFERROR(VALUE(MID($D1857,2,20)),1000000000)+ROW()/10000000,"")</f>
        <v/>
      </c>
    </row>
    <row r="1858" customFormat="false" ht="15" hidden="false" customHeight="false" outlineLevel="0" collapsed="false">
      <c r="F1858" s="15"/>
      <c r="N1858" s="16" t="str">
        <f aca="false">IF($D1858="","",M1858*Y1858/100)</f>
        <v/>
      </c>
      <c r="V1858" s="16" t="str">
        <f aca="false">IF($D1858="","",Y1858*AB1858/100)</f>
        <v/>
      </c>
      <c r="W1858" s="16" t="str">
        <f aca="false">IF($D1858="","",Y1858-V1858)</f>
        <v/>
      </c>
      <c r="X1858" s="16" t="str">
        <f aca="false">IF($D1858="","",W1858-N1858)</f>
        <v/>
      </c>
      <c r="AB1858" s="17" t="str">
        <f aca="false">IF($D1858="","",IF(OR($R1858=TRUE(),$R1858="TRUE"),Settings!$C$6,Settings!$C$7)*100)</f>
        <v/>
      </c>
      <c r="AH1858" s="18" t="str">
        <f aca="false">IF($D1858="","",IF(COUNTIF($D$2:$D1858,$D1858)=1,1,0))</f>
        <v/>
      </c>
      <c r="AI1858" s="18" t="str">
        <f aca="false">IF($AH1858=1,SUMPRODUCT(--($AK$2:$AK$4001&lt;$AK1858))+1,"")</f>
        <v/>
      </c>
      <c r="AJ1858" s="18" t="str">
        <f aca="false">IF($D1858="","",IF(OR($R1858=TRUE(),$R1858="TRUE"),1,0))</f>
        <v/>
      </c>
      <c r="AK1858" s="18" t="str">
        <f aca="false">IF($AH1858=1,IFERROR(VALUE(MID($D1858,2,20)),1000000000)+ROW()/10000000,"")</f>
        <v/>
      </c>
    </row>
    <row r="1859" customFormat="false" ht="15" hidden="false" customHeight="false" outlineLevel="0" collapsed="false">
      <c r="F1859" s="15"/>
      <c r="N1859" s="16" t="str">
        <f aca="false">IF($D1859="","",M1859*Y1859/100)</f>
        <v/>
      </c>
      <c r="V1859" s="16" t="str">
        <f aca="false">IF($D1859="","",Y1859*AB1859/100)</f>
        <v/>
      </c>
      <c r="W1859" s="16" t="str">
        <f aca="false">IF($D1859="","",Y1859-V1859)</f>
        <v/>
      </c>
      <c r="X1859" s="16" t="str">
        <f aca="false">IF($D1859="","",W1859-N1859)</f>
        <v/>
      </c>
      <c r="AB1859" s="17" t="str">
        <f aca="false">IF($D1859="","",IF(OR($R1859=TRUE(),$R1859="TRUE"),Settings!$C$6,Settings!$C$7)*100)</f>
        <v/>
      </c>
      <c r="AH1859" s="18" t="str">
        <f aca="false">IF($D1859="","",IF(COUNTIF($D$2:$D1859,$D1859)=1,1,0))</f>
        <v/>
      </c>
      <c r="AI1859" s="18" t="str">
        <f aca="false">IF($AH1859=1,SUMPRODUCT(--($AK$2:$AK$4001&lt;$AK1859))+1,"")</f>
        <v/>
      </c>
      <c r="AJ1859" s="18" t="str">
        <f aca="false">IF($D1859="","",IF(OR($R1859=TRUE(),$R1859="TRUE"),1,0))</f>
        <v/>
      </c>
      <c r="AK1859" s="18" t="str">
        <f aca="false">IF($AH1859=1,IFERROR(VALUE(MID($D1859,2,20)),1000000000)+ROW()/10000000,"")</f>
        <v/>
      </c>
    </row>
    <row r="1860" customFormat="false" ht="15" hidden="false" customHeight="false" outlineLevel="0" collapsed="false">
      <c r="F1860" s="15"/>
      <c r="N1860" s="16" t="str">
        <f aca="false">IF($D1860="","",M1860*Y1860/100)</f>
        <v/>
      </c>
      <c r="V1860" s="16" t="str">
        <f aca="false">IF($D1860="","",Y1860*AB1860/100)</f>
        <v/>
      </c>
      <c r="W1860" s="16" t="str">
        <f aca="false">IF($D1860="","",Y1860-V1860)</f>
        <v/>
      </c>
      <c r="X1860" s="16" t="str">
        <f aca="false">IF($D1860="","",W1860-N1860)</f>
        <v/>
      </c>
      <c r="AB1860" s="17" t="str">
        <f aca="false">IF($D1860="","",IF(OR($R1860=TRUE(),$R1860="TRUE"),Settings!$C$6,Settings!$C$7)*100)</f>
        <v/>
      </c>
      <c r="AH1860" s="18" t="str">
        <f aca="false">IF($D1860="","",IF(COUNTIF($D$2:$D1860,$D1860)=1,1,0))</f>
        <v/>
      </c>
      <c r="AI1860" s="18" t="str">
        <f aca="false">IF($AH1860=1,SUMPRODUCT(--($AK$2:$AK$4001&lt;$AK1860))+1,"")</f>
        <v/>
      </c>
      <c r="AJ1860" s="18" t="str">
        <f aca="false">IF($D1860="","",IF(OR($R1860=TRUE(),$R1860="TRUE"),1,0))</f>
        <v/>
      </c>
      <c r="AK1860" s="18" t="str">
        <f aca="false">IF($AH1860=1,IFERROR(VALUE(MID($D1860,2,20)),1000000000)+ROW()/10000000,"")</f>
        <v/>
      </c>
    </row>
    <row r="1861" customFormat="false" ht="15" hidden="false" customHeight="false" outlineLevel="0" collapsed="false">
      <c r="F1861" s="15"/>
      <c r="N1861" s="16" t="str">
        <f aca="false">IF($D1861="","",M1861*Y1861/100)</f>
        <v/>
      </c>
      <c r="V1861" s="16" t="str">
        <f aca="false">IF($D1861="","",Y1861*AB1861/100)</f>
        <v/>
      </c>
      <c r="W1861" s="16" t="str">
        <f aca="false">IF($D1861="","",Y1861-V1861)</f>
        <v/>
      </c>
      <c r="X1861" s="16" t="str">
        <f aca="false">IF($D1861="","",W1861-N1861)</f>
        <v/>
      </c>
      <c r="AB1861" s="17" t="str">
        <f aca="false">IF($D1861="","",IF(OR($R1861=TRUE(),$R1861="TRUE"),Settings!$C$6,Settings!$C$7)*100)</f>
        <v/>
      </c>
      <c r="AH1861" s="18" t="str">
        <f aca="false">IF($D1861="","",IF(COUNTIF($D$2:$D1861,$D1861)=1,1,0))</f>
        <v/>
      </c>
      <c r="AI1861" s="18" t="str">
        <f aca="false">IF($AH1861=1,SUMPRODUCT(--($AK$2:$AK$4001&lt;$AK1861))+1,"")</f>
        <v/>
      </c>
      <c r="AJ1861" s="18" t="str">
        <f aca="false">IF($D1861="","",IF(OR($R1861=TRUE(),$R1861="TRUE"),1,0))</f>
        <v/>
      </c>
      <c r="AK1861" s="18" t="str">
        <f aca="false">IF($AH1861=1,IFERROR(VALUE(MID($D1861,2,20)),1000000000)+ROW()/10000000,"")</f>
        <v/>
      </c>
    </row>
    <row r="1862" customFormat="false" ht="15" hidden="false" customHeight="false" outlineLevel="0" collapsed="false">
      <c r="F1862" s="15"/>
      <c r="N1862" s="16" t="str">
        <f aca="false">IF($D1862="","",M1862*Y1862/100)</f>
        <v/>
      </c>
      <c r="V1862" s="16" t="str">
        <f aca="false">IF($D1862="","",Y1862*AB1862/100)</f>
        <v/>
      </c>
      <c r="W1862" s="16" t="str">
        <f aca="false">IF($D1862="","",Y1862-V1862)</f>
        <v/>
      </c>
      <c r="X1862" s="16" t="str">
        <f aca="false">IF($D1862="","",W1862-N1862)</f>
        <v/>
      </c>
      <c r="AB1862" s="17" t="str">
        <f aca="false">IF($D1862="","",IF(OR($R1862=TRUE(),$R1862="TRUE"),Settings!$C$6,Settings!$C$7)*100)</f>
        <v/>
      </c>
      <c r="AH1862" s="18" t="str">
        <f aca="false">IF($D1862="","",IF(COUNTIF($D$2:$D1862,$D1862)=1,1,0))</f>
        <v/>
      </c>
      <c r="AI1862" s="18" t="str">
        <f aca="false">IF($AH1862=1,SUMPRODUCT(--($AK$2:$AK$4001&lt;$AK1862))+1,"")</f>
        <v/>
      </c>
      <c r="AJ1862" s="18" t="str">
        <f aca="false">IF($D1862="","",IF(OR($R1862=TRUE(),$R1862="TRUE"),1,0))</f>
        <v/>
      </c>
      <c r="AK1862" s="18" t="str">
        <f aca="false">IF($AH1862=1,IFERROR(VALUE(MID($D1862,2,20)),1000000000)+ROW()/10000000,"")</f>
        <v/>
      </c>
    </row>
    <row r="1863" customFormat="false" ht="15" hidden="false" customHeight="false" outlineLevel="0" collapsed="false">
      <c r="F1863" s="15"/>
      <c r="N1863" s="16" t="str">
        <f aca="false">IF($D1863="","",M1863*Y1863/100)</f>
        <v/>
      </c>
      <c r="V1863" s="16" t="str">
        <f aca="false">IF($D1863="","",Y1863*AB1863/100)</f>
        <v/>
      </c>
      <c r="W1863" s="16" t="str">
        <f aca="false">IF($D1863="","",Y1863-V1863)</f>
        <v/>
      </c>
      <c r="X1863" s="16" t="str">
        <f aca="false">IF($D1863="","",W1863-N1863)</f>
        <v/>
      </c>
      <c r="AB1863" s="17" t="str">
        <f aca="false">IF($D1863="","",IF(OR($R1863=TRUE(),$R1863="TRUE"),Settings!$C$6,Settings!$C$7)*100)</f>
        <v/>
      </c>
      <c r="AH1863" s="18" t="str">
        <f aca="false">IF($D1863="","",IF(COUNTIF($D$2:$D1863,$D1863)=1,1,0))</f>
        <v/>
      </c>
      <c r="AI1863" s="18" t="str">
        <f aca="false">IF($AH1863=1,SUMPRODUCT(--($AK$2:$AK$4001&lt;$AK1863))+1,"")</f>
        <v/>
      </c>
      <c r="AJ1863" s="18" t="str">
        <f aca="false">IF($D1863="","",IF(OR($R1863=TRUE(),$R1863="TRUE"),1,0))</f>
        <v/>
      </c>
      <c r="AK1863" s="18" t="str">
        <f aca="false">IF($AH1863=1,IFERROR(VALUE(MID($D1863,2,20)),1000000000)+ROW()/10000000,"")</f>
        <v/>
      </c>
    </row>
    <row r="1864" customFormat="false" ht="15" hidden="false" customHeight="false" outlineLevel="0" collapsed="false">
      <c r="F1864" s="15"/>
      <c r="N1864" s="16" t="str">
        <f aca="false">IF($D1864="","",M1864*Y1864/100)</f>
        <v/>
      </c>
      <c r="V1864" s="16" t="str">
        <f aca="false">IF($D1864="","",Y1864*AB1864/100)</f>
        <v/>
      </c>
      <c r="W1864" s="16" t="str">
        <f aca="false">IF($D1864="","",Y1864-V1864)</f>
        <v/>
      </c>
      <c r="X1864" s="16" t="str">
        <f aca="false">IF($D1864="","",W1864-N1864)</f>
        <v/>
      </c>
      <c r="AB1864" s="17" t="str">
        <f aca="false">IF($D1864="","",IF(OR($R1864=TRUE(),$R1864="TRUE"),Settings!$C$6,Settings!$C$7)*100)</f>
        <v/>
      </c>
      <c r="AH1864" s="18" t="str">
        <f aca="false">IF($D1864="","",IF(COUNTIF($D$2:$D1864,$D1864)=1,1,0))</f>
        <v/>
      </c>
      <c r="AI1864" s="18" t="str">
        <f aca="false">IF($AH1864=1,SUMPRODUCT(--($AK$2:$AK$4001&lt;$AK1864))+1,"")</f>
        <v/>
      </c>
      <c r="AJ1864" s="18" t="str">
        <f aca="false">IF($D1864="","",IF(OR($R1864=TRUE(),$R1864="TRUE"),1,0))</f>
        <v/>
      </c>
      <c r="AK1864" s="18" t="str">
        <f aca="false">IF($AH1864=1,IFERROR(VALUE(MID($D1864,2,20)),1000000000)+ROW()/10000000,"")</f>
        <v/>
      </c>
    </row>
    <row r="1865" customFormat="false" ht="15" hidden="false" customHeight="false" outlineLevel="0" collapsed="false">
      <c r="F1865" s="15"/>
      <c r="N1865" s="16" t="str">
        <f aca="false">IF($D1865="","",M1865*Y1865/100)</f>
        <v/>
      </c>
      <c r="V1865" s="16" t="str">
        <f aca="false">IF($D1865="","",Y1865*AB1865/100)</f>
        <v/>
      </c>
      <c r="W1865" s="16" t="str">
        <f aca="false">IF($D1865="","",Y1865-V1865)</f>
        <v/>
      </c>
      <c r="X1865" s="16" t="str">
        <f aca="false">IF($D1865="","",W1865-N1865)</f>
        <v/>
      </c>
      <c r="AB1865" s="17" t="str">
        <f aca="false">IF($D1865="","",IF(OR($R1865=TRUE(),$R1865="TRUE"),Settings!$C$6,Settings!$C$7)*100)</f>
        <v/>
      </c>
      <c r="AH1865" s="18" t="str">
        <f aca="false">IF($D1865="","",IF(COUNTIF($D$2:$D1865,$D1865)=1,1,0))</f>
        <v/>
      </c>
      <c r="AI1865" s="18" t="str">
        <f aca="false">IF($AH1865=1,SUMPRODUCT(--($AK$2:$AK$4001&lt;$AK1865))+1,"")</f>
        <v/>
      </c>
      <c r="AJ1865" s="18" t="str">
        <f aca="false">IF($D1865="","",IF(OR($R1865=TRUE(),$R1865="TRUE"),1,0))</f>
        <v/>
      </c>
      <c r="AK1865" s="18" t="str">
        <f aca="false">IF($AH1865=1,IFERROR(VALUE(MID($D1865,2,20)),1000000000)+ROW()/10000000,"")</f>
        <v/>
      </c>
    </row>
    <row r="1866" customFormat="false" ht="15" hidden="false" customHeight="false" outlineLevel="0" collapsed="false">
      <c r="F1866" s="15"/>
      <c r="N1866" s="16" t="str">
        <f aca="false">IF($D1866="","",M1866*Y1866/100)</f>
        <v/>
      </c>
      <c r="V1866" s="16" t="str">
        <f aca="false">IF($D1866="","",Y1866*AB1866/100)</f>
        <v/>
      </c>
      <c r="W1866" s="16" t="str">
        <f aca="false">IF($D1866="","",Y1866-V1866)</f>
        <v/>
      </c>
      <c r="X1866" s="16" t="str">
        <f aca="false">IF($D1866="","",W1866-N1866)</f>
        <v/>
      </c>
      <c r="AB1866" s="17" t="str">
        <f aca="false">IF($D1866="","",IF(OR($R1866=TRUE(),$R1866="TRUE"),Settings!$C$6,Settings!$C$7)*100)</f>
        <v/>
      </c>
      <c r="AH1866" s="18" t="str">
        <f aca="false">IF($D1866="","",IF(COUNTIF($D$2:$D1866,$D1866)=1,1,0))</f>
        <v/>
      </c>
      <c r="AI1866" s="18" t="str">
        <f aca="false">IF($AH1866=1,SUMPRODUCT(--($AK$2:$AK$4001&lt;$AK1866))+1,"")</f>
        <v/>
      </c>
      <c r="AJ1866" s="18" t="str">
        <f aca="false">IF($D1866="","",IF(OR($R1866=TRUE(),$R1866="TRUE"),1,0))</f>
        <v/>
      </c>
      <c r="AK1866" s="18" t="str">
        <f aca="false">IF($AH1866=1,IFERROR(VALUE(MID($D1866,2,20)),1000000000)+ROW()/10000000,"")</f>
        <v/>
      </c>
    </row>
    <row r="1867" customFormat="false" ht="15" hidden="false" customHeight="false" outlineLevel="0" collapsed="false">
      <c r="F1867" s="15"/>
      <c r="N1867" s="16" t="str">
        <f aca="false">IF($D1867="","",M1867*Y1867/100)</f>
        <v/>
      </c>
      <c r="V1867" s="16" t="str">
        <f aca="false">IF($D1867="","",Y1867*AB1867/100)</f>
        <v/>
      </c>
      <c r="W1867" s="16" t="str">
        <f aca="false">IF($D1867="","",Y1867-V1867)</f>
        <v/>
      </c>
      <c r="X1867" s="16" t="str">
        <f aca="false">IF($D1867="","",W1867-N1867)</f>
        <v/>
      </c>
      <c r="AB1867" s="17" t="str">
        <f aca="false">IF($D1867="","",IF(OR($R1867=TRUE(),$R1867="TRUE"),Settings!$C$6,Settings!$C$7)*100)</f>
        <v/>
      </c>
      <c r="AH1867" s="18" t="str">
        <f aca="false">IF($D1867="","",IF(COUNTIF($D$2:$D1867,$D1867)=1,1,0))</f>
        <v/>
      </c>
      <c r="AI1867" s="18" t="str">
        <f aca="false">IF($AH1867=1,SUMPRODUCT(--($AK$2:$AK$4001&lt;$AK1867))+1,"")</f>
        <v/>
      </c>
      <c r="AJ1867" s="18" t="str">
        <f aca="false">IF($D1867="","",IF(OR($R1867=TRUE(),$R1867="TRUE"),1,0))</f>
        <v/>
      </c>
      <c r="AK1867" s="18" t="str">
        <f aca="false">IF($AH1867=1,IFERROR(VALUE(MID($D1867,2,20)),1000000000)+ROW()/10000000,"")</f>
        <v/>
      </c>
    </row>
    <row r="1868" customFormat="false" ht="15" hidden="false" customHeight="false" outlineLevel="0" collapsed="false">
      <c r="F1868" s="15"/>
      <c r="N1868" s="16" t="str">
        <f aca="false">IF($D1868="","",M1868*Y1868/100)</f>
        <v/>
      </c>
      <c r="V1868" s="16" t="str">
        <f aca="false">IF($D1868="","",Y1868*AB1868/100)</f>
        <v/>
      </c>
      <c r="W1868" s="16" t="str">
        <f aca="false">IF($D1868="","",Y1868-V1868)</f>
        <v/>
      </c>
      <c r="X1868" s="16" t="str">
        <f aca="false">IF($D1868="","",W1868-N1868)</f>
        <v/>
      </c>
      <c r="AB1868" s="17" t="str">
        <f aca="false">IF($D1868="","",IF(OR($R1868=TRUE(),$R1868="TRUE"),Settings!$C$6,Settings!$C$7)*100)</f>
        <v/>
      </c>
      <c r="AH1868" s="18" t="str">
        <f aca="false">IF($D1868="","",IF(COUNTIF($D$2:$D1868,$D1868)=1,1,0))</f>
        <v/>
      </c>
      <c r="AI1868" s="18" t="str">
        <f aca="false">IF($AH1868=1,SUMPRODUCT(--($AK$2:$AK$4001&lt;$AK1868))+1,"")</f>
        <v/>
      </c>
      <c r="AJ1868" s="18" t="str">
        <f aca="false">IF($D1868="","",IF(OR($R1868=TRUE(),$R1868="TRUE"),1,0))</f>
        <v/>
      </c>
      <c r="AK1868" s="18" t="str">
        <f aca="false">IF($AH1868=1,IFERROR(VALUE(MID($D1868,2,20)),1000000000)+ROW()/10000000,"")</f>
        <v/>
      </c>
    </row>
    <row r="1869" customFormat="false" ht="15" hidden="false" customHeight="false" outlineLevel="0" collapsed="false">
      <c r="F1869" s="15"/>
      <c r="N1869" s="16" t="str">
        <f aca="false">IF($D1869="","",M1869*Y1869/100)</f>
        <v/>
      </c>
      <c r="V1869" s="16" t="str">
        <f aca="false">IF($D1869="","",Y1869*AB1869/100)</f>
        <v/>
      </c>
      <c r="W1869" s="16" t="str">
        <f aca="false">IF($D1869="","",Y1869-V1869)</f>
        <v/>
      </c>
      <c r="X1869" s="16" t="str">
        <f aca="false">IF($D1869="","",W1869-N1869)</f>
        <v/>
      </c>
      <c r="AB1869" s="17" t="str">
        <f aca="false">IF($D1869="","",IF(OR($R1869=TRUE(),$R1869="TRUE"),Settings!$C$6,Settings!$C$7)*100)</f>
        <v/>
      </c>
      <c r="AH1869" s="18" t="str">
        <f aca="false">IF($D1869="","",IF(COUNTIF($D$2:$D1869,$D1869)=1,1,0))</f>
        <v/>
      </c>
      <c r="AI1869" s="18" t="str">
        <f aca="false">IF($AH1869=1,SUMPRODUCT(--($AK$2:$AK$4001&lt;$AK1869))+1,"")</f>
        <v/>
      </c>
      <c r="AJ1869" s="18" t="str">
        <f aca="false">IF($D1869="","",IF(OR($R1869=TRUE(),$R1869="TRUE"),1,0))</f>
        <v/>
      </c>
      <c r="AK1869" s="18" t="str">
        <f aca="false">IF($AH1869=1,IFERROR(VALUE(MID($D1869,2,20)),1000000000)+ROW()/10000000,"")</f>
        <v/>
      </c>
    </row>
    <row r="1870" customFormat="false" ht="15" hidden="false" customHeight="false" outlineLevel="0" collapsed="false">
      <c r="F1870" s="15"/>
      <c r="N1870" s="16" t="str">
        <f aca="false">IF($D1870="","",M1870*Y1870/100)</f>
        <v/>
      </c>
      <c r="V1870" s="16" t="str">
        <f aca="false">IF($D1870="","",Y1870*AB1870/100)</f>
        <v/>
      </c>
      <c r="W1870" s="16" t="str">
        <f aca="false">IF($D1870="","",Y1870-V1870)</f>
        <v/>
      </c>
      <c r="X1870" s="16" t="str">
        <f aca="false">IF($D1870="","",W1870-N1870)</f>
        <v/>
      </c>
      <c r="AB1870" s="17" t="str">
        <f aca="false">IF($D1870="","",IF(OR($R1870=TRUE(),$R1870="TRUE"),Settings!$C$6,Settings!$C$7)*100)</f>
        <v/>
      </c>
      <c r="AH1870" s="18" t="str">
        <f aca="false">IF($D1870="","",IF(COUNTIF($D$2:$D1870,$D1870)=1,1,0))</f>
        <v/>
      </c>
      <c r="AI1870" s="18" t="str">
        <f aca="false">IF($AH1870=1,SUMPRODUCT(--($AK$2:$AK$4001&lt;$AK1870))+1,"")</f>
        <v/>
      </c>
      <c r="AJ1870" s="18" t="str">
        <f aca="false">IF($D1870="","",IF(OR($R1870=TRUE(),$R1870="TRUE"),1,0))</f>
        <v/>
      </c>
      <c r="AK1870" s="18" t="str">
        <f aca="false">IF($AH1870=1,IFERROR(VALUE(MID($D1870,2,20)),1000000000)+ROW()/10000000,"")</f>
        <v/>
      </c>
    </row>
    <row r="1871" customFormat="false" ht="15" hidden="false" customHeight="false" outlineLevel="0" collapsed="false">
      <c r="F1871" s="15"/>
      <c r="N1871" s="16" t="str">
        <f aca="false">IF($D1871="","",M1871*Y1871/100)</f>
        <v/>
      </c>
      <c r="V1871" s="16" t="str">
        <f aca="false">IF($D1871="","",Y1871*AB1871/100)</f>
        <v/>
      </c>
      <c r="W1871" s="16" t="str">
        <f aca="false">IF($D1871="","",Y1871-V1871)</f>
        <v/>
      </c>
      <c r="X1871" s="16" t="str">
        <f aca="false">IF($D1871="","",W1871-N1871)</f>
        <v/>
      </c>
      <c r="AB1871" s="17" t="str">
        <f aca="false">IF($D1871="","",IF(OR($R1871=TRUE(),$R1871="TRUE"),Settings!$C$6,Settings!$C$7)*100)</f>
        <v/>
      </c>
      <c r="AH1871" s="18" t="str">
        <f aca="false">IF($D1871="","",IF(COUNTIF($D$2:$D1871,$D1871)=1,1,0))</f>
        <v/>
      </c>
      <c r="AI1871" s="18" t="str">
        <f aca="false">IF($AH1871=1,SUMPRODUCT(--($AK$2:$AK$4001&lt;$AK1871))+1,"")</f>
        <v/>
      </c>
      <c r="AJ1871" s="18" t="str">
        <f aca="false">IF($D1871="","",IF(OR($R1871=TRUE(),$R1871="TRUE"),1,0))</f>
        <v/>
      </c>
      <c r="AK1871" s="18" t="str">
        <f aca="false">IF($AH1871=1,IFERROR(VALUE(MID($D1871,2,20)),1000000000)+ROW()/10000000,"")</f>
        <v/>
      </c>
    </row>
    <row r="1872" customFormat="false" ht="15" hidden="false" customHeight="false" outlineLevel="0" collapsed="false">
      <c r="F1872" s="15"/>
      <c r="N1872" s="16" t="str">
        <f aca="false">IF($D1872="","",M1872*Y1872/100)</f>
        <v/>
      </c>
      <c r="V1872" s="16" t="str">
        <f aca="false">IF($D1872="","",Y1872*AB1872/100)</f>
        <v/>
      </c>
      <c r="W1872" s="16" t="str">
        <f aca="false">IF($D1872="","",Y1872-V1872)</f>
        <v/>
      </c>
      <c r="X1872" s="16" t="str">
        <f aca="false">IF($D1872="","",W1872-N1872)</f>
        <v/>
      </c>
      <c r="AB1872" s="17" t="str">
        <f aca="false">IF($D1872="","",IF(OR($R1872=TRUE(),$R1872="TRUE"),Settings!$C$6,Settings!$C$7)*100)</f>
        <v/>
      </c>
      <c r="AH1872" s="18" t="str">
        <f aca="false">IF($D1872="","",IF(COUNTIF($D$2:$D1872,$D1872)=1,1,0))</f>
        <v/>
      </c>
      <c r="AI1872" s="18" t="str">
        <f aca="false">IF($AH1872=1,SUMPRODUCT(--($AK$2:$AK$4001&lt;$AK1872))+1,"")</f>
        <v/>
      </c>
      <c r="AJ1872" s="18" t="str">
        <f aca="false">IF($D1872="","",IF(OR($R1872=TRUE(),$R1872="TRUE"),1,0))</f>
        <v/>
      </c>
      <c r="AK1872" s="18" t="str">
        <f aca="false">IF($AH1872=1,IFERROR(VALUE(MID($D1872,2,20)),1000000000)+ROW()/10000000,"")</f>
        <v/>
      </c>
    </row>
    <row r="1873" customFormat="false" ht="15" hidden="false" customHeight="false" outlineLevel="0" collapsed="false">
      <c r="F1873" s="15"/>
      <c r="N1873" s="16" t="str">
        <f aca="false">IF($D1873="","",M1873*Y1873/100)</f>
        <v/>
      </c>
      <c r="V1873" s="16" t="str">
        <f aca="false">IF($D1873="","",Y1873*AB1873/100)</f>
        <v/>
      </c>
      <c r="W1873" s="16" t="str">
        <f aca="false">IF($D1873="","",Y1873-V1873)</f>
        <v/>
      </c>
      <c r="X1873" s="16" t="str">
        <f aca="false">IF($D1873="","",W1873-N1873)</f>
        <v/>
      </c>
      <c r="AB1873" s="17" t="str">
        <f aca="false">IF($D1873="","",IF(OR($R1873=TRUE(),$R1873="TRUE"),Settings!$C$6,Settings!$C$7)*100)</f>
        <v/>
      </c>
      <c r="AH1873" s="18" t="str">
        <f aca="false">IF($D1873="","",IF(COUNTIF($D$2:$D1873,$D1873)=1,1,0))</f>
        <v/>
      </c>
      <c r="AI1873" s="18" t="str">
        <f aca="false">IF($AH1873=1,SUMPRODUCT(--($AK$2:$AK$4001&lt;$AK1873))+1,"")</f>
        <v/>
      </c>
      <c r="AJ1873" s="18" t="str">
        <f aca="false">IF($D1873="","",IF(OR($R1873=TRUE(),$R1873="TRUE"),1,0))</f>
        <v/>
      </c>
      <c r="AK1873" s="18" t="str">
        <f aca="false">IF($AH1873=1,IFERROR(VALUE(MID($D1873,2,20)),1000000000)+ROW()/10000000,"")</f>
        <v/>
      </c>
    </row>
    <row r="1874" customFormat="false" ht="15" hidden="false" customHeight="false" outlineLevel="0" collapsed="false">
      <c r="F1874" s="15"/>
      <c r="N1874" s="16" t="str">
        <f aca="false">IF($D1874="","",M1874*Y1874/100)</f>
        <v/>
      </c>
      <c r="V1874" s="16" t="str">
        <f aca="false">IF($D1874="","",Y1874*AB1874/100)</f>
        <v/>
      </c>
      <c r="W1874" s="16" t="str">
        <f aca="false">IF($D1874="","",Y1874-V1874)</f>
        <v/>
      </c>
      <c r="X1874" s="16" t="str">
        <f aca="false">IF($D1874="","",W1874-N1874)</f>
        <v/>
      </c>
      <c r="AB1874" s="17" t="str">
        <f aca="false">IF($D1874="","",IF(OR($R1874=TRUE(),$R1874="TRUE"),Settings!$C$6,Settings!$C$7)*100)</f>
        <v/>
      </c>
      <c r="AH1874" s="18" t="str">
        <f aca="false">IF($D1874="","",IF(COUNTIF($D$2:$D1874,$D1874)=1,1,0))</f>
        <v/>
      </c>
      <c r="AI1874" s="18" t="str">
        <f aca="false">IF($AH1874=1,SUMPRODUCT(--($AK$2:$AK$4001&lt;$AK1874))+1,"")</f>
        <v/>
      </c>
      <c r="AJ1874" s="18" t="str">
        <f aca="false">IF($D1874="","",IF(OR($R1874=TRUE(),$R1874="TRUE"),1,0))</f>
        <v/>
      </c>
      <c r="AK1874" s="18" t="str">
        <f aca="false">IF($AH1874=1,IFERROR(VALUE(MID($D1874,2,20)),1000000000)+ROW()/10000000,"")</f>
        <v/>
      </c>
    </row>
    <row r="1875" customFormat="false" ht="15" hidden="false" customHeight="false" outlineLevel="0" collapsed="false">
      <c r="F1875" s="15"/>
      <c r="N1875" s="16" t="str">
        <f aca="false">IF($D1875="","",M1875*Y1875/100)</f>
        <v/>
      </c>
      <c r="V1875" s="16" t="str">
        <f aca="false">IF($D1875="","",Y1875*AB1875/100)</f>
        <v/>
      </c>
      <c r="W1875" s="16" t="str">
        <f aca="false">IF($D1875="","",Y1875-V1875)</f>
        <v/>
      </c>
      <c r="X1875" s="16" t="str">
        <f aca="false">IF($D1875="","",W1875-N1875)</f>
        <v/>
      </c>
      <c r="AB1875" s="17" t="str">
        <f aca="false">IF($D1875="","",IF(OR($R1875=TRUE(),$R1875="TRUE"),Settings!$C$6,Settings!$C$7)*100)</f>
        <v/>
      </c>
      <c r="AH1875" s="18" t="str">
        <f aca="false">IF($D1875="","",IF(COUNTIF($D$2:$D1875,$D1875)=1,1,0))</f>
        <v/>
      </c>
      <c r="AI1875" s="18" t="str">
        <f aca="false">IF($AH1875=1,SUMPRODUCT(--($AK$2:$AK$4001&lt;$AK1875))+1,"")</f>
        <v/>
      </c>
      <c r="AJ1875" s="18" t="str">
        <f aca="false">IF($D1875="","",IF(OR($R1875=TRUE(),$R1875="TRUE"),1,0))</f>
        <v/>
      </c>
      <c r="AK1875" s="18" t="str">
        <f aca="false">IF($AH1875=1,IFERROR(VALUE(MID($D1875,2,20)),1000000000)+ROW()/10000000,"")</f>
        <v/>
      </c>
    </row>
    <row r="1876" customFormat="false" ht="15" hidden="false" customHeight="false" outlineLevel="0" collapsed="false">
      <c r="F1876" s="15"/>
      <c r="N1876" s="16" t="str">
        <f aca="false">IF($D1876="","",M1876*Y1876/100)</f>
        <v/>
      </c>
      <c r="V1876" s="16" t="str">
        <f aca="false">IF($D1876="","",Y1876*AB1876/100)</f>
        <v/>
      </c>
      <c r="W1876" s="16" t="str">
        <f aca="false">IF($D1876="","",Y1876-V1876)</f>
        <v/>
      </c>
      <c r="X1876" s="16" t="str">
        <f aca="false">IF($D1876="","",W1876-N1876)</f>
        <v/>
      </c>
      <c r="AB1876" s="17" t="str">
        <f aca="false">IF($D1876="","",IF(OR($R1876=TRUE(),$R1876="TRUE"),Settings!$C$6,Settings!$C$7)*100)</f>
        <v/>
      </c>
      <c r="AH1876" s="18" t="str">
        <f aca="false">IF($D1876="","",IF(COUNTIF($D$2:$D1876,$D1876)=1,1,0))</f>
        <v/>
      </c>
      <c r="AI1876" s="18" t="str">
        <f aca="false">IF($AH1876=1,SUMPRODUCT(--($AK$2:$AK$4001&lt;$AK1876))+1,"")</f>
        <v/>
      </c>
      <c r="AJ1876" s="18" t="str">
        <f aca="false">IF($D1876="","",IF(OR($R1876=TRUE(),$R1876="TRUE"),1,0))</f>
        <v/>
      </c>
      <c r="AK1876" s="18" t="str">
        <f aca="false">IF($AH1876=1,IFERROR(VALUE(MID($D1876,2,20)),1000000000)+ROW()/10000000,"")</f>
        <v/>
      </c>
    </row>
    <row r="1877" customFormat="false" ht="15" hidden="false" customHeight="false" outlineLevel="0" collapsed="false">
      <c r="F1877" s="15"/>
      <c r="N1877" s="16" t="str">
        <f aca="false">IF($D1877="","",M1877*Y1877/100)</f>
        <v/>
      </c>
      <c r="V1877" s="16" t="str">
        <f aca="false">IF($D1877="","",Y1877*AB1877/100)</f>
        <v/>
      </c>
      <c r="W1877" s="16" t="str">
        <f aca="false">IF($D1877="","",Y1877-V1877)</f>
        <v/>
      </c>
      <c r="X1877" s="16" t="str">
        <f aca="false">IF($D1877="","",W1877-N1877)</f>
        <v/>
      </c>
      <c r="AB1877" s="17" t="str">
        <f aca="false">IF($D1877="","",IF(OR($R1877=TRUE(),$R1877="TRUE"),Settings!$C$6,Settings!$C$7)*100)</f>
        <v/>
      </c>
      <c r="AH1877" s="18" t="str">
        <f aca="false">IF($D1877="","",IF(COUNTIF($D$2:$D1877,$D1877)=1,1,0))</f>
        <v/>
      </c>
      <c r="AI1877" s="18" t="str">
        <f aca="false">IF($AH1877=1,SUMPRODUCT(--($AK$2:$AK$4001&lt;$AK1877))+1,"")</f>
        <v/>
      </c>
      <c r="AJ1877" s="18" t="str">
        <f aca="false">IF($D1877="","",IF(OR($R1877=TRUE(),$R1877="TRUE"),1,0))</f>
        <v/>
      </c>
      <c r="AK1877" s="18" t="str">
        <f aca="false">IF($AH1877=1,IFERROR(VALUE(MID($D1877,2,20)),1000000000)+ROW()/10000000,"")</f>
        <v/>
      </c>
    </row>
    <row r="1878" customFormat="false" ht="15" hidden="false" customHeight="false" outlineLevel="0" collapsed="false">
      <c r="F1878" s="15"/>
      <c r="N1878" s="16" t="str">
        <f aca="false">IF($D1878="","",M1878*Y1878/100)</f>
        <v/>
      </c>
      <c r="V1878" s="16" t="str">
        <f aca="false">IF($D1878="","",Y1878*AB1878/100)</f>
        <v/>
      </c>
      <c r="W1878" s="16" t="str">
        <f aca="false">IF($D1878="","",Y1878-V1878)</f>
        <v/>
      </c>
      <c r="X1878" s="16" t="str">
        <f aca="false">IF($D1878="","",W1878-N1878)</f>
        <v/>
      </c>
      <c r="AB1878" s="17" t="str">
        <f aca="false">IF($D1878="","",IF(OR($R1878=TRUE(),$R1878="TRUE"),Settings!$C$6,Settings!$C$7)*100)</f>
        <v/>
      </c>
      <c r="AH1878" s="18" t="str">
        <f aca="false">IF($D1878="","",IF(COUNTIF($D$2:$D1878,$D1878)=1,1,0))</f>
        <v/>
      </c>
      <c r="AI1878" s="18" t="str">
        <f aca="false">IF($AH1878=1,SUMPRODUCT(--($AK$2:$AK$4001&lt;$AK1878))+1,"")</f>
        <v/>
      </c>
      <c r="AJ1878" s="18" t="str">
        <f aca="false">IF($D1878="","",IF(OR($R1878=TRUE(),$R1878="TRUE"),1,0))</f>
        <v/>
      </c>
      <c r="AK1878" s="18" t="str">
        <f aca="false">IF($AH1878=1,IFERROR(VALUE(MID($D1878,2,20)),1000000000)+ROW()/10000000,"")</f>
        <v/>
      </c>
    </row>
    <row r="1879" customFormat="false" ht="15" hidden="false" customHeight="false" outlineLevel="0" collapsed="false">
      <c r="F1879" s="15"/>
      <c r="N1879" s="16" t="str">
        <f aca="false">IF($D1879="","",M1879*Y1879/100)</f>
        <v/>
      </c>
      <c r="V1879" s="16" t="str">
        <f aca="false">IF($D1879="","",Y1879*AB1879/100)</f>
        <v/>
      </c>
      <c r="W1879" s="16" t="str">
        <f aca="false">IF($D1879="","",Y1879-V1879)</f>
        <v/>
      </c>
      <c r="X1879" s="16" t="str">
        <f aca="false">IF($D1879="","",W1879-N1879)</f>
        <v/>
      </c>
      <c r="AB1879" s="17" t="str">
        <f aca="false">IF($D1879="","",IF(OR($R1879=TRUE(),$R1879="TRUE"),Settings!$C$6,Settings!$C$7)*100)</f>
        <v/>
      </c>
      <c r="AH1879" s="18" t="str">
        <f aca="false">IF($D1879="","",IF(COUNTIF($D$2:$D1879,$D1879)=1,1,0))</f>
        <v/>
      </c>
      <c r="AI1879" s="18" t="str">
        <f aca="false">IF($AH1879=1,SUMPRODUCT(--($AK$2:$AK$4001&lt;$AK1879))+1,"")</f>
        <v/>
      </c>
      <c r="AJ1879" s="18" t="str">
        <f aca="false">IF($D1879="","",IF(OR($R1879=TRUE(),$R1879="TRUE"),1,0))</f>
        <v/>
      </c>
      <c r="AK1879" s="18" t="str">
        <f aca="false">IF($AH1879=1,IFERROR(VALUE(MID($D1879,2,20)),1000000000)+ROW()/10000000,"")</f>
        <v/>
      </c>
    </row>
    <row r="1880" customFormat="false" ht="15" hidden="false" customHeight="false" outlineLevel="0" collapsed="false">
      <c r="F1880" s="15"/>
      <c r="N1880" s="16" t="str">
        <f aca="false">IF($D1880="","",M1880*Y1880/100)</f>
        <v/>
      </c>
      <c r="V1880" s="16" t="str">
        <f aca="false">IF($D1880="","",Y1880*AB1880/100)</f>
        <v/>
      </c>
      <c r="W1880" s="16" t="str">
        <f aca="false">IF($D1880="","",Y1880-V1880)</f>
        <v/>
      </c>
      <c r="X1880" s="16" t="str">
        <f aca="false">IF($D1880="","",W1880-N1880)</f>
        <v/>
      </c>
      <c r="AB1880" s="17" t="str">
        <f aca="false">IF($D1880="","",IF(OR($R1880=TRUE(),$R1880="TRUE"),Settings!$C$6,Settings!$C$7)*100)</f>
        <v/>
      </c>
      <c r="AH1880" s="18" t="str">
        <f aca="false">IF($D1880="","",IF(COUNTIF($D$2:$D1880,$D1880)=1,1,0))</f>
        <v/>
      </c>
      <c r="AI1880" s="18" t="str">
        <f aca="false">IF($AH1880=1,SUMPRODUCT(--($AK$2:$AK$4001&lt;$AK1880))+1,"")</f>
        <v/>
      </c>
      <c r="AJ1880" s="18" t="str">
        <f aca="false">IF($D1880="","",IF(OR($R1880=TRUE(),$R1880="TRUE"),1,0))</f>
        <v/>
      </c>
      <c r="AK1880" s="18" t="str">
        <f aca="false">IF($AH1880=1,IFERROR(VALUE(MID($D1880,2,20)),1000000000)+ROW()/10000000,"")</f>
        <v/>
      </c>
    </row>
    <row r="1881" customFormat="false" ht="15" hidden="false" customHeight="false" outlineLevel="0" collapsed="false">
      <c r="F1881" s="15"/>
      <c r="N1881" s="16" t="str">
        <f aca="false">IF($D1881="","",M1881*Y1881/100)</f>
        <v/>
      </c>
      <c r="V1881" s="16" t="str">
        <f aca="false">IF($D1881="","",Y1881*AB1881/100)</f>
        <v/>
      </c>
      <c r="W1881" s="16" t="str">
        <f aca="false">IF($D1881="","",Y1881-V1881)</f>
        <v/>
      </c>
      <c r="X1881" s="16" t="str">
        <f aca="false">IF($D1881="","",W1881-N1881)</f>
        <v/>
      </c>
      <c r="AB1881" s="17" t="str">
        <f aca="false">IF($D1881="","",IF(OR($R1881=TRUE(),$R1881="TRUE"),Settings!$C$6,Settings!$C$7)*100)</f>
        <v/>
      </c>
      <c r="AH1881" s="18" t="str">
        <f aca="false">IF($D1881="","",IF(COUNTIF($D$2:$D1881,$D1881)=1,1,0))</f>
        <v/>
      </c>
      <c r="AI1881" s="18" t="str">
        <f aca="false">IF($AH1881=1,SUMPRODUCT(--($AK$2:$AK$4001&lt;$AK1881))+1,"")</f>
        <v/>
      </c>
      <c r="AJ1881" s="18" t="str">
        <f aca="false">IF($D1881="","",IF(OR($R1881=TRUE(),$R1881="TRUE"),1,0))</f>
        <v/>
      </c>
      <c r="AK1881" s="18" t="str">
        <f aca="false">IF($AH1881=1,IFERROR(VALUE(MID($D1881,2,20)),1000000000)+ROW()/10000000,"")</f>
        <v/>
      </c>
    </row>
    <row r="1882" customFormat="false" ht="15" hidden="false" customHeight="false" outlineLevel="0" collapsed="false">
      <c r="F1882" s="15"/>
      <c r="N1882" s="16" t="str">
        <f aca="false">IF($D1882="","",M1882*Y1882/100)</f>
        <v/>
      </c>
      <c r="V1882" s="16" t="str">
        <f aca="false">IF($D1882="","",Y1882*AB1882/100)</f>
        <v/>
      </c>
      <c r="W1882" s="16" t="str">
        <f aca="false">IF($D1882="","",Y1882-V1882)</f>
        <v/>
      </c>
      <c r="X1882" s="16" t="str">
        <f aca="false">IF($D1882="","",W1882-N1882)</f>
        <v/>
      </c>
      <c r="AB1882" s="17" t="str">
        <f aca="false">IF($D1882="","",IF(OR($R1882=TRUE(),$R1882="TRUE"),Settings!$C$6,Settings!$C$7)*100)</f>
        <v/>
      </c>
      <c r="AH1882" s="18" t="str">
        <f aca="false">IF($D1882="","",IF(COUNTIF($D$2:$D1882,$D1882)=1,1,0))</f>
        <v/>
      </c>
      <c r="AI1882" s="18" t="str">
        <f aca="false">IF($AH1882=1,SUMPRODUCT(--($AK$2:$AK$4001&lt;$AK1882))+1,"")</f>
        <v/>
      </c>
      <c r="AJ1882" s="18" t="str">
        <f aca="false">IF($D1882="","",IF(OR($R1882=TRUE(),$R1882="TRUE"),1,0))</f>
        <v/>
      </c>
      <c r="AK1882" s="18" t="str">
        <f aca="false">IF($AH1882=1,IFERROR(VALUE(MID($D1882,2,20)),1000000000)+ROW()/10000000,"")</f>
        <v/>
      </c>
    </row>
    <row r="1883" customFormat="false" ht="15" hidden="false" customHeight="false" outlineLevel="0" collapsed="false">
      <c r="F1883" s="15"/>
      <c r="N1883" s="16" t="str">
        <f aca="false">IF($D1883="","",M1883*Y1883/100)</f>
        <v/>
      </c>
      <c r="V1883" s="16" t="str">
        <f aca="false">IF($D1883="","",Y1883*AB1883/100)</f>
        <v/>
      </c>
      <c r="W1883" s="16" t="str">
        <f aca="false">IF($D1883="","",Y1883-V1883)</f>
        <v/>
      </c>
      <c r="X1883" s="16" t="str">
        <f aca="false">IF($D1883="","",W1883-N1883)</f>
        <v/>
      </c>
      <c r="AB1883" s="17" t="str">
        <f aca="false">IF($D1883="","",IF(OR($R1883=TRUE(),$R1883="TRUE"),Settings!$C$6,Settings!$C$7)*100)</f>
        <v/>
      </c>
      <c r="AH1883" s="18" t="str">
        <f aca="false">IF($D1883="","",IF(COUNTIF($D$2:$D1883,$D1883)=1,1,0))</f>
        <v/>
      </c>
      <c r="AI1883" s="18" t="str">
        <f aca="false">IF($AH1883=1,SUMPRODUCT(--($AK$2:$AK$4001&lt;$AK1883))+1,"")</f>
        <v/>
      </c>
      <c r="AJ1883" s="18" t="str">
        <f aca="false">IF($D1883="","",IF(OR($R1883=TRUE(),$R1883="TRUE"),1,0))</f>
        <v/>
      </c>
      <c r="AK1883" s="18" t="str">
        <f aca="false">IF($AH1883=1,IFERROR(VALUE(MID($D1883,2,20)),1000000000)+ROW()/10000000,"")</f>
        <v/>
      </c>
    </row>
    <row r="1884" customFormat="false" ht="15" hidden="false" customHeight="false" outlineLevel="0" collapsed="false">
      <c r="F1884" s="15"/>
      <c r="N1884" s="16" t="str">
        <f aca="false">IF($D1884="","",M1884*Y1884/100)</f>
        <v/>
      </c>
      <c r="V1884" s="16" t="str">
        <f aca="false">IF($D1884="","",Y1884*AB1884/100)</f>
        <v/>
      </c>
      <c r="W1884" s="16" t="str">
        <f aca="false">IF($D1884="","",Y1884-V1884)</f>
        <v/>
      </c>
      <c r="X1884" s="16" t="str">
        <f aca="false">IF($D1884="","",W1884-N1884)</f>
        <v/>
      </c>
      <c r="AB1884" s="17" t="str">
        <f aca="false">IF($D1884="","",IF(OR($R1884=TRUE(),$R1884="TRUE"),Settings!$C$6,Settings!$C$7)*100)</f>
        <v/>
      </c>
      <c r="AH1884" s="18" t="str">
        <f aca="false">IF($D1884="","",IF(COUNTIF($D$2:$D1884,$D1884)=1,1,0))</f>
        <v/>
      </c>
      <c r="AI1884" s="18" t="str">
        <f aca="false">IF($AH1884=1,SUMPRODUCT(--($AK$2:$AK$4001&lt;$AK1884))+1,"")</f>
        <v/>
      </c>
      <c r="AJ1884" s="18" t="str">
        <f aca="false">IF($D1884="","",IF(OR($R1884=TRUE(),$R1884="TRUE"),1,0))</f>
        <v/>
      </c>
      <c r="AK1884" s="18" t="str">
        <f aca="false">IF($AH1884=1,IFERROR(VALUE(MID($D1884,2,20)),1000000000)+ROW()/10000000,"")</f>
        <v/>
      </c>
    </row>
    <row r="1885" customFormat="false" ht="15" hidden="false" customHeight="false" outlineLevel="0" collapsed="false">
      <c r="F1885" s="15"/>
      <c r="N1885" s="16" t="str">
        <f aca="false">IF($D1885="","",M1885*Y1885/100)</f>
        <v/>
      </c>
      <c r="V1885" s="16" t="str">
        <f aca="false">IF($D1885="","",Y1885*AB1885/100)</f>
        <v/>
      </c>
      <c r="W1885" s="16" t="str">
        <f aca="false">IF($D1885="","",Y1885-V1885)</f>
        <v/>
      </c>
      <c r="X1885" s="16" t="str">
        <f aca="false">IF($D1885="","",W1885-N1885)</f>
        <v/>
      </c>
      <c r="AB1885" s="17" t="str">
        <f aca="false">IF($D1885="","",IF(OR($R1885=TRUE(),$R1885="TRUE"),Settings!$C$6,Settings!$C$7)*100)</f>
        <v/>
      </c>
      <c r="AH1885" s="18" t="str">
        <f aca="false">IF($D1885="","",IF(COUNTIF($D$2:$D1885,$D1885)=1,1,0))</f>
        <v/>
      </c>
      <c r="AI1885" s="18" t="str">
        <f aca="false">IF($AH1885=1,SUMPRODUCT(--($AK$2:$AK$4001&lt;$AK1885))+1,"")</f>
        <v/>
      </c>
      <c r="AJ1885" s="18" t="str">
        <f aca="false">IF($D1885="","",IF(OR($R1885=TRUE(),$R1885="TRUE"),1,0))</f>
        <v/>
      </c>
      <c r="AK1885" s="18" t="str">
        <f aca="false">IF($AH1885=1,IFERROR(VALUE(MID($D1885,2,20)),1000000000)+ROW()/10000000,"")</f>
        <v/>
      </c>
    </row>
    <row r="1886" customFormat="false" ht="15" hidden="false" customHeight="false" outlineLevel="0" collapsed="false">
      <c r="F1886" s="15"/>
      <c r="N1886" s="16" t="str">
        <f aca="false">IF($D1886="","",M1886*Y1886/100)</f>
        <v/>
      </c>
      <c r="V1886" s="16" t="str">
        <f aca="false">IF($D1886="","",Y1886*AB1886/100)</f>
        <v/>
      </c>
      <c r="W1886" s="16" t="str">
        <f aca="false">IF($D1886="","",Y1886-V1886)</f>
        <v/>
      </c>
      <c r="X1886" s="16" t="str">
        <f aca="false">IF($D1886="","",W1886-N1886)</f>
        <v/>
      </c>
      <c r="AB1886" s="17" t="str">
        <f aca="false">IF($D1886="","",IF(OR($R1886=TRUE(),$R1886="TRUE"),Settings!$C$6,Settings!$C$7)*100)</f>
        <v/>
      </c>
      <c r="AH1886" s="18" t="str">
        <f aca="false">IF($D1886="","",IF(COUNTIF($D$2:$D1886,$D1886)=1,1,0))</f>
        <v/>
      </c>
      <c r="AI1886" s="18" t="str">
        <f aca="false">IF($AH1886=1,SUMPRODUCT(--($AK$2:$AK$4001&lt;$AK1886))+1,"")</f>
        <v/>
      </c>
      <c r="AJ1886" s="18" t="str">
        <f aca="false">IF($D1886="","",IF(OR($R1886=TRUE(),$R1886="TRUE"),1,0))</f>
        <v/>
      </c>
      <c r="AK1886" s="18" t="str">
        <f aca="false">IF($AH1886=1,IFERROR(VALUE(MID($D1886,2,20)),1000000000)+ROW()/10000000,"")</f>
        <v/>
      </c>
    </row>
    <row r="1887" customFormat="false" ht="15" hidden="false" customHeight="false" outlineLevel="0" collapsed="false">
      <c r="F1887" s="15"/>
      <c r="N1887" s="16" t="str">
        <f aca="false">IF($D1887="","",M1887*Y1887/100)</f>
        <v/>
      </c>
      <c r="V1887" s="16" t="str">
        <f aca="false">IF($D1887="","",Y1887*AB1887/100)</f>
        <v/>
      </c>
      <c r="W1887" s="16" t="str">
        <f aca="false">IF($D1887="","",Y1887-V1887)</f>
        <v/>
      </c>
      <c r="X1887" s="16" t="str">
        <f aca="false">IF($D1887="","",W1887-N1887)</f>
        <v/>
      </c>
      <c r="AB1887" s="17" t="str">
        <f aca="false">IF($D1887="","",IF(OR($R1887=TRUE(),$R1887="TRUE"),Settings!$C$6,Settings!$C$7)*100)</f>
        <v/>
      </c>
      <c r="AH1887" s="18" t="str">
        <f aca="false">IF($D1887="","",IF(COUNTIF($D$2:$D1887,$D1887)=1,1,0))</f>
        <v/>
      </c>
      <c r="AI1887" s="18" t="str">
        <f aca="false">IF($AH1887=1,SUMPRODUCT(--($AK$2:$AK$4001&lt;$AK1887))+1,"")</f>
        <v/>
      </c>
      <c r="AJ1887" s="18" t="str">
        <f aca="false">IF($D1887="","",IF(OR($R1887=TRUE(),$R1887="TRUE"),1,0))</f>
        <v/>
      </c>
      <c r="AK1887" s="18" t="str">
        <f aca="false">IF($AH1887=1,IFERROR(VALUE(MID($D1887,2,20)),1000000000)+ROW()/10000000,"")</f>
        <v/>
      </c>
    </row>
    <row r="1888" customFormat="false" ht="15" hidden="false" customHeight="false" outlineLevel="0" collapsed="false">
      <c r="F1888" s="15"/>
      <c r="N1888" s="16" t="str">
        <f aca="false">IF($D1888="","",M1888*Y1888/100)</f>
        <v/>
      </c>
      <c r="V1888" s="16" t="str">
        <f aca="false">IF($D1888="","",Y1888*AB1888/100)</f>
        <v/>
      </c>
      <c r="W1888" s="16" t="str">
        <f aca="false">IF($D1888="","",Y1888-V1888)</f>
        <v/>
      </c>
      <c r="X1888" s="16" t="str">
        <f aca="false">IF($D1888="","",W1888-N1888)</f>
        <v/>
      </c>
      <c r="AB1888" s="17" t="str">
        <f aca="false">IF($D1888="","",IF(OR($R1888=TRUE(),$R1888="TRUE"),Settings!$C$6,Settings!$C$7)*100)</f>
        <v/>
      </c>
      <c r="AH1888" s="18" t="str">
        <f aca="false">IF($D1888="","",IF(COUNTIF($D$2:$D1888,$D1888)=1,1,0))</f>
        <v/>
      </c>
      <c r="AI1888" s="18" t="str">
        <f aca="false">IF($AH1888=1,SUMPRODUCT(--($AK$2:$AK$4001&lt;$AK1888))+1,"")</f>
        <v/>
      </c>
      <c r="AJ1888" s="18" t="str">
        <f aca="false">IF($D1888="","",IF(OR($R1888=TRUE(),$R1888="TRUE"),1,0))</f>
        <v/>
      </c>
      <c r="AK1888" s="18" t="str">
        <f aca="false">IF($AH1888=1,IFERROR(VALUE(MID($D1888,2,20)),1000000000)+ROW()/10000000,"")</f>
        <v/>
      </c>
    </row>
    <row r="1889" customFormat="false" ht="15" hidden="false" customHeight="false" outlineLevel="0" collapsed="false">
      <c r="F1889" s="15"/>
      <c r="N1889" s="16" t="str">
        <f aca="false">IF($D1889="","",M1889*Y1889/100)</f>
        <v/>
      </c>
      <c r="V1889" s="16" t="str">
        <f aca="false">IF($D1889="","",Y1889*AB1889/100)</f>
        <v/>
      </c>
      <c r="W1889" s="16" t="str">
        <f aca="false">IF($D1889="","",Y1889-V1889)</f>
        <v/>
      </c>
      <c r="X1889" s="16" t="str">
        <f aca="false">IF($D1889="","",W1889-N1889)</f>
        <v/>
      </c>
      <c r="AB1889" s="17" t="str">
        <f aca="false">IF($D1889="","",IF(OR($R1889=TRUE(),$R1889="TRUE"),Settings!$C$6,Settings!$C$7)*100)</f>
        <v/>
      </c>
      <c r="AH1889" s="18" t="str">
        <f aca="false">IF($D1889="","",IF(COUNTIF($D$2:$D1889,$D1889)=1,1,0))</f>
        <v/>
      </c>
      <c r="AI1889" s="18" t="str">
        <f aca="false">IF($AH1889=1,SUMPRODUCT(--($AK$2:$AK$4001&lt;$AK1889))+1,"")</f>
        <v/>
      </c>
      <c r="AJ1889" s="18" t="str">
        <f aca="false">IF($D1889="","",IF(OR($R1889=TRUE(),$R1889="TRUE"),1,0))</f>
        <v/>
      </c>
      <c r="AK1889" s="18" t="str">
        <f aca="false">IF($AH1889=1,IFERROR(VALUE(MID($D1889,2,20)),1000000000)+ROW()/10000000,"")</f>
        <v/>
      </c>
    </row>
    <row r="1890" customFormat="false" ht="15" hidden="false" customHeight="false" outlineLevel="0" collapsed="false">
      <c r="F1890" s="15"/>
      <c r="N1890" s="16" t="str">
        <f aca="false">IF($D1890="","",M1890*Y1890/100)</f>
        <v/>
      </c>
      <c r="V1890" s="16" t="str">
        <f aca="false">IF($D1890="","",Y1890*AB1890/100)</f>
        <v/>
      </c>
      <c r="W1890" s="16" t="str">
        <f aca="false">IF($D1890="","",Y1890-V1890)</f>
        <v/>
      </c>
      <c r="X1890" s="16" t="str">
        <f aca="false">IF($D1890="","",W1890-N1890)</f>
        <v/>
      </c>
      <c r="AB1890" s="17" t="str">
        <f aca="false">IF($D1890="","",IF(OR($R1890=TRUE(),$R1890="TRUE"),Settings!$C$6,Settings!$C$7)*100)</f>
        <v/>
      </c>
      <c r="AH1890" s="18" t="str">
        <f aca="false">IF($D1890="","",IF(COUNTIF($D$2:$D1890,$D1890)=1,1,0))</f>
        <v/>
      </c>
      <c r="AI1890" s="18" t="str">
        <f aca="false">IF($AH1890=1,SUMPRODUCT(--($AK$2:$AK$4001&lt;$AK1890))+1,"")</f>
        <v/>
      </c>
      <c r="AJ1890" s="18" t="str">
        <f aca="false">IF($D1890="","",IF(OR($R1890=TRUE(),$R1890="TRUE"),1,0))</f>
        <v/>
      </c>
      <c r="AK1890" s="18" t="str">
        <f aca="false">IF($AH1890=1,IFERROR(VALUE(MID($D1890,2,20)),1000000000)+ROW()/10000000,"")</f>
        <v/>
      </c>
    </row>
    <row r="1891" customFormat="false" ht="15" hidden="false" customHeight="false" outlineLevel="0" collapsed="false">
      <c r="F1891" s="15"/>
      <c r="N1891" s="16" t="str">
        <f aca="false">IF($D1891="","",M1891*Y1891/100)</f>
        <v/>
      </c>
      <c r="V1891" s="16" t="str">
        <f aca="false">IF($D1891="","",Y1891*AB1891/100)</f>
        <v/>
      </c>
      <c r="W1891" s="16" t="str">
        <f aca="false">IF($D1891="","",Y1891-V1891)</f>
        <v/>
      </c>
      <c r="X1891" s="16" t="str">
        <f aca="false">IF($D1891="","",W1891-N1891)</f>
        <v/>
      </c>
      <c r="AB1891" s="17" t="str">
        <f aca="false">IF($D1891="","",IF(OR($R1891=TRUE(),$R1891="TRUE"),Settings!$C$6,Settings!$C$7)*100)</f>
        <v/>
      </c>
      <c r="AH1891" s="18" t="str">
        <f aca="false">IF($D1891="","",IF(COUNTIF($D$2:$D1891,$D1891)=1,1,0))</f>
        <v/>
      </c>
      <c r="AI1891" s="18" t="str">
        <f aca="false">IF($AH1891=1,SUMPRODUCT(--($AK$2:$AK$4001&lt;$AK1891))+1,"")</f>
        <v/>
      </c>
      <c r="AJ1891" s="18" t="str">
        <f aca="false">IF($D1891="","",IF(OR($R1891=TRUE(),$R1891="TRUE"),1,0))</f>
        <v/>
      </c>
      <c r="AK1891" s="18" t="str">
        <f aca="false">IF($AH1891=1,IFERROR(VALUE(MID($D1891,2,20)),1000000000)+ROW()/10000000,"")</f>
        <v/>
      </c>
    </row>
    <row r="1892" customFormat="false" ht="15" hidden="false" customHeight="false" outlineLevel="0" collapsed="false">
      <c r="F1892" s="15"/>
      <c r="N1892" s="16" t="str">
        <f aca="false">IF($D1892="","",M1892*Y1892/100)</f>
        <v/>
      </c>
      <c r="V1892" s="16" t="str">
        <f aca="false">IF($D1892="","",Y1892*AB1892/100)</f>
        <v/>
      </c>
      <c r="W1892" s="16" t="str">
        <f aca="false">IF($D1892="","",Y1892-V1892)</f>
        <v/>
      </c>
      <c r="X1892" s="16" t="str">
        <f aca="false">IF($D1892="","",W1892-N1892)</f>
        <v/>
      </c>
      <c r="AB1892" s="17" t="str">
        <f aca="false">IF($D1892="","",IF(OR($R1892=TRUE(),$R1892="TRUE"),Settings!$C$6,Settings!$C$7)*100)</f>
        <v/>
      </c>
      <c r="AH1892" s="18" t="str">
        <f aca="false">IF($D1892="","",IF(COUNTIF($D$2:$D1892,$D1892)=1,1,0))</f>
        <v/>
      </c>
      <c r="AI1892" s="18" t="str">
        <f aca="false">IF($AH1892=1,SUMPRODUCT(--($AK$2:$AK$4001&lt;$AK1892))+1,"")</f>
        <v/>
      </c>
      <c r="AJ1892" s="18" t="str">
        <f aca="false">IF($D1892="","",IF(OR($R1892=TRUE(),$R1892="TRUE"),1,0))</f>
        <v/>
      </c>
      <c r="AK1892" s="18" t="str">
        <f aca="false">IF($AH1892=1,IFERROR(VALUE(MID($D1892,2,20)),1000000000)+ROW()/10000000,"")</f>
        <v/>
      </c>
    </row>
    <row r="1893" customFormat="false" ht="15" hidden="false" customHeight="false" outlineLevel="0" collapsed="false">
      <c r="F1893" s="15"/>
      <c r="N1893" s="16" t="str">
        <f aca="false">IF($D1893="","",M1893*Y1893/100)</f>
        <v/>
      </c>
      <c r="V1893" s="16" t="str">
        <f aca="false">IF($D1893="","",Y1893*AB1893/100)</f>
        <v/>
      </c>
      <c r="W1893" s="16" t="str">
        <f aca="false">IF($D1893="","",Y1893-V1893)</f>
        <v/>
      </c>
      <c r="X1893" s="16" t="str">
        <f aca="false">IF($D1893="","",W1893-N1893)</f>
        <v/>
      </c>
      <c r="AB1893" s="17" t="str">
        <f aca="false">IF($D1893="","",IF(OR($R1893=TRUE(),$R1893="TRUE"),Settings!$C$6,Settings!$C$7)*100)</f>
        <v/>
      </c>
      <c r="AH1893" s="18" t="str">
        <f aca="false">IF($D1893="","",IF(COUNTIF($D$2:$D1893,$D1893)=1,1,0))</f>
        <v/>
      </c>
      <c r="AI1893" s="18" t="str">
        <f aca="false">IF($AH1893=1,SUMPRODUCT(--($AK$2:$AK$4001&lt;$AK1893))+1,"")</f>
        <v/>
      </c>
      <c r="AJ1893" s="18" t="str">
        <f aca="false">IF($D1893="","",IF(OR($R1893=TRUE(),$R1893="TRUE"),1,0))</f>
        <v/>
      </c>
      <c r="AK1893" s="18" t="str">
        <f aca="false">IF($AH1893=1,IFERROR(VALUE(MID($D1893,2,20)),1000000000)+ROW()/10000000,"")</f>
        <v/>
      </c>
    </row>
    <row r="1894" customFormat="false" ht="15" hidden="false" customHeight="false" outlineLevel="0" collapsed="false">
      <c r="F1894" s="15"/>
      <c r="N1894" s="16" t="str">
        <f aca="false">IF($D1894="","",M1894*Y1894/100)</f>
        <v/>
      </c>
      <c r="V1894" s="16" t="str">
        <f aca="false">IF($D1894="","",Y1894*AB1894/100)</f>
        <v/>
      </c>
      <c r="W1894" s="16" t="str">
        <f aca="false">IF($D1894="","",Y1894-V1894)</f>
        <v/>
      </c>
      <c r="X1894" s="16" t="str">
        <f aca="false">IF($D1894="","",W1894-N1894)</f>
        <v/>
      </c>
      <c r="AB1894" s="17" t="str">
        <f aca="false">IF($D1894="","",IF(OR($R1894=TRUE(),$R1894="TRUE"),Settings!$C$6,Settings!$C$7)*100)</f>
        <v/>
      </c>
      <c r="AH1894" s="18" t="str">
        <f aca="false">IF($D1894="","",IF(COUNTIF($D$2:$D1894,$D1894)=1,1,0))</f>
        <v/>
      </c>
      <c r="AI1894" s="18" t="str">
        <f aca="false">IF($AH1894=1,SUMPRODUCT(--($AK$2:$AK$4001&lt;$AK1894))+1,"")</f>
        <v/>
      </c>
      <c r="AJ1894" s="18" t="str">
        <f aca="false">IF($D1894="","",IF(OR($R1894=TRUE(),$R1894="TRUE"),1,0))</f>
        <v/>
      </c>
      <c r="AK1894" s="18" t="str">
        <f aca="false">IF($AH1894=1,IFERROR(VALUE(MID($D1894,2,20)),1000000000)+ROW()/10000000,"")</f>
        <v/>
      </c>
    </row>
    <row r="1895" customFormat="false" ht="15" hidden="false" customHeight="false" outlineLevel="0" collapsed="false">
      <c r="F1895" s="15"/>
      <c r="N1895" s="16" t="str">
        <f aca="false">IF($D1895="","",M1895*Y1895/100)</f>
        <v/>
      </c>
      <c r="V1895" s="16" t="str">
        <f aca="false">IF($D1895="","",Y1895*AB1895/100)</f>
        <v/>
      </c>
      <c r="W1895" s="16" t="str">
        <f aca="false">IF($D1895="","",Y1895-V1895)</f>
        <v/>
      </c>
      <c r="X1895" s="16" t="str">
        <f aca="false">IF($D1895="","",W1895-N1895)</f>
        <v/>
      </c>
      <c r="AB1895" s="17" t="str">
        <f aca="false">IF($D1895="","",IF(OR($R1895=TRUE(),$R1895="TRUE"),Settings!$C$6,Settings!$C$7)*100)</f>
        <v/>
      </c>
      <c r="AH1895" s="18" t="str">
        <f aca="false">IF($D1895="","",IF(COUNTIF($D$2:$D1895,$D1895)=1,1,0))</f>
        <v/>
      </c>
      <c r="AI1895" s="18" t="str">
        <f aca="false">IF($AH1895=1,SUMPRODUCT(--($AK$2:$AK$4001&lt;$AK1895))+1,"")</f>
        <v/>
      </c>
      <c r="AJ1895" s="18" t="str">
        <f aca="false">IF($D1895="","",IF(OR($R1895=TRUE(),$R1895="TRUE"),1,0))</f>
        <v/>
      </c>
      <c r="AK1895" s="18" t="str">
        <f aca="false">IF($AH1895=1,IFERROR(VALUE(MID($D1895,2,20)),1000000000)+ROW()/10000000,"")</f>
        <v/>
      </c>
    </row>
    <row r="1896" customFormat="false" ht="15" hidden="false" customHeight="false" outlineLevel="0" collapsed="false">
      <c r="F1896" s="15"/>
      <c r="N1896" s="16" t="str">
        <f aca="false">IF($D1896="","",M1896*Y1896/100)</f>
        <v/>
      </c>
      <c r="V1896" s="16" t="str">
        <f aca="false">IF($D1896="","",Y1896*AB1896/100)</f>
        <v/>
      </c>
      <c r="W1896" s="16" t="str">
        <f aca="false">IF($D1896="","",Y1896-V1896)</f>
        <v/>
      </c>
      <c r="X1896" s="16" t="str">
        <f aca="false">IF($D1896="","",W1896-N1896)</f>
        <v/>
      </c>
      <c r="AB1896" s="17" t="str">
        <f aca="false">IF($D1896="","",IF(OR($R1896=TRUE(),$R1896="TRUE"),Settings!$C$6,Settings!$C$7)*100)</f>
        <v/>
      </c>
      <c r="AH1896" s="18" t="str">
        <f aca="false">IF($D1896="","",IF(COUNTIF($D$2:$D1896,$D1896)=1,1,0))</f>
        <v/>
      </c>
      <c r="AI1896" s="18" t="str">
        <f aca="false">IF($AH1896=1,SUMPRODUCT(--($AK$2:$AK$4001&lt;$AK1896))+1,"")</f>
        <v/>
      </c>
      <c r="AJ1896" s="18" t="str">
        <f aca="false">IF($D1896="","",IF(OR($R1896=TRUE(),$R1896="TRUE"),1,0))</f>
        <v/>
      </c>
      <c r="AK1896" s="18" t="str">
        <f aca="false">IF($AH1896=1,IFERROR(VALUE(MID($D1896,2,20)),1000000000)+ROW()/10000000,"")</f>
        <v/>
      </c>
    </row>
    <row r="1897" customFormat="false" ht="15" hidden="false" customHeight="false" outlineLevel="0" collapsed="false">
      <c r="F1897" s="15"/>
      <c r="N1897" s="16" t="str">
        <f aca="false">IF($D1897="","",M1897*Y1897/100)</f>
        <v/>
      </c>
      <c r="V1897" s="16" t="str">
        <f aca="false">IF($D1897="","",Y1897*AB1897/100)</f>
        <v/>
      </c>
      <c r="W1897" s="16" t="str">
        <f aca="false">IF($D1897="","",Y1897-V1897)</f>
        <v/>
      </c>
      <c r="X1897" s="16" t="str">
        <f aca="false">IF($D1897="","",W1897-N1897)</f>
        <v/>
      </c>
      <c r="AB1897" s="17" t="str">
        <f aca="false">IF($D1897="","",IF(OR($R1897=TRUE(),$R1897="TRUE"),Settings!$C$6,Settings!$C$7)*100)</f>
        <v/>
      </c>
      <c r="AH1897" s="18" t="str">
        <f aca="false">IF($D1897="","",IF(COUNTIF($D$2:$D1897,$D1897)=1,1,0))</f>
        <v/>
      </c>
      <c r="AI1897" s="18" t="str">
        <f aca="false">IF($AH1897=1,SUMPRODUCT(--($AK$2:$AK$4001&lt;$AK1897))+1,"")</f>
        <v/>
      </c>
      <c r="AJ1897" s="18" t="str">
        <f aca="false">IF($D1897="","",IF(OR($R1897=TRUE(),$R1897="TRUE"),1,0))</f>
        <v/>
      </c>
      <c r="AK1897" s="18" t="str">
        <f aca="false">IF($AH1897=1,IFERROR(VALUE(MID($D1897,2,20)),1000000000)+ROW()/10000000,"")</f>
        <v/>
      </c>
    </row>
    <row r="1898" customFormat="false" ht="15" hidden="false" customHeight="false" outlineLevel="0" collapsed="false">
      <c r="F1898" s="15"/>
      <c r="N1898" s="16" t="str">
        <f aca="false">IF($D1898="","",M1898*Y1898/100)</f>
        <v/>
      </c>
      <c r="V1898" s="16" t="str">
        <f aca="false">IF($D1898="","",Y1898*AB1898/100)</f>
        <v/>
      </c>
      <c r="W1898" s="16" t="str">
        <f aca="false">IF($D1898="","",Y1898-V1898)</f>
        <v/>
      </c>
      <c r="X1898" s="16" t="str">
        <f aca="false">IF($D1898="","",W1898-N1898)</f>
        <v/>
      </c>
      <c r="AB1898" s="17" t="str">
        <f aca="false">IF($D1898="","",IF(OR($R1898=TRUE(),$R1898="TRUE"),Settings!$C$6,Settings!$C$7)*100)</f>
        <v/>
      </c>
      <c r="AH1898" s="18" t="str">
        <f aca="false">IF($D1898="","",IF(COUNTIF($D$2:$D1898,$D1898)=1,1,0))</f>
        <v/>
      </c>
      <c r="AI1898" s="18" t="str">
        <f aca="false">IF($AH1898=1,SUMPRODUCT(--($AK$2:$AK$4001&lt;$AK1898))+1,"")</f>
        <v/>
      </c>
      <c r="AJ1898" s="18" t="str">
        <f aca="false">IF($D1898="","",IF(OR($R1898=TRUE(),$R1898="TRUE"),1,0))</f>
        <v/>
      </c>
      <c r="AK1898" s="18" t="str">
        <f aca="false">IF($AH1898=1,IFERROR(VALUE(MID($D1898,2,20)),1000000000)+ROW()/10000000,"")</f>
        <v/>
      </c>
    </row>
    <row r="1899" customFormat="false" ht="15" hidden="false" customHeight="false" outlineLevel="0" collapsed="false">
      <c r="F1899" s="15"/>
      <c r="N1899" s="16" t="str">
        <f aca="false">IF($D1899="","",M1899*Y1899/100)</f>
        <v/>
      </c>
      <c r="V1899" s="16" t="str">
        <f aca="false">IF($D1899="","",Y1899*AB1899/100)</f>
        <v/>
      </c>
      <c r="W1899" s="16" t="str">
        <f aca="false">IF($D1899="","",Y1899-V1899)</f>
        <v/>
      </c>
      <c r="X1899" s="16" t="str">
        <f aca="false">IF($D1899="","",W1899-N1899)</f>
        <v/>
      </c>
      <c r="AB1899" s="17" t="str">
        <f aca="false">IF($D1899="","",IF(OR($R1899=TRUE(),$R1899="TRUE"),Settings!$C$6,Settings!$C$7)*100)</f>
        <v/>
      </c>
      <c r="AH1899" s="18" t="str">
        <f aca="false">IF($D1899="","",IF(COUNTIF($D$2:$D1899,$D1899)=1,1,0))</f>
        <v/>
      </c>
      <c r="AI1899" s="18" t="str">
        <f aca="false">IF($AH1899=1,SUMPRODUCT(--($AK$2:$AK$4001&lt;$AK1899))+1,"")</f>
        <v/>
      </c>
      <c r="AJ1899" s="18" t="str">
        <f aca="false">IF($D1899="","",IF(OR($R1899=TRUE(),$R1899="TRUE"),1,0))</f>
        <v/>
      </c>
      <c r="AK1899" s="18" t="str">
        <f aca="false">IF($AH1899=1,IFERROR(VALUE(MID($D1899,2,20)),1000000000)+ROW()/10000000,"")</f>
        <v/>
      </c>
    </row>
    <row r="1900" customFormat="false" ht="15" hidden="false" customHeight="false" outlineLevel="0" collapsed="false">
      <c r="F1900" s="15"/>
      <c r="N1900" s="16" t="str">
        <f aca="false">IF($D1900="","",M1900*Y1900/100)</f>
        <v/>
      </c>
      <c r="V1900" s="16" t="str">
        <f aca="false">IF($D1900="","",Y1900*AB1900/100)</f>
        <v/>
      </c>
      <c r="W1900" s="16" t="str">
        <f aca="false">IF($D1900="","",Y1900-V1900)</f>
        <v/>
      </c>
      <c r="X1900" s="16" t="str">
        <f aca="false">IF($D1900="","",W1900-N1900)</f>
        <v/>
      </c>
      <c r="AB1900" s="17" t="str">
        <f aca="false">IF($D1900="","",IF(OR($R1900=TRUE(),$R1900="TRUE"),Settings!$C$6,Settings!$C$7)*100)</f>
        <v/>
      </c>
      <c r="AH1900" s="18" t="str">
        <f aca="false">IF($D1900="","",IF(COUNTIF($D$2:$D1900,$D1900)=1,1,0))</f>
        <v/>
      </c>
      <c r="AI1900" s="18" t="str">
        <f aca="false">IF($AH1900=1,SUMPRODUCT(--($AK$2:$AK$4001&lt;$AK1900))+1,"")</f>
        <v/>
      </c>
      <c r="AJ1900" s="18" t="str">
        <f aca="false">IF($D1900="","",IF(OR($R1900=TRUE(),$R1900="TRUE"),1,0))</f>
        <v/>
      </c>
      <c r="AK1900" s="18" t="str">
        <f aca="false">IF($AH1900=1,IFERROR(VALUE(MID($D1900,2,20)),1000000000)+ROW()/10000000,"")</f>
        <v/>
      </c>
    </row>
    <row r="1901" customFormat="false" ht="15" hidden="false" customHeight="false" outlineLevel="0" collapsed="false">
      <c r="F1901" s="15"/>
      <c r="N1901" s="16" t="str">
        <f aca="false">IF($D1901="","",M1901*Y1901/100)</f>
        <v/>
      </c>
      <c r="V1901" s="16" t="str">
        <f aca="false">IF($D1901="","",Y1901*AB1901/100)</f>
        <v/>
      </c>
      <c r="W1901" s="16" t="str">
        <f aca="false">IF($D1901="","",Y1901-V1901)</f>
        <v/>
      </c>
      <c r="X1901" s="16" t="str">
        <f aca="false">IF($D1901="","",W1901-N1901)</f>
        <v/>
      </c>
      <c r="AB1901" s="17" t="str">
        <f aca="false">IF($D1901="","",IF(OR($R1901=TRUE(),$R1901="TRUE"),Settings!$C$6,Settings!$C$7)*100)</f>
        <v/>
      </c>
      <c r="AH1901" s="18" t="str">
        <f aca="false">IF($D1901="","",IF(COUNTIF($D$2:$D1901,$D1901)=1,1,0))</f>
        <v/>
      </c>
      <c r="AI1901" s="18" t="str">
        <f aca="false">IF($AH1901=1,SUMPRODUCT(--($AK$2:$AK$4001&lt;$AK1901))+1,"")</f>
        <v/>
      </c>
      <c r="AJ1901" s="18" t="str">
        <f aca="false">IF($D1901="","",IF(OR($R1901=TRUE(),$R1901="TRUE"),1,0))</f>
        <v/>
      </c>
      <c r="AK1901" s="18" t="str">
        <f aca="false">IF($AH1901=1,IFERROR(VALUE(MID($D1901,2,20)),1000000000)+ROW()/10000000,"")</f>
        <v/>
      </c>
    </row>
    <row r="1902" customFormat="false" ht="15" hidden="false" customHeight="false" outlineLevel="0" collapsed="false">
      <c r="F1902" s="15"/>
      <c r="N1902" s="16" t="str">
        <f aca="false">IF($D1902="","",M1902*Y1902/100)</f>
        <v/>
      </c>
      <c r="V1902" s="16" t="str">
        <f aca="false">IF($D1902="","",Y1902*AB1902/100)</f>
        <v/>
      </c>
      <c r="W1902" s="16" t="str">
        <f aca="false">IF($D1902="","",Y1902-V1902)</f>
        <v/>
      </c>
      <c r="X1902" s="16" t="str">
        <f aca="false">IF($D1902="","",W1902-N1902)</f>
        <v/>
      </c>
      <c r="AB1902" s="17" t="str">
        <f aca="false">IF($D1902="","",IF(OR($R1902=TRUE(),$R1902="TRUE"),Settings!$C$6,Settings!$C$7)*100)</f>
        <v/>
      </c>
      <c r="AH1902" s="18" t="str">
        <f aca="false">IF($D1902="","",IF(COUNTIF($D$2:$D1902,$D1902)=1,1,0))</f>
        <v/>
      </c>
      <c r="AI1902" s="18" t="str">
        <f aca="false">IF($AH1902=1,SUMPRODUCT(--($AK$2:$AK$4001&lt;$AK1902))+1,"")</f>
        <v/>
      </c>
      <c r="AJ1902" s="18" t="str">
        <f aca="false">IF($D1902="","",IF(OR($R1902=TRUE(),$R1902="TRUE"),1,0))</f>
        <v/>
      </c>
      <c r="AK1902" s="18" t="str">
        <f aca="false">IF($AH1902=1,IFERROR(VALUE(MID($D1902,2,20)),1000000000)+ROW()/10000000,"")</f>
        <v/>
      </c>
    </row>
    <row r="1903" customFormat="false" ht="15" hidden="false" customHeight="false" outlineLevel="0" collapsed="false">
      <c r="F1903" s="15"/>
      <c r="N1903" s="16" t="str">
        <f aca="false">IF($D1903="","",M1903*Y1903/100)</f>
        <v/>
      </c>
      <c r="V1903" s="16" t="str">
        <f aca="false">IF($D1903="","",Y1903*AB1903/100)</f>
        <v/>
      </c>
      <c r="W1903" s="16" t="str">
        <f aca="false">IF($D1903="","",Y1903-V1903)</f>
        <v/>
      </c>
      <c r="X1903" s="16" t="str">
        <f aca="false">IF($D1903="","",W1903-N1903)</f>
        <v/>
      </c>
      <c r="AB1903" s="17" t="str">
        <f aca="false">IF($D1903="","",IF(OR($R1903=TRUE(),$R1903="TRUE"),Settings!$C$6,Settings!$C$7)*100)</f>
        <v/>
      </c>
      <c r="AH1903" s="18" t="str">
        <f aca="false">IF($D1903="","",IF(COUNTIF($D$2:$D1903,$D1903)=1,1,0))</f>
        <v/>
      </c>
      <c r="AI1903" s="18" t="str">
        <f aca="false">IF($AH1903=1,SUMPRODUCT(--($AK$2:$AK$4001&lt;$AK1903))+1,"")</f>
        <v/>
      </c>
      <c r="AJ1903" s="18" t="str">
        <f aca="false">IF($D1903="","",IF(OR($R1903=TRUE(),$R1903="TRUE"),1,0))</f>
        <v/>
      </c>
      <c r="AK1903" s="18" t="str">
        <f aca="false">IF($AH1903=1,IFERROR(VALUE(MID($D1903,2,20)),1000000000)+ROW()/10000000,"")</f>
        <v/>
      </c>
    </row>
    <row r="1904" customFormat="false" ht="15" hidden="false" customHeight="false" outlineLevel="0" collapsed="false">
      <c r="F1904" s="15"/>
      <c r="N1904" s="16" t="str">
        <f aca="false">IF($D1904="","",M1904*Y1904/100)</f>
        <v/>
      </c>
      <c r="V1904" s="16" t="str">
        <f aca="false">IF($D1904="","",Y1904*AB1904/100)</f>
        <v/>
      </c>
      <c r="W1904" s="16" t="str">
        <f aca="false">IF($D1904="","",Y1904-V1904)</f>
        <v/>
      </c>
      <c r="X1904" s="16" t="str">
        <f aca="false">IF($D1904="","",W1904-N1904)</f>
        <v/>
      </c>
      <c r="AB1904" s="17" t="str">
        <f aca="false">IF($D1904="","",IF(OR($R1904=TRUE(),$R1904="TRUE"),Settings!$C$6,Settings!$C$7)*100)</f>
        <v/>
      </c>
      <c r="AH1904" s="18" t="str">
        <f aca="false">IF($D1904="","",IF(COUNTIF($D$2:$D1904,$D1904)=1,1,0))</f>
        <v/>
      </c>
      <c r="AI1904" s="18" t="str">
        <f aca="false">IF($AH1904=1,SUMPRODUCT(--($AK$2:$AK$4001&lt;$AK1904))+1,"")</f>
        <v/>
      </c>
      <c r="AJ1904" s="18" t="str">
        <f aca="false">IF($D1904="","",IF(OR($R1904=TRUE(),$R1904="TRUE"),1,0))</f>
        <v/>
      </c>
      <c r="AK1904" s="18" t="str">
        <f aca="false">IF($AH1904=1,IFERROR(VALUE(MID($D1904,2,20)),1000000000)+ROW()/10000000,"")</f>
        <v/>
      </c>
    </row>
    <row r="1905" customFormat="false" ht="15" hidden="false" customHeight="false" outlineLevel="0" collapsed="false">
      <c r="F1905" s="15"/>
      <c r="N1905" s="16" t="str">
        <f aca="false">IF($D1905="","",M1905*Y1905/100)</f>
        <v/>
      </c>
      <c r="V1905" s="16" t="str">
        <f aca="false">IF($D1905="","",Y1905*AB1905/100)</f>
        <v/>
      </c>
      <c r="W1905" s="16" t="str">
        <f aca="false">IF($D1905="","",Y1905-V1905)</f>
        <v/>
      </c>
      <c r="X1905" s="16" t="str">
        <f aca="false">IF($D1905="","",W1905-N1905)</f>
        <v/>
      </c>
      <c r="AB1905" s="17" t="str">
        <f aca="false">IF($D1905="","",IF(OR($R1905=TRUE(),$R1905="TRUE"),Settings!$C$6,Settings!$C$7)*100)</f>
        <v/>
      </c>
      <c r="AH1905" s="18" t="str">
        <f aca="false">IF($D1905="","",IF(COUNTIF($D$2:$D1905,$D1905)=1,1,0))</f>
        <v/>
      </c>
      <c r="AI1905" s="18" t="str">
        <f aca="false">IF($AH1905=1,SUMPRODUCT(--($AK$2:$AK$4001&lt;$AK1905))+1,"")</f>
        <v/>
      </c>
      <c r="AJ1905" s="18" t="str">
        <f aca="false">IF($D1905="","",IF(OR($R1905=TRUE(),$R1905="TRUE"),1,0))</f>
        <v/>
      </c>
      <c r="AK1905" s="18" t="str">
        <f aca="false">IF($AH1905=1,IFERROR(VALUE(MID($D1905,2,20)),1000000000)+ROW()/10000000,"")</f>
        <v/>
      </c>
    </row>
    <row r="1906" customFormat="false" ht="15" hidden="false" customHeight="false" outlineLevel="0" collapsed="false">
      <c r="F1906" s="15"/>
      <c r="N1906" s="16" t="str">
        <f aca="false">IF($D1906="","",M1906*Y1906/100)</f>
        <v/>
      </c>
      <c r="V1906" s="16" t="str">
        <f aca="false">IF($D1906="","",Y1906*AB1906/100)</f>
        <v/>
      </c>
      <c r="W1906" s="16" t="str">
        <f aca="false">IF($D1906="","",Y1906-V1906)</f>
        <v/>
      </c>
      <c r="X1906" s="16" t="str">
        <f aca="false">IF($D1906="","",W1906-N1906)</f>
        <v/>
      </c>
      <c r="AB1906" s="17" t="str">
        <f aca="false">IF($D1906="","",IF(OR($R1906=TRUE(),$R1906="TRUE"),Settings!$C$6,Settings!$C$7)*100)</f>
        <v/>
      </c>
      <c r="AH1906" s="18" t="str">
        <f aca="false">IF($D1906="","",IF(COUNTIF($D$2:$D1906,$D1906)=1,1,0))</f>
        <v/>
      </c>
      <c r="AI1906" s="18" t="str">
        <f aca="false">IF($AH1906=1,SUMPRODUCT(--($AK$2:$AK$4001&lt;$AK1906))+1,"")</f>
        <v/>
      </c>
      <c r="AJ1906" s="18" t="str">
        <f aca="false">IF($D1906="","",IF(OR($R1906=TRUE(),$R1906="TRUE"),1,0))</f>
        <v/>
      </c>
      <c r="AK1906" s="18" t="str">
        <f aca="false">IF($AH1906=1,IFERROR(VALUE(MID($D1906,2,20)),1000000000)+ROW()/10000000,"")</f>
        <v/>
      </c>
    </row>
    <row r="1907" customFormat="false" ht="15" hidden="false" customHeight="false" outlineLevel="0" collapsed="false">
      <c r="F1907" s="15"/>
      <c r="N1907" s="16" t="str">
        <f aca="false">IF($D1907="","",M1907*Y1907/100)</f>
        <v/>
      </c>
      <c r="V1907" s="16" t="str">
        <f aca="false">IF($D1907="","",Y1907*AB1907/100)</f>
        <v/>
      </c>
      <c r="W1907" s="16" t="str">
        <f aca="false">IF($D1907="","",Y1907-V1907)</f>
        <v/>
      </c>
      <c r="X1907" s="16" t="str">
        <f aca="false">IF($D1907="","",W1907-N1907)</f>
        <v/>
      </c>
      <c r="AB1907" s="17" t="str">
        <f aca="false">IF($D1907="","",IF(OR($R1907=TRUE(),$R1907="TRUE"),Settings!$C$6,Settings!$C$7)*100)</f>
        <v/>
      </c>
      <c r="AH1907" s="18" t="str">
        <f aca="false">IF($D1907="","",IF(COUNTIF($D$2:$D1907,$D1907)=1,1,0))</f>
        <v/>
      </c>
      <c r="AI1907" s="18" t="str">
        <f aca="false">IF($AH1907=1,SUMPRODUCT(--($AK$2:$AK$4001&lt;$AK1907))+1,"")</f>
        <v/>
      </c>
      <c r="AJ1907" s="18" t="str">
        <f aca="false">IF($D1907="","",IF(OR($R1907=TRUE(),$R1907="TRUE"),1,0))</f>
        <v/>
      </c>
      <c r="AK1907" s="18" t="str">
        <f aca="false">IF($AH1907=1,IFERROR(VALUE(MID($D1907,2,20)),1000000000)+ROW()/10000000,"")</f>
        <v/>
      </c>
    </row>
    <row r="1908" customFormat="false" ht="15" hidden="false" customHeight="false" outlineLevel="0" collapsed="false">
      <c r="F1908" s="15"/>
      <c r="N1908" s="16" t="str">
        <f aca="false">IF($D1908="","",M1908*Y1908/100)</f>
        <v/>
      </c>
      <c r="V1908" s="16" t="str">
        <f aca="false">IF($D1908="","",Y1908*AB1908/100)</f>
        <v/>
      </c>
      <c r="W1908" s="16" t="str">
        <f aca="false">IF($D1908="","",Y1908-V1908)</f>
        <v/>
      </c>
      <c r="X1908" s="16" t="str">
        <f aca="false">IF($D1908="","",W1908-N1908)</f>
        <v/>
      </c>
      <c r="AB1908" s="17" t="str">
        <f aca="false">IF($D1908="","",IF(OR($R1908=TRUE(),$R1908="TRUE"),Settings!$C$6,Settings!$C$7)*100)</f>
        <v/>
      </c>
      <c r="AH1908" s="18" t="str">
        <f aca="false">IF($D1908="","",IF(COUNTIF($D$2:$D1908,$D1908)=1,1,0))</f>
        <v/>
      </c>
      <c r="AI1908" s="18" t="str">
        <f aca="false">IF($AH1908=1,SUMPRODUCT(--($AK$2:$AK$4001&lt;$AK1908))+1,"")</f>
        <v/>
      </c>
      <c r="AJ1908" s="18" t="str">
        <f aca="false">IF($D1908="","",IF(OR($R1908=TRUE(),$R1908="TRUE"),1,0))</f>
        <v/>
      </c>
      <c r="AK1908" s="18" t="str">
        <f aca="false">IF($AH1908=1,IFERROR(VALUE(MID($D1908,2,20)),1000000000)+ROW()/10000000,"")</f>
        <v/>
      </c>
    </row>
    <row r="1909" customFormat="false" ht="15" hidden="false" customHeight="false" outlineLevel="0" collapsed="false">
      <c r="F1909" s="15"/>
      <c r="N1909" s="16" t="str">
        <f aca="false">IF($D1909="","",M1909*Y1909/100)</f>
        <v/>
      </c>
      <c r="V1909" s="16" t="str">
        <f aca="false">IF($D1909="","",Y1909*AB1909/100)</f>
        <v/>
      </c>
      <c r="W1909" s="16" t="str">
        <f aca="false">IF($D1909="","",Y1909-V1909)</f>
        <v/>
      </c>
      <c r="X1909" s="16" t="str">
        <f aca="false">IF($D1909="","",W1909-N1909)</f>
        <v/>
      </c>
      <c r="AB1909" s="17" t="str">
        <f aca="false">IF($D1909="","",IF(OR($R1909=TRUE(),$R1909="TRUE"),Settings!$C$6,Settings!$C$7)*100)</f>
        <v/>
      </c>
      <c r="AH1909" s="18" t="str">
        <f aca="false">IF($D1909="","",IF(COUNTIF($D$2:$D1909,$D1909)=1,1,0))</f>
        <v/>
      </c>
      <c r="AI1909" s="18" t="str">
        <f aca="false">IF($AH1909=1,SUMPRODUCT(--($AK$2:$AK$4001&lt;$AK1909))+1,"")</f>
        <v/>
      </c>
      <c r="AJ1909" s="18" t="str">
        <f aca="false">IF($D1909="","",IF(OR($R1909=TRUE(),$R1909="TRUE"),1,0))</f>
        <v/>
      </c>
      <c r="AK1909" s="18" t="str">
        <f aca="false">IF($AH1909=1,IFERROR(VALUE(MID($D1909,2,20)),1000000000)+ROW()/10000000,"")</f>
        <v/>
      </c>
    </row>
    <row r="1910" customFormat="false" ht="15" hidden="false" customHeight="false" outlineLevel="0" collapsed="false">
      <c r="F1910" s="15"/>
      <c r="N1910" s="16" t="str">
        <f aca="false">IF($D1910="","",M1910*Y1910/100)</f>
        <v/>
      </c>
      <c r="V1910" s="16" t="str">
        <f aca="false">IF($D1910="","",Y1910*AB1910/100)</f>
        <v/>
      </c>
      <c r="W1910" s="16" t="str">
        <f aca="false">IF($D1910="","",Y1910-V1910)</f>
        <v/>
      </c>
      <c r="X1910" s="16" t="str">
        <f aca="false">IF($D1910="","",W1910-N1910)</f>
        <v/>
      </c>
      <c r="AB1910" s="17" t="str">
        <f aca="false">IF($D1910="","",IF(OR($R1910=TRUE(),$R1910="TRUE"),Settings!$C$6,Settings!$C$7)*100)</f>
        <v/>
      </c>
      <c r="AH1910" s="18" t="str">
        <f aca="false">IF($D1910="","",IF(COUNTIF($D$2:$D1910,$D1910)=1,1,0))</f>
        <v/>
      </c>
      <c r="AI1910" s="18" t="str">
        <f aca="false">IF($AH1910=1,SUMPRODUCT(--($AK$2:$AK$4001&lt;$AK1910))+1,"")</f>
        <v/>
      </c>
      <c r="AJ1910" s="18" t="str">
        <f aca="false">IF($D1910="","",IF(OR($R1910=TRUE(),$R1910="TRUE"),1,0))</f>
        <v/>
      </c>
      <c r="AK1910" s="18" t="str">
        <f aca="false">IF($AH1910=1,IFERROR(VALUE(MID($D1910,2,20)),1000000000)+ROW()/10000000,"")</f>
        <v/>
      </c>
    </row>
    <row r="1911" customFormat="false" ht="15" hidden="false" customHeight="false" outlineLevel="0" collapsed="false">
      <c r="F1911" s="15"/>
      <c r="N1911" s="16" t="str">
        <f aca="false">IF($D1911="","",M1911*Y1911/100)</f>
        <v/>
      </c>
      <c r="V1911" s="16" t="str">
        <f aca="false">IF($D1911="","",Y1911*AB1911/100)</f>
        <v/>
      </c>
      <c r="W1911" s="16" t="str">
        <f aca="false">IF($D1911="","",Y1911-V1911)</f>
        <v/>
      </c>
      <c r="X1911" s="16" t="str">
        <f aca="false">IF($D1911="","",W1911-N1911)</f>
        <v/>
      </c>
      <c r="AB1911" s="17" t="str">
        <f aca="false">IF($D1911="","",IF(OR($R1911=TRUE(),$R1911="TRUE"),Settings!$C$6,Settings!$C$7)*100)</f>
        <v/>
      </c>
      <c r="AH1911" s="18" t="str">
        <f aca="false">IF($D1911="","",IF(COUNTIF($D$2:$D1911,$D1911)=1,1,0))</f>
        <v/>
      </c>
      <c r="AI1911" s="18" t="str">
        <f aca="false">IF($AH1911=1,SUMPRODUCT(--($AK$2:$AK$4001&lt;$AK1911))+1,"")</f>
        <v/>
      </c>
      <c r="AJ1911" s="18" t="str">
        <f aca="false">IF($D1911="","",IF(OR($R1911=TRUE(),$R1911="TRUE"),1,0))</f>
        <v/>
      </c>
      <c r="AK1911" s="18" t="str">
        <f aca="false">IF($AH1911=1,IFERROR(VALUE(MID($D1911,2,20)),1000000000)+ROW()/10000000,"")</f>
        <v/>
      </c>
    </row>
    <row r="1912" customFormat="false" ht="15" hidden="false" customHeight="false" outlineLevel="0" collapsed="false">
      <c r="F1912" s="15"/>
      <c r="N1912" s="16" t="str">
        <f aca="false">IF($D1912="","",M1912*Y1912/100)</f>
        <v/>
      </c>
      <c r="V1912" s="16" t="str">
        <f aca="false">IF($D1912="","",Y1912*AB1912/100)</f>
        <v/>
      </c>
      <c r="W1912" s="16" t="str">
        <f aca="false">IF($D1912="","",Y1912-V1912)</f>
        <v/>
      </c>
      <c r="X1912" s="16" t="str">
        <f aca="false">IF($D1912="","",W1912-N1912)</f>
        <v/>
      </c>
      <c r="AB1912" s="17" t="str">
        <f aca="false">IF($D1912="","",IF(OR($R1912=TRUE(),$R1912="TRUE"),Settings!$C$6,Settings!$C$7)*100)</f>
        <v/>
      </c>
      <c r="AH1912" s="18" t="str">
        <f aca="false">IF($D1912="","",IF(COUNTIF($D$2:$D1912,$D1912)=1,1,0))</f>
        <v/>
      </c>
      <c r="AI1912" s="18" t="str">
        <f aca="false">IF($AH1912=1,SUMPRODUCT(--($AK$2:$AK$4001&lt;$AK1912))+1,"")</f>
        <v/>
      </c>
      <c r="AJ1912" s="18" t="str">
        <f aca="false">IF($D1912="","",IF(OR($R1912=TRUE(),$R1912="TRUE"),1,0))</f>
        <v/>
      </c>
      <c r="AK1912" s="18" t="str">
        <f aca="false">IF($AH1912=1,IFERROR(VALUE(MID($D1912,2,20)),1000000000)+ROW()/10000000,"")</f>
        <v/>
      </c>
    </row>
    <row r="1913" customFormat="false" ht="15" hidden="false" customHeight="false" outlineLevel="0" collapsed="false">
      <c r="F1913" s="15"/>
      <c r="N1913" s="16" t="str">
        <f aca="false">IF($D1913="","",M1913*Y1913/100)</f>
        <v/>
      </c>
      <c r="V1913" s="16" t="str">
        <f aca="false">IF($D1913="","",Y1913*AB1913/100)</f>
        <v/>
      </c>
      <c r="W1913" s="16" t="str">
        <f aca="false">IF($D1913="","",Y1913-V1913)</f>
        <v/>
      </c>
      <c r="X1913" s="16" t="str">
        <f aca="false">IF($D1913="","",W1913-N1913)</f>
        <v/>
      </c>
      <c r="AB1913" s="17" t="str">
        <f aca="false">IF($D1913="","",IF(OR($R1913=TRUE(),$R1913="TRUE"),Settings!$C$6,Settings!$C$7)*100)</f>
        <v/>
      </c>
      <c r="AH1913" s="18" t="str">
        <f aca="false">IF($D1913="","",IF(COUNTIF($D$2:$D1913,$D1913)=1,1,0))</f>
        <v/>
      </c>
      <c r="AI1913" s="18" t="str">
        <f aca="false">IF($AH1913=1,SUMPRODUCT(--($AK$2:$AK$4001&lt;$AK1913))+1,"")</f>
        <v/>
      </c>
      <c r="AJ1913" s="18" t="str">
        <f aca="false">IF($D1913="","",IF(OR($R1913=TRUE(),$R1913="TRUE"),1,0))</f>
        <v/>
      </c>
      <c r="AK1913" s="18" t="str">
        <f aca="false">IF($AH1913=1,IFERROR(VALUE(MID($D1913,2,20)),1000000000)+ROW()/10000000,"")</f>
        <v/>
      </c>
    </row>
    <row r="1914" customFormat="false" ht="15" hidden="false" customHeight="false" outlineLevel="0" collapsed="false">
      <c r="F1914" s="15"/>
      <c r="N1914" s="16" t="str">
        <f aca="false">IF($D1914="","",M1914*Y1914/100)</f>
        <v/>
      </c>
      <c r="V1914" s="16" t="str">
        <f aca="false">IF($D1914="","",Y1914*AB1914/100)</f>
        <v/>
      </c>
      <c r="W1914" s="16" t="str">
        <f aca="false">IF($D1914="","",Y1914-V1914)</f>
        <v/>
      </c>
      <c r="X1914" s="16" t="str">
        <f aca="false">IF($D1914="","",W1914-N1914)</f>
        <v/>
      </c>
      <c r="AB1914" s="17" t="str">
        <f aca="false">IF($D1914="","",IF(OR($R1914=TRUE(),$R1914="TRUE"),Settings!$C$6,Settings!$C$7)*100)</f>
        <v/>
      </c>
      <c r="AH1914" s="18" t="str">
        <f aca="false">IF($D1914="","",IF(COUNTIF($D$2:$D1914,$D1914)=1,1,0))</f>
        <v/>
      </c>
      <c r="AI1914" s="18" t="str">
        <f aca="false">IF($AH1914=1,SUMPRODUCT(--($AK$2:$AK$4001&lt;$AK1914))+1,"")</f>
        <v/>
      </c>
      <c r="AJ1914" s="18" t="str">
        <f aca="false">IF($D1914="","",IF(OR($R1914=TRUE(),$R1914="TRUE"),1,0))</f>
        <v/>
      </c>
      <c r="AK1914" s="18" t="str">
        <f aca="false">IF($AH1914=1,IFERROR(VALUE(MID($D1914,2,20)),1000000000)+ROW()/10000000,"")</f>
        <v/>
      </c>
    </row>
    <row r="1915" customFormat="false" ht="15" hidden="false" customHeight="false" outlineLevel="0" collapsed="false">
      <c r="F1915" s="15"/>
      <c r="N1915" s="16" t="str">
        <f aca="false">IF($D1915="","",M1915*Y1915/100)</f>
        <v/>
      </c>
      <c r="V1915" s="16" t="str">
        <f aca="false">IF($D1915="","",Y1915*AB1915/100)</f>
        <v/>
      </c>
      <c r="W1915" s="16" t="str">
        <f aca="false">IF($D1915="","",Y1915-V1915)</f>
        <v/>
      </c>
      <c r="X1915" s="16" t="str">
        <f aca="false">IF($D1915="","",W1915-N1915)</f>
        <v/>
      </c>
      <c r="AB1915" s="17" t="str">
        <f aca="false">IF($D1915="","",IF(OR($R1915=TRUE(),$R1915="TRUE"),Settings!$C$6,Settings!$C$7)*100)</f>
        <v/>
      </c>
      <c r="AH1915" s="18" t="str">
        <f aca="false">IF($D1915="","",IF(COUNTIF($D$2:$D1915,$D1915)=1,1,0))</f>
        <v/>
      </c>
      <c r="AI1915" s="18" t="str">
        <f aca="false">IF($AH1915=1,SUMPRODUCT(--($AK$2:$AK$4001&lt;$AK1915))+1,"")</f>
        <v/>
      </c>
      <c r="AJ1915" s="18" t="str">
        <f aca="false">IF($D1915="","",IF(OR($R1915=TRUE(),$R1915="TRUE"),1,0))</f>
        <v/>
      </c>
      <c r="AK1915" s="18" t="str">
        <f aca="false">IF($AH1915=1,IFERROR(VALUE(MID($D1915,2,20)),1000000000)+ROW()/10000000,"")</f>
        <v/>
      </c>
    </row>
    <row r="1916" customFormat="false" ht="15" hidden="false" customHeight="false" outlineLevel="0" collapsed="false">
      <c r="F1916" s="15"/>
      <c r="N1916" s="16" t="str">
        <f aca="false">IF($D1916="","",M1916*Y1916/100)</f>
        <v/>
      </c>
      <c r="V1916" s="16" t="str">
        <f aca="false">IF($D1916="","",Y1916*AB1916/100)</f>
        <v/>
      </c>
      <c r="W1916" s="16" t="str">
        <f aca="false">IF($D1916="","",Y1916-V1916)</f>
        <v/>
      </c>
      <c r="X1916" s="16" t="str">
        <f aca="false">IF($D1916="","",W1916-N1916)</f>
        <v/>
      </c>
      <c r="AB1916" s="17" t="str">
        <f aca="false">IF($D1916="","",IF(OR($R1916=TRUE(),$R1916="TRUE"),Settings!$C$6,Settings!$C$7)*100)</f>
        <v/>
      </c>
      <c r="AH1916" s="18" t="str">
        <f aca="false">IF($D1916="","",IF(COUNTIF($D$2:$D1916,$D1916)=1,1,0))</f>
        <v/>
      </c>
      <c r="AI1916" s="18" t="str">
        <f aca="false">IF($AH1916=1,SUMPRODUCT(--($AK$2:$AK$4001&lt;$AK1916))+1,"")</f>
        <v/>
      </c>
      <c r="AJ1916" s="18" t="str">
        <f aca="false">IF($D1916="","",IF(OR($R1916=TRUE(),$R1916="TRUE"),1,0))</f>
        <v/>
      </c>
      <c r="AK1916" s="18" t="str">
        <f aca="false">IF($AH1916=1,IFERROR(VALUE(MID($D1916,2,20)),1000000000)+ROW()/10000000,"")</f>
        <v/>
      </c>
    </row>
    <row r="1917" customFormat="false" ht="15" hidden="false" customHeight="false" outlineLevel="0" collapsed="false">
      <c r="F1917" s="15"/>
      <c r="N1917" s="16" t="str">
        <f aca="false">IF($D1917="","",M1917*Y1917/100)</f>
        <v/>
      </c>
      <c r="V1917" s="16" t="str">
        <f aca="false">IF($D1917="","",Y1917*AB1917/100)</f>
        <v/>
      </c>
      <c r="W1917" s="16" t="str">
        <f aca="false">IF($D1917="","",Y1917-V1917)</f>
        <v/>
      </c>
      <c r="X1917" s="16" t="str">
        <f aca="false">IF($D1917="","",W1917-N1917)</f>
        <v/>
      </c>
      <c r="AB1917" s="17" t="str">
        <f aca="false">IF($D1917="","",IF(OR($R1917=TRUE(),$R1917="TRUE"),Settings!$C$6,Settings!$C$7)*100)</f>
        <v/>
      </c>
      <c r="AH1917" s="18" t="str">
        <f aca="false">IF($D1917="","",IF(COUNTIF($D$2:$D1917,$D1917)=1,1,0))</f>
        <v/>
      </c>
      <c r="AI1917" s="18" t="str">
        <f aca="false">IF($AH1917=1,SUMPRODUCT(--($AK$2:$AK$4001&lt;$AK1917))+1,"")</f>
        <v/>
      </c>
      <c r="AJ1917" s="18" t="str">
        <f aca="false">IF($D1917="","",IF(OR($R1917=TRUE(),$R1917="TRUE"),1,0))</f>
        <v/>
      </c>
      <c r="AK1917" s="18" t="str">
        <f aca="false">IF($AH1917=1,IFERROR(VALUE(MID($D1917,2,20)),1000000000)+ROW()/10000000,"")</f>
        <v/>
      </c>
    </row>
    <row r="1918" customFormat="false" ht="15" hidden="false" customHeight="false" outlineLevel="0" collapsed="false">
      <c r="F1918" s="15"/>
      <c r="N1918" s="16" t="str">
        <f aca="false">IF($D1918="","",M1918*Y1918/100)</f>
        <v/>
      </c>
      <c r="V1918" s="16" t="str">
        <f aca="false">IF($D1918="","",Y1918*AB1918/100)</f>
        <v/>
      </c>
      <c r="W1918" s="16" t="str">
        <f aca="false">IF($D1918="","",Y1918-V1918)</f>
        <v/>
      </c>
      <c r="X1918" s="16" t="str">
        <f aca="false">IF($D1918="","",W1918-N1918)</f>
        <v/>
      </c>
      <c r="AB1918" s="17" t="str">
        <f aca="false">IF($D1918="","",IF(OR($R1918=TRUE(),$R1918="TRUE"),Settings!$C$6,Settings!$C$7)*100)</f>
        <v/>
      </c>
      <c r="AH1918" s="18" t="str">
        <f aca="false">IF($D1918="","",IF(COUNTIF($D$2:$D1918,$D1918)=1,1,0))</f>
        <v/>
      </c>
      <c r="AI1918" s="18" t="str">
        <f aca="false">IF($AH1918=1,SUMPRODUCT(--($AK$2:$AK$4001&lt;$AK1918))+1,"")</f>
        <v/>
      </c>
      <c r="AJ1918" s="18" t="str">
        <f aca="false">IF($D1918="","",IF(OR($R1918=TRUE(),$R1918="TRUE"),1,0))</f>
        <v/>
      </c>
      <c r="AK1918" s="18" t="str">
        <f aca="false">IF($AH1918=1,IFERROR(VALUE(MID($D1918,2,20)),1000000000)+ROW()/10000000,"")</f>
        <v/>
      </c>
    </row>
    <row r="1919" customFormat="false" ht="15" hidden="false" customHeight="false" outlineLevel="0" collapsed="false">
      <c r="F1919" s="15"/>
      <c r="N1919" s="16" t="str">
        <f aca="false">IF($D1919="","",M1919*Y1919/100)</f>
        <v/>
      </c>
      <c r="V1919" s="16" t="str">
        <f aca="false">IF($D1919="","",Y1919*AB1919/100)</f>
        <v/>
      </c>
      <c r="W1919" s="16" t="str">
        <f aca="false">IF($D1919="","",Y1919-V1919)</f>
        <v/>
      </c>
      <c r="X1919" s="16" t="str">
        <f aca="false">IF($D1919="","",W1919-N1919)</f>
        <v/>
      </c>
      <c r="AB1919" s="17" t="str">
        <f aca="false">IF($D1919="","",IF(OR($R1919=TRUE(),$R1919="TRUE"),Settings!$C$6,Settings!$C$7)*100)</f>
        <v/>
      </c>
      <c r="AH1919" s="18" t="str">
        <f aca="false">IF($D1919="","",IF(COUNTIF($D$2:$D1919,$D1919)=1,1,0))</f>
        <v/>
      </c>
      <c r="AI1919" s="18" t="str">
        <f aca="false">IF($AH1919=1,SUMPRODUCT(--($AK$2:$AK$4001&lt;$AK1919))+1,"")</f>
        <v/>
      </c>
      <c r="AJ1919" s="18" t="str">
        <f aca="false">IF($D1919="","",IF(OR($R1919=TRUE(),$R1919="TRUE"),1,0))</f>
        <v/>
      </c>
      <c r="AK1919" s="18" t="str">
        <f aca="false">IF($AH1919=1,IFERROR(VALUE(MID($D1919,2,20)),1000000000)+ROW()/10000000,"")</f>
        <v/>
      </c>
    </row>
    <row r="1920" customFormat="false" ht="15" hidden="false" customHeight="false" outlineLevel="0" collapsed="false">
      <c r="F1920" s="15"/>
      <c r="N1920" s="16" t="str">
        <f aca="false">IF($D1920="","",M1920*Y1920/100)</f>
        <v/>
      </c>
      <c r="V1920" s="16" t="str">
        <f aca="false">IF($D1920="","",Y1920*AB1920/100)</f>
        <v/>
      </c>
      <c r="W1920" s="16" t="str">
        <f aca="false">IF($D1920="","",Y1920-V1920)</f>
        <v/>
      </c>
      <c r="X1920" s="16" t="str">
        <f aca="false">IF($D1920="","",W1920-N1920)</f>
        <v/>
      </c>
      <c r="AB1920" s="17" t="str">
        <f aca="false">IF($D1920="","",IF(OR($R1920=TRUE(),$R1920="TRUE"),Settings!$C$6,Settings!$C$7)*100)</f>
        <v/>
      </c>
      <c r="AH1920" s="18" t="str">
        <f aca="false">IF($D1920="","",IF(COUNTIF($D$2:$D1920,$D1920)=1,1,0))</f>
        <v/>
      </c>
      <c r="AI1920" s="18" t="str">
        <f aca="false">IF($AH1920=1,SUMPRODUCT(--($AK$2:$AK$4001&lt;$AK1920))+1,"")</f>
        <v/>
      </c>
      <c r="AJ1920" s="18" t="str">
        <f aca="false">IF($D1920="","",IF(OR($R1920=TRUE(),$R1920="TRUE"),1,0))</f>
        <v/>
      </c>
      <c r="AK1920" s="18" t="str">
        <f aca="false">IF($AH1920=1,IFERROR(VALUE(MID($D1920,2,20)),1000000000)+ROW()/10000000,"")</f>
        <v/>
      </c>
    </row>
    <row r="1921" customFormat="false" ht="15" hidden="false" customHeight="false" outlineLevel="0" collapsed="false">
      <c r="F1921" s="15"/>
      <c r="N1921" s="16" t="str">
        <f aca="false">IF($D1921="","",M1921*Y1921/100)</f>
        <v/>
      </c>
      <c r="V1921" s="16" t="str">
        <f aca="false">IF($D1921="","",Y1921*AB1921/100)</f>
        <v/>
      </c>
      <c r="W1921" s="16" t="str">
        <f aca="false">IF($D1921="","",Y1921-V1921)</f>
        <v/>
      </c>
      <c r="X1921" s="16" t="str">
        <f aca="false">IF($D1921="","",W1921-N1921)</f>
        <v/>
      </c>
      <c r="AB1921" s="17" t="str">
        <f aca="false">IF($D1921="","",IF(OR($R1921=TRUE(),$R1921="TRUE"),Settings!$C$6,Settings!$C$7)*100)</f>
        <v/>
      </c>
      <c r="AH1921" s="18" t="str">
        <f aca="false">IF($D1921="","",IF(COUNTIF($D$2:$D1921,$D1921)=1,1,0))</f>
        <v/>
      </c>
      <c r="AI1921" s="18" t="str">
        <f aca="false">IF($AH1921=1,SUMPRODUCT(--($AK$2:$AK$4001&lt;$AK1921))+1,"")</f>
        <v/>
      </c>
      <c r="AJ1921" s="18" t="str">
        <f aca="false">IF($D1921="","",IF(OR($R1921=TRUE(),$R1921="TRUE"),1,0))</f>
        <v/>
      </c>
      <c r="AK1921" s="18" t="str">
        <f aca="false">IF($AH1921=1,IFERROR(VALUE(MID($D1921,2,20)),1000000000)+ROW()/10000000,"")</f>
        <v/>
      </c>
    </row>
    <row r="1922" customFormat="false" ht="15" hidden="false" customHeight="false" outlineLevel="0" collapsed="false">
      <c r="F1922" s="15"/>
      <c r="N1922" s="16" t="str">
        <f aca="false">IF($D1922="","",M1922*Y1922/100)</f>
        <v/>
      </c>
      <c r="V1922" s="16" t="str">
        <f aca="false">IF($D1922="","",Y1922*AB1922/100)</f>
        <v/>
      </c>
      <c r="W1922" s="16" t="str">
        <f aca="false">IF($D1922="","",Y1922-V1922)</f>
        <v/>
      </c>
      <c r="X1922" s="16" t="str">
        <f aca="false">IF($D1922="","",W1922-N1922)</f>
        <v/>
      </c>
      <c r="AB1922" s="17" t="str">
        <f aca="false">IF($D1922="","",IF(OR($R1922=TRUE(),$R1922="TRUE"),Settings!$C$6,Settings!$C$7)*100)</f>
        <v/>
      </c>
      <c r="AH1922" s="18" t="str">
        <f aca="false">IF($D1922="","",IF(COUNTIF($D$2:$D1922,$D1922)=1,1,0))</f>
        <v/>
      </c>
      <c r="AI1922" s="18" t="str">
        <f aca="false">IF($AH1922=1,SUMPRODUCT(--($AK$2:$AK$4001&lt;$AK1922))+1,"")</f>
        <v/>
      </c>
      <c r="AJ1922" s="18" t="str">
        <f aca="false">IF($D1922="","",IF(OR($R1922=TRUE(),$R1922="TRUE"),1,0))</f>
        <v/>
      </c>
      <c r="AK1922" s="18" t="str">
        <f aca="false">IF($AH1922=1,IFERROR(VALUE(MID($D1922,2,20)),1000000000)+ROW()/10000000,"")</f>
        <v/>
      </c>
    </row>
    <row r="1923" customFormat="false" ht="15" hidden="false" customHeight="false" outlineLevel="0" collapsed="false">
      <c r="F1923" s="15"/>
      <c r="N1923" s="16" t="str">
        <f aca="false">IF($D1923="","",M1923*Y1923/100)</f>
        <v/>
      </c>
      <c r="V1923" s="16" t="str">
        <f aca="false">IF($D1923="","",Y1923*AB1923/100)</f>
        <v/>
      </c>
      <c r="W1923" s="16" t="str">
        <f aca="false">IF($D1923="","",Y1923-V1923)</f>
        <v/>
      </c>
      <c r="X1923" s="16" t="str">
        <f aca="false">IF($D1923="","",W1923-N1923)</f>
        <v/>
      </c>
      <c r="AB1923" s="17" t="str">
        <f aca="false">IF($D1923="","",IF(OR($R1923=TRUE(),$R1923="TRUE"),Settings!$C$6,Settings!$C$7)*100)</f>
        <v/>
      </c>
      <c r="AH1923" s="18" t="str">
        <f aca="false">IF($D1923="","",IF(COUNTIF($D$2:$D1923,$D1923)=1,1,0))</f>
        <v/>
      </c>
      <c r="AI1923" s="18" t="str">
        <f aca="false">IF($AH1923=1,SUMPRODUCT(--($AK$2:$AK$4001&lt;$AK1923))+1,"")</f>
        <v/>
      </c>
      <c r="AJ1923" s="18" t="str">
        <f aca="false">IF($D1923="","",IF(OR($R1923=TRUE(),$R1923="TRUE"),1,0))</f>
        <v/>
      </c>
      <c r="AK1923" s="18" t="str">
        <f aca="false">IF($AH1923=1,IFERROR(VALUE(MID($D1923,2,20)),1000000000)+ROW()/10000000,"")</f>
        <v/>
      </c>
    </row>
    <row r="1924" customFormat="false" ht="15" hidden="false" customHeight="false" outlineLevel="0" collapsed="false">
      <c r="F1924" s="15"/>
      <c r="N1924" s="16" t="str">
        <f aca="false">IF($D1924="","",M1924*Y1924/100)</f>
        <v/>
      </c>
      <c r="V1924" s="16" t="str">
        <f aca="false">IF($D1924="","",Y1924*AB1924/100)</f>
        <v/>
      </c>
      <c r="W1924" s="16" t="str">
        <f aca="false">IF($D1924="","",Y1924-V1924)</f>
        <v/>
      </c>
      <c r="X1924" s="16" t="str">
        <f aca="false">IF($D1924="","",W1924-N1924)</f>
        <v/>
      </c>
      <c r="AB1924" s="17" t="str">
        <f aca="false">IF($D1924="","",IF(OR($R1924=TRUE(),$R1924="TRUE"),Settings!$C$6,Settings!$C$7)*100)</f>
        <v/>
      </c>
      <c r="AH1924" s="18" t="str">
        <f aca="false">IF($D1924="","",IF(COUNTIF($D$2:$D1924,$D1924)=1,1,0))</f>
        <v/>
      </c>
      <c r="AI1924" s="18" t="str">
        <f aca="false">IF($AH1924=1,SUMPRODUCT(--($AK$2:$AK$4001&lt;$AK1924))+1,"")</f>
        <v/>
      </c>
      <c r="AJ1924" s="18" t="str">
        <f aca="false">IF($D1924="","",IF(OR($R1924=TRUE(),$R1924="TRUE"),1,0))</f>
        <v/>
      </c>
      <c r="AK1924" s="18" t="str">
        <f aca="false">IF($AH1924=1,IFERROR(VALUE(MID($D1924,2,20)),1000000000)+ROW()/10000000,"")</f>
        <v/>
      </c>
    </row>
    <row r="1925" customFormat="false" ht="15" hidden="false" customHeight="false" outlineLevel="0" collapsed="false">
      <c r="F1925" s="15"/>
      <c r="N1925" s="16" t="str">
        <f aca="false">IF($D1925="","",M1925*Y1925/100)</f>
        <v/>
      </c>
      <c r="V1925" s="16" t="str">
        <f aca="false">IF($D1925="","",Y1925*AB1925/100)</f>
        <v/>
      </c>
      <c r="W1925" s="16" t="str">
        <f aca="false">IF($D1925="","",Y1925-V1925)</f>
        <v/>
      </c>
      <c r="X1925" s="16" t="str">
        <f aca="false">IF($D1925="","",W1925-N1925)</f>
        <v/>
      </c>
      <c r="AB1925" s="17" t="str">
        <f aca="false">IF($D1925="","",IF(OR($R1925=TRUE(),$R1925="TRUE"),Settings!$C$6,Settings!$C$7)*100)</f>
        <v/>
      </c>
      <c r="AH1925" s="18" t="str">
        <f aca="false">IF($D1925="","",IF(COUNTIF($D$2:$D1925,$D1925)=1,1,0))</f>
        <v/>
      </c>
      <c r="AI1925" s="18" t="str">
        <f aca="false">IF($AH1925=1,SUMPRODUCT(--($AK$2:$AK$4001&lt;$AK1925))+1,"")</f>
        <v/>
      </c>
      <c r="AJ1925" s="18" t="str">
        <f aca="false">IF($D1925="","",IF(OR($R1925=TRUE(),$R1925="TRUE"),1,0))</f>
        <v/>
      </c>
      <c r="AK1925" s="18" t="str">
        <f aca="false">IF($AH1925=1,IFERROR(VALUE(MID($D1925,2,20)),1000000000)+ROW()/10000000,"")</f>
        <v/>
      </c>
    </row>
    <row r="1926" customFormat="false" ht="15" hidden="false" customHeight="false" outlineLevel="0" collapsed="false">
      <c r="F1926" s="15"/>
      <c r="N1926" s="16" t="str">
        <f aca="false">IF($D1926="","",M1926*Y1926/100)</f>
        <v/>
      </c>
      <c r="V1926" s="16" t="str">
        <f aca="false">IF($D1926="","",Y1926*AB1926/100)</f>
        <v/>
      </c>
      <c r="W1926" s="16" t="str">
        <f aca="false">IF($D1926="","",Y1926-V1926)</f>
        <v/>
      </c>
      <c r="X1926" s="16" t="str">
        <f aca="false">IF($D1926="","",W1926-N1926)</f>
        <v/>
      </c>
      <c r="AB1926" s="17" t="str">
        <f aca="false">IF($D1926="","",IF(OR($R1926=TRUE(),$R1926="TRUE"),Settings!$C$6,Settings!$C$7)*100)</f>
        <v/>
      </c>
      <c r="AH1926" s="18" t="str">
        <f aca="false">IF($D1926="","",IF(COUNTIF($D$2:$D1926,$D1926)=1,1,0))</f>
        <v/>
      </c>
      <c r="AI1926" s="18" t="str">
        <f aca="false">IF($AH1926=1,SUMPRODUCT(--($AK$2:$AK$4001&lt;$AK1926))+1,"")</f>
        <v/>
      </c>
      <c r="AJ1926" s="18" t="str">
        <f aca="false">IF($D1926="","",IF(OR($R1926=TRUE(),$R1926="TRUE"),1,0))</f>
        <v/>
      </c>
      <c r="AK1926" s="18" t="str">
        <f aca="false">IF($AH1926=1,IFERROR(VALUE(MID($D1926,2,20)),1000000000)+ROW()/10000000,"")</f>
        <v/>
      </c>
    </row>
    <row r="1927" customFormat="false" ht="15" hidden="false" customHeight="false" outlineLevel="0" collapsed="false">
      <c r="F1927" s="15"/>
      <c r="N1927" s="16" t="str">
        <f aca="false">IF($D1927="","",M1927*Y1927/100)</f>
        <v/>
      </c>
      <c r="V1927" s="16" t="str">
        <f aca="false">IF($D1927="","",Y1927*AB1927/100)</f>
        <v/>
      </c>
      <c r="W1927" s="16" t="str">
        <f aca="false">IF($D1927="","",Y1927-V1927)</f>
        <v/>
      </c>
      <c r="X1927" s="16" t="str">
        <f aca="false">IF($D1927="","",W1927-N1927)</f>
        <v/>
      </c>
      <c r="AB1927" s="17" t="str">
        <f aca="false">IF($D1927="","",IF(OR($R1927=TRUE(),$R1927="TRUE"),Settings!$C$6,Settings!$C$7)*100)</f>
        <v/>
      </c>
      <c r="AH1927" s="18" t="str">
        <f aca="false">IF($D1927="","",IF(COUNTIF($D$2:$D1927,$D1927)=1,1,0))</f>
        <v/>
      </c>
      <c r="AI1927" s="18" t="str">
        <f aca="false">IF($AH1927=1,SUMPRODUCT(--($AK$2:$AK$4001&lt;$AK1927))+1,"")</f>
        <v/>
      </c>
      <c r="AJ1927" s="18" t="str">
        <f aca="false">IF($D1927="","",IF(OR($R1927=TRUE(),$R1927="TRUE"),1,0))</f>
        <v/>
      </c>
      <c r="AK1927" s="18" t="str">
        <f aca="false">IF($AH1927=1,IFERROR(VALUE(MID($D1927,2,20)),1000000000)+ROW()/10000000,"")</f>
        <v/>
      </c>
    </row>
    <row r="1928" customFormat="false" ht="15" hidden="false" customHeight="false" outlineLevel="0" collapsed="false">
      <c r="F1928" s="15"/>
      <c r="N1928" s="16" t="str">
        <f aca="false">IF($D1928="","",M1928*Y1928/100)</f>
        <v/>
      </c>
      <c r="V1928" s="16" t="str">
        <f aca="false">IF($D1928="","",Y1928*AB1928/100)</f>
        <v/>
      </c>
      <c r="W1928" s="16" t="str">
        <f aca="false">IF($D1928="","",Y1928-V1928)</f>
        <v/>
      </c>
      <c r="X1928" s="16" t="str">
        <f aca="false">IF($D1928="","",W1928-N1928)</f>
        <v/>
      </c>
      <c r="AB1928" s="17" t="str">
        <f aca="false">IF($D1928="","",IF(OR($R1928=TRUE(),$R1928="TRUE"),Settings!$C$6,Settings!$C$7)*100)</f>
        <v/>
      </c>
      <c r="AH1928" s="18" t="str">
        <f aca="false">IF($D1928="","",IF(COUNTIF($D$2:$D1928,$D1928)=1,1,0))</f>
        <v/>
      </c>
      <c r="AI1928" s="18" t="str">
        <f aca="false">IF($AH1928=1,SUMPRODUCT(--($AK$2:$AK$4001&lt;$AK1928))+1,"")</f>
        <v/>
      </c>
      <c r="AJ1928" s="18" t="str">
        <f aca="false">IF($D1928="","",IF(OR($R1928=TRUE(),$R1928="TRUE"),1,0))</f>
        <v/>
      </c>
      <c r="AK1928" s="18" t="str">
        <f aca="false">IF($AH1928=1,IFERROR(VALUE(MID($D1928,2,20)),1000000000)+ROW()/10000000,"")</f>
        <v/>
      </c>
    </row>
    <row r="1929" customFormat="false" ht="15" hidden="false" customHeight="false" outlineLevel="0" collapsed="false">
      <c r="F1929" s="15"/>
      <c r="N1929" s="16" t="str">
        <f aca="false">IF($D1929="","",M1929*Y1929/100)</f>
        <v/>
      </c>
      <c r="V1929" s="16" t="str">
        <f aca="false">IF($D1929="","",Y1929*AB1929/100)</f>
        <v/>
      </c>
      <c r="W1929" s="16" t="str">
        <f aca="false">IF($D1929="","",Y1929-V1929)</f>
        <v/>
      </c>
      <c r="X1929" s="16" t="str">
        <f aca="false">IF($D1929="","",W1929-N1929)</f>
        <v/>
      </c>
      <c r="AB1929" s="17" t="str">
        <f aca="false">IF($D1929="","",IF(OR($R1929=TRUE(),$R1929="TRUE"),Settings!$C$6,Settings!$C$7)*100)</f>
        <v/>
      </c>
      <c r="AH1929" s="18" t="str">
        <f aca="false">IF($D1929="","",IF(COUNTIF($D$2:$D1929,$D1929)=1,1,0))</f>
        <v/>
      </c>
      <c r="AI1929" s="18" t="str">
        <f aca="false">IF($AH1929=1,SUMPRODUCT(--($AK$2:$AK$4001&lt;$AK1929))+1,"")</f>
        <v/>
      </c>
      <c r="AJ1929" s="18" t="str">
        <f aca="false">IF($D1929="","",IF(OR($R1929=TRUE(),$R1929="TRUE"),1,0))</f>
        <v/>
      </c>
      <c r="AK1929" s="18" t="str">
        <f aca="false">IF($AH1929=1,IFERROR(VALUE(MID($D1929,2,20)),1000000000)+ROW()/10000000,"")</f>
        <v/>
      </c>
    </row>
    <row r="1930" customFormat="false" ht="15" hidden="false" customHeight="false" outlineLevel="0" collapsed="false">
      <c r="F1930" s="15"/>
      <c r="N1930" s="16" t="str">
        <f aca="false">IF($D1930="","",M1930*Y1930/100)</f>
        <v/>
      </c>
      <c r="V1930" s="16" t="str">
        <f aca="false">IF($D1930="","",Y1930*AB1930/100)</f>
        <v/>
      </c>
      <c r="W1930" s="16" t="str">
        <f aca="false">IF($D1930="","",Y1930-V1930)</f>
        <v/>
      </c>
      <c r="X1930" s="16" t="str">
        <f aca="false">IF($D1930="","",W1930-N1930)</f>
        <v/>
      </c>
      <c r="AB1930" s="17" t="str">
        <f aca="false">IF($D1930="","",IF(OR($R1930=TRUE(),$R1930="TRUE"),Settings!$C$6,Settings!$C$7)*100)</f>
        <v/>
      </c>
      <c r="AH1930" s="18" t="str">
        <f aca="false">IF($D1930="","",IF(COUNTIF($D$2:$D1930,$D1930)=1,1,0))</f>
        <v/>
      </c>
      <c r="AI1930" s="18" t="str">
        <f aca="false">IF($AH1930=1,SUMPRODUCT(--($AK$2:$AK$4001&lt;$AK1930))+1,"")</f>
        <v/>
      </c>
      <c r="AJ1930" s="18" t="str">
        <f aca="false">IF($D1930="","",IF(OR($R1930=TRUE(),$R1930="TRUE"),1,0))</f>
        <v/>
      </c>
      <c r="AK1930" s="18" t="str">
        <f aca="false">IF($AH1930=1,IFERROR(VALUE(MID($D1930,2,20)),1000000000)+ROW()/10000000,"")</f>
        <v/>
      </c>
    </row>
    <row r="1931" customFormat="false" ht="15" hidden="false" customHeight="false" outlineLevel="0" collapsed="false">
      <c r="F1931" s="15"/>
      <c r="N1931" s="16" t="str">
        <f aca="false">IF($D1931="","",M1931*Y1931/100)</f>
        <v/>
      </c>
      <c r="V1931" s="16" t="str">
        <f aca="false">IF($D1931="","",Y1931*AB1931/100)</f>
        <v/>
      </c>
      <c r="W1931" s="16" t="str">
        <f aca="false">IF($D1931="","",Y1931-V1931)</f>
        <v/>
      </c>
      <c r="X1931" s="16" t="str">
        <f aca="false">IF($D1931="","",W1931-N1931)</f>
        <v/>
      </c>
      <c r="AB1931" s="17" t="str">
        <f aca="false">IF($D1931="","",IF(OR($R1931=TRUE(),$R1931="TRUE"),Settings!$C$6,Settings!$C$7)*100)</f>
        <v/>
      </c>
      <c r="AH1931" s="18" t="str">
        <f aca="false">IF($D1931="","",IF(COUNTIF($D$2:$D1931,$D1931)=1,1,0))</f>
        <v/>
      </c>
      <c r="AI1931" s="18" t="str">
        <f aca="false">IF($AH1931=1,SUMPRODUCT(--($AK$2:$AK$4001&lt;$AK1931))+1,"")</f>
        <v/>
      </c>
      <c r="AJ1931" s="18" t="str">
        <f aca="false">IF($D1931="","",IF(OR($R1931=TRUE(),$R1931="TRUE"),1,0))</f>
        <v/>
      </c>
      <c r="AK1931" s="18" t="str">
        <f aca="false">IF($AH1931=1,IFERROR(VALUE(MID($D1931,2,20)),1000000000)+ROW()/10000000,"")</f>
        <v/>
      </c>
    </row>
    <row r="1932" customFormat="false" ht="15" hidden="false" customHeight="false" outlineLevel="0" collapsed="false">
      <c r="F1932" s="15"/>
      <c r="N1932" s="16" t="str">
        <f aca="false">IF($D1932="","",M1932*Y1932/100)</f>
        <v/>
      </c>
      <c r="V1932" s="16" t="str">
        <f aca="false">IF($D1932="","",Y1932*AB1932/100)</f>
        <v/>
      </c>
      <c r="W1932" s="16" t="str">
        <f aca="false">IF($D1932="","",Y1932-V1932)</f>
        <v/>
      </c>
      <c r="X1932" s="16" t="str">
        <f aca="false">IF($D1932="","",W1932-N1932)</f>
        <v/>
      </c>
      <c r="AB1932" s="17" t="str">
        <f aca="false">IF($D1932="","",IF(OR($R1932=TRUE(),$R1932="TRUE"),Settings!$C$6,Settings!$C$7)*100)</f>
        <v/>
      </c>
      <c r="AH1932" s="18" t="str">
        <f aca="false">IF($D1932="","",IF(COUNTIF($D$2:$D1932,$D1932)=1,1,0))</f>
        <v/>
      </c>
      <c r="AI1932" s="18" t="str">
        <f aca="false">IF($AH1932=1,SUMPRODUCT(--($AK$2:$AK$4001&lt;$AK1932))+1,"")</f>
        <v/>
      </c>
      <c r="AJ1932" s="18" t="str">
        <f aca="false">IF($D1932="","",IF(OR($R1932=TRUE(),$R1932="TRUE"),1,0))</f>
        <v/>
      </c>
      <c r="AK1932" s="18" t="str">
        <f aca="false">IF($AH1932=1,IFERROR(VALUE(MID($D1932,2,20)),1000000000)+ROW()/10000000,"")</f>
        <v/>
      </c>
    </row>
    <row r="1933" customFormat="false" ht="15" hidden="false" customHeight="false" outlineLevel="0" collapsed="false">
      <c r="F1933" s="15"/>
      <c r="N1933" s="16" t="str">
        <f aca="false">IF($D1933="","",M1933*Y1933/100)</f>
        <v/>
      </c>
      <c r="V1933" s="16" t="str">
        <f aca="false">IF($D1933="","",Y1933*AB1933/100)</f>
        <v/>
      </c>
      <c r="W1933" s="16" t="str">
        <f aca="false">IF($D1933="","",Y1933-V1933)</f>
        <v/>
      </c>
      <c r="X1933" s="16" t="str">
        <f aca="false">IF($D1933="","",W1933-N1933)</f>
        <v/>
      </c>
      <c r="AB1933" s="17" t="str">
        <f aca="false">IF($D1933="","",IF(OR($R1933=TRUE(),$R1933="TRUE"),Settings!$C$6,Settings!$C$7)*100)</f>
        <v/>
      </c>
      <c r="AH1933" s="18" t="str">
        <f aca="false">IF($D1933="","",IF(COUNTIF($D$2:$D1933,$D1933)=1,1,0))</f>
        <v/>
      </c>
      <c r="AI1933" s="18" t="str">
        <f aca="false">IF($AH1933=1,SUMPRODUCT(--($AK$2:$AK$4001&lt;$AK1933))+1,"")</f>
        <v/>
      </c>
      <c r="AJ1933" s="18" t="str">
        <f aca="false">IF($D1933="","",IF(OR($R1933=TRUE(),$R1933="TRUE"),1,0))</f>
        <v/>
      </c>
      <c r="AK1933" s="18" t="str">
        <f aca="false">IF($AH1933=1,IFERROR(VALUE(MID($D1933,2,20)),1000000000)+ROW()/10000000,"")</f>
        <v/>
      </c>
    </row>
    <row r="1934" customFormat="false" ht="15" hidden="false" customHeight="false" outlineLevel="0" collapsed="false">
      <c r="F1934" s="15"/>
      <c r="N1934" s="16" t="str">
        <f aca="false">IF($D1934="","",M1934*Y1934/100)</f>
        <v/>
      </c>
      <c r="V1934" s="16" t="str">
        <f aca="false">IF($D1934="","",Y1934*AB1934/100)</f>
        <v/>
      </c>
      <c r="W1934" s="16" t="str">
        <f aca="false">IF($D1934="","",Y1934-V1934)</f>
        <v/>
      </c>
      <c r="X1934" s="16" t="str">
        <f aca="false">IF($D1934="","",W1934-N1934)</f>
        <v/>
      </c>
      <c r="AB1934" s="17" t="str">
        <f aca="false">IF($D1934="","",IF(OR($R1934=TRUE(),$R1934="TRUE"),Settings!$C$6,Settings!$C$7)*100)</f>
        <v/>
      </c>
      <c r="AH1934" s="18" t="str">
        <f aca="false">IF($D1934="","",IF(COUNTIF($D$2:$D1934,$D1934)=1,1,0))</f>
        <v/>
      </c>
      <c r="AI1934" s="18" t="str">
        <f aca="false">IF($AH1934=1,SUMPRODUCT(--($AK$2:$AK$4001&lt;$AK1934))+1,"")</f>
        <v/>
      </c>
      <c r="AJ1934" s="18" t="str">
        <f aca="false">IF($D1934="","",IF(OR($R1934=TRUE(),$R1934="TRUE"),1,0))</f>
        <v/>
      </c>
      <c r="AK1934" s="18" t="str">
        <f aca="false">IF($AH1934=1,IFERROR(VALUE(MID($D1934,2,20)),1000000000)+ROW()/10000000,"")</f>
        <v/>
      </c>
    </row>
    <row r="1935" customFormat="false" ht="15" hidden="false" customHeight="false" outlineLevel="0" collapsed="false">
      <c r="F1935" s="15"/>
      <c r="N1935" s="16" t="str">
        <f aca="false">IF($D1935="","",M1935*Y1935/100)</f>
        <v/>
      </c>
      <c r="V1935" s="16" t="str">
        <f aca="false">IF($D1935="","",Y1935*AB1935/100)</f>
        <v/>
      </c>
      <c r="W1935" s="16" t="str">
        <f aca="false">IF($D1935="","",Y1935-V1935)</f>
        <v/>
      </c>
      <c r="X1935" s="16" t="str">
        <f aca="false">IF($D1935="","",W1935-N1935)</f>
        <v/>
      </c>
      <c r="AB1935" s="17" t="str">
        <f aca="false">IF($D1935="","",IF(OR($R1935=TRUE(),$R1935="TRUE"),Settings!$C$6,Settings!$C$7)*100)</f>
        <v/>
      </c>
      <c r="AH1935" s="18" t="str">
        <f aca="false">IF($D1935="","",IF(COUNTIF($D$2:$D1935,$D1935)=1,1,0))</f>
        <v/>
      </c>
      <c r="AI1935" s="18" t="str">
        <f aca="false">IF($AH1935=1,SUMPRODUCT(--($AK$2:$AK$4001&lt;$AK1935))+1,"")</f>
        <v/>
      </c>
      <c r="AJ1935" s="18" t="str">
        <f aca="false">IF($D1935="","",IF(OR($R1935=TRUE(),$R1935="TRUE"),1,0))</f>
        <v/>
      </c>
      <c r="AK1935" s="18" t="str">
        <f aca="false">IF($AH1935=1,IFERROR(VALUE(MID($D1935,2,20)),1000000000)+ROW()/10000000,"")</f>
        <v/>
      </c>
    </row>
    <row r="1936" customFormat="false" ht="15" hidden="false" customHeight="false" outlineLevel="0" collapsed="false">
      <c r="F1936" s="15"/>
      <c r="N1936" s="16" t="str">
        <f aca="false">IF($D1936="","",M1936*Y1936/100)</f>
        <v/>
      </c>
      <c r="V1936" s="16" t="str">
        <f aca="false">IF($D1936="","",Y1936*AB1936/100)</f>
        <v/>
      </c>
      <c r="W1936" s="16" t="str">
        <f aca="false">IF($D1936="","",Y1936-V1936)</f>
        <v/>
      </c>
      <c r="X1936" s="16" t="str">
        <f aca="false">IF($D1936="","",W1936-N1936)</f>
        <v/>
      </c>
      <c r="AB1936" s="17" t="str">
        <f aca="false">IF($D1936="","",IF(OR($R1936=TRUE(),$R1936="TRUE"),Settings!$C$6,Settings!$C$7)*100)</f>
        <v/>
      </c>
      <c r="AH1936" s="18" t="str">
        <f aca="false">IF($D1936="","",IF(COUNTIF($D$2:$D1936,$D1936)=1,1,0))</f>
        <v/>
      </c>
      <c r="AI1936" s="18" t="str">
        <f aca="false">IF($AH1936=1,SUMPRODUCT(--($AK$2:$AK$4001&lt;$AK1936))+1,"")</f>
        <v/>
      </c>
      <c r="AJ1936" s="18" t="str">
        <f aca="false">IF($D1936="","",IF(OR($R1936=TRUE(),$R1936="TRUE"),1,0))</f>
        <v/>
      </c>
      <c r="AK1936" s="18" t="str">
        <f aca="false">IF($AH1936=1,IFERROR(VALUE(MID($D1936,2,20)),1000000000)+ROW()/10000000,"")</f>
        <v/>
      </c>
    </row>
    <row r="1937" customFormat="false" ht="15" hidden="false" customHeight="false" outlineLevel="0" collapsed="false">
      <c r="F1937" s="15"/>
      <c r="N1937" s="16" t="str">
        <f aca="false">IF($D1937="","",M1937*Y1937/100)</f>
        <v/>
      </c>
      <c r="V1937" s="16" t="str">
        <f aca="false">IF($D1937="","",Y1937*AB1937/100)</f>
        <v/>
      </c>
      <c r="W1937" s="16" t="str">
        <f aca="false">IF($D1937="","",Y1937-V1937)</f>
        <v/>
      </c>
      <c r="X1937" s="16" t="str">
        <f aca="false">IF($D1937="","",W1937-N1937)</f>
        <v/>
      </c>
      <c r="AB1937" s="17" t="str">
        <f aca="false">IF($D1937="","",IF(OR($R1937=TRUE(),$R1937="TRUE"),Settings!$C$6,Settings!$C$7)*100)</f>
        <v/>
      </c>
      <c r="AH1937" s="18" t="str">
        <f aca="false">IF($D1937="","",IF(COUNTIF($D$2:$D1937,$D1937)=1,1,0))</f>
        <v/>
      </c>
      <c r="AI1937" s="18" t="str">
        <f aca="false">IF($AH1937=1,SUMPRODUCT(--($AK$2:$AK$4001&lt;$AK1937))+1,"")</f>
        <v/>
      </c>
      <c r="AJ1937" s="18" t="str">
        <f aca="false">IF($D1937="","",IF(OR($R1937=TRUE(),$R1937="TRUE"),1,0))</f>
        <v/>
      </c>
      <c r="AK1937" s="18" t="str">
        <f aca="false">IF($AH1937=1,IFERROR(VALUE(MID($D1937,2,20)),1000000000)+ROW()/10000000,"")</f>
        <v/>
      </c>
    </row>
    <row r="1938" customFormat="false" ht="15" hidden="false" customHeight="false" outlineLevel="0" collapsed="false">
      <c r="F1938" s="15"/>
      <c r="N1938" s="16" t="str">
        <f aca="false">IF($D1938="","",M1938*Y1938/100)</f>
        <v/>
      </c>
      <c r="V1938" s="16" t="str">
        <f aca="false">IF($D1938="","",Y1938*AB1938/100)</f>
        <v/>
      </c>
      <c r="W1938" s="16" t="str">
        <f aca="false">IF($D1938="","",Y1938-V1938)</f>
        <v/>
      </c>
      <c r="X1938" s="16" t="str">
        <f aca="false">IF($D1938="","",W1938-N1938)</f>
        <v/>
      </c>
      <c r="AB1938" s="17" t="str">
        <f aca="false">IF($D1938="","",IF(OR($R1938=TRUE(),$R1938="TRUE"),Settings!$C$6,Settings!$C$7)*100)</f>
        <v/>
      </c>
      <c r="AH1938" s="18" t="str">
        <f aca="false">IF($D1938="","",IF(COUNTIF($D$2:$D1938,$D1938)=1,1,0))</f>
        <v/>
      </c>
      <c r="AI1938" s="18" t="str">
        <f aca="false">IF($AH1938=1,SUMPRODUCT(--($AK$2:$AK$4001&lt;$AK1938))+1,"")</f>
        <v/>
      </c>
      <c r="AJ1938" s="18" t="str">
        <f aca="false">IF($D1938="","",IF(OR($R1938=TRUE(),$R1938="TRUE"),1,0))</f>
        <v/>
      </c>
      <c r="AK1938" s="18" t="str">
        <f aca="false">IF($AH1938=1,IFERROR(VALUE(MID($D1938,2,20)),1000000000)+ROW()/10000000,"")</f>
        <v/>
      </c>
    </row>
    <row r="1939" customFormat="false" ht="15" hidden="false" customHeight="false" outlineLevel="0" collapsed="false">
      <c r="F1939" s="15"/>
      <c r="N1939" s="16" t="str">
        <f aca="false">IF($D1939="","",M1939*Y1939/100)</f>
        <v/>
      </c>
      <c r="V1939" s="16" t="str">
        <f aca="false">IF($D1939="","",Y1939*AB1939/100)</f>
        <v/>
      </c>
      <c r="W1939" s="16" t="str">
        <f aca="false">IF($D1939="","",Y1939-V1939)</f>
        <v/>
      </c>
      <c r="X1939" s="16" t="str">
        <f aca="false">IF($D1939="","",W1939-N1939)</f>
        <v/>
      </c>
      <c r="AB1939" s="17" t="str">
        <f aca="false">IF($D1939="","",IF(OR($R1939=TRUE(),$R1939="TRUE"),Settings!$C$6,Settings!$C$7)*100)</f>
        <v/>
      </c>
      <c r="AH1939" s="18" t="str">
        <f aca="false">IF($D1939="","",IF(COUNTIF($D$2:$D1939,$D1939)=1,1,0))</f>
        <v/>
      </c>
      <c r="AI1939" s="18" t="str">
        <f aca="false">IF($AH1939=1,SUMPRODUCT(--($AK$2:$AK$4001&lt;$AK1939))+1,"")</f>
        <v/>
      </c>
      <c r="AJ1939" s="18" t="str">
        <f aca="false">IF($D1939="","",IF(OR($R1939=TRUE(),$R1939="TRUE"),1,0))</f>
        <v/>
      </c>
      <c r="AK1939" s="18" t="str">
        <f aca="false">IF($AH1939=1,IFERROR(VALUE(MID($D1939,2,20)),1000000000)+ROW()/10000000,"")</f>
        <v/>
      </c>
    </row>
    <row r="1940" customFormat="false" ht="15" hidden="false" customHeight="false" outlineLevel="0" collapsed="false">
      <c r="F1940" s="15"/>
      <c r="N1940" s="16" t="str">
        <f aca="false">IF($D1940="","",M1940*Y1940/100)</f>
        <v/>
      </c>
      <c r="V1940" s="16" t="str">
        <f aca="false">IF($D1940="","",Y1940*AB1940/100)</f>
        <v/>
      </c>
      <c r="W1940" s="16" t="str">
        <f aca="false">IF($D1940="","",Y1940-V1940)</f>
        <v/>
      </c>
      <c r="X1940" s="16" t="str">
        <f aca="false">IF($D1940="","",W1940-N1940)</f>
        <v/>
      </c>
      <c r="AB1940" s="17" t="str">
        <f aca="false">IF($D1940="","",IF(OR($R1940=TRUE(),$R1940="TRUE"),Settings!$C$6,Settings!$C$7)*100)</f>
        <v/>
      </c>
      <c r="AH1940" s="18" t="str">
        <f aca="false">IF($D1940="","",IF(COUNTIF($D$2:$D1940,$D1940)=1,1,0))</f>
        <v/>
      </c>
      <c r="AI1940" s="18" t="str">
        <f aca="false">IF($AH1940=1,SUMPRODUCT(--($AK$2:$AK$4001&lt;$AK1940))+1,"")</f>
        <v/>
      </c>
      <c r="AJ1940" s="18" t="str">
        <f aca="false">IF($D1940="","",IF(OR($R1940=TRUE(),$R1940="TRUE"),1,0))</f>
        <v/>
      </c>
      <c r="AK1940" s="18" t="str">
        <f aca="false">IF($AH1940=1,IFERROR(VALUE(MID($D1940,2,20)),1000000000)+ROW()/10000000,"")</f>
        <v/>
      </c>
    </row>
    <row r="1941" customFormat="false" ht="15" hidden="false" customHeight="false" outlineLevel="0" collapsed="false">
      <c r="F1941" s="15"/>
      <c r="N1941" s="16" t="str">
        <f aca="false">IF($D1941="","",M1941*Y1941/100)</f>
        <v/>
      </c>
      <c r="V1941" s="16" t="str">
        <f aca="false">IF($D1941="","",Y1941*AB1941/100)</f>
        <v/>
      </c>
      <c r="W1941" s="16" t="str">
        <f aca="false">IF($D1941="","",Y1941-V1941)</f>
        <v/>
      </c>
      <c r="X1941" s="16" t="str">
        <f aca="false">IF($D1941="","",W1941-N1941)</f>
        <v/>
      </c>
      <c r="AB1941" s="17" t="str">
        <f aca="false">IF($D1941="","",IF(OR($R1941=TRUE(),$R1941="TRUE"),Settings!$C$6,Settings!$C$7)*100)</f>
        <v/>
      </c>
      <c r="AH1941" s="18" t="str">
        <f aca="false">IF($D1941="","",IF(COUNTIF($D$2:$D1941,$D1941)=1,1,0))</f>
        <v/>
      </c>
      <c r="AI1941" s="18" t="str">
        <f aca="false">IF($AH1941=1,SUMPRODUCT(--($AK$2:$AK$4001&lt;$AK1941))+1,"")</f>
        <v/>
      </c>
      <c r="AJ1941" s="18" t="str">
        <f aca="false">IF($D1941="","",IF(OR($R1941=TRUE(),$R1941="TRUE"),1,0))</f>
        <v/>
      </c>
      <c r="AK1941" s="18" t="str">
        <f aca="false">IF($AH1941=1,IFERROR(VALUE(MID($D1941,2,20)),1000000000)+ROW()/10000000,"")</f>
        <v/>
      </c>
    </row>
    <row r="1942" customFormat="false" ht="15" hidden="false" customHeight="false" outlineLevel="0" collapsed="false">
      <c r="F1942" s="15"/>
      <c r="N1942" s="16" t="str">
        <f aca="false">IF($D1942="","",M1942*Y1942/100)</f>
        <v/>
      </c>
      <c r="V1942" s="16" t="str">
        <f aca="false">IF($D1942="","",Y1942*AB1942/100)</f>
        <v/>
      </c>
      <c r="W1942" s="16" t="str">
        <f aca="false">IF($D1942="","",Y1942-V1942)</f>
        <v/>
      </c>
      <c r="X1942" s="16" t="str">
        <f aca="false">IF($D1942="","",W1942-N1942)</f>
        <v/>
      </c>
      <c r="AB1942" s="17" t="str">
        <f aca="false">IF($D1942="","",IF(OR($R1942=TRUE(),$R1942="TRUE"),Settings!$C$6,Settings!$C$7)*100)</f>
        <v/>
      </c>
      <c r="AH1942" s="18" t="str">
        <f aca="false">IF($D1942="","",IF(COUNTIF($D$2:$D1942,$D1942)=1,1,0))</f>
        <v/>
      </c>
      <c r="AI1942" s="18" t="str">
        <f aca="false">IF($AH1942=1,SUMPRODUCT(--($AK$2:$AK$4001&lt;$AK1942))+1,"")</f>
        <v/>
      </c>
      <c r="AJ1942" s="18" t="str">
        <f aca="false">IF($D1942="","",IF(OR($R1942=TRUE(),$R1942="TRUE"),1,0))</f>
        <v/>
      </c>
      <c r="AK1942" s="18" t="str">
        <f aca="false">IF($AH1942=1,IFERROR(VALUE(MID($D1942,2,20)),1000000000)+ROW()/10000000,"")</f>
        <v/>
      </c>
    </row>
    <row r="1943" customFormat="false" ht="15" hidden="false" customHeight="false" outlineLevel="0" collapsed="false">
      <c r="F1943" s="15"/>
      <c r="N1943" s="16" t="str">
        <f aca="false">IF($D1943="","",M1943*Y1943/100)</f>
        <v/>
      </c>
      <c r="V1943" s="16" t="str">
        <f aca="false">IF($D1943="","",Y1943*AB1943/100)</f>
        <v/>
      </c>
      <c r="W1943" s="16" t="str">
        <f aca="false">IF($D1943="","",Y1943-V1943)</f>
        <v/>
      </c>
      <c r="X1943" s="16" t="str">
        <f aca="false">IF($D1943="","",W1943-N1943)</f>
        <v/>
      </c>
      <c r="AB1943" s="17" t="str">
        <f aca="false">IF($D1943="","",IF(OR($R1943=TRUE(),$R1943="TRUE"),Settings!$C$6,Settings!$C$7)*100)</f>
        <v/>
      </c>
      <c r="AH1943" s="18" t="str">
        <f aca="false">IF($D1943="","",IF(COUNTIF($D$2:$D1943,$D1943)=1,1,0))</f>
        <v/>
      </c>
      <c r="AI1943" s="18" t="str">
        <f aca="false">IF($AH1943=1,SUMPRODUCT(--($AK$2:$AK$4001&lt;$AK1943))+1,"")</f>
        <v/>
      </c>
      <c r="AJ1943" s="18" t="str">
        <f aca="false">IF($D1943="","",IF(OR($R1943=TRUE(),$R1943="TRUE"),1,0))</f>
        <v/>
      </c>
      <c r="AK1943" s="18" t="str">
        <f aca="false">IF($AH1943=1,IFERROR(VALUE(MID($D1943,2,20)),1000000000)+ROW()/10000000,"")</f>
        <v/>
      </c>
    </row>
    <row r="1944" customFormat="false" ht="15" hidden="false" customHeight="false" outlineLevel="0" collapsed="false">
      <c r="F1944" s="15"/>
      <c r="N1944" s="16" t="str">
        <f aca="false">IF($D1944="","",M1944*Y1944/100)</f>
        <v/>
      </c>
      <c r="V1944" s="16" t="str">
        <f aca="false">IF($D1944="","",Y1944*AB1944/100)</f>
        <v/>
      </c>
      <c r="W1944" s="16" t="str">
        <f aca="false">IF($D1944="","",Y1944-V1944)</f>
        <v/>
      </c>
      <c r="X1944" s="16" t="str">
        <f aca="false">IF($D1944="","",W1944-N1944)</f>
        <v/>
      </c>
      <c r="AB1944" s="17" t="str">
        <f aca="false">IF($D1944="","",IF(OR($R1944=TRUE(),$R1944="TRUE"),Settings!$C$6,Settings!$C$7)*100)</f>
        <v/>
      </c>
      <c r="AH1944" s="18" t="str">
        <f aca="false">IF($D1944="","",IF(COUNTIF($D$2:$D1944,$D1944)=1,1,0))</f>
        <v/>
      </c>
      <c r="AI1944" s="18" t="str">
        <f aca="false">IF($AH1944=1,SUMPRODUCT(--($AK$2:$AK$4001&lt;$AK1944))+1,"")</f>
        <v/>
      </c>
      <c r="AJ1944" s="18" t="str">
        <f aca="false">IF($D1944="","",IF(OR($R1944=TRUE(),$R1944="TRUE"),1,0))</f>
        <v/>
      </c>
      <c r="AK1944" s="18" t="str">
        <f aca="false">IF($AH1944=1,IFERROR(VALUE(MID($D1944,2,20)),1000000000)+ROW()/10000000,"")</f>
        <v/>
      </c>
    </row>
    <row r="1945" customFormat="false" ht="15" hidden="false" customHeight="false" outlineLevel="0" collapsed="false">
      <c r="F1945" s="15"/>
      <c r="N1945" s="16" t="str">
        <f aca="false">IF($D1945="","",M1945*Y1945/100)</f>
        <v/>
      </c>
      <c r="V1945" s="16" t="str">
        <f aca="false">IF($D1945="","",Y1945*AB1945/100)</f>
        <v/>
      </c>
      <c r="W1945" s="16" t="str">
        <f aca="false">IF($D1945="","",Y1945-V1945)</f>
        <v/>
      </c>
      <c r="X1945" s="16" t="str">
        <f aca="false">IF($D1945="","",W1945-N1945)</f>
        <v/>
      </c>
      <c r="AB1945" s="17" t="str">
        <f aca="false">IF($D1945="","",IF(OR($R1945=TRUE(),$R1945="TRUE"),Settings!$C$6,Settings!$C$7)*100)</f>
        <v/>
      </c>
      <c r="AH1945" s="18" t="str">
        <f aca="false">IF($D1945="","",IF(COUNTIF($D$2:$D1945,$D1945)=1,1,0))</f>
        <v/>
      </c>
      <c r="AI1945" s="18" t="str">
        <f aca="false">IF($AH1945=1,SUMPRODUCT(--($AK$2:$AK$4001&lt;$AK1945))+1,"")</f>
        <v/>
      </c>
      <c r="AJ1945" s="18" t="str">
        <f aca="false">IF($D1945="","",IF(OR($R1945=TRUE(),$R1945="TRUE"),1,0))</f>
        <v/>
      </c>
      <c r="AK1945" s="18" t="str">
        <f aca="false">IF($AH1945=1,IFERROR(VALUE(MID($D1945,2,20)),1000000000)+ROW()/10000000,"")</f>
        <v/>
      </c>
    </row>
    <row r="1946" customFormat="false" ht="15" hidden="false" customHeight="false" outlineLevel="0" collapsed="false">
      <c r="F1946" s="15"/>
      <c r="N1946" s="16" t="str">
        <f aca="false">IF($D1946="","",M1946*Y1946/100)</f>
        <v/>
      </c>
      <c r="V1946" s="16" t="str">
        <f aca="false">IF($D1946="","",Y1946*AB1946/100)</f>
        <v/>
      </c>
      <c r="W1946" s="16" t="str">
        <f aca="false">IF($D1946="","",Y1946-V1946)</f>
        <v/>
      </c>
      <c r="X1946" s="16" t="str">
        <f aca="false">IF($D1946="","",W1946-N1946)</f>
        <v/>
      </c>
      <c r="AB1946" s="17" t="str">
        <f aca="false">IF($D1946="","",IF(OR($R1946=TRUE(),$R1946="TRUE"),Settings!$C$6,Settings!$C$7)*100)</f>
        <v/>
      </c>
      <c r="AH1946" s="18" t="str">
        <f aca="false">IF($D1946="","",IF(COUNTIF($D$2:$D1946,$D1946)=1,1,0))</f>
        <v/>
      </c>
      <c r="AI1946" s="18" t="str">
        <f aca="false">IF($AH1946=1,SUMPRODUCT(--($AK$2:$AK$4001&lt;$AK1946))+1,"")</f>
        <v/>
      </c>
      <c r="AJ1946" s="18" t="str">
        <f aca="false">IF($D1946="","",IF(OR($R1946=TRUE(),$R1946="TRUE"),1,0))</f>
        <v/>
      </c>
      <c r="AK1946" s="18" t="str">
        <f aca="false">IF($AH1946=1,IFERROR(VALUE(MID($D1946,2,20)),1000000000)+ROW()/10000000,"")</f>
        <v/>
      </c>
    </row>
    <row r="1947" customFormat="false" ht="15" hidden="false" customHeight="false" outlineLevel="0" collapsed="false">
      <c r="F1947" s="15"/>
      <c r="N1947" s="16" t="str">
        <f aca="false">IF($D1947="","",M1947*Y1947/100)</f>
        <v/>
      </c>
      <c r="V1947" s="16" t="str">
        <f aca="false">IF($D1947="","",Y1947*AB1947/100)</f>
        <v/>
      </c>
      <c r="W1947" s="16" t="str">
        <f aca="false">IF($D1947="","",Y1947-V1947)</f>
        <v/>
      </c>
      <c r="X1947" s="16" t="str">
        <f aca="false">IF($D1947="","",W1947-N1947)</f>
        <v/>
      </c>
      <c r="AB1947" s="17" t="str">
        <f aca="false">IF($D1947="","",IF(OR($R1947=TRUE(),$R1947="TRUE"),Settings!$C$6,Settings!$C$7)*100)</f>
        <v/>
      </c>
      <c r="AH1947" s="18" t="str">
        <f aca="false">IF($D1947="","",IF(COUNTIF($D$2:$D1947,$D1947)=1,1,0))</f>
        <v/>
      </c>
      <c r="AI1947" s="18" t="str">
        <f aca="false">IF($AH1947=1,SUMPRODUCT(--($AK$2:$AK$4001&lt;$AK1947))+1,"")</f>
        <v/>
      </c>
      <c r="AJ1947" s="18" t="str">
        <f aca="false">IF($D1947="","",IF(OR($R1947=TRUE(),$R1947="TRUE"),1,0))</f>
        <v/>
      </c>
      <c r="AK1947" s="18" t="str">
        <f aca="false">IF($AH1947=1,IFERROR(VALUE(MID($D1947,2,20)),1000000000)+ROW()/10000000,"")</f>
        <v/>
      </c>
    </row>
    <row r="1948" customFormat="false" ht="15" hidden="false" customHeight="false" outlineLevel="0" collapsed="false">
      <c r="F1948" s="15"/>
      <c r="N1948" s="16" t="str">
        <f aca="false">IF($D1948="","",M1948*Y1948/100)</f>
        <v/>
      </c>
      <c r="V1948" s="16" t="str">
        <f aca="false">IF($D1948="","",Y1948*AB1948/100)</f>
        <v/>
      </c>
      <c r="W1948" s="16" t="str">
        <f aca="false">IF($D1948="","",Y1948-V1948)</f>
        <v/>
      </c>
      <c r="X1948" s="16" t="str">
        <f aca="false">IF($D1948="","",W1948-N1948)</f>
        <v/>
      </c>
      <c r="AB1948" s="17" t="str">
        <f aca="false">IF($D1948="","",IF(OR($R1948=TRUE(),$R1948="TRUE"),Settings!$C$6,Settings!$C$7)*100)</f>
        <v/>
      </c>
      <c r="AH1948" s="18" t="str">
        <f aca="false">IF($D1948="","",IF(COUNTIF($D$2:$D1948,$D1948)=1,1,0))</f>
        <v/>
      </c>
      <c r="AI1948" s="18" t="str">
        <f aca="false">IF($AH1948=1,SUMPRODUCT(--($AK$2:$AK$4001&lt;$AK1948))+1,"")</f>
        <v/>
      </c>
      <c r="AJ1948" s="18" t="str">
        <f aca="false">IF($D1948="","",IF(OR($R1948=TRUE(),$R1948="TRUE"),1,0))</f>
        <v/>
      </c>
      <c r="AK1948" s="18" t="str">
        <f aca="false">IF($AH1948=1,IFERROR(VALUE(MID($D1948,2,20)),1000000000)+ROW()/10000000,"")</f>
        <v/>
      </c>
    </row>
    <row r="1949" customFormat="false" ht="15" hidden="false" customHeight="false" outlineLevel="0" collapsed="false">
      <c r="F1949" s="15"/>
      <c r="N1949" s="16" t="str">
        <f aca="false">IF($D1949="","",M1949*Y1949/100)</f>
        <v/>
      </c>
      <c r="V1949" s="16" t="str">
        <f aca="false">IF($D1949="","",Y1949*AB1949/100)</f>
        <v/>
      </c>
      <c r="W1949" s="16" t="str">
        <f aca="false">IF($D1949="","",Y1949-V1949)</f>
        <v/>
      </c>
      <c r="X1949" s="16" t="str">
        <f aca="false">IF($D1949="","",W1949-N1949)</f>
        <v/>
      </c>
      <c r="AB1949" s="17" t="str">
        <f aca="false">IF($D1949="","",IF(OR($R1949=TRUE(),$R1949="TRUE"),Settings!$C$6,Settings!$C$7)*100)</f>
        <v/>
      </c>
      <c r="AH1949" s="18" t="str">
        <f aca="false">IF($D1949="","",IF(COUNTIF($D$2:$D1949,$D1949)=1,1,0))</f>
        <v/>
      </c>
      <c r="AI1949" s="18" t="str">
        <f aca="false">IF($AH1949=1,SUMPRODUCT(--($AK$2:$AK$4001&lt;$AK1949))+1,"")</f>
        <v/>
      </c>
      <c r="AJ1949" s="18" t="str">
        <f aca="false">IF($D1949="","",IF(OR($R1949=TRUE(),$R1949="TRUE"),1,0))</f>
        <v/>
      </c>
      <c r="AK1949" s="18" t="str">
        <f aca="false">IF($AH1949=1,IFERROR(VALUE(MID($D1949,2,20)),1000000000)+ROW()/10000000,"")</f>
        <v/>
      </c>
    </row>
    <row r="1950" customFormat="false" ht="15" hidden="false" customHeight="false" outlineLevel="0" collapsed="false">
      <c r="F1950" s="15"/>
      <c r="N1950" s="16" t="str">
        <f aca="false">IF($D1950="","",M1950*Y1950/100)</f>
        <v/>
      </c>
      <c r="V1950" s="16" t="str">
        <f aca="false">IF($D1950="","",Y1950*AB1950/100)</f>
        <v/>
      </c>
      <c r="W1950" s="16" t="str">
        <f aca="false">IF($D1950="","",Y1950-V1950)</f>
        <v/>
      </c>
      <c r="X1950" s="16" t="str">
        <f aca="false">IF($D1950="","",W1950-N1950)</f>
        <v/>
      </c>
      <c r="AB1950" s="17" t="str">
        <f aca="false">IF($D1950="","",IF(OR($R1950=TRUE(),$R1950="TRUE"),Settings!$C$6,Settings!$C$7)*100)</f>
        <v/>
      </c>
      <c r="AH1950" s="18" t="str">
        <f aca="false">IF($D1950="","",IF(COUNTIF($D$2:$D1950,$D1950)=1,1,0))</f>
        <v/>
      </c>
      <c r="AI1950" s="18" t="str">
        <f aca="false">IF($AH1950=1,SUMPRODUCT(--($AK$2:$AK$4001&lt;$AK1950))+1,"")</f>
        <v/>
      </c>
      <c r="AJ1950" s="18" t="str">
        <f aca="false">IF($D1950="","",IF(OR($R1950=TRUE(),$R1950="TRUE"),1,0))</f>
        <v/>
      </c>
      <c r="AK1950" s="18" t="str">
        <f aca="false">IF($AH1950=1,IFERROR(VALUE(MID($D1950,2,20)),1000000000)+ROW()/10000000,"")</f>
        <v/>
      </c>
    </row>
    <row r="1951" customFormat="false" ht="15" hidden="false" customHeight="false" outlineLevel="0" collapsed="false">
      <c r="F1951" s="15"/>
      <c r="N1951" s="16" t="str">
        <f aca="false">IF($D1951="","",M1951*Y1951/100)</f>
        <v/>
      </c>
      <c r="V1951" s="16" t="str">
        <f aca="false">IF($D1951="","",Y1951*AB1951/100)</f>
        <v/>
      </c>
      <c r="W1951" s="16" t="str">
        <f aca="false">IF($D1951="","",Y1951-V1951)</f>
        <v/>
      </c>
      <c r="X1951" s="16" t="str">
        <f aca="false">IF($D1951="","",W1951-N1951)</f>
        <v/>
      </c>
      <c r="AB1951" s="17" t="str">
        <f aca="false">IF($D1951="","",IF(OR($R1951=TRUE(),$R1951="TRUE"),Settings!$C$6,Settings!$C$7)*100)</f>
        <v/>
      </c>
      <c r="AH1951" s="18" t="str">
        <f aca="false">IF($D1951="","",IF(COUNTIF($D$2:$D1951,$D1951)=1,1,0))</f>
        <v/>
      </c>
      <c r="AI1951" s="18" t="str">
        <f aca="false">IF($AH1951=1,SUMPRODUCT(--($AK$2:$AK$4001&lt;$AK1951))+1,"")</f>
        <v/>
      </c>
      <c r="AJ1951" s="18" t="str">
        <f aca="false">IF($D1951="","",IF(OR($R1951=TRUE(),$R1951="TRUE"),1,0))</f>
        <v/>
      </c>
      <c r="AK1951" s="18" t="str">
        <f aca="false">IF($AH1951=1,IFERROR(VALUE(MID($D1951,2,20)),1000000000)+ROW()/10000000,"")</f>
        <v/>
      </c>
    </row>
    <row r="1952" customFormat="false" ht="15" hidden="false" customHeight="false" outlineLevel="0" collapsed="false">
      <c r="F1952" s="15"/>
      <c r="N1952" s="16" t="str">
        <f aca="false">IF($D1952="","",M1952*Y1952/100)</f>
        <v/>
      </c>
      <c r="V1952" s="16" t="str">
        <f aca="false">IF($D1952="","",Y1952*AB1952/100)</f>
        <v/>
      </c>
      <c r="W1952" s="16" t="str">
        <f aca="false">IF($D1952="","",Y1952-V1952)</f>
        <v/>
      </c>
      <c r="X1952" s="16" t="str">
        <f aca="false">IF($D1952="","",W1952-N1952)</f>
        <v/>
      </c>
      <c r="AB1952" s="17" t="str">
        <f aca="false">IF($D1952="","",IF(OR($R1952=TRUE(),$R1952="TRUE"),Settings!$C$6,Settings!$C$7)*100)</f>
        <v/>
      </c>
      <c r="AH1952" s="18" t="str">
        <f aca="false">IF($D1952="","",IF(COUNTIF($D$2:$D1952,$D1952)=1,1,0))</f>
        <v/>
      </c>
      <c r="AI1952" s="18" t="str">
        <f aca="false">IF($AH1952=1,SUMPRODUCT(--($AK$2:$AK$4001&lt;$AK1952))+1,"")</f>
        <v/>
      </c>
      <c r="AJ1952" s="18" t="str">
        <f aca="false">IF($D1952="","",IF(OR($R1952=TRUE(),$R1952="TRUE"),1,0))</f>
        <v/>
      </c>
      <c r="AK1952" s="18" t="str">
        <f aca="false">IF($AH1952=1,IFERROR(VALUE(MID($D1952,2,20)),1000000000)+ROW()/10000000,"")</f>
        <v/>
      </c>
    </row>
    <row r="1953" customFormat="false" ht="15" hidden="false" customHeight="false" outlineLevel="0" collapsed="false">
      <c r="F1953" s="15"/>
      <c r="N1953" s="16" t="str">
        <f aca="false">IF($D1953="","",M1953*Y1953/100)</f>
        <v/>
      </c>
      <c r="V1953" s="16" t="str">
        <f aca="false">IF($D1953="","",Y1953*AB1953/100)</f>
        <v/>
      </c>
      <c r="W1953" s="16" t="str">
        <f aca="false">IF($D1953="","",Y1953-V1953)</f>
        <v/>
      </c>
      <c r="X1953" s="16" t="str">
        <f aca="false">IF($D1953="","",W1953-N1953)</f>
        <v/>
      </c>
      <c r="AB1953" s="17" t="str">
        <f aca="false">IF($D1953="","",IF(OR($R1953=TRUE(),$R1953="TRUE"),Settings!$C$6,Settings!$C$7)*100)</f>
        <v/>
      </c>
      <c r="AH1953" s="18" t="str">
        <f aca="false">IF($D1953="","",IF(COUNTIF($D$2:$D1953,$D1953)=1,1,0))</f>
        <v/>
      </c>
      <c r="AI1953" s="18" t="str">
        <f aca="false">IF($AH1953=1,SUMPRODUCT(--($AK$2:$AK$4001&lt;$AK1953))+1,"")</f>
        <v/>
      </c>
      <c r="AJ1953" s="18" t="str">
        <f aca="false">IF($D1953="","",IF(OR($R1953=TRUE(),$R1953="TRUE"),1,0))</f>
        <v/>
      </c>
      <c r="AK1953" s="18" t="str">
        <f aca="false">IF($AH1953=1,IFERROR(VALUE(MID($D1953,2,20)),1000000000)+ROW()/10000000,"")</f>
        <v/>
      </c>
    </row>
    <row r="1954" customFormat="false" ht="15" hidden="false" customHeight="false" outlineLevel="0" collapsed="false">
      <c r="F1954" s="15"/>
      <c r="N1954" s="16" t="str">
        <f aca="false">IF($D1954="","",M1954*Y1954/100)</f>
        <v/>
      </c>
      <c r="V1954" s="16" t="str">
        <f aca="false">IF($D1954="","",Y1954*AB1954/100)</f>
        <v/>
      </c>
      <c r="W1954" s="16" t="str">
        <f aca="false">IF($D1954="","",Y1954-V1954)</f>
        <v/>
      </c>
      <c r="X1954" s="16" t="str">
        <f aca="false">IF($D1954="","",W1954-N1954)</f>
        <v/>
      </c>
      <c r="AB1954" s="17" t="str">
        <f aca="false">IF($D1954="","",IF(OR($R1954=TRUE(),$R1954="TRUE"),Settings!$C$6,Settings!$C$7)*100)</f>
        <v/>
      </c>
      <c r="AH1954" s="18" t="str">
        <f aca="false">IF($D1954="","",IF(COUNTIF($D$2:$D1954,$D1954)=1,1,0))</f>
        <v/>
      </c>
      <c r="AI1954" s="18" t="str">
        <f aca="false">IF($AH1954=1,SUMPRODUCT(--($AK$2:$AK$4001&lt;$AK1954))+1,"")</f>
        <v/>
      </c>
      <c r="AJ1954" s="18" t="str">
        <f aca="false">IF($D1954="","",IF(OR($R1954=TRUE(),$R1954="TRUE"),1,0))</f>
        <v/>
      </c>
      <c r="AK1954" s="18" t="str">
        <f aca="false">IF($AH1954=1,IFERROR(VALUE(MID($D1954,2,20)),1000000000)+ROW()/10000000,"")</f>
        <v/>
      </c>
    </row>
    <row r="1955" customFormat="false" ht="15" hidden="false" customHeight="false" outlineLevel="0" collapsed="false">
      <c r="F1955" s="15"/>
      <c r="N1955" s="16" t="str">
        <f aca="false">IF($D1955="","",M1955*Y1955/100)</f>
        <v/>
      </c>
      <c r="V1955" s="16" t="str">
        <f aca="false">IF($D1955="","",Y1955*AB1955/100)</f>
        <v/>
      </c>
      <c r="W1955" s="16" t="str">
        <f aca="false">IF($D1955="","",Y1955-V1955)</f>
        <v/>
      </c>
      <c r="X1955" s="16" t="str">
        <f aca="false">IF($D1955="","",W1955-N1955)</f>
        <v/>
      </c>
      <c r="AB1955" s="17" t="str">
        <f aca="false">IF($D1955="","",IF(OR($R1955=TRUE(),$R1955="TRUE"),Settings!$C$6,Settings!$C$7)*100)</f>
        <v/>
      </c>
      <c r="AH1955" s="18" t="str">
        <f aca="false">IF($D1955="","",IF(COUNTIF($D$2:$D1955,$D1955)=1,1,0))</f>
        <v/>
      </c>
      <c r="AI1955" s="18" t="str">
        <f aca="false">IF($AH1955=1,SUMPRODUCT(--($AK$2:$AK$4001&lt;$AK1955))+1,"")</f>
        <v/>
      </c>
      <c r="AJ1955" s="18" t="str">
        <f aca="false">IF($D1955="","",IF(OR($R1955=TRUE(),$R1955="TRUE"),1,0))</f>
        <v/>
      </c>
      <c r="AK1955" s="18" t="str">
        <f aca="false">IF($AH1955=1,IFERROR(VALUE(MID($D1955,2,20)),1000000000)+ROW()/10000000,"")</f>
        <v/>
      </c>
    </row>
    <row r="1956" customFormat="false" ht="15" hidden="false" customHeight="false" outlineLevel="0" collapsed="false">
      <c r="F1956" s="15"/>
      <c r="N1956" s="16" t="str">
        <f aca="false">IF($D1956="","",M1956*Y1956/100)</f>
        <v/>
      </c>
      <c r="V1956" s="16" t="str">
        <f aca="false">IF($D1956="","",Y1956*AB1956/100)</f>
        <v/>
      </c>
      <c r="W1956" s="16" t="str">
        <f aca="false">IF($D1956="","",Y1956-V1956)</f>
        <v/>
      </c>
      <c r="X1956" s="16" t="str">
        <f aca="false">IF($D1956="","",W1956-N1956)</f>
        <v/>
      </c>
      <c r="AB1956" s="17" t="str">
        <f aca="false">IF($D1956="","",IF(OR($R1956=TRUE(),$R1956="TRUE"),Settings!$C$6,Settings!$C$7)*100)</f>
        <v/>
      </c>
      <c r="AH1956" s="18" t="str">
        <f aca="false">IF($D1956="","",IF(COUNTIF($D$2:$D1956,$D1956)=1,1,0))</f>
        <v/>
      </c>
      <c r="AI1956" s="18" t="str">
        <f aca="false">IF($AH1956=1,SUMPRODUCT(--($AK$2:$AK$4001&lt;$AK1956))+1,"")</f>
        <v/>
      </c>
      <c r="AJ1956" s="18" t="str">
        <f aca="false">IF($D1956="","",IF(OR($R1956=TRUE(),$R1956="TRUE"),1,0))</f>
        <v/>
      </c>
      <c r="AK1956" s="18" t="str">
        <f aca="false">IF($AH1956=1,IFERROR(VALUE(MID($D1956,2,20)),1000000000)+ROW()/10000000,"")</f>
        <v/>
      </c>
    </row>
    <row r="1957" customFormat="false" ht="15" hidden="false" customHeight="false" outlineLevel="0" collapsed="false">
      <c r="F1957" s="15"/>
      <c r="N1957" s="16" t="str">
        <f aca="false">IF($D1957="","",M1957*Y1957/100)</f>
        <v/>
      </c>
      <c r="V1957" s="16" t="str">
        <f aca="false">IF($D1957="","",Y1957*AB1957/100)</f>
        <v/>
      </c>
      <c r="W1957" s="16" t="str">
        <f aca="false">IF($D1957="","",Y1957-V1957)</f>
        <v/>
      </c>
      <c r="X1957" s="16" t="str">
        <f aca="false">IF($D1957="","",W1957-N1957)</f>
        <v/>
      </c>
      <c r="AB1957" s="17" t="str">
        <f aca="false">IF($D1957="","",IF(OR($R1957=TRUE(),$R1957="TRUE"),Settings!$C$6,Settings!$C$7)*100)</f>
        <v/>
      </c>
      <c r="AH1957" s="18" t="str">
        <f aca="false">IF($D1957="","",IF(COUNTIF($D$2:$D1957,$D1957)=1,1,0))</f>
        <v/>
      </c>
      <c r="AI1957" s="18" t="str">
        <f aca="false">IF($AH1957=1,SUMPRODUCT(--($AK$2:$AK$4001&lt;$AK1957))+1,"")</f>
        <v/>
      </c>
      <c r="AJ1957" s="18" t="str">
        <f aca="false">IF($D1957="","",IF(OR($R1957=TRUE(),$R1957="TRUE"),1,0))</f>
        <v/>
      </c>
      <c r="AK1957" s="18" t="str">
        <f aca="false">IF($AH1957=1,IFERROR(VALUE(MID($D1957,2,20)),1000000000)+ROW()/10000000,"")</f>
        <v/>
      </c>
    </row>
    <row r="1958" customFormat="false" ht="15" hidden="false" customHeight="false" outlineLevel="0" collapsed="false">
      <c r="F1958" s="15"/>
      <c r="N1958" s="16" t="str">
        <f aca="false">IF($D1958="","",M1958*Y1958/100)</f>
        <v/>
      </c>
      <c r="V1958" s="16" t="str">
        <f aca="false">IF($D1958="","",Y1958*AB1958/100)</f>
        <v/>
      </c>
      <c r="W1958" s="16" t="str">
        <f aca="false">IF($D1958="","",Y1958-V1958)</f>
        <v/>
      </c>
      <c r="X1958" s="16" t="str">
        <f aca="false">IF($D1958="","",W1958-N1958)</f>
        <v/>
      </c>
      <c r="AB1958" s="17" t="str">
        <f aca="false">IF($D1958="","",IF(OR($R1958=TRUE(),$R1958="TRUE"),Settings!$C$6,Settings!$C$7)*100)</f>
        <v/>
      </c>
      <c r="AH1958" s="18" t="str">
        <f aca="false">IF($D1958="","",IF(COUNTIF($D$2:$D1958,$D1958)=1,1,0))</f>
        <v/>
      </c>
      <c r="AI1958" s="18" t="str">
        <f aca="false">IF($AH1958=1,SUMPRODUCT(--($AK$2:$AK$4001&lt;$AK1958))+1,"")</f>
        <v/>
      </c>
      <c r="AJ1958" s="18" t="str">
        <f aca="false">IF($D1958="","",IF(OR($R1958=TRUE(),$R1958="TRUE"),1,0))</f>
        <v/>
      </c>
      <c r="AK1958" s="18" t="str">
        <f aca="false">IF($AH1958=1,IFERROR(VALUE(MID($D1958,2,20)),1000000000)+ROW()/10000000,"")</f>
        <v/>
      </c>
    </row>
    <row r="1959" customFormat="false" ht="15" hidden="false" customHeight="false" outlineLevel="0" collapsed="false">
      <c r="F1959" s="15"/>
      <c r="N1959" s="16" t="str">
        <f aca="false">IF($D1959="","",M1959*Y1959/100)</f>
        <v/>
      </c>
      <c r="V1959" s="16" t="str">
        <f aca="false">IF($D1959="","",Y1959*AB1959/100)</f>
        <v/>
      </c>
      <c r="W1959" s="16" t="str">
        <f aca="false">IF($D1959="","",Y1959-V1959)</f>
        <v/>
      </c>
      <c r="X1959" s="16" t="str">
        <f aca="false">IF($D1959="","",W1959-N1959)</f>
        <v/>
      </c>
      <c r="AB1959" s="17" t="str">
        <f aca="false">IF($D1959="","",IF(OR($R1959=TRUE(),$R1959="TRUE"),Settings!$C$6,Settings!$C$7)*100)</f>
        <v/>
      </c>
      <c r="AH1959" s="18" t="str">
        <f aca="false">IF($D1959="","",IF(COUNTIF($D$2:$D1959,$D1959)=1,1,0))</f>
        <v/>
      </c>
      <c r="AI1959" s="18" t="str">
        <f aca="false">IF($AH1959=1,SUMPRODUCT(--($AK$2:$AK$4001&lt;$AK1959))+1,"")</f>
        <v/>
      </c>
      <c r="AJ1959" s="18" t="str">
        <f aca="false">IF($D1959="","",IF(OR($R1959=TRUE(),$R1959="TRUE"),1,0))</f>
        <v/>
      </c>
      <c r="AK1959" s="18" t="str">
        <f aca="false">IF($AH1959=1,IFERROR(VALUE(MID($D1959,2,20)),1000000000)+ROW()/10000000,"")</f>
        <v/>
      </c>
    </row>
    <row r="1960" customFormat="false" ht="15" hidden="false" customHeight="false" outlineLevel="0" collapsed="false">
      <c r="F1960" s="15"/>
      <c r="N1960" s="16" t="str">
        <f aca="false">IF($D1960="","",M1960*Y1960/100)</f>
        <v/>
      </c>
      <c r="V1960" s="16" t="str">
        <f aca="false">IF($D1960="","",Y1960*AB1960/100)</f>
        <v/>
      </c>
      <c r="W1960" s="16" t="str">
        <f aca="false">IF($D1960="","",Y1960-V1960)</f>
        <v/>
      </c>
      <c r="X1960" s="16" t="str">
        <f aca="false">IF($D1960="","",W1960-N1960)</f>
        <v/>
      </c>
      <c r="AB1960" s="17" t="str">
        <f aca="false">IF($D1960="","",IF(OR($R1960=TRUE(),$R1960="TRUE"),Settings!$C$6,Settings!$C$7)*100)</f>
        <v/>
      </c>
      <c r="AH1960" s="18" t="str">
        <f aca="false">IF($D1960="","",IF(COUNTIF($D$2:$D1960,$D1960)=1,1,0))</f>
        <v/>
      </c>
      <c r="AI1960" s="18" t="str">
        <f aca="false">IF($AH1960=1,SUMPRODUCT(--($AK$2:$AK$4001&lt;$AK1960))+1,"")</f>
        <v/>
      </c>
      <c r="AJ1960" s="18" t="str">
        <f aca="false">IF($D1960="","",IF(OR($R1960=TRUE(),$R1960="TRUE"),1,0))</f>
        <v/>
      </c>
      <c r="AK1960" s="18" t="str">
        <f aca="false">IF($AH1960=1,IFERROR(VALUE(MID($D1960,2,20)),1000000000)+ROW()/10000000,"")</f>
        <v/>
      </c>
    </row>
    <row r="1961" customFormat="false" ht="15" hidden="false" customHeight="false" outlineLevel="0" collapsed="false">
      <c r="F1961" s="15"/>
      <c r="N1961" s="16" t="str">
        <f aca="false">IF($D1961="","",M1961*Y1961/100)</f>
        <v/>
      </c>
      <c r="V1961" s="16" t="str">
        <f aca="false">IF($D1961="","",Y1961*AB1961/100)</f>
        <v/>
      </c>
      <c r="W1961" s="16" t="str">
        <f aca="false">IF($D1961="","",Y1961-V1961)</f>
        <v/>
      </c>
      <c r="X1961" s="16" t="str">
        <f aca="false">IF($D1961="","",W1961-N1961)</f>
        <v/>
      </c>
      <c r="AB1961" s="17" t="str">
        <f aca="false">IF($D1961="","",IF(OR($R1961=TRUE(),$R1961="TRUE"),Settings!$C$6,Settings!$C$7)*100)</f>
        <v/>
      </c>
      <c r="AH1961" s="18" t="str">
        <f aca="false">IF($D1961="","",IF(COUNTIF($D$2:$D1961,$D1961)=1,1,0))</f>
        <v/>
      </c>
      <c r="AI1961" s="18" t="str">
        <f aca="false">IF($AH1961=1,SUMPRODUCT(--($AK$2:$AK$4001&lt;$AK1961))+1,"")</f>
        <v/>
      </c>
      <c r="AJ1961" s="18" t="str">
        <f aca="false">IF($D1961="","",IF(OR($R1961=TRUE(),$R1961="TRUE"),1,0))</f>
        <v/>
      </c>
      <c r="AK1961" s="18" t="str">
        <f aca="false">IF($AH1961=1,IFERROR(VALUE(MID($D1961,2,20)),1000000000)+ROW()/10000000,"")</f>
        <v/>
      </c>
    </row>
    <row r="1962" customFormat="false" ht="15" hidden="false" customHeight="false" outlineLevel="0" collapsed="false">
      <c r="F1962" s="15"/>
      <c r="N1962" s="16" t="str">
        <f aca="false">IF($D1962="","",M1962*Y1962/100)</f>
        <v/>
      </c>
      <c r="V1962" s="16" t="str">
        <f aca="false">IF($D1962="","",Y1962*AB1962/100)</f>
        <v/>
      </c>
      <c r="W1962" s="16" t="str">
        <f aca="false">IF($D1962="","",Y1962-V1962)</f>
        <v/>
      </c>
      <c r="X1962" s="16" t="str">
        <f aca="false">IF($D1962="","",W1962-N1962)</f>
        <v/>
      </c>
      <c r="AB1962" s="17" t="str">
        <f aca="false">IF($D1962="","",IF(OR($R1962=TRUE(),$R1962="TRUE"),Settings!$C$6,Settings!$C$7)*100)</f>
        <v/>
      </c>
      <c r="AH1962" s="18" t="str">
        <f aca="false">IF($D1962="","",IF(COUNTIF($D$2:$D1962,$D1962)=1,1,0))</f>
        <v/>
      </c>
      <c r="AI1962" s="18" t="str">
        <f aca="false">IF($AH1962=1,SUMPRODUCT(--($AK$2:$AK$4001&lt;$AK1962))+1,"")</f>
        <v/>
      </c>
      <c r="AJ1962" s="18" t="str">
        <f aca="false">IF($D1962="","",IF(OR($R1962=TRUE(),$R1962="TRUE"),1,0))</f>
        <v/>
      </c>
      <c r="AK1962" s="18" t="str">
        <f aca="false">IF($AH1962=1,IFERROR(VALUE(MID($D1962,2,20)),1000000000)+ROW()/10000000,"")</f>
        <v/>
      </c>
    </row>
    <row r="1963" customFormat="false" ht="15" hidden="false" customHeight="false" outlineLevel="0" collapsed="false">
      <c r="F1963" s="15"/>
      <c r="N1963" s="16" t="str">
        <f aca="false">IF($D1963="","",M1963*Y1963/100)</f>
        <v/>
      </c>
      <c r="V1963" s="16" t="str">
        <f aca="false">IF($D1963="","",Y1963*AB1963/100)</f>
        <v/>
      </c>
      <c r="W1963" s="16" t="str">
        <f aca="false">IF($D1963="","",Y1963-V1963)</f>
        <v/>
      </c>
      <c r="X1963" s="16" t="str">
        <f aca="false">IF($D1963="","",W1963-N1963)</f>
        <v/>
      </c>
      <c r="AB1963" s="17" t="str">
        <f aca="false">IF($D1963="","",IF(OR($R1963=TRUE(),$R1963="TRUE"),Settings!$C$6,Settings!$C$7)*100)</f>
        <v/>
      </c>
      <c r="AH1963" s="18" t="str">
        <f aca="false">IF($D1963="","",IF(COUNTIF($D$2:$D1963,$D1963)=1,1,0))</f>
        <v/>
      </c>
      <c r="AI1963" s="18" t="str">
        <f aca="false">IF($AH1963=1,SUMPRODUCT(--($AK$2:$AK$4001&lt;$AK1963))+1,"")</f>
        <v/>
      </c>
      <c r="AJ1963" s="18" t="str">
        <f aca="false">IF($D1963="","",IF(OR($R1963=TRUE(),$R1963="TRUE"),1,0))</f>
        <v/>
      </c>
      <c r="AK1963" s="18" t="str">
        <f aca="false">IF($AH1963=1,IFERROR(VALUE(MID($D1963,2,20)),1000000000)+ROW()/10000000,"")</f>
        <v/>
      </c>
    </row>
    <row r="1964" customFormat="false" ht="15" hidden="false" customHeight="false" outlineLevel="0" collapsed="false">
      <c r="F1964" s="15"/>
      <c r="N1964" s="16" t="str">
        <f aca="false">IF($D1964="","",M1964*Y1964/100)</f>
        <v/>
      </c>
      <c r="V1964" s="16" t="str">
        <f aca="false">IF($D1964="","",Y1964*AB1964/100)</f>
        <v/>
      </c>
      <c r="W1964" s="16" t="str">
        <f aca="false">IF($D1964="","",Y1964-V1964)</f>
        <v/>
      </c>
      <c r="X1964" s="16" t="str">
        <f aca="false">IF($D1964="","",W1964-N1964)</f>
        <v/>
      </c>
      <c r="AB1964" s="17" t="str">
        <f aca="false">IF($D1964="","",IF(OR($R1964=TRUE(),$R1964="TRUE"),Settings!$C$6,Settings!$C$7)*100)</f>
        <v/>
      </c>
      <c r="AH1964" s="18" t="str">
        <f aca="false">IF($D1964="","",IF(COUNTIF($D$2:$D1964,$D1964)=1,1,0))</f>
        <v/>
      </c>
      <c r="AI1964" s="18" t="str">
        <f aca="false">IF($AH1964=1,SUMPRODUCT(--($AK$2:$AK$4001&lt;$AK1964))+1,"")</f>
        <v/>
      </c>
      <c r="AJ1964" s="18" t="str">
        <f aca="false">IF($D1964="","",IF(OR($R1964=TRUE(),$R1964="TRUE"),1,0))</f>
        <v/>
      </c>
      <c r="AK1964" s="18" t="str">
        <f aca="false">IF($AH1964=1,IFERROR(VALUE(MID($D1964,2,20)),1000000000)+ROW()/10000000,"")</f>
        <v/>
      </c>
    </row>
    <row r="1965" customFormat="false" ht="15" hidden="false" customHeight="false" outlineLevel="0" collapsed="false">
      <c r="F1965" s="15"/>
      <c r="N1965" s="16" t="str">
        <f aca="false">IF($D1965="","",M1965*Y1965/100)</f>
        <v/>
      </c>
      <c r="V1965" s="16" t="str">
        <f aca="false">IF($D1965="","",Y1965*AB1965/100)</f>
        <v/>
      </c>
      <c r="W1965" s="16" t="str">
        <f aca="false">IF($D1965="","",Y1965-V1965)</f>
        <v/>
      </c>
      <c r="X1965" s="16" t="str">
        <f aca="false">IF($D1965="","",W1965-N1965)</f>
        <v/>
      </c>
      <c r="AB1965" s="17" t="str">
        <f aca="false">IF($D1965="","",IF(OR($R1965=TRUE(),$R1965="TRUE"),Settings!$C$6,Settings!$C$7)*100)</f>
        <v/>
      </c>
      <c r="AH1965" s="18" t="str">
        <f aca="false">IF($D1965="","",IF(COUNTIF($D$2:$D1965,$D1965)=1,1,0))</f>
        <v/>
      </c>
      <c r="AI1965" s="18" t="str">
        <f aca="false">IF($AH1965=1,SUMPRODUCT(--($AK$2:$AK$4001&lt;$AK1965))+1,"")</f>
        <v/>
      </c>
      <c r="AJ1965" s="18" t="str">
        <f aca="false">IF($D1965="","",IF(OR($R1965=TRUE(),$R1965="TRUE"),1,0))</f>
        <v/>
      </c>
      <c r="AK1965" s="18" t="str">
        <f aca="false">IF($AH1965=1,IFERROR(VALUE(MID($D1965,2,20)),1000000000)+ROW()/10000000,"")</f>
        <v/>
      </c>
    </row>
    <row r="1966" customFormat="false" ht="15" hidden="false" customHeight="false" outlineLevel="0" collapsed="false">
      <c r="F1966" s="15"/>
      <c r="N1966" s="16" t="str">
        <f aca="false">IF($D1966="","",M1966*Y1966/100)</f>
        <v/>
      </c>
      <c r="V1966" s="16" t="str">
        <f aca="false">IF($D1966="","",Y1966*AB1966/100)</f>
        <v/>
      </c>
      <c r="W1966" s="16" t="str">
        <f aca="false">IF($D1966="","",Y1966-V1966)</f>
        <v/>
      </c>
      <c r="X1966" s="16" t="str">
        <f aca="false">IF($D1966="","",W1966-N1966)</f>
        <v/>
      </c>
      <c r="AB1966" s="17" t="str">
        <f aca="false">IF($D1966="","",IF(OR($R1966=TRUE(),$R1966="TRUE"),Settings!$C$6,Settings!$C$7)*100)</f>
        <v/>
      </c>
      <c r="AH1966" s="18" t="str">
        <f aca="false">IF($D1966="","",IF(COUNTIF($D$2:$D1966,$D1966)=1,1,0))</f>
        <v/>
      </c>
      <c r="AI1966" s="18" t="str">
        <f aca="false">IF($AH1966=1,SUMPRODUCT(--($AK$2:$AK$4001&lt;$AK1966))+1,"")</f>
        <v/>
      </c>
      <c r="AJ1966" s="18" t="str">
        <f aca="false">IF($D1966="","",IF(OR($R1966=TRUE(),$R1966="TRUE"),1,0))</f>
        <v/>
      </c>
      <c r="AK1966" s="18" t="str">
        <f aca="false">IF($AH1966=1,IFERROR(VALUE(MID($D1966,2,20)),1000000000)+ROW()/10000000,"")</f>
        <v/>
      </c>
    </row>
    <row r="1967" customFormat="false" ht="15" hidden="false" customHeight="false" outlineLevel="0" collapsed="false">
      <c r="F1967" s="15"/>
      <c r="N1967" s="16" t="str">
        <f aca="false">IF($D1967="","",M1967*Y1967/100)</f>
        <v/>
      </c>
      <c r="V1967" s="16" t="str">
        <f aca="false">IF($D1967="","",Y1967*AB1967/100)</f>
        <v/>
      </c>
      <c r="W1967" s="16" t="str">
        <f aca="false">IF($D1967="","",Y1967-V1967)</f>
        <v/>
      </c>
      <c r="X1967" s="16" t="str">
        <f aca="false">IF($D1967="","",W1967-N1967)</f>
        <v/>
      </c>
      <c r="AB1967" s="17" t="str">
        <f aca="false">IF($D1967="","",IF(OR($R1967=TRUE(),$R1967="TRUE"),Settings!$C$6,Settings!$C$7)*100)</f>
        <v/>
      </c>
      <c r="AH1967" s="18" t="str">
        <f aca="false">IF($D1967="","",IF(COUNTIF($D$2:$D1967,$D1967)=1,1,0))</f>
        <v/>
      </c>
      <c r="AI1967" s="18" t="str">
        <f aca="false">IF($AH1967=1,SUMPRODUCT(--($AK$2:$AK$4001&lt;$AK1967))+1,"")</f>
        <v/>
      </c>
      <c r="AJ1967" s="18" t="str">
        <f aca="false">IF($D1967="","",IF(OR($R1967=TRUE(),$R1967="TRUE"),1,0))</f>
        <v/>
      </c>
      <c r="AK1967" s="18" t="str">
        <f aca="false">IF($AH1967=1,IFERROR(VALUE(MID($D1967,2,20)),1000000000)+ROW()/10000000,"")</f>
        <v/>
      </c>
    </row>
    <row r="1968" customFormat="false" ht="15" hidden="false" customHeight="false" outlineLevel="0" collapsed="false">
      <c r="F1968" s="15"/>
      <c r="N1968" s="16" t="str">
        <f aca="false">IF($D1968="","",M1968*Y1968/100)</f>
        <v/>
      </c>
      <c r="V1968" s="16" t="str">
        <f aca="false">IF($D1968="","",Y1968*AB1968/100)</f>
        <v/>
      </c>
      <c r="W1968" s="16" t="str">
        <f aca="false">IF($D1968="","",Y1968-V1968)</f>
        <v/>
      </c>
      <c r="X1968" s="16" t="str">
        <f aca="false">IF($D1968="","",W1968-N1968)</f>
        <v/>
      </c>
      <c r="AB1968" s="17" t="str">
        <f aca="false">IF($D1968="","",IF(OR($R1968=TRUE(),$R1968="TRUE"),Settings!$C$6,Settings!$C$7)*100)</f>
        <v/>
      </c>
      <c r="AH1968" s="18" t="str">
        <f aca="false">IF($D1968="","",IF(COUNTIF($D$2:$D1968,$D1968)=1,1,0))</f>
        <v/>
      </c>
      <c r="AI1968" s="18" t="str">
        <f aca="false">IF($AH1968=1,SUMPRODUCT(--($AK$2:$AK$4001&lt;$AK1968))+1,"")</f>
        <v/>
      </c>
      <c r="AJ1968" s="18" t="str">
        <f aca="false">IF($D1968="","",IF(OR($R1968=TRUE(),$R1968="TRUE"),1,0))</f>
        <v/>
      </c>
      <c r="AK1968" s="18" t="str">
        <f aca="false">IF($AH1968=1,IFERROR(VALUE(MID($D1968,2,20)),1000000000)+ROW()/10000000,"")</f>
        <v/>
      </c>
    </row>
    <row r="1969" customFormat="false" ht="15" hidden="false" customHeight="false" outlineLevel="0" collapsed="false">
      <c r="F1969" s="15"/>
      <c r="N1969" s="16" t="str">
        <f aca="false">IF($D1969="","",M1969*Y1969/100)</f>
        <v/>
      </c>
      <c r="V1969" s="16" t="str">
        <f aca="false">IF($D1969="","",Y1969*AB1969/100)</f>
        <v/>
      </c>
      <c r="W1969" s="16" t="str">
        <f aca="false">IF($D1969="","",Y1969-V1969)</f>
        <v/>
      </c>
      <c r="X1969" s="16" t="str">
        <f aca="false">IF($D1969="","",W1969-N1969)</f>
        <v/>
      </c>
      <c r="AB1969" s="17" t="str">
        <f aca="false">IF($D1969="","",IF(OR($R1969=TRUE(),$R1969="TRUE"),Settings!$C$6,Settings!$C$7)*100)</f>
        <v/>
      </c>
      <c r="AH1969" s="18" t="str">
        <f aca="false">IF($D1969="","",IF(COUNTIF($D$2:$D1969,$D1969)=1,1,0))</f>
        <v/>
      </c>
      <c r="AI1969" s="18" t="str">
        <f aca="false">IF($AH1969=1,SUMPRODUCT(--($AK$2:$AK$4001&lt;$AK1969))+1,"")</f>
        <v/>
      </c>
      <c r="AJ1969" s="18" t="str">
        <f aca="false">IF($D1969="","",IF(OR($R1969=TRUE(),$R1969="TRUE"),1,0))</f>
        <v/>
      </c>
      <c r="AK1969" s="18" t="str">
        <f aca="false">IF($AH1969=1,IFERROR(VALUE(MID($D1969,2,20)),1000000000)+ROW()/10000000,"")</f>
        <v/>
      </c>
    </row>
    <row r="1970" customFormat="false" ht="15" hidden="false" customHeight="false" outlineLevel="0" collapsed="false">
      <c r="F1970" s="15"/>
      <c r="N1970" s="16" t="str">
        <f aca="false">IF($D1970="","",M1970*Y1970/100)</f>
        <v/>
      </c>
      <c r="V1970" s="16" t="str">
        <f aca="false">IF($D1970="","",Y1970*AB1970/100)</f>
        <v/>
      </c>
      <c r="W1970" s="16" t="str">
        <f aca="false">IF($D1970="","",Y1970-V1970)</f>
        <v/>
      </c>
      <c r="X1970" s="16" t="str">
        <f aca="false">IF($D1970="","",W1970-N1970)</f>
        <v/>
      </c>
      <c r="AB1970" s="17" t="str">
        <f aca="false">IF($D1970="","",IF(OR($R1970=TRUE(),$R1970="TRUE"),Settings!$C$6,Settings!$C$7)*100)</f>
        <v/>
      </c>
      <c r="AH1970" s="18" t="str">
        <f aca="false">IF($D1970="","",IF(COUNTIF($D$2:$D1970,$D1970)=1,1,0))</f>
        <v/>
      </c>
      <c r="AI1970" s="18" t="str">
        <f aca="false">IF($AH1970=1,SUMPRODUCT(--($AK$2:$AK$4001&lt;$AK1970))+1,"")</f>
        <v/>
      </c>
      <c r="AJ1970" s="18" t="str">
        <f aca="false">IF($D1970="","",IF(OR($R1970=TRUE(),$R1970="TRUE"),1,0))</f>
        <v/>
      </c>
      <c r="AK1970" s="18" t="str">
        <f aca="false">IF($AH1970=1,IFERROR(VALUE(MID($D1970,2,20)),1000000000)+ROW()/10000000,"")</f>
        <v/>
      </c>
    </row>
    <row r="1971" customFormat="false" ht="15" hidden="false" customHeight="false" outlineLevel="0" collapsed="false">
      <c r="F1971" s="15"/>
      <c r="N1971" s="16" t="str">
        <f aca="false">IF($D1971="","",M1971*Y1971/100)</f>
        <v/>
      </c>
      <c r="V1971" s="16" t="str">
        <f aca="false">IF($D1971="","",Y1971*AB1971/100)</f>
        <v/>
      </c>
      <c r="W1971" s="16" t="str">
        <f aca="false">IF($D1971="","",Y1971-V1971)</f>
        <v/>
      </c>
      <c r="X1971" s="16" t="str">
        <f aca="false">IF($D1971="","",W1971-N1971)</f>
        <v/>
      </c>
      <c r="AB1971" s="17" t="str">
        <f aca="false">IF($D1971="","",IF(OR($R1971=TRUE(),$R1971="TRUE"),Settings!$C$6,Settings!$C$7)*100)</f>
        <v/>
      </c>
      <c r="AH1971" s="18" t="str">
        <f aca="false">IF($D1971="","",IF(COUNTIF($D$2:$D1971,$D1971)=1,1,0))</f>
        <v/>
      </c>
      <c r="AI1971" s="18" t="str">
        <f aca="false">IF($AH1971=1,SUMPRODUCT(--($AK$2:$AK$4001&lt;$AK1971))+1,"")</f>
        <v/>
      </c>
      <c r="AJ1971" s="18" t="str">
        <f aca="false">IF($D1971="","",IF(OR($R1971=TRUE(),$R1971="TRUE"),1,0))</f>
        <v/>
      </c>
      <c r="AK1971" s="18" t="str">
        <f aca="false">IF($AH1971=1,IFERROR(VALUE(MID($D1971,2,20)),1000000000)+ROW()/10000000,"")</f>
        <v/>
      </c>
    </row>
    <row r="1972" customFormat="false" ht="15" hidden="false" customHeight="false" outlineLevel="0" collapsed="false">
      <c r="F1972" s="15"/>
      <c r="N1972" s="16" t="str">
        <f aca="false">IF($D1972="","",M1972*Y1972/100)</f>
        <v/>
      </c>
      <c r="V1972" s="16" t="str">
        <f aca="false">IF($D1972="","",Y1972*AB1972/100)</f>
        <v/>
      </c>
      <c r="W1972" s="16" t="str">
        <f aca="false">IF($D1972="","",Y1972-V1972)</f>
        <v/>
      </c>
      <c r="X1972" s="16" t="str">
        <f aca="false">IF($D1972="","",W1972-N1972)</f>
        <v/>
      </c>
      <c r="AB1972" s="17" t="str">
        <f aca="false">IF($D1972="","",IF(OR($R1972=TRUE(),$R1972="TRUE"),Settings!$C$6,Settings!$C$7)*100)</f>
        <v/>
      </c>
      <c r="AH1972" s="18" t="str">
        <f aca="false">IF($D1972="","",IF(COUNTIF($D$2:$D1972,$D1972)=1,1,0))</f>
        <v/>
      </c>
      <c r="AI1972" s="18" t="str">
        <f aca="false">IF($AH1972=1,SUMPRODUCT(--($AK$2:$AK$4001&lt;$AK1972))+1,"")</f>
        <v/>
      </c>
      <c r="AJ1972" s="18" t="str">
        <f aca="false">IF($D1972="","",IF(OR($R1972=TRUE(),$R1972="TRUE"),1,0))</f>
        <v/>
      </c>
      <c r="AK1972" s="18" t="str">
        <f aca="false">IF($AH1972=1,IFERROR(VALUE(MID($D1972,2,20)),1000000000)+ROW()/10000000,"")</f>
        <v/>
      </c>
    </row>
    <row r="1973" customFormat="false" ht="15" hidden="false" customHeight="false" outlineLevel="0" collapsed="false">
      <c r="F1973" s="15"/>
      <c r="N1973" s="16" t="str">
        <f aca="false">IF($D1973="","",M1973*Y1973/100)</f>
        <v/>
      </c>
      <c r="V1973" s="16" t="str">
        <f aca="false">IF($D1973="","",Y1973*AB1973/100)</f>
        <v/>
      </c>
      <c r="W1973" s="16" t="str">
        <f aca="false">IF($D1973="","",Y1973-V1973)</f>
        <v/>
      </c>
      <c r="X1973" s="16" t="str">
        <f aca="false">IF($D1973="","",W1973-N1973)</f>
        <v/>
      </c>
      <c r="AB1973" s="17" t="str">
        <f aca="false">IF($D1973="","",IF(OR($R1973=TRUE(),$R1973="TRUE"),Settings!$C$6,Settings!$C$7)*100)</f>
        <v/>
      </c>
      <c r="AH1973" s="18" t="str">
        <f aca="false">IF($D1973="","",IF(COUNTIF($D$2:$D1973,$D1973)=1,1,0))</f>
        <v/>
      </c>
      <c r="AI1973" s="18" t="str">
        <f aca="false">IF($AH1973=1,SUMPRODUCT(--($AK$2:$AK$4001&lt;$AK1973))+1,"")</f>
        <v/>
      </c>
      <c r="AJ1973" s="18" t="str">
        <f aca="false">IF($D1973="","",IF(OR($R1973=TRUE(),$R1973="TRUE"),1,0))</f>
        <v/>
      </c>
      <c r="AK1973" s="18" t="str">
        <f aca="false">IF($AH1973=1,IFERROR(VALUE(MID($D1973,2,20)),1000000000)+ROW()/10000000,"")</f>
        <v/>
      </c>
    </row>
    <row r="1974" customFormat="false" ht="15" hidden="false" customHeight="false" outlineLevel="0" collapsed="false">
      <c r="F1974" s="15"/>
      <c r="N1974" s="16" t="str">
        <f aca="false">IF($D1974="","",M1974*Y1974/100)</f>
        <v/>
      </c>
      <c r="V1974" s="16" t="str">
        <f aca="false">IF($D1974="","",Y1974*AB1974/100)</f>
        <v/>
      </c>
      <c r="W1974" s="16" t="str">
        <f aca="false">IF($D1974="","",Y1974-V1974)</f>
        <v/>
      </c>
      <c r="X1974" s="16" t="str">
        <f aca="false">IF($D1974="","",W1974-N1974)</f>
        <v/>
      </c>
      <c r="AB1974" s="17" t="str">
        <f aca="false">IF($D1974="","",IF(OR($R1974=TRUE(),$R1974="TRUE"),Settings!$C$6,Settings!$C$7)*100)</f>
        <v/>
      </c>
      <c r="AH1974" s="18" t="str">
        <f aca="false">IF($D1974="","",IF(COUNTIF($D$2:$D1974,$D1974)=1,1,0))</f>
        <v/>
      </c>
      <c r="AI1974" s="18" t="str">
        <f aca="false">IF($AH1974=1,SUMPRODUCT(--($AK$2:$AK$4001&lt;$AK1974))+1,"")</f>
        <v/>
      </c>
      <c r="AJ1974" s="18" t="str">
        <f aca="false">IF($D1974="","",IF(OR($R1974=TRUE(),$R1974="TRUE"),1,0))</f>
        <v/>
      </c>
      <c r="AK1974" s="18" t="str">
        <f aca="false">IF($AH1974=1,IFERROR(VALUE(MID($D1974,2,20)),1000000000)+ROW()/10000000,"")</f>
        <v/>
      </c>
    </row>
    <row r="1975" customFormat="false" ht="15" hidden="false" customHeight="false" outlineLevel="0" collapsed="false">
      <c r="F1975" s="15"/>
      <c r="N1975" s="16" t="str">
        <f aca="false">IF($D1975="","",M1975*Y1975/100)</f>
        <v/>
      </c>
      <c r="V1975" s="16" t="str">
        <f aca="false">IF($D1975="","",Y1975*AB1975/100)</f>
        <v/>
      </c>
      <c r="W1975" s="16" t="str">
        <f aca="false">IF($D1975="","",Y1975-V1975)</f>
        <v/>
      </c>
      <c r="X1975" s="16" t="str">
        <f aca="false">IF($D1975="","",W1975-N1975)</f>
        <v/>
      </c>
      <c r="AB1975" s="17" t="str">
        <f aca="false">IF($D1975="","",IF(OR($R1975=TRUE(),$R1975="TRUE"),Settings!$C$6,Settings!$C$7)*100)</f>
        <v/>
      </c>
      <c r="AH1975" s="18" t="str">
        <f aca="false">IF($D1975="","",IF(COUNTIF($D$2:$D1975,$D1975)=1,1,0))</f>
        <v/>
      </c>
      <c r="AI1975" s="18" t="str">
        <f aca="false">IF($AH1975=1,SUMPRODUCT(--($AK$2:$AK$4001&lt;$AK1975))+1,"")</f>
        <v/>
      </c>
      <c r="AJ1975" s="18" t="str">
        <f aca="false">IF($D1975="","",IF(OR($R1975=TRUE(),$R1975="TRUE"),1,0))</f>
        <v/>
      </c>
      <c r="AK1975" s="18" t="str">
        <f aca="false">IF($AH1975=1,IFERROR(VALUE(MID($D1975,2,20)),1000000000)+ROW()/10000000,"")</f>
        <v/>
      </c>
    </row>
    <row r="1976" customFormat="false" ht="15" hidden="false" customHeight="false" outlineLevel="0" collapsed="false">
      <c r="F1976" s="15"/>
      <c r="N1976" s="16" t="str">
        <f aca="false">IF($D1976="","",M1976*Y1976/100)</f>
        <v/>
      </c>
      <c r="V1976" s="16" t="str">
        <f aca="false">IF($D1976="","",Y1976*AB1976/100)</f>
        <v/>
      </c>
      <c r="W1976" s="16" t="str">
        <f aca="false">IF($D1976="","",Y1976-V1976)</f>
        <v/>
      </c>
      <c r="X1976" s="16" t="str">
        <f aca="false">IF($D1976="","",W1976-N1976)</f>
        <v/>
      </c>
      <c r="AB1976" s="17" t="str">
        <f aca="false">IF($D1976="","",IF(OR($R1976=TRUE(),$R1976="TRUE"),Settings!$C$6,Settings!$C$7)*100)</f>
        <v/>
      </c>
      <c r="AH1976" s="18" t="str">
        <f aca="false">IF($D1976="","",IF(COUNTIF($D$2:$D1976,$D1976)=1,1,0))</f>
        <v/>
      </c>
      <c r="AI1976" s="18" t="str">
        <f aca="false">IF($AH1976=1,SUMPRODUCT(--($AK$2:$AK$4001&lt;$AK1976))+1,"")</f>
        <v/>
      </c>
      <c r="AJ1976" s="18" t="str">
        <f aca="false">IF($D1976="","",IF(OR($R1976=TRUE(),$R1976="TRUE"),1,0))</f>
        <v/>
      </c>
      <c r="AK1976" s="18" t="str">
        <f aca="false">IF($AH1976=1,IFERROR(VALUE(MID($D1976,2,20)),1000000000)+ROW()/10000000,"")</f>
        <v/>
      </c>
    </row>
    <row r="1977" customFormat="false" ht="15" hidden="false" customHeight="false" outlineLevel="0" collapsed="false">
      <c r="F1977" s="15"/>
      <c r="N1977" s="16" t="str">
        <f aca="false">IF($D1977="","",M1977*Y1977/100)</f>
        <v/>
      </c>
      <c r="V1977" s="16" t="str">
        <f aca="false">IF($D1977="","",Y1977*AB1977/100)</f>
        <v/>
      </c>
      <c r="W1977" s="16" t="str">
        <f aca="false">IF($D1977="","",Y1977-V1977)</f>
        <v/>
      </c>
      <c r="X1977" s="16" t="str">
        <f aca="false">IF($D1977="","",W1977-N1977)</f>
        <v/>
      </c>
      <c r="AB1977" s="17" t="str">
        <f aca="false">IF($D1977="","",IF(OR($R1977=TRUE(),$R1977="TRUE"),Settings!$C$6,Settings!$C$7)*100)</f>
        <v/>
      </c>
      <c r="AH1977" s="18" t="str">
        <f aca="false">IF($D1977="","",IF(COUNTIF($D$2:$D1977,$D1977)=1,1,0))</f>
        <v/>
      </c>
      <c r="AI1977" s="18" t="str">
        <f aca="false">IF($AH1977=1,SUMPRODUCT(--($AK$2:$AK$4001&lt;$AK1977))+1,"")</f>
        <v/>
      </c>
      <c r="AJ1977" s="18" t="str">
        <f aca="false">IF($D1977="","",IF(OR($R1977=TRUE(),$R1977="TRUE"),1,0))</f>
        <v/>
      </c>
      <c r="AK1977" s="18" t="str">
        <f aca="false">IF($AH1977=1,IFERROR(VALUE(MID($D1977,2,20)),1000000000)+ROW()/10000000,"")</f>
        <v/>
      </c>
    </row>
    <row r="1978" customFormat="false" ht="15" hidden="false" customHeight="false" outlineLevel="0" collapsed="false">
      <c r="F1978" s="15"/>
      <c r="N1978" s="16" t="str">
        <f aca="false">IF($D1978="","",M1978*Y1978/100)</f>
        <v/>
      </c>
      <c r="V1978" s="16" t="str">
        <f aca="false">IF($D1978="","",Y1978*AB1978/100)</f>
        <v/>
      </c>
      <c r="W1978" s="16" t="str">
        <f aca="false">IF($D1978="","",Y1978-V1978)</f>
        <v/>
      </c>
      <c r="X1978" s="16" t="str">
        <f aca="false">IF($D1978="","",W1978-N1978)</f>
        <v/>
      </c>
      <c r="AB1978" s="17" t="str">
        <f aca="false">IF($D1978="","",IF(OR($R1978=TRUE(),$R1978="TRUE"),Settings!$C$6,Settings!$C$7)*100)</f>
        <v/>
      </c>
      <c r="AH1978" s="18" t="str">
        <f aca="false">IF($D1978="","",IF(COUNTIF($D$2:$D1978,$D1978)=1,1,0))</f>
        <v/>
      </c>
      <c r="AI1978" s="18" t="str">
        <f aca="false">IF($AH1978=1,SUMPRODUCT(--($AK$2:$AK$4001&lt;$AK1978))+1,"")</f>
        <v/>
      </c>
      <c r="AJ1978" s="18" t="str">
        <f aca="false">IF($D1978="","",IF(OR($R1978=TRUE(),$R1978="TRUE"),1,0))</f>
        <v/>
      </c>
      <c r="AK1978" s="18" t="str">
        <f aca="false">IF($AH1978=1,IFERROR(VALUE(MID($D1978,2,20)),1000000000)+ROW()/10000000,"")</f>
        <v/>
      </c>
    </row>
    <row r="1979" customFormat="false" ht="15" hidden="false" customHeight="false" outlineLevel="0" collapsed="false">
      <c r="F1979" s="15"/>
      <c r="N1979" s="16" t="str">
        <f aca="false">IF($D1979="","",M1979*Y1979/100)</f>
        <v/>
      </c>
      <c r="V1979" s="16" t="str">
        <f aca="false">IF($D1979="","",Y1979*AB1979/100)</f>
        <v/>
      </c>
      <c r="W1979" s="16" t="str">
        <f aca="false">IF($D1979="","",Y1979-V1979)</f>
        <v/>
      </c>
      <c r="X1979" s="16" t="str">
        <f aca="false">IF($D1979="","",W1979-N1979)</f>
        <v/>
      </c>
      <c r="AB1979" s="17" t="str">
        <f aca="false">IF($D1979="","",IF(OR($R1979=TRUE(),$R1979="TRUE"),Settings!$C$6,Settings!$C$7)*100)</f>
        <v/>
      </c>
      <c r="AH1979" s="18" t="str">
        <f aca="false">IF($D1979="","",IF(COUNTIF($D$2:$D1979,$D1979)=1,1,0))</f>
        <v/>
      </c>
      <c r="AI1979" s="18" t="str">
        <f aca="false">IF($AH1979=1,SUMPRODUCT(--($AK$2:$AK$4001&lt;$AK1979))+1,"")</f>
        <v/>
      </c>
      <c r="AJ1979" s="18" t="str">
        <f aca="false">IF($D1979="","",IF(OR($R1979=TRUE(),$R1979="TRUE"),1,0))</f>
        <v/>
      </c>
      <c r="AK1979" s="18" t="str">
        <f aca="false">IF($AH1979=1,IFERROR(VALUE(MID($D1979,2,20)),1000000000)+ROW()/10000000,"")</f>
        <v/>
      </c>
    </row>
    <row r="1980" customFormat="false" ht="15" hidden="false" customHeight="false" outlineLevel="0" collapsed="false">
      <c r="F1980" s="15"/>
      <c r="N1980" s="16" t="str">
        <f aca="false">IF($D1980="","",M1980*Y1980/100)</f>
        <v/>
      </c>
      <c r="V1980" s="16" t="str">
        <f aca="false">IF($D1980="","",Y1980*AB1980/100)</f>
        <v/>
      </c>
      <c r="W1980" s="16" t="str">
        <f aca="false">IF($D1980="","",Y1980-V1980)</f>
        <v/>
      </c>
      <c r="X1980" s="16" t="str">
        <f aca="false">IF($D1980="","",W1980-N1980)</f>
        <v/>
      </c>
      <c r="AB1980" s="17" t="str">
        <f aca="false">IF($D1980="","",IF(OR($R1980=TRUE(),$R1980="TRUE"),Settings!$C$6,Settings!$C$7)*100)</f>
        <v/>
      </c>
      <c r="AH1980" s="18" t="str">
        <f aca="false">IF($D1980="","",IF(COUNTIF($D$2:$D1980,$D1980)=1,1,0))</f>
        <v/>
      </c>
      <c r="AI1980" s="18" t="str">
        <f aca="false">IF($AH1980=1,SUMPRODUCT(--($AK$2:$AK$4001&lt;$AK1980))+1,"")</f>
        <v/>
      </c>
      <c r="AJ1980" s="18" t="str">
        <f aca="false">IF($D1980="","",IF(OR($R1980=TRUE(),$R1980="TRUE"),1,0))</f>
        <v/>
      </c>
      <c r="AK1980" s="18" t="str">
        <f aca="false">IF($AH1980=1,IFERROR(VALUE(MID($D1980,2,20)),1000000000)+ROW()/10000000,"")</f>
        <v/>
      </c>
    </row>
    <row r="1981" customFormat="false" ht="15" hidden="false" customHeight="false" outlineLevel="0" collapsed="false">
      <c r="F1981" s="15"/>
      <c r="N1981" s="16" t="str">
        <f aca="false">IF($D1981="","",M1981*Y1981/100)</f>
        <v/>
      </c>
      <c r="V1981" s="16" t="str">
        <f aca="false">IF($D1981="","",Y1981*AB1981/100)</f>
        <v/>
      </c>
      <c r="W1981" s="16" t="str">
        <f aca="false">IF($D1981="","",Y1981-V1981)</f>
        <v/>
      </c>
      <c r="X1981" s="16" t="str">
        <f aca="false">IF($D1981="","",W1981-N1981)</f>
        <v/>
      </c>
      <c r="AB1981" s="17" t="str">
        <f aca="false">IF($D1981="","",IF(OR($R1981=TRUE(),$R1981="TRUE"),Settings!$C$6,Settings!$C$7)*100)</f>
        <v/>
      </c>
      <c r="AH1981" s="18" t="str">
        <f aca="false">IF($D1981="","",IF(COUNTIF($D$2:$D1981,$D1981)=1,1,0))</f>
        <v/>
      </c>
      <c r="AI1981" s="18" t="str">
        <f aca="false">IF($AH1981=1,SUMPRODUCT(--($AK$2:$AK$4001&lt;$AK1981))+1,"")</f>
        <v/>
      </c>
      <c r="AJ1981" s="18" t="str">
        <f aca="false">IF($D1981="","",IF(OR($R1981=TRUE(),$R1981="TRUE"),1,0))</f>
        <v/>
      </c>
      <c r="AK1981" s="18" t="str">
        <f aca="false">IF($AH1981=1,IFERROR(VALUE(MID($D1981,2,20)),1000000000)+ROW()/10000000,"")</f>
        <v/>
      </c>
    </row>
    <row r="1982" customFormat="false" ht="15" hidden="false" customHeight="false" outlineLevel="0" collapsed="false">
      <c r="F1982" s="15"/>
      <c r="N1982" s="16" t="str">
        <f aca="false">IF($D1982="","",M1982*Y1982/100)</f>
        <v/>
      </c>
      <c r="V1982" s="16" t="str">
        <f aca="false">IF($D1982="","",Y1982*AB1982/100)</f>
        <v/>
      </c>
      <c r="W1982" s="16" t="str">
        <f aca="false">IF($D1982="","",Y1982-V1982)</f>
        <v/>
      </c>
      <c r="X1982" s="16" t="str">
        <f aca="false">IF($D1982="","",W1982-N1982)</f>
        <v/>
      </c>
      <c r="AB1982" s="17" t="str">
        <f aca="false">IF($D1982="","",IF(OR($R1982=TRUE(),$R1982="TRUE"),Settings!$C$6,Settings!$C$7)*100)</f>
        <v/>
      </c>
      <c r="AH1982" s="18" t="str">
        <f aca="false">IF($D1982="","",IF(COUNTIF($D$2:$D1982,$D1982)=1,1,0))</f>
        <v/>
      </c>
      <c r="AI1982" s="18" t="str">
        <f aca="false">IF($AH1982=1,SUMPRODUCT(--($AK$2:$AK$4001&lt;$AK1982))+1,"")</f>
        <v/>
      </c>
      <c r="AJ1982" s="18" t="str">
        <f aca="false">IF($D1982="","",IF(OR($R1982=TRUE(),$R1982="TRUE"),1,0))</f>
        <v/>
      </c>
      <c r="AK1982" s="18" t="str">
        <f aca="false">IF($AH1982=1,IFERROR(VALUE(MID($D1982,2,20)),1000000000)+ROW()/10000000,"")</f>
        <v/>
      </c>
    </row>
    <row r="1983" customFormat="false" ht="15" hidden="false" customHeight="false" outlineLevel="0" collapsed="false">
      <c r="F1983" s="15"/>
      <c r="N1983" s="16" t="str">
        <f aca="false">IF($D1983="","",M1983*Y1983/100)</f>
        <v/>
      </c>
      <c r="V1983" s="16" t="str">
        <f aca="false">IF($D1983="","",Y1983*AB1983/100)</f>
        <v/>
      </c>
      <c r="W1983" s="16" t="str">
        <f aca="false">IF($D1983="","",Y1983-V1983)</f>
        <v/>
      </c>
      <c r="X1983" s="16" t="str">
        <f aca="false">IF($D1983="","",W1983-N1983)</f>
        <v/>
      </c>
      <c r="AB1983" s="17" t="str">
        <f aca="false">IF($D1983="","",IF(OR($R1983=TRUE(),$R1983="TRUE"),Settings!$C$6,Settings!$C$7)*100)</f>
        <v/>
      </c>
      <c r="AH1983" s="18" t="str">
        <f aca="false">IF($D1983="","",IF(COUNTIF($D$2:$D1983,$D1983)=1,1,0))</f>
        <v/>
      </c>
      <c r="AI1983" s="18" t="str">
        <f aca="false">IF($AH1983=1,SUMPRODUCT(--($AK$2:$AK$4001&lt;$AK1983))+1,"")</f>
        <v/>
      </c>
      <c r="AJ1983" s="18" t="str">
        <f aca="false">IF($D1983="","",IF(OR($R1983=TRUE(),$R1983="TRUE"),1,0))</f>
        <v/>
      </c>
      <c r="AK1983" s="18" t="str">
        <f aca="false">IF($AH1983=1,IFERROR(VALUE(MID($D1983,2,20)),1000000000)+ROW()/10000000,"")</f>
        <v/>
      </c>
    </row>
    <row r="1984" customFormat="false" ht="15" hidden="false" customHeight="false" outlineLevel="0" collapsed="false">
      <c r="F1984" s="15"/>
      <c r="N1984" s="16" t="str">
        <f aca="false">IF($D1984="","",M1984*Y1984/100)</f>
        <v/>
      </c>
      <c r="V1984" s="16" t="str">
        <f aca="false">IF($D1984="","",Y1984*AB1984/100)</f>
        <v/>
      </c>
      <c r="W1984" s="16" t="str">
        <f aca="false">IF($D1984="","",Y1984-V1984)</f>
        <v/>
      </c>
      <c r="X1984" s="16" t="str">
        <f aca="false">IF($D1984="","",W1984-N1984)</f>
        <v/>
      </c>
      <c r="AB1984" s="17" t="str">
        <f aca="false">IF($D1984="","",IF(OR($R1984=TRUE(),$R1984="TRUE"),Settings!$C$6,Settings!$C$7)*100)</f>
        <v/>
      </c>
      <c r="AH1984" s="18" t="str">
        <f aca="false">IF($D1984="","",IF(COUNTIF($D$2:$D1984,$D1984)=1,1,0))</f>
        <v/>
      </c>
      <c r="AI1984" s="18" t="str">
        <f aca="false">IF($AH1984=1,SUMPRODUCT(--($AK$2:$AK$4001&lt;$AK1984))+1,"")</f>
        <v/>
      </c>
      <c r="AJ1984" s="18" t="str">
        <f aca="false">IF($D1984="","",IF(OR($R1984=TRUE(),$R1984="TRUE"),1,0))</f>
        <v/>
      </c>
      <c r="AK1984" s="18" t="str">
        <f aca="false">IF($AH1984=1,IFERROR(VALUE(MID($D1984,2,20)),1000000000)+ROW()/10000000,"")</f>
        <v/>
      </c>
    </row>
    <row r="1985" customFormat="false" ht="15" hidden="false" customHeight="false" outlineLevel="0" collapsed="false">
      <c r="F1985" s="15"/>
      <c r="N1985" s="16" t="str">
        <f aca="false">IF($D1985="","",M1985*Y1985/100)</f>
        <v/>
      </c>
      <c r="V1985" s="16" t="str">
        <f aca="false">IF($D1985="","",Y1985*AB1985/100)</f>
        <v/>
      </c>
      <c r="W1985" s="16" t="str">
        <f aca="false">IF($D1985="","",Y1985-V1985)</f>
        <v/>
      </c>
      <c r="X1985" s="16" t="str">
        <f aca="false">IF($D1985="","",W1985-N1985)</f>
        <v/>
      </c>
      <c r="AB1985" s="17" t="str">
        <f aca="false">IF($D1985="","",IF(OR($R1985=TRUE(),$R1985="TRUE"),Settings!$C$6,Settings!$C$7)*100)</f>
        <v/>
      </c>
      <c r="AH1985" s="18" t="str">
        <f aca="false">IF($D1985="","",IF(COUNTIF($D$2:$D1985,$D1985)=1,1,0))</f>
        <v/>
      </c>
      <c r="AI1985" s="18" t="str">
        <f aca="false">IF($AH1985=1,SUMPRODUCT(--($AK$2:$AK$4001&lt;$AK1985))+1,"")</f>
        <v/>
      </c>
      <c r="AJ1985" s="18" t="str">
        <f aca="false">IF($D1985="","",IF(OR($R1985=TRUE(),$R1985="TRUE"),1,0))</f>
        <v/>
      </c>
      <c r="AK1985" s="18" t="str">
        <f aca="false">IF($AH1985=1,IFERROR(VALUE(MID($D1985,2,20)),1000000000)+ROW()/10000000,"")</f>
        <v/>
      </c>
    </row>
    <row r="1986" customFormat="false" ht="15" hidden="false" customHeight="false" outlineLevel="0" collapsed="false">
      <c r="F1986" s="15"/>
      <c r="N1986" s="16" t="str">
        <f aca="false">IF($D1986="","",M1986*Y1986/100)</f>
        <v/>
      </c>
      <c r="V1986" s="16" t="str">
        <f aca="false">IF($D1986="","",Y1986*AB1986/100)</f>
        <v/>
      </c>
      <c r="W1986" s="16" t="str">
        <f aca="false">IF($D1986="","",Y1986-V1986)</f>
        <v/>
      </c>
      <c r="X1986" s="16" t="str">
        <f aca="false">IF($D1986="","",W1986-N1986)</f>
        <v/>
      </c>
      <c r="AB1986" s="17" t="str">
        <f aca="false">IF($D1986="","",IF(OR($R1986=TRUE(),$R1986="TRUE"),Settings!$C$6,Settings!$C$7)*100)</f>
        <v/>
      </c>
      <c r="AH1986" s="18" t="str">
        <f aca="false">IF($D1986="","",IF(COUNTIF($D$2:$D1986,$D1986)=1,1,0))</f>
        <v/>
      </c>
      <c r="AI1986" s="18" t="str">
        <f aca="false">IF($AH1986=1,SUMPRODUCT(--($AK$2:$AK$4001&lt;$AK1986))+1,"")</f>
        <v/>
      </c>
      <c r="AJ1986" s="18" t="str">
        <f aca="false">IF($D1986="","",IF(OR($R1986=TRUE(),$R1986="TRUE"),1,0))</f>
        <v/>
      </c>
      <c r="AK1986" s="18" t="str">
        <f aca="false">IF($AH1986=1,IFERROR(VALUE(MID($D1986,2,20)),1000000000)+ROW()/10000000,"")</f>
        <v/>
      </c>
    </row>
    <row r="1987" customFormat="false" ht="15" hidden="false" customHeight="false" outlineLevel="0" collapsed="false">
      <c r="F1987" s="15"/>
      <c r="N1987" s="16" t="str">
        <f aca="false">IF($D1987="","",M1987*Y1987/100)</f>
        <v/>
      </c>
      <c r="V1987" s="16" t="str">
        <f aca="false">IF($D1987="","",Y1987*AB1987/100)</f>
        <v/>
      </c>
      <c r="W1987" s="16" t="str">
        <f aca="false">IF($D1987="","",Y1987-V1987)</f>
        <v/>
      </c>
      <c r="X1987" s="16" t="str">
        <f aca="false">IF($D1987="","",W1987-N1987)</f>
        <v/>
      </c>
      <c r="AB1987" s="17" t="str">
        <f aca="false">IF($D1987="","",IF(OR($R1987=TRUE(),$R1987="TRUE"),Settings!$C$6,Settings!$C$7)*100)</f>
        <v/>
      </c>
      <c r="AH1987" s="18" t="str">
        <f aca="false">IF($D1987="","",IF(COUNTIF($D$2:$D1987,$D1987)=1,1,0))</f>
        <v/>
      </c>
      <c r="AI1987" s="18" t="str">
        <f aca="false">IF($AH1987=1,SUMPRODUCT(--($AK$2:$AK$4001&lt;$AK1987))+1,"")</f>
        <v/>
      </c>
      <c r="AJ1987" s="18" t="str">
        <f aca="false">IF($D1987="","",IF(OR($R1987=TRUE(),$R1987="TRUE"),1,0))</f>
        <v/>
      </c>
      <c r="AK1987" s="18" t="str">
        <f aca="false">IF($AH1987=1,IFERROR(VALUE(MID($D1987,2,20)),1000000000)+ROW()/10000000,"")</f>
        <v/>
      </c>
    </row>
    <row r="1988" customFormat="false" ht="15" hidden="false" customHeight="false" outlineLevel="0" collapsed="false">
      <c r="F1988" s="15"/>
      <c r="N1988" s="16" t="str">
        <f aca="false">IF($D1988="","",M1988*Y1988/100)</f>
        <v/>
      </c>
      <c r="V1988" s="16" t="str">
        <f aca="false">IF($D1988="","",Y1988*AB1988/100)</f>
        <v/>
      </c>
      <c r="W1988" s="16" t="str">
        <f aca="false">IF($D1988="","",Y1988-V1988)</f>
        <v/>
      </c>
      <c r="X1988" s="16" t="str">
        <f aca="false">IF($D1988="","",W1988-N1988)</f>
        <v/>
      </c>
      <c r="AB1988" s="17" t="str">
        <f aca="false">IF($D1988="","",IF(OR($R1988=TRUE(),$R1988="TRUE"),Settings!$C$6,Settings!$C$7)*100)</f>
        <v/>
      </c>
      <c r="AH1988" s="18" t="str">
        <f aca="false">IF($D1988="","",IF(COUNTIF($D$2:$D1988,$D1988)=1,1,0))</f>
        <v/>
      </c>
      <c r="AI1988" s="18" t="str">
        <f aca="false">IF($AH1988=1,SUMPRODUCT(--($AK$2:$AK$4001&lt;$AK1988))+1,"")</f>
        <v/>
      </c>
      <c r="AJ1988" s="18" t="str">
        <f aca="false">IF($D1988="","",IF(OR($R1988=TRUE(),$R1988="TRUE"),1,0))</f>
        <v/>
      </c>
      <c r="AK1988" s="18" t="str">
        <f aca="false">IF($AH1988=1,IFERROR(VALUE(MID($D1988,2,20)),1000000000)+ROW()/10000000,"")</f>
        <v/>
      </c>
    </row>
    <row r="1989" customFormat="false" ht="15" hidden="false" customHeight="false" outlineLevel="0" collapsed="false">
      <c r="F1989" s="15"/>
      <c r="N1989" s="16" t="str">
        <f aca="false">IF($D1989="","",M1989*Y1989/100)</f>
        <v/>
      </c>
      <c r="V1989" s="16" t="str">
        <f aca="false">IF($D1989="","",Y1989*AB1989/100)</f>
        <v/>
      </c>
      <c r="W1989" s="16" t="str">
        <f aca="false">IF($D1989="","",Y1989-V1989)</f>
        <v/>
      </c>
      <c r="X1989" s="16" t="str">
        <f aca="false">IF($D1989="","",W1989-N1989)</f>
        <v/>
      </c>
      <c r="AB1989" s="17" t="str">
        <f aca="false">IF($D1989="","",IF(OR($R1989=TRUE(),$R1989="TRUE"),Settings!$C$6,Settings!$C$7)*100)</f>
        <v/>
      </c>
      <c r="AH1989" s="18" t="str">
        <f aca="false">IF($D1989="","",IF(COUNTIF($D$2:$D1989,$D1989)=1,1,0))</f>
        <v/>
      </c>
      <c r="AI1989" s="18" t="str">
        <f aca="false">IF($AH1989=1,SUMPRODUCT(--($AK$2:$AK$4001&lt;$AK1989))+1,"")</f>
        <v/>
      </c>
      <c r="AJ1989" s="18" t="str">
        <f aca="false">IF($D1989="","",IF(OR($R1989=TRUE(),$R1989="TRUE"),1,0))</f>
        <v/>
      </c>
      <c r="AK1989" s="18" t="str">
        <f aca="false">IF($AH1989=1,IFERROR(VALUE(MID($D1989,2,20)),1000000000)+ROW()/10000000,"")</f>
        <v/>
      </c>
    </row>
    <row r="1990" customFormat="false" ht="15" hidden="false" customHeight="false" outlineLevel="0" collapsed="false">
      <c r="F1990" s="15"/>
      <c r="N1990" s="16" t="str">
        <f aca="false">IF($D1990="","",M1990*Y1990/100)</f>
        <v/>
      </c>
      <c r="V1990" s="16" t="str">
        <f aca="false">IF($D1990="","",Y1990*AB1990/100)</f>
        <v/>
      </c>
      <c r="W1990" s="16" t="str">
        <f aca="false">IF($D1990="","",Y1990-V1990)</f>
        <v/>
      </c>
      <c r="X1990" s="16" t="str">
        <f aca="false">IF($D1990="","",W1990-N1990)</f>
        <v/>
      </c>
      <c r="AB1990" s="17" t="str">
        <f aca="false">IF($D1990="","",IF(OR($R1990=TRUE(),$R1990="TRUE"),Settings!$C$6,Settings!$C$7)*100)</f>
        <v/>
      </c>
      <c r="AH1990" s="18" t="str">
        <f aca="false">IF($D1990="","",IF(COUNTIF($D$2:$D1990,$D1990)=1,1,0))</f>
        <v/>
      </c>
      <c r="AI1990" s="18" t="str">
        <f aca="false">IF($AH1990=1,SUMPRODUCT(--($AK$2:$AK$4001&lt;$AK1990))+1,"")</f>
        <v/>
      </c>
      <c r="AJ1990" s="18" t="str">
        <f aca="false">IF($D1990="","",IF(OR($R1990=TRUE(),$R1990="TRUE"),1,0))</f>
        <v/>
      </c>
      <c r="AK1990" s="18" t="str">
        <f aca="false">IF($AH1990=1,IFERROR(VALUE(MID($D1990,2,20)),1000000000)+ROW()/10000000,"")</f>
        <v/>
      </c>
    </row>
    <row r="1991" customFormat="false" ht="15" hidden="false" customHeight="false" outlineLevel="0" collapsed="false">
      <c r="F1991" s="15"/>
      <c r="N1991" s="16" t="str">
        <f aca="false">IF($D1991="","",M1991*Y1991/100)</f>
        <v/>
      </c>
      <c r="V1991" s="16" t="str">
        <f aca="false">IF($D1991="","",Y1991*AB1991/100)</f>
        <v/>
      </c>
      <c r="W1991" s="16" t="str">
        <f aca="false">IF($D1991="","",Y1991-V1991)</f>
        <v/>
      </c>
      <c r="X1991" s="16" t="str">
        <f aca="false">IF($D1991="","",W1991-N1991)</f>
        <v/>
      </c>
      <c r="AB1991" s="17" t="str">
        <f aca="false">IF($D1991="","",IF(OR($R1991=TRUE(),$R1991="TRUE"),Settings!$C$6,Settings!$C$7)*100)</f>
        <v/>
      </c>
      <c r="AH1991" s="18" t="str">
        <f aca="false">IF($D1991="","",IF(COUNTIF($D$2:$D1991,$D1991)=1,1,0))</f>
        <v/>
      </c>
      <c r="AI1991" s="18" t="str">
        <f aca="false">IF($AH1991=1,SUMPRODUCT(--($AK$2:$AK$4001&lt;$AK1991))+1,"")</f>
        <v/>
      </c>
      <c r="AJ1991" s="18" t="str">
        <f aca="false">IF($D1991="","",IF(OR($R1991=TRUE(),$R1991="TRUE"),1,0))</f>
        <v/>
      </c>
      <c r="AK1991" s="18" t="str">
        <f aca="false">IF($AH1991=1,IFERROR(VALUE(MID($D1991,2,20)),1000000000)+ROW()/10000000,"")</f>
        <v/>
      </c>
    </row>
    <row r="1992" customFormat="false" ht="15" hidden="false" customHeight="false" outlineLevel="0" collapsed="false">
      <c r="F1992" s="15"/>
      <c r="N1992" s="16" t="str">
        <f aca="false">IF($D1992="","",M1992*Y1992/100)</f>
        <v/>
      </c>
      <c r="V1992" s="16" t="str">
        <f aca="false">IF($D1992="","",Y1992*AB1992/100)</f>
        <v/>
      </c>
      <c r="W1992" s="16" t="str">
        <f aca="false">IF($D1992="","",Y1992-V1992)</f>
        <v/>
      </c>
      <c r="X1992" s="16" t="str">
        <f aca="false">IF($D1992="","",W1992-N1992)</f>
        <v/>
      </c>
      <c r="AB1992" s="17" t="str">
        <f aca="false">IF($D1992="","",IF(OR($R1992=TRUE(),$R1992="TRUE"),Settings!$C$6,Settings!$C$7)*100)</f>
        <v/>
      </c>
      <c r="AH1992" s="18" t="str">
        <f aca="false">IF($D1992="","",IF(COUNTIF($D$2:$D1992,$D1992)=1,1,0))</f>
        <v/>
      </c>
      <c r="AI1992" s="18" t="str">
        <f aca="false">IF($AH1992=1,SUMPRODUCT(--($AK$2:$AK$4001&lt;$AK1992))+1,"")</f>
        <v/>
      </c>
      <c r="AJ1992" s="18" t="str">
        <f aca="false">IF($D1992="","",IF(OR($R1992=TRUE(),$R1992="TRUE"),1,0))</f>
        <v/>
      </c>
      <c r="AK1992" s="18" t="str">
        <f aca="false">IF($AH1992=1,IFERROR(VALUE(MID($D1992,2,20)),1000000000)+ROW()/10000000,"")</f>
        <v/>
      </c>
    </row>
    <row r="1993" customFormat="false" ht="15" hidden="false" customHeight="false" outlineLevel="0" collapsed="false">
      <c r="F1993" s="15"/>
      <c r="N1993" s="16" t="str">
        <f aca="false">IF($D1993="","",M1993*Y1993/100)</f>
        <v/>
      </c>
      <c r="V1993" s="16" t="str">
        <f aca="false">IF($D1993="","",Y1993*AB1993/100)</f>
        <v/>
      </c>
      <c r="W1993" s="16" t="str">
        <f aca="false">IF($D1993="","",Y1993-V1993)</f>
        <v/>
      </c>
      <c r="X1993" s="16" t="str">
        <f aca="false">IF($D1993="","",W1993-N1993)</f>
        <v/>
      </c>
      <c r="AB1993" s="17" t="str">
        <f aca="false">IF($D1993="","",IF(OR($R1993=TRUE(),$R1993="TRUE"),Settings!$C$6,Settings!$C$7)*100)</f>
        <v/>
      </c>
      <c r="AH1993" s="18" t="str">
        <f aca="false">IF($D1993="","",IF(COUNTIF($D$2:$D1993,$D1993)=1,1,0))</f>
        <v/>
      </c>
      <c r="AI1993" s="18" t="str">
        <f aca="false">IF($AH1993=1,SUMPRODUCT(--($AK$2:$AK$4001&lt;$AK1993))+1,"")</f>
        <v/>
      </c>
      <c r="AJ1993" s="18" t="str">
        <f aca="false">IF($D1993="","",IF(OR($R1993=TRUE(),$R1993="TRUE"),1,0))</f>
        <v/>
      </c>
      <c r="AK1993" s="18" t="str">
        <f aca="false">IF($AH1993=1,IFERROR(VALUE(MID($D1993,2,20)),1000000000)+ROW()/10000000,"")</f>
        <v/>
      </c>
    </row>
    <row r="1994" customFormat="false" ht="15" hidden="false" customHeight="false" outlineLevel="0" collapsed="false">
      <c r="F1994" s="15"/>
      <c r="N1994" s="16" t="str">
        <f aca="false">IF($D1994="","",M1994*Y1994/100)</f>
        <v/>
      </c>
      <c r="V1994" s="16" t="str">
        <f aca="false">IF($D1994="","",Y1994*AB1994/100)</f>
        <v/>
      </c>
      <c r="W1994" s="16" t="str">
        <f aca="false">IF($D1994="","",Y1994-V1994)</f>
        <v/>
      </c>
      <c r="X1994" s="16" t="str">
        <f aca="false">IF($D1994="","",W1994-N1994)</f>
        <v/>
      </c>
      <c r="AB1994" s="17" t="str">
        <f aca="false">IF($D1994="","",IF(OR($R1994=TRUE(),$R1994="TRUE"),Settings!$C$6,Settings!$C$7)*100)</f>
        <v/>
      </c>
      <c r="AH1994" s="18" t="str">
        <f aca="false">IF($D1994="","",IF(COUNTIF($D$2:$D1994,$D1994)=1,1,0))</f>
        <v/>
      </c>
      <c r="AI1994" s="18" t="str">
        <f aca="false">IF($AH1994=1,SUMPRODUCT(--($AK$2:$AK$4001&lt;$AK1994))+1,"")</f>
        <v/>
      </c>
      <c r="AJ1994" s="18" t="str">
        <f aca="false">IF($D1994="","",IF(OR($R1994=TRUE(),$R1994="TRUE"),1,0))</f>
        <v/>
      </c>
      <c r="AK1994" s="18" t="str">
        <f aca="false">IF($AH1994=1,IFERROR(VALUE(MID($D1994,2,20)),1000000000)+ROW()/10000000,"")</f>
        <v/>
      </c>
    </row>
    <row r="1995" customFormat="false" ht="15" hidden="false" customHeight="false" outlineLevel="0" collapsed="false">
      <c r="F1995" s="15"/>
      <c r="N1995" s="16" t="str">
        <f aca="false">IF($D1995="","",M1995*Y1995/100)</f>
        <v/>
      </c>
      <c r="V1995" s="16" t="str">
        <f aca="false">IF($D1995="","",Y1995*AB1995/100)</f>
        <v/>
      </c>
      <c r="W1995" s="16" t="str">
        <f aca="false">IF($D1995="","",Y1995-V1995)</f>
        <v/>
      </c>
      <c r="X1995" s="16" t="str">
        <f aca="false">IF($D1995="","",W1995-N1995)</f>
        <v/>
      </c>
      <c r="AB1995" s="17" t="str">
        <f aca="false">IF($D1995="","",IF(OR($R1995=TRUE(),$R1995="TRUE"),Settings!$C$6,Settings!$C$7)*100)</f>
        <v/>
      </c>
      <c r="AH1995" s="18" t="str">
        <f aca="false">IF($D1995="","",IF(COUNTIF($D$2:$D1995,$D1995)=1,1,0))</f>
        <v/>
      </c>
      <c r="AI1995" s="18" t="str">
        <f aca="false">IF($AH1995=1,SUMPRODUCT(--($AK$2:$AK$4001&lt;$AK1995))+1,"")</f>
        <v/>
      </c>
      <c r="AJ1995" s="18" t="str">
        <f aca="false">IF($D1995="","",IF(OR($R1995=TRUE(),$R1995="TRUE"),1,0))</f>
        <v/>
      </c>
      <c r="AK1995" s="18" t="str">
        <f aca="false">IF($AH1995=1,IFERROR(VALUE(MID($D1995,2,20)),1000000000)+ROW()/10000000,"")</f>
        <v/>
      </c>
    </row>
    <row r="1996" customFormat="false" ht="15" hidden="false" customHeight="false" outlineLevel="0" collapsed="false">
      <c r="F1996" s="15"/>
      <c r="N1996" s="16" t="str">
        <f aca="false">IF($D1996="","",M1996*Y1996/100)</f>
        <v/>
      </c>
      <c r="V1996" s="16" t="str">
        <f aca="false">IF($D1996="","",Y1996*AB1996/100)</f>
        <v/>
      </c>
      <c r="W1996" s="16" t="str">
        <f aca="false">IF($D1996="","",Y1996-V1996)</f>
        <v/>
      </c>
      <c r="X1996" s="16" t="str">
        <f aca="false">IF($D1996="","",W1996-N1996)</f>
        <v/>
      </c>
      <c r="AB1996" s="17" t="str">
        <f aca="false">IF($D1996="","",IF(OR($R1996=TRUE(),$R1996="TRUE"),Settings!$C$6,Settings!$C$7)*100)</f>
        <v/>
      </c>
      <c r="AH1996" s="18" t="str">
        <f aca="false">IF($D1996="","",IF(COUNTIF($D$2:$D1996,$D1996)=1,1,0))</f>
        <v/>
      </c>
      <c r="AI1996" s="18" t="str">
        <f aca="false">IF($AH1996=1,SUMPRODUCT(--($AK$2:$AK$4001&lt;$AK1996))+1,"")</f>
        <v/>
      </c>
      <c r="AJ1996" s="18" t="str">
        <f aca="false">IF($D1996="","",IF(OR($R1996=TRUE(),$R1996="TRUE"),1,0))</f>
        <v/>
      </c>
      <c r="AK1996" s="18" t="str">
        <f aca="false">IF($AH1996=1,IFERROR(VALUE(MID($D1996,2,20)),1000000000)+ROW()/10000000,"")</f>
        <v/>
      </c>
    </row>
    <row r="1997" customFormat="false" ht="15" hidden="false" customHeight="false" outlineLevel="0" collapsed="false">
      <c r="F1997" s="15"/>
      <c r="N1997" s="16" t="str">
        <f aca="false">IF($D1997="","",M1997*Y1997/100)</f>
        <v/>
      </c>
      <c r="V1997" s="16" t="str">
        <f aca="false">IF($D1997="","",Y1997*AB1997/100)</f>
        <v/>
      </c>
      <c r="W1997" s="16" t="str">
        <f aca="false">IF($D1997="","",Y1997-V1997)</f>
        <v/>
      </c>
      <c r="X1997" s="16" t="str">
        <f aca="false">IF($D1997="","",W1997-N1997)</f>
        <v/>
      </c>
      <c r="AB1997" s="17" t="str">
        <f aca="false">IF($D1997="","",IF(OR($R1997=TRUE(),$R1997="TRUE"),Settings!$C$6,Settings!$C$7)*100)</f>
        <v/>
      </c>
      <c r="AH1997" s="18" t="str">
        <f aca="false">IF($D1997="","",IF(COUNTIF($D$2:$D1997,$D1997)=1,1,0))</f>
        <v/>
      </c>
      <c r="AI1997" s="18" t="str">
        <f aca="false">IF($AH1997=1,SUMPRODUCT(--($AK$2:$AK$4001&lt;$AK1997))+1,"")</f>
        <v/>
      </c>
      <c r="AJ1997" s="18" t="str">
        <f aca="false">IF($D1997="","",IF(OR($R1997=TRUE(),$R1997="TRUE"),1,0))</f>
        <v/>
      </c>
      <c r="AK1997" s="18" t="str">
        <f aca="false">IF($AH1997=1,IFERROR(VALUE(MID($D1997,2,20)),1000000000)+ROW()/10000000,"")</f>
        <v/>
      </c>
    </row>
    <row r="1998" customFormat="false" ht="15" hidden="false" customHeight="false" outlineLevel="0" collapsed="false">
      <c r="F1998" s="15"/>
      <c r="N1998" s="16" t="str">
        <f aca="false">IF($D1998="","",M1998*Y1998/100)</f>
        <v/>
      </c>
      <c r="V1998" s="16" t="str">
        <f aca="false">IF($D1998="","",Y1998*AB1998/100)</f>
        <v/>
      </c>
      <c r="W1998" s="16" t="str">
        <f aca="false">IF($D1998="","",Y1998-V1998)</f>
        <v/>
      </c>
      <c r="X1998" s="16" t="str">
        <f aca="false">IF($D1998="","",W1998-N1998)</f>
        <v/>
      </c>
      <c r="AB1998" s="17" t="str">
        <f aca="false">IF($D1998="","",IF(OR($R1998=TRUE(),$R1998="TRUE"),Settings!$C$6,Settings!$C$7)*100)</f>
        <v/>
      </c>
      <c r="AH1998" s="18" t="str">
        <f aca="false">IF($D1998="","",IF(COUNTIF($D$2:$D1998,$D1998)=1,1,0))</f>
        <v/>
      </c>
      <c r="AI1998" s="18" t="str">
        <f aca="false">IF($AH1998=1,SUMPRODUCT(--($AK$2:$AK$4001&lt;$AK1998))+1,"")</f>
        <v/>
      </c>
      <c r="AJ1998" s="18" t="str">
        <f aca="false">IF($D1998="","",IF(OR($R1998=TRUE(),$R1998="TRUE"),1,0))</f>
        <v/>
      </c>
      <c r="AK1998" s="18" t="str">
        <f aca="false">IF($AH1998=1,IFERROR(VALUE(MID($D1998,2,20)),1000000000)+ROW()/10000000,"")</f>
        <v/>
      </c>
    </row>
    <row r="1999" customFormat="false" ht="15" hidden="false" customHeight="false" outlineLevel="0" collapsed="false">
      <c r="F1999" s="15"/>
      <c r="N1999" s="16" t="str">
        <f aca="false">IF($D1999="","",M1999*Y1999/100)</f>
        <v/>
      </c>
      <c r="V1999" s="16" t="str">
        <f aca="false">IF($D1999="","",Y1999*AB1999/100)</f>
        <v/>
      </c>
      <c r="W1999" s="16" t="str">
        <f aca="false">IF($D1999="","",Y1999-V1999)</f>
        <v/>
      </c>
      <c r="X1999" s="16" t="str">
        <f aca="false">IF($D1999="","",W1999-N1999)</f>
        <v/>
      </c>
      <c r="AB1999" s="17" t="str">
        <f aca="false">IF($D1999="","",IF(OR($R1999=TRUE(),$R1999="TRUE"),Settings!$C$6,Settings!$C$7)*100)</f>
        <v/>
      </c>
      <c r="AH1999" s="18" t="str">
        <f aca="false">IF($D1999="","",IF(COUNTIF($D$2:$D1999,$D1999)=1,1,0))</f>
        <v/>
      </c>
      <c r="AI1999" s="18" t="str">
        <f aca="false">IF($AH1999=1,SUMPRODUCT(--($AK$2:$AK$4001&lt;$AK1999))+1,"")</f>
        <v/>
      </c>
      <c r="AJ1999" s="18" t="str">
        <f aca="false">IF($D1999="","",IF(OR($R1999=TRUE(),$R1999="TRUE"),1,0))</f>
        <v/>
      </c>
      <c r="AK1999" s="18" t="str">
        <f aca="false">IF($AH1999=1,IFERROR(VALUE(MID($D1999,2,20)),1000000000)+ROW()/10000000,"")</f>
        <v/>
      </c>
    </row>
    <row r="2000" customFormat="false" ht="15" hidden="false" customHeight="false" outlineLevel="0" collapsed="false">
      <c r="F2000" s="15"/>
      <c r="N2000" s="16" t="str">
        <f aca="false">IF($D2000="","",M2000*Y2000/100)</f>
        <v/>
      </c>
      <c r="V2000" s="16" t="str">
        <f aca="false">IF($D2000="","",Y2000*AB2000/100)</f>
        <v/>
      </c>
      <c r="W2000" s="16" t="str">
        <f aca="false">IF($D2000="","",Y2000-V2000)</f>
        <v/>
      </c>
      <c r="X2000" s="16" t="str">
        <f aca="false">IF($D2000="","",W2000-N2000)</f>
        <v/>
      </c>
      <c r="AB2000" s="17" t="str">
        <f aca="false">IF($D2000="","",IF(OR($R2000=TRUE(),$R2000="TRUE"),Settings!$C$6,Settings!$C$7)*100)</f>
        <v/>
      </c>
      <c r="AH2000" s="18" t="str">
        <f aca="false">IF($D2000="","",IF(COUNTIF($D$2:$D2000,$D2000)=1,1,0))</f>
        <v/>
      </c>
      <c r="AI2000" s="18" t="str">
        <f aca="false">IF($AH2000=1,SUMPRODUCT(--($AK$2:$AK$4001&lt;$AK2000))+1,"")</f>
        <v/>
      </c>
      <c r="AJ2000" s="18" t="str">
        <f aca="false">IF($D2000="","",IF(OR($R2000=TRUE(),$R2000="TRUE"),1,0))</f>
        <v/>
      </c>
      <c r="AK2000" s="18" t="str">
        <f aca="false">IF($AH2000=1,IFERROR(VALUE(MID($D2000,2,20)),1000000000)+ROW()/10000000,"")</f>
        <v/>
      </c>
    </row>
    <row r="2001" customFormat="false" ht="15" hidden="false" customHeight="false" outlineLevel="0" collapsed="false">
      <c r="F2001" s="15"/>
      <c r="N2001" s="16" t="str">
        <f aca="false">IF($D2001="","",M2001*Y2001/100)</f>
        <v/>
      </c>
      <c r="V2001" s="16" t="str">
        <f aca="false">IF($D2001="","",Y2001*AB2001/100)</f>
        <v/>
      </c>
      <c r="W2001" s="16" t="str">
        <f aca="false">IF($D2001="","",Y2001-V2001)</f>
        <v/>
      </c>
      <c r="X2001" s="16" t="str">
        <f aca="false">IF($D2001="","",W2001-N2001)</f>
        <v/>
      </c>
      <c r="AB2001" s="17" t="str">
        <f aca="false">IF($D2001="","",IF(OR($R2001=TRUE(),$R2001="TRUE"),Settings!$C$6,Settings!$C$7)*100)</f>
        <v/>
      </c>
      <c r="AH2001" s="18" t="str">
        <f aca="false">IF($D2001="","",IF(COUNTIF($D$2:$D2001,$D2001)=1,1,0))</f>
        <v/>
      </c>
      <c r="AI2001" s="18" t="str">
        <f aca="false">IF($AH2001=1,SUMPRODUCT(--($AK$2:$AK$4001&lt;$AK2001))+1,"")</f>
        <v/>
      </c>
      <c r="AJ2001" s="18" t="str">
        <f aca="false">IF($D2001="","",IF(OR($R2001=TRUE(),$R2001="TRUE"),1,0))</f>
        <v/>
      </c>
      <c r="AK2001" s="18" t="str">
        <f aca="false">IF($AH2001=1,IFERROR(VALUE(MID($D2001,2,20)),1000000000)+ROW()/10000000,"")</f>
        <v/>
      </c>
    </row>
    <row r="2002" customFormat="false" ht="15" hidden="false" customHeight="false" outlineLevel="0" collapsed="false">
      <c r="F2002" s="15"/>
      <c r="N2002" s="16" t="str">
        <f aca="false">IF($D2002="","",M2002*Y2002/100)</f>
        <v/>
      </c>
      <c r="V2002" s="16" t="str">
        <f aca="false">IF($D2002="","",Y2002*AB2002/100)</f>
        <v/>
      </c>
      <c r="W2002" s="16" t="str">
        <f aca="false">IF($D2002="","",Y2002-V2002)</f>
        <v/>
      </c>
      <c r="X2002" s="16" t="str">
        <f aca="false">IF($D2002="","",W2002-N2002)</f>
        <v/>
      </c>
      <c r="AB2002" s="17" t="str">
        <f aca="false">IF($D2002="","",IF(OR($R2002=TRUE(),$R2002="TRUE"),Settings!$C$6,Settings!$C$7)*100)</f>
        <v/>
      </c>
      <c r="AH2002" s="18" t="str">
        <f aca="false">IF($D2002="","",IF(COUNTIF($D$2:$D2002,$D2002)=1,1,0))</f>
        <v/>
      </c>
      <c r="AI2002" s="18" t="str">
        <f aca="false">IF($AH2002=1,SUMPRODUCT(--($AK$2:$AK$4001&lt;$AK2002))+1,"")</f>
        <v/>
      </c>
      <c r="AJ2002" s="18" t="str">
        <f aca="false">IF($D2002="","",IF(OR($R2002=TRUE(),$R2002="TRUE"),1,0))</f>
        <v/>
      </c>
      <c r="AK2002" s="18" t="str">
        <f aca="false">IF($AH2002=1,IFERROR(VALUE(MID($D2002,2,20)),1000000000)+ROW()/10000000,"")</f>
        <v/>
      </c>
    </row>
    <row r="2003" customFormat="false" ht="15" hidden="false" customHeight="false" outlineLevel="0" collapsed="false">
      <c r="F2003" s="15"/>
      <c r="N2003" s="16" t="str">
        <f aca="false">IF($D2003="","",M2003*Y2003/100)</f>
        <v/>
      </c>
      <c r="V2003" s="16" t="str">
        <f aca="false">IF($D2003="","",Y2003*AB2003/100)</f>
        <v/>
      </c>
      <c r="W2003" s="16" t="str">
        <f aca="false">IF($D2003="","",Y2003-V2003)</f>
        <v/>
      </c>
      <c r="X2003" s="16" t="str">
        <f aca="false">IF($D2003="","",W2003-N2003)</f>
        <v/>
      </c>
      <c r="AB2003" s="17" t="str">
        <f aca="false">IF($D2003="","",IF(OR($R2003=TRUE(),$R2003="TRUE"),Settings!$C$6,Settings!$C$7)*100)</f>
        <v/>
      </c>
      <c r="AH2003" s="18" t="str">
        <f aca="false">IF($D2003="","",IF(COUNTIF($D$2:$D2003,$D2003)=1,1,0))</f>
        <v/>
      </c>
      <c r="AI2003" s="18" t="str">
        <f aca="false">IF($AH2003=1,SUMPRODUCT(--($AK$2:$AK$4001&lt;$AK2003))+1,"")</f>
        <v/>
      </c>
      <c r="AJ2003" s="18" t="str">
        <f aca="false">IF($D2003="","",IF(OR($R2003=TRUE(),$R2003="TRUE"),1,0))</f>
        <v/>
      </c>
      <c r="AK2003" s="18" t="str">
        <f aca="false">IF($AH2003=1,IFERROR(VALUE(MID($D2003,2,20)),1000000000)+ROW()/10000000,"")</f>
        <v/>
      </c>
    </row>
    <row r="2004" customFormat="false" ht="15" hidden="false" customHeight="false" outlineLevel="0" collapsed="false">
      <c r="F2004" s="15"/>
      <c r="N2004" s="16" t="str">
        <f aca="false">IF($D2004="","",M2004*Y2004/100)</f>
        <v/>
      </c>
      <c r="V2004" s="16" t="str">
        <f aca="false">IF($D2004="","",Y2004*AB2004/100)</f>
        <v/>
      </c>
      <c r="W2004" s="16" t="str">
        <f aca="false">IF($D2004="","",Y2004-V2004)</f>
        <v/>
      </c>
      <c r="X2004" s="16" t="str">
        <f aca="false">IF($D2004="","",W2004-N2004)</f>
        <v/>
      </c>
      <c r="AB2004" s="17" t="str">
        <f aca="false">IF($D2004="","",IF(OR($R2004=TRUE(),$R2004="TRUE"),Settings!$C$6,Settings!$C$7)*100)</f>
        <v/>
      </c>
      <c r="AH2004" s="18" t="str">
        <f aca="false">IF($D2004="","",IF(COUNTIF($D$2:$D2004,$D2004)=1,1,0))</f>
        <v/>
      </c>
      <c r="AI2004" s="18" t="str">
        <f aca="false">IF($AH2004=1,SUMPRODUCT(--($AK$2:$AK$4001&lt;$AK2004))+1,"")</f>
        <v/>
      </c>
      <c r="AJ2004" s="18" t="str">
        <f aca="false">IF($D2004="","",IF(OR($R2004=TRUE(),$R2004="TRUE"),1,0))</f>
        <v/>
      </c>
      <c r="AK2004" s="18" t="str">
        <f aca="false">IF($AH2004=1,IFERROR(VALUE(MID($D2004,2,20)),1000000000)+ROW()/10000000,"")</f>
        <v/>
      </c>
    </row>
    <row r="2005" customFormat="false" ht="15" hidden="false" customHeight="false" outlineLevel="0" collapsed="false">
      <c r="F2005" s="15"/>
      <c r="N2005" s="16" t="str">
        <f aca="false">IF($D2005="","",M2005*Y2005/100)</f>
        <v/>
      </c>
      <c r="V2005" s="16" t="str">
        <f aca="false">IF($D2005="","",Y2005*AB2005/100)</f>
        <v/>
      </c>
      <c r="W2005" s="16" t="str">
        <f aca="false">IF($D2005="","",Y2005-V2005)</f>
        <v/>
      </c>
      <c r="X2005" s="16" t="str">
        <f aca="false">IF($D2005="","",W2005-N2005)</f>
        <v/>
      </c>
      <c r="AB2005" s="17" t="str">
        <f aca="false">IF($D2005="","",IF(OR($R2005=TRUE(),$R2005="TRUE"),Settings!$C$6,Settings!$C$7)*100)</f>
        <v/>
      </c>
      <c r="AH2005" s="18" t="str">
        <f aca="false">IF($D2005="","",IF(COUNTIF($D$2:$D2005,$D2005)=1,1,0))</f>
        <v/>
      </c>
      <c r="AI2005" s="18" t="str">
        <f aca="false">IF($AH2005=1,SUMPRODUCT(--($AK$2:$AK$4001&lt;$AK2005))+1,"")</f>
        <v/>
      </c>
      <c r="AJ2005" s="18" t="str">
        <f aca="false">IF($D2005="","",IF(OR($R2005=TRUE(),$R2005="TRUE"),1,0))</f>
        <v/>
      </c>
      <c r="AK2005" s="18" t="str">
        <f aca="false">IF($AH2005=1,IFERROR(VALUE(MID($D2005,2,20)),1000000000)+ROW()/10000000,"")</f>
        <v/>
      </c>
    </row>
    <row r="2006" customFormat="false" ht="15" hidden="false" customHeight="false" outlineLevel="0" collapsed="false">
      <c r="F2006" s="15"/>
      <c r="N2006" s="16" t="str">
        <f aca="false">IF($D2006="","",M2006*Y2006/100)</f>
        <v/>
      </c>
      <c r="V2006" s="16" t="str">
        <f aca="false">IF($D2006="","",Y2006*AB2006/100)</f>
        <v/>
      </c>
      <c r="W2006" s="16" t="str">
        <f aca="false">IF($D2006="","",Y2006-V2006)</f>
        <v/>
      </c>
      <c r="X2006" s="16" t="str">
        <f aca="false">IF($D2006="","",W2006-N2006)</f>
        <v/>
      </c>
      <c r="AB2006" s="17" t="str">
        <f aca="false">IF($D2006="","",IF(OR($R2006=TRUE(),$R2006="TRUE"),Settings!$C$6,Settings!$C$7)*100)</f>
        <v/>
      </c>
      <c r="AH2006" s="18" t="str">
        <f aca="false">IF($D2006="","",IF(COUNTIF($D$2:$D2006,$D2006)=1,1,0))</f>
        <v/>
      </c>
      <c r="AI2006" s="18" t="str">
        <f aca="false">IF($AH2006=1,SUMPRODUCT(--($AK$2:$AK$4001&lt;$AK2006))+1,"")</f>
        <v/>
      </c>
      <c r="AJ2006" s="18" t="str">
        <f aca="false">IF($D2006="","",IF(OR($R2006=TRUE(),$R2006="TRUE"),1,0))</f>
        <v/>
      </c>
      <c r="AK2006" s="18" t="str">
        <f aca="false">IF($AH2006=1,IFERROR(VALUE(MID($D2006,2,20)),1000000000)+ROW()/10000000,"")</f>
        <v/>
      </c>
    </row>
    <row r="2007" customFormat="false" ht="15" hidden="false" customHeight="false" outlineLevel="0" collapsed="false">
      <c r="F2007" s="15"/>
      <c r="N2007" s="16" t="str">
        <f aca="false">IF($D2007="","",M2007*Y2007/100)</f>
        <v/>
      </c>
      <c r="V2007" s="16" t="str">
        <f aca="false">IF($D2007="","",Y2007*AB2007/100)</f>
        <v/>
      </c>
      <c r="W2007" s="16" t="str">
        <f aca="false">IF($D2007="","",Y2007-V2007)</f>
        <v/>
      </c>
      <c r="X2007" s="16" t="str">
        <f aca="false">IF($D2007="","",W2007-N2007)</f>
        <v/>
      </c>
      <c r="AB2007" s="17" t="str">
        <f aca="false">IF($D2007="","",IF(OR($R2007=TRUE(),$R2007="TRUE"),Settings!$C$6,Settings!$C$7)*100)</f>
        <v/>
      </c>
      <c r="AH2007" s="18" t="str">
        <f aca="false">IF($D2007="","",IF(COUNTIF($D$2:$D2007,$D2007)=1,1,0))</f>
        <v/>
      </c>
      <c r="AI2007" s="18" t="str">
        <f aca="false">IF($AH2007=1,SUMPRODUCT(--($AK$2:$AK$4001&lt;$AK2007))+1,"")</f>
        <v/>
      </c>
      <c r="AJ2007" s="18" t="str">
        <f aca="false">IF($D2007="","",IF(OR($R2007=TRUE(),$R2007="TRUE"),1,0))</f>
        <v/>
      </c>
      <c r="AK2007" s="18" t="str">
        <f aca="false">IF($AH2007=1,IFERROR(VALUE(MID($D2007,2,20)),1000000000)+ROW()/10000000,"")</f>
        <v/>
      </c>
    </row>
    <row r="2008" customFormat="false" ht="15" hidden="false" customHeight="false" outlineLevel="0" collapsed="false">
      <c r="F2008" s="15"/>
      <c r="N2008" s="16" t="str">
        <f aca="false">IF($D2008="","",M2008*Y2008/100)</f>
        <v/>
      </c>
      <c r="V2008" s="16" t="str">
        <f aca="false">IF($D2008="","",Y2008*AB2008/100)</f>
        <v/>
      </c>
      <c r="W2008" s="16" t="str">
        <f aca="false">IF($D2008="","",Y2008-V2008)</f>
        <v/>
      </c>
      <c r="X2008" s="16" t="str">
        <f aca="false">IF($D2008="","",W2008-N2008)</f>
        <v/>
      </c>
      <c r="AB2008" s="17" t="str">
        <f aca="false">IF($D2008="","",IF(OR($R2008=TRUE(),$R2008="TRUE"),Settings!$C$6,Settings!$C$7)*100)</f>
        <v/>
      </c>
      <c r="AH2008" s="18" t="str">
        <f aca="false">IF($D2008="","",IF(COUNTIF($D$2:$D2008,$D2008)=1,1,0))</f>
        <v/>
      </c>
      <c r="AI2008" s="18" t="str">
        <f aca="false">IF($AH2008=1,SUMPRODUCT(--($AK$2:$AK$4001&lt;$AK2008))+1,"")</f>
        <v/>
      </c>
      <c r="AJ2008" s="18" t="str">
        <f aca="false">IF($D2008="","",IF(OR($R2008=TRUE(),$R2008="TRUE"),1,0))</f>
        <v/>
      </c>
      <c r="AK2008" s="18" t="str">
        <f aca="false">IF($AH2008=1,IFERROR(VALUE(MID($D2008,2,20)),1000000000)+ROW()/10000000,"")</f>
        <v/>
      </c>
    </row>
    <row r="2009" customFormat="false" ht="15" hidden="false" customHeight="false" outlineLevel="0" collapsed="false">
      <c r="F2009" s="15"/>
      <c r="N2009" s="16" t="str">
        <f aca="false">IF($D2009="","",M2009*Y2009/100)</f>
        <v/>
      </c>
      <c r="V2009" s="16" t="str">
        <f aca="false">IF($D2009="","",Y2009*AB2009/100)</f>
        <v/>
      </c>
      <c r="W2009" s="16" t="str">
        <f aca="false">IF($D2009="","",Y2009-V2009)</f>
        <v/>
      </c>
      <c r="X2009" s="16" t="str">
        <f aca="false">IF($D2009="","",W2009-N2009)</f>
        <v/>
      </c>
      <c r="AB2009" s="17" t="str">
        <f aca="false">IF($D2009="","",IF(OR($R2009=TRUE(),$R2009="TRUE"),Settings!$C$6,Settings!$C$7)*100)</f>
        <v/>
      </c>
      <c r="AH2009" s="18" t="str">
        <f aca="false">IF($D2009="","",IF(COUNTIF($D$2:$D2009,$D2009)=1,1,0))</f>
        <v/>
      </c>
      <c r="AI2009" s="18" t="str">
        <f aca="false">IF($AH2009=1,SUMPRODUCT(--($AK$2:$AK$4001&lt;$AK2009))+1,"")</f>
        <v/>
      </c>
      <c r="AJ2009" s="18" t="str">
        <f aca="false">IF($D2009="","",IF(OR($R2009=TRUE(),$R2009="TRUE"),1,0))</f>
        <v/>
      </c>
      <c r="AK2009" s="18" t="str">
        <f aca="false">IF($AH2009=1,IFERROR(VALUE(MID($D2009,2,20)),1000000000)+ROW()/10000000,"")</f>
        <v/>
      </c>
    </row>
    <row r="2010" customFormat="false" ht="15" hidden="false" customHeight="false" outlineLevel="0" collapsed="false">
      <c r="F2010" s="15"/>
      <c r="N2010" s="16" t="str">
        <f aca="false">IF($D2010="","",M2010*Y2010/100)</f>
        <v/>
      </c>
      <c r="V2010" s="16" t="str">
        <f aca="false">IF($D2010="","",Y2010*AB2010/100)</f>
        <v/>
      </c>
      <c r="W2010" s="16" t="str">
        <f aca="false">IF($D2010="","",Y2010-V2010)</f>
        <v/>
      </c>
      <c r="X2010" s="16" t="str">
        <f aca="false">IF($D2010="","",W2010-N2010)</f>
        <v/>
      </c>
      <c r="AB2010" s="17" t="str">
        <f aca="false">IF($D2010="","",IF(OR($R2010=TRUE(),$R2010="TRUE"),Settings!$C$6,Settings!$C$7)*100)</f>
        <v/>
      </c>
      <c r="AH2010" s="18" t="str">
        <f aca="false">IF($D2010="","",IF(COUNTIF($D$2:$D2010,$D2010)=1,1,0))</f>
        <v/>
      </c>
      <c r="AI2010" s="18" t="str">
        <f aca="false">IF($AH2010=1,SUMPRODUCT(--($AK$2:$AK$4001&lt;$AK2010))+1,"")</f>
        <v/>
      </c>
      <c r="AJ2010" s="18" t="str">
        <f aca="false">IF($D2010="","",IF(OR($R2010=TRUE(),$R2010="TRUE"),1,0))</f>
        <v/>
      </c>
      <c r="AK2010" s="18" t="str">
        <f aca="false">IF($AH2010=1,IFERROR(VALUE(MID($D2010,2,20)),1000000000)+ROW()/10000000,"")</f>
        <v/>
      </c>
    </row>
    <row r="2011" customFormat="false" ht="15" hidden="false" customHeight="false" outlineLevel="0" collapsed="false">
      <c r="F2011" s="15"/>
      <c r="N2011" s="16" t="str">
        <f aca="false">IF($D2011="","",M2011*Y2011/100)</f>
        <v/>
      </c>
      <c r="V2011" s="16" t="str">
        <f aca="false">IF($D2011="","",Y2011*AB2011/100)</f>
        <v/>
      </c>
      <c r="W2011" s="16" t="str">
        <f aca="false">IF($D2011="","",Y2011-V2011)</f>
        <v/>
      </c>
      <c r="X2011" s="16" t="str">
        <f aca="false">IF($D2011="","",W2011-N2011)</f>
        <v/>
      </c>
      <c r="AB2011" s="17" t="str">
        <f aca="false">IF($D2011="","",IF(OR($R2011=TRUE(),$R2011="TRUE"),Settings!$C$6,Settings!$C$7)*100)</f>
        <v/>
      </c>
      <c r="AH2011" s="18" t="str">
        <f aca="false">IF($D2011="","",IF(COUNTIF($D$2:$D2011,$D2011)=1,1,0))</f>
        <v/>
      </c>
      <c r="AI2011" s="18" t="str">
        <f aca="false">IF($AH2011=1,SUMPRODUCT(--($AK$2:$AK$4001&lt;$AK2011))+1,"")</f>
        <v/>
      </c>
      <c r="AJ2011" s="18" t="str">
        <f aca="false">IF($D2011="","",IF(OR($R2011=TRUE(),$R2011="TRUE"),1,0))</f>
        <v/>
      </c>
      <c r="AK2011" s="18" t="str">
        <f aca="false">IF($AH2011=1,IFERROR(VALUE(MID($D2011,2,20)),1000000000)+ROW()/10000000,"")</f>
        <v/>
      </c>
    </row>
    <row r="2012" customFormat="false" ht="15" hidden="false" customHeight="false" outlineLevel="0" collapsed="false">
      <c r="F2012" s="15"/>
      <c r="N2012" s="16" t="str">
        <f aca="false">IF($D2012="","",M2012*Y2012/100)</f>
        <v/>
      </c>
      <c r="V2012" s="16" t="str">
        <f aca="false">IF($D2012="","",Y2012*AB2012/100)</f>
        <v/>
      </c>
      <c r="W2012" s="16" t="str">
        <f aca="false">IF($D2012="","",Y2012-V2012)</f>
        <v/>
      </c>
      <c r="X2012" s="16" t="str">
        <f aca="false">IF($D2012="","",W2012-N2012)</f>
        <v/>
      </c>
      <c r="AB2012" s="17" t="str">
        <f aca="false">IF($D2012="","",IF(OR($R2012=TRUE(),$R2012="TRUE"),Settings!$C$6,Settings!$C$7)*100)</f>
        <v/>
      </c>
      <c r="AH2012" s="18" t="str">
        <f aca="false">IF($D2012="","",IF(COUNTIF($D$2:$D2012,$D2012)=1,1,0))</f>
        <v/>
      </c>
      <c r="AI2012" s="18" t="str">
        <f aca="false">IF($AH2012=1,SUMPRODUCT(--($AK$2:$AK$4001&lt;$AK2012))+1,"")</f>
        <v/>
      </c>
      <c r="AJ2012" s="18" t="str">
        <f aca="false">IF($D2012="","",IF(OR($R2012=TRUE(),$R2012="TRUE"),1,0))</f>
        <v/>
      </c>
      <c r="AK2012" s="18" t="str">
        <f aca="false">IF($AH2012=1,IFERROR(VALUE(MID($D2012,2,20)),1000000000)+ROW()/10000000,"")</f>
        <v/>
      </c>
    </row>
    <row r="2013" customFormat="false" ht="15" hidden="false" customHeight="false" outlineLevel="0" collapsed="false">
      <c r="F2013" s="15"/>
      <c r="N2013" s="16" t="str">
        <f aca="false">IF($D2013="","",M2013*Y2013/100)</f>
        <v/>
      </c>
      <c r="V2013" s="16" t="str">
        <f aca="false">IF($D2013="","",Y2013*AB2013/100)</f>
        <v/>
      </c>
      <c r="W2013" s="16" t="str">
        <f aca="false">IF($D2013="","",Y2013-V2013)</f>
        <v/>
      </c>
      <c r="X2013" s="16" t="str">
        <f aca="false">IF($D2013="","",W2013-N2013)</f>
        <v/>
      </c>
      <c r="AB2013" s="17" t="str">
        <f aca="false">IF($D2013="","",IF(OR($R2013=TRUE(),$R2013="TRUE"),Settings!$C$6,Settings!$C$7)*100)</f>
        <v/>
      </c>
      <c r="AH2013" s="18" t="str">
        <f aca="false">IF($D2013="","",IF(COUNTIF($D$2:$D2013,$D2013)=1,1,0))</f>
        <v/>
      </c>
      <c r="AI2013" s="18" t="str">
        <f aca="false">IF($AH2013=1,SUMPRODUCT(--($AK$2:$AK$4001&lt;$AK2013))+1,"")</f>
        <v/>
      </c>
      <c r="AJ2013" s="18" t="str">
        <f aca="false">IF($D2013="","",IF(OR($R2013=TRUE(),$R2013="TRUE"),1,0))</f>
        <v/>
      </c>
      <c r="AK2013" s="18" t="str">
        <f aca="false">IF($AH2013=1,IFERROR(VALUE(MID($D2013,2,20)),1000000000)+ROW()/10000000,"")</f>
        <v/>
      </c>
    </row>
    <row r="2014" customFormat="false" ht="15" hidden="false" customHeight="false" outlineLevel="0" collapsed="false">
      <c r="F2014" s="15"/>
      <c r="N2014" s="16" t="str">
        <f aca="false">IF($D2014="","",M2014*Y2014/100)</f>
        <v/>
      </c>
      <c r="V2014" s="16" t="str">
        <f aca="false">IF($D2014="","",Y2014*AB2014/100)</f>
        <v/>
      </c>
      <c r="W2014" s="16" t="str">
        <f aca="false">IF($D2014="","",Y2014-V2014)</f>
        <v/>
      </c>
      <c r="X2014" s="16" t="str">
        <f aca="false">IF($D2014="","",W2014-N2014)</f>
        <v/>
      </c>
      <c r="AB2014" s="17" t="str">
        <f aca="false">IF($D2014="","",IF(OR($R2014=TRUE(),$R2014="TRUE"),Settings!$C$6,Settings!$C$7)*100)</f>
        <v/>
      </c>
      <c r="AH2014" s="18" t="str">
        <f aca="false">IF($D2014="","",IF(COUNTIF($D$2:$D2014,$D2014)=1,1,0))</f>
        <v/>
      </c>
      <c r="AI2014" s="18" t="str">
        <f aca="false">IF($AH2014=1,SUMPRODUCT(--($AK$2:$AK$4001&lt;$AK2014))+1,"")</f>
        <v/>
      </c>
      <c r="AJ2014" s="18" t="str">
        <f aca="false">IF($D2014="","",IF(OR($R2014=TRUE(),$R2014="TRUE"),1,0))</f>
        <v/>
      </c>
      <c r="AK2014" s="18" t="str">
        <f aca="false">IF($AH2014=1,IFERROR(VALUE(MID($D2014,2,20)),1000000000)+ROW()/10000000,"")</f>
        <v/>
      </c>
    </row>
    <row r="2015" customFormat="false" ht="15" hidden="false" customHeight="false" outlineLevel="0" collapsed="false">
      <c r="F2015" s="15"/>
      <c r="N2015" s="16" t="str">
        <f aca="false">IF($D2015="","",M2015*Y2015/100)</f>
        <v/>
      </c>
      <c r="V2015" s="16" t="str">
        <f aca="false">IF($D2015="","",Y2015*AB2015/100)</f>
        <v/>
      </c>
      <c r="W2015" s="16" t="str">
        <f aca="false">IF($D2015="","",Y2015-V2015)</f>
        <v/>
      </c>
      <c r="X2015" s="16" t="str">
        <f aca="false">IF($D2015="","",W2015-N2015)</f>
        <v/>
      </c>
      <c r="AB2015" s="17" t="str">
        <f aca="false">IF($D2015="","",IF(OR($R2015=TRUE(),$R2015="TRUE"),Settings!$C$6,Settings!$C$7)*100)</f>
        <v/>
      </c>
      <c r="AH2015" s="18" t="str">
        <f aca="false">IF($D2015="","",IF(COUNTIF($D$2:$D2015,$D2015)=1,1,0))</f>
        <v/>
      </c>
      <c r="AI2015" s="18" t="str">
        <f aca="false">IF($AH2015=1,SUMPRODUCT(--($AK$2:$AK$4001&lt;$AK2015))+1,"")</f>
        <v/>
      </c>
      <c r="AJ2015" s="18" t="str">
        <f aca="false">IF($D2015="","",IF(OR($R2015=TRUE(),$R2015="TRUE"),1,0))</f>
        <v/>
      </c>
      <c r="AK2015" s="18" t="str">
        <f aca="false">IF($AH2015=1,IFERROR(VALUE(MID($D2015,2,20)),1000000000)+ROW()/10000000,"")</f>
        <v/>
      </c>
    </row>
    <row r="2016" customFormat="false" ht="15" hidden="false" customHeight="false" outlineLevel="0" collapsed="false">
      <c r="F2016" s="15"/>
      <c r="N2016" s="16" t="str">
        <f aca="false">IF($D2016="","",M2016*Y2016/100)</f>
        <v/>
      </c>
      <c r="V2016" s="16" t="str">
        <f aca="false">IF($D2016="","",Y2016*AB2016/100)</f>
        <v/>
      </c>
      <c r="W2016" s="16" t="str">
        <f aca="false">IF($D2016="","",Y2016-V2016)</f>
        <v/>
      </c>
      <c r="X2016" s="16" t="str">
        <f aca="false">IF($D2016="","",W2016-N2016)</f>
        <v/>
      </c>
      <c r="AB2016" s="17" t="str">
        <f aca="false">IF($D2016="","",IF(OR($R2016=TRUE(),$R2016="TRUE"),Settings!$C$6,Settings!$C$7)*100)</f>
        <v/>
      </c>
      <c r="AH2016" s="18" t="str">
        <f aca="false">IF($D2016="","",IF(COUNTIF($D$2:$D2016,$D2016)=1,1,0))</f>
        <v/>
      </c>
      <c r="AI2016" s="18" t="str">
        <f aca="false">IF($AH2016=1,SUMPRODUCT(--($AK$2:$AK$4001&lt;$AK2016))+1,"")</f>
        <v/>
      </c>
      <c r="AJ2016" s="18" t="str">
        <f aca="false">IF($D2016="","",IF(OR($R2016=TRUE(),$R2016="TRUE"),1,0))</f>
        <v/>
      </c>
      <c r="AK2016" s="18" t="str">
        <f aca="false">IF($AH2016=1,IFERROR(VALUE(MID($D2016,2,20)),1000000000)+ROW()/10000000,"")</f>
        <v/>
      </c>
    </row>
    <row r="2017" customFormat="false" ht="15" hidden="false" customHeight="false" outlineLevel="0" collapsed="false">
      <c r="F2017" s="15"/>
      <c r="N2017" s="16" t="str">
        <f aca="false">IF($D2017="","",M2017*Y2017/100)</f>
        <v/>
      </c>
      <c r="V2017" s="16" t="str">
        <f aca="false">IF($D2017="","",Y2017*AB2017/100)</f>
        <v/>
      </c>
      <c r="W2017" s="16" t="str">
        <f aca="false">IF($D2017="","",Y2017-V2017)</f>
        <v/>
      </c>
      <c r="X2017" s="16" t="str">
        <f aca="false">IF($D2017="","",W2017-N2017)</f>
        <v/>
      </c>
      <c r="AB2017" s="17" t="str">
        <f aca="false">IF($D2017="","",IF(OR($R2017=TRUE(),$R2017="TRUE"),Settings!$C$6,Settings!$C$7)*100)</f>
        <v/>
      </c>
      <c r="AH2017" s="18" t="str">
        <f aca="false">IF($D2017="","",IF(COUNTIF($D$2:$D2017,$D2017)=1,1,0))</f>
        <v/>
      </c>
      <c r="AI2017" s="18" t="str">
        <f aca="false">IF($AH2017=1,SUMPRODUCT(--($AK$2:$AK$4001&lt;$AK2017))+1,"")</f>
        <v/>
      </c>
      <c r="AJ2017" s="18" t="str">
        <f aca="false">IF($D2017="","",IF(OR($R2017=TRUE(),$R2017="TRUE"),1,0))</f>
        <v/>
      </c>
      <c r="AK2017" s="18" t="str">
        <f aca="false">IF($AH2017=1,IFERROR(VALUE(MID($D2017,2,20)),1000000000)+ROW()/10000000,"")</f>
        <v/>
      </c>
    </row>
    <row r="2018" customFormat="false" ht="15" hidden="false" customHeight="false" outlineLevel="0" collapsed="false">
      <c r="F2018" s="15"/>
      <c r="N2018" s="16" t="str">
        <f aca="false">IF($D2018="","",M2018*Y2018/100)</f>
        <v/>
      </c>
      <c r="V2018" s="16" t="str">
        <f aca="false">IF($D2018="","",Y2018*AB2018/100)</f>
        <v/>
      </c>
      <c r="W2018" s="16" t="str">
        <f aca="false">IF($D2018="","",Y2018-V2018)</f>
        <v/>
      </c>
      <c r="X2018" s="16" t="str">
        <f aca="false">IF($D2018="","",W2018-N2018)</f>
        <v/>
      </c>
      <c r="AB2018" s="17" t="str">
        <f aca="false">IF($D2018="","",IF(OR($R2018=TRUE(),$R2018="TRUE"),Settings!$C$6,Settings!$C$7)*100)</f>
        <v/>
      </c>
      <c r="AH2018" s="18" t="str">
        <f aca="false">IF($D2018="","",IF(COUNTIF($D$2:$D2018,$D2018)=1,1,0))</f>
        <v/>
      </c>
      <c r="AI2018" s="18" t="str">
        <f aca="false">IF($AH2018=1,SUMPRODUCT(--($AK$2:$AK$4001&lt;$AK2018))+1,"")</f>
        <v/>
      </c>
      <c r="AJ2018" s="18" t="str">
        <f aca="false">IF($D2018="","",IF(OR($R2018=TRUE(),$R2018="TRUE"),1,0))</f>
        <v/>
      </c>
      <c r="AK2018" s="18" t="str">
        <f aca="false">IF($AH2018=1,IFERROR(VALUE(MID($D2018,2,20)),1000000000)+ROW()/10000000,"")</f>
        <v/>
      </c>
    </row>
    <row r="2019" customFormat="false" ht="15" hidden="false" customHeight="false" outlineLevel="0" collapsed="false">
      <c r="F2019" s="15"/>
      <c r="N2019" s="16" t="str">
        <f aca="false">IF($D2019="","",M2019*Y2019/100)</f>
        <v/>
      </c>
      <c r="V2019" s="16" t="str">
        <f aca="false">IF($D2019="","",Y2019*AB2019/100)</f>
        <v/>
      </c>
      <c r="W2019" s="16" t="str">
        <f aca="false">IF($D2019="","",Y2019-V2019)</f>
        <v/>
      </c>
      <c r="X2019" s="16" t="str">
        <f aca="false">IF($D2019="","",W2019-N2019)</f>
        <v/>
      </c>
      <c r="AB2019" s="17" t="str">
        <f aca="false">IF($D2019="","",IF(OR($R2019=TRUE(),$R2019="TRUE"),Settings!$C$6,Settings!$C$7)*100)</f>
        <v/>
      </c>
      <c r="AH2019" s="18" t="str">
        <f aca="false">IF($D2019="","",IF(COUNTIF($D$2:$D2019,$D2019)=1,1,0))</f>
        <v/>
      </c>
      <c r="AI2019" s="18" t="str">
        <f aca="false">IF($AH2019=1,SUMPRODUCT(--($AK$2:$AK$4001&lt;$AK2019))+1,"")</f>
        <v/>
      </c>
      <c r="AJ2019" s="18" t="str">
        <f aca="false">IF($D2019="","",IF(OR($R2019=TRUE(),$R2019="TRUE"),1,0))</f>
        <v/>
      </c>
      <c r="AK2019" s="18" t="str">
        <f aca="false">IF($AH2019=1,IFERROR(VALUE(MID($D2019,2,20)),1000000000)+ROW()/10000000,"")</f>
        <v/>
      </c>
    </row>
    <row r="2020" customFormat="false" ht="15" hidden="false" customHeight="false" outlineLevel="0" collapsed="false">
      <c r="F2020" s="15"/>
      <c r="N2020" s="16" t="str">
        <f aca="false">IF($D2020="","",M2020*Y2020/100)</f>
        <v/>
      </c>
      <c r="V2020" s="16" t="str">
        <f aca="false">IF($D2020="","",Y2020*AB2020/100)</f>
        <v/>
      </c>
      <c r="W2020" s="16" t="str">
        <f aca="false">IF($D2020="","",Y2020-V2020)</f>
        <v/>
      </c>
      <c r="X2020" s="16" t="str">
        <f aca="false">IF($D2020="","",W2020-N2020)</f>
        <v/>
      </c>
      <c r="AB2020" s="17" t="str">
        <f aca="false">IF($D2020="","",IF(OR($R2020=TRUE(),$R2020="TRUE"),Settings!$C$6,Settings!$C$7)*100)</f>
        <v/>
      </c>
      <c r="AH2020" s="18" t="str">
        <f aca="false">IF($D2020="","",IF(COUNTIF($D$2:$D2020,$D2020)=1,1,0))</f>
        <v/>
      </c>
      <c r="AI2020" s="18" t="str">
        <f aca="false">IF($AH2020=1,SUMPRODUCT(--($AK$2:$AK$4001&lt;$AK2020))+1,"")</f>
        <v/>
      </c>
      <c r="AJ2020" s="18" t="str">
        <f aca="false">IF($D2020="","",IF(OR($R2020=TRUE(),$R2020="TRUE"),1,0))</f>
        <v/>
      </c>
      <c r="AK2020" s="18" t="str">
        <f aca="false">IF($AH2020=1,IFERROR(VALUE(MID($D2020,2,20)),1000000000)+ROW()/10000000,"")</f>
        <v/>
      </c>
    </row>
    <row r="2021" customFormat="false" ht="15" hidden="false" customHeight="false" outlineLevel="0" collapsed="false">
      <c r="F2021" s="15"/>
      <c r="N2021" s="16" t="str">
        <f aca="false">IF($D2021="","",M2021*Y2021/100)</f>
        <v/>
      </c>
      <c r="V2021" s="16" t="str">
        <f aca="false">IF($D2021="","",Y2021*AB2021/100)</f>
        <v/>
      </c>
      <c r="W2021" s="16" t="str">
        <f aca="false">IF($D2021="","",Y2021-V2021)</f>
        <v/>
      </c>
      <c r="X2021" s="16" t="str">
        <f aca="false">IF($D2021="","",W2021-N2021)</f>
        <v/>
      </c>
      <c r="AB2021" s="17" t="str">
        <f aca="false">IF($D2021="","",IF(OR($R2021=TRUE(),$R2021="TRUE"),Settings!$C$6,Settings!$C$7)*100)</f>
        <v/>
      </c>
      <c r="AH2021" s="18" t="str">
        <f aca="false">IF($D2021="","",IF(COUNTIF($D$2:$D2021,$D2021)=1,1,0))</f>
        <v/>
      </c>
      <c r="AI2021" s="18" t="str">
        <f aca="false">IF($AH2021=1,SUMPRODUCT(--($AK$2:$AK$4001&lt;$AK2021))+1,"")</f>
        <v/>
      </c>
      <c r="AJ2021" s="18" t="str">
        <f aca="false">IF($D2021="","",IF(OR($R2021=TRUE(),$R2021="TRUE"),1,0))</f>
        <v/>
      </c>
      <c r="AK2021" s="18" t="str">
        <f aca="false">IF($AH2021=1,IFERROR(VALUE(MID($D2021,2,20)),1000000000)+ROW()/10000000,"")</f>
        <v/>
      </c>
    </row>
    <row r="2022" customFormat="false" ht="15" hidden="false" customHeight="false" outlineLevel="0" collapsed="false">
      <c r="F2022" s="15"/>
      <c r="N2022" s="16" t="str">
        <f aca="false">IF($D2022="","",M2022*Y2022/100)</f>
        <v/>
      </c>
      <c r="V2022" s="16" t="str">
        <f aca="false">IF($D2022="","",Y2022*AB2022/100)</f>
        <v/>
      </c>
      <c r="W2022" s="16" t="str">
        <f aca="false">IF($D2022="","",Y2022-V2022)</f>
        <v/>
      </c>
      <c r="X2022" s="16" t="str">
        <f aca="false">IF($D2022="","",W2022-N2022)</f>
        <v/>
      </c>
      <c r="AB2022" s="17" t="str">
        <f aca="false">IF($D2022="","",IF(OR($R2022=TRUE(),$R2022="TRUE"),Settings!$C$6,Settings!$C$7)*100)</f>
        <v/>
      </c>
      <c r="AH2022" s="18" t="str">
        <f aca="false">IF($D2022="","",IF(COUNTIF($D$2:$D2022,$D2022)=1,1,0))</f>
        <v/>
      </c>
      <c r="AI2022" s="18" t="str">
        <f aca="false">IF($AH2022=1,SUMPRODUCT(--($AK$2:$AK$4001&lt;$AK2022))+1,"")</f>
        <v/>
      </c>
      <c r="AJ2022" s="18" t="str">
        <f aca="false">IF($D2022="","",IF(OR($R2022=TRUE(),$R2022="TRUE"),1,0))</f>
        <v/>
      </c>
      <c r="AK2022" s="18" t="str">
        <f aca="false">IF($AH2022=1,IFERROR(VALUE(MID($D2022,2,20)),1000000000)+ROW()/10000000,"")</f>
        <v/>
      </c>
    </row>
    <row r="2023" customFormat="false" ht="15" hidden="false" customHeight="false" outlineLevel="0" collapsed="false">
      <c r="F2023" s="15"/>
      <c r="N2023" s="16" t="str">
        <f aca="false">IF($D2023="","",M2023*Y2023/100)</f>
        <v/>
      </c>
      <c r="V2023" s="16" t="str">
        <f aca="false">IF($D2023="","",Y2023*AB2023/100)</f>
        <v/>
      </c>
      <c r="W2023" s="16" t="str">
        <f aca="false">IF($D2023="","",Y2023-V2023)</f>
        <v/>
      </c>
      <c r="X2023" s="16" t="str">
        <f aca="false">IF($D2023="","",W2023-N2023)</f>
        <v/>
      </c>
      <c r="AB2023" s="17" t="str">
        <f aca="false">IF($D2023="","",IF(OR($R2023=TRUE(),$R2023="TRUE"),Settings!$C$6,Settings!$C$7)*100)</f>
        <v/>
      </c>
      <c r="AH2023" s="18" t="str">
        <f aca="false">IF($D2023="","",IF(COUNTIF($D$2:$D2023,$D2023)=1,1,0))</f>
        <v/>
      </c>
      <c r="AI2023" s="18" t="str">
        <f aca="false">IF($AH2023=1,SUMPRODUCT(--($AK$2:$AK$4001&lt;$AK2023))+1,"")</f>
        <v/>
      </c>
      <c r="AJ2023" s="18" t="str">
        <f aca="false">IF($D2023="","",IF(OR($R2023=TRUE(),$R2023="TRUE"),1,0))</f>
        <v/>
      </c>
      <c r="AK2023" s="18" t="str">
        <f aca="false">IF($AH2023=1,IFERROR(VALUE(MID($D2023,2,20)),1000000000)+ROW()/10000000,"")</f>
        <v/>
      </c>
    </row>
    <row r="2024" customFormat="false" ht="15" hidden="false" customHeight="false" outlineLevel="0" collapsed="false">
      <c r="F2024" s="15"/>
      <c r="N2024" s="16" t="str">
        <f aca="false">IF($D2024="","",M2024*Y2024/100)</f>
        <v/>
      </c>
      <c r="V2024" s="16" t="str">
        <f aca="false">IF($D2024="","",Y2024*AB2024/100)</f>
        <v/>
      </c>
      <c r="W2024" s="16" t="str">
        <f aca="false">IF($D2024="","",Y2024-V2024)</f>
        <v/>
      </c>
      <c r="X2024" s="16" t="str">
        <f aca="false">IF($D2024="","",W2024-N2024)</f>
        <v/>
      </c>
      <c r="AB2024" s="17" t="str">
        <f aca="false">IF($D2024="","",IF(OR($R2024=TRUE(),$R2024="TRUE"),Settings!$C$6,Settings!$C$7)*100)</f>
        <v/>
      </c>
      <c r="AH2024" s="18" t="str">
        <f aca="false">IF($D2024="","",IF(COUNTIF($D$2:$D2024,$D2024)=1,1,0))</f>
        <v/>
      </c>
      <c r="AI2024" s="18" t="str">
        <f aca="false">IF($AH2024=1,SUMPRODUCT(--($AK$2:$AK$4001&lt;$AK2024))+1,"")</f>
        <v/>
      </c>
      <c r="AJ2024" s="18" t="str">
        <f aca="false">IF($D2024="","",IF(OR($R2024=TRUE(),$R2024="TRUE"),1,0))</f>
        <v/>
      </c>
      <c r="AK2024" s="18" t="str">
        <f aca="false">IF($AH2024=1,IFERROR(VALUE(MID($D2024,2,20)),1000000000)+ROW()/10000000,"")</f>
        <v/>
      </c>
    </row>
    <row r="2025" customFormat="false" ht="15" hidden="false" customHeight="false" outlineLevel="0" collapsed="false">
      <c r="F2025" s="15"/>
      <c r="N2025" s="16" t="str">
        <f aca="false">IF($D2025="","",M2025*Y2025/100)</f>
        <v/>
      </c>
      <c r="V2025" s="16" t="str">
        <f aca="false">IF($D2025="","",Y2025*AB2025/100)</f>
        <v/>
      </c>
      <c r="W2025" s="16" t="str">
        <f aca="false">IF($D2025="","",Y2025-V2025)</f>
        <v/>
      </c>
      <c r="X2025" s="16" t="str">
        <f aca="false">IF($D2025="","",W2025-N2025)</f>
        <v/>
      </c>
      <c r="AB2025" s="17" t="str">
        <f aca="false">IF($D2025="","",IF(OR($R2025=TRUE(),$R2025="TRUE"),Settings!$C$6,Settings!$C$7)*100)</f>
        <v/>
      </c>
      <c r="AH2025" s="18" t="str">
        <f aca="false">IF($D2025="","",IF(COUNTIF($D$2:$D2025,$D2025)=1,1,0))</f>
        <v/>
      </c>
      <c r="AI2025" s="18" t="str">
        <f aca="false">IF($AH2025=1,SUMPRODUCT(--($AK$2:$AK$4001&lt;$AK2025))+1,"")</f>
        <v/>
      </c>
      <c r="AJ2025" s="18" t="str">
        <f aca="false">IF($D2025="","",IF(OR($R2025=TRUE(),$R2025="TRUE"),1,0))</f>
        <v/>
      </c>
      <c r="AK2025" s="18" t="str">
        <f aca="false">IF($AH2025=1,IFERROR(VALUE(MID($D2025,2,20)),1000000000)+ROW()/10000000,"")</f>
        <v/>
      </c>
    </row>
    <row r="2026" customFormat="false" ht="15" hidden="false" customHeight="false" outlineLevel="0" collapsed="false">
      <c r="F2026" s="15"/>
      <c r="N2026" s="16" t="str">
        <f aca="false">IF($D2026="","",M2026*Y2026/100)</f>
        <v/>
      </c>
      <c r="V2026" s="16" t="str">
        <f aca="false">IF($D2026="","",Y2026*AB2026/100)</f>
        <v/>
      </c>
      <c r="W2026" s="16" t="str">
        <f aca="false">IF($D2026="","",Y2026-V2026)</f>
        <v/>
      </c>
      <c r="X2026" s="16" t="str">
        <f aca="false">IF($D2026="","",W2026-N2026)</f>
        <v/>
      </c>
      <c r="AB2026" s="17" t="str">
        <f aca="false">IF($D2026="","",IF(OR($R2026=TRUE(),$R2026="TRUE"),Settings!$C$6,Settings!$C$7)*100)</f>
        <v/>
      </c>
      <c r="AH2026" s="18" t="str">
        <f aca="false">IF($D2026="","",IF(COUNTIF($D$2:$D2026,$D2026)=1,1,0))</f>
        <v/>
      </c>
      <c r="AI2026" s="18" t="str">
        <f aca="false">IF($AH2026=1,SUMPRODUCT(--($AK$2:$AK$4001&lt;$AK2026))+1,"")</f>
        <v/>
      </c>
      <c r="AJ2026" s="18" t="str">
        <f aca="false">IF($D2026="","",IF(OR($R2026=TRUE(),$R2026="TRUE"),1,0))</f>
        <v/>
      </c>
      <c r="AK2026" s="18" t="str">
        <f aca="false">IF($AH2026=1,IFERROR(VALUE(MID($D2026,2,20)),1000000000)+ROW()/10000000,"")</f>
        <v/>
      </c>
    </row>
    <row r="2027" customFormat="false" ht="15" hidden="false" customHeight="false" outlineLevel="0" collapsed="false">
      <c r="F2027" s="15"/>
      <c r="N2027" s="16" t="str">
        <f aca="false">IF($D2027="","",M2027*Y2027/100)</f>
        <v/>
      </c>
      <c r="V2027" s="16" t="str">
        <f aca="false">IF($D2027="","",Y2027*AB2027/100)</f>
        <v/>
      </c>
      <c r="W2027" s="16" t="str">
        <f aca="false">IF($D2027="","",Y2027-V2027)</f>
        <v/>
      </c>
      <c r="X2027" s="16" t="str">
        <f aca="false">IF($D2027="","",W2027-N2027)</f>
        <v/>
      </c>
      <c r="AB2027" s="17" t="str">
        <f aca="false">IF($D2027="","",IF(OR($R2027=TRUE(),$R2027="TRUE"),Settings!$C$6,Settings!$C$7)*100)</f>
        <v/>
      </c>
      <c r="AH2027" s="18" t="str">
        <f aca="false">IF($D2027="","",IF(COUNTIF($D$2:$D2027,$D2027)=1,1,0))</f>
        <v/>
      </c>
      <c r="AI2027" s="18" t="str">
        <f aca="false">IF($AH2027=1,SUMPRODUCT(--($AK$2:$AK$4001&lt;$AK2027))+1,"")</f>
        <v/>
      </c>
      <c r="AJ2027" s="18" t="str">
        <f aca="false">IF($D2027="","",IF(OR($R2027=TRUE(),$R2027="TRUE"),1,0))</f>
        <v/>
      </c>
      <c r="AK2027" s="18" t="str">
        <f aca="false">IF($AH2027=1,IFERROR(VALUE(MID($D2027,2,20)),1000000000)+ROW()/10000000,"")</f>
        <v/>
      </c>
    </row>
    <row r="2028" customFormat="false" ht="15" hidden="false" customHeight="false" outlineLevel="0" collapsed="false">
      <c r="F2028" s="15"/>
      <c r="N2028" s="16" t="str">
        <f aca="false">IF($D2028="","",M2028*Y2028/100)</f>
        <v/>
      </c>
      <c r="V2028" s="16" t="str">
        <f aca="false">IF($D2028="","",Y2028*AB2028/100)</f>
        <v/>
      </c>
      <c r="W2028" s="16" t="str">
        <f aca="false">IF($D2028="","",Y2028-V2028)</f>
        <v/>
      </c>
      <c r="X2028" s="16" t="str">
        <f aca="false">IF($D2028="","",W2028-N2028)</f>
        <v/>
      </c>
      <c r="AB2028" s="17" t="str">
        <f aca="false">IF($D2028="","",IF(OR($R2028=TRUE(),$R2028="TRUE"),Settings!$C$6,Settings!$C$7)*100)</f>
        <v/>
      </c>
      <c r="AH2028" s="18" t="str">
        <f aca="false">IF($D2028="","",IF(COUNTIF($D$2:$D2028,$D2028)=1,1,0))</f>
        <v/>
      </c>
      <c r="AI2028" s="18" t="str">
        <f aca="false">IF($AH2028=1,SUMPRODUCT(--($AK$2:$AK$4001&lt;$AK2028))+1,"")</f>
        <v/>
      </c>
      <c r="AJ2028" s="18" t="str">
        <f aca="false">IF($D2028="","",IF(OR($R2028=TRUE(),$R2028="TRUE"),1,0))</f>
        <v/>
      </c>
      <c r="AK2028" s="18" t="str">
        <f aca="false">IF($AH2028=1,IFERROR(VALUE(MID($D2028,2,20)),1000000000)+ROW()/10000000,"")</f>
        <v/>
      </c>
    </row>
    <row r="2029" customFormat="false" ht="15" hidden="false" customHeight="false" outlineLevel="0" collapsed="false">
      <c r="F2029" s="15"/>
      <c r="N2029" s="16" t="str">
        <f aca="false">IF($D2029="","",M2029*Y2029/100)</f>
        <v/>
      </c>
      <c r="V2029" s="16" t="str">
        <f aca="false">IF($D2029="","",Y2029*AB2029/100)</f>
        <v/>
      </c>
      <c r="W2029" s="16" t="str">
        <f aca="false">IF($D2029="","",Y2029-V2029)</f>
        <v/>
      </c>
      <c r="X2029" s="16" t="str">
        <f aca="false">IF($D2029="","",W2029-N2029)</f>
        <v/>
      </c>
      <c r="AB2029" s="17" t="str">
        <f aca="false">IF($D2029="","",IF(OR($R2029=TRUE(),$R2029="TRUE"),Settings!$C$6,Settings!$C$7)*100)</f>
        <v/>
      </c>
      <c r="AH2029" s="18" t="str">
        <f aca="false">IF($D2029="","",IF(COUNTIF($D$2:$D2029,$D2029)=1,1,0))</f>
        <v/>
      </c>
      <c r="AI2029" s="18" t="str">
        <f aca="false">IF($AH2029=1,SUMPRODUCT(--($AK$2:$AK$4001&lt;$AK2029))+1,"")</f>
        <v/>
      </c>
      <c r="AJ2029" s="18" t="str">
        <f aca="false">IF($D2029="","",IF(OR($R2029=TRUE(),$R2029="TRUE"),1,0))</f>
        <v/>
      </c>
      <c r="AK2029" s="18" t="str">
        <f aca="false">IF($AH2029=1,IFERROR(VALUE(MID($D2029,2,20)),1000000000)+ROW()/10000000,"")</f>
        <v/>
      </c>
    </row>
    <row r="2030" customFormat="false" ht="15" hidden="false" customHeight="false" outlineLevel="0" collapsed="false">
      <c r="F2030" s="15"/>
      <c r="N2030" s="16" t="str">
        <f aca="false">IF($D2030="","",M2030*Y2030/100)</f>
        <v/>
      </c>
      <c r="V2030" s="16" t="str">
        <f aca="false">IF($D2030="","",Y2030*AB2030/100)</f>
        <v/>
      </c>
      <c r="W2030" s="16" t="str">
        <f aca="false">IF($D2030="","",Y2030-V2030)</f>
        <v/>
      </c>
      <c r="X2030" s="16" t="str">
        <f aca="false">IF($D2030="","",W2030-N2030)</f>
        <v/>
      </c>
      <c r="AB2030" s="17" t="str">
        <f aca="false">IF($D2030="","",IF(OR($R2030=TRUE(),$R2030="TRUE"),Settings!$C$6,Settings!$C$7)*100)</f>
        <v/>
      </c>
      <c r="AH2030" s="18" t="str">
        <f aca="false">IF($D2030="","",IF(COUNTIF($D$2:$D2030,$D2030)=1,1,0))</f>
        <v/>
      </c>
      <c r="AI2030" s="18" t="str">
        <f aca="false">IF($AH2030=1,SUMPRODUCT(--($AK$2:$AK$4001&lt;$AK2030))+1,"")</f>
        <v/>
      </c>
      <c r="AJ2030" s="18" t="str">
        <f aca="false">IF($D2030="","",IF(OR($R2030=TRUE(),$R2030="TRUE"),1,0))</f>
        <v/>
      </c>
      <c r="AK2030" s="18" t="str">
        <f aca="false">IF($AH2030=1,IFERROR(VALUE(MID($D2030,2,20)),1000000000)+ROW()/10000000,"")</f>
        <v/>
      </c>
    </row>
    <row r="2031" customFormat="false" ht="15" hidden="false" customHeight="false" outlineLevel="0" collapsed="false">
      <c r="F2031" s="15"/>
      <c r="N2031" s="16" t="str">
        <f aca="false">IF($D2031="","",M2031*Y2031/100)</f>
        <v/>
      </c>
      <c r="V2031" s="16" t="str">
        <f aca="false">IF($D2031="","",Y2031*AB2031/100)</f>
        <v/>
      </c>
      <c r="W2031" s="16" t="str">
        <f aca="false">IF($D2031="","",Y2031-V2031)</f>
        <v/>
      </c>
      <c r="X2031" s="16" t="str">
        <f aca="false">IF($D2031="","",W2031-N2031)</f>
        <v/>
      </c>
      <c r="AB2031" s="17" t="str">
        <f aca="false">IF($D2031="","",IF(OR($R2031=TRUE(),$R2031="TRUE"),Settings!$C$6,Settings!$C$7)*100)</f>
        <v/>
      </c>
      <c r="AH2031" s="18" t="str">
        <f aca="false">IF($D2031="","",IF(COUNTIF($D$2:$D2031,$D2031)=1,1,0))</f>
        <v/>
      </c>
      <c r="AI2031" s="18" t="str">
        <f aca="false">IF($AH2031=1,SUMPRODUCT(--($AK$2:$AK$4001&lt;$AK2031))+1,"")</f>
        <v/>
      </c>
      <c r="AJ2031" s="18" t="str">
        <f aca="false">IF($D2031="","",IF(OR($R2031=TRUE(),$R2031="TRUE"),1,0))</f>
        <v/>
      </c>
      <c r="AK2031" s="18" t="str">
        <f aca="false">IF($AH2031=1,IFERROR(VALUE(MID($D2031,2,20)),1000000000)+ROW()/10000000,"")</f>
        <v/>
      </c>
    </row>
    <row r="2032" customFormat="false" ht="15" hidden="false" customHeight="false" outlineLevel="0" collapsed="false">
      <c r="F2032" s="15"/>
      <c r="N2032" s="16" t="str">
        <f aca="false">IF($D2032="","",M2032*Y2032/100)</f>
        <v/>
      </c>
      <c r="V2032" s="16" t="str">
        <f aca="false">IF($D2032="","",Y2032*AB2032/100)</f>
        <v/>
      </c>
      <c r="W2032" s="16" t="str">
        <f aca="false">IF($D2032="","",Y2032-V2032)</f>
        <v/>
      </c>
      <c r="X2032" s="16" t="str">
        <f aca="false">IF($D2032="","",W2032-N2032)</f>
        <v/>
      </c>
      <c r="AB2032" s="17" t="str">
        <f aca="false">IF($D2032="","",IF(OR($R2032=TRUE(),$R2032="TRUE"),Settings!$C$6,Settings!$C$7)*100)</f>
        <v/>
      </c>
      <c r="AH2032" s="18" t="str">
        <f aca="false">IF($D2032="","",IF(COUNTIF($D$2:$D2032,$D2032)=1,1,0))</f>
        <v/>
      </c>
      <c r="AI2032" s="18" t="str">
        <f aca="false">IF($AH2032=1,SUMPRODUCT(--($AK$2:$AK$4001&lt;$AK2032))+1,"")</f>
        <v/>
      </c>
      <c r="AJ2032" s="18" t="str">
        <f aca="false">IF($D2032="","",IF(OR($R2032=TRUE(),$R2032="TRUE"),1,0))</f>
        <v/>
      </c>
      <c r="AK2032" s="18" t="str">
        <f aca="false">IF($AH2032=1,IFERROR(VALUE(MID($D2032,2,20)),1000000000)+ROW()/10000000,"")</f>
        <v/>
      </c>
    </row>
    <row r="2033" customFormat="false" ht="15" hidden="false" customHeight="false" outlineLevel="0" collapsed="false">
      <c r="F2033" s="15"/>
      <c r="N2033" s="16" t="str">
        <f aca="false">IF($D2033="","",M2033*Y2033/100)</f>
        <v/>
      </c>
      <c r="V2033" s="16" t="str">
        <f aca="false">IF($D2033="","",Y2033*AB2033/100)</f>
        <v/>
      </c>
      <c r="W2033" s="16" t="str">
        <f aca="false">IF($D2033="","",Y2033-V2033)</f>
        <v/>
      </c>
      <c r="X2033" s="16" t="str">
        <f aca="false">IF($D2033="","",W2033-N2033)</f>
        <v/>
      </c>
      <c r="AB2033" s="17" t="str">
        <f aca="false">IF($D2033="","",IF(OR($R2033=TRUE(),$R2033="TRUE"),Settings!$C$6,Settings!$C$7)*100)</f>
        <v/>
      </c>
      <c r="AH2033" s="18" t="str">
        <f aca="false">IF($D2033="","",IF(COUNTIF($D$2:$D2033,$D2033)=1,1,0))</f>
        <v/>
      </c>
      <c r="AI2033" s="18" t="str">
        <f aca="false">IF($AH2033=1,SUMPRODUCT(--($AK$2:$AK$4001&lt;$AK2033))+1,"")</f>
        <v/>
      </c>
      <c r="AJ2033" s="18" t="str">
        <f aca="false">IF($D2033="","",IF(OR($R2033=TRUE(),$R2033="TRUE"),1,0))</f>
        <v/>
      </c>
      <c r="AK2033" s="18" t="str">
        <f aca="false">IF($AH2033=1,IFERROR(VALUE(MID($D2033,2,20)),1000000000)+ROW()/10000000,"")</f>
        <v/>
      </c>
    </row>
    <row r="2034" customFormat="false" ht="15" hidden="false" customHeight="false" outlineLevel="0" collapsed="false">
      <c r="F2034" s="15"/>
      <c r="N2034" s="16" t="str">
        <f aca="false">IF($D2034="","",M2034*Y2034/100)</f>
        <v/>
      </c>
      <c r="V2034" s="16" t="str">
        <f aca="false">IF($D2034="","",Y2034*AB2034/100)</f>
        <v/>
      </c>
      <c r="W2034" s="16" t="str">
        <f aca="false">IF($D2034="","",Y2034-V2034)</f>
        <v/>
      </c>
      <c r="X2034" s="16" t="str">
        <f aca="false">IF($D2034="","",W2034-N2034)</f>
        <v/>
      </c>
      <c r="AB2034" s="17" t="str">
        <f aca="false">IF($D2034="","",IF(OR($R2034=TRUE(),$R2034="TRUE"),Settings!$C$6,Settings!$C$7)*100)</f>
        <v/>
      </c>
      <c r="AH2034" s="18" t="str">
        <f aca="false">IF($D2034="","",IF(COUNTIF($D$2:$D2034,$D2034)=1,1,0))</f>
        <v/>
      </c>
      <c r="AI2034" s="18" t="str">
        <f aca="false">IF($AH2034=1,SUMPRODUCT(--($AK$2:$AK$4001&lt;$AK2034))+1,"")</f>
        <v/>
      </c>
      <c r="AJ2034" s="18" t="str">
        <f aca="false">IF($D2034="","",IF(OR($R2034=TRUE(),$R2034="TRUE"),1,0))</f>
        <v/>
      </c>
      <c r="AK2034" s="18" t="str">
        <f aca="false">IF($AH2034=1,IFERROR(VALUE(MID($D2034,2,20)),1000000000)+ROW()/10000000,"")</f>
        <v/>
      </c>
    </row>
    <row r="2035" customFormat="false" ht="15" hidden="false" customHeight="false" outlineLevel="0" collapsed="false">
      <c r="F2035" s="15"/>
      <c r="N2035" s="16" t="str">
        <f aca="false">IF($D2035="","",M2035*Y2035/100)</f>
        <v/>
      </c>
      <c r="V2035" s="16" t="str">
        <f aca="false">IF($D2035="","",Y2035*AB2035/100)</f>
        <v/>
      </c>
      <c r="W2035" s="16" t="str">
        <f aca="false">IF($D2035="","",Y2035-V2035)</f>
        <v/>
      </c>
      <c r="X2035" s="16" t="str">
        <f aca="false">IF($D2035="","",W2035-N2035)</f>
        <v/>
      </c>
      <c r="AB2035" s="17" t="str">
        <f aca="false">IF($D2035="","",IF(OR($R2035=TRUE(),$R2035="TRUE"),Settings!$C$6,Settings!$C$7)*100)</f>
        <v/>
      </c>
      <c r="AH2035" s="18" t="str">
        <f aca="false">IF($D2035="","",IF(COUNTIF($D$2:$D2035,$D2035)=1,1,0))</f>
        <v/>
      </c>
      <c r="AI2035" s="18" t="str">
        <f aca="false">IF($AH2035=1,SUMPRODUCT(--($AK$2:$AK$4001&lt;$AK2035))+1,"")</f>
        <v/>
      </c>
      <c r="AJ2035" s="18" t="str">
        <f aca="false">IF($D2035="","",IF(OR($R2035=TRUE(),$R2035="TRUE"),1,0))</f>
        <v/>
      </c>
      <c r="AK2035" s="18" t="str">
        <f aca="false">IF($AH2035=1,IFERROR(VALUE(MID($D2035,2,20)),1000000000)+ROW()/10000000,"")</f>
        <v/>
      </c>
    </row>
    <row r="2036" customFormat="false" ht="15" hidden="false" customHeight="false" outlineLevel="0" collapsed="false">
      <c r="F2036" s="15"/>
      <c r="N2036" s="16" t="str">
        <f aca="false">IF($D2036="","",M2036*Y2036/100)</f>
        <v/>
      </c>
      <c r="V2036" s="16" t="str">
        <f aca="false">IF($D2036="","",Y2036*AB2036/100)</f>
        <v/>
      </c>
      <c r="W2036" s="16" t="str">
        <f aca="false">IF($D2036="","",Y2036-V2036)</f>
        <v/>
      </c>
      <c r="X2036" s="16" t="str">
        <f aca="false">IF($D2036="","",W2036-N2036)</f>
        <v/>
      </c>
      <c r="AB2036" s="17" t="str">
        <f aca="false">IF($D2036="","",IF(OR($R2036=TRUE(),$R2036="TRUE"),Settings!$C$6,Settings!$C$7)*100)</f>
        <v/>
      </c>
      <c r="AH2036" s="18" t="str">
        <f aca="false">IF($D2036="","",IF(COUNTIF($D$2:$D2036,$D2036)=1,1,0))</f>
        <v/>
      </c>
      <c r="AI2036" s="18" t="str">
        <f aca="false">IF($AH2036=1,SUMPRODUCT(--($AK$2:$AK$4001&lt;$AK2036))+1,"")</f>
        <v/>
      </c>
      <c r="AJ2036" s="18" t="str">
        <f aca="false">IF($D2036="","",IF(OR($R2036=TRUE(),$R2036="TRUE"),1,0))</f>
        <v/>
      </c>
      <c r="AK2036" s="18" t="str">
        <f aca="false">IF($AH2036=1,IFERROR(VALUE(MID($D2036,2,20)),1000000000)+ROW()/10000000,"")</f>
        <v/>
      </c>
    </row>
    <row r="2037" customFormat="false" ht="15" hidden="false" customHeight="false" outlineLevel="0" collapsed="false">
      <c r="F2037" s="15"/>
      <c r="N2037" s="16" t="str">
        <f aca="false">IF($D2037="","",M2037*Y2037/100)</f>
        <v/>
      </c>
      <c r="V2037" s="16" t="str">
        <f aca="false">IF($D2037="","",Y2037*AB2037/100)</f>
        <v/>
      </c>
      <c r="W2037" s="16" t="str">
        <f aca="false">IF($D2037="","",Y2037-V2037)</f>
        <v/>
      </c>
      <c r="X2037" s="16" t="str">
        <f aca="false">IF($D2037="","",W2037-N2037)</f>
        <v/>
      </c>
      <c r="AB2037" s="17" t="str">
        <f aca="false">IF($D2037="","",IF(OR($R2037=TRUE(),$R2037="TRUE"),Settings!$C$6,Settings!$C$7)*100)</f>
        <v/>
      </c>
      <c r="AH2037" s="18" t="str">
        <f aca="false">IF($D2037="","",IF(COUNTIF($D$2:$D2037,$D2037)=1,1,0))</f>
        <v/>
      </c>
      <c r="AI2037" s="18" t="str">
        <f aca="false">IF($AH2037=1,SUMPRODUCT(--($AK$2:$AK$4001&lt;$AK2037))+1,"")</f>
        <v/>
      </c>
      <c r="AJ2037" s="18" t="str">
        <f aca="false">IF($D2037="","",IF(OR($R2037=TRUE(),$R2037="TRUE"),1,0))</f>
        <v/>
      </c>
      <c r="AK2037" s="18" t="str">
        <f aca="false">IF($AH2037=1,IFERROR(VALUE(MID($D2037,2,20)),1000000000)+ROW()/10000000,"")</f>
        <v/>
      </c>
    </row>
    <row r="2038" customFormat="false" ht="15" hidden="false" customHeight="false" outlineLevel="0" collapsed="false">
      <c r="F2038" s="15"/>
      <c r="N2038" s="16" t="str">
        <f aca="false">IF($D2038="","",M2038*Y2038/100)</f>
        <v/>
      </c>
      <c r="V2038" s="16" t="str">
        <f aca="false">IF($D2038="","",Y2038*AB2038/100)</f>
        <v/>
      </c>
      <c r="W2038" s="16" t="str">
        <f aca="false">IF($D2038="","",Y2038-V2038)</f>
        <v/>
      </c>
      <c r="X2038" s="16" t="str">
        <f aca="false">IF($D2038="","",W2038-N2038)</f>
        <v/>
      </c>
      <c r="AB2038" s="17" t="str">
        <f aca="false">IF($D2038="","",IF(OR($R2038=TRUE(),$R2038="TRUE"),Settings!$C$6,Settings!$C$7)*100)</f>
        <v/>
      </c>
      <c r="AH2038" s="18" t="str">
        <f aca="false">IF($D2038="","",IF(COUNTIF($D$2:$D2038,$D2038)=1,1,0))</f>
        <v/>
      </c>
      <c r="AI2038" s="18" t="str">
        <f aca="false">IF($AH2038=1,SUMPRODUCT(--($AK$2:$AK$4001&lt;$AK2038))+1,"")</f>
        <v/>
      </c>
      <c r="AJ2038" s="18" t="str">
        <f aca="false">IF($D2038="","",IF(OR($R2038=TRUE(),$R2038="TRUE"),1,0))</f>
        <v/>
      </c>
      <c r="AK2038" s="18" t="str">
        <f aca="false">IF($AH2038=1,IFERROR(VALUE(MID($D2038,2,20)),1000000000)+ROW()/10000000,"")</f>
        <v/>
      </c>
    </row>
    <row r="2039" customFormat="false" ht="15" hidden="false" customHeight="false" outlineLevel="0" collapsed="false">
      <c r="F2039" s="15"/>
      <c r="N2039" s="16" t="str">
        <f aca="false">IF($D2039="","",M2039*Y2039/100)</f>
        <v/>
      </c>
      <c r="V2039" s="16" t="str">
        <f aca="false">IF($D2039="","",Y2039*AB2039/100)</f>
        <v/>
      </c>
      <c r="W2039" s="16" t="str">
        <f aca="false">IF($D2039="","",Y2039-V2039)</f>
        <v/>
      </c>
      <c r="X2039" s="16" t="str">
        <f aca="false">IF($D2039="","",W2039-N2039)</f>
        <v/>
      </c>
      <c r="AB2039" s="17" t="str">
        <f aca="false">IF($D2039="","",IF(OR($R2039=TRUE(),$R2039="TRUE"),Settings!$C$6,Settings!$C$7)*100)</f>
        <v/>
      </c>
      <c r="AH2039" s="18" t="str">
        <f aca="false">IF($D2039="","",IF(COUNTIF($D$2:$D2039,$D2039)=1,1,0))</f>
        <v/>
      </c>
      <c r="AI2039" s="18" t="str">
        <f aca="false">IF($AH2039=1,SUMPRODUCT(--($AK$2:$AK$4001&lt;$AK2039))+1,"")</f>
        <v/>
      </c>
      <c r="AJ2039" s="18" t="str">
        <f aca="false">IF($D2039="","",IF(OR($R2039=TRUE(),$R2039="TRUE"),1,0))</f>
        <v/>
      </c>
      <c r="AK2039" s="18" t="str">
        <f aca="false">IF($AH2039=1,IFERROR(VALUE(MID($D2039,2,20)),1000000000)+ROW()/10000000,"")</f>
        <v/>
      </c>
    </row>
    <row r="2040" customFormat="false" ht="15" hidden="false" customHeight="false" outlineLevel="0" collapsed="false">
      <c r="F2040" s="15"/>
      <c r="N2040" s="16" t="str">
        <f aca="false">IF($D2040="","",M2040*Y2040/100)</f>
        <v/>
      </c>
      <c r="V2040" s="16" t="str">
        <f aca="false">IF($D2040="","",Y2040*AB2040/100)</f>
        <v/>
      </c>
      <c r="W2040" s="16" t="str">
        <f aca="false">IF($D2040="","",Y2040-V2040)</f>
        <v/>
      </c>
      <c r="X2040" s="16" t="str">
        <f aca="false">IF($D2040="","",W2040-N2040)</f>
        <v/>
      </c>
      <c r="AB2040" s="17" t="str">
        <f aca="false">IF($D2040="","",IF(OR($R2040=TRUE(),$R2040="TRUE"),Settings!$C$6,Settings!$C$7)*100)</f>
        <v/>
      </c>
      <c r="AH2040" s="18" t="str">
        <f aca="false">IF($D2040="","",IF(COUNTIF($D$2:$D2040,$D2040)=1,1,0))</f>
        <v/>
      </c>
      <c r="AI2040" s="18" t="str">
        <f aca="false">IF($AH2040=1,SUMPRODUCT(--($AK$2:$AK$4001&lt;$AK2040))+1,"")</f>
        <v/>
      </c>
      <c r="AJ2040" s="18" t="str">
        <f aca="false">IF($D2040="","",IF(OR($R2040=TRUE(),$R2040="TRUE"),1,0))</f>
        <v/>
      </c>
      <c r="AK2040" s="18" t="str">
        <f aca="false">IF($AH2040=1,IFERROR(VALUE(MID($D2040,2,20)),1000000000)+ROW()/10000000,"")</f>
        <v/>
      </c>
    </row>
    <row r="2041" customFormat="false" ht="15" hidden="false" customHeight="false" outlineLevel="0" collapsed="false">
      <c r="F2041" s="15"/>
      <c r="N2041" s="16" t="str">
        <f aca="false">IF($D2041="","",M2041*Y2041/100)</f>
        <v/>
      </c>
      <c r="V2041" s="16" t="str">
        <f aca="false">IF($D2041="","",Y2041*AB2041/100)</f>
        <v/>
      </c>
      <c r="W2041" s="16" t="str">
        <f aca="false">IF($D2041="","",Y2041-V2041)</f>
        <v/>
      </c>
      <c r="X2041" s="16" t="str">
        <f aca="false">IF($D2041="","",W2041-N2041)</f>
        <v/>
      </c>
      <c r="AB2041" s="17" t="str">
        <f aca="false">IF($D2041="","",IF(OR($R2041=TRUE(),$R2041="TRUE"),Settings!$C$6,Settings!$C$7)*100)</f>
        <v/>
      </c>
      <c r="AH2041" s="18" t="str">
        <f aca="false">IF($D2041="","",IF(COUNTIF($D$2:$D2041,$D2041)=1,1,0))</f>
        <v/>
      </c>
      <c r="AI2041" s="18" t="str">
        <f aca="false">IF($AH2041=1,SUMPRODUCT(--($AK$2:$AK$4001&lt;$AK2041))+1,"")</f>
        <v/>
      </c>
      <c r="AJ2041" s="18" t="str">
        <f aca="false">IF($D2041="","",IF(OR($R2041=TRUE(),$R2041="TRUE"),1,0))</f>
        <v/>
      </c>
      <c r="AK2041" s="18" t="str">
        <f aca="false">IF($AH2041=1,IFERROR(VALUE(MID($D2041,2,20)),1000000000)+ROW()/10000000,"")</f>
        <v/>
      </c>
    </row>
    <row r="2042" customFormat="false" ht="15" hidden="false" customHeight="false" outlineLevel="0" collapsed="false">
      <c r="F2042" s="15"/>
      <c r="N2042" s="16" t="str">
        <f aca="false">IF($D2042="","",M2042*Y2042/100)</f>
        <v/>
      </c>
      <c r="V2042" s="16" t="str">
        <f aca="false">IF($D2042="","",Y2042*AB2042/100)</f>
        <v/>
      </c>
      <c r="W2042" s="16" t="str">
        <f aca="false">IF($D2042="","",Y2042-V2042)</f>
        <v/>
      </c>
      <c r="X2042" s="16" t="str">
        <f aca="false">IF($D2042="","",W2042-N2042)</f>
        <v/>
      </c>
      <c r="AB2042" s="17" t="str">
        <f aca="false">IF($D2042="","",IF(OR($R2042=TRUE(),$R2042="TRUE"),Settings!$C$6,Settings!$C$7)*100)</f>
        <v/>
      </c>
      <c r="AH2042" s="18" t="str">
        <f aca="false">IF($D2042="","",IF(COUNTIF($D$2:$D2042,$D2042)=1,1,0))</f>
        <v/>
      </c>
      <c r="AI2042" s="18" t="str">
        <f aca="false">IF($AH2042=1,SUMPRODUCT(--($AK$2:$AK$4001&lt;$AK2042))+1,"")</f>
        <v/>
      </c>
      <c r="AJ2042" s="18" t="str">
        <f aca="false">IF($D2042="","",IF(OR($R2042=TRUE(),$R2042="TRUE"),1,0))</f>
        <v/>
      </c>
      <c r="AK2042" s="18" t="str">
        <f aca="false">IF($AH2042=1,IFERROR(VALUE(MID($D2042,2,20)),1000000000)+ROW()/10000000,"")</f>
        <v/>
      </c>
    </row>
    <row r="2043" customFormat="false" ht="15" hidden="false" customHeight="false" outlineLevel="0" collapsed="false">
      <c r="F2043" s="15"/>
      <c r="N2043" s="16" t="str">
        <f aca="false">IF($D2043="","",M2043*Y2043/100)</f>
        <v/>
      </c>
      <c r="V2043" s="16" t="str">
        <f aca="false">IF($D2043="","",Y2043*AB2043/100)</f>
        <v/>
      </c>
      <c r="W2043" s="16" t="str">
        <f aca="false">IF($D2043="","",Y2043-V2043)</f>
        <v/>
      </c>
      <c r="X2043" s="16" t="str">
        <f aca="false">IF($D2043="","",W2043-N2043)</f>
        <v/>
      </c>
      <c r="AB2043" s="17" t="str">
        <f aca="false">IF($D2043="","",IF(OR($R2043=TRUE(),$R2043="TRUE"),Settings!$C$6,Settings!$C$7)*100)</f>
        <v/>
      </c>
      <c r="AH2043" s="18" t="str">
        <f aca="false">IF($D2043="","",IF(COUNTIF($D$2:$D2043,$D2043)=1,1,0))</f>
        <v/>
      </c>
      <c r="AI2043" s="18" t="str">
        <f aca="false">IF($AH2043=1,SUMPRODUCT(--($AK$2:$AK$4001&lt;$AK2043))+1,"")</f>
        <v/>
      </c>
      <c r="AJ2043" s="18" t="str">
        <f aca="false">IF($D2043="","",IF(OR($R2043=TRUE(),$R2043="TRUE"),1,0))</f>
        <v/>
      </c>
      <c r="AK2043" s="18" t="str">
        <f aca="false">IF($AH2043=1,IFERROR(VALUE(MID($D2043,2,20)),1000000000)+ROW()/10000000,"")</f>
        <v/>
      </c>
    </row>
    <row r="2044" customFormat="false" ht="15" hidden="false" customHeight="false" outlineLevel="0" collapsed="false">
      <c r="F2044" s="15"/>
      <c r="N2044" s="16" t="str">
        <f aca="false">IF($D2044="","",M2044*Y2044/100)</f>
        <v/>
      </c>
      <c r="V2044" s="16" t="str">
        <f aca="false">IF($D2044="","",Y2044*AB2044/100)</f>
        <v/>
      </c>
      <c r="W2044" s="16" t="str">
        <f aca="false">IF($D2044="","",Y2044-V2044)</f>
        <v/>
      </c>
      <c r="X2044" s="16" t="str">
        <f aca="false">IF($D2044="","",W2044-N2044)</f>
        <v/>
      </c>
      <c r="AB2044" s="17" t="str">
        <f aca="false">IF($D2044="","",IF(OR($R2044=TRUE(),$R2044="TRUE"),Settings!$C$6,Settings!$C$7)*100)</f>
        <v/>
      </c>
      <c r="AH2044" s="18" t="str">
        <f aca="false">IF($D2044="","",IF(COUNTIF($D$2:$D2044,$D2044)=1,1,0))</f>
        <v/>
      </c>
      <c r="AI2044" s="18" t="str">
        <f aca="false">IF($AH2044=1,SUMPRODUCT(--($AK$2:$AK$4001&lt;$AK2044))+1,"")</f>
        <v/>
      </c>
      <c r="AJ2044" s="18" t="str">
        <f aca="false">IF($D2044="","",IF(OR($R2044=TRUE(),$R2044="TRUE"),1,0))</f>
        <v/>
      </c>
      <c r="AK2044" s="18" t="str">
        <f aca="false">IF($AH2044=1,IFERROR(VALUE(MID($D2044,2,20)),1000000000)+ROW()/10000000,"")</f>
        <v/>
      </c>
    </row>
    <row r="2045" customFormat="false" ht="15" hidden="false" customHeight="false" outlineLevel="0" collapsed="false">
      <c r="F2045" s="15"/>
      <c r="N2045" s="16" t="str">
        <f aca="false">IF($D2045="","",M2045*Y2045/100)</f>
        <v/>
      </c>
      <c r="V2045" s="16" t="str">
        <f aca="false">IF($D2045="","",Y2045*AB2045/100)</f>
        <v/>
      </c>
      <c r="W2045" s="16" t="str">
        <f aca="false">IF($D2045="","",Y2045-V2045)</f>
        <v/>
      </c>
      <c r="X2045" s="16" t="str">
        <f aca="false">IF($D2045="","",W2045-N2045)</f>
        <v/>
      </c>
      <c r="AB2045" s="17" t="str">
        <f aca="false">IF($D2045="","",IF(OR($R2045=TRUE(),$R2045="TRUE"),Settings!$C$6,Settings!$C$7)*100)</f>
        <v/>
      </c>
      <c r="AH2045" s="18" t="str">
        <f aca="false">IF($D2045="","",IF(COUNTIF($D$2:$D2045,$D2045)=1,1,0))</f>
        <v/>
      </c>
      <c r="AI2045" s="18" t="str">
        <f aca="false">IF($AH2045=1,SUMPRODUCT(--($AK$2:$AK$4001&lt;$AK2045))+1,"")</f>
        <v/>
      </c>
      <c r="AJ2045" s="18" t="str">
        <f aca="false">IF($D2045="","",IF(OR($R2045=TRUE(),$R2045="TRUE"),1,0))</f>
        <v/>
      </c>
      <c r="AK2045" s="18" t="str">
        <f aca="false">IF($AH2045=1,IFERROR(VALUE(MID($D2045,2,20)),1000000000)+ROW()/10000000,"")</f>
        <v/>
      </c>
    </row>
    <row r="2046" customFormat="false" ht="15" hidden="false" customHeight="false" outlineLevel="0" collapsed="false">
      <c r="F2046" s="15"/>
      <c r="N2046" s="16" t="str">
        <f aca="false">IF($D2046="","",M2046*Y2046/100)</f>
        <v/>
      </c>
      <c r="V2046" s="16" t="str">
        <f aca="false">IF($D2046="","",Y2046*AB2046/100)</f>
        <v/>
      </c>
      <c r="W2046" s="16" t="str">
        <f aca="false">IF($D2046="","",Y2046-V2046)</f>
        <v/>
      </c>
      <c r="X2046" s="16" t="str">
        <f aca="false">IF($D2046="","",W2046-N2046)</f>
        <v/>
      </c>
      <c r="AB2046" s="17" t="str">
        <f aca="false">IF($D2046="","",IF(OR($R2046=TRUE(),$R2046="TRUE"),Settings!$C$6,Settings!$C$7)*100)</f>
        <v/>
      </c>
      <c r="AH2046" s="18" t="str">
        <f aca="false">IF($D2046="","",IF(COUNTIF($D$2:$D2046,$D2046)=1,1,0))</f>
        <v/>
      </c>
      <c r="AI2046" s="18" t="str">
        <f aca="false">IF($AH2046=1,SUMPRODUCT(--($AK$2:$AK$4001&lt;$AK2046))+1,"")</f>
        <v/>
      </c>
      <c r="AJ2046" s="18" t="str">
        <f aca="false">IF($D2046="","",IF(OR($R2046=TRUE(),$R2046="TRUE"),1,0))</f>
        <v/>
      </c>
      <c r="AK2046" s="18" t="str">
        <f aca="false">IF($AH2046=1,IFERROR(VALUE(MID($D2046,2,20)),1000000000)+ROW()/10000000,"")</f>
        <v/>
      </c>
    </row>
    <row r="2047" customFormat="false" ht="15" hidden="false" customHeight="false" outlineLevel="0" collapsed="false">
      <c r="F2047" s="15"/>
      <c r="N2047" s="16" t="str">
        <f aca="false">IF($D2047="","",M2047*Y2047/100)</f>
        <v/>
      </c>
      <c r="V2047" s="16" t="str">
        <f aca="false">IF($D2047="","",Y2047*AB2047/100)</f>
        <v/>
      </c>
      <c r="W2047" s="16" t="str">
        <f aca="false">IF($D2047="","",Y2047-V2047)</f>
        <v/>
      </c>
      <c r="X2047" s="16" t="str">
        <f aca="false">IF($D2047="","",W2047-N2047)</f>
        <v/>
      </c>
      <c r="AB2047" s="17" t="str">
        <f aca="false">IF($D2047="","",IF(OR($R2047=TRUE(),$R2047="TRUE"),Settings!$C$6,Settings!$C$7)*100)</f>
        <v/>
      </c>
      <c r="AH2047" s="18" t="str">
        <f aca="false">IF($D2047="","",IF(COUNTIF($D$2:$D2047,$D2047)=1,1,0))</f>
        <v/>
      </c>
      <c r="AI2047" s="18" t="str">
        <f aca="false">IF($AH2047=1,SUMPRODUCT(--($AK$2:$AK$4001&lt;$AK2047))+1,"")</f>
        <v/>
      </c>
      <c r="AJ2047" s="18" t="str">
        <f aca="false">IF($D2047="","",IF(OR($R2047=TRUE(),$R2047="TRUE"),1,0))</f>
        <v/>
      </c>
      <c r="AK2047" s="18" t="str">
        <f aca="false">IF($AH2047=1,IFERROR(VALUE(MID($D2047,2,20)),1000000000)+ROW()/10000000,"")</f>
        <v/>
      </c>
    </row>
    <row r="2048" customFormat="false" ht="15" hidden="false" customHeight="false" outlineLevel="0" collapsed="false">
      <c r="F2048" s="15"/>
      <c r="N2048" s="16" t="str">
        <f aca="false">IF($D2048="","",M2048*Y2048/100)</f>
        <v/>
      </c>
      <c r="V2048" s="16" t="str">
        <f aca="false">IF($D2048="","",Y2048*AB2048/100)</f>
        <v/>
      </c>
      <c r="W2048" s="16" t="str">
        <f aca="false">IF($D2048="","",Y2048-V2048)</f>
        <v/>
      </c>
      <c r="X2048" s="16" t="str">
        <f aca="false">IF($D2048="","",W2048-N2048)</f>
        <v/>
      </c>
      <c r="AB2048" s="17" t="str">
        <f aca="false">IF($D2048="","",IF(OR($R2048=TRUE(),$R2048="TRUE"),Settings!$C$6,Settings!$C$7)*100)</f>
        <v/>
      </c>
      <c r="AH2048" s="18" t="str">
        <f aca="false">IF($D2048="","",IF(COUNTIF($D$2:$D2048,$D2048)=1,1,0))</f>
        <v/>
      </c>
      <c r="AI2048" s="18" t="str">
        <f aca="false">IF($AH2048=1,SUMPRODUCT(--($AK$2:$AK$4001&lt;$AK2048))+1,"")</f>
        <v/>
      </c>
      <c r="AJ2048" s="18" t="str">
        <f aca="false">IF($D2048="","",IF(OR($R2048=TRUE(),$R2048="TRUE"),1,0))</f>
        <v/>
      </c>
      <c r="AK2048" s="18" t="str">
        <f aca="false">IF($AH2048=1,IFERROR(VALUE(MID($D2048,2,20)),1000000000)+ROW()/10000000,"")</f>
        <v/>
      </c>
    </row>
    <row r="2049" customFormat="false" ht="15" hidden="false" customHeight="false" outlineLevel="0" collapsed="false">
      <c r="F2049" s="15"/>
      <c r="N2049" s="16" t="str">
        <f aca="false">IF($D2049="","",M2049*Y2049/100)</f>
        <v/>
      </c>
      <c r="V2049" s="16" t="str">
        <f aca="false">IF($D2049="","",Y2049*AB2049/100)</f>
        <v/>
      </c>
      <c r="W2049" s="16" t="str">
        <f aca="false">IF($D2049="","",Y2049-V2049)</f>
        <v/>
      </c>
      <c r="X2049" s="16" t="str">
        <f aca="false">IF($D2049="","",W2049-N2049)</f>
        <v/>
      </c>
      <c r="AB2049" s="17" t="str">
        <f aca="false">IF($D2049="","",IF(OR($R2049=TRUE(),$R2049="TRUE"),Settings!$C$6,Settings!$C$7)*100)</f>
        <v/>
      </c>
      <c r="AH2049" s="18" t="str">
        <f aca="false">IF($D2049="","",IF(COUNTIF($D$2:$D2049,$D2049)=1,1,0))</f>
        <v/>
      </c>
      <c r="AI2049" s="18" t="str">
        <f aca="false">IF($AH2049=1,SUMPRODUCT(--($AK$2:$AK$4001&lt;$AK2049))+1,"")</f>
        <v/>
      </c>
      <c r="AJ2049" s="18" t="str">
        <f aca="false">IF($D2049="","",IF(OR($R2049=TRUE(),$R2049="TRUE"),1,0))</f>
        <v/>
      </c>
      <c r="AK2049" s="18" t="str">
        <f aca="false">IF($AH2049=1,IFERROR(VALUE(MID($D2049,2,20)),1000000000)+ROW()/10000000,"")</f>
        <v/>
      </c>
    </row>
    <row r="2050" customFormat="false" ht="15" hidden="false" customHeight="false" outlineLevel="0" collapsed="false">
      <c r="F2050" s="15"/>
      <c r="N2050" s="16" t="str">
        <f aca="false">IF($D2050="","",M2050*Y2050/100)</f>
        <v/>
      </c>
      <c r="V2050" s="16" t="str">
        <f aca="false">IF($D2050="","",Y2050*AB2050/100)</f>
        <v/>
      </c>
      <c r="W2050" s="16" t="str">
        <f aca="false">IF($D2050="","",Y2050-V2050)</f>
        <v/>
      </c>
      <c r="X2050" s="16" t="str">
        <f aca="false">IF($D2050="","",W2050-N2050)</f>
        <v/>
      </c>
      <c r="AB2050" s="17" t="str">
        <f aca="false">IF($D2050="","",IF(OR($R2050=TRUE(),$R2050="TRUE"),Settings!$C$6,Settings!$C$7)*100)</f>
        <v/>
      </c>
      <c r="AH2050" s="18" t="str">
        <f aca="false">IF($D2050="","",IF(COUNTIF($D$2:$D2050,$D2050)=1,1,0))</f>
        <v/>
      </c>
      <c r="AI2050" s="18" t="str">
        <f aca="false">IF($AH2050=1,SUMPRODUCT(--($AK$2:$AK$4001&lt;$AK2050))+1,"")</f>
        <v/>
      </c>
      <c r="AJ2050" s="18" t="str">
        <f aca="false">IF($D2050="","",IF(OR($R2050=TRUE(),$R2050="TRUE"),1,0))</f>
        <v/>
      </c>
      <c r="AK2050" s="18" t="str">
        <f aca="false">IF($AH2050=1,IFERROR(VALUE(MID($D2050,2,20)),1000000000)+ROW()/10000000,"")</f>
        <v/>
      </c>
    </row>
    <row r="2051" customFormat="false" ht="15" hidden="false" customHeight="false" outlineLevel="0" collapsed="false">
      <c r="F2051" s="15"/>
      <c r="N2051" s="16" t="str">
        <f aca="false">IF($D2051="","",M2051*Y2051/100)</f>
        <v/>
      </c>
      <c r="V2051" s="16" t="str">
        <f aca="false">IF($D2051="","",Y2051*AB2051/100)</f>
        <v/>
      </c>
      <c r="W2051" s="16" t="str">
        <f aca="false">IF($D2051="","",Y2051-V2051)</f>
        <v/>
      </c>
      <c r="X2051" s="16" t="str">
        <f aca="false">IF($D2051="","",W2051-N2051)</f>
        <v/>
      </c>
      <c r="AB2051" s="17" t="str">
        <f aca="false">IF($D2051="","",IF(OR($R2051=TRUE(),$R2051="TRUE"),Settings!$C$6,Settings!$C$7)*100)</f>
        <v/>
      </c>
      <c r="AH2051" s="18" t="str">
        <f aca="false">IF($D2051="","",IF(COUNTIF($D$2:$D2051,$D2051)=1,1,0))</f>
        <v/>
      </c>
      <c r="AI2051" s="18" t="str">
        <f aca="false">IF($AH2051=1,SUMPRODUCT(--($AK$2:$AK$4001&lt;$AK2051))+1,"")</f>
        <v/>
      </c>
      <c r="AJ2051" s="18" t="str">
        <f aca="false">IF($D2051="","",IF(OR($R2051=TRUE(),$R2051="TRUE"),1,0))</f>
        <v/>
      </c>
      <c r="AK2051" s="18" t="str">
        <f aca="false">IF($AH2051=1,IFERROR(VALUE(MID($D2051,2,20)),1000000000)+ROW()/10000000,"")</f>
        <v/>
      </c>
    </row>
    <row r="2052" customFormat="false" ht="15" hidden="false" customHeight="false" outlineLevel="0" collapsed="false">
      <c r="F2052" s="15"/>
      <c r="N2052" s="16" t="str">
        <f aca="false">IF($D2052="","",M2052*Y2052/100)</f>
        <v/>
      </c>
      <c r="V2052" s="16" t="str">
        <f aca="false">IF($D2052="","",Y2052*AB2052/100)</f>
        <v/>
      </c>
      <c r="W2052" s="16" t="str">
        <f aca="false">IF($D2052="","",Y2052-V2052)</f>
        <v/>
      </c>
      <c r="X2052" s="16" t="str">
        <f aca="false">IF($D2052="","",W2052-N2052)</f>
        <v/>
      </c>
      <c r="AB2052" s="17" t="str">
        <f aca="false">IF($D2052="","",IF(OR($R2052=TRUE(),$R2052="TRUE"),Settings!$C$6,Settings!$C$7)*100)</f>
        <v/>
      </c>
      <c r="AH2052" s="18" t="str">
        <f aca="false">IF($D2052="","",IF(COUNTIF($D$2:$D2052,$D2052)=1,1,0))</f>
        <v/>
      </c>
      <c r="AI2052" s="18" t="str">
        <f aca="false">IF($AH2052=1,SUMPRODUCT(--($AK$2:$AK$4001&lt;$AK2052))+1,"")</f>
        <v/>
      </c>
      <c r="AJ2052" s="18" t="str">
        <f aca="false">IF($D2052="","",IF(OR($R2052=TRUE(),$R2052="TRUE"),1,0))</f>
        <v/>
      </c>
      <c r="AK2052" s="18" t="str">
        <f aca="false">IF($AH2052=1,IFERROR(VALUE(MID($D2052,2,20)),1000000000)+ROW()/10000000,"")</f>
        <v/>
      </c>
    </row>
    <row r="2053" customFormat="false" ht="15" hidden="false" customHeight="false" outlineLevel="0" collapsed="false">
      <c r="F2053" s="15"/>
      <c r="N2053" s="16" t="str">
        <f aca="false">IF($D2053="","",M2053*Y2053/100)</f>
        <v/>
      </c>
      <c r="V2053" s="16" t="str">
        <f aca="false">IF($D2053="","",Y2053*AB2053/100)</f>
        <v/>
      </c>
      <c r="W2053" s="16" t="str">
        <f aca="false">IF($D2053="","",Y2053-V2053)</f>
        <v/>
      </c>
      <c r="X2053" s="16" t="str">
        <f aca="false">IF($D2053="","",W2053-N2053)</f>
        <v/>
      </c>
      <c r="AB2053" s="17" t="str">
        <f aca="false">IF($D2053="","",IF(OR($R2053=TRUE(),$R2053="TRUE"),Settings!$C$6,Settings!$C$7)*100)</f>
        <v/>
      </c>
      <c r="AH2053" s="18" t="str">
        <f aca="false">IF($D2053="","",IF(COUNTIF($D$2:$D2053,$D2053)=1,1,0))</f>
        <v/>
      </c>
      <c r="AI2053" s="18" t="str">
        <f aca="false">IF($AH2053=1,SUMPRODUCT(--($AK$2:$AK$4001&lt;$AK2053))+1,"")</f>
        <v/>
      </c>
      <c r="AJ2053" s="18" t="str">
        <f aca="false">IF($D2053="","",IF(OR($R2053=TRUE(),$R2053="TRUE"),1,0))</f>
        <v/>
      </c>
      <c r="AK2053" s="18" t="str">
        <f aca="false">IF($AH2053=1,IFERROR(VALUE(MID($D2053,2,20)),1000000000)+ROW()/10000000,"")</f>
        <v/>
      </c>
    </row>
    <row r="2054" customFormat="false" ht="15" hidden="false" customHeight="false" outlineLevel="0" collapsed="false">
      <c r="F2054" s="15"/>
      <c r="N2054" s="16" t="str">
        <f aca="false">IF($D2054="","",M2054*Y2054/100)</f>
        <v/>
      </c>
      <c r="V2054" s="16" t="str">
        <f aca="false">IF($D2054="","",Y2054*AB2054/100)</f>
        <v/>
      </c>
      <c r="W2054" s="16" t="str">
        <f aca="false">IF($D2054="","",Y2054-V2054)</f>
        <v/>
      </c>
      <c r="X2054" s="16" t="str">
        <f aca="false">IF($D2054="","",W2054-N2054)</f>
        <v/>
      </c>
      <c r="AB2054" s="17" t="str">
        <f aca="false">IF($D2054="","",IF(OR($R2054=TRUE(),$R2054="TRUE"),Settings!$C$6,Settings!$C$7)*100)</f>
        <v/>
      </c>
      <c r="AH2054" s="18" t="str">
        <f aca="false">IF($D2054="","",IF(COUNTIF($D$2:$D2054,$D2054)=1,1,0))</f>
        <v/>
      </c>
      <c r="AI2054" s="18" t="str">
        <f aca="false">IF($AH2054=1,SUMPRODUCT(--($AK$2:$AK$4001&lt;$AK2054))+1,"")</f>
        <v/>
      </c>
      <c r="AJ2054" s="18" t="str">
        <f aca="false">IF($D2054="","",IF(OR($R2054=TRUE(),$R2054="TRUE"),1,0))</f>
        <v/>
      </c>
      <c r="AK2054" s="18" t="str">
        <f aca="false">IF($AH2054=1,IFERROR(VALUE(MID($D2054,2,20)),1000000000)+ROW()/10000000,"")</f>
        <v/>
      </c>
    </row>
    <row r="2055" customFormat="false" ht="15" hidden="false" customHeight="false" outlineLevel="0" collapsed="false">
      <c r="F2055" s="15"/>
      <c r="N2055" s="16" t="str">
        <f aca="false">IF($D2055="","",M2055*Y2055/100)</f>
        <v/>
      </c>
      <c r="V2055" s="16" t="str">
        <f aca="false">IF($D2055="","",Y2055*AB2055/100)</f>
        <v/>
      </c>
      <c r="W2055" s="16" t="str">
        <f aca="false">IF($D2055="","",Y2055-V2055)</f>
        <v/>
      </c>
      <c r="X2055" s="16" t="str">
        <f aca="false">IF($D2055="","",W2055-N2055)</f>
        <v/>
      </c>
      <c r="AB2055" s="17" t="str">
        <f aca="false">IF($D2055="","",IF(OR($R2055=TRUE(),$R2055="TRUE"),Settings!$C$6,Settings!$C$7)*100)</f>
        <v/>
      </c>
      <c r="AH2055" s="18" t="str">
        <f aca="false">IF($D2055="","",IF(COUNTIF($D$2:$D2055,$D2055)=1,1,0))</f>
        <v/>
      </c>
      <c r="AI2055" s="18" t="str">
        <f aca="false">IF($AH2055=1,SUMPRODUCT(--($AK$2:$AK$4001&lt;$AK2055))+1,"")</f>
        <v/>
      </c>
      <c r="AJ2055" s="18" t="str">
        <f aca="false">IF($D2055="","",IF(OR($R2055=TRUE(),$R2055="TRUE"),1,0))</f>
        <v/>
      </c>
      <c r="AK2055" s="18" t="str">
        <f aca="false">IF($AH2055=1,IFERROR(VALUE(MID($D2055,2,20)),1000000000)+ROW()/10000000,"")</f>
        <v/>
      </c>
    </row>
    <row r="2056" customFormat="false" ht="15" hidden="false" customHeight="false" outlineLevel="0" collapsed="false">
      <c r="F2056" s="15"/>
      <c r="N2056" s="16" t="str">
        <f aca="false">IF($D2056="","",M2056*Y2056/100)</f>
        <v/>
      </c>
      <c r="V2056" s="16" t="str">
        <f aca="false">IF($D2056="","",Y2056*AB2056/100)</f>
        <v/>
      </c>
      <c r="W2056" s="16" t="str">
        <f aca="false">IF($D2056="","",Y2056-V2056)</f>
        <v/>
      </c>
      <c r="X2056" s="16" t="str">
        <f aca="false">IF($D2056="","",W2056-N2056)</f>
        <v/>
      </c>
      <c r="AB2056" s="17" t="str">
        <f aca="false">IF($D2056="","",IF(OR($R2056=TRUE(),$R2056="TRUE"),Settings!$C$6,Settings!$C$7)*100)</f>
        <v/>
      </c>
      <c r="AH2056" s="18" t="str">
        <f aca="false">IF($D2056="","",IF(COUNTIF($D$2:$D2056,$D2056)=1,1,0))</f>
        <v/>
      </c>
      <c r="AI2056" s="18" t="str">
        <f aca="false">IF($AH2056=1,SUMPRODUCT(--($AK$2:$AK$4001&lt;$AK2056))+1,"")</f>
        <v/>
      </c>
      <c r="AJ2056" s="18" t="str">
        <f aca="false">IF($D2056="","",IF(OR($R2056=TRUE(),$R2056="TRUE"),1,0))</f>
        <v/>
      </c>
      <c r="AK2056" s="18" t="str">
        <f aca="false">IF($AH2056=1,IFERROR(VALUE(MID($D2056,2,20)),1000000000)+ROW()/10000000,"")</f>
        <v/>
      </c>
    </row>
    <row r="2057" customFormat="false" ht="15" hidden="false" customHeight="false" outlineLevel="0" collapsed="false">
      <c r="F2057" s="15"/>
      <c r="N2057" s="16" t="str">
        <f aca="false">IF($D2057="","",M2057*Y2057/100)</f>
        <v/>
      </c>
      <c r="V2057" s="16" t="str">
        <f aca="false">IF($D2057="","",Y2057*AB2057/100)</f>
        <v/>
      </c>
      <c r="W2057" s="16" t="str">
        <f aca="false">IF($D2057="","",Y2057-V2057)</f>
        <v/>
      </c>
      <c r="X2057" s="16" t="str">
        <f aca="false">IF($D2057="","",W2057-N2057)</f>
        <v/>
      </c>
      <c r="AB2057" s="17" t="str">
        <f aca="false">IF($D2057="","",IF(OR($R2057=TRUE(),$R2057="TRUE"),Settings!$C$6,Settings!$C$7)*100)</f>
        <v/>
      </c>
      <c r="AH2057" s="18" t="str">
        <f aca="false">IF($D2057="","",IF(COUNTIF($D$2:$D2057,$D2057)=1,1,0))</f>
        <v/>
      </c>
      <c r="AI2057" s="18" t="str">
        <f aca="false">IF($AH2057=1,SUMPRODUCT(--($AK$2:$AK$4001&lt;$AK2057))+1,"")</f>
        <v/>
      </c>
      <c r="AJ2057" s="18" t="str">
        <f aca="false">IF($D2057="","",IF(OR($R2057=TRUE(),$R2057="TRUE"),1,0))</f>
        <v/>
      </c>
      <c r="AK2057" s="18" t="str">
        <f aca="false">IF($AH2057=1,IFERROR(VALUE(MID($D2057,2,20)),1000000000)+ROW()/10000000,"")</f>
        <v/>
      </c>
    </row>
    <row r="2058" customFormat="false" ht="15" hidden="false" customHeight="false" outlineLevel="0" collapsed="false">
      <c r="F2058" s="15"/>
      <c r="N2058" s="16" t="str">
        <f aca="false">IF($D2058="","",M2058*Y2058/100)</f>
        <v/>
      </c>
      <c r="V2058" s="16" t="str">
        <f aca="false">IF($D2058="","",Y2058*AB2058/100)</f>
        <v/>
      </c>
      <c r="W2058" s="16" t="str">
        <f aca="false">IF($D2058="","",Y2058-V2058)</f>
        <v/>
      </c>
      <c r="X2058" s="16" t="str">
        <f aca="false">IF($D2058="","",W2058-N2058)</f>
        <v/>
      </c>
      <c r="AB2058" s="17" t="str">
        <f aca="false">IF($D2058="","",IF(OR($R2058=TRUE(),$R2058="TRUE"),Settings!$C$6,Settings!$C$7)*100)</f>
        <v/>
      </c>
      <c r="AH2058" s="18" t="str">
        <f aca="false">IF($D2058="","",IF(COUNTIF($D$2:$D2058,$D2058)=1,1,0))</f>
        <v/>
      </c>
      <c r="AI2058" s="18" t="str">
        <f aca="false">IF($AH2058=1,SUMPRODUCT(--($AK$2:$AK$4001&lt;$AK2058))+1,"")</f>
        <v/>
      </c>
      <c r="AJ2058" s="18" t="str">
        <f aca="false">IF($D2058="","",IF(OR($R2058=TRUE(),$R2058="TRUE"),1,0))</f>
        <v/>
      </c>
      <c r="AK2058" s="18" t="str">
        <f aca="false">IF($AH2058=1,IFERROR(VALUE(MID($D2058,2,20)),1000000000)+ROW()/10000000,"")</f>
        <v/>
      </c>
    </row>
    <row r="2059" customFormat="false" ht="15" hidden="false" customHeight="false" outlineLevel="0" collapsed="false">
      <c r="F2059" s="15"/>
      <c r="N2059" s="16" t="str">
        <f aca="false">IF($D2059="","",M2059*Y2059/100)</f>
        <v/>
      </c>
      <c r="V2059" s="16" t="str">
        <f aca="false">IF($D2059="","",Y2059*AB2059/100)</f>
        <v/>
      </c>
      <c r="W2059" s="16" t="str">
        <f aca="false">IF($D2059="","",Y2059-V2059)</f>
        <v/>
      </c>
      <c r="X2059" s="16" t="str">
        <f aca="false">IF($D2059="","",W2059-N2059)</f>
        <v/>
      </c>
      <c r="AB2059" s="17" t="str">
        <f aca="false">IF($D2059="","",IF(OR($R2059=TRUE(),$R2059="TRUE"),Settings!$C$6,Settings!$C$7)*100)</f>
        <v/>
      </c>
      <c r="AH2059" s="18" t="str">
        <f aca="false">IF($D2059="","",IF(COUNTIF($D$2:$D2059,$D2059)=1,1,0))</f>
        <v/>
      </c>
      <c r="AI2059" s="18" t="str">
        <f aca="false">IF($AH2059=1,SUMPRODUCT(--($AK$2:$AK$4001&lt;$AK2059))+1,"")</f>
        <v/>
      </c>
      <c r="AJ2059" s="18" t="str">
        <f aca="false">IF($D2059="","",IF(OR($R2059=TRUE(),$R2059="TRUE"),1,0))</f>
        <v/>
      </c>
      <c r="AK2059" s="18" t="str">
        <f aca="false">IF($AH2059=1,IFERROR(VALUE(MID($D2059,2,20)),1000000000)+ROW()/10000000,"")</f>
        <v/>
      </c>
    </row>
    <row r="2060" customFormat="false" ht="15" hidden="false" customHeight="false" outlineLevel="0" collapsed="false">
      <c r="F2060" s="15"/>
      <c r="N2060" s="16" t="str">
        <f aca="false">IF($D2060="","",M2060*Y2060/100)</f>
        <v/>
      </c>
      <c r="V2060" s="16" t="str">
        <f aca="false">IF($D2060="","",Y2060*AB2060/100)</f>
        <v/>
      </c>
      <c r="W2060" s="16" t="str">
        <f aca="false">IF($D2060="","",Y2060-V2060)</f>
        <v/>
      </c>
      <c r="X2060" s="16" t="str">
        <f aca="false">IF($D2060="","",W2060-N2060)</f>
        <v/>
      </c>
      <c r="AB2060" s="17" t="str">
        <f aca="false">IF($D2060="","",IF(OR($R2060=TRUE(),$R2060="TRUE"),Settings!$C$6,Settings!$C$7)*100)</f>
        <v/>
      </c>
      <c r="AH2060" s="18" t="str">
        <f aca="false">IF($D2060="","",IF(COUNTIF($D$2:$D2060,$D2060)=1,1,0))</f>
        <v/>
      </c>
      <c r="AI2060" s="18" t="str">
        <f aca="false">IF($AH2060=1,SUMPRODUCT(--($AK$2:$AK$4001&lt;$AK2060))+1,"")</f>
        <v/>
      </c>
      <c r="AJ2060" s="18" t="str">
        <f aca="false">IF($D2060="","",IF(OR($R2060=TRUE(),$R2060="TRUE"),1,0))</f>
        <v/>
      </c>
      <c r="AK2060" s="18" t="str">
        <f aca="false">IF($AH2060=1,IFERROR(VALUE(MID($D2060,2,20)),1000000000)+ROW()/10000000,"")</f>
        <v/>
      </c>
    </row>
    <row r="2061" customFormat="false" ht="15" hidden="false" customHeight="false" outlineLevel="0" collapsed="false">
      <c r="F2061" s="15"/>
      <c r="N2061" s="16" t="str">
        <f aca="false">IF($D2061="","",M2061*Y2061/100)</f>
        <v/>
      </c>
      <c r="V2061" s="16" t="str">
        <f aca="false">IF($D2061="","",Y2061*AB2061/100)</f>
        <v/>
      </c>
      <c r="W2061" s="16" t="str">
        <f aca="false">IF($D2061="","",Y2061-V2061)</f>
        <v/>
      </c>
      <c r="X2061" s="16" t="str">
        <f aca="false">IF($D2061="","",W2061-N2061)</f>
        <v/>
      </c>
      <c r="AB2061" s="17" t="str">
        <f aca="false">IF($D2061="","",IF(OR($R2061=TRUE(),$R2061="TRUE"),Settings!$C$6,Settings!$C$7)*100)</f>
        <v/>
      </c>
      <c r="AH2061" s="18" t="str">
        <f aca="false">IF($D2061="","",IF(COUNTIF($D$2:$D2061,$D2061)=1,1,0))</f>
        <v/>
      </c>
      <c r="AI2061" s="18" t="str">
        <f aca="false">IF($AH2061=1,SUMPRODUCT(--($AK$2:$AK$4001&lt;$AK2061))+1,"")</f>
        <v/>
      </c>
      <c r="AJ2061" s="18" t="str">
        <f aca="false">IF($D2061="","",IF(OR($R2061=TRUE(),$R2061="TRUE"),1,0))</f>
        <v/>
      </c>
      <c r="AK2061" s="18" t="str">
        <f aca="false">IF($AH2061=1,IFERROR(VALUE(MID($D2061,2,20)),1000000000)+ROW()/10000000,"")</f>
        <v/>
      </c>
    </row>
    <row r="2062" customFormat="false" ht="15" hidden="false" customHeight="false" outlineLevel="0" collapsed="false">
      <c r="F2062" s="15"/>
      <c r="N2062" s="16" t="str">
        <f aca="false">IF($D2062="","",M2062*Y2062/100)</f>
        <v/>
      </c>
      <c r="V2062" s="16" t="str">
        <f aca="false">IF($D2062="","",Y2062*AB2062/100)</f>
        <v/>
      </c>
      <c r="W2062" s="16" t="str">
        <f aca="false">IF($D2062="","",Y2062-V2062)</f>
        <v/>
      </c>
      <c r="X2062" s="16" t="str">
        <f aca="false">IF($D2062="","",W2062-N2062)</f>
        <v/>
      </c>
      <c r="AB2062" s="17" t="str">
        <f aca="false">IF($D2062="","",IF(OR($R2062=TRUE(),$R2062="TRUE"),Settings!$C$6,Settings!$C$7)*100)</f>
        <v/>
      </c>
      <c r="AH2062" s="18" t="str">
        <f aca="false">IF($D2062="","",IF(COUNTIF($D$2:$D2062,$D2062)=1,1,0))</f>
        <v/>
      </c>
      <c r="AI2062" s="18" t="str">
        <f aca="false">IF($AH2062=1,SUMPRODUCT(--($AK$2:$AK$4001&lt;$AK2062))+1,"")</f>
        <v/>
      </c>
      <c r="AJ2062" s="18" t="str">
        <f aca="false">IF($D2062="","",IF(OR($R2062=TRUE(),$R2062="TRUE"),1,0))</f>
        <v/>
      </c>
      <c r="AK2062" s="18" t="str">
        <f aca="false">IF($AH2062=1,IFERROR(VALUE(MID($D2062,2,20)),1000000000)+ROW()/10000000,"")</f>
        <v/>
      </c>
    </row>
    <row r="2063" customFormat="false" ht="15" hidden="false" customHeight="false" outlineLevel="0" collapsed="false">
      <c r="F2063" s="15"/>
      <c r="N2063" s="16" t="str">
        <f aca="false">IF($D2063="","",M2063*Y2063/100)</f>
        <v/>
      </c>
      <c r="V2063" s="16" t="str">
        <f aca="false">IF($D2063="","",Y2063*AB2063/100)</f>
        <v/>
      </c>
      <c r="W2063" s="16" t="str">
        <f aca="false">IF($D2063="","",Y2063-V2063)</f>
        <v/>
      </c>
      <c r="X2063" s="16" t="str">
        <f aca="false">IF($D2063="","",W2063-N2063)</f>
        <v/>
      </c>
      <c r="AB2063" s="17" t="str">
        <f aca="false">IF($D2063="","",IF(OR($R2063=TRUE(),$R2063="TRUE"),Settings!$C$6,Settings!$C$7)*100)</f>
        <v/>
      </c>
      <c r="AH2063" s="18" t="str">
        <f aca="false">IF($D2063="","",IF(COUNTIF($D$2:$D2063,$D2063)=1,1,0))</f>
        <v/>
      </c>
      <c r="AI2063" s="18" t="str">
        <f aca="false">IF($AH2063=1,SUMPRODUCT(--($AK$2:$AK$4001&lt;$AK2063))+1,"")</f>
        <v/>
      </c>
      <c r="AJ2063" s="18" t="str">
        <f aca="false">IF($D2063="","",IF(OR($R2063=TRUE(),$R2063="TRUE"),1,0))</f>
        <v/>
      </c>
      <c r="AK2063" s="18" t="str">
        <f aca="false">IF($AH2063=1,IFERROR(VALUE(MID($D2063,2,20)),1000000000)+ROW()/10000000,"")</f>
        <v/>
      </c>
    </row>
    <row r="2064" customFormat="false" ht="15" hidden="false" customHeight="false" outlineLevel="0" collapsed="false">
      <c r="F2064" s="15"/>
      <c r="N2064" s="16" t="str">
        <f aca="false">IF($D2064="","",M2064*Y2064/100)</f>
        <v/>
      </c>
      <c r="V2064" s="16" t="str">
        <f aca="false">IF($D2064="","",Y2064*AB2064/100)</f>
        <v/>
      </c>
      <c r="W2064" s="16" t="str">
        <f aca="false">IF($D2064="","",Y2064-V2064)</f>
        <v/>
      </c>
      <c r="X2064" s="16" t="str">
        <f aca="false">IF($D2064="","",W2064-N2064)</f>
        <v/>
      </c>
      <c r="AB2064" s="17" t="str">
        <f aca="false">IF($D2064="","",IF(OR($R2064=TRUE(),$R2064="TRUE"),Settings!$C$6,Settings!$C$7)*100)</f>
        <v/>
      </c>
      <c r="AH2064" s="18" t="str">
        <f aca="false">IF($D2064="","",IF(COUNTIF($D$2:$D2064,$D2064)=1,1,0))</f>
        <v/>
      </c>
      <c r="AI2064" s="18" t="str">
        <f aca="false">IF($AH2064=1,SUMPRODUCT(--($AK$2:$AK$4001&lt;$AK2064))+1,"")</f>
        <v/>
      </c>
      <c r="AJ2064" s="18" t="str">
        <f aca="false">IF($D2064="","",IF(OR($R2064=TRUE(),$R2064="TRUE"),1,0))</f>
        <v/>
      </c>
      <c r="AK2064" s="18" t="str">
        <f aca="false">IF($AH2064=1,IFERROR(VALUE(MID($D2064,2,20)),1000000000)+ROW()/10000000,"")</f>
        <v/>
      </c>
    </row>
    <row r="2065" customFormat="false" ht="15" hidden="false" customHeight="false" outlineLevel="0" collapsed="false">
      <c r="F2065" s="15"/>
      <c r="N2065" s="16" t="str">
        <f aca="false">IF($D2065="","",M2065*Y2065/100)</f>
        <v/>
      </c>
      <c r="V2065" s="16" t="str">
        <f aca="false">IF($D2065="","",Y2065*AB2065/100)</f>
        <v/>
      </c>
      <c r="W2065" s="16" t="str">
        <f aca="false">IF($D2065="","",Y2065-V2065)</f>
        <v/>
      </c>
      <c r="X2065" s="16" t="str">
        <f aca="false">IF($D2065="","",W2065-N2065)</f>
        <v/>
      </c>
      <c r="AB2065" s="17" t="str">
        <f aca="false">IF($D2065="","",IF(OR($R2065=TRUE(),$R2065="TRUE"),Settings!$C$6,Settings!$C$7)*100)</f>
        <v/>
      </c>
      <c r="AH2065" s="18" t="str">
        <f aca="false">IF($D2065="","",IF(COUNTIF($D$2:$D2065,$D2065)=1,1,0))</f>
        <v/>
      </c>
      <c r="AI2065" s="18" t="str">
        <f aca="false">IF($AH2065=1,SUMPRODUCT(--($AK$2:$AK$4001&lt;$AK2065))+1,"")</f>
        <v/>
      </c>
      <c r="AJ2065" s="18" t="str">
        <f aca="false">IF($D2065="","",IF(OR($R2065=TRUE(),$R2065="TRUE"),1,0))</f>
        <v/>
      </c>
      <c r="AK2065" s="18" t="str">
        <f aca="false">IF($AH2065=1,IFERROR(VALUE(MID($D2065,2,20)),1000000000)+ROW()/10000000,"")</f>
        <v/>
      </c>
    </row>
    <row r="2066" customFormat="false" ht="15" hidden="false" customHeight="false" outlineLevel="0" collapsed="false">
      <c r="F2066" s="15"/>
      <c r="N2066" s="16" t="str">
        <f aca="false">IF($D2066="","",M2066*Y2066/100)</f>
        <v/>
      </c>
      <c r="V2066" s="16" t="str">
        <f aca="false">IF($D2066="","",Y2066*AB2066/100)</f>
        <v/>
      </c>
      <c r="W2066" s="16" t="str">
        <f aca="false">IF($D2066="","",Y2066-V2066)</f>
        <v/>
      </c>
      <c r="X2066" s="16" t="str">
        <f aca="false">IF($D2066="","",W2066-N2066)</f>
        <v/>
      </c>
      <c r="AB2066" s="17" t="str">
        <f aca="false">IF($D2066="","",IF(OR($R2066=TRUE(),$R2066="TRUE"),Settings!$C$6,Settings!$C$7)*100)</f>
        <v/>
      </c>
      <c r="AH2066" s="18" t="str">
        <f aca="false">IF($D2066="","",IF(COUNTIF($D$2:$D2066,$D2066)=1,1,0))</f>
        <v/>
      </c>
      <c r="AI2066" s="18" t="str">
        <f aca="false">IF($AH2066=1,SUMPRODUCT(--($AK$2:$AK$4001&lt;$AK2066))+1,"")</f>
        <v/>
      </c>
      <c r="AJ2066" s="18" t="str">
        <f aca="false">IF($D2066="","",IF(OR($R2066=TRUE(),$R2066="TRUE"),1,0))</f>
        <v/>
      </c>
      <c r="AK2066" s="18" t="str">
        <f aca="false">IF($AH2066=1,IFERROR(VALUE(MID($D2066,2,20)),1000000000)+ROW()/10000000,"")</f>
        <v/>
      </c>
    </row>
    <row r="2067" customFormat="false" ht="15" hidden="false" customHeight="false" outlineLevel="0" collapsed="false">
      <c r="F2067" s="15"/>
      <c r="N2067" s="16" t="str">
        <f aca="false">IF($D2067="","",M2067*Y2067/100)</f>
        <v/>
      </c>
      <c r="V2067" s="16" t="str">
        <f aca="false">IF($D2067="","",Y2067*AB2067/100)</f>
        <v/>
      </c>
      <c r="W2067" s="16" t="str">
        <f aca="false">IF($D2067="","",Y2067-V2067)</f>
        <v/>
      </c>
      <c r="X2067" s="16" t="str">
        <f aca="false">IF($D2067="","",W2067-N2067)</f>
        <v/>
      </c>
      <c r="AB2067" s="17" t="str">
        <f aca="false">IF($D2067="","",IF(OR($R2067=TRUE(),$R2067="TRUE"),Settings!$C$6,Settings!$C$7)*100)</f>
        <v/>
      </c>
      <c r="AH2067" s="18" t="str">
        <f aca="false">IF($D2067="","",IF(COUNTIF($D$2:$D2067,$D2067)=1,1,0))</f>
        <v/>
      </c>
      <c r="AI2067" s="18" t="str">
        <f aca="false">IF($AH2067=1,SUMPRODUCT(--($AK$2:$AK$4001&lt;$AK2067))+1,"")</f>
        <v/>
      </c>
      <c r="AJ2067" s="18" t="str">
        <f aca="false">IF($D2067="","",IF(OR($R2067=TRUE(),$R2067="TRUE"),1,0))</f>
        <v/>
      </c>
      <c r="AK2067" s="18" t="str">
        <f aca="false">IF($AH2067=1,IFERROR(VALUE(MID($D2067,2,20)),1000000000)+ROW()/10000000,"")</f>
        <v/>
      </c>
    </row>
    <row r="2068" customFormat="false" ht="15" hidden="false" customHeight="false" outlineLevel="0" collapsed="false">
      <c r="F2068" s="15"/>
      <c r="N2068" s="16" t="str">
        <f aca="false">IF($D2068="","",M2068*Y2068/100)</f>
        <v/>
      </c>
      <c r="V2068" s="16" t="str">
        <f aca="false">IF($D2068="","",Y2068*AB2068/100)</f>
        <v/>
      </c>
      <c r="W2068" s="16" t="str">
        <f aca="false">IF($D2068="","",Y2068-V2068)</f>
        <v/>
      </c>
      <c r="X2068" s="16" t="str">
        <f aca="false">IF($D2068="","",W2068-N2068)</f>
        <v/>
      </c>
      <c r="AB2068" s="17" t="str">
        <f aca="false">IF($D2068="","",IF(OR($R2068=TRUE(),$R2068="TRUE"),Settings!$C$6,Settings!$C$7)*100)</f>
        <v/>
      </c>
      <c r="AH2068" s="18" t="str">
        <f aca="false">IF($D2068="","",IF(COUNTIF($D$2:$D2068,$D2068)=1,1,0))</f>
        <v/>
      </c>
      <c r="AI2068" s="18" t="str">
        <f aca="false">IF($AH2068=1,SUMPRODUCT(--($AK$2:$AK$4001&lt;$AK2068))+1,"")</f>
        <v/>
      </c>
      <c r="AJ2068" s="18" t="str">
        <f aca="false">IF($D2068="","",IF(OR($R2068=TRUE(),$R2068="TRUE"),1,0))</f>
        <v/>
      </c>
      <c r="AK2068" s="18" t="str">
        <f aca="false">IF($AH2068=1,IFERROR(VALUE(MID($D2068,2,20)),1000000000)+ROW()/10000000,"")</f>
        <v/>
      </c>
    </row>
    <row r="2069" customFormat="false" ht="15" hidden="false" customHeight="false" outlineLevel="0" collapsed="false">
      <c r="F2069" s="15"/>
      <c r="N2069" s="16" t="str">
        <f aca="false">IF($D2069="","",M2069*Y2069/100)</f>
        <v/>
      </c>
      <c r="V2069" s="16" t="str">
        <f aca="false">IF($D2069="","",Y2069*AB2069/100)</f>
        <v/>
      </c>
      <c r="W2069" s="16" t="str">
        <f aca="false">IF($D2069="","",Y2069-V2069)</f>
        <v/>
      </c>
      <c r="X2069" s="16" t="str">
        <f aca="false">IF($D2069="","",W2069-N2069)</f>
        <v/>
      </c>
      <c r="AB2069" s="17" t="str">
        <f aca="false">IF($D2069="","",IF(OR($R2069=TRUE(),$R2069="TRUE"),Settings!$C$6,Settings!$C$7)*100)</f>
        <v/>
      </c>
      <c r="AH2069" s="18" t="str">
        <f aca="false">IF($D2069="","",IF(COUNTIF($D$2:$D2069,$D2069)=1,1,0))</f>
        <v/>
      </c>
      <c r="AI2069" s="18" t="str">
        <f aca="false">IF($AH2069=1,SUMPRODUCT(--($AK$2:$AK$4001&lt;$AK2069))+1,"")</f>
        <v/>
      </c>
      <c r="AJ2069" s="18" t="str">
        <f aca="false">IF($D2069="","",IF(OR($R2069=TRUE(),$R2069="TRUE"),1,0))</f>
        <v/>
      </c>
      <c r="AK2069" s="18" t="str">
        <f aca="false">IF($AH2069=1,IFERROR(VALUE(MID($D2069,2,20)),1000000000)+ROW()/10000000,"")</f>
        <v/>
      </c>
    </row>
    <row r="2070" customFormat="false" ht="15" hidden="false" customHeight="false" outlineLevel="0" collapsed="false">
      <c r="F2070" s="15"/>
      <c r="N2070" s="16" t="str">
        <f aca="false">IF($D2070="","",M2070*Y2070/100)</f>
        <v/>
      </c>
      <c r="V2070" s="16" t="str">
        <f aca="false">IF($D2070="","",Y2070*AB2070/100)</f>
        <v/>
      </c>
      <c r="W2070" s="16" t="str">
        <f aca="false">IF($D2070="","",Y2070-V2070)</f>
        <v/>
      </c>
      <c r="X2070" s="16" t="str">
        <f aca="false">IF($D2070="","",W2070-N2070)</f>
        <v/>
      </c>
      <c r="AB2070" s="17" t="str">
        <f aca="false">IF($D2070="","",IF(OR($R2070=TRUE(),$R2070="TRUE"),Settings!$C$6,Settings!$C$7)*100)</f>
        <v/>
      </c>
      <c r="AH2070" s="18" t="str">
        <f aca="false">IF($D2070="","",IF(COUNTIF($D$2:$D2070,$D2070)=1,1,0))</f>
        <v/>
      </c>
      <c r="AI2070" s="18" t="str">
        <f aca="false">IF($AH2070=1,SUMPRODUCT(--($AK$2:$AK$4001&lt;$AK2070))+1,"")</f>
        <v/>
      </c>
      <c r="AJ2070" s="18" t="str">
        <f aca="false">IF($D2070="","",IF(OR($R2070=TRUE(),$R2070="TRUE"),1,0))</f>
        <v/>
      </c>
      <c r="AK2070" s="18" t="str">
        <f aca="false">IF($AH2070=1,IFERROR(VALUE(MID($D2070,2,20)),1000000000)+ROW()/10000000,"")</f>
        <v/>
      </c>
    </row>
    <row r="2071" customFormat="false" ht="15" hidden="false" customHeight="false" outlineLevel="0" collapsed="false">
      <c r="F2071" s="15"/>
      <c r="N2071" s="16" t="str">
        <f aca="false">IF($D2071="","",M2071*Y2071/100)</f>
        <v/>
      </c>
      <c r="V2071" s="16" t="str">
        <f aca="false">IF($D2071="","",Y2071*AB2071/100)</f>
        <v/>
      </c>
      <c r="W2071" s="16" t="str">
        <f aca="false">IF($D2071="","",Y2071-V2071)</f>
        <v/>
      </c>
      <c r="X2071" s="16" t="str">
        <f aca="false">IF($D2071="","",W2071-N2071)</f>
        <v/>
      </c>
      <c r="AB2071" s="17" t="str">
        <f aca="false">IF($D2071="","",IF(OR($R2071=TRUE(),$R2071="TRUE"),Settings!$C$6,Settings!$C$7)*100)</f>
        <v/>
      </c>
      <c r="AH2071" s="18" t="str">
        <f aca="false">IF($D2071="","",IF(COUNTIF($D$2:$D2071,$D2071)=1,1,0))</f>
        <v/>
      </c>
      <c r="AI2071" s="18" t="str">
        <f aca="false">IF($AH2071=1,SUMPRODUCT(--($AK$2:$AK$4001&lt;$AK2071))+1,"")</f>
        <v/>
      </c>
      <c r="AJ2071" s="18" t="str">
        <f aca="false">IF($D2071="","",IF(OR($R2071=TRUE(),$R2071="TRUE"),1,0))</f>
        <v/>
      </c>
      <c r="AK2071" s="18" t="str">
        <f aca="false">IF($AH2071=1,IFERROR(VALUE(MID($D2071,2,20)),1000000000)+ROW()/10000000,"")</f>
        <v/>
      </c>
    </row>
    <row r="2072" customFormat="false" ht="15" hidden="false" customHeight="false" outlineLevel="0" collapsed="false">
      <c r="F2072" s="15"/>
      <c r="N2072" s="16" t="str">
        <f aca="false">IF($D2072="","",M2072*Y2072/100)</f>
        <v/>
      </c>
      <c r="V2072" s="16" t="str">
        <f aca="false">IF($D2072="","",Y2072*AB2072/100)</f>
        <v/>
      </c>
      <c r="W2072" s="16" t="str">
        <f aca="false">IF($D2072="","",Y2072-V2072)</f>
        <v/>
      </c>
      <c r="X2072" s="16" t="str">
        <f aca="false">IF($D2072="","",W2072-N2072)</f>
        <v/>
      </c>
      <c r="AB2072" s="17" t="str">
        <f aca="false">IF($D2072="","",IF(OR($R2072=TRUE(),$R2072="TRUE"),Settings!$C$6,Settings!$C$7)*100)</f>
        <v/>
      </c>
      <c r="AH2072" s="18" t="str">
        <f aca="false">IF($D2072="","",IF(COUNTIF($D$2:$D2072,$D2072)=1,1,0))</f>
        <v/>
      </c>
      <c r="AI2072" s="18" t="str">
        <f aca="false">IF($AH2072=1,SUMPRODUCT(--($AK$2:$AK$4001&lt;$AK2072))+1,"")</f>
        <v/>
      </c>
      <c r="AJ2072" s="18" t="str">
        <f aca="false">IF($D2072="","",IF(OR($R2072=TRUE(),$R2072="TRUE"),1,0))</f>
        <v/>
      </c>
      <c r="AK2072" s="18" t="str">
        <f aca="false">IF($AH2072=1,IFERROR(VALUE(MID($D2072,2,20)),1000000000)+ROW()/10000000,"")</f>
        <v/>
      </c>
    </row>
    <row r="2073" customFormat="false" ht="15" hidden="false" customHeight="false" outlineLevel="0" collapsed="false">
      <c r="F2073" s="15"/>
      <c r="N2073" s="16" t="str">
        <f aca="false">IF($D2073="","",M2073*Y2073/100)</f>
        <v/>
      </c>
      <c r="V2073" s="16" t="str">
        <f aca="false">IF($D2073="","",Y2073*AB2073/100)</f>
        <v/>
      </c>
      <c r="W2073" s="16" t="str">
        <f aca="false">IF($D2073="","",Y2073-V2073)</f>
        <v/>
      </c>
      <c r="X2073" s="16" t="str">
        <f aca="false">IF($D2073="","",W2073-N2073)</f>
        <v/>
      </c>
      <c r="AB2073" s="17" t="str">
        <f aca="false">IF($D2073="","",IF(OR($R2073=TRUE(),$R2073="TRUE"),Settings!$C$6,Settings!$C$7)*100)</f>
        <v/>
      </c>
      <c r="AH2073" s="18" t="str">
        <f aca="false">IF($D2073="","",IF(COUNTIF($D$2:$D2073,$D2073)=1,1,0))</f>
        <v/>
      </c>
      <c r="AI2073" s="18" t="str">
        <f aca="false">IF($AH2073=1,SUMPRODUCT(--($AK$2:$AK$4001&lt;$AK2073))+1,"")</f>
        <v/>
      </c>
      <c r="AJ2073" s="18" t="str">
        <f aca="false">IF($D2073="","",IF(OR($R2073=TRUE(),$R2073="TRUE"),1,0))</f>
        <v/>
      </c>
      <c r="AK2073" s="18" t="str">
        <f aca="false">IF($AH2073=1,IFERROR(VALUE(MID($D2073,2,20)),1000000000)+ROW()/10000000,"")</f>
        <v/>
      </c>
    </row>
    <row r="2074" customFormat="false" ht="15" hidden="false" customHeight="false" outlineLevel="0" collapsed="false">
      <c r="F2074" s="15"/>
      <c r="N2074" s="16" t="str">
        <f aca="false">IF($D2074="","",M2074*Y2074/100)</f>
        <v/>
      </c>
      <c r="V2074" s="16" t="str">
        <f aca="false">IF($D2074="","",Y2074*AB2074/100)</f>
        <v/>
      </c>
      <c r="W2074" s="16" t="str">
        <f aca="false">IF($D2074="","",Y2074-V2074)</f>
        <v/>
      </c>
      <c r="X2074" s="16" t="str">
        <f aca="false">IF($D2074="","",W2074-N2074)</f>
        <v/>
      </c>
      <c r="AB2074" s="17" t="str">
        <f aca="false">IF($D2074="","",IF(OR($R2074=TRUE(),$R2074="TRUE"),Settings!$C$6,Settings!$C$7)*100)</f>
        <v/>
      </c>
      <c r="AH2074" s="18" t="str">
        <f aca="false">IF($D2074="","",IF(COUNTIF($D$2:$D2074,$D2074)=1,1,0))</f>
        <v/>
      </c>
      <c r="AI2074" s="18" t="str">
        <f aca="false">IF($AH2074=1,SUMPRODUCT(--($AK$2:$AK$4001&lt;$AK2074))+1,"")</f>
        <v/>
      </c>
      <c r="AJ2074" s="18" t="str">
        <f aca="false">IF($D2074="","",IF(OR($R2074=TRUE(),$R2074="TRUE"),1,0))</f>
        <v/>
      </c>
      <c r="AK2074" s="18" t="str">
        <f aca="false">IF($AH2074=1,IFERROR(VALUE(MID($D2074,2,20)),1000000000)+ROW()/10000000,"")</f>
        <v/>
      </c>
    </row>
    <row r="2075" customFormat="false" ht="15" hidden="false" customHeight="false" outlineLevel="0" collapsed="false">
      <c r="F2075" s="15"/>
      <c r="N2075" s="16" t="str">
        <f aca="false">IF($D2075="","",M2075*Y2075/100)</f>
        <v/>
      </c>
      <c r="V2075" s="16" t="str">
        <f aca="false">IF($D2075="","",Y2075*AB2075/100)</f>
        <v/>
      </c>
      <c r="W2075" s="16" t="str">
        <f aca="false">IF($D2075="","",Y2075-V2075)</f>
        <v/>
      </c>
      <c r="X2075" s="16" t="str">
        <f aca="false">IF($D2075="","",W2075-N2075)</f>
        <v/>
      </c>
      <c r="AB2075" s="17" t="str">
        <f aca="false">IF($D2075="","",IF(OR($R2075=TRUE(),$R2075="TRUE"),Settings!$C$6,Settings!$C$7)*100)</f>
        <v/>
      </c>
      <c r="AH2075" s="18" t="str">
        <f aca="false">IF($D2075="","",IF(COUNTIF($D$2:$D2075,$D2075)=1,1,0))</f>
        <v/>
      </c>
      <c r="AI2075" s="18" t="str">
        <f aca="false">IF($AH2075=1,SUMPRODUCT(--($AK$2:$AK$4001&lt;$AK2075))+1,"")</f>
        <v/>
      </c>
      <c r="AJ2075" s="18" t="str">
        <f aca="false">IF($D2075="","",IF(OR($R2075=TRUE(),$R2075="TRUE"),1,0))</f>
        <v/>
      </c>
      <c r="AK2075" s="18" t="str">
        <f aca="false">IF($AH2075=1,IFERROR(VALUE(MID($D2075,2,20)),1000000000)+ROW()/10000000,"")</f>
        <v/>
      </c>
    </row>
    <row r="2076" customFormat="false" ht="15" hidden="false" customHeight="false" outlineLevel="0" collapsed="false">
      <c r="F2076" s="15"/>
      <c r="N2076" s="16" t="str">
        <f aca="false">IF($D2076="","",M2076*Y2076/100)</f>
        <v/>
      </c>
      <c r="V2076" s="16" t="str">
        <f aca="false">IF($D2076="","",Y2076*AB2076/100)</f>
        <v/>
      </c>
      <c r="W2076" s="16" t="str">
        <f aca="false">IF($D2076="","",Y2076-V2076)</f>
        <v/>
      </c>
      <c r="X2076" s="16" t="str">
        <f aca="false">IF($D2076="","",W2076-N2076)</f>
        <v/>
      </c>
      <c r="AB2076" s="17" t="str">
        <f aca="false">IF($D2076="","",IF(OR($R2076=TRUE(),$R2076="TRUE"),Settings!$C$6,Settings!$C$7)*100)</f>
        <v/>
      </c>
      <c r="AH2076" s="18" t="str">
        <f aca="false">IF($D2076="","",IF(COUNTIF($D$2:$D2076,$D2076)=1,1,0))</f>
        <v/>
      </c>
      <c r="AI2076" s="18" t="str">
        <f aca="false">IF($AH2076=1,SUMPRODUCT(--($AK$2:$AK$4001&lt;$AK2076))+1,"")</f>
        <v/>
      </c>
      <c r="AJ2076" s="18" t="str">
        <f aca="false">IF($D2076="","",IF(OR($R2076=TRUE(),$R2076="TRUE"),1,0))</f>
        <v/>
      </c>
      <c r="AK2076" s="18" t="str">
        <f aca="false">IF($AH2076=1,IFERROR(VALUE(MID($D2076,2,20)),1000000000)+ROW()/10000000,"")</f>
        <v/>
      </c>
    </row>
    <row r="2077" customFormat="false" ht="15" hidden="false" customHeight="false" outlineLevel="0" collapsed="false">
      <c r="F2077" s="15"/>
      <c r="N2077" s="16" t="str">
        <f aca="false">IF($D2077="","",M2077*Y2077/100)</f>
        <v/>
      </c>
      <c r="V2077" s="16" t="str">
        <f aca="false">IF($D2077="","",Y2077*AB2077/100)</f>
        <v/>
      </c>
      <c r="W2077" s="16" t="str">
        <f aca="false">IF($D2077="","",Y2077-V2077)</f>
        <v/>
      </c>
      <c r="X2077" s="16" t="str">
        <f aca="false">IF($D2077="","",W2077-N2077)</f>
        <v/>
      </c>
      <c r="AB2077" s="17" t="str">
        <f aca="false">IF($D2077="","",IF(OR($R2077=TRUE(),$R2077="TRUE"),Settings!$C$6,Settings!$C$7)*100)</f>
        <v/>
      </c>
      <c r="AH2077" s="18" t="str">
        <f aca="false">IF($D2077="","",IF(COUNTIF($D$2:$D2077,$D2077)=1,1,0))</f>
        <v/>
      </c>
      <c r="AI2077" s="18" t="str">
        <f aca="false">IF($AH2077=1,SUMPRODUCT(--($AK$2:$AK$4001&lt;$AK2077))+1,"")</f>
        <v/>
      </c>
      <c r="AJ2077" s="18" t="str">
        <f aca="false">IF($D2077="","",IF(OR($R2077=TRUE(),$R2077="TRUE"),1,0))</f>
        <v/>
      </c>
      <c r="AK2077" s="18" t="str">
        <f aca="false">IF($AH2077=1,IFERROR(VALUE(MID($D2077,2,20)),1000000000)+ROW()/10000000,"")</f>
        <v/>
      </c>
    </row>
    <row r="2078" customFormat="false" ht="15" hidden="false" customHeight="false" outlineLevel="0" collapsed="false">
      <c r="F2078" s="15"/>
      <c r="N2078" s="16" t="str">
        <f aca="false">IF($D2078="","",M2078*Y2078/100)</f>
        <v/>
      </c>
      <c r="V2078" s="16" t="str">
        <f aca="false">IF($D2078="","",Y2078*AB2078/100)</f>
        <v/>
      </c>
      <c r="W2078" s="16" t="str">
        <f aca="false">IF($D2078="","",Y2078-V2078)</f>
        <v/>
      </c>
      <c r="X2078" s="16" t="str">
        <f aca="false">IF($D2078="","",W2078-N2078)</f>
        <v/>
      </c>
      <c r="AB2078" s="17" t="str">
        <f aca="false">IF($D2078="","",IF(OR($R2078=TRUE(),$R2078="TRUE"),Settings!$C$6,Settings!$C$7)*100)</f>
        <v/>
      </c>
      <c r="AH2078" s="18" t="str">
        <f aca="false">IF($D2078="","",IF(COUNTIF($D$2:$D2078,$D2078)=1,1,0))</f>
        <v/>
      </c>
      <c r="AI2078" s="18" t="str">
        <f aca="false">IF($AH2078=1,SUMPRODUCT(--($AK$2:$AK$4001&lt;$AK2078))+1,"")</f>
        <v/>
      </c>
      <c r="AJ2078" s="18" t="str">
        <f aca="false">IF($D2078="","",IF(OR($R2078=TRUE(),$R2078="TRUE"),1,0))</f>
        <v/>
      </c>
      <c r="AK2078" s="18" t="str">
        <f aca="false">IF($AH2078=1,IFERROR(VALUE(MID($D2078,2,20)),1000000000)+ROW()/10000000,"")</f>
        <v/>
      </c>
    </row>
    <row r="2079" customFormat="false" ht="15" hidden="false" customHeight="false" outlineLevel="0" collapsed="false">
      <c r="F2079" s="15"/>
      <c r="N2079" s="16" t="str">
        <f aca="false">IF($D2079="","",M2079*Y2079/100)</f>
        <v/>
      </c>
      <c r="V2079" s="16" t="str">
        <f aca="false">IF($D2079="","",Y2079*AB2079/100)</f>
        <v/>
      </c>
      <c r="W2079" s="16" t="str">
        <f aca="false">IF($D2079="","",Y2079-V2079)</f>
        <v/>
      </c>
      <c r="X2079" s="16" t="str">
        <f aca="false">IF($D2079="","",W2079-N2079)</f>
        <v/>
      </c>
      <c r="AB2079" s="17" t="str">
        <f aca="false">IF($D2079="","",IF(OR($R2079=TRUE(),$R2079="TRUE"),Settings!$C$6,Settings!$C$7)*100)</f>
        <v/>
      </c>
      <c r="AH2079" s="18" t="str">
        <f aca="false">IF($D2079="","",IF(COUNTIF($D$2:$D2079,$D2079)=1,1,0))</f>
        <v/>
      </c>
      <c r="AI2079" s="18" t="str">
        <f aca="false">IF($AH2079=1,SUMPRODUCT(--($AK$2:$AK$4001&lt;$AK2079))+1,"")</f>
        <v/>
      </c>
      <c r="AJ2079" s="18" t="str">
        <f aca="false">IF($D2079="","",IF(OR($R2079=TRUE(),$R2079="TRUE"),1,0))</f>
        <v/>
      </c>
      <c r="AK2079" s="18" t="str">
        <f aca="false">IF($AH2079=1,IFERROR(VALUE(MID($D2079,2,20)),1000000000)+ROW()/10000000,"")</f>
        <v/>
      </c>
    </row>
    <row r="2080" customFormat="false" ht="15" hidden="false" customHeight="false" outlineLevel="0" collapsed="false">
      <c r="F2080" s="15"/>
      <c r="N2080" s="16" t="str">
        <f aca="false">IF($D2080="","",M2080*Y2080/100)</f>
        <v/>
      </c>
      <c r="V2080" s="16" t="str">
        <f aca="false">IF($D2080="","",Y2080*AB2080/100)</f>
        <v/>
      </c>
      <c r="W2080" s="16" t="str">
        <f aca="false">IF($D2080="","",Y2080-V2080)</f>
        <v/>
      </c>
      <c r="X2080" s="16" t="str">
        <f aca="false">IF($D2080="","",W2080-N2080)</f>
        <v/>
      </c>
      <c r="AB2080" s="17" t="str">
        <f aca="false">IF($D2080="","",IF(OR($R2080=TRUE(),$R2080="TRUE"),Settings!$C$6,Settings!$C$7)*100)</f>
        <v/>
      </c>
      <c r="AH2080" s="18" t="str">
        <f aca="false">IF($D2080="","",IF(COUNTIF($D$2:$D2080,$D2080)=1,1,0))</f>
        <v/>
      </c>
      <c r="AI2080" s="18" t="str">
        <f aca="false">IF($AH2080=1,SUMPRODUCT(--($AK$2:$AK$4001&lt;$AK2080))+1,"")</f>
        <v/>
      </c>
      <c r="AJ2080" s="18" t="str">
        <f aca="false">IF($D2080="","",IF(OR($R2080=TRUE(),$R2080="TRUE"),1,0))</f>
        <v/>
      </c>
      <c r="AK2080" s="18" t="str">
        <f aca="false">IF($AH2080=1,IFERROR(VALUE(MID($D2080,2,20)),1000000000)+ROW()/10000000,"")</f>
        <v/>
      </c>
    </row>
    <row r="2081" customFormat="false" ht="15" hidden="false" customHeight="false" outlineLevel="0" collapsed="false">
      <c r="F2081" s="15"/>
      <c r="N2081" s="16" t="str">
        <f aca="false">IF($D2081="","",M2081*Y2081/100)</f>
        <v/>
      </c>
      <c r="V2081" s="16" t="str">
        <f aca="false">IF($D2081="","",Y2081*AB2081/100)</f>
        <v/>
      </c>
      <c r="W2081" s="16" t="str">
        <f aca="false">IF($D2081="","",Y2081-V2081)</f>
        <v/>
      </c>
      <c r="X2081" s="16" t="str">
        <f aca="false">IF($D2081="","",W2081-N2081)</f>
        <v/>
      </c>
      <c r="AB2081" s="17" t="str">
        <f aca="false">IF($D2081="","",IF(OR($R2081=TRUE(),$R2081="TRUE"),Settings!$C$6,Settings!$C$7)*100)</f>
        <v/>
      </c>
      <c r="AH2081" s="18" t="str">
        <f aca="false">IF($D2081="","",IF(COUNTIF($D$2:$D2081,$D2081)=1,1,0))</f>
        <v/>
      </c>
      <c r="AI2081" s="18" t="str">
        <f aca="false">IF($AH2081=1,SUMPRODUCT(--($AK$2:$AK$4001&lt;$AK2081))+1,"")</f>
        <v/>
      </c>
      <c r="AJ2081" s="18" t="str">
        <f aca="false">IF($D2081="","",IF(OR($R2081=TRUE(),$R2081="TRUE"),1,0))</f>
        <v/>
      </c>
      <c r="AK2081" s="18" t="str">
        <f aca="false">IF($AH2081=1,IFERROR(VALUE(MID($D2081,2,20)),1000000000)+ROW()/10000000,"")</f>
        <v/>
      </c>
    </row>
    <row r="2082" customFormat="false" ht="15" hidden="false" customHeight="false" outlineLevel="0" collapsed="false">
      <c r="F2082" s="15"/>
      <c r="N2082" s="16" t="str">
        <f aca="false">IF($D2082="","",M2082*Y2082/100)</f>
        <v/>
      </c>
      <c r="V2082" s="16" t="str">
        <f aca="false">IF($D2082="","",Y2082*AB2082/100)</f>
        <v/>
      </c>
      <c r="W2082" s="16" t="str">
        <f aca="false">IF($D2082="","",Y2082-V2082)</f>
        <v/>
      </c>
      <c r="X2082" s="16" t="str">
        <f aca="false">IF($D2082="","",W2082-N2082)</f>
        <v/>
      </c>
      <c r="AB2082" s="17" t="str">
        <f aca="false">IF($D2082="","",IF(OR($R2082=TRUE(),$R2082="TRUE"),Settings!$C$6,Settings!$C$7)*100)</f>
        <v/>
      </c>
      <c r="AH2082" s="18" t="str">
        <f aca="false">IF($D2082="","",IF(COUNTIF($D$2:$D2082,$D2082)=1,1,0))</f>
        <v/>
      </c>
      <c r="AI2082" s="18" t="str">
        <f aca="false">IF($AH2082=1,SUMPRODUCT(--($AK$2:$AK$4001&lt;$AK2082))+1,"")</f>
        <v/>
      </c>
      <c r="AJ2082" s="18" t="str">
        <f aca="false">IF($D2082="","",IF(OR($R2082=TRUE(),$R2082="TRUE"),1,0))</f>
        <v/>
      </c>
      <c r="AK2082" s="18" t="str">
        <f aca="false">IF($AH2082=1,IFERROR(VALUE(MID($D2082,2,20)),1000000000)+ROW()/10000000,"")</f>
        <v/>
      </c>
    </row>
    <row r="2083" customFormat="false" ht="15" hidden="false" customHeight="false" outlineLevel="0" collapsed="false">
      <c r="F2083" s="15"/>
      <c r="N2083" s="16" t="str">
        <f aca="false">IF($D2083="","",M2083*Y2083/100)</f>
        <v/>
      </c>
      <c r="V2083" s="16" t="str">
        <f aca="false">IF($D2083="","",Y2083*AB2083/100)</f>
        <v/>
      </c>
      <c r="W2083" s="16" t="str">
        <f aca="false">IF($D2083="","",Y2083-V2083)</f>
        <v/>
      </c>
      <c r="X2083" s="16" t="str">
        <f aca="false">IF($D2083="","",W2083-N2083)</f>
        <v/>
      </c>
      <c r="AB2083" s="17" t="str">
        <f aca="false">IF($D2083="","",IF(OR($R2083=TRUE(),$R2083="TRUE"),Settings!$C$6,Settings!$C$7)*100)</f>
        <v/>
      </c>
      <c r="AH2083" s="18" t="str">
        <f aca="false">IF($D2083="","",IF(COUNTIF($D$2:$D2083,$D2083)=1,1,0))</f>
        <v/>
      </c>
      <c r="AI2083" s="18" t="str">
        <f aca="false">IF($AH2083=1,SUMPRODUCT(--($AK$2:$AK$4001&lt;$AK2083))+1,"")</f>
        <v/>
      </c>
      <c r="AJ2083" s="18" t="str">
        <f aca="false">IF($D2083="","",IF(OR($R2083=TRUE(),$R2083="TRUE"),1,0))</f>
        <v/>
      </c>
      <c r="AK2083" s="18" t="str">
        <f aca="false">IF($AH2083=1,IFERROR(VALUE(MID($D2083,2,20)),1000000000)+ROW()/10000000,"")</f>
        <v/>
      </c>
    </row>
    <row r="2084" customFormat="false" ht="15" hidden="false" customHeight="false" outlineLevel="0" collapsed="false">
      <c r="F2084" s="15"/>
      <c r="N2084" s="16" t="str">
        <f aca="false">IF($D2084="","",M2084*Y2084/100)</f>
        <v/>
      </c>
      <c r="V2084" s="16" t="str">
        <f aca="false">IF($D2084="","",Y2084*AB2084/100)</f>
        <v/>
      </c>
      <c r="W2084" s="16" t="str">
        <f aca="false">IF($D2084="","",Y2084-V2084)</f>
        <v/>
      </c>
      <c r="X2084" s="16" t="str">
        <f aca="false">IF($D2084="","",W2084-N2084)</f>
        <v/>
      </c>
      <c r="AB2084" s="17" t="str">
        <f aca="false">IF($D2084="","",IF(OR($R2084=TRUE(),$R2084="TRUE"),Settings!$C$6,Settings!$C$7)*100)</f>
        <v/>
      </c>
      <c r="AH2084" s="18" t="str">
        <f aca="false">IF($D2084="","",IF(COUNTIF($D$2:$D2084,$D2084)=1,1,0))</f>
        <v/>
      </c>
      <c r="AI2084" s="18" t="str">
        <f aca="false">IF($AH2084=1,SUMPRODUCT(--($AK$2:$AK$4001&lt;$AK2084))+1,"")</f>
        <v/>
      </c>
      <c r="AJ2084" s="18" t="str">
        <f aca="false">IF($D2084="","",IF(OR($R2084=TRUE(),$R2084="TRUE"),1,0))</f>
        <v/>
      </c>
      <c r="AK2084" s="18" t="str">
        <f aca="false">IF($AH2084=1,IFERROR(VALUE(MID($D2084,2,20)),1000000000)+ROW()/10000000,"")</f>
        <v/>
      </c>
    </row>
    <row r="2085" customFormat="false" ht="15" hidden="false" customHeight="false" outlineLevel="0" collapsed="false">
      <c r="F2085" s="15"/>
      <c r="N2085" s="16" t="str">
        <f aca="false">IF($D2085="","",M2085*Y2085/100)</f>
        <v/>
      </c>
      <c r="V2085" s="16" t="str">
        <f aca="false">IF($D2085="","",Y2085*AB2085/100)</f>
        <v/>
      </c>
      <c r="W2085" s="16" t="str">
        <f aca="false">IF($D2085="","",Y2085-V2085)</f>
        <v/>
      </c>
      <c r="X2085" s="16" t="str">
        <f aca="false">IF($D2085="","",W2085-N2085)</f>
        <v/>
      </c>
      <c r="AB2085" s="17" t="str">
        <f aca="false">IF($D2085="","",IF(OR($R2085=TRUE(),$R2085="TRUE"),Settings!$C$6,Settings!$C$7)*100)</f>
        <v/>
      </c>
      <c r="AH2085" s="18" t="str">
        <f aca="false">IF($D2085="","",IF(COUNTIF($D$2:$D2085,$D2085)=1,1,0))</f>
        <v/>
      </c>
      <c r="AI2085" s="18" t="str">
        <f aca="false">IF($AH2085=1,SUMPRODUCT(--($AK$2:$AK$4001&lt;$AK2085))+1,"")</f>
        <v/>
      </c>
      <c r="AJ2085" s="18" t="str">
        <f aca="false">IF($D2085="","",IF(OR($R2085=TRUE(),$R2085="TRUE"),1,0))</f>
        <v/>
      </c>
      <c r="AK2085" s="18" t="str">
        <f aca="false">IF($AH2085=1,IFERROR(VALUE(MID($D2085,2,20)),1000000000)+ROW()/10000000,"")</f>
        <v/>
      </c>
    </row>
    <row r="2086" customFormat="false" ht="15" hidden="false" customHeight="false" outlineLevel="0" collapsed="false">
      <c r="F2086" s="15"/>
      <c r="N2086" s="16" t="str">
        <f aca="false">IF($D2086="","",M2086*Y2086/100)</f>
        <v/>
      </c>
      <c r="V2086" s="16" t="str">
        <f aca="false">IF($D2086="","",Y2086*AB2086/100)</f>
        <v/>
      </c>
      <c r="W2086" s="16" t="str">
        <f aca="false">IF($D2086="","",Y2086-V2086)</f>
        <v/>
      </c>
      <c r="X2086" s="16" t="str">
        <f aca="false">IF($D2086="","",W2086-N2086)</f>
        <v/>
      </c>
      <c r="AB2086" s="17" t="str">
        <f aca="false">IF($D2086="","",IF(OR($R2086=TRUE(),$R2086="TRUE"),Settings!$C$6,Settings!$C$7)*100)</f>
        <v/>
      </c>
      <c r="AH2086" s="18" t="str">
        <f aca="false">IF($D2086="","",IF(COUNTIF($D$2:$D2086,$D2086)=1,1,0))</f>
        <v/>
      </c>
      <c r="AI2086" s="18" t="str">
        <f aca="false">IF($AH2086=1,SUMPRODUCT(--($AK$2:$AK$4001&lt;$AK2086))+1,"")</f>
        <v/>
      </c>
      <c r="AJ2086" s="18" t="str">
        <f aca="false">IF($D2086="","",IF(OR($R2086=TRUE(),$R2086="TRUE"),1,0))</f>
        <v/>
      </c>
      <c r="AK2086" s="18" t="str">
        <f aca="false">IF($AH2086=1,IFERROR(VALUE(MID($D2086,2,20)),1000000000)+ROW()/10000000,"")</f>
        <v/>
      </c>
    </row>
    <row r="2087" customFormat="false" ht="15" hidden="false" customHeight="false" outlineLevel="0" collapsed="false">
      <c r="F2087" s="15"/>
      <c r="N2087" s="16" t="str">
        <f aca="false">IF($D2087="","",M2087*Y2087/100)</f>
        <v/>
      </c>
      <c r="V2087" s="16" t="str">
        <f aca="false">IF($D2087="","",Y2087*AB2087/100)</f>
        <v/>
      </c>
      <c r="W2087" s="16" t="str">
        <f aca="false">IF($D2087="","",Y2087-V2087)</f>
        <v/>
      </c>
      <c r="X2087" s="16" t="str">
        <f aca="false">IF($D2087="","",W2087-N2087)</f>
        <v/>
      </c>
      <c r="AB2087" s="17" t="str">
        <f aca="false">IF($D2087="","",IF(OR($R2087=TRUE(),$R2087="TRUE"),Settings!$C$6,Settings!$C$7)*100)</f>
        <v/>
      </c>
      <c r="AH2087" s="18" t="str">
        <f aca="false">IF($D2087="","",IF(COUNTIF($D$2:$D2087,$D2087)=1,1,0))</f>
        <v/>
      </c>
      <c r="AI2087" s="18" t="str">
        <f aca="false">IF($AH2087=1,SUMPRODUCT(--($AK$2:$AK$4001&lt;$AK2087))+1,"")</f>
        <v/>
      </c>
      <c r="AJ2087" s="18" t="str">
        <f aca="false">IF($D2087="","",IF(OR($R2087=TRUE(),$R2087="TRUE"),1,0))</f>
        <v/>
      </c>
      <c r="AK2087" s="18" t="str">
        <f aca="false">IF($AH2087=1,IFERROR(VALUE(MID($D2087,2,20)),1000000000)+ROW()/10000000,"")</f>
        <v/>
      </c>
    </row>
    <row r="2088" customFormat="false" ht="15" hidden="false" customHeight="false" outlineLevel="0" collapsed="false">
      <c r="F2088" s="15"/>
      <c r="N2088" s="16" t="str">
        <f aca="false">IF($D2088="","",M2088*Y2088/100)</f>
        <v/>
      </c>
      <c r="V2088" s="16" t="str">
        <f aca="false">IF($D2088="","",Y2088*AB2088/100)</f>
        <v/>
      </c>
      <c r="W2088" s="16" t="str">
        <f aca="false">IF($D2088="","",Y2088-V2088)</f>
        <v/>
      </c>
      <c r="X2088" s="16" t="str">
        <f aca="false">IF($D2088="","",W2088-N2088)</f>
        <v/>
      </c>
      <c r="AB2088" s="17" t="str">
        <f aca="false">IF($D2088="","",IF(OR($R2088=TRUE(),$R2088="TRUE"),Settings!$C$6,Settings!$C$7)*100)</f>
        <v/>
      </c>
      <c r="AH2088" s="18" t="str">
        <f aca="false">IF($D2088="","",IF(COUNTIF($D$2:$D2088,$D2088)=1,1,0))</f>
        <v/>
      </c>
      <c r="AI2088" s="18" t="str">
        <f aca="false">IF($AH2088=1,SUMPRODUCT(--($AK$2:$AK$4001&lt;$AK2088))+1,"")</f>
        <v/>
      </c>
      <c r="AJ2088" s="18" t="str">
        <f aca="false">IF($D2088="","",IF(OR($R2088=TRUE(),$R2088="TRUE"),1,0))</f>
        <v/>
      </c>
      <c r="AK2088" s="18" t="str">
        <f aca="false">IF($AH2088=1,IFERROR(VALUE(MID($D2088,2,20)),1000000000)+ROW()/10000000,"")</f>
        <v/>
      </c>
    </row>
    <row r="2089" customFormat="false" ht="15" hidden="false" customHeight="false" outlineLevel="0" collapsed="false">
      <c r="F2089" s="15"/>
      <c r="N2089" s="16" t="str">
        <f aca="false">IF($D2089="","",M2089*Y2089/100)</f>
        <v/>
      </c>
      <c r="V2089" s="16" t="str">
        <f aca="false">IF($D2089="","",Y2089*AB2089/100)</f>
        <v/>
      </c>
      <c r="W2089" s="16" t="str">
        <f aca="false">IF($D2089="","",Y2089-V2089)</f>
        <v/>
      </c>
      <c r="X2089" s="16" t="str">
        <f aca="false">IF($D2089="","",W2089-N2089)</f>
        <v/>
      </c>
      <c r="AB2089" s="17" t="str">
        <f aca="false">IF($D2089="","",IF(OR($R2089=TRUE(),$R2089="TRUE"),Settings!$C$6,Settings!$C$7)*100)</f>
        <v/>
      </c>
      <c r="AH2089" s="18" t="str">
        <f aca="false">IF($D2089="","",IF(COUNTIF($D$2:$D2089,$D2089)=1,1,0))</f>
        <v/>
      </c>
      <c r="AI2089" s="18" t="str">
        <f aca="false">IF($AH2089=1,SUMPRODUCT(--($AK$2:$AK$4001&lt;$AK2089))+1,"")</f>
        <v/>
      </c>
      <c r="AJ2089" s="18" t="str">
        <f aca="false">IF($D2089="","",IF(OR($R2089=TRUE(),$R2089="TRUE"),1,0))</f>
        <v/>
      </c>
      <c r="AK2089" s="18" t="str">
        <f aca="false">IF($AH2089=1,IFERROR(VALUE(MID($D2089,2,20)),1000000000)+ROW()/10000000,"")</f>
        <v/>
      </c>
    </row>
    <row r="2090" customFormat="false" ht="15" hidden="false" customHeight="false" outlineLevel="0" collapsed="false">
      <c r="F2090" s="15"/>
      <c r="N2090" s="16" t="str">
        <f aca="false">IF($D2090="","",M2090*Y2090/100)</f>
        <v/>
      </c>
      <c r="V2090" s="16" t="str">
        <f aca="false">IF($D2090="","",Y2090*AB2090/100)</f>
        <v/>
      </c>
      <c r="W2090" s="16" t="str">
        <f aca="false">IF($D2090="","",Y2090-V2090)</f>
        <v/>
      </c>
      <c r="X2090" s="16" t="str">
        <f aca="false">IF($D2090="","",W2090-N2090)</f>
        <v/>
      </c>
      <c r="AB2090" s="17" t="str">
        <f aca="false">IF($D2090="","",IF(OR($R2090=TRUE(),$R2090="TRUE"),Settings!$C$6,Settings!$C$7)*100)</f>
        <v/>
      </c>
      <c r="AH2090" s="18" t="str">
        <f aca="false">IF($D2090="","",IF(COUNTIF($D$2:$D2090,$D2090)=1,1,0))</f>
        <v/>
      </c>
      <c r="AI2090" s="18" t="str">
        <f aca="false">IF($AH2090=1,SUMPRODUCT(--($AK$2:$AK$4001&lt;$AK2090))+1,"")</f>
        <v/>
      </c>
      <c r="AJ2090" s="18" t="str">
        <f aca="false">IF($D2090="","",IF(OR($R2090=TRUE(),$R2090="TRUE"),1,0))</f>
        <v/>
      </c>
      <c r="AK2090" s="18" t="str">
        <f aca="false">IF($AH2090=1,IFERROR(VALUE(MID($D2090,2,20)),1000000000)+ROW()/10000000,"")</f>
        <v/>
      </c>
    </row>
    <row r="2091" customFormat="false" ht="15" hidden="false" customHeight="false" outlineLevel="0" collapsed="false">
      <c r="F2091" s="15"/>
      <c r="N2091" s="16" t="str">
        <f aca="false">IF($D2091="","",M2091*Y2091/100)</f>
        <v/>
      </c>
      <c r="V2091" s="16" t="str">
        <f aca="false">IF($D2091="","",Y2091*AB2091/100)</f>
        <v/>
      </c>
      <c r="W2091" s="16" t="str">
        <f aca="false">IF($D2091="","",Y2091-V2091)</f>
        <v/>
      </c>
      <c r="X2091" s="16" t="str">
        <f aca="false">IF($D2091="","",W2091-N2091)</f>
        <v/>
      </c>
      <c r="AB2091" s="17" t="str">
        <f aca="false">IF($D2091="","",IF(OR($R2091=TRUE(),$R2091="TRUE"),Settings!$C$6,Settings!$C$7)*100)</f>
        <v/>
      </c>
      <c r="AH2091" s="18" t="str">
        <f aca="false">IF($D2091="","",IF(COUNTIF($D$2:$D2091,$D2091)=1,1,0))</f>
        <v/>
      </c>
      <c r="AI2091" s="18" t="str">
        <f aca="false">IF($AH2091=1,SUMPRODUCT(--($AK$2:$AK$4001&lt;$AK2091))+1,"")</f>
        <v/>
      </c>
      <c r="AJ2091" s="18" t="str">
        <f aca="false">IF($D2091="","",IF(OR($R2091=TRUE(),$R2091="TRUE"),1,0))</f>
        <v/>
      </c>
      <c r="AK2091" s="18" t="str">
        <f aca="false">IF($AH2091=1,IFERROR(VALUE(MID($D2091,2,20)),1000000000)+ROW()/10000000,"")</f>
        <v/>
      </c>
    </row>
    <row r="2092" customFormat="false" ht="15" hidden="false" customHeight="false" outlineLevel="0" collapsed="false">
      <c r="F2092" s="15"/>
      <c r="N2092" s="16" t="str">
        <f aca="false">IF($D2092="","",M2092*Y2092/100)</f>
        <v/>
      </c>
      <c r="V2092" s="16" t="str">
        <f aca="false">IF($D2092="","",Y2092*AB2092/100)</f>
        <v/>
      </c>
      <c r="W2092" s="16" t="str">
        <f aca="false">IF($D2092="","",Y2092-V2092)</f>
        <v/>
      </c>
      <c r="X2092" s="16" t="str">
        <f aca="false">IF($D2092="","",W2092-N2092)</f>
        <v/>
      </c>
      <c r="AB2092" s="17" t="str">
        <f aca="false">IF($D2092="","",IF(OR($R2092=TRUE(),$R2092="TRUE"),Settings!$C$6,Settings!$C$7)*100)</f>
        <v/>
      </c>
      <c r="AH2092" s="18" t="str">
        <f aca="false">IF($D2092="","",IF(COUNTIF($D$2:$D2092,$D2092)=1,1,0))</f>
        <v/>
      </c>
      <c r="AI2092" s="18" t="str">
        <f aca="false">IF($AH2092=1,SUMPRODUCT(--($AK$2:$AK$4001&lt;$AK2092))+1,"")</f>
        <v/>
      </c>
      <c r="AJ2092" s="18" t="str">
        <f aca="false">IF($D2092="","",IF(OR($R2092=TRUE(),$R2092="TRUE"),1,0))</f>
        <v/>
      </c>
      <c r="AK2092" s="18" t="str">
        <f aca="false">IF($AH2092=1,IFERROR(VALUE(MID($D2092,2,20)),1000000000)+ROW()/10000000,"")</f>
        <v/>
      </c>
    </row>
    <row r="2093" customFormat="false" ht="15" hidden="false" customHeight="false" outlineLevel="0" collapsed="false">
      <c r="F2093" s="15"/>
      <c r="N2093" s="16" t="str">
        <f aca="false">IF($D2093="","",M2093*Y2093/100)</f>
        <v/>
      </c>
      <c r="V2093" s="16" t="str">
        <f aca="false">IF($D2093="","",Y2093*AB2093/100)</f>
        <v/>
      </c>
      <c r="W2093" s="16" t="str">
        <f aca="false">IF($D2093="","",Y2093-V2093)</f>
        <v/>
      </c>
      <c r="X2093" s="16" t="str">
        <f aca="false">IF($D2093="","",W2093-N2093)</f>
        <v/>
      </c>
      <c r="AB2093" s="17" t="str">
        <f aca="false">IF($D2093="","",IF(OR($R2093=TRUE(),$R2093="TRUE"),Settings!$C$6,Settings!$C$7)*100)</f>
        <v/>
      </c>
      <c r="AH2093" s="18" t="str">
        <f aca="false">IF($D2093="","",IF(COUNTIF($D$2:$D2093,$D2093)=1,1,0))</f>
        <v/>
      </c>
      <c r="AI2093" s="18" t="str">
        <f aca="false">IF($AH2093=1,SUMPRODUCT(--($AK$2:$AK$4001&lt;$AK2093))+1,"")</f>
        <v/>
      </c>
      <c r="AJ2093" s="18" t="str">
        <f aca="false">IF($D2093="","",IF(OR($R2093=TRUE(),$R2093="TRUE"),1,0))</f>
        <v/>
      </c>
      <c r="AK2093" s="18" t="str">
        <f aca="false">IF($AH2093=1,IFERROR(VALUE(MID($D2093,2,20)),1000000000)+ROW()/10000000,"")</f>
        <v/>
      </c>
    </row>
    <row r="2094" customFormat="false" ht="15" hidden="false" customHeight="false" outlineLevel="0" collapsed="false">
      <c r="F2094" s="15"/>
      <c r="N2094" s="16" t="str">
        <f aca="false">IF($D2094="","",M2094*Y2094/100)</f>
        <v/>
      </c>
      <c r="V2094" s="16" t="str">
        <f aca="false">IF($D2094="","",Y2094*AB2094/100)</f>
        <v/>
      </c>
      <c r="W2094" s="16" t="str">
        <f aca="false">IF($D2094="","",Y2094-V2094)</f>
        <v/>
      </c>
      <c r="X2094" s="16" t="str">
        <f aca="false">IF($D2094="","",W2094-N2094)</f>
        <v/>
      </c>
      <c r="AB2094" s="17" t="str">
        <f aca="false">IF($D2094="","",IF(OR($R2094=TRUE(),$R2094="TRUE"),Settings!$C$6,Settings!$C$7)*100)</f>
        <v/>
      </c>
      <c r="AH2094" s="18" t="str">
        <f aca="false">IF($D2094="","",IF(COUNTIF($D$2:$D2094,$D2094)=1,1,0))</f>
        <v/>
      </c>
      <c r="AI2094" s="18" t="str">
        <f aca="false">IF($AH2094=1,SUMPRODUCT(--($AK$2:$AK$4001&lt;$AK2094))+1,"")</f>
        <v/>
      </c>
      <c r="AJ2094" s="18" t="str">
        <f aca="false">IF($D2094="","",IF(OR($R2094=TRUE(),$R2094="TRUE"),1,0))</f>
        <v/>
      </c>
      <c r="AK2094" s="18" t="str">
        <f aca="false">IF($AH2094=1,IFERROR(VALUE(MID($D2094,2,20)),1000000000)+ROW()/10000000,"")</f>
        <v/>
      </c>
    </row>
    <row r="2095" customFormat="false" ht="15" hidden="false" customHeight="false" outlineLevel="0" collapsed="false">
      <c r="F2095" s="15"/>
      <c r="N2095" s="16" t="str">
        <f aca="false">IF($D2095="","",M2095*Y2095/100)</f>
        <v/>
      </c>
      <c r="V2095" s="16" t="str">
        <f aca="false">IF($D2095="","",Y2095*AB2095/100)</f>
        <v/>
      </c>
      <c r="W2095" s="16" t="str">
        <f aca="false">IF($D2095="","",Y2095-V2095)</f>
        <v/>
      </c>
      <c r="X2095" s="16" t="str">
        <f aca="false">IF($D2095="","",W2095-N2095)</f>
        <v/>
      </c>
      <c r="AB2095" s="17" t="str">
        <f aca="false">IF($D2095="","",IF(OR($R2095=TRUE(),$R2095="TRUE"),Settings!$C$6,Settings!$C$7)*100)</f>
        <v/>
      </c>
      <c r="AH2095" s="18" t="str">
        <f aca="false">IF($D2095="","",IF(COUNTIF($D$2:$D2095,$D2095)=1,1,0))</f>
        <v/>
      </c>
      <c r="AI2095" s="18" t="str">
        <f aca="false">IF($AH2095=1,SUMPRODUCT(--($AK$2:$AK$4001&lt;$AK2095))+1,"")</f>
        <v/>
      </c>
      <c r="AJ2095" s="18" t="str">
        <f aca="false">IF($D2095="","",IF(OR($R2095=TRUE(),$R2095="TRUE"),1,0))</f>
        <v/>
      </c>
      <c r="AK2095" s="18" t="str">
        <f aca="false">IF($AH2095=1,IFERROR(VALUE(MID($D2095,2,20)),1000000000)+ROW()/10000000,"")</f>
        <v/>
      </c>
    </row>
    <row r="2096" customFormat="false" ht="15" hidden="false" customHeight="false" outlineLevel="0" collapsed="false">
      <c r="F2096" s="15"/>
      <c r="N2096" s="16" t="str">
        <f aca="false">IF($D2096="","",M2096*Y2096/100)</f>
        <v/>
      </c>
      <c r="V2096" s="16" t="str">
        <f aca="false">IF($D2096="","",Y2096*AB2096/100)</f>
        <v/>
      </c>
      <c r="W2096" s="16" t="str">
        <f aca="false">IF($D2096="","",Y2096-V2096)</f>
        <v/>
      </c>
      <c r="X2096" s="16" t="str">
        <f aca="false">IF($D2096="","",W2096-N2096)</f>
        <v/>
      </c>
      <c r="AB2096" s="17" t="str">
        <f aca="false">IF($D2096="","",IF(OR($R2096=TRUE(),$R2096="TRUE"),Settings!$C$6,Settings!$C$7)*100)</f>
        <v/>
      </c>
      <c r="AH2096" s="18" t="str">
        <f aca="false">IF($D2096="","",IF(COUNTIF($D$2:$D2096,$D2096)=1,1,0))</f>
        <v/>
      </c>
      <c r="AI2096" s="18" t="str">
        <f aca="false">IF($AH2096=1,SUMPRODUCT(--($AK$2:$AK$4001&lt;$AK2096))+1,"")</f>
        <v/>
      </c>
      <c r="AJ2096" s="18" t="str">
        <f aca="false">IF($D2096="","",IF(OR($R2096=TRUE(),$R2096="TRUE"),1,0))</f>
        <v/>
      </c>
      <c r="AK2096" s="18" t="str">
        <f aca="false">IF($AH2096=1,IFERROR(VALUE(MID($D2096,2,20)),1000000000)+ROW()/10000000,"")</f>
        <v/>
      </c>
    </row>
    <row r="2097" customFormat="false" ht="15" hidden="false" customHeight="false" outlineLevel="0" collapsed="false">
      <c r="F2097" s="15"/>
      <c r="N2097" s="16" t="str">
        <f aca="false">IF($D2097="","",M2097*Y2097/100)</f>
        <v/>
      </c>
      <c r="V2097" s="16" t="str">
        <f aca="false">IF($D2097="","",Y2097*AB2097/100)</f>
        <v/>
      </c>
      <c r="W2097" s="16" t="str">
        <f aca="false">IF($D2097="","",Y2097-V2097)</f>
        <v/>
      </c>
      <c r="X2097" s="16" t="str">
        <f aca="false">IF($D2097="","",W2097-N2097)</f>
        <v/>
      </c>
      <c r="AB2097" s="17" t="str">
        <f aca="false">IF($D2097="","",IF(OR($R2097=TRUE(),$R2097="TRUE"),Settings!$C$6,Settings!$C$7)*100)</f>
        <v/>
      </c>
      <c r="AH2097" s="18" t="str">
        <f aca="false">IF($D2097="","",IF(COUNTIF($D$2:$D2097,$D2097)=1,1,0))</f>
        <v/>
      </c>
      <c r="AI2097" s="18" t="str">
        <f aca="false">IF($AH2097=1,SUMPRODUCT(--($AK$2:$AK$4001&lt;$AK2097))+1,"")</f>
        <v/>
      </c>
      <c r="AJ2097" s="18" t="str">
        <f aca="false">IF($D2097="","",IF(OR($R2097=TRUE(),$R2097="TRUE"),1,0))</f>
        <v/>
      </c>
      <c r="AK2097" s="18" t="str">
        <f aca="false">IF($AH2097=1,IFERROR(VALUE(MID($D2097,2,20)),1000000000)+ROW()/10000000,"")</f>
        <v/>
      </c>
    </row>
    <row r="2098" customFormat="false" ht="15" hidden="false" customHeight="false" outlineLevel="0" collapsed="false">
      <c r="F2098" s="15"/>
      <c r="N2098" s="16" t="str">
        <f aca="false">IF($D2098="","",M2098*Y2098/100)</f>
        <v/>
      </c>
      <c r="V2098" s="16" t="str">
        <f aca="false">IF($D2098="","",Y2098*AB2098/100)</f>
        <v/>
      </c>
      <c r="W2098" s="16" t="str">
        <f aca="false">IF($D2098="","",Y2098-V2098)</f>
        <v/>
      </c>
      <c r="X2098" s="16" t="str">
        <f aca="false">IF($D2098="","",W2098-N2098)</f>
        <v/>
      </c>
      <c r="AB2098" s="17" t="str">
        <f aca="false">IF($D2098="","",IF(OR($R2098=TRUE(),$R2098="TRUE"),Settings!$C$6,Settings!$C$7)*100)</f>
        <v/>
      </c>
      <c r="AH2098" s="18" t="str">
        <f aca="false">IF($D2098="","",IF(COUNTIF($D$2:$D2098,$D2098)=1,1,0))</f>
        <v/>
      </c>
      <c r="AI2098" s="18" t="str">
        <f aca="false">IF($AH2098=1,SUMPRODUCT(--($AK$2:$AK$4001&lt;$AK2098))+1,"")</f>
        <v/>
      </c>
      <c r="AJ2098" s="18" t="str">
        <f aca="false">IF($D2098="","",IF(OR($R2098=TRUE(),$R2098="TRUE"),1,0))</f>
        <v/>
      </c>
      <c r="AK2098" s="18" t="str">
        <f aca="false">IF($AH2098=1,IFERROR(VALUE(MID($D2098,2,20)),1000000000)+ROW()/10000000,"")</f>
        <v/>
      </c>
    </row>
    <row r="2099" customFormat="false" ht="15" hidden="false" customHeight="false" outlineLevel="0" collapsed="false">
      <c r="F2099" s="15"/>
      <c r="N2099" s="16" t="str">
        <f aca="false">IF($D2099="","",M2099*Y2099/100)</f>
        <v/>
      </c>
      <c r="V2099" s="16" t="str">
        <f aca="false">IF($D2099="","",Y2099*AB2099/100)</f>
        <v/>
      </c>
      <c r="W2099" s="16" t="str">
        <f aca="false">IF($D2099="","",Y2099-V2099)</f>
        <v/>
      </c>
      <c r="X2099" s="16" t="str">
        <f aca="false">IF($D2099="","",W2099-N2099)</f>
        <v/>
      </c>
      <c r="AB2099" s="17" t="str">
        <f aca="false">IF($D2099="","",IF(OR($R2099=TRUE(),$R2099="TRUE"),Settings!$C$6,Settings!$C$7)*100)</f>
        <v/>
      </c>
      <c r="AH2099" s="18" t="str">
        <f aca="false">IF($D2099="","",IF(COUNTIF($D$2:$D2099,$D2099)=1,1,0))</f>
        <v/>
      </c>
      <c r="AI2099" s="18" t="str">
        <f aca="false">IF($AH2099=1,SUMPRODUCT(--($AK$2:$AK$4001&lt;$AK2099))+1,"")</f>
        <v/>
      </c>
      <c r="AJ2099" s="18" t="str">
        <f aca="false">IF($D2099="","",IF(OR($R2099=TRUE(),$R2099="TRUE"),1,0))</f>
        <v/>
      </c>
      <c r="AK2099" s="18" t="str">
        <f aca="false">IF($AH2099=1,IFERROR(VALUE(MID($D2099,2,20)),1000000000)+ROW()/10000000,"")</f>
        <v/>
      </c>
    </row>
    <row r="2100" customFormat="false" ht="15" hidden="false" customHeight="false" outlineLevel="0" collapsed="false">
      <c r="F2100" s="15"/>
      <c r="N2100" s="16" t="str">
        <f aca="false">IF($D2100="","",M2100*Y2100/100)</f>
        <v/>
      </c>
      <c r="V2100" s="16" t="str">
        <f aca="false">IF($D2100="","",Y2100*AB2100/100)</f>
        <v/>
      </c>
      <c r="W2100" s="16" t="str">
        <f aca="false">IF($D2100="","",Y2100-V2100)</f>
        <v/>
      </c>
      <c r="X2100" s="16" t="str">
        <f aca="false">IF($D2100="","",W2100-N2100)</f>
        <v/>
      </c>
      <c r="AB2100" s="17" t="str">
        <f aca="false">IF($D2100="","",IF(OR($R2100=TRUE(),$R2100="TRUE"),Settings!$C$6,Settings!$C$7)*100)</f>
        <v/>
      </c>
      <c r="AH2100" s="18" t="str">
        <f aca="false">IF($D2100="","",IF(COUNTIF($D$2:$D2100,$D2100)=1,1,0))</f>
        <v/>
      </c>
      <c r="AI2100" s="18" t="str">
        <f aca="false">IF($AH2100=1,SUMPRODUCT(--($AK$2:$AK$4001&lt;$AK2100))+1,"")</f>
        <v/>
      </c>
      <c r="AJ2100" s="18" t="str">
        <f aca="false">IF($D2100="","",IF(OR($R2100=TRUE(),$R2100="TRUE"),1,0))</f>
        <v/>
      </c>
      <c r="AK2100" s="18" t="str">
        <f aca="false">IF($AH2100=1,IFERROR(VALUE(MID($D2100,2,20)),1000000000)+ROW()/10000000,"")</f>
        <v/>
      </c>
    </row>
    <row r="2101" customFormat="false" ht="15" hidden="false" customHeight="false" outlineLevel="0" collapsed="false">
      <c r="F2101" s="15"/>
      <c r="N2101" s="16" t="str">
        <f aca="false">IF($D2101="","",M2101*Y2101/100)</f>
        <v/>
      </c>
      <c r="V2101" s="16" t="str">
        <f aca="false">IF($D2101="","",Y2101*AB2101/100)</f>
        <v/>
      </c>
      <c r="W2101" s="16" t="str">
        <f aca="false">IF($D2101="","",Y2101-V2101)</f>
        <v/>
      </c>
      <c r="X2101" s="16" t="str">
        <f aca="false">IF($D2101="","",W2101-N2101)</f>
        <v/>
      </c>
      <c r="AB2101" s="17" t="str">
        <f aca="false">IF($D2101="","",IF(OR($R2101=TRUE(),$R2101="TRUE"),Settings!$C$6,Settings!$C$7)*100)</f>
        <v/>
      </c>
      <c r="AH2101" s="18" t="str">
        <f aca="false">IF($D2101="","",IF(COUNTIF($D$2:$D2101,$D2101)=1,1,0))</f>
        <v/>
      </c>
      <c r="AI2101" s="18" t="str">
        <f aca="false">IF($AH2101=1,SUMPRODUCT(--($AK$2:$AK$4001&lt;$AK2101))+1,"")</f>
        <v/>
      </c>
      <c r="AJ2101" s="18" t="str">
        <f aca="false">IF($D2101="","",IF(OR($R2101=TRUE(),$R2101="TRUE"),1,0))</f>
        <v/>
      </c>
      <c r="AK2101" s="18" t="str">
        <f aca="false">IF($AH2101=1,IFERROR(VALUE(MID($D2101,2,20)),1000000000)+ROW()/10000000,"")</f>
        <v/>
      </c>
    </row>
    <row r="2102" customFormat="false" ht="15" hidden="false" customHeight="false" outlineLevel="0" collapsed="false">
      <c r="F2102" s="15"/>
      <c r="N2102" s="16" t="str">
        <f aca="false">IF($D2102="","",M2102*Y2102/100)</f>
        <v/>
      </c>
      <c r="V2102" s="16" t="str">
        <f aca="false">IF($D2102="","",Y2102*AB2102/100)</f>
        <v/>
      </c>
      <c r="W2102" s="16" t="str">
        <f aca="false">IF($D2102="","",Y2102-V2102)</f>
        <v/>
      </c>
      <c r="X2102" s="16" t="str">
        <f aca="false">IF($D2102="","",W2102-N2102)</f>
        <v/>
      </c>
      <c r="AB2102" s="17" t="str">
        <f aca="false">IF($D2102="","",IF(OR($R2102=TRUE(),$R2102="TRUE"),Settings!$C$6,Settings!$C$7)*100)</f>
        <v/>
      </c>
      <c r="AH2102" s="18" t="str">
        <f aca="false">IF($D2102="","",IF(COUNTIF($D$2:$D2102,$D2102)=1,1,0))</f>
        <v/>
      </c>
      <c r="AI2102" s="18" t="str">
        <f aca="false">IF($AH2102=1,SUMPRODUCT(--($AK$2:$AK$4001&lt;$AK2102))+1,"")</f>
        <v/>
      </c>
      <c r="AJ2102" s="18" t="str">
        <f aca="false">IF($D2102="","",IF(OR($R2102=TRUE(),$R2102="TRUE"),1,0))</f>
        <v/>
      </c>
      <c r="AK2102" s="18" t="str">
        <f aca="false">IF($AH2102=1,IFERROR(VALUE(MID($D2102,2,20)),1000000000)+ROW()/10000000,"")</f>
        <v/>
      </c>
    </row>
    <row r="2103" customFormat="false" ht="15" hidden="false" customHeight="false" outlineLevel="0" collapsed="false">
      <c r="F2103" s="15"/>
      <c r="N2103" s="16" t="str">
        <f aca="false">IF($D2103="","",M2103*Y2103/100)</f>
        <v/>
      </c>
      <c r="V2103" s="16" t="str">
        <f aca="false">IF($D2103="","",Y2103*AB2103/100)</f>
        <v/>
      </c>
      <c r="W2103" s="16" t="str">
        <f aca="false">IF($D2103="","",Y2103-V2103)</f>
        <v/>
      </c>
      <c r="X2103" s="16" t="str">
        <f aca="false">IF($D2103="","",W2103-N2103)</f>
        <v/>
      </c>
      <c r="AB2103" s="17" t="str">
        <f aca="false">IF($D2103="","",IF(OR($R2103=TRUE(),$R2103="TRUE"),Settings!$C$6,Settings!$C$7)*100)</f>
        <v/>
      </c>
      <c r="AH2103" s="18" t="str">
        <f aca="false">IF($D2103="","",IF(COUNTIF($D$2:$D2103,$D2103)=1,1,0))</f>
        <v/>
      </c>
      <c r="AI2103" s="18" t="str">
        <f aca="false">IF($AH2103=1,SUMPRODUCT(--($AK$2:$AK$4001&lt;$AK2103))+1,"")</f>
        <v/>
      </c>
      <c r="AJ2103" s="18" t="str">
        <f aca="false">IF($D2103="","",IF(OR($R2103=TRUE(),$R2103="TRUE"),1,0))</f>
        <v/>
      </c>
      <c r="AK2103" s="18" t="str">
        <f aca="false">IF($AH2103=1,IFERROR(VALUE(MID($D2103,2,20)),1000000000)+ROW()/10000000,"")</f>
        <v/>
      </c>
    </row>
    <row r="2104" customFormat="false" ht="15" hidden="false" customHeight="false" outlineLevel="0" collapsed="false">
      <c r="F2104" s="15"/>
      <c r="N2104" s="16" t="str">
        <f aca="false">IF($D2104="","",M2104*Y2104/100)</f>
        <v/>
      </c>
      <c r="V2104" s="16" t="str">
        <f aca="false">IF($D2104="","",Y2104*AB2104/100)</f>
        <v/>
      </c>
      <c r="W2104" s="16" t="str">
        <f aca="false">IF($D2104="","",Y2104-V2104)</f>
        <v/>
      </c>
      <c r="X2104" s="16" t="str">
        <f aca="false">IF($D2104="","",W2104-N2104)</f>
        <v/>
      </c>
      <c r="AB2104" s="17" t="str">
        <f aca="false">IF($D2104="","",IF(OR($R2104=TRUE(),$R2104="TRUE"),Settings!$C$6,Settings!$C$7)*100)</f>
        <v/>
      </c>
      <c r="AH2104" s="18" t="str">
        <f aca="false">IF($D2104="","",IF(COUNTIF($D$2:$D2104,$D2104)=1,1,0))</f>
        <v/>
      </c>
      <c r="AI2104" s="18" t="str">
        <f aca="false">IF($AH2104=1,SUMPRODUCT(--($AK$2:$AK$4001&lt;$AK2104))+1,"")</f>
        <v/>
      </c>
      <c r="AJ2104" s="18" t="str">
        <f aca="false">IF($D2104="","",IF(OR($R2104=TRUE(),$R2104="TRUE"),1,0))</f>
        <v/>
      </c>
      <c r="AK2104" s="18" t="str">
        <f aca="false">IF($AH2104=1,IFERROR(VALUE(MID($D2104,2,20)),1000000000)+ROW()/10000000,"")</f>
        <v/>
      </c>
    </row>
    <row r="2105" customFormat="false" ht="15" hidden="false" customHeight="false" outlineLevel="0" collapsed="false">
      <c r="F2105" s="15"/>
      <c r="N2105" s="16" t="str">
        <f aca="false">IF($D2105="","",M2105*Y2105/100)</f>
        <v/>
      </c>
      <c r="V2105" s="16" t="str">
        <f aca="false">IF($D2105="","",Y2105*AB2105/100)</f>
        <v/>
      </c>
      <c r="W2105" s="16" t="str">
        <f aca="false">IF($D2105="","",Y2105-V2105)</f>
        <v/>
      </c>
      <c r="X2105" s="16" t="str">
        <f aca="false">IF($D2105="","",W2105-N2105)</f>
        <v/>
      </c>
      <c r="AB2105" s="17" t="str">
        <f aca="false">IF($D2105="","",IF(OR($R2105=TRUE(),$R2105="TRUE"),Settings!$C$6,Settings!$C$7)*100)</f>
        <v/>
      </c>
      <c r="AH2105" s="18" t="str">
        <f aca="false">IF($D2105="","",IF(COUNTIF($D$2:$D2105,$D2105)=1,1,0))</f>
        <v/>
      </c>
      <c r="AI2105" s="18" t="str">
        <f aca="false">IF($AH2105=1,SUMPRODUCT(--($AK$2:$AK$4001&lt;$AK2105))+1,"")</f>
        <v/>
      </c>
      <c r="AJ2105" s="18" t="str">
        <f aca="false">IF($D2105="","",IF(OR($R2105=TRUE(),$R2105="TRUE"),1,0))</f>
        <v/>
      </c>
      <c r="AK2105" s="18" t="str">
        <f aca="false">IF($AH2105=1,IFERROR(VALUE(MID($D2105,2,20)),1000000000)+ROW()/10000000,"")</f>
        <v/>
      </c>
    </row>
    <row r="2106" customFormat="false" ht="15" hidden="false" customHeight="false" outlineLevel="0" collapsed="false">
      <c r="F2106" s="15"/>
      <c r="N2106" s="16" t="str">
        <f aca="false">IF($D2106="","",M2106*Y2106/100)</f>
        <v/>
      </c>
      <c r="V2106" s="16" t="str">
        <f aca="false">IF($D2106="","",Y2106*AB2106/100)</f>
        <v/>
      </c>
      <c r="W2106" s="16" t="str">
        <f aca="false">IF($D2106="","",Y2106-V2106)</f>
        <v/>
      </c>
      <c r="X2106" s="16" t="str">
        <f aca="false">IF($D2106="","",W2106-N2106)</f>
        <v/>
      </c>
      <c r="AB2106" s="17" t="str">
        <f aca="false">IF($D2106="","",IF(OR($R2106=TRUE(),$R2106="TRUE"),Settings!$C$6,Settings!$C$7)*100)</f>
        <v/>
      </c>
      <c r="AH2106" s="18" t="str">
        <f aca="false">IF($D2106="","",IF(COUNTIF($D$2:$D2106,$D2106)=1,1,0))</f>
        <v/>
      </c>
      <c r="AI2106" s="18" t="str">
        <f aca="false">IF($AH2106=1,SUMPRODUCT(--($AK$2:$AK$4001&lt;$AK2106))+1,"")</f>
        <v/>
      </c>
      <c r="AJ2106" s="18" t="str">
        <f aca="false">IF($D2106="","",IF(OR($R2106=TRUE(),$R2106="TRUE"),1,0))</f>
        <v/>
      </c>
      <c r="AK2106" s="18" t="str">
        <f aca="false">IF($AH2106=1,IFERROR(VALUE(MID($D2106,2,20)),1000000000)+ROW()/10000000,"")</f>
        <v/>
      </c>
    </row>
    <row r="2107" customFormat="false" ht="15" hidden="false" customHeight="false" outlineLevel="0" collapsed="false">
      <c r="F2107" s="15"/>
      <c r="N2107" s="16" t="str">
        <f aca="false">IF($D2107="","",M2107*Y2107/100)</f>
        <v/>
      </c>
      <c r="V2107" s="16" t="str">
        <f aca="false">IF($D2107="","",Y2107*AB2107/100)</f>
        <v/>
      </c>
      <c r="W2107" s="16" t="str">
        <f aca="false">IF($D2107="","",Y2107-V2107)</f>
        <v/>
      </c>
      <c r="X2107" s="16" t="str">
        <f aca="false">IF($D2107="","",W2107-N2107)</f>
        <v/>
      </c>
      <c r="AB2107" s="17" t="str">
        <f aca="false">IF($D2107="","",IF(OR($R2107=TRUE(),$R2107="TRUE"),Settings!$C$6,Settings!$C$7)*100)</f>
        <v/>
      </c>
      <c r="AH2107" s="18" t="str">
        <f aca="false">IF($D2107="","",IF(COUNTIF($D$2:$D2107,$D2107)=1,1,0))</f>
        <v/>
      </c>
      <c r="AI2107" s="18" t="str">
        <f aca="false">IF($AH2107=1,SUMPRODUCT(--($AK$2:$AK$4001&lt;$AK2107))+1,"")</f>
        <v/>
      </c>
      <c r="AJ2107" s="18" t="str">
        <f aca="false">IF($D2107="","",IF(OR($R2107=TRUE(),$R2107="TRUE"),1,0))</f>
        <v/>
      </c>
      <c r="AK2107" s="18" t="str">
        <f aca="false">IF($AH2107=1,IFERROR(VALUE(MID($D2107,2,20)),1000000000)+ROW()/10000000,"")</f>
        <v/>
      </c>
    </row>
    <row r="2108" customFormat="false" ht="15" hidden="false" customHeight="false" outlineLevel="0" collapsed="false">
      <c r="F2108" s="15"/>
      <c r="N2108" s="16" t="str">
        <f aca="false">IF($D2108="","",M2108*Y2108/100)</f>
        <v/>
      </c>
      <c r="V2108" s="16" t="str">
        <f aca="false">IF($D2108="","",Y2108*AB2108/100)</f>
        <v/>
      </c>
      <c r="W2108" s="16" t="str">
        <f aca="false">IF($D2108="","",Y2108-V2108)</f>
        <v/>
      </c>
      <c r="X2108" s="16" t="str">
        <f aca="false">IF($D2108="","",W2108-N2108)</f>
        <v/>
      </c>
      <c r="AB2108" s="17" t="str">
        <f aca="false">IF($D2108="","",IF(OR($R2108=TRUE(),$R2108="TRUE"),Settings!$C$6,Settings!$C$7)*100)</f>
        <v/>
      </c>
      <c r="AH2108" s="18" t="str">
        <f aca="false">IF($D2108="","",IF(COUNTIF($D$2:$D2108,$D2108)=1,1,0))</f>
        <v/>
      </c>
      <c r="AI2108" s="18" t="str">
        <f aca="false">IF($AH2108=1,SUMPRODUCT(--($AK$2:$AK$4001&lt;$AK2108))+1,"")</f>
        <v/>
      </c>
      <c r="AJ2108" s="18" t="str">
        <f aca="false">IF($D2108="","",IF(OR($R2108=TRUE(),$R2108="TRUE"),1,0))</f>
        <v/>
      </c>
      <c r="AK2108" s="18" t="str">
        <f aca="false">IF($AH2108=1,IFERROR(VALUE(MID($D2108,2,20)),1000000000)+ROW()/10000000,"")</f>
        <v/>
      </c>
    </row>
    <row r="2109" customFormat="false" ht="15" hidden="false" customHeight="false" outlineLevel="0" collapsed="false">
      <c r="F2109" s="15"/>
      <c r="N2109" s="16" t="str">
        <f aca="false">IF($D2109="","",M2109*Y2109/100)</f>
        <v/>
      </c>
      <c r="V2109" s="16" t="str">
        <f aca="false">IF($D2109="","",Y2109*AB2109/100)</f>
        <v/>
      </c>
      <c r="W2109" s="16" t="str">
        <f aca="false">IF($D2109="","",Y2109-V2109)</f>
        <v/>
      </c>
      <c r="X2109" s="16" t="str">
        <f aca="false">IF($D2109="","",W2109-N2109)</f>
        <v/>
      </c>
      <c r="AB2109" s="17" t="str">
        <f aca="false">IF($D2109="","",IF(OR($R2109=TRUE(),$R2109="TRUE"),Settings!$C$6,Settings!$C$7)*100)</f>
        <v/>
      </c>
      <c r="AH2109" s="18" t="str">
        <f aca="false">IF($D2109="","",IF(COUNTIF($D$2:$D2109,$D2109)=1,1,0))</f>
        <v/>
      </c>
      <c r="AI2109" s="18" t="str">
        <f aca="false">IF($AH2109=1,SUMPRODUCT(--($AK$2:$AK$4001&lt;$AK2109))+1,"")</f>
        <v/>
      </c>
      <c r="AJ2109" s="18" t="str">
        <f aca="false">IF($D2109="","",IF(OR($R2109=TRUE(),$R2109="TRUE"),1,0))</f>
        <v/>
      </c>
      <c r="AK2109" s="18" t="str">
        <f aca="false">IF($AH2109=1,IFERROR(VALUE(MID($D2109,2,20)),1000000000)+ROW()/10000000,"")</f>
        <v/>
      </c>
    </row>
    <row r="2110" customFormat="false" ht="15" hidden="false" customHeight="false" outlineLevel="0" collapsed="false">
      <c r="F2110" s="15"/>
      <c r="N2110" s="16" t="str">
        <f aca="false">IF($D2110="","",M2110*Y2110/100)</f>
        <v/>
      </c>
      <c r="V2110" s="16" t="str">
        <f aca="false">IF($D2110="","",Y2110*AB2110/100)</f>
        <v/>
      </c>
      <c r="W2110" s="16" t="str">
        <f aca="false">IF($D2110="","",Y2110-V2110)</f>
        <v/>
      </c>
      <c r="X2110" s="16" t="str">
        <f aca="false">IF($D2110="","",W2110-N2110)</f>
        <v/>
      </c>
      <c r="AB2110" s="17" t="str">
        <f aca="false">IF($D2110="","",IF(OR($R2110=TRUE(),$R2110="TRUE"),Settings!$C$6,Settings!$C$7)*100)</f>
        <v/>
      </c>
      <c r="AH2110" s="18" t="str">
        <f aca="false">IF($D2110="","",IF(COUNTIF($D$2:$D2110,$D2110)=1,1,0))</f>
        <v/>
      </c>
      <c r="AI2110" s="18" t="str">
        <f aca="false">IF($AH2110=1,SUMPRODUCT(--($AK$2:$AK$4001&lt;$AK2110))+1,"")</f>
        <v/>
      </c>
      <c r="AJ2110" s="18" t="str">
        <f aca="false">IF($D2110="","",IF(OR($R2110=TRUE(),$R2110="TRUE"),1,0))</f>
        <v/>
      </c>
      <c r="AK2110" s="18" t="str">
        <f aca="false">IF($AH2110=1,IFERROR(VALUE(MID($D2110,2,20)),1000000000)+ROW()/10000000,"")</f>
        <v/>
      </c>
    </row>
    <row r="2111" customFormat="false" ht="15" hidden="false" customHeight="false" outlineLevel="0" collapsed="false">
      <c r="F2111" s="15"/>
      <c r="N2111" s="16" t="str">
        <f aca="false">IF($D2111="","",M2111*Y2111/100)</f>
        <v/>
      </c>
      <c r="V2111" s="16" t="str">
        <f aca="false">IF($D2111="","",Y2111*AB2111/100)</f>
        <v/>
      </c>
      <c r="W2111" s="16" t="str">
        <f aca="false">IF($D2111="","",Y2111-V2111)</f>
        <v/>
      </c>
      <c r="X2111" s="16" t="str">
        <f aca="false">IF($D2111="","",W2111-N2111)</f>
        <v/>
      </c>
      <c r="AB2111" s="17" t="str">
        <f aca="false">IF($D2111="","",IF(OR($R2111=TRUE(),$R2111="TRUE"),Settings!$C$6,Settings!$C$7)*100)</f>
        <v/>
      </c>
      <c r="AH2111" s="18" t="str">
        <f aca="false">IF($D2111="","",IF(COUNTIF($D$2:$D2111,$D2111)=1,1,0))</f>
        <v/>
      </c>
      <c r="AI2111" s="18" t="str">
        <f aca="false">IF($AH2111=1,SUMPRODUCT(--($AK$2:$AK$4001&lt;$AK2111))+1,"")</f>
        <v/>
      </c>
      <c r="AJ2111" s="18" t="str">
        <f aca="false">IF($D2111="","",IF(OR($R2111=TRUE(),$R2111="TRUE"),1,0))</f>
        <v/>
      </c>
      <c r="AK2111" s="18" t="str">
        <f aca="false">IF($AH2111=1,IFERROR(VALUE(MID($D2111,2,20)),1000000000)+ROW()/10000000,"")</f>
        <v/>
      </c>
    </row>
    <row r="2112" customFormat="false" ht="15" hidden="false" customHeight="false" outlineLevel="0" collapsed="false">
      <c r="F2112" s="15"/>
      <c r="N2112" s="16" t="str">
        <f aca="false">IF($D2112="","",M2112*Y2112/100)</f>
        <v/>
      </c>
      <c r="V2112" s="16" t="str">
        <f aca="false">IF($D2112="","",Y2112*AB2112/100)</f>
        <v/>
      </c>
      <c r="W2112" s="16" t="str">
        <f aca="false">IF($D2112="","",Y2112-V2112)</f>
        <v/>
      </c>
      <c r="X2112" s="16" t="str">
        <f aca="false">IF($D2112="","",W2112-N2112)</f>
        <v/>
      </c>
      <c r="AB2112" s="17" t="str">
        <f aca="false">IF($D2112="","",IF(OR($R2112=TRUE(),$R2112="TRUE"),Settings!$C$6,Settings!$C$7)*100)</f>
        <v/>
      </c>
      <c r="AH2112" s="18" t="str">
        <f aca="false">IF($D2112="","",IF(COUNTIF($D$2:$D2112,$D2112)=1,1,0))</f>
        <v/>
      </c>
      <c r="AI2112" s="18" t="str">
        <f aca="false">IF($AH2112=1,SUMPRODUCT(--($AK$2:$AK$4001&lt;$AK2112))+1,"")</f>
        <v/>
      </c>
      <c r="AJ2112" s="18" t="str">
        <f aca="false">IF($D2112="","",IF(OR($R2112=TRUE(),$R2112="TRUE"),1,0))</f>
        <v/>
      </c>
      <c r="AK2112" s="18" t="str">
        <f aca="false">IF($AH2112=1,IFERROR(VALUE(MID($D2112,2,20)),1000000000)+ROW()/10000000,"")</f>
        <v/>
      </c>
    </row>
    <row r="2113" customFormat="false" ht="15" hidden="false" customHeight="false" outlineLevel="0" collapsed="false">
      <c r="F2113" s="15"/>
      <c r="N2113" s="16" t="str">
        <f aca="false">IF($D2113="","",M2113*Y2113/100)</f>
        <v/>
      </c>
      <c r="V2113" s="16" t="str">
        <f aca="false">IF($D2113="","",Y2113*AB2113/100)</f>
        <v/>
      </c>
      <c r="W2113" s="16" t="str">
        <f aca="false">IF($D2113="","",Y2113-V2113)</f>
        <v/>
      </c>
      <c r="X2113" s="16" t="str">
        <f aca="false">IF($D2113="","",W2113-N2113)</f>
        <v/>
      </c>
      <c r="AB2113" s="17" t="str">
        <f aca="false">IF($D2113="","",IF(OR($R2113=TRUE(),$R2113="TRUE"),Settings!$C$6,Settings!$C$7)*100)</f>
        <v/>
      </c>
      <c r="AH2113" s="18" t="str">
        <f aca="false">IF($D2113="","",IF(COUNTIF($D$2:$D2113,$D2113)=1,1,0))</f>
        <v/>
      </c>
      <c r="AI2113" s="18" t="str">
        <f aca="false">IF($AH2113=1,SUMPRODUCT(--($AK$2:$AK$4001&lt;$AK2113))+1,"")</f>
        <v/>
      </c>
      <c r="AJ2113" s="18" t="str">
        <f aca="false">IF($D2113="","",IF(OR($R2113=TRUE(),$R2113="TRUE"),1,0))</f>
        <v/>
      </c>
      <c r="AK2113" s="18" t="str">
        <f aca="false">IF($AH2113=1,IFERROR(VALUE(MID($D2113,2,20)),1000000000)+ROW()/10000000,"")</f>
        <v/>
      </c>
    </row>
    <row r="2114" customFormat="false" ht="15" hidden="false" customHeight="false" outlineLevel="0" collapsed="false">
      <c r="F2114" s="15"/>
      <c r="N2114" s="16" t="str">
        <f aca="false">IF($D2114="","",M2114*Y2114/100)</f>
        <v/>
      </c>
      <c r="V2114" s="16" t="str">
        <f aca="false">IF($D2114="","",Y2114*AB2114/100)</f>
        <v/>
      </c>
      <c r="W2114" s="16" t="str">
        <f aca="false">IF($D2114="","",Y2114-V2114)</f>
        <v/>
      </c>
      <c r="X2114" s="16" t="str">
        <f aca="false">IF($D2114="","",W2114-N2114)</f>
        <v/>
      </c>
      <c r="AB2114" s="17" t="str">
        <f aca="false">IF($D2114="","",IF(OR($R2114=TRUE(),$R2114="TRUE"),Settings!$C$6,Settings!$C$7)*100)</f>
        <v/>
      </c>
      <c r="AH2114" s="18" t="str">
        <f aca="false">IF($D2114="","",IF(COUNTIF($D$2:$D2114,$D2114)=1,1,0))</f>
        <v/>
      </c>
      <c r="AI2114" s="18" t="str">
        <f aca="false">IF($AH2114=1,SUMPRODUCT(--($AK$2:$AK$4001&lt;$AK2114))+1,"")</f>
        <v/>
      </c>
      <c r="AJ2114" s="18" t="str">
        <f aca="false">IF($D2114="","",IF(OR($R2114=TRUE(),$R2114="TRUE"),1,0))</f>
        <v/>
      </c>
      <c r="AK2114" s="18" t="str">
        <f aca="false">IF($AH2114=1,IFERROR(VALUE(MID($D2114,2,20)),1000000000)+ROW()/10000000,"")</f>
        <v/>
      </c>
    </row>
    <row r="2115" customFormat="false" ht="15" hidden="false" customHeight="false" outlineLevel="0" collapsed="false">
      <c r="F2115" s="15"/>
      <c r="N2115" s="16" t="str">
        <f aca="false">IF($D2115="","",M2115*Y2115/100)</f>
        <v/>
      </c>
      <c r="V2115" s="16" t="str">
        <f aca="false">IF($D2115="","",Y2115*AB2115/100)</f>
        <v/>
      </c>
      <c r="W2115" s="16" t="str">
        <f aca="false">IF($D2115="","",Y2115-V2115)</f>
        <v/>
      </c>
      <c r="X2115" s="16" t="str">
        <f aca="false">IF($D2115="","",W2115-N2115)</f>
        <v/>
      </c>
      <c r="AB2115" s="17" t="str">
        <f aca="false">IF($D2115="","",IF(OR($R2115=TRUE(),$R2115="TRUE"),Settings!$C$6,Settings!$C$7)*100)</f>
        <v/>
      </c>
      <c r="AH2115" s="18" t="str">
        <f aca="false">IF($D2115="","",IF(COUNTIF($D$2:$D2115,$D2115)=1,1,0))</f>
        <v/>
      </c>
      <c r="AI2115" s="18" t="str">
        <f aca="false">IF($AH2115=1,SUMPRODUCT(--($AK$2:$AK$4001&lt;$AK2115))+1,"")</f>
        <v/>
      </c>
      <c r="AJ2115" s="18" t="str">
        <f aca="false">IF($D2115="","",IF(OR($R2115=TRUE(),$R2115="TRUE"),1,0))</f>
        <v/>
      </c>
      <c r="AK2115" s="18" t="str">
        <f aca="false">IF($AH2115=1,IFERROR(VALUE(MID($D2115,2,20)),1000000000)+ROW()/10000000,"")</f>
        <v/>
      </c>
    </row>
    <row r="2116" customFormat="false" ht="15" hidden="false" customHeight="false" outlineLevel="0" collapsed="false">
      <c r="F2116" s="15"/>
      <c r="N2116" s="16" t="str">
        <f aca="false">IF($D2116="","",M2116*Y2116/100)</f>
        <v/>
      </c>
      <c r="V2116" s="16" t="str">
        <f aca="false">IF($D2116="","",Y2116*AB2116/100)</f>
        <v/>
      </c>
      <c r="W2116" s="16" t="str">
        <f aca="false">IF($D2116="","",Y2116-V2116)</f>
        <v/>
      </c>
      <c r="X2116" s="16" t="str">
        <f aca="false">IF($D2116="","",W2116-N2116)</f>
        <v/>
      </c>
      <c r="AB2116" s="17" t="str">
        <f aca="false">IF($D2116="","",IF(OR($R2116=TRUE(),$R2116="TRUE"),Settings!$C$6,Settings!$C$7)*100)</f>
        <v/>
      </c>
      <c r="AH2116" s="18" t="str">
        <f aca="false">IF($D2116="","",IF(COUNTIF($D$2:$D2116,$D2116)=1,1,0))</f>
        <v/>
      </c>
      <c r="AI2116" s="18" t="str">
        <f aca="false">IF($AH2116=1,SUMPRODUCT(--($AK$2:$AK$4001&lt;$AK2116))+1,"")</f>
        <v/>
      </c>
      <c r="AJ2116" s="18" t="str">
        <f aca="false">IF($D2116="","",IF(OR($R2116=TRUE(),$R2116="TRUE"),1,0))</f>
        <v/>
      </c>
      <c r="AK2116" s="18" t="str">
        <f aca="false">IF($AH2116=1,IFERROR(VALUE(MID($D2116,2,20)),1000000000)+ROW()/10000000,"")</f>
        <v/>
      </c>
    </row>
    <row r="2117" customFormat="false" ht="15" hidden="false" customHeight="false" outlineLevel="0" collapsed="false">
      <c r="F2117" s="15"/>
      <c r="N2117" s="16" t="str">
        <f aca="false">IF($D2117="","",M2117*Y2117/100)</f>
        <v/>
      </c>
      <c r="V2117" s="16" t="str">
        <f aca="false">IF($D2117="","",Y2117*AB2117/100)</f>
        <v/>
      </c>
      <c r="W2117" s="16" t="str">
        <f aca="false">IF($D2117="","",Y2117-V2117)</f>
        <v/>
      </c>
      <c r="X2117" s="16" t="str">
        <f aca="false">IF($D2117="","",W2117-N2117)</f>
        <v/>
      </c>
      <c r="AB2117" s="17" t="str">
        <f aca="false">IF($D2117="","",IF(OR($R2117=TRUE(),$R2117="TRUE"),Settings!$C$6,Settings!$C$7)*100)</f>
        <v/>
      </c>
      <c r="AH2117" s="18" t="str">
        <f aca="false">IF($D2117="","",IF(COUNTIF($D$2:$D2117,$D2117)=1,1,0))</f>
        <v/>
      </c>
      <c r="AI2117" s="18" t="str">
        <f aca="false">IF($AH2117=1,SUMPRODUCT(--($AK$2:$AK$4001&lt;$AK2117))+1,"")</f>
        <v/>
      </c>
      <c r="AJ2117" s="18" t="str">
        <f aca="false">IF($D2117="","",IF(OR($R2117=TRUE(),$R2117="TRUE"),1,0))</f>
        <v/>
      </c>
      <c r="AK2117" s="18" t="str">
        <f aca="false">IF($AH2117=1,IFERROR(VALUE(MID($D2117,2,20)),1000000000)+ROW()/10000000,"")</f>
        <v/>
      </c>
    </row>
    <row r="2118" customFormat="false" ht="15" hidden="false" customHeight="false" outlineLevel="0" collapsed="false">
      <c r="F2118" s="15"/>
      <c r="N2118" s="16" t="str">
        <f aca="false">IF($D2118="","",M2118*Y2118/100)</f>
        <v/>
      </c>
      <c r="V2118" s="16" t="str">
        <f aca="false">IF($D2118="","",Y2118*AB2118/100)</f>
        <v/>
      </c>
      <c r="W2118" s="16" t="str">
        <f aca="false">IF($D2118="","",Y2118-V2118)</f>
        <v/>
      </c>
      <c r="X2118" s="16" t="str">
        <f aca="false">IF($D2118="","",W2118-N2118)</f>
        <v/>
      </c>
      <c r="AB2118" s="17" t="str">
        <f aca="false">IF($D2118="","",IF(OR($R2118=TRUE(),$R2118="TRUE"),Settings!$C$6,Settings!$C$7)*100)</f>
        <v/>
      </c>
      <c r="AH2118" s="18" t="str">
        <f aca="false">IF($D2118="","",IF(COUNTIF($D$2:$D2118,$D2118)=1,1,0))</f>
        <v/>
      </c>
      <c r="AI2118" s="18" t="str">
        <f aca="false">IF($AH2118=1,SUMPRODUCT(--($AK$2:$AK$4001&lt;$AK2118))+1,"")</f>
        <v/>
      </c>
      <c r="AJ2118" s="18" t="str">
        <f aca="false">IF($D2118="","",IF(OR($R2118=TRUE(),$R2118="TRUE"),1,0))</f>
        <v/>
      </c>
      <c r="AK2118" s="18" t="str">
        <f aca="false">IF($AH2118=1,IFERROR(VALUE(MID($D2118,2,20)),1000000000)+ROW()/10000000,"")</f>
        <v/>
      </c>
    </row>
    <row r="2119" customFormat="false" ht="15" hidden="false" customHeight="false" outlineLevel="0" collapsed="false">
      <c r="F2119" s="15"/>
      <c r="N2119" s="16" t="str">
        <f aca="false">IF($D2119="","",M2119*Y2119/100)</f>
        <v/>
      </c>
      <c r="V2119" s="16" t="str">
        <f aca="false">IF($D2119="","",Y2119*AB2119/100)</f>
        <v/>
      </c>
      <c r="W2119" s="16" t="str">
        <f aca="false">IF($D2119="","",Y2119-V2119)</f>
        <v/>
      </c>
      <c r="X2119" s="16" t="str">
        <f aca="false">IF($D2119="","",W2119-N2119)</f>
        <v/>
      </c>
      <c r="AB2119" s="17" t="str">
        <f aca="false">IF($D2119="","",IF(OR($R2119=TRUE(),$R2119="TRUE"),Settings!$C$6,Settings!$C$7)*100)</f>
        <v/>
      </c>
      <c r="AH2119" s="18" t="str">
        <f aca="false">IF($D2119="","",IF(COUNTIF($D$2:$D2119,$D2119)=1,1,0))</f>
        <v/>
      </c>
      <c r="AI2119" s="18" t="str">
        <f aca="false">IF($AH2119=1,SUMPRODUCT(--($AK$2:$AK$4001&lt;$AK2119))+1,"")</f>
        <v/>
      </c>
      <c r="AJ2119" s="18" t="str">
        <f aca="false">IF($D2119="","",IF(OR($R2119=TRUE(),$R2119="TRUE"),1,0))</f>
        <v/>
      </c>
      <c r="AK2119" s="18" t="str">
        <f aca="false">IF($AH2119=1,IFERROR(VALUE(MID($D2119,2,20)),1000000000)+ROW()/10000000,"")</f>
        <v/>
      </c>
    </row>
    <row r="2120" customFormat="false" ht="15" hidden="false" customHeight="false" outlineLevel="0" collapsed="false">
      <c r="F2120" s="15"/>
      <c r="N2120" s="16" t="str">
        <f aca="false">IF($D2120="","",M2120*Y2120/100)</f>
        <v/>
      </c>
      <c r="V2120" s="16" t="str">
        <f aca="false">IF($D2120="","",Y2120*AB2120/100)</f>
        <v/>
      </c>
      <c r="W2120" s="16" t="str">
        <f aca="false">IF($D2120="","",Y2120-V2120)</f>
        <v/>
      </c>
      <c r="X2120" s="16" t="str">
        <f aca="false">IF($D2120="","",W2120-N2120)</f>
        <v/>
      </c>
      <c r="AB2120" s="17" t="str">
        <f aca="false">IF($D2120="","",IF(OR($R2120=TRUE(),$R2120="TRUE"),Settings!$C$6,Settings!$C$7)*100)</f>
        <v/>
      </c>
      <c r="AH2120" s="18" t="str">
        <f aca="false">IF($D2120="","",IF(COUNTIF($D$2:$D2120,$D2120)=1,1,0))</f>
        <v/>
      </c>
      <c r="AI2120" s="18" t="str">
        <f aca="false">IF($AH2120=1,SUMPRODUCT(--($AK$2:$AK$4001&lt;$AK2120))+1,"")</f>
        <v/>
      </c>
      <c r="AJ2120" s="18" t="str">
        <f aca="false">IF($D2120="","",IF(OR($R2120=TRUE(),$R2120="TRUE"),1,0))</f>
        <v/>
      </c>
      <c r="AK2120" s="18" t="str">
        <f aca="false">IF($AH2120=1,IFERROR(VALUE(MID($D2120,2,20)),1000000000)+ROW()/10000000,"")</f>
        <v/>
      </c>
    </row>
    <row r="2121" customFormat="false" ht="15" hidden="false" customHeight="false" outlineLevel="0" collapsed="false">
      <c r="F2121" s="15"/>
      <c r="N2121" s="16" t="str">
        <f aca="false">IF($D2121="","",M2121*Y2121/100)</f>
        <v/>
      </c>
      <c r="V2121" s="16" t="str">
        <f aca="false">IF($D2121="","",Y2121*AB2121/100)</f>
        <v/>
      </c>
      <c r="W2121" s="16" t="str">
        <f aca="false">IF($D2121="","",Y2121-V2121)</f>
        <v/>
      </c>
      <c r="X2121" s="16" t="str">
        <f aca="false">IF($D2121="","",W2121-N2121)</f>
        <v/>
      </c>
      <c r="AB2121" s="17" t="str">
        <f aca="false">IF($D2121="","",IF(OR($R2121=TRUE(),$R2121="TRUE"),Settings!$C$6,Settings!$C$7)*100)</f>
        <v/>
      </c>
      <c r="AH2121" s="18" t="str">
        <f aca="false">IF($D2121="","",IF(COUNTIF($D$2:$D2121,$D2121)=1,1,0))</f>
        <v/>
      </c>
      <c r="AI2121" s="18" t="str">
        <f aca="false">IF($AH2121=1,SUMPRODUCT(--($AK$2:$AK$4001&lt;$AK2121))+1,"")</f>
        <v/>
      </c>
      <c r="AJ2121" s="18" t="str">
        <f aca="false">IF($D2121="","",IF(OR($R2121=TRUE(),$R2121="TRUE"),1,0))</f>
        <v/>
      </c>
      <c r="AK2121" s="18" t="str">
        <f aca="false">IF($AH2121=1,IFERROR(VALUE(MID($D2121,2,20)),1000000000)+ROW()/10000000,"")</f>
        <v/>
      </c>
    </row>
    <row r="2122" customFormat="false" ht="15" hidden="false" customHeight="false" outlineLevel="0" collapsed="false">
      <c r="F2122" s="15"/>
      <c r="N2122" s="16" t="str">
        <f aca="false">IF($D2122="","",M2122*Y2122/100)</f>
        <v/>
      </c>
      <c r="V2122" s="16" t="str">
        <f aca="false">IF($D2122="","",Y2122*AB2122/100)</f>
        <v/>
      </c>
      <c r="W2122" s="16" t="str">
        <f aca="false">IF($D2122="","",Y2122-V2122)</f>
        <v/>
      </c>
      <c r="X2122" s="16" t="str">
        <f aca="false">IF($D2122="","",W2122-N2122)</f>
        <v/>
      </c>
      <c r="AB2122" s="17" t="str">
        <f aca="false">IF($D2122="","",IF(OR($R2122=TRUE(),$R2122="TRUE"),Settings!$C$6,Settings!$C$7)*100)</f>
        <v/>
      </c>
      <c r="AH2122" s="18" t="str">
        <f aca="false">IF($D2122="","",IF(COUNTIF($D$2:$D2122,$D2122)=1,1,0))</f>
        <v/>
      </c>
      <c r="AI2122" s="18" t="str">
        <f aca="false">IF($AH2122=1,SUMPRODUCT(--($AK$2:$AK$4001&lt;$AK2122))+1,"")</f>
        <v/>
      </c>
      <c r="AJ2122" s="18" t="str">
        <f aca="false">IF($D2122="","",IF(OR($R2122=TRUE(),$R2122="TRUE"),1,0))</f>
        <v/>
      </c>
      <c r="AK2122" s="18" t="str">
        <f aca="false">IF($AH2122=1,IFERROR(VALUE(MID($D2122,2,20)),1000000000)+ROW()/10000000,"")</f>
        <v/>
      </c>
    </row>
    <row r="2123" customFormat="false" ht="15" hidden="false" customHeight="false" outlineLevel="0" collapsed="false">
      <c r="F2123" s="15"/>
      <c r="N2123" s="16" t="str">
        <f aca="false">IF($D2123="","",M2123*Y2123/100)</f>
        <v/>
      </c>
      <c r="V2123" s="16" t="str">
        <f aca="false">IF($D2123="","",Y2123*AB2123/100)</f>
        <v/>
      </c>
      <c r="W2123" s="16" t="str">
        <f aca="false">IF($D2123="","",Y2123-V2123)</f>
        <v/>
      </c>
      <c r="X2123" s="16" t="str">
        <f aca="false">IF($D2123="","",W2123-N2123)</f>
        <v/>
      </c>
      <c r="AB2123" s="17" t="str">
        <f aca="false">IF($D2123="","",IF(OR($R2123=TRUE(),$R2123="TRUE"),Settings!$C$6,Settings!$C$7)*100)</f>
        <v/>
      </c>
      <c r="AH2123" s="18" t="str">
        <f aca="false">IF($D2123="","",IF(COUNTIF($D$2:$D2123,$D2123)=1,1,0))</f>
        <v/>
      </c>
      <c r="AI2123" s="18" t="str">
        <f aca="false">IF($AH2123=1,SUMPRODUCT(--($AK$2:$AK$4001&lt;$AK2123))+1,"")</f>
        <v/>
      </c>
      <c r="AJ2123" s="18" t="str">
        <f aca="false">IF($D2123="","",IF(OR($R2123=TRUE(),$R2123="TRUE"),1,0))</f>
        <v/>
      </c>
      <c r="AK2123" s="18" t="str">
        <f aca="false">IF($AH2123=1,IFERROR(VALUE(MID($D2123,2,20)),1000000000)+ROW()/10000000,"")</f>
        <v/>
      </c>
    </row>
    <row r="2124" customFormat="false" ht="15" hidden="false" customHeight="false" outlineLevel="0" collapsed="false">
      <c r="F2124" s="15"/>
      <c r="N2124" s="16" t="str">
        <f aca="false">IF($D2124="","",M2124*Y2124/100)</f>
        <v/>
      </c>
      <c r="V2124" s="16" t="str">
        <f aca="false">IF($D2124="","",Y2124*AB2124/100)</f>
        <v/>
      </c>
      <c r="W2124" s="16" t="str">
        <f aca="false">IF($D2124="","",Y2124-V2124)</f>
        <v/>
      </c>
      <c r="X2124" s="16" t="str">
        <f aca="false">IF($D2124="","",W2124-N2124)</f>
        <v/>
      </c>
      <c r="AB2124" s="17" t="str">
        <f aca="false">IF($D2124="","",IF(OR($R2124=TRUE(),$R2124="TRUE"),Settings!$C$6,Settings!$C$7)*100)</f>
        <v/>
      </c>
      <c r="AH2124" s="18" t="str">
        <f aca="false">IF($D2124="","",IF(COUNTIF($D$2:$D2124,$D2124)=1,1,0))</f>
        <v/>
      </c>
      <c r="AI2124" s="18" t="str">
        <f aca="false">IF($AH2124=1,SUMPRODUCT(--($AK$2:$AK$4001&lt;$AK2124))+1,"")</f>
        <v/>
      </c>
      <c r="AJ2124" s="18" t="str">
        <f aca="false">IF($D2124="","",IF(OR($R2124=TRUE(),$R2124="TRUE"),1,0))</f>
        <v/>
      </c>
      <c r="AK2124" s="18" t="str">
        <f aca="false">IF($AH2124=1,IFERROR(VALUE(MID($D2124,2,20)),1000000000)+ROW()/10000000,"")</f>
        <v/>
      </c>
    </row>
    <row r="2125" customFormat="false" ht="15" hidden="false" customHeight="false" outlineLevel="0" collapsed="false">
      <c r="F2125" s="15"/>
      <c r="N2125" s="16" t="str">
        <f aca="false">IF($D2125="","",M2125*Y2125/100)</f>
        <v/>
      </c>
      <c r="V2125" s="16" t="str">
        <f aca="false">IF($D2125="","",Y2125*AB2125/100)</f>
        <v/>
      </c>
      <c r="W2125" s="16" t="str">
        <f aca="false">IF($D2125="","",Y2125-V2125)</f>
        <v/>
      </c>
      <c r="X2125" s="16" t="str">
        <f aca="false">IF($D2125="","",W2125-N2125)</f>
        <v/>
      </c>
      <c r="AB2125" s="17" t="str">
        <f aca="false">IF($D2125="","",IF(OR($R2125=TRUE(),$R2125="TRUE"),Settings!$C$6,Settings!$C$7)*100)</f>
        <v/>
      </c>
      <c r="AH2125" s="18" t="str">
        <f aca="false">IF($D2125="","",IF(COUNTIF($D$2:$D2125,$D2125)=1,1,0))</f>
        <v/>
      </c>
      <c r="AI2125" s="18" t="str">
        <f aca="false">IF($AH2125=1,SUMPRODUCT(--($AK$2:$AK$4001&lt;$AK2125))+1,"")</f>
        <v/>
      </c>
      <c r="AJ2125" s="18" t="str">
        <f aca="false">IF($D2125="","",IF(OR($R2125=TRUE(),$R2125="TRUE"),1,0))</f>
        <v/>
      </c>
      <c r="AK2125" s="18" t="str">
        <f aca="false">IF($AH2125=1,IFERROR(VALUE(MID($D2125,2,20)),1000000000)+ROW()/10000000,"")</f>
        <v/>
      </c>
    </row>
    <row r="2126" customFormat="false" ht="15" hidden="false" customHeight="false" outlineLevel="0" collapsed="false">
      <c r="F2126" s="15"/>
      <c r="N2126" s="16" t="str">
        <f aca="false">IF($D2126="","",M2126*Y2126/100)</f>
        <v/>
      </c>
      <c r="V2126" s="16" t="str">
        <f aca="false">IF($D2126="","",Y2126*AB2126/100)</f>
        <v/>
      </c>
      <c r="W2126" s="16" t="str">
        <f aca="false">IF($D2126="","",Y2126-V2126)</f>
        <v/>
      </c>
      <c r="X2126" s="16" t="str">
        <f aca="false">IF($D2126="","",W2126-N2126)</f>
        <v/>
      </c>
      <c r="AB2126" s="17" t="str">
        <f aca="false">IF($D2126="","",IF(OR($R2126=TRUE(),$R2126="TRUE"),Settings!$C$6,Settings!$C$7)*100)</f>
        <v/>
      </c>
      <c r="AH2126" s="18" t="str">
        <f aca="false">IF($D2126="","",IF(COUNTIF($D$2:$D2126,$D2126)=1,1,0))</f>
        <v/>
      </c>
      <c r="AI2126" s="18" t="str">
        <f aca="false">IF($AH2126=1,SUMPRODUCT(--($AK$2:$AK$4001&lt;$AK2126))+1,"")</f>
        <v/>
      </c>
      <c r="AJ2126" s="18" t="str">
        <f aca="false">IF($D2126="","",IF(OR($R2126=TRUE(),$R2126="TRUE"),1,0))</f>
        <v/>
      </c>
      <c r="AK2126" s="18" t="str">
        <f aca="false">IF($AH2126=1,IFERROR(VALUE(MID($D2126,2,20)),1000000000)+ROW()/10000000,"")</f>
        <v/>
      </c>
    </row>
    <row r="2127" customFormat="false" ht="15" hidden="false" customHeight="false" outlineLevel="0" collapsed="false">
      <c r="F2127" s="15"/>
      <c r="N2127" s="16" t="str">
        <f aca="false">IF($D2127="","",M2127*Y2127/100)</f>
        <v/>
      </c>
      <c r="V2127" s="16" t="str">
        <f aca="false">IF($D2127="","",Y2127*AB2127/100)</f>
        <v/>
      </c>
      <c r="W2127" s="16" t="str">
        <f aca="false">IF($D2127="","",Y2127-V2127)</f>
        <v/>
      </c>
      <c r="X2127" s="16" t="str">
        <f aca="false">IF($D2127="","",W2127-N2127)</f>
        <v/>
      </c>
      <c r="AB2127" s="17" t="str">
        <f aca="false">IF($D2127="","",IF(OR($R2127=TRUE(),$R2127="TRUE"),Settings!$C$6,Settings!$C$7)*100)</f>
        <v/>
      </c>
      <c r="AH2127" s="18" t="str">
        <f aca="false">IF($D2127="","",IF(COUNTIF($D$2:$D2127,$D2127)=1,1,0))</f>
        <v/>
      </c>
      <c r="AI2127" s="18" t="str">
        <f aca="false">IF($AH2127=1,SUMPRODUCT(--($AK$2:$AK$4001&lt;$AK2127))+1,"")</f>
        <v/>
      </c>
      <c r="AJ2127" s="18" t="str">
        <f aca="false">IF($D2127="","",IF(OR($R2127=TRUE(),$R2127="TRUE"),1,0))</f>
        <v/>
      </c>
      <c r="AK2127" s="18" t="str">
        <f aca="false">IF($AH2127=1,IFERROR(VALUE(MID($D2127,2,20)),1000000000)+ROW()/10000000,"")</f>
        <v/>
      </c>
    </row>
    <row r="2128" customFormat="false" ht="15" hidden="false" customHeight="false" outlineLevel="0" collapsed="false">
      <c r="F2128" s="15"/>
      <c r="N2128" s="16" t="str">
        <f aca="false">IF($D2128="","",M2128*Y2128/100)</f>
        <v/>
      </c>
      <c r="V2128" s="16" t="str">
        <f aca="false">IF($D2128="","",Y2128*AB2128/100)</f>
        <v/>
      </c>
      <c r="W2128" s="16" t="str">
        <f aca="false">IF($D2128="","",Y2128-V2128)</f>
        <v/>
      </c>
      <c r="X2128" s="16" t="str">
        <f aca="false">IF($D2128="","",W2128-N2128)</f>
        <v/>
      </c>
      <c r="AB2128" s="17" t="str">
        <f aca="false">IF($D2128="","",IF(OR($R2128=TRUE(),$R2128="TRUE"),Settings!$C$6,Settings!$C$7)*100)</f>
        <v/>
      </c>
      <c r="AH2128" s="18" t="str">
        <f aca="false">IF($D2128="","",IF(COUNTIF($D$2:$D2128,$D2128)=1,1,0))</f>
        <v/>
      </c>
      <c r="AI2128" s="18" t="str">
        <f aca="false">IF($AH2128=1,SUMPRODUCT(--($AK$2:$AK$4001&lt;$AK2128))+1,"")</f>
        <v/>
      </c>
      <c r="AJ2128" s="18" t="str">
        <f aca="false">IF($D2128="","",IF(OR($R2128=TRUE(),$R2128="TRUE"),1,0))</f>
        <v/>
      </c>
      <c r="AK2128" s="18" t="str">
        <f aca="false">IF($AH2128=1,IFERROR(VALUE(MID($D2128,2,20)),1000000000)+ROW()/10000000,"")</f>
        <v/>
      </c>
    </row>
    <row r="2129" customFormat="false" ht="15" hidden="false" customHeight="false" outlineLevel="0" collapsed="false">
      <c r="F2129" s="15"/>
      <c r="N2129" s="16" t="str">
        <f aca="false">IF($D2129="","",M2129*Y2129/100)</f>
        <v/>
      </c>
      <c r="V2129" s="16" t="str">
        <f aca="false">IF($D2129="","",Y2129*AB2129/100)</f>
        <v/>
      </c>
      <c r="W2129" s="16" t="str">
        <f aca="false">IF($D2129="","",Y2129-V2129)</f>
        <v/>
      </c>
      <c r="X2129" s="16" t="str">
        <f aca="false">IF($D2129="","",W2129-N2129)</f>
        <v/>
      </c>
      <c r="AB2129" s="17" t="str">
        <f aca="false">IF($D2129="","",IF(OR($R2129=TRUE(),$R2129="TRUE"),Settings!$C$6,Settings!$C$7)*100)</f>
        <v/>
      </c>
      <c r="AH2129" s="18" t="str">
        <f aca="false">IF($D2129="","",IF(COUNTIF($D$2:$D2129,$D2129)=1,1,0))</f>
        <v/>
      </c>
      <c r="AI2129" s="18" t="str">
        <f aca="false">IF($AH2129=1,SUMPRODUCT(--($AK$2:$AK$4001&lt;$AK2129))+1,"")</f>
        <v/>
      </c>
      <c r="AJ2129" s="18" t="str">
        <f aca="false">IF($D2129="","",IF(OR($R2129=TRUE(),$R2129="TRUE"),1,0))</f>
        <v/>
      </c>
      <c r="AK2129" s="18" t="str">
        <f aca="false">IF($AH2129=1,IFERROR(VALUE(MID($D2129,2,20)),1000000000)+ROW()/10000000,"")</f>
        <v/>
      </c>
    </row>
    <row r="2130" customFormat="false" ht="15" hidden="false" customHeight="false" outlineLevel="0" collapsed="false">
      <c r="F2130" s="15"/>
      <c r="N2130" s="16" t="str">
        <f aca="false">IF($D2130="","",M2130*Y2130/100)</f>
        <v/>
      </c>
      <c r="V2130" s="16" t="str">
        <f aca="false">IF($D2130="","",Y2130*AB2130/100)</f>
        <v/>
      </c>
      <c r="W2130" s="16" t="str">
        <f aca="false">IF($D2130="","",Y2130-V2130)</f>
        <v/>
      </c>
      <c r="X2130" s="16" t="str">
        <f aca="false">IF($D2130="","",W2130-N2130)</f>
        <v/>
      </c>
      <c r="AB2130" s="17" t="str">
        <f aca="false">IF($D2130="","",IF(OR($R2130=TRUE(),$R2130="TRUE"),Settings!$C$6,Settings!$C$7)*100)</f>
        <v/>
      </c>
      <c r="AH2130" s="18" t="str">
        <f aca="false">IF($D2130="","",IF(COUNTIF($D$2:$D2130,$D2130)=1,1,0))</f>
        <v/>
      </c>
      <c r="AI2130" s="18" t="str">
        <f aca="false">IF($AH2130=1,SUMPRODUCT(--($AK$2:$AK$4001&lt;$AK2130))+1,"")</f>
        <v/>
      </c>
      <c r="AJ2130" s="18" t="str">
        <f aca="false">IF($D2130="","",IF(OR($R2130=TRUE(),$R2130="TRUE"),1,0))</f>
        <v/>
      </c>
      <c r="AK2130" s="18" t="str">
        <f aca="false">IF($AH2130=1,IFERROR(VALUE(MID($D2130,2,20)),1000000000)+ROW()/10000000,"")</f>
        <v/>
      </c>
    </row>
    <row r="2131" customFormat="false" ht="15" hidden="false" customHeight="false" outlineLevel="0" collapsed="false">
      <c r="F2131" s="15"/>
      <c r="N2131" s="16" t="str">
        <f aca="false">IF($D2131="","",M2131*Y2131/100)</f>
        <v/>
      </c>
      <c r="V2131" s="16" t="str">
        <f aca="false">IF($D2131="","",Y2131*AB2131/100)</f>
        <v/>
      </c>
      <c r="W2131" s="16" t="str">
        <f aca="false">IF($D2131="","",Y2131-V2131)</f>
        <v/>
      </c>
      <c r="X2131" s="16" t="str">
        <f aca="false">IF($D2131="","",W2131-N2131)</f>
        <v/>
      </c>
      <c r="AB2131" s="17" t="str">
        <f aca="false">IF($D2131="","",IF(OR($R2131=TRUE(),$R2131="TRUE"),Settings!$C$6,Settings!$C$7)*100)</f>
        <v/>
      </c>
      <c r="AH2131" s="18" t="str">
        <f aca="false">IF($D2131="","",IF(COUNTIF($D$2:$D2131,$D2131)=1,1,0))</f>
        <v/>
      </c>
      <c r="AI2131" s="18" t="str">
        <f aca="false">IF($AH2131=1,SUMPRODUCT(--($AK$2:$AK$4001&lt;$AK2131))+1,"")</f>
        <v/>
      </c>
      <c r="AJ2131" s="18" t="str">
        <f aca="false">IF($D2131="","",IF(OR($R2131=TRUE(),$R2131="TRUE"),1,0))</f>
        <v/>
      </c>
      <c r="AK2131" s="18" t="str">
        <f aca="false">IF($AH2131=1,IFERROR(VALUE(MID($D2131,2,20)),1000000000)+ROW()/10000000,"")</f>
        <v/>
      </c>
    </row>
    <row r="2132" customFormat="false" ht="15" hidden="false" customHeight="false" outlineLevel="0" collapsed="false">
      <c r="F2132" s="15"/>
      <c r="N2132" s="16" t="str">
        <f aca="false">IF($D2132="","",M2132*Y2132/100)</f>
        <v/>
      </c>
      <c r="V2132" s="16" t="str">
        <f aca="false">IF($D2132="","",Y2132*AB2132/100)</f>
        <v/>
      </c>
      <c r="W2132" s="16" t="str">
        <f aca="false">IF($D2132="","",Y2132-V2132)</f>
        <v/>
      </c>
      <c r="X2132" s="16" t="str">
        <f aca="false">IF($D2132="","",W2132-N2132)</f>
        <v/>
      </c>
      <c r="AB2132" s="17" t="str">
        <f aca="false">IF($D2132="","",IF(OR($R2132=TRUE(),$R2132="TRUE"),Settings!$C$6,Settings!$C$7)*100)</f>
        <v/>
      </c>
      <c r="AH2132" s="18" t="str">
        <f aca="false">IF($D2132="","",IF(COUNTIF($D$2:$D2132,$D2132)=1,1,0))</f>
        <v/>
      </c>
      <c r="AI2132" s="18" t="str">
        <f aca="false">IF($AH2132=1,SUMPRODUCT(--($AK$2:$AK$4001&lt;$AK2132))+1,"")</f>
        <v/>
      </c>
      <c r="AJ2132" s="18" t="str">
        <f aca="false">IF($D2132="","",IF(OR($R2132=TRUE(),$R2132="TRUE"),1,0))</f>
        <v/>
      </c>
      <c r="AK2132" s="18" t="str">
        <f aca="false">IF($AH2132=1,IFERROR(VALUE(MID($D2132,2,20)),1000000000)+ROW()/10000000,"")</f>
        <v/>
      </c>
    </row>
    <row r="2133" customFormat="false" ht="15" hidden="false" customHeight="false" outlineLevel="0" collapsed="false">
      <c r="F2133" s="15"/>
      <c r="N2133" s="16" t="str">
        <f aca="false">IF($D2133="","",M2133*Y2133/100)</f>
        <v/>
      </c>
      <c r="V2133" s="16" t="str">
        <f aca="false">IF($D2133="","",Y2133*AB2133/100)</f>
        <v/>
      </c>
      <c r="W2133" s="16" t="str">
        <f aca="false">IF($D2133="","",Y2133-V2133)</f>
        <v/>
      </c>
      <c r="X2133" s="16" t="str">
        <f aca="false">IF($D2133="","",W2133-N2133)</f>
        <v/>
      </c>
      <c r="AB2133" s="17" t="str">
        <f aca="false">IF($D2133="","",IF(OR($R2133=TRUE(),$R2133="TRUE"),Settings!$C$6,Settings!$C$7)*100)</f>
        <v/>
      </c>
      <c r="AH2133" s="18" t="str">
        <f aca="false">IF($D2133="","",IF(COUNTIF($D$2:$D2133,$D2133)=1,1,0))</f>
        <v/>
      </c>
      <c r="AI2133" s="18" t="str">
        <f aca="false">IF($AH2133=1,SUMPRODUCT(--($AK$2:$AK$4001&lt;$AK2133))+1,"")</f>
        <v/>
      </c>
      <c r="AJ2133" s="18" t="str">
        <f aca="false">IF($D2133="","",IF(OR($R2133=TRUE(),$R2133="TRUE"),1,0))</f>
        <v/>
      </c>
      <c r="AK2133" s="18" t="str">
        <f aca="false">IF($AH2133=1,IFERROR(VALUE(MID($D2133,2,20)),1000000000)+ROW()/10000000,"")</f>
        <v/>
      </c>
    </row>
    <row r="2134" customFormat="false" ht="15" hidden="false" customHeight="false" outlineLevel="0" collapsed="false">
      <c r="F2134" s="15"/>
      <c r="N2134" s="16" t="str">
        <f aca="false">IF($D2134="","",M2134*Y2134/100)</f>
        <v/>
      </c>
      <c r="V2134" s="16" t="str">
        <f aca="false">IF($D2134="","",Y2134*AB2134/100)</f>
        <v/>
      </c>
      <c r="W2134" s="16" t="str">
        <f aca="false">IF($D2134="","",Y2134-V2134)</f>
        <v/>
      </c>
      <c r="X2134" s="16" t="str">
        <f aca="false">IF($D2134="","",W2134-N2134)</f>
        <v/>
      </c>
      <c r="AB2134" s="17" t="str">
        <f aca="false">IF($D2134="","",IF(OR($R2134=TRUE(),$R2134="TRUE"),Settings!$C$6,Settings!$C$7)*100)</f>
        <v/>
      </c>
      <c r="AH2134" s="18" t="str">
        <f aca="false">IF($D2134="","",IF(COUNTIF($D$2:$D2134,$D2134)=1,1,0))</f>
        <v/>
      </c>
      <c r="AI2134" s="18" t="str">
        <f aca="false">IF($AH2134=1,SUMPRODUCT(--($AK$2:$AK$4001&lt;$AK2134))+1,"")</f>
        <v/>
      </c>
      <c r="AJ2134" s="18" t="str">
        <f aca="false">IF($D2134="","",IF(OR($R2134=TRUE(),$R2134="TRUE"),1,0))</f>
        <v/>
      </c>
      <c r="AK2134" s="18" t="str">
        <f aca="false">IF($AH2134=1,IFERROR(VALUE(MID($D2134,2,20)),1000000000)+ROW()/10000000,"")</f>
        <v/>
      </c>
    </row>
    <row r="2135" customFormat="false" ht="15" hidden="false" customHeight="false" outlineLevel="0" collapsed="false">
      <c r="F2135" s="15"/>
      <c r="N2135" s="16" t="str">
        <f aca="false">IF($D2135="","",M2135*Y2135/100)</f>
        <v/>
      </c>
      <c r="V2135" s="16" t="str">
        <f aca="false">IF($D2135="","",Y2135*AB2135/100)</f>
        <v/>
      </c>
      <c r="W2135" s="16" t="str">
        <f aca="false">IF($D2135="","",Y2135-V2135)</f>
        <v/>
      </c>
      <c r="X2135" s="16" t="str">
        <f aca="false">IF($D2135="","",W2135-N2135)</f>
        <v/>
      </c>
      <c r="AB2135" s="17" t="str">
        <f aca="false">IF($D2135="","",IF(OR($R2135=TRUE(),$R2135="TRUE"),Settings!$C$6,Settings!$C$7)*100)</f>
        <v/>
      </c>
      <c r="AH2135" s="18" t="str">
        <f aca="false">IF($D2135="","",IF(COUNTIF($D$2:$D2135,$D2135)=1,1,0))</f>
        <v/>
      </c>
      <c r="AI2135" s="18" t="str">
        <f aca="false">IF($AH2135=1,SUMPRODUCT(--($AK$2:$AK$4001&lt;$AK2135))+1,"")</f>
        <v/>
      </c>
      <c r="AJ2135" s="18" t="str">
        <f aca="false">IF($D2135="","",IF(OR($R2135=TRUE(),$R2135="TRUE"),1,0))</f>
        <v/>
      </c>
      <c r="AK2135" s="18" t="str">
        <f aca="false">IF($AH2135=1,IFERROR(VALUE(MID($D2135,2,20)),1000000000)+ROW()/10000000,"")</f>
        <v/>
      </c>
    </row>
    <row r="2136" customFormat="false" ht="15" hidden="false" customHeight="false" outlineLevel="0" collapsed="false">
      <c r="F2136" s="15"/>
      <c r="N2136" s="16" t="str">
        <f aca="false">IF($D2136="","",M2136*Y2136/100)</f>
        <v/>
      </c>
      <c r="V2136" s="16" t="str">
        <f aca="false">IF($D2136="","",Y2136*AB2136/100)</f>
        <v/>
      </c>
      <c r="W2136" s="16" t="str">
        <f aca="false">IF($D2136="","",Y2136-V2136)</f>
        <v/>
      </c>
      <c r="X2136" s="16" t="str">
        <f aca="false">IF($D2136="","",W2136-N2136)</f>
        <v/>
      </c>
      <c r="AB2136" s="17" t="str">
        <f aca="false">IF($D2136="","",IF(OR($R2136=TRUE(),$R2136="TRUE"),Settings!$C$6,Settings!$C$7)*100)</f>
        <v/>
      </c>
      <c r="AH2136" s="18" t="str">
        <f aca="false">IF($D2136="","",IF(COUNTIF($D$2:$D2136,$D2136)=1,1,0))</f>
        <v/>
      </c>
      <c r="AI2136" s="18" t="str">
        <f aca="false">IF($AH2136=1,SUMPRODUCT(--($AK$2:$AK$4001&lt;$AK2136))+1,"")</f>
        <v/>
      </c>
      <c r="AJ2136" s="18" t="str">
        <f aca="false">IF($D2136="","",IF(OR($R2136=TRUE(),$R2136="TRUE"),1,0))</f>
        <v/>
      </c>
      <c r="AK2136" s="18" t="str">
        <f aca="false">IF($AH2136=1,IFERROR(VALUE(MID($D2136,2,20)),1000000000)+ROW()/10000000,"")</f>
        <v/>
      </c>
    </row>
    <row r="2137" customFormat="false" ht="15" hidden="false" customHeight="false" outlineLevel="0" collapsed="false">
      <c r="F2137" s="15"/>
      <c r="N2137" s="16" t="str">
        <f aca="false">IF($D2137="","",M2137*Y2137/100)</f>
        <v/>
      </c>
      <c r="V2137" s="16" t="str">
        <f aca="false">IF($D2137="","",Y2137*AB2137/100)</f>
        <v/>
      </c>
      <c r="W2137" s="16" t="str">
        <f aca="false">IF($D2137="","",Y2137-V2137)</f>
        <v/>
      </c>
      <c r="X2137" s="16" t="str">
        <f aca="false">IF($D2137="","",W2137-N2137)</f>
        <v/>
      </c>
      <c r="AB2137" s="17" t="str">
        <f aca="false">IF($D2137="","",IF(OR($R2137=TRUE(),$R2137="TRUE"),Settings!$C$6,Settings!$C$7)*100)</f>
        <v/>
      </c>
      <c r="AH2137" s="18" t="str">
        <f aca="false">IF($D2137="","",IF(COUNTIF($D$2:$D2137,$D2137)=1,1,0))</f>
        <v/>
      </c>
      <c r="AI2137" s="18" t="str">
        <f aca="false">IF($AH2137=1,SUMPRODUCT(--($AK$2:$AK$4001&lt;$AK2137))+1,"")</f>
        <v/>
      </c>
      <c r="AJ2137" s="18" t="str">
        <f aca="false">IF($D2137="","",IF(OR($R2137=TRUE(),$R2137="TRUE"),1,0))</f>
        <v/>
      </c>
      <c r="AK2137" s="18" t="str">
        <f aca="false">IF($AH2137=1,IFERROR(VALUE(MID($D2137,2,20)),1000000000)+ROW()/10000000,"")</f>
        <v/>
      </c>
    </row>
    <row r="2138" customFormat="false" ht="15" hidden="false" customHeight="false" outlineLevel="0" collapsed="false">
      <c r="F2138" s="15"/>
      <c r="N2138" s="16" t="str">
        <f aca="false">IF($D2138="","",M2138*Y2138/100)</f>
        <v/>
      </c>
      <c r="V2138" s="16" t="str">
        <f aca="false">IF($D2138="","",Y2138*AB2138/100)</f>
        <v/>
      </c>
      <c r="W2138" s="16" t="str">
        <f aca="false">IF($D2138="","",Y2138-V2138)</f>
        <v/>
      </c>
      <c r="X2138" s="16" t="str">
        <f aca="false">IF($D2138="","",W2138-N2138)</f>
        <v/>
      </c>
      <c r="AB2138" s="17" t="str">
        <f aca="false">IF($D2138="","",IF(OR($R2138=TRUE(),$R2138="TRUE"),Settings!$C$6,Settings!$C$7)*100)</f>
        <v/>
      </c>
      <c r="AH2138" s="18" t="str">
        <f aca="false">IF($D2138="","",IF(COUNTIF($D$2:$D2138,$D2138)=1,1,0))</f>
        <v/>
      </c>
      <c r="AI2138" s="18" t="str">
        <f aca="false">IF($AH2138=1,SUMPRODUCT(--($AK$2:$AK$4001&lt;$AK2138))+1,"")</f>
        <v/>
      </c>
      <c r="AJ2138" s="18" t="str">
        <f aca="false">IF($D2138="","",IF(OR($R2138=TRUE(),$R2138="TRUE"),1,0))</f>
        <v/>
      </c>
      <c r="AK2138" s="18" t="str">
        <f aca="false">IF($AH2138=1,IFERROR(VALUE(MID($D2138,2,20)),1000000000)+ROW()/10000000,"")</f>
        <v/>
      </c>
    </row>
    <row r="2139" customFormat="false" ht="15" hidden="false" customHeight="false" outlineLevel="0" collapsed="false">
      <c r="F2139" s="15"/>
      <c r="N2139" s="16" t="str">
        <f aca="false">IF($D2139="","",M2139*Y2139/100)</f>
        <v/>
      </c>
      <c r="V2139" s="16" t="str">
        <f aca="false">IF($D2139="","",Y2139*AB2139/100)</f>
        <v/>
      </c>
      <c r="W2139" s="16" t="str">
        <f aca="false">IF($D2139="","",Y2139-V2139)</f>
        <v/>
      </c>
      <c r="X2139" s="16" t="str">
        <f aca="false">IF($D2139="","",W2139-N2139)</f>
        <v/>
      </c>
      <c r="AB2139" s="17" t="str">
        <f aca="false">IF($D2139="","",IF(OR($R2139=TRUE(),$R2139="TRUE"),Settings!$C$6,Settings!$C$7)*100)</f>
        <v/>
      </c>
      <c r="AH2139" s="18" t="str">
        <f aca="false">IF($D2139="","",IF(COUNTIF($D$2:$D2139,$D2139)=1,1,0))</f>
        <v/>
      </c>
      <c r="AI2139" s="18" t="str">
        <f aca="false">IF($AH2139=1,SUMPRODUCT(--($AK$2:$AK$4001&lt;$AK2139))+1,"")</f>
        <v/>
      </c>
      <c r="AJ2139" s="18" t="str">
        <f aca="false">IF($D2139="","",IF(OR($R2139=TRUE(),$R2139="TRUE"),1,0))</f>
        <v/>
      </c>
      <c r="AK2139" s="18" t="str">
        <f aca="false">IF($AH2139=1,IFERROR(VALUE(MID($D2139,2,20)),1000000000)+ROW()/10000000,"")</f>
        <v/>
      </c>
    </row>
    <row r="2140" customFormat="false" ht="15" hidden="false" customHeight="false" outlineLevel="0" collapsed="false">
      <c r="F2140" s="15"/>
      <c r="N2140" s="16" t="str">
        <f aca="false">IF($D2140="","",M2140*Y2140/100)</f>
        <v/>
      </c>
      <c r="V2140" s="16" t="str">
        <f aca="false">IF($D2140="","",Y2140*AB2140/100)</f>
        <v/>
      </c>
      <c r="W2140" s="16" t="str">
        <f aca="false">IF($D2140="","",Y2140-V2140)</f>
        <v/>
      </c>
      <c r="X2140" s="16" t="str">
        <f aca="false">IF($D2140="","",W2140-N2140)</f>
        <v/>
      </c>
      <c r="AB2140" s="17" t="str">
        <f aca="false">IF($D2140="","",IF(OR($R2140=TRUE(),$R2140="TRUE"),Settings!$C$6,Settings!$C$7)*100)</f>
        <v/>
      </c>
      <c r="AH2140" s="18" t="str">
        <f aca="false">IF($D2140="","",IF(COUNTIF($D$2:$D2140,$D2140)=1,1,0))</f>
        <v/>
      </c>
      <c r="AI2140" s="18" t="str">
        <f aca="false">IF($AH2140=1,SUMPRODUCT(--($AK$2:$AK$4001&lt;$AK2140))+1,"")</f>
        <v/>
      </c>
      <c r="AJ2140" s="18" t="str">
        <f aca="false">IF($D2140="","",IF(OR($R2140=TRUE(),$R2140="TRUE"),1,0))</f>
        <v/>
      </c>
      <c r="AK2140" s="18" t="str">
        <f aca="false">IF($AH2140=1,IFERROR(VALUE(MID($D2140,2,20)),1000000000)+ROW()/10000000,"")</f>
        <v/>
      </c>
    </row>
    <row r="2141" customFormat="false" ht="15" hidden="false" customHeight="false" outlineLevel="0" collapsed="false">
      <c r="F2141" s="15"/>
      <c r="N2141" s="16" t="str">
        <f aca="false">IF($D2141="","",M2141*Y2141/100)</f>
        <v/>
      </c>
      <c r="V2141" s="16" t="str">
        <f aca="false">IF($D2141="","",Y2141*AB2141/100)</f>
        <v/>
      </c>
      <c r="W2141" s="16" t="str">
        <f aca="false">IF($D2141="","",Y2141-V2141)</f>
        <v/>
      </c>
      <c r="X2141" s="16" t="str">
        <f aca="false">IF($D2141="","",W2141-N2141)</f>
        <v/>
      </c>
      <c r="AB2141" s="17" t="str">
        <f aca="false">IF($D2141="","",IF(OR($R2141=TRUE(),$R2141="TRUE"),Settings!$C$6,Settings!$C$7)*100)</f>
        <v/>
      </c>
      <c r="AH2141" s="18" t="str">
        <f aca="false">IF($D2141="","",IF(COUNTIF($D$2:$D2141,$D2141)=1,1,0))</f>
        <v/>
      </c>
      <c r="AI2141" s="18" t="str">
        <f aca="false">IF($AH2141=1,SUMPRODUCT(--($AK$2:$AK$4001&lt;$AK2141))+1,"")</f>
        <v/>
      </c>
      <c r="AJ2141" s="18" t="str">
        <f aca="false">IF($D2141="","",IF(OR($R2141=TRUE(),$R2141="TRUE"),1,0))</f>
        <v/>
      </c>
      <c r="AK2141" s="18" t="str">
        <f aca="false">IF($AH2141=1,IFERROR(VALUE(MID($D2141,2,20)),1000000000)+ROW()/10000000,"")</f>
        <v/>
      </c>
    </row>
    <row r="2142" customFormat="false" ht="15" hidden="false" customHeight="false" outlineLevel="0" collapsed="false">
      <c r="F2142" s="15"/>
      <c r="N2142" s="16" t="str">
        <f aca="false">IF($D2142="","",M2142*Y2142/100)</f>
        <v/>
      </c>
      <c r="V2142" s="16" t="str">
        <f aca="false">IF($D2142="","",Y2142*AB2142/100)</f>
        <v/>
      </c>
      <c r="W2142" s="16" t="str">
        <f aca="false">IF($D2142="","",Y2142-V2142)</f>
        <v/>
      </c>
      <c r="X2142" s="16" t="str">
        <f aca="false">IF($D2142="","",W2142-N2142)</f>
        <v/>
      </c>
      <c r="AB2142" s="17" t="str">
        <f aca="false">IF($D2142="","",IF(OR($R2142=TRUE(),$R2142="TRUE"),Settings!$C$6,Settings!$C$7)*100)</f>
        <v/>
      </c>
      <c r="AH2142" s="18" t="str">
        <f aca="false">IF($D2142="","",IF(COUNTIF($D$2:$D2142,$D2142)=1,1,0))</f>
        <v/>
      </c>
      <c r="AI2142" s="18" t="str">
        <f aca="false">IF($AH2142=1,SUMPRODUCT(--($AK$2:$AK$4001&lt;$AK2142))+1,"")</f>
        <v/>
      </c>
      <c r="AJ2142" s="18" t="str">
        <f aca="false">IF($D2142="","",IF(OR($R2142=TRUE(),$R2142="TRUE"),1,0))</f>
        <v/>
      </c>
      <c r="AK2142" s="18" t="str">
        <f aca="false">IF($AH2142=1,IFERROR(VALUE(MID($D2142,2,20)),1000000000)+ROW()/10000000,"")</f>
        <v/>
      </c>
    </row>
    <row r="2143" customFormat="false" ht="15" hidden="false" customHeight="false" outlineLevel="0" collapsed="false">
      <c r="F2143" s="15"/>
      <c r="N2143" s="16" t="str">
        <f aca="false">IF($D2143="","",M2143*Y2143/100)</f>
        <v/>
      </c>
      <c r="V2143" s="16" t="str">
        <f aca="false">IF($D2143="","",Y2143*AB2143/100)</f>
        <v/>
      </c>
      <c r="W2143" s="16" t="str">
        <f aca="false">IF($D2143="","",Y2143-V2143)</f>
        <v/>
      </c>
      <c r="X2143" s="16" t="str">
        <f aca="false">IF($D2143="","",W2143-N2143)</f>
        <v/>
      </c>
      <c r="AB2143" s="17" t="str">
        <f aca="false">IF($D2143="","",IF(OR($R2143=TRUE(),$R2143="TRUE"),Settings!$C$6,Settings!$C$7)*100)</f>
        <v/>
      </c>
      <c r="AH2143" s="18" t="str">
        <f aca="false">IF($D2143="","",IF(COUNTIF($D$2:$D2143,$D2143)=1,1,0))</f>
        <v/>
      </c>
      <c r="AI2143" s="18" t="str">
        <f aca="false">IF($AH2143=1,SUMPRODUCT(--($AK$2:$AK$4001&lt;$AK2143))+1,"")</f>
        <v/>
      </c>
      <c r="AJ2143" s="18" t="str">
        <f aca="false">IF($D2143="","",IF(OR($R2143=TRUE(),$R2143="TRUE"),1,0))</f>
        <v/>
      </c>
      <c r="AK2143" s="18" t="str">
        <f aca="false">IF($AH2143=1,IFERROR(VALUE(MID($D2143,2,20)),1000000000)+ROW()/10000000,"")</f>
        <v/>
      </c>
    </row>
    <row r="2144" customFormat="false" ht="15" hidden="false" customHeight="false" outlineLevel="0" collapsed="false">
      <c r="F2144" s="15"/>
      <c r="N2144" s="16" t="str">
        <f aca="false">IF($D2144="","",M2144*Y2144/100)</f>
        <v/>
      </c>
      <c r="V2144" s="16" t="str">
        <f aca="false">IF($D2144="","",Y2144*AB2144/100)</f>
        <v/>
      </c>
      <c r="W2144" s="16" t="str">
        <f aca="false">IF($D2144="","",Y2144-V2144)</f>
        <v/>
      </c>
      <c r="X2144" s="16" t="str">
        <f aca="false">IF($D2144="","",W2144-N2144)</f>
        <v/>
      </c>
      <c r="AB2144" s="17" t="str">
        <f aca="false">IF($D2144="","",IF(OR($R2144=TRUE(),$R2144="TRUE"),Settings!$C$6,Settings!$C$7)*100)</f>
        <v/>
      </c>
      <c r="AH2144" s="18" t="str">
        <f aca="false">IF($D2144="","",IF(COUNTIF($D$2:$D2144,$D2144)=1,1,0))</f>
        <v/>
      </c>
      <c r="AI2144" s="18" t="str">
        <f aca="false">IF($AH2144=1,SUMPRODUCT(--($AK$2:$AK$4001&lt;$AK2144))+1,"")</f>
        <v/>
      </c>
      <c r="AJ2144" s="18" t="str">
        <f aca="false">IF($D2144="","",IF(OR($R2144=TRUE(),$R2144="TRUE"),1,0))</f>
        <v/>
      </c>
      <c r="AK2144" s="18" t="str">
        <f aca="false">IF($AH2144=1,IFERROR(VALUE(MID($D2144,2,20)),1000000000)+ROW()/10000000,"")</f>
        <v/>
      </c>
    </row>
    <row r="2145" customFormat="false" ht="15" hidden="false" customHeight="false" outlineLevel="0" collapsed="false">
      <c r="F2145" s="15"/>
      <c r="N2145" s="16" t="str">
        <f aca="false">IF($D2145="","",M2145*Y2145/100)</f>
        <v/>
      </c>
      <c r="V2145" s="16" t="str">
        <f aca="false">IF($D2145="","",Y2145*AB2145/100)</f>
        <v/>
      </c>
      <c r="W2145" s="16" t="str">
        <f aca="false">IF($D2145="","",Y2145-V2145)</f>
        <v/>
      </c>
      <c r="X2145" s="16" t="str">
        <f aca="false">IF($D2145="","",W2145-N2145)</f>
        <v/>
      </c>
      <c r="AB2145" s="17" t="str">
        <f aca="false">IF($D2145="","",IF(OR($R2145=TRUE(),$R2145="TRUE"),Settings!$C$6,Settings!$C$7)*100)</f>
        <v/>
      </c>
      <c r="AH2145" s="18" t="str">
        <f aca="false">IF($D2145="","",IF(COUNTIF($D$2:$D2145,$D2145)=1,1,0))</f>
        <v/>
      </c>
      <c r="AI2145" s="18" t="str">
        <f aca="false">IF($AH2145=1,SUMPRODUCT(--($AK$2:$AK$4001&lt;$AK2145))+1,"")</f>
        <v/>
      </c>
      <c r="AJ2145" s="18" t="str">
        <f aca="false">IF($D2145="","",IF(OR($R2145=TRUE(),$R2145="TRUE"),1,0))</f>
        <v/>
      </c>
      <c r="AK2145" s="18" t="str">
        <f aca="false">IF($AH2145=1,IFERROR(VALUE(MID($D2145,2,20)),1000000000)+ROW()/10000000,"")</f>
        <v/>
      </c>
    </row>
    <row r="2146" customFormat="false" ht="15" hidden="false" customHeight="false" outlineLevel="0" collapsed="false">
      <c r="F2146" s="15"/>
      <c r="N2146" s="16" t="str">
        <f aca="false">IF($D2146="","",M2146*Y2146/100)</f>
        <v/>
      </c>
      <c r="V2146" s="16" t="str">
        <f aca="false">IF($D2146="","",Y2146*AB2146/100)</f>
        <v/>
      </c>
      <c r="W2146" s="16" t="str">
        <f aca="false">IF($D2146="","",Y2146-V2146)</f>
        <v/>
      </c>
      <c r="X2146" s="16" t="str">
        <f aca="false">IF($D2146="","",W2146-N2146)</f>
        <v/>
      </c>
      <c r="AB2146" s="17" t="str">
        <f aca="false">IF($D2146="","",IF(OR($R2146=TRUE(),$R2146="TRUE"),Settings!$C$6,Settings!$C$7)*100)</f>
        <v/>
      </c>
      <c r="AH2146" s="18" t="str">
        <f aca="false">IF($D2146="","",IF(COUNTIF($D$2:$D2146,$D2146)=1,1,0))</f>
        <v/>
      </c>
      <c r="AI2146" s="18" t="str">
        <f aca="false">IF($AH2146=1,SUMPRODUCT(--($AK$2:$AK$4001&lt;$AK2146))+1,"")</f>
        <v/>
      </c>
      <c r="AJ2146" s="18" t="str">
        <f aca="false">IF($D2146="","",IF(OR($R2146=TRUE(),$R2146="TRUE"),1,0))</f>
        <v/>
      </c>
      <c r="AK2146" s="18" t="str">
        <f aca="false">IF($AH2146=1,IFERROR(VALUE(MID($D2146,2,20)),1000000000)+ROW()/10000000,"")</f>
        <v/>
      </c>
    </row>
    <row r="2147" customFormat="false" ht="15" hidden="false" customHeight="false" outlineLevel="0" collapsed="false">
      <c r="F2147" s="15"/>
      <c r="N2147" s="16" t="str">
        <f aca="false">IF($D2147="","",M2147*Y2147/100)</f>
        <v/>
      </c>
      <c r="V2147" s="16" t="str">
        <f aca="false">IF($D2147="","",Y2147*AB2147/100)</f>
        <v/>
      </c>
      <c r="W2147" s="16" t="str">
        <f aca="false">IF($D2147="","",Y2147-V2147)</f>
        <v/>
      </c>
      <c r="X2147" s="16" t="str">
        <f aca="false">IF($D2147="","",W2147-N2147)</f>
        <v/>
      </c>
      <c r="AB2147" s="17" t="str">
        <f aca="false">IF($D2147="","",IF(OR($R2147=TRUE(),$R2147="TRUE"),Settings!$C$6,Settings!$C$7)*100)</f>
        <v/>
      </c>
      <c r="AH2147" s="18" t="str">
        <f aca="false">IF($D2147="","",IF(COUNTIF($D$2:$D2147,$D2147)=1,1,0))</f>
        <v/>
      </c>
      <c r="AI2147" s="18" t="str">
        <f aca="false">IF($AH2147=1,SUMPRODUCT(--($AK$2:$AK$4001&lt;$AK2147))+1,"")</f>
        <v/>
      </c>
      <c r="AJ2147" s="18" t="str">
        <f aca="false">IF($D2147="","",IF(OR($R2147=TRUE(),$R2147="TRUE"),1,0))</f>
        <v/>
      </c>
      <c r="AK2147" s="18" t="str">
        <f aca="false">IF($AH2147=1,IFERROR(VALUE(MID($D2147,2,20)),1000000000)+ROW()/10000000,"")</f>
        <v/>
      </c>
    </row>
    <row r="2148" customFormat="false" ht="15" hidden="false" customHeight="false" outlineLevel="0" collapsed="false">
      <c r="F2148" s="15"/>
      <c r="N2148" s="16" t="str">
        <f aca="false">IF($D2148="","",M2148*Y2148/100)</f>
        <v/>
      </c>
      <c r="V2148" s="16" t="str">
        <f aca="false">IF($D2148="","",Y2148*AB2148/100)</f>
        <v/>
      </c>
      <c r="W2148" s="16" t="str">
        <f aca="false">IF($D2148="","",Y2148-V2148)</f>
        <v/>
      </c>
      <c r="X2148" s="16" t="str">
        <f aca="false">IF($D2148="","",W2148-N2148)</f>
        <v/>
      </c>
      <c r="AB2148" s="17" t="str">
        <f aca="false">IF($D2148="","",IF(OR($R2148=TRUE(),$R2148="TRUE"),Settings!$C$6,Settings!$C$7)*100)</f>
        <v/>
      </c>
      <c r="AH2148" s="18" t="str">
        <f aca="false">IF($D2148="","",IF(COUNTIF($D$2:$D2148,$D2148)=1,1,0))</f>
        <v/>
      </c>
      <c r="AI2148" s="18" t="str">
        <f aca="false">IF($AH2148=1,SUMPRODUCT(--($AK$2:$AK$4001&lt;$AK2148))+1,"")</f>
        <v/>
      </c>
      <c r="AJ2148" s="18" t="str">
        <f aca="false">IF($D2148="","",IF(OR($R2148=TRUE(),$R2148="TRUE"),1,0))</f>
        <v/>
      </c>
      <c r="AK2148" s="18" t="str">
        <f aca="false">IF($AH2148=1,IFERROR(VALUE(MID($D2148,2,20)),1000000000)+ROW()/10000000,"")</f>
        <v/>
      </c>
    </row>
    <row r="2149" customFormat="false" ht="15" hidden="false" customHeight="false" outlineLevel="0" collapsed="false">
      <c r="F2149" s="15"/>
      <c r="N2149" s="16" t="str">
        <f aca="false">IF($D2149="","",M2149*Y2149/100)</f>
        <v/>
      </c>
      <c r="V2149" s="16" t="str">
        <f aca="false">IF($D2149="","",Y2149*AB2149/100)</f>
        <v/>
      </c>
      <c r="W2149" s="16" t="str">
        <f aca="false">IF($D2149="","",Y2149-V2149)</f>
        <v/>
      </c>
      <c r="X2149" s="16" t="str">
        <f aca="false">IF($D2149="","",W2149-N2149)</f>
        <v/>
      </c>
      <c r="AB2149" s="17" t="str">
        <f aca="false">IF($D2149="","",IF(OR($R2149=TRUE(),$R2149="TRUE"),Settings!$C$6,Settings!$C$7)*100)</f>
        <v/>
      </c>
      <c r="AH2149" s="18" t="str">
        <f aca="false">IF($D2149="","",IF(COUNTIF($D$2:$D2149,$D2149)=1,1,0))</f>
        <v/>
      </c>
      <c r="AI2149" s="18" t="str">
        <f aca="false">IF($AH2149=1,SUMPRODUCT(--($AK$2:$AK$4001&lt;$AK2149))+1,"")</f>
        <v/>
      </c>
      <c r="AJ2149" s="18" t="str">
        <f aca="false">IF($D2149="","",IF(OR($R2149=TRUE(),$R2149="TRUE"),1,0))</f>
        <v/>
      </c>
      <c r="AK2149" s="18" t="str">
        <f aca="false">IF($AH2149=1,IFERROR(VALUE(MID($D2149,2,20)),1000000000)+ROW()/10000000,"")</f>
        <v/>
      </c>
    </row>
    <row r="2150" customFormat="false" ht="15" hidden="false" customHeight="false" outlineLevel="0" collapsed="false">
      <c r="F2150" s="15"/>
      <c r="N2150" s="16" t="str">
        <f aca="false">IF($D2150="","",M2150*Y2150/100)</f>
        <v/>
      </c>
      <c r="V2150" s="16" t="str">
        <f aca="false">IF($D2150="","",Y2150*AB2150/100)</f>
        <v/>
      </c>
      <c r="W2150" s="16" t="str">
        <f aca="false">IF($D2150="","",Y2150-V2150)</f>
        <v/>
      </c>
      <c r="X2150" s="16" t="str">
        <f aca="false">IF($D2150="","",W2150-N2150)</f>
        <v/>
      </c>
      <c r="AB2150" s="17" t="str">
        <f aca="false">IF($D2150="","",IF(OR($R2150=TRUE(),$R2150="TRUE"),Settings!$C$6,Settings!$C$7)*100)</f>
        <v/>
      </c>
      <c r="AH2150" s="18" t="str">
        <f aca="false">IF($D2150="","",IF(COUNTIF($D$2:$D2150,$D2150)=1,1,0))</f>
        <v/>
      </c>
      <c r="AI2150" s="18" t="str">
        <f aca="false">IF($AH2150=1,SUMPRODUCT(--($AK$2:$AK$4001&lt;$AK2150))+1,"")</f>
        <v/>
      </c>
      <c r="AJ2150" s="18" t="str">
        <f aca="false">IF($D2150="","",IF(OR($R2150=TRUE(),$R2150="TRUE"),1,0))</f>
        <v/>
      </c>
      <c r="AK2150" s="18" t="str">
        <f aca="false">IF($AH2150=1,IFERROR(VALUE(MID($D2150,2,20)),1000000000)+ROW()/10000000,"")</f>
        <v/>
      </c>
    </row>
    <row r="2151" customFormat="false" ht="15" hidden="false" customHeight="false" outlineLevel="0" collapsed="false">
      <c r="F2151" s="15"/>
      <c r="N2151" s="16" t="str">
        <f aca="false">IF($D2151="","",M2151*Y2151/100)</f>
        <v/>
      </c>
      <c r="V2151" s="16" t="str">
        <f aca="false">IF($D2151="","",Y2151*AB2151/100)</f>
        <v/>
      </c>
      <c r="W2151" s="16" t="str">
        <f aca="false">IF($D2151="","",Y2151-V2151)</f>
        <v/>
      </c>
      <c r="X2151" s="16" t="str">
        <f aca="false">IF($D2151="","",W2151-N2151)</f>
        <v/>
      </c>
      <c r="AB2151" s="17" t="str">
        <f aca="false">IF($D2151="","",IF(OR($R2151=TRUE(),$R2151="TRUE"),Settings!$C$6,Settings!$C$7)*100)</f>
        <v/>
      </c>
      <c r="AH2151" s="18" t="str">
        <f aca="false">IF($D2151="","",IF(COUNTIF($D$2:$D2151,$D2151)=1,1,0))</f>
        <v/>
      </c>
      <c r="AI2151" s="18" t="str">
        <f aca="false">IF($AH2151=1,SUMPRODUCT(--($AK$2:$AK$4001&lt;$AK2151))+1,"")</f>
        <v/>
      </c>
      <c r="AJ2151" s="18" t="str">
        <f aca="false">IF($D2151="","",IF(OR($R2151=TRUE(),$R2151="TRUE"),1,0))</f>
        <v/>
      </c>
      <c r="AK2151" s="18" t="str">
        <f aca="false">IF($AH2151=1,IFERROR(VALUE(MID($D2151,2,20)),1000000000)+ROW()/10000000,"")</f>
        <v/>
      </c>
    </row>
    <row r="2152" customFormat="false" ht="15" hidden="false" customHeight="false" outlineLevel="0" collapsed="false">
      <c r="F2152" s="15"/>
      <c r="N2152" s="16" t="str">
        <f aca="false">IF($D2152="","",M2152*Y2152/100)</f>
        <v/>
      </c>
      <c r="V2152" s="16" t="str">
        <f aca="false">IF($D2152="","",Y2152*AB2152/100)</f>
        <v/>
      </c>
      <c r="W2152" s="16" t="str">
        <f aca="false">IF($D2152="","",Y2152-V2152)</f>
        <v/>
      </c>
      <c r="X2152" s="16" t="str">
        <f aca="false">IF($D2152="","",W2152-N2152)</f>
        <v/>
      </c>
      <c r="AB2152" s="17" t="str">
        <f aca="false">IF($D2152="","",IF(OR($R2152=TRUE(),$R2152="TRUE"),Settings!$C$6,Settings!$C$7)*100)</f>
        <v/>
      </c>
      <c r="AH2152" s="18" t="str">
        <f aca="false">IF($D2152="","",IF(COUNTIF($D$2:$D2152,$D2152)=1,1,0))</f>
        <v/>
      </c>
      <c r="AI2152" s="18" t="str">
        <f aca="false">IF($AH2152=1,SUMPRODUCT(--($AK$2:$AK$4001&lt;$AK2152))+1,"")</f>
        <v/>
      </c>
      <c r="AJ2152" s="18" t="str">
        <f aca="false">IF($D2152="","",IF(OR($R2152=TRUE(),$R2152="TRUE"),1,0))</f>
        <v/>
      </c>
      <c r="AK2152" s="18" t="str">
        <f aca="false">IF($AH2152=1,IFERROR(VALUE(MID($D2152,2,20)),1000000000)+ROW()/10000000,"")</f>
        <v/>
      </c>
    </row>
    <row r="2153" customFormat="false" ht="15" hidden="false" customHeight="false" outlineLevel="0" collapsed="false">
      <c r="F2153" s="15"/>
      <c r="N2153" s="16" t="str">
        <f aca="false">IF($D2153="","",M2153*Y2153/100)</f>
        <v/>
      </c>
      <c r="V2153" s="16" t="str">
        <f aca="false">IF($D2153="","",Y2153*AB2153/100)</f>
        <v/>
      </c>
      <c r="W2153" s="16" t="str">
        <f aca="false">IF($D2153="","",Y2153-V2153)</f>
        <v/>
      </c>
      <c r="X2153" s="16" t="str">
        <f aca="false">IF($D2153="","",W2153-N2153)</f>
        <v/>
      </c>
      <c r="AB2153" s="17" t="str">
        <f aca="false">IF($D2153="","",IF(OR($R2153=TRUE(),$R2153="TRUE"),Settings!$C$6,Settings!$C$7)*100)</f>
        <v/>
      </c>
      <c r="AH2153" s="18" t="str">
        <f aca="false">IF($D2153="","",IF(COUNTIF($D$2:$D2153,$D2153)=1,1,0))</f>
        <v/>
      </c>
      <c r="AI2153" s="18" t="str">
        <f aca="false">IF($AH2153=1,SUMPRODUCT(--($AK$2:$AK$4001&lt;$AK2153))+1,"")</f>
        <v/>
      </c>
      <c r="AJ2153" s="18" t="str">
        <f aca="false">IF($D2153="","",IF(OR($R2153=TRUE(),$R2153="TRUE"),1,0))</f>
        <v/>
      </c>
      <c r="AK2153" s="18" t="str">
        <f aca="false">IF($AH2153=1,IFERROR(VALUE(MID($D2153,2,20)),1000000000)+ROW()/10000000,"")</f>
        <v/>
      </c>
    </row>
    <row r="2154" customFormat="false" ht="15" hidden="false" customHeight="false" outlineLevel="0" collapsed="false">
      <c r="F2154" s="15"/>
      <c r="N2154" s="16" t="str">
        <f aca="false">IF($D2154="","",M2154*Y2154/100)</f>
        <v/>
      </c>
      <c r="V2154" s="16" t="str">
        <f aca="false">IF($D2154="","",Y2154*AB2154/100)</f>
        <v/>
      </c>
      <c r="W2154" s="16" t="str">
        <f aca="false">IF($D2154="","",Y2154-V2154)</f>
        <v/>
      </c>
      <c r="X2154" s="16" t="str">
        <f aca="false">IF($D2154="","",W2154-N2154)</f>
        <v/>
      </c>
      <c r="AB2154" s="17" t="str">
        <f aca="false">IF($D2154="","",IF(OR($R2154=TRUE(),$R2154="TRUE"),Settings!$C$6,Settings!$C$7)*100)</f>
        <v/>
      </c>
      <c r="AH2154" s="18" t="str">
        <f aca="false">IF($D2154="","",IF(COUNTIF($D$2:$D2154,$D2154)=1,1,0))</f>
        <v/>
      </c>
      <c r="AI2154" s="18" t="str">
        <f aca="false">IF($AH2154=1,SUMPRODUCT(--($AK$2:$AK$4001&lt;$AK2154))+1,"")</f>
        <v/>
      </c>
      <c r="AJ2154" s="18" t="str">
        <f aca="false">IF($D2154="","",IF(OR($R2154=TRUE(),$R2154="TRUE"),1,0))</f>
        <v/>
      </c>
      <c r="AK2154" s="18" t="str">
        <f aca="false">IF($AH2154=1,IFERROR(VALUE(MID($D2154,2,20)),1000000000)+ROW()/10000000,"")</f>
        <v/>
      </c>
    </row>
    <row r="2155" customFormat="false" ht="15" hidden="false" customHeight="false" outlineLevel="0" collapsed="false">
      <c r="F2155" s="15"/>
      <c r="N2155" s="16" t="str">
        <f aca="false">IF($D2155="","",M2155*Y2155/100)</f>
        <v/>
      </c>
      <c r="V2155" s="16" t="str">
        <f aca="false">IF($D2155="","",Y2155*AB2155/100)</f>
        <v/>
      </c>
      <c r="W2155" s="16" t="str">
        <f aca="false">IF($D2155="","",Y2155-V2155)</f>
        <v/>
      </c>
      <c r="X2155" s="16" t="str">
        <f aca="false">IF($D2155="","",W2155-N2155)</f>
        <v/>
      </c>
      <c r="AB2155" s="17" t="str">
        <f aca="false">IF($D2155="","",IF(OR($R2155=TRUE(),$R2155="TRUE"),Settings!$C$6,Settings!$C$7)*100)</f>
        <v/>
      </c>
      <c r="AH2155" s="18" t="str">
        <f aca="false">IF($D2155="","",IF(COUNTIF($D$2:$D2155,$D2155)=1,1,0))</f>
        <v/>
      </c>
      <c r="AI2155" s="18" t="str">
        <f aca="false">IF($AH2155=1,SUMPRODUCT(--($AK$2:$AK$4001&lt;$AK2155))+1,"")</f>
        <v/>
      </c>
      <c r="AJ2155" s="18" t="str">
        <f aca="false">IF($D2155="","",IF(OR($R2155=TRUE(),$R2155="TRUE"),1,0))</f>
        <v/>
      </c>
      <c r="AK2155" s="18" t="str">
        <f aca="false">IF($AH2155=1,IFERROR(VALUE(MID($D2155,2,20)),1000000000)+ROW()/10000000,"")</f>
        <v/>
      </c>
    </row>
    <row r="2156" customFormat="false" ht="15" hidden="false" customHeight="false" outlineLevel="0" collapsed="false">
      <c r="F2156" s="15"/>
      <c r="N2156" s="16" t="str">
        <f aca="false">IF($D2156="","",M2156*Y2156/100)</f>
        <v/>
      </c>
      <c r="V2156" s="16" t="str">
        <f aca="false">IF($D2156="","",Y2156*AB2156/100)</f>
        <v/>
      </c>
      <c r="W2156" s="16" t="str">
        <f aca="false">IF($D2156="","",Y2156-V2156)</f>
        <v/>
      </c>
      <c r="X2156" s="16" t="str">
        <f aca="false">IF($D2156="","",W2156-N2156)</f>
        <v/>
      </c>
      <c r="AB2156" s="17" t="str">
        <f aca="false">IF($D2156="","",IF(OR($R2156=TRUE(),$R2156="TRUE"),Settings!$C$6,Settings!$C$7)*100)</f>
        <v/>
      </c>
      <c r="AH2156" s="18" t="str">
        <f aca="false">IF($D2156="","",IF(COUNTIF($D$2:$D2156,$D2156)=1,1,0))</f>
        <v/>
      </c>
      <c r="AI2156" s="18" t="str">
        <f aca="false">IF($AH2156=1,SUMPRODUCT(--($AK$2:$AK$4001&lt;$AK2156))+1,"")</f>
        <v/>
      </c>
      <c r="AJ2156" s="18" t="str">
        <f aca="false">IF($D2156="","",IF(OR($R2156=TRUE(),$R2156="TRUE"),1,0))</f>
        <v/>
      </c>
      <c r="AK2156" s="18" t="str">
        <f aca="false">IF($AH2156=1,IFERROR(VALUE(MID($D2156,2,20)),1000000000)+ROW()/10000000,"")</f>
        <v/>
      </c>
    </row>
    <row r="2157" customFormat="false" ht="15" hidden="false" customHeight="false" outlineLevel="0" collapsed="false">
      <c r="F2157" s="15"/>
      <c r="N2157" s="16" t="str">
        <f aca="false">IF($D2157="","",M2157*Y2157/100)</f>
        <v/>
      </c>
      <c r="V2157" s="16" t="str">
        <f aca="false">IF($D2157="","",Y2157*AB2157/100)</f>
        <v/>
      </c>
      <c r="W2157" s="16" t="str">
        <f aca="false">IF($D2157="","",Y2157-V2157)</f>
        <v/>
      </c>
      <c r="X2157" s="16" t="str">
        <f aca="false">IF($D2157="","",W2157-N2157)</f>
        <v/>
      </c>
      <c r="AB2157" s="17" t="str">
        <f aca="false">IF($D2157="","",IF(OR($R2157=TRUE(),$R2157="TRUE"),Settings!$C$6,Settings!$C$7)*100)</f>
        <v/>
      </c>
      <c r="AH2157" s="18" t="str">
        <f aca="false">IF($D2157="","",IF(COUNTIF($D$2:$D2157,$D2157)=1,1,0))</f>
        <v/>
      </c>
      <c r="AI2157" s="18" t="str">
        <f aca="false">IF($AH2157=1,SUMPRODUCT(--($AK$2:$AK$4001&lt;$AK2157))+1,"")</f>
        <v/>
      </c>
      <c r="AJ2157" s="18" t="str">
        <f aca="false">IF($D2157="","",IF(OR($R2157=TRUE(),$R2157="TRUE"),1,0))</f>
        <v/>
      </c>
      <c r="AK2157" s="18" t="str">
        <f aca="false">IF($AH2157=1,IFERROR(VALUE(MID($D2157,2,20)),1000000000)+ROW()/10000000,"")</f>
        <v/>
      </c>
    </row>
    <row r="2158" customFormat="false" ht="15" hidden="false" customHeight="false" outlineLevel="0" collapsed="false">
      <c r="F2158" s="15"/>
      <c r="N2158" s="16" t="str">
        <f aca="false">IF($D2158="","",M2158*Y2158/100)</f>
        <v/>
      </c>
      <c r="V2158" s="16" t="str">
        <f aca="false">IF($D2158="","",Y2158*AB2158/100)</f>
        <v/>
      </c>
      <c r="W2158" s="16" t="str">
        <f aca="false">IF($D2158="","",Y2158-V2158)</f>
        <v/>
      </c>
      <c r="X2158" s="16" t="str">
        <f aca="false">IF($D2158="","",W2158-N2158)</f>
        <v/>
      </c>
      <c r="AB2158" s="17" t="str">
        <f aca="false">IF($D2158="","",IF(OR($R2158=TRUE(),$R2158="TRUE"),Settings!$C$6,Settings!$C$7)*100)</f>
        <v/>
      </c>
      <c r="AH2158" s="18" t="str">
        <f aca="false">IF($D2158="","",IF(COUNTIF($D$2:$D2158,$D2158)=1,1,0))</f>
        <v/>
      </c>
      <c r="AI2158" s="18" t="str">
        <f aca="false">IF($AH2158=1,SUMPRODUCT(--($AK$2:$AK$4001&lt;$AK2158))+1,"")</f>
        <v/>
      </c>
      <c r="AJ2158" s="18" t="str">
        <f aca="false">IF($D2158="","",IF(OR($R2158=TRUE(),$R2158="TRUE"),1,0))</f>
        <v/>
      </c>
      <c r="AK2158" s="18" t="str">
        <f aca="false">IF($AH2158=1,IFERROR(VALUE(MID($D2158,2,20)),1000000000)+ROW()/10000000,"")</f>
        <v/>
      </c>
    </row>
    <row r="2159" customFormat="false" ht="15" hidden="false" customHeight="false" outlineLevel="0" collapsed="false">
      <c r="F2159" s="15"/>
      <c r="N2159" s="16" t="str">
        <f aca="false">IF($D2159="","",M2159*Y2159/100)</f>
        <v/>
      </c>
      <c r="V2159" s="16" t="str">
        <f aca="false">IF($D2159="","",Y2159*AB2159/100)</f>
        <v/>
      </c>
      <c r="W2159" s="16" t="str">
        <f aca="false">IF($D2159="","",Y2159-V2159)</f>
        <v/>
      </c>
      <c r="X2159" s="16" t="str">
        <f aca="false">IF($D2159="","",W2159-N2159)</f>
        <v/>
      </c>
      <c r="AB2159" s="17" t="str">
        <f aca="false">IF($D2159="","",IF(OR($R2159=TRUE(),$R2159="TRUE"),Settings!$C$6,Settings!$C$7)*100)</f>
        <v/>
      </c>
      <c r="AH2159" s="18" t="str">
        <f aca="false">IF($D2159="","",IF(COUNTIF($D$2:$D2159,$D2159)=1,1,0))</f>
        <v/>
      </c>
      <c r="AI2159" s="18" t="str">
        <f aca="false">IF($AH2159=1,SUMPRODUCT(--($AK$2:$AK$4001&lt;$AK2159))+1,"")</f>
        <v/>
      </c>
      <c r="AJ2159" s="18" t="str">
        <f aca="false">IF($D2159="","",IF(OR($R2159=TRUE(),$R2159="TRUE"),1,0))</f>
        <v/>
      </c>
      <c r="AK2159" s="18" t="str">
        <f aca="false">IF($AH2159=1,IFERROR(VALUE(MID($D2159,2,20)),1000000000)+ROW()/10000000,"")</f>
        <v/>
      </c>
    </row>
    <row r="2160" customFormat="false" ht="15" hidden="false" customHeight="false" outlineLevel="0" collapsed="false">
      <c r="F2160" s="15"/>
      <c r="N2160" s="16" t="str">
        <f aca="false">IF($D2160="","",M2160*Y2160/100)</f>
        <v/>
      </c>
      <c r="V2160" s="16" t="str">
        <f aca="false">IF($D2160="","",Y2160*AB2160/100)</f>
        <v/>
      </c>
      <c r="W2160" s="16" t="str">
        <f aca="false">IF($D2160="","",Y2160-V2160)</f>
        <v/>
      </c>
      <c r="X2160" s="16" t="str">
        <f aca="false">IF($D2160="","",W2160-N2160)</f>
        <v/>
      </c>
      <c r="AB2160" s="17" t="str">
        <f aca="false">IF($D2160="","",IF(OR($R2160=TRUE(),$R2160="TRUE"),Settings!$C$6,Settings!$C$7)*100)</f>
        <v/>
      </c>
      <c r="AH2160" s="18" t="str">
        <f aca="false">IF($D2160="","",IF(COUNTIF($D$2:$D2160,$D2160)=1,1,0))</f>
        <v/>
      </c>
      <c r="AI2160" s="18" t="str">
        <f aca="false">IF($AH2160=1,SUMPRODUCT(--($AK$2:$AK$4001&lt;$AK2160))+1,"")</f>
        <v/>
      </c>
      <c r="AJ2160" s="18" t="str">
        <f aca="false">IF($D2160="","",IF(OR($R2160=TRUE(),$R2160="TRUE"),1,0))</f>
        <v/>
      </c>
      <c r="AK2160" s="18" t="str">
        <f aca="false">IF($AH2160=1,IFERROR(VALUE(MID($D2160,2,20)),1000000000)+ROW()/10000000,"")</f>
        <v/>
      </c>
    </row>
    <row r="2161" customFormat="false" ht="15" hidden="false" customHeight="false" outlineLevel="0" collapsed="false">
      <c r="F2161" s="15"/>
      <c r="N2161" s="16" t="str">
        <f aca="false">IF($D2161="","",M2161*Y2161/100)</f>
        <v/>
      </c>
      <c r="V2161" s="16" t="str">
        <f aca="false">IF($D2161="","",Y2161*AB2161/100)</f>
        <v/>
      </c>
      <c r="W2161" s="16" t="str">
        <f aca="false">IF($D2161="","",Y2161-V2161)</f>
        <v/>
      </c>
      <c r="X2161" s="16" t="str">
        <f aca="false">IF($D2161="","",W2161-N2161)</f>
        <v/>
      </c>
      <c r="AB2161" s="17" t="str">
        <f aca="false">IF($D2161="","",IF(OR($R2161=TRUE(),$R2161="TRUE"),Settings!$C$6,Settings!$C$7)*100)</f>
        <v/>
      </c>
      <c r="AH2161" s="18" t="str">
        <f aca="false">IF($D2161="","",IF(COUNTIF($D$2:$D2161,$D2161)=1,1,0))</f>
        <v/>
      </c>
      <c r="AI2161" s="18" t="str">
        <f aca="false">IF($AH2161=1,SUMPRODUCT(--($AK$2:$AK$4001&lt;$AK2161))+1,"")</f>
        <v/>
      </c>
      <c r="AJ2161" s="18" t="str">
        <f aca="false">IF($D2161="","",IF(OR($R2161=TRUE(),$R2161="TRUE"),1,0))</f>
        <v/>
      </c>
      <c r="AK2161" s="18" t="str">
        <f aca="false">IF($AH2161=1,IFERROR(VALUE(MID($D2161,2,20)),1000000000)+ROW()/10000000,"")</f>
        <v/>
      </c>
    </row>
    <row r="2162" customFormat="false" ht="15" hidden="false" customHeight="false" outlineLevel="0" collapsed="false">
      <c r="F2162" s="15"/>
      <c r="N2162" s="16" t="str">
        <f aca="false">IF($D2162="","",M2162*Y2162/100)</f>
        <v/>
      </c>
      <c r="V2162" s="16" t="str">
        <f aca="false">IF($D2162="","",Y2162*AB2162/100)</f>
        <v/>
      </c>
      <c r="W2162" s="16" t="str">
        <f aca="false">IF($D2162="","",Y2162-V2162)</f>
        <v/>
      </c>
      <c r="X2162" s="16" t="str">
        <f aca="false">IF($D2162="","",W2162-N2162)</f>
        <v/>
      </c>
      <c r="AB2162" s="17" t="str">
        <f aca="false">IF($D2162="","",IF(OR($R2162=TRUE(),$R2162="TRUE"),Settings!$C$6,Settings!$C$7)*100)</f>
        <v/>
      </c>
      <c r="AH2162" s="18" t="str">
        <f aca="false">IF($D2162="","",IF(COUNTIF($D$2:$D2162,$D2162)=1,1,0))</f>
        <v/>
      </c>
      <c r="AI2162" s="18" t="str">
        <f aca="false">IF($AH2162=1,SUMPRODUCT(--($AK$2:$AK$4001&lt;$AK2162))+1,"")</f>
        <v/>
      </c>
      <c r="AJ2162" s="18" t="str">
        <f aca="false">IF($D2162="","",IF(OR($R2162=TRUE(),$R2162="TRUE"),1,0))</f>
        <v/>
      </c>
      <c r="AK2162" s="18" t="str">
        <f aca="false">IF($AH2162=1,IFERROR(VALUE(MID($D2162,2,20)),1000000000)+ROW()/10000000,"")</f>
        <v/>
      </c>
    </row>
    <row r="2163" customFormat="false" ht="15" hidden="false" customHeight="false" outlineLevel="0" collapsed="false">
      <c r="F2163" s="15"/>
      <c r="N2163" s="16" t="str">
        <f aca="false">IF($D2163="","",M2163*Y2163/100)</f>
        <v/>
      </c>
      <c r="V2163" s="16" t="str">
        <f aca="false">IF($D2163="","",Y2163*AB2163/100)</f>
        <v/>
      </c>
      <c r="W2163" s="16" t="str">
        <f aca="false">IF($D2163="","",Y2163-V2163)</f>
        <v/>
      </c>
      <c r="X2163" s="16" t="str">
        <f aca="false">IF($D2163="","",W2163-N2163)</f>
        <v/>
      </c>
      <c r="AB2163" s="17" t="str">
        <f aca="false">IF($D2163="","",IF(OR($R2163=TRUE(),$R2163="TRUE"),Settings!$C$6,Settings!$C$7)*100)</f>
        <v/>
      </c>
      <c r="AH2163" s="18" t="str">
        <f aca="false">IF($D2163="","",IF(COUNTIF($D$2:$D2163,$D2163)=1,1,0))</f>
        <v/>
      </c>
      <c r="AI2163" s="18" t="str">
        <f aca="false">IF($AH2163=1,SUMPRODUCT(--($AK$2:$AK$4001&lt;$AK2163))+1,"")</f>
        <v/>
      </c>
      <c r="AJ2163" s="18" t="str">
        <f aca="false">IF($D2163="","",IF(OR($R2163=TRUE(),$R2163="TRUE"),1,0))</f>
        <v/>
      </c>
      <c r="AK2163" s="18" t="str">
        <f aca="false">IF($AH2163=1,IFERROR(VALUE(MID($D2163,2,20)),1000000000)+ROW()/10000000,"")</f>
        <v/>
      </c>
    </row>
    <row r="2164" customFormat="false" ht="15" hidden="false" customHeight="false" outlineLevel="0" collapsed="false">
      <c r="F2164" s="15"/>
      <c r="N2164" s="16" t="str">
        <f aca="false">IF($D2164="","",M2164*Y2164/100)</f>
        <v/>
      </c>
      <c r="V2164" s="16" t="str">
        <f aca="false">IF($D2164="","",Y2164*AB2164/100)</f>
        <v/>
      </c>
      <c r="W2164" s="16" t="str">
        <f aca="false">IF($D2164="","",Y2164-V2164)</f>
        <v/>
      </c>
      <c r="X2164" s="16" t="str">
        <f aca="false">IF($D2164="","",W2164-N2164)</f>
        <v/>
      </c>
      <c r="AB2164" s="17" t="str">
        <f aca="false">IF($D2164="","",IF(OR($R2164=TRUE(),$R2164="TRUE"),Settings!$C$6,Settings!$C$7)*100)</f>
        <v/>
      </c>
      <c r="AH2164" s="18" t="str">
        <f aca="false">IF($D2164="","",IF(COUNTIF($D$2:$D2164,$D2164)=1,1,0))</f>
        <v/>
      </c>
      <c r="AI2164" s="18" t="str">
        <f aca="false">IF($AH2164=1,SUMPRODUCT(--($AK$2:$AK$4001&lt;$AK2164))+1,"")</f>
        <v/>
      </c>
      <c r="AJ2164" s="18" t="str">
        <f aca="false">IF($D2164="","",IF(OR($R2164=TRUE(),$R2164="TRUE"),1,0))</f>
        <v/>
      </c>
      <c r="AK2164" s="18" t="str">
        <f aca="false">IF($AH2164=1,IFERROR(VALUE(MID($D2164,2,20)),1000000000)+ROW()/10000000,"")</f>
        <v/>
      </c>
    </row>
    <row r="2165" customFormat="false" ht="15" hidden="false" customHeight="false" outlineLevel="0" collapsed="false">
      <c r="F2165" s="15"/>
      <c r="N2165" s="16" t="str">
        <f aca="false">IF($D2165="","",M2165*Y2165/100)</f>
        <v/>
      </c>
      <c r="V2165" s="16" t="str">
        <f aca="false">IF($D2165="","",Y2165*AB2165/100)</f>
        <v/>
      </c>
      <c r="W2165" s="16" t="str">
        <f aca="false">IF($D2165="","",Y2165-V2165)</f>
        <v/>
      </c>
      <c r="X2165" s="16" t="str">
        <f aca="false">IF($D2165="","",W2165-N2165)</f>
        <v/>
      </c>
      <c r="AB2165" s="17" t="str">
        <f aca="false">IF($D2165="","",IF(OR($R2165=TRUE(),$R2165="TRUE"),Settings!$C$6,Settings!$C$7)*100)</f>
        <v/>
      </c>
      <c r="AH2165" s="18" t="str">
        <f aca="false">IF($D2165="","",IF(COUNTIF($D$2:$D2165,$D2165)=1,1,0))</f>
        <v/>
      </c>
      <c r="AI2165" s="18" t="str">
        <f aca="false">IF($AH2165=1,SUMPRODUCT(--($AK$2:$AK$4001&lt;$AK2165))+1,"")</f>
        <v/>
      </c>
      <c r="AJ2165" s="18" t="str">
        <f aca="false">IF($D2165="","",IF(OR($R2165=TRUE(),$R2165="TRUE"),1,0))</f>
        <v/>
      </c>
      <c r="AK2165" s="18" t="str">
        <f aca="false">IF($AH2165=1,IFERROR(VALUE(MID($D2165,2,20)),1000000000)+ROW()/10000000,"")</f>
        <v/>
      </c>
    </row>
    <row r="2166" customFormat="false" ht="15" hidden="false" customHeight="false" outlineLevel="0" collapsed="false">
      <c r="F2166" s="15"/>
      <c r="N2166" s="16" t="str">
        <f aca="false">IF($D2166="","",M2166*Y2166/100)</f>
        <v/>
      </c>
      <c r="V2166" s="16" t="str">
        <f aca="false">IF($D2166="","",Y2166*AB2166/100)</f>
        <v/>
      </c>
      <c r="W2166" s="16" t="str">
        <f aca="false">IF($D2166="","",Y2166-V2166)</f>
        <v/>
      </c>
      <c r="X2166" s="16" t="str">
        <f aca="false">IF($D2166="","",W2166-N2166)</f>
        <v/>
      </c>
      <c r="AB2166" s="17" t="str">
        <f aca="false">IF($D2166="","",IF(OR($R2166=TRUE(),$R2166="TRUE"),Settings!$C$6,Settings!$C$7)*100)</f>
        <v/>
      </c>
      <c r="AH2166" s="18" t="str">
        <f aca="false">IF($D2166="","",IF(COUNTIF($D$2:$D2166,$D2166)=1,1,0))</f>
        <v/>
      </c>
      <c r="AI2166" s="18" t="str">
        <f aca="false">IF($AH2166=1,SUMPRODUCT(--($AK$2:$AK$4001&lt;$AK2166))+1,"")</f>
        <v/>
      </c>
      <c r="AJ2166" s="18" t="str">
        <f aca="false">IF($D2166="","",IF(OR($R2166=TRUE(),$R2166="TRUE"),1,0))</f>
        <v/>
      </c>
      <c r="AK2166" s="18" t="str">
        <f aca="false">IF($AH2166=1,IFERROR(VALUE(MID($D2166,2,20)),1000000000)+ROW()/10000000,"")</f>
        <v/>
      </c>
    </row>
    <row r="2167" customFormat="false" ht="15" hidden="false" customHeight="false" outlineLevel="0" collapsed="false">
      <c r="F2167" s="15"/>
      <c r="N2167" s="16" t="str">
        <f aca="false">IF($D2167="","",M2167*Y2167/100)</f>
        <v/>
      </c>
      <c r="V2167" s="16" t="str">
        <f aca="false">IF($D2167="","",Y2167*AB2167/100)</f>
        <v/>
      </c>
      <c r="W2167" s="16" t="str">
        <f aca="false">IF($D2167="","",Y2167-V2167)</f>
        <v/>
      </c>
      <c r="X2167" s="16" t="str">
        <f aca="false">IF($D2167="","",W2167-N2167)</f>
        <v/>
      </c>
      <c r="AB2167" s="17" t="str">
        <f aca="false">IF($D2167="","",IF(OR($R2167=TRUE(),$R2167="TRUE"),Settings!$C$6,Settings!$C$7)*100)</f>
        <v/>
      </c>
      <c r="AH2167" s="18" t="str">
        <f aca="false">IF($D2167="","",IF(COUNTIF($D$2:$D2167,$D2167)=1,1,0))</f>
        <v/>
      </c>
      <c r="AI2167" s="18" t="str">
        <f aca="false">IF($AH2167=1,SUMPRODUCT(--($AK$2:$AK$4001&lt;$AK2167))+1,"")</f>
        <v/>
      </c>
      <c r="AJ2167" s="18" t="str">
        <f aca="false">IF($D2167="","",IF(OR($R2167=TRUE(),$R2167="TRUE"),1,0))</f>
        <v/>
      </c>
      <c r="AK2167" s="18" t="str">
        <f aca="false">IF($AH2167=1,IFERROR(VALUE(MID($D2167,2,20)),1000000000)+ROW()/10000000,"")</f>
        <v/>
      </c>
    </row>
    <row r="2168" customFormat="false" ht="15" hidden="false" customHeight="false" outlineLevel="0" collapsed="false">
      <c r="F2168" s="15"/>
      <c r="N2168" s="16" t="str">
        <f aca="false">IF($D2168="","",M2168*Y2168/100)</f>
        <v/>
      </c>
      <c r="V2168" s="16" t="str">
        <f aca="false">IF($D2168="","",Y2168*AB2168/100)</f>
        <v/>
      </c>
      <c r="W2168" s="16" t="str">
        <f aca="false">IF($D2168="","",Y2168-V2168)</f>
        <v/>
      </c>
      <c r="X2168" s="16" t="str">
        <f aca="false">IF($D2168="","",W2168-N2168)</f>
        <v/>
      </c>
      <c r="AB2168" s="17" t="str">
        <f aca="false">IF($D2168="","",IF(OR($R2168=TRUE(),$R2168="TRUE"),Settings!$C$6,Settings!$C$7)*100)</f>
        <v/>
      </c>
      <c r="AH2168" s="18" t="str">
        <f aca="false">IF($D2168="","",IF(COUNTIF($D$2:$D2168,$D2168)=1,1,0))</f>
        <v/>
      </c>
      <c r="AI2168" s="18" t="str">
        <f aca="false">IF($AH2168=1,SUMPRODUCT(--($AK$2:$AK$4001&lt;$AK2168))+1,"")</f>
        <v/>
      </c>
      <c r="AJ2168" s="18" t="str">
        <f aca="false">IF($D2168="","",IF(OR($R2168=TRUE(),$R2168="TRUE"),1,0))</f>
        <v/>
      </c>
      <c r="AK2168" s="18" t="str">
        <f aca="false">IF($AH2168=1,IFERROR(VALUE(MID($D2168,2,20)),1000000000)+ROW()/10000000,"")</f>
        <v/>
      </c>
    </row>
    <row r="2169" customFormat="false" ht="15" hidden="false" customHeight="false" outlineLevel="0" collapsed="false">
      <c r="F2169" s="15"/>
      <c r="N2169" s="16" t="str">
        <f aca="false">IF($D2169="","",M2169*Y2169/100)</f>
        <v/>
      </c>
      <c r="V2169" s="16" t="str">
        <f aca="false">IF($D2169="","",Y2169*AB2169/100)</f>
        <v/>
      </c>
      <c r="W2169" s="16" t="str">
        <f aca="false">IF($D2169="","",Y2169-V2169)</f>
        <v/>
      </c>
      <c r="X2169" s="16" t="str">
        <f aca="false">IF($D2169="","",W2169-N2169)</f>
        <v/>
      </c>
      <c r="AB2169" s="17" t="str">
        <f aca="false">IF($D2169="","",IF(OR($R2169=TRUE(),$R2169="TRUE"),Settings!$C$6,Settings!$C$7)*100)</f>
        <v/>
      </c>
      <c r="AH2169" s="18" t="str">
        <f aca="false">IF($D2169="","",IF(COUNTIF($D$2:$D2169,$D2169)=1,1,0))</f>
        <v/>
      </c>
      <c r="AI2169" s="18" t="str">
        <f aca="false">IF($AH2169=1,SUMPRODUCT(--($AK$2:$AK$4001&lt;$AK2169))+1,"")</f>
        <v/>
      </c>
      <c r="AJ2169" s="18" t="str">
        <f aca="false">IF($D2169="","",IF(OR($R2169=TRUE(),$R2169="TRUE"),1,0))</f>
        <v/>
      </c>
      <c r="AK2169" s="18" t="str">
        <f aca="false">IF($AH2169=1,IFERROR(VALUE(MID($D2169,2,20)),1000000000)+ROW()/10000000,"")</f>
        <v/>
      </c>
    </row>
    <row r="2170" customFormat="false" ht="15" hidden="false" customHeight="false" outlineLevel="0" collapsed="false">
      <c r="F2170" s="15"/>
      <c r="N2170" s="16" t="str">
        <f aca="false">IF($D2170="","",M2170*Y2170/100)</f>
        <v/>
      </c>
      <c r="V2170" s="16" t="str">
        <f aca="false">IF($D2170="","",Y2170*AB2170/100)</f>
        <v/>
      </c>
      <c r="W2170" s="16" t="str">
        <f aca="false">IF($D2170="","",Y2170-V2170)</f>
        <v/>
      </c>
      <c r="X2170" s="16" t="str">
        <f aca="false">IF($D2170="","",W2170-N2170)</f>
        <v/>
      </c>
      <c r="AB2170" s="17" t="str">
        <f aca="false">IF($D2170="","",IF(OR($R2170=TRUE(),$R2170="TRUE"),Settings!$C$6,Settings!$C$7)*100)</f>
        <v/>
      </c>
      <c r="AH2170" s="18" t="str">
        <f aca="false">IF($D2170="","",IF(COUNTIF($D$2:$D2170,$D2170)=1,1,0))</f>
        <v/>
      </c>
      <c r="AI2170" s="18" t="str">
        <f aca="false">IF($AH2170=1,SUMPRODUCT(--($AK$2:$AK$4001&lt;$AK2170))+1,"")</f>
        <v/>
      </c>
      <c r="AJ2170" s="18" t="str">
        <f aca="false">IF($D2170="","",IF(OR($R2170=TRUE(),$R2170="TRUE"),1,0))</f>
        <v/>
      </c>
      <c r="AK2170" s="18" t="str">
        <f aca="false">IF($AH2170=1,IFERROR(VALUE(MID($D2170,2,20)),1000000000)+ROW()/10000000,"")</f>
        <v/>
      </c>
    </row>
    <row r="2171" customFormat="false" ht="15" hidden="false" customHeight="false" outlineLevel="0" collapsed="false">
      <c r="F2171" s="15"/>
      <c r="N2171" s="16" t="str">
        <f aca="false">IF($D2171="","",M2171*Y2171/100)</f>
        <v/>
      </c>
      <c r="V2171" s="16" t="str">
        <f aca="false">IF($D2171="","",Y2171*AB2171/100)</f>
        <v/>
      </c>
      <c r="W2171" s="16" t="str">
        <f aca="false">IF($D2171="","",Y2171-V2171)</f>
        <v/>
      </c>
      <c r="X2171" s="16" t="str">
        <f aca="false">IF($D2171="","",W2171-N2171)</f>
        <v/>
      </c>
      <c r="AB2171" s="17" t="str">
        <f aca="false">IF($D2171="","",IF(OR($R2171=TRUE(),$R2171="TRUE"),Settings!$C$6,Settings!$C$7)*100)</f>
        <v/>
      </c>
      <c r="AH2171" s="18" t="str">
        <f aca="false">IF($D2171="","",IF(COUNTIF($D$2:$D2171,$D2171)=1,1,0))</f>
        <v/>
      </c>
      <c r="AI2171" s="18" t="str">
        <f aca="false">IF($AH2171=1,SUMPRODUCT(--($AK$2:$AK$4001&lt;$AK2171))+1,"")</f>
        <v/>
      </c>
      <c r="AJ2171" s="18" t="str">
        <f aca="false">IF($D2171="","",IF(OR($R2171=TRUE(),$R2171="TRUE"),1,0))</f>
        <v/>
      </c>
      <c r="AK2171" s="18" t="str">
        <f aca="false">IF($AH2171=1,IFERROR(VALUE(MID($D2171,2,20)),1000000000)+ROW()/10000000,"")</f>
        <v/>
      </c>
    </row>
    <row r="2172" customFormat="false" ht="15" hidden="false" customHeight="false" outlineLevel="0" collapsed="false">
      <c r="F2172" s="15"/>
      <c r="N2172" s="16" t="str">
        <f aca="false">IF($D2172="","",M2172*Y2172/100)</f>
        <v/>
      </c>
      <c r="V2172" s="16" t="str">
        <f aca="false">IF($D2172="","",Y2172*AB2172/100)</f>
        <v/>
      </c>
      <c r="W2172" s="16" t="str">
        <f aca="false">IF($D2172="","",Y2172-V2172)</f>
        <v/>
      </c>
      <c r="X2172" s="16" t="str">
        <f aca="false">IF($D2172="","",W2172-N2172)</f>
        <v/>
      </c>
      <c r="AB2172" s="17" t="str">
        <f aca="false">IF($D2172="","",IF(OR($R2172=TRUE(),$R2172="TRUE"),Settings!$C$6,Settings!$C$7)*100)</f>
        <v/>
      </c>
      <c r="AH2172" s="18" t="str">
        <f aca="false">IF($D2172="","",IF(COUNTIF($D$2:$D2172,$D2172)=1,1,0))</f>
        <v/>
      </c>
      <c r="AI2172" s="18" t="str">
        <f aca="false">IF($AH2172=1,SUMPRODUCT(--($AK$2:$AK$4001&lt;$AK2172))+1,"")</f>
        <v/>
      </c>
      <c r="AJ2172" s="18" t="str">
        <f aca="false">IF($D2172="","",IF(OR($R2172=TRUE(),$R2172="TRUE"),1,0))</f>
        <v/>
      </c>
      <c r="AK2172" s="18" t="str">
        <f aca="false">IF($AH2172=1,IFERROR(VALUE(MID($D2172,2,20)),1000000000)+ROW()/10000000,"")</f>
        <v/>
      </c>
    </row>
    <row r="2173" customFormat="false" ht="15" hidden="false" customHeight="false" outlineLevel="0" collapsed="false">
      <c r="F2173" s="15"/>
      <c r="N2173" s="16" t="str">
        <f aca="false">IF($D2173="","",M2173*Y2173/100)</f>
        <v/>
      </c>
      <c r="V2173" s="16" t="str">
        <f aca="false">IF($D2173="","",Y2173*AB2173/100)</f>
        <v/>
      </c>
      <c r="W2173" s="16" t="str">
        <f aca="false">IF($D2173="","",Y2173-V2173)</f>
        <v/>
      </c>
      <c r="X2173" s="16" t="str">
        <f aca="false">IF($D2173="","",W2173-N2173)</f>
        <v/>
      </c>
      <c r="AB2173" s="17" t="str">
        <f aca="false">IF($D2173="","",IF(OR($R2173=TRUE(),$R2173="TRUE"),Settings!$C$6,Settings!$C$7)*100)</f>
        <v/>
      </c>
      <c r="AH2173" s="18" t="str">
        <f aca="false">IF($D2173="","",IF(COUNTIF($D$2:$D2173,$D2173)=1,1,0))</f>
        <v/>
      </c>
      <c r="AI2173" s="18" t="str">
        <f aca="false">IF($AH2173=1,SUMPRODUCT(--($AK$2:$AK$4001&lt;$AK2173))+1,"")</f>
        <v/>
      </c>
      <c r="AJ2173" s="18" t="str">
        <f aca="false">IF($D2173="","",IF(OR($R2173=TRUE(),$R2173="TRUE"),1,0))</f>
        <v/>
      </c>
      <c r="AK2173" s="18" t="str">
        <f aca="false">IF($AH2173=1,IFERROR(VALUE(MID($D2173,2,20)),1000000000)+ROW()/10000000,"")</f>
        <v/>
      </c>
    </row>
    <row r="2174" customFormat="false" ht="15" hidden="false" customHeight="false" outlineLevel="0" collapsed="false">
      <c r="F2174" s="15"/>
      <c r="N2174" s="16" t="str">
        <f aca="false">IF($D2174="","",M2174*Y2174/100)</f>
        <v/>
      </c>
      <c r="V2174" s="16" t="str">
        <f aca="false">IF($D2174="","",Y2174*AB2174/100)</f>
        <v/>
      </c>
      <c r="W2174" s="16" t="str">
        <f aca="false">IF($D2174="","",Y2174-V2174)</f>
        <v/>
      </c>
      <c r="X2174" s="16" t="str">
        <f aca="false">IF($D2174="","",W2174-N2174)</f>
        <v/>
      </c>
      <c r="AB2174" s="17" t="str">
        <f aca="false">IF($D2174="","",IF(OR($R2174=TRUE(),$R2174="TRUE"),Settings!$C$6,Settings!$C$7)*100)</f>
        <v/>
      </c>
      <c r="AH2174" s="18" t="str">
        <f aca="false">IF($D2174="","",IF(COUNTIF($D$2:$D2174,$D2174)=1,1,0))</f>
        <v/>
      </c>
      <c r="AI2174" s="18" t="str">
        <f aca="false">IF($AH2174=1,SUMPRODUCT(--($AK$2:$AK$4001&lt;$AK2174))+1,"")</f>
        <v/>
      </c>
      <c r="AJ2174" s="18" t="str">
        <f aca="false">IF($D2174="","",IF(OR($R2174=TRUE(),$R2174="TRUE"),1,0))</f>
        <v/>
      </c>
      <c r="AK2174" s="18" t="str">
        <f aca="false">IF($AH2174=1,IFERROR(VALUE(MID($D2174,2,20)),1000000000)+ROW()/10000000,"")</f>
        <v/>
      </c>
    </row>
    <row r="2175" customFormat="false" ht="15" hidden="false" customHeight="false" outlineLevel="0" collapsed="false">
      <c r="F2175" s="15"/>
      <c r="N2175" s="16" t="str">
        <f aca="false">IF($D2175="","",M2175*Y2175/100)</f>
        <v/>
      </c>
      <c r="V2175" s="16" t="str">
        <f aca="false">IF($D2175="","",Y2175*AB2175/100)</f>
        <v/>
      </c>
      <c r="W2175" s="16" t="str">
        <f aca="false">IF($D2175="","",Y2175-V2175)</f>
        <v/>
      </c>
      <c r="X2175" s="16" t="str">
        <f aca="false">IF($D2175="","",W2175-N2175)</f>
        <v/>
      </c>
      <c r="AB2175" s="17" t="str">
        <f aca="false">IF($D2175="","",IF(OR($R2175=TRUE(),$R2175="TRUE"),Settings!$C$6,Settings!$C$7)*100)</f>
        <v/>
      </c>
      <c r="AH2175" s="18" t="str">
        <f aca="false">IF($D2175="","",IF(COUNTIF($D$2:$D2175,$D2175)=1,1,0))</f>
        <v/>
      </c>
      <c r="AI2175" s="18" t="str">
        <f aca="false">IF($AH2175=1,SUMPRODUCT(--($AK$2:$AK$4001&lt;$AK2175))+1,"")</f>
        <v/>
      </c>
      <c r="AJ2175" s="18" t="str">
        <f aca="false">IF($D2175="","",IF(OR($R2175=TRUE(),$R2175="TRUE"),1,0))</f>
        <v/>
      </c>
      <c r="AK2175" s="18" t="str">
        <f aca="false">IF($AH2175=1,IFERROR(VALUE(MID($D2175,2,20)),1000000000)+ROW()/10000000,"")</f>
        <v/>
      </c>
    </row>
    <row r="2176" customFormat="false" ht="15" hidden="false" customHeight="false" outlineLevel="0" collapsed="false">
      <c r="F2176" s="15"/>
      <c r="N2176" s="16" t="str">
        <f aca="false">IF($D2176="","",M2176*Y2176/100)</f>
        <v/>
      </c>
      <c r="V2176" s="16" t="str">
        <f aca="false">IF($D2176="","",Y2176*AB2176/100)</f>
        <v/>
      </c>
      <c r="W2176" s="16" t="str">
        <f aca="false">IF($D2176="","",Y2176-V2176)</f>
        <v/>
      </c>
      <c r="X2176" s="16" t="str">
        <f aca="false">IF($D2176="","",W2176-N2176)</f>
        <v/>
      </c>
      <c r="AB2176" s="17" t="str">
        <f aca="false">IF($D2176="","",IF(OR($R2176=TRUE(),$R2176="TRUE"),Settings!$C$6,Settings!$C$7)*100)</f>
        <v/>
      </c>
      <c r="AH2176" s="18" t="str">
        <f aca="false">IF($D2176="","",IF(COUNTIF($D$2:$D2176,$D2176)=1,1,0))</f>
        <v/>
      </c>
      <c r="AI2176" s="18" t="str">
        <f aca="false">IF($AH2176=1,SUMPRODUCT(--($AK$2:$AK$4001&lt;$AK2176))+1,"")</f>
        <v/>
      </c>
      <c r="AJ2176" s="18" t="str">
        <f aca="false">IF($D2176="","",IF(OR($R2176=TRUE(),$R2176="TRUE"),1,0))</f>
        <v/>
      </c>
      <c r="AK2176" s="18" t="str">
        <f aca="false">IF($AH2176=1,IFERROR(VALUE(MID($D2176,2,20)),1000000000)+ROW()/10000000,"")</f>
        <v/>
      </c>
    </row>
    <row r="2177" customFormat="false" ht="15" hidden="false" customHeight="false" outlineLevel="0" collapsed="false">
      <c r="F2177" s="15"/>
      <c r="N2177" s="16" t="str">
        <f aca="false">IF($D2177="","",M2177*Y2177/100)</f>
        <v/>
      </c>
      <c r="V2177" s="16" t="str">
        <f aca="false">IF($D2177="","",Y2177*AB2177/100)</f>
        <v/>
      </c>
      <c r="W2177" s="16" t="str">
        <f aca="false">IF($D2177="","",Y2177-V2177)</f>
        <v/>
      </c>
      <c r="X2177" s="16" t="str">
        <f aca="false">IF($D2177="","",W2177-N2177)</f>
        <v/>
      </c>
      <c r="AB2177" s="17" t="str">
        <f aca="false">IF($D2177="","",IF(OR($R2177=TRUE(),$R2177="TRUE"),Settings!$C$6,Settings!$C$7)*100)</f>
        <v/>
      </c>
      <c r="AH2177" s="18" t="str">
        <f aca="false">IF($D2177="","",IF(COUNTIF($D$2:$D2177,$D2177)=1,1,0))</f>
        <v/>
      </c>
      <c r="AI2177" s="18" t="str">
        <f aca="false">IF($AH2177=1,SUMPRODUCT(--($AK$2:$AK$4001&lt;$AK2177))+1,"")</f>
        <v/>
      </c>
      <c r="AJ2177" s="18" t="str">
        <f aca="false">IF($D2177="","",IF(OR($R2177=TRUE(),$R2177="TRUE"),1,0))</f>
        <v/>
      </c>
      <c r="AK2177" s="18" t="str">
        <f aca="false">IF($AH2177=1,IFERROR(VALUE(MID($D2177,2,20)),1000000000)+ROW()/10000000,"")</f>
        <v/>
      </c>
    </row>
    <row r="2178" customFormat="false" ht="15" hidden="false" customHeight="false" outlineLevel="0" collapsed="false">
      <c r="F2178" s="15"/>
      <c r="N2178" s="16" t="str">
        <f aca="false">IF($D2178="","",M2178*Y2178/100)</f>
        <v/>
      </c>
      <c r="V2178" s="16" t="str">
        <f aca="false">IF($D2178="","",Y2178*AB2178/100)</f>
        <v/>
      </c>
      <c r="W2178" s="16" t="str">
        <f aca="false">IF($D2178="","",Y2178-V2178)</f>
        <v/>
      </c>
      <c r="X2178" s="16" t="str">
        <f aca="false">IF($D2178="","",W2178-N2178)</f>
        <v/>
      </c>
      <c r="AB2178" s="17" t="str">
        <f aca="false">IF($D2178="","",IF(OR($R2178=TRUE(),$R2178="TRUE"),Settings!$C$6,Settings!$C$7)*100)</f>
        <v/>
      </c>
      <c r="AH2178" s="18" t="str">
        <f aca="false">IF($D2178="","",IF(COUNTIF($D$2:$D2178,$D2178)=1,1,0))</f>
        <v/>
      </c>
      <c r="AI2178" s="18" t="str">
        <f aca="false">IF($AH2178=1,SUMPRODUCT(--($AK$2:$AK$4001&lt;$AK2178))+1,"")</f>
        <v/>
      </c>
      <c r="AJ2178" s="18" t="str">
        <f aca="false">IF($D2178="","",IF(OR($R2178=TRUE(),$R2178="TRUE"),1,0))</f>
        <v/>
      </c>
      <c r="AK2178" s="18" t="str">
        <f aca="false">IF($AH2178=1,IFERROR(VALUE(MID($D2178,2,20)),1000000000)+ROW()/10000000,"")</f>
        <v/>
      </c>
    </row>
    <row r="2179" customFormat="false" ht="15" hidden="false" customHeight="false" outlineLevel="0" collapsed="false">
      <c r="F2179" s="15"/>
      <c r="N2179" s="16" t="str">
        <f aca="false">IF($D2179="","",M2179*Y2179/100)</f>
        <v/>
      </c>
      <c r="V2179" s="16" t="str">
        <f aca="false">IF($D2179="","",Y2179*AB2179/100)</f>
        <v/>
      </c>
      <c r="W2179" s="16" t="str">
        <f aca="false">IF($D2179="","",Y2179-V2179)</f>
        <v/>
      </c>
      <c r="X2179" s="16" t="str">
        <f aca="false">IF($D2179="","",W2179-N2179)</f>
        <v/>
      </c>
      <c r="AB2179" s="17" t="str">
        <f aca="false">IF($D2179="","",IF(OR($R2179=TRUE(),$R2179="TRUE"),Settings!$C$6,Settings!$C$7)*100)</f>
        <v/>
      </c>
      <c r="AH2179" s="18" t="str">
        <f aca="false">IF($D2179="","",IF(COUNTIF($D$2:$D2179,$D2179)=1,1,0))</f>
        <v/>
      </c>
      <c r="AI2179" s="18" t="str">
        <f aca="false">IF($AH2179=1,SUMPRODUCT(--($AK$2:$AK$4001&lt;$AK2179))+1,"")</f>
        <v/>
      </c>
      <c r="AJ2179" s="18" t="str">
        <f aca="false">IF($D2179="","",IF(OR($R2179=TRUE(),$R2179="TRUE"),1,0))</f>
        <v/>
      </c>
      <c r="AK2179" s="18" t="str">
        <f aca="false">IF($AH2179=1,IFERROR(VALUE(MID($D2179,2,20)),1000000000)+ROW()/10000000,"")</f>
        <v/>
      </c>
    </row>
    <row r="2180" customFormat="false" ht="15" hidden="false" customHeight="false" outlineLevel="0" collapsed="false">
      <c r="F2180" s="15"/>
      <c r="N2180" s="16" t="str">
        <f aca="false">IF($D2180="","",M2180*Y2180/100)</f>
        <v/>
      </c>
      <c r="V2180" s="16" t="str">
        <f aca="false">IF($D2180="","",Y2180*AB2180/100)</f>
        <v/>
      </c>
      <c r="W2180" s="16" t="str">
        <f aca="false">IF($D2180="","",Y2180-V2180)</f>
        <v/>
      </c>
      <c r="X2180" s="16" t="str">
        <f aca="false">IF($D2180="","",W2180-N2180)</f>
        <v/>
      </c>
      <c r="AB2180" s="17" t="str">
        <f aca="false">IF($D2180="","",IF(OR($R2180=TRUE(),$R2180="TRUE"),Settings!$C$6,Settings!$C$7)*100)</f>
        <v/>
      </c>
      <c r="AH2180" s="18" t="str">
        <f aca="false">IF($D2180="","",IF(COUNTIF($D$2:$D2180,$D2180)=1,1,0))</f>
        <v/>
      </c>
      <c r="AI2180" s="18" t="str">
        <f aca="false">IF($AH2180=1,SUMPRODUCT(--($AK$2:$AK$4001&lt;$AK2180))+1,"")</f>
        <v/>
      </c>
      <c r="AJ2180" s="18" t="str">
        <f aca="false">IF($D2180="","",IF(OR($R2180=TRUE(),$R2180="TRUE"),1,0))</f>
        <v/>
      </c>
      <c r="AK2180" s="18" t="str">
        <f aca="false">IF($AH2180=1,IFERROR(VALUE(MID($D2180,2,20)),1000000000)+ROW()/10000000,"")</f>
        <v/>
      </c>
    </row>
    <row r="2181" customFormat="false" ht="15" hidden="false" customHeight="false" outlineLevel="0" collapsed="false">
      <c r="F2181" s="15"/>
      <c r="N2181" s="16" t="str">
        <f aca="false">IF($D2181="","",M2181*Y2181/100)</f>
        <v/>
      </c>
      <c r="V2181" s="16" t="str">
        <f aca="false">IF($D2181="","",Y2181*AB2181/100)</f>
        <v/>
      </c>
      <c r="W2181" s="16" t="str">
        <f aca="false">IF($D2181="","",Y2181-V2181)</f>
        <v/>
      </c>
      <c r="X2181" s="16" t="str">
        <f aca="false">IF($D2181="","",W2181-N2181)</f>
        <v/>
      </c>
      <c r="AB2181" s="17" t="str">
        <f aca="false">IF($D2181="","",IF(OR($R2181=TRUE(),$R2181="TRUE"),Settings!$C$6,Settings!$C$7)*100)</f>
        <v/>
      </c>
      <c r="AH2181" s="18" t="str">
        <f aca="false">IF($D2181="","",IF(COUNTIF($D$2:$D2181,$D2181)=1,1,0))</f>
        <v/>
      </c>
      <c r="AI2181" s="18" t="str">
        <f aca="false">IF($AH2181=1,SUMPRODUCT(--($AK$2:$AK$4001&lt;$AK2181))+1,"")</f>
        <v/>
      </c>
      <c r="AJ2181" s="18" t="str">
        <f aca="false">IF($D2181="","",IF(OR($R2181=TRUE(),$R2181="TRUE"),1,0))</f>
        <v/>
      </c>
      <c r="AK2181" s="18" t="str">
        <f aca="false">IF($AH2181=1,IFERROR(VALUE(MID($D2181,2,20)),1000000000)+ROW()/10000000,"")</f>
        <v/>
      </c>
    </row>
    <row r="2182" customFormat="false" ht="15" hidden="false" customHeight="false" outlineLevel="0" collapsed="false">
      <c r="F2182" s="15"/>
      <c r="N2182" s="16" t="str">
        <f aca="false">IF($D2182="","",M2182*Y2182/100)</f>
        <v/>
      </c>
      <c r="V2182" s="16" t="str">
        <f aca="false">IF($D2182="","",Y2182*AB2182/100)</f>
        <v/>
      </c>
      <c r="W2182" s="16" t="str">
        <f aca="false">IF($D2182="","",Y2182-V2182)</f>
        <v/>
      </c>
      <c r="X2182" s="16" t="str">
        <f aca="false">IF($D2182="","",W2182-N2182)</f>
        <v/>
      </c>
      <c r="AB2182" s="17" t="str">
        <f aca="false">IF($D2182="","",IF(OR($R2182=TRUE(),$R2182="TRUE"),Settings!$C$6,Settings!$C$7)*100)</f>
        <v/>
      </c>
      <c r="AH2182" s="18" t="str">
        <f aca="false">IF($D2182="","",IF(COUNTIF($D$2:$D2182,$D2182)=1,1,0))</f>
        <v/>
      </c>
      <c r="AI2182" s="18" t="str">
        <f aca="false">IF($AH2182=1,SUMPRODUCT(--($AK$2:$AK$4001&lt;$AK2182))+1,"")</f>
        <v/>
      </c>
      <c r="AJ2182" s="18" t="str">
        <f aca="false">IF($D2182="","",IF(OR($R2182=TRUE(),$R2182="TRUE"),1,0))</f>
        <v/>
      </c>
      <c r="AK2182" s="18" t="str">
        <f aca="false">IF($AH2182=1,IFERROR(VALUE(MID($D2182,2,20)),1000000000)+ROW()/10000000,"")</f>
        <v/>
      </c>
    </row>
    <row r="2183" customFormat="false" ht="15" hidden="false" customHeight="false" outlineLevel="0" collapsed="false">
      <c r="F2183" s="15"/>
      <c r="N2183" s="16" t="str">
        <f aca="false">IF($D2183="","",M2183*Y2183/100)</f>
        <v/>
      </c>
      <c r="V2183" s="16" t="str">
        <f aca="false">IF($D2183="","",Y2183*AB2183/100)</f>
        <v/>
      </c>
      <c r="W2183" s="16" t="str">
        <f aca="false">IF($D2183="","",Y2183-V2183)</f>
        <v/>
      </c>
      <c r="X2183" s="16" t="str">
        <f aca="false">IF($D2183="","",W2183-N2183)</f>
        <v/>
      </c>
      <c r="AB2183" s="17" t="str">
        <f aca="false">IF($D2183="","",IF(OR($R2183=TRUE(),$R2183="TRUE"),Settings!$C$6,Settings!$C$7)*100)</f>
        <v/>
      </c>
      <c r="AH2183" s="18" t="str">
        <f aca="false">IF($D2183="","",IF(COUNTIF($D$2:$D2183,$D2183)=1,1,0))</f>
        <v/>
      </c>
      <c r="AI2183" s="18" t="str">
        <f aca="false">IF($AH2183=1,SUMPRODUCT(--($AK$2:$AK$4001&lt;$AK2183))+1,"")</f>
        <v/>
      </c>
      <c r="AJ2183" s="18" t="str">
        <f aca="false">IF($D2183="","",IF(OR($R2183=TRUE(),$R2183="TRUE"),1,0))</f>
        <v/>
      </c>
      <c r="AK2183" s="18" t="str">
        <f aca="false">IF($AH2183=1,IFERROR(VALUE(MID($D2183,2,20)),1000000000)+ROW()/10000000,"")</f>
        <v/>
      </c>
    </row>
    <row r="2184" customFormat="false" ht="15" hidden="false" customHeight="false" outlineLevel="0" collapsed="false">
      <c r="F2184" s="15"/>
      <c r="N2184" s="16" t="str">
        <f aca="false">IF($D2184="","",M2184*Y2184/100)</f>
        <v/>
      </c>
      <c r="V2184" s="16" t="str">
        <f aca="false">IF($D2184="","",Y2184*AB2184/100)</f>
        <v/>
      </c>
      <c r="W2184" s="16" t="str">
        <f aca="false">IF($D2184="","",Y2184-V2184)</f>
        <v/>
      </c>
      <c r="X2184" s="16" t="str">
        <f aca="false">IF($D2184="","",W2184-N2184)</f>
        <v/>
      </c>
      <c r="AB2184" s="17" t="str">
        <f aca="false">IF($D2184="","",IF(OR($R2184=TRUE(),$R2184="TRUE"),Settings!$C$6,Settings!$C$7)*100)</f>
        <v/>
      </c>
      <c r="AH2184" s="18" t="str">
        <f aca="false">IF($D2184="","",IF(COUNTIF($D$2:$D2184,$D2184)=1,1,0))</f>
        <v/>
      </c>
      <c r="AI2184" s="18" t="str">
        <f aca="false">IF($AH2184=1,SUMPRODUCT(--($AK$2:$AK$4001&lt;$AK2184))+1,"")</f>
        <v/>
      </c>
      <c r="AJ2184" s="18" t="str">
        <f aca="false">IF($D2184="","",IF(OR($R2184=TRUE(),$R2184="TRUE"),1,0))</f>
        <v/>
      </c>
      <c r="AK2184" s="18" t="str">
        <f aca="false">IF($AH2184=1,IFERROR(VALUE(MID($D2184,2,20)),1000000000)+ROW()/10000000,"")</f>
        <v/>
      </c>
    </row>
    <row r="2185" customFormat="false" ht="15" hidden="false" customHeight="false" outlineLevel="0" collapsed="false">
      <c r="F2185" s="15"/>
      <c r="N2185" s="16" t="str">
        <f aca="false">IF($D2185="","",M2185*Y2185/100)</f>
        <v/>
      </c>
      <c r="V2185" s="16" t="str">
        <f aca="false">IF($D2185="","",Y2185*AB2185/100)</f>
        <v/>
      </c>
      <c r="W2185" s="16" t="str">
        <f aca="false">IF($D2185="","",Y2185-V2185)</f>
        <v/>
      </c>
      <c r="X2185" s="16" t="str">
        <f aca="false">IF($D2185="","",W2185-N2185)</f>
        <v/>
      </c>
      <c r="AB2185" s="17" t="str">
        <f aca="false">IF($D2185="","",IF(OR($R2185=TRUE(),$R2185="TRUE"),Settings!$C$6,Settings!$C$7)*100)</f>
        <v/>
      </c>
      <c r="AH2185" s="18" t="str">
        <f aca="false">IF($D2185="","",IF(COUNTIF($D$2:$D2185,$D2185)=1,1,0))</f>
        <v/>
      </c>
      <c r="AI2185" s="18" t="str">
        <f aca="false">IF($AH2185=1,SUMPRODUCT(--($AK$2:$AK$4001&lt;$AK2185))+1,"")</f>
        <v/>
      </c>
      <c r="AJ2185" s="18" t="str">
        <f aca="false">IF($D2185="","",IF(OR($R2185=TRUE(),$R2185="TRUE"),1,0))</f>
        <v/>
      </c>
      <c r="AK2185" s="18" t="str">
        <f aca="false">IF($AH2185=1,IFERROR(VALUE(MID($D2185,2,20)),1000000000)+ROW()/10000000,"")</f>
        <v/>
      </c>
    </row>
    <row r="2186" customFormat="false" ht="15" hidden="false" customHeight="false" outlineLevel="0" collapsed="false">
      <c r="F2186" s="15"/>
      <c r="N2186" s="16" t="str">
        <f aca="false">IF($D2186="","",M2186*Y2186/100)</f>
        <v/>
      </c>
      <c r="V2186" s="16" t="str">
        <f aca="false">IF($D2186="","",Y2186*AB2186/100)</f>
        <v/>
      </c>
      <c r="W2186" s="16" t="str">
        <f aca="false">IF($D2186="","",Y2186-V2186)</f>
        <v/>
      </c>
      <c r="X2186" s="16" t="str">
        <f aca="false">IF($D2186="","",W2186-N2186)</f>
        <v/>
      </c>
      <c r="AB2186" s="17" t="str">
        <f aca="false">IF($D2186="","",IF(OR($R2186=TRUE(),$R2186="TRUE"),Settings!$C$6,Settings!$C$7)*100)</f>
        <v/>
      </c>
      <c r="AH2186" s="18" t="str">
        <f aca="false">IF($D2186="","",IF(COUNTIF($D$2:$D2186,$D2186)=1,1,0))</f>
        <v/>
      </c>
      <c r="AI2186" s="18" t="str">
        <f aca="false">IF($AH2186=1,SUMPRODUCT(--($AK$2:$AK$4001&lt;$AK2186))+1,"")</f>
        <v/>
      </c>
      <c r="AJ2186" s="18" t="str">
        <f aca="false">IF($D2186="","",IF(OR($R2186=TRUE(),$R2186="TRUE"),1,0))</f>
        <v/>
      </c>
      <c r="AK2186" s="18" t="str">
        <f aca="false">IF($AH2186=1,IFERROR(VALUE(MID($D2186,2,20)),1000000000)+ROW()/10000000,"")</f>
        <v/>
      </c>
    </row>
    <row r="2187" customFormat="false" ht="15" hidden="false" customHeight="false" outlineLevel="0" collapsed="false">
      <c r="F2187" s="15"/>
      <c r="N2187" s="16" t="str">
        <f aca="false">IF($D2187="","",M2187*Y2187/100)</f>
        <v/>
      </c>
      <c r="V2187" s="16" t="str">
        <f aca="false">IF($D2187="","",Y2187*AB2187/100)</f>
        <v/>
      </c>
      <c r="W2187" s="16" t="str">
        <f aca="false">IF($D2187="","",Y2187-V2187)</f>
        <v/>
      </c>
      <c r="X2187" s="16" t="str">
        <f aca="false">IF($D2187="","",W2187-N2187)</f>
        <v/>
      </c>
      <c r="AB2187" s="17" t="str">
        <f aca="false">IF($D2187="","",IF(OR($R2187=TRUE(),$R2187="TRUE"),Settings!$C$6,Settings!$C$7)*100)</f>
        <v/>
      </c>
      <c r="AH2187" s="18" t="str">
        <f aca="false">IF($D2187="","",IF(COUNTIF($D$2:$D2187,$D2187)=1,1,0))</f>
        <v/>
      </c>
      <c r="AI2187" s="18" t="str">
        <f aca="false">IF($AH2187=1,SUMPRODUCT(--($AK$2:$AK$4001&lt;$AK2187))+1,"")</f>
        <v/>
      </c>
      <c r="AJ2187" s="18" t="str">
        <f aca="false">IF($D2187="","",IF(OR($R2187=TRUE(),$R2187="TRUE"),1,0))</f>
        <v/>
      </c>
      <c r="AK2187" s="18" t="str">
        <f aca="false">IF($AH2187=1,IFERROR(VALUE(MID($D2187,2,20)),1000000000)+ROW()/10000000,"")</f>
        <v/>
      </c>
    </row>
    <row r="2188" customFormat="false" ht="15" hidden="false" customHeight="false" outlineLevel="0" collapsed="false">
      <c r="F2188" s="15"/>
      <c r="N2188" s="16" t="str">
        <f aca="false">IF($D2188="","",M2188*Y2188/100)</f>
        <v/>
      </c>
      <c r="V2188" s="16" t="str">
        <f aca="false">IF($D2188="","",Y2188*AB2188/100)</f>
        <v/>
      </c>
      <c r="W2188" s="16" t="str">
        <f aca="false">IF($D2188="","",Y2188-V2188)</f>
        <v/>
      </c>
      <c r="X2188" s="16" t="str">
        <f aca="false">IF($D2188="","",W2188-N2188)</f>
        <v/>
      </c>
      <c r="AB2188" s="17" t="str">
        <f aca="false">IF($D2188="","",IF(OR($R2188=TRUE(),$R2188="TRUE"),Settings!$C$6,Settings!$C$7)*100)</f>
        <v/>
      </c>
      <c r="AH2188" s="18" t="str">
        <f aca="false">IF($D2188="","",IF(COUNTIF($D$2:$D2188,$D2188)=1,1,0))</f>
        <v/>
      </c>
      <c r="AI2188" s="18" t="str">
        <f aca="false">IF($AH2188=1,SUMPRODUCT(--($AK$2:$AK$4001&lt;$AK2188))+1,"")</f>
        <v/>
      </c>
      <c r="AJ2188" s="18" t="str">
        <f aca="false">IF($D2188="","",IF(OR($R2188=TRUE(),$R2188="TRUE"),1,0))</f>
        <v/>
      </c>
      <c r="AK2188" s="18" t="str">
        <f aca="false">IF($AH2188=1,IFERROR(VALUE(MID($D2188,2,20)),1000000000)+ROW()/10000000,"")</f>
        <v/>
      </c>
    </row>
    <row r="2189" customFormat="false" ht="15" hidden="false" customHeight="false" outlineLevel="0" collapsed="false">
      <c r="F2189" s="15"/>
      <c r="N2189" s="16" t="str">
        <f aca="false">IF($D2189="","",M2189*Y2189/100)</f>
        <v/>
      </c>
      <c r="V2189" s="16" t="str">
        <f aca="false">IF($D2189="","",Y2189*AB2189/100)</f>
        <v/>
      </c>
      <c r="W2189" s="16" t="str">
        <f aca="false">IF($D2189="","",Y2189-V2189)</f>
        <v/>
      </c>
      <c r="X2189" s="16" t="str">
        <f aca="false">IF($D2189="","",W2189-N2189)</f>
        <v/>
      </c>
      <c r="AB2189" s="17" t="str">
        <f aca="false">IF($D2189="","",IF(OR($R2189=TRUE(),$R2189="TRUE"),Settings!$C$6,Settings!$C$7)*100)</f>
        <v/>
      </c>
      <c r="AH2189" s="18" t="str">
        <f aca="false">IF($D2189="","",IF(COUNTIF($D$2:$D2189,$D2189)=1,1,0))</f>
        <v/>
      </c>
      <c r="AI2189" s="18" t="str">
        <f aca="false">IF($AH2189=1,SUMPRODUCT(--($AK$2:$AK$4001&lt;$AK2189))+1,"")</f>
        <v/>
      </c>
      <c r="AJ2189" s="18" t="str">
        <f aca="false">IF($D2189="","",IF(OR($R2189=TRUE(),$R2189="TRUE"),1,0))</f>
        <v/>
      </c>
      <c r="AK2189" s="18" t="str">
        <f aca="false">IF($AH2189=1,IFERROR(VALUE(MID($D2189,2,20)),1000000000)+ROW()/10000000,"")</f>
        <v/>
      </c>
    </row>
    <row r="2190" customFormat="false" ht="15" hidden="false" customHeight="false" outlineLevel="0" collapsed="false">
      <c r="F2190" s="15"/>
      <c r="N2190" s="16" t="str">
        <f aca="false">IF($D2190="","",M2190*Y2190/100)</f>
        <v/>
      </c>
      <c r="V2190" s="16" t="str">
        <f aca="false">IF($D2190="","",Y2190*AB2190/100)</f>
        <v/>
      </c>
      <c r="W2190" s="16" t="str">
        <f aca="false">IF($D2190="","",Y2190-V2190)</f>
        <v/>
      </c>
      <c r="X2190" s="16" t="str">
        <f aca="false">IF($D2190="","",W2190-N2190)</f>
        <v/>
      </c>
      <c r="AB2190" s="17" t="str">
        <f aca="false">IF($D2190="","",IF(OR($R2190=TRUE(),$R2190="TRUE"),Settings!$C$6,Settings!$C$7)*100)</f>
        <v/>
      </c>
      <c r="AH2190" s="18" t="str">
        <f aca="false">IF($D2190="","",IF(COUNTIF($D$2:$D2190,$D2190)=1,1,0))</f>
        <v/>
      </c>
      <c r="AI2190" s="18" t="str">
        <f aca="false">IF($AH2190=1,SUMPRODUCT(--($AK$2:$AK$4001&lt;$AK2190))+1,"")</f>
        <v/>
      </c>
      <c r="AJ2190" s="18" t="str">
        <f aca="false">IF($D2190="","",IF(OR($R2190=TRUE(),$R2190="TRUE"),1,0))</f>
        <v/>
      </c>
      <c r="AK2190" s="18" t="str">
        <f aca="false">IF($AH2190=1,IFERROR(VALUE(MID($D2190,2,20)),1000000000)+ROW()/10000000,"")</f>
        <v/>
      </c>
    </row>
    <row r="2191" customFormat="false" ht="15" hidden="false" customHeight="false" outlineLevel="0" collapsed="false">
      <c r="F2191" s="15"/>
      <c r="N2191" s="16" t="str">
        <f aca="false">IF($D2191="","",M2191*Y2191/100)</f>
        <v/>
      </c>
      <c r="V2191" s="16" t="str">
        <f aca="false">IF($D2191="","",Y2191*AB2191/100)</f>
        <v/>
      </c>
      <c r="W2191" s="16" t="str">
        <f aca="false">IF($D2191="","",Y2191-V2191)</f>
        <v/>
      </c>
      <c r="X2191" s="16" t="str">
        <f aca="false">IF($D2191="","",W2191-N2191)</f>
        <v/>
      </c>
      <c r="AB2191" s="17" t="str">
        <f aca="false">IF($D2191="","",IF(OR($R2191=TRUE(),$R2191="TRUE"),Settings!$C$6,Settings!$C$7)*100)</f>
        <v/>
      </c>
      <c r="AH2191" s="18" t="str">
        <f aca="false">IF($D2191="","",IF(COUNTIF($D$2:$D2191,$D2191)=1,1,0))</f>
        <v/>
      </c>
      <c r="AI2191" s="18" t="str">
        <f aca="false">IF($AH2191=1,SUMPRODUCT(--($AK$2:$AK$4001&lt;$AK2191))+1,"")</f>
        <v/>
      </c>
      <c r="AJ2191" s="18" t="str">
        <f aca="false">IF($D2191="","",IF(OR($R2191=TRUE(),$R2191="TRUE"),1,0))</f>
        <v/>
      </c>
      <c r="AK2191" s="18" t="str">
        <f aca="false">IF($AH2191=1,IFERROR(VALUE(MID($D2191,2,20)),1000000000)+ROW()/10000000,"")</f>
        <v/>
      </c>
    </row>
    <row r="2192" customFormat="false" ht="15" hidden="false" customHeight="false" outlineLevel="0" collapsed="false">
      <c r="F2192" s="15"/>
      <c r="N2192" s="16" t="str">
        <f aca="false">IF($D2192="","",M2192*Y2192/100)</f>
        <v/>
      </c>
      <c r="V2192" s="16" t="str">
        <f aca="false">IF($D2192="","",Y2192*AB2192/100)</f>
        <v/>
      </c>
      <c r="W2192" s="16" t="str">
        <f aca="false">IF($D2192="","",Y2192-V2192)</f>
        <v/>
      </c>
      <c r="X2192" s="16" t="str">
        <f aca="false">IF($D2192="","",W2192-N2192)</f>
        <v/>
      </c>
      <c r="AB2192" s="17" t="str">
        <f aca="false">IF($D2192="","",IF(OR($R2192=TRUE(),$R2192="TRUE"),Settings!$C$6,Settings!$C$7)*100)</f>
        <v/>
      </c>
      <c r="AH2192" s="18" t="str">
        <f aca="false">IF($D2192="","",IF(COUNTIF($D$2:$D2192,$D2192)=1,1,0))</f>
        <v/>
      </c>
      <c r="AI2192" s="18" t="str">
        <f aca="false">IF($AH2192=1,SUMPRODUCT(--($AK$2:$AK$4001&lt;$AK2192))+1,"")</f>
        <v/>
      </c>
      <c r="AJ2192" s="18" t="str">
        <f aca="false">IF($D2192="","",IF(OR($R2192=TRUE(),$R2192="TRUE"),1,0))</f>
        <v/>
      </c>
      <c r="AK2192" s="18" t="str">
        <f aca="false">IF($AH2192=1,IFERROR(VALUE(MID($D2192,2,20)),1000000000)+ROW()/10000000,"")</f>
        <v/>
      </c>
    </row>
    <row r="2193" customFormat="false" ht="15" hidden="false" customHeight="false" outlineLevel="0" collapsed="false">
      <c r="F2193" s="15"/>
      <c r="N2193" s="16" t="str">
        <f aca="false">IF($D2193="","",M2193*Y2193/100)</f>
        <v/>
      </c>
      <c r="V2193" s="16" t="str">
        <f aca="false">IF($D2193="","",Y2193*AB2193/100)</f>
        <v/>
      </c>
      <c r="W2193" s="16" t="str">
        <f aca="false">IF($D2193="","",Y2193-V2193)</f>
        <v/>
      </c>
      <c r="X2193" s="16" t="str">
        <f aca="false">IF($D2193="","",W2193-N2193)</f>
        <v/>
      </c>
      <c r="AB2193" s="17" t="str">
        <f aca="false">IF($D2193="","",IF(OR($R2193=TRUE(),$R2193="TRUE"),Settings!$C$6,Settings!$C$7)*100)</f>
        <v/>
      </c>
      <c r="AH2193" s="18" t="str">
        <f aca="false">IF($D2193="","",IF(COUNTIF($D$2:$D2193,$D2193)=1,1,0))</f>
        <v/>
      </c>
      <c r="AI2193" s="18" t="str">
        <f aca="false">IF($AH2193=1,SUMPRODUCT(--($AK$2:$AK$4001&lt;$AK2193))+1,"")</f>
        <v/>
      </c>
      <c r="AJ2193" s="18" t="str">
        <f aca="false">IF($D2193="","",IF(OR($R2193=TRUE(),$R2193="TRUE"),1,0))</f>
        <v/>
      </c>
      <c r="AK2193" s="18" t="str">
        <f aca="false">IF($AH2193=1,IFERROR(VALUE(MID($D2193,2,20)),1000000000)+ROW()/10000000,"")</f>
        <v/>
      </c>
    </row>
    <row r="2194" customFormat="false" ht="15" hidden="false" customHeight="false" outlineLevel="0" collapsed="false">
      <c r="F2194" s="15"/>
      <c r="N2194" s="16" t="str">
        <f aca="false">IF($D2194="","",M2194*Y2194/100)</f>
        <v/>
      </c>
      <c r="V2194" s="16" t="str">
        <f aca="false">IF($D2194="","",Y2194*AB2194/100)</f>
        <v/>
      </c>
      <c r="W2194" s="16" t="str">
        <f aca="false">IF($D2194="","",Y2194-V2194)</f>
        <v/>
      </c>
      <c r="X2194" s="16" t="str">
        <f aca="false">IF($D2194="","",W2194-N2194)</f>
        <v/>
      </c>
      <c r="AB2194" s="17" t="str">
        <f aca="false">IF($D2194="","",IF(OR($R2194=TRUE(),$R2194="TRUE"),Settings!$C$6,Settings!$C$7)*100)</f>
        <v/>
      </c>
      <c r="AH2194" s="18" t="str">
        <f aca="false">IF($D2194="","",IF(COUNTIF($D$2:$D2194,$D2194)=1,1,0))</f>
        <v/>
      </c>
      <c r="AI2194" s="18" t="str">
        <f aca="false">IF($AH2194=1,SUMPRODUCT(--($AK$2:$AK$4001&lt;$AK2194))+1,"")</f>
        <v/>
      </c>
      <c r="AJ2194" s="18" t="str">
        <f aca="false">IF($D2194="","",IF(OR($R2194=TRUE(),$R2194="TRUE"),1,0))</f>
        <v/>
      </c>
      <c r="AK2194" s="18" t="str">
        <f aca="false">IF($AH2194=1,IFERROR(VALUE(MID($D2194,2,20)),1000000000)+ROW()/10000000,"")</f>
        <v/>
      </c>
    </row>
    <row r="2195" customFormat="false" ht="15" hidden="false" customHeight="false" outlineLevel="0" collapsed="false">
      <c r="F2195" s="15"/>
      <c r="N2195" s="16" t="str">
        <f aca="false">IF($D2195="","",M2195*Y2195/100)</f>
        <v/>
      </c>
      <c r="V2195" s="16" t="str">
        <f aca="false">IF($D2195="","",Y2195*AB2195/100)</f>
        <v/>
      </c>
      <c r="W2195" s="16" t="str">
        <f aca="false">IF($D2195="","",Y2195-V2195)</f>
        <v/>
      </c>
      <c r="X2195" s="16" t="str">
        <f aca="false">IF($D2195="","",W2195-N2195)</f>
        <v/>
      </c>
      <c r="AB2195" s="17" t="str">
        <f aca="false">IF($D2195="","",IF(OR($R2195=TRUE(),$R2195="TRUE"),Settings!$C$6,Settings!$C$7)*100)</f>
        <v/>
      </c>
      <c r="AH2195" s="18" t="str">
        <f aca="false">IF($D2195="","",IF(COUNTIF($D$2:$D2195,$D2195)=1,1,0))</f>
        <v/>
      </c>
      <c r="AI2195" s="18" t="str">
        <f aca="false">IF($AH2195=1,SUMPRODUCT(--($AK$2:$AK$4001&lt;$AK2195))+1,"")</f>
        <v/>
      </c>
      <c r="AJ2195" s="18" t="str">
        <f aca="false">IF($D2195="","",IF(OR($R2195=TRUE(),$R2195="TRUE"),1,0))</f>
        <v/>
      </c>
      <c r="AK2195" s="18" t="str">
        <f aca="false">IF($AH2195=1,IFERROR(VALUE(MID($D2195,2,20)),1000000000)+ROW()/10000000,"")</f>
        <v/>
      </c>
    </row>
    <row r="2196" customFormat="false" ht="15" hidden="false" customHeight="false" outlineLevel="0" collapsed="false">
      <c r="F2196" s="15"/>
      <c r="N2196" s="16" t="str">
        <f aca="false">IF($D2196="","",M2196*Y2196/100)</f>
        <v/>
      </c>
      <c r="V2196" s="16" t="str">
        <f aca="false">IF($D2196="","",Y2196*AB2196/100)</f>
        <v/>
      </c>
      <c r="W2196" s="16" t="str">
        <f aca="false">IF($D2196="","",Y2196-V2196)</f>
        <v/>
      </c>
      <c r="X2196" s="16" t="str">
        <f aca="false">IF($D2196="","",W2196-N2196)</f>
        <v/>
      </c>
      <c r="AB2196" s="17" t="str">
        <f aca="false">IF($D2196="","",IF(OR($R2196=TRUE(),$R2196="TRUE"),Settings!$C$6,Settings!$C$7)*100)</f>
        <v/>
      </c>
      <c r="AH2196" s="18" t="str">
        <f aca="false">IF($D2196="","",IF(COUNTIF($D$2:$D2196,$D2196)=1,1,0))</f>
        <v/>
      </c>
      <c r="AI2196" s="18" t="str">
        <f aca="false">IF($AH2196=1,SUMPRODUCT(--($AK$2:$AK$4001&lt;$AK2196))+1,"")</f>
        <v/>
      </c>
      <c r="AJ2196" s="18" t="str">
        <f aca="false">IF($D2196="","",IF(OR($R2196=TRUE(),$R2196="TRUE"),1,0))</f>
        <v/>
      </c>
      <c r="AK2196" s="18" t="str">
        <f aca="false">IF($AH2196=1,IFERROR(VALUE(MID($D2196,2,20)),1000000000)+ROW()/10000000,"")</f>
        <v/>
      </c>
    </row>
    <row r="2197" customFormat="false" ht="15" hidden="false" customHeight="false" outlineLevel="0" collapsed="false">
      <c r="F2197" s="15"/>
      <c r="N2197" s="16" t="str">
        <f aca="false">IF($D2197="","",M2197*Y2197/100)</f>
        <v/>
      </c>
      <c r="V2197" s="16" t="str">
        <f aca="false">IF($D2197="","",Y2197*AB2197/100)</f>
        <v/>
      </c>
      <c r="W2197" s="16" t="str">
        <f aca="false">IF($D2197="","",Y2197-V2197)</f>
        <v/>
      </c>
      <c r="X2197" s="16" t="str">
        <f aca="false">IF($D2197="","",W2197-N2197)</f>
        <v/>
      </c>
      <c r="AB2197" s="17" t="str">
        <f aca="false">IF($D2197="","",IF(OR($R2197=TRUE(),$R2197="TRUE"),Settings!$C$6,Settings!$C$7)*100)</f>
        <v/>
      </c>
      <c r="AH2197" s="18" t="str">
        <f aca="false">IF($D2197="","",IF(COUNTIF($D$2:$D2197,$D2197)=1,1,0))</f>
        <v/>
      </c>
      <c r="AI2197" s="18" t="str">
        <f aca="false">IF($AH2197=1,SUMPRODUCT(--($AK$2:$AK$4001&lt;$AK2197))+1,"")</f>
        <v/>
      </c>
      <c r="AJ2197" s="18" t="str">
        <f aca="false">IF($D2197="","",IF(OR($R2197=TRUE(),$R2197="TRUE"),1,0))</f>
        <v/>
      </c>
      <c r="AK2197" s="18" t="str">
        <f aca="false">IF($AH2197=1,IFERROR(VALUE(MID($D2197,2,20)),1000000000)+ROW()/10000000,"")</f>
        <v/>
      </c>
    </row>
    <row r="2198" customFormat="false" ht="15" hidden="false" customHeight="false" outlineLevel="0" collapsed="false">
      <c r="F2198" s="15"/>
      <c r="N2198" s="16" t="str">
        <f aca="false">IF($D2198="","",M2198*Y2198/100)</f>
        <v/>
      </c>
      <c r="V2198" s="16" t="str">
        <f aca="false">IF($D2198="","",Y2198*AB2198/100)</f>
        <v/>
      </c>
      <c r="W2198" s="16" t="str">
        <f aca="false">IF($D2198="","",Y2198-V2198)</f>
        <v/>
      </c>
      <c r="X2198" s="16" t="str">
        <f aca="false">IF($D2198="","",W2198-N2198)</f>
        <v/>
      </c>
      <c r="AB2198" s="17" t="str">
        <f aca="false">IF($D2198="","",IF(OR($R2198=TRUE(),$R2198="TRUE"),Settings!$C$6,Settings!$C$7)*100)</f>
        <v/>
      </c>
      <c r="AH2198" s="18" t="str">
        <f aca="false">IF($D2198="","",IF(COUNTIF($D$2:$D2198,$D2198)=1,1,0))</f>
        <v/>
      </c>
      <c r="AI2198" s="18" t="str">
        <f aca="false">IF($AH2198=1,SUMPRODUCT(--($AK$2:$AK$4001&lt;$AK2198))+1,"")</f>
        <v/>
      </c>
      <c r="AJ2198" s="18" t="str">
        <f aca="false">IF($D2198="","",IF(OR($R2198=TRUE(),$R2198="TRUE"),1,0))</f>
        <v/>
      </c>
      <c r="AK2198" s="18" t="str">
        <f aca="false">IF($AH2198=1,IFERROR(VALUE(MID($D2198,2,20)),1000000000)+ROW()/10000000,"")</f>
        <v/>
      </c>
    </row>
    <row r="2199" customFormat="false" ht="15" hidden="false" customHeight="false" outlineLevel="0" collapsed="false">
      <c r="F2199" s="15"/>
      <c r="N2199" s="16" t="str">
        <f aca="false">IF($D2199="","",M2199*Y2199/100)</f>
        <v/>
      </c>
      <c r="V2199" s="16" t="str">
        <f aca="false">IF($D2199="","",Y2199*AB2199/100)</f>
        <v/>
      </c>
      <c r="W2199" s="16" t="str">
        <f aca="false">IF($D2199="","",Y2199-V2199)</f>
        <v/>
      </c>
      <c r="X2199" s="16" t="str">
        <f aca="false">IF($D2199="","",W2199-N2199)</f>
        <v/>
      </c>
      <c r="AB2199" s="17" t="str">
        <f aca="false">IF($D2199="","",IF(OR($R2199=TRUE(),$R2199="TRUE"),Settings!$C$6,Settings!$C$7)*100)</f>
        <v/>
      </c>
      <c r="AH2199" s="18" t="str">
        <f aca="false">IF($D2199="","",IF(COUNTIF($D$2:$D2199,$D2199)=1,1,0))</f>
        <v/>
      </c>
      <c r="AI2199" s="18" t="str">
        <f aca="false">IF($AH2199=1,SUMPRODUCT(--($AK$2:$AK$4001&lt;$AK2199))+1,"")</f>
        <v/>
      </c>
      <c r="AJ2199" s="18" t="str">
        <f aca="false">IF($D2199="","",IF(OR($R2199=TRUE(),$R2199="TRUE"),1,0))</f>
        <v/>
      </c>
      <c r="AK2199" s="18" t="str">
        <f aca="false">IF($AH2199=1,IFERROR(VALUE(MID($D2199,2,20)),1000000000)+ROW()/10000000,"")</f>
        <v/>
      </c>
    </row>
    <row r="2200" customFormat="false" ht="15" hidden="false" customHeight="false" outlineLevel="0" collapsed="false">
      <c r="F2200" s="15"/>
      <c r="N2200" s="16" t="str">
        <f aca="false">IF($D2200="","",M2200*Y2200/100)</f>
        <v/>
      </c>
      <c r="V2200" s="16" t="str">
        <f aca="false">IF($D2200="","",Y2200*AB2200/100)</f>
        <v/>
      </c>
      <c r="W2200" s="16" t="str">
        <f aca="false">IF($D2200="","",Y2200-V2200)</f>
        <v/>
      </c>
      <c r="X2200" s="16" t="str">
        <f aca="false">IF($D2200="","",W2200-N2200)</f>
        <v/>
      </c>
      <c r="AB2200" s="17" t="str">
        <f aca="false">IF($D2200="","",IF(OR($R2200=TRUE(),$R2200="TRUE"),Settings!$C$6,Settings!$C$7)*100)</f>
        <v/>
      </c>
      <c r="AH2200" s="18" t="str">
        <f aca="false">IF($D2200="","",IF(COUNTIF($D$2:$D2200,$D2200)=1,1,0))</f>
        <v/>
      </c>
      <c r="AI2200" s="18" t="str">
        <f aca="false">IF($AH2200=1,SUMPRODUCT(--($AK$2:$AK$4001&lt;$AK2200))+1,"")</f>
        <v/>
      </c>
      <c r="AJ2200" s="18" t="str">
        <f aca="false">IF($D2200="","",IF(OR($R2200=TRUE(),$R2200="TRUE"),1,0))</f>
        <v/>
      </c>
      <c r="AK2200" s="18" t="str">
        <f aca="false">IF($AH2200=1,IFERROR(VALUE(MID($D2200,2,20)),1000000000)+ROW()/10000000,"")</f>
        <v/>
      </c>
    </row>
    <row r="2201" customFormat="false" ht="15" hidden="false" customHeight="false" outlineLevel="0" collapsed="false">
      <c r="F2201" s="15"/>
      <c r="N2201" s="16" t="str">
        <f aca="false">IF($D2201="","",M2201*Y2201/100)</f>
        <v/>
      </c>
      <c r="V2201" s="16" t="str">
        <f aca="false">IF($D2201="","",Y2201*AB2201/100)</f>
        <v/>
      </c>
      <c r="W2201" s="16" t="str">
        <f aca="false">IF($D2201="","",Y2201-V2201)</f>
        <v/>
      </c>
      <c r="X2201" s="16" t="str">
        <f aca="false">IF($D2201="","",W2201-N2201)</f>
        <v/>
      </c>
      <c r="AB2201" s="17" t="str">
        <f aca="false">IF($D2201="","",IF(OR($R2201=TRUE(),$R2201="TRUE"),Settings!$C$6,Settings!$C$7)*100)</f>
        <v/>
      </c>
      <c r="AH2201" s="18" t="str">
        <f aca="false">IF($D2201="","",IF(COUNTIF($D$2:$D2201,$D2201)=1,1,0))</f>
        <v/>
      </c>
      <c r="AI2201" s="18" t="str">
        <f aca="false">IF($AH2201=1,SUMPRODUCT(--($AK$2:$AK$4001&lt;$AK2201))+1,"")</f>
        <v/>
      </c>
      <c r="AJ2201" s="18" t="str">
        <f aca="false">IF($D2201="","",IF(OR($R2201=TRUE(),$R2201="TRUE"),1,0))</f>
        <v/>
      </c>
      <c r="AK2201" s="18" t="str">
        <f aca="false">IF($AH2201=1,IFERROR(VALUE(MID($D2201,2,20)),1000000000)+ROW()/10000000,"")</f>
        <v/>
      </c>
    </row>
    <row r="2202" customFormat="false" ht="15" hidden="false" customHeight="false" outlineLevel="0" collapsed="false">
      <c r="F2202" s="15"/>
      <c r="N2202" s="16" t="str">
        <f aca="false">IF($D2202="","",M2202*Y2202/100)</f>
        <v/>
      </c>
      <c r="V2202" s="16" t="str">
        <f aca="false">IF($D2202="","",Y2202*AB2202/100)</f>
        <v/>
      </c>
      <c r="W2202" s="16" t="str">
        <f aca="false">IF($D2202="","",Y2202-V2202)</f>
        <v/>
      </c>
      <c r="X2202" s="16" t="str">
        <f aca="false">IF($D2202="","",W2202-N2202)</f>
        <v/>
      </c>
      <c r="AB2202" s="17" t="str">
        <f aca="false">IF($D2202="","",IF(OR($R2202=TRUE(),$R2202="TRUE"),Settings!$C$6,Settings!$C$7)*100)</f>
        <v/>
      </c>
      <c r="AH2202" s="18" t="str">
        <f aca="false">IF($D2202="","",IF(COUNTIF($D$2:$D2202,$D2202)=1,1,0))</f>
        <v/>
      </c>
      <c r="AI2202" s="18" t="str">
        <f aca="false">IF($AH2202=1,SUMPRODUCT(--($AK$2:$AK$4001&lt;$AK2202))+1,"")</f>
        <v/>
      </c>
      <c r="AJ2202" s="18" t="str">
        <f aca="false">IF($D2202="","",IF(OR($R2202=TRUE(),$R2202="TRUE"),1,0))</f>
        <v/>
      </c>
      <c r="AK2202" s="18" t="str">
        <f aca="false">IF($AH2202=1,IFERROR(VALUE(MID($D2202,2,20)),1000000000)+ROW()/10000000,"")</f>
        <v/>
      </c>
    </row>
    <row r="2203" customFormat="false" ht="15" hidden="false" customHeight="false" outlineLevel="0" collapsed="false">
      <c r="F2203" s="15"/>
      <c r="N2203" s="16" t="str">
        <f aca="false">IF($D2203="","",M2203*Y2203/100)</f>
        <v/>
      </c>
      <c r="V2203" s="16" t="str">
        <f aca="false">IF($D2203="","",Y2203*AB2203/100)</f>
        <v/>
      </c>
      <c r="W2203" s="16" t="str">
        <f aca="false">IF($D2203="","",Y2203-V2203)</f>
        <v/>
      </c>
      <c r="X2203" s="16" t="str">
        <f aca="false">IF($D2203="","",W2203-N2203)</f>
        <v/>
      </c>
      <c r="AB2203" s="17" t="str">
        <f aca="false">IF($D2203="","",IF(OR($R2203=TRUE(),$R2203="TRUE"),Settings!$C$6,Settings!$C$7)*100)</f>
        <v/>
      </c>
      <c r="AH2203" s="18" t="str">
        <f aca="false">IF($D2203="","",IF(COUNTIF($D$2:$D2203,$D2203)=1,1,0))</f>
        <v/>
      </c>
      <c r="AI2203" s="18" t="str">
        <f aca="false">IF($AH2203=1,SUMPRODUCT(--($AK$2:$AK$4001&lt;$AK2203))+1,"")</f>
        <v/>
      </c>
      <c r="AJ2203" s="18" t="str">
        <f aca="false">IF($D2203="","",IF(OR($R2203=TRUE(),$R2203="TRUE"),1,0))</f>
        <v/>
      </c>
      <c r="AK2203" s="18" t="str">
        <f aca="false">IF($AH2203=1,IFERROR(VALUE(MID($D2203,2,20)),1000000000)+ROW()/10000000,"")</f>
        <v/>
      </c>
    </row>
    <row r="2204" customFormat="false" ht="15" hidden="false" customHeight="false" outlineLevel="0" collapsed="false">
      <c r="F2204" s="15"/>
      <c r="N2204" s="16" t="str">
        <f aca="false">IF($D2204="","",M2204*Y2204/100)</f>
        <v/>
      </c>
      <c r="V2204" s="16" t="str">
        <f aca="false">IF($D2204="","",Y2204*AB2204/100)</f>
        <v/>
      </c>
      <c r="W2204" s="16" t="str">
        <f aca="false">IF($D2204="","",Y2204-V2204)</f>
        <v/>
      </c>
      <c r="X2204" s="16" t="str">
        <f aca="false">IF($D2204="","",W2204-N2204)</f>
        <v/>
      </c>
      <c r="AB2204" s="17" t="str">
        <f aca="false">IF($D2204="","",IF(OR($R2204=TRUE(),$R2204="TRUE"),Settings!$C$6,Settings!$C$7)*100)</f>
        <v/>
      </c>
      <c r="AH2204" s="18" t="str">
        <f aca="false">IF($D2204="","",IF(COUNTIF($D$2:$D2204,$D2204)=1,1,0))</f>
        <v/>
      </c>
      <c r="AI2204" s="18" t="str">
        <f aca="false">IF($AH2204=1,SUMPRODUCT(--($AK$2:$AK$4001&lt;$AK2204))+1,"")</f>
        <v/>
      </c>
      <c r="AJ2204" s="18" t="str">
        <f aca="false">IF($D2204="","",IF(OR($R2204=TRUE(),$R2204="TRUE"),1,0))</f>
        <v/>
      </c>
      <c r="AK2204" s="18" t="str">
        <f aca="false">IF($AH2204=1,IFERROR(VALUE(MID($D2204,2,20)),1000000000)+ROW()/10000000,"")</f>
        <v/>
      </c>
    </row>
    <row r="2205" customFormat="false" ht="15" hidden="false" customHeight="false" outlineLevel="0" collapsed="false">
      <c r="F2205" s="15"/>
      <c r="N2205" s="16" t="str">
        <f aca="false">IF($D2205="","",M2205*Y2205/100)</f>
        <v/>
      </c>
      <c r="V2205" s="16" t="str">
        <f aca="false">IF($D2205="","",Y2205*AB2205/100)</f>
        <v/>
      </c>
      <c r="W2205" s="16" t="str">
        <f aca="false">IF($D2205="","",Y2205-V2205)</f>
        <v/>
      </c>
      <c r="X2205" s="16" t="str">
        <f aca="false">IF($D2205="","",W2205-N2205)</f>
        <v/>
      </c>
      <c r="AB2205" s="17" t="str">
        <f aca="false">IF($D2205="","",IF(OR($R2205=TRUE(),$R2205="TRUE"),Settings!$C$6,Settings!$C$7)*100)</f>
        <v/>
      </c>
      <c r="AH2205" s="18" t="str">
        <f aca="false">IF($D2205="","",IF(COUNTIF($D$2:$D2205,$D2205)=1,1,0))</f>
        <v/>
      </c>
      <c r="AI2205" s="18" t="str">
        <f aca="false">IF($AH2205=1,SUMPRODUCT(--($AK$2:$AK$4001&lt;$AK2205))+1,"")</f>
        <v/>
      </c>
      <c r="AJ2205" s="18" t="str">
        <f aca="false">IF($D2205="","",IF(OR($R2205=TRUE(),$R2205="TRUE"),1,0))</f>
        <v/>
      </c>
      <c r="AK2205" s="18" t="str">
        <f aca="false">IF($AH2205=1,IFERROR(VALUE(MID($D2205,2,20)),1000000000)+ROW()/10000000,"")</f>
        <v/>
      </c>
    </row>
    <row r="2206" customFormat="false" ht="15" hidden="false" customHeight="false" outlineLevel="0" collapsed="false">
      <c r="F2206" s="15"/>
      <c r="N2206" s="16" t="str">
        <f aca="false">IF($D2206="","",M2206*Y2206/100)</f>
        <v/>
      </c>
      <c r="V2206" s="16" t="str">
        <f aca="false">IF($D2206="","",Y2206*AB2206/100)</f>
        <v/>
      </c>
      <c r="W2206" s="16" t="str">
        <f aca="false">IF($D2206="","",Y2206-V2206)</f>
        <v/>
      </c>
      <c r="X2206" s="16" t="str">
        <f aca="false">IF($D2206="","",W2206-N2206)</f>
        <v/>
      </c>
      <c r="AB2206" s="17" t="str">
        <f aca="false">IF($D2206="","",IF(OR($R2206=TRUE(),$R2206="TRUE"),Settings!$C$6,Settings!$C$7)*100)</f>
        <v/>
      </c>
      <c r="AH2206" s="18" t="str">
        <f aca="false">IF($D2206="","",IF(COUNTIF($D$2:$D2206,$D2206)=1,1,0))</f>
        <v/>
      </c>
      <c r="AI2206" s="18" t="str">
        <f aca="false">IF($AH2206=1,SUMPRODUCT(--($AK$2:$AK$4001&lt;$AK2206))+1,"")</f>
        <v/>
      </c>
      <c r="AJ2206" s="18" t="str">
        <f aca="false">IF($D2206="","",IF(OR($R2206=TRUE(),$R2206="TRUE"),1,0))</f>
        <v/>
      </c>
      <c r="AK2206" s="18" t="str">
        <f aca="false">IF($AH2206=1,IFERROR(VALUE(MID($D2206,2,20)),1000000000)+ROW()/10000000,"")</f>
        <v/>
      </c>
    </row>
    <row r="2207" customFormat="false" ht="15" hidden="false" customHeight="false" outlineLevel="0" collapsed="false">
      <c r="F2207" s="15"/>
      <c r="N2207" s="16" t="str">
        <f aca="false">IF($D2207="","",M2207*Y2207/100)</f>
        <v/>
      </c>
      <c r="V2207" s="16" t="str">
        <f aca="false">IF($D2207="","",Y2207*AB2207/100)</f>
        <v/>
      </c>
      <c r="W2207" s="16" t="str">
        <f aca="false">IF($D2207="","",Y2207-V2207)</f>
        <v/>
      </c>
      <c r="X2207" s="16" t="str">
        <f aca="false">IF($D2207="","",W2207-N2207)</f>
        <v/>
      </c>
      <c r="AB2207" s="17" t="str">
        <f aca="false">IF($D2207="","",IF(OR($R2207=TRUE(),$R2207="TRUE"),Settings!$C$6,Settings!$C$7)*100)</f>
        <v/>
      </c>
      <c r="AH2207" s="18" t="str">
        <f aca="false">IF($D2207="","",IF(COUNTIF($D$2:$D2207,$D2207)=1,1,0))</f>
        <v/>
      </c>
      <c r="AI2207" s="18" t="str">
        <f aca="false">IF($AH2207=1,SUMPRODUCT(--($AK$2:$AK$4001&lt;$AK2207))+1,"")</f>
        <v/>
      </c>
      <c r="AJ2207" s="18" t="str">
        <f aca="false">IF($D2207="","",IF(OR($R2207=TRUE(),$R2207="TRUE"),1,0))</f>
        <v/>
      </c>
      <c r="AK2207" s="18" t="str">
        <f aca="false">IF($AH2207=1,IFERROR(VALUE(MID($D2207,2,20)),1000000000)+ROW()/10000000,"")</f>
        <v/>
      </c>
    </row>
    <row r="2208" customFormat="false" ht="15" hidden="false" customHeight="false" outlineLevel="0" collapsed="false">
      <c r="F2208" s="15"/>
      <c r="N2208" s="16" t="str">
        <f aca="false">IF($D2208="","",M2208*Y2208/100)</f>
        <v/>
      </c>
      <c r="V2208" s="16" t="str">
        <f aca="false">IF($D2208="","",Y2208*AB2208/100)</f>
        <v/>
      </c>
      <c r="W2208" s="16" t="str">
        <f aca="false">IF($D2208="","",Y2208-V2208)</f>
        <v/>
      </c>
      <c r="X2208" s="16" t="str">
        <f aca="false">IF($D2208="","",W2208-N2208)</f>
        <v/>
      </c>
      <c r="AB2208" s="17" t="str">
        <f aca="false">IF($D2208="","",IF(OR($R2208=TRUE(),$R2208="TRUE"),Settings!$C$6,Settings!$C$7)*100)</f>
        <v/>
      </c>
      <c r="AH2208" s="18" t="str">
        <f aca="false">IF($D2208="","",IF(COUNTIF($D$2:$D2208,$D2208)=1,1,0))</f>
        <v/>
      </c>
      <c r="AI2208" s="18" t="str">
        <f aca="false">IF($AH2208=1,SUMPRODUCT(--($AK$2:$AK$4001&lt;$AK2208))+1,"")</f>
        <v/>
      </c>
      <c r="AJ2208" s="18" t="str">
        <f aca="false">IF($D2208="","",IF(OR($R2208=TRUE(),$R2208="TRUE"),1,0))</f>
        <v/>
      </c>
      <c r="AK2208" s="18" t="str">
        <f aca="false">IF($AH2208=1,IFERROR(VALUE(MID($D2208,2,20)),1000000000)+ROW()/10000000,"")</f>
        <v/>
      </c>
    </row>
    <row r="2209" customFormat="false" ht="15" hidden="false" customHeight="false" outlineLevel="0" collapsed="false">
      <c r="F2209" s="15"/>
      <c r="N2209" s="16" t="str">
        <f aca="false">IF($D2209="","",M2209*Y2209/100)</f>
        <v/>
      </c>
      <c r="V2209" s="16" t="str">
        <f aca="false">IF($D2209="","",Y2209*AB2209/100)</f>
        <v/>
      </c>
      <c r="W2209" s="16" t="str">
        <f aca="false">IF($D2209="","",Y2209-V2209)</f>
        <v/>
      </c>
      <c r="X2209" s="16" t="str">
        <f aca="false">IF($D2209="","",W2209-N2209)</f>
        <v/>
      </c>
      <c r="AB2209" s="17" t="str">
        <f aca="false">IF($D2209="","",IF(OR($R2209=TRUE(),$R2209="TRUE"),Settings!$C$6,Settings!$C$7)*100)</f>
        <v/>
      </c>
      <c r="AH2209" s="18" t="str">
        <f aca="false">IF($D2209="","",IF(COUNTIF($D$2:$D2209,$D2209)=1,1,0))</f>
        <v/>
      </c>
      <c r="AI2209" s="18" t="str">
        <f aca="false">IF($AH2209=1,SUMPRODUCT(--($AK$2:$AK$4001&lt;$AK2209))+1,"")</f>
        <v/>
      </c>
      <c r="AJ2209" s="18" t="str">
        <f aca="false">IF($D2209="","",IF(OR($R2209=TRUE(),$R2209="TRUE"),1,0))</f>
        <v/>
      </c>
      <c r="AK2209" s="18" t="str">
        <f aca="false">IF($AH2209=1,IFERROR(VALUE(MID($D2209,2,20)),1000000000)+ROW()/10000000,"")</f>
        <v/>
      </c>
    </row>
    <row r="2210" customFormat="false" ht="15" hidden="false" customHeight="false" outlineLevel="0" collapsed="false">
      <c r="F2210" s="15"/>
      <c r="N2210" s="16" t="str">
        <f aca="false">IF($D2210="","",M2210*Y2210/100)</f>
        <v/>
      </c>
      <c r="V2210" s="16" t="str">
        <f aca="false">IF($D2210="","",Y2210*AB2210/100)</f>
        <v/>
      </c>
      <c r="W2210" s="16" t="str">
        <f aca="false">IF($D2210="","",Y2210-V2210)</f>
        <v/>
      </c>
      <c r="X2210" s="16" t="str">
        <f aca="false">IF($D2210="","",W2210-N2210)</f>
        <v/>
      </c>
      <c r="AB2210" s="17" t="str">
        <f aca="false">IF($D2210="","",IF(OR($R2210=TRUE(),$R2210="TRUE"),Settings!$C$6,Settings!$C$7)*100)</f>
        <v/>
      </c>
      <c r="AH2210" s="18" t="str">
        <f aca="false">IF($D2210="","",IF(COUNTIF($D$2:$D2210,$D2210)=1,1,0))</f>
        <v/>
      </c>
      <c r="AI2210" s="18" t="str">
        <f aca="false">IF($AH2210=1,SUMPRODUCT(--($AK$2:$AK$4001&lt;$AK2210))+1,"")</f>
        <v/>
      </c>
      <c r="AJ2210" s="18" t="str">
        <f aca="false">IF($D2210="","",IF(OR($R2210=TRUE(),$R2210="TRUE"),1,0))</f>
        <v/>
      </c>
      <c r="AK2210" s="18" t="str">
        <f aca="false">IF($AH2210=1,IFERROR(VALUE(MID($D2210,2,20)),1000000000)+ROW()/10000000,"")</f>
        <v/>
      </c>
    </row>
    <row r="2211" customFormat="false" ht="15" hidden="false" customHeight="false" outlineLevel="0" collapsed="false">
      <c r="F2211" s="15"/>
      <c r="N2211" s="16" t="str">
        <f aca="false">IF($D2211="","",M2211*Y2211/100)</f>
        <v/>
      </c>
      <c r="V2211" s="16" t="str">
        <f aca="false">IF($D2211="","",Y2211*AB2211/100)</f>
        <v/>
      </c>
      <c r="W2211" s="16" t="str">
        <f aca="false">IF($D2211="","",Y2211-V2211)</f>
        <v/>
      </c>
      <c r="X2211" s="16" t="str">
        <f aca="false">IF($D2211="","",W2211-N2211)</f>
        <v/>
      </c>
      <c r="AB2211" s="17" t="str">
        <f aca="false">IF($D2211="","",IF(OR($R2211=TRUE(),$R2211="TRUE"),Settings!$C$6,Settings!$C$7)*100)</f>
        <v/>
      </c>
      <c r="AH2211" s="18" t="str">
        <f aca="false">IF($D2211="","",IF(COUNTIF($D$2:$D2211,$D2211)=1,1,0))</f>
        <v/>
      </c>
      <c r="AI2211" s="18" t="str">
        <f aca="false">IF($AH2211=1,SUMPRODUCT(--($AK$2:$AK$4001&lt;$AK2211))+1,"")</f>
        <v/>
      </c>
      <c r="AJ2211" s="18" t="str">
        <f aca="false">IF($D2211="","",IF(OR($R2211=TRUE(),$R2211="TRUE"),1,0))</f>
        <v/>
      </c>
      <c r="AK2211" s="18" t="str">
        <f aca="false">IF($AH2211=1,IFERROR(VALUE(MID($D2211,2,20)),1000000000)+ROW()/10000000,"")</f>
        <v/>
      </c>
    </row>
    <row r="2212" customFormat="false" ht="15" hidden="false" customHeight="false" outlineLevel="0" collapsed="false">
      <c r="F2212" s="15"/>
      <c r="N2212" s="16" t="str">
        <f aca="false">IF($D2212="","",M2212*Y2212/100)</f>
        <v/>
      </c>
      <c r="V2212" s="16" t="str">
        <f aca="false">IF($D2212="","",Y2212*AB2212/100)</f>
        <v/>
      </c>
      <c r="W2212" s="16" t="str">
        <f aca="false">IF($D2212="","",Y2212-V2212)</f>
        <v/>
      </c>
      <c r="X2212" s="16" t="str">
        <f aca="false">IF($D2212="","",W2212-N2212)</f>
        <v/>
      </c>
      <c r="AB2212" s="17" t="str">
        <f aca="false">IF($D2212="","",IF(OR($R2212=TRUE(),$R2212="TRUE"),Settings!$C$6,Settings!$C$7)*100)</f>
        <v/>
      </c>
      <c r="AH2212" s="18" t="str">
        <f aca="false">IF($D2212="","",IF(COUNTIF($D$2:$D2212,$D2212)=1,1,0))</f>
        <v/>
      </c>
      <c r="AI2212" s="18" t="str">
        <f aca="false">IF($AH2212=1,SUMPRODUCT(--($AK$2:$AK$4001&lt;$AK2212))+1,"")</f>
        <v/>
      </c>
      <c r="AJ2212" s="18" t="str">
        <f aca="false">IF($D2212="","",IF(OR($R2212=TRUE(),$R2212="TRUE"),1,0))</f>
        <v/>
      </c>
      <c r="AK2212" s="18" t="str">
        <f aca="false">IF($AH2212=1,IFERROR(VALUE(MID($D2212,2,20)),1000000000)+ROW()/10000000,"")</f>
        <v/>
      </c>
    </row>
    <row r="2213" customFormat="false" ht="15" hidden="false" customHeight="false" outlineLevel="0" collapsed="false">
      <c r="F2213" s="15"/>
      <c r="N2213" s="16" t="str">
        <f aca="false">IF($D2213="","",M2213*Y2213/100)</f>
        <v/>
      </c>
      <c r="V2213" s="16" t="str">
        <f aca="false">IF($D2213="","",Y2213*AB2213/100)</f>
        <v/>
      </c>
      <c r="W2213" s="16" t="str">
        <f aca="false">IF($D2213="","",Y2213-V2213)</f>
        <v/>
      </c>
      <c r="X2213" s="16" t="str">
        <f aca="false">IF($D2213="","",W2213-N2213)</f>
        <v/>
      </c>
      <c r="AB2213" s="17" t="str">
        <f aca="false">IF($D2213="","",IF(OR($R2213=TRUE(),$R2213="TRUE"),Settings!$C$6,Settings!$C$7)*100)</f>
        <v/>
      </c>
      <c r="AH2213" s="18" t="str">
        <f aca="false">IF($D2213="","",IF(COUNTIF($D$2:$D2213,$D2213)=1,1,0))</f>
        <v/>
      </c>
      <c r="AI2213" s="18" t="str">
        <f aca="false">IF($AH2213=1,SUMPRODUCT(--($AK$2:$AK$4001&lt;$AK2213))+1,"")</f>
        <v/>
      </c>
      <c r="AJ2213" s="18" t="str">
        <f aca="false">IF($D2213="","",IF(OR($R2213=TRUE(),$R2213="TRUE"),1,0))</f>
        <v/>
      </c>
      <c r="AK2213" s="18" t="str">
        <f aca="false">IF($AH2213=1,IFERROR(VALUE(MID($D2213,2,20)),1000000000)+ROW()/10000000,"")</f>
        <v/>
      </c>
    </row>
    <row r="2214" customFormat="false" ht="15" hidden="false" customHeight="false" outlineLevel="0" collapsed="false">
      <c r="F2214" s="15"/>
      <c r="N2214" s="16" t="str">
        <f aca="false">IF($D2214="","",M2214*Y2214/100)</f>
        <v/>
      </c>
      <c r="V2214" s="16" t="str">
        <f aca="false">IF($D2214="","",Y2214*AB2214/100)</f>
        <v/>
      </c>
      <c r="W2214" s="16" t="str">
        <f aca="false">IF($D2214="","",Y2214-V2214)</f>
        <v/>
      </c>
      <c r="X2214" s="16" t="str">
        <f aca="false">IF($D2214="","",W2214-N2214)</f>
        <v/>
      </c>
      <c r="AB2214" s="17" t="str">
        <f aca="false">IF($D2214="","",IF(OR($R2214=TRUE(),$R2214="TRUE"),Settings!$C$6,Settings!$C$7)*100)</f>
        <v/>
      </c>
      <c r="AH2214" s="18" t="str">
        <f aca="false">IF($D2214="","",IF(COUNTIF($D$2:$D2214,$D2214)=1,1,0))</f>
        <v/>
      </c>
      <c r="AI2214" s="18" t="str">
        <f aca="false">IF($AH2214=1,SUMPRODUCT(--($AK$2:$AK$4001&lt;$AK2214))+1,"")</f>
        <v/>
      </c>
      <c r="AJ2214" s="18" t="str">
        <f aca="false">IF($D2214="","",IF(OR($R2214=TRUE(),$R2214="TRUE"),1,0))</f>
        <v/>
      </c>
      <c r="AK2214" s="18" t="str">
        <f aca="false">IF($AH2214=1,IFERROR(VALUE(MID($D2214,2,20)),1000000000)+ROW()/10000000,"")</f>
        <v/>
      </c>
    </row>
    <row r="2215" customFormat="false" ht="15" hidden="false" customHeight="false" outlineLevel="0" collapsed="false">
      <c r="F2215" s="15"/>
      <c r="N2215" s="16" t="str">
        <f aca="false">IF($D2215="","",M2215*Y2215/100)</f>
        <v/>
      </c>
      <c r="V2215" s="16" t="str">
        <f aca="false">IF($D2215="","",Y2215*AB2215/100)</f>
        <v/>
      </c>
      <c r="W2215" s="16" t="str">
        <f aca="false">IF($D2215="","",Y2215-V2215)</f>
        <v/>
      </c>
      <c r="X2215" s="16" t="str">
        <f aca="false">IF($D2215="","",W2215-N2215)</f>
        <v/>
      </c>
      <c r="AB2215" s="17" t="str">
        <f aca="false">IF($D2215="","",IF(OR($R2215=TRUE(),$R2215="TRUE"),Settings!$C$6,Settings!$C$7)*100)</f>
        <v/>
      </c>
      <c r="AH2215" s="18" t="str">
        <f aca="false">IF($D2215="","",IF(COUNTIF($D$2:$D2215,$D2215)=1,1,0))</f>
        <v/>
      </c>
      <c r="AI2215" s="18" t="str">
        <f aca="false">IF($AH2215=1,SUMPRODUCT(--($AK$2:$AK$4001&lt;$AK2215))+1,"")</f>
        <v/>
      </c>
      <c r="AJ2215" s="18" t="str">
        <f aca="false">IF($D2215="","",IF(OR($R2215=TRUE(),$R2215="TRUE"),1,0))</f>
        <v/>
      </c>
      <c r="AK2215" s="18" t="str">
        <f aca="false">IF($AH2215=1,IFERROR(VALUE(MID($D2215,2,20)),1000000000)+ROW()/10000000,"")</f>
        <v/>
      </c>
    </row>
    <row r="2216" customFormat="false" ht="15" hidden="false" customHeight="false" outlineLevel="0" collapsed="false">
      <c r="F2216" s="15"/>
      <c r="N2216" s="16" t="str">
        <f aca="false">IF($D2216="","",M2216*Y2216/100)</f>
        <v/>
      </c>
      <c r="V2216" s="16" t="str">
        <f aca="false">IF($D2216="","",Y2216*AB2216/100)</f>
        <v/>
      </c>
      <c r="W2216" s="16" t="str">
        <f aca="false">IF($D2216="","",Y2216-V2216)</f>
        <v/>
      </c>
      <c r="X2216" s="16" t="str">
        <f aca="false">IF($D2216="","",W2216-N2216)</f>
        <v/>
      </c>
      <c r="AB2216" s="17" t="str">
        <f aca="false">IF($D2216="","",IF(OR($R2216=TRUE(),$R2216="TRUE"),Settings!$C$6,Settings!$C$7)*100)</f>
        <v/>
      </c>
      <c r="AH2216" s="18" t="str">
        <f aca="false">IF($D2216="","",IF(COUNTIF($D$2:$D2216,$D2216)=1,1,0))</f>
        <v/>
      </c>
      <c r="AI2216" s="18" t="str">
        <f aca="false">IF($AH2216=1,SUMPRODUCT(--($AK$2:$AK$4001&lt;$AK2216))+1,"")</f>
        <v/>
      </c>
      <c r="AJ2216" s="18" t="str">
        <f aca="false">IF($D2216="","",IF(OR($R2216=TRUE(),$R2216="TRUE"),1,0))</f>
        <v/>
      </c>
      <c r="AK2216" s="18" t="str">
        <f aca="false">IF($AH2216=1,IFERROR(VALUE(MID($D2216,2,20)),1000000000)+ROW()/10000000,"")</f>
        <v/>
      </c>
    </row>
    <row r="2217" customFormat="false" ht="15" hidden="false" customHeight="false" outlineLevel="0" collapsed="false">
      <c r="F2217" s="15"/>
      <c r="N2217" s="16" t="str">
        <f aca="false">IF($D2217="","",M2217*Y2217/100)</f>
        <v/>
      </c>
      <c r="V2217" s="16" t="str">
        <f aca="false">IF($D2217="","",Y2217*AB2217/100)</f>
        <v/>
      </c>
      <c r="W2217" s="16" t="str">
        <f aca="false">IF($D2217="","",Y2217-V2217)</f>
        <v/>
      </c>
      <c r="X2217" s="16" t="str">
        <f aca="false">IF($D2217="","",W2217-N2217)</f>
        <v/>
      </c>
      <c r="AB2217" s="17" t="str">
        <f aca="false">IF($D2217="","",IF(OR($R2217=TRUE(),$R2217="TRUE"),Settings!$C$6,Settings!$C$7)*100)</f>
        <v/>
      </c>
      <c r="AH2217" s="18" t="str">
        <f aca="false">IF($D2217="","",IF(COUNTIF($D$2:$D2217,$D2217)=1,1,0))</f>
        <v/>
      </c>
      <c r="AI2217" s="18" t="str">
        <f aca="false">IF($AH2217=1,SUMPRODUCT(--($AK$2:$AK$4001&lt;$AK2217))+1,"")</f>
        <v/>
      </c>
      <c r="AJ2217" s="18" t="str">
        <f aca="false">IF($D2217="","",IF(OR($R2217=TRUE(),$R2217="TRUE"),1,0))</f>
        <v/>
      </c>
      <c r="AK2217" s="18" t="str">
        <f aca="false">IF($AH2217=1,IFERROR(VALUE(MID($D2217,2,20)),1000000000)+ROW()/10000000,"")</f>
        <v/>
      </c>
    </row>
    <row r="2218" customFormat="false" ht="15" hidden="false" customHeight="false" outlineLevel="0" collapsed="false">
      <c r="F2218" s="15"/>
      <c r="N2218" s="16" t="str">
        <f aca="false">IF($D2218="","",M2218*Y2218/100)</f>
        <v/>
      </c>
      <c r="V2218" s="16" t="str">
        <f aca="false">IF($D2218="","",Y2218*AB2218/100)</f>
        <v/>
      </c>
      <c r="W2218" s="16" t="str">
        <f aca="false">IF($D2218="","",Y2218-V2218)</f>
        <v/>
      </c>
      <c r="X2218" s="16" t="str">
        <f aca="false">IF($D2218="","",W2218-N2218)</f>
        <v/>
      </c>
      <c r="AB2218" s="17" t="str">
        <f aca="false">IF($D2218="","",IF(OR($R2218=TRUE(),$R2218="TRUE"),Settings!$C$6,Settings!$C$7)*100)</f>
        <v/>
      </c>
      <c r="AH2218" s="18" t="str">
        <f aca="false">IF($D2218="","",IF(COUNTIF($D$2:$D2218,$D2218)=1,1,0))</f>
        <v/>
      </c>
      <c r="AI2218" s="18" t="str">
        <f aca="false">IF($AH2218=1,SUMPRODUCT(--($AK$2:$AK$4001&lt;$AK2218))+1,"")</f>
        <v/>
      </c>
      <c r="AJ2218" s="18" t="str">
        <f aca="false">IF($D2218="","",IF(OR($R2218=TRUE(),$R2218="TRUE"),1,0))</f>
        <v/>
      </c>
      <c r="AK2218" s="18" t="str">
        <f aca="false">IF($AH2218=1,IFERROR(VALUE(MID($D2218,2,20)),1000000000)+ROW()/10000000,"")</f>
        <v/>
      </c>
    </row>
    <row r="2219" customFormat="false" ht="15" hidden="false" customHeight="false" outlineLevel="0" collapsed="false">
      <c r="F2219" s="15"/>
      <c r="N2219" s="16" t="str">
        <f aca="false">IF($D2219="","",M2219*Y2219/100)</f>
        <v/>
      </c>
      <c r="V2219" s="16" t="str">
        <f aca="false">IF($D2219="","",Y2219*AB2219/100)</f>
        <v/>
      </c>
      <c r="W2219" s="16" t="str">
        <f aca="false">IF($D2219="","",Y2219-V2219)</f>
        <v/>
      </c>
      <c r="X2219" s="16" t="str">
        <f aca="false">IF($D2219="","",W2219-N2219)</f>
        <v/>
      </c>
      <c r="AB2219" s="17" t="str">
        <f aca="false">IF($D2219="","",IF(OR($R2219=TRUE(),$R2219="TRUE"),Settings!$C$6,Settings!$C$7)*100)</f>
        <v/>
      </c>
      <c r="AH2219" s="18" t="str">
        <f aca="false">IF($D2219="","",IF(COUNTIF($D$2:$D2219,$D2219)=1,1,0))</f>
        <v/>
      </c>
      <c r="AI2219" s="18" t="str">
        <f aca="false">IF($AH2219=1,SUMPRODUCT(--($AK$2:$AK$4001&lt;$AK2219))+1,"")</f>
        <v/>
      </c>
      <c r="AJ2219" s="18" t="str">
        <f aca="false">IF($D2219="","",IF(OR($R2219=TRUE(),$R2219="TRUE"),1,0))</f>
        <v/>
      </c>
      <c r="AK2219" s="18" t="str">
        <f aca="false">IF($AH2219=1,IFERROR(VALUE(MID($D2219,2,20)),1000000000)+ROW()/10000000,"")</f>
        <v/>
      </c>
    </row>
    <row r="2220" customFormat="false" ht="15" hidden="false" customHeight="false" outlineLevel="0" collapsed="false">
      <c r="F2220" s="15"/>
      <c r="N2220" s="16" t="str">
        <f aca="false">IF($D2220="","",M2220*Y2220/100)</f>
        <v/>
      </c>
      <c r="V2220" s="16" t="str">
        <f aca="false">IF($D2220="","",Y2220*AB2220/100)</f>
        <v/>
      </c>
      <c r="W2220" s="16" t="str">
        <f aca="false">IF($D2220="","",Y2220-V2220)</f>
        <v/>
      </c>
      <c r="X2220" s="16" t="str">
        <f aca="false">IF($D2220="","",W2220-N2220)</f>
        <v/>
      </c>
      <c r="AB2220" s="17" t="str">
        <f aca="false">IF($D2220="","",IF(OR($R2220=TRUE(),$R2220="TRUE"),Settings!$C$6,Settings!$C$7)*100)</f>
        <v/>
      </c>
      <c r="AH2220" s="18" t="str">
        <f aca="false">IF($D2220="","",IF(COUNTIF($D$2:$D2220,$D2220)=1,1,0))</f>
        <v/>
      </c>
      <c r="AI2220" s="18" t="str">
        <f aca="false">IF($AH2220=1,SUMPRODUCT(--($AK$2:$AK$4001&lt;$AK2220))+1,"")</f>
        <v/>
      </c>
      <c r="AJ2220" s="18" t="str">
        <f aca="false">IF($D2220="","",IF(OR($R2220=TRUE(),$R2220="TRUE"),1,0))</f>
        <v/>
      </c>
      <c r="AK2220" s="18" t="str">
        <f aca="false">IF($AH2220=1,IFERROR(VALUE(MID($D2220,2,20)),1000000000)+ROW()/10000000,"")</f>
        <v/>
      </c>
    </row>
    <row r="2221" customFormat="false" ht="15" hidden="false" customHeight="false" outlineLevel="0" collapsed="false">
      <c r="F2221" s="15"/>
      <c r="N2221" s="16" t="str">
        <f aca="false">IF($D2221="","",M2221*Y2221/100)</f>
        <v/>
      </c>
      <c r="V2221" s="16" t="str">
        <f aca="false">IF($D2221="","",Y2221*AB2221/100)</f>
        <v/>
      </c>
      <c r="W2221" s="16" t="str">
        <f aca="false">IF($D2221="","",Y2221-V2221)</f>
        <v/>
      </c>
      <c r="X2221" s="16" t="str">
        <f aca="false">IF($D2221="","",W2221-N2221)</f>
        <v/>
      </c>
      <c r="AB2221" s="17" t="str">
        <f aca="false">IF($D2221="","",IF(OR($R2221=TRUE(),$R2221="TRUE"),Settings!$C$6,Settings!$C$7)*100)</f>
        <v/>
      </c>
      <c r="AH2221" s="18" t="str">
        <f aca="false">IF($D2221="","",IF(COUNTIF($D$2:$D2221,$D2221)=1,1,0))</f>
        <v/>
      </c>
      <c r="AI2221" s="18" t="str">
        <f aca="false">IF($AH2221=1,SUMPRODUCT(--($AK$2:$AK$4001&lt;$AK2221))+1,"")</f>
        <v/>
      </c>
      <c r="AJ2221" s="18" t="str">
        <f aca="false">IF($D2221="","",IF(OR($R2221=TRUE(),$R2221="TRUE"),1,0))</f>
        <v/>
      </c>
      <c r="AK2221" s="18" t="str">
        <f aca="false">IF($AH2221=1,IFERROR(VALUE(MID($D2221,2,20)),1000000000)+ROW()/10000000,"")</f>
        <v/>
      </c>
    </row>
    <row r="2222" customFormat="false" ht="15" hidden="false" customHeight="false" outlineLevel="0" collapsed="false">
      <c r="F2222" s="15"/>
      <c r="N2222" s="16" t="str">
        <f aca="false">IF($D2222="","",M2222*Y2222/100)</f>
        <v/>
      </c>
      <c r="V2222" s="16" t="str">
        <f aca="false">IF($D2222="","",Y2222*AB2222/100)</f>
        <v/>
      </c>
      <c r="W2222" s="16" t="str">
        <f aca="false">IF($D2222="","",Y2222-V2222)</f>
        <v/>
      </c>
      <c r="X2222" s="16" t="str">
        <f aca="false">IF($D2222="","",W2222-N2222)</f>
        <v/>
      </c>
      <c r="AB2222" s="17" t="str">
        <f aca="false">IF($D2222="","",IF(OR($R2222=TRUE(),$R2222="TRUE"),Settings!$C$6,Settings!$C$7)*100)</f>
        <v/>
      </c>
      <c r="AH2222" s="18" t="str">
        <f aca="false">IF($D2222="","",IF(COUNTIF($D$2:$D2222,$D2222)=1,1,0))</f>
        <v/>
      </c>
      <c r="AI2222" s="18" t="str">
        <f aca="false">IF($AH2222=1,SUMPRODUCT(--($AK$2:$AK$4001&lt;$AK2222))+1,"")</f>
        <v/>
      </c>
      <c r="AJ2222" s="18" t="str">
        <f aca="false">IF($D2222="","",IF(OR($R2222=TRUE(),$R2222="TRUE"),1,0))</f>
        <v/>
      </c>
      <c r="AK2222" s="18" t="str">
        <f aca="false">IF($AH2222=1,IFERROR(VALUE(MID($D2222,2,20)),1000000000)+ROW()/10000000,"")</f>
        <v/>
      </c>
    </row>
    <row r="2223" customFormat="false" ht="15" hidden="false" customHeight="false" outlineLevel="0" collapsed="false">
      <c r="F2223" s="15"/>
      <c r="N2223" s="16" t="str">
        <f aca="false">IF($D2223="","",M2223*Y2223/100)</f>
        <v/>
      </c>
      <c r="V2223" s="16" t="str">
        <f aca="false">IF($D2223="","",Y2223*AB2223/100)</f>
        <v/>
      </c>
      <c r="W2223" s="16" t="str">
        <f aca="false">IF($D2223="","",Y2223-V2223)</f>
        <v/>
      </c>
      <c r="X2223" s="16" t="str">
        <f aca="false">IF($D2223="","",W2223-N2223)</f>
        <v/>
      </c>
      <c r="AB2223" s="17" t="str">
        <f aca="false">IF($D2223="","",IF(OR($R2223=TRUE(),$R2223="TRUE"),Settings!$C$6,Settings!$C$7)*100)</f>
        <v/>
      </c>
      <c r="AH2223" s="18" t="str">
        <f aca="false">IF($D2223="","",IF(COUNTIF($D$2:$D2223,$D2223)=1,1,0))</f>
        <v/>
      </c>
      <c r="AI2223" s="18" t="str">
        <f aca="false">IF($AH2223=1,SUMPRODUCT(--($AK$2:$AK$4001&lt;$AK2223))+1,"")</f>
        <v/>
      </c>
      <c r="AJ2223" s="18" t="str">
        <f aca="false">IF($D2223="","",IF(OR($R2223=TRUE(),$R2223="TRUE"),1,0))</f>
        <v/>
      </c>
      <c r="AK2223" s="18" t="str">
        <f aca="false">IF($AH2223=1,IFERROR(VALUE(MID($D2223,2,20)),1000000000)+ROW()/10000000,"")</f>
        <v/>
      </c>
    </row>
    <row r="2224" customFormat="false" ht="15" hidden="false" customHeight="false" outlineLevel="0" collapsed="false">
      <c r="F2224" s="15"/>
      <c r="N2224" s="16" t="str">
        <f aca="false">IF($D2224="","",M2224*Y2224/100)</f>
        <v/>
      </c>
      <c r="V2224" s="16" t="str">
        <f aca="false">IF($D2224="","",Y2224*AB2224/100)</f>
        <v/>
      </c>
      <c r="W2224" s="16" t="str">
        <f aca="false">IF($D2224="","",Y2224-V2224)</f>
        <v/>
      </c>
      <c r="X2224" s="16" t="str">
        <f aca="false">IF($D2224="","",W2224-N2224)</f>
        <v/>
      </c>
      <c r="AB2224" s="17" t="str">
        <f aca="false">IF($D2224="","",IF(OR($R2224=TRUE(),$R2224="TRUE"),Settings!$C$6,Settings!$C$7)*100)</f>
        <v/>
      </c>
      <c r="AH2224" s="18" t="str">
        <f aca="false">IF($D2224="","",IF(COUNTIF($D$2:$D2224,$D2224)=1,1,0))</f>
        <v/>
      </c>
      <c r="AI2224" s="18" t="str">
        <f aca="false">IF($AH2224=1,SUMPRODUCT(--($AK$2:$AK$4001&lt;$AK2224))+1,"")</f>
        <v/>
      </c>
      <c r="AJ2224" s="18" t="str">
        <f aca="false">IF($D2224="","",IF(OR($R2224=TRUE(),$R2224="TRUE"),1,0))</f>
        <v/>
      </c>
      <c r="AK2224" s="18" t="str">
        <f aca="false">IF($AH2224=1,IFERROR(VALUE(MID($D2224,2,20)),1000000000)+ROW()/10000000,"")</f>
        <v/>
      </c>
    </row>
    <row r="2225" customFormat="false" ht="15" hidden="false" customHeight="false" outlineLevel="0" collapsed="false">
      <c r="F2225" s="15"/>
      <c r="N2225" s="16" t="str">
        <f aca="false">IF($D2225="","",M2225*Y2225/100)</f>
        <v/>
      </c>
      <c r="V2225" s="16" t="str">
        <f aca="false">IF($D2225="","",Y2225*AB2225/100)</f>
        <v/>
      </c>
      <c r="W2225" s="16" t="str">
        <f aca="false">IF($D2225="","",Y2225-V2225)</f>
        <v/>
      </c>
      <c r="X2225" s="16" t="str">
        <f aca="false">IF($D2225="","",W2225-N2225)</f>
        <v/>
      </c>
      <c r="AB2225" s="17" t="str">
        <f aca="false">IF($D2225="","",IF(OR($R2225=TRUE(),$R2225="TRUE"),Settings!$C$6,Settings!$C$7)*100)</f>
        <v/>
      </c>
      <c r="AH2225" s="18" t="str">
        <f aca="false">IF($D2225="","",IF(COUNTIF($D$2:$D2225,$D2225)=1,1,0))</f>
        <v/>
      </c>
      <c r="AI2225" s="18" t="str">
        <f aca="false">IF($AH2225=1,SUMPRODUCT(--($AK$2:$AK$4001&lt;$AK2225))+1,"")</f>
        <v/>
      </c>
      <c r="AJ2225" s="18" t="str">
        <f aca="false">IF($D2225="","",IF(OR($R2225=TRUE(),$R2225="TRUE"),1,0))</f>
        <v/>
      </c>
      <c r="AK2225" s="18" t="str">
        <f aca="false">IF($AH2225=1,IFERROR(VALUE(MID($D2225,2,20)),1000000000)+ROW()/10000000,"")</f>
        <v/>
      </c>
    </row>
    <row r="2226" customFormat="false" ht="15" hidden="false" customHeight="false" outlineLevel="0" collapsed="false">
      <c r="F2226" s="15"/>
      <c r="N2226" s="16" t="str">
        <f aca="false">IF($D2226="","",M2226*Y2226/100)</f>
        <v/>
      </c>
      <c r="V2226" s="16" t="str">
        <f aca="false">IF($D2226="","",Y2226*AB2226/100)</f>
        <v/>
      </c>
      <c r="W2226" s="16" t="str">
        <f aca="false">IF($D2226="","",Y2226-V2226)</f>
        <v/>
      </c>
      <c r="X2226" s="16" t="str">
        <f aca="false">IF($D2226="","",W2226-N2226)</f>
        <v/>
      </c>
      <c r="AB2226" s="17" t="str">
        <f aca="false">IF($D2226="","",IF(OR($R2226=TRUE(),$R2226="TRUE"),Settings!$C$6,Settings!$C$7)*100)</f>
        <v/>
      </c>
      <c r="AH2226" s="18" t="str">
        <f aca="false">IF($D2226="","",IF(COUNTIF($D$2:$D2226,$D2226)=1,1,0))</f>
        <v/>
      </c>
      <c r="AI2226" s="18" t="str">
        <f aca="false">IF($AH2226=1,SUMPRODUCT(--($AK$2:$AK$4001&lt;$AK2226))+1,"")</f>
        <v/>
      </c>
      <c r="AJ2226" s="18" t="str">
        <f aca="false">IF($D2226="","",IF(OR($R2226=TRUE(),$R2226="TRUE"),1,0))</f>
        <v/>
      </c>
      <c r="AK2226" s="18" t="str">
        <f aca="false">IF($AH2226=1,IFERROR(VALUE(MID($D2226,2,20)),1000000000)+ROW()/10000000,"")</f>
        <v/>
      </c>
    </row>
    <row r="2227" customFormat="false" ht="15" hidden="false" customHeight="false" outlineLevel="0" collapsed="false">
      <c r="F2227" s="15"/>
      <c r="N2227" s="16" t="str">
        <f aca="false">IF($D2227="","",M2227*Y2227/100)</f>
        <v/>
      </c>
      <c r="V2227" s="16" t="str">
        <f aca="false">IF($D2227="","",Y2227*AB2227/100)</f>
        <v/>
      </c>
      <c r="W2227" s="16" t="str">
        <f aca="false">IF($D2227="","",Y2227-V2227)</f>
        <v/>
      </c>
      <c r="X2227" s="16" t="str">
        <f aca="false">IF($D2227="","",W2227-N2227)</f>
        <v/>
      </c>
      <c r="AB2227" s="17" t="str">
        <f aca="false">IF($D2227="","",IF(OR($R2227=TRUE(),$R2227="TRUE"),Settings!$C$6,Settings!$C$7)*100)</f>
        <v/>
      </c>
      <c r="AH2227" s="18" t="str">
        <f aca="false">IF($D2227="","",IF(COUNTIF($D$2:$D2227,$D2227)=1,1,0))</f>
        <v/>
      </c>
      <c r="AI2227" s="18" t="str">
        <f aca="false">IF($AH2227=1,SUMPRODUCT(--($AK$2:$AK$4001&lt;$AK2227))+1,"")</f>
        <v/>
      </c>
      <c r="AJ2227" s="18" t="str">
        <f aca="false">IF($D2227="","",IF(OR($R2227=TRUE(),$R2227="TRUE"),1,0))</f>
        <v/>
      </c>
      <c r="AK2227" s="18" t="str">
        <f aca="false">IF($AH2227=1,IFERROR(VALUE(MID($D2227,2,20)),1000000000)+ROW()/10000000,"")</f>
        <v/>
      </c>
    </row>
    <row r="2228" customFormat="false" ht="15" hidden="false" customHeight="false" outlineLevel="0" collapsed="false">
      <c r="F2228" s="15"/>
      <c r="N2228" s="16" t="str">
        <f aca="false">IF($D2228="","",M2228*Y2228/100)</f>
        <v/>
      </c>
      <c r="V2228" s="16" t="str">
        <f aca="false">IF($D2228="","",Y2228*AB2228/100)</f>
        <v/>
      </c>
      <c r="W2228" s="16" t="str">
        <f aca="false">IF($D2228="","",Y2228-V2228)</f>
        <v/>
      </c>
      <c r="X2228" s="16" t="str">
        <f aca="false">IF($D2228="","",W2228-N2228)</f>
        <v/>
      </c>
      <c r="AB2228" s="17" t="str">
        <f aca="false">IF($D2228="","",IF(OR($R2228=TRUE(),$R2228="TRUE"),Settings!$C$6,Settings!$C$7)*100)</f>
        <v/>
      </c>
      <c r="AH2228" s="18" t="str">
        <f aca="false">IF($D2228="","",IF(COUNTIF($D$2:$D2228,$D2228)=1,1,0))</f>
        <v/>
      </c>
      <c r="AI2228" s="18" t="str">
        <f aca="false">IF($AH2228=1,SUMPRODUCT(--($AK$2:$AK$4001&lt;$AK2228))+1,"")</f>
        <v/>
      </c>
      <c r="AJ2228" s="18" t="str">
        <f aca="false">IF($D2228="","",IF(OR($R2228=TRUE(),$R2228="TRUE"),1,0))</f>
        <v/>
      </c>
      <c r="AK2228" s="18" t="str">
        <f aca="false">IF($AH2228=1,IFERROR(VALUE(MID($D2228,2,20)),1000000000)+ROW()/10000000,"")</f>
        <v/>
      </c>
    </row>
    <row r="2229" customFormat="false" ht="15" hidden="false" customHeight="false" outlineLevel="0" collapsed="false">
      <c r="F2229" s="15"/>
      <c r="N2229" s="16" t="str">
        <f aca="false">IF($D2229="","",M2229*Y2229/100)</f>
        <v/>
      </c>
      <c r="V2229" s="16" t="str">
        <f aca="false">IF($D2229="","",Y2229*AB2229/100)</f>
        <v/>
      </c>
      <c r="W2229" s="16" t="str">
        <f aca="false">IF($D2229="","",Y2229-V2229)</f>
        <v/>
      </c>
      <c r="X2229" s="16" t="str">
        <f aca="false">IF($D2229="","",W2229-N2229)</f>
        <v/>
      </c>
      <c r="AB2229" s="17" t="str">
        <f aca="false">IF($D2229="","",IF(OR($R2229=TRUE(),$R2229="TRUE"),Settings!$C$6,Settings!$C$7)*100)</f>
        <v/>
      </c>
      <c r="AH2229" s="18" t="str">
        <f aca="false">IF($D2229="","",IF(COUNTIF($D$2:$D2229,$D2229)=1,1,0))</f>
        <v/>
      </c>
      <c r="AI2229" s="18" t="str">
        <f aca="false">IF($AH2229=1,SUMPRODUCT(--($AK$2:$AK$4001&lt;$AK2229))+1,"")</f>
        <v/>
      </c>
      <c r="AJ2229" s="18" t="str">
        <f aca="false">IF($D2229="","",IF(OR($R2229=TRUE(),$R2229="TRUE"),1,0))</f>
        <v/>
      </c>
      <c r="AK2229" s="18" t="str">
        <f aca="false">IF($AH2229=1,IFERROR(VALUE(MID($D2229,2,20)),1000000000)+ROW()/10000000,"")</f>
        <v/>
      </c>
    </row>
    <row r="2230" customFormat="false" ht="15" hidden="false" customHeight="false" outlineLevel="0" collapsed="false">
      <c r="F2230" s="15"/>
      <c r="N2230" s="16" t="str">
        <f aca="false">IF($D2230="","",M2230*Y2230/100)</f>
        <v/>
      </c>
      <c r="V2230" s="16" t="str">
        <f aca="false">IF($D2230="","",Y2230*AB2230/100)</f>
        <v/>
      </c>
      <c r="W2230" s="16" t="str">
        <f aca="false">IF($D2230="","",Y2230-V2230)</f>
        <v/>
      </c>
      <c r="X2230" s="16" t="str">
        <f aca="false">IF($D2230="","",W2230-N2230)</f>
        <v/>
      </c>
      <c r="AB2230" s="17" t="str">
        <f aca="false">IF($D2230="","",IF(OR($R2230=TRUE(),$R2230="TRUE"),Settings!$C$6,Settings!$C$7)*100)</f>
        <v/>
      </c>
      <c r="AH2230" s="18" t="str">
        <f aca="false">IF($D2230="","",IF(COUNTIF($D$2:$D2230,$D2230)=1,1,0))</f>
        <v/>
      </c>
      <c r="AI2230" s="18" t="str">
        <f aca="false">IF($AH2230=1,SUMPRODUCT(--($AK$2:$AK$4001&lt;$AK2230))+1,"")</f>
        <v/>
      </c>
      <c r="AJ2230" s="18" t="str">
        <f aca="false">IF($D2230="","",IF(OR($R2230=TRUE(),$R2230="TRUE"),1,0))</f>
        <v/>
      </c>
      <c r="AK2230" s="18" t="str">
        <f aca="false">IF($AH2230=1,IFERROR(VALUE(MID($D2230,2,20)),1000000000)+ROW()/10000000,"")</f>
        <v/>
      </c>
    </row>
    <row r="2231" customFormat="false" ht="15" hidden="false" customHeight="false" outlineLevel="0" collapsed="false">
      <c r="F2231" s="15"/>
      <c r="N2231" s="16" t="str">
        <f aca="false">IF($D2231="","",M2231*Y2231/100)</f>
        <v/>
      </c>
      <c r="V2231" s="16" t="str">
        <f aca="false">IF($D2231="","",Y2231*AB2231/100)</f>
        <v/>
      </c>
      <c r="W2231" s="16" t="str">
        <f aca="false">IF($D2231="","",Y2231-V2231)</f>
        <v/>
      </c>
      <c r="X2231" s="16" t="str">
        <f aca="false">IF($D2231="","",W2231-N2231)</f>
        <v/>
      </c>
      <c r="AB2231" s="17" t="str">
        <f aca="false">IF($D2231="","",IF(OR($R2231=TRUE(),$R2231="TRUE"),Settings!$C$6,Settings!$C$7)*100)</f>
        <v/>
      </c>
      <c r="AH2231" s="18" t="str">
        <f aca="false">IF($D2231="","",IF(COUNTIF($D$2:$D2231,$D2231)=1,1,0))</f>
        <v/>
      </c>
      <c r="AI2231" s="18" t="str">
        <f aca="false">IF($AH2231=1,SUMPRODUCT(--($AK$2:$AK$4001&lt;$AK2231))+1,"")</f>
        <v/>
      </c>
      <c r="AJ2231" s="18" t="str">
        <f aca="false">IF($D2231="","",IF(OR($R2231=TRUE(),$R2231="TRUE"),1,0))</f>
        <v/>
      </c>
      <c r="AK2231" s="18" t="str">
        <f aca="false">IF($AH2231=1,IFERROR(VALUE(MID($D2231,2,20)),1000000000)+ROW()/10000000,"")</f>
        <v/>
      </c>
    </row>
    <row r="2232" customFormat="false" ht="15" hidden="false" customHeight="false" outlineLevel="0" collapsed="false">
      <c r="F2232" s="15"/>
      <c r="N2232" s="16" t="str">
        <f aca="false">IF($D2232="","",M2232*Y2232/100)</f>
        <v/>
      </c>
      <c r="V2232" s="16" t="str">
        <f aca="false">IF($D2232="","",Y2232*AB2232/100)</f>
        <v/>
      </c>
      <c r="W2232" s="16" t="str">
        <f aca="false">IF($D2232="","",Y2232-V2232)</f>
        <v/>
      </c>
      <c r="X2232" s="16" t="str">
        <f aca="false">IF($D2232="","",W2232-N2232)</f>
        <v/>
      </c>
      <c r="AB2232" s="17" t="str">
        <f aca="false">IF($D2232="","",IF(OR($R2232=TRUE(),$R2232="TRUE"),Settings!$C$6,Settings!$C$7)*100)</f>
        <v/>
      </c>
      <c r="AH2232" s="18" t="str">
        <f aca="false">IF($D2232="","",IF(COUNTIF($D$2:$D2232,$D2232)=1,1,0))</f>
        <v/>
      </c>
      <c r="AI2232" s="18" t="str">
        <f aca="false">IF($AH2232=1,SUMPRODUCT(--($AK$2:$AK$4001&lt;$AK2232))+1,"")</f>
        <v/>
      </c>
      <c r="AJ2232" s="18" t="str">
        <f aca="false">IF($D2232="","",IF(OR($R2232=TRUE(),$R2232="TRUE"),1,0))</f>
        <v/>
      </c>
      <c r="AK2232" s="18" t="str">
        <f aca="false">IF($AH2232=1,IFERROR(VALUE(MID($D2232,2,20)),1000000000)+ROW()/10000000,"")</f>
        <v/>
      </c>
    </row>
    <row r="2233" customFormat="false" ht="15" hidden="false" customHeight="false" outlineLevel="0" collapsed="false">
      <c r="F2233" s="15"/>
      <c r="N2233" s="16" t="str">
        <f aca="false">IF($D2233="","",M2233*Y2233/100)</f>
        <v/>
      </c>
      <c r="V2233" s="16" t="str">
        <f aca="false">IF($D2233="","",Y2233*AB2233/100)</f>
        <v/>
      </c>
      <c r="W2233" s="16" t="str">
        <f aca="false">IF($D2233="","",Y2233-V2233)</f>
        <v/>
      </c>
      <c r="X2233" s="16" t="str">
        <f aca="false">IF($D2233="","",W2233-N2233)</f>
        <v/>
      </c>
      <c r="AB2233" s="17" t="str">
        <f aca="false">IF($D2233="","",IF(OR($R2233=TRUE(),$R2233="TRUE"),Settings!$C$6,Settings!$C$7)*100)</f>
        <v/>
      </c>
      <c r="AH2233" s="18" t="str">
        <f aca="false">IF($D2233="","",IF(COUNTIF($D$2:$D2233,$D2233)=1,1,0))</f>
        <v/>
      </c>
      <c r="AI2233" s="18" t="str">
        <f aca="false">IF($AH2233=1,SUMPRODUCT(--($AK$2:$AK$4001&lt;$AK2233))+1,"")</f>
        <v/>
      </c>
      <c r="AJ2233" s="18" t="str">
        <f aca="false">IF($D2233="","",IF(OR($R2233=TRUE(),$R2233="TRUE"),1,0))</f>
        <v/>
      </c>
      <c r="AK2233" s="18" t="str">
        <f aca="false">IF($AH2233=1,IFERROR(VALUE(MID($D2233,2,20)),1000000000)+ROW()/10000000,"")</f>
        <v/>
      </c>
    </row>
    <row r="2234" customFormat="false" ht="15" hidden="false" customHeight="false" outlineLevel="0" collapsed="false">
      <c r="F2234" s="15"/>
      <c r="N2234" s="16" t="str">
        <f aca="false">IF($D2234="","",M2234*Y2234/100)</f>
        <v/>
      </c>
      <c r="V2234" s="16" t="str">
        <f aca="false">IF($D2234="","",Y2234*AB2234/100)</f>
        <v/>
      </c>
      <c r="W2234" s="16" t="str">
        <f aca="false">IF($D2234="","",Y2234-V2234)</f>
        <v/>
      </c>
      <c r="X2234" s="16" t="str">
        <f aca="false">IF($D2234="","",W2234-N2234)</f>
        <v/>
      </c>
      <c r="AB2234" s="17" t="str">
        <f aca="false">IF($D2234="","",IF(OR($R2234=TRUE(),$R2234="TRUE"),Settings!$C$6,Settings!$C$7)*100)</f>
        <v/>
      </c>
      <c r="AH2234" s="18" t="str">
        <f aca="false">IF($D2234="","",IF(COUNTIF($D$2:$D2234,$D2234)=1,1,0))</f>
        <v/>
      </c>
      <c r="AI2234" s="18" t="str">
        <f aca="false">IF($AH2234=1,SUMPRODUCT(--($AK$2:$AK$4001&lt;$AK2234))+1,"")</f>
        <v/>
      </c>
      <c r="AJ2234" s="18" t="str">
        <f aca="false">IF($D2234="","",IF(OR($R2234=TRUE(),$R2234="TRUE"),1,0))</f>
        <v/>
      </c>
      <c r="AK2234" s="18" t="str">
        <f aca="false">IF($AH2234=1,IFERROR(VALUE(MID($D2234,2,20)),1000000000)+ROW()/10000000,"")</f>
        <v/>
      </c>
    </row>
    <row r="2235" customFormat="false" ht="15" hidden="false" customHeight="false" outlineLevel="0" collapsed="false">
      <c r="F2235" s="15"/>
      <c r="N2235" s="16" t="str">
        <f aca="false">IF($D2235="","",M2235*Y2235/100)</f>
        <v/>
      </c>
      <c r="V2235" s="16" t="str">
        <f aca="false">IF($D2235="","",Y2235*AB2235/100)</f>
        <v/>
      </c>
      <c r="W2235" s="16" t="str">
        <f aca="false">IF($D2235="","",Y2235-V2235)</f>
        <v/>
      </c>
      <c r="X2235" s="16" t="str">
        <f aca="false">IF($D2235="","",W2235-N2235)</f>
        <v/>
      </c>
      <c r="AB2235" s="17" t="str">
        <f aca="false">IF($D2235="","",IF(OR($R2235=TRUE(),$R2235="TRUE"),Settings!$C$6,Settings!$C$7)*100)</f>
        <v/>
      </c>
      <c r="AH2235" s="18" t="str">
        <f aca="false">IF($D2235="","",IF(COUNTIF($D$2:$D2235,$D2235)=1,1,0))</f>
        <v/>
      </c>
      <c r="AI2235" s="18" t="str">
        <f aca="false">IF($AH2235=1,SUMPRODUCT(--($AK$2:$AK$4001&lt;$AK2235))+1,"")</f>
        <v/>
      </c>
      <c r="AJ2235" s="18" t="str">
        <f aca="false">IF($D2235="","",IF(OR($R2235=TRUE(),$R2235="TRUE"),1,0))</f>
        <v/>
      </c>
      <c r="AK2235" s="18" t="str">
        <f aca="false">IF($AH2235=1,IFERROR(VALUE(MID($D2235,2,20)),1000000000)+ROW()/10000000,"")</f>
        <v/>
      </c>
    </row>
    <row r="2236" customFormat="false" ht="15" hidden="false" customHeight="false" outlineLevel="0" collapsed="false">
      <c r="F2236" s="15"/>
      <c r="N2236" s="16" t="str">
        <f aca="false">IF($D2236="","",M2236*Y2236/100)</f>
        <v/>
      </c>
      <c r="V2236" s="16" t="str">
        <f aca="false">IF($D2236="","",Y2236*AB2236/100)</f>
        <v/>
      </c>
      <c r="W2236" s="16" t="str">
        <f aca="false">IF($D2236="","",Y2236-V2236)</f>
        <v/>
      </c>
      <c r="X2236" s="16" t="str">
        <f aca="false">IF($D2236="","",W2236-N2236)</f>
        <v/>
      </c>
      <c r="AB2236" s="17" t="str">
        <f aca="false">IF($D2236="","",IF(OR($R2236=TRUE(),$R2236="TRUE"),Settings!$C$6,Settings!$C$7)*100)</f>
        <v/>
      </c>
      <c r="AH2236" s="18" t="str">
        <f aca="false">IF($D2236="","",IF(COUNTIF($D$2:$D2236,$D2236)=1,1,0))</f>
        <v/>
      </c>
      <c r="AI2236" s="18" t="str">
        <f aca="false">IF($AH2236=1,SUMPRODUCT(--($AK$2:$AK$4001&lt;$AK2236))+1,"")</f>
        <v/>
      </c>
      <c r="AJ2236" s="18" t="str">
        <f aca="false">IF($D2236="","",IF(OR($R2236=TRUE(),$R2236="TRUE"),1,0))</f>
        <v/>
      </c>
      <c r="AK2236" s="18" t="str">
        <f aca="false">IF($AH2236=1,IFERROR(VALUE(MID($D2236,2,20)),1000000000)+ROW()/10000000,"")</f>
        <v/>
      </c>
    </row>
    <row r="2237" customFormat="false" ht="15" hidden="false" customHeight="false" outlineLevel="0" collapsed="false">
      <c r="F2237" s="15"/>
      <c r="N2237" s="16" t="str">
        <f aca="false">IF($D2237="","",M2237*Y2237/100)</f>
        <v/>
      </c>
      <c r="V2237" s="16" t="str">
        <f aca="false">IF($D2237="","",Y2237*AB2237/100)</f>
        <v/>
      </c>
      <c r="W2237" s="16" t="str">
        <f aca="false">IF($D2237="","",Y2237-V2237)</f>
        <v/>
      </c>
      <c r="X2237" s="16" t="str">
        <f aca="false">IF($D2237="","",W2237-N2237)</f>
        <v/>
      </c>
      <c r="AB2237" s="17" t="str">
        <f aca="false">IF($D2237="","",IF(OR($R2237=TRUE(),$R2237="TRUE"),Settings!$C$6,Settings!$C$7)*100)</f>
        <v/>
      </c>
      <c r="AH2237" s="18" t="str">
        <f aca="false">IF($D2237="","",IF(COUNTIF($D$2:$D2237,$D2237)=1,1,0))</f>
        <v/>
      </c>
      <c r="AI2237" s="18" t="str">
        <f aca="false">IF($AH2237=1,SUMPRODUCT(--($AK$2:$AK$4001&lt;$AK2237))+1,"")</f>
        <v/>
      </c>
      <c r="AJ2237" s="18" t="str">
        <f aca="false">IF($D2237="","",IF(OR($R2237=TRUE(),$R2237="TRUE"),1,0))</f>
        <v/>
      </c>
      <c r="AK2237" s="18" t="str">
        <f aca="false">IF($AH2237=1,IFERROR(VALUE(MID($D2237,2,20)),1000000000)+ROW()/10000000,"")</f>
        <v/>
      </c>
    </row>
    <row r="2238" customFormat="false" ht="15" hidden="false" customHeight="false" outlineLevel="0" collapsed="false">
      <c r="F2238" s="15"/>
      <c r="N2238" s="16" t="str">
        <f aca="false">IF($D2238="","",M2238*Y2238/100)</f>
        <v/>
      </c>
      <c r="V2238" s="16" t="str">
        <f aca="false">IF($D2238="","",Y2238*AB2238/100)</f>
        <v/>
      </c>
      <c r="W2238" s="16" t="str">
        <f aca="false">IF($D2238="","",Y2238-V2238)</f>
        <v/>
      </c>
      <c r="X2238" s="16" t="str">
        <f aca="false">IF($D2238="","",W2238-N2238)</f>
        <v/>
      </c>
      <c r="AB2238" s="17" t="str">
        <f aca="false">IF($D2238="","",IF(OR($R2238=TRUE(),$R2238="TRUE"),Settings!$C$6,Settings!$C$7)*100)</f>
        <v/>
      </c>
      <c r="AH2238" s="18" t="str">
        <f aca="false">IF($D2238="","",IF(COUNTIF($D$2:$D2238,$D2238)=1,1,0))</f>
        <v/>
      </c>
      <c r="AI2238" s="18" t="str">
        <f aca="false">IF($AH2238=1,SUMPRODUCT(--($AK$2:$AK$4001&lt;$AK2238))+1,"")</f>
        <v/>
      </c>
      <c r="AJ2238" s="18" t="str">
        <f aca="false">IF($D2238="","",IF(OR($R2238=TRUE(),$R2238="TRUE"),1,0))</f>
        <v/>
      </c>
      <c r="AK2238" s="18" t="str">
        <f aca="false">IF($AH2238=1,IFERROR(VALUE(MID($D2238,2,20)),1000000000)+ROW()/10000000,"")</f>
        <v/>
      </c>
    </row>
    <row r="2239" customFormat="false" ht="15" hidden="false" customHeight="false" outlineLevel="0" collapsed="false">
      <c r="F2239" s="15"/>
      <c r="N2239" s="16" t="str">
        <f aca="false">IF($D2239="","",M2239*Y2239/100)</f>
        <v/>
      </c>
      <c r="V2239" s="16" t="str">
        <f aca="false">IF($D2239="","",Y2239*AB2239/100)</f>
        <v/>
      </c>
      <c r="W2239" s="16" t="str">
        <f aca="false">IF($D2239="","",Y2239-V2239)</f>
        <v/>
      </c>
      <c r="X2239" s="16" t="str">
        <f aca="false">IF($D2239="","",W2239-N2239)</f>
        <v/>
      </c>
      <c r="AB2239" s="17" t="str">
        <f aca="false">IF($D2239="","",IF(OR($R2239=TRUE(),$R2239="TRUE"),Settings!$C$6,Settings!$C$7)*100)</f>
        <v/>
      </c>
      <c r="AH2239" s="18" t="str">
        <f aca="false">IF($D2239="","",IF(COUNTIF($D$2:$D2239,$D2239)=1,1,0))</f>
        <v/>
      </c>
      <c r="AI2239" s="18" t="str">
        <f aca="false">IF($AH2239=1,SUMPRODUCT(--($AK$2:$AK$4001&lt;$AK2239))+1,"")</f>
        <v/>
      </c>
      <c r="AJ2239" s="18" t="str">
        <f aca="false">IF($D2239="","",IF(OR($R2239=TRUE(),$R2239="TRUE"),1,0))</f>
        <v/>
      </c>
      <c r="AK2239" s="18" t="str">
        <f aca="false">IF($AH2239=1,IFERROR(VALUE(MID($D2239,2,20)),1000000000)+ROW()/10000000,"")</f>
        <v/>
      </c>
    </row>
    <row r="2240" customFormat="false" ht="15" hidden="false" customHeight="false" outlineLevel="0" collapsed="false">
      <c r="F2240" s="15"/>
      <c r="N2240" s="16" t="str">
        <f aca="false">IF($D2240="","",M2240*Y2240/100)</f>
        <v/>
      </c>
      <c r="V2240" s="16" t="str">
        <f aca="false">IF($D2240="","",Y2240*AB2240/100)</f>
        <v/>
      </c>
      <c r="W2240" s="16" t="str">
        <f aca="false">IF($D2240="","",Y2240-V2240)</f>
        <v/>
      </c>
      <c r="X2240" s="16" t="str">
        <f aca="false">IF($D2240="","",W2240-N2240)</f>
        <v/>
      </c>
      <c r="AB2240" s="17" t="str">
        <f aca="false">IF($D2240="","",IF(OR($R2240=TRUE(),$R2240="TRUE"),Settings!$C$6,Settings!$C$7)*100)</f>
        <v/>
      </c>
      <c r="AH2240" s="18" t="str">
        <f aca="false">IF($D2240="","",IF(COUNTIF($D$2:$D2240,$D2240)=1,1,0))</f>
        <v/>
      </c>
      <c r="AI2240" s="18" t="str">
        <f aca="false">IF($AH2240=1,SUMPRODUCT(--($AK$2:$AK$4001&lt;$AK2240))+1,"")</f>
        <v/>
      </c>
      <c r="AJ2240" s="18" t="str">
        <f aca="false">IF($D2240="","",IF(OR($R2240=TRUE(),$R2240="TRUE"),1,0))</f>
        <v/>
      </c>
      <c r="AK2240" s="18" t="str">
        <f aca="false">IF($AH2240=1,IFERROR(VALUE(MID($D2240,2,20)),1000000000)+ROW()/10000000,"")</f>
        <v/>
      </c>
    </row>
    <row r="2241" customFormat="false" ht="15" hidden="false" customHeight="false" outlineLevel="0" collapsed="false">
      <c r="F2241" s="15"/>
      <c r="N2241" s="16" t="str">
        <f aca="false">IF($D2241="","",M2241*Y2241/100)</f>
        <v/>
      </c>
      <c r="V2241" s="16" t="str">
        <f aca="false">IF($D2241="","",Y2241*AB2241/100)</f>
        <v/>
      </c>
      <c r="W2241" s="16" t="str">
        <f aca="false">IF($D2241="","",Y2241-V2241)</f>
        <v/>
      </c>
      <c r="X2241" s="16" t="str">
        <f aca="false">IF($D2241="","",W2241-N2241)</f>
        <v/>
      </c>
      <c r="AB2241" s="17" t="str">
        <f aca="false">IF($D2241="","",IF(OR($R2241=TRUE(),$R2241="TRUE"),Settings!$C$6,Settings!$C$7)*100)</f>
        <v/>
      </c>
      <c r="AH2241" s="18" t="str">
        <f aca="false">IF($D2241="","",IF(COUNTIF($D$2:$D2241,$D2241)=1,1,0))</f>
        <v/>
      </c>
      <c r="AI2241" s="18" t="str">
        <f aca="false">IF($AH2241=1,SUMPRODUCT(--($AK$2:$AK$4001&lt;$AK2241))+1,"")</f>
        <v/>
      </c>
      <c r="AJ2241" s="18" t="str">
        <f aca="false">IF($D2241="","",IF(OR($R2241=TRUE(),$R2241="TRUE"),1,0))</f>
        <v/>
      </c>
      <c r="AK2241" s="18" t="str">
        <f aca="false">IF($AH2241=1,IFERROR(VALUE(MID($D2241,2,20)),1000000000)+ROW()/10000000,"")</f>
        <v/>
      </c>
    </row>
    <row r="2242" customFormat="false" ht="15" hidden="false" customHeight="false" outlineLevel="0" collapsed="false">
      <c r="F2242" s="15"/>
      <c r="N2242" s="16" t="str">
        <f aca="false">IF($D2242="","",M2242*Y2242/100)</f>
        <v/>
      </c>
      <c r="V2242" s="16" t="str">
        <f aca="false">IF($D2242="","",Y2242*AB2242/100)</f>
        <v/>
      </c>
      <c r="W2242" s="16" t="str">
        <f aca="false">IF($D2242="","",Y2242-V2242)</f>
        <v/>
      </c>
      <c r="X2242" s="16" t="str">
        <f aca="false">IF($D2242="","",W2242-N2242)</f>
        <v/>
      </c>
      <c r="AB2242" s="17" t="str">
        <f aca="false">IF($D2242="","",IF(OR($R2242=TRUE(),$R2242="TRUE"),Settings!$C$6,Settings!$C$7)*100)</f>
        <v/>
      </c>
      <c r="AH2242" s="18" t="str">
        <f aca="false">IF($D2242="","",IF(COUNTIF($D$2:$D2242,$D2242)=1,1,0))</f>
        <v/>
      </c>
      <c r="AI2242" s="18" t="str">
        <f aca="false">IF($AH2242=1,SUMPRODUCT(--($AK$2:$AK$4001&lt;$AK2242))+1,"")</f>
        <v/>
      </c>
      <c r="AJ2242" s="18" t="str">
        <f aca="false">IF($D2242="","",IF(OR($R2242=TRUE(),$R2242="TRUE"),1,0))</f>
        <v/>
      </c>
      <c r="AK2242" s="18" t="str">
        <f aca="false">IF($AH2242=1,IFERROR(VALUE(MID($D2242,2,20)),1000000000)+ROW()/10000000,"")</f>
        <v/>
      </c>
    </row>
    <row r="2243" customFormat="false" ht="15" hidden="false" customHeight="false" outlineLevel="0" collapsed="false">
      <c r="F2243" s="15"/>
      <c r="N2243" s="16" t="str">
        <f aca="false">IF($D2243="","",M2243*Y2243/100)</f>
        <v/>
      </c>
      <c r="V2243" s="16" t="str">
        <f aca="false">IF($D2243="","",Y2243*AB2243/100)</f>
        <v/>
      </c>
      <c r="W2243" s="16" t="str">
        <f aca="false">IF($D2243="","",Y2243-V2243)</f>
        <v/>
      </c>
      <c r="X2243" s="16" t="str">
        <f aca="false">IF($D2243="","",W2243-N2243)</f>
        <v/>
      </c>
      <c r="AB2243" s="17" t="str">
        <f aca="false">IF($D2243="","",IF(OR($R2243=TRUE(),$R2243="TRUE"),Settings!$C$6,Settings!$C$7)*100)</f>
        <v/>
      </c>
      <c r="AH2243" s="18" t="str">
        <f aca="false">IF($D2243="","",IF(COUNTIF($D$2:$D2243,$D2243)=1,1,0))</f>
        <v/>
      </c>
      <c r="AI2243" s="18" t="str">
        <f aca="false">IF($AH2243=1,SUMPRODUCT(--($AK$2:$AK$4001&lt;$AK2243))+1,"")</f>
        <v/>
      </c>
      <c r="AJ2243" s="18" t="str">
        <f aca="false">IF($D2243="","",IF(OR($R2243=TRUE(),$R2243="TRUE"),1,0))</f>
        <v/>
      </c>
      <c r="AK2243" s="18" t="str">
        <f aca="false">IF($AH2243=1,IFERROR(VALUE(MID($D2243,2,20)),1000000000)+ROW()/10000000,"")</f>
        <v/>
      </c>
    </row>
    <row r="2244" customFormat="false" ht="15" hidden="false" customHeight="false" outlineLevel="0" collapsed="false">
      <c r="F2244" s="15"/>
      <c r="N2244" s="16" t="str">
        <f aca="false">IF($D2244="","",M2244*Y2244/100)</f>
        <v/>
      </c>
      <c r="V2244" s="16" t="str">
        <f aca="false">IF($D2244="","",Y2244*AB2244/100)</f>
        <v/>
      </c>
      <c r="W2244" s="16" t="str">
        <f aca="false">IF($D2244="","",Y2244-V2244)</f>
        <v/>
      </c>
      <c r="X2244" s="16" t="str">
        <f aca="false">IF($D2244="","",W2244-N2244)</f>
        <v/>
      </c>
      <c r="AB2244" s="17" t="str">
        <f aca="false">IF($D2244="","",IF(OR($R2244=TRUE(),$R2244="TRUE"),Settings!$C$6,Settings!$C$7)*100)</f>
        <v/>
      </c>
      <c r="AH2244" s="18" t="str">
        <f aca="false">IF($D2244="","",IF(COUNTIF($D$2:$D2244,$D2244)=1,1,0))</f>
        <v/>
      </c>
      <c r="AI2244" s="18" t="str">
        <f aca="false">IF($AH2244=1,SUMPRODUCT(--($AK$2:$AK$4001&lt;$AK2244))+1,"")</f>
        <v/>
      </c>
      <c r="AJ2244" s="18" t="str">
        <f aca="false">IF($D2244="","",IF(OR($R2244=TRUE(),$R2244="TRUE"),1,0))</f>
        <v/>
      </c>
      <c r="AK2244" s="18" t="str">
        <f aca="false">IF($AH2244=1,IFERROR(VALUE(MID($D2244,2,20)),1000000000)+ROW()/10000000,"")</f>
        <v/>
      </c>
    </row>
    <row r="2245" customFormat="false" ht="15" hidden="false" customHeight="false" outlineLevel="0" collapsed="false">
      <c r="F2245" s="15"/>
      <c r="N2245" s="16" t="str">
        <f aca="false">IF($D2245="","",M2245*Y2245/100)</f>
        <v/>
      </c>
      <c r="V2245" s="16" t="str">
        <f aca="false">IF($D2245="","",Y2245*AB2245/100)</f>
        <v/>
      </c>
      <c r="W2245" s="16" t="str">
        <f aca="false">IF($D2245="","",Y2245-V2245)</f>
        <v/>
      </c>
      <c r="X2245" s="16" t="str">
        <f aca="false">IF($D2245="","",W2245-N2245)</f>
        <v/>
      </c>
      <c r="AB2245" s="17" t="str">
        <f aca="false">IF($D2245="","",IF(OR($R2245=TRUE(),$R2245="TRUE"),Settings!$C$6,Settings!$C$7)*100)</f>
        <v/>
      </c>
      <c r="AH2245" s="18" t="str">
        <f aca="false">IF($D2245="","",IF(COUNTIF($D$2:$D2245,$D2245)=1,1,0))</f>
        <v/>
      </c>
      <c r="AI2245" s="18" t="str">
        <f aca="false">IF($AH2245=1,SUMPRODUCT(--($AK$2:$AK$4001&lt;$AK2245))+1,"")</f>
        <v/>
      </c>
      <c r="AJ2245" s="18" t="str">
        <f aca="false">IF($D2245="","",IF(OR($R2245=TRUE(),$R2245="TRUE"),1,0))</f>
        <v/>
      </c>
      <c r="AK2245" s="18" t="str">
        <f aca="false">IF($AH2245=1,IFERROR(VALUE(MID($D2245,2,20)),1000000000)+ROW()/10000000,"")</f>
        <v/>
      </c>
    </row>
    <row r="2246" customFormat="false" ht="15" hidden="false" customHeight="false" outlineLevel="0" collapsed="false">
      <c r="F2246" s="15"/>
      <c r="N2246" s="16" t="str">
        <f aca="false">IF($D2246="","",M2246*Y2246/100)</f>
        <v/>
      </c>
      <c r="V2246" s="16" t="str">
        <f aca="false">IF($D2246="","",Y2246*AB2246/100)</f>
        <v/>
      </c>
      <c r="W2246" s="16" t="str">
        <f aca="false">IF($D2246="","",Y2246-V2246)</f>
        <v/>
      </c>
      <c r="X2246" s="16" t="str">
        <f aca="false">IF($D2246="","",W2246-N2246)</f>
        <v/>
      </c>
      <c r="AB2246" s="17" t="str">
        <f aca="false">IF($D2246="","",IF(OR($R2246=TRUE(),$R2246="TRUE"),Settings!$C$6,Settings!$C$7)*100)</f>
        <v/>
      </c>
      <c r="AH2246" s="18" t="str">
        <f aca="false">IF($D2246="","",IF(COUNTIF($D$2:$D2246,$D2246)=1,1,0))</f>
        <v/>
      </c>
      <c r="AI2246" s="18" t="str">
        <f aca="false">IF($AH2246=1,SUMPRODUCT(--($AK$2:$AK$4001&lt;$AK2246))+1,"")</f>
        <v/>
      </c>
      <c r="AJ2246" s="18" t="str">
        <f aca="false">IF($D2246="","",IF(OR($R2246=TRUE(),$R2246="TRUE"),1,0))</f>
        <v/>
      </c>
      <c r="AK2246" s="18" t="str">
        <f aca="false">IF($AH2246=1,IFERROR(VALUE(MID($D2246,2,20)),1000000000)+ROW()/10000000,"")</f>
        <v/>
      </c>
    </row>
    <row r="2247" customFormat="false" ht="15" hidden="false" customHeight="false" outlineLevel="0" collapsed="false">
      <c r="F2247" s="15"/>
      <c r="N2247" s="16" t="str">
        <f aca="false">IF($D2247="","",M2247*Y2247/100)</f>
        <v/>
      </c>
      <c r="V2247" s="16" t="str">
        <f aca="false">IF($D2247="","",Y2247*AB2247/100)</f>
        <v/>
      </c>
      <c r="W2247" s="16" t="str">
        <f aca="false">IF($D2247="","",Y2247-V2247)</f>
        <v/>
      </c>
      <c r="X2247" s="16" t="str">
        <f aca="false">IF($D2247="","",W2247-N2247)</f>
        <v/>
      </c>
      <c r="AB2247" s="17" t="str">
        <f aca="false">IF($D2247="","",IF(OR($R2247=TRUE(),$R2247="TRUE"),Settings!$C$6,Settings!$C$7)*100)</f>
        <v/>
      </c>
      <c r="AH2247" s="18" t="str">
        <f aca="false">IF($D2247="","",IF(COUNTIF($D$2:$D2247,$D2247)=1,1,0))</f>
        <v/>
      </c>
      <c r="AI2247" s="18" t="str">
        <f aca="false">IF($AH2247=1,SUMPRODUCT(--($AK$2:$AK$4001&lt;$AK2247))+1,"")</f>
        <v/>
      </c>
      <c r="AJ2247" s="18" t="str">
        <f aca="false">IF($D2247="","",IF(OR($R2247=TRUE(),$R2247="TRUE"),1,0))</f>
        <v/>
      </c>
      <c r="AK2247" s="18" t="str">
        <f aca="false">IF($AH2247=1,IFERROR(VALUE(MID($D2247,2,20)),1000000000)+ROW()/10000000,"")</f>
        <v/>
      </c>
    </row>
    <row r="2248" customFormat="false" ht="15" hidden="false" customHeight="false" outlineLevel="0" collapsed="false">
      <c r="F2248" s="15"/>
      <c r="N2248" s="16" t="str">
        <f aca="false">IF($D2248="","",M2248*Y2248/100)</f>
        <v/>
      </c>
      <c r="V2248" s="16" t="str">
        <f aca="false">IF($D2248="","",Y2248*AB2248/100)</f>
        <v/>
      </c>
      <c r="W2248" s="16" t="str">
        <f aca="false">IF($D2248="","",Y2248-V2248)</f>
        <v/>
      </c>
      <c r="X2248" s="16" t="str">
        <f aca="false">IF($D2248="","",W2248-N2248)</f>
        <v/>
      </c>
      <c r="AB2248" s="17" t="str">
        <f aca="false">IF($D2248="","",IF(OR($R2248=TRUE(),$R2248="TRUE"),Settings!$C$6,Settings!$C$7)*100)</f>
        <v/>
      </c>
      <c r="AH2248" s="18" t="str">
        <f aca="false">IF($D2248="","",IF(COUNTIF($D$2:$D2248,$D2248)=1,1,0))</f>
        <v/>
      </c>
      <c r="AI2248" s="18" t="str">
        <f aca="false">IF($AH2248=1,SUMPRODUCT(--($AK$2:$AK$4001&lt;$AK2248))+1,"")</f>
        <v/>
      </c>
      <c r="AJ2248" s="18" t="str">
        <f aca="false">IF($D2248="","",IF(OR($R2248=TRUE(),$R2248="TRUE"),1,0))</f>
        <v/>
      </c>
      <c r="AK2248" s="18" t="str">
        <f aca="false">IF($AH2248=1,IFERROR(VALUE(MID($D2248,2,20)),1000000000)+ROW()/10000000,"")</f>
        <v/>
      </c>
    </row>
    <row r="2249" customFormat="false" ht="15" hidden="false" customHeight="false" outlineLevel="0" collapsed="false">
      <c r="F2249" s="15"/>
      <c r="N2249" s="16" t="str">
        <f aca="false">IF($D2249="","",M2249*Y2249/100)</f>
        <v/>
      </c>
      <c r="V2249" s="16" t="str">
        <f aca="false">IF($D2249="","",Y2249*AB2249/100)</f>
        <v/>
      </c>
      <c r="W2249" s="16" t="str">
        <f aca="false">IF($D2249="","",Y2249-V2249)</f>
        <v/>
      </c>
      <c r="X2249" s="16" t="str">
        <f aca="false">IF($D2249="","",W2249-N2249)</f>
        <v/>
      </c>
      <c r="AB2249" s="17" t="str">
        <f aca="false">IF($D2249="","",IF(OR($R2249=TRUE(),$R2249="TRUE"),Settings!$C$6,Settings!$C$7)*100)</f>
        <v/>
      </c>
      <c r="AH2249" s="18" t="str">
        <f aca="false">IF($D2249="","",IF(COUNTIF($D$2:$D2249,$D2249)=1,1,0))</f>
        <v/>
      </c>
      <c r="AI2249" s="18" t="str">
        <f aca="false">IF($AH2249=1,SUMPRODUCT(--($AK$2:$AK$4001&lt;$AK2249))+1,"")</f>
        <v/>
      </c>
      <c r="AJ2249" s="18" t="str">
        <f aca="false">IF($D2249="","",IF(OR($R2249=TRUE(),$R2249="TRUE"),1,0))</f>
        <v/>
      </c>
      <c r="AK2249" s="18" t="str">
        <f aca="false">IF($AH2249=1,IFERROR(VALUE(MID($D2249,2,20)),1000000000)+ROW()/10000000,"")</f>
        <v/>
      </c>
    </row>
    <row r="2250" customFormat="false" ht="15" hidden="false" customHeight="false" outlineLevel="0" collapsed="false">
      <c r="F2250" s="15"/>
      <c r="N2250" s="16" t="str">
        <f aca="false">IF($D2250="","",M2250*Y2250/100)</f>
        <v/>
      </c>
      <c r="V2250" s="16" t="str">
        <f aca="false">IF($D2250="","",Y2250*AB2250/100)</f>
        <v/>
      </c>
      <c r="W2250" s="16" t="str">
        <f aca="false">IF($D2250="","",Y2250-V2250)</f>
        <v/>
      </c>
      <c r="X2250" s="16" t="str">
        <f aca="false">IF($D2250="","",W2250-N2250)</f>
        <v/>
      </c>
      <c r="AB2250" s="17" t="str">
        <f aca="false">IF($D2250="","",IF(OR($R2250=TRUE(),$R2250="TRUE"),Settings!$C$6,Settings!$C$7)*100)</f>
        <v/>
      </c>
      <c r="AH2250" s="18" t="str">
        <f aca="false">IF($D2250="","",IF(COUNTIF($D$2:$D2250,$D2250)=1,1,0))</f>
        <v/>
      </c>
      <c r="AI2250" s="18" t="str">
        <f aca="false">IF($AH2250=1,SUMPRODUCT(--($AK$2:$AK$4001&lt;$AK2250))+1,"")</f>
        <v/>
      </c>
      <c r="AJ2250" s="18" t="str">
        <f aca="false">IF($D2250="","",IF(OR($R2250=TRUE(),$R2250="TRUE"),1,0))</f>
        <v/>
      </c>
      <c r="AK2250" s="18" t="str">
        <f aca="false">IF($AH2250=1,IFERROR(VALUE(MID($D2250,2,20)),1000000000)+ROW()/10000000,"")</f>
        <v/>
      </c>
    </row>
    <row r="2251" customFormat="false" ht="15" hidden="false" customHeight="false" outlineLevel="0" collapsed="false">
      <c r="F2251" s="15"/>
      <c r="N2251" s="16" t="str">
        <f aca="false">IF($D2251="","",M2251*Y2251/100)</f>
        <v/>
      </c>
      <c r="V2251" s="16" t="str">
        <f aca="false">IF($D2251="","",Y2251*AB2251/100)</f>
        <v/>
      </c>
      <c r="W2251" s="16" t="str">
        <f aca="false">IF($D2251="","",Y2251-V2251)</f>
        <v/>
      </c>
      <c r="X2251" s="16" t="str">
        <f aca="false">IF($D2251="","",W2251-N2251)</f>
        <v/>
      </c>
      <c r="AB2251" s="17" t="str">
        <f aca="false">IF($D2251="","",IF(OR($R2251=TRUE(),$R2251="TRUE"),Settings!$C$6,Settings!$C$7)*100)</f>
        <v/>
      </c>
      <c r="AH2251" s="18" t="str">
        <f aca="false">IF($D2251="","",IF(COUNTIF($D$2:$D2251,$D2251)=1,1,0))</f>
        <v/>
      </c>
      <c r="AI2251" s="18" t="str">
        <f aca="false">IF($AH2251=1,SUMPRODUCT(--($AK$2:$AK$4001&lt;$AK2251))+1,"")</f>
        <v/>
      </c>
      <c r="AJ2251" s="18" t="str">
        <f aca="false">IF($D2251="","",IF(OR($R2251=TRUE(),$R2251="TRUE"),1,0))</f>
        <v/>
      </c>
      <c r="AK2251" s="18" t="str">
        <f aca="false">IF($AH2251=1,IFERROR(VALUE(MID($D2251,2,20)),1000000000)+ROW()/10000000,"")</f>
        <v/>
      </c>
    </row>
    <row r="2252" customFormat="false" ht="15" hidden="false" customHeight="false" outlineLevel="0" collapsed="false">
      <c r="F2252" s="15"/>
      <c r="N2252" s="16" t="str">
        <f aca="false">IF($D2252="","",M2252*Y2252/100)</f>
        <v/>
      </c>
      <c r="V2252" s="16" t="str">
        <f aca="false">IF($D2252="","",Y2252*AB2252/100)</f>
        <v/>
      </c>
      <c r="W2252" s="16" t="str">
        <f aca="false">IF($D2252="","",Y2252-V2252)</f>
        <v/>
      </c>
      <c r="X2252" s="16" t="str">
        <f aca="false">IF($D2252="","",W2252-N2252)</f>
        <v/>
      </c>
      <c r="AB2252" s="17" t="str">
        <f aca="false">IF($D2252="","",IF(OR($R2252=TRUE(),$R2252="TRUE"),Settings!$C$6,Settings!$C$7)*100)</f>
        <v/>
      </c>
      <c r="AH2252" s="18" t="str">
        <f aca="false">IF($D2252="","",IF(COUNTIF($D$2:$D2252,$D2252)=1,1,0))</f>
        <v/>
      </c>
      <c r="AI2252" s="18" t="str">
        <f aca="false">IF($AH2252=1,SUMPRODUCT(--($AK$2:$AK$4001&lt;$AK2252))+1,"")</f>
        <v/>
      </c>
      <c r="AJ2252" s="18" t="str">
        <f aca="false">IF($D2252="","",IF(OR($R2252=TRUE(),$R2252="TRUE"),1,0))</f>
        <v/>
      </c>
      <c r="AK2252" s="18" t="str">
        <f aca="false">IF($AH2252=1,IFERROR(VALUE(MID($D2252,2,20)),1000000000)+ROW()/10000000,"")</f>
        <v/>
      </c>
    </row>
    <row r="2253" customFormat="false" ht="15" hidden="false" customHeight="false" outlineLevel="0" collapsed="false">
      <c r="F2253" s="15"/>
      <c r="N2253" s="16" t="str">
        <f aca="false">IF($D2253="","",M2253*Y2253/100)</f>
        <v/>
      </c>
      <c r="V2253" s="16" t="str">
        <f aca="false">IF($D2253="","",Y2253*AB2253/100)</f>
        <v/>
      </c>
      <c r="W2253" s="16" t="str">
        <f aca="false">IF($D2253="","",Y2253-V2253)</f>
        <v/>
      </c>
      <c r="X2253" s="16" t="str">
        <f aca="false">IF($D2253="","",W2253-N2253)</f>
        <v/>
      </c>
      <c r="AB2253" s="17" t="str">
        <f aca="false">IF($D2253="","",IF(OR($R2253=TRUE(),$R2253="TRUE"),Settings!$C$6,Settings!$C$7)*100)</f>
        <v/>
      </c>
      <c r="AH2253" s="18" t="str">
        <f aca="false">IF($D2253="","",IF(COUNTIF($D$2:$D2253,$D2253)=1,1,0))</f>
        <v/>
      </c>
      <c r="AI2253" s="18" t="str">
        <f aca="false">IF($AH2253=1,SUMPRODUCT(--($AK$2:$AK$4001&lt;$AK2253))+1,"")</f>
        <v/>
      </c>
      <c r="AJ2253" s="18" t="str">
        <f aca="false">IF($D2253="","",IF(OR($R2253=TRUE(),$R2253="TRUE"),1,0))</f>
        <v/>
      </c>
      <c r="AK2253" s="18" t="str">
        <f aca="false">IF($AH2253=1,IFERROR(VALUE(MID($D2253,2,20)),1000000000)+ROW()/10000000,"")</f>
        <v/>
      </c>
    </row>
    <row r="2254" customFormat="false" ht="15" hidden="false" customHeight="false" outlineLevel="0" collapsed="false">
      <c r="F2254" s="15"/>
      <c r="N2254" s="16" t="str">
        <f aca="false">IF($D2254="","",M2254*Y2254/100)</f>
        <v/>
      </c>
      <c r="V2254" s="16" t="str">
        <f aca="false">IF($D2254="","",Y2254*AB2254/100)</f>
        <v/>
      </c>
      <c r="W2254" s="16" t="str">
        <f aca="false">IF($D2254="","",Y2254-V2254)</f>
        <v/>
      </c>
      <c r="X2254" s="16" t="str">
        <f aca="false">IF($D2254="","",W2254-N2254)</f>
        <v/>
      </c>
      <c r="AB2254" s="17" t="str">
        <f aca="false">IF($D2254="","",IF(OR($R2254=TRUE(),$R2254="TRUE"),Settings!$C$6,Settings!$C$7)*100)</f>
        <v/>
      </c>
      <c r="AH2254" s="18" t="str">
        <f aca="false">IF($D2254="","",IF(COUNTIF($D$2:$D2254,$D2254)=1,1,0))</f>
        <v/>
      </c>
      <c r="AI2254" s="18" t="str">
        <f aca="false">IF($AH2254=1,SUMPRODUCT(--($AK$2:$AK$4001&lt;$AK2254))+1,"")</f>
        <v/>
      </c>
      <c r="AJ2254" s="18" t="str">
        <f aca="false">IF($D2254="","",IF(OR($R2254=TRUE(),$R2254="TRUE"),1,0))</f>
        <v/>
      </c>
      <c r="AK2254" s="18" t="str">
        <f aca="false">IF($AH2254=1,IFERROR(VALUE(MID($D2254,2,20)),1000000000)+ROW()/10000000,"")</f>
        <v/>
      </c>
    </row>
    <row r="2255" customFormat="false" ht="15" hidden="false" customHeight="false" outlineLevel="0" collapsed="false">
      <c r="F2255" s="15"/>
      <c r="N2255" s="16" t="str">
        <f aca="false">IF($D2255="","",M2255*Y2255/100)</f>
        <v/>
      </c>
      <c r="V2255" s="16" t="str">
        <f aca="false">IF($D2255="","",Y2255*AB2255/100)</f>
        <v/>
      </c>
      <c r="W2255" s="16" t="str">
        <f aca="false">IF($D2255="","",Y2255-V2255)</f>
        <v/>
      </c>
      <c r="X2255" s="16" t="str">
        <f aca="false">IF($D2255="","",W2255-N2255)</f>
        <v/>
      </c>
      <c r="AB2255" s="17" t="str">
        <f aca="false">IF($D2255="","",IF(OR($R2255=TRUE(),$R2255="TRUE"),Settings!$C$6,Settings!$C$7)*100)</f>
        <v/>
      </c>
      <c r="AH2255" s="18" t="str">
        <f aca="false">IF($D2255="","",IF(COUNTIF($D$2:$D2255,$D2255)=1,1,0))</f>
        <v/>
      </c>
      <c r="AI2255" s="18" t="str">
        <f aca="false">IF($AH2255=1,SUMPRODUCT(--($AK$2:$AK$4001&lt;$AK2255))+1,"")</f>
        <v/>
      </c>
      <c r="AJ2255" s="18" t="str">
        <f aca="false">IF($D2255="","",IF(OR($R2255=TRUE(),$R2255="TRUE"),1,0))</f>
        <v/>
      </c>
      <c r="AK2255" s="18" t="str">
        <f aca="false">IF($AH2255=1,IFERROR(VALUE(MID($D2255,2,20)),1000000000)+ROW()/10000000,"")</f>
        <v/>
      </c>
    </row>
    <row r="2256" customFormat="false" ht="15" hidden="false" customHeight="false" outlineLevel="0" collapsed="false">
      <c r="F2256" s="15"/>
      <c r="N2256" s="16" t="str">
        <f aca="false">IF($D2256="","",M2256*Y2256/100)</f>
        <v/>
      </c>
      <c r="V2256" s="16" t="str">
        <f aca="false">IF($D2256="","",Y2256*AB2256/100)</f>
        <v/>
      </c>
      <c r="W2256" s="16" t="str">
        <f aca="false">IF($D2256="","",Y2256-V2256)</f>
        <v/>
      </c>
      <c r="X2256" s="16" t="str">
        <f aca="false">IF($D2256="","",W2256-N2256)</f>
        <v/>
      </c>
      <c r="AB2256" s="17" t="str">
        <f aca="false">IF($D2256="","",IF(OR($R2256=TRUE(),$R2256="TRUE"),Settings!$C$6,Settings!$C$7)*100)</f>
        <v/>
      </c>
      <c r="AH2256" s="18" t="str">
        <f aca="false">IF($D2256="","",IF(COUNTIF($D$2:$D2256,$D2256)=1,1,0))</f>
        <v/>
      </c>
      <c r="AI2256" s="18" t="str">
        <f aca="false">IF($AH2256=1,SUMPRODUCT(--($AK$2:$AK$4001&lt;$AK2256))+1,"")</f>
        <v/>
      </c>
      <c r="AJ2256" s="18" t="str">
        <f aca="false">IF($D2256="","",IF(OR($R2256=TRUE(),$R2256="TRUE"),1,0))</f>
        <v/>
      </c>
      <c r="AK2256" s="18" t="str">
        <f aca="false">IF($AH2256=1,IFERROR(VALUE(MID($D2256,2,20)),1000000000)+ROW()/10000000,"")</f>
        <v/>
      </c>
    </row>
    <row r="2257" customFormat="false" ht="15" hidden="false" customHeight="false" outlineLevel="0" collapsed="false">
      <c r="F2257" s="15"/>
      <c r="N2257" s="16" t="str">
        <f aca="false">IF($D2257="","",M2257*Y2257/100)</f>
        <v/>
      </c>
      <c r="V2257" s="16" t="str">
        <f aca="false">IF($D2257="","",Y2257*AB2257/100)</f>
        <v/>
      </c>
      <c r="W2257" s="16" t="str">
        <f aca="false">IF($D2257="","",Y2257-V2257)</f>
        <v/>
      </c>
      <c r="X2257" s="16" t="str">
        <f aca="false">IF($D2257="","",W2257-N2257)</f>
        <v/>
      </c>
      <c r="AB2257" s="17" t="str">
        <f aca="false">IF($D2257="","",IF(OR($R2257=TRUE(),$R2257="TRUE"),Settings!$C$6,Settings!$C$7)*100)</f>
        <v/>
      </c>
      <c r="AH2257" s="18" t="str">
        <f aca="false">IF($D2257="","",IF(COUNTIF($D$2:$D2257,$D2257)=1,1,0))</f>
        <v/>
      </c>
      <c r="AI2257" s="18" t="str">
        <f aca="false">IF($AH2257=1,SUMPRODUCT(--($AK$2:$AK$4001&lt;$AK2257))+1,"")</f>
        <v/>
      </c>
      <c r="AJ2257" s="18" t="str">
        <f aca="false">IF($D2257="","",IF(OR($R2257=TRUE(),$R2257="TRUE"),1,0))</f>
        <v/>
      </c>
      <c r="AK2257" s="18" t="str">
        <f aca="false">IF($AH2257=1,IFERROR(VALUE(MID($D2257,2,20)),1000000000)+ROW()/10000000,"")</f>
        <v/>
      </c>
    </row>
    <row r="2258" customFormat="false" ht="15" hidden="false" customHeight="false" outlineLevel="0" collapsed="false">
      <c r="F2258" s="15"/>
      <c r="N2258" s="16" t="str">
        <f aca="false">IF($D2258="","",M2258*Y2258/100)</f>
        <v/>
      </c>
      <c r="V2258" s="16" t="str">
        <f aca="false">IF($D2258="","",Y2258*AB2258/100)</f>
        <v/>
      </c>
      <c r="W2258" s="16" t="str">
        <f aca="false">IF($D2258="","",Y2258-V2258)</f>
        <v/>
      </c>
      <c r="X2258" s="16" t="str">
        <f aca="false">IF($D2258="","",W2258-N2258)</f>
        <v/>
      </c>
      <c r="AB2258" s="17" t="str">
        <f aca="false">IF($D2258="","",IF(OR($R2258=TRUE(),$R2258="TRUE"),Settings!$C$6,Settings!$C$7)*100)</f>
        <v/>
      </c>
      <c r="AH2258" s="18" t="str">
        <f aca="false">IF($D2258="","",IF(COUNTIF($D$2:$D2258,$D2258)=1,1,0))</f>
        <v/>
      </c>
      <c r="AI2258" s="18" t="str">
        <f aca="false">IF($AH2258=1,SUMPRODUCT(--($AK$2:$AK$4001&lt;$AK2258))+1,"")</f>
        <v/>
      </c>
      <c r="AJ2258" s="18" t="str">
        <f aca="false">IF($D2258="","",IF(OR($R2258=TRUE(),$R2258="TRUE"),1,0))</f>
        <v/>
      </c>
      <c r="AK2258" s="18" t="str">
        <f aca="false">IF($AH2258=1,IFERROR(VALUE(MID($D2258,2,20)),1000000000)+ROW()/10000000,"")</f>
        <v/>
      </c>
    </row>
    <row r="2259" customFormat="false" ht="15" hidden="false" customHeight="false" outlineLevel="0" collapsed="false">
      <c r="F2259" s="15"/>
      <c r="N2259" s="16" t="str">
        <f aca="false">IF($D2259="","",M2259*Y2259/100)</f>
        <v/>
      </c>
      <c r="V2259" s="16" t="str">
        <f aca="false">IF($D2259="","",Y2259*AB2259/100)</f>
        <v/>
      </c>
      <c r="W2259" s="16" t="str">
        <f aca="false">IF($D2259="","",Y2259-V2259)</f>
        <v/>
      </c>
      <c r="X2259" s="16" t="str">
        <f aca="false">IF($D2259="","",W2259-N2259)</f>
        <v/>
      </c>
      <c r="AB2259" s="17" t="str">
        <f aca="false">IF($D2259="","",IF(OR($R2259=TRUE(),$R2259="TRUE"),Settings!$C$6,Settings!$C$7)*100)</f>
        <v/>
      </c>
      <c r="AH2259" s="18" t="str">
        <f aca="false">IF($D2259="","",IF(COUNTIF($D$2:$D2259,$D2259)=1,1,0))</f>
        <v/>
      </c>
      <c r="AI2259" s="18" t="str">
        <f aca="false">IF($AH2259=1,SUMPRODUCT(--($AK$2:$AK$4001&lt;$AK2259))+1,"")</f>
        <v/>
      </c>
      <c r="AJ2259" s="18" t="str">
        <f aca="false">IF($D2259="","",IF(OR($R2259=TRUE(),$R2259="TRUE"),1,0))</f>
        <v/>
      </c>
      <c r="AK2259" s="18" t="str">
        <f aca="false">IF($AH2259=1,IFERROR(VALUE(MID($D2259,2,20)),1000000000)+ROW()/10000000,"")</f>
        <v/>
      </c>
    </row>
    <row r="2260" customFormat="false" ht="15" hidden="false" customHeight="false" outlineLevel="0" collapsed="false">
      <c r="F2260" s="15"/>
      <c r="N2260" s="16" t="str">
        <f aca="false">IF($D2260="","",M2260*Y2260/100)</f>
        <v/>
      </c>
      <c r="V2260" s="16" t="str">
        <f aca="false">IF($D2260="","",Y2260*AB2260/100)</f>
        <v/>
      </c>
      <c r="W2260" s="16" t="str">
        <f aca="false">IF($D2260="","",Y2260-V2260)</f>
        <v/>
      </c>
      <c r="X2260" s="16" t="str">
        <f aca="false">IF($D2260="","",W2260-N2260)</f>
        <v/>
      </c>
      <c r="AB2260" s="17" t="str">
        <f aca="false">IF($D2260="","",IF(OR($R2260=TRUE(),$R2260="TRUE"),Settings!$C$6,Settings!$C$7)*100)</f>
        <v/>
      </c>
      <c r="AH2260" s="18" t="str">
        <f aca="false">IF($D2260="","",IF(COUNTIF($D$2:$D2260,$D2260)=1,1,0))</f>
        <v/>
      </c>
      <c r="AI2260" s="18" t="str">
        <f aca="false">IF($AH2260=1,SUMPRODUCT(--($AK$2:$AK$4001&lt;$AK2260))+1,"")</f>
        <v/>
      </c>
      <c r="AJ2260" s="18" t="str">
        <f aca="false">IF($D2260="","",IF(OR($R2260=TRUE(),$R2260="TRUE"),1,0))</f>
        <v/>
      </c>
      <c r="AK2260" s="18" t="str">
        <f aca="false">IF($AH2260=1,IFERROR(VALUE(MID($D2260,2,20)),1000000000)+ROW()/10000000,"")</f>
        <v/>
      </c>
    </row>
    <row r="2261" customFormat="false" ht="15" hidden="false" customHeight="false" outlineLevel="0" collapsed="false">
      <c r="F2261" s="15"/>
      <c r="N2261" s="16" t="str">
        <f aca="false">IF($D2261="","",M2261*Y2261/100)</f>
        <v/>
      </c>
      <c r="V2261" s="16" t="str">
        <f aca="false">IF($D2261="","",Y2261*AB2261/100)</f>
        <v/>
      </c>
      <c r="W2261" s="16" t="str">
        <f aca="false">IF($D2261="","",Y2261-V2261)</f>
        <v/>
      </c>
      <c r="X2261" s="16" t="str">
        <f aca="false">IF($D2261="","",W2261-N2261)</f>
        <v/>
      </c>
      <c r="AB2261" s="17" t="str">
        <f aca="false">IF($D2261="","",IF(OR($R2261=TRUE(),$R2261="TRUE"),Settings!$C$6,Settings!$C$7)*100)</f>
        <v/>
      </c>
      <c r="AH2261" s="18" t="str">
        <f aca="false">IF($D2261="","",IF(COUNTIF($D$2:$D2261,$D2261)=1,1,0))</f>
        <v/>
      </c>
      <c r="AI2261" s="18" t="str">
        <f aca="false">IF($AH2261=1,SUMPRODUCT(--($AK$2:$AK$4001&lt;$AK2261))+1,"")</f>
        <v/>
      </c>
      <c r="AJ2261" s="18" t="str">
        <f aca="false">IF($D2261="","",IF(OR($R2261=TRUE(),$R2261="TRUE"),1,0))</f>
        <v/>
      </c>
      <c r="AK2261" s="18" t="str">
        <f aca="false">IF($AH2261=1,IFERROR(VALUE(MID($D2261,2,20)),1000000000)+ROW()/10000000,"")</f>
        <v/>
      </c>
    </row>
    <row r="2262" customFormat="false" ht="15" hidden="false" customHeight="false" outlineLevel="0" collapsed="false">
      <c r="F2262" s="15"/>
      <c r="N2262" s="16" t="str">
        <f aca="false">IF($D2262="","",M2262*Y2262/100)</f>
        <v/>
      </c>
      <c r="V2262" s="16" t="str">
        <f aca="false">IF($D2262="","",Y2262*AB2262/100)</f>
        <v/>
      </c>
      <c r="W2262" s="16" t="str">
        <f aca="false">IF($D2262="","",Y2262-V2262)</f>
        <v/>
      </c>
      <c r="X2262" s="16" t="str">
        <f aca="false">IF($D2262="","",W2262-N2262)</f>
        <v/>
      </c>
      <c r="AB2262" s="17" t="str">
        <f aca="false">IF($D2262="","",IF(OR($R2262=TRUE(),$R2262="TRUE"),Settings!$C$6,Settings!$C$7)*100)</f>
        <v/>
      </c>
      <c r="AH2262" s="18" t="str">
        <f aca="false">IF($D2262="","",IF(COUNTIF($D$2:$D2262,$D2262)=1,1,0))</f>
        <v/>
      </c>
      <c r="AI2262" s="18" t="str">
        <f aca="false">IF($AH2262=1,SUMPRODUCT(--($AK$2:$AK$4001&lt;$AK2262))+1,"")</f>
        <v/>
      </c>
      <c r="AJ2262" s="18" t="str">
        <f aca="false">IF($D2262="","",IF(OR($R2262=TRUE(),$R2262="TRUE"),1,0))</f>
        <v/>
      </c>
      <c r="AK2262" s="18" t="str">
        <f aca="false">IF($AH2262=1,IFERROR(VALUE(MID($D2262,2,20)),1000000000)+ROW()/10000000,"")</f>
        <v/>
      </c>
    </row>
    <row r="2263" customFormat="false" ht="15" hidden="false" customHeight="false" outlineLevel="0" collapsed="false">
      <c r="F2263" s="15"/>
      <c r="N2263" s="16" t="str">
        <f aca="false">IF($D2263="","",M2263*Y2263/100)</f>
        <v/>
      </c>
      <c r="V2263" s="16" t="str">
        <f aca="false">IF($D2263="","",Y2263*AB2263/100)</f>
        <v/>
      </c>
      <c r="W2263" s="16" t="str">
        <f aca="false">IF($D2263="","",Y2263-V2263)</f>
        <v/>
      </c>
      <c r="X2263" s="16" t="str">
        <f aca="false">IF($D2263="","",W2263-N2263)</f>
        <v/>
      </c>
      <c r="AB2263" s="17" t="str">
        <f aca="false">IF($D2263="","",IF(OR($R2263=TRUE(),$R2263="TRUE"),Settings!$C$6,Settings!$C$7)*100)</f>
        <v/>
      </c>
      <c r="AH2263" s="18" t="str">
        <f aca="false">IF($D2263="","",IF(COUNTIF($D$2:$D2263,$D2263)=1,1,0))</f>
        <v/>
      </c>
      <c r="AI2263" s="18" t="str">
        <f aca="false">IF($AH2263=1,SUMPRODUCT(--($AK$2:$AK$4001&lt;$AK2263))+1,"")</f>
        <v/>
      </c>
      <c r="AJ2263" s="18" t="str">
        <f aca="false">IF($D2263="","",IF(OR($R2263=TRUE(),$R2263="TRUE"),1,0))</f>
        <v/>
      </c>
      <c r="AK2263" s="18" t="str">
        <f aca="false">IF($AH2263=1,IFERROR(VALUE(MID($D2263,2,20)),1000000000)+ROW()/10000000,"")</f>
        <v/>
      </c>
    </row>
    <row r="2264" customFormat="false" ht="15" hidden="false" customHeight="false" outlineLevel="0" collapsed="false">
      <c r="F2264" s="15"/>
      <c r="N2264" s="16" t="str">
        <f aca="false">IF($D2264="","",M2264*Y2264/100)</f>
        <v/>
      </c>
      <c r="V2264" s="16" t="str">
        <f aca="false">IF($D2264="","",Y2264*AB2264/100)</f>
        <v/>
      </c>
      <c r="W2264" s="16" t="str">
        <f aca="false">IF($D2264="","",Y2264-V2264)</f>
        <v/>
      </c>
      <c r="X2264" s="16" t="str">
        <f aca="false">IF($D2264="","",W2264-N2264)</f>
        <v/>
      </c>
      <c r="AB2264" s="17" t="str">
        <f aca="false">IF($D2264="","",IF(OR($R2264=TRUE(),$R2264="TRUE"),Settings!$C$6,Settings!$C$7)*100)</f>
        <v/>
      </c>
      <c r="AH2264" s="18" t="str">
        <f aca="false">IF($D2264="","",IF(COUNTIF($D$2:$D2264,$D2264)=1,1,0))</f>
        <v/>
      </c>
      <c r="AI2264" s="18" t="str">
        <f aca="false">IF($AH2264=1,SUMPRODUCT(--($AK$2:$AK$4001&lt;$AK2264))+1,"")</f>
        <v/>
      </c>
      <c r="AJ2264" s="18" t="str">
        <f aca="false">IF($D2264="","",IF(OR($R2264=TRUE(),$R2264="TRUE"),1,0))</f>
        <v/>
      </c>
      <c r="AK2264" s="18" t="str">
        <f aca="false">IF($AH2264=1,IFERROR(VALUE(MID($D2264,2,20)),1000000000)+ROW()/10000000,"")</f>
        <v/>
      </c>
    </row>
    <row r="2265" customFormat="false" ht="15" hidden="false" customHeight="false" outlineLevel="0" collapsed="false">
      <c r="F2265" s="15"/>
      <c r="N2265" s="16" t="str">
        <f aca="false">IF($D2265="","",M2265*Y2265/100)</f>
        <v/>
      </c>
      <c r="V2265" s="16" t="str">
        <f aca="false">IF($D2265="","",Y2265*AB2265/100)</f>
        <v/>
      </c>
      <c r="W2265" s="16" t="str">
        <f aca="false">IF($D2265="","",Y2265-V2265)</f>
        <v/>
      </c>
      <c r="X2265" s="16" t="str">
        <f aca="false">IF($D2265="","",W2265-N2265)</f>
        <v/>
      </c>
      <c r="AB2265" s="17" t="str">
        <f aca="false">IF($D2265="","",IF(OR($R2265=TRUE(),$R2265="TRUE"),Settings!$C$6,Settings!$C$7)*100)</f>
        <v/>
      </c>
      <c r="AH2265" s="18" t="str">
        <f aca="false">IF($D2265="","",IF(COUNTIF($D$2:$D2265,$D2265)=1,1,0))</f>
        <v/>
      </c>
      <c r="AI2265" s="18" t="str">
        <f aca="false">IF($AH2265=1,SUMPRODUCT(--($AK$2:$AK$4001&lt;$AK2265))+1,"")</f>
        <v/>
      </c>
      <c r="AJ2265" s="18" t="str">
        <f aca="false">IF($D2265="","",IF(OR($R2265=TRUE(),$R2265="TRUE"),1,0))</f>
        <v/>
      </c>
      <c r="AK2265" s="18" t="str">
        <f aca="false">IF($AH2265=1,IFERROR(VALUE(MID($D2265,2,20)),1000000000)+ROW()/10000000,"")</f>
        <v/>
      </c>
    </row>
    <row r="2266" customFormat="false" ht="15" hidden="false" customHeight="false" outlineLevel="0" collapsed="false">
      <c r="F2266" s="15"/>
      <c r="N2266" s="16" t="str">
        <f aca="false">IF($D2266="","",M2266*Y2266/100)</f>
        <v/>
      </c>
      <c r="V2266" s="16" t="str">
        <f aca="false">IF($D2266="","",Y2266*AB2266/100)</f>
        <v/>
      </c>
      <c r="W2266" s="16" t="str">
        <f aca="false">IF($D2266="","",Y2266-V2266)</f>
        <v/>
      </c>
      <c r="X2266" s="16" t="str">
        <f aca="false">IF($D2266="","",W2266-N2266)</f>
        <v/>
      </c>
      <c r="AB2266" s="17" t="str">
        <f aca="false">IF($D2266="","",IF(OR($R2266=TRUE(),$R2266="TRUE"),Settings!$C$6,Settings!$C$7)*100)</f>
        <v/>
      </c>
      <c r="AH2266" s="18" t="str">
        <f aca="false">IF($D2266="","",IF(COUNTIF($D$2:$D2266,$D2266)=1,1,0))</f>
        <v/>
      </c>
      <c r="AI2266" s="18" t="str">
        <f aca="false">IF($AH2266=1,SUMPRODUCT(--($AK$2:$AK$4001&lt;$AK2266))+1,"")</f>
        <v/>
      </c>
      <c r="AJ2266" s="18" t="str">
        <f aca="false">IF($D2266="","",IF(OR($R2266=TRUE(),$R2266="TRUE"),1,0))</f>
        <v/>
      </c>
      <c r="AK2266" s="18" t="str">
        <f aca="false">IF($AH2266=1,IFERROR(VALUE(MID($D2266,2,20)),1000000000)+ROW()/10000000,"")</f>
        <v/>
      </c>
    </row>
    <row r="2267" customFormat="false" ht="15" hidden="false" customHeight="false" outlineLevel="0" collapsed="false">
      <c r="F2267" s="15"/>
      <c r="N2267" s="16" t="str">
        <f aca="false">IF($D2267="","",M2267*Y2267/100)</f>
        <v/>
      </c>
      <c r="V2267" s="16" t="str">
        <f aca="false">IF($D2267="","",Y2267*AB2267/100)</f>
        <v/>
      </c>
      <c r="W2267" s="16" t="str">
        <f aca="false">IF($D2267="","",Y2267-V2267)</f>
        <v/>
      </c>
      <c r="X2267" s="16" t="str">
        <f aca="false">IF($D2267="","",W2267-N2267)</f>
        <v/>
      </c>
      <c r="AB2267" s="17" t="str">
        <f aca="false">IF($D2267="","",IF(OR($R2267=TRUE(),$R2267="TRUE"),Settings!$C$6,Settings!$C$7)*100)</f>
        <v/>
      </c>
      <c r="AH2267" s="18" t="str">
        <f aca="false">IF($D2267="","",IF(COUNTIF($D$2:$D2267,$D2267)=1,1,0))</f>
        <v/>
      </c>
      <c r="AI2267" s="18" t="str">
        <f aca="false">IF($AH2267=1,SUMPRODUCT(--($AK$2:$AK$4001&lt;$AK2267))+1,"")</f>
        <v/>
      </c>
      <c r="AJ2267" s="18" t="str">
        <f aca="false">IF($D2267="","",IF(OR($R2267=TRUE(),$R2267="TRUE"),1,0))</f>
        <v/>
      </c>
      <c r="AK2267" s="18" t="str">
        <f aca="false">IF($AH2267=1,IFERROR(VALUE(MID($D2267,2,20)),1000000000)+ROW()/10000000,"")</f>
        <v/>
      </c>
    </row>
    <row r="2268" customFormat="false" ht="15" hidden="false" customHeight="false" outlineLevel="0" collapsed="false">
      <c r="F2268" s="15"/>
      <c r="N2268" s="16" t="str">
        <f aca="false">IF($D2268="","",M2268*Y2268/100)</f>
        <v/>
      </c>
      <c r="V2268" s="16" t="str">
        <f aca="false">IF($D2268="","",Y2268*AB2268/100)</f>
        <v/>
      </c>
      <c r="W2268" s="16" t="str">
        <f aca="false">IF($D2268="","",Y2268-V2268)</f>
        <v/>
      </c>
      <c r="X2268" s="16" t="str">
        <f aca="false">IF($D2268="","",W2268-N2268)</f>
        <v/>
      </c>
      <c r="AB2268" s="17" t="str">
        <f aca="false">IF($D2268="","",IF(OR($R2268=TRUE(),$R2268="TRUE"),Settings!$C$6,Settings!$C$7)*100)</f>
        <v/>
      </c>
      <c r="AH2268" s="18" t="str">
        <f aca="false">IF($D2268="","",IF(COUNTIF($D$2:$D2268,$D2268)=1,1,0))</f>
        <v/>
      </c>
      <c r="AI2268" s="18" t="str">
        <f aca="false">IF($AH2268=1,SUMPRODUCT(--($AK$2:$AK$4001&lt;$AK2268))+1,"")</f>
        <v/>
      </c>
      <c r="AJ2268" s="18" t="str">
        <f aca="false">IF($D2268="","",IF(OR($R2268=TRUE(),$R2268="TRUE"),1,0))</f>
        <v/>
      </c>
      <c r="AK2268" s="18" t="str">
        <f aca="false">IF($AH2268=1,IFERROR(VALUE(MID($D2268,2,20)),1000000000)+ROW()/10000000,"")</f>
        <v/>
      </c>
    </row>
    <row r="2269" customFormat="false" ht="15" hidden="false" customHeight="false" outlineLevel="0" collapsed="false">
      <c r="F2269" s="15"/>
      <c r="N2269" s="16" t="str">
        <f aca="false">IF($D2269="","",M2269*Y2269/100)</f>
        <v/>
      </c>
      <c r="V2269" s="16" t="str">
        <f aca="false">IF($D2269="","",Y2269*AB2269/100)</f>
        <v/>
      </c>
      <c r="W2269" s="16" t="str">
        <f aca="false">IF($D2269="","",Y2269-V2269)</f>
        <v/>
      </c>
      <c r="X2269" s="16" t="str">
        <f aca="false">IF($D2269="","",W2269-N2269)</f>
        <v/>
      </c>
      <c r="AB2269" s="17" t="str">
        <f aca="false">IF($D2269="","",IF(OR($R2269=TRUE(),$R2269="TRUE"),Settings!$C$6,Settings!$C$7)*100)</f>
        <v/>
      </c>
      <c r="AH2269" s="18" t="str">
        <f aca="false">IF($D2269="","",IF(COUNTIF($D$2:$D2269,$D2269)=1,1,0))</f>
        <v/>
      </c>
      <c r="AI2269" s="18" t="str">
        <f aca="false">IF($AH2269=1,SUMPRODUCT(--($AK$2:$AK$4001&lt;$AK2269))+1,"")</f>
        <v/>
      </c>
      <c r="AJ2269" s="18" t="str">
        <f aca="false">IF($D2269="","",IF(OR($R2269=TRUE(),$R2269="TRUE"),1,0))</f>
        <v/>
      </c>
      <c r="AK2269" s="18" t="str">
        <f aca="false">IF($AH2269=1,IFERROR(VALUE(MID($D2269,2,20)),1000000000)+ROW()/10000000,"")</f>
        <v/>
      </c>
    </row>
    <row r="2270" customFormat="false" ht="15" hidden="false" customHeight="false" outlineLevel="0" collapsed="false">
      <c r="F2270" s="15"/>
      <c r="N2270" s="16" t="str">
        <f aca="false">IF($D2270="","",M2270*Y2270/100)</f>
        <v/>
      </c>
      <c r="V2270" s="16" t="str">
        <f aca="false">IF($D2270="","",Y2270*AB2270/100)</f>
        <v/>
      </c>
      <c r="W2270" s="16" t="str">
        <f aca="false">IF($D2270="","",Y2270-V2270)</f>
        <v/>
      </c>
      <c r="X2270" s="16" t="str">
        <f aca="false">IF($D2270="","",W2270-N2270)</f>
        <v/>
      </c>
      <c r="AB2270" s="17" t="str">
        <f aca="false">IF($D2270="","",IF(OR($R2270=TRUE(),$R2270="TRUE"),Settings!$C$6,Settings!$C$7)*100)</f>
        <v/>
      </c>
      <c r="AH2270" s="18" t="str">
        <f aca="false">IF($D2270="","",IF(COUNTIF($D$2:$D2270,$D2270)=1,1,0))</f>
        <v/>
      </c>
      <c r="AI2270" s="18" t="str">
        <f aca="false">IF($AH2270=1,SUMPRODUCT(--($AK$2:$AK$4001&lt;$AK2270))+1,"")</f>
        <v/>
      </c>
      <c r="AJ2270" s="18" t="str">
        <f aca="false">IF($D2270="","",IF(OR($R2270=TRUE(),$R2270="TRUE"),1,0))</f>
        <v/>
      </c>
      <c r="AK2270" s="18" t="str">
        <f aca="false">IF($AH2270=1,IFERROR(VALUE(MID($D2270,2,20)),1000000000)+ROW()/10000000,"")</f>
        <v/>
      </c>
    </row>
    <row r="2271" customFormat="false" ht="15" hidden="false" customHeight="false" outlineLevel="0" collapsed="false">
      <c r="F2271" s="15"/>
      <c r="N2271" s="16" t="str">
        <f aca="false">IF($D2271="","",M2271*Y2271/100)</f>
        <v/>
      </c>
      <c r="V2271" s="16" t="str">
        <f aca="false">IF($D2271="","",Y2271*AB2271/100)</f>
        <v/>
      </c>
      <c r="W2271" s="16" t="str">
        <f aca="false">IF($D2271="","",Y2271-V2271)</f>
        <v/>
      </c>
      <c r="X2271" s="16" t="str">
        <f aca="false">IF($D2271="","",W2271-N2271)</f>
        <v/>
      </c>
      <c r="AB2271" s="17" t="str">
        <f aca="false">IF($D2271="","",IF(OR($R2271=TRUE(),$R2271="TRUE"),Settings!$C$6,Settings!$C$7)*100)</f>
        <v/>
      </c>
      <c r="AH2271" s="18" t="str">
        <f aca="false">IF($D2271="","",IF(COUNTIF($D$2:$D2271,$D2271)=1,1,0))</f>
        <v/>
      </c>
      <c r="AI2271" s="18" t="str">
        <f aca="false">IF($AH2271=1,SUMPRODUCT(--($AK$2:$AK$4001&lt;$AK2271))+1,"")</f>
        <v/>
      </c>
      <c r="AJ2271" s="18" t="str">
        <f aca="false">IF($D2271="","",IF(OR($R2271=TRUE(),$R2271="TRUE"),1,0))</f>
        <v/>
      </c>
      <c r="AK2271" s="18" t="str">
        <f aca="false">IF($AH2271=1,IFERROR(VALUE(MID($D2271,2,20)),1000000000)+ROW()/10000000,"")</f>
        <v/>
      </c>
    </row>
    <row r="2272" customFormat="false" ht="15" hidden="false" customHeight="false" outlineLevel="0" collapsed="false">
      <c r="F2272" s="15"/>
      <c r="N2272" s="16" t="str">
        <f aca="false">IF($D2272="","",M2272*Y2272/100)</f>
        <v/>
      </c>
      <c r="V2272" s="16" t="str">
        <f aca="false">IF($D2272="","",Y2272*AB2272/100)</f>
        <v/>
      </c>
      <c r="W2272" s="16" t="str">
        <f aca="false">IF($D2272="","",Y2272-V2272)</f>
        <v/>
      </c>
      <c r="X2272" s="16" t="str">
        <f aca="false">IF($D2272="","",W2272-N2272)</f>
        <v/>
      </c>
      <c r="AB2272" s="17" t="str">
        <f aca="false">IF($D2272="","",IF(OR($R2272=TRUE(),$R2272="TRUE"),Settings!$C$6,Settings!$C$7)*100)</f>
        <v/>
      </c>
      <c r="AH2272" s="18" t="str">
        <f aca="false">IF($D2272="","",IF(COUNTIF($D$2:$D2272,$D2272)=1,1,0))</f>
        <v/>
      </c>
      <c r="AI2272" s="18" t="str">
        <f aca="false">IF($AH2272=1,SUMPRODUCT(--($AK$2:$AK$4001&lt;$AK2272))+1,"")</f>
        <v/>
      </c>
      <c r="AJ2272" s="18" t="str">
        <f aca="false">IF($D2272="","",IF(OR($R2272=TRUE(),$R2272="TRUE"),1,0))</f>
        <v/>
      </c>
      <c r="AK2272" s="18" t="str">
        <f aca="false">IF($AH2272=1,IFERROR(VALUE(MID($D2272,2,20)),1000000000)+ROW()/10000000,"")</f>
        <v/>
      </c>
    </row>
    <row r="2273" customFormat="false" ht="15" hidden="false" customHeight="false" outlineLevel="0" collapsed="false">
      <c r="F2273" s="15"/>
      <c r="N2273" s="16" t="str">
        <f aca="false">IF($D2273="","",M2273*Y2273/100)</f>
        <v/>
      </c>
      <c r="V2273" s="16" t="str">
        <f aca="false">IF($D2273="","",Y2273*AB2273/100)</f>
        <v/>
      </c>
      <c r="W2273" s="16" t="str">
        <f aca="false">IF($D2273="","",Y2273-V2273)</f>
        <v/>
      </c>
      <c r="X2273" s="16" t="str">
        <f aca="false">IF($D2273="","",W2273-N2273)</f>
        <v/>
      </c>
      <c r="AB2273" s="17" t="str">
        <f aca="false">IF($D2273="","",IF(OR($R2273=TRUE(),$R2273="TRUE"),Settings!$C$6,Settings!$C$7)*100)</f>
        <v/>
      </c>
      <c r="AH2273" s="18" t="str">
        <f aca="false">IF($D2273="","",IF(COUNTIF($D$2:$D2273,$D2273)=1,1,0))</f>
        <v/>
      </c>
      <c r="AI2273" s="18" t="str">
        <f aca="false">IF($AH2273=1,SUMPRODUCT(--($AK$2:$AK$4001&lt;$AK2273))+1,"")</f>
        <v/>
      </c>
      <c r="AJ2273" s="18" t="str">
        <f aca="false">IF($D2273="","",IF(OR($R2273=TRUE(),$R2273="TRUE"),1,0))</f>
        <v/>
      </c>
      <c r="AK2273" s="18" t="str">
        <f aca="false">IF($AH2273=1,IFERROR(VALUE(MID($D2273,2,20)),1000000000)+ROW()/10000000,"")</f>
        <v/>
      </c>
    </row>
    <row r="2274" customFormat="false" ht="15" hidden="false" customHeight="false" outlineLevel="0" collapsed="false">
      <c r="F2274" s="15"/>
      <c r="N2274" s="16" t="str">
        <f aca="false">IF($D2274="","",M2274*Y2274/100)</f>
        <v/>
      </c>
      <c r="V2274" s="16" t="str">
        <f aca="false">IF($D2274="","",Y2274*AB2274/100)</f>
        <v/>
      </c>
      <c r="W2274" s="16" t="str">
        <f aca="false">IF($D2274="","",Y2274-V2274)</f>
        <v/>
      </c>
      <c r="X2274" s="16" t="str">
        <f aca="false">IF($D2274="","",W2274-N2274)</f>
        <v/>
      </c>
      <c r="AB2274" s="17" t="str">
        <f aca="false">IF($D2274="","",IF(OR($R2274=TRUE(),$R2274="TRUE"),Settings!$C$6,Settings!$C$7)*100)</f>
        <v/>
      </c>
      <c r="AH2274" s="18" t="str">
        <f aca="false">IF($D2274="","",IF(COUNTIF($D$2:$D2274,$D2274)=1,1,0))</f>
        <v/>
      </c>
      <c r="AI2274" s="18" t="str">
        <f aca="false">IF($AH2274=1,SUMPRODUCT(--($AK$2:$AK$4001&lt;$AK2274))+1,"")</f>
        <v/>
      </c>
      <c r="AJ2274" s="18" t="str">
        <f aca="false">IF($D2274="","",IF(OR($R2274=TRUE(),$R2274="TRUE"),1,0))</f>
        <v/>
      </c>
      <c r="AK2274" s="18" t="str">
        <f aca="false">IF($AH2274=1,IFERROR(VALUE(MID($D2274,2,20)),1000000000)+ROW()/10000000,"")</f>
        <v/>
      </c>
    </row>
    <row r="2275" customFormat="false" ht="15" hidden="false" customHeight="false" outlineLevel="0" collapsed="false">
      <c r="F2275" s="15"/>
      <c r="N2275" s="16" t="str">
        <f aca="false">IF($D2275="","",M2275*Y2275/100)</f>
        <v/>
      </c>
      <c r="V2275" s="16" t="str">
        <f aca="false">IF($D2275="","",Y2275*AB2275/100)</f>
        <v/>
      </c>
      <c r="W2275" s="16" t="str">
        <f aca="false">IF($D2275="","",Y2275-V2275)</f>
        <v/>
      </c>
      <c r="X2275" s="16" t="str">
        <f aca="false">IF($D2275="","",W2275-N2275)</f>
        <v/>
      </c>
      <c r="AB2275" s="17" t="str">
        <f aca="false">IF($D2275="","",IF(OR($R2275=TRUE(),$R2275="TRUE"),Settings!$C$6,Settings!$C$7)*100)</f>
        <v/>
      </c>
      <c r="AH2275" s="18" t="str">
        <f aca="false">IF($D2275="","",IF(COUNTIF($D$2:$D2275,$D2275)=1,1,0))</f>
        <v/>
      </c>
      <c r="AI2275" s="18" t="str">
        <f aca="false">IF($AH2275=1,SUMPRODUCT(--($AK$2:$AK$4001&lt;$AK2275))+1,"")</f>
        <v/>
      </c>
      <c r="AJ2275" s="18" t="str">
        <f aca="false">IF($D2275="","",IF(OR($R2275=TRUE(),$R2275="TRUE"),1,0))</f>
        <v/>
      </c>
      <c r="AK2275" s="18" t="str">
        <f aca="false">IF($AH2275=1,IFERROR(VALUE(MID($D2275,2,20)),1000000000)+ROW()/10000000,"")</f>
        <v/>
      </c>
    </row>
    <row r="2276" customFormat="false" ht="15" hidden="false" customHeight="false" outlineLevel="0" collapsed="false">
      <c r="F2276" s="15"/>
      <c r="N2276" s="16" t="str">
        <f aca="false">IF($D2276="","",M2276*Y2276/100)</f>
        <v/>
      </c>
      <c r="V2276" s="16" t="str">
        <f aca="false">IF($D2276="","",Y2276*AB2276/100)</f>
        <v/>
      </c>
      <c r="W2276" s="16" t="str">
        <f aca="false">IF($D2276="","",Y2276-V2276)</f>
        <v/>
      </c>
      <c r="X2276" s="16" t="str">
        <f aca="false">IF($D2276="","",W2276-N2276)</f>
        <v/>
      </c>
      <c r="AB2276" s="17" t="str">
        <f aca="false">IF($D2276="","",IF(OR($R2276=TRUE(),$R2276="TRUE"),Settings!$C$6,Settings!$C$7)*100)</f>
        <v/>
      </c>
      <c r="AH2276" s="18" t="str">
        <f aca="false">IF($D2276="","",IF(COUNTIF($D$2:$D2276,$D2276)=1,1,0))</f>
        <v/>
      </c>
      <c r="AI2276" s="18" t="str">
        <f aca="false">IF($AH2276=1,SUMPRODUCT(--($AK$2:$AK$4001&lt;$AK2276))+1,"")</f>
        <v/>
      </c>
      <c r="AJ2276" s="18" t="str">
        <f aca="false">IF($D2276="","",IF(OR($R2276=TRUE(),$R2276="TRUE"),1,0))</f>
        <v/>
      </c>
      <c r="AK2276" s="18" t="str">
        <f aca="false">IF($AH2276=1,IFERROR(VALUE(MID($D2276,2,20)),1000000000)+ROW()/10000000,"")</f>
        <v/>
      </c>
    </row>
    <row r="2277" customFormat="false" ht="15" hidden="false" customHeight="false" outlineLevel="0" collapsed="false">
      <c r="F2277" s="15"/>
      <c r="N2277" s="16" t="str">
        <f aca="false">IF($D2277="","",M2277*Y2277/100)</f>
        <v/>
      </c>
      <c r="V2277" s="16" t="str">
        <f aca="false">IF($D2277="","",Y2277*AB2277/100)</f>
        <v/>
      </c>
      <c r="W2277" s="16" t="str">
        <f aca="false">IF($D2277="","",Y2277-V2277)</f>
        <v/>
      </c>
      <c r="X2277" s="16" t="str">
        <f aca="false">IF($D2277="","",W2277-N2277)</f>
        <v/>
      </c>
      <c r="AB2277" s="17" t="str">
        <f aca="false">IF($D2277="","",IF(OR($R2277=TRUE(),$R2277="TRUE"),Settings!$C$6,Settings!$C$7)*100)</f>
        <v/>
      </c>
      <c r="AH2277" s="18" t="str">
        <f aca="false">IF($D2277="","",IF(COUNTIF($D$2:$D2277,$D2277)=1,1,0))</f>
        <v/>
      </c>
      <c r="AI2277" s="18" t="str">
        <f aca="false">IF($AH2277=1,SUMPRODUCT(--($AK$2:$AK$4001&lt;$AK2277))+1,"")</f>
        <v/>
      </c>
      <c r="AJ2277" s="18" t="str">
        <f aca="false">IF($D2277="","",IF(OR($R2277=TRUE(),$R2277="TRUE"),1,0))</f>
        <v/>
      </c>
      <c r="AK2277" s="18" t="str">
        <f aca="false">IF($AH2277=1,IFERROR(VALUE(MID($D2277,2,20)),1000000000)+ROW()/10000000,"")</f>
        <v/>
      </c>
    </row>
    <row r="2278" customFormat="false" ht="15" hidden="false" customHeight="false" outlineLevel="0" collapsed="false">
      <c r="F2278" s="15"/>
      <c r="N2278" s="16" t="str">
        <f aca="false">IF($D2278="","",M2278*Y2278/100)</f>
        <v/>
      </c>
      <c r="V2278" s="16" t="str">
        <f aca="false">IF($D2278="","",Y2278*AB2278/100)</f>
        <v/>
      </c>
      <c r="W2278" s="16" t="str">
        <f aca="false">IF($D2278="","",Y2278-V2278)</f>
        <v/>
      </c>
      <c r="X2278" s="16" t="str">
        <f aca="false">IF($D2278="","",W2278-N2278)</f>
        <v/>
      </c>
      <c r="AB2278" s="17" t="str">
        <f aca="false">IF($D2278="","",IF(OR($R2278=TRUE(),$R2278="TRUE"),Settings!$C$6,Settings!$C$7)*100)</f>
        <v/>
      </c>
      <c r="AH2278" s="18" t="str">
        <f aca="false">IF($D2278="","",IF(COUNTIF($D$2:$D2278,$D2278)=1,1,0))</f>
        <v/>
      </c>
      <c r="AI2278" s="18" t="str">
        <f aca="false">IF($AH2278=1,SUMPRODUCT(--($AK$2:$AK$4001&lt;$AK2278))+1,"")</f>
        <v/>
      </c>
      <c r="AJ2278" s="18" t="str">
        <f aca="false">IF($D2278="","",IF(OR($R2278=TRUE(),$R2278="TRUE"),1,0))</f>
        <v/>
      </c>
      <c r="AK2278" s="18" t="str">
        <f aca="false">IF($AH2278=1,IFERROR(VALUE(MID($D2278,2,20)),1000000000)+ROW()/10000000,"")</f>
        <v/>
      </c>
    </row>
    <row r="2279" customFormat="false" ht="15" hidden="false" customHeight="false" outlineLevel="0" collapsed="false">
      <c r="F2279" s="15"/>
      <c r="N2279" s="16" t="str">
        <f aca="false">IF($D2279="","",M2279*Y2279/100)</f>
        <v/>
      </c>
      <c r="V2279" s="16" t="str">
        <f aca="false">IF($D2279="","",Y2279*AB2279/100)</f>
        <v/>
      </c>
      <c r="W2279" s="16" t="str">
        <f aca="false">IF($D2279="","",Y2279-V2279)</f>
        <v/>
      </c>
      <c r="X2279" s="16" t="str">
        <f aca="false">IF($D2279="","",W2279-N2279)</f>
        <v/>
      </c>
      <c r="AB2279" s="17" t="str">
        <f aca="false">IF($D2279="","",IF(OR($R2279=TRUE(),$R2279="TRUE"),Settings!$C$6,Settings!$C$7)*100)</f>
        <v/>
      </c>
      <c r="AH2279" s="18" t="str">
        <f aca="false">IF($D2279="","",IF(COUNTIF($D$2:$D2279,$D2279)=1,1,0))</f>
        <v/>
      </c>
      <c r="AI2279" s="18" t="str">
        <f aca="false">IF($AH2279=1,SUMPRODUCT(--($AK$2:$AK$4001&lt;$AK2279))+1,"")</f>
        <v/>
      </c>
      <c r="AJ2279" s="18" t="str">
        <f aca="false">IF($D2279="","",IF(OR($R2279=TRUE(),$R2279="TRUE"),1,0))</f>
        <v/>
      </c>
      <c r="AK2279" s="18" t="str">
        <f aca="false">IF($AH2279=1,IFERROR(VALUE(MID($D2279,2,20)),1000000000)+ROW()/10000000,"")</f>
        <v/>
      </c>
    </row>
    <row r="2280" customFormat="false" ht="15" hidden="false" customHeight="false" outlineLevel="0" collapsed="false">
      <c r="F2280" s="15"/>
      <c r="N2280" s="16" t="str">
        <f aca="false">IF($D2280="","",M2280*Y2280/100)</f>
        <v/>
      </c>
      <c r="V2280" s="16" t="str">
        <f aca="false">IF($D2280="","",Y2280*AB2280/100)</f>
        <v/>
      </c>
      <c r="W2280" s="16" t="str">
        <f aca="false">IF($D2280="","",Y2280-V2280)</f>
        <v/>
      </c>
      <c r="X2280" s="16" t="str">
        <f aca="false">IF($D2280="","",W2280-N2280)</f>
        <v/>
      </c>
      <c r="AB2280" s="17" t="str">
        <f aca="false">IF($D2280="","",IF(OR($R2280=TRUE(),$R2280="TRUE"),Settings!$C$6,Settings!$C$7)*100)</f>
        <v/>
      </c>
      <c r="AH2280" s="18" t="str">
        <f aca="false">IF($D2280="","",IF(COUNTIF($D$2:$D2280,$D2280)=1,1,0))</f>
        <v/>
      </c>
      <c r="AI2280" s="18" t="str">
        <f aca="false">IF($AH2280=1,SUMPRODUCT(--($AK$2:$AK$4001&lt;$AK2280))+1,"")</f>
        <v/>
      </c>
      <c r="AJ2280" s="18" t="str">
        <f aca="false">IF($D2280="","",IF(OR($R2280=TRUE(),$R2280="TRUE"),1,0))</f>
        <v/>
      </c>
      <c r="AK2280" s="18" t="str">
        <f aca="false">IF($AH2280=1,IFERROR(VALUE(MID($D2280,2,20)),1000000000)+ROW()/10000000,"")</f>
        <v/>
      </c>
    </row>
    <row r="2281" customFormat="false" ht="15" hidden="false" customHeight="false" outlineLevel="0" collapsed="false">
      <c r="F2281" s="15"/>
      <c r="N2281" s="16" t="str">
        <f aca="false">IF($D2281="","",M2281*Y2281/100)</f>
        <v/>
      </c>
      <c r="V2281" s="16" t="str">
        <f aca="false">IF($D2281="","",Y2281*AB2281/100)</f>
        <v/>
      </c>
      <c r="W2281" s="16" t="str">
        <f aca="false">IF($D2281="","",Y2281-V2281)</f>
        <v/>
      </c>
      <c r="X2281" s="16" t="str">
        <f aca="false">IF($D2281="","",W2281-N2281)</f>
        <v/>
      </c>
      <c r="AB2281" s="17" t="str">
        <f aca="false">IF($D2281="","",IF(OR($R2281=TRUE(),$R2281="TRUE"),Settings!$C$6,Settings!$C$7)*100)</f>
        <v/>
      </c>
      <c r="AH2281" s="18" t="str">
        <f aca="false">IF($D2281="","",IF(COUNTIF($D$2:$D2281,$D2281)=1,1,0))</f>
        <v/>
      </c>
      <c r="AI2281" s="18" t="str">
        <f aca="false">IF($AH2281=1,SUMPRODUCT(--($AK$2:$AK$4001&lt;$AK2281))+1,"")</f>
        <v/>
      </c>
      <c r="AJ2281" s="18" t="str">
        <f aca="false">IF($D2281="","",IF(OR($R2281=TRUE(),$R2281="TRUE"),1,0))</f>
        <v/>
      </c>
      <c r="AK2281" s="18" t="str">
        <f aca="false">IF($AH2281=1,IFERROR(VALUE(MID($D2281,2,20)),1000000000)+ROW()/10000000,"")</f>
        <v/>
      </c>
    </row>
    <row r="2282" customFormat="false" ht="15" hidden="false" customHeight="false" outlineLevel="0" collapsed="false">
      <c r="F2282" s="15"/>
      <c r="N2282" s="16" t="str">
        <f aca="false">IF($D2282="","",M2282*Y2282/100)</f>
        <v/>
      </c>
      <c r="V2282" s="16" t="str">
        <f aca="false">IF($D2282="","",Y2282*AB2282/100)</f>
        <v/>
      </c>
      <c r="W2282" s="16" t="str">
        <f aca="false">IF($D2282="","",Y2282-V2282)</f>
        <v/>
      </c>
      <c r="X2282" s="16" t="str">
        <f aca="false">IF($D2282="","",W2282-N2282)</f>
        <v/>
      </c>
      <c r="AB2282" s="17" t="str">
        <f aca="false">IF($D2282="","",IF(OR($R2282=TRUE(),$R2282="TRUE"),Settings!$C$6,Settings!$C$7)*100)</f>
        <v/>
      </c>
      <c r="AH2282" s="18" t="str">
        <f aca="false">IF($D2282="","",IF(COUNTIF($D$2:$D2282,$D2282)=1,1,0))</f>
        <v/>
      </c>
      <c r="AI2282" s="18" t="str">
        <f aca="false">IF($AH2282=1,SUMPRODUCT(--($AK$2:$AK$4001&lt;$AK2282))+1,"")</f>
        <v/>
      </c>
      <c r="AJ2282" s="18" t="str">
        <f aca="false">IF($D2282="","",IF(OR($R2282=TRUE(),$R2282="TRUE"),1,0))</f>
        <v/>
      </c>
      <c r="AK2282" s="18" t="str">
        <f aca="false">IF($AH2282=1,IFERROR(VALUE(MID($D2282,2,20)),1000000000)+ROW()/10000000,"")</f>
        <v/>
      </c>
    </row>
    <row r="2283" customFormat="false" ht="15" hidden="false" customHeight="false" outlineLevel="0" collapsed="false">
      <c r="F2283" s="15"/>
      <c r="N2283" s="16" t="str">
        <f aca="false">IF($D2283="","",M2283*Y2283/100)</f>
        <v/>
      </c>
      <c r="V2283" s="16" t="str">
        <f aca="false">IF($D2283="","",Y2283*AB2283/100)</f>
        <v/>
      </c>
      <c r="W2283" s="16" t="str">
        <f aca="false">IF($D2283="","",Y2283-V2283)</f>
        <v/>
      </c>
      <c r="X2283" s="16" t="str">
        <f aca="false">IF($D2283="","",W2283-N2283)</f>
        <v/>
      </c>
      <c r="AB2283" s="17" t="str">
        <f aca="false">IF($D2283="","",IF(OR($R2283=TRUE(),$R2283="TRUE"),Settings!$C$6,Settings!$C$7)*100)</f>
        <v/>
      </c>
      <c r="AH2283" s="18" t="str">
        <f aca="false">IF($D2283="","",IF(COUNTIF($D$2:$D2283,$D2283)=1,1,0))</f>
        <v/>
      </c>
      <c r="AI2283" s="18" t="str">
        <f aca="false">IF($AH2283=1,SUMPRODUCT(--($AK$2:$AK$4001&lt;$AK2283))+1,"")</f>
        <v/>
      </c>
      <c r="AJ2283" s="18" t="str">
        <f aca="false">IF($D2283="","",IF(OR($R2283=TRUE(),$R2283="TRUE"),1,0))</f>
        <v/>
      </c>
      <c r="AK2283" s="18" t="str">
        <f aca="false">IF($AH2283=1,IFERROR(VALUE(MID($D2283,2,20)),1000000000)+ROW()/10000000,"")</f>
        <v/>
      </c>
    </row>
    <row r="2284" customFormat="false" ht="15" hidden="false" customHeight="false" outlineLevel="0" collapsed="false">
      <c r="F2284" s="15"/>
      <c r="N2284" s="16" t="str">
        <f aca="false">IF($D2284="","",M2284*Y2284/100)</f>
        <v/>
      </c>
      <c r="V2284" s="16" t="str">
        <f aca="false">IF($D2284="","",Y2284*AB2284/100)</f>
        <v/>
      </c>
      <c r="W2284" s="16" t="str">
        <f aca="false">IF($D2284="","",Y2284-V2284)</f>
        <v/>
      </c>
      <c r="X2284" s="16" t="str">
        <f aca="false">IF($D2284="","",W2284-N2284)</f>
        <v/>
      </c>
      <c r="AB2284" s="17" t="str">
        <f aca="false">IF($D2284="","",IF(OR($R2284=TRUE(),$R2284="TRUE"),Settings!$C$6,Settings!$C$7)*100)</f>
        <v/>
      </c>
      <c r="AH2284" s="18" t="str">
        <f aca="false">IF($D2284="","",IF(COUNTIF($D$2:$D2284,$D2284)=1,1,0))</f>
        <v/>
      </c>
      <c r="AI2284" s="18" t="str">
        <f aca="false">IF($AH2284=1,SUMPRODUCT(--($AK$2:$AK$4001&lt;$AK2284))+1,"")</f>
        <v/>
      </c>
      <c r="AJ2284" s="18" t="str">
        <f aca="false">IF($D2284="","",IF(OR($R2284=TRUE(),$R2284="TRUE"),1,0))</f>
        <v/>
      </c>
      <c r="AK2284" s="18" t="str">
        <f aca="false">IF($AH2284=1,IFERROR(VALUE(MID($D2284,2,20)),1000000000)+ROW()/10000000,"")</f>
        <v/>
      </c>
    </row>
    <row r="2285" customFormat="false" ht="15" hidden="false" customHeight="false" outlineLevel="0" collapsed="false">
      <c r="F2285" s="15"/>
      <c r="N2285" s="16" t="str">
        <f aca="false">IF($D2285="","",M2285*Y2285/100)</f>
        <v/>
      </c>
      <c r="V2285" s="16" t="str">
        <f aca="false">IF($D2285="","",Y2285*AB2285/100)</f>
        <v/>
      </c>
      <c r="W2285" s="16" t="str">
        <f aca="false">IF($D2285="","",Y2285-V2285)</f>
        <v/>
      </c>
      <c r="X2285" s="16" t="str">
        <f aca="false">IF($D2285="","",W2285-N2285)</f>
        <v/>
      </c>
      <c r="AB2285" s="17" t="str">
        <f aca="false">IF($D2285="","",IF(OR($R2285=TRUE(),$R2285="TRUE"),Settings!$C$6,Settings!$C$7)*100)</f>
        <v/>
      </c>
      <c r="AH2285" s="18" t="str">
        <f aca="false">IF($D2285="","",IF(COUNTIF($D$2:$D2285,$D2285)=1,1,0))</f>
        <v/>
      </c>
      <c r="AI2285" s="18" t="str">
        <f aca="false">IF($AH2285=1,SUMPRODUCT(--($AK$2:$AK$4001&lt;$AK2285))+1,"")</f>
        <v/>
      </c>
      <c r="AJ2285" s="18" t="str">
        <f aca="false">IF($D2285="","",IF(OR($R2285=TRUE(),$R2285="TRUE"),1,0))</f>
        <v/>
      </c>
      <c r="AK2285" s="18" t="str">
        <f aca="false">IF($AH2285=1,IFERROR(VALUE(MID($D2285,2,20)),1000000000)+ROW()/10000000,"")</f>
        <v/>
      </c>
    </row>
    <row r="2286" customFormat="false" ht="15" hidden="false" customHeight="false" outlineLevel="0" collapsed="false">
      <c r="F2286" s="15"/>
      <c r="N2286" s="16" t="str">
        <f aca="false">IF($D2286="","",M2286*Y2286/100)</f>
        <v/>
      </c>
      <c r="V2286" s="16" t="str">
        <f aca="false">IF($D2286="","",Y2286*AB2286/100)</f>
        <v/>
      </c>
      <c r="W2286" s="16" t="str">
        <f aca="false">IF($D2286="","",Y2286-V2286)</f>
        <v/>
      </c>
      <c r="X2286" s="16" t="str">
        <f aca="false">IF($D2286="","",W2286-N2286)</f>
        <v/>
      </c>
      <c r="AB2286" s="17" t="str">
        <f aca="false">IF($D2286="","",IF(OR($R2286=TRUE(),$R2286="TRUE"),Settings!$C$6,Settings!$C$7)*100)</f>
        <v/>
      </c>
      <c r="AH2286" s="18" t="str">
        <f aca="false">IF($D2286="","",IF(COUNTIF($D$2:$D2286,$D2286)=1,1,0))</f>
        <v/>
      </c>
      <c r="AI2286" s="18" t="str">
        <f aca="false">IF($AH2286=1,SUMPRODUCT(--($AK$2:$AK$4001&lt;$AK2286))+1,"")</f>
        <v/>
      </c>
      <c r="AJ2286" s="18" t="str">
        <f aca="false">IF($D2286="","",IF(OR($R2286=TRUE(),$R2286="TRUE"),1,0))</f>
        <v/>
      </c>
      <c r="AK2286" s="18" t="str">
        <f aca="false">IF($AH2286=1,IFERROR(VALUE(MID($D2286,2,20)),1000000000)+ROW()/10000000,"")</f>
        <v/>
      </c>
    </row>
    <row r="2287" customFormat="false" ht="15" hidden="false" customHeight="false" outlineLevel="0" collapsed="false">
      <c r="F2287" s="15"/>
      <c r="N2287" s="16" t="str">
        <f aca="false">IF($D2287="","",M2287*Y2287/100)</f>
        <v/>
      </c>
      <c r="V2287" s="16" t="str">
        <f aca="false">IF($D2287="","",Y2287*AB2287/100)</f>
        <v/>
      </c>
      <c r="W2287" s="16" t="str">
        <f aca="false">IF($D2287="","",Y2287-V2287)</f>
        <v/>
      </c>
      <c r="X2287" s="16" t="str">
        <f aca="false">IF($D2287="","",W2287-N2287)</f>
        <v/>
      </c>
      <c r="AB2287" s="17" t="str">
        <f aca="false">IF($D2287="","",IF(OR($R2287=TRUE(),$R2287="TRUE"),Settings!$C$6,Settings!$C$7)*100)</f>
        <v/>
      </c>
      <c r="AH2287" s="18" t="str">
        <f aca="false">IF($D2287="","",IF(COUNTIF($D$2:$D2287,$D2287)=1,1,0))</f>
        <v/>
      </c>
      <c r="AI2287" s="18" t="str">
        <f aca="false">IF($AH2287=1,SUMPRODUCT(--($AK$2:$AK$4001&lt;$AK2287))+1,"")</f>
        <v/>
      </c>
      <c r="AJ2287" s="18" t="str">
        <f aca="false">IF($D2287="","",IF(OR($R2287=TRUE(),$R2287="TRUE"),1,0))</f>
        <v/>
      </c>
      <c r="AK2287" s="18" t="str">
        <f aca="false">IF($AH2287=1,IFERROR(VALUE(MID($D2287,2,20)),1000000000)+ROW()/10000000,"")</f>
        <v/>
      </c>
    </row>
    <row r="2288" customFormat="false" ht="15" hidden="false" customHeight="false" outlineLevel="0" collapsed="false">
      <c r="F2288" s="15"/>
      <c r="N2288" s="16" t="str">
        <f aca="false">IF($D2288="","",M2288*Y2288/100)</f>
        <v/>
      </c>
      <c r="V2288" s="16" t="str">
        <f aca="false">IF($D2288="","",Y2288*AB2288/100)</f>
        <v/>
      </c>
      <c r="W2288" s="16" t="str">
        <f aca="false">IF($D2288="","",Y2288-V2288)</f>
        <v/>
      </c>
      <c r="X2288" s="16" t="str">
        <f aca="false">IF($D2288="","",W2288-N2288)</f>
        <v/>
      </c>
      <c r="AB2288" s="17" t="str">
        <f aca="false">IF($D2288="","",IF(OR($R2288=TRUE(),$R2288="TRUE"),Settings!$C$6,Settings!$C$7)*100)</f>
        <v/>
      </c>
      <c r="AH2288" s="18" t="str">
        <f aca="false">IF($D2288="","",IF(COUNTIF($D$2:$D2288,$D2288)=1,1,0))</f>
        <v/>
      </c>
      <c r="AI2288" s="18" t="str">
        <f aca="false">IF($AH2288=1,SUMPRODUCT(--($AK$2:$AK$4001&lt;$AK2288))+1,"")</f>
        <v/>
      </c>
      <c r="AJ2288" s="18" t="str">
        <f aca="false">IF($D2288="","",IF(OR($R2288=TRUE(),$R2288="TRUE"),1,0))</f>
        <v/>
      </c>
      <c r="AK2288" s="18" t="str">
        <f aca="false">IF($AH2288=1,IFERROR(VALUE(MID($D2288,2,20)),1000000000)+ROW()/10000000,"")</f>
        <v/>
      </c>
    </row>
    <row r="2289" customFormat="false" ht="15" hidden="false" customHeight="false" outlineLevel="0" collapsed="false">
      <c r="F2289" s="15"/>
      <c r="N2289" s="16" t="str">
        <f aca="false">IF($D2289="","",M2289*Y2289/100)</f>
        <v/>
      </c>
      <c r="V2289" s="16" t="str">
        <f aca="false">IF($D2289="","",Y2289*AB2289/100)</f>
        <v/>
      </c>
      <c r="W2289" s="16" t="str">
        <f aca="false">IF($D2289="","",Y2289-V2289)</f>
        <v/>
      </c>
      <c r="X2289" s="16" t="str">
        <f aca="false">IF($D2289="","",W2289-N2289)</f>
        <v/>
      </c>
      <c r="AB2289" s="17" t="str">
        <f aca="false">IF($D2289="","",IF(OR($R2289=TRUE(),$R2289="TRUE"),Settings!$C$6,Settings!$C$7)*100)</f>
        <v/>
      </c>
      <c r="AH2289" s="18" t="str">
        <f aca="false">IF($D2289="","",IF(COUNTIF($D$2:$D2289,$D2289)=1,1,0))</f>
        <v/>
      </c>
      <c r="AI2289" s="18" t="str">
        <f aca="false">IF($AH2289=1,SUMPRODUCT(--($AK$2:$AK$4001&lt;$AK2289))+1,"")</f>
        <v/>
      </c>
      <c r="AJ2289" s="18" t="str">
        <f aca="false">IF($D2289="","",IF(OR($R2289=TRUE(),$R2289="TRUE"),1,0))</f>
        <v/>
      </c>
      <c r="AK2289" s="18" t="str">
        <f aca="false">IF($AH2289=1,IFERROR(VALUE(MID($D2289,2,20)),1000000000)+ROW()/10000000,"")</f>
        <v/>
      </c>
    </row>
    <row r="2290" customFormat="false" ht="15" hidden="false" customHeight="false" outlineLevel="0" collapsed="false">
      <c r="F2290" s="15"/>
      <c r="N2290" s="16" t="str">
        <f aca="false">IF($D2290="","",M2290*Y2290/100)</f>
        <v/>
      </c>
      <c r="V2290" s="16" t="str">
        <f aca="false">IF($D2290="","",Y2290*AB2290/100)</f>
        <v/>
      </c>
      <c r="W2290" s="16" t="str">
        <f aca="false">IF($D2290="","",Y2290-V2290)</f>
        <v/>
      </c>
      <c r="X2290" s="16" t="str">
        <f aca="false">IF($D2290="","",W2290-N2290)</f>
        <v/>
      </c>
      <c r="AB2290" s="17" t="str">
        <f aca="false">IF($D2290="","",IF(OR($R2290=TRUE(),$R2290="TRUE"),Settings!$C$6,Settings!$C$7)*100)</f>
        <v/>
      </c>
      <c r="AH2290" s="18" t="str">
        <f aca="false">IF($D2290="","",IF(COUNTIF($D$2:$D2290,$D2290)=1,1,0))</f>
        <v/>
      </c>
      <c r="AI2290" s="18" t="str">
        <f aca="false">IF($AH2290=1,SUMPRODUCT(--($AK$2:$AK$4001&lt;$AK2290))+1,"")</f>
        <v/>
      </c>
      <c r="AJ2290" s="18" t="str">
        <f aca="false">IF($D2290="","",IF(OR($R2290=TRUE(),$R2290="TRUE"),1,0))</f>
        <v/>
      </c>
      <c r="AK2290" s="18" t="str">
        <f aca="false">IF($AH2290=1,IFERROR(VALUE(MID($D2290,2,20)),1000000000)+ROW()/10000000,"")</f>
        <v/>
      </c>
    </row>
    <row r="2291" customFormat="false" ht="15" hidden="false" customHeight="false" outlineLevel="0" collapsed="false">
      <c r="F2291" s="15"/>
      <c r="N2291" s="16" t="str">
        <f aca="false">IF($D2291="","",M2291*Y2291/100)</f>
        <v/>
      </c>
      <c r="V2291" s="16" t="str">
        <f aca="false">IF($D2291="","",Y2291*AB2291/100)</f>
        <v/>
      </c>
      <c r="W2291" s="16" t="str">
        <f aca="false">IF($D2291="","",Y2291-V2291)</f>
        <v/>
      </c>
      <c r="X2291" s="16" t="str">
        <f aca="false">IF($D2291="","",W2291-N2291)</f>
        <v/>
      </c>
      <c r="AB2291" s="17" t="str">
        <f aca="false">IF($D2291="","",IF(OR($R2291=TRUE(),$R2291="TRUE"),Settings!$C$6,Settings!$C$7)*100)</f>
        <v/>
      </c>
      <c r="AH2291" s="18" t="str">
        <f aca="false">IF($D2291="","",IF(COUNTIF($D$2:$D2291,$D2291)=1,1,0))</f>
        <v/>
      </c>
      <c r="AI2291" s="18" t="str">
        <f aca="false">IF($AH2291=1,SUMPRODUCT(--($AK$2:$AK$4001&lt;$AK2291))+1,"")</f>
        <v/>
      </c>
      <c r="AJ2291" s="18" t="str">
        <f aca="false">IF($D2291="","",IF(OR($R2291=TRUE(),$R2291="TRUE"),1,0))</f>
        <v/>
      </c>
      <c r="AK2291" s="18" t="str">
        <f aca="false">IF($AH2291=1,IFERROR(VALUE(MID($D2291,2,20)),1000000000)+ROW()/10000000,"")</f>
        <v/>
      </c>
    </row>
    <row r="2292" customFormat="false" ht="15" hidden="false" customHeight="false" outlineLevel="0" collapsed="false">
      <c r="F2292" s="15"/>
      <c r="N2292" s="16" t="str">
        <f aca="false">IF($D2292="","",M2292*Y2292/100)</f>
        <v/>
      </c>
      <c r="V2292" s="16" t="str">
        <f aca="false">IF($D2292="","",Y2292*AB2292/100)</f>
        <v/>
      </c>
      <c r="W2292" s="16" t="str">
        <f aca="false">IF($D2292="","",Y2292-V2292)</f>
        <v/>
      </c>
      <c r="X2292" s="16" t="str">
        <f aca="false">IF($D2292="","",W2292-N2292)</f>
        <v/>
      </c>
      <c r="AB2292" s="17" t="str">
        <f aca="false">IF($D2292="","",IF(OR($R2292=TRUE(),$R2292="TRUE"),Settings!$C$6,Settings!$C$7)*100)</f>
        <v/>
      </c>
      <c r="AH2292" s="18" t="str">
        <f aca="false">IF($D2292="","",IF(COUNTIF($D$2:$D2292,$D2292)=1,1,0))</f>
        <v/>
      </c>
      <c r="AI2292" s="18" t="str">
        <f aca="false">IF($AH2292=1,SUMPRODUCT(--($AK$2:$AK$4001&lt;$AK2292))+1,"")</f>
        <v/>
      </c>
      <c r="AJ2292" s="18" t="str">
        <f aca="false">IF($D2292="","",IF(OR($R2292=TRUE(),$R2292="TRUE"),1,0))</f>
        <v/>
      </c>
      <c r="AK2292" s="18" t="str">
        <f aca="false">IF($AH2292=1,IFERROR(VALUE(MID($D2292,2,20)),1000000000)+ROW()/10000000,"")</f>
        <v/>
      </c>
    </row>
    <row r="2293" customFormat="false" ht="15" hidden="false" customHeight="false" outlineLevel="0" collapsed="false">
      <c r="F2293" s="15"/>
      <c r="N2293" s="16" t="str">
        <f aca="false">IF($D2293="","",M2293*Y2293/100)</f>
        <v/>
      </c>
      <c r="V2293" s="16" t="str">
        <f aca="false">IF($D2293="","",Y2293*AB2293/100)</f>
        <v/>
      </c>
      <c r="W2293" s="16" t="str">
        <f aca="false">IF($D2293="","",Y2293-V2293)</f>
        <v/>
      </c>
      <c r="X2293" s="16" t="str">
        <f aca="false">IF($D2293="","",W2293-N2293)</f>
        <v/>
      </c>
      <c r="AB2293" s="17" t="str">
        <f aca="false">IF($D2293="","",IF(OR($R2293=TRUE(),$R2293="TRUE"),Settings!$C$6,Settings!$C$7)*100)</f>
        <v/>
      </c>
      <c r="AH2293" s="18" t="str">
        <f aca="false">IF($D2293="","",IF(COUNTIF($D$2:$D2293,$D2293)=1,1,0))</f>
        <v/>
      </c>
      <c r="AI2293" s="18" t="str">
        <f aca="false">IF($AH2293=1,SUMPRODUCT(--($AK$2:$AK$4001&lt;$AK2293))+1,"")</f>
        <v/>
      </c>
      <c r="AJ2293" s="18" t="str">
        <f aca="false">IF($D2293="","",IF(OR($R2293=TRUE(),$R2293="TRUE"),1,0))</f>
        <v/>
      </c>
      <c r="AK2293" s="18" t="str">
        <f aca="false">IF($AH2293=1,IFERROR(VALUE(MID($D2293,2,20)),1000000000)+ROW()/10000000,"")</f>
        <v/>
      </c>
    </row>
    <row r="2294" customFormat="false" ht="15" hidden="false" customHeight="false" outlineLevel="0" collapsed="false">
      <c r="F2294" s="15"/>
      <c r="N2294" s="16" t="str">
        <f aca="false">IF($D2294="","",M2294*Y2294/100)</f>
        <v/>
      </c>
      <c r="V2294" s="16" t="str">
        <f aca="false">IF($D2294="","",Y2294*AB2294/100)</f>
        <v/>
      </c>
      <c r="W2294" s="16" t="str">
        <f aca="false">IF($D2294="","",Y2294-V2294)</f>
        <v/>
      </c>
      <c r="X2294" s="16" t="str">
        <f aca="false">IF($D2294="","",W2294-N2294)</f>
        <v/>
      </c>
      <c r="AB2294" s="17" t="str">
        <f aca="false">IF($D2294="","",IF(OR($R2294=TRUE(),$R2294="TRUE"),Settings!$C$6,Settings!$C$7)*100)</f>
        <v/>
      </c>
      <c r="AH2294" s="18" t="str">
        <f aca="false">IF($D2294="","",IF(COUNTIF($D$2:$D2294,$D2294)=1,1,0))</f>
        <v/>
      </c>
      <c r="AI2294" s="18" t="str">
        <f aca="false">IF($AH2294=1,SUMPRODUCT(--($AK$2:$AK$4001&lt;$AK2294))+1,"")</f>
        <v/>
      </c>
      <c r="AJ2294" s="18" t="str">
        <f aca="false">IF($D2294="","",IF(OR($R2294=TRUE(),$R2294="TRUE"),1,0))</f>
        <v/>
      </c>
      <c r="AK2294" s="18" t="str">
        <f aca="false">IF($AH2294=1,IFERROR(VALUE(MID($D2294,2,20)),1000000000)+ROW()/10000000,"")</f>
        <v/>
      </c>
    </row>
    <row r="2295" customFormat="false" ht="15" hidden="false" customHeight="false" outlineLevel="0" collapsed="false">
      <c r="F2295" s="15"/>
      <c r="N2295" s="16" t="str">
        <f aca="false">IF($D2295="","",M2295*Y2295/100)</f>
        <v/>
      </c>
      <c r="V2295" s="16" t="str">
        <f aca="false">IF($D2295="","",Y2295*AB2295/100)</f>
        <v/>
      </c>
      <c r="W2295" s="16" t="str">
        <f aca="false">IF($D2295="","",Y2295-V2295)</f>
        <v/>
      </c>
      <c r="X2295" s="16" t="str">
        <f aca="false">IF($D2295="","",W2295-N2295)</f>
        <v/>
      </c>
      <c r="AB2295" s="17" t="str">
        <f aca="false">IF($D2295="","",IF(OR($R2295=TRUE(),$R2295="TRUE"),Settings!$C$6,Settings!$C$7)*100)</f>
        <v/>
      </c>
      <c r="AH2295" s="18" t="str">
        <f aca="false">IF($D2295="","",IF(COUNTIF($D$2:$D2295,$D2295)=1,1,0))</f>
        <v/>
      </c>
      <c r="AI2295" s="18" t="str">
        <f aca="false">IF($AH2295=1,SUMPRODUCT(--($AK$2:$AK$4001&lt;$AK2295))+1,"")</f>
        <v/>
      </c>
      <c r="AJ2295" s="18" t="str">
        <f aca="false">IF($D2295="","",IF(OR($R2295=TRUE(),$R2295="TRUE"),1,0))</f>
        <v/>
      </c>
      <c r="AK2295" s="18" t="str">
        <f aca="false">IF($AH2295=1,IFERROR(VALUE(MID($D2295,2,20)),1000000000)+ROW()/10000000,"")</f>
        <v/>
      </c>
    </row>
    <row r="2296" customFormat="false" ht="15" hidden="false" customHeight="false" outlineLevel="0" collapsed="false">
      <c r="F2296" s="15"/>
      <c r="N2296" s="16" t="str">
        <f aca="false">IF($D2296="","",M2296*Y2296/100)</f>
        <v/>
      </c>
      <c r="V2296" s="16" t="str">
        <f aca="false">IF($D2296="","",Y2296*AB2296/100)</f>
        <v/>
      </c>
      <c r="W2296" s="16" t="str">
        <f aca="false">IF($D2296="","",Y2296-V2296)</f>
        <v/>
      </c>
      <c r="X2296" s="16" t="str">
        <f aca="false">IF($D2296="","",W2296-N2296)</f>
        <v/>
      </c>
      <c r="AB2296" s="17" t="str">
        <f aca="false">IF($D2296="","",IF(OR($R2296=TRUE(),$R2296="TRUE"),Settings!$C$6,Settings!$C$7)*100)</f>
        <v/>
      </c>
      <c r="AH2296" s="18" t="str">
        <f aca="false">IF($D2296="","",IF(COUNTIF($D$2:$D2296,$D2296)=1,1,0))</f>
        <v/>
      </c>
      <c r="AI2296" s="18" t="str">
        <f aca="false">IF($AH2296=1,SUMPRODUCT(--($AK$2:$AK$4001&lt;$AK2296))+1,"")</f>
        <v/>
      </c>
      <c r="AJ2296" s="18" t="str">
        <f aca="false">IF($D2296="","",IF(OR($R2296=TRUE(),$R2296="TRUE"),1,0))</f>
        <v/>
      </c>
      <c r="AK2296" s="18" t="str">
        <f aca="false">IF($AH2296=1,IFERROR(VALUE(MID($D2296,2,20)),1000000000)+ROW()/10000000,"")</f>
        <v/>
      </c>
    </row>
    <row r="2297" customFormat="false" ht="15" hidden="false" customHeight="false" outlineLevel="0" collapsed="false">
      <c r="F2297" s="15"/>
      <c r="N2297" s="16" t="str">
        <f aca="false">IF($D2297="","",M2297*Y2297/100)</f>
        <v/>
      </c>
      <c r="V2297" s="16" t="str">
        <f aca="false">IF($D2297="","",Y2297*AB2297/100)</f>
        <v/>
      </c>
      <c r="W2297" s="16" t="str">
        <f aca="false">IF($D2297="","",Y2297-V2297)</f>
        <v/>
      </c>
      <c r="X2297" s="16" t="str">
        <f aca="false">IF($D2297="","",W2297-N2297)</f>
        <v/>
      </c>
      <c r="AB2297" s="17" t="str">
        <f aca="false">IF($D2297="","",IF(OR($R2297=TRUE(),$R2297="TRUE"),Settings!$C$6,Settings!$C$7)*100)</f>
        <v/>
      </c>
      <c r="AH2297" s="18" t="str">
        <f aca="false">IF($D2297="","",IF(COUNTIF($D$2:$D2297,$D2297)=1,1,0))</f>
        <v/>
      </c>
      <c r="AI2297" s="18" t="str">
        <f aca="false">IF($AH2297=1,SUMPRODUCT(--($AK$2:$AK$4001&lt;$AK2297))+1,"")</f>
        <v/>
      </c>
      <c r="AJ2297" s="18" t="str">
        <f aca="false">IF($D2297="","",IF(OR($R2297=TRUE(),$R2297="TRUE"),1,0))</f>
        <v/>
      </c>
      <c r="AK2297" s="18" t="str">
        <f aca="false">IF($AH2297=1,IFERROR(VALUE(MID($D2297,2,20)),1000000000)+ROW()/10000000,"")</f>
        <v/>
      </c>
    </row>
    <row r="2298" customFormat="false" ht="15" hidden="false" customHeight="false" outlineLevel="0" collapsed="false">
      <c r="F2298" s="15"/>
      <c r="N2298" s="16" t="str">
        <f aca="false">IF($D2298="","",M2298*Y2298/100)</f>
        <v/>
      </c>
      <c r="V2298" s="16" t="str">
        <f aca="false">IF($D2298="","",Y2298*AB2298/100)</f>
        <v/>
      </c>
      <c r="W2298" s="16" t="str">
        <f aca="false">IF($D2298="","",Y2298-V2298)</f>
        <v/>
      </c>
      <c r="X2298" s="16" t="str">
        <f aca="false">IF($D2298="","",W2298-N2298)</f>
        <v/>
      </c>
      <c r="AB2298" s="17" t="str">
        <f aca="false">IF($D2298="","",IF(OR($R2298=TRUE(),$R2298="TRUE"),Settings!$C$6,Settings!$C$7)*100)</f>
        <v/>
      </c>
      <c r="AH2298" s="18" t="str">
        <f aca="false">IF($D2298="","",IF(COUNTIF($D$2:$D2298,$D2298)=1,1,0))</f>
        <v/>
      </c>
      <c r="AI2298" s="18" t="str">
        <f aca="false">IF($AH2298=1,SUMPRODUCT(--($AK$2:$AK$4001&lt;$AK2298))+1,"")</f>
        <v/>
      </c>
      <c r="AJ2298" s="18" t="str">
        <f aca="false">IF($D2298="","",IF(OR($R2298=TRUE(),$R2298="TRUE"),1,0))</f>
        <v/>
      </c>
      <c r="AK2298" s="18" t="str">
        <f aca="false">IF($AH2298=1,IFERROR(VALUE(MID($D2298,2,20)),1000000000)+ROW()/10000000,"")</f>
        <v/>
      </c>
    </row>
    <row r="2299" customFormat="false" ht="15" hidden="false" customHeight="false" outlineLevel="0" collapsed="false">
      <c r="F2299" s="15"/>
      <c r="N2299" s="16" t="str">
        <f aca="false">IF($D2299="","",M2299*Y2299/100)</f>
        <v/>
      </c>
      <c r="V2299" s="16" t="str">
        <f aca="false">IF($D2299="","",Y2299*AB2299/100)</f>
        <v/>
      </c>
      <c r="W2299" s="16" t="str">
        <f aca="false">IF($D2299="","",Y2299-V2299)</f>
        <v/>
      </c>
      <c r="X2299" s="16" t="str">
        <f aca="false">IF($D2299="","",W2299-N2299)</f>
        <v/>
      </c>
      <c r="AB2299" s="17" t="str">
        <f aca="false">IF($D2299="","",IF(OR($R2299=TRUE(),$R2299="TRUE"),Settings!$C$6,Settings!$C$7)*100)</f>
        <v/>
      </c>
      <c r="AH2299" s="18" t="str">
        <f aca="false">IF($D2299="","",IF(COUNTIF($D$2:$D2299,$D2299)=1,1,0))</f>
        <v/>
      </c>
      <c r="AI2299" s="18" t="str">
        <f aca="false">IF($AH2299=1,SUMPRODUCT(--($AK$2:$AK$4001&lt;$AK2299))+1,"")</f>
        <v/>
      </c>
      <c r="AJ2299" s="18" t="str">
        <f aca="false">IF($D2299="","",IF(OR($R2299=TRUE(),$R2299="TRUE"),1,0))</f>
        <v/>
      </c>
      <c r="AK2299" s="18" t="str">
        <f aca="false">IF($AH2299=1,IFERROR(VALUE(MID($D2299,2,20)),1000000000)+ROW()/10000000,"")</f>
        <v/>
      </c>
    </row>
    <row r="2300" customFormat="false" ht="15" hidden="false" customHeight="false" outlineLevel="0" collapsed="false">
      <c r="F2300" s="15"/>
      <c r="N2300" s="16" t="str">
        <f aca="false">IF($D2300="","",M2300*Y2300/100)</f>
        <v/>
      </c>
      <c r="V2300" s="16" t="str">
        <f aca="false">IF($D2300="","",Y2300*AB2300/100)</f>
        <v/>
      </c>
      <c r="W2300" s="16" t="str">
        <f aca="false">IF($D2300="","",Y2300-V2300)</f>
        <v/>
      </c>
      <c r="X2300" s="16" t="str">
        <f aca="false">IF($D2300="","",W2300-N2300)</f>
        <v/>
      </c>
      <c r="AB2300" s="17" t="str">
        <f aca="false">IF($D2300="","",IF(OR($R2300=TRUE(),$R2300="TRUE"),Settings!$C$6,Settings!$C$7)*100)</f>
        <v/>
      </c>
      <c r="AH2300" s="18" t="str">
        <f aca="false">IF($D2300="","",IF(COUNTIF($D$2:$D2300,$D2300)=1,1,0))</f>
        <v/>
      </c>
      <c r="AI2300" s="18" t="str">
        <f aca="false">IF($AH2300=1,SUMPRODUCT(--($AK$2:$AK$4001&lt;$AK2300))+1,"")</f>
        <v/>
      </c>
      <c r="AJ2300" s="18" t="str">
        <f aca="false">IF($D2300="","",IF(OR($R2300=TRUE(),$R2300="TRUE"),1,0))</f>
        <v/>
      </c>
      <c r="AK2300" s="18" t="str">
        <f aca="false">IF($AH2300=1,IFERROR(VALUE(MID($D2300,2,20)),1000000000)+ROW()/10000000,"")</f>
        <v/>
      </c>
    </row>
    <row r="2301" customFormat="false" ht="15" hidden="false" customHeight="false" outlineLevel="0" collapsed="false">
      <c r="F2301" s="15"/>
      <c r="N2301" s="16" t="str">
        <f aca="false">IF($D2301="","",M2301*Y2301/100)</f>
        <v/>
      </c>
      <c r="V2301" s="16" t="str">
        <f aca="false">IF($D2301="","",Y2301*AB2301/100)</f>
        <v/>
      </c>
      <c r="W2301" s="16" t="str">
        <f aca="false">IF($D2301="","",Y2301-V2301)</f>
        <v/>
      </c>
      <c r="X2301" s="16" t="str">
        <f aca="false">IF($D2301="","",W2301-N2301)</f>
        <v/>
      </c>
      <c r="AB2301" s="17" t="str">
        <f aca="false">IF($D2301="","",IF(OR($R2301=TRUE(),$R2301="TRUE"),Settings!$C$6,Settings!$C$7)*100)</f>
        <v/>
      </c>
      <c r="AH2301" s="18" t="str">
        <f aca="false">IF($D2301="","",IF(COUNTIF($D$2:$D2301,$D2301)=1,1,0))</f>
        <v/>
      </c>
      <c r="AI2301" s="18" t="str">
        <f aca="false">IF($AH2301=1,SUMPRODUCT(--($AK$2:$AK$4001&lt;$AK2301))+1,"")</f>
        <v/>
      </c>
      <c r="AJ2301" s="18" t="str">
        <f aca="false">IF($D2301="","",IF(OR($R2301=TRUE(),$R2301="TRUE"),1,0))</f>
        <v/>
      </c>
      <c r="AK2301" s="18" t="str">
        <f aca="false">IF($AH2301=1,IFERROR(VALUE(MID($D2301,2,20)),1000000000)+ROW()/10000000,"")</f>
        <v/>
      </c>
    </row>
    <row r="2302" customFormat="false" ht="15" hidden="false" customHeight="false" outlineLevel="0" collapsed="false">
      <c r="F2302" s="15"/>
      <c r="N2302" s="16" t="str">
        <f aca="false">IF($D2302="","",M2302*Y2302/100)</f>
        <v/>
      </c>
      <c r="V2302" s="16" t="str">
        <f aca="false">IF($D2302="","",Y2302*AB2302/100)</f>
        <v/>
      </c>
      <c r="W2302" s="16" t="str">
        <f aca="false">IF($D2302="","",Y2302-V2302)</f>
        <v/>
      </c>
      <c r="X2302" s="16" t="str">
        <f aca="false">IF($D2302="","",W2302-N2302)</f>
        <v/>
      </c>
      <c r="AB2302" s="17" t="str">
        <f aca="false">IF($D2302="","",IF(OR($R2302=TRUE(),$R2302="TRUE"),Settings!$C$6,Settings!$C$7)*100)</f>
        <v/>
      </c>
      <c r="AH2302" s="18" t="str">
        <f aca="false">IF($D2302="","",IF(COUNTIF($D$2:$D2302,$D2302)=1,1,0))</f>
        <v/>
      </c>
      <c r="AI2302" s="18" t="str">
        <f aca="false">IF($AH2302=1,SUMPRODUCT(--($AK$2:$AK$4001&lt;$AK2302))+1,"")</f>
        <v/>
      </c>
      <c r="AJ2302" s="18" t="str">
        <f aca="false">IF($D2302="","",IF(OR($R2302=TRUE(),$R2302="TRUE"),1,0))</f>
        <v/>
      </c>
      <c r="AK2302" s="18" t="str">
        <f aca="false">IF($AH2302=1,IFERROR(VALUE(MID($D2302,2,20)),1000000000)+ROW()/10000000,"")</f>
        <v/>
      </c>
    </row>
    <row r="2303" customFormat="false" ht="15" hidden="false" customHeight="false" outlineLevel="0" collapsed="false">
      <c r="F2303" s="15"/>
      <c r="N2303" s="16" t="str">
        <f aca="false">IF($D2303="","",M2303*Y2303/100)</f>
        <v/>
      </c>
      <c r="V2303" s="16" t="str">
        <f aca="false">IF($D2303="","",Y2303*AB2303/100)</f>
        <v/>
      </c>
      <c r="W2303" s="16" t="str">
        <f aca="false">IF($D2303="","",Y2303-V2303)</f>
        <v/>
      </c>
      <c r="X2303" s="16" t="str">
        <f aca="false">IF($D2303="","",W2303-N2303)</f>
        <v/>
      </c>
      <c r="AB2303" s="17" t="str">
        <f aca="false">IF($D2303="","",IF(OR($R2303=TRUE(),$R2303="TRUE"),Settings!$C$6,Settings!$C$7)*100)</f>
        <v/>
      </c>
      <c r="AH2303" s="18" t="str">
        <f aca="false">IF($D2303="","",IF(COUNTIF($D$2:$D2303,$D2303)=1,1,0))</f>
        <v/>
      </c>
      <c r="AI2303" s="18" t="str">
        <f aca="false">IF($AH2303=1,SUMPRODUCT(--($AK$2:$AK$4001&lt;$AK2303))+1,"")</f>
        <v/>
      </c>
      <c r="AJ2303" s="18" t="str">
        <f aca="false">IF($D2303="","",IF(OR($R2303=TRUE(),$R2303="TRUE"),1,0))</f>
        <v/>
      </c>
      <c r="AK2303" s="18" t="str">
        <f aca="false">IF($AH2303=1,IFERROR(VALUE(MID($D2303,2,20)),1000000000)+ROW()/10000000,"")</f>
        <v/>
      </c>
    </row>
    <row r="2304" customFormat="false" ht="15" hidden="false" customHeight="false" outlineLevel="0" collapsed="false">
      <c r="F2304" s="15"/>
      <c r="N2304" s="16" t="str">
        <f aca="false">IF($D2304="","",M2304*Y2304/100)</f>
        <v/>
      </c>
      <c r="V2304" s="16" t="str">
        <f aca="false">IF($D2304="","",Y2304*AB2304/100)</f>
        <v/>
      </c>
      <c r="W2304" s="16" t="str">
        <f aca="false">IF($D2304="","",Y2304-V2304)</f>
        <v/>
      </c>
      <c r="X2304" s="16" t="str">
        <f aca="false">IF($D2304="","",W2304-N2304)</f>
        <v/>
      </c>
      <c r="AB2304" s="17" t="str">
        <f aca="false">IF($D2304="","",IF(OR($R2304=TRUE(),$R2304="TRUE"),Settings!$C$6,Settings!$C$7)*100)</f>
        <v/>
      </c>
      <c r="AH2304" s="18" t="str">
        <f aca="false">IF($D2304="","",IF(COUNTIF($D$2:$D2304,$D2304)=1,1,0))</f>
        <v/>
      </c>
      <c r="AI2304" s="18" t="str">
        <f aca="false">IF($AH2304=1,SUMPRODUCT(--($AK$2:$AK$4001&lt;$AK2304))+1,"")</f>
        <v/>
      </c>
      <c r="AJ2304" s="18" t="str">
        <f aca="false">IF($D2304="","",IF(OR($R2304=TRUE(),$R2304="TRUE"),1,0))</f>
        <v/>
      </c>
      <c r="AK2304" s="18" t="str">
        <f aca="false">IF($AH2304=1,IFERROR(VALUE(MID($D2304,2,20)),1000000000)+ROW()/10000000,"")</f>
        <v/>
      </c>
    </row>
    <row r="2305" customFormat="false" ht="15" hidden="false" customHeight="false" outlineLevel="0" collapsed="false">
      <c r="F2305" s="15"/>
      <c r="N2305" s="16" t="str">
        <f aca="false">IF($D2305="","",M2305*Y2305/100)</f>
        <v/>
      </c>
      <c r="V2305" s="16" t="str">
        <f aca="false">IF($D2305="","",Y2305*AB2305/100)</f>
        <v/>
      </c>
      <c r="W2305" s="16" t="str">
        <f aca="false">IF($D2305="","",Y2305-V2305)</f>
        <v/>
      </c>
      <c r="X2305" s="16" t="str">
        <f aca="false">IF($D2305="","",W2305-N2305)</f>
        <v/>
      </c>
      <c r="AB2305" s="17" t="str">
        <f aca="false">IF($D2305="","",IF(OR($R2305=TRUE(),$R2305="TRUE"),Settings!$C$6,Settings!$C$7)*100)</f>
        <v/>
      </c>
      <c r="AH2305" s="18" t="str">
        <f aca="false">IF($D2305="","",IF(COUNTIF($D$2:$D2305,$D2305)=1,1,0))</f>
        <v/>
      </c>
      <c r="AI2305" s="18" t="str">
        <f aca="false">IF($AH2305=1,SUMPRODUCT(--($AK$2:$AK$4001&lt;$AK2305))+1,"")</f>
        <v/>
      </c>
      <c r="AJ2305" s="18" t="str">
        <f aca="false">IF($D2305="","",IF(OR($R2305=TRUE(),$R2305="TRUE"),1,0))</f>
        <v/>
      </c>
      <c r="AK2305" s="18" t="str">
        <f aca="false">IF($AH2305=1,IFERROR(VALUE(MID($D2305,2,20)),1000000000)+ROW()/10000000,"")</f>
        <v/>
      </c>
    </row>
    <row r="2306" customFormat="false" ht="15" hidden="false" customHeight="false" outlineLevel="0" collapsed="false">
      <c r="F2306" s="15"/>
      <c r="N2306" s="16" t="str">
        <f aca="false">IF($D2306="","",M2306*Y2306/100)</f>
        <v/>
      </c>
      <c r="V2306" s="16" t="str">
        <f aca="false">IF($D2306="","",Y2306*AB2306/100)</f>
        <v/>
      </c>
      <c r="W2306" s="16" t="str">
        <f aca="false">IF($D2306="","",Y2306-V2306)</f>
        <v/>
      </c>
      <c r="X2306" s="16" t="str">
        <f aca="false">IF($D2306="","",W2306-N2306)</f>
        <v/>
      </c>
      <c r="AB2306" s="17" t="str">
        <f aca="false">IF($D2306="","",IF(OR($R2306=TRUE(),$R2306="TRUE"),Settings!$C$6,Settings!$C$7)*100)</f>
        <v/>
      </c>
      <c r="AH2306" s="18" t="str">
        <f aca="false">IF($D2306="","",IF(COUNTIF($D$2:$D2306,$D2306)=1,1,0))</f>
        <v/>
      </c>
      <c r="AI2306" s="18" t="str">
        <f aca="false">IF($AH2306=1,SUMPRODUCT(--($AK$2:$AK$4001&lt;$AK2306))+1,"")</f>
        <v/>
      </c>
      <c r="AJ2306" s="18" t="str">
        <f aca="false">IF($D2306="","",IF(OR($R2306=TRUE(),$R2306="TRUE"),1,0))</f>
        <v/>
      </c>
      <c r="AK2306" s="18" t="str">
        <f aca="false">IF($AH2306=1,IFERROR(VALUE(MID($D2306,2,20)),1000000000)+ROW()/10000000,"")</f>
        <v/>
      </c>
    </row>
    <row r="2307" customFormat="false" ht="15" hidden="false" customHeight="false" outlineLevel="0" collapsed="false">
      <c r="F2307" s="15"/>
      <c r="N2307" s="16" t="str">
        <f aca="false">IF($D2307="","",M2307*Y2307/100)</f>
        <v/>
      </c>
      <c r="V2307" s="16" t="str">
        <f aca="false">IF($D2307="","",Y2307*AB2307/100)</f>
        <v/>
      </c>
      <c r="W2307" s="16" t="str">
        <f aca="false">IF($D2307="","",Y2307-V2307)</f>
        <v/>
      </c>
      <c r="X2307" s="16" t="str">
        <f aca="false">IF($D2307="","",W2307-N2307)</f>
        <v/>
      </c>
      <c r="AB2307" s="17" t="str">
        <f aca="false">IF($D2307="","",IF(OR($R2307=TRUE(),$R2307="TRUE"),Settings!$C$6,Settings!$C$7)*100)</f>
        <v/>
      </c>
      <c r="AH2307" s="18" t="str">
        <f aca="false">IF($D2307="","",IF(COUNTIF($D$2:$D2307,$D2307)=1,1,0))</f>
        <v/>
      </c>
      <c r="AI2307" s="18" t="str">
        <f aca="false">IF($AH2307=1,SUMPRODUCT(--($AK$2:$AK$4001&lt;$AK2307))+1,"")</f>
        <v/>
      </c>
      <c r="AJ2307" s="18" t="str">
        <f aca="false">IF($D2307="","",IF(OR($R2307=TRUE(),$R2307="TRUE"),1,0))</f>
        <v/>
      </c>
      <c r="AK2307" s="18" t="str">
        <f aca="false">IF($AH2307=1,IFERROR(VALUE(MID($D2307,2,20)),1000000000)+ROW()/10000000,"")</f>
        <v/>
      </c>
    </row>
    <row r="2308" customFormat="false" ht="15" hidden="false" customHeight="false" outlineLevel="0" collapsed="false">
      <c r="F2308" s="15"/>
      <c r="N2308" s="16" t="str">
        <f aca="false">IF($D2308="","",M2308*Y2308/100)</f>
        <v/>
      </c>
      <c r="V2308" s="16" t="str">
        <f aca="false">IF($D2308="","",Y2308*AB2308/100)</f>
        <v/>
      </c>
      <c r="W2308" s="16" t="str">
        <f aca="false">IF($D2308="","",Y2308-V2308)</f>
        <v/>
      </c>
      <c r="X2308" s="16" t="str">
        <f aca="false">IF($D2308="","",W2308-N2308)</f>
        <v/>
      </c>
      <c r="AB2308" s="17" t="str">
        <f aca="false">IF($D2308="","",IF(OR($R2308=TRUE(),$R2308="TRUE"),Settings!$C$6,Settings!$C$7)*100)</f>
        <v/>
      </c>
      <c r="AH2308" s="18" t="str">
        <f aca="false">IF($D2308="","",IF(COUNTIF($D$2:$D2308,$D2308)=1,1,0))</f>
        <v/>
      </c>
      <c r="AI2308" s="18" t="str">
        <f aca="false">IF($AH2308=1,SUMPRODUCT(--($AK$2:$AK$4001&lt;$AK2308))+1,"")</f>
        <v/>
      </c>
      <c r="AJ2308" s="18" t="str">
        <f aca="false">IF($D2308="","",IF(OR($R2308=TRUE(),$R2308="TRUE"),1,0))</f>
        <v/>
      </c>
      <c r="AK2308" s="18" t="str">
        <f aca="false">IF($AH2308=1,IFERROR(VALUE(MID($D2308,2,20)),1000000000)+ROW()/10000000,"")</f>
        <v/>
      </c>
    </row>
    <row r="2309" customFormat="false" ht="15" hidden="false" customHeight="false" outlineLevel="0" collapsed="false">
      <c r="F2309" s="15"/>
      <c r="N2309" s="16" t="str">
        <f aca="false">IF($D2309="","",M2309*Y2309/100)</f>
        <v/>
      </c>
      <c r="V2309" s="16" t="str">
        <f aca="false">IF($D2309="","",Y2309*AB2309/100)</f>
        <v/>
      </c>
      <c r="W2309" s="16" t="str">
        <f aca="false">IF($D2309="","",Y2309-V2309)</f>
        <v/>
      </c>
      <c r="X2309" s="16" t="str">
        <f aca="false">IF($D2309="","",W2309-N2309)</f>
        <v/>
      </c>
      <c r="AB2309" s="17" t="str">
        <f aca="false">IF($D2309="","",IF(OR($R2309=TRUE(),$R2309="TRUE"),Settings!$C$6,Settings!$C$7)*100)</f>
        <v/>
      </c>
      <c r="AH2309" s="18" t="str">
        <f aca="false">IF($D2309="","",IF(COUNTIF($D$2:$D2309,$D2309)=1,1,0))</f>
        <v/>
      </c>
      <c r="AI2309" s="18" t="str">
        <f aca="false">IF($AH2309=1,SUMPRODUCT(--($AK$2:$AK$4001&lt;$AK2309))+1,"")</f>
        <v/>
      </c>
      <c r="AJ2309" s="18" t="str">
        <f aca="false">IF($D2309="","",IF(OR($R2309=TRUE(),$R2309="TRUE"),1,0))</f>
        <v/>
      </c>
      <c r="AK2309" s="18" t="str">
        <f aca="false">IF($AH2309=1,IFERROR(VALUE(MID($D2309,2,20)),1000000000)+ROW()/10000000,"")</f>
        <v/>
      </c>
    </row>
    <row r="2310" customFormat="false" ht="15" hidden="false" customHeight="false" outlineLevel="0" collapsed="false">
      <c r="F2310" s="15"/>
      <c r="N2310" s="16" t="str">
        <f aca="false">IF($D2310="","",M2310*Y2310/100)</f>
        <v/>
      </c>
      <c r="V2310" s="16" t="str">
        <f aca="false">IF($D2310="","",Y2310*AB2310/100)</f>
        <v/>
      </c>
      <c r="W2310" s="16" t="str">
        <f aca="false">IF($D2310="","",Y2310-V2310)</f>
        <v/>
      </c>
      <c r="X2310" s="16" t="str">
        <f aca="false">IF($D2310="","",W2310-N2310)</f>
        <v/>
      </c>
      <c r="AB2310" s="17" t="str">
        <f aca="false">IF($D2310="","",IF(OR($R2310=TRUE(),$R2310="TRUE"),Settings!$C$6,Settings!$C$7)*100)</f>
        <v/>
      </c>
      <c r="AH2310" s="18" t="str">
        <f aca="false">IF($D2310="","",IF(COUNTIF($D$2:$D2310,$D2310)=1,1,0))</f>
        <v/>
      </c>
      <c r="AI2310" s="18" t="str">
        <f aca="false">IF($AH2310=1,SUMPRODUCT(--($AK$2:$AK$4001&lt;$AK2310))+1,"")</f>
        <v/>
      </c>
      <c r="AJ2310" s="18" t="str">
        <f aca="false">IF($D2310="","",IF(OR($R2310=TRUE(),$R2310="TRUE"),1,0))</f>
        <v/>
      </c>
      <c r="AK2310" s="18" t="str">
        <f aca="false">IF($AH2310=1,IFERROR(VALUE(MID($D2310,2,20)),1000000000)+ROW()/10000000,"")</f>
        <v/>
      </c>
    </row>
    <row r="2311" customFormat="false" ht="15" hidden="false" customHeight="false" outlineLevel="0" collapsed="false">
      <c r="F2311" s="15"/>
      <c r="N2311" s="16" t="str">
        <f aca="false">IF($D2311="","",M2311*Y2311/100)</f>
        <v/>
      </c>
      <c r="V2311" s="16" t="str">
        <f aca="false">IF($D2311="","",Y2311*AB2311/100)</f>
        <v/>
      </c>
      <c r="W2311" s="16" t="str">
        <f aca="false">IF($D2311="","",Y2311-V2311)</f>
        <v/>
      </c>
      <c r="X2311" s="16" t="str">
        <f aca="false">IF($D2311="","",W2311-N2311)</f>
        <v/>
      </c>
      <c r="AB2311" s="17" t="str">
        <f aca="false">IF($D2311="","",IF(OR($R2311=TRUE(),$R2311="TRUE"),Settings!$C$6,Settings!$C$7)*100)</f>
        <v/>
      </c>
      <c r="AH2311" s="18" t="str">
        <f aca="false">IF($D2311="","",IF(COUNTIF($D$2:$D2311,$D2311)=1,1,0))</f>
        <v/>
      </c>
      <c r="AI2311" s="18" t="str">
        <f aca="false">IF($AH2311=1,SUMPRODUCT(--($AK$2:$AK$4001&lt;$AK2311))+1,"")</f>
        <v/>
      </c>
      <c r="AJ2311" s="18" t="str">
        <f aca="false">IF($D2311="","",IF(OR($R2311=TRUE(),$R2311="TRUE"),1,0))</f>
        <v/>
      </c>
      <c r="AK2311" s="18" t="str">
        <f aca="false">IF($AH2311=1,IFERROR(VALUE(MID($D2311,2,20)),1000000000)+ROW()/10000000,"")</f>
        <v/>
      </c>
    </row>
    <row r="2312" customFormat="false" ht="15" hidden="false" customHeight="false" outlineLevel="0" collapsed="false">
      <c r="F2312" s="15"/>
      <c r="N2312" s="16" t="str">
        <f aca="false">IF($D2312="","",M2312*Y2312/100)</f>
        <v/>
      </c>
      <c r="V2312" s="16" t="str">
        <f aca="false">IF($D2312="","",Y2312*AB2312/100)</f>
        <v/>
      </c>
      <c r="W2312" s="16" t="str">
        <f aca="false">IF($D2312="","",Y2312-V2312)</f>
        <v/>
      </c>
      <c r="X2312" s="16" t="str">
        <f aca="false">IF($D2312="","",W2312-N2312)</f>
        <v/>
      </c>
      <c r="AB2312" s="17" t="str">
        <f aca="false">IF($D2312="","",IF(OR($R2312=TRUE(),$R2312="TRUE"),Settings!$C$6,Settings!$C$7)*100)</f>
        <v/>
      </c>
      <c r="AH2312" s="18" t="str">
        <f aca="false">IF($D2312="","",IF(COUNTIF($D$2:$D2312,$D2312)=1,1,0))</f>
        <v/>
      </c>
      <c r="AI2312" s="18" t="str">
        <f aca="false">IF($AH2312=1,SUMPRODUCT(--($AK$2:$AK$4001&lt;$AK2312))+1,"")</f>
        <v/>
      </c>
      <c r="AJ2312" s="18" t="str">
        <f aca="false">IF($D2312="","",IF(OR($R2312=TRUE(),$R2312="TRUE"),1,0))</f>
        <v/>
      </c>
      <c r="AK2312" s="18" t="str">
        <f aca="false">IF($AH2312=1,IFERROR(VALUE(MID($D2312,2,20)),1000000000)+ROW()/10000000,"")</f>
        <v/>
      </c>
    </row>
    <row r="2313" customFormat="false" ht="15" hidden="false" customHeight="false" outlineLevel="0" collapsed="false">
      <c r="F2313" s="15"/>
      <c r="N2313" s="16" t="str">
        <f aca="false">IF($D2313="","",M2313*Y2313/100)</f>
        <v/>
      </c>
      <c r="V2313" s="16" t="str">
        <f aca="false">IF($D2313="","",Y2313*AB2313/100)</f>
        <v/>
      </c>
      <c r="W2313" s="16" t="str">
        <f aca="false">IF($D2313="","",Y2313-V2313)</f>
        <v/>
      </c>
      <c r="X2313" s="16" t="str">
        <f aca="false">IF($D2313="","",W2313-N2313)</f>
        <v/>
      </c>
      <c r="AB2313" s="17" t="str">
        <f aca="false">IF($D2313="","",IF(OR($R2313=TRUE(),$R2313="TRUE"),Settings!$C$6,Settings!$C$7)*100)</f>
        <v/>
      </c>
      <c r="AH2313" s="18" t="str">
        <f aca="false">IF($D2313="","",IF(COUNTIF($D$2:$D2313,$D2313)=1,1,0))</f>
        <v/>
      </c>
      <c r="AI2313" s="18" t="str">
        <f aca="false">IF($AH2313=1,SUMPRODUCT(--($AK$2:$AK$4001&lt;$AK2313))+1,"")</f>
        <v/>
      </c>
      <c r="AJ2313" s="18" t="str">
        <f aca="false">IF($D2313="","",IF(OR($R2313=TRUE(),$R2313="TRUE"),1,0))</f>
        <v/>
      </c>
      <c r="AK2313" s="18" t="str">
        <f aca="false">IF($AH2313=1,IFERROR(VALUE(MID($D2313,2,20)),1000000000)+ROW()/10000000,"")</f>
        <v/>
      </c>
    </row>
    <row r="2314" customFormat="false" ht="15" hidden="false" customHeight="false" outlineLevel="0" collapsed="false">
      <c r="F2314" s="15"/>
      <c r="N2314" s="16" t="str">
        <f aca="false">IF($D2314="","",M2314*Y2314/100)</f>
        <v/>
      </c>
      <c r="V2314" s="16" t="str">
        <f aca="false">IF($D2314="","",Y2314*AB2314/100)</f>
        <v/>
      </c>
      <c r="W2314" s="16" t="str">
        <f aca="false">IF($D2314="","",Y2314-V2314)</f>
        <v/>
      </c>
      <c r="X2314" s="16" t="str">
        <f aca="false">IF($D2314="","",W2314-N2314)</f>
        <v/>
      </c>
      <c r="AB2314" s="17" t="str">
        <f aca="false">IF($D2314="","",IF(OR($R2314=TRUE(),$R2314="TRUE"),Settings!$C$6,Settings!$C$7)*100)</f>
        <v/>
      </c>
      <c r="AH2314" s="18" t="str">
        <f aca="false">IF($D2314="","",IF(COUNTIF($D$2:$D2314,$D2314)=1,1,0))</f>
        <v/>
      </c>
      <c r="AI2314" s="18" t="str">
        <f aca="false">IF($AH2314=1,SUMPRODUCT(--($AK$2:$AK$4001&lt;$AK2314))+1,"")</f>
        <v/>
      </c>
      <c r="AJ2314" s="18" t="str">
        <f aca="false">IF($D2314="","",IF(OR($R2314=TRUE(),$R2314="TRUE"),1,0))</f>
        <v/>
      </c>
      <c r="AK2314" s="18" t="str">
        <f aca="false">IF($AH2314=1,IFERROR(VALUE(MID($D2314,2,20)),1000000000)+ROW()/10000000,"")</f>
        <v/>
      </c>
    </row>
    <row r="2315" customFormat="false" ht="15" hidden="false" customHeight="false" outlineLevel="0" collapsed="false">
      <c r="F2315" s="15"/>
      <c r="N2315" s="16" t="str">
        <f aca="false">IF($D2315="","",M2315*Y2315/100)</f>
        <v/>
      </c>
      <c r="V2315" s="16" t="str">
        <f aca="false">IF($D2315="","",Y2315*AB2315/100)</f>
        <v/>
      </c>
      <c r="W2315" s="16" t="str">
        <f aca="false">IF($D2315="","",Y2315-V2315)</f>
        <v/>
      </c>
      <c r="X2315" s="16" t="str">
        <f aca="false">IF($D2315="","",W2315-N2315)</f>
        <v/>
      </c>
      <c r="AB2315" s="17" t="str">
        <f aca="false">IF($D2315="","",IF(OR($R2315=TRUE(),$R2315="TRUE"),Settings!$C$6,Settings!$C$7)*100)</f>
        <v/>
      </c>
      <c r="AH2315" s="18" t="str">
        <f aca="false">IF($D2315="","",IF(COUNTIF($D$2:$D2315,$D2315)=1,1,0))</f>
        <v/>
      </c>
      <c r="AI2315" s="18" t="str">
        <f aca="false">IF($AH2315=1,SUMPRODUCT(--($AK$2:$AK$4001&lt;$AK2315))+1,"")</f>
        <v/>
      </c>
      <c r="AJ2315" s="18" t="str">
        <f aca="false">IF($D2315="","",IF(OR($R2315=TRUE(),$R2315="TRUE"),1,0))</f>
        <v/>
      </c>
      <c r="AK2315" s="18" t="str">
        <f aca="false">IF($AH2315=1,IFERROR(VALUE(MID($D2315,2,20)),1000000000)+ROW()/10000000,"")</f>
        <v/>
      </c>
    </row>
    <row r="2316" customFormat="false" ht="15" hidden="false" customHeight="false" outlineLevel="0" collapsed="false">
      <c r="F2316" s="15"/>
      <c r="N2316" s="16" t="str">
        <f aca="false">IF($D2316="","",M2316*Y2316/100)</f>
        <v/>
      </c>
      <c r="V2316" s="16" t="str">
        <f aca="false">IF($D2316="","",Y2316*AB2316/100)</f>
        <v/>
      </c>
      <c r="W2316" s="16" t="str">
        <f aca="false">IF($D2316="","",Y2316-V2316)</f>
        <v/>
      </c>
      <c r="X2316" s="16" t="str">
        <f aca="false">IF($D2316="","",W2316-N2316)</f>
        <v/>
      </c>
      <c r="AB2316" s="17" t="str">
        <f aca="false">IF($D2316="","",IF(OR($R2316=TRUE(),$R2316="TRUE"),Settings!$C$6,Settings!$C$7)*100)</f>
        <v/>
      </c>
      <c r="AH2316" s="18" t="str">
        <f aca="false">IF($D2316="","",IF(COUNTIF($D$2:$D2316,$D2316)=1,1,0))</f>
        <v/>
      </c>
      <c r="AI2316" s="18" t="str">
        <f aca="false">IF($AH2316=1,SUMPRODUCT(--($AK$2:$AK$4001&lt;$AK2316))+1,"")</f>
        <v/>
      </c>
      <c r="AJ2316" s="18" t="str">
        <f aca="false">IF($D2316="","",IF(OR($R2316=TRUE(),$R2316="TRUE"),1,0))</f>
        <v/>
      </c>
      <c r="AK2316" s="18" t="str">
        <f aca="false">IF($AH2316=1,IFERROR(VALUE(MID($D2316,2,20)),1000000000)+ROW()/10000000,"")</f>
        <v/>
      </c>
    </row>
    <row r="2317" customFormat="false" ht="15" hidden="false" customHeight="false" outlineLevel="0" collapsed="false">
      <c r="F2317" s="15"/>
      <c r="N2317" s="16" t="str">
        <f aca="false">IF($D2317="","",M2317*Y2317/100)</f>
        <v/>
      </c>
      <c r="V2317" s="16" t="str">
        <f aca="false">IF($D2317="","",Y2317*AB2317/100)</f>
        <v/>
      </c>
      <c r="W2317" s="16" t="str">
        <f aca="false">IF($D2317="","",Y2317-V2317)</f>
        <v/>
      </c>
      <c r="X2317" s="16" t="str">
        <f aca="false">IF($D2317="","",W2317-N2317)</f>
        <v/>
      </c>
      <c r="AB2317" s="17" t="str">
        <f aca="false">IF($D2317="","",IF(OR($R2317=TRUE(),$R2317="TRUE"),Settings!$C$6,Settings!$C$7)*100)</f>
        <v/>
      </c>
      <c r="AH2317" s="18" t="str">
        <f aca="false">IF($D2317="","",IF(COUNTIF($D$2:$D2317,$D2317)=1,1,0))</f>
        <v/>
      </c>
      <c r="AI2317" s="18" t="str">
        <f aca="false">IF($AH2317=1,SUMPRODUCT(--($AK$2:$AK$4001&lt;$AK2317))+1,"")</f>
        <v/>
      </c>
      <c r="AJ2317" s="18" t="str">
        <f aca="false">IF($D2317="","",IF(OR($R2317=TRUE(),$R2317="TRUE"),1,0))</f>
        <v/>
      </c>
      <c r="AK2317" s="18" t="str">
        <f aca="false">IF($AH2317=1,IFERROR(VALUE(MID($D2317,2,20)),1000000000)+ROW()/10000000,"")</f>
        <v/>
      </c>
    </row>
    <row r="2318" customFormat="false" ht="15" hidden="false" customHeight="false" outlineLevel="0" collapsed="false">
      <c r="F2318" s="15"/>
      <c r="N2318" s="16" t="str">
        <f aca="false">IF($D2318="","",M2318*Y2318/100)</f>
        <v/>
      </c>
      <c r="V2318" s="16" t="str">
        <f aca="false">IF($D2318="","",Y2318*AB2318/100)</f>
        <v/>
      </c>
      <c r="W2318" s="16" t="str">
        <f aca="false">IF($D2318="","",Y2318-V2318)</f>
        <v/>
      </c>
      <c r="X2318" s="16" t="str">
        <f aca="false">IF($D2318="","",W2318-N2318)</f>
        <v/>
      </c>
      <c r="AB2318" s="17" t="str">
        <f aca="false">IF($D2318="","",IF(OR($R2318=TRUE(),$R2318="TRUE"),Settings!$C$6,Settings!$C$7)*100)</f>
        <v/>
      </c>
      <c r="AH2318" s="18" t="str">
        <f aca="false">IF($D2318="","",IF(COUNTIF($D$2:$D2318,$D2318)=1,1,0))</f>
        <v/>
      </c>
      <c r="AI2318" s="18" t="str">
        <f aca="false">IF($AH2318=1,SUMPRODUCT(--($AK$2:$AK$4001&lt;$AK2318))+1,"")</f>
        <v/>
      </c>
      <c r="AJ2318" s="18" t="str">
        <f aca="false">IF($D2318="","",IF(OR($R2318=TRUE(),$R2318="TRUE"),1,0))</f>
        <v/>
      </c>
      <c r="AK2318" s="18" t="str">
        <f aca="false">IF($AH2318=1,IFERROR(VALUE(MID($D2318,2,20)),1000000000)+ROW()/10000000,"")</f>
        <v/>
      </c>
    </row>
    <row r="2319" customFormat="false" ht="15" hidden="false" customHeight="false" outlineLevel="0" collapsed="false">
      <c r="F2319" s="15"/>
      <c r="N2319" s="16" t="str">
        <f aca="false">IF($D2319="","",M2319*Y2319/100)</f>
        <v/>
      </c>
      <c r="V2319" s="16" t="str">
        <f aca="false">IF($D2319="","",Y2319*AB2319/100)</f>
        <v/>
      </c>
      <c r="W2319" s="16" t="str">
        <f aca="false">IF($D2319="","",Y2319-V2319)</f>
        <v/>
      </c>
      <c r="X2319" s="16" t="str">
        <f aca="false">IF($D2319="","",W2319-N2319)</f>
        <v/>
      </c>
      <c r="AB2319" s="17" t="str">
        <f aca="false">IF($D2319="","",IF(OR($R2319=TRUE(),$R2319="TRUE"),Settings!$C$6,Settings!$C$7)*100)</f>
        <v/>
      </c>
      <c r="AH2319" s="18" t="str">
        <f aca="false">IF($D2319="","",IF(COUNTIF($D$2:$D2319,$D2319)=1,1,0))</f>
        <v/>
      </c>
      <c r="AI2319" s="18" t="str">
        <f aca="false">IF($AH2319=1,SUMPRODUCT(--($AK$2:$AK$4001&lt;$AK2319))+1,"")</f>
        <v/>
      </c>
      <c r="AJ2319" s="18" t="str">
        <f aca="false">IF($D2319="","",IF(OR($R2319=TRUE(),$R2319="TRUE"),1,0))</f>
        <v/>
      </c>
      <c r="AK2319" s="18" t="str">
        <f aca="false">IF($AH2319=1,IFERROR(VALUE(MID($D2319,2,20)),1000000000)+ROW()/10000000,"")</f>
        <v/>
      </c>
    </row>
    <row r="2320" customFormat="false" ht="15" hidden="false" customHeight="false" outlineLevel="0" collapsed="false">
      <c r="F2320" s="15"/>
      <c r="N2320" s="16" t="str">
        <f aca="false">IF($D2320="","",M2320*Y2320/100)</f>
        <v/>
      </c>
      <c r="V2320" s="16" t="str">
        <f aca="false">IF($D2320="","",Y2320*AB2320/100)</f>
        <v/>
      </c>
      <c r="W2320" s="16" t="str">
        <f aca="false">IF($D2320="","",Y2320-V2320)</f>
        <v/>
      </c>
      <c r="X2320" s="16" t="str">
        <f aca="false">IF($D2320="","",W2320-N2320)</f>
        <v/>
      </c>
      <c r="AB2320" s="17" t="str">
        <f aca="false">IF($D2320="","",IF(OR($R2320=TRUE(),$R2320="TRUE"),Settings!$C$6,Settings!$C$7)*100)</f>
        <v/>
      </c>
      <c r="AH2320" s="18" t="str">
        <f aca="false">IF($D2320="","",IF(COUNTIF($D$2:$D2320,$D2320)=1,1,0))</f>
        <v/>
      </c>
      <c r="AI2320" s="18" t="str">
        <f aca="false">IF($AH2320=1,SUMPRODUCT(--($AK$2:$AK$4001&lt;$AK2320))+1,"")</f>
        <v/>
      </c>
      <c r="AJ2320" s="18" t="str">
        <f aca="false">IF($D2320="","",IF(OR($R2320=TRUE(),$R2320="TRUE"),1,0))</f>
        <v/>
      </c>
      <c r="AK2320" s="18" t="str">
        <f aca="false">IF($AH2320=1,IFERROR(VALUE(MID($D2320,2,20)),1000000000)+ROW()/10000000,"")</f>
        <v/>
      </c>
    </row>
    <row r="2321" customFormat="false" ht="15" hidden="false" customHeight="false" outlineLevel="0" collapsed="false">
      <c r="F2321" s="15"/>
      <c r="N2321" s="16" t="str">
        <f aca="false">IF($D2321="","",M2321*Y2321/100)</f>
        <v/>
      </c>
      <c r="V2321" s="16" t="str">
        <f aca="false">IF($D2321="","",Y2321*AB2321/100)</f>
        <v/>
      </c>
      <c r="W2321" s="16" t="str">
        <f aca="false">IF($D2321="","",Y2321-V2321)</f>
        <v/>
      </c>
      <c r="X2321" s="16" t="str">
        <f aca="false">IF($D2321="","",W2321-N2321)</f>
        <v/>
      </c>
      <c r="AB2321" s="17" t="str">
        <f aca="false">IF($D2321="","",IF(OR($R2321=TRUE(),$R2321="TRUE"),Settings!$C$6,Settings!$C$7)*100)</f>
        <v/>
      </c>
      <c r="AH2321" s="18" t="str">
        <f aca="false">IF($D2321="","",IF(COUNTIF($D$2:$D2321,$D2321)=1,1,0))</f>
        <v/>
      </c>
      <c r="AI2321" s="18" t="str">
        <f aca="false">IF($AH2321=1,SUMPRODUCT(--($AK$2:$AK$4001&lt;$AK2321))+1,"")</f>
        <v/>
      </c>
      <c r="AJ2321" s="18" t="str">
        <f aca="false">IF($D2321="","",IF(OR($R2321=TRUE(),$R2321="TRUE"),1,0))</f>
        <v/>
      </c>
      <c r="AK2321" s="18" t="str">
        <f aca="false">IF($AH2321=1,IFERROR(VALUE(MID($D2321,2,20)),1000000000)+ROW()/10000000,"")</f>
        <v/>
      </c>
    </row>
    <row r="2322" customFormat="false" ht="15" hidden="false" customHeight="false" outlineLevel="0" collapsed="false">
      <c r="F2322" s="15"/>
      <c r="N2322" s="16" t="str">
        <f aca="false">IF($D2322="","",M2322*Y2322/100)</f>
        <v/>
      </c>
      <c r="V2322" s="16" t="str">
        <f aca="false">IF($D2322="","",Y2322*AB2322/100)</f>
        <v/>
      </c>
      <c r="W2322" s="16" t="str">
        <f aca="false">IF($D2322="","",Y2322-V2322)</f>
        <v/>
      </c>
      <c r="X2322" s="16" t="str">
        <f aca="false">IF($D2322="","",W2322-N2322)</f>
        <v/>
      </c>
      <c r="AB2322" s="17" t="str">
        <f aca="false">IF($D2322="","",IF(OR($R2322=TRUE(),$R2322="TRUE"),Settings!$C$6,Settings!$C$7)*100)</f>
        <v/>
      </c>
      <c r="AH2322" s="18" t="str">
        <f aca="false">IF($D2322="","",IF(COUNTIF($D$2:$D2322,$D2322)=1,1,0))</f>
        <v/>
      </c>
      <c r="AI2322" s="18" t="str">
        <f aca="false">IF($AH2322=1,SUMPRODUCT(--($AK$2:$AK$4001&lt;$AK2322))+1,"")</f>
        <v/>
      </c>
      <c r="AJ2322" s="18" t="str">
        <f aca="false">IF($D2322="","",IF(OR($R2322=TRUE(),$R2322="TRUE"),1,0))</f>
        <v/>
      </c>
      <c r="AK2322" s="18" t="str">
        <f aca="false">IF($AH2322=1,IFERROR(VALUE(MID($D2322,2,20)),1000000000)+ROW()/10000000,"")</f>
        <v/>
      </c>
    </row>
    <row r="2323" customFormat="false" ht="15" hidden="false" customHeight="false" outlineLevel="0" collapsed="false">
      <c r="F2323" s="15"/>
      <c r="N2323" s="16" t="str">
        <f aca="false">IF($D2323="","",M2323*Y2323/100)</f>
        <v/>
      </c>
      <c r="V2323" s="16" t="str">
        <f aca="false">IF($D2323="","",Y2323*AB2323/100)</f>
        <v/>
      </c>
      <c r="W2323" s="16" t="str">
        <f aca="false">IF($D2323="","",Y2323-V2323)</f>
        <v/>
      </c>
      <c r="X2323" s="16" t="str">
        <f aca="false">IF($D2323="","",W2323-N2323)</f>
        <v/>
      </c>
      <c r="AB2323" s="17" t="str">
        <f aca="false">IF($D2323="","",IF(OR($R2323=TRUE(),$R2323="TRUE"),Settings!$C$6,Settings!$C$7)*100)</f>
        <v/>
      </c>
      <c r="AH2323" s="18" t="str">
        <f aca="false">IF($D2323="","",IF(COUNTIF($D$2:$D2323,$D2323)=1,1,0))</f>
        <v/>
      </c>
      <c r="AI2323" s="18" t="str">
        <f aca="false">IF($AH2323=1,SUMPRODUCT(--($AK$2:$AK$4001&lt;$AK2323))+1,"")</f>
        <v/>
      </c>
      <c r="AJ2323" s="18" t="str">
        <f aca="false">IF($D2323="","",IF(OR($R2323=TRUE(),$R2323="TRUE"),1,0))</f>
        <v/>
      </c>
      <c r="AK2323" s="18" t="str">
        <f aca="false">IF($AH2323=1,IFERROR(VALUE(MID($D2323,2,20)),1000000000)+ROW()/10000000,"")</f>
        <v/>
      </c>
    </row>
    <row r="2324" customFormat="false" ht="15" hidden="false" customHeight="false" outlineLevel="0" collapsed="false">
      <c r="F2324" s="15"/>
      <c r="N2324" s="16" t="str">
        <f aca="false">IF($D2324="","",M2324*Y2324/100)</f>
        <v/>
      </c>
      <c r="V2324" s="16" t="str">
        <f aca="false">IF($D2324="","",Y2324*AB2324/100)</f>
        <v/>
      </c>
      <c r="W2324" s="16" t="str">
        <f aca="false">IF($D2324="","",Y2324-V2324)</f>
        <v/>
      </c>
      <c r="X2324" s="16" t="str">
        <f aca="false">IF($D2324="","",W2324-N2324)</f>
        <v/>
      </c>
      <c r="AB2324" s="17" t="str">
        <f aca="false">IF($D2324="","",IF(OR($R2324=TRUE(),$R2324="TRUE"),Settings!$C$6,Settings!$C$7)*100)</f>
        <v/>
      </c>
      <c r="AH2324" s="18" t="str">
        <f aca="false">IF($D2324="","",IF(COUNTIF($D$2:$D2324,$D2324)=1,1,0))</f>
        <v/>
      </c>
      <c r="AI2324" s="18" t="str">
        <f aca="false">IF($AH2324=1,SUMPRODUCT(--($AK$2:$AK$4001&lt;$AK2324))+1,"")</f>
        <v/>
      </c>
      <c r="AJ2324" s="18" t="str">
        <f aca="false">IF($D2324="","",IF(OR($R2324=TRUE(),$R2324="TRUE"),1,0))</f>
        <v/>
      </c>
      <c r="AK2324" s="18" t="str">
        <f aca="false">IF($AH2324=1,IFERROR(VALUE(MID($D2324,2,20)),1000000000)+ROW()/10000000,"")</f>
        <v/>
      </c>
    </row>
    <row r="2325" customFormat="false" ht="15" hidden="false" customHeight="false" outlineLevel="0" collapsed="false">
      <c r="F2325" s="15"/>
      <c r="N2325" s="16" t="str">
        <f aca="false">IF($D2325="","",M2325*Y2325/100)</f>
        <v/>
      </c>
      <c r="V2325" s="16" t="str">
        <f aca="false">IF($D2325="","",Y2325*AB2325/100)</f>
        <v/>
      </c>
      <c r="W2325" s="16" t="str">
        <f aca="false">IF($D2325="","",Y2325-V2325)</f>
        <v/>
      </c>
      <c r="X2325" s="16" t="str">
        <f aca="false">IF($D2325="","",W2325-N2325)</f>
        <v/>
      </c>
      <c r="AB2325" s="17" t="str">
        <f aca="false">IF($D2325="","",IF(OR($R2325=TRUE(),$R2325="TRUE"),Settings!$C$6,Settings!$C$7)*100)</f>
        <v/>
      </c>
      <c r="AH2325" s="18" t="str">
        <f aca="false">IF($D2325="","",IF(COUNTIF($D$2:$D2325,$D2325)=1,1,0))</f>
        <v/>
      </c>
      <c r="AI2325" s="18" t="str">
        <f aca="false">IF($AH2325=1,SUMPRODUCT(--($AK$2:$AK$4001&lt;$AK2325))+1,"")</f>
        <v/>
      </c>
      <c r="AJ2325" s="18" t="str">
        <f aca="false">IF($D2325="","",IF(OR($R2325=TRUE(),$R2325="TRUE"),1,0))</f>
        <v/>
      </c>
      <c r="AK2325" s="18" t="str">
        <f aca="false">IF($AH2325=1,IFERROR(VALUE(MID($D2325,2,20)),1000000000)+ROW()/10000000,"")</f>
        <v/>
      </c>
    </row>
    <row r="2326" customFormat="false" ht="15" hidden="false" customHeight="false" outlineLevel="0" collapsed="false">
      <c r="F2326" s="15"/>
      <c r="N2326" s="16" t="str">
        <f aca="false">IF($D2326="","",M2326*Y2326/100)</f>
        <v/>
      </c>
      <c r="V2326" s="16" t="str">
        <f aca="false">IF($D2326="","",Y2326*AB2326/100)</f>
        <v/>
      </c>
      <c r="W2326" s="16" t="str">
        <f aca="false">IF($D2326="","",Y2326-V2326)</f>
        <v/>
      </c>
      <c r="X2326" s="16" t="str">
        <f aca="false">IF($D2326="","",W2326-N2326)</f>
        <v/>
      </c>
      <c r="AB2326" s="17" t="str">
        <f aca="false">IF($D2326="","",IF(OR($R2326=TRUE(),$R2326="TRUE"),Settings!$C$6,Settings!$C$7)*100)</f>
        <v/>
      </c>
      <c r="AH2326" s="18" t="str">
        <f aca="false">IF($D2326="","",IF(COUNTIF($D$2:$D2326,$D2326)=1,1,0))</f>
        <v/>
      </c>
      <c r="AI2326" s="18" t="str">
        <f aca="false">IF($AH2326=1,SUMPRODUCT(--($AK$2:$AK$4001&lt;$AK2326))+1,"")</f>
        <v/>
      </c>
      <c r="AJ2326" s="18" t="str">
        <f aca="false">IF($D2326="","",IF(OR($R2326=TRUE(),$R2326="TRUE"),1,0))</f>
        <v/>
      </c>
      <c r="AK2326" s="18" t="str">
        <f aca="false">IF($AH2326=1,IFERROR(VALUE(MID($D2326,2,20)),1000000000)+ROW()/10000000,"")</f>
        <v/>
      </c>
    </row>
    <row r="2327" customFormat="false" ht="15" hidden="false" customHeight="false" outlineLevel="0" collapsed="false">
      <c r="F2327" s="15"/>
      <c r="N2327" s="16" t="str">
        <f aca="false">IF($D2327="","",M2327*Y2327/100)</f>
        <v/>
      </c>
      <c r="V2327" s="16" t="str">
        <f aca="false">IF($D2327="","",Y2327*AB2327/100)</f>
        <v/>
      </c>
      <c r="W2327" s="16" t="str">
        <f aca="false">IF($D2327="","",Y2327-V2327)</f>
        <v/>
      </c>
      <c r="X2327" s="16" t="str">
        <f aca="false">IF($D2327="","",W2327-N2327)</f>
        <v/>
      </c>
      <c r="AB2327" s="17" t="str">
        <f aca="false">IF($D2327="","",IF(OR($R2327=TRUE(),$R2327="TRUE"),Settings!$C$6,Settings!$C$7)*100)</f>
        <v/>
      </c>
      <c r="AH2327" s="18" t="str">
        <f aca="false">IF($D2327="","",IF(COUNTIF($D$2:$D2327,$D2327)=1,1,0))</f>
        <v/>
      </c>
      <c r="AI2327" s="18" t="str">
        <f aca="false">IF($AH2327=1,SUMPRODUCT(--($AK$2:$AK$4001&lt;$AK2327))+1,"")</f>
        <v/>
      </c>
      <c r="AJ2327" s="18" t="str">
        <f aca="false">IF($D2327="","",IF(OR($R2327=TRUE(),$R2327="TRUE"),1,0))</f>
        <v/>
      </c>
      <c r="AK2327" s="18" t="str">
        <f aca="false">IF($AH2327=1,IFERROR(VALUE(MID($D2327,2,20)),1000000000)+ROW()/10000000,"")</f>
        <v/>
      </c>
    </row>
    <row r="2328" customFormat="false" ht="15" hidden="false" customHeight="false" outlineLevel="0" collapsed="false">
      <c r="F2328" s="15"/>
      <c r="N2328" s="16" t="str">
        <f aca="false">IF($D2328="","",M2328*Y2328/100)</f>
        <v/>
      </c>
      <c r="V2328" s="16" t="str">
        <f aca="false">IF($D2328="","",Y2328*AB2328/100)</f>
        <v/>
      </c>
      <c r="W2328" s="16" t="str">
        <f aca="false">IF($D2328="","",Y2328-V2328)</f>
        <v/>
      </c>
      <c r="X2328" s="16" t="str">
        <f aca="false">IF($D2328="","",W2328-N2328)</f>
        <v/>
      </c>
      <c r="AB2328" s="17" t="str">
        <f aca="false">IF($D2328="","",IF(OR($R2328=TRUE(),$R2328="TRUE"),Settings!$C$6,Settings!$C$7)*100)</f>
        <v/>
      </c>
      <c r="AH2328" s="18" t="str">
        <f aca="false">IF($D2328="","",IF(COUNTIF($D$2:$D2328,$D2328)=1,1,0))</f>
        <v/>
      </c>
      <c r="AI2328" s="18" t="str">
        <f aca="false">IF($AH2328=1,SUMPRODUCT(--($AK$2:$AK$4001&lt;$AK2328))+1,"")</f>
        <v/>
      </c>
      <c r="AJ2328" s="18" t="str">
        <f aca="false">IF($D2328="","",IF(OR($R2328=TRUE(),$R2328="TRUE"),1,0))</f>
        <v/>
      </c>
      <c r="AK2328" s="18" t="str">
        <f aca="false">IF($AH2328=1,IFERROR(VALUE(MID($D2328,2,20)),1000000000)+ROW()/10000000,"")</f>
        <v/>
      </c>
    </row>
    <row r="2329" customFormat="false" ht="15" hidden="false" customHeight="false" outlineLevel="0" collapsed="false">
      <c r="F2329" s="15"/>
      <c r="N2329" s="16" t="str">
        <f aca="false">IF($D2329="","",M2329*Y2329/100)</f>
        <v/>
      </c>
      <c r="V2329" s="16" t="str">
        <f aca="false">IF($D2329="","",Y2329*AB2329/100)</f>
        <v/>
      </c>
      <c r="W2329" s="16" t="str">
        <f aca="false">IF($D2329="","",Y2329-V2329)</f>
        <v/>
      </c>
      <c r="X2329" s="16" t="str">
        <f aca="false">IF($D2329="","",W2329-N2329)</f>
        <v/>
      </c>
      <c r="AB2329" s="17" t="str">
        <f aca="false">IF($D2329="","",IF(OR($R2329=TRUE(),$R2329="TRUE"),Settings!$C$6,Settings!$C$7)*100)</f>
        <v/>
      </c>
      <c r="AH2329" s="18" t="str">
        <f aca="false">IF($D2329="","",IF(COUNTIF($D$2:$D2329,$D2329)=1,1,0))</f>
        <v/>
      </c>
      <c r="AI2329" s="18" t="str">
        <f aca="false">IF($AH2329=1,SUMPRODUCT(--($AK$2:$AK$4001&lt;$AK2329))+1,"")</f>
        <v/>
      </c>
      <c r="AJ2329" s="18" t="str">
        <f aca="false">IF($D2329="","",IF(OR($R2329=TRUE(),$R2329="TRUE"),1,0))</f>
        <v/>
      </c>
      <c r="AK2329" s="18" t="str">
        <f aca="false">IF($AH2329=1,IFERROR(VALUE(MID($D2329,2,20)),1000000000)+ROW()/10000000,"")</f>
        <v/>
      </c>
    </row>
    <row r="2330" customFormat="false" ht="15" hidden="false" customHeight="false" outlineLevel="0" collapsed="false">
      <c r="F2330" s="15"/>
      <c r="N2330" s="16" t="str">
        <f aca="false">IF($D2330="","",M2330*Y2330/100)</f>
        <v/>
      </c>
      <c r="V2330" s="16" t="str">
        <f aca="false">IF($D2330="","",Y2330*AB2330/100)</f>
        <v/>
      </c>
      <c r="W2330" s="16" t="str">
        <f aca="false">IF($D2330="","",Y2330-V2330)</f>
        <v/>
      </c>
      <c r="X2330" s="16" t="str">
        <f aca="false">IF($D2330="","",W2330-N2330)</f>
        <v/>
      </c>
      <c r="AB2330" s="17" t="str">
        <f aca="false">IF($D2330="","",IF(OR($R2330=TRUE(),$R2330="TRUE"),Settings!$C$6,Settings!$C$7)*100)</f>
        <v/>
      </c>
      <c r="AH2330" s="18" t="str">
        <f aca="false">IF($D2330="","",IF(COUNTIF($D$2:$D2330,$D2330)=1,1,0))</f>
        <v/>
      </c>
      <c r="AI2330" s="18" t="str">
        <f aca="false">IF($AH2330=1,SUMPRODUCT(--($AK$2:$AK$4001&lt;$AK2330))+1,"")</f>
        <v/>
      </c>
      <c r="AJ2330" s="18" t="str">
        <f aca="false">IF($D2330="","",IF(OR($R2330=TRUE(),$R2330="TRUE"),1,0))</f>
        <v/>
      </c>
      <c r="AK2330" s="18" t="str">
        <f aca="false">IF($AH2330=1,IFERROR(VALUE(MID($D2330,2,20)),1000000000)+ROW()/10000000,"")</f>
        <v/>
      </c>
    </row>
    <row r="2331" customFormat="false" ht="15" hidden="false" customHeight="false" outlineLevel="0" collapsed="false">
      <c r="F2331" s="15"/>
      <c r="N2331" s="16" t="str">
        <f aca="false">IF($D2331="","",M2331*Y2331/100)</f>
        <v/>
      </c>
      <c r="V2331" s="16" t="str">
        <f aca="false">IF($D2331="","",Y2331*AB2331/100)</f>
        <v/>
      </c>
      <c r="W2331" s="16" t="str">
        <f aca="false">IF($D2331="","",Y2331-V2331)</f>
        <v/>
      </c>
      <c r="X2331" s="16" t="str">
        <f aca="false">IF($D2331="","",W2331-N2331)</f>
        <v/>
      </c>
      <c r="AB2331" s="17" t="str">
        <f aca="false">IF($D2331="","",IF(OR($R2331=TRUE(),$R2331="TRUE"),Settings!$C$6,Settings!$C$7)*100)</f>
        <v/>
      </c>
      <c r="AH2331" s="18" t="str">
        <f aca="false">IF($D2331="","",IF(COUNTIF($D$2:$D2331,$D2331)=1,1,0))</f>
        <v/>
      </c>
      <c r="AI2331" s="18" t="str">
        <f aca="false">IF($AH2331=1,SUMPRODUCT(--($AK$2:$AK$4001&lt;$AK2331))+1,"")</f>
        <v/>
      </c>
      <c r="AJ2331" s="18" t="str">
        <f aca="false">IF($D2331="","",IF(OR($R2331=TRUE(),$R2331="TRUE"),1,0))</f>
        <v/>
      </c>
      <c r="AK2331" s="18" t="str">
        <f aca="false">IF($AH2331=1,IFERROR(VALUE(MID($D2331,2,20)),1000000000)+ROW()/10000000,"")</f>
        <v/>
      </c>
    </row>
    <row r="2332" customFormat="false" ht="15" hidden="false" customHeight="false" outlineLevel="0" collapsed="false">
      <c r="F2332" s="15"/>
      <c r="N2332" s="16" t="str">
        <f aca="false">IF($D2332="","",M2332*Y2332/100)</f>
        <v/>
      </c>
      <c r="V2332" s="16" t="str">
        <f aca="false">IF($D2332="","",Y2332*AB2332/100)</f>
        <v/>
      </c>
      <c r="W2332" s="16" t="str">
        <f aca="false">IF($D2332="","",Y2332-V2332)</f>
        <v/>
      </c>
      <c r="X2332" s="16" t="str">
        <f aca="false">IF($D2332="","",W2332-N2332)</f>
        <v/>
      </c>
      <c r="AB2332" s="17" t="str">
        <f aca="false">IF($D2332="","",IF(OR($R2332=TRUE(),$R2332="TRUE"),Settings!$C$6,Settings!$C$7)*100)</f>
        <v/>
      </c>
      <c r="AH2332" s="18" t="str">
        <f aca="false">IF($D2332="","",IF(COUNTIF($D$2:$D2332,$D2332)=1,1,0))</f>
        <v/>
      </c>
      <c r="AI2332" s="18" t="str">
        <f aca="false">IF($AH2332=1,SUMPRODUCT(--($AK$2:$AK$4001&lt;$AK2332))+1,"")</f>
        <v/>
      </c>
      <c r="AJ2332" s="18" t="str">
        <f aca="false">IF($D2332="","",IF(OR($R2332=TRUE(),$R2332="TRUE"),1,0))</f>
        <v/>
      </c>
      <c r="AK2332" s="18" t="str">
        <f aca="false">IF($AH2332=1,IFERROR(VALUE(MID($D2332,2,20)),1000000000)+ROW()/10000000,"")</f>
        <v/>
      </c>
    </row>
    <row r="2333" customFormat="false" ht="15" hidden="false" customHeight="false" outlineLevel="0" collapsed="false">
      <c r="F2333" s="15"/>
      <c r="N2333" s="16" t="str">
        <f aca="false">IF($D2333="","",M2333*Y2333/100)</f>
        <v/>
      </c>
      <c r="V2333" s="16" t="str">
        <f aca="false">IF($D2333="","",Y2333*AB2333/100)</f>
        <v/>
      </c>
      <c r="W2333" s="16" t="str">
        <f aca="false">IF($D2333="","",Y2333-V2333)</f>
        <v/>
      </c>
      <c r="X2333" s="16" t="str">
        <f aca="false">IF($D2333="","",W2333-N2333)</f>
        <v/>
      </c>
      <c r="AB2333" s="17" t="str">
        <f aca="false">IF($D2333="","",IF(OR($R2333=TRUE(),$R2333="TRUE"),Settings!$C$6,Settings!$C$7)*100)</f>
        <v/>
      </c>
      <c r="AH2333" s="18" t="str">
        <f aca="false">IF($D2333="","",IF(COUNTIF($D$2:$D2333,$D2333)=1,1,0))</f>
        <v/>
      </c>
      <c r="AI2333" s="18" t="str">
        <f aca="false">IF($AH2333=1,SUMPRODUCT(--($AK$2:$AK$4001&lt;$AK2333))+1,"")</f>
        <v/>
      </c>
      <c r="AJ2333" s="18" t="str">
        <f aca="false">IF($D2333="","",IF(OR($R2333=TRUE(),$R2333="TRUE"),1,0))</f>
        <v/>
      </c>
      <c r="AK2333" s="18" t="str">
        <f aca="false">IF($AH2333=1,IFERROR(VALUE(MID($D2333,2,20)),1000000000)+ROW()/10000000,"")</f>
        <v/>
      </c>
    </row>
    <row r="2334" customFormat="false" ht="15" hidden="false" customHeight="false" outlineLevel="0" collapsed="false">
      <c r="F2334" s="15"/>
      <c r="N2334" s="16" t="str">
        <f aca="false">IF($D2334="","",M2334*Y2334/100)</f>
        <v/>
      </c>
      <c r="V2334" s="16" t="str">
        <f aca="false">IF($D2334="","",Y2334*AB2334/100)</f>
        <v/>
      </c>
      <c r="W2334" s="16" t="str">
        <f aca="false">IF($D2334="","",Y2334-V2334)</f>
        <v/>
      </c>
      <c r="X2334" s="16" t="str">
        <f aca="false">IF($D2334="","",W2334-N2334)</f>
        <v/>
      </c>
      <c r="AB2334" s="17" t="str">
        <f aca="false">IF($D2334="","",IF(OR($R2334=TRUE(),$R2334="TRUE"),Settings!$C$6,Settings!$C$7)*100)</f>
        <v/>
      </c>
      <c r="AH2334" s="18" t="str">
        <f aca="false">IF($D2334="","",IF(COUNTIF($D$2:$D2334,$D2334)=1,1,0))</f>
        <v/>
      </c>
      <c r="AI2334" s="18" t="str">
        <f aca="false">IF($AH2334=1,SUMPRODUCT(--($AK$2:$AK$4001&lt;$AK2334))+1,"")</f>
        <v/>
      </c>
      <c r="AJ2334" s="18" t="str">
        <f aca="false">IF($D2334="","",IF(OR($R2334=TRUE(),$R2334="TRUE"),1,0))</f>
        <v/>
      </c>
      <c r="AK2334" s="18" t="str">
        <f aca="false">IF($AH2334=1,IFERROR(VALUE(MID($D2334,2,20)),1000000000)+ROW()/10000000,"")</f>
        <v/>
      </c>
    </row>
    <row r="2335" customFormat="false" ht="15" hidden="false" customHeight="false" outlineLevel="0" collapsed="false">
      <c r="F2335" s="15"/>
      <c r="N2335" s="16" t="str">
        <f aca="false">IF($D2335="","",M2335*Y2335/100)</f>
        <v/>
      </c>
      <c r="V2335" s="16" t="str">
        <f aca="false">IF($D2335="","",Y2335*AB2335/100)</f>
        <v/>
      </c>
      <c r="W2335" s="16" t="str">
        <f aca="false">IF($D2335="","",Y2335-V2335)</f>
        <v/>
      </c>
      <c r="X2335" s="16" t="str">
        <f aca="false">IF($D2335="","",W2335-N2335)</f>
        <v/>
      </c>
      <c r="AB2335" s="17" t="str">
        <f aca="false">IF($D2335="","",IF(OR($R2335=TRUE(),$R2335="TRUE"),Settings!$C$6,Settings!$C$7)*100)</f>
        <v/>
      </c>
      <c r="AH2335" s="18" t="str">
        <f aca="false">IF($D2335="","",IF(COUNTIF($D$2:$D2335,$D2335)=1,1,0))</f>
        <v/>
      </c>
      <c r="AI2335" s="18" t="str">
        <f aca="false">IF($AH2335=1,SUMPRODUCT(--($AK$2:$AK$4001&lt;$AK2335))+1,"")</f>
        <v/>
      </c>
      <c r="AJ2335" s="18" t="str">
        <f aca="false">IF($D2335="","",IF(OR($R2335=TRUE(),$R2335="TRUE"),1,0))</f>
        <v/>
      </c>
      <c r="AK2335" s="18" t="str">
        <f aca="false">IF($AH2335=1,IFERROR(VALUE(MID($D2335,2,20)),1000000000)+ROW()/10000000,"")</f>
        <v/>
      </c>
    </row>
    <row r="2336" customFormat="false" ht="15" hidden="false" customHeight="false" outlineLevel="0" collapsed="false">
      <c r="F2336" s="15"/>
      <c r="N2336" s="16" t="str">
        <f aca="false">IF($D2336="","",M2336*Y2336/100)</f>
        <v/>
      </c>
      <c r="V2336" s="16" t="str">
        <f aca="false">IF($D2336="","",Y2336*AB2336/100)</f>
        <v/>
      </c>
      <c r="W2336" s="16" t="str">
        <f aca="false">IF($D2336="","",Y2336-V2336)</f>
        <v/>
      </c>
      <c r="X2336" s="16" t="str">
        <f aca="false">IF($D2336="","",W2336-N2336)</f>
        <v/>
      </c>
      <c r="AB2336" s="17" t="str">
        <f aca="false">IF($D2336="","",IF(OR($R2336=TRUE(),$R2336="TRUE"),Settings!$C$6,Settings!$C$7)*100)</f>
        <v/>
      </c>
      <c r="AH2336" s="18" t="str">
        <f aca="false">IF($D2336="","",IF(COUNTIF($D$2:$D2336,$D2336)=1,1,0))</f>
        <v/>
      </c>
      <c r="AI2336" s="18" t="str">
        <f aca="false">IF($AH2336=1,SUMPRODUCT(--($AK$2:$AK$4001&lt;$AK2336))+1,"")</f>
        <v/>
      </c>
      <c r="AJ2336" s="18" t="str">
        <f aca="false">IF($D2336="","",IF(OR($R2336=TRUE(),$R2336="TRUE"),1,0))</f>
        <v/>
      </c>
      <c r="AK2336" s="18" t="str">
        <f aca="false">IF($AH2336=1,IFERROR(VALUE(MID($D2336,2,20)),1000000000)+ROW()/10000000,"")</f>
        <v/>
      </c>
    </row>
    <row r="2337" customFormat="false" ht="15" hidden="false" customHeight="false" outlineLevel="0" collapsed="false">
      <c r="F2337" s="15"/>
      <c r="N2337" s="16" t="str">
        <f aca="false">IF($D2337="","",M2337*Y2337/100)</f>
        <v/>
      </c>
      <c r="V2337" s="16" t="str">
        <f aca="false">IF($D2337="","",Y2337*AB2337/100)</f>
        <v/>
      </c>
      <c r="W2337" s="16" t="str">
        <f aca="false">IF($D2337="","",Y2337-V2337)</f>
        <v/>
      </c>
      <c r="X2337" s="16" t="str">
        <f aca="false">IF($D2337="","",W2337-N2337)</f>
        <v/>
      </c>
      <c r="AB2337" s="17" t="str">
        <f aca="false">IF($D2337="","",IF(OR($R2337=TRUE(),$R2337="TRUE"),Settings!$C$6,Settings!$C$7)*100)</f>
        <v/>
      </c>
      <c r="AH2337" s="18" t="str">
        <f aca="false">IF($D2337="","",IF(COUNTIF($D$2:$D2337,$D2337)=1,1,0))</f>
        <v/>
      </c>
      <c r="AI2337" s="18" t="str">
        <f aca="false">IF($AH2337=1,SUMPRODUCT(--($AK$2:$AK$4001&lt;$AK2337))+1,"")</f>
        <v/>
      </c>
      <c r="AJ2337" s="18" t="str">
        <f aca="false">IF($D2337="","",IF(OR($R2337=TRUE(),$R2337="TRUE"),1,0))</f>
        <v/>
      </c>
      <c r="AK2337" s="18" t="str">
        <f aca="false">IF($AH2337=1,IFERROR(VALUE(MID($D2337,2,20)),1000000000)+ROW()/10000000,"")</f>
        <v/>
      </c>
    </row>
    <row r="2338" customFormat="false" ht="15" hidden="false" customHeight="false" outlineLevel="0" collapsed="false">
      <c r="F2338" s="15"/>
      <c r="N2338" s="16" t="str">
        <f aca="false">IF($D2338="","",M2338*Y2338/100)</f>
        <v/>
      </c>
      <c r="V2338" s="16" t="str">
        <f aca="false">IF($D2338="","",Y2338*AB2338/100)</f>
        <v/>
      </c>
      <c r="W2338" s="16" t="str">
        <f aca="false">IF($D2338="","",Y2338-V2338)</f>
        <v/>
      </c>
      <c r="X2338" s="16" t="str">
        <f aca="false">IF($D2338="","",W2338-N2338)</f>
        <v/>
      </c>
      <c r="AB2338" s="17" t="str">
        <f aca="false">IF($D2338="","",IF(OR($R2338=TRUE(),$R2338="TRUE"),Settings!$C$6,Settings!$C$7)*100)</f>
        <v/>
      </c>
      <c r="AH2338" s="18" t="str">
        <f aca="false">IF($D2338="","",IF(COUNTIF($D$2:$D2338,$D2338)=1,1,0))</f>
        <v/>
      </c>
      <c r="AI2338" s="18" t="str">
        <f aca="false">IF($AH2338=1,SUMPRODUCT(--($AK$2:$AK$4001&lt;$AK2338))+1,"")</f>
        <v/>
      </c>
      <c r="AJ2338" s="18" t="str">
        <f aca="false">IF($D2338="","",IF(OR($R2338=TRUE(),$R2338="TRUE"),1,0))</f>
        <v/>
      </c>
      <c r="AK2338" s="18" t="str">
        <f aca="false">IF($AH2338=1,IFERROR(VALUE(MID($D2338,2,20)),1000000000)+ROW()/10000000,"")</f>
        <v/>
      </c>
    </row>
    <row r="2339" customFormat="false" ht="15" hidden="false" customHeight="false" outlineLevel="0" collapsed="false">
      <c r="F2339" s="15"/>
      <c r="N2339" s="16" t="str">
        <f aca="false">IF($D2339="","",M2339*Y2339/100)</f>
        <v/>
      </c>
      <c r="V2339" s="16" t="str">
        <f aca="false">IF($D2339="","",Y2339*AB2339/100)</f>
        <v/>
      </c>
      <c r="W2339" s="16" t="str">
        <f aca="false">IF($D2339="","",Y2339-V2339)</f>
        <v/>
      </c>
      <c r="X2339" s="16" t="str">
        <f aca="false">IF($D2339="","",W2339-N2339)</f>
        <v/>
      </c>
      <c r="AB2339" s="17" t="str">
        <f aca="false">IF($D2339="","",IF(OR($R2339=TRUE(),$R2339="TRUE"),Settings!$C$6,Settings!$C$7)*100)</f>
        <v/>
      </c>
      <c r="AH2339" s="18" t="str">
        <f aca="false">IF($D2339="","",IF(COUNTIF($D$2:$D2339,$D2339)=1,1,0))</f>
        <v/>
      </c>
      <c r="AI2339" s="18" t="str">
        <f aca="false">IF($AH2339=1,SUMPRODUCT(--($AK$2:$AK$4001&lt;$AK2339))+1,"")</f>
        <v/>
      </c>
      <c r="AJ2339" s="18" t="str">
        <f aca="false">IF($D2339="","",IF(OR($R2339=TRUE(),$R2339="TRUE"),1,0))</f>
        <v/>
      </c>
      <c r="AK2339" s="18" t="str">
        <f aca="false">IF($AH2339=1,IFERROR(VALUE(MID($D2339,2,20)),1000000000)+ROW()/10000000,"")</f>
        <v/>
      </c>
    </row>
    <row r="2340" customFormat="false" ht="15" hidden="false" customHeight="false" outlineLevel="0" collapsed="false">
      <c r="F2340" s="15"/>
      <c r="N2340" s="16" t="str">
        <f aca="false">IF($D2340="","",M2340*Y2340/100)</f>
        <v/>
      </c>
      <c r="V2340" s="16" t="str">
        <f aca="false">IF($D2340="","",Y2340*AB2340/100)</f>
        <v/>
      </c>
      <c r="W2340" s="16" t="str">
        <f aca="false">IF($D2340="","",Y2340-V2340)</f>
        <v/>
      </c>
      <c r="X2340" s="16" t="str">
        <f aca="false">IF($D2340="","",W2340-N2340)</f>
        <v/>
      </c>
      <c r="AB2340" s="17" t="str">
        <f aca="false">IF($D2340="","",IF(OR($R2340=TRUE(),$R2340="TRUE"),Settings!$C$6,Settings!$C$7)*100)</f>
        <v/>
      </c>
      <c r="AH2340" s="18" t="str">
        <f aca="false">IF($D2340="","",IF(COUNTIF($D$2:$D2340,$D2340)=1,1,0))</f>
        <v/>
      </c>
      <c r="AI2340" s="18" t="str">
        <f aca="false">IF($AH2340=1,SUMPRODUCT(--($AK$2:$AK$4001&lt;$AK2340))+1,"")</f>
        <v/>
      </c>
      <c r="AJ2340" s="18" t="str">
        <f aca="false">IF($D2340="","",IF(OR($R2340=TRUE(),$R2340="TRUE"),1,0))</f>
        <v/>
      </c>
      <c r="AK2340" s="18" t="str">
        <f aca="false">IF($AH2340=1,IFERROR(VALUE(MID($D2340,2,20)),1000000000)+ROW()/10000000,"")</f>
        <v/>
      </c>
    </row>
    <row r="2341" customFormat="false" ht="15" hidden="false" customHeight="false" outlineLevel="0" collapsed="false">
      <c r="F2341" s="15"/>
      <c r="N2341" s="16" t="str">
        <f aca="false">IF($D2341="","",M2341*Y2341/100)</f>
        <v/>
      </c>
      <c r="V2341" s="16" t="str">
        <f aca="false">IF($D2341="","",Y2341*AB2341/100)</f>
        <v/>
      </c>
      <c r="W2341" s="16" t="str">
        <f aca="false">IF($D2341="","",Y2341-V2341)</f>
        <v/>
      </c>
      <c r="X2341" s="16" t="str">
        <f aca="false">IF($D2341="","",W2341-N2341)</f>
        <v/>
      </c>
      <c r="AB2341" s="17" t="str">
        <f aca="false">IF($D2341="","",IF(OR($R2341=TRUE(),$R2341="TRUE"),Settings!$C$6,Settings!$C$7)*100)</f>
        <v/>
      </c>
      <c r="AH2341" s="18" t="str">
        <f aca="false">IF($D2341="","",IF(COUNTIF($D$2:$D2341,$D2341)=1,1,0))</f>
        <v/>
      </c>
      <c r="AI2341" s="18" t="str">
        <f aca="false">IF($AH2341=1,SUMPRODUCT(--($AK$2:$AK$4001&lt;$AK2341))+1,"")</f>
        <v/>
      </c>
      <c r="AJ2341" s="18" t="str">
        <f aca="false">IF($D2341="","",IF(OR($R2341=TRUE(),$R2341="TRUE"),1,0))</f>
        <v/>
      </c>
      <c r="AK2341" s="18" t="str">
        <f aca="false">IF($AH2341=1,IFERROR(VALUE(MID($D2341,2,20)),1000000000)+ROW()/10000000,"")</f>
        <v/>
      </c>
    </row>
    <row r="2342" customFormat="false" ht="15" hidden="false" customHeight="false" outlineLevel="0" collapsed="false">
      <c r="F2342" s="15"/>
      <c r="N2342" s="16" t="str">
        <f aca="false">IF($D2342="","",M2342*Y2342/100)</f>
        <v/>
      </c>
      <c r="V2342" s="16" t="str">
        <f aca="false">IF($D2342="","",Y2342*AB2342/100)</f>
        <v/>
      </c>
      <c r="W2342" s="16" t="str">
        <f aca="false">IF($D2342="","",Y2342-V2342)</f>
        <v/>
      </c>
      <c r="X2342" s="16" t="str">
        <f aca="false">IF($D2342="","",W2342-N2342)</f>
        <v/>
      </c>
      <c r="AB2342" s="17" t="str">
        <f aca="false">IF($D2342="","",IF(OR($R2342=TRUE(),$R2342="TRUE"),Settings!$C$6,Settings!$C$7)*100)</f>
        <v/>
      </c>
      <c r="AH2342" s="18" t="str">
        <f aca="false">IF($D2342="","",IF(COUNTIF($D$2:$D2342,$D2342)=1,1,0))</f>
        <v/>
      </c>
      <c r="AI2342" s="18" t="str">
        <f aca="false">IF($AH2342=1,SUMPRODUCT(--($AK$2:$AK$4001&lt;$AK2342))+1,"")</f>
        <v/>
      </c>
      <c r="AJ2342" s="18" t="str">
        <f aca="false">IF($D2342="","",IF(OR($R2342=TRUE(),$R2342="TRUE"),1,0))</f>
        <v/>
      </c>
      <c r="AK2342" s="18" t="str">
        <f aca="false">IF($AH2342=1,IFERROR(VALUE(MID($D2342,2,20)),1000000000)+ROW()/10000000,"")</f>
        <v/>
      </c>
    </row>
    <row r="2343" customFormat="false" ht="15" hidden="false" customHeight="false" outlineLevel="0" collapsed="false">
      <c r="F2343" s="15"/>
      <c r="N2343" s="16" t="str">
        <f aca="false">IF($D2343="","",M2343*Y2343/100)</f>
        <v/>
      </c>
      <c r="V2343" s="16" t="str">
        <f aca="false">IF($D2343="","",Y2343*AB2343/100)</f>
        <v/>
      </c>
      <c r="W2343" s="16" t="str">
        <f aca="false">IF($D2343="","",Y2343-V2343)</f>
        <v/>
      </c>
      <c r="X2343" s="16" t="str">
        <f aca="false">IF($D2343="","",W2343-N2343)</f>
        <v/>
      </c>
      <c r="AB2343" s="17" t="str">
        <f aca="false">IF($D2343="","",IF(OR($R2343=TRUE(),$R2343="TRUE"),Settings!$C$6,Settings!$C$7)*100)</f>
        <v/>
      </c>
      <c r="AH2343" s="18" t="str">
        <f aca="false">IF($D2343="","",IF(COUNTIF($D$2:$D2343,$D2343)=1,1,0))</f>
        <v/>
      </c>
      <c r="AI2343" s="18" t="str">
        <f aca="false">IF($AH2343=1,SUMPRODUCT(--($AK$2:$AK$4001&lt;$AK2343))+1,"")</f>
        <v/>
      </c>
      <c r="AJ2343" s="18" t="str">
        <f aca="false">IF($D2343="","",IF(OR($R2343=TRUE(),$R2343="TRUE"),1,0))</f>
        <v/>
      </c>
      <c r="AK2343" s="18" t="str">
        <f aca="false">IF($AH2343=1,IFERROR(VALUE(MID($D2343,2,20)),1000000000)+ROW()/10000000,"")</f>
        <v/>
      </c>
    </row>
    <row r="2344" customFormat="false" ht="15" hidden="false" customHeight="false" outlineLevel="0" collapsed="false">
      <c r="F2344" s="15"/>
      <c r="N2344" s="16" t="str">
        <f aca="false">IF($D2344="","",M2344*Y2344/100)</f>
        <v/>
      </c>
      <c r="V2344" s="16" t="str">
        <f aca="false">IF($D2344="","",Y2344*AB2344/100)</f>
        <v/>
      </c>
      <c r="W2344" s="16" t="str">
        <f aca="false">IF($D2344="","",Y2344-V2344)</f>
        <v/>
      </c>
      <c r="X2344" s="16" t="str">
        <f aca="false">IF($D2344="","",W2344-N2344)</f>
        <v/>
      </c>
      <c r="AB2344" s="17" t="str">
        <f aca="false">IF($D2344="","",IF(OR($R2344=TRUE(),$R2344="TRUE"),Settings!$C$6,Settings!$C$7)*100)</f>
        <v/>
      </c>
      <c r="AH2344" s="18" t="str">
        <f aca="false">IF($D2344="","",IF(COUNTIF($D$2:$D2344,$D2344)=1,1,0))</f>
        <v/>
      </c>
      <c r="AI2344" s="18" t="str">
        <f aca="false">IF($AH2344=1,SUMPRODUCT(--($AK$2:$AK$4001&lt;$AK2344))+1,"")</f>
        <v/>
      </c>
      <c r="AJ2344" s="18" t="str">
        <f aca="false">IF($D2344="","",IF(OR($R2344=TRUE(),$R2344="TRUE"),1,0))</f>
        <v/>
      </c>
      <c r="AK2344" s="18" t="str">
        <f aca="false">IF($AH2344=1,IFERROR(VALUE(MID($D2344,2,20)),1000000000)+ROW()/10000000,"")</f>
        <v/>
      </c>
    </row>
    <row r="2345" customFormat="false" ht="15" hidden="false" customHeight="false" outlineLevel="0" collapsed="false">
      <c r="F2345" s="15"/>
      <c r="N2345" s="16" t="str">
        <f aca="false">IF($D2345="","",M2345*Y2345/100)</f>
        <v/>
      </c>
      <c r="V2345" s="16" t="str">
        <f aca="false">IF($D2345="","",Y2345*AB2345/100)</f>
        <v/>
      </c>
      <c r="W2345" s="16" t="str">
        <f aca="false">IF($D2345="","",Y2345-V2345)</f>
        <v/>
      </c>
      <c r="X2345" s="16" t="str">
        <f aca="false">IF($D2345="","",W2345-N2345)</f>
        <v/>
      </c>
      <c r="AB2345" s="17" t="str">
        <f aca="false">IF($D2345="","",IF(OR($R2345=TRUE(),$R2345="TRUE"),Settings!$C$6,Settings!$C$7)*100)</f>
        <v/>
      </c>
      <c r="AH2345" s="18" t="str">
        <f aca="false">IF($D2345="","",IF(COUNTIF($D$2:$D2345,$D2345)=1,1,0))</f>
        <v/>
      </c>
      <c r="AI2345" s="18" t="str">
        <f aca="false">IF($AH2345=1,SUMPRODUCT(--($AK$2:$AK$4001&lt;$AK2345))+1,"")</f>
        <v/>
      </c>
      <c r="AJ2345" s="18" t="str">
        <f aca="false">IF($D2345="","",IF(OR($R2345=TRUE(),$R2345="TRUE"),1,0))</f>
        <v/>
      </c>
      <c r="AK2345" s="18" t="str">
        <f aca="false">IF($AH2345=1,IFERROR(VALUE(MID($D2345,2,20)),1000000000)+ROW()/10000000,"")</f>
        <v/>
      </c>
    </row>
    <row r="2346" customFormat="false" ht="15" hidden="false" customHeight="false" outlineLevel="0" collapsed="false">
      <c r="F2346" s="15"/>
      <c r="N2346" s="16" t="str">
        <f aca="false">IF($D2346="","",M2346*Y2346/100)</f>
        <v/>
      </c>
      <c r="V2346" s="16" t="str">
        <f aca="false">IF($D2346="","",Y2346*AB2346/100)</f>
        <v/>
      </c>
      <c r="W2346" s="16" t="str">
        <f aca="false">IF($D2346="","",Y2346-V2346)</f>
        <v/>
      </c>
      <c r="X2346" s="16" t="str">
        <f aca="false">IF($D2346="","",W2346-N2346)</f>
        <v/>
      </c>
      <c r="AB2346" s="17" t="str">
        <f aca="false">IF($D2346="","",IF(OR($R2346=TRUE(),$R2346="TRUE"),Settings!$C$6,Settings!$C$7)*100)</f>
        <v/>
      </c>
      <c r="AH2346" s="18" t="str">
        <f aca="false">IF($D2346="","",IF(COUNTIF($D$2:$D2346,$D2346)=1,1,0))</f>
        <v/>
      </c>
      <c r="AI2346" s="18" t="str">
        <f aca="false">IF($AH2346=1,SUMPRODUCT(--($AK$2:$AK$4001&lt;$AK2346))+1,"")</f>
        <v/>
      </c>
      <c r="AJ2346" s="18" t="str">
        <f aca="false">IF($D2346="","",IF(OR($R2346=TRUE(),$R2346="TRUE"),1,0))</f>
        <v/>
      </c>
      <c r="AK2346" s="18" t="str">
        <f aca="false">IF($AH2346=1,IFERROR(VALUE(MID($D2346,2,20)),1000000000)+ROW()/10000000,"")</f>
        <v/>
      </c>
    </row>
    <row r="2347" customFormat="false" ht="15" hidden="false" customHeight="false" outlineLevel="0" collapsed="false">
      <c r="F2347" s="15"/>
      <c r="N2347" s="16" t="str">
        <f aca="false">IF($D2347="","",M2347*Y2347/100)</f>
        <v/>
      </c>
      <c r="V2347" s="16" t="str">
        <f aca="false">IF($D2347="","",Y2347*AB2347/100)</f>
        <v/>
      </c>
      <c r="W2347" s="16" t="str">
        <f aca="false">IF($D2347="","",Y2347-V2347)</f>
        <v/>
      </c>
      <c r="X2347" s="16" t="str">
        <f aca="false">IF($D2347="","",W2347-N2347)</f>
        <v/>
      </c>
      <c r="AB2347" s="17" t="str">
        <f aca="false">IF($D2347="","",IF(OR($R2347=TRUE(),$R2347="TRUE"),Settings!$C$6,Settings!$C$7)*100)</f>
        <v/>
      </c>
      <c r="AH2347" s="18" t="str">
        <f aca="false">IF($D2347="","",IF(COUNTIF($D$2:$D2347,$D2347)=1,1,0))</f>
        <v/>
      </c>
      <c r="AI2347" s="18" t="str">
        <f aca="false">IF($AH2347=1,SUMPRODUCT(--($AK$2:$AK$4001&lt;$AK2347))+1,"")</f>
        <v/>
      </c>
      <c r="AJ2347" s="18" t="str">
        <f aca="false">IF($D2347="","",IF(OR($R2347=TRUE(),$R2347="TRUE"),1,0))</f>
        <v/>
      </c>
      <c r="AK2347" s="18" t="str">
        <f aca="false">IF($AH2347=1,IFERROR(VALUE(MID($D2347,2,20)),1000000000)+ROW()/10000000,"")</f>
        <v/>
      </c>
    </row>
    <row r="2348" customFormat="false" ht="15" hidden="false" customHeight="false" outlineLevel="0" collapsed="false">
      <c r="F2348" s="15"/>
      <c r="N2348" s="16" t="str">
        <f aca="false">IF($D2348="","",M2348*Y2348/100)</f>
        <v/>
      </c>
      <c r="V2348" s="16" t="str">
        <f aca="false">IF($D2348="","",Y2348*AB2348/100)</f>
        <v/>
      </c>
      <c r="W2348" s="16" t="str">
        <f aca="false">IF($D2348="","",Y2348-V2348)</f>
        <v/>
      </c>
      <c r="X2348" s="16" t="str">
        <f aca="false">IF($D2348="","",W2348-N2348)</f>
        <v/>
      </c>
      <c r="AB2348" s="17" t="str">
        <f aca="false">IF($D2348="","",IF(OR($R2348=TRUE(),$R2348="TRUE"),Settings!$C$6,Settings!$C$7)*100)</f>
        <v/>
      </c>
      <c r="AH2348" s="18" t="str">
        <f aca="false">IF($D2348="","",IF(COUNTIF($D$2:$D2348,$D2348)=1,1,0))</f>
        <v/>
      </c>
      <c r="AI2348" s="18" t="str">
        <f aca="false">IF($AH2348=1,SUMPRODUCT(--($AK$2:$AK$4001&lt;$AK2348))+1,"")</f>
        <v/>
      </c>
      <c r="AJ2348" s="18" t="str">
        <f aca="false">IF($D2348="","",IF(OR($R2348=TRUE(),$R2348="TRUE"),1,0))</f>
        <v/>
      </c>
      <c r="AK2348" s="18" t="str">
        <f aca="false">IF($AH2348=1,IFERROR(VALUE(MID($D2348,2,20)),1000000000)+ROW()/10000000,"")</f>
        <v/>
      </c>
    </row>
    <row r="2349" customFormat="false" ht="15" hidden="false" customHeight="false" outlineLevel="0" collapsed="false">
      <c r="F2349" s="15"/>
      <c r="N2349" s="16" t="str">
        <f aca="false">IF($D2349="","",M2349*Y2349/100)</f>
        <v/>
      </c>
      <c r="V2349" s="16" t="str">
        <f aca="false">IF($D2349="","",Y2349*AB2349/100)</f>
        <v/>
      </c>
      <c r="W2349" s="16" t="str">
        <f aca="false">IF($D2349="","",Y2349-V2349)</f>
        <v/>
      </c>
      <c r="X2349" s="16" t="str">
        <f aca="false">IF($D2349="","",W2349-N2349)</f>
        <v/>
      </c>
      <c r="AB2349" s="17" t="str">
        <f aca="false">IF($D2349="","",IF(OR($R2349=TRUE(),$R2349="TRUE"),Settings!$C$6,Settings!$C$7)*100)</f>
        <v/>
      </c>
      <c r="AH2349" s="18" t="str">
        <f aca="false">IF($D2349="","",IF(COUNTIF($D$2:$D2349,$D2349)=1,1,0))</f>
        <v/>
      </c>
      <c r="AI2349" s="18" t="str">
        <f aca="false">IF($AH2349=1,SUMPRODUCT(--($AK$2:$AK$4001&lt;$AK2349))+1,"")</f>
        <v/>
      </c>
      <c r="AJ2349" s="18" t="str">
        <f aca="false">IF($D2349="","",IF(OR($R2349=TRUE(),$R2349="TRUE"),1,0))</f>
        <v/>
      </c>
      <c r="AK2349" s="18" t="str">
        <f aca="false">IF($AH2349=1,IFERROR(VALUE(MID($D2349,2,20)),1000000000)+ROW()/10000000,"")</f>
        <v/>
      </c>
    </row>
    <row r="2350" customFormat="false" ht="15" hidden="false" customHeight="false" outlineLevel="0" collapsed="false">
      <c r="F2350" s="15"/>
      <c r="N2350" s="16" t="str">
        <f aca="false">IF($D2350="","",M2350*Y2350/100)</f>
        <v/>
      </c>
      <c r="V2350" s="16" t="str">
        <f aca="false">IF($D2350="","",Y2350*AB2350/100)</f>
        <v/>
      </c>
      <c r="W2350" s="16" t="str">
        <f aca="false">IF($D2350="","",Y2350-V2350)</f>
        <v/>
      </c>
      <c r="X2350" s="16" t="str">
        <f aca="false">IF($D2350="","",W2350-N2350)</f>
        <v/>
      </c>
      <c r="AB2350" s="17" t="str">
        <f aca="false">IF($D2350="","",IF(OR($R2350=TRUE(),$R2350="TRUE"),Settings!$C$6,Settings!$C$7)*100)</f>
        <v/>
      </c>
      <c r="AH2350" s="18" t="str">
        <f aca="false">IF($D2350="","",IF(COUNTIF($D$2:$D2350,$D2350)=1,1,0))</f>
        <v/>
      </c>
      <c r="AI2350" s="18" t="str">
        <f aca="false">IF($AH2350=1,SUMPRODUCT(--($AK$2:$AK$4001&lt;$AK2350))+1,"")</f>
        <v/>
      </c>
      <c r="AJ2350" s="18" t="str">
        <f aca="false">IF($D2350="","",IF(OR($R2350=TRUE(),$R2350="TRUE"),1,0))</f>
        <v/>
      </c>
      <c r="AK2350" s="18" t="str">
        <f aca="false">IF($AH2350=1,IFERROR(VALUE(MID($D2350,2,20)),1000000000)+ROW()/10000000,"")</f>
        <v/>
      </c>
    </row>
    <row r="2351" customFormat="false" ht="15" hidden="false" customHeight="false" outlineLevel="0" collapsed="false">
      <c r="F2351" s="15"/>
      <c r="N2351" s="16" t="str">
        <f aca="false">IF($D2351="","",M2351*Y2351/100)</f>
        <v/>
      </c>
      <c r="V2351" s="16" t="str">
        <f aca="false">IF($D2351="","",Y2351*AB2351/100)</f>
        <v/>
      </c>
      <c r="W2351" s="16" t="str">
        <f aca="false">IF($D2351="","",Y2351-V2351)</f>
        <v/>
      </c>
      <c r="X2351" s="16" t="str">
        <f aca="false">IF($D2351="","",W2351-N2351)</f>
        <v/>
      </c>
      <c r="AB2351" s="17" t="str">
        <f aca="false">IF($D2351="","",IF(OR($R2351=TRUE(),$R2351="TRUE"),Settings!$C$6,Settings!$C$7)*100)</f>
        <v/>
      </c>
      <c r="AH2351" s="18" t="str">
        <f aca="false">IF($D2351="","",IF(COUNTIF($D$2:$D2351,$D2351)=1,1,0))</f>
        <v/>
      </c>
      <c r="AI2351" s="18" t="str">
        <f aca="false">IF($AH2351=1,SUMPRODUCT(--($AK$2:$AK$4001&lt;$AK2351))+1,"")</f>
        <v/>
      </c>
      <c r="AJ2351" s="18" t="str">
        <f aca="false">IF($D2351="","",IF(OR($R2351=TRUE(),$R2351="TRUE"),1,0))</f>
        <v/>
      </c>
      <c r="AK2351" s="18" t="str">
        <f aca="false">IF($AH2351=1,IFERROR(VALUE(MID($D2351,2,20)),1000000000)+ROW()/10000000,"")</f>
        <v/>
      </c>
    </row>
    <row r="2352" customFormat="false" ht="15" hidden="false" customHeight="false" outlineLevel="0" collapsed="false">
      <c r="F2352" s="15"/>
      <c r="N2352" s="16" t="str">
        <f aca="false">IF($D2352="","",M2352*Y2352/100)</f>
        <v/>
      </c>
      <c r="V2352" s="16" t="str">
        <f aca="false">IF($D2352="","",Y2352*AB2352/100)</f>
        <v/>
      </c>
      <c r="W2352" s="16" t="str">
        <f aca="false">IF($D2352="","",Y2352-V2352)</f>
        <v/>
      </c>
      <c r="X2352" s="16" t="str">
        <f aca="false">IF($D2352="","",W2352-N2352)</f>
        <v/>
      </c>
      <c r="AB2352" s="17" t="str">
        <f aca="false">IF($D2352="","",IF(OR($R2352=TRUE(),$R2352="TRUE"),Settings!$C$6,Settings!$C$7)*100)</f>
        <v/>
      </c>
      <c r="AH2352" s="18" t="str">
        <f aca="false">IF($D2352="","",IF(COUNTIF($D$2:$D2352,$D2352)=1,1,0))</f>
        <v/>
      </c>
      <c r="AI2352" s="18" t="str">
        <f aca="false">IF($AH2352=1,SUMPRODUCT(--($AK$2:$AK$4001&lt;$AK2352))+1,"")</f>
        <v/>
      </c>
      <c r="AJ2352" s="18" t="str">
        <f aca="false">IF($D2352="","",IF(OR($R2352=TRUE(),$R2352="TRUE"),1,0))</f>
        <v/>
      </c>
      <c r="AK2352" s="18" t="str">
        <f aca="false">IF($AH2352=1,IFERROR(VALUE(MID($D2352,2,20)),1000000000)+ROW()/10000000,"")</f>
        <v/>
      </c>
    </row>
    <row r="2353" customFormat="false" ht="15" hidden="false" customHeight="false" outlineLevel="0" collapsed="false">
      <c r="F2353" s="15"/>
      <c r="N2353" s="16" t="str">
        <f aca="false">IF($D2353="","",M2353*Y2353/100)</f>
        <v/>
      </c>
      <c r="V2353" s="16" t="str">
        <f aca="false">IF($D2353="","",Y2353*AB2353/100)</f>
        <v/>
      </c>
      <c r="W2353" s="16" t="str">
        <f aca="false">IF($D2353="","",Y2353-V2353)</f>
        <v/>
      </c>
      <c r="X2353" s="16" t="str">
        <f aca="false">IF($D2353="","",W2353-N2353)</f>
        <v/>
      </c>
      <c r="AB2353" s="17" t="str">
        <f aca="false">IF($D2353="","",IF(OR($R2353=TRUE(),$R2353="TRUE"),Settings!$C$6,Settings!$C$7)*100)</f>
        <v/>
      </c>
      <c r="AH2353" s="18" t="str">
        <f aca="false">IF($D2353="","",IF(COUNTIF($D$2:$D2353,$D2353)=1,1,0))</f>
        <v/>
      </c>
      <c r="AI2353" s="18" t="str">
        <f aca="false">IF($AH2353=1,SUMPRODUCT(--($AK$2:$AK$4001&lt;$AK2353))+1,"")</f>
        <v/>
      </c>
      <c r="AJ2353" s="18" t="str">
        <f aca="false">IF($D2353="","",IF(OR($R2353=TRUE(),$R2353="TRUE"),1,0))</f>
        <v/>
      </c>
      <c r="AK2353" s="18" t="str">
        <f aca="false">IF($AH2353=1,IFERROR(VALUE(MID($D2353,2,20)),1000000000)+ROW()/10000000,"")</f>
        <v/>
      </c>
    </row>
    <row r="2354" customFormat="false" ht="15" hidden="false" customHeight="false" outlineLevel="0" collapsed="false">
      <c r="F2354" s="15"/>
      <c r="N2354" s="16" t="str">
        <f aca="false">IF($D2354="","",M2354*Y2354/100)</f>
        <v/>
      </c>
      <c r="V2354" s="16" t="str">
        <f aca="false">IF($D2354="","",Y2354*AB2354/100)</f>
        <v/>
      </c>
      <c r="W2354" s="16" t="str">
        <f aca="false">IF($D2354="","",Y2354-V2354)</f>
        <v/>
      </c>
      <c r="X2354" s="16" t="str">
        <f aca="false">IF($D2354="","",W2354-N2354)</f>
        <v/>
      </c>
      <c r="AB2354" s="17" t="str">
        <f aca="false">IF($D2354="","",IF(OR($R2354=TRUE(),$R2354="TRUE"),Settings!$C$6,Settings!$C$7)*100)</f>
        <v/>
      </c>
      <c r="AH2354" s="18" t="str">
        <f aca="false">IF($D2354="","",IF(COUNTIF($D$2:$D2354,$D2354)=1,1,0))</f>
        <v/>
      </c>
      <c r="AI2354" s="18" t="str">
        <f aca="false">IF($AH2354=1,SUMPRODUCT(--($AK$2:$AK$4001&lt;$AK2354))+1,"")</f>
        <v/>
      </c>
      <c r="AJ2354" s="18" t="str">
        <f aca="false">IF($D2354="","",IF(OR($R2354=TRUE(),$R2354="TRUE"),1,0))</f>
        <v/>
      </c>
      <c r="AK2354" s="18" t="str">
        <f aca="false">IF($AH2354=1,IFERROR(VALUE(MID($D2354,2,20)),1000000000)+ROW()/10000000,"")</f>
        <v/>
      </c>
    </row>
    <row r="2355" customFormat="false" ht="15" hidden="false" customHeight="false" outlineLevel="0" collapsed="false">
      <c r="F2355" s="15"/>
      <c r="N2355" s="16" t="str">
        <f aca="false">IF($D2355="","",M2355*Y2355/100)</f>
        <v/>
      </c>
      <c r="V2355" s="16" t="str">
        <f aca="false">IF($D2355="","",Y2355*AB2355/100)</f>
        <v/>
      </c>
      <c r="W2355" s="16" t="str">
        <f aca="false">IF($D2355="","",Y2355-V2355)</f>
        <v/>
      </c>
      <c r="X2355" s="16" t="str">
        <f aca="false">IF($D2355="","",W2355-N2355)</f>
        <v/>
      </c>
      <c r="AB2355" s="17" t="str">
        <f aca="false">IF($D2355="","",IF(OR($R2355=TRUE(),$R2355="TRUE"),Settings!$C$6,Settings!$C$7)*100)</f>
        <v/>
      </c>
      <c r="AH2355" s="18" t="str">
        <f aca="false">IF($D2355="","",IF(COUNTIF($D$2:$D2355,$D2355)=1,1,0))</f>
        <v/>
      </c>
      <c r="AI2355" s="18" t="str">
        <f aca="false">IF($AH2355=1,SUMPRODUCT(--($AK$2:$AK$4001&lt;$AK2355))+1,"")</f>
        <v/>
      </c>
      <c r="AJ2355" s="18" t="str">
        <f aca="false">IF($D2355="","",IF(OR($R2355=TRUE(),$R2355="TRUE"),1,0))</f>
        <v/>
      </c>
      <c r="AK2355" s="18" t="str">
        <f aca="false">IF($AH2355=1,IFERROR(VALUE(MID($D2355,2,20)),1000000000)+ROW()/10000000,"")</f>
        <v/>
      </c>
    </row>
    <row r="2356" customFormat="false" ht="15" hidden="false" customHeight="false" outlineLevel="0" collapsed="false">
      <c r="F2356" s="15"/>
      <c r="N2356" s="16" t="str">
        <f aca="false">IF($D2356="","",M2356*Y2356/100)</f>
        <v/>
      </c>
      <c r="V2356" s="16" t="str">
        <f aca="false">IF($D2356="","",Y2356*AB2356/100)</f>
        <v/>
      </c>
      <c r="W2356" s="16" t="str">
        <f aca="false">IF($D2356="","",Y2356-V2356)</f>
        <v/>
      </c>
      <c r="X2356" s="16" t="str">
        <f aca="false">IF($D2356="","",W2356-N2356)</f>
        <v/>
      </c>
      <c r="AB2356" s="17" t="str">
        <f aca="false">IF($D2356="","",IF(OR($R2356=TRUE(),$R2356="TRUE"),Settings!$C$6,Settings!$C$7)*100)</f>
        <v/>
      </c>
      <c r="AH2356" s="18" t="str">
        <f aca="false">IF($D2356="","",IF(COUNTIF($D$2:$D2356,$D2356)=1,1,0))</f>
        <v/>
      </c>
      <c r="AI2356" s="18" t="str">
        <f aca="false">IF($AH2356=1,SUMPRODUCT(--($AK$2:$AK$4001&lt;$AK2356))+1,"")</f>
        <v/>
      </c>
      <c r="AJ2356" s="18" t="str">
        <f aca="false">IF($D2356="","",IF(OR($R2356=TRUE(),$R2356="TRUE"),1,0))</f>
        <v/>
      </c>
      <c r="AK2356" s="18" t="str">
        <f aca="false">IF($AH2356=1,IFERROR(VALUE(MID($D2356,2,20)),1000000000)+ROW()/10000000,"")</f>
        <v/>
      </c>
    </row>
    <row r="2357" customFormat="false" ht="15" hidden="false" customHeight="false" outlineLevel="0" collapsed="false">
      <c r="F2357" s="15"/>
      <c r="N2357" s="16" t="str">
        <f aca="false">IF($D2357="","",M2357*Y2357/100)</f>
        <v/>
      </c>
      <c r="V2357" s="16" t="str">
        <f aca="false">IF($D2357="","",Y2357*AB2357/100)</f>
        <v/>
      </c>
      <c r="W2357" s="16" t="str">
        <f aca="false">IF($D2357="","",Y2357-V2357)</f>
        <v/>
      </c>
      <c r="X2357" s="16" t="str">
        <f aca="false">IF($D2357="","",W2357-N2357)</f>
        <v/>
      </c>
      <c r="AB2357" s="17" t="str">
        <f aca="false">IF($D2357="","",IF(OR($R2357=TRUE(),$R2357="TRUE"),Settings!$C$6,Settings!$C$7)*100)</f>
        <v/>
      </c>
      <c r="AH2357" s="18" t="str">
        <f aca="false">IF($D2357="","",IF(COUNTIF($D$2:$D2357,$D2357)=1,1,0))</f>
        <v/>
      </c>
      <c r="AI2357" s="18" t="str">
        <f aca="false">IF($AH2357=1,SUMPRODUCT(--($AK$2:$AK$4001&lt;$AK2357))+1,"")</f>
        <v/>
      </c>
      <c r="AJ2357" s="18" t="str">
        <f aca="false">IF($D2357="","",IF(OR($R2357=TRUE(),$R2357="TRUE"),1,0))</f>
        <v/>
      </c>
      <c r="AK2357" s="18" t="str">
        <f aca="false">IF($AH2357=1,IFERROR(VALUE(MID($D2357,2,20)),1000000000)+ROW()/10000000,"")</f>
        <v/>
      </c>
    </row>
    <row r="2358" customFormat="false" ht="15" hidden="false" customHeight="false" outlineLevel="0" collapsed="false">
      <c r="F2358" s="15"/>
      <c r="N2358" s="16" t="str">
        <f aca="false">IF($D2358="","",M2358*Y2358/100)</f>
        <v/>
      </c>
      <c r="V2358" s="16" t="str">
        <f aca="false">IF($D2358="","",Y2358*AB2358/100)</f>
        <v/>
      </c>
      <c r="W2358" s="16" t="str">
        <f aca="false">IF($D2358="","",Y2358-V2358)</f>
        <v/>
      </c>
      <c r="X2358" s="16" t="str">
        <f aca="false">IF($D2358="","",W2358-N2358)</f>
        <v/>
      </c>
      <c r="AB2358" s="17" t="str">
        <f aca="false">IF($D2358="","",IF(OR($R2358=TRUE(),$R2358="TRUE"),Settings!$C$6,Settings!$C$7)*100)</f>
        <v/>
      </c>
      <c r="AH2358" s="18" t="str">
        <f aca="false">IF($D2358="","",IF(COUNTIF($D$2:$D2358,$D2358)=1,1,0))</f>
        <v/>
      </c>
      <c r="AI2358" s="18" t="str">
        <f aca="false">IF($AH2358=1,SUMPRODUCT(--($AK$2:$AK$4001&lt;$AK2358))+1,"")</f>
        <v/>
      </c>
      <c r="AJ2358" s="18" t="str">
        <f aca="false">IF($D2358="","",IF(OR($R2358=TRUE(),$R2358="TRUE"),1,0))</f>
        <v/>
      </c>
      <c r="AK2358" s="18" t="str">
        <f aca="false">IF($AH2358=1,IFERROR(VALUE(MID($D2358,2,20)),1000000000)+ROW()/10000000,"")</f>
        <v/>
      </c>
    </row>
    <row r="2359" customFormat="false" ht="15" hidden="false" customHeight="false" outlineLevel="0" collapsed="false">
      <c r="F2359" s="15"/>
      <c r="N2359" s="16" t="str">
        <f aca="false">IF($D2359="","",M2359*Y2359/100)</f>
        <v/>
      </c>
      <c r="V2359" s="16" t="str">
        <f aca="false">IF($D2359="","",Y2359*AB2359/100)</f>
        <v/>
      </c>
      <c r="W2359" s="16" t="str">
        <f aca="false">IF($D2359="","",Y2359-V2359)</f>
        <v/>
      </c>
      <c r="X2359" s="16" t="str">
        <f aca="false">IF($D2359="","",W2359-N2359)</f>
        <v/>
      </c>
      <c r="AB2359" s="17" t="str">
        <f aca="false">IF($D2359="","",IF(OR($R2359=TRUE(),$R2359="TRUE"),Settings!$C$6,Settings!$C$7)*100)</f>
        <v/>
      </c>
      <c r="AH2359" s="18" t="str">
        <f aca="false">IF($D2359="","",IF(COUNTIF($D$2:$D2359,$D2359)=1,1,0))</f>
        <v/>
      </c>
      <c r="AI2359" s="18" t="str">
        <f aca="false">IF($AH2359=1,SUMPRODUCT(--($AK$2:$AK$4001&lt;$AK2359))+1,"")</f>
        <v/>
      </c>
      <c r="AJ2359" s="18" t="str">
        <f aca="false">IF($D2359="","",IF(OR($R2359=TRUE(),$R2359="TRUE"),1,0))</f>
        <v/>
      </c>
      <c r="AK2359" s="18" t="str">
        <f aca="false">IF($AH2359=1,IFERROR(VALUE(MID($D2359,2,20)),1000000000)+ROW()/10000000,"")</f>
        <v/>
      </c>
    </row>
    <row r="2360" customFormat="false" ht="15" hidden="false" customHeight="false" outlineLevel="0" collapsed="false">
      <c r="F2360" s="15"/>
      <c r="N2360" s="16" t="str">
        <f aca="false">IF($D2360="","",M2360*Y2360/100)</f>
        <v/>
      </c>
      <c r="V2360" s="16" t="str">
        <f aca="false">IF($D2360="","",Y2360*AB2360/100)</f>
        <v/>
      </c>
      <c r="W2360" s="16" t="str">
        <f aca="false">IF($D2360="","",Y2360-V2360)</f>
        <v/>
      </c>
      <c r="X2360" s="16" t="str">
        <f aca="false">IF($D2360="","",W2360-N2360)</f>
        <v/>
      </c>
      <c r="AB2360" s="17" t="str">
        <f aca="false">IF($D2360="","",IF(OR($R2360=TRUE(),$R2360="TRUE"),Settings!$C$6,Settings!$C$7)*100)</f>
        <v/>
      </c>
      <c r="AH2360" s="18" t="str">
        <f aca="false">IF($D2360="","",IF(COUNTIF($D$2:$D2360,$D2360)=1,1,0))</f>
        <v/>
      </c>
      <c r="AI2360" s="18" t="str">
        <f aca="false">IF($AH2360=1,SUMPRODUCT(--($AK$2:$AK$4001&lt;$AK2360))+1,"")</f>
        <v/>
      </c>
      <c r="AJ2360" s="18" t="str">
        <f aca="false">IF($D2360="","",IF(OR($R2360=TRUE(),$R2360="TRUE"),1,0))</f>
        <v/>
      </c>
      <c r="AK2360" s="18" t="str">
        <f aca="false">IF($AH2360=1,IFERROR(VALUE(MID($D2360,2,20)),1000000000)+ROW()/10000000,"")</f>
        <v/>
      </c>
    </row>
    <row r="2361" customFormat="false" ht="15" hidden="false" customHeight="false" outlineLevel="0" collapsed="false">
      <c r="F2361" s="15"/>
      <c r="N2361" s="16" t="str">
        <f aca="false">IF($D2361="","",M2361*Y2361/100)</f>
        <v/>
      </c>
      <c r="V2361" s="16" t="str">
        <f aca="false">IF($D2361="","",Y2361*AB2361/100)</f>
        <v/>
      </c>
      <c r="W2361" s="16" t="str">
        <f aca="false">IF($D2361="","",Y2361-V2361)</f>
        <v/>
      </c>
      <c r="X2361" s="16" t="str">
        <f aca="false">IF($D2361="","",W2361-N2361)</f>
        <v/>
      </c>
      <c r="AB2361" s="17" t="str">
        <f aca="false">IF($D2361="","",IF(OR($R2361=TRUE(),$R2361="TRUE"),Settings!$C$6,Settings!$C$7)*100)</f>
        <v/>
      </c>
      <c r="AH2361" s="18" t="str">
        <f aca="false">IF($D2361="","",IF(COUNTIF($D$2:$D2361,$D2361)=1,1,0))</f>
        <v/>
      </c>
      <c r="AI2361" s="18" t="str">
        <f aca="false">IF($AH2361=1,SUMPRODUCT(--($AK$2:$AK$4001&lt;$AK2361))+1,"")</f>
        <v/>
      </c>
      <c r="AJ2361" s="18" t="str">
        <f aca="false">IF($D2361="","",IF(OR($R2361=TRUE(),$R2361="TRUE"),1,0))</f>
        <v/>
      </c>
      <c r="AK2361" s="18" t="str">
        <f aca="false">IF($AH2361=1,IFERROR(VALUE(MID($D2361,2,20)),1000000000)+ROW()/10000000,"")</f>
        <v/>
      </c>
    </row>
    <row r="2362" customFormat="false" ht="15" hidden="false" customHeight="false" outlineLevel="0" collapsed="false">
      <c r="F2362" s="15"/>
      <c r="N2362" s="16" t="str">
        <f aca="false">IF($D2362="","",M2362*Y2362/100)</f>
        <v/>
      </c>
      <c r="V2362" s="16" t="str">
        <f aca="false">IF($D2362="","",Y2362*AB2362/100)</f>
        <v/>
      </c>
      <c r="W2362" s="16" t="str">
        <f aca="false">IF($D2362="","",Y2362-V2362)</f>
        <v/>
      </c>
      <c r="X2362" s="16" t="str">
        <f aca="false">IF($D2362="","",W2362-N2362)</f>
        <v/>
      </c>
      <c r="AB2362" s="17" t="str">
        <f aca="false">IF($D2362="","",IF(OR($R2362=TRUE(),$R2362="TRUE"),Settings!$C$6,Settings!$C$7)*100)</f>
        <v/>
      </c>
      <c r="AH2362" s="18" t="str">
        <f aca="false">IF($D2362="","",IF(COUNTIF($D$2:$D2362,$D2362)=1,1,0))</f>
        <v/>
      </c>
      <c r="AI2362" s="18" t="str">
        <f aca="false">IF($AH2362=1,SUMPRODUCT(--($AK$2:$AK$4001&lt;$AK2362))+1,"")</f>
        <v/>
      </c>
      <c r="AJ2362" s="18" t="str">
        <f aca="false">IF($D2362="","",IF(OR($R2362=TRUE(),$R2362="TRUE"),1,0))</f>
        <v/>
      </c>
      <c r="AK2362" s="18" t="str">
        <f aca="false">IF($AH2362=1,IFERROR(VALUE(MID($D2362,2,20)),1000000000)+ROW()/10000000,"")</f>
        <v/>
      </c>
    </row>
    <row r="2363" customFormat="false" ht="15" hidden="false" customHeight="false" outlineLevel="0" collapsed="false">
      <c r="F2363" s="15"/>
      <c r="N2363" s="16" t="str">
        <f aca="false">IF($D2363="","",M2363*Y2363/100)</f>
        <v/>
      </c>
      <c r="V2363" s="16" t="str">
        <f aca="false">IF($D2363="","",Y2363*AB2363/100)</f>
        <v/>
      </c>
      <c r="W2363" s="16" t="str">
        <f aca="false">IF($D2363="","",Y2363-V2363)</f>
        <v/>
      </c>
      <c r="X2363" s="16" t="str">
        <f aca="false">IF($D2363="","",W2363-N2363)</f>
        <v/>
      </c>
      <c r="AB2363" s="17" t="str">
        <f aca="false">IF($D2363="","",IF(OR($R2363=TRUE(),$R2363="TRUE"),Settings!$C$6,Settings!$C$7)*100)</f>
        <v/>
      </c>
      <c r="AH2363" s="18" t="str">
        <f aca="false">IF($D2363="","",IF(COUNTIF($D$2:$D2363,$D2363)=1,1,0))</f>
        <v/>
      </c>
      <c r="AI2363" s="18" t="str">
        <f aca="false">IF($AH2363=1,SUMPRODUCT(--($AK$2:$AK$4001&lt;$AK2363))+1,"")</f>
        <v/>
      </c>
      <c r="AJ2363" s="18" t="str">
        <f aca="false">IF($D2363="","",IF(OR($R2363=TRUE(),$R2363="TRUE"),1,0))</f>
        <v/>
      </c>
      <c r="AK2363" s="18" t="str">
        <f aca="false">IF($AH2363=1,IFERROR(VALUE(MID($D2363,2,20)),1000000000)+ROW()/10000000,"")</f>
        <v/>
      </c>
    </row>
    <row r="2364" customFormat="false" ht="15" hidden="false" customHeight="false" outlineLevel="0" collapsed="false">
      <c r="F2364" s="15"/>
      <c r="N2364" s="16" t="str">
        <f aca="false">IF($D2364="","",M2364*Y2364/100)</f>
        <v/>
      </c>
      <c r="V2364" s="16" t="str">
        <f aca="false">IF($D2364="","",Y2364*AB2364/100)</f>
        <v/>
      </c>
      <c r="W2364" s="16" t="str">
        <f aca="false">IF($D2364="","",Y2364-V2364)</f>
        <v/>
      </c>
      <c r="X2364" s="16" t="str">
        <f aca="false">IF($D2364="","",W2364-N2364)</f>
        <v/>
      </c>
      <c r="AB2364" s="17" t="str">
        <f aca="false">IF($D2364="","",IF(OR($R2364=TRUE(),$R2364="TRUE"),Settings!$C$6,Settings!$C$7)*100)</f>
        <v/>
      </c>
      <c r="AH2364" s="18" t="str">
        <f aca="false">IF($D2364="","",IF(COUNTIF($D$2:$D2364,$D2364)=1,1,0))</f>
        <v/>
      </c>
      <c r="AI2364" s="18" t="str">
        <f aca="false">IF($AH2364=1,SUMPRODUCT(--($AK$2:$AK$4001&lt;$AK2364))+1,"")</f>
        <v/>
      </c>
      <c r="AJ2364" s="18" t="str">
        <f aca="false">IF($D2364="","",IF(OR($R2364=TRUE(),$R2364="TRUE"),1,0))</f>
        <v/>
      </c>
      <c r="AK2364" s="18" t="str">
        <f aca="false">IF($AH2364=1,IFERROR(VALUE(MID($D2364,2,20)),1000000000)+ROW()/10000000,"")</f>
        <v/>
      </c>
    </row>
    <row r="2365" customFormat="false" ht="15" hidden="false" customHeight="false" outlineLevel="0" collapsed="false">
      <c r="F2365" s="15"/>
      <c r="N2365" s="16" t="str">
        <f aca="false">IF($D2365="","",M2365*Y2365/100)</f>
        <v/>
      </c>
      <c r="V2365" s="16" t="str">
        <f aca="false">IF($D2365="","",Y2365*AB2365/100)</f>
        <v/>
      </c>
      <c r="W2365" s="16" t="str">
        <f aca="false">IF($D2365="","",Y2365-V2365)</f>
        <v/>
      </c>
      <c r="X2365" s="16" t="str">
        <f aca="false">IF($D2365="","",W2365-N2365)</f>
        <v/>
      </c>
      <c r="AB2365" s="17" t="str">
        <f aca="false">IF($D2365="","",IF(OR($R2365=TRUE(),$R2365="TRUE"),Settings!$C$6,Settings!$C$7)*100)</f>
        <v/>
      </c>
      <c r="AH2365" s="18" t="str">
        <f aca="false">IF($D2365="","",IF(COUNTIF($D$2:$D2365,$D2365)=1,1,0))</f>
        <v/>
      </c>
      <c r="AI2365" s="18" t="str">
        <f aca="false">IF($AH2365=1,SUMPRODUCT(--($AK$2:$AK$4001&lt;$AK2365))+1,"")</f>
        <v/>
      </c>
      <c r="AJ2365" s="18" t="str">
        <f aca="false">IF($D2365="","",IF(OR($R2365=TRUE(),$R2365="TRUE"),1,0))</f>
        <v/>
      </c>
      <c r="AK2365" s="18" t="str">
        <f aca="false">IF($AH2365=1,IFERROR(VALUE(MID($D2365,2,20)),1000000000)+ROW()/10000000,"")</f>
        <v/>
      </c>
    </row>
    <row r="2366" customFormat="false" ht="15" hidden="false" customHeight="false" outlineLevel="0" collapsed="false">
      <c r="F2366" s="15"/>
      <c r="N2366" s="16" t="str">
        <f aca="false">IF($D2366="","",M2366*Y2366/100)</f>
        <v/>
      </c>
      <c r="V2366" s="16" t="str">
        <f aca="false">IF($D2366="","",Y2366*AB2366/100)</f>
        <v/>
      </c>
      <c r="W2366" s="16" t="str">
        <f aca="false">IF($D2366="","",Y2366-V2366)</f>
        <v/>
      </c>
      <c r="X2366" s="16" t="str">
        <f aca="false">IF($D2366="","",W2366-N2366)</f>
        <v/>
      </c>
      <c r="AB2366" s="17" t="str">
        <f aca="false">IF($D2366="","",IF(OR($R2366=TRUE(),$R2366="TRUE"),Settings!$C$6,Settings!$C$7)*100)</f>
        <v/>
      </c>
      <c r="AH2366" s="18" t="str">
        <f aca="false">IF($D2366="","",IF(COUNTIF($D$2:$D2366,$D2366)=1,1,0))</f>
        <v/>
      </c>
      <c r="AI2366" s="18" t="str">
        <f aca="false">IF($AH2366=1,SUMPRODUCT(--($AK$2:$AK$4001&lt;$AK2366))+1,"")</f>
        <v/>
      </c>
      <c r="AJ2366" s="18" t="str">
        <f aca="false">IF($D2366="","",IF(OR($R2366=TRUE(),$R2366="TRUE"),1,0))</f>
        <v/>
      </c>
      <c r="AK2366" s="18" t="str">
        <f aca="false">IF($AH2366=1,IFERROR(VALUE(MID($D2366,2,20)),1000000000)+ROW()/10000000,"")</f>
        <v/>
      </c>
    </row>
    <row r="2367" customFormat="false" ht="15" hidden="false" customHeight="false" outlineLevel="0" collapsed="false">
      <c r="F2367" s="15"/>
      <c r="N2367" s="16" t="str">
        <f aca="false">IF($D2367="","",M2367*Y2367/100)</f>
        <v/>
      </c>
      <c r="V2367" s="16" t="str">
        <f aca="false">IF($D2367="","",Y2367*AB2367/100)</f>
        <v/>
      </c>
      <c r="W2367" s="16" t="str">
        <f aca="false">IF($D2367="","",Y2367-V2367)</f>
        <v/>
      </c>
      <c r="X2367" s="16" t="str">
        <f aca="false">IF($D2367="","",W2367-N2367)</f>
        <v/>
      </c>
      <c r="AB2367" s="17" t="str">
        <f aca="false">IF($D2367="","",IF(OR($R2367=TRUE(),$R2367="TRUE"),Settings!$C$6,Settings!$C$7)*100)</f>
        <v/>
      </c>
      <c r="AH2367" s="18" t="str">
        <f aca="false">IF($D2367="","",IF(COUNTIF($D$2:$D2367,$D2367)=1,1,0))</f>
        <v/>
      </c>
      <c r="AI2367" s="18" t="str">
        <f aca="false">IF($AH2367=1,SUMPRODUCT(--($AK$2:$AK$4001&lt;$AK2367))+1,"")</f>
        <v/>
      </c>
      <c r="AJ2367" s="18" t="str">
        <f aca="false">IF($D2367="","",IF(OR($R2367=TRUE(),$R2367="TRUE"),1,0))</f>
        <v/>
      </c>
      <c r="AK2367" s="18" t="str">
        <f aca="false">IF($AH2367=1,IFERROR(VALUE(MID($D2367,2,20)),1000000000)+ROW()/10000000,"")</f>
        <v/>
      </c>
    </row>
    <row r="2368" customFormat="false" ht="15" hidden="false" customHeight="false" outlineLevel="0" collapsed="false">
      <c r="F2368" s="15"/>
      <c r="N2368" s="16" t="str">
        <f aca="false">IF($D2368="","",M2368*Y2368/100)</f>
        <v/>
      </c>
      <c r="V2368" s="16" t="str">
        <f aca="false">IF($D2368="","",Y2368*AB2368/100)</f>
        <v/>
      </c>
      <c r="W2368" s="16" t="str">
        <f aca="false">IF($D2368="","",Y2368-V2368)</f>
        <v/>
      </c>
      <c r="X2368" s="16" t="str">
        <f aca="false">IF($D2368="","",W2368-N2368)</f>
        <v/>
      </c>
      <c r="AB2368" s="17" t="str">
        <f aca="false">IF($D2368="","",IF(OR($R2368=TRUE(),$R2368="TRUE"),Settings!$C$6,Settings!$C$7)*100)</f>
        <v/>
      </c>
      <c r="AH2368" s="18" t="str">
        <f aca="false">IF($D2368="","",IF(COUNTIF($D$2:$D2368,$D2368)=1,1,0))</f>
        <v/>
      </c>
      <c r="AI2368" s="18" t="str">
        <f aca="false">IF($AH2368=1,SUMPRODUCT(--($AK$2:$AK$4001&lt;$AK2368))+1,"")</f>
        <v/>
      </c>
      <c r="AJ2368" s="18" t="str">
        <f aca="false">IF($D2368="","",IF(OR($R2368=TRUE(),$R2368="TRUE"),1,0))</f>
        <v/>
      </c>
      <c r="AK2368" s="18" t="str">
        <f aca="false">IF($AH2368=1,IFERROR(VALUE(MID($D2368,2,20)),1000000000)+ROW()/10000000,"")</f>
        <v/>
      </c>
    </row>
    <row r="2369" customFormat="false" ht="15" hidden="false" customHeight="false" outlineLevel="0" collapsed="false">
      <c r="F2369" s="15"/>
      <c r="N2369" s="16" t="str">
        <f aca="false">IF($D2369="","",M2369*Y2369/100)</f>
        <v/>
      </c>
      <c r="V2369" s="16" t="str">
        <f aca="false">IF($D2369="","",Y2369*AB2369/100)</f>
        <v/>
      </c>
      <c r="W2369" s="16" t="str">
        <f aca="false">IF($D2369="","",Y2369-V2369)</f>
        <v/>
      </c>
      <c r="X2369" s="16" t="str">
        <f aca="false">IF($D2369="","",W2369-N2369)</f>
        <v/>
      </c>
      <c r="AB2369" s="17" t="str">
        <f aca="false">IF($D2369="","",IF(OR($R2369=TRUE(),$R2369="TRUE"),Settings!$C$6,Settings!$C$7)*100)</f>
        <v/>
      </c>
      <c r="AH2369" s="18" t="str">
        <f aca="false">IF($D2369="","",IF(COUNTIF($D$2:$D2369,$D2369)=1,1,0))</f>
        <v/>
      </c>
      <c r="AI2369" s="18" t="str">
        <f aca="false">IF($AH2369=1,SUMPRODUCT(--($AK$2:$AK$4001&lt;$AK2369))+1,"")</f>
        <v/>
      </c>
      <c r="AJ2369" s="18" t="str">
        <f aca="false">IF($D2369="","",IF(OR($R2369=TRUE(),$R2369="TRUE"),1,0))</f>
        <v/>
      </c>
      <c r="AK2369" s="18" t="str">
        <f aca="false">IF($AH2369=1,IFERROR(VALUE(MID($D2369,2,20)),1000000000)+ROW()/10000000,"")</f>
        <v/>
      </c>
    </row>
    <row r="2370" customFormat="false" ht="15" hidden="false" customHeight="false" outlineLevel="0" collapsed="false">
      <c r="F2370" s="15"/>
      <c r="N2370" s="16" t="str">
        <f aca="false">IF($D2370="","",M2370*Y2370/100)</f>
        <v/>
      </c>
      <c r="V2370" s="16" t="str">
        <f aca="false">IF($D2370="","",Y2370*AB2370/100)</f>
        <v/>
      </c>
      <c r="W2370" s="16" t="str">
        <f aca="false">IF($D2370="","",Y2370-V2370)</f>
        <v/>
      </c>
      <c r="X2370" s="16" t="str">
        <f aca="false">IF($D2370="","",W2370-N2370)</f>
        <v/>
      </c>
      <c r="AB2370" s="17" t="str">
        <f aca="false">IF($D2370="","",IF(OR($R2370=TRUE(),$R2370="TRUE"),Settings!$C$6,Settings!$C$7)*100)</f>
        <v/>
      </c>
      <c r="AH2370" s="18" t="str">
        <f aca="false">IF($D2370="","",IF(COUNTIF($D$2:$D2370,$D2370)=1,1,0))</f>
        <v/>
      </c>
      <c r="AI2370" s="18" t="str">
        <f aca="false">IF($AH2370=1,SUMPRODUCT(--($AK$2:$AK$4001&lt;$AK2370))+1,"")</f>
        <v/>
      </c>
      <c r="AJ2370" s="18" t="str">
        <f aca="false">IF($D2370="","",IF(OR($R2370=TRUE(),$R2370="TRUE"),1,0))</f>
        <v/>
      </c>
      <c r="AK2370" s="18" t="str">
        <f aca="false">IF($AH2370=1,IFERROR(VALUE(MID($D2370,2,20)),1000000000)+ROW()/10000000,"")</f>
        <v/>
      </c>
    </row>
    <row r="2371" customFormat="false" ht="15" hidden="false" customHeight="false" outlineLevel="0" collapsed="false">
      <c r="F2371" s="15"/>
      <c r="N2371" s="16" t="str">
        <f aca="false">IF($D2371="","",M2371*Y2371/100)</f>
        <v/>
      </c>
      <c r="V2371" s="16" t="str">
        <f aca="false">IF($D2371="","",Y2371*AB2371/100)</f>
        <v/>
      </c>
      <c r="W2371" s="16" t="str">
        <f aca="false">IF($D2371="","",Y2371-V2371)</f>
        <v/>
      </c>
      <c r="X2371" s="16" t="str">
        <f aca="false">IF($D2371="","",W2371-N2371)</f>
        <v/>
      </c>
      <c r="AB2371" s="17" t="str">
        <f aca="false">IF($D2371="","",IF(OR($R2371=TRUE(),$R2371="TRUE"),Settings!$C$6,Settings!$C$7)*100)</f>
        <v/>
      </c>
      <c r="AH2371" s="18" t="str">
        <f aca="false">IF($D2371="","",IF(COUNTIF($D$2:$D2371,$D2371)=1,1,0))</f>
        <v/>
      </c>
      <c r="AI2371" s="18" t="str">
        <f aca="false">IF($AH2371=1,SUMPRODUCT(--($AK$2:$AK$4001&lt;$AK2371))+1,"")</f>
        <v/>
      </c>
      <c r="AJ2371" s="18" t="str">
        <f aca="false">IF($D2371="","",IF(OR($R2371=TRUE(),$R2371="TRUE"),1,0))</f>
        <v/>
      </c>
      <c r="AK2371" s="18" t="str">
        <f aca="false">IF($AH2371=1,IFERROR(VALUE(MID($D2371,2,20)),1000000000)+ROW()/10000000,"")</f>
        <v/>
      </c>
    </row>
    <row r="2372" customFormat="false" ht="15" hidden="false" customHeight="false" outlineLevel="0" collapsed="false">
      <c r="F2372" s="15"/>
      <c r="N2372" s="16" t="str">
        <f aca="false">IF($D2372="","",M2372*Y2372/100)</f>
        <v/>
      </c>
      <c r="V2372" s="16" t="str">
        <f aca="false">IF($D2372="","",Y2372*AB2372/100)</f>
        <v/>
      </c>
      <c r="W2372" s="16" t="str">
        <f aca="false">IF($D2372="","",Y2372-V2372)</f>
        <v/>
      </c>
      <c r="X2372" s="16" t="str">
        <f aca="false">IF($D2372="","",W2372-N2372)</f>
        <v/>
      </c>
      <c r="AB2372" s="17" t="str">
        <f aca="false">IF($D2372="","",IF(OR($R2372=TRUE(),$R2372="TRUE"),Settings!$C$6,Settings!$C$7)*100)</f>
        <v/>
      </c>
      <c r="AH2372" s="18" t="str">
        <f aca="false">IF($D2372="","",IF(COUNTIF($D$2:$D2372,$D2372)=1,1,0))</f>
        <v/>
      </c>
      <c r="AI2372" s="18" t="str">
        <f aca="false">IF($AH2372=1,SUMPRODUCT(--($AK$2:$AK$4001&lt;$AK2372))+1,"")</f>
        <v/>
      </c>
      <c r="AJ2372" s="18" t="str">
        <f aca="false">IF($D2372="","",IF(OR($R2372=TRUE(),$R2372="TRUE"),1,0))</f>
        <v/>
      </c>
      <c r="AK2372" s="18" t="str">
        <f aca="false">IF($AH2372=1,IFERROR(VALUE(MID($D2372,2,20)),1000000000)+ROW()/10000000,"")</f>
        <v/>
      </c>
    </row>
    <row r="2373" customFormat="false" ht="15" hidden="false" customHeight="false" outlineLevel="0" collapsed="false">
      <c r="F2373" s="15"/>
      <c r="N2373" s="16" t="str">
        <f aca="false">IF($D2373="","",M2373*Y2373/100)</f>
        <v/>
      </c>
      <c r="V2373" s="16" t="str">
        <f aca="false">IF($D2373="","",Y2373*AB2373/100)</f>
        <v/>
      </c>
      <c r="W2373" s="16" t="str">
        <f aca="false">IF($D2373="","",Y2373-V2373)</f>
        <v/>
      </c>
      <c r="X2373" s="16" t="str">
        <f aca="false">IF($D2373="","",W2373-N2373)</f>
        <v/>
      </c>
      <c r="AB2373" s="17" t="str">
        <f aca="false">IF($D2373="","",IF(OR($R2373=TRUE(),$R2373="TRUE"),Settings!$C$6,Settings!$C$7)*100)</f>
        <v/>
      </c>
      <c r="AH2373" s="18" t="str">
        <f aca="false">IF($D2373="","",IF(COUNTIF($D$2:$D2373,$D2373)=1,1,0))</f>
        <v/>
      </c>
      <c r="AI2373" s="18" t="str">
        <f aca="false">IF($AH2373=1,SUMPRODUCT(--($AK$2:$AK$4001&lt;$AK2373))+1,"")</f>
        <v/>
      </c>
      <c r="AJ2373" s="18" t="str">
        <f aca="false">IF($D2373="","",IF(OR($R2373=TRUE(),$R2373="TRUE"),1,0))</f>
        <v/>
      </c>
      <c r="AK2373" s="18" t="str">
        <f aca="false">IF($AH2373=1,IFERROR(VALUE(MID($D2373,2,20)),1000000000)+ROW()/10000000,"")</f>
        <v/>
      </c>
    </row>
    <row r="2374" customFormat="false" ht="15" hidden="false" customHeight="false" outlineLevel="0" collapsed="false">
      <c r="F2374" s="15"/>
      <c r="N2374" s="16" t="str">
        <f aca="false">IF($D2374="","",M2374*Y2374/100)</f>
        <v/>
      </c>
      <c r="V2374" s="16" t="str">
        <f aca="false">IF($D2374="","",Y2374*AB2374/100)</f>
        <v/>
      </c>
      <c r="W2374" s="16" t="str">
        <f aca="false">IF($D2374="","",Y2374-V2374)</f>
        <v/>
      </c>
      <c r="X2374" s="16" t="str">
        <f aca="false">IF($D2374="","",W2374-N2374)</f>
        <v/>
      </c>
      <c r="AB2374" s="17" t="str">
        <f aca="false">IF($D2374="","",IF(OR($R2374=TRUE(),$R2374="TRUE"),Settings!$C$6,Settings!$C$7)*100)</f>
        <v/>
      </c>
      <c r="AH2374" s="18" t="str">
        <f aca="false">IF($D2374="","",IF(COUNTIF($D$2:$D2374,$D2374)=1,1,0))</f>
        <v/>
      </c>
      <c r="AI2374" s="18" t="str">
        <f aca="false">IF($AH2374=1,SUMPRODUCT(--($AK$2:$AK$4001&lt;$AK2374))+1,"")</f>
        <v/>
      </c>
      <c r="AJ2374" s="18" t="str">
        <f aca="false">IF($D2374="","",IF(OR($R2374=TRUE(),$R2374="TRUE"),1,0))</f>
        <v/>
      </c>
      <c r="AK2374" s="18" t="str">
        <f aca="false">IF($AH2374=1,IFERROR(VALUE(MID($D2374,2,20)),1000000000)+ROW()/10000000,"")</f>
        <v/>
      </c>
    </row>
    <row r="2375" customFormat="false" ht="15" hidden="false" customHeight="false" outlineLevel="0" collapsed="false">
      <c r="F2375" s="15"/>
      <c r="N2375" s="16" t="str">
        <f aca="false">IF($D2375="","",M2375*Y2375/100)</f>
        <v/>
      </c>
      <c r="V2375" s="16" t="str">
        <f aca="false">IF($D2375="","",Y2375*AB2375/100)</f>
        <v/>
      </c>
      <c r="W2375" s="16" t="str">
        <f aca="false">IF($D2375="","",Y2375-V2375)</f>
        <v/>
      </c>
      <c r="X2375" s="16" t="str">
        <f aca="false">IF($D2375="","",W2375-N2375)</f>
        <v/>
      </c>
      <c r="AB2375" s="17" t="str">
        <f aca="false">IF($D2375="","",IF(OR($R2375=TRUE(),$R2375="TRUE"),Settings!$C$6,Settings!$C$7)*100)</f>
        <v/>
      </c>
      <c r="AH2375" s="18" t="str">
        <f aca="false">IF($D2375="","",IF(COUNTIF($D$2:$D2375,$D2375)=1,1,0))</f>
        <v/>
      </c>
      <c r="AI2375" s="18" t="str">
        <f aca="false">IF($AH2375=1,SUMPRODUCT(--($AK$2:$AK$4001&lt;$AK2375))+1,"")</f>
        <v/>
      </c>
      <c r="AJ2375" s="18" t="str">
        <f aca="false">IF($D2375="","",IF(OR($R2375=TRUE(),$R2375="TRUE"),1,0))</f>
        <v/>
      </c>
      <c r="AK2375" s="18" t="str">
        <f aca="false">IF($AH2375=1,IFERROR(VALUE(MID($D2375,2,20)),1000000000)+ROW()/10000000,"")</f>
        <v/>
      </c>
    </row>
    <row r="2376" customFormat="false" ht="15" hidden="false" customHeight="false" outlineLevel="0" collapsed="false">
      <c r="F2376" s="15"/>
      <c r="N2376" s="16" t="str">
        <f aca="false">IF($D2376="","",M2376*Y2376/100)</f>
        <v/>
      </c>
      <c r="V2376" s="16" t="str">
        <f aca="false">IF($D2376="","",Y2376*AB2376/100)</f>
        <v/>
      </c>
      <c r="W2376" s="16" t="str">
        <f aca="false">IF($D2376="","",Y2376-V2376)</f>
        <v/>
      </c>
      <c r="X2376" s="16" t="str">
        <f aca="false">IF($D2376="","",W2376-N2376)</f>
        <v/>
      </c>
      <c r="AB2376" s="17" t="str">
        <f aca="false">IF($D2376="","",IF(OR($R2376=TRUE(),$R2376="TRUE"),Settings!$C$6,Settings!$C$7)*100)</f>
        <v/>
      </c>
      <c r="AH2376" s="18" t="str">
        <f aca="false">IF($D2376="","",IF(COUNTIF($D$2:$D2376,$D2376)=1,1,0))</f>
        <v/>
      </c>
      <c r="AI2376" s="18" t="str">
        <f aca="false">IF($AH2376=1,SUMPRODUCT(--($AK$2:$AK$4001&lt;$AK2376))+1,"")</f>
        <v/>
      </c>
      <c r="AJ2376" s="18" t="str">
        <f aca="false">IF($D2376="","",IF(OR($R2376=TRUE(),$R2376="TRUE"),1,0))</f>
        <v/>
      </c>
      <c r="AK2376" s="18" t="str">
        <f aca="false">IF($AH2376=1,IFERROR(VALUE(MID($D2376,2,20)),1000000000)+ROW()/10000000,"")</f>
        <v/>
      </c>
    </row>
    <row r="2377" customFormat="false" ht="15" hidden="false" customHeight="false" outlineLevel="0" collapsed="false">
      <c r="F2377" s="15"/>
      <c r="N2377" s="16" t="str">
        <f aca="false">IF($D2377="","",M2377*Y2377/100)</f>
        <v/>
      </c>
      <c r="V2377" s="16" t="str">
        <f aca="false">IF($D2377="","",Y2377*AB2377/100)</f>
        <v/>
      </c>
      <c r="W2377" s="16" t="str">
        <f aca="false">IF($D2377="","",Y2377-V2377)</f>
        <v/>
      </c>
      <c r="X2377" s="16" t="str">
        <f aca="false">IF($D2377="","",W2377-N2377)</f>
        <v/>
      </c>
      <c r="AB2377" s="17" t="str">
        <f aca="false">IF($D2377="","",IF(OR($R2377=TRUE(),$R2377="TRUE"),Settings!$C$6,Settings!$C$7)*100)</f>
        <v/>
      </c>
      <c r="AH2377" s="18" t="str">
        <f aca="false">IF($D2377="","",IF(COUNTIF($D$2:$D2377,$D2377)=1,1,0))</f>
        <v/>
      </c>
      <c r="AI2377" s="18" t="str">
        <f aca="false">IF($AH2377=1,SUMPRODUCT(--($AK$2:$AK$4001&lt;$AK2377))+1,"")</f>
        <v/>
      </c>
      <c r="AJ2377" s="18" t="str">
        <f aca="false">IF($D2377="","",IF(OR($R2377=TRUE(),$R2377="TRUE"),1,0))</f>
        <v/>
      </c>
      <c r="AK2377" s="18" t="str">
        <f aca="false">IF($AH2377=1,IFERROR(VALUE(MID($D2377,2,20)),1000000000)+ROW()/10000000,"")</f>
        <v/>
      </c>
    </row>
    <row r="2378" customFormat="false" ht="15" hidden="false" customHeight="false" outlineLevel="0" collapsed="false">
      <c r="F2378" s="15"/>
      <c r="N2378" s="16" t="str">
        <f aca="false">IF($D2378="","",M2378*Y2378/100)</f>
        <v/>
      </c>
      <c r="V2378" s="16" t="str">
        <f aca="false">IF($D2378="","",Y2378*AB2378/100)</f>
        <v/>
      </c>
      <c r="W2378" s="16" t="str">
        <f aca="false">IF($D2378="","",Y2378-V2378)</f>
        <v/>
      </c>
      <c r="X2378" s="16" t="str">
        <f aca="false">IF($D2378="","",W2378-N2378)</f>
        <v/>
      </c>
      <c r="AB2378" s="17" t="str">
        <f aca="false">IF($D2378="","",IF(OR($R2378=TRUE(),$R2378="TRUE"),Settings!$C$6,Settings!$C$7)*100)</f>
        <v/>
      </c>
      <c r="AH2378" s="18" t="str">
        <f aca="false">IF($D2378="","",IF(COUNTIF($D$2:$D2378,$D2378)=1,1,0))</f>
        <v/>
      </c>
      <c r="AI2378" s="18" t="str">
        <f aca="false">IF($AH2378=1,SUMPRODUCT(--($AK$2:$AK$4001&lt;$AK2378))+1,"")</f>
        <v/>
      </c>
      <c r="AJ2378" s="18" t="str">
        <f aca="false">IF($D2378="","",IF(OR($R2378=TRUE(),$R2378="TRUE"),1,0))</f>
        <v/>
      </c>
      <c r="AK2378" s="18" t="str">
        <f aca="false">IF($AH2378=1,IFERROR(VALUE(MID($D2378,2,20)),1000000000)+ROW()/10000000,"")</f>
        <v/>
      </c>
    </row>
    <row r="2379" customFormat="false" ht="15" hidden="false" customHeight="false" outlineLevel="0" collapsed="false">
      <c r="F2379" s="15"/>
      <c r="N2379" s="16" t="str">
        <f aca="false">IF($D2379="","",M2379*Y2379/100)</f>
        <v/>
      </c>
      <c r="V2379" s="16" t="str">
        <f aca="false">IF($D2379="","",Y2379*AB2379/100)</f>
        <v/>
      </c>
      <c r="W2379" s="16" t="str">
        <f aca="false">IF($D2379="","",Y2379-V2379)</f>
        <v/>
      </c>
      <c r="X2379" s="16" t="str">
        <f aca="false">IF($D2379="","",W2379-N2379)</f>
        <v/>
      </c>
      <c r="AB2379" s="17" t="str">
        <f aca="false">IF($D2379="","",IF(OR($R2379=TRUE(),$R2379="TRUE"),Settings!$C$6,Settings!$C$7)*100)</f>
        <v/>
      </c>
      <c r="AH2379" s="18" t="str">
        <f aca="false">IF($D2379="","",IF(COUNTIF($D$2:$D2379,$D2379)=1,1,0))</f>
        <v/>
      </c>
      <c r="AI2379" s="18" t="str">
        <f aca="false">IF($AH2379=1,SUMPRODUCT(--($AK$2:$AK$4001&lt;$AK2379))+1,"")</f>
        <v/>
      </c>
      <c r="AJ2379" s="18" t="str">
        <f aca="false">IF($D2379="","",IF(OR($R2379=TRUE(),$R2379="TRUE"),1,0))</f>
        <v/>
      </c>
      <c r="AK2379" s="18" t="str">
        <f aca="false">IF($AH2379=1,IFERROR(VALUE(MID($D2379,2,20)),1000000000)+ROW()/10000000,"")</f>
        <v/>
      </c>
    </row>
    <row r="2380" customFormat="false" ht="15" hidden="false" customHeight="false" outlineLevel="0" collapsed="false">
      <c r="F2380" s="15"/>
      <c r="N2380" s="16" t="str">
        <f aca="false">IF($D2380="","",M2380*Y2380/100)</f>
        <v/>
      </c>
      <c r="V2380" s="16" t="str">
        <f aca="false">IF($D2380="","",Y2380*AB2380/100)</f>
        <v/>
      </c>
      <c r="W2380" s="16" t="str">
        <f aca="false">IF($D2380="","",Y2380-V2380)</f>
        <v/>
      </c>
      <c r="X2380" s="16" t="str">
        <f aca="false">IF($D2380="","",W2380-N2380)</f>
        <v/>
      </c>
      <c r="AB2380" s="17" t="str">
        <f aca="false">IF($D2380="","",IF(OR($R2380=TRUE(),$R2380="TRUE"),Settings!$C$6,Settings!$C$7)*100)</f>
        <v/>
      </c>
      <c r="AH2380" s="18" t="str">
        <f aca="false">IF($D2380="","",IF(COUNTIF($D$2:$D2380,$D2380)=1,1,0))</f>
        <v/>
      </c>
      <c r="AI2380" s="18" t="str">
        <f aca="false">IF($AH2380=1,SUMPRODUCT(--($AK$2:$AK$4001&lt;$AK2380))+1,"")</f>
        <v/>
      </c>
      <c r="AJ2380" s="18" t="str">
        <f aca="false">IF($D2380="","",IF(OR($R2380=TRUE(),$R2380="TRUE"),1,0))</f>
        <v/>
      </c>
      <c r="AK2380" s="18" t="str">
        <f aca="false">IF($AH2380=1,IFERROR(VALUE(MID($D2380,2,20)),1000000000)+ROW()/10000000,"")</f>
        <v/>
      </c>
    </row>
    <row r="2381" customFormat="false" ht="15" hidden="false" customHeight="false" outlineLevel="0" collapsed="false">
      <c r="F2381" s="15"/>
      <c r="N2381" s="16" t="str">
        <f aca="false">IF($D2381="","",M2381*Y2381/100)</f>
        <v/>
      </c>
      <c r="V2381" s="16" t="str">
        <f aca="false">IF($D2381="","",Y2381*AB2381/100)</f>
        <v/>
      </c>
      <c r="W2381" s="16" t="str">
        <f aca="false">IF($D2381="","",Y2381-V2381)</f>
        <v/>
      </c>
      <c r="X2381" s="16" t="str">
        <f aca="false">IF($D2381="","",W2381-N2381)</f>
        <v/>
      </c>
      <c r="AB2381" s="17" t="str">
        <f aca="false">IF($D2381="","",IF(OR($R2381=TRUE(),$R2381="TRUE"),Settings!$C$6,Settings!$C$7)*100)</f>
        <v/>
      </c>
      <c r="AH2381" s="18" t="str">
        <f aca="false">IF($D2381="","",IF(COUNTIF($D$2:$D2381,$D2381)=1,1,0))</f>
        <v/>
      </c>
      <c r="AI2381" s="18" t="str">
        <f aca="false">IF($AH2381=1,SUMPRODUCT(--($AK$2:$AK$4001&lt;$AK2381))+1,"")</f>
        <v/>
      </c>
      <c r="AJ2381" s="18" t="str">
        <f aca="false">IF($D2381="","",IF(OR($R2381=TRUE(),$R2381="TRUE"),1,0))</f>
        <v/>
      </c>
      <c r="AK2381" s="18" t="str">
        <f aca="false">IF($AH2381=1,IFERROR(VALUE(MID($D2381,2,20)),1000000000)+ROW()/10000000,"")</f>
        <v/>
      </c>
    </row>
    <row r="2382" customFormat="false" ht="15" hidden="false" customHeight="false" outlineLevel="0" collapsed="false">
      <c r="F2382" s="15"/>
      <c r="N2382" s="16" t="str">
        <f aca="false">IF($D2382="","",M2382*Y2382/100)</f>
        <v/>
      </c>
      <c r="V2382" s="16" t="str">
        <f aca="false">IF($D2382="","",Y2382*AB2382/100)</f>
        <v/>
      </c>
      <c r="W2382" s="16" t="str">
        <f aca="false">IF($D2382="","",Y2382-V2382)</f>
        <v/>
      </c>
      <c r="X2382" s="16" t="str">
        <f aca="false">IF($D2382="","",W2382-N2382)</f>
        <v/>
      </c>
      <c r="AB2382" s="17" t="str">
        <f aca="false">IF($D2382="","",IF(OR($R2382=TRUE(),$R2382="TRUE"),Settings!$C$6,Settings!$C$7)*100)</f>
        <v/>
      </c>
      <c r="AH2382" s="18" t="str">
        <f aca="false">IF($D2382="","",IF(COUNTIF($D$2:$D2382,$D2382)=1,1,0))</f>
        <v/>
      </c>
      <c r="AI2382" s="18" t="str">
        <f aca="false">IF($AH2382=1,SUMPRODUCT(--($AK$2:$AK$4001&lt;$AK2382))+1,"")</f>
        <v/>
      </c>
      <c r="AJ2382" s="18" t="str">
        <f aca="false">IF($D2382="","",IF(OR($R2382=TRUE(),$R2382="TRUE"),1,0))</f>
        <v/>
      </c>
      <c r="AK2382" s="18" t="str">
        <f aca="false">IF($AH2382=1,IFERROR(VALUE(MID($D2382,2,20)),1000000000)+ROW()/10000000,"")</f>
        <v/>
      </c>
    </row>
    <row r="2383" customFormat="false" ht="15" hidden="false" customHeight="false" outlineLevel="0" collapsed="false">
      <c r="F2383" s="15"/>
      <c r="N2383" s="16" t="str">
        <f aca="false">IF($D2383="","",M2383*Y2383/100)</f>
        <v/>
      </c>
      <c r="V2383" s="16" t="str">
        <f aca="false">IF($D2383="","",Y2383*AB2383/100)</f>
        <v/>
      </c>
      <c r="W2383" s="16" t="str">
        <f aca="false">IF($D2383="","",Y2383-V2383)</f>
        <v/>
      </c>
      <c r="X2383" s="16" t="str">
        <f aca="false">IF($D2383="","",W2383-N2383)</f>
        <v/>
      </c>
      <c r="AB2383" s="17" t="str">
        <f aca="false">IF($D2383="","",IF(OR($R2383=TRUE(),$R2383="TRUE"),Settings!$C$6,Settings!$C$7)*100)</f>
        <v/>
      </c>
      <c r="AH2383" s="18" t="str">
        <f aca="false">IF($D2383="","",IF(COUNTIF($D$2:$D2383,$D2383)=1,1,0))</f>
        <v/>
      </c>
      <c r="AI2383" s="18" t="str">
        <f aca="false">IF($AH2383=1,SUMPRODUCT(--($AK$2:$AK$4001&lt;$AK2383))+1,"")</f>
        <v/>
      </c>
      <c r="AJ2383" s="18" t="str">
        <f aca="false">IF($D2383="","",IF(OR($R2383=TRUE(),$R2383="TRUE"),1,0))</f>
        <v/>
      </c>
      <c r="AK2383" s="18" t="str">
        <f aca="false">IF($AH2383=1,IFERROR(VALUE(MID($D2383,2,20)),1000000000)+ROW()/10000000,"")</f>
        <v/>
      </c>
    </row>
    <row r="2384" customFormat="false" ht="15" hidden="false" customHeight="false" outlineLevel="0" collapsed="false">
      <c r="F2384" s="15"/>
      <c r="N2384" s="16" t="str">
        <f aca="false">IF($D2384="","",M2384*Y2384/100)</f>
        <v/>
      </c>
      <c r="V2384" s="16" t="str">
        <f aca="false">IF($D2384="","",Y2384*AB2384/100)</f>
        <v/>
      </c>
      <c r="W2384" s="16" t="str">
        <f aca="false">IF($D2384="","",Y2384-V2384)</f>
        <v/>
      </c>
      <c r="X2384" s="16" t="str">
        <f aca="false">IF($D2384="","",W2384-N2384)</f>
        <v/>
      </c>
      <c r="AB2384" s="17" t="str">
        <f aca="false">IF($D2384="","",IF(OR($R2384=TRUE(),$R2384="TRUE"),Settings!$C$6,Settings!$C$7)*100)</f>
        <v/>
      </c>
      <c r="AH2384" s="18" t="str">
        <f aca="false">IF($D2384="","",IF(COUNTIF($D$2:$D2384,$D2384)=1,1,0))</f>
        <v/>
      </c>
      <c r="AI2384" s="18" t="str">
        <f aca="false">IF($AH2384=1,SUMPRODUCT(--($AK$2:$AK$4001&lt;$AK2384))+1,"")</f>
        <v/>
      </c>
      <c r="AJ2384" s="18" t="str">
        <f aca="false">IF($D2384="","",IF(OR($R2384=TRUE(),$R2384="TRUE"),1,0))</f>
        <v/>
      </c>
      <c r="AK2384" s="18" t="str">
        <f aca="false">IF($AH2384=1,IFERROR(VALUE(MID($D2384,2,20)),1000000000)+ROW()/10000000,"")</f>
        <v/>
      </c>
    </row>
    <row r="2385" customFormat="false" ht="15" hidden="false" customHeight="false" outlineLevel="0" collapsed="false">
      <c r="F2385" s="15"/>
      <c r="N2385" s="16" t="str">
        <f aca="false">IF($D2385="","",M2385*Y2385/100)</f>
        <v/>
      </c>
      <c r="V2385" s="16" t="str">
        <f aca="false">IF($D2385="","",Y2385*AB2385/100)</f>
        <v/>
      </c>
      <c r="W2385" s="16" t="str">
        <f aca="false">IF($D2385="","",Y2385-V2385)</f>
        <v/>
      </c>
      <c r="X2385" s="16" t="str">
        <f aca="false">IF($D2385="","",W2385-N2385)</f>
        <v/>
      </c>
      <c r="AB2385" s="17" t="str">
        <f aca="false">IF($D2385="","",IF(OR($R2385=TRUE(),$R2385="TRUE"),Settings!$C$6,Settings!$C$7)*100)</f>
        <v/>
      </c>
      <c r="AH2385" s="18" t="str">
        <f aca="false">IF($D2385="","",IF(COUNTIF($D$2:$D2385,$D2385)=1,1,0))</f>
        <v/>
      </c>
      <c r="AI2385" s="18" t="str">
        <f aca="false">IF($AH2385=1,SUMPRODUCT(--($AK$2:$AK$4001&lt;$AK2385))+1,"")</f>
        <v/>
      </c>
      <c r="AJ2385" s="18" t="str">
        <f aca="false">IF($D2385="","",IF(OR($R2385=TRUE(),$R2385="TRUE"),1,0))</f>
        <v/>
      </c>
      <c r="AK2385" s="18" t="str">
        <f aca="false">IF($AH2385=1,IFERROR(VALUE(MID($D2385,2,20)),1000000000)+ROW()/10000000,"")</f>
        <v/>
      </c>
    </row>
    <row r="2386" customFormat="false" ht="15" hidden="false" customHeight="false" outlineLevel="0" collapsed="false">
      <c r="F2386" s="15"/>
      <c r="N2386" s="16" t="str">
        <f aca="false">IF($D2386="","",M2386*Y2386/100)</f>
        <v/>
      </c>
      <c r="V2386" s="16" t="str">
        <f aca="false">IF($D2386="","",Y2386*AB2386/100)</f>
        <v/>
      </c>
      <c r="W2386" s="16" t="str">
        <f aca="false">IF($D2386="","",Y2386-V2386)</f>
        <v/>
      </c>
      <c r="X2386" s="16" t="str">
        <f aca="false">IF($D2386="","",W2386-N2386)</f>
        <v/>
      </c>
      <c r="AB2386" s="17" t="str">
        <f aca="false">IF($D2386="","",IF(OR($R2386=TRUE(),$R2386="TRUE"),Settings!$C$6,Settings!$C$7)*100)</f>
        <v/>
      </c>
      <c r="AH2386" s="18" t="str">
        <f aca="false">IF($D2386="","",IF(COUNTIF($D$2:$D2386,$D2386)=1,1,0))</f>
        <v/>
      </c>
      <c r="AI2386" s="18" t="str">
        <f aca="false">IF($AH2386=1,SUMPRODUCT(--($AK$2:$AK$4001&lt;$AK2386))+1,"")</f>
        <v/>
      </c>
      <c r="AJ2386" s="18" t="str">
        <f aca="false">IF($D2386="","",IF(OR($R2386=TRUE(),$R2386="TRUE"),1,0))</f>
        <v/>
      </c>
      <c r="AK2386" s="18" t="str">
        <f aca="false">IF($AH2386=1,IFERROR(VALUE(MID($D2386,2,20)),1000000000)+ROW()/10000000,"")</f>
        <v/>
      </c>
    </row>
    <row r="2387" customFormat="false" ht="15" hidden="false" customHeight="false" outlineLevel="0" collapsed="false">
      <c r="F2387" s="15"/>
      <c r="N2387" s="16" t="str">
        <f aca="false">IF($D2387="","",M2387*Y2387/100)</f>
        <v/>
      </c>
      <c r="V2387" s="16" t="str">
        <f aca="false">IF($D2387="","",Y2387*AB2387/100)</f>
        <v/>
      </c>
      <c r="W2387" s="16" t="str">
        <f aca="false">IF($D2387="","",Y2387-V2387)</f>
        <v/>
      </c>
      <c r="X2387" s="16" t="str">
        <f aca="false">IF($D2387="","",W2387-N2387)</f>
        <v/>
      </c>
      <c r="AB2387" s="17" t="str">
        <f aca="false">IF($D2387="","",IF(OR($R2387=TRUE(),$R2387="TRUE"),Settings!$C$6,Settings!$C$7)*100)</f>
        <v/>
      </c>
      <c r="AH2387" s="18" t="str">
        <f aca="false">IF($D2387="","",IF(COUNTIF($D$2:$D2387,$D2387)=1,1,0))</f>
        <v/>
      </c>
      <c r="AI2387" s="18" t="str">
        <f aca="false">IF($AH2387=1,SUMPRODUCT(--($AK$2:$AK$4001&lt;$AK2387))+1,"")</f>
        <v/>
      </c>
      <c r="AJ2387" s="18" t="str">
        <f aca="false">IF($D2387="","",IF(OR($R2387=TRUE(),$R2387="TRUE"),1,0))</f>
        <v/>
      </c>
      <c r="AK2387" s="18" t="str">
        <f aca="false">IF($AH2387=1,IFERROR(VALUE(MID($D2387,2,20)),1000000000)+ROW()/10000000,"")</f>
        <v/>
      </c>
    </row>
    <row r="2388" customFormat="false" ht="15" hidden="false" customHeight="false" outlineLevel="0" collapsed="false">
      <c r="F2388" s="15"/>
      <c r="N2388" s="16" t="str">
        <f aca="false">IF($D2388="","",M2388*Y2388/100)</f>
        <v/>
      </c>
      <c r="V2388" s="16" t="str">
        <f aca="false">IF($D2388="","",Y2388*AB2388/100)</f>
        <v/>
      </c>
      <c r="W2388" s="16" t="str">
        <f aca="false">IF($D2388="","",Y2388-V2388)</f>
        <v/>
      </c>
      <c r="X2388" s="16" t="str">
        <f aca="false">IF($D2388="","",W2388-N2388)</f>
        <v/>
      </c>
      <c r="AB2388" s="17" t="str">
        <f aca="false">IF($D2388="","",IF(OR($R2388=TRUE(),$R2388="TRUE"),Settings!$C$6,Settings!$C$7)*100)</f>
        <v/>
      </c>
      <c r="AH2388" s="18" t="str">
        <f aca="false">IF($D2388="","",IF(COUNTIF($D$2:$D2388,$D2388)=1,1,0))</f>
        <v/>
      </c>
      <c r="AI2388" s="18" t="str">
        <f aca="false">IF($AH2388=1,SUMPRODUCT(--($AK$2:$AK$4001&lt;$AK2388))+1,"")</f>
        <v/>
      </c>
      <c r="AJ2388" s="18" t="str">
        <f aca="false">IF($D2388="","",IF(OR($R2388=TRUE(),$R2388="TRUE"),1,0))</f>
        <v/>
      </c>
      <c r="AK2388" s="18" t="str">
        <f aca="false">IF($AH2388=1,IFERROR(VALUE(MID($D2388,2,20)),1000000000)+ROW()/10000000,"")</f>
        <v/>
      </c>
    </row>
    <row r="2389" customFormat="false" ht="15" hidden="false" customHeight="false" outlineLevel="0" collapsed="false">
      <c r="F2389" s="15"/>
      <c r="N2389" s="16" t="str">
        <f aca="false">IF($D2389="","",M2389*Y2389/100)</f>
        <v/>
      </c>
      <c r="V2389" s="16" t="str">
        <f aca="false">IF($D2389="","",Y2389*AB2389/100)</f>
        <v/>
      </c>
      <c r="W2389" s="16" t="str">
        <f aca="false">IF($D2389="","",Y2389-V2389)</f>
        <v/>
      </c>
      <c r="X2389" s="16" t="str">
        <f aca="false">IF($D2389="","",W2389-N2389)</f>
        <v/>
      </c>
      <c r="AB2389" s="17" t="str">
        <f aca="false">IF($D2389="","",IF(OR($R2389=TRUE(),$R2389="TRUE"),Settings!$C$6,Settings!$C$7)*100)</f>
        <v/>
      </c>
      <c r="AH2389" s="18" t="str">
        <f aca="false">IF($D2389="","",IF(COUNTIF($D$2:$D2389,$D2389)=1,1,0))</f>
        <v/>
      </c>
      <c r="AI2389" s="18" t="str">
        <f aca="false">IF($AH2389=1,SUMPRODUCT(--($AK$2:$AK$4001&lt;$AK2389))+1,"")</f>
        <v/>
      </c>
      <c r="AJ2389" s="18" t="str">
        <f aca="false">IF($D2389="","",IF(OR($R2389=TRUE(),$R2389="TRUE"),1,0))</f>
        <v/>
      </c>
      <c r="AK2389" s="18" t="str">
        <f aca="false">IF($AH2389=1,IFERROR(VALUE(MID($D2389,2,20)),1000000000)+ROW()/10000000,"")</f>
        <v/>
      </c>
    </row>
    <row r="2390" customFormat="false" ht="15" hidden="false" customHeight="false" outlineLevel="0" collapsed="false">
      <c r="F2390" s="15"/>
      <c r="N2390" s="16" t="str">
        <f aca="false">IF($D2390="","",M2390*Y2390/100)</f>
        <v/>
      </c>
      <c r="V2390" s="16" t="str">
        <f aca="false">IF($D2390="","",Y2390*AB2390/100)</f>
        <v/>
      </c>
      <c r="W2390" s="16" t="str">
        <f aca="false">IF($D2390="","",Y2390-V2390)</f>
        <v/>
      </c>
      <c r="X2390" s="16" t="str">
        <f aca="false">IF($D2390="","",W2390-N2390)</f>
        <v/>
      </c>
      <c r="AB2390" s="17" t="str">
        <f aca="false">IF($D2390="","",IF(OR($R2390=TRUE(),$R2390="TRUE"),Settings!$C$6,Settings!$C$7)*100)</f>
        <v/>
      </c>
      <c r="AH2390" s="18" t="str">
        <f aca="false">IF($D2390="","",IF(COUNTIF($D$2:$D2390,$D2390)=1,1,0))</f>
        <v/>
      </c>
      <c r="AI2390" s="18" t="str">
        <f aca="false">IF($AH2390=1,SUMPRODUCT(--($AK$2:$AK$4001&lt;$AK2390))+1,"")</f>
        <v/>
      </c>
      <c r="AJ2390" s="18" t="str">
        <f aca="false">IF($D2390="","",IF(OR($R2390=TRUE(),$R2390="TRUE"),1,0))</f>
        <v/>
      </c>
      <c r="AK2390" s="18" t="str">
        <f aca="false">IF($AH2390=1,IFERROR(VALUE(MID($D2390,2,20)),1000000000)+ROW()/10000000,"")</f>
        <v/>
      </c>
    </row>
    <row r="2391" customFormat="false" ht="15" hidden="false" customHeight="false" outlineLevel="0" collapsed="false">
      <c r="F2391" s="15"/>
      <c r="N2391" s="16" t="str">
        <f aca="false">IF($D2391="","",M2391*Y2391/100)</f>
        <v/>
      </c>
      <c r="V2391" s="16" t="str">
        <f aca="false">IF($D2391="","",Y2391*AB2391/100)</f>
        <v/>
      </c>
      <c r="W2391" s="16" t="str">
        <f aca="false">IF($D2391="","",Y2391-V2391)</f>
        <v/>
      </c>
      <c r="X2391" s="16" t="str">
        <f aca="false">IF($D2391="","",W2391-N2391)</f>
        <v/>
      </c>
      <c r="AB2391" s="17" t="str">
        <f aca="false">IF($D2391="","",IF(OR($R2391=TRUE(),$R2391="TRUE"),Settings!$C$6,Settings!$C$7)*100)</f>
        <v/>
      </c>
      <c r="AH2391" s="18" t="str">
        <f aca="false">IF($D2391="","",IF(COUNTIF($D$2:$D2391,$D2391)=1,1,0))</f>
        <v/>
      </c>
      <c r="AI2391" s="18" t="str">
        <f aca="false">IF($AH2391=1,SUMPRODUCT(--($AK$2:$AK$4001&lt;$AK2391))+1,"")</f>
        <v/>
      </c>
      <c r="AJ2391" s="18" t="str">
        <f aca="false">IF($D2391="","",IF(OR($R2391=TRUE(),$R2391="TRUE"),1,0))</f>
        <v/>
      </c>
      <c r="AK2391" s="18" t="str">
        <f aca="false">IF($AH2391=1,IFERROR(VALUE(MID($D2391,2,20)),1000000000)+ROW()/10000000,"")</f>
        <v/>
      </c>
    </row>
    <row r="2392" customFormat="false" ht="15" hidden="false" customHeight="false" outlineLevel="0" collapsed="false">
      <c r="F2392" s="15"/>
      <c r="N2392" s="16" t="str">
        <f aca="false">IF($D2392="","",M2392*Y2392/100)</f>
        <v/>
      </c>
      <c r="V2392" s="16" t="str">
        <f aca="false">IF($D2392="","",Y2392*AB2392/100)</f>
        <v/>
      </c>
      <c r="W2392" s="16" t="str">
        <f aca="false">IF($D2392="","",Y2392-V2392)</f>
        <v/>
      </c>
      <c r="X2392" s="16" t="str">
        <f aca="false">IF($D2392="","",W2392-N2392)</f>
        <v/>
      </c>
      <c r="AB2392" s="17" t="str">
        <f aca="false">IF($D2392="","",IF(OR($R2392=TRUE(),$R2392="TRUE"),Settings!$C$6,Settings!$C$7)*100)</f>
        <v/>
      </c>
      <c r="AH2392" s="18" t="str">
        <f aca="false">IF($D2392="","",IF(COUNTIF($D$2:$D2392,$D2392)=1,1,0))</f>
        <v/>
      </c>
      <c r="AI2392" s="18" t="str">
        <f aca="false">IF($AH2392=1,SUMPRODUCT(--($AK$2:$AK$4001&lt;$AK2392))+1,"")</f>
        <v/>
      </c>
      <c r="AJ2392" s="18" t="str">
        <f aca="false">IF($D2392="","",IF(OR($R2392=TRUE(),$R2392="TRUE"),1,0))</f>
        <v/>
      </c>
      <c r="AK2392" s="18" t="str">
        <f aca="false">IF($AH2392=1,IFERROR(VALUE(MID($D2392,2,20)),1000000000)+ROW()/10000000,"")</f>
        <v/>
      </c>
    </row>
    <row r="2393" customFormat="false" ht="15" hidden="false" customHeight="false" outlineLevel="0" collapsed="false">
      <c r="F2393" s="15"/>
      <c r="N2393" s="16" t="str">
        <f aca="false">IF($D2393="","",M2393*Y2393/100)</f>
        <v/>
      </c>
      <c r="V2393" s="16" t="str">
        <f aca="false">IF($D2393="","",Y2393*AB2393/100)</f>
        <v/>
      </c>
      <c r="W2393" s="16" t="str">
        <f aca="false">IF($D2393="","",Y2393-V2393)</f>
        <v/>
      </c>
      <c r="X2393" s="16" t="str">
        <f aca="false">IF($D2393="","",W2393-N2393)</f>
        <v/>
      </c>
      <c r="AB2393" s="17" t="str">
        <f aca="false">IF($D2393="","",IF(OR($R2393=TRUE(),$R2393="TRUE"),Settings!$C$6,Settings!$C$7)*100)</f>
        <v/>
      </c>
      <c r="AH2393" s="18" t="str">
        <f aca="false">IF($D2393="","",IF(COUNTIF($D$2:$D2393,$D2393)=1,1,0))</f>
        <v/>
      </c>
      <c r="AI2393" s="18" t="str">
        <f aca="false">IF($AH2393=1,SUMPRODUCT(--($AK$2:$AK$4001&lt;$AK2393))+1,"")</f>
        <v/>
      </c>
      <c r="AJ2393" s="18" t="str">
        <f aca="false">IF($D2393="","",IF(OR($R2393=TRUE(),$R2393="TRUE"),1,0))</f>
        <v/>
      </c>
      <c r="AK2393" s="18" t="str">
        <f aca="false">IF($AH2393=1,IFERROR(VALUE(MID($D2393,2,20)),1000000000)+ROW()/10000000,"")</f>
        <v/>
      </c>
    </row>
    <row r="2394" customFormat="false" ht="15" hidden="false" customHeight="false" outlineLevel="0" collapsed="false">
      <c r="F2394" s="15"/>
      <c r="N2394" s="16" t="str">
        <f aca="false">IF($D2394="","",M2394*Y2394/100)</f>
        <v/>
      </c>
      <c r="V2394" s="16" t="str">
        <f aca="false">IF($D2394="","",Y2394*AB2394/100)</f>
        <v/>
      </c>
      <c r="W2394" s="16" t="str">
        <f aca="false">IF($D2394="","",Y2394-V2394)</f>
        <v/>
      </c>
      <c r="X2394" s="16" t="str">
        <f aca="false">IF($D2394="","",W2394-N2394)</f>
        <v/>
      </c>
      <c r="AB2394" s="17" t="str">
        <f aca="false">IF($D2394="","",IF(OR($R2394=TRUE(),$R2394="TRUE"),Settings!$C$6,Settings!$C$7)*100)</f>
        <v/>
      </c>
      <c r="AH2394" s="18" t="str">
        <f aca="false">IF($D2394="","",IF(COUNTIF($D$2:$D2394,$D2394)=1,1,0))</f>
        <v/>
      </c>
      <c r="AI2394" s="18" t="str">
        <f aca="false">IF($AH2394=1,SUMPRODUCT(--($AK$2:$AK$4001&lt;$AK2394))+1,"")</f>
        <v/>
      </c>
      <c r="AJ2394" s="18" t="str">
        <f aca="false">IF($D2394="","",IF(OR($R2394=TRUE(),$R2394="TRUE"),1,0))</f>
        <v/>
      </c>
      <c r="AK2394" s="18" t="str">
        <f aca="false">IF($AH2394=1,IFERROR(VALUE(MID($D2394,2,20)),1000000000)+ROW()/10000000,"")</f>
        <v/>
      </c>
    </row>
    <row r="2395" customFormat="false" ht="15" hidden="false" customHeight="false" outlineLevel="0" collapsed="false">
      <c r="F2395" s="15"/>
      <c r="N2395" s="16" t="str">
        <f aca="false">IF($D2395="","",M2395*Y2395/100)</f>
        <v/>
      </c>
      <c r="V2395" s="16" t="str">
        <f aca="false">IF($D2395="","",Y2395*AB2395/100)</f>
        <v/>
      </c>
      <c r="W2395" s="16" t="str">
        <f aca="false">IF($D2395="","",Y2395-V2395)</f>
        <v/>
      </c>
      <c r="X2395" s="16" t="str">
        <f aca="false">IF($D2395="","",W2395-N2395)</f>
        <v/>
      </c>
      <c r="AB2395" s="17" t="str">
        <f aca="false">IF($D2395="","",IF(OR($R2395=TRUE(),$R2395="TRUE"),Settings!$C$6,Settings!$C$7)*100)</f>
        <v/>
      </c>
      <c r="AH2395" s="18" t="str">
        <f aca="false">IF($D2395="","",IF(COUNTIF($D$2:$D2395,$D2395)=1,1,0))</f>
        <v/>
      </c>
      <c r="AI2395" s="18" t="str">
        <f aca="false">IF($AH2395=1,SUMPRODUCT(--($AK$2:$AK$4001&lt;$AK2395))+1,"")</f>
        <v/>
      </c>
      <c r="AJ2395" s="18" t="str">
        <f aca="false">IF($D2395="","",IF(OR($R2395=TRUE(),$R2395="TRUE"),1,0))</f>
        <v/>
      </c>
      <c r="AK2395" s="18" t="str">
        <f aca="false">IF($AH2395=1,IFERROR(VALUE(MID($D2395,2,20)),1000000000)+ROW()/10000000,"")</f>
        <v/>
      </c>
    </row>
    <row r="2396" customFormat="false" ht="15" hidden="false" customHeight="false" outlineLevel="0" collapsed="false">
      <c r="F2396" s="15"/>
      <c r="N2396" s="16" t="str">
        <f aca="false">IF($D2396="","",M2396*Y2396/100)</f>
        <v/>
      </c>
      <c r="V2396" s="16" t="str">
        <f aca="false">IF($D2396="","",Y2396*AB2396/100)</f>
        <v/>
      </c>
      <c r="W2396" s="16" t="str">
        <f aca="false">IF($D2396="","",Y2396-V2396)</f>
        <v/>
      </c>
      <c r="X2396" s="16" t="str">
        <f aca="false">IF($D2396="","",W2396-N2396)</f>
        <v/>
      </c>
      <c r="AB2396" s="17" t="str">
        <f aca="false">IF($D2396="","",IF(OR($R2396=TRUE(),$R2396="TRUE"),Settings!$C$6,Settings!$C$7)*100)</f>
        <v/>
      </c>
      <c r="AH2396" s="18" t="str">
        <f aca="false">IF($D2396="","",IF(COUNTIF($D$2:$D2396,$D2396)=1,1,0))</f>
        <v/>
      </c>
      <c r="AI2396" s="18" t="str">
        <f aca="false">IF($AH2396=1,SUMPRODUCT(--($AK$2:$AK$4001&lt;$AK2396))+1,"")</f>
        <v/>
      </c>
      <c r="AJ2396" s="18" t="str">
        <f aca="false">IF($D2396="","",IF(OR($R2396=TRUE(),$R2396="TRUE"),1,0))</f>
        <v/>
      </c>
      <c r="AK2396" s="18" t="str">
        <f aca="false">IF($AH2396=1,IFERROR(VALUE(MID($D2396,2,20)),1000000000)+ROW()/10000000,"")</f>
        <v/>
      </c>
    </row>
    <row r="2397" customFormat="false" ht="15" hidden="false" customHeight="false" outlineLevel="0" collapsed="false">
      <c r="F2397" s="15"/>
      <c r="N2397" s="16" t="str">
        <f aca="false">IF($D2397="","",M2397*Y2397/100)</f>
        <v/>
      </c>
      <c r="V2397" s="16" t="str">
        <f aca="false">IF($D2397="","",Y2397*AB2397/100)</f>
        <v/>
      </c>
      <c r="W2397" s="16" t="str">
        <f aca="false">IF($D2397="","",Y2397-V2397)</f>
        <v/>
      </c>
      <c r="X2397" s="16" t="str">
        <f aca="false">IF($D2397="","",W2397-N2397)</f>
        <v/>
      </c>
      <c r="AB2397" s="17" t="str">
        <f aca="false">IF($D2397="","",IF(OR($R2397=TRUE(),$R2397="TRUE"),Settings!$C$6,Settings!$C$7)*100)</f>
        <v/>
      </c>
      <c r="AH2397" s="18" t="str">
        <f aca="false">IF($D2397="","",IF(COUNTIF($D$2:$D2397,$D2397)=1,1,0))</f>
        <v/>
      </c>
      <c r="AI2397" s="18" t="str">
        <f aca="false">IF($AH2397=1,SUMPRODUCT(--($AK$2:$AK$4001&lt;$AK2397))+1,"")</f>
        <v/>
      </c>
      <c r="AJ2397" s="18" t="str">
        <f aca="false">IF($D2397="","",IF(OR($R2397=TRUE(),$R2397="TRUE"),1,0))</f>
        <v/>
      </c>
      <c r="AK2397" s="18" t="str">
        <f aca="false">IF($AH2397=1,IFERROR(VALUE(MID($D2397,2,20)),1000000000)+ROW()/10000000,"")</f>
        <v/>
      </c>
    </row>
    <row r="2398" customFormat="false" ht="15" hidden="false" customHeight="false" outlineLevel="0" collapsed="false">
      <c r="F2398" s="15"/>
      <c r="N2398" s="16" t="str">
        <f aca="false">IF($D2398="","",M2398*Y2398/100)</f>
        <v/>
      </c>
      <c r="V2398" s="16" t="str">
        <f aca="false">IF($D2398="","",Y2398*AB2398/100)</f>
        <v/>
      </c>
      <c r="W2398" s="16" t="str">
        <f aca="false">IF($D2398="","",Y2398-V2398)</f>
        <v/>
      </c>
      <c r="X2398" s="16" t="str">
        <f aca="false">IF($D2398="","",W2398-N2398)</f>
        <v/>
      </c>
      <c r="AB2398" s="17" t="str">
        <f aca="false">IF($D2398="","",IF(OR($R2398=TRUE(),$R2398="TRUE"),Settings!$C$6,Settings!$C$7)*100)</f>
        <v/>
      </c>
      <c r="AH2398" s="18" t="str">
        <f aca="false">IF($D2398="","",IF(COUNTIF($D$2:$D2398,$D2398)=1,1,0))</f>
        <v/>
      </c>
      <c r="AI2398" s="18" t="str">
        <f aca="false">IF($AH2398=1,SUMPRODUCT(--($AK$2:$AK$4001&lt;$AK2398))+1,"")</f>
        <v/>
      </c>
      <c r="AJ2398" s="18" t="str">
        <f aca="false">IF($D2398="","",IF(OR($R2398=TRUE(),$R2398="TRUE"),1,0))</f>
        <v/>
      </c>
      <c r="AK2398" s="18" t="str">
        <f aca="false">IF($AH2398=1,IFERROR(VALUE(MID($D2398,2,20)),1000000000)+ROW()/10000000,"")</f>
        <v/>
      </c>
    </row>
    <row r="2399" customFormat="false" ht="15" hidden="false" customHeight="false" outlineLevel="0" collapsed="false">
      <c r="F2399" s="15"/>
      <c r="N2399" s="16" t="str">
        <f aca="false">IF($D2399="","",M2399*Y2399/100)</f>
        <v/>
      </c>
      <c r="V2399" s="16" t="str">
        <f aca="false">IF($D2399="","",Y2399*AB2399/100)</f>
        <v/>
      </c>
      <c r="W2399" s="16" t="str">
        <f aca="false">IF($D2399="","",Y2399-V2399)</f>
        <v/>
      </c>
      <c r="X2399" s="16" t="str">
        <f aca="false">IF($D2399="","",W2399-N2399)</f>
        <v/>
      </c>
      <c r="AB2399" s="17" t="str">
        <f aca="false">IF($D2399="","",IF(OR($R2399=TRUE(),$R2399="TRUE"),Settings!$C$6,Settings!$C$7)*100)</f>
        <v/>
      </c>
      <c r="AH2399" s="18" t="str">
        <f aca="false">IF($D2399="","",IF(COUNTIF($D$2:$D2399,$D2399)=1,1,0))</f>
        <v/>
      </c>
      <c r="AI2399" s="18" t="str">
        <f aca="false">IF($AH2399=1,SUMPRODUCT(--($AK$2:$AK$4001&lt;$AK2399))+1,"")</f>
        <v/>
      </c>
      <c r="AJ2399" s="18" t="str">
        <f aca="false">IF($D2399="","",IF(OR($R2399=TRUE(),$R2399="TRUE"),1,0))</f>
        <v/>
      </c>
      <c r="AK2399" s="18" t="str">
        <f aca="false">IF($AH2399=1,IFERROR(VALUE(MID($D2399,2,20)),1000000000)+ROW()/10000000,"")</f>
        <v/>
      </c>
    </row>
    <row r="2400" customFormat="false" ht="15" hidden="false" customHeight="false" outlineLevel="0" collapsed="false">
      <c r="F2400" s="15"/>
      <c r="N2400" s="16" t="str">
        <f aca="false">IF($D2400="","",M2400*Y2400/100)</f>
        <v/>
      </c>
      <c r="V2400" s="16" t="str">
        <f aca="false">IF($D2400="","",Y2400*AB2400/100)</f>
        <v/>
      </c>
      <c r="W2400" s="16" t="str">
        <f aca="false">IF($D2400="","",Y2400-V2400)</f>
        <v/>
      </c>
      <c r="X2400" s="16" t="str">
        <f aca="false">IF($D2400="","",W2400-N2400)</f>
        <v/>
      </c>
      <c r="AB2400" s="17" t="str">
        <f aca="false">IF($D2400="","",IF(OR($R2400=TRUE(),$R2400="TRUE"),Settings!$C$6,Settings!$C$7)*100)</f>
        <v/>
      </c>
      <c r="AH2400" s="18" t="str">
        <f aca="false">IF($D2400="","",IF(COUNTIF($D$2:$D2400,$D2400)=1,1,0))</f>
        <v/>
      </c>
      <c r="AI2400" s="18" t="str">
        <f aca="false">IF($AH2400=1,SUMPRODUCT(--($AK$2:$AK$4001&lt;$AK2400))+1,"")</f>
        <v/>
      </c>
      <c r="AJ2400" s="18" t="str">
        <f aca="false">IF($D2400="","",IF(OR($R2400=TRUE(),$R2400="TRUE"),1,0))</f>
        <v/>
      </c>
      <c r="AK2400" s="18" t="str">
        <f aca="false">IF($AH2400=1,IFERROR(VALUE(MID($D2400,2,20)),1000000000)+ROW()/10000000,"")</f>
        <v/>
      </c>
    </row>
    <row r="2401" customFormat="false" ht="15" hidden="false" customHeight="false" outlineLevel="0" collapsed="false">
      <c r="F2401" s="15"/>
      <c r="N2401" s="16" t="str">
        <f aca="false">IF($D2401="","",M2401*Y2401/100)</f>
        <v/>
      </c>
      <c r="V2401" s="16" t="str">
        <f aca="false">IF($D2401="","",Y2401*AB2401/100)</f>
        <v/>
      </c>
      <c r="W2401" s="16" t="str">
        <f aca="false">IF($D2401="","",Y2401-V2401)</f>
        <v/>
      </c>
      <c r="X2401" s="16" t="str">
        <f aca="false">IF($D2401="","",W2401-N2401)</f>
        <v/>
      </c>
      <c r="AB2401" s="17" t="str">
        <f aca="false">IF($D2401="","",IF(OR($R2401=TRUE(),$R2401="TRUE"),Settings!$C$6,Settings!$C$7)*100)</f>
        <v/>
      </c>
      <c r="AH2401" s="18" t="str">
        <f aca="false">IF($D2401="","",IF(COUNTIF($D$2:$D2401,$D2401)=1,1,0))</f>
        <v/>
      </c>
      <c r="AI2401" s="18" t="str">
        <f aca="false">IF($AH2401=1,SUMPRODUCT(--($AK$2:$AK$4001&lt;$AK2401))+1,"")</f>
        <v/>
      </c>
      <c r="AJ2401" s="18" t="str">
        <f aca="false">IF($D2401="","",IF(OR($R2401=TRUE(),$R2401="TRUE"),1,0))</f>
        <v/>
      </c>
      <c r="AK2401" s="18" t="str">
        <f aca="false">IF($AH2401=1,IFERROR(VALUE(MID($D2401,2,20)),1000000000)+ROW()/10000000,"")</f>
        <v/>
      </c>
    </row>
    <row r="2402" customFormat="false" ht="15" hidden="false" customHeight="false" outlineLevel="0" collapsed="false">
      <c r="F2402" s="15"/>
      <c r="N2402" s="16" t="str">
        <f aca="false">IF($D2402="","",M2402*Y2402/100)</f>
        <v/>
      </c>
      <c r="V2402" s="16" t="str">
        <f aca="false">IF($D2402="","",Y2402*AB2402/100)</f>
        <v/>
      </c>
      <c r="W2402" s="16" t="str">
        <f aca="false">IF($D2402="","",Y2402-V2402)</f>
        <v/>
      </c>
      <c r="X2402" s="16" t="str">
        <f aca="false">IF($D2402="","",W2402-N2402)</f>
        <v/>
      </c>
      <c r="AB2402" s="17" t="str">
        <f aca="false">IF($D2402="","",IF(OR($R2402=TRUE(),$R2402="TRUE"),Settings!$C$6,Settings!$C$7)*100)</f>
        <v/>
      </c>
      <c r="AH2402" s="18" t="str">
        <f aca="false">IF($D2402="","",IF(COUNTIF($D$2:$D2402,$D2402)=1,1,0))</f>
        <v/>
      </c>
      <c r="AI2402" s="18" t="str">
        <f aca="false">IF($AH2402=1,SUMPRODUCT(--($AK$2:$AK$4001&lt;$AK2402))+1,"")</f>
        <v/>
      </c>
      <c r="AJ2402" s="18" t="str">
        <f aca="false">IF($D2402="","",IF(OR($R2402=TRUE(),$R2402="TRUE"),1,0))</f>
        <v/>
      </c>
      <c r="AK2402" s="18" t="str">
        <f aca="false">IF($AH2402=1,IFERROR(VALUE(MID($D2402,2,20)),1000000000)+ROW()/10000000,"")</f>
        <v/>
      </c>
    </row>
    <row r="2403" customFormat="false" ht="15" hidden="false" customHeight="false" outlineLevel="0" collapsed="false">
      <c r="F2403" s="15"/>
      <c r="N2403" s="16" t="str">
        <f aca="false">IF($D2403="","",M2403*Y2403/100)</f>
        <v/>
      </c>
      <c r="V2403" s="16" t="str">
        <f aca="false">IF($D2403="","",Y2403*AB2403/100)</f>
        <v/>
      </c>
      <c r="W2403" s="16" t="str">
        <f aca="false">IF($D2403="","",Y2403-V2403)</f>
        <v/>
      </c>
      <c r="X2403" s="16" t="str">
        <f aca="false">IF($D2403="","",W2403-N2403)</f>
        <v/>
      </c>
      <c r="AB2403" s="17" t="str">
        <f aca="false">IF($D2403="","",IF(OR($R2403=TRUE(),$R2403="TRUE"),Settings!$C$6,Settings!$C$7)*100)</f>
        <v/>
      </c>
      <c r="AH2403" s="18" t="str">
        <f aca="false">IF($D2403="","",IF(COUNTIF($D$2:$D2403,$D2403)=1,1,0))</f>
        <v/>
      </c>
      <c r="AI2403" s="18" t="str">
        <f aca="false">IF($AH2403=1,SUMPRODUCT(--($AK$2:$AK$4001&lt;$AK2403))+1,"")</f>
        <v/>
      </c>
      <c r="AJ2403" s="18" t="str">
        <f aca="false">IF($D2403="","",IF(OR($R2403=TRUE(),$R2403="TRUE"),1,0))</f>
        <v/>
      </c>
      <c r="AK2403" s="18" t="str">
        <f aca="false">IF($AH2403=1,IFERROR(VALUE(MID($D2403,2,20)),1000000000)+ROW()/10000000,"")</f>
        <v/>
      </c>
    </row>
    <row r="2404" customFormat="false" ht="15" hidden="false" customHeight="false" outlineLevel="0" collapsed="false">
      <c r="F2404" s="15"/>
      <c r="N2404" s="16" t="str">
        <f aca="false">IF($D2404="","",M2404*Y2404/100)</f>
        <v/>
      </c>
      <c r="V2404" s="16" t="str">
        <f aca="false">IF($D2404="","",Y2404*AB2404/100)</f>
        <v/>
      </c>
      <c r="W2404" s="16" t="str">
        <f aca="false">IF($D2404="","",Y2404-V2404)</f>
        <v/>
      </c>
      <c r="X2404" s="16" t="str">
        <f aca="false">IF($D2404="","",W2404-N2404)</f>
        <v/>
      </c>
      <c r="AB2404" s="17" t="str">
        <f aca="false">IF($D2404="","",IF(OR($R2404=TRUE(),$R2404="TRUE"),Settings!$C$6,Settings!$C$7)*100)</f>
        <v/>
      </c>
      <c r="AH2404" s="18" t="str">
        <f aca="false">IF($D2404="","",IF(COUNTIF($D$2:$D2404,$D2404)=1,1,0))</f>
        <v/>
      </c>
      <c r="AI2404" s="18" t="str">
        <f aca="false">IF($AH2404=1,SUMPRODUCT(--($AK$2:$AK$4001&lt;$AK2404))+1,"")</f>
        <v/>
      </c>
      <c r="AJ2404" s="18" t="str">
        <f aca="false">IF($D2404="","",IF(OR($R2404=TRUE(),$R2404="TRUE"),1,0))</f>
        <v/>
      </c>
      <c r="AK2404" s="18" t="str">
        <f aca="false">IF($AH2404=1,IFERROR(VALUE(MID($D2404,2,20)),1000000000)+ROW()/10000000,"")</f>
        <v/>
      </c>
    </row>
    <row r="2405" customFormat="false" ht="15" hidden="false" customHeight="false" outlineLevel="0" collapsed="false">
      <c r="F2405" s="15"/>
      <c r="N2405" s="16" t="str">
        <f aca="false">IF($D2405="","",M2405*Y2405/100)</f>
        <v/>
      </c>
      <c r="V2405" s="16" t="str">
        <f aca="false">IF($D2405="","",Y2405*AB2405/100)</f>
        <v/>
      </c>
      <c r="W2405" s="16" t="str">
        <f aca="false">IF($D2405="","",Y2405-V2405)</f>
        <v/>
      </c>
      <c r="X2405" s="16" t="str">
        <f aca="false">IF($D2405="","",W2405-N2405)</f>
        <v/>
      </c>
      <c r="AB2405" s="17" t="str">
        <f aca="false">IF($D2405="","",IF(OR($R2405=TRUE(),$R2405="TRUE"),Settings!$C$6,Settings!$C$7)*100)</f>
        <v/>
      </c>
      <c r="AH2405" s="18" t="str">
        <f aca="false">IF($D2405="","",IF(COUNTIF($D$2:$D2405,$D2405)=1,1,0))</f>
        <v/>
      </c>
      <c r="AI2405" s="18" t="str">
        <f aca="false">IF($AH2405=1,SUMPRODUCT(--($AK$2:$AK$4001&lt;$AK2405))+1,"")</f>
        <v/>
      </c>
      <c r="AJ2405" s="18" t="str">
        <f aca="false">IF($D2405="","",IF(OR($R2405=TRUE(),$R2405="TRUE"),1,0))</f>
        <v/>
      </c>
      <c r="AK2405" s="18" t="str">
        <f aca="false">IF($AH2405=1,IFERROR(VALUE(MID($D2405,2,20)),1000000000)+ROW()/10000000,"")</f>
        <v/>
      </c>
    </row>
    <row r="2406" customFormat="false" ht="15" hidden="false" customHeight="false" outlineLevel="0" collapsed="false">
      <c r="F2406" s="15"/>
      <c r="N2406" s="16" t="str">
        <f aca="false">IF($D2406="","",M2406*Y2406/100)</f>
        <v/>
      </c>
      <c r="V2406" s="16" t="str">
        <f aca="false">IF($D2406="","",Y2406*AB2406/100)</f>
        <v/>
      </c>
      <c r="W2406" s="16" t="str">
        <f aca="false">IF($D2406="","",Y2406-V2406)</f>
        <v/>
      </c>
      <c r="X2406" s="16" t="str">
        <f aca="false">IF($D2406="","",W2406-N2406)</f>
        <v/>
      </c>
      <c r="AB2406" s="17" t="str">
        <f aca="false">IF($D2406="","",IF(OR($R2406=TRUE(),$R2406="TRUE"),Settings!$C$6,Settings!$C$7)*100)</f>
        <v/>
      </c>
      <c r="AH2406" s="18" t="str">
        <f aca="false">IF($D2406="","",IF(COUNTIF($D$2:$D2406,$D2406)=1,1,0))</f>
        <v/>
      </c>
      <c r="AI2406" s="18" t="str">
        <f aca="false">IF($AH2406=1,SUMPRODUCT(--($AK$2:$AK$4001&lt;$AK2406))+1,"")</f>
        <v/>
      </c>
      <c r="AJ2406" s="18" t="str">
        <f aca="false">IF($D2406="","",IF(OR($R2406=TRUE(),$R2406="TRUE"),1,0))</f>
        <v/>
      </c>
      <c r="AK2406" s="18" t="str">
        <f aca="false">IF($AH2406=1,IFERROR(VALUE(MID($D2406,2,20)),1000000000)+ROW()/10000000,"")</f>
        <v/>
      </c>
    </row>
    <row r="2407" customFormat="false" ht="15" hidden="false" customHeight="false" outlineLevel="0" collapsed="false">
      <c r="F2407" s="15"/>
      <c r="N2407" s="16" t="str">
        <f aca="false">IF($D2407="","",M2407*Y2407/100)</f>
        <v/>
      </c>
      <c r="V2407" s="16" t="str">
        <f aca="false">IF($D2407="","",Y2407*AB2407/100)</f>
        <v/>
      </c>
      <c r="W2407" s="16" t="str">
        <f aca="false">IF($D2407="","",Y2407-V2407)</f>
        <v/>
      </c>
      <c r="X2407" s="16" t="str">
        <f aca="false">IF($D2407="","",W2407-N2407)</f>
        <v/>
      </c>
      <c r="AB2407" s="17" t="str">
        <f aca="false">IF($D2407="","",IF(OR($R2407=TRUE(),$R2407="TRUE"),Settings!$C$6,Settings!$C$7)*100)</f>
        <v/>
      </c>
      <c r="AH2407" s="18" t="str">
        <f aca="false">IF($D2407="","",IF(COUNTIF($D$2:$D2407,$D2407)=1,1,0))</f>
        <v/>
      </c>
      <c r="AI2407" s="18" t="str">
        <f aca="false">IF($AH2407=1,SUMPRODUCT(--($AK$2:$AK$4001&lt;$AK2407))+1,"")</f>
        <v/>
      </c>
      <c r="AJ2407" s="18" t="str">
        <f aca="false">IF($D2407="","",IF(OR($R2407=TRUE(),$R2407="TRUE"),1,0))</f>
        <v/>
      </c>
      <c r="AK2407" s="18" t="str">
        <f aca="false">IF($AH2407=1,IFERROR(VALUE(MID($D2407,2,20)),1000000000)+ROW()/10000000,"")</f>
        <v/>
      </c>
    </row>
    <row r="2408" customFormat="false" ht="15" hidden="false" customHeight="false" outlineLevel="0" collapsed="false">
      <c r="F2408" s="15"/>
      <c r="N2408" s="16" t="str">
        <f aca="false">IF($D2408="","",M2408*Y2408/100)</f>
        <v/>
      </c>
      <c r="V2408" s="16" t="str">
        <f aca="false">IF($D2408="","",Y2408*AB2408/100)</f>
        <v/>
      </c>
      <c r="W2408" s="16" t="str">
        <f aca="false">IF($D2408="","",Y2408-V2408)</f>
        <v/>
      </c>
      <c r="X2408" s="16" t="str">
        <f aca="false">IF($D2408="","",W2408-N2408)</f>
        <v/>
      </c>
      <c r="AB2408" s="17" t="str">
        <f aca="false">IF($D2408="","",IF(OR($R2408=TRUE(),$R2408="TRUE"),Settings!$C$6,Settings!$C$7)*100)</f>
        <v/>
      </c>
      <c r="AH2408" s="18" t="str">
        <f aca="false">IF($D2408="","",IF(COUNTIF($D$2:$D2408,$D2408)=1,1,0))</f>
        <v/>
      </c>
      <c r="AI2408" s="18" t="str">
        <f aca="false">IF($AH2408=1,SUMPRODUCT(--($AK$2:$AK$4001&lt;$AK2408))+1,"")</f>
        <v/>
      </c>
      <c r="AJ2408" s="18" t="str">
        <f aca="false">IF($D2408="","",IF(OR($R2408=TRUE(),$R2408="TRUE"),1,0))</f>
        <v/>
      </c>
      <c r="AK2408" s="18" t="str">
        <f aca="false">IF($AH2408=1,IFERROR(VALUE(MID($D2408,2,20)),1000000000)+ROW()/10000000,"")</f>
        <v/>
      </c>
    </row>
    <row r="2409" customFormat="false" ht="15" hidden="false" customHeight="false" outlineLevel="0" collapsed="false">
      <c r="F2409" s="15"/>
      <c r="N2409" s="16" t="str">
        <f aca="false">IF($D2409="","",M2409*Y2409/100)</f>
        <v/>
      </c>
      <c r="V2409" s="16" t="str">
        <f aca="false">IF($D2409="","",Y2409*AB2409/100)</f>
        <v/>
      </c>
      <c r="W2409" s="16" t="str">
        <f aca="false">IF($D2409="","",Y2409-V2409)</f>
        <v/>
      </c>
      <c r="X2409" s="16" t="str">
        <f aca="false">IF($D2409="","",W2409-N2409)</f>
        <v/>
      </c>
      <c r="AB2409" s="17" t="str">
        <f aca="false">IF($D2409="","",IF(OR($R2409=TRUE(),$R2409="TRUE"),Settings!$C$6,Settings!$C$7)*100)</f>
        <v/>
      </c>
      <c r="AH2409" s="18" t="str">
        <f aca="false">IF($D2409="","",IF(COUNTIF($D$2:$D2409,$D2409)=1,1,0))</f>
        <v/>
      </c>
      <c r="AI2409" s="18" t="str">
        <f aca="false">IF($AH2409=1,SUMPRODUCT(--($AK$2:$AK$4001&lt;$AK2409))+1,"")</f>
        <v/>
      </c>
      <c r="AJ2409" s="18" t="str">
        <f aca="false">IF($D2409="","",IF(OR($R2409=TRUE(),$R2409="TRUE"),1,0))</f>
        <v/>
      </c>
      <c r="AK2409" s="18" t="str">
        <f aca="false">IF($AH2409=1,IFERROR(VALUE(MID($D2409,2,20)),1000000000)+ROW()/10000000,"")</f>
        <v/>
      </c>
    </row>
    <row r="2410" customFormat="false" ht="15" hidden="false" customHeight="false" outlineLevel="0" collapsed="false">
      <c r="F2410" s="15"/>
      <c r="N2410" s="16" t="str">
        <f aca="false">IF($D2410="","",M2410*Y2410/100)</f>
        <v/>
      </c>
      <c r="V2410" s="16" t="str">
        <f aca="false">IF($D2410="","",Y2410*AB2410/100)</f>
        <v/>
      </c>
      <c r="W2410" s="16" t="str">
        <f aca="false">IF($D2410="","",Y2410-V2410)</f>
        <v/>
      </c>
      <c r="X2410" s="16" t="str">
        <f aca="false">IF($D2410="","",W2410-N2410)</f>
        <v/>
      </c>
      <c r="AB2410" s="17" t="str">
        <f aca="false">IF($D2410="","",IF(OR($R2410=TRUE(),$R2410="TRUE"),Settings!$C$6,Settings!$C$7)*100)</f>
        <v/>
      </c>
      <c r="AH2410" s="18" t="str">
        <f aca="false">IF($D2410="","",IF(COUNTIF($D$2:$D2410,$D2410)=1,1,0))</f>
        <v/>
      </c>
      <c r="AI2410" s="18" t="str">
        <f aca="false">IF($AH2410=1,SUMPRODUCT(--($AK$2:$AK$4001&lt;$AK2410))+1,"")</f>
        <v/>
      </c>
      <c r="AJ2410" s="18" t="str">
        <f aca="false">IF($D2410="","",IF(OR($R2410=TRUE(),$R2410="TRUE"),1,0))</f>
        <v/>
      </c>
      <c r="AK2410" s="18" t="str">
        <f aca="false">IF($AH2410=1,IFERROR(VALUE(MID($D2410,2,20)),1000000000)+ROW()/10000000,"")</f>
        <v/>
      </c>
    </row>
    <row r="2411" customFormat="false" ht="15" hidden="false" customHeight="false" outlineLevel="0" collapsed="false">
      <c r="F2411" s="15"/>
      <c r="N2411" s="16" t="str">
        <f aca="false">IF($D2411="","",M2411*Y2411/100)</f>
        <v/>
      </c>
      <c r="V2411" s="16" t="str">
        <f aca="false">IF($D2411="","",Y2411*AB2411/100)</f>
        <v/>
      </c>
      <c r="W2411" s="16" t="str">
        <f aca="false">IF($D2411="","",Y2411-V2411)</f>
        <v/>
      </c>
      <c r="X2411" s="16" t="str">
        <f aca="false">IF($D2411="","",W2411-N2411)</f>
        <v/>
      </c>
      <c r="AB2411" s="17" t="str">
        <f aca="false">IF($D2411="","",IF(OR($R2411=TRUE(),$R2411="TRUE"),Settings!$C$6,Settings!$C$7)*100)</f>
        <v/>
      </c>
      <c r="AH2411" s="18" t="str">
        <f aca="false">IF($D2411="","",IF(COUNTIF($D$2:$D2411,$D2411)=1,1,0))</f>
        <v/>
      </c>
      <c r="AI2411" s="18" t="str">
        <f aca="false">IF($AH2411=1,SUMPRODUCT(--($AK$2:$AK$4001&lt;$AK2411))+1,"")</f>
        <v/>
      </c>
      <c r="AJ2411" s="18" t="str">
        <f aca="false">IF($D2411="","",IF(OR($R2411=TRUE(),$R2411="TRUE"),1,0))</f>
        <v/>
      </c>
      <c r="AK2411" s="18" t="str">
        <f aca="false">IF($AH2411=1,IFERROR(VALUE(MID($D2411,2,20)),1000000000)+ROW()/10000000,"")</f>
        <v/>
      </c>
    </row>
    <row r="2412" customFormat="false" ht="15" hidden="false" customHeight="false" outlineLevel="0" collapsed="false">
      <c r="F2412" s="15"/>
      <c r="N2412" s="16" t="str">
        <f aca="false">IF($D2412="","",M2412*Y2412/100)</f>
        <v/>
      </c>
      <c r="V2412" s="16" t="str">
        <f aca="false">IF($D2412="","",Y2412*AB2412/100)</f>
        <v/>
      </c>
      <c r="W2412" s="16" t="str">
        <f aca="false">IF($D2412="","",Y2412-V2412)</f>
        <v/>
      </c>
      <c r="X2412" s="16" t="str">
        <f aca="false">IF($D2412="","",W2412-N2412)</f>
        <v/>
      </c>
      <c r="AB2412" s="17" t="str">
        <f aca="false">IF($D2412="","",IF(OR($R2412=TRUE(),$R2412="TRUE"),Settings!$C$6,Settings!$C$7)*100)</f>
        <v/>
      </c>
      <c r="AH2412" s="18" t="str">
        <f aca="false">IF($D2412="","",IF(COUNTIF($D$2:$D2412,$D2412)=1,1,0))</f>
        <v/>
      </c>
      <c r="AI2412" s="18" t="str">
        <f aca="false">IF($AH2412=1,SUMPRODUCT(--($AK$2:$AK$4001&lt;$AK2412))+1,"")</f>
        <v/>
      </c>
      <c r="AJ2412" s="18" t="str">
        <f aca="false">IF($D2412="","",IF(OR($R2412=TRUE(),$R2412="TRUE"),1,0))</f>
        <v/>
      </c>
      <c r="AK2412" s="18" t="str">
        <f aca="false">IF($AH2412=1,IFERROR(VALUE(MID($D2412,2,20)),1000000000)+ROW()/10000000,"")</f>
        <v/>
      </c>
    </row>
    <row r="2413" customFormat="false" ht="15" hidden="false" customHeight="false" outlineLevel="0" collapsed="false">
      <c r="F2413" s="15"/>
      <c r="N2413" s="16" t="str">
        <f aca="false">IF($D2413="","",M2413*Y2413/100)</f>
        <v/>
      </c>
      <c r="V2413" s="16" t="str">
        <f aca="false">IF($D2413="","",Y2413*AB2413/100)</f>
        <v/>
      </c>
      <c r="W2413" s="16" t="str">
        <f aca="false">IF($D2413="","",Y2413-V2413)</f>
        <v/>
      </c>
      <c r="X2413" s="16" t="str">
        <f aca="false">IF($D2413="","",W2413-N2413)</f>
        <v/>
      </c>
      <c r="AB2413" s="17" t="str">
        <f aca="false">IF($D2413="","",IF(OR($R2413=TRUE(),$R2413="TRUE"),Settings!$C$6,Settings!$C$7)*100)</f>
        <v/>
      </c>
      <c r="AH2413" s="18" t="str">
        <f aca="false">IF($D2413="","",IF(COUNTIF($D$2:$D2413,$D2413)=1,1,0))</f>
        <v/>
      </c>
      <c r="AI2413" s="18" t="str">
        <f aca="false">IF($AH2413=1,SUMPRODUCT(--($AK$2:$AK$4001&lt;$AK2413))+1,"")</f>
        <v/>
      </c>
      <c r="AJ2413" s="18" t="str">
        <f aca="false">IF($D2413="","",IF(OR($R2413=TRUE(),$R2413="TRUE"),1,0))</f>
        <v/>
      </c>
      <c r="AK2413" s="18" t="str">
        <f aca="false">IF($AH2413=1,IFERROR(VALUE(MID($D2413,2,20)),1000000000)+ROW()/10000000,"")</f>
        <v/>
      </c>
    </row>
    <row r="2414" customFormat="false" ht="15" hidden="false" customHeight="false" outlineLevel="0" collapsed="false">
      <c r="F2414" s="15"/>
      <c r="N2414" s="16" t="str">
        <f aca="false">IF($D2414="","",M2414*Y2414/100)</f>
        <v/>
      </c>
      <c r="V2414" s="16" t="str">
        <f aca="false">IF($D2414="","",Y2414*AB2414/100)</f>
        <v/>
      </c>
      <c r="W2414" s="16" t="str">
        <f aca="false">IF($D2414="","",Y2414-V2414)</f>
        <v/>
      </c>
      <c r="X2414" s="16" t="str">
        <f aca="false">IF($D2414="","",W2414-N2414)</f>
        <v/>
      </c>
      <c r="AB2414" s="17" t="str">
        <f aca="false">IF($D2414="","",IF(OR($R2414=TRUE(),$R2414="TRUE"),Settings!$C$6,Settings!$C$7)*100)</f>
        <v/>
      </c>
      <c r="AH2414" s="18" t="str">
        <f aca="false">IF($D2414="","",IF(COUNTIF($D$2:$D2414,$D2414)=1,1,0))</f>
        <v/>
      </c>
      <c r="AI2414" s="18" t="str">
        <f aca="false">IF($AH2414=1,SUMPRODUCT(--($AK$2:$AK$4001&lt;$AK2414))+1,"")</f>
        <v/>
      </c>
      <c r="AJ2414" s="18" t="str">
        <f aca="false">IF($D2414="","",IF(OR($R2414=TRUE(),$R2414="TRUE"),1,0))</f>
        <v/>
      </c>
      <c r="AK2414" s="18" t="str">
        <f aca="false">IF($AH2414=1,IFERROR(VALUE(MID($D2414,2,20)),1000000000)+ROW()/10000000,"")</f>
        <v/>
      </c>
    </row>
    <row r="2415" customFormat="false" ht="15" hidden="false" customHeight="false" outlineLevel="0" collapsed="false">
      <c r="F2415" s="15"/>
      <c r="N2415" s="16" t="str">
        <f aca="false">IF($D2415="","",M2415*Y2415/100)</f>
        <v/>
      </c>
      <c r="V2415" s="16" t="str">
        <f aca="false">IF($D2415="","",Y2415*AB2415/100)</f>
        <v/>
      </c>
      <c r="W2415" s="16" t="str">
        <f aca="false">IF($D2415="","",Y2415-V2415)</f>
        <v/>
      </c>
      <c r="X2415" s="16" t="str">
        <f aca="false">IF($D2415="","",W2415-N2415)</f>
        <v/>
      </c>
      <c r="AB2415" s="17" t="str">
        <f aca="false">IF($D2415="","",IF(OR($R2415=TRUE(),$R2415="TRUE"),Settings!$C$6,Settings!$C$7)*100)</f>
        <v/>
      </c>
      <c r="AH2415" s="18" t="str">
        <f aca="false">IF($D2415="","",IF(COUNTIF($D$2:$D2415,$D2415)=1,1,0))</f>
        <v/>
      </c>
      <c r="AI2415" s="18" t="str">
        <f aca="false">IF($AH2415=1,SUMPRODUCT(--($AK$2:$AK$4001&lt;$AK2415))+1,"")</f>
        <v/>
      </c>
      <c r="AJ2415" s="18" t="str">
        <f aca="false">IF($D2415="","",IF(OR($R2415=TRUE(),$R2415="TRUE"),1,0))</f>
        <v/>
      </c>
      <c r="AK2415" s="18" t="str">
        <f aca="false">IF($AH2415=1,IFERROR(VALUE(MID($D2415,2,20)),1000000000)+ROW()/10000000,"")</f>
        <v/>
      </c>
    </row>
    <row r="2416" customFormat="false" ht="15" hidden="false" customHeight="false" outlineLevel="0" collapsed="false">
      <c r="F2416" s="15"/>
      <c r="N2416" s="16" t="str">
        <f aca="false">IF($D2416="","",M2416*Y2416/100)</f>
        <v/>
      </c>
      <c r="V2416" s="16" t="str">
        <f aca="false">IF($D2416="","",Y2416*AB2416/100)</f>
        <v/>
      </c>
      <c r="W2416" s="16" t="str">
        <f aca="false">IF($D2416="","",Y2416-V2416)</f>
        <v/>
      </c>
      <c r="X2416" s="16" t="str">
        <f aca="false">IF($D2416="","",W2416-N2416)</f>
        <v/>
      </c>
      <c r="AB2416" s="17" t="str">
        <f aca="false">IF($D2416="","",IF(OR($R2416=TRUE(),$R2416="TRUE"),Settings!$C$6,Settings!$C$7)*100)</f>
        <v/>
      </c>
      <c r="AH2416" s="18" t="str">
        <f aca="false">IF($D2416="","",IF(COUNTIF($D$2:$D2416,$D2416)=1,1,0))</f>
        <v/>
      </c>
      <c r="AI2416" s="18" t="str">
        <f aca="false">IF($AH2416=1,SUMPRODUCT(--($AK$2:$AK$4001&lt;$AK2416))+1,"")</f>
        <v/>
      </c>
      <c r="AJ2416" s="18" t="str">
        <f aca="false">IF($D2416="","",IF(OR($R2416=TRUE(),$R2416="TRUE"),1,0))</f>
        <v/>
      </c>
      <c r="AK2416" s="18" t="str">
        <f aca="false">IF($AH2416=1,IFERROR(VALUE(MID($D2416,2,20)),1000000000)+ROW()/10000000,"")</f>
        <v/>
      </c>
    </row>
    <row r="2417" customFormat="false" ht="15" hidden="false" customHeight="false" outlineLevel="0" collapsed="false">
      <c r="F2417" s="15"/>
      <c r="N2417" s="16" t="str">
        <f aca="false">IF($D2417="","",M2417*Y2417/100)</f>
        <v/>
      </c>
      <c r="V2417" s="16" t="str">
        <f aca="false">IF($D2417="","",Y2417*AB2417/100)</f>
        <v/>
      </c>
      <c r="W2417" s="16" t="str">
        <f aca="false">IF($D2417="","",Y2417-V2417)</f>
        <v/>
      </c>
      <c r="X2417" s="16" t="str">
        <f aca="false">IF($D2417="","",W2417-N2417)</f>
        <v/>
      </c>
      <c r="AB2417" s="17" t="str">
        <f aca="false">IF($D2417="","",IF(OR($R2417=TRUE(),$R2417="TRUE"),Settings!$C$6,Settings!$C$7)*100)</f>
        <v/>
      </c>
      <c r="AH2417" s="18" t="str">
        <f aca="false">IF($D2417="","",IF(COUNTIF($D$2:$D2417,$D2417)=1,1,0))</f>
        <v/>
      </c>
      <c r="AI2417" s="18" t="str">
        <f aca="false">IF($AH2417=1,SUMPRODUCT(--($AK$2:$AK$4001&lt;$AK2417))+1,"")</f>
        <v/>
      </c>
      <c r="AJ2417" s="18" t="str">
        <f aca="false">IF($D2417="","",IF(OR($R2417=TRUE(),$R2417="TRUE"),1,0))</f>
        <v/>
      </c>
      <c r="AK2417" s="18" t="str">
        <f aca="false">IF($AH2417=1,IFERROR(VALUE(MID($D2417,2,20)),1000000000)+ROW()/10000000,"")</f>
        <v/>
      </c>
    </row>
    <row r="2418" customFormat="false" ht="15" hidden="false" customHeight="false" outlineLevel="0" collapsed="false">
      <c r="F2418" s="15"/>
      <c r="N2418" s="16" t="str">
        <f aca="false">IF($D2418="","",M2418*Y2418/100)</f>
        <v/>
      </c>
      <c r="V2418" s="16" t="str">
        <f aca="false">IF($D2418="","",Y2418*AB2418/100)</f>
        <v/>
      </c>
      <c r="W2418" s="16" t="str">
        <f aca="false">IF($D2418="","",Y2418-V2418)</f>
        <v/>
      </c>
      <c r="X2418" s="16" t="str">
        <f aca="false">IF($D2418="","",W2418-N2418)</f>
        <v/>
      </c>
      <c r="AB2418" s="17" t="str">
        <f aca="false">IF($D2418="","",IF(OR($R2418=TRUE(),$R2418="TRUE"),Settings!$C$6,Settings!$C$7)*100)</f>
        <v/>
      </c>
      <c r="AH2418" s="18" t="str">
        <f aca="false">IF($D2418="","",IF(COUNTIF($D$2:$D2418,$D2418)=1,1,0))</f>
        <v/>
      </c>
      <c r="AI2418" s="18" t="str">
        <f aca="false">IF($AH2418=1,SUMPRODUCT(--($AK$2:$AK$4001&lt;$AK2418))+1,"")</f>
        <v/>
      </c>
      <c r="AJ2418" s="18" t="str">
        <f aca="false">IF($D2418="","",IF(OR($R2418=TRUE(),$R2418="TRUE"),1,0))</f>
        <v/>
      </c>
      <c r="AK2418" s="18" t="str">
        <f aca="false">IF($AH2418=1,IFERROR(VALUE(MID($D2418,2,20)),1000000000)+ROW()/10000000,"")</f>
        <v/>
      </c>
    </row>
    <row r="2419" customFormat="false" ht="15" hidden="false" customHeight="false" outlineLevel="0" collapsed="false">
      <c r="F2419" s="15"/>
      <c r="N2419" s="16" t="str">
        <f aca="false">IF($D2419="","",M2419*Y2419/100)</f>
        <v/>
      </c>
      <c r="V2419" s="16" t="str">
        <f aca="false">IF($D2419="","",Y2419*AB2419/100)</f>
        <v/>
      </c>
      <c r="W2419" s="16" t="str">
        <f aca="false">IF($D2419="","",Y2419-V2419)</f>
        <v/>
      </c>
      <c r="X2419" s="16" t="str">
        <f aca="false">IF($D2419="","",W2419-N2419)</f>
        <v/>
      </c>
      <c r="AB2419" s="17" t="str">
        <f aca="false">IF($D2419="","",IF(OR($R2419=TRUE(),$R2419="TRUE"),Settings!$C$6,Settings!$C$7)*100)</f>
        <v/>
      </c>
      <c r="AH2419" s="18" t="str">
        <f aca="false">IF($D2419="","",IF(COUNTIF($D$2:$D2419,$D2419)=1,1,0))</f>
        <v/>
      </c>
      <c r="AI2419" s="18" t="str">
        <f aca="false">IF($AH2419=1,SUMPRODUCT(--($AK$2:$AK$4001&lt;$AK2419))+1,"")</f>
        <v/>
      </c>
      <c r="AJ2419" s="18" t="str">
        <f aca="false">IF($D2419="","",IF(OR($R2419=TRUE(),$R2419="TRUE"),1,0))</f>
        <v/>
      </c>
      <c r="AK2419" s="18" t="str">
        <f aca="false">IF($AH2419=1,IFERROR(VALUE(MID($D2419,2,20)),1000000000)+ROW()/10000000,"")</f>
        <v/>
      </c>
    </row>
    <row r="2420" customFormat="false" ht="15" hidden="false" customHeight="false" outlineLevel="0" collapsed="false">
      <c r="F2420" s="15"/>
      <c r="N2420" s="16" t="str">
        <f aca="false">IF($D2420="","",M2420*Y2420/100)</f>
        <v/>
      </c>
      <c r="V2420" s="16" t="str">
        <f aca="false">IF($D2420="","",Y2420*AB2420/100)</f>
        <v/>
      </c>
      <c r="W2420" s="16" t="str">
        <f aca="false">IF($D2420="","",Y2420-V2420)</f>
        <v/>
      </c>
      <c r="X2420" s="16" t="str">
        <f aca="false">IF($D2420="","",W2420-N2420)</f>
        <v/>
      </c>
      <c r="AB2420" s="17" t="str">
        <f aca="false">IF($D2420="","",IF(OR($R2420=TRUE(),$R2420="TRUE"),Settings!$C$6,Settings!$C$7)*100)</f>
        <v/>
      </c>
      <c r="AH2420" s="18" t="str">
        <f aca="false">IF($D2420="","",IF(COUNTIF($D$2:$D2420,$D2420)=1,1,0))</f>
        <v/>
      </c>
      <c r="AI2420" s="18" t="str">
        <f aca="false">IF($AH2420=1,SUMPRODUCT(--($AK$2:$AK$4001&lt;$AK2420))+1,"")</f>
        <v/>
      </c>
      <c r="AJ2420" s="18" t="str">
        <f aca="false">IF($D2420="","",IF(OR($R2420=TRUE(),$R2420="TRUE"),1,0))</f>
        <v/>
      </c>
      <c r="AK2420" s="18" t="str">
        <f aca="false">IF($AH2420=1,IFERROR(VALUE(MID($D2420,2,20)),1000000000)+ROW()/10000000,"")</f>
        <v/>
      </c>
    </row>
    <row r="2421" customFormat="false" ht="15" hidden="false" customHeight="false" outlineLevel="0" collapsed="false">
      <c r="F2421" s="15"/>
      <c r="N2421" s="16" t="str">
        <f aca="false">IF($D2421="","",M2421*Y2421/100)</f>
        <v/>
      </c>
      <c r="V2421" s="16" t="str">
        <f aca="false">IF($D2421="","",Y2421*AB2421/100)</f>
        <v/>
      </c>
      <c r="W2421" s="16" t="str">
        <f aca="false">IF($D2421="","",Y2421-V2421)</f>
        <v/>
      </c>
      <c r="X2421" s="16" t="str">
        <f aca="false">IF($D2421="","",W2421-N2421)</f>
        <v/>
      </c>
      <c r="AB2421" s="17" t="str">
        <f aca="false">IF($D2421="","",IF(OR($R2421=TRUE(),$R2421="TRUE"),Settings!$C$6,Settings!$C$7)*100)</f>
        <v/>
      </c>
      <c r="AH2421" s="18" t="str">
        <f aca="false">IF($D2421="","",IF(COUNTIF($D$2:$D2421,$D2421)=1,1,0))</f>
        <v/>
      </c>
      <c r="AI2421" s="18" t="str">
        <f aca="false">IF($AH2421=1,SUMPRODUCT(--($AK$2:$AK$4001&lt;$AK2421))+1,"")</f>
        <v/>
      </c>
      <c r="AJ2421" s="18" t="str">
        <f aca="false">IF($D2421="","",IF(OR($R2421=TRUE(),$R2421="TRUE"),1,0))</f>
        <v/>
      </c>
      <c r="AK2421" s="18" t="str">
        <f aca="false">IF($AH2421=1,IFERROR(VALUE(MID($D2421,2,20)),1000000000)+ROW()/10000000,"")</f>
        <v/>
      </c>
    </row>
    <row r="2422" customFormat="false" ht="15" hidden="false" customHeight="false" outlineLevel="0" collapsed="false">
      <c r="F2422" s="15"/>
      <c r="N2422" s="16" t="str">
        <f aca="false">IF($D2422="","",M2422*Y2422/100)</f>
        <v/>
      </c>
      <c r="V2422" s="16" t="str">
        <f aca="false">IF($D2422="","",Y2422*AB2422/100)</f>
        <v/>
      </c>
      <c r="W2422" s="16" t="str">
        <f aca="false">IF($D2422="","",Y2422-V2422)</f>
        <v/>
      </c>
      <c r="X2422" s="16" t="str">
        <f aca="false">IF($D2422="","",W2422-N2422)</f>
        <v/>
      </c>
      <c r="AB2422" s="17" t="str">
        <f aca="false">IF($D2422="","",IF(OR($R2422=TRUE(),$R2422="TRUE"),Settings!$C$6,Settings!$C$7)*100)</f>
        <v/>
      </c>
      <c r="AH2422" s="18" t="str">
        <f aca="false">IF($D2422="","",IF(COUNTIF($D$2:$D2422,$D2422)=1,1,0))</f>
        <v/>
      </c>
      <c r="AI2422" s="18" t="str">
        <f aca="false">IF($AH2422=1,SUMPRODUCT(--($AK$2:$AK$4001&lt;$AK2422))+1,"")</f>
        <v/>
      </c>
      <c r="AJ2422" s="18" t="str">
        <f aca="false">IF($D2422="","",IF(OR($R2422=TRUE(),$R2422="TRUE"),1,0))</f>
        <v/>
      </c>
      <c r="AK2422" s="18" t="str">
        <f aca="false">IF($AH2422=1,IFERROR(VALUE(MID($D2422,2,20)),1000000000)+ROW()/10000000,"")</f>
        <v/>
      </c>
    </row>
    <row r="2423" customFormat="false" ht="15" hidden="false" customHeight="false" outlineLevel="0" collapsed="false">
      <c r="F2423" s="15"/>
      <c r="N2423" s="16" t="str">
        <f aca="false">IF($D2423="","",M2423*Y2423/100)</f>
        <v/>
      </c>
      <c r="V2423" s="16" t="str">
        <f aca="false">IF($D2423="","",Y2423*AB2423/100)</f>
        <v/>
      </c>
      <c r="W2423" s="16" t="str">
        <f aca="false">IF($D2423="","",Y2423-V2423)</f>
        <v/>
      </c>
      <c r="X2423" s="16" t="str">
        <f aca="false">IF($D2423="","",W2423-N2423)</f>
        <v/>
      </c>
      <c r="AB2423" s="17" t="str">
        <f aca="false">IF($D2423="","",IF(OR($R2423=TRUE(),$R2423="TRUE"),Settings!$C$6,Settings!$C$7)*100)</f>
        <v/>
      </c>
      <c r="AH2423" s="18" t="str">
        <f aca="false">IF($D2423="","",IF(COUNTIF($D$2:$D2423,$D2423)=1,1,0))</f>
        <v/>
      </c>
      <c r="AI2423" s="18" t="str">
        <f aca="false">IF($AH2423=1,SUMPRODUCT(--($AK$2:$AK$4001&lt;$AK2423))+1,"")</f>
        <v/>
      </c>
      <c r="AJ2423" s="18" t="str">
        <f aca="false">IF($D2423="","",IF(OR($R2423=TRUE(),$R2423="TRUE"),1,0))</f>
        <v/>
      </c>
      <c r="AK2423" s="18" t="str">
        <f aca="false">IF($AH2423=1,IFERROR(VALUE(MID($D2423,2,20)),1000000000)+ROW()/10000000,"")</f>
        <v/>
      </c>
    </row>
    <row r="2424" customFormat="false" ht="15" hidden="false" customHeight="false" outlineLevel="0" collapsed="false">
      <c r="F2424" s="15"/>
      <c r="N2424" s="16" t="str">
        <f aca="false">IF($D2424="","",M2424*Y2424/100)</f>
        <v/>
      </c>
      <c r="V2424" s="16" t="str">
        <f aca="false">IF($D2424="","",Y2424*AB2424/100)</f>
        <v/>
      </c>
      <c r="W2424" s="16" t="str">
        <f aca="false">IF($D2424="","",Y2424-V2424)</f>
        <v/>
      </c>
      <c r="X2424" s="16" t="str">
        <f aca="false">IF($D2424="","",W2424-N2424)</f>
        <v/>
      </c>
      <c r="AB2424" s="17" t="str">
        <f aca="false">IF($D2424="","",IF(OR($R2424=TRUE(),$R2424="TRUE"),Settings!$C$6,Settings!$C$7)*100)</f>
        <v/>
      </c>
      <c r="AH2424" s="18" t="str">
        <f aca="false">IF($D2424="","",IF(COUNTIF($D$2:$D2424,$D2424)=1,1,0))</f>
        <v/>
      </c>
      <c r="AI2424" s="18" t="str">
        <f aca="false">IF($AH2424=1,SUMPRODUCT(--($AK$2:$AK$4001&lt;$AK2424))+1,"")</f>
        <v/>
      </c>
      <c r="AJ2424" s="18" t="str">
        <f aca="false">IF($D2424="","",IF(OR($R2424=TRUE(),$R2424="TRUE"),1,0))</f>
        <v/>
      </c>
      <c r="AK2424" s="18" t="str">
        <f aca="false">IF($AH2424=1,IFERROR(VALUE(MID($D2424,2,20)),1000000000)+ROW()/10000000,"")</f>
        <v/>
      </c>
    </row>
    <row r="2425" customFormat="false" ht="15" hidden="false" customHeight="false" outlineLevel="0" collapsed="false">
      <c r="F2425" s="15"/>
      <c r="N2425" s="16" t="str">
        <f aca="false">IF($D2425="","",M2425*Y2425/100)</f>
        <v/>
      </c>
      <c r="V2425" s="16" t="str">
        <f aca="false">IF($D2425="","",Y2425*AB2425/100)</f>
        <v/>
      </c>
      <c r="W2425" s="16" t="str">
        <f aca="false">IF($D2425="","",Y2425-V2425)</f>
        <v/>
      </c>
      <c r="X2425" s="16" t="str">
        <f aca="false">IF($D2425="","",W2425-N2425)</f>
        <v/>
      </c>
      <c r="AB2425" s="17" t="str">
        <f aca="false">IF($D2425="","",IF(OR($R2425=TRUE(),$R2425="TRUE"),Settings!$C$6,Settings!$C$7)*100)</f>
        <v/>
      </c>
      <c r="AH2425" s="18" t="str">
        <f aca="false">IF($D2425="","",IF(COUNTIF($D$2:$D2425,$D2425)=1,1,0))</f>
        <v/>
      </c>
      <c r="AI2425" s="18" t="str">
        <f aca="false">IF($AH2425=1,SUMPRODUCT(--($AK$2:$AK$4001&lt;$AK2425))+1,"")</f>
        <v/>
      </c>
      <c r="AJ2425" s="18" t="str">
        <f aca="false">IF($D2425="","",IF(OR($R2425=TRUE(),$R2425="TRUE"),1,0))</f>
        <v/>
      </c>
      <c r="AK2425" s="18" t="str">
        <f aca="false">IF($AH2425=1,IFERROR(VALUE(MID($D2425,2,20)),1000000000)+ROW()/10000000,"")</f>
        <v/>
      </c>
    </row>
    <row r="2426" customFormat="false" ht="15" hidden="false" customHeight="false" outlineLevel="0" collapsed="false">
      <c r="F2426" s="15"/>
      <c r="N2426" s="16" t="str">
        <f aca="false">IF($D2426="","",M2426*Y2426/100)</f>
        <v/>
      </c>
      <c r="V2426" s="16" t="str">
        <f aca="false">IF($D2426="","",Y2426*AB2426/100)</f>
        <v/>
      </c>
      <c r="W2426" s="16" t="str">
        <f aca="false">IF($D2426="","",Y2426-V2426)</f>
        <v/>
      </c>
      <c r="X2426" s="16" t="str">
        <f aca="false">IF($D2426="","",W2426-N2426)</f>
        <v/>
      </c>
      <c r="AB2426" s="17" t="str">
        <f aca="false">IF($D2426="","",IF(OR($R2426=TRUE(),$R2426="TRUE"),Settings!$C$6,Settings!$C$7)*100)</f>
        <v/>
      </c>
      <c r="AH2426" s="18" t="str">
        <f aca="false">IF($D2426="","",IF(COUNTIF($D$2:$D2426,$D2426)=1,1,0))</f>
        <v/>
      </c>
      <c r="AI2426" s="18" t="str">
        <f aca="false">IF($AH2426=1,SUMPRODUCT(--($AK$2:$AK$4001&lt;$AK2426))+1,"")</f>
        <v/>
      </c>
      <c r="AJ2426" s="18" t="str">
        <f aca="false">IF($D2426="","",IF(OR($R2426=TRUE(),$R2426="TRUE"),1,0))</f>
        <v/>
      </c>
      <c r="AK2426" s="18" t="str">
        <f aca="false">IF($AH2426=1,IFERROR(VALUE(MID($D2426,2,20)),1000000000)+ROW()/10000000,"")</f>
        <v/>
      </c>
    </row>
    <row r="2427" customFormat="false" ht="15" hidden="false" customHeight="false" outlineLevel="0" collapsed="false">
      <c r="F2427" s="15"/>
      <c r="N2427" s="16" t="str">
        <f aca="false">IF($D2427="","",M2427*Y2427/100)</f>
        <v/>
      </c>
      <c r="V2427" s="16" t="str">
        <f aca="false">IF($D2427="","",Y2427*AB2427/100)</f>
        <v/>
      </c>
      <c r="W2427" s="16" t="str">
        <f aca="false">IF($D2427="","",Y2427-V2427)</f>
        <v/>
      </c>
      <c r="X2427" s="16" t="str">
        <f aca="false">IF($D2427="","",W2427-N2427)</f>
        <v/>
      </c>
      <c r="AB2427" s="17" t="str">
        <f aca="false">IF($D2427="","",IF(OR($R2427=TRUE(),$R2427="TRUE"),Settings!$C$6,Settings!$C$7)*100)</f>
        <v/>
      </c>
      <c r="AH2427" s="18" t="str">
        <f aca="false">IF($D2427="","",IF(COUNTIF($D$2:$D2427,$D2427)=1,1,0))</f>
        <v/>
      </c>
      <c r="AI2427" s="18" t="str">
        <f aca="false">IF($AH2427=1,SUMPRODUCT(--($AK$2:$AK$4001&lt;$AK2427))+1,"")</f>
        <v/>
      </c>
      <c r="AJ2427" s="18" t="str">
        <f aca="false">IF($D2427="","",IF(OR($R2427=TRUE(),$R2427="TRUE"),1,0))</f>
        <v/>
      </c>
      <c r="AK2427" s="18" t="str">
        <f aca="false">IF($AH2427=1,IFERROR(VALUE(MID($D2427,2,20)),1000000000)+ROW()/10000000,"")</f>
        <v/>
      </c>
    </row>
    <row r="2428" customFormat="false" ht="15" hidden="false" customHeight="false" outlineLevel="0" collapsed="false">
      <c r="F2428" s="15"/>
      <c r="N2428" s="16" t="str">
        <f aca="false">IF($D2428="","",M2428*Y2428/100)</f>
        <v/>
      </c>
      <c r="V2428" s="16" t="str">
        <f aca="false">IF($D2428="","",Y2428*AB2428/100)</f>
        <v/>
      </c>
      <c r="W2428" s="16" t="str">
        <f aca="false">IF($D2428="","",Y2428-V2428)</f>
        <v/>
      </c>
      <c r="X2428" s="16" t="str">
        <f aca="false">IF($D2428="","",W2428-N2428)</f>
        <v/>
      </c>
      <c r="AB2428" s="17" t="str">
        <f aca="false">IF($D2428="","",IF(OR($R2428=TRUE(),$R2428="TRUE"),Settings!$C$6,Settings!$C$7)*100)</f>
        <v/>
      </c>
      <c r="AH2428" s="18" t="str">
        <f aca="false">IF($D2428="","",IF(COUNTIF($D$2:$D2428,$D2428)=1,1,0))</f>
        <v/>
      </c>
      <c r="AI2428" s="18" t="str">
        <f aca="false">IF($AH2428=1,SUMPRODUCT(--($AK$2:$AK$4001&lt;$AK2428))+1,"")</f>
        <v/>
      </c>
      <c r="AJ2428" s="18" t="str">
        <f aca="false">IF($D2428="","",IF(OR($R2428=TRUE(),$R2428="TRUE"),1,0))</f>
        <v/>
      </c>
      <c r="AK2428" s="18" t="str">
        <f aca="false">IF($AH2428=1,IFERROR(VALUE(MID($D2428,2,20)),1000000000)+ROW()/10000000,"")</f>
        <v/>
      </c>
    </row>
    <row r="2429" customFormat="false" ht="15" hidden="false" customHeight="false" outlineLevel="0" collapsed="false">
      <c r="F2429" s="15"/>
      <c r="N2429" s="16" t="str">
        <f aca="false">IF($D2429="","",M2429*Y2429/100)</f>
        <v/>
      </c>
      <c r="V2429" s="16" t="str">
        <f aca="false">IF($D2429="","",Y2429*AB2429/100)</f>
        <v/>
      </c>
      <c r="W2429" s="16" t="str">
        <f aca="false">IF($D2429="","",Y2429-V2429)</f>
        <v/>
      </c>
      <c r="X2429" s="16" t="str">
        <f aca="false">IF($D2429="","",W2429-N2429)</f>
        <v/>
      </c>
      <c r="AB2429" s="17" t="str">
        <f aca="false">IF($D2429="","",IF(OR($R2429=TRUE(),$R2429="TRUE"),Settings!$C$6,Settings!$C$7)*100)</f>
        <v/>
      </c>
      <c r="AH2429" s="18" t="str">
        <f aca="false">IF($D2429="","",IF(COUNTIF($D$2:$D2429,$D2429)=1,1,0))</f>
        <v/>
      </c>
      <c r="AI2429" s="18" t="str">
        <f aca="false">IF($AH2429=1,SUMPRODUCT(--($AK$2:$AK$4001&lt;$AK2429))+1,"")</f>
        <v/>
      </c>
      <c r="AJ2429" s="18" t="str">
        <f aca="false">IF($D2429="","",IF(OR($R2429=TRUE(),$R2429="TRUE"),1,0))</f>
        <v/>
      </c>
      <c r="AK2429" s="18" t="str">
        <f aca="false">IF($AH2429=1,IFERROR(VALUE(MID($D2429,2,20)),1000000000)+ROW()/10000000,"")</f>
        <v/>
      </c>
    </row>
    <row r="2430" customFormat="false" ht="15" hidden="false" customHeight="false" outlineLevel="0" collapsed="false">
      <c r="F2430" s="15"/>
      <c r="N2430" s="16" t="str">
        <f aca="false">IF($D2430="","",M2430*Y2430/100)</f>
        <v/>
      </c>
      <c r="V2430" s="16" t="str">
        <f aca="false">IF($D2430="","",Y2430*AB2430/100)</f>
        <v/>
      </c>
      <c r="W2430" s="16" t="str">
        <f aca="false">IF($D2430="","",Y2430-V2430)</f>
        <v/>
      </c>
      <c r="X2430" s="16" t="str">
        <f aca="false">IF($D2430="","",W2430-N2430)</f>
        <v/>
      </c>
      <c r="AB2430" s="17" t="str">
        <f aca="false">IF($D2430="","",IF(OR($R2430=TRUE(),$R2430="TRUE"),Settings!$C$6,Settings!$C$7)*100)</f>
        <v/>
      </c>
      <c r="AH2430" s="18" t="str">
        <f aca="false">IF($D2430="","",IF(COUNTIF($D$2:$D2430,$D2430)=1,1,0))</f>
        <v/>
      </c>
      <c r="AI2430" s="18" t="str">
        <f aca="false">IF($AH2430=1,SUMPRODUCT(--($AK$2:$AK$4001&lt;$AK2430))+1,"")</f>
        <v/>
      </c>
      <c r="AJ2430" s="18" t="str">
        <f aca="false">IF($D2430="","",IF(OR($R2430=TRUE(),$R2430="TRUE"),1,0))</f>
        <v/>
      </c>
      <c r="AK2430" s="18" t="str">
        <f aca="false">IF($AH2430=1,IFERROR(VALUE(MID($D2430,2,20)),1000000000)+ROW()/10000000,"")</f>
        <v/>
      </c>
    </row>
    <row r="2431" customFormat="false" ht="15" hidden="false" customHeight="false" outlineLevel="0" collapsed="false">
      <c r="F2431" s="15"/>
      <c r="N2431" s="16" t="str">
        <f aca="false">IF($D2431="","",M2431*Y2431/100)</f>
        <v/>
      </c>
      <c r="V2431" s="16" t="str">
        <f aca="false">IF($D2431="","",Y2431*AB2431/100)</f>
        <v/>
      </c>
      <c r="W2431" s="16" t="str">
        <f aca="false">IF($D2431="","",Y2431-V2431)</f>
        <v/>
      </c>
      <c r="X2431" s="16" t="str">
        <f aca="false">IF($D2431="","",W2431-N2431)</f>
        <v/>
      </c>
      <c r="AB2431" s="17" t="str">
        <f aca="false">IF($D2431="","",IF(OR($R2431=TRUE(),$R2431="TRUE"),Settings!$C$6,Settings!$C$7)*100)</f>
        <v/>
      </c>
      <c r="AH2431" s="18" t="str">
        <f aca="false">IF($D2431="","",IF(COUNTIF($D$2:$D2431,$D2431)=1,1,0))</f>
        <v/>
      </c>
      <c r="AI2431" s="18" t="str">
        <f aca="false">IF($AH2431=1,SUMPRODUCT(--($AK$2:$AK$4001&lt;$AK2431))+1,"")</f>
        <v/>
      </c>
      <c r="AJ2431" s="18" t="str">
        <f aca="false">IF($D2431="","",IF(OR($R2431=TRUE(),$R2431="TRUE"),1,0))</f>
        <v/>
      </c>
      <c r="AK2431" s="18" t="str">
        <f aca="false">IF($AH2431=1,IFERROR(VALUE(MID($D2431,2,20)),1000000000)+ROW()/10000000,"")</f>
        <v/>
      </c>
    </row>
    <row r="2432" customFormat="false" ht="15" hidden="false" customHeight="false" outlineLevel="0" collapsed="false">
      <c r="F2432" s="15"/>
      <c r="N2432" s="16" t="str">
        <f aca="false">IF($D2432="","",M2432*Y2432/100)</f>
        <v/>
      </c>
      <c r="V2432" s="16" t="str">
        <f aca="false">IF($D2432="","",Y2432*AB2432/100)</f>
        <v/>
      </c>
      <c r="W2432" s="16" t="str">
        <f aca="false">IF($D2432="","",Y2432-V2432)</f>
        <v/>
      </c>
      <c r="X2432" s="16" t="str">
        <f aca="false">IF($D2432="","",W2432-N2432)</f>
        <v/>
      </c>
      <c r="AB2432" s="17" t="str">
        <f aca="false">IF($D2432="","",IF(OR($R2432=TRUE(),$R2432="TRUE"),Settings!$C$6,Settings!$C$7)*100)</f>
        <v/>
      </c>
      <c r="AH2432" s="18" t="str">
        <f aca="false">IF($D2432="","",IF(COUNTIF($D$2:$D2432,$D2432)=1,1,0))</f>
        <v/>
      </c>
      <c r="AI2432" s="18" t="str">
        <f aca="false">IF($AH2432=1,SUMPRODUCT(--($AK$2:$AK$4001&lt;$AK2432))+1,"")</f>
        <v/>
      </c>
      <c r="AJ2432" s="18" t="str">
        <f aca="false">IF($D2432="","",IF(OR($R2432=TRUE(),$R2432="TRUE"),1,0))</f>
        <v/>
      </c>
      <c r="AK2432" s="18" t="str">
        <f aca="false">IF($AH2432=1,IFERROR(VALUE(MID($D2432,2,20)),1000000000)+ROW()/10000000,"")</f>
        <v/>
      </c>
    </row>
    <row r="2433" customFormat="false" ht="15" hidden="false" customHeight="false" outlineLevel="0" collapsed="false">
      <c r="F2433" s="15"/>
      <c r="N2433" s="16" t="str">
        <f aca="false">IF($D2433="","",M2433*Y2433/100)</f>
        <v/>
      </c>
      <c r="V2433" s="16" t="str">
        <f aca="false">IF($D2433="","",Y2433*AB2433/100)</f>
        <v/>
      </c>
      <c r="W2433" s="16" t="str">
        <f aca="false">IF($D2433="","",Y2433-V2433)</f>
        <v/>
      </c>
      <c r="X2433" s="16" t="str">
        <f aca="false">IF($D2433="","",W2433-N2433)</f>
        <v/>
      </c>
      <c r="AB2433" s="17" t="str">
        <f aca="false">IF($D2433="","",IF(OR($R2433=TRUE(),$R2433="TRUE"),Settings!$C$6,Settings!$C$7)*100)</f>
        <v/>
      </c>
      <c r="AH2433" s="18" t="str">
        <f aca="false">IF($D2433="","",IF(COUNTIF($D$2:$D2433,$D2433)=1,1,0))</f>
        <v/>
      </c>
      <c r="AI2433" s="18" t="str">
        <f aca="false">IF($AH2433=1,SUMPRODUCT(--($AK$2:$AK$4001&lt;$AK2433))+1,"")</f>
        <v/>
      </c>
      <c r="AJ2433" s="18" t="str">
        <f aca="false">IF($D2433="","",IF(OR($R2433=TRUE(),$R2433="TRUE"),1,0))</f>
        <v/>
      </c>
      <c r="AK2433" s="18" t="str">
        <f aca="false">IF($AH2433=1,IFERROR(VALUE(MID($D2433,2,20)),1000000000)+ROW()/10000000,"")</f>
        <v/>
      </c>
    </row>
    <row r="2434" customFormat="false" ht="15" hidden="false" customHeight="false" outlineLevel="0" collapsed="false">
      <c r="F2434" s="15"/>
      <c r="N2434" s="16" t="str">
        <f aca="false">IF($D2434="","",M2434*Y2434/100)</f>
        <v/>
      </c>
      <c r="V2434" s="16" t="str">
        <f aca="false">IF($D2434="","",Y2434*AB2434/100)</f>
        <v/>
      </c>
      <c r="W2434" s="16" t="str">
        <f aca="false">IF($D2434="","",Y2434-V2434)</f>
        <v/>
      </c>
      <c r="X2434" s="16" t="str">
        <f aca="false">IF($D2434="","",W2434-N2434)</f>
        <v/>
      </c>
      <c r="AB2434" s="17" t="str">
        <f aca="false">IF($D2434="","",IF(OR($R2434=TRUE(),$R2434="TRUE"),Settings!$C$6,Settings!$C$7)*100)</f>
        <v/>
      </c>
      <c r="AH2434" s="18" t="str">
        <f aca="false">IF($D2434="","",IF(COUNTIF($D$2:$D2434,$D2434)=1,1,0))</f>
        <v/>
      </c>
      <c r="AI2434" s="18" t="str">
        <f aca="false">IF($AH2434=1,SUMPRODUCT(--($AK$2:$AK$4001&lt;$AK2434))+1,"")</f>
        <v/>
      </c>
      <c r="AJ2434" s="18" t="str">
        <f aca="false">IF($D2434="","",IF(OR($R2434=TRUE(),$R2434="TRUE"),1,0))</f>
        <v/>
      </c>
      <c r="AK2434" s="18" t="str">
        <f aca="false">IF($AH2434=1,IFERROR(VALUE(MID($D2434,2,20)),1000000000)+ROW()/10000000,"")</f>
        <v/>
      </c>
    </row>
    <row r="2435" customFormat="false" ht="15" hidden="false" customHeight="false" outlineLevel="0" collapsed="false">
      <c r="F2435" s="15"/>
      <c r="N2435" s="16" t="str">
        <f aca="false">IF($D2435="","",M2435*Y2435/100)</f>
        <v/>
      </c>
      <c r="V2435" s="16" t="str">
        <f aca="false">IF($D2435="","",Y2435*AB2435/100)</f>
        <v/>
      </c>
      <c r="W2435" s="16" t="str">
        <f aca="false">IF($D2435="","",Y2435-V2435)</f>
        <v/>
      </c>
      <c r="X2435" s="16" t="str">
        <f aca="false">IF($D2435="","",W2435-N2435)</f>
        <v/>
      </c>
      <c r="AB2435" s="17" t="str">
        <f aca="false">IF($D2435="","",IF(OR($R2435=TRUE(),$R2435="TRUE"),Settings!$C$6,Settings!$C$7)*100)</f>
        <v/>
      </c>
      <c r="AH2435" s="18" t="str">
        <f aca="false">IF($D2435="","",IF(COUNTIF($D$2:$D2435,$D2435)=1,1,0))</f>
        <v/>
      </c>
      <c r="AI2435" s="18" t="str">
        <f aca="false">IF($AH2435=1,SUMPRODUCT(--($AK$2:$AK$4001&lt;$AK2435))+1,"")</f>
        <v/>
      </c>
      <c r="AJ2435" s="18" t="str">
        <f aca="false">IF($D2435="","",IF(OR($R2435=TRUE(),$R2435="TRUE"),1,0))</f>
        <v/>
      </c>
      <c r="AK2435" s="18" t="str">
        <f aca="false">IF($AH2435=1,IFERROR(VALUE(MID($D2435,2,20)),1000000000)+ROW()/10000000,"")</f>
        <v/>
      </c>
    </row>
    <row r="2436" customFormat="false" ht="15" hidden="false" customHeight="false" outlineLevel="0" collapsed="false">
      <c r="F2436" s="15"/>
      <c r="N2436" s="16" t="str">
        <f aca="false">IF($D2436="","",M2436*Y2436/100)</f>
        <v/>
      </c>
      <c r="V2436" s="16" t="str">
        <f aca="false">IF($D2436="","",Y2436*AB2436/100)</f>
        <v/>
      </c>
      <c r="W2436" s="16" t="str">
        <f aca="false">IF($D2436="","",Y2436-V2436)</f>
        <v/>
      </c>
      <c r="X2436" s="16" t="str">
        <f aca="false">IF($D2436="","",W2436-N2436)</f>
        <v/>
      </c>
      <c r="AB2436" s="17" t="str">
        <f aca="false">IF($D2436="","",IF(OR($R2436=TRUE(),$R2436="TRUE"),Settings!$C$6,Settings!$C$7)*100)</f>
        <v/>
      </c>
      <c r="AH2436" s="18" t="str">
        <f aca="false">IF($D2436="","",IF(COUNTIF($D$2:$D2436,$D2436)=1,1,0))</f>
        <v/>
      </c>
      <c r="AI2436" s="18" t="str">
        <f aca="false">IF($AH2436=1,SUMPRODUCT(--($AK$2:$AK$4001&lt;$AK2436))+1,"")</f>
        <v/>
      </c>
      <c r="AJ2436" s="18" t="str">
        <f aca="false">IF($D2436="","",IF(OR($R2436=TRUE(),$R2436="TRUE"),1,0))</f>
        <v/>
      </c>
      <c r="AK2436" s="18" t="str">
        <f aca="false">IF($AH2436=1,IFERROR(VALUE(MID($D2436,2,20)),1000000000)+ROW()/10000000,"")</f>
        <v/>
      </c>
    </row>
    <row r="2437" customFormat="false" ht="15" hidden="false" customHeight="false" outlineLevel="0" collapsed="false">
      <c r="F2437" s="15"/>
      <c r="N2437" s="16" t="str">
        <f aca="false">IF($D2437="","",M2437*Y2437/100)</f>
        <v/>
      </c>
      <c r="V2437" s="16" t="str">
        <f aca="false">IF($D2437="","",Y2437*AB2437/100)</f>
        <v/>
      </c>
      <c r="W2437" s="16" t="str">
        <f aca="false">IF($D2437="","",Y2437-V2437)</f>
        <v/>
      </c>
      <c r="X2437" s="16" t="str">
        <f aca="false">IF($D2437="","",W2437-N2437)</f>
        <v/>
      </c>
      <c r="AB2437" s="17" t="str">
        <f aca="false">IF($D2437="","",IF(OR($R2437=TRUE(),$R2437="TRUE"),Settings!$C$6,Settings!$C$7)*100)</f>
        <v/>
      </c>
      <c r="AH2437" s="18" t="str">
        <f aca="false">IF($D2437="","",IF(COUNTIF($D$2:$D2437,$D2437)=1,1,0))</f>
        <v/>
      </c>
      <c r="AI2437" s="18" t="str">
        <f aca="false">IF($AH2437=1,SUMPRODUCT(--($AK$2:$AK$4001&lt;$AK2437))+1,"")</f>
        <v/>
      </c>
      <c r="AJ2437" s="18" t="str">
        <f aca="false">IF($D2437="","",IF(OR($R2437=TRUE(),$R2437="TRUE"),1,0))</f>
        <v/>
      </c>
      <c r="AK2437" s="18" t="str">
        <f aca="false">IF($AH2437=1,IFERROR(VALUE(MID($D2437,2,20)),1000000000)+ROW()/10000000,"")</f>
        <v/>
      </c>
    </row>
    <row r="2438" customFormat="false" ht="15" hidden="false" customHeight="false" outlineLevel="0" collapsed="false">
      <c r="F2438" s="15"/>
      <c r="N2438" s="16" t="str">
        <f aca="false">IF($D2438="","",M2438*Y2438/100)</f>
        <v/>
      </c>
      <c r="V2438" s="16" t="str">
        <f aca="false">IF($D2438="","",Y2438*AB2438/100)</f>
        <v/>
      </c>
      <c r="W2438" s="16" t="str">
        <f aca="false">IF($D2438="","",Y2438-V2438)</f>
        <v/>
      </c>
      <c r="X2438" s="16" t="str">
        <f aca="false">IF($D2438="","",W2438-N2438)</f>
        <v/>
      </c>
      <c r="AB2438" s="17" t="str">
        <f aca="false">IF($D2438="","",IF(OR($R2438=TRUE(),$R2438="TRUE"),Settings!$C$6,Settings!$C$7)*100)</f>
        <v/>
      </c>
      <c r="AH2438" s="18" t="str">
        <f aca="false">IF($D2438="","",IF(COUNTIF($D$2:$D2438,$D2438)=1,1,0))</f>
        <v/>
      </c>
      <c r="AI2438" s="18" t="str">
        <f aca="false">IF($AH2438=1,SUMPRODUCT(--($AK$2:$AK$4001&lt;$AK2438))+1,"")</f>
        <v/>
      </c>
      <c r="AJ2438" s="18" t="str">
        <f aca="false">IF($D2438="","",IF(OR($R2438=TRUE(),$R2438="TRUE"),1,0))</f>
        <v/>
      </c>
      <c r="AK2438" s="18" t="str">
        <f aca="false">IF($AH2438=1,IFERROR(VALUE(MID($D2438,2,20)),1000000000)+ROW()/10000000,"")</f>
        <v/>
      </c>
    </row>
    <row r="2439" customFormat="false" ht="15" hidden="false" customHeight="false" outlineLevel="0" collapsed="false">
      <c r="F2439" s="15"/>
      <c r="N2439" s="16" t="str">
        <f aca="false">IF($D2439="","",M2439*Y2439/100)</f>
        <v/>
      </c>
      <c r="V2439" s="16" t="str">
        <f aca="false">IF($D2439="","",Y2439*AB2439/100)</f>
        <v/>
      </c>
      <c r="W2439" s="16" t="str">
        <f aca="false">IF($D2439="","",Y2439-V2439)</f>
        <v/>
      </c>
      <c r="X2439" s="16" t="str">
        <f aca="false">IF($D2439="","",W2439-N2439)</f>
        <v/>
      </c>
      <c r="AB2439" s="17" t="str">
        <f aca="false">IF($D2439="","",IF(OR($R2439=TRUE(),$R2439="TRUE"),Settings!$C$6,Settings!$C$7)*100)</f>
        <v/>
      </c>
      <c r="AH2439" s="18" t="str">
        <f aca="false">IF($D2439="","",IF(COUNTIF($D$2:$D2439,$D2439)=1,1,0))</f>
        <v/>
      </c>
      <c r="AI2439" s="18" t="str">
        <f aca="false">IF($AH2439=1,SUMPRODUCT(--($AK$2:$AK$4001&lt;$AK2439))+1,"")</f>
        <v/>
      </c>
      <c r="AJ2439" s="18" t="str">
        <f aca="false">IF($D2439="","",IF(OR($R2439=TRUE(),$R2439="TRUE"),1,0))</f>
        <v/>
      </c>
      <c r="AK2439" s="18" t="str">
        <f aca="false">IF($AH2439=1,IFERROR(VALUE(MID($D2439,2,20)),1000000000)+ROW()/10000000,"")</f>
        <v/>
      </c>
    </row>
    <row r="2440" customFormat="false" ht="15" hidden="false" customHeight="false" outlineLevel="0" collapsed="false">
      <c r="F2440" s="15"/>
      <c r="N2440" s="16" t="str">
        <f aca="false">IF($D2440="","",M2440*Y2440/100)</f>
        <v/>
      </c>
      <c r="V2440" s="16" t="str">
        <f aca="false">IF($D2440="","",Y2440*AB2440/100)</f>
        <v/>
      </c>
      <c r="W2440" s="16" t="str">
        <f aca="false">IF($D2440="","",Y2440-V2440)</f>
        <v/>
      </c>
      <c r="X2440" s="16" t="str">
        <f aca="false">IF($D2440="","",W2440-N2440)</f>
        <v/>
      </c>
      <c r="AB2440" s="17" t="str">
        <f aca="false">IF($D2440="","",IF(OR($R2440=TRUE(),$R2440="TRUE"),Settings!$C$6,Settings!$C$7)*100)</f>
        <v/>
      </c>
      <c r="AH2440" s="18" t="str">
        <f aca="false">IF($D2440="","",IF(COUNTIF($D$2:$D2440,$D2440)=1,1,0))</f>
        <v/>
      </c>
      <c r="AI2440" s="18" t="str">
        <f aca="false">IF($AH2440=1,SUMPRODUCT(--($AK$2:$AK$4001&lt;$AK2440))+1,"")</f>
        <v/>
      </c>
      <c r="AJ2440" s="18" t="str">
        <f aca="false">IF($D2440="","",IF(OR($R2440=TRUE(),$R2440="TRUE"),1,0))</f>
        <v/>
      </c>
      <c r="AK2440" s="18" t="str">
        <f aca="false">IF($AH2440=1,IFERROR(VALUE(MID($D2440,2,20)),1000000000)+ROW()/10000000,"")</f>
        <v/>
      </c>
    </row>
    <row r="2441" customFormat="false" ht="15" hidden="false" customHeight="false" outlineLevel="0" collapsed="false">
      <c r="F2441" s="15"/>
      <c r="N2441" s="16" t="str">
        <f aca="false">IF($D2441="","",M2441*Y2441/100)</f>
        <v/>
      </c>
      <c r="V2441" s="16" t="str">
        <f aca="false">IF($D2441="","",Y2441*AB2441/100)</f>
        <v/>
      </c>
      <c r="W2441" s="16" t="str">
        <f aca="false">IF($D2441="","",Y2441-V2441)</f>
        <v/>
      </c>
      <c r="X2441" s="16" t="str">
        <f aca="false">IF($D2441="","",W2441-N2441)</f>
        <v/>
      </c>
      <c r="AB2441" s="17" t="str">
        <f aca="false">IF($D2441="","",IF(OR($R2441=TRUE(),$R2441="TRUE"),Settings!$C$6,Settings!$C$7)*100)</f>
        <v/>
      </c>
      <c r="AH2441" s="18" t="str">
        <f aca="false">IF($D2441="","",IF(COUNTIF($D$2:$D2441,$D2441)=1,1,0))</f>
        <v/>
      </c>
      <c r="AI2441" s="18" t="str">
        <f aca="false">IF($AH2441=1,SUMPRODUCT(--($AK$2:$AK$4001&lt;$AK2441))+1,"")</f>
        <v/>
      </c>
      <c r="AJ2441" s="18" t="str">
        <f aca="false">IF($D2441="","",IF(OR($R2441=TRUE(),$R2441="TRUE"),1,0))</f>
        <v/>
      </c>
      <c r="AK2441" s="18" t="str">
        <f aca="false">IF($AH2441=1,IFERROR(VALUE(MID($D2441,2,20)),1000000000)+ROW()/10000000,"")</f>
        <v/>
      </c>
    </row>
    <row r="2442" customFormat="false" ht="15" hidden="false" customHeight="false" outlineLevel="0" collapsed="false">
      <c r="F2442" s="15"/>
      <c r="N2442" s="16" t="str">
        <f aca="false">IF($D2442="","",M2442*Y2442/100)</f>
        <v/>
      </c>
      <c r="V2442" s="16" t="str">
        <f aca="false">IF($D2442="","",Y2442*AB2442/100)</f>
        <v/>
      </c>
      <c r="W2442" s="16" t="str">
        <f aca="false">IF($D2442="","",Y2442-V2442)</f>
        <v/>
      </c>
      <c r="X2442" s="16" t="str">
        <f aca="false">IF($D2442="","",W2442-N2442)</f>
        <v/>
      </c>
      <c r="AB2442" s="17" t="str">
        <f aca="false">IF($D2442="","",IF(OR($R2442=TRUE(),$R2442="TRUE"),Settings!$C$6,Settings!$C$7)*100)</f>
        <v/>
      </c>
      <c r="AH2442" s="18" t="str">
        <f aca="false">IF($D2442="","",IF(COUNTIF($D$2:$D2442,$D2442)=1,1,0))</f>
        <v/>
      </c>
      <c r="AI2442" s="18" t="str">
        <f aca="false">IF($AH2442=1,SUMPRODUCT(--($AK$2:$AK$4001&lt;$AK2442))+1,"")</f>
        <v/>
      </c>
      <c r="AJ2442" s="18" t="str">
        <f aca="false">IF($D2442="","",IF(OR($R2442=TRUE(),$R2442="TRUE"),1,0))</f>
        <v/>
      </c>
      <c r="AK2442" s="18" t="str">
        <f aca="false">IF($AH2442=1,IFERROR(VALUE(MID($D2442,2,20)),1000000000)+ROW()/10000000,"")</f>
        <v/>
      </c>
    </row>
    <row r="2443" customFormat="false" ht="15" hidden="false" customHeight="false" outlineLevel="0" collapsed="false">
      <c r="F2443" s="15"/>
      <c r="N2443" s="16" t="str">
        <f aca="false">IF($D2443="","",M2443*Y2443/100)</f>
        <v/>
      </c>
      <c r="V2443" s="16" t="str">
        <f aca="false">IF($D2443="","",Y2443*AB2443/100)</f>
        <v/>
      </c>
      <c r="W2443" s="16" t="str">
        <f aca="false">IF($D2443="","",Y2443-V2443)</f>
        <v/>
      </c>
      <c r="X2443" s="16" t="str">
        <f aca="false">IF($D2443="","",W2443-N2443)</f>
        <v/>
      </c>
      <c r="AB2443" s="17" t="str">
        <f aca="false">IF($D2443="","",IF(OR($R2443=TRUE(),$R2443="TRUE"),Settings!$C$6,Settings!$C$7)*100)</f>
        <v/>
      </c>
      <c r="AH2443" s="18" t="str">
        <f aca="false">IF($D2443="","",IF(COUNTIF($D$2:$D2443,$D2443)=1,1,0))</f>
        <v/>
      </c>
      <c r="AI2443" s="18" t="str">
        <f aca="false">IF($AH2443=1,SUMPRODUCT(--($AK$2:$AK$4001&lt;$AK2443))+1,"")</f>
        <v/>
      </c>
      <c r="AJ2443" s="18" t="str">
        <f aca="false">IF($D2443="","",IF(OR($R2443=TRUE(),$R2443="TRUE"),1,0))</f>
        <v/>
      </c>
      <c r="AK2443" s="18" t="str">
        <f aca="false">IF($AH2443=1,IFERROR(VALUE(MID($D2443,2,20)),1000000000)+ROW()/10000000,"")</f>
        <v/>
      </c>
    </row>
    <row r="2444" customFormat="false" ht="15" hidden="false" customHeight="false" outlineLevel="0" collapsed="false">
      <c r="F2444" s="15"/>
      <c r="N2444" s="16" t="str">
        <f aca="false">IF($D2444="","",M2444*Y2444/100)</f>
        <v/>
      </c>
      <c r="V2444" s="16" t="str">
        <f aca="false">IF($D2444="","",Y2444*AB2444/100)</f>
        <v/>
      </c>
      <c r="W2444" s="16" t="str">
        <f aca="false">IF($D2444="","",Y2444-V2444)</f>
        <v/>
      </c>
      <c r="X2444" s="16" t="str">
        <f aca="false">IF($D2444="","",W2444-N2444)</f>
        <v/>
      </c>
      <c r="AB2444" s="17" t="str">
        <f aca="false">IF($D2444="","",IF(OR($R2444=TRUE(),$R2444="TRUE"),Settings!$C$6,Settings!$C$7)*100)</f>
        <v/>
      </c>
      <c r="AH2444" s="18" t="str">
        <f aca="false">IF($D2444="","",IF(COUNTIF($D$2:$D2444,$D2444)=1,1,0))</f>
        <v/>
      </c>
      <c r="AI2444" s="18" t="str">
        <f aca="false">IF($AH2444=1,SUMPRODUCT(--($AK$2:$AK$4001&lt;$AK2444))+1,"")</f>
        <v/>
      </c>
      <c r="AJ2444" s="18" t="str">
        <f aca="false">IF($D2444="","",IF(OR($R2444=TRUE(),$R2444="TRUE"),1,0))</f>
        <v/>
      </c>
      <c r="AK2444" s="18" t="str">
        <f aca="false">IF($AH2444=1,IFERROR(VALUE(MID($D2444,2,20)),1000000000)+ROW()/10000000,"")</f>
        <v/>
      </c>
    </row>
    <row r="2445" customFormat="false" ht="15" hidden="false" customHeight="false" outlineLevel="0" collapsed="false">
      <c r="F2445" s="15"/>
      <c r="N2445" s="16" t="str">
        <f aca="false">IF($D2445="","",M2445*Y2445/100)</f>
        <v/>
      </c>
      <c r="V2445" s="16" t="str">
        <f aca="false">IF($D2445="","",Y2445*AB2445/100)</f>
        <v/>
      </c>
      <c r="W2445" s="16" t="str">
        <f aca="false">IF($D2445="","",Y2445-V2445)</f>
        <v/>
      </c>
      <c r="X2445" s="16" t="str">
        <f aca="false">IF($D2445="","",W2445-N2445)</f>
        <v/>
      </c>
      <c r="AB2445" s="17" t="str">
        <f aca="false">IF($D2445="","",IF(OR($R2445=TRUE(),$R2445="TRUE"),Settings!$C$6,Settings!$C$7)*100)</f>
        <v/>
      </c>
      <c r="AH2445" s="18" t="str">
        <f aca="false">IF($D2445="","",IF(COUNTIF($D$2:$D2445,$D2445)=1,1,0))</f>
        <v/>
      </c>
      <c r="AI2445" s="18" t="str">
        <f aca="false">IF($AH2445=1,SUMPRODUCT(--($AK$2:$AK$4001&lt;$AK2445))+1,"")</f>
        <v/>
      </c>
      <c r="AJ2445" s="18" t="str">
        <f aca="false">IF($D2445="","",IF(OR($R2445=TRUE(),$R2445="TRUE"),1,0))</f>
        <v/>
      </c>
      <c r="AK2445" s="18" t="str">
        <f aca="false">IF($AH2445=1,IFERROR(VALUE(MID($D2445,2,20)),1000000000)+ROW()/10000000,"")</f>
        <v/>
      </c>
    </row>
    <row r="2446" customFormat="false" ht="15" hidden="false" customHeight="false" outlineLevel="0" collapsed="false">
      <c r="F2446" s="15"/>
      <c r="N2446" s="16" t="str">
        <f aca="false">IF($D2446="","",M2446*Y2446/100)</f>
        <v/>
      </c>
      <c r="V2446" s="16" t="str">
        <f aca="false">IF($D2446="","",Y2446*AB2446/100)</f>
        <v/>
      </c>
      <c r="W2446" s="16" t="str">
        <f aca="false">IF($D2446="","",Y2446-V2446)</f>
        <v/>
      </c>
      <c r="X2446" s="16" t="str">
        <f aca="false">IF($D2446="","",W2446-N2446)</f>
        <v/>
      </c>
      <c r="AB2446" s="17" t="str">
        <f aca="false">IF($D2446="","",IF(OR($R2446=TRUE(),$R2446="TRUE"),Settings!$C$6,Settings!$C$7)*100)</f>
        <v/>
      </c>
      <c r="AH2446" s="18" t="str">
        <f aca="false">IF($D2446="","",IF(COUNTIF($D$2:$D2446,$D2446)=1,1,0))</f>
        <v/>
      </c>
      <c r="AI2446" s="18" t="str">
        <f aca="false">IF($AH2446=1,SUMPRODUCT(--($AK$2:$AK$4001&lt;$AK2446))+1,"")</f>
        <v/>
      </c>
      <c r="AJ2446" s="18" t="str">
        <f aca="false">IF($D2446="","",IF(OR($R2446=TRUE(),$R2446="TRUE"),1,0))</f>
        <v/>
      </c>
      <c r="AK2446" s="18" t="str">
        <f aca="false">IF($AH2446=1,IFERROR(VALUE(MID($D2446,2,20)),1000000000)+ROW()/10000000,"")</f>
        <v/>
      </c>
    </row>
    <row r="2447" customFormat="false" ht="15" hidden="false" customHeight="false" outlineLevel="0" collapsed="false">
      <c r="F2447" s="15"/>
      <c r="N2447" s="16" t="str">
        <f aca="false">IF($D2447="","",M2447*Y2447/100)</f>
        <v/>
      </c>
      <c r="V2447" s="16" t="str">
        <f aca="false">IF($D2447="","",Y2447*AB2447/100)</f>
        <v/>
      </c>
      <c r="W2447" s="16" t="str">
        <f aca="false">IF($D2447="","",Y2447-V2447)</f>
        <v/>
      </c>
      <c r="X2447" s="16" t="str">
        <f aca="false">IF($D2447="","",W2447-N2447)</f>
        <v/>
      </c>
      <c r="AB2447" s="17" t="str">
        <f aca="false">IF($D2447="","",IF(OR($R2447=TRUE(),$R2447="TRUE"),Settings!$C$6,Settings!$C$7)*100)</f>
        <v/>
      </c>
      <c r="AH2447" s="18" t="str">
        <f aca="false">IF($D2447="","",IF(COUNTIF($D$2:$D2447,$D2447)=1,1,0))</f>
        <v/>
      </c>
      <c r="AI2447" s="18" t="str">
        <f aca="false">IF($AH2447=1,SUMPRODUCT(--($AK$2:$AK$4001&lt;$AK2447))+1,"")</f>
        <v/>
      </c>
      <c r="AJ2447" s="18" t="str">
        <f aca="false">IF($D2447="","",IF(OR($R2447=TRUE(),$R2447="TRUE"),1,0))</f>
        <v/>
      </c>
      <c r="AK2447" s="18" t="str">
        <f aca="false">IF($AH2447=1,IFERROR(VALUE(MID($D2447,2,20)),1000000000)+ROW()/10000000,"")</f>
        <v/>
      </c>
    </row>
    <row r="2448" customFormat="false" ht="15" hidden="false" customHeight="false" outlineLevel="0" collapsed="false">
      <c r="F2448" s="15"/>
      <c r="N2448" s="16" t="str">
        <f aca="false">IF($D2448="","",M2448*Y2448/100)</f>
        <v/>
      </c>
      <c r="V2448" s="16" t="str">
        <f aca="false">IF($D2448="","",Y2448*AB2448/100)</f>
        <v/>
      </c>
      <c r="W2448" s="16" t="str">
        <f aca="false">IF($D2448="","",Y2448-V2448)</f>
        <v/>
      </c>
      <c r="X2448" s="16" t="str">
        <f aca="false">IF($D2448="","",W2448-N2448)</f>
        <v/>
      </c>
      <c r="AB2448" s="17" t="str">
        <f aca="false">IF($D2448="","",IF(OR($R2448=TRUE(),$R2448="TRUE"),Settings!$C$6,Settings!$C$7)*100)</f>
        <v/>
      </c>
      <c r="AH2448" s="18" t="str">
        <f aca="false">IF($D2448="","",IF(COUNTIF($D$2:$D2448,$D2448)=1,1,0))</f>
        <v/>
      </c>
      <c r="AI2448" s="18" t="str">
        <f aca="false">IF($AH2448=1,SUMPRODUCT(--($AK$2:$AK$4001&lt;$AK2448))+1,"")</f>
        <v/>
      </c>
      <c r="AJ2448" s="18" t="str">
        <f aca="false">IF($D2448="","",IF(OR($R2448=TRUE(),$R2448="TRUE"),1,0))</f>
        <v/>
      </c>
      <c r="AK2448" s="18" t="str">
        <f aca="false">IF($AH2448=1,IFERROR(VALUE(MID($D2448,2,20)),1000000000)+ROW()/10000000,"")</f>
        <v/>
      </c>
    </row>
    <row r="2449" customFormat="false" ht="15" hidden="false" customHeight="false" outlineLevel="0" collapsed="false">
      <c r="F2449" s="15"/>
      <c r="N2449" s="16" t="str">
        <f aca="false">IF($D2449="","",M2449*Y2449/100)</f>
        <v/>
      </c>
      <c r="V2449" s="16" t="str">
        <f aca="false">IF($D2449="","",Y2449*AB2449/100)</f>
        <v/>
      </c>
      <c r="W2449" s="16" t="str">
        <f aca="false">IF($D2449="","",Y2449-V2449)</f>
        <v/>
      </c>
      <c r="X2449" s="16" t="str">
        <f aca="false">IF($D2449="","",W2449-N2449)</f>
        <v/>
      </c>
      <c r="AB2449" s="17" t="str">
        <f aca="false">IF($D2449="","",IF(OR($R2449=TRUE(),$R2449="TRUE"),Settings!$C$6,Settings!$C$7)*100)</f>
        <v/>
      </c>
      <c r="AH2449" s="18" t="str">
        <f aca="false">IF($D2449="","",IF(COUNTIF($D$2:$D2449,$D2449)=1,1,0))</f>
        <v/>
      </c>
      <c r="AI2449" s="18" t="str">
        <f aca="false">IF($AH2449=1,SUMPRODUCT(--($AK$2:$AK$4001&lt;$AK2449))+1,"")</f>
        <v/>
      </c>
      <c r="AJ2449" s="18" t="str">
        <f aca="false">IF($D2449="","",IF(OR($R2449=TRUE(),$R2449="TRUE"),1,0))</f>
        <v/>
      </c>
      <c r="AK2449" s="18" t="str">
        <f aca="false">IF($AH2449=1,IFERROR(VALUE(MID($D2449,2,20)),1000000000)+ROW()/10000000,"")</f>
        <v/>
      </c>
    </row>
    <row r="2450" customFormat="false" ht="15" hidden="false" customHeight="false" outlineLevel="0" collapsed="false">
      <c r="F2450" s="15"/>
      <c r="N2450" s="16" t="str">
        <f aca="false">IF($D2450="","",M2450*Y2450/100)</f>
        <v/>
      </c>
      <c r="V2450" s="16" t="str">
        <f aca="false">IF($D2450="","",Y2450*AB2450/100)</f>
        <v/>
      </c>
      <c r="W2450" s="16" t="str">
        <f aca="false">IF($D2450="","",Y2450-V2450)</f>
        <v/>
      </c>
      <c r="X2450" s="16" t="str">
        <f aca="false">IF($D2450="","",W2450-N2450)</f>
        <v/>
      </c>
      <c r="AB2450" s="17" t="str">
        <f aca="false">IF($D2450="","",IF(OR($R2450=TRUE(),$R2450="TRUE"),Settings!$C$6,Settings!$C$7)*100)</f>
        <v/>
      </c>
      <c r="AH2450" s="18" t="str">
        <f aca="false">IF($D2450="","",IF(COUNTIF($D$2:$D2450,$D2450)=1,1,0))</f>
        <v/>
      </c>
      <c r="AI2450" s="18" t="str">
        <f aca="false">IF($AH2450=1,SUMPRODUCT(--($AK$2:$AK$4001&lt;$AK2450))+1,"")</f>
        <v/>
      </c>
      <c r="AJ2450" s="18" t="str">
        <f aca="false">IF($D2450="","",IF(OR($R2450=TRUE(),$R2450="TRUE"),1,0))</f>
        <v/>
      </c>
      <c r="AK2450" s="18" t="str">
        <f aca="false">IF($AH2450=1,IFERROR(VALUE(MID($D2450,2,20)),1000000000)+ROW()/10000000,"")</f>
        <v/>
      </c>
    </row>
    <row r="2451" customFormat="false" ht="15" hidden="false" customHeight="false" outlineLevel="0" collapsed="false">
      <c r="F2451" s="15"/>
      <c r="N2451" s="16" t="str">
        <f aca="false">IF($D2451="","",M2451*Y2451/100)</f>
        <v/>
      </c>
      <c r="V2451" s="16" t="str">
        <f aca="false">IF($D2451="","",Y2451*AB2451/100)</f>
        <v/>
      </c>
      <c r="W2451" s="16" t="str">
        <f aca="false">IF($D2451="","",Y2451-V2451)</f>
        <v/>
      </c>
      <c r="X2451" s="16" t="str">
        <f aca="false">IF($D2451="","",W2451-N2451)</f>
        <v/>
      </c>
      <c r="AB2451" s="17" t="str">
        <f aca="false">IF($D2451="","",IF(OR($R2451=TRUE(),$R2451="TRUE"),Settings!$C$6,Settings!$C$7)*100)</f>
        <v/>
      </c>
      <c r="AH2451" s="18" t="str">
        <f aca="false">IF($D2451="","",IF(COUNTIF($D$2:$D2451,$D2451)=1,1,0))</f>
        <v/>
      </c>
      <c r="AI2451" s="18" t="str">
        <f aca="false">IF($AH2451=1,SUMPRODUCT(--($AK$2:$AK$4001&lt;$AK2451))+1,"")</f>
        <v/>
      </c>
      <c r="AJ2451" s="18" t="str">
        <f aca="false">IF($D2451="","",IF(OR($R2451=TRUE(),$R2451="TRUE"),1,0))</f>
        <v/>
      </c>
      <c r="AK2451" s="18" t="str">
        <f aca="false">IF($AH2451=1,IFERROR(VALUE(MID($D2451,2,20)),1000000000)+ROW()/10000000,"")</f>
        <v/>
      </c>
    </row>
    <row r="2452" customFormat="false" ht="15" hidden="false" customHeight="false" outlineLevel="0" collapsed="false">
      <c r="F2452" s="15"/>
      <c r="N2452" s="16" t="str">
        <f aca="false">IF($D2452="","",M2452*Y2452/100)</f>
        <v/>
      </c>
      <c r="V2452" s="16" t="str">
        <f aca="false">IF($D2452="","",Y2452*AB2452/100)</f>
        <v/>
      </c>
      <c r="W2452" s="16" t="str">
        <f aca="false">IF($D2452="","",Y2452-V2452)</f>
        <v/>
      </c>
      <c r="X2452" s="16" t="str">
        <f aca="false">IF($D2452="","",W2452-N2452)</f>
        <v/>
      </c>
      <c r="AB2452" s="17" t="str">
        <f aca="false">IF($D2452="","",IF(OR($R2452=TRUE(),$R2452="TRUE"),Settings!$C$6,Settings!$C$7)*100)</f>
        <v/>
      </c>
      <c r="AH2452" s="18" t="str">
        <f aca="false">IF($D2452="","",IF(COUNTIF($D$2:$D2452,$D2452)=1,1,0))</f>
        <v/>
      </c>
      <c r="AI2452" s="18" t="str">
        <f aca="false">IF($AH2452=1,SUMPRODUCT(--($AK$2:$AK$4001&lt;$AK2452))+1,"")</f>
        <v/>
      </c>
      <c r="AJ2452" s="18" t="str">
        <f aca="false">IF($D2452="","",IF(OR($R2452=TRUE(),$R2452="TRUE"),1,0))</f>
        <v/>
      </c>
      <c r="AK2452" s="18" t="str">
        <f aca="false">IF($AH2452=1,IFERROR(VALUE(MID($D2452,2,20)),1000000000)+ROW()/10000000,"")</f>
        <v/>
      </c>
    </row>
    <row r="2453" customFormat="false" ht="15" hidden="false" customHeight="false" outlineLevel="0" collapsed="false">
      <c r="F2453" s="15"/>
      <c r="N2453" s="16" t="str">
        <f aca="false">IF($D2453="","",M2453*Y2453/100)</f>
        <v/>
      </c>
      <c r="V2453" s="16" t="str">
        <f aca="false">IF($D2453="","",Y2453*AB2453/100)</f>
        <v/>
      </c>
      <c r="W2453" s="16" t="str">
        <f aca="false">IF($D2453="","",Y2453-V2453)</f>
        <v/>
      </c>
      <c r="X2453" s="16" t="str">
        <f aca="false">IF($D2453="","",W2453-N2453)</f>
        <v/>
      </c>
      <c r="AB2453" s="17" t="str">
        <f aca="false">IF($D2453="","",IF(OR($R2453=TRUE(),$R2453="TRUE"),Settings!$C$6,Settings!$C$7)*100)</f>
        <v/>
      </c>
      <c r="AH2453" s="18" t="str">
        <f aca="false">IF($D2453="","",IF(COUNTIF($D$2:$D2453,$D2453)=1,1,0))</f>
        <v/>
      </c>
      <c r="AI2453" s="18" t="str">
        <f aca="false">IF($AH2453=1,SUMPRODUCT(--($AK$2:$AK$4001&lt;$AK2453))+1,"")</f>
        <v/>
      </c>
      <c r="AJ2453" s="18" t="str">
        <f aca="false">IF($D2453="","",IF(OR($R2453=TRUE(),$R2453="TRUE"),1,0))</f>
        <v/>
      </c>
      <c r="AK2453" s="18" t="str">
        <f aca="false">IF($AH2453=1,IFERROR(VALUE(MID($D2453,2,20)),1000000000)+ROW()/10000000,"")</f>
        <v/>
      </c>
    </row>
    <row r="2454" customFormat="false" ht="15" hidden="false" customHeight="false" outlineLevel="0" collapsed="false">
      <c r="F2454" s="15"/>
      <c r="N2454" s="16" t="str">
        <f aca="false">IF($D2454="","",M2454*Y2454/100)</f>
        <v/>
      </c>
      <c r="V2454" s="16" t="str">
        <f aca="false">IF($D2454="","",Y2454*AB2454/100)</f>
        <v/>
      </c>
      <c r="W2454" s="16" t="str">
        <f aca="false">IF($D2454="","",Y2454-V2454)</f>
        <v/>
      </c>
      <c r="X2454" s="16" t="str">
        <f aca="false">IF($D2454="","",W2454-N2454)</f>
        <v/>
      </c>
      <c r="AB2454" s="17" t="str">
        <f aca="false">IF($D2454="","",IF(OR($R2454=TRUE(),$R2454="TRUE"),Settings!$C$6,Settings!$C$7)*100)</f>
        <v/>
      </c>
      <c r="AH2454" s="18" t="str">
        <f aca="false">IF($D2454="","",IF(COUNTIF($D$2:$D2454,$D2454)=1,1,0))</f>
        <v/>
      </c>
      <c r="AI2454" s="18" t="str">
        <f aca="false">IF($AH2454=1,SUMPRODUCT(--($AK$2:$AK$4001&lt;$AK2454))+1,"")</f>
        <v/>
      </c>
      <c r="AJ2454" s="18" t="str">
        <f aca="false">IF($D2454="","",IF(OR($R2454=TRUE(),$R2454="TRUE"),1,0))</f>
        <v/>
      </c>
      <c r="AK2454" s="18" t="str">
        <f aca="false">IF($AH2454=1,IFERROR(VALUE(MID($D2454,2,20)),1000000000)+ROW()/10000000,"")</f>
        <v/>
      </c>
    </row>
    <row r="2455" customFormat="false" ht="15" hidden="false" customHeight="false" outlineLevel="0" collapsed="false">
      <c r="F2455" s="15"/>
      <c r="N2455" s="16" t="str">
        <f aca="false">IF($D2455="","",M2455*Y2455/100)</f>
        <v/>
      </c>
      <c r="V2455" s="16" t="str">
        <f aca="false">IF($D2455="","",Y2455*AB2455/100)</f>
        <v/>
      </c>
      <c r="W2455" s="16" t="str">
        <f aca="false">IF($D2455="","",Y2455-V2455)</f>
        <v/>
      </c>
      <c r="X2455" s="16" t="str">
        <f aca="false">IF($D2455="","",W2455-N2455)</f>
        <v/>
      </c>
      <c r="AB2455" s="17" t="str">
        <f aca="false">IF($D2455="","",IF(OR($R2455=TRUE(),$R2455="TRUE"),Settings!$C$6,Settings!$C$7)*100)</f>
        <v/>
      </c>
      <c r="AH2455" s="18" t="str">
        <f aca="false">IF($D2455="","",IF(COUNTIF($D$2:$D2455,$D2455)=1,1,0))</f>
        <v/>
      </c>
      <c r="AI2455" s="18" t="str">
        <f aca="false">IF($AH2455=1,SUMPRODUCT(--($AK$2:$AK$4001&lt;$AK2455))+1,"")</f>
        <v/>
      </c>
      <c r="AJ2455" s="18" t="str">
        <f aca="false">IF($D2455="","",IF(OR($R2455=TRUE(),$R2455="TRUE"),1,0))</f>
        <v/>
      </c>
      <c r="AK2455" s="18" t="str">
        <f aca="false">IF($AH2455=1,IFERROR(VALUE(MID($D2455,2,20)),1000000000)+ROW()/10000000,"")</f>
        <v/>
      </c>
    </row>
    <row r="2456" customFormat="false" ht="15" hidden="false" customHeight="false" outlineLevel="0" collapsed="false">
      <c r="F2456" s="15"/>
      <c r="N2456" s="16" t="str">
        <f aca="false">IF($D2456="","",M2456*Y2456/100)</f>
        <v/>
      </c>
      <c r="V2456" s="16" t="str">
        <f aca="false">IF($D2456="","",Y2456*AB2456/100)</f>
        <v/>
      </c>
      <c r="W2456" s="16" t="str">
        <f aca="false">IF($D2456="","",Y2456-V2456)</f>
        <v/>
      </c>
      <c r="X2456" s="16" t="str">
        <f aca="false">IF($D2456="","",W2456-N2456)</f>
        <v/>
      </c>
      <c r="AB2456" s="17" t="str">
        <f aca="false">IF($D2456="","",IF(OR($R2456=TRUE(),$R2456="TRUE"),Settings!$C$6,Settings!$C$7)*100)</f>
        <v/>
      </c>
      <c r="AH2456" s="18" t="str">
        <f aca="false">IF($D2456="","",IF(COUNTIF($D$2:$D2456,$D2456)=1,1,0))</f>
        <v/>
      </c>
      <c r="AI2456" s="18" t="str">
        <f aca="false">IF($AH2456=1,SUMPRODUCT(--($AK$2:$AK$4001&lt;$AK2456))+1,"")</f>
        <v/>
      </c>
      <c r="AJ2456" s="18" t="str">
        <f aca="false">IF($D2456="","",IF(OR($R2456=TRUE(),$R2456="TRUE"),1,0))</f>
        <v/>
      </c>
      <c r="AK2456" s="18" t="str">
        <f aca="false">IF($AH2456=1,IFERROR(VALUE(MID($D2456,2,20)),1000000000)+ROW()/10000000,"")</f>
        <v/>
      </c>
    </row>
    <row r="2457" customFormat="false" ht="15" hidden="false" customHeight="false" outlineLevel="0" collapsed="false">
      <c r="F2457" s="15"/>
      <c r="N2457" s="16" t="str">
        <f aca="false">IF($D2457="","",M2457*Y2457/100)</f>
        <v/>
      </c>
      <c r="V2457" s="16" t="str">
        <f aca="false">IF($D2457="","",Y2457*AB2457/100)</f>
        <v/>
      </c>
      <c r="W2457" s="16" t="str">
        <f aca="false">IF($D2457="","",Y2457-V2457)</f>
        <v/>
      </c>
      <c r="X2457" s="16" t="str">
        <f aca="false">IF($D2457="","",W2457-N2457)</f>
        <v/>
      </c>
      <c r="AB2457" s="17" t="str">
        <f aca="false">IF($D2457="","",IF(OR($R2457=TRUE(),$R2457="TRUE"),Settings!$C$6,Settings!$C$7)*100)</f>
        <v/>
      </c>
      <c r="AH2457" s="18" t="str">
        <f aca="false">IF($D2457="","",IF(COUNTIF($D$2:$D2457,$D2457)=1,1,0))</f>
        <v/>
      </c>
      <c r="AI2457" s="18" t="str">
        <f aca="false">IF($AH2457=1,SUMPRODUCT(--($AK$2:$AK$4001&lt;$AK2457))+1,"")</f>
        <v/>
      </c>
      <c r="AJ2457" s="18" t="str">
        <f aca="false">IF($D2457="","",IF(OR($R2457=TRUE(),$R2457="TRUE"),1,0))</f>
        <v/>
      </c>
      <c r="AK2457" s="18" t="str">
        <f aca="false">IF($AH2457=1,IFERROR(VALUE(MID($D2457,2,20)),1000000000)+ROW()/10000000,"")</f>
        <v/>
      </c>
    </row>
    <row r="2458" customFormat="false" ht="15" hidden="false" customHeight="false" outlineLevel="0" collapsed="false">
      <c r="F2458" s="15"/>
      <c r="N2458" s="16" t="str">
        <f aca="false">IF($D2458="","",M2458*Y2458/100)</f>
        <v/>
      </c>
      <c r="V2458" s="16" t="str">
        <f aca="false">IF($D2458="","",Y2458*AB2458/100)</f>
        <v/>
      </c>
      <c r="W2458" s="16" t="str">
        <f aca="false">IF($D2458="","",Y2458-V2458)</f>
        <v/>
      </c>
      <c r="X2458" s="16" t="str">
        <f aca="false">IF($D2458="","",W2458-N2458)</f>
        <v/>
      </c>
      <c r="AB2458" s="17" t="str">
        <f aca="false">IF($D2458="","",IF(OR($R2458=TRUE(),$R2458="TRUE"),Settings!$C$6,Settings!$C$7)*100)</f>
        <v/>
      </c>
      <c r="AH2458" s="18" t="str">
        <f aca="false">IF($D2458="","",IF(COUNTIF($D$2:$D2458,$D2458)=1,1,0))</f>
        <v/>
      </c>
      <c r="AI2458" s="18" t="str">
        <f aca="false">IF($AH2458=1,SUMPRODUCT(--($AK$2:$AK$4001&lt;$AK2458))+1,"")</f>
        <v/>
      </c>
      <c r="AJ2458" s="18" t="str">
        <f aca="false">IF($D2458="","",IF(OR($R2458=TRUE(),$R2458="TRUE"),1,0))</f>
        <v/>
      </c>
      <c r="AK2458" s="18" t="str">
        <f aca="false">IF($AH2458=1,IFERROR(VALUE(MID($D2458,2,20)),1000000000)+ROW()/10000000,"")</f>
        <v/>
      </c>
    </row>
    <row r="2459" customFormat="false" ht="15" hidden="false" customHeight="false" outlineLevel="0" collapsed="false">
      <c r="F2459" s="15"/>
      <c r="N2459" s="16" t="str">
        <f aca="false">IF($D2459="","",M2459*Y2459/100)</f>
        <v/>
      </c>
      <c r="V2459" s="16" t="str">
        <f aca="false">IF($D2459="","",Y2459*AB2459/100)</f>
        <v/>
      </c>
      <c r="W2459" s="16" t="str">
        <f aca="false">IF($D2459="","",Y2459-V2459)</f>
        <v/>
      </c>
      <c r="X2459" s="16" t="str">
        <f aca="false">IF($D2459="","",W2459-N2459)</f>
        <v/>
      </c>
      <c r="AB2459" s="17" t="str">
        <f aca="false">IF($D2459="","",IF(OR($R2459=TRUE(),$R2459="TRUE"),Settings!$C$6,Settings!$C$7)*100)</f>
        <v/>
      </c>
      <c r="AH2459" s="18" t="str">
        <f aca="false">IF($D2459="","",IF(COUNTIF($D$2:$D2459,$D2459)=1,1,0))</f>
        <v/>
      </c>
      <c r="AI2459" s="18" t="str">
        <f aca="false">IF($AH2459=1,SUMPRODUCT(--($AK$2:$AK$4001&lt;$AK2459))+1,"")</f>
        <v/>
      </c>
      <c r="AJ2459" s="18" t="str">
        <f aca="false">IF($D2459="","",IF(OR($R2459=TRUE(),$R2459="TRUE"),1,0))</f>
        <v/>
      </c>
      <c r="AK2459" s="18" t="str">
        <f aca="false">IF($AH2459=1,IFERROR(VALUE(MID($D2459,2,20)),1000000000)+ROW()/10000000,"")</f>
        <v/>
      </c>
    </row>
    <row r="2460" customFormat="false" ht="15" hidden="false" customHeight="false" outlineLevel="0" collapsed="false">
      <c r="F2460" s="15"/>
      <c r="N2460" s="16" t="str">
        <f aca="false">IF($D2460="","",M2460*Y2460/100)</f>
        <v/>
      </c>
      <c r="V2460" s="16" t="str">
        <f aca="false">IF($D2460="","",Y2460*AB2460/100)</f>
        <v/>
      </c>
      <c r="W2460" s="16" t="str">
        <f aca="false">IF($D2460="","",Y2460-V2460)</f>
        <v/>
      </c>
      <c r="X2460" s="16" t="str">
        <f aca="false">IF($D2460="","",W2460-N2460)</f>
        <v/>
      </c>
      <c r="AB2460" s="17" t="str">
        <f aca="false">IF($D2460="","",IF(OR($R2460=TRUE(),$R2460="TRUE"),Settings!$C$6,Settings!$C$7)*100)</f>
        <v/>
      </c>
      <c r="AH2460" s="18" t="str">
        <f aca="false">IF($D2460="","",IF(COUNTIF($D$2:$D2460,$D2460)=1,1,0))</f>
        <v/>
      </c>
      <c r="AI2460" s="18" t="str">
        <f aca="false">IF($AH2460=1,SUMPRODUCT(--($AK$2:$AK$4001&lt;$AK2460))+1,"")</f>
        <v/>
      </c>
      <c r="AJ2460" s="18" t="str">
        <f aca="false">IF($D2460="","",IF(OR($R2460=TRUE(),$R2460="TRUE"),1,0))</f>
        <v/>
      </c>
      <c r="AK2460" s="18" t="str">
        <f aca="false">IF($AH2460=1,IFERROR(VALUE(MID($D2460,2,20)),1000000000)+ROW()/10000000,"")</f>
        <v/>
      </c>
    </row>
    <row r="2461" customFormat="false" ht="15" hidden="false" customHeight="false" outlineLevel="0" collapsed="false">
      <c r="F2461" s="15"/>
      <c r="N2461" s="16" t="str">
        <f aca="false">IF($D2461="","",M2461*Y2461/100)</f>
        <v/>
      </c>
      <c r="V2461" s="16" t="str">
        <f aca="false">IF($D2461="","",Y2461*AB2461/100)</f>
        <v/>
      </c>
      <c r="W2461" s="16" t="str">
        <f aca="false">IF($D2461="","",Y2461-V2461)</f>
        <v/>
      </c>
      <c r="X2461" s="16" t="str">
        <f aca="false">IF($D2461="","",W2461-N2461)</f>
        <v/>
      </c>
      <c r="AB2461" s="17" t="str">
        <f aca="false">IF($D2461="","",IF(OR($R2461=TRUE(),$R2461="TRUE"),Settings!$C$6,Settings!$C$7)*100)</f>
        <v/>
      </c>
      <c r="AH2461" s="18" t="str">
        <f aca="false">IF($D2461="","",IF(COUNTIF($D$2:$D2461,$D2461)=1,1,0))</f>
        <v/>
      </c>
      <c r="AI2461" s="18" t="str">
        <f aca="false">IF($AH2461=1,SUMPRODUCT(--($AK$2:$AK$4001&lt;$AK2461))+1,"")</f>
        <v/>
      </c>
      <c r="AJ2461" s="18" t="str">
        <f aca="false">IF($D2461="","",IF(OR($R2461=TRUE(),$R2461="TRUE"),1,0))</f>
        <v/>
      </c>
      <c r="AK2461" s="18" t="str">
        <f aca="false">IF($AH2461=1,IFERROR(VALUE(MID($D2461,2,20)),1000000000)+ROW()/10000000,"")</f>
        <v/>
      </c>
    </row>
    <row r="2462" customFormat="false" ht="15" hidden="false" customHeight="false" outlineLevel="0" collapsed="false">
      <c r="F2462" s="15"/>
      <c r="N2462" s="16" t="str">
        <f aca="false">IF($D2462="","",M2462*Y2462/100)</f>
        <v/>
      </c>
      <c r="V2462" s="16" t="str">
        <f aca="false">IF($D2462="","",Y2462*AB2462/100)</f>
        <v/>
      </c>
      <c r="W2462" s="16" t="str">
        <f aca="false">IF($D2462="","",Y2462-V2462)</f>
        <v/>
      </c>
      <c r="X2462" s="16" t="str">
        <f aca="false">IF($D2462="","",W2462-N2462)</f>
        <v/>
      </c>
      <c r="AB2462" s="17" t="str">
        <f aca="false">IF($D2462="","",IF(OR($R2462=TRUE(),$R2462="TRUE"),Settings!$C$6,Settings!$C$7)*100)</f>
        <v/>
      </c>
      <c r="AH2462" s="18" t="str">
        <f aca="false">IF($D2462="","",IF(COUNTIF($D$2:$D2462,$D2462)=1,1,0))</f>
        <v/>
      </c>
      <c r="AI2462" s="18" t="str">
        <f aca="false">IF($AH2462=1,SUMPRODUCT(--($AK$2:$AK$4001&lt;$AK2462))+1,"")</f>
        <v/>
      </c>
      <c r="AJ2462" s="18" t="str">
        <f aca="false">IF($D2462="","",IF(OR($R2462=TRUE(),$R2462="TRUE"),1,0))</f>
        <v/>
      </c>
      <c r="AK2462" s="18" t="str">
        <f aca="false">IF($AH2462=1,IFERROR(VALUE(MID($D2462,2,20)),1000000000)+ROW()/10000000,"")</f>
        <v/>
      </c>
    </row>
    <row r="2463" customFormat="false" ht="15" hidden="false" customHeight="false" outlineLevel="0" collapsed="false">
      <c r="F2463" s="15"/>
      <c r="N2463" s="16" t="str">
        <f aca="false">IF($D2463="","",M2463*Y2463/100)</f>
        <v/>
      </c>
      <c r="V2463" s="16" t="str">
        <f aca="false">IF($D2463="","",Y2463*AB2463/100)</f>
        <v/>
      </c>
      <c r="W2463" s="16" t="str">
        <f aca="false">IF($D2463="","",Y2463-V2463)</f>
        <v/>
      </c>
      <c r="X2463" s="16" t="str">
        <f aca="false">IF($D2463="","",W2463-N2463)</f>
        <v/>
      </c>
      <c r="AB2463" s="17" t="str">
        <f aca="false">IF($D2463="","",IF(OR($R2463=TRUE(),$R2463="TRUE"),Settings!$C$6,Settings!$C$7)*100)</f>
        <v/>
      </c>
      <c r="AH2463" s="18" t="str">
        <f aca="false">IF($D2463="","",IF(COUNTIF($D$2:$D2463,$D2463)=1,1,0))</f>
        <v/>
      </c>
      <c r="AI2463" s="18" t="str">
        <f aca="false">IF($AH2463=1,SUMPRODUCT(--($AK$2:$AK$4001&lt;$AK2463))+1,"")</f>
        <v/>
      </c>
      <c r="AJ2463" s="18" t="str">
        <f aca="false">IF($D2463="","",IF(OR($R2463=TRUE(),$R2463="TRUE"),1,0))</f>
        <v/>
      </c>
      <c r="AK2463" s="18" t="str">
        <f aca="false">IF($AH2463=1,IFERROR(VALUE(MID($D2463,2,20)),1000000000)+ROW()/10000000,"")</f>
        <v/>
      </c>
    </row>
    <row r="2464" customFormat="false" ht="15" hidden="false" customHeight="false" outlineLevel="0" collapsed="false">
      <c r="F2464" s="15"/>
      <c r="N2464" s="16" t="str">
        <f aca="false">IF($D2464="","",M2464*Y2464/100)</f>
        <v/>
      </c>
      <c r="V2464" s="16" t="str">
        <f aca="false">IF($D2464="","",Y2464*AB2464/100)</f>
        <v/>
      </c>
      <c r="W2464" s="16" t="str">
        <f aca="false">IF($D2464="","",Y2464-V2464)</f>
        <v/>
      </c>
      <c r="X2464" s="16" t="str">
        <f aca="false">IF($D2464="","",W2464-N2464)</f>
        <v/>
      </c>
      <c r="AB2464" s="17" t="str">
        <f aca="false">IF($D2464="","",IF(OR($R2464=TRUE(),$R2464="TRUE"),Settings!$C$6,Settings!$C$7)*100)</f>
        <v/>
      </c>
      <c r="AH2464" s="18" t="str">
        <f aca="false">IF($D2464="","",IF(COUNTIF($D$2:$D2464,$D2464)=1,1,0))</f>
        <v/>
      </c>
      <c r="AI2464" s="18" t="str">
        <f aca="false">IF($AH2464=1,SUMPRODUCT(--($AK$2:$AK$4001&lt;$AK2464))+1,"")</f>
        <v/>
      </c>
      <c r="AJ2464" s="18" t="str">
        <f aca="false">IF($D2464="","",IF(OR($R2464=TRUE(),$R2464="TRUE"),1,0))</f>
        <v/>
      </c>
      <c r="AK2464" s="18" t="str">
        <f aca="false">IF($AH2464=1,IFERROR(VALUE(MID($D2464,2,20)),1000000000)+ROW()/10000000,"")</f>
        <v/>
      </c>
    </row>
    <row r="2465" customFormat="false" ht="15" hidden="false" customHeight="false" outlineLevel="0" collapsed="false">
      <c r="F2465" s="15"/>
      <c r="N2465" s="16" t="str">
        <f aca="false">IF($D2465="","",M2465*Y2465/100)</f>
        <v/>
      </c>
      <c r="V2465" s="16" t="str">
        <f aca="false">IF($D2465="","",Y2465*AB2465/100)</f>
        <v/>
      </c>
      <c r="W2465" s="16" t="str">
        <f aca="false">IF($D2465="","",Y2465-V2465)</f>
        <v/>
      </c>
      <c r="X2465" s="16" t="str">
        <f aca="false">IF($D2465="","",W2465-N2465)</f>
        <v/>
      </c>
      <c r="AB2465" s="17" t="str">
        <f aca="false">IF($D2465="","",IF(OR($R2465=TRUE(),$R2465="TRUE"),Settings!$C$6,Settings!$C$7)*100)</f>
        <v/>
      </c>
      <c r="AH2465" s="18" t="str">
        <f aca="false">IF($D2465="","",IF(COUNTIF($D$2:$D2465,$D2465)=1,1,0))</f>
        <v/>
      </c>
      <c r="AI2465" s="18" t="str">
        <f aca="false">IF($AH2465=1,SUMPRODUCT(--($AK$2:$AK$4001&lt;$AK2465))+1,"")</f>
        <v/>
      </c>
      <c r="AJ2465" s="18" t="str">
        <f aca="false">IF($D2465="","",IF(OR($R2465=TRUE(),$R2465="TRUE"),1,0))</f>
        <v/>
      </c>
      <c r="AK2465" s="18" t="str">
        <f aca="false">IF($AH2465=1,IFERROR(VALUE(MID($D2465,2,20)),1000000000)+ROW()/10000000,"")</f>
        <v/>
      </c>
    </row>
    <row r="2466" customFormat="false" ht="15" hidden="false" customHeight="false" outlineLevel="0" collapsed="false">
      <c r="F2466" s="15"/>
      <c r="N2466" s="16" t="str">
        <f aca="false">IF($D2466="","",M2466*Y2466/100)</f>
        <v/>
      </c>
      <c r="V2466" s="16" t="str">
        <f aca="false">IF($D2466="","",Y2466*AB2466/100)</f>
        <v/>
      </c>
      <c r="W2466" s="16" t="str">
        <f aca="false">IF($D2466="","",Y2466-V2466)</f>
        <v/>
      </c>
      <c r="X2466" s="16" t="str">
        <f aca="false">IF($D2466="","",W2466-N2466)</f>
        <v/>
      </c>
      <c r="AB2466" s="17" t="str">
        <f aca="false">IF($D2466="","",IF(OR($R2466=TRUE(),$R2466="TRUE"),Settings!$C$6,Settings!$C$7)*100)</f>
        <v/>
      </c>
      <c r="AH2466" s="18" t="str">
        <f aca="false">IF($D2466="","",IF(COUNTIF($D$2:$D2466,$D2466)=1,1,0))</f>
        <v/>
      </c>
      <c r="AI2466" s="18" t="str">
        <f aca="false">IF($AH2466=1,SUMPRODUCT(--($AK$2:$AK$4001&lt;$AK2466))+1,"")</f>
        <v/>
      </c>
      <c r="AJ2466" s="18" t="str">
        <f aca="false">IF($D2466="","",IF(OR($R2466=TRUE(),$R2466="TRUE"),1,0))</f>
        <v/>
      </c>
      <c r="AK2466" s="18" t="str">
        <f aca="false">IF($AH2466=1,IFERROR(VALUE(MID($D2466,2,20)),1000000000)+ROW()/10000000,"")</f>
        <v/>
      </c>
    </row>
    <row r="2467" customFormat="false" ht="15" hidden="false" customHeight="false" outlineLevel="0" collapsed="false">
      <c r="F2467" s="15"/>
      <c r="N2467" s="16" t="str">
        <f aca="false">IF($D2467="","",M2467*Y2467/100)</f>
        <v/>
      </c>
      <c r="V2467" s="16" t="str">
        <f aca="false">IF($D2467="","",Y2467*AB2467/100)</f>
        <v/>
      </c>
      <c r="W2467" s="16" t="str">
        <f aca="false">IF($D2467="","",Y2467-V2467)</f>
        <v/>
      </c>
      <c r="X2467" s="16" t="str">
        <f aca="false">IF($D2467="","",W2467-N2467)</f>
        <v/>
      </c>
      <c r="AB2467" s="17" t="str">
        <f aca="false">IF($D2467="","",IF(OR($R2467=TRUE(),$R2467="TRUE"),Settings!$C$6,Settings!$C$7)*100)</f>
        <v/>
      </c>
      <c r="AH2467" s="18" t="str">
        <f aca="false">IF($D2467="","",IF(COUNTIF($D$2:$D2467,$D2467)=1,1,0))</f>
        <v/>
      </c>
      <c r="AI2467" s="18" t="str">
        <f aca="false">IF($AH2467=1,SUMPRODUCT(--($AK$2:$AK$4001&lt;$AK2467))+1,"")</f>
        <v/>
      </c>
      <c r="AJ2467" s="18" t="str">
        <f aca="false">IF($D2467="","",IF(OR($R2467=TRUE(),$R2467="TRUE"),1,0))</f>
        <v/>
      </c>
      <c r="AK2467" s="18" t="str">
        <f aca="false">IF($AH2467=1,IFERROR(VALUE(MID($D2467,2,20)),1000000000)+ROW()/10000000,"")</f>
        <v/>
      </c>
    </row>
    <row r="2468" customFormat="false" ht="15" hidden="false" customHeight="false" outlineLevel="0" collapsed="false">
      <c r="F2468" s="15"/>
      <c r="N2468" s="16" t="str">
        <f aca="false">IF($D2468="","",M2468*Y2468/100)</f>
        <v/>
      </c>
      <c r="V2468" s="16" t="str">
        <f aca="false">IF($D2468="","",Y2468*AB2468/100)</f>
        <v/>
      </c>
      <c r="W2468" s="16" t="str">
        <f aca="false">IF($D2468="","",Y2468-V2468)</f>
        <v/>
      </c>
      <c r="X2468" s="16" t="str">
        <f aca="false">IF($D2468="","",W2468-N2468)</f>
        <v/>
      </c>
      <c r="AB2468" s="17" t="str">
        <f aca="false">IF($D2468="","",IF(OR($R2468=TRUE(),$R2468="TRUE"),Settings!$C$6,Settings!$C$7)*100)</f>
        <v/>
      </c>
      <c r="AH2468" s="18" t="str">
        <f aca="false">IF($D2468="","",IF(COUNTIF($D$2:$D2468,$D2468)=1,1,0))</f>
        <v/>
      </c>
      <c r="AI2468" s="18" t="str">
        <f aca="false">IF($AH2468=1,SUMPRODUCT(--($AK$2:$AK$4001&lt;$AK2468))+1,"")</f>
        <v/>
      </c>
      <c r="AJ2468" s="18" t="str">
        <f aca="false">IF($D2468="","",IF(OR($R2468=TRUE(),$R2468="TRUE"),1,0))</f>
        <v/>
      </c>
      <c r="AK2468" s="18" t="str">
        <f aca="false">IF($AH2468=1,IFERROR(VALUE(MID($D2468,2,20)),1000000000)+ROW()/10000000,"")</f>
        <v/>
      </c>
    </row>
    <row r="2469" customFormat="false" ht="15" hidden="false" customHeight="false" outlineLevel="0" collapsed="false">
      <c r="F2469" s="15"/>
      <c r="N2469" s="16" t="str">
        <f aca="false">IF($D2469="","",M2469*Y2469/100)</f>
        <v/>
      </c>
      <c r="V2469" s="16" t="str">
        <f aca="false">IF($D2469="","",Y2469*AB2469/100)</f>
        <v/>
      </c>
      <c r="W2469" s="16" t="str">
        <f aca="false">IF($D2469="","",Y2469-V2469)</f>
        <v/>
      </c>
      <c r="X2469" s="16" t="str">
        <f aca="false">IF($D2469="","",W2469-N2469)</f>
        <v/>
      </c>
      <c r="AB2469" s="17" t="str">
        <f aca="false">IF($D2469="","",IF(OR($R2469=TRUE(),$R2469="TRUE"),Settings!$C$6,Settings!$C$7)*100)</f>
        <v/>
      </c>
      <c r="AH2469" s="18" t="str">
        <f aca="false">IF($D2469="","",IF(COUNTIF($D$2:$D2469,$D2469)=1,1,0))</f>
        <v/>
      </c>
      <c r="AI2469" s="18" t="str">
        <f aca="false">IF($AH2469=1,SUMPRODUCT(--($AK$2:$AK$4001&lt;$AK2469))+1,"")</f>
        <v/>
      </c>
      <c r="AJ2469" s="18" t="str">
        <f aca="false">IF($D2469="","",IF(OR($R2469=TRUE(),$R2469="TRUE"),1,0))</f>
        <v/>
      </c>
      <c r="AK2469" s="18" t="str">
        <f aca="false">IF($AH2469=1,IFERROR(VALUE(MID($D2469,2,20)),1000000000)+ROW()/10000000,"")</f>
        <v/>
      </c>
    </row>
    <row r="2470" customFormat="false" ht="15" hidden="false" customHeight="false" outlineLevel="0" collapsed="false">
      <c r="F2470" s="15"/>
      <c r="N2470" s="16" t="str">
        <f aca="false">IF($D2470="","",M2470*Y2470/100)</f>
        <v/>
      </c>
      <c r="V2470" s="16" t="str">
        <f aca="false">IF($D2470="","",Y2470*AB2470/100)</f>
        <v/>
      </c>
      <c r="W2470" s="16" t="str">
        <f aca="false">IF($D2470="","",Y2470-V2470)</f>
        <v/>
      </c>
      <c r="X2470" s="16" t="str">
        <f aca="false">IF($D2470="","",W2470-N2470)</f>
        <v/>
      </c>
      <c r="AB2470" s="17" t="str">
        <f aca="false">IF($D2470="","",IF(OR($R2470=TRUE(),$R2470="TRUE"),Settings!$C$6,Settings!$C$7)*100)</f>
        <v/>
      </c>
      <c r="AH2470" s="18" t="str">
        <f aca="false">IF($D2470="","",IF(COUNTIF($D$2:$D2470,$D2470)=1,1,0))</f>
        <v/>
      </c>
      <c r="AI2470" s="18" t="str">
        <f aca="false">IF($AH2470=1,SUMPRODUCT(--($AK$2:$AK$4001&lt;$AK2470))+1,"")</f>
        <v/>
      </c>
      <c r="AJ2470" s="18" t="str">
        <f aca="false">IF($D2470="","",IF(OR($R2470=TRUE(),$R2470="TRUE"),1,0))</f>
        <v/>
      </c>
      <c r="AK2470" s="18" t="str">
        <f aca="false">IF($AH2470=1,IFERROR(VALUE(MID($D2470,2,20)),1000000000)+ROW()/10000000,"")</f>
        <v/>
      </c>
    </row>
    <row r="2471" customFormat="false" ht="15" hidden="false" customHeight="false" outlineLevel="0" collapsed="false">
      <c r="F2471" s="15"/>
      <c r="N2471" s="16" t="str">
        <f aca="false">IF($D2471="","",M2471*Y2471/100)</f>
        <v/>
      </c>
      <c r="V2471" s="16" t="str">
        <f aca="false">IF($D2471="","",Y2471*AB2471/100)</f>
        <v/>
      </c>
      <c r="W2471" s="16" t="str">
        <f aca="false">IF($D2471="","",Y2471-V2471)</f>
        <v/>
      </c>
      <c r="X2471" s="16" t="str">
        <f aca="false">IF($D2471="","",W2471-N2471)</f>
        <v/>
      </c>
      <c r="AB2471" s="17" t="str">
        <f aca="false">IF($D2471="","",IF(OR($R2471=TRUE(),$R2471="TRUE"),Settings!$C$6,Settings!$C$7)*100)</f>
        <v/>
      </c>
      <c r="AH2471" s="18" t="str">
        <f aca="false">IF($D2471="","",IF(COUNTIF($D$2:$D2471,$D2471)=1,1,0))</f>
        <v/>
      </c>
      <c r="AI2471" s="18" t="str">
        <f aca="false">IF($AH2471=1,SUMPRODUCT(--($AK$2:$AK$4001&lt;$AK2471))+1,"")</f>
        <v/>
      </c>
      <c r="AJ2471" s="18" t="str">
        <f aca="false">IF($D2471="","",IF(OR($R2471=TRUE(),$R2471="TRUE"),1,0))</f>
        <v/>
      </c>
      <c r="AK2471" s="18" t="str">
        <f aca="false">IF($AH2471=1,IFERROR(VALUE(MID($D2471,2,20)),1000000000)+ROW()/10000000,"")</f>
        <v/>
      </c>
    </row>
    <row r="2472" customFormat="false" ht="15" hidden="false" customHeight="false" outlineLevel="0" collapsed="false">
      <c r="F2472" s="15"/>
      <c r="N2472" s="16" t="str">
        <f aca="false">IF($D2472="","",M2472*Y2472/100)</f>
        <v/>
      </c>
      <c r="V2472" s="16" t="str">
        <f aca="false">IF($D2472="","",Y2472*AB2472/100)</f>
        <v/>
      </c>
      <c r="W2472" s="16" t="str">
        <f aca="false">IF($D2472="","",Y2472-V2472)</f>
        <v/>
      </c>
      <c r="X2472" s="16" t="str">
        <f aca="false">IF($D2472="","",W2472-N2472)</f>
        <v/>
      </c>
      <c r="AB2472" s="17" t="str">
        <f aca="false">IF($D2472="","",IF(OR($R2472=TRUE(),$R2472="TRUE"),Settings!$C$6,Settings!$C$7)*100)</f>
        <v/>
      </c>
      <c r="AH2472" s="18" t="str">
        <f aca="false">IF($D2472="","",IF(COUNTIF($D$2:$D2472,$D2472)=1,1,0))</f>
        <v/>
      </c>
      <c r="AI2472" s="18" t="str">
        <f aca="false">IF($AH2472=1,SUMPRODUCT(--($AK$2:$AK$4001&lt;$AK2472))+1,"")</f>
        <v/>
      </c>
      <c r="AJ2472" s="18" t="str">
        <f aca="false">IF($D2472="","",IF(OR($R2472=TRUE(),$R2472="TRUE"),1,0))</f>
        <v/>
      </c>
      <c r="AK2472" s="18" t="str">
        <f aca="false">IF($AH2472=1,IFERROR(VALUE(MID($D2472,2,20)),1000000000)+ROW()/10000000,"")</f>
        <v/>
      </c>
    </row>
    <row r="2473" customFormat="false" ht="15" hidden="false" customHeight="false" outlineLevel="0" collapsed="false">
      <c r="F2473" s="15"/>
      <c r="N2473" s="16" t="str">
        <f aca="false">IF($D2473="","",M2473*Y2473/100)</f>
        <v/>
      </c>
      <c r="V2473" s="16" t="str">
        <f aca="false">IF($D2473="","",Y2473*AB2473/100)</f>
        <v/>
      </c>
      <c r="W2473" s="16" t="str">
        <f aca="false">IF($D2473="","",Y2473-V2473)</f>
        <v/>
      </c>
      <c r="X2473" s="16" t="str">
        <f aca="false">IF($D2473="","",W2473-N2473)</f>
        <v/>
      </c>
      <c r="AB2473" s="17" t="str">
        <f aca="false">IF($D2473="","",IF(OR($R2473=TRUE(),$R2473="TRUE"),Settings!$C$6,Settings!$C$7)*100)</f>
        <v/>
      </c>
      <c r="AH2473" s="18" t="str">
        <f aca="false">IF($D2473="","",IF(COUNTIF($D$2:$D2473,$D2473)=1,1,0))</f>
        <v/>
      </c>
      <c r="AI2473" s="18" t="str">
        <f aca="false">IF($AH2473=1,SUMPRODUCT(--($AK$2:$AK$4001&lt;$AK2473))+1,"")</f>
        <v/>
      </c>
      <c r="AJ2473" s="18" t="str">
        <f aca="false">IF($D2473="","",IF(OR($R2473=TRUE(),$R2473="TRUE"),1,0))</f>
        <v/>
      </c>
      <c r="AK2473" s="18" t="str">
        <f aca="false">IF($AH2473=1,IFERROR(VALUE(MID($D2473,2,20)),1000000000)+ROW()/10000000,"")</f>
        <v/>
      </c>
    </row>
    <row r="2474" customFormat="false" ht="15" hidden="false" customHeight="false" outlineLevel="0" collapsed="false">
      <c r="F2474" s="15"/>
      <c r="N2474" s="16" t="str">
        <f aca="false">IF($D2474="","",M2474*Y2474/100)</f>
        <v/>
      </c>
      <c r="V2474" s="16" t="str">
        <f aca="false">IF($D2474="","",Y2474*AB2474/100)</f>
        <v/>
      </c>
      <c r="W2474" s="16" t="str">
        <f aca="false">IF($D2474="","",Y2474-V2474)</f>
        <v/>
      </c>
      <c r="X2474" s="16" t="str">
        <f aca="false">IF($D2474="","",W2474-N2474)</f>
        <v/>
      </c>
      <c r="AB2474" s="17" t="str">
        <f aca="false">IF($D2474="","",IF(OR($R2474=TRUE(),$R2474="TRUE"),Settings!$C$6,Settings!$C$7)*100)</f>
        <v/>
      </c>
      <c r="AH2474" s="18" t="str">
        <f aca="false">IF($D2474="","",IF(COUNTIF($D$2:$D2474,$D2474)=1,1,0))</f>
        <v/>
      </c>
      <c r="AI2474" s="18" t="str">
        <f aca="false">IF($AH2474=1,SUMPRODUCT(--($AK$2:$AK$4001&lt;$AK2474))+1,"")</f>
        <v/>
      </c>
      <c r="AJ2474" s="18" t="str">
        <f aca="false">IF($D2474="","",IF(OR($R2474=TRUE(),$R2474="TRUE"),1,0))</f>
        <v/>
      </c>
      <c r="AK2474" s="18" t="str">
        <f aca="false">IF($AH2474=1,IFERROR(VALUE(MID($D2474,2,20)),1000000000)+ROW()/10000000,"")</f>
        <v/>
      </c>
    </row>
    <row r="2475" customFormat="false" ht="15" hidden="false" customHeight="false" outlineLevel="0" collapsed="false">
      <c r="F2475" s="15"/>
      <c r="N2475" s="16" t="str">
        <f aca="false">IF($D2475="","",M2475*Y2475/100)</f>
        <v/>
      </c>
      <c r="V2475" s="16" t="str">
        <f aca="false">IF($D2475="","",Y2475*AB2475/100)</f>
        <v/>
      </c>
      <c r="W2475" s="16" t="str">
        <f aca="false">IF($D2475="","",Y2475-V2475)</f>
        <v/>
      </c>
      <c r="X2475" s="16" t="str">
        <f aca="false">IF($D2475="","",W2475-N2475)</f>
        <v/>
      </c>
      <c r="AB2475" s="17" t="str">
        <f aca="false">IF($D2475="","",IF(OR($R2475=TRUE(),$R2475="TRUE"),Settings!$C$6,Settings!$C$7)*100)</f>
        <v/>
      </c>
      <c r="AH2475" s="18" t="str">
        <f aca="false">IF($D2475="","",IF(COUNTIF($D$2:$D2475,$D2475)=1,1,0))</f>
        <v/>
      </c>
      <c r="AI2475" s="18" t="str">
        <f aca="false">IF($AH2475=1,SUMPRODUCT(--($AK$2:$AK$4001&lt;$AK2475))+1,"")</f>
        <v/>
      </c>
      <c r="AJ2475" s="18" t="str">
        <f aca="false">IF($D2475="","",IF(OR($R2475=TRUE(),$R2475="TRUE"),1,0))</f>
        <v/>
      </c>
      <c r="AK2475" s="18" t="str">
        <f aca="false">IF($AH2475=1,IFERROR(VALUE(MID($D2475,2,20)),1000000000)+ROW()/10000000,"")</f>
        <v/>
      </c>
    </row>
    <row r="2476" customFormat="false" ht="15" hidden="false" customHeight="false" outlineLevel="0" collapsed="false">
      <c r="F2476" s="15"/>
      <c r="N2476" s="16" t="str">
        <f aca="false">IF($D2476="","",M2476*Y2476/100)</f>
        <v/>
      </c>
      <c r="V2476" s="16" t="str">
        <f aca="false">IF($D2476="","",Y2476*AB2476/100)</f>
        <v/>
      </c>
      <c r="W2476" s="16" t="str">
        <f aca="false">IF($D2476="","",Y2476-V2476)</f>
        <v/>
      </c>
      <c r="X2476" s="16" t="str">
        <f aca="false">IF($D2476="","",W2476-N2476)</f>
        <v/>
      </c>
      <c r="AB2476" s="17" t="str">
        <f aca="false">IF($D2476="","",IF(OR($R2476=TRUE(),$R2476="TRUE"),Settings!$C$6,Settings!$C$7)*100)</f>
        <v/>
      </c>
      <c r="AH2476" s="18" t="str">
        <f aca="false">IF($D2476="","",IF(COUNTIF($D$2:$D2476,$D2476)=1,1,0))</f>
        <v/>
      </c>
      <c r="AI2476" s="18" t="str">
        <f aca="false">IF($AH2476=1,SUMPRODUCT(--($AK$2:$AK$4001&lt;$AK2476))+1,"")</f>
        <v/>
      </c>
      <c r="AJ2476" s="18" t="str">
        <f aca="false">IF($D2476="","",IF(OR($R2476=TRUE(),$R2476="TRUE"),1,0))</f>
        <v/>
      </c>
      <c r="AK2476" s="18" t="str">
        <f aca="false">IF($AH2476=1,IFERROR(VALUE(MID($D2476,2,20)),1000000000)+ROW()/10000000,"")</f>
        <v/>
      </c>
    </row>
    <row r="2477" customFormat="false" ht="15" hidden="false" customHeight="false" outlineLevel="0" collapsed="false">
      <c r="F2477" s="15"/>
      <c r="N2477" s="16" t="str">
        <f aca="false">IF($D2477="","",M2477*Y2477/100)</f>
        <v/>
      </c>
      <c r="V2477" s="16" t="str">
        <f aca="false">IF($D2477="","",Y2477*AB2477/100)</f>
        <v/>
      </c>
      <c r="W2477" s="16" t="str">
        <f aca="false">IF($D2477="","",Y2477-V2477)</f>
        <v/>
      </c>
      <c r="X2477" s="16" t="str">
        <f aca="false">IF($D2477="","",W2477-N2477)</f>
        <v/>
      </c>
      <c r="AB2477" s="17" t="str">
        <f aca="false">IF($D2477="","",IF(OR($R2477=TRUE(),$R2477="TRUE"),Settings!$C$6,Settings!$C$7)*100)</f>
        <v/>
      </c>
      <c r="AH2477" s="18" t="str">
        <f aca="false">IF($D2477="","",IF(COUNTIF($D$2:$D2477,$D2477)=1,1,0))</f>
        <v/>
      </c>
      <c r="AI2477" s="18" t="str">
        <f aca="false">IF($AH2477=1,SUMPRODUCT(--($AK$2:$AK$4001&lt;$AK2477))+1,"")</f>
        <v/>
      </c>
      <c r="AJ2477" s="18" t="str">
        <f aca="false">IF($D2477="","",IF(OR($R2477=TRUE(),$R2477="TRUE"),1,0))</f>
        <v/>
      </c>
      <c r="AK2477" s="18" t="str">
        <f aca="false">IF($AH2477=1,IFERROR(VALUE(MID($D2477,2,20)),1000000000)+ROW()/10000000,"")</f>
        <v/>
      </c>
    </row>
    <row r="2478" customFormat="false" ht="15" hidden="false" customHeight="false" outlineLevel="0" collapsed="false">
      <c r="F2478" s="15"/>
      <c r="N2478" s="16" t="str">
        <f aca="false">IF($D2478="","",M2478*Y2478/100)</f>
        <v/>
      </c>
      <c r="V2478" s="16" t="str">
        <f aca="false">IF($D2478="","",Y2478*AB2478/100)</f>
        <v/>
      </c>
      <c r="W2478" s="16" t="str">
        <f aca="false">IF($D2478="","",Y2478-V2478)</f>
        <v/>
      </c>
      <c r="X2478" s="16" t="str">
        <f aca="false">IF($D2478="","",W2478-N2478)</f>
        <v/>
      </c>
      <c r="AB2478" s="17" t="str">
        <f aca="false">IF($D2478="","",IF(OR($R2478=TRUE(),$R2478="TRUE"),Settings!$C$6,Settings!$C$7)*100)</f>
        <v/>
      </c>
      <c r="AH2478" s="18" t="str">
        <f aca="false">IF($D2478="","",IF(COUNTIF($D$2:$D2478,$D2478)=1,1,0))</f>
        <v/>
      </c>
      <c r="AI2478" s="18" t="str">
        <f aca="false">IF($AH2478=1,SUMPRODUCT(--($AK$2:$AK$4001&lt;$AK2478))+1,"")</f>
        <v/>
      </c>
      <c r="AJ2478" s="18" t="str">
        <f aca="false">IF($D2478="","",IF(OR($R2478=TRUE(),$R2478="TRUE"),1,0))</f>
        <v/>
      </c>
      <c r="AK2478" s="18" t="str">
        <f aca="false">IF($AH2478=1,IFERROR(VALUE(MID($D2478,2,20)),1000000000)+ROW()/10000000,"")</f>
        <v/>
      </c>
    </row>
    <row r="2479" customFormat="false" ht="15" hidden="false" customHeight="false" outlineLevel="0" collapsed="false">
      <c r="F2479" s="15"/>
      <c r="N2479" s="16" t="str">
        <f aca="false">IF($D2479="","",M2479*Y2479/100)</f>
        <v/>
      </c>
      <c r="V2479" s="16" t="str">
        <f aca="false">IF($D2479="","",Y2479*AB2479/100)</f>
        <v/>
      </c>
      <c r="W2479" s="16" t="str">
        <f aca="false">IF($D2479="","",Y2479-V2479)</f>
        <v/>
      </c>
      <c r="X2479" s="16" t="str">
        <f aca="false">IF($D2479="","",W2479-N2479)</f>
        <v/>
      </c>
      <c r="AB2479" s="17" t="str">
        <f aca="false">IF($D2479="","",IF(OR($R2479=TRUE(),$R2479="TRUE"),Settings!$C$6,Settings!$C$7)*100)</f>
        <v/>
      </c>
      <c r="AH2479" s="18" t="str">
        <f aca="false">IF($D2479="","",IF(COUNTIF($D$2:$D2479,$D2479)=1,1,0))</f>
        <v/>
      </c>
      <c r="AI2479" s="18" t="str">
        <f aca="false">IF($AH2479=1,SUMPRODUCT(--($AK$2:$AK$4001&lt;$AK2479))+1,"")</f>
        <v/>
      </c>
      <c r="AJ2479" s="18" t="str">
        <f aca="false">IF($D2479="","",IF(OR($R2479=TRUE(),$R2479="TRUE"),1,0))</f>
        <v/>
      </c>
      <c r="AK2479" s="18" t="str">
        <f aca="false">IF($AH2479=1,IFERROR(VALUE(MID($D2479,2,20)),1000000000)+ROW()/10000000,"")</f>
        <v/>
      </c>
    </row>
    <row r="2480" customFormat="false" ht="15" hidden="false" customHeight="false" outlineLevel="0" collapsed="false">
      <c r="F2480" s="15"/>
      <c r="N2480" s="16" t="str">
        <f aca="false">IF($D2480="","",M2480*Y2480/100)</f>
        <v/>
      </c>
      <c r="V2480" s="16" t="str">
        <f aca="false">IF($D2480="","",Y2480*AB2480/100)</f>
        <v/>
      </c>
      <c r="W2480" s="16" t="str">
        <f aca="false">IF($D2480="","",Y2480-V2480)</f>
        <v/>
      </c>
      <c r="X2480" s="16" t="str">
        <f aca="false">IF($D2480="","",W2480-N2480)</f>
        <v/>
      </c>
      <c r="AB2480" s="17" t="str">
        <f aca="false">IF($D2480="","",IF(OR($R2480=TRUE(),$R2480="TRUE"),Settings!$C$6,Settings!$C$7)*100)</f>
        <v/>
      </c>
      <c r="AH2480" s="18" t="str">
        <f aca="false">IF($D2480="","",IF(COUNTIF($D$2:$D2480,$D2480)=1,1,0))</f>
        <v/>
      </c>
      <c r="AI2480" s="18" t="str">
        <f aca="false">IF($AH2480=1,SUMPRODUCT(--($AK$2:$AK$4001&lt;$AK2480))+1,"")</f>
        <v/>
      </c>
      <c r="AJ2480" s="18" t="str">
        <f aca="false">IF($D2480="","",IF(OR($R2480=TRUE(),$R2480="TRUE"),1,0))</f>
        <v/>
      </c>
      <c r="AK2480" s="18" t="str">
        <f aca="false">IF($AH2480=1,IFERROR(VALUE(MID($D2480,2,20)),1000000000)+ROW()/10000000,"")</f>
        <v/>
      </c>
    </row>
    <row r="2481" customFormat="false" ht="15" hidden="false" customHeight="false" outlineLevel="0" collapsed="false">
      <c r="F2481" s="15"/>
      <c r="N2481" s="16" t="str">
        <f aca="false">IF($D2481="","",M2481*Y2481/100)</f>
        <v/>
      </c>
      <c r="V2481" s="16" t="str">
        <f aca="false">IF($D2481="","",Y2481*AB2481/100)</f>
        <v/>
      </c>
      <c r="W2481" s="16" t="str">
        <f aca="false">IF($D2481="","",Y2481-V2481)</f>
        <v/>
      </c>
      <c r="X2481" s="16" t="str">
        <f aca="false">IF($D2481="","",W2481-N2481)</f>
        <v/>
      </c>
      <c r="AB2481" s="17" t="str">
        <f aca="false">IF($D2481="","",IF(OR($R2481=TRUE(),$R2481="TRUE"),Settings!$C$6,Settings!$C$7)*100)</f>
        <v/>
      </c>
      <c r="AH2481" s="18" t="str">
        <f aca="false">IF($D2481="","",IF(COUNTIF($D$2:$D2481,$D2481)=1,1,0))</f>
        <v/>
      </c>
      <c r="AI2481" s="18" t="str">
        <f aca="false">IF($AH2481=1,SUMPRODUCT(--($AK$2:$AK$4001&lt;$AK2481))+1,"")</f>
        <v/>
      </c>
      <c r="AJ2481" s="18" t="str">
        <f aca="false">IF($D2481="","",IF(OR($R2481=TRUE(),$R2481="TRUE"),1,0))</f>
        <v/>
      </c>
      <c r="AK2481" s="18" t="str">
        <f aca="false">IF($AH2481=1,IFERROR(VALUE(MID($D2481,2,20)),1000000000)+ROW()/10000000,"")</f>
        <v/>
      </c>
    </row>
    <row r="2482" customFormat="false" ht="15" hidden="false" customHeight="false" outlineLevel="0" collapsed="false">
      <c r="F2482" s="15"/>
      <c r="N2482" s="16" t="str">
        <f aca="false">IF($D2482="","",M2482*Y2482/100)</f>
        <v/>
      </c>
      <c r="V2482" s="16" t="str">
        <f aca="false">IF($D2482="","",Y2482*AB2482/100)</f>
        <v/>
      </c>
      <c r="W2482" s="16" t="str">
        <f aca="false">IF($D2482="","",Y2482-V2482)</f>
        <v/>
      </c>
      <c r="X2482" s="16" t="str">
        <f aca="false">IF($D2482="","",W2482-N2482)</f>
        <v/>
      </c>
      <c r="AB2482" s="17" t="str">
        <f aca="false">IF($D2482="","",IF(OR($R2482=TRUE(),$R2482="TRUE"),Settings!$C$6,Settings!$C$7)*100)</f>
        <v/>
      </c>
      <c r="AH2482" s="18" t="str">
        <f aca="false">IF($D2482="","",IF(COUNTIF($D$2:$D2482,$D2482)=1,1,0))</f>
        <v/>
      </c>
      <c r="AI2482" s="18" t="str">
        <f aca="false">IF($AH2482=1,SUMPRODUCT(--($AK$2:$AK$4001&lt;$AK2482))+1,"")</f>
        <v/>
      </c>
      <c r="AJ2482" s="18" t="str">
        <f aca="false">IF($D2482="","",IF(OR($R2482=TRUE(),$R2482="TRUE"),1,0))</f>
        <v/>
      </c>
      <c r="AK2482" s="18" t="str">
        <f aca="false">IF($AH2482=1,IFERROR(VALUE(MID($D2482,2,20)),1000000000)+ROW()/10000000,"")</f>
        <v/>
      </c>
    </row>
    <row r="2483" customFormat="false" ht="15" hidden="false" customHeight="false" outlineLevel="0" collapsed="false">
      <c r="F2483" s="15"/>
      <c r="N2483" s="16" t="str">
        <f aca="false">IF($D2483="","",M2483*Y2483/100)</f>
        <v/>
      </c>
      <c r="V2483" s="16" t="str">
        <f aca="false">IF($D2483="","",Y2483*AB2483/100)</f>
        <v/>
      </c>
      <c r="W2483" s="16" t="str">
        <f aca="false">IF($D2483="","",Y2483-V2483)</f>
        <v/>
      </c>
      <c r="X2483" s="16" t="str">
        <f aca="false">IF($D2483="","",W2483-N2483)</f>
        <v/>
      </c>
      <c r="AB2483" s="17" t="str">
        <f aca="false">IF($D2483="","",IF(OR($R2483=TRUE(),$R2483="TRUE"),Settings!$C$6,Settings!$C$7)*100)</f>
        <v/>
      </c>
      <c r="AH2483" s="18" t="str">
        <f aca="false">IF($D2483="","",IF(COUNTIF($D$2:$D2483,$D2483)=1,1,0))</f>
        <v/>
      </c>
      <c r="AI2483" s="18" t="str">
        <f aca="false">IF($AH2483=1,SUMPRODUCT(--($AK$2:$AK$4001&lt;$AK2483))+1,"")</f>
        <v/>
      </c>
      <c r="AJ2483" s="18" t="str">
        <f aca="false">IF($D2483="","",IF(OR($R2483=TRUE(),$R2483="TRUE"),1,0))</f>
        <v/>
      </c>
      <c r="AK2483" s="18" t="str">
        <f aca="false">IF($AH2483=1,IFERROR(VALUE(MID($D2483,2,20)),1000000000)+ROW()/10000000,"")</f>
        <v/>
      </c>
    </row>
    <row r="2484" customFormat="false" ht="15" hidden="false" customHeight="false" outlineLevel="0" collapsed="false">
      <c r="F2484" s="15"/>
      <c r="N2484" s="16" t="str">
        <f aca="false">IF($D2484="","",M2484*Y2484/100)</f>
        <v/>
      </c>
      <c r="V2484" s="16" t="str">
        <f aca="false">IF($D2484="","",Y2484*AB2484/100)</f>
        <v/>
      </c>
      <c r="W2484" s="16" t="str">
        <f aca="false">IF($D2484="","",Y2484-V2484)</f>
        <v/>
      </c>
      <c r="X2484" s="16" t="str">
        <f aca="false">IF($D2484="","",W2484-N2484)</f>
        <v/>
      </c>
      <c r="AB2484" s="17" t="str">
        <f aca="false">IF($D2484="","",IF(OR($R2484=TRUE(),$R2484="TRUE"),Settings!$C$6,Settings!$C$7)*100)</f>
        <v/>
      </c>
      <c r="AH2484" s="18" t="str">
        <f aca="false">IF($D2484="","",IF(COUNTIF($D$2:$D2484,$D2484)=1,1,0))</f>
        <v/>
      </c>
      <c r="AI2484" s="18" t="str">
        <f aca="false">IF($AH2484=1,SUMPRODUCT(--($AK$2:$AK$4001&lt;$AK2484))+1,"")</f>
        <v/>
      </c>
      <c r="AJ2484" s="18" t="str">
        <f aca="false">IF($D2484="","",IF(OR($R2484=TRUE(),$R2484="TRUE"),1,0))</f>
        <v/>
      </c>
      <c r="AK2484" s="18" t="str">
        <f aca="false">IF($AH2484=1,IFERROR(VALUE(MID($D2484,2,20)),1000000000)+ROW()/10000000,"")</f>
        <v/>
      </c>
    </row>
    <row r="2485" customFormat="false" ht="15" hidden="false" customHeight="false" outlineLevel="0" collapsed="false">
      <c r="F2485" s="15"/>
      <c r="N2485" s="16" t="str">
        <f aca="false">IF($D2485="","",M2485*Y2485/100)</f>
        <v/>
      </c>
      <c r="V2485" s="16" t="str">
        <f aca="false">IF($D2485="","",Y2485*AB2485/100)</f>
        <v/>
      </c>
      <c r="W2485" s="16" t="str">
        <f aca="false">IF($D2485="","",Y2485-V2485)</f>
        <v/>
      </c>
      <c r="X2485" s="16" t="str">
        <f aca="false">IF($D2485="","",W2485-N2485)</f>
        <v/>
      </c>
      <c r="AB2485" s="17" t="str">
        <f aca="false">IF($D2485="","",IF(OR($R2485=TRUE(),$R2485="TRUE"),Settings!$C$6,Settings!$C$7)*100)</f>
        <v/>
      </c>
      <c r="AH2485" s="18" t="str">
        <f aca="false">IF($D2485="","",IF(COUNTIF($D$2:$D2485,$D2485)=1,1,0))</f>
        <v/>
      </c>
      <c r="AI2485" s="18" t="str">
        <f aca="false">IF($AH2485=1,SUMPRODUCT(--($AK$2:$AK$4001&lt;$AK2485))+1,"")</f>
        <v/>
      </c>
      <c r="AJ2485" s="18" t="str">
        <f aca="false">IF($D2485="","",IF(OR($R2485=TRUE(),$R2485="TRUE"),1,0))</f>
        <v/>
      </c>
      <c r="AK2485" s="18" t="str">
        <f aca="false">IF($AH2485=1,IFERROR(VALUE(MID($D2485,2,20)),1000000000)+ROW()/10000000,"")</f>
        <v/>
      </c>
    </row>
    <row r="2486" customFormat="false" ht="15" hidden="false" customHeight="false" outlineLevel="0" collapsed="false">
      <c r="F2486" s="15"/>
      <c r="N2486" s="16" t="str">
        <f aca="false">IF($D2486="","",M2486*Y2486/100)</f>
        <v/>
      </c>
      <c r="V2486" s="16" t="str">
        <f aca="false">IF($D2486="","",Y2486*AB2486/100)</f>
        <v/>
      </c>
      <c r="W2486" s="16" t="str">
        <f aca="false">IF($D2486="","",Y2486-V2486)</f>
        <v/>
      </c>
      <c r="X2486" s="16" t="str">
        <f aca="false">IF($D2486="","",W2486-N2486)</f>
        <v/>
      </c>
      <c r="AB2486" s="17" t="str">
        <f aca="false">IF($D2486="","",IF(OR($R2486=TRUE(),$R2486="TRUE"),Settings!$C$6,Settings!$C$7)*100)</f>
        <v/>
      </c>
      <c r="AH2486" s="18" t="str">
        <f aca="false">IF($D2486="","",IF(COUNTIF($D$2:$D2486,$D2486)=1,1,0))</f>
        <v/>
      </c>
      <c r="AI2486" s="18" t="str">
        <f aca="false">IF($AH2486=1,SUMPRODUCT(--($AK$2:$AK$4001&lt;$AK2486))+1,"")</f>
        <v/>
      </c>
      <c r="AJ2486" s="18" t="str">
        <f aca="false">IF($D2486="","",IF(OR($R2486=TRUE(),$R2486="TRUE"),1,0))</f>
        <v/>
      </c>
      <c r="AK2486" s="18" t="str">
        <f aca="false">IF($AH2486=1,IFERROR(VALUE(MID($D2486,2,20)),1000000000)+ROW()/10000000,"")</f>
        <v/>
      </c>
    </row>
    <row r="2487" customFormat="false" ht="15" hidden="false" customHeight="false" outlineLevel="0" collapsed="false">
      <c r="F2487" s="15"/>
      <c r="N2487" s="16" t="str">
        <f aca="false">IF($D2487="","",M2487*Y2487/100)</f>
        <v/>
      </c>
      <c r="V2487" s="16" t="str">
        <f aca="false">IF($D2487="","",Y2487*AB2487/100)</f>
        <v/>
      </c>
      <c r="W2487" s="16" t="str">
        <f aca="false">IF($D2487="","",Y2487-V2487)</f>
        <v/>
      </c>
      <c r="X2487" s="16" t="str">
        <f aca="false">IF($D2487="","",W2487-N2487)</f>
        <v/>
      </c>
      <c r="AB2487" s="17" t="str">
        <f aca="false">IF($D2487="","",IF(OR($R2487=TRUE(),$R2487="TRUE"),Settings!$C$6,Settings!$C$7)*100)</f>
        <v/>
      </c>
      <c r="AH2487" s="18" t="str">
        <f aca="false">IF($D2487="","",IF(COUNTIF($D$2:$D2487,$D2487)=1,1,0))</f>
        <v/>
      </c>
      <c r="AI2487" s="18" t="str">
        <f aca="false">IF($AH2487=1,SUMPRODUCT(--($AK$2:$AK$4001&lt;$AK2487))+1,"")</f>
        <v/>
      </c>
      <c r="AJ2487" s="18" t="str">
        <f aca="false">IF($D2487="","",IF(OR($R2487=TRUE(),$R2487="TRUE"),1,0))</f>
        <v/>
      </c>
      <c r="AK2487" s="18" t="str">
        <f aca="false">IF($AH2487=1,IFERROR(VALUE(MID($D2487,2,20)),1000000000)+ROW()/10000000,"")</f>
        <v/>
      </c>
    </row>
    <row r="2488" customFormat="false" ht="15" hidden="false" customHeight="false" outlineLevel="0" collapsed="false">
      <c r="F2488" s="15"/>
      <c r="N2488" s="16" t="str">
        <f aca="false">IF($D2488="","",M2488*Y2488/100)</f>
        <v/>
      </c>
      <c r="V2488" s="16" t="str">
        <f aca="false">IF($D2488="","",Y2488*AB2488/100)</f>
        <v/>
      </c>
      <c r="W2488" s="16" t="str">
        <f aca="false">IF($D2488="","",Y2488-V2488)</f>
        <v/>
      </c>
      <c r="X2488" s="16" t="str">
        <f aca="false">IF($D2488="","",W2488-N2488)</f>
        <v/>
      </c>
      <c r="AB2488" s="17" t="str">
        <f aca="false">IF($D2488="","",IF(OR($R2488=TRUE(),$R2488="TRUE"),Settings!$C$6,Settings!$C$7)*100)</f>
        <v/>
      </c>
      <c r="AH2488" s="18" t="str">
        <f aca="false">IF($D2488="","",IF(COUNTIF($D$2:$D2488,$D2488)=1,1,0))</f>
        <v/>
      </c>
      <c r="AI2488" s="18" t="str">
        <f aca="false">IF($AH2488=1,SUMPRODUCT(--($AK$2:$AK$4001&lt;$AK2488))+1,"")</f>
        <v/>
      </c>
      <c r="AJ2488" s="18" t="str">
        <f aca="false">IF($D2488="","",IF(OR($R2488=TRUE(),$R2488="TRUE"),1,0))</f>
        <v/>
      </c>
      <c r="AK2488" s="18" t="str">
        <f aca="false">IF($AH2488=1,IFERROR(VALUE(MID($D2488,2,20)),1000000000)+ROW()/10000000,"")</f>
        <v/>
      </c>
    </row>
    <row r="2489" customFormat="false" ht="15" hidden="false" customHeight="false" outlineLevel="0" collapsed="false">
      <c r="F2489" s="15"/>
      <c r="N2489" s="16" t="str">
        <f aca="false">IF($D2489="","",M2489*Y2489/100)</f>
        <v/>
      </c>
      <c r="V2489" s="16" t="str">
        <f aca="false">IF($D2489="","",Y2489*AB2489/100)</f>
        <v/>
      </c>
      <c r="W2489" s="16" t="str">
        <f aca="false">IF($D2489="","",Y2489-V2489)</f>
        <v/>
      </c>
      <c r="X2489" s="16" t="str">
        <f aca="false">IF($D2489="","",W2489-N2489)</f>
        <v/>
      </c>
      <c r="AB2489" s="17" t="str">
        <f aca="false">IF($D2489="","",IF(OR($R2489=TRUE(),$R2489="TRUE"),Settings!$C$6,Settings!$C$7)*100)</f>
        <v/>
      </c>
      <c r="AH2489" s="18" t="str">
        <f aca="false">IF($D2489="","",IF(COUNTIF($D$2:$D2489,$D2489)=1,1,0))</f>
        <v/>
      </c>
      <c r="AI2489" s="18" t="str">
        <f aca="false">IF($AH2489=1,SUMPRODUCT(--($AK$2:$AK$4001&lt;$AK2489))+1,"")</f>
        <v/>
      </c>
      <c r="AJ2489" s="18" t="str">
        <f aca="false">IF($D2489="","",IF(OR($R2489=TRUE(),$R2489="TRUE"),1,0))</f>
        <v/>
      </c>
      <c r="AK2489" s="18" t="str">
        <f aca="false">IF($AH2489=1,IFERROR(VALUE(MID($D2489,2,20)),1000000000)+ROW()/10000000,"")</f>
        <v/>
      </c>
    </row>
    <row r="2490" customFormat="false" ht="15" hidden="false" customHeight="false" outlineLevel="0" collapsed="false">
      <c r="F2490" s="15"/>
      <c r="N2490" s="16" t="str">
        <f aca="false">IF($D2490="","",M2490*Y2490/100)</f>
        <v/>
      </c>
      <c r="V2490" s="16" t="str">
        <f aca="false">IF($D2490="","",Y2490*AB2490/100)</f>
        <v/>
      </c>
      <c r="W2490" s="16" t="str">
        <f aca="false">IF($D2490="","",Y2490-V2490)</f>
        <v/>
      </c>
      <c r="X2490" s="16" t="str">
        <f aca="false">IF($D2490="","",W2490-N2490)</f>
        <v/>
      </c>
      <c r="AB2490" s="17" t="str">
        <f aca="false">IF($D2490="","",IF(OR($R2490=TRUE(),$R2490="TRUE"),Settings!$C$6,Settings!$C$7)*100)</f>
        <v/>
      </c>
      <c r="AH2490" s="18" t="str">
        <f aca="false">IF($D2490="","",IF(COUNTIF($D$2:$D2490,$D2490)=1,1,0))</f>
        <v/>
      </c>
      <c r="AI2490" s="18" t="str">
        <f aca="false">IF($AH2490=1,SUMPRODUCT(--($AK$2:$AK$4001&lt;$AK2490))+1,"")</f>
        <v/>
      </c>
      <c r="AJ2490" s="18" t="str">
        <f aca="false">IF($D2490="","",IF(OR($R2490=TRUE(),$R2490="TRUE"),1,0))</f>
        <v/>
      </c>
      <c r="AK2490" s="18" t="str">
        <f aca="false">IF($AH2490=1,IFERROR(VALUE(MID($D2490,2,20)),1000000000)+ROW()/10000000,"")</f>
        <v/>
      </c>
    </row>
    <row r="2491" customFormat="false" ht="15" hidden="false" customHeight="false" outlineLevel="0" collapsed="false">
      <c r="F2491" s="15"/>
      <c r="N2491" s="16" t="str">
        <f aca="false">IF($D2491="","",M2491*Y2491/100)</f>
        <v/>
      </c>
      <c r="V2491" s="16" t="str">
        <f aca="false">IF($D2491="","",Y2491*AB2491/100)</f>
        <v/>
      </c>
      <c r="W2491" s="16" t="str">
        <f aca="false">IF($D2491="","",Y2491-V2491)</f>
        <v/>
      </c>
      <c r="X2491" s="16" t="str">
        <f aca="false">IF($D2491="","",W2491-N2491)</f>
        <v/>
      </c>
      <c r="AB2491" s="17" t="str">
        <f aca="false">IF($D2491="","",IF(OR($R2491=TRUE(),$R2491="TRUE"),Settings!$C$6,Settings!$C$7)*100)</f>
        <v/>
      </c>
      <c r="AH2491" s="18" t="str">
        <f aca="false">IF($D2491="","",IF(COUNTIF($D$2:$D2491,$D2491)=1,1,0))</f>
        <v/>
      </c>
      <c r="AI2491" s="18" t="str">
        <f aca="false">IF($AH2491=1,SUMPRODUCT(--($AK$2:$AK$4001&lt;$AK2491))+1,"")</f>
        <v/>
      </c>
      <c r="AJ2491" s="18" t="str">
        <f aca="false">IF($D2491="","",IF(OR($R2491=TRUE(),$R2491="TRUE"),1,0))</f>
        <v/>
      </c>
      <c r="AK2491" s="18" t="str">
        <f aca="false">IF($AH2491=1,IFERROR(VALUE(MID($D2491,2,20)),1000000000)+ROW()/10000000,"")</f>
        <v/>
      </c>
    </row>
    <row r="2492" customFormat="false" ht="15" hidden="false" customHeight="false" outlineLevel="0" collapsed="false">
      <c r="F2492" s="15"/>
      <c r="N2492" s="16" t="str">
        <f aca="false">IF($D2492="","",M2492*Y2492/100)</f>
        <v/>
      </c>
      <c r="V2492" s="16" t="str">
        <f aca="false">IF($D2492="","",Y2492*AB2492/100)</f>
        <v/>
      </c>
      <c r="W2492" s="16" t="str">
        <f aca="false">IF($D2492="","",Y2492-V2492)</f>
        <v/>
      </c>
      <c r="X2492" s="16" t="str">
        <f aca="false">IF($D2492="","",W2492-N2492)</f>
        <v/>
      </c>
      <c r="AB2492" s="17" t="str">
        <f aca="false">IF($D2492="","",IF(OR($R2492=TRUE(),$R2492="TRUE"),Settings!$C$6,Settings!$C$7)*100)</f>
        <v/>
      </c>
      <c r="AH2492" s="18" t="str">
        <f aca="false">IF($D2492="","",IF(COUNTIF($D$2:$D2492,$D2492)=1,1,0))</f>
        <v/>
      </c>
      <c r="AI2492" s="18" t="str">
        <f aca="false">IF($AH2492=1,SUMPRODUCT(--($AK$2:$AK$4001&lt;$AK2492))+1,"")</f>
        <v/>
      </c>
      <c r="AJ2492" s="18" t="str">
        <f aca="false">IF($D2492="","",IF(OR($R2492=TRUE(),$R2492="TRUE"),1,0))</f>
        <v/>
      </c>
      <c r="AK2492" s="18" t="str">
        <f aca="false">IF($AH2492=1,IFERROR(VALUE(MID($D2492,2,20)),1000000000)+ROW()/10000000,"")</f>
        <v/>
      </c>
    </row>
    <row r="2493" customFormat="false" ht="15" hidden="false" customHeight="false" outlineLevel="0" collapsed="false">
      <c r="F2493" s="15"/>
      <c r="N2493" s="16" t="str">
        <f aca="false">IF($D2493="","",M2493*Y2493/100)</f>
        <v/>
      </c>
      <c r="V2493" s="16" t="str">
        <f aca="false">IF($D2493="","",Y2493*AB2493/100)</f>
        <v/>
      </c>
      <c r="W2493" s="16" t="str">
        <f aca="false">IF($D2493="","",Y2493-V2493)</f>
        <v/>
      </c>
      <c r="X2493" s="16" t="str">
        <f aca="false">IF($D2493="","",W2493-N2493)</f>
        <v/>
      </c>
      <c r="AB2493" s="17" t="str">
        <f aca="false">IF($D2493="","",IF(OR($R2493=TRUE(),$R2493="TRUE"),Settings!$C$6,Settings!$C$7)*100)</f>
        <v/>
      </c>
      <c r="AH2493" s="18" t="str">
        <f aca="false">IF($D2493="","",IF(COUNTIF($D$2:$D2493,$D2493)=1,1,0))</f>
        <v/>
      </c>
      <c r="AI2493" s="18" t="str">
        <f aca="false">IF($AH2493=1,SUMPRODUCT(--($AK$2:$AK$4001&lt;$AK2493))+1,"")</f>
        <v/>
      </c>
      <c r="AJ2493" s="18" t="str">
        <f aca="false">IF($D2493="","",IF(OR($R2493=TRUE(),$R2493="TRUE"),1,0))</f>
        <v/>
      </c>
      <c r="AK2493" s="18" t="str">
        <f aca="false">IF($AH2493=1,IFERROR(VALUE(MID($D2493,2,20)),1000000000)+ROW()/10000000,"")</f>
        <v/>
      </c>
    </row>
    <row r="2494" customFormat="false" ht="15" hidden="false" customHeight="false" outlineLevel="0" collapsed="false">
      <c r="F2494" s="15"/>
      <c r="N2494" s="16" t="str">
        <f aca="false">IF($D2494="","",M2494*Y2494/100)</f>
        <v/>
      </c>
      <c r="V2494" s="16" t="str">
        <f aca="false">IF($D2494="","",Y2494*AB2494/100)</f>
        <v/>
      </c>
      <c r="W2494" s="16" t="str">
        <f aca="false">IF($D2494="","",Y2494-V2494)</f>
        <v/>
      </c>
      <c r="X2494" s="16" t="str">
        <f aca="false">IF($D2494="","",W2494-N2494)</f>
        <v/>
      </c>
      <c r="AB2494" s="17" t="str">
        <f aca="false">IF($D2494="","",IF(OR($R2494=TRUE(),$R2494="TRUE"),Settings!$C$6,Settings!$C$7)*100)</f>
        <v/>
      </c>
      <c r="AH2494" s="18" t="str">
        <f aca="false">IF($D2494="","",IF(COUNTIF($D$2:$D2494,$D2494)=1,1,0))</f>
        <v/>
      </c>
      <c r="AI2494" s="18" t="str">
        <f aca="false">IF($AH2494=1,SUMPRODUCT(--($AK$2:$AK$4001&lt;$AK2494))+1,"")</f>
        <v/>
      </c>
      <c r="AJ2494" s="18" t="str">
        <f aca="false">IF($D2494="","",IF(OR($R2494=TRUE(),$R2494="TRUE"),1,0))</f>
        <v/>
      </c>
      <c r="AK2494" s="18" t="str">
        <f aca="false">IF($AH2494=1,IFERROR(VALUE(MID($D2494,2,20)),1000000000)+ROW()/10000000,"")</f>
        <v/>
      </c>
    </row>
    <row r="2495" customFormat="false" ht="15" hidden="false" customHeight="false" outlineLevel="0" collapsed="false">
      <c r="F2495" s="15"/>
      <c r="N2495" s="16" t="str">
        <f aca="false">IF($D2495="","",M2495*Y2495/100)</f>
        <v/>
      </c>
      <c r="V2495" s="16" t="str">
        <f aca="false">IF($D2495="","",Y2495*AB2495/100)</f>
        <v/>
      </c>
      <c r="W2495" s="16" t="str">
        <f aca="false">IF($D2495="","",Y2495-V2495)</f>
        <v/>
      </c>
      <c r="X2495" s="16" t="str">
        <f aca="false">IF($D2495="","",W2495-N2495)</f>
        <v/>
      </c>
      <c r="AB2495" s="17" t="str">
        <f aca="false">IF($D2495="","",IF(OR($R2495=TRUE(),$R2495="TRUE"),Settings!$C$6,Settings!$C$7)*100)</f>
        <v/>
      </c>
      <c r="AH2495" s="18" t="str">
        <f aca="false">IF($D2495="","",IF(COUNTIF($D$2:$D2495,$D2495)=1,1,0))</f>
        <v/>
      </c>
      <c r="AI2495" s="18" t="str">
        <f aca="false">IF($AH2495=1,SUMPRODUCT(--($AK$2:$AK$4001&lt;$AK2495))+1,"")</f>
        <v/>
      </c>
      <c r="AJ2495" s="18" t="str">
        <f aca="false">IF($D2495="","",IF(OR($R2495=TRUE(),$R2495="TRUE"),1,0))</f>
        <v/>
      </c>
      <c r="AK2495" s="18" t="str">
        <f aca="false">IF($AH2495=1,IFERROR(VALUE(MID($D2495,2,20)),1000000000)+ROW()/10000000,"")</f>
        <v/>
      </c>
    </row>
    <row r="2496" customFormat="false" ht="15" hidden="false" customHeight="false" outlineLevel="0" collapsed="false">
      <c r="F2496" s="15"/>
      <c r="N2496" s="16" t="str">
        <f aca="false">IF($D2496="","",M2496*Y2496/100)</f>
        <v/>
      </c>
      <c r="V2496" s="16" t="str">
        <f aca="false">IF($D2496="","",Y2496*AB2496/100)</f>
        <v/>
      </c>
      <c r="W2496" s="16" t="str">
        <f aca="false">IF($D2496="","",Y2496-V2496)</f>
        <v/>
      </c>
      <c r="X2496" s="16" t="str">
        <f aca="false">IF($D2496="","",W2496-N2496)</f>
        <v/>
      </c>
      <c r="AB2496" s="17" t="str">
        <f aca="false">IF($D2496="","",IF(OR($R2496=TRUE(),$R2496="TRUE"),Settings!$C$6,Settings!$C$7)*100)</f>
        <v/>
      </c>
      <c r="AH2496" s="18" t="str">
        <f aca="false">IF($D2496="","",IF(COUNTIF($D$2:$D2496,$D2496)=1,1,0))</f>
        <v/>
      </c>
      <c r="AI2496" s="18" t="str">
        <f aca="false">IF($AH2496=1,SUMPRODUCT(--($AK$2:$AK$4001&lt;$AK2496))+1,"")</f>
        <v/>
      </c>
      <c r="AJ2496" s="18" t="str">
        <f aca="false">IF($D2496="","",IF(OR($R2496=TRUE(),$R2496="TRUE"),1,0))</f>
        <v/>
      </c>
      <c r="AK2496" s="18" t="str">
        <f aca="false">IF($AH2496=1,IFERROR(VALUE(MID($D2496,2,20)),1000000000)+ROW()/10000000,"")</f>
        <v/>
      </c>
    </row>
    <row r="2497" customFormat="false" ht="15" hidden="false" customHeight="false" outlineLevel="0" collapsed="false">
      <c r="F2497" s="15"/>
      <c r="N2497" s="16" t="str">
        <f aca="false">IF($D2497="","",M2497*Y2497/100)</f>
        <v/>
      </c>
      <c r="V2497" s="16" t="str">
        <f aca="false">IF($D2497="","",Y2497*AB2497/100)</f>
        <v/>
      </c>
      <c r="W2497" s="16" t="str">
        <f aca="false">IF($D2497="","",Y2497-V2497)</f>
        <v/>
      </c>
      <c r="X2497" s="16" t="str">
        <f aca="false">IF($D2497="","",W2497-N2497)</f>
        <v/>
      </c>
      <c r="AB2497" s="17" t="str">
        <f aca="false">IF($D2497="","",IF(OR($R2497=TRUE(),$R2497="TRUE"),Settings!$C$6,Settings!$C$7)*100)</f>
        <v/>
      </c>
      <c r="AH2497" s="18" t="str">
        <f aca="false">IF($D2497="","",IF(COUNTIF($D$2:$D2497,$D2497)=1,1,0))</f>
        <v/>
      </c>
      <c r="AI2497" s="18" t="str">
        <f aca="false">IF($AH2497=1,SUMPRODUCT(--($AK$2:$AK$4001&lt;$AK2497))+1,"")</f>
        <v/>
      </c>
      <c r="AJ2497" s="18" t="str">
        <f aca="false">IF($D2497="","",IF(OR($R2497=TRUE(),$R2497="TRUE"),1,0))</f>
        <v/>
      </c>
      <c r="AK2497" s="18" t="str">
        <f aca="false">IF($AH2497=1,IFERROR(VALUE(MID($D2497,2,20)),1000000000)+ROW()/10000000,"")</f>
        <v/>
      </c>
    </row>
    <row r="2498" customFormat="false" ht="15" hidden="false" customHeight="false" outlineLevel="0" collapsed="false">
      <c r="F2498" s="15"/>
      <c r="N2498" s="16" t="str">
        <f aca="false">IF($D2498="","",M2498*Y2498/100)</f>
        <v/>
      </c>
      <c r="V2498" s="16" t="str">
        <f aca="false">IF($D2498="","",Y2498*AB2498/100)</f>
        <v/>
      </c>
      <c r="W2498" s="16" t="str">
        <f aca="false">IF($D2498="","",Y2498-V2498)</f>
        <v/>
      </c>
      <c r="X2498" s="16" t="str">
        <f aca="false">IF($D2498="","",W2498-N2498)</f>
        <v/>
      </c>
      <c r="AB2498" s="17" t="str">
        <f aca="false">IF($D2498="","",IF(OR($R2498=TRUE(),$R2498="TRUE"),Settings!$C$6,Settings!$C$7)*100)</f>
        <v/>
      </c>
      <c r="AH2498" s="18" t="str">
        <f aca="false">IF($D2498="","",IF(COUNTIF($D$2:$D2498,$D2498)=1,1,0))</f>
        <v/>
      </c>
      <c r="AI2498" s="18" t="str">
        <f aca="false">IF($AH2498=1,SUMPRODUCT(--($AK$2:$AK$4001&lt;$AK2498))+1,"")</f>
        <v/>
      </c>
      <c r="AJ2498" s="18" t="str">
        <f aca="false">IF($D2498="","",IF(OR($R2498=TRUE(),$R2498="TRUE"),1,0))</f>
        <v/>
      </c>
      <c r="AK2498" s="18" t="str">
        <f aca="false">IF($AH2498=1,IFERROR(VALUE(MID($D2498,2,20)),1000000000)+ROW()/10000000,"")</f>
        <v/>
      </c>
    </row>
    <row r="2499" customFormat="false" ht="15" hidden="false" customHeight="false" outlineLevel="0" collapsed="false">
      <c r="F2499" s="15"/>
      <c r="N2499" s="16" t="str">
        <f aca="false">IF($D2499="","",M2499*Y2499/100)</f>
        <v/>
      </c>
      <c r="V2499" s="16" t="str">
        <f aca="false">IF($D2499="","",Y2499*AB2499/100)</f>
        <v/>
      </c>
      <c r="W2499" s="16" t="str">
        <f aca="false">IF($D2499="","",Y2499-V2499)</f>
        <v/>
      </c>
      <c r="X2499" s="16" t="str">
        <f aca="false">IF($D2499="","",W2499-N2499)</f>
        <v/>
      </c>
      <c r="AB2499" s="17" t="str">
        <f aca="false">IF($D2499="","",IF(OR($R2499=TRUE(),$R2499="TRUE"),Settings!$C$6,Settings!$C$7)*100)</f>
        <v/>
      </c>
      <c r="AH2499" s="18" t="str">
        <f aca="false">IF($D2499="","",IF(COUNTIF($D$2:$D2499,$D2499)=1,1,0))</f>
        <v/>
      </c>
      <c r="AI2499" s="18" t="str">
        <f aca="false">IF($AH2499=1,SUMPRODUCT(--($AK$2:$AK$4001&lt;$AK2499))+1,"")</f>
        <v/>
      </c>
      <c r="AJ2499" s="18" t="str">
        <f aca="false">IF($D2499="","",IF(OR($R2499=TRUE(),$R2499="TRUE"),1,0))</f>
        <v/>
      </c>
      <c r="AK2499" s="18" t="str">
        <f aca="false">IF($AH2499=1,IFERROR(VALUE(MID($D2499,2,20)),1000000000)+ROW()/10000000,"")</f>
        <v/>
      </c>
    </row>
    <row r="2500" customFormat="false" ht="15" hidden="false" customHeight="false" outlineLevel="0" collapsed="false">
      <c r="F2500" s="15"/>
      <c r="N2500" s="16" t="str">
        <f aca="false">IF($D2500="","",M2500*Y2500/100)</f>
        <v/>
      </c>
      <c r="V2500" s="16" t="str">
        <f aca="false">IF($D2500="","",Y2500*AB2500/100)</f>
        <v/>
      </c>
      <c r="W2500" s="16" t="str">
        <f aca="false">IF($D2500="","",Y2500-V2500)</f>
        <v/>
      </c>
      <c r="X2500" s="16" t="str">
        <f aca="false">IF($D2500="","",W2500-N2500)</f>
        <v/>
      </c>
      <c r="AB2500" s="17" t="str">
        <f aca="false">IF($D2500="","",IF(OR($R2500=TRUE(),$R2500="TRUE"),Settings!$C$6,Settings!$C$7)*100)</f>
        <v/>
      </c>
      <c r="AH2500" s="18" t="str">
        <f aca="false">IF($D2500="","",IF(COUNTIF($D$2:$D2500,$D2500)=1,1,0))</f>
        <v/>
      </c>
      <c r="AI2500" s="18" t="str">
        <f aca="false">IF($AH2500=1,SUMPRODUCT(--($AK$2:$AK$4001&lt;$AK2500))+1,"")</f>
        <v/>
      </c>
      <c r="AJ2500" s="18" t="str">
        <f aca="false">IF($D2500="","",IF(OR($R2500=TRUE(),$R2500="TRUE"),1,0))</f>
        <v/>
      </c>
      <c r="AK2500" s="18" t="str">
        <f aca="false">IF($AH2500=1,IFERROR(VALUE(MID($D2500,2,20)),1000000000)+ROW()/10000000,"")</f>
        <v/>
      </c>
    </row>
    <row r="2501" customFormat="false" ht="15" hidden="false" customHeight="false" outlineLevel="0" collapsed="false">
      <c r="F2501" s="15"/>
      <c r="N2501" s="16" t="str">
        <f aca="false">IF($D2501="","",M2501*Y2501/100)</f>
        <v/>
      </c>
      <c r="V2501" s="16" t="str">
        <f aca="false">IF($D2501="","",Y2501*AB2501/100)</f>
        <v/>
      </c>
      <c r="W2501" s="16" t="str">
        <f aca="false">IF($D2501="","",Y2501-V2501)</f>
        <v/>
      </c>
      <c r="X2501" s="16" t="str">
        <f aca="false">IF($D2501="","",W2501-N2501)</f>
        <v/>
      </c>
      <c r="AB2501" s="17" t="str">
        <f aca="false">IF($D2501="","",IF(OR($R2501=TRUE(),$R2501="TRUE"),Settings!$C$6,Settings!$C$7)*100)</f>
        <v/>
      </c>
      <c r="AH2501" s="18" t="str">
        <f aca="false">IF($D2501="","",IF(COUNTIF($D$2:$D2501,$D2501)=1,1,0))</f>
        <v/>
      </c>
      <c r="AI2501" s="18" t="str">
        <f aca="false">IF($AH2501=1,SUMPRODUCT(--($AK$2:$AK$4001&lt;$AK2501))+1,"")</f>
        <v/>
      </c>
      <c r="AJ2501" s="18" t="str">
        <f aca="false">IF($D2501="","",IF(OR($R2501=TRUE(),$R2501="TRUE"),1,0))</f>
        <v/>
      </c>
      <c r="AK2501" s="18" t="str">
        <f aca="false">IF($AH2501=1,IFERROR(VALUE(MID($D2501,2,20)),1000000000)+ROW()/10000000,"")</f>
        <v/>
      </c>
    </row>
    <row r="2502" customFormat="false" ht="15" hidden="false" customHeight="false" outlineLevel="0" collapsed="false">
      <c r="F2502" s="15"/>
      <c r="N2502" s="16" t="str">
        <f aca="false">IF($D2502="","",M2502*Y2502/100)</f>
        <v/>
      </c>
      <c r="V2502" s="16" t="str">
        <f aca="false">IF($D2502="","",Y2502*AB2502/100)</f>
        <v/>
      </c>
      <c r="W2502" s="16" t="str">
        <f aca="false">IF($D2502="","",Y2502-V2502)</f>
        <v/>
      </c>
      <c r="X2502" s="16" t="str">
        <f aca="false">IF($D2502="","",W2502-N2502)</f>
        <v/>
      </c>
      <c r="AB2502" s="17" t="str">
        <f aca="false">IF($D2502="","",IF(OR($R2502=TRUE(),$R2502="TRUE"),Settings!$C$6,Settings!$C$7)*100)</f>
        <v/>
      </c>
      <c r="AH2502" s="18" t="str">
        <f aca="false">IF($D2502="","",IF(COUNTIF($D$2:$D2502,$D2502)=1,1,0))</f>
        <v/>
      </c>
      <c r="AI2502" s="18" t="str">
        <f aca="false">IF($AH2502=1,SUMPRODUCT(--($AK$2:$AK$4001&lt;$AK2502))+1,"")</f>
        <v/>
      </c>
      <c r="AJ2502" s="18" t="str">
        <f aca="false">IF($D2502="","",IF(OR($R2502=TRUE(),$R2502="TRUE"),1,0))</f>
        <v/>
      </c>
      <c r="AK2502" s="18" t="str">
        <f aca="false">IF($AH2502=1,IFERROR(VALUE(MID($D2502,2,20)),1000000000)+ROW()/10000000,"")</f>
        <v/>
      </c>
    </row>
    <row r="2503" customFormat="false" ht="15" hidden="false" customHeight="false" outlineLevel="0" collapsed="false">
      <c r="F2503" s="15"/>
      <c r="N2503" s="16" t="str">
        <f aca="false">IF($D2503="","",M2503*Y2503/100)</f>
        <v/>
      </c>
      <c r="V2503" s="16" t="str">
        <f aca="false">IF($D2503="","",Y2503*AB2503/100)</f>
        <v/>
      </c>
      <c r="W2503" s="16" t="str">
        <f aca="false">IF($D2503="","",Y2503-V2503)</f>
        <v/>
      </c>
      <c r="X2503" s="16" t="str">
        <f aca="false">IF($D2503="","",W2503-N2503)</f>
        <v/>
      </c>
      <c r="AB2503" s="17" t="str">
        <f aca="false">IF($D2503="","",IF(OR($R2503=TRUE(),$R2503="TRUE"),Settings!$C$6,Settings!$C$7)*100)</f>
        <v/>
      </c>
      <c r="AH2503" s="18" t="str">
        <f aca="false">IF($D2503="","",IF(COUNTIF($D$2:$D2503,$D2503)=1,1,0))</f>
        <v/>
      </c>
      <c r="AI2503" s="18" t="str">
        <f aca="false">IF($AH2503=1,SUMPRODUCT(--($AK$2:$AK$4001&lt;$AK2503))+1,"")</f>
        <v/>
      </c>
      <c r="AJ2503" s="18" t="str">
        <f aca="false">IF($D2503="","",IF(OR($R2503=TRUE(),$R2503="TRUE"),1,0))</f>
        <v/>
      </c>
      <c r="AK2503" s="18" t="str">
        <f aca="false">IF($AH2503=1,IFERROR(VALUE(MID($D2503,2,20)),1000000000)+ROW()/10000000,"")</f>
        <v/>
      </c>
    </row>
    <row r="2504" customFormat="false" ht="15" hidden="false" customHeight="false" outlineLevel="0" collapsed="false">
      <c r="F2504" s="15"/>
      <c r="N2504" s="16" t="str">
        <f aca="false">IF($D2504="","",M2504*Y2504/100)</f>
        <v/>
      </c>
      <c r="V2504" s="16" t="str">
        <f aca="false">IF($D2504="","",Y2504*AB2504/100)</f>
        <v/>
      </c>
      <c r="W2504" s="16" t="str">
        <f aca="false">IF($D2504="","",Y2504-V2504)</f>
        <v/>
      </c>
      <c r="X2504" s="16" t="str">
        <f aca="false">IF($D2504="","",W2504-N2504)</f>
        <v/>
      </c>
      <c r="AB2504" s="17" t="str">
        <f aca="false">IF($D2504="","",IF(OR($R2504=TRUE(),$R2504="TRUE"),Settings!$C$6,Settings!$C$7)*100)</f>
        <v/>
      </c>
      <c r="AH2504" s="18" t="str">
        <f aca="false">IF($D2504="","",IF(COUNTIF($D$2:$D2504,$D2504)=1,1,0))</f>
        <v/>
      </c>
      <c r="AI2504" s="18" t="str">
        <f aca="false">IF($AH2504=1,SUMPRODUCT(--($AK$2:$AK$4001&lt;$AK2504))+1,"")</f>
        <v/>
      </c>
      <c r="AJ2504" s="18" t="str">
        <f aca="false">IF($D2504="","",IF(OR($R2504=TRUE(),$R2504="TRUE"),1,0))</f>
        <v/>
      </c>
      <c r="AK2504" s="18" t="str">
        <f aca="false">IF($AH2504=1,IFERROR(VALUE(MID($D2504,2,20)),1000000000)+ROW()/10000000,"")</f>
        <v/>
      </c>
    </row>
    <row r="2505" customFormat="false" ht="15" hidden="false" customHeight="false" outlineLevel="0" collapsed="false">
      <c r="F2505" s="15"/>
      <c r="N2505" s="16" t="str">
        <f aca="false">IF($D2505="","",M2505*Y2505/100)</f>
        <v/>
      </c>
      <c r="V2505" s="16" t="str">
        <f aca="false">IF($D2505="","",Y2505*AB2505/100)</f>
        <v/>
      </c>
      <c r="W2505" s="16" t="str">
        <f aca="false">IF($D2505="","",Y2505-V2505)</f>
        <v/>
      </c>
      <c r="X2505" s="16" t="str">
        <f aca="false">IF($D2505="","",W2505-N2505)</f>
        <v/>
      </c>
      <c r="AB2505" s="17" t="str">
        <f aca="false">IF($D2505="","",IF(OR($R2505=TRUE(),$R2505="TRUE"),Settings!$C$6,Settings!$C$7)*100)</f>
        <v/>
      </c>
      <c r="AH2505" s="18" t="str">
        <f aca="false">IF($D2505="","",IF(COUNTIF($D$2:$D2505,$D2505)=1,1,0))</f>
        <v/>
      </c>
      <c r="AI2505" s="18" t="str">
        <f aca="false">IF($AH2505=1,SUMPRODUCT(--($AK$2:$AK$4001&lt;$AK2505))+1,"")</f>
        <v/>
      </c>
      <c r="AJ2505" s="18" t="str">
        <f aca="false">IF($D2505="","",IF(OR($R2505=TRUE(),$R2505="TRUE"),1,0))</f>
        <v/>
      </c>
      <c r="AK2505" s="18" t="str">
        <f aca="false">IF($AH2505=1,IFERROR(VALUE(MID($D2505,2,20)),1000000000)+ROW()/10000000,"")</f>
        <v/>
      </c>
    </row>
    <row r="2506" customFormat="false" ht="15" hidden="false" customHeight="false" outlineLevel="0" collapsed="false">
      <c r="F2506" s="15"/>
      <c r="N2506" s="16" t="str">
        <f aca="false">IF($D2506="","",M2506*Y2506/100)</f>
        <v/>
      </c>
      <c r="V2506" s="16" t="str">
        <f aca="false">IF($D2506="","",Y2506*AB2506/100)</f>
        <v/>
      </c>
      <c r="W2506" s="16" t="str">
        <f aca="false">IF($D2506="","",Y2506-V2506)</f>
        <v/>
      </c>
      <c r="X2506" s="16" t="str">
        <f aca="false">IF($D2506="","",W2506-N2506)</f>
        <v/>
      </c>
      <c r="AB2506" s="17" t="str">
        <f aca="false">IF($D2506="","",IF(OR($R2506=TRUE(),$R2506="TRUE"),Settings!$C$6,Settings!$C$7)*100)</f>
        <v/>
      </c>
      <c r="AH2506" s="18" t="str">
        <f aca="false">IF($D2506="","",IF(COUNTIF($D$2:$D2506,$D2506)=1,1,0))</f>
        <v/>
      </c>
      <c r="AI2506" s="18" t="str">
        <f aca="false">IF($AH2506=1,SUMPRODUCT(--($AK$2:$AK$4001&lt;$AK2506))+1,"")</f>
        <v/>
      </c>
      <c r="AJ2506" s="18" t="str">
        <f aca="false">IF($D2506="","",IF(OR($R2506=TRUE(),$R2506="TRUE"),1,0))</f>
        <v/>
      </c>
      <c r="AK2506" s="18" t="str">
        <f aca="false">IF($AH2506=1,IFERROR(VALUE(MID($D2506,2,20)),1000000000)+ROW()/10000000,"")</f>
        <v/>
      </c>
    </row>
    <row r="2507" customFormat="false" ht="15" hidden="false" customHeight="false" outlineLevel="0" collapsed="false">
      <c r="F2507" s="15"/>
      <c r="N2507" s="16" t="str">
        <f aca="false">IF($D2507="","",M2507*Y2507/100)</f>
        <v/>
      </c>
      <c r="V2507" s="16" t="str">
        <f aca="false">IF($D2507="","",Y2507*AB2507/100)</f>
        <v/>
      </c>
      <c r="W2507" s="16" t="str">
        <f aca="false">IF($D2507="","",Y2507-V2507)</f>
        <v/>
      </c>
      <c r="X2507" s="16" t="str">
        <f aca="false">IF($D2507="","",W2507-N2507)</f>
        <v/>
      </c>
      <c r="AB2507" s="17" t="str">
        <f aca="false">IF($D2507="","",IF(OR($R2507=TRUE(),$R2507="TRUE"),Settings!$C$6,Settings!$C$7)*100)</f>
        <v/>
      </c>
      <c r="AH2507" s="18" t="str">
        <f aca="false">IF($D2507="","",IF(COUNTIF($D$2:$D2507,$D2507)=1,1,0))</f>
        <v/>
      </c>
      <c r="AI2507" s="18" t="str">
        <f aca="false">IF($AH2507=1,SUMPRODUCT(--($AK$2:$AK$4001&lt;$AK2507))+1,"")</f>
        <v/>
      </c>
      <c r="AJ2507" s="18" t="str">
        <f aca="false">IF($D2507="","",IF(OR($R2507=TRUE(),$R2507="TRUE"),1,0))</f>
        <v/>
      </c>
      <c r="AK2507" s="18" t="str">
        <f aca="false">IF($AH2507=1,IFERROR(VALUE(MID($D2507,2,20)),1000000000)+ROW()/10000000,"")</f>
        <v/>
      </c>
    </row>
    <row r="2508" customFormat="false" ht="15" hidden="false" customHeight="false" outlineLevel="0" collapsed="false">
      <c r="F2508" s="15"/>
      <c r="N2508" s="16" t="str">
        <f aca="false">IF($D2508="","",M2508*Y2508/100)</f>
        <v/>
      </c>
      <c r="V2508" s="16" t="str">
        <f aca="false">IF($D2508="","",Y2508*AB2508/100)</f>
        <v/>
      </c>
      <c r="W2508" s="16" t="str">
        <f aca="false">IF($D2508="","",Y2508-V2508)</f>
        <v/>
      </c>
      <c r="X2508" s="16" t="str">
        <f aca="false">IF($D2508="","",W2508-N2508)</f>
        <v/>
      </c>
      <c r="AB2508" s="17" t="str">
        <f aca="false">IF($D2508="","",IF(OR($R2508=TRUE(),$R2508="TRUE"),Settings!$C$6,Settings!$C$7)*100)</f>
        <v/>
      </c>
      <c r="AH2508" s="18" t="str">
        <f aca="false">IF($D2508="","",IF(COUNTIF($D$2:$D2508,$D2508)=1,1,0))</f>
        <v/>
      </c>
      <c r="AI2508" s="18" t="str">
        <f aca="false">IF($AH2508=1,SUMPRODUCT(--($AK$2:$AK$4001&lt;$AK2508))+1,"")</f>
        <v/>
      </c>
      <c r="AJ2508" s="18" t="str">
        <f aca="false">IF($D2508="","",IF(OR($R2508=TRUE(),$R2508="TRUE"),1,0))</f>
        <v/>
      </c>
      <c r="AK2508" s="18" t="str">
        <f aca="false">IF($AH2508=1,IFERROR(VALUE(MID($D2508,2,20)),1000000000)+ROW()/10000000,"")</f>
        <v/>
      </c>
    </row>
    <row r="2509" customFormat="false" ht="15" hidden="false" customHeight="false" outlineLevel="0" collapsed="false">
      <c r="F2509" s="15"/>
      <c r="N2509" s="16" t="str">
        <f aca="false">IF($D2509="","",M2509*Y2509/100)</f>
        <v/>
      </c>
      <c r="V2509" s="16" t="str">
        <f aca="false">IF($D2509="","",Y2509*AB2509/100)</f>
        <v/>
      </c>
      <c r="W2509" s="16" t="str">
        <f aca="false">IF($D2509="","",Y2509-V2509)</f>
        <v/>
      </c>
      <c r="X2509" s="16" t="str">
        <f aca="false">IF($D2509="","",W2509-N2509)</f>
        <v/>
      </c>
      <c r="AB2509" s="17" t="str">
        <f aca="false">IF($D2509="","",IF(OR($R2509=TRUE(),$R2509="TRUE"),Settings!$C$6,Settings!$C$7)*100)</f>
        <v/>
      </c>
      <c r="AH2509" s="18" t="str">
        <f aca="false">IF($D2509="","",IF(COUNTIF($D$2:$D2509,$D2509)=1,1,0))</f>
        <v/>
      </c>
      <c r="AI2509" s="18" t="str">
        <f aca="false">IF($AH2509=1,SUMPRODUCT(--($AK$2:$AK$4001&lt;$AK2509))+1,"")</f>
        <v/>
      </c>
      <c r="AJ2509" s="18" t="str">
        <f aca="false">IF($D2509="","",IF(OR($R2509=TRUE(),$R2509="TRUE"),1,0))</f>
        <v/>
      </c>
      <c r="AK2509" s="18" t="str">
        <f aca="false">IF($AH2509=1,IFERROR(VALUE(MID($D2509,2,20)),1000000000)+ROW()/10000000,"")</f>
        <v/>
      </c>
    </row>
    <row r="2510" customFormat="false" ht="15" hidden="false" customHeight="false" outlineLevel="0" collapsed="false">
      <c r="F2510" s="15"/>
      <c r="N2510" s="16" t="str">
        <f aca="false">IF($D2510="","",M2510*Y2510/100)</f>
        <v/>
      </c>
      <c r="V2510" s="16" t="str">
        <f aca="false">IF($D2510="","",Y2510*AB2510/100)</f>
        <v/>
      </c>
      <c r="W2510" s="16" t="str">
        <f aca="false">IF($D2510="","",Y2510-V2510)</f>
        <v/>
      </c>
      <c r="X2510" s="16" t="str">
        <f aca="false">IF($D2510="","",W2510-N2510)</f>
        <v/>
      </c>
      <c r="AB2510" s="17" t="str">
        <f aca="false">IF($D2510="","",IF(OR($R2510=TRUE(),$R2510="TRUE"),Settings!$C$6,Settings!$C$7)*100)</f>
        <v/>
      </c>
      <c r="AH2510" s="18" t="str">
        <f aca="false">IF($D2510="","",IF(COUNTIF($D$2:$D2510,$D2510)=1,1,0))</f>
        <v/>
      </c>
      <c r="AI2510" s="18" t="str">
        <f aca="false">IF($AH2510=1,SUMPRODUCT(--($AK$2:$AK$4001&lt;$AK2510))+1,"")</f>
        <v/>
      </c>
      <c r="AJ2510" s="18" t="str">
        <f aca="false">IF($D2510="","",IF(OR($R2510=TRUE(),$R2510="TRUE"),1,0))</f>
        <v/>
      </c>
      <c r="AK2510" s="18" t="str">
        <f aca="false">IF($AH2510=1,IFERROR(VALUE(MID($D2510,2,20)),1000000000)+ROW()/10000000,"")</f>
        <v/>
      </c>
    </row>
    <row r="2511" customFormat="false" ht="15" hidden="false" customHeight="false" outlineLevel="0" collapsed="false">
      <c r="F2511" s="15"/>
      <c r="N2511" s="16" t="str">
        <f aca="false">IF($D2511="","",M2511*Y2511/100)</f>
        <v/>
      </c>
      <c r="V2511" s="16" t="str">
        <f aca="false">IF($D2511="","",Y2511*AB2511/100)</f>
        <v/>
      </c>
      <c r="W2511" s="16" t="str">
        <f aca="false">IF($D2511="","",Y2511-V2511)</f>
        <v/>
      </c>
      <c r="X2511" s="16" t="str">
        <f aca="false">IF($D2511="","",W2511-N2511)</f>
        <v/>
      </c>
      <c r="AB2511" s="17" t="str">
        <f aca="false">IF($D2511="","",IF(OR($R2511=TRUE(),$R2511="TRUE"),Settings!$C$6,Settings!$C$7)*100)</f>
        <v/>
      </c>
      <c r="AH2511" s="18" t="str">
        <f aca="false">IF($D2511="","",IF(COUNTIF($D$2:$D2511,$D2511)=1,1,0))</f>
        <v/>
      </c>
      <c r="AI2511" s="18" t="str">
        <f aca="false">IF($AH2511=1,SUMPRODUCT(--($AK$2:$AK$4001&lt;$AK2511))+1,"")</f>
        <v/>
      </c>
      <c r="AJ2511" s="18" t="str">
        <f aca="false">IF($D2511="","",IF(OR($R2511=TRUE(),$R2511="TRUE"),1,0))</f>
        <v/>
      </c>
      <c r="AK2511" s="18" t="str">
        <f aca="false">IF($AH2511=1,IFERROR(VALUE(MID($D2511,2,20)),1000000000)+ROW()/10000000,"")</f>
        <v/>
      </c>
    </row>
    <row r="2512" customFormat="false" ht="15" hidden="false" customHeight="false" outlineLevel="0" collapsed="false">
      <c r="F2512" s="15"/>
      <c r="N2512" s="16" t="str">
        <f aca="false">IF($D2512="","",M2512*Y2512/100)</f>
        <v/>
      </c>
      <c r="V2512" s="16" t="str">
        <f aca="false">IF($D2512="","",Y2512*AB2512/100)</f>
        <v/>
      </c>
      <c r="W2512" s="16" t="str">
        <f aca="false">IF($D2512="","",Y2512-V2512)</f>
        <v/>
      </c>
      <c r="X2512" s="16" t="str">
        <f aca="false">IF($D2512="","",W2512-N2512)</f>
        <v/>
      </c>
      <c r="AB2512" s="17" t="str">
        <f aca="false">IF($D2512="","",IF(OR($R2512=TRUE(),$R2512="TRUE"),Settings!$C$6,Settings!$C$7)*100)</f>
        <v/>
      </c>
      <c r="AH2512" s="18" t="str">
        <f aca="false">IF($D2512="","",IF(COUNTIF($D$2:$D2512,$D2512)=1,1,0))</f>
        <v/>
      </c>
      <c r="AI2512" s="18" t="str">
        <f aca="false">IF($AH2512=1,SUMPRODUCT(--($AK$2:$AK$4001&lt;$AK2512))+1,"")</f>
        <v/>
      </c>
      <c r="AJ2512" s="18" t="str">
        <f aca="false">IF($D2512="","",IF(OR($R2512=TRUE(),$R2512="TRUE"),1,0))</f>
        <v/>
      </c>
      <c r="AK2512" s="18" t="str">
        <f aca="false">IF($AH2512=1,IFERROR(VALUE(MID($D2512,2,20)),1000000000)+ROW()/10000000,"")</f>
        <v/>
      </c>
    </row>
    <row r="2513" customFormat="false" ht="15" hidden="false" customHeight="false" outlineLevel="0" collapsed="false">
      <c r="F2513" s="15"/>
      <c r="N2513" s="16" t="str">
        <f aca="false">IF($D2513="","",M2513*Y2513/100)</f>
        <v/>
      </c>
      <c r="V2513" s="16" t="str">
        <f aca="false">IF($D2513="","",Y2513*AB2513/100)</f>
        <v/>
      </c>
      <c r="W2513" s="16" t="str">
        <f aca="false">IF($D2513="","",Y2513-V2513)</f>
        <v/>
      </c>
      <c r="X2513" s="16" t="str">
        <f aca="false">IF($D2513="","",W2513-N2513)</f>
        <v/>
      </c>
      <c r="AB2513" s="17" t="str">
        <f aca="false">IF($D2513="","",IF(OR($R2513=TRUE(),$R2513="TRUE"),Settings!$C$6,Settings!$C$7)*100)</f>
        <v/>
      </c>
      <c r="AH2513" s="18" t="str">
        <f aca="false">IF($D2513="","",IF(COUNTIF($D$2:$D2513,$D2513)=1,1,0))</f>
        <v/>
      </c>
      <c r="AI2513" s="18" t="str">
        <f aca="false">IF($AH2513=1,SUMPRODUCT(--($AK$2:$AK$4001&lt;$AK2513))+1,"")</f>
        <v/>
      </c>
      <c r="AJ2513" s="18" t="str">
        <f aca="false">IF($D2513="","",IF(OR($R2513=TRUE(),$R2513="TRUE"),1,0))</f>
        <v/>
      </c>
      <c r="AK2513" s="18" t="str">
        <f aca="false">IF($AH2513=1,IFERROR(VALUE(MID($D2513,2,20)),1000000000)+ROW()/10000000,"")</f>
        <v/>
      </c>
    </row>
    <row r="2514" customFormat="false" ht="15" hidden="false" customHeight="false" outlineLevel="0" collapsed="false">
      <c r="F2514" s="15"/>
      <c r="N2514" s="16" t="str">
        <f aca="false">IF($D2514="","",M2514*Y2514/100)</f>
        <v/>
      </c>
      <c r="V2514" s="16" t="str">
        <f aca="false">IF($D2514="","",Y2514*AB2514/100)</f>
        <v/>
      </c>
      <c r="W2514" s="16" t="str">
        <f aca="false">IF($D2514="","",Y2514-V2514)</f>
        <v/>
      </c>
      <c r="X2514" s="16" t="str">
        <f aca="false">IF($D2514="","",W2514-N2514)</f>
        <v/>
      </c>
      <c r="AB2514" s="17" t="str">
        <f aca="false">IF($D2514="","",IF(OR($R2514=TRUE(),$R2514="TRUE"),Settings!$C$6,Settings!$C$7)*100)</f>
        <v/>
      </c>
      <c r="AH2514" s="18" t="str">
        <f aca="false">IF($D2514="","",IF(COUNTIF($D$2:$D2514,$D2514)=1,1,0))</f>
        <v/>
      </c>
      <c r="AI2514" s="18" t="str">
        <f aca="false">IF($AH2514=1,SUMPRODUCT(--($AK$2:$AK$4001&lt;$AK2514))+1,"")</f>
        <v/>
      </c>
      <c r="AJ2514" s="18" t="str">
        <f aca="false">IF($D2514="","",IF(OR($R2514=TRUE(),$R2514="TRUE"),1,0))</f>
        <v/>
      </c>
      <c r="AK2514" s="18" t="str">
        <f aca="false">IF($AH2514=1,IFERROR(VALUE(MID($D2514,2,20)),1000000000)+ROW()/10000000,"")</f>
        <v/>
      </c>
    </row>
    <row r="2515" customFormat="false" ht="15" hidden="false" customHeight="false" outlineLevel="0" collapsed="false">
      <c r="F2515" s="15"/>
      <c r="N2515" s="16" t="str">
        <f aca="false">IF($D2515="","",M2515*Y2515/100)</f>
        <v/>
      </c>
      <c r="V2515" s="16" t="str">
        <f aca="false">IF($D2515="","",Y2515*AB2515/100)</f>
        <v/>
      </c>
      <c r="W2515" s="16" t="str">
        <f aca="false">IF($D2515="","",Y2515-V2515)</f>
        <v/>
      </c>
      <c r="X2515" s="16" t="str">
        <f aca="false">IF($D2515="","",W2515-N2515)</f>
        <v/>
      </c>
      <c r="AB2515" s="17" t="str">
        <f aca="false">IF($D2515="","",IF(OR($R2515=TRUE(),$R2515="TRUE"),Settings!$C$6,Settings!$C$7)*100)</f>
        <v/>
      </c>
      <c r="AH2515" s="18" t="str">
        <f aca="false">IF($D2515="","",IF(COUNTIF($D$2:$D2515,$D2515)=1,1,0))</f>
        <v/>
      </c>
      <c r="AI2515" s="18" t="str">
        <f aca="false">IF($AH2515=1,SUMPRODUCT(--($AK$2:$AK$4001&lt;$AK2515))+1,"")</f>
        <v/>
      </c>
      <c r="AJ2515" s="18" t="str">
        <f aca="false">IF($D2515="","",IF(OR($R2515=TRUE(),$R2515="TRUE"),1,0))</f>
        <v/>
      </c>
      <c r="AK2515" s="18" t="str">
        <f aca="false">IF($AH2515=1,IFERROR(VALUE(MID($D2515,2,20)),1000000000)+ROW()/10000000,"")</f>
        <v/>
      </c>
    </row>
    <row r="2516" customFormat="false" ht="15" hidden="false" customHeight="false" outlineLevel="0" collapsed="false">
      <c r="F2516" s="15"/>
      <c r="N2516" s="16" t="str">
        <f aca="false">IF($D2516="","",M2516*Y2516/100)</f>
        <v/>
      </c>
      <c r="V2516" s="16" t="str">
        <f aca="false">IF($D2516="","",Y2516*AB2516/100)</f>
        <v/>
      </c>
      <c r="W2516" s="16" t="str">
        <f aca="false">IF($D2516="","",Y2516-V2516)</f>
        <v/>
      </c>
      <c r="X2516" s="16" t="str">
        <f aca="false">IF($D2516="","",W2516-N2516)</f>
        <v/>
      </c>
      <c r="AB2516" s="17" t="str">
        <f aca="false">IF($D2516="","",IF(OR($R2516=TRUE(),$R2516="TRUE"),Settings!$C$6,Settings!$C$7)*100)</f>
        <v/>
      </c>
      <c r="AH2516" s="18" t="str">
        <f aca="false">IF($D2516="","",IF(COUNTIF($D$2:$D2516,$D2516)=1,1,0))</f>
        <v/>
      </c>
      <c r="AI2516" s="18" t="str">
        <f aca="false">IF($AH2516=1,SUMPRODUCT(--($AK$2:$AK$4001&lt;$AK2516))+1,"")</f>
        <v/>
      </c>
      <c r="AJ2516" s="18" t="str">
        <f aca="false">IF($D2516="","",IF(OR($R2516=TRUE(),$R2516="TRUE"),1,0))</f>
        <v/>
      </c>
      <c r="AK2516" s="18" t="str">
        <f aca="false">IF($AH2516=1,IFERROR(VALUE(MID($D2516,2,20)),1000000000)+ROW()/10000000,"")</f>
        <v/>
      </c>
    </row>
    <row r="2517" customFormat="false" ht="15" hidden="false" customHeight="false" outlineLevel="0" collapsed="false">
      <c r="F2517" s="15"/>
      <c r="N2517" s="16" t="str">
        <f aca="false">IF($D2517="","",M2517*Y2517/100)</f>
        <v/>
      </c>
      <c r="V2517" s="16" t="str">
        <f aca="false">IF($D2517="","",Y2517*AB2517/100)</f>
        <v/>
      </c>
      <c r="W2517" s="16" t="str">
        <f aca="false">IF($D2517="","",Y2517-V2517)</f>
        <v/>
      </c>
      <c r="X2517" s="16" t="str">
        <f aca="false">IF($D2517="","",W2517-N2517)</f>
        <v/>
      </c>
      <c r="AB2517" s="17" t="str">
        <f aca="false">IF($D2517="","",IF(OR($R2517=TRUE(),$R2517="TRUE"),Settings!$C$6,Settings!$C$7)*100)</f>
        <v/>
      </c>
      <c r="AH2517" s="18" t="str">
        <f aca="false">IF($D2517="","",IF(COUNTIF($D$2:$D2517,$D2517)=1,1,0))</f>
        <v/>
      </c>
      <c r="AI2517" s="18" t="str">
        <f aca="false">IF($AH2517=1,SUMPRODUCT(--($AK$2:$AK$4001&lt;$AK2517))+1,"")</f>
        <v/>
      </c>
      <c r="AJ2517" s="18" t="str">
        <f aca="false">IF($D2517="","",IF(OR($R2517=TRUE(),$R2517="TRUE"),1,0))</f>
        <v/>
      </c>
      <c r="AK2517" s="18" t="str">
        <f aca="false">IF($AH2517=1,IFERROR(VALUE(MID($D2517,2,20)),1000000000)+ROW()/10000000,"")</f>
        <v/>
      </c>
    </row>
    <row r="2518" customFormat="false" ht="15" hidden="false" customHeight="false" outlineLevel="0" collapsed="false">
      <c r="F2518" s="15"/>
      <c r="N2518" s="16" t="str">
        <f aca="false">IF($D2518="","",M2518*Y2518/100)</f>
        <v/>
      </c>
      <c r="V2518" s="16" t="str">
        <f aca="false">IF($D2518="","",Y2518*AB2518/100)</f>
        <v/>
      </c>
      <c r="W2518" s="16" t="str">
        <f aca="false">IF($D2518="","",Y2518-V2518)</f>
        <v/>
      </c>
      <c r="X2518" s="16" t="str">
        <f aca="false">IF($D2518="","",W2518-N2518)</f>
        <v/>
      </c>
      <c r="AB2518" s="17" t="str">
        <f aca="false">IF($D2518="","",IF(OR($R2518=TRUE(),$R2518="TRUE"),Settings!$C$6,Settings!$C$7)*100)</f>
        <v/>
      </c>
      <c r="AH2518" s="18" t="str">
        <f aca="false">IF($D2518="","",IF(COUNTIF($D$2:$D2518,$D2518)=1,1,0))</f>
        <v/>
      </c>
      <c r="AI2518" s="18" t="str">
        <f aca="false">IF($AH2518=1,SUMPRODUCT(--($AK$2:$AK$4001&lt;$AK2518))+1,"")</f>
        <v/>
      </c>
      <c r="AJ2518" s="18" t="str">
        <f aca="false">IF($D2518="","",IF(OR($R2518=TRUE(),$R2518="TRUE"),1,0))</f>
        <v/>
      </c>
      <c r="AK2518" s="18" t="str">
        <f aca="false">IF($AH2518=1,IFERROR(VALUE(MID($D2518,2,20)),1000000000)+ROW()/10000000,"")</f>
        <v/>
      </c>
    </row>
    <row r="2519" customFormat="false" ht="15" hidden="false" customHeight="false" outlineLevel="0" collapsed="false">
      <c r="F2519" s="15"/>
      <c r="N2519" s="16" t="str">
        <f aca="false">IF($D2519="","",M2519*Y2519/100)</f>
        <v/>
      </c>
      <c r="V2519" s="16" t="str">
        <f aca="false">IF($D2519="","",Y2519*AB2519/100)</f>
        <v/>
      </c>
      <c r="W2519" s="16" t="str">
        <f aca="false">IF($D2519="","",Y2519-V2519)</f>
        <v/>
      </c>
      <c r="X2519" s="16" t="str">
        <f aca="false">IF($D2519="","",W2519-N2519)</f>
        <v/>
      </c>
      <c r="AB2519" s="17" t="str">
        <f aca="false">IF($D2519="","",IF(OR($R2519=TRUE(),$R2519="TRUE"),Settings!$C$6,Settings!$C$7)*100)</f>
        <v/>
      </c>
      <c r="AH2519" s="18" t="str">
        <f aca="false">IF($D2519="","",IF(COUNTIF($D$2:$D2519,$D2519)=1,1,0))</f>
        <v/>
      </c>
      <c r="AI2519" s="18" t="str">
        <f aca="false">IF($AH2519=1,SUMPRODUCT(--($AK$2:$AK$4001&lt;$AK2519))+1,"")</f>
        <v/>
      </c>
      <c r="AJ2519" s="18" t="str">
        <f aca="false">IF($D2519="","",IF(OR($R2519=TRUE(),$R2519="TRUE"),1,0))</f>
        <v/>
      </c>
      <c r="AK2519" s="18" t="str">
        <f aca="false">IF($AH2519=1,IFERROR(VALUE(MID($D2519,2,20)),1000000000)+ROW()/10000000,"")</f>
        <v/>
      </c>
    </row>
    <row r="2520" customFormat="false" ht="15" hidden="false" customHeight="false" outlineLevel="0" collapsed="false">
      <c r="F2520" s="15"/>
      <c r="N2520" s="16" t="str">
        <f aca="false">IF($D2520="","",M2520*Y2520/100)</f>
        <v/>
      </c>
      <c r="V2520" s="16" t="str">
        <f aca="false">IF($D2520="","",Y2520*AB2520/100)</f>
        <v/>
      </c>
      <c r="W2520" s="16" t="str">
        <f aca="false">IF($D2520="","",Y2520-V2520)</f>
        <v/>
      </c>
      <c r="X2520" s="16" t="str">
        <f aca="false">IF($D2520="","",W2520-N2520)</f>
        <v/>
      </c>
      <c r="AB2520" s="17" t="str">
        <f aca="false">IF($D2520="","",IF(OR($R2520=TRUE(),$R2520="TRUE"),Settings!$C$6,Settings!$C$7)*100)</f>
        <v/>
      </c>
      <c r="AH2520" s="18" t="str">
        <f aca="false">IF($D2520="","",IF(COUNTIF($D$2:$D2520,$D2520)=1,1,0))</f>
        <v/>
      </c>
      <c r="AI2520" s="18" t="str">
        <f aca="false">IF($AH2520=1,SUMPRODUCT(--($AK$2:$AK$4001&lt;$AK2520))+1,"")</f>
        <v/>
      </c>
      <c r="AJ2520" s="18" t="str">
        <f aca="false">IF($D2520="","",IF(OR($R2520=TRUE(),$R2520="TRUE"),1,0))</f>
        <v/>
      </c>
      <c r="AK2520" s="18" t="str">
        <f aca="false">IF($AH2520=1,IFERROR(VALUE(MID($D2520,2,20)),1000000000)+ROW()/10000000,"")</f>
        <v/>
      </c>
    </row>
    <row r="2521" customFormat="false" ht="15" hidden="false" customHeight="false" outlineLevel="0" collapsed="false">
      <c r="F2521" s="15"/>
      <c r="N2521" s="16" t="str">
        <f aca="false">IF($D2521="","",M2521*Y2521/100)</f>
        <v/>
      </c>
      <c r="V2521" s="16" t="str">
        <f aca="false">IF($D2521="","",Y2521*AB2521/100)</f>
        <v/>
      </c>
      <c r="W2521" s="16" t="str">
        <f aca="false">IF($D2521="","",Y2521-V2521)</f>
        <v/>
      </c>
      <c r="X2521" s="16" t="str">
        <f aca="false">IF($D2521="","",W2521-N2521)</f>
        <v/>
      </c>
      <c r="AB2521" s="17" t="str">
        <f aca="false">IF($D2521="","",IF(OR($R2521=TRUE(),$R2521="TRUE"),Settings!$C$6,Settings!$C$7)*100)</f>
        <v/>
      </c>
      <c r="AH2521" s="18" t="str">
        <f aca="false">IF($D2521="","",IF(COUNTIF($D$2:$D2521,$D2521)=1,1,0))</f>
        <v/>
      </c>
      <c r="AI2521" s="18" t="str">
        <f aca="false">IF($AH2521=1,SUMPRODUCT(--($AK$2:$AK$4001&lt;$AK2521))+1,"")</f>
        <v/>
      </c>
      <c r="AJ2521" s="18" t="str">
        <f aca="false">IF($D2521="","",IF(OR($R2521=TRUE(),$R2521="TRUE"),1,0))</f>
        <v/>
      </c>
      <c r="AK2521" s="18" t="str">
        <f aca="false">IF($AH2521=1,IFERROR(VALUE(MID($D2521,2,20)),1000000000)+ROW()/10000000,"")</f>
        <v/>
      </c>
    </row>
    <row r="2522" customFormat="false" ht="15" hidden="false" customHeight="false" outlineLevel="0" collapsed="false">
      <c r="F2522" s="15"/>
      <c r="N2522" s="16" t="str">
        <f aca="false">IF($D2522="","",M2522*Y2522/100)</f>
        <v/>
      </c>
      <c r="V2522" s="16" t="str">
        <f aca="false">IF($D2522="","",Y2522*AB2522/100)</f>
        <v/>
      </c>
      <c r="W2522" s="16" t="str">
        <f aca="false">IF($D2522="","",Y2522-V2522)</f>
        <v/>
      </c>
      <c r="X2522" s="16" t="str">
        <f aca="false">IF($D2522="","",W2522-N2522)</f>
        <v/>
      </c>
      <c r="AB2522" s="17" t="str">
        <f aca="false">IF($D2522="","",IF(OR($R2522=TRUE(),$R2522="TRUE"),Settings!$C$6,Settings!$C$7)*100)</f>
        <v/>
      </c>
      <c r="AH2522" s="18" t="str">
        <f aca="false">IF($D2522="","",IF(COUNTIF($D$2:$D2522,$D2522)=1,1,0))</f>
        <v/>
      </c>
      <c r="AI2522" s="18" t="str">
        <f aca="false">IF($AH2522=1,SUMPRODUCT(--($AK$2:$AK$4001&lt;$AK2522))+1,"")</f>
        <v/>
      </c>
      <c r="AJ2522" s="18" t="str">
        <f aca="false">IF($D2522="","",IF(OR($R2522=TRUE(),$R2522="TRUE"),1,0))</f>
        <v/>
      </c>
      <c r="AK2522" s="18" t="str">
        <f aca="false">IF($AH2522=1,IFERROR(VALUE(MID($D2522,2,20)),1000000000)+ROW()/10000000,"")</f>
        <v/>
      </c>
    </row>
    <row r="2523" customFormat="false" ht="15" hidden="false" customHeight="false" outlineLevel="0" collapsed="false">
      <c r="F2523" s="15"/>
      <c r="N2523" s="16" t="str">
        <f aca="false">IF($D2523="","",M2523*Y2523/100)</f>
        <v/>
      </c>
      <c r="V2523" s="16" t="str">
        <f aca="false">IF($D2523="","",Y2523*AB2523/100)</f>
        <v/>
      </c>
      <c r="W2523" s="16" t="str">
        <f aca="false">IF($D2523="","",Y2523-V2523)</f>
        <v/>
      </c>
      <c r="X2523" s="16" t="str">
        <f aca="false">IF($D2523="","",W2523-N2523)</f>
        <v/>
      </c>
      <c r="AB2523" s="17" t="str">
        <f aca="false">IF($D2523="","",IF(OR($R2523=TRUE(),$R2523="TRUE"),Settings!$C$6,Settings!$C$7)*100)</f>
        <v/>
      </c>
      <c r="AH2523" s="18" t="str">
        <f aca="false">IF($D2523="","",IF(COUNTIF($D$2:$D2523,$D2523)=1,1,0))</f>
        <v/>
      </c>
      <c r="AI2523" s="18" t="str">
        <f aca="false">IF($AH2523=1,SUMPRODUCT(--($AK$2:$AK$4001&lt;$AK2523))+1,"")</f>
        <v/>
      </c>
      <c r="AJ2523" s="18" t="str">
        <f aca="false">IF($D2523="","",IF(OR($R2523=TRUE(),$R2523="TRUE"),1,0))</f>
        <v/>
      </c>
      <c r="AK2523" s="18" t="str">
        <f aca="false">IF($AH2523=1,IFERROR(VALUE(MID($D2523,2,20)),1000000000)+ROW()/10000000,"")</f>
        <v/>
      </c>
    </row>
    <row r="2524" customFormat="false" ht="15" hidden="false" customHeight="false" outlineLevel="0" collapsed="false">
      <c r="F2524" s="15"/>
      <c r="N2524" s="16" t="str">
        <f aca="false">IF($D2524="","",M2524*Y2524/100)</f>
        <v/>
      </c>
      <c r="V2524" s="16" t="str">
        <f aca="false">IF($D2524="","",Y2524*AB2524/100)</f>
        <v/>
      </c>
      <c r="W2524" s="16" t="str">
        <f aca="false">IF($D2524="","",Y2524-V2524)</f>
        <v/>
      </c>
      <c r="X2524" s="16" t="str">
        <f aca="false">IF($D2524="","",W2524-N2524)</f>
        <v/>
      </c>
      <c r="AB2524" s="17" t="str">
        <f aca="false">IF($D2524="","",IF(OR($R2524=TRUE(),$R2524="TRUE"),Settings!$C$6,Settings!$C$7)*100)</f>
        <v/>
      </c>
      <c r="AH2524" s="18" t="str">
        <f aca="false">IF($D2524="","",IF(COUNTIF($D$2:$D2524,$D2524)=1,1,0))</f>
        <v/>
      </c>
      <c r="AI2524" s="18" t="str">
        <f aca="false">IF($AH2524=1,SUMPRODUCT(--($AK$2:$AK$4001&lt;$AK2524))+1,"")</f>
        <v/>
      </c>
      <c r="AJ2524" s="18" t="str">
        <f aca="false">IF($D2524="","",IF(OR($R2524=TRUE(),$R2524="TRUE"),1,0))</f>
        <v/>
      </c>
      <c r="AK2524" s="18" t="str">
        <f aca="false">IF($AH2524=1,IFERROR(VALUE(MID($D2524,2,20)),1000000000)+ROW()/10000000,"")</f>
        <v/>
      </c>
    </row>
    <row r="2525" customFormat="false" ht="15" hidden="false" customHeight="false" outlineLevel="0" collapsed="false">
      <c r="F2525" s="15"/>
      <c r="N2525" s="16" t="str">
        <f aca="false">IF($D2525="","",M2525*Y2525/100)</f>
        <v/>
      </c>
      <c r="V2525" s="16" t="str">
        <f aca="false">IF($D2525="","",Y2525*AB2525/100)</f>
        <v/>
      </c>
      <c r="W2525" s="16" t="str">
        <f aca="false">IF($D2525="","",Y2525-V2525)</f>
        <v/>
      </c>
      <c r="X2525" s="16" t="str">
        <f aca="false">IF($D2525="","",W2525-N2525)</f>
        <v/>
      </c>
      <c r="AB2525" s="17" t="str">
        <f aca="false">IF($D2525="","",IF(OR($R2525=TRUE(),$R2525="TRUE"),Settings!$C$6,Settings!$C$7)*100)</f>
        <v/>
      </c>
      <c r="AH2525" s="18" t="str">
        <f aca="false">IF($D2525="","",IF(COUNTIF($D$2:$D2525,$D2525)=1,1,0))</f>
        <v/>
      </c>
      <c r="AI2525" s="18" t="str">
        <f aca="false">IF($AH2525=1,SUMPRODUCT(--($AK$2:$AK$4001&lt;$AK2525))+1,"")</f>
        <v/>
      </c>
      <c r="AJ2525" s="18" t="str">
        <f aca="false">IF($D2525="","",IF(OR($R2525=TRUE(),$R2525="TRUE"),1,0))</f>
        <v/>
      </c>
      <c r="AK2525" s="18" t="str">
        <f aca="false">IF($AH2525=1,IFERROR(VALUE(MID($D2525,2,20)),1000000000)+ROW()/10000000,"")</f>
        <v/>
      </c>
    </row>
    <row r="2526" customFormat="false" ht="15" hidden="false" customHeight="false" outlineLevel="0" collapsed="false">
      <c r="F2526" s="15"/>
      <c r="N2526" s="16" t="str">
        <f aca="false">IF($D2526="","",M2526*Y2526/100)</f>
        <v/>
      </c>
      <c r="V2526" s="16" t="str">
        <f aca="false">IF($D2526="","",Y2526*AB2526/100)</f>
        <v/>
      </c>
      <c r="W2526" s="16" t="str">
        <f aca="false">IF($D2526="","",Y2526-V2526)</f>
        <v/>
      </c>
      <c r="X2526" s="16" t="str">
        <f aca="false">IF($D2526="","",W2526-N2526)</f>
        <v/>
      </c>
      <c r="AB2526" s="17" t="str">
        <f aca="false">IF($D2526="","",IF(OR($R2526=TRUE(),$R2526="TRUE"),Settings!$C$6,Settings!$C$7)*100)</f>
        <v/>
      </c>
      <c r="AH2526" s="18" t="str">
        <f aca="false">IF($D2526="","",IF(COUNTIF($D$2:$D2526,$D2526)=1,1,0))</f>
        <v/>
      </c>
      <c r="AI2526" s="18" t="str">
        <f aca="false">IF($AH2526=1,SUMPRODUCT(--($AK$2:$AK$4001&lt;$AK2526))+1,"")</f>
        <v/>
      </c>
      <c r="AJ2526" s="18" t="str">
        <f aca="false">IF($D2526="","",IF(OR($R2526=TRUE(),$R2526="TRUE"),1,0))</f>
        <v/>
      </c>
      <c r="AK2526" s="18" t="str">
        <f aca="false">IF($AH2526=1,IFERROR(VALUE(MID($D2526,2,20)),1000000000)+ROW()/10000000,"")</f>
        <v/>
      </c>
    </row>
    <row r="2527" customFormat="false" ht="15" hidden="false" customHeight="false" outlineLevel="0" collapsed="false">
      <c r="F2527" s="15"/>
      <c r="N2527" s="16" t="str">
        <f aca="false">IF($D2527="","",M2527*Y2527/100)</f>
        <v/>
      </c>
      <c r="V2527" s="16" t="str">
        <f aca="false">IF($D2527="","",Y2527*AB2527/100)</f>
        <v/>
      </c>
      <c r="W2527" s="16" t="str">
        <f aca="false">IF($D2527="","",Y2527-V2527)</f>
        <v/>
      </c>
      <c r="X2527" s="16" t="str">
        <f aca="false">IF($D2527="","",W2527-N2527)</f>
        <v/>
      </c>
      <c r="AB2527" s="17" t="str">
        <f aca="false">IF($D2527="","",IF(OR($R2527=TRUE(),$R2527="TRUE"),Settings!$C$6,Settings!$C$7)*100)</f>
        <v/>
      </c>
      <c r="AH2527" s="18" t="str">
        <f aca="false">IF($D2527="","",IF(COUNTIF($D$2:$D2527,$D2527)=1,1,0))</f>
        <v/>
      </c>
      <c r="AI2527" s="18" t="str">
        <f aca="false">IF($AH2527=1,SUMPRODUCT(--($AK$2:$AK$4001&lt;$AK2527))+1,"")</f>
        <v/>
      </c>
      <c r="AJ2527" s="18" t="str">
        <f aca="false">IF($D2527="","",IF(OR($R2527=TRUE(),$R2527="TRUE"),1,0))</f>
        <v/>
      </c>
      <c r="AK2527" s="18" t="str">
        <f aca="false">IF($AH2527=1,IFERROR(VALUE(MID($D2527,2,20)),1000000000)+ROW()/10000000,"")</f>
        <v/>
      </c>
    </row>
    <row r="2528" customFormat="false" ht="15" hidden="false" customHeight="false" outlineLevel="0" collapsed="false">
      <c r="F2528" s="15"/>
      <c r="N2528" s="16" t="str">
        <f aca="false">IF($D2528="","",M2528*Y2528/100)</f>
        <v/>
      </c>
      <c r="V2528" s="16" t="str">
        <f aca="false">IF($D2528="","",Y2528*AB2528/100)</f>
        <v/>
      </c>
      <c r="W2528" s="16" t="str">
        <f aca="false">IF($D2528="","",Y2528-V2528)</f>
        <v/>
      </c>
      <c r="X2528" s="16" t="str">
        <f aca="false">IF($D2528="","",W2528-N2528)</f>
        <v/>
      </c>
      <c r="AB2528" s="17" t="str">
        <f aca="false">IF($D2528="","",IF(OR($R2528=TRUE(),$R2528="TRUE"),Settings!$C$6,Settings!$C$7)*100)</f>
        <v/>
      </c>
      <c r="AH2528" s="18" t="str">
        <f aca="false">IF($D2528="","",IF(COUNTIF($D$2:$D2528,$D2528)=1,1,0))</f>
        <v/>
      </c>
      <c r="AI2528" s="18" t="str">
        <f aca="false">IF($AH2528=1,SUMPRODUCT(--($AK$2:$AK$4001&lt;$AK2528))+1,"")</f>
        <v/>
      </c>
      <c r="AJ2528" s="18" t="str">
        <f aca="false">IF($D2528="","",IF(OR($R2528=TRUE(),$R2528="TRUE"),1,0))</f>
        <v/>
      </c>
      <c r="AK2528" s="18" t="str">
        <f aca="false">IF($AH2528=1,IFERROR(VALUE(MID($D2528,2,20)),1000000000)+ROW()/10000000,"")</f>
        <v/>
      </c>
    </row>
    <row r="2529" customFormat="false" ht="15" hidden="false" customHeight="false" outlineLevel="0" collapsed="false">
      <c r="F2529" s="15"/>
      <c r="N2529" s="16" t="str">
        <f aca="false">IF($D2529="","",M2529*Y2529/100)</f>
        <v/>
      </c>
      <c r="V2529" s="16" t="str">
        <f aca="false">IF($D2529="","",Y2529*AB2529/100)</f>
        <v/>
      </c>
      <c r="W2529" s="16" t="str">
        <f aca="false">IF($D2529="","",Y2529-V2529)</f>
        <v/>
      </c>
      <c r="X2529" s="16" t="str">
        <f aca="false">IF($D2529="","",W2529-N2529)</f>
        <v/>
      </c>
      <c r="AB2529" s="17" t="str">
        <f aca="false">IF($D2529="","",IF(OR($R2529=TRUE(),$R2529="TRUE"),Settings!$C$6,Settings!$C$7)*100)</f>
        <v/>
      </c>
      <c r="AH2529" s="18" t="str">
        <f aca="false">IF($D2529="","",IF(COUNTIF($D$2:$D2529,$D2529)=1,1,0))</f>
        <v/>
      </c>
      <c r="AI2529" s="18" t="str">
        <f aca="false">IF($AH2529=1,SUMPRODUCT(--($AK$2:$AK$4001&lt;$AK2529))+1,"")</f>
        <v/>
      </c>
      <c r="AJ2529" s="18" t="str">
        <f aca="false">IF($D2529="","",IF(OR($R2529=TRUE(),$R2529="TRUE"),1,0))</f>
        <v/>
      </c>
      <c r="AK2529" s="18" t="str">
        <f aca="false">IF($AH2529=1,IFERROR(VALUE(MID($D2529,2,20)),1000000000)+ROW()/10000000,"")</f>
        <v/>
      </c>
    </row>
    <row r="2530" customFormat="false" ht="15" hidden="false" customHeight="false" outlineLevel="0" collapsed="false">
      <c r="F2530" s="15"/>
      <c r="N2530" s="16" t="str">
        <f aca="false">IF($D2530="","",M2530*Y2530/100)</f>
        <v/>
      </c>
      <c r="V2530" s="16" t="str">
        <f aca="false">IF($D2530="","",Y2530*AB2530/100)</f>
        <v/>
      </c>
      <c r="W2530" s="16" t="str">
        <f aca="false">IF($D2530="","",Y2530-V2530)</f>
        <v/>
      </c>
      <c r="X2530" s="16" t="str">
        <f aca="false">IF($D2530="","",W2530-N2530)</f>
        <v/>
      </c>
      <c r="AB2530" s="17" t="str">
        <f aca="false">IF($D2530="","",IF(OR($R2530=TRUE(),$R2530="TRUE"),Settings!$C$6,Settings!$C$7)*100)</f>
        <v/>
      </c>
      <c r="AH2530" s="18" t="str">
        <f aca="false">IF($D2530="","",IF(COUNTIF($D$2:$D2530,$D2530)=1,1,0))</f>
        <v/>
      </c>
      <c r="AI2530" s="18" t="str">
        <f aca="false">IF($AH2530=1,SUMPRODUCT(--($AK$2:$AK$4001&lt;$AK2530))+1,"")</f>
        <v/>
      </c>
      <c r="AJ2530" s="18" t="str">
        <f aca="false">IF($D2530="","",IF(OR($R2530=TRUE(),$R2530="TRUE"),1,0))</f>
        <v/>
      </c>
      <c r="AK2530" s="18" t="str">
        <f aca="false">IF($AH2530=1,IFERROR(VALUE(MID($D2530,2,20)),1000000000)+ROW()/10000000,"")</f>
        <v/>
      </c>
    </row>
    <row r="2531" customFormat="false" ht="15" hidden="false" customHeight="false" outlineLevel="0" collapsed="false">
      <c r="F2531" s="15"/>
      <c r="N2531" s="16" t="str">
        <f aca="false">IF($D2531="","",M2531*Y2531/100)</f>
        <v/>
      </c>
      <c r="V2531" s="16" t="str">
        <f aca="false">IF($D2531="","",Y2531*AB2531/100)</f>
        <v/>
      </c>
      <c r="W2531" s="16" t="str">
        <f aca="false">IF($D2531="","",Y2531-V2531)</f>
        <v/>
      </c>
      <c r="X2531" s="16" t="str">
        <f aca="false">IF($D2531="","",W2531-N2531)</f>
        <v/>
      </c>
      <c r="AB2531" s="17" t="str">
        <f aca="false">IF($D2531="","",IF(OR($R2531=TRUE(),$R2531="TRUE"),Settings!$C$6,Settings!$C$7)*100)</f>
        <v/>
      </c>
      <c r="AH2531" s="18" t="str">
        <f aca="false">IF($D2531="","",IF(COUNTIF($D$2:$D2531,$D2531)=1,1,0))</f>
        <v/>
      </c>
      <c r="AI2531" s="18" t="str">
        <f aca="false">IF($AH2531=1,SUMPRODUCT(--($AK$2:$AK$4001&lt;$AK2531))+1,"")</f>
        <v/>
      </c>
      <c r="AJ2531" s="18" t="str">
        <f aca="false">IF($D2531="","",IF(OR($R2531=TRUE(),$R2531="TRUE"),1,0))</f>
        <v/>
      </c>
      <c r="AK2531" s="18" t="str">
        <f aca="false">IF($AH2531=1,IFERROR(VALUE(MID($D2531,2,20)),1000000000)+ROW()/10000000,"")</f>
        <v/>
      </c>
    </row>
    <row r="2532" customFormat="false" ht="15" hidden="false" customHeight="false" outlineLevel="0" collapsed="false">
      <c r="F2532" s="15"/>
      <c r="N2532" s="16" t="str">
        <f aca="false">IF($D2532="","",M2532*Y2532/100)</f>
        <v/>
      </c>
      <c r="V2532" s="16" t="str">
        <f aca="false">IF($D2532="","",Y2532*AB2532/100)</f>
        <v/>
      </c>
      <c r="W2532" s="16" t="str">
        <f aca="false">IF($D2532="","",Y2532-V2532)</f>
        <v/>
      </c>
      <c r="X2532" s="16" t="str">
        <f aca="false">IF($D2532="","",W2532-N2532)</f>
        <v/>
      </c>
      <c r="AB2532" s="17" t="str">
        <f aca="false">IF($D2532="","",IF(OR($R2532=TRUE(),$R2532="TRUE"),Settings!$C$6,Settings!$C$7)*100)</f>
        <v/>
      </c>
      <c r="AH2532" s="18" t="str">
        <f aca="false">IF($D2532="","",IF(COUNTIF($D$2:$D2532,$D2532)=1,1,0))</f>
        <v/>
      </c>
      <c r="AI2532" s="18" t="str">
        <f aca="false">IF($AH2532=1,SUMPRODUCT(--($AK$2:$AK$4001&lt;$AK2532))+1,"")</f>
        <v/>
      </c>
      <c r="AJ2532" s="18" t="str">
        <f aca="false">IF($D2532="","",IF(OR($R2532=TRUE(),$R2532="TRUE"),1,0))</f>
        <v/>
      </c>
      <c r="AK2532" s="18" t="str">
        <f aca="false">IF($AH2532=1,IFERROR(VALUE(MID($D2532,2,20)),1000000000)+ROW()/10000000,"")</f>
        <v/>
      </c>
    </row>
    <row r="2533" customFormat="false" ht="15" hidden="false" customHeight="false" outlineLevel="0" collapsed="false">
      <c r="F2533" s="15"/>
      <c r="N2533" s="16" t="str">
        <f aca="false">IF($D2533="","",M2533*Y2533/100)</f>
        <v/>
      </c>
      <c r="V2533" s="16" t="str">
        <f aca="false">IF($D2533="","",Y2533*AB2533/100)</f>
        <v/>
      </c>
      <c r="W2533" s="16" t="str">
        <f aca="false">IF($D2533="","",Y2533-V2533)</f>
        <v/>
      </c>
      <c r="X2533" s="16" t="str">
        <f aca="false">IF($D2533="","",W2533-N2533)</f>
        <v/>
      </c>
      <c r="AB2533" s="17" t="str">
        <f aca="false">IF($D2533="","",IF(OR($R2533=TRUE(),$R2533="TRUE"),Settings!$C$6,Settings!$C$7)*100)</f>
        <v/>
      </c>
      <c r="AH2533" s="18" t="str">
        <f aca="false">IF($D2533="","",IF(COUNTIF($D$2:$D2533,$D2533)=1,1,0))</f>
        <v/>
      </c>
      <c r="AI2533" s="18" t="str">
        <f aca="false">IF($AH2533=1,SUMPRODUCT(--($AK$2:$AK$4001&lt;$AK2533))+1,"")</f>
        <v/>
      </c>
      <c r="AJ2533" s="18" t="str">
        <f aca="false">IF($D2533="","",IF(OR($R2533=TRUE(),$R2533="TRUE"),1,0))</f>
        <v/>
      </c>
      <c r="AK2533" s="18" t="str">
        <f aca="false">IF($AH2533=1,IFERROR(VALUE(MID($D2533,2,20)),1000000000)+ROW()/10000000,"")</f>
        <v/>
      </c>
    </row>
    <row r="2534" customFormat="false" ht="15" hidden="false" customHeight="false" outlineLevel="0" collapsed="false">
      <c r="F2534" s="15"/>
      <c r="N2534" s="16" t="str">
        <f aca="false">IF($D2534="","",M2534*Y2534/100)</f>
        <v/>
      </c>
      <c r="V2534" s="16" t="str">
        <f aca="false">IF($D2534="","",Y2534*AB2534/100)</f>
        <v/>
      </c>
      <c r="W2534" s="16" t="str">
        <f aca="false">IF($D2534="","",Y2534-V2534)</f>
        <v/>
      </c>
      <c r="X2534" s="16" t="str">
        <f aca="false">IF($D2534="","",W2534-N2534)</f>
        <v/>
      </c>
      <c r="AB2534" s="17" t="str">
        <f aca="false">IF($D2534="","",IF(OR($R2534=TRUE(),$R2534="TRUE"),Settings!$C$6,Settings!$C$7)*100)</f>
        <v/>
      </c>
      <c r="AH2534" s="18" t="str">
        <f aca="false">IF($D2534="","",IF(COUNTIF($D$2:$D2534,$D2534)=1,1,0))</f>
        <v/>
      </c>
      <c r="AI2534" s="18" t="str">
        <f aca="false">IF($AH2534=1,SUMPRODUCT(--($AK$2:$AK$4001&lt;$AK2534))+1,"")</f>
        <v/>
      </c>
      <c r="AJ2534" s="18" t="str">
        <f aca="false">IF($D2534="","",IF(OR($R2534=TRUE(),$R2534="TRUE"),1,0))</f>
        <v/>
      </c>
      <c r="AK2534" s="18" t="str">
        <f aca="false">IF($AH2534=1,IFERROR(VALUE(MID($D2534,2,20)),1000000000)+ROW()/10000000,"")</f>
        <v/>
      </c>
    </row>
    <row r="2535" customFormat="false" ht="15" hidden="false" customHeight="false" outlineLevel="0" collapsed="false">
      <c r="F2535" s="15"/>
      <c r="N2535" s="16" t="str">
        <f aca="false">IF($D2535="","",M2535*Y2535/100)</f>
        <v/>
      </c>
      <c r="V2535" s="16" t="str">
        <f aca="false">IF($D2535="","",Y2535*AB2535/100)</f>
        <v/>
      </c>
      <c r="W2535" s="16" t="str">
        <f aca="false">IF($D2535="","",Y2535-V2535)</f>
        <v/>
      </c>
      <c r="X2535" s="16" t="str">
        <f aca="false">IF($D2535="","",W2535-N2535)</f>
        <v/>
      </c>
      <c r="AB2535" s="17" t="str">
        <f aca="false">IF($D2535="","",IF(OR($R2535=TRUE(),$R2535="TRUE"),Settings!$C$6,Settings!$C$7)*100)</f>
        <v/>
      </c>
      <c r="AH2535" s="18" t="str">
        <f aca="false">IF($D2535="","",IF(COUNTIF($D$2:$D2535,$D2535)=1,1,0))</f>
        <v/>
      </c>
      <c r="AI2535" s="18" t="str">
        <f aca="false">IF($AH2535=1,SUMPRODUCT(--($AK$2:$AK$4001&lt;$AK2535))+1,"")</f>
        <v/>
      </c>
      <c r="AJ2535" s="18" t="str">
        <f aca="false">IF($D2535="","",IF(OR($R2535=TRUE(),$R2535="TRUE"),1,0))</f>
        <v/>
      </c>
      <c r="AK2535" s="18" t="str">
        <f aca="false">IF($AH2535=1,IFERROR(VALUE(MID($D2535,2,20)),1000000000)+ROW()/10000000,"")</f>
        <v/>
      </c>
    </row>
    <row r="2536" customFormat="false" ht="15" hidden="false" customHeight="false" outlineLevel="0" collapsed="false">
      <c r="F2536" s="15"/>
      <c r="N2536" s="16" t="str">
        <f aca="false">IF($D2536="","",M2536*Y2536/100)</f>
        <v/>
      </c>
      <c r="V2536" s="16" t="str">
        <f aca="false">IF($D2536="","",Y2536*AB2536/100)</f>
        <v/>
      </c>
      <c r="W2536" s="16" t="str">
        <f aca="false">IF($D2536="","",Y2536-V2536)</f>
        <v/>
      </c>
      <c r="X2536" s="16" t="str">
        <f aca="false">IF($D2536="","",W2536-N2536)</f>
        <v/>
      </c>
      <c r="AB2536" s="17" t="str">
        <f aca="false">IF($D2536="","",IF(OR($R2536=TRUE(),$R2536="TRUE"),Settings!$C$6,Settings!$C$7)*100)</f>
        <v/>
      </c>
      <c r="AH2536" s="18" t="str">
        <f aca="false">IF($D2536="","",IF(COUNTIF($D$2:$D2536,$D2536)=1,1,0))</f>
        <v/>
      </c>
      <c r="AI2536" s="18" t="str">
        <f aca="false">IF($AH2536=1,SUMPRODUCT(--($AK$2:$AK$4001&lt;$AK2536))+1,"")</f>
        <v/>
      </c>
      <c r="AJ2536" s="18" t="str">
        <f aca="false">IF($D2536="","",IF(OR($R2536=TRUE(),$R2536="TRUE"),1,0))</f>
        <v/>
      </c>
      <c r="AK2536" s="18" t="str">
        <f aca="false">IF($AH2536=1,IFERROR(VALUE(MID($D2536,2,20)),1000000000)+ROW()/10000000,"")</f>
        <v/>
      </c>
    </row>
    <row r="2537" customFormat="false" ht="15" hidden="false" customHeight="false" outlineLevel="0" collapsed="false">
      <c r="F2537" s="15"/>
      <c r="N2537" s="16" t="str">
        <f aca="false">IF($D2537="","",M2537*Y2537/100)</f>
        <v/>
      </c>
      <c r="V2537" s="16" t="str">
        <f aca="false">IF($D2537="","",Y2537*AB2537/100)</f>
        <v/>
      </c>
      <c r="W2537" s="16" t="str">
        <f aca="false">IF($D2537="","",Y2537-V2537)</f>
        <v/>
      </c>
      <c r="X2537" s="16" t="str">
        <f aca="false">IF($D2537="","",W2537-N2537)</f>
        <v/>
      </c>
      <c r="AB2537" s="17" t="str">
        <f aca="false">IF($D2537="","",IF(OR($R2537=TRUE(),$R2537="TRUE"),Settings!$C$6,Settings!$C$7)*100)</f>
        <v/>
      </c>
      <c r="AH2537" s="18" t="str">
        <f aca="false">IF($D2537="","",IF(COUNTIF($D$2:$D2537,$D2537)=1,1,0))</f>
        <v/>
      </c>
      <c r="AI2537" s="18" t="str">
        <f aca="false">IF($AH2537=1,SUMPRODUCT(--($AK$2:$AK$4001&lt;$AK2537))+1,"")</f>
        <v/>
      </c>
      <c r="AJ2537" s="18" t="str">
        <f aca="false">IF($D2537="","",IF(OR($R2537=TRUE(),$R2537="TRUE"),1,0))</f>
        <v/>
      </c>
      <c r="AK2537" s="18" t="str">
        <f aca="false">IF($AH2537=1,IFERROR(VALUE(MID($D2537,2,20)),1000000000)+ROW()/10000000,"")</f>
        <v/>
      </c>
    </row>
    <row r="2538" customFormat="false" ht="15" hidden="false" customHeight="false" outlineLevel="0" collapsed="false">
      <c r="F2538" s="15"/>
      <c r="N2538" s="16" t="str">
        <f aca="false">IF($D2538="","",M2538*Y2538/100)</f>
        <v/>
      </c>
      <c r="V2538" s="16" t="str">
        <f aca="false">IF($D2538="","",Y2538*AB2538/100)</f>
        <v/>
      </c>
      <c r="W2538" s="16" t="str">
        <f aca="false">IF($D2538="","",Y2538-V2538)</f>
        <v/>
      </c>
      <c r="X2538" s="16" t="str">
        <f aca="false">IF($D2538="","",W2538-N2538)</f>
        <v/>
      </c>
      <c r="AB2538" s="17" t="str">
        <f aca="false">IF($D2538="","",IF(OR($R2538=TRUE(),$R2538="TRUE"),Settings!$C$6,Settings!$C$7)*100)</f>
        <v/>
      </c>
      <c r="AH2538" s="18" t="str">
        <f aca="false">IF($D2538="","",IF(COUNTIF($D$2:$D2538,$D2538)=1,1,0))</f>
        <v/>
      </c>
      <c r="AI2538" s="18" t="str">
        <f aca="false">IF($AH2538=1,SUMPRODUCT(--($AK$2:$AK$4001&lt;$AK2538))+1,"")</f>
        <v/>
      </c>
      <c r="AJ2538" s="18" t="str">
        <f aca="false">IF($D2538="","",IF(OR($R2538=TRUE(),$R2538="TRUE"),1,0))</f>
        <v/>
      </c>
      <c r="AK2538" s="18" t="str">
        <f aca="false">IF($AH2538=1,IFERROR(VALUE(MID($D2538,2,20)),1000000000)+ROW()/10000000,"")</f>
        <v/>
      </c>
    </row>
    <row r="2539" customFormat="false" ht="15" hidden="false" customHeight="false" outlineLevel="0" collapsed="false">
      <c r="F2539" s="15"/>
      <c r="N2539" s="16" t="str">
        <f aca="false">IF($D2539="","",M2539*Y2539/100)</f>
        <v/>
      </c>
      <c r="V2539" s="16" t="str">
        <f aca="false">IF($D2539="","",Y2539*AB2539/100)</f>
        <v/>
      </c>
      <c r="W2539" s="16" t="str">
        <f aca="false">IF($D2539="","",Y2539-V2539)</f>
        <v/>
      </c>
      <c r="X2539" s="16" t="str">
        <f aca="false">IF($D2539="","",W2539-N2539)</f>
        <v/>
      </c>
      <c r="AB2539" s="17" t="str">
        <f aca="false">IF($D2539="","",IF(OR($R2539=TRUE(),$R2539="TRUE"),Settings!$C$6,Settings!$C$7)*100)</f>
        <v/>
      </c>
      <c r="AH2539" s="18" t="str">
        <f aca="false">IF($D2539="","",IF(COUNTIF($D$2:$D2539,$D2539)=1,1,0))</f>
        <v/>
      </c>
      <c r="AI2539" s="18" t="str">
        <f aca="false">IF($AH2539=1,SUMPRODUCT(--($AK$2:$AK$4001&lt;$AK2539))+1,"")</f>
        <v/>
      </c>
      <c r="AJ2539" s="18" t="str">
        <f aca="false">IF($D2539="","",IF(OR($R2539=TRUE(),$R2539="TRUE"),1,0))</f>
        <v/>
      </c>
      <c r="AK2539" s="18" t="str">
        <f aca="false">IF($AH2539=1,IFERROR(VALUE(MID($D2539,2,20)),1000000000)+ROW()/10000000,"")</f>
        <v/>
      </c>
    </row>
    <row r="2540" customFormat="false" ht="15" hidden="false" customHeight="false" outlineLevel="0" collapsed="false">
      <c r="F2540" s="15"/>
      <c r="N2540" s="16" t="str">
        <f aca="false">IF($D2540="","",M2540*Y2540/100)</f>
        <v/>
      </c>
      <c r="V2540" s="16" t="str">
        <f aca="false">IF($D2540="","",Y2540*AB2540/100)</f>
        <v/>
      </c>
      <c r="W2540" s="16" t="str">
        <f aca="false">IF($D2540="","",Y2540-V2540)</f>
        <v/>
      </c>
      <c r="X2540" s="16" t="str">
        <f aca="false">IF($D2540="","",W2540-N2540)</f>
        <v/>
      </c>
      <c r="AB2540" s="17" t="str">
        <f aca="false">IF($D2540="","",IF(OR($R2540=TRUE(),$R2540="TRUE"),Settings!$C$6,Settings!$C$7)*100)</f>
        <v/>
      </c>
      <c r="AH2540" s="18" t="str">
        <f aca="false">IF($D2540="","",IF(COUNTIF($D$2:$D2540,$D2540)=1,1,0))</f>
        <v/>
      </c>
      <c r="AI2540" s="18" t="str">
        <f aca="false">IF($AH2540=1,SUMPRODUCT(--($AK$2:$AK$4001&lt;$AK2540))+1,"")</f>
        <v/>
      </c>
      <c r="AJ2540" s="18" t="str">
        <f aca="false">IF($D2540="","",IF(OR($R2540=TRUE(),$R2540="TRUE"),1,0))</f>
        <v/>
      </c>
      <c r="AK2540" s="18" t="str">
        <f aca="false">IF($AH2540=1,IFERROR(VALUE(MID($D2540,2,20)),1000000000)+ROW()/10000000,"")</f>
        <v/>
      </c>
    </row>
    <row r="2541" customFormat="false" ht="15" hidden="false" customHeight="false" outlineLevel="0" collapsed="false">
      <c r="F2541" s="15"/>
      <c r="N2541" s="16" t="str">
        <f aca="false">IF($D2541="","",M2541*Y2541/100)</f>
        <v/>
      </c>
      <c r="V2541" s="16" t="str">
        <f aca="false">IF($D2541="","",Y2541*AB2541/100)</f>
        <v/>
      </c>
      <c r="W2541" s="16" t="str">
        <f aca="false">IF($D2541="","",Y2541-V2541)</f>
        <v/>
      </c>
      <c r="X2541" s="16" t="str">
        <f aca="false">IF($D2541="","",W2541-N2541)</f>
        <v/>
      </c>
      <c r="AB2541" s="17" t="str">
        <f aca="false">IF($D2541="","",IF(OR($R2541=TRUE(),$R2541="TRUE"),Settings!$C$6,Settings!$C$7)*100)</f>
        <v/>
      </c>
      <c r="AH2541" s="18" t="str">
        <f aca="false">IF($D2541="","",IF(COUNTIF($D$2:$D2541,$D2541)=1,1,0))</f>
        <v/>
      </c>
      <c r="AI2541" s="18" t="str">
        <f aca="false">IF($AH2541=1,SUMPRODUCT(--($AK$2:$AK$4001&lt;$AK2541))+1,"")</f>
        <v/>
      </c>
      <c r="AJ2541" s="18" t="str">
        <f aca="false">IF($D2541="","",IF(OR($R2541=TRUE(),$R2541="TRUE"),1,0))</f>
        <v/>
      </c>
      <c r="AK2541" s="18" t="str">
        <f aca="false">IF($AH2541=1,IFERROR(VALUE(MID($D2541,2,20)),1000000000)+ROW()/10000000,"")</f>
        <v/>
      </c>
    </row>
    <row r="2542" customFormat="false" ht="15" hidden="false" customHeight="false" outlineLevel="0" collapsed="false">
      <c r="F2542" s="15"/>
      <c r="N2542" s="16" t="str">
        <f aca="false">IF($D2542="","",M2542*Y2542/100)</f>
        <v/>
      </c>
      <c r="V2542" s="16" t="str">
        <f aca="false">IF($D2542="","",Y2542*AB2542/100)</f>
        <v/>
      </c>
      <c r="W2542" s="16" t="str">
        <f aca="false">IF($D2542="","",Y2542-V2542)</f>
        <v/>
      </c>
      <c r="X2542" s="16" t="str">
        <f aca="false">IF($D2542="","",W2542-N2542)</f>
        <v/>
      </c>
      <c r="AB2542" s="17" t="str">
        <f aca="false">IF($D2542="","",IF(OR($R2542=TRUE(),$R2542="TRUE"),Settings!$C$6,Settings!$C$7)*100)</f>
        <v/>
      </c>
      <c r="AH2542" s="18" t="str">
        <f aca="false">IF($D2542="","",IF(COUNTIF($D$2:$D2542,$D2542)=1,1,0))</f>
        <v/>
      </c>
      <c r="AI2542" s="18" t="str">
        <f aca="false">IF($AH2542=1,SUMPRODUCT(--($AK$2:$AK$4001&lt;$AK2542))+1,"")</f>
        <v/>
      </c>
      <c r="AJ2542" s="18" t="str">
        <f aca="false">IF($D2542="","",IF(OR($R2542=TRUE(),$R2542="TRUE"),1,0))</f>
        <v/>
      </c>
      <c r="AK2542" s="18" t="str">
        <f aca="false">IF($AH2542=1,IFERROR(VALUE(MID($D2542,2,20)),1000000000)+ROW()/10000000,"")</f>
        <v/>
      </c>
    </row>
    <row r="2543" customFormat="false" ht="15" hidden="false" customHeight="false" outlineLevel="0" collapsed="false">
      <c r="F2543" s="15"/>
      <c r="N2543" s="16" t="str">
        <f aca="false">IF($D2543="","",M2543*Y2543/100)</f>
        <v/>
      </c>
      <c r="V2543" s="16" t="str">
        <f aca="false">IF($D2543="","",Y2543*AB2543/100)</f>
        <v/>
      </c>
      <c r="W2543" s="16" t="str">
        <f aca="false">IF($D2543="","",Y2543-V2543)</f>
        <v/>
      </c>
      <c r="X2543" s="16" t="str">
        <f aca="false">IF($D2543="","",W2543-N2543)</f>
        <v/>
      </c>
      <c r="AB2543" s="17" t="str">
        <f aca="false">IF($D2543="","",IF(OR($R2543=TRUE(),$R2543="TRUE"),Settings!$C$6,Settings!$C$7)*100)</f>
        <v/>
      </c>
      <c r="AH2543" s="18" t="str">
        <f aca="false">IF($D2543="","",IF(COUNTIF($D$2:$D2543,$D2543)=1,1,0))</f>
        <v/>
      </c>
      <c r="AI2543" s="18" t="str">
        <f aca="false">IF($AH2543=1,SUMPRODUCT(--($AK$2:$AK$4001&lt;$AK2543))+1,"")</f>
        <v/>
      </c>
      <c r="AJ2543" s="18" t="str">
        <f aca="false">IF($D2543="","",IF(OR($R2543=TRUE(),$R2543="TRUE"),1,0))</f>
        <v/>
      </c>
      <c r="AK2543" s="18" t="str">
        <f aca="false">IF($AH2543=1,IFERROR(VALUE(MID($D2543,2,20)),1000000000)+ROW()/10000000,"")</f>
        <v/>
      </c>
    </row>
    <row r="2544" customFormat="false" ht="15" hidden="false" customHeight="false" outlineLevel="0" collapsed="false">
      <c r="F2544" s="15"/>
      <c r="N2544" s="16" t="str">
        <f aca="false">IF($D2544="","",M2544*Y2544/100)</f>
        <v/>
      </c>
      <c r="V2544" s="16" t="str">
        <f aca="false">IF($D2544="","",Y2544*AB2544/100)</f>
        <v/>
      </c>
      <c r="W2544" s="16" t="str">
        <f aca="false">IF($D2544="","",Y2544-V2544)</f>
        <v/>
      </c>
      <c r="X2544" s="16" t="str">
        <f aca="false">IF($D2544="","",W2544-N2544)</f>
        <v/>
      </c>
      <c r="AB2544" s="17" t="str">
        <f aca="false">IF($D2544="","",IF(OR($R2544=TRUE(),$R2544="TRUE"),Settings!$C$6,Settings!$C$7)*100)</f>
        <v/>
      </c>
      <c r="AH2544" s="18" t="str">
        <f aca="false">IF($D2544="","",IF(COUNTIF($D$2:$D2544,$D2544)=1,1,0))</f>
        <v/>
      </c>
      <c r="AI2544" s="18" t="str">
        <f aca="false">IF($AH2544=1,SUMPRODUCT(--($AK$2:$AK$4001&lt;$AK2544))+1,"")</f>
        <v/>
      </c>
      <c r="AJ2544" s="18" t="str">
        <f aca="false">IF($D2544="","",IF(OR($R2544=TRUE(),$R2544="TRUE"),1,0))</f>
        <v/>
      </c>
      <c r="AK2544" s="18" t="str">
        <f aca="false">IF($AH2544=1,IFERROR(VALUE(MID($D2544,2,20)),1000000000)+ROW()/10000000,"")</f>
        <v/>
      </c>
    </row>
    <row r="2545" customFormat="false" ht="15" hidden="false" customHeight="false" outlineLevel="0" collapsed="false">
      <c r="F2545" s="15"/>
      <c r="N2545" s="16" t="str">
        <f aca="false">IF($D2545="","",M2545*Y2545/100)</f>
        <v/>
      </c>
      <c r="V2545" s="16" t="str">
        <f aca="false">IF($D2545="","",Y2545*AB2545/100)</f>
        <v/>
      </c>
      <c r="W2545" s="16" t="str">
        <f aca="false">IF($D2545="","",Y2545-V2545)</f>
        <v/>
      </c>
      <c r="X2545" s="16" t="str">
        <f aca="false">IF($D2545="","",W2545-N2545)</f>
        <v/>
      </c>
      <c r="AB2545" s="17" t="str">
        <f aca="false">IF($D2545="","",IF(OR($R2545=TRUE(),$R2545="TRUE"),Settings!$C$6,Settings!$C$7)*100)</f>
        <v/>
      </c>
      <c r="AH2545" s="18" t="str">
        <f aca="false">IF($D2545="","",IF(COUNTIF($D$2:$D2545,$D2545)=1,1,0))</f>
        <v/>
      </c>
      <c r="AI2545" s="18" t="str">
        <f aca="false">IF($AH2545=1,SUMPRODUCT(--($AK$2:$AK$4001&lt;$AK2545))+1,"")</f>
        <v/>
      </c>
      <c r="AJ2545" s="18" t="str">
        <f aca="false">IF($D2545="","",IF(OR($R2545=TRUE(),$R2545="TRUE"),1,0))</f>
        <v/>
      </c>
      <c r="AK2545" s="18" t="str">
        <f aca="false">IF($AH2545=1,IFERROR(VALUE(MID($D2545,2,20)),1000000000)+ROW()/10000000,"")</f>
        <v/>
      </c>
    </row>
    <row r="2546" customFormat="false" ht="15" hidden="false" customHeight="false" outlineLevel="0" collapsed="false">
      <c r="F2546" s="15"/>
      <c r="N2546" s="16" t="str">
        <f aca="false">IF($D2546="","",M2546*Y2546/100)</f>
        <v/>
      </c>
      <c r="V2546" s="16" t="str">
        <f aca="false">IF($D2546="","",Y2546*AB2546/100)</f>
        <v/>
      </c>
      <c r="W2546" s="16" t="str">
        <f aca="false">IF($D2546="","",Y2546-V2546)</f>
        <v/>
      </c>
      <c r="X2546" s="16" t="str">
        <f aca="false">IF($D2546="","",W2546-N2546)</f>
        <v/>
      </c>
      <c r="AB2546" s="17" t="str">
        <f aca="false">IF($D2546="","",IF(OR($R2546=TRUE(),$R2546="TRUE"),Settings!$C$6,Settings!$C$7)*100)</f>
        <v/>
      </c>
      <c r="AH2546" s="18" t="str">
        <f aca="false">IF($D2546="","",IF(COUNTIF($D$2:$D2546,$D2546)=1,1,0))</f>
        <v/>
      </c>
      <c r="AI2546" s="18" t="str">
        <f aca="false">IF($AH2546=1,SUMPRODUCT(--($AK$2:$AK$4001&lt;$AK2546))+1,"")</f>
        <v/>
      </c>
      <c r="AJ2546" s="18" t="str">
        <f aca="false">IF($D2546="","",IF(OR($R2546=TRUE(),$R2546="TRUE"),1,0))</f>
        <v/>
      </c>
      <c r="AK2546" s="18" t="str">
        <f aca="false">IF($AH2546=1,IFERROR(VALUE(MID($D2546,2,20)),1000000000)+ROW()/10000000,"")</f>
        <v/>
      </c>
    </row>
    <row r="2547" customFormat="false" ht="15" hidden="false" customHeight="false" outlineLevel="0" collapsed="false">
      <c r="F2547" s="15"/>
      <c r="N2547" s="16" t="str">
        <f aca="false">IF($D2547="","",M2547*Y2547/100)</f>
        <v/>
      </c>
      <c r="V2547" s="16" t="str">
        <f aca="false">IF($D2547="","",Y2547*AB2547/100)</f>
        <v/>
      </c>
      <c r="W2547" s="16" t="str">
        <f aca="false">IF($D2547="","",Y2547-V2547)</f>
        <v/>
      </c>
      <c r="X2547" s="16" t="str">
        <f aca="false">IF($D2547="","",W2547-N2547)</f>
        <v/>
      </c>
      <c r="AB2547" s="17" t="str">
        <f aca="false">IF($D2547="","",IF(OR($R2547=TRUE(),$R2547="TRUE"),Settings!$C$6,Settings!$C$7)*100)</f>
        <v/>
      </c>
      <c r="AH2547" s="18" t="str">
        <f aca="false">IF($D2547="","",IF(COUNTIF($D$2:$D2547,$D2547)=1,1,0))</f>
        <v/>
      </c>
      <c r="AI2547" s="18" t="str">
        <f aca="false">IF($AH2547=1,SUMPRODUCT(--($AK$2:$AK$4001&lt;$AK2547))+1,"")</f>
        <v/>
      </c>
      <c r="AJ2547" s="18" t="str">
        <f aca="false">IF($D2547="","",IF(OR($R2547=TRUE(),$R2547="TRUE"),1,0))</f>
        <v/>
      </c>
      <c r="AK2547" s="18" t="str">
        <f aca="false">IF($AH2547=1,IFERROR(VALUE(MID($D2547,2,20)),1000000000)+ROW()/10000000,"")</f>
        <v/>
      </c>
    </row>
    <row r="2548" customFormat="false" ht="15" hidden="false" customHeight="false" outlineLevel="0" collapsed="false">
      <c r="F2548" s="15"/>
      <c r="N2548" s="16" t="str">
        <f aca="false">IF($D2548="","",M2548*Y2548/100)</f>
        <v/>
      </c>
      <c r="V2548" s="16" t="str">
        <f aca="false">IF($D2548="","",Y2548*AB2548/100)</f>
        <v/>
      </c>
      <c r="W2548" s="16" t="str">
        <f aca="false">IF($D2548="","",Y2548-V2548)</f>
        <v/>
      </c>
      <c r="X2548" s="16" t="str">
        <f aca="false">IF($D2548="","",W2548-N2548)</f>
        <v/>
      </c>
      <c r="AB2548" s="17" t="str">
        <f aca="false">IF($D2548="","",IF(OR($R2548=TRUE(),$R2548="TRUE"),Settings!$C$6,Settings!$C$7)*100)</f>
        <v/>
      </c>
      <c r="AH2548" s="18" t="str">
        <f aca="false">IF($D2548="","",IF(COUNTIF($D$2:$D2548,$D2548)=1,1,0))</f>
        <v/>
      </c>
      <c r="AI2548" s="18" t="str">
        <f aca="false">IF($AH2548=1,SUMPRODUCT(--($AK$2:$AK$4001&lt;$AK2548))+1,"")</f>
        <v/>
      </c>
      <c r="AJ2548" s="18" t="str">
        <f aca="false">IF($D2548="","",IF(OR($R2548=TRUE(),$R2548="TRUE"),1,0))</f>
        <v/>
      </c>
      <c r="AK2548" s="18" t="str">
        <f aca="false">IF($AH2548=1,IFERROR(VALUE(MID($D2548,2,20)),1000000000)+ROW()/10000000,"")</f>
        <v/>
      </c>
    </row>
    <row r="2549" customFormat="false" ht="15" hidden="false" customHeight="false" outlineLevel="0" collapsed="false">
      <c r="F2549" s="15"/>
      <c r="N2549" s="16" t="str">
        <f aca="false">IF($D2549="","",M2549*Y2549/100)</f>
        <v/>
      </c>
      <c r="V2549" s="16" t="str">
        <f aca="false">IF($D2549="","",Y2549*AB2549/100)</f>
        <v/>
      </c>
      <c r="W2549" s="16" t="str">
        <f aca="false">IF($D2549="","",Y2549-V2549)</f>
        <v/>
      </c>
      <c r="X2549" s="16" t="str">
        <f aca="false">IF($D2549="","",W2549-N2549)</f>
        <v/>
      </c>
      <c r="AB2549" s="17" t="str">
        <f aca="false">IF($D2549="","",IF(OR($R2549=TRUE(),$R2549="TRUE"),Settings!$C$6,Settings!$C$7)*100)</f>
        <v/>
      </c>
      <c r="AH2549" s="18" t="str">
        <f aca="false">IF($D2549="","",IF(COUNTIF($D$2:$D2549,$D2549)=1,1,0))</f>
        <v/>
      </c>
      <c r="AI2549" s="18" t="str">
        <f aca="false">IF($AH2549=1,SUMPRODUCT(--($AK$2:$AK$4001&lt;$AK2549))+1,"")</f>
        <v/>
      </c>
      <c r="AJ2549" s="18" t="str">
        <f aca="false">IF($D2549="","",IF(OR($R2549=TRUE(),$R2549="TRUE"),1,0))</f>
        <v/>
      </c>
      <c r="AK2549" s="18" t="str">
        <f aca="false">IF($AH2549=1,IFERROR(VALUE(MID($D2549,2,20)),1000000000)+ROW()/10000000,"")</f>
        <v/>
      </c>
    </row>
    <row r="2550" customFormat="false" ht="15" hidden="false" customHeight="false" outlineLevel="0" collapsed="false">
      <c r="F2550" s="15"/>
      <c r="N2550" s="16" t="str">
        <f aca="false">IF($D2550="","",M2550*Y2550/100)</f>
        <v/>
      </c>
      <c r="V2550" s="16" t="str">
        <f aca="false">IF($D2550="","",Y2550*AB2550/100)</f>
        <v/>
      </c>
      <c r="W2550" s="16" t="str">
        <f aca="false">IF($D2550="","",Y2550-V2550)</f>
        <v/>
      </c>
      <c r="X2550" s="16" t="str">
        <f aca="false">IF($D2550="","",W2550-N2550)</f>
        <v/>
      </c>
      <c r="AB2550" s="17" t="str">
        <f aca="false">IF($D2550="","",IF(OR($R2550=TRUE(),$R2550="TRUE"),Settings!$C$6,Settings!$C$7)*100)</f>
        <v/>
      </c>
      <c r="AH2550" s="18" t="str">
        <f aca="false">IF($D2550="","",IF(COUNTIF($D$2:$D2550,$D2550)=1,1,0))</f>
        <v/>
      </c>
      <c r="AI2550" s="18" t="str">
        <f aca="false">IF($AH2550=1,SUMPRODUCT(--($AK$2:$AK$4001&lt;$AK2550))+1,"")</f>
        <v/>
      </c>
      <c r="AJ2550" s="18" t="str">
        <f aca="false">IF($D2550="","",IF(OR($R2550=TRUE(),$R2550="TRUE"),1,0))</f>
        <v/>
      </c>
      <c r="AK2550" s="18" t="str">
        <f aca="false">IF($AH2550=1,IFERROR(VALUE(MID($D2550,2,20)),1000000000)+ROW()/10000000,"")</f>
        <v/>
      </c>
    </row>
    <row r="2551" customFormat="false" ht="15" hidden="false" customHeight="false" outlineLevel="0" collapsed="false">
      <c r="F2551" s="15"/>
      <c r="N2551" s="16" t="str">
        <f aca="false">IF($D2551="","",M2551*Y2551/100)</f>
        <v/>
      </c>
      <c r="V2551" s="16" t="str">
        <f aca="false">IF($D2551="","",Y2551*AB2551/100)</f>
        <v/>
      </c>
      <c r="W2551" s="16" t="str">
        <f aca="false">IF($D2551="","",Y2551-V2551)</f>
        <v/>
      </c>
      <c r="X2551" s="16" t="str">
        <f aca="false">IF($D2551="","",W2551-N2551)</f>
        <v/>
      </c>
      <c r="AB2551" s="17" t="str">
        <f aca="false">IF($D2551="","",IF(OR($R2551=TRUE(),$R2551="TRUE"),Settings!$C$6,Settings!$C$7)*100)</f>
        <v/>
      </c>
      <c r="AH2551" s="18" t="str">
        <f aca="false">IF($D2551="","",IF(COUNTIF($D$2:$D2551,$D2551)=1,1,0))</f>
        <v/>
      </c>
      <c r="AI2551" s="18" t="str">
        <f aca="false">IF($AH2551=1,SUMPRODUCT(--($AK$2:$AK$4001&lt;$AK2551))+1,"")</f>
        <v/>
      </c>
      <c r="AJ2551" s="18" t="str">
        <f aca="false">IF($D2551="","",IF(OR($R2551=TRUE(),$R2551="TRUE"),1,0))</f>
        <v/>
      </c>
      <c r="AK2551" s="18" t="str">
        <f aca="false">IF($AH2551=1,IFERROR(VALUE(MID($D2551,2,20)),1000000000)+ROW()/10000000,"")</f>
        <v/>
      </c>
    </row>
    <row r="2552" customFormat="false" ht="15" hidden="false" customHeight="false" outlineLevel="0" collapsed="false">
      <c r="F2552" s="15"/>
      <c r="N2552" s="16" t="str">
        <f aca="false">IF($D2552="","",M2552*Y2552/100)</f>
        <v/>
      </c>
      <c r="V2552" s="16" t="str">
        <f aca="false">IF($D2552="","",Y2552*AB2552/100)</f>
        <v/>
      </c>
      <c r="W2552" s="16" t="str">
        <f aca="false">IF($D2552="","",Y2552-V2552)</f>
        <v/>
      </c>
      <c r="X2552" s="16" t="str">
        <f aca="false">IF($D2552="","",W2552-N2552)</f>
        <v/>
      </c>
      <c r="AB2552" s="17" t="str">
        <f aca="false">IF($D2552="","",IF(OR($R2552=TRUE(),$R2552="TRUE"),Settings!$C$6,Settings!$C$7)*100)</f>
        <v/>
      </c>
      <c r="AH2552" s="18" t="str">
        <f aca="false">IF($D2552="","",IF(COUNTIF($D$2:$D2552,$D2552)=1,1,0))</f>
        <v/>
      </c>
      <c r="AI2552" s="18" t="str">
        <f aca="false">IF($AH2552=1,SUMPRODUCT(--($AK$2:$AK$4001&lt;$AK2552))+1,"")</f>
        <v/>
      </c>
      <c r="AJ2552" s="18" t="str">
        <f aca="false">IF($D2552="","",IF(OR($R2552=TRUE(),$R2552="TRUE"),1,0))</f>
        <v/>
      </c>
      <c r="AK2552" s="18" t="str">
        <f aca="false">IF($AH2552=1,IFERROR(VALUE(MID($D2552,2,20)),1000000000)+ROW()/10000000,"")</f>
        <v/>
      </c>
    </row>
    <row r="2553" customFormat="false" ht="15" hidden="false" customHeight="false" outlineLevel="0" collapsed="false">
      <c r="F2553" s="15"/>
      <c r="N2553" s="16" t="str">
        <f aca="false">IF($D2553="","",M2553*Y2553/100)</f>
        <v/>
      </c>
      <c r="V2553" s="16" t="str">
        <f aca="false">IF($D2553="","",Y2553*AB2553/100)</f>
        <v/>
      </c>
      <c r="W2553" s="16" t="str">
        <f aca="false">IF($D2553="","",Y2553-V2553)</f>
        <v/>
      </c>
      <c r="X2553" s="16" t="str">
        <f aca="false">IF($D2553="","",W2553-N2553)</f>
        <v/>
      </c>
      <c r="AB2553" s="17" t="str">
        <f aca="false">IF($D2553="","",IF(OR($R2553=TRUE(),$R2553="TRUE"),Settings!$C$6,Settings!$C$7)*100)</f>
        <v/>
      </c>
      <c r="AH2553" s="18" t="str">
        <f aca="false">IF($D2553="","",IF(COUNTIF($D$2:$D2553,$D2553)=1,1,0))</f>
        <v/>
      </c>
      <c r="AI2553" s="18" t="str">
        <f aca="false">IF($AH2553=1,SUMPRODUCT(--($AK$2:$AK$4001&lt;$AK2553))+1,"")</f>
        <v/>
      </c>
      <c r="AJ2553" s="18" t="str">
        <f aca="false">IF($D2553="","",IF(OR($R2553=TRUE(),$R2553="TRUE"),1,0))</f>
        <v/>
      </c>
      <c r="AK2553" s="18" t="str">
        <f aca="false">IF($AH2553=1,IFERROR(VALUE(MID($D2553,2,20)),1000000000)+ROW()/10000000,"")</f>
        <v/>
      </c>
    </row>
    <row r="2554" customFormat="false" ht="15" hidden="false" customHeight="false" outlineLevel="0" collapsed="false">
      <c r="F2554" s="15"/>
      <c r="N2554" s="16" t="str">
        <f aca="false">IF($D2554="","",M2554*Y2554/100)</f>
        <v/>
      </c>
      <c r="V2554" s="16" t="str">
        <f aca="false">IF($D2554="","",Y2554*AB2554/100)</f>
        <v/>
      </c>
      <c r="W2554" s="16" t="str">
        <f aca="false">IF($D2554="","",Y2554-V2554)</f>
        <v/>
      </c>
      <c r="X2554" s="16" t="str">
        <f aca="false">IF($D2554="","",W2554-N2554)</f>
        <v/>
      </c>
      <c r="AB2554" s="17" t="str">
        <f aca="false">IF($D2554="","",IF(OR($R2554=TRUE(),$R2554="TRUE"),Settings!$C$6,Settings!$C$7)*100)</f>
        <v/>
      </c>
      <c r="AH2554" s="18" t="str">
        <f aca="false">IF($D2554="","",IF(COUNTIF($D$2:$D2554,$D2554)=1,1,0))</f>
        <v/>
      </c>
      <c r="AI2554" s="18" t="str">
        <f aca="false">IF($AH2554=1,SUMPRODUCT(--($AK$2:$AK$4001&lt;$AK2554))+1,"")</f>
        <v/>
      </c>
      <c r="AJ2554" s="18" t="str">
        <f aca="false">IF($D2554="","",IF(OR($R2554=TRUE(),$R2554="TRUE"),1,0))</f>
        <v/>
      </c>
      <c r="AK2554" s="18" t="str">
        <f aca="false">IF($AH2554=1,IFERROR(VALUE(MID($D2554,2,20)),1000000000)+ROW()/10000000,"")</f>
        <v/>
      </c>
    </row>
    <row r="2555" customFormat="false" ht="15" hidden="false" customHeight="false" outlineLevel="0" collapsed="false">
      <c r="F2555" s="15"/>
      <c r="N2555" s="16" t="str">
        <f aca="false">IF($D2555="","",M2555*Y2555/100)</f>
        <v/>
      </c>
      <c r="V2555" s="16" t="str">
        <f aca="false">IF($D2555="","",Y2555*AB2555/100)</f>
        <v/>
      </c>
      <c r="W2555" s="16" t="str">
        <f aca="false">IF($D2555="","",Y2555-V2555)</f>
        <v/>
      </c>
      <c r="X2555" s="16" t="str">
        <f aca="false">IF($D2555="","",W2555-N2555)</f>
        <v/>
      </c>
      <c r="AB2555" s="17" t="str">
        <f aca="false">IF($D2555="","",IF(OR($R2555=TRUE(),$R2555="TRUE"),Settings!$C$6,Settings!$C$7)*100)</f>
        <v/>
      </c>
      <c r="AH2555" s="18" t="str">
        <f aca="false">IF($D2555="","",IF(COUNTIF($D$2:$D2555,$D2555)=1,1,0))</f>
        <v/>
      </c>
      <c r="AI2555" s="18" t="str">
        <f aca="false">IF($AH2555=1,SUMPRODUCT(--($AK$2:$AK$4001&lt;$AK2555))+1,"")</f>
        <v/>
      </c>
      <c r="AJ2555" s="18" t="str">
        <f aca="false">IF($D2555="","",IF(OR($R2555=TRUE(),$R2555="TRUE"),1,0))</f>
        <v/>
      </c>
      <c r="AK2555" s="18" t="str">
        <f aca="false">IF($AH2555=1,IFERROR(VALUE(MID($D2555,2,20)),1000000000)+ROW()/10000000,"")</f>
        <v/>
      </c>
    </row>
    <row r="2556" customFormat="false" ht="15" hidden="false" customHeight="false" outlineLevel="0" collapsed="false">
      <c r="F2556" s="15"/>
      <c r="N2556" s="16" t="str">
        <f aca="false">IF($D2556="","",M2556*Y2556/100)</f>
        <v/>
      </c>
      <c r="V2556" s="16" t="str">
        <f aca="false">IF($D2556="","",Y2556*AB2556/100)</f>
        <v/>
      </c>
      <c r="W2556" s="16" t="str">
        <f aca="false">IF($D2556="","",Y2556-V2556)</f>
        <v/>
      </c>
      <c r="X2556" s="16" t="str">
        <f aca="false">IF($D2556="","",W2556-N2556)</f>
        <v/>
      </c>
      <c r="AB2556" s="17" t="str">
        <f aca="false">IF($D2556="","",IF(OR($R2556=TRUE(),$R2556="TRUE"),Settings!$C$6,Settings!$C$7)*100)</f>
        <v/>
      </c>
      <c r="AH2556" s="18" t="str">
        <f aca="false">IF($D2556="","",IF(COUNTIF($D$2:$D2556,$D2556)=1,1,0))</f>
        <v/>
      </c>
      <c r="AI2556" s="18" t="str">
        <f aca="false">IF($AH2556=1,SUMPRODUCT(--($AK$2:$AK$4001&lt;$AK2556))+1,"")</f>
        <v/>
      </c>
      <c r="AJ2556" s="18" t="str">
        <f aca="false">IF($D2556="","",IF(OR($R2556=TRUE(),$R2556="TRUE"),1,0))</f>
        <v/>
      </c>
      <c r="AK2556" s="18" t="str">
        <f aca="false">IF($AH2556=1,IFERROR(VALUE(MID($D2556,2,20)),1000000000)+ROW()/10000000,"")</f>
        <v/>
      </c>
    </row>
    <row r="2557" customFormat="false" ht="15" hidden="false" customHeight="false" outlineLevel="0" collapsed="false">
      <c r="F2557" s="15"/>
      <c r="N2557" s="16" t="str">
        <f aca="false">IF($D2557="","",M2557*Y2557/100)</f>
        <v/>
      </c>
      <c r="V2557" s="16" t="str">
        <f aca="false">IF($D2557="","",Y2557*AB2557/100)</f>
        <v/>
      </c>
      <c r="W2557" s="16" t="str">
        <f aca="false">IF($D2557="","",Y2557-V2557)</f>
        <v/>
      </c>
      <c r="X2557" s="16" t="str">
        <f aca="false">IF($D2557="","",W2557-N2557)</f>
        <v/>
      </c>
      <c r="AB2557" s="17" t="str">
        <f aca="false">IF($D2557="","",IF(OR($R2557=TRUE(),$R2557="TRUE"),Settings!$C$6,Settings!$C$7)*100)</f>
        <v/>
      </c>
      <c r="AH2557" s="18" t="str">
        <f aca="false">IF($D2557="","",IF(COUNTIF($D$2:$D2557,$D2557)=1,1,0))</f>
        <v/>
      </c>
      <c r="AI2557" s="18" t="str">
        <f aca="false">IF($AH2557=1,SUMPRODUCT(--($AK$2:$AK$4001&lt;$AK2557))+1,"")</f>
        <v/>
      </c>
      <c r="AJ2557" s="18" t="str">
        <f aca="false">IF($D2557="","",IF(OR($R2557=TRUE(),$R2557="TRUE"),1,0))</f>
        <v/>
      </c>
      <c r="AK2557" s="18" t="str">
        <f aca="false">IF($AH2557=1,IFERROR(VALUE(MID($D2557,2,20)),1000000000)+ROW()/10000000,"")</f>
        <v/>
      </c>
    </row>
    <row r="2558" customFormat="false" ht="15" hidden="false" customHeight="false" outlineLevel="0" collapsed="false">
      <c r="F2558" s="15"/>
      <c r="N2558" s="16" t="str">
        <f aca="false">IF($D2558="","",M2558*Y2558/100)</f>
        <v/>
      </c>
      <c r="V2558" s="16" t="str">
        <f aca="false">IF($D2558="","",Y2558*AB2558/100)</f>
        <v/>
      </c>
      <c r="W2558" s="16" t="str">
        <f aca="false">IF($D2558="","",Y2558-V2558)</f>
        <v/>
      </c>
      <c r="X2558" s="16" t="str">
        <f aca="false">IF($D2558="","",W2558-N2558)</f>
        <v/>
      </c>
      <c r="AB2558" s="17" t="str">
        <f aca="false">IF($D2558="","",IF(OR($R2558=TRUE(),$R2558="TRUE"),Settings!$C$6,Settings!$C$7)*100)</f>
        <v/>
      </c>
      <c r="AH2558" s="18" t="str">
        <f aca="false">IF($D2558="","",IF(COUNTIF($D$2:$D2558,$D2558)=1,1,0))</f>
        <v/>
      </c>
      <c r="AI2558" s="18" t="str">
        <f aca="false">IF($AH2558=1,SUMPRODUCT(--($AK$2:$AK$4001&lt;$AK2558))+1,"")</f>
        <v/>
      </c>
      <c r="AJ2558" s="18" t="str">
        <f aca="false">IF($D2558="","",IF(OR($R2558=TRUE(),$R2558="TRUE"),1,0))</f>
        <v/>
      </c>
      <c r="AK2558" s="18" t="str">
        <f aca="false">IF($AH2558=1,IFERROR(VALUE(MID($D2558,2,20)),1000000000)+ROW()/10000000,"")</f>
        <v/>
      </c>
    </row>
    <row r="2559" customFormat="false" ht="15" hidden="false" customHeight="false" outlineLevel="0" collapsed="false">
      <c r="F2559" s="15"/>
      <c r="N2559" s="16" t="str">
        <f aca="false">IF($D2559="","",M2559*Y2559/100)</f>
        <v/>
      </c>
      <c r="V2559" s="16" t="str">
        <f aca="false">IF($D2559="","",Y2559*AB2559/100)</f>
        <v/>
      </c>
      <c r="W2559" s="16" t="str">
        <f aca="false">IF($D2559="","",Y2559-V2559)</f>
        <v/>
      </c>
      <c r="X2559" s="16" t="str">
        <f aca="false">IF($D2559="","",W2559-N2559)</f>
        <v/>
      </c>
      <c r="AB2559" s="17" t="str">
        <f aca="false">IF($D2559="","",IF(OR($R2559=TRUE(),$R2559="TRUE"),Settings!$C$6,Settings!$C$7)*100)</f>
        <v/>
      </c>
      <c r="AH2559" s="18" t="str">
        <f aca="false">IF($D2559="","",IF(COUNTIF($D$2:$D2559,$D2559)=1,1,0))</f>
        <v/>
      </c>
      <c r="AI2559" s="18" t="str">
        <f aca="false">IF($AH2559=1,SUMPRODUCT(--($AK$2:$AK$4001&lt;$AK2559))+1,"")</f>
        <v/>
      </c>
      <c r="AJ2559" s="18" t="str">
        <f aca="false">IF($D2559="","",IF(OR($R2559=TRUE(),$R2559="TRUE"),1,0))</f>
        <v/>
      </c>
      <c r="AK2559" s="18" t="str">
        <f aca="false">IF($AH2559=1,IFERROR(VALUE(MID($D2559,2,20)),1000000000)+ROW()/10000000,"")</f>
        <v/>
      </c>
    </row>
    <row r="2560" customFormat="false" ht="15" hidden="false" customHeight="false" outlineLevel="0" collapsed="false">
      <c r="F2560" s="15"/>
      <c r="N2560" s="16" t="str">
        <f aca="false">IF($D2560="","",M2560*Y2560/100)</f>
        <v/>
      </c>
      <c r="V2560" s="16" t="str">
        <f aca="false">IF($D2560="","",Y2560*AB2560/100)</f>
        <v/>
      </c>
      <c r="W2560" s="16" t="str">
        <f aca="false">IF($D2560="","",Y2560-V2560)</f>
        <v/>
      </c>
      <c r="X2560" s="16" t="str">
        <f aca="false">IF($D2560="","",W2560-N2560)</f>
        <v/>
      </c>
      <c r="AB2560" s="17" t="str">
        <f aca="false">IF($D2560="","",IF(OR($R2560=TRUE(),$R2560="TRUE"),Settings!$C$6,Settings!$C$7)*100)</f>
        <v/>
      </c>
      <c r="AH2560" s="18" t="str">
        <f aca="false">IF($D2560="","",IF(COUNTIF($D$2:$D2560,$D2560)=1,1,0))</f>
        <v/>
      </c>
      <c r="AI2560" s="18" t="str">
        <f aca="false">IF($AH2560=1,SUMPRODUCT(--($AK$2:$AK$4001&lt;$AK2560))+1,"")</f>
        <v/>
      </c>
      <c r="AJ2560" s="18" t="str">
        <f aca="false">IF($D2560="","",IF(OR($R2560=TRUE(),$R2560="TRUE"),1,0))</f>
        <v/>
      </c>
      <c r="AK2560" s="18" t="str">
        <f aca="false">IF($AH2560=1,IFERROR(VALUE(MID($D2560,2,20)),1000000000)+ROW()/10000000,"")</f>
        <v/>
      </c>
    </row>
    <row r="2561" customFormat="false" ht="15" hidden="false" customHeight="false" outlineLevel="0" collapsed="false">
      <c r="F2561" s="15"/>
      <c r="N2561" s="16" t="str">
        <f aca="false">IF($D2561="","",M2561*Y2561/100)</f>
        <v/>
      </c>
      <c r="V2561" s="16" t="str">
        <f aca="false">IF($D2561="","",Y2561*AB2561/100)</f>
        <v/>
      </c>
      <c r="W2561" s="16" t="str">
        <f aca="false">IF($D2561="","",Y2561-V2561)</f>
        <v/>
      </c>
      <c r="X2561" s="16" t="str">
        <f aca="false">IF($D2561="","",W2561-N2561)</f>
        <v/>
      </c>
      <c r="AB2561" s="17" t="str">
        <f aca="false">IF($D2561="","",IF(OR($R2561=TRUE(),$R2561="TRUE"),Settings!$C$6,Settings!$C$7)*100)</f>
        <v/>
      </c>
      <c r="AH2561" s="18" t="str">
        <f aca="false">IF($D2561="","",IF(COUNTIF($D$2:$D2561,$D2561)=1,1,0))</f>
        <v/>
      </c>
      <c r="AI2561" s="18" t="str">
        <f aca="false">IF($AH2561=1,SUMPRODUCT(--($AK$2:$AK$4001&lt;$AK2561))+1,"")</f>
        <v/>
      </c>
      <c r="AJ2561" s="18" t="str">
        <f aca="false">IF($D2561="","",IF(OR($R2561=TRUE(),$R2561="TRUE"),1,0))</f>
        <v/>
      </c>
      <c r="AK2561" s="18" t="str">
        <f aca="false">IF($AH2561=1,IFERROR(VALUE(MID($D2561,2,20)),1000000000)+ROW()/10000000,"")</f>
        <v/>
      </c>
    </row>
    <row r="2562" customFormat="false" ht="15" hidden="false" customHeight="false" outlineLevel="0" collapsed="false">
      <c r="F2562" s="15"/>
      <c r="N2562" s="16" t="str">
        <f aca="false">IF($D2562="","",M2562*Y2562/100)</f>
        <v/>
      </c>
      <c r="V2562" s="16" t="str">
        <f aca="false">IF($D2562="","",Y2562*AB2562/100)</f>
        <v/>
      </c>
      <c r="W2562" s="16" t="str">
        <f aca="false">IF($D2562="","",Y2562-V2562)</f>
        <v/>
      </c>
      <c r="X2562" s="16" t="str">
        <f aca="false">IF($D2562="","",W2562-N2562)</f>
        <v/>
      </c>
      <c r="AB2562" s="17" t="str">
        <f aca="false">IF($D2562="","",IF(OR($R2562=TRUE(),$R2562="TRUE"),Settings!$C$6,Settings!$C$7)*100)</f>
        <v/>
      </c>
      <c r="AH2562" s="18" t="str">
        <f aca="false">IF($D2562="","",IF(COUNTIF($D$2:$D2562,$D2562)=1,1,0))</f>
        <v/>
      </c>
      <c r="AI2562" s="18" t="str">
        <f aca="false">IF($AH2562=1,SUMPRODUCT(--($AK$2:$AK$4001&lt;$AK2562))+1,"")</f>
        <v/>
      </c>
      <c r="AJ2562" s="18" t="str">
        <f aca="false">IF($D2562="","",IF(OR($R2562=TRUE(),$R2562="TRUE"),1,0))</f>
        <v/>
      </c>
      <c r="AK2562" s="18" t="str">
        <f aca="false">IF($AH2562=1,IFERROR(VALUE(MID($D2562,2,20)),1000000000)+ROW()/10000000,"")</f>
        <v/>
      </c>
    </row>
    <row r="2563" customFormat="false" ht="15" hidden="false" customHeight="false" outlineLevel="0" collapsed="false">
      <c r="F2563" s="15"/>
      <c r="N2563" s="16" t="str">
        <f aca="false">IF($D2563="","",M2563*Y2563/100)</f>
        <v/>
      </c>
      <c r="V2563" s="16" t="str">
        <f aca="false">IF($D2563="","",Y2563*AB2563/100)</f>
        <v/>
      </c>
      <c r="W2563" s="16" t="str">
        <f aca="false">IF($D2563="","",Y2563-V2563)</f>
        <v/>
      </c>
      <c r="X2563" s="16" t="str">
        <f aca="false">IF($D2563="","",W2563-N2563)</f>
        <v/>
      </c>
      <c r="AB2563" s="17" t="str">
        <f aca="false">IF($D2563="","",IF(OR($R2563=TRUE(),$R2563="TRUE"),Settings!$C$6,Settings!$C$7)*100)</f>
        <v/>
      </c>
      <c r="AH2563" s="18" t="str">
        <f aca="false">IF($D2563="","",IF(COUNTIF($D$2:$D2563,$D2563)=1,1,0))</f>
        <v/>
      </c>
      <c r="AI2563" s="18" t="str">
        <f aca="false">IF($AH2563=1,SUMPRODUCT(--($AK$2:$AK$4001&lt;$AK2563))+1,"")</f>
        <v/>
      </c>
      <c r="AJ2563" s="18" t="str">
        <f aca="false">IF($D2563="","",IF(OR($R2563=TRUE(),$R2563="TRUE"),1,0))</f>
        <v/>
      </c>
      <c r="AK2563" s="18" t="str">
        <f aca="false">IF($AH2563=1,IFERROR(VALUE(MID($D2563,2,20)),1000000000)+ROW()/10000000,"")</f>
        <v/>
      </c>
    </row>
    <row r="2564" customFormat="false" ht="15" hidden="false" customHeight="false" outlineLevel="0" collapsed="false">
      <c r="F2564" s="15"/>
      <c r="N2564" s="16" t="str">
        <f aca="false">IF($D2564="","",M2564*Y2564/100)</f>
        <v/>
      </c>
      <c r="V2564" s="16" t="str">
        <f aca="false">IF($D2564="","",Y2564*AB2564/100)</f>
        <v/>
      </c>
      <c r="W2564" s="16" t="str">
        <f aca="false">IF($D2564="","",Y2564-V2564)</f>
        <v/>
      </c>
      <c r="X2564" s="16" t="str">
        <f aca="false">IF($D2564="","",W2564-N2564)</f>
        <v/>
      </c>
      <c r="AB2564" s="17" t="str">
        <f aca="false">IF($D2564="","",IF(OR($R2564=TRUE(),$R2564="TRUE"),Settings!$C$6,Settings!$C$7)*100)</f>
        <v/>
      </c>
      <c r="AH2564" s="18" t="str">
        <f aca="false">IF($D2564="","",IF(COUNTIF($D$2:$D2564,$D2564)=1,1,0))</f>
        <v/>
      </c>
      <c r="AI2564" s="18" t="str">
        <f aca="false">IF($AH2564=1,SUMPRODUCT(--($AK$2:$AK$4001&lt;$AK2564))+1,"")</f>
        <v/>
      </c>
      <c r="AJ2564" s="18" t="str">
        <f aca="false">IF($D2564="","",IF(OR($R2564=TRUE(),$R2564="TRUE"),1,0))</f>
        <v/>
      </c>
      <c r="AK2564" s="18" t="str">
        <f aca="false">IF($AH2564=1,IFERROR(VALUE(MID($D2564,2,20)),1000000000)+ROW()/10000000,"")</f>
        <v/>
      </c>
    </row>
    <row r="2565" customFormat="false" ht="15" hidden="false" customHeight="false" outlineLevel="0" collapsed="false">
      <c r="F2565" s="15"/>
      <c r="N2565" s="16" t="str">
        <f aca="false">IF($D2565="","",M2565*Y2565/100)</f>
        <v/>
      </c>
      <c r="V2565" s="16" t="str">
        <f aca="false">IF($D2565="","",Y2565*AB2565/100)</f>
        <v/>
      </c>
      <c r="W2565" s="16" t="str">
        <f aca="false">IF($D2565="","",Y2565-V2565)</f>
        <v/>
      </c>
      <c r="X2565" s="16" t="str">
        <f aca="false">IF($D2565="","",W2565-N2565)</f>
        <v/>
      </c>
      <c r="AB2565" s="17" t="str">
        <f aca="false">IF($D2565="","",IF(OR($R2565=TRUE(),$R2565="TRUE"),Settings!$C$6,Settings!$C$7)*100)</f>
        <v/>
      </c>
      <c r="AH2565" s="18" t="str">
        <f aca="false">IF($D2565="","",IF(COUNTIF($D$2:$D2565,$D2565)=1,1,0))</f>
        <v/>
      </c>
      <c r="AI2565" s="18" t="str">
        <f aca="false">IF($AH2565=1,SUMPRODUCT(--($AK$2:$AK$4001&lt;$AK2565))+1,"")</f>
        <v/>
      </c>
      <c r="AJ2565" s="18" t="str">
        <f aca="false">IF($D2565="","",IF(OR($R2565=TRUE(),$R2565="TRUE"),1,0))</f>
        <v/>
      </c>
      <c r="AK2565" s="18" t="str">
        <f aca="false">IF($AH2565=1,IFERROR(VALUE(MID($D2565,2,20)),1000000000)+ROW()/10000000,"")</f>
        <v/>
      </c>
    </row>
    <row r="2566" customFormat="false" ht="15" hidden="false" customHeight="false" outlineLevel="0" collapsed="false">
      <c r="F2566" s="15"/>
      <c r="N2566" s="16" t="str">
        <f aca="false">IF($D2566="","",M2566*Y2566/100)</f>
        <v/>
      </c>
      <c r="V2566" s="16" t="str">
        <f aca="false">IF($D2566="","",Y2566*AB2566/100)</f>
        <v/>
      </c>
      <c r="W2566" s="16" t="str">
        <f aca="false">IF($D2566="","",Y2566-V2566)</f>
        <v/>
      </c>
      <c r="X2566" s="16" t="str">
        <f aca="false">IF($D2566="","",W2566-N2566)</f>
        <v/>
      </c>
      <c r="AB2566" s="17" t="str">
        <f aca="false">IF($D2566="","",IF(OR($R2566=TRUE(),$R2566="TRUE"),Settings!$C$6,Settings!$C$7)*100)</f>
        <v/>
      </c>
      <c r="AH2566" s="18" t="str">
        <f aca="false">IF($D2566="","",IF(COUNTIF($D$2:$D2566,$D2566)=1,1,0))</f>
        <v/>
      </c>
      <c r="AI2566" s="18" t="str">
        <f aca="false">IF($AH2566=1,SUMPRODUCT(--($AK$2:$AK$4001&lt;$AK2566))+1,"")</f>
        <v/>
      </c>
      <c r="AJ2566" s="18" t="str">
        <f aca="false">IF($D2566="","",IF(OR($R2566=TRUE(),$R2566="TRUE"),1,0))</f>
        <v/>
      </c>
      <c r="AK2566" s="18" t="str">
        <f aca="false">IF($AH2566=1,IFERROR(VALUE(MID($D2566,2,20)),1000000000)+ROW()/10000000,"")</f>
        <v/>
      </c>
    </row>
    <row r="2567" customFormat="false" ht="15" hidden="false" customHeight="false" outlineLevel="0" collapsed="false">
      <c r="F2567" s="15"/>
      <c r="N2567" s="16" t="str">
        <f aca="false">IF($D2567="","",M2567*Y2567/100)</f>
        <v/>
      </c>
      <c r="V2567" s="16" t="str">
        <f aca="false">IF($D2567="","",Y2567*AB2567/100)</f>
        <v/>
      </c>
      <c r="W2567" s="16" t="str">
        <f aca="false">IF($D2567="","",Y2567-V2567)</f>
        <v/>
      </c>
      <c r="X2567" s="16" t="str">
        <f aca="false">IF($D2567="","",W2567-N2567)</f>
        <v/>
      </c>
      <c r="AB2567" s="17" t="str">
        <f aca="false">IF($D2567="","",IF(OR($R2567=TRUE(),$R2567="TRUE"),Settings!$C$6,Settings!$C$7)*100)</f>
        <v/>
      </c>
      <c r="AH2567" s="18" t="str">
        <f aca="false">IF($D2567="","",IF(COUNTIF($D$2:$D2567,$D2567)=1,1,0))</f>
        <v/>
      </c>
      <c r="AI2567" s="18" t="str">
        <f aca="false">IF($AH2567=1,SUMPRODUCT(--($AK$2:$AK$4001&lt;$AK2567))+1,"")</f>
        <v/>
      </c>
      <c r="AJ2567" s="18" t="str">
        <f aca="false">IF($D2567="","",IF(OR($R2567=TRUE(),$R2567="TRUE"),1,0))</f>
        <v/>
      </c>
      <c r="AK2567" s="18" t="str">
        <f aca="false">IF($AH2567=1,IFERROR(VALUE(MID($D2567,2,20)),1000000000)+ROW()/10000000,"")</f>
        <v/>
      </c>
    </row>
    <row r="2568" customFormat="false" ht="15" hidden="false" customHeight="false" outlineLevel="0" collapsed="false">
      <c r="F2568" s="15"/>
      <c r="N2568" s="16" t="str">
        <f aca="false">IF($D2568="","",M2568*Y2568/100)</f>
        <v/>
      </c>
      <c r="V2568" s="16" t="str">
        <f aca="false">IF($D2568="","",Y2568*AB2568/100)</f>
        <v/>
      </c>
      <c r="W2568" s="16" t="str">
        <f aca="false">IF($D2568="","",Y2568-V2568)</f>
        <v/>
      </c>
      <c r="X2568" s="16" t="str">
        <f aca="false">IF($D2568="","",W2568-N2568)</f>
        <v/>
      </c>
      <c r="AB2568" s="17" t="str">
        <f aca="false">IF($D2568="","",IF(OR($R2568=TRUE(),$R2568="TRUE"),Settings!$C$6,Settings!$C$7)*100)</f>
        <v/>
      </c>
      <c r="AH2568" s="18" t="str">
        <f aca="false">IF($D2568="","",IF(COUNTIF($D$2:$D2568,$D2568)=1,1,0))</f>
        <v/>
      </c>
      <c r="AI2568" s="18" t="str">
        <f aca="false">IF($AH2568=1,SUMPRODUCT(--($AK$2:$AK$4001&lt;$AK2568))+1,"")</f>
        <v/>
      </c>
      <c r="AJ2568" s="18" t="str">
        <f aca="false">IF($D2568="","",IF(OR($R2568=TRUE(),$R2568="TRUE"),1,0))</f>
        <v/>
      </c>
      <c r="AK2568" s="18" t="str">
        <f aca="false">IF($AH2568=1,IFERROR(VALUE(MID($D2568,2,20)),1000000000)+ROW()/10000000,"")</f>
        <v/>
      </c>
    </row>
    <row r="2569" customFormat="false" ht="15" hidden="false" customHeight="false" outlineLevel="0" collapsed="false">
      <c r="F2569" s="15"/>
      <c r="N2569" s="16" t="str">
        <f aca="false">IF($D2569="","",M2569*Y2569/100)</f>
        <v/>
      </c>
      <c r="V2569" s="16" t="str">
        <f aca="false">IF($D2569="","",Y2569*AB2569/100)</f>
        <v/>
      </c>
      <c r="W2569" s="16" t="str">
        <f aca="false">IF($D2569="","",Y2569-V2569)</f>
        <v/>
      </c>
      <c r="X2569" s="16" t="str">
        <f aca="false">IF($D2569="","",W2569-N2569)</f>
        <v/>
      </c>
      <c r="AB2569" s="17" t="str">
        <f aca="false">IF($D2569="","",IF(OR($R2569=TRUE(),$R2569="TRUE"),Settings!$C$6,Settings!$C$7)*100)</f>
        <v/>
      </c>
      <c r="AH2569" s="18" t="str">
        <f aca="false">IF($D2569="","",IF(COUNTIF($D$2:$D2569,$D2569)=1,1,0))</f>
        <v/>
      </c>
      <c r="AI2569" s="18" t="str">
        <f aca="false">IF($AH2569=1,SUMPRODUCT(--($AK$2:$AK$4001&lt;$AK2569))+1,"")</f>
        <v/>
      </c>
      <c r="AJ2569" s="18" t="str">
        <f aca="false">IF($D2569="","",IF(OR($R2569=TRUE(),$R2569="TRUE"),1,0))</f>
        <v/>
      </c>
      <c r="AK2569" s="18" t="str">
        <f aca="false">IF($AH2569=1,IFERROR(VALUE(MID($D2569,2,20)),1000000000)+ROW()/10000000,"")</f>
        <v/>
      </c>
    </row>
    <row r="2570" customFormat="false" ht="15" hidden="false" customHeight="false" outlineLevel="0" collapsed="false">
      <c r="F2570" s="15"/>
      <c r="N2570" s="16" t="str">
        <f aca="false">IF($D2570="","",M2570*Y2570/100)</f>
        <v/>
      </c>
      <c r="V2570" s="16" t="str">
        <f aca="false">IF($D2570="","",Y2570*AB2570/100)</f>
        <v/>
      </c>
      <c r="W2570" s="16" t="str">
        <f aca="false">IF($D2570="","",Y2570-V2570)</f>
        <v/>
      </c>
      <c r="X2570" s="16" t="str">
        <f aca="false">IF($D2570="","",W2570-N2570)</f>
        <v/>
      </c>
      <c r="AB2570" s="17" t="str">
        <f aca="false">IF($D2570="","",IF(OR($R2570=TRUE(),$R2570="TRUE"),Settings!$C$6,Settings!$C$7)*100)</f>
        <v/>
      </c>
      <c r="AH2570" s="18" t="str">
        <f aca="false">IF($D2570="","",IF(COUNTIF($D$2:$D2570,$D2570)=1,1,0))</f>
        <v/>
      </c>
      <c r="AI2570" s="18" t="str">
        <f aca="false">IF($AH2570=1,SUMPRODUCT(--($AK$2:$AK$4001&lt;$AK2570))+1,"")</f>
        <v/>
      </c>
      <c r="AJ2570" s="18" t="str">
        <f aca="false">IF($D2570="","",IF(OR($R2570=TRUE(),$R2570="TRUE"),1,0))</f>
        <v/>
      </c>
      <c r="AK2570" s="18" t="str">
        <f aca="false">IF($AH2570=1,IFERROR(VALUE(MID($D2570,2,20)),1000000000)+ROW()/10000000,"")</f>
        <v/>
      </c>
    </row>
    <row r="2571" customFormat="false" ht="15" hidden="false" customHeight="false" outlineLevel="0" collapsed="false">
      <c r="F2571" s="15"/>
      <c r="N2571" s="16" t="str">
        <f aca="false">IF($D2571="","",M2571*Y2571/100)</f>
        <v/>
      </c>
      <c r="V2571" s="16" t="str">
        <f aca="false">IF($D2571="","",Y2571*AB2571/100)</f>
        <v/>
      </c>
      <c r="W2571" s="16" t="str">
        <f aca="false">IF($D2571="","",Y2571-V2571)</f>
        <v/>
      </c>
      <c r="X2571" s="16" t="str">
        <f aca="false">IF($D2571="","",W2571-N2571)</f>
        <v/>
      </c>
      <c r="AB2571" s="17" t="str">
        <f aca="false">IF($D2571="","",IF(OR($R2571=TRUE(),$R2571="TRUE"),Settings!$C$6,Settings!$C$7)*100)</f>
        <v/>
      </c>
      <c r="AH2571" s="18" t="str">
        <f aca="false">IF($D2571="","",IF(COUNTIF($D$2:$D2571,$D2571)=1,1,0))</f>
        <v/>
      </c>
      <c r="AI2571" s="18" t="str">
        <f aca="false">IF($AH2571=1,SUMPRODUCT(--($AK$2:$AK$4001&lt;$AK2571))+1,"")</f>
        <v/>
      </c>
      <c r="AJ2571" s="18" t="str">
        <f aca="false">IF($D2571="","",IF(OR($R2571=TRUE(),$R2571="TRUE"),1,0))</f>
        <v/>
      </c>
      <c r="AK2571" s="18" t="str">
        <f aca="false">IF($AH2571=1,IFERROR(VALUE(MID($D2571,2,20)),1000000000)+ROW()/10000000,"")</f>
        <v/>
      </c>
    </row>
    <row r="2572" customFormat="false" ht="15" hidden="false" customHeight="false" outlineLevel="0" collapsed="false">
      <c r="F2572" s="15"/>
      <c r="N2572" s="16" t="str">
        <f aca="false">IF($D2572="","",M2572*Y2572/100)</f>
        <v/>
      </c>
      <c r="V2572" s="16" t="str">
        <f aca="false">IF($D2572="","",Y2572*AB2572/100)</f>
        <v/>
      </c>
      <c r="W2572" s="16" t="str">
        <f aca="false">IF($D2572="","",Y2572-V2572)</f>
        <v/>
      </c>
      <c r="X2572" s="16" t="str">
        <f aca="false">IF($D2572="","",W2572-N2572)</f>
        <v/>
      </c>
      <c r="AB2572" s="17" t="str">
        <f aca="false">IF($D2572="","",IF(OR($R2572=TRUE(),$R2572="TRUE"),Settings!$C$6,Settings!$C$7)*100)</f>
        <v/>
      </c>
      <c r="AH2572" s="18" t="str">
        <f aca="false">IF($D2572="","",IF(COUNTIF($D$2:$D2572,$D2572)=1,1,0))</f>
        <v/>
      </c>
      <c r="AI2572" s="18" t="str">
        <f aca="false">IF($AH2572=1,SUMPRODUCT(--($AK$2:$AK$4001&lt;$AK2572))+1,"")</f>
        <v/>
      </c>
      <c r="AJ2572" s="18" t="str">
        <f aca="false">IF($D2572="","",IF(OR($R2572=TRUE(),$R2572="TRUE"),1,0))</f>
        <v/>
      </c>
      <c r="AK2572" s="18" t="str">
        <f aca="false">IF($AH2572=1,IFERROR(VALUE(MID($D2572,2,20)),1000000000)+ROW()/10000000,"")</f>
        <v/>
      </c>
    </row>
    <row r="2573" customFormat="false" ht="15" hidden="false" customHeight="false" outlineLevel="0" collapsed="false">
      <c r="F2573" s="15"/>
      <c r="N2573" s="16" t="str">
        <f aca="false">IF($D2573="","",M2573*Y2573/100)</f>
        <v/>
      </c>
      <c r="V2573" s="16" t="str">
        <f aca="false">IF($D2573="","",Y2573*AB2573/100)</f>
        <v/>
      </c>
      <c r="W2573" s="16" t="str">
        <f aca="false">IF($D2573="","",Y2573-V2573)</f>
        <v/>
      </c>
      <c r="X2573" s="16" t="str">
        <f aca="false">IF($D2573="","",W2573-N2573)</f>
        <v/>
      </c>
      <c r="AB2573" s="17" t="str">
        <f aca="false">IF($D2573="","",IF(OR($R2573=TRUE(),$R2573="TRUE"),Settings!$C$6,Settings!$C$7)*100)</f>
        <v/>
      </c>
      <c r="AH2573" s="18" t="str">
        <f aca="false">IF($D2573="","",IF(COUNTIF($D$2:$D2573,$D2573)=1,1,0))</f>
        <v/>
      </c>
      <c r="AI2573" s="18" t="str">
        <f aca="false">IF($AH2573=1,SUMPRODUCT(--($AK$2:$AK$4001&lt;$AK2573))+1,"")</f>
        <v/>
      </c>
      <c r="AJ2573" s="18" t="str">
        <f aca="false">IF($D2573="","",IF(OR($R2573=TRUE(),$R2573="TRUE"),1,0))</f>
        <v/>
      </c>
      <c r="AK2573" s="18" t="str">
        <f aca="false">IF($AH2573=1,IFERROR(VALUE(MID($D2573,2,20)),1000000000)+ROW()/10000000,"")</f>
        <v/>
      </c>
    </row>
    <row r="2574" customFormat="false" ht="15" hidden="false" customHeight="false" outlineLevel="0" collapsed="false">
      <c r="F2574" s="15"/>
      <c r="N2574" s="16" t="str">
        <f aca="false">IF($D2574="","",M2574*Y2574/100)</f>
        <v/>
      </c>
      <c r="V2574" s="16" t="str">
        <f aca="false">IF($D2574="","",Y2574*AB2574/100)</f>
        <v/>
      </c>
      <c r="W2574" s="16" t="str">
        <f aca="false">IF($D2574="","",Y2574-V2574)</f>
        <v/>
      </c>
      <c r="X2574" s="16" t="str">
        <f aca="false">IF($D2574="","",W2574-N2574)</f>
        <v/>
      </c>
      <c r="AB2574" s="17" t="str">
        <f aca="false">IF($D2574="","",IF(OR($R2574=TRUE(),$R2574="TRUE"),Settings!$C$6,Settings!$C$7)*100)</f>
        <v/>
      </c>
      <c r="AH2574" s="18" t="str">
        <f aca="false">IF($D2574="","",IF(COUNTIF($D$2:$D2574,$D2574)=1,1,0))</f>
        <v/>
      </c>
      <c r="AI2574" s="18" t="str">
        <f aca="false">IF($AH2574=1,SUMPRODUCT(--($AK$2:$AK$4001&lt;$AK2574))+1,"")</f>
        <v/>
      </c>
      <c r="AJ2574" s="18" t="str">
        <f aca="false">IF($D2574="","",IF(OR($R2574=TRUE(),$R2574="TRUE"),1,0))</f>
        <v/>
      </c>
      <c r="AK2574" s="18" t="str">
        <f aca="false">IF($AH2574=1,IFERROR(VALUE(MID($D2574,2,20)),1000000000)+ROW()/10000000,"")</f>
        <v/>
      </c>
    </row>
    <row r="2575" customFormat="false" ht="15" hidden="false" customHeight="false" outlineLevel="0" collapsed="false">
      <c r="F2575" s="15"/>
      <c r="N2575" s="16" t="str">
        <f aca="false">IF($D2575="","",M2575*Y2575/100)</f>
        <v/>
      </c>
      <c r="V2575" s="16" t="str">
        <f aca="false">IF($D2575="","",Y2575*AB2575/100)</f>
        <v/>
      </c>
      <c r="W2575" s="16" t="str">
        <f aca="false">IF($D2575="","",Y2575-V2575)</f>
        <v/>
      </c>
      <c r="X2575" s="16" t="str">
        <f aca="false">IF($D2575="","",W2575-N2575)</f>
        <v/>
      </c>
      <c r="AB2575" s="17" t="str">
        <f aca="false">IF($D2575="","",IF(OR($R2575=TRUE(),$R2575="TRUE"),Settings!$C$6,Settings!$C$7)*100)</f>
        <v/>
      </c>
      <c r="AH2575" s="18" t="str">
        <f aca="false">IF($D2575="","",IF(COUNTIF($D$2:$D2575,$D2575)=1,1,0))</f>
        <v/>
      </c>
      <c r="AI2575" s="18" t="str">
        <f aca="false">IF($AH2575=1,SUMPRODUCT(--($AK$2:$AK$4001&lt;$AK2575))+1,"")</f>
        <v/>
      </c>
      <c r="AJ2575" s="18" t="str">
        <f aca="false">IF($D2575="","",IF(OR($R2575=TRUE(),$R2575="TRUE"),1,0))</f>
        <v/>
      </c>
      <c r="AK2575" s="18" t="str">
        <f aca="false">IF($AH2575=1,IFERROR(VALUE(MID($D2575,2,20)),1000000000)+ROW()/10000000,"")</f>
        <v/>
      </c>
    </row>
    <row r="2576" customFormat="false" ht="15" hidden="false" customHeight="false" outlineLevel="0" collapsed="false">
      <c r="F2576" s="15"/>
      <c r="N2576" s="16" t="str">
        <f aca="false">IF($D2576="","",M2576*Y2576/100)</f>
        <v/>
      </c>
      <c r="V2576" s="16" t="str">
        <f aca="false">IF($D2576="","",Y2576*AB2576/100)</f>
        <v/>
      </c>
      <c r="W2576" s="16" t="str">
        <f aca="false">IF($D2576="","",Y2576-V2576)</f>
        <v/>
      </c>
      <c r="X2576" s="16" t="str">
        <f aca="false">IF($D2576="","",W2576-N2576)</f>
        <v/>
      </c>
      <c r="AB2576" s="17" t="str">
        <f aca="false">IF($D2576="","",IF(OR($R2576=TRUE(),$R2576="TRUE"),Settings!$C$6,Settings!$C$7)*100)</f>
        <v/>
      </c>
      <c r="AH2576" s="18" t="str">
        <f aca="false">IF($D2576="","",IF(COUNTIF($D$2:$D2576,$D2576)=1,1,0))</f>
        <v/>
      </c>
      <c r="AI2576" s="18" t="str">
        <f aca="false">IF($AH2576=1,SUMPRODUCT(--($AK$2:$AK$4001&lt;$AK2576))+1,"")</f>
        <v/>
      </c>
      <c r="AJ2576" s="18" t="str">
        <f aca="false">IF($D2576="","",IF(OR($R2576=TRUE(),$R2576="TRUE"),1,0))</f>
        <v/>
      </c>
      <c r="AK2576" s="18" t="str">
        <f aca="false">IF($AH2576=1,IFERROR(VALUE(MID($D2576,2,20)),1000000000)+ROW()/10000000,"")</f>
        <v/>
      </c>
    </row>
    <row r="2577" customFormat="false" ht="15" hidden="false" customHeight="false" outlineLevel="0" collapsed="false">
      <c r="F2577" s="15"/>
      <c r="N2577" s="16" t="str">
        <f aca="false">IF($D2577="","",M2577*Y2577/100)</f>
        <v/>
      </c>
      <c r="V2577" s="16" t="str">
        <f aca="false">IF($D2577="","",Y2577*AB2577/100)</f>
        <v/>
      </c>
      <c r="W2577" s="16" t="str">
        <f aca="false">IF($D2577="","",Y2577-V2577)</f>
        <v/>
      </c>
      <c r="X2577" s="16" t="str">
        <f aca="false">IF($D2577="","",W2577-N2577)</f>
        <v/>
      </c>
      <c r="AB2577" s="17" t="str">
        <f aca="false">IF($D2577="","",IF(OR($R2577=TRUE(),$R2577="TRUE"),Settings!$C$6,Settings!$C$7)*100)</f>
        <v/>
      </c>
      <c r="AH2577" s="18" t="str">
        <f aca="false">IF($D2577="","",IF(COUNTIF($D$2:$D2577,$D2577)=1,1,0))</f>
        <v/>
      </c>
      <c r="AI2577" s="18" t="str">
        <f aca="false">IF($AH2577=1,SUMPRODUCT(--($AK$2:$AK$4001&lt;$AK2577))+1,"")</f>
        <v/>
      </c>
      <c r="AJ2577" s="18" t="str">
        <f aca="false">IF($D2577="","",IF(OR($R2577=TRUE(),$R2577="TRUE"),1,0))</f>
        <v/>
      </c>
      <c r="AK2577" s="18" t="str">
        <f aca="false">IF($AH2577=1,IFERROR(VALUE(MID($D2577,2,20)),1000000000)+ROW()/10000000,"")</f>
        <v/>
      </c>
    </row>
    <row r="2578" customFormat="false" ht="15" hidden="false" customHeight="false" outlineLevel="0" collapsed="false">
      <c r="F2578" s="15"/>
      <c r="N2578" s="16" t="str">
        <f aca="false">IF($D2578="","",M2578*Y2578/100)</f>
        <v/>
      </c>
      <c r="V2578" s="16" t="str">
        <f aca="false">IF($D2578="","",Y2578*AB2578/100)</f>
        <v/>
      </c>
      <c r="W2578" s="16" t="str">
        <f aca="false">IF($D2578="","",Y2578-V2578)</f>
        <v/>
      </c>
      <c r="X2578" s="16" t="str">
        <f aca="false">IF($D2578="","",W2578-N2578)</f>
        <v/>
      </c>
      <c r="AB2578" s="17" t="str">
        <f aca="false">IF($D2578="","",IF(OR($R2578=TRUE(),$R2578="TRUE"),Settings!$C$6,Settings!$C$7)*100)</f>
        <v/>
      </c>
      <c r="AH2578" s="18" t="str">
        <f aca="false">IF($D2578="","",IF(COUNTIF($D$2:$D2578,$D2578)=1,1,0))</f>
        <v/>
      </c>
      <c r="AI2578" s="18" t="str">
        <f aca="false">IF($AH2578=1,SUMPRODUCT(--($AK$2:$AK$4001&lt;$AK2578))+1,"")</f>
        <v/>
      </c>
      <c r="AJ2578" s="18" t="str">
        <f aca="false">IF($D2578="","",IF(OR($R2578=TRUE(),$R2578="TRUE"),1,0))</f>
        <v/>
      </c>
      <c r="AK2578" s="18" t="str">
        <f aca="false">IF($AH2578=1,IFERROR(VALUE(MID($D2578,2,20)),1000000000)+ROW()/10000000,"")</f>
        <v/>
      </c>
    </row>
    <row r="2579" customFormat="false" ht="15" hidden="false" customHeight="false" outlineLevel="0" collapsed="false">
      <c r="F2579" s="15"/>
      <c r="N2579" s="16" t="str">
        <f aca="false">IF($D2579="","",M2579*Y2579/100)</f>
        <v/>
      </c>
      <c r="V2579" s="16" t="str">
        <f aca="false">IF($D2579="","",Y2579*AB2579/100)</f>
        <v/>
      </c>
      <c r="W2579" s="16" t="str">
        <f aca="false">IF($D2579="","",Y2579-V2579)</f>
        <v/>
      </c>
      <c r="X2579" s="16" t="str">
        <f aca="false">IF($D2579="","",W2579-N2579)</f>
        <v/>
      </c>
      <c r="AB2579" s="17" t="str">
        <f aca="false">IF($D2579="","",IF(OR($R2579=TRUE(),$R2579="TRUE"),Settings!$C$6,Settings!$C$7)*100)</f>
        <v/>
      </c>
      <c r="AH2579" s="18" t="str">
        <f aca="false">IF($D2579="","",IF(COUNTIF($D$2:$D2579,$D2579)=1,1,0))</f>
        <v/>
      </c>
      <c r="AI2579" s="18" t="str">
        <f aca="false">IF($AH2579=1,SUMPRODUCT(--($AK$2:$AK$4001&lt;$AK2579))+1,"")</f>
        <v/>
      </c>
      <c r="AJ2579" s="18" t="str">
        <f aca="false">IF($D2579="","",IF(OR($R2579=TRUE(),$R2579="TRUE"),1,0))</f>
        <v/>
      </c>
      <c r="AK2579" s="18" t="str">
        <f aca="false">IF($AH2579=1,IFERROR(VALUE(MID($D2579,2,20)),1000000000)+ROW()/10000000,"")</f>
        <v/>
      </c>
    </row>
    <row r="2580" customFormat="false" ht="15" hidden="false" customHeight="false" outlineLevel="0" collapsed="false">
      <c r="F2580" s="15"/>
      <c r="N2580" s="16" t="str">
        <f aca="false">IF($D2580="","",M2580*Y2580/100)</f>
        <v/>
      </c>
      <c r="V2580" s="16" t="str">
        <f aca="false">IF($D2580="","",Y2580*AB2580/100)</f>
        <v/>
      </c>
      <c r="W2580" s="16" t="str">
        <f aca="false">IF($D2580="","",Y2580-V2580)</f>
        <v/>
      </c>
      <c r="X2580" s="16" t="str">
        <f aca="false">IF($D2580="","",W2580-N2580)</f>
        <v/>
      </c>
      <c r="AB2580" s="17" t="str">
        <f aca="false">IF($D2580="","",IF(OR($R2580=TRUE(),$R2580="TRUE"),Settings!$C$6,Settings!$C$7)*100)</f>
        <v/>
      </c>
      <c r="AH2580" s="18" t="str">
        <f aca="false">IF($D2580="","",IF(COUNTIF($D$2:$D2580,$D2580)=1,1,0))</f>
        <v/>
      </c>
      <c r="AI2580" s="18" t="str">
        <f aca="false">IF($AH2580=1,SUMPRODUCT(--($AK$2:$AK$4001&lt;$AK2580))+1,"")</f>
        <v/>
      </c>
      <c r="AJ2580" s="18" t="str">
        <f aca="false">IF($D2580="","",IF(OR($R2580=TRUE(),$R2580="TRUE"),1,0))</f>
        <v/>
      </c>
      <c r="AK2580" s="18" t="str">
        <f aca="false">IF($AH2580=1,IFERROR(VALUE(MID($D2580,2,20)),1000000000)+ROW()/10000000,"")</f>
        <v/>
      </c>
    </row>
    <row r="2581" customFormat="false" ht="15" hidden="false" customHeight="false" outlineLevel="0" collapsed="false">
      <c r="F2581" s="15"/>
      <c r="N2581" s="16" t="str">
        <f aca="false">IF($D2581="","",M2581*Y2581/100)</f>
        <v/>
      </c>
      <c r="V2581" s="16" t="str">
        <f aca="false">IF($D2581="","",Y2581*AB2581/100)</f>
        <v/>
      </c>
      <c r="W2581" s="16" t="str">
        <f aca="false">IF($D2581="","",Y2581-V2581)</f>
        <v/>
      </c>
      <c r="X2581" s="16" t="str">
        <f aca="false">IF($D2581="","",W2581-N2581)</f>
        <v/>
      </c>
      <c r="AB2581" s="17" t="str">
        <f aca="false">IF($D2581="","",IF(OR($R2581=TRUE(),$R2581="TRUE"),Settings!$C$6,Settings!$C$7)*100)</f>
        <v/>
      </c>
      <c r="AH2581" s="18" t="str">
        <f aca="false">IF($D2581="","",IF(COUNTIF($D$2:$D2581,$D2581)=1,1,0))</f>
        <v/>
      </c>
      <c r="AI2581" s="18" t="str">
        <f aca="false">IF($AH2581=1,SUMPRODUCT(--($AK$2:$AK$4001&lt;$AK2581))+1,"")</f>
        <v/>
      </c>
      <c r="AJ2581" s="18" t="str">
        <f aca="false">IF($D2581="","",IF(OR($R2581=TRUE(),$R2581="TRUE"),1,0))</f>
        <v/>
      </c>
      <c r="AK2581" s="18" t="str">
        <f aca="false">IF($AH2581=1,IFERROR(VALUE(MID($D2581,2,20)),1000000000)+ROW()/10000000,"")</f>
        <v/>
      </c>
    </row>
    <row r="2582" customFormat="false" ht="15" hidden="false" customHeight="false" outlineLevel="0" collapsed="false">
      <c r="F2582" s="15"/>
      <c r="N2582" s="16" t="str">
        <f aca="false">IF($D2582="","",M2582*Y2582/100)</f>
        <v/>
      </c>
      <c r="V2582" s="16" t="str">
        <f aca="false">IF($D2582="","",Y2582*AB2582/100)</f>
        <v/>
      </c>
      <c r="W2582" s="16" t="str">
        <f aca="false">IF($D2582="","",Y2582-V2582)</f>
        <v/>
      </c>
      <c r="X2582" s="16" t="str">
        <f aca="false">IF($D2582="","",W2582-N2582)</f>
        <v/>
      </c>
      <c r="AB2582" s="17" t="str">
        <f aca="false">IF($D2582="","",IF(OR($R2582=TRUE(),$R2582="TRUE"),Settings!$C$6,Settings!$C$7)*100)</f>
        <v/>
      </c>
      <c r="AH2582" s="18" t="str">
        <f aca="false">IF($D2582="","",IF(COUNTIF($D$2:$D2582,$D2582)=1,1,0))</f>
        <v/>
      </c>
      <c r="AI2582" s="18" t="str">
        <f aca="false">IF($AH2582=1,SUMPRODUCT(--($AK$2:$AK$4001&lt;$AK2582))+1,"")</f>
        <v/>
      </c>
      <c r="AJ2582" s="18" t="str">
        <f aca="false">IF($D2582="","",IF(OR($R2582=TRUE(),$R2582="TRUE"),1,0))</f>
        <v/>
      </c>
      <c r="AK2582" s="18" t="str">
        <f aca="false">IF($AH2582=1,IFERROR(VALUE(MID($D2582,2,20)),1000000000)+ROW()/10000000,"")</f>
        <v/>
      </c>
    </row>
    <row r="2583" customFormat="false" ht="15" hidden="false" customHeight="false" outlineLevel="0" collapsed="false">
      <c r="F2583" s="15"/>
      <c r="N2583" s="16" t="str">
        <f aca="false">IF($D2583="","",M2583*Y2583/100)</f>
        <v/>
      </c>
      <c r="V2583" s="16" t="str">
        <f aca="false">IF($D2583="","",Y2583*AB2583/100)</f>
        <v/>
      </c>
      <c r="W2583" s="16" t="str">
        <f aca="false">IF($D2583="","",Y2583-V2583)</f>
        <v/>
      </c>
      <c r="X2583" s="16" t="str">
        <f aca="false">IF($D2583="","",W2583-N2583)</f>
        <v/>
      </c>
      <c r="AB2583" s="17" t="str">
        <f aca="false">IF($D2583="","",IF(OR($R2583=TRUE(),$R2583="TRUE"),Settings!$C$6,Settings!$C$7)*100)</f>
        <v/>
      </c>
      <c r="AH2583" s="18" t="str">
        <f aca="false">IF($D2583="","",IF(COUNTIF($D$2:$D2583,$D2583)=1,1,0))</f>
        <v/>
      </c>
      <c r="AI2583" s="18" t="str">
        <f aca="false">IF($AH2583=1,SUMPRODUCT(--($AK$2:$AK$4001&lt;$AK2583))+1,"")</f>
        <v/>
      </c>
      <c r="AJ2583" s="18" t="str">
        <f aca="false">IF($D2583="","",IF(OR($R2583=TRUE(),$R2583="TRUE"),1,0))</f>
        <v/>
      </c>
      <c r="AK2583" s="18" t="str">
        <f aca="false">IF($AH2583=1,IFERROR(VALUE(MID($D2583,2,20)),1000000000)+ROW()/10000000,"")</f>
        <v/>
      </c>
    </row>
    <row r="2584" customFormat="false" ht="15" hidden="false" customHeight="false" outlineLevel="0" collapsed="false">
      <c r="F2584" s="15"/>
      <c r="N2584" s="16" t="str">
        <f aca="false">IF($D2584="","",M2584*Y2584/100)</f>
        <v/>
      </c>
      <c r="V2584" s="16" t="str">
        <f aca="false">IF($D2584="","",Y2584*AB2584/100)</f>
        <v/>
      </c>
      <c r="W2584" s="16" t="str">
        <f aca="false">IF($D2584="","",Y2584-V2584)</f>
        <v/>
      </c>
      <c r="X2584" s="16" t="str">
        <f aca="false">IF($D2584="","",W2584-N2584)</f>
        <v/>
      </c>
      <c r="AB2584" s="17" t="str">
        <f aca="false">IF($D2584="","",IF(OR($R2584=TRUE(),$R2584="TRUE"),Settings!$C$6,Settings!$C$7)*100)</f>
        <v/>
      </c>
      <c r="AH2584" s="18" t="str">
        <f aca="false">IF($D2584="","",IF(COUNTIF($D$2:$D2584,$D2584)=1,1,0))</f>
        <v/>
      </c>
      <c r="AI2584" s="18" t="str">
        <f aca="false">IF($AH2584=1,SUMPRODUCT(--($AK$2:$AK$4001&lt;$AK2584))+1,"")</f>
        <v/>
      </c>
      <c r="AJ2584" s="18" t="str">
        <f aca="false">IF($D2584="","",IF(OR($R2584=TRUE(),$R2584="TRUE"),1,0))</f>
        <v/>
      </c>
      <c r="AK2584" s="18" t="str">
        <f aca="false">IF($AH2584=1,IFERROR(VALUE(MID($D2584,2,20)),1000000000)+ROW()/10000000,"")</f>
        <v/>
      </c>
    </row>
    <row r="2585" customFormat="false" ht="15" hidden="false" customHeight="false" outlineLevel="0" collapsed="false">
      <c r="F2585" s="15"/>
      <c r="N2585" s="16" t="str">
        <f aca="false">IF($D2585="","",M2585*Y2585/100)</f>
        <v/>
      </c>
      <c r="V2585" s="16" t="str">
        <f aca="false">IF($D2585="","",Y2585*AB2585/100)</f>
        <v/>
      </c>
      <c r="W2585" s="16" t="str">
        <f aca="false">IF($D2585="","",Y2585-V2585)</f>
        <v/>
      </c>
      <c r="X2585" s="16" t="str">
        <f aca="false">IF($D2585="","",W2585-N2585)</f>
        <v/>
      </c>
      <c r="AB2585" s="17" t="str">
        <f aca="false">IF($D2585="","",IF(OR($R2585=TRUE(),$R2585="TRUE"),Settings!$C$6,Settings!$C$7)*100)</f>
        <v/>
      </c>
      <c r="AH2585" s="18" t="str">
        <f aca="false">IF($D2585="","",IF(COUNTIF($D$2:$D2585,$D2585)=1,1,0))</f>
        <v/>
      </c>
      <c r="AI2585" s="18" t="str">
        <f aca="false">IF($AH2585=1,SUMPRODUCT(--($AK$2:$AK$4001&lt;$AK2585))+1,"")</f>
        <v/>
      </c>
      <c r="AJ2585" s="18" t="str">
        <f aca="false">IF($D2585="","",IF(OR($R2585=TRUE(),$R2585="TRUE"),1,0))</f>
        <v/>
      </c>
      <c r="AK2585" s="18" t="str">
        <f aca="false">IF($AH2585=1,IFERROR(VALUE(MID($D2585,2,20)),1000000000)+ROW()/10000000,"")</f>
        <v/>
      </c>
    </row>
    <row r="2586" customFormat="false" ht="15" hidden="false" customHeight="false" outlineLevel="0" collapsed="false">
      <c r="F2586" s="15"/>
      <c r="N2586" s="16" t="str">
        <f aca="false">IF($D2586="","",M2586*Y2586/100)</f>
        <v/>
      </c>
      <c r="V2586" s="16" t="str">
        <f aca="false">IF($D2586="","",Y2586*AB2586/100)</f>
        <v/>
      </c>
      <c r="W2586" s="16" t="str">
        <f aca="false">IF($D2586="","",Y2586-V2586)</f>
        <v/>
      </c>
      <c r="X2586" s="16" t="str">
        <f aca="false">IF($D2586="","",W2586-N2586)</f>
        <v/>
      </c>
      <c r="AB2586" s="17" t="str">
        <f aca="false">IF($D2586="","",IF(OR($R2586=TRUE(),$R2586="TRUE"),Settings!$C$6,Settings!$C$7)*100)</f>
        <v/>
      </c>
      <c r="AH2586" s="18" t="str">
        <f aca="false">IF($D2586="","",IF(COUNTIF($D$2:$D2586,$D2586)=1,1,0))</f>
        <v/>
      </c>
      <c r="AI2586" s="18" t="str">
        <f aca="false">IF($AH2586=1,SUMPRODUCT(--($AK$2:$AK$4001&lt;$AK2586))+1,"")</f>
        <v/>
      </c>
      <c r="AJ2586" s="18" t="str">
        <f aca="false">IF($D2586="","",IF(OR($R2586=TRUE(),$R2586="TRUE"),1,0))</f>
        <v/>
      </c>
      <c r="AK2586" s="18" t="str">
        <f aca="false">IF($AH2586=1,IFERROR(VALUE(MID($D2586,2,20)),1000000000)+ROW()/10000000,"")</f>
        <v/>
      </c>
    </row>
    <row r="2587" customFormat="false" ht="15" hidden="false" customHeight="false" outlineLevel="0" collapsed="false">
      <c r="F2587" s="15"/>
      <c r="N2587" s="16" t="str">
        <f aca="false">IF($D2587="","",M2587*Y2587/100)</f>
        <v/>
      </c>
      <c r="V2587" s="16" t="str">
        <f aca="false">IF($D2587="","",Y2587*AB2587/100)</f>
        <v/>
      </c>
      <c r="W2587" s="16" t="str">
        <f aca="false">IF($D2587="","",Y2587-V2587)</f>
        <v/>
      </c>
      <c r="X2587" s="16" t="str">
        <f aca="false">IF($D2587="","",W2587-N2587)</f>
        <v/>
      </c>
      <c r="AB2587" s="17" t="str">
        <f aca="false">IF($D2587="","",IF(OR($R2587=TRUE(),$R2587="TRUE"),Settings!$C$6,Settings!$C$7)*100)</f>
        <v/>
      </c>
      <c r="AH2587" s="18" t="str">
        <f aca="false">IF($D2587="","",IF(COUNTIF($D$2:$D2587,$D2587)=1,1,0))</f>
        <v/>
      </c>
      <c r="AI2587" s="18" t="str">
        <f aca="false">IF($AH2587=1,SUMPRODUCT(--($AK$2:$AK$4001&lt;$AK2587))+1,"")</f>
        <v/>
      </c>
      <c r="AJ2587" s="18" t="str">
        <f aca="false">IF($D2587="","",IF(OR($R2587=TRUE(),$R2587="TRUE"),1,0))</f>
        <v/>
      </c>
      <c r="AK2587" s="18" t="str">
        <f aca="false">IF($AH2587=1,IFERROR(VALUE(MID($D2587,2,20)),1000000000)+ROW()/10000000,"")</f>
        <v/>
      </c>
    </row>
    <row r="2588" customFormat="false" ht="15" hidden="false" customHeight="false" outlineLevel="0" collapsed="false">
      <c r="F2588" s="15"/>
      <c r="N2588" s="16" t="str">
        <f aca="false">IF($D2588="","",M2588*Y2588/100)</f>
        <v/>
      </c>
      <c r="V2588" s="16" t="str">
        <f aca="false">IF($D2588="","",Y2588*AB2588/100)</f>
        <v/>
      </c>
      <c r="W2588" s="16" t="str">
        <f aca="false">IF($D2588="","",Y2588-V2588)</f>
        <v/>
      </c>
      <c r="X2588" s="16" t="str">
        <f aca="false">IF($D2588="","",W2588-N2588)</f>
        <v/>
      </c>
      <c r="AB2588" s="17" t="str">
        <f aca="false">IF($D2588="","",IF(OR($R2588=TRUE(),$R2588="TRUE"),Settings!$C$6,Settings!$C$7)*100)</f>
        <v/>
      </c>
      <c r="AH2588" s="18" t="str">
        <f aca="false">IF($D2588="","",IF(COUNTIF($D$2:$D2588,$D2588)=1,1,0))</f>
        <v/>
      </c>
      <c r="AI2588" s="18" t="str">
        <f aca="false">IF($AH2588=1,SUMPRODUCT(--($AK$2:$AK$4001&lt;$AK2588))+1,"")</f>
        <v/>
      </c>
      <c r="AJ2588" s="18" t="str">
        <f aca="false">IF($D2588="","",IF(OR($R2588=TRUE(),$R2588="TRUE"),1,0))</f>
        <v/>
      </c>
      <c r="AK2588" s="18" t="str">
        <f aca="false">IF($AH2588=1,IFERROR(VALUE(MID($D2588,2,20)),1000000000)+ROW()/10000000,"")</f>
        <v/>
      </c>
    </row>
    <row r="2589" customFormat="false" ht="15" hidden="false" customHeight="false" outlineLevel="0" collapsed="false">
      <c r="F2589" s="15"/>
      <c r="N2589" s="16" t="str">
        <f aca="false">IF($D2589="","",M2589*Y2589/100)</f>
        <v/>
      </c>
      <c r="V2589" s="16" t="str">
        <f aca="false">IF($D2589="","",Y2589*AB2589/100)</f>
        <v/>
      </c>
      <c r="W2589" s="16" t="str">
        <f aca="false">IF($D2589="","",Y2589-V2589)</f>
        <v/>
      </c>
      <c r="X2589" s="16" t="str">
        <f aca="false">IF($D2589="","",W2589-N2589)</f>
        <v/>
      </c>
      <c r="AB2589" s="17" t="str">
        <f aca="false">IF($D2589="","",IF(OR($R2589=TRUE(),$R2589="TRUE"),Settings!$C$6,Settings!$C$7)*100)</f>
        <v/>
      </c>
      <c r="AH2589" s="18" t="str">
        <f aca="false">IF($D2589="","",IF(COUNTIF($D$2:$D2589,$D2589)=1,1,0))</f>
        <v/>
      </c>
      <c r="AI2589" s="18" t="str">
        <f aca="false">IF($AH2589=1,SUMPRODUCT(--($AK$2:$AK$4001&lt;$AK2589))+1,"")</f>
        <v/>
      </c>
      <c r="AJ2589" s="18" t="str">
        <f aca="false">IF($D2589="","",IF(OR($R2589=TRUE(),$R2589="TRUE"),1,0))</f>
        <v/>
      </c>
      <c r="AK2589" s="18" t="str">
        <f aca="false">IF($AH2589=1,IFERROR(VALUE(MID($D2589,2,20)),1000000000)+ROW()/10000000,"")</f>
        <v/>
      </c>
    </row>
    <row r="2590" customFormat="false" ht="15" hidden="false" customHeight="false" outlineLevel="0" collapsed="false">
      <c r="F2590" s="15"/>
      <c r="N2590" s="16" t="str">
        <f aca="false">IF($D2590="","",M2590*Y2590/100)</f>
        <v/>
      </c>
      <c r="V2590" s="16" t="str">
        <f aca="false">IF($D2590="","",Y2590*AB2590/100)</f>
        <v/>
      </c>
      <c r="W2590" s="16" t="str">
        <f aca="false">IF($D2590="","",Y2590-V2590)</f>
        <v/>
      </c>
      <c r="X2590" s="16" t="str">
        <f aca="false">IF($D2590="","",W2590-N2590)</f>
        <v/>
      </c>
      <c r="AB2590" s="17" t="str">
        <f aca="false">IF($D2590="","",IF(OR($R2590=TRUE(),$R2590="TRUE"),Settings!$C$6,Settings!$C$7)*100)</f>
        <v/>
      </c>
      <c r="AH2590" s="18" t="str">
        <f aca="false">IF($D2590="","",IF(COUNTIF($D$2:$D2590,$D2590)=1,1,0))</f>
        <v/>
      </c>
      <c r="AI2590" s="18" t="str">
        <f aca="false">IF($AH2590=1,SUMPRODUCT(--($AK$2:$AK$4001&lt;$AK2590))+1,"")</f>
        <v/>
      </c>
      <c r="AJ2590" s="18" t="str">
        <f aca="false">IF($D2590="","",IF(OR($R2590=TRUE(),$R2590="TRUE"),1,0))</f>
        <v/>
      </c>
      <c r="AK2590" s="18" t="str">
        <f aca="false">IF($AH2590=1,IFERROR(VALUE(MID($D2590,2,20)),1000000000)+ROW()/10000000,"")</f>
        <v/>
      </c>
    </row>
    <row r="2591" customFormat="false" ht="15" hidden="false" customHeight="false" outlineLevel="0" collapsed="false">
      <c r="F2591" s="15"/>
      <c r="N2591" s="16" t="str">
        <f aca="false">IF($D2591="","",M2591*Y2591/100)</f>
        <v/>
      </c>
      <c r="V2591" s="16" t="str">
        <f aca="false">IF($D2591="","",Y2591*AB2591/100)</f>
        <v/>
      </c>
      <c r="W2591" s="16" t="str">
        <f aca="false">IF($D2591="","",Y2591-V2591)</f>
        <v/>
      </c>
      <c r="X2591" s="16" t="str">
        <f aca="false">IF($D2591="","",W2591-N2591)</f>
        <v/>
      </c>
      <c r="AB2591" s="17" t="str">
        <f aca="false">IF($D2591="","",IF(OR($R2591=TRUE(),$R2591="TRUE"),Settings!$C$6,Settings!$C$7)*100)</f>
        <v/>
      </c>
      <c r="AH2591" s="18" t="str">
        <f aca="false">IF($D2591="","",IF(COUNTIF($D$2:$D2591,$D2591)=1,1,0))</f>
        <v/>
      </c>
      <c r="AI2591" s="18" t="str">
        <f aca="false">IF($AH2591=1,SUMPRODUCT(--($AK$2:$AK$4001&lt;$AK2591))+1,"")</f>
        <v/>
      </c>
      <c r="AJ2591" s="18" t="str">
        <f aca="false">IF($D2591="","",IF(OR($R2591=TRUE(),$R2591="TRUE"),1,0))</f>
        <v/>
      </c>
      <c r="AK2591" s="18" t="str">
        <f aca="false">IF($AH2591=1,IFERROR(VALUE(MID($D2591,2,20)),1000000000)+ROW()/10000000,"")</f>
        <v/>
      </c>
    </row>
    <row r="2592" customFormat="false" ht="15" hidden="false" customHeight="false" outlineLevel="0" collapsed="false">
      <c r="F2592" s="15"/>
      <c r="N2592" s="16" t="str">
        <f aca="false">IF($D2592="","",M2592*Y2592/100)</f>
        <v/>
      </c>
      <c r="V2592" s="16" t="str">
        <f aca="false">IF($D2592="","",Y2592*AB2592/100)</f>
        <v/>
      </c>
      <c r="W2592" s="16" t="str">
        <f aca="false">IF($D2592="","",Y2592-V2592)</f>
        <v/>
      </c>
      <c r="X2592" s="16" t="str">
        <f aca="false">IF($D2592="","",W2592-N2592)</f>
        <v/>
      </c>
      <c r="AB2592" s="17" t="str">
        <f aca="false">IF($D2592="","",IF(OR($R2592=TRUE(),$R2592="TRUE"),Settings!$C$6,Settings!$C$7)*100)</f>
        <v/>
      </c>
      <c r="AH2592" s="18" t="str">
        <f aca="false">IF($D2592="","",IF(COUNTIF($D$2:$D2592,$D2592)=1,1,0))</f>
        <v/>
      </c>
      <c r="AI2592" s="18" t="str">
        <f aca="false">IF($AH2592=1,SUMPRODUCT(--($AK$2:$AK$4001&lt;$AK2592))+1,"")</f>
        <v/>
      </c>
      <c r="AJ2592" s="18" t="str">
        <f aca="false">IF($D2592="","",IF(OR($R2592=TRUE(),$R2592="TRUE"),1,0))</f>
        <v/>
      </c>
      <c r="AK2592" s="18" t="str">
        <f aca="false">IF($AH2592=1,IFERROR(VALUE(MID($D2592,2,20)),1000000000)+ROW()/10000000,"")</f>
        <v/>
      </c>
    </row>
    <row r="2593" customFormat="false" ht="15" hidden="false" customHeight="false" outlineLevel="0" collapsed="false">
      <c r="F2593" s="15"/>
      <c r="N2593" s="16" t="str">
        <f aca="false">IF($D2593="","",M2593*Y2593/100)</f>
        <v/>
      </c>
      <c r="V2593" s="16" t="str">
        <f aca="false">IF($D2593="","",Y2593*AB2593/100)</f>
        <v/>
      </c>
      <c r="W2593" s="16" t="str">
        <f aca="false">IF($D2593="","",Y2593-V2593)</f>
        <v/>
      </c>
      <c r="X2593" s="16" t="str">
        <f aca="false">IF($D2593="","",W2593-N2593)</f>
        <v/>
      </c>
      <c r="AB2593" s="17" t="str">
        <f aca="false">IF($D2593="","",IF(OR($R2593=TRUE(),$R2593="TRUE"),Settings!$C$6,Settings!$C$7)*100)</f>
        <v/>
      </c>
      <c r="AH2593" s="18" t="str">
        <f aca="false">IF($D2593="","",IF(COUNTIF($D$2:$D2593,$D2593)=1,1,0))</f>
        <v/>
      </c>
      <c r="AI2593" s="18" t="str">
        <f aca="false">IF($AH2593=1,SUMPRODUCT(--($AK$2:$AK$4001&lt;$AK2593))+1,"")</f>
        <v/>
      </c>
      <c r="AJ2593" s="18" t="str">
        <f aca="false">IF($D2593="","",IF(OR($R2593=TRUE(),$R2593="TRUE"),1,0))</f>
        <v/>
      </c>
      <c r="AK2593" s="18" t="str">
        <f aca="false">IF($AH2593=1,IFERROR(VALUE(MID($D2593,2,20)),1000000000)+ROW()/10000000,"")</f>
        <v/>
      </c>
    </row>
    <row r="2594" customFormat="false" ht="15" hidden="false" customHeight="false" outlineLevel="0" collapsed="false">
      <c r="F2594" s="15"/>
      <c r="N2594" s="16" t="str">
        <f aca="false">IF($D2594="","",M2594*Y2594/100)</f>
        <v/>
      </c>
      <c r="V2594" s="16" t="str">
        <f aca="false">IF($D2594="","",Y2594*AB2594/100)</f>
        <v/>
      </c>
      <c r="W2594" s="16" t="str">
        <f aca="false">IF($D2594="","",Y2594-V2594)</f>
        <v/>
      </c>
      <c r="X2594" s="16" t="str">
        <f aca="false">IF($D2594="","",W2594-N2594)</f>
        <v/>
      </c>
      <c r="AB2594" s="17" t="str">
        <f aca="false">IF($D2594="","",IF(OR($R2594=TRUE(),$R2594="TRUE"),Settings!$C$6,Settings!$C$7)*100)</f>
        <v/>
      </c>
      <c r="AH2594" s="18" t="str">
        <f aca="false">IF($D2594="","",IF(COUNTIF($D$2:$D2594,$D2594)=1,1,0))</f>
        <v/>
      </c>
      <c r="AI2594" s="18" t="str">
        <f aca="false">IF($AH2594=1,SUMPRODUCT(--($AK$2:$AK$4001&lt;$AK2594))+1,"")</f>
        <v/>
      </c>
      <c r="AJ2594" s="18" t="str">
        <f aca="false">IF($D2594="","",IF(OR($R2594=TRUE(),$R2594="TRUE"),1,0))</f>
        <v/>
      </c>
      <c r="AK2594" s="18" t="str">
        <f aca="false">IF($AH2594=1,IFERROR(VALUE(MID($D2594,2,20)),1000000000)+ROW()/10000000,"")</f>
        <v/>
      </c>
    </row>
    <row r="2595" customFormat="false" ht="15" hidden="false" customHeight="false" outlineLevel="0" collapsed="false">
      <c r="F2595" s="15"/>
      <c r="N2595" s="16" t="str">
        <f aca="false">IF($D2595="","",M2595*Y2595/100)</f>
        <v/>
      </c>
      <c r="V2595" s="16" t="str">
        <f aca="false">IF($D2595="","",Y2595*AB2595/100)</f>
        <v/>
      </c>
      <c r="W2595" s="16" t="str">
        <f aca="false">IF($D2595="","",Y2595-V2595)</f>
        <v/>
      </c>
      <c r="X2595" s="16" t="str">
        <f aca="false">IF($D2595="","",W2595-N2595)</f>
        <v/>
      </c>
      <c r="AB2595" s="17" t="str">
        <f aca="false">IF($D2595="","",IF(OR($R2595=TRUE(),$R2595="TRUE"),Settings!$C$6,Settings!$C$7)*100)</f>
        <v/>
      </c>
      <c r="AH2595" s="18" t="str">
        <f aca="false">IF($D2595="","",IF(COUNTIF($D$2:$D2595,$D2595)=1,1,0))</f>
        <v/>
      </c>
      <c r="AI2595" s="18" t="str">
        <f aca="false">IF($AH2595=1,SUMPRODUCT(--($AK$2:$AK$4001&lt;$AK2595))+1,"")</f>
        <v/>
      </c>
      <c r="AJ2595" s="18" t="str">
        <f aca="false">IF($D2595="","",IF(OR($R2595=TRUE(),$R2595="TRUE"),1,0))</f>
        <v/>
      </c>
      <c r="AK2595" s="18" t="str">
        <f aca="false">IF($AH2595=1,IFERROR(VALUE(MID($D2595,2,20)),1000000000)+ROW()/10000000,"")</f>
        <v/>
      </c>
    </row>
    <row r="2596" customFormat="false" ht="15" hidden="false" customHeight="false" outlineLevel="0" collapsed="false">
      <c r="F2596" s="15"/>
      <c r="N2596" s="16" t="str">
        <f aca="false">IF($D2596="","",M2596*Y2596/100)</f>
        <v/>
      </c>
      <c r="V2596" s="16" t="str">
        <f aca="false">IF($D2596="","",Y2596*AB2596/100)</f>
        <v/>
      </c>
      <c r="W2596" s="16" t="str">
        <f aca="false">IF($D2596="","",Y2596-V2596)</f>
        <v/>
      </c>
      <c r="X2596" s="16" t="str">
        <f aca="false">IF($D2596="","",W2596-N2596)</f>
        <v/>
      </c>
      <c r="AB2596" s="17" t="str">
        <f aca="false">IF($D2596="","",IF(OR($R2596=TRUE(),$R2596="TRUE"),Settings!$C$6,Settings!$C$7)*100)</f>
        <v/>
      </c>
      <c r="AH2596" s="18" t="str">
        <f aca="false">IF($D2596="","",IF(COUNTIF($D$2:$D2596,$D2596)=1,1,0))</f>
        <v/>
      </c>
      <c r="AI2596" s="18" t="str">
        <f aca="false">IF($AH2596=1,SUMPRODUCT(--($AK$2:$AK$4001&lt;$AK2596))+1,"")</f>
        <v/>
      </c>
      <c r="AJ2596" s="18" t="str">
        <f aca="false">IF($D2596="","",IF(OR($R2596=TRUE(),$R2596="TRUE"),1,0))</f>
        <v/>
      </c>
      <c r="AK2596" s="18" t="str">
        <f aca="false">IF($AH2596=1,IFERROR(VALUE(MID($D2596,2,20)),1000000000)+ROW()/10000000,"")</f>
        <v/>
      </c>
    </row>
    <row r="2597" customFormat="false" ht="15" hidden="false" customHeight="false" outlineLevel="0" collapsed="false">
      <c r="F2597" s="15"/>
      <c r="N2597" s="16" t="str">
        <f aca="false">IF($D2597="","",M2597*Y2597/100)</f>
        <v/>
      </c>
      <c r="V2597" s="16" t="str">
        <f aca="false">IF($D2597="","",Y2597*AB2597/100)</f>
        <v/>
      </c>
      <c r="W2597" s="16" t="str">
        <f aca="false">IF($D2597="","",Y2597-V2597)</f>
        <v/>
      </c>
      <c r="X2597" s="16" t="str">
        <f aca="false">IF($D2597="","",W2597-N2597)</f>
        <v/>
      </c>
      <c r="AB2597" s="17" t="str">
        <f aca="false">IF($D2597="","",IF(OR($R2597=TRUE(),$R2597="TRUE"),Settings!$C$6,Settings!$C$7)*100)</f>
        <v/>
      </c>
      <c r="AH2597" s="18" t="str">
        <f aca="false">IF($D2597="","",IF(COUNTIF($D$2:$D2597,$D2597)=1,1,0))</f>
        <v/>
      </c>
      <c r="AI2597" s="18" t="str">
        <f aca="false">IF($AH2597=1,SUMPRODUCT(--($AK$2:$AK$4001&lt;$AK2597))+1,"")</f>
        <v/>
      </c>
      <c r="AJ2597" s="18" t="str">
        <f aca="false">IF($D2597="","",IF(OR($R2597=TRUE(),$R2597="TRUE"),1,0))</f>
        <v/>
      </c>
      <c r="AK2597" s="18" t="str">
        <f aca="false">IF($AH2597=1,IFERROR(VALUE(MID($D2597,2,20)),1000000000)+ROW()/10000000,"")</f>
        <v/>
      </c>
    </row>
    <row r="2598" customFormat="false" ht="15" hidden="false" customHeight="false" outlineLevel="0" collapsed="false">
      <c r="F2598" s="15"/>
      <c r="N2598" s="16" t="str">
        <f aca="false">IF($D2598="","",M2598*Y2598/100)</f>
        <v/>
      </c>
      <c r="V2598" s="16" t="str">
        <f aca="false">IF($D2598="","",Y2598*AB2598/100)</f>
        <v/>
      </c>
      <c r="W2598" s="16" t="str">
        <f aca="false">IF($D2598="","",Y2598-V2598)</f>
        <v/>
      </c>
      <c r="X2598" s="16" t="str">
        <f aca="false">IF($D2598="","",W2598-N2598)</f>
        <v/>
      </c>
      <c r="AB2598" s="17" t="str">
        <f aca="false">IF($D2598="","",IF(OR($R2598=TRUE(),$R2598="TRUE"),Settings!$C$6,Settings!$C$7)*100)</f>
        <v/>
      </c>
      <c r="AH2598" s="18" t="str">
        <f aca="false">IF($D2598="","",IF(COUNTIF($D$2:$D2598,$D2598)=1,1,0))</f>
        <v/>
      </c>
      <c r="AI2598" s="18" t="str">
        <f aca="false">IF($AH2598=1,SUMPRODUCT(--($AK$2:$AK$4001&lt;$AK2598))+1,"")</f>
        <v/>
      </c>
      <c r="AJ2598" s="18" t="str">
        <f aca="false">IF($D2598="","",IF(OR($R2598=TRUE(),$R2598="TRUE"),1,0))</f>
        <v/>
      </c>
      <c r="AK2598" s="18" t="str">
        <f aca="false">IF($AH2598=1,IFERROR(VALUE(MID($D2598,2,20)),1000000000)+ROW()/10000000,"")</f>
        <v/>
      </c>
    </row>
    <row r="2599" customFormat="false" ht="15" hidden="false" customHeight="false" outlineLevel="0" collapsed="false">
      <c r="F2599" s="15"/>
      <c r="N2599" s="16" t="str">
        <f aca="false">IF($D2599="","",M2599*Y2599/100)</f>
        <v/>
      </c>
      <c r="V2599" s="16" t="str">
        <f aca="false">IF($D2599="","",Y2599*AB2599/100)</f>
        <v/>
      </c>
      <c r="W2599" s="16" t="str">
        <f aca="false">IF($D2599="","",Y2599-V2599)</f>
        <v/>
      </c>
      <c r="X2599" s="16" t="str">
        <f aca="false">IF($D2599="","",W2599-N2599)</f>
        <v/>
      </c>
      <c r="AB2599" s="17" t="str">
        <f aca="false">IF($D2599="","",IF(OR($R2599=TRUE(),$R2599="TRUE"),Settings!$C$6,Settings!$C$7)*100)</f>
        <v/>
      </c>
      <c r="AH2599" s="18" t="str">
        <f aca="false">IF($D2599="","",IF(COUNTIF($D$2:$D2599,$D2599)=1,1,0))</f>
        <v/>
      </c>
      <c r="AI2599" s="18" t="str">
        <f aca="false">IF($AH2599=1,SUMPRODUCT(--($AK$2:$AK$4001&lt;$AK2599))+1,"")</f>
        <v/>
      </c>
      <c r="AJ2599" s="18" t="str">
        <f aca="false">IF($D2599="","",IF(OR($R2599=TRUE(),$R2599="TRUE"),1,0))</f>
        <v/>
      </c>
      <c r="AK2599" s="18" t="str">
        <f aca="false">IF($AH2599=1,IFERROR(VALUE(MID($D2599,2,20)),1000000000)+ROW()/10000000,"")</f>
        <v/>
      </c>
    </row>
    <row r="2600" customFormat="false" ht="15" hidden="false" customHeight="false" outlineLevel="0" collapsed="false">
      <c r="F2600" s="15"/>
      <c r="N2600" s="16" t="str">
        <f aca="false">IF($D2600="","",M2600*Y2600/100)</f>
        <v/>
      </c>
      <c r="V2600" s="16" t="str">
        <f aca="false">IF($D2600="","",Y2600*AB2600/100)</f>
        <v/>
      </c>
      <c r="W2600" s="16" t="str">
        <f aca="false">IF($D2600="","",Y2600-V2600)</f>
        <v/>
      </c>
      <c r="X2600" s="16" t="str">
        <f aca="false">IF($D2600="","",W2600-N2600)</f>
        <v/>
      </c>
      <c r="AB2600" s="17" t="str">
        <f aca="false">IF($D2600="","",IF(OR($R2600=TRUE(),$R2600="TRUE"),Settings!$C$6,Settings!$C$7)*100)</f>
        <v/>
      </c>
      <c r="AH2600" s="18" t="str">
        <f aca="false">IF($D2600="","",IF(COUNTIF($D$2:$D2600,$D2600)=1,1,0))</f>
        <v/>
      </c>
      <c r="AI2600" s="18" t="str">
        <f aca="false">IF($AH2600=1,SUMPRODUCT(--($AK$2:$AK$4001&lt;$AK2600))+1,"")</f>
        <v/>
      </c>
      <c r="AJ2600" s="18" t="str">
        <f aca="false">IF($D2600="","",IF(OR($R2600=TRUE(),$R2600="TRUE"),1,0))</f>
        <v/>
      </c>
      <c r="AK2600" s="18" t="str">
        <f aca="false">IF($AH2600=1,IFERROR(VALUE(MID($D2600,2,20)),1000000000)+ROW()/10000000,"")</f>
        <v/>
      </c>
    </row>
    <row r="2601" customFormat="false" ht="15" hidden="false" customHeight="false" outlineLevel="0" collapsed="false">
      <c r="F2601" s="15"/>
      <c r="N2601" s="16" t="str">
        <f aca="false">IF($D2601="","",M2601*Y2601/100)</f>
        <v/>
      </c>
      <c r="V2601" s="16" t="str">
        <f aca="false">IF($D2601="","",Y2601*AB2601/100)</f>
        <v/>
      </c>
      <c r="W2601" s="16" t="str">
        <f aca="false">IF($D2601="","",Y2601-V2601)</f>
        <v/>
      </c>
      <c r="X2601" s="16" t="str">
        <f aca="false">IF($D2601="","",W2601-N2601)</f>
        <v/>
      </c>
      <c r="AB2601" s="17" t="str">
        <f aca="false">IF($D2601="","",IF(OR($R2601=TRUE(),$R2601="TRUE"),Settings!$C$6,Settings!$C$7)*100)</f>
        <v/>
      </c>
      <c r="AH2601" s="18" t="str">
        <f aca="false">IF($D2601="","",IF(COUNTIF($D$2:$D2601,$D2601)=1,1,0))</f>
        <v/>
      </c>
      <c r="AI2601" s="18" t="str">
        <f aca="false">IF($AH2601=1,SUMPRODUCT(--($AK$2:$AK$4001&lt;$AK2601))+1,"")</f>
        <v/>
      </c>
      <c r="AJ2601" s="18" t="str">
        <f aca="false">IF($D2601="","",IF(OR($R2601=TRUE(),$R2601="TRUE"),1,0))</f>
        <v/>
      </c>
      <c r="AK2601" s="18" t="str">
        <f aca="false">IF($AH2601=1,IFERROR(VALUE(MID($D2601,2,20)),1000000000)+ROW()/10000000,"")</f>
        <v/>
      </c>
    </row>
    <row r="2602" customFormat="false" ht="15" hidden="false" customHeight="false" outlineLevel="0" collapsed="false">
      <c r="F2602" s="15"/>
      <c r="N2602" s="16" t="str">
        <f aca="false">IF($D2602="","",M2602*Y2602/100)</f>
        <v/>
      </c>
      <c r="V2602" s="16" t="str">
        <f aca="false">IF($D2602="","",Y2602*AB2602/100)</f>
        <v/>
      </c>
      <c r="W2602" s="16" t="str">
        <f aca="false">IF($D2602="","",Y2602-V2602)</f>
        <v/>
      </c>
      <c r="X2602" s="16" t="str">
        <f aca="false">IF($D2602="","",W2602-N2602)</f>
        <v/>
      </c>
      <c r="AB2602" s="17" t="str">
        <f aca="false">IF($D2602="","",IF(OR($R2602=TRUE(),$R2602="TRUE"),Settings!$C$6,Settings!$C$7)*100)</f>
        <v/>
      </c>
      <c r="AH2602" s="18" t="str">
        <f aca="false">IF($D2602="","",IF(COUNTIF($D$2:$D2602,$D2602)=1,1,0))</f>
        <v/>
      </c>
      <c r="AI2602" s="18" t="str">
        <f aca="false">IF($AH2602=1,SUMPRODUCT(--($AK$2:$AK$4001&lt;$AK2602))+1,"")</f>
        <v/>
      </c>
      <c r="AJ2602" s="18" t="str">
        <f aca="false">IF($D2602="","",IF(OR($R2602=TRUE(),$R2602="TRUE"),1,0))</f>
        <v/>
      </c>
      <c r="AK2602" s="18" t="str">
        <f aca="false">IF($AH2602=1,IFERROR(VALUE(MID($D2602,2,20)),1000000000)+ROW()/10000000,"")</f>
        <v/>
      </c>
    </row>
    <row r="2603" customFormat="false" ht="15" hidden="false" customHeight="false" outlineLevel="0" collapsed="false">
      <c r="F2603" s="15"/>
      <c r="N2603" s="16" t="str">
        <f aca="false">IF($D2603="","",M2603*Y2603/100)</f>
        <v/>
      </c>
      <c r="V2603" s="16" t="str">
        <f aca="false">IF($D2603="","",Y2603*AB2603/100)</f>
        <v/>
      </c>
      <c r="W2603" s="16" t="str">
        <f aca="false">IF($D2603="","",Y2603-V2603)</f>
        <v/>
      </c>
      <c r="X2603" s="16" t="str">
        <f aca="false">IF($D2603="","",W2603-N2603)</f>
        <v/>
      </c>
      <c r="AB2603" s="17" t="str">
        <f aca="false">IF($D2603="","",IF(OR($R2603=TRUE(),$R2603="TRUE"),Settings!$C$6,Settings!$C$7)*100)</f>
        <v/>
      </c>
      <c r="AH2603" s="18" t="str">
        <f aca="false">IF($D2603="","",IF(COUNTIF($D$2:$D2603,$D2603)=1,1,0))</f>
        <v/>
      </c>
      <c r="AI2603" s="18" t="str">
        <f aca="false">IF($AH2603=1,SUMPRODUCT(--($AK$2:$AK$4001&lt;$AK2603))+1,"")</f>
        <v/>
      </c>
      <c r="AJ2603" s="18" t="str">
        <f aca="false">IF($D2603="","",IF(OR($R2603=TRUE(),$R2603="TRUE"),1,0))</f>
        <v/>
      </c>
      <c r="AK2603" s="18" t="str">
        <f aca="false">IF($AH2603=1,IFERROR(VALUE(MID($D2603,2,20)),1000000000)+ROW()/10000000,"")</f>
        <v/>
      </c>
    </row>
    <row r="2604" customFormat="false" ht="15" hidden="false" customHeight="false" outlineLevel="0" collapsed="false">
      <c r="F2604" s="15"/>
      <c r="N2604" s="16" t="str">
        <f aca="false">IF($D2604="","",M2604*Y2604/100)</f>
        <v/>
      </c>
      <c r="V2604" s="16" t="str">
        <f aca="false">IF($D2604="","",Y2604*AB2604/100)</f>
        <v/>
      </c>
      <c r="W2604" s="16" t="str">
        <f aca="false">IF($D2604="","",Y2604-V2604)</f>
        <v/>
      </c>
      <c r="X2604" s="16" t="str">
        <f aca="false">IF($D2604="","",W2604-N2604)</f>
        <v/>
      </c>
      <c r="AB2604" s="17" t="str">
        <f aca="false">IF($D2604="","",IF(OR($R2604=TRUE(),$R2604="TRUE"),Settings!$C$6,Settings!$C$7)*100)</f>
        <v/>
      </c>
      <c r="AH2604" s="18" t="str">
        <f aca="false">IF($D2604="","",IF(COUNTIF($D$2:$D2604,$D2604)=1,1,0))</f>
        <v/>
      </c>
      <c r="AI2604" s="18" t="str">
        <f aca="false">IF($AH2604=1,SUMPRODUCT(--($AK$2:$AK$4001&lt;$AK2604))+1,"")</f>
        <v/>
      </c>
      <c r="AJ2604" s="18" t="str">
        <f aca="false">IF($D2604="","",IF(OR($R2604=TRUE(),$R2604="TRUE"),1,0))</f>
        <v/>
      </c>
      <c r="AK2604" s="18" t="str">
        <f aca="false">IF($AH2604=1,IFERROR(VALUE(MID($D2604,2,20)),1000000000)+ROW()/10000000,"")</f>
        <v/>
      </c>
    </row>
    <row r="2605" customFormat="false" ht="15" hidden="false" customHeight="false" outlineLevel="0" collapsed="false">
      <c r="F2605" s="15"/>
      <c r="N2605" s="16" t="str">
        <f aca="false">IF($D2605="","",M2605*Y2605/100)</f>
        <v/>
      </c>
      <c r="V2605" s="16" t="str">
        <f aca="false">IF($D2605="","",Y2605*AB2605/100)</f>
        <v/>
      </c>
      <c r="W2605" s="16" t="str">
        <f aca="false">IF($D2605="","",Y2605-V2605)</f>
        <v/>
      </c>
      <c r="X2605" s="16" t="str">
        <f aca="false">IF($D2605="","",W2605-N2605)</f>
        <v/>
      </c>
      <c r="AB2605" s="17" t="str">
        <f aca="false">IF($D2605="","",IF(OR($R2605=TRUE(),$R2605="TRUE"),Settings!$C$6,Settings!$C$7)*100)</f>
        <v/>
      </c>
      <c r="AH2605" s="18" t="str">
        <f aca="false">IF($D2605="","",IF(COUNTIF($D$2:$D2605,$D2605)=1,1,0))</f>
        <v/>
      </c>
      <c r="AI2605" s="18" t="str">
        <f aca="false">IF($AH2605=1,SUMPRODUCT(--($AK$2:$AK$4001&lt;$AK2605))+1,"")</f>
        <v/>
      </c>
      <c r="AJ2605" s="18" t="str">
        <f aca="false">IF($D2605="","",IF(OR($R2605=TRUE(),$R2605="TRUE"),1,0))</f>
        <v/>
      </c>
      <c r="AK2605" s="18" t="str">
        <f aca="false">IF($AH2605=1,IFERROR(VALUE(MID($D2605,2,20)),1000000000)+ROW()/10000000,"")</f>
        <v/>
      </c>
    </row>
    <row r="2606" customFormat="false" ht="15" hidden="false" customHeight="false" outlineLevel="0" collapsed="false">
      <c r="F2606" s="15"/>
      <c r="N2606" s="16" t="str">
        <f aca="false">IF($D2606="","",M2606*Y2606/100)</f>
        <v/>
      </c>
      <c r="V2606" s="16" t="str">
        <f aca="false">IF($D2606="","",Y2606*AB2606/100)</f>
        <v/>
      </c>
      <c r="W2606" s="16" t="str">
        <f aca="false">IF($D2606="","",Y2606-V2606)</f>
        <v/>
      </c>
      <c r="X2606" s="16" t="str">
        <f aca="false">IF($D2606="","",W2606-N2606)</f>
        <v/>
      </c>
      <c r="AB2606" s="17" t="str">
        <f aca="false">IF($D2606="","",IF(OR($R2606=TRUE(),$R2606="TRUE"),Settings!$C$6,Settings!$C$7)*100)</f>
        <v/>
      </c>
      <c r="AH2606" s="18" t="str">
        <f aca="false">IF($D2606="","",IF(COUNTIF($D$2:$D2606,$D2606)=1,1,0))</f>
        <v/>
      </c>
      <c r="AI2606" s="18" t="str">
        <f aca="false">IF($AH2606=1,SUMPRODUCT(--($AK$2:$AK$4001&lt;$AK2606))+1,"")</f>
        <v/>
      </c>
      <c r="AJ2606" s="18" t="str">
        <f aca="false">IF($D2606="","",IF(OR($R2606=TRUE(),$R2606="TRUE"),1,0))</f>
        <v/>
      </c>
      <c r="AK2606" s="18" t="str">
        <f aca="false">IF($AH2606=1,IFERROR(VALUE(MID($D2606,2,20)),1000000000)+ROW()/10000000,"")</f>
        <v/>
      </c>
    </row>
    <row r="2607" customFormat="false" ht="15" hidden="false" customHeight="false" outlineLevel="0" collapsed="false">
      <c r="F2607" s="15"/>
      <c r="N2607" s="16" t="str">
        <f aca="false">IF($D2607="","",M2607*Y2607/100)</f>
        <v/>
      </c>
      <c r="V2607" s="16" t="str">
        <f aca="false">IF($D2607="","",Y2607*AB2607/100)</f>
        <v/>
      </c>
      <c r="W2607" s="16" t="str">
        <f aca="false">IF($D2607="","",Y2607-V2607)</f>
        <v/>
      </c>
      <c r="X2607" s="16" t="str">
        <f aca="false">IF($D2607="","",W2607-N2607)</f>
        <v/>
      </c>
      <c r="AB2607" s="17" t="str">
        <f aca="false">IF($D2607="","",IF(OR($R2607=TRUE(),$R2607="TRUE"),Settings!$C$6,Settings!$C$7)*100)</f>
        <v/>
      </c>
      <c r="AH2607" s="18" t="str">
        <f aca="false">IF($D2607="","",IF(COUNTIF($D$2:$D2607,$D2607)=1,1,0))</f>
        <v/>
      </c>
      <c r="AI2607" s="18" t="str">
        <f aca="false">IF($AH2607=1,SUMPRODUCT(--($AK$2:$AK$4001&lt;$AK2607))+1,"")</f>
        <v/>
      </c>
      <c r="AJ2607" s="18" t="str">
        <f aca="false">IF($D2607="","",IF(OR($R2607=TRUE(),$R2607="TRUE"),1,0))</f>
        <v/>
      </c>
      <c r="AK2607" s="18" t="str">
        <f aca="false">IF($AH2607=1,IFERROR(VALUE(MID($D2607,2,20)),1000000000)+ROW()/10000000,"")</f>
        <v/>
      </c>
    </row>
    <row r="2608" customFormat="false" ht="15" hidden="false" customHeight="false" outlineLevel="0" collapsed="false">
      <c r="F2608" s="15"/>
      <c r="N2608" s="16" t="str">
        <f aca="false">IF($D2608="","",M2608*Y2608/100)</f>
        <v/>
      </c>
      <c r="V2608" s="16" t="str">
        <f aca="false">IF($D2608="","",Y2608*AB2608/100)</f>
        <v/>
      </c>
      <c r="W2608" s="16" t="str">
        <f aca="false">IF($D2608="","",Y2608-V2608)</f>
        <v/>
      </c>
      <c r="X2608" s="16" t="str">
        <f aca="false">IF($D2608="","",W2608-N2608)</f>
        <v/>
      </c>
      <c r="AB2608" s="17" t="str">
        <f aca="false">IF($D2608="","",IF(OR($R2608=TRUE(),$R2608="TRUE"),Settings!$C$6,Settings!$C$7)*100)</f>
        <v/>
      </c>
      <c r="AH2608" s="18" t="str">
        <f aca="false">IF($D2608="","",IF(COUNTIF($D$2:$D2608,$D2608)=1,1,0))</f>
        <v/>
      </c>
      <c r="AI2608" s="18" t="str">
        <f aca="false">IF($AH2608=1,SUMPRODUCT(--($AK$2:$AK$4001&lt;$AK2608))+1,"")</f>
        <v/>
      </c>
      <c r="AJ2608" s="18" t="str">
        <f aca="false">IF($D2608="","",IF(OR($R2608=TRUE(),$R2608="TRUE"),1,0))</f>
        <v/>
      </c>
      <c r="AK2608" s="18" t="str">
        <f aca="false">IF($AH2608=1,IFERROR(VALUE(MID($D2608,2,20)),1000000000)+ROW()/10000000,"")</f>
        <v/>
      </c>
    </row>
    <row r="2609" customFormat="false" ht="15" hidden="false" customHeight="false" outlineLevel="0" collapsed="false">
      <c r="F2609" s="15"/>
      <c r="N2609" s="16" t="str">
        <f aca="false">IF($D2609="","",M2609*Y2609/100)</f>
        <v/>
      </c>
      <c r="V2609" s="16" t="str">
        <f aca="false">IF($D2609="","",Y2609*AB2609/100)</f>
        <v/>
      </c>
      <c r="W2609" s="16" t="str">
        <f aca="false">IF($D2609="","",Y2609-V2609)</f>
        <v/>
      </c>
      <c r="X2609" s="16" t="str">
        <f aca="false">IF($D2609="","",W2609-N2609)</f>
        <v/>
      </c>
      <c r="AB2609" s="17" t="str">
        <f aca="false">IF($D2609="","",IF(OR($R2609=TRUE(),$R2609="TRUE"),Settings!$C$6,Settings!$C$7)*100)</f>
        <v/>
      </c>
      <c r="AH2609" s="18" t="str">
        <f aca="false">IF($D2609="","",IF(COUNTIF($D$2:$D2609,$D2609)=1,1,0))</f>
        <v/>
      </c>
      <c r="AI2609" s="18" t="str">
        <f aca="false">IF($AH2609=1,SUMPRODUCT(--($AK$2:$AK$4001&lt;$AK2609))+1,"")</f>
        <v/>
      </c>
      <c r="AJ2609" s="18" t="str">
        <f aca="false">IF($D2609="","",IF(OR($R2609=TRUE(),$R2609="TRUE"),1,0))</f>
        <v/>
      </c>
      <c r="AK2609" s="18" t="str">
        <f aca="false">IF($AH2609=1,IFERROR(VALUE(MID($D2609,2,20)),1000000000)+ROW()/10000000,"")</f>
        <v/>
      </c>
    </row>
    <row r="2610" customFormat="false" ht="15" hidden="false" customHeight="false" outlineLevel="0" collapsed="false">
      <c r="F2610" s="15"/>
      <c r="N2610" s="16" t="str">
        <f aca="false">IF($D2610="","",M2610*Y2610/100)</f>
        <v/>
      </c>
      <c r="V2610" s="16" t="str">
        <f aca="false">IF($D2610="","",Y2610*AB2610/100)</f>
        <v/>
      </c>
      <c r="W2610" s="16" t="str">
        <f aca="false">IF($D2610="","",Y2610-V2610)</f>
        <v/>
      </c>
      <c r="X2610" s="16" t="str">
        <f aca="false">IF($D2610="","",W2610-N2610)</f>
        <v/>
      </c>
      <c r="AB2610" s="17" t="str">
        <f aca="false">IF($D2610="","",IF(OR($R2610=TRUE(),$R2610="TRUE"),Settings!$C$6,Settings!$C$7)*100)</f>
        <v/>
      </c>
      <c r="AH2610" s="18" t="str">
        <f aca="false">IF($D2610="","",IF(COUNTIF($D$2:$D2610,$D2610)=1,1,0))</f>
        <v/>
      </c>
      <c r="AI2610" s="18" t="str">
        <f aca="false">IF($AH2610=1,SUMPRODUCT(--($AK$2:$AK$4001&lt;$AK2610))+1,"")</f>
        <v/>
      </c>
      <c r="AJ2610" s="18" t="str">
        <f aca="false">IF($D2610="","",IF(OR($R2610=TRUE(),$R2610="TRUE"),1,0))</f>
        <v/>
      </c>
      <c r="AK2610" s="18" t="str">
        <f aca="false">IF($AH2610=1,IFERROR(VALUE(MID($D2610,2,20)),1000000000)+ROW()/10000000,"")</f>
        <v/>
      </c>
    </row>
    <row r="2611" customFormat="false" ht="15" hidden="false" customHeight="false" outlineLevel="0" collapsed="false">
      <c r="F2611" s="15"/>
      <c r="N2611" s="16" t="str">
        <f aca="false">IF($D2611="","",M2611*Y2611/100)</f>
        <v/>
      </c>
      <c r="V2611" s="16" t="str">
        <f aca="false">IF($D2611="","",Y2611*AB2611/100)</f>
        <v/>
      </c>
      <c r="W2611" s="16" t="str">
        <f aca="false">IF($D2611="","",Y2611-V2611)</f>
        <v/>
      </c>
      <c r="X2611" s="16" t="str">
        <f aca="false">IF($D2611="","",W2611-N2611)</f>
        <v/>
      </c>
      <c r="AB2611" s="17" t="str">
        <f aca="false">IF($D2611="","",IF(OR($R2611=TRUE(),$R2611="TRUE"),Settings!$C$6,Settings!$C$7)*100)</f>
        <v/>
      </c>
      <c r="AH2611" s="18" t="str">
        <f aca="false">IF($D2611="","",IF(COUNTIF($D$2:$D2611,$D2611)=1,1,0))</f>
        <v/>
      </c>
      <c r="AI2611" s="18" t="str">
        <f aca="false">IF($AH2611=1,SUMPRODUCT(--($AK$2:$AK$4001&lt;$AK2611))+1,"")</f>
        <v/>
      </c>
      <c r="AJ2611" s="18" t="str">
        <f aca="false">IF($D2611="","",IF(OR($R2611=TRUE(),$R2611="TRUE"),1,0))</f>
        <v/>
      </c>
      <c r="AK2611" s="18" t="str">
        <f aca="false">IF($AH2611=1,IFERROR(VALUE(MID($D2611,2,20)),1000000000)+ROW()/10000000,"")</f>
        <v/>
      </c>
    </row>
    <row r="2612" customFormat="false" ht="15" hidden="false" customHeight="false" outlineLevel="0" collapsed="false">
      <c r="F2612" s="15"/>
      <c r="N2612" s="16" t="str">
        <f aca="false">IF($D2612="","",M2612*Y2612/100)</f>
        <v/>
      </c>
      <c r="V2612" s="16" t="str">
        <f aca="false">IF($D2612="","",Y2612*AB2612/100)</f>
        <v/>
      </c>
      <c r="W2612" s="16" t="str">
        <f aca="false">IF($D2612="","",Y2612-V2612)</f>
        <v/>
      </c>
      <c r="X2612" s="16" t="str">
        <f aca="false">IF($D2612="","",W2612-N2612)</f>
        <v/>
      </c>
      <c r="AB2612" s="17" t="str">
        <f aca="false">IF($D2612="","",IF(OR($R2612=TRUE(),$R2612="TRUE"),Settings!$C$6,Settings!$C$7)*100)</f>
        <v/>
      </c>
      <c r="AH2612" s="18" t="str">
        <f aca="false">IF($D2612="","",IF(COUNTIF($D$2:$D2612,$D2612)=1,1,0))</f>
        <v/>
      </c>
      <c r="AI2612" s="18" t="str">
        <f aca="false">IF($AH2612=1,SUMPRODUCT(--($AK$2:$AK$4001&lt;$AK2612))+1,"")</f>
        <v/>
      </c>
      <c r="AJ2612" s="18" t="str">
        <f aca="false">IF($D2612="","",IF(OR($R2612=TRUE(),$R2612="TRUE"),1,0))</f>
        <v/>
      </c>
      <c r="AK2612" s="18" t="str">
        <f aca="false">IF($AH2612=1,IFERROR(VALUE(MID($D2612,2,20)),1000000000)+ROW()/10000000,"")</f>
        <v/>
      </c>
    </row>
    <row r="2613" customFormat="false" ht="15" hidden="false" customHeight="false" outlineLevel="0" collapsed="false">
      <c r="F2613" s="15"/>
      <c r="N2613" s="16" t="str">
        <f aca="false">IF($D2613="","",M2613*Y2613/100)</f>
        <v/>
      </c>
      <c r="V2613" s="16" t="str">
        <f aca="false">IF($D2613="","",Y2613*AB2613/100)</f>
        <v/>
      </c>
      <c r="W2613" s="16" t="str">
        <f aca="false">IF($D2613="","",Y2613-V2613)</f>
        <v/>
      </c>
      <c r="X2613" s="16" t="str">
        <f aca="false">IF($D2613="","",W2613-N2613)</f>
        <v/>
      </c>
      <c r="AB2613" s="17" t="str">
        <f aca="false">IF($D2613="","",IF(OR($R2613=TRUE(),$R2613="TRUE"),Settings!$C$6,Settings!$C$7)*100)</f>
        <v/>
      </c>
      <c r="AH2613" s="18" t="str">
        <f aca="false">IF($D2613="","",IF(COUNTIF($D$2:$D2613,$D2613)=1,1,0))</f>
        <v/>
      </c>
      <c r="AI2613" s="18" t="str">
        <f aca="false">IF($AH2613=1,SUMPRODUCT(--($AK$2:$AK$4001&lt;$AK2613))+1,"")</f>
        <v/>
      </c>
      <c r="AJ2613" s="18" t="str">
        <f aca="false">IF($D2613="","",IF(OR($R2613=TRUE(),$R2613="TRUE"),1,0))</f>
        <v/>
      </c>
      <c r="AK2613" s="18" t="str">
        <f aca="false">IF($AH2613=1,IFERROR(VALUE(MID($D2613,2,20)),1000000000)+ROW()/10000000,"")</f>
        <v/>
      </c>
    </row>
    <row r="2614" customFormat="false" ht="15" hidden="false" customHeight="false" outlineLevel="0" collapsed="false">
      <c r="F2614" s="15"/>
      <c r="N2614" s="16" t="str">
        <f aca="false">IF($D2614="","",M2614*Y2614/100)</f>
        <v/>
      </c>
      <c r="V2614" s="16" t="str">
        <f aca="false">IF($D2614="","",Y2614*AB2614/100)</f>
        <v/>
      </c>
      <c r="W2614" s="16" t="str">
        <f aca="false">IF($D2614="","",Y2614-V2614)</f>
        <v/>
      </c>
      <c r="X2614" s="16" t="str">
        <f aca="false">IF($D2614="","",W2614-N2614)</f>
        <v/>
      </c>
      <c r="AB2614" s="17" t="str">
        <f aca="false">IF($D2614="","",IF(OR($R2614=TRUE(),$R2614="TRUE"),Settings!$C$6,Settings!$C$7)*100)</f>
        <v/>
      </c>
      <c r="AH2614" s="18" t="str">
        <f aca="false">IF($D2614="","",IF(COUNTIF($D$2:$D2614,$D2614)=1,1,0))</f>
        <v/>
      </c>
      <c r="AI2614" s="18" t="str">
        <f aca="false">IF($AH2614=1,SUMPRODUCT(--($AK$2:$AK$4001&lt;$AK2614))+1,"")</f>
        <v/>
      </c>
      <c r="AJ2614" s="18" t="str">
        <f aca="false">IF($D2614="","",IF(OR($R2614=TRUE(),$R2614="TRUE"),1,0))</f>
        <v/>
      </c>
      <c r="AK2614" s="18" t="str">
        <f aca="false">IF($AH2614=1,IFERROR(VALUE(MID($D2614,2,20)),1000000000)+ROW()/10000000,"")</f>
        <v/>
      </c>
    </row>
    <row r="2615" customFormat="false" ht="15" hidden="false" customHeight="false" outlineLevel="0" collapsed="false">
      <c r="F2615" s="15"/>
      <c r="N2615" s="16" t="str">
        <f aca="false">IF($D2615="","",M2615*Y2615/100)</f>
        <v/>
      </c>
      <c r="V2615" s="16" t="str">
        <f aca="false">IF($D2615="","",Y2615*AB2615/100)</f>
        <v/>
      </c>
      <c r="W2615" s="16" t="str">
        <f aca="false">IF($D2615="","",Y2615-V2615)</f>
        <v/>
      </c>
      <c r="X2615" s="16" t="str">
        <f aca="false">IF($D2615="","",W2615-N2615)</f>
        <v/>
      </c>
      <c r="AB2615" s="17" t="str">
        <f aca="false">IF($D2615="","",IF(OR($R2615=TRUE(),$R2615="TRUE"),Settings!$C$6,Settings!$C$7)*100)</f>
        <v/>
      </c>
      <c r="AH2615" s="18" t="str">
        <f aca="false">IF($D2615="","",IF(COUNTIF($D$2:$D2615,$D2615)=1,1,0))</f>
        <v/>
      </c>
      <c r="AI2615" s="18" t="str">
        <f aca="false">IF($AH2615=1,SUMPRODUCT(--($AK$2:$AK$4001&lt;$AK2615))+1,"")</f>
        <v/>
      </c>
      <c r="AJ2615" s="18" t="str">
        <f aca="false">IF($D2615="","",IF(OR($R2615=TRUE(),$R2615="TRUE"),1,0))</f>
        <v/>
      </c>
      <c r="AK2615" s="18" t="str">
        <f aca="false">IF($AH2615=1,IFERROR(VALUE(MID($D2615,2,20)),1000000000)+ROW()/10000000,"")</f>
        <v/>
      </c>
    </row>
    <row r="2616" customFormat="false" ht="15" hidden="false" customHeight="false" outlineLevel="0" collapsed="false">
      <c r="F2616" s="15"/>
      <c r="N2616" s="16" t="str">
        <f aca="false">IF($D2616="","",M2616*Y2616/100)</f>
        <v/>
      </c>
      <c r="V2616" s="16" t="str">
        <f aca="false">IF($D2616="","",Y2616*AB2616/100)</f>
        <v/>
      </c>
      <c r="W2616" s="16" t="str">
        <f aca="false">IF($D2616="","",Y2616-V2616)</f>
        <v/>
      </c>
      <c r="X2616" s="16" t="str">
        <f aca="false">IF($D2616="","",W2616-N2616)</f>
        <v/>
      </c>
      <c r="AB2616" s="17" t="str">
        <f aca="false">IF($D2616="","",IF(OR($R2616=TRUE(),$R2616="TRUE"),Settings!$C$6,Settings!$C$7)*100)</f>
        <v/>
      </c>
      <c r="AH2616" s="18" t="str">
        <f aca="false">IF($D2616="","",IF(COUNTIF($D$2:$D2616,$D2616)=1,1,0))</f>
        <v/>
      </c>
      <c r="AI2616" s="18" t="str">
        <f aca="false">IF($AH2616=1,SUMPRODUCT(--($AK$2:$AK$4001&lt;$AK2616))+1,"")</f>
        <v/>
      </c>
      <c r="AJ2616" s="18" t="str">
        <f aca="false">IF($D2616="","",IF(OR($R2616=TRUE(),$R2616="TRUE"),1,0))</f>
        <v/>
      </c>
      <c r="AK2616" s="18" t="str">
        <f aca="false">IF($AH2616=1,IFERROR(VALUE(MID($D2616,2,20)),1000000000)+ROW()/10000000,"")</f>
        <v/>
      </c>
    </row>
    <row r="2617" customFormat="false" ht="15" hidden="false" customHeight="false" outlineLevel="0" collapsed="false">
      <c r="F2617" s="15"/>
      <c r="N2617" s="16" t="str">
        <f aca="false">IF($D2617="","",M2617*Y2617/100)</f>
        <v/>
      </c>
      <c r="V2617" s="16" t="str">
        <f aca="false">IF($D2617="","",Y2617*AB2617/100)</f>
        <v/>
      </c>
      <c r="W2617" s="16" t="str">
        <f aca="false">IF($D2617="","",Y2617-V2617)</f>
        <v/>
      </c>
      <c r="X2617" s="16" t="str">
        <f aca="false">IF($D2617="","",W2617-N2617)</f>
        <v/>
      </c>
      <c r="AB2617" s="17" t="str">
        <f aca="false">IF($D2617="","",IF(OR($R2617=TRUE(),$R2617="TRUE"),Settings!$C$6,Settings!$C$7)*100)</f>
        <v/>
      </c>
      <c r="AH2617" s="18" t="str">
        <f aca="false">IF($D2617="","",IF(COUNTIF($D$2:$D2617,$D2617)=1,1,0))</f>
        <v/>
      </c>
      <c r="AI2617" s="18" t="str">
        <f aca="false">IF($AH2617=1,SUMPRODUCT(--($AK$2:$AK$4001&lt;$AK2617))+1,"")</f>
        <v/>
      </c>
      <c r="AJ2617" s="18" t="str">
        <f aca="false">IF($D2617="","",IF(OR($R2617=TRUE(),$R2617="TRUE"),1,0))</f>
        <v/>
      </c>
      <c r="AK2617" s="18" t="str">
        <f aca="false">IF($AH2617=1,IFERROR(VALUE(MID($D2617,2,20)),1000000000)+ROW()/10000000,"")</f>
        <v/>
      </c>
    </row>
    <row r="2618" customFormat="false" ht="15" hidden="false" customHeight="false" outlineLevel="0" collapsed="false">
      <c r="F2618" s="15"/>
      <c r="N2618" s="16" t="str">
        <f aca="false">IF($D2618="","",M2618*Y2618/100)</f>
        <v/>
      </c>
      <c r="V2618" s="16" t="str">
        <f aca="false">IF($D2618="","",Y2618*AB2618/100)</f>
        <v/>
      </c>
      <c r="W2618" s="16" t="str">
        <f aca="false">IF($D2618="","",Y2618-V2618)</f>
        <v/>
      </c>
      <c r="X2618" s="16" t="str">
        <f aca="false">IF($D2618="","",W2618-N2618)</f>
        <v/>
      </c>
      <c r="AB2618" s="17" t="str">
        <f aca="false">IF($D2618="","",IF(OR($R2618=TRUE(),$R2618="TRUE"),Settings!$C$6,Settings!$C$7)*100)</f>
        <v/>
      </c>
      <c r="AH2618" s="18" t="str">
        <f aca="false">IF($D2618="","",IF(COUNTIF($D$2:$D2618,$D2618)=1,1,0))</f>
        <v/>
      </c>
      <c r="AI2618" s="18" t="str">
        <f aca="false">IF($AH2618=1,SUMPRODUCT(--($AK$2:$AK$4001&lt;$AK2618))+1,"")</f>
        <v/>
      </c>
      <c r="AJ2618" s="18" t="str">
        <f aca="false">IF($D2618="","",IF(OR($R2618=TRUE(),$R2618="TRUE"),1,0))</f>
        <v/>
      </c>
      <c r="AK2618" s="18" t="str">
        <f aca="false">IF($AH2618=1,IFERROR(VALUE(MID($D2618,2,20)),1000000000)+ROW()/10000000,"")</f>
        <v/>
      </c>
    </row>
    <row r="2619" customFormat="false" ht="15" hidden="false" customHeight="false" outlineLevel="0" collapsed="false">
      <c r="F2619" s="15"/>
      <c r="N2619" s="16" t="str">
        <f aca="false">IF($D2619="","",M2619*Y2619/100)</f>
        <v/>
      </c>
      <c r="V2619" s="16" t="str">
        <f aca="false">IF($D2619="","",Y2619*AB2619/100)</f>
        <v/>
      </c>
      <c r="W2619" s="16" t="str">
        <f aca="false">IF($D2619="","",Y2619-V2619)</f>
        <v/>
      </c>
      <c r="X2619" s="16" t="str">
        <f aca="false">IF($D2619="","",W2619-N2619)</f>
        <v/>
      </c>
      <c r="AB2619" s="17" t="str">
        <f aca="false">IF($D2619="","",IF(OR($R2619=TRUE(),$R2619="TRUE"),Settings!$C$6,Settings!$C$7)*100)</f>
        <v/>
      </c>
      <c r="AH2619" s="18" t="str">
        <f aca="false">IF($D2619="","",IF(COUNTIF($D$2:$D2619,$D2619)=1,1,0))</f>
        <v/>
      </c>
      <c r="AI2619" s="18" t="str">
        <f aca="false">IF($AH2619=1,SUMPRODUCT(--($AK$2:$AK$4001&lt;$AK2619))+1,"")</f>
        <v/>
      </c>
      <c r="AJ2619" s="18" t="str">
        <f aca="false">IF($D2619="","",IF(OR($R2619=TRUE(),$R2619="TRUE"),1,0))</f>
        <v/>
      </c>
      <c r="AK2619" s="18" t="str">
        <f aca="false">IF($AH2619=1,IFERROR(VALUE(MID($D2619,2,20)),1000000000)+ROW()/10000000,"")</f>
        <v/>
      </c>
    </row>
    <row r="2620" customFormat="false" ht="15" hidden="false" customHeight="false" outlineLevel="0" collapsed="false">
      <c r="F2620" s="15"/>
      <c r="N2620" s="16" t="str">
        <f aca="false">IF($D2620="","",M2620*Y2620/100)</f>
        <v/>
      </c>
      <c r="V2620" s="16" t="str">
        <f aca="false">IF($D2620="","",Y2620*AB2620/100)</f>
        <v/>
      </c>
      <c r="W2620" s="16" t="str">
        <f aca="false">IF($D2620="","",Y2620-V2620)</f>
        <v/>
      </c>
      <c r="X2620" s="16" t="str">
        <f aca="false">IF($D2620="","",W2620-N2620)</f>
        <v/>
      </c>
      <c r="AB2620" s="17" t="str">
        <f aca="false">IF($D2620="","",IF(OR($R2620=TRUE(),$R2620="TRUE"),Settings!$C$6,Settings!$C$7)*100)</f>
        <v/>
      </c>
      <c r="AH2620" s="18" t="str">
        <f aca="false">IF($D2620="","",IF(COUNTIF($D$2:$D2620,$D2620)=1,1,0))</f>
        <v/>
      </c>
      <c r="AI2620" s="18" t="str">
        <f aca="false">IF($AH2620=1,SUMPRODUCT(--($AK$2:$AK$4001&lt;$AK2620))+1,"")</f>
        <v/>
      </c>
      <c r="AJ2620" s="18" t="str">
        <f aca="false">IF($D2620="","",IF(OR($R2620=TRUE(),$R2620="TRUE"),1,0))</f>
        <v/>
      </c>
      <c r="AK2620" s="18" t="str">
        <f aca="false">IF($AH2620=1,IFERROR(VALUE(MID($D2620,2,20)),1000000000)+ROW()/10000000,"")</f>
        <v/>
      </c>
    </row>
    <row r="2621" customFormat="false" ht="15" hidden="false" customHeight="false" outlineLevel="0" collapsed="false">
      <c r="F2621" s="15"/>
      <c r="N2621" s="16" t="str">
        <f aca="false">IF($D2621="","",M2621*Y2621/100)</f>
        <v/>
      </c>
      <c r="V2621" s="16" t="str">
        <f aca="false">IF($D2621="","",Y2621*AB2621/100)</f>
        <v/>
      </c>
      <c r="W2621" s="16" t="str">
        <f aca="false">IF($D2621="","",Y2621-V2621)</f>
        <v/>
      </c>
      <c r="X2621" s="16" t="str">
        <f aca="false">IF($D2621="","",W2621-N2621)</f>
        <v/>
      </c>
      <c r="AB2621" s="17" t="str">
        <f aca="false">IF($D2621="","",IF(OR($R2621=TRUE(),$R2621="TRUE"),Settings!$C$6,Settings!$C$7)*100)</f>
        <v/>
      </c>
      <c r="AH2621" s="18" t="str">
        <f aca="false">IF($D2621="","",IF(COUNTIF($D$2:$D2621,$D2621)=1,1,0))</f>
        <v/>
      </c>
      <c r="AI2621" s="18" t="str">
        <f aca="false">IF($AH2621=1,SUMPRODUCT(--($AK$2:$AK$4001&lt;$AK2621))+1,"")</f>
        <v/>
      </c>
      <c r="AJ2621" s="18" t="str">
        <f aca="false">IF($D2621="","",IF(OR($R2621=TRUE(),$R2621="TRUE"),1,0))</f>
        <v/>
      </c>
      <c r="AK2621" s="18" t="str">
        <f aca="false">IF($AH2621=1,IFERROR(VALUE(MID($D2621,2,20)),1000000000)+ROW()/10000000,"")</f>
        <v/>
      </c>
    </row>
    <row r="2622" customFormat="false" ht="15" hidden="false" customHeight="false" outlineLevel="0" collapsed="false">
      <c r="F2622" s="15"/>
      <c r="N2622" s="16" t="str">
        <f aca="false">IF($D2622="","",M2622*Y2622/100)</f>
        <v/>
      </c>
      <c r="V2622" s="16" t="str">
        <f aca="false">IF($D2622="","",Y2622*AB2622/100)</f>
        <v/>
      </c>
      <c r="W2622" s="16" t="str">
        <f aca="false">IF($D2622="","",Y2622-V2622)</f>
        <v/>
      </c>
      <c r="X2622" s="16" t="str">
        <f aca="false">IF($D2622="","",W2622-N2622)</f>
        <v/>
      </c>
      <c r="AB2622" s="17" t="str">
        <f aca="false">IF($D2622="","",IF(OR($R2622=TRUE(),$R2622="TRUE"),Settings!$C$6,Settings!$C$7)*100)</f>
        <v/>
      </c>
      <c r="AH2622" s="18" t="str">
        <f aca="false">IF($D2622="","",IF(COUNTIF($D$2:$D2622,$D2622)=1,1,0))</f>
        <v/>
      </c>
      <c r="AI2622" s="18" t="str">
        <f aca="false">IF($AH2622=1,SUMPRODUCT(--($AK$2:$AK$4001&lt;$AK2622))+1,"")</f>
        <v/>
      </c>
      <c r="AJ2622" s="18" t="str">
        <f aca="false">IF($D2622="","",IF(OR($R2622=TRUE(),$R2622="TRUE"),1,0))</f>
        <v/>
      </c>
      <c r="AK2622" s="18" t="str">
        <f aca="false">IF($AH2622=1,IFERROR(VALUE(MID($D2622,2,20)),1000000000)+ROW()/10000000,"")</f>
        <v/>
      </c>
    </row>
    <row r="2623" customFormat="false" ht="15" hidden="false" customHeight="false" outlineLevel="0" collapsed="false">
      <c r="F2623" s="15"/>
      <c r="N2623" s="16" t="str">
        <f aca="false">IF($D2623="","",M2623*Y2623/100)</f>
        <v/>
      </c>
      <c r="V2623" s="16" t="str">
        <f aca="false">IF($D2623="","",Y2623*AB2623/100)</f>
        <v/>
      </c>
      <c r="W2623" s="16" t="str">
        <f aca="false">IF($D2623="","",Y2623-V2623)</f>
        <v/>
      </c>
      <c r="X2623" s="16" t="str">
        <f aca="false">IF($D2623="","",W2623-N2623)</f>
        <v/>
      </c>
      <c r="AB2623" s="17" t="str">
        <f aca="false">IF($D2623="","",IF(OR($R2623=TRUE(),$R2623="TRUE"),Settings!$C$6,Settings!$C$7)*100)</f>
        <v/>
      </c>
      <c r="AH2623" s="18" t="str">
        <f aca="false">IF($D2623="","",IF(COUNTIF($D$2:$D2623,$D2623)=1,1,0))</f>
        <v/>
      </c>
      <c r="AI2623" s="18" t="str">
        <f aca="false">IF($AH2623=1,SUMPRODUCT(--($AK$2:$AK$4001&lt;$AK2623))+1,"")</f>
        <v/>
      </c>
      <c r="AJ2623" s="18" t="str">
        <f aca="false">IF($D2623="","",IF(OR($R2623=TRUE(),$R2623="TRUE"),1,0))</f>
        <v/>
      </c>
      <c r="AK2623" s="18" t="str">
        <f aca="false">IF($AH2623=1,IFERROR(VALUE(MID($D2623,2,20)),1000000000)+ROW()/10000000,"")</f>
        <v/>
      </c>
    </row>
    <row r="2624" customFormat="false" ht="15" hidden="false" customHeight="false" outlineLevel="0" collapsed="false">
      <c r="F2624" s="15"/>
      <c r="N2624" s="16" t="str">
        <f aca="false">IF($D2624="","",M2624*Y2624/100)</f>
        <v/>
      </c>
      <c r="V2624" s="16" t="str">
        <f aca="false">IF($D2624="","",Y2624*AB2624/100)</f>
        <v/>
      </c>
      <c r="W2624" s="16" t="str">
        <f aca="false">IF($D2624="","",Y2624-V2624)</f>
        <v/>
      </c>
      <c r="X2624" s="16" t="str">
        <f aca="false">IF($D2624="","",W2624-N2624)</f>
        <v/>
      </c>
      <c r="AB2624" s="17" t="str">
        <f aca="false">IF($D2624="","",IF(OR($R2624=TRUE(),$R2624="TRUE"),Settings!$C$6,Settings!$C$7)*100)</f>
        <v/>
      </c>
      <c r="AH2624" s="18" t="str">
        <f aca="false">IF($D2624="","",IF(COUNTIF($D$2:$D2624,$D2624)=1,1,0))</f>
        <v/>
      </c>
      <c r="AI2624" s="18" t="str">
        <f aca="false">IF($AH2624=1,SUMPRODUCT(--($AK$2:$AK$4001&lt;$AK2624))+1,"")</f>
        <v/>
      </c>
      <c r="AJ2624" s="18" t="str">
        <f aca="false">IF($D2624="","",IF(OR($R2624=TRUE(),$R2624="TRUE"),1,0))</f>
        <v/>
      </c>
      <c r="AK2624" s="18" t="str">
        <f aca="false">IF($AH2624=1,IFERROR(VALUE(MID($D2624,2,20)),1000000000)+ROW()/10000000,"")</f>
        <v/>
      </c>
    </row>
    <row r="2625" customFormat="false" ht="15" hidden="false" customHeight="false" outlineLevel="0" collapsed="false">
      <c r="F2625" s="15"/>
      <c r="N2625" s="16" t="str">
        <f aca="false">IF($D2625="","",M2625*Y2625/100)</f>
        <v/>
      </c>
      <c r="V2625" s="16" t="str">
        <f aca="false">IF($D2625="","",Y2625*AB2625/100)</f>
        <v/>
      </c>
      <c r="W2625" s="16" t="str">
        <f aca="false">IF($D2625="","",Y2625-V2625)</f>
        <v/>
      </c>
      <c r="X2625" s="16" t="str">
        <f aca="false">IF($D2625="","",W2625-N2625)</f>
        <v/>
      </c>
      <c r="AB2625" s="17" t="str">
        <f aca="false">IF($D2625="","",IF(OR($R2625=TRUE(),$R2625="TRUE"),Settings!$C$6,Settings!$C$7)*100)</f>
        <v/>
      </c>
      <c r="AH2625" s="18" t="str">
        <f aca="false">IF($D2625="","",IF(COUNTIF($D$2:$D2625,$D2625)=1,1,0))</f>
        <v/>
      </c>
      <c r="AI2625" s="18" t="str">
        <f aca="false">IF($AH2625=1,SUMPRODUCT(--($AK$2:$AK$4001&lt;$AK2625))+1,"")</f>
        <v/>
      </c>
      <c r="AJ2625" s="18" t="str">
        <f aca="false">IF($D2625="","",IF(OR($R2625=TRUE(),$R2625="TRUE"),1,0))</f>
        <v/>
      </c>
      <c r="AK2625" s="18" t="str">
        <f aca="false">IF($AH2625=1,IFERROR(VALUE(MID($D2625,2,20)),1000000000)+ROW()/10000000,"")</f>
        <v/>
      </c>
    </row>
    <row r="2626" customFormat="false" ht="15" hidden="false" customHeight="false" outlineLevel="0" collapsed="false">
      <c r="F2626" s="15"/>
      <c r="N2626" s="16" t="str">
        <f aca="false">IF($D2626="","",M2626*Y2626/100)</f>
        <v/>
      </c>
      <c r="V2626" s="16" t="str">
        <f aca="false">IF($D2626="","",Y2626*AB2626/100)</f>
        <v/>
      </c>
      <c r="W2626" s="16" t="str">
        <f aca="false">IF($D2626="","",Y2626-V2626)</f>
        <v/>
      </c>
      <c r="X2626" s="16" t="str">
        <f aca="false">IF($D2626="","",W2626-N2626)</f>
        <v/>
      </c>
      <c r="AB2626" s="17" t="str">
        <f aca="false">IF($D2626="","",IF(OR($R2626=TRUE(),$R2626="TRUE"),Settings!$C$6,Settings!$C$7)*100)</f>
        <v/>
      </c>
      <c r="AH2626" s="18" t="str">
        <f aca="false">IF($D2626="","",IF(COUNTIF($D$2:$D2626,$D2626)=1,1,0))</f>
        <v/>
      </c>
      <c r="AI2626" s="18" t="str">
        <f aca="false">IF($AH2626=1,SUMPRODUCT(--($AK$2:$AK$4001&lt;$AK2626))+1,"")</f>
        <v/>
      </c>
      <c r="AJ2626" s="18" t="str">
        <f aca="false">IF($D2626="","",IF(OR($R2626=TRUE(),$R2626="TRUE"),1,0))</f>
        <v/>
      </c>
      <c r="AK2626" s="18" t="str">
        <f aca="false">IF($AH2626=1,IFERROR(VALUE(MID($D2626,2,20)),1000000000)+ROW()/10000000,"")</f>
        <v/>
      </c>
    </row>
    <row r="2627" customFormat="false" ht="15" hidden="false" customHeight="false" outlineLevel="0" collapsed="false">
      <c r="F2627" s="15"/>
      <c r="N2627" s="16" t="str">
        <f aca="false">IF($D2627="","",M2627*Y2627/100)</f>
        <v/>
      </c>
      <c r="V2627" s="16" t="str">
        <f aca="false">IF($D2627="","",Y2627*AB2627/100)</f>
        <v/>
      </c>
      <c r="W2627" s="16" t="str">
        <f aca="false">IF($D2627="","",Y2627-V2627)</f>
        <v/>
      </c>
      <c r="X2627" s="16" t="str">
        <f aca="false">IF($D2627="","",W2627-N2627)</f>
        <v/>
      </c>
      <c r="AB2627" s="17" t="str">
        <f aca="false">IF($D2627="","",IF(OR($R2627=TRUE(),$R2627="TRUE"),Settings!$C$6,Settings!$C$7)*100)</f>
        <v/>
      </c>
      <c r="AH2627" s="18" t="str">
        <f aca="false">IF($D2627="","",IF(COUNTIF($D$2:$D2627,$D2627)=1,1,0))</f>
        <v/>
      </c>
      <c r="AI2627" s="18" t="str">
        <f aca="false">IF($AH2627=1,SUMPRODUCT(--($AK$2:$AK$4001&lt;$AK2627))+1,"")</f>
        <v/>
      </c>
      <c r="AJ2627" s="18" t="str">
        <f aca="false">IF($D2627="","",IF(OR($R2627=TRUE(),$R2627="TRUE"),1,0))</f>
        <v/>
      </c>
      <c r="AK2627" s="18" t="str">
        <f aca="false">IF($AH2627=1,IFERROR(VALUE(MID($D2627,2,20)),1000000000)+ROW()/10000000,"")</f>
        <v/>
      </c>
    </row>
    <row r="2628" customFormat="false" ht="15" hidden="false" customHeight="false" outlineLevel="0" collapsed="false">
      <c r="F2628" s="15"/>
      <c r="N2628" s="16" t="str">
        <f aca="false">IF($D2628="","",M2628*Y2628/100)</f>
        <v/>
      </c>
      <c r="V2628" s="16" t="str">
        <f aca="false">IF($D2628="","",Y2628*AB2628/100)</f>
        <v/>
      </c>
      <c r="W2628" s="16" t="str">
        <f aca="false">IF($D2628="","",Y2628-V2628)</f>
        <v/>
      </c>
      <c r="X2628" s="16" t="str">
        <f aca="false">IF($D2628="","",W2628-N2628)</f>
        <v/>
      </c>
      <c r="AB2628" s="17" t="str">
        <f aca="false">IF($D2628="","",IF(OR($R2628=TRUE(),$R2628="TRUE"),Settings!$C$6,Settings!$C$7)*100)</f>
        <v/>
      </c>
      <c r="AH2628" s="18" t="str">
        <f aca="false">IF($D2628="","",IF(COUNTIF($D$2:$D2628,$D2628)=1,1,0))</f>
        <v/>
      </c>
      <c r="AI2628" s="18" t="str">
        <f aca="false">IF($AH2628=1,SUMPRODUCT(--($AK$2:$AK$4001&lt;$AK2628))+1,"")</f>
        <v/>
      </c>
      <c r="AJ2628" s="18" t="str">
        <f aca="false">IF($D2628="","",IF(OR($R2628=TRUE(),$R2628="TRUE"),1,0))</f>
        <v/>
      </c>
      <c r="AK2628" s="18" t="str">
        <f aca="false">IF($AH2628=1,IFERROR(VALUE(MID($D2628,2,20)),1000000000)+ROW()/10000000,"")</f>
        <v/>
      </c>
    </row>
    <row r="2629" customFormat="false" ht="15" hidden="false" customHeight="false" outlineLevel="0" collapsed="false">
      <c r="F2629" s="15"/>
      <c r="N2629" s="16" t="str">
        <f aca="false">IF($D2629="","",M2629*Y2629/100)</f>
        <v/>
      </c>
      <c r="V2629" s="16" t="str">
        <f aca="false">IF($D2629="","",Y2629*AB2629/100)</f>
        <v/>
      </c>
      <c r="W2629" s="16" t="str">
        <f aca="false">IF($D2629="","",Y2629-V2629)</f>
        <v/>
      </c>
      <c r="X2629" s="16" t="str">
        <f aca="false">IF($D2629="","",W2629-N2629)</f>
        <v/>
      </c>
      <c r="AB2629" s="17" t="str">
        <f aca="false">IF($D2629="","",IF(OR($R2629=TRUE(),$R2629="TRUE"),Settings!$C$6,Settings!$C$7)*100)</f>
        <v/>
      </c>
      <c r="AH2629" s="18" t="str">
        <f aca="false">IF($D2629="","",IF(COUNTIF($D$2:$D2629,$D2629)=1,1,0))</f>
        <v/>
      </c>
      <c r="AI2629" s="18" t="str">
        <f aca="false">IF($AH2629=1,SUMPRODUCT(--($AK$2:$AK$4001&lt;$AK2629))+1,"")</f>
        <v/>
      </c>
      <c r="AJ2629" s="18" t="str">
        <f aca="false">IF($D2629="","",IF(OR($R2629=TRUE(),$R2629="TRUE"),1,0))</f>
        <v/>
      </c>
      <c r="AK2629" s="18" t="str">
        <f aca="false">IF($AH2629=1,IFERROR(VALUE(MID($D2629,2,20)),1000000000)+ROW()/10000000,"")</f>
        <v/>
      </c>
    </row>
    <row r="2630" customFormat="false" ht="15" hidden="false" customHeight="false" outlineLevel="0" collapsed="false">
      <c r="F2630" s="15"/>
      <c r="N2630" s="16" t="str">
        <f aca="false">IF($D2630="","",M2630*Y2630/100)</f>
        <v/>
      </c>
      <c r="V2630" s="16" t="str">
        <f aca="false">IF($D2630="","",Y2630*AB2630/100)</f>
        <v/>
      </c>
      <c r="W2630" s="16" t="str">
        <f aca="false">IF($D2630="","",Y2630-V2630)</f>
        <v/>
      </c>
      <c r="X2630" s="16" t="str">
        <f aca="false">IF($D2630="","",W2630-N2630)</f>
        <v/>
      </c>
      <c r="AB2630" s="17" t="str">
        <f aca="false">IF($D2630="","",IF(OR($R2630=TRUE(),$R2630="TRUE"),Settings!$C$6,Settings!$C$7)*100)</f>
        <v/>
      </c>
      <c r="AH2630" s="18" t="str">
        <f aca="false">IF($D2630="","",IF(COUNTIF($D$2:$D2630,$D2630)=1,1,0))</f>
        <v/>
      </c>
      <c r="AI2630" s="18" t="str">
        <f aca="false">IF($AH2630=1,SUMPRODUCT(--($AK$2:$AK$4001&lt;$AK2630))+1,"")</f>
        <v/>
      </c>
      <c r="AJ2630" s="18" t="str">
        <f aca="false">IF($D2630="","",IF(OR($R2630=TRUE(),$R2630="TRUE"),1,0))</f>
        <v/>
      </c>
      <c r="AK2630" s="18" t="str">
        <f aca="false">IF($AH2630=1,IFERROR(VALUE(MID($D2630,2,20)),1000000000)+ROW()/10000000,"")</f>
        <v/>
      </c>
    </row>
    <row r="2631" customFormat="false" ht="15" hidden="false" customHeight="false" outlineLevel="0" collapsed="false">
      <c r="F2631" s="15"/>
      <c r="N2631" s="16" t="str">
        <f aca="false">IF($D2631="","",M2631*Y2631/100)</f>
        <v/>
      </c>
      <c r="V2631" s="16" t="str">
        <f aca="false">IF($D2631="","",Y2631*AB2631/100)</f>
        <v/>
      </c>
      <c r="W2631" s="16" t="str">
        <f aca="false">IF($D2631="","",Y2631-V2631)</f>
        <v/>
      </c>
      <c r="X2631" s="16" t="str">
        <f aca="false">IF($D2631="","",W2631-N2631)</f>
        <v/>
      </c>
      <c r="AB2631" s="17" t="str">
        <f aca="false">IF($D2631="","",IF(OR($R2631=TRUE(),$R2631="TRUE"),Settings!$C$6,Settings!$C$7)*100)</f>
        <v/>
      </c>
      <c r="AH2631" s="18" t="str">
        <f aca="false">IF($D2631="","",IF(COUNTIF($D$2:$D2631,$D2631)=1,1,0))</f>
        <v/>
      </c>
      <c r="AI2631" s="18" t="str">
        <f aca="false">IF($AH2631=1,SUMPRODUCT(--($AK$2:$AK$4001&lt;$AK2631))+1,"")</f>
        <v/>
      </c>
      <c r="AJ2631" s="18" t="str">
        <f aca="false">IF($D2631="","",IF(OR($R2631=TRUE(),$R2631="TRUE"),1,0))</f>
        <v/>
      </c>
      <c r="AK2631" s="18" t="str">
        <f aca="false">IF($AH2631=1,IFERROR(VALUE(MID($D2631,2,20)),1000000000)+ROW()/10000000,"")</f>
        <v/>
      </c>
    </row>
    <row r="2632" customFormat="false" ht="15" hidden="false" customHeight="false" outlineLevel="0" collapsed="false">
      <c r="F2632" s="15"/>
      <c r="N2632" s="16" t="str">
        <f aca="false">IF($D2632="","",M2632*Y2632/100)</f>
        <v/>
      </c>
      <c r="V2632" s="16" t="str">
        <f aca="false">IF($D2632="","",Y2632*AB2632/100)</f>
        <v/>
      </c>
      <c r="W2632" s="16" t="str">
        <f aca="false">IF($D2632="","",Y2632-V2632)</f>
        <v/>
      </c>
      <c r="X2632" s="16" t="str">
        <f aca="false">IF($D2632="","",W2632-N2632)</f>
        <v/>
      </c>
      <c r="AB2632" s="17" t="str">
        <f aca="false">IF($D2632="","",IF(OR($R2632=TRUE(),$R2632="TRUE"),Settings!$C$6,Settings!$C$7)*100)</f>
        <v/>
      </c>
      <c r="AH2632" s="18" t="str">
        <f aca="false">IF($D2632="","",IF(COUNTIF($D$2:$D2632,$D2632)=1,1,0))</f>
        <v/>
      </c>
      <c r="AI2632" s="18" t="str">
        <f aca="false">IF($AH2632=1,SUMPRODUCT(--($AK$2:$AK$4001&lt;$AK2632))+1,"")</f>
        <v/>
      </c>
      <c r="AJ2632" s="18" t="str">
        <f aca="false">IF($D2632="","",IF(OR($R2632=TRUE(),$R2632="TRUE"),1,0))</f>
        <v/>
      </c>
      <c r="AK2632" s="18" t="str">
        <f aca="false">IF($AH2632=1,IFERROR(VALUE(MID($D2632,2,20)),1000000000)+ROW()/10000000,"")</f>
        <v/>
      </c>
    </row>
    <row r="2633" customFormat="false" ht="15" hidden="false" customHeight="false" outlineLevel="0" collapsed="false">
      <c r="F2633" s="15"/>
      <c r="N2633" s="16" t="str">
        <f aca="false">IF($D2633="","",M2633*Y2633/100)</f>
        <v/>
      </c>
      <c r="V2633" s="16" t="str">
        <f aca="false">IF($D2633="","",Y2633*AB2633/100)</f>
        <v/>
      </c>
      <c r="W2633" s="16" t="str">
        <f aca="false">IF($D2633="","",Y2633-V2633)</f>
        <v/>
      </c>
      <c r="X2633" s="16" t="str">
        <f aca="false">IF($D2633="","",W2633-N2633)</f>
        <v/>
      </c>
      <c r="AB2633" s="17" t="str">
        <f aca="false">IF($D2633="","",IF(OR($R2633=TRUE(),$R2633="TRUE"),Settings!$C$6,Settings!$C$7)*100)</f>
        <v/>
      </c>
      <c r="AH2633" s="18" t="str">
        <f aca="false">IF($D2633="","",IF(COUNTIF($D$2:$D2633,$D2633)=1,1,0))</f>
        <v/>
      </c>
      <c r="AI2633" s="18" t="str">
        <f aca="false">IF($AH2633=1,SUMPRODUCT(--($AK$2:$AK$4001&lt;$AK2633))+1,"")</f>
        <v/>
      </c>
      <c r="AJ2633" s="18" t="str">
        <f aca="false">IF($D2633="","",IF(OR($R2633=TRUE(),$R2633="TRUE"),1,0))</f>
        <v/>
      </c>
      <c r="AK2633" s="18" t="str">
        <f aca="false">IF($AH2633=1,IFERROR(VALUE(MID($D2633,2,20)),1000000000)+ROW()/10000000,"")</f>
        <v/>
      </c>
    </row>
    <row r="2634" customFormat="false" ht="15" hidden="false" customHeight="false" outlineLevel="0" collapsed="false">
      <c r="F2634" s="15"/>
      <c r="N2634" s="16" t="str">
        <f aca="false">IF($D2634="","",M2634*Y2634/100)</f>
        <v/>
      </c>
      <c r="V2634" s="16" t="str">
        <f aca="false">IF($D2634="","",Y2634*AB2634/100)</f>
        <v/>
      </c>
      <c r="W2634" s="16" t="str">
        <f aca="false">IF($D2634="","",Y2634-V2634)</f>
        <v/>
      </c>
      <c r="X2634" s="16" t="str">
        <f aca="false">IF($D2634="","",W2634-N2634)</f>
        <v/>
      </c>
      <c r="AB2634" s="17" t="str">
        <f aca="false">IF($D2634="","",IF(OR($R2634=TRUE(),$R2634="TRUE"),Settings!$C$6,Settings!$C$7)*100)</f>
        <v/>
      </c>
      <c r="AH2634" s="18" t="str">
        <f aca="false">IF($D2634="","",IF(COUNTIF($D$2:$D2634,$D2634)=1,1,0))</f>
        <v/>
      </c>
      <c r="AI2634" s="18" t="str">
        <f aca="false">IF($AH2634=1,SUMPRODUCT(--($AK$2:$AK$4001&lt;$AK2634))+1,"")</f>
        <v/>
      </c>
      <c r="AJ2634" s="18" t="str">
        <f aca="false">IF($D2634="","",IF(OR($R2634=TRUE(),$R2634="TRUE"),1,0))</f>
        <v/>
      </c>
      <c r="AK2634" s="18" t="str">
        <f aca="false">IF($AH2634=1,IFERROR(VALUE(MID($D2634,2,20)),1000000000)+ROW()/10000000,"")</f>
        <v/>
      </c>
    </row>
    <row r="2635" customFormat="false" ht="15" hidden="false" customHeight="false" outlineLevel="0" collapsed="false">
      <c r="F2635" s="15"/>
      <c r="N2635" s="16" t="str">
        <f aca="false">IF($D2635="","",M2635*Y2635/100)</f>
        <v/>
      </c>
      <c r="V2635" s="16" t="str">
        <f aca="false">IF($D2635="","",Y2635*AB2635/100)</f>
        <v/>
      </c>
      <c r="W2635" s="16" t="str">
        <f aca="false">IF($D2635="","",Y2635-V2635)</f>
        <v/>
      </c>
      <c r="X2635" s="16" t="str">
        <f aca="false">IF($D2635="","",W2635-N2635)</f>
        <v/>
      </c>
      <c r="AB2635" s="17" t="str">
        <f aca="false">IF($D2635="","",IF(OR($R2635=TRUE(),$R2635="TRUE"),Settings!$C$6,Settings!$C$7)*100)</f>
        <v/>
      </c>
      <c r="AH2635" s="18" t="str">
        <f aca="false">IF($D2635="","",IF(COUNTIF($D$2:$D2635,$D2635)=1,1,0))</f>
        <v/>
      </c>
      <c r="AI2635" s="18" t="str">
        <f aca="false">IF($AH2635=1,SUMPRODUCT(--($AK$2:$AK$4001&lt;$AK2635))+1,"")</f>
        <v/>
      </c>
      <c r="AJ2635" s="18" t="str">
        <f aca="false">IF($D2635="","",IF(OR($R2635=TRUE(),$R2635="TRUE"),1,0))</f>
        <v/>
      </c>
      <c r="AK2635" s="18" t="str">
        <f aca="false">IF($AH2635=1,IFERROR(VALUE(MID($D2635,2,20)),1000000000)+ROW()/10000000,"")</f>
        <v/>
      </c>
    </row>
    <row r="2636" customFormat="false" ht="15" hidden="false" customHeight="false" outlineLevel="0" collapsed="false">
      <c r="F2636" s="15"/>
      <c r="N2636" s="16" t="str">
        <f aca="false">IF($D2636="","",M2636*Y2636/100)</f>
        <v/>
      </c>
      <c r="V2636" s="16" t="str">
        <f aca="false">IF($D2636="","",Y2636*AB2636/100)</f>
        <v/>
      </c>
      <c r="W2636" s="16" t="str">
        <f aca="false">IF($D2636="","",Y2636-V2636)</f>
        <v/>
      </c>
      <c r="X2636" s="16" t="str">
        <f aca="false">IF($D2636="","",W2636-N2636)</f>
        <v/>
      </c>
      <c r="AB2636" s="17" t="str">
        <f aca="false">IF($D2636="","",IF(OR($R2636=TRUE(),$R2636="TRUE"),Settings!$C$6,Settings!$C$7)*100)</f>
        <v/>
      </c>
      <c r="AH2636" s="18" t="str">
        <f aca="false">IF($D2636="","",IF(COUNTIF($D$2:$D2636,$D2636)=1,1,0))</f>
        <v/>
      </c>
      <c r="AI2636" s="18" t="str">
        <f aca="false">IF($AH2636=1,SUMPRODUCT(--($AK$2:$AK$4001&lt;$AK2636))+1,"")</f>
        <v/>
      </c>
      <c r="AJ2636" s="18" t="str">
        <f aca="false">IF($D2636="","",IF(OR($R2636=TRUE(),$R2636="TRUE"),1,0))</f>
        <v/>
      </c>
      <c r="AK2636" s="18" t="str">
        <f aca="false">IF($AH2636=1,IFERROR(VALUE(MID($D2636,2,20)),1000000000)+ROW()/10000000,"")</f>
        <v/>
      </c>
    </row>
    <row r="2637" customFormat="false" ht="15" hidden="false" customHeight="false" outlineLevel="0" collapsed="false">
      <c r="F2637" s="15"/>
      <c r="N2637" s="16" t="str">
        <f aca="false">IF($D2637="","",M2637*Y2637/100)</f>
        <v/>
      </c>
      <c r="V2637" s="16" t="str">
        <f aca="false">IF($D2637="","",Y2637*AB2637/100)</f>
        <v/>
      </c>
      <c r="W2637" s="16" t="str">
        <f aca="false">IF($D2637="","",Y2637-V2637)</f>
        <v/>
      </c>
      <c r="X2637" s="16" t="str">
        <f aca="false">IF($D2637="","",W2637-N2637)</f>
        <v/>
      </c>
      <c r="AB2637" s="17" t="str">
        <f aca="false">IF($D2637="","",IF(OR($R2637=TRUE(),$R2637="TRUE"),Settings!$C$6,Settings!$C$7)*100)</f>
        <v/>
      </c>
      <c r="AH2637" s="18" t="str">
        <f aca="false">IF($D2637="","",IF(COUNTIF($D$2:$D2637,$D2637)=1,1,0))</f>
        <v/>
      </c>
      <c r="AI2637" s="18" t="str">
        <f aca="false">IF($AH2637=1,SUMPRODUCT(--($AK$2:$AK$4001&lt;$AK2637))+1,"")</f>
        <v/>
      </c>
      <c r="AJ2637" s="18" t="str">
        <f aca="false">IF($D2637="","",IF(OR($R2637=TRUE(),$R2637="TRUE"),1,0))</f>
        <v/>
      </c>
      <c r="AK2637" s="18" t="str">
        <f aca="false">IF($AH2637=1,IFERROR(VALUE(MID($D2637,2,20)),1000000000)+ROW()/10000000,"")</f>
        <v/>
      </c>
    </row>
    <row r="2638" customFormat="false" ht="15" hidden="false" customHeight="false" outlineLevel="0" collapsed="false">
      <c r="F2638" s="15"/>
      <c r="N2638" s="16" t="str">
        <f aca="false">IF($D2638="","",M2638*Y2638/100)</f>
        <v/>
      </c>
      <c r="V2638" s="16" t="str">
        <f aca="false">IF($D2638="","",Y2638*AB2638/100)</f>
        <v/>
      </c>
      <c r="W2638" s="16" t="str">
        <f aca="false">IF($D2638="","",Y2638-V2638)</f>
        <v/>
      </c>
      <c r="X2638" s="16" t="str">
        <f aca="false">IF($D2638="","",W2638-N2638)</f>
        <v/>
      </c>
      <c r="AB2638" s="17" t="str">
        <f aca="false">IF($D2638="","",IF(OR($R2638=TRUE(),$R2638="TRUE"),Settings!$C$6,Settings!$C$7)*100)</f>
        <v/>
      </c>
      <c r="AH2638" s="18" t="str">
        <f aca="false">IF($D2638="","",IF(COUNTIF($D$2:$D2638,$D2638)=1,1,0))</f>
        <v/>
      </c>
      <c r="AI2638" s="18" t="str">
        <f aca="false">IF($AH2638=1,SUMPRODUCT(--($AK$2:$AK$4001&lt;$AK2638))+1,"")</f>
        <v/>
      </c>
      <c r="AJ2638" s="18" t="str">
        <f aca="false">IF($D2638="","",IF(OR($R2638=TRUE(),$R2638="TRUE"),1,0))</f>
        <v/>
      </c>
      <c r="AK2638" s="18" t="str">
        <f aca="false">IF($AH2638=1,IFERROR(VALUE(MID($D2638,2,20)),1000000000)+ROW()/10000000,"")</f>
        <v/>
      </c>
    </row>
    <row r="2639" customFormat="false" ht="15" hidden="false" customHeight="false" outlineLevel="0" collapsed="false">
      <c r="F2639" s="15"/>
      <c r="N2639" s="16" t="str">
        <f aca="false">IF($D2639="","",M2639*Y2639/100)</f>
        <v/>
      </c>
      <c r="V2639" s="16" t="str">
        <f aca="false">IF($D2639="","",Y2639*AB2639/100)</f>
        <v/>
      </c>
      <c r="W2639" s="16" t="str">
        <f aca="false">IF($D2639="","",Y2639-V2639)</f>
        <v/>
      </c>
      <c r="X2639" s="16" t="str">
        <f aca="false">IF($D2639="","",W2639-N2639)</f>
        <v/>
      </c>
      <c r="AB2639" s="17" t="str">
        <f aca="false">IF($D2639="","",IF(OR($R2639=TRUE(),$R2639="TRUE"),Settings!$C$6,Settings!$C$7)*100)</f>
        <v/>
      </c>
      <c r="AH2639" s="18" t="str">
        <f aca="false">IF($D2639="","",IF(COUNTIF($D$2:$D2639,$D2639)=1,1,0))</f>
        <v/>
      </c>
      <c r="AI2639" s="18" t="str">
        <f aca="false">IF($AH2639=1,SUMPRODUCT(--($AK$2:$AK$4001&lt;$AK2639))+1,"")</f>
        <v/>
      </c>
      <c r="AJ2639" s="18" t="str">
        <f aca="false">IF($D2639="","",IF(OR($R2639=TRUE(),$R2639="TRUE"),1,0))</f>
        <v/>
      </c>
      <c r="AK2639" s="18" t="str">
        <f aca="false">IF($AH2639=1,IFERROR(VALUE(MID($D2639,2,20)),1000000000)+ROW()/10000000,"")</f>
        <v/>
      </c>
    </row>
    <row r="2640" customFormat="false" ht="15" hidden="false" customHeight="false" outlineLevel="0" collapsed="false">
      <c r="F2640" s="15"/>
      <c r="N2640" s="16" t="str">
        <f aca="false">IF($D2640="","",M2640*Y2640/100)</f>
        <v/>
      </c>
      <c r="V2640" s="16" t="str">
        <f aca="false">IF($D2640="","",Y2640*AB2640/100)</f>
        <v/>
      </c>
      <c r="W2640" s="16" t="str">
        <f aca="false">IF($D2640="","",Y2640-V2640)</f>
        <v/>
      </c>
      <c r="X2640" s="16" t="str">
        <f aca="false">IF($D2640="","",W2640-N2640)</f>
        <v/>
      </c>
      <c r="AB2640" s="17" t="str">
        <f aca="false">IF($D2640="","",IF(OR($R2640=TRUE(),$R2640="TRUE"),Settings!$C$6,Settings!$C$7)*100)</f>
        <v/>
      </c>
      <c r="AH2640" s="18" t="str">
        <f aca="false">IF($D2640="","",IF(COUNTIF($D$2:$D2640,$D2640)=1,1,0))</f>
        <v/>
      </c>
      <c r="AI2640" s="18" t="str">
        <f aca="false">IF($AH2640=1,SUMPRODUCT(--($AK$2:$AK$4001&lt;$AK2640))+1,"")</f>
        <v/>
      </c>
      <c r="AJ2640" s="18" t="str">
        <f aca="false">IF($D2640="","",IF(OR($R2640=TRUE(),$R2640="TRUE"),1,0))</f>
        <v/>
      </c>
      <c r="AK2640" s="18" t="str">
        <f aca="false">IF($AH2640=1,IFERROR(VALUE(MID($D2640,2,20)),1000000000)+ROW()/10000000,"")</f>
        <v/>
      </c>
    </row>
    <row r="2641" customFormat="false" ht="15" hidden="false" customHeight="false" outlineLevel="0" collapsed="false">
      <c r="F2641" s="15"/>
      <c r="N2641" s="16" t="str">
        <f aca="false">IF($D2641="","",M2641*Y2641/100)</f>
        <v/>
      </c>
      <c r="V2641" s="16" t="str">
        <f aca="false">IF($D2641="","",Y2641*AB2641/100)</f>
        <v/>
      </c>
      <c r="W2641" s="16" t="str">
        <f aca="false">IF($D2641="","",Y2641-V2641)</f>
        <v/>
      </c>
      <c r="X2641" s="16" t="str">
        <f aca="false">IF($D2641="","",W2641-N2641)</f>
        <v/>
      </c>
      <c r="AB2641" s="17" t="str">
        <f aca="false">IF($D2641="","",IF(OR($R2641=TRUE(),$R2641="TRUE"),Settings!$C$6,Settings!$C$7)*100)</f>
        <v/>
      </c>
      <c r="AH2641" s="18" t="str">
        <f aca="false">IF($D2641="","",IF(COUNTIF($D$2:$D2641,$D2641)=1,1,0))</f>
        <v/>
      </c>
      <c r="AI2641" s="18" t="str">
        <f aca="false">IF($AH2641=1,SUMPRODUCT(--($AK$2:$AK$4001&lt;$AK2641))+1,"")</f>
        <v/>
      </c>
      <c r="AJ2641" s="18" t="str">
        <f aca="false">IF($D2641="","",IF(OR($R2641=TRUE(),$R2641="TRUE"),1,0))</f>
        <v/>
      </c>
      <c r="AK2641" s="18" t="str">
        <f aca="false">IF($AH2641=1,IFERROR(VALUE(MID($D2641,2,20)),1000000000)+ROW()/10000000,"")</f>
        <v/>
      </c>
    </row>
    <row r="2642" customFormat="false" ht="15" hidden="false" customHeight="false" outlineLevel="0" collapsed="false">
      <c r="F2642" s="15"/>
      <c r="N2642" s="16" t="str">
        <f aca="false">IF($D2642="","",M2642*Y2642/100)</f>
        <v/>
      </c>
      <c r="V2642" s="16" t="str">
        <f aca="false">IF($D2642="","",Y2642*AB2642/100)</f>
        <v/>
      </c>
      <c r="W2642" s="16" t="str">
        <f aca="false">IF($D2642="","",Y2642-V2642)</f>
        <v/>
      </c>
      <c r="X2642" s="16" t="str">
        <f aca="false">IF($D2642="","",W2642-N2642)</f>
        <v/>
      </c>
      <c r="AB2642" s="17" t="str">
        <f aca="false">IF($D2642="","",IF(OR($R2642=TRUE(),$R2642="TRUE"),Settings!$C$6,Settings!$C$7)*100)</f>
        <v/>
      </c>
      <c r="AH2642" s="18" t="str">
        <f aca="false">IF($D2642="","",IF(COUNTIF($D$2:$D2642,$D2642)=1,1,0))</f>
        <v/>
      </c>
      <c r="AI2642" s="18" t="str">
        <f aca="false">IF($AH2642=1,SUMPRODUCT(--($AK$2:$AK$4001&lt;$AK2642))+1,"")</f>
        <v/>
      </c>
      <c r="AJ2642" s="18" t="str">
        <f aca="false">IF($D2642="","",IF(OR($R2642=TRUE(),$R2642="TRUE"),1,0))</f>
        <v/>
      </c>
      <c r="AK2642" s="18" t="str">
        <f aca="false">IF($AH2642=1,IFERROR(VALUE(MID($D2642,2,20)),1000000000)+ROW()/10000000,"")</f>
        <v/>
      </c>
    </row>
    <row r="2643" customFormat="false" ht="15" hidden="false" customHeight="false" outlineLevel="0" collapsed="false">
      <c r="F2643" s="15"/>
      <c r="N2643" s="16" t="str">
        <f aca="false">IF($D2643="","",M2643*Y2643/100)</f>
        <v/>
      </c>
      <c r="V2643" s="16" t="str">
        <f aca="false">IF($D2643="","",Y2643*AB2643/100)</f>
        <v/>
      </c>
      <c r="W2643" s="16" t="str">
        <f aca="false">IF($D2643="","",Y2643-V2643)</f>
        <v/>
      </c>
      <c r="X2643" s="16" t="str">
        <f aca="false">IF($D2643="","",W2643-N2643)</f>
        <v/>
      </c>
      <c r="AB2643" s="17" t="str">
        <f aca="false">IF($D2643="","",IF(OR($R2643=TRUE(),$R2643="TRUE"),Settings!$C$6,Settings!$C$7)*100)</f>
        <v/>
      </c>
      <c r="AH2643" s="18" t="str">
        <f aca="false">IF($D2643="","",IF(COUNTIF($D$2:$D2643,$D2643)=1,1,0))</f>
        <v/>
      </c>
      <c r="AI2643" s="18" t="str">
        <f aca="false">IF($AH2643=1,SUMPRODUCT(--($AK$2:$AK$4001&lt;$AK2643))+1,"")</f>
        <v/>
      </c>
      <c r="AJ2643" s="18" t="str">
        <f aca="false">IF($D2643="","",IF(OR($R2643=TRUE(),$R2643="TRUE"),1,0))</f>
        <v/>
      </c>
      <c r="AK2643" s="18" t="str">
        <f aca="false">IF($AH2643=1,IFERROR(VALUE(MID($D2643,2,20)),1000000000)+ROW()/10000000,"")</f>
        <v/>
      </c>
    </row>
    <row r="2644" customFormat="false" ht="15" hidden="false" customHeight="false" outlineLevel="0" collapsed="false">
      <c r="F2644" s="15"/>
      <c r="N2644" s="16" t="str">
        <f aca="false">IF($D2644="","",M2644*Y2644/100)</f>
        <v/>
      </c>
      <c r="V2644" s="16" t="str">
        <f aca="false">IF($D2644="","",Y2644*AB2644/100)</f>
        <v/>
      </c>
      <c r="W2644" s="16" t="str">
        <f aca="false">IF($D2644="","",Y2644-V2644)</f>
        <v/>
      </c>
      <c r="X2644" s="16" t="str">
        <f aca="false">IF($D2644="","",W2644-N2644)</f>
        <v/>
      </c>
      <c r="AB2644" s="17" t="str">
        <f aca="false">IF($D2644="","",IF(OR($R2644=TRUE(),$R2644="TRUE"),Settings!$C$6,Settings!$C$7)*100)</f>
        <v/>
      </c>
      <c r="AH2644" s="18" t="str">
        <f aca="false">IF($D2644="","",IF(COUNTIF($D$2:$D2644,$D2644)=1,1,0))</f>
        <v/>
      </c>
      <c r="AI2644" s="18" t="str">
        <f aca="false">IF($AH2644=1,SUMPRODUCT(--($AK$2:$AK$4001&lt;$AK2644))+1,"")</f>
        <v/>
      </c>
      <c r="AJ2644" s="18" t="str">
        <f aca="false">IF($D2644="","",IF(OR($R2644=TRUE(),$R2644="TRUE"),1,0))</f>
        <v/>
      </c>
      <c r="AK2644" s="18" t="str">
        <f aca="false">IF($AH2644=1,IFERROR(VALUE(MID($D2644,2,20)),1000000000)+ROW()/10000000,"")</f>
        <v/>
      </c>
    </row>
    <row r="2645" customFormat="false" ht="15" hidden="false" customHeight="false" outlineLevel="0" collapsed="false">
      <c r="F2645" s="15"/>
      <c r="N2645" s="16" t="str">
        <f aca="false">IF($D2645="","",M2645*Y2645/100)</f>
        <v/>
      </c>
      <c r="V2645" s="16" t="str">
        <f aca="false">IF($D2645="","",Y2645*AB2645/100)</f>
        <v/>
      </c>
      <c r="W2645" s="16" t="str">
        <f aca="false">IF($D2645="","",Y2645-V2645)</f>
        <v/>
      </c>
      <c r="X2645" s="16" t="str">
        <f aca="false">IF($D2645="","",W2645-N2645)</f>
        <v/>
      </c>
      <c r="AB2645" s="17" t="str">
        <f aca="false">IF($D2645="","",IF(OR($R2645=TRUE(),$R2645="TRUE"),Settings!$C$6,Settings!$C$7)*100)</f>
        <v/>
      </c>
      <c r="AH2645" s="18" t="str">
        <f aca="false">IF($D2645="","",IF(COUNTIF($D$2:$D2645,$D2645)=1,1,0))</f>
        <v/>
      </c>
      <c r="AI2645" s="18" t="str">
        <f aca="false">IF($AH2645=1,SUMPRODUCT(--($AK$2:$AK$4001&lt;$AK2645))+1,"")</f>
        <v/>
      </c>
      <c r="AJ2645" s="18" t="str">
        <f aca="false">IF($D2645="","",IF(OR($R2645=TRUE(),$R2645="TRUE"),1,0))</f>
        <v/>
      </c>
      <c r="AK2645" s="18" t="str">
        <f aca="false">IF($AH2645=1,IFERROR(VALUE(MID($D2645,2,20)),1000000000)+ROW()/10000000,"")</f>
        <v/>
      </c>
    </row>
    <row r="2646" customFormat="false" ht="15" hidden="false" customHeight="false" outlineLevel="0" collapsed="false">
      <c r="F2646" s="15"/>
      <c r="N2646" s="16" t="str">
        <f aca="false">IF($D2646="","",M2646*Y2646/100)</f>
        <v/>
      </c>
      <c r="V2646" s="16" t="str">
        <f aca="false">IF($D2646="","",Y2646*AB2646/100)</f>
        <v/>
      </c>
      <c r="W2646" s="16" t="str">
        <f aca="false">IF($D2646="","",Y2646-V2646)</f>
        <v/>
      </c>
      <c r="X2646" s="16" t="str">
        <f aca="false">IF($D2646="","",W2646-N2646)</f>
        <v/>
      </c>
      <c r="AB2646" s="17" t="str">
        <f aca="false">IF($D2646="","",IF(OR($R2646=TRUE(),$R2646="TRUE"),Settings!$C$6,Settings!$C$7)*100)</f>
        <v/>
      </c>
      <c r="AH2646" s="18" t="str">
        <f aca="false">IF($D2646="","",IF(COUNTIF($D$2:$D2646,$D2646)=1,1,0))</f>
        <v/>
      </c>
      <c r="AI2646" s="18" t="str">
        <f aca="false">IF($AH2646=1,SUMPRODUCT(--($AK$2:$AK$4001&lt;$AK2646))+1,"")</f>
        <v/>
      </c>
      <c r="AJ2646" s="18" t="str">
        <f aca="false">IF($D2646="","",IF(OR($R2646=TRUE(),$R2646="TRUE"),1,0))</f>
        <v/>
      </c>
      <c r="AK2646" s="18" t="str">
        <f aca="false">IF($AH2646=1,IFERROR(VALUE(MID($D2646,2,20)),1000000000)+ROW()/10000000,"")</f>
        <v/>
      </c>
    </row>
    <row r="2647" customFormat="false" ht="15" hidden="false" customHeight="false" outlineLevel="0" collapsed="false">
      <c r="F2647" s="15"/>
      <c r="N2647" s="16" t="str">
        <f aca="false">IF($D2647="","",M2647*Y2647/100)</f>
        <v/>
      </c>
      <c r="V2647" s="16" t="str">
        <f aca="false">IF($D2647="","",Y2647*AB2647/100)</f>
        <v/>
      </c>
      <c r="W2647" s="16" t="str">
        <f aca="false">IF($D2647="","",Y2647-V2647)</f>
        <v/>
      </c>
      <c r="X2647" s="16" t="str">
        <f aca="false">IF($D2647="","",W2647-N2647)</f>
        <v/>
      </c>
      <c r="AB2647" s="17" t="str">
        <f aca="false">IF($D2647="","",IF(OR($R2647=TRUE(),$R2647="TRUE"),Settings!$C$6,Settings!$C$7)*100)</f>
        <v/>
      </c>
      <c r="AH2647" s="18" t="str">
        <f aca="false">IF($D2647="","",IF(COUNTIF($D$2:$D2647,$D2647)=1,1,0))</f>
        <v/>
      </c>
      <c r="AI2647" s="18" t="str">
        <f aca="false">IF($AH2647=1,SUMPRODUCT(--($AK$2:$AK$4001&lt;$AK2647))+1,"")</f>
        <v/>
      </c>
      <c r="AJ2647" s="18" t="str">
        <f aca="false">IF($D2647="","",IF(OR($R2647=TRUE(),$R2647="TRUE"),1,0))</f>
        <v/>
      </c>
      <c r="AK2647" s="18" t="str">
        <f aca="false">IF($AH2647=1,IFERROR(VALUE(MID($D2647,2,20)),1000000000)+ROW()/10000000,"")</f>
        <v/>
      </c>
    </row>
    <row r="2648" customFormat="false" ht="15" hidden="false" customHeight="false" outlineLevel="0" collapsed="false">
      <c r="F2648" s="15"/>
      <c r="N2648" s="16" t="str">
        <f aca="false">IF($D2648="","",M2648*Y2648/100)</f>
        <v/>
      </c>
      <c r="V2648" s="16" t="str">
        <f aca="false">IF($D2648="","",Y2648*AB2648/100)</f>
        <v/>
      </c>
      <c r="W2648" s="16" t="str">
        <f aca="false">IF($D2648="","",Y2648-V2648)</f>
        <v/>
      </c>
      <c r="X2648" s="16" t="str">
        <f aca="false">IF($D2648="","",W2648-N2648)</f>
        <v/>
      </c>
      <c r="AB2648" s="17" t="str">
        <f aca="false">IF($D2648="","",IF(OR($R2648=TRUE(),$R2648="TRUE"),Settings!$C$6,Settings!$C$7)*100)</f>
        <v/>
      </c>
      <c r="AH2648" s="18" t="str">
        <f aca="false">IF($D2648="","",IF(COUNTIF($D$2:$D2648,$D2648)=1,1,0))</f>
        <v/>
      </c>
      <c r="AI2648" s="18" t="str">
        <f aca="false">IF($AH2648=1,SUMPRODUCT(--($AK$2:$AK$4001&lt;$AK2648))+1,"")</f>
        <v/>
      </c>
      <c r="AJ2648" s="18" t="str">
        <f aca="false">IF($D2648="","",IF(OR($R2648=TRUE(),$R2648="TRUE"),1,0))</f>
        <v/>
      </c>
      <c r="AK2648" s="18" t="str">
        <f aca="false">IF($AH2648=1,IFERROR(VALUE(MID($D2648,2,20)),1000000000)+ROW()/10000000,"")</f>
        <v/>
      </c>
    </row>
    <row r="2649" customFormat="false" ht="15" hidden="false" customHeight="false" outlineLevel="0" collapsed="false">
      <c r="F2649" s="15"/>
      <c r="N2649" s="16" t="str">
        <f aca="false">IF($D2649="","",M2649*Y2649/100)</f>
        <v/>
      </c>
      <c r="V2649" s="16" t="str">
        <f aca="false">IF($D2649="","",Y2649*AB2649/100)</f>
        <v/>
      </c>
      <c r="W2649" s="16" t="str">
        <f aca="false">IF($D2649="","",Y2649-V2649)</f>
        <v/>
      </c>
      <c r="X2649" s="16" t="str">
        <f aca="false">IF($D2649="","",W2649-N2649)</f>
        <v/>
      </c>
      <c r="AB2649" s="17" t="str">
        <f aca="false">IF($D2649="","",IF(OR($R2649=TRUE(),$R2649="TRUE"),Settings!$C$6,Settings!$C$7)*100)</f>
        <v/>
      </c>
      <c r="AH2649" s="18" t="str">
        <f aca="false">IF($D2649="","",IF(COUNTIF($D$2:$D2649,$D2649)=1,1,0))</f>
        <v/>
      </c>
      <c r="AI2649" s="18" t="str">
        <f aca="false">IF($AH2649=1,SUMPRODUCT(--($AK$2:$AK$4001&lt;$AK2649))+1,"")</f>
        <v/>
      </c>
      <c r="AJ2649" s="18" t="str">
        <f aca="false">IF($D2649="","",IF(OR($R2649=TRUE(),$R2649="TRUE"),1,0))</f>
        <v/>
      </c>
      <c r="AK2649" s="18" t="str">
        <f aca="false">IF($AH2649=1,IFERROR(VALUE(MID($D2649,2,20)),1000000000)+ROW()/10000000,"")</f>
        <v/>
      </c>
    </row>
    <row r="2650" customFormat="false" ht="15" hidden="false" customHeight="false" outlineLevel="0" collapsed="false">
      <c r="F2650" s="15"/>
      <c r="N2650" s="16" t="str">
        <f aca="false">IF($D2650="","",M2650*Y2650/100)</f>
        <v/>
      </c>
      <c r="V2650" s="16" t="str">
        <f aca="false">IF($D2650="","",Y2650*AB2650/100)</f>
        <v/>
      </c>
      <c r="W2650" s="16" t="str">
        <f aca="false">IF($D2650="","",Y2650-V2650)</f>
        <v/>
      </c>
      <c r="X2650" s="16" t="str">
        <f aca="false">IF($D2650="","",W2650-N2650)</f>
        <v/>
      </c>
      <c r="AB2650" s="17" t="str">
        <f aca="false">IF($D2650="","",IF(OR($R2650=TRUE(),$R2650="TRUE"),Settings!$C$6,Settings!$C$7)*100)</f>
        <v/>
      </c>
      <c r="AH2650" s="18" t="str">
        <f aca="false">IF($D2650="","",IF(COUNTIF($D$2:$D2650,$D2650)=1,1,0))</f>
        <v/>
      </c>
      <c r="AI2650" s="18" t="str">
        <f aca="false">IF($AH2650=1,SUMPRODUCT(--($AK$2:$AK$4001&lt;$AK2650))+1,"")</f>
        <v/>
      </c>
      <c r="AJ2650" s="18" t="str">
        <f aca="false">IF($D2650="","",IF(OR($R2650=TRUE(),$R2650="TRUE"),1,0))</f>
        <v/>
      </c>
      <c r="AK2650" s="18" t="str">
        <f aca="false">IF($AH2650=1,IFERROR(VALUE(MID($D2650,2,20)),1000000000)+ROW()/10000000,"")</f>
        <v/>
      </c>
    </row>
    <row r="2651" customFormat="false" ht="15" hidden="false" customHeight="false" outlineLevel="0" collapsed="false">
      <c r="F2651" s="15"/>
      <c r="N2651" s="16" t="str">
        <f aca="false">IF($D2651="","",M2651*Y2651/100)</f>
        <v/>
      </c>
      <c r="V2651" s="16" t="str">
        <f aca="false">IF($D2651="","",Y2651*AB2651/100)</f>
        <v/>
      </c>
      <c r="W2651" s="16" t="str">
        <f aca="false">IF($D2651="","",Y2651-V2651)</f>
        <v/>
      </c>
      <c r="X2651" s="16" t="str">
        <f aca="false">IF($D2651="","",W2651-N2651)</f>
        <v/>
      </c>
      <c r="AB2651" s="17" t="str">
        <f aca="false">IF($D2651="","",IF(OR($R2651=TRUE(),$R2651="TRUE"),Settings!$C$6,Settings!$C$7)*100)</f>
        <v/>
      </c>
      <c r="AH2651" s="18" t="str">
        <f aca="false">IF($D2651="","",IF(COUNTIF($D$2:$D2651,$D2651)=1,1,0))</f>
        <v/>
      </c>
      <c r="AI2651" s="18" t="str">
        <f aca="false">IF($AH2651=1,SUMPRODUCT(--($AK$2:$AK$4001&lt;$AK2651))+1,"")</f>
        <v/>
      </c>
      <c r="AJ2651" s="18" t="str">
        <f aca="false">IF($D2651="","",IF(OR($R2651=TRUE(),$R2651="TRUE"),1,0))</f>
        <v/>
      </c>
      <c r="AK2651" s="18" t="str">
        <f aca="false">IF($AH2651=1,IFERROR(VALUE(MID($D2651,2,20)),1000000000)+ROW()/10000000,"")</f>
        <v/>
      </c>
    </row>
    <row r="2652" customFormat="false" ht="15" hidden="false" customHeight="false" outlineLevel="0" collapsed="false">
      <c r="F2652" s="15"/>
      <c r="N2652" s="16" t="str">
        <f aca="false">IF($D2652="","",M2652*Y2652/100)</f>
        <v/>
      </c>
      <c r="V2652" s="16" t="str">
        <f aca="false">IF($D2652="","",Y2652*AB2652/100)</f>
        <v/>
      </c>
      <c r="W2652" s="16" t="str">
        <f aca="false">IF($D2652="","",Y2652-V2652)</f>
        <v/>
      </c>
      <c r="X2652" s="16" t="str">
        <f aca="false">IF($D2652="","",W2652-N2652)</f>
        <v/>
      </c>
      <c r="AB2652" s="17" t="str">
        <f aca="false">IF($D2652="","",IF(OR($R2652=TRUE(),$R2652="TRUE"),Settings!$C$6,Settings!$C$7)*100)</f>
        <v/>
      </c>
      <c r="AH2652" s="18" t="str">
        <f aca="false">IF($D2652="","",IF(COUNTIF($D$2:$D2652,$D2652)=1,1,0))</f>
        <v/>
      </c>
      <c r="AI2652" s="18" t="str">
        <f aca="false">IF($AH2652=1,SUMPRODUCT(--($AK$2:$AK$4001&lt;$AK2652))+1,"")</f>
        <v/>
      </c>
      <c r="AJ2652" s="18" t="str">
        <f aca="false">IF($D2652="","",IF(OR($R2652=TRUE(),$R2652="TRUE"),1,0))</f>
        <v/>
      </c>
      <c r="AK2652" s="18" t="str">
        <f aca="false">IF($AH2652=1,IFERROR(VALUE(MID($D2652,2,20)),1000000000)+ROW()/10000000,"")</f>
        <v/>
      </c>
    </row>
    <row r="2653" customFormat="false" ht="15" hidden="false" customHeight="false" outlineLevel="0" collapsed="false">
      <c r="F2653" s="15"/>
      <c r="N2653" s="16" t="str">
        <f aca="false">IF($D2653="","",M2653*Y2653/100)</f>
        <v/>
      </c>
      <c r="V2653" s="16" t="str">
        <f aca="false">IF($D2653="","",Y2653*AB2653/100)</f>
        <v/>
      </c>
      <c r="W2653" s="16" t="str">
        <f aca="false">IF($D2653="","",Y2653-V2653)</f>
        <v/>
      </c>
      <c r="X2653" s="16" t="str">
        <f aca="false">IF($D2653="","",W2653-N2653)</f>
        <v/>
      </c>
      <c r="AB2653" s="17" t="str">
        <f aca="false">IF($D2653="","",IF(OR($R2653=TRUE(),$R2653="TRUE"),Settings!$C$6,Settings!$C$7)*100)</f>
        <v/>
      </c>
      <c r="AH2653" s="18" t="str">
        <f aca="false">IF($D2653="","",IF(COUNTIF($D$2:$D2653,$D2653)=1,1,0))</f>
        <v/>
      </c>
      <c r="AI2653" s="18" t="str">
        <f aca="false">IF($AH2653=1,SUMPRODUCT(--($AK$2:$AK$4001&lt;$AK2653))+1,"")</f>
        <v/>
      </c>
      <c r="AJ2653" s="18" t="str">
        <f aca="false">IF($D2653="","",IF(OR($R2653=TRUE(),$R2653="TRUE"),1,0))</f>
        <v/>
      </c>
      <c r="AK2653" s="18" t="str">
        <f aca="false">IF($AH2653=1,IFERROR(VALUE(MID($D2653,2,20)),1000000000)+ROW()/10000000,"")</f>
        <v/>
      </c>
    </row>
    <row r="2654" customFormat="false" ht="15" hidden="false" customHeight="false" outlineLevel="0" collapsed="false">
      <c r="F2654" s="15"/>
      <c r="N2654" s="16" t="str">
        <f aca="false">IF($D2654="","",M2654*Y2654/100)</f>
        <v/>
      </c>
      <c r="V2654" s="16" t="str">
        <f aca="false">IF($D2654="","",Y2654*AB2654/100)</f>
        <v/>
      </c>
      <c r="W2654" s="16" t="str">
        <f aca="false">IF($D2654="","",Y2654-V2654)</f>
        <v/>
      </c>
      <c r="X2654" s="16" t="str">
        <f aca="false">IF($D2654="","",W2654-N2654)</f>
        <v/>
      </c>
      <c r="AB2654" s="17" t="str">
        <f aca="false">IF($D2654="","",IF(OR($R2654=TRUE(),$R2654="TRUE"),Settings!$C$6,Settings!$C$7)*100)</f>
        <v/>
      </c>
      <c r="AH2654" s="18" t="str">
        <f aca="false">IF($D2654="","",IF(COUNTIF($D$2:$D2654,$D2654)=1,1,0))</f>
        <v/>
      </c>
      <c r="AI2654" s="18" t="str">
        <f aca="false">IF($AH2654=1,SUMPRODUCT(--($AK$2:$AK$4001&lt;$AK2654))+1,"")</f>
        <v/>
      </c>
      <c r="AJ2654" s="18" t="str">
        <f aca="false">IF($D2654="","",IF(OR($R2654=TRUE(),$R2654="TRUE"),1,0))</f>
        <v/>
      </c>
      <c r="AK2654" s="18" t="str">
        <f aca="false">IF($AH2654=1,IFERROR(VALUE(MID($D2654,2,20)),1000000000)+ROW()/10000000,"")</f>
        <v/>
      </c>
    </row>
    <row r="2655" customFormat="false" ht="15" hidden="false" customHeight="false" outlineLevel="0" collapsed="false">
      <c r="F2655" s="15"/>
      <c r="N2655" s="16" t="str">
        <f aca="false">IF($D2655="","",M2655*Y2655/100)</f>
        <v/>
      </c>
      <c r="V2655" s="16" t="str">
        <f aca="false">IF($D2655="","",Y2655*AB2655/100)</f>
        <v/>
      </c>
      <c r="W2655" s="16" t="str">
        <f aca="false">IF($D2655="","",Y2655-V2655)</f>
        <v/>
      </c>
      <c r="X2655" s="16" t="str">
        <f aca="false">IF($D2655="","",W2655-N2655)</f>
        <v/>
      </c>
      <c r="AB2655" s="17" t="str">
        <f aca="false">IF($D2655="","",IF(OR($R2655=TRUE(),$R2655="TRUE"),Settings!$C$6,Settings!$C$7)*100)</f>
        <v/>
      </c>
      <c r="AH2655" s="18" t="str">
        <f aca="false">IF($D2655="","",IF(COUNTIF($D$2:$D2655,$D2655)=1,1,0))</f>
        <v/>
      </c>
      <c r="AI2655" s="18" t="str">
        <f aca="false">IF($AH2655=1,SUMPRODUCT(--($AK$2:$AK$4001&lt;$AK2655))+1,"")</f>
        <v/>
      </c>
      <c r="AJ2655" s="18" t="str">
        <f aca="false">IF($D2655="","",IF(OR($R2655=TRUE(),$R2655="TRUE"),1,0))</f>
        <v/>
      </c>
      <c r="AK2655" s="18" t="str">
        <f aca="false">IF($AH2655=1,IFERROR(VALUE(MID($D2655,2,20)),1000000000)+ROW()/10000000,"")</f>
        <v/>
      </c>
    </row>
    <row r="2656" customFormat="false" ht="15" hidden="false" customHeight="false" outlineLevel="0" collapsed="false">
      <c r="F2656" s="15"/>
      <c r="N2656" s="16" t="str">
        <f aca="false">IF($D2656="","",M2656*Y2656/100)</f>
        <v/>
      </c>
      <c r="V2656" s="16" t="str">
        <f aca="false">IF($D2656="","",Y2656*AB2656/100)</f>
        <v/>
      </c>
      <c r="W2656" s="16" t="str">
        <f aca="false">IF($D2656="","",Y2656-V2656)</f>
        <v/>
      </c>
      <c r="X2656" s="16" t="str">
        <f aca="false">IF($D2656="","",W2656-N2656)</f>
        <v/>
      </c>
      <c r="AB2656" s="17" t="str">
        <f aca="false">IF($D2656="","",IF(OR($R2656=TRUE(),$R2656="TRUE"),Settings!$C$6,Settings!$C$7)*100)</f>
        <v/>
      </c>
      <c r="AH2656" s="18" t="str">
        <f aca="false">IF($D2656="","",IF(COUNTIF($D$2:$D2656,$D2656)=1,1,0))</f>
        <v/>
      </c>
      <c r="AI2656" s="18" t="str">
        <f aca="false">IF($AH2656=1,SUMPRODUCT(--($AK$2:$AK$4001&lt;$AK2656))+1,"")</f>
        <v/>
      </c>
      <c r="AJ2656" s="18" t="str">
        <f aca="false">IF($D2656="","",IF(OR($R2656=TRUE(),$R2656="TRUE"),1,0))</f>
        <v/>
      </c>
      <c r="AK2656" s="18" t="str">
        <f aca="false">IF($AH2656=1,IFERROR(VALUE(MID($D2656,2,20)),1000000000)+ROW()/10000000,"")</f>
        <v/>
      </c>
    </row>
    <row r="2657" customFormat="false" ht="15" hidden="false" customHeight="false" outlineLevel="0" collapsed="false">
      <c r="F2657" s="15"/>
      <c r="N2657" s="16" t="str">
        <f aca="false">IF($D2657="","",M2657*Y2657/100)</f>
        <v/>
      </c>
      <c r="V2657" s="16" t="str">
        <f aca="false">IF($D2657="","",Y2657*AB2657/100)</f>
        <v/>
      </c>
      <c r="W2657" s="16" t="str">
        <f aca="false">IF($D2657="","",Y2657-V2657)</f>
        <v/>
      </c>
      <c r="X2657" s="16" t="str">
        <f aca="false">IF($D2657="","",W2657-N2657)</f>
        <v/>
      </c>
      <c r="AB2657" s="17" t="str">
        <f aca="false">IF($D2657="","",IF(OR($R2657=TRUE(),$R2657="TRUE"),Settings!$C$6,Settings!$C$7)*100)</f>
        <v/>
      </c>
      <c r="AH2657" s="18" t="str">
        <f aca="false">IF($D2657="","",IF(COUNTIF($D$2:$D2657,$D2657)=1,1,0))</f>
        <v/>
      </c>
      <c r="AI2657" s="18" t="str">
        <f aca="false">IF($AH2657=1,SUMPRODUCT(--($AK$2:$AK$4001&lt;$AK2657))+1,"")</f>
        <v/>
      </c>
      <c r="AJ2657" s="18" t="str">
        <f aca="false">IF($D2657="","",IF(OR($R2657=TRUE(),$R2657="TRUE"),1,0))</f>
        <v/>
      </c>
      <c r="AK2657" s="18" t="str">
        <f aca="false">IF($AH2657=1,IFERROR(VALUE(MID($D2657,2,20)),1000000000)+ROW()/10000000,"")</f>
        <v/>
      </c>
    </row>
    <row r="2658" customFormat="false" ht="15" hidden="false" customHeight="false" outlineLevel="0" collapsed="false">
      <c r="F2658" s="15"/>
      <c r="N2658" s="16" t="str">
        <f aca="false">IF($D2658="","",M2658*Y2658/100)</f>
        <v/>
      </c>
      <c r="V2658" s="16" t="str">
        <f aca="false">IF($D2658="","",Y2658*AB2658/100)</f>
        <v/>
      </c>
      <c r="W2658" s="16" t="str">
        <f aca="false">IF($D2658="","",Y2658-V2658)</f>
        <v/>
      </c>
      <c r="X2658" s="16" t="str">
        <f aca="false">IF($D2658="","",W2658-N2658)</f>
        <v/>
      </c>
      <c r="AB2658" s="17" t="str">
        <f aca="false">IF($D2658="","",IF(OR($R2658=TRUE(),$R2658="TRUE"),Settings!$C$6,Settings!$C$7)*100)</f>
        <v/>
      </c>
      <c r="AH2658" s="18" t="str">
        <f aca="false">IF($D2658="","",IF(COUNTIF($D$2:$D2658,$D2658)=1,1,0))</f>
        <v/>
      </c>
      <c r="AI2658" s="18" t="str">
        <f aca="false">IF($AH2658=1,SUMPRODUCT(--($AK$2:$AK$4001&lt;$AK2658))+1,"")</f>
        <v/>
      </c>
      <c r="AJ2658" s="18" t="str">
        <f aca="false">IF($D2658="","",IF(OR($R2658=TRUE(),$R2658="TRUE"),1,0))</f>
        <v/>
      </c>
      <c r="AK2658" s="18" t="str">
        <f aca="false">IF($AH2658=1,IFERROR(VALUE(MID($D2658,2,20)),1000000000)+ROW()/10000000,"")</f>
        <v/>
      </c>
    </row>
    <row r="2659" customFormat="false" ht="15" hidden="false" customHeight="false" outlineLevel="0" collapsed="false">
      <c r="F2659" s="15"/>
      <c r="N2659" s="16" t="str">
        <f aca="false">IF($D2659="","",M2659*Y2659/100)</f>
        <v/>
      </c>
      <c r="V2659" s="16" t="str">
        <f aca="false">IF($D2659="","",Y2659*AB2659/100)</f>
        <v/>
      </c>
      <c r="W2659" s="16" t="str">
        <f aca="false">IF($D2659="","",Y2659-V2659)</f>
        <v/>
      </c>
      <c r="X2659" s="16" t="str">
        <f aca="false">IF($D2659="","",W2659-N2659)</f>
        <v/>
      </c>
      <c r="AB2659" s="17" t="str">
        <f aca="false">IF($D2659="","",IF(OR($R2659=TRUE(),$R2659="TRUE"),Settings!$C$6,Settings!$C$7)*100)</f>
        <v/>
      </c>
      <c r="AH2659" s="18" t="str">
        <f aca="false">IF($D2659="","",IF(COUNTIF($D$2:$D2659,$D2659)=1,1,0))</f>
        <v/>
      </c>
      <c r="AI2659" s="18" t="str">
        <f aca="false">IF($AH2659=1,SUMPRODUCT(--($AK$2:$AK$4001&lt;$AK2659))+1,"")</f>
        <v/>
      </c>
      <c r="AJ2659" s="18" t="str">
        <f aca="false">IF($D2659="","",IF(OR($R2659=TRUE(),$R2659="TRUE"),1,0))</f>
        <v/>
      </c>
      <c r="AK2659" s="18" t="str">
        <f aca="false">IF($AH2659=1,IFERROR(VALUE(MID($D2659,2,20)),1000000000)+ROW()/10000000,"")</f>
        <v/>
      </c>
    </row>
    <row r="2660" customFormat="false" ht="15" hidden="false" customHeight="false" outlineLevel="0" collapsed="false">
      <c r="F2660" s="15"/>
      <c r="N2660" s="16" t="str">
        <f aca="false">IF($D2660="","",M2660*Y2660/100)</f>
        <v/>
      </c>
      <c r="V2660" s="16" t="str">
        <f aca="false">IF($D2660="","",Y2660*AB2660/100)</f>
        <v/>
      </c>
      <c r="W2660" s="16" t="str">
        <f aca="false">IF($D2660="","",Y2660-V2660)</f>
        <v/>
      </c>
      <c r="X2660" s="16" t="str">
        <f aca="false">IF($D2660="","",W2660-N2660)</f>
        <v/>
      </c>
      <c r="AB2660" s="17" t="str">
        <f aca="false">IF($D2660="","",IF(OR($R2660=TRUE(),$R2660="TRUE"),Settings!$C$6,Settings!$C$7)*100)</f>
        <v/>
      </c>
      <c r="AH2660" s="18" t="str">
        <f aca="false">IF($D2660="","",IF(COUNTIF($D$2:$D2660,$D2660)=1,1,0))</f>
        <v/>
      </c>
      <c r="AI2660" s="18" t="str">
        <f aca="false">IF($AH2660=1,SUMPRODUCT(--($AK$2:$AK$4001&lt;$AK2660))+1,"")</f>
        <v/>
      </c>
      <c r="AJ2660" s="18" t="str">
        <f aca="false">IF($D2660="","",IF(OR($R2660=TRUE(),$R2660="TRUE"),1,0))</f>
        <v/>
      </c>
      <c r="AK2660" s="18" t="str">
        <f aca="false">IF($AH2660=1,IFERROR(VALUE(MID($D2660,2,20)),1000000000)+ROW()/10000000,"")</f>
        <v/>
      </c>
    </row>
    <row r="2661" customFormat="false" ht="15" hidden="false" customHeight="false" outlineLevel="0" collapsed="false">
      <c r="F2661" s="15"/>
      <c r="N2661" s="16" t="str">
        <f aca="false">IF($D2661="","",M2661*Y2661/100)</f>
        <v/>
      </c>
      <c r="V2661" s="16" t="str">
        <f aca="false">IF($D2661="","",Y2661*AB2661/100)</f>
        <v/>
      </c>
      <c r="W2661" s="16" t="str">
        <f aca="false">IF($D2661="","",Y2661-V2661)</f>
        <v/>
      </c>
      <c r="X2661" s="16" t="str">
        <f aca="false">IF($D2661="","",W2661-N2661)</f>
        <v/>
      </c>
      <c r="AB2661" s="17" t="str">
        <f aca="false">IF($D2661="","",IF(OR($R2661=TRUE(),$R2661="TRUE"),Settings!$C$6,Settings!$C$7)*100)</f>
        <v/>
      </c>
      <c r="AH2661" s="18" t="str">
        <f aca="false">IF($D2661="","",IF(COUNTIF($D$2:$D2661,$D2661)=1,1,0))</f>
        <v/>
      </c>
      <c r="AI2661" s="18" t="str">
        <f aca="false">IF($AH2661=1,SUMPRODUCT(--($AK$2:$AK$4001&lt;$AK2661))+1,"")</f>
        <v/>
      </c>
      <c r="AJ2661" s="18" t="str">
        <f aca="false">IF($D2661="","",IF(OR($R2661=TRUE(),$R2661="TRUE"),1,0))</f>
        <v/>
      </c>
      <c r="AK2661" s="18" t="str">
        <f aca="false">IF($AH2661=1,IFERROR(VALUE(MID($D2661,2,20)),1000000000)+ROW()/10000000,"")</f>
        <v/>
      </c>
    </row>
    <row r="2662" customFormat="false" ht="15" hidden="false" customHeight="false" outlineLevel="0" collapsed="false">
      <c r="F2662" s="15"/>
      <c r="N2662" s="16" t="str">
        <f aca="false">IF($D2662="","",M2662*Y2662/100)</f>
        <v/>
      </c>
      <c r="V2662" s="16" t="str">
        <f aca="false">IF($D2662="","",Y2662*AB2662/100)</f>
        <v/>
      </c>
      <c r="W2662" s="16" t="str">
        <f aca="false">IF($D2662="","",Y2662-V2662)</f>
        <v/>
      </c>
      <c r="X2662" s="16" t="str">
        <f aca="false">IF($D2662="","",W2662-N2662)</f>
        <v/>
      </c>
      <c r="AB2662" s="17" t="str">
        <f aca="false">IF($D2662="","",IF(OR($R2662=TRUE(),$R2662="TRUE"),Settings!$C$6,Settings!$C$7)*100)</f>
        <v/>
      </c>
      <c r="AH2662" s="18" t="str">
        <f aca="false">IF($D2662="","",IF(COUNTIF($D$2:$D2662,$D2662)=1,1,0))</f>
        <v/>
      </c>
      <c r="AI2662" s="18" t="str">
        <f aca="false">IF($AH2662=1,SUMPRODUCT(--($AK$2:$AK$4001&lt;$AK2662))+1,"")</f>
        <v/>
      </c>
      <c r="AJ2662" s="18" t="str">
        <f aca="false">IF($D2662="","",IF(OR($R2662=TRUE(),$R2662="TRUE"),1,0))</f>
        <v/>
      </c>
      <c r="AK2662" s="18" t="str">
        <f aca="false">IF($AH2662=1,IFERROR(VALUE(MID($D2662,2,20)),1000000000)+ROW()/10000000,"")</f>
        <v/>
      </c>
    </row>
    <row r="2663" customFormat="false" ht="15" hidden="false" customHeight="false" outlineLevel="0" collapsed="false">
      <c r="F2663" s="15"/>
      <c r="N2663" s="16" t="str">
        <f aca="false">IF($D2663="","",M2663*Y2663/100)</f>
        <v/>
      </c>
      <c r="V2663" s="16" t="str">
        <f aca="false">IF($D2663="","",Y2663*AB2663/100)</f>
        <v/>
      </c>
      <c r="W2663" s="16" t="str">
        <f aca="false">IF($D2663="","",Y2663-V2663)</f>
        <v/>
      </c>
      <c r="X2663" s="16" t="str">
        <f aca="false">IF($D2663="","",W2663-N2663)</f>
        <v/>
      </c>
      <c r="AB2663" s="17" t="str">
        <f aca="false">IF($D2663="","",IF(OR($R2663=TRUE(),$R2663="TRUE"),Settings!$C$6,Settings!$C$7)*100)</f>
        <v/>
      </c>
      <c r="AH2663" s="18" t="str">
        <f aca="false">IF($D2663="","",IF(COUNTIF($D$2:$D2663,$D2663)=1,1,0))</f>
        <v/>
      </c>
      <c r="AI2663" s="18" t="str">
        <f aca="false">IF($AH2663=1,SUMPRODUCT(--($AK$2:$AK$4001&lt;$AK2663))+1,"")</f>
        <v/>
      </c>
      <c r="AJ2663" s="18" t="str">
        <f aca="false">IF($D2663="","",IF(OR($R2663=TRUE(),$R2663="TRUE"),1,0))</f>
        <v/>
      </c>
      <c r="AK2663" s="18" t="str">
        <f aca="false">IF($AH2663=1,IFERROR(VALUE(MID($D2663,2,20)),1000000000)+ROW()/10000000,"")</f>
        <v/>
      </c>
    </row>
    <row r="2664" customFormat="false" ht="15" hidden="false" customHeight="false" outlineLevel="0" collapsed="false">
      <c r="F2664" s="15"/>
      <c r="N2664" s="16" t="str">
        <f aca="false">IF($D2664="","",M2664*Y2664/100)</f>
        <v/>
      </c>
      <c r="V2664" s="16" t="str">
        <f aca="false">IF($D2664="","",Y2664*AB2664/100)</f>
        <v/>
      </c>
      <c r="W2664" s="16" t="str">
        <f aca="false">IF($D2664="","",Y2664-V2664)</f>
        <v/>
      </c>
      <c r="X2664" s="16" t="str">
        <f aca="false">IF($D2664="","",W2664-N2664)</f>
        <v/>
      </c>
      <c r="AB2664" s="17" t="str">
        <f aca="false">IF($D2664="","",IF(OR($R2664=TRUE(),$R2664="TRUE"),Settings!$C$6,Settings!$C$7)*100)</f>
        <v/>
      </c>
      <c r="AH2664" s="18" t="str">
        <f aca="false">IF($D2664="","",IF(COUNTIF($D$2:$D2664,$D2664)=1,1,0))</f>
        <v/>
      </c>
      <c r="AI2664" s="18" t="str">
        <f aca="false">IF($AH2664=1,SUMPRODUCT(--($AK$2:$AK$4001&lt;$AK2664))+1,"")</f>
        <v/>
      </c>
      <c r="AJ2664" s="18" t="str">
        <f aca="false">IF($D2664="","",IF(OR($R2664=TRUE(),$R2664="TRUE"),1,0))</f>
        <v/>
      </c>
      <c r="AK2664" s="18" t="str">
        <f aca="false">IF($AH2664=1,IFERROR(VALUE(MID($D2664,2,20)),1000000000)+ROW()/10000000,"")</f>
        <v/>
      </c>
    </row>
    <row r="2665" customFormat="false" ht="15" hidden="false" customHeight="false" outlineLevel="0" collapsed="false">
      <c r="F2665" s="15"/>
      <c r="N2665" s="16" t="str">
        <f aca="false">IF($D2665="","",M2665*Y2665/100)</f>
        <v/>
      </c>
      <c r="V2665" s="16" t="str">
        <f aca="false">IF($D2665="","",Y2665*AB2665/100)</f>
        <v/>
      </c>
      <c r="W2665" s="16" t="str">
        <f aca="false">IF($D2665="","",Y2665-V2665)</f>
        <v/>
      </c>
      <c r="X2665" s="16" t="str">
        <f aca="false">IF($D2665="","",W2665-N2665)</f>
        <v/>
      </c>
      <c r="AB2665" s="17" t="str">
        <f aca="false">IF($D2665="","",IF(OR($R2665=TRUE(),$R2665="TRUE"),Settings!$C$6,Settings!$C$7)*100)</f>
        <v/>
      </c>
      <c r="AH2665" s="18" t="str">
        <f aca="false">IF($D2665="","",IF(COUNTIF($D$2:$D2665,$D2665)=1,1,0))</f>
        <v/>
      </c>
      <c r="AI2665" s="18" t="str">
        <f aca="false">IF($AH2665=1,SUMPRODUCT(--($AK$2:$AK$4001&lt;$AK2665))+1,"")</f>
        <v/>
      </c>
      <c r="AJ2665" s="18" t="str">
        <f aca="false">IF($D2665="","",IF(OR($R2665=TRUE(),$R2665="TRUE"),1,0))</f>
        <v/>
      </c>
      <c r="AK2665" s="18" t="str">
        <f aca="false">IF($AH2665=1,IFERROR(VALUE(MID($D2665,2,20)),1000000000)+ROW()/10000000,"")</f>
        <v/>
      </c>
    </row>
    <row r="2666" customFormat="false" ht="15" hidden="false" customHeight="false" outlineLevel="0" collapsed="false">
      <c r="F2666" s="15"/>
      <c r="N2666" s="16" t="str">
        <f aca="false">IF($D2666="","",M2666*Y2666/100)</f>
        <v/>
      </c>
      <c r="V2666" s="16" t="str">
        <f aca="false">IF($D2666="","",Y2666*AB2666/100)</f>
        <v/>
      </c>
      <c r="W2666" s="16" t="str">
        <f aca="false">IF($D2666="","",Y2666-V2666)</f>
        <v/>
      </c>
      <c r="X2666" s="16" t="str">
        <f aca="false">IF($D2666="","",W2666-N2666)</f>
        <v/>
      </c>
      <c r="AB2666" s="17" t="str">
        <f aca="false">IF($D2666="","",IF(OR($R2666=TRUE(),$R2666="TRUE"),Settings!$C$6,Settings!$C$7)*100)</f>
        <v/>
      </c>
      <c r="AH2666" s="18" t="str">
        <f aca="false">IF($D2666="","",IF(COUNTIF($D$2:$D2666,$D2666)=1,1,0))</f>
        <v/>
      </c>
      <c r="AI2666" s="18" t="str">
        <f aca="false">IF($AH2666=1,SUMPRODUCT(--($AK$2:$AK$4001&lt;$AK2666))+1,"")</f>
        <v/>
      </c>
      <c r="AJ2666" s="18" t="str">
        <f aca="false">IF($D2666="","",IF(OR($R2666=TRUE(),$R2666="TRUE"),1,0))</f>
        <v/>
      </c>
      <c r="AK2666" s="18" t="str">
        <f aca="false">IF($AH2666=1,IFERROR(VALUE(MID($D2666,2,20)),1000000000)+ROW()/10000000,"")</f>
        <v/>
      </c>
    </row>
    <row r="2667" customFormat="false" ht="15" hidden="false" customHeight="false" outlineLevel="0" collapsed="false">
      <c r="F2667" s="15"/>
      <c r="N2667" s="16" t="str">
        <f aca="false">IF($D2667="","",M2667*Y2667/100)</f>
        <v/>
      </c>
      <c r="V2667" s="16" t="str">
        <f aca="false">IF($D2667="","",Y2667*AB2667/100)</f>
        <v/>
      </c>
      <c r="W2667" s="16" t="str">
        <f aca="false">IF($D2667="","",Y2667-V2667)</f>
        <v/>
      </c>
      <c r="X2667" s="16" t="str">
        <f aca="false">IF($D2667="","",W2667-N2667)</f>
        <v/>
      </c>
      <c r="AB2667" s="17" t="str">
        <f aca="false">IF($D2667="","",IF(OR($R2667=TRUE(),$R2667="TRUE"),Settings!$C$6,Settings!$C$7)*100)</f>
        <v/>
      </c>
      <c r="AH2667" s="18" t="str">
        <f aca="false">IF($D2667="","",IF(COUNTIF($D$2:$D2667,$D2667)=1,1,0))</f>
        <v/>
      </c>
      <c r="AI2667" s="18" t="str">
        <f aca="false">IF($AH2667=1,SUMPRODUCT(--($AK$2:$AK$4001&lt;$AK2667))+1,"")</f>
        <v/>
      </c>
      <c r="AJ2667" s="18" t="str">
        <f aca="false">IF($D2667="","",IF(OR($R2667=TRUE(),$R2667="TRUE"),1,0))</f>
        <v/>
      </c>
      <c r="AK2667" s="18" t="str">
        <f aca="false">IF($AH2667=1,IFERROR(VALUE(MID($D2667,2,20)),1000000000)+ROW()/10000000,"")</f>
        <v/>
      </c>
    </row>
    <row r="2668" customFormat="false" ht="15" hidden="false" customHeight="false" outlineLevel="0" collapsed="false">
      <c r="F2668" s="15"/>
      <c r="N2668" s="16" t="str">
        <f aca="false">IF($D2668="","",M2668*Y2668/100)</f>
        <v/>
      </c>
      <c r="V2668" s="16" t="str">
        <f aca="false">IF($D2668="","",Y2668*AB2668/100)</f>
        <v/>
      </c>
      <c r="W2668" s="16" t="str">
        <f aca="false">IF($D2668="","",Y2668-V2668)</f>
        <v/>
      </c>
      <c r="X2668" s="16" t="str">
        <f aca="false">IF($D2668="","",W2668-N2668)</f>
        <v/>
      </c>
      <c r="AB2668" s="17" t="str">
        <f aca="false">IF($D2668="","",IF(OR($R2668=TRUE(),$R2668="TRUE"),Settings!$C$6,Settings!$C$7)*100)</f>
        <v/>
      </c>
      <c r="AH2668" s="18" t="str">
        <f aca="false">IF($D2668="","",IF(COUNTIF($D$2:$D2668,$D2668)=1,1,0))</f>
        <v/>
      </c>
      <c r="AI2668" s="18" t="str">
        <f aca="false">IF($AH2668=1,SUMPRODUCT(--($AK$2:$AK$4001&lt;$AK2668))+1,"")</f>
        <v/>
      </c>
      <c r="AJ2668" s="18" t="str">
        <f aca="false">IF($D2668="","",IF(OR($R2668=TRUE(),$R2668="TRUE"),1,0))</f>
        <v/>
      </c>
      <c r="AK2668" s="18" t="str">
        <f aca="false">IF($AH2668=1,IFERROR(VALUE(MID($D2668,2,20)),1000000000)+ROW()/10000000,"")</f>
        <v/>
      </c>
    </row>
    <row r="2669" customFormat="false" ht="15" hidden="false" customHeight="false" outlineLevel="0" collapsed="false">
      <c r="F2669" s="15"/>
      <c r="N2669" s="16" t="str">
        <f aca="false">IF($D2669="","",M2669*Y2669/100)</f>
        <v/>
      </c>
      <c r="V2669" s="16" t="str">
        <f aca="false">IF($D2669="","",Y2669*AB2669/100)</f>
        <v/>
      </c>
      <c r="W2669" s="16" t="str">
        <f aca="false">IF($D2669="","",Y2669-V2669)</f>
        <v/>
      </c>
      <c r="X2669" s="16" t="str">
        <f aca="false">IF($D2669="","",W2669-N2669)</f>
        <v/>
      </c>
      <c r="AB2669" s="17" t="str">
        <f aca="false">IF($D2669="","",IF(OR($R2669=TRUE(),$R2669="TRUE"),Settings!$C$6,Settings!$C$7)*100)</f>
        <v/>
      </c>
      <c r="AH2669" s="18" t="str">
        <f aca="false">IF($D2669="","",IF(COUNTIF($D$2:$D2669,$D2669)=1,1,0))</f>
        <v/>
      </c>
      <c r="AI2669" s="18" t="str">
        <f aca="false">IF($AH2669=1,SUMPRODUCT(--($AK$2:$AK$4001&lt;$AK2669))+1,"")</f>
        <v/>
      </c>
      <c r="AJ2669" s="18" t="str">
        <f aca="false">IF($D2669="","",IF(OR($R2669=TRUE(),$R2669="TRUE"),1,0))</f>
        <v/>
      </c>
      <c r="AK2669" s="18" t="str">
        <f aca="false">IF($AH2669=1,IFERROR(VALUE(MID($D2669,2,20)),1000000000)+ROW()/10000000,"")</f>
        <v/>
      </c>
    </row>
    <row r="2670" customFormat="false" ht="15" hidden="false" customHeight="false" outlineLevel="0" collapsed="false">
      <c r="F2670" s="15"/>
      <c r="N2670" s="16" t="str">
        <f aca="false">IF($D2670="","",M2670*Y2670/100)</f>
        <v/>
      </c>
      <c r="V2670" s="16" t="str">
        <f aca="false">IF($D2670="","",Y2670*AB2670/100)</f>
        <v/>
      </c>
      <c r="W2670" s="16" t="str">
        <f aca="false">IF($D2670="","",Y2670-V2670)</f>
        <v/>
      </c>
      <c r="X2670" s="16" t="str">
        <f aca="false">IF($D2670="","",W2670-N2670)</f>
        <v/>
      </c>
      <c r="AB2670" s="17" t="str">
        <f aca="false">IF($D2670="","",IF(OR($R2670=TRUE(),$R2670="TRUE"),Settings!$C$6,Settings!$C$7)*100)</f>
        <v/>
      </c>
      <c r="AH2670" s="18" t="str">
        <f aca="false">IF($D2670="","",IF(COUNTIF($D$2:$D2670,$D2670)=1,1,0))</f>
        <v/>
      </c>
      <c r="AI2670" s="18" t="str">
        <f aca="false">IF($AH2670=1,SUMPRODUCT(--($AK$2:$AK$4001&lt;$AK2670))+1,"")</f>
        <v/>
      </c>
      <c r="AJ2670" s="18" t="str">
        <f aca="false">IF($D2670="","",IF(OR($R2670=TRUE(),$R2670="TRUE"),1,0))</f>
        <v/>
      </c>
      <c r="AK2670" s="18" t="str">
        <f aca="false">IF($AH2670=1,IFERROR(VALUE(MID($D2670,2,20)),1000000000)+ROW()/10000000,"")</f>
        <v/>
      </c>
    </row>
    <row r="2671" customFormat="false" ht="15" hidden="false" customHeight="false" outlineLevel="0" collapsed="false">
      <c r="F2671" s="15"/>
      <c r="N2671" s="16" t="str">
        <f aca="false">IF($D2671="","",M2671*Y2671/100)</f>
        <v/>
      </c>
      <c r="V2671" s="16" t="str">
        <f aca="false">IF($D2671="","",Y2671*AB2671/100)</f>
        <v/>
      </c>
      <c r="W2671" s="16" t="str">
        <f aca="false">IF($D2671="","",Y2671-V2671)</f>
        <v/>
      </c>
      <c r="X2671" s="16" t="str">
        <f aca="false">IF($D2671="","",W2671-N2671)</f>
        <v/>
      </c>
      <c r="AB2671" s="17" t="str">
        <f aca="false">IF($D2671="","",IF(OR($R2671=TRUE(),$R2671="TRUE"),Settings!$C$6,Settings!$C$7)*100)</f>
        <v/>
      </c>
      <c r="AH2671" s="18" t="str">
        <f aca="false">IF($D2671="","",IF(COUNTIF($D$2:$D2671,$D2671)=1,1,0))</f>
        <v/>
      </c>
      <c r="AI2671" s="18" t="str">
        <f aca="false">IF($AH2671=1,SUMPRODUCT(--($AK$2:$AK$4001&lt;$AK2671))+1,"")</f>
        <v/>
      </c>
      <c r="AJ2671" s="18" t="str">
        <f aca="false">IF($D2671="","",IF(OR($R2671=TRUE(),$R2671="TRUE"),1,0))</f>
        <v/>
      </c>
      <c r="AK2671" s="18" t="str">
        <f aca="false">IF($AH2671=1,IFERROR(VALUE(MID($D2671,2,20)),1000000000)+ROW()/10000000,"")</f>
        <v/>
      </c>
    </row>
    <row r="2672" customFormat="false" ht="15" hidden="false" customHeight="false" outlineLevel="0" collapsed="false">
      <c r="F2672" s="15"/>
      <c r="N2672" s="16" t="str">
        <f aca="false">IF($D2672="","",M2672*Y2672/100)</f>
        <v/>
      </c>
      <c r="V2672" s="16" t="str">
        <f aca="false">IF($D2672="","",Y2672*AB2672/100)</f>
        <v/>
      </c>
      <c r="W2672" s="16" t="str">
        <f aca="false">IF($D2672="","",Y2672-V2672)</f>
        <v/>
      </c>
      <c r="X2672" s="16" t="str">
        <f aca="false">IF($D2672="","",W2672-N2672)</f>
        <v/>
      </c>
      <c r="AB2672" s="17" t="str">
        <f aca="false">IF($D2672="","",IF(OR($R2672=TRUE(),$R2672="TRUE"),Settings!$C$6,Settings!$C$7)*100)</f>
        <v/>
      </c>
      <c r="AH2672" s="18" t="str">
        <f aca="false">IF($D2672="","",IF(COUNTIF($D$2:$D2672,$D2672)=1,1,0))</f>
        <v/>
      </c>
      <c r="AI2672" s="18" t="str">
        <f aca="false">IF($AH2672=1,SUMPRODUCT(--($AK$2:$AK$4001&lt;$AK2672))+1,"")</f>
        <v/>
      </c>
      <c r="AJ2672" s="18" t="str">
        <f aca="false">IF($D2672="","",IF(OR($R2672=TRUE(),$R2672="TRUE"),1,0))</f>
        <v/>
      </c>
      <c r="AK2672" s="18" t="str">
        <f aca="false">IF($AH2672=1,IFERROR(VALUE(MID($D2672,2,20)),1000000000)+ROW()/10000000,"")</f>
        <v/>
      </c>
    </row>
    <row r="2673" customFormat="false" ht="15" hidden="false" customHeight="false" outlineLevel="0" collapsed="false">
      <c r="F2673" s="15"/>
      <c r="N2673" s="16" t="str">
        <f aca="false">IF($D2673="","",M2673*Y2673/100)</f>
        <v/>
      </c>
      <c r="V2673" s="16" t="str">
        <f aca="false">IF($D2673="","",Y2673*AB2673/100)</f>
        <v/>
      </c>
      <c r="W2673" s="16" t="str">
        <f aca="false">IF($D2673="","",Y2673-V2673)</f>
        <v/>
      </c>
      <c r="X2673" s="16" t="str">
        <f aca="false">IF($D2673="","",W2673-N2673)</f>
        <v/>
      </c>
      <c r="AB2673" s="17" t="str">
        <f aca="false">IF($D2673="","",IF(OR($R2673=TRUE(),$R2673="TRUE"),Settings!$C$6,Settings!$C$7)*100)</f>
        <v/>
      </c>
      <c r="AH2673" s="18" t="str">
        <f aca="false">IF($D2673="","",IF(COUNTIF($D$2:$D2673,$D2673)=1,1,0))</f>
        <v/>
      </c>
      <c r="AI2673" s="18" t="str">
        <f aca="false">IF($AH2673=1,SUMPRODUCT(--($AK$2:$AK$4001&lt;$AK2673))+1,"")</f>
        <v/>
      </c>
      <c r="AJ2673" s="18" t="str">
        <f aca="false">IF($D2673="","",IF(OR($R2673=TRUE(),$R2673="TRUE"),1,0))</f>
        <v/>
      </c>
      <c r="AK2673" s="18" t="str">
        <f aca="false">IF($AH2673=1,IFERROR(VALUE(MID($D2673,2,20)),1000000000)+ROW()/10000000,"")</f>
        <v/>
      </c>
    </row>
    <row r="2674" customFormat="false" ht="15" hidden="false" customHeight="false" outlineLevel="0" collapsed="false">
      <c r="F2674" s="15"/>
      <c r="N2674" s="16" t="str">
        <f aca="false">IF($D2674="","",M2674*Y2674/100)</f>
        <v/>
      </c>
      <c r="V2674" s="16" t="str">
        <f aca="false">IF($D2674="","",Y2674*AB2674/100)</f>
        <v/>
      </c>
      <c r="W2674" s="16" t="str">
        <f aca="false">IF($D2674="","",Y2674-V2674)</f>
        <v/>
      </c>
      <c r="X2674" s="16" t="str">
        <f aca="false">IF($D2674="","",W2674-N2674)</f>
        <v/>
      </c>
      <c r="AB2674" s="17" t="str">
        <f aca="false">IF($D2674="","",IF(OR($R2674=TRUE(),$R2674="TRUE"),Settings!$C$6,Settings!$C$7)*100)</f>
        <v/>
      </c>
      <c r="AH2674" s="18" t="str">
        <f aca="false">IF($D2674="","",IF(COUNTIF($D$2:$D2674,$D2674)=1,1,0))</f>
        <v/>
      </c>
      <c r="AI2674" s="18" t="str">
        <f aca="false">IF($AH2674=1,SUMPRODUCT(--($AK$2:$AK$4001&lt;$AK2674))+1,"")</f>
        <v/>
      </c>
      <c r="AJ2674" s="18" t="str">
        <f aca="false">IF($D2674="","",IF(OR($R2674=TRUE(),$R2674="TRUE"),1,0))</f>
        <v/>
      </c>
      <c r="AK2674" s="18" t="str">
        <f aca="false">IF($AH2674=1,IFERROR(VALUE(MID($D2674,2,20)),1000000000)+ROW()/10000000,"")</f>
        <v/>
      </c>
    </row>
    <row r="2675" customFormat="false" ht="15" hidden="false" customHeight="false" outlineLevel="0" collapsed="false">
      <c r="F2675" s="15"/>
      <c r="N2675" s="16" t="str">
        <f aca="false">IF($D2675="","",M2675*Y2675/100)</f>
        <v/>
      </c>
      <c r="V2675" s="16" t="str">
        <f aca="false">IF($D2675="","",Y2675*AB2675/100)</f>
        <v/>
      </c>
      <c r="W2675" s="16" t="str">
        <f aca="false">IF($D2675="","",Y2675-V2675)</f>
        <v/>
      </c>
      <c r="X2675" s="16" t="str">
        <f aca="false">IF($D2675="","",W2675-N2675)</f>
        <v/>
      </c>
      <c r="AB2675" s="17" t="str">
        <f aca="false">IF($D2675="","",IF(OR($R2675=TRUE(),$R2675="TRUE"),Settings!$C$6,Settings!$C$7)*100)</f>
        <v/>
      </c>
      <c r="AH2675" s="18" t="str">
        <f aca="false">IF($D2675="","",IF(COUNTIF($D$2:$D2675,$D2675)=1,1,0))</f>
        <v/>
      </c>
      <c r="AI2675" s="18" t="str">
        <f aca="false">IF($AH2675=1,SUMPRODUCT(--($AK$2:$AK$4001&lt;$AK2675))+1,"")</f>
        <v/>
      </c>
      <c r="AJ2675" s="18" t="str">
        <f aca="false">IF($D2675="","",IF(OR($R2675=TRUE(),$R2675="TRUE"),1,0))</f>
        <v/>
      </c>
      <c r="AK2675" s="18" t="str">
        <f aca="false">IF($AH2675=1,IFERROR(VALUE(MID($D2675,2,20)),1000000000)+ROW()/10000000,"")</f>
        <v/>
      </c>
    </row>
    <row r="2676" customFormat="false" ht="15" hidden="false" customHeight="false" outlineLevel="0" collapsed="false">
      <c r="F2676" s="15"/>
      <c r="N2676" s="16" t="str">
        <f aca="false">IF($D2676="","",M2676*Y2676/100)</f>
        <v/>
      </c>
      <c r="V2676" s="16" t="str">
        <f aca="false">IF($D2676="","",Y2676*AB2676/100)</f>
        <v/>
      </c>
      <c r="W2676" s="16" t="str">
        <f aca="false">IF($D2676="","",Y2676-V2676)</f>
        <v/>
      </c>
      <c r="X2676" s="16" t="str">
        <f aca="false">IF($D2676="","",W2676-N2676)</f>
        <v/>
      </c>
      <c r="AB2676" s="17" t="str">
        <f aca="false">IF($D2676="","",IF(OR($R2676=TRUE(),$R2676="TRUE"),Settings!$C$6,Settings!$C$7)*100)</f>
        <v/>
      </c>
      <c r="AH2676" s="18" t="str">
        <f aca="false">IF($D2676="","",IF(COUNTIF($D$2:$D2676,$D2676)=1,1,0))</f>
        <v/>
      </c>
      <c r="AI2676" s="18" t="str">
        <f aca="false">IF($AH2676=1,SUMPRODUCT(--($AK$2:$AK$4001&lt;$AK2676))+1,"")</f>
        <v/>
      </c>
      <c r="AJ2676" s="18" t="str">
        <f aca="false">IF($D2676="","",IF(OR($R2676=TRUE(),$R2676="TRUE"),1,0))</f>
        <v/>
      </c>
      <c r="AK2676" s="18" t="str">
        <f aca="false">IF($AH2676=1,IFERROR(VALUE(MID($D2676,2,20)),1000000000)+ROW()/10000000,"")</f>
        <v/>
      </c>
    </row>
    <row r="2677" customFormat="false" ht="15" hidden="false" customHeight="false" outlineLevel="0" collapsed="false">
      <c r="F2677" s="15"/>
      <c r="N2677" s="16" t="str">
        <f aca="false">IF($D2677="","",M2677*Y2677/100)</f>
        <v/>
      </c>
      <c r="V2677" s="16" t="str">
        <f aca="false">IF($D2677="","",Y2677*AB2677/100)</f>
        <v/>
      </c>
      <c r="W2677" s="16" t="str">
        <f aca="false">IF($D2677="","",Y2677-V2677)</f>
        <v/>
      </c>
      <c r="X2677" s="16" t="str">
        <f aca="false">IF($D2677="","",W2677-N2677)</f>
        <v/>
      </c>
      <c r="AB2677" s="17" t="str">
        <f aca="false">IF($D2677="","",IF(OR($R2677=TRUE(),$R2677="TRUE"),Settings!$C$6,Settings!$C$7)*100)</f>
        <v/>
      </c>
      <c r="AH2677" s="18" t="str">
        <f aca="false">IF($D2677="","",IF(COUNTIF($D$2:$D2677,$D2677)=1,1,0))</f>
        <v/>
      </c>
      <c r="AI2677" s="18" t="str">
        <f aca="false">IF($AH2677=1,SUMPRODUCT(--($AK$2:$AK$4001&lt;$AK2677))+1,"")</f>
        <v/>
      </c>
      <c r="AJ2677" s="18" t="str">
        <f aca="false">IF($D2677="","",IF(OR($R2677=TRUE(),$R2677="TRUE"),1,0))</f>
        <v/>
      </c>
      <c r="AK2677" s="18" t="str">
        <f aca="false">IF($AH2677=1,IFERROR(VALUE(MID($D2677,2,20)),1000000000)+ROW()/10000000,"")</f>
        <v/>
      </c>
    </row>
    <row r="2678" customFormat="false" ht="15" hidden="false" customHeight="false" outlineLevel="0" collapsed="false">
      <c r="F2678" s="15"/>
      <c r="N2678" s="16" t="str">
        <f aca="false">IF($D2678="","",M2678*Y2678/100)</f>
        <v/>
      </c>
      <c r="V2678" s="16" t="str">
        <f aca="false">IF($D2678="","",Y2678*AB2678/100)</f>
        <v/>
      </c>
      <c r="W2678" s="16" t="str">
        <f aca="false">IF($D2678="","",Y2678-V2678)</f>
        <v/>
      </c>
      <c r="X2678" s="16" t="str">
        <f aca="false">IF($D2678="","",W2678-N2678)</f>
        <v/>
      </c>
      <c r="AB2678" s="17" t="str">
        <f aca="false">IF($D2678="","",IF(OR($R2678=TRUE(),$R2678="TRUE"),Settings!$C$6,Settings!$C$7)*100)</f>
        <v/>
      </c>
      <c r="AH2678" s="18" t="str">
        <f aca="false">IF($D2678="","",IF(COUNTIF($D$2:$D2678,$D2678)=1,1,0))</f>
        <v/>
      </c>
      <c r="AI2678" s="18" t="str">
        <f aca="false">IF($AH2678=1,SUMPRODUCT(--($AK$2:$AK$4001&lt;$AK2678))+1,"")</f>
        <v/>
      </c>
      <c r="AJ2678" s="18" t="str">
        <f aca="false">IF($D2678="","",IF(OR($R2678=TRUE(),$R2678="TRUE"),1,0))</f>
        <v/>
      </c>
      <c r="AK2678" s="18" t="str">
        <f aca="false">IF($AH2678=1,IFERROR(VALUE(MID($D2678,2,20)),1000000000)+ROW()/10000000,"")</f>
        <v/>
      </c>
    </row>
    <row r="2679" customFormat="false" ht="15" hidden="false" customHeight="false" outlineLevel="0" collapsed="false">
      <c r="F2679" s="15"/>
      <c r="N2679" s="16" t="str">
        <f aca="false">IF($D2679="","",M2679*Y2679/100)</f>
        <v/>
      </c>
      <c r="V2679" s="16" t="str">
        <f aca="false">IF($D2679="","",Y2679*AB2679/100)</f>
        <v/>
      </c>
      <c r="W2679" s="16" t="str">
        <f aca="false">IF($D2679="","",Y2679-V2679)</f>
        <v/>
      </c>
      <c r="X2679" s="16" t="str">
        <f aca="false">IF($D2679="","",W2679-N2679)</f>
        <v/>
      </c>
      <c r="AB2679" s="17" t="str">
        <f aca="false">IF($D2679="","",IF(OR($R2679=TRUE(),$R2679="TRUE"),Settings!$C$6,Settings!$C$7)*100)</f>
        <v/>
      </c>
      <c r="AH2679" s="18" t="str">
        <f aca="false">IF($D2679="","",IF(COUNTIF($D$2:$D2679,$D2679)=1,1,0))</f>
        <v/>
      </c>
      <c r="AI2679" s="18" t="str">
        <f aca="false">IF($AH2679=1,SUMPRODUCT(--($AK$2:$AK$4001&lt;$AK2679))+1,"")</f>
        <v/>
      </c>
      <c r="AJ2679" s="18" t="str">
        <f aca="false">IF($D2679="","",IF(OR($R2679=TRUE(),$R2679="TRUE"),1,0))</f>
        <v/>
      </c>
      <c r="AK2679" s="18" t="str">
        <f aca="false">IF($AH2679=1,IFERROR(VALUE(MID($D2679,2,20)),1000000000)+ROW()/10000000,"")</f>
        <v/>
      </c>
    </row>
    <row r="2680" customFormat="false" ht="15" hidden="false" customHeight="false" outlineLevel="0" collapsed="false">
      <c r="F2680" s="15"/>
      <c r="N2680" s="16" t="str">
        <f aca="false">IF($D2680="","",M2680*Y2680/100)</f>
        <v/>
      </c>
      <c r="V2680" s="16" t="str">
        <f aca="false">IF($D2680="","",Y2680*AB2680/100)</f>
        <v/>
      </c>
      <c r="W2680" s="16" t="str">
        <f aca="false">IF($D2680="","",Y2680-V2680)</f>
        <v/>
      </c>
      <c r="X2680" s="16" t="str">
        <f aca="false">IF($D2680="","",W2680-N2680)</f>
        <v/>
      </c>
      <c r="AB2680" s="17" t="str">
        <f aca="false">IF($D2680="","",IF(OR($R2680=TRUE(),$R2680="TRUE"),Settings!$C$6,Settings!$C$7)*100)</f>
        <v/>
      </c>
      <c r="AH2680" s="18" t="str">
        <f aca="false">IF($D2680="","",IF(COUNTIF($D$2:$D2680,$D2680)=1,1,0))</f>
        <v/>
      </c>
      <c r="AI2680" s="18" t="str">
        <f aca="false">IF($AH2680=1,SUMPRODUCT(--($AK$2:$AK$4001&lt;$AK2680))+1,"")</f>
        <v/>
      </c>
      <c r="AJ2680" s="18" t="str">
        <f aca="false">IF($D2680="","",IF(OR($R2680=TRUE(),$R2680="TRUE"),1,0))</f>
        <v/>
      </c>
      <c r="AK2680" s="18" t="str">
        <f aca="false">IF($AH2680=1,IFERROR(VALUE(MID($D2680,2,20)),1000000000)+ROW()/10000000,"")</f>
        <v/>
      </c>
    </row>
    <row r="2681" customFormat="false" ht="15" hidden="false" customHeight="false" outlineLevel="0" collapsed="false">
      <c r="F2681" s="15"/>
      <c r="N2681" s="16" t="str">
        <f aca="false">IF($D2681="","",M2681*Y2681/100)</f>
        <v/>
      </c>
      <c r="V2681" s="16" t="str">
        <f aca="false">IF($D2681="","",Y2681*AB2681/100)</f>
        <v/>
      </c>
      <c r="W2681" s="16" t="str">
        <f aca="false">IF($D2681="","",Y2681-V2681)</f>
        <v/>
      </c>
      <c r="X2681" s="16" t="str">
        <f aca="false">IF($D2681="","",W2681-N2681)</f>
        <v/>
      </c>
      <c r="AB2681" s="17" t="str">
        <f aca="false">IF($D2681="","",IF(OR($R2681=TRUE(),$R2681="TRUE"),Settings!$C$6,Settings!$C$7)*100)</f>
        <v/>
      </c>
      <c r="AH2681" s="18" t="str">
        <f aca="false">IF($D2681="","",IF(COUNTIF($D$2:$D2681,$D2681)=1,1,0))</f>
        <v/>
      </c>
      <c r="AI2681" s="18" t="str">
        <f aca="false">IF($AH2681=1,SUMPRODUCT(--($AK$2:$AK$4001&lt;$AK2681))+1,"")</f>
        <v/>
      </c>
      <c r="AJ2681" s="18" t="str">
        <f aca="false">IF($D2681="","",IF(OR($R2681=TRUE(),$R2681="TRUE"),1,0))</f>
        <v/>
      </c>
      <c r="AK2681" s="18" t="str">
        <f aca="false">IF($AH2681=1,IFERROR(VALUE(MID($D2681,2,20)),1000000000)+ROW()/10000000,"")</f>
        <v/>
      </c>
    </row>
    <row r="2682" customFormat="false" ht="15" hidden="false" customHeight="false" outlineLevel="0" collapsed="false">
      <c r="F2682" s="15"/>
      <c r="N2682" s="16" t="str">
        <f aca="false">IF($D2682="","",M2682*Y2682/100)</f>
        <v/>
      </c>
      <c r="V2682" s="16" t="str">
        <f aca="false">IF($D2682="","",Y2682*AB2682/100)</f>
        <v/>
      </c>
      <c r="W2682" s="16" t="str">
        <f aca="false">IF($D2682="","",Y2682-V2682)</f>
        <v/>
      </c>
      <c r="X2682" s="16" t="str">
        <f aca="false">IF($D2682="","",W2682-N2682)</f>
        <v/>
      </c>
      <c r="AB2682" s="17" t="str">
        <f aca="false">IF($D2682="","",IF(OR($R2682=TRUE(),$R2682="TRUE"),Settings!$C$6,Settings!$C$7)*100)</f>
        <v/>
      </c>
      <c r="AH2682" s="18" t="str">
        <f aca="false">IF($D2682="","",IF(COUNTIF($D$2:$D2682,$D2682)=1,1,0))</f>
        <v/>
      </c>
      <c r="AI2682" s="18" t="str">
        <f aca="false">IF($AH2682=1,SUMPRODUCT(--($AK$2:$AK$4001&lt;$AK2682))+1,"")</f>
        <v/>
      </c>
      <c r="AJ2682" s="18" t="str">
        <f aca="false">IF($D2682="","",IF(OR($R2682=TRUE(),$R2682="TRUE"),1,0))</f>
        <v/>
      </c>
      <c r="AK2682" s="18" t="str">
        <f aca="false">IF($AH2682=1,IFERROR(VALUE(MID($D2682,2,20)),1000000000)+ROW()/10000000,"")</f>
        <v/>
      </c>
    </row>
    <row r="2683" customFormat="false" ht="15" hidden="false" customHeight="false" outlineLevel="0" collapsed="false">
      <c r="F2683" s="15"/>
      <c r="N2683" s="16" t="str">
        <f aca="false">IF($D2683="","",M2683*Y2683/100)</f>
        <v/>
      </c>
      <c r="V2683" s="16" t="str">
        <f aca="false">IF($D2683="","",Y2683*AB2683/100)</f>
        <v/>
      </c>
      <c r="W2683" s="16" t="str">
        <f aca="false">IF($D2683="","",Y2683-V2683)</f>
        <v/>
      </c>
      <c r="X2683" s="16" t="str">
        <f aca="false">IF($D2683="","",W2683-N2683)</f>
        <v/>
      </c>
      <c r="AB2683" s="17" t="str">
        <f aca="false">IF($D2683="","",IF(OR($R2683=TRUE(),$R2683="TRUE"),Settings!$C$6,Settings!$C$7)*100)</f>
        <v/>
      </c>
      <c r="AH2683" s="18" t="str">
        <f aca="false">IF($D2683="","",IF(COUNTIF($D$2:$D2683,$D2683)=1,1,0))</f>
        <v/>
      </c>
      <c r="AI2683" s="18" t="str">
        <f aca="false">IF($AH2683=1,SUMPRODUCT(--($AK$2:$AK$4001&lt;$AK2683))+1,"")</f>
        <v/>
      </c>
      <c r="AJ2683" s="18" t="str">
        <f aca="false">IF($D2683="","",IF(OR($R2683=TRUE(),$R2683="TRUE"),1,0))</f>
        <v/>
      </c>
      <c r="AK2683" s="18" t="str">
        <f aca="false">IF($AH2683=1,IFERROR(VALUE(MID($D2683,2,20)),1000000000)+ROW()/10000000,"")</f>
        <v/>
      </c>
    </row>
    <row r="2684" customFormat="false" ht="15" hidden="false" customHeight="false" outlineLevel="0" collapsed="false">
      <c r="F2684" s="15"/>
      <c r="N2684" s="16" t="str">
        <f aca="false">IF($D2684="","",M2684*Y2684/100)</f>
        <v/>
      </c>
      <c r="V2684" s="16" t="str">
        <f aca="false">IF($D2684="","",Y2684*AB2684/100)</f>
        <v/>
      </c>
      <c r="W2684" s="16" t="str">
        <f aca="false">IF($D2684="","",Y2684-V2684)</f>
        <v/>
      </c>
      <c r="X2684" s="16" t="str">
        <f aca="false">IF($D2684="","",W2684-N2684)</f>
        <v/>
      </c>
      <c r="AB2684" s="17" t="str">
        <f aca="false">IF($D2684="","",IF(OR($R2684=TRUE(),$R2684="TRUE"),Settings!$C$6,Settings!$C$7)*100)</f>
        <v/>
      </c>
      <c r="AH2684" s="18" t="str">
        <f aca="false">IF($D2684="","",IF(COUNTIF($D$2:$D2684,$D2684)=1,1,0))</f>
        <v/>
      </c>
      <c r="AI2684" s="18" t="str">
        <f aca="false">IF($AH2684=1,SUMPRODUCT(--($AK$2:$AK$4001&lt;$AK2684))+1,"")</f>
        <v/>
      </c>
      <c r="AJ2684" s="18" t="str">
        <f aca="false">IF($D2684="","",IF(OR($R2684=TRUE(),$R2684="TRUE"),1,0))</f>
        <v/>
      </c>
      <c r="AK2684" s="18" t="str">
        <f aca="false">IF($AH2684=1,IFERROR(VALUE(MID($D2684,2,20)),1000000000)+ROW()/10000000,"")</f>
        <v/>
      </c>
    </row>
    <row r="2685" customFormat="false" ht="15" hidden="false" customHeight="false" outlineLevel="0" collapsed="false">
      <c r="F2685" s="15"/>
      <c r="N2685" s="16" t="str">
        <f aca="false">IF($D2685="","",M2685*Y2685/100)</f>
        <v/>
      </c>
      <c r="V2685" s="16" t="str">
        <f aca="false">IF($D2685="","",Y2685*AB2685/100)</f>
        <v/>
      </c>
      <c r="W2685" s="16" t="str">
        <f aca="false">IF($D2685="","",Y2685-V2685)</f>
        <v/>
      </c>
      <c r="X2685" s="16" t="str">
        <f aca="false">IF($D2685="","",W2685-N2685)</f>
        <v/>
      </c>
      <c r="AB2685" s="17" t="str">
        <f aca="false">IF($D2685="","",IF(OR($R2685=TRUE(),$R2685="TRUE"),Settings!$C$6,Settings!$C$7)*100)</f>
        <v/>
      </c>
      <c r="AH2685" s="18" t="str">
        <f aca="false">IF($D2685="","",IF(COUNTIF($D$2:$D2685,$D2685)=1,1,0))</f>
        <v/>
      </c>
      <c r="AI2685" s="18" t="str">
        <f aca="false">IF($AH2685=1,SUMPRODUCT(--($AK$2:$AK$4001&lt;$AK2685))+1,"")</f>
        <v/>
      </c>
      <c r="AJ2685" s="18" t="str">
        <f aca="false">IF($D2685="","",IF(OR($R2685=TRUE(),$R2685="TRUE"),1,0))</f>
        <v/>
      </c>
      <c r="AK2685" s="18" t="str">
        <f aca="false">IF($AH2685=1,IFERROR(VALUE(MID($D2685,2,20)),1000000000)+ROW()/10000000,"")</f>
        <v/>
      </c>
    </row>
    <row r="2686" customFormat="false" ht="15" hidden="false" customHeight="false" outlineLevel="0" collapsed="false">
      <c r="F2686" s="15"/>
      <c r="N2686" s="16" t="str">
        <f aca="false">IF($D2686="","",M2686*Y2686/100)</f>
        <v/>
      </c>
      <c r="V2686" s="16" t="str">
        <f aca="false">IF($D2686="","",Y2686*AB2686/100)</f>
        <v/>
      </c>
      <c r="W2686" s="16" t="str">
        <f aca="false">IF($D2686="","",Y2686-V2686)</f>
        <v/>
      </c>
      <c r="X2686" s="16" t="str">
        <f aca="false">IF($D2686="","",W2686-N2686)</f>
        <v/>
      </c>
      <c r="AB2686" s="17" t="str">
        <f aca="false">IF($D2686="","",IF(OR($R2686=TRUE(),$R2686="TRUE"),Settings!$C$6,Settings!$C$7)*100)</f>
        <v/>
      </c>
      <c r="AH2686" s="18" t="str">
        <f aca="false">IF($D2686="","",IF(COUNTIF($D$2:$D2686,$D2686)=1,1,0))</f>
        <v/>
      </c>
      <c r="AI2686" s="18" t="str">
        <f aca="false">IF($AH2686=1,SUMPRODUCT(--($AK$2:$AK$4001&lt;$AK2686))+1,"")</f>
        <v/>
      </c>
      <c r="AJ2686" s="18" t="str">
        <f aca="false">IF($D2686="","",IF(OR($R2686=TRUE(),$R2686="TRUE"),1,0))</f>
        <v/>
      </c>
      <c r="AK2686" s="18" t="str">
        <f aca="false">IF($AH2686=1,IFERROR(VALUE(MID($D2686,2,20)),1000000000)+ROW()/10000000,"")</f>
        <v/>
      </c>
    </row>
    <row r="2687" customFormat="false" ht="15" hidden="false" customHeight="false" outlineLevel="0" collapsed="false">
      <c r="F2687" s="15"/>
      <c r="N2687" s="16" t="str">
        <f aca="false">IF($D2687="","",M2687*Y2687/100)</f>
        <v/>
      </c>
      <c r="V2687" s="16" t="str">
        <f aca="false">IF($D2687="","",Y2687*AB2687/100)</f>
        <v/>
      </c>
      <c r="W2687" s="16" t="str">
        <f aca="false">IF($D2687="","",Y2687-V2687)</f>
        <v/>
      </c>
      <c r="X2687" s="16" t="str">
        <f aca="false">IF($D2687="","",W2687-N2687)</f>
        <v/>
      </c>
      <c r="AB2687" s="17" t="str">
        <f aca="false">IF($D2687="","",IF(OR($R2687=TRUE(),$R2687="TRUE"),Settings!$C$6,Settings!$C$7)*100)</f>
        <v/>
      </c>
      <c r="AH2687" s="18" t="str">
        <f aca="false">IF($D2687="","",IF(COUNTIF($D$2:$D2687,$D2687)=1,1,0))</f>
        <v/>
      </c>
      <c r="AI2687" s="18" t="str">
        <f aca="false">IF($AH2687=1,SUMPRODUCT(--($AK$2:$AK$4001&lt;$AK2687))+1,"")</f>
        <v/>
      </c>
      <c r="AJ2687" s="18" t="str">
        <f aca="false">IF($D2687="","",IF(OR($R2687=TRUE(),$R2687="TRUE"),1,0))</f>
        <v/>
      </c>
      <c r="AK2687" s="18" t="str">
        <f aca="false">IF($AH2687=1,IFERROR(VALUE(MID($D2687,2,20)),1000000000)+ROW()/10000000,"")</f>
        <v/>
      </c>
    </row>
    <row r="2688" customFormat="false" ht="15" hidden="false" customHeight="false" outlineLevel="0" collapsed="false">
      <c r="F2688" s="15"/>
      <c r="N2688" s="16" t="str">
        <f aca="false">IF($D2688="","",M2688*Y2688/100)</f>
        <v/>
      </c>
      <c r="V2688" s="16" t="str">
        <f aca="false">IF($D2688="","",Y2688*AB2688/100)</f>
        <v/>
      </c>
      <c r="W2688" s="16" t="str">
        <f aca="false">IF($D2688="","",Y2688-V2688)</f>
        <v/>
      </c>
      <c r="X2688" s="16" t="str">
        <f aca="false">IF($D2688="","",W2688-N2688)</f>
        <v/>
      </c>
      <c r="AB2688" s="17" t="str">
        <f aca="false">IF($D2688="","",IF(OR($R2688=TRUE(),$R2688="TRUE"),Settings!$C$6,Settings!$C$7)*100)</f>
        <v/>
      </c>
      <c r="AH2688" s="18" t="str">
        <f aca="false">IF($D2688="","",IF(COUNTIF($D$2:$D2688,$D2688)=1,1,0))</f>
        <v/>
      </c>
      <c r="AI2688" s="18" t="str">
        <f aca="false">IF($AH2688=1,SUMPRODUCT(--($AK$2:$AK$4001&lt;$AK2688))+1,"")</f>
        <v/>
      </c>
      <c r="AJ2688" s="18" t="str">
        <f aca="false">IF($D2688="","",IF(OR($R2688=TRUE(),$R2688="TRUE"),1,0))</f>
        <v/>
      </c>
      <c r="AK2688" s="18" t="str">
        <f aca="false">IF($AH2688=1,IFERROR(VALUE(MID($D2688,2,20)),1000000000)+ROW()/10000000,"")</f>
        <v/>
      </c>
    </row>
    <row r="2689" customFormat="false" ht="15" hidden="false" customHeight="false" outlineLevel="0" collapsed="false">
      <c r="F2689" s="15"/>
      <c r="N2689" s="16" t="str">
        <f aca="false">IF($D2689="","",M2689*Y2689/100)</f>
        <v/>
      </c>
      <c r="V2689" s="16" t="str">
        <f aca="false">IF($D2689="","",Y2689*AB2689/100)</f>
        <v/>
      </c>
      <c r="W2689" s="16" t="str">
        <f aca="false">IF($D2689="","",Y2689-V2689)</f>
        <v/>
      </c>
      <c r="X2689" s="16" t="str">
        <f aca="false">IF($D2689="","",W2689-N2689)</f>
        <v/>
      </c>
      <c r="AB2689" s="17" t="str">
        <f aca="false">IF($D2689="","",IF(OR($R2689=TRUE(),$R2689="TRUE"),Settings!$C$6,Settings!$C$7)*100)</f>
        <v/>
      </c>
      <c r="AH2689" s="18" t="str">
        <f aca="false">IF($D2689="","",IF(COUNTIF($D$2:$D2689,$D2689)=1,1,0))</f>
        <v/>
      </c>
      <c r="AI2689" s="18" t="str">
        <f aca="false">IF($AH2689=1,SUMPRODUCT(--($AK$2:$AK$4001&lt;$AK2689))+1,"")</f>
        <v/>
      </c>
      <c r="AJ2689" s="18" t="str">
        <f aca="false">IF($D2689="","",IF(OR($R2689=TRUE(),$R2689="TRUE"),1,0))</f>
        <v/>
      </c>
      <c r="AK2689" s="18" t="str">
        <f aca="false">IF($AH2689=1,IFERROR(VALUE(MID($D2689,2,20)),1000000000)+ROW()/10000000,"")</f>
        <v/>
      </c>
    </row>
    <row r="2690" customFormat="false" ht="15" hidden="false" customHeight="false" outlineLevel="0" collapsed="false">
      <c r="F2690" s="15"/>
      <c r="N2690" s="16" t="str">
        <f aca="false">IF($D2690="","",M2690*Y2690/100)</f>
        <v/>
      </c>
      <c r="V2690" s="16" t="str">
        <f aca="false">IF($D2690="","",Y2690*AB2690/100)</f>
        <v/>
      </c>
      <c r="W2690" s="16" t="str">
        <f aca="false">IF($D2690="","",Y2690-V2690)</f>
        <v/>
      </c>
      <c r="X2690" s="16" t="str">
        <f aca="false">IF($D2690="","",W2690-N2690)</f>
        <v/>
      </c>
      <c r="AB2690" s="17" t="str">
        <f aca="false">IF($D2690="","",IF(OR($R2690=TRUE(),$R2690="TRUE"),Settings!$C$6,Settings!$C$7)*100)</f>
        <v/>
      </c>
      <c r="AH2690" s="18" t="str">
        <f aca="false">IF($D2690="","",IF(COUNTIF($D$2:$D2690,$D2690)=1,1,0))</f>
        <v/>
      </c>
      <c r="AI2690" s="18" t="str">
        <f aca="false">IF($AH2690=1,SUMPRODUCT(--($AK$2:$AK$4001&lt;$AK2690))+1,"")</f>
        <v/>
      </c>
      <c r="AJ2690" s="18" t="str">
        <f aca="false">IF($D2690="","",IF(OR($R2690=TRUE(),$R2690="TRUE"),1,0))</f>
        <v/>
      </c>
      <c r="AK2690" s="18" t="str">
        <f aca="false">IF($AH2690=1,IFERROR(VALUE(MID($D2690,2,20)),1000000000)+ROW()/10000000,"")</f>
        <v/>
      </c>
    </row>
    <row r="2691" customFormat="false" ht="15" hidden="false" customHeight="false" outlineLevel="0" collapsed="false">
      <c r="F2691" s="15"/>
      <c r="N2691" s="16" t="str">
        <f aca="false">IF($D2691="","",M2691*Y2691/100)</f>
        <v/>
      </c>
      <c r="V2691" s="16" t="str">
        <f aca="false">IF($D2691="","",Y2691*AB2691/100)</f>
        <v/>
      </c>
      <c r="W2691" s="16" t="str">
        <f aca="false">IF($D2691="","",Y2691-V2691)</f>
        <v/>
      </c>
      <c r="X2691" s="16" t="str">
        <f aca="false">IF($D2691="","",W2691-N2691)</f>
        <v/>
      </c>
      <c r="AB2691" s="17" t="str">
        <f aca="false">IF($D2691="","",IF(OR($R2691=TRUE(),$R2691="TRUE"),Settings!$C$6,Settings!$C$7)*100)</f>
        <v/>
      </c>
      <c r="AH2691" s="18" t="str">
        <f aca="false">IF($D2691="","",IF(COUNTIF($D$2:$D2691,$D2691)=1,1,0))</f>
        <v/>
      </c>
      <c r="AI2691" s="18" t="str">
        <f aca="false">IF($AH2691=1,SUMPRODUCT(--($AK$2:$AK$4001&lt;$AK2691))+1,"")</f>
        <v/>
      </c>
      <c r="AJ2691" s="18" t="str">
        <f aca="false">IF($D2691="","",IF(OR($R2691=TRUE(),$R2691="TRUE"),1,0))</f>
        <v/>
      </c>
      <c r="AK2691" s="18" t="str">
        <f aca="false">IF($AH2691=1,IFERROR(VALUE(MID($D2691,2,20)),1000000000)+ROW()/10000000,"")</f>
        <v/>
      </c>
    </row>
    <row r="2692" customFormat="false" ht="15" hidden="false" customHeight="false" outlineLevel="0" collapsed="false">
      <c r="F2692" s="15"/>
      <c r="N2692" s="16" t="str">
        <f aca="false">IF($D2692="","",M2692*Y2692/100)</f>
        <v/>
      </c>
      <c r="V2692" s="16" t="str">
        <f aca="false">IF($D2692="","",Y2692*AB2692/100)</f>
        <v/>
      </c>
      <c r="W2692" s="16" t="str">
        <f aca="false">IF($D2692="","",Y2692-V2692)</f>
        <v/>
      </c>
      <c r="X2692" s="16" t="str">
        <f aca="false">IF($D2692="","",W2692-N2692)</f>
        <v/>
      </c>
      <c r="AB2692" s="17" t="str">
        <f aca="false">IF($D2692="","",IF(OR($R2692=TRUE(),$R2692="TRUE"),Settings!$C$6,Settings!$C$7)*100)</f>
        <v/>
      </c>
      <c r="AH2692" s="18" t="str">
        <f aca="false">IF($D2692="","",IF(COUNTIF($D$2:$D2692,$D2692)=1,1,0))</f>
        <v/>
      </c>
      <c r="AI2692" s="18" t="str">
        <f aca="false">IF($AH2692=1,SUMPRODUCT(--($AK$2:$AK$4001&lt;$AK2692))+1,"")</f>
        <v/>
      </c>
      <c r="AJ2692" s="18" t="str">
        <f aca="false">IF($D2692="","",IF(OR($R2692=TRUE(),$R2692="TRUE"),1,0))</f>
        <v/>
      </c>
      <c r="AK2692" s="18" t="str">
        <f aca="false">IF($AH2692=1,IFERROR(VALUE(MID($D2692,2,20)),1000000000)+ROW()/10000000,"")</f>
        <v/>
      </c>
    </row>
    <row r="2693" customFormat="false" ht="15" hidden="false" customHeight="false" outlineLevel="0" collapsed="false">
      <c r="F2693" s="15"/>
      <c r="N2693" s="16" t="str">
        <f aca="false">IF($D2693="","",M2693*Y2693/100)</f>
        <v/>
      </c>
      <c r="V2693" s="16" t="str">
        <f aca="false">IF($D2693="","",Y2693*AB2693/100)</f>
        <v/>
      </c>
      <c r="W2693" s="16" t="str">
        <f aca="false">IF($D2693="","",Y2693-V2693)</f>
        <v/>
      </c>
      <c r="X2693" s="16" t="str">
        <f aca="false">IF($D2693="","",W2693-N2693)</f>
        <v/>
      </c>
      <c r="AB2693" s="17" t="str">
        <f aca="false">IF($D2693="","",IF(OR($R2693=TRUE(),$R2693="TRUE"),Settings!$C$6,Settings!$C$7)*100)</f>
        <v/>
      </c>
      <c r="AH2693" s="18" t="str">
        <f aca="false">IF($D2693="","",IF(COUNTIF($D$2:$D2693,$D2693)=1,1,0))</f>
        <v/>
      </c>
      <c r="AI2693" s="18" t="str">
        <f aca="false">IF($AH2693=1,SUMPRODUCT(--($AK$2:$AK$4001&lt;$AK2693))+1,"")</f>
        <v/>
      </c>
      <c r="AJ2693" s="18" t="str">
        <f aca="false">IF($D2693="","",IF(OR($R2693=TRUE(),$R2693="TRUE"),1,0))</f>
        <v/>
      </c>
      <c r="AK2693" s="18" t="str">
        <f aca="false">IF($AH2693=1,IFERROR(VALUE(MID($D2693,2,20)),1000000000)+ROW()/10000000,"")</f>
        <v/>
      </c>
    </row>
    <row r="2694" customFormat="false" ht="15" hidden="false" customHeight="false" outlineLevel="0" collapsed="false">
      <c r="F2694" s="15"/>
      <c r="N2694" s="16" t="str">
        <f aca="false">IF($D2694="","",M2694*Y2694/100)</f>
        <v/>
      </c>
      <c r="V2694" s="16" t="str">
        <f aca="false">IF($D2694="","",Y2694*AB2694/100)</f>
        <v/>
      </c>
      <c r="W2694" s="16" t="str">
        <f aca="false">IF($D2694="","",Y2694-V2694)</f>
        <v/>
      </c>
      <c r="X2694" s="16" t="str">
        <f aca="false">IF($D2694="","",W2694-N2694)</f>
        <v/>
      </c>
      <c r="AB2694" s="17" t="str">
        <f aca="false">IF($D2694="","",IF(OR($R2694=TRUE(),$R2694="TRUE"),Settings!$C$6,Settings!$C$7)*100)</f>
        <v/>
      </c>
      <c r="AH2694" s="18" t="str">
        <f aca="false">IF($D2694="","",IF(COUNTIF($D$2:$D2694,$D2694)=1,1,0))</f>
        <v/>
      </c>
      <c r="AI2694" s="18" t="str">
        <f aca="false">IF($AH2694=1,SUMPRODUCT(--($AK$2:$AK$4001&lt;$AK2694))+1,"")</f>
        <v/>
      </c>
      <c r="AJ2694" s="18" t="str">
        <f aca="false">IF($D2694="","",IF(OR($R2694=TRUE(),$R2694="TRUE"),1,0))</f>
        <v/>
      </c>
      <c r="AK2694" s="18" t="str">
        <f aca="false">IF($AH2694=1,IFERROR(VALUE(MID($D2694,2,20)),1000000000)+ROW()/10000000,"")</f>
        <v/>
      </c>
    </row>
    <row r="2695" customFormat="false" ht="15" hidden="false" customHeight="false" outlineLevel="0" collapsed="false">
      <c r="F2695" s="15"/>
      <c r="N2695" s="16" t="str">
        <f aca="false">IF($D2695="","",M2695*Y2695/100)</f>
        <v/>
      </c>
      <c r="V2695" s="16" t="str">
        <f aca="false">IF($D2695="","",Y2695*AB2695/100)</f>
        <v/>
      </c>
      <c r="W2695" s="16" t="str">
        <f aca="false">IF($D2695="","",Y2695-V2695)</f>
        <v/>
      </c>
      <c r="X2695" s="16" t="str">
        <f aca="false">IF($D2695="","",W2695-N2695)</f>
        <v/>
      </c>
      <c r="AB2695" s="17" t="str">
        <f aca="false">IF($D2695="","",IF(OR($R2695=TRUE(),$R2695="TRUE"),Settings!$C$6,Settings!$C$7)*100)</f>
        <v/>
      </c>
      <c r="AH2695" s="18" t="str">
        <f aca="false">IF($D2695="","",IF(COUNTIF($D$2:$D2695,$D2695)=1,1,0))</f>
        <v/>
      </c>
      <c r="AI2695" s="18" t="str">
        <f aca="false">IF($AH2695=1,SUMPRODUCT(--($AK$2:$AK$4001&lt;$AK2695))+1,"")</f>
        <v/>
      </c>
      <c r="AJ2695" s="18" t="str">
        <f aca="false">IF($D2695="","",IF(OR($R2695=TRUE(),$R2695="TRUE"),1,0))</f>
        <v/>
      </c>
      <c r="AK2695" s="18" t="str">
        <f aca="false">IF($AH2695=1,IFERROR(VALUE(MID($D2695,2,20)),1000000000)+ROW()/10000000,"")</f>
        <v/>
      </c>
    </row>
    <row r="2696" customFormat="false" ht="15" hidden="false" customHeight="false" outlineLevel="0" collapsed="false">
      <c r="F2696" s="15"/>
      <c r="N2696" s="16" t="str">
        <f aca="false">IF($D2696="","",M2696*Y2696/100)</f>
        <v/>
      </c>
      <c r="V2696" s="16" t="str">
        <f aca="false">IF($D2696="","",Y2696*AB2696/100)</f>
        <v/>
      </c>
      <c r="W2696" s="16" t="str">
        <f aca="false">IF($D2696="","",Y2696-V2696)</f>
        <v/>
      </c>
      <c r="X2696" s="16" t="str">
        <f aca="false">IF($D2696="","",W2696-N2696)</f>
        <v/>
      </c>
      <c r="AB2696" s="17" t="str">
        <f aca="false">IF($D2696="","",IF(OR($R2696=TRUE(),$R2696="TRUE"),Settings!$C$6,Settings!$C$7)*100)</f>
        <v/>
      </c>
      <c r="AH2696" s="18" t="str">
        <f aca="false">IF($D2696="","",IF(COUNTIF($D$2:$D2696,$D2696)=1,1,0))</f>
        <v/>
      </c>
      <c r="AI2696" s="18" t="str">
        <f aca="false">IF($AH2696=1,SUMPRODUCT(--($AK$2:$AK$4001&lt;$AK2696))+1,"")</f>
        <v/>
      </c>
      <c r="AJ2696" s="18" t="str">
        <f aca="false">IF($D2696="","",IF(OR($R2696=TRUE(),$R2696="TRUE"),1,0))</f>
        <v/>
      </c>
      <c r="AK2696" s="18" t="str">
        <f aca="false">IF($AH2696=1,IFERROR(VALUE(MID($D2696,2,20)),1000000000)+ROW()/10000000,"")</f>
        <v/>
      </c>
    </row>
    <row r="2697" customFormat="false" ht="15" hidden="false" customHeight="false" outlineLevel="0" collapsed="false">
      <c r="F2697" s="15"/>
      <c r="N2697" s="16" t="str">
        <f aca="false">IF($D2697="","",M2697*Y2697/100)</f>
        <v/>
      </c>
      <c r="V2697" s="16" t="str">
        <f aca="false">IF($D2697="","",Y2697*AB2697/100)</f>
        <v/>
      </c>
      <c r="W2697" s="16" t="str">
        <f aca="false">IF($D2697="","",Y2697-V2697)</f>
        <v/>
      </c>
      <c r="X2697" s="16" t="str">
        <f aca="false">IF($D2697="","",W2697-N2697)</f>
        <v/>
      </c>
      <c r="AB2697" s="17" t="str">
        <f aca="false">IF($D2697="","",IF(OR($R2697=TRUE(),$R2697="TRUE"),Settings!$C$6,Settings!$C$7)*100)</f>
        <v/>
      </c>
      <c r="AH2697" s="18" t="str">
        <f aca="false">IF($D2697="","",IF(COUNTIF($D$2:$D2697,$D2697)=1,1,0))</f>
        <v/>
      </c>
      <c r="AI2697" s="18" t="str">
        <f aca="false">IF($AH2697=1,SUMPRODUCT(--($AK$2:$AK$4001&lt;$AK2697))+1,"")</f>
        <v/>
      </c>
      <c r="AJ2697" s="18" t="str">
        <f aca="false">IF($D2697="","",IF(OR($R2697=TRUE(),$R2697="TRUE"),1,0))</f>
        <v/>
      </c>
      <c r="AK2697" s="18" t="str">
        <f aca="false">IF($AH2697=1,IFERROR(VALUE(MID($D2697,2,20)),1000000000)+ROW()/10000000,"")</f>
        <v/>
      </c>
    </row>
    <row r="2698" customFormat="false" ht="15" hidden="false" customHeight="false" outlineLevel="0" collapsed="false">
      <c r="F2698" s="15"/>
      <c r="N2698" s="16" t="str">
        <f aca="false">IF($D2698="","",M2698*Y2698/100)</f>
        <v/>
      </c>
      <c r="V2698" s="16" t="str">
        <f aca="false">IF($D2698="","",Y2698*AB2698/100)</f>
        <v/>
      </c>
      <c r="W2698" s="16" t="str">
        <f aca="false">IF($D2698="","",Y2698-V2698)</f>
        <v/>
      </c>
      <c r="X2698" s="16" t="str">
        <f aca="false">IF($D2698="","",W2698-N2698)</f>
        <v/>
      </c>
      <c r="AB2698" s="17" t="str">
        <f aca="false">IF($D2698="","",IF(OR($R2698=TRUE(),$R2698="TRUE"),Settings!$C$6,Settings!$C$7)*100)</f>
        <v/>
      </c>
      <c r="AH2698" s="18" t="str">
        <f aca="false">IF($D2698="","",IF(COUNTIF($D$2:$D2698,$D2698)=1,1,0))</f>
        <v/>
      </c>
      <c r="AI2698" s="18" t="str">
        <f aca="false">IF($AH2698=1,SUMPRODUCT(--($AK$2:$AK$4001&lt;$AK2698))+1,"")</f>
        <v/>
      </c>
      <c r="AJ2698" s="18" t="str">
        <f aca="false">IF($D2698="","",IF(OR($R2698=TRUE(),$R2698="TRUE"),1,0))</f>
        <v/>
      </c>
      <c r="AK2698" s="18" t="str">
        <f aca="false">IF($AH2698=1,IFERROR(VALUE(MID($D2698,2,20)),1000000000)+ROW()/10000000,"")</f>
        <v/>
      </c>
    </row>
    <row r="2699" customFormat="false" ht="15" hidden="false" customHeight="false" outlineLevel="0" collapsed="false">
      <c r="F2699" s="15"/>
      <c r="N2699" s="16" t="str">
        <f aca="false">IF($D2699="","",M2699*Y2699/100)</f>
        <v/>
      </c>
      <c r="V2699" s="16" t="str">
        <f aca="false">IF($D2699="","",Y2699*AB2699/100)</f>
        <v/>
      </c>
      <c r="W2699" s="16" t="str">
        <f aca="false">IF($D2699="","",Y2699-V2699)</f>
        <v/>
      </c>
      <c r="X2699" s="16" t="str">
        <f aca="false">IF($D2699="","",W2699-N2699)</f>
        <v/>
      </c>
      <c r="AB2699" s="17" t="str">
        <f aca="false">IF($D2699="","",IF(OR($R2699=TRUE(),$R2699="TRUE"),Settings!$C$6,Settings!$C$7)*100)</f>
        <v/>
      </c>
      <c r="AH2699" s="18" t="str">
        <f aca="false">IF($D2699="","",IF(COUNTIF($D$2:$D2699,$D2699)=1,1,0))</f>
        <v/>
      </c>
      <c r="AI2699" s="18" t="str">
        <f aca="false">IF($AH2699=1,SUMPRODUCT(--($AK$2:$AK$4001&lt;$AK2699))+1,"")</f>
        <v/>
      </c>
      <c r="AJ2699" s="18" t="str">
        <f aca="false">IF($D2699="","",IF(OR($R2699=TRUE(),$R2699="TRUE"),1,0))</f>
        <v/>
      </c>
      <c r="AK2699" s="18" t="str">
        <f aca="false">IF($AH2699=1,IFERROR(VALUE(MID($D2699,2,20)),1000000000)+ROW()/10000000,"")</f>
        <v/>
      </c>
    </row>
    <row r="2700" customFormat="false" ht="15" hidden="false" customHeight="false" outlineLevel="0" collapsed="false">
      <c r="F2700" s="15"/>
      <c r="N2700" s="16" t="str">
        <f aca="false">IF($D2700="","",M2700*Y2700/100)</f>
        <v/>
      </c>
      <c r="V2700" s="16" t="str">
        <f aca="false">IF($D2700="","",Y2700*AB2700/100)</f>
        <v/>
      </c>
      <c r="W2700" s="16" t="str">
        <f aca="false">IF($D2700="","",Y2700-V2700)</f>
        <v/>
      </c>
      <c r="X2700" s="16" t="str">
        <f aca="false">IF($D2700="","",W2700-N2700)</f>
        <v/>
      </c>
      <c r="AB2700" s="17" t="str">
        <f aca="false">IF($D2700="","",IF(OR($R2700=TRUE(),$R2700="TRUE"),Settings!$C$6,Settings!$C$7)*100)</f>
        <v/>
      </c>
      <c r="AH2700" s="18" t="str">
        <f aca="false">IF($D2700="","",IF(COUNTIF($D$2:$D2700,$D2700)=1,1,0))</f>
        <v/>
      </c>
      <c r="AI2700" s="18" t="str">
        <f aca="false">IF($AH2700=1,SUMPRODUCT(--($AK$2:$AK$4001&lt;$AK2700))+1,"")</f>
        <v/>
      </c>
      <c r="AJ2700" s="18" t="str">
        <f aca="false">IF($D2700="","",IF(OR($R2700=TRUE(),$R2700="TRUE"),1,0))</f>
        <v/>
      </c>
      <c r="AK2700" s="18" t="str">
        <f aca="false">IF($AH2700=1,IFERROR(VALUE(MID($D2700,2,20)),1000000000)+ROW()/10000000,"")</f>
        <v/>
      </c>
    </row>
    <row r="2701" customFormat="false" ht="15" hidden="false" customHeight="false" outlineLevel="0" collapsed="false">
      <c r="F2701" s="15"/>
      <c r="N2701" s="16" t="str">
        <f aca="false">IF($D2701="","",M2701*Y2701/100)</f>
        <v/>
      </c>
      <c r="V2701" s="16" t="str">
        <f aca="false">IF($D2701="","",Y2701*AB2701/100)</f>
        <v/>
      </c>
      <c r="W2701" s="16" t="str">
        <f aca="false">IF($D2701="","",Y2701-V2701)</f>
        <v/>
      </c>
      <c r="X2701" s="16" t="str">
        <f aca="false">IF($D2701="","",W2701-N2701)</f>
        <v/>
      </c>
      <c r="AB2701" s="17" t="str">
        <f aca="false">IF($D2701="","",IF(OR($R2701=TRUE(),$R2701="TRUE"),Settings!$C$6,Settings!$C$7)*100)</f>
        <v/>
      </c>
      <c r="AH2701" s="18" t="str">
        <f aca="false">IF($D2701="","",IF(COUNTIF($D$2:$D2701,$D2701)=1,1,0))</f>
        <v/>
      </c>
      <c r="AI2701" s="18" t="str">
        <f aca="false">IF($AH2701=1,SUMPRODUCT(--($AK$2:$AK$4001&lt;$AK2701))+1,"")</f>
        <v/>
      </c>
      <c r="AJ2701" s="18" t="str">
        <f aca="false">IF($D2701="","",IF(OR($R2701=TRUE(),$R2701="TRUE"),1,0))</f>
        <v/>
      </c>
      <c r="AK2701" s="18" t="str">
        <f aca="false">IF($AH2701=1,IFERROR(VALUE(MID($D2701,2,20)),1000000000)+ROW()/10000000,"")</f>
        <v/>
      </c>
    </row>
    <row r="2702" customFormat="false" ht="15" hidden="false" customHeight="false" outlineLevel="0" collapsed="false">
      <c r="F2702" s="15"/>
      <c r="N2702" s="16" t="str">
        <f aca="false">IF($D2702="","",M2702*Y2702/100)</f>
        <v/>
      </c>
      <c r="V2702" s="16" t="str">
        <f aca="false">IF($D2702="","",Y2702*AB2702/100)</f>
        <v/>
      </c>
      <c r="W2702" s="16" t="str">
        <f aca="false">IF($D2702="","",Y2702-V2702)</f>
        <v/>
      </c>
      <c r="X2702" s="16" t="str">
        <f aca="false">IF($D2702="","",W2702-N2702)</f>
        <v/>
      </c>
      <c r="AB2702" s="17" t="str">
        <f aca="false">IF($D2702="","",IF(OR($R2702=TRUE(),$R2702="TRUE"),Settings!$C$6,Settings!$C$7)*100)</f>
        <v/>
      </c>
      <c r="AH2702" s="18" t="str">
        <f aca="false">IF($D2702="","",IF(COUNTIF($D$2:$D2702,$D2702)=1,1,0))</f>
        <v/>
      </c>
      <c r="AI2702" s="18" t="str">
        <f aca="false">IF($AH2702=1,SUMPRODUCT(--($AK$2:$AK$4001&lt;$AK2702))+1,"")</f>
        <v/>
      </c>
      <c r="AJ2702" s="18" t="str">
        <f aca="false">IF($D2702="","",IF(OR($R2702=TRUE(),$R2702="TRUE"),1,0))</f>
        <v/>
      </c>
      <c r="AK2702" s="18" t="str">
        <f aca="false">IF($AH2702=1,IFERROR(VALUE(MID($D2702,2,20)),1000000000)+ROW()/10000000,"")</f>
        <v/>
      </c>
    </row>
    <row r="2703" customFormat="false" ht="15" hidden="false" customHeight="false" outlineLevel="0" collapsed="false">
      <c r="F2703" s="15"/>
      <c r="N2703" s="16" t="str">
        <f aca="false">IF($D2703="","",M2703*Y2703/100)</f>
        <v/>
      </c>
      <c r="V2703" s="16" t="str">
        <f aca="false">IF($D2703="","",Y2703*AB2703/100)</f>
        <v/>
      </c>
      <c r="W2703" s="16" t="str">
        <f aca="false">IF($D2703="","",Y2703-V2703)</f>
        <v/>
      </c>
      <c r="X2703" s="16" t="str">
        <f aca="false">IF($D2703="","",W2703-N2703)</f>
        <v/>
      </c>
      <c r="AB2703" s="17" t="str">
        <f aca="false">IF($D2703="","",IF(OR($R2703=TRUE(),$R2703="TRUE"),Settings!$C$6,Settings!$C$7)*100)</f>
        <v/>
      </c>
      <c r="AH2703" s="18" t="str">
        <f aca="false">IF($D2703="","",IF(COUNTIF($D$2:$D2703,$D2703)=1,1,0))</f>
        <v/>
      </c>
      <c r="AI2703" s="18" t="str">
        <f aca="false">IF($AH2703=1,SUMPRODUCT(--($AK$2:$AK$4001&lt;$AK2703))+1,"")</f>
        <v/>
      </c>
      <c r="AJ2703" s="18" t="str">
        <f aca="false">IF($D2703="","",IF(OR($R2703=TRUE(),$R2703="TRUE"),1,0))</f>
        <v/>
      </c>
      <c r="AK2703" s="18" t="str">
        <f aca="false">IF($AH2703=1,IFERROR(VALUE(MID($D2703,2,20)),1000000000)+ROW()/10000000,"")</f>
        <v/>
      </c>
    </row>
    <row r="2704" customFormat="false" ht="15" hidden="false" customHeight="false" outlineLevel="0" collapsed="false">
      <c r="F2704" s="15"/>
      <c r="N2704" s="16" t="str">
        <f aca="false">IF($D2704="","",M2704*Y2704/100)</f>
        <v/>
      </c>
      <c r="V2704" s="16" t="str">
        <f aca="false">IF($D2704="","",Y2704*AB2704/100)</f>
        <v/>
      </c>
      <c r="W2704" s="16" t="str">
        <f aca="false">IF($D2704="","",Y2704-V2704)</f>
        <v/>
      </c>
      <c r="X2704" s="16" t="str">
        <f aca="false">IF($D2704="","",W2704-N2704)</f>
        <v/>
      </c>
      <c r="AB2704" s="17" t="str">
        <f aca="false">IF($D2704="","",IF(OR($R2704=TRUE(),$R2704="TRUE"),Settings!$C$6,Settings!$C$7)*100)</f>
        <v/>
      </c>
      <c r="AH2704" s="18" t="str">
        <f aca="false">IF($D2704="","",IF(COUNTIF($D$2:$D2704,$D2704)=1,1,0))</f>
        <v/>
      </c>
      <c r="AI2704" s="18" t="str">
        <f aca="false">IF($AH2704=1,SUMPRODUCT(--($AK$2:$AK$4001&lt;$AK2704))+1,"")</f>
        <v/>
      </c>
      <c r="AJ2704" s="18" t="str">
        <f aca="false">IF($D2704="","",IF(OR($R2704=TRUE(),$R2704="TRUE"),1,0))</f>
        <v/>
      </c>
      <c r="AK2704" s="18" t="str">
        <f aca="false">IF($AH2704=1,IFERROR(VALUE(MID($D2704,2,20)),1000000000)+ROW()/10000000,"")</f>
        <v/>
      </c>
    </row>
    <row r="2705" customFormat="false" ht="15" hidden="false" customHeight="false" outlineLevel="0" collapsed="false">
      <c r="F2705" s="15"/>
      <c r="N2705" s="16" t="str">
        <f aca="false">IF($D2705="","",M2705*Y2705/100)</f>
        <v/>
      </c>
      <c r="V2705" s="16" t="str">
        <f aca="false">IF($D2705="","",Y2705*AB2705/100)</f>
        <v/>
      </c>
      <c r="W2705" s="16" t="str">
        <f aca="false">IF($D2705="","",Y2705-V2705)</f>
        <v/>
      </c>
      <c r="X2705" s="16" t="str">
        <f aca="false">IF($D2705="","",W2705-N2705)</f>
        <v/>
      </c>
      <c r="AB2705" s="17" t="str">
        <f aca="false">IF($D2705="","",IF(OR($R2705=TRUE(),$R2705="TRUE"),Settings!$C$6,Settings!$C$7)*100)</f>
        <v/>
      </c>
      <c r="AH2705" s="18" t="str">
        <f aca="false">IF($D2705="","",IF(COUNTIF($D$2:$D2705,$D2705)=1,1,0))</f>
        <v/>
      </c>
      <c r="AI2705" s="18" t="str">
        <f aca="false">IF($AH2705=1,SUMPRODUCT(--($AK$2:$AK$4001&lt;$AK2705))+1,"")</f>
        <v/>
      </c>
      <c r="AJ2705" s="18" t="str">
        <f aca="false">IF($D2705="","",IF(OR($R2705=TRUE(),$R2705="TRUE"),1,0))</f>
        <v/>
      </c>
      <c r="AK2705" s="18" t="str">
        <f aca="false">IF($AH2705=1,IFERROR(VALUE(MID($D2705,2,20)),1000000000)+ROW()/10000000,"")</f>
        <v/>
      </c>
    </row>
    <row r="2706" customFormat="false" ht="15" hidden="false" customHeight="false" outlineLevel="0" collapsed="false">
      <c r="F2706" s="15"/>
      <c r="N2706" s="16" t="str">
        <f aca="false">IF($D2706="","",M2706*Y2706/100)</f>
        <v/>
      </c>
      <c r="V2706" s="16" t="str">
        <f aca="false">IF($D2706="","",Y2706*AB2706/100)</f>
        <v/>
      </c>
      <c r="W2706" s="16" t="str">
        <f aca="false">IF($D2706="","",Y2706-V2706)</f>
        <v/>
      </c>
      <c r="X2706" s="16" t="str">
        <f aca="false">IF($D2706="","",W2706-N2706)</f>
        <v/>
      </c>
      <c r="AB2706" s="17" t="str">
        <f aca="false">IF($D2706="","",IF(OR($R2706=TRUE(),$R2706="TRUE"),Settings!$C$6,Settings!$C$7)*100)</f>
        <v/>
      </c>
      <c r="AH2706" s="18" t="str">
        <f aca="false">IF($D2706="","",IF(COUNTIF($D$2:$D2706,$D2706)=1,1,0))</f>
        <v/>
      </c>
      <c r="AI2706" s="18" t="str">
        <f aca="false">IF($AH2706=1,SUMPRODUCT(--($AK$2:$AK$4001&lt;$AK2706))+1,"")</f>
        <v/>
      </c>
      <c r="AJ2706" s="18" t="str">
        <f aca="false">IF($D2706="","",IF(OR($R2706=TRUE(),$R2706="TRUE"),1,0))</f>
        <v/>
      </c>
      <c r="AK2706" s="18" t="str">
        <f aca="false">IF($AH2706=1,IFERROR(VALUE(MID($D2706,2,20)),1000000000)+ROW()/10000000,"")</f>
        <v/>
      </c>
    </row>
    <row r="2707" customFormat="false" ht="15" hidden="false" customHeight="false" outlineLevel="0" collapsed="false">
      <c r="F2707" s="15"/>
      <c r="N2707" s="16" t="str">
        <f aca="false">IF($D2707="","",M2707*Y2707/100)</f>
        <v/>
      </c>
      <c r="V2707" s="16" t="str">
        <f aca="false">IF($D2707="","",Y2707*AB2707/100)</f>
        <v/>
      </c>
      <c r="W2707" s="16" t="str">
        <f aca="false">IF($D2707="","",Y2707-V2707)</f>
        <v/>
      </c>
      <c r="X2707" s="16" t="str">
        <f aca="false">IF($D2707="","",W2707-N2707)</f>
        <v/>
      </c>
      <c r="AB2707" s="17" t="str">
        <f aca="false">IF($D2707="","",IF(OR($R2707=TRUE(),$R2707="TRUE"),Settings!$C$6,Settings!$C$7)*100)</f>
        <v/>
      </c>
      <c r="AH2707" s="18" t="str">
        <f aca="false">IF($D2707="","",IF(COUNTIF($D$2:$D2707,$D2707)=1,1,0))</f>
        <v/>
      </c>
      <c r="AI2707" s="18" t="str">
        <f aca="false">IF($AH2707=1,SUMPRODUCT(--($AK$2:$AK$4001&lt;$AK2707))+1,"")</f>
        <v/>
      </c>
      <c r="AJ2707" s="18" t="str">
        <f aca="false">IF($D2707="","",IF(OR($R2707=TRUE(),$R2707="TRUE"),1,0))</f>
        <v/>
      </c>
      <c r="AK2707" s="18" t="str">
        <f aca="false">IF($AH2707=1,IFERROR(VALUE(MID($D2707,2,20)),1000000000)+ROW()/10000000,"")</f>
        <v/>
      </c>
    </row>
    <row r="2708" customFormat="false" ht="15" hidden="false" customHeight="false" outlineLevel="0" collapsed="false">
      <c r="F2708" s="15"/>
      <c r="N2708" s="16" t="str">
        <f aca="false">IF($D2708="","",M2708*Y2708/100)</f>
        <v/>
      </c>
      <c r="V2708" s="16" t="str">
        <f aca="false">IF($D2708="","",Y2708*AB2708/100)</f>
        <v/>
      </c>
      <c r="W2708" s="16" t="str">
        <f aca="false">IF($D2708="","",Y2708-V2708)</f>
        <v/>
      </c>
      <c r="X2708" s="16" t="str">
        <f aca="false">IF($D2708="","",W2708-N2708)</f>
        <v/>
      </c>
      <c r="AB2708" s="17" t="str">
        <f aca="false">IF($D2708="","",IF(OR($R2708=TRUE(),$R2708="TRUE"),Settings!$C$6,Settings!$C$7)*100)</f>
        <v/>
      </c>
      <c r="AH2708" s="18" t="str">
        <f aca="false">IF($D2708="","",IF(COUNTIF($D$2:$D2708,$D2708)=1,1,0))</f>
        <v/>
      </c>
      <c r="AI2708" s="18" t="str">
        <f aca="false">IF($AH2708=1,SUMPRODUCT(--($AK$2:$AK$4001&lt;$AK2708))+1,"")</f>
        <v/>
      </c>
      <c r="AJ2708" s="18" t="str">
        <f aca="false">IF($D2708="","",IF(OR($R2708=TRUE(),$R2708="TRUE"),1,0))</f>
        <v/>
      </c>
      <c r="AK2708" s="18" t="str">
        <f aca="false">IF($AH2708=1,IFERROR(VALUE(MID($D2708,2,20)),1000000000)+ROW()/10000000,"")</f>
        <v/>
      </c>
    </row>
    <row r="2709" customFormat="false" ht="15" hidden="false" customHeight="false" outlineLevel="0" collapsed="false">
      <c r="F2709" s="15"/>
      <c r="N2709" s="16" t="str">
        <f aca="false">IF($D2709="","",M2709*Y2709/100)</f>
        <v/>
      </c>
      <c r="V2709" s="16" t="str">
        <f aca="false">IF($D2709="","",Y2709*AB2709/100)</f>
        <v/>
      </c>
      <c r="W2709" s="16" t="str">
        <f aca="false">IF($D2709="","",Y2709-V2709)</f>
        <v/>
      </c>
      <c r="X2709" s="16" t="str">
        <f aca="false">IF($D2709="","",W2709-N2709)</f>
        <v/>
      </c>
      <c r="AB2709" s="17" t="str">
        <f aca="false">IF($D2709="","",IF(OR($R2709=TRUE(),$R2709="TRUE"),Settings!$C$6,Settings!$C$7)*100)</f>
        <v/>
      </c>
      <c r="AH2709" s="18" t="str">
        <f aca="false">IF($D2709="","",IF(COUNTIF($D$2:$D2709,$D2709)=1,1,0))</f>
        <v/>
      </c>
      <c r="AI2709" s="18" t="str">
        <f aca="false">IF($AH2709=1,SUMPRODUCT(--($AK$2:$AK$4001&lt;$AK2709))+1,"")</f>
        <v/>
      </c>
      <c r="AJ2709" s="18" t="str">
        <f aca="false">IF($D2709="","",IF(OR($R2709=TRUE(),$R2709="TRUE"),1,0))</f>
        <v/>
      </c>
      <c r="AK2709" s="18" t="str">
        <f aca="false">IF($AH2709=1,IFERROR(VALUE(MID($D2709,2,20)),1000000000)+ROW()/10000000,"")</f>
        <v/>
      </c>
    </row>
    <row r="2710" customFormat="false" ht="15" hidden="false" customHeight="false" outlineLevel="0" collapsed="false">
      <c r="F2710" s="15"/>
      <c r="N2710" s="16" t="str">
        <f aca="false">IF($D2710="","",M2710*Y2710/100)</f>
        <v/>
      </c>
      <c r="V2710" s="16" t="str">
        <f aca="false">IF($D2710="","",Y2710*AB2710/100)</f>
        <v/>
      </c>
      <c r="W2710" s="16" t="str">
        <f aca="false">IF($D2710="","",Y2710-V2710)</f>
        <v/>
      </c>
      <c r="X2710" s="16" t="str">
        <f aca="false">IF($D2710="","",W2710-N2710)</f>
        <v/>
      </c>
      <c r="AB2710" s="17" t="str">
        <f aca="false">IF($D2710="","",IF(OR($R2710=TRUE(),$R2710="TRUE"),Settings!$C$6,Settings!$C$7)*100)</f>
        <v/>
      </c>
      <c r="AH2710" s="18" t="str">
        <f aca="false">IF($D2710="","",IF(COUNTIF($D$2:$D2710,$D2710)=1,1,0))</f>
        <v/>
      </c>
      <c r="AI2710" s="18" t="str">
        <f aca="false">IF($AH2710=1,SUMPRODUCT(--($AK$2:$AK$4001&lt;$AK2710))+1,"")</f>
        <v/>
      </c>
      <c r="AJ2710" s="18" t="str">
        <f aca="false">IF($D2710="","",IF(OR($R2710=TRUE(),$R2710="TRUE"),1,0))</f>
        <v/>
      </c>
      <c r="AK2710" s="18" t="str">
        <f aca="false">IF($AH2710=1,IFERROR(VALUE(MID($D2710,2,20)),1000000000)+ROW()/10000000,"")</f>
        <v/>
      </c>
    </row>
    <row r="2711" customFormat="false" ht="15" hidden="false" customHeight="false" outlineLevel="0" collapsed="false">
      <c r="F2711" s="15"/>
      <c r="N2711" s="16" t="str">
        <f aca="false">IF($D2711="","",M2711*Y2711/100)</f>
        <v/>
      </c>
      <c r="V2711" s="16" t="str">
        <f aca="false">IF($D2711="","",Y2711*AB2711/100)</f>
        <v/>
      </c>
      <c r="W2711" s="16" t="str">
        <f aca="false">IF($D2711="","",Y2711-V2711)</f>
        <v/>
      </c>
      <c r="X2711" s="16" t="str">
        <f aca="false">IF($D2711="","",W2711-N2711)</f>
        <v/>
      </c>
      <c r="AB2711" s="17" t="str">
        <f aca="false">IF($D2711="","",IF(OR($R2711=TRUE(),$R2711="TRUE"),Settings!$C$6,Settings!$C$7)*100)</f>
        <v/>
      </c>
      <c r="AH2711" s="18" t="str">
        <f aca="false">IF($D2711="","",IF(COUNTIF($D$2:$D2711,$D2711)=1,1,0))</f>
        <v/>
      </c>
      <c r="AI2711" s="18" t="str">
        <f aca="false">IF($AH2711=1,SUMPRODUCT(--($AK$2:$AK$4001&lt;$AK2711))+1,"")</f>
        <v/>
      </c>
      <c r="AJ2711" s="18" t="str">
        <f aca="false">IF($D2711="","",IF(OR($R2711=TRUE(),$R2711="TRUE"),1,0))</f>
        <v/>
      </c>
      <c r="AK2711" s="18" t="str">
        <f aca="false">IF($AH2711=1,IFERROR(VALUE(MID($D2711,2,20)),1000000000)+ROW()/10000000,"")</f>
        <v/>
      </c>
    </row>
    <row r="2712" customFormat="false" ht="15" hidden="false" customHeight="false" outlineLevel="0" collapsed="false">
      <c r="F2712" s="15"/>
      <c r="N2712" s="16" t="str">
        <f aca="false">IF($D2712="","",M2712*Y2712/100)</f>
        <v/>
      </c>
      <c r="V2712" s="16" t="str">
        <f aca="false">IF($D2712="","",Y2712*AB2712/100)</f>
        <v/>
      </c>
      <c r="W2712" s="16" t="str">
        <f aca="false">IF($D2712="","",Y2712-V2712)</f>
        <v/>
      </c>
      <c r="X2712" s="16" t="str">
        <f aca="false">IF($D2712="","",W2712-N2712)</f>
        <v/>
      </c>
      <c r="AB2712" s="17" t="str">
        <f aca="false">IF($D2712="","",IF(OR($R2712=TRUE(),$R2712="TRUE"),Settings!$C$6,Settings!$C$7)*100)</f>
        <v/>
      </c>
      <c r="AH2712" s="18" t="str">
        <f aca="false">IF($D2712="","",IF(COUNTIF($D$2:$D2712,$D2712)=1,1,0))</f>
        <v/>
      </c>
      <c r="AI2712" s="18" t="str">
        <f aca="false">IF($AH2712=1,SUMPRODUCT(--($AK$2:$AK$4001&lt;$AK2712))+1,"")</f>
        <v/>
      </c>
      <c r="AJ2712" s="18" t="str">
        <f aca="false">IF($D2712="","",IF(OR($R2712=TRUE(),$R2712="TRUE"),1,0))</f>
        <v/>
      </c>
      <c r="AK2712" s="18" t="str">
        <f aca="false">IF($AH2712=1,IFERROR(VALUE(MID($D2712,2,20)),1000000000)+ROW()/10000000,"")</f>
        <v/>
      </c>
    </row>
    <row r="2713" customFormat="false" ht="15" hidden="false" customHeight="false" outlineLevel="0" collapsed="false">
      <c r="F2713" s="15"/>
      <c r="N2713" s="16" t="str">
        <f aca="false">IF($D2713="","",M2713*Y2713/100)</f>
        <v/>
      </c>
      <c r="V2713" s="16" t="str">
        <f aca="false">IF($D2713="","",Y2713*AB2713/100)</f>
        <v/>
      </c>
      <c r="W2713" s="16" t="str">
        <f aca="false">IF($D2713="","",Y2713-V2713)</f>
        <v/>
      </c>
      <c r="X2713" s="16" t="str">
        <f aca="false">IF($D2713="","",W2713-N2713)</f>
        <v/>
      </c>
      <c r="AB2713" s="17" t="str">
        <f aca="false">IF($D2713="","",IF(OR($R2713=TRUE(),$R2713="TRUE"),Settings!$C$6,Settings!$C$7)*100)</f>
        <v/>
      </c>
      <c r="AH2713" s="18" t="str">
        <f aca="false">IF($D2713="","",IF(COUNTIF($D$2:$D2713,$D2713)=1,1,0))</f>
        <v/>
      </c>
      <c r="AI2713" s="18" t="str">
        <f aca="false">IF($AH2713=1,SUMPRODUCT(--($AK$2:$AK$4001&lt;$AK2713))+1,"")</f>
        <v/>
      </c>
      <c r="AJ2713" s="18" t="str">
        <f aca="false">IF($D2713="","",IF(OR($R2713=TRUE(),$R2713="TRUE"),1,0))</f>
        <v/>
      </c>
      <c r="AK2713" s="18" t="str">
        <f aca="false">IF($AH2713=1,IFERROR(VALUE(MID($D2713,2,20)),1000000000)+ROW()/10000000,"")</f>
        <v/>
      </c>
    </row>
    <row r="2714" customFormat="false" ht="15" hidden="false" customHeight="false" outlineLevel="0" collapsed="false">
      <c r="F2714" s="15"/>
      <c r="N2714" s="16" t="str">
        <f aca="false">IF($D2714="","",M2714*Y2714/100)</f>
        <v/>
      </c>
      <c r="V2714" s="16" t="str">
        <f aca="false">IF($D2714="","",Y2714*AB2714/100)</f>
        <v/>
      </c>
      <c r="W2714" s="16" t="str">
        <f aca="false">IF($D2714="","",Y2714-V2714)</f>
        <v/>
      </c>
      <c r="X2714" s="16" t="str">
        <f aca="false">IF($D2714="","",W2714-N2714)</f>
        <v/>
      </c>
      <c r="AB2714" s="17" t="str">
        <f aca="false">IF($D2714="","",IF(OR($R2714=TRUE(),$R2714="TRUE"),Settings!$C$6,Settings!$C$7)*100)</f>
        <v/>
      </c>
      <c r="AH2714" s="18" t="str">
        <f aca="false">IF($D2714="","",IF(COUNTIF($D$2:$D2714,$D2714)=1,1,0))</f>
        <v/>
      </c>
      <c r="AI2714" s="18" t="str">
        <f aca="false">IF($AH2714=1,SUMPRODUCT(--($AK$2:$AK$4001&lt;$AK2714))+1,"")</f>
        <v/>
      </c>
      <c r="AJ2714" s="18" t="str">
        <f aca="false">IF($D2714="","",IF(OR($R2714=TRUE(),$R2714="TRUE"),1,0))</f>
        <v/>
      </c>
      <c r="AK2714" s="18" t="str">
        <f aca="false">IF($AH2714=1,IFERROR(VALUE(MID($D2714,2,20)),1000000000)+ROW()/10000000,"")</f>
        <v/>
      </c>
    </row>
    <row r="2715" customFormat="false" ht="15" hidden="false" customHeight="false" outlineLevel="0" collapsed="false">
      <c r="F2715" s="15"/>
      <c r="N2715" s="16" t="str">
        <f aca="false">IF($D2715="","",M2715*Y2715/100)</f>
        <v/>
      </c>
      <c r="V2715" s="16" t="str">
        <f aca="false">IF($D2715="","",Y2715*AB2715/100)</f>
        <v/>
      </c>
      <c r="W2715" s="16" t="str">
        <f aca="false">IF($D2715="","",Y2715-V2715)</f>
        <v/>
      </c>
      <c r="X2715" s="16" t="str">
        <f aca="false">IF($D2715="","",W2715-N2715)</f>
        <v/>
      </c>
      <c r="AB2715" s="17" t="str">
        <f aca="false">IF($D2715="","",IF(OR($R2715=TRUE(),$R2715="TRUE"),Settings!$C$6,Settings!$C$7)*100)</f>
        <v/>
      </c>
      <c r="AH2715" s="18" t="str">
        <f aca="false">IF($D2715="","",IF(COUNTIF($D$2:$D2715,$D2715)=1,1,0))</f>
        <v/>
      </c>
      <c r="AI2715" s="18" t="str">
        <f aca="false">IF($AH2715=1,SUMPRODUCT(--($AK$2:$AK$4001&lt;$AK2715))+1,"")</f>
        <v/>
      </c>
      <c r="AJ2715" s="18" t="str">
        <f aca="false">IF($D2715="","",IF(OR($R2715=TRUE(),$R2715="TRUE"),1,0))</f>
        <v/>
      </c>
      <c r="AK2715" s="18" t="str">
        <f aca="false">IF($AH2715=1,IFERROR(VALUE(MID($D2715,2,20)),1000000000)+ROW()/10000000,"")</f>
        <v/>
      </c>
    </row>
    <row r="2716" customFormat="false" ht="15" hidden="false" customHeight="false" outlineLevel="0" collapsed="false">
      <c r="F2716" s="15"/>
      <c r="N2716" s="16" t="str">
        <f aca="false">IF($D2716="","",M2716*Y2716/100)</f>
        <v/>
      </c>
      <c r="V2716" s="16" t="str">
        <f aca="false">IF($D2716="","",Y2716*AB2716/100)</f>
        <v/>
      </c>
      <c r="W2716" s="16" t="str">
        <f aca="false">IF($D2716="","",Y2716-V2716)</f>
        <v/>
      </c>
      <c r="X2716" s="16" t="str">
        <f aca="false">IF($D2716="","",W2716-N2716)</f>
        <v/>
      </c>
      <c r="AB2716" s="17" t="str">
        <f aca="false">IF($D2716="","",IF(OR($R2716=TRUE(),$R2716="TRUE"),Settings!$C$6,Settings!$C$7)*100)</f>
        <v/>
      </c>
      <c r="AH2716" s="18" t="str">
        <f aca="false">IF($D2716="","",IF(COUNTIF($D$2:$D2716,$D2716)=1,1,0))</f>
        <v/>
      </c>
      <c r="AI2716" s="18" t="str">
        <f aca="false">IF($AH2716=1,SUMPRODUCT(--($AK$2:$AK$4001&lt;$AK2716))+1,"")</f>
        <v/>
      </c>
      <c r="AJ2716" s="18" t="str">
        <f aca="false">IF($D2716="","",IF(OR($R2716=TRUE(),$R2716="TRUE"),1,0))</f>
        <v/>
      </c>
      <c r="AK2716" s="18" t="str">
        <f aca="false">IF($AH2716=1,IFERROR(VALUE(MID($D2716,2,20)),1000000000)+ROW()/10000000,"")</f>
        <v/>
      </c>
    </row>
    <row r="2717" customFormat="false" ht="15" hidden="false" customHeight="false" outlineLevel="0" collapsed="false">
      <c r="F2717" s="15"/>
      <c r="N2717" s="16" t="str">
        <f aca="false">IF($D2717="","",M2717*Y2717/100)</f>
        <v/>
      </c>
      <c r="V2717" s="16" t="str">
        <f aca="false">IF($D2717="","",Y2717*AB2717/100)</f>
        <v/>
      </c>
      <c r="W2717" s="16" t="str">
        <f aca="false">IF($D2717="","",Y2717-V2717)</f>
        <v/>
      </c>
      <c r="X2717" s="16" t="str">
        <f aca="false">IF($D2717="","",W2717-N2717)</f>
        <v/>
      </c>
      <c r="AB2717" s="17" t="str">
        <f aca="false">IF($D2717="","",IF(OR($R2717=TRUE(),$R2717="TRUE"),Settings!$C$6,Settings!$C$7)*100)</f>
        <v/>
      </c>
      <c r="AH2717" s="18" t="str">
        <f aca="false">IF($D2717="","",IF(COUNTIF($D$2:$D2717,$D2717)=1,1,0))</f>
        <v/>
      </c>
      <c r="AI2717" s="18" t="str">
        <f aca="false">IF($AH2717=1,SUMPRODUCT(--($AK$2:$AK$4001&lt;$AK2717))+1,"")</f>
        <v/>
      </c>
      <c r="AJ2717" s="18" t="str">
        <f aca="false">IF($D2717="","",IF(OR($R2717=TRUE(),$R2717="TRUE"),1,0))</f>
        <v/>
      </c>
      <c r="AK2717" s="18" t="str">
        <f aca="false">IF($AH2717=1,IFERROR(VALUE(MID($D2717,2,20)),1000000000)+ROW()/10000000,"")</f>
        <v/>
      </c>
    </row>
    <row r="2718" customFormat="false" ht="15" hidden="false" customHeight="false" outlineLevel="0" collapsed="false">
      <c r="F2718" s="15"/>
      <c r="N2718" s="16" t="str">
        <f aca="false">IF($D2718="","",M2718*Y2718/100)</f>
        <v/>
      </c>
      <c r="V2718" s="16" t="str">
        <f aca="false">IF($D2718="","",Y2718*AB2718/100)</f>
        <v/>
      </c>
      <c r="W2718" s="16" t="str">
        <f aca="false">IF($D2718="","",Y2718-V2718)</f>
        <v/>
      </c>
      <c r="X2718" s="16" t="str">
        <f aca="false">IF($D2718="","",W2718-N2718)</f>
        <v/>
      </c>
      <c r="AB2718" s="17" t="str">
        <f aca="false">IF($D2718="","",IF(OR($R2718=TRUE(),$R2718="TRUE"),Settings!$C$6,Settings!$C$7)*100)</f>
        <v/>
      </c>
      <c r="AH2718" s="18" t="str">
        <f aca="false">IF($D2718="","",IF(COUNTIF($D$2:$D2718,$D2718)=1,1,0))</f>
        <v/>
      </c>
      <c r="AI2718" s="18" t="str">
        <f aca="false">IF($AH2718=1,SUMPRODUCT(--($AK$2:$AK$4001&lt;$AK2718))+1,"")</f>
        <v/>
      </c>
      <c r="AJ2718" s="18" t="str">
        <f aca="false">IF($D2718="","",IF(OR($R2718=TRUE(),$R2718="TRUE"),1,0))</f>
        <v/>
      </c>
      <c r="AK2718" s="18" t="str">
        <f aca="false">IF($AH2718=1,IFERROR(VALUE(MID($D2718,2,20)),1000000000)+ROW()/10000000,"")</f>
        <v/>
      </c>
    </row>
    <row r="2719" customFormat="false" ht="15" hidden="false" customHeight="false" outlineLevel="0" collapsed="false">
      <c r="F2719" s="15"/>
      <c r="N2719" s="16" t="str">
        <f aca="false">IF($D2719="","",M2719*Y2719/100)</f>
        <v/>
      </c>
      <c r="V2719" s="16" t="str">
        <f aca="false">IF($D2719="","",Y2719*AB2719/100)</f>
        <v/>
      </c>
      <c r="W2719" s="16" t="str">
        <f aca="false">IF($D2719="","",Y2719-V2719)</f>
        <v/>
      </c>
      <c r="X2719" s="16" t="str">
        <f aca="false">IF($D2719="","",W2719-N2719)</f>
        <v/>
      </c>
      <c r="AB2719" s="17" t="str">
        <f aca="false">IF($D2719="","",IF(OR($R2719=TRUE(),$R2719="TRUE"),Settings!$C$6,Settings!$C$7)*100)</f>
        <v/>
      </c>
      <c r="AH2719" s="18" t="str">
        <f aca="false">IF($D2719="","",IF(COUNTIF($D$2:$D2719,$D2719)=1,1,0))</f>
        <v/>
      </c>
      <c r="AI2719" s="18" t="str">
        <f aca="false">IF($AH2719=1,SUMPRODUCT(--($AK$2:$AK$4001&lt;$AK2719))+1,"")</f>
        <v/>
      </c>
      <c r="AJ2719" s="18" t="str">
        <f aca="false">IF($D2719="","",IF(OR($R2719=TRUE(),$R2719="TRUE"),1,0))</f>
        <v/>
      </c>
      <c r="AK2719" s="18" t="str">
        <f aca="false">IF($AH2719=1,IFERROR(VALUE(MID($D2719,2,20)),1000000000)+ROW()/10000000,"")</f>
        <v/>
      </c>
    </row>
    <row r="2720" customFormat="false" ht="15" hidden="false" customHeight="false" outlineLevel="0" collapsed="false">
      <c r="F2720" s="15"/>
      <c r="N2720" s="16" t="str">
        <f aca="false">IF($D2720="","",M2720*Y2720/100)</f>
        <v/>
      </c>
      <c r="V2720" s="16" t="str">
        <f aca="false">IF($D2720="","",Y2720*AB2720/100)</f>
        <v/>
      </c>
      <c r="W2720" s="16" t="str">
        <f aca="false">IF($D2720="","",Y2720-V2720)</f>
        <v/>
      </c>
      <c r="X2720" s="16" t="str">
        <f aca="false">IF($D2720="","",W2720-N2720)</f>
        <v/>
      </c>
      <c r="AB2720" s="17" t="str">
        <f aca="false">IF($D2720="","",IF(OR($R2720=TRUE(),$R2720="TRUE"),Settings!$C$6,Settings!$C$7)*100)</f>
        <v/>
      </c>
      <c r="AH2720" s="18" t="str">
        <f aca="false">IF($D2720="","",IF(COUNTIF($D$2:$D2720,$D2720)=1,1,0))</f>
        <v/>
      </c>
      <c r="AI2720" s="18" t="str">
        <f aca="false">IF($AH2720=1,SUMPRODUCT(--($AK$2:$AK$4001&lt;$AK2720))+1,"")</f>
        <v/>
      </c>
      <c r="AJ2720" s="18" t="str">
        <f aca="false">IF($D2720="","",IF(OR($R2720=TRUE(),$R2720="TRUE"),1,0))</f>
        <v/>
      </c>
      <c r="AK2720" s="18" t="str">
        <f aca="false">IF($AH2720=1,IFERROR(VALUE(MID($D2720,2,20)),1000000000)+ROW()/10000000,"")</f>
        <v/>
      </c>
    </row>
    <row r="2721" customFormat="false" ht="15" hidden="false" customHeight="false" outlineLevel="0" collapsed="false">
      <c r="F2721" s="15"/>
      <c r="N2721" s="16" t="str">
        <f aca="false">IF($D2721="","",M2721*Y2721/100)</f>
        <v/>
      </c>
      <c r="V2721" s="16" t="str">
        <f aca="false">IF($D2721="","",Y2721*AB2721/100)</f>
        <v/>
      </c>
      <c r="W2721" s="16" t="str">
        <f aca="false">IF($D2721="","",Y2721-V2721)</f>
        <v/>
      </c>
      <c r="X2721" s="16" t="str">
        <f aca="false">IF($D2721="","",W2721-N2721)</f>
        <v/>
      </c>
      <c r="AB2721" s="17" t="str">
        <f aca="false">IF($D2721="","",IF(OR($R2721=TRUE(),$R2721="TRUE"),Settings!$C$6,Settings!$C$7)*100)</f>
        <v/>
      </c>
      <c r="AH2721" s="18" t="str">
        <f aca="false">IF($D2721="","",IF(COUNTIF($D$2:$D2721,$D2721)=1,1,0))</f>
        <v/>
      </c>
      <c r="AI2721" s="18" t="str">
        <f aca="false">IF($AH2721=1,SUMPRODUCT(--($AK$2:$AK$4001&lt;$AK2721))+1,"")</f>
        <v/>
      </c>
      <c r="AJ2721" s="18" t="str">
        <f aca="false">IF($D2721="","",IF(OR($R2721=TRUE(),$R2721="TRUE"),1,0))</f>
        <v/>
      </c>
      <c r="AK2721" s="18" t="str">
        <f aca="false">IF($AH2721=1,IFERROR(VALUE(MID($D2721,2,20)),1000000000)+ROW()/10000000,"")</f>
        <v/>
      </c>
    </row>
    <row r="2722" customFormat="false" ht="15" hidden="false" customHeight="false" outlineLevel="0" collapsed="false">
      <c r="F2722" s="15"/>
      <c r="N2722" s="16" t="str">
        <f aca="false">IF($D2722="","",M2722*Y2722/100)</f>
        <v/>
      </c>
      <c r="V2722" s="16" t="str">
        <f aca="false">IF($D2722="","",Y2722*AB2722/100)</f>
        <v/>
      </c>
      <c r="W2722" s="16" t="str">
        <f aca="false">IF($D2722="","",Y2722-V2722)</f>
        <v/>
      </c>
      <c r="X2722" s="16" t="str">
        <f aca="false">IF($D2722="","",W2722-N2722)</f>
        <v/>
      </c>
      <c r="AB2722" s="17" t="str">
        <f aca="false">IF($D2722="","",IF(OR($R2722=TRUE(),$R2722="TRUE"),Settings!$C$6,Settings!$C$7)*100)</f>
        <v/>
      </c>
      <c r="AH2722" s="18" t="str">
        <f aca="false">IF($D2722="","",IF(COUNTIF($D$2:$D2722,$D2722)=1,1,0))</f>
        <v/>
      </c>
      <c r="AI2722" s="18" t="str">
        <f aca="false">IF($AH2722=1,SUMPRODUCT(--($AK$2:$AK$4001&lt;$AK2722))+1,"")</f>
        <v/>
      </c>
      <c r="AJ2722" s="18" t="str">
        <f aca="false">IF($D2722="","",IF(OR($R2722=TRUE(),$R2722="TRUE"),1,0))</f>
        <v/>
      </c>
      <c r="AK2722" s="18" t="str">
        <f aca="false">IF($AH2722=1,IFERROR(VALUE(MID($D2722,2,20)),1000000000)+ROW()/10000000,"")</f>
        <v/>
      </c>
    </row>
    <row r="2723" customFormat="false" ht="15" hidden="false" customHeight="false" outlineLevel="0" collapsed="false">
      <c r="F2723" s="15"/>
      <c r="N2723" s="16" t="str">
        <f aca="false">IF($D2723="","",M2723*Y2723/100)</f>
        <v/>
      </c>
      <c r="V2723" s="16" t="str">
        <f aca="false">IF($D2723="","",Y2723*AB2723/100)</f>
        <v/>
      </c>
      <c r="W2723" s="16" t="str">
        <f aca="false">IF($D2723="","",Y2723-V2723)</f>
        <v/>
      </c>
      <c r="X2723" s="16" t="str">
        <f aca="false">IF($D2723="","",W2723-N2723)</f>
        <v/>
      </c>
      <c r="AB2723" s="17" t="str">
        <f aca="false">IF($D2723="","",IF(OR($R2723=TRUE(),$R2723="TRUE"),Settings!$C$6,Settings!$C$7)*100)</f>
        <v/>
      </c>
      <c r="AH2723" s="18" t="str">
        <f aca="false">IF($D2723="","",IF(COUNTIF($D$2:$D2723,$D2723)=1,1,0))</f>
        <v/>
      </c>
      <c r="AI2723" s="18" t="str">
        <f aca="false">IF($AH2723=1,SUMPRODUCT(--($AK$2:$AK$4001&lt;$AK2723))+1,"")</f>
        <v/>
      </c>
      <c r="AJ2723" s="18" t="str">
        <f aca="false">IF($D2723="","",IF(OR($R2723=TRUE(),$R2723="TRUE"),1,0))</f>
        <v/>
      </c>
      <c r="AK2723" s="18" t="str">
        <f aca="false">IF($AH2723=1,IFERROR(VALUE(MID($D2723,2,20)),1000000000)+ROW()/10000000,"")</f>
        <v/>
      </c>
    </row>
    <row r="2724" customFormat="false" ht="15" hidden="false" customHeight="false" outlineLevel="0" collapsed="false">
      <c r="F2724" s="15"/>
      <c r="N2724" s="16" t="str">
        <f aca="false">IF($D2724="","",M2724*Y2724/100)</f>
        <v/>
      </c>
      <c r="V2724" s="16" t="str">
        <f aca="false">IF($D2724="","",Y2724*AB2724/100)</f>
        <v/>
      </c>
      <c r="W2724" s="16" t="str">
        <f aca="false">IF($D2724="","",Y2724-V2724)</f>
        <v/>
      </c>
      <c r="X2724" s="16" t="str">
        <f aca="false">IF($D2724="","",W2724-N2724)</f>
        <v/>
      </c>
      <c r="AB2724" s="17" t="str">
        <f aca="false">IF($D2724="","",IF(OR($R2724=TRUE(),$R2724="TRUE"),Settings!$C$6,Settings!$C$7)*100)</f>
        <v/>
      </c>
      <c r="AH2724" s="18" t="str">
        <f aca="false">IF($D2724="","",IF(COUNTIF($D$2:$D2724,$D2724)=1,1,0))</f>
        <v/>
      </c>
      <c r="AI2724" s="18" t="str">
        <f aca="false">IF($AH2724=1,SUMPRODUCT(--($AK$2:$AK$4001&lt;$AK2724))+1,"")</f>
        <v/>
      </c>
      <c r="AJ2724" s="18" t="str">
        <f aca="false">IF($D2724="","",IF(OR($R2724=TRUE(),$R2724="TRUE"),1,0))</f>
        <v/>
      </c>
      <c r="AK2724" s="18" t="str">
        <f aca="false">IF($AH2724=1,IFERROR(VALUE(MID($D2724,2,20)),1000000000)+ROW()/10000000,"")</f>
        <v/>
      </c>
    </row>
    <row r="2725" customFormat="false" ht="15" hidden="false" customHeight="false" outlineLevel="0" collapsed="false">
      <c r="F2725" s="15"/>
      <c r="N2725" s="16" t="str">
        <f aca="false">IF($D2725="","",M2725*Y2725/100)</f>
        <v/>
      </c>
      <c r="V2725" s="16" t="str">
        <f aca="false">IF($D2725="","",Y2725*AB2725/100)</f>
        <v/>
      </c>
      <c r="W2725" s="16" t="str">
        <f aca="false">IF($D2725="","",Y2725-V2725)</f>
        <v/>
      </c>
      <c r="X2725" s="16" t="str">
        <f aca="false">IF($D2725="","",W2725-N2725)</f>
        <v/>
      </c>
      <c r="AB2725" s="17" t="str">
        <f aca="false">IF($D2725="","",IF(OR($R2725=TRUE(),$R2725="TRUE"),Settings!$C$6,Settings!$C$7)*100)</f>
        <v/>
      </c>
      <c r="AH2725" s="18" t="str">
        <f aca="false">IF($D2725="","",IF(COUNTIF($D$2:$D2725,$D2725)=1,1,0))</f>
        <v/>
      </c>
      <c r="AI2725" s="18" t="str">
        <f aca="false">IF($AH2725=1,SUMPRODUCT(--($AK$2:$AK$4001&lt;$AK2725))+1,"")</f>
        <v/>
      </c>
      <c r="AJ2725" s="18" t="str">
        <f aca="false">IF($D2725="","",IF(OR($R2725=TRUE(),$R2725="TRUE"),1,0))</f>
        <v/>
      </c>
      <c r="AK2725" s="18" t="str">
        <f aca="false">IF($AH2725=1,IFERROR(VALUE(MID($D2725,2,20)),1000000000)+ROW()/10000000,"")</f>
        <v/>
      </c>
    </row>
    <row r="2726" customFormat="false" ht="15" hidden="false" customHeight="false" outlineLevel="0" collapsed="false">
      <c r="F2726" s="15"/>
      <c r="N2726" s="16" t="str">
        <f aca="false">IF($D2726="","",M2726*Y2726/100)</f>
        <v/>
      </c>
      <c r="V2726" s="16" t="str">
        <f aca="false">IF($D2726="","",Y2726*AB2726/100)</f>
        <v/>
      </c>
      <c r="W2726" s="16" t="str">
        <f aca="false">IF($D2726="","",Y2726-V2726)</f>
        <v/>
      </c>
      <c r="X2726" s="16" t="str">
        <f aca="false">IF($D2726="","",W2726-N2726)</f>
        <v/>
      </c>
      <c r="AB2726" s="17" t="str">
        <f aca="false">IF($D2726="","",IF(OR($R2726=TRUE(),$R2726="TRUE"),Settings!$C$6,Settings!$C$7)*100)</f>
        <v/>
      </c>
      <c r="AH2726" s="18" t="str">
        <f aca="false">IF($D2726="","",IF(COUNTIF($D$2:$D2726,$D2726)=1,1,0))</f>
        <v/>
      </c>
      <c r="AI2726" s="18" t="str">
        <f aca="false">IF($AH2726=1,SUMPRODUCT(--($AK$2:$AK$4001&lt;$AK2726))+1,"")</f>
        <v/>
      </c>
      <c r="AJ2726" s="18" t="str">
        <f aca="false">IF($D2726="","",IF(OR($R2726=TRUE(),$R2726="TRUE"),1,0))</f>
        <v/>
      </c>
      <c r="AK2726" s="18" t="str">
        <f aca="false">IF($AH2726=1,IFERROR(VALUE(MID($D2726,2,20)),1000000000)+ROW()/10000000,"")</f>
        <v/>
      </c>
    </row>
    <row r="2727" customFormat="false" ht="15" hidden="false" customHeight="false" outlineLevel="0" collapsed="false">
      <c r="F2727" s="15"/>
      <c r="N2727" s="16" t="str">
        <f aca="false">IF($D2727="","",M2727*Y2727/100)</f>
        <v/>
      </c>
      <c r="V2727" s="16" t="str">
        <f aca="false">IF($D2727="","",Y2727*AB2727/100)</f>
        <v/>
      </c>
      <c r="W2727" s="16" t="str">
        <f aca="false">IF($D2727="","",Y2727-V2727)</f>
        <v/>
      </c>
      <c r="X2727" s="16" t="str">
        <f aca="false">IF($D2727="","",W2727-N2727)</f>
        <v/>
      </c>
      <c r="AB2727" s="17" t="str">
        <f aca="false">IF($D2727="","",IF(OR($R2727=TRUE(),$R2727="TRUE"),Settings!$C$6,Settings!$C$7)*100)</f>
        <v/>
      </c>
      <c r="AH2727" s="18" t="str">
        <f aca="false">IF($D2727="","",IF(COUNTIF($D$2:$D2727,$D2727)=1,1,0))</f>
        <v/>
      </c>
      <c r="AI2727" s="18" t="str">
        <f aca="false">IF($AH2727=1,SUMPRODUCT(--($AK$2:$AK$4001&lt;$AK2727))+1,"")</f>
        <v/>
      </c>
      <c r="AJ2727" s="18" t="str">
        <f aca="false">IF($D2727="","",IF(OR($R2727=TRUE(),$R2727="TRUE"),1,0))</f>
        <v/>
      </c>
      <c r="AK2727" s="18" t="str">
        <f aca="false">IF($AH2727=1,IFERROR(VALUE(MID($D2727,2,20)),1000000000)+ROW()/10000000,"")</f>
        <v/>
      </c>
    </row>
    <row r="2728" customFormat="false" ht="15" hidden="false" customHeight="false" outlineLevel="0" collapsed="false">
      <c r="F2728" s="15"/>
      <c r="N2728" s="16" t="str">
        <f aca="false">IF($D2728="","",M2728*Y2728/100)</f>
        <v/>
      </c>
      <c r="V2728" s="16" t="str">
        <f aca="false">IF($D2728="","",Y2728*AB2728/100)</f>
        <v/>
      </c>
      <c r="W2728" s="16" t="str">
        <f aca="false">IF($D2728="","",Y2728-V2728)</f>
        <v/>
      </c>
      <c r="X2728" s="16" t="str">
        <f aca="false">IF($D2728="","",W2728-N2728)</f>
        <v/>
      </c>
      <c r="AB2728" s="17" t="str">
        <f aca="false">IF($D2728="","",IF(OR($R2728=TRUE(),$R2728="TRUE"),Settings!$C$6,Settings!$C$7)*100)</f>
        <v/>
      </c>
      <c r="AH2728" s="18" t="str">
        <f aca="false">IF($D2728="","",IF(COUNTIF($D$2:$D2728,$D2728)=1,1,0))</f>
        <v/>
      </c>
      <c r="AI2728" s="18" t="str">
        <f aca="false">IF($AH2728=1,SUMPRODUCT(--($AK$2:$AK$4001&lt;$AK2728))+1,"")</f>
        <v/>
      </c>
      <c r="AJ2728" s="18" t="str">
        <f aca="false">IF($D2728="","",IF(OR($R2728=TRUE(),$R2728="TRUE"),1,0))</f>
        <v/>
      </c>
      <c r="AK2728" s="18" t="str">
        <f aca="false">IF($AH2728=1,IFERROR(VALUE(MID($D2728,2,20)),1000000000)+ROW()/10000000,"")</f>
        <v/>
      </c>
    </row>
    <row r="2729" customFormat="false" ht="15" hidden="false" customHeight="false" outlineLevel="0" collapsed="false">
      <c r="F2729" s="15"/>
      <c r="N2729" s="16" t="str">
        <f aca="false">IF($D2729="","",M2729*Y2729/100)</f>
        <v/>
      </c>
      <c r="V2729" s="16" t="str">
        <f aca="false">IF($D2729="","",Y2729*AB2729/100)</f>
        <v/>
      </c>
      <c r="W2729" s="16" t="str">
        <f aca="false">IF($D2729="","",Y2729-V2729)</f>
        <v/>
      </c>
      <c r="X2729" s="16" t="str">
        <f aca="false">IF($D2729="","",W2729-N2729)</f>
        <v/>
      </c>
      <c r="AB2729" s="17" t="str">
        <f aca="false">IF($D2729="","",IF(OR($R2729=TRUE(),$R2729="TRUE"),Settings!$C$6,Settings!$C$7)*100)</f>
        <v/>
      </c>
      <c r="AH2729" s="18" t="str">
        <f aca="false">IF($D2729="","",IF(COUNTIF($D$2:$D2729,$D2729)=1,1,0))</f>
        <v/>
      </c>
      <c r="AI2729" s="18" t="str">
        <f aca="false">IF($AH2729=1,SUMPRODUCT(--($AK$2:$AK$4001&lt;$AK2729))+1,"")</f>
        <v/>
      </c>
      <c r="AJ2729" s="18" t="str">
        <f aca="false">IF($D2729="","",IF(OR($R2729=TRUE(),$R2729="TRUE"),1,0))</f>
        <v/>
      </c>
      <c r="AK2729" s="18" t="str">
        <f aca="false">IF($AH2729=1,IFERROR(VALUE(MID($D2729,2,20)),1000000000)+ROW()/10000000,"")</f>
        <v/>
      </c>
    </row>
    <row r="2730" customFormat="false" ht="15" hidden="false" customHeight="false" outlineLevel="0" collapsed="false">
      <c r="F2730" s="15"/>
      <c r="N2730" s="16" t="str">
        <f aca="false">IF($D2730="","",M2730*Y2730/100)</f>
        <v/>
      </c>
      <c r="V2730" s="16" t="str">
        <f aca="false">IF($D2730="","",Y2730*AB2730/100)</f>
        <v/>
      </c>
      <c r="W2730" s="16" t="str">
        <f aca="false">IF($D2730="","",Y2730-V2730)</f>
        <v/>
      </c>
      <c r="X2730" s="16" t="str">
        <f aca="false">IF($D2730="","",W2730-N2730)</f>
        <v/>
      </c>
      <c r="AB2730" s="17" t="str">
        <f aca="false">IF($D2730="","",IF(OR($R2730=TRUE(),$R2730="TRUE"),Settings!$C$6,Settings!$C$7)*100)</f>
        <v/>
      </c>
      <c r="AH2730" s="18" t="str">
        <f aca="false">IF($D2730="","",IF(COUNTIF($D$2:$D2730,$D2730)=1,1,0))</f>
        <v/>
      </c>
      <c r="AI2730" s="18" t="str">
        <f aca="false">IF($AH2730=1,SUMPRODUCT(--($AK$2:$AK$4001&lt;$AK2730))+1,"")</f>
        <v/>
      </c>
      <c r="AJ2730" s="18" t="str">
        <f aca="false">IF($D2730="","",IF(OR($R2730=TRUE(),$R2730="TRUE"),1,0))</f>
        <v/>
      </c>
      <c r="AK2730" s="18" t="str">
        <f aca="false">IF($AH2730=1,IFERROR(VALUE(MID($D2730,2,20)),1000000000)+ROW()/10000000,"")</f>
        <v/>
      </c>
    </row>
    <row r="2731" customFormat="false" ht="15" hidden="false" customHeight="false" outlineLevel="0" collapsed="false">
      <c r="F2731" s="15"/>
      <c r="N2731" s="16" t="str">
        <f aca="false">IF($D2731="","",M2731*Y2731/100)</f>
        <v/>
      </c>
      <c r="V2731" s="16" t="str">
        <f aca="false">IF($D2731="","",Y2731*AB2731/100)</f>
        <v/>
      </c>
      <c r="W2731" s="16" t="str">
        <f aca="false">IF($D2731="","",Y2731-V2731)</f>
        <v/>
      </c>
      <c r="X2731" s="16" t="str">
        <f aca="false">IF($D2731="","",W2731-N2731)</f>
        <v/>
      </c>
      <c r="AB2731" s="17" t="str">
        <f aca="false">IF($D2731="","",IF(OR($R2731=TRUE(),$R2731="TRUE"),Settings!$C$6,Settings!$C$7)*100)</f>
        <v/>
      </c>
      <c r="AH2731" s="18" t="str">
        <f aca="false">IF($D2731="","",IF(COUNTIF($D$2:$D2731,$D2731)=1,1,0))</f>
        <v/>
      </c>
      <c r="AI2731" s="18" t="str">
        <f aca="false">IF($AH2731=1,SUMPRODUCT(--($AK$2:$AK$4001&lt;$AK2731))+1,"")</f>
        <v/>
      </c>
      <c r="AJ2731" s="18" t="str">
        <f aca="false">IF($D2731="","",IF(OR($R2731=TRUE(),$R2731="TRUE"),1,0))</f>
        <v/>
      </c>
      <c r="AK2731" s="18" t="str">
        <f aca="false">IF($AH2731=1,IFERROR(VALUE(MID($D2731,2,20)),1000000000)+ROW()/10000000,"")</f>
        <v/>
      </c>
    </row>
    <row r="2732" customFormat="false" ht="15" hidden="false" customHeight="false" outlineLevel="0" collapsed="false">
      <c r="F2732" s="15"/>
      <c r="N2732" s="16" t="str">
        <f aca="false">IF($D2732="","",M2732*Y2732/100)</f>
        <v/>
      </c>
      <c r="V2732" s="16" t="str">
        <f aca="false">IF($D2732="","",Y2732*AB2732/100)</f>
        <v/>
      </c>
      <c r="W2732" s="16" t="str">
        <f aca="false">IF($D2732="","",Y2732-V2732)</f>
        <v/>
      </c>
      <c r="X2732" s="16" t="str">
        <f aca="false">IF($D2732="","",W2732-N2732)</f>
        <v/>
      </c>
      <c r="AB2732" s="17" t="str">
        <f aca="false">IF($D2732="","",IF(OR($R2732=TRUE(),$R2732="TRUE"),Settings!$C$6,Settings!$C$7)*100)</f>
        <v/>
      </c>
      <c r="AH2732" s="18" t="str">
        <f aca="false">IF($D2732="","",IF(COUNTIF($D$2:$D2732,$D2732)=1,1,0))</f>
        <v/>
      </c>
      <c r="AI2732" s="18" t="str">
        <f aca="false">IF($AH2732=1,SUMPRODUCT(--($AK$2:$AK$4001&lt;$AK2732))+1,"")</f>
        <v/>
      </c>
      <c r="AJ2732" s="18" t="str">
        <f aca="false">IF($D2732="","",IF(OR($R2732=TRUE(),$R2732="TRUE"),1,0))</f>
        <v/>
      </c>
      <c r="AK2732" s="18" t="str">
        <f aca="false">IF($AH2732=1,IFERROR(VALUE(MID($D2732,2,20)),1000000000)+ROW()/10000000,"")</f>
        <v/>
      </c>
    </row>
    <row r="2733" customFormat="false" ht="15" hidden="false" customHeight="false" outlineLevel="0" collapsed="false">
      <c r="F2733" s="15"/>
      <c r="N2733" s="16" t="str">
        <f aca="false">IF($D2733="","",M2733*Y2733/100)</f>
        <v/>
      </c>
      <c r="V2733" s="16" t="str">
        <f aca="false">IF($D2733="","",Y2733*AB2733/100)</f>
        <v/>
      </c>
      <c r="W2733" s="16" t="str">
        <f aca="false">IF($D2733="","",Y2733-V2733)</f>
        <v/>
      </c>
      <c r="X2733" s="16" t="str">
        <f aca="false">IF($D2733="","",W2733-N2733)</f>
        <v/>
      </c>
      <c r="AB2733" s="17" t="str">
        <f aca="false">IF($D2733="","",IF(OR($R2733=TRUE(),$R2733="TRUE"),Settings!$C$6,Settings!$C$7)*100)</f>
        <v/>
      </c>
      <c r="AH2733" s="18" t="str">
        <f aca="false">IF($D2733="","",IF(COUNTIF($D$2:$D2733,$D2733)=1,1,0))</f>
        <v/>
      </c>
      <c r="AI2733" s="18" t="str">
        <f aca="false">IF($AH2733=1,SUMPRODUCT(--($AK$2:$AK$4001&lt;$AK2733))+1,"")</f>
        <v/>
      </c>
      <c r="AJ2733" s="18" t="str">
        <f aca="false">IF($D2733="","",IF(OR($R2733=TRUE(),$R2733="TRUE"),1,0))</f>
        <v/>
      </c>
      <c r="AK2733" s="18" t="str">
        <f aca="false">IF($AH2733=1,IFERROR(VALUE(MID($D2733,2,20)),1000000000)+ROW()/10000000,"")</f>
        <v/>
      </c>
    </row>
    <row r="2734" customFormat="false" ht="15" hidden="false" customHeight="false" outlineLevel="0" collapsed="false">
      <c r="F2734" s="15"/>
      <c r="N2734" s="16" t="str">
        <f aca="false">IF($D2734="","",M2734*Y2734/100)</f>
        <v/>
      </c>
      <c r="V2734" s="16" t="str">
        <f aca="false">IF($D2734="","",Y2734*AB2734/100)</f>
        <v/>
      </c>
      <c r="W2734" s="16" t="str">
        <f aca="false">IF($D2734="","",Y2734-V2734)</f>
        <v/>
      </c>
      <c r="X2734" s="16" t="str">
        <f aca="false">IF($D2734="","",W2734-N2734)</f>
        <v/>
      </c>
      <c r="AB2734" s="17" t="str">
        <f aca="false">IF($D2734="","",IF(OR($R2734=TRUE(),$R2734="TRUE"),Settings!$C$6,Settings!$C$7)*100)</f>
        <v/>
      </c>
      <c r="AH2734" s="18" t="str">
        <f aca="false">IF($D2734="","",IF(COUNTIF($D$2:$D2734,$D2734)=1,1,0))</f>
        <v/>
      </c>
      <c r="AI2734" s="18" t="str">
        <f aca="false">IF($AH2734=1,SUMPRODUCT(--($AK$2:$AK$4001&lt;$AK2734))+1,"")</f>
        <v/>
      </c>
      <c r="AJ2734" s="18" t="str">
        <f aca="false">IF($D2734="","",IF(OR($R2734=TRUE(),$R2734="TRUE"),1,0))</f>
        <v/>
      </c>
      <c r="AK2734" s="18" t="str">
        <f aca="false">IF($AH2734=1,IFERROR(VALUE(MID($D2734,2,20)),1000000000)+ROW()/10000000,"")</f>
        <v/>
      </c>
    </row>
    <row r="2735" customFormat="false" ht="15" hidden="false" customHeight="false" outlineLevel="0" collapsed="false">
      <c r="F2735" s="15"/>
      <c r="N2735" s="16" t="str">
        <f aca="false">IF($D2735="","",M2735*Y2735/100)</f>
        <v/>
      </c>
      <c r="V2735" s="16" t="str">
        <f aca="false">IF($D2735="","",Y2735*AB2735/100)</f>
        <v/>
      </c>
      <c r="W2735" s="16" t="str">
        <f aca="false">IF($D2735="","",Y2735-V2735)</f>
        <v/>
      </c>
      <c r="X2735" s="16" t="str">
        <f aca="false">IF($D2735="","",W2735-N2735)</f>
        <v/>
      </c>
      <c r="AB2735" s="17" t="str">
        <f aca="false">IF($D2735="","",IF(OR($R2735=TRUE(),$R2735="TRUE"),Settings!$C$6,Settings!$C$7)*100)</f>
        <v/>
      </c>
      <c r="AH2735" s="18" t="str">
        <f aca="false">IF($D2735="","",IF(COUNTIF($D$2:$D2735,$D2735)=1,1,0))</f>
        <v/>
      </c>
      <c r="AI2735" s="18" t="str">
        <f aca="false">IF($AH2735=1,SUMPRODUCT(--($AK$2:$AK$4001&lt;$AK2735))+1,"")</f>
        <v/>
      </c>
      <c r="AJ2735" s="18" t="str">
        <f aca="false">IF($D2735="","",IF(OR($R2735=TRUE(),$R2735="TRUE"),1,0))</f>
        <v/>
      </c>
      <c r="AK2735" s="18" t="str">
        <f aca="false">IF($AH2735=1,IFERROR(VALUE(MID($D2735,2,20)),1000000000)+ROW()/10000000,"")</f>
        <v/>
      </c>
    </row>
    <row r="2736" customFormat="false" ht="15" hidden="false" customHeight="false" outlineLevel="0" collapsed="false">
      <c r="F2736" s="15"/>
      <c r="N2736" s="16" t="str">
        <f aca="false">IF($D2736="","",M2736*Y2736/100)</f>
        <v/>
      </c>
      <c r="V2736" s="16" t="str">
        <f aca="false">IF($D2736="","",Y2736*AB2736/100)</f>
        <v/>
      </c>
      <c r="W2736" s="16" t="str">
        <f aca="false">IF($D2736="","",Y2736-V2736)</f>
        <v/>
      </c>
      <c r="X2736" s="16" t="str">
        <f aca="false">IF($D2736="","",W2736-N2736)</f>
        <v/>
      </c>
      <c r="AB2736" s="17" t="str">
        <f aca="false">IF($D2736="","",IF(OR($R2736=TRUE(),$R2736="TRUE"),Settings!$C$6,Settings!$C$7)*100)</f>
        <v/>
      </c>
      <c r="AH2736" s="18" t="str">
        <f aca="false">IF($D2736="","",IF(COUNTIF($D$2:$D2736,$D2736)=1,1,0))</f>
        <v/>
      </c>
      <c r="AI2736" s="18" t="str">
        <f aca="false">IF($AH2736=1,SUMPRODUCT(--($AK$2:$AK$4001&lt;$AK2736))+1,"")</f>
        <v/>
      </c>
      <c r="AJ2736" s="18" t="str">
        <f aca="false">IF($D2736="","",IF(OR($R2736=TRUE(),$R2736="TRUE"),1,0))</f>
        <v/>
      </c>
      <c r="AK2736" s="18" t="str">
        <f aca="false">IF($AH2736=1,IFERROR(VALUE(MID($D2736,2,20)),1000000000)+ROW()/10000000,"")</f>
        <v/>
      </c>
    </row>
    <row r="2737" customFormat="false" ht="15" hidden="false" customHeight="false" outlineLevel="0" collapsed="false">
      <c r="F2737" s="15"/>
      <c r="N2737" s="16" t="str">
        <f aca="false">IF($D2737="","",M2737*Y2737/100)</f>
        <v/>
      </c>
      <c r="V2737" s="16" t="str">
        <f aca="false">IF($D2737="","",Y2737*AB2737/100)</f>
        <v/>
      </c>
      <c r="W2737" s="16" t="str">
        <f aca="false">IF($D2737="","",Y2737-V2737)</f>
        <v/>
      </c>
      <c r="X2737" s="16" t="str">
        <f aca="false">IF($D2737="","",W2737-N2737)</f>
        <v/>
      </c>
      <c r="AB2737" s="17" t="str">
        <f aca="false">IF($D2737="","",IF(OR($R2737=TRUE(),$R2737="TRUE"),Settings!$C$6,Settings!$C$7)*100)</f>
        <v/>
      </c>
      <c r="AH2737" s="18" t="str">
        <f aca="false">IF($D2737="","",IF(COUNTIF($D$2:$D2737,$D2737)=1,1,0))</f>
        <v/>
      </c>
      <c r="AI2737" s="18" t="str">
        <f aca="false">IF($AH2737=1,SUMPRODUCT(--($AK$2:$AK$4001&lt;$AK2737))+1,"")</f>
        <v/>
      </c>
      <c r="AJ2737" s="18" t="str">
        <f aca="false">IF($D2737="","",IF(OR($R2737=TRUE(),$R2737="TRUE"),1,0))</f>
        <v/>
      </c>
      <c r="AK2737" s="18" t="str">
        <f aca="false">IF($AH2737=1,IFERROR(VALUE(MID($D2737,2,20)),1000000000)+ROW()/10000000,"")</f>
        <v/>
      </c>
    </row>
    <row r="2738" customFormat="false" ht="15" hidden="false" customHeight="false" outlineLevel="0" collapsed="false">
      <c r="F2738" s="15"/>
      <c r="N2738" s="16" t="str">
        <f aca="false">IF($D2738="","",M2738*Y2738/100)</f>
        <v/>
      </c>
      <c r="V2738" s="16" t="str">
        <f aca="false">IF($D2738="","",Y2738*AB2738/100)</f>
        <v/>
      </c>
      <c r="W2738" s="16" t="str">
        <f aca="false">IF($D2738="","",Y2738-V2738)</f>
        <v/>
      </c>
      <c r="X2738" s="16" t="str">
        <f aca="false">IF($D2738="","",W2738-N2738)</f>
        <v/>
      </c>
      <c r="AB2738" s="17" t="str">
        <f aca="false">IF($D2738="","",IF(OR($R2738=TRUE(),$R2738="TRUE"),Settings!$C$6,Settings!$C$7)*100)</f>
        <v/>
      </c>
      <c r="AH2738" s="18" t="str">
        <f aca="false">IF($D2738="","",IF(COUNTIF($D$2:$D2738,$D2738)=1,1,0))</f>
        <v/>
      </c>
      <c r="AI2738" s="18" t="str">
        <f aca="false">IF($AH2738=1,SUMPRODUCT(--($AK$2:$AK$4001&lt;$AK2738))+1,"")</f>
        <v/>
      </c>
      <c r="AJ2738" s="18" t="str">
        <f aca="false">IF($D2738="","",IF(OR($R2738=TRUE(),$R2738="TRUE"),1,0))</f>
        <v/>
      </c>
      <c r="AK2738" s="18" t="str">
        <f aca="false">IF($AH2738=1,IFERROR(VALUE(MID($D2738,2,20)),1000000000)+ROW()/10000000,"")</f>
        <v/>
      </c>
    </row>
    <row r="2739" customFormat="false" ht="15" hidden="false" customHeight="false" outlineLevel="0" collapsed="false">
      <c r="F2739" s="15"/>
      <c r="N2739" s="16" t="str">
        <f aca="false">IF($D2739="","",M2739*Y2739/100)</f>
        <v/>
      </c>
      <c r="V2739" s="16" t="str">
        <f aca="false">IF($D2739="","",Y2739*AB2739/100)</f>
        <v/>
      </c>
      <c r="W2739" s="16" t="str">
        <f aca="false">IF($D2739="","",Y2739-V2739)</f>
        <v/>
      </c>
      <c r="X2739" s="16" t="str">
        <f aca="false">IF($D2739="","",W2739-N2739)</f>
        <v/>
      </c>
      <c r="AB2739" s="17" t="str">
        <f aca="false">IF($D2739="","",IF(OR($R2739=TRUE(),$R2739="TRUE"),Settings!$C$6,Settings!$C$7)*100)</f>
        <v/>
      </c>
      <c r="AH2739" s="18" t="str">
        <f aca="false">IF($D2739="","",IF(COUNTIF($D$2:$D2739,$D2739)=1,1,0))</f>
        <v/>
      </c>
      <c r="AI2739" s="18" t="str">
        <f aca="false">IF($AH2739=1,SUMPRODUCT(--($AK$2:$AK$4001&lt;$AK2739))+1,"")</f>
        <v/>
      </c>
      <c r="AJ2739" s="18" t="str">
        <f aca="false">IF($D2739="","",IF(OR($R2739=TRUE(),$R2739="TRUE"),1,0))</f>
        <v/>
      </c>
      <c r="AK2739" s="18" t="str">
        <f aca="false">IF($AH2739=1,IFERROR(VALUE(MID($D2739,2,20)),1000000000)+ROW()/10000000,"")</f>
        <v/>
      </c>
    </row>
    <row r="2740" customFormat="false" ht="15" hidden="false" customHeight="false" outlineLevel="0" collapsed="false">
      <c r="F2740" s="15"/>
      <c r="N2740" s="16" t="str">
        <f aca="false">IF($D2740="","",M2740*Y2740/100)</f>
        <v/>
      </c>
      <c r="V2740" s="16" t="str">
        <f aca="false">IF($D2740="","",Y2740*AB2740/100)</f>
        <v/>
      </c>
      <c r="W2740" s="16" t="str">
        <f aca="false">IF($D2740="","",Y2740-V2740)</f>
        <v/>
      </c>
      <c r="X2740" s="16" t="str">
        <f aca="false">IF($D2740="","",W2740-N2740)</f>
        <v/>
      </c>
      <c r="AB2740" s="17" t="str">
        <f aca="false">IF($D2740="","",IF(OR($R2740=TRUE(),$R2740="TRUE"),Settings!$C$6,Settings!$C$7)*100)</f>
        <v/>
      </c>
      <c r="AH2740" s="18" t="str">
        <f aca="false">IF($D2740="","",IF(COUNTIF($D$2:$D2740,$D2740)=1,1,0))</f>
        <v/>
      </c>
      <c r="AI2740" s="18" t="str">
        <f aca="false">IF($AH2740=1,SUMPRODUCT(--($AK$2:$AK$4001&lt;$AK2740))+1,"")</f>
        <v/>
      </c>
      <c r="AJ2740" s="18" t="str">
        <f aca="false">IF($D2740="","",IF(OR($R2740=TRUE(),$R2740="TRUE"),1,0))</f>
        <v/>
      </c>
      <c r="AK2740" s="18" t="str">
        <f aca="false">IF($AH2740=1,IFERROR(VALUE(MID($D2740,2,20)),1000000000)+ROW()/10000000,"")</f>
        <v/>
      </c>
    </row>
    <row r="2741" customFormat="false" ht="15" hidden="false" customHeight="false" outlineLevel="0" collapsed="false">
      <c r="F2741" s="15"/>
      <c r="N2741" s="16" t="str">
        <f aca="false">IF($D2741="","",M2741*Y2741/100)</f>
        <v/>
      </c>
      <c r="V2741" s="16" t="str">
        <f aca="false">IF($D2741="","",Y2741*AB2741/100)</f>
        <v/>
      </c>
      <c r="W2741" s="16" t="str">
        <f aca="false">IF($D2741="","",Y2741-V2741)</f>
        <v/>
      </c>
      <c r="X2741" s="16" t="str">
        <f aca="false">IF($D2741="","",W2741-N2741)</f>
        <v/>
      </c>
      <c r="AB2741" s="17" t="str">
        <f aca="false">IF($D2741="","",IF(OR($R2741=TRUE(),$R2741="TRUE"),Settings!$C$6,Settings!$C$7)*100)</f>
        <v/>
      </c>
      <c r="AH2741" s="18" t="str">
        <f aca="false">IF($D2741="","",IF(COUNTIF($D$2:$D2741,$D2741)=1,1,0))</f>
        <v/>
      </c>
      <c r="AI2741" s="18" t="str">
        <f aca="false">IF($AH2741=1,SUMPRODUCT(--($AK$2:$AK$4001&lt;$AK2741))+1,"")</f>
        <v/>
      </c>
      <c r="AJ2741" s="18" t="str">
        <f aca="false">IF($D2741="","",IF(OR($R2741=TRUE(),$R2741="TRUE"),1,0))</f>
        <v/>
      </c>
      <c r="AK2741" s="18" t="str">
        <f aca="false">IF($AH2741=1,IFERROR(VALUE(MID($D2741,2,20)),1000000000)+ROW()/10000000,"")</f>
        <v/>
      </c>
    </row>
    <row r="2742" customFormat="false" ht="15" hidden="false" customHeight="false" outlineLevel="0" collapsed="false">
      <c r="F2742" s="15"/>
      <c r="N2742" s="16" t="str">
        <f aca="false">IF($D2742="","",M2742*Y2742/100)</f>
        <v/>
      </c>
      <c r="V2742" s="16" t="str">
        <f aca="false">IF($D2742="","",Y2742*AB2742/100)</f>
        <v/>
      </c>
      <c r="W2742" s="16" t="str">
        <f aca="false">IF($D2742="","",Y2742-V2742)</f>
        <v/>
      </c>
      <c r="X2742" s="16" t="str">
        <f aca="false">IF($D2742="","",W2742-N2742)</f>
        <v/>
      </c>
      <c r="AB2742" s="17" t="str">
        <f aca="false">IF($D2742="","",IF(OR($R2742=TRUE(),$R2742="TRUE"),Settings!$C$6,Settings!$C$7)*100)</f>
        <v/>
      </c>
      <c r="AH2742" s="18" t="str">
        <f aca="false">IF($D2742="","",IF(COUNTIF($D$2:$D2742,$D2742)=1,1,0))</f>
        <v/>
      </c>
      <c r="AI2742" s="18" t="str">
        <f aca="false">IF($AH2742=1,SUMPRODUCT(--($AK$2:$AK$4001&lt;$AK2742))+1,"")</f>
        <v/>
      </c>
      <c r="AJ2742" s="18" t="str">
        <f aca="false">IF($D2742="","",IF(OR($R2742=TRUE(),$R2742="TRUE"),1,0))</f>
        <v/>
      </c>
      <c r="AK2742" s="18" t="str">
        <f aca="false">IF($AH2742=1,IFERROR(VALUE(MID($D2742,2,20)),1000000000)+ROW()/10000000,"")</f>
        <v/>
      </c>
    </row>
    <row r="2743" customFormat="false" ht="15" hidden="false" customHeight="false" outlineLevel="0" collapsed="false">
      <c r="F2743" s="15"/>
      <c r="N2743" s="16" t="str">
        <f aca="false">IF($D2743="","",M2743*Y2743/100)</f>
        <v/>
      </c>
      <c r="V2743" s="16" t="str">
        <f aca="false">IF($D2743="","",Y2743*AB2743/100)</f>
        <v/>
      </c>
      <c r="W2743" s="16" t="str">
        <f aca="false">IF($D2743="","",Y2743-V2743)</f>
        <v/>
      </c>
      <c r="X2743" s="16" t="str">
        <f aca="false">IF($D2743="","",W2743-N2743)</f>
        <v/>
      </c>
      <c r="AB2743" s="17" t="str">
        <f aca="false">IF($D2743="","",IF(OR($R2743=TRUE(),$R2743="TRUE"),Settings!$C$6,Settings!$C$7)*100)</f>
        <v/>
      </c>
      <c r="AH2743" s="18" t="str">
        <f aca="false">IF($D2743="","",IF(COUNTIF($D$2:$D2743,$D2743)=1,1,0))</f>
        <v/>
      </c>
      <c r="AI2743" s="18" t="str">
        <f aca="false">IF($AH2743=1,SUMPRODUCT(--($AK$2:$AK$4001&lt;$AK2743))+1,"")</f>
        <v/>
      </c>
      <c r="AJ2743" s="18" t="str">
        <f aca="false">IF($D2743="","",IF(OR($R2743=TRUE(),$R2743="TRUE"),1,0))</f>
        <v/>
      </c>
      <c r="AK2743" s="18" t="str">
        <f aca="false">IF($AH2743=1,IFERROR(VALUE(MID($D2743,2,20)),1000000000)+ROW()/10000000,"")</f>
        <v/>
      </c>
    </row>
    <row r="2744" customFormat="false" ht="15" hidden="false" customHeight="false" outlineLevel="0" collapsed="false">
      <c r="F2744" s="15"/>
      <c r="N2744" s="16" t="str">
        <f aca="false">IF($D2744="","",M2744*Y2744/100)</f>
        <v/>
      </c>
      <c r="V2744" s="16" t="str">
        <f aca="false">IF($D2744="","",Y2744*AB2744/100)</f>
        <v/>
      </c>
      <c r="W2744" s="16" t="str">
        <f aca="false">IF($D2744="","",Y2744-V2744)</f>
        <v/>
      </c>
      <c r="X2744" s="16" t="str">
        <f aca="false">IF($D2744="","",W2744-N2744)</f>
        <v/>
      </c>
      <c r="AB2744" s="17" t="str">
        <f aca="false">IF($D2744="","",IF(OR($R2744=TRUE(),$R2744="TRUE"),Settings!$C$6,Settings!$C$7)*100)</f>
        <v/>
      </c>
      <c r="AH2744" s="18" t="str">
        <f aca="false">IF($D2744="","",IF(COUNTIF($D$2:$D2744,$D2744)=1,1,0))</f>
        <v/>
      </c>
      <c r="AI2744" s="18" t="str">
        <f aca="false">IF($AH2744=1,SUMPRODUCT(--($AK$2:$AK$4001&lt;$AK2744))+1,"")</f>
        <v/>
      </c>
      <c r="AJ2744" s="18" t="str">
        <f aca="false">IF($D2744="","",IF(OR($R2744=TRUE(),$R2744="TRUE"),1,0))</f>
        <v/>
      </c>
      <c r="AK2744" s="18" t="str">
        <f aca="false">IF($AH2744=1,IFERROR(VALUE(MID($D2744,2,20)),1000000000)+ROW()/10000000,"")</f>
        <v/>
      </c>
    </row>
    <row r="2745" customFormat="false" ht="15" hidden="false" customHeight="false" outlineLevel="0" collapsed="false">
      <c r="F2745" s="15"/>
      <c r="N2745" s="16" t="str">
        <f aca="false">IF($D2745="","",M2745*Y2745/100)</f>
        <v/>
      </c>
      <c r="V2745" s="16" t="str">
        <f aca="false">IF($D2745="","",Y2745*AB2745/100)</f>
        <v/>
      </c>
      <c r="W2745" s="16" t="str">
        <f aca="false">IF($D2745="","",Y2745-V2745)</f>
        <v/>
      </c>
      <c r="X2745" s="16" t="str">
        <f aca="false">IF($D2745="","",W2745-N2745)</f>
        <v/>
      </c>
      <c r="AB2745" s="17" t="str">
        <f aca="false">IF($D2745="","",IF(OR($R2745=TRUE(),$R2745="TRUE"),Settings!$C$6,Settings!$C$7)*100)</f>
        <v/>
      </c>
      <c r="AH2745" s="18" t="str">
        <f aca="false">IF($D2745="","",IF(COUNTIF($D$2:$D2745,$D2745)=1,1,0))</f>
        <v/>
      </c>
      <c r="AI2745" s="18" t="str">
        <f aca="false">IF($AH2745=1,SUMPRODUCT(--($AK$2:$AK$4001&lt;$AK2745))+1,"")</f>
        <v/>
      </c>
      <c r="AJ2745" s="18" t="str">
        <f aca="false">IF($D2745="","",IF(OR($R2745=TRUE(),$R2745="TRUE"),1,0))</f>
        <v/>
      </c>
      <c r="AK2745" s="18" t="str">
        <f aca="false">IF($AH2745=1,IFERROR(VALUE(MID($D2745,2,20)),1000000000)+ROW()/10000000,"")</f>
        <v/>
      </c>
    </row>
    <row r="2746" customFormat="false" ht="15" hidden="false" customHeight="false" outlineLevel="0" collapsed="false">
      <c r="F2746" s="15"/>
      <c r="N2746" s="16" t="str">
        <f aca="false">IF($D2746="","",M2746*Y2746/100)</f>
        <v/>
      </c>
      <c r="V2746" s="16" t="str">
        <f aca="false">IF($D2746="","",Y2746*AB2746/100)</f>
        <v/>
      </c>
      <c r="W2746" s="16" t="str">
        <f aca="false">IF($D2746="","",Y2746-V2746)</f>
        <v/>
      </c>
      <c r="X2746" s="16" t="str">
        <f aca="false">IF($D2746="","",W2746-N2746)</f>
        <v/>
      </c>
      <c r="AB2746" s="17" t="str">
        <f aca="false">IF($D2746="","",IF(OR($R2746=TRUE(),$R2746="TRUE"),Settings!$C$6,Settings!$C$7)*100)</f>
        <v/>
      </c>
      <c r="AH2746" s="18" t="str">
        <f aca="false">IF($D2746="","",IF(COUNTIF($D$2:$D2746,$D2746)=1,1,0))</f>
        <v/>
      </c>
      <c r="AI2746" s="18" t="str">
        <f aca="false">IF($AH2746=1,SUMPRODUCT(--($AK$2:$AK$4001&lt;$AK2746))+1,"")</f>
        <v/>
      </c>
      <c r="AJ2746" s="18" t="str">
        <f aca="false">IF($D2746="","",IF(OR($R2746=TRUE(),$R2746="TRUE"),1,0))</f>
        <v/>
      </c>
      <c r="AK2746" s="18" t="str">
        <f aca="false">IF($AH2746=1,IFERROR(VALUE(MID($D2746,2,20)),1000000000)+ROW()/10000000,"")</f>
        <v/>
      </c>
    </row>
    <row r="2747" customFormat="false" ht="15" hidden="false" customHeight="false" outlineLevel="0" collapsed="false">
      <c r="F2747" s="15"/>
      <c r="N2747" s="16" t="str">
        <f aca="false">IF($D2747="","",M2747*Y2747/100)</f>
        <v/>
      </c>
      <c r="V2747" s="16" t="str">
        <f aca="false">IF($D2747="","",Y2747*AB2747/100)</f>
        <v/>
      </c>
      <c r="W2747" s="16" t="str">
        <f aca="false">IF($D2747="","",Y2747-V2747)</f>
        <v/>
      </c>
      <c r="X2747" s="16" t="str">
        <f aca="false">IF($D2747="","",W2747-N2747)</f>
        <v/>
      </c>
      <c r="AB2747" s="17" t="str">
        <f aca="false">IF($D2747="","",IF(OR($R2747=TRUE(),$R2747="TRUE"),Settings!$C$6,Settings!$C$7)*100)</f>
        <v/>
      </c>
      <c r="AH2747" s="18" t="str">
        <f aca="false">IF($D2747="","",IF(COUNTIF($D$2:$D2747,$D2747)=1,1,0))</f>
        <v/>
      </c>
      <c r="AI2747" s="18" t="str">
        <f aca="false">IF($AH2747=1,SUMPRODUCT(--($AK$2:$AK$4001&lt;$AK2747))+1,"")</f>
        <v/>
      </c>
      <c r="AJ2747" s="18" t="str">
        <f aca="false">IF($D2747="","",IF(OR($R2747=TRUE(),$R2747="TRUE"),1,0))</f>
        <v/>
      </c>
      <c r="AK2747" s="18" t="str">
        <f aca="false">IF($AH2747=1,IFERROR(VALUE(MID($D2747,2,20)),1000000000)+ROW()/10000000,"")</f>
        <v/>
      </c>
    </row>
    <row r="2748" customFormat="false" ht="15" hidden="false" customHeight="false" outlineLevel="0" collapsed="false">
      <c r="F2748" s="15"/>
      <c r="N2748" s="16" t="str">
        <f aca="false">IF($D2748="","",M2748*Y2748/100)</f>
        <v/>
      </c>
      <c r="V2748" s="16" t="str">
        <f aca="false">IF($D2748="","",Y2748*AB2748/100)</f>
        <v/>
      </c>
      <c r="W2748" s="16" t="str">
        <f aca="false">IF($D2748="","",Y2748-V2748)</f>
        <v/>
      </c>
      <c r="X2748" s="16" t="str">
        <f aca="false">IF($D2748="","",W2748-N2748)</f>
        <v/>
      </c>
      <c r="AB2748" s="17" t="str">
        <f aca="false">IF($D2748="","",IF(OR($R2748=TRUE(),$R2748="TRUE"),Settings!$C$6,Settings!$C$7)*100)</f>
        <v/>
      </c>
      <c r="AH2748" s="18" t="str">
        <f aca="false">IF($D2748="","",IF(COUNTIF($D$2:$D2748,$D2748)=1,1,0))</f>
        <v/>
      </c>
      <c r="AI2748" s="18" t="str">
        <f aca="false">IF($AH2748=1,SUMPRODUCT(--($AK$2:$AK$4001&lt;$AK2748))+1,"")</f>
        <v/>
      </c>
      <c r="AJ2748" s="18" t="str">
        <f aca="false">IF($D2748="","",IF(OR($R2748=TRUE(),$R2748="TRUE"),1,0))</f>
        <v/>
      </c>
      <c r="AK2748" s="18" t="str">
        <f aca="false">IF($AH2748=1,IFERROR(VALUE(MID($D2748,2,20)),1000000000)+ROW()/10000000,"")</f>
        <v/>
      </c>
    </row>
    <row r="2749" customFormat="false" ht="15" hidden="false" customHeight="false" outlineLevel="0" collapsed="false">
      <c r="F2749" s="15"/>
      <c r="N2749" s="16" t="str">
        <f aca="false">IF($D2749="","",M2749*Y2749/100)</f>
        <v/>
      </c>
      <c r="V2749" s="16" t="str">
        <f aca="false">IF($D2749="","",Y2749*AB2749/100)</f>
        <v/>
      </c>
      <c r="W2749" s="16" t="str">
        <f aca="false">IF($D2749="","",Y2749-V2749)</f>
        <v/>
      </c>
      <c r="X2749" s="16" t="str">
        <f aca="false">IF($D2749="","",W2749-N2749)</f>
        <v/>
      </c>
      <c r="AB2749" s="17" t="str">
        <f aca="false">IF($D2749="","",IF(OR($R2749=TRUE(),$R2749="TRUE"),Settings!$C$6,Settings!$C$7)*100)</f>
        <v/>
      </c>
      <c r="AH2749" s="18" t="str">
        <f aca="false">IF($D2749="","",IF(COUNTIF($D$2:$D2749,$D2749)=1,1,0))</f>
        <v/>
      </c>
      <c r="AI2749" s="18" t="str">
        <f aca="false">IF($AH2749=1,SUMPRODUCT(--($AK$2:$AK$4001&lt;$AK2749))+1,"")</f>
        <v/>
      </c>
      <c r="AJ2749" s="18" t="str">
        <f aca="false">IF($D2749="","",IF(OR($R2749=TRUE(),$R2749="TRUE"),1,0))</f>
        <v/>
      </c>
      <c r="AK2749" s="18" t="str">
        <f aca="false">IF($AH2749=1,IFERROR(VALUE(MID($D2749,2,20)),1000000000)+ROW()/10000000,"")</f>
        <v/>
      </c>
    </row>
    <row r="2750" customFormat="false" ht="15" hidden="false" customHeight="false" outlineLevel="0" collapsed="false">
      <c r="F2750" s="15"/>
      <c r="N2750" s="16" t="str">
        <f aca="false">IF($D2750="","",M2750*Y2750/100)</f>
        <v/>
      </c>
      <c r="V2750" s="16" t="str">
        <f aca="false">IF($D2750="","",Y2750*AB2750/100)</f>
        <v/>
      </c>
      <c r="W2750" s="16" t="str">
        <f aca="false">IF($D2750="","",Y2750-V2750)</f>
        <v/>
      </c>
      <c r="X2750" s="16" t="str">
        <f aca="false">IF($D2750="","",W2750-N2750)</f>
        <v/>
      </c>
      <c r="AB2750" s="17" t="str">
        <f aca="false">IF($D2750="","",IF(OR($R2750=TRUE(),$R2750="TRUE"),Settings!$C$6,Settings!$C$7)*100)</f>
        <v/>
      </c>
      <c r="AH2750" s="18" t="str">
        <f aca="false">IF($D2750="","",IF(COUNTIF($D$2:$D2750,$D2750)=1,1,0))</f>
        <v/>
      </c>
      <c r="AI2750" s="18" t="str">
        <f aca="false">IF($AH2750=1,SUMPRODUCT(--($AK$2:$AK$4001&lt;$AK2750))+1,"")</f>
        <v/>
      </c>
      <c r="AJ2750" s="18" t="str">
        <f aca="false">IF($D2750="","",IF(OR($R2750=TRUE(),$R2750="TRUE"),1,0))</f>
        <v/>
      </c>
      <c r="AK2750" s="18" t="str">
        <f aca="false">IF($AH2750=1,IFERROR(VALUE(MID($D2750,2,20)),1000000000)+ROW()/10000000,"")</f>
        <v/>
      </c>
    </row>
    <row r="2751" customFormat="false" ht="15" hidden="false" customHeight="false" outlineLevel="0" collapsed="false">
      <c r="F2751" s="15"/>
      <c r="N2751" s="16" t="str">
        <f aca="false">IF($D2751="","",M2751*Y2751/100)</f>
        <v/>
      </c>
      <c r="V2751" s="16" t="str">
        <f aca="false">IF($D2751="","",Y2751*AB2751/100)</f>
        <v/>
      </c>
      <c r="W2751" s="16" t="str">
        <f aca="false">IF($D2751="","",Y2751-V2751)</f>
        <v/>
      </c>
      <c r="X2751" s="16" t="str">
        <f aca="false">IF($D2751="","",W2751-N2751)</f>
        <v/>
      </c>
      <c r="AB2751" s="17" t="str">
        <f aca="false">IF($D2751="","",IF(OR($R2751=TRUE(),$R2751="TRUE"),Settings!$C$6,Settings!$C$7)*100)</f>
        <v/>
      </c>
      <c r="AH2751" s="18" t="str">
        <f aca="false">IF($D2751="","",IF(COUNTIF($D$2:$D2751,$D2751)=1,1,0))</f>
        <v/>
      </c>
      <c r="AI2751" s="18" t="str">
        <f aca="false">IF($AH2751=1,SUMPRODUCT(--($AK$2:$AK$4001&lt;$AK2751))+1,"")</f>
        <v/>
      </c>
      <c r="AJ2751" s="18" t="str">
        <f aca="false">IF($D2751="","",IF(OR($R2751=TRUE(),$R2751="TRUE"),1,0))</f>
        <v/>
      </c>
      <c r="AK2751" s="18" t="str">
        <f aca="false">IF($AH2751=1,IFERROR(VALUE(MID($D2751,2,20)),1000000000)+ROW()/10000000,"")</f>
        <v/>
      </c>
    </row>
    <row r="2752" customFormat="false" ht="15" hidden="false" customHeight="false" outlineLevel="0" collapsed="false">
      <c r="F2752" s="15"/>
      <c r="N2752" s="16" t="str">
        <f aca="false">IF($D2752="","",M2752*Y2752/100)</f>
        <v/>
      </c>
      <c r="V2752" s="16" t="str">
        <f aca="false">IF($D2752="","",Y2752*AB2752/100)</f>
        <v/>
      </c>
      <c r="W2752" s="16" t="str">
        <f aca="false">IF($D2752="","",Y2752-V2752)</f>
        <v/>
      </c>
      <c r="X2752" s="16" t="str">
        <f aca="false">IF($D2752="","",W2752-N2752)</f>
        <v/>
      </c>
      <c r="AB2752" s="17" t="str">
        <f aca="false">IF($D2752="","",IF(OR($R2752=TRUE(),$R2752="TRUE"),Settings!$C$6,Settings!$C$7)*100)</f>
        <v/>
      </c>
      <c r="AH2752" s="18" t="str">
        <f aca="false">IF($D2752="","",IF(COUNTIF($D$2:$D2752,$D2752)=1,1,0))</f>
        <v/>
      </c>
      <c r="AI2752" s="18" t="str">
        <f aca="false">IF($AH2752=1,SUMPRODUCT(--($AK$2:$AK$4001&lt;$AK2752))+1,"")</f>
        <v/>
      </c>
      <c r="AJ2752" s="18" t="str">
        <f aca="false">IF($D2752="","",IF(OR($R2752=TRUE(),$R2752="TRUE"),1,0))</f>
        <v/>
      </c>
      <c r="AK2752" s="18" t="str">
        <f aca="false">IF($AH2752=1,IFERROR(VALUE(MID($D2752,2,20)),1000000000)+ROW()/10000000,"")</f>
        <v/>
      </c>
    </row>
    <row r="2753" customFormat="false" ht="15" hidden="false" customHeight="false" outlineLevel="0" collapsed="false">
      <c r="F2753" s="15"/>
      <c r="N2753" s="16" t="str">
        <f aca="false">IF($D2753="","",M2753*Y2753/100)</f>
        <v/>
      </c>
      <c r="V2753" s="16" t="str">
        <f aca="false">IF($D2753="","",Y2753*AB2753/100)</f>
        <v/>
      </c>
      <c r="W2753" s="16" t="str">
        <f aca="false">IF($D2753="","",Y2753-V2753)</f>
        <v/>
      </c>
      <c r="X2753" s="16" t="str">
        <f aca="false">IF($D2753="","",W2753-N2753)</f>
        <v/>
      </c>
      <c r="AB2753" s="17" t="str">
        <f aca="false">IF($D2753="","",IF(OR($R2753=TRUE(),$R2753="TRUE"),Settings!$C$6,Settings!$C$7)*100)</f>
        <v/>
      </c>
      <c r="AH2753" s="18" t="str">
        <f aca="false">IF($D2753="","",IF(COUNTIF($D$2:$D2753,$D2753)=1,1,0))</f>
        <v/>
      </c>
      <c r="AI2753" s="18" t="str">
        <f aca="false">IF($AH2753=1,SUMPRODUCT(--($AK$2:$AK$4001&lt;$AK2753))+1,"")</f>
        <v/>
      </c>
      <c r="AJ2753" s="18" t="str">
        <f aca="false">IF($D2753="","",IF(OR($R2753=TRUE(),$R2753="TRUE"),1,0))</f>
        <v/>
      </c>
      <c r="AK2753" s="18" t="str">
        <f aca="false">IF($AH2753=1,IFERROR(VALUE(MID($D2753,2,20)),1000000000)+ROW()/10000000,"")</f>
        <v/>
      </c>
    </row>
    <row r="2754" customFormat="false" ht="15" hidden="false" customHeight="false" outlineLevel="0" collapsed="false">
      <c r="F2754" s="15"/>
      <c r="N2754" s="16" t="str">
        <f aca="false">IF($D2754="","",M2754*Y2754/100)</f>
        <v/>
      </c>
      <c r="V2754" s="16" t="str">
        <f aca="false">IF($D2754="","",Y2754*AB2754/100)</f>
        <v/>
      </c>
      <c r="W2754" s="16" t="str">
        <f aca="false">IF($D2754="","",Y2754-V2754)</f>
        <v/>
      </c>
      <c r="X2754" s="16" t="str">
        <f aca="false">IF($D2754="","",W2754-N2754)</f>
        <v/>
      </c>
      <c r="AB2754" s="17" t="str">
        <f aca="false">IF($D2754="","",IF(OR($R2754=TRUE(),$R2754="TRUE"),Settings!$C$6,Settings!$C$7)*100)</f>
        <v/>
      </c>
      <c r="AH2754" s="18" t="str">
        <f aca="false">IF($D2754="","",IF(COUNTIF($D$2:$D2754,$D2754)=1,1,0))</f>
        <v/>
      </c>
      <c r="AI2754" s="18" t="str">
        <f aca="false">IF($AH2754=1,SUMPRODUCT(--($AK$2:$AK$4001&lt;$AK2754))+1,"")</f>
        <v/>
      </c>
      <c r="AJ2754" s="18" t="str">
        <f aca="false">IF($D2754="","",IF(OR($R2754=TRUE(),$R2754="TRUE"),1,0))</f>
        <v/>
      </c>
      <c r="AK2754" s="18" t="str">
        <f aca="false">IF($AH2754=1,IFERROR(VALUE(MID($D2754,2,20)),1000000000)+ROW()/10000000,"")</f>
        <v/>
      </c>
    </row>
    <row r="2755" customFormat="false" ht="15" hidden="false" customHeight="false" outlineLevel="0" collapsed="false">
      <c r="F2755" s="15"/>
      <c r="N2755" s="16" t="str">
        <f aca="false">IF($D2755="","",M2755*Y2755/100)</f>
        <v/>
      </c>
      <c r="V2755" s="16" t="str">
        <f aca="false">IF($D2755="","",Y2755*AB2755/100)</f>
        <v/>
      </c>
      <c r="W2755" s="16" t="str">
        <f aca="false">IF($D2755="","",Y2755-V2755)</f>
        <v/>
      </c>
      <c r="X2755" s="16" t="str">
        <f aca="false">IF($D2755="","",W2755-N2755)</f>
        <v/>
      </c>
      <c r="AB2755" s="17" t="str">
        <f aca="false">IF($D2755="","",IF(OR($R2755=TRUE(),$R2755="TRUE"),Settings!$C$6,Settings!$C$7)*100)</f>
        <v/>
      </c>
      <c r="AH2755" s="18" t="str">
        <f aca="false">IF($D2755="","",IF(COUNTIF($D$2:$D2755,$D2755)=1,1,0))</f>
        <v/>
      </c>
      <c r="AI2755" s="18" t="str">
        <f aca="false">IF($AH2755=1,SUMPRODUCT(--($AK$2:$AK$4001&lt;$AK2755))+1,"")</f>
        <v/>
      </c>
      <c r="AJ2755" s="18" t="str">
        <f aca="false">IF($D2755="","",IF(OR($R2755=TRUE(),$R2755="TRUE"),1,0))</f>
        <v/>
      </c>
      <c r="AK2755" s="18" t="str">
        <f aca="false">IF($AH2755=1,IFERROR(VALUE(MID($D2755,2,20)),1000000000)+ROW()/10000000,"")</f>
        <v/>
      </c>
    </row>
    <row r="2756" customFormat="false" ht="15" hidden="false" customHeight="false" outlineLevel="0" collapsed="false">
      <c r="F2756" s="15"/>
      <c r="N2756" s="16" t="str">
        <f aca="false">IF($D2756="","",M2756*Y2756/100)</f>
        <v/>
      </c>
      <c r="V2756" s="16" t="str">
        <f aca="false">IF($D2756="","",Y2756*AB2756/100)</f>
        <v/>
      </c>
      <c r="W2756" s="16" t="str">
        <f aca="false">IF($D2756="","",Y2756-V2756)</f>
        <v/>
      </c>
      <c r="X2756" s="16" t="str">
        <f aca="false">IF($D2756="","",W2756-N2756)</f>
        <v/>
      </c>
      <c r="AB2756" s="17" t="str">
        <f aca="false">IF($D2756="","",IF(OR($R2756=TRUE(),$R2756="TRUE"),Settings!$C$6,Settings!$C$7)*100)</f>
        <v/>
      </c>
      <c r="AH2756" s="18" t="str">
        <f aca="false">IF($D2756="","",IF(COUNTIF($D$2:$D2756,$D2756)=1,1,0))</f>
        <v/>
      </c>
      <c r="AI2756" s="18" t="str">
        <f aca="false">IF($AH2756=1,SUMPRODUCT(--($AK$2:$AK$4001&lt;$AK2756))+1,"")</f>
        <v/>
      </c>
      <c r="AJ2756" s="18" t="str">
        <f aca="false">IF($D2756="","",IF(OR($R2756=TRUE(),$R2756="TRUE"),1,0))</f>
        <v/>
      </c>
      <c r="AK2756" s="18" t="str">
        <f aca="false">IF($AH2756=1,IFERROR(VALUE(MID($D2756,2,20)),1000000000)+ROW()/10000000,"")</f>
        <v/>
      </c>
    </row>
    <row r="2757" customFormat="false" ht="15" hidden="false" customHeight="false" outlineLevel="0" collapsed="false">
      <c r="F2757" s="15"/>
      <c r="N2757" s="16" t="str">
        <f aca="false">IF($D2757="","",M2757*Y2757/100)</f>
        <v/>
      </c>
      <c r="V2757" s="16" t="str">
        <f aca="false">IF($D2757="","",Y2757*AB2757/100)</f>
        <v/>
      </c>
      <c r="W2757" s="16" t="str">
        <f aca="false">IF($D2757="","",Y2757-V2757)</f>
        <v/>
      </c>
      <c r="X2757" s="16" t="str">
        <f aca="false">IF($D2757="","",W2757-N2757)</f>
        <v/>
      </c>
      <c r="AB2757" s="17" t="str">
        <f aca="false">IF($D2757="","",IF(OR($R2757=TRUE(),$R2757="TRUE"),Settings!$C$6,Settings!$C$7)*100)</f>
        <v/>
      </c>
      <c r="AH2757" s="18" t="str">
        <f aca="false">IF($D2757="","",IF(COUNTIF($D$2:$D2757,$D2757)=1,1,0))</f>
        <v/>
      </c>
      <c r="AI2757" s="18" t="str">
        <f aca="false">IF($AH2757=1,SUMPRODUCT(--($AK$2:$AK$4001&lt;$AK2757))+1,"")</f>
        <v/>
      </c>
      <c r="AJ2757" s="18" t="str">
        <f aca="false">IF($D2757="","",IF(OR($R2757=TRUE(),$R2757="TRUE"),1,0))</f>
        <v/>
      </c>
      <c r="AK2757" s="18" t="str">
        <f aca="false">IF($AH2757=1,IFERROR(VALUE(MID($D2757,2,20)),1000000000)+ROW()/10000000,"")</f>
        <v/>
      </c>
    </row>
    <row r="2758" customFormat="false" ht="15" hidden="false" customHeight="false" outlineLevel="0" collapsed="false">
      <c r="F2758" s="15"/>
      <c r="N2758" s="16" t="str">
        <f aca="false">IF($D2758="","",M2758*Y2758/100)</f>
        <v/>
      </c>
      <c r="V2758" s="16" t="str">
        <f aca="false">IF($D2758="","",Y2758*AB2758/100)</f>
        <v/>
      </c>
      <c r="W2758" s="16" t="str">
        <f aca="false">IF($D2758="","",Y2758-V2758)</f>
        <v/>
      </c>
      <c r="X2758" s="16" t="str">
        <f aca="false">IF($D2758="","",W2758-N2758)</f>
        <v/>
      </c>
      <c r="AB2758" s="17" t="str">
        <f aca="false">IF($D2758="","",IF(OR($R2758=TRUE(),$R2758="TRUE"),Settings!$C$6,Settings!$C$7)*100)</f>
        <v/>
      </c>
      <c r="AH2758" s="18" t="str">
        <f aca="false">IF($D2758="","",IF(COUNTIF($D$2:$D2758,$D2758)=1,1,0))</f>
        <v/>
      </c>
      <c r="AI2758" s="18" t="str">
        <f aca="false">IF($AH2758=1,SUMPRODUCT(--($AK$2:$AK$4001&lt;$AK2758))+1,"")</f>
        <v/>
      </c>
      <c r="AJ2758" s="18" t="str">
        <f aca="false">IF($D2758="","",IF(OR($R2758=TRUE(),$R2758="TRUE"),1,0))</f>
        <v/>
      </c>
      <c r="AK2758" s="18" t="str">
        <f aca="false">IF($AH2758=1,IFERROR(VALUE(MID($D2758,2,20)),1000000000)+ROW()/10000000,"")</f>
        <v/>
      </c>
    </row>
    <row r="2759" customFormat="false" ht="15" hidden="false" customHeight="false" outlineLevel="0" collapsed="false">
      <c r="F2759" s="15"/>
      <c r="N2759" s="16" t="str">
        <f aca="false">IF($D2759="","",M2759*Y2759/100)</f>
        <v/>
      </c>
      <c r="V2759" s="16" t="str">
        <f aca="false">IF($D2759="","",Y2759*AB2759/100)</f>
        <v/>
      </c>
      <c r="W2759" s="16" t="str">
        <f aca="false">IF($D2759="","",Y2759-V2759)</f>
        <v/>
      </c>
      <c r="X2759" s="16" t="str">
        <f aca="false">IF($D2759="","",W2759-N2759)</f>
        <v/>
      </c>
      <c r="AB2759" s="17" t="str">
        <f aca="false">IF($D2759="","",IF(OR($R2759=TRUE(),$R2759="TRUE"),Settings!$C$6,Settings!$C$7)*100)</f>
        <v/>
      </c>
      <c r="AH2759" s="18" t="str">
        <f aca="false">IF($D2759="","",IF(COUNTIF($D$2:$D2759,$D2759)=1,1,0))</f>
        <v/>
      </c>
      <c r="AI2759" s="18" t="str">
        <f aca="false">IF($AH2759=1,SUMPRODUCT(--($AK$2:$AK$4001&lt;$AK2759))+1,"")</f>
        <v/>
      </c>
      <c r="AJ2759" s="18" t="str">
        <f aca="false">IF($D2759="","",IF(OR($R2759=TRUE(),$R2759="TRUE"),1,0))</f>
        <v/>
      </c>
      <c r="AK2759" s="18" t="str">
        <f aca="false">IF($AH2759=1,IFERROR(VALUE(MID($D2759,2,20)),1000000000)+ROW()/10000000,"")</f>
        <v/>
      </c>
    </row>
    <row r="2760" customFormat="false" ht="15" hidden="false" customHeight="false" outlineLevel="0" collapsed="false">
      <c r="F2760" s="15"/>
      <c r="N2760" s="16" t="str">
        <f aca="false">IF($D2760="","",M2760*Y2760/100)</f>
        <v/>
      </c>
      <c r="V2760" s="16" t="str">
        <f aca="false">IF($D2760="","",Y2760*AB2760/100)</f>
        <v/>
      </c>
      <c r="W2760" s="16" t="str">
        <f aca="false">IF($D2760="","",Y2760-V2760)</f>
        <v/>
      </c>
      <c r="X2760" s="16" t="str">
        <f aca="false">IF($D2760="","",W2760-N2760)</f>
        <v/>
      </c>
      <c r="AB2760" s="17" t="str">
        <f aca="false">IF($D2760="","",IF(OR($R2760=TRUE(),$R2760="TRUE"),Settings!$C$6,Settings!$C$7)*100)</f>
        <v/>
      </c>
      <c r="AH2760" s="18" t="str">
        <f aca="false">IF($D2760="","",IF(COUNTIF($D$2:$D2760,$D2760)=1,1,0))</f>
        <v/>
      </c>
      <c r="AI2760" s="18" t="str">
        <f aca="false">IF($AH2760=1,SUMPRODUCT(--($AK$2:$AK$4001&lt;$AK2760))+1,"")</f>
        <v/>
      </c>
      <c r="AJ2760" s="18" t="str">
        <f aca="false">IF($D2760="","",IF(OR($R2760=TRUE(),$R2760="TRUE"),1,0))</f>
        <v/>
      </c>
      <c r="AK2760" s="18" t="str">
        <f aca="false">IF($AH2760=1,IFERROR(VALUE(MID($D2760,2,20)),1000000000)+ROW()/10000000,"")</f>
        <v/>
      </c>
    </row>
    <row r="2761" customFormat="false" ht="15" hidden="false" customHeight="false" outlineLevel="0" collapsed="false">
      <c r="F2761" s="15"/>
      <c r="N2761" s="16" t="str">
        <f aca="false">IF($D2761="","",M2761*Y2761/100)</f>
        <v/>
      </c>
      <c r="V2761" s="16" t="str">
        <f aca="false">IF($D2761="","",Y2761*AB2761/100)</f>
        <v/>
      </c>
      <c r="W2761" s="16" t="str">
        <f aca="false">IF($D2761="","",Y2761-V2761)</f>
        <v/>
      </c>
      <c r="X2761" s="16" t="str">
        <f aca="false">IF($D2761="","",W2761-N2761)</f>
        <v/>
      </c>
      <c r="AB2761" s="17" t="str">
        <f aca="false">IF($D2761="","",IF(OR($R2761=TRUE(),$R2761="TRUE"),Settings!$C$6,Settings!$C$7)*100)</f>
        <v/>
      </c>
      <c r="AH2761" s="18" t="str">
        <f aca="false">IF($D2761="","",IF(COUNTIF($D$2:$D2761,$D2761)=1,1,0))</f>
        <v/>
      </c>
      <c r="AI2761" s="18" t="str">
        <f aca="false">IF($AH2761=1,SUMPRODUCT(--($AK$2:$AK$4001&lt;$AK2761))+1,"")</f>
        <v/>
      </c>
      <c r="AJ2761" s="18" t="str">
        <f aca="false">IF($D2761="","",IF(OR($R2761=TRUE(),$R2761="TRUE"),1,0))</f>
        <v/>
      </c>
      <c r="AK2761" s="18" t="str">
        <f aca="false">IF($AH2761=1,IFERROR(VALUE(MID($D2761,2,20)),1000000000)+ROW()/10000000,"")</f>
        <v/>
      </c>
    </row>
    <row r="2762" customFormat="false" ht="15" hidden="false" customHeight="false" outlineLevel="0" collapsed="false">
      <c r="F2762" s="15"/>
      <c r="N2762" s="16" t="str">
        <f aca="false">IF($D2762="","",M2762*Y2762/100)</f>
        <v/>
      </c>
      <c r="V2762" s="16" t="str">
        <f aca="false">IF($D2762="","",Y2762*AB2762/100)</f>
        <v/>
      </c>
      <c r="W2762" s="16" t="str">
        <f aca="false">IF($D2762="","",Y2762-V2762)</f>
        <v/>
      </c>
      <c r="X2762" s="16" t="str">
        <f aca="false">IF($D2762="","",W2762-N2762)</f>
        <v/>
      </c>
      <c r="AB2762" s="17" t="str">
        <f aca="false">IF($D2762="","",IF(OR($R2762=TRUE(),$R2762="TRUE"),Settings!$C$6,Settings!$C$7)*100)</f>
        <v/>
      </c>
      <c r="AH2762" s="18" t="str">
        <f aca="false">IF($D2762="","",IF(COUNTIF($D$2:$D2762,$D2762)=1,1,0))</f>
        <v/>
      </c>
      <c r="AI2762" s="18" t="str">
        <f aca="false">IF($AH2762=1,SUMPRODUCT(--($AK$2:$AK$4001&lt;$AK2762))+1,"")</f>
        <v/>
      </c>
      <c r="AJ2762" s="18" t="str">
        <f aca="false">IF($D2762="","",IF(OR($R2762=TRUE(),$R2762="TRUE"),1,0))</f>
        <v/>
      </c>
      <c r="AK2762" s="18" t="str">
        <f aca="false">IF($AH2762=1,IFERROR(VALUE(MID($D2762,2,20)),1000000000)+ROW()/10000000,"")</f>
        <v/>
      </c>
    </row>
    <row r="2763" customFormat="false" ht="15" hidden="false" customHeight="false" outlineLevel="0" collapsed="false">
      <c r="F2763" s="15"/>
      <c r="N2763" s="16" t="str">
        <f aca="false">IF($D2763="","",M2763*Y2763/100)</f>
        <v/>
      </c>
      <c r="V2763" s="16" t="str">
        <f aca="false">IF($D2763="","",Y2763*AB2763/100)</f>
        <v/>
      </c>
      <c r="W2763" s="16" t="str">
        <f aca="false">IF($D2763="","",Y2763-V2763)</f>
        <v/>
      </c>
      <c r="X2763" s="16" t="str">
        <f aca="false">IF($D2763="","",W2763-N2763)</f>
        <v/>
      </c>
      <c r="AB2763" s="17" t="str">
        <f aca="false">IF($D2763="","",IF(OR($R2763=TRUE(),$R2763="TRUE"),Settings!$C$6,Settings!$C$7)*100)</f>
        <v/>
      </c>
      <c r="AH2763" s="18" t="str">
        <f aca="false">IF($D2763="","",IF(COUNTIF($D$2:$D2763,$D2763)=1,1,0))</f>
        <v/>
      </c>
      <c r="AI2763" s="18" t="str">
        <f aca="false">IF($AH2763=1,SUMPRODUCT(--($AK$2:$AK$4001&lt;$AK2763))+1,"")</f>
        <v/>
      </c>
      <c r="AJ2763" s="18" t="str">
        <f aca="false">IF($D2763="","",IF(OR($R2763=TRUE(),$R2763="TRUE"),1,0))</f>
        <v/>
      </c>
      <c r="AK2763" s="18" t="str">
        <f aca="false">IF($AH2763=1,IFERROR(VALUE(MID($D2763,2,20)),1000000000)+ROW()/10000000,"")</f>
        <v/>
      </c>
    </row>
    <row r="2764" customFormat="false" ht="15" hidden="false" customHeight="false" outlineLevel="0" collapsed="false">
      <c r="F2764" s="15"/>
      <c r="N2764" s="16" t="str">
        <f aca="false">IF($D2764="","",M2764*Y2764/100)</f>
        <v/>
      </c>
      <c r="V2764" s="16" t="str">
        <f aca="false">IF($D2764="","",Y2764*AB2764/100)</f>
        <v/>
      </c>
      <c r="W2764" s="16" t="str">
        <f aca="false">IF($D2764="","",Y2764-V2764)</f>
        <v/>
      </c>
      <c r="X2764" s="16" t="str">
        <f aca="false">IF($D2764="","",W2764-N2764)</f>
        <v/>
      </c>
      <c r="AB2764" s="17" t="str">
        <f aca="false">IF($D2764="","",IF(OR($R2764=TRUE(),$R2764="TRUE"),Settings!$C$6,Settings!$C$7)*100)</f>
        <v/>
      </c>
      <c r="AH2764" s="18" t="str">
        <f aca="false">IF($D2764="","",IF(COUNTIF($D$2:$D2764,$D2764)=1,1,0))</f>
        <v/>
      </c>
      <c r="AI2764" s="18" t="str">
        <f aca="false">IF($AH2764=1,SUMPRODUCT(--($AK$2:$AK$4001&lt;$AK2764))+1,"")</f>
        <v/>
      </c>
      <c r="AJ2764" s="18" t="str">
        <f aca="false">IF($D2764="","",IF(OR($R2764=TRUE(),$R2764="TRUE"),1,0))</f>
        <v/>
      </c>
      <c r="AK2764" s="18" t="str">
        <f aca="false">IF($AH2764=1,IFERROR(VALUE(MID($D2764,2,20)),1000000000)+ROW()/10000000,"")</f>
        <v/>
      </c>
    </row>
    <row r="2765" customFormat="false" ht="15" hidden="false" customHeight="false" outlineLevel="0" collapsed="false">
      <c r="F2765" s="15"/>
      <c r="N2765" s="16" t="str">
        <f aca="false">IF($D2765="","",M2765*Y2765/100)</f>
        <v/>
      </c>
      <c r="V2765" s="16" t="str">
        <f aca="false">IF($D2765="","",Y2765*AB2765/100)</f>
        <v/>
      </c>
      <c r="W2765" s="16" t="str">
        <f aca="false">IF($D2765="","",Y2765-V2765)</f>
        <v/>
      </c>
      <c r="X2765" s="16" t="str">
        <f aca="false">IF($D2765="","",W2765-N2765)</f>
        <v/>
      </c>
      <c r="AB2765" s="17" t="str">
        <f aca="false">IF($D2765="","",IF(OR($R2765=TRUE(),$R2765="TRUE"),Settings!$C$6,Settings!$C$7)*100)</f>
        <v/>
      </c>
      <c r="AH2765" s="18" t="str">
        <f aca="false">IF($D2765="","",IF(COUNTIF($D$2:$D2765,$D2765)=1,1,0))</f>
        <v/>
      </c>
      <c r="AI2765" s="18" t="str">
        <f aca="false">IF($AH2765=1,SUMPRODUCT(--($AK$2:$AK$4001&lt;$AK2765))+1,"")</f>
        <v/>
      </c>
      <c r="AJ2765" s="18" t="str">
        <f aca="false">IF($D2765="","",IF(OR($R2765=TRUE(),$R2765="TRUE"),1,0))</f>
        <v/>
      </c>
      <c r="AK2765" s="18" t="str">
        <f aca="false">IF($AH2765=1,IFERROR(VALUE(MID($D2765,2,20)),1000000000)+ROW()/10000000,"")</f>
        <v/>
      </c>
    </row>
    <row r="2766" customFormat="false" ht="15" hidden="false" customHeight="false" outlineLevel="0" collapsed="false">
      <c r="F2766" s="15"/>
      <c r="N2766" s="16" t="str">
        <f aca="false">IF($D2766="","",M2766*Y2766/100)</f>
        <v/>
      </c>
      <c r="V2766" s="16" t="str">
        <f aca="false">IF($D2766="","",Y2766*AB2766/100)</f>
        <v/>
      </c>
      <c r="W2766" s="16" t="str">
        <f aca="false">IF($D2766="","",Y2766-V2766)</f>
        <v/>
      </c>
      <c r="X2766" s="16" t="str">
        <f aca="false">IF($D2766="","",W2766-N2766)</f>
        <v/>
      </c>
      <c r="AB2766" s="17" t="str">
        <f aca="false">IF($D2766="","",IF(OR($R2766=TRUE(),$R2766="TRUE"),Settings!$C$6,Settings!$C$7)*100)</f>
        <v/>
      </c>
      <c r="AH2766" s="18" t="str">
        <f aca="false">IF($D2766="","",IF(COUNTIF($D$2:$D2766,$D2766)=1,1,0))</f>
        <v/>
      </c>
      <c r="AI2766" s="18" t="str">
        <f aca="false">IF($AH2766=1,SUMPRODUCT(--($AK$2:$AK$4001&lt;$AK2766))+1,"")</f>
        <v/>
      </c>
      <c r="AJ2766" s="18" t="str">
        <f aca="false">IF($D2766="","",IF(OR($R2766=TRUE(),$R2766="TRUE"),1,0))</f>
        <v/>
      </c>
      <c r="AK2766" s="18" t="str">
        <f aca="false">IF($AH2766=1,IFERROR(VALUE(MID($D2766,2,20)),1000000000)+ROW()/10000000,"")</f>
        <v/>
      </c>
    </row>
    <row r="2767" customFormat="false" ht="15" hidden="false" customHeight="false" outlineLevel="0" collapsed="false">
      <c r="F2767" s="15"/>
      <c r="N2767" s="16" t="str">
        <f aca="false">IF($D2767="","",M2767*Y2767/100)</f>
        <v/>
      </c>
      <c r="V2767" s="16" t="str">
        <f aca="false">IF($D2767="","",Y2767*AB2767/100)</f>
        <v/>
      </c>
      <c r="W2767" s="16" t="str">
        <f aca="false">IF($D2767="","",Y2767-V2767)</f>
        <v/>
      </c>
      <c r="X2767" s="16" t="str">
        <f aca="false">IF($D2767="","",W2767-N2767)</f>
        <v/>
      </c>
      <c r="AB2767" s="17" t="str">
        <f aca="false">IF($D2767="","",IF(OR($R2767=TRUE(),$R2767="TRUE"),Settings!$C$6,Settings!$C$7)*100)</f>
        <v/>
      </c>
      <c r="AH2767" s="18" t="str">
        <f aca="false">IF($D2767="","",IF(COUNTIF($D$2:$D2767,$D2767)=1,1,0))</f>
        <v/>
      </c>
      <c r="AI2767" s="18" t="str">
        <f aca="false">IF($AH2767=1,SUMPRODUCT(--($AK$2:$AK$4001&lt;$AK2767))+1,"")</f>
        <v/>
      </c>
      <c r="AJ2767" s="18" t="str">
        <f aca="false">IF($D2767="","",IF(OR($R2767=TRUE(),$R2767="TRUE"),1,0))</f>
        <v/>
      </c>
      <c r="AK2767" s="18" t="str">
        <f aca="false">IF($AH2767=1,IFERROR(VALUE(MID($D2767,2,20)),1000000000)+ROW()/10000000,"")</f>
        <v/>
      </c>
    </row>
    <row r="2768" customFormat="false" ht="15" hidden="false" customHeight="false" outlineLevel="0" collapsed="false">
      <c r="F2768" s="15"/>
      <c r="N2768" s="16" t="str">
        <f aca="false">IF($D2768="","",M2768*Y2768/100)</f>
        <v/>
      </c>
      <c r="V2768" s="16" t="str">
        <f aca="false">IF($D2768="","",Y2768*AB2768/100)</f>
        <v/>
      </c>
      <c r="W2768" s="16" t="str">
        <f aca="false">IF($D2768="","",Y2768-V2768)</f>
        <v/>
      </c>
      <c r="X2768" s="16" t="str">
        <f aca="false">IF($D2768="","",W2768-N2768)</f>
        <v/>
      </c>
      <c r="AB2768" s="17" t="str">
        <f aca="false">IF($D2768="","",IF(OR($R2768=TRUE(),$R2768="TRUE"),Settings!$C$6,Settings!$C$7)*100)</f>
        <v/>
      </c>
      <c r="AH2768" s="18" t="str">
        <f aca="false">IF($D2768="","",IF(COUNTIF($D$2:$D2768,$D2768)=1,1,0))</f>
        <v/>
      </c>
      <c r="AI2768" s="18" t="str">
        <f aca="false">IF($AH2768=1,SUMPRODUCT(--($AK$2:$AK$4001&lt;$AK2768))+1,"")</f>
        <v/>
      </c>
      <c r="AJ2768" s="18" t="str">
        <f aca="false">IF($D2768="","",IF(OR($R2768=TRUE(),$R2768="TRUE"),1,0))</f>
        <v/>
      </c>
      <c r="AK2768" s="18" t="str">
        <f aca="false">IF($AH2768=1,IFERROR(VALUE(MID($D2768,2,20)),1000000000)+ROW()/10000000,"")</f>
        <v/>
      </c>
    </row>
    <row r="2769" customFormat="false" ht="15" hidden="false" customHeight="false" outlineLevel="0" collapsed="false">
      <c r="F2769" s="15"/>
      <c r="N2769" s="16" t="str">
        <f aca="false">IF($D2769="","",M2769*Y2769/100)</f>
        <v/>
      </c>
      <c r="V2769" s="16" t="str">
        <f aca="false">IF($D2769="","",Y2769*AB2769/100)</f>
        <v/>
      </c>
      <c r="W2769" s="16" t="str">
        <f aca="false">IF($D2769="","",Y2769-V2769)</f>
        <v/>
      </c>
      <c r="X2769" s="16" t="str">
        <f aca="false">IF($D2769="","",W2769-N2769)</f>
        <v/>
      </c>
      <c r="AB2769" s="17" t="str">
        <f aca="false">IF($D2769="","",IF(OR($R2769=TRUE(),$R2769="TRUE"),Settings!$C$6,Settings!$C$7)*100)</f>
        <v/>
      </c>
      <c r="AH2769" s="18" t="str">
        <f aca="false">IF($D2769="","",IF(COUNTIF($D$2:$D2769,$D2769)=1,1,0))</f>
        <v/>
      </c>
      <c r="AI2769" s="18" t="str">
        <f aca="false">IF($AH2769=1,SUMPRODUCT(--($AK$2:$AK$4001&lt;$AK2769))+1,"")</f>
        <v/>
      </c>
      <c r="AJ2769" s="18" t="str">
        <f aca="false">IF($D2769="","",IF(OR($R2769=TRUE(),$R2769="TRUE"),1,0))</f>
        <v/>
      </c>
      <c r="AK2769" s="18" t="str">
        <f aca="false">IF($AH2769=1,IFERROR(VALUE(MID($D2769,2,20)),1000000000)+ROW()/10000000,"")</f>
        <v/>
      </c>
    </row>
    <row r="2770" customFormat="false" ht="15" hidden="false" customHeight="false" outlineLevel="0" collapsed="false">
      <c r="F2770" s="15"/>
      <c r="N2770" s="16" t="str">
        <f aca="false">IF($D2770="","",M2770*Y2770/100)</f>
        <v/>
      </c>
      <c r="V2770" s="16" t="str">
        <f aca="false">IF($D2770="","",Y2770*AB2770/100)</f>
        <v/>
      </c>
      <c r="W2770" s="16" t="str">
        <f aca="false">IF($D2770="","",Y2770-V2770)</f>
        <v/>
      </c>
      <c r="X2770" s="16" t="str">
        <f aca="false">IF($D2770="","",W2770-N2770)</f>
        <v/>
      </c>
      <c r="AB2770" s="17" t="str">
        <f aca="false">IF($D2770="","",IF(OR($R2770=TRUE(),$R2770="TRUE"),Settings!$C$6,Settings!$C$7)*100)</f>
        <v/>
      </c>
      <c r="AH2770" s="18" t="str">
        <f aca="false">IF($D2770="","",IF(COUNTIF($D$2:$D2770,$D2770)=1,1,0))</f>
        <v/>
      </c>
      <c r="AI2770" s="18" t="str">
        <f aca="false">IF($AH2770=1,SUMPRODUCT(--($AK$2:$AK$4001&lt;$AK2770))+1,"")</f>
        <v/>
      </c>
      <c r="AJ2770" s="18" t="str">
        <f aca="false">IF($D2770="","",IF(OR($R2770=TRUE(),$R2770="TRUE"),1,0))</f>
        <v/>
      </c>
      <c r="AK2770" s="18" t="str">
        <f aca="false">IF($AH2770=1,IFERROR(VALUE(MID($D2770,2,20)),1000000000)+ROW()/10000000,"")</f>
        <v/>
      </c>
    </row>
    <row r="2771" customFormat="false" ht="15" hidden="false" customHeight="false" outlineLevel="0" collapsed="false">
      <c r="F2771" s="15"/>
      <c r="N2771" s="16" t="str">
        <f aca="false">IF($D2771="","",M2771*Y2771/100)</f>
        <v/>
      </c>
      <c r="V2771" s="16" t="str">
        <f aca="false">IF($D2771="","",Y2771*AB2771/100)</f>
        <v/>
      </c>
      <c r="W2771" s="16" t="str">
        <f aca="false">IF($D2771="","",Y2771-V2771)</f>
        <v/>
      </c>
      <c r="X2771" s="16" t="str">
        <f aca="false">IF($D2771="","",W2771-N2771)</f>
        <v/>
      </c>
      <c r="AB2771" s="17" t="str">
        <f aca="false">IF($D2771="","",IF(OR($R2771=TRUE(),$R2771="TRUE"),Settings!$C$6,Settings!$C$7)*100)</f>
        <v/>
      </c>
      <c r="AH2771" s="18" t="str">
        <f aca="false">IF($D2771="","",IF(COUNTIF($D$2:$D2771,$D2771)=1,1,0))</f>
        <v/>
      </c>
      <c r="AI2771" s="18" t="str">
        <f aca="false">IF($AH2771=1,SUMPRODUCT(--($AK$2:$AK$4001&lt;$AK2771))+1,"")</f>
        <v/>
      </c>
      <c r="AJ2771" s="18" t="str">
        <f aca="false">IF($D2771="","",IF(OR($R2771=TRUE(),$R2771="TRUE"),1,0))</f>
        <v/>
      </c>
      <c r="AK2771" s="18" t="str">
        <f aca="false">IF($AH2771=1,IFERROR(VALUE(MID($D2771,2,20)),1000000000)+ROW()/10000000,"")</f>
        <v/>
      </c>
    </row>
    <row r="2772" customFormat="false" ht="15" hidden="false" customHeight="false" outlineLevel="0" collapsed="false">
      <c r="F2772" s="15"/>
      <c r="N2772" s="16" t="str">
        <f aca="false">IF($D2772="","",M2772*Y2772/100)</f>
        <v/>
      </c>
      <c r="V2772" s="16" t="str">
        <f aca="false">IF($D2772="","",Y2772*AB2772/100)</f>
        <v/>
      </c>
      <c r="W2772" s="16" t="str">
        <f aca="false">IF($D2772="","",Y2772-V2772)</f>
        <v/>
      </c>
      <c r="X2772" s="16" t="str">
        <f aca="false">IF($D2772="","",W2772-N2772)</f>
        <v/>
      </c>
      <c r="AB2772" s="17" t="str">
        <f aca="false">IF($D2772="","",IF(OR($R2772=TRUE(),$R2772="TRUE"),Settings!$C$6,Settings!$C$7)*100)</f>
        <v/>
      </c>
      <c r="AH2772" s="18" t="str">
        <f aca="false">IF($D2772="","",IF(COUNTIF($D$2:$D2772,$D2772)=1,1,0))</f>
        <v/>
      </c>
      <c r="AI2772" s="18" t="str">
        <f aca="false">IF($AH2772=1,SUMPRODUCT(--($AK$2:$AK$4001&lt;$AK2772))+1,"")</f>
        <v/>
      </c>
      <c r="AJ2772" s="18" t="str">
        <f aca="false">IF($D2772="","",IF(OR($R2772=TRUE(),$R2772="TRUE"),1,0))</f>
        <v/>
      </c>
      <c r="AK2772" s="18" t="str">
        <f aca="false">IF($AH2772=1,IFERROR(VALUE(MID($D2772,2,20)),1000000000)+ROW()/10000000,"")</f>
        <v/>
      </c>
    </row>
    <row r="2773" customFormat="false" ht="15" hidden="false" customHeight="false" outlineLevel="0" collapsed="false">
      <c r="F2773" s="15"/>
      <c r="N2773" s="16" t="str">
        <f aca="false">IF($D2773="","",M2773*Y2773/100)</f>
        <v/>
      </c>
      <c r="V2773" s="16" t="str">
        <f aca="false">IF($D2773="","",Y2773*AB2773/100)</f>
        <v/>
      </c>
      <c r="W2773" s="16" t="str">
        <f aca="false">IF($D2773="","",Y2773-V2773)</f>
        <v/>
      </c>
      <c r="X2773" s="16" t="str">
        <f aca="false">IF($D2773="","",W2773-N2773)</f>
        <v/>
      </c>
      <c r="AB2773" s="17" t="str">
        <f aca="false">IF($D2773="","",IF(OR($R2773=TRUE(),$R2773="TRUE"),Settings!$C$6,Settings!$C$7)*100)</f>
        <v/>
      </c>
      <c r="AH2773" s="18" t="str">
        <f aca="false">IF($D2773="","",IF(COUNTIF($D$2:$D2773,$D2773)=1,1,0))</f>
        <v/>
      </c>
      <c r="AI2773" s="18" t="str">
        <f aca="false">IF($AH2773=1,SUMPRODUCT(--($AK$2:$AK$4001&lt;$AK2773))+1,"")</f>
        <v/>
      </c>
      <c r="AJ2773" s="18" t="str">
        <f aca="false">IF($D2773="","",IF(OR($R2773=TRUE(),$R2773="TRUE"),1,0))</f>
        <v/>
      </c>
      <c r="AK2773" s="18" t="str">
        <f aca="false">IF($AH2773=1,IFERROR(VALUE(MID($D2773,2,20)),1000000000)+ROW()/10000000,"")</f>
        <v/>
      </c>
    </row>
    <row r="2774" customFormat="false" ht="15" hidden="false" customHeight="false" outlineLevel="0" collapsed="false">
      <c r="F2774" s="15"/>
      <c r="N2774" s="16" t="str">
        <f aca="false">IF($D2774="","",M2774*Y2774/100)</f>
        <v/>
      </c>
      <c r="V2774" s="16" t="str">
        <f aca="false">IF($D2774="","",Y2774*AB2774/100)</f>
        <v/>
      </c>
      <c r="W2774" s="16" t="str">
        <f aca="false">IF($D2774="","",Y2774-V2774)</f>
        <v/>
      </c>
      <c r="X2774" s="16" t="str">
        <f aca="false">IF($D2774="","",W2774-N2774)</f>
        <v/>
      </c>
      <c r="AB2774" s="17" t="str">
        <f aca="false">IF($D2774="","",IF(OR($R2774=TRUE(),$R2774="TRUE"),Settings!$C$6,Settings!$C$7)*100)</f>
        <v/>
      </c>
      <c r="AH2774" s="18" t="str">
        <f aca="false">IF($D2774="","",IF(COUNTIF($D$2:$D2774,$D2774)=1,1,0))</f>
        <v/>
      </c>
      <c r="AI2774" s="18" t="str">
        <f aca="false">IF($AH2774=1,SUMPRODUCT(--($AK$2:$AK$4001&lt;$AK2774))+1,"")</f>
        <v/>
      </c>
      <c r="AJ2774" s="18" t="str">
        <f aca="false">IF($D2774="","",IF(OR($R2774=TRUE(),$R2774="TRUE"),1,0))</f>
        <v/>
      </c>
      <c r="AK2774" s="18" t="str">
        <f aca="false">IF($AH2774=1,IFERROR(VALUE(MID($D2774,2,20)),1000000000)+ROW()/10000000,"")</f>
        <v/>
      </c>
    </row>
    <row r="2775" customFormat="false" ht="15" hidden="false" customHeight="false" outlineLevel="0" collapsed="false">
      <c r="F2775" s="15"/>
      <c r="N2775" s="16" t="str">
        <f aca="false">IF($D2775="","",M2775*Y2775/100)</f>
        <v/>
      </c>
      <c r="V2775" s="16" t="str">
        <f aca="false">IF($D2775="","",Y2775*AB2775/100)</f>
        <v/>
      </c>
      <c r="W2775" s="16" t="str">
        <f aca="false">IF($D2775="","",Y2775-V2775)</f>
        <v/>
      </c>
      <c r="X2775" s="16" t="str">
        <f aca="false">IF($D2775="","",W2775-N2775)</f>
        <v/>
      </c>
      <c r="AB2775" s="17" t="str">
        <f aca="false">IF($D2775="","",IF(OR($R2775=TRUE(),$R2775="TRUE"),Settings!$C$6,Settings!$C$7)*100)</f>
        <v/>
      </c>
      <c r="AH2775" s="18" t="str">
        <f aca="false">IF($D2775="","",IF(COUNTIF($D$2:$D2775,$D2775)=1,1,0))</f>
        <v/>
      </c>
      <c r="AI2775" s="18" t="str">
        <f aca="false">IF($AH2775=1,SUMPRODUCT(--($AK$2:$AK$4001&lt;$AK2775))+1,"")</f>
        <v/>
      </c>
      <c r="AJ2775" s="18" t="str">
        <f aca="false">IF($D2775="","",IF(OR($R2775=TRUE(),$R2775="TRUE"),1,0))</f>
        <v/>
      </c>
      <c r="AK2775" s="18" t="str">
        <f aca="false">IF($AH2775=1,IFERROR(VALUE(MID($D2775,2,20)),1000000000)+ROW()/10000000,"")</f>
        <v/>
      </c>
    </row>
    <row r="2776" customFormat="false" ht="15" hidden="false" customHeight="false" outlineLevel="0" collapsed="false">
      <c r="F2776" s="15"/>
      <c r="N2776" s="16" t="str">
        <f aca="false">IF($D2776="","",M2776*Y2776/100)</f>
        <v/>
      </c>
      <c r="V2776" s="16" t="str">
        <f aca="false">IF($D2776="","",Y2776*AB2776/100)</f>
        <v/>
      </c>
      <c r="W2776" s="16" t="str">
        <f aca="false">IF($D2776="","",Y2776-V2776)</f>
        <v/>
      </c>
      <c r="X2776" s="16" t="str">
        <f aca="false">IF($D2776="","",W2776-N2776)</f>
        <v/>
      </c>
      <c r="AB2776" s="17" t="str">
        <f aca="false">IF($D2776="","",IF(OR($R2776=TRUE(),$R2776="TRUE"),Settings!$C$6,Settings!$C$7)*100)</f>
        <v/>
      </c>
      <c r="AH2776" s="18" t="str">
        <f aca="false">IF($D2776="","",IF(COUNTIF($D$2:$D2776,$D2776)=1,1,0))</f>
        <v/>
      </c>
      <c r="AI2776" s="18" t="str">
        <f aca="false">IF($AH2776=1,SUMPRODUCT(--($AK$2:$AK$4001&lt;$AK2776))+1,"")</f>
        <v/>
      </c>
      <c r="AJ2776" s="18" t="str">
        <f aca="false">IF($D2776="","",IF(OR($R2776=TRUE(),$R2776="TRUE"),1,0))</f>
        <v/>
      </c>
      <c r="AK2776" s="18" t="str">
        <f aca="false">IF($AH2776=1,IFERROR(VALUE(MID($D2776,2,20)),1000000000)+ROW()/10000000,"")</f>
        <v/>
      </c>
    </row>
    <row r="2777" customFormat="false" ht="15" hidden="false" customHeight="false" outlineLevel="0" collapsed="false">
      <c r="F2777" s="15"/>
      <c r="N2777" s="16" t="str">
        <f aca="false">IF($D2777="","",M2777*Y2777/100)</f>
        <v/>
      </c>
      <c r="V2777" s="16" t="str">
        <f aca="false">IF($D2777="","",Y2777*AB2777/100)</f>
        <v/>
      </c>
      <c r="W2777" s="16" t="str">
        <f aca="false">IF($D2777="","",Y2777-V2777)</f>
        <v/>
      </c>
      <c r="X2777" s="16" t="str">
        <f aca="false">IF($D2777="","",W2777-N2777)</f>
        <v/>
      </c>
      <c r="AB2777" s="17" t="str">
        <f aca="false">IF($D2777="","",IF(OR($R2777=TRUE(),$R2777="TRUE"),Settings!$C$6,Settings!$C$7)*100)</f>
        <v/>
      </c>
      <c r="AH2777" s="18" t="str">
        <f aca="false">IF($D2777="","",IF(COUNTIF($D$2:$D2777,$D2777)=1,1,0))</f>
        <v/>
      </c>
      <c r="AI2777" s="18" t="str">
        <f aca="false">IF($AH2777=1,SUMPRODUCT(--($AK$2:$AK$4001&lt;$AK2777))+1,"")</f>
        <v/>
      </c>
      <c r="AJ2777" s="18" t="str">
        <f aca="false">IF($D2777="","",IF(OR($R2777=TRUE(),$R2777="TRUE"),1,0))</f>
        <v/>
      </c>
      <c r="AK2777" s="18" t="str">
        <f aca="false">IF($AH2777=1,IFERROR(VALUE(MID($D2777,2,20)),1000000000)+ROW()/10000000,"")</f>
        <v/>
      </c>
    </row>
    <row r="2778" customFormat="false" ht="15" hidden="false" customHeight="false" outlineLevel="0" collapsed="false">
      <c r="F2778" s="15"/>
      <c r="N2778" s="16" t="str">
        <f aca="false">IF($D2778="","",M2778*Y2778/100)</f>
        <v/>
      </c>
      <c r="V2778" s="16" t="str">
        <f aca="false">IF($D2778="","",Y2778*AB2778/100)</f>
        <v/>
      </c>
      <c r="W2778" s="16" t="str">
        <f aca="false">IF($D2778="","",Y2778-V2778)</f>
        <v/>
      </c>
      <c r="X2778" s="16" t="str">
        <f aca="false">IF($D2778="","",W2778-N2778)</f>
        <v/>
      </c>
      <c r="AB2778" s="17" t="str">
        <f aca="false">IF($D2778="","",IF(OR($R2778=TRUE(),$R2778="TRUE"),Settings!$C$6,Settings!$C$7)*100)</f>
        <v/>
      </c>
      <c r="AH2778" s="18" t="str">
        <f aca="false">IF($D2778="","",IF(COUNTIF($D$2:$D2778,$D2778)=1,1,0))</f>
        <v/>
      </c>
      <c r="AI2778" s="18" t="str">
        <f aca="false">IF($AH2778=1,SUMPRODUCT(--($AK$2:$AK$4001&lt;$AK2778))+1,"")</f>
        <v/>
      </c>
      <c r="AJ2778" s="18" t="str">
        <f aca="false">IF($D2778="","",IF(OR($R2778=TRUE(),$R2778="TRUE"),1,0))</f>
        <v/>
      </c>
      <c r="AK2778" s="18" t="str">
        <f aca="false">IF($AH2778=1,IFERROR(VALUE(MID($D2778,2,20)),1000000000)+ROW()/10000000,"")</f>
        <v/>
      </c>
    </row>
    <row r="2779" customFormat="false" ht="15" hidden="false" customHeight="false" outlineLevel="0" collapsed="false">
      <c r="F2779" s="15"/>
      <c r="N2779" s="16" t="str">
        <f aca="false">IF($D2779="","",M2779*Y2779/100)</f>
        <v/>
      </c>
      <c r="V2779" s="16" t="str">
        <f aca="false">IF($D2779="","",Y2779*AB2779/100)</f>
        <v/>
      </c>
      <c r="W2779" s="16" t="str">
        <f aca="false">IF($D2779="","",Y2779-V2779)</f>
        <v/>
      </c>
      <c r="X2779" s="16" t="str">
        <f aca="false">IF($D2779="","",W2779-N2779)</f>
        <v/>
      </c>
      <c r="AB2779" s="17" t="str">
        <f aca="false">IF($D2779="","",IF(OR($R2779=TRUE(),$R2779="TRUE"),Settings!$C$6,Settings!$C$7)*100)</f>
        <v/>
      </c>
      <c r="AH2779" s="18" t="str">
        <f aca="false">IF($D2779="","",IF(COUNTIF($D$2:$D2779,$D2779)=1,1,0))</f>
        <v/>
      </c>
      <c r="AI2779" s="18" t="str">
        <f aca="false">IF($AH2779=1,SUMPRODUCT(--($AK$2:$AK$4001&lt;$AK2779))+1,"")</f>
        <v/>
      </c>
      <c r="AJ2779" s="18" t="str">
        <f aca="false">IF($D2779="","",IF(OR($R2779=TRUE(),$R2779="TRUE"),1,0))</f>
        <v/>
      </c>
      <c r="AK2779" s="18" t="str">
        <f aca="false">IF($AH2779=1,IFERROR(VALUE(MID($D2779,2,20)),1000000000)+ROW()/10000000,"")</f>
        <v/>
      </c>
    </row>
    <row r="2780" customFormat="false" ht="15" hidden="false" customHeight="false" outlineLevel="0" collapsed="false">
      <c r="F2780" s="15"/>
      <c r="N2780" s="16" t="str">
        <f aca="false">IF($D2780="","",M2780*Y2780/100)</f>
        <v/>
      </c>
      <c r="V2780" s="16" t="str">
        <f aca="false">IF($D2780="","",Y2780*AB2780/100)</f>
        <v/>
      </c>
      <c r="W2780" s="16" t="str">
        <f aca="false">IF($D2780="","",Y2780-V2780)</f>
        <v/>
      </c>
      <c r="X2780" s="16" t="str">
        <f aca="false">IF($D2780="","",W2780-N2780)</f>
        <v/>
      </c>
      <c r="AB2780" s="17" t="str">
        <f aca="false">IF($D2780="","",IF(OR($R2780=TRUE(),$R2780="TRUE"),Settings!$C$6,Settings!$C$7)*100)</f>
        <v/>
      </c>
      <c r="AH2780" s="18" t="str">
        <f aca="false">IF($D2780="","",IF(COUNTIF($D$2:$D2780,$D2780)=1,1,0))</f>
        <v/>
      </c>
      <c r="AI2780" s="18" t="str">
        <f aca="false">IF($AH2780=1,SUMPRODUCT(--($AK$2:$AK$4001&lt;$AK2780))+1,"")</f>
        <v/>
      </c>
      <c r="AJ2780" s="18" t="str">
        <f aca="false">IF($D2780="","",IF(OR($R2780=TRUE(),$R2780="TRUE"),1,0))</f>
        <v/>
      </c>
      <c r="AK2780" s="18" t="str">
        <f aca="false">IF($AH2780=1,IFERROR(VALUE(MID($D2780,2,20)),1000000000)+ROW()/10000000,"")</f>
        <v/>
      </c>
    </row>
    <row r="2781" customFormat="false" ht="15" hidden="false" customHeight="false" outlineLevel="0" collapsed="false">
      <c r="F2781" s="15"/>
      <c r="N2781" s="16" t="str">
        <f aca="false">IF($D2781="","",M2781*Y2781/100)</f>
        <v/>
      </c>
      <c r="V2781" s="16" t="str">
        <f aca="false">IF($D2781="","",Y2781*AB2781/100)</f>
        <v/>
      </c>
      <c r="W2781" s="16" t="str">
        <f aca="false">IF($D2781="","",Y2781-V2781)</f>
        <v/>
      </c>
      <c r="X2781" s="16" t="str">
        <f aca="false">IF($D2781="","",W2781-N2781)</f>
        <v/>
      </c>
      <c r="AB2781" s="17" t="str">
        <f aca="false">IF($D2781="","",IF(OR($R2781=TRUE(),$R2781="TRUE"),Settings!$C$6,Settings!$C$7)*100)</f>
        <v/>
      </c>
      <c r="AH2781" s="18" t="str">
        <f aca="false">IF($D2781="","",IF(COUNTIF($D$2:$D2781,$D2781)=1,1,0))</f>
        <v/>
      </c>
      <c r="AI2781" s="18" t="str">
        <f aca="false">IF($AH2781=1,SUMPRODUCT(--($AK$2:$AK$4001&lt;$AK2781))+1,"")</f>
        <v/>
      </c>
      <c r="AJ2781" s="18" t="str">
        <f aca="false">IF($D2781="","",IF(OR($R2781=TRUE(),$R2781="TRUE"),1,0))</f>
        <v/>
      </c>
      <c r="AK2781" s="18" t="str">
        <f aca="false">IF($AH2781=1,IFERROR(VALUE(MID($D2781,2,20)),1000000000)+ROW()/10000000,"")</f>
        <v/>
      </c>
    </row>
    <row r="2782" customFormat="false" ht="15" hidden="false" customHeight="false" outlineLevel="0" collapsed="false">
      <c r="F2782" s="15"/>
      <c r="N2782" s="16" t="str">
        <f aca="false">IF($D2782="","",M2782*Y2782/100)</f>
        <v/>
      </c>
      <c r="V2782" s="16" t="str">
        <f aca="false">IF($D2782="","",Y2782*AB2782/100)</f>
        <v/>
      </c>
      <c r="W2782" s="16" t="str">
        <f aca="false">IF($D2782="","",Y2782-V2782)</f>
        <v/>
      </c>
      <c r="X2782" s="16" t="str">
        <f aca="false">IF($D2782="","",W2782-N2782)</f>
        <v/>
      </c>
      <c r="AB2782" s="17" t="str">
        <f aca="false">IF($D2782="","",IF(OR($R2782=TRUE(),$R2782="TRUE"),Settings!$C$6,Settings!$C$7)*100)</f>
        <v/>
      </c>
      <c r="AH2782" s="18" t="str">
        <f aca="false">IF($D2782="","",IF(COUNTIF($D$2:$D2782,$D2782)=1,1,0))</f>
        <v/>
      </c>
      <c r="AI2782" s="18" t="str">
        <f aca="false">IF($AH2782=1,SUMPRODUCT(--($AK$2:$AK$4001&lt;$AK2782))+1,"")</f>
        <v/>
      </c>
      <c r="AJ2782" s="18" t="str">
        <f aca="false">IF($D2782="","",IF(OR($R2782=TRUE(),$R2782="TRUE"),1,0))</f>
        <v/>
      </c>
      <c r="AK2782" s="18" t="str">
        <f aca="false">IF($AH2782=1,IFERROR(VALUE(MID($D2782,2,20)),1000000000)+ROW()/10000000,"")</f>
        <v/>
      </c>
    </row>
    <row r="2783" customFormat="false" ht="15" hidden="false" customHeight="false" outlineLevel="0" collapsed="false">
      <c r="F2783" s="15"/>
      <c r="N2783" s="16" t="str">
        <f aca="false">IF($D2783="","",M2783*Y2783/100)</f>
        <v/>
      </c>
      <c r="V2783" s="16" t="str">
        <f aca="false">IF($D2783="","",Y2783*AB2783/100)</f>
        <v/>
      </c>
      <c r="W2783" s="16" t="str">
        <f aca="false">IF($D2783="","",Y2783-V2783)</f>
        <v/>
      </c>
      <c r="X2783" s="16" t="str">
        <f aca="false">IF($D2783="","",W2783-N2783)</f>
        <v/>
      </c>
      <c r="AB2783" s="17" t="str">
        <f aca="false">IF($D2783="","",IF(OR($R2783=TRUE(),$R2783="TRUE"),Settings!$C$6,Settings!$C$7)*100)</f>
        <v/>
      </c>
      <c r="AH2783" s="18" t="str">
        <f aca="false">IF($D2783="","",IF(COUNTIF($D$2:$D2783,$D2783)=1,1,0))</f>
        <v/>
      </c>
      <c r="AI2783" s="18" t="str">
        <f aca="false">IF($AH2783=1,SUMPRODUCT(--($AK$2:$AK$4001&lt;$AK2783))+1,"")</f>
        <v/>
      </c>
      <c r="AJ2783" s="18" t="str">
        <f aca="false">IF($D2783="","",IF(OR($R2783=TRUE(),$R2783="TRUE"),1,0))</f>
        <v/>
      </c>
      <c r="AK2783" s="18" t="str">
        <f aca="false">IF($AH2783=1,IFERROR(VALUE(MID($D2783,2,20)),1000000000)+ROW()/10000000,"")</f>
        <v/>
      </c>
    </row>
    <row r="2784" customFormat="false" ht="15" hidden="false" customHeight="false" outlineLevel="0" collapsed="false">
      <c r="F2784" s="15"/>
      <c r="N2784" s="16" t="str">
        <f aca="false">IF($D2784="","",M2784*Y2784/100)</f>
        <v/>
      </c>
      <c r="V2784" s="16" t="str">
        <f aca="false">IF($D2784="","",Y2784*AB2784/100)</f>
        <v/>
      </c>
      <c r="W2784" s="16" t="str">
        <f aca="false">IF($D2784="","",Y2784-V2784)</f>
        <v/>
      </c>
      <c r="X2784" s="16" t="str">
        <f aca="false">IF($D2784="","",W2784-N2784)</f>
        <v/>
      </c>
      <c r="AB2784" s="17" t="str">
        <f aca="false">IF($D2784="","",IF(OR($R2784=TRUE(),$R2784="TRUE"),Settings!$C$6,Settings!$C$7)*100)</f>
        <v/>
      </c>
      <c r="AH2784" s="18" t="str">
        <f aca="false">IF($D2784="","",IF(COUNTIF($D$2:$D2784,$D2784)=1,1,0))</f>
        <v/>
      </c>
      <c r="AI2784" s="18" t="str">
        <f aca="false">IF($AH2784=1,SUMPRODUCT(--($AK$2:$AK$4001&lt;$AK2784))+1,"")</f>
        <v/>
      </c>
      <c r="AJ2784" s="18" t="str">
        <f aca="false">IF($D2784="","",IF(OR($R2784=TRUE(),$R2784="TRUE"),1,0))</f>
        <v/>
      </c>
      <c r="AK2784" s="18" t="str">
        <f aca="false">IF($AH2784=1,IFERROR(VALUE(MID($D2784,2,20)),1000000000)+ROW()/10000000,"")</f>
        <v/>
      </c>
    </row>
    <row r="2785" customFormat="false" ht="15" hidden="false" customHeight="false" outlineLevel="0" collapsed="false">
      <c r="F2785" s="15"/>
      <c r="N2785" s="16" t="str">
        <f aca="false">IF($D2785="","",M2785*Y2785/100)</f>
        <v/>
      </c>
      <c r="V2785" s="16" t="str">
        <f aca="false">IF($D2785="","",Y2785*AB2785/100)</f>
        <v/>
      </c>
      <c r="W2785" s="16" t="str">
        <f aca="false">IF($D2785="","",Y2785-V2785)</f>
        <v/>
      </c>
      <c r="X2785" s="16" t="str">
        <f aca="false">IF($D2785="","",W2785-N2785)</f>
        <v/>
      </c>
      <c r="AB2785" s="17" t="str">
        <f aca="false">IF($D2785="","",IF(OR($R2785=TRUE(),$R2785="TRUE"),Settings!$C$6,Settings!$C$7)*100)</f>
        <v/>
      </c>
      <c r="AH2785" s="18" t="str">
        <f aca="false">IF($D2785="","",IF(COUNTIF($D$2:$D2785,$D2785)=1,1,0))</f>
        <v/>
      </c>
      <c r="AI2785" s="18" t="str">
        <f aca="false">IF($AH2785=1,SUMPRODUCT(--($AK$2:$AK$4001&lt;$AK2785))+1,"")</f>
        <v/>
      </c>
      <c r="AJ2785" s="18" t="str">
        <f aca="false">IF($D2785="","",IF(OR($R2785=TRUE(),$R2785="TRUE"),1,0))</f>
        <v/>
      </c>
      <c r="AK2785" s="18" t="str">
        <f aca="false">IF($AH2785=1,IFERROR(VALUE(MID($D2785,2,20)),1000000000)+ROW()/10000000,"")</f>
        <v/>
      </c>
    </row>
    <row r="2786" customFormat="false" ht="15" hidden="false" customHeight="false" outlineLevel="0" collapsed="false">
      <c r="F2786" s="15"/>
      <c r="N2786" s="16" t="str">
        <f aca="false">IF($D2786="","",M2786*Y2786/100)</f>
        <v/>
      </c>
      <c r="V2786" s="16" t="str">
        <f aca="false">IF($D2786="","",Y2786*AB2786/100)</f>
        <v/>
      </c>
      <c r="W2786" s="16" t="str">
        <f aca="false">IF($D2786="","",Y2786-V2786)</f>
        <v/>
      </c>
      <c r="X2786" s="16" t="str">
        <f aca="false">IF($D2786="","",W2786-N2786)</f>
        <v/>
      </c>
      <c r="AB2786" s="17" t="str">
        <f aca="false">IF($D2786="","",IF(OR($R2786=TRUE(),$R2786="TRUE"),Settings!$C$6,Settings!$C$7)*100)</f>
        <v/>
      </c>
      <c r="AH2786" s="18" t="str">
        <f aca="false">IF($D2786="","",IF(COUNTIF($D$2:$D2786,$D2786)=1,1,0))</f>
        <v/>
      </c>
      <c r="AI2786" s="18" t="str">
        <f aca="false">IF($AH2786=1,SUMPRODUCT(--($AK$2:$AK$4001&lt;$AK2786))+1,"")</f>
        <v/>
      </c>
      <c r="AJ2786" s="18" t="str">
        <f aca="false">IF($D2786="","",IF(OR($R2786=TRUE(),$R2786="TRUE"),1,0))</f>
        <v/>
      </c>
      <c r="AK2786" s="18" t="str">
        <f aca="false">IF($AH2786=1,IFERROR(VALUE(MID($D2786,2,20)),1000000000)+ROW()/10000000,"")</f>
        <v/>
      </c>
    </row>
    <row r="2787" customFormat="false" ht="15" hidden="false" customHeight="false" outlineLevel="0" collapsed="false">
      <c r="F2787" s="15"/>
      <c r="N2787" s="16" t="str">
        <f aca="false">IF($D2787="","",M2787*Y2787/100)</f>
        <v/>
      </c>
      <c r="V2787" s="16" t="str">
        <f aca="false">IF($D2787="","",Y2787*AB2787/100)</f>
        <v/>
      </c>
      <c r="W2787" s="16" t="str">
        <f aca="false">IF($D2787="","",Y2787-V2787)</f>
        <v/>
      </c>
      <c r="X2787" s="16" t="str">
        <f aca="false">IF($D2787="","",W2787-N2787)</f>
        <v/>
      </c>
      <c r="AB2787" s="17" t="str">
        <f aca="false">IF($D2787="","",IF(OR($R2787=TRUE(),$R2787="TRUE"),Settings!$C$6,Settings!$C$7)*100)</f>
        <v/>
      </c>
      <c r="AH2787" s="18" t="str">
        <f aca="false">IF($D2787="","",IF(COUNTIF($D$2:$D2787,$D2787)=1,1,0))</f>
        <v/>
      </c>
      <c r="AI2787" s="18" t="str">
        <f aca="false">IF($AH2787=1,SUMPRODUCT(--($AK$2:$AK$4001&lt;$AK2787))+1,"")</f>
        <v/>
      </c>
      <c r="AJ2787" s="18" t="str">
        <f aca="false">IF($D2787="","",IF(OR($R2787=TRUE(),$R2787="TRUE"),1,0))</f>
        <v/>
      </c>
      <c r="AK2787" s="18" t="str">
        <f aca="false">IF($AH2787=1,IFERROR(VALUE(MID($D2787,2,20)),1000000000)+ROW()/10000000,"")</f>
        <v/>
      </c>
    </row>
    <row r="2788" customFormat="false" ht="15" hidden="false" customHeight="false" outlineLevel="0" collapsed="false">
      <c r="F2788" s="15"/>
      <c r="N2788" s="16" t="str">
        <f aca="false">IF($D2788="","",M2788*Y2788/100)</f>
        <v/>
      </c>
      <c r="V2788" s="16" t="str">
        <f aca="false">IF($D2788="","",Y2788*AB2788/100)</f>
        <v/>
      </c>
      <c r="W2788" s="16" t="str">
        <f aca="false">IF($D2788="","",Y2788-V2788)</f>
        <v/>
      </c>
      <c r="X2788" s="16" t="str">
        <f aca="false">IF($D2788="","",W2788-N2788)</f>
        <v/>
      </c>
      <c r="AB2788" s="17" t="str">
        <f aca="false">IF($D2788="","",IF(OR($R2788=TRUE(),$R2788="TRUE"),Settings!$C$6,Settings!$C$7)*100)</f>
        <v/>
      </c>
      <c r="AH2788" s="18" t="str">
        <f aca="false">IF($D2788="","",IF(COUNTIF($D$2:$D2788,$D2788)=1,1,0))</f>
        <v/>
      </c>
      <c r="AI2788" s="18" t="str">
        <f aca="false">IF($AH2788=1,SUMPRODUCT(--($AK$2:$AK$4001&lt;$AK2788))+1,"")</f>
        <v/>
      </c>
      <c r="AJ2788" s="18" t="str">
        <f aca="false">IF($D2788="","",IF(OR($R2788=TRUE(),$R2788="TRUE"),1,0))</f>
        <v/>
      </c>
      <c r="AK2788" s="18" t="str">
        <f aca="false">IF($AH2788=1,IFERROR(VALUE(MID($D2788,2,20)),1000000000)+ROW()/10000000,"")</f>
        <v/>
      </c>
    </row>
    <row r="2789" customFormat="false" ht="15" hidden="false" customHeight="false" outlineLevel="0" collapsed="false">
      <c r="F2789" s="15"/>
      <c r="N2789" s="16" t="str">
        <f aca="false">IF($D2789="","",M2789*Y2789/100)</f>
        <v/>
      </c>
      <c r="V2789" s="16" t="str">
        <f aca="false">IF($D2789="","",Y2789*AB2789/100)</f>
        <v/>
      </c>
      <c r="W2789" s="16" t="str">
        <f aca="false">IF($D2789="","",Y2789-V2789)</f>
        <v/>
      </c>
      <c r="X2789" s="16" t="str">
        <f aca="false">IF($D2789="","",W2789-N2789)</f>
        <v/>
      </c>
      <c r="AB2789" s="17" t="str">
        <f aca="false">IF($D2789="","",IF(OR($R2789=TRUE(),$R2789="TRUE"),Settings!$C$6,Settings!$C$7)*100)</f>
        <v/>
      </c>
      <c r="AH2789" s="18" t="str">
        <f aca="false">IF($D2789="","",IF(COUNTIF($D$2:$D2789,$D2789)=1,1,0))</f>
        <v/>
      </c>
      <c r="AI2789" s="18" t="str">
        <f aca="false">IF($AH2789=1,SUMPRODUCT(--($AK$2:$AK$4001&lt;$AK2789))+1,"")</f>
        <v/>
      </c>
      <c r="AJ2789" s="18" t="str">
        <f aca="false">IF($D2789="","",IF(OR($R2789=TRUE(),$R2789="TRUE"),1,0))</f>
        <v/>
      </c>
      <c r="AK2789" s="18" t="str">
        <f aca="false">IF($AH2789=1,IFERROR(VALUE(MID($D2789,2,20)),1000000000)+ROW()/10000000,"")</f>
        <v/>
      </c>
    </row>
    <row r="2790" customFormat="false" ht="15" hidden="false" customHeight="false" outlineLevel="0" collapsed="false">
      <c r="F2790" s="15"/>
      <c r="N2790" s="16" t="str">
        <f aca="false">IF($D2790="","",M2790*Y2790/100)</f>
        <v/>
      </c>
      <c r="V2790" s="16" t="str">
        <f aca="false">IF($D2790="","",Y2790*AB2790/100)</f>
        <v/>
      </c>
      <c r="W2790" s="16" t="str">
        <f aca="false">IF($D2790="","",Y2790-V2790)</f>
        <v/>
      </c>
      <c r="X2790" s="16" t="str">
        <f aca="false">IF($D2790="","",W2790-N2790)</f>
        <v/>
      </c>
      <c r="AB2790" s="17" t="str">
        <f aca="false">IF($D2790="","",IF(OR($R2790=TRUE(),$R2790="TRUE"),Settings!$C$6,Settings!$C$7)*100)</f>
        <v/>
      </c>
      <c r="AH2790" s="18" t="str">
        <f aca="false">IF($D2790="","",IF(COUNTIF($D$2:$D2790,$D2790)=1,1,0))</f>
        <v/>
      </c>
      <c r="AI2790" s="18" t="str">
        <f aca="false">IF($AH2790=1,SUMPRODUCT(--($AK$2:$AK$4001&lt;$AK2790))+1,"")</f>
        <v/>
      </c>
      <c r="AJ2790" s="18" t="str">
        <f aca="false">IF($D2790="","",IF(OR($R2790=TRUE(),$R2790="TRUE"),1,0))</f>
        <v/>
      </c>
      <c r="AK2790" s="18" t="str">
        <f aca="false">IF($AH2790=1,IFERROR(VALUE(MID($D2790,2,20)),1000000000)+ROW()/10000000,"")</f>
        <v/>
      </c>
    </row>
    <row r="2791" customFormat="false" ht="15" hidden="false" customHeight="false" outlineLevel="0" collapsed="false">
      <c r="F2791" s="15"/>
      <c r="N2791" s="16" t="str">
        <f aca="false">IF($D2791="","",M2791*Y2791/100)</f>
        <v/>
      </c>
      <c r="V2791" s="16" t="str">
        <f aca="false">IF($D2791="","",Y2791*AB2791/100)</f>
        <v/>
      </c>
      <c r="W2791" s="16" t="str">
        <f aca="false">IF($D2791="","",Y2791-V2791)</f>
        <v/>
      </c>
      <c r="X2791" s="16" t="str">
        <f aca="false">IF($D2791="","",W2791-N2791)</f>
        <v/>
      </c>
      <c r="AB2791" s="17" t="str">
        <f aca="false">IF($D2791="","",IF(OR($R2791=TRUE(),$R2791="TRUE"),Settings!$C$6,Settings!$C$7)*100)</f>
        <v/>
      </c>
      <c r="AH2791" s="18" t="str">
        <f aca="false">IF($D2791="","",IF(COUNTIF($D$2:$D2791,$D2791)=1,1,0))</f>
        <v/>
      </c>
      <c r="AI2791" s="18" t="str">
        <f aca="false">IF($AH2791=1,SUMPRODUCT(--($AK$2:$AK$4001&lt;$AK2791))+1,"")</f>
        <v/>
      </c>
      <c r="AJ2791" s="18" t="str">
        <f aca="false">IF($D2791="","",IF(OR($R2791=TRUE(),$R2791="TRUE"),1,0))</f>
        <v/>
      </c>
      <c r="AK2791" s="18" t="str">
        <f aca="false">IF($AH2791=1,IFERROR(VALUE(MID($D2791,2,20)),1000000000)+ROW()/10000000,"")</f>
        <v/>
      </c>
    </row>
    <row r="2792" customFormat="false" ht="15" hidden="false" customHeight="false" outlineLevel="0" collapsed="false">
      <c r="F2792" s="15"/>
      <c r="N2792" s="16" t="str">
        <f aca="false">IF($D2792="","",M2792*Y2792/100)</f>
        <v/>
      </c>
      <c r="V2792" s="16" t="str">
        <f aca="false">IF($D2792="","",Y2792*AB2792/100)</f>
        <v/>
      </c>
      <c r="W2792" s="16" t="str">
        <f aca="false">IF($D2792="","",Y2792-V2792)</f>
        <v/>
      </c>
      <c r="X2792" s="16" t="str">
        <f aca="false">IF($D2792="","",W2792-N2792)</f>
        <v/>
      </c>
      <c r="AB2792" s="17" t="str">
        <f aca="false">IF($D2792="","",IF(OR($R2792=TRUE(),$R2792="TRUE"),Settings!$C$6,Settings!$C$7)*100)</f>
        <v/>
      </c>
      <c r="AH2792" s="18" t="str">
        <f aca="false">IF($D2792="","",IF(COUNTIF($D$2:$D2792,$D2792)=1,1,0))</f>
        <v/>
      </c>
      <c r="AI2792" s="18" t="str">
        <f aca="false">IF($AH2792=1,SUMPRODUCT(--($AK$2:$AK$4001&lt;$AK2792))+1,"")</f>
        <v/>
      </c>
      <c r="AJ2792" s="18" t="str">
        <f aca="false">IF($D2792="","",IF(OR($R2792=TRUE(),$R2792="TRUE"),1,0))</f>
        <v/>
      </c>
      <c r="AK2792" s="18" t="str">
        <f aca="false">IF($AH2792=1,IFERROR(VALUE(MID($D2792,2,20)),1000000000)+ROW()/10000000,"")</f>
        <v/>
      </c>
    </row>
    <row r="2793" customFormat="false" ht="15" hidden="false" customHeight="false" outlineLevel="0" collapsed="false">
      <c r="F2793" s="15"/>
      <c r="N2793" s="16" t="str">
        <f aca="false">IF($D2793="","",M2793*Y2793/100)</f>
        <v/>
      </c>
      <c r="V2793" s="16" t="str">
        <f aca="false">IF($D2793="","",Y2793*AB2793/100)</f>
        <v/>
      </c>
      <c r="W2793" s="16" t="str">
        <f aca="false">IF($D2793="","",Y2793-V2793)</f>
        <v/>
      </c>
      <c r="X2793" s="16" t="str">
        <f aca="false">IF($D2793="","",W2793-N2793)</f>
        <v/>
      </c>
      <c r="AB2793" s="17" t="str">
        <f aca="false">IF($D2793="","",IF(OR($R2793=TRUE(),$R2793="TRUE"),Settings!$C$6,Settings!$C$7)*100)</f>
        <v/>
      </c>
      <c r="AH2793" s="18" t="str">
        <f aca="false">IF($D2793="","",IF(COUNTIF($D$2:$D2793,$D2793)=1,1,0))</f>
        <v/>
      </c>
      <c r="AI2793" s="18" t="str">
        <f aca="false">IF($AH2793=1,SUMPRODUCT(--($AK$2:$AK$4001&lt;$AK2793))+1,"")</f>
        <v/>
      </c>
      <c r="AJ2793" s="18" t="str">
        <f aca="false">IF($D2793="","",IF(OR($R2793=TRUE(),$R2793="TRUE"),1,0))</f>
        <v/>
      </c>
      <c r="AK2793" s="18" t="str">
        <f aca="false">IF($AH2793=1,IFERROR(VALUE(MID($D2793,2,20)),1000000000)+ROW()/10000000,"")</f>
        <v/>
      </c>
    </row>
    <row r="2794" customFormat="false" ht="15" hidden="false" customHeight="false" outlineLevel="0" collapsed="false">
      <c r="F2794" s="15"/>
      <c r="N2794" s="16" t="str">
        <f aca="false">IF($D2794="","",M2794*Y2794/100)</f>
        <v/>
      </c>
      <c r="V2794" s="16" t="str">
        <f aca="false">IF($D2794="","",Y2794*AB2794/100)</f>
        <v/>
      </c>
      <c r="W2794" s="16" t="str">
        <f aca="false">IF($D2794="","",Y2794-V2794)</f>
        <v/>
      </c>
      <c r="X2794" s="16" t="str">
        <f aca="false">IF($D2794="","",W2794-N2794)</f>
        <v/>
      </c>
      <c r="AB2794" s="17" t="str">
        <f aca="false">IF($D2794="","",IF(OR($R2794=TRUE(),$R2794="TRUE"),Settings!$C$6,Settings!$C$7)*100)</f>
        <v/>
      </c>
      <c r="AH2794" s="18" t="str">
        <f aca="false">IF($D2794="","",IF(COUNTIF($D$2:$D2794,$D2794)=1,1,0))</f>
        <v/>
      </c>
      <c r="AI2794" s="18" t="str">
        <f aca="false">IF($AH2794=1,SUMPRODUCT(--($AK$2:$AK$4001&lt;$AK2794))+1,"")</f>
        <v/>
      </c>
      <c r="AJ2794" s="18" t="str">
        <f aca="false">IF($D2794="","",IF(OR($R2794=TRUE(),$R2794="TRUE"),1,0))</f>
        <v/>
      </c>
      <c r="AK2794" s="18" t="str">
        <f aca="false">IF($AH2794=1,IFERROR(VALUE(MID($D2794,2,20)),1000000000)+ROW()/10000000,"")</f>
        <v/>
      </c>
    </row>
    <row r="2795" customFormat="false" ht="15" hidden="false" customHeight="false" outlineLevel="0" collapsed="false">
      <c r="F2795" s="15"/>
      <c r="N2795" s="16" t="str">
        <f aca="false">IF($D2795="","",M2795*Y2795/100)</f>
        <v/>
      </c>
      <c r="V2795" s="16" t="str">
        <f aca="false">IF($D2795="","",Y2795*AB2795/100)</f>
        <v/>
      </c>
      <c r="W2795" s="16" t="str">
        <f aca="false">IF($D2795="","",Y2795-V2795)</f>
        <v/>
      </c>
      <c r="X2795" s="16" t="str">
        <f aca="false">IF($D2795="","",W2795-N2795)</f>
        <v/>
      </c>
      <c r="AB2795" s="17" t="str">
        <f aca="false">IF($D2795="","",IF(OR($R2795=TRUE(),$R2795="TRUE"),Settings!$C$6,Settings!$C$7)*100)</f>
        <v/>
      </c>
      <c r="AH2795" s="18" t="str">
        <f aca="false">IF($D2795="","",IF(COUNTIF($D$2:$D2795,$D2795)=1,1,0))</f>
        <v/>
      </c>
      <c r="AI2795" s="18" t="str">
        <f aca="false">IF($AH2795=1,SUMPRODUCT(--($AK$2:$AK$4001&lt;$AK2795))+1,"")</f>
        <v/>
      </c>
      <c r="AJ2795" s="18" t="str">
        <f aca="false">IF($D2795="","",IF(OR($R2795=TRUE(),$R2795="TRUE"),1,0))</f>
        <v/>
      </c>
      <c r="AK2795" s="18" t="str">
        <f aca="false">IF($AH2795=1,IFERROR(VALUE(MID($D2795,2,20)),1000000000)+ROW()/10000000,"")</f>
        <v/>
      </c>
    </row>
    <row r="2796" customFormat="false" ht="15" hidden="false" customHeight="false" outlineLevel="0" collapsed="false">
      <c r="F2796" s="15"/>
      <c r="N2796" s="16" t="str">
        <f aca="false">IF($D2796="","",M2796*Y2796/100)</f>
        <v/>
      </c>
      <c r="V2796" s="16" t="str">
        <f aca="false">IF($D2796="","",Y2796*AB2796/100)</f>
        <v/>
      </c>
      <c r="W2796" s="16" t="str">
        <f aca="false">IF($D2796="","",Y2796-V2796)</f>
        <v/>
      </c>
      <c r="X2796" s="16" t="str">
        <f aca="false">IF($D2796="","",W2796-N2796)</f>
        <v/>
      </c>
      <c r="AB2796" s="17" t="str">
        <f aca="false">IF($D2796="","",IF(OR($R2796=TRUE(),$R2796="TRUE"),Settings!$C$6,Settings!$C$7)*100)</f>
        <v/>
      </c>
      <c r="AH2796" s="18" t="str">
        <f aca="false">IF($D2796="","",IF(COUNTIF($D$2:$D2796,$D2796)=1,1,0))</f>
        <v/>
      </c>
      <c r="AI2796" s="18" t="str">
        <f aca="false">IF($AH2796=1,SUMPRODUCT(--($AK$2:$AK$4001&lt;$AK2796))+1,"")</f>
        <v/>
      </c>
      <c r="AJ2796" s="18" t="str">
        <f aca="false">IF($D2796="","",IF(OR($R2796=TRUE(),$R2796="TRUE"),1,0))</f>
        <v/>
      </c>
      <c r="AK2796" s="18" t="str">
        <f aca="false">IF($AH2796=1,IFERROR(VALUE(MID($D2796,2,20)),1000000000)+ROW()/10000000,"")</f>
        <v/>
      </c>
    </row>
    <row r="2797" customFormat="false" ht="15" hidden="false" customHeight="false" outlineLevel="0" collapsed="false">
      <c r="F2797" s="15"/>
      <c r="N2797" s="16" t="str">
        <f aca="false">IF($D2797="","",M2797*Y2797/100)</f>
        <v/>
      </c>
      <c r="V2797" s="16" t="str">
        <f aca="false">IF($D2797="","",Y2797*AB2797/100)</f>
        <v/>
      </c>
      <c r="W2797" s="16" t="str">
        <f aca="false">IF($D2797="","",Y2797-V2797)</f>
        <v/>
      </c>
      <c r="X2797" s="16" t="str">
        <f aca="false">IF($D2797="","",W2797-N2797)</f>
        <v/>
      </c>
      <c r="AB2797" s="17" t="str">
        <f aca="false">IF($D2797="","",IF(OR($R2797=TRUE(),$R2797="TRUE"),Settings!$C$6,Settings!$C$7)*100)</f>
        <v/>
      </c>
      <c r="AH2797" s="18" t="str">
        <f aca="false">IF($D2797="","",IF(COUNTIF($D$2:$D2797,$D2797)=1,1,0))</f>
        <v/>
      </c>
      <c r="AI2797" s="18" t="str">
        <f aca="false">IF($AH2797=1,SUMPRODUCT(--($AK$2:$AK$4001&lt;$AK2797))+1,"")</f>
        <v/>
      </c>
      <c r="AJ2797" s="18" t="str">
        <f aca="false">IF($D2797="","",IF(OR($R2797=TRUE(),$R2797="TRUE"),1,0))</f>
        <v/>
      </c>
      <c r="AK2797" s="18" t="str">
        <f aca="false">IF($AH2797=1,IFERROR(VALUE(MID($D2797,2,20)),1000000000)+ROW()/10000000,"")</f>
        <v/>
      </c>
    </row>
    <row r="2798" customFormat="false" ht="15" hidden="false" customHeight="false" outlineLevel="0" collapsed="false">
      <c r="F2798" s="15"/>
      <c r="N2798" s="16" t="str">
        <f aca="false">IF($D2798="","",M2798*Y2798/100)</f>
        <v/>
      </c>
      <c r="V2798" s="16" t="str">
        <f aca="false">IF($D2798="","",Y2798*AB2798/100)</f>
        <v/>
      </c>
      <c r="W2798" s="16" t="str">
        <f aca="false">IF($D2798="","",Y2798-V2798)</f>
        <v/>
      </c>
      <c r="X2798" s="16" t="str">
        <f aca="false">IF($D2798="","",W2798-N2798)</f>
        <v/>
      </c>
      <c r="AB2798" s="17" t="str">
        <f aca="false">IF($D2798="","",IF(OR($R2798=TRUE(),$R2798="TRUE"),Settings!$C$6,Settings!$C$7)*100)</f>
        <v/>
      </c>
      <c r="AH2798" s="18" t="str">
        <f aca="false">IF($D2798="","",IF(COUNTIF($D$2:$D2798,$D2798)=1,1,0))</f>
        <v/>
      </c>
      <c r="AI2798" s="18" t="str">
        <f aca="false">IF($AH2798=1,SUMPRODUCT(--($AK$2:$AK$4001&lt;$AK2798))+1,"")</f>
        <v/>
      </c>
      <c r="AJ2798" s="18" t="str">
        <f aca="false">IF($D2798="","",IF(OR($R2798=TRUE(),$R2798="TRUE"),1,0))</f>
        <v/>
      </c>
      <c r="AK2798" s="18" t="str">
        <f aca="false">IF($AH2798=1,IFERROR(VALUE(MID($D2798,2,20)),1000000000)+ROW()/10000000,"")</f>
        <v/>
      </c>
    </row>
    <row r="2799" customFormat="false" ht="15" hidden="false" customHeight="false" outlineLevel="0" collapsed="false">
      <c r="F2799" s="15"/>
      <c r="N2799" s="16" t="str">
        <f aca="false">IF($D2799="","",M2799*Y2799/100)</f>
        <v/>
      </c>
      <c r="V2799" s="16" t="str">
        <f aca="false">IF($D2799="","",Y2799*AB2799/100)</f>
        <v/>
      </c>
      <c r="W2799" s="16" t="str">
        <f aca="false">IF($D2799="","",Y2799-V2799)</f>
        <v/>
      </c>
      <c r="X2799" s="16" t="str">
        <f aca="false">IF($D2799="","",W2799-N2799)</f>
        <v/>
      </c>
      <c r="AB2799" s="17" t="str">
        <f aca="false">IF($D2799="","",IF(OR($R2799=TRUE(),$R2799="TRUE"),Settings!$C$6,Settings!$C$7)*100)</f>
        <v/>
      </c>
      <c r="AH2799" s="18" t="str">
        <f aca="false">IF($D2799="","",IF(COUNTIF($D$2:$D2799,$D2799)=1,1,0))</f>
        <v/>
      </c>
      <c r="AI2799" s="18" t="str">
        <f aca="false">IF($AH2799=1,SUMPRODUCT(--($AK$2:$AK$4001&lt;$AK2799))+1,"")</f>
        <v/>
      </c>
      <c r="AJ2799" s="18" t="str">
        <f aca="false">IF($D2799="","",IF(OR($R2799=TRUE(),$R2799="TRUE"),1,0))</f>
        <v/>
      </c>
      <c r="AK2799" s="18" t="str">
        <f aca="false">IF($AH2799=1,IFERROR(VALUE(MID($D2799,2,20)),1000000000)+ROW()/10000000,"")</f>
        <v/>
      </c>
    </row>
    <row r="2800" customFormat="false" ht="15" hidden="false" customHeight="false" outlineLevel="0" collapsed="false">
      <c r="F2800" s="15"/>
      <c r="N2800" s="16" t="str">
        <f aca="false">IF($D2800="","",M2800*Y2800/100)</f>
        <v/>
      </c>
      <c r="V2800" s="16" t="str">
        <f aca="false">IF($D2800="","",Y2800*AB2800/100)</f>
        <v/>
      </c>
      <c r="W2800" s="16" t="str">
        <f aca="false">IF($D2800="","",Y2800-V2800)</f>
        <v/>
      </c>
      <c r="X2800" s="16" t="str">
        <f aca="false">IF($D2800="","",W2800-N2800)</f>
        <v/>
      </c>
      <c r="AB2800" s="17" t="str">
        <f aca="false">IF($D2800="","",IF(OR($R2800=TRUE(),$R2800="TRUE"),Settings!$C$6,Settings!$C$7)*100)</f>
        <v/>
      </c>
      <c r="AH2800" s="18" t="str">
        <f aca="false">IF($D2800="","",IF(COUNTIF($D$2:$D2800,$D2800)=1,1,0))</f>
        <v/>
      </c>
      <c r="AI2800" s="18" t="str">
        <f aca="false">IF($AH2800=1,SUMPRODUCT(--($AK$2:$AK$4001&lt;$AK2800))+1,"")</f>
        <v/>
      </c>
      <c r="AJ2800" s="18" t="str">
        <f aca="false">IF($D2800="","",IF(OR($R2800=TRUE(),$R2800="TRUE"),1,0))</f>
        <v/>
      </c>
      <c r="AK2800" s="18" t="str">
        <f aca="false">IF($AH2800=1,IFERROR(VALUE(MID($D2800,2,20)),1000000000)+ROW()/10000000,"")</f>
        <v/>
      </c>
    </row>
    <row r="2801" customFormat="false" ht="15" hidden="false" customHeight="false" outlineLevel="0" collapsed="false">
      <c r="F2801" s="15"/>
      <c r="N2801" s="16" t="str">
        <f aca="false">IF($D2801="","",M2801*Y2801/100)</f>
        <v/>
      </c>
      <c r="V2801" s="16" t="str">
        <f aca="false">IF($D2801="","",Y2801*AB2801/100)</f>
        <v/>
      </c>
      <c r="W2801" s="16" t="str">
        <f aca="false">IF($D2801="","",Y2801-V2801)</f>
        <v/>
      </c>
      <c r="X2801" s="16" t="str">
        <f aca="false">IF($D2801="","",W2801-N2801)</f>
        <v/>
      </c>
      <c r="AB2801" s="17" t="str">
        <f aca="false">IF($D2801="","",IF(OR($R2801=TRUE(),$R2801="TRUE"),Settings!$C$6,Settings!$C$7)*100)</f>
        <v/>
      </c>
      <c r="AH2801" s="18" t="str">
        <f aca="false">IF($D2801="","",IF(COUNTIF($D$2:$D2801,$D2801)=1,1,0))</f>
        <v/>
      </c>
      <c r="AI2801" s="18" t="str">
        <f aca="false">IF($AH2801=1,SUMPRODUCT(--($AK$2:$AK$4001&lt;$AK2801))+1,"")</f>
        <v/>
      </c>
      <c r="AJ2801" s="18" t="str">
        <f aca="false">IF($D2801="","",IF(OR($R2801=TRUE(),$R2801="TRUE"),1,0))</f>
        <v/>
      </c>
      <c r="AK2801" s="18" t="str">
        <f aca="false">IF($AH2801=1,IFERROR(VALUE(MID($D2801,2,20)),1000000000)+ROW()/10000000,"")</f>
        <v/>
      </c>
    </row>
    <row r="2802" customFormat="false" ht="15" hidden="false" customHeight="false" outlineLevel="0" collapsed="false">
      <c r="F2802" s="15"/>
      <c r="N2802" s="16" t="str">
        <f aca="false">IF($D2802="","",M2802*Y2802/100)</f>
        <v/>
      </c>
      <c r="V2802" s="16" t="str">
        <f aca="false">IF($D2802="","",Y2802*AB2802/100)</f>
        <v/>
      </c>
      <c r="W2802" s="16" t="str">
        <f aca="false">IF($D2802="","",Y2802-V2802)</f>
        <v/>
      </c>
      <c r="X2802" s="16" t="str">
        <f aca="false">IF($D2802="","",W2802-N2802)</f>
        <v/>
      </c>
      <c r="AB2802" s="17" t="str">
        <f aca="false">IF($D2802="","",IF(OR($R2802=TRUE(),$R2802="TRUE"),Settings!$C$6,Settings!$C$7)*100)</f>
        <v/>
      </c>
      <c r="AH2802" s="18" t="str">
        <f aca="false">IF($D2802="","",IF(COUNTIF($D$2:$D2802,$D2802)=1,1,0))</f>
        <v/>
      </c>
      <c r="AI2802" s="18" t="str">
        <f aca="false">IF($AH2802=1,SUMPRODUCT(--($AK$2:$AK$4001&lt;$AK2802))+1,"")</f>
        <v/>
      </c>
      <c r="AJ2802" s="18" t="str">
        <f aca="false">IF($D2802="","",IF(OR($R2802=TRUE(),$R2802="TRUE"),1,0))</f>
        <v/>
      </c>
      <c r="AK2802" s="18" t="str">
        <f aca="false">IF($AH2802=1,IFERROR(VALUE(MID($D2802,2,20)),1000000000)+ROW()/10000000,"")</f>
        <v/>
      </c>
    </row>
    <row r="2803" customFormat="false" ht="15" hidden="false" customHeight="false" outlineLevel="0" collapsed="false">
      <c r="F2803" s="15"/>
      <c r="N2803" s="16" t="str">
        <f aca="false">IF($D2803="","",M2803*Y2803/100)</f>
        <v/>
      </c>
      <c r="V2803" s="16" t="str">
        <f aca="false">IF($D2803="","",Y2803*AB2803/100)</f>
        <v/>
      </c>
      <c r="W2803" s="16" t="str">
        <f aca="false">IF($D2803="","",Y2803-V2803)</f>
        <v/>
      </c>
      <c r="X2803" s="16" t="str">
        <f aca="false">IF($D2803="","",W2803-N2803)</f>
        <v/>
      </c>
      <c r="AB2803" s="17" t="str">
        <f aca="false">IF($D2803="","",IF(OR($R2803=TRUE(),$R2803="TRUE"),Settings!$C$6,Settings!$C$7)*100)</f>
        <v/>
      </c>
      <c r="AH2803" s="18" t="str">
        <f aca="false">IF($D2803="","",IF(COUNTIF($D$2:$D2803,$D2803)=1,1,0))</f>
        <v/>
      </c>
      <c r="AI2803" s="18" t="str">
        <f aca="false">IF($AH2803=1,SUMPRODUCT(--($AK$2:$AK$4001&lt;$AK2803))+1,"")</f>
        <v/>
      </c>
      <c r="AJ2803" s="18" t="str">
        <f aca="false">IF($D2803="","",IF(OR($R2803=TRUE(),$R2803="TRUE"),1,0))</f>
        <v/>
      </c>
      <c r="AK2803" s="18" t="str">
        <f aca="false">IF($AH2803=1,IFERROR(VALUE(MID($D2803,2,20)),1000000000)+ROW()/10000000,"")</f>
        <v/>
      </c>
    </row>
    <row r="2804" customFormat="false" ht="15" hidden="false" customHeight="false" outlineLevel="0" collapsed="false">
      <c r="F2804" s="15"/>
      <c r="N2804" s="16" t="str">
        <f aca="false">IF($D2804="","",M2804*Y2804/100)</f>
        <v/>
      </c>
      <c r="V2804" s="16" t="str">
        <f aca="false">IF($D2804="","",Y2804*AB2804/100)</f>
        <v/>
      </c>
      <c r="W2804" s="16" t="str">
        <f aca="false">IF($D2804="","",Y2804-V2804)</f>
        <v/>
      </c>
      <c r="X2804" s="16" t="str">
        <f aca="false">IF($D2804="","",W2804-N2804)</f>
        <v/>
      </c>
      <c r="AB2804" s="17" t="str">
        <f aca="false">IF($D2804="","",IF(OR($R2804=TRUE(),$R2804="TRUE"),Settings!$C$6,Settings!$C$7)*100)</f>
        <v/>
      </c>
      <c r="AH2804" s="18" t="str">
        <f aca="false">IF($D2804="","",IF(COUNTIF($D$2:$D2804,$D2804)=1,1,0))</f>
        <v/>
      </c>
      <c r="AI2804" s="18" t="str">
        <f aca="false">IF($AH2804=1,SUMPRODUCT(--($AK$2:$AK$4001&lt;$AK2804))+1,"")</f>
        <v/>
      </c>
      <c r="AJ2804" s="18" t="str">
        <f aca="false">IF($D2804="","",IF(OR($R2804=TRUE(),$R2804="TRUE"),1,0))</f>
        <v/>
      </c>
      <c r="AK2804" s="18" t="str">
        <f aca="false">IF($AH2804=1,IFERROR(VALUE(MID($D2804,2,20)),1000000000)+ROW()/10000000,"")</f>
        <v/>
      </c>
    </row>
    <row r="2805" customFormat="false" ht="15" hidden="false" customHeight="false" outlineLevel="0" collapsed="false">
      <c r="F2805" s="15"/>
      <c r="N2805" s="16" t="str">
        <f aca="false">IF($D2805="","",M2805*Y2805/100)</f>
        <v/>
      </c>
      <c r="V2805" s="16" t="str">
        <f aca="false">IF($D2805="","",Y2805*AB2805/100)</f>
        <v/>
      </c>
      <c r="W2805" s="16" t="str">
        <f aca="false">IF($D2805="","",Y2805-V2805)</f>
        <v/>
      </c>
      <c r="X2805" s="16" t="str">
        <f aca="false">IF($D2805="","",W2805-N2805)</f>
        <v/>
      </c>
      <c r="AB2805" s="17" t="str">
        <f aca="false">IF($D2805="","",IF(OR($R2805=TRUE(),$R2805="TRUE"),Settings!$C$6,Settings!$C$7)*100)</f>
        <v/>
      </c>
      <c r="AH2805" s="18" t="str">
        <f aca="false">IF($D2805="","",IF(COUNTIF($D$2:$D2805,$D2805)=1,1,0))</f>
        <v/>
      </c>
      <c r="AI2805" s="18" t="str">
        <f aca="false">IF($AH2805=1,SUMPRODUCT(--($AK$2:$AK$4001&lt;$AK2805))+1,"")</f>
        <v/>
      </c>
      <c r="AJ2805" s="18" t="str">
        <f aca="false">IF($D2805="","",IF(OR($R2805=TRUE(),$R2805="TRUE"),1,0))</f>
        <v/>
      </c>
      <c r="AK2805" s="18" t="str">
        <f aca="false">IF($AH2805=1,IFERROR(VALUE(MID($D2805,2,20)),1000000000)+ROW()/10000000,"")</f>
        <v/>
      </c>
    </row>
    <row r="2806" customFormat="false" ht="15" hidden="false" customHeight="false" outlineLevel="0" collapsed="false">
      <c r="F2806" s="15"/>
      <c r="N2806" s="16" t="str">
        <f aca="false">IF($D2806="","",M2806*Y2806/100)</f>
        <v/>
      </c>
      <c r="V2806" s="16" t="str">
        <f aca="false">IF($D2806="","",Y2806*AB2806/100)</f>
        <v/>
      </c>
      <c r="W2806" s="16" t="str">
        <f aca="false">IF($D2806="","",Y2806-V2806)</f>
        <v/>
      </c>
      <c r="X2806" s="16" t="str">
        <f aca="false">IF($D2806="","",W2806-N2806)</f>
        <v/>
      </c>
      <c r="AB2806" s="17" t="str">
        <f aca="false">IF($D2806="","",IF(OR($R2806=TRUE(),$R2806="TRUE"),Settings!$C$6,Settings!$C$7)*100)</f>
        <v/>
      </c>
      <c r="AH2806" s="18" t="str">
        <f aca="false">IF($D2806="","",IF(COUNTIF($D$2:$D2806,$D2806)=1,1,0))</f>
        <v/>
      </c>
      <c r="AI2806" s="18" t="str">
        <f aca="false">IF($AH2806=1,SUMPRODUCT(--($AK$2:$AK$4001&lt;$AK2806))+1,"")</f>
        <v/>
      </c>
      <c r="AJ2806" s="18" t="str">
        <f aca="false">IF($D2806="","",IF(OR($R2806=TRUE(),$R2806="TRUE"),1,0))</f>
        <v/>
      </c>
      <c r="AK2806" s="18" t="str">
        <f aca="false">IF($AH2806=1,IFERROR(VALUE(MID($D2806,2,20)),1000000000)+ROW()/10000000,"")</f>
        <v/>
      </c>
    </row>
    <row r="2807" customFormat="false" ht="15" hidden="false" customHeight="false" outlineLevel="0" collapsed="false">
      <c r="F2807" s="15"/>
      <c r="N2807" s="16" t="str">
        <f aca="false">IF($D2807="","",M2807*Y2807/100)</f>
        <v/>
      </c>
      <c r="V2807" s="16" t="str">
        <f aca="false">IF($D2807="","",Y2807*AB2807/100)</f>
        <v/>
      </c>
      <c r="W2807" s="16" t="str">
        <f aca="false">IF($D2807="","",Y2807-V2807)</f>
        <v/>
      </c>
      <c r="X2807" s="16" t="str">
        <f aca="false">IF($D2807="","",W2807-N2807)</f>
        <v/>
      </c>
      <c r="AB2807" s="17" t="str">
        <f aca="false">IF($D2807="","",IF(OR($R2807=TRUE(),$R2807="TRUE"),Settings!$C$6,Settings!$C$7)*100)</f>
        <v/>
      </c>
      <c r="AH2807" s="18" t="str">
        <f aca="false">IF($D2807="","",IF(COUNTIF($D$2:$D2807,$D2807)=1,1,0))</f>
        <v/>
      </c>
      <c r="AI2807" s="18" t="str">
        <f aca="false">IF($AH2807=1,SUMPRODUCT(--($AK$2:$AK$4001&lt;$AK2807))+1,"")</f>
        <v/>
      </c>
      <c r="AJ2807" s="18" t="str">
        <f aca="false">IF($D2807="","",IF(OR($R2807=TRUE(),$R2807="TRUE"),1,0))</f>
        <v/>
      </c>
      <c r="AK2807" s="18" t="str">
        <f aca="false">IF($AH2807=1,IFERROR(VALUE(MID($D2807,2,20)),1000000000)+ROW()/10000000,"")</f>
        <v/>
      </c>
    </row>
    <row r="2808" customFormat="false" ht="15" hidden="false" customHeight="false" outlineLevel="0" collapsed="false">
      <c r="F2808" s="15"/>
      <c r="N2808" s="16" t="str">
        <f aca="false">IF($D2808="","",M2808*Y2808/100)</f>
        <v/>
      </c>
      <c r="V2808" s="16" t="str">
        <f aca="false">IF($D2808="","",Y2808*AB2808/100)</f>
        <v/>
      </c>
      <c r="W2808" s="16" t="str">
        <f aca="false">IF($D2808="","",Y2808-V2808)</f>
        <v/>
      </c>
      <c r="X2808" s="16" t="str">
        <f aca="false">IF($D2808="","",W2808-N2808)</f>
        <v/>
      </c>
      <c r="AB2808" s="17" t="str">
        <f aca="false">IF($D2808="","",IF(OR($R2808=TRUE(),$R2808="TRUE"),Settings!$C$6,Settings!$C$7)*100)</f>
        <v/>
      </c>
      <c r="AH2808" s="18" t="str">
        <f aca="false">IF($D2808="","",IF(COUNTIF($D$2:$D2808,$D2808)=1,1,0))</f>
        <v/>
      </c>
      <c r="AI2808" s="18" t="str">
        <f aca="false">IF($AH2808=1,SUMPRODUCT(--($AK$2:$AK$4001&lt;$AK2808))+1,"")</f>
        <v/>
      </c>
      <c r="AJ2808" s="18" t="str">
        <f aca="false">IF($D2808="","",IF(OR($R2808=TRUE(),$R2808="TRUE"),1,0))</f>
        <v/>
      </c>
      <c r="AK2808" s="18" t="str">
        <f aca="false">IF($AH2808=1,IFERROR(VALUE(MID($D2808,2,20)),1000000000)+ROW()/10000000,"")</f>
        <v/>
      </c>
    </row>
    <row r="2809" customFormat="false" ht="15" hidden="false" customHeight="false" outlineLevel="0" collapsed="false">
      <c r="F2809" s="15"/>
      <c r="N2809" s="16" t="str">
        <f aca="false">IF($D2809="","",M2809*Y2809/100)</f>
        <v/>
      </c>
      <c r="V2809" s="16" t="str">
        <f aca="false">IF($D2809="","",Y2809*AB2809/100)</f>
        <v/>
      </c>
      <c r="W2809" s="16" t="str">
        <f aca="false">IF($D2809="","",Y2809-V2809)</f>
        <v/>
      </c>
      <c r="X2809" s="16" t="str">
        <f aca="false">IF($D2809="","",W2809-N2809)</f>
        <v/>
      </c>
      <c r="AB2809" s="17" t="str">
        <f aca="false">IF($D2809="","",IF(OR($R2809=TRUE(),$R2809="TRUE"),Settings!$C$6,Settings!$C$7)*100)</f>
        <v/>
      </c>
      <c r="AH2809" s="18" t="str">
        <f aca="false">IF($D2809="","",IF(COUNTIF($D$2:$D2809,$D2809)=1,1,0))</f>
        <v/>
      </c>
      <c r="AI2809" s="18" t="str">
        <f aca="false">IF($AH2809=1,SUMPRODUCT(--($AK$2:$AK$4001&lt;$AK2809))+1,"")</f>
        <v/>
      </c>
      <c r="AJ2809" s="18" t="str">
        <f aca="false">IF($D2809="","",IF(OR($R2809=TRUE(),$R2809="TRUE"),1,0))</f>
        <v/>
      </c>
      <c r="AK2809" s="18" t="str">
        <f aca="false">IF($AH2809=1,IFERROR(VALUE(MID($D2809,2,20)),1000000000)+ROW()/10000000,"")</f>
        <v/>
      </c>
    </row>
    <row r="2810" customFormat="false" ht="15" hidden="false" customHeight="false" outlineLevel="0" collapsed="false">
      <c r="F2810" s="15"/>
      <c r="N2810" s="16" t="str">
        <f aca="false">IF($D2810="","",M2810*Y2810/100)</f>
        <v/>
      </c>
      <c r="V2810" s="16" t="str">
        <f aca="false">IF($D2810="","",Y2810*AB2810/100)</f>
        <v/>
      </c>
      <c r="W2810" s="16" t="str">
        <f aca="false">IF($D2810="","",Y2810-V2810)</f>
        <v/>
      </c>
      <c r="X2810" s="16" t="str">
        <f aca="false">IF($D2810="","",W2810-N2810)</f>
        <v/>
      </c>
      <c r="AB2810" s="17" t="str">
        <f aca="false">IF($D2810="","",IF(OR($R2810=TRUE(),$R2810="TRUE"),Settings!$C$6,Settings!$C$7)*100)</f>
        <v/>
      </c>
      <c r="AH2810" s="18" t="str">
        <f aca="false">IF($D2810="","",IF(COUNTIF($D$2:$D2810,$D2810)=1,1,0))</f>
        <v/>
      </c>
      <c r="AI2810" s="18" t="str">
        <f aca="false">IF($AH2810=1,SUMPRODUCT(--($AK$2:$AK$4001&lt;$AK2810))+1,"")</f>
        <v/>
      </c>
      <c r="AJ2810" s="18" t="str">
        <f aca="false">IF($D2810="","",IF(OR($R2810=TRUE(),$R2810="TRUE"),1,0))</f>
        <v/>
      </c>
      <c r="AK2810" s="18" t="str">
        <f aca="false">IF($AH2810=1,IFERROR(VALUE(MID($D2810,2,20)),1000000000)+ROW()/10000000,"")</f>
        <v/>
      </c>
    </row>
    <row r="2811" customFormat="false" ht="15" hidden="false" customHeight="false" outlineLevel="0" collapsed="false">
      <c r="F2811" s="15"/>
      <c r="N2811" s="16" t="str">
        <f aca="false">IF($D2811="","",M2811*Y2811/100)</f>
        <v/>
      </c>
      <c r="V2811" s="16" t="str">
        <f aca="false">IF($D2811="","",Y2811*AB2811/100)</f>
        <v/>
      </c>
      <c r="W2811" s="16" t="str">
        <f aca="false">IF($D2811="","",Y2811-V2811)</f>
        <v/>
      </c>
      <c r="X2811" s="16" t="str">
        <f aca="false">IF($D2811="","",W2811-N2811)</f>
        <v/>
      </c>
      <c r="AB2811" s="17" t="str">
        <f aca="false">IF($D2811="","",IF(OR($R2811=TRUE(),$R2811="TRUE"),Settings!$C$6,Settings!$C$7)*100)</f>
        <v/>
      </c>
      <c r="AH2811" s="18" t="str">
        <f aca="false">IF($D2811="","",IF(COUNTIF($D$2:$D2811,$D2811)=1,1,0))</f>
        <v/>
      </c>
      <c r="AI2811" s="18" t="str">
        <f aca="false">IF($AH2811=1,SUMPRODUCT(--($AK$2:$AK$4001&lt;$AK2811))+1,"")</f>
        <v/>
      </c>
      <c r="AJ2811" s="18" t="str">
        <f aca="false">IF($D2811="","",IF(OR($R2811=TRUE(),$R2811="TRUE"),1,0))</f>
        <v/>
      </c>
      <c r="AK2811" s="18" t="str">
        <f aca="false">IF($AH2811=1,IFERROR(VALUE(MID($D2811,2,20)),1000000000)+ROW()/10000000,"")</f>
        <v/>
      </c>
    </row>
    <row r="2812" customFormat="false" ht="15" hidden="false" customHeight="false" outlineLevel="0" collapsed="false">
      <c r="F2812" s="15"/>
      <c r="N2812" s="16" t="str">
        <f aca="false">IF($D2812="","",M2812*Y2812/100)</f>
        <v/>
      </c>
      <c r="V2812" s="16" t="str">
        <f aca="false">IF($D2812="","",Y2812*AB2812/100)</f>
        <v/>
      </c>
      <c r="W2812" s="16" t="str">
        <f aca="false">IF($D2812="","",Y2812-V2812)</f>
        <v/>
      </c>
      <c r="X2812" s="16" t="str">
        <f aca="false">IF($D2812="","",W2812-N2812)</f>
        <v/>
      </c>
      <c r="AB2812" s="17" t="str">
        <f aca="false">IF($D2812="","",IF(OR($R2812=TRUE(),$R2812="TRUE"),Settings!$C$6,Settings!$C$7)*100)</f>
        <v/>
      </c>
      <c r="AH2812" s="18" t="str">
        <f aca="false">IF($D2812="","",IF(COUNTIF($D$2:$D2812,$D2812)=1,1,0))</f>
        <v/>
      </c>
      <c r="AI2812" s="18" t="str">
        <f aca="false">IF($AH2812=1,SUMPRODUCT(--($AK$2:$AK$4001&lt;$AK2812))+1,"")</f>
        <v/>
      </c>
      <c r="AJ2812" s="18" t="str">
        <f aca="false">IF($D2812="","",IF(OR($R2812=TRUE(),$R2812="TRUE"),1,0))</f>
        <v/>
      </c>
      <c r="AK2812" s="18" t="str">
        <f aca="false">IF($AH2812=1,IFERROR(VALUE(MID($D2812,2,20)),1000000000)+ROW()/10000000,"")</f>
        <v/>
      </c>
    </row>
    <row r="2813" customFormat="false" ht="15" hidden="false" customHeight="false" outlineLevel="0" collapsed="false">
      <c r="F2813" s="15"/>
      <c r="N2813" s="16" t="str">
        <f aca="false">IF($D2813="","",M2813*Y2813/100)</f>
        <v/>
      </c>
      <c r="V2813" s="16" t="str">
        <f aca="false">IF($D2813="","",Y2813*AB2813/100)</f>
        <v/>
      </c>
      <c r="W2813" s="16" t="str">
        <f aca="false">IF($D2813="","",Y2813-V2813)</f>
        <v/>
      </c>
      <c r="X2813" s="16" t="str">
        <f aca="false">IF($D2813="","",W2813-N2813)</f>
        <v/>
      </c>
      <c r="AB2813" s="17" t="str">
        <f aca="false">IF($D2813="","",IF(OR($R2813=TRUE(),$R2813="TRUE"),Settings!$C$6,Settings!$C$7)*100)</f>
        <v/>
      </c>
      <c r="AH2813" s="18" t="str">
        <f aca="false">IF($D2813="","",IF(COUNTIF($D$2:$D2813,$D2813)=1,1,0))</f>
        <v/>
      </c>
      <c r="AI2813" s="18" t="str">
        <f aca="false">IF($AH2813=1,SUMPRODUCT(--($AK$2:$AK$4001&lt;$AK2813))+1,"")</f>
        <v/>
      </c>
      <c r="AJ2813" s="18" t="str">
        <f aca="false">IF($D2813="","",IF(OR($R2813=TRUE(),$R2813="TRUE"),1,0))</f>
        <v/>
      </c>
      <c r="AK2813" s="18" t="str">
        <f aca="false">IF($AH2813=1,IFERROR(VALUE(MID($D2813,2,20)),1000000000)+ROW()/10000000,"")</f>
        <v/>
      </c>
    </row>
    <row r="2814" customFormat="false" ht="15" hidden="false" customHeight="false" outlineLevel="0" collapsed="false">
      <c r="F2814" s="15"/>
      <c r="N2814" s="16" t="str">
        <f aca="false">IF($D2814="","",M2814*Y2814/100)</f>
        <v/>
      </c>
      <c r="V2814" s="16" t="str">
        <f aca="false">IF($D2814="","",Y2814*AB2814/100)</f>
        <v/>
      </c>
      <c r="W2814" s="16" t="str">
        <f aca="false">IF($D2814="","",Y2814-V2814)</f>
        <v/>
      </c>
      <c r="X2814" s="16" t="str">
        <f aca="false">IF($D2814="","",W2814-N2814)</f>
        <v/>
      </c>
      <c r="AB2814" s="17" t="str">
        <f aca="false">IF($D2814="","",IF(OR($R2814=TRUE(),$R2814="TRUE"),Settings!$C$6,Settings!$C$7)*100)</f>
        <v/>
      </c>
      <c r="AH2814" s="18" t="str">
        <f aca="false">IF($D2814="","",IF(COUNTIF($D$2:$D2814,$D2814)=1,1,0))</f>
        <v/>
      </c>
      <c r="AI2814" s="18" t="str">
        <f aca="false">IF($AH2814=1,SUMPRODUCT(--($AK$2:$AK$4001&lt;$AK2814))+1,"")</f>
        <v/>
      </c>
      <c r="AJ2814" s="18" t="str">
        <f aca="false">IF($D2814="","",IF(OR($R2814=TRUE(),$R2814="TRUE"),1,0))</f>
        <v/>
      </c>
      <c r="AK2814" s="18" t="str">
        <f aca="false">IF($AH2814=1,IFERROR(VALUE(MID($D2814,2,20)),1000000000)+ROW()/10000000,"")</f>
        <v/>
      </c>
    </row>
    <row r="2815" customFormat="false" ht="15" hidden="false" customHeight="false" outlineLevel="0" collapsed="false">
      <c r="F2815" s="15"/>
      <c r="N2815" s="16" t="str">
        <f aca="false">IF($D2815="","",M2815*Y2815/100)</f>
        <v/>
      </c>
      <c r="V2815" s="16" t="str">
        <f aca="false">IF($D2815="","",Y2815*AB2815/100)</f>
        <v/>
      </c>
      <c r="W2815" s="16" t="str">
        <f aca="false">IF($D2815="","",Y2815-V2815)</f>
        <v/>
      </c>
      <c r="X2815" s="16" t="str">
        <f aca="false">IF($D2815="","",W2815-N2815)</f>
        <v/>
      </c>
      <c r="AB2815" s="17" t="str">
        <f aca="false">IF($D2815="","",IF(OR($R2815=TRUE(),$R2815="TRUE"),Settings!$C$6,Settings!$C$7)*100)</f>
        <v/>
      </c>
      <c r="AH2815" s="18" t="str">
        <f aca="false">IF($D2815="","",IF(COUNTIF($D$2:$D2815,$D2815)=1,1,0))</f>
        <v/>
      </c>
      <c r="AI2815" s="18" t="str">
        <f aca="false">IF($AH2815=1,SUMPRODUCT(--($AK$2:$AK$4001&lt;$AK2815))+1,"")</f>
        <v/>
      </c>
      <c r="AJ2815" s="18" t="str">
        <f aca="false">IF($D2815="","",IF(OR($R2815=TRUE(),$R2815="TRUE"),1,0))</f>
        <v/>
      </c>
      <c r="AK2815" s="18" t="str">
        <f aca="false">IF($AH2815=1,IFERROR(VALUE(MID($D2815,2,20)),1000000000)+ROW()/10000000,"")</f>
        <v/>
      </c>
    </row>
    <row r="2816" customFormat="false" ht="15" hidden="false" customHeight="false" outlineLevel="0" collapsed="false">
      <c r="F2816" s="15"/>
      <c r="N2816" s="16" t="str">
        <f aca="false">IF($D2816="","",M2816*Y2816/100)</f>
        <v/>
      </c>
      <c r="V2816" s="16" t="str">
        <f aca="false">IF($D2816="","",Y2816*AB2816/100)</f>
        <v/>
      </c>
      <c r="W2816" s="16" t="str">
        <f aca="false">IF($D2816="","",Y2816-V2816)</f>
        <v/>
      </c>
      <c r="X2816" s="16" t="str">
        <f aca="false">IF($D2816="","",W2816-N2816)</f>
        <v/>
      </c>
      <c r="AB2816" s="17" t="str">
        <f aca="false">IF($D2816="","",IF(OR($R2816=TRUE(),$R2816="TRUE"),Settings!$C$6,Settings!$C$7)*100)</f>
        <v/>
      </c>
      <c r="AH2816" s="18" t="str">
        <f aca="false">IF($D2816="","",IF(COUNTIF($D$2:$D2816,$D2816)=1,1,0))</f>
        <v/>
      </c>
      <c r="AI2816" s="18" t="str">
        <f aca="false">IF($AH2816=1,SUMPRODUCT(--($AK$2:$AK$4001&lt;$AK2816))+1,"")</f>
        <v/>
      </c>
      <c r="AJ2816" s="18" t="str">
        <f aca="false">IF($D2816="","",IF(OR($R2816=TRUE(),$R2816="TRUE"),1,0))</f>
        <v/>
      </c>
      <c r="AK2816" s="18" t="str">
        <f aca="false">IF($AH2816=1,IFERROR(VALUE(MID($D2816,2,20)),1000000000)+ROW()/10000000,"")</f>
        <v/>
      </c>
    </row>
    <row r="2817" customFormat="false" ht="15" hidden="false" customHeight="false" outlineLevel="0" collapsed="false">
      <c r="F2817" s="15"/>
      <c r="N2817" s="16" t="str">
        <f aca="false">IF($D2817="","",M2817*Y2817/100)</f>
        <v/>
      </c>
      <c r="V2817" s="16" t="str">
        <f aca="false">IF($D2817="","",Y2817*AB2817/100)</f>
        <v/>
      </c>
      <c r="W2817" s="16" t="str">
        <f aca="false">IF($D2817="","",Y2817-V2817)</f>
        <v/>
      </c>
      <c r="X2817" s="16" t="str">
        <f aca="false">IF($D2817="","",W2817-N2817)</f>
        <v/>
      </c>
      <c r="AB2817" s="17" t="str">
        <f aca="false">IF($D2817="","",IF(OR($R2817=TRUE(),$R2817="TRUE"),Settings!$C$6,Settings!$C$7)*100)</f>
        <v/>
      </c>
      <c r="AH2817" s="18" t="str">
        <f aca="false">IF($D2817="","",IF(COUNTIF($D$2:$D2817,$D2817)=1,1,0))</f>
        <v/>
      </c>
      <c r="AI2817" s="18" t="str">
        <f aca="false">IF($AH2817=1,SUMPRODUCT(--($AK$2:$AK$4001&lt;$AK2817))+1,"")</f>
        <v/>
      </c>
      <c r="AJ2817" s="18" t="str">
        <f aca="false">IF($D2817="","",IF(OR($R2817=TRUE(),$R2817="TRUE"),1,0))</f>
        <v/>
      </c>
      <c r="AK2817" s="18" t="str">
        <f aca="false">IF($AH2817=1,IFERROR(VALUE(MID($D2817,2,20)),1000000000)+ROW()/10000000,"")</f>
        <v/>
      </c>
    </row>
    <row r="2818" customFormat="false" ht="15" hidden="false" customHeight="false" outlineLevel="0" collapsed="false">
      <c r="F2818" s="15"/>
      <c r="N2818" s="16" t="str">
        <f aca="false">IF($D2818="","",M2818*Y2818/100)</f>
        <v/>
      </c>
      <c r="V2818" s="16" t="str">
        <f aca="false">IF($D2818="","",Y2818*AB2818/100)</f>
        <v/>
      </c>
      <c r="W2818" s="16" t="str">
        <f aca="false">IF($D2818="","",Y2818-V2818)</f>
        <v/>
      </c>
      <c r="X2818" s="16" t="str">
        <f aca="false">IF($D2818="","",W2818-N2818)</f>
        <v/>
      </c>
      <c r="AB2818" s="17" t="str">
        <f aca="false">IF($D2818="","",IF(OR($R2818=TRUE(),$R2818="TRUE"),Settings!$C$6,Settings!$C$7)*100)</f>
        <v/>
      </c>
      <c r="AH2818" s="18" t="str">
        <f aca="false">IF($D2818="","",IF(COUNTIF($D$2:$D2818,$D2818)=1,1,0))</f>
        <v/>
      </c>
      <c r="AI2818" s="18" t="str">
        <f aca="false">IF($AH2818=1,SUMPRODUCT(--($AK$2:$AK$4001&lt;$AK2818))+1,"")</f>
        <v/>
      </c>
      <c r="AJ2818" s="18" t="str">
        <f aca="false">IF($D2818="","",IF(OR($R2818=TRUE(),$R2818="TRUE"),1,0))</f>
        <v/>
      </c>
      <c r="AK2818" s="18" t="str">
        <f aca="false">IF($AH2818=1,IFERROR(VALUE(MID($D2818,2,20)),1000000000)+ROW()/10000000,"")</f>
        <v/>
      </c>
    </row>
    <row r="2819" customFormat="false" ht="15" hidden="false" customHeight="false" outlineLevel="0" collapsed="false">
      <c r="F2819" s="15"/>
      <c r="N2819" s="16" t="str">
        <f aca="false">IF($D2819="","",M2819*Y2819/100)</f>
        <v/>
      </c>
      <c r="V2819" s="16" t="str">
        <f aca="false">IF($D2819="","",Y2819*AB2819/100)</f>
        <v/>
      </c>
      <c r="W2819" s="16" t="str">
        <f aca="false">IF($D2819="","",Y2819-V2819)</f>
        <v/>
      </c>
      <c r="X2819" s="16" t="str">
        <f aca="false">IF($D2819="","",W2819-N2819)</f>
        <v/>
      </c>
      <c r="AB2819" s="17" t="str">
        <f aca="false">IF($D2819="","",IF(OR($R2819=TRUE(),$R2819="TRUE"),Settings!$C$6,Settings!$C$7)*100)</f>
        <v/>
      </c>
      <c r="AH2819" s="18" t="str">
        <f aca="false">IF($D2819="","",IF(COUNTIF($D$2:$D2819,$D2819)=1,1,0))</f>
        <v/>
      </c>
      <c r="AI2819" s="18" t="str">
        <f aca="false">IF($AH2819=1,SUMPRODUCT(--($AK$2:$AK$4001&lt;$AK2819))+1,"")</f>
        <v/>
      </c>
      <c r="AJ2819" s="18" t="str">
        <f aca="false">IF($D2819="","",IF(OR($R2819=TRUE(),$R2819="TRUE"),1,0))</f>
        <v/>
      </c>
      <c r="AK2819" s="18" t="str">
        <f aca="false">IF($AH2819=1,IFERROR(VALUE(MID($D2819,2,20)),1000000000)+ROW()/10000000,"")</f>
        <v/>
      </c>
    </row>
    <row r="2820" customFormat="false" ht="15" hidden="false" customHeight="false" outlineLevel="0" collapsed="false">
      <c r="F2820" s="15"/>
      <c r="N2820" s="16" t="str">
        <f aca="false">IF($D2820="","",M2820*Y2820/100)</f>
        <v/>
      </c>
      <c r="V2820" s="16" t="str">
        <f aca="false">IF($D2820="","",Y2820*AB2820/100)</f>
        <v/>
      </c>
      <c r="W2820" s="16" t="str">
        <f aca="false">IF($D2820="","",Y2820-V2820)</f>
        <v/>
      </c>
      <c r="X2820" s="16" t="str">
        <f aca="false">IF($D2820="","",W2820-N2820)</f>
        <v/>
      </c>
      <c r="AB2820" s="17" t="str">
        <f aca="false">IF($D2820="","",IF(OR($R2820=TRUE(),$R2820="TRUE"),Settings!$C$6,Settings!$C$7)*100)</f>
        <v/>
      </c>
      <c r="AH2820" s="18" t="str">
        <f aca="false">IF($D2820="","",IF(COUNTIF($D$2:$D2820,$D2820)=1,1,0))</f>
        <v/>
      </c>
      <c r="AI2820" s="18" t="str">
        <f aca="false">IF($AH2820=1,SUMPRODUCT(--($AK$2:$AK$4001&lt;$AK2820))+1,"")</f>
        <v/>
      </c>
      <c r="AJ2820" s="18" t="str">
        <f aca="false">IF($D2820="","",IF(OR($R2820=TRUE(),$R2820="TRUE"),1,0))</f>
        <v/>
      </c>
      <c r="AK2820" s="18" t="str">
        <f aca="false">IF($AH2820=1,IFERROR(VALUE(MID($D2820,2,20)),1000000000)+ROW()/10000000,"")</f>
        <v/>
      </c>
    </row>
    <row r="2821" customFormat="false" ht="15" hidden="false" customHeight="false" outlineLevel="0" collapsed="false">
      <c r="F2821" s="15"/>
      <c r="N2821" s="16" t="str">
        <f aca="false">IF($D2821="","",M2821*Y2821/100)</f>
        <v/>
      </c>
      <c r="V2821" s="16" t="str">
        <f aca="false">IF($D2821="","",Y2821*AB2821/100)</f>
        <v/>
      </c>
      <c r="W2821" s="16" t="str">
        <f aca="false">IF($D2821="","",Y2821-V2821)</f>
        <v/>
      </c>
      <c r="X2821" s="16" t="str">
        <f aca="false">IF($D2821="","",W2821-N2821)</f>
        <v/>
      </c>
      <c r="AB2821" s="17" t="str">
        <f aca="false">IF($D2821="","",IF(OR($R2821=TRUE(),$R2821="TRUE"),Settings!$C$6,Settings!$C$7)*100)</f>
        <v/>
      </c>
      <c r="AH2821" s="18" t="str">
        <f aca="false">IF($D2821="","",IF(COUNTIF($D$2:$D2821,$D2821)=1,1,0))</f>
        <v/>
      </c>
      <c r="AI2821" s="18" t="str">
        <f aca="false">IF($AH2821=1,SUMPRODUCT(--($AK$2:$AK$4001&lt;$AK2821))+1,"")</f>
        <v/>
      </c>
      <c r="AJ2821" s="18" t="str">
        <f aca="false">IF($D2821="","",IF(OR($R2821=TRUE(),$R2821="TRUE"),1,0))</f>
        <v/>
      </c>
      <c r="AK2821" s="18" t="str">
        <f aca="false">IF($AH2821=1,IFERROR(VALUE(MID($D2821,2,20)),1000000000)+ROW()/10000000,"")</f>
        <v/>
      </c>
    </row>
    <row r="2822" customFormat="false" ht="15" hidden="false" customHeight="false" outlineLevel="0" collapsed="false">
      <c r="F2822" s="15"/>
      <c r="N2822" s="16" t="str">
        <f aca="false">IF($D2822="","",M2822*Y2822/100)</f>
        <v/>
      </c>
      <c r="V2822" s="16" t="str">
        <f aca="false">IF($D2822="","",Y2822*AB2822/100)</f>
        <v/>
      </c>
      <c r="W2822" s="16" t="str">
        <f aca="false">IF($D2822="","",Y2822-V2822)</f>
        <v/>
      </c>
      <c r="X2822" s="16" t="str">
        <f aca="false">IF($D2822="","",W2822-N2822)</f>
        <v/>
      </c>
      <c r="AB2822" s="17" t="str">
        <f aca="false">IF($D2822="","",IF(OR($R2822=TRUE(),$R2822="TRUE"),Settings!$C$6,Settings!$C$7)*100)</f>
        <v/>
      </c>
      <c r="AH2822" s="18" t="str">
        <f aca="false">IF($D2822="","",IF(COUNTIF($D$2:$D2822,$D2822)=1,1,0))</f>
        <v/>
      </c>
      <c r="AI2822" s="18" t="str">
        <f aca="false">IF($AH2822=1,SUMPRODUCT(--($AK$2:$AK$4001&lt;$AK2822))+1,"")</f>
        <v/>
      </c>
      <c r="AJ2822" s="18" t="str">
        <f aca="false">IF($D2822="","",IF(OR($R2822=TRUE(),$R2822="TRUE"),1,0))</f>
        <v/>
      </c>
      <c r="AK2822" s="18" t="str">
        <f aca="false">IF($AH2822=1,IFERROR(VALUE(MID($D2822,2,20)),1000000000)+ROW()/10000000,"")</f>
        <v/>
      </c>
    </row>
    <row r="2823" customFormat="false" ht="15" hidden="false" customHeight="false" outlineLevel="0" collapsed="false">
      <c r="F2823" s="15"/>
      <c r="N2823" s="16" t="str">
        <f aca="false">IF($D2823="","",M2823*Y2823/100)</f>
        <v/>
      </c>
      <c r="V2823" s="16" t="str">
        <f aca="false">IF($D2823="","",Y2823*AB2823/100)</f>
        <v/>
      </c>
      <c r="W2823" s="16" t="str">
        <f aca="false">IF($D2823="","",Y2823-V2823)</f>
        <v/>
      </c>
      <c r="X2823" s="16" t="str">
        <f aca="false">IF($D2823="","",W2823-N2823)</f>
        <v/>
      </c>
      <c r="AB2823" s="17" t="str">
        <f aca="false">IF($D2823="","",IF(OR($R2823=TRUE(),$R2823="TRUE"),Settings!$C$6,Settings!$C$7)*100)</f>
        <v/>
      </c>
      <c r="AH2823" s="18" t="str">
        <f aca="false">IF($D2823="","",IF(COUNTIF($D$2:$D2823,$D2823)=1,1,0))</f>
        <v/>
      </c>
      <c r="AI2823" s="18" t="str">
        <f aca="false">IF($AH2823=1,SUMPRODUCT(--($AK$2:$AK$4001&lt;$AK2823))+1,"")</f>
        <v/>
      </c>
      <c r="AJ2823" s="18" t="str">
        <f aca="false">IF($D2823="","",IF(OR($R2823=TRUE(),$R2823="TRUE"),1,0))</f>
        <v/>
      </c>
      <c r="AK2823" s="18" t="str">
        <f aca="false">IF($AH2823=1,IFERROR(VALUE(MID($D2823,2,20)),1000000000)+ROW()/10000000,"")</f>
        <v/>
      </c>
    </row>
    <row r="2824" customFormat="false" ht="15" hidden="false" customHeight="false" outlineLevel="0" collapsed="false">
      <c r="F2824" s="15"/>
      <c r="N2824" s="16" t="str">
        <f aca="false">IF($D2824="","",M2824*Y2824/100)</f>
        <v/>
      </c>
      <c r="V2824" s="16" t="str">
        <f aca="false">IF($D2824="","",Y2824*AB2824/100)</f>
        <v/>
      </c>
      <c r="W2824" s="16" t="str">
        <f aca="false">IF($D2824="","",Y2824-V2824)</f>
        <v/>
      </c>
      <c r="X2824" s="16" t="str">
        <f aca="false">IF($D2824="","",W2824-N2824)</f>
        <v/>
      </c>
      <c r="AB2824" s="17" t="str">
        <f aca="false">IF($D2824="","",IF(OR($R2824=TRUE(),$R2824="TRUE"),Settings!$C$6,Settings!$C$7)*100)</f>
        <v/>
      </c>
      <c r="AH2824" s="18" t="str">
        <f aca="false">IF($D2824="","",IF(COUNTIF($D$2:$D2824,$D2824)=1,1,0))</f>
        <v/>
      </c>
      <c r="AI2824" s="18" t="str">
        <f aca="false">IF($AH2824=1,SUMPRODUCT(--($AK$2:$AK$4001&lt;$AK2824))+1,"")</f>
        <v/>
      </c>
      <c r="AJ2824" s="18" t="str">
        <f aca="false">IF($D2824="","",IF(OR($R2824=TRUE(),$R2824="TRUE"),1,0))</f>
        <v/>
      </c>
      <c r="AK2824" s="18" t="str">
        <f aca="false">IF($AH2824=1,IFERROR(VALUE(MID($D2824,2,20)),1000000000)+ROW()/10000000,"")</f>
        <v/>
      </c>
    </row>
    <row r="2825" customFormat="false" ht="15" hidden="false" customHeight="false" outlineLevel="0" collapsed="false">
      <c r="F2825" s="15"/>
      <c r="N2825" s="16" t="str">
        <f aca="false">IF($D2825="","",M2825*Y2825/100)</f>
        <v/>
      </c>
      <c r="V2825" s="16" t="str">
        <f aca="false">IF($D2825="","",Y2825*AB2825/100)</f>
        <v/>
      </c>
      <c r="W2825" s="16" t="str">
        <f aca="false">IF($D2825="","",Y2825-V2825)</f>
        <v/>
      </c>
      <c r="X2825" s="16" t="str">
        <f aca="false">IF($D2825="","",W2825-N2825)</f>
        <v/>
      </c>
      <c r="AB2825" s="17" t="str">
        <f aca="false">IF($D2825="","",IF(OR($R2825=TRUE(),$R2825="TRUE"),Settings!$C$6,Settings!$C$7)*100)</f>
        <v/>
      </c>
      <c r="AH2825" s="18" t="str">
        <f aca="false">IF($D2825="","",IF(COUNTIF($D$2:$D2825,$D2825)=1,1,0))</f>
        <v/>
      </c>
      <c r="AI2825" s="18" t="str">
        <f aca="false">IF($AH2825=1,SUMPRODUCT(--($AK$2:$AK$4001&lt;$AK2825))+1,"")</f>
        <v/>
      </c>
      <c r="AJ2825" s="18" t="str">
        <f aca="false">IF($D2825="","",IF(OR($R2825=TRUE(),$R2825="TRUE"),1,0))</f>
        <v/>
      </c>
      <c r="AK2825" s="18" t="str">
        <f aca="false">IF($AH2825=1,IFERROR(VALUE(MID($D2825,2,20)),1000000000)+ROW()/10000000,"")</f>
        <v/>
      </c>
    </row>
    <row r="2826" customFormat="false" ht="15" hidden="false" customHeight="false" outlineLevel="0" collapsed="false">
      <c r="F2826" s="15"/>
      <c r="N2826" s="16" t="str">
        <f aca="false">IF($D2826="","",M2826*Y2826/100)</f>
        <v/>
      </c>
      <c r="V2826" s="16" t="str">
        <f aca="false">IF($D2826="","",Y2826*AB2826/100)</f>
        <v/>
      </c>
      <c r="W2826" s="16" t="str">
        <f aca="false">IF($D2826="","",Y2826-V2826)</f>
        <v/>
      </c>
      <c r="X2826" s="16" t="str">
        <f aca="false">IF($D2826="","",W2826-N2826)</f>
        <v/>
      </c>
      <c r="AB2826" s="17" t="str">
        <f aca="false">IF($D2826="","",IF(OR($R2826=TRUE(),$R2826="TRUE"),Settings!$C$6,Settings!$C$7)*100)</f>
        <v/>
      </c>
      <c r="AH2826" s="18" t="str">
        <f aca="false">IF($D2826="","",IF(COUNTIF($D$2:$D2826,$D2826)=1,1,0))</f>
        <v/>
      </c>
      <c r="AI2826" s="18" t="str">
        <f aca="false">IF($AH2826=1,SUMPRODUCT(--($AK$2:$AK$4001&lt;$AK2826))+1,"")</f>
        <v/>
      </c>
      <c r="AJ2826" s="18" t="str">
        <f aca="false">IF($D2826="","",IF(OR($R2826=TRUE(),$R2826="TRUE"),1,0))</f>
        <v/>
      </c>
      <c r="AK2826" s="18" t="str">
        <f aca="false">IF($AH2826=1,IFERROR(VALUE(MID($D2826,2,20)),1000000000)+ROW()/10000000,"")</f>
        <v/>
      </c>
    </row>
    <row r="2827" customFormat="false" ht="15" hidden="false" customHeight="false" outlineLevel="0" collapsed="false">
      <c r="F2827" s="15"/>
      <c r="N2827" s="16" t="str">
        <f aca="false">IF($D2827="","",M2827*Y2827/100)</f>
        <v/>
      </c>
      <c r="V2827" s="16" t="str">
        <f aca="false">IF($D2827="","",Y2827*AB2827/100)</f>
        <v/>
      </c>
      <c r="W2827" s="16" t="str">
        <f aca="false">IF($D2827="","",Y2827-V2827)</f>
        <v/>
      </c>
      <c r="X2827" s="16" t="str">
        <f aca="false">IF($D2827="","",W2827-N2827)</f>
        <v/>
      </c>
      <c r="AB2827" s="17" t="str">
        <f aca="false">IF($D2827="","",IF(OR($R2827=TRUE(),$R2827="TRUE"),Settings!$C$6,Settings!$C$7)*100)</f>
        <v/>
      </c>
      <c r="AH2827" s="18" t="str">
        <f aca="false">IF($D2827="","",IF(COUNTIF($D$2:$D2827,$D2827)=1,1,0))</f>
        <v/>
      </c>
      <c r="AI2827" s="18" t="str">
        <f aca="false">IF($AH2827=1,SUMPRODUCT(--($AK$2:$AK$4001&lt;$AK2827))+1,"")</f>
        <v/>
      </c>
      <c r="AJ2827" s="18" t="str">
        <f aca="false">IF($D2827="","",IF(OR($R2827=TRUE(),$R2827="TRUE"),1,0))</f>
        <v/>
      </c>
      <c r="AK2827" s="18" t="str">
        <f aca="false">IF($AH2827=1,IFERROR(VALUE(MID($D2827,2,20)),1000000000)+ROW()/10000000,"")</f>
        <v/>
      </c>
    </row>
    <row r="2828" customFormat="false" ht="15" hidden="false" customHeight="false" outlineLevel="0" collapsed="false">
      <c r="F2828" s="15"/>
      <c r="N2828" s="16" t="str">
        <f aca="false">IF($D2828="","",M2828*Y2828/100)</f>
        <v/>
      </c>
      <c r="V2828" s="16" t="str">
        <f aca="false">IF($D2828="","",Y2828*AB2828/100)</f>
        <v/>
      </c>
      <c r="W2828" s="16" t="str">
        <f aca="false">IF($D2828="","",Y2828-V2828)</f>
        <v/>
      </c>
      <c r="X2828" s="16" t="str">
        <f aca="false">IF($D2828="","",W2828-N2828)</f>
        <v/>
      </c>
      <c r="AB2828" s="17" t="str">
        <f aca="false">IF($D2828="","",IF(OR($R2828=TRUE(),$R2828="TRUE"),Settings!$C$6,Settings!$C$7)*100)</f>
        <v/>
      </c>
      <c r="AH2828" s="18" t="str">
        <f aca="false">IF($D2828="","",IF(COUNTIF($D$2:$D2828,$D2828)=1,1,0))</f>
        <v/>
      </c>
      <c r="AI2828" s="18" t="str">
        <f aca="false">IF($AH2828=1,SUMPRODUCT(--($AK$2:$AK$4001&lt;$AK2828))+1,"")</f>
        <v/>
      </c>
      <c r="AJ2828" s="18" t="str">
        <f aca="false">IF($D2828="","",IF(OR($R2828=TRUE(),$R2828="TRUE"),1,0))</f>
        <v/>
      </c>
      <c r="AK2828" s="18" t="str">
        <f aca="false">IF($AH2828=1,IFERROR(VALUE(MID($D2828,2,20)),1000000000)+ROW()/10000000,"")</f>
        <v/>
      </c>
    </row>
    <row r="2829" customFormat="false" ht="15" hidden="false" customHeight="false" outlineLevel="0" collapsed="false">
      <c r="F2829" s="15"/>
      <c r="N2829" s="16" t="str">
        <f aca="false">IF($D2829="","",M2829*Y2829/100)</f>
        <v/>
      </c>
      <c r="V2829" s="16" t="str">
        <f aca="false">IF($D2829="","",Y2829*AB2829/100)</f>
        <v/>
      </c>
      <c r="W2829" s="16" t="str">
        <f aca="false">IF($D2829="","",Y2829-V2829)</f>
        <v/>
      </c>
      <c r="X2829" s="16" t="str">
        <f aca="false">IF($D2829="","",W2829-N2829)</f>
        <v/>
      </c>
      <c r="AB2829" s="17" t="str">
        <f aca="false">IF($D2829="","",IF(OR($R2829=TRUE(),$R2829="TRUE"),Settings!$C$6,Settings!$C$7)*100)</f>
        <v/>
      </c>
      <c r="AH2829" s="18" t="str">
        <f aca="false">IF($D2829="","",IF(COUNTIF($D$2:$D2829,$D2829)=1,1,0))</f>
        <v/>
      </c>
      <c r="AI2829" s="18" t="str">
        <f aca="false">IF($AH2829=1,SUMPRODUCT(--($AK$2:$AK$4001&lt;$AK2829))+1,"")</f>
        <v/>
      </c>
      <c r="AJ2829" s="18" t="str">
        <f aca="false">IF($D2829="","",IF(OR($R2829=TRUE(),$R2829="TRUE"),1,0))</f>
        <v/>
      </c>
      <c r="AK2829" s="18" t="str">
        <f aca="false">IF($AH2829=1,IFERROR(VALUE(MID($D2829,2,20)),1000000000)+ROW()/10000000,"")</f>
        <v/>
      </c>
    </row>
    <row r="2830" customFormat="false" ht="15" hidden="false" customHeight="false" outlineLevel="0" collapsed="false">
      <c r="F2830" s="15"/>
      <c r="N2830" s="16" t="str">
        <f aca="false">IF($D2830="","",M2830*Y2830/100)</f>
        <v/>
      </c>
      <c r="V2830" s="16" t="str">
        <f aca="false">IF($D2830="","",Y2830*AB2830/100)</f>
        <v/>
      </c>
      <c r="W2830" s="16" t="str">
        <f aca="false">IF($D2830="","",Y2830-V2830)</f>
        <v/>
      </c>
      <c r="X2830" s="16" t="str">
        <f aca="false">IF($D2830="","",W2830-N2830)</f>
        <v/>
      </c>
      <c r="AB2830" s="17" t="str">
        <f aca="false">IF($D2830="","",IF(OR($R2830=TRUE(),$R2830="TRUE"),Settings!$C$6,Settings!$C$7)*100)</f>
        <v/>
      </c>
      <c r="AH2830" s="18" t="str">
        <f aca="false">IF($D2830="","",IF(COUNTIF($D$2:$D2830,$D2830)=1,1,0))</f>
        <v/>
      </c>
      <c r="AI2830" s="18" t="str">
        <f aca="false">IF($AH2830=1,SUMPRODUCT(--($AK$2:$AK$4001&lt;$AK2830))+1,"")</f>
        <v/>
      </c>
      <c r="AJ2830" s="18" t="str">
        <f aca="false">IF($D2830="","",IF(OR($R2830=TRUE(),$R2830="TRUE"),1,0))</f>
        <v/>
      </c>
      <c r="AK2830" s="18" t="str">
        <f aca="false">IF($AH2830=1,IFERROR(VALUE(MID($D2830,2,20)),1000000000)+ROW()/10000000,"")</f>
        <v/>
      </c>
    </row>
    <row r="2831" customFormat="false" ht="15" hidden="false" customHeight="false" outlineLevel="0" collapsed="false">
      <c r="F2831" s="15"/>
      <c r="N2831" s="16" t="str">
        <f aca="false">IF($D2831="","",M2831*Y2831/100)</f>
        <v/>
      </c>
      <c r="V2831" s="16" t="str">
        <f aca="false">IF($D2831="","",Y2831*AB2831/100)</f>
        <v/>
      </c>
      <c r="W2831" s="16" t="str">
        <f aca="false">IF($D2831="","",Y2831-V2831)</f>
        <v/>
      </c>
      <c r="X2831" s="16" t="str">
        <f aca="false">IF($D2831="","",W2831-N2831)</f>
        <v/>
      </c>
      <c r="AB2831" s="17" t="str">
        <f aca="false">IF($D2831="","",IF(OR($R2831=TRUE(),$R2831="TRUE"),Settings!$C$6,Settings!$C$7)*100)</f>
        <v/>
      </c>
      <c r="AH2831" s="18" t="str">
        <f aca="false">IF($D2831="","",IF(COUNTIF($D$2:$D2831,$D2831)=1,1,0))</f>
        <v/>
      </c>
      <c r="AI2831" s="18" t="str">
        <f aca="false">IF($AH2831=1,SUMPRODUCT(--($AK$2:$AK$4001&lt;$AK2831))+1,"")</f>
        <v/>
      </c>
      <c r="AJ2831" s="18" t="str">
        <f aca="false">IF($D2831="","",IF(OR($R2831=TRUE(),$R2831="TRUE"),1,0))</f>
        <v/>
      </c>
      <c r="AK2831" s="18" t="str">
        <f aca="false">IF($AH2831=1,IFERROR(VALUE(MID($D2831,2,20)),1000000000)+ROW()/10000000,"")</f>
        <v/>
      </c>
    </row>
    <row r="2832" customFormat="false" ht="15" hidden="false" customHeight="false" outlineLevel="0" collapsed="false">
      <c r="F2832" s="15"/>
      <c r="N2832" s="16" t="str">
        <f aca="false">IF($D2832="","",M2832*Y2832/100)</f>
        <v/>
      </c>
      <c r="V2832" s="16" t="str">
        <f aca="false">IF($D2832="","",Y2832*AB2832/100)</f>
        <v/>
      </c>
      <c r="W2832" s="16" t="str">
        <f aca="false">IF($D2832="","",Y2832-V2832)</f>
        <v/>
      </c>
      <c r="X2832" s="16" t="str">
        <f aca="false">IF($D2832="","",W2832-N2832)</f>
        <v/>
      </c>
      <c r="AB2832" s="17" t="str">
        <f aca="false">IF($D2832="","",IF(OR($R2832=TRUE(),$R2832="TRUE"),Settings!$C$6,Settings!$C$7)*100)</f>
        <v/>
      </c>
      <c r="AH2832" s="18" t="str">
        <f aca="false">IF($D2832="","",IF(COUNTIF($D$2:$D2832,$D2832)=1,1,0))</f>
        <v/>
      </c>
      <c r="AI2832" s="18" t="str">
        <f aca="false">IF($AH2832=1,SUMPRODUCT(--($AK$2:$AK$4001&lt;$AK2832))+1,"")</f>
        <v/>
      </c>
      <c r="AJ2832" s="18" t="str">
        <f aca="false">IF($D2832="","",IF(OR($R2832=TRUE(),$R2832="TRUE"),1,0))</f>
        <v/>
      </c>
      <c r="AK2832" s="18" t="str">
        <f aca="false">IF($AH2832=1,IFERROR(VALUE(MID($D2832,2,20)),1000000000)+ROW()/10000000,"")</f>
        <v/>
      </c>
    </row>
    <row r="2833" customFormat="false" ht="15" hidden="false" customHeight="false" outlineLevel="0" collapsed="false">
      <c r="F2833" s="15"/>
      <c r="N2833" s="16" t="str">
        <f aca="false">IF($D2833="","",M2833*Y2833/100)</f>
        <v/>
      </c>
      <c r="V2833" s="16" t="str">
        <f aca="false">IF($D2833="","",Y2833*AB2833/100)</f>
        <v/>
      </c>
      <c r="W2833" s="16" t="str">
        <f aca="false">IF($D2833="","",Y2833-V2833)</f>
        <v/>
      </c>
      <c r="X2833" s="16" t="str">
        <f aca="false">IF($D2833="","",W2833-N2833)</f>
        <v/>
      </c>
      <c r="AB2833" s="17" t="str">
        <f aca="false">IF($D2833="","",IF(OR($R2833=TRUE(),$R2833="TRUE"),Settings!$C$6,Settings!$C$7)*100)</f>
        <v/>
      </c>
      <c r="AH2833" s="18" t="str">
        <f aca="false">IF($D2833="","",IF(COUNTIF($D$2:$D2833,$D2833)=1,1,0))</f>
        <v/>
      </c>
      <c r="AI2833" s="18" t="str">
        <f aca="false">IF($AH2833=1,SUMPRODUCT(--($AK$2:$AK$4001&lt;$AK2833))+1,"")</f>
        <v/>
      </c>
      <c r="AJ2833" s="18" t="str">
        <f aca="false">IF($D2833="","",IF(OR($R2833=TRUE(),$R2833="TRUE"),1,0))</f>
        <v/>
      </c>
      <c r="AK2833" s="18" t="str">
        <f aca="false">IF($AH2833=1,IFERROR(VALUE(MID($D2833,2,20)),1000000000)+ROW()/10000000,"")</f>
        <v/>
      </c>
    </row>
    <row r="2834" customFormat="false" ht="15" hidden="false" customHeight="false" outlineLevel="0" collapsed="false">
      <c r="F2834" s="15"/>
      <c r="N2834" s="16" t="str">
        <f aca="false">IF($D2834="","",M2834*Y2834/100)</f>
        <v/>
      </c>
      <c r="V2834" s="16" t="str">
        <f aca="false">IF($D2834="","",Y2834*AB2834/100)</f>
        <v/>
      </c>
      <c r="W2834" s="16" t="str">
        <f aca="false">IF($D2834="","",Y2834-V2834)</f>
        <v/>
      </c>
      <c r="X2834" s="16" t="str">
        <f aca="false">IF($D2834="","",W2834-N2834)</f>
        <v/>
      </c>
      <c r="AB2834" s="17" t="str">
        <f aca="false">IF($D2834="","",IF(OR($R2834=TRUE(),$R2834="TRUE"),Settings!$C$6,Settings!$C$7)*100)</f>
        <v/>
      </c>
      <c r="AH2834" s="18" t="str">
        <f aca="false">IF($D2834="","",IF(COUNTIF($D$2:$D2834,$D2834)=1,1,0))</f>
        <v/>
      </c>
      <c r="AI2834" s="18" t="str">
        <f aca="false">IF($AH2834=1,SUMPRODUCT(--($AK$2:$AK$4001&lt;$AK2834))+1,"")</f>
        <v/>
      </c>
      <c r="AJ2834" s="18" t="str">
        <f aca="false">IF($D2834="","",IF(OR($R2834=TRUE(),$R2834="TRUE"),1,0))</f>
        <v/>
      </c>
      <c r="AK2834" s="18" t="str">
        <f aca="false">IF($AH2834=1,IFERROR(VALUE(MID($D2834,2,20)),1000000000)+ROW()/10000000,"")</f>
        <v/>
      </c>
    </row>
    <row r="2835" customFormat="false" ht="15" hidden="false" customHeight="false" outlineLevel="0" collapsed="false">
      <c r="F2835" s="15"/>
      <c r="N2835" s="16" t="str">
        <f aca="false">IF($D2835="","",M2835*Y2835/100)</f>
        <v/>
      </c>
      <c r="V2835" s="16" t="str">
        <f aca="false">IF($D2835="","",Y2835*AB2835/100)</f>
        <v/>
      </c>
      <c r="W2835" s="16" t="str">
        <f aca="false">IF($D2835="","",Y2835-V2835)</f>
        <v/>
      </c>
      <c r="X2835" s="16" t="str">
        <f aca="false">IF($D2835="","",W2835-N2835)</f>
        <v/>
      </c>
      <c r="AB2835" s="17" t="str">
        <f aca="false">IF($D2835="","",IF(OR($R2835=TRUE(),$R2835="TRUE"),Settings!$C$6,Settings!$C$7)*100)</f>
        <v/>
      </c>
      <c r="AH2835" s="18" t="str">
        <f aca="false">IF($D2835="","",IF(COUNTIF($D$2:$D2835,$D2835)=1,1,0))</f>
        <v/>
      </c>
      <c r="AI2835" s="18" t="str">
        <f aca="false">IF($AH2835=1,SUMPRODUCT(--($AK$2:$AK$4001&lt;$AK2835))+1,"")</f>
        <v/>
      </c>
      <c r="AJ2835" s="18" t="str">
        <f aca="false">IF($D2835="","",IF(OR($R2835=TRUE(),$R2835="TRUE"),1,0))</f>
        <v/>
      </c>
      <c r="AK2835" s="18" t="str">
        <f aca="false">IF($AH2835=1,IFERROR(VALUE(MID($D2835,2,20)),1000000000)+ROW()/10000000,"")</f>
        <v/>
      </c>
    </row>
    <row r="2836" customFormat="false" ht="15" hidden="false" customHeight="false" outlineLevel="0" collapsed="false">
      <c r="F2836" s="15"/>
      <c r="N2836" s="16" t="str">
        <f aca="false">IF($D2836="","",M2836*Y2836/100)</f>
        <v/>
      </c>
      <c r="V2836" s="16" t="str">
        <f aca="false">IF($D2836="","",Y2836*AB2836/100)</f>
        <v/>
      </c>
      <c r="W2836" s="16" t="str">
        <f aca="false">IF($D2836="","",Y2836-V2836)</f>
        <v/>
      </c>
      <c r="X2836" s="16" t="str">
        <f aca="false">IF($D2836="","",W2836-N2836)</f>
        <v/>
      </c>
      <c r="AB2836" s="17" t="str">
        <f aca="false">IF($D2836="","",IF(OR($R2836=TRUE(),$R2836="TRUE"),Settings!$C$6,Settings!$C$7)*100)</f>
        <v/>
      </c>
      <c r="AH2836" s="18" t="str">
        <f aca="false">IF($D2836="","",IF(COUNTIF($D$2:$D2836,$D2836)=1,1,0))</f>
        <v/>
      </c>
      <c r="AI2836" s="18" t="str">
        <f aca="false">IF($AH2836=1,SUMPRODUCT(--($AK$2:$AK$4001&lt;$AK2836))+1,"")</f>
        <v/>
      </c>
      <c r="AJ2836" s="18" t="str">
        <f aca="false">IF($D2836="","",IF(OR($R2836=TRUE(),$R2836="TRUE"),1,0))</f>
        <v/>
      </c>
      <c r="AK2836" s="18" t="str">
        <f aca="false">IF($AH2836=1,IFERROR(VALUE(MID($D2836,2,20)),1000000000)+ROW()/10000000,"")</f>
        <v/>
      </c>
    </row>
    <row r="2837" customFormat="false" ht="15" hidden="false" customHeight="false" outlineLevel="0" collapsed="false">
      <c r="F2837" s="15"/>
      <c r="N2837" s="16" t="str">
        <f aca="false">IF($D2837="","",M2837*Y2837/100)</f>
        <v/>
      </c>
      <c r="V2837" s="16" t="str">
        <f aca="false">IF($D2837="","",Y2837*AB2837/100)</f>
        <v/>
      </c>
      <c r="W2837" s="16" t="str">
        <f aca="false">IF($D2837="","",Y2837-V2837)</f>
        <v/>
      </c>
      <c r="X2837" s="16" t="str">
        <f aca="false">IF($D2837="","",W2837-N2837)</f>
        <v/>
      </c>
      <c r="AB2837" s="17" t="str">
        <f aca="false">IF($D2837="","",IF(OR($R2837=TRUE(),$R2837="TRUE"),Settings!$C$6,Settings!$C$7)*100)</f>
        <v/>
      </c>
      <c r="AH2837" s="18" t="str">
        <f aca="false">IF($D2837="","",IF(COUNTIF($D$2:$D2837,$D2837)=1,1,0))</f>
        <v/>
      </c>
      <c r="AI2837" s="18" t="str">
        <f aca="false">IF($AH2837=1,SUMPRODUCT(--($AK$2:$AK$4001&lt;$AK2837))+1,"")</f>
        <v/>
      </c>
      <c r="AJ2837" s="18" t="str">
        <f aca="false">IF($D2837="","",IF(OR($R2837=TRUE(),$R2837="TRUE"),1,0))</f>
        <v/>
      </c>
      <c r="AK2837" s="18" t="str">
        <f aca="false">IF($AH2837=1,IFERROR(VALUE(MID($D2837,2,20)),1000000000)+ROW()/10000000,"")</f>
        <v/>
      </c>
    </row>
    <row r="2838" customFormat="false" ht="15" hidden="false" customHeight="false" outlineLevel="0" collapsed="false">
      <c r="F2838" s="15"/>
      <c r="N2838" s="16" t="str">
        <f aca="false">IF($D2838="","",M2838*Y2838/100)</f>
        <v/>
      </c>
      <c r="V2838" s="16" t="str">
        <f aca="false">IF($D2838="","",Y2838*AB2838/100)</f>
        <v/>
      </c>
      <c r="W2838" s="16" t="str">
        <f aca="false">IF($D2838="","",Y2838-V2838)</f>
        <v/>
      </c>
      <c r="X2838" s="16" t="str">
        <f aca="false">IF($D2838="","",W2838-N2838)</f>
        <v/>
      </c>
      <c r="AB2838" s="17" t="str">
        <f aca="false">IF($D2838="","",IF(OR($R2838=TRUE(),$R2838="TRUE"),Settings!$C$6,Settings!$C$7)*100)</f>
        <v/>
      </c>
      <c r="AH2838" s="18" t="str">
        <f aca="false">IF($D2838="","",IF(COUNTIF($D$2:$D2838,$D2838)=1,1,0))</f>
        <v/>
      </c>
      <c r="AI2838" s="18" t="str">
        <f aca="false">IF($AH2838=1,SUMPRODUCT(--($AK$2:$AK$4001&lt;$AK2838))+1,"")</f>
        <v/>
      </c>
      <c r="AJ2838" s="18" t="str">
        <f aca="false">IF($D2838="","",IF(OR($R2838=TRUE(),$R2838="TRUE"),1,0))</f>
        <v/>
      </c>
      <c r="AK2838" s="18" t="str">
        <f aca="false">IF($AH2838=1,IFERROR(VALUE(MID($D2838,2,20)),1000000000)+ROW()/10000000,"")</f>
        <v/>
      </c>
    </row>
    <row r="2839" customFormat="false" ht="15" hidden="false" customHeight="false" outlineLevel="0" collapsed="false">
      <c r="F2839" s="15"/>
      <c r="N2839" s="16" t="str">
        <f aca="false">IF($D2839="","",M2839*Y2839/100)</f>
        <v/>
      </c>
      <c r="V2839" s="16" t="str">
        <f aca="false">IF($D2839="","",Y2839*AB2839/100)</f>
        <v/>
      </c>
      <c r="W2839" s="16" t="str">
        <f aca="false">IF($D2839="","",Y2839-V2839)</f>
        <v/>
      </c>
      <c r="X2839" s="16" t="str">
        <f aca="false">IF($D2839="","",W2839-N2839)</f>
        <v/>
      </c>
      <c r="AB2839" s="17" t="str">
        <f aca="false">IF($D2839="","",IF(OR($R2839=TRUE(),$R2839="TRUE"),Settings!$C$6,Settings!$C$7)*100)</f>
        <v/>
      </c>
      <c r="AH2839" s="18" t="str">
        <f aca="false">IF($D2839="","",IF(COUNTIF($D$2:$D2839,$D2839)=1,1,0))</f>
        <v/>
      </c>
      <c r="AI2839" s="18" t="str">
        <f aca="false">IF($AH2839=1,SUMPRODUCT(--($AK$2:$AK$4001&lt;$AK2839))+1,"")</f>
        <v/>
      </c>
      <c r="AJ2839" s="18" t="str">
        <f aca="false">IF($D2839="","",IF(OR($R2839=TRUE(),$R2839="TRUE"),1,0))</f>
        <v/>
      </c>
      <c r="AK2839" s="18" t="str">
        <f aca="false">IF($AH2839=1,IFERROR(VALUE(MID($D2839,2,20)),1000000000)+ROW()/10000000,"")</f>
        <v/>
      </c>
    </row>
    <row r="2840" customFormat="false" ht="15" hidden="false" customHeight="false" outlineLevel="0" collapsed="false">
      <c r="F2840" s="15"/>
      <c r="N2840" s="16" t="str">
        <f aca="false">IF($D2840="","",M2840*Y2840/100)</f>
        <v/>
      </c>
      <c r="V2840" s="16" t="str">
        <f aca="false">IF($D2840="","",Y2840*AB2840/100)</f>
        <v/>
      </c>
      <c r="W2840" s="16" t="str">
        <f aca="false">IF($D2840="","",Y2840-V2840)</f>
        <v/>
      </c>
      <c r="X2840" s="16" t="str">
        <f aca="false">IF($D2840="","",W2840-N2840)</f>
        <v/>
      </c>
      <c r="AB2840" s="17" t="str">
        <f aca="false">IF($D2840="","",IF(OR($R2840=TRUE(),$R2840="TRUE"),Settings!$C$6,Settings!$C$7)*100)</f>
        <v/>
      </c>
      <c r="AH2840" s="18" t="str">
        <f aca="false">IF($D2840="","",IF(COUNTIF($D$2:$D2840,$D2840)=1,1,0))</f>
        <v/>
      </c>
      <c r="AI2840" s="18" t="str">
        <f aca="false">IF($AH2840=1,SUMPRODUCT(--($AK$2:$AK$4001&lt;$AK2840))+1,"")</f>
        <v/>
      </c>
      <c r="AJ2840" s="18" t="str">
        <f aca="false">IF($D2840="","",IF(OR($R2840=TRUE(),$R2840="TRUE"),1,0))</f>
        <v/>
      </c>
      <c r="AK2840" s="18" t="str">
        <f aca="false">IF($AH2840=1,IFERROR(VALUE(MID($D2840,2,20)),1000000000)+ROW()/10000000,"")</f>
        <v/>
      </c>
    </row>
    <row r="2841" customFormat="false" ht="15" hidden="false" customHeight="false" outlineLevel="0" collapsed="false">
      <c r="F2841" s="15"/>
      <c r="N2841" s="16" t="str">
        <f aca="false">IF($D2841="","",M2841*Y2841/100)</f>
        <v/>
      </c>
      <c r="V2841" s="16" t="str">
        <f aca="false">IF($D2841="","",Y2841*AB2841/100)</f>
        <v/>
      </c>
      <c r="W2841" s="16" t="str">
        <f aca="false">IF($D2841="","",Y2841-V2841)</f>
        <v/>
      </c>
      <c r="X2841" s="16" t="str">
        <f aca="false">IF($D2841="","",W2841-N2841)</f>
        <v/>
      </c>
      <c r="AB2841" s="17" t="str">
        <f aca="false">IF($D2841="","",IF(OR($R2841=TRUE(),$R2841="TRUE"),Settings!$C$6,Settings!$C$7)*100)</f>
        <v/>
      </c>
      <c r="AH2841" s="18" t="str">
        <f aca="false">IF($D2841="","",IF(COUNTIF($D$2:$D2841,$D2841)=1,1,0))</f>
        <v/>
      </c>
      <c r="AI2841" s="18" t="str">
        <f aca="false">IF($AH2841=1,SUMPRODUCT(--($AK$2:$AK$4001&lt;$AK2841))+1,"")</f>
        <v/>
      </c>
      <c r="AJ2841" s="18" t="str">
        <f aca="false">IF($D2841="","",IF(OR($R2841=TRUE(),$R2841="TRUE"),1,0))</f>
        <v/>
      </c>
      <c r="AK2841" s="18" t="str">
        <f aca="false">IF($AH2841=1,IFERROR(VALUE(MID($D2841,2,20)),1000000000)+ROW()/10000000,"")</f>
        <v/>
      </c>
    </row>
    <row r="2842" customFormat="false" ht="15" hidden="false" customHeight="false" outlineLevel="0" collapsed="false">
      <c r="F2842" s="15"/>
      <c r="N2842" s="16" t="str">
        <f aca="false">IF($D2842="","",M2842*Y2842/100)</f>
        <v/>
      </c>
      <c r="V2842" s="16" t="str">
        <f aca="false">IF($D2842="","",Y2842*AB2842/100)</f>
        <v/>
      </c>
      <c r="W2842" s="16" t="str">
        <f aca="false">IF($D2842="","",Y2842-V2842)</f>
        <v/>
      </c>
      <c r="X2842" s="16" t="str">
        <f aca="false">IF($D2842="","",W2842-N2842)</f>
        <v/>
      </c>
      <c r="AB2842" s="17" t="str">
        <f aca="false">IF($D2842="","",IF(OR($R2842=TRUE(),$R2842="TRUE"),Settings!$C$6,Settings!$C$7)*100)</f>
        <v/>
      </c>
      <c r="AH2842" s="18" t="str">
        <f aca="false">IF($D2842="","",IF(COUNTIF($D$2:$D2842,$D2842)=1,1,0))</f>
        <v/>
      </c>
      <c r="AI2842" s="18" t="str">
        <f aca="false">IF($AH2842=1,SUMPRODUCT(--($AK$2:$AK$4001&lt;$AK2842))+1,"")</f>
        <v/>
      </c>
      <c r="AJ2842" s="18" t="str">
        <f aca="false">IF($D2842="","",IF(OR($R2842=TRUE(),$R2842="TRUE"),1,0))</f>
        <v/>
      </c>
      <c r="AK2842" s="18" t="str">
        <f aca="false">IF($AH2842=1,IFERROR(VALUE(MID($D2842,2,20)),1000000000)+ROW()/10000000,"")</f>
        <v/>
      </c>
    </row>
    <row r="2843" customFormat="false" ht="15" hidden="false" customHeight="false" outlineLevel="0" collapsed="false">
      <c r="F2843" s="15"/>
      <c r="N2843" s="16" t="str">
        <f aca="false">IF($D2843="","",M2843*Y2843/100)</f>
        <v/>
      </c>
      <c r="V2843" s="16" t="str">
        <f aca="false">IF($D2843="","",Y2843*AB2843/100)</f>
        <v/>
      </c>
      <c r="W2843" s="16" t="str">
        <f aca="false">IF($D2843="","",Y2843-V2843)</f>
        <v/>
      </c>
      <c r="X2843" s="16" t="str">
        <f aca="false">IF($D2843="","",W2843-N2843)</f>
        <v/>
      </c>
      <c r="AB2843" s="17" t="str">
        <f aca="false">IF($D2843="","",IF(OR($R2843=TRUE(),$R2843="TRUE"),Settings!$C$6,Settings!$C$7)*100)</f>
        <v/>
      </c>
      <c r="AH2843" s="18" t="str">
        <f aca="false">IF($D2843="","",IF(COUNTIF($D$2:$D2843,$D2843)=1,1,0))</f>
        <v/>
      </c>
      <c r="AI2843" s="18" t="str">
        <f aca="false">IF($AH2843=1,SUMPRODUCT(--($AK$2:$AK$4001&lt;$AK2843))+1,"")</f>
        <v/>
      </c>
      <c r="AJ2843" s="18" t="str">
        <f aca="false">IF($D2843="","",IF(OR($R2843=TRUE(),$R2843="TRUE"),1,0))</f>
        <v/>
      </c>
      <c r="AK2843" s="18" t="str">
        <f aca="false">IF($AH2843=1,IFERROR(VALUE(MID($D2843,2,20)),1000000000)+ROW()/10000000,"")</f>
        <v/>
      </c>
    </row>
    <row r="2844" customFormat="false" ht="15" hidden="false" customHeight="false" outlineLevel="0" collapsed="false">
      <c r="F2844" s="15"/>
      <c r="N2844" s="16" t="str">
        <f aca="false">IF($D2844="","",M2844*Y2844/100)</f>
        <v/>
      </c>
      <c r="V2844" s="16" t="str">
        <f aca="false">IF($D2844="","",Y2844*AB2844/100)</f>
        <v/>
      </c>
      <c r="W2844" s="16" t="str">
        <f aca="false">IF($D2844="","",Y2844-V2844)</f>
        <v/>
      </c>
      <c r="X2844" s="16" t="str">
        <f aca="false">IF($D2844="","",W2844-N2844)</f>
        <v/>
      </c>
      <c r="AB2844" s="17" t="str">
        <f aca="false">IF($D2844="","",IF(OR($R2844=TRUE(),$R2844="TRUE"),Settings!$C$6,Settings!$C$7)*100)</f>
        <v/>
      </c>
      <c r="AH2844" s="18" t="str">
        <f aca="false">IF($D2844="","",IF(COUNTIF($D$2:$D2844,$D2844)=1,1,0))</f>
        <v/>
      </c>
      <c r="AI2844" s="18" t="str">
        <f aca="false">IF($AH2844=1,SUMPRODUCT(--($AK$2:$AK$4001&lt;$AK2844))+1,"")</f>
        <v/>
      </c>
      <c r="AJ2844" s="18" t="str">
        <f aca="false">IF($D2844="","",IF(OR($R2844=TRUE(),$R2844="TRUE"),1,0))</f>
        <v/>
      </c>
      <c r="AK2844" s="18" t="str">
        <f aca="false">IF($AH2844=1,IFERROR(VALUE(MID($D2844,2,20)),1000000000)+ROW()/10000000,"")</f>
        <v/>
      </c>
    </row>
    <row r="2845" customFormat="false" ht="15" hidden="false" customHeight="false" outlineLevel="0" collapsed="false">
      <c r="F2845" s="15"/>
      <c r="N2845" s="16" t="str">
        <f aca="false">IF($D2845="","",M2845*Y2845/100)</f>
        <v/>
      </c>
      <c r="V2845" s="16" t="str">
        <f aca="false">IF($D2845="","",Y2845*AB2845/100)</f>
        <v/>
      </c>
      <c r="W2845" s="16" t="str">
        <f aca="false">IF($D2845="","",Y2845-V2845)</f>
        <v/>
      </c>
      <c r="X2845" s="16" t="str">
        <f aca="false">IF($D2845="","",W2845-N2845)</f>
        <v/>
      </c>
      <c r="AB2845" s="17" t="str">
        <f aca="false">IF($D2845="","",IF(OR($R2845=TRUE(),$R2845="TRUE"),Settings!$C$6,Settings!$C$7)*100)</f>
        <v/>
      </c>
      <c r="AH2845" s="18" t="str">
        <f aca="false">IF($D2845="","",IF(COUNTIF($D$2:$D2845,$D2845)=1,1,0))</f>
        <v/>
      </c>
      <c r="AI2845" s="18" t="str">
        <f aca="false">IF($AH2845=1,SUMPRODUCT(--($AK$2:$AK$4001&lt;$AK2845))+1,"")</f>
        <v/>
      </c>
      <c r="AJ2845" s="18" t="str">
        <f aca="false">IF($D2845="","",IF(OR($R2845=TRUE(),$R2845="TRUE"),1,0))</f>
        <v/>
      </c>
      <c r="AK2845" s="18" t="str">
        <f aca="false">IF($AH2845=1,IFERROR(VALUE(MID($D2845,2,20)),1000000000)+ROW()/10000000,"")</f>
        <v/>
      </c>
    </row>
    <row r="2846" customFormat="false" ht="15" hidden="false" customHeight="false" outlineLevel="0" collapsed="false">
      <c r="F2846" s="15"/>
      <c r="N2846" s="16" t="str">
        <f aca="false">IF($D2846="","",M2846*Y2846/100)</f>
        <v/>
      </c>
      <c r="V2846" s="16" t="str">
        <f aca="false">IF($D2846="","",Y2846*AB2846/100)</f>
        <v/>
      </c>
      <c r="W2846" s="16" t="str">
        <f aca="false">IF($D2846="","",Y2846-V2846)</f>
        <v/>
      </c>
      <c r="X2846" s="16" t="str">
        <f aca="false">IF($D2846="","",W2846-N2846)</f>
        <v/>
      </c>
      <c r="AB2846" s="17" t="str">
        <f aca="false">IF($D2846="","",IF(OR($R2846=TRUE(),$R2846="TRUE"),Settings!$C$6,Settings!$C$7)*100)</f>
        <v/>
      </c>
      <c r="AH2846" s="18" t="str">
        <f aca="false">IF($D2846="","",IF(COUNTIF($D$2:$D2846,$D2846)=1,1,0))</f>
        <v/>
      </c>
      <c r="AI2846" s="18" t="str">
        <f aca="false">IF($AH2846=1,SUMPRODUCT(--($AK$2:$AK$4001&lt;$AK2846))+1,"")</f>
        <v/>
      </c>
      <c r="AJ2846" s="18" t="str">
        <f aca="false">IF($D2846="","",IF(OR($R2846=TRUE(),$R2846="TRUE"),1,0))</f>
        <v/>
      </c>
      <c r="AK2846" s="18" t="str">
        <f aca="false">IF($AH2846=1,IFERROR(VALUE(MID($D2846,2,20)),1000000000)+ROW()/10000000,"")</f>
        <v/>
      </c>
    </row>
    <row r="2847" customFormat="false" ht="15" hidden="false" customHeight="false" outlineLevel="0" collapsed="false">
      <c r="F2847" s="15"/>
      <c r="N2847" s="16" t="str">
        <f aca="false">IF($D2847="","",M2847*Y2847/100)</f>
        <v/>
      </c>
      <c r="V2847" s="16" t="str">
        <f aca="false">IF($D2847="","",Y2847*AB2847/100)</f>
        <v/>
      </c>
      <c r="W2847" s="16" t="str">
        <f aca="false">IF($D2847="","",Y2847-V2847)</f>
        <v/>
      </c>
      <c r="X2847" s="16" t="str">
        <f aca="false">IF($D2847="","",W2847-N2847)</f>
        <v/>
      </c>
      <c r="AB2847" s="17" t="str">
        <f aca="false">IF($D2847="","",IF(OR($R2847=TRUE(),$R2847="TRUE"),Settings!$C$6,Settings!$C$7)*100)</f>
        <v/>
      </c>
      <c r="AH2847" s="18" t="str">
        <f aca="false">IF($D2847="","",IF(COUNTIF($D$2:$D2847,$D2847)=1,1,0))</f>
        <v/>
      </c>
      <c r="AI2847" s="18" t="str">
        <f aca="false">IF($AH2847=1,SUMPRODUCT(--($AK$2:$AK$4001&lt;$AK2847))+1,"")</f>
        <v/>
      </c>
      <c r="AJ2847" s="18" t="str">
        <f aca="false">IF($D2847="","",IF(OR($R2847=TRUE(),$R2847="TRUE"),1,0))</f>
        <v/>
      </c>
      <c r="AK2847" s="18" t="str">
        <f aca="false">IF($AH2847=1,IFERROR(VALUE(MID($D2847,2,20)),1000000000)+ROW()/10000000,"")</f>
        <v/>
      </c>
    </row>
    <row r="2848" customFormat="false" ht="15" hidden="false" customHeight="false" outlineLevel="0" collapsed="false">
      <c r="F2848" s="15"/>
      <c r="N2848" s="16" t="str">
        <f aca="false">IF($D2848="","",M2848*Y2848/100)</f>
        <v/>
      </c>
      <c r="V2848" s="16" t="str">
        <f aca="false">IF($D2848="","",Y2848*AB2848/100)</f>
        <v/>
      </c>
      <c r="W2848" s="16" t="str">
        <f aca="false">IF($D2848="","",Y2848-V2848)</f>
        <v/>
      </c>
      <c r="X2848" s="16" t="str">
        <f aca="false">IF($D2848="","",W2848-N2848)</f>
        <v/>
      </c>
      <c r="AB2848" s="17" t="str">
        <f aca="false">IF($D2848="","",IF(OR($R2848=TRUE(),$R2848="TRUE"),Settings!$C$6,Settings!$C$7)*100)</f>
        <v/>
      </c>
      <c r="AH2848" s="18" t="str">
        <f aca="false">IF($D2848="","",IF(COUNTIF($D$2:$D2848,$D2848)=1,1,0))</f>
        <v/>
      </c>
      <c r="AI2848" s="18" t="str">
        <f aca="false">IF($AH2848=1,SUMPRODUCT(--($AK$2:$AK$4001&lt;$AK2848))+1,"")</f>
        <v/>
      </c>
      <c r="AJ2848" s="18" t="str">
        <f aca="false">IF($D2848="","",IF(OR($R2848=TRUE(),$R2848="TRUE"),1,0))</f>
        <v/>
      </c>
      <c r="AK2848" s="18" t="str">
        <f aca="false">IF($AH2848=1,IFERROR(VALUE(MID($D2848,2,20)),1000000000)+ROW()/10000000,"")</f>
        <v/>
      </c>
    </row>
    <row r="2849" customFormat="false" ht="15" hidden="false" customHeight="false" outlineLevel="0" collapsed="false">
      <c r="F2849" s="15"/>
      <c r="N2849" s="16" t="str">
        <f aca="false">IF($D2849="","",M2849*Y2849/100)</f>
        <v/>
      </c>
      <c r="V2849" s="16" t="str">
        <f aca="false">IF($D2849="","",Y2849*AB2849/100)</f>
        <v/>
      </c>
      <c r="W2849" s="16" t="str">
        <f aca="false">IF($D2849="","",Y2849-V2849)</f>
        <v/>
      </c>
      <c r="X2849" s="16" t="str">
        <f aca="false">IF($D2849="","",W2849-N2849)</f>
        <v/>
      </c>
      <c r="AB2849" s="17" t="str">
        <f aca="false">IF($D2849="","",IF(OR($R2849=TRUE(),$R2849="TRUE"),Settings!$C$6,Settings!$C$7)*100)</f>
        <v/>
      </c>
      <c r="AH2849" s="18" t="str">
        <f aca="false">IF($D2849="","",IF(COUNTIF($D$2:$D2849,$D2849)=1,1,0))</f>
        <v/>
      </c>
      <c r="AI2849" s="18" t="str">
        <f aca="false">IF($AH2849=1,SUMPRODUCT(--($AK$2:$AK$4001&lt;$AK2849))+1,"")</f>
        <v/>
      </c>
      <c r="AJ2849" s="18" t="str">
        <f aca="false">IF($D2849="","",IF(OR($R2849=TRUE(),$R2849="TRUE"),1,0))</f>
        <v/>
      </c>
      <c r="AK2849" s="18" t="str">
        <f aca="false">IF($AH2849=1,IFERROR(VALUE(MID($D2849,2,20)),1000000000)+ROW()/10000000,"")</f>
        <v/>
      </c>
    </row>
    <row r="2850" customFormat="false" ht="15" hidden="false" customHeight="false" outlineLevel="0" collapsed="false">
      <c r="F2850" s="15"/>
      <c r="N2850" s="16" t="str">
        <f aca="false">IF($D2850="","",M2850*Y2850/100)</f>
        <v/>
      </c>
      <c r="V2850" s="16" t="str">
        <f aca="false">IF($D2850="","",Y2850*AB2850/100)</f>
        <v/>
      </c>
      <c r="W2850" s="16" t="str">
        <f aca="false">IF($D2850="","",Y2850-V2850)</f>
        <v/>
      </c>
      <c r="X2850" s="16" t="str">
        <f aca="false">IF($D2850="","",W2850-N2850)</f>
        <v/>
      </c>
      <c r="AB2850" s="17" t="str">
        <f aca="false">IF($D2850="","",IF(OR($R2850=TRUE(),$R2850="TRUE"),Settings!$C$6,Settings!$C$7)*100)</f>
        <v/>
      </c>
      <c r="AH2850" s="18" t="str">
        <f aca="false">IF($D2850="","",IF(COUNTIF($D$2:$D2850,$D2850)=1,1,0))</f>
        <v/>
      </c>
      <c r="AI2850" s="18" t="str">
        <f aca="false">IF($AH2850=1,SUMPRODUCT(--($AK$2:$AK$4001&lt;$AK2850))+1,"")</f>
        <v/>
      </c>
      <c r="AJ2850" s="18" t="str">
        <f aca="false">IF($D2850="","",IF(OR($R2850=TRUE(),$R2850="TRUE"),1,0))</f>
        <v/>
      </c>
      <c r="AK2850" s="18" t="str">
        <f aca="false">IF($AH2850=1,IFERROR(VALUE(MID($D2850,2,20)),1000000000)+ROW()/10000000,"")</f>
        <v/>
      </c>
    </row>
    <row r="2851" customFormat="false" ht="15" hidden="false" customHeight="false" outlineLevel="0" collapsed="false">
      <c r="F2851" s="15"/>
      <c r="N2851" s="16" t="str">
        <f aca="false">IF($D2851="","",M2851*Y2851/100)</f>
        <v/>
      </c>
      <c r="V2851" s="16" t="str">
        <f aca="false">IF($D2851="","",Y2851*AB2851/100)</f>
        <v/>
      </c>
      <c r="W2851" s="16" t="str">
        <f aca="false">IF($D2851="","",Y2851-V2851)</f>
        <v/>
      </c>
      <c r="X2851" s="16" t="str">
        <f aca="false">IF($D2851="","",W2851-N2851)</f>
        <v/>
      </c>
      <c r="AB2851" s="17" t="str">
        <f aca="false">IF($D2851="","",IF(OR($R2851=TRUE(),$R2851="TRUE"),Settings!$C$6,Settings!$C$7)*100)</f>
        <v/>
      </c>
      <c r="AH2851" s="18" t="str">
        <f aca="false">IF($D2851="","",IF(COUNTIF($D$2:$D2851,$D2851)=1,1,0))</f>
        <v/>
      </c>
      <c r="AI2851" s="18" t="str">
        <f aca="false">IF($AH2851=1,SUMPRODUCT(--($AK$2:$AK$4001&lt;$AK2851))+1,"")</f>
        <v/>
      </c>
      <c r="AJ2851" s="18" t="str">
        <f aca="false">IF($D2851="","",IF(OR($R2851=TRUE(),$R2851="TRUE"),1,0))</f>
        <v/>
      </c>
      <c r="AK2851" s="18" t="str">
        <f aca="false">IF($AH2851=1,IFERROR(VALUE(MID($D2851,2,20)),1000000000)+ROW()/10000000,"")</f>
        <v/>
      </c>
    </row>
    <row r="2852" customFormat="false" ht="15" hidden="false" customHeight="false" outlineLevel="0" collapsed="false">
      <c r="F2852" s="15"/>
      <c r="N2852" s="16" t="str">
        <f aca="false">IF($D2852="","",M2852*Y2852/100)</f>
        <v/>
      </c>
      <c r="V2852" s="16" t="str">
        <f aca="false">IF($D2852="","",Y2852*AB2852/100)</f>
        <v/>
      </c>
      <c r="W2852" s="16" t="str">
        <f aca="false">IF($D2852="","",Y2852-V2852)</f>
        <v/>
      </c>
      <c r="X2852" s="16" t="str">
        <f aca="false">IF($D2852="","",W2852-N2852)</f>
        <v/>
      </c>
      <c r="AB2852" s="17" t="str">
        <f aca="false">IF($D2852="","",IF(OR($R2852=TRUE(),$R2852="TRUE"),Settings!$C$6,Settings!$C$7)*100)</f>
        <v/>
      </c>
      <c r="AH2852" s="18" t="str">
        <f aca="false">IF($D2852="","",IF(COUNTIF($D$2:$D2852,$D2852)=1,1,0))</f>
        <v/>
      </c>
      <c r="AI2852" s="18" t="str">
        <f aca="false">IF($AH2852=1,SUMPRODUCT(--($AK$2:$AK$4001&lt;$AK2852))+1,"")</f>
        <v/>
      </c>
      <c r="AJ2852" s="18" t="str">
        <f aca="false">IF($D2852="","",IF(OR($R2852=TRUE(),$R2852="TRUE"),1,0))</f>
        <v/>
      </c>
      <c r="AK2852" s="18" t="str">
        <f aca="false">IF($AH2852=1,IFERROR(VALUE(MID($D2852,2,20)),1000000000)+ROW()/10000000,"")</f>
        <v/>
      </c>
    </row>
    <row r="2853" customFormat="false" ht="15" hidden="false" customHeight="false" outlineLevel="0" collapsed="false">
      <c r="F2853" s="15"/>
      <c r="N2853" s="16" t="str">
        <f aca="false">IF($D2853="","",M2853*Y2853/100)</f>
        <v/>
      </c>
      <c r="V2853" s="16" t="str">
        <f aca="false">IF($D2853="","",Y2853*AB2853/100)</f>
        <v/>
      </c>
      <c r="W2853" s="16" t="str">
        <f aca="false">IF($D2853="","",Y2853-V2853)</f>
        <v/>
      </c>
      <c r="X2853" s="16" t="str">
        <f aca="false">IF($D2853="","",W2853-N2853)</f>
        <v/>
      </c>
      <c r="AB2853" s="17" t="str">
        <f aca="false">IF($D2853="","",IF(OR($R2853=TRUE(),$R2853="TRUE"),Settings!$C$6,Settings!$C$7)*100)</f>
        <v/>
      </c>
      <c r="AH2853" s="18" t="str">
        <f aca="false">IF($D2853="","",IF(COUNTIF($D$2:$D2853,$D2853)=1,1,0))</f>
        <v/>
      </c>
      <c r="AI2853" s="18" t="str">
        <f aca="false">IF($AH2853=1,SUMPRODUCT(--($AK$2:$AK$4001&lt;$AK2853))+1,"")</f>
        <v/>
      </c>
      <c r="AJ2853" s="18" t="str">
        <f aca="false">IF($D2853="","",IF(OR($R2853=TRUE(),$R2853="TRUE"),1,0))</f>
        <v/>
      </c>
      <c r="AK2853" s="18" t="str">
        <f aca="false">IF($AH2853=1,IFERROR(VALUE(MID($D2853,2,20)),1000000000)+ROW()/10000000,"")</f>
        <v/>
      </c>
    </row>
    <row r="2854" customFormat="false" ht="15" hidden="false" customHeight="false" outlineLevel="0" collapsed="false">
      <c r="F2854" s="15"/>
      <c r="N2854" s="16" t="str">
        <f aca="false">IF($D2854="","",M2854*Y2854/100)</f>
        <v/>
      </c>
      <c r="V2854" s="16" t="str">
        <f aca="false">IF($D2854="","",Y2854*AB2854/100)</f>
        <v/>
      </c>
      <c r="W2854" s="16" t="str">
        <f aca="false">IF($D2854="","",Y2854-V2854)</f>
        <v/>
      </c>
      <c r="X2854" s="16" t="str">
        <f aca="false">IF($D2854="","",W2854-N2854)</f>
        <v/>
      </c>
      <c r="AB2854" s="17" t="str">
        <f aca="false">IF($D2854="","",IF(OR($R2854=TRUE(),$R2854="TRUE"),Settings!$C$6,Settings!$C$7)*100)</f>
        <v/>
      </c>
      <c r="AH2854" s="18" t="str">
        <f aca="false">IF($D2854="","",IF(COUNTIF($D$2:$D2854,$D2854)=1,1,0))</f>
        <v/>
      </c>
      <c r="AI2854" s="18" t="str">
        <f aca="false">IF($AH2854=1,SUMPRODUCT(--($AK$2:$AK$4001&lt;$AK2854))+1,"")</f>
        <v/>
      </c>
      <c r="AJ2854" s="18" t="str">
        <f aca="false">IF($D2854="","",IF(OR($R2854=TRUE(),$R2854="TRUE"),1,0))</f>
        <v/>
      </c>
      <c r="AK2854" s="18" t="str">
        <f aca="false">IF($AH2854=1,IFERROR(VALUE(MID($D2854,2,20)),1000000000)+ROW()/10000000,"")</f>
        <v/>
      </c>
    </row>
    <row r="2855" customFormat="false" ht="15" hidden="false" customHeight="false" outlineLevel="0" collapsed="false">
      <c r="F2855" s="15"/>
      <c r="N2855" s="16" t="str">
        <f aca="false">IF($D2855="","",M2855*Y2855/100)</f>
        <v/>
      </c>
      <c r="V2855" s="16" t="str">
        <f aca="false">IF($D2855="","",Y2855*AB2855/100)</f>
        <v/>
      </c>
      <c r="W2855" s="16" t="str">
        <f aca="false">IF($D2855="","",Y2855-V2855)</f>
        <v/>
      </c>
      <c r="X2855" s="16" t="str">
        <f aca="false">IF($D2855="","",W2855-N2855)</f>
        <v/>
      </c>
      <c r="AB2855" s="17" t="str">
        <f aca="false">IF($D2855="","",IF(OR($R2855=TRUE(),$R2855="TRUE"),Settings!$C$6,Settings!$C$7)*100)</f>
        <v/>
      </c>
      <c r="AH2855" s="18" t="str">
        <f aca="false">IF($D2855="","",IF(COUNTIF($D$2:$D2855,$D2855)=1,1,0))</f>
        <v/>
      </c>
      <c r="AI2855" s="18" t="str">
        <f aca="false">IF($AH2855=1,SUMPRODUCT(--($AK$2:$AK$4001&lt;$AK2855))+1,"")</f>
        <v/>
      </c>
      <c r="AJ2855" s="18" t="str">
        <f aca="false">IF($D2855="","",IF(OR($R2855=TRUE(),$R2855="TRUE"),1,0))</f>
        <v/>
      </c>
      <c r="AK2855" s="18" t="str">
        <f aca="false">IF($AH2855=1,IFERROR(VALUE(MID($D2855,2,20)),1000000000)+ROW()/10000000,"")</f>
        <v/>
      </c>
    </row>
    <row r="2856" customFormat="false" ht="15" hidden="false" customHeight="false" outlineLevel="0" collapsed="false">
      <c r="F2856" s="15"/>
      <c r="N2856" s="16" t="str">
        <f aca="false">IF($D2856="","",M2856*Y2856/100)</f>
        <v/>
      </c>
      <c r="V2856" s="16" t="str">
        <f aca="false">IF($D2856="","",Y2856*AB2856/100)</f>
        <v/>
      </c>
      <c r="W2856" s="16" t="str">
        <f aca="false">IF($D2856="","",Y2856-V2856)</f>
        <v/>
      </c>
      <c r="X2856" s="16" t="str">
        <f aca="false">IF($D2856="","",W2856-N2856)</f>
        <v/>
      </c>
      <c r="AB2856" s="17" t="str">
        <f aca="false">IF($D2856="","",IF(OR($R2856=TRUE(),$R2856="TRUE"),Settings!$C$6,Settings!$C$7)*100)</f>
        <v/>
      </c>
      <c r="AH2856" s="18" t="str">
        <f aca="false">IF($D2856="","",IF(COUNTIF($D$2:$D2856,$D2856)=1,1,0))</f>
        <v/>
      </c>
      <c r="AI2856" s="18" t="str">
        <f aca="false">IF($AH2856=1,SUMPRODUCT(--($AK$2:$AK$4001&lt;$AK2856))+1,"")</f>
        <v/>
      </c>
      <c r="AJ2856" s="18" t="str">
        <f aca="false">IF($D2856="","",IF(OR($R2856=TRUE(),$R2856="TRUE"),1,0))</f>
        <v/>
      </c>
      <c r="AK2856" s="18" t="str">
        <f aca="false">IF($AH2856=1,IFERROR(VALUE(MID($D2856,2,20)),1000000000)+ROW()/10000000,"")</f>
        <v/>
      </c>
    </row>
    <row r="2857" customFormat="false" ht="15" hidden="false" customHeight="false" outlineLevel="0" collapsed="false">
      <c r="F2857" s="15"/>
      <c r="N2857" s="16" t="str">
        <f aca="false">IF($D2857="","",M2857*Y2857/100)</f>
        <v/>
      </c>
      <c r="V2857" s="16" t="str">
        <f aca="false">IF($D2857="","",Y2857*AB2857/100)</f>
        <v/>
      </c>
      <c r="W2857" s="16" t="str">
        <f aca="false">IF($D2857="","",Y2857-V2857)</f>
        <v/>
      </c>
      <c r="X2857" s="16" t="str">
        <f aca="false">IF($D2857="","",W2857-N2857)</f>
        <v/>
      </c>
      <c r="AB2857" s="17" t="str">
        <f aca="false">IF($D2857="","",IF(OR($R2857=TRUE(),$R2857="TRUE"),Settings!$C$6,Settings!$C$7)*100)</f>
        <v/>
      </c>
      <c r="AH2857" s="18" t="str">
        <f aca="false">IF($D2857="","",IF(COUNTIF($D$2:$D2857,$D2857)=1,1,0))</f>
        <v/>
      </c>
      <c r="AI2857" s="18" t="str">
        <f aca="false">IF($AH2857=1,SUMPRODUCT(--($AK$2:$AK$4001&lt;$AK2857))+1,"")</f>
        <v/>
      </c>
      <c r="AJ2857" s="18" t="str">
        <f aca="false">IF($D2857="","",IF(OR($R2857=TRUE(),$R2857="TRUE"),1,0))</f>
        <v/>
      </c>
      <c r="AK2857" s="18" t="str">
        <f aca="false">IF($AH2857=1,IFERROR(VALUE(MID($D2857,2,20)),1000000000)+ROW()/10000000,"")</f>
        <v/>
      </c>
    </row>
    <row r="2858" customFormat="false" ht="15" hidden="false" customHeight="false" outlineLevel="0" collapsed="false">
      <c r="F2858" s="15"/>
      <c r="N2858" s="16" t="str">
        <f aca="false">IF($D2858="","",M2858*Y2858/100)</f>
        <v/>
      </c>
      <c r="V2858" s="16" t="str">
        <f aca="false">IF($D2858="","",Y2858*AB2858/100)</f>
        <v/>
      </c>
      <c r="W2858" s="16" t="str">
        <f aca="false">IF($D2858="","",Y2858-V2858)</f>
        <v/>
      </c>
      <c r="X2858" s="16" t="str">
        <f aca="false">IF($D2858="","",W2858-N2858)</f>
        <v/>
      </c>
      <c r="AB2858" s="17" t="str">
        <f aca="false">IF($D2858="","",IF(OR($R2858=TRUE(),$R2858="TRUE"),Settings!$C$6,Settings!$C$7)*100)</f>
        <v/>
      </c>
      <c r="AH2858" s="18" t="str">
        <f aca="false">IF($D2858="","",IF(COUNTIF($D$2:$D2858,$D2858)=1,1,0))</f>
        <v/>
      </c>
      <c r="AI2858" s="18" t="str">
        <f aca="false">IF($AH2858=1,SUMPRODUCT(--($AK$2:$AK$4001&lt;$AK2858))+1,"")</f>
        <v/>
      </c>
      <c r="AJ2858" s="18" t="str">
        <f aca="false">IF($D2858="","",IF(OR($R2858=TRUE(),$R2858="TRUE"),1,0))</f>
        <v/>
      </c>
      <c r="AK2858" s="18" t="str">
        <f aca="false">IF($AH2858=1,IFERROR(VALUE(MID($D2858,2,20)),1000000000)+ROW()/10000000,"")</f>
        <v/>
      </c>
    </row>
    <row r="2859" customFormat="false" ht="15" hidden="false" customHeight="false" outlineLevel="0" collapsed="false">
      <c r="F2859" s="15"/>
      <c r="N2859" s="16" t="str">
        <f aca="false">IF($D2859="","",M2859*Y2859/100)</f>
        <v/>
      </c>
      <c r="V2859" s="16" t="str">
        <f aca="false">IF($D2859="","",Y2859*AB2859/100)</f>
        <v/>
      </c>
      <c r="W2859" s="16" t="str">
        <f aca="false">IF($D2859="","",Y2859-V2859)</f>
        <v/>
      </c>
      <c r="X2859" s="16" t="str">
        <f aca="false">IF($D2859="","",W2859-N2859)</f>
        <v/>
      </c>
      <c r="AB2859" s="17" t="str">
        <f aca="false">IF($D2859="","",IF(OR($R2859=TRUE(),$R2859="TRUE"),Settings!$C$6,Settings!$C$7)*100)</f>
        <v/>
      </c>
      <c r="AH2859" s="18" t="str">
        <f aca="false">IF($D2859="","",IF(COUNTIF($D$2:$D2859,$D2859)=1,1,0))</f>
        <v/>
      </c>
      <c r="AI2859" s="18" t="str">
        <f aca="false">IF($AH2859=1,SUMPRODUCT(--($AK$2:$AK$4001&lt;$AK2859))+1,"")</f>
        <v/>
      </c>
      <c r="AJ2859" s="18" t="str">
        <f aca="false">IF($D2859="","",IF(OR($R2859=TRUE(),$R2859="TRUE"),1,0))</f>
        <v/>
      </c>
      <c r="AK2859" s="18" t="str">
        <f aca="false">IF($AH2859=1,IFERROR(VALUE(MID($D2859,2,20)),1000000000)+ROW()/10000000,"")</f>
        <v/>
      </c>
    </row>
    <row r="2860" customFormat="false" ht="15" hidden="false" customHeight="false" outlineLevel="0" collapsed="false">
      <c r="F2860" s="15"/>
      <c r="N2860" s="16" t="str">
        <f aca="false">IF($D2860="","",M2860*Y2860/100)</f>
        <v/>
      </c>
      <c r="V2860" s="16" t="str">
        <f aca="false">IF($D2860="","",Y2860*AB2860/100)</f>
        <v/>
      </c>
      <c r="W2860" s="16" t="str">
        <f aca="false">IF($D2860="","",Y2860-V2860)</f>
        <v/>
      </c>
      <c r="X2860" s="16" t="str">
        <f aca="false">IF($D2860="","",W2860-N2860)</f>
        <v/>
      </c>
      <c r="AB2860" s="17" t="str">
        <f aca="false">IF($D2860="","",IF(OR($R2860=TRUE(),$R2860="TRUE"),Settings!$C$6,Settings!$C$7)*100)</f>
        <v/>
      </c>
      <c r="AH2860" s="18" t="str">
        <f aca="false">IF($D2860="","",IF(COUNTIF($D$2:$D2860,$D2860)=1,1,0))</f>
        <v/>
      </c>
      <c r="AI2860" s="18" t="str">
        <f aca="false">IF($AH2860=1,SUMPRODUCT(--($AK$2:$AK$4001&lt;$AK2860))+1,"")</f>
        <v/>
      </c>
      <c r="AJ2860" s="18" t="str">
        <f aca="false">IF($D2860="","",IF(OR($R2860=TRUE(),$R2860="TRUE"),1,0))</f>
        <v/>
      </c>
      <c r="AK2860" s="18" t="str">
        <f aca="false">IF($AH2860=1,IFERROR(VALUE(MID($D2860,2,20)),1000000000)+ROW()/10000000,"")</f>
        <v/>
      </c>
    </row>
    <row r="2861" customFormat="false" ht="15" hidden="false" customHeight="false" outlineLevel="0" collapsed="false">
      <c r="F2861" s="15"/>
      <c r="N2861" s="16" t="str">
        <f aca="false">IF($D2861="","",M2861*Y2861/100)</f>
        <v/>
      </c>
      <c r="V2861" s="16" t="str">
        <f aca="false">IF($D2861="","",Y2861*AB2861/100)</f>
        <v/>
      </c>
      <c r="W2861" s="16" t="str">
        <f aca="false">IF($D2861="","",Y2861-V2861)</f>
        <v/>
      </c>
      <c r="X2861" s="16" t="str">
        <f aca="false">IF($D2861="","",W2861-N2861)</f>
        <v/>
      </c>
      <c r="AB2861" s="17" t="str">
        <f aca="false">IF($D2861="","",IF(OR($R2861=TRUE(),$R2861="TRUE"),Settings!$C$6,Settings!$C$7)*100)</f>
        <v/>
      </c>
      <c r="AH2861" s="18" t="str">
        <f aca="false">IF($D2861="","",IF(COUNTIF($D$2:$D2861,$D2861)=1,1,0))</f>
        <v/>
      </c>
      <c r="AI2861" s="18" t="str">
        <f aca="false">IF($AH2861=1,SUMPRODUCT(--($AK$2:$AK$4001&lt;$AK2861))+1,"")</f>
        <v/>
      </c>
      <c r="AJ2861" s="18" t="str">
        <f aca="false">IF($D2861="","",IF(OR($R2861=TRUE(),$R2861="TRUE"),1,0))</f>
        <v/>
      </c>
      <c r="AK2861" s="18" t="str">
        <f aca="false">IF($AH2861=1,IFERROR(VALUE(MID($D2861,2,20)),1000000000)+ROW()/10000000,"")</f>
        <v/>
      </c>
    </row>
    <row r="2862" customFormat="false" ht="15" hidden="false" customHeight="false" outlineLevel="0" collapsed="false">
      <c r="F2862" s="15"/>
      <c r="N2862" s="16" t="str">
        <f aca="false">IF($D2862="","",M2862*Y2862/100)</f>
        <v/>
      </c>
      <c r="V2862" s="16" t="str">
        <f aca="false">IF($D2862="","",Y2862*AB2862/100)</f>
        <v/>
      </c>
      <c r="W2862" s="16" t="str">
        <f aca="false">IF($D2862="","",Y2862-V2862)</f>
        <v/>
      </c>
      <c r="X2862" s="16" t="str">
        <f aca="false">IF($D2862="","",W2862-N2862)</f>
        <v/>
      </c>
      <c r="AB2862" s="17" t="str">
        <f aca="false">IF($D2862="","",IF(OR($R2862=TRUE(),$R2862="TRUE"),Settings!$C$6,Settings!$C$7)*100)</f>
        <v/>
      </c>
      <c r="AH2862" s="18" t="str">
        <f aca="false">IF($D2862="","",IF(COUNTIF($D$2:$D2862,$D2862)=1,1,0))</f>
        <v/>
      </c>
      <c r="AI2862" s="18" t="str">
        <f aca="false">IF($AH2862=1,SUMPRODUCT(--($AK$2:$AK$4001&lt;$AK2862))+1,"")</f>
        <v/>
      </c>
      <c r="AJ2862" s="18" t="str">
        <f aca="false">IF($D2862="","",IF(OR($R2862=TRUE(),$R2862="TRUE"),1,0))</f>
        <v/>
      </c>
      <c r="AK2862" s="18" t="str">
        <f aca="false">IF($AH2862=1,IFERROR(VALUE(MID($D2862,2,20)),1000000000)+ROW()/10000000,"")</f>
        <v/>
      </c>
    </row>
    <row r="2863" customFormat="false" ht="15" hidden="false" customHeight="false" outlineLevel="0" collapsed="false">
      <c r="F2863" s="15"/>
      <c r="N2863" s="16" t="str">
        <f aca="false">IF($D2863="","",M2863*Y2863/100)</f>
        <v/>
      </c>
      <c r="V2863" s="16" t="str">
        <f aca="false">IF($D2863="","",Y2863*AB2863/100)</f>
        <v/>
      </c>
      <c r="W2863" s="16" t="str">
        <f aca="false">IF($D2863="","",Y2863-V2863)</f>
        <v/>
      </c>
      <c r="X2863" s="16" t="str">
        <f aca="false">IF($D2863="","",W2863-N2863)</f>
        <v/>
      </c>
      <c r="AB2863" s="17" t="str">
        <f aca="false">IF($D2863="","",IF(OR($R2863=TRUE(),$R2863="TRUE"),Settings!$C$6,Settings!$C$7)*100)</f>
        <v/>
      </c>
      <c r="AH2863" s="18" t="str">
        <f aca="false">IF($D2863="","",IF(COUNTIF($D$2:$D2863,$D2863)=1,1,0))</f>
        <v/>
      </c>
      <c r="AI2863" s="18" t="str">
        <f aca="false">IF($AH2863=1,SUMPRODUCT(--($AK$2:$AK$4001&lt;$AK2863))+1,"")</f>
        <v/>
      </c>
      <c r="AJ2863" s="18" t="str">
        <f aca="false">IF($D2863="","",IF(OR($R2863=TRUE(),$R2863="TRUE"),1,0))</f>
        <v/>
      </c>
      <c r="AK2863" s="18" t="str">
        <f aca="false">IF($AH2863=1,IFERROR(VALUE(MID($D2863,2,20)),1000000000)+ROW()/10000000,"")</f>
        <v/>
      </c>
    </row>
    <row r="2864" customFormat="false" ht="15" hidden="false" customHeight="false" outlineLevel="0" collapsed="false">
      <c r="F2864" s="15"/>
      <c r="N2864" s="16" t="str">
        <f aca="false">IF($D2864="","",M2864*Y2864/100)</f>
        <v/>
      </c>
      <c r="V2864" s="16" t="str">
        <f aca="false">IF($D2864="","",Y2864*AB2864/100)</f>
        <v/>
      </c>
      <c r="W2864" s="16" t="str">
        <f aca="false">IF($D2864="","",Y2864-V2864)</f>
        <v/>
      </c>
      <c r="X2864" s="16" t="str">
        <f aca="false">IF($D2864="","",W2864-N2864)</f>
        <v/>
      </c>
      <c r="AB2864" s="17" t="str">
        <f aca="false">IF($D2864="","",IF(OR($R2864=TRUE(),$R2864="TRUE"),Settings!$C$6,Settings!$C$7)*100)</f>
        <v/>
      </c>
      <c r="AH2864" s="18" t="str">
        <f aca="false">IF($D2864="","",IF(COUNTIF($D$2:$D2864,$D2864)=1,1,0))</f>
        <v/>
      </c>
      <c r="AI2864" s="18" t="str">
        <f aca="false">IF($AH2864=1,SUMPRODUCT(--($AK$2:$AK$4001&lt;$AK2864))+1,"")</f>
        <v/>
      </c>
      <c r="AJ2864" s="18" t="str">
        <f aca="false">IF($D2864="","",IF(OR($R2864=TRUE(),$R2864="TRUE"),1,0))</f>
        <v/>
      </c>
      <c r="AK2864" s="18" t="str">
        <f aca="false">IF($AH2864=1,IFERROR(VALUE(MID($D2864,2,20)),1000000000)+ROW()/10000000,"")</f>
        <v/>
      </c>
    </row>
    <row r="2865" customFormat="false" ht="15" hidden="false" customHeight="false" outlineLevel="0" collapsed="false">
      <c r="F2865" s="15"/>
      <c r="N2865" s="16" t="str">
        <f aca="false">IF($D2865="","",M2865*Y2865/100)</f>
        <v/>
      </c>
      <c r="V2865" s="16" t="str">
        <f aca="false">IF($D2865="","",Y2865*AB2865/100)</f>
        <v/>
      </c>
      <c r="W2865" s="16" t="str">
        <f aca="false">IF($D2865="","",Y2865-V2865)</f>
        <v/>
      </c>
      <c r="X2865" s="16" t="str">
        <f aca="false">IF($D2865="","",W2865-N2865)</f>
        <v/>
      </c>
      <c r="AB2865" s="17" t="str">
        <f aca="false">IF($D2865="","",IF(OR($R2865=TRUE(),$R2865="TRUE"),Settings!$C$6,Settings!$C$7)*100)</f>
        <v/>
      </c>
      <c r="AH2865" s="18" t="str">
        <f aca="false">IF($D2865="","",IF(COUNTIF($D$2:$D2865,$D2865)=1,1,0))</f>
        <v/>
      </c>
      <c r="AI2865" s="18" t="str">
        <f aca="false">IF($AH2865=1,SUMPRODUCT(--($AK$2:$AK$4001&lt;$AK2865))+1,"")</f>
        <v/>
      </c>
      <c r="AJ2865" s="18" t="str">
        <f aca="false">IF($D2865="","",IF(OR($R2865=TRUE(),$R2865="TRUE"),1,0))</f>
        <v/>
      </c>
      <c r="AK2865" s="18" t="str">
        <f aca="false">IF($AH2865=1,IFERROR(VALUE(MID($D2865,2,20)),1000000000)+ROW()/10000000,"")</f>
        <v/>
      </c>
    </row>
    <row r="2866" customFormat="false" ht="15" hidden="false" customHeight="false" outlineLevel="0" collapsed="false">
      <c r="F2866" s="15"/>
      <c r="N2866" s="16" t="str">
        <f aca="false">IF($D2866="","",M2866*Y2866/100)</f>
        <v/>
      </c>
      <c r="V2866" s="16" t="str">
        <f aca="false">IF($D2866="","",Y2866*AB2866/100)</f>
        <v/>
      </c>
      <c r="W2866" s="16" t="str">
        <f aca="false">IF($D2866="","",Y2866-V2866)</f>
        <v/>
      </c>
      <c r="X2866" s="16" t="str">
        <f aca="false">IF($D2866="","",W2866-N2866)</f>
        <v/>
      </c>
      <c r="AB2866" s="17" t="str">
        <f aca="false">IF($D2866="","",IF(OR($R2866=TRUE(),$R2866="TRUE"),Settings!$C$6,Settings!$C$7)*100)</f>
        <v/>
      </c>
      <c r="AH2866" s="18" t="str">
        <f aca="false">IF($D2866="","",IF(COUNTIF($D$2:$D2866,$D2866)=1,1,0))</f>
        <v/>
      </c>
      <c r="AI2866" s="18" t="str">
        <f aca="false">IF($AH2866=1,SUMPRODUCT(--($AK$2:$AK$4001&lt;$AK2866))+1,"")</f>
        <v/>
      </c>
      <c r="AJ2866" s="18" t="str">
        <f aca="false">IF($D2866="","",IF(OR($R2866=TRUE(),$R2866="TRUE"),1,0))</f>
        <v/>
      </c>
      <c r="AK2866" s="18" t="str">
        <f aca="false">IF($AH2866=1,IFERROR(VALUE(MID($D2866,2,20)),1000000000)+ROW()/10000000,"")</f>
        <v/>
      </c>
    </row>
    <row r="2867" customFormat="false" ht="15" hidden="false" customHeight="false" outlineLevel="0" collapsed="false">
      <c r="F2867" s="15"/>
      <c r="N2867" s="16" t="str">
        <f aca="false">IF($D2867="","",M2867*Y2867/100)</f>
        <v/>
      </c>
      <c r="V2867" s="16" t="str">
        <f aca="false">IF($D2867="","",Y2867*AB2867/100)</f>
        <v/>
      </c>
      <c r="W2867" s="16" t="str">
        <f aca="false">IF($D2867="","",Y2867-V2867)</f>
        <v/>
      </c>
      <c r="X2867" s="16" t="str">
        <f aca="false">IF($D2867="","",W2867-N2867)</f>
        <v/>
      </c>
      <c r="AB2867" s="17" t="str">
        <f aca="false">IF($D2867="","",IF(OR($R2867=TRUE(),$R2867="TRUE"),Settings!$C$6,Settings!$C$7)*100)</f>
        <v/>
      </c>
      <c r="AH2867" s="18" t="str">
        <f aca="false">IF($D2867="","",IF(COUNTIF($D$2:$D2867,$D2867)=1,1,0))</f>
        <v/>
      </c>
      <c r="AI2867" s="18" t="str">
        <f aca="false">IF($AH2867=1,SUMPRODUCT(--($AK$2:$AK$4001&lt;$AK2867))+1,"")</f>
        <v/>
      </c>
      <c r="AJ2867" s="18" t="str">
        <f aca="false">IF($D2867="","",IF(OR($R2867=TRUE(),$R2867="TRUE"),1,0))</f>
        <v/>
      </c>
      <c r="AK2867" s="18" t="str">
        <f aca="false">IF($AH2867=1,IFERROR(VALUE(MID($D2867,2,20)),1000000000)+ROW()/10000000,"")</f>
        <v/>
      </c>
    </row>
    <row r="2868" customFormat="false" ht="15" hidden="false" customHeight="false" outlineLevel="0" collapsed="false">
      <c r="F2868" s="15"/>
      <c r="N2868" s="16" t="str">
        <f aca="false">IF($D2868="","",M2868*Y2868/100)</f>
        <v/>
      </c>
      <c r="V2868" s="16" t="str">
        <f aca="false">IF($D2868="","",Y2868*AB2868/100)</f>
        <v/>
      </c>
      <c r="W2868" s="16" t="str">
        <f aca="false">IF($D2868="","",Y2868-V2868)</f>
        <v/>
      </c>
      <c r="X2868" s="16" t="str">
        <f aca="false">IF($D2868="","",W2868-N2868)</f>
        <v/>
      </c>
      <c r="AB2868" s="17" t="str">
        <f aca="false">IF($D2868="","",IF(OR($R2868=TRUE(),$R2868="TRUE"),Settings!$C$6,Settings!$C$7)*100)</f>
        <v/>
      </c>
      <c r="AH2868" s="18" t="str">
        <f aca="false">IF($D2868="","",IF(COUNTIF($D$2:$D2868,$D2868)=1,1,0))</f>
        <v/>
      </c>
      <c r="AI2868" s="18" t="str">
        <f aca="false">IF($AH2868=1,SUMPRODUCT(--($AK$2:$AK$4001&lt;$AK2868))+1,"")</f>
        <v/>
      </c>
      <c r="AJ2868" s="18" t="str">
        <f aca="false">IF($D2868="","",IF(OR($R2868=TRUE(),$R2868="TRUE"),1,0))</f>
        <v/>
      </c>
      <c r="AK2868" s="18" t="str">
        <f aca="false">IF($AH2868=1,IFERROR(VALUE(MID($D2868,2,20)),1000000000)+ROW()/10000000,"")</f>
        <v/>
      </c>
    </row>
    <row r="2869" customFormat="false" ht="15" hidden="false" customHeight="false" outlineLevel="0" collapsed="false">
      <c r="F2869" s="15"/>
      <c r="N2869" s="16" t="str">
        <f aca="false">IF($D2869="","",M2869*Y2869/100)</f>
        <v/>
      </c>
      <c r="V2869" s="16" t="str">
        <f aca="false">IF($D2869="","",Y2869*AB2869/100)</f>
        <v/>
      </c>
      <c r="W2869" s="16" t="str">
        <f aca="false">IF($D2869="","",Y2869-V2869)</f>
        <v/>
      </c>
      <c r="X2869" s="16" t="str">
        <f aca="false">IF($D2869="","",W2869-N2869)</f>
        <v/>
      </c>
      <c r="AB2869" s="17" t="str">
        <f aca="false">IF($D2869="","",IF(OR($R2869=TRUE(),$R2869="TRUE"),Settings!$C$6,Settings!$C$7)*100)</f>
        <v/>
      </c>
      <c r="AH2869" s="18" t="str">
        <f aca="false">IF($D2869="","",IF(COUNTIF($D$2:$D2869,$D2869)=1,1,0))</f>
        <v/>
      </c>
      <c r="AI2869" s="18" t="str">
        <f aca="false">IF($AH2869=1,SUMPRODUCT(--($AK$2:$AK$4001&lt;$AK2869))+1,"")</f>
        <v/>
      </c>
      <c r="AJ2869" s="18" t="str">
        <f aca="false">IF($D2869="","",IF(OR($R2869=TRUE(),$R2869="TRUE"),1,0))</f>
        <v/>
      </c>
      <c r="AK2869" s="18" t="str">
        <f aca="false">IF($AH2869=1,IFERROR(VALUE(MID($D2869,2,20)),1000000000)+ROW()/10000000,"")</f>
        <v/>
      </c>
    </row>
    <row r="2870" customFormat="false" ht="15" hidden="false" customHeight="false" outlineLevel="0" collapsed="false">
      <c r="F2870" s="15"/>
      <c r="N2870" s="16" t="str">
        <f aca="false">IF($D2870="","",M2870*Y2870/100)</f>
        <v/>
      </c>
      <c r="V2870" s="16" t="str">
        <f aca="false">IF($D2870="","",Y2870*AB2870/100)</f>
        <v/>
      </c>
      <c r="W2870" s="16" t="str">
        <f aca="false">IF($D2870="","",Y2870-V2870)</f>
        <v/>
      </c>
      <c r="X2870" s="16" t="str">
        <f aca="false">IF($D2870="","",W2870-N2870)</f>
        <v/>
      </c>
      <c r="AB2870" s="17" t="str">
        <f aca="false">IF($D2870="","",IF(OR($R2870=TRUE(),$R2870="TRUE"),Settings!$C$6,Settings!$C$7)*100)</f>
        <v/>
      </c>
      <c r="AH2870" s="18" t="str">
        <f aca="false">IF($D2870="","",IF(COUNTIF($D$2:$D2870,$D2870)=1,1,0))</f>
        <v/>
      </c>
      <c r="AI2870" s="18" t="str">
        <f aca="false">IF($AH2870=1,SUMPRODUCT(--($AK$2:$AK$4001&lt;$AK2870))+1,"")</f>
        <v/>
      </c>
      <c r="AJ2870" s="18" t="str">
        <f aca="false">IF($D2870="","",IF(OR($R2870=TRUE(),$R2870="TRUE"),1,0))</f>
        <v/>
      </c>
      <c r="AK2870" s="18" t="str">
        <f aca="false">IF($AH2870=1,IFERROR(VALUE(MID($D2870,2,20)),1000000000)+ROW()/10000000,"")</f>
        <v/>
      </c>
    </row>
    <row r="2871" customFormat="false" ht="15" hidden="false" customHeight="false" outlineLevel="0" collapsed="false">
      <c r="F2871" s="15"/>
      <c r="N2871" s="16" t="str">
        <f aca="false">IF($D2871="","",M2871*Y2871/100)</f>
        <v/>
      </c>
      <c r="V2871" s="16" t="str">
        <f aca="false">IF($D2871="","",Y2871*AB2871/100)</f>
        <v/>
      </c>
      <c r="W2871" s="16" t="str">
        <f aca="false">IF($D2871="","",Y2871-V2871)</f>
        <v/>
      </c>
      <c r="X2871" s="16" t="str">
        <f aca="false">IF($D2871="","",W2871-N2871)</f>
        <v/>
      </c>
      <c r="AB2871" s="17" t="str">
        <f aca="false">IF($D2871="","",IF(OR($R2871=TRUE(),$R2871="TRUE"),Settings!$C$6,Settings!$C$7)*100)</f>
        <v/>
      </c>
      <c r="AH2871" s="18" t="str">
        <f aca="false">IF($D2871="","",IF(COUNTIF($D$2:$D2871,$D2871)=1,1,0))</f>
        <v/>
      </c>
      <c r="AI2871" s="18" t="str">
        <f aca="false">IF($AH2871=1,SUMPRODUCT(--($AK$2:$AK$4001&lt;$AK2871))+1,"")</f>
        <v/>
      </c>
      <c r="AJ2871" s="18" t="str">
        <f aca="false">IF($D2871="","",IF(OR($R2871=TRUE(),$R2871="TRUE"),1,0))</f>
        <v/>
      </c>
      <c r="AK2871" s="18" t="str">
        <f aca="false">IF($AH2871=1,IFERROR(VALUE(MID($D2871,2,20)),1000000000)+ROW()/10000000,"")</f>
        <v/>
      </c>
    </row>
    <row r="2872" customFormat="false" ht="15" hidden="false" customHeight="false" outlineLevel="0" collapsed="false">
      <c r="F2872" s="15"/>
      <c r="N2872" s="16" t="str">
        <f aca="false">IF($D2872="","",M2872*Y2872/100)</f>
        <v/>
      </c>
      <c r="V2872" s="16" t="str">
        <f aca="false">IF($D2872="","",Y2872*AB2872/100)</f>
        <v/>
      </c>
      <c r="W2872" s="16" t="str">
        <f aca="false">IF($D2872="","",Y2872-V2872)</f>
        <v/>
      </c>
      <c r="X2872" s="16" t="str">
        <f aca="false">IF($D2872="","",W2872-N2872)</f>
        <v/>
      </c>
      <c r="AB2872" s="17" t="str">
        <f aca="false">IF($D2872="","",IF(OR($R2872=TRUE(),$R2872="TRUE"),Settings!$C$6,Settings!$C$7)*100)</f>
        <v/>
      </c>
      <c r="AH2872" s="18" t="str">
        <f aca="false">IF($D2872="","",IF(COUNTIF($D$2:$D2872,$D2872)=1,1,0))</f>
        <v/>
      </c>
      <c r="AI2872" s="18" t="str">
        <f aca="false">IF($AH2872=1,SUMPRODUCT(--($AK$2:$AK$4001&lt;$AK2872))+1,"")</f>
        <v/>
      </c>
      <c r="AJ2872" s="18" t="str">
        <f aca="false">IF($D2872="","",IF(OR($R2872=TRUE(),$R2872="TRUE"),1,0))</f>
        <v/>
      </c>
      <c r="AK2872" s="18" t="str">
        <f aca="false">IF($AH2872=1,IFERROR(VALUE(MID($D2872,2,20)),1000000000)+ROW()/10000000,"")</f>
        <v/>
      </c>
    </row>
    <row r="2873" customFormat="false" ht="15" hidden="false" customHeight="false" outlineLevel="0" collapsed="false">
      <c r="F2873" s="15"/>
      <c r="N2873" s="16" t="str">
        <f aca="false">IF($D2873="","",M2873*Y2873/100)</f>
        <v/>
      </c>
      <c r="V2873" s="16" t="str">
        <f aca="false">IF($D2873="","",Y2873*AB2873/100)</f>
        <v/>
      </c>
      <c r="W2873" s="16" t="str">
        <f aca="false">IF($D2873="","",Y2873-V2873)</f>
        <v/>
      </c>
      <c r="X2873" s="16" t="str">
        <f aca="false">IF($D2873="","",W2873-N2873)</f>
        <v/>
      </c>
      <c r="AB2873" s="17" t="str">
        <f aca="false">IF($D2873="","",IF(OR($R2873=TRUE(),$R2873="TRUE"),Settings!$C$6,Settings!$C$7)*100)</f>
        <v/>
      </c>
      <c r="AH2873" s="18" t="str">
        <f aca="false">IF($D2873="","",IF(COUNTIF($D$2:$D2873,$D2873)=1,1,0))</f>
        <v/>
      </c>
      <c r="AI2873" s="18" t="str">
        <f aca="false">IF($AH2873=1,SUMPRODUCT(--($AK$2:$AK$4001&lt;$AK2873))+1,"")</f>
        <v/>
      </c>
      <c r="AJ2873" s="18" t="str">
        <f aca="false">IF($D2873="","",IF(OR($R2873=TRUE(),$R2873="TRUE"),1,0))</f>
        <v/>
      </c>
      <c r="AK2873" s="18" t="str">
        <f aca="false">IF($AH2873=1,IFERROR(VALUE(MID($D2873,2,20)),1000000000)+ROW()/10000000,"")</f>
        <v/>
      </c>
    </row>
    <row r="2874" customFormat="false" ht="15" hidden="false" customHeight="false" outlineLevel="0" collapsed="false">
      <c r="F2874" s="15"/>
      <c r="N2874" s="16" t="str">
        <f aca="false">IF($D2874="","",M2874*Y2874/100)</f>
        <v/>
      </c>
      <c r="V2874" s="16" t="str">
        <f aca="false">IF($D2874="","",Y2874*AB2874/100)</f>
        <v/>
      </c>
      <c r="W2874" s="16" t="str">
        <f aca="false">IF($D2874="","",Y2874-V2874)</f>
        <v/>
      </c>
      <c r="X2874" s="16" t="str">
        <f aca="false">IF($D2874="","",W2874-N2874)</f>
        <v/>
      </c>
      <c r="AB2874" s="17" t="str">
        <f aca="false">IF($D2874="","",IF(OR($R2874=TRUE(),$R2874="TRUE"),Settings!$C$6,Settings!$C$7)*100)</f>
        <v/>
      </c>
      <c r="AH2874" s="18" t="str">
        <f aca="false">IF($D2874="","",IF(COUNTIF($D$2:$D2874,$D2874)=1,1,0))</f>
        <v/>
      </c>
      <c r="AI2874" s="18" t="str">
        <f aca="false">IF($AH2874=1,SUMPRODUCT(--($AK$2:$AK$4001&lt;$AK2874))+1,"")</f>
        <v/>
      </c>
      <c r="AJ2874" s="18" t="str">
        <f aca="false">IF($D2874="","",IF(OR($R2874=TRUE(),$R2874="TRUE"),1,0))</f>
        <v/>
      </c>
      <c r="AK2874" s="18" t="str">
        <f aca="false">IF($AH2874=1,IFERROR(VALUE(MID($D2874,2,20)),1000000000)+ROW()/10000000,"")</f>
        <v/>
      </c>
    </row>
    <row r="2875" customFormat="false" ht="15" hidden="false" customHeight="false" outlineLevel="0" collapsed="false">
      <c r="F2875" s="15"/>
      <c r="N2875" s="16" t="str">
        <f aca="false">IF($D2875="","",M2875*Y2875/100)</f>
        <v/>
      </c>
      <c r="V2875" s="16" t="str">
        <f aca="false">IF($D2875="","",Y2875*AB2875/100)</f>
        <v/>
      </c>
      <c r="W2875" s="16" t="str">
        <f aca="false">IF($D2875="","",Y2875-V2875)</f>
        <v/>
      </c>
      <c r="X2875" s="16" t="str">
        <f aca="false">IF($D2875="","",W2875-N2875)</f>
        <v/>
      </c>
      <c r="AB2875" s="17" t="str">
        <f aca="false">IF($D2875="","",IF(OR($R2875=TRUE(),$R2875="TRUE"),Settings!$C$6,Settings!$C$7)*100)</f>
        <v/>
      </c>
      <c r="AH2875" s="18" t="str">
        <f aca="false">IF($D2875="","",IF(COUNTIF($D$2:$D2875,$D2875)=1,1,0))</f>
        <v/>
      </c>
      <c r="AI2875" s="18" t="str">
        <f aca="false">IF($AH2875=1,SUMPRODUCT(--($AK$2:$AK$4001&lt;$AK2875))+1,"")</f>
        <v/>
      </c>
      <c r="AJ2875" s="18" t="str">
        <f aca="false">IF($D2875="","",IF(OR($R2875=TRUE(),$R2875="TRUE"),1,0))</f>
        <v/>
      </c>
      <c r="AK2875" s="18" t="str">
        <f aca="false">IF($AH2875=1,IFERROR(VALUE(MID($D2875,2,20)),1000000000)+ROW()/10000000,"")</f>
        <v/>
      </c>
    </row>
    <row r="2876" customFormat="false" ht="15" hidden="false" customHeight="false" outlineLevel="0" collapsed="false">
      <c r="F2876" s="15"/>
      <c r="N2876" s="16" t="str">
        <f aca="false">IF($D2876="","",M2876*Y2876/100)</f>
        <v/>
      </c>
      <c r="V2876" s="16" t="str">
        <f aca="false">IF($D2876="","",Y2876*AB2876/100)</f>
        <v/>
      </c>
      <c r="W2876" s="16" t="str">
        <f aca="false">IF($D2876="","",Y2876-V2876)</f>
        <v/>
      </c>
      <c r="X2876" s="16" t="str">
        <f aca="false">IF($D2876="","",W2876-N2876)</f>
        <v/>
      </c>
      <c r="AB2876" s="17" t="str">
        <f aca="false">IF($D2876="","",IF(OR($R2876=TRUE(),$R2876="TRUE"),Settings!$C$6,Settings!$C$7)*100)</f>
        <v/>
      </c>
      <c r="AH2876" s="18" t="str">
        <f aca="false">IF($D2876="","",IF(COUNTIF($D$2:$D2876,$D2876)=1,1,0))</f>
        <v/>
      </c>
      <c r="AI2876" s="18" t="str">
        <f aca="false">IF($AH2876=1,SUMPRODUCT(--($AK$2:$AK$4001&lt;$AK2876))+1,"")</f>
        <v/>
      </c>
      <c r="AJ2876" s="18" t="str">
        <f aca="false">IF($D2876="","",IF(OR($R2876=TRUE(),$R2876="TRUE"),1,0))</f>
        <v/>
      </c>
      <c r="AK2876" s="18" t="str">
        <f aca="false">IF($AH2876=1,IFERROR(VALUE(MID($D2876,2,20)),1000000000)+ROW()/10000000,"")</f>
        <v/>
      </c>
    </row>
    <row r="2877" customFormat="false" ht="15" hidden="false" customHeight="false" outlineLevel="0" collapsed="false">
      <c r="F2877" s="15"/>
      <c r="N2877" s="16" t="str">
        <f aca="false">IF($D2877="","",M2877*Y2877/100)</f>
        <v/>
      </c>
      <c r="V2877" s="16" t="str">
        <f aca="false">IF($D2877="","",Y2877*AB2877/100)</f>
        <v/>
      </c>
      <c r="W2877" s="16" t="str">
        <f aca="false">IF($D2877="","",Y2877-V2877)</f>
        <v/>
      </c>
      <c r="X2877" s="16" t="str">
        <f aca="false">IF($D2877="","",W2877-N2877)</f>
        <v/>
      </c>
      <c r="AB2877" s="17" t="str">
        <f aca="false">IF($D2877="","",IF(OR($R2877=TRUE(),$R2877="TRUE"),Settings!$C$6,Settings!$C$7)*100)</f>
        <v/>
      </c>
      <c r="AH2877" s="18" t="str">
        <f aca="false">IF($D2877="","",IF(COUNTIF($D$2:$D2877,$D2877)=1,1,0))</f>
        <v/>
      </c>
      <c r="AI2877" s="18" t="str">
        <f aca="false">IF($AH2877=1,SUMPRODUCT(--($AK$2:$AK$4001&lt;$AK2877))+1,"")</f>
        <v/>
      </c>
      <c r="AJ2877" s="18" t="str">
        <f aca="false">IF($D2877="","",IF(OR($R2877=TRUE(),$R2877="TRUE"),1,0))</f>
        <v/>
      </c>
      <c r="AK2877" s="18" t="str">
        <f aca="false">IF($AH2877=1,IFERROR(VALUE(MID($D2877,2,20)),1000000000)+ROW()/10000000,"")</f>
        <v/>
      </c>
    </row>
    <row r="2878" customFormat="false" ht="15" hidden="false" customHeight="false" outlineLevel="0" collapsed="false">
      <c r="F2878" s="15"/>
      <c r="N2878" s="16" t="str">
        <f aca="false">IF($D2878="","",M2878*Y2878/100)</f>
        <v/>
      </c>
      <c r="V2878" s="16" t="str">
        <f aca="false">IF($D2878="","",Y2878*AB2878/100)</f>
        <v/>
      </c>
      <c r="W2878" s="16" t="str">
        <f aca="false">IF($D2878="","",Y2878-V2878)</f>
        <v/>
      </c>
      <c r="X2878" s="16" t="str">
        <f aca="false">IF($D2878="","",W2878-N2878)</f>
        <v/>
      </c>
      <c r="AB2878" s="17" t="str">
        <f aca="false">IF($D2878="","",IF(OR($R2878=TRUE(),$R2878="TRUE"),Settings!$C$6,Settings!$C$7)*100)</f>
        <v/>
      </c>
      <c r="AH2878" s="18" t="str">
        <f aca="false">IF($D2878="","",IF(COUNTIF($D$2:$D2878,$D2878)=1,1,0))</f>
        <v/>
      </c>
      <c r="AI2878" s="18" t="str">
        <f aca="false">IF($AH2878=1,SUMPRODUCT(--($AK$2:$AK$4001&lt;$AK2878))+1,"")</f>
        <v/>
      </c>
      <c r="AJ2878" s="18" t="str">
        <f aca="false">IF($D2878="","",IF(OR($R2878=TRUE(),$R2878="TRUE"),1,0))</f>
        <v/>
      </c>
      <c r="AK2878" s="18" t="str">
        <f aca="false">IF($AH2878=1,IFERROR(VALUE(MID($D2878,2,20)),1000000000)+ROW()/10000000,"")</f>
        <v/>
      </c>
    </row>
    <row r="2879" customFormat="false" ht="15" hidden="false" customHeight="false" outlineLevel="0" collapsed="false">
      <c r="F2879" s="15"/>
      <c r="N2879" s="16" t="str">
        <f aca="false">IF($D2879="","",M2879*Y2879/100)</f>
        <v/>
      </c>
      <c r="V2879" s="16" t="str">
        <f aca="false">IF($D2879="","",Y2879*AB2879/100)</f>
        <v/>
      </c>
      <c r="W2879" s="16" t="str">
        <f aca="false">IF($D2879="","",Y2879-V2879)</f>
        <v/>
      </c>
      <c r="X2879" s="16" t="str">
        <f aca="false">IF($D2879="","",W2879-N2879)</f>
        <v/>
      </c>
      <c r="AB2879" s="17" t="str">
        <f aca="false">IF($D2879="","",IF(OR($R2879=TRUE(),$R2879="TRUE"),Settings!$C$6,Settings!$C$7)*100)</f>
        <v/>
      </c>
      <c r="AH2879" s="18" t="str">
        <f aca="false">IF($D2879="","",IF(COUNTIF($D$2:$D2879,$D2879)=1,1,0))</f>
        <v/>
      </c>
      <c r="AI2879" s="18" t="str">
        <f aca="false">IF($AH2879=1,SUMPRODUCT(--($AK$2:$AK$4001&lt;$AK2879))+1,"")</f>
        <v/>
      </c>
      <c r="AJ2879" s="18" t="str">
        <f aca="false">IF($D2879="","",IF(OR($R2879=TRUE(),$R2879="TRUE"),1,0))</f>
        <v/>
      </c>
      <c r="AK2879" s="18" t="str">
        <f aca="false">IF($AH2879=1,IFERROR(VALUE(MID($D2879,2,20)),1000000000)+ROW()/10000000,"")</f>
        <v/>
      </c>
    </row>
    <row r="2880" customFormat="false" ht="15" hidden="false" customHeight="false" outlineLevel="0" collapsed="false">
      <c r="F2880" s="15"/>
      <c r="N2880" s="16" t="str">
        <f aca="false">IF($D2880="","",M2880*Y2880/100)</f>
        <v/>
      </c>
      <c r="V2880" s="16" t="str">
        <f aca="false">IF($D2880="","",Y2880*AB2880/100)</f>
        <v/>
      </c>
      <c r="W2880" s="16" t="str">
        <f aca="false">IF($D2880="","",Y2880-V2880)</f>
        <v/>
      </c>
      <c r="X2880" s="16" t="str">
        <f aca="false">IF($D2880="","",W2880-N2880)</f>
        <v/>
      </c>
      <c r="AB2880" s="17" t="str">
        <f aca="false">IF($D2880="","",IF(OR($R2880=TRUE(),$R2880="TRUE"),Settings!$C$6,Settings!$C$7)*100)</f>
        <v/>
      </c>
      <c r="AH2880" s="18" t="str">
        <f aca="false">IF($D2880="","",IF(COUNTIF($D$2:$D2880,$D2880)=1,1,0))</f>
        <v/>
      </c>
      <c r="AI2880" s="18" t="str">
        <f aca="false">IF($AH2880=1,SUMPRODUCT(--($AK$2:$AK$4001&lt;$AK2880))+1,"")</f>
        <v/>
      </c>
      <c r="AJ2880" s="18" t="str">
        <f aca="false">IF($D2880="","",IF(OR($R2880=TRUE(),$R2880="TRUE"),1,0))</f>
        <v/>
      </c>
      <c r="AK2880" s="18" t="str">
        <f aca="false">IF($AH2880=1,IFERROR(VALUE(MID($D2880,2,20)),1000000000)+ROW()/10000000,"")</f>
        <v/>
      </c>
    </row>
    <row r="2881" customFormat="false" ht="15" hidden="false" customHeight="false" outlineLevel="0" collapsed="false">
      <c r="F2881" s="15"/>
      <c r="N2881" s="16" t="str">
        <f aca="false">IF($D2881="","",M2881*Y2881/100)</f>
        <v/>
      </c>
      <c r="V2881" s="16" t="str">
        <f aca="false">IF($D2881="","",Y2881*AB2881/100)</f>
        <v/>
      </c>
      <c r="W2881" s="16" t="str">
        <f aca="false">IF($D2881="","",Y2881-V2881)</f>
        <v/>
      </c>
      <c r="X2881" s="16" t="str">
        <f aca="false">IF($D2881="","",W2881-N2881)</f>
        <v/>
      </c>
      <c r="AB2881" s="17" t="str">
        <f aca="false">IF($D2881="","",IF(OR($R2881=TRUE(),$R2881="TRUE"),Settings!$C$6,Settings!$C$7)*100)</f>
        <v/>
      </c>
      <c r="AH2881" s="18" t="str">
        <f aca="false">IF($D2881="","",IF(COUNTIF($D$2:$D2881,$D2881)=1,1,0))</f>
        <v/>
      </c>
      <c r="AI2881" s="18" t="str">
        <f aca="false">IF($AH2881=1,SUMPRODUCT(--($AK$2:$AK$4001&lt;$AK2881))+1,"")</f>
        <v/>
      </c>
      <c r="AJ2881" s="18" t="str">
        <f aca="false">IF($D2881="","",IF(OR($R2881=TRUE(),$R2881="TRUE"),1,0))</f>
        <v/>
      </c>
      <c r="AK2881" s="18" t="str">
        <f aca="false">IF($AH2881=1,IFERROR(VALUE(MID($D2881,2,20)),1000000000)+ROW()/10000000,"")</f>
        <v/>
      </c>
    </row>
    <row r="2882" customFormat="false" ht="15" hidden="false" customHeight="false" outlineLevel="0" collapsed="false">
      <c r="F2882" s="15"/>
      <c r="N2882" s="16" t="str">
        <f aca="false">IF($D2882="","",M2882*Y2882/100)</f>
        <v/>
      </c>
      <c r="V2882" s="16" t="str">
        <f aca="false">IF($D2882="","",Y2882*AB2882/100)</f>
        <v/>
      </c>
      <c r="W2882" s="16" t="str">
        <f aca="false">IF($D2882="","",Y2882-V2882)</f>
        <v/>
      </c>
      <c r="X2882" s="16" t="str">
        <f aca="false">IF($D2882="","",W2882-N2882)</f>
        <v/>
      </c>
      <c r="AB2882" s="17" t="str">
        <f aca="false">IF($D2882="","",IF(OR($R2882=TRUE(),$R2882="TRUE"),Settings!$C$6,Settings!$C$7)*100)</f>
        <v/>
      </c>
      <c r="AH2882" s="18" t="str">
        <f aca="false">IF($D2882="","",IF(COUNTIF($D$2:$D2882,$D2882)=1,1,0))</f>
        <v/>
      </c>
      <c r="AI2882" s="18" t="str">
        <f aca="false">IF($AH2882=1,SUMPRODUCT(--($AK$2:$AK$4001&lt;$AK2882))+1,"")</f>
        <v/>
      </c>
      <c r="AJ2882" s="18" t="str">
        <f aca="false">IF($D2882="","",IF(OR($R2882=TRUE(),$R2882="TRUE"),1,0))</f>
        <v/>
      </c>
      <c r="AK2882" s="18" t="str">
        <f aca="false">IF($AH2882=1,IFERROR(VALUE(MID($D2882,2,20)),1000000000)+ROW()/10000000,"")</f>
        <v/>
      </c>
    </row>
    <row r="2883" customFormat="false" ht="15" hidden="false" customHeight="false" outlineLevel="0" collapsed="false">
      <c r="F2883" s="15"/>
      <c r="N2883" s="16" t="str">
        <f aca="false">IF($D2883="","",M2883*Y2883/100)</f>
        <v/>
      </c>
      <c r="V2883" s="16" t="str">
        <f aca="false">IF($D2883="","",Y2883*AB2883/100)</f>
        <v/>
      </c>
      <c r="W2883" s="16" t="str">
        <f aca="false">IF($D2883="","",Y2883-V2883)</f>
        <v/>
      </c>
      <c r="X2883" s="16" t="str">
        <f aca="false">IF($D2883="","",W2883-N2883)</f>
        <v/>
      </c>
      <c r="AB2883" s="17" t="str">
        <f aca="false">IF($D2883="","",IF(OR($R2883=TRUE(),$R2883="TRUE"),Settings!$C$6,Settings!$C$7)*100)</f>
        <v/>
      </c>
      <c r="AH2883" s="18" t="str">
        <f aca="false">IF($D2883="","",IF(COUNTIF($D$2:$D2883,$D2883)=1,1,0))</f>
        <v/>
      </c>
      <c r="AI2883" s="18" t="str">
        <f aca="false">IF($AH2883=1,SUMPRODUCT(--($AK$2:$AK$4001&lt;$AK2883))+1,"")</f>
        <v/>
      </c>
      <c r="AJ2883" s="18" t="str">
        <f aca="false">IF($D2883="","",IF(OR($R2883=TRUE(),$R2883="TRUE"),1,0))</f>
        <v/>
      </c>
      <c r="AK2883" s="18" t="str">
        <f aca="false">IF($AH2883=1,IFERROR(VALUE(MID($D2883,2,20)),1000000000)+ROW()/10000000,"")</f>
        <v/>
      </c>
    </row>
    <row r="2884" customFormat="false" ht="15" hidden="false" customHeight="false" outlineLevel="0" collapsed="false">
      <c r="F2884" s="15"/>
      <c r="N2884" s="16" t="str">
        <f aca="false">IF($D2884="","",M2884*Y2884/100)</f>
        <v/>
      </c>
      <c r="V2884" s="16" t="str">
        <f aca="false">IF($D2884="","",Y2884*AB2884/100)</f>
        <v/>
      </c>
      <c r="W2884" s="16" t="str">
        <f aca="false">IF($D2884="","",Y2884-V2884)</f>
        <v/>
      </c>
      <c r="X2884" s="16" t="str">
        <f aca="false">IF($D2884="","",W2884-N2884)</f>
        <v/>
      </c>
      <c r="AB2884" s="17" t="str">
        <f aca="false">IF($D2884="","",IF(OR($R2884=TRUE(),$R2884="TRUE"),Settings!$C$6,Settings!$C$7)*100)</f>
        <v/>
      </c>
      <c r="AH2884" s="18" t="str">
        <f aca="false">IF($D2884="","",IF(COUNTIF($D$2:$D2884,$D2884)=1,1,0))</f>
        <v/>
      </c>
      <c r="AI2884" s="18" t="str">
        <f aca="false">IF($AH2884=1,SUMPRODUCT(--($AK$2:$AK$4001&lt;$AK2884))+1,"")</f>
        <v/>
      </c>
      <c r="AJ2884" s="18" t="str">
        <f aca="false">IF($D2884="","",IF(OR($R2884=TRUE(),$R2884="TRUE"),1,0))</f>
        <v/>
      </c>
      <c r="AK2884" s="18" t="str">
        <f aca="false">IF($AH2884=1,IFERROR(VALUE(MID($D2884,2,20)),1000000000)+ROW()/10000000,"")</f>
        <v/>
      </c>
    </row>
    <row r="2885" customFormat="false" ht="15" hidden="false" customHeight="false" outlineLevel="0" collapsed="false">
      <c r="F2885" s="15"/>
      <c r="N2885" s="16" t="str">
        <f aca="false">IF($D2885="","",M2885*Y2885/100)</f>
        <v/>
      </c>
      <c r="V2885" s="16" t="str">
        <f aca="false">IF($D2885="","",Y2885*AB2885/100)</f>
        <v/>
      </c>
      <c r="W2885" s="16" t="str">
        <f aca="false">IF($D2885="","",Y2885-V2885)</f>
        <v/>
      </c>
      <c r="X2885" s="16" t="str">
        <f aca="false">IF($D2885="","",W2885-N2885)</f>
        <v/>
      </c>
      <c r="AB2885" s="17" t="str">
        <f aca="false">IF($D2885="","",IF(OR($R2885=TRUE(),$R2885="TRUE"),Settings!$C$6,Settings!$C$7)*100)</f>
        <v/>
      </c>
      <c r="AH2885" s="18" t="str">
        <f aca="false">IF($D2885="","",IF(COUNTIF($D$2:$D2885,$D2885)=1,1,0))</f>
        <v/>
      </c>
      <c r="AI2885" s="18" t="str">
        <f aca="false">IF($AH2885=1,SUMPRODUCT(--($AK$2:$AK$4001&lt;$AK2885))+1,"")</f>
        <v/>
      </c>
      <c r="AJ2885" s="18" t="str">
        <f aca="false">IF($D2885="","",IF(OR($R2885=TRUE(),$R2885="TRUE"),1,0))</f>
        <v/>
      </c>
      <c r="AK2885" s="18" t="str">
        <f aca="false">IF($AH2885=1,IFERROR(VALUE(MID($D2885,2,20)),1000000000)+ROW()/10000000,"")</f>
        <v/>
      </c>
    </row>
    <row r="2886" customFormat="false" ht="15" hidden="false" customHeight="false" outlineLevel="0" collapsed="false">
      <c r="F2886" s="15"/>
      <c r="N2886" s="16" t="str">
        <f aca="false">IF($D2886="","",M2886*Y2886/100)</f>
        <v/>
      </c>
      <c r="V2886" s="16" t="str">
        <f aca="false">IF($D2886="","",Y2886*AB2886/100)</f>
        <v/>
      </c>
      <c r="W2886" s="16" t="str">
        <f aca="false">IF($D2886="","",Y2886-V2886)</f>
        <v/>
      </c>
      <c r="X2886" s="16" t="str">
        <f aca="false">IF($D2886="","",W2886-N2886)</f>
        <v/>
      </c>
      <c r="AB2886" s="17" t="str">
        <f aca="false">IF($D2886="","",IF(OR($R2886=TRUE(),$R2886="TRUE"),Settings!$C$6,Settings!$C$7)*100)</f>
        <v/>
      </c>
      <c r="AH2886" s="18" t="str">
        <f aca="false">IF($D2886="","",IF(COUNTIF($D$2:$D2886,$D2886)=1,1,0))</f>
        <v/>
      </c>
      <c r="AI2886" s="18" t="str">
        <f aca="false">IF($AH2886=1,SUMPRODUCT(--($AK$2:$AK$4001&lt;$AK2886))+1,"")</f>
        <v/>
      </c>
      <c r="AJ2886" s="18" t="str">
        <f aca="false">IF($D2886="","",IF(OR($R2886=TRUE(),$R2886="TRUE"),1,0))</f>
        <v/>
      </c>
      <c r="AK2886" s="18" t="str">
        <f aca="false">IF($AH2886=1,IFERROR(VALUE(MID($D2886,2,20)),1000000000)+ROW()/10000000,"")</f>
        <v/>
      </c>
    </row>
    <row r="2887" customFormat="false" ht="15" hidden="false" customHeight="false" outlineLevel="0" collapsed="false">
      <c r="F2887" s="15"/>
      <c r="N2887" s="16" t="str">
        <f aca="false">IF($D2887="","",M2887*Y2887/100)</f>
        <v/>
      </c>
      <c r="V2887" s="16" t="str">
        <f aca="false">IF($D2887="","",Y2887*AB2887/100)</f>
        <v/>
      </c>
      <c r="W2887" s="16" t="str">
        <f aca="false">IF($D2887="","",Y2887-V2887)</f>
        <v/>
      </c>
      <c r="X2887" s="16" t="str">
        <f aca="false">IF($D2887="","",W2887-N2887)</f>
        <v/>
      </c>
      <c r="AB2887" s="17" t="str">
        <f aca="false">IF($D2887="","",IF(OR($R2887=TRUE(),$R2887="TRUE"),Settings!$C$6,Settings!$C$7)*100)</f>
        <v/>
      </c>
      <c r="AH2887" s="18" t="str">
        <f aca="false">IF($D2887="","",IF(COUNTIF($D$2:$D2887,$D2887)=1,1,0))</f>
        <v/>
      </c>
      <c r="AI2887" s="18" t="str">
        <f aca="false">IF($AH2887=1,SUMPRODUCT(--($AK$2:$AK$4001&lt;$AK2887))+1,"")</f>
        <v/>
      </c>
      <c r="AJ2887" s="18" t="str">
        <f aca="false">IF($D2887="","",IF(OR($R2887=TRUE(),$R2887="TRUE"),1,0))</f>
        <v/>
      </c>
      <c r="AK2887" s="18" t="str">
        <f aca="false">IF($AH2887=1,IFERROR(VALUE(MID($D2887,2,20)),1000000000)+ROW()/10000000,"")</f>
        <v/>
      </c>
    </row>
    <row r="2888" customFormat="false" ht="15" hidden="false" customHeight="false" outlineLevel="0" collapsed="false">
      <c r="F2888" s="15"/>
      <c r="N2888" s="16" t="str">
        <f aca="false">IF($D2888="","",M2888*Y2888/100)</f>
        <v/>
      </c>
      <c r="V2888" s="16" t="str">
        <f aca="false">IF($D2888="","",Y2888*AB2888/100)</f>
        <v/>
      </c>
      <c r="W2888" s="16" t="str">
        <f aca="false">IF($D2888="","",Y2888-V2888)</f>
        <v/>
      </c>
      <c r="X2888" s="16" t="str">
        <f aca="false">IF($D2888="","",W2888-N2888)</f>
        <v/>
      </c>
      <c r="AB2888" s="17" t="str">
        <f aca="false">IF($D2888="","",IF(OR($R2888=TRUE(),$R2888="TRUE"),Settings!$C$6,Settings!$C$7)*100)</f>
        <v/>
      </c>
      <c r="AH2888" s="18" t="str">
        <f aca="false">IF($D2888="","",IF(COUNTIF($D$2:$D2888,$D2888)=1,1,0))</f>
        <v/>
      </c>
      <c r="AI2888" s="18" t="str">
        <f aca="false">IF($AH2888=1,SUMPRODUCT(--($AK$2:$AK$4001&lt;$AK2888))+1,"")</f>
        <v/>
      </c>
      <c r="AJ2888" s="18" t="str">
        <f aca="false">IF($D2888="","",IF(OR($R2888=TRUE(),$R2888="TRUE"),1,0))</f>
        <v/>
      </c>
      <c r="AK2888" s="18" t="str">
        <f aca="false">IF($AH2888=1,IFERROR(VALUE(MID($D2888,2,20)),1000000000)+ROW()/10000000,"")</f>
        <v/>
      </c>
    </row>
    <row r="2889" customFormat="false" ht="15" hidden="false" customHeight="false" outlineLevel="0" collapsed="false">
      <c r="F2889" s="15"/>
      <c r="N2889" s="16" t="str">
        <f aca="false">IF($D2889="","",M2889*Y2889/100)</f>
        <v/>
      </c>
      <c r="V2889" s="16" t="str">
        <f aca="false">IF($D2889="","",Y2889*AB2889/100)</f>
        <v/>
      </c>
      <c r="W2889" s="16" t="str">
        <f aca="false">IF($D2889="","",Y2889-V2889)</f>
        <v/>
      </c>
      <c r="X2889" s="16" t="str">
        <f aca="false">IF($D2889="","",W2889-N2889)</f>
        <v/>
      </c>
      <c r="AB2889" s="17" t="str">
        <f aca="false">IF($D2889="","",IF(OR($R2889=TRUE(),$R2889="TRUE"),Settings!$C$6,Settings!$C$7)*100)</f>
        <v/>
      </c>
      <c r="AH2889" s="18" t="str">
        <f aca="false">IF($D2889="","",IF(COUNTIF($D$2:$D2889,$D2889)=1,1,0))</f>
        <v/>
      </c>
      <c r="AI2889" s="18" t="str">
        <f aca="false">IF($AH2889=1,SUMPRODUCT(--($AK$2:$AK$4001&lt;$AK2889))+1,"")</f>
        <v/>
      </c>
      <c r="AJ2889" s="18" t="str">
        <f aca="false">IF($D2889="","",IF(OR($R2889=TRUE(),$R2889="TRUE"),1,0))</f>
        <v/>
      </c>
      <c r="AK2889" s="18" t="str">
        <f aca="false">IF($AH2889=1,IFERROR(VALUE(MID($D2889,2,20)),1000000000)+ROW()/10000000,"")</f>
        <v/>
      </c>
    </row>
    <row r="2890" customFormat="false" ht="15" hidden="false" customHeight="false" outlineLevel="0" collapsed="false">
      <c r="F2890" s="15"/>
      <c r="N2890" s="16" t="str">
        <f aca="false">IF($D2890="","",M2890*Y2890/100)</f>
        <v/>
      </c>
      <c r="V2890" s="16" t="str">
        <f aca="false">IF($D2890="","",Y2890*AB2890/100)</f>
        <v/>
      </c>
      <c r="W2890" s="16" t="str">
        <f aca="false">IF($D2890="","",Y2890-V2890)</f>
        <v/>
      </c>
      <c r="X2890" s="16" t="str">
        <f aca="false">IF($D2890="","",W2890-N2890)</f>
        <v/>
      </c>
      <c r="AB2890" s="17" t="str">
        <f aca="false">IF($D2890="","",IF(OR($R2890=TRUE(),$R2890="TRUE"),Settings!$C$6,Settings!$C$7)*100)</f>
        <v/>
      </c>
      <c r="AH2890" s="18" t="str">
        <f aca="false">IF($D2890="","",IF(COUNTIF($D$2:$D2890,$D2890)=1,1,0))</f>
        <v/>
      </c>
      <c r="AI2890" s="18" t="str">
        <f aca="false">IF($AH2890=1,SUMPRODUCT(--($AK$2:$AK$4001&lt;$AK2890))+1,"")</f>
        <v/>
      </c>
      <c r="AJ2890" s="18" t="str">
        <f aca="false">IF($D2890="","",IF(OR($R2890=TRUE(),$R2890="TRUE"),1,0))</f>
        <v/>
      </c>
      <c r="AK2890" s="18" t="str">
        <f aca="false">IF($AH2890=1,IFERROR(VALUE(MID($D2890,2,20)),1000000000)+ROW()/10000000,"")</f>
        <v/>
      </c>
    </row>
    <row r="2891" customFormat="false" ht="15" hidden="false" customHeight="false" outlineLevel="0" collapsed="false">
      <c r="F2891" s="15"/>
      <c r="N2891" s="16" t="str">
        <f aca="false">IF($D2891="","",M2891*Y2891/100)</f>
        <v/>
      </c>
      <c r="V2891" s="16" t="str">
        <f aca="false">IF($D2891="","",Y2891*AB2891/100)</f>
        <v/>
      </c>
      <c r="W2891" s="16" t="str">
        <f aca="false">IF($D2891="","",Y2891-V2891)</f>
        <v/>
      </c>
      <c r="X2891" s="16" t="str">
        <f aca="false">IF($D2891="","",W2891-N2891)</f>
        <v/>
      </c>
      <c r="AB2891" s="17" t="str">
        <f aca="false">IF($D2891="","",IF(OR($R2891=TRUE(),$R2891="TRUE"),Settings!$C$6,Settings!$C$7)*100)</f>
        <v/>
      </c>
      <c r="AH2891" s="18" t="str">
        <f aca="false">IF($D2891="","",IF(COUNTIF($D$2:$D2891,$D2891)=1,1,0))</f>
        <v/>
      </c>
      <c r="AI2891" s="18" t="str">
        <f aca="false">IF($AH2891=1,SUMPRODUCT(--($AK$2:$AK$4001&lt;$AK2891))+1,"")</f>
        <v/>
      </c>
      <c r="AJ2891" s="18" t="str">
        <f aca="false">IF($D2891="","",IF(OR($R2891=TRUE(),$R2891="TRUE"),1,0))</f>
        <v/>
      </c>
      <c r="AK2891" s="18" t="str">
        <f aca="false">IF($AH2891=1,IFERROR(VALUE(MID($D2891,2,20)),1000000000)+ROW()/10000000,"")</f>
        <v/>
      </c>
    </row>
    <row r="2892" customFormat="false" ht="15" hidden="false" customHeight="false" outlineLevel="0" collapsed="false">
      <c r="F2892" s="15"/>
      <c r="N2892" s="16" t="str">
        <f aca="false">IF($D2892="","",M2892*Y2892/100)</f>
        <v/>
      </c>
      <c r="V2892" s="16" t="str">
        <f aca="false">IF($D2892="","",Y2892*AB2892/100)</f>
        <v/>
      </c>
      <c r="W2892" s="16" t="str">
        <f aca="false">IF($D2892="","",Y2892-V2892)</f>
        <v/>
      </c>
      <c r="X2892" s="16" t="str">
        <f aca="false">IF($D2892="","",W2892-N2892)</f>
        <v/>
      </c>
      <c r="AB2892" s="17" t="str">
        <f aca="false">IF($D2892="","",IF(OR($R2892=TRUE(),$R2892="TRUE"),Settings!$C$6,Settings!$C$7)*100)</f>
        <v/>
      </c>
      <c r="AH2892" s="18" t="str">
        <f aca="false">IF($D2892="","",IF(COUNTIF($D$2:$D2892,$D2892)=1,1,0))</f>
        <v/>
      </c>
      <c r="AI2892" s="18" t="str">
        <f aca="false">IF($AH2892=1,SUMPRODUCT(--($AK$2:$AK$4001&lt;$AK2892))+1,"")</f>
        <v/>
      </c>
      <c r="AJ2892" s="18" t="str">
        <f aca="false">IF($D2892="","",IF(OR($R2892=TRUE(),$R2892="TRUE"),1,0))</f>
        <v/>
      </c>
      <c r="AK2892" s="18" t="str">
        <f aca="false">IF($AH2892=1,IFERROR(VALUE(MID($D2892,2,20)),1000000000)+ROW()/10000000,"")</f>
        <v/>
      </c>
    </row>
    <row r="2893" customFormat="false" ht="15" hidden="false" customHeight="false" outlineLevel="0" collapsed="false">
      <c r="F2893" s="15"/>
      <c r="N2893" s="16" t="str">
        <f aca="false">IF($D2893="","",M2893*Y2893/100)</f>
        <v/>
      </c>
      <c r="V2893" s="16" t="str">
        <f aca="false">IF($D2893="","",Y2893*AB2893/100)</f>
        <v/>
      </c>
      <c r="W2893" s="16" t="str">
        <f aca="false">IF($D2893="","",Y2893-V2893)</f>
        <v/>
      </c>
      <c r="X2893" s="16" t="str">
        <f aca="false">IF($D2893="","",W2893-N2893)</f>
        <v/>
      </c>
      <c r="AB2893" s="17" t="str">
        <f aca="false">IF($D2893="","",IF(OR($R2893=TRUE(),$R2893="TRUE"),Settings!$C$6,Settings!$C$7)*100)</f>
        <v/>
      </c>
      <c r="AH2893" s="18" t="str">
        <f aca="false">IF($D2893="","",IF(COUNTIF($D$2:$D2893,$D2893)=1,1,0))</f>
        <v/>
      </c>
      <c r="AI2893" s="18" t="str">
        <f aca="false">IF($AH2893=1,SUMPRODUCT(--($AK$2:$AK$4001&lt;$AK2893))+1,"")</f>
        <v/>
      </c>
      <c r="AJ2893" s="18" t="str">
        <f aca="false">IF($D2893="","",IF(OR($R2893=TRUE(),$R2893="TRUE"),1,0))</f>
        <v/>
      </c>
      <c r="AK2893" s="18" t="str">
        <f aca="false">IF($AH2893=1,IFERROR(VALUE(MID($D2893,2,20)),1000000000)+ROW()/10000000,"")</f>
        <v/>
      </c>
    </row>
    <row r="2894" customFormat="false" ht="15" hidden="false" customHeight="false" outlineLevel="0" collapsed="false">
      <c r="F2894" s="15"/>
      <c r="N2894" s="16" t="str">
        <f aca="false">IF($D2894="","",M2894*Y2894/100)</f>
        <v/>
      </c>
      <c r="V2894" s="16" t="str">
        <f aca="false">IF($D2894="","",Y2894*AB2894/100)</f>
        <v/>
      </c>
      <c r="W2894" s="16" t="str">
        <f aca="false">IF($D2894="","",Y2894-V2894)</f>
        <v/>
      </c>
      <c r="X2894" s="16" t="str">
        <f aca="false">IF($D2894="","",W2894-N2894)</f>
        <v/>
      </c>
      <c r="AB2894" s="17" t="str">
        <f aca="false">IF($D2894="","",IF(OR($R2894=TRUE(),$R2894="TRUE"),Settings!$C$6,Settings!$C$7)*100)</f>
        <v/>
      </c>
      <c r="AH2894" s="18" t="str">
        <f aca="false">IF($D2894="","",IF(COUNTIF($D$2:$D2894,$D2894)=1,1,0))</f>
        <v/>
      </c>
      <c r="AI2894" s="18" t="str">
        <f aca="false">IF($AH2894=1,SUMPRODUCT(--($AK$2:$AK$4001&lt;$AK2894))+1,"")</f>
        <v/>
      </c>
      <c r="AJ2894" s="18" t="str">
        <f aca="false">IF($D2894="","",IF(OR($R2894=TRUE(),$R2894="TRUE"),1,0))</f>
        <v/>
      </c>
      <c r="AK2894" s="18" t="str">
        <f aca="false">IF($AH2894=1,IFERROR(VALUE(MID($D2894,2,20)),1000000000)+ROW()/10000000,"")</f>
        <v/>
      </c>
    </row>
    <row r="2895" customFormat="false" ht="15" hidden="false" customHeight="false" outlineLevel="0" collapsed="false">
      <c r="F2895" s="15"/>
      <c r="N2895" s="16" t="str">
        <f aca="false">IF($D2895="","",M2895*Y2895/100)</f>
        <v/>
      </c>
      <c r="V2895" s="16" t="str">
        <f aca="false">IF($D2895="","",Y2895*AB2895/100)</f>
        <v/>
      </c>
      <c r="W2895" s="16" t="str">
        <f aca="false">IF($D2895="","",Y2895-V2895)</f>
        <v/>
      </c>
      <c r="X2895" s="16" t="str">
        <f aca="false">IF($D2895="","",W2895-N2895)</f>
        <v/>
      </c>
      <c r="AB2895" s="17" t="str">
        <f aca="false">IF($D2895="","",IF(OR($R2895=TRUE(),$R2895="TRUE"),Settings!$C$6,Settings!$C$7)*100)</f>
        <v/>
      </c>
      <c r="AH2895" s="18" t="str">
        <f aca="false">IF($D2895="","",IF(COUNTIF($D$2:$D2895,$D2895)=1,1,0))</f>
        <v/>
      </c>
      <c r="AI2895" s="18" t="str">
        <f aca="false">IF($AH2895=1,SUMPRODUCT(--($AK$2:$AK$4001&lt;$AK2895))+1,"")</f>
        <v/>
      </c>
      <c r="AJ2895" s="18" t="str">
        <f aca="false">IF($D2895="","",IF(OR($R2895=TRUE(),$R2895="TRUE"),1,0))</f>
        <v/>
      </c>
      <c r="AK2895" s="18" t="str">
        <f aca="false">IF($AH2895=1,IFERROR(VALUE(MID($D2895,2,20)),1000000000)+ROW()/10000000,"")</f>
        <v/>
      </c>
    </row>
    <row r="2896" customFormat="false" ht="15" hidden="false" customHeight="false" outlineLevel="0" collapsed="false">
      <c r="F2896" s="15"/>
      <c r="N2896" s="16" t="str">
        <f aca="false">IF($D2896="","",M2896*Y2896/100)</f>
        <v/>
      </c>
      <c r="V2896" s="16" t="str">
        <f aca="false">IF($D2896="","",Y2896*AB2896/100)</f>
        <v/>
      </c>
      <c r="W2896" s="16" t="str">
        <f aca="false">IF($D2896="","",Y2896-V2896)</f>
        <v/>
      </c>
      <c r="X2896" s="16" t="str">
        <f aca="false">IF($D2896="","",W2896-N2896)</f>
        <v/>
      </c>
      <c r="AB2896" s="17" t="str">
        <f aca="false">IF($D2896="","",IF(OR($R2896=TRUE(),$R2896="TRUE"),Settings!$C$6,Settings!$C$7)*100)</f>
        <v/>
      </c>
      <c r="AH2896" s="18" t="str">
        <f aca="false">IF($D2896="","",IF(COUNTIF($D$2:$D2896,$D2896)=1,1,0))</f>
        <v/>
      </c>
      <c r="AI2896" s="18" t="str">
        <f aca="false">IF($AH2896=1,SUMPRODUCT(--($AK$2:$AK$4001&lt;$AK2896))+1,"")</f>
        <v/>
      </c>
      <c r="AJ2896" s="18" t="str">
        <f aca="false">IF($D2896="","",IF(OR($R2896=TRUE(),$R2896="TRUE"),1,0))</f>
        <v/>
      </c>
      <c r="AK2896" s="18" t="str">
        <f aca="false">IF($AH2896=1,IFERROR(VALUE(MID($D2896,2,20)),1000000000)+ROW()/10000000,"")</f>
        <v/>
      </c>
    </row>
    <row r="2897" customFormat="false" ht="15" hidden="false" customHeight="false" outlineLevel="0" collapsed="false">
      <c r="F2897" s="15"/>
      <c r="N2897" s="16" t="str">
        <f aca="false">IF($D2897="","",M2897*Y2897/100)</f>
        <v/>
      </c>
      <c r="V2897" s="16" t="str">
        <f aca="false">IF($D2897="","",Y2897*AB2897/100)</f>
        <v/>
      </c>
      <c r="W2897" s="16" t="str">
        <f aca="false">IF($D2897="","",Y2897-V2897)</f>
        <v/>
      </c>
      <c r="X2897" s="16" t="str">
        <f aca="false">IF($D2897="","",W2897-N2897)</f>
        <v/>
      </c>
      <c r="AB2897" s="17" t="str">
        <f aca="false">IF($D2897="","",IF(OR($R2897=TRUE(),$R2897="TRUE"),Settings!$C$6,Settings!$C$7)*100)</f>
        <v/>
      </c>
      <c r="AH2897" s="18" t="str">
        <f aca="false">IF($D2897="","",IF(COUNTIF($D$2:$D2897,$D2897)=1,1,0))</f>
        <v/>
      </c>
      <c r="AI2897" s="18" t="str">
        <f aca="false">IF($AH2897=1,SUMPRODUCT(--($AK$2:$AK$4001&lt;$AK2897))+1,"")</f>
        <v/>
      </c>
      <c r="AJ2897" s="18" t="str">
        <f aca="false">IF($D2897="","",IF(OR($R2897=TRUE(),$R2897="TRUE"),1,0))</f>
        <v/>
      </c>
      <c r="AK2897" s="18" t="str">
        <f aca="false">IF($AH2897=1,IFERROR(VALUE(MID($D2897,2,20)),1000000000)+ROW()/10000000,"")</f>
        <v/>
      </c>
    </row>
    <row r="2898" customFormat="false" ht="15" hidden="false" customHeight="false" outlineLevel="0" collapsed="false">
      <c r="F2898" s="15"/>
      <c r="N2898" s="16" t="str">
        <f aca="false">IF($D2898="","",M2898*Y2898/100)</f>
        <v/>
      </c>
      <c r="V2898" s="16" t="str">
        <f aca="false">IF($D2898="","",Y2898*AB2898/100)</f>
        <v/>
      </c>
      <c r="W2898" s="16" t="str">
        <f aca="false">IF($D2898="","",Y2898-V2898)</f>
        <v/>
      </c>
      <c r="X2898" s="16" t="str">
        <f aca="false">IF($D2898="","",W2898-N2898)</f>
        <v/>
      </c>
      <c r="AB2898" s="17" t="str">
        <f aca="false">IF($D2898="","",IF(OR($R2898=TRUE(),$R2898="TRUE"),Settings!$C$6,Settings!$C$7)*100)</f>
        <v/>
      </c>
      <c r="AH2898" s="18" t="str">
        <f aca="false">IF($D2898="","",IF(COUNTIF($D$2:$D2898,$D2898)=1,1,0))</f>
        <v/>
      </c>
      <c r="AI2898" s="18" t="str">
        <f aca="false">IF($AH2898=1,SUMPRODUCT(--($AK$2:$AK$4001&lt;$AK2898))+1,"")</f>
        <v/>
      </c>
      <c r="AJ2898" s="18" t="str">
        <f aca="false">IF($D2898="","",IF(OR($R2898=TRUE(),$R2898="TRUE"),1,0))</f>
        <v/>
      </c>
      <c r="AK2898" s="18" t="str">
        <f aca="false">IF($AH2898=1,IFERROR(VALUE(MID($D2898,2,20)),1000000000)+ROW()/10000000,"")</f>
        <v/>
      </c>
    </row>
    <row r="2899" customFormat="false" ht="15" hidden="false" customHeight="false" outlineLevel="0" collapsed="false">
      <c r="F2899" s="15"/>
      <c r="N2899" s="16" t="str">
        <f aca="false">IF($D2899="","",M2899*Y2899/100)</f>
        <v/>
      </c>
      <c r="V2899" s="16" t="str">
        <f aca="false">IF($D2899="","",Y2899*AB2899/100)</f>
        <v/>
      </c>
      <c r="W2899" s="16" t="str">
        <f aca="false">IF($D2899="","",Y2899-V2899)</f>
        <v/>
      </c>
      <c r="X2899" s="16" t="str">
        <f aca="false">IF($D2899="","",W2899-N2899)</f>
        <v/>
      </c>
      <c r="AB2899" s="17" t="str">
        <f aca="false">IF($D2899="","",IF(OR($R2899=TRUE(),$R2899="TRUE"),Settings!$C$6,Settings!$C$7)*100)</f>
        <v/>
      </c>
      <c r="AH2899" s="18" t="str">
        <f aca="false">IF($D2899="","",IF(COUNTIF($D$2:$D2899,$D2899)=1,1,0))</f>
        <v/>
      </c>
      <c r="AI2899" s="18" t="str">
        <f aca="false">IF($AH2899=1,SUMPRODUCT(--($AK$2:$AK$4001&lt;$AK2899))+1,"")</f>
        <v/>
      </c>
      <c r="AJ2899" s="18" t="str">
        <f aca="false">IF($D2899="","",IF(OR($R2899=TRUE(),$R2899="TRUE"),1,0))</f>
        <v/>
      </c>
      <c r="AK2899" s="18" t="str">
        <f aca="false">IF($AH2899=1,IFERROR(VALUE(MID($D2899,2,20)),1000000000)+ROW()/10000000,"")</f>
        <v/>
      </c>
    </row>
    <row r="2900" customFormat="false" ht="15" hidden="false" customHeight="false" outlineLevel="0" collapsed="false">
      <c r="F2900" s="15"/>
      <c r="N2900" s="16" t="str">
        <f aca="false">IF($D2900="","",M2900*Y2900/100)</f>
        <v/>
      </c>
      <c r="V2900" s="16" t="str">
        <f aca="false">IF($D2900="","",Y2900*AB2900/100)</f>
        <v/>
      </c>
      <c r="W2900" s="16" t="str">
        <f aca="false">IF($D2900="","",Y2900-V2900)</f>
        <v/>
      </c>
      <c r="X2900" s="16" t="str">
        <f aca="false">IF($D2900="","",W2900-N2900)</f>
        <v/>
      </c>
      <c r="AB2900" s="17" t="str">
        <f aca="false">IF($D2900="","",IF(OR($R2900=TRUE(),$R2900="TRUE"),Settings!$C$6,Settings!$C$7)*100)</f>
        <v/>
      </c>
      <c r="AH2900" s="18" t="str">
        <f aca="false">IF($D2900="","",IF(COUNTIF($D$2:$D2900,$D2900)=1,1,0))</f>
        <v/>
      </c>
      <c r="AI2900" s="18" t="str">
        <f aca="false">IF($AH2900=1,SUMPRODUCT(--($AK$2:$AK$4001&lt;$AK2900))+1,"")</f>
        <v/>
      </c>
      <c r="AJ2900" s="18" t="str">
        <f aca="false">IF($D2900="","",IF(OR($R2900=TRUE(),$R2900="TRUE"),1,0))</f>
        <v/>
      </c>
      <c r="AK2900" s="18" t="str">
        <f aca="false">IF($AH2900=1,IFERROR(VALUE(MID($D2900,2,20)),1000000000)+ROW()/10000000,"")</f>
        <v/>
      </c>
    </row>
    <row r="2901" customFormat="false" ht="15" hidden="false" customHeight="false" outlineLevel="0" collapsed="false">
      <c r="F2901" s="15"/>
      <c r="N2901" s="16" t="str">
        <f aca="false">IF($D2901="","",M2901*Y2901/100)</f>
        <v/>
      </c>
      <c r="V2901" s="16" t="str">
        <f aca="false">IF($D2901="","",Y2901*AB2901/100)</f>
        <v/>
      </c>
      <c r="W2901" s="16" t="str">
        <f aca="false">IF($D2901="","",Y2901-V2901)</f>
        <v/>
      </c>
      <c r="X2901" s="16" t="str">
        <f aca="false">IF($D2901="","",W2901-N2901)</f>
        <v/>
      </c>
      <c r="AB2901" s="17" t="str">
        <f aca="false">IF($D2901="","",IF(OR($R2901=TRUE(),$R2901="TRUE"),Settings!$C$6,Settings!$C$7)*100)</f>
        <v/>
      </c>
      <c r="AH2901" s="18" t="str">
        <f aca="false">IF($D2901="","",IF(COUNTIF($D$2:$D2901,$D2901)=1,1,0))</f>
        <v/>
      </c>
      <c r="AI2901" s="18" t="str">
        <f aca="false">IF($AH2901=1,SUMPRODUCT(--($AK$2:$AK$4001&lt;$AK2901))+1,"")</f>
        <v/>
      </c>
      <c r="AJ2901" s="18" t="str">
        <f aca="false">IF($D2901="","",IF(OR($R2901=TRUE(),$R2901="TRUE"),1,0))</f>
        <v/>
      </c>
      <c r="AK2901" s="18" t="str">
        <f aca="false">IF($AH2901=1,IFERROR(VALUE(MID($D2901,2,20)),1000000000)+ROW()/10000000,"")</f>
        <v/>
      </c>
    </row>
    <row r="2902" customFormat="false" ht="15" hidden="false" customHeight="false" outlineLevel="0" collapsed="false">
      <c r="F2902" s="15"/>
      <c r="N2902" s="16" t="str">
        <f aca="false">IF($D2902="","",M2902*Y2902/100)</f>
        <v/>
      </c>
      <c r="V2902" s="16" t="str">
        <f aca="false">IF($D2902="","",Y2902*AB2902/100)</f>
        <v/>
      </c>
      <c r="W2902" s="16" t="str">
        <f aca="false">IF($D2902="","",Y2902-V2902)</f>
        <v/>
      </c>
      <c r="X2902" s="16" t="str">
        <f aca="false">IF($D2902="","",W2902-N2902)</f>
        <v/>
      </c>
      <c r="AB2902" s="17" t="str">
        <f aca="false">IF($D2902="","",IF(OR($R2902=TRUE(),$R2902="TRUE"),Settings!$C$6,Settings!$C$7)*100)</f>
        <v/>
      </c>
      <c r="AH2902" s="18" t="str">
        <f aca="false">IF($D2902="","",IF(COUNTIF($D$2:$D2902,$D2902)=1,1,0))</f>
        <v/>
      </c>
      <c r="AI2902" s="18" t="str">
        <f aca="false">IF($AH2902=1,SUMPRODUCT(--($AK$2:$AK$4001&lt;$AK2902))+1,"")</f>
        <v/>
      </c>
      <c r="AJ2902" s="18" t="str">
        <f aca="false">IF($D2902="","",IF(OR($R2902=TRUE(),$R2902="TRUE"),1,0))</f>
        <v/>
      </c>
      <c r="AK2902" s="18" t="str">
        <f aca="false">IF($AH2902=1,IFERROR(VALUE(MID($D2902,2,20)),1000000000)+ROW()/10000000,"")</f>
        <v/>
      </c>
    </row>
    <row r="2903" customFormat="false" ht="15" hidden="false" customHeight="false" outlineLevel="0" collapsed="false">
      <c r="F2903" s="15"/>
      <c r="N2903" s="16" t="str">
        <f aca="false">IF($D2903="","",M2903*Y2903/100)</f>
        <v/>
      </c>
      <c r="V2903" s="16" t="str">
        <f aca="false">IF($D2903="","",Y2903*AB2903/100)</f>
        <v/>
      </c>
      <c r="W2903" s="16" t="str">
        <f aca="false">IF($D2903="","",Y2903-V2903)</f>
        <v/>
      </c>
      <c r="X2903" s="16" t="str">
        <f aca="false">IF($D2903="","",W2903-N2903)</f>
        <v/>
      </c>
      <c r="AB2903" s="17" t="str">
        <f aca="false">IF($D2903="","",IF(OR($R2903=TRUE(),$R2903="TRUE"),Settings!$C$6,Settings!$C$7)*100)</f>
        <v/>
      </c>
      <c r="AH2903" s="18" t="str">
        <f aca="false">IF($D2903="","",IF(COUNTIF($D$2:$D2903,$D2903)=1,1,0))</f>
        <v/>
      </c>
      <c r="AI2903" s="18" t="str">
        <f aca="false">IF($AH2903=1,SUMPRODUCT(--($AK$2:$AK$4001&lt;$AK2903))+1,"")</f>
        <v/>
      </c>
      <c r="AJ2903" s="18" t="str">
        <f aca="false">IF($D2903="","",IF(OR($R2903=TRUE(),$R2903="TRUE"),1,0))</f>
        <v/>
      </c>
      <c r="AK2903" s="18" t="str">
        <f aca="false">IF($AH2903=1,IFERROR(VALUE(MID($D2903,2,20)),1000000000)+ROW()/10000000,"")</f>
        <v/>
      </c>
    </row>
    <row r="2904" customFormat="false" ht="15" hidden="false" customHeight="false" outlineLevel="0" collapsed="false">
      <c r="F2904" s="15"/>
      <c r="N2904" s="16" t="str">
        <f aca="false">IF($D2904="","",M2904*Y2904/100)</f>
        <v/>
      </c>
      <c r="V2904" s="16" t="str">
        <f aca="false">IF($D2904="","",Y2904*AB2904/100)</f>
        <v/>
      </c>
      <c r="W2904" s="16" t="str">
        <f aca="false">IF($D2904="","",Y2904-V2904)</f>
        <v/>
      </c>
      <c r="X2904" s="16" t="str">
        <f aca="false">IF($D2904="","",W2904-N2904)</f>
        <v/>
      </c>
      <c r="AB2904" s="17" t="str">
        <f aca="false">IF($D2904="","",IF(OR($R2904=TRUE(),$R2904="TRUE"),Settings!$C$6,Settings!$C$7)*100)</f>
        <v/>
      </c>
      <c r="AH2904" s="18" t="str">
        <f aca="false">IF($D2904="","",IF(COUNTIF($D$2:$D2904,$D2904)=1,1,0))</f>
        <v/>
      </c>
      <c r="AI2904" s="18" t="str">
        <f aca="false">IF($AH2904=1,SUMPRODUCT(--($AK$2:$AK$4001&lt;$AK2904))+1,"")</f>
        <v/>
      </c>
      <c r="AJ2904" s="18" t="str">
        <f aca="false">IF($D2904="","",IF(OR($R2904=TRUE(),$R2904="TRUE"),1,0))</f>
        <v/>
      </c>
      <c r="AK2904" s="18" t="str">
        <f aca="false">IF($AH2904=1,IFERROR(VALUE(MID($D2904,2,20)),1000000000)+ROW()/10000000,"")</f>
        <v/>
      </c>
    </row>
    <row r="2905" customFormat="false" ht="15" hidden="false" customHeight="false" outlineLevel="0" collapsed="false">
      <c r="F2905" s="15"/>
      <c r="N2905" s="16" t="str">
        <f aca="false">IF($D2905="","",M2905*Y2905/100)</f>
        <v/>
      </c>
      <c r="V2905" s="16" t="str">
        <f aca="false">IF($D2905="","",Y2905*AB2905/100)</f>
        <v/>
      </c>
      <c r="W2905" s="16" t="str">
        <f aca="false">IF($D2905="","",Y2905-V2905)</f>
        <v/>
      </c>
      <c r="X2905" s="16" t="str">
        <f aca="false">IF($D2905="","",W2905-N2905)</f>
        <v/>
      </c>
      <c r="AB2905" s="17" t="str">
        <f aca="false">IF($D2905="","",IF(OR($R2905=TRUE(),$R2905="TRUE"),Settings!$C$6,Settings!$C$7)*100)</f>
        <v/>
      </c>
      <c r="AH2905" s="18" t="str">
        <f aca="false">IF($D2905="","",IF(COUNTIF($D$2:$D2905,$D2905)=1,1,0))</f>
        <v/>
      </c>
      <c r="AI2905" s="18" t="str">
        <f aca="false">IF($AH2905=1,SUMPRODUCT(--($AK$2:$AK$4001&lt;$AK2905))+1,"")</f>
        <v/>
      </c>
      <c r="AJ2905" s="18" t="str">
        <f aca="false">IF($D2905="","",IF(OR($R2905=TRUE(),$R2905="TRUE"),1,0))</f>
        <v/>
      </c>
      <c r="AK2905" s="18" t="str">
        <f aca="false">IF($AH2905=1,IFERROR(VALUE(MID($D2905,2,20)),1000000000)+ROW()/10000000,"")</f>
        <v/>
      </c>
    </row>
    <row r="2906" customFormat="false" ht="15" hidden="false" customHeight="false" outlineLevel="0" collapsed="false">
      <c r="F2906" s="15"/>
      <c r="N2906" s="16" t="str">
        <f aca="false">IF($D2906="","",M2906*Y2906/100)</f>
        <v/>
      </c>
      <c r="V2906" s="16" t="str">
        <f aca="false">IF($D2906="","",Y2906*AB2906/100)</f>
        <v/>
      </c>
      <c r="W2906" s="16" t="str">
        <f aca="false">IF($D2906="","",Y2906-V2906)</f>
        <v/>
      </c>
      <c r="X2906" s="16" t="str">
        <f aca="false">IF($D2906="","",W2906-N2906)</f>
        <v/>
      </c>
      <c r="AB2906" s="17" t="str">
        <f aca="false">IF($D2906="","",IF(OR($R2906=TRUE(),$R2906="TRUE"),Settings!$C$6,Settings!$C$7)*100)</f>
        <v/>
      </c>
      <c r="AH2906" s="18" t="str">
        <f aca="false">IF($D2906="","",IF(COUNTIF($D$2:$D2906,$D2906)=1,1,0))</f>
        <v/>
      </c>
      <c r="AI2906" s="18" t="str">
        <f aca="false">IF($AH2906=1,SUMPRODUCT(--($AK$2:$AK$4001&lt;$AK2906))+1,"")</f>
        <v/>
      </c>
      <c r="AJ2906" s="18" t="str">
        <f aca="false">IF($D2906="","",IF(OR($R2906=TRUE(),$R2906="TRUE"),1,0))</f>
        <v/>
      </c>
      <c r="AK2906" s="18" t="str">
        <f aca="false">IF($AH2906=1,IFERROR(VALUE(MID($D2906,2,20)),1000000000)+ROW()/10000000,"")</f>
        <v/>
      </c>
    </row>
    <row r="2907" customFormat="false" ht="15" hidden="false" customHeight="false" outlineLevel="0" collapsed="false">
      <c r="F2907" s="15"/>
      <c r="N2907" s="16" t="str">
        <f aca="false">IF($D2907="","",M2907*Y2907/100)</f>
        <v/>
      </c>
      <c r="V2907" s="16" t="str">
        <f aca="false">IF($D2907="","",Y2907*AB2907/100)</f>
        <v/>
      </c>
      <c r="W2907" s="16" t="str">
        <f aca="false">IF($D2907="","",Y2907-V2907)</f>
        <v/>
      </c>
      <c r="X2907" s="16" t="str">
        <f aca="false">IF($D2907="","",W2907-N2907)</f>
        <v/>
      </c>
      <c r="AB2907" s="17" t="str">
        <f aca="false">IF($D2907="","",IF(OR($R2907=TRUE(),$R2907="TRUE"),Settings!$C$6,Settings!$C$7)*100)</f>
        <v/>
      </c>
      <c r="AH2907" s="18" t="str">
        <f aca="false">IF($D2907="","",IF(COUNTIF($D$2:$D2907,$D2907)=1,1,0))</f>
        <v/>
      </c>
      <c r="AI2907" s="18" t="str">
        <f aca="false">IF($AH2907=1,SUMPRODUCT(--($AK$2:$AK$4001&lt;$AK2907))+1,"")</f>
        <v/>
      </c>
      <c r="AJ2907" s="18" t="str">
        <f aca="false">IF($D2907="","",IF(OR($R2907=TRUE(),$R2907="TRUE"),1,0))</f>
        <v/>
      </c>
      <c r="AK2907" s="18" t="str">
        <f aca="false">IF($AH2907=1,IFERROR(VALUE(MID($D2907,2,20)),1000000000)+ROW()/10000000,"")</f>
        <v/>
      </c>
    </row>
    <row r="2908" customFormat="false" ht="15" hidden="false" customHeight="false" outlineLevel="0" collapsed="false">
      <c r="F2908" s="15"/>
      <c r="N2908" s="16" t="str">
        <f aca="false">IF($D2908="","",M2908*Y2908/100)</f>
        <v/>
      </c>
      <c r="V2908" s="16" t="str">
        <f aca="false">IF($D2908="","",Y2908*AB2908/100)</f>
        <v/>
      </c>
      <c r="W2908" s="16" t="str">
        <f aca="false">IF($D2908="","",Y2908-V2908)</f>
        <v/>
      </c>
      <c r="X2908" s="16" t="str">
        <f aca="false">IF($D2908="","",W2908-N2908)</f>
        <v/>
      </c>
      <c r="AB2908" s="17" t="str">
        <f aca="false">IF($D2908="","",IF(OR($R2908=TRUE(),$R2908="TRUE"),Settings!$C$6,Settings!$C$7)*100)</f>
        <v/>
      </c>
      <c r="AH2908" s="18" t="str">
        <f aca="false">IF($D2908="","",IF(COUNTIF($D$2:$D2908,$D2908)=1,1,0))</f>
        <v/>
      </c>
      <c r="AI2908" s="18" t="str">
        <f aca="false">IF($AH2908=1,SUMPRODUCT(--($AK$2:$AK$4001&lt;$AK2908))+1,"")</f>
        <v/>
      </c>
      <c r="AJ2908" s="18" t="str">
        <f aca="false">IF($D2908="","",IF(OR($R2908=TRUE(),$R2908="TRUE"),1,0))</f>
        <v/>
      </c>
      <c r="AK2908" s="18" t="str">
        <f aca="false">IF($AH2908=1,IFERROR(VALUE(MID($D2908,2,20)),1000000000)+ROW()/10000000,"")</f>
        <v/>
      </c>
    </row>
    <row r="2909" customFormat="false" ht="15" hidden="false" customHeight="false" outlineLevel="0" collapsed="false">
      <c r="F2909" s="15"/>
      <c r="N2909" s="16" t="str">
        <f aca="false">IF($D2909="","",M2909*Y2909/100)</f>
        <v/>
      </c>
      <c r="V2909" s="16" t="str">
        <f aca="false">IF($D2909="","",Y2909*AB2909/100)</f>
        <v/>
      </c>
      <c r="W2909" s="16" t="str">
        <f aca="false">IF($D2909="","",Y2909-V2909)</f>
        <v/>
      </c>
      <c r="X2909" s="16" t="str">
        <f aca="false">IF($D2909="","",W2909-N2909)</f>
        <v/>
      </c>
      <c r="AB2909" s="17" t="str">
        <f aca="false">IF($D2909="","",IF(OR($R2909=TRUE(),$R2909="TRUE"),Settings!$C$6,Settings!$C$7)*100)</f>
        <v/>
      </c>
      <c r="AH2909" s="18" t="str">
        <f aca="false">IF($D2909="","",IF(COUNTIF($D$2:$D2909,$D2909)=1,1,0))</f>
        <v/>
      </c>
      <c r="AI2909" s="18" t="str">
        <f aca="false">IF($AH2909=1,SUMPRODUCT(--($AK$2:$AK$4001&lt;$AK2909))+1,"")</f>
        <v/>
      </c>
      <c r="AJ2909" s="18" t="str">
        <f aca="false">IF($D2909="","",IF(OR($R2909=TRUE(),$R2909="TRUE"),1,0))</f>
        <v/>
      </c>
      <c r="AK2909" s="18" t="str">
        <f aca="false">IF($AH2909=1,IFERROR(VALUE(MID($D2909,2,20)),1000000000)+ROW()/10000000,"")</f>
        <v/>
      </c>
    </row>
    <row r="2910" customFormat="false" ht="15" hidden="false" customHeight="false" outlineLevel="0" collapsed="false">
      <c r="F2910" s="15"/>
      <c r="N2910" s="16" t="str">
        <f aca="false">IF($D2910="","",M2910*Y2910/100)</f>
        <v/>
      </c>
      <c r="V2910" s="16" t="str">
        <f aca="false">IF($D2910="","",Y2910*AB2910/100)</f>
        <v/>
      </c>
      <c r="W2910" s="16" t="str">
        <f aca="false">IF($D2910="","",Y2910-V2910)</f>
        <v/>
      </c>
      <c r="X2910" s="16" t="str">
        <f aca="false">IF($D2910="","",W2910-N2910)</f>
        <v/>
      </c>
      <c r="AB2910" s="17" t="str">
        <f aca="false">IF($D2910="","",IF(OR($R2910=TRUE(),$R2910="TRUE"),Settings!$C$6,Settings!$C$7)*100)</f>
        <v/>
      </c>
      <c r="AH2910" s="18" t="str">
        <f aca="false">IF($D2910="","",IF(COUNTIF($D$2:$D2910,$D2910)=1,1,0))</f>
        <v/>
      </c>
      <c r="AI2910" s="18" t="str">
        <f aca="false">IF($AH2910=1,SUMPRODUCT(--($AK$2:$AK$4001&lt;$AK2910))+1,"")</f>
        <v/>
      </c>
      <c r="AJ2910" s="18" t="str">
        <f aca="false">IF($D2910="","",IF(OR($R2910=TRUE(),$R2910="TRUE"),1,0))</f>
        <v/>
      </c>
      <c r="AK2910" s="18" t="str">
        <f aca="false">IF($AH2910=1,IFERROR(VALUE(MID($D2910,2,20)),1000000000)+ROW()/10000000,"")</f>
        <v/>
      </c>
    </row>
    <row r="2911" customFormat="false" ht="15" hidden="false" customHeight="false" outlineLevel="0" collapsed="false">
      <c r="F2911" s="15"/>
      <c r="N2911" s="16" t="str">
        <f aca="false">IF($D2911="","",M2911*Y2911/100)</f>
        <v/>
      </c>
      <c r="V2911" s="16" t="str">
        <f aca="false">IF($D2911="","",Y2911*AB2911/100)</f>
        <v/>
      </c>
      <c r="W2911" s="16" t="str">
        <f aca="false">IF($D2911="","",Y2911-V2911)</f>
        <v/>
      </c>
      <c r="X2911" s="16" t="str">
        <f aca="false">IF($D2911="","",W2911-N2911)</f>
        <v/>
      </c>
      <c r="AB2911" s="17" t="str">
        <f aca="false">IF($D2911="","",IF(OR($R2911=TRUE(),$R2911="TRUE"),Settings!$C$6,Settings!$C$7)*100)</f>
        <v/>
      </c>
      <c r="AH2911" s="18" t="str">
        <f aca="false">IF($D2911="","",IF(COUNTIF($D$2:$D2911,$D2911)=1,1,0))</f>
        <v/>
      </c>
      <c r="AI2911" s="18" t="str">
        <f aca="false">IF($AH2911=1,SUMPRODUCT(--($AK$2:$AK$4001&lt;$AK2911))+1,"")</f>
        <v/>
      </c>
      <c r="AJ2911" s="18" t="str">
        <f aca="false">IF($D2911="","",IF(OR($R2911=TRUE(),$R2911="TRUE"),1,0))</f>
        <v/>
      </c>
      <c r="AK2911" s="18" t="str">
        <f aca="false">IF($AH2911=1,IFERROR(VALUE(MID($D2911,2,20)),1000000000)+ROW()/10000000,"")</f>
        <v/>
      </c>
    </row>
    <row r="2912" customFormat="false" ht="15" hidden="false" customHeight="false" outlineLevel="0" collapsed="false">
      <c r="F2912" s="15"/>
      <c r="N2912" s="16" t="str">
        <f aca="false">IF($D2912="","",M2912*Y2912/100)</f>
        <v/>
      </c>
      <c r="V2912" s="16" t="str">
        <f aca="false">IF($D2912="","",Y2912*AB2912/100)</f>
        <v/>
      </c>
      <c r="W2912" s="16" t="str">
        <f aca="false">IF($D2912="","",Y2912-V2912)</f>
        <v/>
      </c>
      <c r="X2912" s="16" t="str">
        <f aca="false">IF($D2912="","",W2912-N2912)</f>
        <v/>
      </c>
      <c r="AB2912" s="17" t="str">
        <f aca="false">IF($D2912="","",IF(OR($R2912=TRUE(),$R2912="TRUE"),Settings!$C$6,Settings!$C$7)*100)</f>
        <v/>
      </c>
      <c r="AH2912" s="18" t="str">
        <f aca="false">IF($D2912="","",IF(COUNTIF($D$2:$D2912,$D2912)=1,1,0))</f>
        <v/>
      </c>
      <c r="AI2912" s="18" t="str">
        <f aca="false">IF($AH2912=1,SUMPRODUCT(--($AK$2:$AK$4001&lt;$AK2912))+1,"")</f>
        <v/>
      </c>
      <c r="AJ2912" s="18" t="str">
        <f aca="false">IF($D2912="","",IF(OR($R2912=TRUE(),$R2912="TRUE"),1,0))</f>
        <v/>
      </c>
      <c r="AK2912" s="18" t="str">
        <f aca="false">IF($AH2912=1,IFERROR(VALUE(MID($D2912,2,20)),1000000000)+ROW()/10000000,"")</f>
        <v/>
      </c>
    </row>
    <row r="2913" customFormat="false" ht="15" hidden="false" customHeight="false" outlineLevel="0" collapsed="false">
      <c r="F2913" s="15"/>
      <c r="N2913" s="16" t="str">
        <f aca="false">IF($D2913="","",M2913*Y2913/100)</f>
        <v/>
      </c>
      <c r="V2913" s="16" t="str">
        <f aca="false">IF($D2913="","",Y2913*AB2913/100)</f>
        <v/>
      </c>
      <c r="W2913" s="16" t="str">
        <f aca="false">IF($D2913="","",Y2913-V2913)</f>
        <v/>
      </c>
      <c r="X2913" s="16" t="str">
        <f aca="false">IF($D2913="","",W2913-N2913)</f>
        <v/>
      </c>
      <c r="AB2913" s="17" t="str">
        <f aca="false">IF($D2913="","",IF(OR($R2913=TRUE(),$R2913="TRUE"),Settings!$C$6,Settings!$C$7)*100)</f>
        <v/>
      </c>
      <c r="AH2913" s="18" t="str">
        <f aca="false">IF($D2913="","",IF(COUNTIF($D$2:$D2913,$D2913)=1,1,0))</f>
        <v/>
      </c>
      <c r="AI2913" s="18" t="str">
        <f aca="false">IF($AH2913=1,SUMPRODUCT(--($AK$2:$AK$4001&lt;$AK2913))+1,"")</f>
        <v/>
      </c>
      <c r="AJ2913" s="18" t="str">
        <f aca="false">IF($D2913="","",IF(OR($R2913=TRUE(),$R2913="TRUE"),1,0))</f>
        <v/>
      </c>
      <c r="AK2913" s="18" t="str">
        <f aca="false">IF($AH2913=1,IFERROR(VALUE(MID($D2913,2,20)),1000000000)+ROW()/10000000,"")</f>
        <v/>
      </c>
    </row>
    <row r="2914" customFormat="false" ht="15" hidden="false" customHeight="false" outlineLevel="0" collapsed="false">
      <c r="F2914" s="15"/>
      <c r="N2914" s="16" t="str">
        <f aca="false">IF($D2914="","",M2914*Y2914/100)</f>
        <v/>
      </c>
      <c r="V2914" s="16" t="str">
        <f aca="false">IF($D2914="","",Y2914*AB2914/100)</f>
        <v/>
      </c>
      <c r="W2914" s="16" t="str">
        <f aca="false">IF($D2914="","",Y2914-V2914)</f>
        <v/>
      </c>
      <c r="X2914" s="16" t="str">
        <f aca="false">IF($D2914="","",W2914-N2914)</f>
        <v/>
      </c>
      <c r="AB2914" s="17" t="str">
        <f aca="false">IF($D2914="","",IF(OR($R2914=TRUE(),$R2914="TRUE"),Settings!$C$6,Settings!$C$7)*100)</f>
        <v/>
      </c>
      <c r="AH2914" s="18" t="str">
        <f aca="false">IF($D2914="","",IF(COUNTIF($D$2:$D2914,$D2914)=1,1,0))</f>
        <v/>
      </c>
      <c r="AI2914" s="18" t="str">
        <f aca="false">IF($AH2914=1,SUMPRODUCT(--($AK$2:$AK$4001&lt;$AK2914))+1,"")</f>
        <v/>
      </c>
      <c r="AJ2914" s="18" t="str">
        <f aca="false">IF($D2914="","",IF(OR($R2914=TRUE(),$R2914="TRUE"),1,0))</f>
        <v/>
      </c>
      <c r="AK2914" s="18" t="str">
        <f aca="false">IF($AH2914=1,IFERROR(VALUE(MID($D2914,2,20)),1000000000)+ROW()/10000000,"")</f>
        <v/>
      </c>
    </row>
    <row r="2915" customFormat="false" ht="15" hidden="false" customHeight="false" outlineLevel="0" collapsed="false">
      <c r="F2915" s="15"/>
      <c r="N2915" s="16" t="str">
        <f aca="false">IF($D2915="","",M2915*Y2915/100)</f>
        <v/>
      </c>
      <c r="V2915" s="16" t="str">
        <f aca="false">IF($D2915="","",Y2915*AB2915/100)</f>
        <v/>
      </c>
      <c r="W2915" s="16" t="str">
        <f aca="false">IF($D2915="","",Y2915-V2915)</f>
        <v/>
      </c>
      <c r="X2915" s="16" t="str">
        <f aca="false">IF($D2915="","",W2915-N2915)</f>
        <v/>
      </c>
      <c r="AB2915" s="17" t="str">
        <f aca="false">IF($D2915="","",IF(OR($R2915=TRUE(),$R2915="TRUE"),Settings!$C$6,Settings!$C$7)*100)</f>
        <v/>
      </c>
      <c r="AH2915" s="18" t="str">
        <f aca="false">IF($D2915="","",IF(COUNTIF($D$2:$D2915,$D2915)=1,1,0))</f>
        <v/>
      </c>
      <c r="AI2915" s="18" t="str">
        <f aca="false">IF($AH2915=1,SUMPRODUCT(--($AK$2:$AK$4001&lt;$AK2915))+1,"")</f>
        <v/>
      </c>
      <c r="AJ2915" s="18" t="str">
        <f aca="false">IF($D2915="","",IF(OR($R2915=TRUE(),$R2915="TRUE"),1,0))</f>
        <v/>
      </c>
      <c r="AK2915" s="18" t="str">
        <f aca="false">IF($AH2915=1,IFERROR(VALUE(MID($D2915,2,20)),1000000000)+ROW()/10000000,"")</f>
        <v/>
      </c>
    </row>
    <row r="2916" customFormat="false" ht="15" hidden="false" customHeight="false" outlineLevel="0" collapsed="false">
      <c r="F2916" s="15"/>
      <c r="N2916" s="16" t="str">
        <f aca="false">IF($D2916="","",M2916*Y2916/100)</f>
        <v/>
      </c>
      <c r="V2916" s="16" t="str">
        <f aca="false">IF($D2916="","",Y2916*AB2916/100)</f>
        <v/>
      </c>
      <c r="W2916" s="16" t="str">
        <f aca="false">IF($D2916="","",Y2916-V2916)</f>
        <v/>
      </c>
      <c r="X2916" s="16" t="str">
        <f aca="false">IF($D2916="","",W2916-N2916)</f>
        <v/>
      </c>
      <c r="AB2916" s="17" t="str">
        <f aca="false">IF($D2916="","",IF(OR($R2916=TRUE(),$R2916="TRUE"),Settings!$C$6,Settings!$C$7)*100)</f>
        <v/>
      </c>
      <c r="AH2916" s="18" t="str">
        <f aca="false">IF($D2916="","",IF(COUNTIF($D$2:$D2916,$D2916)=1,1,0))</f>
        <v/>
      </c>
      <c r="AI2916" s="18" t="str">
        <f aca="false">IF($AH2916=1,SUMPRODUCT(--($AK$2:$AK$4001&lt;$AK2916))+1,"")</f>
        <v/>
      </c>
      <c r="AJ2916" s="18" t="str">
        <f aca="false">IF($D2916="","",IF(OR($R2916=TRUE(),$R2916="TRUE"),1,0))</f>
        <v/>
      </c>
      <c r="AK2916" s="18" t="str">
        <f aca="false">IF($AH2916=1,IFERROR(VALUE(MID($D2916,2,20)),1000000000)+ROW()/10000000,"")</f>
        <v/>
      </c>
    </row>
    <row r="2917" customFormat="false" ht="15" hidden="false" customHeight="false" outlineLevel="0" collapsed="false">
      <c r="F2917" s="15"/>
      <c r="N2917" s="16" t="str">
        <f aca="false">IF($D2917="","",M2917*Y2917/100)</f>
        <v/>
      </c>
      <c r="V2917" s="16" t="str">
        <f aca="false">IF($D2917="","",Y2917*AB2917/100)</f>
        <v/>
      </c>
      <c r="W2917" s="16" t="str">
        <f aca="false">IF($D2917="","",Y2917-V2917)</f>
        <v/>
      </c>
      <c r="X2917" s="16" t="str">
        <f aca="false">IF($D2917="","",W2917-N2917)</f>
        <v/>
      </c>
      <c r="AB2917" s="17" t="str">
        <f aca="false">IF($D2917="","",IF(OR($R2917=TRUE(),$R2917="TRUE"),Settings!$C$6,Settings!$C$7)*100)</f>
        <v/>
      </c>
      <c r="AH2917" s="18" t="str">
        <f aca="false">IF($D2917="","",IF(COUNTIF($D$2:$D2917,$D2917)=1,1,0))</f>
        <v/>
      </c>
      <c r="AI2917" s="18" t="str">
        <f aca="false">IF($AH2917=1,SUMPRODUCT(--($AK$2:$AK$4001&lt;$AK2917))+1,"")</f>
        <v/>
      </c>
      <c r="AJ2917" s="18" t="str">
        <f aca="false">IF($D2917="","",IF(OR($R2917=TRUE(),$R2917="TRUE"),1,0))</f>
        <v/>
      </c>
      <c r="AK2917" s="18" t="str">
        <f aca="false">IF($AH2917=1,IFERROR(VALUE(MID($D2917,2,20)),1000000000)+ROW()/10000000,"")</f>
        <v/>
      </c>
    </row>
    <row r="2918" customFormat="false" ht="15" hidden="false" customHeight="false" outlineLevel="0" collapsed="false">
      <c r="F2918" s="15"/>
      <c r="N2918" s="16" t="str">
        <f aca="false">IF($D2918="","",M2918*Y2918/100)</f>
        <v/>
      </c>
      <c r="V2918" s="16" t="str">
        <f aca="false">IF($D2918="","",Y2918*AB2918/100)</f>
        <v/>
      </c>
      <c r="W2918" s="16" t="str">
        <f aca="false">IF($D2918="","",Y2918-V2918)</f>
        <v/>
      </c>
      <c r="X2918" s="16" t="str">
        <f aca="false">IF($D2918="","",W2918-N2918)</f>
        <v/>
      </c>
      <c r="AB2918" s="17" t="str">
        <f aca="false">IF($D2918="","",IF(OR($R2918=TRUE(),$R2918="TRUE"),Settings!$C$6,Settings!$C$7)*100)</f>
        <v/>
      </c>
      <c r="AH2918" s="18" t="str">
        <f aca="false">IF($D2918="","",IF(COUNTIF($D$2:$D2918,$D2918)=1,1,0))</f>
        <v/>
      </c>
      <c r="AI2918" s="18" t="str">
        <f aca="false">IF($AH2918=1,SUMPRODUCT(--($AK$2:$AK$4001&lt;$AK2918))+1,"")</f>
        <v/>
      </c>
      <c r="AJ2918" s="18" t="str">
        <f aca="false">IF($D2918="","",IF(OR($R2918=TRUE(),$R2918="TRUE"),1,0))</f>
        <v/>
      </c>
      <c r="AK2918" s="18" t="str">
        <f aca="false">IF($AH2918=1,IFERROR(VALUE(MID($D2918,2,20)),1000000000)+ROW()/10000000,"")</f>
        <v/>
      </c>
    </row>
    <row r="2919" customFormat="false" ht="15" hidden="false" customHeight="false" outlineLevel="0" collapsed="false">
      <c r="F2919" s="15"/>
      <c r="N2919" s="16" t="str">
        <f aca="false">IF($D2919="","",M2919*Y2919/100)</f>
        <v/>
      </c>
      <c r="V2919" s="16" t="str">
        <f aca="false">IF($D2919="","",Y2919*AB2919/100)</f>
        <v/>
      </c>
      <c r="W2919" s="16" t="str">
        <f aca="false">IF($D2919="","",Y2919-V2919)</f>
        <v/>
      </c>
      <c r="X2919" s="16" t="str">
        <f aca="false">IF($D2919="","",W2919-N2919)</f>
        <v/>
      </c>
      <c r="AB2919" s="17" t="str">
        <f aca="false">IF($D2919="","",IF(OR($R2919=TRUE(),$R2919="TRUE"),Settings!$C$6,Settings!$C$7)*100)</f>
        <v/>
      </c>
      <c r="AH2919" s="18" t="str">
        <f aca="false">IF($D2919="","",IF(COUNTIF($D$2:$D2919,$D2919)=1,1,0))</f>
        <v/>
      </c>
      <c r="AI2919" s="18" t="str">
        <f aca="false">IF($AH2919=1,SUMPRODUCT(--($AK$2:$AK$4001&lt;$AK2919))+1,"")</f>
        <v/>
      </c>
      <c r="AJ2919" s="18" t="str">
        <f aca="false">IF($D2919="","",IF(OR($R2919=TRUE(),$R2919="TRUE"),1,0))</f>
        <v/>
      </c>
      <c r="AK2919" s="18" t="str">
        <f aca="false">IF($AH2919=1,IFERROR(VALUE(MID($D2919,2,20)),1000000000)+ROW()/10000000,"")</f>
        <v/>
      </c>
    </row>
    <row r="2920" customFormat="false" ht="15" hidden="false" customHeight="false" outlineLevel="0" collapsed="false">
      <c r="F2920" s="15"/>
      <c r="N2920" s="16" t="str">
        <f aca="false">IF($D2920="","",M2920*Y2920/100)</f>
        <v/>
      </c>
      <c r="V2920" s="16" t="str">
        <f aca="false">IF($D2920="","",Y2920*AB2920/100)</f>
        <v/>
      </c>
      <c r="W2920" s="16" t="str">
        <f aca="false">IF($D2920="","",Y2920-V2920)</f>
        <v/>
      </c>
      <c r="X2920" s="16" t="str">
        <f aca="false">IF($D2920="","",W2920-N2920)</f>
        <v/>
      </c>
      <c r="AB2920" s="17" t="str">
        <f aca="false">IF($D2920="","",IF(OR($R2920=TRUE(),$R2920="TRUE"),Settings!$C$6,Settings!$C$7)*100)</f>
        <v/>
      </c>
      <c r="AH2920" s="18" t="str">
        <f aca="false">IF($D2920="","",IF(COUNTIF($D$2:$D2920,$D2920)=1,1,0))</f>
        <v/>
      </c>
      <c r="AI2920" s="18" t="str">
        <f aca="false">IF($AH2920=1,SUMPRODUCT(--($AK$2:$AK$4001&lt;$AK2920))+1,"")</f>
        <v/>
      </c>
      <c r="AJ2920" s="18" t="str">
        <f aca="false">IF($D2920="","",IF(OR($R2920=TRUE(),$R2920="TRUE"),1,0))</f>
        <v/>
      </c>
      <c r="AK2920" s="18" t="str">
        <f aca="false">IF($AH2920=1,IFERROR(VALUE(MID($D2920,2,20)),1000000000)+ROW()/10000000,"")</f>
        <v/>
      </c>
    </row>
    <row r="2921" customFormat="false" ht="15" hidden="false" customHeight="false" outlineLevel="0" collapsed="false">
      <c r="F2921" s="15"/>
      <c r="N2921" s="16" t="str">
        <f aca="false">IF($D2921="","",M2921*Y2921/100)</f>
        <v/>
      </c>
      <c r="V2921" s="16" t="str">
        <f aca="false">IF($D2921="","",Y2921*AB2921/100)</f>
        <v/>
      </c>
      <c r="W2921" s="16" t="str">
        <f aca="false">IF($D2921="","",Y2921-V2921)</f>
        <v/>
      </c>
      <c r="X2921" s="16" t="str">
        <f aca="false">IF($D2921="","",W2921-N2921)</f>
        <v/>
      </c>
      <c r="AB2921" s="17" t="str">
        <f aca="false">IF($D2921="","",IF(OR($R2921=TRUE(),$R2921="TRUE"),Settings!$C$6,Settings!$C$7)*100)</f>
        <v/>
      </c>
      <c r="AH2921" s="18" t="str">
        <f aca="false">IF($D2921="","",IF(COUNTIF($D$2:$D2921,$D2921)=1,1,0))</f>
        <v/>
      </c>
      <c r="AI2921" s="18" t="str">
        <f aca="false">IF($AH2921=1,SUMPRODUCT(--($AK$2:$AK$4001&lt;$AK2921))+1,"")</f>
        <v/>
      </c>
      <c r="AJ2921" s="18" t="str">
        <f aca="false">IF($D2921="","",IF(OR($R2921=TRUE(),$R2921="TRUE"),1,0))</f>
        <v/>
      </c>
      <c r="AK2921" s="18" t="str">
        <f aca="false">IF($AH2921=1,IFERROR(VALUE(MID($D2921,2,20)),1000000000)+ROW()/10000000,"")</f>
        <v/>
      </c>
    </row>
    <row r="2922" customFormat="false" ht="15" hidden="false" customHeight="false" outlineLevel="0" collapsed="false">
      <c r="F2922" s="15"/>
      <c r="N2922" s="16" t="str">
        <f aca="false">IF($D2922="","",M2922*Y2922/100)</f>
        <v/>
      </c>
      <c r="V2922" s="16" t="str">
        <f aca="false">IF($D2922="","",Y2922*AB2922/100)</f>
        <v/>
      </c>
      <c r="W2922" s="16" t="str">
        <f aca="false">IF($D2922="","",Y2922-V2922)</f>
        <v/>
      </c>
      <c r="X2922" s="16" t="str">
        <f aca="false">IF($D2922="","",W2922-N2922)</f>
        <v/>
      </c>
      <c r="AB2922" s="17" t="str">
        <f aca="false">IF($D2922="","",IF(OR($R2922=TRUE(),$R2922="TRUE"),Settings!$C$6,Settings!$C$7)*100)</f>
        <v/>
      </c>
      <c r="AH2922" s="18" t="str">
        <f aca="false">IF($D2922="","",IF(COUNTIF($D$2:$D2922,$D2922)=1,1,0))</f>
        <v/>
      </c>
      <c r="AI2922" s="18" t="str">
        <f aca="false">IF($AH2922=1,SUMPRODUCT(--($AK$2:$AK$4001&lt;$AK2922))+1,"")</f>
        <v/>
      </c>
      <c r="AJ2922" s="18" t="str">
        <f aca="false">IF($D2922="","",IF(OR($R2922=TRUE(),$R2922="TRUE"),1,0))</f>
        <v/>
      </c>
      <c r="AK2922" s="18" t="str">
        <f aca="false">IF($AH2922=1,IFERROR(VALUE(MID($D2922,2,20)),1000000000)+ROW()/10000000,"")</f>
        <v/>
      </c>
    </row>
    <row r="2923" customFormat="false" ht="15" hidden="false" customHeight="false" outlineLevel="0" collapsed="false">
      <c r="F2923" s="15"/>
      <c r="N2923" s="16" t="str">
        <f aca="false">IF($D2923="","",M2923*Y2923/100)</f>
        <v/>
      </c>
      <c r="V2923" s="16" t="str">
        <f aca="false">IF($D2923="","",Y2923*AB2923/100)</f>
        <v/>
      </c>
      <c r="W2923" s="16" t="str">
        <f aca="false">IF($D2923="","",Y2923-V2923)</f>
        <v/>
      </c>
      <c r="X2923" s="16" t="str">
        <f aca="false">IF($D2923="","",W2923-N2923)</f>
        <v/>
      </c>
      <c r="AB2923" s="17" t="str">
        <f aca="false">IF($D2923="","",IF(OR($R2923=TRUE(),$R2923="TRUE"),Settings!$C$6,Settings!$C$7)*100)</f>
        <v/>
      </c>
      <c r="AH2923" s="18" t="str">
        <f aca="false">IF($D2923="","",IF(COUNTIF($D$2:$D2923,$D2923)=1,1,0))</f>
        <v/>
      </c>
      <c r="AI2923" s="18" t="str">
        <f aca="false">IF($AH2923=1,SUMPRODUCT(--($AK$2:$AK$4001&lt;$AK2923))+1,"")</f>
        <v/>
      </c>
      <c r="AJ2923" s="18" t="str">
        <f aca="false">IF($D2923="","",IF(OR($R2923=TRUE(),$R2923="TRUE"),1,0))</f>
        <v/>
      </c>
      <c r="AK2923" s="18" t="str">
        <f aca="false">IF($AH2923=1,IFERROR(VALUE(MID($D2923,2,20)),1000000000)+ROW()/10000000,"")</f>
        <v/>
      </c>
    </row>
    <row r="2924" customFormat="false" ht="15" hidden="false" customHeight="false" outlineLevel="0" collapsed="false">
      <c r="F2924" s="15"/>
      <c r="N2924" s="16" t="str">
        <f aca="false">IF($D2924="","",M2924*Y2924/100)</f>
        <v/>
      </c>
      <c r="V2924" s="16" t="str">
        <f aca="false">IF($D2924="","",Y2924*AB2924/100)</f>
        <v/>
      </c>
      <c r="W2924" s="16" t="str">
        <f aca="false">IF($D2924="","",Y2924-V2924)</f>
        <v/>
      </c>
      <c r="X2924" s="16" t="str">
        <f aca="false">IF($D2924="","",W2924-N2924)</f>
        <v/>
      </c>
      <c r="AB2924" s="17" t="str">
        <f aca="false">IF($D2924="","",IF(OR($R2924=TRUE(),$R2924="TRUE"),Settings!$C$6,Settings!$C$7)*100)</f>
        <v/>
      </c>
      <c r="AH2924" s="18" t="str">
        <f aca="false">IF($D2924="","",IF(COUNTIF($D$2:$D2924,$D2924)=1,1,0))</f>
        <v/>
      </c>
      <c r="AI2924" s="18" t="str">
        <f aca="false">IF($AH2924=1,SUMPRODUCT(--($AK$2:$AK$4001&lt;$AK2924))+1,"")</f>
        <v/>
      </c>
      <c r="AJ2924" s="18" t="str">
        <f aca="false">IF($D2924="","",IF(OR($R2924=TRUE(),$R2924="TRUE"),1,0))</f>
        <v/>
      </c>
      <c r="AK2924" s="18" t="str">
        <f aca="false">IF($AH2924=1,IFERROR(VALUE(MID($D2924,2,20)),1000000000)+ROW()/10000000,"")</f>
        <v/>
      </c>
    </row>
    <row r="2925" customFormat="false" ht="15" hidden="false" customHeight="false" outlineLevel="0" collapsed="false">
      <c r="F2925" s="15"/>
      <c r="N2925" s="16" t="str">
        <f aca="false">IF($D2925="","",M2925*Y2925/100)</f>
        <v/>
      </c>
      <c r="V2925" s="16" t="str">
        <f aca="false">IF($D2925="","",Y2925*AB2925/100)</f>
        <v/>
      </c>
      <c r="W2925" s="16" t="str">
        <f aca="false">IF($D2925="","",Y2925-V2925)</f>
        <v/>
      </c>
      <c r="X2925" s="16" t="str">
        <f aca="false">IF($D2925="","",W2925-N2925)</f>
        <v/>
      </c>
      <c r="AB2925" s="17" t="str">
        <f aca="false">IF($D2925="","",IF(OR($R2925=TRUE(),$R2925="TRUE"),Settings!$C$6,Settings!$C$7)*100)</f>
        <v/>
      </c>
      <c r="AH2925" s="18" t="str">
        <f aca="false">IF($D2925="","",IF(COUNTIF($D$2:$D2925,$D2925)=1,1,0))</f>
        <v/>
      </c>
      <c r="AI2925" s="18" t="str">
        <f aca="false">IF($AH2925=1,SUMPRODUCT(--($AK$2:$AK$4001&lt;$AK2925))+1,"")</f>
        <v/>
      </c>
      <c r="AJ2925" s="18" t="str">
        <f aca="false">IF($D2925="","",IF(OR($R2925=TRUE(),$R2925="TRUE"),1,0))</f>
        <v/>
      </c>
      <c r="AK2925" s="18" t="str">
        <f aca="false">IF($AH2925=1,IFERROR(VALUE(MID($D2925,2,20)),1000000000)+ROW()/10000000,"")</f>
        <v/>
      </c>
    </row>
    <row r="2926" customFormat="false" ht="15" hidden="false" customHeight="false" outlineLevel="0" collapsed="false">
      <c r="F2926" s="15"/>
      <c r="N2926" s="16" t="str">
        <f aca="false">IF($D2926="","",M2926*Y2926/100)</f>
        <v/>
      </c>
      <c r="V2926" s="16" t="str">
        <f aca="false">IF($D2926="","",Y2926*AB2926/100)</f>
        <v/>
      </c>
      <c r="W2926" s="16" t="str">
        <f aca="false">IF($D2926="","",Y2926-V2926)</f>
        <v/>
      </c>
      <c r="X2926" s="16" t="str">
        <f aca="false">IF($D2926="","",W2926-N2926)</f>
        <v/>
      </c>
      <c r="AB2926" s="17" t="str">
        <f aca="false">IF($D2926="","",IF(OR($R2926=TRUE(),$R2926="TRUE"),Settings!$C$6,Settings!$C$7)*100)</f>
        <v/>
      </c>
      <c r="AH2926" s="18" t="str">
        <f aca="false">IF($D2926="","",IF(COUNTIF($D$2:$D2926,$D2926)=1,1,0))</f>
        <v/>
      </c>
      <c r="AI2926" s="18" t="str">
        <f aca="false">IF($AH2926=1,SUMPRODUCT(--($AK$2:$AK$4001&lt;$AK2926))+1,"")</f>
        <v/>
      </c>
      <c r="AJ2926" s="18" t="str">
        <f aca="false">IF($D2926="","",IF(OR($R2926=TRUE(),$R2926="TRUE"),1,0))</f>
        <v/>
      </c>
      <c r="AK2926" s="18" t="str">
        <f aca="false">IF($AH2926=1,IFERROR(VALUE(MID($D2926,2,20)),1000000000)+ROW()/10000000,"")</f>
        <v/>
      </c>
    </row>
    <row r="2927" customFormat="false" ht="15" hidden="false" customHeight="false" outlineLevel="0" collapsed="false">
      <c r="F2927" s="15"/>
      <c r="N2927" s="16" t="str">
        <f aca="false">IF($D2927="","",M2927*Y2927/100)</f>
        <v/>
      </c>
      <c r="V2927" s="16" t="str">
        <f aca="false">IF($D2927="","",Y2927*AB2927/100)</f>
        <v/>
      </c>
      <c r="W2927" s="16" t="str">
        <f aca="false">IF($D2927="","",Y2927-V2927)</f>
        <v/>
      </c>
      <c r="X2927" s="16" t="str">
        <f aca="false">IF($D2927="","",W2927-N2927)</f>
        <v/>
      </c>
      <c r="AB2927" s="17" t="str">
        <f aca="false">IF($D2927="","",IF(OR($R2927=TRUE(),$R2927="TRUE"),Settings!$C$6,Settings!$C$7)*100)</f>
        <v/>
      </c>
      <c r="AH2927" s="18" t="str">
        <f aca="false">IF($D2927="","",IF(COUNTIF($D$2:$D2927,$D2927)=1,1,0))</f>
        <v/>
      </c>
      <c r="AI2927" s="18" t="str">
        <f aca="false">IF($AH2927=1,SUMPRODUCT(--($AK$2:$AK$4001&lt;$AK2927))+1,"")</f>
        <v/>
      </c>
      <c r="AJ2927" s="18" t="str">
        <f aca="false">IF($D2927="","",IF(OR($R2927=TRUE(),$R2927="TRUE"),1,0))</f>
        <v/>
      </c>
      <c r="AK2927" s="18" t="str">
        <f aca="false">IF($AH2927=1,IFERROR(VALUE(MID($D2927,2,20)),1000000000)+ROW()/10000000,"")</f>
        <v/>
      </c>
    </row>
    <row r="2928" customFormat="false" ht="15" hidden="false" customHeight="false" outlineLevel="0" collapsed="false">
      <c r="F2928" s="15"/>
      <c r="N2928" s="16" t="str">
        <f aca="false">IF($D2928="","",M2928*Y2928/100)</f>
        <v/>
      </c>
      <c r="V2928" s="16" t="str">
        <f aca="false">IF($D2928="","",Y2928*AB2928/100)</f>
        <v/>
      </c>
      <c r="W2928" s="16" t="str">
        <f aca="false">IF($D2928="","",Y2928-V2928)</f>
        <v/>
      </c>
      <c r="X2928" s="16" t="str">
        <f aca="false">IF($D2928="","",W2928-N2928)</f>
        <v/>
      </c>
      <c r="AB2928" s="17" t="str">
        <f aca="false">IF($D2928="","",IF(OR($R2928=TRUE(),$R2928="TRUE"),Settings!$C$6,Settings!$C$7)*100)</f>
        <v/>
      </c>
      <c r="AH2928" s="18" t="str">
        <f aca="false">IF($D2928="","",IF(COUNTIF($D$2:$D2928,$D2928)=1,1,0))</f>
        <v/>
      </c>
      <c r="AI2928" s="18" t="str">
        <f aca="false">IF($AH2928=1,SUMPRODUCT(--($AK$2:$AK$4001&lt;$AK2928))+1,"")</f>
        <v/>
      </c>
      <c r="AJ2928" s="18" t="str">
        <f aca="false">IF($D2928="","",IF(OR($R2928=TRUE(),$R2928="TRUE"),1,0))</f>
        <v/>
      </c>
      <c r="AK2928" s="18" t="str">
        <f aca="false">IF($AH2928=1,IFERROR(VALUE(MID($D2928,2,20)),1000000000)+ROW()/10000000,"")</f>
        <v/>
      </c>
    </row>
    <row r="2929" customFormat="false" ht="15" hidden="false" customHeight="false" outlineLevel="0" collapsed="false">
      <c r="F2929" s="15"/>
      <c r="N2929" s="16" t="str">
        <f aca="false">IF($D2929="","",M2929*Y2929/100)</f>
        <v/>
      </c>
      <c r="V2929" s="16" t="str">
        <f aca="false">IF($D2929="","",Y2929*AB2929/100)</f>
        <v/>
      </c>
      <c r="W2929" s="16" t="str">
        <f aca="false">IF($D2929="","",Y2929-V2929)</f>
        <v/>
      </c>
      <c r="X2929" s="16" t="str">
        <f aca="false">IF($D2929="","",W2929-N2929)</f>
        <v/>
      </c>
      <c r="AB2929" s="17" t="str">
        <f aca="false">IF($D2929="","",IF(OR($R2929=TRUE(),$R2929="TRUE"),Settings!$C$6,Settings!$C$7)*100)</f>
        <v/>
      </c>
      <c r="AH2929" s="18" t="str">
        <f aca="false">IF($D2929="","",IF(COUNTIF($D$2:$D2929,$D2929)=1,1,0))</f>
        <v/>
      </c>
      <c r="AI2929" s="18" t="str">
        <f aca="false">IF($AH2929=1,SUMPRODUCT(--($AK$2:$AK$4001&lt;$AK2929))+1,"")</f>
        <v/>
      </c>
      <c r="AJ2929" s="18" t="str">
        <f aca="false">IF($D2929="","",IF(OR($R2929=TRUE(),$R2929="TRUE"),1,0))</f>
        <v/>
      </c>
      <c r="AK2929" s="18" t="str">
        <f aca="false">IF($AH2929=1,IFERROR(VALUE(MID($D2929,2,20)),1000000000)+ROW()/10000000,"")</f>
        <v/>
      </c>
    </row>
    <row r="2930" customFormat="false" ht="15" hidden="false" customHeight="false" outlineLevel="0" collapsed="false">
      <c r="F2930" s="15"/>
      <c r="N2930" s="16" t="str">
        <f aca="false">IF($D2930="","",M2930*Y2930/100)</f>
        <v/>
      </c>
      <c r="V2930" s="16" t="str">
        <f aca="false">IF($D2930="","",Y2930*AB2930/100)</f>
        <v/>
      </c>
      <c r="W2930" s="16" t="str">
        <f aca="false">IF($D2930="","",Y2930-V2930)</f>
        <v/>
      </c>
      <c r="X2930" s="16" t="str">
        <f aca="false">IF($D2930="","",W2930-N2930)</f>
        <v/>
      </c>
      <c r="AB2930" s="17" t="str">
        <f aca="false">IF($D2930="","",IF(OR($R2930=TRUE(),$R2930="TRUE"),Settings!$C$6,Settings!$C$7)*100)</f>
        <v/>
      </c>
      <c r="AH2930" s="18" t="str">
        <f aca="false">IF($D2930="","",IF(COUNTIF($D$2:$D2930,$D2930)=1,1,0))</f>
        <v/>
      </c>
      <c r="AI2930" s="18" t="str">
        <f aca="false">IF($AH2930=1,SUMPRODUCT(--($AK$2:$AK$4001&lt;$AK2930))+1,"")</f>
        <v/>
      </c>
      <c r="AJ2930" s="18" t="str">
        <f aca="false">IF($D2930="","",IF(OR($R2930=TRUE(),$R2930="TRUE"),1,0))</f>
        <v/>
      </c>
      <c r="AK2930" s="18" t="str">
        <f aca="false">IF($AH2930=1,IFERROR(VALUE(MID($D2930,2,20)),1000000000)+ROW()/10000000,"")</f>
        <v/>
      </c>
    </row>
    <row r="2931" customFormat="false" ht="15" hidden="false" customHeight="false" outlineLevel="0" collapsed="false">
      <c r="F2931" s="15"/>
      <c r="N2931" s="16" t="str">
        <f aca="false">IF($D2931="","",M2931*Y2931/100)</f>
        <v/>
      </c>
      <c r="V2931" s="16" t="str">
        <f aca="false">IF($D2931="","",Y2931*AB2931/100)</f>
        <v/>
      </c>
      <c r="W2931" s="16" t="str">
        <f aca="false">IF($D2931="","",Y2931-V2931)</f>
        <v/>
      </c>
      <c r="X2931" s="16" t="str">
        <f aca="false">IF($D2931="","",W2931-N2931)</f>
        <v/>
      </c>
      <c r="AB2931" s="17" t="str">
        <f aca="false">IF($D2931="","",IF(OR($R2931=TRUE(),$R2931="TRUE"),Settings!$C$6,Settings!$C$7)*100)</f>
        <v/>
      </c>
      <c r="AH2931" s="18" t="str">
        <f aca="false">IF($D2931="","",IF(COUNTIF($D$2:$D2931,$D2931)=1,1,0))</f>
        <v/>
      </c>
      <c r="AI2931" s="18" t="str">
        <f aca="false">IF($AH2931=1,SUMPRODUCT(--($AK$2:$AK$4001&lt;$AK2931))+1,"")</f>
        <v/>
      </c>
      <c r="AJ2931" s="18" t="str">
        <f aca="false">IF($D2931="","",IF(OR($R2931=TRUE(),$R2931="TRUE"),1,0))</f>
        <v/>
      </c>
      <c r="AK2931" s="18" t="str">
        <f aca="false">IF($AH2931=1,IFERROR(VALUE(MID($D2931,2,20)),1000000000)+ROW()/10000000,"")</f>
        <v/>
      </c>
    </row>
    <row r="2932" customFormat="false" ht="15" hidden="false" customHeight="false" outlineLevel="0" collapsed="false">
      <c r="F2932" s="15"/>
      <c r="N2932" s="16" t="str">
        <f aca="false">IF($D2932="","",M2932*Y2932/100)</f>
        <v/>
      </c>
      <c r="V2932" s="16" t="str">
        <f aca="false">IF($D2932="","",Y2932*AB2932/100)</f>
        <v/>
      </c>
      <c r="W2932" s="16" t="str">
        <f aca="false">IF($D2932="","",Y2932-V2932)</f>
        <v/>
      </c>
      <c r="X2932" s="16" t="str">
        <f aca="false">IF($D2932="","",W2932-N2932)</f>
        <v/>
      </c>
      <c r="AB2932" s="17" t="str">
        <f aca="false">IF($D2932="","",IF(OR($R2932=TRUE(),$R2932="TRUE"),Settings!$C$6,Settings!$C$7)*100)</f>
        <v/>
      </c>
      <c r="AH2932" s="18" t="str">
        <f aca="false">IF($D2932="","",IF(COUNTIF($D$2:$D2932,$D2932)=1,1,0))</f>
        <v/>
      </c>
      <c r="AI2932" s="18" t="str">
        <f aca="false">IF($AH2932=1,SUMPRODUCT(--($AK$2:$AK$4001&lt;$AK2932))+1,"")</f>
        <v/>
      </c>
      <c r="AJ2932" s="18" t="str">
        <f aca="false">IF($D2932="","",IF(OR($R2932=TRUE(),$R2932="TRUE"),1,0))</f>
        <v/>
      </c>
      <c r="AK2932" s="18" t="str">
        <f aca="false">IF($AH2932=1,IFERROR(VALUE(MID($D2932,2,20)),1000000000)+ROW()/10000000,"")</f>
        <v/>
      </c>
    </row>
    <row r="2933" customFormat="false" ht="15" hidden="false" customHeight="false" outlineLevel="0" collapsed="false">
      <c r="F2933" s="15"/>
      <c r="N2933" s="16" t="str">
        <f aca="false">IF($D2933="","",M2933*Y2933/100)</f>
        <v/>
      </c>
      <c r="V2933" s="16" t="str">
        <f aca="false">IF($D2933="","",Y2933*AB2933/100)</f>
        <v/>
      </c>
      <c r="W2933" s="16" t="str">
        <f aca="false">IF($D2933="","",Y2933-V2933)</f>
        <v/>
      </c>
      <c r="X2933" s="16" t="str">
        <f aca="false">IF($D2933="","",W2933-N2933)</f>
        <v/>
      </c>
      <c r="AB2933" s="17" t="str">
        <f aca="false">IF($D2933="","",IF(OR($R2933=TRUE(),$R2933="TRUE"),Settings!$C$6,Settings!$C$7)*100)</f>
        <v/>
      </c>
      <c r="AH2933" s="18" t="str">
        <f aca="false">IF($D2933="","",IF(COUNTIF($D$2:$D2933,$D2933)=1,1,0))</f>
        <v/>
      </c>
      <c r="AI2933" s="18" t="str">
        <f aca="false">IF($AH2933=1,SUMPRODUCT(--($AK$2:$AK$4001&lt;$AK2933))+1,"")</f>
        <v/>
      </c>
      <c r="AJ2933" s="18" t="str">
        <f aca="false">IF($D2933="","",IF(OR($R2933=TRUE(),$R2933="TRUE"),1,0))</f>
        <v/>
      </c>
      <c r="AK2933" s="18" t="str">
        <f aca="false">IF($AH2933=1,IFERROR(VALUE(MID($D2933,2,20)),1000000000)+ROW()/10000000,"")</f>
        <v/>
      </c>
    </row>
    <row r="2934" customFormat="false" ht="15" hidden="false" customHeight="false" outlineLevel="0" collapsed="false">
      <c r="F2934" s="15"/>
      <c r="N2934" s="16" t="str">
        <f aca="false">IF($D2934="","",M2934*Y2934/100)</f>
        <v/>
      </c>
      <c r="V2934" s="16" t="str">
        <f aca="false">IF($D2934="","",Y2934*AB2934/100)</f>
        <v/>
      </c>
      <c r="W2934" s="16" t="str">
        <f aca="false">IF($D2934="","",Y2934-V2934)</f>
        <v/>
      </c>
      <c r="X2934" s="16" t="str">
        <f aca="false">IF($D2934="","",W2934-N2934)</f>
        <v/>
      </c>
      <c r="AB2934" s="17" t="str">
        <f aca="false">IF($D2934="","",IF(OR($R2934=TRUE(),$R2934="TRUE"),Settings!$C$6,Settings!$C$7)*100)</f>
        <v/>
      </c>
      <c r="AH2934" s="18" t="str">
        <f aca="false">IF($D2934="","",IF(COUNTIF($D$2:$D2934,$D2934)=1,1,0))</f>
        <v/>
      </c>
      <c r="AI2934" s="18" t="str">
        <f aca="false">IF($AH2934=1,SUMPRODUCT(--($AK$2:$AK$4001&lt;$AK2934))+1,"")</f>
        <v/>
      </c>
      <c r="AJ2934" s="18" t="str">
        <f aca="false">IF($D2934="","",IF(OR($R2934=TRUE(),$R2934="TRUE"),1,0))</f>
        <v/>
      </c>
      <c r="AK2934" s="18" t="str">
        <f aca="false">IF($AH2934=1,IFERROR(VALUE(MID($D2934,2,20)),1000000000)+ROW()/10000000,"")</f>
        <v/>
      </c>
    </row>
    <row r="2935" customFormat="false" ht="15" hidden="false" customHeight="false" outlineLevel="0" collapsed="false">
      <c r="F2935" s="15"/>
      <c r="N2935" s="16" t="str">
        <f aca="false">IF($D2935="","",M2935*Y2935/100)</f>
        <v/>
      </c>
      <c r="V2935" s="16" t="str">
        <f aca="false">IF($D2935="","",Y2935*AB2935/100)</f>
        <v/>
      </c>
      <c r="W2935" s="16" t="str">
        <f aca="false">IF($D2935="","",Y2935-V2935)</f>
        <v/>
      </c>
      <c r="X2935" s="16" t="str">
        <f aca="false">IF($D2935="","",W2935-N2935)</f>
        <v/>
      </c>
      <c r="AB2935" s="17" t="str">
        <f aca="false">IF($D2935="","",IF(OR($R2935=TRUE(),$R2935="TRUE"),Settings!$C$6,Settings!$C$7)*100)</f>
        <v/>
      </c>
      <c r="AH2935" s="18" t="str">
        <f aca="false">IF($D2935="","",IF(COUNTIF($D$2:$D2935,$D2935)=1,1,0))</f>
        <v/>
      </c>
      <c r="AI2935" s="18" t="str">
        <f aca="false">IF($AH2935=1,SUMPRODUCT(--($AK$2:$AK$4001&lt;$AK2935))+1,"")</f>
        <v/>
      </c>
      <c r="AJ2935" s="18" t="str">
        <f aca="false">IF($D2935="","",IF(OR($R2935=TRUE(),$R2935="TRUE"),1,0))</f>
        <v/>
      </c>
      <c r="AK2935" s="18" t="str">
        <f aca="false">IF($AH2935=1,IFERROR(VALUE(MID($D2935,2,20)),1000000000)+ROW()/10000000,"")</f>
        <v/>
      </c>
    </row>
    <row r="2936" customFormat="false" ht="15" hidden="false" customHeight="false" outlineLevel="0" collapsed="false">
      <c r="F2936" s="15"/>
      <c r="N2936" s="16" t="str">
        <f aca="false">IF($D2936="","",M2936*Y2936/100)</f>
        <v/>
      </c>
      <c r="V2936" s="16" t="str">
        <f aca="false">IF($D2936="","",Y2936*AB2936/100)</f>
        <v/>
      </c>
      <c r="W2936" s="16" t="str">
        <f aca="false">IF($D2936="","",Y2936-V2936)</f>
        <v/>
      </c>
      <c r="X2936" s="16" t="str">
        <f aca="false">IF($D2936="","",W2936-N2936)</f>
        <v/>
      </c>
      <c r="AB2936" s="17" t="str">
        <f aca="false">IF($D2936="","",IF(OR($R2936=TRUE(),$R2936="TRUE"),Settings!$C$6,Settings!$C$7)*100)</f>
        <v/>
      </c>
      <c r="AH2936" s="18" t="str">
        <f aca="false">IF($D2936="","",IF(COUNTIF($D$2:$D2936,$D2936)=1,1,0))</f>
        <v/>
      </c>
      <c r="AI2936" s="18" t="str">
        <f aca="false">IF($AH2936=1,SUMPRODUCT(--($AK$2:$AK$4001&lt;$AK2936))+1,"")</f>
        <v/>
      </c>
      <c r="AJ2936" s="18" t="str">
        <f aca="false">IF($D2936="","",IF(OR($R2936=TRUE(),$R2936="TRUE"),1,0))</f>
        <v/>
      </c>
      <c r="AK2936" s="18" t="str">
        <f aca="false">IF($AH2936=1,IFERROR(VALUE(MID($D2936,2,20)),1000000000)+ROW()/10000000,"")</f>
        <v/>
      </c>
    </row>
    <row r="2937" customFormat="false" ht="15" hidden="false" customHeight="false" outlineLevel="0" collapsed="false">
      <c r="F2937" s="15"/>
      <c r="N2937" s="16" t="str">
        <f aca="false">IF($D2937="","",M2937*Y2937/100)</f>
        <v/>
      </c>
      <c r="V2937" s="16" t="str">
        <f aca="false">IF($D2937="","",Y2937*AB2937/100)</f>
        <v/>
      </c>
      <c r="W2937" s="16" t="str">
        <f aca="false">IF($D2937="","",Y2937-V2937)</f>
        <v/>
      </c>
      <c r="X2937" s="16" t="str">
        <f aca="false">IF($D2937="","",W2937-N2937)</f>
        <v/>
      </c>
      <c r="AB2937" s="17" t="str">
        <f aca="false">IF($D2937="","",IF(OR($R2937=TRUE(),$R2937="TRUE"),Settings!$C$6,Settings!$C$7)*100)</f>
        <v/>
      </c>
      <c r="AH2937" s="18" t="str">
        <f aca="false">IF($D2937="","",IF(COUNTIF($D$2:$D2937,$D2937)=1,1,0))</f>
        <v/>
      </c>
      <c r="AI2937" s="18" t="str">
        <f aca="false">IF($AH2937=1,SUMPRODUCT(--($AK$2:$AK$4001&lt;$AK2937))+1,"")</f>
        <v/>
      </c>
      <c r="AJ2937" s="18" t="str">
        <f aca="false">IF($D2937="","",IF(OR($R2937=TRUE(),$R2937="TRUE"),1,0))</f>
        <v/>
      </c>
      <c r="AK2937" s="18" t="str">
        <f aca="false">IF($AH2937=1,IFERROR(VALUE(MID($D2937,2,20)),1000000000)+ROW()/10000000,"")</f>
        <v/>
      </c>
    </row>
    <row r="2938" customFormat="false" ht="15" hidden="false" customHeight="false" outlineLevel="0" collapsed="false">
      <c r="F2938" s="15"/>
      <c r="N2938" s="16" t="str">
        <f aca="false">IF($D2938="","",M2938*Y2938/100)</f>
        <v/>
      </c>
      <c r="V2938" s="16" t="str">
        <f aca="false">IF($D2938="","",Y2938*AB2938/100)</f>
        <v/>
      </c>
      <c r="W2938" s="16" t="str">
        <f aca="false">IF($D2938="","",Y2938-V2938)</f>
        <v/>
      </c>
      <c r="X2938" s="16" t="str">
        <f aca="false">IF($D2938="","",W2938-N2938)</f>
        <v/>
      </c>
      <c r="AB2938" s="17" t="str">
        <f aca="false">IF($D2938="","",IF(OR($R2938=TRUE(),$R2938="TRUE"),Settings!$C$6,Settings!$C$7)*100)</f>
        <v/>
      </c>
      <c r="AH2938" s="18" t="str">
        <f aca="false">IF($D2938="","",IF(COUNTIF($D$2:$D2938,$D2938)=1,1,0))</f>
        <v/>
      </c>
      <c r="AI2938" s="18" t="str">
        <f aca="false">IF($AH2938=1,SUMPRODUCT(--($AK$2:$AK$4001&lt;$AK2938))+1,"")</f>
        <v/>
      </c>
      <c r="AJ2938" s="18" t="str">
        <f aca="false">IF($D2938="","",IF(OR($R2938=TRUE(),$R2938="TRUE"),1,0))</f>
        <v/>
      </c>
      <c r="AK2938" s="18" t="str">
        <f aca="false">IF($AH2938=1,IFERROR(VALUE(MID($D2938,2,20)),1000000000)+ROW()/10000000,"")</f>
        <v/>
      </c>
    </row>
    <row r="2939" customFormat="false" ht="15" hidden="false" customHeight="false" outlineLevel="0" collapsed="false">
      <c r="F2939" s="15"/>
      <c r="N2939" s="16" t="str">
        <f aca="false">IF($D2939="","",M2939*Y2939/100)</f>
        <v/>
      </c>
      <c r="V2939" s="16" t="str">
        <f aca="false">IF($D2939="","",Y2939*AB2939/100)</f>
        <v/>
      </c>
      <c r="W2939" s="16" t="str">
        <f aca="false">IF($D2939="","",Y2939-V2939)</f>
        <v/>
      </c>
      <c r="X2939" s="16" t="str">
        <f aca="false">IF($D2939="","",W2939-N2939)</f>
        <v/>
      </c>
      <c r="AB2939" s="17" t="str">
        <f aca="false">IF($D2939="","",IF(OR($R2939=TRUE(),$R2939="TRUE"),Settings!$C$6,Settings!$C$7)*100)</f>
        <v/>
      </c>
      <c r="AH2939" s="18" t="str">
        <f aca="false">IF($D2939="","",IF(COUNTIF($D$2:$D2939,$D2939)=1,1,0))</f>
        <v/>
      </c>
      <c r="AI2939" s="18" t="str">
        <f aca="false">IF($AH2939=1,SUMPRODUCT(--($AK$2:$AK$4001&lt;$AK2939))+1,"")</f>
        <v/>
      </c>
      <c r="AJ2939" s="18" t="str">
        <f aca="false">IF($D2939="","",IF(OR($R2939=TRUE(),$R2939="TRUE"),1,0))</f>
        <v/>
      </c>
      <c r="AK2939" s="18" t="str">
        <f aca="false">IF($AH2939=1,IFERROR(VALUE(MID($D2939,2,20)),1000000000)+ROW()/10000000,"")</f>
        <v/>
      </c>
    </row>
    <row r="2940" customFormat="false" ht="15" hidden="false" customHeight="false" outlineLevel="0" collapsed="false">
      <c r="F2940" s="15"/>
      <c r="N2940" s="16" t="str">
        <f aca="false">IF($D2940="","",M2940*Y2940/100)</f>
        <v/>
      </c>
      <c r="V2940" s="16" t="str">
        <f aca="false">IF($D2940="","",Y2940*AB2940/100)</f>
        <v/>
      </c>
      <c r="W2940" s="16" t="str">
        <f aca="false">IF($D2940="","",Y2940-V2940)</f>
        <v/>
      </c>
      <c r="X2940" s="16" t="str">
        <f aca="false">IF($D2940="","",W2940-N2940)</f>
        <v/>
      </c>
      <c r="AB2940" s="17" t="str">
        <f aca="false">IF($D2940="","",IF(OR($R2940=TRUE(),$R2940="TRUE"),Settings!$C$6,Settings!$C$7)*100)</f>
        <v/>
      </c>
      <c r="AH2940" s="18" t="str">
        <f aca="false">IF($D2940="","",IF(COUNTIF($D$2:$D2940,$D2940)=1,1,0))</f>
        <v/>
      </c>
      <c r="AI2940" s="18" t="str">
        <f aca="false">IF($AH2940=1,SUMPRODUCT(--($AK$2:$AK$4001&lt;$AK2940))+1,"")</f>
        <v/>
      </c>
      <c r="AJ2940" s="18" t="str">
        <f aca="false">IF($D2940="","",IF(OR($R2940=TRUE(),$R2940="TRUE"),1,0))</f>
        <v/>
      </c>
      <c r="AK2940" s="18" t="str">
        <f aca="false">IF($AH2940=1,IFERROR(VALUE(MID($D2940,2,20)),1000000000)+ROW()/10000000,"")</f>
        <v/>
      </c>
    </row>
    <row r="2941" customFormat="false" ht="15" hidden="false" customHeight="false" outlineLevel="0" collapsed="false">
      <c r="F2941" s="15"/>
      <c r="N2941" s="16" t="str">
        <f aca="false">IF($D2941="","",M2941*Y2941/100)</f>
        <v/>
      </c>
      <c r="V2941" s="16" t="str">
        <f aca="false">IF($D2941="","",Y2941*AB2941/100)</f>
        <v/>
      </c>
      <c r="W2941" s="16" t="str">
        <f aca="false">IF($D2941="","",Y2941-V2941)</f>
        <v/>
      </c>
      <c r="X2941" s="16" t="str">
        <f aca="false">IF($D2941="","",W2941-N2941)</f>
        <v/>
      </c>
      <c r="AB2941" s="17" t="str">
        <f aca="false">IF($D2941="","",IF(OR($R2941=TRUE(),$R2941="TRUE"),Settings!$C$6,Settings!$C$7)*100)</f>
        <v/>
      </c>
      <c r="AH2941" s="18" t="str">
        <f aca="false">IF($D2941="","",IF(COUNTIF($D$2:$D2941,$D2941)=1,1,0))</f>
        <v/>
      </c>
      <c r="AI2941" s="18" t="str">
        <f aca="false">IF($AH2941=1,SUMPRODUCT(--($AK$2:$AK$4001&lt;$AK2941))+1,"")</f>
        <v/>
      </c>
      <c r="AJ2941" s="18" t="str">
        <f aca="false">IF($D2941="","",IF(OR($R2941=TRUE(),$R2941="TRUE"),1,0))</f>
        <v/>
      </c>
      <c r="AK2941" s="18" t="str">
        <f aca="false">IF($AH2941=1,IFERROR(VALUE(MID($D2941,2,20)),1000000000)+ROW()/10000000,"")</f>
        <v/>
      </c>
    </row>
    <row r="2942" customFormat="false" ht="15" hidden="false" customHeight="false" outlineLevel="0" collapsed="false">
      <c r="F2942" s="15"/>
      <c r="N2942" s="16" t="str">
        <f aca="false">IF($D2942="","",M2942*Y2942/100)</f>
        <v/>
      </c>
      <c r="V2942" s="16" t="str">
        <f aca="false">IF($D2942="","",Y2942*AB2942/100)</f>
        <v/>
      </c>
      <c r="W2942" s="16" t="str">
        <f aca="false">IF($D2942="","",Y2942-V2942)</f>
        <v/>
      </c>
      <c r="X2942" s="16" t="str">
        <f aca="false">IF($D2942="","",W2942-N2942)</f>
        <v/>
      </c>
      <c r="AB2942" s="17" t="str">
        <f aca="false">IF($D2942="","",IF(OR($R2942=TRUE(),$R2942="TRUE"),Settings!$C$6,Settings!$C$7)*100)</f>
        <v/>
      </c>
      <c r="AH2942" s="18" t="str">
        <f aca="false">IF($D2942="","",IF(COUNTIF($D$2:$D2942,$D2942)=1,1,0))</f>
        <v/>
      </c>
      <c r="AI2942" s="18" t="str">
        <f aca="false">IF($AH2942=1,SUMPRODUCT(--($AK$2:$AK$4001&lt;$AK2942))+1,"")</f>
        <v/>
      </c>
      <c r="AJ2942" s="18" t="str">
        <f aca="false">IF($D2942="","",IF(OR($R2942=TRUE(),$R2942="TRUE"),1,0))</f>
        <v/>
      </c>
      <c r="AK2942" s="18" t="str">
        <f aca="false">IF($AH2942=1,IFERROR(VALUE(MID($D2942,2,20)),1000000000)+ROW()/10000000,"")</f>
        <v/>
      </c>
    </row>
    <row r="2943" customFormat="false" ht="15" hidden="false" customHeight="false" outlineLevel="0" collapsed="false">
      <c r="F2943" s="15"/>
      <c r="N2943" s="16" t="str">
        <f aca="false">IF($D2943="","",M2943*Y2943/100)</f>
        <v/>
      </c>
      <c r="V2943" s="16" t="str">
        <f aca="false">IF($D2943="","",Y2943*AB2943/100)</f>
        <v/>
      </c>
      <c r="W2943" s="16" t="str">
        <f aca="false">IF($D2943="","",Y2943-V2943)</f>
        <v/>
      </c>
      <c r="X2943" s="16" t="str">
        <f aca="false">IF($D2943="","",W2943-N2943)</f>
        <v/>
      </c>
      <c r="AB2943" s="17" t="str">
        <f aca="false">IF($D2943="","",IF(OR($R2943=TRUE(),$R2943="TRUE"),Settings!$C$6,Settings!$C$7)*100)</f>
        <v/>
      </c>
      <c r="AH2943" s="18" t="str">
        <f aca="false">IF($D2943="","",IF(COUNTIF($D$2:$D2943,$D2943)=1,1,0))</f>
        <v/>
      </c>
      <c r="AI2943" s="18" t="str">
        <f aca="false">IF($AH2943=1,SUMPRODUCT(--($AK$2:$AK$4001&lt;$AK2943))+1,"")</f>
        <v/>
      </c>
      <c r="AJ2943" s="18" t="str">
        <f aca="false">IF($D2943="","",IF(OR($R2943=TRUE(),$R2943="TRUE"),1,0))</f>
        <v/>
      </c>
      <c r="AK2943" s="18" t="str">
        <f aca="false">IF($AH2943=1,IFERROR(VALUE(MID($D2943,2,20)),1000000000)+ROW()/10000000,"")</f>
        <v/>
      </c>
    </row>
    <row r="2944" customFormat="false" ht="15" hidden="false" customHeight="false" outlineLevel="0" collapsed="false">
      <c r="F2944" s="15"/>
      <c r="N2944" s="16" t="str">
        <f aca="false">IF($D2944="","",M2944*Y2944/100)</f>
        <v/>
      </c>
      <c r="V2944" s="16" t="str">
        <f aca="false">IF($D2944="","",Y2944*AB2944/100)</f>
        <v/>
      </c>
      <c r="W2944" s="16" t="str">
        <f aca="false">IF($D2944="","",Y2944-V2944)</f>
        <v/>
      </c>
      <c r="X2944" s="16" t="str">
        <f aca="false">IF($D2944="","",W2944-N2944)</f>
        <v/>
      </c>
      <c r="AB2944" s="17" t="str">
        <f aca="false">IF($D2944="","",IF(OR($R2944=TRUE(),$R2944="TRUE"),Settings!$C$6,Settings!$C$7)*100)</f>
        <v/>
      </c>
      <c r="AH2944" s="18" t="str">
        <f aca="false">IF($D2944="","",IF(COUNTIF($D$2:$D2944,$D2944)=1,1,0))</f>
        <v/>
      </c>
      <c r="AI2944" s="18" t="str">
        <f aca="false">IF($AH2944=1,SUMPRODUCT(--($AK$2:$AK$4001&lt;$AK2944))+1,"")</f>
        <v/>
      </c>
      <c r="AJ2944" s="18" t="str">
        <f aca="false">IF($D2944="","",IF(OR($R2944=TRUE(),$R2944="TRUE"),1,0))</f>
        <v/>
      </c>
      <c r="AK2944" s="18" t="str">
        <f aca="false">IF($AH2944=1,IFERROR(VALUE(MID($D2944,2,20)),1000000000)+ROW()/10000000,"")</f>
        <v/>
      </c>
    </row>
    <row r="2945" customFormat="false" ht="15" hidden="false" customHeight="false" outlineLevel="0" collapsed="false">
      <c r="F2945" s="15"/>
      <c r="N2945" s="16" t="str">
        <f aca="false">IF($D2945="","",M2945*Y2945/100)</f>
        <v/>
      </c>
      <c r="V2945" s="16" t="str">
        <f aca="false">IF($D2945="","",Y2945*AB2945/100)</f>
        <v/>
      </c>
      <c r="W2945" s="16" t="str">
        <f aca="false">IF($D2945="","",Y2945-V2945)</f>
        <v/>
      </c>
      <c r="X2945" s="16" t="str">
        <f aca="false">IF($D2945="","",W2945-N2945)</f>
        <v/>
      </c>
      <c r="AB2945" s="17" t="str">
        <f aca="false">IF($D2945="","",IF(OR($R2945=TRUE(),$R2945="TRUE"),Settings!$C$6,Settings!$C$7)*100)</f>
        <v/>
      </c>
      <c r="AH2945" s="18" t="str">
        <f aca="false">IF($D2945="","",IF(COUNTIF($D$2:$D2945,$D2945)=1,1,0))</f>
        <v/>
      </c>
      <c r="AI2945" s="18" t="str">
        <f aca="false">IF($AH2945=1,SUMPRODUCT(--($AK$2:$AK$4001&lt;$AK2945))+1,"")</f>
        <v/>
      </c>
      <c r="AJ2945" s="18" t="str">
        <f aca="false">IF($D2945="","",IF(OR($R2945=TRUE(),$R2945="TRUE"),1,0))</f>
        <v/>
      </c>
      <c r="AK2945" s="18" t="str">
        <f aca="false">IF($AH2945=1,IFERROR(VALUE(MID($D2945,2,20)),1000000000)+ROW()/10000000,"")</f>
        <v/>
      </c>
    </row>
    <row r="2946" customFormat="false" ht="15" hidden="false" customHeight="false" outlineLevel="0" collapsed="false">
      <c r="F2946" s="15"/>
      <c r="N2946" s="16" t="str">
        <f aca="false">IF($D2946="","",M2946*Y2946/100)</f>
        <v/>
      </c>
      <c r="V2946" s="16" t="str">
        <f aca="false">IF($D2946="","",Y2946*AB2946/100)</f>
        <v/>
      </c>
      <c r="W2946" s="16" t="str">
        <f aca="false">IF($D2946="","",Y2946-V2946)</f>
        <v/>
      </c>
      <c r="X2946" s="16" t="str">
        <f aca="false">IF($D2946="","",W2946-N2946)</f>
        <v/>
      </c>
      <c r="AB2946" s="17" t="str">
        <f aca="false">IF($D2946="","",IF(OR($R2946=TRUE(),$R2946="TRUE"),Settings!$C$6,Settings!$C$7)*100)</f>
        <v/>
      </c>
      <c r="AH2946" s="18" t="str">
        <f aca="false">IF($D2946="","",IF(COUNTIF($D$2:$D2946,$D2946)=1,1,0))</f>
        <v/>
      </c>
      <c r="AI2946" s="18" t="str">
        <f aca="false">IF($AH2946=1,SUMPRODUCT(--($AK$2:$AK$4001&lt;$AK2946))+1,"")</f>
        <v/>
      </c>
      <c r="AJ2946" s="18" t="str">
        <f aca="false">IF($D2946="","",IF(OR($R2946=TRUE(),$R2946="TRUE"),1,0))</f>
        <v/>
      </c>
      <c r="AK2946" s="18" t="str">
        <f aca="false">IF($AH2946=1,IFERROR(VALUE(MID($D2946,2,20)),1000000000)+ROW()/10000000,"")</f>
        <v/>
      </c>
    </row>
    <row r="2947" customFormat="false" ht="15" hidden="false" customHeight="false" outlineLevel="0" collapsed="false">
      <c r="F2947" s="15"/>
      <c r="N2947" s="16" t="str">
        <f aca="false">IF($D2947="","",M2947*Y2947/100)</f>
        <v/>
      </c>
      <c r="V2947" s="16" t="str">
        <f aca="false">IF($D2947="","",Y2947*AB2947/100)</f>
        <v/>
      </c>
      <c r="W2947" s="16" t="str">
        <f aca="false">IF($D2947="","",Y2947-V2947)</f>
        <v/>
      </c>
      <c r="X2947" s="16" t="str">
        <f aca="false">IF($D2947="","",W2947-N2947)</f>
        <v/>
      </c>
      <c r="AB2947" s="17" t="str">
        <f aca="false">IF($D2947="","",IF(OR($R2947=TRUE(),$R2947="TRUE"),Settings!$C$6,Settings!$C$7)*100)</f>
        <v/>
      </c>
      <c r="AH2947" s="18" t="str">
        <f aca="false">IF($D2947="","",IF(COUNTIF($D$2:$D2947,$D2947)=1,1,0))</f>
        <v/>
      </c>
      <c r="AI2947" s="18" t="str">
        <f aca="false">IF($AH2947=1,SUMPRODUCT(--($AK$2:$AK$4001&lt;$AK2947))+1,"")</f>
        <v/>
      </c>
      <c r="AJ2947" s="18" t="str">
        <f aca="false">IF($D2947="","",IF(OR($R2947=TRUE(),$R2947="TRUE"),1,0))</f>
        <v/>
      </c>
      <c r="AK2947" s="18" t="str">
        <f aca="false">IF($AH2947=1,IFERROR(VALUE(MID($D2947,2,20)),1000000000)+ROW()/10000000,"")</f>
        <v/>
      </c>
    </row>
    <row r="2948" customFormat="false" ht="15" hidden="false" customHeight="false" outlineLevel="0" collapsed="false">
      <c r="F2948" s="15"/>
      <c r="N2948" s="16" t="str">
        <f aca="false">IF($D2948="","",M2948*Y2948/100)</f>
        <v/>
      </c>
      <c r="V2948" s="16" t="str">
        <f aca="false">IF($D2948="","",Y2948*AB2948/100)</f>
        <v/>
      </c>
      <c r="W2948" s="16" t="str">
        <f aca="false">IF($D2948="","",Y2948-V2948)</f>
        <v/>
      </c>
      <c r="X2948" s="16" t="str">
        <f aca="false">IF($D2948="","",W2948-N2948)</f>
        <v/>
      </c>
      <c r="AB2948" s="17" t="str">
        <f aca="false">IF($D2948="","",IF(OR($R2948=TRUE(),$R2948="TRUE"),Settings!$C$6,Settings!$C$7)*100)</f>
        <v/>
      </c>
      <c r="AH2948" s="18" t="str">
        <f aca="false">IF($D2948="","",IF(COUNTIF($D$2:$D2948,$D2948)=1,1,0))</f>
        <v/>
      </c>
      <c r="AI2948" s="18" t="str">
        <f aca="false">IF($AH2948=1,SUMPRODUCT(--($AK$2:$AK$4001&lt;$AK2948))+1,"")</f>
        <v/>
      </c>
      <c r="AJ2948" s="18" t="str">
        <f aca="false">IF($D2948="","",IF(OR($R2948=TRUE(),$R2948="TRUE"),1,0))</f>
        <v/>
      </c>
      <c r="AK2948" s="18" t="str">
        <f aca="false">IF($AH2948=1,IFERROR(VALUE(MID($D2948,2,20)),1000000000)+ROW()/10000000,"")</f>
        <v/>
      </c>
    </row>
    <row r="2949" customFormat="false" ht="15" hidden="false" customHeight="false" outlineLevel="0" collapsed="false">
      <c r="F2949" s="15"/>
      <c r="N2949" s="16" t="str">
        <f aca="false">IF($D2949="","",M2949*Y2949/100)</f>
        <v/>
      </c>
      <c r="V2949" s="16" t="str">
        <f aca="false">IF($D2949="","",Y2949*AB2949/100)</f>
        <v/>
      </c>
      <c r="W2949" s="16" t="str">
        <f aca="false">IF($D2949="","",Y2949-V2949)</f>
        <v/>
      </c>
      <c r="X2949" s="16" t="str">
        <f aca="false">IF($D2949="","",W2949-N2949)</f>
        <v/>
      </c>
      <c r="AB2949" s="17" t="str">
        <f aca="false">IF($D2949="","",IF(OR($R2949=TRUE(),$R2949="TRUE"),Settings!$C$6,Settings!$C$7)*100)</f>
        <v/>
      </c>
      <c r="AH2949" s="18" t="str">
        <f aca="false">IF($D2949="","",IF(COUNTIF($D$2:$D2949,$D2949)=1,1,0))</f>
        <v/>
      </c>
      <c r="AI2949" s="18" t="str">
        <f aca="false">IF($AH2949=1,SUMPRODUCT(--($AK$2:$AK$4001&lt;$AK2949))+1,"")</f>
        <v/>
      </c>
      <c r="AJ2949" s="18" t="str">
        <f aca="false">IF($D2949="","",IF(OR($R2949=TRUE(),$R2949="TRUE"),1,0))</f>
        <v/>
      </c>
      <c r="AK2949" s="18" t="str">
        <f aca="false">IF($AH2949=1,IFERROR(VALUE(MID($D2949,2,20)),1000000000)+ROW()/10000000,"")</f>
        <v/>
      </c>
    </row>
    <row r="2950" customFormat="false" ht="15" hidden="false" customHeight="false" outlineLevel="0" collapsed="false">
      <c r="F2950" s="15"/>
      <c r="N2950" s="16" t="str">
        <f aca="false">IF($D2950="","",M2950*Y2950/100)</f>
        <v/>
      </c>
      <c r="V2950" s="16" t="str">
        <f aca="false">IF($D2950="","",Y2950*AB2950/100)</f>
        <v/>
      </c>
      <c r="W2950" s="16" t="str">
        <f aca="false">IF($D2950="","",Y2950-V2950)</f>
        <v/>
      </c>
      <c r="X2950" s="16" t="str">
        <f aca="false">IF($D2950="","",W2950-N2950)</f>
        <v/>
      </c>
      <c r="AB2950" s="17" t="str">
        <f aca="false">IF($D2950="","",IF(OR($R2950=TRUE(),$R2950="TRUE"),Settings!$C$6,Settings!$C$7)*100)</f>
        <v/>
      </c>
      <c r="AH2950" s="18" t="str">
        <f aca="false">IF($D2950="","",IF(COUNTIF($D$2:$D2950,$D2950)=1,1,0))</f>
        <v/>
      </c>
      <c r="AI2950" s="18" t="str">
        <f aca="false">IF($AH2950=1,SUMPRODUCT(--($AK$2:$AK$4001&lt;$AK2950))+1,"")</f>
        <v/>
      </c>
      <c r="AJ2950" s="18" t="str">
        <f aca="false">IF($D2950="","",IF(OR($R2950=TRUE(),$R2950="TRUE"),1,0))</f>
        <v/>
      </c>
      <c r="AK2950" s="18" t="str">
        <f aca="false">IF($AH2950=1,IFERROR(VALUE(MID($D2950,2,20)),1000000000)+ROW()/10000000,"")</f>
        <v/>
      </c>
    </row>
    <row r="2951" customFormat="false" ht="15" hidden="false" customHeight="false" outlineLevel="0" collapsed="false">
      <c r="F2951" s="15"/>
      <c r="N2951" s="16" t="str">
        <f aca="false">IF($D2951="","",M2951*Y2951/100)</f>
        <v/>
      </c>
      <c r="V2951" s="16" t="str">
        <f aca="false">IF($D2951="","",Y2951*AB2951/100)</f>
        <v/>
      </c>
      <c r="W2951" s="16" t="str">
        <f aca="false">IF($D2951="","",Y2951-V2951)</f>
        <v/>
      </c>
      <c r="X2951" s="16" t="str">
        <f aca="false">IF($D2951="","",W2951-N2951)</f>
        <v/>
      </c>
      <c r="AB2951" s="17" t="str">
        <f aca="false">IF($D2951="","",IF(OR($R2951=TRUE(),$R2951="TRUE"),Settings!$C$6,Settings!$C$7)*100)</f>
        <v/>
      </c>
      <c r="AH2951" s="18" t="str">
        <f aca="false">IF($D2951="","",IF(COUNTIF($D$2:$D2951,$D2951)=1,1,0))</f>
        <v/>
      </c>
      <c r="AI2951" s="18" t="str">
        <f aca="false">IF($AH2951=1,SUMPRODUCT(--($AK$2:$AK$4001&lt;$AK2951))+1,"")</f>
        <v/>
      </c>
      <c r="AJ2951" s="18" t="str">
        <f aca="false">IF($D2951="","",IF(OR($R2951=TRUE(),$R2951="TRUE"),1,0))</f>
        <v/>
      </c>
      <c r="AK2951" s="18" t="str">
        <f aca="false">IF($AH2951=1,IFERROR(VALUE(MID($D2951,2,20)),1000000000)+ROW()/10000000,"")</f>
        <v/>
      </c>
    </row>
    <row r="2952" customFormat="false" ht="15" hidden="false" customHeight="false" outlineLevel="0" collapsed="false">
      <c r="F2952" s="15"/>
      <c r="N2952" s="16" t="str">
        <f aca="false">IF($D2952="","",M2952*Y2952/100)</f>
        <v/>
      </c>
      <c r="V2952" s="16" t="str">
        <f aca="false">IF($D2952="","",Y2952*AB2952/100)</f>
        <v/>
      </c>
      <c r="W2952" s="16" t="str">
        <f aca="false">IF($D2952="","",Y2952-V2952)</f>
        <v/>
      </c>
      <c r="X2952" s="16" t="str">
        <f aca="false">IF($D2952="","",W2952-N2952)</f>
        <v/>
      </c>
      <c r="AB2952" s="17" t="str">
        <f aca="false">IF($D2952="","",IF(OR($R2952=TRUE(),$R2952="TRUE"),Settings!$C$6,Settings!$C$7)*100)</f>
        <v/>
      </c>
      <c r="AH2952" s="18" t="str">
        <f aca="false">IF($D2952="","",IF(COUNTIF($D$2:$D2952,$D2952)=1,1,0))</f>
        <v/>
      </c>
      <c r="AI2952" s="18" t="str">
        <f aca="false">IF($AH2952=1,SUMPRODUCT(--($AK$2:$AK$4001&lt;$AK2952))+1,"")</f>
        <v/>
      </c>
      <c r="AJ2952" s="18" t="str">
        <f aca="false">IF($D2952="","",IF(OR($R2952=TRUE(),$R2952="TRUE"),1,0))</f>
        <v/>
      </c>
      <c r="AK2952" s="18" t="str">
        <f aca="false">IF($AH2952=1,IFERROR(VALUE(MID($D2952,2,20)),1000000000)+ROW()/10000000,"")</f>
        <v/>
      </c>
    </row>
    <row r="2953" customFormat="false" ht="15" hidden="false" customHeight="false" outlineLevel="0" collapsed="false">
      <c r="F2953" s="15"/>
      <c r="N2953" s="16" t="str">
        <f aca="false">IF($D2953="","",M2953*Y2953/100)</f>
        <v/>
      </c>
      <c r="V2953" s="16" t="str">
        <f aca="false">IF($D2953="","",Y2953*AB2953/100)</f>
        <v/>
      </c>
      <c r="W2953" s="16" t="str">
        <f aca="false">IF($D2953="","",Y2953-V2953)</f>
        <v/>
      </c>
      <c r="X2953" s="16" t="str">
        <f aca="false">IF($D2953="","",W2953-N2953)</f>
        <v/>
      </c>
      <c r="AB2953" s="17" t="str">
        <f aca="false">IF($D2953="","",IF(OR($R2953=TRUE(),$R2953="TRUE"),Settings!$C$6,Settings!$C$7)*100)</f>
        <v/>
      </c>
      <c r="AH2953" s="18" t="str">
        <f aca="false">IF($D2953="","",IF(COUNTIF($D$2:$D2953,$D2953)=1,1,0))</f>
        <v/>
      </c>
      <c r="AI2953" s="18" t="str">
        <f aca="false">IF($AH2953=1,SUMPRODUCT(--($AK$2:$AK$4001&lt;$AK2953))+1,"")</f>
        <v/>
      </c>
      <c r="AJ2953" s="18" t="str">
        <f aca="false">IF($D2953="","",IF(OR($R2953=TRUE(),$R2953="TRUE"),1,0))</f>
        <v/>
      </c>
      <c r="AK2953" s="18" t="str">
        <f aca="false">IF($AH2953=1,IFERROR(VALUE(MID($D2953,2,20)),1000000000)+ROW()/10000000,"")</f>
        <v/>
      </c>
    </row>
    <row r="2954" customFormat="false" ht="15" hidden="false" customHeight="false" outlineLevel="0" collapsed="false">
      <c r="F2954" s="15"/>
      <c r="N2954" s="16" t="str">
        <f aca="false">IF($D2954="","",M2954*Y2954/100)</f>
        <v/>
      </c>
      <c r="V2954" s="16" t="str">
        <f aca="false">IF($D2954="","",Y2954*AB2954/100)</f>
        <v/>
      </c>
      <c r="W2954" s="16" t="str">
        <f aca="false">IF($D2954="","",Y2954-V2954)</f>
        <v/>
      </c>
      <c r="X2954" s="16" t="str">
        <f aca="false">IF($D2954="","",W2954-N2954)</f>
        <v/>
      </c>
      <c r="AB2954" s="17" t="str">
        <f aca="false">IF($D2954="","",IF(OR($R2954=TRUE(),$R2954="TRUE"),Settings!$C$6,Settings!$C$7)*100)</f>
        <v/>
      </c>
      <c r="AH2954" s="18" t="str">
        <f aca="false">IF($D2954="","",IF(COUNTIF($D$2:$D2954,$D2954)=1,1,0))</f>
        <v/>
      </c>
      <c r="AI2954" s="18" t="str">
        <f aca="false">IF($AH2954=1,SUMPRODUCT(--($AK$2:$AK$4001&lt;$AK2954))+1,"")</f>
        <v/>
      </c>
      <c r="AJ2954" s="18" t="str">
        <f aca="false">IF($D2954="","",IF(OR($R2954=TRUE(),$R2954="TRUE"),1,0))</f>
        <v/>
      </c>
      <c r="AK2954" s="18" t="str">
        <f aca="false">IF($AH2954=1,IFERROR(VALUE(MID($D2954,2,20)),1000000000)+ROW()/10000000,"")</f>
        <v/>
      </c>
    </row>
    <row r="2955" customFormat="false" ht="15" hidden="false" customHeight="false" outlineLevel="0" collapsed="false">
      <c r="F2955" s="15"/>
      <c r="N2955" s="16" t="str">
        <f aca="false">IF($D2955="","",M2955*Y2955/100)</f>
        <v/>
      </c>
      <c r="V2955" s="16" t="str">
        <f aca="false">IF($D2955="","",Y2955*AB2955/100)</f>
        <v/>
      </c>
      <c r="W2955" s="16" t="str">
        <f aca="false">IF($D2955="","",Y2955-V2955)</f>
        <v/>
      </c>
      <c r="X2955" s="16" t="str">
        <f aca="false">IF($D2955="","",W2955-N2955)</f>
        <v/>
      </c>
      <c r="AB2955" s="17" t="str">
        <f aca="false">IF($D2955="","",IF(OR($R2955=TRUE(),$R2955="TRUE"),Settings!$C$6,Settings!$C$7)*100)</f>
        <v/>
      </c>
      <c r="AH2955" s="18" t="str">
        <f aca="false">IF($D2955="","",IF(COUNTIF($D$2:$D2955,$D2955)=1,1,0))</f>
        <v/>
      </c>
      <c r="AI2955" s="18" t="str">
        <f aca="false">IF($AH2955=1,SUMPRODUCT(--($AK$2:$AK$4001&lt;$AK2955))+1,"")</f>
        <v/>
      </c>
      <c r="AJ2955" s="18" t="str">
        <f aca="false">IF($D2955="","",IF(OR($R2955=TRUE(),$R2955="TRUE"),1,0))</f>
        <v/>
      </c>
      <c r="AK2955" s="18" t="str">
        <f aca="false">IF($AH2955=1,IFERROR(VALUE(MID($D2955,2,20)),1000000000)+ROW()/10000000,"")</f>
        <v/>
      </c>
    </row>
    <row r="2956" customFormat="false" ht="15" hidden="false" customHeight="false" outlineLevel="0" collapsed="false">
      <c r="F2956" s="15"/>
      <c r="N2956" s="16" t="str">
        <f aca="false">IF($D2956="","",M2956*Y2956/100)</f>
        <v/>
      </c>
      <c r="V2956" s="16" t="str">
        <f aca="false">IF($D2956="","",Y2956*AB2956/100)</f>
        <v/>
      </c>
      <c r="W2956" s="16" t="str">
        <f aca="false">IF($D2956="","",Y2956-V2956)</f>
        <v/>
      </c>
      <c r="X2956" s="16" t="str">
        <f aca="false">IF($D2956="","",W2956-N2956)</f>
        <v/>
      </c>
      <c r="AB2956" s="17" t="str">
        <f aca="false">IF($D2956="","",IF(OR($R2956=TRUE(),$R2956="TRUE"),Settings!$C$6,Settings!$C$7)*100)</f>
        <v/>
      </c>
      <c r="AH2956" s="18" t="str">
        <f aca="false">IF($D2956="","",IF(COUNTIF($D$2:$D2956,$D2956)=1,1,0))</f>
        <v/>
      </c>
      <c r="AI2956" s="18" t="str">
        <f aca="false">IF($AH2956=1,SUMPRODUCT(--($AK$2:$AK$4001&lt;$AK2956))+1,"")</f>
        <v/>
      </c>
      <c r="AJ2956" s="18" t="str">
        <f aca="false">IF($D2956="","",IF(OR($R2956=TRUE(),$R2956="TRUE"),1,0))</f>
        <v/>
      </c>
      <c r="AK2956" s="18" t="str">
        <f aca="false">IF($AH2956=1,IFERROR(VALUE(MID($D2956,2,20)),1000000000)+ROW()/10000000,"")</f>
        <v/>
      </c>
    </row>
    <row r="2957" customFormat="false" ht="15" hidden="false" customHeight="false" outlineLevel="0" collapsed="false">
      <c r="F2957" s="15"/>
      <c r="N2957" s="16" t="str">
        <f aca="false">IF($D2957="","",M2957*Y2957/100)</f>
        <v/>
      </c>
      <c r="V2957" s="16" t="str">
        <f aca="false">IF($D2957="","",Y2957*AB2957/100)</f>
        <v/>
      </c>
      <c r="W2957" s="16" t="str">
        <f aca="false">IF($D2957="","",Y2957-V2957)</f>
        <v/>
      </c>
      <c r="X2957" s="16" t="str">
        <f aca="false">IF($D2957="","",W2957-N2957)</f>
        <v/>
      </c>
      <c r="AB2957" s="17" t="str">
        <f aca="false">IF($D2957="","",IF(OR($R2957=TRUE(),$R2957="TRUE"),Settings!$C$6,Settings!$C$7)*100)</f>
        <v/>
      </c>
      <c r="AH2957" s="18" t="str">
        <f aca="false">IF($D2957="","",IF(COUNTIF($D$2:$D2957,$D2957)=1,1,0))</f>
        <v/>
      </c>
      <c r="AI2957" s="18" t="str">
        <f aca="false">IF($AH2957=1,SUMPRODUCT(--($AK$2:$AK$4001&lt;$AK2957))+1,"")</f>
        <v/>
      </c>
      <c r="AJ2957" s="18" t="str">
        <f aca="false">IF($D2957="","",IF(OR($R2957=TRUE(),$R2957="TRUE"),1,0))</f>
        <v/>
      </c>
      <c r="AK2957" s="18" t="str">
        <f aca="false">IF($AH2957=1,IFERROR(VALUE(MID($D2957,2,20)),1000000000)+ROW()/10000000,"")</f>
        <v/>
      </c>
    </row>
    <row r="2958" customFormat="false" ht="15" hidden="false" customHeight="false" outlineLevel="0" collapsed="false">
      <c r="F2958" s="15"/>
      <c r="N2958" s="16" t="str">
        <f aca="false">IF($D2958="","",M2958*Y2958/100)</f>
        <v/>
      </c>
      <c r="V2958" s="16" t="str">
        <f aca="false">IF($D2958="","",Y2958*AB2958/100)</f>
        <v/>
      </c>
      <c r="W2958" s="16" t="str">
        <f aca="false">IF($D2958="","",Y2958-V2958)</f>
        <v/>
      </c>
      <c r="X2958" s="16" t="str">
        <f aca="false">IF($D2958="","",W2958-N2958)</f>
        <v/>
      </c>
      <c r="AB2958" s="17" t="str">
        <f aca="false">IF($D2958="","",IF(OR($R2958=TRUE(),$R2958="TRUE"),Settings!$C$6,Settings!$C$7)*100)</f>
        <v/>
      </c>
      <c r="AH2958" s="18" t="str">
        <f aca="false">IF($D2958="","",IF(COUNTIF($D$2:$D2958,$D2958)=1,1,0))</f>
        <v/>
      </c>
      <c r="AI2958" s="18" t="str">
        <f aca="false">IF($AH2958=1,SUMPRODUCT(--($AK$2:$AK$4001&lt;$AK2958))+1,"")</f>
        <v/>
      </c>
      <c r="AJ2958" s="18" t="str">
        <f aca="false">IF($D2958="","",IF(OR($R2958=TRUE(),$R2958="TRUE"),1,0))</f>
        <v/>
      </c>
      <c r="AK2958" s="18" t="str">
        <f aca="false">IF($AH2958=1,IFERROR(VALUE(MID($D2958,2,20)),1000000000)+ROW()/10000000,"")</f>
        <v/>
      </c>
    </row>
    <row r="2959" customFormat="false" ht="15" hidden="false" customHeight="false" outlineLevel="0" collapsed="false">
      <c r="F2959" s="15"/>
      <c r="N2959" s="16" t="str">
        <f aca="false">IF($D2959="","",M2959*Y2959/100)</f>
        <v/>
      </c>
      <c r="V2959" s="16" t="str">
        <f aca="false">IF($D2959="","",Y2959*AB2959/100)</f>
        <v/>
      </c>
      <c r="W2959" s="16" t="str">
        <f aca="false">IF($D2959="","",Y2959-V2959)</f>
        <v/>
      </c>
      <c r="X2959" s="16" t="str">
        <f aca="false">IF($D2959="","",W2959-N2959)</f>
        <v/>
      </c>
      <c r="AB2959" s="17" t="str">
        <f aca="false">IF($D2959="","",IF(OR($R2959=TRUE(),$R2959="TRUE"),Settings!$C$6,Settings!$C$7)*100)</f>
        <v/>
      </c>
      <c r="AH2959" s="18" t="str">
        <f aca="false">IF($D2959="","",IF(COUNTIF($D$2:$D2959,$D2959)=1,1,0))</f>
        <v/>
      </c>
      <c r="AI2959" s="18" t="str">
        <f aca="false">IF($AH2959=1,SUMPRODUCT(--($AK$2:$AK$4001&lt;$AK2959))+1,"")</f>
        <v/>
      </c>
      <c r="AJ2959" s="18" t="str">
        <f aca="false">IF($D2959="","",IF(OR($R2959=TRUE(),$R2959="TRUE"),1,0))</f>
        <v/>
      </c>
      <c r="AK2959" s="18" t="str">
        <f aca="false">IF($AH2959=1,IFERROR(VALUE(MID($D2959,2,20)),1000000000)+ROW()/10000000,"")</f>
        <v/>
      </c>
    </row>
    <row r="2960" customFormat="false" ht="15" hidden="false" customHeight="false" outlineLevel="0" collapsed="false">
      <c r="F2960" s="15"/>
      <c r="N2960" s="16" t="str">
        <f aca="false">IF($D2960="","",M2960*Y2960/100)</f>
        <v/>
      </c>
      <c r="V2960" s="16" t="str">
        <f aca="false">IF($D2960="","",Y2960*AB2960/100)</f>
        <v/>
      </c>
      <c r="W2960" s="16" t="str">
        <f aca="false">IF($D2960="","",Y2960-V2960)</f>
        <v/>
      </c>
      <c r="X2960" s="16" t="str">
        <f aca="false">IF($D2960="","",W2960-N2960)</f>
        <v/>
      </c>
      <c r="AB2960" s="17" t="str">
        <f aca="false">IF($D2960="","",IF(OR($R2960=TRUE(),$R2960="TRUE"),Settings!$C$6,Settings!$C$7)*100)</f>
        <v/>
      </c>
      <c r="AH2960" s="18" t="str">
        <f aca="false">IF($D2960="","",IF(COUNTIF($D$2:$D2960,$D2960)=1,1,0))</f>
        <v/>
      </c>
      <c r="AI2960" s="18" t="str">
        <f aca="false">IF($AH2960=1,SUMPRODUCT(--($AK$2:$AK$4001&lt;$AK2960))+1,"")</f>
        <v/>
      </c>
      <c r="AJ2960" s="18" t="str">
        <f aca="false">IF($D2960="","",IF(OR($R2960=TRUE(),$R2960="TRUE"),1,0))</f>
        <v/>
      </c>
      <c r="AK2960" s="18" t="str">
        <f aca="false">IF($AH2960=1,IFERROR(VALUE(MID($D2960,2,20)),1000000000)+ROW()/10000000,"")</f>
        <v/>
      </c>
    </row>
    <row r="2961" customFormat="false" ht="15" hidden="false" customHeight="false" outlineLevel="0" collapsed="false">
      <c r="F2961" s="15"/>
      <c r="N2961" s="16" t="str">
        <f aca="false">IF($D2961="","",M2961*Y2961/100)</f>
        <v/>
      </c>
      <c r="V2961" s="16" t="str">
        <f aca="false">IF($D2961="","",Y2961*AB2961/100)</f>
        <v/>
      </c>
      <c r="W2961" s="16" t="str">
        <f aca="false">IF($D2961="","",Y2961-V2961)</f>
        <v/>
      </c>
      <c r="X2961" s="16" t="str">
        <f aca="false">IF($D2961="","",W2961-N2961)</f>
        <v/>
      </c>
      <c r="AB2961" s="17" t="str">
        <f aca="false">IF($D2961="","",IF(OR($R2961=TRUE(),$R2961="TRUE"),Settings!$C$6,Settings!$C$7)*100)</f>
        <v/>
      </c>
      <c r="AH2961" s="18" t="str">
        <f aca="false">IF($D2961="","",IF(COUNTIF($D$2:$D2961,$D2961)=1,1,0))</f>
        <v/>
      </c>
      <c r="AI2961" s="18" t="str">
        <f aca="false">IF($AH2961=1,SUMPRODUCT(--($AK$2:$AK$4001&lt;$AK2961))+1,"")</f>
        <v/>
      </c>
      <c r="AJ2961" s="18" t="str">
        <f aca="false">IF($D2961="","",IF(OR($R2961=TRUE(),$R2961="TRUE"),1,0))</f>
        <v/>
      </c>
      <c r="AK2961" s="18" t="str">
        <f aca="false">IF($AH2961=1,IFERROR(VALUE(MID($D2961,2,20)),1000000000)+ROW()/10000000,"")</f>
        <v/>
      </c>
    </row>
    <row r="2962" customFormat="false" ht="15" hidden="false" customHeight="false" outlineLevel="0" collapsed="false">
      <c r="F2962" s="15"/>
      <c r="N2962" s="16" t="str">
        <f aca="false">IF($D2962="","",M2962*Y2962/100)</f>
        <v/>
      </c>
      <c r="V2962" s="16" t="str">
        <f aca="false">IF($D2962="","",Y2962*AB2962/100)</f>
        <v/>
      </c>
      <c r="W2962" s="16" t="str">
        <f aca="false">IF($D2962="","",Y2962-V2962)</f>
        <v/>
      </c>
      <c r="X2962" s="16" t="str">
        <f aca="false">IF($D2962="","",W2962-N2962)</f>
        <v/>
      </c>
      <c r="AB2962" s="17" t="str">
        <f aca="false">IF($D2962="","",IF(OR($R2962=TRUE(),$R2962="TRUE"),Settings!$C$6,Settings!$C$7)*100)</f>
        <v/>
      </c>
      <c r="AH2962" s="18" t="str">
        <f aca="false">IF($D2962="","",IF(COUNTIF($D$2:$D2962,$D2962)=1,1,0))</f>
        <v/>
      </c>
      <c r="AI2962" s="18" t="str">
        <f aca="false">IF($AH2962=1,SUMPRODUCT(--($AK$2:$AK$4001&lt;$AK2962))+1,"")</f>
        <v/>
      </c>
      <c r="AJ2962" s="18" t="str">
        <f aca="false">IF($D2962="","",IF(OR($R2962=TRUE(),$R2962="TRUE"),1,0))</f>
        <v/>
      </c>
      <c r="AK2962" s="18" t="str">
        <f aca="false">IF($AH2962=1,IFERROR(VALUE(MID($D2962,2,20)),1000000000)+ROW()/10000000,"")</f>
        <v/>
      </c>
    </row>
    <row r="2963" customFormat="false" ht="15" hidden="false" customHeight="false" outlineLevel="0" collapsed="false">
      <c r="F2963" s="15"/>
      <c r="N2963" s="16" t="str">
        <f aca="false">IF($D2963="","",M2963*Y2963/100)</f>
        <v/>
      </c>
      <c r="V2963" s="16" t="str">
        <f aca="false">IF($D2963="","",Y2963*AB2963/100)</f>
        <v/>
      </c>
      <c r="W2963" s="16" t="str">
        <f aca="false">IF($D2963="","",Y2963-V2963)</f>
        <v/>
      </c>
      <c r="X2963" s="16" t="str">
        <f aca="false">IF($D2963="","",W2963-N2963)</f>
        <v/>
      </c>
      <c r="AB2963" s="17" t="str">
        <f aca="false">IF($D2963="","",IF(OR($R2963=TRUE(),$R2963="TRUE"),Settings!$C$6,Settings!$C$7)*100)</f>
        <v/>
      </c>
      <c r="AH2963" s="18" t="str">
        <f aca="false">IF($D2963="","",IF(COUNTIF($D$2:$D2963,$D2963)=1,1,0))</f>
        <v/>
      </c>
      <c r="AI2963" s="18" t="str">
        <f aca="false">IF($AH2963=1,SUMPRODUCT(--($AK$2:$AK$4001&lt;$AK2963))+1,"")</f>
        <v/>
      </c>
      <c r="AJ2963" s="18" t="str">
        <f aca="false">IF($D2963="","",IF(OR($R2963=TRUE(),$R2963="TRUE"),1,0))</f>
        <v/>
      </c>
      <c r="AK2963" s="18" t="str">
        <f aca="false">IF($AH2963=1,IFERROR(VALUE(MID($D2963,2,20)),1000000000)+ROW()/10000000,"")</f>
        <v/>
      </c>
    </row>
    <row r="2964" customFormat="false" ht="15" hidden="false" customHeight="false" outlineLevel="0" collapsed="false">
      <c r="F2964" s="15"/>
      <c r="N2964" s="16" t="str">
        <f aca="false">IF($D2964="","",M2964*Y2964/100)</f>
        <v/>
      </c>
      <c r="V2964" s="16" t="str">
        <f aca="false">IF($D2964="","",Y2964*AB2964/100)</f>
        <v/>
      </c>
      <c r="W2964" s="16" t="str">
        <f aca="false">IF($D2964="","",Y2964-V2964)</f>
        <v/>
      </c>
      <c r="X2964" s="16" t="str">
        <f aca="false">IF($D2964="","",W2964-N2964)</f>
        <v/>
      </c>
      <c r="AB2964" s="17" t="str">
        <f aca="false">IF($D2964="","",IF(OR($R2964=TRUE(),$R2964="TRUE"),Settings!$C$6,Settings!$C$7)*100)</f>
        <v/>
      </c>
      <c r="AH2964" s="18" t="str">
        <f aca="false">IF($D2964="","",IF(COUNTIF($D$2:$D2964,$D2964)=1,1,0))</f>
        <v/>
      </c>
      <c r="AI2964" s="18" t="str">
        <f aca="false">IF($AH2964=1,SUMPRODUCT(--($AK$2:$AK$4001&lt;$AK2964))+1,"")</f>
        <v/>
      </c>
      <c r="AJ2964" s="18" t="str">
        <f aca="false">IF($D2964="","",IF(OR($R2964=TRUE(),$R2964="TRUE"),1,0))</f>
        <v/>
      </c>
      <c r="AK2964" s="18" t="str">
        <f aca="false">IF($AH2964=1,IFERROR(VALUE(MID($D2964,2,20)),1000000000)+ROW()/10000000,"")</f>
        <v/>
      </c>
    </row>
    <row r="2965" customFormat="false" ht="15" hidden="false" customHeight="false" outlineLevel="0" collapsed="false">
      <c r="F2965" s="15"/>
      <c r="N2965" s="16" t="str">
        <f aca="false">IF($D2965="","",M2965*Y2965/100)</f>
        <v/>
      </c>
      <c r="V2965" s="16" t="str">
        <f aca="false">IF($D2965="","",Y2965*AB2965/100)</f>
        <v/>
      </c>
      <c r="W2965" s="16" t="str">
        <f aca="false">IF($D2965="","",Y2965-V2965)</f>
        <v/>
      </c>
      <c r="X2965" s="16" t="str">
        <f aca="false">IF($D2965="","",W2965-N2965)</f>
        <v/>
      </c>
      <c r="AB2965" s="17" t="str">
        <f aca="false">IF($D2965="","",IF(OR($R2965=TRUE(),$R2965="TRUE"),Settings!$C$6,Settings!$C$7)*100)</f>
        <v/>
      </c>
      <c r="AH2965" s="18" t="str">
        <f aca="false">IF($D2965="","",IF(COUNTIF($D$2:$D2965,$D2965)=1,1,0))</f>
        <v/>
      </c>
      <c r="AI2965" s="18" t="str">
        <f aca="false">IF($AH2965=1,SUMPRODUCT(--($AK$2:$AK$4001&lt;$AK2965))+1,"")</f>
        <v/>
      </c>
      <c r="AJ2965" s="18" t="str">
        <f aca="false">IF($D2965="","",IF(OR($R2965=TRUE(),$R2965="TRUE"),1,0))</f>
        <v/>
      </c>
      <c r="AK2965" s="18" t="str">
        <f aca="false">IF($AH2965=1,IFERROR(VALUE(MID($D2965,2,20)),1000000000)+ROW()/10000000,"")</f>
        <v/>
      </c>
    </row>
    <row r="2966" customFormat="false" ht="15" hidden="false" customHeight="false" outlineLevel="0" collapsed="false">
      <c r="F2966" s="15"/>
      <c r="N2966" s="16" t="str">
        <f aca="false">IF($D2966="","",M2966*Y2966/100)</f>
        <v/>
      </c>
      <c r="V2966" s="16" t="str">
        <f aca="false">IF($D2966="","",Y2966*AB2966/100)</f>
        <v/>
      </c>
      <c r="W2966" s="16" t="str">
        <f aca="false">IF($D2966="","",Y2966-V2966)</f>
        <v/>
      </c>
      <c r="X2966" s="16" t="str">
        <f aca="false">IF($D2966="","",W2966-N2966)</f>
        <v/>
      </c>
      <c r="AB2966" s="17" t="str">
        <f aca="false">IF($D2966="","",IF(OR($R2966=TRUE(),$R2966="TRUE"),Settings!$C$6,Settings!$C$7)*100)</f>
        <v/>
      </c>
      <c r="AH2966" s="18" t="str">
        <f aca="false">IF($D2966="","",IF(COUNTIF($D$2:$D2966,$D2966)=1,1,0))</f>
        <v/>
      </c>
      <c r="AI2966" s="18" t="str">
        <f aca="false">IF($AH2966=1,SUMPRODUCT(--($AK$2:$AK$4001&lt;$AK2966))+1,"")</f>
        <v/>
      </c>
      <c r="AJ2966" s="18" t="str">
        <f aca="false">IF($D2966="","",IF(OR($R2966=TRUE(),$R2966="TRUE"),1,0))</f>
        <v/>
      </c>
      <c r="AK2966" s="18" t="str">
        <f aca="false">IF($AH2966=1,IFERROR(VALUE(MID($D2966,2,20)),1000000000)+ROW()/10000000,"")</f>
        <v/>
      </c>
    </row>
    <row r="2967" customFormat="false" ht="15" hidden="false" customHeight="false" outlineLevel="0" collapsed="false">
      <c r="F2967" s="15"/>
      <c r="N2967" s="16" t="str">
        <f aca="false">IF($D2967="","",M2967*Y2967/100)</f>
        <v/>
      </c>
      <c r="V2967" s="16" t="str">
        <f aca="false">IF($D2967="","",Y2967*AB2967/100)</f>
        <v/>
      </c>
      <c r="W2967" s="16" t="str">
        <f aca="false">IF($D2967="","",Y2967-V2967)</f>
        <v/>
      </c>
      <c r="X2967" s="16" t="str">
        <f aca="false">IF($D2967="","",W2967-N2967)</f>
        <v/>
      </c>
      <c r="AB2967" s="17" t="str">
        <f aca="false">IF($D2967="","",IF(OR($R2967=TRUE(),$R2967="TRUE"),Settings!$C$6,Settings!$C$7)*100)</f>
        <v/>
      </c>
      <c r="AH2967" s="18" t="str">
        <f aca="false">IF($D2967="","",IF(COUNTIF($D$2:$D2967,$D2967)=1,1,0))</f>
        <v/>
      </c>
      <c r="AI2967" s="18" t="str">
        <f aca="false">IF($AH2967=1,SUMPRODUCT(--($AK$2:$AK$4001&lt;$AK2967))+1,"")</f>
        <v/>
      </c>
      <c r="AJ2967" s="18" t="str">
        <f aca="false">IF($D2967="","",IF(OR($R2967=TRUE(),$R2967="TRUE"),1,0))</f>
        <v/>
      </c>
      <c r="AK2967" s="18" t="str">
        <f aca="false">IF($AH2967=1,IFERROR(VALUE(MID($D2967,2,20)),1000000000)+ROW()/10000000,"")</f>
        <v/>
      </c>
    </row>
    <row r="2968" customFormat="false" ht="15" hidden="false" customHeight="false" outlineLevel="0" collapsed="false">
      <c r="F2968" s="15"/>
      <c r="N2968" s="16" t="str">
        <f aca="false">IF($D2968="","",M2968*Y2968/100)</f>
        <v/>
      </c>
      <c r="V2968" s="16" t="str">
        <f aca="false">IF($D2968="","",Y2968*AB2968/100)</f>
        <v/>
      </c>
      <c r="W2968" s="16" t="str">
        <f aca="false">IF($D2968="","",Y2968-V2968)</f>
        <v/>
      </c>
      <c r="X2968" s="16" t="str">
        <f aca="false">IF($D2968="","",W2968-N2968)</f>
        <v/>
      </c>
      <c r="AB2968" s="17" t="str">
        <f aca="false">IF($D2968="","",IF(OR($R2968=TRUE(),$R2968="TRUE"),Settings!$C$6,Settings!$C$7)*100)</f>
        <v/>
      </c>
      <c r="AH2968" s="18" t="str">
        <f aca="false">IF($D2968="","",IF(COUNTIF($D$2:$D2968,$D2968)=1,1,0))</f>
        <v/>
      </c>
      <c r="AI2968" s="18" t="str">
        <f aca="false">IF($AH2968=1,SUMPRODUCT(--($AK$2:$AK$4001&lt;$AK2968))+1,"")</f>
        <v/>
      </c>
      <c r="AJ2968" s="18" t="str">
        <f aca="false">IF($D2968="","",IF(OR($R2968=TRUE(),$R2968="TRUE"),1,0))</f>
        <v/>
      </c>
      <c r="AK2968" s="18" t="str">
        <f aca="false">IF($AH2968=1,IFERROR(VALUE(MID($D2968,2,20)),1000000000)+ROW()/10000000,"")</f>
        <v/>
      </c>
    </row>
    <row r="2969" customFormat="false" ht="15" hidden="false" customHeight="false" outlineLevel="0" collapsed="false">
      <c r="F2969" s="15"/>
      <c r="N2969" s="16" t="str">
        <f aca="false">IF($D2969="","",M2969*Y2969/100)</f>
        <v/>
      </c>
      <c r="V2969" s="16" t="str">
        <f aca="false">IF($D2969="","",Y2969*AB2969/100)</f>
        <v/>
      </c>
      <c r="W2969" s="16" t="str">
        <f aca="false">IF($D2969="","",Y2969-V2969)</f>
        <v/>
      </c>
      <c r="X2969" s="16" t="str">
        <f aca="false">IF($D2969="","",W2969-N2969)</f>
        <v/>
      </c>
      <c r="AB2969" s="17" t="str">
        <f aca="false">IF($D2969="","",IF(OR($R2969=TRUE(),$R2969="TRUE"),Settings!$C$6,Settings!$C$7)*100)</f>
        <v/>
      </c>
      <c r="AH2969" s="18" t="str">
        <f aca="false">IF($D2969="","",IF(COUNTIF($D$2:$D2969,$D2969)=1,1,0))</f>
        <v/>
      </c>
      <c r="AI2969" s="18" t="str">
        <f aca="false">IF($AH2969=1,SUMPRODUCT(--($AK$2:$AK$4001&lt;$AK2969))+1,"")</f>
        <v/>
      </c>
      <c r="AJ2969" s="18" t="str">
        <f aca="false">IF($D2969="","",IF(OR($R2969=TRUE(),$R2969="TRUE"),1,0))</f>
        <v/>
      </c>
      <c r="AK2969" s="18" t="str">
        <f aca="false">IF($AH2969=1,IFERROR(VALUE(MID($D2969,2,20)),1000000000)+ROW()/10000000,"")</f>
        <v/>
      </c>
    </row>
    <row r="2970" customFormat="false" ht="15" hidden="false" customHeight="false" outlineLevel="0" collapsed="false">
      <c r="F2970" s="15"/>
      <c r="N2970" s="16" t="str">
        <f aca="false">IF($D2970="","",M2970*Y2970/100)</f>
        <v/>
      </c>
      <c r="V2970" s="16" t="str">
        <f aca="false">IF($D2970="","",Y2970*AB2970/100)</f>
        <v/>
      </c>
      <c r="W2970" s="16" t="str">
        <f aca="false">IF($D2970="","",Y2970-V2970)</f>
        <v/>
      </c>
      <c r="X2970" s="16" t="str">
        <f aca="false">IF($D2970="","",W2970-N2970)</f>
        <v/>
      </c>
      <c r="AB2970" s="17" t="str">
        <f aca="false">IF($D2970="","",IF(OR($R2970=TRUE(),$R2970="TRUE"),Settings!$C$6,Settings!$C$7)*100)</f>
        <v/>
      </c>
      <c r="AH2970" s="18" t="str">
        <f aca="false">IF($D2970="","",IF(COUNTIF($D$2:$D2970,$D2970)=1,1,0))</f>
        <v/>
      </c>
      <c r="AI2970" s="18" t="str">
        <f aca="false">IF($AH2970=1,SUMPRODUCT(--($AK$2:$AK$4001&lt;$AK2970))+1,"")</f>
        <v/>
      </c>
      <c r="AJ2970" s="18" t="str">
        <f aca="false">IF($D2970="","",IF(OR($R2970=TRUE(),$R2970="TRUE"),1,0))</f>
        <v/>
      </c>
      <c r="AK2970" s="18" t="str">
        <f aca="false">IF($AH2970=1,IFERROR(VALUE(MID($D2970,2,20)),1000000000)+ROW()/10000000,"")</f>
        <v/>
      </c>
    </row>
    <row r="2971" customFormat="false" ht="15" hidden="false" customHeight="false" outlineLevel="0" collapsed="false">
      <c r="F2971" s="15"/>
      <c r="N2971" s="16" t="str">
        <f aca="false">IF($D2971="","",M2971*Y2971/100)</f>
        <v/>
      </c>
      <c r="V2971" s="16" t="str">
        <f aca="false">IF($D2971="","",Y2971*AB2971/100)</f>
        <v/>
      </c>
      <c r="W2971" s="16" t="str">
        <f aca="false">IF($D2971="","",Y2971-V2971)</f>
        <v/>
      </c>
      <c r="X2971" s="16" t="str">
        <f aca="false">IF($D2971="","",W2971-N2971)</f>
        <v/>
      </c>
      <c r="AB2971" s="17" t="str">
        <f aca="false">IF($D2971="","",IF(OR($R2971=TRUE(),$R2971="TRUE"),Settings!$C$6,Settings!$C$7)*100)</f>
        <v/>
      </c>
      <c r="AH2971" s="18" t="str">
        <f aca="false">IF($D2971="","",IF(COUNTIF($D$2:$D2971,$D2971)=1,1,0))</f>
        <v/>
      </c>
      <c r="AI2971" s="18" t="str">
        <f aca="false">IF($AH2971=1,SUMPRODUCT(--($AK$2:$AK$4001&lt;$AK2971))+1,"")</f>
        <v/>
      </c>
      <c r="AJ2971" s="18" t="str">
        <f aca="false">IF($D2971="","",IF(OR($R2971=TRUE(),$R2971="TRUE"),1,0))</f>
        <v/>
      </c>
      <c r="AK2971" s="18" t="str">
        <f aca="false">IF($AH2971=1,IFERROR(VALUE(MID($D2971,2,20)),1000000000)+ROW()/10000000,"")</f>
        <v/>
      </c>
    </row>
    <row r="2972" customFormat="false" ht="15" hidden="false" customHeight="false" outlineLevel="0" collapsed="false">
      <c r="F2972" s="15"/>
      <c r="N2972" s="16" t="str">
        <f aca="false">IF($D2972="","",M2972*Y2972/100)</f>
        <v/>
      </c>
      <c r="V2972" s="16" t="str">
        <f aca="false">IF($D2972="","",Y2972*AB2972/100)</f>
        <v/>
      </c>
      <c r="W2972" s="16" t="str">
        <f aca="false">IF($D2972="","",Y2972-V2972)</f>
        <v/>
      </c>
      <c r="X2972" s="16" t="str">
        <f aca="false">IF($D2972="","",W2972-N2972)</f>
        <v/>
      </c>
      <c r="AB2972" s="17" t="str">
        <f aca="false">IF($D2972="","",IF(OR($R2972=TRUE(),$R2972="TRUE"),Settings!$C$6,Settings!$C$7)*100)</f>
        <v/>
      </c>
      <c r="AH2972" s="18" t="str">
        <f aca="false">IF($D2972="","",IF(COUNTIF($D$2:$D2972,$D2972)=1,1,0))</f>
        <v/>
      </c>
      <c r="AI2972" s="18" t="str">
        <f aca="false">IF($AH2972=1,SUMPRODUCT(--($AK$2:$AK$4001&lt;$AK2972))+1,"")</f>
        <v/>
      </c>
      <c r="AJ2972" s="18" t="str">
        <f aca="false">IF($D2972="","",IF(OR($R2972=TRUE(),$R2972="TRUE"),1,0))</f>
        <v/>
      </c>
      <c r="AK2972" s="18" t="str">
        <f aca="false">IF($AH2972=1,IFERROR(VALUE(MID($D2972,2,20)),1000000000)+ROW()/10000000,"")</f>
        <v/>
      </c>
    </row>
    <row r="2973" customFormat="false" ht="15" hidden="false" customHeight="false" outlineLevel="0" collapsed="false">
      <c r="F2973" s="15"/>
      <c r="N2973" s="16" t="str">
        <f aca="false">IF($D2973="","",M2973*Y2973/100)</f>
        <v/>
      </c>
      <c r="V2973" s="16" t="str">
        <f aca="false">IF($D2973="","",Y2973*AB2973/100)</f>
        <v/>
      </c>
      <c r="W2973" s="16" t="str">
        <f aca="false">IF($D2973="","",Y2973-V2973)</f>
        <v/>
      </c>
      <c r="X2973" s="16" t="str">
        <f aca="false">IF($D2973="","",W2973-N2973)</f>
        <v/>
      </c>
      <c r="AB2973" s="17" t="str">
        <f aca="false">IF($D2973="","",IF(OR($R2973=TRUE(),$R2973="TRUE"),Settings!$C$6,Settings!$C$7)*100)</f>
        <v/>
      </c>
      <c r="AH2973" s="18" t="str">
        <f aca="false">IF($D2973="","",IF(COUNTIF($D$2:$D2973,$D2973)=1,1,0))</f>
        <v/>
      </c>
      <c r="AI2973" s="18" t="str">
        <f aca="false">IF($AH2973=1,SUMPRODUCT(--($AK$2:$AK$4001&lt;$AK2973))+1,"")</f>
        <v/>
      </c>
      <c r="AJ2973" s="18" t="str">
        <f aca="false">IF($D2973="","",IF(OR($R2973=TRUE(),$R2973="TRUE"),1,0))</f>
        <v/>
      </c>
      <c r="AK2973" s="18" t="str">
        <f aca="false">IF($AH2973=1,IFERROR(VALUE(MID($D2973,2,20)),1000000000)+ROW()/10000000,"")</f>
        <v/>
      </c>
    </row>
    <row r="2974" customFormat="false" ht="15" hidden="false" customHeight="false" outlineLevel="0" collapsed="false">
      <c r="F2974" s="15"/>
      <c r="N2974" s="16" t="str">
        <f aca="false">IF($D2974="","",M2974*Y2974/100)</f>
        <v/>
      </c>
      <c r="V2974" s="16" t="str">
        <f aca="false">IF($D2974="","",Y2974*AB2974/100)</f>
        <v/>
      </c>
      <c r="W2974" s="16" t="str">
        <f aca="false">IF($D2974="","",Y2974-V2974)</f>
        <v/>
      </c>
      <c r="X2974" s="16" t="str">
        <f aca="false">IF($D2974="","",W2974-N2974)</f>
        <v/>
      </c>
      <c r="AB2974" s="17" t="str">
        <f aca="false">IF($D2974="","",IF(OR($R2974=TRUE(),$R2974="TRUE"),Settings!$C$6,Settings!$C$7)*100)</f>
        <v/>
      </c>
      <c r="AH2974" s="18" t="str">
        <f aca="false">IF($D2974="","",IF(COUNTIF($D$2:$D2974,$D2974)=1,1,0))</f>
        <v/>
      </c>
      <c r="AI2974" s="18" t="str">
        <f aca="false">IF($AH2974=1,SUMPRODUCT(--($AK$2:$AK$4001&lt;$AK2974))+1,"")</f>
        <v/>
      </c>
      <c r="AJ2974" s="18" t="str">
        <f aca="false">IF($D2974="","",IF(OR($R2974=TRUE(),$R2974="TRUE"),1,0))</f>
        <v/>
      </c>
      <c r="AK2974" s="18" t="str">
        <f aca="false">IF($AH2974=1,IFERROR(VALUE(MID($D2974,2,20)),1000000000)+ROW()/10000000,"")</f>
        <v/>
      </c>
    </row>
    <row r="2975" customFormat="false" ht="15" hidden="false" customHeight="false" outlineLevel="0" collapsed="false">
      <c r="F2975" s="15"/>
      <c r="N2975" s="16" t="str">
        <f aca="false">IF($D2975="","",M2975*Y2975/100)</f>
        <v/>
      </c>
      <c r="V2975" s="16" t="str">
        <f aca="false">IF($D2975="","",Y2975*AB2975/100)</f>
        <v/>
      </c>
      <c r="W2975" s="16" t="str">
        <f aca="false">IF($D2975="","",Y2975-V2975)</f>
        <v/>
      </c>
      <c r="X2975" s="16" t="str">
        <f aca="false">IF($D2975="","",W2975-N2975)</f>
        <v/>
      </c>
      <c r="AB2975" s="17" t="str">
        <f aca="false">IF($D2975="","",IF(OR($R2975=TRUE(),$R2975="TRUE"),Settings!$C$6,Settings!$C$7)*100)</f>
        <v/>
      </c>
      <c r="AH2975" s="18" t="str">
        <f aca="false">IF($D2975="","",IF(COUNTIF($D$2:$D2975,$D2975)=1,1,0))</f>
        <v/>
      </c>
      <c r="AI2975" s="18" t="str">
        <f aca="false">IF($AH2975=1,SUMPRODUCT(--($AK$2:$AK$4001&lt;$AK2975))+1,"")</f>
        <v/>
      </c>
      <c r="AJ2975" s="18" t="str">
        <f aca="false">IF($D2975="","",IF(OR($R2975=TRUE(),$R2975="TRUE"),1,0))</f>
        <v/>
      </c>
      <c r="AK2975" s="18" t="str">
        <f aca="false">IF($AH2975=1,IFERROR(VALUE(MID($D2975,2,20)),1000000000)+ROW()/10000000,"")</f>
        <v/>
      </c>
    </row>
    <row r="2976" customFormat="false" ht="15" hidden="false" customHeight="false" outlineLevel="0" collapsed="false">
      <c r="F2976" s="15"/>
      <c r="N2976" s="16" t="str">
        <f aca="false">IF($D2976="","",M2976*Y2976/100)</f>
        <v/>
      </c>
      <c r="V2976" s="16" t="str">
        <f aca="false">IF($D2976="","",Y2976*AB2976/100)</f>
        <v/>
      </c>
      <c r="W2976" s="16" t="str">
        <f aca="false">IF($D2976="","",Y2976-V2976)</f>
        <v/>
      </c>
      <c r="X2976" s="16" t="str">
        <f aca="false">IF($D2976="","",W2976-N2976)</f>
        <v/>
      </c>
      <c r="AB2976" s="17" t="str">
        <f aca="false">IF($D2976="","",IF(OR($R2976=TRUE(),$R2976="TRUE"),Settings!$C$6,Settings!$C$7)*100)</f>
        <v/>
      </c>
      <c r="AH2976" s="18" t="str">
        <f aca="false">IF($D2976="","",IF(COUNTIF($D$2:$D2976,$D2976)=1,1,0))</f>
        <v/>
      </c>
      <c r="AI2976" s="18" t="str">
        <f aca="false">IF($AH2976=1,SUMPRODUCT(--($AK$2:$AK$4001&lt;$AK2976))+1,"")</f>
        <v/>
      </c>
      <c r="AJ2976" s="18" t="str">
        <f aca="false">IF($D2976="","",IF(OR($R2976=TRUE(),$R2976="TRUE"),1,0))</f>
        <v/>
      </c>
      <c r="AK2976" s="18" t="str">
        <f aca="false">IF($AH2976=1,IFERROR(VALUE(MID($D2976,2,20)),1000000000)+ROW()/10000000,"")</f>
        <v/>
      </c>
    </row>
    <row r="2977" customFormat="false" ht="15" hidden="false" customHeight="false" outlineLevel="0" collapsed="false">
      <c r="F2977" s="15"/>
      <c r="N2977" s="16" t="str">
        <f aca="false">IF($D2977="","",M2977*Y2977/100)</f>
        <v/>
      </c>
      <c r="V2977" s="16" t="str">
        <f aca="false">IF($D2977="","",Y2977*AB2977/100)</f>
        <v/>
      </c>
      <c r="W2977" s="16" t="str">
        <f aca="false">IF($D2977="","",Y2977-V2977)</f>
        <v/>
      </c>
      <c r="X2977" s="16" t="str">
        <f aca="false">IF($D2977="","",W2977-N2977)</f>
        <v/>
      </c>
      <c r="AB2977" s="17" t="str">
        <f aca="false">IF($D2977="","",IF(OR($R2977=TRUE(),$R2977="TRUE"),Settings!$C$6,Settings!$C$7)*100)</f>
        <v/>
      </c>
      <c r="AH2977" s="18" t="str">
        <f aca="false">IF($D2977="","",IF(COUNTIF($D$2:$D2977,$D2977)=1,1,0))</f>
        <v/>
      </c>
      <c r="AI2977" s="18" t="str">
        <f aca="false">IF($AH2977=1,SUMPRODUCT(--($AK$2:$AK$4001&lt;$AK2977))+1,"")</f>
        <v/>
      </c>
      <c r="AJ2977" s="18" t="str">
        <f aca="false">IF($D2977="","",IF(OR($R2977=TRUE(),$R2977="TRUE"),1,0))</f>
        <v/>
      </c>
      <c r="AK2977" s="18" t="str">
        <f aca="false">IF($AH2977=1,IFERROR(VALUE(MID($D2977,2,20)),1000000000)+ROW()/10000000,"")</f>
        <v/>
      </c>
    </row>
    <row r="2978" customFormat="false" ht="15" hidden="false" customHeight="false" outlineLevel="0" collapsed="false">
      <c r="F2978" s="15"/>
      <c r="N2978" s="16" t="str">
        <f aca="false">IF($D2978="","",M2978*Y2978/100)</f>
        <v/>
      </c>
      <c r="V2978" s="16" t="str">
        <f aca="false">IF($D2978="","",Y2978*AB2978/100)</f>
        <v/>
      </c>
      <c r="W2978" s="16" t="str">
        <f aca="false">IF($D2978="","",Y2978-V2978)</f>
        <v/>
      </c>
      <c r="X2978" s="16" t="str">
        <f aca="false">IF($D2978="","",W2978-N2978)</f>
        <v/>
      </c>
      <c r="AB2978" s="17" t="str">
        <f aca="false">IF($D2978="","",IF(OR($R2978=TRUE(),$R2978="TRUE"),Settings!$C$6,Settings!$C$7)*100)</f>
        <v/>
      </c>
      <c r="AH2978" s="18" t="str">
        <f aca="false">IF($D2978="","",IF(COUNTIF($D$2:$D2978,$D2978)=1,1,0))</f>
        <v/>
      </c>
      <c r="AI2978" s="18" t="str">
        <f aca="false">IF($AH2978=1,SUMPRODUCT(--($AK$2:$AK$4001&lt;$AK2978))+1,"")</f>
        <v/>
      </c>
      <c r="AJ2978" s="18" t="str">
        <f aca="false">IF($D2978="","",IF(OR($R2978=TRUE(),$R2978="TRUE"),1,0))</f>
        <v/>
      </c>
      <c r="AK2978" s="18" t="str">
        <f aca="false">IF($AH2978=1,IFERROR(VALUE(MID($D2978,2,20)),1000000000)+ROW()/10000000,"")</f>
        <v/>
      </c>
    </row>
    <row r="2979" customFormat="false" ht="15" hidden="false" customHeight="false" outlineLevel="0" collapsed="false">
      <c r="F2979" s="15"/>
      <c r="N2979" s="16" t="str">
        <f aca="false">IF($D2979="","",M2979*Y2979/100)</f>
        <v/>
      </c>
      <c r="V2979" s="16" t="str">
        <f aca="false">IF($D2979="","",Y2979*AB2979/100)</f>
        <v/>
      </c>
      <c r="W2979" s="16" t="str">
        <f aca="false">IF($D2979="","",Y2979-V2979)</f>
        <v/>
      </c>
      <c r="X2979" s="16" t="str">
        <f aca="false">IF($D2979="","",W2979-N2979)</f>
        <v/>
      </c>
      <c r="AB2979" s="17" t="str">
        <f aca="false">IF($D2979="","",IF(OR($R2979=TRUE(),$R2979="TRUE"),Settings!$C$6,Settings!$C$7)*100)</f>
        <v/>
      </c>
      <c r="AH2979" s="18" t="str">
        <f aca="false">IF($D2979="","",IF(COUNTIF($D$2:$D2979,$D2979)=1,1,0))</f>
        <v/>
      </c>
      <c r="AI2979" s="18" t="str">
        <f aca="false">IF($AH2979=1,SUMPRODUCT(--($AK$2:$AK$4001&lt;$AK2979))+1,"")</f>
        <v/>
      </c>
      <c r="AJ2979" s="18" t="str">
        <f aca="false">IF($D2979="","",IF(OR($R2979=TRUE(),$R2979="TRUE"),1,0))</f>
        <v/>
      </c>
      <c r="AK2979" s="18" t="str">
        <f aca="false">IF($AH2979=1,IFERROR(VALUE(MID($D2979,2,20)),1000000000)+ROW()/10000000,"")</f>
        <v/>
      </c>
    </row>
    <row r="2980" customFormat="false" ht="15" hidden="false" customHeight="false" outlineLevel="0" collapsed="false">
      <c r="F2980" s="15"/>
      <c r="N2980" s="16" t="str">
        <f aca="false">IF($D2980="","",M2980*Y2980/100)</f>
        <v/>
      </c>
      <c r="V2980" s="16" t="str">
        <f aca="false">IF($D2980="","",Y2980*AB2980/100)</f>
        <v/>
      </c>
      <c r="W2980" s="16" t="str">
        <f aca="false">IF($D2980="","",Y2980-V2980)</f>
        <v/>
      </c>
      <c r="X2980" s="16" t="str">
        <f aca="false">IF($D2980="","",W2980-N2980)</f>
        <v/>
      </c>
      <c r="AB2980" s="17" t="str">
        <f aca="false">IF($D2980="","",IF(OR($R2980=TRUE(),$R2980="TRUE"),Settings!$C$6,Settings!$C$7)*100)</f>
        <v/>
      </c>
      <c r="AH2980" s="18" t="str">
        <f aca="false">IF($D2980="","",IF(COUNTIF($D$2:$D2980,$D2980)=1,1,0))</f>
        <v/>
      </c>
      <c r="AI2980" s="18" t="str">
        <f aca="false">IF($AH2980=1,SUMPRODUCT(--($AK$2:$AK$4001&lt;$AK2980))+1,"")</f>
        <v/>
      </c>
      <c r="AJ2980" s="18" t="str">
        <f aca="false">IF($D2980="","",IF(OR($R2980=TRUE(),$R2980="TRUE"),1,0))</f>
        <v/>
      </c>
      <c r="AK2980" s="18" t="str">
        <f aca="false">IF($AH2980=1,IFERROR(VALUE(MID($D2980,2,20)),1000000000)+ROW()/10000000,"")</f>
        <v/>
      </c>
    </row>
    <row r="2981" customFormat="false" ht="15" hidden="false" customHeight="false" outlineLevel="0" collapsed="false">
      <c r="F2981" s="15"/>
      <c r="N2981" s="16" t="str">
        <f aca="false">IF($D2981="","",M2981*Y2981/100)</f>
        <v/>
      </c>
      <c r="V2981" s="16" t="str">
        <f aca="false">IF($D2981="","",Y2981*AB2981/100)</f>
        <v/>
      </c>
      <c r="W2981" s="16" t="str">
        <f aca="false">IF($D2981="","",Y2981-V2981)</f>
        <v/>
      </c>
      <c r="X2981" s="16" t="str">
        <f aca="false">IF($D2981="","",W2981-N2981)</f>
        <v/>
      </c>
      <c r="AB2981" s="17" t="str">
        <f aca="false">IF($D2981="","",IF(OR($R2981=TRUE(),$R2981="TRUE"),Settings!$C$6,Settings!$C$7)*100)</f>
        <v/>
      </c>
      <c r="AH2981" s="18" t="str">
        <f aca="false">IF($D2981="","",IF(COUNTIF($D$2:$D2981,$D2981)=1,1,0))</f>
        <v/>
      </c>
      <c r="AI2981" s="18" t="str">
        <f aca="false">IF($AH2981=1,SUMPRODUCT(--($AK$2:$AK$4001&lt;$AK2981))+1,"")</f>
        <v/>
      </c>
      <c r="AJ2981" s="18" t="str">
        <f aca="false">IF($D2981="","",IF(OR($R2981=TRUE(),$R2981="TRUE"),1,0))</f>
        <v/>
      </c>
      <c r="AK2981" s="18" t="str">
        <f aca="false">IF($AH2981=1,IFERROR(VALUE(MID($D2981,2,20)),1000000000)+ROW()/10000000,"")</f>
        <v/>
      </c>
    </row>
    <row r="2982" customFormat="false" ht="15" hidden="false" customHeight="false" outlineLevel="0" collapsed="false">
      <c r="F2982" s="15"/>
      <c r="N2982" s="16" t="str">
        <f aca="false">IF($D2982="","",M2982*Y2982/100)</f>
        <v/>
      </c>
      <c r="V2982" s="16" t="str">
        <f aca="false">IF($D2982="","",Y2982*AB2982/100)</f>
        <v/>
      </c>
      <c r="W2982" s="16" t="str">
        <f aca="false">IF($D2982="","",Y2982-V2982)</f>
        <v/>
      </c>
      <c r="X2982" s="16" t="str">
        <f aca="false">IF($D2982="","",W2982-N2982)</f>
        <v/>
      </c>
      <c r="AB2982" s="17" t="str">
        <f aca="false">IF($D2982="","",IF(OR($R2982=TRUE(),$R2982="TRUE"),Settings!$C$6,Settings!$C$7)*100)</f>
        <v/>
      </c>
      <c r="AH2982" s="18" t="str">
        <f aca="false">IF($D2982="","",IF(COUNTIF($D$2:$D2982,$D2982)=1,1,0))</f>
        <v/>
      </c>
      <c r="AI2982" s="18" t="str">
        <f aca="false">IF($AH2982=1,SUMPRODUCT(--($AK$2:$AK$4001&lt;$AK2982))+1,"")</f>
        <v/>
      </c>
      <c r="AJ2982" s="18" t="str">
        <f aca="false">IF($D2982="","",IF(OR($R2982=TRUE(),$R2982="TRUE"),1,0))</f>
        <v/>
      </c>
      <c r="AK2982" s="18" t="str">
        <f aca="false">IF($AH2982=1,IFERROR(VALUE(MID($D2982,2,20)),1000000000)+ROW()/10000000,"")</f>
        <v/>
      </c>
    </row>
    <row r="2983" customFormat="false" ht="15" hidden="false" customHeight="false" outlineLevel="0" collapsed="false">
      <c r="F2983" s="15"/>
      <c r="N2983" s="16" t="str">
        <f aca="false">IF($D2983="","",M2983*Y2983/100)</f>
        <v/>
      </c>
      <c r="V2983" s="16" t="str">
        <f aca="false">IF($D2983="","",Y2983*AB2983/100)</f>
        <v/>
      </c>
      <c r="W2983" s="16" t="str">
        <f aca="false">IF($D2983="","",Y2983-V2983)</f>
        <v/>
      </c>
      <c r="X2983" s="16" t="str">
        <f aca="false">IF($D2983="","",W2983-N2983)</f>
        <v/>
      </c>
      <c r="AB2983" s="17" t="str">
        <f aca="false">IF($D2983="","",IF(OR($R2983=TRUE(),$R2983="TRUE"),Settings!$C$6,Settings!$C$7)*100)</f>
        <v/>
      </c>
      <c r="AH2983" s="18" t="str">
        <f aca="false">IF($D2983="","",IF(COUNTIF($D$2:$D2983,$D2983)=1,1,0))</f>
        <v/>
      </c>
      <c r="AI2983" s="18" t="str">
        <f aca="false">IF($AH2983=1,SUMPRODUCT(--($AK$2:$AK$4001&lt;$AK2983))+1,"")</f>
        <v/>
      </c>
      <c r="AJ2983" s="18" t="str">
        <f aca="false">IF($D2983="","",IF(OR($R2983=TRUE(),$R2983="TRUE"),1,0))</f>
        <v/>
      </c>
      <c r="AK2983" s="18" t="str">
        <f aca="false">IF($AH2983=1,IFERROR(VALUE(MID($D2983,2,20)),1000000000)+ROW()/10000000,"")</f>
        <v/>
      </c>
    </row>
    <row r="2984" customFormat="false" ht="15" hidden="false" customHeight="false" outlineLevel="0" collapsed="false">
      <c r="F2984" s="15"/>
      <c r="N2984" s="16" t="str">
        <f aca="false">IF($D2984="","",M2984*Y2984/100)</f>
        <v/>
      </c>
      <c r="V2984" s="16" t="str">
        <f aca="false">IF($D2984="","",Y2984*AB2984/100)</f>
        <v/>
      </c>
      <c r="W2984" s="16" t="str">
        <f aca="false">IF($D2984="","",Y2984-V2984)</f>
        <v/>
      </c>
      <c r="X2984" s="16" t="str">
        <f aca="false">IF($D2984="","",W2984-N2984)</f>
        <v/>
      </c>
      <c r="AB2984" s="17" t="str">
        <f aca="false">IF($D2984="","",IF(OR($R2984=TRUE(),$R2984="TRUE"),Settings!$C$6,Settings!$C$7)*100)</f>
        <v/>
      </c>
      <c r="AH2984" s="18" t="str">
        <f aca="false">IF($D2984="","",IF(COUNTIF($D$2:$D2984,$D2984)=1,1,0))</f>
        <v/>
      </c>
      <c r="AI2984" s="18" t="str">
        <f aca="false">IF($AH2984=1,SUMPRODUCT(--($AK$2:$AK$4001&lt;$AK2984))+1,"")</f>
        <v/>
      </c>
      <c r="AJ2984" s="18" t="str">
        <f aca="false">IF($D2984="","",IF(OR($R2984=TRUE(),$R2984="TRUE"),1,0))</f>
        <v/>
      </c>
      <c r="AK2984" s="18" t="str">
        <f aca="false">IF($AH2984=1,IFERROR(VALUE(MID($D2984,2,20)),1000000000)+ROW()/10000000,"")</f>
        <v/>
      </c>
    </row>
    <row r="2985" customFormat="false" ht="15" hidden="false" customHeight="false" outlineLevel="0" collapsed="false">
      <c r="F2985" s="15"/>
      <c r="N2985" s="16" t="str">
        <f aca="false">IF($D2985="","",M2985*Y2985/100)</f>
        <v/>
      </c>
      <c r="V2985" s="16" t="str">
        <f aca="false">IF($D2985="","",Y2985*AB2985/100)</f>
        <v/>
      </c>
      <c r="W2985" s="16" t="str">
        <f aca="false">IF($D2985="","",Y2985-V2985)</f>
        <v/>
      </c>
      <c r="X2985" s="16" t="str">
        <f aca="false">IF($D2985="","",W2985-N2985)</f>
        <v/>
      </c>
      <c r="AB2985" s="17" t="str">
        <f aca="false">IF($D2985="","",IF(OR($R2985=TRUE(),$R2985="TRUE"),Settings!$C$6,Settings!$C$7)*100)</f>
        <v/>
      </c>
      <c r="AH2985" s="18" t="str">
        <f aca="false">IF($D2985="","",IF(COUNTIF($D$2:$D2985,$D2985)=1,1,0))</f>
        <v/>
      </c>
      <c r="AI2985" s="18" t="str">
        <f aca="false">IF($AH2985=1,SUMPRODUCT(--($AK$2:$AK$4001&lt;$AK2985))+1,"")</f>
        <v/>
      </c>
      <c r="AJ2985" s="18" t="str">
        <f aca="false">IF($D2985="","",IF(OR($R2985=TRUE(),$R2985="TRUE"),1,0))</f>
        <v/>
      </c>
      <c r="AK2985" s="18" t="str">
        <f aca="false">IF($AH2985=1,IFERROR(VALUE(MID($D2985,2,20)),1000000000)+ROW()/10000000,"")</f>
        <v/>
      </c>
    </row>
    <row r="2986" customFormat="false" ht="15" hidden="false" customHeight="false" outlineLevel="0" collapsed="false">
      <c r="F2986" s="15"/>
      <c r="N2986" s="16" t="str">
        <f aca="false">IF($D2986="","",M2986*Y2986/100)</f>
        <v/>
      </c>
      <c r="V2986" s="16" t="str">
        <f aca="false">IF($D2986="","",Y2986*AB2986/100)</f>
        <v/>
      </c>
      <c r="W2986" s="16" t="str">
        <f aca="false">IF($D2986="","",Y2986-V2986)</f>
        <v/>
      </c>
      <c r="X2986" s="16" t="str">
        <f aca="false">IF($D2986="","",W2986-N2986)</f>
        <v/>
      </c>
      <c r="AB2986" s="17" t="str">
        <f aca="false">IF($D2986="","",IF(OR($R2986=TRUE(),$R2986="TRUE"),Settings!$C$6,Settings!$C$7)*100)</f>
        <v/>
      </c>
      <c r="AH2986" s="18" t="str">
        <f aca="false">IF($D2986="","",IF(COUNTIF($D$2:$D2986,$D2986)=1,1,0))</f>
        <v/>
      </c>
      <c r="AI2986" s="18" t="str">
        <f aca="false">IF($AH2986=1,SUMPRODUCT(--($AK$2:$AK$4001&lt;$AK2986))+1,"")</f>
        <v/>
      </c>
      <c r="AJ2986" s="18" t="str">
        <f aca="false">IF($D2986="","",IF(OR($R2986=TRUE(),$R2986="TRUE"),1,0))</f>
        <v/>
      </c>
      <c r="AK2986" s="18" t="str">
        <f aca="false">IF($AH2986=1,IFERROR(VALUE(MID($D2986,2,20)),1000000000)+ROW()/10000000,"")</f>
        <v/>
      </c>
    </row>
    <row r="2987" customFormat="false" ht="15" hidden="false" customHeight="false" outlineLevel="0" collapsed="false">
      <c r="F2987" s="15"/>
      <c r="N2987" s="16" t="str">
        <f aca="false">IF($D2987="","",M2987*Y2987/100)</f>
        <v/>
      </c>
      <c r="V2987" s="16" t="str">
        <f aca="false">IF($D2987="","",Y2987*AB2987/100)</f>
        <v/>
      </c>
      <c r="W2987" s="16" t="str">
        <f aca="false">IF($D2987="","",Y2987-V2987)</f>
        <v/>
      </c>
      <c r="X2987" s="16" t="str">
        <f aca="false">IF($D2987="","",W2987-N2987)</f>
        <v/>
      </c>
      <c r="AB2987" s="17" t="str">
        <f aca="false">IF($D2987="","",IF(OR($R2987=TRUE(),$R2987="TRUE"),Settings!$C$6,Settings!$C$7)*100)</f>
        <v/>
      </c>
      <c r="AH2987" s="18" t="str">
        <f aca="false">IF($D2987="","",IF(COUNTIF($D$2:$D2987,$D2987)=1,1,0))</f>
        <v/>
      </c>
      <c r="AI2987" s="18" t="str">
        <f aca="false">IF($AH2987=1,SUMPRODUCT(--($AK$2:$AK$4001&lt;$AK2987))+1,"")</f>
        <v/>
      </c>
      <c r="AJ2987" s="18" t="str">
        <f aca="false">IF($D2987="","",IF(OR($R2987=TRUE(),$R2987="TRUE"),1,0))</f>
        <v/>
      </c>
      <c r="AK2987" s="18" t="str">
        <f aca="false">IF($AH2987=1,IFERROR(VALUE(MID($D2987,2,20)),1000000000)+ROW()/10000000,"")</f>
        <v/>
      </c>
    </row>
    <row r="2988" customFormat="false" ht="15" hidden="false" customHeight="false" outlineLevel="0" collapsed="false">
      <c r="F2988" s="15"/>
      <c r="N2988" s="16" t="str">
        <f aca="false">IF($D2988="","",M2988*Y2988/100)</f>
        <v/>
      </c>
      <c r="V2988" s="16" t="str">
        <f aca="false">IF($D2988="","",Y2988*AB2988/100)</f>
        <v/>
      </c>
      <c r="W2988" s="16" t="str">
        <f aca="false">IF($D2988="","",Y2988-V2988)</f>
        <v/>
      </c>
      <c r="X2988" s="16" t="str">
        <f aca="false">IF($D2988="","",W2988-N2988)</f>
        <v/>
      </c>
      <c r="AB2988" s="17" t="str">
        <f aca="false">IF($D2988="","",IF(OR($R2988=TRUE(),$R2988="TRUE"),Settings!$C$6,Settings!$C$7)*100)</f>
        <v/>
      </c>
      <c r="AH2988" s="18" t="str">
        <f aca="false">IF($D2988="","",IF(COUNTIF($D$2:$D2988,$D2988)=1,1,0))</f>
        <v/>
      </c>
      <c r="AI2988" s="18" t="str">
        <f aca="false">IF($AH2988=1,SUMPRODUCT(--($AK$2:$AK$4001&lt;$AK2988))+1,"")</f>
        <v/>
      </c>
      <c r="AJ2988" s="18" t="str">
        <f aca="false">IF($D2988="","",IF(OR($R2988=TRUE(),$R2988="TRUE"),1,0))</f>
        <v/>
      </c>
      <c r="AK2988" s="18" t="str">
        <f aca="false">IF($AH2988=1,IFERROR(VALUE(MID($D2988,2,20)),1000000000)+ROW()/10000000,"")</f>
        <v/>
      </c>
    </row>
    <row r="2989" customFormat="false" ht="15" hidden="false" customHeight="false" outlineLevel="0" collapsed="false">
      <c r="F2989" s="15"/>
      <c r="N2989" s="16" t="str">
        <f aca="false">IF($D2989="","",M2989*Y2989/100)</f>
        <v/>
      </c>
      <c r="V2989" s="16" t="str">
        <f aca="false">IF($D2989="","",Y2989*AB2989/100)</f>
        <v/>
      </c>
      <c r="W2989" s="16" t="str">
        <f aca="false">IF($D2989="","",Y2989-V2989)</f>
        <v/>
      </c>
      <c r="X2989" s="16" t="str">
        <f aca="false">IF($D2989="","",W2989-N2989)</f>
        <v/>
      </c>
      <c r="AB2989" s="17" t="str">
        <f aca="false">IF($D2989="","",IF(OR($R2989=TRUE(),$R2989="TRUE"),Settings!$C$6,Settings!$C$7)*100)</f>
        <v/>
      </c>
      <c r="AH2989" s="18" t="str">
        <f aca="false">IF($D2989="","",IF(COUNTIF($D$2:$D2989,$D2989)=1,1,0))</f>
        <v/>
      </c>
      <c r="AI2989" s="18" t="str">
        <f aca="false">IF($AH2989=1,SUMPRODUCT(--($AK$2:$AK$4001&lt;$AK2989))+1,"")</f>
        <v/>
      </c>
      <c r="AJ2989" s="18" t="str">
        <f aca="false">IF($D2989="","",IF(OR($R2989=TRUE(),$R2989="TRUE"),1,0))</f>
        <v/>
      </c>
      <c r="AK2989" s="18" t="str">
        <f aca="false">IF($AH2989=1,IFERROR(VALUE(MID($D2989,2,20)),1000000000)+ROW()/10000000,"")</f>
        <v/>
      </c>
    </row>
    <row r="2990" customFormat="false" ht="15" hidden="false" customHeight="false" outlineLevel="0" collapsed="false">
      <c r="F2990" s="15"/>
      <c r="N2990" s="16" t="str">
        <f aca="false">IF($D2990="","",M2990*Y2990/100)</f>
        <v/>
      </c>
      <c r="V2990" s="16" t="str">
        <f aca="false">IF($D2990="","",Y2990*AB2990/100)</f>
        <v/>
      </c>
      <c r="W2990" s="16" t="str">
        <f aca="false">IF($D2990="","",Y2990-V2990)</f>
        <v/>
      </c>
      <c r="X2990" s="16" t="str">
        <f aca="false">IF($D2990="","",W2990-N2990)</f>
        <v/>
      </c>
      <c r="AB2990" s="17" t="str">
        <f aca="false">IF($D2990="","",IF(OR($R2990=TRUE(),$R2990="TRUE"),Settings!$C$6,Settings!$C$7)*100)</f>
        <v/>
      </c>
      <c r="AH2990" s="18" t="str">
        <f aca="false">IF($D2990="","",IF(COUNTIF($D$2:$D2990,$D2990)=1,1,0))</f>
        <v/>
      </c>
      <c r="AI2990" s="18" t="str">
        <f aca="false">IF($AH2990=1,SUMPRODUCT(--($AK$2:$AK$4001&lt;$AK2990))+1,"")</f>
        <v/>
      </c>
      <c r="AJ2990" s="18" t="str">
        <f aca="false">IF($D2990="","",IF(OR($R2990=TRUE(),$R2990="TRUE"),1,0))</f>
        <v/>
      </c>
      <c r="AK2990" s="18" t="str">
        <f aca="false">IF($AH2990=1,IFERROR(VALUE(MID($D2990,2,20)),1000000000)+ROW()/10000000,"")</f>
        <v/>
      </c>
    </row>
    <row r="2991" customFormat="false" ht="15" hidden="false" customHeight="false" outlineLevel="0" collapsed="false">
      <c r="F2991" s="15"/>
      <c r="N2991" s="16" t="str">
        <f aca="false">IF($D2991="","",M2991*Y2991/100)</f>
        <v/>
      </c>
      <c r="V2991" s="16" t="str">
        <f aca="false">IF($D2991="","",Y2991*AB2991/100)</f>
        <v/>
      </c>
      <c r="W2991" s="16" t="str">
        <f aca="false">IF($D2991="","",Y2991-V2991)</f>
        <v/>
      </c>
      <c r="X2991" s="16" t="str">
        <f aca="false">IF($D2991="","",W2991-N2991)</f>
        <v/>
      </c>
      <c r="AB2991" s="17" t="str">
        <f aca="false">IF($D2991="","",IF(OR($R2991=TRUE(),$R2991="TRUE"),Settings!$C$6,Settings!$C$7)*100)</f>
        <v/>
      </c>
      <c r="AH2991" s="18" t="str">
        <f aca="false">IF($D2991="","",IF(COUNTIF($D$2:$D2991,$D2991)=1,1,0))</f>
        <v/>
      </c>
      <c r="AI2991" s="18" t="str">
        <f aca="false">IF($AH2991=1,SUMPRODUCT(--($AK$2:$AK$4001&lt;$AK2991))+1,"")</f>
        <v/>
      </c>
      <c r="AJ2991" s="18" t="str">
        <f aca="false">IF($D2991="","",IF(OR($R2991=TRUE(),$R2991="TRUE"),1,0))</f>
        <v/>
      </c>
      <c r="AK2991" s="18" t="str">
        <f aca="false">IF($AH2991=1,IFERROR(VALUE(MID($D2991,2,20)),1000000000)+ROW()/10000000,"")</f>
        <v/>
      </c>
    </row>
    <row r="2992" customFormat="false" ht="15" hidden="false" customHeight="false" outlineLevel="0" collapsed="false">
      <c r="F2992" s="15"/>
      <c r="N2992" s="16" t="str">
        <f aca="false">IF($D2992="","",M2992*Y2992/100)</f>
        <v/>
      </c>
      <c r="V2992" s="16" t="str">
        <f aca="false">IF($D2992="","",Y2992*AB2992/100)</f>
        <v/>
      </c>
      <c r="W2992" s="16" t="str">
        <f aca="false">IF($D2992="","",Y2992-V2992)</f>
        <v/>
      </c>
      <c r="X2992" s="16" t="str">
        <f aca="false">IF($D2992="","",W2992-N2992)</f>
        <v/>
      </c>
      <c r="AB2992" s="17" t="str">
        <f aca="false">IF($D2992="","",IF(OR($R2992=TRUE(),$R2992="TRUE"),Settings!$C$6,Settings!$C$7)*100)</f>
        <v/>
      </c>
      <c r="AH2992" s="18" t="str">
        <f aca="false">IF($D2992="","",IF(COUNTIF($D$2:$D2992,$D2992)=1,1,0))</f>
        <v/>
      </c>
      <c r="AI2992" s="18" t="str">
        <f aca="false">IF($AH2992=1,SUMPRODUCT(--($AK$2:$AK$4001&lt;$AK2992))+1,"")</f>
        <v/>
      </c>
      <c r="AJ2992" s="18" t="str">
        <f aca="false">IF($D2992="","",IF(OR($R2992=TRUE(),$R2992="TRUE"),1,0))</f>
        <v/>
      </c>
      <c r="AK2992" s="18" t="str">
        <f aca="false">IF($AH2992=1,IFERROR(VALUE(MID($D2992,2,20)),1000000000)+ROW()/10000000,"")</f>
        <v/>
      </c>
    </row>
    <row r="2993" customFormat="false" ht="15" hidden="false" customHeight="false" outlineLevel="0" collapsed="false">
      <c r="F2993" s="15"/>
      <c r="N2993" s="16" t="str">
        <f aca="false">IF($D2993="","",M2993*Y2993/100)</f>
        <v/>
      </c>
      <c r="V2993" s="16" t="str">
        <f aca="false">IF($D2993="","",Y2993*AB2993/100)</f>
        <v/>
      </c>
      <c r="W2993" s="16" t="str">
        <f aca="false">IF($D2993="","",Y2993-V2993)</f>
        <v/>
      </c>
      <c r="X2993" s="16" t="str">
        <f aca="false">IF($D2993="","",W2993-N2993)</f>
        <v/>
      </c>
      <c r="AB2993" s="17" t="str">
        <f aca="false">IF($D2993="","",IF(OR($R2993=TRUE(),$R2993="TRUE"),Settings!$C$6,Settings!$C$7)*100)</f>
        <v/>
      </c>
      <c r="AH2993" s="18" t="str">
        <f aca="false">IF($D2993="","",IF(COUNTIF($D$2:$D2993,$D2993)=1,1,0))</f>
        <v/>
      </c>
      <c r="AI2993" s="18" t="str">
        <f aca="false">IF($AH2993=1,SUMPRODUCT(--($AK$2:$AK$4001&lt;$AK2993))+1,"")</f>
        <v/>
      </c>
      <c r="AJ2993" s="18" t="str">
        <f aca="false">IF($D2993="","",IF(OR($R2993=TRUE(),$R2993="TRUE"),1,0))</f>
        <v/>
      </c>
      <c r="AK2993" s="18" t="str">
        <f aca="false">IF($AH2993=1,IFERROR(VALUE(MID($D2993,2,20)),1000000000)+ROW()/10000000,"")</f>
        <v/>
      </c>
    </row>
    <row r="2994" customFormat="false" ht="15" hidden="false" customHeight="false" outlineLevel="0" collapsed="false">
      <c r="F2994" s="15"/>
      <c r="N2994" s="16" t="str">
        <f aca="false">IF($D2994="","",M2994*Y2994/100)</f>
        <v/>
      </c>
      <c r="V2994" s="16" t="str">
        <f aca="false">IF($D2994="","",Y2994*AB2994/100)</f>
        <v/>
      </c>
      <c r="W2994" s="16" t="str">
        <f aca="false">IF($D2994="","",Y2994-V2994)</f>
        <v/>
      </c>
      <c r="X2994" s="16" t="str">
        <f aca="false">IF($D2994="","",W2994-N2994)</f>
        <v/>
      </c>
      <c r="AB2994" s="17" t="str">
        <f aca="false">IF($D2994="","",IF(OR($R2994=TRUE(),$R2994="TRUE"),Settings!$C$6,Settings!$C$7)*100)</f>
        <v/>
      </c>
      <c r="AH2994" s="18" t="str">
        <f aca="false">IF($D2994="","",IF(COUNTIF($D$2:$D2994,$D2994)=1,1,0))</f>
        <v/>
      </c>
      <c r="AI2994" s="18" t="str">
        <f aca="false">IF($AH2994=1,SUMPRODUCT(--($AK$2:$AK$4001&lt;$AK2994))+1,"")</f>
        <v/>
      </c>
      <c r="AJ2994" s="18" t="str">
        <f aca="false">IF($D2994="","",IF(OR($R2994=TRUE(),$R2994="TRUE"),1,0))</f>
        <v/>
      </c>
      <c r="AK2994" s="18" t="str">
        <f aca="false">IF($AH2994=1,IFERROR(VALUE(MID($D2994,2,20)),1000000000)+ROW()/10000000,"")</f>
        <v/>
      </c>
    </row>
    <row r="2995" customFormat="false" ht="15" hidden="false" customHeight="false" outlineLevel="0" collapsed="false">
      <c r="F2995" s="15"/>
      <c r="N2995" s="16" t="str">
        <f aca="false">IF($D2995="","",M2995*Y2995/100)</f>
        <v/>
      </c>
      <c r="V2995" s="16" t="str">
        <f aca="false">IF($D2995="","",Y2995*AB2995/100)</f>
        <v/>
      </c>
      <c r="W2995" s="16" t="str">
        <f aca="false">IF($D2995="","",Y2995-V2995)</f>
        <v/>
      </c>
      <c r="X2995" s="16" t="str">
        <f aca="false">IF($D2995="","",W2995-N2995)</f>
        <v/>
      </c>
      <c r="AB2995" s="17" t="str">
        <f aca="false">IF($D2995="","",IF(OR($R2995=TRUE(),$R2995="TRUE"),Settings!$C$6,Settings!$C$7)*100)</f>
        <v/>
      </c>
      <c r="AH2995" s="18" t="str">
        <f aca="false">IF($D2995="","",IF(COUNTIF($D$2:$D2995,$D2995)=1,1,0))</f>
        <v/>
      </c>
      <c r="AI2995" s="18" t="str">
        <f aca="false">IF($AH2995=1,SUMPRODUCT(--($AK$2:$AK$4001&lt;$AK2995))+1,"")</f>
        <v/>
      </c>
      <c r="AJ2995" s="18" t="str">
        <f aca="false">IF($D2995="","",IF(OR($R2995=TRUE(),$R2995="TRUE"),1,0))</f>
        <v/>
      </c>
      <c r="AK2995" s="18" t="str">
        <f aca="false">IF($AH2995=1,IFERROR(VALUE(MID($D2995,2,20)),1000000000)+ROW()/10000000,"")</f>
        <v/>
      </c>
    </row>
    <row r="2996" customFormat="false" ht="15" hidden="false" customHeight="false" outlineLevel="0" collapsed="false">
      <c r="F2996" s="15"/>
      <c r="N2996" s="16" t="str">
        <f aca="false">IF($D2996="","",M2996*Y2996/100)</f>
        <v/>
      </c>
      <c r="V2996" s="16" t="str">
        <f aca="false">IF($D2996="","",Y2996*AB2996/100)</f>
        <v/>
      </c>
      <c r="W2996" s="16" t="str">
        <f aca="false">IF($D2996="","",Y2996-V2996)</f>
        <v/>
      </c>
      <c r="X2996" s="16" t="str">
        <f aca="false">IF($D2996="","",W2996-N2996)</f>
        <v/>
      </c>
      <c r="AB2996" s="17" t="str">
        <f aca="false">IF($D2996="","",IF(OR($R2996=TRUE(),$R2996="TRUE"),Settings!$C$6,Settings!$C$7)*100)</f>
        <v/>
      </c>
      <c r="AH2996" s="18" t="str">
        <f aca="false">IF($D2996="","",IF(COUNTIF($D$2:$D2996,$D2996)=1,1,0))</f>
        <v/>
      </c>
      <c r="AI2996" s="18" t="str">
        <f aca="false">IF($AH2996=1,SUMPRODUCT(--($AK$2:$AK$4001&lt;$AK2996))+1,"")</f>
        <v/>
      </c>
      <c r="AJ2996" s="18" t="str">
        <f aca="false">IF($D2996="","",IF(OR($R2996=TRUE(),$R2996="TRUE"),1,0))</f>
        <v/>
      </c>
      <c r="AK2996" s="18" t="str">
        <f aca="false">IF($AH2996=1,IFERROR(VALUE(MID($D2996,2,20)),1000000000)+ROW()/10000000,"")</f>
        <v/>
      </c>
    </row>
    <row r="2997" customFormat="false" ht="15" hidden="false" customHeight="false" outlineLevel="0" collapsed="false">
      <c r="F2997" s="15"/>
      <c r="N2997" s="16" t="str">
        <f aca="false">IF($D2997="","",M2997*Y2997/100)</f>
        <v/>
      </c>
      <c r="V2997" s="16" t="str">
        <f aca="false">IF($D2997="","",Y2997*AB2997/100)</f>
        <v/>
      </c>
      <c r="W2997" s="16" t="str">
        <f aca="false">IF($D2997="","",Y2997-V2997)</f>
        <v/>
      </c>
      <c r="X2997" s="16" t="str">
        <f aca="false">IF($D2997="","",W2997-N2997)</f>
        <v/>
      </c>
      <c r="AB2997" s="17" t="str">
        <f aca="false">IF($D2997="","",IF(OR($R2997=TRUE(),$R2997="TRUE"),Settings!$C$6,Settings!$C$7)*100)</f>
        <v/>
      </c>
      <c r="AH2997" s="18" t="str">
        <f aca="false">IF($D2997="","",IF(COUNTIF($D$2:$D2997,$D2997)=1,1,0))</f>
        <v/>
      </c>
      <c r="AI2997" s="18" t="str">
        <f aca="false">IF($AH2997=1,SUMPRODUCT(--($AK$2:$AK$4001&lt;$AK2997))+1,"")</f>
        <v/>
      </c>
      <c r="AJ2997" s="18" t="str">
        <f aca="false">IF($D2997="","",IF(OR($R2997=TRUE(),$R2997="TRUE"),1,0))</f>
        <v/>
      </c>
      <c r="AK2997" s="18" t="str">
        <f aca="false">IF($AH2997=1,IFERROR(VALUE(MID($D2997,2,20)),1000000000)+ROW()/10000000,"")</f>
        <v/>
      </c>
    </row>
    <row r="2998" customFormat="false" ht="15" hidden="false" customHeight="false" outlineLevel="0" collapsed="false">
      <c r="F2998" s="15"/>
      <c r="N2998" s="16" t="str">
        <f aca="false">IF($D2998="","",M2998*Y2998/100)</f>
        <v/>
      </c>
      <c r="V2998" s="16" t="str">
        <f aca="false">IF($D2998="","",Y2998*AB2998/100)</f>
        <v/>
      </c>
      <c r="W2998" s="16" t="str">
        <f aca="false">IF($D2998="","",Y2998-V2998)</f>
        <v/>
      </c>
      <c r="X2998" s="16" t="str">
        <f aca="false">IF($D2998="","",W2998-N2998)</f>
        <v/>
      </c>
      <c r="AB2998" s="17" t="str">
        <f aca="false">IF($D2998="","",IF(OR($R2998=TRUE(),$R2998="TRUE"),Settings!$C$6,Settings!$C$7)*100)</f>
        <v/>
      </c>
      <c r="AH2998" s="18" t="str">
        <f aca="false">IF($D2998="","",IF(COUNTIF($D$2:$D2998,$D2998)=1,1,0))</f>
        <v/>
      </c>
      <c r="AI2998" s="18" t="str">
        <f aca="false">IF($AH2998=1,SUMPRODUCT(--($AK$2:$AK$4001&lt;$AK2998))+1,"")</f>
        <v/>
      </c>
      <c r="AJ2998" s="18" t="str">
        <f aca="false">IF($D2998="","",IF(OR($R2998=TRUE(),$R2998="TRUE"),1,0))</f>
        <v/>
      </c>
      <c r="AK2998" s="18" t="str">
        <f aca="false">IF($AH2998=1,IFERROR(VALUE(MID($D2998,2,20)),1000000000)+ROW()/10000000,"")</f>
        <v/>
      </c>
    </row>
    <row r="2999" customFormat="false" ht="15" hidden="false" customHeight="false" outlineLevel="0" collapsed="false">
      <c r="F2999" s="15"/>
      <c r="N2999" s="16" t="str">
        <f aca="false">IF($D2999="","",M2999*Y2999/100)</f>
        <v/>
      </c>
      <c r="V2999" s="16" t="str">
        <f aca="false">IF($D2999="","",Y2999*AB2999/100)</f>
        <v/>
      </c>
      <c r="W2999" s="16" t="str">
        <f aca="false">IF($D2999="","",Y2999-V2999)</f>
        <v/>
      </c>
      <c r="X2999" s="16" t="str">
        <f aca="false">IF($D2999="","",W2999-N2999)</f>
        <v/>
      </c>
      <c r="AB2999" s="17" t="str">
        <f aca="false">IF($D2999="","",IF(OR($R2999=TRUE(),$R2999="TRUE"),Settings!$C$6,Settings!$C$7)*100)</f>
        <v/>
      </c>
      <c r="AH2999" s="18" t="str">
        <f aca="false">IF($D2999="","",IF(COUNTIF($D$2:$D2999,$D2999)=1,1,0))</f>
        <v/>
      </c>
      <c r="AI2999" s="18" t="str">
        <f aca="false">IF($AH2999=1,SUMPRODUCT(--($AK$2:$AK$4001&lt;$AK2999))+1,"")</f>
        <v/>
      </c>
      <c r="AJ2999" s="18" t="str">
        <f aca="false">IF($D2999="","",IF(OR($R2999=TRUE(),$R2999="TRUE"),1,0))</f>
        <v/>
      </c>
      <c r="AK2999" s="18" t="str">
        <f aca="false">IF($AH2999=1,IFERROR(VALUE(MID($D2999,2,20)),1000000000)+ROW()/10000000,"")</f>
        <v/>
      </c>
    </row>
    <row r="3000" customFormat="false" ht="15" hidden="false" customHeight="false" outlineLevel="0" collapsed="false">
      <c r="F3000" s="15"/>
      <c r="N3000" s="16" t="str">
        <f aca="false">IF($D3000="","",M3000*Y3000/100)</f>
        <v/>
      </c>
      <c r="V3000" s="16" t="str">
        <f aca="false">IF($D3000="","",Y3000*AB3000/100)</f>
        <v/>
      </c>
      <c r="W3000" s="16" t="str">
        <f aca="false">IF($D3000="","",Y3000-V3000)</f>
        <v/>
      </c>
      <c r="X3000" s="16" t="str">
        <f aca="false">IF($D3000="","",W3000-N3000)</f>
        <v/>
      </c>
      <c r="AB3000" s="17" t="str">
        <f aca="false">IF($D3000="","",IF(OR($R3000=TRUE(),$R3000="TRUE"),Settings!$C$6,Settings!$C$7)*100)</f>
        <v/>
      </c>
      <c r="AH3000" s="18" t="str">
        <f aca="false">IF($D3000="","",IF(COUNTIF($D$2:$D3000,$D3000)=1,1,0))</f>
        <v/>
      </c>
      <c r="AI3000" s="18" t="str">
        <f aca="false">IF($AH3000=1,SUMPRODUCT(--($AK$2:$AK$4001&lt;$AK3000))+1,"")</f>
        <v/>
      </c>
      <c r="AJ3000" s="18" t="str">
        <f aca="false">IF($D3000="","",IF(OR($R3000=TRUE(),$R3000="TRUE"),1,0))</f>
        <v/>
      </c>
      <c r="AK3000" s="18" t="str">
        <f aca="false">IF($AH3000=1,IFERROR(VALUE(MID($D3000,2,20)),1000000000)+ROW()/10000000,"")</f>
        <v/>
      </c>
    </row>
    <row r="3001" customFormat="false" ht="15" hidden="false" customHeight="false" outlineLevel="0" collapsed="false">
      <c r="F3001" s="15"/>
      <c r="N3001" s="16" t="str">
        <f aca="false">IF($D3001="","",M3001*Y3001/100)</f>
        <v/>
      </c>
      <c r="V3001" s="16" t="str">
        <f aca="false">IF($D3001="","",Y3001*AB3001/100)</f>
        <v/>
      </c>
      <c r="W3001" s="16" t="str">
        <f aca="false">IF($D3001="","",Y3001-V3001)</f>
        <v/>
      </c>
      <c r="X3001" s="16" t="str">
        <f aca="false">IF($D3001="","",W3001-N3001)</f>
        <v/>
      </c>
      <c r="AB3001" s="17" t="str">
        <f aca="false">IF($D3001="","",IF(OR($R3001=TRUE(),$R3001="TRUE"),Settings!$C$6,Settings!$C$7)*100)</f>
        <v/>
      </c>
      <c r="AH3001" s="18" t="str">
        <f aca="false">IF($D3001="","",IF(COUNTIF($D$2:$D3001,$D3001)=1,1,0))</f>
        <v/>
      </c>
      <c r="AI3001" s="18" t="str">
        <f aca="false">IF($AH3001=1,SUMPRODUCT(--($AK$2:$AK$4001&lt;$AK3001))+1,"")</f>
        <v/>
      </c>
      <c r="AJ3001" s="18" t="str">
        <f aca="false">IF($D3001="","",IF(OR($R3001=TRUE(),$R3001="TRUE"),1,0))</f>
        <v/>
      </c>
      <c r="AK3001" s="18" t="str">
        <f aca="false">IF($AH3001=1,IFERROR(VALUE(MID($D3001,2,20)),1000000000)+ROW()/10000000,"")</f>
        <v/>
      </c>
    </row>
    <row r="3002" customFormat="false" ht="15" hidden="false" customHeight="false" outlineLevel="0" collapsed="false">
      <c r="F3002" s="15"/>
      <c r="N3002" s="16" t="str">
        <f aca="false">IF($D3002="","",M3002*Y3002/100)</f>
        <v/>
      </c>
      <c r="V3002" s="16" t="str">
        <f aca="false">IF($D3002="","",Y3002*AB3002/100)</f>
        <v/>
      </c>
      <c r="W3002" s="16" t="str">
        <f aca="false">IF($D3002="","",Y3002-V3002)</f>
        <v/>
      </c>
      <c r="X3002" s="16" t="str">
        <f aca="false">IF($D3002="","",W3002-N3002)</f>
        <v/>
      </c>
      <c r="AB3002" s="17" t="str">
        <f aca="false">IF($D3002="","",IF(OR($R3002=TRUE(),$R3002="TRUE"),Settings!$C$6,Settings!$C$7)*100)</f>
        <v/>
      </c>
      <c r="AH3002" s="18" t="str">
        <f aca="false">IF($D3002="","",IF(COUNTIF($D$2:$D3002,$D3002)=1,1,0))</f>
        <v/>
      </c>
      <c r="AI3002" s="18" t="str">
        <f aca="false">IF($AH3002=1,SUMPRODUCT(--($AK$2:$AK$4001&lt;$AK3002))+1,"")</f>
        <v/>
      </c>
      <c r="AJ3002" s="18" t="str">
        <f aca="false">IF($D3002="","",IF(OR($R3002=TRUE(),$R3002="TRUE"),1,0))</f>
        <v/>
      </c>
      <c r="AK3002" s="18" t="str">
        <f aca="false">IF($AH3002=1,IFERROR(VALUE(MID($D3002,2,20)),1000000000)+ROW()/10000000,"")</f>
        <v/>
      </c>
    </row>
    <row r="3003" customFormat="false" ht="15" hidden="false" customHeight="false" outlineLevel="0" collapsed="false">
      <c r="F3003" s="15"/>
      <c r="N3003" s="16" t="str">
        <f aca="false">IF($D3003="","",M3003*Y3003/100)</f>
        <v/>
      </c>
      <c r="V3003" s="16" t="str">
        <f aca="false">IF($D3003="","",Y3003*AB3003/100)</f>
        <v/>
      </c>
      <c r="W3003" s="16" t="str">
        <f aca="false">IF($D3003="","",Y3003-V3003)</f>
        <v/>
      </c>
      <c r="X3003" s="16" t="str">
        <f aca="false">IF($D3003="","",W3003-N3003)</f>
        <v/>
      </c>
      <c r="AB3003" s="17" t="str">
        <f aca="false">IF($D3003="","",IF(OR($R3003=TRUE(),$R3003="TRUE"),Settings!$C$6,Settings!$C$7)*100)</f>
        <v/>
      </c>
      <c r="AH3003" s="18" t="str">
        <f aca="false">IF($D3003="","",IF(COUNTIF($D$2:$D3003,$D3003)=1,1,0))</f>
        <v/>
      </c>
      <c r="AI3003" s="18" t="str">
        <f aca="false">IF($AH3003=1,SUMPRODUCT(--($AK$2:$AK$4001&lt;$AK3003))+1,"")</f>
        <v/>
      </c>
      <c r="AJ3003" s="18" t="str">
        <f aca="false">IF($D3003="","",IF(OR($R3003=TRUE(),$R3003="TRUE"),1,0))</f>
        <v/>
      </c>
      <c r="AK3003" s="18" t="str">
        <f aca="false">IF($AH3003=1,IFERROR(VALUE(MID($D3003,2,20)),1000000000)+ROW()/10000000,"")</f>
        <v/>
      </c>
    </row>
    <row r="3004" customFormat="false" ht="15" hidden="false" customHeight="false" outlineLevel="0" collapsed="false">
      <c r="F3004" s="15"/>
      <c r="N3004" s="16" t="str">
        <f aca="false">IF($D3004="","",M3004*Y3004/100)</f>
        <v/>
      </c>
      <c r="V3004" s="16" t="str">
        <f aca="false">IF($D3004="","",Y3004*AB3004/100)</f>
        <v/>
      </c>
      <c r="W3004" s="16" t="str">
        <f aca="false">IF($D3004="","",Y3004-V3004)</f>
        <v/>
      </c>
      <c r="X3004" s="16" t="str">
        <f aca="false">IF($D3004="","",W3004-N3004)</f>
        <v/>
      </c>
      <c r="AB3004" s="17" t="str">
        <f aca="false">IF($D3004="","",IF(OR($R3004=TRUE(),$R3004="TRUE"),Settings!$C$6,Settings!$C$7)*100)</f>
        <v/>
      </c>
      <c r="AH3004" s="18" t="str">
        <f aca="false">IF($D3004="","",IF(COUNTIF($D$2:$D3004,$D3004)=1,1,0))</f>
        <v/>
      </c>
      <c r="AI3004" s="18" t="str">
        <f aca="false">IF($AH3004=1,SUMPRODUCT(--($AK$2:$AK$4001&lt;$AK3004))+1,"")</f>
        <v/>
      </c>
      <c r="AJ3004" s="18" t="str">
        <f aca="false">IF($D3004="","",IF(OR($R3004=TRUE(),$R3004="TRUE"),1,0))</f>
        <v/>
      </c>
      <c r="AK3004" s="18" t="str">
        <f aca="false">IF($AH3004=1,IFERROR(VALUE(MID($D3004,2,20)),1000000000)+ROW()/10000000,"")</f>
        <v/>
      </c>
    </row>
    <row r="3005" customFormat="false" ht="15" hidden="false" customHeight="false" outlineLevel="0" collapsed="false">
      <c r="F3005" s="15"/>
      <c r="N3005" s="16" t="str">
        <f aca="false">IF($D3005="","",M3005*Y3005/100)</f>
        <v/>
      </c>
      <c r="V3005" s="16" t="str">
        <f aca="false">IF($D3005="","",Y3005*AB3005/100)</f>
        <v/>
      </c>
      <c r="W3005" s="16" t="str">
        <f aca="false">IF($D3005="","",Y3005-V3005)</f>
        <v/>
      </c>
      <c r="X3005" s="16" t="str">
        <f aca="false">IF($D3005="","",W3005-N3005)</f>
        <v/>
      </c>
      <c r="AB3005" s="17" t="str">
        <f aca="false">IF($D3005="","",IF(OR($R3005=TRUE(),$R3005="TRUE"),Settings!$C$6,Settings!$C$7)*100)</f>
        <v/>
      </c>
      <c r="AH3005" s="18" t="str">
        <f aca="false">IF($D3005="","",IF(COUNTIF($D$2:$D3005,$D3005)=1,1,0))</f>
        <v/>
      </c>
      <c r="AI3005" s="18" t="str">
        <f aca="false">IF($AH3005=1,SUMPRODUCT(--($AK$2:$AK$4001&lt;$AK3005))+1,"")</f>
        <v/>
      </c>
      <c r="AJ3005" s="18" t="str">
        <f aca="false">IF($D3005="","",IF(OR($R3005=TRUE(),$R3005="TRUE"),1,0))</f>
        <v/>
      </c>
      <c r="AK3005" s="18" t="str">
        <f aca="false">IF($AH3005=1,IFERROR(VALUE(MID($D3005,2,20)),1000000000)+ROW()/10000000,"")</f>
        <v/>
      </c>
    </row>
    <row r="3006" customFormat="false" ht="15" hidden="false" customHeight="false" outlineLevel="0" collapsed="false">
      <c r="F3006" s="15"/>
      <c r="N3006" s="16" t="str">
        <f aca="false">IF($D3006="","",M3006*Y3006/100)</f>
        <v/>
      </c>
      <c r="V3006" s="16" t="str">
        <f aca="false">IF($D3006="","",Y3006*AB3006/100)</f>
        <v/>
      </c>
      <c r="W3006" s="16" t="str">
        <f aca="false">IF($D3006="","",Y3006-V3006)</f>
        <v/>
      </c>
      <c r="X3006" s="16" t="str">
        <f aca="false">IF($D3006="","",W3006-N3006)</f>
        <v/>
      </c>
      <c r="AB3006" s="17" t="str">
        <f aca="false">IF($D3006="","",IF(OR($R3006=TRUE(),$R3006="TRUE"),Settings!$C$6,Settings!$C$7)*100)</f>
        <v/>
      </c>
      <c r="AH3006" s="18" t="str">
        <f aca="false">IF($D3006="","",IF(COUNTIF($D$2:$D3006,$D3006)=1,1,0))</f>
        <v/>
      </c>
      <c r="AI3006" s="18" t="str">
        <f aca="false">IF($AH3006=1,SUMPRODUCT(--($AK$2:$AK$4001&lt;$AK3006))+1,"")</f>
        <v/>
      </c>
      <c r="AJ3006" s="18" t="str">
        <f aca="false">IF($D3006="","",IF(OR($R3006=TRUE(),$R3006="TRUE"),1,0))</f>
        <v/>
      </c>
      <c r="AK3006" s="18" t="str">
        <f aca="false">IF($AH3006=1,IFERROR(VALUE(MID($D3006,2,20)),1000000000)+ROW()/10000000,"")</f>
        <v/>
      </c>
    </row>
    <row r="3007" customFormat="false" ht="15" hidden="false" customHeight="false" outlineLevel="0" collapsed="false">
      <c r="F3007" s="15"/>
      <c r="N3007" s="16" t="str">
        <f aca="false">IF($D3007="","",M3007*Y3007/100)</f>
        <v/>
      </c>
      <c r="V3007" s="16" t="str">
        <f aca="false">IF($D3007="","",Y3007*AB3007/100)</f>
        <v/>
      </c>
      <c r="W3007" s="16" t="str">
        <f aca="false">IF($D3007="","",Y3007-V3007)</f>
        <v/>
      </c>
      <c r="X3007" s="16" t="str">
        <f aca="false">IF($D3007="","",W3007-N3007)</f>
        <v/>
      </c>
      <c r="AB3007" s="17" t="str">
        <f aca="false">IF($D3007="","",IF(OR($R3007=TRUE(),$R3007="TRUE"),Settings!$C$6,Settings!$C$7)*100)</f>
        <v/>
      </c>
      <c r="AH3007" s="18" t="str">
        <f aca="false">IF($D3007="","",IF(COUNTIF($D$2:$D3007,$D3007)=1,1,0))</f>
        <v/>
      </c>
      <c r="AI3007" s="18" t="str">
        <f aca="false">IF($AH3007=1,SUMPRODUCT(--($AK$2:$AK$4001&lt;$AK3007))+1,"")</f>
        <v/>
      </c>
      <c r="AJ3007" s="18" t="str">
        <f aca="false">IF($D3007="","",IF(OR($R3007=TRUE(),$R3007="TRUE"),1,0))</f>
        <v/>
      </c>
      <c r="AK3007" s="18" t="str">
        <f aca="false">IF($AH3007=1,IFERROR(VALUE(MID($D3007,2,20)),1000000000)+ROW()/10000000,"")</f>
        <v/>
      </c>
    </row>
    <row r="3008" customFormat="false" ht="15" hidden="false" customHeight="false" outlineLevel="0" collapsed="false">
      <c r="F3008" s="15"/>
      <c r="N3008" s="16" t="str">
        <f aca="false">IF($D3008="","",M3008*Y3008/100)</f>
        <v/>
      </c>
      <c r="V3008" s="16" t="str">
        <f aca="false">IF($D3008="","",Y3008*AB3008/100)</f>
        <v/>
      </c>
      <c r="W3008" s="16" t="str">
        <f aca="false">IF($D3008="","",Y3008-V3008)</f>
        <v/>
      </c>
      <c r="X3008" s="16" t="str">
        <f aca="false">IF($D3008="","",W3008-N3008)</f>
        <v/>
      </c>
      <c r="AB3008" s="17" t="str">
        <f aca="false">IF($D3008="","",IF(OR($R3008=TRUE(),$R3008="TRUE"),Settings!$C$6,Settings!$C$7)*100)</f>
        <v/>
      </c>
      <c r="AH3008" s="18" t="str">
        <f aca="false">IF($D3008="","",IF(COUNTIF($D$2:$D3008,$D3008)=1,1,0))</f>
        <v/>
      </c>
      <c r="AI3008" s="18" t="str">
        <f aca="false">IF($AH3008=1,SUMPRODUCT(--($AK$2:$AK$4001&lt;$AK3008))+1,"")</f>
        <v/>
      </c>
      <c r="AJ3008" s="18" t="str">
        <f aca="false">IF($D3008="","",IF(OR($R3008=TRUE(),$R3008="TRUE"),1,0))</f>
        <v/>
      </c>
      <c r="AK3008" s="18" t="str">
        <f aca="false">IF($AH3008=1,IFERROR(VALUE(MID($D3008,2,20)),1000000000)+ROW()/10000000,"")</f>
        <v/>
      </c>
    </row>
    <row r="3009" customFormat="false" ht="15" hidden="false" customHeight="false" outlineLevel="0" collapsed="false">
      <c r="F3009" s="15"/>
      <c r="N3009" s="16" t="str">
        <f aca="false">IF($D3009="","",M3009*Y3009/100)</f>
        <v/>
      </c>
      <c r="V3009" s="16" t="str">
        <f aca="false">IF($D3009="","",Y3009*AB3009/100)</f>
        <v/>
      </c>
      <c r="W3009" s="16" t="str">
        <f aca="false">IF($D3009="","",Y3009-V3009)</f>
        <v/>
      </c>
      <c r="X3009" s="16" t="str">
        <f aca="false">IF($D3009="","",W3009-N3009)</f>
        <v/>
      </c>
      <c r="AB3009" s="17" t="str">
        <f aca="false">IF($D3009="","",IF(OR($R3009=TRUE(),$R3009="TRUE"),Settings!$C$6,Settings!$C$7)*100)</f>
        <v/>
      </c>
      <c r="AH3009" s="18" t="str">
        <f aca="false">IF($D3009="","",IF(COUNTIF($D$2:$D3009,$D3009)=1,1,0))</f>
        <v/>
      </c>
      <c r="AI3009" s="18" t="str">
        <f aca="false">IF($AH3009=1,SUMPRODUCT(--($AK$2:$AK$4001&lt;$AK3009))+1,"")</f>
        <v/>
      </c>
      <c r="AJ3009" s="18" t="str">
        <f aca="false">IF($D3009="","",IF(OR($R3009=TRUE(),$R3009="TRUE"),1,0))</f>
        <v/>
      </c>
      <c r="AK3009" s="18" t="str">
        <f aca="false">IF($AH3009=1,IFERROR(VALUE(MID($D3009,2,20)),1000000000)+ROW()/10000000,"")</f>
        <v/>
      </c>
    </row>
    <row r="3010" customFormat="false" ht="15" hidden="false" customHeight="false" outlineLevel="0" collapsed="false">
      <c r="F3010" s="15"/>
      <c r="N3010" s="16" t="str">
        <f aca="false">IF($D3010="","",M3010*Y3010/100)</f>
        <v/>
      </c>
      <c r="V3010" s="16" t="str">
        <f aca="false">IF($D3010="","",Y3010*AB3010/100)</f>
        <v/>
      </c>
      <c r="W3010" s="16" t="str">
        <f aca="false">IF($D3010="","",Y3010-V3010)</f>
        <v/>
      </c>
      <c r="X3010" s="16" t="str">
        <f aca="false">IF($D3010="","",W3010-N3010)</f>
        <v/>
      </c>
      <c r="AB3010" s="17" t="str">
        <f aca="false">IF($D3010="","",IF(OR($R3010=TRUE(),$R3010="TRUE"),Settings!$C$6,Settings!$C$7)*100)</f>
        <v/>
      </c>
      <c r="AH3010" s="18" t="str">
        <f aca="false">IF($D3010="","",IF(COUNTIF($D$2:$D3010,$D3010)=1,1,0))</f>
        <v/>
      </c>
      <c r="AI3010" s="18" t="str">
        <f aca="false">IF($AH3010=1,SUMPRODUCT(--($AK$2:$AK$4001&lt;$AK3010))+1,"")</f>
        <v/>
      </c>
      <c r="AJ3010" s="18" t="str">
        <f aca="false">IF($D3010="","",IF(OR($R3010=TRUE(),$R3010="TRUE"),1,0))</f>
        <v/>
      </c>
      <c r="AK3010" s="18" t="str">
        <f aca="false">IF($AH3010=1,IFERROR(VALUE(MID($D3010,2,20)),1000000000)+ROW()/10000000,"")</f>
        <v/>
      </c>
    </row>
    <row r="3011" customFormat="false" ht="15" hidden="false" customHeight="false" outlineLevel="0" collapsed="false">
      <c r="F3011" s="15"/>
      <c r="N3011" s="16" t="str">
        <f aca="false">IF($D3011="","",M3011*Y3011/100)</f>
        <v/>
      </c>
      <c r="V3011" s="16" t="str">
        <f aca="false">IF($D3011="","",Y3011*AB3011/100)</f>
        <v/>
      </c>
      <c r="W3011" s="16" t="str">
        <f aca="false">IF($D3011="","",Y3011-V3011)</f>
        <v/>
      </c>
      <c r="X3011" s="16" t="str">
        <f aca="false">IF($D3011="","",W3011-N3011)</f>
        <v/>
      </c>
      <c r="AB3011" s="17" t="str">
        <f aca="false">IF($D3011="","",IF(OR($R3011=TRUE(),$R3011="TRUE"),Settings!$C$6,Settings!$C$7)*100)</f>
        <v/>
      </c>
      <c r="AH3011" s="18" t="str">
        <f aca="false">IF($D3011="","",IF(COUNTIF($D$2:$D3011,$D3011)=1,1,0))</f>
        <v/>
      </c>
      <c r="AI3011" s="18" t="str">
        <f aca="false">IF($AH3011=1,SUMPRODUCT(--($AK$2:$AK$4001&lt;$AK3011))+1,"")</f>
        <v/>
      </c>
      <c r="AJ3011" s="18" t="str">
        <f aca="false">IF($D3011="","",IF(OR($R3011=TRUE(),$R3011="TRUE"),1,0))</f>
        <v/>
      </c>
      <c r="AK3011" s="18" t="str">
        <f aca="false">IF($AH3011=1,IFERROR(VALUE(MID($D3011,2,20)),1000000000)+ROW()/10000000,"")</f>
        <v/>
      </c>
    </row>
    <row r="3012" customFormat="false" ht="15" hidden="false" customHeight="false" outlineLevel="0" collapsed="false">
      <c r="F3012" s="15"/>
      <c r="N3012" s="16" t="str">
        <f aca="false">IF($D3012="","",M3012*Y3012/100)</f>
        <v/>
      </c>
      <c r="V3012" s="16" t="str">
        <f aca="false">IF($D3012="","",Y3012*AB3012/100)</f>
        <v/>
      </c>
      <c r="W3012" s="16" t="str">
        <f aca="false">IF($D3012="","",Y3012-V3012)</f>
        <v/>
      </c>
      <c r="X3012" s="16" t="str">
        <f aca="false">IF($D3012="","",W3012-N3012)</f>
        <v/>
      </c>
      <c r="AB3012" s="17" t="str">
        <f aca="false">IF($D3012="","",IF(OR($R3012=TRUE(),$R3012="TRUE"),Settings!$C$6,Settings!$C$7)*100)</f>
        <v/>
      </c>
      <c r="AH3012" s="18" t="str">
        <f aca="false">IF($D3012="","",IF(COUNTIF($D$2:$D3012,$D3012)=1,1,0))</f>
        <v/>
      </c>
      <c r="AI3012" s="18" t="str">
        <f aca="false">IF($AH3012=1,SUMPRODUCT(--($AK$2:$AK$4001&lt;$AK3012))+1,"")</f>
        <v/>
      </c>
      <c r="AJ3012" s="18" t="str">
        <f aca="false">IF($D3012="","",IF(OR($R3012=TRUE(),$R3012="TRUE"),1,0))</f>
        <v/>
      </c>
      <c r="AK3012" s="18" t="str">
        <f aca="false">IF($AH3012=1,IFERROR(VALUE(MID($D3012,2,20)),1000000000)+ROW()/10000000,"")</f>
        <v/>
      </c>
    </row>
    <row r="3013" customFormat="false" ht="15" hidden="false" customHeight="false" outlineLevel="0" collapsed="false">
      <c r="F3013" s="15"/>
      <c r="N3013" s="16" t="str">
        <f aca="false">IF($D3013="","",M3013*Y3013/100)</f>
        <v/>
      </c>
      <c r="V3013" s="16" t="str">
        <f aca="false">IF($D3013="","",Y3013*AB3013/100)</f>
        <v/>
      </c>
      <c r="W3013" s="16" t="str">
        <f aca="false">IF($D3013="","",Y3013-V3013)</f>
        <v/>
      </c>
      <c r="X3013" s="16" t="str">
        <f aca="false">IF($D3013="","",W3013-N3013)</f>
        <v/>
      </c>
      <c r="AB3013" s="17" t="str">
        <f aca="false">IF($D3013="","",IF(OR($R3013=TRUE(),$R3013="TRUE"),Settings!$C$6,Settings!$C$7)*100)</f>
        <v/>
      </c>
      <c r="AH3013" s="18" t="str">
        <f aca="false">IF($D3013="","",IF(COUNTIF($D$2:$D3013,$D3013)=1,1,0))</f>
        <v/>
      </c>
      <c r="AI3013" s="18" t="str">
        <f aca="false">IF($AH3013=1,SUMPRODUCT(--($AK$2:$AK$4001&lt;$AK3013))+1,"")</f>
        <v/>
      </c>
      <c r="AJ3013" s="18" t="str">
        <f aca="false">IF($D3013="","",IF(OR($R3013=TRUE(),$R3013="TRUE"),1,0))</f>
        <v/>
      </c>
      <c r="AK3013" s="18" t="str">
        <f aca="false">IF($AH3013=1,IFERROR(VALUE(MID($D3013,2,20)),1000000000)+ROW()/10000000,"")</f>
        <v/>
      </c>
    </row>
    <row r="3014" customFormat="false" ht="15" hidden="false" customHeight="false" outlineLevel="0" collapsed="false">
      <c r="F3014" s="15"/>
      <c r="N3014" s="16" t="str">
        <f aca="false">IF($D3014="","",M3014*Y3014/100)</f>
        <v/>
      </c>
      <c r="V3014" s="16" t="str">
        <f aca="false">IF($D3014="","",Y3014*AB3014/100)</f>
        <v/>
      </c>
      <c r="W3014" s="16" t="str">
        <f aca="false">IF($D3014="","",Y3014-V3014)</f>
        <v/>
      </c>
      <c r="X3014" s="16" t="str">
        <f aca="false">IF($D3014="","",W3014-N3014)</f>
        <v/>
      </c>
      <c r="AB3014" s="17" t="str">
        <f aca="false">IF($D3014="","",IF(OR($R3014=TRUE(),$R3014="TRUE"),Settings!$C$6,Settings!$C$7)*100)</f>
        <v/>
      </c>
      <c r="AH3014" s="18" t="str">
        <f aca="false">IF($D3014="","",IF(COUNTIF($D$2:$D3014,$D3014)=1,1,0))</f>
        <v/>
      </c>
      <c r="AI3014" s="18" t="str">
        <f aca="false">IF($AH3014=1,SUMPRODUCT(--($AK$2:$AK$4001&lt;$AK3014))+1,"")</f>
        <v/>
      </c>
      <c r="AJ3014" s="18" t="str">
        <f aca="false">IF($D3014="","",IF(OR($R3014=TRUE(),$R3014="TRUE"),1,0))</f>
        <v/>
      </c>
      <c r="AK3014" s="18" t="str">
        <f aca="false">IF($AH3014=1,IFERROR(VALUE(MID($D3014,2,20)),1000000000)+ROW()/10000000,"")</f>
        <v/>
      </c>
    </row>
    <row r="3015" customFormat="false" ht="15" hidden="false" customHeight="false" outlineLevel="0" collapsed="false">
      <c r="F3015" s="15"/>
      <c r="N3015" s="16" t="str">
        <f aca="false">IF($D3015="","",M3015*Y3015/100)</f>
        <v/>
      </c>
      <c r="V3015" s="16" t="str">
        <f aca="false">IF($D3015="","",Y3015*AB3015/100)</f>
        <v/>
      </c>
      <c r="W3015" s="16" t="str">
        <f aca="false">IF($D3015="","",Y3015-V3015)</f>
        <v/>
      </c>
      <c r="X3015" s="16" t="str">
        <f aca="false">IF($D3015="","",W3015-N3015)</f>
        <v/>
      </c>
      <c r="AB3015" s="17" t="str">
        <f aca="false">IF($D3015="","",IF(OR($R3015=TRUE(),$R3015="TRUE"),Settings!$C$6,Settings!$C$7)*100)</f>
        <v/>
      </c>
      <c r="AH3015" s="18" t="str">
        <f aca="false">IF($D3015="","",IF(COUNTIF($D$2:$D3015,$D3015)=1,1,0))</f>
        <v/>
      </c>
      <c r="AI3015" s="18" t="str">
        <f aca="false">IF($AH3015=1,SUMPRODUCT(--($AK$2:$AK$4001&lt;$AK3015))+1,"")</f>
        <v/>
      </c>
      <c r="AJ3015" s="18" t="str">
        <f aca="false">IF($D3015="","",IF(OR($R3015=TRUE(),$R3015="TRUE"),1,0))</f>
        <v/>
      </c>
      <c r="AK3015" s="18" t="str">
        <f aca="false">IF($AH3015=1,IFERROR(VALUE(MID($D3015,2,20)),1000000000)+ROW()/10000000,"")</f>
        <v/>
      </c>
    </row>
    <row r="3016" customFormat="false" ht="15" hidden="false" customHeight="false" outlineLevel="0" collapsed="false">
      <c r="F3016" s="15"/>
      <c r="N3016" s="16" t="str">
        <f aca="false">IF($D3016="","",M3016*Y3016/100)</f>
        <v/>
      </c>
      <c r="V3016" s="16" t="str">
        <f aca="false">IF($D3016="","",Y3016*AB3016/100)</f>
        <v/>
      </c>
      <c r="W3016" s="16" t="str">
        <f aca="false">IF($D3016="","",Y3016-V3016)</f>
        <v/>
      </c>
      <c r="X3016" s="16" t="str">
        <f aca="false">IF($D3016="","",W3016-N3016)</f>
        <v/>
      </c>
      <c r="AB3016" s="17" t="str">
        <f aca="false">IF($D3016="","",IF(OR($R3016=TRUE(),$R3016="TRUE"),Settings!$C$6,Settings!$C$7)*100)</f>
        <v/>
      </c>
      <c r="AH3016" s="18" t="str">
        <f aca="false">IF($D3016="","",IF(COUNTIF($D$2:$D3016,$D3016)=1,1,0))</f>
        <v/>
      </c>
      <c r="AI3016" s="18" t="str">
        <f aca="false">IF($AH3016=1,SUMPRODUCT(--($AK$2:$AK$4001&lt;$AK3016))+1,"")</f>
        <v/>
      </c>
      <c r="AJ3016" s="18" t="str">
        <f aca="false">IF($D3016="","",IF(OR($R3016=TRUE(),$R3016="TRUE"),1,0))</f>
        <v/>
      </c>
      <c r="AK3016" s="18" t="str">
        <f aca="false">IF($AH3016=1,IFERROR(VALUE(MID($D3016,2,20)),1000000000)+ROW()/10000000,"")</f>
        <v/>
      </c>
    </row>
    <row r="3017" customFormat="false" ht="15" hidden="false" customHeight="false" outlineLevel="0" collapsed="false">
      <c r="F3017" s="15"/>
      <c r="N3017" s="16" t="str">
        <f aca="false">IF($D3017="","",M3017*Y3017/100)</f>
        <v/>
      </c>
      <c r="V3017" s="16" t="str">
        <f aca="false">IF($D3017="","",Y3017*AB3017/100)</f>
        <v/>
      </c>
      <c r="W3017" s="16" t="str">
        <f aca="false">IF($D3017="","",Y3017-V3017)</f>
        <v/>
      </c>
      <c r="X3017" s="16" t="str">
        <f aca="false">IF($D3017="","",W3017-N3017)</f>
        <v/>
      </c>
      <c r="AB3017" s="17" t="str">
        <f aca="false">IF($D3017="","",IF(OR($R3017=TRUE(),$R3017="TRUE"),Settings!$C$6,Settings!$C$7)*100)</f>
        <v/>
      </c>
      <c r="AH3017" s="18" t="str">
        <f aca="false">IF($D3017="","",IF(COUNTIF($D$2:$D3017,$D3017)=1,1,0))</f>
        <v/>
      </c>
      <c r="AI3017" s="18" t="str">
        <f aca="false">IF($AH3017=1,SUMPRODUCT(--($AK$2:$AK$4001&lt;$AK3017))+1,"")</f>
        <v/>
      </c>
      <c r="AJ3017" s="18" t="str">
        <f aca="false">IF($D3017="","",IF(OR($R3017=TRUE(),$R3017="TRUE"),1,0))</f>
        <v/>
      </c>
      <c r="AK3017" s="18" t="str">
        <f aca="false">IF($AH3017=1,IFERROR(VALUE(MID($D3017,2,20)),1000000000)+ROW()/10000000,"")</f>
        <v/>
      </c>
    </row>
    <row r="3018" customFormat="false" ht="15" hidden="false" customHeight="false" outlineLevel="0" collapsed="false">
      <c r="F3018" s="15"/>
      <c r="N3018" s="16" t="str">
        <f aca="false">IF($D3018="","",M3018*Y3018/100)</f>
        <v/>
      </c>
      <c r="V3018" s="16" t="str">
        <f aca="false">IF($D3018="","",Y3018*AB3018/100)</f>
        <v/>
      </c>
      <c r="W3018" s="16" t="str">
        <f aca="false">IF($D3018="","",Y3018-V3018)</f>
        <v/>
      </c>
      <c r="X3018" s="16" t="str">
        <f aca="false">IF($D3018="","",W3018-N3018)</f>
        <v/>
      </c>
      <c r="AB3018" s="17" t="str">
        <f aca="false">IF($D3018="","",IF(OR($R3018=TRUE(),$R3018="TRUE"),Settings!$C$6,Settings!$C$7)*100)</f>
        <v/>
      </c>
      <c r="AH3018" s="18" t="str">
        <f aca="false">IF($D3018="","",IF(COUNTIF($D$2:$D3018,$D3018)=1,1,0))</f>
        <v/>
      </c>
      <c r="AI3018" s="18" t="str">
        <f aca="false">IF($AH3018=1,SUMPRODUCT(--($AK$2:$AK$4001&lt;$AK3018))+1,"")</f>
        <v/>
      </c>
      <c r="AJ3018" s="18" t="str">
        <f aca="false">IF($D3018="","",IF(OR($R3018=TRUE(),$R3018="TRUE"),1,0))</f>
        <v/>
      </c>
      <c r="AK3018" s="18" t="str">
        <f aca="false">IF($AH3018=1,IFERROR(VALUE(MID($D3018,2,20)),1000000000)+ROW()/10000000,"")</f>
        <v/>
      </c>
    </row>
    <row r="3019" customFormat="false" ht="15" hidden="false" customHeight="false" outlineLevel="0" collapsed="false">
      <c r="F3019" s="15"/>
      <c r="N3019" s="16" t="str">
        <f aca="false">IF($D3019="","",M3019*Y3019/100)</f>
        <v/>
      </c>
      <c r="V3019" s="16" t="str">
        <f aca="false">IF($D3019="","",Y3019*AB3019/100)</f>
        <v/>
      </c>
      <c r="W3019" s="16" t="str">
        <f aca="false">IF($D3019="","",Y3019-V3019)</f>
        <v/>
      </c>
      <c r="X3019" s="16" t="str">
        <f aca="false">IF($D3019="","",W3019-N3019)</f>
        <v/>
      </c>
      <c r="AB3019" s="17" t="str">
        <f aca="false">IF($D3019="","",IF(OR($R3019=TRUE(),$R3019="TRUE"),Settings!$C$6,Settings!$C$7)*100)</f>
        <v/>
      </c>
      <c r="AH3019" s="18" t="str">
        <f aca="false">IF($D3019="","",IF(COUNTIF($D$2:$D3019,$D3019)=1,1,0))</f>
        <v/>
      </c>
      <c r="AI3019" s="18" t="str">
        <f aca="false">IF($AH3019=1,SUMPRODUCT(--($AK$2:$AK$4001&lt;$AK3019))+1,"")</f>
        <v/>
      </c>
      <c r="AJ3019" s="18" t="str">
        <f aca="false">IF($D3019="","",IF(OR($R3019=TRUE(),$R3019="TRUE"),1,0))</f>
        <v/>
      </c>
      <c r="AK3019" s="18" t="str">
        <f aca="false">IF($AH3019=1,IFERROR(VALUE(MID($D3019,2,20)),1000000000)+ROW()/10000000,"")</f>
        <v/>
      </c>
    </row>
    <row r="3020" customFormat="false" ht="15" hidden="false" customHeight="false" outlineLevel="0" collapsed="false">
      <c r="F3020" s="15"/>
      <c r="N3020" s="16" t="str">
        <f aca="false">IF($D3020="","",M3020*Y3020/100)</f>
        <v/>
      </c>
      <c r="V3020" s="16" t="str">
        <f aca="false">IF($D3020="","",Y3020*AB3020/100)</f>
        <v/>
      </c>
      <c r="W3020" s="16" t="str">
        <f aca="false">IF($D3020="","",Y3020-V3020)</f>
        <v/>
      </c>
      <c r="X3020" s="16" t="str">
        <f aca="false">IF($D3020="","",W3020-N3020)</f>
        <v/>
      </c>
      <c r="AB3020" s="17" t="str">
        <f aca="false">IF($D3020="","",IF(OR($R3020=TRUE(),$R3020="TRUE"),Settings!$C$6,Settings!$C$7)*100)</f>
        <v/>
      </c>
      <c r="AH3020" s="18" t="str">
        <f aca="false">IF($D3020="","",IF(COUNTIF($D$2:$D3020,$D3020)=1,1,0))</f>
        <v/>
      </c>
      <c r="AI3020" s="18" t="str">
        <f aca="false">IF($AH3020=1,SUMPRODUCT(--($AK$2:$AK$4001&lt;$AK3020))+1,"")</f>
        <v/>
      </c>
      <c r="AJ3020" s="18" t="str">
        <f aca="false">IF($D3020="","",IF(OR($R3020=TRUE(),$R3020="TRUE"),1,0))</f>
        <v/>
      </c>
      <c r="AK3020" s="18" t="str">
        <f aca="false">IF($AH3020=1,IFERROR(VALUE(MID($D3020,2,20)),1000000000)+ROW()/10000000,"")</f>
        <v/>
      </c>
    </row>
    <row r="3021" customFormat="false" ht="15" hidden="false" customHeight="false" outlineLevel="0" collapsed="false">
      <c r="F3021" s="15"/>
      <c r="N3021" s="16" t="str">
        <f aca="false">IF($D3021="","",M3021*Y3021/100)</f>
        <v/>
      </c>
      <c r="V3021" s="16" t="str">
        <f aca="false">IF($D3021="","",Y3021*AB3021/100)</f>
        <v/>
      </c>
      <c r="W3021" s="16" t="str">
        <f aca="false">IF($D3021="","",Y3021-V3021)</f>
        <v/>
      </c>
      <c r="X3021" s="16" t="str">
        <f aca="false">IF($D3021="","",W3021-N3021)</f>
        <v/>
      </c>
      <c r="AB3021" s="17" t="str">
        <f aca="false">IF($D3021="","",IF(OR($R3021=TRUE(),$R3021="TRUE"),Settings!$C$6,Settings!$C$7)*100)</f>
        <v/>
      </c>
      <c r="AH3021" s="18" t="str">
        <f aca="false">IF($D3021="","",IF(COUNTIF($D$2:$D3021,$D3021)=1,1,0))</f>
        <v/>
      </c>
      <c r="AI3021" s="18" t="str">
        <f aca="false">IF($AH3021=1,SUMPRODUCT(--($AK$2:$AK$4001&lt;$AK3021))+1,"")</f>
        <v/>
      </c>
      <c r="AJ3021" s="18" t="str">
        <f aca="false">IF($D3021="","",IF(OR($R3021=TRUE(),$R3021="TRUE"),1,0))</f>
        <v/>
      </c>
      <c r="AK3021" s="18" t="str">
        <f aca="false">IF($AH3021=1,IFERROR(VALUE(MID($D3021,2,20)),1000000000)+ROW()/10000000,"")</f>
        <v/>
      </c>
    </row>
    <row r="3022" customFormat="false" ht="15" hidden="false" customHeight="false" outlineLevel="0" collapsed="false">
      <c r="F3022" s="15"/>
      <c r="N3022" s="16" t="str">
        <f aca="false">IF($D3022="","",M3022*Y3022/100)</f>
        <v/>
      </c>
      <c r="V3022" s="16" t="str">
        <f aca="false">IF($D3022="","",Y3022*AB3022/100)</f>
        <v/>
      </c>
      <c r="W3022" s="16" t="str">
        <f aca="false">IF($D3022="","",Y3022-V3022)</f>
        <v/>
      </c>
      <c r="X3022" s="16" t="str">
        <f aca="false">IF($D3022="","",W3022-N3022)</f>
        <v/>
      </c>
      <c r="AB3022" s="17" t="str">
        <f aca="false">IF($D3022="","",IF(OR($R3022=TRUE(),$R3022="TRUE"),Settings!$C$6,Settings!$C$7)*100)</f>
        <v/>
      </c>
      <c r="AH3022" s="18" t="str">
        <f aca="false">IF($D3022="","",IF(COUNTIF($D$2:$D3022,$D3022)=1,1,0))</f>
        <v/>
      </c>
      <c r="AI3022" s="18" t="str">
        <f aca="false">IF($AH3022=1,SUMPRODUCT(--($AK$2:$AK$4001&lt;$AK3022))+1,"")</f>
        <v/>
      </c>
      <c r="AJ3022" s="18" t="str">
        <f aca="false">IF($D3022="","",IF(OR($R3022=TRUE(),$R3022="TRUE"),1,0))</f>
        <v/>
      </c>
      <c r="AK3022" s="18" t="str">
        <f aca="false">IF($AH3022=1,IFERROR(VALUE(MID($D3022,2,20)),1000000000)+ROW()/10000000,"")</f>
        <v/>
      </c>
    </row>
    <row r="3023" customFormat="false" ht="15" hidden="false" customHeight="false" outlineLevel="0" collapsed="false">
      <c r="F3023" s="15"/>
      <c r="N3023" s="16" t="str">
        <f aca="false">IF($D3023="","",M3023*Y3023/100)</f>
        <v/>
      </c>
      <c r="V3023" s="16" t="str">
        <f aca="false">IF($D3023="","",Y3023*AB3023/100)</f>
        <v/>
      </c>
      <c r="W3023" s="16" t="str">
        <f aca="false">IF($D3023="","",Y3023-V3023)</f>
        <v/>
      </c>
      <c r="X3023" s="16" t="str">
        <f aca="false">IF($D3023="","",W3023-N3023)</f>
        <v/>
      </c>
      <c r="AB3023" s="17" t="str">
        <f aca="false">IF($D3023="","",IF(OR($R3023=TRUE(),$R3023="TRUE"),Settings!$C$6,Settings!$C$7)*100)</f>
        <v/>
      </c>
      <c r="AH3023" s="18" t="str">
        <f aca="false">IF($D3023="","",IF(COUNTIF($D$2:$D3023,$D3023)=1,1,0))</f>
        <v/>
      </c>
      <c r="AI3023" s="18" t="str">
        <f aca="false">IF($AH3023=1,SUMPRODUCT(--($AK$2:$AK$4001&lt;$AK3023))+1,"")</f>
        <v/>
      </c>
      <c r="AJ3023" s="18" t="str">
        <f aca="false">IF($D3023="","",IF(OR($R3023=TRUE(),$R3023="TRUE"),1,0))</f>
        <v/>
      </c>
      <c r="AK3023" s="18" t="str">
        <f aca="false">IF($AH3023=1,IFERROR(VALUE(MID($D3023,2,20)),1000000000)+ROW()/10000000,"")</f>
        <v/>
      </c>
    </row>
    <row r="3024" customFormat="false" ht="15" hidden="false" customHeight="false" outlineLevel="0" collapsed="false">
      <c r="F3024" s="15"/>
      <c r="N3024" s="16" t="str">
        <f aca="false">IF($D3024="","",M3024*Y3024/100)</f>
        <v/>
      </c>
      <c r="V3024" s="16" t="str">
        <f aca="false">IF($D3024="","",Y3024*AB3024/100)</f>
        <v/>
      </c>
      <c r="W3024" s="16" t="str">
        <f aca="false">IF($D3024="","",Y3024-V3024)</f>
        <v/>
      </c>
      <c r="X3024" s="16" t="str">
        <f aca="false">IF($D3024="","",W3024-N3024)</f>
        <v/>
      </c>
      <c r="AB3024" s="17" t="str">
        <f aca="false">IF($D3024="","",IF(OR($R3024=TRUE(),$R3024="TRUE"),Settings!$C$6,Settings!$C$7)*100)</f>
        <v/>
      </c>
      <c r="AH3024" s="18" t="str">
        <f aca="false">IF($D3024="","",IF(COUNTIF($D$2:$D3024,$D3024)=1,1,0))</f>
        <v/>
      </c>
      <c r="AI3024" s="18" t="str">
        <f aca="false">IF($AH3024=1,SUMPRODUCT(--($AK$2:$AK$4001&lt;$AK3024))+1,"")</f>
        <v/>
      </c>
      <c r="AJ3024" s="18" t="str">
        <f aca="false">IF($D3024="","",IF(OR($R3024=TRUE(),$R3024="TRUE"),1,0))</f>
        <v/>
      </c>
      <c r="AK3024" s="18" t="str">
        <f aca="false">IF($AH3024=1,IFERROR(VALUE(MID($D3024,2,20)),1000000000)+ROW()/10000000,"")</f>
        <v/>
      </c>
    </row>
    <row r="3025" customFormat="false" ht="15" hidden="false" customHeight="false" outlineLevel="0" collapsed="false">
      <c r="F3025" s="15"/>
      <c r="N3025" s="16" t="str">
        <f aca="false">IF($D3025="","",M3025*Y3025/100)</f>
        <v/>
      </c>
      <c r="V3025" s="16" t="str">
        <f aca="false">IF($D3025="","",Y3025*AB3025/100)</f>
        <v/>
      </c>
      <c r="W3025" s="16" t="str">
        <f aca="false">IF($D3025="","",Y3025-V3025)</f>
        <v/>
      </c>
      <c r="X3025" s="16" t="str">
        <f aca="false">IF($D3025="","",W3025-N3025)</f>
        <v/>
      </c>
      <c r="AB3025" s="17" t="str">
        <f aca="false">IF($D3025="","",IF(OR($R3025=TRUE(),$R3025="TRUE"),Settings!$C$6,Settings!$C$7)*100)</f>
        <v/>
      </c>
      <c r="AH3025" s="18" t="str">
        <f aca="false">IF($D3025="","",IF(COUNTIF($D$2:$D3025,$D3025)=1,1,0))</f>
        <v/>
      </c>
      <c r="AI3025" s="18" t="str">
        <f aca="false">IF($AH3025=1,SUMPRODUCT(--($AK$2:$AK$4001&lt;$AK3025))+1,"")</f>
        <v/>
      </c>
      <c r="AJ3025" s="18" t="str">
        <f aca="false">IF($D3025="","",IF(OR($R3025=TRUE(),$R3025="TRUE"),1,0))</f>
        <v/>
      </c>
      <c r="AK3025" s="18" t="str">
        <f aca="false">IF($AH3025=1,IFERROR(VALUE(MID($D3025,2,20)),1000000000)+ROW()/10000000,"")</f>
        <v/>
      </c>
    </row>
    <row r="3026" customFormat="false" ht="15" hidden="false" customHeight="false" outlineLevel="0" collapsed="false">
      <c r="F3026" s="15"/>
      <c r="N3026" s="16" t="str">
        <f aca="false">IF($D3026="","",M3026*Y3026/100)</f>
        <v/>
      </c>
      <c r="V3026" s="16" t="str">
        <f aca="false">IF($D3026="","",Y3026*AB3026/100)</f>
        <v/>
      </c>
      <c r="W3026" s="16" t="str">
        <f aca="false">IF($D3026="","",Y3026-V3026)</f>
        <v/>
      </c>
      <c r="X3026" s="16" t="str">
        <f aca="false">IF($D3026="","",W3026-N3026)</f>
        <v/>
      </c>
      <c r="AB3026" s="17" t="str">
        <f aca="false">IF($D3026="","",IF(OR($R3026=TRUE(),$R3026="TRUE"),Settings!$C$6,Settings!$C$7)*100)</f>
        <v/>
      </c>
      <c r="AH3026" s="18" t="str">
        <f aca="false">IF($D3026="","",IF(COUNTIF($D$2:$D3026,$D3026)=1,1,0))</f>
        <v/>
      </c>
      <c r="AI3026" s="18" t="str">
        <f aca="false">IF($AH3026=1,SUMPRODUCT(--($AK$2:$AK$4001&lt;$AK3026))+1,"")</f>
        <v/>
      </c>
      <c r="AJ3026" s="18" t="str">
        <f aca="false">IF($D3026="","",IF(OR($R3026=TRUE(),$R3026="TRUE"),1,0))</f>
        <v/>
      </c>
      <c r="AK3026" s="18" t="str">
        <f aca="false">IF($AH3026=1,IFERROR(VALUE(MID($D3026,2,20)),1000000000)+ROW()/10000000,"")</f>
        <v/>
      </c>
    </row>
    <row r="3027" customFormat="false" ht="15" hidden="false" customHeight="false" outlineLevel="0" collapsed="false">
      <c r="F3027" s="15"/>
      <c r="N3027" s="16" t="str">
        <f aca="false">IF($D3027="","",M3027*Y3027/100)</f>
        <v/>
      </c>
      <c r="V3027" s="16" t="str">
        <f aca="false">IF($D3027="","",Y3027*AB3027/100)</f>
        <v/>
      </c>
      <c r="W3027" s="16" t="str">
        <f aca="false">IF($D3027="","",Y3027-V3027)</f>
        <v/>
      </c>
      <c r="X3027" s="16" t="str">
        <f aca="false">IF($D3027="","",W3027-N3027)</f>
        <v/>
      </c>
      <c r="AB3027" s="17" t="str">
        <f aca="false">IF($D3027="","",IF(OR($R3027=TRUE(),$R3027="TRUE"),Settings!$C$6,Settings!$C$7)*100)</f>
        <v/>
      </c>
      <c r="AH3027" s="18" t="str">
        <f aca="false">IF($D3027="","",IF(COUNTIF($D$2:$D3027,$D3027)=1,1,0))</f>
        <v/>
      </c>
      <c r="AI3027" s="18" t="str">
        <f aca="false">IF($AH3027=1,SUMPRODUCT(--($AK$2:$AK$4001&lt;$AK3027))+1,"")</f>
        <v/>
      </c>
      <c r="AJ3027" s="18" t="str">
        <f aca="false">IF($D3027="","",IF(OR($R3027=TRUE(),$R3027="TRUE"),1,0))</f>
        <v/>
      </c>
      <c r="AK3027" s="18" t="str">
        <f aca="false">IF($AH3027=1,IFERROR(VALUE(MID($D3027,2,20)),1000000000)+ROW()/10000000,"")</f>
        <v/>
      </c>
    </row>
    <row r="3028" customFormat="false" ht="15" hidden="false" customHeight="false" outlineLevel="0" collapsed="false">
      <c r="F3028" s="15"/>
      <c r="N3028" s="16" t="str">
        <f aca="false">IF($D3028="","",M3028*Y3028/100)</f>
        <v/>
      </c>
      <c r="V3028" s="16" t="str">
        <f aca="false">IF($D3028="","",Y3028*AB3028/100)</f>
        <v/>
      </c>
      <c r="W3028" s="16" t="str">
        <f aca="false">IF($D3028="","",Y3028-V3028)</f>
        <v/>
      </c>
      <c r="X3028" s="16" t="str">
        <f aca="false">IF($D3028="","",W3028-N3028)</f>
        <v/>
      </c>
      <c r="AB3028" s="17" t="str">
        <f aca="false">IF($D3028="","",IF(OR($R3028=TRUE(),$R3028="TRUE"),Settings!$C$6,Settings!$C$7)*100)</f>
        <v/>
      </c>
      <c r="AH3028" s="18" t="str">
        <f aca="false">IF($D3028="","",IF(COUNTIF($D$2:$D3028,$D3028)=1,1,0))</f>
        <v/>
      </c>
      <c r="AI3028" s="18" t="str">
        <f aca="false">IF($AH3028=1,SUMPRODUCT(--($AK$2:$AK$4001&lt;$AK3028))+1,"")</f>
        <v/>
      </c>
      <c r="AJ3028" s="18" t="str">
        <f aca="false">IF($D3028="","",IF(OR($R3028=TRUE(),$R3028="TRUE"),1,0))</f>
        <v/>
      </c>
      <c r="AK3028" s="18" t="str">
        <f aca="false">IF($AH3028=1,IFERROR(VALUE(MID($D3028,2,20)),1000000000)+ROW()/10000000,"")</f>
        <v/>
      </c>
    </row>
    <row r="3029" customFormat="false" ht="15" hidden="false" customHeight="false" outlineLevel="0" collapsed="false">
      <c r="F3029" s="15"/>
      <c r="N3029" s="16" t="str">
        <f aca="false">IF($D3029="","",M3029*Y3029/100)</f>
        <v/>
      </c>
      <c r="V3029" s="16" t="str">
        <f aca="false">IF($D3029="","",Y3029*AB3029/100)</f>
        <v/>
      </c>
      <c r="W3029" s="16" t="str">
        <f aca="false">IF($D3029="","",Y3029-V3029)</f>
        <v/>
      </c>
      <c r="X3029" s="16" t="str">
        <f aca="false">IF($D3029="","",W3029-N3029)</f>
        <v/>
      </c>
      <c r="AB3029" s="17" t="str">
        <f aca="false">IF($D3029="","",IF(OR($R3029=TRUE(),$R3029="TRUE"),Settings!$C$6,Settings!$C$7)*100)</f>
        <v/>
      </c>
      <c r="AH3029" s="18" t="str">
        <f aca="false">IF($D3029="","",IF(COUNTIF($D$2:$D3029,$D3029)=1,1,0))</f>
        <v/>
      </c>
      <c r="AI3029" s="18" t="str">
        <f aca="false">IF($AH3029=1,SUMPRODUCT(--($AK$2:$AK$4001&lt;$AK3029))+1,"")</f>
        <v/>
      </c>
      <c r="AJ3029" s="18" t="str">
        <f aca="false">IF($D3029="","",IF(OR($R3029=TRUE(),$R3029="TRUE"),1,0))</f>
        <v/>
      </c>
      <c r="AK3029" s="18" t="str">
        <f aca="false">IF($AH3029=1,IFERROR(VALUE(MID($D3029,2,20)),1000000000)+ROW()/10000000,"")</f>
        <v/>
      </c>
    </row>
    <row r="3030" customFormat="false" ht="15" hidden="false" customHeight="false" outlineLevel="0" collapsed="false">
      <c r="F3030" s="15"/>
      <c r="N3030" s="16" t="str">
        <f aca="false">IF($D3030="","",M3030*Y3030/100)</f>
        <v/>
      </c>
      <c r="V3030" s="16" t="str">
        <f aca="false">IF($D3030="","",Y3030*AB3030/100)</f>
        <v/>
      </c>
      <c r="W3030" s="16" t="str">
        <f aca="false">IF($D3030="","",Y3030-V3030)</f>
        <v/>
      </c>
      <c r="X3030" s="16" t="str">
        <f aca="false">IF($D3030="","",W3030-N3030)</f>
        <v/>
      </c>
      <c r="AB3030" s="17" t="str">
        <f aca="false">IF($D3030="","",IF(OR($R3030=TRUE(),$R3030="TRUE"),Settings!$C$6,Settings!$C$7)*100)</f>
        <v/>
      </c>
      <c r="AH3030" s="18" t="str">
        <f aca="false">IF($D3030="","",IF(COUNTIF($D$2:$D3030,$D3030)=1,1,0))</f>
        <v/>
      </c>
      <c r="AI3030" s="18" t="str">
        <f aca="false">IF($AH3030=1,SUMPRODUCT(--($AK$2:$AK$4001&lt;$AK3030))+1,"")</f>
        <v/>
      </c>
      <c r="AJ3030" s="18" t="str">
        <f aca="false">IF($D3030="","",IF(OR($R3030=TRUE(),$R3030="TRUE"),1,0))</f>
        <v/>
      </c>
      <c r="AK3030" s="18" t="str">
        <f aca="false">IF($AH3030=1,IFERROR(VALUE(MID($D3030,2,20)),1000000000)+ROW()/10000000,"")</f>
        <v/>
      </c>
    </row>
    <row r="3031" customFormat="false" ht="15" hidden="false" customHeight="false" outlineLevel="0" collapsed="false">
      <c r="F3031" s="15"/>
      <c r="N3031" s="16" t="str">
        <f aca="false">IF($D3031="","",M3031*Y3031/100)</f>
        <v/>
      </c>
      <c r="V3031" s="16" t="str">
        <f aca="false">IF($D3031="","",Y3031*AB3031/100)</f>
        <v/>
      </c>
      <c r="W3031" s="16" t="str">
        <f aca="false">IF($D3031="","",Y3031-V3031)</f>
        <v/>
      </c>
      <c r="X3031" s="16" t="str">
        <f aca="false">IF($D3031="","",W3031-N3031)</f>
        <v/>
      </c>
      <c r="AB3031" s="17" t="str">
        <f aca="false">IF($D3031="","",IF(OR($R3031=TRUE(),$R3031="TRUE"),Settings!$C$6,Settings!$C$7)*100)</f>
        <v/>
      </c>
      <c r="AH3031" s="18" t="str">
        <f aca="false">IF($D3031="","",IF(COUNTIF($D$2:$D3031,$D3031)=1,1,0))</f>
        <v/>
      </c>
      <c r="AI3031" s="18" t="str">
        <f aca="false">IF($AH3031=1,SUMPRODUCT(--($AK$2:$AK$4001&lt;$AK3031))+1,"")</f>
        <v/>
      </c>
      <c r="AJ3031" s="18" t="str">
        <f aca="false">IF($D3031="","",IF(OR($R3031=TRUE(),$R3031="TRUE"),1,0))</f>
        <v/>
      </c>
      <c r="AK3031" s="18" t="str">
        <f aca="false">IF($AH3031=1,IFERROR(VALUE(MID($D3031,2,20)),1000000000)+ROW()/10000000,"")</f>
        <v/>
      </c>
    </row>
    <row r="3032" customFormat="false" ht="15" hidden="false" customHeight="false" outlineLevel="0" collapsed="false">
      <c r="F3032" s="15"/>
      <c r="N3032" s="16" t="str">
        <f aca="false">IF($D3032="","",M3032*Y3032/100)</f>
        <v/>
      </c>
      <c r="V3032" s="16" t="str">
        <f aca="false">IF($D3032="","",Y3032*AB3032/100)</f>
        <v/>
      </c>
      <c r="W3032" s="16" t="str">
        <f aca="false">IF($D3032="","",Y3032-V3032)</f>
        <v/>
      </c>
      <c r="X3032" s="16" t="str">
        <f aca="false">IF($D3032="","",W3032-N3032)</f>
        <v/>
      </c>
      <c r="AB3032" s="17" t="str">
        <f aca="false">IF($D3032="","",IF(OR($R3032=TRUE(),$R3032="TRUE"),Settings!$C$6,Settings!$C$7)*100)</f>
        <v/>
      </c>
      <c r="AH3032" s="18" t="str">
        <f aca="false">IF($D3032="","",IF(COUNTIF($D$2:$D3032,$D3032)=1,1,0))</f>
        <v/>
      </c>
      <c r="AI3032" s="18" t="str">
        <f aca="false">IF($AH3032=1,SUMPRODUCT(--($AK$2:$AK$4001&lt;$AK3032))+1,"")</f>
        <v/>
      </c>
      <c r="AJ3032" s="18" t="str">
        <f aca="false">IF($D3032="","",IF(OR($R3032=TRUE(),$R3032="TRUE"),1,0))</f>
        <v/>
      </c>
      <c r="AK3032" s="18" t="str">
        <f aca="false">IF($AH3032=1,IFERROR(VALUE(MID($D3032,2,20)),1000000000)+ROW()/10000000,"")</f>
        <v/>
      </c>
    </row>
    <row r="3033" customFormat="false" ht="15" hidden="false" customHeight="false" outlineLevel="0" collapsed="false">
      <c r="F3033" s="15"/>
      <c r="N3033" s="16" t="str">
        <f aca="false">IF($D3033="","",M3033*Y3033/100)</f>
        <v/>
      </c>
      <c r="V3033" s="16" t="str">
        <f aca="false">IF($D3033="","",Y3033*AB3033/100)</f>
        <v/>
      </c>
      <c r="W3033" s="16" t="str">
        <f aca="false">IF($D3033="","",Y3033-V3033)</f>
        <v/>
      </c>
      <c r="X3033" s="16" t="str">
        <f aca="false">IF($D3033="","",W3033-N3033)</f>
        <v/>
      </c>
      <c r="AB3033" s="17" t="str">
        <f aca="false">IF($D3033="","",IF(OR($R3033=TRUE(),$R3033="TRUE"),Settings!$C$6,Settings!$C$7)*100)</f>
        <v/>
      </c>
      <c r="AH3033" s="18" t="str">
        <f aca="false">IF($D3033="","",IF(COUNTIF($D$2:$D3033,$D3033)=1,1,0))</f>
        <v/>
      </c>
      <c r="AI3033" s="18" t="str">
        <f aca="false">IF($AH3033=1,SUMPRODUCT(--($AK$2:$AK$4001&lt;$AK3033))+1,"")</f>
        <v/>
      </c>
      <c r="AJ3033" s="18" t="str">
        <f aca="false">IF($D3033="","",IF(OR($R3033=TRUE(),$R3033="TRUE"),1,0))</f>
        <v/>
      </c>
      <c r="AK3033" s="18" t="str">
        <f aca="false">IF($AH3033=1,IFERROR(VALUE(MID($D3033,2,20)),1000000000)+ROW()/10000000,"")</f>
        <v/>
      </c>
    </row>
    <row r="3034" customFormat="false" ht="15" hidden="false" customHeight="false" outlineLevel="0" collapsed="false">
      <c r="F3034" s="15"/>
      <c r="N3034" s="16" t="str">
        <f aca="false">IF($D3034="","",M3034*Y3034/100)</f>
        <v/>
      </c>
      <c r="V3034" s="16" t="str">
        <f aca="false">IF($D3034="","",Y3034*AB3034/100)</f>
        <v/>
      </c>
      <c r="W3034" s="16" t="str">
        <f aca="false">IF($D3034="","",Y3034-V3034)</f>
        <v/>
      </c>
      <c r="X3034" s="16" t="str">
        <f aca="false">IF($D3034="","",W3034-N3034)</f>
        <v/>
      </c>
      <c r="AB3034" s="17" t="str">
        <f aca="false">IF($D3034="","",IF(OR($R3034=TRUE(),$R3034="TRUE"),Settings!$C$6,Settings!$C$7)*100)</f>
        <v/>
      </c>
      <c r="AH3034" s="18" t="str">
        <f aca="false">IF($D3034="","",IF(COUNTIF($D$2:$D3034,$D3034)=1,1,0))</f>
        <v/>
      </c>
      <c r="AI3034" s="18" t="str">
        <f aca="false">IF($AH3034=1,SUMPRODUCT(--($AK$2:$AK$4001&lt;$AK3034))+1,"")</f>
        <v/>
      </c>
      <c r="AJ3034" s="18" t="str">
        <f aca="false">IF($D3034="","",IF(OR($R3034=TRUE(),$R3034="TRUE"),1,0))</f>
        <v/>
      </c>
      <c r="AK3034" s="18" t="str">
        <f aca="false">IF($AH3034=1,IFERROR(VALUE(MID($D3034,2,20)),1000000000)+ROW()/10000000,"")</f>
        <v/>
      </c>
    </row>
    <row r="3035" customFormat="false" ht="15" hidden="false" customHeight="false" outlineLevel="0" collapsed="false">
      <c r="F3035" s="15"/>
      <c r="N3035" s="16" t="str">
        <f aca="false">IF($D3035="","",M3035*Y3035/100)</f>
        <v/>
      </c>
      <c r="V3035" s="16" t="str">
        <f aca="false">IF($D3035="","",Y3035*AB3035/100)</f>
        <v/>
      </c>
      <c r="W3035" s="16" t="str">
        <f aca="false">IF($D3035="","",Y3035-V3035)</f>
        <v/>
      </c>
      <c r="X3035" s="16" t="str">
        <f aca="false">IF($D3035="","",W3035-N3035)</f>
        <v/>
      </c>
      <c r="AB3035" s="17" t="str">
        <f aca="false">IF($D3035="","",IF(OR($R3035=TRUE(),$R3035="TRUE"),Settings!$C$6,Settings!$C$7)*100)</f>
        <v/>
      </c>
      <c r="AH3035" s="18" t="str">
        <f aca="false">IF($D3035="","",IF(COUNTIF($D$2:$D3035,$D3035)=1,1,0))</f>
        <v/>
      </c>
      <c r="AI3035" s="18" t="str">
        <f aca="false">IF($AH3035=1,SUMPRODUCT(--($AK$2:$AK$4001&lt;$AK3035))+1,"")</f>
        <v/>
      </c>
      <c r="AJ3035" s="18" t="str">
        <f aca="false">IF($D3035="","",IF(OR($R3035=TRUE(),$R3035="TRUE"),1,0))</f>
        <v/>
      </c>
      <c r="AK3035" s="18" t="str">
        <f aca="false">IF($AH3035=1,IFERROR(VALUE(MID($D3035,2,20)),1000000000)+ROW()/10000000,"")</f>
        <v/>
      </c>
    </row>
    <row r="3036" customFormat="false" ht="15" hidden="false" customHeight="false" outlineLevel="0" collapsed="false">
      <c r="F3036" s="15"/>
      <c r="N3036" s="16" t="str">
        <f aca="false">IF($D3036="","",M3036*Y3036/100)</f>
        <v/>
      </c>
      <c r="V3036" s="16" t="str">
        <f aca="false">IF($D3036="","",Y3036*AB3036/100)</f>
        <v/>
      </c>
      <c r="W3036" s="16" t="str">
        <f aca="false">IF($D3036="","",Y3036-V3036)</f>
        <v/>
      </c>
      <c r="X3036" s="16" t="str">
        <f aca="false">IF($D3036="","",W3036-N3036)</f>
        <v/>
      </c>
      <c r="AB3036" s="17" t="str">
        <f aca="false">IF($D3036="","",IF(OR($R3036=TRUE(),$R3036="TRUE"),Settings!$C$6,Settings!$C$7)*100)</f>
        <v/>
      </c>
      <c r="AH3036" s="18" t="str">
        <f aca="false">IF($D3036="","",IF(COUNTIF($D$2:$D3036,$D3036)=1,1,0))</f>
        <v/>
      </c>
      <c r="AI3036" s="18" t="str">
        <f aca="false">IF($AH3036=1,SUMPRODUCT(--($AK$2:$AK$4001&lt;$AK3036))+1,"")</f>
        <v/>
      </c>
      <c r="AJ3036" s="18" t="str">
        <f aca="false">IF($D3036="","",IF(OR($R3036=TRUE(),$R3036="TRUE"),1,0))</f>
        <v/>
      </c>
      <c r="AK3036" s="18" t="str">
        <f aca="false">IF($AH3036=1,IFERROR(VALUE(MID($D3036,2,20)),1000000000)+ROW()/10000000,"")</f>
        <v/>
      </c>
    </row>
    <row r="3037" customFormat="false" ht="15" hidden="false" customHeight="false" outlineLevel="0" collapsed="false">
      <c r="F3037" s="15"/>
      <c r="N3037" s="16" t="str">
        <f aca="false">IF($D3037="","",M3037*Y3037/100)</f>
        <v/>
      </c>
      <c r="V3037" s="16" t="str">
        <f aca="false">IF($D3037="","",Y3037*AB3037/100)</f>
        <v/>
      </c>
      <c r="W3037" s="16" t="str">
        <f aca="false">IF($D3037="","",Y3037-V3037)</f>
        <v/>
      </c>
      <c r="X3037" s="16" t="str">
        <f aca="false">IF($D3037="","",W3037-N3037)</f>
        <v/>
      </c>
      <c r="AB3037" s="17" t="str">
        <f aca="false">IF($D3037="","",IF(OR($R3037=TRUE(),$R3037="TRUE"),Settings!$C$6,Settings!$C$7)*100)</f>
        <v/>
      </c>
      <c r="AH3037" s="18" t="str">
        <f aca="false">IF($D3037="","",IF(COUNTIF($D$2:$D3037,$D3037)=1,1,0))</f>
        <v/>
      </c>
      <c r="AI3037" s="18" t="str">
        <f aca="false">IF($AH3037=1,SUMPRODUCT(--($AK$2:$AK$4001&lt;$AK3037))+1,"")</f>
        <v/>
      </c>
      <c r="AJ3037" s="18" t="str">
        <f aca="false">IF($D3037="","",IF(OR($R3037=TRUE(),$R3037="TRUE"),1,0))</f>
        <v/>
      </c>
      <c r="AK3037" s="18" t="str">
        <f aca="false">IF($AH3037=1,IFERROR(VALUE(MID($D3037,2,20)),1000000000)+ROW()/10000000,"")</f>
        <v/>
      </c>
    </row>
    <row r="3038" customFormat="false" ht="15" hidden="false" customHeight="false" outlineLevel="0" collapsed="false">
      <c r="F3038" s="15"/>
      <c r="N3038" s="16" t="str">
        <f aca="false">IF($D3038="","",M3038*Y3038/100)</f>
        <v/>
      </c>
      <c r="V3038" s="16" t="str">
        <f aca="false">IF($D3038="","",Y3038*AB3038/100)</f>
        <v/>
      </c>
      <c r="W3038" s="16" t="str">
        <f aca="false">IF($D3038="","",Y3038-V3038)</f>
        <v/>
      </c>
      <c r="X3038" s="16" t="str">
        <f aca="false">IF($D3038="","",W3038-N3038)</f>
        <v/>
      </c>
      <c r="AB3038" s="17" t="str">
        <f aca="false">IF($D3038="","",IF(OR($R3038=TRUE(),$R3038="TRUE"),Settings!$C$6,Settings!$C$7)*100)</f>
        <v/>
      </c>
      <c r="AH3038" s="18" t="str">
        <f aca="false">IF($D3038="","",IF(COUNTIF($D$2:$D3038,$D3038)=1,1,0))</f>
        <v/>
      </c>
      <c r="AI3038" s="18" t="str">
        <f aca="false">IF($AH3038=1,SUMPRODUCT(--($AK$2:$AK$4001&lt;$AK3038))+1,"")</f>
        <v/>
      </c>
      <c r="AJ3038" s="18" t="str">
        <f aca="false">IF($D3038="","",IF(OR($R3038=TRUE(),$R3038="TRUE"),1,0))</f>
        <v/>
      </c>
      <c r="AK3038" s="18" t="str">
        <f aca="false">IF($AH3038=1,IFERROR(VALUE(MID($D3038,2,20)),1000000000)+ROW()/10000000,"")</f>
        <v/>
      </c>
    </row>
    <row r="3039" customFormat="false" ht="15" hidden="false" customHeight="false" outlineLevel="0" collapsed="false">
      <c r="F3039" s="15"/>
      <c r="N3039" s="16" t="str">
        <f aca="false">IF($D3039="","",M3039*Y3039/100)</f>
        <v/>
      </c>
      <c r="V3039" s="16" t="str">
        <f aca="false">IF($D3039="","",Y3039*AB3039/100)</f>
        <v/>
      </c>
      <c r="W3039" s="16" t="str">
        <f aca="false">IF($D3039="","",Y3039-V3039)</f>
        <v/>
      </c>
      <c r="X3039" s="16" t="str">
        <f aca="false">IF($D3039="","",W3039-N3039)</f>
        <v/>
      </c>
      <c r="AB3039" s="17" t="str">
        <f aca="false">IF($D3039="","",IF(OR($R3039=TRUE(),$R3039="TRUE"),Settings!$C$6,Settings!$C$7)*100)</f>
        <v/>
      </c>
      <c r="AH3039" s="18" t="str">
        <f aca="false">IF($D3039="","",IF(COUNTIF($D$2:$D3039,$D3039)=1,1,0))</f>
        <v/>
      </c>
      <c r="AI3039" s="18" t="str">
        <f aca="false">IF($AH3039=1,SUMPRODUCT(--($AK$2:$AK$4001&lt;$AK3039))+1,"")</f>
        <v/>
      </c>
      <c r="AJ3039" s="18" t="str">
        <f aca="false">IF($D3039="","",IF(OR($R3039=TRUE(),$R3039="TRUE"),1,0))</f>
        <v/>
      </c>
      <c r="AK3039" s="18" t="str">
        <f aca="false">IF($AH3039=1,IFERROR(VALUE(MID($D3039,2,20)),1000000000)+ROW()/10000000,"")</f>
        <v/>
      </c>
    </row>
    <row r="3040" customFormat="false" ht="15" hidden="false" customHeight="false" outlineLevel="0" collapsed="false">
      <c r="F3040" s="15"/>
      <c r="N3040" s="16" t="str">
        <f aca="false">IF($D3040="","",M3040*Y3040/100)</f>
        <v/>
      </c>
      <c r="V3040" s="16" t="str">
        <f aca="false">IF($D3040="","",Y3040*AB3040/100)</f>
        <v/>
      </c>
      <c r="W3040" s="16" t="str">
        <f aca="false">IF($D3040="","",Y3040-V3040)</f>
        <v/>
      </c>
      <c r="X3040" s="16" t="str">
        <f aca="false">IF($D3040="","",W3040-N3040)</f>
        <v/>
      </c>
      <c r="AB3040" s="17" t="str">
        <f aca="false">IF($D3040="","",IF(OR($R3040=TRUE(),$R3040="TRUE"),Settings!$C$6,Settings!$C$7)*100)</f>
        <v/>
      </c>
      <c r="AH3040" s="18" t="str">
        <f aca="false">IF($D3040="","",IF(COUNTIF($D$2:$D3040,$D3040)=1,1,0))</f>
        <v/>
      </c>
      <c r="AI3040" s="18" t="str">
        <f aca="false">IF($AH3040=1,SUMPRODUCT(--($AK$2:$AK$4001&lt;$AK3040))+1,"")</f>
        <v/>
      </c>
      <c r="AJ3040" s="18" t="str">
        <f aca="false">IF($D3040="","",IF(OR($R3040=TRUE(),$R3040="TRUE"),1,0))</f>
        <v/>
      </c>
      <c r="AK3040" s="18" t="str">
        <f aca="false">IF($AH3040=1,IFERROR(VALUE(MID($D3040,2,20)),1000000000)+ROW()/10000000,"")</f>
        <v/>
      </c>
    </row>
    <row r="3041" customFormat="false" ht="15" hidden="false" customHeight="false" outlineLevel="0" collapsed="false">
      <c r="F3041" s="15"/>
      <c r="N3041" s="16" t="str">
        <f aca="false">IF($D3041="","",M3041*Y3041/100)</f>
        <v/>
      </c>
      <c r="V3041" s="16" t="str">
        <f aca="false">IF($D3041="","",Y3041*AB3041/100)</f>
        <v/>
      </c>
      <c r="W3041" s="16" t="str">
        <f aca="false">IF($D3041="","",Y3041-V3041)</f>
        <v/>
      </c>
      <c r="X3041" s="16" t="str">
        <f aca="false">IF($D3041="","",W3041-N3041)</f>
        <v/>
      </c>
      <c r="AB3041" s="17" t="str">
        <f aca="false">IF($D3041="","",IF(OR($R3041=TRUE(),$R3041="TRUE"),Settings!$C$6,Settings!$C$7)*100)</f>
        <v/>
      </c>
      <c r="AH3041" s="18" t="str">
        <f aca="false">IF($D3041="","",IF(COUNTIF($D$2:$D3041,$D3041)=1,1,0))</f>
        <v/>
      </c>
      <c r="AI3041" s="18" t="str">
        <f aca="false">IF($AH3041=1,SUMPRODUCT(--($AK$2:$AK$4001&lt;$AK3041))+1,"")</f>
        <v/>
      </c>
      <c r="AJ3041" s="18" t="str">
        <f aca="false">IF($D3041="","",IF(OR($R3041=TRUE(),$R3041="TRUE"),1,0))</f>
        <v/>
      </c>
      <c r="AK3041" s="18" t="str">
        <f aca="false">IF($AH3041=1,IFERROR(VALUE(MID($D3041,2,20)),1000000000)+ROW()/10000000,"")</f>
        <v/>
      </c>
    </row>
    <row r="3042" customFormat="false" ht="15" hidden="false" customHeight="false" outlineLevel="0" collapsed="false">
      <c r="F3042" s="15"/>
      <c r="N3042" s="16" t="str">
        <f aca="false">IF($D3042="","",M3042*Y3042/100)</f>
        <v/>
      </c>
      <c r="V3042" s="16" t="str">
        <f aca="false">IF($D3042="","",Y3042*AB3042/100)</f>
        <v/>
      </c>
      <c r="W3042" s="16" t="str">
        <f aca="false">IF($D3042="","",Y3042-V3042)</f>
        <v/>
      </c>
      <c r="X3042" s="16" t="str">
        <f aca="false">IF($D3042="","",W3042-N3042)</f>
        <v/>
      </c>
      <c r="AB3042" s="17" t="str">
        <f aca="false">IF($D3042="","",IF(OR($R3042=TRUE(),$R3042="TRUE"),Settings!$C$6,Settings!$C$7)*100)</f>
        <v/>
      </c>
      <c r="AH3042" s="18" t="str">
        <f aca="false">IF($D3042="","",IF(COUNTIF($D$2:$D3042,$D3042)=1,1,0))</f>
        <v/>
      </c>
      <c r="AI3042" s="18" t="str">
        <f aca="false">IF($AH3042=1,SUMPRODUCT(--($AK$2:$AK$4001&lt;$AK3042))+1,"")</f>
        <v/>
      </c>
      <c r="AJ3042" s="18" t="str">
        <f aca="false">IF($D3042="","",IF(OR($R3042=TRUE(),$R3042="TRUE"),1,0))</f>
        <v/>
      </c>
      <c r="AK3042" s="18" t="str">
        <f aca="false">IF($AH3042=1,IFERROR(VALUE(MID($D3042,2,20)),1000000000)+ROW()/10000000,"")</f>
        <v/>
      </c>
    </row>
    <row r="3043" customFormat="false" ht="15" hidden="false" customHeight="false" outlineLevel="0" collapsed="false">
      <c r="F3043" s="15"/>
      <c r="N3043" s="16" t="str">
        <f aca="false">IF($D3043="","",M3043*Y3043/100)</f>
        <v/>
      </c>
      <c r="V3043" s="16" t="str">
        <f aca="false">IF($D3043="","",Y3043*AB3043/100)</f>
        <v/>
      </c>
      <c r="W3043" s="16" t="str">
        <f aca="false">IF($D3043="","",Y3043-V3043)</f>
        <v/>
      </c>
      <c r="X3043" s="16" t="str">
        <f aca="false">IF($D3043="","",W3043-N3043)</f>
        <v/>
      </c>
      <c r="AB3043" s="17" t="str">
        <f aca="false">IF($D3043="","",IF(OR($R3043=TRUE(),$R3043="TRUE"),Settings!$C$6,Settings!$C$7)*100)</f>
        <v/>
      </c>
      <c r="AH3043" s="18" t="str">
        <f aca="false">IF($D3043="","",IF(COUNTIF($D$2:$D3043,$D3043)=1,1,0))</f>
        <v/>
      </c>
      <c r="AI3043" s="18" t="str">
        <f aca="false">IF($AH3043=1,SUMPRODUCT(--($AK$2:$AK$4001&lt;$AK3043))+1,"")</f>
        <v/>
      </c>
      <c r="AJ3043" s="18" t="str">
        <f aca="false">IF($D3043="","",IF(OR($R3043=TRUE(),$R3043="TRUE"),1,0))</f>
        <v/>
      </c>
      <c r="AK3043" s="18" t="str">
        <f aca="false">IF($AH3043=1,IFERROR(VALUE(MID($D3043,2,20)),1000000000)+ROW()/10000000,"")</f>
        <v/>
      </c>
    </row>
    <row r="3044" customFormat="false" ht="15" hidden="false" customHeight="false" outlineLevel="0" collapsed="false">
      <c r="F3044" s="15"/>
      <c r="N3044" s="16" t="str">
        <f aca="false">IF($D3044="","",M3044*Y3044/100)</f>
        <v/>
      </c>
      <c r="V3044" s="16" t="str">
        <f aca="false">IF($D3044="","",Y3044*AB3044/100)</f>
        <v/>
      </c>
      <c r="W3044" s="16" t="str">
        <f aca="false">IF($D3044="","",Y3044-V3044)</f>
        <v/>
      </c>
      <c r="X3044" s="16" t="str">
        <f aca="false">IF($D3044="","",W3044-N3044)</f>
        <v/>
      </c>
      <c r="AB3044" s="17" t="str">
        <f aca="false">IF($D3044="","",IF(OR($R3044=TRUE(),$R3044="TRUE"),Settings!$C$6,Settings!$C$7)*100)</f>
        <v/>
      </c>
      <c r="AH3044" s="18" t="str">
        <f aca="false">IF($D3044="","",IF(COUNTIF($D$2:$D3044,$D3044)=1,1,0))</f>
        <v/>
      </c>
      <c r="AI3044" s="18" t="str">
        <f aca="false">IF($AH3044=1,SUMPRODUCT(--($AK$2:$AK$4001&lt;$AK3044))+1,"")</f>
        <v/>
      </c>
      <c r="AJ3044" s="18" t="str">
        <f aca="false">IF($D3044="","",IF(OR($R3044=TRUE(),$R3044="TRUE"),1,0))</f>
        <v/>
      </c>
      <c r="AK3044" s="18" t="str">
        <f aca="false">IF($AH3044=1,IFERROR(VALUE(MID($D3044,2,20)),1000000000)+ROW()/10000000,"")</f>
        <v/>
      </c>
    </row>
    <row r="3045" customFormat="false" ht="15" hidden="false" customHeight="false" outlineLevel="0" collapsed="false">
      <c r="F3045" s="15"/>
      <c r="N3045" s="16" t="str">
        <f aca="false">IF($D3045="","",M3045*Y3045/100)</f>
        <v/>
      </c>
      <c r="V3045" s="16" t="str">
        <f aca="false">IF($D3045="","",Y3045*AB3045/100)</f>
        <v/>
      </c>
      <c r="W3045" s="16" t="str">
        <f aca="false">IF($D3045="","",Y3045-V3045)</f>
        <v/>
      </c>
      <c r="X3045" s="16" t="str">
        <f aca="false">IF($D3045="","",W3045-N3045)</f>
        <v/>
      </c>
      <c r="AB3045" s="17" t="str">
        <f aca="false">IF($D3045="","",IF(OR($R3045=TRUE(),$R3045="TRUE"),Settings!$C$6,Settings!$C$7)*100)</f>
        <v/>
      </c>
      <c r="AH3045" s="18" t="str">
        <f aca="false">IF($D3045="","",IF(COUNTIF($D$2:$D3045,$D3045)=1,1,0))</f>
        <v/>
      </c>
      <c r="AI3045" s="18" t="str">
        <f aca="false">IF($AH3045=1,SUMPRODUCT(--($AK$2:$AK$4001&lt;$AK3045))+1,"")</f>
        <v/>
      </c>
      <c r="AJ3045" s="18" t="str">
        <f aca="false">IF($D3045="","",IF(OR($R3045=TRUE(),$R3045="TRUE"),1,0))</f>
        <v/>
      </c>
      <c r="AK3045" s="18" t="str">
        <f aca="false">IF($AH3045=1,IFERROR(VALUE(MID($D3045,2,20)),1000000000)+ROW()/10000000,"")</f>
        <v/>
      </c>
    </row>
    <row r="3046" customFormat="false" ht="15" hidden="false" customHeight="false" outlineLevel="0" collapsed="false">
      <c r="F3046" s="15"/>
      <c r="N3046" s="16" t="str">
        <f aca="false">IF($D3046="","",M3046*Y3046/100)</f>
        <v/>
      </c>
      <c r="V3046" s="16" t="str">
        <f aca="false">IF($D3046="","",Y3046*AB3046/100)</f>
        <v/>
      </c>
      <c r="W3046" s="16" t="str">
        <f aca="false">IF($D3046="","",Y3046-V3046)</f>
        <v/>
      </c>
      <c r="X3046" s="16" t="str">
        <f aca="false">IF($D3046="","",W3046-N3046)</f>
        <v/>
      </c>
      <c r="AB3046" s="17" t="str">
        <f aca="false">IF($D3046="","",IF(OR($R3046=TRUE(),$R3046="TRUE"),Settings!$C$6,Settings!$C$7)*100)</f>
        <v/>
      </c>
      <c r="AH3046" s="18" t="str">
        <f aca="false">IF($D3046="","",IF(COUNTIF($D$2:$D3046,$D3046)=1,1,0))</f>
        <v/>
      </c>
      <c r="AI3046" s="18" t="str">
        <f aca="false">IF($AH3046=1,SUMPRODUCT(--($AK$2:$AK$4001&lt;$AK3046))+1,"")</f>
        <v/>
      </c>
      <c r="AJ3046" s="18" t="str">
        <f aca="false">IF($D3046="","",IF(OR($R3046=TRUE(),$R3046="TRUE"),1,0))</f>
        <v/>
      </c>
      <c r="AK3046" s="18" t="str">
        <f aca="false">IF($AH3046=1,IFERROR(VALUE(MID($D3046,2,20)),1000000000)+ROW()/10000000,"")</f>
        <v/>
      </c>
    </row>
    <row r="3047" customFormat="false" ht="15" hidden="false" customHeight="false" outlineLevel="0" collapsed="false">
      <c r="F3047" s="15"/>
      <c r="N3047" s="16" t="str">
        <f aca="false">IF($D3047="","",M3047*Y3047/100)</f>
        <v/>
      </c>
      <c r="V3047" s="16" t="str">
        <f aca="false">IF($D3047="","",Y3047*AB3047/100)</f>
        <v/>
      </c>
      <c r="W3047" s="16" t="str">
        <f aca="false">IF($D3047="","",Y3047-V3047)</f>
        <v/>
      </c>
      <c r="X3047" s="16" t="str">
        <f aca="false">IF($D3047="","",W3047-N3047)</f>
        <v/>
      </c>
      <c r="AB3047" s="17" t="str">
        <f aca="false">IF($D3047="","",IF(OR($R3047=TRUE(),$R3047="TRUE"),Settings!$C$6,Settings!$C$7)*100)</f>
        <v/>
      </c>
      <c r="AH3047" s="18" t="str">
        <f aca="false">IF($D3047="","",IF(COUNTIF($D$2:$D3047,$D3047)=1,1,0))</f>
        <v/>
      </c>
      <c r="AI3047" s="18" t="str">
        <f aca="false">IF($AH3047=1,SUMPRODUCT(--($AK$2:$AK$4001&lt;$AK3047))+1,"")</f>
        <v/>
      </c>
      <c r="AJ3047" s="18" t="str">
        <f aca="false">IF($D3047="","",IF(OR($R3047=TRUE(),$R3047="TRUE"),1,0))</f>
        <v/>
      </c>
      <c r="AK3047" s="18" t="str">
        <f aca="false">IF($AH3047=1,IFERROR(VALUE(MID($D3047,2,20)),1000000000)+ROW()/10000000,"")</f>
        <v/>
      </c>
    </row>
    <row r="3048" customFormat="false" ht="15" hidden="false" customHeight="false" outlineLevel="0" collapsed="false">
      <c r="F3048" s="15"/>
      <c r="N3048" s="16" t="str">
        <f aca="false">IF($D3048="","",M3048*Y3048/100)</f>
        <v/>
      </c>
      <c r="V3048" s="16" t="str">
        <f aca="false">IF($D3048="","",Y3048*AB3048/100)</f>
        <v/>
      </c>
      <c r="W3048" s="16" t="str">
        <f aca="false">IF($D3048="","",Y3048-V3048)</f>
        <v/>
      </c>
      <c r="X3048" s="16" t="str">
        <f aca="false">IF($D3048="","",W3048-N3048)</f>
        <v/>
      </c>
      <c r="AB3048" s="17" t="str">
        <f aca="false">IF($D3048="","",IF(OR($R3048=TRUE(),$R3048="TRUE"),Settings!$C$6,Settings!$C$7)*100)</f>
        <v/>
      </c>
      <c r="AH3048" s="18" t="str">
        <f aca="false">IF($D3048="","",IF(COUNTIF($D$2:$D3048,$D3048)=1,1,0))</f>
        <v/>
      </c>
      <c r="AI3048" s="18" t="str">
        <f aca="false">IF($AH3048=1,SUMPRODUCT(--($AK$2:$AK$4001&lt;$AK3048))+1,"")</f>
        <v/>
      </c>
      <c r="AJ3048" s="18" t="str">
        <f aca="false">IF($D3048="","",IF(OR($R3048=TRUE(),$R3048="TRUE"),1,0))</f>
        <v/>
      </c>
      <c r="AK3048" s="18" t="str">
        <f aca="false">IF($AH3048=1,IFERROR(VALUE(MID($D3048,2,20)),1000000000)+ROW()/10000000,"")</f>
        <v/>
      </c>
    </row>
    <row r="3049" customFormat="false" ht="15" hidden="false" customHeight="false" outlineLevel="0" collapsed="false">
      <c r="F3049" s="15"/>
      <c r="N3049" s="16" t="str">
        <f aca="false">IF($D3049="","",M3049*Y3049/100)</f>
        <v/>
      </c>
      <c r="V3049" s="16" t="str">
        <f aca="false">IF($D3049="","",Y3049*AB3049/100)</f>
        <v/>
      </c>
      <c r="W3049" s="16" t="str">
        <f aca="false">IF($D3049="","",Y3049-V3049)</f>
        <v/>
      </c>
      <c r="X3049" s="16" t="str">
        <f aca="false">IF($D3049="","",W3049-N3049)</f>
        <v/>
      </c>
      <c r="AB3049" s="17" t="str">
        <f aca="false">IF($D3049="","",IF(OR($R3049=TRUE(),$R3049="TRUE"),Settings!$C$6,Settings!$C$7)*100)</f>
        <v/>
      </c>
      <c r="AH3049" s="18" t="str">
        <f aca="false">IF($D3049="","",IF(COUNTIF($D$2:$D3049,$D3049)=1,1,0))</f>
        <v/>
      </c>
      <c r="AI3049" s="18" t="str">
        <f aca="false">IF($AH3049=1,SUMPRODUCT(--($AK$2:$AK$4001&lt;$AK3049))+1,"")</f>
        <v/>
      </c>
      <c r="AJ3049" s="18" t="str">
        <f aca="false">IF($D3049="","",IF(OR($R3049=TRUE(),$R3049="TRUE"),1,0))</f>
        <v/>
      </c>
      <c r="AK3049" s="18" t="str">
        <f aca="false">IF($AH3049=1,IFERROR(VALUE(MID($D3049,2,20)),1000000000)+ROW()/10000000,"")</f>
        <v/>
      </c>
    </row>
    <row r="3050" customFormat="false" ht="15" hidden="false" customHeight="false" outlineLevel="0" collapsed="false">
      <c r="F3050" s="15"/>
      <c r="N3050" s="16" t="str">
        <f aca="false">IF($D3050="","",M3050*Y3050/100)</f>
        <v/>
      </c>
      <c r="V3050" s="16" t="str">
        <f aca="false">IF($D3050="","",Y3050*AB3050/100)</f>
        <v/>
      </c>
      <c r="W3050" s="16" t="str">
        <f aca="false">IF($D3050="","",Y3050-V3050)</f>
        <v/>
      </c>
      <c r="X3050" s="16" t="str">
        <f aca="false">IF($D3050="","",W3050-N3050)</f>
        <v/>
      </c>
      <c r="AB3050" s="17" t="str">
        <f aca="false">IF($D3050="","",IF(OR($R3050=TRUE(),$R3050="TRUE"),Settings!$C$6,Settings!$C$7)*100)</f>
        <v/>
      </c>
      <c r="AH3050" s="18" t="str">
        <f aca="false">IF($D3050="","",IF(COUNTIF($D$2:$D3050,$D3050)=1,1,0))</f>
        <v/>
      </c>
      <c r="AI3050" s="18" t="str">
        <f aca="false">IF($AH3050=1,SUMPRODUCT(--($AK$2:$AK$4001&lt;$AK3050))+1,"")</f>
        <v/>
      </c>
      <c r="AJ3050" s="18" t="str">
        <f aca="false">IF($D3050="","",IF(OR($R3050=TRUE(),$R3050="TRUE"),1,0))</f>
        <v/>
      </c>
      <c r="AK3050" s="18" t="str">
        <f aca="false">IF($AH3050=1,IFERROR(VALUE(MID($D3050,2,20)),1000000000)+ROW()/10000000,"")</f>
        <v/>
      </c>
    </row>
    <row r="3051" customFormat="false" ht="15" hidden="false" customHeight="false" outlineLevel="0" collapsed="false">
      <c r="F3051" s="15"/>
      <c r="N3051" s="16" t="str">
        <f aca="false">IF($D3051="","",M3051*Y3051/100)</f>
        <v/>
      </c>
      <c r="V3051" s="16" t="str">
        <f aca="false">IF($D3051="","",Y3051*AB3051/100)</f>
        <v/>
      </c>
      <c r="W3051" s="16" t="str">
        <f aca="false">IF($D3051="","",Y3051-V3051)</f>
        <v/>
      </c>
      <c r="X3051" s="16" t="str">
        <f aca="false">IF($D3051="","",W3051-N3051)</f>
        <v/>
      </c>
      <c r="AB3051" s="17" t="str">
        <f aca="false">IF($D3051="","",IF(OR($R3051=TRUE(),$R3051="TRUE"),Settings!$C$6,Settings!$C$7)*100)</f>
        <v/>
      </c>
      <c r="AH3051" s="18" t="str">
        <f aca="false">IF($D3051="","",IF(COUNTIF($D$2:$D3051,$D3051)=1,1,0))</f>
        <v/>
      </c>
      <c r="AI3051" s="18" t="str">
        <f aca="false">IF($AH3051=1,SUMPRODUCT(--($AK$2:$AK$4001&lt;$AK3051))+1,"")</f>
        <v/>
      </c>
      <c r="AJ3051" s="18" t="str">
        <f aca="false">IF($D3051="","",IF(OR($R3051=TRUE(),$R3051="TRUE"),1,0))</f>
        <v/>
      </c>
      <c r="AK3051" s="18" t="str">
        <f aca="false">IF($AH3051=1,IFERROR(VALUE(MID($D3051,2,20)),1000000000)+ROW()/10000000,"")</f>
        <v/>
      </c>
    </row>
    <row r="3052" customFormat="false" ht="15" hidden="false" customHeight="false" outlineLevel="0" collapsed="false">
      <c r="F3052" s="15"/>
      <c r="N3052" s="16" t="str">
        <f aca="false">IF($D3052="","",M3052*Y3052/100)</f>
        <v/>
      </c>
      <c r="V3052" s="16" t="str">
        <f aca="false">IF($D3052="","",Y3052*AB3052/100)</f>
        <v/>
      </c>
      <c r="W3052" s="16" t="str">
        <f aca="false">IF($D3052="","",Y3052-V3052)</f>
        <v/>
      </c>
      <c r="X3052" s="16" t="str">
        <f aca="false">IF($D3052="","",W3052-N3052)</f>
        <v/>
      </c>
      <c r="AB3052" s="17" t="str">
        <f aca="false">IF($D3052="","",IF(OR($R3052=TRUE(),$R3052="TRUE"),Settings!$C$6,Settings!$C$7)*100)</f>
        <v/>
      </c>
      <c r="AH3052" s="18" t="str">
        <f aca="false">IF($D3052="","",IF(COUNTIF($D$2:$D3052,$D3052)=1,1,0))</f>
        <v/>
      </c>
      <c r="AI3052" s="18" t="str">
        <f aca="false">IF($AH3052=1,SUMPRODUCT(--($AK$2:$AK$4001&lt;$AK3052))+1,"")</f>
        <v/>
      </c>
      <c r="AJ3052" s="18" t="str">
        <f aca="false">IF($D3052="","",IF(OR($R3052=TRUE(),$R3052="TRUE"),1,0))</f>
        <v/>
      </c>
      <c r="AK3052" s="18" t="str">
        <f aca="false">IF($AH3052=1,IFERROR(VALUE(MID($D3052,2,20)),1000000000)+ROW()/10000000,"")</f>
        <v/>
      </c>
    </row>
    <row r="3053" customFormat="false" ht="15" hidden="false" customHeight="false" outlineLevel="0" collapsed="false">
      <c r="F3053" s="15"/>
      <c r="N3053" s="16" t="str">
        <f aca="false">IF($D3053="","",M3053*Y3053/100)</f>
        <v/>
      </c>
      <c r="V3053" s="16" t="str">
        <f aca="false">IF($D3053="","",Y3053*AB3053/100)</f>
        <v/>
      </c>
      <c r="W3053" s="16" t="str">
        <f aca="false">IF($D3053="","",Y3053-V3053)</f>
        <v/>
      </c>
      <c r="X3053" s="16" t="str">
        <f aca="false">IF($D3053="","",W3053-N3053)</f>
        <v/>
      </c>
      <c r="AB3053" s="17" t="str">
        <f aca="false">IF($D3053="","",IF(OR($R3053=TRUE(),$R3053="TRUE"),Settings!$C$6,Settings!$C$7)*100)</f>
        <v/>
      </c>
      <c r="AH3053" s="18" t="str">
        <f aca="false">IF($D3053="","",IF(COUNTIF($D$2:$D3053,$D3053)=1,1,0))</f>
        <v/>
      </c>
      <c r="AI3053" s="18" t="str">
        <f aca="false">IF($AH3053=1,SUMPRODUCT(--($AK$2:$AK$4001&lt;$AK3053))+1,"")</f>
        <v/>
      </c>
      <c r="AJ3053" s="18" t="str">
        <f aca="false">IF($D3053="","",IF(OR($R3053=TRUE(),$R3053="TRUE"),1,0))</f>
        <v/>
      </c>
      <c r="AK3053" s="18" t="str">
        <f aca="false">IF($AH3053=1,IFERROR(VALUE(MID($D3053,2,20)),1000000000)+ROW()/10000000,"")</f>
        <v/>
      </c>
    </row>
    <row r="3054" customFormat="false" ht="15" hidden="false" customHeight="false" outlineLevel="0" collapsed="false">
      <c r="F3054" s="15"/>
      <c r="N3054" s="16" t="str">
        <f aca="false">IF($D3054="","",M3054*Y3054/100)</f>
        <v/>
      </c>
      <c r="V3054" s="16" t="str">
        <f aca="false">IF($D3054="","",Y3054*AB3054/100)</f>
        <v/>
      </c>
      <c r="W3054" s="16" t="str">
        <f aca="false">IF($D3054="","",Y3054-V3054)</f>
        <v/>
      </c>
      <c r="X3054" s="16" t="str">
        <f aca="false">IF($D3054="","",W3054-N3054)</f>
        <v/>
      </c>
      <c r="AB3054" s="17" t="str">
        <f aca="false">IF($D3054="","",IF(OR($R3054=TRUE(),$R3054="TRUE"),Settings!$C$6,Settings!$C$7)*100)</f>
        <v/>
      </c>
      <c r="AH3054" s="18" t="str">
        <f aca="false">IF($D3054="","",IF(COUNTIF($D$2:$D3054,$D3054)=1,1,0))</f>
        <v/>
      </c>
      <c r="AI3054" s="18" t="str">
        <f aca="false">IF($AH3054=1,SUMPRODUCT(--($AK$2:$AK$4001&lt;$AK3054))+1,"")</f>
        <v/>
      </c>
      <c r="AJ3054" s="18" t="str">
        <f aca="false">IF($D3054="","",IF(OR($R3054=TRUE(),$R3054="TRUE"),1,0))</f>
        <v/>
      </c>
      <c r="AK3054" s="18" t="str">
        <f aca="false">IF($AH3054=1,IFERROR(VALUE(MID($D3054,2,20)),1000000000)+ROW()/10000000,"")</f>
        <v/>
      </c>
    </row>
    <row r="3055" customFormat="false" ht="15" hidden="false" customHeight="false" outlineLevel="0" collapsed="false">
      <c r="F3055" s="15"/>
      <c r="N3055" s="16" t="str">
        <f aca="false">IF($D3055="","",M3055*Y3055/100)</f>
        <v/>
      </c>
      <c r="V3055" s="16" t="str">
        <f aca="false">IF($D3055="","",Y3055*AB3055/100)</f>
        <v/>
      </c>
      <c r="W3055" s="16" t="str">
        <f aca="false">IF($D3055="","",Y3055-V3055)</f>
        <v/>
      </c>
      <c r="X3055" s="16" t="str">
        <f aca="false">IF($D3055="","",W3055-N3055)</f>
        <v/>
      </c>
      <c r="AB3055" s="17" t="str">
        <f aca="false">IF($D3055="","",IF(OR($R3055=TRUE(),$R3055="TRUE"),Settings!$C$6,Settings!$C$7)*100)</f>
        <v/>
      </c>
      <c r="AH3055" s="18" t="str">
        <f aca="false">IF($D3055="","",IF(COUNTIF($D$2:$D3055,$D3055)=1,1,0))</f>
        <v/>
      </c>
      <c r="AI3055" s="18" t="str">
        <f aca="false">IF($AH3055=1,SUMPRODUCT(--($AK$2:$AK$4001&lt;$AK3055))+1,"")</f>
        <v/>
      </c>
      <c r="AJ3055" s="18" t="str">
        <f aca="false">IF($D3055="","",IF(OR($R3055=TRUE(),$R3055="TRUE"),1,0))</f>
        <v/>
      </c>
      <c r="AK3055" s="18" t="str">
        <f aca="false">IF($AH3055=1,IFERROR(VALUE(MID($D3055,2,20)),1000000000)+ROW()/10000000,"")</f>
        <v/>
      </c>
    </row>
    <row r="3056" customFormat="false" ht="15" hidden="false" customHeight="false" outlineLevel="0" collapsed="false">
      <c r="F3056" s="15"/>
      <c r="N3056" s="16" t="str">
        <f aca="false">IF($D3056="","",M3056*Y3056/100)</f>
        <v/>
      </c>
      <c r="V3056" s="16" t="str">
        <f aca="false">IF($D3056="","",Y3056*AB3056/100)</f>
        <v/>
      </c>
      <c r="W3056" s="16" t="str">
        <f aca="false">IF($D3056="","",Y3056-V3056)</f>
        <v/>
      </c>
      <c r="X3056" s="16" t="str">
        <f aca="false">IF($D3056="","",W3056-N3056)</f>
        <v/>
      </c>
      <c r="AB3056" s="17" t="str">
        <f aca="false">IF($D3056="","",IF(OR($R3056=TRUE(),$R3056="TRUE"),Settings!$C$6,Settings!$C$7)*100)</f>
        <v/>
      </c>
      <c r="AH3056" s="18" t="str">
        <f aca="false">IF($D3056="","",IF(COUNTIF($D$2:$D3056,$D3056)=1,1,0))</f>
        <v/>
      </c>
      <c r="AI3056" s="18" t="str">
        <f aca="false">IF($AH3056=1,SUMPRODUCT(--($AK$2:$AK$4001&lt;$AK3056))+1,"")</f>
        <v/>
      </c>
      <c r="AJ3056" s="18" t="str">
        <f aca="false">IF($D3056="","",IF(OR($R3056=TRUE(),$R3056="TRUE"),1,0))</f>
        <v/>
      </c>
      <c r="AK3056" s="18" t="str">
        <f aca="false">IF($AH3056=1,IFERROR(VALUE(MID($D3056,2,20)),1000000000)+ROW()/10000000,"")</f>
        <v/>
      </c>
    </row>
    <row r="3057" customFormat="false" ht="15" hidden="false" customHeight="false" outlineLevel="0" collapsed="false">
      <c r="F3057" s="15"/>
      <c r="N3057" s="16" t="str">
        <f aca="false">IF($D3057="","",M3057*Y3057/100)</f>
        <v/>
      </c>
      <c r="V3057" s="16" t="str">
        <f aca="false">IF($D3057="","",Y3057*AB3057/100)</f>
        <v/>
      </c>
      <c r="W3057" s="16" t="str">
        <f aca="false">IF($D3057="","",Y3057-V3057)</f>
        <v/>
      </c>
      <c r="X3057" s="16" t="str">
        <f aca="false">IF($D3057="","",W3057-N3057)</f>
        <v/>
      </c>
      <c r="AB3057" s="17" t="str">
        <f aca="false">IF($D3057="","",IF(OR($R3057=TRUE(),$R3057="TRUE"),Settings!$C$6,Settings!$C$7)*100)</f>
        <v/>
      </c>
      <c r="AH3057" s="18" t="str">
        <f aca="false">IF($D3057="","",IF(COUNTIF($D$2:$D3057,$D3057)=1,1,0))</f>
        <v/>
      </c>
      <c r="AI3057" s="18" t="str">
        <f aca="false">IF($AH3057=1,SUMPRODUCT(--($AK$2:$AK$4001&lt;$AK3057))+1,"")</f>
        <v/>
      </c>
      <c r="AJ3057" s="18" t="str">
        <f aca="false">IF($D3057="","",IF(OR($R3057=TRUE(),$R3057="TRUE"),1,0))</f>
        <v/>
      </c>
      <c r="AK3057" s="18" t="str">
        <f aca="false">IF($AH3057=1,IFERROR(VALUE(MID($D3057,2,20)),1000000000)+ROW()/10000000,"")</f>
        <v/>
      </c>
    </row>
    <row r="3058" customFormat="false" ht="15" hidden="false" customHeight="false" outlineLevel="0" collapsed="false">
      <c r="F3058" s="15"/>
      <c r="N3058" s="16" t="str">
        <f aca="false">IF($D3058="","",M3058*Y3058/100)</f>
        <v/>
      </c>
      <c r="V3058" s="16" t="str">
        <f aca="false">IF($D3058="","",Y3058*AB3058/100)</f>
        <v/>
      </c>
      <c r="W3058" s="16" t="str">
        <f aca="false">IF($D3058="","",Y3058-V3058)</f>
        <v/>
      </c>
      <c r="X3058" s="16" t="str">
        <f aca="false">IF($D3058="","",W3058-N3058)</f>
        <v/>
      </c>
      <c r="AB3058" s="17" t="str">
        <f aca="false">IF($D3058="","",IF(OR($R3058=TRUE(),$R3058="TRUE"),Settings!$C$6,Settings!$C$7)*100)</f>
        <v/>
      </c>
      <c r="AH3058" s="18" t="str">
        <f aca="false">IF($D3058="","",IF(COUNTIF($D$2:$D3058,$D3058)=1,1,0))</f>
        <v/>
      </c>
      <c r="AI3058" s="18" t="str">
        <f aca="false">IF($AH3058=1,SUMPRODUCT(--($AK$2:$AK$4001&lt;$AK3058))+1,"")</f>
        <v/>
      </c>
      <c r="AJ3058" s="18" t="str">
        <f aca="false">IF($D3058="","",IF(OR($R3058=TRUE(),$R3058="TRUE"),1,0))</f>
        <v/>
      </c>
      <c r="AK3058" s="18" t="str">
        <f aca="false">IF($AH3058=1,IFERROR(VALUE(MID($D3058,2,20)),1000000000)+ROW()/10000000,"")</f>
        <v/>
      </c>
    </row>
    <row r="3059" customFormat="false" ht="15" hidden="false" customHeight="false" outlineLevel="0" collapsed="false">
      <c r="F3059" s="15"/>
      <c r="N3059" s="16" t="str">
        <f aca="false">IF($D3059="","",M3059*Y3059/100)</f>
        <v/>
      </c>
      <c r="V3059" s="16" t="str">
        <f aca="false">IF($D3059="","",Y3059*AB3059/100)</f>
        <v/>
      </c>
      <c r="W3059" s="16" t="str">
        <f aca="false">IF($D3059="","",Y3059-V3059)</f>
        <v/>
      </c>
      <c r="X3059" s="16" t="str">
        <f aca="false">IF($D3059="","",W3059-N3059)</f>
        <v/>
      </c>
      <c r="AB3059" s="17" t="str">
        <f aca="false">IF($D3059="","",IF(OR($R3059=TRUE(),$R3059="TRUE"),Settings!$C$6,Settings!$C$7)*100)</f>
        <v/>
      </c>
      <c r="AH3059" s="18" t="str">
        <f aca="false">IF($D3059="","",IF(COUNTIF($D$2:$D3059,$D3059)=1,1,0))</f>
        <v/>
      </c>
      <c r="AI3059" s="18" t="str">
        <f aca="false">IF($AH3059=1,SUMPRODUCT(--($AK$2:$AK$4001&lt;$AK3059))+1,"")</f>
        <v/>
      </c>
      <c r="AJ3059" s="18" t="str">
        <f aca="false">IF($D3059="","",IF(OR($R3059=TRUE(),$R3059="TRUE"),1,0))</f>
        <v/>
      </c>
      <c r="AK3059" s="18" t="str">
        <f aca="false">IF($AH3059=1,IFERROR(VALUE(MID($D3059,2,20)),1000000000)+ROW()/10000000,"")</f>
        <v/>
      </c>
    </row>
    <row r="3060" customFormat="false" ht="15" hidden="false" customHeight="false" outlineLevel="0" collapsed="false">
      <c r="F3060" s="15"/>
      <c r="N3060" s="16" t="str">
        <f aca="false">IF($D3060="","",M3060*Y3060/100)</f>
        <v/>
      </c>
      <c r="V3060" s="16" t="str">
        <f aca="false">IF($D3060="","",Y3060*AB3060/100)</f>
        <v/>
      </c>
      <c r="W3060" s="16" t="str">
        <f aca="false">IF($D3060="","",Y3060-V3060)</f>
        <v/>
      </c>
      <c r="X3060" s="16" t="str">
        <f aca="false">IF($D3060="","",W3060-N3060)</f>
        <v/>
      </c>
      <c r="AB3060" s="17" t="str">
        <f aca="false">IF($D3060="","",IF(OR($R3060=TRUE(),$R3060="TRUE"),Settings!$C$6,Settings!$C$7)*100)</f>
        <v/>
      </c>
      <c r="AH3060" s="18" t="str">
        <f aca="false">IF($D3060="","",IF(COUNTIF($D$2:$D3060,$D3060)=1,1,0))</f>
        <v/>
      </c>
      <c r="AI3060" s="18" t="str">
        <f aca="false">IF($AH3060=1,SUMPRODUCT(--($AK$2:$AK$4001&lt;$AK3060))+1,"")</f>
        <v/>
      </c>
      <c r="AJ3060" s="18" t="str">
        <f aca="false">IF($D3060="","",IF(OR($R3060=TRUE(),$R3060="TRUE"),1,0))</f>
        <v/>
      </c>
      <c r="AK3060" s="18" t="str">
        <f aca="false">IF($AH3060=1,IFERROR(VALUE(MID($D3060,2,20)),1000000000)+ROW()/10000000,"")</f>
        <v/>
      </c>
    </row>
    <row r="3061" customFormat="false" ht="15" hidden="false" customHeight="false" outlineLevel="0" collapsed="false">
      <c r="F3061" s="15"/>
      <c r="N3061" s="16" t="str">
        <f aca="false">IF($D3061="","",M3061*Y3061/100)</f>
        <v/>
      </c>
      <c r="V3061" s="16" t="str">
        <f aca="false">IF($D3061="","",Y3061*AB3061/100)</f>
        <v/>
      </c>
      <c r="W3061" s="16" t="str">
        <f aca="false">IF($D3061="","",Y3061-V3061)</f>
        <v/>
      </c>
      <c r="X3061" s="16" t="str">
        <f aca="false">IF($D3061="","",W3061-N3061)</f>
        <v/>
      </c>
      <c r="AB3061" s="17" t="str">
        <f aca="false">IF($D3061="","",IF(OR($R3061=TRUE(),$R3061="TRUE"),Settings!$C$6,Settings!$C$7)*100)</f>
        <v/>
      </c>
      <c r="AH3061" s="18" t="str">
        <f aca="false">IF($D3061="","",IF(COUNTIF($D$2:$D3061,$D3061)=1,1,0))</f>
        <v/>
      </c>
      <c r="AI3061" s="18" t="str">
        <f aca="false">IF($AH3061=1,SUMPRODUCT(--($AK$2:$AK$4001&lt;$AK3061))+1,"")</f>
        <v/>
      </c>
      <c r="AJ3061" s="18" t="str">
        <f aca="false">IF($D3061="","",IF(OR($R3061=TRUE(),$R3061="TRUE"),1,0))</f>
        <v/>
      </c>
      <c r="AK3061" s="18" t="str">
        <f aca="false">IF($AH3061=1,IFERROR(VALUE(MID($D3061,2,20)),1000000000)+ROW()/10000000,"")</f>
        <v/>
      </c>
    </row>
    <row r="3062" customFormat="false" ht="15" hidden="false" customHeight="false" outlineLevel="0" collapsed="false">
      <c r="F3062" s="15"/>
      <c r="N3062" s="16" t="str">
        <f aca="false">IF($D3062="","",M3062*Y3062/100)</f>
        <v/>
      </c>
      <c r="V3062" s="16" t="str">
        <f aca="false">IF($D3062="","",Y3062*AB3062/100)</f>
        <v/>
      </c>
      <c r="W3062" s="16" t="str">
        <f aca="false">IF($D3062="","",Y3062-V3062)</f>
        <v/>
      </c>
      <c r="X3062" s="16" t="str">
        <f aca="false">IF($D3062="","",W3062-N3062)</f>
        <v/>
      </c>
      <c r="AB3062" s="17" t="str">
        <f aca="false">IF($D3062="","",IF(OR($R3062=TRUE(),$R3062="TRUE"),Settings!$C$6,Settings!$C$7)*100)</f>
        <v/>
      </c>
      <c r="AH3062" s="18" t="str">
        <f aca="false">IF($D3062="","",IF(COUNTIF($D$2:$D3062,$D3062)=1,1,0))</f>
        <v/>
      </c>
      <c r="AI3062" s="18" t="str">
        <f aca="false">IF($AH3062=1,SUMPRODUCT(--($AK$2:$AK$4001&lt;$AK3062))+1,"")</f>
        <v/>
      </c>
      <c r="AJ3062" s="18" t="str">
        <f aca="false">IF($D3062="","",IF(OR($R3062=TRUE(),$R3062="TRUE"),1,0))</f>
        <v/>
      </c>
      <c r="AK3062" s="18" t="str">
        <f aca="false">IF($AH3062=1,IFERROR(VALUE(MID($D3062,2,20)),1000000000)+ROW()/10000000,"")</f>
        <v/>
      </c>
    </row>
    <row r="3063" customFormat="false" ht="15" hidden="false" customHeight="false" outlineLevel="0" collapsed="false">
      <c r="F3063" s="15"/>
      <c r="N3063" s="16" t="str">
        <f aca="false">IF($D3063="","",M3063*Y3063/100)</f>
        <v/>
      </c>
      <c r="V3063" s="16" t="str">
        <f aca="false">IF($D3063="","",Y3063*AB3063/100)</f>
        <v/>
      </c>
      <c r="W3063" s="16" t="str">
        <f aca="false">IF($D3063="","",Y3063-V3063)</f>
        <v/>
      </c>
      <c r="X3063" s="16" t="str">
        <f aca="false">IF($D3063="","",W3063-N3063)</f>
        <v/>
      </c>
      <c r="AB3063" s="17" t="str">
        <f aca="false">IF($D3063="","",IF(OR($R3063=TRUE(),$R3063="TRUE"),Settings!$C$6,Settings!$C$7)*100)</f>
        <v/>
      </c>
      <c r="AH3063" s="18" t="str">
        <f aca="false">IF($D3063="","",IF(COUNTIF($D$2:$D3063,$D3063)=1,1,0))</f>
        <v/>
      </c>
      <c r="AI3063" s="18" t="str">
        <f aca="false">IF($AH3063=1,SUMPRODUCT(--($AK$2:$AK$4001&lt;$AK3063))+1,"")</f>
        <v/>
      </c>
      <c r="AJ3063" s="18" t="str">
        <f aca="false">IF($D3063="","",IF(OR($R3063=TRUE(),$R3063="TRUE"),1,0))</f>
        <v/>
      </c>
      <c r="AK3063" s="18" t="str">
        <f aca="false">IF($AH3063=1,IFERROR(VALUE(MID($D3063,2,20)),1000000000)+ROW()/10000000,"")</f>
        <v/>
      </c>
    </row>
    <row r="3064" customFormat="false" ht="15" hidden="false" customHeight="false" outlineLevel="0" collapsed="false">
      <c r="F3064" s="15"/>
      <c r="N3064" s="16" t="str">
        <f aca="false">IF($D3064="","",M3064*Y3064/100)</f>
        <v/>
      </c>
      <c r="V3064" s="16" t="str">
        <f aca="false">IF($D3064="","",Y3064*AB3064/100)</f>
        <v/>
      </c>
      <c r="W3064" s="16" t="str">
        <f aca="false">IF($D3064="","",Y3064-V3064)</f>
        <v/>
      </c>
      <c r="X3064" s="16" t="str">
        <f aca="false">IF($D3064="","",W3064-N3064)</f>
        <v/>
      </c>
      <c r="AB3064" s="17" t="str">
        <f aca="false">IF($D3064="","",IF(OR($R3064=TRUE(),$R3064="TRUE"),Settings!$C$6,Settings!$C$7)*100)</f>
        <v/>
      </c>
      <c r="AH3064" s="18" t="str">
        <f aca="false">IF($D3064="","",IF(COUNTIF($D$2:$D3064,$D3064)=1,1,0))</f>
        <v/>
      </c>
      <c r="AI3064" s="18" t="str">
        <f aca="false">IF($AH3064=1,SUMPRODUCT(--($AK$2:$AK$4001&lt;$AK3064))+1,"")</f>
        <v/>
      </c>
      <c r="AJ3064" s="18" t="str">
        <f aca="false">IF($D3064="","",IF(OR($R3064=TRUE(),$R3064="TRUE"),1,0))</f>
        <v/>
      </c>
      <c r="AK3064" s="18" t="str">
        <f aca="false">IF($AH3064=1,IFERROR(VALUE(MID($D3064,2,20)),1000000000)+ROW()/10000000,"")</f>
        <v/>
      </c>
    </row>
    <row r="3065" customFormat="false" ht="15" hidden="false" customHeight="false" outlineLevel="0" collapsed="false">
      <c r="F3065" s="15"/>
      <c r="N3065" s="16" t="str">
        <f aca="false">IF($D3065="","",M3065*Y3065/100)</f>
        <v/>
      </c>
      <c r="V3065" s="16" t="str">
        <f aca="false">IF($D3065="","",Y3065*AB3065/100)</f>
        <v/>
      </c>
      <c r="W3065" s="16" t="str">
        <f aca="false">IF($D3065="","",Y3065-V3065)</f>
        <v/>
      </c>
      <c r="X3065" s="16" t="str">
        <f aca="false">IF($D3065="","",W3065-N3065)</f>
        <v/>
      </c>
      <c r="AB3065" s="17" t="str">
        <f aca="false">IF($D3065="","",IF(OR($R3065=TRUE(),$R3065="TRUE"),Settings!$C$6,Settings!$C$7)*100)</f>
        <v/>
      </c>
      <c r="AH3065" s="18" t="str">
        <f aca="false">IF($D3065="","",IF(COUNTIF($D$2:$D3065,$D3065)=1,1,0))</f>
        <v/>
      </c>
      <c r="AI3065" s="18" t="str">
        <f aca="false">IF($AH3065=1,SUMPRODUCT(--($AK$2:$AK$4001&lt;$AK3065))+1,"")</f>
        <v/>
      </c>
      <c r="AJ3065" s="18" t="str">
        <f aca="false">IF($D3065="","",IF(OR($R3065=TRUE(),$R3065="TRUE"),1,0))</f>
        <v/>
      </c>
      <c r="AK3065" s="18" t="str">
        <f aca="false">IF($AH3065=1,IFERROR(VALUE(MID($D3065,2,20)),1000000000)+ROW()/10000000,"")</f>
        <v/>
      </c>
    </row>
    <row r="3066" customFormat="false" ht="15" hidden="false" customHeight="false" outlineLevel="0" collapsed="false">
      <c r="F3066" s="15"/>
      <c r="N3066" s="16" t="str">
        <f aca="false">IF($D3066="","",M3066*Y3066/100)</f>
        <v/>
      </c>
      <c r="V3066" s="16" t="str">
        <f aca="false">IF($D3066="","",Y3066*AB3066/100)</f>
        <v/>
      </c>
      <c r="W3066" s="16" t="str">
        <f aca="false">IF($D3066="","",Y3066-V3066)</f>
        <v/>
      </c>
      <c r="X3066" s="16" t="str">
        <f aca="false">IF($D3066="","",W3066-N3066)</f>
        <v/>
      </c>
      <c r="AB3066" s="17" t="str">
        <f aca="false">IF($D3066="","",IF(OR($R3066=TRUE(),$R3066="TRUE"),Settings!$C$6,Settings!$C$7)*100)</f>
        <v/>
      </c>
      <c r="AH3066" s="18" t="str">
        <f aca="false">IF($D3066="","",IF(COUNTIF($D$2:$D3066,$D3066)=1,1,0))</f>
        <v/>
      </c>
      <c r="AI3066" s="18" t="str">
        <f aca="false">IF($AH3066=1,SUMPRODUCT(--($AK$2:$AK$4001&lt;$AK3066))+1,"")</f>
        <v/>
      </c>
      <c r="AJ3066" s="18" t="str">
        <f aca="false">IF($D3066="","",IF(OR($R3066=TRUE(),$R3066="TRUE"),1,0))</f>
        <v/>
      </c>
      <c r="AK3066" s="18" t="str">
        <f aca="false">IF($AH3066=1,IFERROR(VALUE(MID($D3066,2,20)),1000000000)+ROW()/10000000,"")</f>
        <v/>
      </c>
    </row>
    <row r="3067" customFormat="false" ht="15" hidden="false" customHeight="false" outlineLevel="0" collapsed="false">
      <c r="F3067" s="15"/>
      <c r="N3067" s="16" t="str">
        <f aca="false">IF($D3067="","",M3067*Y3067/100)</f>
        <v/>
      </c>
      <c r="V3067" s="16" t="str">
        <f aca="false">IF($D3067="","",Y3067*AB3067/100)</f>
        <v/>
      </c>
      <c r="W3067" s="16" t="str">
        <f aca="false">IF($D3067="","",Y3067-V3067)</f>
        <v/>
      </c>
      <c r="X3067" s="16" t="str">
        <f aca="false">IF($D3067="","",W3067-N3067)</f>
        <v/>
      </c>
      <c r="AB3067" s="17" t="str">
        <f aca="false">IF($D3067="","",IF(OR($R3067=TRUE(),$R3067="TRUE"),Settings!$C$6,Settings!$C$7)*100)</f>
        <v/>
      </c>
      <c r="AH3067" s="18" t="str">
        <f aca="false">IF($D3067="","",IF(COUNTIF($D$2:$D3067,$D3067)=1,1,0))</f>
        <v/>
      </c>
      <c r="AI3067" s="18" t="str">
        <f aca="false">IF($AH3067=1,SUMPRODUCT(--($AK$2:$AK$4001&lt;$AK3067))+1,"")</f>
        <v/>
      </c>
      <c r="AJ3067" s="18" t="str">
        <f aca="false">IF($D3067="","",IF(OR($R3067=TRUE(),$R3067="TRUE"),1,0))</f>
        <v/>
      </c>
      <c r="AK3067" s="18" t="str">
        <f aca="false">IF($AH3067=1,IFERROR(VALUE(MID($D3067,2,20)),1000000000)+ROW()/10000000,"")</f>
        <v/>
      </c>
    </row>
    <row r="3068" customFormat="false" ht="15" hidden="false" customHeight="false" outlineLevel="0" collapsed="false">
      <c r="F3068" s="15"/>
      <c r="N3068" s="16" t="str">
        <f aca="false">IF($D3068="","",M3068*Y3068/100)</f>
        <v/>
      </c>
      <c r="V3068" s="16" t="str">
        <f aca="false">IF($D3068="","",Y3068*AB3068/100)</f>
        <v/>
      </c>
      <c r="W3068" s="16" t="str">
        <f aca="false">IF($D3068="","",Y3068-V3068)</f>
        <v/>
      </c>
      <c r="X3068" s="16" t="str">
        <f aca="false">IF($D3068="","",W3068-N3068)</f>
        <v/>
      </c>
      <c r="AB3068" s="17" t="str">
        <f aca="false">IF($D3068="","",IF(OR($R3068=TRUE(),$R3068="TRUE"),Settings!$C$6,Settings!$C$7)*100)</f>
        <v/>
      </c>
      <c r="AH3068" s="18" t="str">
        <f aca="false">IF($D3068="","",IF(COUNTIF($D$2:$D3068,$D3068)=1,1,0))</f>
        <v/>
      </c>
      <c r="AI3068" s="18" t="str">
        <f aca="false">IF($AH3068=1,SUMPRODUCT(--($AK$2:$AK$4001&lt;$AK3068))+1,"")</f>
        <v/>
      </c>
      <c r="AJ3068" s="18" t="str">
        <f aca="false">IF($D3068="","",IF(OR($R3068=TRUE(),$R3068="TRUE"),1,0))</f>
        <v/>
      </c>
      <c r="AK3068" s="18" t="str">
        <f aca="false">IF($AH3068=1,IFERROR(VALUE(MID($D3068,2,20)),1000000000)+ROW()/10000000,"")</f>
        <v/>
      </c>
    </row>
    <row r="3069" customFormat="false" ht="15" hidden="false" customHeight="false" outlineLevel="0" collapsed="false">
      <c r="F3069" s="15"/>
      <c r="N3069" s="16" t="str">
        <f aca="false">IF($D3069="","",M3069*Y3069/100)</f>
        <v/>
      </c>
      <c r="V3069" s="16" t="str">
        <f aca="false">IF($D3069="","",Y3069*AB3069/100)</f>
        <v/>
      </c>
      <c r="W3069" s="16" t="str">
        <f aca="false">IF($D3069="","",Y3069-V3069)</f>
        <v/>
      </c>
      <c r="X3069" s="16" t="str">
        <f aca="false">IF($D3069="","",W3069-N3069)</f>
        <v/>
      </c>
      <c r="AB3069" s="17" t="str">
        <f aca="false">IF($D3069="","",IF(OR($R3069=TRUE(),$R3069="TRUE"),Settings!$C$6,Settings!$C$7)*100)</f>
        <v/>
      </c>
      <c r="AH3069" s="18" t="str">
        <f aca="false">IF($D3069="","",IF(COUNTIF($D$2:$D3069,$D3069)=1,1,0))</f>
        <v/>
      </c>
      <c r="AI3069" s="18" t="str">
        <f aca="false">IF($AH3069=1,SUMPRODUCT(--($AK$2:$AK$4001&lt;$AK3069))+1,"")</f>
        <v/>
      </c>
      <c r="AJ3069" s="18" t="str">
        <f aca="false">IF($D3069="","",IF(OR($R3069=TRUE(),$R3069="TRUE"),1,0))</f>
        <v/>
      </c>
      <c r="AK3069" s="18" t="str">
        <f aca="false">IF($AH3069=1,IFERROR(VALUE(MID($D3069,2,20)),1000000000)+ROW()/10000000,"")</f>
        <v/>
      </c>
    </row>
    <row r="3070" customFormat="false" ht="15" hidden="false" customHeight="false" outlineLevel="0" collapsed="false">
      <c r="F3070" s="15"/>
      <c r="N3070" s="16" t="str">
        <f aca="false">IF($D3070="","",M3070*Y3070/100)</f>
        <v/>
      </c>
      <c r="V3070" s="16" t="str">
        <f aca="false">IF($D3070="","",Y3070*AB3070/100)</f>
        <v/>
      </c>
      <c r="W3070" s="16" t="str">
        <f aca="false">IF($D3070="","",Y3070-V3070)</f>
        <v/>
      </c>
      <c r="X3070" s="16" t="str">
        <f aca="false">IF($D3070="","",W3070-N3070)</f>
        <v/>
      </c>
      <c r="AB3070" s="17" t="str">
        <f aca="false">IF($D3070="","",IF(OR($R3070=TRUE(),$R3070="TRUE"),Settings!$C$6,Settings!$C$7)*100)</f>
        <v/>
      </c>
      <c r="AH3070" s="18" t="str">
        <f aca="false">IF($D3070="","",IF(COUNTIF($D$2:$D3070,$D3070)=1,1,0))</f>
        <v/>
      </c>
      <c r="AI3070" s="18" t="str">
        <f aca="false">IF($AH3070=1,SUMPRODUCT(--($AK$2:$AK$4001&lt;$AK3070))+1,"")</f>
        <v/>
      </c>
      <c r="AJ3070" s="18" t="str">
        <f aca="false">IF($D3070="","",IF(OR($R3070=TRUE(),$R3070="TRUE"),1,0))</f>
        <v/>
      </c>
      <c r="AK3070" s="18" t="str">
        <f aca="false">IF($AH3070=1,IFERROR(VALUE(MID($D3070,2,20)),1000000000)+ROW()/10000000,"")</f>
        <v/>
      </c>
    </row>
    <row r="3071" customFormat="false" ht="15" hidden="false" customHeight="false" outlineLevel="0" collapsed="false">
      <c r="F3071" s="15"/>
      <c r="N3071" s="16" t="str">
        <f aca="false">IF($D3071="","",M3071*Y3071/100)</f>
        <v/>
      </c>
      <c r="V3071" s="16" t="str">
        <f aca="false">IF($D3071="","",Y3071*AB3071/100)</f>
        <v/>
      </c>
      <c r="W3071" s="16" t="str">
        <f aca="false">IF($D3071="","",Y3071-V3071)</f>
        <v/>
      </c>
      <c r="X3071" s="16" t="str">
        <f aca="false">IF($D3071="","",W3071-N3071)</f>
        <v/>
      </c>
      <c r="AB3071" s="17" t="str">
        <f aca="false">IF($D3071="","",IF(OR($R3071=TRUE(),$R3071="TRUE"),Settings!$C$6,Settings!$C$7)*100)</f>
        <v/>
      </c>
      <c r="AH3071" s="18" t="str">
        <f aca="false">IF($D3071="","",IF(COUNTIF($D$2:$D3071,$D3071)=1,1,0))</f>
        <v/>
      </c>
      <c r="AI3071" s="18" t="str">
        <f aca="false">IF($AH3071=1,SUMPRODUCT(--($AK$2:$AK$4001&lt;$AK3071))+1,"")</f>
        <v/>
      </c>
      <c r="AJ3071" s="18" t="str">
        <f aca="false">IF($D3071="","",IF(OR($R3071=TRUE(),$R3071="TRUE"),1,0))</f>
        <v/>
      </c>
      <c r="AK3071" s="18" t="str">
        <f aca="false">IF($AH3071=1,IFERROR(VALUE(MID($D3071,2,20)),1000000000)+ROW()/10000000,"")</f>
        <v/>
      </c>
    </row>
    <row r="3072" customFormat="false" ht="15" hidden="false" customHeight="false" outlineLevel="0" collapsed="false">
      <c r="F3072" s="15"/>
      <c r="N3072" s="16" t="str">
        <f aca="false">IF($D3072="","",M3072*Y3072/100)</f>
        <v/>
      </c>
      <c r="V3072" s="16" t="str">
        <f aca="false">IF($D3072="","",Y3072*AB3072/100)</f>
        <v/>
      </c>
      <c r="W3072" s="16" t="str">
        <f aca="false">IF($D3072="","",Y3072-V3072)</f>
        <v/>
      </c>
      <c r="X3072" s="16" t="str">
        <f aca="false">IF($D3072="","",W3072-N3072)</f>
        <v/>
      </c>
      <c r="AB3072" s="17" t="str">
        <f aca="false">IF($D3072="","",IF(OR($R3072=TRUE(),$R3072="TRUE"),Settings!$C$6,Settings!$C$7)*100)</f>
        <v/>
      </c>
      <c r="AH3072" s="18" t="str">
        <f aca="false">IF($D3072="","",IF(COUNTIF($D$2:$D3072,$D3072)=1,1,0))</f>
        <v/>
      </c>
      <c r="AI3072" s="18" t="str">
        <f aca="false">IF($AH3072=1,SUMPRODUCT(--($AK$2:$AK$4001&lt;$AK3072))+1,"")</f>
        <v/>
      </c>
      <c r="AJ3072" s="18" t="str">
        <f aca="false">IF($D3072="","",IF(OR($R3072=TRUE(),$R3072="TRUE"),1,0))</f>
        <v/>
      </c>
      <c r="AK3072" s="18" t="str">
        <f aca="false">IF($AH3072=1,IFERROR(VALUE(MID($D3072,2,20)),1000000000)+ROW()/10000000,"")</f>
        <v/>
      </c>
    </row>
    <row r="3073" customFormat="false" ht="15" hidden="false" customHeight="false" outlineLevel="0" collapsed="false">
      <c r="F3073" s="15"/>
      <c r="N3073" s="16" t="str">
        <f aca="false">IF($D3073="","",M3073*Y3073/100)</f>
        <v/>
      </c>
      <c r="V3073" s="16" t="str">
        <f aca="false">IF($D3073="","",Y3073*AB3073/100)</f>
        <v/>
      </c>
      <c r="W3073" s="16" t="str">
        <f aca="false">IF($D3073="","",Y3073-V3073)</f>
        <v/>
      </c>
      <c r="X3073" s="16" t="str">
        <f aca="false">IF($D3073="","",W3073-N3073)</f>
        <v/>
      </c>
      <c r="AB3073" s="17" t="str">
        <f aca="false">IF($D3073="","",IF(OR($R3073=TRUE(),$R3073="TRUE"),Settings!$C$6,Settings!$C$7)*100)</f>
        <v/>
      </c>
      <c r="AH3073" s="18" t="str">
        <f aca="false">IF($D3073="","",IF(COUNTIF($D$2:$D3073,$D3073)=1,1,0))</f>
        <v/>
      </c>
      <c r="AI3073" s="18" t="str">
        <f aca="false">IF($AH3073=1,SUMPRODUCT(--($AK$2:$AK$4001&lt;$AK3073))+1,"")</f>
        <v/>
      </c>
      <c r="AJ3073" s="18" t="str">
        <f aca="false">IF($D3073="","",IF(OR($R3073=TRUE(),$R3073="TRUE"),1,0))</f>
        <v/>
      </c>
      <c r="AK3073" s="18" t="str">
        <f aca="false">IF($AH3073=1,IFERROR(VALUE(MID($D3073,2,20)),1000000000)+ROW()/10000000,"")</f>
        <v/>
      </c>
    </row>
    <row r="3074" customFormat="false" ht="15" hidden="false" customHeight="false" outlineLevel="0" collapsed="false">
      <c r="F3074" s="15"/>
      <c r="N3074" s="16" t="str">
        <f aca="false">IF($D3074="","",M3074*Y3074/100)</f>
        <v/>
      </c>
      <c r="V3074" s="16" t="str">
        <f aca="false">IF($D3074="","",Y3074*AB3074/100)</f>
        <v/>
      </c>
      <c r="W3074" s="16" t="str">
        <f aca="false">IF($D3074="","",Y3074-V3074)</f>
        <v/>
      </c>
      <c r="X3074" s="16" t="str">
        <f aca="false">IF($D3074="","",W3074-N3074)</f>
        <v/>
      </c>
      <c r="AB3074" s="17" t="str">
        <f aca="false">IF($D3074="","",IF(OR($R3074=TRUE(),$R3074="TRUE"),Settings!$C$6,Settings!$C$7)*100)</f>
        <v/>
      </c>
      <c r="AH3074" s="18" t="str">
        <f aca="false">IF($D3074="","",IF(COUNTIF($D$2:$D3074,$D3074)=1,1,0))</f>
        <v/>
      </c>
      <c r="AI3074" s="18" t="str">
        <f aca="false">IF($AH3074=1,SUMPRODUCT(--($AK$2:$AK$4001&lt;$AK3074))+1,"")</f>
        <v/>
      </c>
      <c r="AJ3074" s="18" t="str">
        <f aca="false">IF($D3074="","",IF(OR($R3074=TRUE(),$R3074="TRUE"),1,0))</f>
        <v/>
      </c>
      <c r="AK3074" s="18" t="str">
        <f aca="false">IF($AH3074=1,IFERROR(VALUE(MID($D3074,2,20)),1000000000)+ROW()/10000000,"")</f>
        <v/>
      </c>
    </row>
    <row r="3075" customFormat="false" ht="15" hidden="false" customHeight="false" outlineLevel="0" collapsed="false">
      <c r="F3075" s="15"/>
      <c r="N3075" s="16" t="str">
        <f aca="false">IF($D3075="","",M3075*Y3075/100)</f>
        <v/>
      </c>
      <c r="V3075" s="16" t="str">
        <f aca="false">IF($D3075="","",Y3075*AB3075/100)</f>
        <v/>
      </c>
      <c r="W3075" s="16" t="str">
        <f aca="false">IF($D3075="","",Y3075-V3075)</f>
        <v/>
      </c>
      <c r="X3075" s="16" t="str">
        <f aca="false">IF($D3075="","",W3075-N3075)</f>
        <v/>
      </c>
      <c r="AB3075" s="17" t="str">
        <f aca="false">IF($D3075="","",IF(OR($R3075=TRUE(),$R3075="TRUE"),Settings!$C$6,Settings!$C$7)*100)</f>
        <v/>
      </c>
      <c r="AH3075" s="18" t="str">
        <f aca="false">IF($D3075="","",IF(COUNTIF($D$2:$D3075,$D3075)=1,1,0))</f>
        <v/>
      </c>
      <c r="AI3075" s="18" t="str">
        <f aca="false">IF($AH3075=1,SUMPRODUCT(--($AK$2:$AK$4001&lt;$AK3075))+1,"")</f>
        <v/>
      </c>
      <c r="AJ3075" s="18" t="str">
        <f aca="false">IF($D3075="","",IF(OR($R3075=TRUE(),$R3075="TRUE"),1,0))</f>
        <v/>
      </c>
      <c r="AK3075" s="18" t="str">
        <f aca="false">IF($AH3075=1,IFERROR(VALUE(MID($D3075,2,20)),1000000000)+ROW()/10000000,"")</f>
        <v/>
      </c>
    </row>
    <row r="3076" customFormat="false" ht="15" hidden="false" customHeight="false" outlineLevel="0" collapsed="false">
      <c r="F3076" s="15"/>
      <c r="N3076" s="16" t="str">
        <f aca="false">IF($D3076="","",M3076*Y3076/100)</f>
        <v/>
      </c>
      <c r="V3076" s="16" t="str">
        <f aca="false">IF($D3076="","",Y3076*AB3076/100)</f>
        <v/>
      </c>
      <c r="W3076" s="16" t="str">
        <f aca="false">IF($D3076="","",Y3076-V3076)</f>
        <v/>
      </c>
      <c r="X3076" s="16" t="str">
        <f aca="false">IF($D3076="","",W3076-N3076)</f>
        <v/>
      </c>
      <c r="AB3076" s="17" t="str">
        <f aca="false">IF($D3076="","",IF(OR($R3076=TRUE(),$R3076="TRUE"),Settings!$C$6,Settings!$C$7)*100)</f>
        <v/>
      </c>
      <c r="AH3076" s="18" t="str">
        <f aca="false">IF($D3076="","",IF(COUNTIF($D$2:$D3076,$D3076)=1,1,0))</f>
        <v/>
      </c>
      <c r="AI3076" s="18" t="str">
        <f aca="false">IF($AH3076=1,SUMPRODUCT(--($AK$2:$AK$4001&lt;$AK3076))+1,"")</f>
        <v/>
      </c>
      <c r="AJ3076" s="18" t="str">
        <f aca="false">IF($D3076="","",IF(OR($R3076=TRUE(),$R3076="TRUE"),1,0))</f>
        <v/>
      </c>
      <c r="AK3076" s="18" t="str">
        <f aca="false">IF($AH3076=1,IFERROR(VALUE(MID($D3076,2,20)),1000000000)+ROW()/10000000,"")</f>
        <v/>
      </c>
    </row>
    <row r="3077" customFormat="false" ht="15" hidden="false" customHeight="false" outlineLevel="0" collapsed="false">
      <c r="F3077" s="15"/>
      <c r="N3077" s="16" t="str">
        <f aca="false">IF($D3077="","",M3077*Y3077/100)</f>
        <v/>
      </c>
      <c r="V3077" s="16" t="str">
        <f aca="false">IF($D3077="","",Y3077*AB3077/100)</f>
        <v/>
      </c>
      <c r="W3077" s="16" t="str">
        <f aca="false">IF($D3077="","",Y3077-V3077)</f>
        <v/>
      </c>
      <c r="X3077" s="16" t="str">
        <f aca="false">IF($D3077="","",W3077-N3077)</f>
        <v/>
      </c>
      <c r="AB3077" s="17" t="str">
        <f aca="false">IF($D3077="","",IF(OR($R3077=TRUE(),$R3077="TRUE"),Settings!$C$6,Settings!$C$7)*100)</f>
        <v/>
      </c>
      <c r="AH3077" s="18" t="str">
        <f aca="false">IF($D3077="","",IF(COUNTIF($D$2:$D3077,$D3077)=1,1,0))</f>
        <v/>
      </c>
      <c r="AI3077" s="18" t="str">
        <f aca="false">IF($AH3077=1,SUMPRODUCT(--($AK$2:$AK$4001&lt;$AK3077))+1,"")</f>
        <v/>
      </c>
      <c r="AJ3077" s="18" t="str">
        <f aca="false">IF($D3077="","",IF(OR($R3077=TRUE(),$R3077="TRUE"),1,0))</f>
        <v/>
      </c>
      <c r="AK3077" s="18" t="str">
        <f aca="false">IF($AH3077=1,IFERROR(VALUE(MID($D3077,2,20)),1000000000)+ROW()/10000000,"")</f>
        <v/>
      </c>
    </row>
    <row r="3078" customFormat="false" ht="15" hidden="false" customHeight="false" outlineLevel="0" collapsed="false">
      <c r="F3078" s="15"/>
      <c r="N3078" s="16" t="str">
        <f aca="false">IF($D3078="","",M3078*Y3078/100)</f>
        <v/>
      </c>
      <c r="V3078" s="16" t="str">
        <f aca="false">IF($D3078="","",Y3078*AB3078/100)</f>
        <v/>
      </c>
      <c r="W3078" s="16" t="str">
        <f aca="false">IF($D3078="","",Y3078-V3078)</f>
        <v/>
      </c>
      <c r="X3078" s="16" t="str">
        <f aca="false">IF($D3078="","",W3078-N3078)</f>
        <v/>
      </c>
      <c r="AB3078" s="17" t="str">
        <f aca="false">IF($D3078="","",IF(OR($R3078=TRUE(),$R3078="TRUE"),Settings!$C$6,Settings!$C$7)*100)</f>
        <v/>
      </c>
      <c r="AH3078" s="18" t="str">
        <f aca="false">IF($D3078="","",IF(COUNTIF($D$2:$D3078,$D3078)=1,1,0))</f>
        <v/>
      </c>
      <c r="AI3078" s="18" t="str">
        <f aca="false">IF($AH3078=1,SUMPRODUCT(--($AK$2:$AK$4001&lt;$AK3078))+1,"")</f>
        <v/>
      </c>
      <c r="AJ3078" s="18" t="str">
        <f aca="false">IF($D3078="","",IF(OR($R3078=TRUE(),$R3078="TRUE"),1,0))</f>
        <v/>
      </c>
      <c r="AK3078" s="18" t="str">
        <f aca="false">IF($AH3078=1,IFERROR(VALUE(MID($D3078,2,20)),1000000000)+ROW()/10000000,"")</f>
        <v/>
      </c>
    </row>
    <row r="3079" customFormat="false" ht="15" hidden="false" customHeight="false" outlineLevel="0" collapsed="false">
      <c r="F3079" s="15"/>
      <c r="N3079" s="16" t="str">
        <f aca="false">IF($D3079="","",M3079*Y3079/100)</f>
        <v/>
      </c>
      <c r="V3079" s="16" t="str">
        <f aca="false">IF($D3079="","",Y3079*AB3079/100)</f>
        <v/>
      </c>
      <c r="W3079" s="16" t="str">
        <f aca="false">IF($D3079="","",Y3079-V3079)</f>
        <v/>
      </c>
      <c r="X3079" s="16" t="str">
        <f aca="false">IF($D3079="","",W3079-N3079)</f>
        <v/>
      </c>
      <c r="AB3079" s="17" t="str">
        <f aca="false">IF($D3079="","",IF(OR($R3079=TRUE(),$R3079="TRUE"),Settings!$C$6,Settings!$C$7)*100)</f>
        <v/>
      </c>
      <c r="AH3079" s="18" t="str">
        <f aca="false">IF($D3079="","",IF(COUNTIF($D$2:$D3079,$D3079)=1,1,0))</f>
        <v/>
      </c>
      <c r="AI3079" s="18" t="str">
        <f aca="false">IF($AH3079=1,SUMPRODUCT(--($AK$2:$AK$4001&lt;$AK3079))+1,"")</f>
        <v/>
      </c>
      <c r="AJ3079" s="18" t="str">
        <f aca="false">IF($D3079="","",IF(OR($R3079=TRUE(),$R3079="TRUE"),1,0))</f>
        <v/>
      </c>
      <c r="AK3079" s="18" t="str">
        <f aca="false">IF($AH3079=1,IFERROR(VALUE(MID($D3079,2,20)),1000000000)+ROW()/10000000,"")</f>
        <v/>
      </c>
    </row>
    <row r="3080" customFormat="false" ht="15" hidden="false" customHeight="false" outlineLevel="0" collapsed="false">
      <c r="F3080" s="15"/>
      <c r="N3080" s="16" t="str">
        <f aca="false">IF($D3080="","",M3080*Y3080/100)</f>
        <v/>
      </c>
      <c r="V3080" s="16" t="str">
        <f aca="false">IF($D3080="","",Y3080*AB3080/100)</f>
        <v/>
      </c>
      <c r="W3080" s="16" t="str">
        <f aca="false">IF($D3080="","",Y3080-V3080)</f>
        <v/>
      </c>
      <c r="X3080" s="16" t="str">
        <f aca="false">IF($D3080="","",W3080-N3080)</f>
        <v/>
      </c>
      <c r="AB3080" s="17" t="str">
        <f aca="false">IF($D3080="","",IF(OR($R3080=TRUE(),$R3080="TRUE"),Settings!$C$6,Settings!$C$7)*100)</f>
        <v/>
      </c>
      <c r="AH3080" s="18" t="str">
        <f aca="false">IF($D3080="","",IF(COUNTIF($D$2:$D3080,$D3080)=1,1,0))</f>
        <v/>
      </c>
      <c r="AI3080" s="18" t="str">
        <f aca="false">IF($AH3080=1,SUMPRODUCT(--($AK$2:$AK$4001&lt;$AK3080))+1,"")</f>
        <v/>
      </c>
      <c r="AJ3080" s="18" t="str">
        <f aca="false">IF($D3080="","",IF(OR($R3080=TRUE(),$R3080="TRUE"),1,0))</f>
        <v/>
      </c>
      <c r="AK3080" s="18" t="str">
        <f aca="false">IF($AH3080=1,IFERROR(VALUE(MID($D3080,2,20)),1000000000)+ROW()/10000000,"")</f>
        <v/>
      </c>
    </row>
    <row r="3081" customFormat="false" ht="15" hidden="false" customHeight="false" outlineLevel="0" collapsed="false">
      <c r="F3081" s="15"/>
      <c r="N3081" s="16" t="str">
        <f aca="false">IF($D3081="","",M3081*Y3081/100)</f>
        <v/>
      </c>
      <c r="V3081" s="16" t="str">
        <f aca="false">IF($D3081="","",Y3081*AB3081/100)</f>
        <v/>
      </c>
      <c r="W3081" s="16" t="str">
        <f aca="false">IF($D3081="","",Y3081-V3081)</f>
        <v/>
      </c>
      <c r="X3081" s="16" t="str">
        <f aca="false">IF($D3081="","",W3081-N3081)</f>
        <v/>
      </c>
      <c r="AB3081" s="17" t="str">
        <f aca="false">IF($D3081="","",IF(OR($R3081=TRUE(),$R3081="TRUE"),Settings!$C$6,Settings!$C$7)*100)</f>
        <v/>
      </c>
      <c r="AH3081" s="18" t="str">
        <f aca="false">IF($D3081="","",IF(COUNTIF($D$2:$D3081,$D3081)=1,1,0))</f>
        <v/>
      </c>
      <c r="AI3081" s="18" t="str">
        <f aca="false">IF($AH3081=1,SUMPRODUCT(--($AK$2:$AK$4001&lt;$AK3081))+1,"")</f>
        <v/>
      </c>
      <c r="AJ3081" s="18" t="str">
        <f aca="false">IF($D3081="","",IF(OR($R3081=TRUE(),$R3081="TRUE"),1,0))</f>
        <v/>
      </c>
      <c r="AK3081" s="18" t="str">
        <f aca="false">IF($AH3081=1,IFERROR(VALUE(MID($D3081,2,20)),1000000000)+ROW()/10000000,"")</f>
        <v/>
      </c>
    </row>
    <row r="3082" customFormat="false" ht="15" hidden="false" customHeight="false" outlineLevel="0" collapsed="false">
      <c r="F3082" s="15"/>
      <c r="N3082" s="16" t="str">
        <f aca="false">IF($D3082="","",M3082*Y3082/100)</f>
        <v/>
      </c>
      <c r="V3082" s="16" t="str">
        <f aca="false">IF($D3082="","",Y3082*AB3082/100)</f>
        <v/>
      </c>
      <c r="W3082" s="16" t="str">
        <f aca="false">IF($D3082="","",Y3082-V3082)</f>
        <v/>
      </c>
      <c r="X3082" s="16" t="str">
        <f aca="false">IF($D3082="","",W3082-N3082)</f>
        <v/>
      </c>
      <c r="AB3082" s="17" t="str">
        <f aca="false">IF($D3082="","",IF(OR($R3082=TRUE(),$R3082="TRUE"),Settings!$C$6,Settings!$C$7)*100)</f>
        <v/>
      </c>
      <c r="AH3082" s="18" t="str">
        <f aca="false">IF($D3082="","",IF(COUNTIF($D$2:$D3082,$D3082)=1,1,0))</f>
        <v/>
      </c>
      <c r="AI3082" s="18" t="str">
        <f aca="false">IF($AH3082=1,SUMPRODUCT(--($AK$2:$AK$4001&lt;$AK3082))+1,"")</f>
        <v/>
      </c>
      <c r="AJ3082" s="18" t="str">
        <f aca="false">IF($D3082="","",IF(OR($R3082=TRUE(),$R3082="TRUE"),1,0))</f>
        <v/>
      </c>
      <c r="AK3082" s="18" t="str">
        <f aca="false">IF($AH3082=1,IFERROR(VALUE(MID($D3082,2,20)),1000000000)+ROW()/10000000,"")</f>
        <v/>
      </c>
    </row>
    <row r="3083" customFormat="false" ht="15" hidden="false" customHeight="false" outlineLevel="0" collapsed="false">
      <c r="F3083" s="15"/>
      <c r="N3083" s="16" t="str">
        <f aca="false">IF($D3083="","",M3083*Y3083/100)</f>
        <v/>
      </c>
      <c r="V3083" s="16" t="str">
        <f aca="false">IF($D3083="","",Y3083*AB3083/100)</f>
        <v/>
      </c>
      <c r="W3083" s="16" t="str">
        <f aca="false">IF($D3083="","",Y3083-V3083)</f>
        <v/>
      </c>
      <c r="X3083" s="16" t="str">
        <f aca="false">IF($D3083="","",W3083-N3083)</f>
        <v/>
      </c>
      <c r="AB3083" s="17" t="str">
        <f aca="false">IF($D3083="","",IF(OR($R3083=TRUE(),$R3083="TRUE"),Settings!$C$6,Settings!$C$7)*100)</f>
        <v/>
      </c>
      <c r="AH3083" s="18" t="str">
        <f aca="false">IF($D3083="","",IF(COUNTIF($D$2:$D3083,$D3083)=1,1,0))</f>
        <v/>
      </c>
      <c r="AI3083" s="18" t="str">
        <f aca="false">IF($AH3083=1,SUMPRODUCT(--($AK$2:$AK$4001&lt;$AK3083))+1,"")</f>
        <v/>
      </c>
      <c r="AJ3083" s="18" t="str">
        <f aca="false">IF($D3083="","",IF(OR($R3083=TRUE(),$R3083="TRUE"),1,0))</f>
        <v/>
      </c>
      <c r="AK3083" s="18" t="str">
        <f aca="false">IF($AH3083=1,IFERROR(VALUE(MID($D3083,2,20)),1000000000)+ROW()/10000000,"")</f>
        <v/>
      </c>
    </row>
    <row r="3084" customFormat="false" ht="15" hidden="false" customHeight="false" outlineLevel="0" collapsed="false">
      <c r="F3084" s="15"/>
      <c r="N3084" s="16" t="str">
        <f aca="false">IF($D3084="","",M3084*Y3084/100)</f>
        <v/>
      </c>
      <c r="V3084" s="16" t="str">
        <f aca="false">IF($D3084="","",Y3084*AB3084/100)</f>
        <v/>
      </c>
      <c r="W3084" s="16" t="str">
        <f aca="false">IF($D3084="","",Y3084-V3084)</f>
        <v/>
      </c>
      <c r="X3084" s="16" t="str">
        <f aca="false">IF($D3084="","",W3084-N3084)</f>
        <v/>
      </c>
      <c r="AB3084" s="17" t="str">
        <f aca="false">IF($D3084="","",IF(OR($R3084=TRUE(),$R3084="TRUE"),Settings!$C$6,Settings!$C$7)*100)</f>
        <v/>
      </c>
      <c r="AH3084" s="18" t="str">
        <f aca="false">IF($D3084="","",IF(COUNTIF($D$2:$D3084,$D3084)=1,1,0))</f>
        <v/>
      </c>
      <c r="AI3084" s="18" t="str">
        <f aca="false">IF($AH3084=1,SUMPRODUCT(--($AK$2:$AK$4001&lt;$AK3084))+1,"")</f>
        <v/>
      </c>
      <c r="AJ3084" s="18" t="str">
        <f aca="false">IF($D3084="","",IF(OR($R3084=TRUE(),$R3084="TRUE"),1,0))</f>
        <v/>
      </c>
      <c r="AK3084" s="18" t="str">
        <f aca="false">IF($AH3084=1,IFERROR(VALUE(MID($D3084,2,20)),1000000000)+ROW()/10000000,"")</f>
        <v/>
      </c>
    </row>
    <row r="3085" customFormat="false" ht="15" hidden="false" customHeight="false" outlineLevel="0" collapsed="false">
      <c r="F3085" s="15"/>
      <c r="N3085" s="16" t="str">
        <f aca="false">IF($D3085="","",M3085*Y3085/100)</f>
        <v/>
      </c>
      <c r="V3085" s="16" t="str">
        <f aca="false">IF($D3085="","",Y3085*AB3085/100)</f>
        <v/>
      </c>
      <c r="W3085" s="16" t="str">
        <f aca="false">IF($D3085="","",Y3085-V3085)</f>
        <v/>
      </c>
      <c r="X3085" s="16" t="str">
        <f aca="false">IF($D3085="","",W3085-N3085)</f>
        <v/>
      </c>
      <c r="AB3085" s="17" t="str">
        <f aca="false">IF($D3085="","",IF(OR($R3085=TRUE(),$R3085="TRUE"),Settings!$C$6,Settings!$C$7)*100)</f>
        <v/>
      </c>
      <c r="AH3085" s="18" t="str">
        <f aca="false">IF($D3085="","",IF(COUNTIF($D$2:$D3085,$D3085)=1,1,0))</f>
        <v/>
      </c>
      <c r="AI3085" s="18" t="str">
        <f aca="false">IF($AH3085=1,SUMPRODUCT(--($AK$2:$AK$4001&lt;$AK3085))+1,"")</f>
        <v/>
      </c>
      <c r="AJ3085" s="18" t="str">
        <f aca="false">IF($D3085="","",IF(OR($R3085=TRUE(),$R3085="TRUE"),1,0))</f>
        <v/>
      </c>
      <c r="AK3085" s="18" t="str">
        <f aca="false">IF($AH3085=1,IFERROR(VALUE(MID($D3085,2,20)),1000000000)+ROW()/10000000,"")</f>
        <v/>
      </c>
    </row>
    <row r="3086" customFormat="false" ht="15" hidden="false" customHeight="false" outlineLevel="0" collapsed="false">
      <c r="F3086" s="15"/>
      <c r="N3086" s="16" t="str">
        <f aca="false">IF($D3086="","",M3086*Y3086/100)</f>
        <v/>
      </c>
      <c r="V3086" s="16" t="str">
        <f aca="false">IF($D3086="","",Y3086*AB3086/100)</f>
        <v/>
      </c>
      <c r="W3086" s="16" t="str">
        <f aca="false">IF($D3086="","",Y3086-V3086)</f>
        <v/>
      </c>
      <c r="X3086" s="16" t="str">
        <f aca="false">IF($D3086="","",W3086-N3086)</f>
        <v/>
      </c>
      <c r="AB3086" s="17" t="str">
        <f aca="false">IF($D3086="","",IF(OR($R3086=TRUE(),$R3086="TRUE"),Settings!$C$6,Settings!$C$7)*100)</f>
        <v/>
      </c>
      <c r="AH3086" s="18" t="str">
        <f aca="false">IF($D3086="","",IF(COUNTIF($D$2:$D3086,$D3086)=1,1,0))</f>
        <v/>
      </c>
      <c r="AI3086" s="18" t="str">
        <f aca="false">IF($AH3086=1,SUMPRODUCT(--($AK$2:$AK$4001&lt;$AK3086))+1,"")</f>
        <v/>
      </c>
      <c r="AJ3086" s="18" t="str">
        <f aca="false">IF($D3086="","",IF(OR($R3086=TRUE(),$R3086="TRUE"),1,0))</f>
        <v/>
      </c>
      <c r="AK3086" s="18" t="str">
        <f aca="false">IF($AH3086=1,IFERROR(VALUE(MID($D3086,2,20)),1000000000)+ROW()/10000000,"")</f>
        <v/>
      </c>
    </row>
    <row r="3087" customFormat="false" ht="15" hidden="false" customHeight="false" outlineLevel="0" collapsed="false">
      <c r="F3087" s="15"/>
      <c r="N3087" s="16" t="str">
        <f aca="false">IF($D3087="","",M3087*Y3087/100)</f>
        <v/>
      </c>
      <c r="V3087" s="16" t="str">
        <f aca="false">IF($D3087="","",Y3087*AB3087/100)</f>
        <v/>
      </c>
      <c r="W3087" s="16" t="str">
        <f aca="false">IF($D3087="","",Y3087-V3087)</f>
        <v/>
      </c>
      <c r="X3087" s="16" t="str">
        <f aca="false">IF($D3087="","",W3087-N3087)</f>
        <v/>
      </c>
      <c r="AB3087" s="17" t="str">
        <f aca="false">IF($D3087="","",IF(OR($R3087=TRUE(),$R3087="TRUE"),Settings!$C$6,Settings!$C$7)*100)</f>
        <v/>
      </c>
      <c r="AH3087" s="18" t="str">
        <f aca="false">IF($D3087="","",IF(COUNTIF($D$2:$D3087,$D3087)=1,1,0))</f>
        <v/>
      </c>
      <c r="AI3087" s="18" t="str">
        <f aca="false">IF($AH3087=1,SUMPRODUCT(--($AK$2:$AK$4001&lt;$AK3087))+1,"")</f>
        <v/>
      </c>
      <c r="AJ3087" s="18" t="str">
        <f aca="false">IF($D3087="","",IF(OR($R3087=TRUE(),$R3087="TRUE"),1,0))</f>
        <v/>
      </c>
      <c r="AK3087" s="18" t="str">
        <f aca="false">IF($AH3087=1,IFERROR(VALUE(MID($D3087,2,20)),1000000000)+ROW()/10000000,"")</f>
        <v/>
      </c>
    </row>
    <row r="3088" customFormat="false" ht="15" hidden="false" customHeight="false" outlineLevel="0" collapsed="false">
      <c r="F3088" s="15"/>
      <c r="N3088" s="16" t="str">
        <f aca="false">IF($D3088="","",M3088*Y3088/100)</f>
        <v/>
      </c>
      <c r="V3088" s="16" t="str">
        <f aca="false">IF($D3088="","",Y3088*AB3088/100)</f>
        <v/>
      </c>
      <c r="W3088" s="16" t="str">
        <f aca="false">IF($D3088="","",Y3088-V3088)</f>
        <v/>
      </c>
      <c r="X3088" s="16" t="str">
        <f aca="false">IF($D3088="","",W3088-N3088)</f>
        <v/>
      </c>
      <c r="AB3088" s="17" t="str">
        <f aca="false">IF($D3088="","",IF(OR($R3088=TRUE(),$R3088="TRUE"),Settings!$C$6,Settings!$C$7)*100)</f>
        <v/>
      </c>
      <c r="AH3088" s="18" t="str">
        <f aca="false">IF($D3088="","",IF(COUNTIF($D$2:$D3088,$D3088)=1,1,0))</f>
        <v/>
      </c>
      <c r="AI3088" s="18" t="str">
        <f aca="false">IF($AH3088=1,SUMPRODUCT(--($AK$2:$AK$4001&lt;$AK3088))+1,"")</f>
        <v/>
      </c>
      <c r="AJ3088" s="18" t="str">
        <f aca="false">IF($D3088="","",IF(OR($R3088=TRUE(),$R3088="TRUE"),1,0))</f>
        <v/>
      </c>
      <c r="AK3088" s="18" t="str">
        <f aca="false">IF($AH3088=1,IFERROR(VALUE(MID($D3088,2,20)),1000000000)+ROW()/10000000,"")</f>
        <v/>
      </c>
    </row>
    <row r="3089" customFormat="false" ht="15" hidden="false" customHeight="false" outlineLevel="0" collapsed="false">
      <c r="F3089" s="15"/>
      <c r="N3089" s="16" t="str">
        <f aca="false">IF($D3089="","",M3089*Y3089/100)</f>
        <v/>
      </c>
      <c r="V3089" s="16" t="str">
        <f aca="false">IF($D3089="","",Y3089*AB3089/100)</f>
        <v/>
      </c>
      <c r="W3089" s="16" t="str">
        <f aca="false">IF($D3089="","",Y3089-V3089)</f>
        <v/>
      </c>
      <c r="X3089" s="16" t="str">
        <f aca="false">IF($D3089="","",W3089-N3089)</f>
        <v/>
      </c>
      <c r="AB3089" s="17" t="str">
        <f aca="false">IF($D3089="","",IF(OR($R3089=TRUE(),$R3089="TRUE"),Settings!$C$6,Settings!$C$7)*100)</f>
        <v/>
      </c>
      <c r="AH3089" s="18" t="str">
        <f aca="false">IF($D3089="","",IF(COUNTIF($D$2:$D3089,$D3089)=1,1,0))</f>
        <v/>
      </c>
      <c r="AI3089" s="18" t="str">
        <f aca="false">IF($AH3089=1,SUMPRODUCT(--($AK$2:$AK$4001&lt;$AK3089))+1,"")</f>
        <v/>
      </c>
      <c r="AJ3089" s="18" t="str">
        <f aca="false">IF($D3089="","",IF(OR($R3089=TRUE(),$R3089="TRUE"),1,0))</f>
        <v/>
      </c>
      <c r="AK3089" s="18" t="str">
        <f aca="false">IF($AH3089=1,IFERROR(VALUE(MID($D3089,2,20)),1000000000)+ROW()/10000000,"")</f>
        <v/>
      </c>
    </row>
    <row r="3090" customFormat="false" ht="15" hidden="false" customHeight="false" outlineLevel="0" collapsed="false">
      <c r="F3090" s="15"/>
      <c r="N3090" s="16" t="str">
        <f aca="false">IF($D3090="","",M3090*Y3090/100)</f>
        <v/>
      </c>
      <c r="V3090" s="16" t="str">
        <f aca="false">IF($D3090="","",Y3090*AB3090/100)</f>
        <v/>
      </c>
      <c r="W3090" s="16" t="str">
        <f aca="false">IF($D3090="","",Y3090-V3090)</f>
        <v/>
      </c>
      <c r="X3090" s="16" t="str">
        <f aca="false">IF($D3090="","",W3090-N3090)</f>
        <v/>
      </c>
      <c r="AB3090" s="17" t="str">
        <f aca="false">IF($D3090="","",IF(OR($R3090=TRUE(),$R3090="TRUE"),Settings!$C$6,Settings!$C$7)*100)</f>
        <v/>
      </c>
      <c r="AH3090" s="18" t="str">
        <f aca="false">IF($D3090="","",IF(COUNTIF($D$2:$D3090,$D3090)=1,1,0))</f>
        <v/>
      </c>
      <c r="AI3090" s="18" t="str">
        <f aca="false">IF($AH3090=1,SUMPRODUCT(--($AK$2:$AK$4001&lt;$AK3090))+1,"")</f>
        <v/>
      </c>
      <c r="AJ3090" s="18" t="str">
        <f aca="false">IF($D3090="","",IF(OR($R3090=TRUE(),$R3090="TRUE"),1,0))</f>
        <v/>
      </c>
      <c r="AK3090" s="18" t="str">
        <f aca="false">IF($AH3090=1,IFERROR(VALUE(MID($D3090,2,20)),1000000000)+ROW()/10000000,"")</f>
        <v/>
      </c>
    </row>
    <row r="3091" customFormat="false" ht="15" hidden="false" customHeight="false" outlineLevel="0" collapsed="false">
      <c r="F3091" s="15"/>
      <c r="N3091" s="16" t="str">
        <f aca="false">IF($D3091="","",M3091*Y3091/100)</f>
        <v/>
      </c>
      <c r="V3091" s="16" t="str">
        <f aca="false">IF($D3091="","",Y3091*AB3091/100)</f>
        <v/>
      </c>
      <c r="W3091" s="16" t="str">
        <f aca="false">IF($D3091="","",Y3091-V3091)</f>
        <v/>
      </c>
      <c r="X3091" s="16" t="str">
        <f aca="false">IF($D3091="","",W3091-N3091)</f>
        <v/>
      </c>
      <c r="AB3091" s="17" t="str">
        <f aca="false">IF($D3091="","",IF(OR($R3091=TRUE(),$R3091="TRUE"),Settings!$C$6,Settings!$C$7)*100)</f>
        <v/>
      </c>
      <c r="AH3091" s="18" t="str">
        <f aca="false">IF($D3091="","",IF(COUNTIF($D$2:$D3091,$D3091)=1,1,0))</f>
        <v/>
      </c>
      <c r="AI3091" s="18" t="str">
        <f aca="false">IF($AH3091=1,SUMPRODUCT(--($AK$2:$AK$4001&lt;$AK3091))+1,"")</f>
        <v/>
      </c>
      <c r="AJ3091" s="18" t="str">
        <f aca="false">IF($D3091="","",IF(OR($R3091=TRUE(),$R3091="TRUE"),1,0))</f>
        <v/>
      </c>
      <c r="AK3091" s="18" t="str">
        <f aca="false">IF($AH3091=1,IFERROR(VALUE(MID($D3091,2,20)),1000000000)+ROW()/10000000,"")</f>
        <v/>
      </c>
    </row>
    <row r="3092" customFormat="false" ht="15" hidden="false" customHeight="false" outlineLevel="0" collapsed="false">
      <c r="F3092" s="15"/>
      <c r="N3092" s="16" t="str">
        <f aca="false">IF($D3092="","",M3092*Y3092/100)</f>
        <v/>
      </c>
      <c r="V3092" s="16" t="str">
        <f aca="false">IF($D3092="","",Y3092*AB3092/100)</f>
        <v/>
      </c>
      <c r="W3092" s="16" t="str">
        <f aca="false">IF($D3092="","",Y3092-V3092)</f>
        <v/>
      </c>
      <c r="X3092" s="16" t="str">
        <f aca="false">IF($D3092="","",W3092-N3092)</f>
        <v/>
      </c>
      <c r="AB3092" s="17" t="str">
        <f aca="false">IF($D3092="","",IF(OR($R3092=TRUE(),$R3092="TRUE"),Settings!$C$6,Settings!$C$7)*100)</f>
        <v/>
      </c>
      <c r="AH3092" s="18" t="str">
        <f aca="false">IF($D3092="","",IF(COUNTIF($D$2:$D3092,$D3092)=1,1,0))</f>
        <v/>
      </c>
      <c r="AI3092" s="18" t="str">
        <f aca="false">IF($AH3092=1,SUMPRODUCT(--($AK$2:$AK$4001&lt;$AK3092))+1,"")</f>
        <v/>
      </c>
      <c r="AJ3092" s="18" t="str">
        <f aca="false">IF($D3092="","",IF(OR($R3092=TRUE(),$R3092="TRUE"),1,0))</f>
        <v/>
      </c>
      <c r="AK3092" s="18" t="str">
        <f aca="false">IF($AH3092=1,IFERROR(VALUE(MID($D3092,2,20)),1000000000)+ROW()/10000000,"")</f>
        <v/>
      </c>
    </row>
    <row r="3093" customFormat="false" ht="15" hidden="false" customHeight="false" outlineLevel="0" collapsed="false">
      <c r="F3093" s="15"/>
      <c r="N3093" s="16" t="str">
        <f aca="false">IF($D3093="","",M3093*Y3093/100)</f>
        <v/>
      </c>
      <c r="V3093" s="16" t="str">
        <f aca="false">IF($D3093="","",Y3093*AB3093/100)</f>
        <v/>
      </c>
      <c r="W3093" s="16" t="str">
        <f aca="false">IF($D3093="","",Y3093-V3093)</f>
        <v/>
      </c>
      <c r="X3093" s="16" t="str">
        <f aca="false">IF($D3093="","",W3093-N3093)</f>
        <v/>
      </c>
      <c r="AB3093" s="17" t="str">
        <f aca="false">IF($D3093="","",IF(OR($R3093=TRUE(),$R3093="TRUE"),Settings!$C$6,Settings!$C$7)*100)</f>
        <v/>
      </c>
      <c r="AH3093" s="18" t="str">
        <f aca="false">IF($D3093="","",IF(COUNTIF($D$2:$D3093,$D3093)=1,1,0))</f>
        <v/>
      </c>
      <c r="AI3093" s="18" t="str">
        <f aca="false">IF($AH3093=1,SUMPRODUCT(--($AK$2:$AK$4001&lt;$AK3093))+1,"")</f>
        <v/>
      </c>
      <c r="AJ3093" s="18" t="str">
        <f aca="false">IF($D3093="","",IF(OR($R3093=TRUE(),$R3093="TRUE"),1,0))</f>
        <v/>
      </c>
      <c r="AK3093" s="18" t="str">
        <f aca="false">IF($AH3093=1,IFERROR(VALUE(MID($D3093,2,20)),1000000000)+ROW()/10000000,"")</f>
        <v/>
      </c>
    </row>
    <row r="3094" customFormat="false" ht="15" hidden="false" customHeight="false" outlineLevel="0" collapsed="false">
      <c r="F3094" s="15"/>
      <c r="N3094" s="16" t="str">
        <f aca="false">IF($D3094="","",M3094*Y3094/100)</f>
        <v/>
      </c>
      <c r="V3094" s="16" t="str">
        <f aca="false">IF($D3094="","",Y3094*AB3094/100)</f>
        <v/>
      </c>
      <c r="W3094" s="16" t="str">
        <f aca="false">IF($D3094="","",Y3094-V3094)</f>
        <v/>
      </c>
      <c r="X3094" s="16" t="str">
        <f aca="false">IF($D3094="","",W3094-N3094)</f>
        <v/>
      </c>
      <c r="AB3094" s="17" t="str">
        <f aca="false">IF($D3094="","",IF(OR($R3094=TRUE(),$R3094="TRUE"),Settings!$C$6,Settings!$C$7)*100)</f>
        <v/>
      </c>
      <c r="AH3094" s="18" t="str">
        <f aca="false">IF($D3094="","",IF(COUNTIF($D$2:$D3094,$D3094)=1,1,0))</f>
        <v/>
      </c>
      <c r="AI3094" s="18" t="str">
        <f aca="false">IF($AH3094=1,SUMPRODUCT(--($AK$2:$AK$4001&lt;$AK3094))+1,"")</f>
        <v/>
      </c>
      <c r="AJ3094" s="18" t="str">
        <f aca="false">IF($D3094="","",IF(OR($R3094=TRUE(),$R3094="TRUE"),1,0))</f>
        <v/>
      </c>
      <c r="AK3094" s="18" t="str">
        <f aca="false">IF($AH3094=1,IFERROR(VALUE(MID($D3094,2,20)),1000000000)+ROW()/10000000,"")</f>
        <v/>
      </c>
    </row>
    <row r="3095" customFormat="false" ht="15" hidden="false" customHeight="false" outlineLevel="0" collapsed="false">
      <c r="F3095" s="15"/>
      <c r="N3095" s="16" t="str">
        <f aca="false">IF($D3095="","",M3095*Y3095/100)</f>
        <v/>
      </c>
      <c r="V3095" s="16" t="str">
        <f aca="false">IF($D3095="","",Y3095*AB3095/100)</f>
        <v/>
      </c>
      <c r="W3095" s="16" t="str">
        <f aca="false">IF($D3095="","",Y3095-V3095)</f>
        <v/>
      </c>
      <c r="X3095" s="16" t="str">
        <f aca="false">IF($D3095="","",W3095-N3095)</f>
        <v/>
      </c>
      <c r="AB3095" s="17" t="str">
        <f aca="false">IF($D3095="","",IF(OR($R3095=TRUE(),$R3095="TRUE"),Settings!$C$6,Settings!$C$7)*100)</f>
        <v/>
      </c>
      <c r="AH3095" s="18" t="str">
        <f aca="false">IF($D3095="","",IF(COUNTIF($D$2:$D3095,$D3095)=1,1,0))</f>
        <v/>
      </c>
      <c r="AI3095" s="18" t="str">
        <f aca="false">IF($AH3095=1,SUMPRODUCT(--($AK$2:$AK$4001&lt;$AK3095))+1,"")</f>
        <v/>
      </c>
      <c r="AJ3095" s="18" t="str">
        <f aca="false">IF($D3095="","",IF(OR($R3095=TRUE(),$R3095="TRUE"),1,0))</f>
        <v/>
      </c>
      <c r="AK3095" s="18" t="str">
        <f aca="false">IF($AH3095=1,IFERROR(VALUE(MID($D3095,2,20)),1000000000)+ROW()/10000000,"")</f>
        <v/>
      </c>
    </row>
    <row r="3096" customFormat="false" ht="15" hidden="false" customHeight="false" outlineLevel="0" collapsed="false">
      <c r="F3096" s="15"/>
      <c r="N3096" s="16" t="str">
        <f aca="false">IF($D3096="","",M3096*Y3096/100)</f>
        <v/>
      </c>
      <c r="V3096" s="16" t="str">
        <f aca="false">IF($D3096="","",Y3096*AB3096/100)</f>
        <v/>
      </c>
      <c r="W3096" s="16" t="str">
        <f aca="false">IF($D3096="","",Y3096-V3096)</f>
        <v/>
      </c>
      <c r="X3096" s="16" t="str">
        <f aca="false">IF($D3096="","",W3096-N3096)</f>
        <v/>
      </c>
      <c r="AB3096" s="17" t="str">
        <f aca="false">IF($D3096="","",IF(OR($R3096=TRUE(),$R3096="TRUE"),Settings!$C$6,Settings!$C$7)*100)</f>
        <v/>
      </c>
      <c r="AH3096" s="18" t="str">
        <f aca="false">IF($D3096="","",IF(COUNTIF($D$2:$D3096,$D3096)=1,1,0))</f>
        <v/>
      </c>
      <c r="AI3096" s="18" t="str">
        <f aca="false">IF($AH3096=1,SUMPRODUCT(--($AK$2:$AK$4001&lt;$AK3096))+1,"")</f>
        <v/>
      </c>
      <c r="AJ3096" s="18" t="str">
        <f aca="false">IF($D3096="","",IF(OR($R3096=TRUE(),$R3096="TRUE"),1,0))</f>
        <v/>
      </c>
      <c r="AK3096" s="18" t="str">
        <f aca="false">IF($AH3096=1,IFERROR(VALUE(MID($D3096,2,20)),1000000000)+ROW()/10000000,"")</f>
        <v/>
      </c>
    </row>
    <row r="3097" customFormat="false" ht="15" hidden="false" customHeight="false" outlineLevel="0" collapsed="false">
      <c r="F3097" s="15"/>
      <c r="N3097" s="16" t="str">
        <f aca="false">IF($D3097="","",M3097*Y3097/100)</f>
        <v/>
      </c>
      <c r="V3097" s="16" t="str">
        <f aca="false">IF($D3097="","",Y3097*AB3097/100)</f>
        <v/>
      </c>
      <c r="W3097" s="16" t="str">
        <f aca="false">IF($D3097="","",Y3097-V3097)</f>
        <v/>
      </c>
      <c r="X3097" s="16" t="str">
        <f aca="false">IF($D3097="","",W3097-N3097)</f>
        <v/>
      </c>
      <c r="AB3097" s="17" t="str">
        <f aca="false">IF($D3097="","",IF(OR($R3097=TRUE(),$R3097="TRUE"),Settings!$C$6,Settings!$C$7)*100)</f>
        <v/>
      </c>
      <c r="AH3097" s="18" t="str">
        <f aca="false">IF($D3097="","",IF(COUNTIF($D$2:$D3097,$D3097)=1,1,0))</f>
        <v/>
      </c>
      <c r="AI3097" s="18" t="str">
        <f aca="false">IF($AH3097=1,SUMPRODUCT(--($AK$2:$AK$4001&lt;$AK3097))+1,"")</f>
        <v/>
      </c>
      <c r="AJ3097" s="18" t="str">
        <f aca="false">IF($D3097="","",IF(OR($R3097=TRUE(),$R3097="TRUE"),1,0))</f>
        <v/>
      </c>
      <c r="AK3097" s="18" t="str">
        <f aca="false">IF($AH3097=1,IFERROR(VALUE(MID($D3097,2,20)),1000000000)+ROW()/10000000,"")</f>
        <v/>
      </c>
    </row>
    <row r="3098" customFormat="false" ht="15" hidden="false" customHeight="false" outlineLevel="0" collapsed="false">
      <c r="F3098" s="15"/>
      <c r="N3098" s="16" t="str">
        <f aca="false">IF($D3098="","",M3098*Y3098/100)</f>
        <v/>
      </c>
      <c r="V3098" s="16" t="str">
        <f aca="false">IF($D3098="","",Y3098*AB3098/100)</f>
        <v/>
      </c>
      <c r="W3098" s="16" t="str">
        <f aca="false">IF($D3098="","",Y3098-V3098)</f>
        <v/>
      </c>
      <c r="X3098" s="16" t="str">
        <f aca="false">IF($D3098="","",W3098-N3098)</f>
        <v/>
      </c>
      <c r="AB3098" s="17" t="str">
        <f aca="false">IF($D3098="","",IF(OR($R3098=TRUE(),$R3098="TRUE"),Settings!$C$6,Settings!$C$7)*100)</f>
        <v/>
      </c>
      <c r="AH3098" s="18" t="str">
        <f aca="false">IF($D3098="","",IF(COUNTIF($D$2:$D3098,$D3098)=1,1,0))</f>
        <v/>
      </c>
      <c r="AI3098" s="18" t="str">
        <f aca="false">IF($AH3098=1,SUMPRODUCT(--($AK$2:$AK$4001&lt;$AK3098))+1,"")</f>
        <v/>
      </c>
      <c r="AJ3098" s="18" t="str">
        <f aca="false">IF($D3098="","",IF(OR($R3098=TRUE(),$R3098="TRUE"),1,0))</f>
        <v/>
      </c>
      <c r="AK3098" s="18" t="str">
        <f aca="false">IF($AH3098=1,IFERROR(VALUE(MID($D3098,2,20)),1000000000)+ROW()/10000000,"")</f>
        <v/>
      </c>
    </row>
    <row r="3099" customFormat="false" ht="15" hidden="false" customHeight="false" outlineLevel="0" collapsed="false">
      <c r="F3099" s="15"/>
      <c r="N3099" s="16" t="str">
        <f aca="false">IF($D3099="","",M3099*Y3099/100)</f>
        <v/>
      </c>
      <c r="V3099" s="16" t="str">
        <f aca="false">IF($D3099="","",Y3099*AB3099/100)</f>
        <v/>
      </c>
      <c r="W3099" s="16" t="str">
        <f aca="false">IF($D3099="","",Y3099-V3099)</f>
        <v/>
      </c>
      <c r="X3099" s="16" t="str">
        <f aca="false">IF($D3099="","",W3099-N3099)</f>
        <v/>
      </c>
      <c r="AB3099" s="17" t="str">
        <f aca="false">IF($D3099="","",IF(OR($R3099=TRUE(),$R3099="TRUE"),Settings!$C$6,Settings!$C$7)*100)</f>
        <v/>
      </c>
      <c r="AH3099" s="18" t="str">
        <f aca="false">IF($D3099="","",IF(COUNTIF($D$2:$D3099,$D3099)=1,1,0))</f>
        <v/>
      </c>
      <c r="AI3099" s="18" t="str">
        <f aca="false">IF($AH3099=1,SUMPRODUCT(--($AK$2:$AK$4001&lt;$AK3099))+1,"")</f>
        <v/>
      </c>
      <c r="AJ3099" s="18" t="str">
        <f aca="false">IF($D3099="","",IF(OR($R3099=TRUE(),$R3099="TRUE"),1,0))</f>
        <v/>
      </c>
      <c r="AK3099" s="18" t="str">
        <f aca="false">IF($AH3099=1,IFERROR(VALUE(MID($D3099,2,20)),1000000000)+ROW()/10000000,"")</f>
        <v/>
      </c>
    </row>
    <row r="3100" customFormat="false" ht="15" hidden="false" customHeight="false" outlineLevel="0" collapsed="false">
      <c r="F3100" s="15"/>
      <c r="N3100" s="16" t="str">
        <f aca="false">IF($D3100="","",M3100*Y3100/100)</f>
        <v/>
      </c>
      <c r="V3100" s="16" t="str">
        <f aca="false">IF($D3100="","",Y3100*AB3100/100)</f>
        <v/>
      </c>
      <c r="W3100" s="16" t="str">
        <f aca="false">IF($D3100="","",Y3100-V3100)</f>
        <v/>
      </c>
      <c r="X3100" s="16" t="str">
        <f aca="false">IF($D3100="","",W3100-N3100)</f>
        <v/>
      </c>
      <c r="AB3100" s="17" t="str">
        <f aca="false">IF($D3100="","",IF(OR($R3100=TRUE(),$R3100="TRUE"),Settings!$C$6,Settings!$C$7)*100)</f>
        <v/>
      </c>
      <c r="AH3100" s="18" t="str">
        <f aca="false">IF($D3100="","",IF(COUNTIF($D$2:$D3100,$D3100)=1,1,0))</f>
        <v/>
      </c>
      <c r="AI3100" s="18" t="str">
        <f aca="false">IF($AH3100=1,SUMPRODUCT(--($AK$2:$AK$4001&lt;$AK3100))+1,"")</f>
        <v/>
      </c>
      <c r="AJ3100" s="18" t="str">
        <f aca="false">IF($D3100="","",IF(OR($R3100=TRUE(),$R3100="TRUE"),1,0))</f>
        <v/>
      </c>
      <c r="AK3100" s="18" t="str">
        <f aca="false">IF($AH3100=1,IFERROR(VALUE(MID($D3100,2,20)),1000000000)+ROW()/10000000,"")</f>
        <v/>
      </c>
    </row>
    <row r="3101" customFormat="false" ht="15" hidden="false" customHeight="false" outlineLevel="0" collapsed="false">
      <c r="F3101" s="15"/>
      <c r="N3101" s="16" t="str">
        <f aca="false">IF($D3101="","",M3101*Y3101/100)</f>
        <v/>
      </c>
      <c r="V3101" s="16" t="str">
        <f aca="false">IF($D3101="","",Y3101*AB3101/100)</f>
        <v/>
      </c>
      <c r="W3101" s="16" t="str">
        <f aca="false">IF($D3101="","",Y3101-V3101)</f>
        <v/>
      </c>
      <c r="X3101" s="16" t="str">
        <f aca="false">IF($D3101="","",W3101-N3101)</f>
        <v/>
      </c>
      <c r="AB3101" s="17" t="str">
        <f aca="false">IF($D3101="","",IF(OR($R3101=TRUE(),$R3101="TRUE"),Settings!$C$6,Settings!$C$7)*100)</f>
        <v/>
      </c>
      <c r="AH3101" s="18" t="str">
        <f aca="false">IF($D3101="","",IF(COUNTIF($D$2:$D3101,$D3101)=1,1,0))</f>
        <v/>
      </c>
      <c r="AI3101" s="18" t="str">
        <f aca="false">IF($AH3101=1,SUMPRODUCT(--($AK$2:$AK$4001&lt;$AK3101))+1,"")</f>
        <v/>
      </c>
      <c r="AJ3101" s="18" t="str">
        <f aca="false">IF($D3101="","",IF(OR($R3101=TRUE(),$R3101="TRUE"),1,0))</f>
        <v/>
      </c>
      <c r="AK3101" s="18" t="str">
        <f aca="false">IF($AH3101=1,IFERROR(VALUE(MID($D3101,2,20)),1000000000)+ROW()/10000000,"")</f>
        <v/>
      </c>
    </row>
    <row r="3102" customFormat="false" ht="15" hidden="false" customHeight="false" outlineLevel="0" collapsed="false">
      <c r="F3102" s="15"/>
      <c r="N3102" s="16" t="str">
        <f aca="false">IF($D3102="","",M3102*Y3102/100)</f>
        <v/>
      </c>
      <c r="V3102" s="16" t="str">
        <f aca="false">IF($D3102="","",Y3102*AB3102/100)</f>
        <v/>
      </c>
      <c r="W3102" s="16" t="str">
        <f aca="false">IF($D3102="","",Y3102-V3102)</f>
        <v/>
      </c>
      <c r="X3102" s="16" t="str">
        <f aca="false">IF($D3102="","",W3102-N3102)</f>
        <v/>
      </c>
      <c r="AB3102" s="17" t="str">
        <f aca="false">IF($D3102="","",IF(OR($R3102=TRUE(),$R3102="TRUE"),Settings!$C$6,Settings!$C$7)*100)</f>
        <v/>
      </c>
      <c r="AH3102" s="18" t="str">
        <f aca="false">IF($D3102="","",IF(COUNTIF($D$2:$D3102,$D3102)=1,1,0))</f>
        <v/>
      </c>
      <c r="AI3102" s="18" t="str">
        <f aca="false">IF($AH3102=1,SUMPRODUCT(--($AK$2:$AK$4001&lt;$AK3102))+1,"")</f>
        <v/>
      </c>
      <c r="AJ3102" s="18" t="str">
        <f aca="false">IF($D3102="","",IF(OR($R3102=TRUE(),$R3102="TRUE"),1,0))</f>
        <v/>
      </c>
      <c r="AK3102" s="18" t="str">
        <f aca="false">IF($AH3102=1,IFERROR(VALUE(MID($D3102,2,20)),1000000000)+ROW()/10000000,"")</f>
        <v/>
      </c>
    </row>
    <row r="3103" customFormat="false" ht="15" hidden="false" customHeight="false" outlineLevel="0" collapsed="false">
      <c r="F3103" s="15"/>
      <c r="N3103" s="16" t="str">
        <f aca="false">IF($D3103="","",M3103*Y3103/100)</f>
        <v/>
      </c>
      <c r="V3103" s="16" t="str">
        <f aca="false">IF($D3103="","",Y3103*AB3103/100)</f>
        <v/>
      </c>
      <c r="W3103" s="16" t="str">
        <f aca="false">IF($D3103="","",Y3103-V3103)</f>
        <v/>
      </c>
      <c r="X3103" s="16" t="str">
        <f aca="false">IF($D3103="","",W3103-N3103)</f>
        <v/>
      </c>
      <c r="AB3103" s="17" t="str">
        <f aca="false">IF($D3103="","",IF(OR($R3103=TRUE(),$R3103="TRUE"),Settings!$C$6,Settings!$C$7)*100)</f>
        <v/>
      </c>
      <c r="AH3103" s="18" t="str">
        <f aca="false">IF($D3103="","",IF(COUNTIF($D$2:$D3103,$D3103)=1,1,0))</f>
        <v/>
      </c>
      <c r="AI3103" s="18" t="str">
        <f aca="false">IF($AH3103=1,SUMPRODUCT(--($AK$2:$AK$4001&lt;$AK3103))+1,"")</f>
        <v/>
      </c>
      <c r="AJ3103" s="18" t="str">
        <f aca="false">IF($D3103="","",IF(OR($R3103=TRUE(),$R3103="TRUE"),1,0))</f>
        <v/>
      </c>
      <c r="AK3103" s="18" t="str">
        <f aca="false">IF($AH3103=1,IFERROR(VALUE(MID($D3103,2,20)),1000000000)+ROW()/10000000,"")</f>
        <v/>
      </c>
    </row>
    <row r="3104" customFormat="false" ht="15" hidden="false" customHeight="false" outlineLevel="0" collapsed="false">
      <c r="F3104" s="15"/>
      <c r="N3104" s="16" t="str">
        <f aca="false">IF($D3104="","",M3104*Y3104/100)</f>
        <v/>
      </c>
      <c r="V3104" s="16" t="str">
        <f aca="false">IF($D3104="","",Y3104*AB3104/100)</f>
        <v/>
      </c>
      <c r="W3104" s="16" t="str">
        <f aca="false">IF($D3104="","",Y3104-V3104)</f>
        <v/>
      </c>
      <c r="X3104" s="16" t="str">
        <f aca="false">IF($D3104="","",W3104-N3104)</f>
        <v/>
      </c>
      <c r="AB3104" s="17" t="str">
        <f aca="false">IF($D3104="","",IF(OR($R3104=TRUE(),$R3104="TRUE"),Settings!$C$6,Settings!$C$7)*100)</f>
        <v/>
      </c>
      <c r="AH3104" s="18" t="str">
        <f aca="false">IF($D3104="","",IF(COUNTIF($D$2:$D3104,$D3104)=1,1,0))</f>
        <v/>
      </c>
      <c r="AI3104" s="18" t="str">
        <f aca="false">IF($AH3104=1,SUMPRODUCT(--($AK$2:$AK$4001&lt;$AK3104))+1,"")</f>
        <v/>
      </c>
      <c r="AJ3104" s="18" t="str">
        <f aca="false">IF($D3104="","",IF(OR($R3104=TRUE(),$R3104="TRUE"),1,0))</f>
        <v/>
      </c>
      <c r="AK3104" s="18" t="str">
        <f aca="false">IF($AH3104=1,IFERROR(VALUE(MID($D3104,2,20)),1000000000)+ROW()/10000000,"")</f>
        <v/>
      </c>
    </row>
    <row r="3105" customFormat="false" ht="15" hidden="false" customHeight="false" outlineLevel="0" collapsed="false">
      <c r="F3105" s="15"/>
      <c r="N3105" s="16" t="str">
        <f aca="false">IF($D3105="","",M3105*Y3105/100)</f>
        <v/>
      </c>
      <c r="V3105" s="16" t="str">
        <f aca="false">IF($D3105="","",Y3105*AB3105/100)</f>
        <v/>
      </c>
      <c r="W3105" s="16" t="str">
        <f aca="false">IF($D3105="","",Y3105-V3105)</f>
        <v/>
      </c>
      <c r="X3105" s="16" t="str">
        <f aca="false">IF($D3105="","",W3105-N3105)</f>
        <v/>
      </c>
      <c r="AB3105" s="17" t="str">
        <f aca="false">IF($D3105="","",IF(OR($R3105=TRUE(),$R3105="TRUE"),Settings!$C$6,Settings!$C$7)*100)</f>
        <v/>
      </c>
      <c r="AH3105" s="18" t="str">
        <f aca="false">IF($D3105="","",IF(COUNTIF($D$2:$D3105,$D3105)=1,1,0))</f>
        <v/>
      </c>
      <c r="AI3105" s="18" t="str">
        <f aca="false">IF($AH3105=1,SUMPRODUCT(--($AK$2:$AK$4001&lt;$AK3105))+1,"")</f>
        <v/>
      </c>
      <c r="AJ3105" s="18" t="str">
        <f aca="false">IF($D3105="","",IF(OR($R3105=TRUE(),$R3105="TRUE"),1,0))</f>
        <v/>
      </c>
      <c r="AK3105" s="18" t="str">
        <f aca="false">IF($AH3105=1,IFERROR(VALUE(MID($D3105,2,20)),1000000000)+ROW()/10000000,"")</f>
        <v/>
      </c>
    </row>
    <row r="3106" customFormat="false" ht="15" hidden="false" customHeight="false" outlineLevel="0" collapsed="false">
      <c r="F3106" s="15"/>
      <c r="N3106" s="16" t="str">
        <f aca="false">IF($D3106="","",M3106*Y3106/100)</f>
        <v/>
      </c>
      <c r="V3106" s="16" t="str">
        <f aca="false">IF($D3106="","",Y3106*AB3106/100)</f>
        <v/>
      </c>
      <c r="W3106" s="16" t="str">
        <f aca="false">IF($D3106="","",Y3106-V3106)</f>
        <v/>
      </c>
      <c r="X3106" s="16" t="str">
        <f aca="false">IF($D3106="","",W3106-N3106)</f>
        <v/>
      </c>
      <c r="AB3106" s="17" t="str">
        <f aca="false">IF($D3106="","",IF(OR($R3106=TRUE(),$R3106="TRUE"),Settings!$C$6,Settings!$C$7)*100)</f>
        <v/>
      </c>
      <c r="AH3106" s="18" t="str">
        <f aca="false">IF($D3106="","",IF(COUNTIF($D$2:$D3106,$D3106)=1,1,0))</f>
        <v/>
      </c>
      <c r="AI3106" s="18" t="str">
        <f aca="false">IF($AH3106=1,SUMPRODUCT(--($AK$2:$AK$4001&lt;$AK3106))+1,"")</f>
        <v/>
      </c>
      <c r="AJ3106" s="18" t="str">
        <f aca="false">IF($D3106="","",IF(OR($R3106=TRUE(),$R3106="TRUE"),1,0))</f>
        <v/>
      </c>
      <c r="AK3106" s="18" t="str">
        <f aca="false">IF($AH3106=1,IFERROR(VALUE(MID($D3106,2,20)),1000000000)+ROW()/10000000,"")</f>
        <v/>
      </c>
    </row>
    <row r="3107" customFormat="false" ht="15" hidden="false" customHeight="false" outlineLevel="0" collapsed="false">
      <c r="F3107" s="15"/>
      <c r="N3107" s="16" t="str">
        <f aca="false">IF($D3107="","",M3107*Y3107/100)</f>
        <v/>
      </c>
      <c r="V3107" s="16" t="str">
        <f aca="false">IF($D3107="","",Y3107*AB3107/100)</f>
        <v/>
      </c>
      <c r="W3107" s="16" t="str">
        <f aca="false">IF($D3107="","",Y3107-V3107)</f>
        <v/>
      </c>
      <c r="X3107" s="16" t="str">
        <f aca="false">IF($D3107="","",W3107-N3107)</f>
        <v/>
      </c>
      <c r="AB3107" s="17" t="str">
        <f aca="false">IF($D3107="","",IF(OR($R3107=TRUE(),$R3107="TRUE"),Settings!$C$6,Settings!$C$7)*100)</f>
        <v/>
      </c>
      <c r="AH3107" s="18" t="str">
        <f aca="false">IF($D3107="","",IF(COUNTIF($D$2:$D3107,$D3107)=1,1,0))</f>
        <v/>
      </c>
      <c r="AI3107" s="18" t="str">
        <f aca="false">IF($AH3107=1,SUMPRODUCT(--($AK$2:$AK$4001&lt;$AK3107))+1,"")</f>
        <v/>
      </c>
      <c r="AJ3107" s="18" t="str">
        <f aca="false">IF($D3107="","",IF(OR($R3107=TRUE(),$R3107="TRUE"),1,0))</f>
        <v/>
      </c>
      <c r="AK3107" s="18" t="str">
        <f aca="false">IF($AH3107=1,IFERROR(VALUE(MID($D3107,2,20)),1000000000)+ROW()/10000000,"")</f>
        <v/>
      </c>
    </row>
    <row r="3108" customFormat="false" ht="15" hidden="false" customHeight="false" outlineLevel="0" collapsed="false">
      <c r="F3108" s="15"/>
      <c r="N3108" s="16" t="str">
        <f aca="false">IF($D3108="","",M3108*Y3108/100)</f>
        <v/>
      </c>
      <c r="V3108" s="16" t="str">
        <f aca="false">IF($D3108="","",Y3108*AB3108/100)</f>
        <v/>
      </c>
      <c r="W3108" s="16" t="str">
        <f aca="false">IF($D3108="","",Y3108-V3108)</f>
        <v/>
      </c>
      <c r="X3108" s="16" t="str">
        <f aca="false">IF($D3108="","",W3108-N3108)</f>
        <v/>
      </c>
      <c r="AB3108" s="17" t="str">
        <f aca="false">IF($D3108="","",IF(OR($R3108=TRUE(),$R3108="TRUE"),Settings!$C$6,Settings!$C$7)*100)</f>
        <v/>
      </c>
      <c r="AH3108" s="18" t="str">
        <f aca="false">IF($D3108="","",IF(COUNTIF($D$2:$D3108,$D3108)=1,1,0))</f>
        <v/>
      </c>
      <c r="AI3108" s="18" t="str">
        <f aca="false">IF($AH3108=1,SUMPRODUCT(--($AK$2:$AK$4001&lt;$AK3108))+1,"")</f>
        <v/>
      </c>
      <c r="AJ3108" s="18" t="str">
        <f aca="false">IF($D3108="","",IF(OR($R3108=TRUE(),$R3108="TRUE"),1,0))</f>
        <v/>
      </c>
      <c r="AK3108" s="18" t="str">
        <f aca="false">IF($AH3108=1,IFERROR(VALUE(MID($D3108,2,20)),1000000000)+ROW()/10000000,"")</f>
        <v/>
      </c>
    </row>
    <row r="3109" customFormat="false" ht="15" hidden="false" customHeight="false" outlineLevel="0" collapsed="false">
      <c r="F3109" s="15"/>
      <c r="N3109" s="16" t="str">
        <f aca="false">IF($D3109="","",M3109*Y3109/100)</f>
        <v/>
      </c>
      <c r="V3109" s="16" t="str">
        <f aca="false">IF($D3109="","",Y3109*AB3109/100)</f>
        <v/>
      </c>
      <c r="W3109" s="16" t="str">
        <f aca="false">IF($D3109="","",Y3109-V3109)</f>
        <v/>
      </c>
      <c r="X3109" s="16" t="str">
        <f aca="false">IF($D3109="","",W3109-N3109)</f>
        <v/>
      </c>
      <c r="AB3109" s="17" t="str">
        <f aca="false">IF($D3109="","",IF(OR($R3109=TRUE(),$R3109="TRUE"),Settings!$C$6,Settings!$C$7)*100)</f>
        <v/>
      </c>
      <c r="AH3109" s="18" t="str">
        <f aca="false">IF($D3109="","",IF(COUNTIF($D$2:$D3109,$D3109)=1,1,0))</f>
        <v/>
      </c>
      <c r="AI3109" s="18" t="str">
        <f aca="false">IF($AH3109=1,SUMPRODUCT(--($AK$2:$AK$4001&lt;$AK3109))+1,"")</f>
        <v/>
      </c>
      <c r="AJ3109" s="18" t="str">
        <f aca="false">IF($D3109="","",IF(OR($R3109=TRUE(),$R3109="TRUE"),1,0))</f>
        <v/>
      </c>
      <c r="AK3109" s="18" t="str">
        <f aca="false">IF($AH3109=1,IFERROR(VALUE(MID($D3109,2,20)),1000000000)+ROW()/10000000,"")</f>
        <v/>
      </c>
    </row>
    <row r="3110" customFormat="false" ht="15" hidden="false" customHeight="false" outlineLevel="0" collapsed="false">
      <c r="F3110" s="15"/>
      <c r="N3110" s="16" t="str">
        <f aca="false">IF($D3110="","",M3110*Y3110/100)</f>
        <v/>
      </c>
      <c r="V3110" s="16" t="str">
        <f aca="false">IF($D3110="","",Y3110*AB3110/100)</f>
        <v/>
      </c>
      <c r="W3110" s="16" t="str">
        <f aca="false">IF($D3110="","",Y3110-V3110)</f>
        <v/>
      </c>
      <c r="X3110" s="16" t="str">
        <f aca="false">IF($D3110="","",W3110-N3110)</f>
        <v/>
      </c>
      <c r="AB3110" s="17" t="str">
        <f aca="false">IF($D3110="","",IF(OR($R3110=TRUE(),$R3110="TRUE"),Settings!$C$6,Settings!$C$7)*100)</f>
        <v/>
      </c>
      <c r="AH3110" s="18" t="str">
        <f aca="false">IF($D3110="","",IF(COUNTIF($D$2:$D3110,$D3110)=1,1,0))</f>
        <v/>
      </c>
      <c r="AI3110" s="18" t="str">
        <f aca="false">IF($AH3110=1,SUMPRODUCT(--($AK$2:$AK$4001&lt;$AK3110))+1,"")</f>
        <v/>
      </c>
      <c r="AJ3110" s="18" t="str">
        <f aca="false">IF($D3110="","",IF(OR($R3110=TRUE(),$R3110="TRUE"),1,0))</f>
        <v/>
      </c>
      <c r="AK3110" s="18" t="str">
        <f aca="false">IF($AH3110=1,IFERROR(VALUE(MID($D3110,2,20)),1000000000)+ROW()/10000000,"")</f>
        <v/>
      </c>
    </row>
    <row r="3111" customFormat="false" ht="15" hidden="false" customHeight="false" outlineLevel="0" collapsed="false">
      <c r="F3111" s="15"/>
      <c r="N3111" s="16" t="str">
        <f aca="false">IF($D3111="","",M3111*Y3111/100)</f>
        <v/>
      </c>
      <c r="V3111" s="16" t="str">
        <f aca="false">IF($D3111="","",Y3111*AB3111/100)</f>
        <v/>
      </c>
      <c r="W3111" s="16" t="str">
        <f aca="false">IF($D3111="","",Y3111-V3111)</f>
        <v/>
      </c>
      <c r="X3111" s="16" t="str">
        <f aca="false">IF($D3111="","",W3111-N3111)</f>
        <v/>
      </c>
      <c r="AB3111" s="17" t="str">
        <f aca="false">IF($D3111="","",IF(OR($R3111=TRUE(),$R3111="TRUE"),Settings!$C$6,Settings!$C$7)*100)</f>
        <v/>
      </c>
      <c r="AH3111" s="18" t="str">
        <f aca="false">IF($D3111="","",IF(COUNTIF($D$2:$D3111,$D3111)=1,1,0))</f>
        <v/>
      </c>
      <c r="AI3111" s="18" t="str">
        <f aca="false">IF($AH3111=1,SUMPRODUCT(--($AK$2:$AK$4001&lt;$AK3111))+1,"")</f>
        <v/>
      </c>
      <c r="AJ3111" s="18" t="str">
        <f aca="false">IF($D3111="","",IF(OR($R3111=TRUE(),$R3111="TRUE"),1,0))</f>
        <v/>
      </c>
      <c r="AK3111" s="18" t="str">
        <f aca="false">IF($AH3111=1,IFERROR(VALUE(MID($D3111,2,20)),1000000000)+ROW()/10000000,"")</f>
        <v/>
      </c>
    </row>
    <row r="3112" customFormat="false" ht="15" hidden="false" customHeight="false" outlineLevel="0" collapsed="false">
      <c r="F3112" s="15"/>
      <c r="N3112" s="16" t="str">
        <f aca="false">IF($D3112="","",M3112*Y3112/100)</f>
        <v/>
      </c>
      <c r="V3112" s="16" t="str">
        <f aca="false">IF($D3112="","",Y3112*AB3112/100)</f>
        <v/>
      </c>
      <c r="W3112" s="16" t="str">
        <f aca="false">IF($D3112="","",Y3112-V3112)</f>
        <v/>
      </c>
      <c r="X3112" s="16" t="str">
        <f aca="false">IF($D3112="","",W3112-N3112)</f>
        <v/>
      </c>
      <c r="AB3112" s="17" t="str">
        <f aca="false">IF($D3112="","",IF(OR($R3112=TRUE(),$R3112="TRUE"),Settings!$C$6,Settings!$C$7)*100)</f>
        <v/>
      </c>
      <c r="AH3112" s="18" t="str">
        <f aca="false">IF($D3112="","",IF(COUNTIF($D$2:$D3112,$D3112)=1,1,0))</f>
        <v/>
      </c>
      <c r="AI3112" s="18" t="str">
        <f aca="false">IF($AH3112=1,SUMPRODUCT(--($AK$2:$AK$4001&lt;$AK3112))+1,"")</f>
        <v/>
      </c>
      <c r="AJ3112" s="18" t="str">
        <f aca="false">IF($D3112="","",IF(OR($R3112=TRUE(),$R3112="TRUE"),1,0))</f>
        <v/>
      </c>
      <c r="AK3112" s="18" t="str">
        <f aca="false">IF($AH3112=1,IFERROR(VALUE(MID($D3112,2,20)),1000000000)+ROW()/10000000,"")</f>
        <v/>
      </c>
    </row>
    <row r="3113" customFormat="false" ht="15" hidden="false" customHeight="false" outlineLevel="0" collapsed="false">
      <c r="F3113" s="15"/>
      <c r="N3113" s="16" t="str">
        <f aca="false">IF($D3113="","",M3113*Y3113/100)</f>
        <v/>
      </c>
      <c r="V3113" s="16" t="str">
        <f aca="false">IF($D3113="","",Y3113*AB3113/100)</f>
        <v/>
      </c>
      <c r="W3113" s="16" t="str">
        <f aca="false">IF($D3113="","",Y3113-V3113)</f>
        <v/>
      </c>
      <c r="X3113" s="16" t="str">
        <f aca="false">IF($D3113="","",W3113-N3113)</f>
        <v/>
      </c>
      <c r="AB3113" s="17" t="str">
        <f aca="false">IF($D3113="","",IF(OR($R3113=TRUE(),$R3113="TRUE"),Settings!$C$6,Settings!$C$7)*100)</f>
        <v/>
      </c>
      <c r="AH3113" s="18" t="str">
        <f aca="false">IF($D3113="","",IF(COUNTIF($D$2:$D3113,$D3113)=1,1,0))</f>
        <v/>
      </c>
      <c r="AI3113" s="18" t="str">
        <f aca="false">IF($AH3113=1,SUMPRODUCT(--($AK$2:$AK$4001&lt;$AK3113))+1,"")</f>
        <v/>
      </c>
      <c r="AJ3113" s="18" t="str">
        <f aca="false">IF($D3113="","",IF(OR($R3113=TRUE(),$R3113="TRUE"),1,0))</f>
        <v/>
      </c>
      <c r="AK3113" s="18" t="str">
        <f aca="false">IF($AH3113=1,IFERROR(VALUE(MID($D3113,2,20)),1000000000)+ROW()/10000000,"")</f>
        <v/>
      </c>
    </row>
    <row r="3114" customFormat="false" ht="15" hidden="false" customHeight="false" outlineLevel="0" collapsed="false">
      <c r="F3114" s="15"/>
      <c r="N3114" s="16" t="str">
        <f aca="false">IF($D3114="","",M3114*Y3114/100)</f>
        <v/>
      </c>
      <c r="V3114" s="16" t="str">
        <f aca="false">IF($D3114="","",Y3114*AB3114/100)</f>
        <v/>
      </c>
      <c r="W3114" s="16" t="str">
        <f aca="false">IF($D3114="","",Y3114-V3114)</f>
        <v/>
      </c>
      <c r="X3114" s="16" t="str">
        <f aca="false">IF($D3114="","",W3114-N3114)</f>
        <v/>
      </c>
      <c r="AB3114" s="17" t="str">
        <f aca="false">IF($D3114="","",IF(OR($R3114=TRUE(),$R3114="TRUE"),Settings!$C$6,Settings!$C$7)*100)</f>
        <v/>
      </c>
      <c r="AH3114" s="18" t="str">
        <f aca="false">IF($D3114="","",IF(COUNTIF($D$2:$D3114,$D3114)=1,1,0))</f>
        <v/>
      </c>
      <c r="AI3114" s="18" t="str">
        <f aca="false">IF($AH3114=1,SUMPRODUCT(--($AK$2:$AK$4001&lt;$AK3114))+1,"")</f>
        <v/>
      </c>
      <c r="AJ3114" s="18" t="str">
        <f aca="false">IF($D3114="","",IF(OR($R3114=TRUE(),$R3114="TRUE"),1,0))</f>
        <v/>
      </c>
      <c r="AK3114" s="18" t="str">
        <f aca="false">IF($AH3114=1,IFERROR(VALUE(MID($D3114,2,20)),1000000000)+ROW()/10000000,"")</f>
        <v/>
      </c>
    </row>
    <row r="3115" customFormat="false" ht="15" hidden="false" customHeight="false" outlineLevel="0" collapsed="false">
      <c r="F3115" s="15"/>
      <c r="N3115" s="16" t="str">
        <f aca="false">IF($D3115="","",M3115*Y3115/100)</f>
        <v/>
      </c>
      <c r="V3115" s="16" t="str">
        <f aca="false">IF($D3115="","",Y3115*AB3115/100)</f>
        <v/>
      </c>
      <c r="W3115" s="16" t="str">
        <f aca="false">IF($D3115="","",Y3115-V3115)</f>
        <v/>
      </c>
      <c r="X3115" s="16" t="str">
        <f aca="false">IF($D3115="","",W3115-N3115)</f>
        <v/>
      </c>
      <c r="AB3115" s="17" t="str">
        <f aca="false">IF($D3115="","",IF(OR($R3115=TRUE(),$R3115="TRUE"),Settings!$C$6,Settings!$C$7)*100)</f>
        <v/>
      </c>
      <c r="AH3115" s="18" t="str">
        <f aca="false">IF($D3115="","",IF(COUNTIF($D$2:$D3115,$D3115)=1,1,0))</f>
        <v/>
      </c>
      <c r="AI3115" s="18" t="str">
        <f aca="false">IF($AH3115=1,SUMPRODUCT(--($AK$2:$AK$4001&lt;$AK3115))+1,"")</f>
        <v/>
      </c>
      <c r="AJ3115" s="18" t="str">
        <f aca="false">IF($D3115="","",IF(OR($R3115=TRUE(),$R3115="TRUE"),1,0))</f>
        <v/>
      </c>
      <c r="AK3115" s="18" t="str">
        <f aca="false">IF($AH3115=1,IFERROR(VALUE(MID($D3115,2,20)),1000000000)+ROW()/10000000,"")</f>
        <v/>
      </c>
    </row>
    <row r="3116" customFormat="false" ht="15" hidden="false" customHeight="false" outlineLevel="0" collapsed="false">
      <c r="F3116" s="15"/>
      <c r="N3116" s="16" t="str">
        <f aca="false">IF($D3116="","",M3116*Y3116/100)</f>
        <v/>
      </c>
      <c r="V3116" s="16" t="str">
        <f aca="false">IF($D3116="","",Y3116*AB3116/100)</f>
        <v/>
      </c>
      <c r="W3116" s="16" t="str">
        <f aca="false">IF($D3116="","",Y3116-V3116)</f>
        <v/>
      </c>
      <c r="X3116" s="16" t="str">
        <f aca="false">IF($D3116="","",W3116-N3116)</f>
        <v/>
      </c>
      <c r="AB3116" s="17" t="str">
        <f aca="false">IF($D3116="","",IF(OR($R3116=TRUE(),$R3116="TRUE"),Settings!$C$6,Settings!$C$7)*100)</f>
        <v/>
      </c>
      <c r="AH3116" s="18" t="str">
        <f aca="false">IF($D3116="","",IF(COUNTIF($D$2:$D3116,$D3116)=1,1,0))</f>
        <v/>
      </c>
      <c r="AI3116" s="18" t="str">
        <f aca="false">IF($AH3116=1,SUMPRODUCT(--($AK$2:$AK$4001&lt;$AK3116))+1,"")</f>
        <v/>
      </c>
      <c r="AJ3116" s="18" t="str">
        <f aca="false">IF($D3116="","",IF(OR($R3116=TRUE(),$R3116="TRUE"),1,0))</f>
        <v/>
      </c>
      <c r="AK3116" s="18" t="str">
        <f aca="false">IF($AH3116=1,IFERROR(VALUE(MID($D3116,2,20)),1000000000)+ROW()/10000000,"")</f>
        <v/>
      </c>
    </row>
    <row r="3117" customFormat="false" ht="15" hidden="false" customHeight="false" outlineLevel="0" collapsed="false">
      <c r="F3117" s="15"/>
      <c r="N3117" s="16" t="str">
        <f aca="false">IF($D3117="","",M3117*Y3117/100)</f>
        <v/>
      </c>
      <c r="V3117" s="16" t="str">
        <f aca="false">IF($D3117="","",Y3117*AB3117/100)</f>
        <v/>
      </c>
      <c r="W3117" s="16" t="str">
        <f aca="false">IF($D3117="","",Y3117-V3117)</f>
        <v/>
      </c>
      <c r="X3117" s="16" t="str">
        <f aca="false">IF($D3117="","",W3117-N3117)</f>
        <v/>
      </c>
      <c r="AB3117" s="17" t="str">
        <f aca="false">IF($D3117="","",IF(OR($R3117=TRUE(),$R3117="TRUE"),Settings!$C$6,Settings!$C$7)*100)</f>
        <v/>
      </c>
      <c r="AH3117" s="18" t="str">
        <f aca="false">IF($D3117="","",IF(COUNTIF($D$2:$D3117,$D3117)=1,1,0))</f>
        <v/>
      </c>
      <c r="AI3117" s="18" t="str">
        <f aca="false">IF($AH3117=1,SUMPRODUCT(--($AK$2:$AK$4001&lt;$AK3117))+1,"")</f>
        <v/>
      </c>
      <c r="AJ3117" s="18" t="str">
        <f aca="false">IF($D3117="","",IF(OR($R3117=TRUE(),$R3117="TRUE"),1,0))</f>
        <v/>
      </c>
      <c r="AK3117" s="18" t="str">
        <f aca="false">IF($AH3117=1,IFERROR(VALUE(MID($D3117,2,20)),1000000000)+ROW()/10000000,"")</f>
        <v/>
      </c>
    </row>
    <row r="3118" customFormat="false" ht="15" hidden="false" customHeight="false" outlineLevel="0" collapsed="false">
      <c r="F3118" s="15"/>
      <c r="N3118" s="16" t="str">
        <f aca="false">IF($D3118="","",M3118*Y3118/100)</f>
        <v/>
      </c>
      <c r="V3118" s="16" t="str">
        <f aca="false">IF($D3118="","",Y3118*AB3118/100)</f>
        <v/>
      </c>
      <c r="W3118" s="16" t="str">
        <f aca="false">IF($D3118="","",Y3118-V3118)</f>
        <v/>
      </c>
      <c r="X3118" s="16" t="str">
        <f aca="false">IF($D3118="","",W3118-N3118)</f>
        <v/>
      </c>
      <c r="AB3118" s="17" t="str">
        <f aca="false">IF($D3118="","",IF(OR($R3118=TRUE(),$R3118="TRUE"),Settings!$C$6,Settings!$C$7)*100)</f>
        <v/>
      </c>
      <c r="AH3118" s="18" t="str">
        <f aca="false">IF($D3118="","",IF(COUNTIF($D$2:$D3118,$D3118)=1,1,0))</f>
        <v/>
      </c>
      <c r="AI3118" s="18" t="str">
        <f aca="false">IF($AH3118=1,SUMPRODUCT(--($AK$2:$AK$4001&lt;$AK3118))+1,"")</f>
        <v/>
      </c>
      <c r="AJ3118" s="18" t="str">
        <f aca="false">IF($D3118="","",IF(OR($R3118=TRUE(),$R3118="TRUE"),1,0))</f>
        <v/>
      </c>
      <c r="AK3118" s="18" t="str">
        <f aca="false">IF($AH3118=1,IFERROR(VALUE(MID($D3118,2,20)),1000000000)+ROW()/10000000,"")</f>
        <v/>
      </c>
    </row>
    <row r="3119" customFormat="false" ht="15" hidden="false" customHeight="false" outlineLevel="0" collapsed="false">
      <c r="F3119" s="15"/>
      <c r="N3119" s="16" t="str">
        <f aca="false">IF($D3119="","",M3119*Y3119/100)</f>
        <v/>
      </c>
      <c r="V3119" s="16" t="str">
        <f aca="false">IF($D3119="","",Y3119*AB3119/100)</f>
        <v/>
      </c>
      <c r="W3119" s="16" t="str">
        <f aca="false">IF($D3119="","",Y3119-V3119)</f>
        <v/>
      </c>
      <c r="X3119" s="16" t="str">
        <f aca="false">IF($D3119="","",W3119-N3119)</f>
        <v/>
      </c>
      <c r="AB3119" s="17" t="str">
        <f aca="false">IF($D3119="","",IF(OR($R3119=TRUE(),$R3119="TRUE"),Settings!$C$6,Settings!$C$7)*100)</f>
        <v/>
      </c>
      <c r="AH3119" s="18" t="str">
        <f aca="false">IF($D3119="","",IF(COUNTIF($D$2:$D3119,$D3119)=1,1,0))</f>
        <v/>
      </c>
      <c r="AI3119" s="18" t="str">
        <f aca="false">IF($AH3119=1,SUMPRODUCT(--($AK$2:$AK$4001&lt;$AK3119))+1,"")</f>
        <v/>
      </c>
      <c r="AJ3119" s="18" t="str">
        <f aca="false">IF($D3119="","",IF(OR($R3119=TRUE(),$R3119="TRUE"),1,0))</f>
        <v/>
      </c>
      <c r="AK3119" s="18" t="str">
        <f aca="false">IF($AH3119=1,IFERROR(VALUE(MID($D3119,2,20)),1000000000)+ROW()/10000000,"")</f>
        <v/>
      </c>
    </row>
    <row r="3120" customFormat="false" ht="15" hidden="false" customHeight="false" outlineLevel="0" collapsed="false">
      <c r="F3120" s="15"/>
      <c r="N3120" s="16" t="str">
        <f aca="false">IF($D3120="","",M3120*Y3120/100)</f>
        <v/>
      </c>
      <c r="V3120" s="16" t="str">
        <f aca="false">IF($D3120="","",Y3120*AB3120/100)</f>
        <v/>
      </c>
      <c r="W3120" s="16" t="str">
        <f aca="false">IF($D3120="","",Y3120-V3120)</f>
        <v/>
      </c>
      <c r="X3120" s="16" t="str">
        <f aca="false">IF($D3120="","",W3120-N3120)</f>
        <v/>
      </c>
      <c r="AB3120" s="17" t="str">
        <f aca="false">IF($D3120="","",IF(OR($R3120=TRUE(),$R3120="TRUE"),Settings!$C$6,Settings!$C$7)*100)</f>
        <v/>
      </c>
      <c r="AH3120" s="18" t="str">
        <f aca="false">IF($D3120="","",IF(COUNTIF($D$2:$D3120,$D3120)=1,1,0))</f>
        <v/>
      </c>
      <c r="AI3120" s="18" t="str">
        <f aca="false">IF($AH3120=1,SUMPRODUCT(--($AK$2:$AK$4001&lt;$AK3120))+1,"")</f>
        <v/>
      </c>
      <c r="AJ3120" s="18" t="str">
        <f aca="false">IF($D3120="","",IF(OR($R3120=TRUE(),$R3120="TRUE"),1,0))</f>
        <v/>
      </c>
      <c r="AK3120" s="18" t="str">
        <f aca="false">IF($AH3120=1,IFERROR(VALUE(MID($D3120,2,20)),1000000000)+ROW()/10000000,"")</f>
        <v/>
      </c>
    </row>
    <row r="3121" customFormat="false" ht="15" hidden="false" customHeight="false" outlineLevel="0" collapsed="false">
      <c r="F3121" s="15"/>
      <c r="N3121" s="16" t="str">
        <f aca="false">IF($D3121="","",M3121*Y3121/100)</f>
        <v/>
      </c>
      <c r="V3121" s="16" t="str">
        <f aca="false">IF($D3121="","",Y3121*AB3121/100)</f>
        <v/>
      </c>
      <c r="W3121" s="16" t="str">
        <f aca="false">IF($D3121="","",Y3121-V3121)</f>
        <v/>
      </c>
      <c r="X3121" s="16" t="str">
        <f aca="false">IF($D3121="","",W3121-N3121)</f>
        <v/>
      </c>
      <c r="AB3121" s="17" t="str">
        <f aca="false">IF($D3121="","",IF(OR($R3121=TRUE(),$R3121="TRUE"),Settings!$C$6,Settings!$C$7)*100)</f>
        <v/>
      </c>
      <c r="AH3121" s="18" t="str">
        <f aca="false">IF($D3121="","",IF(COUNTIF($D$2:$D3121,$D3121)=1,1,0))</f>
        <v/>
      </c>
      <c r="AI3121" s="18" t="str">
        <f aca="false">IF($AH3121=1,SUMPRODUCT(--($AK$2:$AK$4001&lt;$AK3121))+1,"")</f>
        <v/>
      </c>
      <c r="AJ3121" s="18" t="str">
        <f aca="false">IF($D3121="","",IF(OR($R3121=TRUE(),$R3121="TRUE"),1,0))</f>
        <v/>
      </c>
      <c r="AK3121" s="18" t="str">
        <f aca="false">IF($AH3121=1,IFERROR(VALUE(MID($D3121,2,20)),1000000000)+ROW()/10000000,"")</f>
        <v/>
      </c>
    </row>
    <row r="3122" customFormat="false" ht="15" hidden="false" customHeight="false" outlineLevel="0" collapsed="false">
      <c r="F3122" s="15"/>
      <c r="N3122" s="16" t="str">
        <f aca="false">IF($D3122="","",M3122*Y3122/100)</f>
        <v/>
      </c>
      <c r="V3122" s="16" t="str">
        <f aca="false">IF($D3122="","",Y3122*AB3122/100)</f>
        <v/>
      </c>
      <c r="W3122" s="16" t="str">
        <f aca="false">IF($D3122="","",Y3122-V3122)</f>
        <v/>
      </c>
      <c r="X3122" s="16" t="str">
        <f aca="false">IF($D3122="","",W3122-N3122)</f>
        <v/>
      </c>
      <c r="AB3122" s="17" t="str">
        <f aca="false">IF($D3122="","",IF(OR($R3122=TRUE(),$R3122="TRUE"),Settings!$C$6,Settings!$C$7)*100)</f>
        <v/>
      </c>
      <c r="AH3122" s="18" t="str">
        <f aca="false">IF($D3122="","",IF(COUNTIF($D$2:$D3122,$D3122)=1,1,0))</f>
        <v/>
      </c>
      <c r="AI3122" s="18" t="str">
        <f aca="false">IF($AH3122=1,SUMPRODUCT(--($AK$2:$AK$4001&lt;$AK3122))+1,"")</f>
        <v/>
      </c>
      <c r="AJ3122" s="18" t="str">
        <f aca="false">IF($D3122="","",IF(OR($R3122=TRUE(),$R3122="TRUE"),1,0))</f>
        <v/>
      </c>
      <c r="AK3122" s="18" t="str">
        <f aca="false">IF($AH3122=1,IFERROR(VALUE(MID($D3122,2,20)),1000000000)+ROW()/10000000,"")</f>
        <v/>
      </c>
    </row>
    <row r="3123" customFormat="false" ht="15" hidden="false" customHeight="false" outlineLevel="0" collapsed="false">
      <c r="F3123" s="15"/>
      <c r="N3123" s="16" t="str">
        <f aca="false">IF($D3123="","",M3123*Y3123/100)</f>
        <v/>
      </c>
      <c r="V3123" s="16" t="str">
        <f aca="false">IF($D3123="","",Y3123*AB3123/100)</f>
        <v/>
      </c>
      <c r="W3123" s="16" t="str">
        <f aca="false">IF($D3123="","",Y3123-V3123)</f>
        <v/>
      </c>
      <c r="X3123" s="16" t="str">
        <f aca="false">IF($D3123="","",W3123-N3123)</f>
        <v/>
      </c>
      <c r="AB3123" s="17" t="str">
        <f aca="false">IF($D3123="","",IF(OR($R3123=TRUE(),$R3123="TRUE"),Settings!$C$6,Settings!$C$7)*100)</f>
        <v/>
      </c>
      <c r="AH3123" s="18" t="str">
        <f aca="false">IF($D3123="","",IF(COUNTIF($D$2:$D3123,$D3123)=1,1,0))</f>
        <v/>
      </c>
      <c r="AI3123" s="18" t="str">
        <f aca="false">IF($AH3123=1,SUMPRODUCT(--($AK$2:$AK$4001&lt;$AK3123))+1,"")</f>
        <v/>
      </c>
      <c r="AJ3123" s="18" t="str">
        <f aca="false">IF($D3123="","",IF(OR($R3123=TRUE(),$R3123="TRUE"),1,0))</f>
        <v/>
      </c>
      <c r="AK3123" s="18" t="str">
        <f aca="false">IF($AH3123=1,IFERROR(VALUE(MID($D3123,2,20)),1000000000)+ROW()/10000000,"")</f>
        <v/>
      </c>
    </row>
    <row r="3124" customFormat="false" ht="15" hidden="false" customHeight="false" outlineLevel="0" collapsed="false">
      <c r="F3124" s="15"/>
      <c r="N3124" s="16" t="str">
        <f aca="false">IF($D3124="","",M3124*Y3124/100)</f>
        <v/>
      </c>
      <c r="V3124" s="16" t="str">
        <f aca="false">IF($D3124="","",Y3124*AB3124/100)</f>
        <v/>
      </c>
      <c r="W3124" s="16" t="str">
        <f aca="false">IF($D3124="","",Y3124-V3124)</f>
        <v/>
      </c>
      <c r="X3124" s="16" t="str">
        <f aca="false">IF($D3124="","",W3124-N3124)</f>
        <v/>
      </c>
      <c r="AB3124" s="17" t="str">
        <f aca="false">IF($D3124="","",IF(OR($R3124=TRUE(),$R3124="TRUE"),Settings!$C$6,Settings!$C$7)*100)</f>
        <v/>
      </c>
      <c r="AH3124" s="18" t="str">
        <f aca="false">IF($D3124="","",IF(COUNTIF($D$2:$D3124,$D3124)=1,1,0))</f>
        <v/>
      </c>
      <c r="AI3124" s="18" t="str">
        <f aca="false">IF($AH3124=1,SUMPRODUCT(--($AK$2:$AK$4001&lt;$AK3124))+1,"")</f>
        <v/>
      </c>
      <c r="AJ3124" s="18" t="str">
        <f aca="false">IF($D3124="","",IF(OR($R3124=TRUE(),$R3124="TRUE"),1,0))</f>
        <v/>
      </c>
      <c r="AK3124" s="18" t="str">
        <f aca="false">IF($AH3124=1,IFERROR(VALUE(MID($D3124,2,20)),1000000000)+ROW()/10000000,"")</f>
        <v/>
      </c>
    </row>
    <row r="3125" customFormat="false" ht="15" hidden="false" customHeight="false" outlineLevel="0" collapsed="false">
      <c r="F3125" s="15"/>
      <c r="N3125" s="16" t="str">
        <f aca="false">IF($D3125="","",M3125*Y3125/100)</f>
        <v/>
      </c>
      <c r="V3125" s="16" t="str">
        <f aca="false">IF($D3125="","",Y3125*AB3125/100)</f>
        <v/>
      </c>
      <c r="W3125" s="16" t="str">
        <f aca="false">IF($D3125="","",Y3125-V3125)</f>
        <v/>
      </c>
      <c r="X3125" s="16" t="str">
        <f aca="false">IF($D3125="","",W3125-N3125)</f>
        <v/>
      </c>
      <c r="AB3125" s="17" t="str">
        <f aca="false">IF($D3125="","",IF(OR($R3125=TRUE(),$R3125="TRUE"),Settings!$C$6,Settings!$C$7)*100)</f>
        <v/>
      </c>
      <c r="AH3125" s="18" t="str">
        <f aca="false">IF($D3125="","",IF(COUNTIF($D$2:$D3125,$D3125)=1,1,0))</f>
        <v/>
      </c>
      <c r="AI3125" s="18" t="str">
        <f aca="false">IF($AH3125=1,SUMPRODUCT(--($AK$2:$AK$4001&lt;$AK3125))+1,"")</f>
        <v/>
      </c>
      <c r="AJ3125" s="18" t="str">
        <f aca="false">IF($D3125="","",IF(OR($R3125=TRUE(),$R3125="TRUE"),1,0))</f>
        <v/>
      </c>
      <c r="AK3125" s="18" t="str">
        <f aca="false">IF($AH3125=1,IFERROR(VALUE(MID($D3125,2,20)),1000000000)+ROW()/10000000,"")</f>
        <v/>
      </c>
    </row>
    <row r="3126" customFormat="false" ht="15" hidden="false" customHeight="false" outlineLevel="0" collapsed="false">
      <c r="F3126" s="15"/>
      <c r="N3126" s="16" t="str">
        <f aca="false">IF($D3126="","",M3126*Y3126/100)</f>
        <v/>
      </c>
      <c r="V3126" s="16" t="str">
        <f aca="false">IF($D3126="","",Y3126*AB3126/100)</f>
        <v/>
      </c>
      <c r="W3126" s="16" t="str">
        <f aca="false">IF($D3126="","",Y3126-V3126)</f>
        <v/>
      </c>
      <c r="X3126" s="16" t="str">
        <f aca="false">IF($D3126="","",W3126-N3126)</f>
        <v/>
      </c>
      <c r="AB3126" s="17" t="str">
        <f aca="false">IF($D3126="","",IF(OR($R3126=TRUE(),$R3126="TRUE"),Settings!$C$6,Settings!$C$7)*100)</f>
        <v/>
      </c>
      <c r="AH3126" s="18" t="str">
        <f aca="false">IF($D3126="","",IF(COUNTIF($D$2:$D3126,$D3126)=1,1,0))</f>
        <v/>
      </c>
      <c r="AI3126" s="18" t="str">
        <f aca="false">IF($AH3126=1,SUMPRODUCT(--($AK$2:$AK$4001&lt;$AK3126))+1,"")</f>
        <v/>
      </c>
      <c r="AJ3126" s="18" t="str">
        <f aca="false">IF($D3126="","",IF(OR($R3126=TRUE(),$R3126="TRUE"),1,0))</f>
        <v/>
      </c>
      <c r="AK3126" s="18" t="str">
        <f aca="false">IF($AH3126=1,IFERROR(VALUE(MID($D3126,2,20)),1000000000)+ROW()/10000000,"")</f>
        <v/>
      </c>
    </row>
    <row r="3127" customFormat="false" ht="15" hidden="false" customHeight="false" outlineLevel="0" collapsed="false">
      <c r="F3127" s="15"/>
      <c r="N3127" s="16" t="str">
        <f aca="false">IF($D3127="","",M3127*Y3127/100)</f>
        <v/>
      </c>
      <c r="V3127" s="16" t="str">
        <f aca="false">IF($D3127="","",Y3127*AB3127/100)</f>
        <v/>
      </c>
      <c r="W3127" s="16" t="str">
        <f aca="false">IF($D3127="","",Y3127-V3127)</f>
        <v/>
      </c>
      <c r="X3127" s="16" t="str">
        <f aca="false">IF($D3127="","",W3127-N3127)</f>
        <v/>
      </c>
      <c r="AB3127" s="17" t="str">
        <f aca="false">IF($D3127="","",IF(OR($R3127=TRUE(),$R3127="TRUE"),Settings!$C$6,Settings!$C$7)*100)</f>
        <v/>
      </c>
      <c r="AH3127" s="18" t="str">
        <f aca="false">IF($D3127="","",IF(COUNTIF($D$2:$D3127,$D3127)=1,1,0))</f>
        <v/>
      </c>
      <c r="AI3127" s="18" t="str">
        <f aca="false">IF($AH3127=1,SUMPRODUCT(--($AK$2:$AK$4001&lt;$AK3127))+1,"")</f>
        <v/>
      </c>
      <c r="AJ3127" s="18" t="str">
        <f aca="false">IF($D3127="","",IF(OR($R3127=TRUE(),$R3127="TRUE"),1,0))</f>
        <v/>
      </c>
      <c r="AK3127" s="18" t="str">
        <f aca="false">IF($AH3127=1,IFERROR(VALUE(MID($D3127,2,20)),1000000000)+ROW()/10000000,"")</f>
        <v/>
      </c>
    </row>
    <row r="3128" customFormat="false" ht="15" hidden="false" customHeight="false" outlineLevel="0" collapsed="false">
      <c r="F3128" s="15"/>
      <c r="N3128" s="16" t="str">
        <f aca="false">IF($D3128="","",M3128*Y3128/100)</f>
        <v/>
      </c>
      <c r="V3128" s="16" t="str">
        <f aca="false">IF($D3128="","",Y3128*AB3128/100)</f>
        <v/>
      </c>
      <c r="W3128" s="16" t="str">
        <f aca="false">IF($D3128="","",Y3128-V3128)</f>
        <v/>
      </c>
      <c r="X3128" s="16" t="str">
        <f aca="false">IF($D3128="","",W3128-N3128)</f>
        <v/>
      </c>
      <c r="AB3128" s="17" t="str">
        <f aca="false">IF($D3128="","",IF(OR($R3128=TRUE(),$R3128="TRUE"),Settings!$C$6,Settings!$C$7)*100)</f>
        <v/>
      </c>
      <c r="AH3128" s="18" t="str">
        <f aca="false">IF($D3128="","",IF(COUNTIF($D$2:$D3128,$D3128)=1,1,0))</f>
        <v/>
      </c>
      <c r="AI3128" s="18" t="str">
        <f aca="false">IF($AH3128=1,SUMPRODUCT(--($AK$2:$AK$4001&lt;$AK3128))+1,"")</f>
        <v/>
      </c>
      <c r="AJ3128" s="18" t="str">
        <f aca="false">IF($D3128="","",IF(OR($R3128=TRUE(),$R3128="TRUE"),1,0))</f>
        <v/>
      </c>
      <c r="AK3128" s="18" t="str">
        <f aca="false">IF($AH3128=1,IFERROR(VALUE(MID($D3128,2,20)),1000000000)+ROW()/10000000,"")</f>
        <v/>
      </c>
    </row>
    <row r="3129" customFormat="false" ht="15" hidden="false" customHeight="false" outlineLevel="0" collapsed="false">
      <c r="F3129" s="15"/>
      <c r="N3129" s="16" t="str">
        <f aca="false">IF($D3129="","",M3129*Y3129/100)</f>
        <v/>
      </c>
      <c r="V3129" s="16" t="str">
        <f aca="false">IF($D3129="","",Y3129*AB3129/100)</f>
        <v/>
      </c>
      <c r="W3129" s="16" t="str">
        <f aca="false">IF($D3129="","",Y3129-V3129)</f>
        <v/>
      </c>
      <c r="X3129" s="16" t="str">
        <f aca="false">IF($D3129="","",W3129-N3129)</f>
        <v/>
      </c>
      <c r="AB3129" s="17" t="str">
        <f aca="false">IF($D3129="","",IF(OR($R3129=TRUE(),$R3129="TRUE"),Settings!$C$6,Settings!$C$7)*100)</f>
        <v/>
      </c>
      <c r="AH3129" s="18" t="str">
        <f aca="false">IF($D3129="","",IF(COUNTIF($D$2:$D3129,$D3129)=1,1,0))</f>
        <v/>
      </c>
      <c r="AI3129" s="18" t="str">
        <f aca="false">IF($AH3129=1,SUMPRODUCT(--($AK$2:$AK$4001&lt;$AK3129))+1,"")</f>
        <v/>
      </c>
      <c r="AJ3129" s="18" t="str">
        <f aca="false">IF($D3129="","",IF(OR($R3129=TRUE(),$R3129="TRUE"),1,0))</f>
        <v/>
      </c>
      <c r="AK3129" s="18" t="str">
        <f aca="false">IF($AH3129=1,IFERROR(VALUE(MID($D3129,2,20)),1000000000)+ROW()/10000000,"")</f>
        <v/>
      </c>
    </row>
    <row r="3130" customFormat="false" ht="15" hidden="false" customHeight="false" outlineLevel="0" collapsed="false">
      <c r="F3130" s="15"/>
      <c r="N3130" s="16" t="str">
        <f aca="false">IF($D3130="","",M3130*Y3130/100)</f>
        <v/>
      </c>
      <c r="V3130" s="16" t="str">
        <f aca="false">IF($D3130="","",Y3130*AB3130/100)</f>
        <v/>
      </c>
      <c r="W3130" s="16" t="str">
        <f aca="false">IF($D3130="","",Y3130-V3130)</f>
        <v/>
      </c>
      <c r="X3130" s="16" t="str">
        <f aca="false">IF($D3130="","",W3130-N3130)</f>
        <v/>
      </c>
      <c r="AB3130" s="17" t="str">
        <f aca="false">IF($D3130="","",IF(OR($R3130=TRUE(),$R3130="TRUE"),Settings!$C$6,Settings!$C$7)*100)</f>
        <v/>
      </c>
      <c r="AH3130" s="18" t="str">
        <f aca="false">IF($D3130="","",IF(COUNTIF($D$2:$D3130,$D3130)=1,1,0))</f>
        <v/>
      </c>
      <c r="AI3130" s="18" t="str">
        <f aca="false">IF($AH3130=1,SUMPRODUCT(--($AK$2:$AK$4001&lt;$AK3130))+1,"")</f>
        <v/>
      </c>
      <c r="AJ3130" s="18" t="str">
        <f aca="false">IF($D3130="","",IF(OR($R3130=TRUE(),$R3130="TRUE"),1,0))</f>
        <v/>
      </c>
      <c r="AK3130" s="18" t="str">
        <f aca="false">IF($AH3130=1,IFERROR(VALUE(MID($D3130,2,20)),1000000000)+ROW()/10000000,"")</f>
        <v/>
      </c>
    </row>
    <row r="3131" customFormat="false" ht="15" hidden="false" customHeight="false" outlineLevel="0" collapsed="false">
      <c r="F3131" s="15"/>
      <c r="N3131" s="16" t="str">
        <f aca="false">IF($D3131="","",M3131*Y3131/100)</f>
        <v/>
      </c>
      <c r="V3131" s="16" t="str">
        <f aca="false">IF($D3131="","",Y3131*AB3131/100)</f>
        <v/>
      </c>
      <c r="W3131" s="16" t="str">
        <f aca="false">IF($D3131="","",Y3131-V3131)</f>
        <v/>
      </c>
      <c r="X3131" s="16" t="str">
        <f aca="false">IF($D3131="","",W3131-N3131)</f>
        <v/>
      </c>
      <c r="AB3131" s="17" t="str">
        <f aca="false">IF($D3131="","",IF(OR($R3131=TRUE(),$R3131="TRUE"),Settings!$C$6,Settings!$C$7)*100)</f>
        <v/>
      </c>
      <c r="AH3131" s="18" t="str">
        <f aca="false">IF($D3131="","",IF(COUNTIF($D$2:$D3131,$D3131)=1,1,0))</f>
        <v/>
      </c>
      <c r="AI3131" s="18" t="str">
        <f aca="false">IF($AH3131=1,SUMPRODUCT(--($AK$2:$AK$4001&lt;$AK3131))+1,"")</f>
        <v/>
      </c>
      <c r="AJ3131" s="18" t="str">
        <f aca="false">IF($D3131="","",IF(OR($R3131=TRUE(),$R3131="TRUE"),1,0))</f>
        <v/>
      </c>
      <c r="AK3131" s="18" t="str">
        <f aca="false">IF($AH3131=1,IFERROR(VALUE(MID($D3131,2,20)),1000000000)+ROW()/10000000,"")</f>
        <v/>
      </c>
    </row>
    <row r="3132" customFormat="false" ht="15" hidden="false" customHeight="false" outlineLevel="0" collapsed="false">
      <c r="F3132" s="15"/>
      <c r="N3132" s="16" t="str">
        <f aca="false">IF($D3132="","",M3132*Y3132/100)</f>
        <v/>
      </c>
      <c r="V3132" s="16" t="str">
        <f aca="false">IF($D3132="","",Y3132*AB3132/100)</f>
        <v/>
      </c>
      <c r="W3132" s="16" t="str">
        <f aca="false">IF($D3132="","",Y3132-V3132)</f>
        <v/>
      </c>
      <c r="X3132" s="16" t="str">
        <f aca="false">IF($D3132="","",W3132-N3132)</f>
        <v/>
      </c>
      <c r="AB3132" s="17" t="str">
        <f aca="false">IF($D3132="","",IF(OR($R3132=TRUE(),$R3132="TRUE"),Settings!$C$6,Settings!$C$7)*100)</f>
        <v/>
      </c>
      <c r="AH3132" s="18" t="str">
        <f aca="false">IF($D3132="","",IF(COUNTIF($D$2:$D3132,$D3132)=1,1,0))</f>
        <v/>
      </c>
      <c r="AI3132" s="18" t="str">
        <f aca="false">IF($AH3132=1,SUMPRODUCT(--($AK$2:$AK$4001&lt;$AK3132))+1,"")</f>
        <v/>
      </c>
      <c r="AJ3132" s="18" t="str">
        <f aca="false">IF($D3132="","",IF(OR($R3132=TRUE(),$R3132="TRUE"),1,0))</f>
        <v/>
      </c>
      <c r="AK3132" s="18" t="str">
        <f aca="false">IF($AH3132=1,IFERROR(VALUE(MID($D3132,2,20)),1000000000)+ROW()/10000000,"")</f>
        <v/>
      </c>
    </row>
    <row r="3133" customFormat="false" ht="15" hidden="false" customHeight="false" outlineLevel="0" collapsed="false">
      <c r="F3133" s="15"/>
      <c r="N3133" s="16" t="str">
        <f aca="false">IF($D3133="","",M3133*Y3133/100)</f>
        <v/>
      </c>
      <c r="V3133" s="16" t="str">
        <f aca="false">IF($D3133="","",Y3133*AB3133/100)</f>
        <v/>
      </c>
      <c r="W3133" s="16" t="str">
        <f aca="false">IF($D3133="","",Y3133-V3133)</f>
        <v/>
      </c>
      <c r="X3133" s="16" t="str">
        <f aca="false">IF($D3133="","",W3133-N3133)</f>
        <v/>
      </c>
      <c r="AB3133" s="17" t="str">
        <f aca="false">IF($D3133="","",IF(OR($R3133=TRUE(),$R3133="TRUE"),Settings!$C$6,Settings!$C$7)*100)</f>
        <v/>
      </c>
      <c r="AH3133" s="18" t="str">
        <f aca="false">IF($D3133="","",IF(COUNTIF($D$2:$D3133,$D3133)=1,1,0))</f>
        <v/>
      </c>
      <c r="AI3133" s="18" t="str">
        <f aca="false">IF($AH3133=1,SUMPRODUCT(--($AK$2:$AK$4001&lt;$AK3133))+1,"")</f>
        <v/>
      </c>
      <c r="AJ3133" s="18" t="str">
        <f aca="false">IF($D3133="","",IF(OR($R3133=TRUE(),$R3133="TRUE"),1,0))</f>
        <v/>
      </c>
      <c r="AK3133" s="18" t="str">
        <f aca="false">IF($AH3133=1,IFERROR(VALUE(MID($D3133,2,20)),1000000000)+ROW()/10000000,"")</f>
        <v/>
      </c>
    </row>
    <row r="3134" customFormat="false" ht="15" hidden="false" customHeight="false" outlineLevel="0" collapsed="false">
      <c r="F3134" s="15"/>
      <c r="N3134" s="16" t="str">
        <f aca="false">IF($D3134="","",M3134*Y3134/100)</f>
        <v/>
      </c>
      <c r="V3134" s="16" t="str">
        <f aca="false">IF($D3134="","",Y3134*AB3134/100)</f>
        <v/>
      </c>
      <c r="W3134" s="16" t="str">
        <f aca="false">IF($D3134="","",Y3134-V3134)</f>
        <v/>
      </c>
      <c r="X3134" s="16" t="str">
        <f aca="false">IF($D3134="","",W3134-N3134)</f>
        <v/>
      </c>
      <c r="AB3134" s="17" t="str">
        <f aca="false">IF($D3134="","",IF(OR($R3134=TRUE(),$R3134="TRUE"),Settings!$C$6,Settings!$C$7)*100)</f>
        <v/>
      </c>
      <c r="AH3134" s="18" t="str">
        <f aca="false">IF($D3134="","",IF(COUNTIF($D$2:$D3134,$D3134)=1,1,0))</f>
        <v/>
      </c>
      <c r="AI3134" s="18" t="str">
        <f aca="false">IF($AH3134=1,SUMPRODUCT(--($AK$2:$AK$4001&lt;$AK3134))+1,"")</f>
        <v/>
      </c>
      <c r="AJ3134" s="18" t="str">
        <f aca="false">IF($D3134="","",IF(OR($R3134=TRUE(),$R3134="TRUE"),1,0))</f>
        <v/>
      </c>
      <c r="AK3134" s="18" t="str">
        <f aca="false">IF($AH3134=1,IFERROR(VALUE(MID($D3134,2,20)),1000000000)+ROW()/10000000,"")</f>
        <v/>
      </c>
    </row>
    <row r="3135" customFormat="false" ht="15" hidden="false" customHeight="false" outlineLevel="0" collapsed="false">
      <c r="F3135" s="15"/>
      <c r="N3135" s="16" t="str">
        <f aca="false">IF($D3135="","",M3135*Y3135/100)</f>
        <v/>
      </c>
      <c r="V3135" s="16" t="str">
        <f aca="false">IF($D3135="","",Y3135*AB3135/100)</f>
        <v/>
      </c>
      <c r="W3135" s="16" t="str">
        <f aca="false">IF($D3135="","",Y3135-V3135)</f>
        <v/>
      </c>
      <c r="X3135" s="16" t="str">
        <f aca="false">IF($D3135="","",W3135-N3135)</f>
        <v/>
      </c>
      <c r="AB3135" s="17" t="str">
        <f aca="false">IF($D3135="","",IF(OR($R3135=TRUE(),$R3135="TRUE"),Settings!$C$6,Settings!$C$7)*100)</f>
        <v/>
      </c>
      <c r="AH3135" s="18" t="str">
        <f aca="false">IF($D3135="","",IF(COUNTIF($D$2:$D3135,$D3135)=1,1,0))</f>
        <v/>
      </c>
      <c r="AI3135" s="18" t="str">
        <f aca="false">IF($AH3135=1,SUMPRODUCT(--($AK$2:$AK$4001&lt;$AK3135))+1,"")</f>
        <v/>
      </c>
      <c r="AJ3135" s="18" t="str">
        <f aca="false">IF($D3135="","",IF(OR($R3135=TRUE(),$R3135="TRUE"),1,0))</f>
        <v/>
      </c>
      <c r="AK3135" s="18" t="str">
        <f aca="false">IF($AH3135=1,IFERROR(VALUE(MID($D3135,2,20)),1000000000)+ROW()/10000000,"")</f>
        <v/>
      </c>
    </row>
    <row r="3136" customFormat="false" ht="15" hidden="false" customHeight="false" outlineLevel="0" collapsed="false">
      <c r="F3136" s="15"/>
      <c r="N3136" s="16" t="str">
        <f aca="false">IF($D3136="","",M3136*Y3136/100)</f>
        <v/>
      </c>
      <c r="V3136" s="16" t="str">
        <f aca="false">IF($D3136="","",Y3136*AB3136/100)</f>
        <v/>
      </c>
      <c r="W3136" s="16" t="str">
        <f aca="false">IF($D3136="","",Y3136-V3136)</f>
        <v/>
      </c>
      <c r="X3136" s="16" t="str">
        <f aca="false">IF($D3136="","",W3136-N3136)</f>
        <v/>
      </c>
      <c r="AB3136" s="17" t="str">
        <f aca="false">IF($D3136="","",IF(OR($R3136=TRUE(),$R3136="TRUE"),Settings!$C$6,Settings!$C$7)*100)</f>
        <v/>
      </c>
      <c r="AH3136" s="18" t="str">
        <f aca="false">IF($D3136="","",IF(COUNTIF($D$2:$D3136,$D3136)=1,1,0))</f>
        <v/>
      </c>
      <c r="AI3136" s="18" t="str">
        <f aca="false">IF($AH3136=1,SUMPRODUCT(--($AK$2:$AK$4001&lt;$AK3136))+1,"")</f>
        <v/>
      </c>
      <c r="AJ3136" s="18" t="str">
        <f aca="false">IF($D3136="","",IF(OR($R3136=TRUE(),$R3136="TRUE"),1,0))</f>
        <v/>
      </c>
      <c r="AK3136" s="18" t="str">
        <f aca="false">IF($AH3136=1,IFERROR(VALUE(MID($D3136,2,20)),1000000000)+ROW()/10000000,"")</f>
        <v/>
      </c>
    </row>
    <row r="3137" customFormat="false" ht="15" hidden="false" customHeight="false" outlineLevel="0" collapsed="false">
      <c r="F3137" s="15"/>
      <c r="N3137" s="16" t="str">
        <f aca="false">IF($D3137="","",M3137*Y3137/100)</f>
        <v/>
      </c>
      <c r="V3137" s="16" t="str">
        <f aca="false">IF($D3137="","",Y3137*AB3137/100)</f>
        <v/>
      </c>
      <c r="W3137" s="16" t="str">
        <f aca="false">IF($D3137="","",Y3137-V3137)</f>
        <v/>
      </c>
      <c r="X3137" s="16" t="str">
        <f aca="false">IF($D3137="","",W3137-N3137)</f>
        <v/>
      </c>
      <c r="AB3137" s="17" t="str">
        <f aca="false">IF($D3137="","",IF(OR($R3137=TRUE(),$R3137="TRUE"),Settings!$C$6,Settings!$C$7)*100)</f>
        <v/>
      </c>
      <c r="AH3137" s="18" t="str">
        <f aca="false">IF($D3137="","",IF(COUNTIF($D$2:$D3137,$D3137)=1,1,0))</f>
        <v/>
      </c>
      <c r="AI3137" s="18" t="str">
        <f aca="false">IF($AH3137=1,SUMPRODUCT(--($AK$2:$AK$4001&lt;$AK3137))+1,"")</f>
        <v/>
      </c>
      <c r="AJ3137" s="18" t="str">
        <f aca="false">IF($D3137="","",IF(OR($R3137=TRUE(),$R3137="TRUE"),1,0))</f>
        <v/>
      </c>
      <c r="AK3137" s="18" t="str">
        <f aca="false">IF($AH3137=1,IFERROR(VALUE(MID($D3137,2,20)),1000000000)+ROW()/10000000,"")</f>
        <v/>
      </c>
    </row>
    <row r="3138" customFormat="false" ht="15" hidden="false" customHeight="false" outlineLevel="0" collapsed="false">
      <c r="F3138" s="15"/>
      <c r="N3138" s="16" t="str">
        <f aca="false">IF($D3138="","",M3138*Y3138/100)</f>
        <v/>
      </c>
      <c r="V3138" s="16" t="str">
        <f aca="false">IF($D3138="","",Y3138*AB3138/100)</f>
        <v/>
      </c>
      <c r="W3138" s="16" t="str">
        <f aca="false">IF($D3138="","",Y3138-V3138)</f>
        <v/>
      </c>
      <c r="X3138" s="16" t="str">
        <f aca="false">IF($D3138="","",W3138-N3138)</f>
        <v/>
      </c>
      <c r="AB3138" s="17" t="str">
        <f aca="false">IF($D3138="","",IF(OR($R3138=TRUE(),$R3138="TRUE"),Settings!$C$6,Settings!$C$7)*100)</f>
        <v/>
      </c>
      <c r="AH3138" s="18" t="str">
        <f aca="false">IF($D3138="","",IF(COUNTIF($D$2:$D3138,$D3138)=1,1,0))</f>
        <v/>
      </c>
      <c r="AI3138" s="18" t="str">
        <f aca="false">IF($AH3138=1,SUMPRODUCT(--($AK$2:$AK$4001&lt;$AK3138))+1,"")</f>
        <v/>
      </c>
      <c r="AJ3138" s="18" t="str">
        <f aca="false">IF($D3138="","",IF(OR($R3138=TRUE(),$R3138="TRUE"),1,0))</f>
        <v/>
      </c>
      <c r="AK3138" s="18" t="str">
        <f aca="false">IF($AH3138=1,IFERROR(VALUE(MID($D3138,2,20)),1000000000)+ROW()/10000000,"")</f>
        <v/>
      </c>
    </row>
    <row r="3139" customFormat="false" ht="15" hidden="false" customHeight="false" outlineLevel="0" collapsed="false">
      <c r="F3139" s="15"/>
      <c r="N3139" s="16" t="str">
        <f aca="false">IF($D3139="","",M3139*Y3139/100)</f>
        <v/>
      </c>
      <c r="V3139" s="16" t="str">
        <f aca="false">IF($D3139="","",Y3139*AB3139/100)</f>
        <v/>
      </c>
      <c r="W3139" s="16" t="str">
        <f aca="false">IF($D3139="","",Y3139-V3139)</f>
        <v/>
      </c>
      <c r="X3139" s="16" t="str">
        <f aca="false">IF($D3139="","",W3139-N3139)</f>
        <v/>
      </c>
      <c r="AB3139" s="17" t="str">
        <f aca="false">IF($D3139="","",IF(OR($R3139=TRUE(),$R3139="TRUE"),Settings!$C$6,Settings!$C$7)*100)</f>
        <v/>
      </c>
      <c r="AH3139" s="18" t="str">
        <f aca="false">IF($D3139="","",IF(COUNTIF($D$2:$D3139,$D3139)=1,1,0))</f>
        <v/>
      </c>
      <c r="AI3139" s="18" t="str">
        <f aca="false">IF($AH3139=1,SUMPRODUCT(--($AK$2:$AK$4001&lt;$AK3139))+1,"")</f>
        <v/>
      </c>
      <c r="AJ3139" s="18" t="str">
        <f aca="false">IF($D3139="","",IF(OR($R3139=TRUE(),$R3139="TRUE"),1,0))</f>
        <v/>
      </c>
      <c r="AK3139" s="18" t="str">
        <f aca="false">IF($AH3139=1,IFERROR(VALUE(MID($D3139,2,20)),1000000000)+ROW()/10000000,"")</f>
        <v/>
      </c>
    </row>
    <row r="3140" customFormat="false" ht="15" hidden="false" customHeight="false" outlineLevel="0" collapsed="false">
      <c r="F3140" s="15"/>
      <c r="N3140" s="16" t="str">
        <f aca="false">IF($D3140="","",M3140*Y3140/100)</f>
        <v/>
      </c>
      <c r="V3140" s="16" t="str">
        <f aca="false">IF($D3140="","",Y3140*AB3140/100)</f>
        <v/>
      </c>
      <c r="W3140" s="16" t="str">
        <f aca="false">IF($D3140="","",Y3140-V3140)</f>
        <v/>
      </c>
      <c r="X3140" s="16" t="str">
        <f aca="false">IF($D3140="","",W3140-N3140)</f>
        <v/>
      </c>
      <c r="AB3140" s="17" t="str">
        <f aca="false">IF($D3140="","",IF(OR($R3140=TRUE(),$R3140="TRUE"),Settings!$C$6,Settings!$C$7)*100)</f>
        <v/>
      </c>
      <c r="AH3140" s="18" t="str">
        <f aca="false">IF($D3140="","",IF(COUNTIF($D$2:$D3140,$D3140)=1,1,0))</f>
        <v/>
      </c>
      <c r="AI3140" s="18" t="str">
        <f aca="false">IF($AH3140=1,SUMPRODUCT(--($AK$2:$AK$4001&lt;$AK3140))+1,"")</f>
        <v/>
      </c>
      <c r="AJ3140" s="18" t="str">
        <f aca="false">IF($D3140="","",IF(OR($R3140=TRUE(),$R3140="TRUE"),1,0))</f>
        <v/>
      </c>
      <c r="AK3140" s="18" t="str">
        <f aca="false">IF($AH3140=1,IFERROR(VALUE(MID($D3140,2,20)),1000000000)+ROW()/10000000,"")</f>
        <v/>
      </c>
    </row>
    <row r="3141" customFormat="false" ht="15" hidden="false" customHeight="false" outlineLevel="0" collapsed="false">
      <c r="F3141" s="15"/>
      <c r="N3141" s="16" t="str">
        <f aca="false">IF($D3141="","",M3141*Y3141/100)</f>
        <v/>
      </c>
      <c r="V3141" s="16" t="str">
        <f aca="false">IF($D3141="","",Y3141*AB3141/100)</f>
        <v/>
      </c>
      <c r="W3141" s="16" t="str">
        <f aca="false">IF($D3141="","",Y3141-V3141)</f>
        <v/>
      </c>
      <c r="X3141" s="16" t="str">
        <f aca="false">IF($D3141="","",W3141-N3141)</f>
        <v/>
      </c>
      <c r="AB3141" s="17" t="str">
        <f aca="false">IF($D3141="","",IF(OR($R3141=TRUE(),$R3141="TRUE"),Settings!$C$6,Settings!$C$7)*100)</f>
        <v/>
      </c>
      <c r="AH3141" s="18" t="str">
        <f aca="false">IF($D3141="","",IF(COUNTIF($D$2:$D3141,$D3141)=1,1,0))</f>
        <v/>
      </c>
      <c r="AI3141" s="18" t="str">
        <f aca="false">IF($AH3141=1,SUMPRODUCT(--($AK$2:$AK$4001&lt;$AK3141))+1,"")</f>
        <v/>
      </c>
      <c r="AJ3141" s="18" t="str">
        <f aca="false">IF($D3141="","",IF(OR($R3141=TRUE(),$R3141="TRUE"),1,0))</f>
        <v/>
      </c>
      <c r="AK3141" s="18" t="str">
        <f aca="false">IF($AH3141=1,IFERROR(VALUE(MID($D3141,2,20)),1000000000)+ROW()/10000000,"")</f>
        <v/>
      </c>
    </row>
    <row r="3142" customFormat="false" ht="15" hidden="false" customHeight="false" outlineLevel="0" collapsed="false">
      <c r="F3142" s="15"/>
      <c r="N3142" s="16" t="str">
        <f aca="false">IF($D3142="","",M3142*Y3142/100)</f>
        <v/>
      </c>
      <c r="V3142" s="16" t="str">
        <f aca="false">IF($D3142="","",Y3142*AB3142/100)</f>
        <v/>
      </c>
      <c r="W3142" s="16" t="str">
        <f aca="false">IF($D3142="","",Y3142-V3142)</f>
        <v/>
      </c>
      <c r="X3142" s="16" t="str">
        <f aca="false">IF($D3142="","",W3142-N3142)</f>
        <v/>
      </c>
      <c r="AB3142" s="17" t="str">
        <f aca="false">IF($D3142="","",IF(OR($R3142=TRUE(),$R3142="TRUE"),Settings!$C$6,Settings!$C$7)*100)</f>
        <v/>
      </c>
      <c r="AH3142" s="18" t="str">
        <f aca="false">IF($D3142="","",IF(COUNTIF($D$2:$D3142,$D3142)=1,1,0))</f>
        <v/>
      </c>
      <c r="AI3142" s="18" t="str">
        <f aca="false">IF($AH3142=1,SUMPRODUCT(--($AK$2:$AK$4001&lt;$AK3142))+1,"")</f>
        <v/>
      </c>
      <c r="AJ3142" s="18" t="str">
        <f aca="false">IF($D3142="","",IF(OR($R3142=TRUE(),$R3142="TRUE"),1,0))</f>
        <v/>
      </c>
      <c r="AK3142" s="18" t="str">
        <f aca="false">IF($AH3142=1,IFERROR(VALUE(MID($D3142,2,20)),1000000000)+ROW()/10000000,"")</f>
        <v/>
      </c>
    </row>
    <row r="3143" customFormat="false" ht="15" hidden="false" customHeight="false" outlineLevel="0" collapsed="false">
      <c r="F3143" s="15"/>
      <c r="N3143" s="16" t="str">
        <f aca="false">IF($D3143="","",M3143*Y3143/100)</f>
        <v/>
      </c>
      <c r="V3143" s="16" t="str">
        <f aca="false">IF($D3143="","",Y3143*AB3143/100)</f>
        <v/>
      </c>
      <c r="W3143" s="16" t="str">
        <f aca="false">IF($D3143="","",Y3143-V3143)</f>
        <v/>
      </c>
      <c r="X3143" s="16" t="str">
        <f aca="false">IF($D3143="","",W3143-N3143)</f>
        <v/>
      </c>
      <c r="AB3143" s="17" t="str">
        <f aca="false">IF($D3143="","",IF(OR($R3143=TRUE(),$R3143="TRUE"),Settings!$C$6,Settings!$C$7)*100)</f>
        <v/>
      </c>
      <c r="AH3143" s="18" t="str">
        <f aca="false">IF($D3143="","",IF(COUNTIF($D$2:$D3143,$D3143)=1,1,0))</f>
        <v/>
      </c>
      <c r="AI3143" s="18" t="str">
        <f aca="false">IF($AH3143=1,SUMPRODUCT(--($AK$2:$AK$4001&lt;$AK3143))+1,"")</f>
        <v/>
      </c>
      <c r="AJ3143" s="18" t="str">
        <f aca="false">IF($D3143="","",IF(OR($R3143=TRUE(),$R3143="TRUE"),1,0))</f>
        <v/>
      </c>
      <c r="AK3143" s="18" t="str">
        <f aca="false">IF($AH3143=1,IFERROR(VALUE(MID($D3143,2,20)),1000000000)+ROW()/10000000,"")</f>
        <v/>
      </c>
    </row>
    <row r="3144" customFormat="false" ht="15" hidden="false" customHeight="false" outlineLevel="0" collapsed="false">
      <c r="F3144" s="15"/>
      <c r="N3144" s="16" t="str">
        <f aca="false">IF($D3144="","",M3144*Y3144/100)</f>
        <v/>
      </c>
      <c r="V3144" s="16" t="str">
        <f aca="false">IF($D3144="","",Y3144*AB3144/100)</f>
        <v/>
      </c>
      <c r="W3144" s="16" t="str">
        <f aca="false">IF($D3144="","",Y3144-V3144)</f>
        <v/>
      </c>
      <c r="X3144" s="16" t="str">
        <f aca="false">IF($D3144="","",W3144-N3144)</f>
        <v/>
      </c>
      <c r="AB3144" s="17" t="str">
        <f aca="false">IF($D3144="","",IF(OR($R3144=TRUE(),$R3144="TRUE"),Settings!$C$6,Settings!$C$7)*100)</f>
        <v/>
      </c>
      <c r="AH3144" s="18" t="str">
        <f aca="false">IF($D3144="","",IF(COUNTIF($D$2:$D3144,$D3144)=1,1,0))</f>
        <v/>
      </c>
      <c r="AI3144" s="18" t="str">
        <f aca="false">IF($AH3144=1,SUMPRODUCT(--($AK$2:$AK$4001&lt;$AK3144))+1,"")</f>
        <v/>
      </c>
      <c r="AJ3144" s="18" t="str">
        <f aca="false">IF($D3144="","",IF(OR($R3144=TRUE(),$R3144="TRUE"),1,0))</f>
        <v/>
      </c>
      <c r="AK3144" s="18" t="str">
        <f aca="false">IF($AH3144=1,IFERROR(VALUE(MID($D3144,2,20)),1000000000)+ROW()/10000000,"")</f>
        <v/>
      </c>
    </row>
    <row r="3145" customFormat="false" ht="15" hidden="false" customHeight="false" outlineLevel="0" collapsed="false">
      <c r="F3145" s="15"/>
      <c r="N3145" s="16" t="str">
        <f aca="false">IF($D3145="","",M3145*Y3145/100)</f>
        <v/>
      </c>
      <c r="V3145" s="16" t="str">
        <f aca="false">IF($D3145="","",Y3145*AB3145/100)</f>
        <v/>
      </c>
      <c r="W3145" s="16" t="str">
        <f aca="false">IF($D3145="","",Y3145-V3145)</f>
        <v/>
      </c>
      <c r="X3145" s="16" t="str">
        <f aca="false">IF($D3145="","",W3145-N3145)</f>
        <v/>
      </c>
      <c r="AB3145" s="17" t="str">
        <f aca="false">IF($D3145="","",IF(OR($R3145=TRUE(),$R3145="TRUE"),Settings!$C$6,Settings!$C$7)*100)</f>
        <v/>
      </c>
      <c r="AH3145" s="18" t="str">
        <f aca="false">IF($D3145="","",IF(COUNTIF($D$2:$D3145,$D3145)=1,1,0))</f>
        <v/>
      </c>
      <c r="AI3145" s="18" t="str">
        <f aca="false">IF($AH3145=1,SUMPRODUCT(--($AK$2:$AK$4001&lt;$AK3145))+1,"")</f>
        <v/>
      </c>
      <c r="AJ3145" s="18" t="str">
        <f aca="false">IF($D3145="","",IF(OR($R3145=TRUE(),$R3145="TRUE"),1,0))</f>
        <v/>
      </c>
      <c r="AK3145" s="18" t="str">
        <f aca="false">IF($AH3145=1,IFERROR(VALUE(MID($D3145,2,20)),1000000000)+ROW()/10000000,"")</f>
        <v/>
      </c>
    </row>
    <row r="3146" customFormat="false" ht="15" hidden="false" customHeight="false" outlineLevel="0" collapsed="false">
      <c r="F3146" s="15"/>
      <c r="N3146" s="16" t="str">
        <f aca="false">IF($D3146="","",M3146*Y3146/100)</f>
        <v/>
      </c>
      <c r="V3146" s="16" t="str">
        <f aca="false">IF($D3146="","",Y3146*AB3146/100)</f>
        <v/>
      </c>
      <c r="W3146" s="16" t="str">
        <f aca="false">IF($D3146="","",Y3146-V3146)</f>
        <v/>
      </c>
      <c r="X3146" s="16" t="str">
        <f aca="false">IF($D3146="","",W3146-N3146)</f>
        <v/>
      </c>
      <c r="AB3146" s="17" t="str">
        <f aca="false">IF($D3146="","",IF(OR($R3146=TRUE(),$R3146="TRUE"),Settings!$C$6,Settings!$C$7)*100)</f>
        <v/>
      </c>
      <c r="AH3146" s="18" t="str">
        <f aca="false">IF($D3146="","",IF(COUNTIF($D$2:$D3146,$D3146)=1,1,0))</f>
        <v/>
      </c>
      <c r="AI3146" s="18" t="str">
        <f aca="false">IF($AH3146=1,SUMPRODUCT(--($AK$2:$AK$4001&lt;$AK3146))+1,"")</f>
        <v/>
      </c>
      <c r="AJ3146" s="18" t="str">
        <f aca="false">IF($D3146="","",IF(OR($R3146=TRUE(),$R3146="TRUE"),1,0))</f>
        <v/>
      </c>
      <c r="AK3146" s="18" t="str">
        <f aca="false">IF($AH3146=1,IFERROR(VALUE(MID($D3146,2,20)),1000000000)+ROW()/10000000,"")</f>
        <v/>
      </c>
    </row>
    <row r="3147" customFormat="false" ht="15" hidden="false" customHeight="false" outlineLevel="0" collapsed="false">
      <c r="F3147" s="15"/>
      <c r="N3147" s="16" t="str">
        <f aca="false">IF($D3147="","",M3147*Y3147/100)</f>
        <v/>
      </c>
      <c r="V3147" s="16" t="str">
        <f aca="false">IF($D3147="","",Y3147*AB3147/100)</f>
        <v/>
      </c>
      <c r="W3147" s="16" t="str">
        <f aca="false">IF($D3147="","",Y3147-V3147)</f>
        <v/>
      </c>
      <c r="X3147" s="16" t="str">
        <f aca="false">IF($D3147="","",W3147-N3147)</f>
        <v/>
      </c>
      <c r="AB3147" s="17" t="str">
        <f aca="false">IF($D3147="","",IF(OR($R3147=TRUE(),$R3147="TRUE"),Settings!$C$6,Settings!$C$7)*100)</f>
        <v/>
      </c>
      <c r="AH3147" s="18" t="str">
        <f aca="false">IF($D3147="","",IF(COUNTIF($D$2:$D3147,$D3147)=1,1,0))</f>
        <v/>
      </c>
      <c r="AI3147" s="18" t="str">
        <f aca="false">IF($AH3147=1,SUMPRODUCT(--($AK$2:$AK$4001&lt;$AK3147))+1,"")</f>
        <v/>
      </c>
      <c r="AJ3147" s="18" t="str">
        <f aca="false">IF($D3147="","",IF(OR($R3147=TRUE(),$R3147="TRUE"),1,0))</f>
        <v/>
      </c>
      <c r="AK3147" s="18" t="str">
        <f aca="false">IF($AH3147=1,IFERROR(VALUE(MID($D3147,2,20)),1000000000)+ROW()/10000000,"")</f>
        <v/>
      </c>
    </row>
    <row r="3148" customFormat="false" ht="15" hidden="false" customHeight="false" outlineLevel="0" collapsed="false">
      <c r="F3148" s="15"/>
      <c r="N3148" s="16" t="str">
        <f aca="false">IF($D3148="","",M3148*Y3148/100)</f>
        <v/>
      </c>
      <c r="V3148" s="16" t="str">
        <f aca="false">IF($D3148="","",Y3148*AB3148/100)</f>
        <v/>
      </c>
      <c r="W3148" s="16" t="str">
        <f aca="false">IF($D3148="","",Y3148-V3148)</f>
        <v/>
      </c>
      <c r="X3148" s="16" t="str">
        <f aca="false">IF($D3148="","",W3148-N3148)</f>
        <v/>
      </c>
      <c r="AB3148" s="17" t="str">
        <f aca="false">IF($D3148="","",IF(OR($R3148=TRUE(),$R3148="TRUE"),Settings!$C$6,Settings!$C$7)*100)</f>
        <v/>
      </c>
      <c r="AH3148" s="18" t="str">
        <f aca="false">IF($D3148="","",IF(COUNTIF($D$2:$D3148,$D3148)=1,1,0))</f>
        <v/>
      </c>
      <c r="AI3148" s="18" t="str">
        <f aca="false">IF($AH3148=1,SUMPRODUCT(--($AK$2:$AK$4001&lt;$AK3148))+1,"")</f>
        <v/>
      </c>
      <c r="AJ3148" s="18" t="str">
        <f aca="false">IF($D3148="","",IF(OR($R3148=TRUE(),$R3148="TRUE"),1,0))</f>
        <v/>
      </c>
      <c r="AK3148" s="18" t="str">
        <f aca="false">IF($AH3148=1,IFERROR(VALUE(MID($D3148,2,20)),1000000000)+ROW()/10000000,"")</f>
        <v/>
      </c>
    </row>
    <row r="3149" customFormat="false" ht="15" hidden="false" customHeight="false" outlineLevel="0" collapsed="false">
      <c r="F3149" s="15"/>
      <c r="N3149" s="16" t="str">
        <f aca="false">IF($D3149="","",M3149*Y3149/100)</f>
        <v/>
      </c>
      <c r="V3149" s="16" t="str">
        <f aca="false">IF($D3149="","",Y3149*AB3149/100)</f>
        <v/>
      </c>
      <c r="W3149" s="16" t="str">
        <f aca="false">IF($D3149="","",Y3149-V3149)</f>
        <v/>
      </c>
      <c r="X3149" s="16" t="str">
        <f aca="false">IF($D3149="","",W3149-N3149)</f>
        <v/>
      </c>
      <c r="AB3149" s="17" t="str">
        <f aca="false">IF($D3149="","",IF(OR($R3149=TRUE(),$R3149="TRUE"),Settings!$C$6,Settings!$C$7)*100)</f>
        <v/>
      </c>
      <c r="AH3149" s="18" t="str">
        <f aca="false">IF($D3149="","",IF(COUNTIF($D$2:$D3149,$D3149)=1,1,0))</f>
        <v/>
      </c>
      <c r="AI3149" s="18" t="str">
        <f aca="false">IF($AH3149=1,SUMPRODUCT(--($AK$2:$AK$4001&lt;$AK3149))+1,"")</f>
        <v/>
      </c>
      <c r="AJ3149" s="18" t="str">
        <f aca="false">IF($D3149="","",IF(OR($R3149=TRUE(),$R3149="TRUE"),1,0))</f>
        <v/>
      </c>
      <c r="AK3149" s="18" t="str">
        <f aca="false">IF($AH3149=1,IFERROR(VALUE(MID($D3149,2,20)),1000000000)+ROW()/10000000,"")</f>
        <v/>
      </c>
    </row>
    <row r="3150" customFormat="false" ht="15" hidden="false" customHeight="false" outlineLevel="0" collapsed="false">
      <c r="F3150" s="15"/>
      <c r="N3150" s="16" t="str">
        <f aca="false">IF($D3150="","",M3150*Y3150/100)</f>
        <v/>
      </c>
      <c r="V3150" s="16" t="str">
        <f aca="false">IF($D3150="","",Y3150*AB3150/100)</f>
        <v/>
      </c>
      <c r="W3150" s="16" t="str">
        <f aca="false">IF($D3150="","",Y3150-V3150)</f>
        <v/>
      </c>
      <c r="X3150" s="16" t="str">
        <f aca="false">IF($D3150="","",W3150-N3150)</f>
        <v/>
      </c>
      <c r="AB3150" s="17" t="str">
        <f aca="false">IF($D3150="","",IF(OR($R3150=TRUE(),$R3150="TRUE"),Settings!$C$6,Settings!$C$7)*100)</f>
        <v/>
      </c>
      <c r="AH3150" s="18" t="str">
        <f aca="false">IF($D3150="","",IF(COUNTIF($D$2:$D3150,$D3150)=1,1,0))</f>
        <v/>
      </c>
      <c r="AI3150" s="18" t="str">
        <f aca="false">IF($AH3150=1,SUMPRODUCT(--($AK$2:$AK$4001&lt;$AK3150))+1,"")</f>
        <v/>
      </c>
      <c r="AJ3150" s="18" t="str">
        <f aca="false">IF($D3150="","",IF(OR($R3150=TRUE(),$R3150="TRUE"),1,0))</f>
        <v/>
      </c>
      <c r="AK3150" s="18" t="str">
        <f aca="false">IF($AH3150=1,IFERROR(VALUE(MID($D3150,2,20)),1000000000)+ROW()/10000000,"")</f>
        <v/>
      </c>
    </row>
    <row r="3151" customFormat="false" ht="15" hidden="false" customHeight="false" outlineLevel="0" collapsed="false">
      <c r="F3151" s="15"/>
      <c r="N3151" s="16" t="str">
        <f aca="false">IF($D3151="","",M3151*Y3151/100)</f>
        <v/>
      </c>
      <c r="V3151" s="16" t="str">
        <f aca="false">IF($D3151="","",Y3151*AB3151/100)</f>
        <v/>
      </c>
      <c r="W3151" s="16" t="str">
        <f aca="false">IF($D3151="","",Y3151-V3151)</f>
        <v/>
      </c>
      <c r="X3151" s="16" t="str">
        <f aca="false">IF($D3151="","",W3151-N3151)</f>
        <v/>
      </c>
      <c r="AB3151" s="17" t="str">
        <f aca="false">IF($D3151="","",IF(OR($R3151=TRUE(),$R3151="TRUE"),Settings!$C$6,Settings!$C$7)*100)</f>
        <v/>
      </c>
      <c r="AH3151" s="18" t="str">
        <f aca="false">IF($D3151="","",IF(COUNTIF($D$2:$D3151,$D3151)=1,1,0))</f>
        <v/>
      </c>
      <c r="AI3151" s="18" t="str">
        <f aca="false">IF($AH3151=1,SUMPRODUCT(--($AK$2:$AK$4001&lt;$AK3151))+1,"")</f>
        <v/>
      </c>
      <c r="AJ3151" s="18" t="str">
        <f aca="false">IF($D3151="","",IF(OR($R3151=TRUE(),$R3151="TRUE"),1,0))</f>
        <v/>
      </c>
      <c r="AK3151" s="18" t="str">
        <f aca="false">IF($AH3151=1,IFERROR(VALUE(MID($D3151,2,20)),1000000000)+ROW()/10000000,"")</f>
        <v/>
      </c>
    </row>
    <row r="3152" customFormat="false" ht="15" hidden="false" customHeight="false" outlineLevel="0" collapsed="false">
      <c r="F3152" s="15"/>
      <c r="N3152" s="16" t="str">
        <f aca="false">IF($D3152="","",M3152*Y3152/100)</f>
        <v/>
      </c>
      <c r="V3152" s="16" t="str">
        <f aca="false">IF($D3152="","",Y3152*AB3152/100)</f>
        <v/>
      </c>
      <c r="W3152" s="16" t="str">
        <f aca="false">IF($D3152="","",Y3152-V3152)</f>
        <v/>
      </c>
      <c r="X3152" s="16" t="str">
        <f aca="false">IF($D3152="","",W3152-N3152)</f>
        <v/>
      </c>
      <c r="AB3152" s="17" t="str">
        <f aca="false">IF($D3152="","",IF(OR($R3152=TRUE(),$R3152="TRUE"),Settings!$C$6,Settings!$C$7)*100)</f>
        <v/>
      </c>
      <c r="AH3152" s="18" t="str">
        <f aca="false">IF($D3152="","",IF(COUNTIF($D$2:$D3152,$D3152)=1,1,0))</f>
        <v/>
      </c>
      <c r="AI3152" s="18" t="str">
        <f aca="false">IF($AH3152=1,SUMPRODUCT(--($AK$2:$AK$4001&lt;$AK3152))+1,"")</f>
        <v/>
      </c>
      <c r="AJ3152" s="18" t="str">
        <f aca="false">IF($D3152="","",IF(OR($R3152=TRUE(),$R3152="TRUE"),1,0))</f>
        <v/>
      </c>
      <c r="AK3152" s="18" t="str">
        <f aca="false">IF($AH3152=1,IFERROR(VALUE(MID($D3152,2,20)),1000000000)+ROW()/10000000,"")</f>
        <v/>
      </c>
    </row>
    <row r="3153" customFormat="false" ht="15" hidden="false" customHeight="false" outlineLevel="0" collapsed="false">
      <c r="F3153" s="15"/>
      <c r="N3153" s="16" t="str">
        <f aca="false">IF($D3153="","",M3153*Y3153/100)</f>
        <v/>
      </c>
      <c r="V3153" s="16" t="str">
        <f aca="false">IF($D3153="","",Y3153*AB3153/100)</f>
        <v/>
      </c>
      <c r="W3153" s="16" t="str">
        <f aca="false">IF($D3153="","",Y3153-V3153)</f>
        <v/>
      </c>
      <c r="X3153" s="16" t="str">
        <f aca="false">IF($D3153="","",W3153-N3153)</f>
        <v/>
      </c>
      <c r="AB3153" s="17" t="str">
        <f aca="false">IF($D3153="","",IF(OR($R3153=TRUE(),$R3153="TRUE"),Settings!$C$6,Settings!$C$7)*100)</f>
        <v/>
      </c>
      <c r="AH3153" s="18" t="str">
        <f aca="false">IF($D3153="","",IF(COUNTIF($D$2:$D3153,$D3153)=1,1,0))</f>
        <v/>
      </c>
      <c r="AI3153" s="18" t="str">
        <f aca="false">IF($AH3153=1,SUMPRODUCT(--($AK$2:$AK$4001&lt;$AK3153))+1,"")</f>
        <v/>
      </c>
      <c r="AJ3153" s="18" t="str">
        <f aca="false">IF($D3153="","",IF(OR($R3153=TRUE(),$R3153="TRUE"),1,0))</f>
        <v/>
      </c>
      <c r="AK3153" s="18" t="str">
        <f aca="false">IF($AH3153=1,IFERROR(VALUE(MID($D3153,2,20)),1000000000)+ROW()/10000000,"")</f>
        <v/>
      </c>
    </row>
    <row r="3154" customFormat="false" ht="15" hidden="false" customHeight="false" outlineLevel="0" collapsed="false">
      <c r="F3154" s="15"/>
      <c r="N3154" s="16" t="str">
        <f aca="false">IF($D3154="","",M3154*Y3154/100)</f>
        <v/>
      </c>
      <c r="V3154" s="16" t="str">
        <f aca="false">IF($D3154="","",Y3154*AB3154/100)</f>
        <v/>
      </c>
      <c r="W3154" s="16" t="str">
        <f aca="false">IF($D3154="","",Y3154-V3154)</f>
        <v/>
      </c>
      <c r="X3154" s="16" t="str">
        <f aca="false">IF($D3154="","",W3154-N3154)</f>
        <v/>
      </c>
      <c r="AB3154" s="17" t="str">
        <f aca="false">IF($D3154="","",IF(OR($R3154=TRUE(),$R3154="TRUE"),Settings!$C$6,Settings!$C$7)*100)</f>
        <v/>
      </c>
      <c r="AH3154" s="18" t="str">
        <f aca="false">IF($D3154="","",IF(COUNTIF($D$2:$D3154,$D3154)=1,1,0))</f>
        <v/>
      </c>
      <c r="AI3154" s="18" t="str">
        <f aca="false">IF($AH3154=1,SUMPRODUCT(--($AK$2:$AK$4001&lt;$AK3154))+1,"")</f>
        <v/>
      </c>
      <c r="AJ3154" s="18" t="str">
        <f aca="false">IF($D3154="","",IF(OR($R3154=TRUE(),$R3154="TRUE"),1,0))</f>
        <v/>
      </c>
      <c r="AK3154" s="18" t="str">
        <f aca="false">IF($AH3154=1,IFERROR(VALUE(MID($D3154,2,20)),1000000000)+ROW()/10000000,"")</f>
        <v/>
      </c>
    </row>
    <row r="3155" customFormat="false" ht="15" hidden="false" customHeight="false" outlineLevel="0" collapsed="false">
      <c r="F3155" s="15"/>
      <c r="N3155" s="16" t="str">
        <f aca="false">IF($D3155="","",M3155*Y3155/100)</f>
        <v/>
      </c>
      <c r="V3155" s="16" t="str">
        <f aca="false">IF($D3155="","",Y3155*AB3155/100)</f>
        <v/>
      </c>
      <c r="W3155" s="16" t="str">
        <f aca="false">IF($D3155="","",Y3155-V3155)</f>
        <v/>
      </c>
      <c r="X3155" s="16" t="str">
        <f aca="false">IF($D3155="","",W3155-N3155)</f>
        <v/>
      </c>
      <c r="AB3155" s="17" t="str">
        <f aca="false">IF($D3155="","",IF(OR($R3155=TRUE(),$R3155="TRUE"),Settings!$C$6,Settings!$C$7)*100)</f>
        <v/>
      </c>
      <c r="AH3155" s="18" t="str">
        <f aca="false">IF($D3155="","",IF(COUNTIF($D$2:$D3155,$D3155)=1,1,0))</f>
        <v/>
      </c>
      <c r="AI3155" s="18" t="str">
        <f aca="false">IF($AH3155=1,SUMPRODUCT(--($AK$2:$AK$4001&lt;$AK3155))+1,"")</f>
        <v/>
      </c>
      <c r="AJ3155" s="18" t="str">
        <f aca="false">IF($D3155="","",IF(OR($R3155=TRUE(),$R3155="TRUE"),1,0))</f>
        <v/>
      </c>
      <c r="AK3155" s="18" t="str">
        <f aca="false">IF($AH3155=1,IFERROR(VALUE(MID($D3155,2,20)),1000000000)+ROW()/10000000,"")</f>
        <v/>
      </c>
    </row>
    <row r="3156" customFormat="false" ht="15" hidden="false" customHeight="false" outlineLevel="0" collapsed="false">
      <c r="F3156" s="15"/>
      <c r="N3156" s="16" t="str">
        <f aca="false">IF($D3156="","",M3156*Y3156/100)</f>
        <v/>
      </c>
      <c r="V3156" s="16" t="str">
        <f aca="false">IF($D3156="","",Y3156*AB3156/100)</f>
        <v/>
      </c>
      <c r="W3156" s="16" t="str">
        <f aca="false">IF($D3156="","",Y3156-V3156)</f>
        <v/>
      </c>
      <c r="X3156" s="16" t="str">
        <f aca="false">IF($D3156="","",W3156-N3156)</f>
        <v/>
      </c>
      <c r="AB3156" s="17" t="str">
        <f aca="false">IF($D3156="","",IF(OR($R3156=TRUE(),$R3156="TRUE"),Settings!$C$6,Settings!$C$7)*100)</f>
        <v/>
      </c>
      <c r="AH3156" s="18" t="str">
        <f aca="false">IF($D3156="","",IF(COUNTIF($D$2:$D3156,$D3156)=1,1,0))</f>
        <v/>
      </c>
      <c r="AI3156" s="18" t="str">
        <f aca="false">IF($AH3156=1,SUMPRODUCT(--($AK$2:$AK$4001&lt;$AK3156))+1,"")</f>
        <v/>
      </c>
      <c r="AJ3156" s="18" t="str">
        <f aca="false">IF($D3156="","",IF(OR($R3156=TRUE(),$R3156="TRUE"),1,0))</f>
        <v/>
      </c>
      <c r="AK3156" s="18" t="str">
        <f aca="false">IF($AH3156=1,IFERROR(VALUE(MID($D3156,2,20)),1000000000)+ROW()/10000000,"")</f>
        <v/>
      </c>
    </row>
    <row r="3157" customFormat="false" ht="15" hidden="false" customHeight="false" outlineLevel="0" collapsed="false">
      <c r="F3157" s="15"/>
      <c r="N3157" s="16" t="str">
        <f aca="false">IF($D3157="","",M3157*Y3157/100)</f>
        <v/>
      </c>
      <c r="V3157" s="16" t="str">
        <f aca="false">IF($D3157="","",Y3157*AB3157/100)</f>
        <v/>
      </c>
      <c r="W3157" s="16" t="str">
        <f aca="false">IF($D3157="","",Y3157-V3157)</f>
        <v/>
      </c>
      <c r="X3157" s="16" t="str">
        <f aca="false">IF($D3157="","",W3157-N3157)</f>
        <v/>
      </c>
      <c r="AB3157" s="17" t="str">
        <f aca="false">IF($D3157="","",IF(OR($R3157=TRUE(),$R3157="TRUE"),Settings!$C$6,Settings!$C$7)*100)</f>
        <v/>
      </c>
      <c r="AH3157" s="18" t="str">
        <f aca="false">IF($D3157="","",IF(COUNTIF($D$2:$D3157,$D3157)=1,1,0))</f>
        <v/>
      </c>
      <c r="AI3157" s="18" t="str">
        <f aca="false">IF($AH3157=1,SUMPRODUCT(--($AK$2:$AK$4001&lt;$AK3157))+1,"")</f>
        <v/>
      </c>
      <c r="AJ3157" s="18" t="str">
        <f aca="false">IF($D3157="","",IF(OR($R3157=TRUE(),$R3157="TRUE"),1,0))</f>
        <v/>
      </c>
      <c r="AK3157" s="18" t="str">
        <f aca="false">IF($AH3157=1,IFERROR(VALUE(MID($D3157,2,20)),1000000000)+ROW()/10000000,"")</f>
        <v/>
      </c>
    </row>
    <row r="3158" customFormat="false" ht="15" hidden="false" customHeight="false" outlineLevel="0" collapsed="false">
      <c r="F3158" s="15"/>
      <c r="N3158" s="16" t="str">
        <f aca="false">IF($D3158="","",M3158*Y3158/100)</f>
        <v/>
      </c>
      <c r="V3158" s="16" t="str">
        <f aca="false">IF($D3158="","",Y3158*AB3158/100)</f>
        <v/>
      </c>
      <c r="W3158" s="16" t="str">
        <f aca="false">IF($D3158="","",Y3158-V3158)</f>
        <v/>
      </c>
      <c r="X3158" s="16" t="str">
        <f aca="false">IF($D3158="","",W3158-N3158)</f>
        <v/>
      </c>
      <c r="AB3158" s="17" t="str">
        <f aca="false">IF($D3158="","",IF(OR($R3158=TRUE(),$R3158="TRUE"),Settings!$C$6,Settings!$C$7)*100)</f>
        <v/>
      </c>
      <c r="AH3158" s="18" t="str">
        <f aca="false">IF($D3158="","",IF(COUNTIF($D$2:$D3158,$D3158)=1,1,0))</f>
        <v/>
      </c>
      <c r="AI3158" s="18" t="str">
        <f aca="false">IF($AH3158=1,SUMPRODUCT(--($AK$2:$AK$4001&lt;$AK3158))+1,"")</f>
        <v/>
      </c>
      <c r="AJ3158" s="18" t="str">
        <f aca="false">IF($D3158="","",IF(OR($R3158=TRUE(),$R3158="TRUE"),1,0))</f>
        <v/>
      </c>
      <c r="AK3158" s="18" t="str">
        <f aca="false">IF($AH3158=1,IFERROR(VALUE(MID($D3158,2,20)),1000000000)+ROW()/10000000,"")</f>
        <v/>
      </c>
    </row>
    <row r="3159" customFormat="false" ht="15" hidden="false" customHeight="false" outlineLevel="0" collapsed="false">
      <c r="F3159" s="15"/>
      <c r="N3159" s="16" t="str">
        <f aca="false">IF($D3159="","",M3159*Y3159/100)</f>
        <v/>
      </c>
      <c r="V3159" s="16" t="str">
        <f aca="false">IF($D3159="","",Y3159*AB3159/100)</f>
        <v/>
      </c>
      <c r="W3159" s="16" t="str">
        <f aca="false">IF($D3159="","",Y3159-V3159)</f>
        <v/>
      </c>
      <c r="X3159" s="16" t="str">
        <f aca="false">IF($D3159="","",W3159-N3159)</f>
        <v/>
      </c>
      <c r="AB3159" s="17" t="str">
        <f aca="false">IF($D3159="","",IF(OR($R3159=TRUE(),$R3159="TRUE"),Settings!$C$6,Settings!$C$7)*100)</f>
        <v/>
      </c>
      <c r="AH3159" s="18" t="str">
        <f aca="false">IF($D3159="","",IF(COUNTIF($D$2:$D3159,$D3159)=1,1,0))</f>
        <v/>
      </c>
      <c r="AI3159" s="18" t="str">
        <f aca="false">IF($AH3159=1,SUMPRODUCT(--($AK$2:$AK$4001&lt;$AK3159))+1,"")</f>
        <v/>
      </c>
      <c r="AJ3159" s="18" t="str">
        <f aca="false">IF($D3159="","",IF(OR($R3159=TRUE(),$R3159="TRUE"),1,0))</f>
        <v/>
      </c>
      <c r="AK3159" s="18" t="str">
        <f aca="false">IF($AH3159=1,IFERROR(VALUE(MID($D3159,2,20)),1000000000)+ROW()/10000000,"")</f>
        <v/>
      </c>
    </row>
    <row r="3160" customFormat="false" ht="15" hidden="false" customHeight="false" outlineLevel="0" collapsed="false">
      <c r="F3160" s="15"/>
      <c r="N3160" s="16" t="str">
        <f aca="false">IF($D3160="","",M3160*Y3160/100)</f>
        <v/>
      </c>
      <c r="V3160" s="16" t="str">
        <f aca="false">IF($D3160="","",Y3160*AB3160/100)</f>
        <v/>
      </c>
      <c r="W3160" s="16" t="str">
        <f aca="false">IF($D3160="","",Y3160-V3160)</f>
        <v/>
      </c>
      <c r="X3160" s="16" t="str">
        <f aca="false">IF($D3160="","",W3160-N3160)</f>
        <v/>
      </c>
      <c r="AB3160" s="17" t="str">
        <f aca="false">IF($D3160="","",IF(OR($R3160=TRUE(),$R3160="TRUE"),Settings!$C$6,Settings!$C$7)*100)</f>
        <v/>
      </c>
      <c r="AH3160" s="18" t="str">
        <f aca="false">IF($D3160="","",IF(COUNTIF($D$2:$D3160,$D3160)=1,1,0))</f>
        <v/>
      </c>
      <c r="AI3160" s="18" t="str">
        <f aca="false">IF($AH3160=1,SUMPRODUCT(--($AK$2:$AK$4001&lt;$AK3160))+1,"")</f>
        <v/>
      </c>
      <c r="AJ3160" s="18" t="str">
        <f aca="false">IF($D3160="","",IF(OR($R3160=TRUE(),$R3160="TRUE"),1,0))</f>
        <v/>
      </c>
      <c r="AK3160" s="18" t="str">
        <f aca="false">IF($AH3160=1,IFERROR(VALUE(MID($D3160,2,20)),1000000000)+ROW()/10000000,"")</f>
        <v/>
      </c>
    </row>
    <row r="3161" customFormat="false" ht="15" hidden="false" customHeight="false" outlineLevel="0" collapsed="false">
      <c r="F3161" s="15"/>
      <c r="N3161" s="16" t="str">
        <f aca="false">IF($D3161="","",M3161*Y3161/100)</f>
        <v/>
      </c>
      <c r="V3161" s="16" t="str">
        <f aca="false">IF($D3161="","",Y3161*AB3161/100)</f>
        <v/>
      </c>
      <c r="W3161" s="16" t="str">
        <f aca="false">IF($D3161="","",Y3161-V3161)</f>
        <v/>
      </c>
      <c r="X3161" s="16" t="str">
        <f aca="false">IF($D3161="","",W3161-N3161)</f>
        <v/>
      </c>
      <c r="AB3161" s="17" t="str">
        <f aca="false">IF($D3161="","",IF(OR($R3161=TRUE(),$R3161="TRUE"),Settings!$C$6,Settings!$C$7)*100)</f>
        <v/>
      </c>
      <c r="AH3161" s="18" t="str">
        <f aca="false">IF($D3161="","",IF(COUNTIF($D$2:$D3161,$D3161)=1,1,0))</f>
        <v/>
      </c>
      <c r="AI3161" s="18" t="str">
        <f aca="false">IF($AH3161=1,SUMPRODUCT(--($AK$2:$AK$4001&lt;$AK3161))+1,"")</f>
        <v/>
      </c>
      <c r="AJ3161" s="18" t="str">
        <f aca="false">IF($D3161="","",IF(OR($R3161=TRUE(),$R3161="TRUE"),1,0))</f>
        <v/>
      </c>
      <c r="AK3161" s="18" t="str">
        <f aca="false">IF($AH3161=1,IFERROR(VALUE(MID($D3161,2,20)),1000000000)+ROW()/10000000,"")</f>
        <v/>
      </c>
    </row>
    <row r="3162" customFormat="false" ht="15" hidden="false" customHeight="false" outlineLevel="0" collapsed="false">
      <c r="F3162" s="15"/>
      <c r="N3162" s="16" t="str">
        <f aca="false">IF($D3162="","",M3162*Y3162/100)</f>
        <v/>
      </c>
      <c r="V3162" s="16" t="str">
        <f aca="false">IF($D3162="","",Y3162*AB3162/100)</f>
        <v/>
      </c>
      <c r="W3162" s="16" t="str">
        <f aca="false">IF($D3162="","",Y3162-V3162)</f>
        <v/>
      </c>
      <c r="X3162" s="16" t="str">
        <f aca="false">IF($D3162="","",W3162-N3162)</f>
        <v/>
      </c>
      <c r="AB3162" s="17" t="str">
        <f aca="false">IF($D3162="","",IF(OR($R3162=TRUE(),$R3162="TRUE"),Settings!$C$6,Settings!$C$7)*100)</f>
        <v/>
      </c>
      <c r="AH3162" s="18" t="str">
        <f aca="false">IF($D3162="","",IF(COUNTIF($D$2:$D3162,$D3162)=1,1,0))</f>
        <v/>
      </c>
      <c r="AI3162" s="18" t="str">
        <f aca="false">IF($AH3162=1,SUMPRODUCT(--($AK$2:$AK$4001&lt;$AK3162))+1,"")</f>
        <v/>
      </c>
      <c r="AJ3162" s="18" t="str">
        <f aca="false">IF($D3162="","",IF(OR($R3162=TRUE(),$R3162="TRUE"),1,0))</f>
        <v/>
      </c>
      <c r="AK3162" s="18" t="str">
        <f aca="false">IF($AH3162=1,IFERROR(VALUE(MID($D3162,2,20)),1000000000)+ROW()/10000000,"")</f>
        <v/>
      </c>
    </row>
    <row r="3163" customFormat="false" ht="15" hidden="false" customHeight="false" outlineLevel="0" collapsed="false">
      <c r="F3163" s="15"/>
      <c r="N3163" s="16" t="str">
        <f aca="false">IF($D3163="","",M3163*Y3163/100)</f>
        <v/>
      </c>
      <c r="V3163" s="16" t="str">
        <f aca="false">IF($D3163="","",Y3163*AB3163/100)</f>
        <v/>
      </c>
      <c r="W3163" s="16" t="str">
        <f aca="false">IF($D3163="","",Y3163-V3163)</f>
        <v/>
      </c>
      <c r="X3163" s="16" t="str">
        <f aca="false">IF($D3163="","",W3163-N3163)</f>
        <v/>
      </c>
      <c r="AB3163" s="17" t="str">
        <f aca="false">IF($D3163="","",IF(OR($R3163=TRUE(),$R3163="TRUE"),Settings!$C$6,Settings!$C$7)*100)</f>
        <v/>
      </c>
      <c r="AH3163" s="18" t="str">
        <f aca="false">IF($D3163="","",IF(COUNTIF($D$2:$D3163,$D3163)=1,1,0))</f>
        <v/>
      </c>
      <c r="AI3163" s="18" t="str">
        <f aca="false">IF($AH3163=1,SUMPRODUCT(--($AK$2:$AK$4001&lt;$AK3163))+1,"")</f>
        <v/>
      </c>
      <c r="AJ3163" s="18" t="str">
        <f aca="false">IF($D3163="","",IF(OR($R3163=TRUE(),$R3163="TRUE"),1,0))</f>
        <v/>
      </c>
      <c r="AK3163" s="18" t="str">
        <f aca="false">IF($AH3163=1,IFERROR(VALUE(MID($D3163,2,20)),1000000000)+ROW()/10000000,"")</f>
        <v/>
      </c>
    </row>
    <row r="3164" customFormat="false" ht="15" hidden="false" customHeight="false" outlineLevel="0" collapsed="false">
      <c r="F3164" s="15"/>
      <c r="N3164" s="16" t="str">
        <f aca="false">IF($D3164="","",M3164*Y3164/100)</f>
        <v/>
      </c>
      <c r="V3164" s="16" t="str">
        <f aca="false">IF($D3164="","",Y3164*AB3164/100)</f>
        <v/>
      </c>
      <c r="W3164" s="16" t="str">
        <f aca="false">IF($D3164="","",Y3164-V3164)</f>
        <v/>
      </c>
      <c r="X3164" s="16" t="str">
        <f aca="false">IF($D3164="","",W3164-N3164)</f>
        <v/>
      </c>
      <c r="AB3164" s="17" t="str">
        <f aca="false">IF($D3164="","",IF(OR($R3164=TRUE(),$R3164="TRUE"),Settings!$C$6,Settings!$C$7)*100)</f>
        <v/>
      </c>
      <c r="AH3164" s="18" t="str">
        <f aca="false">IF($D3164="","",IF(COUNTIF($D$2:$D3164,$D3164)=1,1,0))</f>
        <v/>
      </c>
      <c r="AI3164" s="18" t="str">
        <f aca="false">IF($AH3164=1,SUMPRODUCT(--($AK$2:$AK$4001&lt;$AK3164))+1,"")</f>
        <v/>
      </c>
      <c r="AJ3164" s="18" t="str">
        <f aca="false">IF($D3164="","",IF(OR($R3164=TRUE(),$R3164="TRUE"),1,0))</f>
        <v/>
      </c>
      <c r="AK3164" s="18" t="str">
        <f aca="false">IF($AH3164=1,IFERROR(VALUE(MID($D3164,2,20)),1000000000)+ROW()/10000000,"")</f>
        <v/>
      </c>
    </row>
    <row r="3165" customFormat="false" ht="15" hidden="false" customHeight="false" outlineLevel="0" collapsed="false">
      <c r="F3165" s="15"/>
      <c r="N3165" s="16" t="str">
        <f aca="false">IF($D3165="","",M3165*Y3165/100)</f>
        <v/>
      </c>
      <c r="V3165" s="16" t="str">
        <f aca="false">IF($D3165="","",Y3165*AB3165/100)</f>
        <v/>
      </c>
      <c r="W3165" s="16" t="str">
        <f aca="false">IF($D3165="","",Y3165-V3165)</f>
        <v/>
      </c>
      <c r="X3165" s="16" t="str">
        <f aca="false">IF($D3165="","",W3165-N3165)</f>
        <v/>
      </c>
      <c r="AB3165" s="17" t="str">
        <f aca="false">IF($D3165="","",IF(OR($R3165=TRUE(),$R3165="TRUE"),Settings!$C$6,Settings!$C$7)*100)</f>
        <v/>
      </c>
      <c r="AH3165" s="18" t="str">
        <f aca="false">IF($D3165="","",IF(COUNTIF($D$2:$D3165,$D3165)=1,1,0))</f>
        <v/>
      </c>
      <c r="AI3165" s="18" t="str">
        <f aca="false">IF($AH3165=1,SUMPRODUCT(--($AK$2:$AK$4001&lt;$AK3165))+1,"")</f>
        <v/>
      </c>
      <c r="AJ3165" s="18" t="str">
        <f aca="false">IF($D3165="","",IF(OR($R3165=TRUE(),$R3165="TRUE"),1,0))</f>
        <v/>
      </c>
      <c r="AK3165" s="18" t="str">
        <f aca="false">IF($AH3165=1,IFERROR(VALUE(MID($D3165,2,20)),1000000000)+ROW()/10000000,"")</f>
        <v/>
      </c>
    </row>
    <row r="3166" customFormat="false" ht="15" hidden="false" customHeight="false" outlineLevel="0" collapsed="false">
      <c r="F3166" s="15"/>
      <c r="N3166" s="16" t="str">
        <f aca="false">IF($D3166="","",M3166*Y3166/100)</f>
        <v/>
      </c>
      <c r="V3166" s="16" t="str">
        <f aca="false">IF($D3166="","",Y3166*AB3166/100)</f>
        <v/>
      </c>
      <c r="W3166" s="16" t="str">
        <f aca="false">IF($D3166="","",Y3166-V3166)</f>
        <v/>
      </c>
      <c r="X3166" s="16" t="str">
        <f aca="false">IF($D3166="","",W3166-N3166)</f>
        <v/>
      </c>
      <c r="AB3166" s="17" t="str">
        <f aca="false">IF($D3166="","",IF(OR($R3166=TRUE(),$R3166="TRUE"),Settings!$C$6,Settings!$C$7)*100)</f>
        <v/>
      </c>
      <c r="AH3166" s="18" t="str">
        <f aca="false">IF($D3166="","",IF(COUNTIF($D$2:$D3166,$D3166)=1,1,0))</f>
        <v/>
      </c>
      <c r="AI3166" s="18" t="str">
        <f aca="false">IF($AH3166=1,SUMPRODUCT(--($AK$2:$AK$4001&lt;$AK3166))+1,"")</f>
        <v/>
      </c>
      <c r="AJ3166" s="18" t="str">
        <f aca="false">IF($D3166="","",IF(OR($R3166=TRUE(),$R3166="TRUE"),1,0))</f>
        <v/>
      </c>
      <c r="AK3166" s="18" t="str">
        <f aca="false">IF($AH3166=1,IFERROR(VALUE(MID($D3166,2,20)),1000000000)+ROW()/10000000,"")</f>
        <v/>
      </c>
    </row>
    <row r="3167" customFormat="false" ht="15" hidden="false" customHeight="false" outlineLevel="0" collapsed="false">
      <c r="F3167" s="15"/>
      <c r="N3167" s="16" t="str">
        <f aca="false">IF($D3167="","",M3167*Y3167/100)</f>
        <v/>
      </c>
      <c r="V3167" s="16" t="str">
        <f aca="false">IF($D3167="","",Y3167*AB3167/100)</f>
        <v/>
      </c>
      <c r="W3167" s="16" t="str">
        <f aca="false">IF($D3167="","",Y3167-V3167)</f>
        <v/>
      </c>
      <c r="X3167" s="16" t="str">
        <f aca="false">IF($D3167="","",W3167-N3167)</f>
        <v/>
      </c>
      <c r="AB3167" s="17" t="str">
        <f aca="false">IF($D3167="","",IF(OR($R3167=TRUE(),$R3167="TRUE"),Settings!$C$6,Settings!$C$7)*100)</f>
        <v/>
      </c>
      <c r="AH3167" s="18" t="str">
        <f aca="false">IF($D3167="","",IF(COUNTIF($D$2:$D3167,$D3167)=1,1,0))</f>
        <v/>
      </c>
      <c r="AI3167" s="18" t="str">
        <f aca="false">IF($AH3167=1,SUMPRODUCT(--($AK$2:$AK$4001&lt;$AK3167))+1,"")</f>
        <v/>
      </c>
      <c r="AJ3167" s="18" t="str">
        <f aca="false">IF($D3167="","",IF(OR($R3167=TRUE(),$R3167="TRUE"),1,0))</f>
        <v/>
      </c>
      <c r="AK3167" s="18" t="str">
        <f aca="false">IF($AH3167=1,IFERROR(VALUE(MID($D3167,2,20)),1000000000)+ROW()/10000000,"")</f>
        <v/>
      </c>
    </row>
    <row r="3168" customFormat="false" ht="15" hidden="false" customHeight="false" outlineLevel="0" collapsed="false">
      <c r="F3168" s="15"/>
      <c r="N3168" s="16" t="str">
        <f aca="false">IF($D3168="","",M3168*Y3168/100)</f>
        <v/>
      </c>
      <c r="V3168" s="16" t="str">
        <f aca="false">IF($D3168="","",Y3168*AB3168/100)</f>
        <v/>
      </c>
      <c r="W3168" s="16" t="str">
        <f aca="false">IF($D3168="","",Y3168-V3168)</f>
        <v/>
      </c>
      <c r="X3168" s="16" t="str">
        <f aca="false">IF($D3168="","",W3168-N3168)</f>
        <v/>
      </c>
      <c r="AB3168" s="17" t="str">
        <f aca="false">IF($D3168="","",IF(OR($R3168=TRUE(),$R3168="TRUE"),Settings!$C$6,Settings!$C$7)*100)</f>
        <v/>
      </c>
      <c r="AH3168" s="18" t="str">
        <f aca="false">IF($D3168="","",IF(COUNTIF($D$2:$D3168,$D3168)=1,1,0))</f>
        <v/>
      </c>
      <c r="AI3168" s="18" t="str">
        <f aca="false">IF($AH3168=1,SUMPRODUCT(--($AK$2:$AK$4001&lt;$AK3168))+1,"")</f>
        <v/>
      </c>
      <c r="AJ3168" s="18" t="str">
        <f aca="false">IF($D3168="","",IF(OR($R3168=TRUE(),$R3168="TRUE"),1,0))</f>
        <v/>
      </c>
      <c r="AK3168" s="18" t="str">
        <f aca="false">IF($AH3168=1,IFERROR(VALUE(MID($D3168,2,20)),1000000000)+ROW()/10000000,"")</f>
        <v/>
      </c>
    </row>
    <row r="3169" customFormat="false" ht="15" hidden="false" customHeight="false" outlineLevel="0" collapsed="false">
      <c r="F3169" s="15"/>
      <c r="N3169" s="16" t="str">
        <f aca="false">IF($D3169="","",M3169*Y3169/100)</f>
        <v/>
      </c>
      <c r="V3169" s="16" t="str">
        <f aca="false">IF($D3169="","",Y3169*AB3169/100)</f>
        <v/>
      </c>
      <c r="W3169" s="16" t="str">
        <f aca="false">IF($D3169="","",Y3169-V3169)</f>
        <v/>
      </c>
      <c r="X3169" s="16" t="str">
        <f aca="false">IF($D3169="","",W3169-N3169)</f>
        <v/>
      </c>
      <c r="AB3169" s="17" t="str">
        <f aca="false">IF($D3169="","",IF(OR($R3169=TRUE(),$R3169="TRUE"),Settings!$C$6,Settings!$C$7)*100)</f>
        <v/>
      </c>
      <c r="AH3169" s="18" t="str">
        <f aca="false">IF($D3169="","",IF(COUNTIF($D$2:$D3169,$D3169)=1,1,0))</f>
        <v/>
      </c>
      <c r="AI3169" s="18" t="str">
        <f aca="false">IF($AH3169=1,SUMPRODUCT(--($AK$2:$AK$4001&lt;$AK3169))+1,"")</f>
        <v/>
      </c>
      <c r="AJ3169" s="18" t="str">
        <f aca="false">IF($D3169="","",IF(OR($R3169=TRUE(),$R3169="TRUE"),1,0))</f>
        <v/>
      </c>
      <c r="AK3169" s="18" t="str">
        <f aca="false">IF($AH3169=1,IFERROR(VALUE(MID($D3169,2,20)),1000000000)+ROW()/10000000,"")</f>
        <v/>
      </c>
    </row>
    <row r="3170" customFormat="false" ht="15" hidden="false" customHeight="false" outlineLevel="0" collapsed="false">
      <c r="F3170" s="15"/>
      <c r="N3170" s="16" t="str">
        <f aca="false">IF($D3170="","",M3170*Y3170/100)</f>
        <v/>
      </c>
      <c r="V3170" s="16" t="str">
        <f aca="false">IF($D3170="","",Y3170*AB3170/100)</f>
        <v/>
      </c>
      <c r="W3170" s="16" t="str">
        <f aca="false">IF($D3170="","",Y3170-V3170)</f>
        <v/>
      </c>
      <c r="X3170" s="16" t="str">
        <f aca="false">IF($D3170="","",W3170-N3170)</f>
        <v/>
      </c>
      <c r="AB3170" s="17" t="str">
        <f aca="false">IF($D3170="","",IF(OR($R3170=TRUE(),$R3170="TRUE"),Settings!$C$6,Settings!$C$7)*100)</f>
        <v/>
      </c>
      <c r="AH3170" s="18" t="str">
        <f aca="false">IF($D3170="","",IF(COUNTIF($D$2:$D3170,$D3170)=1,1,0))</f>
        <v/>
      </c>
      <c r="AI3170" s="18" t="str">
        <f aca="false">IF($AH3170=1,SUMPRODUCT(--($AK$2:$AK$4001&lt;$AK3170))+1,"")</f>
        <v/>
      </c>
      <c r="AJ3170" s="18" t="str">
        <f aca="false">IF($D3170="","",IF(OR($R3170=TRUE(),$R3170="TRUE"),1,0))</f>
        <v/>
      </c>
      <c r="AK3170" s="18" t="str">
        <f aca="false">IF($AH3170=1,IFERROR(VALUE(MID($D3170,2,20)),1000000000)+ROW()/10000000,"")</f>
        <v/>
      </c>
    </row>
    <row r="3171" customFormat="false" ht="15" hidden="false" customHeight="false" outlineLevel="0" collapsed="false">
      <c r="F3171" s="15"/>
      <c r="N3171" s="16" t="str">
        <f aca="false">IF($D3171="","",M3171*Y3171/100)</f>
        <v/>
      </c>
      <c r="V3171" s="16" t="str">
        <f aca="false">IF($D3171="","",Y3171*AB3171/100)</f>
        <v/>
      </c>
      <c r="W3171" s="16" t="str">
        <f aca="false">IF($D3171="","",Y3171-V3171)</f>
        <v/>
      </c>
      <c r="X3171" s="16" t="str">
        <f aca="false">IF($D3171="","",W3171-N3171)</f>
        <v/>
      </c>
      <c r="AB3171" s="17" t="str">
        <f aca="false">IF($D3171="","",IF(OR($R3171=TRUE(),$R3171="TRUE"),Settings!$C$6,Settings!$C$7)*100)</f>
        <v/>
      </c>
      <c r="AH3171" s="18" t="str">
        <f aca="false">IF($D3171="","",IF(COUNTIF($D$2:$D3171,$D3171)=1,1,0))</f>
        <v/>
      </c>
      <c r="AI3171" s="18" t="str">
        <f aca="false">IF($AH3171=1,SUMPRODUCT(--($AK$2:$AK$4001&lt;$AK3171))+1,"")</f>
        <v/>
      </c>
      <c r="AJ3171" s="18" t="str">
        <f aca="false">IF($D3171="","",IF(OR($R3171=TRUE(),$R3171="TRUE"),1,0))</f>
        <v/>
      </c>
      <c r="AK3171" s="18" t="str">
        <f aca="false">IF($AH3171=1,IFERROR(VALUE(MID($D3171,2,20)),1000000000)+ROW()/10000000,"")</f>
        <v/>
      </c>
    </row>
    <row r="3172" customFormat="false" ht="15" hidden="false" customHeight="false" outlineLevel="0" collapsed="false">
      <c r="F3172" s="15"/>
      <c r="N3172" s="16" t="str">
        <f aca="false">IF($D3172="","",M3172*Y3172/100)</f>
        <v/>
      </c>
      <c r="V3172" s="16" t="str">
        <f aca="false">IF($D3172="","",Y3172*AB3172/100)</f>
        <v/>
      </c>
      <c r="W3172" s="16" t="str">
        <f aca="false">IF($D3172="","",Y3172-V3172)</f>
        <v/>
      </c>
      <c r="X3172" s="16" t="str">
        <f aca="false">IF($D3172="","",W3172-N3172)</f>
        <v/>
      </c>
      <c r="AB3172" s="17" t="str">
        <f aca="false">IF($D3172="","",IF(OR($R3172=TRUE(),$R3172="TRUE"),Settings!$C$6,Settings!$C$7)*100)</f>
        <v/>
      </c>
      <c r="AH3172" s="18" t="str">
        <f aca="false">IF($D3172="","",IF(COUNTIF($D$2:$D3172,$D3172)=1,1,0))</f>
        <v/>
      </c>
      <c r="AI3172" s="18" t="str">
        <f aca="false">IF($AH3172=1,SUMPRODUCT(--($AK$2:$AK$4001&lt;$AK3172))+1,"")</f>
        <v/>
      </c>
      <c r="AJ3172" s="18" t="str">
        <f aca="false">IF($D3172="","",IF(OR($R3172=TRUE(),$R3172="TRUE"),1,0))</f>
        <v/>
      </c>
      <c r="AK3172" s="18" t="str">
        <f aca="false">IF($AH3172=1,IFERROR(VALUE(MID($D3172,2,20)),1000000000)+ROW()/10000000,"")</f>
        <v/>
      </c>
    </row>
    <row r="3173" customFormat="false" ht="15" hidden="false" customHeight="false" outlineLevel="0" collapsed="false">
      <c r="F3173" s="15"/>
      <c r="N3173" s="16" t="str">
        <f aca="false">IF($D3173="","",M3173*Y3173/100)</f>
        <v/>
      </c>
      <c r="V3173" s="16" t="str">
        <f aca="false">IF($D3173="","",Y3173*AB3173/100)</f>
        <v/>
      </c>
      <c r="W3173" s="16" t="str">
        <f aca="false">IF($D3173="","",Y3173-V3173)</f>
        <v/>
      </c>
      <c r="X3173" s="16" t="str">
        <f aca="false">IF($D3173="","",W3173-N3173)</f>
        <v/>
      </c>
      <c r="AB3173" s="17" t="str">
        <f aca="false">IF($D3173="","",IF(OR($R3173=TRUE(),$R3173="TRUE"),Settings!$C$6,Settings!$C$7)*100)</f>
        <v/>
      </c>
      <c r="AH3173" s="18" t="str">
        <f aca="false">IF($D3173="","",IF(COUNTIF($D$2:$D3173,$D3173)=1,1,0))</f>
        <v/>
      </c>
      <c r="AI3173" s="18" t="str">
        <f aca="false">IF($AH3173=1,SUMPRODUCT(--($AK$2:$AK$4001&lt;$AK3173))+1,"")</f>
        <v/>
      </c>
      <c r="AJ3173" s="18" t="str">
        <f aca="false">IF($D3173="","",IF(OR($R3173=TRUE(),$R3173="TRUE"),1,0))</f>
        <v/>
      </c>
      <c r="AK3173" s="18" t="str">
        <f aca="false">IF($AH3173=1,IFERROR(VALUE(MID($D3173,2,20)),1000000000)+ROW()/10000000,"")</f>
        <v/>
      </c>
    </row>
    <row r="3174" customFormat="false" ht="15" hidden="false" customHeight="false" outlineLevel="0" collapsed="false">
      <c r="F3174" s="15"/>
      <c r="N3174" s="16" t="str">
        <f aca="false">IF($D3174="","",M3174*Y3174/100)</f>
        <v/>
      </c>
      <c r="V3174" s="16" t="str">
        <f aca="false">IF($D3174="","",Y3174*AB3174/100)</f>
        <v/>
      </c>
      <c r="W3174" s="16" t="str">
        <f aca="false">IF($D3174="","",Y3174-V3174)</f>
        <v/>
      </c>
      <c r="X3174" s="16" t="str">
        <f aca="false">IF($D3174="","",W3174-N3174)</f>
        <v/>
      </c>
      <c r="AB3174" s="17" t="str">
        <f aca="false">IF($D3174="","",IF(OR($R3174=TRUE(),$R3174="TRUE"),Settings!$C$6,Settings!$C$7)*100)</f>
        <v/>
      </c>
      <c r="AH3174" s="18" t="str">
        <f aca="false">IF($D3174="","",IF(COUNTIF($D$2:$D3174,$D3174)=1,1,0))</f>
        <v/>
      </c>
      <c r="AI3174" s="18" t="str">
        <f aca="false">IF($AH3174=1,SUMPRODUCT(--($AK$2:$AK$4001&lt;$AK3174))+1,"")</f>
        <v/>
      </c>
      <c r="AJ3174" s="18" t="str">
        <f aca="false">IF($D3174="","",IF(OR($R3174=TRUE(),$R3174="TRUE"),1,0))</f>
        <v/>
      </c>
      <c r="AK3174" s="18" t="str">
        <f aca="false">IF($AH3174=1,IFERROR(VALUE(MID($D3174,2,20)),1000000000)+ROW()/10000000,"")</f>
        <v/>
      </c>
    </row>
    <row r="3175" customFormat="false" ht="15" hidden="false" customHeight="false" outlineLevel="0" collapsed="false">
      <c r="F3175" s="15"/>
      <c r="N3175" s="16" t="str">
        <f aca="false">IF($D3175="","",M3175*Y3175/100)</f>
        <v/>
      </c>
      <c r="V3175" s="16" t="str">
        <f aca="false">IF($D3175="","",Y3175*AB3175/100)</f>
        <v/>
      </c>
      <c r="W3175" s="16" t="str">
        <f aca="false">IF($D3175="","",Y3175-V3175)</f>
        <v/>
      </c>
      <c r="X3175" s="16" t="str">
        <f aca="false">IF($D3175="","",W3175-N3175)</f>
        <v/>
      </c>
      <c r="AB3175" s="17" t="str">
        <f aca="false">IF($D3175="","",IF(OR($R3175=TRUE(),$R3175="TRUE"),Settings!$C$6,Settings!$C$7)*100)</f>
        <v/>
      </c>
      <c r="AH3175" s="18" t="str">
        <f aca="false">IF($D3175="","",IF(COUNTIF($D$2:$D3175,$D3175)=1,1,0))</f>
        <v/>
      </c>
      <c r="AI3175" s="18" t="str">
        <f aca="false">IF($AH3175=1,SUMPRODUCT(--($AK$2:$AK$4001&lt;$AK3175))+1,"")</f>
        <v/>
      </c>
      <c r="AJ3175" s="18" t="str">
        <f aca="false">IF($D3175="","",IF(OR($R3175=TRUE(),$R3175="TRUE"),1,0))</f>
        <v/>
      </c>
      <c r="AK3175" s="18" t="str">
        <f aca="false">IF($AH3175=1,IFERROR(VALUE(MID($D3175,2,20)),1000000000)+ROW()/10000000,"")</f>
        <v/>
      </c>
    </row>
    <row r="3176" customFormat="false" ht="15" hidden="false" customHeight="false" outlineLevel="0" collapsed="false">
      <c r="F3176" s="15"/>
      <c r="N3176" s="16" t="str">
        <f aca="false">IF($D3176="","",M3176*Y3176/100)</f>
        <v/>
      </c>
      <c r="V3176" s="16" t="str">
        <f aca="false">IF($D3176="","",Y3176*AB3176/100)</f>
        <v/>
      </c>
      <c r="W3176" s="16" t="str">
        <f aca="false">IF($D3176="","",Y3176-V3176)</f>
        <v/>
      </c>
      <c r="X3176" s="16" t="str">
        <f aca="false">IF($D3176="","",W3176-N3176)</f>
        <v/>
      </c>
      <c r="AB3176" s="17" t="str">
        <f aca="false">IF($D3176="","",IF(OR($R3176=TRUE(),$R3176="TRUE"),Settings!$C$6,Settings!$C$7)*100)</f>
        <v/>
      </c>
      <c r="AH3176" s="18" t="str">
        <f aca="false">IF($D3176="","",IF(COUNTIF($D$2:$D3176,$D3176)=1,1,0))</f>
        <v/>
      </c>
      <c r="AI3176" s="18" t="str">
        <f aca="false">IF($AH3176=1,SUMPRODUCT(--($AK$2:$AK$4001&lt;$AK3176))+1,"")</f>
        <v/>
      </c>
      <c r="AJ3176" s="18" t="str">
        <f aca="false">IF($D3176="","",IF(OR($R3176=TRUE(),$R3176="TRUE"),1,0))</f>
        <v/>
      </c>
      <c r="AK3176" s="18" t="str">
        <f aca="false">IF($AH3176=1,IFERROR(VALUE(MID($D3176,2,20)),1000000000)+ROW()/10000000,"")</f>
        <v/>
      </c>
    </row>
    <row r="3177" customFormat="false" ht="15" hidden="false" customHeight="false" outlineLevel="0" collapsed="false">
      <c r="F3177" s="15"/>
      <c r="N3177" s="16" t="str">
        <f aca="false">IF($D3177="","",M3177*Y3177/100)</f>
        <v/>
      </c>
      <c r="V3177" s="16" t="str">
        <f aca="false">IF($D3177="","",Y3177*AB3177/100)</f>
        <v/>
      </c>
      <c r="W3177" s="16" t="str">
        <f aca="false">IF($D3177="","",Y3177-V3177)</f>
        <v/>
      </c>
      <c r="X3177" s="16" t="str">
        <f aca="false">IF($D3177="","",W3177-N3177)</f>
        <v/>
      </c>
      <c r="AB3177" s="17" t="str">
        <f aca="false">IF($D3177="","",IF(OR($R3177=TRUE(),$R3177="TRUE"),Settings!$C$6,Settings!$C$7)*100)</f>
        <v/>
      </c>
      <c r="AH3177" s="18" t="str">
        <f aca="false">IF($D3177="","",IF(COUNTIF($D$2:$D3177,$D3177)=1,1,0))</f>
        <v/>
      </c>
      <c r="AI3177" s="18" t="str">
        <f aca="false">IF($AH3177=1,SUMPRODUCT(--($AK$2:$AK$4001&lt;$AK3177))+1,"")</f>
        <v/>
      </c>
      <c r="AJ3177" s="18" t="str">
        <f aca="false">IF($D3177="","",IF(OR($R3177=TRUE(),$R3177="TRUE"),1,0))</f>
        <v/>
      </c>
      <c r="AK3177" s="18" t="str">
        <f aca="false">IF($AH3177=1,IFERROR(VALUE(MID($D3177,2,20)),1000000000)+ROW()/10000000,"")</f>
        <v/>
      </c>
    </row>
    <row r="3178" customFormat="false" ht="15" hidden="false" customHeight="false" outlineLevel="0" collapsed="false">
      <c r="F3178" s="15"/>
      <c r="N3178" s="16" t="str">
        <f aca="false">IF($D3178="","",M3178*Y3178/100)</f>
        <v/>
      </c>
      <c r="V3178" s="16" t="str">
        <f aca="false">IF($D3178="","",Y3178*AB3178/100)</f>
        <v/>
      </c>
      <c r="W3178" s="16" t="str">
        <f aca="false">IF($D3178="","",Y3178-V3178)</f>
        <v/>
      </c>
      <c r="X3178" s="16" t="str">
        <f aca="false">IF($D3178="","",W3178-N3178)</f>
        <v/>
      </c>
      <c r="AB3178" s="17" t="str">
        <f aca="false">IF($D3178="","",IF(OR($R3178=TRUE(),$R3178="TRUE"),Settings!$C$6,Settings!$C$7)*100)</f>
        <v/>
      </c>
      <c r="AH3178" s="18" t="str">
        <f aca="false">IF($D3178="","",IF(COUNTIF($D$2:$D3178,$D3178)=1,1,0))</f>
        <v/>
      </c>
      <c r="AI3178" s="18" t="str">
        <f aca="false">IF($AH3178=1,SUMPRODUCT(--($AK$2:$AK$4001&lt;$AK3178))+1,"")</f>
        <v/>
      </c>
      <c r="AJ3178" s="18" t="str">
        <f aca="false">IF($D3178="","",IF(OR($R3178=TRUE(),$R3178="TRUE"),1,0))</f>
        <v/>
      </c>
      <c r="AK3178" s="18" t="str">
        <f aca="false">IF($AH3178=1,IFERROR(VALUE(MID($D3178,2,20)),1000000000)+ROW()/10000000,"")</f>
        <v/>
      </c>
    </row>
    <row r="3179" customFormat="false" ht="15" hidden="false" customHeight="false" outlineLevel="0" collapsed="false">
      <c r="F3179" s="15"/>
      <c r="N3179" s="16" t="str">
        <f aca="false">IF($D3179="","",M3179*Y3179/100)</f>
        <v/>
      </c>
      <c r="V3179" s="16" t="str">
        <f aca="false">IF($D3179="","",Y3179*AB3179/100)</f>
        <v/>
      </c>
      <c r="W3179" s="16" t="str">
        <f aca="false">IF($D3179="","",Y3179-V3179)</f>
        <v/>
      </c>
      <c r="X3179" s="16" t="str">
        <f aca="false">IF($D3179="","",W3179-N3179)</f>
        <v/>
      </c>
      <c r="AB3179" s="17" t="str">
        <f aca="false">IF($D3179="","",IF(OR($R3179=TRUE(),$R3179="TRUE"),Settings!$C$6,Settings!$C$7)*100)</f>
        <v/>
      </c>
      <c r="AH3179" s="18" t="str">
        <f aca="false">IF($D3179="","",IF(COUNTIF($D$2:$D3179,$D3179)=1,1,0))</f>
        <v/>
      </c>
      <c r="AI3179" s="18" t="str">
        <f aca="false">IF($AH3179=1,SUMPRODUCT(--($AK$2:$AK$4001&lt;$AK3179))+1,"")</f>
        <v/>
      </c>
      <c r="AJ3179" s="18" t="str">
        <f aca="false">IF($D3179="","",IF(OR($R3179=TRUE(),$R3179="TRUE"),1,0))</f>
        <v/>
      </c>
      <c r="AK3179" s="18" t="str">
        <f aca="false">IF($AH3179=1,IFERROR(VALUE(MID($D3179,2,20)),1000000000)+ROW()/10000000,"")</f>
        <v/>
      </c>
    </row>
    <row r="3180" customFormat="false" ht="15" hidden="false" customHeight="false" outlineLevel="0" collapsed="false">
      <c r="F3180" s="15"/>
      <c r="N3180" s="16" t="str">
        <f aca="false">IF($D3180="","",M3180*Y3180/100)</f>
        <v/>
      </c>
      <c r="V3180" s="16" t="str">
        <f aca="false">IF($D3180="","",Y3180*AB3180/100)</f>
        <v/>
      </c>
      <c r="W3180" s="16" t="str">
        <f aca="false">IF($D3180="","",Y3180-V3180)</f>
        <v/>
      </c>
      <c r="X3180" s="16" t="str">
        <f aca="false">IF($D3180="","",W3180-N3180)</f>
        <v/>
      </c>
      <c r="AB3180" s="17" t="str">
        <f aca="false">IF($D3180="","",IF(OR($R3180=TRUE(),$R3180="TRUE"),Settings!$C$6,Settings!$C$7)*100)</f>
        <v/>
      </c>
      <c r="AH3180" s="18" t="str">
        <f aca="false">IF($D3180="","",IF(COUNTIF($D$2:$D3180,$D3180)=1,1,0))</f>
        <v/>
      </c>
      <c r="AI3180" s="18" t="str">
        <f aca="false">IF($AH3180=1,SUMPRODUCT(--($AK$2:$AK$4001&lt;$AK3180))+1,"")</f>
        <v/>
      </c>
      <c r="AJ3180" s="18" t="str">
        <f aca="false">IF($D3180="","",IF(OR($R3180=TRUE(),$R3180="TRUE"),1,0))</f>
        <v/>
      </c>
      <c r="AK3180" s="18" t="str">
        <f aca="false">IF($AH3180=1,IFERROR(VALUE(MID($D3180,2,20)),1000000000)+ROW()/10000000,"")</f>
        <v/>
      </c>
    </row>
    <row r="3181" customFormat="false" ht="15" hidden="false" customHeight="false" outlineLevel="0" collapsed="false">
      <c r="F3181" s="15"/>
      <c r="N3181" s="16" t="str">
        <f aca="false">IF($D3181="","",M3181*Y3181/100)</f>
        <v/>
      </c>
      <c r="V3181" s="16" t="str">
        <f aca="false">IF($D3181="","",Y3181*AB3181/100)</f>
        <v/>
      </c>
      <c r="W3181" s="16" t="str">
        <f aca="false">IF($D3181="","",Y3181-V3181)</f>
        <v/>
      </c>
      <c r="X3181" s="16" t="str">
        <f aca="false">IF($D3181="","",W3181-N3181)</f>
        <v/>
      </c>
      <c r="AB3181" s="17" t="str">
        <f aca="false">IF($D3181="","",IF(OR($R3181=TRUE(),$R3181="TRUE"),Settings!$C$6,Settings!$C$7)*100)</f>
        <v/>
      </c>
      <c r="AH3181" s="18" t="str">
        <f aca="false">IF($D3181="","",IF(COUNTIF($D$2:$D3181,$D3181)=1,1,0))</f>
        <v/>
      </c>
      <c r="AI3181" s="18" t="str">
        <f aca="false">IF($AH3181=1,SUMPRODUCT(--($AK$2:$AK$4001&lt;$AK3181))+1,"")</f>
        <v/>
      </c>
      <c r="AJ3181" s="18" t="str">
        <f aca="false">IF($D3181="","",IF(OR($R3181=TRUE(),$R3181="TRUE"),1,0))</f>
        <v/>
      </c>
      <c r="AK3181" s="18" t="str">
        <f aca="false">IF($AH3181=1,IFERROR(VALUE(MID($D3181,2,20)),1000000000)+ROW()/10000000,"")</f>
        <v/>
      </c>
    </row>
    <row r="3182" customFormat="false" ht="15" hidden="false" customHeight="false" outlineLevel="0" collapsed="false">
      <c r="F3182" s="15"/>
      <c r="N3182" s="16" t="str">
        <f aca="false">IF($D3182="","",M3182*Y3182/100)</f>
        <v/>
      </c>
      <c r="V3182" s="16" t="str">
        <f aca="false">IF($D3182="","",Y3182*AB3182/100)</f>
        <v/>
      </c>
      <c r="W3182" s="16" t="str">
        <f aca="false">IF($D3182="","",Y3182-V3182)</f>
        <v/>
      </c>
      <c r="X3182" s="16" t="str">
        <f aca="false">IF($D3182="","",W3182-N3182)</f>
        <v/>
      </c>
      <c r="AB3182" s="17" t="str">
        <f aca="false">IF($D3182="","",IF(OR($R3182=TRUE(),$R3182="TRUE"),Settings!$C$6,Settings!$C$7)*100)</f>
        <v/>
      </c>
      <c r="AH3182" s="18" t="str">
        <f aca="false">IF($D3182="","",IF(COUNTIF($D$2:$D3182,$D3182)=1,1,0))</f>
        <v/>
      </c>
      <c r="AI3182" s="18" t="str">
        <f aca="false">IF($AH3182=1,SUMPRODUCT(--($AK$2:$AK$4001&lt;$AK3182))+1,"")</f>
        <v/>
      </c>
      <c r="AJ3182" s="18" t="str">
        <f aca="false">IF($D3182="","",IF(OR($R3182=TRUE(),$R3182="TRUE"),1,0))</f>
        <v/>
      </c>
      <c r="AK3182" s="18" t="str">
        <f aca="false">IF($AH3182=1,IFERROR(VALUE(MID($D3182,2,20)),1000000000)+ROW()/10000000,"")</f>
        <v/>
      </c>
    </row>
    <row r="3183" customFormat="false" ht="15" hidden="false" customHeight="false" outlineLevel="0" collapsed="false">
      <c r="F3183" s="15"/>
      <c r="N3183" s="16" t="str">
        <f aca="false">IF($D3183="","",M3183*Y3183/100)</f>
        <v/>
      </c>
      <c r="V3183" s="16" t="str">
        <f aca="false">IF($D3183="","",Y3183*AB3183/100)</f>
        <v/>
      </c>
      <c r="W3183" s="16" t="str">
        <f aca="false">IF($D3183="","",Y3183-V3183)</f>
        <v/>
      </c>
      <c r="X3183" s="16" t="str">
        <f aca="false">IF($D3183="","",W3183-N3183)</f>
        <v/>
      </c>
      <c r="AB3183" s="17" t="str">
        <f aca="false">IF($D3183="","",IF(OR($R3183=TRUE(),$R3183="TRUE"),Settings!$C$6,Settings!$C$7)*100)</f>
        <v/>
      </c>
      <c r="AH3183" s="18" t="str">
        <f aca="false">IF($D3183="","",IF(COUNTIF($D$2:$D3183,$D3183)=1,1,0))</f>
        <v/>
      </c>
      <c r="AI3183" s="18" t="str">
        <f aca="false">IF($AH3183=1,SUMPRODUCT(--($AK$2:$AK$4001&lt;$AK3183))+1,"")</f>
        <v/>
      </c>
      <c r="AJ3183" s="18" t="str">
        <f aca="false">IF($D3183="","",IF(OR($R3183=TRUE(),$R3183="TRUE"),1,0))</f>
        <v/>
      </c>
      <c r="AK3183" s="18" t="str">
        <f aca="false">IF($AH3183=1,IFERROR(VALUE(MID($D3183,2,20)),1000000000)+ROW()/10000000,"")</f>
        <v/>
      </c>
    </row>
    <row r="3184" customFormat="false" ht="15" hidden="false" customHeight="false" outlineLevel="0" collapsed="false">
      <c r="F3184" s="15"/>
      <c r="N3184" s="16" t="str">
        <f aca="false">IF($D3184="","",M3184*Y3184/100)</f>
        <v/>
      </c>
      <c r="V3184" s="16" t="str">
        <f aca="false">IF($D3184="","",Y3184*AB3184/100)</f>
        <v/>
      </c>
      <c r="W3184" s="16" t="str">
        <f aca="false">IF($D3184="","",Y3184-V3184)</f>
        <v/>
      </c>
      <c r="X3184" s="16" t="str">
        <f aca="false">IF($D3184="","",W3184-N3184)</f>
        <v/>
      </c>
      <c r="AB3184" s="17" t="str">
        <f aca="false">IF($D3184="","",IF(OR($R3184=TRUE(),$R3184="TRUE"),Settings!$C$6,Settings!$C$7)*100)</f>
        <v/>
      </c>
      <c r="AH3184" s="18" t="str">
        <f aca="false">IF($D3184="","",IF(COUNTIF($D$2:$D3184,$D3184)=1,1,0))</f>
        <v/>
      </c>
      <c r="AI3184" s="18" t="str">
        <f aca="false">IF($AH3184=1,SUMPRODUCT(--($AK$2:$AK$4001&lt;$AK3184))+1,"")</f>
        <v/>
      </c>
      <c r="AJ3184" s="18" t="str">
        <f aca="false">IF($D3184="","",IF(OR($R3184=TRUE(),$R3184="TRUE"),1,0))</f>
        <v/>
      </c>
      <c r="AK3184" s="18" t="str">
        <f aca="false">IF($AH3184=1,IFERROR(VALUE(MID($D3184,2,20)),1000000000)+ROW()/10000000,"")</f>
        <v/>
      </c>
    </row>
    <row r="3185" customFormat="false" ht="15" hidden="false" customHeight="false" outlineLevel="0" collapsed="false">
      <c r="F3185" s="15"/>
      <c r="N3185" s="16" t="str">
        <f aca="false">IF($D3185="","",M3185*Y3185/100)</f>
        <v/>
      </c>
      <c r="V3185" s="16" t="str">
        <f aca="false">IF($D3185="","",Y3185*AB3185/100)</f>
        <v/>
      </c>
      <c r="W3185" s="16" t="str">
        <f aca="false">IF($D3185="","",Y3185-V3185)</f>
        <v/>
      </c>
      <c r="X3185" s="16" t="str">
        <f aca="false">IF($D3185="","",W3185-N3185)</f>
        <v/>
      </c>
      <c r="AB3185" s="17" t="str">
        <f aca="false">IF($D3185="","",IF(OR($R3185=TRUE(),$R3185="TRUE"),Settings!$C$6,Settings!$C$7)*100)</f>
        <v/>
      </c>
      <c r="AH3185" s="18" t="str">
        <f aca="false">IF($D3185="","",IF(COUNTIF($D$2:$D3185,$D3185)=1,1,0))</f>
        <v/>
      </c>
      <c r="AI3185" s="18" t="str">
        <f aca="false">IF($AH3185=1,SUMPRODUCT(--($AK$2:$AK$4001&lt;$AK3185))+1,"")</f>
        <v/>
      </c>
      <c r="AJ3185" s="18" t="str">
        <f aca="false">IF($D3185="","",IF(OR($R3185=TRUE(),$R3185="TRUE"),1,0))</f>
        <v/>
      </c>
      <c r="AK3185" s="18" t="str">
        <f aca="false">IF($AH3185=1,IFERROR(VALUE(MID($D3185,2,20)),1000000000)+ROW()/10000000,"")</f>
        <v/>
      </c>
    </row>
    <row r="3186" customFormat="false" ht="15" hidden="false" customHeight="false" outlineLevel="0" collapsed="false">
      <c r="F3186" s="15"/>
      <c r="N3186" s="16" t="str">
        <f aca="false">IF($D3186="","",M3186*Y3186/100)</f>
        <v/>
      </c>
      <c r="V3186" s="16" t="str">
        <f aca="false">IF($D3186="","",Y3186*AB3186/100)</f>
        <v/>
      </c>
      <c r="W3186" s="16" t="str">
        <f aca="false">IF($D3186="","",Y3186-V3186)</f>
        <v/>
      </c>
      <c r="X3186" s="16" t="str">
        <f aca="false">IF($D3186="","",W3186-N3186)</f>
        <v/>
      </c>
      <c r="AB3186" s="17" t="str">
        <f aca="false">IF($D3186="","",IF(OR($R3186=TRUE(),$R3186="TRUE"),Settings!$C$6,Settings!$C$7)*100)</f>
        <v/>
      </c>
      <c r="AH3186" s="18" t="str">
        <f aca="false">IF($D3186="","",IF(COUNTIF($D$2:$D3186,$D3186)=1,1,0))</f>
        <v/>
      </c>
      <c r="AI3186" s="18" t="str">
        <f aca="false">IF($AH3186=1,SUMPRODUCT(--($AK$2:$AK$4001&lt;$AK3186))+1,"")</f>
        <v/>
      </c>
      <c r="AJ3186" s="18" t="str">
        <f aca="false">IF($D3186="","",IF(OR($R3186=TRUE(),$R3186="TRUE"),1,0))</f>
        <v/>
      </c>
      <c r="AK3186" s="18" t="str">
        <f aca="false">IF($AH3186=1,IFERROR(VALUE(MID($D3186,2,20)),1000000000)+ROW()/10000000,"")</f>
        <v/>
      </c>
    </row>
    <row r="3187" customFormat="false" ht="15" hidden="false" customHeight="false" outlineLevel="0" collapsed="false">
      <c r="F3187" s="15"/>
      <c r="N3187" s="16" t="str">
        <f aca="false">IF($D3187="","",M3187*Y3187/100)</f>
        <v/>
      </c>
      <c r="V3187" s="16" t="str">
        <f aca="false">IF($D3187="","",Y3187*AB3187/100)</f>
        <v/>
      </c>
      <c r="W3187" s="16" t="str">
        <f aca="false">IF($D3187="","",Y3187-V3187)</f>
        <v/>
      </c>
      <c r="X3187" s="16" t="str">
        <f aca="false">IF($D3187="","",W3187-N3187)</f>
        <v/>
      </c>
      <c r="AB3187" s="17" t="str">
        <f aca="false">IF($D3187="","",IF(OR($R3187=TRUE(),$R3187="TRUE"),Settings!$C$6,Settings!$C$7)*100)</f>
        <v/>
      </c>
      <c r="AH3187" s="18" t="str">
        <f aca="false">IF($D3187="","",IF(COUNTIF($D$2:$D3187,$D3187)=1,1,0))</f>
        <v/>
      </c>
      <c r="AI3187" s="18" t="str">
        <f aca="false">IF($AH3187=1,SUMPRODUCT(--($AK$2:$AK$4001&lt;$AK3187))+1,"")</f>
        <v/>
      </c>
      <c r="AJ3187" s="18" t="str">
        <f aca="false">IF($D3187="","",IF(OR($R3187=TRUE(),$R3187="TRUE"),1,0))</f>
        <v/>
      </c>
      <c r="AK3187" s="18" t="str">
        <f aca="false">IF($AH3187=1,IFERROR(VALUE(MID($D3187,2,20)),1000000000)+ROW()/10000000,"")</f>
        <v/>
      </c>
    </row>
    <row r="3188" customFormat="false" ht="15" hidden="false" customHeight="false" outlineLevel="0" collapsed="false">
      <c r="F3188" s="15"/>
      <c r="N3188" s="16" t="str">
        <f aca="false">IF($D3188="","",M3188*Y3188/100)</f>
        <v/>
      </c>
      <c r="V3188" s="16" t="str">
        <f aca="false">IF($D3188="","",Y3188*AB3188/100)</f>
        <v/>
      </c>
      <c r="W3188" s="16" t="str">
        <f aca="false">IF($D3188="","",Y3188-V3188)</f>
        <v/>
      </c>
      <c r="X3188" s="16" t="str">
        <f aca="false">IF($D3188="","",W3188-N3188)</f>
        <v/>
      </c>
      <c r="AB3188" s="17" t="str">
        <f aca="false">IF($D3188="","",IF(OR($R3188=TRUE(),$R3188="TRUE"),Settings!$C$6,Settings!$C$7)*100)</f>
        <v/>
      </c>
      <c r="AH3188" s="18" t="str">
        <f aca="false">IF($D3188="","",IF(COUNTIF($D$2:$D3188,$D3188)=1,1,0))</f>
        <v/>
      </c>
      <c r="AI3188" s="18" t="str">
        <f aca="false">IF($AH3188=1,SUMPRODUCT(--($AK$2:$AK$4001&lt;$AK3188))+1,"")</f>
        <v/>
      </c>
      <c r="AJ3188" s="18" t="str">
        <f aca="false">IF($D3188="","",IF(OR($R3188=TRUE(),$R3188="TRUE"),1,0))</f>
        <v/>
      </c>
      <c r="AK3188" s="18" t="str">
        <f aca="false">IF($AH3188=1,IFERROR(VALUE(MID($D3188,2,20)),1000000000)+ROW()/10000000,"")</f>
        <v/>
      </c>
    </row>
    <row r="3189" customFormat="false" ht="15" hidden="false" customHeight="false" outlineLevel="0" collapsed="false">
      <c r="F3189" s="15"/>
      <c r="N3189" s="16" t="str">
        <f aca="false">IF($D3189="","",M3189*Y3189/100)</f>
        <v/>
      </c>
      <c r="V3189" s="16" t="str">
        <f aca="false">IF($D3189="","",Y3189*AB3189/100)</f>
        <v/>
      </c>
      <c r="W3189" s="16" t="str">
        <f aca="false">IF($D3189="","",Y3189-V3189)</f>
        <v/>
      </c>
      <c r="X3189" s="16" t="str">
        <f aca="false">IF($D3189="","",W3189-N3189)</f>
        <v/>
      </c>
      <c r="AB3189" s="17" t="str">
        <f aca="false">IF($D3189="","",IF(OR($R3189=TRUE(),$R3189="TRUE"),Settings!$C$6,Settings!$C$7)*100)</f>
        <v/>
      </c>
      <c r="AH3189" s="18" t="str">
        <f aca="false">IF($D3189="","",IF(COUNTIF($D$2:$D3189,$D3189)=1,1,0))</f>
        <v/>
      </c>
      <c r="AI3189" s="18" t="str">
        <f aca="false">IF($AH3189=1,SUMPRODUCT(--($AK$2:$AK$4001&lt;$AK3189))+1,"")</f>
        <v/>
      </c>
      <c r="AJ3189" s="18" t="str">
        <f aca="false">IF($D3189="","",IF(OR($R3189=TRUE(),$R3189="TRUE"),1,0))</f>
        <v/>
      </c>
      <c r="AK3189" s="18" t="str">
        <f aca="false">IF($AH3189=1,IFERROR(VALUE(MID($D3189,2,20)),1000000000)+ROW()/10000000,"")</f>
        <v/>
      </c>
    </row>
    <row r="3190" customFormat="false" ht="15" hidden="false" customHeight="false" outlineLevel="0" collapsed="false">
      <c r="F3190" s="15"/>
      <c r="N3190" s="16" t="str">
        <f aca="false">IF($D3190="","",M3190*Y3190/100)</f>
        <v/>
      </c>
      <c r="V3190" s="16" t="str">
        <f aca="false">IF($D3190="","",Y3190*AB3190/100)</f>
        <v/>
      </c>
      <c r="W3190" s="16" t="str">
        <f aca="false">IF($D3190="","",Y3190-V3190)</f>
        <v/>
      </c>
      <c r="X3190" s="16" t="str">
        <f aca="false">IF($D3190="","",W3190-N3190)</f>
        <v/>
      </c>
      <c r="AB3190" s="17" t="str">
        <f aca="false">IF($D3190="","",IF(OR($R3190=TRUE(),$R3190="TRUE"),Settings!$C$6,Settings!$C$7)*100)</f>
        <v/>
      </c>
      <c r="AH3190" s="18" t="str">
        <f aca="false">IF($D3190="","",IF(COUNTIF($D$2:$D3190,$D3190)=1,1,0))</f>
        <v/>
      </c>
      <c r="AI3190" s="18" t="str">
        <f aca="false">IF($AH3190=1,SUMPRODUCT(--($AK$2:$AK$4001&lt;$AK3190))+1,"")</f>
        <v/>
      </c>
      <c r="AJ3190" s="18" t="str">
        <f aca="false">IF($D3190="","",IF(OR($R3190=TRUE(),$R3190="TRUE"),1,0))</f>
        <v/>
      </c>
      <c r="AK3190" s="18" t="str">
        <f aca="false">IF($AH3190=1,IFERROR(VALUE(MID($D3190,2,20)),1000000000)+ROW()/10000000,"")</f>
        <v/>
      </c>
    </row>
    <row r="3191" customFormat="false" ht="15" hidden="false" customHeight="false" outlineLevel="0" collapsed="false">
      <c r="F3191" s="15"/>
      <c r="N3191" s="16" t="str">
        <f aca="false">IF($D3191="","",M3191*Y3191/100)</f>
        <v/>
      </c>
      <c r="V3191" s="16" t="str">
        <f aca="false">IF($D3191="","",Y3191*AB3191/100)</f>
        <v/>
      </c>
      <c r="W3191" s="16" t="str">
        <f aca="false">IF($D3191="","",Y3191-V3191)</f>
        <v/>
      </c>
      <c r="X3191" s="16" t="str">
        <f aca="false">IF($D3191="","",W3191-N3191)</f>
        <v/>
      </c>
      <c r="AB3191" s="17" t="str">
        <f aca="false">IF($D3191="","",IF(OR($R3191=TRUE(),$R3191="TRUE"),Settings!$C$6,Settings!$C$7)*100)</f>
        <v/>
      </c>
      <c r="AH3191" s="18" t="str">
        <f aca="false">IF($D3191="","",IF(COUNTIF($D$2:$D3191,$D3191)=1,1,0))</f>
        <v/>
      </c>
      <c r="AI3191" s="18" t="str">
        <f aca="false">IF($AH3191=1,SUMPRODUCT(--($AK$2:$AK$4001&lt;$AK3191))+1,"")</f>
        <v/>
      </c>
      <c r="AJ3191" s="18" t="str">
        <f aca="false">IF($D3191="","",IF(OR($R3191=TRUE(),$R3191="TRUE"),1,0))</f>
        <v/>
      </c>
      <c r="AK3191" s="18" t="str">
        <f aca="false">IF($AH3191=1,IFERROR(VALUE(MID($D3191,2,20)),1000000000)+ROW()/10000000,"")</f>
        <v/>
      </c>
    </row>
    <row r="3192" customFormat="false" ht="15" hidden="false" customHeight="false" outlineLevel="0" collapsed="false">
      <c r="F3192" s="15"/>
      <c r="N3192" s="16" t="str">
        <f aca="false">IF($D3192="","",M3192*Y3192/100)</f>
        <v/>
      </c>
      <c r="V3192" s="16" t="str">
        <f aca="false">IF($D3192="","",Y3192*AB3192/100)</f>
        <v/>
      </c>
      <c r="W3192" s="16" t="str">
        <f aca="false">IF($D3192="","",Y3192-V3192)</f>
        <v/>
      </c>
      <c r="X3192" s="16" t="str">
        <f aca="false">IF($D3192="","",W3192-N3192)</f>
        <v/>
      </c>
      <c r="AB3192" s="17" t="str">
        <f aca="false">IF($D3192="","",IF(OR($R3192=TRUE(),$R3192="TRUE"),Settings!$C$6,Settings!$C$7)*100)</f>
        <v/>
      </c>
      <c r="AH3192" s="18" t="str">
        <f aca="false">IF($D3192="","",IF(COUNTIF($D$2:$D3192,$D3192)=1,1,0))</f>
        <v/>
      </c>
      <c r="AI3192" s="18" t="str">
        <f aca="false">IF($AH3192=1,SUMPRODUCT(--($AK$2:$AK$4001&lt;$AK3192))+1,"")</f>
        <v/>
      </c>
      <c r="AJ3192" s="18" t="str">
        <f aca="false">IF($D3192="","",IF(OR($R3192=TRUE(),$R3192="TRUE"),1,0))</f>
        <v/>
      </c>
      <c r="AK3192" s="18" t="str">
        <f aca="false">IF($AH3192=1,IFERROR(VALUE(MID($D3192,2,20)),1000000000)+ROW()/10000000,"")</f>
        <v/>
      </c>
    </row>
    <row r="3193" customFormat="false" ht="15" hidden="false" customHeight="false" outlineLevel="0" collapsed="false">
      <c r="F3193" s="15"/>
      <c r="N3193" s="16" t="str">
        <f aca="false">IF($D3193="","",M3193*Y3193/100)</f>
        <v/>
      </c>
      <c r="V3193" s="16" t="str">
        <f aca="false">IF($D3193="","",Y3193*AB3193/100)</f>
        <v/>
      </c>
      <c r="W3193" s="16" t="str">
        <f aca="false">IF($D3193="","",Y3193-V3193)</f>
        <v/>
      </c>
      <c r="X3193" s="16" t="str">
        <f aca="false">IF($D3193="","",W3193-N3193)</f>
        <v/>
      </c>
      <c r="AB3193" s="17" t="str">
        <f aca="false">IF($D3193="","",IF(OR($R3193=TRUE(),$R3193="TRUE"),Settings!$C$6,Settings!$C$7)*100)</f>
        <v/>
      </c>
      <c r="AH3193" s="18" t="str">
        <f aca="false">IF($D3193="","",IF(COUNTIF($D$2:$D3193,$D3193)=1,1,0))</f>
        <v/>
      </c>
      <c r="AI3193" s="18" t="str">
        <f aca="false">IF($AH3193=1,SUMPRODUCT(--($AK$2:$AK$4001&lt;$AK3193))+1,"")</f>
        <v/>
      </c>
      <c r="AJ3193" s="18" t="str">
        <f aca="false">IF($D3193="","",IF(OR($R3193=TRUE(),$R3193="TRUE"),1,0))</f>
        <v/>
      </c>
      <c r="AK3193" s="18" t="str">
        <f aca="false">IF($AH3193=1,IFERROR(VALUE(MID($D3193,2,20)),1000000000)+ROW()/10000000,"")</f>
        <v/>
      </c>
    </row>
    <row r="3194" customFormat="false" ht="15" hidden="false" customHeight="false" outlineLevel="0" collapsed="false">
      <c r="F3194" s="15"/>
      <c r="N3194" s="16" t="str">
        <f aca="false">IF($D3194="","",M3194*Y3194/100)</f>
        <v/>
      </c>
      <c r="V3194" s="16" t="str">
        <f aca="false">IF($D3194="","",Y3194*AB3194/100)</f>
        <v/>
      </c>
      <c r="W3194" s="16" t="str">
        <f aca="false">IF($D3194="","",Y3194-V3194)</f>
        <v/>
      </c>
      <c r="X3194" s="16" t="str">
        <f aca="false">IF($D3194="","",W3194-N3194)</f>
        <v/>
      </c>
      <c r="AB3194" s="17" t="str">
        <f aca="false">IF($D3194="","",IF(OR($R3194=TRUE(),$R3194="TRUE"),Settings!$C$6,Settings!$C$7)*100)</f>
        <v/>
      </c>
      <c r="AH3194" s="18" t="str">
        <f aca="false">IF($D3194="","",IF(COUNTIF($D$2:$D3194,$D3194)=1,1,0))</f>
        <v/>
      </c>
      <c r="AI3194" s="18" t="str">
        <f aca="false">IF($AH3194=1,SUMPRODUCT(--($AK$2:$AK$4001&lt;$AK3194))+1,"")</f>
        <v/>
      </c>
      <c r="AJ3194" s="18" t="str">
        <f aca="false">IF($D3194="","",IF(OR($R3194=TRUE(),$R3194="TRUE"),1,0))</f>
        <v/>
      </c>
      <c r="AK3194" s="18" t="str">
        <f aca="false">IF($AH3194=1,IFERROR(VALUE(MID($D3194,2,20)),1000000000)+ROW()/10000000,"")</f>
        <v/>
      </c>
    </row>
    <row r="3195" customFormat="false" ht="15" hidden="false" customHeight="false" outlineLevel="0" collapsed="false">
      <c r="F3195" s="15"/>
      <c r="N3195" s="16" t="str">
        <f aca="false">IF($D3195="","",M3195*Y3195/100)</f>
        <v/>
      </c>
      <c r="V3195" s="16" t="str">
        <f aca="false">IF($D3195="","",Y3195*AB3195/100)</f>
        <v/>
      </c>
      <c r="W3195" s="16" t="str">
        <f aca="false">IF($D3195="","",Y3195-V3195)</f>
        <v/>
      </c>
      <c r="X3195" s="16" t="str">
        <f aca="false">IF($D3195="","",W3195-N3195)</f>
        <v/>
      </c>
      <c r="AB3195" s="17" t="str">
        <f aca="false">IF($D3195="","",IF(OR($R3195=TRUE(),$R3195="TRUE"),Settings!$C$6,Settings!$C$7)*100)</f>
        <v/>
      </c>
      <c r="AH3195" s="18" t="str">
        <f aca="false">IF($D3195="","",IF(COUNTIF($D$2:$D3195,$D3195)=1,1,0))</f>
        <v/>
      </c>
      <c r="AI3195" s="18" t="str">
        <f aca="false">IF($AH3195=1,SUMPRODUCT(--($AK$2:$AK$4001&lt;$AK3195))+1,"")</f>
        <v/>
      </c>
      <c r="AJ3195" s="18" t="str">
        <f aca="false">IF($D3195="","",IF(OR($R3195=TRUE(),$R3195="TRUE"),1,0))</f>
        <v/>
      </c>
      <c r="AK3195" s="18" t="str">
        <f aca="false">IF($AH3195=1,IFERROR(VALUE(MID($D3195,2,20)),1000000000)+ROW()/10000000,"")</f>
        <v/>
      </c>
    </row>
    <row r="3196" customFormat="false" ht="15" hidden="false" customHeight="false" outlineLevel="0" collapsed="false">
      <c r="F3196" s="15"/>
      <c r="N3196" s="16" t="str">
        <f aca="false">IF($D3196="","",M3196*Y3196/100)</f>
        <v/>
      </c>
      <c r="V3196" s="16" t="str">
        <f aca="false">IF($D3196="","",Y3196*AB3196/100)</f>
        <v/>
      </c>
      <c r="W3196" s="16" t="str">
        <f aca="false">IF($D3196="","",Y3196-V3196)</f>
        <v/>
      </c>
      <c r="X3196" s="16" t="str">
        <f aca="false">IF($D3196="","",W3196-N3196)</f>
        <v/>
      </c>
      <c r="AB3196" s="17" t="str">
        <f aca="false">IF($D3196="","",IF(OR($R3196=TRUE(),$R3196="TRUE"),Settings!$C$6,Settings!$C$7)*100)</f>
        <v/>
      </c>
      <c r="AH3196" s="18" t="str">
        <f aca="false">IF($D3196="","",IF(COUNTIF($D$2:$D3196,$D3196)=1,1,0))</f>
        <v/>
      </c>
      <c r="AI3196" s="18" t="str">
        <f aca="false">IF($AH3196=1,SUMPRODUCT(--($AK$2:$AK$4001&lt;$AK3196))+1,"")</f>
        <v/>
      </c>
      <c r="AJ3196" s="18" t="str">
        <f aca="false">IF($D3196="","",IF(OR($R3196=TRUE(),$R3196="TRUE"),1,0))</f>
        <v/>
      </c>
      <c r="AK3196" s="18" t="str">
        <f aca="false">IF($AH3196=1,IFERROR(VALUE(MID($D3196,2,20)),1000000000)+ROW()/10000000,"")</f>
        <v/>
      </c>
    </row>
    <row r="3197" customFormat="false" ht="15" hidden="false" customHeight="false" outlineLevel="0" collapsed="false">
      <c r="F3197" s="15"/>
      <c r="N3197" s="16" t="str">
        <f aca="false">IF($D3197="","",M3197*Y3197/100)</f>
        <v/>
      </c>
      <c r="V3197" s="16" t="str">
        <f aca="false">IF($D3197="","",Y3197*AB3197/100)</f>
        <v/>
      </c>
      <c r="W3197" s="16" t="str">
        <f aca="false">IF($D3197="","",Y3197-V3197)</f>
        <v/>
      </c>
      <c r="X3197" s="16" t="str">
        <f aca="false">IF($D3197="","",W3197-N3197)</f>
        <v/>
      </c>
      <c r="AB3197" s="17" t="str">
        <f aca="false">IF($D3197="","",IF(OR($R3197=TRUE(),$R3197="TRUE"),Settings!$C$6,Settings!$C$7)*100)</f>
        <v/>
      </c>
      <c r="AH3197" s="18" t="str">
        <f aca="false">IF($D3197="","",IF(COUNTIF($D$2:$D3197,$D3197)=1,1,0))</f>
        <v/>
      </c>
      <c r="AI3197" s="18" t="str">
        <f aca="false">IF($AH3197=1,SUMPRODUCT(--($AK$2:$AK$4001&lt;$AK3197))+1,"")</f>
        <v/>
      </c>
      <c r="AJ3197" s="18" t="str">
        <f aca="false">IF($D3197="","",IF(OR($R3197=TRUE(),$R3197="TRUE"),1,0))</f>
        <v/>
      </c>
      <c r="AK3197" s="18" t="str">
        <f aca="false">IF($AH3197=1,IFERROR(VALUE(MID($D3197,2,20)),1000000000)+ROW()/10000000,"")</f>
        <v/>
      </c>
    </row>
    <row r="3198" customFormat="false" ht="15" hidden="false" customHeight="false" outlineLevel="0" collapsed="false">
      <c r="F3198" s="15"/>
      <c r="N3198" s="16" t="str">
        <f aca="false">IF($D3198="","",M3198*Y3198/100)</f>
        <v/>
      </c>
      <c r="V3198" s="16" t="str">
        <f aca="false">IF($D3198="","",Y3198*AB3198/100)</f>
        <v/>
      </c>
      <c r="W3198" s="16" t="str">
        <f aca="false">IF($D3198="","",Y3198-V3198)</f>
        <v/>
      </c>
      <c r="X3198" s="16" t="str">
        <f aca="false">IF($D3198="","",W3198-N3198)</f>
        <v/>
      </c>
      <c r="AB3198" s="17" t="str">
        <f aca="false">IF($D3198="","",IF(OR($R3198=TRUE(),$R3198="TRUE"),Settings!$C$6,Settings!$C$7)*100)</f>
        <v/>
      </c>
      <c r="AH3198" s="18" t="str">
        <f aca="false">IF($D3198="","",IF(COUNTIF($D$2:$D3198,$D3198)=1,1,0))</f>
        <v/>
      </c>
      <c r="AI3198" s="18" t="str">
        <f aca="false">IF($AH3198=1,SUMPRODUCT(--($AK$2:$AK$4001&lt;$AK3198))+1,"")</f>
        <v/>
      </c>
      <c r="AJ3198" s="18" t="str">
        <f aca="false">IF($D3198="","",IF(OR($R3198=TRUE(),$R3198="TRUE"),1,0))</f>
        <v/>
      </c>
      <c r="AK3198" s="18" t="str">
        <f aca="false">IF($AH3198=1,IFERROR(VALUE(MID($D3198,2,20)),1000000000)+ROW()/10000000,"")</f>
        <v/>
      </c>
    </row>
    <row r="3199" customFormat="false" ht="15" hidden="false" customHeight="false" outlineLevel="0" collapsed="false">
      <c r="F3199" s="15"/>
      <c r="N3199" s="16" t="str">
        <f aca="false">IF($D3199="","",M3199*Y3199/100)</f>
        <v/>
      </c>
      <c r="V3199" s="16" t="str">
        <f aca="false">IF($D3199="","",Y3199*AB3199/100)</f>
        <v/>
      </c>
      <c r="W3199" s="16" t="str">
        <f aca="false">IF($D3199="","",Y3199-V3199)</f>
        <v/>
      </c>
      <c r="X3199" s="16" t="str">
        <f aca="false">IF($D3199="","",W3199-N3199)</f>
        <v/>
      </c>
      <c r="AB3199" s="17" t="str">
        <f aca="false">IF($D3199="","",IF(OR($R3199=TRUE(),$R3199="TRUE"),Settings!$C$6,Settings!$C$7)*100)</f>
        <v/>
      </c>
      <c r="AH3199" s="18" t="str">
        <f aca="false">IF($D3199="","",IF(COUNTIF($D$2:$D3199,$D3199)=1,1,0))</f>
        <v/>
      </c>
      <c r="AI3199" s="18" t="str">
        <f aca="false">IF($AH3199=1,SUMPRODUCT(--($AK$2:$AK$4001&lt;$AK3199))+1,"")</f>
        <v/>
      </c>
      <c r="AJ3199" s="18" t="str">
        <f aca="false">IF($D3199="","",IF(OR($R3199=TRUE(),$R3199="TRUE"),1,0))</f>
        <v/>
      </c>
      <c r="AK3199" s="18" t="str">
        <f aca="false">IF($AH3199=1,IFERROR(VALUE(MID($D3199,2,20)),1000000000)+ROW()/10000000,"")</f>
        <v/>
      </c>
    </row>
    <row r="3200" customFormat="false" ht="15" hidden="false" customHeight="false" outlineLevel="0" collapsed="false">
      <c r="F3200" s="15"/>
      <c r="N3200" s="16" t="str">
        <f aca="false">IF($D3200="","",M3200*Y3200/100)</f>
        <v/>
      </c>
      <c r="V3200" s="16" t="str">
        <f aca="false">IF($D3200="","",Y3200*AB3200/100)</f>
        <v/>
      </c>
      <c r="W3200" s="16" t="str">
        <f aca="false">IF($D3200="","",Y3200-V3200)</f>
        <v/>
      </c>
      <c r="X3200" s="16" t="str">
        <f aca="false">IF($D3200="","",W3200-N3200)</f>
        <v/>
      </c>
      <c r="AB3200" s="17" t="str">
        <f aca="false">IF($D3200="","",IF(OR($R3200=TRUE(),$R3200="TRUE"),Settings!$C$6,Settings!$C$7)*100)</f>
        <v/>
      </c>
      <c r="AH3200" s="18" t="str">
        <f aca="false">IF($D3200="","",IF(COUNTIF($D$2:$D3200,$D3200)=1,1,0))</f>
        <v/>
      </c>
      <c r="AI3200" s="18" t="str">
        <f aca="false">IF($AH3200=1,SUMPRODUCT(--($AK$2:$AK$4001&lt;$AK3200))+1,"")</f>
        <v/>
      </c>
      <c r="AJ3200" s="18" t="str">
        <f aca="false">IF($D3200="","",IF(OR($R3200=TRUE(),$R3200="TRUE"),1,0))</f>
        <v/>
      </c>
      <c r="AK3200" s="18" t="str">
        <f aca="false">IF($AH3200=1,IFERROR(VALUE(MID($D3200,2,20)),1000000000)+ROW()/10000000,"")</f>
        <v/>
      </c>
    </row>
    <row r="3201" customFormat="false" ht="15" hidden="false" customHeight="false" outlineLevel="0" collapsed="false">
      <c r="F3201" s="15"/>
      <c r="N3201" s="16" t="str">
        <f aca="false">IF($D3201="","",M3201*Y3201/100)</f>
        <v/>
      </c>
      <c r="V3201" s="16" t="str">
        <f aca="false">IF($D3201="","",Y3201*AB3201/100)</f>
        <v/>
      </c>
      <c r="W3201" s="16" t="str">
        <f aca="false">IF($D3201="","",Y3201-V3201)</f>
        <v/>
      </c>
      <c r="X3201" s="16" t="str">
        <f aca="false">IF($D3201="","",W3201-N3201)</f>
        <v/>
      </c>
      <c r="AB3201" s="17" t="str">
        <f aca="false">IF($D3201="","",IF(OR($R3201=TRUE(),$R3201="TRUE"),Settings!$C$6,Settings!$C$7)*100)</f>
        <v/>
      </c>
      <c r="AH3201" s="18" t="str">
        <f aca="false">IF($D3201="","",IF(COUNTIF($D$2:$D3201,$D3201)=1,1,0))</f>
        <v/>
      </c>
      <c r="AI3201" s="18" t="str">
        <f aca="false">IF($AH3201=1,SUMPRODUCT(--($AK$2:$AK$4001&lt;$AK3201))+1,"")</f>
        <v/>
      </c>
      <c r="AJ3201" s="18" t="str">
        <f aca="false">IF($D3201="","",IF(OR($R3201=TRUE(),$R3201="TRUE"),1,0))</f>
        <v/>
      </c>
      <c r="AK3201" s="18" t="str">
        <f aca="false">IF($AH3201=1,IFERROR(VALUE(MID($D3201,2,20)),1000000000)+ROW()/10000000,"")</f>
        <v/>
      </c>
    </row>
    <row r="3202" customFormat="false" ht="15" hidden="false" customHeight="false" outlineLevel="0" collapsed="false">
      <c r="F3202" s="15"/>
      <c r="N3202" s="16" t="str">
        <f aca="false">IF($D3202="","",M3202*Y3202/100)</f>
        <v/>
      </c>
      <c r="V3202" s="16" t="str">
        <f aca="false">IF($D3202="","",Y3202*AB3202/100)</f>
        <v/>
      </c>
      <c r="W3202" s="16" t="str">
        <f aca="false">IF($D3202="","",Y3202-V3202)</f>
        <v/>
      </c>
      <c r="X3202" s="16" t="str">
        <f aca="false">IF($D3202="","",W3202-N3202)</f>
        <v/>
      </c>
      <c r="AB3202" s="17" t="str">
        <f aca="false">IF($D3202="","",IF(OR($R3202=TRUE(),$R3202="TRUE"),Settings!$C$6,Settings!$C$7)*100)</f>
        <v/>
      </c>
      <c r="AH3202" s="18" t="str">
        <f aca="false">IF($D3202="","",IF(COUNTIF($D$2:$D3202,$D3202)=1,1,0))</f>
        <v/>
      </c>
      <c r="AI3202" s="18" t="str">
        <f aca="false">IF($AH3202=1,SUMPRODUCT(--($AK$2:$AK$4001&lt;$AK3202))+1,"")</f>
        <v/>
      </c>
      <c r="AJ3202" s="18" t="str">
        <f aca="false">IF($D3202="","",IF(OR($R3202=TRUE(),$R3202="TRUE"),1,0))</f>
        <v/>
      </c>
      <c r="AK3202" s="18" t="str">
        <f aca="false">IF($AH3202=1,IFERROR(VALUE(MID($D3202,2,20)),1000000000)+ROW()/10000000,"")</f>
        <v/>
      </c>
    </row>
    <row r="3203" customFormat="false" ht="15" hidden="false" customHeight="false" outlineLevel="0" collapsed="false">
      <c r="F3203" s="15"/>
      <c r="N3203" s="16" t="str">
        <f aca="false">IF($D3203="","",M3203*Y3203/100)</f>
        <v/>
      </c>
      <c r="V3203" s="16" t="str">
        <f aca="false">IF($D3203="","",Y3203*AB3203/100)</f>
        <v/>
      </c>
      <c r="W3203" s="16" t="str">
        <f aca="false">IF($D3203="","",Y3203-V3203)</f>
        <v/>
      </c>
      <c r="X3203" s="16" t="str">
        <f aca="false">IF($D3203="","",W3203-N3203)</f>
        <v/>
      </c>
      <c r="AB3203" s="17" t="str">
        <f aca="false">IF($D3203="","",IF(OR($R3203=TRUE(),$R3203="TRUE"),Settings!$C$6,Settings!$C$7)*100)</f>
        <v/>
      </c>
      <c r="AH3203" s="18" t="str">
        <f aca="false">IF($D3203="","",IF(COUNTIF($D$2:$D3203,$D3203)=1,1,0))</f>
        <v/>
      </c>
      <c r="AI3203" s="18" t="str">
        <f aca="false">IF($AH3203=1,SUMPRODUCT(--($AK$2:$AK$4001&lt;$AK3203))+1,"")</f>
        <v/>
      </c>
      <c r="AJ3203" s="18" t="str">
        <f aca="false">IF($D3203="","",IF(OR($R3203=TRUE(),$R3203="TRUE"),1,0))</f>
        <v/>
      </c>
      <c r="AK3203" s="18" t="str">
        <f aca="false">IF($AH3203=1,IFERROR(VALUE(MID($D3203,2,20)),1000000000)+ROW()/10000000,"")</f>
        <v/>
      </c>
    </row>
    <row r="3204" customFormat="false" ht="15" hidden="false" customHeight="false" outlineLevel="0" collapsed="false">
      <c r="F3204" s="15"/>
      <c r="N3204" s="16" t="str">
        <f aca="false">IF($D3204="","",M3204*Y3204/100)</f>
        <v/>
      </c>
      <c r="V3204" s="16" t="str">
        <f aca="false">IF($D3204="","",Y3204*AB3204/100)</f>
        <v/>
      </c>
      <c r="W3204" s="16" t="str">
        <f aca="false">IF($D3204="","",Y3204-V3204)</f>
        <v/>
      </c>
      <c r="X3204" s="16" t="str">
        <f aca="false">IF($D3204="","",W3204-N3204)</f>
        <v/>
      </c>
      <c r="AB3204" s="17" t="str">
        <f aca="false">IF($D3204="","",IF(OR($R3204=TRUE(),$R3204="TRUE"),Settings!$C$6,Settings!$C$7)*100)</f>
        <v/>
      </c>
      <c r="AH3204" s="18" t="str">
        <f aca="false">IF($D3204="","",IF(COUNTIF($D$2:$D3204,$D3204)=1,1,0))</f>
        <v/>
      </c>
      <c r="AI3204" s="18" t="str">
        <f aca="false">IF($AH3204=1,SUMPRODUCT(--($AK$2:$AK$4001&lt;$AK3204))+1,"")</f>
        <v/>
      </c>
      <c r="AJ3204" s="18" t="str">
        <f aca="false">IF($D3204="","",IF(OR($R3204=TRUE(),$R3204="TRUE"),1,0))</f>
        <v/>
      </c>
      <c r="AK3204" s="18" t="str">
        <f aca="false">IF($AH3204=1,IFERROR(VALUE(MID($D3204,2,20)),1000000000)+ROW()/10000000,"")</f>
        <v/>
      </c>
    </row>
    <row r="3205" customFormat="false" ht="15" hidden="false" customHeight="false" outlineLevel="0" collapsed="false">
      <c r="F3205" s="15"/>
      <c r="N3205" s="16" t="str">
        <f aca="false">IF($D3205="","",M3205*Y3205/100)</f>
        <v/>
      </c>
      <c r="V3205" s="16" t="str">
        <f aca="false">IF($D3205="","",Y3205*AB3205/100)</f>
        <v/>
      </c>
      <c r="W3205" s="16" t="str">
        <f aca="false">IF($D3205="","",Y3205-V3205)</f>
        <v/>
      </c>
      <c r="X3205" s="16" t="str">
        <f aca="false">IF($D3205="","",W3205-N3205)</f>
        <v/>
      </c>
      <c r="AB3205" s="17" t="str">
        <f aca="false">IF($D3205="","",IF(OR($R3205=TRUE(),$R3205="TRUE"),Settings!$C$6,Settings!$C$7)*100)</f>
        <v/>
      </c>
      <c r="AH3205" s="18" t="str">
        <f aca="false">IF($D3205="","",IF(COUNTIF($D$2:$D3205,$D3205)=1,1,0))</f>
        <v/>
      </c>
      <c r="AI3205" s="18" t="str">
        <f aca="false">IF($AH3205=1,SUMPRODUCT(--($AK$2:$AK$4001&lt;$AK3205))+1,"")</f>
        <v/>
      </c>
      <c r="AJ3205" s="18" t="str">
        <f aca="false">IF($D3205="","",IF(OR($R3205=TRUE(),$R3205="TRUE"),1,0))</f>
        <v/>
      </c>
      <c r="AK3205" s="18" t="str">
        <f aca="false">IF($AH3205=1,IFERROR(VALUE(MID($D3205,2,20)),1000000000)+ROW()/10000000,"")</f>
        <v/>
      </c>
    </row>
    <row r="3206" customFormat="false" ht="15" hidden="false" customHeight="false" outlineLevel="0" collapsed="false">
      <c r="F3206" s="15"/>
      <c r="N3206" s="16" t="str">
        <f aca="false">IF($D3206="","",M3206*Y3206/100)</f>
        <v/>
      </c>
      <c r="V3206" s="16" t="str">
        <f aca="false">IF($D3206="","",Y3206*AB3206/100)</f>
        <v/>
      </c>
      <c r="W3206" s="16" t="str">
        <f aca="false">IF($D3206="","",Y3206-V3206)</f>
        <v/>
      </c>
      <c r="X3206" s="16" t="str">
        <f aca="false">IF($D3206="","",W3206-N3206)</f>
        <v/>
      </c>
      <c r="AB3206" s="17" t="str">
        <f aca="false">IF($D3206="","",IF(OR($R3206=TRUE(),$R3206="TRUE"),Settings!$C$6,Settings!$C$7)*100)</f>
        <v/>
      </c>
      <c r="AH3206" s="18" t="str">
        <f aca="false">IF($D3206="","",IF(COUNTIF($D$2:$D3206,$D3206)=1,1,0))</f>
        <v/>
      </c>
      <c r="AI3206" s="18" t="str">
        <f aca="false">IF($AH3206=1,SUMPRODUCT(--($AK$2:$AK$4001&lt;$AK3206))+1,"")</f>
        <v/>
      </c>
      <c r="AJ3206" s="18" t="str">
        <f aca="false">IF($D3206="","",IF(OR($R3206=TRUE(),$R3206="TRUE"),1,0))</f>
        <v/>
      </c>
      <c r="AK3206" s="18" t="str">
        <f aca="false">IF($AH3206=1,IFERROR(VALUE(MID($D3206,2,20)),1000000000)+ROW()/10000000,"")</f>
        <v/>
      </c>
    </row>
    <row r="3207" customFormat="false" ht="15" hidden="false" customHeight="false" outlineLevel="0" collapsed="false">
      <c r="F3207" s="15"/>
      <c r="N3207" s="16" t="str">
        <f aca="false">IF($D3207="","",M3207*Y3207/100)</f>
        <v/>
      </c>
      <c r="V3207" s="16" t="str">
        <f aca="false">IF($D3207="","",Y3207*AB3207/100)</f>
        <v/>
      </c>
      <c r="W3207" s="16" t="str">
        <f aca="false">IF($D3207="","",Y3207-V3207)</f>
        <v/>
      </c>
      <c r="X3207" s="16" t="str">
        <f aca="false">IF($D3207="","",W3207-N3207)</f>
        <v/>
      </c>
      <c r="AB3207" s="17" t="str">
        <f aca="false">IF($D3207="","",IF(OR($R3207=TRUE(),$R3207="TRUE"),Settings!$C$6,Settings!$C$7)*100)</f>
        <v/>
      </c>
      <c r="AH3207" s="18" t="str">
        <f aca="false">IF($D3207="","",IF(COUNTIF($D$2:$D3207,$D3207)=1,1,0))</f>
        <v/>
      </c>
      <c r="AI3207" s="18" t="str">
        <f aca="false">IF($AH3207=1,SUMPRODUCT(--($AK$2:$AK$4001&lt;$AK3207))+1,"")</f>
        <v/>
      </c>
      <c r="AJ3207" s="18" t="str">
        <f aca="false">IF($D3207="","",IF(OR($R3207=TRUE(),$R3207="TRUE"),1,0))</f>
        <v/>
      </c>
      <c r="AK3207" s="18" t="str">
        <f aca="false">IF($AH3207=1,IFERROR(VALUE(MID($D3207,2,20)),1000000000)+ROW()/10000000,"")</f>
        <v/>
      </c>
    </row>
    <row r="3208" customFormat="false" ht="15" hidden="false" customHeight="false" outlineLevel="0" collapsed="false">
      <c r="F3208" s="15"/>
      <c r="N3208" s="16" t="str">
        <f aca="false">IF($D3208="","",M3208*Y3208/100)</f>
        <v/>
      </c>
      <c r="V3208" s="16" t="str">
        <f aca="false">IF($D3208="","",Y3208*AB3208/100)</f>
        <v/>
      </c>
      <c r="W3208" s="16" t="str">
        <f aca="false">IF($D3208="","",Y3208-V3208)</f>
        <v/>
      </c>
      <c r="X3208" s="16" t="str">
        <f aca="false">IF($D3208="","",W3208-N3208)</f>
        <v/>
      </c>
      <c r="AB3208" s="17" t="str">
        <f aca="false">IF($D3208="","",IF(OR($R3208=TRUE(),$R3208="TRUE"),Settings!$C$6,Settings!$C$7)*100)</f>
        <v/>
      </c>
      <c r="AH3208" s="18" t="str">
        <f aca="false">IF($D3208="","",IF(COUNTIF($D$2:$D3208,$D3208)=1,1,0))</f>
        <v/>
      </c>
      <c r="AI3208" s="18" t="str">
        <f aca="false">IF($AH3208=1,SUMPRODUCT(--($AK$2:$AK$4001&lt;$AK3208))+1,"")</f>
        <v/>
      </c>
      <c r="AJ3208" s="18" t="str">
        <f aca="false">IF($D3208="","",IF(OR($R3208=TRUE(),$R3208="TRUE"),1,0))</f>
        <v/>
      </c>
      <c r="AK3208" s="18" t="str">
        <f aca="false">IF($AH3208=1,IFERROR(VALUE(MID($D3208,2,20)),1000000000)+ROW()/10000000,"")</f>
        <v/>
      </c>
    </row>
    <row r="3209" customFormat="false" ht="15" hidden="false" customHeight="false" outlineLevel="0" collapsed="false">
      <c r="F3209" s="15"/>
      <c r="N3209" s="16" t="str">
        <f aca="false">IF($D3209="","",M3209*Y3209/100)</f>
        <v/>
      </c>
      <c r="V3209" s="16" t="str">
        <f aca="false">IF($D3209="","",Y3209*AB3209/100)</f>
        <v/>
      </c>
      <c r="W3209" s="16" t="str">
        <f aca="false">IF($D3209="","",Y3209-V3209)</f>
        <v/>
      </c>
      <c r="X3209" s="16" t="str">
        <f aca="false">IF($D3209="","",W3209-N3209)</f>
        <v/>
      </c>
      <c r="AB3209" s="17" t="str">
        <f aca="false">IF($D3209="","",IF(OR($R3209=TRUE(),$R3209="TRUE"),Settings!$C$6,Settings!$C$7)*100)</f>
        <v/>
      </c>
      <c r="AH3209" s="18" t="str">
        <f aca="false">IF($D3209="","",IF(COUNTIF($D$2:$D3209,$D3209)=1,1,0))</f>
        <v/>
      </c>
      <c r="AI3209" s="18" t="str">
        <f aca="false">IF($AH3209=1,SUMPRODUCT(--($AK$2:$AK$4001&lt;$AK3209))+1,"")</f>
        <v/>
      </c>
      <c r="AJ3209" s="18" t="str">
        <f aca="false">IF($D3209="","",IF(OR($R3209=TRUE(),$R3209="TRUE"),1,0))</f>
        <v/>
      </c>
      <c r="AK3209" s="18" t="str">
        <f aca="false">IF($AH3209=1,IFERROR(VALUE(MID($D3209,2,20)),1000000000)+ROW()/10000000,"")</f>
        <v/>
      </c>
    </row>
    <row r="3210" customFormat="false" ht="15" hidden="false" customHeight="false" outlineLevel="0" collapsed="false">
      <c r="F3210" s="15"/>
      <c r="N3210" s="16" t="str">
        <f aca="false">IF($D3210="","",M3210*Y3210/100)</f>
        <v/>
      </c>
      <c r="V3210" s="16" t="str">
        <f aca="false">IF($D3210="","",Y3210*AB3210/100)</f>
        <v/>
      </c>
      <c r="W3210" s="16" t="str">
        <f aca="false">IF($D3210="","",Y3210-V3210)</f>
        <v/>
      </c>
      <c r="X3210" s="16" t="str">
        <f aca="false">IF($D3210="","",W3210-N3210)</f>
        <v/>
      </c>
      <c r="AB3210" s="17" t="str">
        <f aca="false">IF($D3210="","",IF(OR($R3210=TRUE(),$R3210="TRUE"),Settings!$C$6,Settings!$C$7)*100)</f>
        <v/>
      </c>
      <c r="AH3210" s="18" t="str">
        <f aca="false">IF($D3210="","",IF(COUNTIF($D$2:$D3210,$D3210)=1,1,0))</f>
        <v/>
      </c>
      <c r="AI3210" s="18" t="str">
        <f aca="false">IF($AH3210=1,SUMPRODUCT(--($AK$2:$AK$4001&lt;$AK3210))+1,"")</f>
        <v/>
      </c>
      <c r="AJ3210" s="18" t="str">
        <f aca="false">IF($D3210="","",IF(OR($R3210=TRUE(),$R3210="TRUE"),1,0))</f>
        <v/>
      </c>
      <c r="AK3210" s="18" t="str">
        <f aca="false">IF($AH3210=1,IFERROR(VALUE(MID($D3210,2,20)),1000000000)+ROW()/10000000,"")</f>
        <v/>
      </c>
    </row>
    <row r="3211" customFormat="false" ht="15" hidden="false" customHeight="false" outlineLevel="0" collapsed="false">
      <c r="F3211" s="15"/>
      <c r="N3211" s="16" t="str">
        <f aca="false">IF($D3211="","",M3211*Y3211/100)</f>
        <v/>
      </c>
      <c r="V3211" s="16" t="str">
        <f aca="false">IF($D3211="","",Y3211*AB3211/100)</f>
        <v/>
      </c>
      <c r="W3211" s="16" t="str">
        <f aca="false">IF($D3211="","",Y3211-V3211)</f>
        <v/>
      </c>
      <c r="X3211" s="16" t="str">
        <f aca="false">IF($D3211="","",W3211-N3211)</f>
        <v/>
      </c>
      <c r="AB3211" s="17" t="str">
        <f aca="false">IF($D3211="","",IF(OR($R3211=TRUE(),$R3211="TRUE"),Settings!$C$6,Settings!$C$7)*100)</f>
        <v/>
      </c>
      <c r="AH3211" s="18" t="str">
        <f aca="false">IF($D3211="","",IF(COUNTIF($D$2:$D3211,$D3211)=1,1,0))</f>
        <v/>
      </c>
      <c r="AI3211" s="18" t="str">
        <f aca="false">IF($AH3211=1,SUMPRODUCT(--($AK$2:$AK$4001&lt;$AK3211))+1,"")</f>
        <v/>
      </c>
      <c r="AJ3211" s="18" t="str">
        <f aca="false">IF($D3211="","",IF(OR($R3211=TRUE(),$R3211="TRUE"),1,0))</f>
        <v/>
      </c>
      <c r="AK3211" s="18" t="str">
        <f aca="false">IF($AH3211=1,IFERROR(VALUE(MID($D3211,2,20)),1000000000)+ROW()/10000000,"")</f>
        <v/>
      </c>
    </row>
    <row r="3212" customFormat="false" ht="15" hidden="false" customHeight="false" outlineLevel="0" collapsed="false">
      <c r="F3212" s="15"/>
      <c r="N3212" s="16" t="str">
        <f aca="false">IF($D3212="","",M3212*Y3212/100)</f>
        <v/>
      </c>
      <c r="V3212" s="16" t="str">
        <f aca="false">IF($D3212="","",Y3212*AB3212/100)</f>
        <v/>
      </c>
      <c r="W3212" s="16" t="str">
        <f aca="false">IF($D3212="","",Y3212-V3212)</f>
        <v/>
      </c>
      <c r="X3212" s="16" t="str">
        <f aca="false">IF($D3212="","",W3212-N3212)</f>
        <v/>
      </c>
      <c r="AB3212" s="17" t="str">
        <f aca="false">IF($D3212="","",IF(OR($R3212=TRUE(),$R3212="TRUE"),Settings!$C$6,Settings!$C$7)*100)</f>
        <v/>
      </c>
      <c r="AH3212" s="18" t="str">
        <f aca="false">IF($D3212="","",IF(COUNTIF($D$2:$D3212,$D3212)=1,1,0))</f>
        <v/>
      </c>
      <c r="AI3212" s="18" t="str">
        <f aca="false">IF($AH3212=1,SUMPRODUCT(--($AK$2:$AK$4001&lt;$AK3212))+1,"")</f>
        <v/>
      </c>
      <c r="AJ3212" s="18" t="str">
        <f aca="false">IF($D3212="","",IF(OR($R3212=TRUE(),$R3212="TRUE"),1,0))</f>
        <v/>
      </c>
      <c r="AK3212" s="18" t="str">
        <f aca="false">IF($AH3212=1,IFERROR(VALUE(MID($D3212,2,20)),1000000000)+ROW()/10000000,"")</f>
        <v/>
      </c>
    </row>
    <row r="3213" customFormat="false" ht="15" hidden="false" customHeight="false" outlineLevel="0" collapsed="false">
      <c r="F3213" s="15"/>
      <c r="N3213" s="16" t="str">
        <f aca="false">IF($D3213="","",M3213*Y3213/100)</f>
        <v/>
      </c>
      <c r="V3213" s="16" t="str">
        <f aca="false">IF($D3213="","",Y3213*AB3213/100)</f>
        <v/>
      </c>
      <c r="W3213" s="16" t="str">
        <f aca="false">IF($D3213="","",Y3213-V3213)</f>
        <v/>
      </c>
      <c r="X3213" s="16" t="str">
        <f aca="false">IF($D3213="","",W3213-N3213)</f>
        <v/>
      </c>
      <c r="AB3213" s="17" t="str">
        <f aca="false">IF($D3213="","",IF(OR($R3213=TRUE(),$R3213="TRUE"),Settings!$C$6,Settings!$C$7)*100)</f>
        <v/>
      </c>
      <c r="AH3213" s="18" t="str">
        <f aca="false">IF($D3213="","",IF(COUNTIF($D$2:$D3213,$D3213)=1,1,0))</f>
        <v/>
      </c>
      <c r="AI3213" s="18" t="str">
        <f aca="false">IF($AH3213=1,SUMPRODUCT(--($AK$2:$AK$4001&lt;$AK3213))+1,"")</f>
        <v/>
      </c>
      <c r="AJ3213" s="18" t="str">
        <f aca="false">IF($D3213="","",IF(OR($R3213=TRUE(),$R3213="TRUE"),1,0))</f>
        <v/>
      </c>
      <c r="AK3213" s="18" t="str">
        <f aca="false">IF($AH3213=1,IFERROR(VALUE(MID($D3213,2,20)),1000000000)+ROW()/10000000,"")</f>
        <v/>
      </c>
    </row>
    <row r="3214" customFormat="false" ht="15" hidden="false" customHeight="false" outlineLevel="0" collapsed="false">
      <c r="F3214" s="15"/>
      <c r="N3214" s="16" t="str">
        <f aca="false">IF($D3214="","",M3214*Y3214/100)</f>
        <v/>
      </c>
      <c r="V3214" s="16" t="str">
        <f aca="false">IF($D3214="","",Y3214*AB3214/100)</f>
        <v/>
      </c>
      <c r="W3214" s="16" t="str">
        <f aca="false">IF($D3214="","",Y3214-V3214)</f>
        <v/>
      </c>
      <c r="X3214" s="16" t="str">
        <f aca="false">IF($D3214="","",W3214-N3214)</f>
        <v/>
      </c>
      <c r="AB3214" s="17" t="str">
        <f aca="false">IF($D3214="","",IF(OR($R3214=TRUE(),$R3214="TRUE"),Settings!$C$6,Settings!$C$7)*100)</f>
        <v/>
      </c>
      <c r="AH3214" s="18" t="str">
        <f aca="false">IF($D3214="","",IF(COUNTIF($D$2:$D3214,$D3214)=1,1,0))</f>
        <v/>
      </c>
      <c r="AI3214" s="18" t="str">
        <f aca="false">IF($AH3214=1,SUMPRODUCT(--($AK$2:$AK$4001&lt;$AK3214))+1,"")</f>
        <v/>
      </c>
      <c r="AJ3214" s="18" t="str">
        <f aca="false">IF($D3214="","",IF(OR($R3214=TRUE(),$R3214="TRUE"),1,0))</f>
        <v/>
      </c>
      <c r="AK3214" s="18" t="str">
        <f aca="false">IF($AH3214=1,IFERROR(VALUE(MID($D3214,2,20)),1000000000)+ROW()/10000000,"")</f>
        <v/>
      </c>
    </row>
    <row r="3215" customFormat="false" ht="15" hidden="false" customHeight="false" outlineLevel="0" collapsed="false">
      <c r="F3215" s="15"/>
      <c r="N3215" s="16" t="str">
        <f aca="false">IF($D3215="","",M3215*Y3215/100)</f>
        <v/>
      </c>
      <c r="V3215" s="16" t="str">
        <f aca="false">IF($D3215="","",Y3215*AB3215/100)</f>
        <v/>
      </c>
      <c r="W3215" s="16" t="str">
        <f aca="false">IF($D3215="","",Y3215-V3215)</f>
        <v/>
      </c>
      <c r="X3215" s="16" t="str">
        <f aca="false">IF($D3215="","",W3215-N3215)</f>
        <v/>
      </c>
      <c r="AB3215" s="17" t="str">
        <f aca="false">IF($D3215="","",IF(OR($R3215=TRUE(),$R3215="TRUE"),Settings!$C$6,Settings!$C$7)*100)</f>
        <v/>
      </c>
      <c r="AH3215" s="18" t="str">
        <f aca="false">IF($D3215="","",IF(COUNTIF($D$2:$D3215,$D3215)=1,1,0))</f>
        <v/>
      </c>
      <c r="AI3215" s="18" t="str">
        <f aca="false">IF($AH3215=1,SUMPRODUCT(--($AK$2:$AK$4001&lt;$AK3215))+1,"")</f>
        <v/>
      </c>
      <c r="AJ3215" s="18" t="str">
        <f aca="false">IF($D3215="","",IF(OR($R3215=TRUE(),$R3215="TRUE"),1,0))</f>
        <v/>
      </c>
      <c r="AK3215" s="18" t="str">
        <f aca="false">IF($AH3215=1,IFERROR(VALUE(MID($D3215,2,20)),1000000000)+ROW()/10000000,"")</f>
        <v/>
      </c>
    </row>
    <row r="3216" customFormat="false" ht="15" hidden="false" customHeight="false" outlineLevel="0" collapsed="false">
      <c r="F3216" s="15"/>
      <c r="N3216" s="16" t="str">
        <f aca="false">IF($D3216="","",M3216*Y3216/100)</f>
        <v/>
      </c>
      <c r="V3216" s="16" t="str">
        <f aca="false">IF($D3216="","",Y3216*AB3216/100)</f>
        <v/>
      </c>
      <c r="W3216" s="16" t="str">
        <f aca="false">IF($D3216="","",Y3216-V3216)</f>
        <v/>
      </c>
      <c r="X3216" s="16" t="str">
        <f aca="false">IF($D3216="","",W3216-N3216)</f>
        <v/>
      </c>
      <c r="AB3216" s="17" t="str">
        <f aca="false">IF($D3216="","",IF(OR($R3216=TRUE(),$R3216="TRUE"),Settings!$C$6,Settings!$C$7)*100)</f>
        <v/>
      </c>
      <c r="AH3216" s="18" t="str">
        <f aca="false">IF($D3216="","",IF(COUNTIF($D$2:$D3216,$D3216)=1,1,0))</f>
        <v/>
      </c>
      <c r="AI3216" s="18" t="str">
        <f aca="false">IF($AH3216=1,SUMPRODUCT(--($AK$2:$AK$4001&lt;$AK3216))+1,"")</f>
        <v/>
      </c>
      <c r="AJ3216" s="18" t="str">
        <f aca="false">IF($D3216="","",IF(OR($R3216=TRUE(),$R3216="TRUE"),1,0))</f>
        <v/>
      </c>
      <c r="AK3216" s="18" t="str">
        <f aca="false">IF($AH3216=1,IFERROR(VALUE(MID($D3216,2,20)),1000000000)+ROW()/10000000,"")</f>
        <v/>
      </c>
    </row>
    <row r="3217" customFormat="false" ht="15" hidden="false" customHeight="false" outlineLevel="0" collapsed="false">
      <c r="F3217" s="15"/>
      <c r="N3217" s="16" t="str">
        <f aca="false">IF($D3217="","",M3217*Y3217/100)</f>
        <v/>
      </c>
      <c r="V3217" s="16" t="str">
        <f aca="false">IF($D3217="","",Y3217*AB3217/100)</f>
        <v/>
      </c>
      <c r="W3217" s="16" t="str">
        <f aca="false">IF($D3217="","",Y3217-V3217)</f>
        <v/>
      </c>
      <c r="X3217" s="16" t="str">
        <f aca="false">IF($D3217="","",W3217-N3217)</f>
        <v/>
      </c>
      <c r="AB3217" s="17" t="str">
        <f aca="false">IF($D3217="","",IF(OR($R3217=TRUE(),$R3217="TRUE"),Settings!$C$6,Settings!$C$7)*100)</f>
        <v/>
      </c>
      <c r="AH3217" s="18" t="str">
        <f aca="false">IF($D3217="","",IF(COUNTIF($D$2:$D3217,$D3217)=1,1,0))</f>
        <v/>
      </c>
      <c r="AI3217" s="18" t="str">
        <f aca="false">IF($AH3217=1,SUMPRODUCT(--($AK$2:$AK$4001&lt;$AK3217))+1,"")</f>
        <v/>
      </c>
      <c r="AJ3217" s="18" t="str">
        <f aca="false">IF($D3217="","",IF(OR($R3217=TRUE(),$R3217="TRUE"),1,0))</f>
        <v/>
      </c>
      <c r="AK3217" s="18" t="str">
        <f aca="false">IF($AH3217=1,IFERROR(VALUE(MID($D3217,2,20)),1000000000)+ROW()/10000000,"")</f>
        <v/>
      </c>
    </row>
    <row r="3218" customFormat="false" ht="15" hidden="false" customHeight="false" outlineLevel="0" collapsed="false">
      <c r="F3218" s="15"/>
      <c r="N3218" s="16" t="str">
        <f aca="false">IF($D3218="","",M3218*Y3218/100)</f>
        <v/>
      </c>
      <c r="V3218" s="16" t="str">
        <f aca="false">IF($D3218="","",Y3218*AB3218/100)</f>
        <v/>
      </c>
      <c r="W3218" s="16" t="str">
        <f aca="false">IF($D3218="","",Y3218-V3218)</f>
        <v/>
      </c>
      <c r="X3218" s="16" t="str">
        <f aca="false">IF($D3218="","",W3218-N3218)</f>
        <v/>
      </c>
      <c r="AB3218" s="17" t="str">
        <f aca="false">IF($D3218="","",IF(OR($R3218=TRUE(),$R3218="TRUE"),Settings!$C$6,Settings!$C$7)*100)</f>
        <v/>
      </c>
      <c r="AH3218" s="18" t="str">
        <f aca="false">IF($D3218="","",IF(COUNTIF($D$2:$D3218,$D3218)=1,1,0))</f>
        <v/>
      </c>
      <c r="AI3218" s="18" t="str">
        <f aca="false">IF($AH3218=1,SUMPRODUCT(--($AK$2:$AK$4001&lt;$AK3218))+1,"")</f>
        <v/>
      </c>
      <c r="AJ3218" s="18" t="str">
        <f aca="false">IF($D3218="","",IF(OR($R3218=TRUE(),$R3218="TRUE"),1,0))</f>
        <v/>
      </c>
      <c r="AK3218" s="18" t="str">
        <f aca="false">IF($AH3218=1,IFERROR(VALUE(MID($D3218,2,20)),1000000000)+ROW()/10000000,"")</f>
        <v/>
      </c>
    </row>
    <row r="3219" customFormat="false" ht="15" hidden="false" customHeight="false" outlineLevel="0" collapsed="false">
      <c r="F3219" s="15"/>
      <c r="N3219" s="16" t="str">
        <f aca="false">IF($D3219="","",M3219*Y3219/100)</f>
        <v/>
      </c>
      <c r="V3219" s="16" t="str">
        <f aca="false">IF($D3219="","",Y3219*AB3219/100)</f>
        <v/>
      </c>
      <c r="W3219" s="16" t="str">
        <f aca="false">IF($D3219="","",Y3219-V3219)</f>
        <v/>
      </c>
      <c r="X3219" s="16" t="str">
        <f aca="false">IF($D3219="","",W3219-N3219)</f>
        <v/>
      </c>
      <c r="AB3219" s="17" t="str">
        <f aca="false">IF($D3219="","",IF(OR($R3219=TRUE(),$R3219="TRUE"),Settings!$C$6,Settings!$C$7)*100)</f>
        <v/>
      </c>
      <c r="AH3219" s="18" t="str">
        <f aca="false">IF($D3219="","",IF(COUNTIF($D$2:$D3219,$D3219)=1,1,0))</f>
        <v/>
      </c>
      <c r="AI3219" s="18" t="str">
        <f aca="false">IF($AH3219=1,SUMPRODUCT(--($AK$2:$AK$4001&lt;$AK3219))+1,"")</f>
        <v/>
      </c>
      <c r="AJ3219" s="18" t="str">
        <f aca="false">IF($D3219="","",IF(OR($R3219=TRUE(),$R3219="TRUE"),1,0))</f>
        <v/>
      </c>
      <c r="AK3219" s="18" t="str">
        <f aca="false">IF($AH3219=1,IFERROR(VALUE(MID($D3219,2,20)),1000000000)+ROW()/10000000,"")</f>
        <v/>
      </c>
    </row>
    <row r="3220" customFormat="false" ht="15" hidden="false" customHeight="false" outlineLevel="0" collapsed="false">
      <c r="F3220" s="15"/>
      <c r="N3220" s="16" t="str">
        <f aca="false">IF($D3220="","",M3220*Y3220/100)</f>
        <v/>
      </c>
      <c r="V3220" s="16" t="str">
        <f aca="false">IF($D3220="","",Y3220*AB3220/100)</f>
        <v/>
      </c>
      <c r="W3220" s="16" t="str">
        <f aca="false">IF($D3220="","",Y3220-V3220)</f>
        <v/>
      </c>
      <c r="X3220" s="16" t="str">
        <f aca="false">IF($D3220="","",W3220-N3220)</f>
        <v/>
      </c>
      <c r="AB3220" s="17" t="str">
        <f aca="false">IF($D3220="","",IF(OR($R3220=TRUE(),$R3220="TRUE"),Settings!$C$6,Settings!$C$7)*100)</f>
        <v/>
      </c>
      <c r="AH3220" s="18" t="str">
        <f aca="false">IF($D3220="","",IF(COUNTIF($D$2:$D3220,$D3220)=1,1,0))</f>
        <v/>
      </c>
      <c r="AI3220" s="18" t="str">
        <f aca="false">IF($AH3220=1,SUMPRODUCT(--($AK$2:$AK$4001&lt;$AK3220))+1,"")</f>
        <v/>
      </c>
      <c r="AJ3220" s="18" t="str">
        <f aca="false">IF($D3220="","",IF(OR($R3220=TRUE(),$R3220="TRUE"),1,0))</f>
        <v/>
      </c>
      <c r="AK3220" s="18" t="str">
        <f aca="false">IF($AH3220=1,IFERROR(VALUE(MID($D3220,2,20)),1000000000)+ROW()/10000000,"")</f>
        <v/>
      </c>
    </row>
    <row r="3221" customFormat="false" ht="15" hidden="false" customHeight="false" outlineLevel="0" collapsed="false">
      <c r="F3221" s="15"/>
      <c r="N3221" s="16" t="str">
        <f aca="false">IF($D3221="","",M3221*Y3221/100)</f>
        <v/>
      </c>
      <c r="V3221" s="16" t="str">
        <f aca="false">IF($D3221="","",Y3221*AB3221/100)</f>
        <v/>
      </c>
      <c r="W3221" s="16" t="str">
        <f aca="false">IF($D3221="","",Y3221-V3221)</f>
        <v/>
      </c>
      <c r="X3221" s="16" t="str">
        <f aca="false">IF($D3221="","",W3221-N3221)</f>
        <v/>
      </c>
      <c r="AB3221" s="17" t="str">
        <f aca="false">IF($D3221="","",IF(OR($R3221=TRUE(),$R3221="TRUE"),Settings!$C$6,Settings!$C$7)*100)</f>
        <v/>
      </c>
      <c r="AH3221" s="18" t="str">
        <f aca="false">IF($D3221="","",IF(COUNTIF($D$2:$D3221,$D3221)=1,1,0))</f>
        <v/>
      </c>
      <c r="AI3221" s="18" t="str">
        <f aca="false">IF($AH3221=1,SUMPRODUCT(--($AK$2:$AK$4001&lt;$AK3221))+1,"")</f>
        <v/>
      </c>
      <c r="AJ3221" s="18" t="str">
        <f aca="false">IF($D3221="","",IF(OR($R3221=TRUE(),$R3221="TRUE"),1,0))</f>
        <v/>
      </c>
      <c r="AK3221" s="18" t="str">
        <f aca="false">IF($AH3221=1,IFERROR(VALUE(MID($D3221,2,20)),1000000000)+ROW()/10000000,"")</f>
        <v/>
      </c>
    </row>
    <row r="3222" customFormat="false" ht="15" hidden="false" customHeight="false" outlineLevel="0" collapsed="false">
      <c r="F3222" s="15"/>
      <c r="N3222" s="16" t="str">
        <f aca="false">IF($D3222="","",M3222*Y3222/100)</f>
        <v/>
      </c>
      <c r="V3222" s="16" t="str">
        <f aca="false">IF($D3222="","",Y3222*AB3222/100)</f>
        <v/>
      </c>
      <c r="W3222" s="16" t="str">
        <f aca="false">IF($D3222="","",Y3222-V3222)</f>
        <v/>
      </c>
      <c r="X3222" s="16" t="str">
        <f aca="false">IF($D3222="","",W3222-N3222)</f>
        <v/>
      </c>
      <c r="AB3222" s="17" t="str">
        <f aca="false">IF($D3222="","",IF(OR($R3222=TRUE(),$R3222="TRUE"),Settings!$C$6,Settings!$C$7)*100)</f>
        <v/>
      </c>
      <c r="AH3222" s="18" t="str">
        <f aca="false">IF($D3222="","",IF(COUNTIF($D$2:$D3222,$D3222)=1,1,0))</f>
        <v/>
      </c>
      <c r="AI3222" s="18" t="str">
        <f aca="false">IF($AH3222=1,SUMPRODUCT(--($AK$2:$AK$4001&lt;$AK3222))+1,"")</f>
        <v/>
      </c>
      <c r="AJ3222" s="18" t="str">
        <f aca="false">IF($D3222="","",IF(OR($R3222=TRUE(),$R3222="TRUE"),1,0))</f>
        <v/>
      </c>
      <c r="AK3222" s="18" t="str">
        <f aca="false">IF($AH3222=1,IFERROR(VALUE(MID($D3222,2,20)),1000000000)+ROW()/10000000,"")</f>
        <v/>
      </c>
    </row>
    <row r="3223" customFormat="false" ht="15" hidden="false" customHeight="false" outlineLevel="0" collapsed="false">
      <c r="F3223" s="15"/>
      <c r="N3223" s="16" t="str">
        <f aca="false">IF($D3223="","",M3223*Y3223/100)</f>
        <v/>
      </c>
      <c r="V3223" s="16" t="str">
        <f aca="false">IF($D3223="","",Y3223*AB3223/100)</f>
        <v/>
      </c>
      <c r="W3223" s="16" t="str">
        <f aca="false">IF($D3223="","",Y3223-V3223)</f>
        <v/>
      </c>
      <c r="X3223" s="16" t="str">
        <f aca="false">IF($D3223="","",W3223-N3223)</f>
        <v/>
      </c>
      <c r="AB3223" s="17" t="str">
        <f aca="false">IF($D3223="","",IF(OR($R3223=TRUE(),$R3223="TRUE"),Settings!$C$6,Settings!$C$7)*100)</f>
        <v/>
      </c>
      <c r="AH3223" s="18" t="str">
        <f aca="false">IF($D3223="","",IF(COUNTIF($D$2:$D3223,$D3223)=1,1,0))</f>
        <v/>
      </c>
      <c r="AI3223" s="18" t="str">
        <f aca="false">IF($AH3223=1,SUMPRODUCT(--($AK$2:$AK$4001&lt;$AK3223))+1,"")</f>
        <v/>
      </c>
      <c r="AJ3223" s="18" t="str">
        <f aca="false">IF($D3223="","",IF(OR($R3223=TRUE(),$R3223="TRUE"),1,0))</f>
        <v/>
      </c>
      <c r="AK3223" s="18" t="str">
        <f aca="false">IF($AH3223=1,IFERROR(VALUE(MID($D3223,2,20)),1000000000)+ROW()/10000000,"")</f>
        <v/>
      </c>
    </row>
    <row r="3224" customFormat="false" ht="15" hidden="false" customHeight="false" outlineLevel="0" collapsed="false">
      <c r="F3224" s="15"/>
      <c r="N3224" s="16" t="str">
        <f aca="false">IF($D3224="","",M3224*Y3224/100)</f>
        <v/>
      </c>
      <c r="V3224" s="16" t="str">
        <f aca="false">IF($D3224="","",Y3224*AB3224/100)</f>
        <v/>
      </c>
      <c r="W3224" s="16" t="str">
        <f aca="false">IF($D3224="","",Y3224-V3224)</f>
        <v/>
      </c>
      <c r="X3224" s="16" t="str">
        <f aca="false">IF($D3224="","",W3224-N3224)</f>
        <v/>
      </c>
      <c r="AB3224" s="17" t="str">
        <f aca="false">IF($D3224="","",IF(OR($R3224=TRUE(),$R3224="TRUE"),Settings!$C$6,Settings!$C$7)*100)</f>
        <v/>
      </c>
      <c r="AH3224" s="18" t="str">
        <f aca="false">IF($D3224="","",IF(COUNTIF($D$2:$D3224,$D3224)=1,1,0))</f>
        <v/>
      </c>
      <c r="AI3224" s="18" t="str">
        <f aca="false">IF($AH3224=1,SUMPRODUCT(--($AK$2:$AK$4001&lt;$AK3224))+1,"")</f>
        <v/>
      </c>
      <c r="AJ3224" s="18" t="str">
        <f aca="false">IF($D3224="","",IF(OR($R3224=TRUE(),$R3224="TRUE"),1,0))</f>
        <v/>
      </c>
      <c r="AK3224" s="18" t="str">
        <f aca="false">IF($AH3224=1,IFERROR(VALUE(MID($D3224,2,20)),1000000000)+ROW()/10000000,"")</f>
        <v/>
      </c>
    </row>
    <row r="3225" customFormat="false" ht="15" hidden="false" customHeight="false" outlineLevel="0" collapsed="false">
      <c r="F3225" s="15"/>
      <c r="N3225" s="16" t="str">
        <f aca="false">IF($D3225="","",M3225*Y3225/100)</f>
        <v/>
      </c>
      <c r="V3225" s="16" t="str">
        <f aca="false">IF($D3225="","",Y3225*AB3225/100)</f>
        <v/>
      </c>
      <c r="W3225" s="16" t="str">
        <f aca="false">IF($D3225="","",Y3225-V3225)</f>
        <v/>
      </c>
      <c r="X3225" s="16" t="str">
        <f aca="false">IF($D3225="","",W3225-N3225)</f>
        <v/>
      </c>
      <c r="AB3225" s="17" t="str">
        <f aca="false">IF($D3225="","",IF(OR($R3225=TRUE(),$R3225="TRUE"),Settings!$C$6,Settings!$C$7)*100)</f>
        <v/>
      </c>
      <c r="AH3225" s="18" t="str">
        <f aca="false">IF($D3225="","",IF(COUNTIF($D$2:$D3225,$D3225)=1,1,0))</f>
        <v/>
      </c>
      <c r="AI3225" s="18" t="str">
        <f aca="false">IF($AH3225=1,SUMPRODUCT(--($AK$2:$AK$4001&lt;$AK3225))+1,"")</f>
        <v/>
      </c>
      <c r="AJ3225" s="18" t="str">
        <f aca="false">IF($D3225="","",IF(OR($R3225=TRUE(),$R3225="TRUE"),1,0))</f>
        <v/>
      </c>
      <c r="AK3225" s="18" t="str">
        <f aca="false">IF($AH3225=1,IFERROR(VALUE(MID($D3225,2,20)),1000000000)+ROW()/10000000,"")</f>
        <v/>
      </c>
    </row>
    <row r="3226" customFormat="false" ht="15" hidden="false" customHeight="false" outlineLevel="0" collapsed="false">
      <c r="F3226" s="15"/>
      <c r="N3226" s="16" t="str">
        <f aca="false">IF($D3226="","",M3226*Y3226/100)</f>
        <v/>
      </c>
      <c r="V3226" s="16" t="str">
        <f aca="false">IF($D3226="","",Y3226*AB3226/100)</f>
        <v/>
      </c>
      <c r="W3226" s="16" t="str">
        <f aca="false">IF($D3226="","",Y3226-V3226)</f>
        <v/>
      </c>
      <c r="X3226" s="16" t="str">
        <f aca="false">IF($D3226="","",W3226-N3226)</f>
        <v/>
      </c>
      <c r="AB3226" s="17" t="str">
        <f aca="false">IF($D3226="","",IF(OR($R3226=TRUE(),$R3226="TRUE"),Settings!$C$6,Settings!$C$7)*100)</f>
        <v/>
      </c>
      <c r="AH3226" s="18" t="str">
        <f aca="false">IF($D3226="","",IF(COUNTIF($D$2:$D3226,$D3226)=1,1,0))</f>
        <v/>
      </c>
      <c r="AI3226" s="18" t="str">
        <f aca="false">IF($AH3226=1,SUMPRODUCT(--($AK$2:$AK$4001&lt;$AK3226))+1,"")</f>
        <v/>
      </c>
      <c r="AJ3226" s="18" t="str">
        <f aca="false">IF($D3226="","",IF(OR($R3226=TRUE(),$R3226="TRUE"),1,0))</f>
        <v/>
      </c>
      <c r="AK3226" s="18" t="str">
        <f aca="false">IF($AH3226=1,IFERROR(VALUE(MID($D3226,2,20)),1000000000)+ROW()/10000000,"")</f>
        <v/>
      </c>
    </row>
    <row r="3227" customFormat="false" ht="15" hidden="false" customHeight="false" outlineLevel="0" collapsed="false">
      <c r="F3227" s="15"/>
      <c r="N3227" s="16" t="str">
        <f aca="false">IF($D3227="","",M3227*Y3227/100)</f>
        <v/>
      </c>
      <c r="V3227" s="16" t="str">
        <f aca="false">IF($D3227="","",Y3227*AB3227/100)</f>
        <v/>
      </c>
      <c r="W3227" s="16" t="str">
        <f aca="false">IF($D3227="","",Y3227-V3227)</f>
        <v/>
      </c>
      <c r="X3227" s="16" t="str">
        <f aca="false">IF($D3227="","",W3227-N3227)</f>
        <v/>
      </c>
      <c r="AB3227" s="17" t="str">
        <f aca="false">IF($D3227="","",IF(OR($R3227=TRUE(),$R3227="TRUE"),Settings!$C$6,Settings!$C$7)*100)</f>
        <v/>
      </c>
      <c r="AH3227" s="18" t="str">
        <f aca="false">IF($D3227="","",IF(COUNTIF($D$2:$D3227,$D3227)=1,1,0))</f>
        <v/>
      </c>
      <c r="AI3227" s="18" t="str">
        <f aca="false">IF($AH3227=1,SUMPRODUCT(--($AK$2:$AK$4001&lt;$AK3227))+1,"")</f>
        <v/>
      </c>
      <c r="AJ3227" s="18" t="str">
        <f aca="false">IF($D3227="","",IF(OR($R3227=TRUE(),$R3227="TRUE"),1,0))</f>
        <v/>
      </c>
      <c r="AK3227" s="18" t="str">
        <f aca="false">IF($AH3227=1,IFERROR(VALUE(MID($D3227,2,20)),1000000000)+ROW()/10000000,"")</f>
        <v/>
      </c>
    </row>
    <row r="3228" customFormat="false" ht="15" hidden="false" customHeight="false" outlineLevel="0" collapsed="false">
      <c r="F3228" s="15"/>
      <c r="N3228" s="16" t="str">
        <f aca="false">IF($D3228="","",M3228*Y3228/100)</f>
        <v/>
      </c>
      <c r="V3228" s="16" t="str">
        <f aca="false">IF($D3228="","",Y3228*AB3228/100)</f>
        <v/>
      </c>
      <c r="W3228" s="16" t="str">
        <f aca="false">IF($D3228="","",Y3228-V3228)</f>
        <v/>
      </c>
      <c r="X3228" s="16" t="str">
        <f aca="false">IF($D3228="","",W3228-N3228)</f>
        <v/>
      </c>
      <c r="AB3228" s="17" t="str">
        <f aca="false">IF($D3228="","",IF(OR($R3228=TRUE(),$R3228="TRUE"),Settings!$C$6,Settings!$C$7)*100)</f>
        <v/>
      </c>
      <c r="AH3228" s="18" t="str">
        <f aca="false">IF($D3228="","",IF(COUNTIF($D$2:$D3228,$D3228)=1,1,0))</f>
        <v/>
      </c>
      <c r="AI3228" s="18" t="str">
        <f aca="false">IF($AH3228=1,SUMPRODUCT(--($AK$2:$AK$4001&lt;$AK3228))+1,"")</f>
        <v/>
      </c>
      <c r="AJ3228" s="18" t="str">
        <f aca="false">IF($D3228="","",IF(OR($R3228=TRUE(),$R3228="TRUE"),1,0))</f>
        <v/>
      </c>
      <c r="AK3228" s="18" t="str">
        <f aca="false">IF($AH3228=1,IFERROR(VALUE(MID($D3228,2,20)),1000000000)+ROW()/10000000,"")</f>
        <v/>
      </c>
    </row>
    <row r="3229" customFormat="false" ht="15" hidden="false" customHeight="false" outlineLevel="0" collapsed="false">
      <c r="F3229" s="15"/>
      <c r="N3229" s="16" t="str">
        <f aca="false">IF($D3229="","",M3229*Y3229/100)</f>
        <v/>
      </c>
      <c r="V3229" s="16" t="str">
        <f aca="false">IF($D3229="","",Y3229*AB3229/100)</f>
        <v/>
      </c>
      <c r="W3229" s="16" t="str">
        <f aca="false">IF($D3229="","",Y3229-V3229)</f>
        <v/>
      </c>
      <c r="X3229" s="16" t="str">
        <f aca="false">IF($D3229="","",W3229-N3229)</f>
        <v/>
      </c>
      <c r="AB3229" s="17" t="str">
        <f aca="false">IF($D3229="","",IF(OR($R3229=TRUE(),$R3229="TRUE"),Settings!$C$6,Settings!$C$7)*100)</f>
        <v/>
      </c>
      <c r="AH3229" s="18" t="str">
        <f aca="false">IF($D3229="","",IF(COUNTIF($D$2:$D3229,$D3229)=1,1,0))</f>
        <v/>
      </c>
      <c r="AI3229" s="18" t="str">
        <f aca="false">IF($AH3229=1,SUMPRODUCT(--($AK$2:$AK$4001&lt;$AK3229))+1,"")</f>
        <v/>
      </c>
      <c r="AJ3229" s="18" t="str">
        <f aca="false">IF($D3229="","",IF(OR($R3229=TRUE(),$R3229="TRUE"),1,0))</f>
        <v/>
      </c>
      <c r="AK3229" s="18" t="str">
        <f aca="false">IF($AH3229=1,IFERROR(VALUE(MID($D3229,2,20)),1000000000)+ROW()/10000000,"")</f>
        <v/>
      </c>
    </row>
    <row r="3230" customFormat="false" ht="15" hidden="false" customHeight="false" outlineLevel="0" collapsed="false">
      <c r="F3230" s="15"/>
      <c r="N3230" s="16" t="str">
        <f aca="false">IF($D3230="","",M3230*Y3230/100)</f>
        <v/>
      </c>
      <c r="V3230" s="16" t="str">
        <f aca="false">IF($D3230="","",Y3230*AB3230/100)</f>
        <v/>
      </c>
      <c r="W3230" s="16" t="str">
        <f aca="false">IF($D3230="","",Y3230-V3230)</f>
        <v/>
      </c>
      <c r="X3230" s="16" t="str">
        <f aca="false">IF($D3230="","",W3230-N3230)</f>
        <v/>
      </c>
      <c r="AB3230" s="17" t="str">
        <f aca="false">IF($D3230="","",IF(OR($R3230=TRUE(),$R3230="TRUE"),Settings!$C$6,Settings!$C$7)*100)</f>
        <v/>
      </c>
      <c r="AH3230" s="18" t="str">
        <f aca="false">IF($D3230="","",IF(COUNTIF($D$2:$D3230,$D3230)=1,1,0))</f>
        <v/>
      </c>
      <c r="AI3230" s="18" t="str">
        <f aca="false">IF($AH3230=1,SUMPRODUCT(--($AK$2:$AK$4001&lt;$AK3230))+1,"")</f>
        <v/>
      </c>
      <c r="AJ3230" s="18" t="str">
        <f aca="false">IF($D3230="","",IF(OR($R3230=TRUE(),$R3230="TRUE"),1,0))</f>
        <v/>
      </c>
      <c r="AK3230" s="18" t="str">
        <f aca="false">IF($AH3230=1,IFERROR(VALUE(MID($D3230,2,20)),1000000000)+ROW()/10000000,"")</f>
        <v/>
      </c>
    </row>
    <row r="3231" customFormat="false" ht="15" hidden="false" customHeight="false" outlineLevel="0" collapsed="false">
      <c r="F3231" s="15"/>
      <c r="N3231" s="16" t="str">
        <f aca="false">IF($D3231="","",M3231*Y3231/100)</f>
        <v/>
      </c>
      <c r="V3231" s="16" t="str">
        <f aca="false">IF($D3231="","",Y3231*AB3231/100)</f>
        <v/>
      </c>
      <c r="W3231" s="16" t="str">
        <f aca="false">IF($D3231="","",Y3231-V3231)</f>
        <v/>
      </c>
      <c r="X3231" s="16" t="str">
        <f aca="false">IF($D3231="","",W3231-N3231)</f>
        <v/>
      </c>
      <c r="AB3231" s="17" t="str">
        <f aca="false">IF($D3231="","",IF(OR($R3231=TRUE(),$R3231="TRUE"),Settings!$C$6,Settings!$C$7)*100)</f>
        <v/>
      </c>
      <c r="AH3231" s="18" t="str">
        <f aca="false">IF($D3231="","",IF(COUNTIF($D$2:$D3231,$D3231)=1,1,0))</f>
        <v/>
      </c>
      <c r="AI3231" s="18" t="str">
        <f aca="false">IF($AH3231=1,SUMPRODUCT(--($AK$2:$AK$4001&lt;$AK3231))+1,"")</f>
        <v/>
      </c>
      <c r="AJ3231" s="18" t="str">
        <f aca="false">IF($D3231="","",IF(OR($R3231=TRUE(),$R3231="TRUE"),1,0))</f>
        <v/>
      </c>
      <c r="AK3231" s="18" t="str">
        <f aca="false">IF($AH3231=1,IFERROR(VALUE(MID($D3231,2,20)),1000000000)+ROW()/10000000,"")</f>
        <v/>
      </c>
    </row>
    <row r="3232" customFormat="false" ht="15" hidden="false" customHeight="false" outlineLevel="0" collapsed="false">
      <c r="F3232" s="15"/>
      <c r="N3232" s="16" t="str">
        <f aca="false">IF($D3232="","",M3232*Y3232/100)</f>
        <v/>
      </c>
      <c r="V3232" s="16" t="str">
        <f aca="false">IF($D3232="","",Y3232*AB3232/100)</f>
        <v/>
      </c>
      <c r="W3232" s="16" t="str">
        <f aca="false">IF($D3232="","",Y3232-V3232)</f>
        <v/>
      </c>
      <c r="X3232" s="16" t="str">
        <f aca="false">IF($D3232="","",W3232-N3232)</f>
        <v/>
      </c>
      <c r="AB3232" s="17" t="str">
        <f aca="false">IF($D3232="","",IF(OR($R3232=TRUE(),$R3232="TRUE"),Settings!$C$6,Settings!$C$7)*100)</f>
        <v/>
      </c>
      <c r="AH3232" s="18" t="str">
        <f aca="false">IF($D3232="","",IF(COUNTIF($D$2:$D3232,$D3232)=1,1,0))</f>
        <v/>
      </c>
      <c r="AI3232" s="18" t="str">
        <f aca="false">IF($AH3232=1,SUMPRODUCT(--($AK$2:$AK$4001&lt;$AK3232))+1,"")</f>
        <v/>
      </c>
      <c r="AJ3232" s="18" t="str">
        <f aca="false">IF($D3232="","",IF(OR($R3232=TRUE(),$R3232="TRUE"),1,0))</f>
        <v/>
      </c>
      <c r="AK3232" s="18" t="str">
        <f aca="false">IF($AH3232=1,IFERROR(VALUE(MID($D3232,2,20)),1000000000)+ROW()/10000000,"")</f>
        <v/>
      </c>
    </row>
    <row r="3233" customFormat="false" ht="15" hidden="false" customHeight="false" outlineLevel="0" collapsed="false">
      <c r="F3233" s="15"/>
      <c r="N3233" s="16" t="str">
        <f aca="false">IF($D3233="","",M3233*Y3233/100)</f>
        <v/>
      </c>
      <c r="V3233" s="16" t="str">
        <f aca="false">IF($D3233="","",Y3233*AB3233/100)</f>
        <v/>
      </c>
      <c r="W3233" s="16" t="str">
        <f aca="false">IF($D3233="","",Y3233-V3233)</f>
        <v/>
      </c>
      <c r="X3233" s="16" t="str">
        <f aca="false">IF($D3233="","",W3233-N3233)</f>
        <v/>
      </c>
      <c r="AB3233" s="17" t="str">
        <f aca="false">IF($D3233="","",IF(OR($R3233=TRUE(),$R3233="TRUE"),Settings!$C$6,Settings!$C$7)*100)</f>
        <v/>
      </c>
      <c r="AH3233" s="18" t="str">
        <f aca="false">IF($D3233="","",IF(COUNTIF($D$2:$D3233,$D3233)=1,1,0))</f>
        <v/>
      </c>
      <c r="AI3233" s="18" t="str">
        <f aca="false">IF($AH3233=1,SUMPRODUCT(--($AK$2:$AK$4001&lt;$AK3233))+1,"")</f>
        <v/>
      </c>
      <c r="AJ3233" s="18" t="str">
        <f aca="false">IF($D3233="","",IF(OR($R3233=TRUE(),$R3233="TRUE"),1,0))</f>
        <v/>
      </c>
      <c r="AK3233" s="18" t="str">
        <f aca="false">IF($AH3233=1,IFERROR(VALUE(MID($D3233,2,20)),1000000000)+ROW()/10000000,"")</f>
        <v/>
      </c>
    </row>
    <row r="3234" customFormat="false" ht="15" hidden="false" customHeight="false" outlineLevel="0" collapsed="false">
      <c r="F3234" s="15"/>
      <c r="N3234" s="16" t="str">
        <f aca="false">IF($D3234="","",M3234*Y3234/100)</f>
        <v/>
      </c>
      <c r="V3234" s="16" t="str">
        <f aca="false">IF($D3234="","",Y3234*AB3234/100)</f>
        <v/>
      </c>
      <c r="W3234" s="16" t="str">
        <f aca="false">IF($D3234="","",Y3234-V3234)</f>
        <v/>
      </c>
      <c r="X3234" s="16" t="str">
        <f aca="false">IF($D3234="","",W3234-N3234)</f>
        <v/>
      </c>
      <c r="AB3234" s="17" t="str">
        <f aca="false">IF($D3234="","",IF(OR($R3234=TRUE(),$R3234="TRUE"),Settings!$C$6,Settings!$C$7)*100)</f>
        <v/>
      </c>
      <c r="AH3234" s="18" t="str">
        <f aca="false">IF($D3234="","",IF(COUNTIF($D$2:$D3234,$D3234)=1,1,0))</f>
        <v/>
      </c>
      <c r="AI3234" s="18" t="str">
        <f aca="false">IF($AH3234=1,SUMPRODUCT(--($AK$2:$AK$4001&lt;$AK3234))+1,"")</f>
        <v/>
      </c>
      <c r="AJ3234" s="18" t="str">
        <f aca="false">IF($D3234="","",IF(OR($R3234=TRUE(),$R3234="TRUE"),1,0))</f>
        <v/>
      </c>
      <c r="AK3234" s="18" t="str">
        <f aca="false">IF($AH3234=1,IFERROR(VALUE(MID($D3234,2,20)),1000000000)+ROW()/10000000,"")</f>
        <v/>
      </c>
    </row>
    <row r="3235" customFormat="false" ht="15" hidden="false" customHeight="false" outlineLevel="0" collapsed="false">
      <c r="F3235" s="15"/>
      <c r="N3235" s="16" t="str">
        <f aca="false">IF($D3235="","",M3235*Y3235/100)</f>
        <v/>
      </c>
      <c r="V3235" s="16" t="str">
        <f aca="false">IF($D3235="","",Y3235*AB3235/100)</f>
        <v/>
      </c>
      <c r="W3235" s="16" t="str">
        <f aca="false">IF($D3235="","",Y3235-V3235)</f>
        <v/>
      </c>
      <c r="X3235" s="16" t="str">
        <f aca="false">IF($D3235="","",W3235-N3235)</f>
        <v/>
      </c>
      <c r="AB3235" s="17" t="str">
        <f aca="false">IF($D3235="","",IF(OR($R3235=TRUE(),$R3235="TRUE"),Settings!$C$6,Settings!$C$7)*100)</f>
        <v/>
      </c>
      <c r="AH3235" s="18" t="str">
        <f aca="false">IF($D3235="","",IF(COUNTIF($D$2:$D3235,$D3235)=1,1,0))</f>
        <v/>
      </c>
      <c r="AI3235" s="18" t="str">
        <f aca="false">IF($AH3235=1,SUMPRODUCT(--($AK$2:$AK$4001&lt;$AK3235))+1,"")</f>
        <v/>
      </c>
      <c r="AJ3235" s="18" t="str">
        <f aca="false">IF($D3235="","",IF(OR($R3235=TRUE(),$R3235="TRUE"),1,0))</f>
        <v/>
      </c>
      <c r="AK3235" s="18" t="str">
        <f aca="false">IF($AH3235=1,IFERROR(VALUE(MID($D3235,2,20)),1000000000)+ROW()/10000000,"")</f>
        <v/>
      </c>
    </row>
    <row r="3236" customFormat="false" ht="15" hidden="false" customHeight="false" outlineLevel="0" collapsed="false">
      <c r="F3236" s="15"/>
      <c r="N3236" s="16" t="str">
        <f aca="false">IF($D3236="","",M3236*Y3236/100)</f>
        <v/>
      </c>
      <c r="V3236" s="16" t="str">
        <f aca="false">IF($D3236="","",Y3236*AB3236/100)</f>
        <v/>
      </c>
      <c r="W3236" s="16" t="str">
        <f aca="false">IF($D3236="","",Y3236-V3236)</f>
        <v/>
      </c>
      <c r="X3236" s="16" t="str">
        <f aca="false">IF($D3236="","",W3236-N3236)</f>
        <v/>
      </c>
      <c r="AB3236" s="17" t="str">
        <f aca="false">IF($D3236="","",IF(OR($R3236=TRUE(),$R3236="TRUE"),Settings!$C$6,Settings!$C$7)*100)</f>
        <v/>
      </c>
      <c r="AH3236" s="18" t="str">
        <f aca="false">IF($D3236="","",IF(COUNTIF($D$2:$D3236,$D3236)=1,1,0))</f>
        <v/>
      </c>
      <c r="AI3236" s="18" t="str">
        <f aca="false">IF($AH3236=1,SUMPRODUCT(--($AK$2:$AK$4001&lt;$AK3236))+1,"")</f>
        <v/>
      </c>
      <c r="AJ3236" s="18" t="str">
        <f aca="false">IF($D3236="","",IF(OR($R3236=TRUE(),$R3236="TRUE"),1,0))</f>
        <v/>
      </c>
      <c r="AK3236" s="18" t="str">
        <f aca="false">IF($AH3236=1,IFERROR(VALUE(MID($D3236,2,20)),1000000000)+ROW()/10000000,"")</f>
        <v/>
      </c>
    </row>
    <row r="3237" customFormat="false" ht="15" hidden="false" customHeight="false" outlineLevel="0" collapsed="false">
      <c r="F3237" s="15"/>
      <c r="N3237" s="16" t="str">
        <f aca="false">IF($D3237="","",M3237*Y3237/100)</f>
        <v/>
      </c>
      <c r="V3237" s="16" t="str">
        <f aca="false">IF($D3237="","",Y3237*AB3237/100)</f>
        <v/>
      </c>
      <c r="W3237" s="16" t="str">
        <f aca="false">IF($D3237="","",Y3237-V3237)</f>
        <v/>
      </c>
      <c r="X3237" s="16" t="str">
        <f aca="false">IF($D3237="","",W3237-N3237)</f>
        <v/>
      </c>
      <c r="AB3237" s="17" t="str">
        <f aca="false">IF($D3237="","",IF(OR($R3237=TRUE(),$R3237="TRUE"),Settings!$C$6,Settings!$C$7)*100)</f>
        <v/>
      </c>
      <c r="AH3237" s="18" t="str">
        <f aca="false">IF($D3237="","",IF(COUNTIF($D$2:$D3237,$D3237)=1,1,0))</f>
        <v/>
      </c>
      <c r="AI3237" s="18" t="str">
        <f aca="false">IF($AH3237=1,SUMPRODUCT(--($AK$2:$AK$4001&lt;$AK3237))+1,"")</f>
        <v/>
      </c>
      <c r="AJ3237" s="18" t="str">
        <f aca="false">IF($D3237="","",IF(OR($R3237=TRUE(),$R3237="TRUE"),1,0))</f>
        <v/>
      </c>
      <c r="AK3237" s="18" t="str">
        <f aca="false">IF($AH3237=1,IFERROR(VALUE(MID($D3237,2,20)),1000000000)+ROW()/10000000,"")</f>
        <v/>
      </c>
    </row>
    <row r="3238" customFormat="false" ht="15" hidden="false" customHeight="false" outlineLevel="0" collapsed="false">
      <c r="F3238" s="15"/>
      <c r="N3238" s="16" t="str">
        <f aca="false">IF($D3238="","",M3238*Y3238/100)</f>
        <v/>
      </c>
      <c r="V3238" s="16" t="str">
        <f aca="false">IF($D3238="","",Y3238*AB3238/100)</f>
        <v/>
      </c>
      <c r="W3238" s="16" t="str">
        <f aca="false">IF($D3238="","",Y3238-V3238)</f>
        <v/>
      </c>
      <c r="X3238" s="16" t="str">
        <f aca="false">IF($D3238="","",W3238-N3238)</f>
        <v/>
      </c>
      <c r="AB3238" s="17" t="str">
        <f aca="false">IF($D3238="","",IF(OR($R3238=TRUE(),$R3238="TRUE"),Settings!$C$6,Settings!$C$7)*100)</f>
        <v/>
      </c>
      <c r="AH3238" s="18" t="str">
        <f aca="false">IF($D3238="","",IF(COUNTIF($D$2:$D3238,$D3238)=1,1,0))</f>
        <v/>
      </c>
      <c r="AI3238" s="18" t="str">
        <f aca="false">IF($AH3238=1,SUMPRODUCT(--($AK$2:$AK$4001&lt;$AK3238))+1,"")</f>
        <v/>
      </c>
      <c r="AJ3238" s="18" t="str">
        <f aca="false">IF($D3238="","",IF(OR($R3238=TRUE(),$R3238="TRUE"),1,0))</f>
        <v/>
      </c>
      <c r="AK3238" s="18" t="str">
        <f aca="false">IF($AH3238=1,IFERROR(VALUE(MID($D3238,2,20)),1000000000)+ROW()/10000000,"")</f>
        <v/>
      </c>
    </row>
    <row r="3239" customFormat="false" ht="15" hidden="false" customHeight="false" outlineLevel="0" collapsed="false">
      <c r="F3239" s="15"/>
      <c r="N3239" s="16" t="str">
        <f aca="false">IF($D3239="","",M3239*Y3239/100)</f>
        <v/>
      </c>
      <c r="V3239" s="16" t="str">
        <f aca="false">IF($D3239="","",Y3239*AB3239/100)</f>
        <v/>
      </c>
      <c r="W3239" s="16" t="str">
        <f aca="false">IF($D3239="","",Y3239-V3239)</f>
        <v/>
      </c>
      <c r="X3239" s="16" t="str">
        <f aca="false">IF($D3239="","",W3239-N3239)</f>
        <v/>
      </c>
      <c r="AB3239" s="17" t="str">
        <f aca="false">IF($D3239="","",IF(OR($R3239=TRUE(),$R3239="TRUE"),Settings!$C$6,Settings!$C$7)*100)</f>
        <v/>
      </c>
      <c r="AH3239" s="18" t="str">
        <f aca="false">IF($D3239="","",IF(COUNTIF($D$2:$D3239,$D3239)=1,1,0))</f>
        <v/>
      </c>
      <c r="AI3239" s="18" t="str">
        <f aca="false">IF($AH3239=1,SUMPRODUCT(--($AK$2:$AK$4001&lt;$AK3239))+1,"")</f>
        <v/>
      </c>
      <c r="AJ3239" s="18" t="str">
        <f aca="false">IF($D3239="","",IF(OR($R3239=TRUE(),$R3239="TRUE"),1,0))</f>
        <v/>
      </c>
      <c r="AK3239" s="18" t="str">
        <f aca="false">IF($AH3239=1,IFERROR(VALUE(MID($D3239,2,20)),1000000000)+ROW()/10000000,"")</f>
        <v/>
      </c>
    </row>
    <row r="3240" customFormat="false" ht="15" hidden="false" customHeight="false" outlineLevel="0" collapsed="false">
      <c r="F3240" s="15"/>
      <c r="N3240" s="16" t="str">
        <f aca="false">IF($D3240="","",M3240*Y3240/100)</f>
        <v/>
      </c>
      <c r="V3240" s="16" t="str">
        <f aca="false">IF($D3240="","",Y3240*AB3240/100)</f>
        <v/>
      </c>
      <c r="W3240" s="16" t="str">
        <f aca="false">IF($D3240="","",Y3240-V3240)</f>
        <v/>
      </c>
      <c r="X3240" s="16" t="str">
        <f aca="false">IF($D3240="","",W3240-N3240)</f>
        <v/>
      </c>
      <c r="AB3240" s="17" t="str">
        <f aca="false">IF($D3240="","",IF(OR($R3240=TRUE(),$R3240="TRUE"),Settings!$C$6,Settings!$C$7)*100)</f>
        <v/>
      </c>
      <c r="AH3240" s="18" t="str">
        <f aca="false">IF($D3240="","",IF(COUNTIF($D$2:$D3240,$D3240)=1,1,0))</f>
        <v/>
      </c>
      <c r="AI3240" s="18" t="str">
        <f aca="false">IF($AH3240=1,SUMPRODUCT(--($AK$2:$AK$4001&lt;$AK3240))+1,"")</f>
        <v/>
      </c>
      <c r="AJ3240" s="18" t="str">
        <f aca="false">IF($D3240="","",IF(OR($R3240=TRUE(),$R3240="TRUE"),1,0))</f>
        <v/>
      </c>
      <c r="AK3240" s="18" t="str">
        <f aca="false">IF($AH3240=1,IFERROR(VALUE(MID($D3240,2,20)),1000000000)+ROW()/10000000,"")</f>
        <v/>
      </c>
    </row>
    <row r="3241" customFormat="false" ht="15" hidden="false" customHeight="false" outlineLevel="0" collapsed="false">
      <c r="F3241" s="15"/>
      <c r="N3241" s="16" t="str">
        <f aca="false">IF($D3241="","",M3241*Y3241/100)</f>
        <v/>
      </c>
      <c r="V3241" s="16" t="str">
        <f aca="false">IF($D3241="","",Y3241*AB3241/100)</f>
        <v/>
      </c>
      <c r="W3241" s="16" t="str">
        <f aca="false">IF($D3241="","",Y3241-V3241)</f>
        <v/>
      </c>
      <c r="X3241" s="16" t="str">
        <f aca="false">IF($D3241="","",W3241-N3241)</f>
        <v/>
      </c>
      <c r="AB3241" s="17" t="str">
        <f aca="false">IF($D3241="","",IF(OR($R3241=TRUE(),$R3241="TRUE"),Settings!$C$6,Settings!$C$7)*100)</f>
        <v/>
      </c>
      <c r="AH3241" s="18" t="str">
        <f aca="false">IF($D3241="","",IF(COUNTIF($D$2:$D3241,$D3241)=1,1,0))</f>
        <v/>
      </c>
      <c r="AI3241" s="18" t="str">
        <f aca="false">IF($AH3241=1,SUMPRODUCT(--($AK$2:$AK$4001&lt;$AK3241))+1,"")</f>
        <v/>
      </c>
      <c r="AJ3241" s="18" t="str">
        <f aca="false">IF($D3241="","",IF(OR($R3241=TRUE(),$R3241="TRUE"),1,0))</f>
        <v/>
      </c>
      <c r="AK3241" s="18" t="str">
        <f aca="false">IF($AH3241=1,IFERROR(VALUE(MID($D3241,2,20)),1000000000)+ROW()/10000000,"")</f>
        <v/>
      </c>
    </row>
    <row r="3242" customFormat="false" ht="15" hidden="false" customHeight="false" outlineLevel="0" collapsed="false">
      <c r="F3242" s="15"/>
      <c r="N3242" s="16" t="str">
        <f aca="false">IF($D3242="","",M3242*Y3242/100)</f>
        <v/>
      </c>
      <c r="V3242" s="16" t="str">
        <f aca="false">IF($D3242="","",Y3242*AB3242/100)</f>
        <v/>
      </c>
      <c r="W3242" s="16" t="str">
        <f aca="false">IF($D3242="","",Y3242-V3242)</f>
        <v/>
      </c>
      <c r="X3242" s="16" t="str">
        <f aca="false">IF($D3242="","",W3242-N3242)</f>
        <v/>
      </c>
      <c r="AB3242" s="17" t="str">
        <f aca="false">IF($D3242="","",IF(OR($R3242=TRUE(),$R3242="TRUE"),Settings!$C$6,Settings!$C$7)*100)</f>
        <v/>
      </c>
      <c r="AH3242" s="18" t="str">
        <f aca="false">IF($D3242="","",IF(COUNTIF($D$2:$D3242,$D3242)=1,1,0))</f>
        <v/>
      </c>
      <c r="AI3242" s="18" t="str">
        <f aca="false">IF($AH3242=1,SUMPRODUCT(--($AK$2:$AK$4001&lt;$AK3242))+1,"")</f>
        <v/>
      </c>
      <c r="AJ3242" s="18" t="str">
        <f aca="false">IF($D3242="","",IF(OR($R3242=TRUE(),$R3242="TRUE"),1,0))</f>
        <v/>
      </c>
      <c r="AK3242" s="18" t="str">
        <f aca="false">IF($AH3242=1,IFERROR(VALUE(MID($D3242,2,20)),1000000000)+ROW()/10000000,"")</f>
        <v/>
      </c>
    </row>
    <row r="3243" customFormat="false" ht="15" hidden="false" customHeight="false" outlineLevel="0" collapsed="false">
      <c r="F3243" s="15"/>
      <c r="N3243" s="16" t="str">
        <f aca="false">IF($D3243="","",M3243*Y3243/100)</f>
        <v/>
      </c>
      <c r="V3243" s="16" t="str">
        <f aca="false">IF($D3243="","",Y3243*AB3243/100)</f>
        <v/>
      </c>
      <c r="W3243" s="16" t="str">
        <f aca="false">IF($D3243="","",Y3243-V3243)</f>
        <v/>
      </c>
      <c r="X3243" s="16" t="str">
        <f aca="false">IF($D3243="","",W3243-N3243)</f>
        <v/>
      </c>
      <c r="AB3243" s="17" t="str">
        <f aca="false">IF($D3243="","",IF(OR($R3243=TRUE(),$R3243="TRUE"),Settings!$C$6,Settings!$C$7)*100)</f>
        <v/>
      </c>
      <c r="AH3243" s="18" t="str">
        <f aca="false">IF($D3243="","",IF(COUNTIF($D$2:$D3243,$D3243)=1,1,0))</f>
        <v/>
      </c>
      <c r="AI3243" s="18" t="str">
        <f aca="false">IF($AH3243=1,SUMPRODUCT(--($AK$2:$AK$4001&lt;$AK3243))+1,"")</f>
        <v/>
      </c>
      <c r="AJ3243" s="18" t="str">
        <f aca="false">IF($D3243="","",IF(OR($R3243=TRUE(),$R3243="TRUE"),1,0))</f>
        <v/>
      </c>
      <c r="AK3243" s="18" t="str">
        <f aca="false">IF($AH3243=1,IFERROR(VALUE(MID($D3243,2,20)),1000000000)+ROW()/10000000,"")</f>
        <v/>
      </c>
    </row>
    <row r="3244" customFormat="false" ht="15" hidden="false" customHeight="false" outlineLevel="0" collapsed="false">
      <c r="F3244" s="15"/>
      <c r="N3244" s="16" t="str">
        <f aca="false">IF($D3244="","",M3244*Y3244/100)</f>
        <v/>
      </c>
      <c r="V3244" s="16" t="str">
        <f aca="false">IF($D3244="","",Y3244*AB3244/100)</f>
        <v/>
      </c>
      <c r="W3244" s="16" t="str">
        <f aca="false">IF($D3244="","",Y3244-V3244)</f>
        <v/>
      </c>
      <c r="X3244" s="16" t="str">
        <f aca="false">IF($D3244="","",W3244-N3244)</f>
        <v/>
      </c>
      <c r="AB3244" s="17" t="str">
        <f aca="false">IF($D3244="","",IF(OR($R3244=TRUE(),$R3244="TRUE"),Settings!$C$6,Settings!$C$7)*100)</f>
        <v/>
      </c>
      <c r="AH3244" s="18" t="str">
        <f aca="false">IF($D3244="","",IF(COUNTIF($D$2:$D3244,$D3244)=1,1,0))</f>
        <v/>
      </c>
      <c r="AI3244" s="18" t="str">
        <f aca="false">IF($AH3244=1,SUMPRODUCT(--($AK$2:$AK$4001&lt;$AK3244))+1,"")</f>
        <v/>
      </c>
      <c r="AJ3244" s="18" t="str">
        <f aca="false">IF($D3244="","",IF(OR($R3244=TRUE(),$R3244="TRUE"),1,0))</f>
        <v/>
      </c>
      <c r="AK3244" s="18" t="str">
        <f aca="false">IF($AH3244=1,IFERROR(VALUE(MID($D3244,2,20)),1000000000)+ROW()/10000000,"")</f>
        <v/>
      </c>
    </row>
    <row r="3245" customFormat="false" ht="15" hidden="false" customHeight="false" outlineLevel="0" collapsed="false">
      <c r="F3245" s="15"/>
      <c r="N3245" s="16" t="str">
        <f aca="false">IF($D3245="","",M3245*Y3245/100)</f>
        <v/>
      </c>
      <c r="V3245" s="16" t="str">
        <f aca="false">IF($D3245="","",Y3245*AB3245/100)</f>
        <v/>
      </c>
      <c r="W3245" s="16" t="str">
        <f aca="false">IF($D3245="","",Y3245-V3245)</f>
        <v/>
      </c>
      <c r="X3245" s="16" t="str">
        <f aca="false">IF($D3245="","",W3245-N3245)</f>
        <v/>
      </c>
      <c r="AB3245" s="17" t="str">
        <f aca="false">IF($D3245="","",IF(OR($R3245=TRUE(),$R3245="TRUE"),Settings!$C$6,Settings!$C$7)*100)</f>
        <v/>
      </c>
      <c r="AH3245" s="18" t="str">
        <f aca="false">IF($D3245="","",IF(COUNTIF($D$2:$D3245,$D3245)=1,1,0))</f>
        <v/>
      </c>
      <c r="AI3245" s="18" t="str">
        <f aca="false">IF($AH3245=1,SUMPRODUCT(--($AK$2:$AK$4001&lt;$AK3245))+1,"")</f>
        <v/>
      </c>
      <c r="AJ3245" s="18" t="str">
        <f aca="false">IF($D3245="","",IF(OR($R3245=TRUE(),$R3245="TRUE"),1,0))</f>
        <v/>
      </c>
      <c r="AK3245" s="18" t="str">
        <f aca="false">IF($AH3245=1,IFERROR(VALUE(MID($D3245,2,20)),1000000000)+ROW()/10000000,"")</f>
        <v/>
      </c>
    </row>
    <row r="3246" customFormat="false" ht="15" hidden="false" customHeight="false" outlineLevel="0" collapsed="false">
      <c r="F3246" s="15"/>
      <c r="N3246" s="16" t="str">
        <f aca="false">IF($D3246="","",M3246*Y3246/100)</f>
        <v/>
      </c>
      <c r="V3246" s="16" t="str">
        <f aca="false">IF($D3246="","",Y3246*AB3246/100)</f>
        <v/>
      </c>
      <c r="W3246" s="16" t="str">
        <f aca="false">IF($D3246="","",Y3246-V3246)</f>
        <v/>
      </c>
      <c r="X3246" s="16" t="str">
        <f aca="false">IF($D3246="","",W3246-N3246)</f>
        <v/>
      </c>
      <c r="AB3246" s="17" t="str">
        <f aca="false">IF($D3246="","",IF(OR($R3246=TRUE(),$R3246="TRUE"),Settings!$C$6,Settings!$C$7)*100)</f>
        <v/>
      </c>
      <c r="AH3246" s="18" t="str">
        <f aca="false">IF($D3246="","",IF(COUNTIF($D$2:$D3246,$D3246)=1,1,0))</f>
        <v/>
      </c>
      <c r="AI3246" s="18" t="str">
        <f aca="false">IF($AH3246=1,SUMPRODUCT(--($AK$2:$AK$4001&lt;$AK3246))+1,"")</f>
        <v/>
      </c>
      <c r="AJ3246" s="18" t="str">
        <f aca="false">IF($D3246="","",IF(OR($R3246=TRUE(),$R3246="TRUE"),1,0))</f>
        <v/>
      </c>
      <c r="AK3246" s="18" t="str">
        <f aca="false">IF($AH3246=1,IFERROR(VALUE(MID($D3246,2,20)),1000000000)+ROW()/10000000,"")</f>
        <v/>
      </c>
    </row>
    <row r="3247" customFormat="false" ht="15" hidden="false" customHeight="false" outlineLevel="0" collapsed="false">
      <c r="F3247" s="15"/>
      <c r="N3247" s="16" t="str">
        <f aca="false">IF($D3247="","",M3247*Y3247/100)</f>
        <v/>
      </c>
      <c r="V3247" s="16" t="str">
        <f aca="false">IF($D3247="","",Y3247*AB3247/100)</f>
        <v/>
      </c>
      <c r="W3247" s="16" t="str">
        <f aca="false">IF($D3247="","",Y3247-V3247)</f>
        <v/>
      </c>
      <c r="X3247" s="16" t="str">
        <f aca="false">IF($D3247="","",W3247-N3247)</f>
        <v/>
      </c>
      <c r="AB3247" s="17" t="str">
        <f aca="false">IF($D3247="","",IF(OR($R3247=TRUE(),$R3247="TRUE"),Settings!$C$6,Settings!$C$7)*100)</f>
        <v/>
      </c>
      <c r="AH3247" s="18" t="str">
        <f aca="false">IF($D3247="","",IF(COUNTIF($D$2:$D3247,$D3247)=1,1,0))</f>
        <v/>
      </c>
      <c r="AI3247" s="18" t="str">
        <f aca="false">IF($AH3247=1,SUMPRODUCT(--($AK$2:$AK$4001&lt;$AK3247))+1,"")</f>
        <v/>
      </c>
      <c r="AJ3247" s="18" t="str">
        <f aca="false">IF($D3247="","",IF(OR($R3247=TRUE(),$R3247="TRUE"),1,0))</f>
        <v/>
      </c>
      <c r="AK3247" s="18" t="str">
        <f aca="false">IF($AH3247=1,IFERROR(VALUE(MID($D3247,2,20)),1000000000)+ROW()/10000000,"")</f>
        <v/>
      </c>
    </row>
    <row r="3248" customFormat="false" ht="15" hidden="false" customHeight="false" outlineLevel="0" collapsed="false">
      <c r="F3248" s="15"/>
      <c r="N3248" s="16" t="str">
        <f aca="false">IF($D3248="","",M3248*Y3248/100)</f>
        <v/>
      </c>
      <c r="V3248" s="16" t="str">
        <f aca="false">IF($D3248="","",Y3248*AB3248/100)</f>
        <v/>
      </c>
      <c r="W3248" s="16" t="str">
        <f aca="false">IF($D3248="","",Y3248-V3248)</f>
        <v/>
      </c>
      <c r="X3248" s="16" t="str">
        <f aca="false">IF($D3248="","",W3248-N3248)</f>
        <v/>
      </c>
      <c r="AB3248" s="17" t="str">
        <f aca="false">IF($D3248="","",IF(OR($R3248=TRUE(),$R3248="TRUE"),Settings!$C$6,Settings!$C$7)*100)</f>
        <v/>
      </c>
      <c r="AH3248" s="18" t="str">
        <f aca="false">IF($D3248="","",IF(COUNTIF($D$2:$D3248,$D3248)=1,1,0))</f>
        <v/>
      </c>
      <c r="AI3248" s="18" t="str">
        <f aca="false">IF($AH3248=1,SUMPRODUCT(--($AK$2:$AK$4001&lt;$AK3248))+1,"")</f>
        <v/>
      </c>
      <c r="AJ3248" s="18" t="str">
        <f aca="false">IF($D3248="","",IF(OR($R3248=TRUE(),$R3248="TRUE"),1,0))</f>
        <v/>
      </c>
      <c r="AK3248" s="18" t="str">
        <f aca="false">IF($AH3248=1,IFERROR(VALUE(MID($D3248,2,20)),1000000000)+ROW()/10000000,"")</f>
        <v/>
      </c>
    </row>
    <row r="3249" customFormat="false" ht="15" hidden="false" customHeight="false" outlineLevel="0" collapsed="false">
      <c r="F3249" s="15"/>
      <c r="N3249" s="16" t="str">
        <f aca="false">IF($D3249="","",M3249*Y3249/100)</f>
        <v/>
      </c>
      <c r="V3249" s="16" t="str">
        <f aca="false">IF($D3249="","",Y3249*AB3249/100)</f>
        <v/>
      </c>
      <c r="W3249" s="16" t="str">
        <f aca="false">IF($D3249="","",Y3249-V3249)</f>
        <v/>
      </c>
      <c r="X3249" s="16" t="str">
        <f aca="false">IF($D3249="","",W3249-N3249)</f>
        <v/>
      </c>
      <c r="AB3249" s="17" t="str">
        <f aca="false">IF($D3249="","",IF(OR($R3249=TRUE(),$R3249="TRUE"),Settings!$C$6,Settings!$C$7)*100)</f>
        <v/>
      </c>
      <c r="AH3249" s="18" t="str">
        <f aca="false">IF($D3249="","",IF(COUNTIF($D$2:$D3249,$D3249)=1,1,0))</f>
        <v/>
      </c>
      <c r="AI3249" s="18" t="str">
        <f aca="false">IF($AH3249=1,SUMPRODUCT(--($AK$2:$AK$4001&lt;$AK3249))+1,"")</f>
        <v/>
      </c>
      <c r="AJ3249" s="18" t="str">
        <f aca="false">IF($D3249="","",IF(OR($R3249=TRUE(),$R3249="TRUE"),1,0))</f>
        <v/>
      </c>
      <c r="AK3249" s="18" t="str">
        <f aca="false">IF($AH3249=1,IFERROR(VALUE(MID($D3249,2,20)),1000000000)+ROW()/10000000,"")</f>
        <v/>
      </c>
    </row>
    <row r="3250" customFormat="false" ht="15" hidden="false" customHeight="false" outlineLevel="0" collapsed="false">
      <c r="F3250" s="15"/>
      <c r="N3250" s="16" t="str">
        <f aca="false">IF($D3250="","",M3250*Y3250/100)</f>
        <v/>
      </c>
      <c r="V3250" s="16" t="str">
        <f aca="false">IF($D3250="","",Y3250*AB3250/100)</f>
        <v/>
      </c>
      <c r="W3250" s="16" t="str">
        <f aca="false">IF($D3250="","",Y3250-V3250)</f>
        <v/>
      </c>
      <c r="X3250" s="16" t="str">
        <f aca="false">IF($D3250="","",W3250-N3250)</f>
        <v/>
      </c>
      <c r="AB3250" s="17" t="str">
        <f aca="false">IF($D3250="","",IF(OR($R3250=TRUE(),$R3250="TRUE"),Settings!$C$6,Settings!$C$7)*100)</f>
        <v/>
      </c>
      <c r="AH3250" s="18" t="str">
        <f aca="false">IF($D3250="","",IF(COUNTIF($D$2:$D3250,$D3250)=1,1,0))</f>
        <v/>
      </c>
      <c r="AI3250" s="18" t="str">
        <f aca="false">IF($AH3250=1,SUMPRODUCT(--($AK$2:$AK$4001&lt;$AK3250))+1,"")</f>
        <v/>
      </c>
      <c r="AJ3250" s="18" t="str">
        <f aca="false">IF($D3250="","",IF(OR($R3250=TRUE(),$R3250="TRUE"),1,0))</f>
        <v/>
      </c>
      <c r="AK3250" s="18" t="str">
        <f aca="false">IF($AH3250=1,IFERROR(VALUE(MID($D3250,2,20)),1000000000)+ROW()/10000000,"")</f>
        <v/>
      </c>
    </row>
    <row r="3251" customFormat="false" ht="15" hidden="false" customHeight="false" outlineLevel="0" collapsed="false">
      <c r="F3251" s="15"/>
      <c r="N3251" s="16" t="str">
        <f aca="false">IF($D3251="","",M3251*Y3251/100)</f>
        <v/>
      </c>
      <c r="V3251" s="16" t="str">
        <f aca="false">IF($D3251="","",Y3251*AB3251/100)</f>
        <v/>
      </c>
      <c r="W3251" s="16" t="str">
        <f aca="false">IF($D3251="","",Y3251-V3251)</f>
        <v/>
      </c>
      <c r="X3251" s="16" t="str">
        <f aca="false">IF($D3251="","",W3251-N3251)</f>
        <v/>
      </c>
      <c r="AB3251" s="17" t="str">
        <f aca="false">IF($D3251="","",IF(OR($R3251=TRUE(),$R3251="TRUE"),Settings!$C$6,Settings!$C$7)*100)</f>
        <v/>
      </c>
      <c r="AH3251" s="18" t="str">
        <f aca="false">IF($D3251="","",IF(COUNTIF($D$2:$D3251,$D3251)=1,1,0))</f>
        <v/>
      </c>
      <c r="AI3251" s="18" t="str">
        <f aca="false">IF($AH3251=1,SUMPRODUCT(--($AK$2:$AK$4001&lt;$AK3251))+1,"")</f>
        <v/>
      </c>
      <c r="AJ3251" s="18" t="str">
        <f aca="false">IF($D3251="","",IF(OR($R3251=TRUE(),$R3251="TRUE"),1,0))</f>
        <v/>
      </c>
      <c r="AK3251" s="18" t="str">
        <f aca="false">IF($AH3251=1,IFERROR(VALUE(MID($D3251,2,20)),1000000000)+ROW()/10000000,"")</f>
        <v/>
      </c>
    </row>
    <row r="3252" customFormat="false" ht="15" hidden="false" customHeight="false" outlineLevel="0" collapsed="false">
      <c r="F3252" s="15"/>
      <c r="N3252" s="16" t="str">
        <f aca="false">IF($D3252="","",M3252*Y3252/100)</f>
        <v/>
      </c>
      <c r="V3252" s="16" t="str">
        <f aca="false">IF($D3252="","",Y3252*AB3252/100)</f>
        <v/>
      </c>
      <c r="W3252" s="16" t="str">
        <f aca="false">IF($D3252="","",Y3252-V3252)</f>
        <v/>
      </c>
      <c r="X3252" s="16" t="str">
        <f aca="false">IF($D3252="","",W3252-N3252)</f>
        <v/>
      </c>
      <c r="AB3252" s="17" t="str">
        <f aca="false">IF($D3252="","",IF(OR($R3252=TRUE(),$R3252="TRUE"),Settings!$C$6,Settings!$C$7)*100)</f>
        <v/>
      </c>
      <c r="AH3252" s="18" t="str">
        <f aca="false">IF($D3252="","",IF(COUNTIF($D$2:$D3252,$D3252)=1,1,0))</f>
        <v/>
      </c>
      <c r="AI3252" s="18" t="str">
        <f aca="false">IF($AH3252=1,SUMPRODUCT(--($AK$2:$AK$4001&lt;$AK3252))+1,"")</f>
        <v/>
      </c>
      <c r="AJ3252" s="18" t="str">
        <f aca="false">IF($D3252="","",IF(OR($R3252=TRUE(),$R3252="TRUE"),1,0))</f>
        <v/>
      </c>
      <c r="AK3252" s="18" t="str">
        <f aca="false">IF($AH3252=1,IFERROR(VALUE(MID($D3252,2,20)),1000000000)+ROW()/10000000,"")</f>
        <v/>
      </c>
    </row>
    <row r="3253" customFormat="false" ht="15" hidden="false" customHeight="false" outlineLevel="0" collapsed="false">
      <c r="F3253" s="15"/>
      <c r="N3253" s="16" t="str">
        <f aca="false">IF($D3253="","",M3253*Y3253/100)</f>
        <v/>
      </c>
      <c r="V3253" s="16" t="str">
        <f aca="false">IF($D3253="","",Y3253*AB3253/100)</f>
        <v/>
      </c>
      <c r="W3253" s="16" t="str">
        <f aca="false">IF($D3253="","",Y3253-V3253)</f>
        <v/>
      </c>
      <c r="X3253" s="16" t="str">
        <f aca="false">IF($D3253="","",W3253-N3253)</f>
        <v/>
      </c>
      <c r="AB3253" s="17" t="str">
        <f aca="false">IF($D3253="","",IF(OR($R3253=TRUE(),$R3253="TRUE"),Settings!$C$6,Settings!$C$7)*100)</f>
        <v/>
      </c>
      <c r="AH3253" s="18" t="str">
        <f aca="false">IF($D3253="","",IF(COUNTIF($D$2:$D3253,$D3253)=1,1,0))</f>
        <v/>
      </c>
      <c r="AI3253" s="18" t="str">
        <f aca="false">IF($AH3253=1,SUMPRODUCT(--($AK$2:$AK$4001&lt;$AK3253))+1,"")</f>
        <v/>
      </c>
      <c r="AJ3253" s="18" t="str">
        <f aca="false">IF($D3253="","",IF(OR($R3253=TRUE(),$R3253="TRUE"),1,0))</f>
        <v/>
      </c>
      <c r="AK3253" s="18" t="str">
        <f aca="false">IF($AH3253=1,IFERROR(VALUE(MID($D3253,2,20)),1000000000)+ROW()/10000000,"")</f>
        <v/>
      </c>
    </row>
    <row r="3254" customFormat="false" ht="15" hidden="false" customHeight="false" outlineLevel="0" collapsed="false">
      <c r="F3254" s="15"/>
      <c r="N3254" s="16" t="str">
        <f aca="false">IF($D3254="","",M3254*Y3254/100)</f>
        <v/>
      </c>
      <c r="V3254" s="16" t="str">
        <f aca="false">IF($D3254="","",Y3254*AB3254/100)</f>
        <v/>
      </c>
      <c r="W3254" s="16" t="str">
        <f aca="false">IF($D3254="","",Y3254-V3254)</f>
        <v/>
      </c>
      <c r="X3254" s="16" t="str">
        <f aca="false">IF($D3254="","",W3254-N3254)</f>
        <v/>
      </c>
      <c r="AB3254" s="17" t="str">
        <f aca="false">IF($D3254="","",IF(OR($R3254=TRUE(),$R3254="TRUE"),Settings!$C$6,Settings!$C$7)*100)</f>
        <v/>
      </c>
      <c r="AH3254" s="18" t="str">
        <f aca="false">IF($D3254="","",IF(COUNTIF($D$2:$D3254,$D3254)=1,1,0))</f>
        <v/>
      </c>
      <c r="AI3254" s="18" t="str">
        <f aca="false">IF($AH3254=1,SUMPRODUCT(--($AK$2:$AK$4001&lt;$AK3254))+1,"")</f>
        <v/>
      </c>
      <c r="AJ3254" s="18" t="str">
        <f aca="false">IF($D3254="","",IF(OR($R3254=TRUE(),$R3254="TRUE"),1,0))</f>
        <v/>
      </c>
      <c r="AK3254" s="18" t="str">
        <f aca="false">IF($AH3254=1,IFERROR(VALUE(MID($D3254,2,20)),1000000000)+ROW()/10000000,"")</f>
        <v/>
      </c>
    </row>
    <row r="3255" customFormat="false" ht="15" hidden="false" customHeight="false" outlineLevel="0" collapsed="false">
      <c r="F3255" s="15"/>
      <c r="N3255" s="16" t="str">
        <f aca="false">IF($D3255="","",M3255*Y3255/100)</f>
        <v/>
      </c>
      <c r="V3255" s="16" t="str">
        <f aca="false">IF($D3255="","",Y3255*AB3255/100)</f>
        <v/>
      </c>
      <c r="W3255" s="16" t="str">
        <f aca="false">IF($D3255="","",Y3255-V3255)</f>
        <v/>
      </c>
      <c r="X3255" s="16" t="str">
        <f aca="false">IF($D3255="","",W3255-N3255)</f>
        <v/>
      </c>
      <c r="AB3255" s="17" t="str">
        <f aca="false">IF($D3255="","",IF(OR($R3255=TRUE(),$R3255="TRUE"),Settings!$C$6,Settings!$C$7)*100)</f>
        <v/>
      </c>
      <c r="AH3255" s="18" t="str">
        <f aca="false">IF($D3255="","",IF(COUNTIF($D$2:$D3255,$D3255)=1,1,0))</f>
        <v/>
      </c>
      <c r="AI3255" s="18" t="str">
        <f aca="false">IF($AH3255=1,SUMPRODUCT(--($AK$2:$AK$4001&lt;$AK3255))+1,"")</f>
        <v/>
      </c>
      <c r="AJ3255" s="18" t="str">
        <f aca="false">IF($D3255="","",IF(OR($R3255=TRUE(),$R3255="TRUE"),1,0))</f>
        <v/>
      </c>
      <c r="AK3255" s="18" t="str">
        <f aca="false">IF($AH3255=1,IFERROR(VALUE(MID($D3255,2,20)),1000000000)+ROW()/10000000,"")</f>
        <v/>
      </c>
    </row>
    <row r="3256" customFormat="false" ht="15" hidden="false" customHeight="false" outlineLevel="0" collapsed="false">
      <c r="F3256" s="15"/>
      <c r="N3256" s="16" t="str">
        <f aca="false">IF($D3256="","",M3256*Y3256/100)</f>
        <v/>
      </c>
      <c r="V3256" s="16" t="str">
        <f aca="false">IF($D3256="","",Y3256*AB3256/100)</f>
        <v/>
      </c>
      <c r="W3256" s="16" t="str">
        <f aca="false">IF($D3256="","",Y3256-V3256)</f>
        <v/>
      </c>
      <c r="X3256" s="16" t="str">
        <f aca="false">IF($D3256="","",W3256-N3256)</f>
        <v/>
      </c>
      <c r="AB3256" s="17" t="str">
        <f aca="false">IF($D3256="","",IF(OR($R3256=TRUE(),$R3256="TRUE"),Settings!$C$6,Settings!$C$7)*100)</f>
        <v/>
      </c>
      <c r="AH3256" s="18" t="str">
        <f aca="false">IF($D3256="","",IF(COUNTIF($D$2:$D3256,$D3256)=1,1,0))</f>
        <v/>
      </c>
      <c r="AI3256" s="18" t="str">
        <f aca="false">IF($AH3256=1,SUMPRODUCT(--($AK$2:$AK$4001&lt;$AK3256))+1,"")</f>
        <v/>
      </c>
      <c r="AJ3256" s="18" t="str">
        <f aca="false">IF($D3256="","",IF(OR($R3256=TRUE(),$R3256="TRUE"),1,0))</f>
        <v/>
      </c>
      <c r="AK3256" s="18" t="str">
        <f aca="false">IF($AH3256=1,IFERROR(VALUE(MID($D3256,2,20)),1000000000)+ROW()/10000000,"")</f>
        <v/>
      </c>
    </row>
    <row r="3257" customFormat="false" ht="15" hidden="false" customHeight="false" outlineLevel="0" collapsed="false">
      <c r="F3257" s="15"/>
      <c r="N3257" s="16" t="str">
        <f aca="false">IF($D3257="","",M3257*Y3257/100)</f>
        <v/>
      </c>
      <c r="V3257" s="16" t="str">
        <f aca="false">IF($D3257="","",Y3257*AB3257/100)</f>
        <v/>
      </c>
      <c r="W3257" s="16" t="str">
        <f aca="false">IF($D3257="","",Y3257-V3257)</f>
        <v/>
      </c>
      <c r="X3257" s="16" t="str">
        <f aca="false">IF($D3257="","",W3257-N3257)</f>
        <v/>
      </c>
      <c r="AB3257" s="17" t="str">
        <f aca="false">IF($D3257="","",IF(OR($R3257=TRUE(),$R3257="TRUE"),Settings!$C$6,Settings!$C$7)*100)</f>
        <v/>
      </c>
      <c r="AH3257" s="18" t="str">
        <f aca="false">IF($D3257="","",IF(COUNTIF($D$2:$D3257,$D3257)=1,1,0))</f>
        <v/>
      </c>
      <c r="AI3257" s="18" t="str">
        <f aca="false">IF($AH3257=1,SUMPRODUCT(--($AK$2:$AK$4001&lt;$AK3257))+1,"")</f>
        <v/>
      </c>
      <c r="AJ3257" s="18" t="str">
        <f aca="false">IF($D3257="","",IF(OR($R3257=TRUE(),$R3257="TRUE"),1,0))</f>
        <v/>
      </c>
      <c r="AK3257" s="18" t="str">
        <f aca="false">IF($AH3257=1,IFERROR(VALUE(MID($D3257,2,20)),1000000000)+ROW()/10000000,"")</f>
        <v/>
      </c>
    </row>
    <row r="3258" customFormat="false" ht="15" hidden="false" customHeight="false" outlineLevel="0" collapsed="false">
      <c r="F3258" s="15"/>
      <c r="N3258" s="16" t="str">
        <f aca="false">IF($D3258="","",M3258*Y3258/100)</f>
        <v/>
      </c>
      <c r="V3258" s="16" t="str">
        <f aca="false">IF($D3258="","",Y3258*AB3258/100)</f>
        <v/>
      </c>
      <c r="W3258" s="16" t="str">
        <f aca="false">IF($D3258="","",Y3258-V3258)</f>
        <v/>
      </c>
      <c r="X3258" s="16" t="str">
        <f aca="false">IF($D3258="","",W3258-N3258)</f>
        <v/>
      </c>
      <c r="AB3258" s="17" t="str">
        <f aca="false">IF($D3258="","",IF(OR($R3258=TRUE(),$R3258="TRUE"),Settings!$C$6,Settings!$C$7)*100)</f>
        <v/>
      </c>
      <c r="AH3258" s="18" t="str">
        <f aca="false">IF($D3258="","",IF(COUNTIF($D$2:$D3258,$D3258)=1,1,0))</f>
        <v/>
      </c>
      <c r="AI3258" s="18" t="str">
        <f aca="false">IF($AH3258=1,SUMPRODUCT(--($AK$2:$AK$4001&lt;$AK3258))+1,"")</f>
        <v/>
      </c>
      <c r="AJ3258" s="18" t="str">
        <f aca="false">IF($D3258="","",IF(OR($R3258=TRUE(),$R3258="TRUE"),1,0))</f>
        <v/>
      </c>
      <c r="AK3258" s="18" t="str">
        <f aca="false">IF($AH3258=1,IFERROR(VALUE(MID($D3258,2,20)),1000000000)+ROW()/10000000,"")</f>
        <v/>
      </c>
    </row>
    <row r="3259" customFormat="false" ht="15" hidden="false" customHeight="false" outlineLevel="0" collapsed="false">
      <c r="F3259" s="15"/>
      <c r="N3259" s="16" t="str">
        <f aca="false">IF($D3259="","",M3259*Y3259/100)</f>
        <v/>
      </c>
      <c r="V3259" s="16" t="str">
        <f aca="false">IF($D3259="","",Y3259*AB3259/100)</f>
        <v/>
      </c>
      <c r="W3259" s="16" t="str">
        <f aca="false">IF($D3259="","",Y3259-V3259)</f>
        <v/>
      </c>
      <c r="X3259" s="16" t="str">
        <f aca="false">IF($D3259="","",W3259-N3259)</f>
        <v/>
      </c>
      <c r="AB3259" s="17" t="str">
        <f aca="false">IF($D3259="","",IF(OR($R3259=TRUE(),$R3259="TRUE"),Settings!$C$6,Settings!$C$7)*100)</f>
        <v/>
      </c>
      <c r="AH3259" s="18" t="str">
        <f aca="false">IF($D3259="","",IF(COUNTIF($D$2:$D3259,$D3259)=1,1,0))</f>
        <v/>
      </c>
      <c r="AI3259" s="18" t="str">
        <f aca="false">IF($AH3259=1,SUMPRODUCT(--($AK$2:$AK$4001&lt;$AK3259))+1,"")</f>
        <v/>
      </c>
      <c r="AJ3259" s="18" t="str">
        <f aca="false">IF($D3259="","",IF(OR($R3259=TRUE(),$R3259="TRUE"),1,0))</f>
        <v/>
      </c>
      <c r="AK3259" s="18" t="str">
        <f aca="false">IF($AH3259=1,IFERROR(VALUE(MID($D3259,2,20)),1000000000)+ROW()/10000000,"")</f>
        <v/>
      </c>
    </row>
    <row r="3260" customFormat="false" ht="15" hidden="false" customHeight="false" outlineLevel="0" collapsed="false">
      <c r="F3260" s="15"/>
      <c r="N3260" s="16" t="str">
        <f aca="false">IF($D3260="","",M3260*Y3260/100)</f>
        <v/>
      </c>
      <c r="V3260" s="16" t="str">
        <f aca="false">IF($D3260="","",Y3260*AB3260/100)</f>
        <v/>
      </c>
      <c r="W3260" s="16" t="str">
        <f aca="false">IF($D3260="","",Y3260-V3260)</f>
        <v/>
      </c>
      <c r="X3260" s="16" t="str">
        <f aca="false">IF($D3260="","",W3260-N3260)</f>
        <v/>
      </c>
      <c r="AB3260" s="17" t="str">
        <f aca="false">IF($D3260="","",IF(OR($R3260=TRUE(),$R3260="TRUE"),Settings!$C$6,Settings!$C$7)*100)</f>
        <v/>
      </c>
      <c r="AH3260" s="18" t="str">
        <f aca="false">IF($D3260="","",IF(COUNTIF($D$2:$D3260,$D3260)=1,1,0))</f>
        <v/>
      </c>
      <c r="AI3260" s="18" t="str">
        <f aca="false">IF($AH3260=1,SUMPRODUCT(--($AK$2:$AK$4001&lt;$AK3260))+1,"")</f>
        <v/>
      </c>
      <c r="AJ3260" s="18" t="str">
        <f aca="false">IF($D3260="","",IF(OR($R3260=TRUE(),$R3260="TRUE"),1,0))</f>
        <v/>
      </c>
      <c r="AK3260" s="18" t="str">
        <f aca="false">IF($AH3260=1,IFERROR(VALUE(MID($D3260,2,20)),1000000000)+ROW()/10000000,"")</f>
        <v/>
      </c>
    </row>
    <row r="3261" customFormat="false" ht="15" hidden="false" customHeight="false" outlineLevel="0" collapsed="false">
      <c r="F3261" s="15"/>
      <c r="N3261" s="16" t="str">
        <f aca="false">IF($D3261="","",M3261*Y3261/100)</f>
        <v/>
      </c>
      <c r="V3261" s="16" t="str">
        <f aca="false">IF($D3261="","",Y3261*AB3261/100)</f>
        <v/>
      </c>
      <c r="W3261" s="16" t="str">
        <f aca="false">IF($D3261="","",Y3261-V3261)</f>
        <v/>
      </c>
      <c r="X3261" s="16" t="str">
        <f aca="false">IF($D3261="","",W3261-N3261)</f>
        <v/>
      </c>
      <c r="AB3261" s="17" t="str">
        <f aca="false">IF($D3261="","",IF(OR($R3261=TRUE(),$R3261="TRUE"),Settings!$C$6,Settings!$C$7)*100)</f>
        <v/>
      </c>
      <c r="AH3261" s="18" t="str">
        <f aca="false">IF($D3261="","",IF(COUNTIF($D$2:$D3261,$D3261)=1,1,0))</f>
        <v/>
      </c>
      <c r="AI3261" s="18" t="str">
        <f aca="false">IF($AH3261=1,SUMPRODUCT(--($AK$2:$AK$4001&lt;$AK3261))+1,"")</f>
        <v/>
      </c>
      <c r="AJ3261" s="18" t="str">
        <f aca="false">IF($D3261="","",IF(OR($R3261=TRUE(),$R3261="TRUE"),1,0))</f>
        <v/>
      </c>
      <c r="AK3261" s="18" t="str">
        <f aca="false">IF($AH3261=1,IFERROR(VALUE(MID($D3261,2,20)),1000000000)+ROW()/10000000,"")</f>
        <v/>
      </c>
    </row>
    <row r="3262" customFormat="false" ht="15" hidden="false" customHeight="false" outlineLevel="0" collapsed="false">
      <c r="F3262" s="15"/>
      <c r="N3262" s="16" t="str">
        <f aca="false">IF($D3262="","",M3262*Y3262/100)</f>
        <v/>
      </c>
      <c r="V3262" s="16" t="str">
        <f aca="false">IF($D3262="","",Y3262*AB3262/100)</f>
        <v/>
      </c>
      <c r="W3262" s="16" t="str">
        <f aca="false">IF($D3262="","",Y3262-V3262)</f>
        <v/>
      </c>
      <c r="X3262" s="16" t="str">
        <f aca="false">IF($D3262="","",W3262-N3262)</f>
        <v/>
      </c>
      <c r="AB3262" s="17" t="str">
        <f aca="false">IF($D3262="","",IF(OR($R3262=TRUE(),$R3262="TRUE"),Settings!$C$6,Settings!$C$7)*100)</f>
        <v/>
      </c>
      <c r="AH3262" s="18" t="str">
        <f aca="false">IF($D3262="","",IF(COUNTIF($D$2:$D3262,$D3262)=1,1,0))</f>
        <v/>
      </c>
      <c r="AI3262" s="18" t="str">
        <f aca="false">IF($AH3262=1,SUMPRODUCT(--($AK$2:$AK$4001&lt;$AK3262))+1,"")</f>
        <v/>
      </c>
      <c r="AJ3262" s="18" t="str">
        <f aca="false">IF($D3262="","",IF(OR($R3262=TRUE(),$R3262="TRUE"),1,0))</f>
        <v/>
      </c>
      <c r="AK3262" s="18" t="str">
        <f aca="false">IF($AH3262=1,IFERROR(VALUE(MID($D3262,2,20)),1000000000)+ROW()/10000000,"")</f>
        <v/>
      </c>
    </row>
    <row r="3263" customFormat="false" ht="15" hidden="false" customHeight="false" outlineLevel="0" collapsed="false">
      <c r="F3263" s="15"/>
      <c r="N3263" s="16" t="str">
        <f aca="false">IF($D3263="","",M3263*Y3263/100)</f>
        <v/>
      </c>
      <c r="V3263" s="16" t="str">
        <f aca="false">IF($D3263="","",Y3263*AB3263/100)</f>
        <v/>
      </c>
      <c r="W3263" s="16" t="str">
        <f aca="false">IF($D3263="","",Y3263-V3263)</f>
        <v/>
      </c>
      <c r="X3263" s="16" t="str">
        <f aca="false">IF($D3263="","",W3263-N3263)</f>
        <v/>
      </c>
      <c r="AB3263" s="17" t="str">
        <f aca="false">IF($D3263="","",IF(OR($R3263=TRUE(),$R3263="TRUE"),Settings!$C$6,Settings!$C$7)*100)</f>
        <v/>
      </c>
      <c r="AH3263" s="18" t="str">
        <f aca="false">IF($D3263="","",IF(COUNTIF($D$2:$D3263,$D3263)=1,1,0))</f>
        <v/>
      </c>
      <c r="AI3263" s="18" t="str">
        <f aca="false">IF($AH3263=1,SUMPRODUCT(--($AK$2:$AK$4001&lt;$AK3263))+1,"")</f>
        <v/>
      </c>
      <c r="AJ3263" s="18" t="str">
        <f aca="false">IF($D3263="","",IF(OR($R3263=TRUE(),$R3263="TRUE"),1,0))</f>
        <v/>
      </c>
      <c r="AK3263" s="18" t="str">
        <f aca="false">IF($AH3263=1,IFERROR(VALUE(MID($D3263,2,20)),1000000000)+ROW()/10000000,"")</f>
        <v/>
      </c>
    </row>
    <row r="3264" customFormat="false" ht="15" hidden="false" customHeight="false" outlineLevel="0" collapsed="false">
      <c r="F3264" s="15"/>
      <c r="N3264" s="16" t="str">
        <f aca="false">IF($D3264="","",M3264*Y3264/100)</f>
        <v/>
      </c>
      <c r="V3264" s="16" t="str">
        <f aca="false">IF($D3264="","",Y3264*AB3264/100)</f>
        <v/>
      </c>
      <c r="W3264" s="16" t="str">
        <f aca="false">IF($D3264="","",Y3264-V3264)</f>
        <v/>
      </c>
      <c r="X3264" s="16" t="str">
        <f aca="false">IF($D3264="","",W3264-N3264)</f>
        <v/>
      </c>
      <c r="AB3264" s="17" t="str">
        <f aca="false">IF($D3264="","",IF(OR($R3264=TRUE(),$R3264="TRUE"),Settings!$C$6,Settings!$C$7)*100)</f>
        <v/>
      </c>
      <c r="AH3264" s="18" t="str">
        <f aca="false">IF($D3264="","",IF(COUNTIF($D$2:$D3264,$D3264)=1,1,0))</f>
        <v/>
      </c>
      <c r="AI3264" s="18" t="str">
        <f aca="false">IF($AH3264=1,SUMPRODUCT(--($AK$2:$AK$4001&lt;$AK3264))+1,"")</f>
        <v/>
      </c>
      <c r="AJ3264" s="18" t="str">
        <f aca="false">IF($D3264="","",IF(OR($R3264=TRUE(),$R3264="TRUE"),1,0))</f>
        <v/>
      </c>
      <c r="AK3264" s="18" t="str">
        <f aca="false">IF($AH3264=1,IFERROR(VALUE(MID($D3264,2,20)),1000000000)+ROW()/10000000,"")</f>
        <v/>
      </c>
    </row>
    <row r="3265" customFormat="false" ht="15" hidden="false" customHeight="false" outlineLevel="0" collapsed="false">
      <c r="F3265" s="15"/>
      <c r="N3265" s="16" t="str">
        <f aca="false">IF($D3265="","",M3265*Y3265/100)</f>
        <v/>
      </c>
      <c r="V3265" s="16" t="str">
        <f aca="false">IF($D3265="","",Y3265*AB3265/100)</f>
        <v/>
      </c>
      <c r="W3265" s="16" t="str">
        <f aca="false">IF($D3265="","",Y3265-V3265)</f>
        <v/>
      </c>
      <c r="X3265" s="16" t="str">
        <f aca="false">IF($D3265="","",W3265-N3265)</f>
        <v/>
      </c>
      <c r="AB3265" s="17" t="str">
        <f aca="false">IF($D3265="","",IF(OR($R3265=TRUE(),$R3265="TRUE"),Settings!$C$6,Settings!$C$7)*100)</f>
        <v/>
      </c>
      <c r="AH3265" s="18" t="str">
        <f aca="false">IF($D3265="","",IF(COUNTIF($D$2:$D3265,$D3265)=1,1,0))</f>
        <v/>
      </c>
      <c r="AI3265" s="18" t="str">
        <f aca="false">IF($AH3265=1,SUMPRODUCT(--($AK$2:$AK$4001&lt;$AK3265))+1,"")</f>
        <v/>
      </c>
      <c r="AJ3265" s="18" t="str">
        <f aca="false">IF($D3265="","",IF(OR($R3265=TRUE(),$R3265="TRUE"),1,0))</f>
        <v/>
      </c>
      <c r="AK3265" s="18" t="str">
        <f aca="false">IF($AH3265=1,IFERROR(VALUE(MID($D3265,2,20)),1000000000)+ROW()/10000000,"")</f>
        <v/>
      </c>
    </row>
    <row r="3266" customFormat="false" ht="15" hidden="false" customHeight="false" outlineLevel="0" collapsed="false">
      <c r="F3266" s="15"/>
      <c r="N3266" s="16" t="str">
        <f aca="false">IF($D3266="","",M3266*Y3266/100)</f>
        <v/>
      </c>
      <c r="V3266" s="16" t="str">
        <f aca="false">IF($D3266="","",Y3266*AB3266/100)</f>
        <v/>
      </c>
      <c r="W3266" s="16" t="str">
        <f aca="false">IF($D3266="","",Y3266-V3266)</f>
        <v/>
      </c>
      <c r="X3266" s="16" t="str">
        <f aca="false">IF($D3266="","",W3266-N3266)</f>
        <v/>
      </c>
      <c r="AB3266" s="17" t="str">
        <f aca="false">IF($D3266="","",IF(OR($R3266=TRUE(),$R3266="TRUE"),Settings!$C$6,Settings!$C$7)*100)</f>
        <v/>
      </c>
      <c r="AH3266" s="18" t="str">
        <f aca="false">IF($D3266="","",IF(COUNTIF($D$2:$D3266,$D3266)=1,1,0))</f>
        <v/>
      </c>
      <c r="AI3266" s="18" t="str">
        <f aca="false">IF($AH3266=1,SUMPRODUCT(--($AK$2:$AK$4001&lt;$AK3266))+1,"")</f>
        <v/>
      </c>
      <c r="AJ3266" s="18" t="str">
        <f aca="false">IF($D3266="","",IF(OR($R3266=TRUE(),$R3266="TRUE"),1,0))</f>
        <v/>
      </c>
      <c r="AK3266" s="18" t="str">
        <f aca="false">IF($AH3266=1,IFERROR(VALUE(MID($D3266,2,20)),1000000000)+ROW()/10000000,"")</f>
        <v/>
      </c>
    </row>
    <row r="3267" customFormat="false" ht="15" hidden="false" customHeight="false" outlineLevel="0" collapsed="false">
      <c r="F3267" s="15"/>
      <c r="N3267" s="16" t="str">
        <f aca="false">IF($D3267="","",M3267*Y3267/100)</f>
        <v/>
      </c>
      <c r="V3267" s="16" t="str">
        <f aca="false">IF($D3267="","",Y3267*AB3267/100)</f>
        <v/>
      </c>
      <c r="W3267" s="16" t="str">
        <f aca="false">IF($D3267="","",Y3267-V3267)</f>
        <v/>
      </c>
      <c r="X3267" s="16" t="str">
        <f aca="false">IF($D3267="","",W3267-N3267)</f>
        <v/>
      </c>
      <c r="AB3267" s="17" t="str">
        <f aca="false">IF($D3267="","",IF(OR($R3267=TRUE(),$R3267="TRUE"),Settings!$C$6,Settings!$C$7)*100)</f>
        <v/>
      </c>
      <c r="AH3267" s="18" t="str">
        <f aca="false">IF($D3267="","",IF(COUNTIF($D$2:$D3267,$D3267)=1,1,0))</f>
        <v/>
      </c>
      <c r="AI3267" s="18" t="str">
        <f aca="false">IF($AH3267=1,SUMPRODUCT(--($AK$2:$AK$4001&lt;$AK3267))+1,"")</f>
        <v/>
      </c>
      <c r="AJ3267" s="18" t="str">
        <f aca="false">IF($D3267="","",IF(OR($R3267=TRUE(),$R3267="TRUE"),1,0))</f>
        <v/>
      </c>
      <c r="AK3267" s="18" t="str">
        <f aca="false">IF($AH3267=1,IFERROR(VALUE(MID($D3267,2,20)),1000000000)+ROW()/10000000,"")</f>
        <v/>
      </c>
    </row>
    <row r="3268" customFormat="false" ht="15" hidden="false" customHeight="false" outlineLevel="0" collapsed="false">
      <c r="F3268" s="15"/>
      <c r="N3268" s="16" t="str">
        <f aca="false">IF($D3268="","",M3268*Y3268/100)</f>
        <v/>
      </c>
      <c r="V3268" s="16" t="str">
        <f aca="false">IF($D3268="","",Y3268*AB3268/100)</f>
        <v/>
      </c>
      <c r="W3268" s="16" t="str">
        <f aca="false">IF($D3268="","",Y3268-V3268)</f>
        <v/>
      </c>
      <c r="X3268" s="16" t="str">
        <f aca="false">IF($D3268="","",W3268-N3268)</f>
        <v/>
      </c>
      <c r="AB3268" s="17" t="str">
        <f aca="false">IF($D3268="","",IF(OR($R3268=TRUE(),$R3268="TRUE"),Settings!$C$6,Settings!$C$7)*100)</f>
        <v/>
      </c>
      <c r="AH3268" s="18" t="str">
        <f aca="false">IF($D3268="","",IF(COUNTIF($D$2:$D3268,$D3268)=1,1,0))</f>
        <v/>
      </c>
      <c r="AI3268" s="18" t="str">
        <f aca="false">IF($AH3268=1,SUMPRODUCT(--($AK$2:$AK$4001&lt;$AK3268))+1,"")</f>
        <v/>
      </c>
      <c r="AJ3268" s="18" t="str">
        <f aca="false">IF($D3268="","",IF(OR($R3268=TRUE(),$R3268="TRUE"),1,0))</f>
        <v/>
      </c>
      <c r="AK3268" s="18" t="str">
        <f aca="false">IF($AH3268=1,IFERROR(VALUE(MID($D3268,2,20)),1000000000)+ROW()/10000000,"")</f>
        <v/>
      </c>
    </row>
    <row r="3269" customFormat="false" ht="15" hidden="false" customHeight="false" outlineLevel="0" collapsed="false">
      <c r="F3269" s="15"/>
      <c r="N3269" s="16" t="str">
        <f aca="false">IF($D3269="","",M3269*Y3269/100)</f>
        <v/>
      </c>
      <c r="V3269" s="16" t="str">
        <f aca="false">IF($D3269="","",Y3269*AB3269/100)</f>
        <v/>
      </c>
      <c r="W3269" s="16" t="str">
        <f aca="false">IF($D3269="","",Y3269-V3269)</f>
        <v/>
      </c>
      <c r="X3269" s="16" t="str">
        <f aca="false">IF($D3269="","",W3269-N3269)</f>
        <v/>
      </c>
      <c r="AB3269" s="17" t="str">
        <f aca="false">IF($D3269="","",IF(OR($R3269=TRUE(),$R3269="TRUE"),Settings!$C$6,Settings!$C$7)*100)</f>
        <v/>
      </c>
      <c r="AH3269" s="18" t="str">
        <f aca="false">IF($D3269="","",IF(COUNTIF($D$2:$D3269,$D3269)=1,1,0))</f>
        <v/>
      </c>
      <c r="AI3269" s="18" t="str">
        <f aca="false">IF($AH3269=1,SUMPRODUCT(--($AK$2:$AK$4001&lt;$AK3269))+1,"")</f>
        <v/>
      </c>
      <c r="AJ3269" s="18" t="str">
        <f aca="false">IF($D3269="","",IF(OR($R3269=TRUE(),$R3269="TRUE"),1,0))</f>
        <v/>
      </c>
      <c r="AK3269" s="18" t="str">
        <f aca="false">IF($AH3269=1,IFERROR(VALUE(MID($D3269,2,20)),1000000000)+ROW()/10000000,"")</f>
        <v/>
      </c>
    </row>
    <row r="3270" customFormat="false" ht="15" hidden="false" customHeight="false" outlineLevel="0" collapsed="false">
      <c r="F3270" s="15"/>
      <c r="N3270" s="16" t="str">
        <f aca="false">IF($D3270="","",M3270*Y3270/100)</f>
        <v/>
      </c>
      <c r="V3270" s="16" t="str">
        <f aca="false">IF($D3270="","",Y3270*AB3270/100)</f>
        <v/>
      </c>
      <c r="W3270" s="16" t="str">
        <f aca="false">IF($D3270="","",Y3270-V3270)</f>
        <v/>
      </c>
      <c r="X3270" s="16" t="str">
        <f aca="false">IF($D3270="","",W3270-N3270)</f>
        <v/>
      </c>
      <c r="AB3270" s="17" t="str">
        <f aca="false">IF($D3270="","",IF(OR($R3270=TRUE(),$R3270="TRUE"),Settings!$C$6,Settings!$C$7)*100)</f>
        <v/>
      </c>
      <c r="AH3270" s="18" t="str">
        <f aca="false">IF($D3270="","",IF(COUNTIF($D$2:$D3270,$D3270)=1,1,0))</f>
        <v/>
      </c>
      <c r="AI3270" s="18" t="str">
        <f aca="false">IF($AH3270=1,SUMPRODUCT(--($AK$2:$AK$4001&lt;$AK3270))+1,"")</f>
        <v/>
      </c>
      <c r="AJ3270" s="18" t="str">
        <f aca="false">IF($D3270="","",IF(OR($R3270=TRUE(),$R3270="TRUE"),1,0))</f>
        <v/>
      </c>
      <c r="AK3270" s="18" t="str">
        <f aca="false">IF($AH3270=1,IFERROR(VALUE(MID($D3270,2,20)),1000000000)+ROW()/10000000,"")</f>
        <v/>
      </c>
    </row>
    <row r="3271" customFormat="false" ht="15" hidden="false" customHeight="false" outlineLevel="0" collapsed="false">
      <c r="F3271" s="15"/>
      <c r="N3271" s="16" t="str">
        <f aca="false">IF($D3271="","",M3271*Y3271/100)</f>
        <v/>
      </c>
      <c r="V3271" s="16" t="str">
        <f aca="false">IF($D3271="","",Y3271*AB3271/100)</f>
        <v/>
      </c>
      <c r="W3271" s="16" t="str">
        <f aca="false">IF($D3271="","",Y3271-V3271)</f>
        <v/>
      </c>
      <c r="X3271" s="16" t="str">
        <f aca="false">IF($D3271="","",W3271-N3271)</f>
        <v/>
      </c>
      <c r="AB3271" s="17" t="str">
        <f aca="false">IF($D3271="","",IF(OR($R3271=TRUE(),$R3271="TRUE"),Settings!$C$6,Settings!$C$7)*100)</f>
        <v/>
      </c>
      <c r="AH3271" s="18" t="str">
        <f aca="false">IF($D3271="","",IF(COUNTIF($D$2:$D3271,$D3271)=1,1,0))</f>
        <v/>
      </c>
      <c r="AI3271" s="18" t="str">
        <f aca="false">IF($AH3271=1,SUMPRODUCT(--($AK$2:$AK$4001&lt;$AK3271))+1,"")</f>
        <v/>
      </c>
      <c r="AJ3271" s="18" t="str">
        <f aca="false">IF($D3271="","",IF(OR($R3271=TRUE(),$R3271="TRUE"),1,0))</f>
        <v/>
      </c>
      <c r="AK3271" s="18" t="str">
        <f aca="false">IF($AH3271=1,IFERROR(VALUE(MID($D3271,2,20)),1000000000)+ROW()/10000000,"")</f>
        <v/>
      </c>
    </row>
    <row r="3272" customFormat="false" ht="15" hidden="false" customHeight="false" outlineLevel="0" collapsed="false">
      <c r="F3272" s="15"/>
      <c r="N3272" s="16" t="str">
        <f aca="false">IF($D3272="","",M3272*Y3272/100)</f>
        <v/>
      </c>
      <c r="V3272" s="16" t="str">
        <f aca="false">IF($D3272="","",Y3272*AB3272/100)</f>
        <v/>
      </c>
      <c r="W3272" s="16" t="str">
        <f aca="false">IF($D3272="","",Y3272-V3272)</f>
        <v/>
      </c>
      <c r="X3272" s="16" t="str">
        <f aca="false">IF($D3272="","",W3272-N3272)</f>
        <v/>
      </c>
      <c r="AB3272" s="17" t="str">
        <f aca="false">IF($D3272="","",IF(OR($R3272=TRUE(),$R3272="TRUE"),Settings!$C$6,Settings!$C$7)*100)</f>
        <v/>
      </c>
      <c r="AH3272" s="18" t="str">
        <f aca="false">IF($D3272="","",IF(COUNTIF($D$2:$D3272,$D3272)=1,1,0))</f>
        <v/>
      </c>
      <c r="AI3272" s="18" t="str">
        <f aca="false">IF($AH3272=1,SUMPRODUCT(--($AK$2:$AK$4001&lt;$AK3272))+1,"")</f>
        <v/>
      </c>
      <c r="AJ3272" s="18" t="str">
        <f aca="false">IF($D3272="","",IF(OR($R3272=TRUE(),$R3272="TRUE"),1,0))</f>
        <v/>
      </c>
      <c r="AK3272" s="18" t="str">
        <f aca="false">IF($AH3272=1,IFERROR(VALUE(MID($D3272,2,20)),1000000000)+ROW()/10000000,"")</f>
        <v/>
      </c>
    </row>
    <row r="3273" customFormat="false" ht="15" hidden="false" customHeight="false" outlineLevel="0" collapsed="false">
      <c r="F3273" s="15"/>
      <c r="N3273" s="16" t="str">
        <f aca="false">IF($D3273="","",M3273*Y3273/100)</f>
        <v/>
      </c>
      <c r="V3273" s="16" t="str">
        <f aca="false">IF($D3273="","",Y3273*AB3273/100)</f>
        <v/>
      </c>
      <c r="W3273" s="16" t="str">
        <f aca="false">IF($D3273="","",Y3273-V3273)</f>
        <v/>
      </c>
      <c r="X3273" s="16" t="str">
        <f aca="false">IF($D3273="","",W3273-N3273)</f>
        <v/>
      </c>
      <c r="AB3273" s="17" t="str">
        <f aca="false">IF($D3273="","",IF(OR($R3273=TRUE(),$R3273="TRUE"),Settings!$C$6,Settings!$C$7)*100)</f>
        <v/>
      </c>
      <c r="AH3273" s="18" t="str">
        <f aca="false">IF($D3273="","",IF(COUNTIF($D$2:$D3273,$D3273)=1,1,0))</f>
        <v/>
      </c>
      <c r="AI3273" s="18" t="str">
        <f aca="false">IF($AH3273=1,SUMPRODUCT(--($AK$2:$AK$4001&lt;$AK3273))+1,"")</f>
        <v/>
      </c>
      <c r="AJ3273" s="18" t="str">
        <f aca="false">IF($D3273="","",IF(OR($R3273=TRUE(),$R3273="TRUE"),1,0))</f>
        <v/>
      </c>
      <c r="AK3273" s="18" t="str">
        <f aca="false">IF($AH3273=1,IFERROR(VALUE(MID($D3273,2,20)),1000000000)+ROW()/10000000,"")</f>
        <v/>
      </c>
    </row>
    <row r="3274" customFormat="false" ht="15" hidden="false" customHeight="false" outlineLevel="0" collapsed="false">
      <c r="F3274" s="15"/>
      <c r="N3274" s="16" t="str">
        <f aca="false">IF($D3274="","",M3274*Y3274/100)</f>
        <v/>
      </c>
      <c r="V3274" s="16" t="str">
        <f aca="false">IF($D3274="","",Y3274*AB3274/100)</f>
        <v/>
      </c>
      <c r="W3274" s="16" t="str">
        <f aca="false">IF($D3274="","",Y3274-V3274)</f>
        <v/>
      </c>
      <c r="X3274" s="16" t="str">
        <f aca="false">IF($D3274="","",W3274-N3274)</f>
        <v/>
      </c>
      <c r="AB3274" s="17" t="str">
        <f aca="false">IF($D3274="","",IF(OR($R3274=TRUE(),$R3274="TRUE"),Settings!$C$6,Settings!$C$7)*100)</f>
        <v/>
      </c>
      <c r="AH3274" s="18" t="str">
        <f aca="false">IF($D3274="","",IF(COUNTIF($D$2:$D3274,$D3274)=1,1,0))</f>
        <v/>
      </c>
      <c r="AI3274" s="18" t="str">
        <f aca="false">IF($AH3274=1,SUMPRODUCT(--($AK$2:$AK$4001&lt;$AK3274))+1,"")</f>
        <v/>
      </c>
      <c r="AJ3274" s="18" t="str">
        <f aca="false">IF($D3274="","",IF(OR($R3274=TRUE(),$R3274="TRUE"),1,0))</f>
        <v/>
      </c>
      <c r="AK3274" s="18" t="str">
        <f aca="false">IF($AH3274=1,IFERROR(VALUE(MID($D3274,2,20)),1000000000)+ROW()/10000000,"")</f>
        <v/>
      </c>
    </row>
    <row r="3275" customFormat="false" ht="15" hidden="false" customHeight="false" outlineLevel="0" collapsed="false">
      <c r="F3275" s="15"/>
      <c r="N3275" s="16" t="str">
        <f aca="false">IF($D3275="","",M3275*Y3275/100)</f>
        <v/>
      </c>
      <c r="V3275" s="16" t="str">
        <f aca="false">IF($D3275="","",Y3275*AB3275/100)</f>
        <v/>
      </c>
      <c r="W3275" s="16" t="str">
        <f aca="false">IF($D3275="","",Y3275-V3275)</f>
        <v/>
      </c>
      <c r="X3275" s="16" t="str">
        <f aca="false">IF($D3275="","",W3275-N3275)</f>
        <v/>
      </c>
      <c r="AB3275" s="17" t="str">
        <f aca="false">IF($D3275="","",IF(OR($R3275=TRUE(),$R3275="TRUE"),Settings!$C$6,Settings!$C$7)*100)</f>
        <v/>
      </c>
      <c r="AH3275" s="18" t="str">
        <f aca="false">IF($D3275="","",IF(COUNTIF($D$2:$D3275,$D3275)=1,1,0))</f>
        <v/>
      </c>
      <c r="AI3275" s="18" t="str">
        <f aca="false">IF($AH3275=1,SUMPRODUCT(--($AK$2:$AK$4001&lt;$AK3275))+1,"")</f>
        <v/>
      </c>
      <c r="AJ3275" s="18" t="str">
        <f aca="false">IF($D3275="","",IF(OR($R3275=TRUE(),$R3275="TRUE"),1,0))</f>
        <v/>
      </c>
      <c r="AK3275" s="18" t="str">
        <f aca="false">IF($AH3275=1,IFERROR(VALUE(MID($D3275,2,20)),1000000000)+ROW()/10000000,"")</f>
        <v/>
      </c>
    </row>
    <row r="3276" customFormat="false" ht="15" hidden="false" customHeight="false" outlineLevel="0" collapsed="false">
      <c r="F3276" s="15"/>
      <c r="N3276" s="16" t="str">
        <f aca="false">IF($D3276="","",M3276*Y3276/100)</f>
        <v/>
      </c>
      <c r="V3276" s="16" t="str">
        <f aca="false">IF($D3276="","",Y3276*AB3276/100)</f>
        <v/>
      </c>
      <c r="W3276" s="16" t="str">
        <f aca="false">IF($D3276="","",Y3276-V3276)</f>
        <v/>
      </c>
      <c r="X3276" s="16" t="str">
        <f aca="false">IF($D3276="","",W3276-N3276)</f>
        <v/>
      </c>
      <c r="AB3276" s="17" t="str">
        <f aca="false">IF($D3276="","",IF(OR($R3276=TRUE(),$R3276="TRUE"),Settings!$C$6,Settings!$C$7)*100)</f>
        <v/>
      </c>
      <c r="AH3276" s="18" t="str">
        <f aca="false">IF($D3276="","",IF(COUNTIF($D$2:$D3276,$D3276)=1,1,0))</f>
        <v/>
      </c>
      <c r="AI3276" s="18" t="str">
        <f aca="false">IF($AH3276=1,SUMPRODUCT(--($AK$2:$AK$4001&lt;$AK3276))+1,"")</f>
        <v/>
      </c>
      <c r="AJ3276" s="18" t="str">
        <f aca="false">IF($D3276="","",IF(OR($R3276=TRUE(),$R3276="TRUE"),1,0))</f>
        <v/>
      </c>
      <c r="AK3276" s="18" t="str">
        <f aca="false">IF($AH3276=1,IFERROR(VALUE(MID($D3276,2,20)),1000000000)+ROW()/10000000,"")</f>
        <v/>
      </c>
    </row>
    <row r="3277" customFormat="false" ht="15" hidden="false" customHeight="false" outlineLevel="0" collapsed="false">
      <c r="F3277" s="15"/>
      <c r="N3277" s="16" t="str">
        <f aca="false">IF($D3277="","",M3277*Y3277/100)</f>
        <v/>
      </c>
      <c r="V3277" s="16" t="str">
        <f aca="false">IF($D3277="","",Y3277*AB3277/100)</f>
        <v/>
      </c>
      <c r="W3277" s="16" t="str">
        <f aca="false">IF($D3277="","",Y3277-V3277)</f>
        <v/>
      </c>
      <c r="X3277" s="16" t="str">
        <f aca="false">IF($D3277="","",W3277-N3277)</f>
        <v/>
      </c>
      <c r="AB3277" s="17" t="str">
        <f aca="false">IF($D3277="","",IF(OR($R3277=TRUE(),$R3277="TRUE"),Settings!$C$6,Settings!$C$7)*100)</f>
        <v/>
      </c>
      <c r="AH3277" s="18" t="str">
        <f aca="false">IF($D3277="","",IF(COUNTIF($D$2:$D3277,$D3277)=1,1,0))</f>
        <v/>
      </c>
      <c r="AI3277" s="18" t="str">
        <f aca="false">IF($AH3277=1,SUMPRODUCT(--($AK$2:$AK$4001&lt;$AK3277))+1,"")</f>
        <v/>
      </c>
      <c r="AJ3277" s="18" t="str">
        <f aca="false">IF($D3277="","",IF(OR($R3277=TRUE(),$R3277="TRUE"),1,0))</f>
        <v/>
      </c>
      <c r="AK3277" s="18" t="str">
        <f aca="false">IF($AH3277=1,IFERROR(VALUE(MID($D3277,2,20)),1000000000)+ROW()/10000000,"")</f>
        <v/>
      </c>
    </row>
    <row r="3278" customFormat="false" ht="15" hidden="false" customHeight="false" outlineLevel="0" collapsed="false">
      <c r="F3278" s="15"/>
      <c r="N3278" s="16" t="str">
        <f aca="false">IF($D3278="","",M3278*Y3278/100)</f>
        <v/>
      </c>
      <c r="V3278" s="16" t="str">
        <f aca="false">IF($D3278="","",Y3278*AB3278/100)</f>
        <v/>
      </c>
      <c r="W3278" s="16" t="str">
        <f aca="false">IF($D3278="","",Y3278-V3278)</f>
        <v/>
      </c>
      <c r="X3278" s="16" t="str">
        <f aca="false">IF($D3278="","",W3278-N3278)</f>
        <v/>
      </c>
      <c r="AB3278" s="17" t="str">
        <f aca="false">IF($D3278="","",IF(OR($R3278=TRUE(),$R3278="TRUE"),Settings!$C$6,Settings!$C$7)*100)</f>
        <v/>
      </c>
      <c r="AH3278" s="18" t="str">
        <f aca="false">IF($D3278="","",IF(COUNTIF($D$2:$D3278,$D3278)=1,1,0))</f>
        <v/>
      </c>
      <c r="AI3278" s="18" t="str">
        <f aca="false">IF($AH3278=1,SUMPRODUCT(--($AK$2:$AK$4001&lt;$AK3278))+1,"")</f>
        <v/>
      </c>
      <c r="AJ3278" s="18" t="str">
        <f aca="false">IF($D3278="","",IF(OR($R3278=TRUE(),$R3278="TRUE"),1,0))</f>
        <v/>
      </c>
      <c r="AK3278" s="18" t="str">
        <f aca="false">IF($AH3278=1,IFERROR(VALUE(MID($D3278,2,20)),1000000000)+ROW()/10000000,"")</f>
        <v/>
      </c>
    </row>
    <row r="3279" customFormat="false" ht="15" hidden="false" customHeight="false" outlineLevel="0" collapsed="false">
      <c r="F3279" s="15"/>
      <c r="N3279" s="16" t="str">
        <f aca="false">IF($D3279="","",M3279*Y3279/100)</f>
        <v/>
      </c>
      <c r="V3279" s="16" t="str">
        <f aca="false">IF($D3279="","",Y3279*AB3279/100)</f>
        <v/>
      </c>
      <c r="W3279" s="16" t="str">
        <f aca="false">IF($D3279="","",Y3279-V3279)</f>
        <v/>
      </c>
      <c r="X3279" s="16" t="str">
        <f aca="false">IF($D3279="","",W3279-N3279)</f>
        <v/>
      </c>
      <c r="AB3279" s="17" t="str">
        <f aca="false">IF($D3279="","",IF(OR($R3279=TRUE(),$R3279="TRUE"),Settings!$C$6,Settings!$C$7)*100)</f>
        <v/>
      </c>
      <c r="AH3279" s="18" t="str">
        <f aca="false">IF($D3279="","",IF(COUNTIF($D$2:$D3279,$D3279)=1,1,0))</f>
        <v/>
      </c>
      <c r="AI3279" s="18" t="str">
        <f aca="false">IF($AH3279=1,SUMPRODUCT(--($AK$2:$AK$4001&lt;$AK3279))+1,"")</f>
        <v/>
      </c>
      <c r="AJ3279" s="18" t="str">
        <f aca="false">IF($D3279="","",IF(OR($R3279=TRUE(),$R3279="TRUE"),1,0))</f>
        <v/>
      </c>
      <c r="AK3279" s="18" t="str">
        <f aca="false">IF($AH3279=1,IFERROR(VALUE(MID($D3279,2,20)),1000000000)+ROW()/10000000,"")</f>
        <v/>
      </c>
    </row>
    <row r="3280" customFormat="false" ht="15" hidden="false" customHeight="false" outlineLevel="0" collapsed="false">
      <c r="F3280" s="15"/>
      <c r="N3280" s="16" t="str">
        <f aca="false">IF($D3280="","",M3280*Y3280/100)</f>
        <v/>
      </c>
      <c r="V3280" s="16" t="str">
        <f aca="false">IF($D3280="","",Y3280*AB3280/100)</f>
        <v/>
      </c>
      <c r="W3280" s="16" t="str">
        <f aca="false">IF($D3280="","",Y3280-V3280)</f>
        <v/>
      </c>
      <c r="X3280" s="16" t="str">
        <f aca="false">IF($D3280="","",W3280-N3280)</f>
        <v/>
      </c>
      <c r="AB3280" s="17" t="str">
        <f aca="false">IF($D3280="","",IF(OR($R3280=TRUE(),$R3280="TRUE"),Settings!$C$6,Settings!$C$7)*100)</f>
        <v/>
      </c>
      <c r="AH3280" s="18" t="str">
        <f aca="false">IF($D3280="","",IF(COUNTIF($D$2:$D3280,$D3280)=1,1,0))</f>
        <v/>
      </c>
      <c r="AI3280" s="18" t="str">
        <f aca="false">IF($AH3280=1,SUMPRODUCT(--($AK$2:$AK$4001&lt;$AK3280))+1,"")</f>
        <v/>
      </c>
      <c r="AJ3280" s="18" t="str">
        <f aca="false">IF($D3280="","",IF(OR($R3280=TRUE(),$R3280="TRUE"),1,0))</f>
        <v/>
      </c>
      <c r="AK3280" s="18" t="str">
        <f aca="false">IF($AH3280=1,IFERROR(VALUE(MID($D3280,2,20)),1000000000)+ROW()/10000000,"")</f>
        <v/>
      </c>
    </row>
    <row r="3281" customFormat="false" ht="15" hidden="false" customHeight="false" outlineLevel="0" collapsed="false">
      <c r="F3281" s="15"/>
      <c r="N3281" s="16" t="str">
        <f aca="false">IF($D3281="","",M3281*Y3281/100)</f>
        <v/>
      </c>
      <c r="V3281" s="16" t="str">
        <f aca="false">IF($D3281="","",Y3281*AB3281/100)</f>
        <v/>
      </c>
      <c r="W3281" s="16" t="str">
        <f aca="false">IF($D3281="","",Y3281-V3281)</f>
        <v/>
      </c>
      <c r="X3281" s="16" t="str">
        <f aca="false">IF($D3281="","",W3281-N3281)</f>
        <v/>
      </c>
      <c r="AB3281" s="17" t="str">
        <f aca="false">IF($D3281="","",IF(OR($R3281=TRUE(),$R3281="TRUE"),Settings!$C$6,Settings!$C$7)*100)</f>
        <v/>
      </c>
      <c r="AH3281" s="18" t="str">
        <f aca="false">IF($D3281="","",IF(COUNTIF($D$2:$D3281,$D3281)=1,1,0))</f>
        <v/>
      </c>
      <c r="AI3281" s="18" t="str">
        <f aca="false">IF($AH3281=1,SUMPRODUCT(--($AK$2:$AK$4001&lt;$AK3281))+1,"")</f>
        <v/>
      </c>
      <c r="AJ3281" s="18" t="str">
        <f aca="false">IF($D3281="","",IF(OR($R3281=TRUE(),$R3281="TRUE"),1,0))</f>
        <v/>
      </c>
      <c r="AK3281" s="18" t="str">
        <f aca="false">IF($AH3281=1,IFERROR(VALUE(MID($D3281,2,20)),1000000000)+ROW()/10000000,"")</f>
        <v/>
      </c>
    </row>
    <row r="3282" customFormat="false" ht="15" hidden="false" customHeight="false" outlineLevel="0" collapsed="false">
      <c r="F3282" s="15"/>
      <c r="N3282" s="16" t="str">
        <f aca="false">IF($D3282="","",M3282*Y3282/100)</f>
        <v/>
      </c>
      <c r="V3282" s="16" t="str">
        <f aca="false">IF($D3282="","",Y3282*AB3282/100)</f>
        <v/>
      </c>
      <c r="W3282" s="16" t="str">
        <f aca="false">IF($D3282="","",Y3282-V3282)</f>
        <v/>
      </c>
      <c r="X3282" s="16" t="str">
        <f aca="false">IF($D3282="","",W3282-N3282)</f>
        <v/>
      </c>
      <c r="AB3282" s="17" t="str">
        <f aca="false">IF($D3282="","",IF(OR($R3282=TRUE(),$R3282="TRUE"),Settings!$C$6,Settings!$C$7)*100)</f>
        <v/>
      </c>
      <c r="AH3282" s="18" t="str">
        <f aca="false">IF($D3282="","",IF(COUNTIF($D$2:$D3282,$D3282)=1,1,0))</f>
        <v/>
      </c>
      <c r="AI3282" s="18" t="str">
        <f aca="false">IF($AH3282=1,SUMPRODUCT(--($AK$2:$AK$4001&lt;$AK3282))+1,"")</f>
        <v/>
      </c>
      <c r="AJ3282" s="18" t="str">
        <f aca="false">IF($D3282="","",IF(OR($R3282=TRUE(),$R3282="TRUE"),1,0))</f>
        <v/>
      </c>
      <c r="AK3282" s="18" t="str">
        <f aca="false">IF($AH3282=1,IFERROR(VALUE(MID($D3282,2,20)),1000000000)+ROW()/10000000,"")</f>
        <v/>
      </c>
    </row>
    <row r="3283" customFormat="false" ht="15" hidden="false" customHeight="false" outlineLevel="0" collapsed="false">
      <c r="F3283" s="15"/>
      <c r="N3283" s="16" t="str">
        <f aca="false">IF($D3283="","",M3283*Y3283/100)</f>
        <v/>
      </c>
      <c r="V3283" s="16" t="str">
        <f aca="false">IF($D3283="","",Y3283*AB3283/100)</f>
        <v/>
      </c>
      <c r="W3283" s="16" t="str">
        <f aca="false">IF($D3283="","",Y3283-V3283)</f>
        <v/>
      </c>
      <c r="X3283" s="16" t="str">
        <f aca="false">IF($D3283="","",W3283-N3283)</f>
        <v/>
      </c>
      <c r="AB3283" s="17" t="str">
        <f aca="false">IF($D3283="","",IF(OR($R3283=TRUE(),$R3283="TRUE"),Settings!$C$6,Settings!$C$7)*100)</f>
        <v/>
      </c>
      <c r="AH3283" s="18" t="str">
        <f aca="false">IF($D3283="","",IF(COUNTIF($D$2:$D3283,$D3283)=1,1,0))</f>
        <v/>
      </c>
      <c r="AI3283" s="18" t="str">
        <f aca="false">IF($AH3283=1,SUMPRODUCT(--($AK$2:$AK$4001&lt;$AK3283))+1,"")</f>
        <v/>
      </c>
      <c r="AJ3283" s="18" t="str">
        <f aca="false">IF($D3283="","",IF(OR($R3283=TRUE(),$R3283="TRUE"),1,0))</f>
        <v/>
      </c>
      <c r="AK3283" s="18" t="str">
        <f aca="false">IF($AH3283=1,IFERROR(VALUE(MID($D3283,2,20)),1000000000)+ROW()/10000000,"")</f>
        <v/>
      </c>
    </row>
    <row r="3284" customFormat="false" ht="15" hidden="false" customHeight="false" outlineLevel="0" collapsed="false">
      <c r="F3284" s="15"/>
      <c r="N3284" s="16" t="str">
        <f aca="false">IF($D3284="","",M3284*Y3284/100)</f>
        <v/>
      </c>
      <c r="V3284" s="16" t="str">
        <f aca="false">IF($D3284="","",Y3284*AB3284/100)</f>
        <v/>
      </c>
      <c r="W3284" s="16" t="str">
        <f aca="false">IF($D3284="","",Y3284-V3284)</f>
        <v/>
      </c>
      <c r="X3284" s="16" t="str">
        <f aca="false">IF($D3284="","",W3284-N3284)</f>
        <v/>
      </c>
      <c r="AB3284" s="17" t="str">
        <f aca="false">IF($D3284="","",IF(OR($R3284=TRUE(),$R3284="TRUE"),Settings!$C$6,Settings!$C$7)*100)</f>
        <v/>
      </c>
      <c r="AH3284" s="18" t="str">
        <f aca="false">IF($D3284="","",IF(COUNTIF($D$2:$D3284,$D3284)=1,1,0))</f>
        <v/>
      </c>
      <c r="AI3284" s="18" t="str">
        <f aca="false">IF($AH3284=1,SUMPRODUCT(--($AK$2:$AK$4001&lt;$AK3284))+1,"")</f>
        <v/>
      </c>
      <c r="AJ3284" s="18" t="str">
        <f aca="false">IF($D3284="","",IF(OR($R3284=TRUE(),$R3284="TRUE"),1,0))</f>
        <v/>
      </c>
      <c r="AK3284" s="18" t="str">
        <f aca="false">IF($AH3284=1,IFERROR(VALUE(MID($D3284,2,20)),1000000000)+ROW()/10000000,"")</f>
        <v/>
      </c>
    </row>
    <row r="3285" customFormat="false" ht="15" hidden="false" customHeight="false" outlineLevel="0" collapsed="false">
      <c r="F3285" s="15"/>
      <c r="N3285" s="16" t="str">
        <f aca="false">IF($D3285="","",M3285*Y3285/100)</f>
        <v/>
      </c>
      <c r="V3285" s="16" t="str">
        <f aca="false">IF($D3285="","",Y3285*AB3285/100)</f>
        <v/>
      </c>
      <c r="W3285" s="16" t="str">
        <f aca="false">IF($D3285="","",Y3285-V3285)</f>
        <v/>
      </c>
      <c r="X3285" s="16" t="str">
        <f aca="false">IF($D3285="","",W3285-N3285)</f>
        <v/>
      </c>
      <c r="AB3285" s="17" t="str">
        <f aca="false">IF($D3285="","",IF(OR($R3285=TRUE(),$R3285="TRUE"),Settings!$C$6,Settings!$C$7)*100)</f>
        <v/>
      </c>
      <c r="AH3285" s="18" t="str">
        <f aca="false">IF($D3285="","",IF(COUNTIF($D$2:$D3285,$D3285)=1,1,0))</f>
        <v/>
      </c>
      <c r="AI3285" s="18" t="str">
        <f aca="false">IF($AH3285=1,SUMPRODUCT(--($AK$2:$AK$4001&lt;$AK3285))+1,"")</f>
        <v/>
      </c>
      <c r="AJ3285" s="18" t="str">
        <f aca="false">IF($D3285="","",IF(OR($R3285=TRUE(),$R3285="TRUE"),1,0))</f>
        <v/>
      </c>
      <c r="AK3285" s="18" t="str">
        <f aca="false">IF($AH3285=1,IFERROR(VALUE(MID($D3285,2,20)),1000000000)+ROW()/10000000,"")</f>
        <v/>
      </c>
    </row>
    <row r="3286" customFormat="false" ht="15" hidden="false" customHeight="false" outlineLevel="0" collapsed="false">
      <c r="F3286" s="15"/>
      <c r="N3286" s="16" t="str">
        <f aca="false">IF($D3286="","",M3286*Y3286/100)</f>
        <v/>
      </c>
      <c r="V3286" s="16" t="str">
        <f aca="false">IF($D3286="","",Y3286*AB3286/100)</f>
        <v/>
      </c>
      <c r="W3286" s="16" t="str">
        <f aca="false">IF($D3286="","",Y3286-V3286)</f>
        <v/>
      </c>
      <c r="X3286" s="16" t="str">
        <f aca="false">IF($D3286="","",W3286-N3286)</f>
        <v/>
      </c>
      <c r="AB3286" s="17" t="str">
        <f aca="false">IF($D3286="","",IF(OR($R3286=TRUE(),$R3286="TRUE"),Settings!$C$6,Settings!$C$7)*100)</f>
        <v/>
      </c>
      <c r="AH3286" s="18" t="str">
        <f aca="false">IF($D3286="","",IF(COUNTIF($D$2:$D3286,$D3286)=1,1,0))</f>
        <v/>
      </c>
      <c r="AI3286" s="18" t="str">
        <f aca="false">IF($AH3286=1,SUMPRODUCT(--($AK$2:$AK$4001&lt;$AK3286))+1,"")</f>
        <v/>
      </c>
      <c r="AJ3286" s="18" t="str">
        <f aca="false">IF($D3286="","",IF(OR($R3286=TRUE(),$R3286="TRUE"),1,0))</f>
        <v/>
      </c>
      <c r="AK3286" s="18" t="str">
        <f aca="false">IF($AH3286=1,IFERROR(VALUE(MID($D3286,2,20)),1000000000)+ROW()/10000000,"")</f>
        <v/>
      </c>
    </row>
    <row r="3287" customFormat="false" ht="15" hidden="false" customHeight="false" outlineLevel="0" collapsed="false">
      <c r="F3287" s="15"/>
      <c r="N3287" s="16" t="str">
        <f aca="false">IF($D3287="","",M3287*Y3287/100)</f>
        <v/>
      </c>
      <c r="V3287" s="16" t="str">
        <f aca="false">IF($D3287="","",Y3287*AB3287/100)</f>
        <v/>
      </c>
      <c r="W3287" s="16" t="str">
        <f aca="false">IF($D3287="","",Y3287-V3287)</f>
        <v/>
      </c>
      <c r="X3287" s="16" t="str">
        <f aca="false">IF($D3287="","",W3287-N3287)</f>
        <v/>
      </c>
      <c r="AB3287" s="17" t="str">
        <f aca="false">IF($D3287="","",IF(OR($R3287=TRUE(),$R3287="TRUE"),Settings!$C$6,Settings!$C$7)*100)</f>
        <v/>
      </c>
      <c r="AH3287" s="18" t="str">
        <f aca="false">IF($D3287="","",IF(COUNTIF($D$2:$D3287,$D3287)=1,1,0))</f>
        <v/>
      </c>
      <c r="AI3287" s="18" t="str">
        <f aca="false">IF($AH3287=1,SUMPRODUCT(--($AK$2:$AK$4001&lt;$AK3287))+1,"")</f>
        <v/>
      </c>
      <c r="AJ3287" s="18" t="str">
        <f aca="false">IF($D3287="","",IF(OR($R3287=TRUE(),$R3287="TRUE"),1,0))</f>
        <v/>
      </c>
      <c r="AK3287" s="18" t="str">
        <f aca="false">IF($AH3287=1,IFERROR(VALUE(MID($D3287,2,20)),1000000000)+ROW()/10000000,"")</f>
        <v/>
      </c>
    </row>
    <row r="3288" customFormat="false" ht="15" hidden="false" customHeight="false" outlineLevel="0" collapsed="false">
      <c r="F3288" s="15"/>
      <c r="N3288" s="16" t="str">
        <f aca="false">IF($D3288="","",M3288*Y3288/100)</f>
        <v/>
      </c>
      <c r="V3288" s="16" t="str">
        <f aca="false">IF($D3288="","",Y3288*AB3288/100)</f>
        <v/>
      </c>
      <c r="W3288" s="16" t="str">
        <f aca="false">IF($D3288="","",Y3288-V3288)</f>
        <v/>
      </c>
      <c r="X3288" s="16" t="str">
        <f aca="false">IF($D3288="","",W3288-N3288)</f>
        <v/>
      </c>
      <c r="AB3288" s="17" t="str">
        <f aca="false">IF($D3288="","",IF(OR($R3288=TRUE(),$R3288="TRUE"),Settings!$C$6,Settings!$C$7)*100)</f>
        <v/>
      </c>
      <c r="AH3288" s="18" t="str">
        <f aca="false">IF($D3288="","",IF(COUNTIF($D$2:$D3288,$D3288)=1,1,0))</f>
        <v/>
      </c>
      <c r="AI3288" s="18" t="str">
        <f aca="false">IF($AH3288=1,SUMPRODUCT(--($AK$2:$AK$4001&lt;$AK3288))+1,"")</f>
        <v/>
      </c>
      <c r="AJ3288" s="18" t="str">
        <f aca="false">IF($D3288="","",IF(OR($R3288=TRUE(),$R3288="TRUE"),1,0))</f>
        <v/>
      </c>
      <c r="AK3288" s="18" t="str">
        <f aca="false">IF($AH3288=1,IFERROR(VALUE(MID($D3288,2,20)),1000000000)+ROW()/10000000,"")</f>
        <v/>
      </c>
    </row>
    <row r="3289" customFormat="false" ht="15" hidden="false" customHeight="false" outlineLevel="0" collapsed="false">
      <c r="F3289" s="15"/>
      <c r="N3289" s="16" t="str">
        <f aca="false">IF($D3289="","",M3289*Y3289/100)</f>
        <v/>
      </c>
      <c r="V3289" s="16" t="str">
        <f aca="false">IF($D3289="","",Y3289*AB3289/100)</f>
        <v/>
      </c>
      <c r="W3289" s="16" t="str">
        <f aca="false">IF($D3289="","",Y3289-V3289)</f>
        <v/>
      </c>
      <c r="X3289" s="16" t="str">
        <f aca="false">IF($D3289="","",W3289-N3289)</f>
        <v/>
      </c>
      <c r="AB3289" s="17" t="str">
        <f aca="false">IF($D3289="","",IF(OR($R3289=TRUE(),$R3289="TRUE"),Settings!$C$6,Settings!$C$7)*100)</f>
        <v/>
      </c>
      <c r="AH3289" s="18" t="str">
        <f aca="false">IF($D3289="","",IF(COUNTIF($D$2:$D3289,$D3289)=1,1,0))</f>
        <v/>
      </c>
      <c r="AI3289" s="18" t="str">
        <f aca="false">IF($AH3289=1,SUMPRODUCT(--($AK$2:$AK$4001&lt;$AK3289))+1,"")</f>
        <v/>
      </c>
      <c r="AJ3289" s="18" t="str">
        <f aca="false">IF($D3289="","",IF(OR($R3289=TRUE(),$R3289="TRUE"),1,0))</f>
        <v/>
      </c>
      <c r="AK3289" s="18" t="str">
        <f aca="false">IF($AH3289=1,IFERROR(VALUE(MID($D3289,2,20)),1000000000)+ROW()/10000000,"")</f>
        <v/>
      </c>
    </row>
    <row r="3290" customFormat="false" ht="15" hidden="false" customHeight="false" outlineLevel="0" collapsed="false">
      <c r="F3290" s="15"/>
      <c r="N3290" s="16" t="str">
        <f aca="false">IF($D3290="","",M3290*Y3290/100)</f>
        <v/>
      </c>
      <c r="V3290" s="16" t="str">
        <f aca="false">IF($D3290="","",Y3290*AB3290/100)</f>
        <v/>
      </c>
      <c r="W3290" s="16" t="str">
        <f aca="false">IF($D3290="","",Y3290-V3290)</f>
        <v/>
      </c>
      <c r="X3290" s="16" t="str">
        <f aca="false">IF($D3290="","",W3290-N3290)</f>
        <v/>
      </c>
      <c r="AB3290" s="17" t="str">
        <f aca="false">IF($D3290="","",IF(OR($R3290=TRUE(),$R3290="TRUE"),Settings!$C$6,Settings!$C$7)*100)</f>
        <v/>
      </c>
      <c r="AH3290" s="18" t="str">
        <f aca="false">IF($D3290="","",IF(COUNTIF($D$2:$D3290,$D3290)=1,1,0))</f>
        <v/>
      </c>
      <c r="AI3290" s="18" t="str">
        <f aca="false">IF($AH3290=1,SUMPRODUCT(--($AK$2:$AK$4001&lt;$AK3290))+1,"")</f>
        <v/>
      </c>
      <c r="AJ3290" s="18" t="str">
        <f aca="false">IF($D3290="","",IF(OR($R3290=TRUE(),$R3290="TRUE"),1,0))</f>
        <v/>
      </c>
      <c r="AK3290" s="18" t="str">
        <f aca="false">IF($AH3290=1,IFERROR(VALUE(MID($D3290,2,20)),1000000000)+ROW()/10000000,"")</f>
        <v/>
      </c>
    </row>
    <row r="3291" customFormat="false" ht="15" hidden="false" customHeight="false" outlineLevel="0" collapsed="false">
      <c r="F3291" s="15"/>
      <c r="N3291" s="16" t="str">
        <f aca="false">IF($D3291="","",M3291*Y3291/100)</f>
        <v/>
      </c>
      <c r="V3291" s="16" t="str">
        <f aca="false">IF($D3291="","",Y3291*AB3291/100)</f>
        <v/>
      </c>
      <c r="W3291" s="16" t="str">
        <f aca="false">IF($D3291="","",Y3291-V3291)</f>
        <v/>
      </c>
      <c r="X3291" s="16" t="str">
        <f aca="false">IF($D3291="","",W3291-N3291)</f>
        <v/>
      </c>
      <c r="AB3291" s="17" t="str">
        <f aca="false">IF($D3291="","",IF(OR($R3291=TRUE(),$R3291="TRUE"),Settings!$C$6,Settings!$C$7)*100)</f>
        <v/>
      </c>
      <c r="AH3291" s="18" t="str">
        <f aca="false">IF($D3291="","",IF(COUNTIF($D$2:$D3291,$D3291)=1,1,0))</f>
        <v/>
      </c>
      <c r="AI3291" s="18" t="str">
        <f aca="false">IF($AH3291=1,SUMPRODUCT(--($AK$2:$AK$4001&lt;$AK3291))+1,"")</f>
        <v/>
      </c>
      <c r="AJ3291" s="18" t="str">
        <f aca="false">IF($D3291="","",IF(OR($R3291=TRUE(),$R3291="TRUE"),1,0))</f>
        <v/>
      </c>
      <c r="AK3291" s="18" t="str">
        <f aca="false">IF($AH3291=1,IFERROR(VALUE(MID($D3291,2,20)),1000000000)+ROW()/10000000,"")</f>
        <v/>
      </c>
    </row>
    <row r="3292" customFormat="false" ht="15" hidden="false" customHeight="false" outlineLevel="0" collapsed="false">
      <c r="F3292" s="15"/>
      <c r="N3292" s="16" t="str">
        <f aca="false">IF($D3292="","",M3292*Y3292/100)</f>
        <v/>
      </c>
      <c r="V3292" s="16" t="str">
        <f aca="false">IF($D3292="","",Y3292*AB3292/100)</f>
        <v/>
      </c>
      <c r="W3292" s="16" t="str">
        <f aca="false">IF($D3292="","",Y3292-V3292)</f>
        <v/>
      </c>
      <c r="X3292" s="16" t="str">
        <f aca="false">IF($D3292="","",W3292-N3292)</f>
        <v/>
      </c>
      <c r="AB3292" s="17" t="str">
        <f aca="false">IF($D3292="","",IF(OR($R3292=TRUE(),$R3292="TRUE"),Settings!$C$6,Settings!$C$7)*100)</f>
        <v/>
      </c>
      <c r="AH3292" s="18" t="str">
        <f aca="false">IF($D3292="","",IF(COUNTIF($D$2:$D3292,$D3292)=1,1,0))</f>
        <v/>
      </c>
      <c r="AI3292" s="18" t="str">
        <f aca="false">IF($AH3292=1,SUMPRODUCT(--($AK$2:$AK$4001&lt;$AK3292))+1,"")</f>
        <v/>
      </c>
      <c r="AJ3292" s="18" t="str">
        <f aca="false">IF($D3292="","",IF(OR($R3292=TRUE(),$R3292="TRUE"),1,0))</f>
        <v/>
      </c>
      <c r="AK3292" s="18" t="str">
        <f aca="false">IF($AH3292=1,IFERROR(VALUE(MID($D3292,2,20)),1000000000)+ROW()/10000000,"")</f>
        <v/>
      </c>
    </row>
    <row r="3293" customFormat="false" ht="15" hidden="false" customHeight="false" outlineLevel="0" collapsed="false">
      <c r="F3293" s="15"/>
      <c r="N3293" s="16" t="str">
        <f aca="false">IF($D3293="","",M3293*Y3293/100)</f>
        <v/>
      </c>
      <c r="V3293" s="16" t="str">
        <f aca="false">IF($D3293="","",Y3293*AB3293/100)</f>
        <v/>
      </c>
      <c r="W3293" s="16" t="str">
        <f aca="false">IF($D3293="","",Y3293-V3293)</f>
        <v/>
      </c>
      <c r="X3293" s="16" t="str">
        <f aca="false">IF($D3293="","",W3293-N3293)</f>
        <v/>
      </c>
      <c r="AB3293" s="17" t="str">
        <f aca="false">IF($D3293="","",IF(OR($R3293=TRUE(),$R3293="TRUE"),Settings!$C$6,Settings!$C$7)*100)</f>
        <v/>
      </c>
      <c r="AH3293" s="18" t="str">
        <f aca="false">IF($D3293="","",IF(COUNTIF($D$2:$D3293,$D3293)=1,1,0))</f>
        <v/>
      </c>
      <c r="AI3293" s="18" t="str">
        <f aca="false">IF($AH3293=1,SUMPRODUCT(--($AK$2:$AK$4001&lt;$AK3293))+1,"")</f>
        <v/>
      </c>
      <c r="AJ3293" s="18" t="str">
        <f aca="false">IF($D3293="","",IF(OR($R3293=TRUE(),$R3293="TRUE"),1,0))</f>
        <v/>
      </c>
      <c r="AK3293" s="18" t="str">
        <f aca="false">IF($AH3293=1,IFERROR(VALUE(MID($D3293,2,20)),1000000000)+ROW()/10000000,"")</f>
        <v/>
      </c>
    </row>
    <row r="3294" customFormat="false" ht="15" hidden="false" customHeight="false" outlineLevel="0" collapsed="false">
      <c r="F3294" s="15"/>
      <c r="N3294" s="16" t="str">
        <f aca="false">IF($D3294="","",M3294*Y3294/100)</f>
        <v/>
      </c>
      <c r="V3294" s="16" t="str">
        <f aca="false">IF($D3294="","",Y3294*AB3294/100)</f>
        <v/>
      </c>
      <c r="W3294" s="16" t="str">
        <f aca="false">IF($D3294="","",Y3294-V3294)</f>
        <v/>
      </c>
      <c r="X3294" s="16" t="str">
        <f aca="false">IF($D3294="","",W3294-N3294)</f>
        <v/>
      </c>
      <c r="AB3294" s="17" t="str">
        <f aca="false">IF($D3294="","",IF(OR($R3294=TRUE(),$R3294="TRUE"),Settings!$C$6,Settings!$C$7)*100)</f>
        <v/>
      </c>
      <c r="AH3294" s="18" t="str">
        <f aca="false">IF($D3294="","",IF(COUNTIF($D$2:$D3294,$D3294)=1,1,0))</f>
        <v/>
      </c>
      <c r="AI3294" s="18" t="str">
        <f aca="false">IF($AH3294=1,SUMPRODUCT(--($AK$2:$AK$4001&lt;$AK3294))+1,"")</f>
        <v/>
      </c>
      <c r="AJ3294" s="18" t="str">
        <f aca="false">IF($D3294="","",IF(OR($R3294=TRUE(),$R3294="TRUE"),1,0))</f>
        <v/>
      </c>
      <c r="AK3294" s="18" t="str">
        <f aca="false">IF($AH3294=1,IFERROR(VALUE(MID($D3294,2,20)),1000000000)+ROW()/10000000,"")</f>
        <v/>
      </c>
    </row>
    <row r="3295" customFormat="false" ht="15" hidden="false" customHeight="false" outlineLevel="0" collapsed="false">
      <c r="F3295" s="15"/>
      <c r="N3295" s="16" t="str">
        <f aca="false">IF($D3295="","",M3295*Y3295/100)</f>
        <v/>
      </c>
      <c r="V3295" s="16" t="str">
        <f aca="false">IF($D3295="","",Y3295*AB3295/100)</f>
        <v/>
      </c>
      <c r="W3295" s="16" t="str">
        <f aca="false">IF($D3295="","",Y3295-V3295)</f>
        <v/>
      </c>
      <c r="X3295" s="16" t="str">
        <f aca="false">IF($D3295="","",W3295-N3295)</f>
        <v/>
      </c>
      <c r="AB3295" s="17" t="str">
        <f aca="false">IF($D3295="","",IF(OR($R3295=TRUE(),$R3295="TRUE"),Settings!$C$6,Settings!$C$7)*100)</f>
        <v/>
      </c>
      <c r="AH3295" s="18" t="str">
        <f aca="false">IF($D3295="","",IF(COUNTIF($D$2:$D3295,$D3295)=1,1,0))</f>
        <v/>
      </c>
      <c r="AI3295" s="18" t="str">
        <f aca="false">IF($AH3295=1,SUMPRODUCT(--($AK$2:$AK$4001&lt;$AK3295))+1,"")</f>
        <v/>
      </c>
      <c r="AJ3295" s="18" t="str">
        <f aca="false">IF($D3295="","",IF(OR($R3295=TRUE(),$R3295="TRUE"),1,0))</f>
        <v/>
      </c>
      <c r="AK3295" s="18" t="str">
        <f aca="false">IF($AH3295=1,IFERROR(VALUE(MID($D3295,2,20)),1000000000)+ROW()/10000000,"")</f>
        <v/>
      </c>
    </row>
    <row r="3296" customFormat="false" ht="15" hidden="false" customHeight="false" outlineLevel="0" collapsed="false">
      <c r="F3296" s="15"/>
      <c r="N3296" s="16" t="str">
        <f aca="false">IF($D3296="","",M3296*Y3296/100)</f>
        <v/>
      </c>
      <c r="V3296" s="16" t="str">
        <f aca="false">IF($D3296="","",Y3296*AB3296/100)</f>
        <v/>
      </c>
      <c r="W3296" s="16" t="str">
        <f aca="false">IF($D3296="","",Y3296-V3296)</f>
        <v/>
      </c>
      <c r="X3296" s="16" t="str">
        <f aca="false">IF($D3296="","",W3296-N3296)</f>
        <v/>
      </c>
      <c r="AB3296" s="17" t="str">
        <f aca="false">IF($D3296="","",IF(OR($R3296=TRUE(),$R3296="TRUE"),Settings!$C$6,Settings!$C$7)*100)</f>
        <v/>
      </c>
      <c r="AH3296" s="18" t="str">
        <f aca="false">IF($D3296="","",IF(COUNTIF($D$2:$D3296,$D3296)=1,1,0))</f>
        <v/>
      </c>
      <c r="AI3296" s="18" t="str">
        <f aca="false">IF($AH3296=1,SUMPRODUCT(--($AK$2:$AK$4001&lt;$AK3296))+1,"")</f>
        <v/>
      </c>
      <c r="AJ3296" s="18" t="str">
        <f aca="false">IF($D3296="","",IF(OR($R3296=TRUE(),$R3296="TRUE"),1,0))</f>
        <v/>
      </c>
      <c r="AK3296" s="18" t="str">
        <f aca="false">IF($AH3296=1,IFERROR(VALUE(MID($D3296,2,20)),1000000000)+ROW()/10000000,"")</f>
        <v/>
      </c>
    </row>
    <row r="3297" customFormat="false" ht="15" hidden="false" customHeight="false" outlineLevel="0" collapsed="false">
      <c r="F3297" s="15"/>
      <c r="N3297" s="16" t="str">
        <f aca="false">IF($D3297="","",M3297*Y3297/100)</f>
        <v/>
      </c>
      <c r="V3297" s="16" t="str">
        <f aca="false">IF($D3297="","",Y3297*AB3297/100)</f>
        <v/>
      </c>
      <c r="W3297" s="16" t="str">
        <f aca="false">IF($D3297="","",Y3297-V3297)</f>
        <v/>
      </c>
      <c r="X3297" s="16" t="str">
        <f aca="false">IF($D3297="","",W3297-N3297)</f>
        <v/>
      </c>
      <c r="AB3297" s="17" t="str">
        <f aca="false">IF($D3297="","",IF(OR($R3297=TRUE(),$R3297="TRUE"),Settings!$C$6,Settings!$C$7)*100)</f>
        <v/>
      </c>
      <c r="AH3297" s="18" t="str">
        <f aca="false">IF($D3297="","",IF(COUNTIF($D$2:$D3297,$D3297)=1,1,0))</f>
        <v/>
      </c>
      <c r="AI3297" s="18" t="str">
        <f aca="false">IF($AH3297=1,SUMPRODUCT(--($AK$2:$AK$4001&lt;$AK3297))+1,"")</f>
        <v/>
      </c>
      <c r="AJ3297" s="18" t="str">
        <f aca="false">IF($D3297="","",IF(OR($R3297=TRUE(),$R3297="TRUE"),1,0))</f>
        <v/>
      </c>
      <c r="AK3297" s="18" t="str">
        <f aca="false">IF($AH3297=1,IFERROR(VALUE(MID($D3297,2,20)),1000000000)+ROW()/10000000,"")</f>
        <v/>
      </c>
    </row>
    <row r="3298" customFormat="false" ht="15" hidden="false" customHeight="false" outlineLevel="0" collapsed="false">
      <c r="F3298" s="15"/>
      <c r="N3298" s="16" t="str">
        <f aca="false">IF($D3298="","",M3298*Y3298/100)</f>
        <v/>
      </c>
      <c r="V3298" s="16" t="str">
        <f aca="false">IF($D3298="","",Y3298*AB3298/100)</f>
        <v/>
      </c>
      <c r="W3298" s="16" t="str">
        <f aca="false">IF($D3298="","",Y3298-V3298)</f>
        <v/>
      </c>
      <c r="X3298" s="16" t="str">
        <f aca="false">IF($D3298="","",W3298-N3298)</f>
        <v/>
      </c>
      <c r="AB3298" s="17" t="str">
        <f aca="false">IF($D3298="","",IF(OR($R3298=TRUE(),$R3298="TRUE"),Settings!$C$6,Settings!$C$7)*100)</f>
        <v/>
      </c>
      <c r="AH3298" s="18" t="str">
        <f aca="false">IF($D3298="","",IF(COUNTIF($D$2:$D3298,$D3298)=1,1,0))</f>
        <v/>
      </c>
      <c r="AI3298" s="18" t="str">
        <f aca="false">IF($AH3298=1,SUMPRODUCT(--($AK$2:$AK$4001&lt;$AK3298))+1,"")</f>
        <v/>
      </c>
      <c r="AJ3298" s="18" t="str">
        <f aca="false">IF($D3298="","",IF(OR($R3298=TRUE(),$R3298="TRUE"),1,0))</f>
        <v/>
      </c>
      <c r="AK3298" s="18" t="str">
        <f aca="false">IF($AH3298=1,IFERROR(VALUE(MID($D3298,2,20)),1000000000)+ROW()/10000000,"")</f>
        <v/>
      </c>
    </row>
    <row r="3299" customFormat="false" ht="15" hidden="false" customHeight="false" outlineLevel="0" collapsed="false">
      <c r="F3299" s="15"/>
      <c r="N3299" s="16" t="str">
        <f aca="false">IF($D3299="","",M3299*Y3299/100)</f>
        <v/>
      </c>
      <c r="V3299" s="16" t="str">
        <f aca="false">IF($D3299="","",Y3299*AB3299/100)</f>
        <v/>
      </c>
      <c r="W3299" s="16" t="str">
        <f aca="false">IF($D3299="","",Y3299-V3299)</f>
        <v/>
      </c>
      <c r="X3299" s="16" t="str">
        <f aca="false">IF($D3299="","",W3299-N3299)</f>
        <v/>
      </c>
      <c r="AB3299" s="17" t="str">
        <f aca="false">IF($D3299="","",IF(OR($R3299=TRUE(),$R3299="TRUE"),Settings!$C$6,Settings!$C$7)*100)</f>
        <v/>
      </c>
      <c r="AH3299" s="18" t="str">
        <f aca="false">IF($D3299="","",IF(COUNTIF($D$2:$D3299,$D3299)=1,1,0))</f>
        <v/>
      </c>
      <c r="AI3299" s="18" t="str">
        <f aca="false">IF($AH3299=1,SUMPRODUCT(--($AK$2:$AK$4001&lt;$AK3299))+1,"")</f>
        <v/>
      </c>
      <c r="AJ3299" s="18" t="str">
        <f aca="false">IF($D3299="","",IF(OR($R3299=TRUE(),$R3299="TRUE"),1,0))</f>
        <v/>
      </c>
      <c r="AK3299" s="18" t="str">
        <f aca="false">IF($AH3299=1,IFERROR(VALUE(MID($D3299,2,20)),1000000000)+ROW()/10000000,"")</f>
        <v/>
      </c>
    </row>
    <row r="3300" customFormat="false" ht="15" hidden="false" customHeight="false" outlineLevel="0" collapsed="false">
      <c r="F3300" s="15"/>
      <c r="N3300" s="16" t="str">
        <f aca="false">IF($D3300="","",M3300*Y3300/100)</f>
        <v/>
      </c>
      <c r="V3300" s="16" t="str">
        <f aca="false">IF($D3300="","",Y3300*AB3300/100)</f>
        <v/>
      </c>
      <c r="W3300" s="16" t="str">
        <f aca="false">IF($D3300="","",Y3300-V3300)</f>
        <v/>
      </c>
      <c r="X3300" s="16" t="str">
        <f aca="false">IF($D3300="","",W3300-N3300)</f>
        <v/>
      </c>
      <c r="AB3300" s="17" t="str">
        <f aca="false">IF($D3300="","",IF(OR($R3300=TRUE(),$R3300="TRUE"),Settings!$C$6,Settings!$C$7)*100)</f>
        <v/>
      </c>
      <c r="AH3300" s="18" t="str">
        <f aca="false">IF($D3300="","",IF(COUNTIF($D$2:$D3300,$D3300)=1,1,0))</f>
        <v/>
      </c>
      <c r="AI3300" s="18" t="str">
        <f aca="false">IF($AH3300=1,SUMPRODUCT(--($AK$2:$AK$4001&lt;$AK3300))+1,"")</f>
        <v/>
      </c>
      <c r="AJ3300" s="18" t="str">
        <f aca="false">IF($D3300="","",IF(OR($R3300=TRUE(),$R3300="TRUE"),1,0))</f>
        <v/>
      </c>
      <c r="AK3300" s="18" t="str">
        <f aca="false">IF($AH3300=1,IFERROR(VALUE(MID($D3300,2,20)),1000000000)+ROW()/10000000,"")</f>
        <v/>
      </c>
    </row>
    <row r="3301" customFormat="false" ht="15" hidden="false" customHeight="false" outlineLevel="0" collapsed="false">
      <c r="F3301" s="15"/>
      <c r="N3301" s="16" t="str">
        <f aca="false">IF($D3301="","",M3301*Y3301/100)</f>
        <v/>
      </c>
      <c r="V3301" s="16" t="str">
        <f aca="false">IF($D3301="","",Y3301*AB3301/100)</f>
        <v/>
      </c>
      <c r="W3301" s="16" t="str">
        <f aca="false">IF($D3301="","",Y3301-V3301)</f>
        <v/>
      </c>
      <c r="X3301" s="16" t="str">
        <f aca="false">IF($D3301="","",W3301-N3301)</f>
        <v/>
      </c>
      <c r="AB3301" s="17" t="str">
        <f aca="false">IF($D3301="","",IF(OR($R3301=TRUE(),$R3301="TRUE"),Settings!$C$6,Settings!$C$7)*100)</f>
        <v/>
      </c>
      <c r="AH3301" s="18" t="str">
        <f aca="false">IF($D3301="","",IF(COUNTIF($D$2:$D3301,$D3301)=1,1,0))</f>
        <v/>
      </c>
      <c r="AI3301" s="18" t="str">
        <f aca="false">IF($AH3301=1,SUMPRODUCT(--($AK$2:$AK$4001&lt;$AK3301))+1,"")</f>
        <v/>
      </c>
      <c r="AJ3301" s="18" t="str">
        <f aca="false">IF($D3301="","",IF(OR($R3301=TRUE(),$R3301="TRUE"),1,0))</f>
        <v/>
      </c>
      <c r="AK3301" s="18" t="str">
        <f aca="false">IF($AH3301=1,IFERROR(VALUE(MID($D3301,2,20)),1000000000)+ROW()/10000000,"")</f>
        <v/>
      </c>
    </row>
    <row r="3302" customFormat="false" ht="15" hidden="false" customHeight="false" outlineLevel="0" collapsed="false">
      <c r="F3302" s="15"/>
      <c r="N3302" s="16" t="str">
        <f aca="false">IF($D3302="","",M3302*Y3302/100)</f>
        <v/>
      </c>
      <c r="V3302" s="16" t="str">
        <f aca="false">IF($D3302="","",Y3302*AB3302/100)</f>
        <v/>
      </c>
      <c r="W3302" s="16" t="str">
        <f aca="false">IF($D3302="","",Y3302-V3302)</f>
        <v/>
      </c>
      <c r="X3302" s="16" t="str">
        <f aca="false">IF($D3302="","",W3302-N3302)</f>
        <v/>
      </c>
      <c r="AB3302" s="17" t="str">
        <f aca="false">IF($D3302="","",IF(OR($R3302=TRUE(),$R3302="TRUE"),Settings!$C$6,Settings!$C$7)*100)</f>
        <v/>
      </c>
      <c r="AH3302" s="18" t="str">
        <f aca="false">IF($D3302="","",IF(COUNTIF($D$2:$D3302,$D3302)=1,1,0))</f>
        <v/>
      </c>
      <c r="AI3302" s="18" t="str">
        <f aca="false">IF($AH3302=1,SUMPRODUCT(--($AK$2:$AK$4001&lt;$AK3302))+1,"")</f>
        <v/>
      </c>
      <c r="AJ3302" s="18" t="str">
        <f aca="false">IF($D3302="","",IF(OR($R3302=TRUE(),$R3302="TRUE"),1,0))</f>
        <v/>
      </c>
      <c r="AK3302" s="18" t="str">
        <f aca="false">IF($AH3302=1,IFERROR(VALUE(MID($D3302,2,20)),1000000000)+ROW()/10000000,"")</f>
        <v/>
      </c>
    </row>
    <row r="3303" customFormat="false" ht="15" hidden="false" customHeight="false" outlineLevel="0" collapsed="false">
      <c r="F3303" s="15"/>
      <c r="N3303" s="16" t="str">
        <f aca="false">IF($D3303="","",M3303*Y3303/100)</f>
        <v/>
      </c>
      <c r="V3303" s="16" t="str">
        <f aca="false">IF($D3303="","",Y3303*AB3303/100)</f>
        <v/>
      </c>
      <c r="W3303" s="16" t="str">
        <f aca="false">IF($D3303="","",Y3303-V3303)</f>
        <v/>
      </c>
      <c r="X3303" s="16" t="str">
        <f aca="false">IF($D3303="","",W3303-N3303)</f>
        <v/>
      </c>
      <c r="AB3303" s="17" t="str">
        <f aca="false">IF($D3303="","",IF(OR($R3303=TRUE(),$R3303="TRUE"),Settings!$C$6,Settings!$C$7)*100)</f>
        <v/>
      </c>
      <c r="AH3303" s="18" t="str">
        <f aca="false">IF($D3303="","",IF(COUNTIF($D$2:$D3303,$D3303)=1,1,0))</f>
        <v/>
      </c>
      <c r="AI3303" s="18" t="str">
        <f aca="false">IF($AH3303=1,SUMPRODUCT(--($AK$2:$AK$4001&lt;$AK3303))+1,"")</f>
        <v/>
      </c>
      <c r="AJ3303" s="18" t="str">
        <f aca="false">IF($D3303="","",IF(OR($R3303=TRUE(),$R3303="TRUE"),1,0))</f>
        <v/>
      </c>
      <c r="AK3303" s="18" t="str">
        <f aca="false">IF($AH3303=1,IFERROR(VALUE(MID($D3303,2,20)),1000000000)+ROW()/10000000,"")</f>
        <v/>
      </c>
    </row>
    <row r="3304" customFormat="false" ht="15" hidden="false" customHeight="false" outlineLevel="0" collapsed="false">
      <c r="F3304" s="15"/>
      <c r="N3304" s="16" t="str">
        <f aca="false">IF($D3304="","",M3304*Y3304/100)</f>
        <v/>
      </c>
      <c r="V3304" s="16" t="str">
        <f aca="false">IF($D3304="","",Y3304*AB3304/100)</f>
        <v/>
      </c>
      <c r="W3304" s="16" t="str">
        <f aca="false">IF($D3304="","",Y3304-V3304)</f>
        <v/>
      </c>
      <c r="X3304" s="16" t="str">
        <f aca="false">IF($D3304="","",W3304-N3304)</f>
        <v/>
      </c>
      <c r="AB3304" s="17" t="str">
        <f aca="false">IF($D3304="","",IF(OR($R3304=TRUE(),$R3304="TRUE"),Settings!$C$6,Settings!$C$7)*100)</f>
        <v/>
      </c>
      <c r="AH3304" s="18" t="str">
        <f aca="false">IF($D3304="","",IF(COUNTIF($D$2:$D3304,$D3304)=1,1,0))</f>
        <v/>
      </c>
      <c r="AI3304" s="18" t="str">
        <f aca="false">IF($AH3304=1,SUMPRODUCT(--($AK$2:$AK$4001&lt;$AK3304))+1,"")</f>
        <v/>
      </c>
      <c r="AJ3304" s="18" t="str">
        <f aca="false">IF($D3304="","",IF(OR($R3304=TRUE(),$R3304="TRUE"),1,0))</f>
        <v/>
      </c>
      <c r="AK3304" s="18" t="str">
        <f aca="false">IF($AH3304=1,IFERROR(VALUE(MID($D3304,2,20)),1000000000)+ROW()/10000000,"")</f>
        <v/>
      </c>
    </row>
    <row r="3305" customFormat="false" ht="15" hidden="false" customHeight="false" outlineLevel="0" collapsed="false">
      <c r="F3305" s="15"/>
      <c r="N3305" s="16" t="str">
        <f aca="false">IF($D3305="","",M3305*Y3305/100)</f>
        <v/>
      </c>
      <c r="V3305" s="16" t="str">
        <f aca="false">IF($D3305="","",Y3305*AB3305/100)</f>
        <v/>
      </c>
      <c r="W3305" s="16" t="str">
        <f aca="false">IF($D3305="","",Y3305-V3305)</f>
        <v/>
      </c>
      <c r="X3305" s="16" t="str">
        <f aca="false">IF($D3305="","",W3305-N3305)</f>
        <v/>
      </c>
      <c r="AB3305" s="17" t="str">
        <f aca="false">IF($D3305="","",IF(OR($R3305=TRUE(),$R3305="TRUE"),Settings!$C$6,Settings!$C$7)*100)</f>
        <v/>
      </c>
      <c r="AH3305" s="18" t="str">
        <f aca="false">IF($D3305="","",IF(COUNTIF($D$2:$D3305,$D3305)=1,1,0))</f>
        <v/>
      </c>
      <c r="AI3305" s="18" t="str">
        <f aca="false">IF($AH3305=1,SUMPRODUCT(--($AK$2:$AK$4001&lt;$AK3305))+1,"")</f>
        <v/>
      </c>
      <c r="AJ3305" s="18" t="str">
        <f aca="false">IF($D3305="","",IF(OR($R3305=TRUE(),$R3305="TRUE"),1,0))</f>
        <v/>
      </c>
      <c r="AK3305" s="18" t="str">
        <f aca="false">IF($AH3305=1,IFERROR(VALUE(MID($D3305,2,20)),1000000000)+ROW()/10000000,"")</f>
        <v/>
      </c>
    </row>
    <row r="3306" customFormat="false" ht="15" hidden="false" customHeight="false" outlineLevel="0" collapsed="false">
      <c r="F3306" s="15"/>
      <c r="N3306" s="16" t="str">
        <f aca="false">IF($D3306="","",M3306*Y3306/100)</f>
        <v/>
      </c>
      <c r="V3306" s="16" t="str">
        <f aca="false">IF($D3306="","",Y3306*AB3306/100)</f>
        <v/>
      </c>
      <c r="W3306" s="16" t="str">
        <f aca="false">IF($D3306="","",Y3306-V3306)</f>
        <v/>
      </c>
      <c r="X3306" s="16" t="str">
        <f aca="false">IF($D3306="","",W3306-N3306)</f>
        <v/>
      </c>
      <c r="AB3306" s="17" t="str">
        <f aca="false">IF($D3306="","",IF(OR($R3306=TRUE(),$R3306="TRUE"),Settings!$C$6,Settings!$C$7)*100)</f>
        <v/>
      </c>
      <c r="AH3306" s="18" t="str">
        <f aca="false">IF($D3306="","",IF(COUNTIF($D$2:$D3306,$D3306)=1,1,0))</f>
        <v/>
      </c>
      <c r="AI3306" s="18" t="str">
        <f aca="false">IF($AH3306=1,SUMPRODUCT(--($AK$2:$AK$4001&lt;$AK3306))+1,"")</f>
        <v/>
      </c>
      <c r="AJ3306" s="18" t="str">
        <f aca="false">IF($D3306="","",IF(OR($R3306=TRUE(),$R3306="TRUE"),1,0))</f>
        <v/>
      </c>
      <c r="AK3306" s="18" t="str">
        <f aca="false">IF($AH3306=1,IFERROR(VALUE(MID($D3306,2,20)),1000000000)+ROW()/10000000,"")</f>
        <v/>
      </c>
    </row>
    <row r="3307" customFormat="false" ht="15" hidden="false" customHeight="false" outlineLevel="0" collapsed="false">
      <c r="F3307" s="15"/>
      <c r="N3307" s="16" t="str">
        <f aca="false">IF($D3307="","",M3307*Y3307/100)</f>
        <v/>
      </c>
      <c r="V3307" s="16" t="str">
        <f aca="false">IF($D3307="","",Y3307*AB3307/100)</f>
        <v/>
      </c>
      <c r="W3307" s="16" t="str">
        <f aca="false">IF($D3307="","",Y3307-V3307)</f>
        <v/>
      </c>
      <c r="X3307" s="16" t="str">
        <f aca="false">IF($D3307="","",W3307-N3307)</f>
        <v/>
      </c>
      <c r="AB3307" s="17" t="str">
        <f aca="false">IF($D3307="","",IF(OR($R3307=TRUE(),$R3307="TRUE"),Settings!$C$6,Settings!$C$7)*100)</f>
        <v/>
      </c>
      <c r="AH3307" s="18" t="str">
        <f aca="false">IF($D3307="","",IF(COUNTIF($D$2:$D3307,$D3307)=1,1,0))</f>
        <v/>
      </c>
      <c r="AI3307" s="18" t="str">
        <f aca="false">IF($AH3307=1,SUMPRODUCT(--($AK$2:$AK$4001&lt;$AK3307))+1,"")</f>
        <v/>
      </c>
      <c r="AJ3307" s="18" t="str">
        <f aca="false">IF($D3307="","",IF(OR($R3307=TRUE(),$R3307="TRUE"),1,0))</f>
        <v/>
      </c>
      <c r="AK3307" s="18" t="str">
        <f aca="false">IF($AH3307=1,IFERROR(VALUE(MID($D3307,2,20)),1000000000)+ROW()/10000000,"")</f>
        <v/>
      </c>
    </row>
    <row r="3308" customFormat="false" ht="15" hidden="false" customHeight="false" outlineLevel="0" collapsed="false">
      <c r="F3308" s="15"/>
      <c r="N3308" s="16" t="str">
        <f aca="false">IF($D3308="","",M3308*Y3308/100)</f>
        <v/>
      </c>
      <c r="V3308" s="16" t="str">
        <f aca="false">IF($D3308="","",Y3308*AB3308/100)</f>
        <v/>
      </c>
      <c r="W3308" s="16" t="str">
        <f aca="false">IF($D3308="","",Y3308-V3308)</f>
        <v/>
      </c>
      <c r="X3308" s="16" t="str">
        <f aca="false">IF($D3308="","",W3308-N3308)</f>
        <v/>
      </c>
      <c r="AB3308" s="17" t="str">
        <f aca="false">IF($D3308="","",IF(OR($R3308=TRUE(),$R3308="TRUE"),Settings!$C$6,Settings!$C$7)*100)</f>
        <v/>
      </c>
      <c r="AH3308" s="18" t="str">
        <f aca="false">IF($D3308="","",IF(COUNTIF($D$2:$D3308,$D3308)=1,1,0))</f>
        <v/>
      </c>
      <c r="AI3308" s="18" t="str">
        <f aca="false">IF($AH3308=1,SUMPRODUCT(--($AK$2:$AK$4001&lt;$AK3308))+1,"")</f>
        <v/>
      </c>
      <c r="AJ3308" s="18" t="str">
        <f aca="false">IF($D3308="","",IF(OR($R3308=TRUE(),$R3308="TRUE"),1,0))</f>
        <v/>
      </c>
      <c r="AK3308" s="18" t="str">
        <f aca="false">IF($AH3308=1,IFERROR(VALUE(MID($D3308,2,20)),1000000000)+ROW()/10000000,"")</f>
        <v/>
      </c>
    </row>
    <row r="3309" customFormat="false" ht="15" hidden="false" customHeight="false" outlineLevel="0" collapsed="false">
      <c r="F3309" s="15"/>
      <c r="N3309" s="16" t="str">
        <f aca="false">IF($D3309="","",M3309*Y3309/100)</f>
        <v/>
      </c>
      <c r="V3309" s="16" t="str">
        <f aca="false">IF($D3309="","",Y3309*AB3309/100)</f>
        <v/>
      </c>
      <c r="W3309" s="16" t="str">
        <f aca="false">IF($D3309="","",Y3309-V3309)</f>
        <v/>
      </c>
      <c r="X3309" s="16" t="str">
        <f aca="false">IF($D3309="","",W3309-N3309)</f>
        <v/>
      </c>
      <c r="AB3309" s="17" t="str">
        <f aca="false">IF($D3309="","",IF(OR($R3309=TRUE(),$R3309="TRUE"),Settings!$C$6,Settings!$C$7)*100)</f>
        <v/>
      </c>
      <c r="AH3309" s="18" t="str">
        <f aca="false">IF($D3309="","",IF(COUNTIF($D$2:$D3309,$D3309)=1,1,0))</f>
        <v/>
      </c>
      <c r="AI3309" s="18" t="str">
        <f aca="false">IF($AH3309=1,SUMPRODUCT(--($AK$2:$AK$4001&lt;$AK3309))+1,"")</f>
        <v/>
      </c>
      <c r="AJ3309" s="18" t="str">
        <f aca="false">IF($D3309="","",IF(OR($R3309=TRUE(),$R3309="TRUE"),1,0))</f>
        <v/>
      </c>
      <c r="AK3309" s="18" t="str">
        <f aca="false">IF($AH3309=1,IFERROR(VALUE(MID($D3309,2,20)),1000000000)+ROW()/10000000,"")</f>
        <v/>
      </c>
    </row>
    <row r="3310" customFormat="false" ht="15" hidden="false" customHeight="false" outlineLevel="0" collapsed="false">
      <c r="F3310" s="15"/>
      <c r="N3310" s="16" t="str">
        <f aca="false">IF($D3310="","",M3310*Y3310/100)</f>
        <v/>
      </c>
      <c r="V3310" s="16" t="str">
        <f aca="false">IF($D3310="","",Y3310*AB3310/100)</f>
        <v/>
      </c>
      <c r="W3310" s="16" t="str">
        <f aca="false">IF($D3310="","",Y3310-V3310)</f>
        <v/>
      </c>
      <c r="X3310" s="16" t="str">
        <f aca="false">IF($D3310="","",W3310-N3310)</f>
        <v/>
      </c>
      <c r="AB3310" s="17" t="str">
        <f aca="false">IF($D3310="","",IF(OR($R3310=TRUE(),$R3310="TRUE"),Settings!$C$6,Settings!$C$7)*100)</f>
        <v/>
      </c>
      <c r="AH3310" s="18" t="str">
        <f aca="false">IF($D3310="","",IF(COUNTIF($D$2:$D3310,$D3310)=1,1,0))</f>
        <v/>
      </c>
      <c r="AI3310" s="18" t="str">
        <f aca="false">IF($AH3310=1,SUMPRODUCT(--($AK$2:$AK$4001&lt;$AK3310))+1,"")</f>
        <v/>
      </c>
      <c r="AJ3310" s="18" t="str">
        <f aca="false">IF($D3310="","",IF(OR($R3310=TRUE(),$R3310="TRUE"),1,0))</f>
        <v/>
      </c>
      <c r="AK3310" s="18" t="str">
        <f aca="false">IF($AH3310=1,IFERROR(VALUE(MID($D3310,2,20)),1000000000)+ROW()/10000000,"")</f>
        <v/>
      </c>
    </row>
    <row r="3311" customFormat="false" ht="15" hidden="false" customHeight="false" outlineLevel="0" collapsed="false">
      <c r="F3311" s="15"/>
      <c r="N3311" s="16" t="str">
        <f aca="false">IF($D3311="","",M3311*Y3311/100)</f>
        <v/>
      </c>
      <c r="V3311" s="16" t="str">
        <f aca="false">IF($D3311="","",Y3311*AB3311/100)</f>
        <v/>
      </c>
      <c r="W3311" s="16" t="str">
        <f aca="false">IF($D3311="","",Y3311-V3311)</f>
        <v/>
      </c>
      <c r="X3311" s="16" t="str">
        <f aca="false">IF($D3311="","",W3311-N3311)</f>
        <v/>
      </c>
      <c r="AB3311" s="17" t="str">
        <f aca="false">IF($D3311="","",IF(OR($R3311=TRUE(),$R3311="TRUE"),Settings!$C$6,Settings!$C$7)*100)</f>
        <v/>
      </c>
      <c r="AH3311" s="18" t="str">
        <f aca="false">IF($D3311="","",IF(COUNTIF($D$2:$D3311,$D3311)=1,1,0))</f>
        <v/>
      </c>
      <c r="AI3311" s="18" t="str">
        <f aca="false">IF($AH3311=1,SUMPRODUCT(--($AK$2:$AK$4001&lt;$AK3311))+1,"")</f>
        <v/>
      </c>
      <c r="AJ3311" s="18" t="str">
        <f aca="false">IF($D3311="","",IF(OR($R3311=TRUE(),$R3311="TRUE"),1,0))</f>
        <v/>
      </c>
      <c r="AK3311" s="18" t="str">
        <f aca="false">IF($AH3311=1,IFERROR(VALUE(MID($D3311,2,20)),1000000000)+ROW()/10000000,"")</f>
        <v/>
      </c>
    </row>
    <row r="3312" customFormat="false" ht="15" hidden="false" customHeight="false" outlineLevel="0" collapsed="false">
      <c r="F3312" s="15"/>
      <c r="N3312" s="16" t="str">
        <f aca="false">IF($D3312="","",M3312*Y3312/100)</f>
        <v/>
      </c>
      <c r="V3312" s="16" t="str">
        <f aca="false">IF($D3312="","",Y3312*AB3312/100)</f>
        <v/>
      </c>
      <c r="W3312" s="16" t="str">
        <f aca="false">IF($D3312="","",Y3312-V3312)</f>
        <v/>
      </c>
      <c r="X3312" s="16" t="str">
        <f aca="false">IF($D3312="","",W3312-N3312)</f>
        <v/>
      </c>
      <c r="AB3312" s="17" t="str">
        <f aca="false">IF($D3312="","",IF(OR($R3312=TRUE(),$R3312="TRUE"),Settings!$C$6,Settings!$C$7)*100)</f>
        <v/>
      </c>
      <c r="AH3312" s="18" t="str">
        <f aca="false">IF($D3312="","",IF(COUNTIF($D$2:$D3312,$D3312)=1,1,0))</f>
        <v/>
      </c>
      <c r="AI3312" s="18" t="str">
        <f aca="false">IF($AH3312=1,SUMPRODUCT(--($AK$2:$AK$4001&lt;$AK3312))+1,"")</f>
        <v/>
      </c>
      <c r="AJ3312" s="18" t="str">
        <f aca="false">IF($D3312="","",IF(OR($R3312=TRUE(),$R3312="TRUE"),1,0))</f>
        <v/>
      </c>
      <c r="AK3312" s="18" t="str">
        <f aca="false">IF($AH3312=1,IFERROR(VALUE(MID($D3312,2,20)),1000000000)+ROW()/10000000,"")</f>
        <v/>
      </c>
    </row>
    <row r="3313" customFormat="false" ht="15" hidden="false" customHeight="false" outlineLevel="0" collapsed="false">
      <c r="F3313" s="15"/>
      <c r="N3313" s="16" t="str">
        <f aca="false">IF($D3313="","",M3313*Y3313/100)</f>
        <v/>
      </c>
      <c r="V3313" s="16" t="str">
        <f aca="false">IF($D3313="","",Y3313*AB3313/100)</f>
        <v/>
      </c>
      <c r="W3313" s="16" t="str">
        <f aca="false">IF($D3313="","",Y3313-V3313)</f>
        <v/>
      </c>
      <c r="X3313" s="16" t="str">
        <f aca="false">IF($D3313="","",W3313-N3313)</f>
        <v/>
      </c>
      <c r="AB3313" s="17" t="str">
        <f aca="false">IF($D3313="","",IF(OR($R3313=TRUE(),$R3313="TRUE"),Settings!$C$6,Settings!$C$7)*100)</f>
        <v/>
      </c>
      <c r="AH3313" s="18" t="str">
        <f aca="false">IF($D3313="","",IF(COUNTIF($D$2:$D3313,$D3313)=1,1,0))</f>
        <v/>
      </c>
      <c r="AI3313" s="18" t="str">
        <f aca="false">IF($AH3313=1,SUMPRODUCT(--($AK$2:$AK$4001&lt;$AK3313))+1,"")</f>
        <v/>
      </c>
      <c r="AJ3313" s="18" t="str">
        <f aca="false">IF($D3313="","",IF(OR($R3313=TRUE(),$R3313="TRUE"),1,0))</f>
        <v/>
      </c>
      <c r="AK3313" s="18" t="str">
        <f aca="false">IF($AH3313=1,IFERROR(VALUE(MID($D3313,2,20)),1000000000)+ROW()/10000000,"")</f>
        <v/>
      </c>
    </row>
    <row r="3314" customFormat="false" ht="15" hidden="false" customHeight="false" outlineLevel="0" collapsed="false">
      <c r="F3314" s="15"/>
      <c r="N3314" s="16" t="str">
        <f aca="false">IF($D3314="","",M3314*Y3314/100)</f>
        <v/>
      </c>
      <c r="V3314" s="16" t="str">
        <f aca="false">IF($D3314="","",Y3314*AB3314/100)</f>
        <v/>
      </c>
      <c r="W3314" s="16" t="str">
        <f aca="false">IF($D3314="","",Y3314-V3314)</f>
        <v/>
      </c>
      <c r="X3314" s="16" t="str">
        <f aca="false">IF($D3314="","",W3314-N3314)</f>
        <v/>
      </c>
      <c r="AB3314" s="17" t="str">
        <f aca="false">IF($D3314="","",IF(OR($R3314=TRUE(),$R3314="TRUE"),Settings!$C$6,Settings!$C$7)*100)</f>
        <v/>
      </c>
      <c r="AH3314" s="18" t="str">
        <f aca="false">IF($D3314="","",IF(COUNTIF($D$2:$D3314,$D3314)=1,1,0))</f>
        <v/>
      </c>
      <c r="AI3314" s="18" t="str">
        <f aca="false">IF($AH3314=1,SUMPRODUCT(--($AK$2:$AK$4001&lt;$AK3314))+1,"")</f>
        <v/>
      </c>
      <c r="AJ3314" s="18" t="str">
        <f aca="false">IF($D3314="","",IF(OR($R3314=TRUE(),$R3314="TRUE"),1,0))</f>
        <v/>
      </c>
      <c r="AK3314" s="18" t="str">
        <f aca="false">IF($AH3314=1,IFERROR(VALUE(MID($D3314,2,20)),1000000000)+ROW()/10000000,"")</f>
        <v/>
      </c>
    </row>
    <row r="3315" customFormat="false" ht="15" hidden="false" customHeight="false" outlineLevel="0" collapsed="false">
      <c r="F3315" s="15"/>
      <c r="N3315" s="16" t="str">
        <f aca="false">IF($D3315="","",M3315*Y3315/100)</f>
        <v/>
      </c>
      <c r="V3315" s="16" t="str">
        <f aca="false">IF($D3315="","",Y3315*AB3315/100)</f>
        <v/>
      </c>
      <c r="W3315" s="16" t="str">
        <f aca="false">IF($D3315="","",Y3315-V3315)</f>
        <v/>
      </c>
      <c r="X3315" s="16" t="str">
        <f aca="false">IF($D3315="","",W3315-N3315)</f>
        <v/>
      </c>
      <c r="AB3315" s="17" t="str">
        <f aca="false">IF($D3315="","",IF(OR($R3315=TRUE(),$R3315="TRUE"),Settings!$C$6,Settings!$C$7)*100)</f>
        <v/>
      </c>
      <c r="AH3315" s="18" t="str">
        <f aca="false">IF($D3315="","",IF(COUNTIF($D$2:$D3315,$D3315)=1,1,0))</f>
        <v/>
      </c>
      <c r="AI3315" s="18" t="str">
        <f aca="false">IF($AH3315=1,SUMPRODUCT(--($AK$2:$AK$4001&lt;$AK3315))+1,"")</f>
        <v/>
      </c>
      <c r="AJ3315" s="18" t="str">
        <f aca="false">IF($D3315="","",IF(OR($R3315=TRUE(),$R3315="TRUE"),1,0))</f>
        <v/>
      </c>
      <c r="AK3315" s="18" t="str">
        <f aca="false">IF($AH3315=1,IFERROR(VALUE(MID($D3315,2,20)),1000000000)+ROW()/10000000,"")</f>
        <v/>
      </c>
    </row>
    <row r="3316" customFormat="false" ht="15" hidden="false" customHeight="false" outlineLevel="0" collapsed="false">
      <c r="F3316" s="15"/>
      <c r="N3316" s="16" t="str">
        <f aca="false">IF($D3316="","",M3316*Y3316/100)</f>
        <v/>
      </c>
      <c r="V3316" s="16" t="str">
        <f aca="false">IF($D3316="","",Y3316*AB3316/100)</f>
        <v/>
      </c>
      <c r="W3316" s="16" t="str">
        <f aca="false">IF($D3316="","",Y3316-V3316)</f>
        <v/>
      </c>
      <c r="X3316" s="16" t="str">
        <f aca="false">IF($D3316="","",W3316-N3316)</f>
        <v/>
      </c>
      <c r="AB3316" s="17" t="str">
        <f aca="false">IF($D3316="","",IF(OR($R3316=TRUE(),$R3316="TRUE"),Settings!$C$6,Settings!$C$7)*100)</f>
        <v/>
      </c>
      <c r="AH3316" s="18" t="str">
        <f aca="false">IF($D3316="","",IF(COUNTIF($D$2:$D3316,$D3316)=1,1,0))</f>
        <v/>
      </c>
      <c r="AI3316" s="18" t="str">
        <f aca="false">IF($AH3316=1,SUMPRODUCT(--($AK$2:$AK$4001&lt;$AK3316))+1,"")</f>
        <v/>
      </c>
      <c r="AJ3316" s="18" t="str">
        <f aca="false">IF($D3316="","",IF(OR($R3316=TRUE(),$R3316="TRUE"),1,0))</f>
        <v/>
      </c>
      <c r="AK3316" s="18" t="str">
        <f aca="false">IF($AH3316=1,IFERROR(VALUE(MID($D3316,2,20)),1000000000)+ROW()/10000000,"")</f>
        <v/>
      </c>
    </row>
    <row r="3317" customFormat="false" ht="15" hidden="false" customHeight="false" outlineLevel="0" collapsed="false">
      <c r="F3317" s="15"/>
      <c r="N3317" s="16" t="str">
        <f aca="false">IF($D3317="","",M3317*Y3317/100)</f>
        <v/>
      </c>
      <c r="V3317" s="16" t="str">
        <f aca="false">IF($D3317="","",Y3317*AB3317/100)</f>
        <v/>
      </c>
      <c r="W3317" s="16" t="str">
        <f aca="false">IF($D3317="","",Y3317-V3317)</f>
        <v/>
      </c>
      <c r="X3317" s="16" t="str">
        <f aca="false">IF($D3317="","",W3317-N3317)</f>
        <v/>
      </c>
      <c r="AB3317" s="17" t="str">
        <f aca="false">IF($D3317="","",IF(OR($R3317=TRUE(),$R3317="TRUE"),Settings!$C$6,Settings!$C$7)*100)</f>
        <v/>
      </c>
      <c r="AH3317" s="18" t="str">
        <f aca="false">IF($D3317="","",IF(COUNTIF($D$2:$D3317,$D3317)=1,1,0))</f>
        <v/>
      </c>
      <c r="AI3317" s="18" t="str">
        <f aca="false">IF($AH3317=1,SUMPRODUCT(--($AK$2:$AK$4001&lt;$AK3317))+1,"")</f>
        <v/>
      </c>
      <c r="AJ3317" s="18" t="str">
        <f aca="false">IF($D3317="","",IF(OR($R3317=TRUE(),$R3317="TRUE"),1,0))</f>
        <v/>
      </c>
      <c r="AK3317" s="18" t="str">
        <f aca="false">IF($AH3317=1,IFERROR(VALUE(MID($D3317,2,20)),1000000000)+ROW()/10000000,"")</f>
        <v/>
      </c>
    </row>
    <row r="3318" customFormat="false" ht="15" hidden="false" customHeight="false" outlineLevel="0" collapsed="false">
      <c r="F3318" s="15"/>
      <c r="N3318" s="16" t="str">
        <f aca="false">IF($D3318="","",M3318*Y3318/100)</f>
        <v/>
      </c>
      <c r="V3318" s="16" t="str">
        <f aca="false">IF($D3318="","",Y3318*AB3318/100)</f>
        <v/>
      </c>
      <c r="W3318" s="16" t="str">
        <f aca="false">IF($D3318="","",Y3318-V3318)</f>
        <v/>
      </c>
      <c r="X3318" s="16" t="str">
        <f aca="false">IF($D3318="","",W3318-N3318)</f>
        <v/>
      </c>
      <c r="AB3318" s="17" t="str">
        <f aca="false">IF($D3318="","",IF(OR($R3318=TRUE(),$R3318="TRUE"),Settings!$C$6,Settings!$C$7)*100)</f>
        <v/>
      </c>
      <c r="AH3318" s="18" t="str">
        <f aca="false">IF($D3318="","",IF(COUNTIF($D$2:$D3318,$D3318)=1,1,0))</f>
        <v/>
      </c>
      <c r="AI3318" s="18" t="str">
        <f aca="false">IF($AH3318=1,SUMPRODUCT(--($AK$2:$AK$4001&lt;$AK3318))+1,"")</f>
        <v/>
      </c>
      <c r="AJ3318" s="18" t="str">
        <f aca="false">IF($D3318="","",IF(OR($R3318=TRUE(),$R3318="TRUE"),1,0))</f>
        <v/>
      </c>
      <c r="AK3318" s="18" t="str">
        <f aca="false">IF($AH3318=1,IFERROR(VALUE(MID($D3318,2,20)),1000000000)+ROW()/10000000,"")</f>
        <v/>
      </c>
    </row>
    <row r="3319" customFormat="false" ht="15" hidden="false" customHeight="false" outlineLevel="0" collapsed="false">
      <c r="F3319" s="15"/>
      <c r="N3319" s="16" t="str">
        <f aca="false">IF($D3319="","",M3319*Y3319/100)</f>
        <v/>
      </c>
      <c r="V3319" s="16" t="str">
        <f aca="false">IF($D3319="","",Y3319*AB3319/100)</f>
        <v/>
      </c>
      <c r="W3319" s="16" t="str">
        <f aca="false">IF($D3319="","",Y3319-V3319)</f>
        <v/>
      </c>
      <c r="X3319" s="16" t="str">
        <f aca="false">IF($D3319="","",W3319-N3319)</f>
        <v/>
      </c>
      <c r="AB3319" s="17" t="str">
        <f aca="false">IF($D3319="","",IF(OR($R3319=TRUE(),$R3319="TRUE"),Settings!$C$6,Settings!$C$7)*100)</f>
        <v/>
      </c>
      <c r="AH3319" s="18" t="str">
        <f aca="false">IF($D3319="","",IF(COUNTIF($D$2:$D3319,$D3319)=1,1,0))</f>
        <v/>
      </c>
      <c r="AI3319" s="18" t="str">
        <f aca="false">IF($AH3319=1,SUMPRODUCT(--($AK$2:$AK$4001&lt;$AK3319))+1,"")</f>
        <v/>
      </c>
      <c r="AJ3319" s="18" t="str">
        <f aca="false">IF($D3319="","",IF(OR($R3319=TRUE(),$R3319="TRUE"),1,0))</f>
        <v/>
      </c>
      <c r="AK3319" s="18" t="str">
        <f aca="false">IF($AH3319=1,IFERROR(VALUE(MID($D3319,2,20)),1000000000)+ROW()/10000000,"")</f>
        <v/>
      </c>
    </row>
    <row r="3320" customFormat="false" ht="15" hidden="false" customHeight="false" outlineLevel="0" collapsed="false">
      <c r="F3320" s="15"/>
      <c r="N3320" s="16" t="str">
        <f aca="false">IF($D3320="","",M3320*Y3320/100)</f>
        <v/>
      </c>
      <c r="V3320" s="16" t="str">
        <f aca="false">IF($D3320="","",Y3320*AB3320/100)</f>
        <v/>
      </c>
      <c r="W3320" s="16" t="str">
        <f aca="false">IF($D3320="","",Y3320-V3320)</f>
        <v/>
      </c>
      <c r="X3320" s="16" t="str">
        <f aca="false">IF($D3320="","",W3320-N3320)</f>
        <v/>
      </c>
      <c r="AB3320" s="17" t="str">
        <f aca="false">IF($D3320="","",IF(OR($R3320=TRUE(),$R3320="TRUE"),Settings!$C$6,Settings!$C$7)*100)</f>
        <v/>
      </c>
      <c r="AH3320" s="18" t="str">
        <f aca="false">IF($D3320="","",IF(COUNTIF($D$2:$D3320,$D3320)=1,1,0))</f>
        <v/>
      </c>
      <c r="AI3320" s="18" t="str">
        <f aca="false">IF($AH3320=1,SUMPRODUCT(--($AK$2:$AK$4001&lt;$AK3320))+1,"")</f>
        <v/>
      </c>
      <c r="AJ3320" s="18" t="str">
        <f aca="false">IF($D3320="","",IF(OR($R3320=TRUE(),$R3320="TRUE"),1,0))</f>
        <v/>
      </c>
      <c r="AK3320" s="18" t="str">
        <f aca="false">IF($AH3320=1,IFERROR(VALUE(MID($D3320,2,20)),1000000000)+ROW()/10000000,"")</f>
        <v/>
      </c>
    </row>
    <row r="3321" customFormat="false" ht="15" hidden="false" customHeight="false" outlineLevel="0" collapsed="false">
      <c r="F3321" s="15"/>
      <c r="N3321" s="16" t="str">
        <f aca="false">IF($D3321="","",M3321*Y3321/100)</f>
        <v/>
      </c>
      <c r="V3321" s="16" t="str">
        <f aca="false">IF($D3321="","",Y3321*AB3321/100)</f>
        <v/>
      </c>
      <c r="W3321" s="16" t="str">
        <f aca="false">IF($D3321="","",Y3321-V3321)</f>
        <v/>
      </c>
      <c r="X3321" s="16" t="str">
        <f aca="false">IF($D3321="","",W3321-N3321)</f>
        <v/>
      </c>
      <c r="AB3321" s="17" t="str">
        <f aca="false">IF($D3321="","",IF(OR($R3321=TRUE(),$R3321="TRUE"),Settings!$C$6,Settings!$C$7)*100)</f>
        <v/>
      </c>
      <c r="AH3321" s="18" t="str">
        <f aca="false">IF($D3321="","",IF(COUNTIF($D$2:$D3321,$D3321)=1,1,0))</f>
        <v/>
      </c>
      <c r="AI3321" s="18" t="str">
        <f aca="false">IF($AH3321=1,SUMPRODUCT(--($AK$2:$AK$4001&lt;$AK3321))+1,"")</f>
        <v/>
      </c>
      <c r="AJ3321" s="18" t="str">
        <f aca="false">IF($D3321="","",IF(OR($R3321=TRUE(),$R3321="TRUE"),1,0))</f>
        <v/>
      </c>
      <c r="AK3321" s="18" t="str">
        <f aca="false">IF($AH3321=1,IFERROR(VALUE(MID($D3321,2,20)),1000000000)+ROW()/10000000,"")</f>
        <v/>
      </c>
    </row>
    <row r="3322" customFormat="false" ht="15" hidden="false" customHeight="false" outlineLevel="0" collapsed="false">
      <c r="F3322" s="15"/>
      <c r="N3322" s="16" t="str">
        <f aca="false">IF($D3322="","",M3322*Y3322/100)</f>
        <v/>
      </c>
      <c r="V3322" s="16" t="str">
        <f aca="false">IF($D3322="","",Y3322*AB3322/100)</f>
        <v/>
      </c>
      <c r="W3322" s="16" t="str">
        <f aca="false">IF($D3322="","",Y3322-V3322)</f>
        <v/>
      </c>
      <c r="X3322" s="16" t="str">
        <f aca="false">IF($D3322="","",W3322-N3322)</f>
        <v/>
      </c>
      <c r="AB3322" s="17" t="str">
        <f aca="false">IF($D3322="","",IF(OR($R3322=TRUE(),$R3322="TRUE"),Settings!$C$6,Settings!$C$7)*100)</f>
        <v/>
      </c>
      <c r="AH3322" s="18" t="str">
        <f aca="false">IF($D3322="","",IF(COUNTIF($D$2:$D3322,$D3322)=1,1,0))</f>
        <v/>
      </c>
      <c r="AI3322" s="18" t="str">
        <f aca="false">IF($AH3322=1,SUMPRODUCT(--($AK$2:$AK$4001&lt;$AK3322))+1,"")</f>
        <v/>
      </c>
      <c r="AJ3322" s="18" t="str">
        <f aca="false">IF($D3322="","",IF(OR($R3322=TRUE(),$R3322="TRUE"),1,0))</f>
        <v/>
      </c>
      <c r="AK3322" s="18" t="str">
        <f aca="false">IF($AH3322=1,IFERROR(VALUE(MID($D3322,2,20)),1000000000)+ROW()/10000000,"")</f>
        <v/>
      </c>
    </row>
    <row r="3323" customFormat="false" ht="15" hidden="false" customHeight="false" outlineLevel="0" collapsed="false">
      <c r="F3323" s="15"/>
      <c r="N3323" s="16" t="str">
        <f aca="false">IF($D3323="","",M3323*Y3323/100)</f>
        <v/>
      </c>
      <c r="V3323" s="16" t="str">
        <f aca="false">IF($D3323="","",Y3323*AB3323/100)</f>
        <v/>
      </c>
      <c r="W3323" s="16" t="str">
        <f aca="false">IF($D3323="","",Y3323-V3323)</f>
        <v/>
      </c>
      <c r="X3323" s="16" t="str">
        <f aca="false">IF($D3323="","",W3323-N3323)</f>
        <v/>
      </c>
      <c r="AB3323" s="17" t="str">
        <f aca="false">IF($D3323="","",IF(OR($R3323=TRUE(),$R3323="TRUE"),Settings!$C$6,Settings!$C$7)*100)</f>
        <v/>
      </c>
      <c r="AH3323" s="18" t="str">
        <f aca="false">IF($D3323="","",IF(COUNTIF($D$2:$D3323,$D3323)=1,1,0))</f>
        <v/>
      </c>
      <c r="AI3323" s="18" t="str">
        <f aca="false">IF($AH3323=1,SUMPRODUCT(--($AK$2:$AK$4001&lt;$AK3323))+1,"")</f>
        <v/>
      </c>
      <c r="AJ3323" s="18" t="str">
        <f aca="false">IF($D3323="","",IF(OR($R3323=TRUE(),$R3323="TRUE"),1,0))</f>
        <v/>
      </c>
      <c r="AK3323" s="18" t="str">
        <f aca="false">IF($AH3323=1,IFERROR(VALUE(MID($D3323,2,20)),1000000000)+ROW()/10000000,"")</f>
        <v/>
      </c>
    </row>
    <row r="3324" customFormat="false" ht="15" hidden="false" customHeight="false" outlineLevel="0" collapsed="false">
      <c r="F3324" s="15"/>
      <c r="N3324" s="16" t="str">
        <f aca="false">IF($D3324="","",M3324*Y3324/100)</f>
        <v/>
      </c>
      <c r="V3324" s="16" t="str">
        <f aca="false">IF($D3324="","",Y3324*AB3324/100)</f>
        <v/>
      </c>
      <c r="W3324" s="16" t="str">
        <f aca="false">IF($D3324="","",Y3324-V3324)</f>
        <v/>
      </c>
      <c r="X3324" s="16" t="str">
        <f aca="false">IF($D3324="","",W3324-N3324)</f>
        <v/>
      </c>
      <c r="AB3324" s="17" t="str">
        <f aca="false">IF($D3324="","",IF(OR($R3324=TRUE(),$R3324="TRUE"),Settings!$C$6,Settings!$C$7)*100)</f>
        <v/>
      </c>
      <c r="AH3324" s="18" t="str">
        <f aca="false">IF($D3324="","",IF(COUNTIF($D$2:$D3324,$D3324)=1,1,0))</f>
        <v/>
      </c>
      <c r="AI3324" s="18" t="str">
        <f aca="false">IF($AH3324=1,SUMPRODUCT(--($AK$2:$AK$4001&lt;$AK3324))+1,"")</f>
        <v/>
      </c>
      <c r="AJ3324" s="18" t="str">
        <f aca="false">IF($D3324="","",IF(OR($R3324=TRUE(),$R3324="TRUE"),1,0))</f>
        <v/>
      </c>
      <c r="AK3324" s="18" t="str">
        <f aca="false">IF($AH3324=1,IFERROR(VALUE(MID($D3324,2,20)),1000000000)+ROW()/10000000,"")</f>
        <v/>
      </c>
    </row>
    <row r="3325" customFormat="false" ht="15" hidden="false" customHeight="false" outlineLevel="0" collapsed="false">
      <c r="F3325" s="15"/>
      <c r="N3325" s="16" t="str">
        <f aca="false">IF($D3325="","",M3325*Y3325/100)</f>
        <v/>
      </c>
      <c r="V3325" s="16" t="str">
        <f aca="false">IF($D3325="","",Y3325*AB3325/100)</f>
        <v/>
      </c>
      <c r="W3325" s="16" t="str">
        <f aca="false">IF($D3325="","",Y3325-V3325)</f>
        <v/>
      </c>
      <c r="X3325" s="16" t="str">
        <f aca="false">IF($D3325="","",W3325-N3325)</f>
        <v/>
      </c>
      <c r="AB3325" s="17" t="str">
        <f aca="false">IF($D3325="","",IF(OR($R3325=TRUE(),$R3325="TRUE"),Settings!$C$6,Settings!$C$7)*100)</f>
        <v/>
      </c>
      <c r="AH3325" s="18" t="str">
        <f aca="false">IF($D3325="","",IF(COUNTIF($D$2:$D3325,$D3325)=1,1,0))</f>
        <v/>
      </c>
      <c r="AI3325" s="18" t="str">
        <f aca="false">IF($AH3325=1,SUMPRODUCT(--($AK$2:$AK$4001&lt;$AK3325))+1,"")</f>
        <v/>
      </c>
      <c r="AJ3325" s="18" t="str">
        <f aca="false">IF($D3325="","",IF(OR($R3325=TRUE(),$R3325="TRUE"),1,0))</f>
        <v/>
      </c>
      <c r="AK3325" s="18" t="str">
        <f aca="false">IF($AH3325=1,IFERROR(VALUE(MID($D3325,2,20)),1000000000)+ROW()/10000000,"")</f>
        <v/>
      </c>
    </row>
    <row r="3326" customFormat="false" ht="15" hidden="false" customHeight="false" outlineLevel="0" collapsed="false">
      <c r="F3326" s="15"/>
      <c r="N3326" s="16" t="str">
        <f aca="false">IF($D3326="","",M3326*Y3326/100)</f>
        <v/>
      </c>
      <c r="V3326" s="16" t="str">
        <f aca="false">IF($D3326="","",Y3326*AB3326/100)</f>
        <v/>
      </c>
      <c r="W3326" s="16" t="str">
        <f aca="false">IF($D3326="","",Y3326-V3326)</f>
        <v/>
      </c>
      <c r="X3326" s="16" t="str">
        <f aca="false">IF($D3326="","",W3326-N3326)</f>
        <v/>
      </c>
      <c r="AB3326" s="17" t="str">
        <f aca="false">IF($D3326="","",IF(OR($R3326=TRUE(),$R3326="TRUE"),Settings!$C$6,Settings!$C$7)*100)</f>
        <v/>
      </c>
      <c r="AH3326" s="18" t="str">
        <f aca="false">IF($D3326="","",IF(COUNTIF($D$2:$D3326,$D3326)=1,1,0))</f>
        <v/>
      </c>
      <c r="AI3326" s="18" t="str">
        <f aca="false">IF($AH3326=1,SUMPRODUCT(--($AK$2:$AK$4001&lt;$AK3326))+1,"")</f>
        <v/>
      </c>
      <c r="AJ3326" s="18" t="str">
        <f aca="false">IF($D3326="","",IF(OR($R3326=TRUE(),$R3326="TRUE"),1,0))</f>
        <v/>
      </c>
      <c r="AK3326" s="18" t="str">
        <f aca="false">IF($AH3326=1,IFERROR(VALUE(MID($D3326,2,20)),1000000000)+ROW()/10000000,"")</f>
        <v/>
      </c>
    </row>
    <row r="3327" customFormat="false" ht="15" hidden="false" customHeight="false" outlineLevel="0" collapsed="false">
      <c r="F3327" s="15"/>
      <c r="N3327" s="16" t="str">
        <f aca="false">IF($D3327="","",M3327*Y3327/100)</f>
        <v/>
      </c>
      <c r="V3327" s="16" t="str">
        <f aca="false">IF($D3327="","",Y3327*AB3327/100)</f>
        <v/>
      </c>
      <c r="W3327" s="16" t="str">
        <f aca="false">IF($D3327="","",Y3327-V3327)</f>
        <v/>
      </c>
      <c r="X3327" s="16" t="str">
        <f aca="false">IF($D3327="","",W3327-N3327)</f>
        <v/>
      </c>
      <c r="AB3327" s="17" t="str">
        <f aca="false">IF($D3327="","",IF(OR($R3327=TRUE(),$R3327="TRUE"),Settings!$C$6,Settings!$C$7)*100)</f>
        <v/>
      </c>
      <c r="AH3327" s="18" t="str">
        <f aca="false">IF($D3327="","",IF(COUNTIF($D$2:$D3327,$D3327)=1,1,0))</f>
        <v/>
      </c>
      <c r="AI3327" s="18" t="str">
        <f aca="false">IF($AH3327=1,SUMPRODUCT(--($AK$2:$AK$4001&lt;$AK3327))+1,"")</f>
        <v/>
      </c>
      <c r="AJ3327" s="18" t="str">
        <f aca="false">IF($D3327="","",IF(OR($R3327=TRUE(),$R3327="TRUE"),1,0))</f>
        <v/>
      </c>
      <c r="AK3327" s="18" t="str">
        <f aca="false">IF($AH3327=1,IFERROR(VALUE(MID($D3327,2,20)),1000000000)+ROW()/10000000,"")</f>
        <v/>
      </c>
    </row>
    <row r="3328" customFormat="false" ht="15" hidden="false" customHeight="false" outlineLevel="0" collapsed="false">
      <c r="F3328" s="15"/>
      <c r="N3328" s="16" t="str">
        <f aca="false">IF($D3328="","",M3328*Y3328/100)</f>
        <v/>
      </c>
      <c r="V3328" s="16" t="str">
        <f aca="false">IF($D3328="","",Y3328*AB3328/100)</f>
        <v/>
      </c>
      <c r="W3328" s="16" t="str">
        <f aca="false">IF($D3328="","",Y3328-V3328)</f>
        <v/>
      </c>
      <c r="X3328" s="16" t="str">
        <f aca="false">IF($D3328="","",W3328-N3328)</f>
        <v/>
      </c>
      <c r="AB3328" s="17" t="str">
        <f aca="false">IF($D3328="","",IF(OR($R3328=TRUE(),$R3328="TRUE"),Settings!$C$6,Settings!$C$7)*100)</f>
        <v/>
      </c>
      <c r="AH3328" s="18" t="str">
        <f aca="false">IF($D3328="","",IF(COUNTIF($D$2:$D3328,$D3328)=1,1,0))</f>
        <v/>
      </c>
      <c r="AI3328" s="18" t="str">
        <f aca="false">IF($AH3328=1,SUMPRODUCT(--($AK$2:$AK$4001&lt;$AK3328))+1,"")</f>
        <v/>
      </c>
      <c r="AJ3328" s="18" t="str">
        <f aca="false">IF($D3328="","",IF(OR($R3328=TRUE(),$R3328="TRUE"),1,0))</f>
        <v/>
      </c>
      <c r="AK3328" s="18" t="str">
        <f aca="false">IF($AH3328=1,IFERROR(VALUE(MID($D3328,2,20)),1000000000)+ROW()/10000000,"")</f>
        <v/>
      </c>
    </row>
    <row r="3329" customFormat="false" ht="15" hidden="false" customHeight="false" outlineLevel="0" collapsed="false">
      <c r="F3329" s="15"/>
      <c r="N3329" s="16" t="str">
        <f aca="false">IF($D3329="","",M3329*Y3329/100)</f>
        <v/>
      </c>
      <c r="V3329" s="16" t="str">
        <f aca="false">IF($D3329="","",Y3329*AB3329/100)</f>
        <v/>
      </c>
      <c r="W3329" s="16" t="str">
        <f aca="false">IF($D3329="","",Y3329-V3329)</f>
        <v/>
      </c>
      <c r="X3329" s="16" t="str">
        <f aca="false">IF($D3329="","",W3329-N3329)</f>
        <v/>
      </c>
      <c r="AB3329" s="17" t="str">
        <f aca="false">IF($D3329="","",IF(OR($R3329=TRUE(),$R3329="TRUE"),Settings!$C$6,Settings!$C$7)*100)</f>
        <v/>
      </c>
      <c r="AH3329" s="18" t="str">
        <f aca="false">IF($D3329="","",IF(COUNTIF($D$2:$D3329,$D3329)=1,1,0))</f>
        <v/>
      </c>
      <c r="AI3329" s="18" t="str">
        <f aca="false">IF($AH3329=1,SUMPRODUCT(--($AK$2:$AK$4001&lt;$AK3329))+1,"")</f>
        <v/>
      </c>
      <c r="AJ3329" s="18" t="str">
        <f aca="false">IF($D3329="","",IF(OR($R3329=TRUE(),$R3329="TRUE"),1,0))</f>
        <v/>
      </c>
      <c r="AK3329" s="18" t="str">
        <f aca="false">IF($AH3329=1,IFERROR(VALUE(MID($D3329,2,20)),1000000000)+ROW()/10000000,"")</f>
        <v/>
      </c>
    </row>
    <row r="3330" customFormat="false" ht="15" hidden="false" customHeight="false" outlineLevel="0" collapsed="false">
      <c r="F3330" s="15"/>
      <c r="N3330" s="16" t="str">
        <f aca="false">IF($D3330="","",M3330*Y3330/100)</f>
        <v/>
      </c>
      <c r="V3330" s="16" t="str">
        <f aca="false">IF($D3330="","",Y3330*AB3330/100)</f>
        <v/>
      </c>
      <c r="W3330" s="16" t="str">
        <f aca="false">IF($D3330="","",Y3330-V3330)</f>
        <v/>
      </c>
      <c r="X3330" s="16" t="str">
        <f aca="false">IF($D3330="","",W3330-N3330)</f>
        <v/>
      </c>
      <c r="AB3330" s="17" t="str">
        <f aca="false">IF($D3330="","",IF(OR($R3330=TRUE(),$R3330="TRUE"),Settings!$C$6,Settings!$C$7)*100)</f>
        <v/>
      </c>
      <c r="AH3330" s="18" t="str">
        <f aca="false">IF($D3330="","",IF(COUNTIF($D$2:$D3330,$D3330)=1,1,0))</f>
        <v/>
      </c>
      <c r="AI3330" s="18" t="str">
        <f aca="false">IF($AH3330=1,SUMPRODUCT(--($AK$2:$AK$4001&lt;$AK3330))+1,"")</f>
        <v/>
      </c>
      <c r="AJ3330" s="18" t="str">
        <f aca="false">IF($D3330="","",IF(OR($R3330=TRUE(),$R3330="TRUE"),1,0))</f>
        <v/>
      </c>
      <c r="AK3330" s="18" t="str">
        <f aca="false">IF($AH3330=1,IFERROR(VALUE(MID($D3330,2,20)),1000000000)+ROW()/10000000,"")</f>
        <v/>
      </c>
    </row>
    <row r="3331" customFormat="false" ht="15" hidden="false" customHeight="false" outlineLevel="0" collapsed="false">
      <c r="F3331" s="15"/>
      <c r="N3331" s="16" t="str">
        <f aca="false">IF($D3331="","",M3331*Y3331/100)</f>
        <v/>
      </c>
      <c r="V3331" s="16" t="str">
        <f aca="false">IF($D3331="","",Y3331*AB3331/100)</f>
        <v/>
      </c>
      <c r="W3331" s="16" t="str">
        <f aca="false">IF($D3331="","",Y3331-V3331)</f>
        <v/>
      </c>
      <c r="X3331" s="16" t="str">
        <f aca="false">IF($D3331="","",W3331-N3331)</f>
        <v/>
      </c>
      <c r="AB3331" s="17" t="str">
        <f aca="false">IF($D3331="","",IF(OR($R3331=TRUE(),$R3331="TRUE"),Settings!$C$6,Settings!$C$7)*100)</f>
        <v/>
      </c>
      <c r="AH3331" s="18" t="str">
        <f aca="false">IF($D3331="","",IF(COUNTIF($D$2:$D3331,$D3331)=1,1,0))</f>
        <v/>
      </c>
      <c r="AI3331" s="18" t="str">
        <f aca="false">IF($AH3331=1,SUMPRODUCT(--($AK$2:$AK$4001&lt;$AK3331))+1,"")</f>
        <v/>
      </c>
      <c r="AJ3331" s="18" t="str">
        <f aca="false">IF($D3331="","",IF(OR($R3331=TRUE(),$R3331="TRUE"),1,0))</f>
        <v/>
      </c>
      <c r="AK3331" s="18" t="str">
        <f aca="false">IF($AH3331=1,IFERROR(VALUE(MID($D3331,2,20)),1000000000)+ROW()/10000000,"")</f>
        <v/>
      </c>
    </row>
    <row r="3332" customFormat="false" ht="15" hidden="false" customHeight="false" outlineLevel="0" collapsed="false">
      <c r="F3332" s="15"/>
      <c r="N3332" s="16" t="str">
        <f aca="false">IF($D3332="","",M3332*Y3332/100)</f>
        <v/>
      </c>
      <c r="V3332" s="16" t="str">
        <f aca="false">IF($D3332="","",Y3332*AB3332/100)</f>
        <v/>
      </c>
      <c r="W3332" s="16" t="str">
        <f aca="false">IF($D3332="","",Y3332-V3332)</f>
        <v/>
      </c>
      <c r="X3332" s="16" t="str">
        <f aca="false">IF($D3332="","",W3332-N3332)</f>
        <v/>
      </c>
      <c r="AB3332" s="17" t="str">
        <f aca="false">IF($D3332="","",IF(OR($R3332=TRUE(),$R3332="TRUE"),Settings!$C$6,Settings!$C$7)*100)</f>
        <v/>
      </c>
      <c r="AH3332" s="18" t="str">
        <f aca="false">IF($D3332="","",IF(COUNTIF($D$2:$D3332,$D3332)=1,1,0))</f>
        <v/>
      </c>
      <c r="AI3332" s="18" t="str">
        <f aca="false">IF($AH3332=1,SUMPRODUCT(--($AK$2:$AK$4001&lt;$AK3332))+1,"")</f>
        <v/>
      </c>
      <c r="AJ3332" s="18" t="str">
        <f aca="false">IF($D3332="","",IF(OR($R3332=TRUE(),$R3332="TRUE"),1,0))</f>
        <v/>
      </c>
      <c r="AK3332" s="18" t="str">
        <f aca="false">IF($AH3332=1,IFERROR(VALUE(MID($D3332,2,20)),1000000000)+ROW()/10000000,"")</f>
        <v/>
      </c>
    </row>
    <row r="3333" customFormat="false" ht="15" hidden="false" customHeight="false" outlineLevel="0" collapsed="false">
      <c r="F3333" s="15"/>
      <c r="N3333" s="16" t="str">
        <f aca="false">IF($D3333="","",M3333*Y3333/100)</f>
        <v/>
      </c>
      <c r="V3333" s="16" t="str">
        <f aca="false">IF($D3333="","",Y3333*AB3333/100)</f>
        <v/>
      </c>
      <c r="W3333" s="16" t="str">
        <f aca="false">IF($D3333="","",Y3333-V3333)</f>
        <v/>
      </c>
      <c r="X3333" s="16" t="str">
        <f aca="false">IF($D3333="","",W3333-N3333)</f>
        <v/>
      </c>
      <c r="AB3333" s="17" t="str">
        <f aca="false">IF($D3333="","",IF(OR($R3333=TRUE(),$R3333="TRUE"),Settings!$C$6,Settings!$C$7)*100)</f>
        <v/>
      </c>
      <c r="AH3333" s="18" t="str">
        <f aca="false">IF($D3333="","",IF(COUNTIF($D$2:$D3333,$D3333)=1,1,0))</f>
        <v/>
      </c>
      <c r="AI3333" s="18" t="str">
        <f aca="false">IF($AH3333=1,SUMPRODUCT(--($AK$2:$AK$4001&lt;$AK3333))+1,"")</f>
        <v/>
      </c>
      <c r="AJ3333" s="18" t="str">
        <f aca="false">IF($D3333="","",IF(OR($R3333=TRUE(),$R3333="TRUE"),1,0))</f>
        <v/>
      </c>
      <c r="AK3333" s="18" t="str">
        <f aca="false">IF($AH3333=1,IFERROR(VALUE(MID($D3333,2,20)),1000000000)+ROW()/10000000,"")</f>
        <v/>
      </c>
    </row>
    <row r="3334" customFormat="false" ht="15" hidden="false" customHeight="false" outlineLevel="0" collapsed="false">
      <c r="F3334" s="15"/>
      <c r="N3334" s="16" t="str">
        <f aca="false">IF($D3334="","",M3334*Y3334/100)</f>
        <v/>
      </c>
      <c r="V3334" s="16" t="str">
        <f aca="false">IF($D3334="","",Y3334*AB3334/100)</f>
        <v/>
      </c>
      <c r="W3334" s="16" t="str">
        <f aca="false">IF($D3334="","",Y3334-V3334)</f>
        <v/>
      </c>
      <c r="X3334" s="16" t="str">
        <f aca="false">IF($D3334="","",W3334-N3334)</f>
        <v/>
      </c>
      <c r="AB3334" s="17" t="str">
        <f aca="false">IF($D3334="","",IF(OR($R3334=TRUE(),$R3334="TRUE"),Settings!$C$6,Settings!$C$7)*100)</f>
        <v/>
      </c>
      <c r="AH3334" s="18" t="str">
        <f aca="false">IF($D3334="","",IF(COUNTIF($D$2:$D3334,$D3334)=1,1,0))</f>
        <v/>
      </c>
      <c r="AI3334" s="18" t="str">
        <f aca="false">IF($AH3334=1,SUMPRODUCT(--($AK$2:$AK$4001&lt;$AK3334))+1,"")</f>
        <v/>
      </c>
      <c r="AJ3334" s="18" t="str">
        <f aca="false">IF($D3334="","",IF(OR($R3334=TRUE(),$R3334="TRUE"),1,0))</f>
        <v/>
      </c>
      <c r="AK3334" s="18" t="str">
        <f aca="false">IF($AH3334=1,IFERROR(VALUE(MID($D3334,2,20)),1000000000)+ROW()/10000000,"")</f>
        <v/>
      </c>
    </row>
    <row r="3335" customFormat="false" ht="15" hidden="false" customHeight="false" outlineLevel="0" collapsed="false">
      <c r="F3335" s="15"/>
      <c r="N3335" s="16" t="str">
        <f aca="false">IF($D3335="","",M3335*Y3335/100)</f>
        <v/>
      </c>
      <c r="V3335" s="16" t="str">
        <f aca="false">IF($D3335="","",Y3335*AB3335/100)</f>
        <v/>
      </c>
      <c r="W3335" s="16" t="str">
        <f aca="false">IF($D3335="","",Y3335-V3335)</f>
        <v/>
      </c>
      <c r="X3335" s="16" t="str">
        <f aca="false">IF($D3335="","",W3335-N3335)</f>
        <v/>
      </c>
      <c r="AB3335" s="17" t="str">
        <f aca="false">IF($D3335="","",IF(OR($R3335=TRUE(),$R3335="TRUE"),Settings!$C$6,Settings!$C$7)*100)</f>
        <v/>
      </c>
      <c r="AH3335" s="18" t="str">
        <f aca="false">IF($D3335="","",IF(COUNTIF($D$2:$D3335,$D3335)=1,1,0))</f>
        <v/>
      </c>
      <c r="AI3335" s="18" t="str">
        <f aca="false">IF($AH3335=1,SUMPRODUCT(--($AK$2:$AK$4001&lt;$AK3335))+1,"")</f>
        <v/>
      </c>
      <c r="AJ3335" s="18" t="str">
        <f aca="false">IF($D3335="","",IF(OR($R3335=TRUE(),$R3335="TRUE"),1,0))</f>
        <v/>
      </c>
      <c r="AK3335" s="18" t="str">
        <f aca="false">IF($AH3335=1,IFERROR(VALUE(MID($D3335,2,20)),1000000000)+ROW()/10000000,"")</f>
        <v/>
      </c>
    </row>
    <row r="3336" customFormat="false" ht="15" hidden="false" customHeight="false" outlineLevel="0" collapsed="false">
      <c r="F3336" s="15"/>
      <c r="N3336" s="16" t="str">
        <f aca="false">IF($D3336="","",M3336*Y3336/100)</f>
        <v/>
      </c>
      <c r="V3336" s="16" t="str">
        <f aca="false">IF($D3336="","",Y3336*AB3336/100)</f>
        <v/>
      </c>
      <c r="W3336" s="16" t="str">
        <f aca="false">IF($D3336="","",Y3336-V3336)</f>
        <v/>
      </c>
      <c r="X3336" s="16" t="str">
        <f aca="false">IF($D3336="","",W3336-N3336)</f>
        <v/>
      </c>
      <c r="AB3336" s="17" t="str">
        <f aca="false">IF($D3336="","",IF(OR($R3336=TRUE(),$R3336="TRUE"),Settings!$C$6,Settings!$C$7)*100)</f>
        <v/>
      </c>
      <c r="AH3336" s="18" t="str">
        <f aca="false">IF($D3336="","",IF(COUNTIF($D$2:$D3336,$D3336)=1,1,0))</f>
        <v/>
      </c>
      <c r="AI3336" s="18" t="str">
        <f aca="false">IF($AH3336=1,SUMPRODUCT(--($AK$2:$AK$4001&lt;$AK3336))+1,"")</f>
        <v/>
      </c>
      <c r="AJ3336" s="18" t="str">
        <f aca="false">IF($D3336="","",IF(OR($R3336=TRUE(),$R3336="TRUE"),1,0))</f>
        <v/>
      </c>
      <c r="AK3336" s="18" t="str">
        <f aca="false">IF($AH3336=1,IFERROR(VALUE(MID($D3336,2,20)),1000000000)+ROW()/10000000,"")</f>
        <v/>
      </c>
    </row>
    <row r="3337" customFormat="false" ht="15" hidden="false" customHeight="false" outlineLevel="0" collapsed="false">
      <c r="F3337" s="15"/>
      <c r="N3337" s="16" t="str">
        <f aca="false">IF($D3337="","",M3337*Y3337/100)</f>
        <v/>
      </c>
      <c r="V3337" s="16" t="str">
        <f aca="false">IF($D3337="","",Y3337*AB3337/100)</f>
        <v/>
      </c>
      <c r="W3337" s="16" t="str">
        <f aca="false">IF($D3337="","",Y3337-V3337)</f>
        <v/>
      </c>
      <c r="X3337" s="16" t="str">
        <f aca="false">IF($D3337="","",W3337-N3337)</f>
        <v/>
      </c>
      <c r="AB3337" s="17" t="str">
        <f aca="false">IF($D3337="","",IF(OR($R3337=TRUE(),$R3337="TRUE"),Settings!$C$6,Settings!$C$7)*100)</f>
        <v/>
      </c>
      <c r="AH3337" s="18" t="str">
        <f aca="false">IF($D3337="","",IF(COUNTIF($D$2:$D3337,$D3337)=1,1,0))</f>
        <v/>
      </c>
      <c r="AI3337" s="18" t="str">
        <f aca="false">IF($AH3337=1,SUMPRODUCT(--($AK$2:$AK$4001&lt;$AK3337))+1,"")</f>
        <v/>
      </c>
      <c r="AJ3337" s="18" t="str">
        <f aca="false">IF($D3337="","",IF(OR($R3337=TRUE(),$R3337="TRUE"),1,0))</f>
        <v/>
      </c>
      <c r="AK3337" s="18" t="str">
        <f aca="false">IF($AH3337=1,IFERROR(VALUE(MID($D3337,2,20)),1000000000)+ROW()/10000000,"")</f>
        <v/>
      </c>
    </row>
    <row r="3338" customFormat="false" ht="15" hidden="false" customHeight="false" outlineLevel="0" collapsed="false">
      <c r="F3338" s="15"/>
      <c r="N3338" s="16" t="str">
        <f aca="false">IF($D3338="","",M3338*Y3338/100)</f>
        <v/>
      </c>
      <c r="V3338" s="16" t="str">
        <f aca="false">IF($D3338="","",Y3338*AB3338/100)</f>
        <v/>
      </c>
      <c r="W3338" s="16" t="str">
        <f aca="false">IF($D3338="","",Y3338-V3338)</f>
        <v/>
      </c>
      <c r="X3338" s="16" t="str">
        <f aca="false">IF($D3338="","",W3338-N3338)</f>
        <v/>
      </c>
      <c r="AB3338" s="17" t="str">
        <f aca="false">IF($D3338="","",IF(OR($R3338=TRUE(),$R3338="TRUE"),Settings!$C$6,Settings!$C$7)*100)</f>
        <v/>
      </c>
      <c r="AH3338" s="18" t="str">
        <f aca="false">IF($D3338="","",IF(COUNTIF($D$2:$D3338,$D3338)=1,1,0))</f>
        <v/>
      </c>
      <c r="AI3338" s="18" t="str">
        <f aca="false">IF($AH3338=1,SUMPRODUCT(--($AK$2:$AK$4001&lt;$AK3338))+1,"")</f>
        <v/>
      </c>
      <c r="AJ3338" s="18" t="str">
        <f aca="false">IF($D3338="","",IF(OR($R3338=TRUE(),$R3338="TRUE"),1,0))</f>
        <v/>
      </c>
      <c r="AK3338" s="18" t="str">
        <f aca="false">IF($AH3338=1,IFERROR(VALUE(MID($D3338,2,20)),1000000000)+ROW()/10000000,"")</f>
        <v/>
      </c>
    </row>
    <row r="3339" customFormat="false" ht="15" hidden="false" customHeight="false" outlineLevel="0" collapsed="false">
      <c r="F3339" s="15"/>
      <c r="N3339" s="16" t="str">
        <f aca="false">IF($D3339="","",M3339*Y3339/100)</f>
        <v/>
      </c>
      <c r="V3339" s="16" t="str">
        <f aca="false">IF($D3339="","",Y3339*AB3339/100)</f>
        <v/>
      </c>
      <c r="W3339" s="16" t="str">
        <f aca="false">IF($D3339="","",Y3339-V3339)</f>
        <v/>
      </c>
      <c r="X3339" s="16" t="str">
        <f aca="false">IF($D3339="","",W3339-N3339)</f>
        <v/>
      </c>
      <c r="AB3339" s="17" t="str">
        <f aca="false">IF($D3339="","",IF(OR($R3339=TRUE(),$R3339="TRUE"),Settings!$C$6,Settings!$C$7)*100)</f>
        <v/>
      </c>
      <c r="AH3339" s="18" t="str">
        <f aca="false">IF($D3339="","",IF(COUNTIF($D$2:$D3339,$D3339)=1,1,0))</f>
        <v/>
      </c>
      <c r="AI3339" s="18" t="str">
        <f aca="false">IF($AH3339=1,SUMPRODUCT(--($AK$2:$AK$4001&lt;$AK3339))+1,"")</f>
        <v/>
      </c>
      <c r="AJ3339" s="18" t="str">
        <f aca="false">IF($D3339="","",IF(OR($R3339=TRUE(),$R3339="TRUE"),1,0))</f>
        <v/>
      </c>
      <c r="AK3339" s="18" t="str">
        <f aca="false">IF($AH3339=1,IFERROR(VALUE(MID($D3339,2,20)),1000000000)+ROW()/10000000,"")</f>
        <v/>
      </c>
    </row>
    <row r="3340" customFormat="false" ht="15" hidden="false" customHeight="false" outlineLevel="0" collapsed="false">
      <c r="F3340" s="15"/>
      <c r="N3340" s="16" t="str">
        <f aca="false">IF($D3340="","",M3340*Y3340/100)</f>
        <v/>
      </c>
      <c r="V3340" s="16" t="str">
        <f aca="false">IF($D3340="","",Y3340*AB3340/100)</f>
        <v/>
      </c>
      <c r="W3340" s="16" t="str">
        <f aca="false">IF($D3340="","",Y3340-V3340)</f>
        <v/>
      </c>
      <c r="X3340" s="16" t="str">
        <f aca="false">IF($D3340="","",W3340-N3340)</f>
        <v/>
      </c>
      <c r="AB3340" s="17" t="str">
        <f aca="false">IF($D3340="","",IF(OR($R3340=TRUE(),$R3340="TRUE"),Settings!$C$6,Settings!$C$7)*100)</f>
        <v/>
      </c>
      <c r="AH3340" s="18" t="str">
        <f aca="false">IF($D3340="","",IF(COUNTIF($D$2:$D3340,$D3340)=1,1,0))</f>
        <v/>
      </c>
      <c r="AI3340" s="18" t="str">
        <f aca="false">IF($AH3340=1,SUMPRODUCT(--($AK$2:$AK$4001&lt;$AK3340))+1,"")</f>
        <v/>
      </c>
      <c r="AJ3340" s="18" t="str">
        <f aca="false">IF($D3340="","",IF(OR($R3340=TRUE(),$R3340="TRUE"),1,0))</f>
        <v/>
      </c>
      <c r="AK3340" s="18" t="str">
        <f aca="false">IF($AH3340=1,IFERROR(VALUE(MID($D3340,2,20)),1000000000)+ROW()/10000000,"")</f>
        <v/>
      </c>
    </row>
    <row r="3341" customFormat="false" ht="15" hidden="false" customHeight="false" outlineLevel="0" collapsed="false">
      <c r="F3341" s="15"/>
      <c r="N3341" s="16" t="str">
        <f aca="false">IF($D3341="","",M3341*Y3341/100)</f>
        <v/>
      </c>
      <c r="V3341" s="16" t="str">
        <f aca="false">IF($D3341="","",Y3341*AB3341/100)</f>
        <v/>
      </c>
      <c r="W3341" s="16" t="str">
        <f aca="false">IF($D3341="","",Y3341-V3341)</f>
        <v/>
      </c>
      <c r="X3341" s="16" t="str">
        <f aca="false">IF($D3341="","",W3341-N3341)</f>
        <v/>
      </c>
      <c r="AB3341" s="17" t="str">
        <f aca="false">IF($D3341="","",IF(OR($R3341=TRUE(),$R3341="TRUE"),Settings!$C$6,Settings!$C$7)*100)</f>
        <v/>
      </c>
      <c r="AH3341" s="18" t="str">
        <f aca="false">IF($D3341="","",IF(COUNTIF($D$2:$D3341,$D3341)=1,1,0))</f>
        <v/>
      </c>
      <c r="AI3341" s="18" t="str">
        <f aca="false">IF($AH3341=1,SUMPRODUCT(--($AK$2:$AK$4001&lt;$AK3341))+1,"")</f>
        <v/>
      </c>
      <c r="AJ3341" s="18" t="str">
        <f aca="false">IF($D3341="","",IF(OR($R3341=TRUE(),$R3341="TRUE"),1,0))</f>
        <v/>
      </c>
      <c r="AK3341" s="18" t="str">
        <f aca="false">IF($AH3341=1,IFERROR(VALUE(MID($D3341,2,20)),1000000000)+ROW()/10000000,"")</f>
        <v/>
      </c>
    </row>
    <row r="3342" customFormat="false" ht="15" hidden="false" customHeight="false" outlineLevel="0" collapsed="false">
      <c r="F3342" s="15"/>
      <c r="N3342" s="16" t="str">
        <f aca="false">IF($D3342="","",M3342*Y3342/100)</f>
        <v/>
      </c>
      <c r="V3342" s="16" t="str">
        <f aca="false">IF($D3342="","",Y3342*AB3342/100)</f>
        <v/>
      </c>
      <c r="W3342" s="16" t="str">
        <f aca="false">IF($D3342="","",Y3342-V3342)</f>
        <v/>
      </c>
      <c r="X3342" s="16" t="str">
        <f aca="false">IF($D3342="","",W3342-N3342)</f>
        <v/>
      </c>
      <c r="AB3342" s="17" t="str">
        <f aca="false">IF($D3342="","",IF(OR($R3342=TRUE(),$R3342="TRUE"),Settings!$C$6,Settings!$C$7)*100)</f>
        <v/>
      </c>
      <c r="AH3342" s="18" t="str">
        <f aca="false">IF($D3342="","",IF(COUNTIF($D$2:$D3342,$D3342)=1,1,0))</f>
        <v/>
      </c>
      <c r="AI3342" s="18" t="str">
        <f aca="false">IF($AH3342=1,SUMPRODUCT(--($AK$2:$AK$4001&lt;$AK3342))+1,"")</f>
        <v/>
      </c>
      <c r="AJ3342" s="18" t="str">
        <f aca="false">IF($D3342="","",IF(OR($R3342=TRUE(),$R3342="TRUE"),1,0))</f>
        <v/>
      </c>
      <c r="AK3342" s="18" t="str">
        <f aca="false">IF($AH3342=1,IFERROR(VALUE(MID($D3342,2,20)),1000000000)+ROW()/10000000,"")</f>
        <v/>
      </c>
    </row>
    <row r="3343" customFormat="false" ht="15" hidden="false" customHeight="false" outlineLevel="0" collapsed="false">
      <c r="F3343" s="15"/>
      <c r="N3343" s="16" t="str">
        <f aca="false">IF($D3343="","",M3343*Y3343/100)</f>
        <v/>
      </c>
      <c r="V3343" s="16" t="str">
        <f aca="false">IF($D3343="","",Y3343*AB3343/100)</f>
        <v/>
      </c>
      <c r="W3343" s="16" t="str">
        <f aca="false">IF($D3343="","",Y3343-V3343)</f>
        <v/>
      </c>
      <c r="X3343" s="16" t="str">
        <f aca="false">IF($D3343="","",W3343-N3343)</f>
        <v/>
      </c>
      <c r="AB3343" s="17" t="str">
        <f aca="false">IF($D3343="","",IF(OR($R3343=TRUE(),$R3343="TRUE"),Settings!$C$6,Settings!$C$7)*100)</f>
        <v/>
      </c>
      <c r="AH3343" s="18" t="str">
        <f aca="false">IF($D3343="","",IF(COUNTIF($D$2:$D3343,$D3343)=1,1,0))</f>
        <v/>
      </c>
      <c r="AI3343" s="18" t="str">
        <f aca="false">IF($AH3343=1,SUMPRODUCT(--($AK$2:$AK$4001&lt;$AK3343))+1,"")</f>
        <v/>
      </c>
      <c r="AJ3343" s="18" t="str">
        <f aca="false">IF($D3343="","",IF(OR($R3343=TRUE(),$R3343="TRUE"),1,0))</f>
        <v/>
      </c>
      <c r="AK3343" s="18" t="str">
        <f aca="false">IF($AH3343=1,IFERROR(VALUE(MID($D3343,2,20)),1000000000)+ROW()/10000000,"")</f>
        <v/>
      </c>
    </row>
    <row r="3344" customFormat="false" ht="15" hidden="false" customHeight="false" outlineLevel="0" collapsed="false">
      <c r="F3344" s="15"/>
      <c r="N3344" s="16" t="str">
        <f aca="false">IF($D3344="","",M3344*Y3344/100)</f>
        <v/>
      </c>
      <c r="V3344" s="16" t="str">
        <f aca="false">IF($D3344="","",Y3344*AB3344/100)</f>
        <v/>
      </c>
      <c r="W3344" s="16" t="str">
        <f aca="false">IF($D3344="","",Y3344-V3344)</f>
        <v/>
      </c>
      <c r="X3344" s="16" t="str">
        <f aca="false">IF($D3344="","",W3344-N3344)</f>
        <v/>
      </c>
      <c r="AB3344" s="17" t="str">
        <f aca="false">IF($D3344="","",IF(OR($R3344=TRUE(),$R3344="TRUE"),Settings!$C$6,Settings!$C$7)*100)</f>
        <v/>
      </c>
      <c r="AH3344" s="18" t="str">
        <f aca="false">IF($D3344="","",IF(COUNTIF($D$2:$D3344,$D3344)=1,1,0))</f>
        <v/>
      </c>
      <c r="AI3344" s="18" t="str">
        <f aca="false">IF($AH3344=1,SUMPRODUCT(--($AK$2:$AK$4001&lt;$AK3344))+1,"")</f>
        <v/>
      </c>
      <c r="AJ3344" s="18" t="str">
        <f aca="false">IF($D3344="","",IF(OR($R3344=TRUE(),$R3344="TRUE"),1,0))</f>
        <v/>
      </c>
      <c r="AK3344" s="18" t="str">
        <f aca="false">IF($AH3344=1,IFERROR(VALUE(MID($D3344,2,20)),1000000000)+ROW()/10000000,"")</f>
        <v/>
      </c>
    </row>
    <row r="3345" customFormat="false" ht="15" hidden="false" customHeight="false" outlineLevel="0" collapsed="false">
      <c r="F3345" s="15"/>
      <c r="N3345" s="16" t="str">
        <f aca="false">IF($D3345="","",M3345*Y3345/100)</f>
        <v/>
      </c>
      <c r="V3345" s="16" t="str">
        <f aca="false">IF($D3345="","",Y3345*AB3345/100)</f>
        <v/>
      </c>
      <c r="W3345" s="16" t="str">
        <f aca="false">IF($D3345="","",Y3345-V3345)</f>
        <v/>
      </c>
      <c r="X3345" s="16" t="str">
        <f aca="false">IF($D3345="","",W3345-N3345)</f>
        <v/>
      </c>
      <c r="AB3345" s="17" t="str">
        <f aca="false">IF($D3345="","",IF(OR($R3345=TRUE(),$R3345="TRUE"),Settings!$C$6,Settings!$C$7)*100)</f>
        <v/>
      </c>
      <c r="AH3345" s="18" t="str">
        <f aca="false">IF($D3345="","",IF(COUNTIF($D$2:$D3345,$D3345)=1,1,0))</f>
        <v/>
      </c>
      <c r="AI3345" s="18" t="str">
        <f aca="false">IF($AH3345=1,SUMPRODUCT(--($AK$2:$AK$4001&lt;$AK3345))+1,"")</f>
        <v/>
      </c>
      <c r="AJ3345" s="18" t="str">
        <f aca="false">IF($D3345="","",IF(OR($R3345=TRUE(),$R3345="TRUE"),1,0))</f>
        <v/>
      </c>
      <c r="AK3345" s="18" t="str">
        <f aca="false">IF($AH3345=1,IFERROR(VALUE(MID($D3345,2,20)),1000000000)+ROW()/10000000,"")</f>
        <v/>
      </c>
    </row>
    <row r="3346" customFormat="false" ht="15" hidden="false" customHeight="false" outlineLevel="0" collapsed="false">
      <c r="F3346" s="15"/>
      <c r="N3346" s="16" t="str">
        <f aca="false">IF($D3346="","",M3346*Y3346/100)</f>
        <v/>
      </c>
      <c r="V3346" s="16" t="str">
        <f aca="false">IF($D3346="","",Y3346*AB3346/100)</f>
        <v/>
      </c>
      <c r="W3346" s="16" t="str">
        <f aca="false">IF($D3346="","",Y3346-V3346)</f>
        <v/>
      </c>
      <c r="X3346" s="16" t="str">
        <f aca="false">IF($D3346="","",W3346-N3346)</f>
        <v/>
      </c>
      <c r="AB3346" s="17" t="str">
        <f aca="false">IF($D3346="","",IF(OR($R3346=TRUE(),$R3346="TRUE"),Settings!$C$6,Settings!$C$7)*100)</f>
        <v/>
      </c>
      <c r="AH3346" s="18" t="str">
        <f aca="false">IF($D3346="","",IF(COUNTIF($D$2:$D3346,$D3346)=1,1,0))</f>
        <v/>
      </c>
      <c r="AI3346" s="18" t="str">
        <f aca="false">IF($AH3346=1,SUMPRODUCT(--($AK$2:$AK$4001&lt;$AK3346))+1,"")</f>
        <v/>
      </c>
      <c r="AJ3346" s="18" t="str">
        <f aca="false">IF($D3346="","",IF(OR($R3346=TRUE(),$R3346="TRUE"),1,0))</f>
        <v/>
      </c>
      <c r="AK3346" s="18" t="str">
        <f aca="false">IF($AH3346=1,IFERROR(VALUE(MID($D3346,2,20)),1000000000)+ROW()/10000000,"")</f>
        <v/>
      </c>
    </row>
    <row r="3347" customFormat="false" ht="15" hidden="false" customHeight="false" outlineLevel="0" collapsed="false">
      <c r="F3347" s="15"/>
      <c r="N3347" s="16" t="str">
        <f aca="false">IF($D3347="","",M3347*Y3347/100)</f>
        <v/>
      </c>
      <c r="V3347" s="16" t="str">
        <f aca="false">IF($D3347="","",Y3347*AB3347/100)</f>
        <v/>
      </c>
      <c r="W3347" s="16" t="str">
        <f aca="false">IF($D3347="","",Y3347-V3347)</f>
        <v/>
      </c>
      <c r="X3347" s="16" t="str">
        <f aca="false">IF($D3347="","",W3347-N3347)</f>
        <v/>
      </c>
      <c r="AB3347" s="17" t="str">
        <f aca="false">IF($D3347="","",IF(OR($R3347=TRUE(),$R3347="TRUE"),Settings!$C$6,Settings!$C$7)*100)</f>
        <v/>
      </c>
      <c r="AH3347" s="18" t="str">
        <f aca="false">IF($D3347="","",IF(COUNTIF($D$2:$D3347,$D3347)=1,1,0))</f>
        <v/>
      </c>
      <c r="AI3347" s="18" t="str">
        <f aca="false">IF($AH3347=1,SUMPRODUCT(--($AK$2:$AK$4001&lt;$AK3347))+1,"")</f>
        <v/>
      </c>
      <c r="AJ3347" s="18" t="str">
        <f aca="false">IF($D3347="","",IF(OR($R3347=TRUE(),$R3347="TRUE"),1,0))</f>
        <v/>
      </c>
      <c r="AK3347" s="18" t="str">
        <f aca="false">IF($AH3347=1,IFERROR(VALUE(MID($D3347,2,20)),1000000000)+ROW()/10000000,"")</f>
        <v/>
      </c>
    </row>
    <row r="3348" customFormat="false" ht="15" hidden="false" customHeight="false" outlineLevel="0" collapsed="false">
      <c r="F3348" s="15"/>
      <c r="N3348" s="16" t="str">
        <f aca="false">IF($D3348="","",M3348*Y3348/100)</f>
        <v/>
      </c>
      <c r="V3348" s="16" t="str">
        <f aca="false">IF($D3348="","",Y3348*AB3348/100)</f>
        <v/>
      </c>
      <c r="W3348" s="16" t="str">
        <f aca="false">IF($D3348="","",Y3348-V3348)</f>
        <v/>
      </c>
      <c r="X3348" s="16" t="str">
        <f aca="false">IF($D3348="","",W3348-N3348)</f>
        <v/>
      </c>
      <c r="AB3348" s="17" t="str">
        <f aca="false">IF($D3348="","",IF(OR($R3348=TRUE(),$R3348="TRUE"),Settings!$C$6,Settings!$C$7)*100)</f>
        <v/>
      </c>
      <c r="AH3348" s="18" t="str">
        <f aca="false">IF($D3348="","",IF(COUNTIF($D$2:$D3348,$D3348)=1,1,0))</f>
        <v/>
      </c>
      <c r="AI3348" s="18" t="str">
        <f aca="false">IF($AH3348=1,SUMPRODUCT(--($AK$2:$AK$4001&lt;$AK3348))+1,"")</f>
        <v/>
      </c>
      <c r="AJ3348" s="18" t="str">
        <f aca="false">IF($D3348="","",IF(OR($R3348=TRUE(),$R3348="TRUE"),1,0))</f>
        <v/>
      </c>
      <c r="AK3348" s="18" t="str">
        <f aca="false">IF($AH3348=1,IFERROR(VALUE(MID($D3348,2,20)),1000000000)+ROW()/10000000,"")</f>
        <v/>
      </c>
    </row>
    <row r="3349" customFormat="false" ht="15" hidden="false" customHeight="false" outlineLevel="0" collapsed="false">
      <c r="F3349" s="15"/>
      <c r="N3349" s="16" t="str">
        <f aca="false">IF($D3349="","",M3349*Y3349/100)</f>
        <v/>
      </c>
      <c r="V3349" s="16" t="str">
        <f aca="false">IF($D3349="","",Y3349*AB3349/100)</f>
        <v/>
      </c>
      <c r="W3349" s="16" t="str">
        <f aca="false">IF($D3349="","",Y3349-V3349)</f>
        <v/>
      </c>
      <c r="X3349" s="16" t="str">
        <f aca="false">IF($D3349="","",W3349-N3349)</f>
        <v/>
      </c>
      <c r="AB3349" s="17" t="str">
        <f aca="false">IF($D3349="","",IF(OR($R3349=TRUE(),$R3349="TRUE"),Settings!$C$6,Settings!$C$7)*100)</f>
        <v/>
      </c>
      <c r="AH3349" s="18" t="str">
        <f aca="false">IF($D3349="","",IF(COUNTIF($D$2:$D3349,$D3349)=1,1,0))</f>
        <v/>
      </c>
      <c r="AI3349" s="18" t="str">
        <f aca="false">IF($AH3349=1,SUMPRODUCT(--($AK$2:$AK$4001&lt;$AK3349))+1,"")</f>
        <v/>
      </c>
      <c r="AJ3349" s="18" t="str">
        <f aca="false">IF($D3349="","",IF(OR($R3349=TRUE(),$R3349="TRUE"),1,0))</f>
        <v/>
      </c>
      <c r="AK3349" s="18" t="str">
        <f aca="false">IF($AH3349=1,IFERROR(VALUE(MID($D3349,2,20)),1000000000)+ROW()/10000000,"")</f>
        <v/>
      </c>
    </row>
    <row r="3350" customFormat="false" ht="15" hidden="false" customHeight="false" outlineLevel="0" collapsed="false">
      <c r="F3350" s="15"/>
      <c r="N3350" s="16" t="str">
        <f aca="false">IF($D3350="","",M3350*Y3350/100)</f>
        <v/>
      </c>
      <c r="V3350" s="16" t="str">
        <f aca="false">IF($D3350="","",Y3350*AB3350/100)</f>
        <v/>
      </c>
      <c r="W3350" s="16" t="str">
        <f aca="false">IF($D3350="","",Y3350-V3350)</f>
        <v/>
      </c>
      <c r="X3350" s="16" t="str">
        <f aca="false">IF($D3350="","",W3350-N3350)</f>
        <v/>
      </c>
      <c r="AB3350" s="17" t="str">
        <f aca="false">IF($D3350="","",IF(OR($R3350=TRUE(),$R3350="TRUE"),Settings!$C$6,Settings!$C$7)*100)</f>
        <v/>
      </c>
      <c r="AH3350" s="18" t="str">
        <f aca="false">IF($D3350="","",IF(COUNTIF($D$2:$D3350,$D3350)=1,1,0))</f>
        <v/>
      </c>
      <c r="AI3350" s="18" t="str">
        <f aca="false">IF($AH3350=1,SUMPRODUCT(--($AK$2:$AK$4001&lt;$AK3350))+1,"")</f>
        <v/>
      </c>
      <c r="AJ3350" s="18" t="str">
        <f aca="false">IF($D3350="","",IF(OR($R3350=TRUE(),$R3350="TRUE"),1,0))</f>
        <v/>
      </c>
      <c r="AK3350" s="18" t="str">
        <f aca="false">IF($AH3350=1,IFERROR(VALUE(MID($D3350,2,20)),1000000000)+ROW()/10000000,"")</f>
        <v/>
      </c>
    </row>
    <row r="3351" customFormat="false" ht="15" hidden="false" customHeight="false" outlineLevel="0" collapsed="false">
      <c r="F3351" s="15"/>
      <c r="N3351" s="16" t="str">
        <f aca="false">IF($D3351="","",M3351*Y3351/100)</f>
        <v/>
      </c>
      <c r="V3351" s="16" t="str">
        <f aca="false">IF($D3351="","",Y3351*AB3351/100)</f>
        <v/>
      </c>
      <c r="W3351" s="16" t="str">
        <f aca="false">IF($D3351="","",Y3351-V3351)</f>
        <v/>
      </c>
      <c r="X3351" s="16" t="str">
        <f aca="false">IF($D3351="","",W3351-N3351)</f>
        <v/>
      </c>
      <c r="AB3351" s="17" t="str">
        <f aca="false">IF($D3351="","",IF(OR($R3351=TRUE(),$R3351="TRUE"),Settings!$C$6,Settings!$C$7)*100)</f>
        <v/>
      </c>
      <c r="AH3351" s="18" t="str">
        <f aca="false">IF($D3351="","",IF(COUNTIF($D$2:$D3351,$D3351)=1,1,0))</f>
        <v/>
      </c>
      <c r="AI3351" s="18" t="str">
        <f aca="false">IF($AH3351=1,SUMPRODUCT(--($AK$2:$AK$4001&lt;$AK3351))+1,"")</f>
        <v/>
      </c>
      <c r="AJ3351" s="18" t="str">
        <f aca="false">IF($D3351="","",IF(OR($R3351=TRUE(),$R3351="TRUE"),1,0))</f>
        <v/>
      </c>
      <c r="AK3351" s="18" t="str">
        <f aca="false">IF($AH3351=1,IFERROR(VALUE(MID($D3351,2,20)),1000000000)+ROW()/10000000,"")</f>
        <v/>
      </c>
    </row>
    <row r="3352" customFormat="false" ht="15" hidden="false" customHeight="false" outlineLevel="0" collapsed="false">
      <c r="F3352" s="15"/>
      <c r="N3352" s="16" t="str">
        <f aca="false">IF($D3352="","",M3352*Y3352/100)</f>
        <v/>
      </c>
      <c r="V3352" s="16" t="str">
        <f aca="false">IF($D3352="","",Y3352*AB3352/100)</f>
        <v/>
      </c>
      <c r="W3352" s="16" t="str">
        <f aca="false">IF($D3352="","",Y3352-V3352)</f>
        <v/>
      </c>
      <c r="X3352" s="16" t="str">
        <f aca="false">IF($D3352="","",W3352-N3352)</f>
        <v/>
      </c>
      <c r="AB3352" s="17" t="str">
        <f aca="false">IF($D3352="","",IF(OR($R3352=TRUE(),$R3352="TRUE"),Settings!$C$6,Settings!$C$7)*100)</f>
        <v/>
      </c>
      <c r="AH3352" s="18" t="str">
        <f aca="false">IF($D3352="","",IF(COUNTIF($D$2:$D3352,$D3352)=1,1,0))</f>
        <v/>
      </c>
      <c r="AI3352" s="18" t="str">
        <f aca="false">IF($AH3352=1,SUMPRODUCT(--($AK$2:$AK$4001&lt;$AK3352))+1,"")</f>
        <v/>
      </c>
      <c r="AJ3352" s="18" t="str">
        <f aca="false">IF($D3352="","",IF(OR($R3352=TRUE(),$R3352="TRUE"),1,0))</f>
        <v/>
      </c>
      <c r="AK3352" s="18" t="str">
        <f aca="false">IF($AH3352=1,IFERROR(VALUE(MID($D3352,2,20)),1000000000)+ROW()/10000000,"")</f>
        <v/>
      </c>
    </row>
    <row r="3353" customFormat="false" ht="15" hidden="false" customHeight="false" outlineLevel="0" collapsed="false">
      <c r="F3353" s="15"/>
      <c r="N3353" s="16" t="str">
        <f aca="false">IF($D3353="","",M3353*Y3353/100)</f>
        <v/>
      </c>
      <c r="V3353" s="16" t="str">
        <f aca="false">IF($D3353="","",Y3353*AB3353/100)</f>
        <v/>
      </c>
      <c r="W3353" s="16" t="str">
        <f aca="false">IF($D3353="","",Y3353-V3353)</f>
        <v/>
      </c>
      <c r="X3353" s="16" t="str">
        <f aca="false">IF($D3353="","",W3353-N3353)</f>
        <v/>
      </c>
      <c r="AB3353" s="17" t="str">
        <f aca="false">IF($D3353="","",IF(OR($R3353=TRUE(),$R3353="TRUE"),Settings!$C$6,Settings!$C$7)*100)</f>
        <v/>
      </c>
      <c r="AH3353" s="18" t="str">
        <f aca="false">IF($D3353="","",IF(COUNTIF($D$2:$D3353,$D3353)=1,1,0))</f>
        <v/>
      </c>
      <c r="AI3353" s="18" t="str">
        <f aca="false">IF($AH3353=1,SUMPRODUCT(--($AK$2:$AK$4001&lt;$AK3353))+1,"")</f>
        <v/>
      </c>
      <c r="AJ3353" s="18" t="str">
        <f aca="false">IF($D3353="","",IF(OR($R3353=TRUE(),$R3353="TRUE"),1,0))</f>
        <v/>
      </c>
      <c r="AK3353" s="18" t="str">
        <f aca="false">IF($AH3353=1,IFERROR(VALUE(MID($D3353,2,20)),1000000000)+ROW()/10000000,"")</f>
        <v/>
      </c>
    </row>
    <row r="3354" customFormat="false" ht="15" hidden="false" customHeight="false" outlineLevel="0" collapsed="false">
      <c r="F3354" s="15"/>
      <c r="N3354" s="16" t="str">
        <f aca="false">IF($D3354="","",M3354*Y3354/100)</f>
        <v/>
      </c>
      <c r="V3354" s="16" t="str">
        <f aca="false">IF($D3354="","",Y3354*AB3354/100)</f>
        <v/>
      </c>
      <c r="W3354" s="16" t="str">
        <f aca="false">IF($D3354="","",Y3354-V3354)</f>
        <v/>
      </c>
      <c r="X3354" s="16" t="str">
        <f aca="false">IF($D3354="","",W3354-N3354)</f>
        <v/>
      </c>
      <c r="AB3354" s="17" t="str">
        <f aca="false">IF($D3354="","",IF(OR($R3354=TRUE(),$R3354="TRUE"),Settings!$C$6,Settings!$C$7)*100)</f>
        <v/>
      </c>
      <c r="AH3354" s="18" t="str">
        <f aca="false">IF($D3354="","",IF(COUNTIF($D$2:$D3354,$D3354)=1,1,0))</f>
        <v/>
      </c>
      <c r="AI3354" s="18" t="str">
        <f aca="false">IF($AH3354=1,SUMPRODUCT(--($AK$2:$AK$4001&lt;$AK3354))+1,"")</f>
        <v/>
      </c>
      <c r="AJ3354" s="18" t="str">
        <f aca="false">IF($D3354="","",IF(OR($R3354=TRUE(),$R3354="TRUE"),1,0))</f>
        <v/>
      </c>
      <c r="AK3354" s="18" t="str">
        <f aca="false">IF($AH3354=1,IFERROR(VALUE(MID($D3354,2,20)),1000000000)+ROW()/10000000,"")</f>
        <v/>
      </c>
    </row>
    <row r="3355" customFormat="false" ht="15" hidden="false" customHeight="false" outlineLevel="0" collapsed="false">
      <c r="F3355" s="15"/>
      <c r="N3355" s="16" t="str">
        <f aca="false">IF($D3355="","",M3355*Y3355/100)</f>
        <v/>
      </c>
      <c r="V3355" s="16" t="str">
        <f aca="false">IF($D3355="","",Y3355*AB3355/100)</f>
        <v/>
      </c>
      <c r="W3355" s="16" t="str">
        <f aca="false">IF($D3355="","",Y3355-V3355)</f>
        <v/>
      </c>
      <c r="X3355" s="16" t="str">
        <f aca="false">IF($D3355="","",W3355-N3355)</f>
        <v/>
      </c>
      <c r="AB3355" s="17" t="str">
        <f aca="false">IF($D3355="","",IF(OR($R3355=TRUE(),$R3355="TRUE"),Settings!$C$6,Settings!$C$7)*100)</f>
        <v/>
      </c>
      <c r="AH3355" s="18" t="str">
        <f aca="false">IF($D3355="","",IF(COUNTIF($D$2:$D3355,$D3355)=1,1,0))</f>
        <v/>
      </c>
      <c r="AI3355" s="18" t="str">
        <f aca="false">IF($AH3355=1,SUMPRODUCT(--($AK$2:$AK$4001&lt;$AK3355))+1,"")</f>
        <v/>
      </c>
      <c r="AJ3355" s="18" t="str">
        <f aca="false">IF($D3355="","",IF(OR($R3355=TRUE(),$R3355="TRUE"),1,0))</f>
        <v/>
      </c>
      <c r="AK3355" s="18" t="str">
        <f aca="false">IF($AH3355=1,IFERROR(VALUE(MID($D3355,2,20)),1000000000)+ROW()/10000000,"")</f>
        <v/>
      </c>
    </row>
    <row r="3356" customFormat="false" ht="15" hidden="false" customHeight="false" outlineLevel="0" collapsed="false">
      <c r="F3356" s="15"/>
      <c r="N3356" s="16" t="str">
        <f aca="false">IF($D3356="","",M3356*Y3356/100)</f>
        <v/>
      </c>
      <c r="V3356" s="16" t="str">
        <f aca="false">IF($D3356="","",Y3356*AB3356/100)</f>
        <v/>
      </c>
      <c r="W3356" s="16" t="str">
        <f aca="false">IF($D3356="","",Y3356-V3356)</f>
        <v/>
      </c>
      <c r="X3356" s="16" t="str">
        <f aca="false">IF($D3356="","",W3356-N3356)</f>
        <v/>
      </c>
      <c r="AB3356" s="17" t="str">
        <f aca="false">IF($D3356="","",IF(OR($R3356=TRUE(),$R3356="TRUE"),Settings!$C$6,Settings!$C$7)*100)</f>
        <v/>
      </c>
      <c r="AH3356" s="18" t="str">
        <f aca="false">IF($D3356="","",IF(COUNTIF($D$2:$D3356,$D3356)=1,1,0))</f>
        <v/>
      </c>
      <c r="AI3356" s="18" t="str">
        <f aca="false">IF($AH3356=1,SUMPRODUCT(--($AK$2:$AK$4001&lt;$AK3356))+1,"")</f>
        <v/>
      </c>
      <c r="AJ3356" s="18" t="str">
        <f aca="false">IF($D3356="","",IF(OR($R3356=TRUE(),$R3356="TRUE"),1,0))</f>
        <v/>
      </c>
      <c r="AK3356" s="18" t="str">
        <f aca="false">IF($AH3356=1,IFERROR(VALUE(MID($D3356,2,20)),1000000000)+ROW()/10000000,"")</f>
        <v/>
      </c>
    </row>
    <row r="3357" customFormat="false" ht="15" hidden="false" customHeight="false" outlineLevel="0" collapsed="false">
      <c r="F3357" s="15"/>
      <c r="N3357" s="16" t="str">
        <f aca="false">IF($D3357="","",M3357*Y3357/100)</f>
        <v/>
      </c>
      <c r="V3357" s="16" t="str">
        <f aca="false">IF($D3357="","",Y3357*AB3357/100)</f>
        <v/>
      </c>
      <c r="W3357" s="16" t="str">
        <f aca="false">IF($D3357="","",Y3357-V3357)</f>
        <v/>
      </c>
      <c r="X3357" s="16" t="str">
        <f aca="false">IF($D3357="","",W3357-N3357)</f>
        <v/>
      </c>
      <c r="AB3357" s="17" t="str">
        <f aca="false">IF($D3357="","",IF(OR($R3357=TRUE(),$R3357="TRUE"),Settings!$C$6,Settings!$C$7)*100)</f>
        <v/>
      </c>
      <c r="AH3357" s="18" t="str">
        <f aca="false">IF($D3357="","",IF(COUNTIF($D$2:$D3357,$D3357)=1,1,0))</f>
        <v/>
      </c>
      <c r="AI3357" s="18" t="str">
        <f aca="false">IF($AH3357=1,SUMPRODUCT(--($AK$2:$AK$4001&lt;$AK3357))+1,"")</f>
        <v/>
      </c>
      <c r="AJ3357" s="18" t="str">
        <f aca="false">IF($D3357="","",IF(OR($R3357=TRUE(),$R3357="TRUE"),1,0))</f>
        <v/>
      </c>
      <c r="AK3357" s="18" t="str">
        <f aca="false">IF($AH3357=1,IFERROR(VALUE(MID($D3357,2,20)),1000000000)+ROW()/10000000,"")</f>
        <v/>
      </c>
    </row>
    <row r="3358" customFormat="false" ht="15" hidden="false" customHeight="false" outlineLevel="0" collapsed="false">
      <c r="F3358" s="15"/>
      <c r="N3358" s="16" t="str">
        <f aca="false">IF($D3358="","",M3358*Y3358/100)</f>
        <v/>
      </c>
      <c r="V3358" s="16" t="str">
        <f aca="false">IF($D3358="","",Y3358*AB3358/100)</f>
        <v/>
      </c>
      <c r="W3358" s="16" t="str">
        <f aca="false">IF($D3358="","",Y3358-V3358)</f>
        <v/>
      </c>
      <c r="X3358" s="16" t="str">
        <f aca="false">IF($D3358="","",W3358-N3358)</f>
        <v/>
      </c>
      <c r="AB3358" s="17" t="str">
        <f aca="false">IF($D3358="","",IF(OR($R3358=TRUE(),$R3358="TRUE"),Settings!$C$6,Settings!$C$7)*100)</f>
        <v/>
      </c>
      <c r="AH3358" s="18" t="str">
        <f aca="false">IF($D3358="","",IF(COUNTIF($D$2:$D3358,$D3358)=1,1,0))</f>
        <v/>
      </c>
      <c r="AI3358" s="18" t="str">
        <f aca="false">IF($AH3358=1,SUMPRODUCT(--($AK$2:$AK$4001&lt;$AK3358))+1,"")</f>
        <v/>
      </c>
      <c r="AJ3358" s="18" t="str">
        <f aca="false">IF($D3358="","",IF(OR($R3358=TRUE(),$R3358="TRUE"),1,0))</f>
        <v/>
      </c>
      <c r="AK3358" s="18" t="str">
        <f aca="false">IF($AH3358=1,IFERROR(VALUE(MID($D3358,2,20)),1000000000)+ROW()/10000000,"")</f>
        <v/>
      </c>
    </row>
    <row r="3359" customFormat="false" ht="15" hidden="false" customHeight="false" outlineLevel="0" collapsed="false">
      <c r="F3359" s="15"/>
      <c r="N3359" s="16" t="str">
        <f aca="false">IF($D3359="","",M3359*Y3359/100)</f>
        <v/>
      </c>
      <c r="V3359" s="16" t="str">
        <f aca="false">IF($D3359="","",Y3359*AB3359/100)</f>
        <v/>
      </c>
      <c r="W3359" s="16" t="str">
        <f aca="false">IF($D3359="","",Y3359-V3359)</f>
        <v/>
      </c>
      <c r="X3359" s="16" t="str">
        <f aca="false">IF($D3359="","",W3359-N3359)</f>
        <v/>
      </c>
      <c r="AB3359" s="17" t="str">
        <f aca="false">IF($D3359="","",IF(OR($R3359=TRUE(),$R3359="TRUE"),Settings!$C$6,Settings!$C$7)*100)</f>
        <v/>
      </c>
      <c r="AH3359" s="18" t="str">
        <f aca="false">IF($D3359="","",IF(COUNTIF($D$2:$D3359,$D3359)=1,1,0))</f>
        <v/>
      </c>
      <c r="AI3359" s="18" t="str">
        <f aca="false">IF($AH3359=1,SUMPRODUCT(--($AK$2:$AK$4001&lt;$AK3359))+1,"")</f>
        <v/>
      </c>
      <c r="AJ3359" s="18" t="str">
        <f aca="false">IF($D3359="","",IF(OR($R3359=TRUE(),$R3359="TRUE"),1,0))</f>
        <v/>
      </c>
      <c r="AK3359" s="18" t="str">
        <f aca="false">IF($AH3359=1,IFERROR(VALUE(MID($D3359,2,20)),1000000000)+ROW()/10000000,"")</f>
        <v/>
      </c>
    </row>
    <row r="3360" customFormat="false" ht="15" hidden="false" customHeight="false" outlineLevel="0" collapsed="false">
      <c r="F3360" s="15"/>
      <c r="N3360" s="16" t="str">
        <f aca="false">IF($D3360="","",M3360*Y3360/100)</f>
        <v/>
      </c>
      <c r="V3360" s="16" t="str">
        <f aca="false">IF($D3360="","",Y3360*AB3360/100)</f>
        <v/>
      </c>
      <c r="W3360" s="16" t="str">
        <f aca="false">IF($D3360="","",Y3360-V3360)</f>
        <v/>
      </c>
      <c r="X3360" s="16" t="str">
        <f aca="false">IF($D3360="","",W3360-N3360)</f>
        <v/>
      </c>
      <c r="AB3360" s="17" t="str">
        <f aca="false">IF($D3360="","",IF(OR($R3360=TRUE(),$R3360="TRUE"),Settings!$C$6,Settings!$C$7)*100)</f>
        <v/>
      </c>
      <c r="AH3360" s="18" t="str">
        <f aca="false">IF($D3360="","",IF(COUNTIF($D$2:$D3360,$D3360)=1,1,0))</f>
        <v/>
      </c>
      <c r="AI3360" s="18" t="str">
        <f aca="false">IF($AH3360=1,SUMPRODUCT(--($AK$2:$AK$4001&lt;$AK3360))+1,"")</f>
        <v/>
      </c>
      <c r="AJ3360" s="18" t="str">
        <f aca="false">IF($D3360="","",IF(OR($R3360=TRUE(),$R3360="TRUE"),1,0))</f>
        <v/>
      </c>
      <c r="AK3360" s="18" t="str">
        <f aca="false">IF($AH3360=1,IFERROR(VALUE(MID($D3360,2,20)),1000000000)+ROW()/10000000,"")</f>
        <v/>
      </c>
    </row>
    <row r="3361" customFormat="false" ht="15" hidden="false" customHeight="false" outlineLevel="0" collapsed="false">
      <c r="F3361" s="15"/>
      <c r="N3361" s="16" t="str">
        <f aca="false">IF($D3361="","",M3361*Y3361/100)</f>
        <v/>
      </c>
      <c r="V3361" s="16" t="str">
        <f aca="false">IF($D3361="","",Y3361*AB3361/100)</f>
        <v/>
      </c>
      <c r="W3361" s="16" t="str">
        <f aca="false">IF($D3361="","",Y3361-V3361)</f>
        <v/>
      </c>
      <c r="X3361" s="16" t="str">
        <f aca="false">IF($D3361="","",W3361-N3361)</f>
        <v/>
      </c>
      <c r="AB3361" s="17" t="str">
        <f aca="false">IF($D3361="","",IF(OR($R3361=TRUE(),$R3361="TRUE"),Settings!$C$6,Settings!$C$7)*100)</f>
        <v/>
      </c>
      <c r="AH3361" s="18" t="str">
        <f aca="false">IF($D3361="","",IF(COUNTIF($D$2:$D3361,$D3361)=1,1,0))</f>
        <v/>
      </c>
      <c r="AI3361" s="18" t="str">
        <f aca="false">IF($AH3361=1,SUMPRODUCT(--($AK$2:$AK$4001&lt;$AK3361))+1,"")</f>
        <v/>
      </c>
      <c r="AJ3361" s="18" t="str">
        <f aca="false">IF($D3361="","",IF(OR($R3361=TRUE(),$R3361="TRUE"),1,0))</f>
        <v/>
      </c>
      <c r="AK3361" s="18" t="str">
        <f aca="false">IF($AH3361=1,IFERROR(VALUE(MID($D3361,2,20)),1000000000)+ROW()/10000000,"")</f>
        <v/>
      </c>
    </row>
    <row r="3362" customFormat="false" ht="15" hidden="false" customHeight="false" outlineLevel="0" collapsed="false">
      <c r="F3362" s="15"/>
      <c r="N3362" s="16" t="str">
        <f aca="false">IF($D3362="","",M3362*Y3362/100)</f>
        <v/>
      </c>
      <c r="V3362" s="16" t="str">
        <f aca="false">IF($D3362="","",Y3362*AB3362/100)</f>
        <v/>
      </c>
      <c r="W3362" s="16" t="str">
        <f aca="false">IF($D3362="","",Y3362-V3362)</f>
        <v/>
      </c>
      <c r="X3362" s="16" t="str">
        <f aca="false">IF($D3362="","",W3362-N3362)</f>
        <v/>
      </c>
      <c r="AB3362" s="17" t="str">
        <f aca="false">IF($D3362="","",IF(OR($R3362=TRUE(),$R3362="TRUE"),Settings!$C$6,Settings!$C$7)*100)</f>
        <v/>
      </c>
      <c r="AH3362" s="18" t="str">
        <f aca="false">IF($D3362="","",IF(COUNTIF($D$2:$D3362,$D3362)=1,1,0))</f>
        <v/>
      </c>
      <c r="AI3362" s="18" t="str">
        <f aca="false">IF($AH3362=1,SUMPRODUCT(--($AK$2:$AK$4001&lt;$AK3362))+1,"")</f>
        <v/>
      </c>
      <c r="AJ3362" s="18" t="str">
        <f aca="false">IF($D3362="","",IF(OR($R3362=TRUE(),$R3362="TRUE"),1,0))</f>
        <v/>
      </c>
      <c r="AK3362" s="18" t="str">
        <f aca="false">IF($AH3362=1,IFERROR(VALUE(MID($D3362,2,20)),1000000000)+ROW()/10000000,"")</f>
        <v/>
      </c>
    </row>
    <row r="3363" customFormat="false" ht="15" hidden="false" customHeight="false" outlineLevel="0" collapsed="false">
      <c r="F3363" s="15"/>
      <c r="N3363" s="16" t="str">
        <f aca="false">IF($D3363="","",M3363*Y3363/100)</f>
        <v/>
      </c>
      <c r="V3363" s="16" t="str">
        <f aca="false">IF($D3363="","",Y3363*AB3363/100)</f>
        <v/>
      </c>
      <c r="W3363" s="16" t="str">
        <f aca="false">IF($D3363="","",Y3363-V3363)</f>
        <v/>
      </c>
      <c r="X3363" s="16" t="str">
        <f aca="false">IF($D3363="","",W3363-N3363)</f>
        <v/>
      </c>
      <c r="AB3363" s="17" t="str">
        <f aca="false">IF($D3363="","",IF(OR($R3363=TRUE(),$R3363="TRUE"),Settings!$C$6,Settings!$C$7)*100)</f>
        <v/>
      </c>
      <c r="AH3363" s="18" t="str">
        <f aca="false">IF($D3363="","",IF(COUNTIF($D$2:$D3363,$D3363)=1,1,0))</f>
        <v/>
      </c>
      <c r="AI3363" s="18" t="str">
        <f aca="false">IF($AH3363=1,SUMPRODUCT(--($AK$2:$AK$4001&lt;$AK3363))+1,"")</f>
        <v/>
      </c>
      <c r="AJ3363" s="18" t="str">
        <f aca="false">IF($D3363="","",IF(OR($R3363=TRUE(),$R3363="TRUE"),1,0))</f>
        <v/>
      </c>
      <c r="AK3363" s="18" t="str">
        <f aca="false">IF($AH3363=1,IFERROR(VALUE(MID($D3363,2,20)),1000000000)+ROW()/10000000,"")</f>
        <v/>
      </c>
    </row>
    <row r="3364" customFormat="false" ht="15" hidden="false" customHeight="false" outlineLevel="0" collapsed="false">
      <c r="F3364" s="15"/>
      <c r="N3364" s="16" t="str">
        <f aca="false">IF($D3364="","",M3364*Y3364/100)</f>
        <v/>
      </c>
      <c r="V3364" s="16" t="str">
        <f aca="false">IF($D3364="","",Y3364*AB3364/100)</f>
        <v/>
      </c>
      <c r="W3364" s="16" t="str">
        <f aca="false">IF($D3364="","",Y3364-V3364)</f>
        <v/>
      </c>
      <c r="X3364" s="16" t="str">
        <f aca="false">IF($D3364="","",W3364-N3364)</f>
        <v/>
      </c>
      <c r="AB3364" s="17" t="str">
        <f aca="false">IF($D3364="","",IF(OR($R3364=TRUE(),$R3364="TRUE"),Settings!$C$6,Settings!$C$7)*100)</f>
        <v/>
      </c>
      <c r="AH3364" s="18" t="str">
        <f aca="false">IF($D3364="","",IF(COUNTIF($D$2:$D3364,$D3364)=1,1,0))</f>
        <v/>
      </c>
      <c r="AI3364" s="18" t="str">
        <f aca="false">IF($AH3364=1,SUMPRODUCT(--($AK$2:$AK$4001&lt;$AK3364))+1,"")</f>
        <v/>
      </c>
      <c r="AJ3364" s="18" t="str">
        <f aca="false">IF($D3364="","",IF(OR($R3364=TRUE(),$R3364="TRUE"),1,0))</f>
        <v/>
      </c>
      <c r="AK3364" s="18" t="str">
        <f aca="false">IF($AH3364=1,IFERROR(VALUE(MID($D3364,2,20)),1000000000)+ROW()/10000000,"")</f>
        <v/>
      </c>
    </row>
    <row r="3365" customFormat="false" ht="15" hidden="false" customHeight="false" outlineLevel="0" collapsed="false">
      <c r="F3365" s="15"/>
      <c r="N3365" s="16" t="str">
        <f aca="false">IF($D3365="","",M3365*Y3365/100)</f>
        <v/>
      </c>
      <c r="V3365" s="16" t="str">
        <f aca="false">IF($D3365="","",Y3365*AB3365/100)</f>
        <v/>
      </c>
      <c r="W3365" s="16" t="str">
        <f aca="false">IF($D3365="","",Y3365-V3365)</f>
        <v/>
      </c>
      <c r="X3365" s="16" t="str">
        <f aca="false">IF($D3365="","",W3365-N3365)</f>
        <v/>
      </c>
      <c r="AB3365" s="17" t="str">
        <f aca="false">IF($D3365="","",IF(OR($R3365=TRUE(),$R3365="TRUE"),Settings!$C$6,Settings!$C$7)*100)</f>
        <v/>
      </c>
      <c r="AH3365" s="18" t="str">
        <f aca="false">IF($D3365="","",IF(COUNTIF($D$2:$D3365,$D3365)=1,1,0))</f>
        <v/>
      </c>
      <c r="AI3365" s="18" t="str">
        <f aca="false">IF($AH3365=1,SUMPRODUCT(--($AK$2:$AK$4001&lt;$AK3365))+1,"")</f>
        <v/>
      </c>
      <c r="AJ3365" s="18" t="str">
        <f aca="false">IF($D3365="","",IF(OR($R3365=TRUE(),$R3365="TRUE"),1,0))</f>
        <v/>
      </c>
      <c r="AK3365" s="18" t="str">
        <f aca="false">IF($AH3365=1,IFERROR(VALUE(MID($D3365,2,20)),1000000000)+ROW()/10000000,"")</f>
        <v/>
      </c>
    </row>
    <row r="3366" customFormat="false" ht="15" hidden="false" customHeight="false" outlineLevel="0" collapsed="false">
      <c r="F3366" s="15"/>
      <c r="N3366" s="16" t="str">
        <f aca="false">IF($D3366="","",M3366*Y3366/100)</f>
        <v/>
      </c>
      <c r="V3366" s="16" t="str">
        <f aca="false">IF($D3366="","",Y3366*AB3366/100)</f>
        <v/>
      </c>
      <c r="W3366" s="16" t="str">
        <f aca="false">IF($D3366="","",Y3366-V3366)</f>
        <v/>
      </c>
      <c r="X3366" s="16" t="str">
        <f aca="false">IF($D3366="","",W3366-N3366)</f>
        <v/>
      </c>
      <c r="AB3366" s="17" t="str">
        <f aca="false">IF($D3366="","",IF(OR($R3366=TRUE(),$R3366="TRUE"),Settings!$C$6,Settings!$C$7)*100)</f>
        <v/>
      </c>
      <c r="AH3366" s="18" t="str">
        <f aca="false">IF($D3366="","",IF(COUNTIF($D$2:$D3366,$D3366)=1,1,0))</f>
        <v/>
      </c>
      <c r="AI3366" s="18" t="str">
        <f aca="false">IF($AH3366=1,SUMPRODUCT(--($AK$2:$AK$4001&lt;$AK3366))+1,"")</f>
        <v/>
      </c>
      <c r="AJ3366" s="18" t="str">
        <f aca="false">IF($D3366="","",IF(OR($R3366=TRUE(),$R3366="TRUE"),1,0))</f>
        <v/>
      </c>
      <c r="AK3366" s="18" t="str">
        <f aca="false">IF($AH3366=1,IFERROR(VALUE(MID($D3366,2,20)),1000000000)+ROW()/10000000,"")</f>
        <v/>
      </c>
    </row>
    <row r="3367" customFormat="false" ht="15" hidden="false" customHeight="false" outlineLevel="0" collapsed="false">
      <c r="F3367" s="15"/>
      <c r="N3367" s="16" t="str">
        <f aca="false">IF($D3367="","",M3367*Y3367/100)</f>
        <v/>
      </c>
      <c r="V3367" s="16" t="str">
        <f aca="false">IF($D3367="","",Y3367*AB3367/100)</f>
        <v/>
      </c>
      <c r="W3367" s="16" t="str">
        <f aca="false">IF($D3367="","",Y3367-V3367)</f>
        <v/>
      </c>
      <c r="X3367" s="16" t="str">
        <f aca="false">IF($D3367="","",W3367-N3367)</f>
        <v/>
      </c>
      <c r="AB3367" s="17" t="str">
        <f aca="false">IF($D3367="","",IF(OR($R3367=TRUE(),$R3367="TRUE"),Settings!$C$6,Settings!$C$7)*100)</f>
        <v/>
      </c>
      <c r="AH3367" s="18" t="str">
        <f aca="false">IF($D3367="","",IF(COUNTIF($D$2:$D3367,$D3367)=1,1,0))</f>
        <v/>
      </c>
      <c r="AI3367" s="18" t="str">
        <f aca="false">IF($AH3367=1,SUMPRODUCT(--($AK$2:$AK$4001&lt;$AK3367))+1,"")</f>
        <v/>
      </c>
      <c r="AJ3367" s="18" t="str">
        <f aca="false">IF($D3367="","",IF(OR($R3367=TRUE(),$R3367="TRUE"),1,0))</f>
        <v/>
      </c>
      <c r="AK3367" s="18" t="str">
        <f aca="false">IF($AH3367=1,IFERROR(VALUE(MID($D3367,2,20)),1000000000)+ROW()/10000000,"")</f>
        <v/>
      </c>
    </row>
    <row r="3368" customFormat="false" ht="15" hidden="false" customHeight="false" outlineLevel="0" collapsed="false">
      <c r="F3368" s="15"/>
      <c r="N3368" s="16" t="str">
        <f aca="false">IF($D3368="","",M3368*Y3368/100)</f>
        <v/>
      </c>
      <c r="V3368" s="16" t="str">
        <f aca="false">IF($D3368="","",Y3368*AB3368/100)</f>
        <v/>
      </c>
      <c r="W3368" s="16" t="str">
        <f aca="false">IF($D3368="","",Y3368-V3368)</f>
        <v/>
      </c>
      <c r="X3368" s="16" t="str">
        <f aca="false">IF($D3368="","",W3368-N3368)</f>
        <v/>
      </c>
      <c r="AB3368" s="17" t="str">
        <f aca="false">IF($D3368="","",IF(OR($R3368=TRUE(),$R3368="TRUE"),Settings!$C$6,Settings!$C$7)*100)</f>
        <v/>
      </c>
      <c r="AH3368" s="18" t="str">
        <f aca="false">IF($D3368="","",IF(COUNTIF($D$2:$D3368,$D3368)=1,1,0))</f>
        <v/>
      </c>
      <c r="AI3368" s="18" t="str">
        <f aca="false">IF($AH3368=1,SUMPRODUCT(--($AK$2:$AK$4001&lt;$AK3368))+1,"")</f>
        <v/>
      </c>
      <c r="AJ3368" s="18" t="str">
        <f aca="false">IF($D3368="","",IF(OR($R3368=TRUE(),$R3368="TRUE"),1,0))</f>
        <v/>
      </c>
      <c r="AK3368" s="18" t="str">
        <f aca="false">IF($AH3368=1,IFERROR(VALUE(MID($D3368,2,20)),1000000000)+ROW()/10000000,"")</f>
        <v/>
      </c>
    </row>
    <row r="3369" customFormat="false" ht="15" hidden="false" customHeight="false" outlineLevel="0" collapsed="false">
      <c r="F3369" s="15"/>
      <c r="N3369" s="16" t="str">
        <f aca="false">IF($D3369="","",M3369*Y3369/100)</f>
        <v/>
      </c>
      <c r="V3369" s="16" t="str">
        <f aca="false">IF($D3369="","",Y3369*AB3369/100)</f>
        <v/>
      </c>
      <c r="W3369" s="16" t="str">
        <f aca="false">IF($D3369="","",Y3369-V3369)</f>
        <v/>
      </c>
      <c r="X3369" s="16" t="str">
        <f aca="false">IF($D3369="","",W3369-N3369)</f>
        <v/>
      </c>
      <c r="AB3369" s="17" t="str">
        <f aca="false">IF($D3369="","",IF(OR($R3369=TRUE(),$R3369="TRUE"),Settings!$C$6,Settings!$C$7)*100)</f>
        <v/>
      </c>
      <c r="AH3369" s="18" t="str">
        <f aca="false">IF($D3369="","",IF(COUNTIF($D$2:$D3369,$D3369)=1,1,0))</f>
        <v/>
      </c>
      <c r="AI3369" s="18" t="str">
        <f aca="false">IF($AH3369=1,SUMPRODUCT(--($AK$2:$AK$4001&lt;$AK3369))+1,"")</f>
        <v/>
      </c>
      <c r="AJ3369" s="18" t="str">
        <f aca="false">IF($D3369="","",IF(OR($R3369=TRUE(),$R3369="TRUE"),1,0))</f>
        <v/>
      </c>
      <c r="AK3369" s="18" t="str">
        <f aca="false">IF($AH3369=1,IFERROR(VALUE(MID($D3369,2,20)),1000000000)+ROW()/10000000,"")</f>
        <v/>
      </c>
    </row>
    <row r="3370" customFormat="false" ht="15" hidden="false" customHeight="false" outlineLevel="0" collapsed="false">
      <c r="F3370" s="15"/>
      <c r="N3370" s="16" t="str">
        <f aca="false">IF($D3370="","",M3370*Y3370/100)</f>
        <v/>
      </c>
      <c r="V3370" s="16" t="str">
        <f aca="false">IF($D3370="","",Y3370*AB3370/100)</f>
        <v/>
      </c>
      <c r="W3370" s="16" t="str">
        <f aca="false">IF($D3370="","",Y3370-V3370)</f>
        <v/>
      </c>
      <c r="X3370" s="16" t="str">
        <f aca="false">IF($D3370="","",W3370-N3370)</f>
        <v/>
      </c>
      <c r="AB3370" s="17" t="str">
        <f aca="false">IF($D3370="","",IF(OR($R3370=TRUE(),$R3370="TRUE"),Settings!$C$6,Settings!$C$7)*100)</f>
        <v/>
      </c>
      <c r="AH3370" s="18" t="str">
        <f aca="false">IF($D3370="","",IF(COUNTIF($D$2:$D3370,$D3370)=1,1,0))</f>
        <v/>
      </c>
      <c r="AI3370" s="18" t="str">
        <f aca="false">IF($AH3370=1,SUMPRODUCT(--($AK$2:$AK$4001&lt;$AK3370))+1,"")</f>
        <v/>
      </c>
      <c r="AJ3370" s="18" t="str">
        <f aca="false">IF($D3370="","",IF(OR($R3370=TRUE(),$R3370="TRUE"),1,0))</f>
        <v/>
      </c>
      <c r="AK3370" s="18" t="str">
        <f aca="false">IF($AH3370=1,IFERROR(VALUE(MID($D3370,2,20)),1000000000)+ROW()/10000000,"")</f>
        <v/>
      </c>
    </row>
    <row r="3371" customFormat="false" ht="15" hidden="false" customHeight="false" outlineLevel="0" collapsed="false">
      <c r="F3371" s="15"/>
      <c r="N3371" s="16" t="str">
        <f aca="false">IF($D3371="","",M3371*Y3371/100)</f>
        <v/>
      </c>
      <c r="V3371" s="16" t="str">
        <f aca="false">IF($D3371="","",Y3371*AB3371/100)</f>
        <v/>
      </c>
      <c r="W3371" s="16" t="str">
        <f aca="false">IF($D3371="","",Y3371-V3371)</f>
        <v/>
      </c>
      <c r="X3371" s="16" t="str">
        <f aca="false">IF($D3371="","",W3371-N3371)</f>
        <v/>
      </c>
      <c r="AB3371" s="17" t="str">
        <f aca="false">IF($D3371="","",IF(OR($R3371=TRUE(),$R3371="TRUE"),Settings!$C$6,Settings!$C$7)*100)</f>
        <v/>
      </c>
      <c r="AH3371" s="18" t="str">
        <f aca="false">IF($D3371="","",IF(COUNTIF($D$2:$D3371,$D3371)=1,1,0))</f>
        <v/>
      </c>
      <c r="AI3371" s="18" t="str">
        <f aca="false">IF($AH3371=1,SUMPRODUCT(--($AK$2:$AK$4001&lt;$AK3371))+1,"")</f>
        <v/>
      </c>
      <c r="AJ3371" s="18" t="str">
        <f aca="false">IF($D3371="","",IF(OR($R3371=TRUE(),$R3371="TRUE"),1,0))</f>
        <v/>
      </c>
      <c r="AK3371" s="18" t="str">
        <f aca="false">IF($AH3371=1,IFERROR(VALUE(MID($D3371,2,20)),1000000000)+ROW()/10000000,"")</f>
        <v/>
      </c>
    </row>
    <row r="3372" customFormat="false" ht="15" hidden="false" customHeight="false" outlineLevel="0" collapsed="false">
      <c r="F3372" s="15"/>
      <c r="N3372" s="16" t="str">
        <f aca="false">IF($D3372="","",M3372*Y3372/100)</f>
        <v/>
      </c>
      <c r="V3372" s="16" t="str">
        <f aca="false">IF($D3372="","",Y3372*AB3372/100)</f>
        <v/>
      </c>
      <c r="W3372" s="16" t="str">
        <f aca="false">IF($D3372="","",Y3372-V3372)</f>
        <v/>
      </c>
      <c r="X3372" s="16" t="str">
        <f aca="false">IF($D3372="","",W3372-N3372)</f>
        <v/>
      </c>
      <c r="AB3372" s="17" t="str">
        <f aca="false">IF($D3372="","",IF(OR($R3372=TRUE(),$R3372="TRUE"),Settings!$C$6,Settings!$C$7)*100)</f>
        <v/>
      </c>
      <c r="AH3372" s="18" t="str">
        <f aca="false">IF($D3372="","",IF(COUNTIF($D$2:$D3372,$D3372)=1,1,0))</f>
        <v/>
      </c>
      <c r="AI3372" s="18" t="str">
        <f aca="false">IF($AH3372=1,SUMPRODUCT(--($AK$2:$AK$4001&lt;$AK3372))+1,"")</f>
        <v/>
      </c>
      <c r="AJ3372" s="18" t="str">
        <f aca="false">IF($D3372="","",IF(OR($R3372=TRUE(),$R3372="TRUE"),1,0))</f>
        <v/>
      </c>
      <c r="AK3372" s="18" t="str">
        <f aca="false">IF($AH3372=1,IFERROR(VALUE(MID($D3372,2,20)),1000000000)+ROW()/10000000,"")</f>
        <v/>
      </c>
    </row>
    <row r="3373" customFormat="false" ht="15" hidden="false" customHeight="false" outlineLevel="0" collapsed="false">
      <c r="F3373" s="15"/>
      <c r="N3373" s="16" t="str">
        <f aca="false">IF($D3373="","",M3373*Y3373/100)</f>
        <v/>
      </c>
      <c r="V3373" s="16" t="str">
        <f aca="false">IF($D3373="","",Y3373*AB3373/100)</f>
        <v/>
      </c>
      <c r="W3373" s="16" t="str">
        <f aca="false">IF($D3373="","",Y3373-V3373)</f>
        <v/>
      </c>
      <c r="X3373" s="16" t="str">
        <f aca="false">IF($D3373="","",W3373-N3373)</f>
        <v/>
      </c>
      <c r="AB3373" s="17" t="str">
        <f aca="false">IF($D3373="","",IF(OR($R3373=TRUE(),$R3373="TRUE"),Settings!$C$6,Settings!$C$7)*100)</f>
        <v/>
      </c>
      <c r="AH3373" s="18" t="str">
        <f aca="false">IF($D3373="","",IF(COUNTIF($D$2:$D3373,$D3373)=1,1,0))</f>
        <v/>
      </c>
      <c r="AI3373" s="18" t="str">
        <f aca="false">IF($AH3373=1,SUMPRODUCT(--($AK$2:$AK$4001&lt;$AK3373))+1,"")</f>
        <v/>
      </c>
      <c r="AJ3373" s="18" t="str">
        <f aca="false">IF($D3373="","",IF(OR($R3373=TRUE(),$R3373="TRUE"),1,0))</f>
        <v/>
      </c>
      <c r="AK3373" s="18" t="str">
        <f aca="false">IF($AH3373=1,IFERROR(VALUE(MID($D3373,2,20)),1000000000)+ROW()/10000000,"")</f>
        <v/>
      </c>
    </row>
    <row r="3374" customFormat="false" ht="15" hidden="false" customHeight="false" outlineLevel="0" collapsed="false">
      <c r="F3374" s="15"/>
      <c r="N3374" s="16" t="str">
        <f aca="false">IF($D3374="","",M3374*Y3374/100)</f>
        <v/>
      </c>
      <c r="V3374" s="16" t="str">
        <f aca="false">IF($D3374="","",Y3374*AB3374/100)</f>
        <v/>
      </c>
      <c r="W3374" s="16" t="str">
        <f aca="false">IF($D3374="","",Y3374-V3374)</f>
        <v/>
      </c>
      <c r="X3374" s="16" t="str">
        <f aca="false">IF($D3374="","",W3374-N3374)</f>
        <v/>
      </c>
      <c r="AB3374" s="17" t="str">
        <f aca="false">IF($D3374="","",IF(OR($R3374=TRUE(),$R3374="TRUE"),Settings!$C$6,Settings!$C$7)*100)</f>
        <v/>
      </c>
      <c r="AH3374" s="18" t="str">
        <f aca="false">IF($D3374="","",IF(COUNTIF($D$2:$D3374,$D3374)=1,1,0))</f>
        <v/>
      </c>
      <c r="AI3374" s="18" t="str">
        <f aca="false">IF($AH3374=1,SUMPRODUCT(--($AK$2:$AK$4001&lt;$AK3374))+1,"")</f>
        <v/>
      </c>
      <c r="AJ3374" s="18" t="str">
        <f aca="false">IF($D3374="","",IF(OR($R3374=TRUE(),$R3374="TRUE"),1,0))</f>
        <v/>
      </c>
      <c r="AK3374" s="18" t="str">
        <f aca="false">IF($AH3374=1,IFERROR(VALUE(MID($D3374,2,20)),1000000000)+ROW()/10000000,"")</f>
        <v/>
      </c>
    </row>
    <row r="3375" customFormat="false" ht="15" hidden="false" customHeight="false" outlineLevel="0" collapsed="false">
      <c r="F3375" s="15"/>
      <c r="N3375" s="16" t="str">
        <f aca="false">IF($D3375="","",M3375*Y3375/100)</f>
        <v/>
      </c>
      <c r="V3375" s="16" t="str">
        <f aca="false">IF($D3375="","",Y3375*AB3375/100)</f>
        <v/>
      </c>
      <c r="W3375" s="16" t="str">
        <f aca="false">IF($D3375="","",Y3375-V3375)</f>
        <v/>
      </c>
      <c r="X3375" s="16" t="str">
        <f aca="false">IF($D3375="","",W3375-N3375)</f>
        <v/>
      </c>
      <c r="AB3375" s="17" t="str">
        <f aca="false">IF($D3375="","",IF(OR($R3375=TRUE(),$R3375="TRUE"),Settings!$C$6,Settings!$C$7)*100)</f>
        <v/>
      </c>
      <c r="AH3375" s="18" t="str">
        <f aca="false">IF($D3375="","",IF(COUNTIF($D$2:$D3375,$D3375)=1,1,0))</f>
        <v/>
      </c>
      <c r="AI3375" s="18" t="str">
        <f aca="false">IF($AH3375=1,SUMPRODUCT(--($AK$2:$AK$4001&lt;$AK3375))+1,"")</f>
        <v/>
      </c>
      <c r="AJ3375" s="18" t="str">
        <f aca="false">IF($D3375="","",IF(OR($R3375=TRUE(),$R3375="TRUE"),1,0))</f>
        <v/>
      </c>
      <c r="AK3375" s="18" t="str">
        <f aca="false">IF($AH3375=1,IFERROR(VALUE(MID($D3375,2,20)),1000000000)+ROW()/10000000,"")</f>
        <v/>
      </c>
    </row>
    <row r="3376" customFormat="false" ht="15" hidden="false" customHeight="false" outlineLevel="0" collapsed="false">
      <c r="F3376" s="15"/>
      <c r="N3376" s="16" t="str">
        <f aca="false">IF($D3376="","",M3376*Y3376/100)</f>
        <v/>
      </c>
      <c r="V3376" s="16" t="str">
        <f aca="false">IF($D3376="","",Y3376*AB3376/100)</f>
        <v/>
      </c>
      <c r="W3376" s="16" t="str">
        <f aca="false">IF($D3376="","",Y3376-V3376)</f>
        <v/>
      </c>
      <c r="X3376" s="16" t="str">
        <f aca="false">IF($D3376="","",W3376-N3376)</f>
        <v/>
      </c>
      <c r="AB3376" s="17" t="str">
        <f aca="false">IF($D3376="","",IF(OR($R3376=TRUE(),$R3376="TRUE"),Settings!$C$6,Settings!$C$7)*100)</f>
        <v/>
      </c>
      <c r="AH3376" s="18" t="str">
        <f aca="false">IF($D3376="","",IF(COUNTIF($D$2:$D3376,$D3376)=1,1,0))</f>
        <v/>
      </c>
      <c r="AI3376" s="18" t="str">
        <f aca="false">IF($AH3376=1,SUMPRODUCT(--($AK$2:$AK$4001&lt;$AK3376))+1,"")</f>
        <v/>
      </c>
      <c r="AJ3376" s="18" t="str">
        <f aca="false">IF($D3376="","",IF(OR($R3376=TRUE(),$R3376="TRUE"),1,0))</f>
        <v/>
      </c>
      <c r="AK3376" s="18" t="str">
        <f aca="false">IF($AH3376=1,IFERROR(VALUE(MID($D3376,2,20)),1000000000)+ROW()/10000000,"")</f>
        <v/>
      </c>
    </row>
    <row r="3377" customFormat="false" ht="15" hidden="false" customHeight="false" outlineLevel="0" collapsed="false">
      <c r="F3377" s="15"/>
      <c r="N3377" s="16" t="str">
        <f aca="false">IF($D3377="","",M3377*Y3377/100)</f>
        <v/>
      </c>
      <c r="V3377" s="16" t="str">
        <f aca="false">IF($D3377="","",Y3377*AB3377/100)</f>
        <v/>
      </c>
      <c r="W3377" s="16" t="str">
        <f aca="false">IF($D3377="","",Y3377-V3377)</f>
        <v/>
      </c>
      <c r="X3377" s="16" t="str">
        <f aca="false">IF($D3377="","",W3377-N3377)</f>
        <v/>
      </c>
      <c r="AB3377" s="17" t="str">
        <f aca="false">IF($D3377="","",IF(OR($R3377=TRUE(),$R3377="TRUE"),Settings!$C$6,Settings!$C$7)*100)</f>
        <v/>
      </c>
      <c r="AH3377" s="18" t="str">
        <f aca="false">IF($D3377="","",IF(COUNTIF($D$2:$D3377,$D3377)=1,1,0))</f>
        <v/>
      </c>
      <c r="AI3377" s="18" t="str">
        <f aca="false">IF($AH3377=1,SUMPRODUCT(--($AK$2:$AK$4001&lt;$AK3377))+1,"")</f>
        <v/>
      </c>
      <c r="AJ3377" s="18" t="str">
        <f aca="false">IF($D3377="","",IF(OR($R3377=TRUE(),$R3377="TRUE"),1,0))</f>
        <v/>
      </c>
      <c r="AK3377" s="18" t="str">
        <f aca="false">IF($AH3377=1,IFERROR(VALUE(MID($D3377,2,20)),1000000000)+ROW()/10000000,"")</f>
        <v/>
      </c>
    </row>
    <row r="3378" customFormat="false" ht="15" hidden="false" customHeight="false" outlineLevel="0" collapsed="false">
      <c r="F3378" s="15"/>
      <c r="N3378" s="16" t="str">
        <f aca="false">IF($D3378="","",M3378*Y3378/100)</f>
        <v/>
      </c>
      <c r="V3378" s="16" t="str">
        <f aca="false">IF($D3378="","",Y3378*AB3378/100)</f>
        <v/>
      </c>
      <c r="W3378" s="16" t="str">
        <f aca="false">IF($D3378="","",Y3378-V3378)</f>
        <v/>
      </c>
      <c r="X3378" s="16" t="str">
        <f aca="false">IF($D3378="","",W3378-N3378)</f>
        <v/>
      </c>
      <c r="AB3378" s="17" t="str">
        <f aca="false">IF($D3378="","",IF(OR($R3378=TRUE(),$R3378="TRUE"),Settings!$C$6,Settings!$C$7)*100)</f>
        <v/>
      </c>
      <c r="AH3378" s="18" t="str">
        <f aca="false">IF($D3378="","",IF(COUNTIF($D$2:$D3378,$D3378)=1,1,0))</f>
        <v/>
      </c>
      <c r="AI3378" s="18" t="str">
        <f aca="false">IF($AH3378=1,SUMPRODUCT(--($AK$2:$AK$4001&lt;$AK3378))+1,"")</f>
        <v/>
      </c>
      <c r="AJ3378" s="18" t="str">
        <f aca="false">IF($D3378="","",IF(OR($R3378=TRUE(),$R3378="TRUE"),1,0))</f>
        <v/>
      </c>
      <c r="AK3378" s="18" t="str">
        <f aca="false">IF($AH3378=1,IFERROR(VALUE(MID($D3378,2,20)),1000000000)+ROW()/10000000,"")</f>
        <v/>
      </c>
    </row>
    <row r="3379" customFormat="false" ht="15" hidden="false" customHeight="false" outlineLevel="0" collapsed="false">
      <c r="F3379" s="15"/>
      <c r="N3379" s="16" t="str">
        <f aca="false">IF($D3379="","",M3379*Y3379/100)</f>
        <v/>
      </c>
      <c r="V3379" s="16" t="str">
        <f aca="false">IF($D3379="","",Y3379*AB3379/100)</f>
        <v/>
      </c>
      <c r="W3379" s="16" t="str">
        <f aca="false">IF($D3379="","",Y3379-V3379)</f>
        <v/>
      </c>
      <c r="X3379" s="16" t="str">
        <f aca="false">IF($D3379="","",W3379-N3379)</f>
        <v/>
      </c>
      <c r="AB3379" s="17" t="str">
        <f aca="false">IF($D3379="","",IF(OR($R3379=TRUE(),$R3379="TRUE"),Settings!$C$6,Settings!$C$7)*100)</f>
        <v/>
      </c>
      <c r="AH3379" s="18" t="str">
        <f aca="false">IF($D3379="","",IF(COUNTIF($D$2:$D3379,$D3379)=1,1,0))</f>
        <v/>
      </c>
      <c r="AI3379" s="18" t="str">
        <f aca="false">IF($AH3379=1,SUMPRODUCT(--($AK$2:$AK$4001&lt;$AK3379))+1,"")</f>
        <v/>
      </c>
      <c r="AJ3379" s="18" t="str">
        <f aca="false">IF($D3379="","",IF(OR($R3379=TRUE(),$R3379="TRUE"),1,0))</f>
        <v/>
      </c>
      <c r="AK3379" s="18" t="str">
        <f aca="false">IF($AH3379=1,IFERROR(VALUE(MID($D3379,2,20)),1000000000)+ROW()/10000000,"")</f>
        <v/>
      </c>
    </row>
    <row r="3380" customFormat="false" ht="15" hidden="false" customHeight="false" outlineLevel="0" collapsed="false">
      <c r="F3380" s="15"/>
      <c r="N3380" s="16" t="str">
        <f aca="false">IF($D3380="","",M3380*Y3380/100)</f>
        <v/>
      </c>
      <c r="V3380" s="16" t="str">
        <f aca="false">IF($D3380="","",Y3380*AB3380/100)</f>
        <v/>
      </c>
      <c r="W3380" s="16" t="str">
        <f aca="false">IF($D3380="","",Y3380-V3380)</f>
        <v/>
      </c>
      <c r="X3380" s="16" t="str">
        <f aca="false">IF($D3380="","",W3380-N3380)</f>
        <v/>
      </c>
      <c r="AB3380" s="17" t="str">
        <f aca="false">IF($D3380="","",IF(OR($R3380=TRUE(),$R3380="TRUE"),Settings!$C$6,Settings!$C$7)*100)</f>
        <v/>
      </c>
      <c r="AH3380" s="18" t="str">
        <f aca="false">IF($D3380="","",IF(COUNTIF($D$2:$D3380,$D3380)=1,1,0))</f>
        <v/>
      </c>
      <c r="AI3380" s="18" t="str">
        <f aca="false">IF($AH3380=1,SUMPRODUCT(--($AK$2:$AK$4001&lt;$AK3380))+1,"")</f>
        <v/>
      </c>
      <c r="AJ3380" s="18" t="str">
        <f aca="false">IF($D3380="","",IF(OR($R3380=TRUE(),$R3380="TRUE"),1,0))</f>
        <v/>
      </c>
      <c r="AK3380" s="18" t="str">
        <f aca="false">IF($AH3380=1,IFERROR(VALUE(MID($D3380,2,20)),1000000000)+ROW()/10000000,"")</f>
        <v/>
      </c>
    </row>
    <row r="3381" customFormat="false" ht="15" hidden="false" customHeight="false" outlineLevel="0" collapsed="false">
      <c r="F3381" s="15"/>
      <c r="N3381" s="16" t="str">
        <f aca="false">IF($D3381="","",M3381*Y3381/100)</f>
        <v/>
      </c>
      <c r="V3381" s="16" t="str">
        <f aca="false">IF($D3381="","",Y3381*AB3381/100)</f>
        <v/>
      </c>
      <c r="W3381" s="16" t="str">
        <f aca="false">IF($D3381="","",Y3381-V3381)</f>
        <v/>
      </c>
      <c r="X3381" s="16" t="str">
        <f aca="false">IF($D3381="","",W3381-N3381)</f>
        <v/>
      </c>
      <c r="AB3381" s="17" t="str">
        <f aca="false">IF($D3381="","",IF(OR($R3381=TRUE(),$R3381="TRUE"),Settings!$C$6,Settings!$C$7)*100)</f>
        <v/>
      </c>
      <c r="AH3381" s="18" t="str">
        <f aca="false">IF($D3381="","",IF(COUNTIF($D$2:$D3381,$D3381)=1,1,0))</f>
        <v/>
      </c>
      <c r="AI3381" s="18" t="str">
        <f aca="false">IF($AH3381=1,SUMPRODUCT(--($AK$2:$AK$4001&lt;$AK3381))+1,"")</f>
        <v/>
      </c>
      <c r="AJ3381" s="18" t="str">
        <f aca="false">IF($D3381="","",IF(OR($R3381=TRUE(),$R3381="TRUE"),1,0))</f>
        <v/>
      </c>
      <c r="AK3381" s="18" t="str">
        <f aca="false">IF($AH3381=1,IFERROR(VALUE(MID($D3381,2,20)),1000000000)+ROW()/10000000,"")</f>
        <v/>
      </c>
    </row>
    <row r="3382" customFormat="false" ht="15" hidden="false" customHeight="false" outlineLevel="0" collapsed="false">
      <c r="F3382" s="15"/>
      <c r="N3382" s="16" t="str">
        <f aca="false">IF($D3382="","",M3382*Y3382/100)</f>
        <v/>
      </c>
      <c r="V3382" s="16" t="str">
        <f aca="false">IF($D3382="","",Y3382*AB3382/100)</f>
        <v/>
      </c>
      <c r="W3382" s="16" t="str">
        <f aca="false">IF($D3382="","",Y3382-V3382)</f>
        <v/>
      </c>
      <c r="X3382" s="16" t="str">
        <f aca="false">IF($D3382="","",W3382-N3382)</f>
        <v/>
      </c>
      <c r="AB3382" s="17" t="str">
        <f aca="false">IF($D3382="","",IF(OR($R3382=TRUE(),$R3382="TRUE"),Settings!$C$6,Settings!$C$7)*100)</f>
        <v/>
      </c>
      <c r="AH3382" s="18" t="str">
        <f aca="false">IF($D3382="","",IF(COUNTIF($D$2:$D3382,$D3382)=1,1,0))</f>
        <v/>
      </c>
      <c r="AI3382" s="18" t="str">
        <f aca="false">IF($AH3382=1,SUMPRODUCT(--($AK$2:$AK$4001&lt;$AK3382))+1,"")</f>
        <v/>
      </c>
      <c r="AJ3382" s="18" t="str">
        <f aca="false">IF($D3382="","",IF(OR($R3382=TRUE(),$R3382="TRUE"),1,0))</f>
        <v/>
      </c>
      <c r="AK3382" s="18" t="str">
        <f aca="false">IF($AH3382=1,IFERROR(VALUE(MID($D3382,2,20)),1000000000)+ROW()/10000000,"")</f>
        <v/>
      </c>
    </row>
    <row r="3383" customFormat="false" ht="15" hidden="false" customHeight="false" outlineLevel="0" collapsed="false">
      <c r="F3383" s="15"/>
      <c r="N3383" s="16" t="str">
        <f aca="false">IF($D3383="","",M3383*Y3383/100)</f>
        <v/>
      </c>
      <c r="V3383" s="16" t="str">
        <f aca="false">IF($D3383="","",Y3383*AB3383/100)</f>
        <v/>
      </c>
      <c r="W3383" s="16" t="str">
        <f aca="false">IF($D3383="","",Y3383-V3383)</f>
        <v/>
      </c>
      <c r="X3383" s="16" t="str">
        <f aca="false">IF($D3383="","",W3383-N3383)</f>
        <v/>
      </c>
      <c r="AB3383" s="17" t="str">
        <f aca="false">IF($D3383="","",IF(OR($R3383=TRUE(),$R3383="TRUE"),Settings!$C$6,Settings!$C$7)*100)</f>
        <v/>
      </c>
      <c r="AH3383" s="18" t="str">
        <f aca="false">IF($D3383="","",IF(COUNTIF($D$2:$D3383,$D3383)=1,1,0))</f>
        <v/>
      </c>
      <c r="AI3383" s="18" t="str">
        <f aca="false">IF($AH3383=1,SUMPRODUCT(--($AK$2:$AK$4001&lt;$AK3383))+1,"")</f>
        <v/>
      </c>
      <c r="AJ3383" s="18" t="str">
        <f aca="false">IF($D3383="","",IF(OR($R3383=TRUE(),$R3383="TRUE"),1,0))</f>
        <v/>
      </c>
      <c r="AK3383" s="18" t="str">
        <f aca="false">IF($AH3383=1,IFERROR(VALUE(MID($D3383,2,20)),1000000000)+ROW()/10000000,"")</f>
        <v/>
      </c>
    </row>
    <row r="3384" customFormat="false" ht="15" hidden="false" customHeight="false" outlineLevel="0" collapsed="false">
      <c r="F3384" s="15"/>
      <c r="N3384" s="16" t="str">
        <f aca="false">IF($D3384="","",M3384*Y3384/100)</f>
        <v/>
      </c>
      <c r="V3384" s="16" t="str">
        <f aca="false">IF($D3384="","",Y3384*AB3384/100)</f>
        <v/>
      </c>
      <c r="W3384" s="16" t="str">
        <f aca="false">IF($D3384="","",Y3384-V3384)</f>
        <v/>
      </c>
      <c r="X3384" s="16" t="str">
        <f aca="false">IF($D3384="","",W3384-N3384)</f>
        <v/>
      </c>
      <c r="AB3384" s="17" t="str">
        <f aca="false">IF($D3384="","",IF(OR($R3384=TRUE(),$R3384="TRUE"),Settings!$C$6,Settings!$C$7)*100)</f>
        <v/>
      </c>
      <c r="AH3384" s="18" t="str">
        <f aca="false">IF($D3384="","",IF(COUNTIF($D$2:$D3384,$D3384)=1,1,0))</f>
        <v/>
      </c>
      <c r="AI3384" s="18" t="str">
        <f aca="false">IF($AH3384=1,SUMPRODUCT(--($AK$2:$AK$4001&lt;$AK3384))+1,"")</f>
        <v/>
      </c>
      <c r="AJ3384" s="18" t="str">
        <f aca="false">IF($D3384="","",IF(OR($R3384=TRUE(),$R3384="TRUE"),1,0))</f>
        <v/>
      </c>
      <c r="AK3384" s="18" t="str">
        <f aca="false">IF($AH3384=1,IFERROR(VALUE(MID($D3384,2,20)),1000000000)+ROW()/10000000,"")</f>
        <v/>
      </c>
    </row>
    <row r="3385" customFormat="false" ht="15" hidden="false" customHeight="false" outlineLevel="0" collapsed="false">
      <c r="F3385" s="15"/>
      <c r="N3385" s="16" t="str">
        <f aca="false">IF($D3385="","",M3385*Y3385/100)</f>
        <v/>
      </c>
      <c r="V3385" s="16" t="str">
        <f aca="false">IF($D3385="","",Y3385*AB3385/100)</f>
        <v/>
      </c>
      <c r="W3385" s="16" t="str">
        <f aca="false">IF($D3385="","",Y3385-V3385)</f>
        <v/>
      </c>
      <c r="X3385" s="16" t="str">
        <f aca="false">IF($D3385="","",W3385-N3385)</f>
        <v/>
      </c>
      <c r="AB3385" s="17" t="str">
        <f aca="false">IF($D3385="","",IF(OR($R3385=TRUE(),$R3385="TRUE"),Settings!$C$6,Settings!$C$7)*100)</f>
        <v/>
      </c>
      <c r="AH3385" s="18" t="str">
        <f aca="false">IF($D3385="","",IF(COUNTIF($D$2:$D3385,$D3385)=1,1,0))</f>
        <v/>
      </c>
      <c r="AI3385" s="18" t="str">
        <f aca="false">IF($AH3385=1,SUMPRODUCT(--($AK$2:$AK$4001&lt;$AK3385))+1,"")</f>
        <v/>
      </c>
      <c r="AJ3385" s="18" t="str">
        <f aca="false">IF($D3385="","",IF(OR($R3385=TRUE(),$R3385="TRUE"),1,0))</f>
        <v/>
      </c>
      <c r="AK3385" s="18" t="str">
        <f aca="false">IF($AH3385=1,IFERROR(VALUE(MID($D3385,2,20)),1000000000)+ROW()/10000000,"")</f>
        <v/>
      </c>
    </row>
    <row r="3386" customFormat="false" ht="15" hidden="false" customHeight="false" outlineLevel="0" collapsed="false">
      <c r="F3386" s="15"/>
      <c r="N3386" s="16" t="str">
        <f aca="false">IF($D3386="","",M3386*Y3386/100)</f>
        <v/>
      </c>
      <c r="V3386" s="16" t="str">
        <f aca="false">IF($D3386="","",Y3386*AB3386/100)</f>
        <v/>
      </c>
      <c r="W3386" s="16" t="str">
        <f aca="false">IF($D3386="","",Y3386-V3386)</f>
        <v/>
      </c>
      <c r="X3386" s="16" t="str">
        <f aca="false">IF($D3386="","",W3386-N3386)</f>
        <v/>
      </c>
      <c r="AB3386" s="17" t="str">
        <f aca="false">IF($D3386="","",IF(OR($R3386=TRUE(),$R3386="TRUE"),Settings!$C$6,Settings!$C$7)*100)</f>
        <v/>
      </c>
      <c r="AH3386" s="18" t="str">
        <f aca="false">IF($D3386="","",IF(COUNTIF($D$2:$D3386,$D3386)=1,1,0))</f>
        <v/>
      </c>
      <c r="AI3386" s="18" t="str">
        <f aca="false">IF($AH3386=1,SUMPRODUCT(--($AK$2:$AK$4001&lt;$AK3386))+1,"")</f>
        <v/>
      </c>
      <c r="AJ3386" s="18" t="str">
        <f aca="false">IF($D3386="","",IF(OR($R3386=TRUE(),$R3386="TRUE"),1,0))</f>
        <v/>
      </c>
      <c r="AK3386" s="18" t="str">
        <f aca="false">IF($AH3386=1,IFERROR(VALUE(MID($D3386,2,20)),1000000000)+ROW()/10000000,"")</f>
        <v/>
      </c>
    </row>
    <row r="3387" customFormat="false" ht="15" hidden="false" customHeight="false" outlineLevel="0" collapsed="false">
      <c r="F3387" s="15"/>
      <c r="N3387" s="16" t="str">
        <f aca="false">IF($D3387="","",M3387*Y3387/100)</f>
        <v/>
      </c>
      <c r="V3387" s="16" t="str">
        <f aca="false">IF($D3387="","",Y3387*AB3387/100)</f>
        <v/>
      </c>
      <c r="W3387" s="16" t="str">
        <f aca="false">IF($D3387="","",Y3387-V3387)</f>
        <v/>
      </c>
      <c r="X3387" s="16" t="str">
        <f aca="false">IF($D3387="","",W3387-N3387)</f>
        <v/>
      </c>
      <c r="AB3387" s="17" t="str">
        <f aca="false">IF($D3387="","",IF(OR($R3387=TRUE(),$R3387="TRUE"),Settings!$C$6,Settings!$C$7)*100)</f>
        <v/>
      </c>
      <c r="AH3387" s="18" t="str">
        <f aca="false">IF($D3387="","",IF(COUNTIF($D$2:$D3387,$D3387)=1,1,0))</f>
        <v/>
      </c>
      <c r="AI3387" s="18" t="str">
        <f aca="false">IF($AH3387=1,SUMPRODUCT(--($AK$2:$AK$4001&lt;$AK3387))+1,"")</f>
        <v/>
      </c>
      <c r="AJ3387" s="18" t="str">
        <f aca="false">IF($D3387="","",IF(OR($R3387=TRUE(),$R3387="TRUE"),1,0))</f>
        <v/>
      </c>
      <c r="AK3387" s="18" t="str">
        <f aca="false">IF($AH3387=1,IFERROR(VALUE(MID($D3387,2,20)),1000000000)+ROW()/10000000,"")</f>
        <v/>
      </c>
    </row>
    <row r="3388" customFormat="false" ht="15" hidden="false" customHeight="false" outlineLevel="0" collapsed="false">
      <c r="F3388" s="15"/>
      <c r="N3388" s="16" t="str">
        <f aca="false">IF($D3388="","",M3388*Y3388/100)</f>
        <v/>
      </c>
      <c r="V3388" s="16" t="str">
        <f aca="false">IF($D3388="","",Y3388*AB3388/100)</f>
        <v/>
      </c>
      <c r="W3388" s="16" t="str">
        <f aca="false">IF($D3388="","",Y3388-V3388)</f>
        <v/>
      </c>
      <c r="X3388" s="16" t="str">
        <f aca="false">IF($D3388="","",W3388-N3388)</f>
        <v/>
      </c>
      <c r="AB3388" s="17" t="str">
        <f aca="false">IF($D3388="","",IF(OR($R3388=TRUE(),$R3388="TRUE"),Settings!$C$6,Settings!$C$7)*100)</f>
        <v/>
      </c>
      <c r="AH3388" s="18" t="str">
        <f aca="false">IF($D3388="","",IF(COUNTIF($D$2:$D3388,$D3388)=1,1,0))</f>
        <v/>
      </c>
      <c r="AI3388" s="18" t="str">
        <f aca="false">IF($AH3388=1,SUMPRODUCT(--($AK$2:$AK$4001&lt;$AK3388))+1,"")</f>
        <v/>
      </c>
      <c r="AJ3388" s="18" t="str">
        <f aca="false">IF($D3388="","",IF(OR($R3388=TRUE(),$R3388="TRUE"),1,0))</f>
        <v/>
      </c>
      <c r="AK3388" s="18" t="str">
        <f aca="false">IF($AH3388=1,IFERROR(VALUE(MID($D3388,2,20)),1000000000)+ROW()/10000000,"")</f>
        <v/>
      </c>
    </row>
    <row r="3389" customFormat="false" ht="15" hidden="false" customHeight="false" outlineLevel="0" collapsed="false">
      <c r="F3389" s="15"/>
      <c r="N3389" s="16" t="str">
        <f aca="false">IF($D3389="","",M3389*Y3389/100)</f>
        <v/>
      </c>
      <c r="V3389" s="16" t="str">
        <f aca="false">IF($D3389="","",Y3389*AB3389/100)</f>
        <v/>
      </c>
      <c r="W3389" s="16" t="str">
        <f aca="false">IF($D3389="","",Y3389-V3389)</f>
        <v/>
      </c>
      <c r="X3389" s="16" t="str">
        <f aca="false">IF($D3389="","",W3389-N3389)</f>
        <v/>
      </c>
      <c r="AB3389" s="17" t="str">
        <f aca="false">IF($D3389="","",IF(OR($R3389=TRUE(),$R3389="TRUE"),Settings!$C$6,Settings!$C$7)*100)</f>
        <v/>
      </c>
      <c r="AH3389" s="18" t="str">
        <f aca="false">IF($D3389="","",IF(COUNTIF($D$2:$D3389,$D3389)=1,1,0))</f>
        <v/>
      </c>
      <c r="AI3389" s="18" t="str">
        <f aca="false">IF($AH3389=1,SUMPRODUCT(--($AK$2:$AK$4001&lt;$AK3389))+1,"")</f>
        <v/>
      </c>
      <c r="AJ3389" s="18" t="str">
        <f aca="false">IF($D3389="","",IF(OR($R3389=TRUE(),$R3389="TRUE"),1,0))</f>
        <v/>
      </c>
      <c r="AK3389" s="18" t="str">
        <f aca="false">IF($AH3389=1,IFERROR(VALUE(MID($D3389,2,20)),1000000000)+ROW()/10000000,"")</f>
        <v/>
      </c>
    </row>
    <row r="3390" customFormat="false" ht="15" hidden="false" customHeight="false" outlineLevel="0" collapsed="false">
      <c r="F3390" s="15"/>
      <c r="N3390" s="16" t="str">
        <f aca="false">IF($D3390="","",M3390*Y3390/100)</f>
        <v/>
      </c>
      <c r="V3390" s="16" t="str">
        <f aca="false">IF($D3390="","",Y3390*AB3390/100)</f>
        <v/>
      </c>
      <c r="W3390" s="16" t="str">
        <f aca="false">IF($D3390="","",Y3390-V3390)</f>
        <v/>
      </c>
      <c r="X3390" s="16" t="str">
        <f aca="false">IF($D3390="","",W3390-N3390)</f>
        <v/>
      </c>
      <c r="AB3390" s="17" t="str">
        <f aca="false">IF($D3390="","",IF(OR($R3390=TRUE(),$R3390="TRUE"),Settings!$C$6,Settings!$C$7)*100)</f>
        <v/>
      </c>
      <c r="AH3390" s="18" t="str">
        <f aca="false">IF($D3390="","",IF(COUNTIF($D$2:$D3390,$D3390)=1,1,0))</f>
        <v/>
      </c>
      <c r="AI3390" s="18" t="str">
        <f aca="false">IF($AH3390=1,SUMPRODUCT(--($AK$2:$AK$4001&lt;$AK3390))+1,"")</f>
        <v/>
      </c>
      <c r="AJ3390" s="18" t="str">
        <f aca="false">IF($D3390="","",IF(OR($R3390=TRUE(),$R3390="TRUE"),1,0))</f>
        <v/>
      </c>
      <c r="AK3390" s="18" t="str">
        <f aca="false">IF($AH3390=1,IFERROR(VALUE(MID($D3390,2,20)),1000000000)+ROW()/10000000,"")</f>
        <v/>
      </c>
    </row>
    <row r="3391" customFormat="false" ht="15" hidden="false" customHeight="false" outlineLevel="0" collapsed="false">
      <c r="F3391" s="15"/>
      <c r="N3391" s="16" t="str">
        <f aca="false">IF($D3391="","",M3391*Y3391/100)</f>
        <v/>
      </c>
      <c r="V3391" s="16" t="str">
        <f aca="false">IF($D3391="","",Y3391*AB3391/100)</f>
        <v/>
      </c>
      <c r="W3391" s="16" t="str">
        <f aca="false">IF($D3391="","",Y3391-V3391)</f>
        <v/>
      </c>
      <c r="X3391" s="16" t="str">
        <f aca="false">IF($D3391="","",W3391-N3391)</f>
        <v/>
      </c>
      <c r="AB3391" s="17" t="str">
        <f aca="false">IF($D3391="","",IF(OR($R3391=TRUE(),$R3391="TRUE"),Settings!$C$6,Settings!$C$7)*100)</f>
        <v/>
      </c>
      <c r="AH3391" s="18" t="str">
        <f aca="false">IF($D3391="","",IF(COUNTIF($D$2:$D3391,$D3391)=1,1,0))</f>
        <v/>
      </c>
      <c r="AI3391" s="18" t="str">
        <f aca="false">IF($AH3391=1,SUMPRODUCT(--($AK$2:$AK$4001&lt;$AK3391))+1,"")</f>
        <v/>
      </c>
      <c r="AJ3391" s="18" t="str">
        <f aca="false">IF($D3391="","",IF(OR($R3391=TRUE(),$R3391="TRUE"),1,0))</f>
        <v/>
      </c>
      <c r="AK3391" s="18" t="str">
        <f aca="false">IF($AH3391=1,IFERROR(VALUE(MID($D3391,2,20)),1000000000)+ROW()/10000000,"")</f>
        <v/>
      </c>
    </row>
    <row r="3392" customFormat="false" ht="15" hidden="false" customHeight="false" outlineLevel="0" collapsed="false">
      <c r="F3392" s="15"/>
      <c r="N3392" s="16" t="str">
        <f aca="false">IF($D3392="","",M3392*Y3392/100)</f>
        <v/>
      </c>
      <c r="V3392" s="16" t="str">
        <f aca="false">IF($D3392="","",Y3392*AB3392/100)</f>
        <v/>
      </c>
      <c r="W3392" s="16" t="str">
        <f aca="false">IF($D3392="","",Y3392-V3392)</f>
        <v/>
      </c>
      <c r="X3392" s="16" t="str">
        <f aca="false">IF($D3392="","",W3392-N3392)</f>
        <v/>
      </c>
      <c r="AB3392" s="17" t="str">
        <f aca="false">IF($D3392="","",IF(OR($R3392=TRUE(),$R3392="TRUE"),Settings!$C$6,Settings!$C$7)*100)</f>
        <v/>
      </c>
      <c r="AH3392" s="18" t="str">
        <f aca="false">IF($D3392="","",IF(COUNTIF($D$2:$D3392,$D3392)=1,1,0))</f>
        <v/>
      </c>
      <c r="AI3392" s="18" t="str">
        <f aca="false">IF($AH3392=1,SUMPRODUCT(--($AK$2:$AK$4001&lt;$AK3392))+1,"")</f>
        <v/>
      </c>
      <c r="AJ3392" s="18" t="str">
        <f aca="false">IF($D3392="","",IF(OR($R3392=TRUE(),$R3392="TRUE"),1,0))</f>
        <v/>
      </c>
      <c r="AK3392" s="18" t="str">
        <f aca="false">IF($AH3392=1,IFERROR(VALUE(MID($D3392,2,20)),1000000000)+ROW()/10000000,"")</f>
        <v/>
      </c>
    </row>
    <row r="3393" customFormat="false" ht="15" hidden="false" customHeight="false" outlineLevel="0" collapsed="false">
      <c r="F3393" s="15"/>
      <c r="N3393" s="16" t="str">
        <f aca="false">IF($D3393="","",M3393*Y3393/100)</f>
        <v/>
      </c>
      <c r="V3393" s="16" t="str">
        <f aca="false">IF($D3393="","",Y3393*AB3393/100)</f>
        <v/>
      </c>
      <c r="W3393" s="16" t="str">
        <f aca="false">IF($D3393="","",Y3393-V3393)</f>
        <v/>
      </c>
      <c r="X3393" s="16" t="str">
        <f aca="false">IF($D3393="","",W3393-N3393)</f>
        <v/>
      </c>
      <c r="AB3393" s="17" t="str">
        <f aca="false">IF($D3393="","",IF(OR($R3393=TRUE(),$R3393="TRUE"),Settings!$C$6,Settings!$C$7)*100)</f>
        <v/>
      </c>
      <c r="AH3393" s="18" t="str">
        <f aca="false">IF($D3393="","",IF(COUNTIF($D$2:$D3393,$D3393)=1,1,0))</f>
        <v/>
      </c>
      <c r="AI3393" s="18" t="str">
        <f aca="false">IF($AH3393=1,SUMPRODUCT(--($AK$2:$AK$4001&lt;$AK3393))+1,"")</f>
        <v/>
      </c>
      <c r="AJ3393" s="18" t="str">
        <f aca="false">IF($D3393="","",IF(OR($R3393=TRUE(),$R3393="TRUE"),1,0))</f>
        <v/>
      </c>
      <c r="AK3393" s="18" t="str">
        <f aca="false">IF($AH3393=1,IFERROR(VALUE(MID($D3393,2,20)),1000000000)+ROW()/10000000,"")</f>
        <v/>
      </c>
    </row>
    <row r="3394" customFormat="false" ht="15" hidden="false" customHeight="false" outlineLevel="0" collapsed="false">
      <c r="F3394" s="15"/>
      <c r="N3394" s="16" t="str">
        <f aca="false">IF($D3394="","",M3394*Y3394/100)</f>
        <v/>
      </c>
      <c r="V3394" s="16" t="str">
        <f aca="false">IF($D3394="","",Y3394*AB3394/100)</f>
        <v/>
      </c>
      <c r="W3394" s="16" t="str">
        <f aca="false">IF($D3394="","",Y3394-V3394)</f>
        <v/>
      </c>
      <c r="X3394" s="16" t="str">
        <f aca="false">IF($D3394="","",W3394-N3394)</f>
        <v/>
      </c>
      <c r="AB3394" s="17" t="str">
        <f aca="false">IF($D3394="","",IF(OR($R3394=TRUE(),$R3394="TRUE"),Settings!$C$6,Settings!$C$7)*100)</f>
        <v/>
      </c>
      <c r="AH3394" s="18" t="str">
        <f aca="false">IF($D3394="","",IF(COUNTIF($D$2:$D3394,$D3394)=1,1,0))</f>
        <v/>
      </c>
      <c r="AI3394" s="18" t="str">
        <f aca="false">IF($AH3394=1,SUMPRODUCT(--($AK$2:$AK$4001&lt;$AK3394))+1,"")</f>
        <v/>
      </c>
      <c r="AJ3394" s="18" t="str">
        <f aca="false">IF($D3394="","",IF(OR($R3394=TRUE(),$R3394="TRUE"),1,0))</f>
        <v/>
      </c>
      <c r="AK3394" s="18" t="str">
        <f aca="false">IF($AH3394=1,IFERROR(VALUE(MID($D3394,2,20)),1000000000)+ROW()/10000000,"")</f>
        <v/>
      </c>
    </row>
    <row r="3395" customFormat="false" ht="15" hidden="false" customHeight="false" outlineLevel="0" collapsed="false">
      <c r="F3395" s="15"/>
      <c r="N3395" s="16" t="str">
        <f aca="false">IF($D3395="","",M3395*Y3395/100)</f>
        <v/>
      </c>
      <c r="V3395" s="16" t="str">
        <f aca="false">IF($D3395="","",Y3395*AB3395/100)</f>
        <v/>
      </c>
      <c r="W3395" s="16" t="str">
        <f aca="false">IF($D3395="","",Y3395-V3395)</f>
        <v/>
      </c>
      <c r="X3395" s="16" t="str">
        <f aca="false">IF($D3395="","",W3395-N3395)</f>
        <v/>
      </c>
      <c r="AB3395" s="17" t="str">
        <f aca="false">IF($D3395="","",IF(OR($R3395=TRUE(),$R3395="TRUE"),Settings!$C$6,Settings!$C$7)*100)</f>
        <v/>
      </c>
      <c r="AH3395" s="18" t="str">
        <f aca="false">IF($D3395="","",IF(COUNTIF($D$2:$D3395,$D3395)=1,1,0))</f>
        <v/>
      </c>
      <c r="AI3395" s="18" t="str">
        <f aca="false">IF($AH3395=1,SUMPRODUCT(--($AK$2:$AK$4001&lt;$AK3395))+1,"")</f>
        <v/>
      </c>
      <c r="AJ3395" s="18" t="str">
        <f aca="false">IF($D3395="","",IF(OR($R3395=TRUE(),$R3395="TRUE"),1,0))</f>
        <v/>
      </c>
      <c r="AK3395" s="18" t="str">
        <f aca="false">IF($AH3395=1,IFERROR(VALUE(MID($D3395,2,20)),1000000000)+ROW()/10000000,"")</f>
        <v/>
      </c>
    </row>
    <row r="3396" customFormat="false" ht="15" hidden="false" customHeight="false" outlineLevel="0" collapsed="false">
      <c r="F3396" s="15"/>
      <c r="N3396" s="16" t="str">
        <f aca="false">IF($D3396="","",M3396*Y3396/100)</f>
        <v/>
      </c>
      <c r="V3396" s="16" t="str">
        <f aca="false">IF($D3396="","",Y3396*AB3396/100)</f>
        <v/>
      </c>
      <c r="W3396" s="16" t="str">
        <f aca="false">IF($D3396="","",Y3396-V3396)</f>
        <v/>
      </c>
      <c r="X3396" s="16" t="str">
        <f aca="false">IF($D3396="","",W3396-N3396)</f>
        <v/>
      </c>
      <c r="AB3396" s="17" t="str">
        <f aca="false">IF($D3396="","",IF(OR($R3396=TRUE(),$R3396="TRUE"),Settings!$C$6,Settings!$C$7)*100)</f>
        <v/>
      </c>
      <c r="AH3396" s="18" t="str">
        <f aca="false">IF($D3396="","",IF(COUNTIF($D$2:$D3396,$D3396)=1,1,0))</f>
        <v/>
      </c>
      <c r="AI3396" s="18" t="str">
        <f aca="false">IF($AH3396=1,SUMPRODUCT(--($AK$2:$AK$4001&lt;$AK3396))+1,"")</f>
        <v/>
      </c>
      <c r="AJ3396" s="18" t="str">
        <f aca="false">IF($D3396="","",IF(OR($R3396=TRUE(),$R3396="TRUE"),1,0))</f>
        <v/>
      </c>
      <c r="AK3396" s="18" t="str">
        <f aca="false">IF($AH3396=1,IFERROR(VALUE(MID($D3396,2,20)),1000000000)+ROW()/10000000,"")</f>
        <v/>
      </c>
    </row>
    <row r="3397" customFormat="false" ht="15" hidden="false" customHeight="false" outlineLevel="0" collapsed="false">
      <c r="F3397" s="15"/>
      <c r="N3397" s="16" t="str">
        <f aca="false">IF($D3397="","",M3397*Y3397/100)</f>
        <v/>
      </c>
      <c r="V3397" s="16" t="str">
        <f aca="false">IF($D3397="","",Y3397*AB3397/100)</f>
        <v/>
      </c>
      <c r="W3397" s="16" t="str">
        <f aca="false">IF($D3397="","",Y3397-V3397)</f>
        <v/>
      </c>
      <c r="X3397" s="16" t="str">
        <f aca="false">IF($D3397="","",W3397-N3397)</f>
        <v/>
      </c>
      <c r="AB3397" s="17" t="str">
        <f aca="false">IF($D3397="","",IF(OR($R3397=TRUE(),$R3397="TRUE"),Settings!$C$6,Settings!$C$7)*100)</f>
        <v/>
      </c>
      <c r="AH3397" s="18" t="str">
        <f aca="false">IF($D3397="","",IF(COUNTIF($D$2:$D3397,$D3397)=1,1,0))</f>
        <v/>
      </c>
      <c r="AI3397" s="18" t="str">
        <f aca="false">IF($AH3397=1,SUMPRODUCT(--($AK$2:$AK$4001&lt;$AK3397))+1,"")</f>
        <v/>
      </c>
      <c r="AJ3397" s="18" t="str">
        <f aca="false">IF($D3397="","",IF(OR($R3397=TRUE(),$R3397="TRUE"),1,0))</f>
        <v/>
      </c>
      <c r="AK3397" s="18" t="str">
        <f aca="false">IF($AH3397=1,IFERROR(VALUE(MID($D3397,2,20)),1000000000)+ROW()/10000000,"")</f>
        <v/>
      </c>
    </row>
    <row r="3398" customFormat="false" ht="15" hidden="false" customHeight="false" outlineLevel="0" collapsed="false">
      <c r="F3398" s="15"/>
      <c r="N3398" s="16" t="str">
        <f aca="false">IF($D3398="","",M3398*Y3398/100)</f>
        <v/>
      </c>
      <c r="V3398" s="16" t="str">
        <f aca="false">IF($D3398="","",Y3398*AB3398/100)</f>
        <v/>
      </c>
      <c r="W3398" s="16" t="str">
        <f aca="false">IF($D3398="","",Y3398-V3398)</f>
        <v/>
      </c>
      <c r="X3398" s="16" t="str">
        <f aca="false">IF($D3398="","",W3398-N3398)</f>
        <v/>
      </c>
      <c r="AB3398" s="17" t="str">
        <f aca="false">IF($D3398="","",IF(OR($R3398=TRUE(),$R3398="TRUE"),Settings!$C$6,Settings!$C$7)*100)</f>
        <v/>
      </c>
      <c r="AH3398" s="18" t="str">
        <f aca="false">IF($D3398="","",IF(COUNTIF($D$2:$D3398,$D3398)=1,1,0))</f>
        <v/>
      </c>
      <c r="AI3398" s="18" t="str">
        <f aca="false">IF($AH3398=1,SUMPRODUCT(--($AK$2:$AK$4001&lt;$AK3398))+1,"")</f>
        <v/>
      </c>
      <c r="AJ3398" s="18" t="str">
        <f aca="false">IF($D3398="","",IF(OR($R3398=TRUE(),$R3398="TRUE"),1,0))</f>
        <v/>
      </c>
      <c r="AK3398" s="18" t="str">
        <f aca="false">IF($AH3398=1,IFERROR(VALUE(MID($D3398,2,20)),1000000000)+ROW()/10000000,"")</f>
        <v/>
      </c>
    </row>
    <row r="3399" customFormat="false" ht="15" hidden="false" customHeight="false" outlineLevel="0" collapsed="false">
      <c r="F3399" s="15"/>
      <c r="N3399" s="16" t="str">
        <f aca="false">IF($D3399="","",M3399*Y3399/100)</f>
        <v/>
      </c>
      <c r="V3399" s="16" t="str">
        <f aca="false">IF($D3399="","",Y3399*AB3399/100)</f>
        <v/>
      </c>
      <c r="W3399" s="16" t="str">
        <f aca="false">IF($D3399="","",Y3399-V3399)</f>
        <v/>
      </c>
      <c r="X3399" s="16" t="str">
        <f aca="false">IF($D3399="","",W3399-N3399)</f>
        <v/>
      </c>
      <c r="AB3399" s="17" t="str">
        <f aca="false">IF($D3399="","",IF(OR($R3399=TRUE(),$R3399="TRUE"),Settings!$C$6,Settings!$C$7)*100)</f>
        <v/>
      </c>
      <c r="AH3399" s="18" t="str">
        <f aca="false">IF($D3399="","",IF(COUNTIF($D$2:$D3399,$D3399)=1,1,0))</f>
        <v/>
      </c>
      <c r="AI3399" s="18" t="str">
        <f aca="false">IF($AH3399=1,SUMPRODUCT(--($AK$2:$AK$4001&lt;$AK3399))+1,"")</f>
        <v/>
      </c>
      <c r="AJ3399" s="18" t="str">
        <f aca="false">IF($D3399="","",IF(OR($R3399=TRUE(),$R3399="TRUE"),1,0))</f>
        <v/>
      </c>
      <c r="AK3399" s="18" t="str">
        <f aca="false">IF($AH3399=1,IFERROR(VALUE(MID($D3399,2,20)),1000000000)+ROW()/10000000,"")</f>
        <v/>
      </c>
    </row>
    <row r="3400" customFormat="false" ht="15" hidden="false" customHeight="false" outlineLevel="0" collapsed="false">
      <c r="F3400" s="15"/>
      <c r="N3400" s="16" t="str">
        <f aca="false">IF($D3400="","",M3400*Y3400/100)</f>
        <v/>
      </c>
      <c r="V3400" s="16" t="str">
        <f aca="false">IF($D3400="","",Y3400*AB3400/100)</f>
        <v/>
      </c>
      <c r="W3400" s="16" t="str">
        <f aca="false">IF($D3400="","",Y3400-V3400)</f>
        <v/>
      </c>
      <c r="X3400" s="16" t="str">
        <f aca="false">IF($D3400="","",W3400-N3400)</f>
        <v/>
      </c>
      <c r="AB3400" s="17" t="str">
        <f aca="false">IF($D3400="","",IF(OR($R3400=TRUE(),$R3400="TRUE"),Settings!$C$6,Settings!$C$7)*100)</f>
        <v/>
      </c>
      <c r="AH3400" s="18" t="str">
        <f aca="false">IF($D3400="","",IF(COUNTIF($D$2:$D3400,$D3400)=1,1,0))</f>
        <v/>
      </c>
      <c r="AI3400" s="18" t="str">
        <f aca="false">IF($AH3400=1,SUMPRODUCT(--($AK$2:$AK$4001&lt;$AK3400))+1,"")</f>
        <v/>
      </c>
      <c r="AJ3400" s="18" t="str">
        <f aca="false">IF($D3400="","",IF(OR($R3400=TRUE(),$R3400="TRUE"),1,0))</f>
        <v/>
      </c>
      <c r="AK3400" s="18" t="str">
        <f aca="false">IF($AH3400=1,IFERROR(VALUE(MID($D3400,2,20)),1000000000)+ROW()/10000000,"")</f>
        <v/>
      </c>
    </row>
    <row r="3401" customFormat="false" ht="15" hidden="false" customHeight="false" outlineLevel="0" collapsed="false">
      <c r="F3401" s="15"/>
      <c r="N3401" s="16" t="str">
        <f aca="false">IF($D3401="","",M3401*Y3401/100)</f>
        <v/>
      </c>
      <c r="V3401" s="16" t="str">
        <f aca="false">IF($D3401="","",Y3401*AB3401/100)</f>
        <v/>
      </c>
      <c r="W3401" s="16" t="str">
        <f aca="false">IF($D3401="","",Y3401-V3401)</f>
        <v/>
      </c>
      <c r="X3401" s="16" t="str">
        <f aca="false">IF($D3401="","",W3401-N3401)</f>
        <v/>
      </c>
      <c r="AB3401" s="17" t="str">
        <f aca="false">IF($D3401="","",IF(OR($R3401=TRUE(),$R3401="TRUE"),Settings!$C$6,Settings!$C$7)*100)</f>
        <v/>
      </c>
      <c r="AH3401" s="18" t="str">
        <f aca="false">IF($D3401="","",IF(COUNTIF($D$2:$D3401,$D3401)=1,1,0))</f>
        <v/>
      </c>
      <c r="AI3401" s="18" t="str">
        <f aca="false">IF($AH3401=1,SUMPRODUCT(--($AK$2:$AK$4001&lt;$AK3401))+1,"")</f>
        <v/>
      </c>
      <c r="AJ3401" s="18" t="str">
        <f aca="false">IF($D3401="","",IF(OR($R3401=TRUE(),$R3401="TRUE"),1,0))</f>
        <v/>
      </c>
      <c r="AK3401" s="18" t="str">
        <f aca="false">IF($AH3401=1,IFERROR(VALUE(MID($D3401,2,20)),1000000000)+ROW()/10000000,"")</f>
        <v/>
      </c>
    </row>
    <row r="3402" customFormat="false" ht="15" hidden="false" customHeight="false" outlineLevel="0" collapsed="false">
      <c r="F3402" s="15"/>
      <c r="N3402" s="16" t="str">
        <f aca="false">IF($D3402="","",M3402*Y3402/100)</f>
        <v/>
      </c>
      <c r="V3402" s="16" t="str">
        <f aca="false">IF($D3402="","",Y3402*AB3402/100)</f>
        <v/>
      </c>
      <c r="W3402" s="16" t="str">
        <f aca="false">IF($D3402="","",Y3402-V3402)</f>
        <v/>
      </c>
      <c r="X3402" s="16" t="str">
        <f aca="false">IF($D3402="","",W3402-N3402)</f>
        <v/>
      </c>
      <c r="AB3402" s="17" t="str">
        <f aca="false">IF($D3402="","",IF(OR($R3402=TRUE(),$R3402="TRUE"),Settings!$C$6,Settings!$C$7)*100)</f>
        <v/>
      </c>
      <c r="AH3402" s="18" t="str">
        <f aca="false">IF($D3402="","",IF(COUNTIF($D$2:$D3402,$D3402)=1,1,0))</f>
        <v/>
      </c>
      <c r="AI3402" s="18" t="str">
        <f aca="false">IF($AH3402=1,SUMPRODUCT(--($AK$2:$AK$4001&lt;$AK3402))+1,"")</f>
        <v/>
      </c>
      <c r="AJ3402" s="18" t="str">
        <f aca="false">IF($D3402="","",IF(OR($R3402=TRUE(),$R3402="TRUE"),1,0))</f>
        <v/>
      </c>
      <c r="AK3402" s="18" t="str">
        <f aca="false">IF($AH3402=1,IFERROR(VALUE(MID($D3402,2,20)),1000000000)+ROW()/10000000,"")</f>
        <v/>
      </c>
    </row>
    <row r="3403" customFormat="false" ht="15" hidden="false" customHeight="false" outlineLevel="0" collapsed="false">
      <c r="F3403" s="15"/>
      <c r="N3403" s="16" t="str">
        <f aca="false">IF($D3403="","",M3403*Y3403/100)</f>
        <v/>
      </c>
      <c r="V3403" s="16" t="str">
        <f aca="false">IF($D3403="","",Y3403*AB3403/100)</f>
        <v/>
      </c>
      <c r="W3403" s="16" t="str">
        <f aca="false">IF($D3403="","",Y3403-V3403)</f>
        <v/>
      </c>
      <c r="X3403" s="16" t="str">
        <f aca="false">IF($D3403="","",W3403-N3403)</f>
        <v/>
      </c>
      <c r="AB3403" s="17" t="str">
        <f aca="false">IF($D3403="","",IF(OR($R3403=TRUE(),$R3403="TRUE"),Settings!$C$6,Settings!$C$7)*100)</f>
        <v/>
      </c>
      <c r="AH3403" s="18" t="str">
        <f aca="false">IF($D3403="","",IF(COUNTIF($D$2:$D3403,$D3403)=1,1,0))</f>
        <v/>
      </c>
      <c r="AI3403" s="18" t="str">
        <f aca="false">IF($AH3403=1,SUMPRODUCT(--($AK$2:$AK$4001&lt;$AK3403))+1,"")</f>
        <v/>
      </c>
      <c r="AJ3403" s="18" t="str">
        <f aca="false">IF($D3403="","",IF(OR($R3403=TRUE(),$R3403="TRUE"),1,0))</f>
        <v/>
      </c>
      <c r="AK3403" s="18" t="str">
        <f aca="false">IF($AH3403=1,IFERROR(VALUE(MID($D3403,2,20)),1000000000)+ROW()/10000000,"")</f>
        <v/>
      </c>
    </row>
    <row r="3404" customFormat="false" ht="15" hidden="false" customHeight="false" outlineLevel="0" collapsed="false">
      <c r="F3404" s="15"/>
      <c r="N3404" s="16" t="str">
        <f aca="false">IF($D3404="","",M3404*Y3404/100)</f>
        <v/>
      </c>
      <c r="V3404" s="16" t="str">
        <f aca="false">IF($D3404="","",Y3404*AB3404/100)</f>
        <v/>
      </c>
      <c r="W3404" s="16" t="str">
        <f aca="false">IF($D3404="","",Y3404-V3404)</f>
        <v/>
      </c>
      <c r="X3404" s="16" t="str">
        <f aca="false">IF($D3404="","",W3404-N3404)</f>
        <v/>
      </c>
      <c r="AB3404" s="17" t="str">
        <f aca="false">IF($D3404="","",IF(OR($R3404=TRUE(),$R3404="TRUE"),Settings!$C$6,Settings!$C$7)*100)</f>
        <v/>
      </c>
      <c r="AH3404" s="18" t="str">
        <f aca="false">IF($D3404="","",IF(COUNTIF($D$2:$D3404,$D3404)=1,1,0))</f>
        <v/>
      </c>
      <c r="AI3404" s="18" t="str">
        <f aca="false">IF($AH3404=1,SUMPRODUCT(--($AK$2:$AK$4001&lt;$AK3404))+1,"")</f>
        <v/>
      </c>
      <c r="AJ3404" s="18" t="str">
        <f aca="false">IF($D3404="","",IF(OR($R3404=TRUE(),$R3404="TRUE"),1,0))</f>
        <v/>
      </c>
      <c r="AK3404" s="18" t="str">
        <f aca="false">IF($AH3404=1,IFERROR(VALUE(MID($D3404,2,20)),1000000000)+ROW()/10000000,"")</f>
        <v/>
      </c>
    </row>
    <row r="3405" customFormat="false" ht="15" hidden="false" customHeight="false" outlineLevel="0" collapsed="false">
      <c r="F3405" s="15"/>
      <c r="N3405" s="16" t="str">
        <f aca="false">IF($D3405="","",M3405*Y3405/100)</f>
        <v/>
      </c>
      <c r="V3405" s="16" t="str">
        <f aca="false">IF($D3405="","",Y3405*AB3405/100)</f>
        <v/>
      </c>
      <c r="W3405" s="16" t="str">
        <f aca="false">IF($D3405="","",Y3405-V3405)</f>
        <v/>
      </c>
      <c r="X3405" s="16" t="str">
        <f aca="false">IF($D3405="","",W3405-N3405)</f>
        <v/>
      </c>
      <c r="AB3405" s="17" t="str">
        <f aca="false">IF($D3405="","",IF(OR($R3405=TRUE(),$R3405="TRUE"),Settings!$C$6,Settings!$C$7)*100)</f>
        <v/>
      </c>
      <c r="AH3405" s="18" t="str">
        <f aca="false">IF($D3405="","",IF(COUNTIF($D$2:$D3405,$D3405)=1,1,0))</f>
        <v/>
      </c>
      <c r="AI3405" s="18" t="str">
        <f aca="false">IF($AH3405=1,SUMPRODUCT(--($AK$2:$AK$4001&lt;$AK3405))+1,"")</f>
        <v/>
      </c>
      <c r="AJ3405" s="18" t="str">
        <f aca="false">IF($D3405="","",IF(OR($R3405=TRUE(),$R3405="TRUE"),1,0))</f>
        <v/>
      </c>
      <c r="AK3405" s="18" t="str">
        <f aca="false">IF($AH3405=1,IFERROR(VALUE(MID($D3405,2,20)),1000000000)+ROW()/10000000,"")</f>
        <v/>
      </c>
    </row>
    <row r="3406" customFormat="false" ht="15" hidden="false" customHeight="false" outlineLevel="0" collapsed="false">
      <c r="F3406" s="15"/>
      <c r="N3406" s="16" t="str">
        <f aca="false">IF($D3406="","",M3406*Y3406/100)</f>
        <v/>
      </c>
      <c r="V3406" s="16" t="str">
        <f aca="false">IF($D3406="","",Y3406*AB3406/100)</f>
        <v/>
      </c>
      <c r="W3406" s="16" t="str">
        <f aca="false">IF($D3406="","",Y3406-V3406)</f>
        <v/>
      </c>
      <c r="X3406" s="16" t="str">
        <f aca="false">IF($D3406="","",W3406-N3406)</f>
        <v/>
      </c>
      <c r="AB3406" s="17" t="str">
        <f aca="false">IF($D3406="","",IF(OR($R3406=TRUE(),$R3406="TRUE"),Settings!$C$6,Settings!$C$7)*100)</f>
        <v/>
      </c>
      <c r="AH3406" s="18" t="str">
        <f aca="false">IF($D3406="","",IF(COUNTIF($D$2:$D3406,$D3406)=1,1,0))</f>
        <v/>
      </c>
      <c r="AI3406" s="18" t="str">
        <f aca="false">IF($AH3406=1,SUMPRODUCT(--($AK$2:$AK$4001&lt;$AK3406))+1,"")</f>
        <v/>
      </c>
      <c r="AJ3406" s="18" t="str">
        <f aca="false">IF($D3406="","",IF(OR($R3406=TRUE(),$R3406="TRUE"),1,0))</f>
        <v/>
      </c>
      <c r="AK3406" s="18" t="str">
        <f aca="false">IF($AH3406=1,IFERROR(VALUE(MID($D3406,2,20)),1000000000)+ROW()/10000000,"")</f>
        <v/>
      </c>
    </row>
    <row r="3407" customFormat="false" ht="15" hidden="false" customHeight="false" outlineLevel="0" collapsed="false">
      <c r="F3407" s="15"/>
      <c r="N3407" s="16" t="str">
        <f aca="false">IF($D3407="","",M3407*Y3407/100)</f>
        <v/>
      </c>
      <c r="V3407" s="16" t="str">
        <f aca="false">IF($D3407="","",Y3407*AB3407/100)</f>
        <v/>
      </c>
      <c r="W3407" s="16" t="str">
        <f aca="false">IF($D3407="","",Y3407-V3407)</f>
        <v/>
      </c>
      <c r="X3407" s="16" t="str">
        <f aca="false">IF($D3407="","",W3407-N3407)</f>
        <v/>
      </c>
      <c r="AB3407" s="17" t="str">
        <f aca="false">IF($D3407="","",IF(OR($R3407=TRUE(),$R3407="TRUE"),Settings!$C$6,Settings!$C$7)*100)</f>
        <v/>
      </c>
      <c r="AH3407" s="18" t="str">
        <f aca="false">IF($D3407="","",IF(COUNTIF($D$2:$D3407,$D3407)=1,1,0))</f>
        <v/>
      </c>
      <c r="AI3407" s="18" t="str">
        <f aca="false">IF($AH3407=1,SUMPRODUCT(--($AK$2:$AK$4001&lt;$AK3407))+1,"")</f>
        <v/>
      </c>
      <c r="AJ3407" s="18" t="str">
        <f aca="false">IF($D3407="","",IF(OR($R3407=TRUE(),$R3407="TRUE"),1,0))</f>
        <v/>
      </c>
      <c r="AK3407" s="18" t="str">
        <f aca="false">IF($AH3407=1,IFERROR(VALUE(MID($D3407,2,20)),1000000000)+ROW()/10000000,"")</f>
        <v/>
      </c>
    </row>
    <row r="3408" customFormat="false" ht="15" hidden="false" customHeight="false" outlineLevel="0" collapsed="false">
      <c r="F3408" s="15"/>
      <c r="N3408" s="16" t="str">
        <f aca="false">IF($D3408="","",M3408*Y3408/100)</f>
        <v/>
      </c>
      <c r="V3408" s="16" t="str">
        <f aca="false">IF($D3408="","",Y3408*AB3408/100)</f>
        <v/>
      </c>
      <c r="W3408" s="16" t="str">
        <f aca="false">IF($D3408="","",Y3408-V3408)</f>
        <v/>
      </c>
      <c r="X3408" s="16" t="str">
        <f aca="false">IF($D3408="","",W3408-N3408)</f>
        <v/>
      </c>
      <c r="AB3408" s="17" t="str">
        <f aca="false">IF($D3408="","",IF(OR($R3408=TRUE(),$R3408="TRUE"),Settings!$C$6,Settings!$C$7)*100)</f>
        <v/>
      </c>
      <c r="AH3408" s="18" t="str">
        <f aca="false">IF($D3408="","",IF(COUNTIF($D$2:$D3408,$D3408)=1,1,0))</f>
        <v/>
      </c>
      <c r="AI3408" s="18" t="str">
        <f aca="false">IF($AH3408=1,SUMPRODUCT(--($AK$2:$AK$4001&lt;$AK3408))+1,"")</f>
        <v/>
      </c>
      <c r="AJ3408" s="18" t="str">
        <f aca="false">IF($D3408="","",IF(OR($R3408=TRUE(),$R3408="TRUE"),1,0))</f>
        <v/>
      </c>
      <c r="AK3408" s="18" t="str">
        <f aca="false">IF($AH3408=1,IFERROR(VALUE(MID($D3408,2,20)),1000000000)+ROW()/10000000,"")</f>
        <v/>
      </c>
    </row>
    <row r="3409" customFormat="false" ht="15" hidden="false" customHeight="false" outlineLevel="0" collapsed="false">
      <c r="F3409" s="15"/>
      <c r="N3409" s="16" t="str">
        <f aca="false">IF($D3409="","",M3409*Y3409/100)</f>
        <v/>
      </c>
      <c r="V3409" s="16" t="str">
        <f aca="false">IF($D3409="","",Y3409*AB3409/100)</f>
        <v/>
      </c>
      <c r="W3409" s="16" t="str">
        <f aca="false">IF($D3409="","",Y3409-V3409)</f>
        <v/>
      </c>
      <c r="X3409" s="16" t="str">
        <f aca="false">IF($D3409="","",W3409-N3409)</f>
        <v/>
      </c>
      <c r="AB3409" s="17" t="str">
        <f aca="false">IF($D3409="","",IF(OR($R3409=TRUE(),$R3409="TRUE"),Settings!$C$6,Settings!$C$7)*100)</f>
        <v/>
      </c>
      <c r="AH3409" s="18" t="str">
        <f aca="false">IF($D3409="","",IF(COUNTIF($D$2:$D3409,$D3409)=1,1,0))</f>
        <v/>
      </c>
      <c r="AI3409" s="18" t="str">
        <f aca="false">IF($AH3409=1,SUMPRODUCT(--($AK$2:$AK$4001&lt;$AK3409))+1,"")</f>
        <v/>
      </c>
      <c r="AJ3409" s="18" t="str">
        <f aca="false">IF($D3409="","",IF(OR($R3409=TRUE(),$R3409="TRUE"),1,0))</f>
        <v/>
      </c>
      <c r="AK3409" s="18" t="str">
        <f aca="false">IF($AH3409=1,IFERROR(VALUE(MID($D3409,2,20)),1000000000)+ROW()/10000000,"")</f>
        <v/>
      </c>
    </row>
    <row r="3410" customFormat="false" ht="15" hidden="false" customHeight="false" outlineLevel="0" collapsed="false">
      <c r="F3410" s="15"/>
      <c r="N3410" s="16" t="str">
        <f aca="false">IF($D3410="","",M3410*Y3410/100)</f>
        <v/>
      </c>
      <c r="V3410" s="16" t="str">
        <f aca="false">IF($D3410="","",Y3410*AB3410/100)</f>
        <v/>
      </c>
      <c r="W3410" s="16" t="str">
        <f aca="false">IF($D3410="","",Y3410-V3410)</f>
        <v/>
      </c>
      <c r="X3410" s="16" t="str">
        <f aca="false">IF($D3410="","",W3410-N3410)</f>
        <v/>
      </c>
      <c r="AB3410" s="17" t="str">
        <f aca="false">IF($D3410="","",IF(OR($R3410=TRUE(),$R3410="TRUE"),Settings!$C$6,Settings!$C$7)*100)</f>
        <v/>
      </c>
      <c r="AH3410" s="18" t="str">
        <f aca="false">IF($D3410="","",IF(COUNTIF($D$2:$D3410,$D3410)=1,1,0))</f>
        <v/>
      </c>
      <c r="AI3410" s="18" t="str">
        <f aca="false">IF($AH3410=1,SUMPRODUCT(--($AK$2:$AK$4001&lt;$AK3410))+1,"")</f>
        <v/>
      </c>
      <c r="AJ3410" s="18" t="str">
        <f aca="false">IF($D3410="","",IF(OR($R3410=TRUE(),$R3410="TRUE"),1,0))</f>
        <v/>
      </c>
      <c r="AK3410" s="18" t="str">
        <f aca="false">IF($AH3410=1,IFERROR(VALUE(MID($D3410,2,20)),1000000000)+ROW()/10000000,"")</f>
        <v/>
      </c>
    </row>
    <row r="3411" customFormat="false" ht="15" hidden="false" customHeight="false" outlineLevel="0" collapsed="false">
      <c r="F3411" s="15"/>
      <c r="N3411" s="16" t="str">
        <f aca="false">IF($D3411="","",M3411*Y3411/100)</f>
        <v/>
      </c>
      <c r="V3411" s="16" t="str">
        <f aca="false">IF($D3411="","",Y3411*AB3411/100)</f>
        <v/>
      </c>
      <c r="W3411" s="16" t="str">
        <f aca="false">IF($D3411="","",Y3411-V3411)</f>
        <v/>
      </c>
      <c r="X3411" s="16" t="str">
        <f aca="false">IF($D3411="","",W3411-N3411)</f>
        <v/>
      </c>
      <c r="AB3411" s="17" t="str">
        <f aca="false">IF($D3411="","",IF(OR($R3411=TRUE(),$R3411="TRUE"),Settings!$C$6,Settings!$C$7)*100)</f>
        <v/>
      </c>
      <c r="AH3411" s="18" t="str">
        <f aca="false">IF($D3411="","",IF(COUNTIF($D$2:$D3411,$D3411)=1,1,0))</f>
        <v/>
      </c>
      <c r="AI3411" s="18" t="str">
        <f aca="false">IF($AH3411=1,SUMPRODUCT(--($AK$2:$AK$4001&lt;$AK3411))+1,"")</f>
        <v/>
      </c>
      <c r="AJ3411" s="18" t="str">
        <f aca="false">IF($D3411="","",IF(OR($R3411=TRUE(),$R3411="TRUE"),1,0))</f>
        <v/>
      </c>
      <c r="AK3411" s="18" t="str">
        <f aca="false">IF($AH3411=1,IFERROR(VALUE(MID($D3411,2,20)),1000000000)+ROW()/10000000,"")</f>
        <v/>
      </c>
    </row>
    <row r="3412" customFormat="false" ht="15" hidden="false" customHeight="false" outlineLevel="0" collapsed="false">
      <c r="F3412" s="15"/>
      <c r="N3412" s="16" t="str">
        <f aca="false">IF($D3412="","",M3412*Y3412/100)</f>
        <v/>
      </c>
      <c r="V3412" s="16" t="str">
        <f aca="false">IF($D3412="","",Y3412*AB3412/100)</f>
        <v/>
      </c>
      <c r="W3412" s="16" t="str">
        <f aca="false">IF($D3412="","",Y3412-V3412)</f>
        <v/>
      </c>
      <c r="X3412" s="16" t="str">
        <f aca="false">IF($D3412="","",W3412-N3412)</f>
        <v/>
      </c>
      <c r="AB3412" s="17" t="str">
        <f aca="false">IF($D3412="","",IF(OR($R3412=TRUE(),$R3412="TRUE"),Settings!$C$6,Settings!$C$7)*100)</f>
        <v/>
      </c>
      <c r="AH3412" s="18" t="str">
        <f aca="false">IF($D3412="","",IF(COUNTIF($D$2:$D3412,$D3412)=1,1,0))</f>
        <v/>
      </c>
      <c r="AI3412" s="18" t="str">
        <f aca="false">IF($AH3412=1,SUMPRODUCT(--($AK$2:$AK$4001&lt;$AK3412))+1,"")</f>
        <v/>
      </c>
      <c r="AJ3412" s="18" t="str">
        <f aca="false">IF($D3412="","",IF(OR($R3412=TRUE(),$R3412="TRUE"),1,0))</f>
        <v/>
      </c>
      <c r="AK3412" s="18" t="str">
        <f aca="false">IF($AH3412=1,IFERROR(VALUE(MID($D3412,2,20)),1000000000)+ROW()/10000000,"")</f>
        <v/>
      </c>
    </row>
    <row r="3413" customFormat="false" ht="15" hidden="false" customHeight="false" outlineLevel="0" collapsed="false">
      <c r="F3413" s="15"/>
      <c r="N3413" s="16" t="str">
        <f aca="false">IF($D3413="","",M3413*Y3413/100)</f>
        <v/>
      </c>
      <c r="V3413" s="16" t="str">
        <f aca="false">IF($D3413="","",Y3413*AB3413/100)</f>
        <v/>
      </c>
      <c r="W3413" s="16" t="str">
        <f aca="false">IF($D3413="","",Y3413-V3413)</f>
        <v/>
      </c>
      <c r="X3413" s="16" t="str">
        <f aca="false">IF($D3413="","",W3413-N3413)</f>
        <v/>
      </c>
      <c r="AB3413" s="17" t="str">
        <f aca="false">IF($D3413="","",IF(OR($R3413=TRUE(),$R3413="TRUE"),Settings!$C$6,Settings!$C$7)*100)</f>
        <v/>
      </c>
      <c r="AH3413" s="18" t="str">
        <f aca="false">IF($D3413="","",IF(COUNTIF($D$2:$D3413,$D3413)=1,1,0))</f>
        <v/>
      </c>
      <c r="AI3413" s="18" t="str">
        <f aca="false">IF($AH3413=1,SUMPRODUCT(--($AK$2:$AK$4001&lt;$AK3413))+1,"")</f>
        <v/>
      </c>
      <c r="AJ3413" s="18" t="str">
        <f aca="false">IF($D3413="","",IF(OR($R3413=TRUE(),$R3413="TRUE"),1,0))</f>
        <v/>
      </c>
      <c r="AK3413" s="18" t="str">
        <f aca="false">IF($AH3413=1,IFERROR(VALUE(MID($D3413,2,20)),1000000000)+ROW()/10000000,"")</f>
        <v/>
      </c>
    </row>
    <row r="3414" customFormat="false" ht="15" hidden="false" customHeight="false" outlineLevel="0" collapsed="false">
      <c r="F3414" s="15"/>
      <c r="N3414" s="16" t="str">
        <f aca="false">IF($D3414="","",M3414*Y3414/100)</f>
        <v/>
      </c>
      <c r="V3414" s="16" t="str">
        <f aca="false">IF($D3414="","",Y3414*AB3414/100)</f>
        <v/>
      </c>
      <c r="W3414" s="16" t="str">
        <f aca="false">IF($D3414="","",Y3414-V3414)</f>
        <v/>
      </c>
      <c r="X3414" s="16" t="str">
        <f aca="false">IF($D3414="","",W3414-N3414)</f>
        <v/>
      </c>
      <c r="AB3414" s="17" t="str">
        <f aca="false">IF($D3414="","",IF(OR($R3414=TRUE(),$R3414="TRUE"),Settings!$C$6,Settings!$C$7)*100)</f>
        <v/>
      </c>
      <c r="AH3414" s="18" t="str">
        <f aca="false">IF($D3414="","",IF(COUNTIF($D$2:$D3414,$D3414)=1,1,0))</f>
        <v/>
      </c>
      <c r="AI3414" s="18" t="str">
        <f aca="false">IF($AH3414=1,SUMPRODUCT(--($AK$2:$AK$4001&lt;$AK3414))+1,"")</f>
        <v/>
      </c>
      <c r="AJ3414" s="18" t="str">
        <f aca="false">IF($D3414="","",IF(OR($R3414=TRUE(),$R3414="TRUE"),1,0))</f>
        <v/>
      </c>
      <c r="AK3414" s="18" t="str">
        <f aca="false">IF($AH3414=1,IFERROR(VALUE(MID($D3414,2,20)),1000000000)+ROW()/10000000,"")</f>
        <v/>
      </c>
    </row>
    <row r="3415" customFormat="false" ht="15" hidden="false" customHeight="false" outlineLevel="0" collapsed="false">
      <c r="F3415" s="15"/>
      <c r="N3415" s="16" t="str">
        <f aca="false">IF($D3415="","",M3415*Y3415/100)</f>
        <v/>
      </c>
      <c r="V3415" s="16" t="str">
        <f aca="false">IF($D3415="","",Y3415*AB3415/100)</f>
        <v/>
      </c>
      <c r="W3415" s="16" t="str">
        <f aca="false">IF($D3415="","",Y3415-V3415)</f>
        <v/>
      </c>
      <c r="X3415" s="16" t="str">
        <f aca="false">IF($D3415="","",W3415-N3415)</f>
        <v/>
      </c>
      <c r="AB3415" s="17" t="str">
        <f aca="false">IF($D3415="","",IF(OR($R3415=TRUE(),$R3415="TRUE"),Settings!$C$6,Settings!$C$7)*100)</f>
        <v/>
      </c>
      <c r="AH3415" s="18" t="str">
        <f aca="false">IF($D3415="","",IF(COUNTIF($D$2:$D3415,$D3415)=1,1,0))</f>
        <v/>
      </c>
      <c r="AI3415" s="18" t="str">
        <f aca="false">IF($AH3415=1,SUMPRODUCT(--($AK$2:$AK$4001&lt;$AK3415))+1,"")</f>
        <v/>
      </c>
      <c r="AJ3415" s="18" t="str">
        <f aca="false">IF($D3415="","",IF(OR($R3415=TRUE(),$R3415="TRUE"),1,0))</f>
        <v/>
      </c>
      <c r="AK3415" s="18" t="str">
        <f aca="false">IF($AH3415=1,IFERROR(VALUE(MID($D3415,2,20)),1000000000)+ROW()/10000000,"")</f>
        <v/>
      </c>
    </row>
    <row r="3416" customFormat="false" ht="15" hidden="false" customHeight="false" outlineLevel="0" collapsed="false">
      <c r="F3416" s="15"/>
      <c r="N3416" s="16" t="str">
        <f aca="false">IF($D3416="","",M3416*Y3416/100)</f>
        <v/>
      </c>
      <c r="V3416" s="16" t="str">
        <f aca="false">IF($D3416="","",Y3416*AB3416/100)</f>
        <v/>
      </c>
      <c r="W3416" s="16" t="str">
        <f aca="false">IF($D3416="","",Y3416-V3416)</f>
        <v/>
      </c>
      <c r="X3416" s="16" t="str">
        <f aca="false">IF($D3416="","",W3416-N3416)</f>
        <v/>
      </c>
      <c r="AB3416" s="17" t="str">
        <f aca="false">IF($D3416="","",IF(OR($R3416=TRUE(),$R3416="TRUE"),Settings!$C$6,Settings!$C$7)*100)</f>
        <v/>
      </c>
      <c r="AH3416" s="18" t="str">
        <f aca="false">IF($D3416="","",IF(COUNTIF($D$2:$D3416,$D3416)=1,1,0))</f>
        <v/>
      </c>
      <c r="AI3416" s="18" t="str">
        <f aca="false">IF($AH3416=1,SUMPRODUCT(--($AK$2:$AK$4001&lt;$AK3416))+1,"")</f>
        <v/>
      </c>
      <c r="AJ3416" s="18" t="str">
        <f aca="false">IF($D3416="","",IF(OR($R3416=TRUE(),$R3416="TRUE"),1,0))</f>
        <v/>
      </c>
      <c r="AK3416" s="18" t="str">
        <f aca="false">IF($AH3416=1,IFERROR(VALUE(MID($D3416,2,20)),1000000000)+ROW()/10000000,"")</f>
        <v/>
      </c>
    </row>
    <row r="3417" customFormat="false" ht="15" hidden="false" customHeight="false" outlineLevel="0" collapsed="false">
      <c r="F3417" s="15"/>
      <c r="N3417" s="16" t="str">
        <f aca="false">IF($D3417="","",M3417*Y3417/100)</f>
        <v/>
      </c>
      <c r="V3417" s="16" t="str">
        <f aca="false">IF($D3417="","",Y3417*AB3417/100)</f>
        <v/>
      </c>
      <c r="W3417" s="16" t="str">
        <f aca="false">IF($D3417="","",Y3417-V3417)</f>
        <v/>
      </c>
      <c r="X3417" s="16" t="str">
        <f aca="false">IF($D3417="","",W3417-N3417)</f>
        <v/>
      </c>
      <c r="AB3417" s="17" t="str">
        <f aca="false">IF($D3417="","",IF(OR($R3417=TRUE(),$R3417="TRUE"),Settings!$C$6,Settings!$C$7)*100)</f>
        <v/>
      </c>
      <c r="AH3417" s="18" t="str">
        <f aca="false">IF($D3417="","",IF(COUNTIF($D$2:$D3417,$D3417)=1,1,0))</f>
        <v/>
      </c>
      <c r="AI3417" s="18" t="str">
        <f aca="false">IF($AH3417=1,SUMPRODUCT(--($AK$2:$AK$4001&lt;$AK3417))+1,"")</f>
        <v/>
      </c>
      <c r="AJ3417" s="18" t="str">
        <f aca="false">IF($D3417="","",IF(OR($R3417=TRUE(),$R3417="TRUE"),1,0))</f>
        <v/>
      </c>
      <c r="AK3417" s="18" t="str">
        <f aca="false">IF($AH3417=1,IFERROR(VALUE(MID($D3417,2,20)),1000000000)+ROW()/10000000,"")</f>
        <v/>
      </c>
    </row>
    <row r="3418" customFormat="false" ht="15" hidden="false" customHeight="false" outlineLevel="0" collapsed="false">
      <c r="F3418" s="15"/>
      <c r="N3418" s="16" t="str">
        <f aca="false">IF($D3418="","",M3418*Y3418/100)</f>
        <v/>
      </c>
      <c r="V3418" s="16" t="str">
        <f aca="false">IF($D3418="","",Y3418*AB3418/100)</f>
        <v/>
      </c>
      <c r="W3418" s="16" t="str">
        <f aca="false">IF($D3418="","",Y3418-V3418)</f>
        <v/>
      </c>
      <c r="X3418" s="16" t="str">
        <f aca="false">IF($D3418="","",W3418-N3418)</f>
        <v/>
      </c>
      <c r="AB3418" s="17" t="str">
        <f aca="false">IF($D3418="","",IF(OR($R3418=TRUE(),$R3418="TRUE"),Settings!$C$6,Settings!$C$7)*100)</f>
        <v/>
      </c>
      <c r="AH3418" s="18" t="str">
        <f aca="false">IF($D3418="","",IF(COUNTIF($D$2:$D3418,$D3418)=1,1,0))</f>
        <v/>
      </c>
      <c r="AI3418" s="18" t="str">
        <f aca="false">IF($AH3418=1,SUMPRODUCT(--($AK$2:$AK$4001&lt;$AK3418))+1,"")</f>
        <v/>
      </c>
      <c r="AJ3418" s="18" t="str">
        <f aca="false">IF($D3418="","",IF(OR($R3418=TRUE(),$R3418="TRUE"),1,0))</f>
        <v/>
      </c>
      <c r="AK3418" s="18" t="str">
        <f aca="false">IF($AH3418=1,IFERROR(VALUE(MID($D3418,2,20)),1000000000)+ROW()/10000000,"")</f>
        <v/>
      </c>
    </row>
    <row r="3419" customFormat="false" ht="15" hidden="false" customHeight="false" outlineLevel="0" collapsed="false">
      <c r="F3419" s="15"/>
      <c r="N3419" s="16" t="str">
        <f aca="false">IF($D3419="","",M3419*Y3419/100)</f>
        <v/>
      </c>
      <c r="V3419" s="16" t="str">
        <f aca="false">IF($D3419="","",Y3419*AB3419/100)</f>
        <v/>
      </c>
      <c r="W3419" s="16" t="str">
        <f aca="false">IF($D3419="","",Y3419-V3419)</f>
        <v/>
      </c>
      <c r="X3419" s="16" t="str">
        <f aca="false">IF($D3419="","",W3419-N3419)</f>
        <v/>
      </c>
      <c r="AB3419" s="17" t="str">
        <f aca="false">IF($D3419="","",IF(OR($R3419=TRUE(),$R3419="TRUE"),Settings!$C$6,Settings!$C$7)*100)</f>
        <v/>
      </c>
      <c r="AH3419" s="18" t="str">
        <f aca="false">IF($D3419="","",IF(COUNTIF($D$2:$D3419,$D3419)=1,1,0))</f>
        <v/>
      </c>
      <c r="AI3419" s="18" t="str">
        <f aca="false">IF($AH3419=1,SUMPRODUCT(--($AK$2:$AK$4001&lt;$AK3419))+1,"")</f>
        <v/>
      </c>
      <c r="AJ3419" s="18" t="str">
        <f aca="false">IF($D3419="","",IF(OR($R3419=TRUE(),$R3419="TRUE"),1,0))</f>
        <v/>
      </c>
      <c r="AK3419" s="18" t="str">
        <f aca="false">IF($AH3419=1,IFERROR(VALUE(MID($D3419,2,20)),1000000000)+ROW()/10000000,"")</f>
        <v/>
      </c>
    </row>
    <row r="3420" customFormat="false" ht="15" hidden="false" customHeight="false" outlineLevel="0" collapsed="false">
      <c r="F3420" s="15"/>
      <c r="N3420" s="16" t="str">
        <f aca="false">IF($D3420="","",M3420*Y3420/100)</f>
        <v/>
      </c>
      <c r="V3420" s="16" t="str">
        <f aca="false">IF($D3420="","",Y3420*AB3420/100)</f>
        <v/>
      </c>
      <c r="W3420" s="16" t="str">
        <f aca="false">IF($D3420="","",Y3420-V3420)</f>
        <v/>
      </c>
      <c r="X3420" s="16" t="str">
        <f aca="false">IF($D3420="","",W3420-N3420)</f>
        <v/>
      </c>
      <c r="AB3420" s="17" t="str">
        <f aca="false">IF($D3420="","",IF(OR($R3420=TRUE(),$R3420="TRUE"),Settings!$C$6,Settings!$C$7)*100)</f>
        <v/>
      </c>
      <c r="AH3420" s="18" t="str">
        <f aca="false">IF($D3420="","",IF(COUNTIF($D$2:$D3420,$D3420)=1,1,0))</f>
        <v/>
      </c>
      <c r="AI3420" s="18" t="str">
        <f aca="false">IF($AH3420=1,SUMPRODUCT(--($AK$2:$AK$4001&lt;$AK3420))+1,"")</f>
        <v/>
      </c>
      <c r="AJ3420" s="18" t="str">
        <f aca="false">IF($D3420="","",IF(OR($R3420=TRUE(),$R3420="TRUE"),1,0))</f>
        <v/>
      </c>
      <c r="AK3420" s="18" t="str">
        <f aca="false">IF($AH3420=1,IFERROR(VALUE(MID($D3420,2,20)),1000000000)+ROW()/10000000,"")</f>
        <v/>
      </c>
    </row>
    <row r="3421" customFormat="false" ht="15" hidden="false" customHeight="false" outlineLevel="0" collapsed="false">
      <c r="F3421" s="15"/>
      <c r="N3421" s="16" t="str">
        <f aca="false">IF($D3421="","",M3421*Y3421/100)</f>
        <v/>
      </c>
      <c r="V3421" s="16" t="str">
        <f aca="false">IF($D3421="","",Y3421*AB3421/100)</f>
        <v/>
      </c>
      <c r="W3421" s="16" t="str">
        <f aca="false">IF($D3421="","",Y3421-V3421)</f>
        <v/>
      </c>
      <c r="X3421" s="16" t="str">
        <f aca="false">IF($D3421="","",W3421-N3421)</f>
        <v/>
      </c>
      <c r="AB3421" s="17" t="str">
        <f aca="false">IF($D3421="","",IF(OR($R3421=TRUE(),$R3421="TRUE"),Settings!$C$6,Settings!$C$7)*100)</f>
        <v/>
      </c>
      <c r="AH3421" s="18" t="str">
        <f aca="false">IF($D3421="","",IF(COUNTIF($D$2:$D3421,$D3421)=1,1,0))</f>
        <v/>
      </c>
      <c r="AI3421" s="18" t="str">
        <f aca="false">IF($AH3421=1,SUMPRODUCT(--($AK$2:$AK$4001&lt;$AK3421))+1,"")</f>
        <v/>
      </c>
      <c r="AJ3421" s="18" t="str">
        <f aca="false">IF($D3421="","",IF(OR($R3421=TRUE(),$R3421="TRUE"),1,0))</f>
        <v/>
      </c>
      <c r="AK3421" s="18" t="str">
        <f aca="false">IF($AH3421=1,IFERROR(VALUE(MID($D3421,2,20)),1000000000)+ROW()/10000000,"")</f>
        <v/>
      </c>
    </row>
    <row r="3422" customFormat="false" ht="15" hidden="false" customHeight="false" outlineLevel="0" collapsed="false">
      <c r="F3422" s="15"/>
      <c r="N3422" s="16" t="str">
        <f aca="false">IF($D3422="","",M3422*Y3422/100)</f>
        <v/>
      </c>
      <c r="V3422" s="16" t="str">
        <f aca="false">IF($D3422="","",Y3422*AB3422/100)</f>
        <v/>
      </c>
      <c r="W3422" s="16" t="str">
        <f aca="false">IF($D3422="","",Y3422-V3422)</f>
        <v/>
      </c>
      <c r="X3422" s="16" t="str">
        <f aca="false">IF($D3422="","",W3422-N3422)</f>
        <v/>
      </c>
      <c r="AB3422" s="17" t="str">
        <f aca="false">IF($D3422="","",IF(OR($R3422=TRUE(),$R3422="TRUE"),Settings!$C$6,Settings!$C$7)*100)</f>
        <v/>
      </c>
      <c r="AH3422" s="18" t="str">
        <f aca="false">IF($D3422="","",IF(COUNTIF($D$2:$D3422,$D3422)=1,1,0))</f>
        <v/>
      </c>
      <c r="AI3422" s="18" t="str">
        <f aca="false">IF($AH3422=1,SUMPRODUCT(--($AK$2:$AK$4001&lt;$AK3422))+1,"")</f>
        <v/>
      </c>
      <c r="AJ3422" s="18" t="str">
        <f aca="false">IF($D3422="","",IF(OR($R3422=TRUE(),$R3422="TRUE"),1,0))</f>
        <v/>
      </c>
      <c r="AK3422" s="18" t="str">
        <f aca="false">IF($AH3422=1,IFERROR(VALUE(MID($D3422,2,20)),1000000000)+ROW()/10000000,"")</f>
        <v/>
      </c>
    </row>
    <row r="3423" customFormat="false" ht="15" hidden="false" customHeight="false" outlineLevel="0" collapsed="false">
      <c r="F3423" s="15"/>
      <c r="N3423" s="16" t="str">
        <f aca="false">IF($D3423="","",M3423*Y3423/100)</f>
        <v/>
      </c>
      <c r="V3423" s="16" t="str">
        <f aca="false">IF($D3423="","",Y3423*AB3423/100)</f>
        <v/>
      </c>
      <c r="W3423" s="16" t="str">
        <f aca="false">IF($D3423="","",Y3423-V3423)</f>
        <v/>
      </c>
      <c r="X3423" s="16" t="str">
        <f aca="false">IF($D3423="","",W3423-N3423)</f>
        <v/>
      </c>
      <c r="AB3423" s="17" t="str">
        <f aca="false">IF($D3423="","",IF(OR($R3423=TRUE(),$R3423="TRUE"),Settings!$C$6,Settings!$C$7)*100)</f>
        <v/>
      </c>
      <c r="AH3423" s="18" t="str">
        <f aca="false">IF($D3423="","",IF(COUNTIF($D$2:$D3423,$D3423)=1,1,0))</f>
        <v/>
      </c>
      <c r="AI3423" s="18" t="str">
        <f aca="false">IF($AH3423=1,SUMPRODUCT(--($AK$2:$AK$4001&lt;$AK3423))+1,"")</f>
        <v/>
      </c>
      <c r="AJ3423" s="18" t="str">
        <f aca="false">IF($D3423="","",IF(OR($R3423=TRUE(),$R3423="TRUE"),1,0))</f>
        <v/>
      </c>
      <c r="AK3423" s="18" t="str">
        <f aca="false">IF($AH3423=1,IFERROR(VALUE(MID($D3423,2,20)),1000000000)+ROW()/10000000,"")</f>
        <v/>
      </c>
    </row>
    <row r="3424" customFormat="false" ht="15" hidden="false" customHeight="false" outlineLevel="0" collapsed="false">
      <c r="F3424" s="15"/>
      <c r="N3424" s="16" t="str">
        <f aca="false">IF($D3424="","",M3424*Y3424/100)</f>
        <v/>
      </c>
      <c r="V3424" s="16" t="str">
        <f aca="false">IF($D3424="","",Y3424*AB3424/100)</f>
        <v/>
      </c>
      <c r="W3424" s="16" t="str">
        <f aca="false">IF($D3424="","",Y3424-V3424)</f>
        <v/>
      </c>
      <c r="X3424" s="16" t="str">
        <f aca="false">IF($D3424="","",W3424-N3424)</f>
        <v/>
      </c>
      <c r="AB3424" s="17" t="str">
        <f aca="false">IF($D3424="","",IF(OR($R3424=TRUE(),$R3424="TRUE"),Settings!$C$6,Settings!$C$7)*100)</f>
        <v/>
      </c>
      <c r="AH3424" s="18" t="str">
        <f aca="false">IF($D3424="","",IF(COUNTIF($D$2:$D3424,$D3424)=1,1,0))</f>
        <v/>
      </c>
      <c r="AI3424" s="18" t="str">
        <f aca="false">IF($AH3424=1,SUMPRODUCT(--($AK$2:$AK$4001&lt;$AK3424))+1,"")</f>
        <v/>
      </c>
      <c r="AJ3424" s="18" t="str">
        <f aca="false">IF($D3424="","",IF(OR($R3424=TRUE(),$R3424="TRUE"),1,0))</f>
        <v/>
      </c>
      <c r="AK3424" s="18" t="str">
        <f aca="false">IF($AH3424=1,IFERROR(VALUE(MID($D3424,2,20)),1000000000)+ROW()/10000000,"")</f>
        <v/>
      </c>
    </row>
    <row r="3425" customFormat="false" ht="15" hidden="false" customHeight="false" outlineLevel="0" collapsed="false">
      <c r="F3425" s="15"/>
      <c r="N3425" s="16" t="str">
        <f aca="false">IF($D3425="","",M3425*Y3425/100)</f>
        <v/>
      </c>
      <c r="V3425" s="16" t="str">
        <f aca="false">IF($D3425="","",Y3425*AB3425/100)</f>
        <v/>
      </c>
      <c r="W3425" s="16" t="str">
        <f aca="false">IF($D3425="","",Y3425-V3425)</f>
        <v/>
      </c>
      <c r="X3425" s="16" t="str">
        <f aca="false">IF($D3425="","",W3425-N3425)</f>
        <v/>
      </c>
      <c r="AB3425" s="17" t="str">
        <f aca="false">IF($D3425="","",IF(OR($R3425=TRUE(),$R3425="TRUE"),Settings!$C$6,Settings!$C$7)*100)</f>
        <v/>
      </c>
      <c r="AH3425" s="18" t="str">
        <f aca="false">IF($D3425="","",IF(COUNTIF($D$2:$D3425,$D3425)=1,1,0))</f>
        <v/>
      </c>
      <c r="AI3425" s="18" t="str">
        <f aca="false">IF($AH3425=1,SUMPRODUCT(--($AK$2:$AK$4001&lt;$AK3425))+1,"")</f>
        <v/>
      </c>
      <c r="AJ3425" s="18" t="str">
        <f aca="false">IF($D3425="","",IF(OR($R3425=TRUE(),$R3425="TRUE"),1,0))</f>
        <v/>
      </c>
      <c r="AK3425" s="18" t="str">
        <f aca="false">IF($AH3425=1,IFERROR(VALUE(MID($D3425,2,20)),1000000000)+ROW()/10000000,"")</f>
        <v/>
      </c>
    </row>
    <row r="3426" customFormat="false" ht="15" hidden="false" customHeight="false" outlineLevel="0" collapsed="false">
      <c r="F3426" s="15"/>
      <c r="N3426" s="16" t="str">
        <f aca="false">IF($D3426="","",M3426*Y3426/100)</f>
        <v/>
      </c>
      <c r="V3426" s="16" t="str">
        <f aca="false">IF($D3426="","",Y3426*AB3426/100)</f>
        <v/>
      </c>
      <c r="W3426" s="16" t="str">
        <f aca="false">IF($D3426="","",Y3426-V3426)</f>
        <v/>
      </c>
      <c r="X3426" s="16" t="str">
        <f aca="false">IF($D3426="","",W3426-N3426)</f>
        <v/>
      </c>
      <c r="AB3426" s="17" t="str">
        <f aca="false">IF($D3426="","",IF(OR($R3426=TRUE(),$R3426="TRUE"),Settings!$C$6,Settings!$C$7)*100)</f>
        <v/>
      </c>
      <c r="AH3426" s="18" t="str">
        <f aca="false">IF($D3426="","",IF(COUNTIF($D$2:$D3426,$D3426)=1,1,0))</f>
        <v/>
      </c>
      <c r="AI3426" s="18" t="str">
        <f aca="false">IF($AH3426=1,SUMPRODUCT(--($AK$2:$AK$4001&lt;$AK3426))+1,"")</f>
        <v/>
      </c>
      <c r="AJ3426" s="18" t="str">
        <f aca="false">IF($D3426="","",IF(OR($R3426=TRUE(),$R3426="TRUE"),1,0))</f>
        <v/>
      </c>
      <c r="AK3426" s="18" t="str">
        <f aca="false">IF($AH3426=1,IFERROR(VALUE(MID($D3426,2,20)),1000000000)+ROW()/10000000,"")</f>
        <v/>
      </c>
    </row>
    <row r="3427" customFormat="false" ht="15" hidden="false" customHeight="false" outlineLevel="0" collapsed="false">
      <c r="F3427" s="15"/>
      <c r="N3427" s="16" t="str">
        <f aca="false">IF($D3427="","",M3427*Y3427/100)</f>
        <v/>
      </c>
      <c r="V3427" s="16" t="str">
        <f aca="false">IF($D3427="","",Y3427*AB3427/100)</f>
        <v/>
      </c>
      <c r="W3427" s="16" t="str">
        <f aca="false">IF($D3427="","",Y3427-V3427)</f>
        <v/>
      </c>
      <c r="X3427" s="16" t="str">
        <f aca="false">IF($D3427="","",W3427-N3427)</f>
        <v/>
      </c>
      <c r="AB3427" s="17" t="str">
        <f aca="false">IF($D3427="","",IF(OR($R3427=TRUE(),$R3427="TRUE"),Settings!$C$6,Settings!$C$7)*100)</f>
        <v/>
      </c>
      <c r="AH3427" s="18" t="str">
        <f aca="false">IF($D3427="","",IF(COUNTIF($D$2:$D3427,$D3427)=1,1,0))</f>
        <v/>
      </c>
      <c r="AI3427" s="18" t="str">
        <f aca="false">IF($AH3427=1,SUMPRODUCT(--($AK$2:$AK$4001&lt;$AK3427))+1,"")</f>
        <v/>
      </c>
      <c r="AJ3427" s="18" t="str">
        <f aca="false">IF($D3427="","",IF(OR($R3427=TRUE(),$R3427="TRUE"),1,0))</f>
        <v/>
      </c>
      <c r="AK3427" s="18" t="str">
        <f aca="false">IF($AH3427=1,IFERROR(VALUE(MID($D3427,2,20)),1000000000)+ROW()/10000000,"")</f>
        <v/>
      </c>
    </row>
    <row r="3428" customFormat="false" ht="15" hidden="false" customHeight="false" outlineLevel="0" collapsed="false">
      <c r="F3428" s="15"/>
      <c r="N3428" s="16" t="str">
        <f aca="false">IF($D3428="","",M3428*Y3428/100)</f>
        <v/>
      </c>
      <c r="V3428" s="16" t="str">
        <f aca="false">IF($D3428="","",Y3428*AB3428/100)</f>
        <v/>
      </c>
      <c r="W3428" s="16" t="str">
        <f aca="false">IF($D3428="","",Y3428-V3428)</f>
        <v/>
      </c>
      <c r="X3428" s="16" t="str">
        <f aca="false">IF($D3428="","",W3428-N3428)</f>
        <v/>
      </c>
      <c r="AB3428" s="17" t="str">
        <f aca="false">IF($D3428="","",IF(OR($R3428=TRUE(),$R3428="TRUE"),Settings!$C$6,Settings!$C$7)*100)</f>
        <v/>
      </c>
      <c r="AH3428" s="18" t="str">
        <f aca="false">IF($D3428="","",IF(COUNTIF($D$2:$D3428,$D3428)=1,1,0))</f>
        <v/>
      </c>
      <c r="AI3428" s="18" t="str">
        <f aca="false">IF($AH3428=1,SUMPRODUCT(--($AK$2:$AK$4001&lt;$AK3428))+1,"")</f>
        <v/>
      </c>
      <c r="AJ3428" s="18" t="str">
        <f aca="false">IF($D3428="","",IF(OR($R3428=TRUE(),$R3428="TRUE"),1,0))</f>
        <v/>
      </c>
      <c r="AK3428" s="18" t="str">
        <f aca="false">IF($AH3428=1,IFERROR(VALUE(MID($D3428,2,20)),1000000000)+ROW()/10000000,"")</f>
        <v/>
      </c>
    </row>
    <row r="3429" customFormat="false" ht="15" hidden="false" customHeight="false" outlineLevel="0" collapsed="false">
      <c r="F3429" s="15"/>
      <c r="N3429" s="16" t="str">
        <f aca="false">IF($D3429="","",M3429*Y3429/100)</f>
        <v/>
      </c>
      <c r="V3429" s="16" t="str">
        <f aca="false">IF($D3429="","",Y3429*AB3429/100)</f>
        <v/>
      </c>
      <c r="W3429" s="16" t="str">
        <f aca="false">IF($D3429="","",Y3429-V3429)</f>
        <v/>
      </c>
      <c r="X3429" s="16" t="str">
        <f aca="false">IF($D3429="","",W3429-N3429)</f>
        <v/>
      </c>
      <c r="AB3429" s="17" t="str">
        <f aca="false">IF($D3429="","",IF(OR($R3429=TRUE(),$R3429="TRUE"),Settings!$C$6,Settings!$C$7)*100)</f>
        <v/>
      </c>
      <c r="AH3429" s="18" t="str">
        <f aca="false">IF($D3429="","",IF(COUNTIF($D$2:$D3429,$D3429)=1,1,0))</f>
        <v/>
      </c>
      <c r="AI3429" s="18" t="str">
        <f aca="false">IF($AH3429=1,SUMPRODUCT(--($AK$2:$AK$4001&lt;$AK3429))+1,"")</f>
        <v/>
      </c>
      <c r="AJ3429" s="18" t="str">
        <f aca="false">IF($D3429="","",IF(OR($R3429=TRUE(),$R3429="TRUE"),1,0))</f>
        <v/>
      </c>
      <c r="AK3429" s="18" t="str">
        <f aca="false">IF($AH3429=1,IFERROR(VALUE(MID($D3429,2,20)),1000000000)+ROW()/10000000,"")</f>
        <v/>
      </c>
    </row>
    <row r="3430" customFormat="false" ht="15" hidden="false" customHeight="false" outlineLevel="0" collapsed="false">
      <c r="F3430" s="15"/>
      <c r="N3430" s="16" t="str">
        <f aca="false">IF($D3430="","",M3430*Y3430/100)</f>
        <v/>
      </c>
      <c r="V3430" s="16" t="str">
        <f aca="false">IF($D3430="","",Y3430*AB3430/100)</f>
        <v/>
      </c>
      <c r="W3430" s="16" t="str">
        <f aca="false">IF($D3430="","",Y3430-V3430)</f>
        <v/>
      </c>
      <c r="X3430" s="16" t="str">
        <f aca="false">IF($D3430="","",W3430-N3430)</f>
        <v/>
      </c>
      <c r="AB3430" s="17" t="str">
        <f aca="false">IF($D3430="","",IF(OR($R3430=TRUE(),$R3430="TRUE"),Settings!$C$6,Settings!$C$7)*100)</f>
        <v/>
      </c>
      <c r="AH3430" s="18" t="str">
        <f aca="false">IF($D3430="","",IF(COUNTIF($D$2:$D3430,$D3430)=1,1,0))</f>
        <v/>
      </c>
      <c r="AI3430" s="18" t="str">
        <f aca="false">IF($AH3430=1,SUMPRODUCT(--($AK$2:$AK$4001&lt;$AK3430))+1,"")</f>
        <v/>
      </c>
      <c r="AJ3430" s="18" t="str">
        <f aca="false">IF($D3430="","",IF(OR($R3430=TRUE(),$R3430="TRUE"),1,0))</f>
        <v/>
      </c>
      <c r="AK3430" s="18" t="str">
        <f aca="false">IF($AH3430=1,IFERROR(VALUE(MID($D3430,2,20)),1000000000)+ROW()/10000000,"")</f>
        <v/>
      </c>
    </row>
    <row r="3431" customFormat="false" ht="15" hidden="false" customHeight="false" outlineLevel="0" collapsed="false">
      <c r="F3431" s="15"/>
      <c r="N3431" s="16" t="str">
        <f aca="false">IF($D3431="","",M3431*Y3431/100)</f>
        <v/>
      </c>
      <c r="V3431" s="16" t="str">
        <f aca="false">IF($D3431="","",Y3431*AB3431/100)</f>
        <v/>
      </c>
      <c r="W3431" s="16" t="str">
        <f aca="false">IF($D3431="","",Y3431-V3431)</f>
        <v/>
      </c>
      <c r="X3431" s="16" t="str">
        <f aca="false">IF($D3431="","",W3431-N3431)</f>
        <v/>
      </c>
      <c r="AB3431" s="17" t="str">
        <f aca="false">IF($D3431="","",IF(OR($R3431=TRUE(),$R3431="TRUE"),Settings!$C$6,Settings!$C$7)*100)</f>
        <v/>
      </c>
      <c r="AH3431" s="18" t="str">
        <f aca="false">IF($D3431="","",IF(COUNTIF($D$2:$D3431,$D3431)=1,1,0))</f>
        <v/>
      </c>
      <c r="AI3431" s="18" t="str">
        <f aca="false">IF($AH3431=1,SUMPRODUCT(--($AK$2:$AK$4001&lt;$AK3431))+1,"")</f>
        <v/>
      </c>
      <c r="AJ3431" s="18" t="str">
        <f aca="false">IF($D3431="","",IF(OR($R3431=TRUE(),$R3431="TRUE"),1,0))</f>
        <v/>
      </c>
      <c r="AK3431" s="18" t="str">
        <f aca="false">IF($AH3431=1,IFERROR(VALUE(MID($D3431,2,20)),1000000000)+ROW()/10000000,"")</f>
        <v/>
      </c>
    </row>
    <row r="3432" customFormat="false" ht="15" hidden="false" customHeight="false" outlineLevel="0" collapsed="false">
      <c r="F3432" s="15"/>
      <c r="N3432" s="16" t="str">
        <f aca="false">IF($D3432="","",M3432*Y3432/100)</f>
        <v/>
      </c>
      <c r="V3432" s="16" t="str">
        <f aca="false">IF($D3432="","",Y3432*AB3432/100)</f>
        <v/>
      </c>
      <c r="W3432" s="16" t="str">
        <f aca="false">IF($D3432="","",Y3432-V3432)</f>
        <v/>
      </c>
      <c r="X3432" s="16" t="str">
        <f aca="false">IF($D3432="","",W3432-N3432)</f>
        <v/>
      </c>
      <c r="AB3432" s="17" t="str">
        <f aca="false">IF($D3432="","",IF(OR($R3432=TRUE(),$R3432="TRUE"),Settings!$C$6,Settings!$C$7)*100)</f>
        <v/>
      </c>
      <c r="AH3432" s="18" t="str">
        <f aca="false">IF($D3432="","",IF(COUNTIF($D$2:$D3432,$D3432)=1,1,0))</f>
        <v/>
      </c>
      <c r="AI3432" s="18" t="str">
        <f aca="false">IF($AH3432=1,SUMPRODUCT(--($AK$2:$AK$4001&lt;$AK3432))+1,"")</f>
        <v/>
      </c>
      <c r="AJ3432" s="18" t="str">
        <f aca="false">IF($D3432="","",IF(OR($R3432=TRUE(),$R3432="TRUE"),1,0))</f>
        <v/>
      </c>
      <c r="AK3432" s="18" t="str">
        <f aca="false">IF($AH3432=1,IFERROR(VALUE(MID($D3432,2,20)),1000000000)+ROW()/10000000,"")</f>
        <v/>
      </c>
    </row>
    <row r="3433" customFormat="false" ht="15" hidden="false" customHeight="false" outlineLevel="0" collapsed="false">
      <c r="F3433" s="15"/>
      <c r="N3433" s="16" t="str">
        <f aca="false">IF($D3433="","",M3433*Y3433/100)</f>
        <v/>
      </c>
      <c r="V3433" s="16" t="str">
        <f aca="false">IF($D3433="","",Y3433*AB3433/100)</f>
        <v/>
      </c>
      <c r="W3433" s="16" t="str">
        <f aca="false">IF($D3433="","",Y3433-V3433)</f>
        <v/>
      </c>
      <c r="X3433" s="16" t="str">
        <f aca="false">IF($D3433="","",W3433-N3433)</f>
        <v/>
      </c>
      <c r="AB3433" s="17" t="str">
        <f aca="false">IF($D3433="","",IF(OR($R3433=TRUE(),$R3433="TRUE"),Settings!$C$6,Settings!$C$7)*100)</f>
        <v/>
      </c>
      <c r="AH3433" s="18" t="str">
        <f aca="false">IF($D3433="","",IF(COUNTIF($D$2:$D3433,$D3433)=1,1,0))</f>
        <v/>
      </c>
      <c r="AI3433" s="18" t="str">
        <f aca="false">IF($AH3433=1,SUMPRODUCT(--($AK$2:$AK$4001&lt;$AK3433))+1,"")</f>
        <v/>
      </c>
      <c r="AJ3433" s="18" t="str">
        <f aca="false">IF($D3433="","",IF(OR($R3433=TRUE(),$R3433="TRUE"),1,0))</f>
        <v/>
      </c>
      <c r="AK3433" s="18" t="str">
        <f aca="false">IF($AH3433=1,IFERROR(VALUE(MID($D3433,2,20)),1000000000)+ROW()/10000000,"")</f>
        <v/>
      </c>
    </row>
    <row r="3434" customFormat="false" ht="15" hidden="false" customHeight="false" outlineLevel="0" collapsed="false">
      <c r="F3434" s="15"/>
      <c r="N3434" s="16" t="str">
        <f aca="false">IF($D3434="","",M3434*Y3434/100)</f>
        <v/>
      </c>
      <c r="V3434" s="16" t="str">
        <f aca="false">IF($D3434="","",Y3434*AB3434/100)</f>
        <v/>
      </c>
      <c r="W3434" s="16" t="str">
        <f aca="false">IF($D3434="","",Y3434-V3434)</f>
        <v/>
      </c>
      <c r="X3434" s="16" t="str">
        <f aca="false">IF($D3434="","",W3434-N3434)</f>
        <v/>
      </c>
      <c r="AB3434" s="17" t="str">
        <f aca="false">IF($D3434="","",IF(OR($R3434=TRUE(),$R3434="TRUE"),Settings!$C$6,Settings!$C$7)*100)</f>
        <v/>
      </c>
      <c r="AH3434" s="18" t="str">
        <f aca="false">IF($D3434="","",IF(COUNTIF($D$2:$D3434,$D3434)=1,1,0))</f>
        <v/>
      </c>
      <c r="AI3434" s="18" t="str">
        <f aca="false">IF($AH3434=1,SUMPRODUCT(--($AK$2:$AK$4001&lt;$AK3434))+1,"")</f>
        <v/>
      </c>
      <c r="AJ3434" s="18" t="str">
        <f aca="false">IF($D3434="","",IF(OR($R3434=TRUE(),$R3434="TRUE"),1,0))</f>
        <v/>
      </c>
      <c r="AK3434" s="18" t="str">
        <f aca="false">IF($AH3434=1,IFERROR(VALUE(MID($D3434,2,20)),1000000000)+ROW()/10000000,"")</f>
        <v/>
      </c>
    </row>
    <row r="3435" customFormat="false" ht="15" hidden="false" customHeight="false" outlineLevel="0" collapsed="false">
      <c r="F3435" s="15"/>
      <c r="N3435" s="16" t="str">
        <f aca="false">IF($D3435="","",M3435*Y3435/100)</f>
        <v/>
      </c>
      <c r="V3435" s="16" t="str">
        <f aca="false">IF($D3435="","",Y3435*AB3435/100)</f>
        <v/>
      </c>
      <c r="W3435" s="16" t="str">
        <f aca="false">IF($D3435="","",Y3435-V3435)</f>
        <v/>
      </c>
      <c r="X3435" s="16" t="str">
        <f aca="false">IF($D3435="","",W3435-N3435)</f>
        <v/>
      </c>
      <c r="AB3435" s="17" t="str">
        <f aca="false">IF($D3435="","",IF(OR($R3435=TRUE(),$R3435="TRUE"),Settings!$C$6,Settings!$C$7)*100)</f>
        <v/>
      </c>
      <c r="AH3435" s="18" t="str">
        <f aca="false">IF($D3435="","",IF(COUNTIF($D$2:$D3435,$D3435)=1,1,0))</f>
        <v/>
      </c>
      <c r="AI3435" s="18" t="str">
        <f aca="false">IF($AH3435=1,SUMPRODUCT(--($AK$2:$AK$4001&lt;$AK3435))+1,"")</f>
        <v/>
      </c>
      <c r="AJ3435" s="18" t="str">
        <f aca="false">IF($D3435="","",IF(OR($R3435=TRUE(),$R3435="TRUE"),1,0))</f>
        <v/>
      </c>
      <c r="AK3435" s="18" t="str">
        <f aca="false">IF($AH3435=1,IFERROR(VALUE(MID($D3435,2,20)),1000000000)+ROW()/10000000,"")</f>
        <v/>
      </c>
    </row>
    <row r="3436" customFormat="false" ht="15" hidden="false" customHeight="false" outlineLevel="0" collapsed="false">
      <c r="F3436" s="15"/>
      <c r="N3436" s="16" t="str">
        <f aca="false">IF($D3436="","",M3436*Y3436/100)</f>
        <v/>
      </c>
      <c r="V3436" s="16" t="str">
        <f aca="false">IF($D3436="","",Y3436*AB3436/100)</f>
        <v/>
      </c>
      <c r="W3436" s="16" t="str">
        <f aca="false">IF($D3436="","",Y3436-V3436)</f>
        <v/>
      </c>
      <c r="X3436" s="16" t="str">
        <f aca="false">IF($D3436="","",W3436-N3436)</f>
        <v/>
      </c>
      <c r="AB3436" s="17" t="str">
        <f aca="false">IF($D3436="","",IF(OR($R3436=TRUE(),$R3436="TRUE"),Settings!$C$6,Settings!$C$7)*100)</f>
        <v/>
      </c>
      <c r="AH3436" s="18" t="str">
        <f aca="false">IF($D3436="","",IF(COUNTIF($D$2:$D3436,$D3436)=1,1,0))</f>
        <v/>
      </c>
      <c r="AI3436" s="18" t="str">
        <f aca="false">IF($AH3436=1,SUMPRODUCT(--($AK$2:$AK$4001&lt;$AK3436))+1,"")</f>
        <v/>
      </c>
      <c r="AJ3436" s="18" t="str">
        <f aca="false">IF($D3436="","",IF(OR($R3436=TRUE(),$R3436="TRUE"),1,0))</f>
        <v/>
      </c>
      <c r="AK3436" s="18" t="str">
        <f aca="false">IF($AH3436=1,IFERROR(VALUE(MID($D3436,2,20)),1000000000)+ROW()/10000000,"")</f>
        <v/>
      </c>
    </row>
    <row r="3437" customFormat="false" ht="15" hidden="false" customHeight="false" outlineLevel="0" collapsed="false">
      <c r="F3437" s="15"/>
      <c r="N3437" s="16" t="str">
        <f aca="false">IF($D3437="","",M3437*Y3437/100)</f>
        <v/>
      </c>
      <c r="V3437" s="16" t="str">
        <f aca="false">IF($D3437="","",Y3437*AB3437/100)</f>
        <v/>
      </c>
      <c r="W3437" s="16" t="str">
        <f aca="false">IF($D3437="","",Y3437-V3437)</f>
        <v/>
      </c>
      <c r="X3437" s="16" t="str">
        <f aca="false">IF($D3437="","",W3437-N3437)</f>
        <v/>
      </c>
      <c r="AB3437" s="17" t="str">
        <f aca="false">IF($D3437="","",IF(OR($R3437=TRUE(),$R3437="TRUE"),Settings!$C$6,Settings!$C$7)*100)</f>
        <v/>
      </c>
      <c r="AH3437" s="18" t="str">
        <f aca="false">IF($D3437="","",IF(COUNTIF($D$2:$D3437,$D3437)=1,1,0))</f>
        <v/>
      </c>
      <c r="AI3437" s="18" t="str">
        <f aca="false">IF($AH3437=1,SUMPRODUCT(--($AK$2:$AK$4001&lt;$AK3437))+1,"")</f>
        <v/>
      </c>
      <c r="AJ3437" s="18" t="str">
        <f aca="false">IF($D3437="","",IF(OR($R3437=TRUE(),$R3437="TRUE"),1,0))</f>
        <v/>
      </c>
      <c r="AK3437" s="18" t="str">
        <f aca="false">IF($AH3437=1,IFERROR(VALUE(MID($D3437,2,20)),1000000000)+ROW()/10000000,"")</f>
        <v/>
      </c>
    </row>
    <row r="3438" customFormat="false" ht="15" hidden="false" customHeight="false" outlineLevel="0" collapsed="false">
      <c r="F3438" s="15"/>
      <c r="N3438" s="16" t="str">
        <f aca="false">IF($D3438="","",M3438*Y3438/100)</f>
        <v/>
      </c>
      <c r="V3438" s="16" t="str">
        <f aca="false">IF($D3438="","",Y3438*AB3438/100)</f>
        <v/>
      </c>
      <c r="W3438" s="16" t="str">
        <f aca="false">IF($D3438="","",Y3438-V3438)</f>
        <v/>
      </c>
      <c r="X3438" s="16" t="str">
        <f aca="false">IF($D3438="","",W3438-N3438)</f>
        <v/>
      </c>
      <c r="AB3438" s="17" t="str">
        <f aca="false">IF($D3438="","",IF(OR($R3438=TRUE(),$R3438="TRUE"),Settings!$C$6,Settings!$C$7)*100)</f>
        <v/>
      </c>
      <c r="AH3438" s="18" t="str">
        <f aca="false">IF($D3438="","",IF(COUNTIF($D$2:$D3438,$D3438)=1,1,0))</f>
        <v/>
      </c>
      <c r="AI3438" s="18" t="str">
        <f aca="false">IF($AH3438=1,SUMPRODUCT(--($AK$2:$AK$4001&lt;$AK3438))+1,"")</f>
        <v/>
      </c>
      <c r="AJ3438" s="18" t="str">
        <f aca="false">IF($D3438="","",IF(OR($R3438=TRUE(),$R3438="TRUE"),1,0))</f>
        <v/>
      </c>
      <c r="AK3438" s="18" t="str">
        <f aca="false">IF($AH3438=1,IFERROR(VALUE(MID($D3438,2,20)),1000000000)+ROW()/10000000,"")</f>
        <v/>
      </c>
    </row>
    <row r="3439" customFormat="false" ht="15" hidden="false" customHeight="false" outlineLevel="0" collapsed="false">
      <c r="F3439" s="15"/>
      <c r="N3439" s="16" t="str">
        <f aca="false">IF($D3439="","",M3439*Y3439/100)</f>
        <v/>
      </c>
      <c r="V3439" s="16" t="str">
        <f aca="false">IF($D3439="","",Y3439*AB3439/100)</f>
        <v/>
      </c>
      <c r="W3439" s="16" t="str">
        <f aca="false">IF($D3439="","",Y3439-V3439)</f>
        <v/>
      </c>
      <c r="X3439" s="16" t="str">
        <f aca="false">IF($D3439="","",W3439-N3439)</f>
        <v/>
      </c>
      <c r="AB3439" s="17" t="str">
        <f aca="false">IF($D3439="","",IF(OR($R3439=TRUE(),$R3439="TRUE"),Settings!$C$6,Settings!$C$7)*100)</f>
        <v/>
      </c>
      <c r="AH3439" s="18" t="str">
        <f aca="false">IF($D3439="","",IF(COUNTIF($D$2:$D3439,$D3439)=1,1,0))</f>
        <v/>
      </c>
      <c r="AI3439" s="18" t="str">
        <f aca="false">IF($AH3439=1,SUMPRODUCT(--($AK$2:$AK$4001&lt;$AK3439))+1,"")</f>
        <v/>
      </c>
      <c r="AJ3439" s="18" t="str">
        <f aca="false">IF($D3439="","",IF(OR($R3439=TRUE(),$R3439="TRUE"),1,0))</f>
        <v/>
      </c>
      <c r="AK3439" s="18" t="str">
        <f aca="false">IF($AH3439=1,IFERROR(VALUE(MID($D3439,2,20)),1000000000)+ROW()/10000000,"")</f>
        <v/>
      </c>
    </row>
    <row r="3440" customFormat="false" ht="15" hidden="false" customHeight="false" outlineLevel="0" collapsed="false">
      <c r="F3440" s="15"/>
      <c r="N3440" s="16" t="str">
        <f aca="false">IF($D3440="","",M3440*Y3440/100)</f>
        <v/>
      </c>
      <c r="V3440" s="16" t="str">
        <f aca="false">IF($D3440="","",Y3440*AB3440/100)</f>
        <v/>
      </c>
      <c r="W3440" s="16" t="str">
        <f aca="false">IF($D3440="","",Y3440-V3440)</f>
        <v/>
      </c>
      <c r="X3440" s="16" t="str">
        <f aca="false">IF($D3440="","",W3440-N3440)</f>
        <v/>
      </c>
      <c r="AB3440" s="17" t="str">
        <f aca="false">IF($D3440="","",IF(OR($R3440=TRUE(),$R3440="TRUE"),Settings!$C$6,Settings!$C$7)*100)</f>
        <v/>
      </c>
      <c r="AH3440" s="18" t="str">
        <f aca="false">IF($D3440="","",IF(COUNTIF($D$2:$D3440,$D3440)=1,1,0))</f>
        <v/>
      </c>
      <c r="AI3440" s="18" t="str">
        <f aca="false">IF($AH3440=1,SUMPRODUCT(--($AK$2:$AK$4001&lt;$AK3440))+1,"")</f>
        <v/>
      </c>
      <c r="AJ3440" s="18" t="str">
        <f aca="false">IF($D3440="","",IF(OR($R3440=TRUE(),$R3440="TRUE"),1,0))</f>
        <v/>
      </c>
      <c r="AK3440" s="18" t="str">
        <f aca="false">IF($AH3440=1,IFERROR(VALUE(MID($D3440,2,20)),1000000000)+ROW()/10000000,"")</f>
        <v/>
      </c>
    </row>
    <row r="3441" customFormat="false" ht="15" hidden="false" customHeight="false" outlineLevel="0" collapsed="false">
      <c r="F3441" s="15"/>
      <c r="N3441" s="16" t="str">
        <f aca="false">IF($D3441="","",M3441*Y3441/100)</f>
        <v/>
      </c>
      <c r="V3441" s="16" t="str">
        <f aca="false">IF($D3441="","",Y3441*AB3441/100)</f>
        <v/>
      </c>
      <c r="W3441" s="16" t="str">
        <f aca="false">IF($D3441="","",Y3441-V3441)</f>
        <v/>
      </c>
      <c r="X3441" s="16" t="str">
        <f aca="false">IF($D3441="","",W3441-N3441)</f>
        <v/>
      </c>
      <c r="AB3441" s="17" t="str">
        <f aca="false">IF($D3441="","",IF(OR($R3441=TRUE(),$R3441="TRUE"),Settings!$C$6,Settings!$C$7)*100)</f>
        <v/>
      </c>
      <c r="AH3441" s="18" t="str">
        <f aca="false">IF($D3441="","",IF(COUNTIF($D$2:$D3441,$D3441)=1,1,0))</f>
        <v/>
      </c>
      <c r="AI3441" s="18" t="str">
        <f aca="false">IF($AH3441=1,SUMPRODUCT(--($AK$2:$AK$4001&lt;$AK3441))+1,"")</f>
        <v/>
      </c>
      <c r="AJ3441" s="18" t="str">
        <f aca="false">IF($D3441="","",IF(OR($R3441=TRUE(),$R3441="TRUE"),1,0))</f>
        <v/>
      </c>
      <c r="AK3441" s="18" t="str">
        <f aca="false">IF($AH3441=1,IFERROR(VALUE(MID($D3441,2,20)),1000000000)+ROW()/10000000,"")</f>
        <v/>
      </c>
    </row>
    <row r="3442" customFormat="false" ht="15" hidden="false" customHeight="false" outlineLevel="0" collapsed="false">
      <c r="F3442" s="15"/>
      <c r="N3442" s="16" t="str">
        <f aca="false">IF($D3442="","",M3442*Y3442/100)</f>
        <v/>
      </c>
      <c r="V3442" s="16" t="str">
        <f aca="false">IF($D3442="","",Y3442*AB3442/100)</f>
        <v/>
      </c>
      <c r="W3442" s="16" t="str">
        <f aca="false">IF($D3442="","",Y3442-V3442)</f>
        <v/>
      </c>
      <c r="X3442" s="16" t="str">
        <f aca="false">IF($D3442="","",W3442-N3442)</f>
        <v/>
      </c>
      <c r="AB3442" s="17" t="str">
        <f aca="false">IF($D3442="","",IF(OR($R3442=TRUE(),$R3442="TRUE"),Settings!$C$6,Settings!$C$7)*100)</f>
        <v/>
      </c>
      <c r="AH3442" s="18" t="str">
        <f aca="false">IF($D3442="","",IF(COUNTIF($D$2:$D3442,$D3442)=1,1,0))</f>
        <v/>
      </c>
      <c r="AI3442" s="18" t="str">
        <f aca="false">IF($AH3442=1,SUMPRODUCT(--($AK$2:$AK$4001&lt;$AK3442))+1,"")</f>
        <v/>
      </c>
      <c r="AJ3442" s="18" t="str">
        <f aca="false">IF($D3442="","",IF(OR($R3442=TRUE(),$R3442="TRUE"),1,0))</f>
        <v/>
      </c>
      <c r="AK3442" s="18" t="str">
        <f aca="false">IF($AH3442=1,IFERROR(VALUE(MID($D3442,2,20)),1000000000)+ROW()/10000000,"")</f>
        <v/>
      </c>
    </row>
    <row r="3443" customFormat="false" ht="15" hidden="false" customHeight="false" outlineLevel="0" collapsed="false">
      <c r="F3443" s="15"/>
      <c r="N3443" s="16" t="str">
        <f aca="false">IF($D3443="","",M3443*Y3443/100)</f>
        <v/>
      </c>
      <c r="V3443" s="16" t="str">
        <f aca="false">IF($D3443="","",Y3443*AB3443/100)</f>
        <v/>
      </c>
      <c r="W3443" s="16" t="str">
        <f aca="false">IF($D3443="","",Y3443-V3443)</f>
        <v/>
      </c>
      <c r="X3443" s="16" t="str">
        <f aca="false">IF($D3443="","",W3443-N3443)</f>
        <v/>
      </c>
      <c r="AB3443" s="17" t="str">
        <f aca="false">IF($D3443="","",IF(OR($R3443=TRUE(),$R3443="TRUE"),Settings!$C$6,Settings!$C$7)*100)</f>
        <v/>
      </c>
      <c r="AH3443" s="18" t="str">
        <f aca="false">IF($D3443="","",IF(COUNTIF($D$2:$D3443,$D3443)=1,1,0))</f>
        <v/>
      </c>
      <c r="AI3443" s="18" t="str">
        <f aca="false">IF($AH3443=1,SUMPRODUCT(--($AK$2:$AK$4001&lt;$AK3443))+1,"")</f>
        <v/>
      </c>
      <c r="AJ3443" s="18" t="str">
        <f aca="false">IF($D3443="","",IF(OR($R3443=TRUE(),$R3443="TRUE"),1,0))</f>
        <v/>
      </c>
      <c r="AK3443" s="18" t="str">
        <f aca="false">IF($AH3443=1,IFERROR(VALUE(MID($D3443,2,20)),1000000000)+ROW()/10000000,"")</f>
        <v/>
      </c>
    </row>
    <row r="3444" customFormat="false" ht="15" hidden="false" customHeight="false" outlineLevel="0" collapsed="false">
      <c r="F3444" s="15"/>
      <c r="N3444" s="16" t="str">
        <f aca="false">IF($D3444="","",M3444*Y3444/100)</f>
        <v/>
      </c>
      <c r="V3444" s="16" t="str">
        <f aca="false">IF($D3444="","",Y3444*AB3444/100)</f>
        <v/>
      </c>
      <c r="W3444" s="16" t="str">
        <f aca="false">IF($D3444="","",Y3444-V3444)</f>
        <v/>
      </c>
      <c r="X3444" s="16" t="str">
        <f aca="false">IF($D3444="","",W3444-N3444)</f>
        <v/>
      </c>
      <c r="AB3444" s="17" t="str">
        <f aca="false">IF($D3444="","",IF(OR($R3444=TRUE(),$R3444="TRUE"),Settings!$C$6,Settings!$C$7)*100)</f>
        <v/>
      </c>
      <c r="AH3444" s="18" t="str">
        <f aca="false">IF($D3444="","",IF(COUNTIF($D$2:$D3444,$D3444)=1,1,0))</f>
        <v/>
      </c>
      <c r="AI3444" s="18" t="str">
        <f aca="false">IF($AH3444=1,SUMPRODUCT(--($AK$2:$AK$4001&lt;$AK3444))+1,"")</f>
        <v/>
      </c>
      <c r="AJ3444" s="18" t="str">
        <f aca="false">IF($D3444="","",IF(OR($R3444=TRUE(),$R3444="TRUE"),1,0))</f>
        <v/>
      </c>
      <c r="AK3444" s="18" t="str">
        <f aca="false">IF($AH3444=1,IFERROR(VALUE(MID($D3444,2,20)),1000000000)+ROW()/10000000,"")</f>
        <v/>
      </c>
    </row>
    <row r="3445" customFormat="false" ht="15" hidden="false" customHeight="false" outlineLevel="0" collapsed="false">
      <c r="F3445" s="15"/>
      <c r="N3445" s="16" t="str">
        <f aca="false">IF($D3445="","",M3445*Y3445/100)</f>
        <v/>
      </c>
      <c r="V3445" s="16" t="str">
        <f aca="false">IF($D3445="","",Y3445*AB3445/100)</f>
        <v/>
      </c>
      <c r="W3445" s="16" t="str">
        <f aca="false">IF($D3445="","",Y3445-V3445)</f>
        <v/>
      </c>
      <c r="X3445" s="16" t="str">
        <f aca="false">IF($D3445="","",W3445-N3445)</f>
        <v/>
      </c>
      <c r="AB3445" s="17" t="str">
        <f aca="false">IF($D3445="","",IF(OR($R3445=TRUE(),$R3445="TRUE"),Settings!$C$6,Settings!$C$7)*100)</f>
        <v/>
      </c>
      <c r="AH3445" s="18" t="str">
        <f aca="false">IF($D3445="","",IF(COUNTIF($D$2:$D3445,$D3445)=1,1,0))</f>
        <v/>
      </c>
      <c r="AI3445" s="18" t="str">
        <f aca="false">IF($AH3445=1,SUMPRODUCT(--($AK$2:$AK$4001&lt;$AK3445))+1,"")</f>
        <v/>
      </c>
      <c r="AJ3445" s="18" t="str">
        <f aca="false">IF($D3445="","",IF(OR($R3445=TRUE(),$R3445="TRUE"),1,0))</f>
        <v/>
      </c>
      <c r="AK3445" s="18" t="str">
        <f aca="false">IF($AH3445=1,IFERROR(VALUE(MID($D3445,2,20)),1000000000)+ROW()/10000000,"")</f>
        <v/>
      </c>
    </row>
    <row r="3446" customFormat="false" ht="15" hidden="false" customHeight="false" outlineLevel="0" collapsed="false">
      <c r="F3446" s="15"/>
      <c r="N3446" s="16" t="str">
        <f aca="false">IF($D3446="","",M3446*Y3446/100)</f>
        <v/>
      </c>
      <c r="V3446" s="16" t="str">
        <f aca="false">IF($D3446="","",Y3446*AB3446/100)</f>
        <v/>
      </c>
      <c r="W3446" s="16" t="str">
        <f aca="false">IF($D3446="","",Y3446-V3446)</f>
        <v/>
      </c>
      <c r="X3446" s="16" t="str">
        <f aca="false">IF($D3446="","",W3446-N3446)</f>
        <v/>
      </c>
      <c r="AB3446" s="17" t="str">
        <f aca="false">IF($D3446="","",IF(OR($R3446=TRUE(),$R3446="TRUE"),Settings!$C$6,Settings!$C$7)*100)</f>
        <v/>
      </c>
      <c r="AH3446" s="18" t="str">
        <f aca="false">IF($D3446="","",IF(COUNTIF($D$2:$D3446,$D3446)=1,1,0))</f>
        <v/>
      </c>
      <c r="AI3446" s="18" t="str">
        <f aca="false">IF($AH3446=1,SUMPRODUCT(--($AK$2:$AK$4001&lt;$AK3446))+1,"")</f>
        <v/>
      </c>
      <c r="AJ3446" s="18" t="str">
        <f aca="false">IF($D3446="","",IF(OR($R3446=TRUE(),$R3446="TRUE"),1,0))</f>
        <v/>
      </c>
      <c r="AK3446" s="18" t="str">
        <f aca="false">IF($AH3446=1,IFERROR(VALUE(MID($D3446,2,20)),1000000000)+ROW()/10000000,"")</f>
        <v/>
      </c>
    </row>
    <row r="3447" customFormat="false" ht="15" hidden="false" customHeight="false" outlineLevel="0" collapsed="false">
      <c r="F3447" s="15"/>
      <c r="N3447" s="16" t="str">
        <f aca="false">IF($D3447="","",M3447*Y3447/100)</f>
        <v/>
      </c>
      <c r="V3447" s="16" t="str">
        <f aca="false">IF($D3447="","",Y3447*AB3447/100)</f>
        <v/>
      </c>
      <c r="W3447" s="16" t="str">
        <f aca="false">IF($D3447="","",Y3447-V3447)</f>
        <v/>
      </c>
      <c r="X3447" s="16" t="str">
        <f aca="false">IF($D3447="","",W3447-N3447)</f>
        <v/>
      </c>
      <c r="AB3447" s="17" t="str">
        <f aca="false">IF($D3447="","",IF(OR($R3447=TRUE(),$R3447="TRUE"),Settings!$C$6,Settings!$C$7)*100)</f>
        <v/>
      </c>
      <c r="AH3447" s="18" t="str">
        <f aca="false">IF($D3447="","",IF(COUNTIF($D$2:$D3447,$D3447)=1,1,0))</f>
        <v/>
      </c>
      <c r="AI3447" s="18" t="str">
        <f aca="false">IF($AH3447=1,SUMPRODUCT(--($AK$2:$AK$4001&lt;$AK3447))+1,"")</f>
        <v/>
      </c>
      <c r="AJ3447" s="18" t="str">
        <f aca="false">IF($D3447="","",IF(OR($R3447=TRUE(),$R3447="TRUE"),1,0))</f>
        <v/>
      </c>
      <c r="AK3447" s="18" t="str">
        <f aca="false">IF($AH3447=1,IFERROR(VALUE(MID($D3447,2,20)),1000000000)+ROW()/10000000,"")</f>
        <v/>
      </c>
    </row>
    <row r="3448" customFormat="false" ht="15" hidden="false" customHeight="false" outlineLevel="0" collapsed="false">
      <c r="F3448" s="15"/>
      <c r="N3448" s="16" t="str">
        <f aca="false">IF($D3448="","",M3448*Y3448/100)</f>
        <v/>
      </c>
      <c r="V3448" s="16" t="str">
        <f aca="false">IF($D3448="","",Y3448*AB3448/100)</f>
        <v/>
      </c>
      <c r="W3448" s="16" t="str">
        <f aca="false">IF($D3448="","",Y3448-V3448)</f>
        <v/>
      </c>
      <c r="X3448" s="16" t="str">
        <f aca="false">IF($D3448="","",W3448-N3448)</f>
        <v/>
      </c>
      <c r="AB3448" s="17" t="str">
        <f aca="false">IF($D3448="","",IF(OR($R3448=TRUE(),$R3448="TRUE"),Settings!$C$6,Settings!$C$7)*100)</f>
        <v/>
      </c>
      <c r="AH3448" s="18" t="str">
        <f aca="false">IF($D3448="","",IF(COUNTIF($D$2:$D3448,$D3448)=1,1,0))</f>
        <v/>
      </c>
      <c r="AI3448" s="18" t="str">
        <f aca="false">IF($AH3448=1,SUMPRODUCT(--($AK$2:$AK$4001&lt;$AK3448))+1,"")</f>
        <v/>
      </c>
      <c r="AJ3448" s="18" t="str">
        <f aca="false">IF($D3448="","",IF(OR($R3448=TRUE(),$R3448="TRUE"),1,0))</f>
        <v/>
      </c>
      <c r="AK3448" s="18" t="str">
        <f aca="false">IF($AH3448=1,IFERROR(VALUE(MID($D3448,2,20)),1000000000)+ROW()/10000000,"")</f>
        <v/>
      </c>
    </row>
    <row r="3449" customFormat="false" ht="15" hidden="false" customHeight="false" outlineLevel="0" collapsed="false">
      <c r="F3449" s="15"/>
      <c r="N3449" s="16" t="str">
        <f aca="false">IF($D3449="","",M3449*Y3449/100)</f>
        <v/>
      </c>
      <c r="V3449" s="16" t="str">
        <f aca="false">IF($D3449="","",Y3449*AB3449/100)</f>
        <v/>
      </c>
      <c r="W3449" s="16" t="str">
        <f aca="false">IF($D3449="","",Y3449-V3449)</f>
        <v/>
      </c>
      <c r="X3449" s="16" t="str">
        <f aca="false">IF($D3449="","",W3449-N3449)</f>
        <v/>
      </c>
      <c r="AB3449" s="17" t="str">
        <f aca="false">IF($D3449="","",IF(OR($R3449=TRUE(),$R3449="TRUE"),Settings!$C$6,Settings!$C$7)*100)</f>
        <v/>
      </c>
      <c r="AH3449" s="18" t="str">
        <f aca="false">IF($D3449="","",IF(COUNTIF($D$2:$D3449,$D3449)=1,1,0))</f>
        <v/>
      </c>
      <c r="AI3449" s="18" t="str">
        <f aca="false">IF($AH3449=1,SUMPRODUCT(--($AK$2:$AK$4001&lt;$AK3449))+1,"")</f>
        <v/>
      </c>
      <c r="AJ3449" s="18" t="str">
        <f aca="false">IF($D3449="","",IF(OR($R3449=TRUE(),$R3449="TRUE"),1,0))</f>
        <v/>
      </c>
      <c r="AK3449" s="18" t="str">
        <f aca="false">IF($AH3449=1,IFERROR(VALUE(MID($D3449,2,20)),1000000000)+ROW()/10000000,"")</f>
        <v/>
      </c>
    </row>
    <row r="3450" customFormat="false" ht="15" hidden="false" customHeight="false" outlineLevel="0" collapsed="false">
      <c r="F3450" s="15"/>
      <c r="N3450" s="16" t="str">
        <f aca="false">IF($D3450="","",M3450*Y3450/100)</f>
        <v/>
      </c>
      <c r="V3450" s="16" t="str">
        <f aca="false">IF($D3450="","",Y3450*AB3450/100)</f>
        <v/>
      </c>
      <c r="W3450" s="16" t="str">
        <f aca="false">IF($D3450="","",Y3450-V3450)</f>
        <v/>
      </c>
      <c r="X3450" s="16" t="str">
        <f aca="false">IF($D3450="","",W3450-N3450)</f>
        <v/>
      </c>
      <c r="AB3450" s="17" t="str">
        <f aca="false">IF($D3450="","",IF(OR($R3450=TRUE(),$R3450="TRUE"),Settings!$C$6,Settings!$C$7)*100)</f>
        <v/>
      </c>
      <c r="AH3450" s="18" t="str">
        <f aca="false">IF($D3450="","",IF(COUNTIF($D$2:$D3450,$D3450)=1,1,0))</f>
        <v/>
      </c>
      <c r="AI3450" s="18" t="str">
        <f aca="false">IF($AH3450=1,SUMPRODUCT(--($AK$2:$AK$4001&lt;$AK3450))+1,"")</f>
        <v/>
      </c>
      <c r="AJ3450" s="18" t="str">
        <f aca="false">IF($D3450="","",IF(OR($R3450=TRUE(),$R3450="TRUE"),1,0))</f>
        <v/>
      </c>
      <c r="AK3450" s="18" t="str">
        <f aca="false">IF($AH3450=1,IFERROR(VALUE(MID($D3450,2,20)),1000000000)+ROW()/10000000,"")</f>
        <v/>
      </c>
    </row>
    <row r="3451" customFormat="false" ht="15" hidden="false" customHeight="false" outlineLevel="0" collapsed="false">
      <c r="F3451" s="15"/>
      <c r="N3451" s="16" t="str">
        <f aca="false">IF($D3451="","",M3451*Y3451/100)</f>
        <v/>
      </c>
      <c r="V3451" s="16" t="str">
        <f aca="false">IF($D3451="","",Y3451*AB3451/100)</f>
        <v/>
      </c>
      <c r="W3451" s="16" t="str">
        <f aca="false">IF($D3451="","",Y3451-V3451)</f>
        <v/>
      </c>
      <c r="X3451" s="16" t="str">
        <f aca="false">IF($D3451="","",W3451-N3451)</f>
        <v/>
      </c>
      <c r="AB3451" s="17" t="str">
        <f aca="false">IF($D3451="","",IF(OR($R3451=TRUE(),$R3451="TRUE"),Settings!$C$6,Settings!$C$7)*100)</f>
        <v/>
      </c>
      <c r="AH3451" s="18" t="str">
        <f aca="false">IF($D3451="","",IF(COUNTIF($D$2:$D3451,$D3451)=1,1,0))</f>
        <v/>
      </c>
      <c r="AI3451" s="18" t="str">
        <f aca="false">IF($AH3451=1,SUMPRODUCT(--($AK$2:$AK$4001&lt;$AK3451))+1,"")</f>
        <v/>
      </c>
      <c r="AJ3451" s="18" t="str">
        <f aca="false">IF($D3451="","",IF(OR($R3451=TRUE(),$R3451="TRUE"),1,0))</f>
        <v/>
      </c>
      <c r="AK3451" s="18" t="str">
        <f aca="false">IF($AH3451=1,IFERROR(VALUE(MID($D3451,2,20)),1000000000)+ROW()/10000000,"")</f>
        <v/>
      </c>
    </row>
    <row r="3452" customFormat="false" ht="15" hidden="false" customHeight="false" outlineLevel="0" collapsed="false">
      <c r="F3452" s="15"/>
      <c r="N3452" s="16" t="str">
        <f aca="false">IF($D3452="","",M3452*Y3452/100)</f>
        <v/>
      </c>
      <c r="V3452" s="16" t="str">
        <f aca="false">IF($D3452="","",Y3452*AB3452/100)</f>
        <v/>
      </c>
      <c r="W3452" s="16" t="str">
        <f aca="false">IF($D3452="","",Y3452-V3452)</f>
        <v/>
      </c>
      <c r="X3452" s="16" t="str">
        <f aca="false">IF($D3452="","",W3452-N3452)</f>
        <v/>
      </c>
      <c r="AB3452" s="17" t="str">
        <f aca="false">IF($D3452="","",IF(OR($R3452=TRUE(),$R3452="TRUE"),Settings!$C$6,Settings!$C$7)*100)</f>
        <v/>
      </c>
      <c r="AH3452" s="18" t="str">
        <f aca="false">IF($D3452="","",IF(COUNTIF($D$2:$D3452,$D3452)=1,1,0))</f>
        <v/>
      </c>
      <c r="AI3452" s="18" t="str">
        <f aca="false">IF($AH3452=1,SUMPRODUCT(--($AK$2:$AK$4001&lt;$AK3452))+1,"")</f>
        <v/>
      </c>
      <c r="AJ3452" s="18" t="str">
        <f aca="false">IF($D3452="","",IF(OR($R3452=TRUE(),$R3452="TRUE"),1,0))</f>
        <v/>
      </c>
      <c r="AK3452" s="18" t="str">
        <f aca="false">IF($AH3452=1,IFERROR(VALUE(MID($D3452,2,20)),1000000000)+ROW()/10000000,"")</f>
        <v/>
      </c>
    </row>
    <row r="3453" customFormat="false" ht="15" hidden="false" customHeight="false" outlineLevel="0" collapsed="false">
      <c r="F3453" s="15"/>
      <c r="N3453" s="16" t="str">
        <f aca="false">IF($D3453="","",M3453*Y3453/100)</f>
        <v/>
      </c>
      <c r="V3453" s="16" t="str">
        <f aca="false">IF($D3453="","",Y3453*AB3453/100)</f>
        <v/>
      </c>
      <c r="W3453" s="16" t="str">
        <f aca="false">IF($D3453="","",Y3453-V3453)</f>
        <v/>
      </c>
      <c r="X3453" s="16" t="str">
        <f aca="false">IF($D3453="","",W3453-N3453)</f>
        <v/>
      </c>
      <c r="AB3453" s="17" t="str">
        <f aca="false">IF($D3453="","",IF(OR($R3453=TRUE(),$R3453="TRUE"),Settings!$C$6,Settings!$C$7)*100)</f>
        <v/>
      </c>
      <c r="AH3453" s="18" t="str">
        <f aca="false">IF($D3453="","",IF(COUNTIF($D$2:$D3453,$D3453)=1,1,0))</f>
        <v/>
      </c>
      <c r="AI3453" s="18" t="str">
        <f aca="false">IF($AH3453=1,SUMPRODUCT(--($AK$2:$AK$4001&lt;$AK3453))+1,"")</f>
        <v/>
      </c>
      <c r="AJ3453" s="18" t="str">
        <f aca="false">IF($D3453="","",IF(OR($R3453=TRUE(),$R3453="TRUE"),1,0))</f>
        <v/>
      </c>
      <c r="AK3453" s="18" t="str">
        <f aca="false">IF($AH3453=1,IFERROR(VALUE(MID($D3453,2,20)),1000000000)+ROW()/10000000,"")</f>
        <v/>
      </c>
    </row>
    <row r="3454" customFormat="false" ht="15" hidden="false" customHeight="false" outlineLevel="0" collapsed="false">
      <c r="F3454" s="15"/>
      <c r="N3454" s="16" t="str">
        <f aca="false">IF($D3454="","",M3454*Y3454/100)</f>
        <v/>
      </c>
      <c r="V3454" s="16" t="str">
        <f aca="false">IF($D3454="","",Y3454*AB3454/100)</f>
        <v/>
      </c>
      <c r="W3454" s="16" t="str">
        <f aca="false">IF($D3454="","",Y3454-V3454)</f>
        <v/>
      </c>
      <c r="X3454" s="16" t="str">
        <f aca="false">IF($D3454="","",W3454-N3454)</f>
        <v/>
      </c>
      <c r="AB3454" s="17" t="str">
        <f aca="false">IF($D3454="","",IF(OR($R3454=TRUE(),$R3454="TRUE"),Settings!$C$6,Settings!$C$7)*100)</f>
        <v/>
      </c>
      <c r="AH3454" s="18" t="str">
        <f aca="false">IF($D3454="","",IF(COUNTIF($D$2:$D3454,$D3454)=1,1,0))</f>
        <v/>
      </c>
      <c r="AI3454" s="18" t="str">
        <f aca="false">IF($AH3454=1,SUMPRODUCT(--($AK$2:$AK$4001&lt;$AK3454))+1,"")</f>
        <v/>
      </c>
      <c r="AJ3454" s="18" t="str">
        <f aca="false">IF($D3454="","",IF(OR($R3454=TRUE(),$R3454="TRUE"),1,0))</f>
        <v/>
      </c>
      <c r="AK3454" s="18" t="str">
        <f aca="false">IF($AH3454=1,IFERROR(VALUE(MID($D3454,2,20)),1000000000)+ROW()/10000000,"")</f>
        <v/>
      </c>
    </row>
    <row r="3455" customFormat="false" ht="15" hidden="false" customHeight="false" outlineLevel="0" collapsed="false">
      <c r="F3455" s="15"/>
      <c r="N3455" s="16" t="str">
        <f aca="false">IF($D3455="","",M3455*Y3455/100)</f>
        <v/>
      </c>
      <c r="V3455" s="16" t="str">
        <f aca="false">IF($D3455="","",Y3455*AB3455/100)</f>
        <v/>
      </c>
      <c r="W3455" s="16" t="str">
        <f aca="false">IF($D3455="","",Y3455-V3455)</f>
        <v/>
      </c>
      <c r="X3455" s="16" t="str">
        <f aca="false">IF($D3455="","",W3455-N3455)</f>
        <v/>
      </c>
      <c r="AB3455" s="17" t="str">
        <f aca="false">IF($D3455="","",IF(OR($R3455=TRUE(),$R3455="TRUE"),Settings!$C$6,Settings!$C$7)*100)</f>
        <v/>
      </c>
      <c r="AH3455" s="18" t="str">
        <f aca="false">IF($D3455="","",IF(COUNTIF($D$2:$D3455,$D3455)=1,1,0))</f>
        <v/>
      </c>
      <c r="AI3455" s="18" t="str">
        <f aca="false">IF($AH3455=1,SUMPRODUCT(--($AK$2:$AK$4001&lt;$AK3455))+1,"")</f>
        <v/>
      </c>
      <c r="AJ3455" s="18" t="str">
        <f aca="false">IF($D3455="","",IF(OR($R3455=TRUE(),$R3455="TRUE"),1,0))</f>
        <v/>
      </c>
      <c r="AK3455" s="18" t="str">
        <f aca="false">IF($AH3455=1,IFERROR(VALUE(MID($D3455,2,20)),1000000000)+ROW()/10000000,"")</f>
        <v/>
      </c>
    </row>
    <row r="3456" customFormat="false" ht="15" hidden="false" customHeight="false" outlineLevel="0" collapsed="false">
      <c r="F3456" s="15"/>
      <c r="N3456" s="16" t="str">
        <f aca="false">IF($D3456="","",M3456*Y3456/100)</f>
        <v/>
      </c>
      <c r="V3456" s="16" t="str">
        <f aca="false">IF($D3456="","",Y3456*AB3456/100)</f>
        <v/>
      </c>
      <c r="W3456" s="16" t="str">
        <f aca="false">IF($D3456="","",Y3456-V3456)</f>
        <v/>
      </c>
      <c r="X3456" s="16" t="str">
        <f aca="false">IF($D3456="","",W3456-N3456)</f>
        <v/>
      </c>
      <c r="AB3456" s="17" t="str">
        <f aca="false">IF($D3456="","",IF(OR($R3456=TRUE(),$R3456="TRUE"),Settings!$C$6,Settings!$C$7)*100)</f>
        <v/>
      </c>
      <c r="AH3456" s="18" t="str">
        <f aca="false">IF($D3456="","",IF(COUNTIF($D$2:$D3456,$D3456)=1,1,0))</f>
        <v/>
      </c>
      <c r="AI3456" s="18" t="str">
        <f aca="false">IF($AH3456=1,SUMPRODUCT(--($AK$2:$AK$4001&lt;$AK3456))+1,"")</f>
        <v/>
      </c>
      <c r="AJ3456" s="18" t="str">
        <f aca="false">IF($D3456="","",IF(OR($R3456=TRUE(),$R3456="TRUE"),1,0))</f>
        <v/>
      </c>
      <c r="AK3456" s="18" t="str">
        <f aca="false">IF($AH3456=1,IFERROR(VALUE(MID($D3456,2,20)),1000000000)+ROW()/10000000,"")</f>
        <v/>
      </c>
    </row>
    <row r="3457" customFormat="false" ht="15" hidden="false" customHeight="false" outlineLevel="0" collapsed="false">
      <c r="F3457" s="15"/>
      <c r="N3457" s="16" t="str">
        <f aca="false">IF($D3457="","",M3457*Y3457/100)</f>
        <v/>
      </c>
      <c r="V3457" s="16" t="str">
        <f aca="false">IF($D3457="","",Y3457*AB3457/100)</f>
        <v/>
      </c>
      <c r="W3457" s="16" t="str">
        <f aca="false">IF($D3457="","",Y3457-V3457)</f>
        <v/>
      </c>
      <c r="X3457" s="16" t="str">
        <f aca="false">IF($D3457="","",W3457-N3457)</f>
        <v/>
      </c>
      <c r="AB3457" s="17" t="str">
        <f aca="false">IF($D3457="","",IF(OR($R3457=TRUE(),$R3457="TRUE"),Settings!$C$6,Settings!$C$7)*100)</f>
        <v/>
      </c>
      <c r="AH3457" s="18" t="str">
        <f aca="false">IF($D3457="","",IF(COUNTIF($D$2:$D3457,$D3457)=1,1,0))</f>
        <v/>
      </c>
      <c r="AI3457" s="18" t="str">
        <f aca="false">IF($AH3457=1,SUMPRODUCT(--($AK$2:$AK$4001&lt;$AK3457))+1,"")</f>
        <v/>
      </c>
      <c r="AJ3457" s="18" t="str">
        <f aca="false">IF($D3457="","",IF(OR($R3457=TRUE(),$R3457="TRUE"),1,0))</f>
        <v/>
      </c>
      <c r="AK3457" s="18" t="str">
        <f aca="false">IF($AH3457=1,IFERROR(VALUE(MID($D3457,2,20)),1000000000)+ROW()/10000000,"")</f>
        <v/>
      </c>
    </row>
    <row r="3458" customFormat="false" ht="15" hidden="false" customHeight="false" outlineLevel="0" collapsed="false">
      <c r="F3458" s="15"/>
      <c r="N3458" s="16" t="str">
        <f aca="false">IF($D3458="","",M3458*Y3458/100)</f>
        <v/>
      </c>
      <c r="V3458" s="16" t="str">
        <f aca="false">IF($D3458="","",Y3458*AB3458/100)</f>
        <v/>
      </c>
      <c r="W3458" s="16" t="str">
        <f aca="false">IF($D3458="","",Y3458-V3458)</f>
        <v/>
      </c>
      <c r="X3458" s="16" t="str">
        <f aca="false">IF($D3458="","",W3458-N3458)</f>
        <v/>
      </c>
      <c r="AB3458" s="17" t="str">
        <f aca="false">IF($D3458="","",IF(OR($R3458=TRUE(),$R3458="TRUE"),Settings!$C$6,Settings!$C$7)*100)</f>
        <v/>
      </c>
      <c r="AH3458" s="18" t="str">
        <f aca="false">IF($D3458="","",IF(COUNTIF($D$2:$D3458,$D3458)=1,1,0))</f>
        <v/>
      </c>
      <c r="AI3458" s="18" t="str">
        <f aca="false">IF($AH3458=1,SUMPRODUCT(--($AK$2:$AK$4001&lt;$AK3458))+1,"")</f>
        <v/>
      </c>
      <c r="AJ3458" s="18" t="str">
        <f aca="false">IF($D3458="","",IF(OR($R3458=TRUE(),$R3458="TRUE"),1,0))</f>
        <v/>
      </c>
      <c r="AK3458" s="18" t="str">
        <f aca="false">IF($AH3458=1,IFERROR(VALUE(MID($D3458,2,20)),1000000000)+ROW()/10000000,"")</f>
        <v/>
      </c>
    </row>
    <row r="3459" customFormat="false" ht="15" hidden="false" customHeight="false" outlineLevel="0" collapsed="false">
      <c r="F3459" s="15"/>
      <c r="N3459" s="16" t="str">
        <f aca="false">IF($D3459="","",M3459*Y3459/100)</f>
        <v/>
      </c>
      <c r="V3459" s="16" t="str">
        <f aca="false">IF($D3459="","",Y3459*AB3459/100)</f>
        <v/>
      </c>
      <c r="W3459" s="16" t="str">
        <f aca="false">IF($D3459="","",Y3459-V3459)</f>
        <v/>
      </c>
      <c r="X3459" s="16" t="str">
        <f aca="false">IF($D3459="","",W3459-N3459)</f>
        <v/>
      </c>
      <c r="AB3459" s="17" t="str">
        <f aca="false">IF($D3459="","",IF(OR($R3459=TRUE(),$R3459="TRUE"),Settings!$C$6,Settings!$C$7)*100)</f>
        <v/>
      </c>
      <c r="AH3459" s="18" t="str">
        <f aca="false">IF($D3459="","",IF(COUNTIF($D$2:$D3459,$D3459)=1,1,0))</f>
        <v/>
      </c>
      <c r="AI3459" s="18" t="str">
        <f aca="false">IF($AH3459=1,SUMPRODUCT(--($AK$2:$AK$4001&lt;$AK3459))+1,"")</f>
        <v/>
      </c>
      <c r="AJ3459" s="18" t="str">
        <f aca="false">IF($D3459="","",IF(OR($R3459=TRUE(),$R3459="TRUE"),1,0))</f>
        <v/>
      </c>
      <c r="AK3459" s="18" t="str">
        <f aca="false">IF($AH3459=1,IFERROR(VALUE(MID($D3459,2,20)),1000000000)+ROW()/10000000,"")</f>
        <v/>
      </c>
    </row>
    <row r="3460" customFormat="false" ht="15" hidden="false" customHeight="false" outlineLevel="0" collapsed="false">
      <c r="F3460" s="15"/>
      <c r="N3460" s="16" t="str">
        <f aca="false">IF($D3460="","",M3460*Y3460/100)</f>
        <v/>
      </c>
      <c r="V3460" s="16" t="str">
        <f aca="false">IF($D3460="","",Y3460*AB3460/100)</f>
        <v/>
      </c>
      <c r="W3460" s="16" t="str">
        <f aca="false">IF($D3460="","",Y3460-V3460)</f>
        <v/>
      </c>
      <c r="X3460" s="16" t="str">
        <f aca="false">IF($D3460="","",W3460-N3460)</f>
        <v/>
      </c>
      <c r="AB3460" s="17" t="str">
        <f aca="false">IF($D3460="","",IF(OR($R3460=TRUE(),$R3460="TRUE"),Settings!$C$6,Settings!$C$7)*100)</f>
        <v/>
      </c>
      <c r="AH3460" s="18" t="str">
        <f aca="false">IF($D3460="","",IF(COUNTIF($D$2:$D3460,$D3460)=1,1,0))</f>
        <v/>
      </c>
      <c r="AI3460" s="18" t="str">
        <f aca="false">IF($AH3460=1,SUMPRODUCT(--($AK$2:$AK$4001&lt;$AK3460))+1,"")</f>
        <v/>
      </c>
      <c r="AJ3460" s="18" t="str">
        <f aca="false">IF($D3460="","",IF(OR($R3460=TRUE(),$R3460="TRUE"),1,0))</f>
        <v/>
      </c>
      <c r="AK3460" s="18" t="str">
        <f aca="false">IF($AH3460=1,IFERROR(VALUE(MID($D3460,2,20)),1000000000)+ROW()/10000000,"")</f>
        <v/>
      </c>
    </row>
    <row r="3461" customFormat="false" ht="15" hidden="false" customHeight="false" outlineLevel="0" collapsed="false">
      <c r="F3461" s="15"/>
      <c r="N3461" s="16" t="str">
        <f aca="false">IF($D3461="","",M3461*Y3461/100)</f>
        <v/>
      </c>
      <c r="V3461" s="16" t="str">
        <f aca="false">IF($D3461="","",Y3461*AB3461/100)</f>
        <v/>
      </c>
      <c r="W3461" s="16" t="str">
        <f aca="false">IF($D3461="","",Y3461-V3461)</f>
        <v/>
      </c>
      <c r="X3461" s="16" t="str">
        <f aca="false">IF($D3461="","",W3461-N3461)</f>
        <v/>
      </c>
      <c r="AB3461" s="17" t="str">
        <f aca="false">IF($D3461="","",IF(OR($R3461=TRUE(),$R3461="TRUE"),Settings!$C$6,Settings!$C$7)*100)</f>
        <v/>
      </c>
      <c r="AH3461" s="18" t="str">
        <f aca="false">IF($D3461="","",IF(COUNTIF($D$2:$D3461,$D3461)=1,1,0))</f>
        <v/>
      </c>
      <c r="AI3461" s="18" t="str">
        <f aca="false">IF($AH3461=1,SUMPRODUCT(--($AK$2:$AK$4001&lt;$AK3461))+1,"")</f>
        <v/>
      </c>
      <c r="AJ3461" s="18" t="str">
        <f aca="false">IF($D3461="","",IF(OR($R3461=TRUE(),$R3461="TRUE"),1,0))</f>
        <v/>
      </c>
      <c r="AK3461" s="18" t="str">
        <f aca="false">IF($AH3461=1,IFERROR(VALUE(MID($D3461,2,20)),1000000000)+ROW()/10000000,"")</f>
        <v/>
      </c>
    </row>
    <row r="3462" customFormat="false" ht="15" hidden="false" customHeight="false" outlineLevel="0" collapsed="false">
      <c r="F3462" s="15"/>
      <c r="N3462" s="16" t="str">
        <f aca="false">IF($D3462="","",M3462*Y3462/100)</f>
        <v/>
      </c>
      <c r="V3462" s="16" t="str">
        <f aca="false">IF($D3462="","",Y3462*AB3462/100)</f>
        <v/>
      </c>
      <c r="W3462" s="16" t="str">
        <f aca="false">IF($D3462="","",Y3462-V3462)</f>
        <v/>
      </c>
      <c r="X3462" s="16" t="str">
        <f aca="false">IF($D3462="","",W3462-N3462)</f>
        <v/>
      </c>
      <c r="AB3462" s="17" t="str">
        <f aca="false">IF($D3462="","",IF(OR($R3462=TRUE(),$R3462="TRUE"),Settings!$C$6,Settings!$C$7)*100)</f>
        <v/>
      </c>
      <c r="AH3462" s="18" t="str">
        <f aca="false">IF($D3462="","",IF(COUNTIF($D$2:$D3462,$D3462)=1,1,0))</f>
        <v/>
      </c>
      <c r="AI3462" s="18" t="str">
        <f aca="false">IF($AH3462=1,SUMPRODUCT(--($AK$2:$AK$4001&lt;$AK3462))+1,"")</f>
        <v/>
      </c>
      <c r="AJ3462" s="18" t="str">
        <f aca="false">IF($D3462="","",IF(OR($R3462=TRUE(),$R3462="TRUE"),1,0))</f>
        <v/>
      </c>
      <c r="AK3462" s="18" t="str">
        <f aca="false">IF($AH3462=1,IFERROR(VALUE(MID($D3462,2,20)),1000000000)+ROW()/10000000,"")</f>
        <v/>
      </c>
    </row>
    <row r="3463" customFormat="false" ht="15" hidden="false" customHeight="false" outlineLevel="0" collapsed="false">
      <c r="F3463" s="15"/>
      <c r="N3463" s="16" t="str">
        <f aca="false">IF($D3463="","",M3463*Y3463/100)</f>
        <v/>
      </c>
      <c r="V3463" s="16" t="str">
        <f aca="false">IF($D3463="","",Y3463*AB3463/100)</f>
        <v/>
      </c>
      <c r="W3463" s="16" t="str">
        <f aca="false">IF($D3463="","",Y3463-V3463)</f>
        <v/>
      </c>
      <c r="X3463" s="16" t="str">
        <f aca="false">IF($D3463="","",W3463-N3463)</f>
        <v/>
      </c>
      <c r="AB3463" s="17" t="str">
        <f aca="false">IF($D3463="","",IF(OR($R3463=TRUE(),$R3463="TRUE"),Settings!$C$6,Settings!$C$7)*100)</f>
        <v/>
      </c>
      <c r="AH3463" s="18" t="str">
        <f aca="false">IF($D3463="","",IF(COUNTIF($D$2:$D3463,$D3463)=1,1,0))</f>
        <v/>
      </c>
      <c r="AI3463" s="18" t="str">
        <f aca="false">IF($AH3463=1,SUMPRODUCT(--($AK$2:$AK$4001&lt;$AK3463))+1,"")</f>
        <v/>
      </c>
      <c r="AJ3463" s="18" t="str">
        <f aca="false">IF($D3463="","",IF(OR($R3463=TRUE(),$R3463="TRUE"),1,0))</f>
        <v/>
      </c>
      <c r="AK3463" s="18" t="str">
        <f aca="false">IF($AH3463=1,IFERROR(VALUE(MID($D3463,2,20)),1000000000)+ROW()/10000000,"")</f>
        <v/>
      </c>
    </row>
    <row r="3464" customFormat="false" ht="15" hidden="false" customHeight="false" outlineLevel="0" collapsed="false">
      <c r="F3464" s="15"/>
      <c r="N3464" s="16" t="str">
        <f aca="false">IF($D3464="","",M3464*Y3464/100)</f>
        <v/>
      </c>
      <c r="V3464" s="16" t="str">
        <f aca="false">IF($D3464="","",Y3464*AB3464/100)</f>
        <v/>
      </c>
      <c r="W3464" s="16" t="str">
        <f aca="false">IF($D3464="","",Y3464-V3464)</f>
        <v/>
      </c>
      <c r="X3464" s="16" t="str">
        <f aca="false">IF($D3464="","",W3464-N3464)</f>
        <v/>
      </c>
      <c r="AB3464" s="17" t="str">
        <f aca="false">IF($D3464="","",IF(OR($R3464=TRUE(),$R3464="TRUE"),Settings!$C$6,Settings!$C$7)*100)</f>
        <v/>
      </c>
      <c r="AH3464" s="18" t="str">
        <f aca="false">IF($D3464="","",IF(COUNTIF($D$2:$D3464,$D3464)=1,1,0))</f>
        <v/>
      </c>
      <c r="AI3464" s="18" t="str">
        <f aca="false">IF($AH3464=1,SUMPRODUCT(--($AK$2:$AK$4001&lt;$AK3464))+1,"")</f>
        <v/>
      </c>
      <c r="AJ3464" s="18" t="str">
        <f aca="false">IF($D3464="","",IF(OR($R3464=TRUE(),$R3464="TRUE"),1,0))</f>
        <v/>
      </c>
      <c r="AK3464" s="18" t="str">
        <f aca="false">IF($AH3464=1,IFERROR(VALUE(MID($D3464,2,20)),1000000000)+ROW()/10000000,"")</f>
        <v/>
      </c>
    </row>
    <row r="3465" customFormat="false" ht="15" hidden="false" customHeight="false" outlineLevel="0" collapsed="false">
      <c r="F3465" s="15"/>
      <c r="N3465" s="16" t="str">
        <f aca="false">IF($D3465="","",M3465*Y3465/100)</f>
        <v/>
      </c>
      <c r="V3465" s="16" t="str">
        <f aca="false">IF($D3465="","",Y3465*AB3465/100)</f>
        <v/>
      </c>
      <c r="W3465" s="16" t="str">
        <f aca="false">IF($D3465="","",Y3465-V3465)</f>
        <v/>
      </c>
      <c r="X3465" s="16" t="str">
        <f aca="false">IF($D3465="","",W3465-N3465)</f>
        <v/>
      </c>
      <c r="AB3465" s="17" t="str">
        <f aca="false">IF($D3465="","",IF(OR($R3465=TRUE(),$R3465="TRUE"),Settings!$C$6,Settings!$C$7)*100)</f>
        <v/>
      </c>
      <c r="AH3465" s="18" t="str">
        <f aca="false">IF($D3465="","",IF(COUNTIF($D$2:$D3465,$D3465)=1,1,0))</f>
        <v/>
      </c>
      <c r="AI3465" s="18" t="str">
        <f aca="false">IF($AH3465=1,SUMPRODUCT(--($AK$2:$AK$4001&lt;$AK3465))+1,"")</f>
        <v/>
      </c>
      <c r="AJ3465" s="18" t="str">
        <f aca="false">IF($D3465="","",IF(OR($R3465=TRUE(),$R3465="TRUE"),1,0))</f>
        <v/>
      </c>
      <c r="AK3465" s="18" t="str">
        <f aca="false">IF($AH3465=1,IFERROR(VALUE(MID($D3465,2,20)),1000000000)+ROW()/10000000,"")</f>
        <v/>
      </c>
    </row>
    <row r="3466" customFormat="false" ht="15" hidden="false" customHeight="false" outlineLevel="0" collapsed="false">
      <c r="F3466" s="15"/>
      <c r="N3466" s="16" t="str">
        <f aca="false">IF($D3466="","",M3466*Y3466/100)</f>
        <v/>
      </c>
      <c r="V3466" s="16" t="str">
        <f aca="false">IF($D3466="","",Y3466*AB3466/100)</f>
        <v/>
      </c>
      <c r="W3466" s="16" t="str">
        <f aca="false">IF($D3466="","",Y3466-V3466)</f>
        <v/>
      </c>
      <c r="X3466" s="16" t="str">
        <f aca="false">IF($D3466="","",W3466-N3466)</f>
        <v/>
      </c>
      <c r="AB3466" s="17" t="str">
        <f aca="false">IF($D3466="","",IF(OR($R3466=TRUE(),$R3466="TRUE"),Settings!$C$6,Settings!$C$7)*100)</f>
        <v/>
      </c>
      <c r="AH3466" s="18" t="str">
        <f aca="false">IF($D3466="","",IF(COUNTIF($D$2:$D3466,$D3466)=1,1,0))</f>
        <v/>
      </c>
      <c r="AI3466" s="18" t="str">
        <f aca="false">IF($AH3466=1,SUMPRODUCT(--($AK$2:$AK$4001&lt;$AK3466))+1,"")</f>
        <v/>
      </c>
      <c r="AJ3466" s="18" t="str">
        <f aca="false">IF($D3466="","",IF(OR($R3466=TRUE(),$R3466="TRUE"),1,0))</f>
        <v/>
      </c>
      <c r="AK3466" s="18" t="str">
        <f aca="false">IF($AH3466=1,IFERROR(VALUE(MID($D3466,2,20)),1000000000)+ROW()/10000000,"")</f>
        <v/>
      </c>
    </row>
    <row r="3467" customFormat="false" ht="15" hidden="false" customHeight="false" outlineLevel="0" collapsed="false">
      <c r="F3467" s="15"/>
      <c r="N3467" s="16" t="str">
        <f aca="false">IF($D3467="","",M3467*Y3467/100)</f>
        <v/>
      </c>
      <c r="V3467" s="16" t="str">
        <f aca="false">IF($D3467="","",Y3467*AB3467/100)</f>
        <v/>
      </c>
      <c r="W3467" s="16" t="str">
        <f aca="false">IF($D3467="","",Y3467-V3467)</f>
        <v/>
      </c>
      <c r="X3467" s="16" t="str">
        <f aca="false">IF($D3467="","",W3467-N3467)</f>
        <v/>
      </c>
      <c r="AB3467" s="17" t="str">
        <f aca="false">IF($D3467="","",IF(OR($R3467=TRUE(),$R3467="TRUE"),Settings!$C$6,Settings!$C$7)*100)</f>
        <v/>
      </c>
      <c r="AH3467" s="18" t="str">
        <f aca="false">IF($D3467="","",IF(COUNTIF($D$2:$D3467,$D3467)=1,1,0))</f>
        <v/>
      </c>
      <c r="AI3467" s="18" t="str">
        <f aca="false">IF($AH3467=1,SUMPRODUCT(--($AK$2:$AK$4001&lt;$AK3467))+1,"")</f>
        <v/>
      </c>
      <c r="AJ3467" s="18" t="str">
        <f aca="false">IF($D3467="","",IF(OR($R3467=TRUE(),$R3467="TRUE"),1,0))</f>
        <v/>
      </c>
      <c r="AK3467" s="18" t="str">
        <f aca="false">IF($AH3467=1,IFERROR(VALUE(MID($D3467,2,20)),1000000000)+ROW()/10000000,"")</f>
        <v/>
      </c>
    </row>
    <row r="3468" customFormat="false" ht="15" hidden="false" customHeight="false" outlineLevel="0" collapsed="false">
      <c r="F3468" s="15"/>
      <c r="N3468" s="16" t="str">
        <f aca="false">IF($D3468="","",M3468*Y3468/100)</f>
        <v/>
      </c>
      <c r="V3468" s="16" t="str">
        <f aca="false">IF($D3468="","",Y3468*AB3468/100)</f>
        <v/>
      </c>
      <c r="W3468" s="16" t="str">
        <f aca="false">IF($D3468="","",Y3468-V3468)</f>
        <v/>
      </c>
      <c r="X3468" s="16" t="str">
        <f aca="false">IF($D3468="","",W3468-N3468)</f>
        <v/>
      </c>
      <c r="AB3468" s="17" t="str">
        <f aca="false">IF($D3468="","",IF(OR($R3468=TRUE(),$R3468="TRUE"),Settings!$C$6,Settings!$C$7)*100)</f>
        <v/>
      </c>
      <c r="AH3468" s="18" t="str">
        <f aca="false">IF($D3468="","",IF(COUNTIF($D$2:$D3468,$D3468)=1,1,0))</f>
        <v/>
      </c>
      <c r="AI3468" s="18" t="str">
        <f aca="false">IF($AH3468=1,SUMPRODUCT(--($AK$2:$AK$4001&lt;$AK3468))+1,"")</f>
        <v/>
      </c>
      <c r="AJ3468" s="18" t="str">
        <f aca="false">IF($D3468="","",IF(OR($R3468=TRUE(),$R3468="TRUE"),1,0))</f>
        <v/>
      </c>
      <c r="AK3468" s="18" t="str">
        <f aca="false">IF($AH3468=1,IFERROR(VALUE(MID($D3468,2,20)),1000000000)+ROW()/10000000,"")</f>
        <v/>
      </c>
    </row>
    <row r="3469" customFormat="false" ht="15" hidden="false" customHeight="false" outlineLevel="0" collapsed="false">
      <c r="F3469" s="15"/>
      <c r="N3469" s="16" t="str">
        <f aca="false">IF($D3469="","",M3469*Y3469/100)</f>
        <v/>
      </c>
      <c r="V3469" s="16" t="str">
        <f aca="false">IF($D3469="","",Y3469*AB3469/100)</f>
        <v/>
      </c>
      <c r="W3469" s="16" t="str">
        <f aca="false">IF($D3469="","",Y3469-V3469)</f>
        <v/>
      </c>
      <c r="X3469" s="16" t="str">
        <f aca="false">IF($D3469="","",W3469-N3469)</f>
        <v/>
      </c>
      <c r="AB3469" s="17" t="str">
        <f aca="false">IF($D3469="","",IF(OR($R3469=TRUE(),$R3469="TRUE"),Settings!$C$6,Settings!$C$7)*100)</f>
        <v/>
      </c>
      <c r="AH3469" s="18" t="str">
        <f aca="false">IF($D3469="","",IF(COUNTIF($D$2:$D3469,$D3469)=1,1,0))</f>
        <v/>
      </c>
      <c r="AI3469" s="18" t="str">
        <f aca="false">IF($AH3469=1,SUMPRODUCT(--($AK$2:$AK$4001&lt;$AK3469))+1,"")</f>
        <v/>
      </c>
      <c r="AJ3469" s="18" t="str">
        <f aca="false">IF($D3469="","",IF(OR($R3469=TRUE(),$R3469="TRUE"),1,0))</f>
        <v/>
      </c>
      <c r="AK3469" s="18" t="str">
        <f aca="false">IF($AH3469=1,IFERROR(VALUE(MID($D3469,2,20)),1000000000)+ROW()/10000000,"")</f>
        <v/>
      </c>
    </row>
    <row r="3470" customFormat="false" ht="15" hidden="false" customHeight="false" outlineLevel="0" collapsed="false">
      <c r="F3470" s="15"/>
      <c r="N3470" s="16" t="str">
        <f aca="false">IF($D3470="","",M3470*Y3470/100)</f>
        <v/>
      </c>
      <c r="V3470" s="16" t="str">
        <f aca="false">IF($D3470="","",Y3470*AB3470/100)</f>
        <v/>
      </c>
      <c r="W3470" s="16" t="str">
        <f aca="false">IF($D3470="","",Y3470-V3470)</f>
        <v/>
      </c>
      <c r="X3470" s="16" t="str">
        <f aca="false">IF($D3470="","",W3470-N3470)</f>
        <v/>
      </c>
      <c r="AB3470" s="17" t="str">
        <f aca="false">IF($D3470="","",IF(OR($R3470=TRUE(),$R3470="TRUE"),Settings!$C$6,Settings!$C$7)*100)</f>
        <v/>
      </c>
      <c r="AH3470" s="18" t="str">
        <f aca="false">IF($D3470="","",IF(COUNTIF($D$2:$D3470,$D3470)=1,1,0))</f>
        <v/>
      </c>
      <c r="AI3470" s="18" t="str">
        <f aca="false">IF($AH3470=1,SUMPRODUCT(--($AK$2:$AK$4001&lt;$AK3470))+1,"")</f>
        <v/>
      </c>
      <c r="AJ3470" s="18" t="str">
        <f aca="false">IF($D3470="","",IF(OR($R3470=TRUE(),$R3470="TRUE"),1,0))</f>
        <v/>
      </c>
      <c r="AK3470" s="18" t="str">
        <f aca="false">IF($AH3470=1,IFERROR(VALUE(MID($D3470,2,20)),1000000000)+ROW()/10000000,"")</f>
        <v/>
      </c>
    </row>
    <row r="3471" customFormat="false" ht="15" hidden="false" customHeight="false" outlineLevel="0" collapsed="false">
      <c r="F3471" s="15"/>
      <c r="N3471" s="16" t="str">
        <f aca="false">IF($D3471="","",M3471*Y3471/100)</f>
        <v/>
      </c>
      <c r="V3471" s="16" t="str">
        <f aca="false">IF($D3471="","",Y3471*AB3471/100)</f>
        <v/>
      </c>
      <c r="W3471" s="16" t="str">
        <f aca="false">IF($D3471="","",Y3471-V3471)</f>
        <v/>
      </c>
      <c r="X3471" s="16" t="str">
        <f aca="false">IF($D3471="","",W3471-N3471)</f>
        <v/>
      </c>
      <c r="AB3471" s="17" t="str">
        <f aca="false">IF($D3471="","",IF(OR($R3471=TRUE(),$R3471="TRUE"),Settings!$C$6,Settings!$C$7)*100)</f>
        <v/>
      </c>
      <c r="AH3471" s="18" t="str">
        <f aca="false">IF($D3471="","",IF(COUNTIF($D$2:$D3471,$D3471)=1,1,0))</f>
        <v/>
      </c>
      <c r="AI3471" s="18" t="str">
        <f aca="false">IF($AH3471=1,SUMPRODUCT(--($AK$2:$AK$4001&lt;$AK3471))+1,"")</f>
        <v/>
      </c>
      <c r="AJ3471" s="18" t="str">
        <f aca="false">IF($D3471="","",IF(OR($R3471=TRUE(),$R3471="TRUE"),1,0))</f>
        <v/>
      </c>
      <c r="AK3471" s="18" t="str">
        <f aca="false">IF($AH3471=1,IFERROR(VALUE(MID($D3471,2,20)),1000000000)+ROW()/10000000,"")</f>
        <v/>
      </c>
    </row>
    <row r="3472" customFormat="false" ht="15" hidden="false" customHeight="false" outlineLevel="0" collapsed="false">
      <c r="F3472" s="15"/>
      <c r="N3472" s="16" t="str">
        <f aca="false">IF($D3472="","",M3472*Y3472/100)</f>
        <v/>
      </c>
      <c r="V3472" s="16" t="str">
        <f aca="false">IF($D3472="","",Y3472*AB3472/100)</f>
        <v/>
      </c>
      <c r="W3472" s="16" t="str">
        <f aca="false">IF($D3472="","",Y3472-V3472)</f>
        <v/>
      </c>
      <c r="X3472" s="16" t="str">
        <f aca="false">IF($D3472="","",W3472-N3472)</f>
        <v/>
      </c>
      <c r="AB3472" s="17" t="str">
        <f aca="false">IF($D3472="","",IF(OR($R3472=TRUE(),$R3472="TRUE"),Settings!$C$6,Settings!$C$7)*100)</f>
        <v/>
      </c>
      <c r="AH3472" s="18" t="str">
        <f aca="false">IF($D3472="","",IF(COUNTIF($D$2:$D3472,$D3472)=1,1,0))</f>
        <v/>
      </c>
      <c r="AI3472" s="18" t="str">
        <f aca="false">IF($AH3472=1,SUMPRODUCT(--($AK$2:$AK$4001&lt;$AK3472))+1,"")</f>
        <v/>
      </c>
      <c r="AJ3472" s="18" t="str">
        <f aca="false">IF($D3472="","",IF(OR($R3472=TRUE(),$R3472="TRUE"),1,0))</f>
        <v/>
      </c>
      <c r="AK3472" s="18" t="str">
        <f aca="false">IF($AH3472=1,IFERROR(VALUE(MID($D3472,2,20)),1000000000)+ROW()/10000000,"")</f>
        <v/>
      </c>
    </row>
    <row r="3473" customFormat="false" ht="15" hidden="false" customHeight="false" outlineLevel="0" collapsed="false">
      <c r="F3473" s="15"/>
      <c r="N3473" s="16" t="str">
        <f aca="false">IF($D3473="","",M3473*Y3473/100)</f>
        <v/>
      </c>
      <c r="V3473" s="16" t="str">
        <f aca="false">IF($D3473="","",Y3473*AB3473/100)</f>
        <v/>
      </c>
      <c r="W3473" s="16" t="str">
        <f aca="false">IF($D3473="","",Y3473-V3473)</f>
        <v/>
      </c>
      <c r="X3473" s="16" t="str">
        <f aca="false">IF($D3473="","",W3473-N3473)</f>
        <v/>
      </c>
      <c r="AB3473" s="17" t="str">
        <f aca="false">IF($D3473="","",IF(OR($R3473=TRUE(),$R3473="TRUE"),Settings!$C$6,Settings!$C$7)*100)</f>
        <v/>
      </c>
      <c r="AH3473" s="18" t="str">
        <f aca="false">IF($D3473="","",IF(COUNTIF($D$2:$D3473,$D3473)=1,1,0))</f>
        <v/>
      </c>
      <c r="AI3473" s="18" t="str">
        <f aca="false">IF($AH3473=1,SUMPRODUCT(--($AK$2:$AK$4001&lt;$AK3473))+1,"")</f>
        <v/>
      </c>
      <c r="AJ3473" s="18" t="str">
        <f aca="false">IF($D3473="","",IF(OR($R3473=TRUE(),$R3473="TRUE"),1,0))</f>
        <v/>
      </c>
      <c r="AK3473" s="18" t="str">
        <f aca="false">IF($AH3473=1,IFERROR(VALUE(MID($D3473,2,20)),1000000000)+ROW()/10000000,"")</f>
        <v/>
      </c>
    </row>
    <row r="3474" customFormat="false" ht="15" hidden="false" customHeight="false" outlineLevel="0" collapsed="false">
      <c r="F3474" s="15"/>
      <c r="N3474" s="16" t="str">
        <f aca="false">IF($D3474="","",M3474*Y3474/100)</f>
        <v/>
      </c>
      <c r="V3474" s="16" t="str">
        <f aca="false">IF($D3474="","",Y3474*AB3474/100)</f>
        <v/>
      </c>
      <c r="W3474" s="16" t="str">
        <f aca="false">IF($D3474="","",Y3474-V3474)</f>
        <v/>
      </c>
      <c r="X3474" s="16" t="str">
        <f aca="false">IF($D3474="","",W3474-N3474)</f>
        <v/>
      </c>
      <c r="AB3474" s="17" t="str">
        <f aca="false">IF($D3474="","",IF(OR($R3474=TRUE(),$R3474="TRUE"),Settings!$C$6,Settings!$C$7)*100)</f>
        <v/>
      </c>
      <c r="AH3474" s="18" t="str">
        <f aca="false">IF($D3474="","",IF(COUNTIF($D$2:$D3474,$D3474)=1,1,0))</f>
        <v/>
      </c>
      <c r="AI3474" s="18" t="str">
        <f aca="false">IF($AH3474=1,SUMPRODUCT(--($AK$2:$AK$4001&lt;$AK3474))+1,"")</f>
        <v/>
      </c>
      <c r="AJ3474" s="18" t="str">
        <f aca="false">IF($D3474="","",IF(OR($R3474=TRUE(),$R3474="TRUE"),1,0))</f>
        <v/>
      </c>
      <c r="AK3474" s="18" t="str">
        <f aca="false">IF($AH3474=1,IFERROR(VALUE(MID($D3474,2,20)),1000000000)+ROW()/10000000,"")</f>
        <v/>
      </c>
    </row>
    <row r="3475" customFormat="false" ht="15" hidden="false" customHeight="false" outlineLevel="0" collapsed="false">
      <c r="F3475" s="15"/>
      <c r="N3475" s="16" t="str">
        <f aca="false">IF($D3475="","",M3475*Y3475/100)</f>
        <v/>
      </c>
      <c r="V3475" s="16" t="str">
        <f aca="false">IF($D3475="","",Y3475*AB3475/100)</f>
        <v/>
      </c>
      <c r="W3475" s="16" t="str">
        <f aca="false">IF($D3475="","",Y3475-V3475)</f>
        <v/>
      </c>
      <c r="X3475" s="16" t="str">
        <f aca="false">IF($D3475="","",W3475-N3475)</f>
        <v/>
      </c>
      <c r="AB3475" s="17" t="str">
        <f aca="false">IF($D3475="","",IF(OR($R3475=TRUE(),$R3475="TRUE"),Settings!$C$6,Settings!$C$7)*100)</f>
        <v/>
      </c>
      <c r="AH3475" s="18" t="str">
        <f aca="false">IF($D3475="","",IF(COUNTIF($D$2:$D3475,$D3475)=1,1,0))</f>
        <v/>
      </c>
      <c r="AI3475" s="18" t="str">
        <f aca="false">IF($AH3475=1,SUMPRODUCT(--($AK$2:$AK$4001&lt;$AK3475))+1,"")</f>
        <v/>
      </c>
      <c r="AJ3475" s="18" t="str">
        <f aca="false">IF($D3475="","",IF(OR($R3475=TRUE(),$R3475="TRUE"),1,0))</f>
        <v/>
      </c>
      <c r="AK3475" s="18" t="str">
        <f aca="false">IF($AH3475=1,IFERROR(VALUE(MID($D3475,2,20)),1000000000)+ROW()/10000000,"")</f>
        <v/>
      </c>
    </row>
    <row r="3476" customFormat="false" ht="15" hidden="false" customHeight="false" outlineLevel="0" collapsed="false">
      <c r="F3476" s="15"/>
      <c r="N3476" s="16" t="str">
        <f aca="false">IF($D3476="","",M3476*Y3476/100)</f>
        <v/>
      </c>
      <c r="V3476" s="16" t="str">
        <f aca="false">IF($D3476="","",Y3476*AB3476/100)</f>
        <v/>
      </c>
      <c r="W3476" s="16" t="str">
        <f aca="false">IF($D3476="","",Y3476-V3476)</f>
        <v/>
      </c>
      <c r="X3476" s="16" t="str">
        <f aca="false">IF($D3476="","",W3476-N3476)</f>
        <v/>
      </c>
      <c r="AB3476" s="17" t="str">
        <f aca="false">IF($D3476="","",IF(OR($R3476=TRUE(),$R3476="TRUE"),Settings!$C$6,Settings!$C$7)*100)</f>
        <v/>
      </c>
      <c r="AH3476" s="18" t="str">
        <f aca="false">IF($D3476="","",IF(COUNTIF($D$2:$D3476,$D3476)=1,1,0))</f>
        <v/>
      </c>
      <c r="AI3476" s="18" t="str">
        <f aca="false">IF($AH3476=1,SUMPRODUCT(--($AK$2:$AK$4001&lt;$AK3476))+1,"")</f>
        <v/>
      </c>
      <c r="AJ3476" s="18" t="str">
        <f aca="false">IF($D3476="","",IF(OR($R3476=TRUE(),$R3476="TRUE"),1,0))</f>
        <v/>
      </c>
      <c r="AK3476" s="18" t="str">
        <f aca="false">IF($AH3476=1,IFERROR(VALUE(MID($D3476,2,20)),1000000000)+ROW()/10000000,"")</f>
        <v/>
      </c>
    </row>
    <row r="3477" customFormat="false" ht="15" hidden="false" customHeight="false" outlineLevel="0" collapsed="false">
      <c r="F3477" s="15"/>
      <c r="N3477" s="16" t="str">
        <f aca="false">IF($D3477="","",M3477*Y3477/100)</f>
        <v/>
      </c>
      <c r="V3477" s="16" t="str">
        <f aca="false">IF($D3477="","",Y3477*AB3477/100)</f>
        <v/>
      </c>
      <c r="W3477" s="16" t="str">
        <f aca="false">IF($D3477="","",Y3477-V3477)</f>
        <v/>
      </c>
      <c r="X3477" s="16" t="str">
        <f aca="false">IF($D3477="","",W3477-N3477)</f>
        <v/>
      </c>
      <c r="AB3477" s="17" t="str">
        <f aca="false">IF($D3477="","",IF(OR($R3477=TRUE(),$R3477="TRUE"),Settings!$C$6,Settings!$C$7)*100)</f>
        <v/>
      </c>
      <c r="AH3477" s="18" t="str">
        <f aca="false">IF($D3477="","",IF(COUNTIF($D$2:$D3477,$D3477)=1,1,0))</f>
        <v/>
      </c>
      <c r="AI3477" s="18" t="str">
        <f aca="false">IF($AH3477=1,SUMPRODUCT(--($AK$2:$AK$4001&lt;$AK3477))+1,"")</f>
        <v/>
      </c>
      <c r="AJ3477" s="18" t="str">
        <f aca="false">IF($D3477="","",IF(OR($R3477=TRUE(),$R3477="TRUE"),1,0))</f>
        <v/>
      </c>
      <c r="AK3477" s="18" t="str">
        <f aca="false">IF($AH3477=1,IFERROR(VALUE(MID($D3477,2,20)),1000000000)+ROW()/10000000,"")</f>
        <v/>
      </c>
    </row>
    <row r="3478" customFormat="false" ht="15" hidden="false" customHeight="false" outlineLevel="0" collapsed="false">
      <c r="F3478" s="15"/>
      <c r="N3478" s="16" t="str">
        <f aca="false">IF($D3478="","",M3478*Y3478/100)</f>
        <v/>
      </c>
      <c r="V3478" s="16" t="str">
        <f aca="false">IF($D3478="","",Y3478*AB3478/100)</f>
        <v/>
      </c>
      <c r="W3478" s="16" t="str">
        <f aca="false">IF($D3478="","",Y3478-V3478)</f>
        <v/>
      </c>
      <c r="X3478" s="16" t="str">
        <f aca="false">IF($D3478="","",W3478-N3478)</f>
        <v/>
      </c>
      <c r="AB3478" s="17" t="str">
        <f aca="false">IF($D3478="","",IF(OR($R3478=TRUE(),$R3478="TRUE"),Settings!$C$6,Settings!$C$7)*100)</f>
        <v/>
      </c>
      <c r="AH3478" s="18" t="str">
        <f aca="false">IF($D3478="","",IF(COUNTIF($D$2:$D3478,$D3478)=1,1,0))</f>
        <v/>
      </c>
      <c r="AI3478" s="18" t="str">
        <f aca="false">IF($AH3478=1,SUMPRODUCT(--($AK$2:$AK$4001&lt;$AK3478))+1,"")</f>
        <v/>
      </c>
      <c r="AJ3478" s="18" t="str">
        <f aca="false">IF($D3478="","",IF(OR($R3478=TRUE(),$R3478="TRUE"),1,0))</f>
        <v/>
      </c>
      <c r="AK3478" s="18" t="str">
        <f aca="false">IF($AH3478=1,IFERROR(VALUE(MID($D3478,2,20)),1000000000)+ROW()/10000000,"")</f>
        <v/>
      </c>
    </row>
    <row r="3479" customFormat="false" ht="15" hidden="false" customHeight="false" outlineLevel="0" collapsed="false">
      <c r="F3479" s="15"/>
      <c r="N3479" s="16" t="str">
        <f aca="false">IF($D3479="","",M3479*Y3479/100)</f>
        <v/>
      </c>
      <c r="V3479" s="16" t="str">
        <f aca="false">IF($D3479="","",Y3479*AB3479/100)</f>
        <v/>
      </c>
      <c r="W3479" s="16" t="str">
        <f aca="false">IF($D3479="","",Y3479-V3479)</f>
        <v/>
      </c>
      <c r="X3479" s="16" t="str">
        <f aca="false">IF($D3479="","",W3479-N3479)</f>
        <v/>
      </c>
      <c r="AB3479" s="17" t="str">
        <f aca="false">IF($D3479="","",IF(OR($R3479=TRUE(),$R3479="TRUE"),Settings!$C$6,Settings!$C$7)*100)</f>
        <v/>
      </c>
      <c r="AH3479" s="18" t="str">
        <f aca="false">IF($D3479="","",IF(COUNTIF($D$2:$D3479,$D3479)=1,1,0))</f>
        <v/>
      </c>
      <c r="AI3479" s="18" t="str">
        <f aca="false">IF($AH3479=1,SUMPRODUCT(--($AK$2:$AK$4001&lt;$AK3479))+1,"")</f>
        <v/>
      </c>
      <c r="AJ3479" s="18" t="str">
        <f aca="false">IF($D3479="","",IF(OR($R3479=TRUE(),$R3479="TRUE"),1,0))</f>
        <v/>
      </c>
      <c r="AK3479" s="18" t="str">
        <f aca="false">IF($AH3479=1,IFERROR(VALUE(MID($D3479,2,20)),1000000000)+ROW()/10000000,"")</f>
        <v/>
      </c>
    </row>
    <row r="3480" customFormat="false" ht="15" hidden="false" customHeight="false" outlineLevel="0" collapsed="false">
      <c r="F3480" s="15"/>
      <c r="N3480" s="16" t="str">
        <f aca="false">IF($D3480="","",M3480*Y3480/100)</f>
        <v/>
      </c>
      <c r="V3480" s="16" t="str">
        <f aca="false">IF($D3480="","",Y3480*AB3480/100)</f>
        <v/>
      </c>
      <c r="W3480" s="16" t="str">
        <f aca="false">IF($D3480="","",Y3480-V3480)</f>
        <v/>
      </c>
      <c r="X3480" s="16" t="str">
        <f aca="false">IF($D3480="","",W3480-N3480)</f>
        <v/>
      </c>
      <c r="AB3480" s="17" t="str">
        <f aca="false">IF($D3480="","",IF(OR($R3480=TRUE(),$R3480="TRUE"),Settings!$C$6,Settings!$C$7)*100)</f>
        <v/>
      </c>
      <c r="AH3480" s="18" t="str">
        <f aca="false">IF($D3480="","",IF(COUNTIF($D$2:$D3480,$D3480)=1,1,0))</f>
        <v/>
      </c>
      <c r="AI3480" s="18" t="str">
        <f aca="false">IF($AH3480=1,SUMPRODUCT(--($AK$2:$AK$4001&lt;$AK3480))+1,"")</f>
        <v/>
      </c>
      <c r="AJ3480" s="18" t="str">
        <f aca="false">IF($D3480="","",IF(OR($R3480=TRUE(),$R3480="TRUE"),1,0))</f>
        <v/>
      </c>
      <c r="AK3480" s="18" t="str">
        <f aca="false">IF($AH3480=1,IFERROR(VALUE(MID($D3480,2,20)),1000000000)+ROW()/10000000,"")</f>
        <v/>
      </c>
    </row>
    <row r="3481" customFormat="false" ht="15" hidden="false" customHeight="false" outlineLevel="0" collapsed="false">
      <c r="F3481" s="15"/>
      <c r="N3481" s="16" t="str">
        <f aca="false">IF($D3481="","",M3481*Y3481/100)</f>
        <v/>
      </c>
      <c r="V3481" s="16" t="str">
        <f aca="false">IF($D3481="","",Y3481*AB3481/100)</f>
        <v/>
      </c>
      <c r="W3481" s="16" t="str">
        <f aca="false">IF($D3481="","",Y3481-V3481)</f>
        <v/>
      </c>
      <c r="X3481" s="16" t="str">
        <f aca="false">IF($D3481="","",W3481-N3481)</f>
        <v/>
      </c>
      <c r="AB3481" s="17" t="str">
        <f aca="false">IF($D3481="","",IF(OR($R3481=TRUE(),$R3481="TRUE"),Settings!$C$6,Settings!$C$7)*100)</f>
        <v/>
      </c>
      <c r="AH3481" s="18" t="str">
        <f aca="false">IF($D3481="","",IF(COUNTIF($D$2:$D3481,$D3481)=1,1,0))</f>
        <v/>
      </c>
      <c r="AI3481" s="18" t="str">
        <f aca="false">IF($AH3481=1,SUMPRODUCT(--($AK$2:$AK$4001&lt;$AK3481))+1,"")</f>
        <v/>
      </c>
      <c r="AJ3481" s="18" t="str">
        <f aca="false">IF($D3481="","",IF(OR($R3481=TRUE(),$R3481="TRUE"),1,0))</f>
        <v/>
      </c>
      <c r="AK3481" s="18" t="str">
        <f aca="false">IF($AH3481=1,IFERROR(VALUE(MID($D3481,2,20)),1000000000)+ROW()/10000000,"")</f>
        <v/>
      </c>
    </row>
    <row r="3482" customFormat="false" ht="15" hidden="false" customHeight="false" outlineLevel="0" collapsed="false">
      <c r="F3482" s="15"/>
      <c r="N3482" s="16" t="str">
        <f aca="false">IF($D3482="","",M3482*Y3482/100)</f>
        <v/>
      </c>
      <c r="V3482" s="16" t="str">
        <f aca="false">IF($D3482="","",Y3482*AB3482/100)</f>
        <v/>
      </c>
      <c r="W3482" s="16" t="str">
        <f aca="false">IF($D3482="","",Y3482-V3482)</f>
        <v/>
      </c>
      <c r="X3482" s="16" t="str">
        <f aca="false">IF($D3482="","",W3482-N3482)</f>
        <v/>
      </c>
      <c r="AB3482" s="17" t="str">
        <f aca="false">IF($D3482="","",IF(OR($R3482=TRUE(),$R3482="TRUE"),Settings!$C$6,Settings!$C$7)*100)</f>
        <v/>
      </c>
      <c r="AH3482" s="18" t="str">
        <f aca="false">IF($D3482="","",IF(COUNTIF($D$2:$D3482,$D3482)=1,1,0))</f>
        <v/>
      </c>
      <c r="AI3482" s="18" t="str">
        <f aca="false">IF($AH3482=1,SUMPRODUCT(--($AK$2:$AK$4001&lt;$AK3482))+1,"")</f>
        <v/>
      </c>
      <c r="AJ3482" s="18" t="str">
        <f aca="false">IF($D3482="","",IF(OR($R3482=TRUE(),$R3482="TRUE"),1,0))</f>
        <v/>
      </c>
      <c r="AK3482" s="18" t="str">
        <f aca="false">IF($AH3482=1,IFERROR(VALUE(MID($D3482,2,20)),1000000000)+ROW()/10000000,"")</f>
        <v/>
      </c>
    </row>
    <row r="3483" customFormat="false" ht="15" hidden="false" customHeight="false" outlineLevel="0" collapsed="false">
      <c r="F3483" s="15"/>
      <c r="N3483" s="16" t="str">
        <f aca="false">IF($D3483="","",M3483*Y3483/100)</f>
        <v/>
      </c>
      <c r="V3483" s="16" t="str">
        <f aca="false">IF($D3483="","",Y3483*AB3483/100)</f>
        <v/>
      </c>
      <c r="W3483" s="16" t="str">
        <f aca="false">IF($D3483="","",Y3483-V3483)</f>
        <v/>
      </c>
      <c r="X3483" s="16" t="str">
        <f aca="false">IF($D3483="","",W3483-N3483)</f>
        <v/>
      </c>
      <c r="AB3483" s="17" t="str">
        <f aca="false">IF($D3483="","",IF(OR($R3483=TRUE(),$R3483="TRUE"),Settings!$C$6,Settings!$C$7)*100)</f>
        <v/>
      </c>
      <c r="AH3483" s="18" t="str">
        <f aca="false">IF($D3483="","",IF(COUNTIF($D$2:$D3483,$D3483)=1,1,0))</f>
        <v/>
      </c>
      <c r="AI3483" s="18" t="str">
        <f aca="false">IF($AH3483=1,SUMPRODUCT(--($AK$2:$AK$4001&lt;$AK3483))+1,"")</f>
        <v/>
      </c>
      <c r="AJ3483" s="18" t="str">
        <f aca="false">IF($D3483="","",IF(OR($R3483=TRUE(),$R3483="TRUE"),1,0))</f>
        <v/>
      </c>
      <c r="AK3483" s="18" t="str">
        <f aca="false">IF($AH3483=1,IFERROR(VALUE(MID($D3483,2,20)),1000000000)+ROW()/10000000,"")</f>
        <v/>
      </c>
    </row>
    <row r="3484" customFormat="false" ht="15" hidden="false" customHeight="false" outlineLevel="0" collapsed="false">
      <c r="F3484" s="15"/>
      <c r="N3484" s="16" t="str">
        <f aca="false">IF($D3484="","",M3484*Y3484/100)</f>
        <v/>
      </c>
      <c r="V3484" s="16" t="str">
        <f aca="false">IF($D3484="","",Y3484*AB3484/100)</f>
        <v/>
      </c>
      <c r="W3484" s="16" t="str">
        <f aca="false">IF($D3484="","",Y3484-V3484)</f>
        <v/>
      </c>
      <c r="X3484" s="16" t="str">
        <f aca="false">IF($D3484="","",W3484-N3484)</f>
        <v/>
      </c>
      <c r="AB3484" s="17" t="str">
        <f aca="false">IF($D3484="","",IF(OR($R3484=TRUE(),$R3484="TRUE"),Settings!$C$6,Settings!$C$7)*100)</f>
        <v/>
      </c>
      <c r="AH3484" s="18" t="str">
        <f aca="false">IF($D3484="","",IF(COUNTIF($D$2:$D3484,$D3484)=1,1,0))</f>
        <v/>
      </c>
      <c r="AI3484" s="18" t="str">
        <f aca="false">IF($AH3484=1,SUMPRODUCT(--($AK$2:$AK$4001&lt;$AK3484))+1,"")</f>
        <v/>
      </c>
      <c r="AJ3484" s="18" t="str">
        <f aca="false">IF($D3484="","",IF(OR($R3484=TRUE(),$R3484="TRUE"),1,0))</f>
        <v/>
      </c>
      <c r="AK3484" s="18" t="str">
        <f aca="false">IF($AH3484=1,IFERROR(VALUE(MID($D3484,2,20)),1000000000)+ROW()/10000000,"")</f>
        <v/>
      </c>
    </row>
    <row r="3485" customFormat="false" ht="15" hidden="false" customHeight="false" outlineLevel="0" collapsed="false">
      <c r="F3485" s="15"/>
      <c r="N3485" s="16" t="str">
        <f aca="false">IF($D3485="","",M3485*Y3485/100)</f>
        <v/>
      </c>
      <c r="V3485" s="16" t="str">
        <f aca="false">IF($D3485="","",Y3485*AB3485/100)</f>
        <v/>
      </c>
      <c r="W3485" s="16" t="str">
        <f aca="false">IF($D3485="","",Y3485-V3485)</f>
        <v/>
      </c>
      <c r="X3485" s="16" t="str">
        <f aca="false">IF($D3485="","",W3485-N3485)</f>
        <v/>
      </c>
      <c r="AB3485" s="17" t="str">
        <f aca="false">IF($D3485="","",IF(OR($R3485=TRUE(),$R3485="TRUE"),Settings!$C$6,Settings!$C$7)*100)</f>
        <v/>
      </c>
      <c r="AH3485" s="18" t="str">
        <f aca="false">IF($D3485="","",IF(COUNTIF($D$2:$D3485,$D3485)=1,1,0))</f>
        <v/>
      </c>
      <c r="AI3485" s="18" t="str">
        <f aca="false">IF($AH3485=1,SUMPRODUCT(--($AK$2:$AK$4001&lt;$AK3485))+1,"")</f>
        <v/>
      </c>
      <c r="AJ3485" s="18" t="str">
        <f aca="false">IF($D3485="","",IF(OR($R3485=TRUE(),$R3485="TRUE"),1,0))</f>
        <v/>
      </c>
      <c r="AK3485" s="18" t="str">
        <f aca="false">IF($AH3485=1,IFERROR(VALUE(MID($D3485,2,20)),1000000000)+ROW()/10000000,"")</f>
        <v/>
      </c>
    </row>
    <row r="3486" customFormat="false" ht="15" hidden="false" customHeight="false" outlineLevel="0" collapsed="false">
      <c r="F3486" s="15"/>
      <c r="N3486" s="16" t="str">
        <f aca="false">IF($D3486="","",M3486*Y3486/100)</f>
        <v/>
      </c>
      <c r="V3486" s="16" t="str">
        <f aca="false">IF($D3486="","",Y3486*AB3486/100)</f>
        <v/>
      </c>
      <c r="W3486" s="16" t="str">
        <f aca="false">IF($D3486="","",Y3486-V3486)</f>
        <v/>
      </c>
      <c r="X3486" s="16" t="str">
        <f aca="false">IF($D3486="","",W3486-N3486)</f>
        <v/>
      </c>
      <c r="AB3486" s="17" t="str">
        <f aca="false">IF($D3486="","",IF(OR($R3486=TRUE(),$R3486="TRUE"),Settings!$C$6,Settings!$C$7)*100)</f>
        <v/>
      </c>
      <c r="AH3486" s="18" t="str">
        <f aca="false">IF($D3486="","",IF(COUNTIF($D$2:$D3486,$D3486)=1,1,0))</f>
        <v/>
      </c>
      <c r="AI3486" s="18" t="str">
        <f aca="false">IF($AH3486=1,SUMPRODUCT(--($AK$2:$AK$4001&lt;$AK3486))+1,"")</f>
        <v/>
      </c>
      <c r="AJ3486" s="18" t="str">
        <f aca="false">IF($D3486="","",IF(OR($R3486=TRUE(),$R3486="TRUE"),1,0))</f>
        <v/>
      </c>
      <c r="AK3486" s="18" t="str">
        <f aca="false">IF($AH3486=1,IFERROR(VALUE(MID($D3486,2,20)),1000000000)+ROW()/10000000,"")</f>
        <v/>
      </c>
    </row>
    <row r="3487" customFormat="false" ht="15" hidden="false" customHeight="false" outlineLevel="0" collapsed="false">
      <c r="F3487" s="15"/>
      <c r="N3487" s="16" t="str">
        <f aca="false">IF($D3487="","",M3487*Y3487/100)</f>
        <v/>
      </c>
      <c r="V3487" s="16" t="str">
        <f aca="false">IF($D3487="","",Y3487*AB3487/100)</f>
        <v/>
      </c>
      <c r="W3487" s="16" t="str">
        <f aca="false">IF($D3487="","",Y3487-V3487)</f>
        <v/>
      </c>
      <c r="X3487" s="16" t="str">
        <f aca="false">IF($D3487="","",W3487-N3487)</f>
        <v/>
      </c>
      <c r="AB3487" s="17" t="str">
        <f aca="false">IF($D3487="","",IF(OR($R3487=TRUE(),$R3487="TRUE"),Settings!$C$6,Settings!$C$7)*100)</f>
        <v/>
      </c>
      <c r="AH3487" s="18" t="str">
        <f aca="false">IF($D3487="","",IF(COUNTIF($D$2:$D3487,$D3487)=1,1,0))</f>
        <v/>
      </c>
      <c r="AI3487" s="18" t="str">
        <f aca="false">IF($AH3487=1,SUMPRODUCT(--($AK$2:$AK$4001&lt;$AK3487))+1,"")</f>
        <v/>
      </c>
      <c r="AJ3487" s="18" t="str">
        <f aca="false">IF($D3487="","",IF(OR($R3487=TRUE(),$R3487="TRUE"),1,0))</f>
        <v/>
      </c>
      <c r="AK3487" s="18" t="str">
        <f aca="false">IF($AH3487=1,IFERROR(VALUE(MID($D3487,2,20)),1000000000)+ROW()/10000000,"")</f>
        <v/>
      </c>
    </row>
    <row r="3488" customFormat="false" ht="15" hidden="false" customHeight="false" outlineLevel="0" collapsed="false">
      <c r="F3488" s="15"/>
      <c r="N3488" s="16" t="str">
        <f aca="false">IF($D3488="","",M3488*Y3488/100)</f>
        <v/>
      </c>
      <c r="V3488" s="16" t="str">
        <f aca="false">IF($D3488="","",Y3488*AB3488/100)</f>
        <v/>
      </c>
      <c r="W3488" s="16" t="str">
        <f aca="false">IF($D3488="","",Y3488-V3488)</f>
        <v/>
      </c>
      <c r="X3488" s="16" t="str">
        <f aca="false">IF($D3488="","",W3488-N3488)</f>
        <v/>
      </c>
      <c r="AB3488" s="17" t="str">
        <f aca="false">IF($D3488="","",IF(OR($R3488=TRUE(),$R3488="TRUE"),Settings!$C$6,Settings!$C$7)*100)</f>
        <v/>
      </c>
      <c r="AH3488" s="18" t="str">
        <f aca="false">IF($D3488="","",IF(COUNTIF($D$2:$D3488,$D3488)=1,1,0))</f>
        <v/>
      </c>
      <c r="AI3488" s="18" t="str">
        <f aca="false">IF($AH3488=1,SUMPRODUCT(--($AK$2:$AK$4001&lt;$AK3488))+1,"")</f>
        <v/>
      </c>
      <c r="AJ3488" s="18" t="str">
        <f aca="false">IF($D3488="","",IF(OR($R3488=TRUE(),$R3488="TRUE"),1,0))</f>
        <v/>
      </c>
      <c r="AK3488" s="18" t="str">
        <f aca="false">IF($AH3488=1,IFERROR(VALUE(MID($D3488,2,20)),1000000000)+ROW()/10000000,"")</f>
        <v/>
      </c>
    </row>
    <row r="3489" customFormat="false" ht="15" hidden="false" customHeight="false" outlineLevel="0" collapsed="false">
      <c r="F3489" s="15"/>
      <c r="N3489" s="16" t="str">
        <f aca="false">IF($D3489="","",M3489*Y3489/100)</f>
        <v/>
      </c>
      <c r="V3489" s="16" t="str">
        <f aca="false">IF($D3489="","",Y3489*AB3489/100)</f>
        <v/>
      </c>
      <c r="W3489" s="16" t="str">
        <f aca="false">IF($D3489="","",Y3489-V3489)</f>
        <v/>
      </c>
      <c r="X3489" s="16" t="str">
        <f aca="false">IF($D3489="","",W3489-N3489)</f>
        <v/>
      </c>
      <c r="AB3489" s="17" t="str">
        <f aca="false">IF($D3489="","",IF(OR($R3489=TRUE(),$R3489="TRUE"),Settings!$C$6,Settings!$C$7)*100)</f>
        <v/>
      </c>
      <c r="AH3489" s="18" t="str">
        <f aca="false">IF($D3489="","",IF(COUNTIF($D$2:$D3489,$D3489)=1,1,0))</f>
        <v/>
      </c>
      <c r="AI3489" s="18" t="str">
        <f aca="false">IF($AH3489=1,SUMPRODUCT(--($AK$2:$AK$4001&lt;$AK3489))+1,"")</f>
        <v/>
      </c>
      <c r="AJ3489" s="18" t="str">
        <f aca="false">IF($D3489="","",IF(OR($R3489=TRUE(),$R3489="TRUE"),1,0))</f>
        <v/>
      </c>
      <c r="AK3489" s="18" t="str">
        <f aca="false">IF($AH3489=1,IFERROR(VALUE(MID($D3489,2,20)),1000000000)+ROW()/10000000,"")</f>
        <v/>
      </c>
    </row>
    <row r="3490" customFormat="false" ht="15" hidden="false" customHeight="false" outlineLevel="0" collapsed="false">
      <c r="F3490" s="15"/>
      <c r="N3490" s="16" t="str">
        <f aca="false">IF($D3490="","",M3490*Y3490/100)</f>
        <v/>
      </c>
      <c r="V3490" s="16" t="str">
        <f aca="false">IF($D3490="","",Y3490*AB3490/100)</f>
        <v/>
      </c>
      <c r="W3490" s="16" t="str">
        <f aca="false">IF($D3490="","",Y3490-V3490)</f>
        <v/>
      </c>
      <c r="X3490" s="16" t="str">
        <f aca="false">IF($D3490="","",W3490-N3490)</f>
        <v/>
      </c>
      <c r="AB3490" s="17" t="str">
        <f aca="false">IF($D3490="","",IF(OR($R3490=TRUE(),$R3490="TRUE"),Settings!$C$6,Settings!$C$7)*100)</f>
        <v/>
      </c>
      <c r="AH3490" s="18" t="str">
        <f aca="false">IF($D3490="","",IF(COUNTIF($D$2:$D3490,$D3490)=1,1,0))</f>
        <v/>
      </c>
      <c r="AI3490" s="18" t="str">
        <f aca="false">IF($AH3490=1,SUMPRODUCT(--($AK$2:$AK$4001&lt;$AK3490))+1,"")</f>
        <v/>
      </c>
      <c r="AJ3490" s="18" t="str">
        <f aca="false">IF($D3490="","",IF(OR($R3490=TRUE(),$R3490="TRUE"),1,0))</f>
        <v/>
      </c>
      <c r="AK3490" s="18" t="str">
        <f aca="false">IF($AH3490=1,IFERROR(VALUE(MID($D3490,2,20)),1000000000)+ROW()/10000000,"")</f>
        <v/>
      </c>
    </row>
    <row r="3491" customFormat="false" ht="15" hidden="false" customHeight="false" outlineLevel="0" collapsed="false">
      <c r="F3491" s="15"/>
      <c r="N3491" s="16" t="str">
        <f aca="false">IF($D3491="","",M3491*Y3491/100)</f>
        <v/>
      </c>
      <c r="V3491" s="16" t="str">
        <f aca="false">IF($D3491="","",Y3491*AB3491/100)</f>
        <v/>
      </c>
      <c r="W3491" s="16" t="str">
        <f aca="false">IF($D3491="","",Y3491-V3491)</f>
        <v/>
      </c>
      <c r="X3491" s="16" t="str">
        <f aca="false">IF($D3491="","",W3491-N3491)</f>
        <v/>
      </c>
      <c r="AB3491" s="17" t="str">
        <f aca="false">IF($D3491="","",IF(OR($R3491=TRUE(),$R3491="TRUE"),Settings!$C$6,Settings!$C$7)*100)</f>
        <v/>
      </c>
      <c r="AH3491" s="18" t="str">
        <f aca="false">IF($D3491="","",IF(COUNTIF($D$2:$D3491,$D3491)=1,1,0))</f>
        <v/>
      </c>
      <c r="AI3491" s="18" t="str">
        <f aca="false">IF($AH3491=1,SUMPRODUCT(--($AK$2:$AK$4001&lt;$AK3491))+1,"")</f>
        <v/>
      </c>
      <c r="AJ3491" s="18" t="str">
        <f aca="false">IF($D3491="","",IF(OR($R3491=TRUE(),$R3491="TRUE"),1,0))</f>
        <v/>
      </c>
      <c r="AK3491" s="18" t="str">
        <f aca="false">IF($AH3491=1,IFERROR(VALUE(MID($D3491,2,20)),1000000000)+ROW()/10000000,"")</f>
        <v/>
      </c>
    </row>
    <row r="3492" customFormat="false" ht="15" hidden="false" customHeight="false" outlineLevel="0" collapsed="false">
      <c r="F3492" s="15"/>
      <c r="N3492" s="16" t="str">
        <f aca="false">IF($D3492="","",M3492*Y3492/100)</f>
        <v/>
      </c>
      <c r="V3492" s="16" t="str">
        <f aca="false">IF($D3492="","",Y3492*AB3492/100)</f>
        <v/>
      </c>
      <c r="W3492" s="16" t="str">
        <f aca="false">IF($D3492="","",Y3492-V3492)</f>
        <v/>
      </c>
      <c r="X3492" s="16" t="str">
        <f aca="false">IF($D3492="","",W3492-N3492)</f>
        <v/>
      </c>
      <c r="AB3492" s="17" t="str">
        <f aca="false">IF($D3492="","",IF(OR($R3492=TRUE(),$R3492="TRUE"),Settings!$C$6,Settings!$C$7)*100)</f>
        <v/>
      </c>
      <c r="AH3492" s="18" t="str">
        <f aca="false">IF($D3492="","",IF(COUNTIF($D$2:$D3492,$D3492)=1,1,0))</f>
        <v/>
      </c>
      <c r="AI3492" s="18" t="str">
        <f aca="false">IF($AH3492=1,SUMPRODUCT(--($AK$2:$AK$4001&lt;$AK3492))+1,"")</f>
        <v/>
      </c>
      <c r="AJ3492" s="18" t="str">
        <f aca="false">IF($D3492="","",IF(OR($R3492=TRUE(),$R3492="TRUE"),1,0))</f>
        <v/>
      </c>
      <c r="AK3492" s="18" t="str">
        <f aca="false">IF($AH3492=1,IFERROR(VALUE(MID($D3492,2,20)),1000000000)+ROW()/10000000,"")</f>
        <v/>
      </c>
    </row>
    <row r="3493" customFormat="false" ht="15" hidden="false" customHeight="false" outlineLevel="0" collapsed="false">
      <c r="F3493" s="15"/>
      <c r="N3493" s="16" t="str">
        <f aca="false">IF($D3493="","",M3493*Y3493/100)</f>
        <v/>
      </c>
      <c r="V3493" s="16" t="str">
        <f aca="false">IF($D3493="","",Y3493*AB3493/100)</f>
        <v/>
      </c>
      <c r="W3493" s="16" t="str">
        <f aca="false">IF($D3493="","",Y3493-V3493)</f>
        <v/>
      </c>
      <c r="X3493" s="16" t="str">
        <f aca="false">IF($D3493="","",W3493-N3493)</f>
        <v/>
      </c>
      <c r="AB3493" s="17" t="str">
        <f aca="false">IF($D3493="","",IF(OR($R3493=TRUE(),$R3493="TRUE"),Settings!$C$6,Settings!$C$7)*100)</f>
        <v/>
      </c>
      <c r="AH3493" s="18" t="str">
        <f aca="false">IF($D3493="","",IF(COUNTIF($D$2:$D3493,$D3493)=1,1,0))</f>
        <v/>
      </c>
      <c r="AI3493" s="18" t="str">
        <f aca="false">IF($AH3493=1,SUMPRODUCT(--($AK$2:$AK$4001&lt;$AK3493))+1,"")</f>
        <v/>
      </c>
      <c r="AJ3493" s="18" t="str">
        <f aca="false">IF($D3493="","",IF(OR($R3493=TRUE(),$R3493="TRUE"),1,0))</f>
        <v/>
      </c>
      <c r="AK3493" s="18" t="str">
        <f aca="false">IF($AH3493=1,IFERROR(VALUE(MID($D3493,2,20)),1000000000)+ROW()/10000000,"")</f>
        <v/>
      </c>
    </row>
    <row r="3494" customFormat="false" ht="15" hidden="false" customHeight="false" outlineLevel="0" collapsed="false">
      <c r="F3494" s="15"/>
      <c r="N3494" s="16" t="str">
        <f aca="false">IF($D3494="","",M3494*Y3494/100)</f>
        <v/>
      </c>
      <c r="V3494" s="16" t="str">
        <f aca="false">IF($D3494="","",Y3494*AB3494/100)</f>
        <v/>
      </c>
      <c r="W3494" s="16" t="str">
        <f aca="false">IF($D3494="","",Y3494-V3494)</f>
        <v/>
      </c>
      <c r="X3494" s="16" t="str">
        <f aca="false">IF($D3494="","",W3494-N3494)</f>
        <v/>
      </c>
      <c r="AB3494" s="17" t="str">
        <f aca="false">IF($D3494="","",IF(OR($R3494=TRUE(),$R3494="TRUE"),Settings!$C$6,Settings!$C$7)*100)</f>
        <v/>
      </c>
      <c r="AH3494" s="18" t="str">
        <f aca="false">IF($D3494="","",IF(COUNTIF($D$2:$D3494,$D3494)=1,1,0))</f>
        <v/>
      </c>
      <c r="AI3494" s="18" t="str">
        <f aca="false">IF($AH3494=1,SUMPRODUCT(--($AK$2:$AK$4001&lt;$AK3494))+1,"")</f>
        <v/>
      </c>
      <c r="AJ3494" s="18" t="str">
        <f aca="false">IF($D3494="","",IF(OR($R3494=TRUE(),$R3494="TRUE"),1,0))</f>
        <v/>
      </c>
      <c r="AK3494" s="18" t="str">
        <f aca="false">IF($AH3494=1,IFERROR(VALUE(MID($D3494,2,20)),1000000000)+ROW()/10000000,"")</f>
        <v/>
      </c>
    </row>
    <row r="3495" customFormat="false" ht="15" hidden="false" customHeight="false" outlineLevel="0" collapsed="false">
      <c r="F3495" s="15"/>
      <c r="N3495" s="16" t="str">
        <f aca="false">IF($D3495="","",M3495*Y3495/100)</f>
        <v/>
      </c>
      <c r="V3495" s="16" t="str">
        <f aca="false">IF($D3495="","",Y3495*AB3495/100)</f>
        <v/>
      </c>
      <c r="W3495" s="16" t="str">
        <f aca="false">IF($D3495="","",Y3495-V3495)</f>
        <v/>
      </c>
      <c r="X3495" s="16" t="str">
        <f aca="false">IF($D3495="","",W3495-N3495)</f>
        <v/>
      </c>
      <c r="AB3495" s="17" t="str">
        <f aca="false">IF($D3495="","",IF(OR($R3495=TRUE(),$R3495="TRUE"),Settings!$C$6,Settings!$C$7)*100)</f>
        <v/>
      </c>
      <c r="AH3495" s="18" t="str">
        <f aca="false">IF($D3495="","",IF(COUNTIF($D$2:$D3495,$D3495)=1,1,0))</f>
        <v/>
      </c>
      <c r="AI3495" s="18" t="str">
        <f aca="false">IF($AH3495=1,SUMPRODUCT(--($AK$2:$AK$4001&lt;$AK3495))+1,"")</f>
        <v/>
      </c>
      <c r="AJ3495" s="18" t="str">
        <f aca="false">IF($D3495="","",IF(OR($R3495=TRUE(),$R3495="TRUE"),1,0))</f>
        <v/>
      </c>
      <c r="AK3495" s="18" t="str">
        <f aca="false">IF($AH3495=1,IFERROR(VALUE(MID($D3495,2,20)),1000000000)+ROW()/10000000,"")</f>
        <v/>
      </c>
    </row>
    <row r="3496" customFormat="false" ht="15" hidden="false" customHeight="false" outlineLevel="0" collapsed="false">
      <c r="F3496" s="15"/>
      <c r="N3496" s="16" t="str">
        <f aca="false">IF($D3496="","",M3496*Y3496/100)</f>
        <v/>
      </c>
      <c r="V3496" s="16" t="str">
        <f aca="false">IF($D3496="","",Y3496*AB3496/100)</f>
        <v/>
      </c>
      <c r="W3496" s="16" t="str">
        <f aca="false">IF($D3496="","",Y3496-V3496)</f>
        <v/>
      </c>
      <c r="X3496" s="16" t="str">
        <f aca="false">IF($D3496="","",W3496-N3496)</f>
        <v/>
      </c>
      <c r="AB3496" s="17" t="str">
        <f aca="false">IF($D3496="","",IF(OR($R3496=TRUE(),$R3496="TRUE"),Settings!$C$6,Settings!$C$7)*100)</f>
        <v/>
      </c>
      <c r="AH3496" s="18" t="str">
        <f aca="false">IF($D3496="","",IF(COUNTIF($D$2:$D3496,$D3496)=1,1,0))</f>
        <v/>
      </c>
      <c r="AI3496" s="18" t="str">
        <f aca="false">IF($AH3496=1,SUMPRODUCT(--($AK$2:$AK$4001&lt;$AK3496))+1,"")</f>
        <v/>
      </c>
      <c r="AJ3496" s="18" t="str">
        <f aca="false">IF($D3496="","",IF(OR($R3496=TRUE(),$R3496="TRUE"),1,0))</f>
        <v/>
      </c>
      <c r="AK3496" s="18" t="str">
        <f aca="false">IF($AH3496=1,IFERROR(VALUE(MID($D3496,2,20)),1000000000)+ROW()/10000000,"")</f>
        <v/>
      </c>
    </row>
    <row r="3497" customFormat="false" ht="15" hidden="false" customHeight="false" outlineLevel="0" collapsed="false">
      <c r="F3497" s="15"/>
      <c r="N3497" s="16" t="str">
        <f aca="false">IF($D3497="","",M3497*Y3497/100)</f>
        <v/>
      </c>
      <c r="V3497" s="16" t="str">
        <f aca="false">IF($D3497="","",Y3497*AB3497/100)</f>
        <v/>
      </c>
      <c r="W3497" s="16" t="str">
        <f aca="false">IF($D3497="","",Y3497-V3497)</f>
        <v/>
      </c>
      <c r="X3497" s="16" t="str">
        <f aca="false">IF($D3497="","",W3497-N3497)</f>
        <v/>
      </c>
      <c r="AB3497" s="17" t="str">
        <f aca="false">IF($D3497="","",IF(OR($R3497=TRUE(),$R3497="TRUE"),Settings!$C$6,Settings!$C$7)*100)</f>
        <v/>
      </c>
      <c r="AH3497" s="18" t="str">
        <f aca="false">IF($D3497="","",IF(COUNTIF($D$2:$D3497,$D3497)=1,1,0))</f>
        <v/>
      </c>
      <c r="AI3497" s="18" t="str">
        <f aca="false">IF($AH3497=1,SUMPRODUCT(--($AK$2:$AK$4001&lt;$AK3497))+1,"")</f>
        <v/>
      </c>
      <c r="AJ3497" s="18" t="str">
        <f aca="false">IF($D3497="","",IF(OR($R3497=TRUE(),$R3497="TRUE"),1,0))</f>
        <v/>
      </c>
      <c r="AK3497" s="18" t="str">
        <f aca="false">IF($AH3497=1,IFERROR(VALUE(MID($D3497,2,20)),1000000000)+ROW()/10000000,"")</f>
        <v/>
      </c>
    </row>
    <row r="3498" customFormat="false" ht="15" hidden="false" customHeight="false" outlineLevel="0" collapsed="false">
      <c r="F3498" s="15"/>
      <c r="N3498" s="16" t="str">
        <f aca="false">IF($D3498="","",M3498*Y3498/100)</f>
        <v/>
      </c>
      <c r="V3498" s="16" t="str">
        <f aca="false">IF($D3498="","",Y3498*AB3498/100)</f>
        <v/>
      </c>
      <c r="W3498" s="16" t="str">
        <f aca="false">IF($D3498="","",Y3498-V3498)</f>
        <v/>
      </c>
      <c r="X3498" s="16" t="str">
        <f aca="false">IF($D3498="","",W3498-N3498)</f>
        <v/>
      </c>
      <c r="AB3498" s="17" t="str">
        <f aca="false">IF($D3498="","",IF(OR($R3498=TRUE(),$R3498="TRUE"),Settings!$C$6,Settings!$C$7)*100)</f>
        <v/>
      </c>
      <c r="AH3498" s="18" t="str">
        <f aca="false">IF($D3498="","",IF(COUNTIF($D$2:$D3498,$D3498)=1,1,0))</f>
        <v/>
      </c>
      <c r="AI3498" s="18" t="str">
        <f aca="false">IF($AH3498=1,SUMPRODUCT(--($AK$2:$AK$4001&lt;$AK3498))+1,"")</f>
        <v/>
      </c>
      <c r="AJ3498" s="18" t="str">
        <f aca="false">IF($D3498="","",IF(OR($R3498=TRUE(),$R3498="TRUE"),1,0))</f>
        <v/>
      </c>
      <c r="AK3498" s="18" t="str">
        <f aca="false">IF($AH3498=1,IFERROR(VALUE(MID($D3498,2,20)),1000000000)+ROW()/10000000,"")</f>
        <v/>
      </c>
    </row>
    <row r="3499" customFormat="false" ht="15" hidden="false" customHeight="false" outlineLevel="0" collapsed="false">
      <c r="F3499" s="15"/>
      <c r="N3499" s="16" t="str">
        <f aca="false">IF($D3499="","",M3499*Y3499/100)</f>
        <v/>
      </c>
      <c r="V3499" s="16" t="str">
        <f aca="false">IF($D3499="","",Y3499*AB3499/100)</f>
        <v/>
      </c>
      <c r="W3499" s="16" t="str">
        <f aca="false">IF($D3499="","",Y3499-V3499)</f>
        <v/>
      </c>
      <c r="X3499" s="16" t="str">
        <f aca="false">IF($D3499="","",W3499-N3499)</f>
        <v/>
      </c>
      <c r="AB3499" s="17" t="str">
        <f aca="false">IF($D3499="","",IF(OR($R3499=TRUE(),$R3499="TRUE"),Settings!$C$6,Settings!$C$7)*100)</f>
        <v/>
      </c>
      <c r="AH3499" s="18" t="str">
        <f aca="false">IF($D3499="","",IF(COUNTIF($D$2:$D3499,$D3499)=1,1,0))</f>
        <v/>
      </c>
      <c r="AI3499" s="18" t="str">
        <f aca="false">IF($AH3499=1,SUMPRODUCT(--($AK$2:$AK$4001&lt;$AK3499))+1,"")</f>
        <v/>
      </c>
      <c r="AJ3499" s="18" t="str">
        <f aca="false">IF($D3499="","",IF(OR($R3499=TRUE(),$R3499="TRUE"),1,0))</f>
        <v/>
      </c>
      <c r="AK3499" s="18" t="str">
        <f aca="false">IF($AH3499=1,IFERROR(VALUE(MID($D3499,2,20)),1000000000)+ROW()/10000000,"")</f>
        <v/>
      </c>
    </row>
    <row r="3500" customFormat="false" ht="15" hidden="false" customHeight="false" outlineLevel="0" collapsed="false">
      <c r="F3500" s="15"/>
      <c r="N3500" s="16" t="str">
        <f aca="false">IF($D3500="","",M3500*Y3500/100)</f>
        <v/>
      </c>
      <c r="V3500" s="16" t="str">
        <f aca="false">IF($D3500="","",Y3500*AB3500/100)</f>
        <v/>
      </c>
      <c r="W3500" s="16" t="str">
        <f aca="false">IF($D3500="","",Y3500-V3500)</f>
        <v/>
      </c>
      <c r="X3500" s="16" t="str">
        <f aca="false">IF($D3500="","",W3500-N3500)</f>
        <v/>
      </c>
      <c r="AB3500" s="17" t="str">
        <f aca="false">IF($D3500="","",IF(OR($R3500=TRUE(),$R3500="TRUE"),Settings!$C$6,Settings!$C$7)*100)</f>
        <v/>
      </c>
      <c r="AH3500" s="18" t="str">
        <f aca="false">IF($D3500="","",IF(COUNTIF($D$2:$D3500,$D3500)=1,1,0))</f>
        <v/>
      </c>
      <c r="AI3500" s="18" t="str">
        <f aca="false">IF($AH3500=1,SUMPRODUCT(--($AK$2:$AK$4001&lt;$AK3500))+1,"")</f>
        <v/>
      </c>
      <c r="AJ3500" s="18" t="str">
        <f aca="false">IF($D3500="","",IF(OR($R3500=TRUE(),$R3500="TRUE"),1,0))</f>
        <v/>
      </c>
      <c r="AK3500" s="18" t="str">
        <f aca="false">IF($AH3500=1,IFERROR(VALUE(MID($D3500,2,20)),1000000000)+ROW()/10000000,"")</f>
        <v/>
      </c>
    </row>
    <row r="3501" customFormat="false" ht="15" hidden="false" customHeight="false" outlineLevel="0" collapsed="false">
      <c r="F3501" s="15"/>
      <c r="N3501" s="16" t="str">
        <f aca="false">IF($D3501="","",M3501*Y3501/100)</f>
        <v/>
      </c>
      <c r="V3501" s="16" t="str">
        <f aca="false">IF($D3501="","",Y3501*AB3501/100)</f>
        <v/>
      </c>
      <c r="W3501" s="16" t="str">
        <f aca="false">IF($D3501="","",Y3501-V3501)</f>
        <v/>
      </c>
      <c r="X3501" s="16" t="str">
        <f aca="false">IF($D3501="","",W3501-N3501)</f>
        <v/>
      </c>
      <c r="AB3501" s="17" t="str">
        <f aca="false">IF($D3501="","",IF(OR($R3501=TRUE(),$R3501="TRUE"),Settings!$C$6,Settings!$C$7)*100)</f>
        <v/>
      </c>
      <c r="AH3501" s="18" t="str">
        <f aca="false">IF($D3501="","",IF(COUNTIF($D$2:$D3501,$D3501)=1,1,0))</f>
        <v/>
      </c>
      <c r="AI3501" s="18" t="str">
        <f aca="false">IF($AH3501=1,SUMPRODUCT(--($AK$2:$AK$4001&lt;$AK3501))+1,"")</f>
        <v/>
      </c>
      <c r="AJ3501" s="18" t="str">
        <f aca="false">IF($D3501="","",IF(OR($R3501=TRUE(),$R3501="TRUE"),1,0))</f>
        <v/>
      </c>
      <c r="AK3501" s="18" t="str">
        <f aca="false">IF($AH3501=1,IFERROR(VALUE(MID($D3501,2,20)),1000000000)+ROW()/10000000,"")</f>
        <v/>
      </c>
    </row>
    <row r="3502" customFormat="false" ht="15" hidden="false" customHeight="false" outlineLevel="0" collapsed="false">
      <c r="F3502" s="15"/>
      <c r="N3502" s="16" t="str">
        <f aca="false">IF($D3502="","",M3502*Y3502/100)</f>
        <v/>
      </c>
      <c r="V3502" s="16" t="str">
        <f aca="false">IF($D3502="","",Y3502*AB3502/100)</f>
        <v/>
      </c>
      <c r="W3502" s="16" t="str">
        <f aca="false">IF($D3502="","",Y3502-V3502)</f>
        <v/>
      </c>
      <c r="X3502" s="16" t="str">
        <f aca="false">IF($D3502="","",W3502-N3502)</f>
        <v/>
      </c>
      <c r="AB3502" s="17" t="str">
        <f aca="false">IF($D3502="","",IF(OR($R3502=TRUE(),$R3502="TRUE"),Settings!$C$6,Settings!$C$7)*100)</f>
        <v/>
      </c>
      <c r="AH3502" s="18" t="str">
        <f aca="false">IF($D3502="","",IF(COUNTIF($D$2:$D3502,$D3502)=1,1,0))</f>
        <v/>
      </c>
      <c r="AI3502" s="18" t="str">
        <f aca="false">IF($AH3502=1,SUMPRODUCT(--($AK$2:$AK$4001&lt;$AK3502))+1,"")</f>
        <v/>
      </c>
      <c r="AJ3502" s="18" t="str">
        <f aca="false">IF($D3502="","",IF(OR($R3502=TRUE(),$R3502="TRUE"),1,0))</f>
        <v/>
      </c>
      <c r="AK3502" s="18" t="str">
        <f aca="false">IF($AH3502=1,IFERROR(VALUE(MID($D3502,2,20)),1000000000)+ROW()/10000000,"")</f>
        <v/>
      </c>
    </row>
    <row r="3503" customFormat="false" ht="15" hidden="false" customHeight="false" outlineLevel="0" collapsed="false">
      <c r="F3503" s="15"/>
      <c r="N3503" s="16" t="str">
        <f aca="false">IF($D3503="","",M3503*Y3503/100)</f>
        <v/>
      </c>
      <c r="V3503" s="16" t="str">
        <f aca="false">IF($D3503="","",Y3503*AB3503/100)</f>
        <v/>
      </c>
      <c r="W3503" s="16" t="str">
        <f aca="false">IF($D3503="","",Y3503-V3503)</f>
        <v/>
      </c>
      <c r="X3503" s="16" t="str">
        <f aca="false">IF($D3503="","",W3503-N3503)</f>
        <v/>
      </c>
      <c r="AB3503" s="17" t="str">
        <f aca="false">IF($D3503="","",IF(OR($R3503=TRUE(),$R3503="TRUE"),Settings!$C$6,Settings!$C$7)*100)</f>
        <v/>
      </c>
      <c r="AH3503" s="18" t="str">
        <f aca="false">IF($D3503="","",IF(COUNTIF($D$2:$D3503,$D3503)=1,1,0))</f>
        <v/>
      </c>
      <c r="AI3503" s="18" t="str">
        <f aca="false">IF($AH3503=1,SUMPRODUCT(--($AK$2:$AK$4001&lt;$AK3503))+1,"")</f>
        <v/>
      </c>
      <c r="AJ3503" s="18" t="str">
        <f aca="false">IF($D3503="","",IF(OR($R3503=TRUE(),$R3503="TRUE"),1,0))</f>
        <v/>
      </c>
      <c r="AK3503" s="18" t="str">
        <f aca="false">IF($AH3503=1,IFERROR(VALUE(MID($D3503,2,20)),1000000000)+ROW()/10000000,"")</f>
        <v/>
      </c>
    </row>
    <row r="3504" customFormat="false" ht="15" hidden="false" customHeight="false" outlineLevel="0" collapsed="false">
      <c r="F3504" s="15"/>
      <c r="N3504" s="16" t="str">
        <f aca="false">IF($D3504="","",M3504*Y3504/100)</f>
        <v/>
      </c>
      <c r="V3504" s="16" t="str">
        <f aca="false">IF($D3504="","",Y3504*AB3504/100)</f>
        <v/>
      </c>
      <c r="W3504" s="16" t="str">
        <f aca="false">IF($D3504="","",Y3504-V3504)</f>
        <v/>
      </c>
      <c r="X3504" s="16" t="str">
        <f aca="false">IF($D3504="","",W3504-N3504)</f>
        <v/>
      </c>
      <c r="AB3504" s="17" t="str">
        <f aca="false">IF($D3504="","",IF(OR($R3504=TRUE(),$R3504="TRUE"),Settings!$C$6,Settings!$C$7)*100)</f>
        <v/>
      </c>
      <c r="AH3504" s="18" t="str">
        <f aca="false">IF($D3504="","",IF(COUNTIF($D$2:$D3504,$D3504)=1,1,0))</f>
        <v/>
      </c>
      <c r="AI3504" s="18" t="str">
        <f aca="false">IF($AH3504=1,SUMPRODUCT(--($AK$2:$AK$4001&lt;$AK3504))+1,"")</f>
        <v/>
      </c>
      <c r="AJ3504" s="18" t="str">
        <f aca="false">IF($D3504="","",IF(OR($R3504=TRUE(),$R3504="TRUE"),1,0))</f>
        <v/>
      </c>
      <c r="AK3504" s="18" t="str">
        <f aca="false">IF($AH3504=1,IFERROR(VALUE(MID($D3504,2,20)),1000000000)+ROW()/10000000,"")</f>
        <v/>
      </c>
    </row>
    <row r="3505" customFormat="false" ht="15" hidden="false" customHeight="false" outlineLevel="0" collapsed="false">
      <c r="F3505" s="15"/>
      <c r="N3505" s="16" t="str">
        <f aca="false">IF($D3505="","",M3505*Y3505/100)</f>
        <v/>
      </c>
      <c r="V3505" s="16" t="str">
        <f aca="false">IF($D3505="","",Y3505*AB3505/100)</f>
        <v/>
      </c>
      <c r="W3505" s="16" t="str">
        <f aca="false">IF($D3505="","",Y3505-V3505)</f>
        <v/>
      </c>
      <c r="X3505" s="16" t="str">
        <f aca="false">IF($D3505="","",W3505-N3505)</f>
        <v/>
      </c>
      <c r="AB3505" s="17" t="str">
        <f aca="false">IF($D3505="","",IF(OR($R3505=TRUE(),$R3505="TRUE"),Settings!$C$6,Settings!$C$7)*100)</f>
        <v/>
      </c>
      <c r="AH3505" s="18" t="str">
        <f aca="false">IF($D3505="","",IF(COUNTIF($D$2:$D3505,$D3505)=1,1,0))</f>
        <v/>
      </c>
      <c r="AI3505" s="18" t="str">
        <f aca="false">IF($AH3505=1,SUMPRODUCT(--($AK$2:$AK$4001&lt;$AK3505))+1,"")</f>
        <v/>
      </c>
      <c r="AJ3505" s="18" t="str">
        <f aca="false">IF($D3505="","",IF(OR($R3505=TRUE(),$R3505="TRUE"),1,0))</f>
        <v/>
      </c>
      <c r="AK3505" s="18" t="str">
        <f aca="false">IF($AH3505=1,IFERROR(VALUE(MID($D3505,2,20)),1000000000)+ROW()/10000000,"")</f>
        <v/>
      </c>
    </row>
    <row r="3506" customFormat="false" ht="15" hidden="false" customHeight="false" outlineLevel="0" collapsed="false">
      <c r="F3506" s="15"/>
      <c r="N3506" s="16" t="str">
        <f aca="false">IF($D3506="","",M3506*Y3506/100)</f>
        <v/>
      </c>
      <c r="V3506" s="16" t="str">
        <f aca="false">IF($D3506="","",Y3506*AB3506/100)</f>
        <v/>
      </c>
      <c r="W3506" s="16" t="str">
        <f aca="false">IF($D3506="","",Y3506-V3506)</f>
        <v/>
      </c>
      <c r="X3506" s="16" t="str">
        <f aca="false">IF($D3506="","",W3506-N3506)</f>
        <v/>
      </c>
      <c r="AB3506" s="17" t="str">
        <f aca="false">IF($D3506="","",IF(OR($R3506=TRUE(),$R3506="TRUE"),Settings!$C$6,Settings!$C$7)*100)</f>
        <v/>
      </c>
      <c r="AH3506" s="18" t="str">
        <f aca="false">IF($D3506="","",IF(COUNTIF($D$2:$D3506,$D3506)=1,1,0))</f>
        <v/>
      </c>
      <c r="AI3506" s="18" t="str">
        <f aca="false">IF($AH3506=1,SUMPRODUCT(--($AK$2:$AK$4001&lt;$AK3506))+1,"")</f>
        <v/>
      </c>
      <c r="AJ3506" s="18" t="str">
        <f aca="false">IF($D3506="","",IF(OR($R3506=TRUE(),$R3506="TRUE"),1,0))</f>
        <v/>
      </c>
      <c r="AK3506" s="18" t="str">
        <f aca="false">IF($AH3506=1,IFERROR(VALUE(MID($D3506,2,20)),1000000000)+ROW()/10000000,"")</f>
        <v/>
      </c>
    </row>
    <row r="3507" customFormat="false" ht="15" hidden="false" customHeight="false" outlineLevel="0" collapsed="false">
      <c r="F3507" s="15"/>
      <c r="N3507" s="16" t="str">
        <f aca="false">IF($D3507="","",M3507*Y3507/100)</f>
        <v/>
      </c>
      <c r="V3507" s="16" t="str">
        <f aca="false">IF($D3507="","",Y3507*AB3507/100)</f>
        <v/>
      </c>
      <c r="W3507" s="16" t="str">
        <f aca="false">IF($D3507="","",Y3507-V3507)</f>
        <v/>
      </c>
      <c r="X3507" s="16" t="str">
        <f aca="false">IF($D3507="","",W3507-N3507)</f>
        <v/>
      </c>
      <c r="AB3507" s="17" t="str">
        <f aca="false">IF($D3507="","",IF(OR($R3507=TRUE(),$R3507="TRUE"),Settings!$C$6,Settings!$C$7)*100)</f>
        <v/>
      </c>
      <c r="AH3507" s="18" t="str">
        <f aca="false">IF($D3507="","",IF(COUNTIF($D$2:$D3507,$D3507)=1,1,0))</f>
        <v/>
      </c>
      <c r="AI3507" s="18" t="str">
        <f aca="false">IF($AH3507=1,SUMPRODUCT(--($AK$2:$AK$4001&lt;$AK3507))+1,"")</f>
        <v/>
      </c>
      <c r="AJ3507" s="18" t="str">
        <f aca="false">IF($D3507="","",IF(OR($R3507=TRUE(),$R3507="TRUE"),1,0))</f>
        <v/>
      </c>
      <c r="AK3507" s="18" t="str">
        <f aca="false">IF($AH3507=1,IFERROR(VALUE(MID($D3507,2,20)),1000000000)+ROW()/10000000,"")</f>
        <v/>
      </c>
    </row>
    <row r="3508" customFormat="false" ht="15" hidden="false" customHeight="false" outlineLevel="0" collapsed="false">
      <c r="F3508" s="15"/>
      <c r="N3508" s="16" t="str">
        <f aca="false">IF($D3508="","",M3508*Y3508/100)</f>
        <v/>
      </c>
      <c r="V3508" s="16" t="str">
        <f aca="false">IF($D3508="","",Y3508*AB3508/100)</f>
        <v/>
      </c>
      <c r="W3508" s="16" t="str">
        <f aca="false">IF($D3508="","",Y3508-V3508)</f>
        <v/>
      </c>
      <c r="X3508" s="16" t="str">
        <f aca="false">IF($D3508="","",W3508-N3508)</f>
        <v/>
      </c>
      <c r="AB3508" s="17" t="str">
        <f aca="false">IF($D3508="","",IF(OR($R3508=TRUE(),$R3508="TRUE"),Settings!$C$6,Settings!$C$7)*100)</f>
        <v/>
      </c>
      <c r="AH3508" s="18" t="str">
        <f aca="false">IF($D3508="","",IF(COUNTIF($D$2:$D3508,$D3508)=1,1,0))</f>
        <v/>
      </c>
      <c r="AI3508" s="18" t="str">
        <f aca="false">IF($AH3508=1,SUMPRODUCT(--($AK$2:$AK$4001&lt;$AK3508))+1,"")</f>
        <v/>
      </c>
      <c r="AJ3508" s="18" t="str">
        <f aca="false">IF($D3508="","",IF(OR($R3508=TRUE(),$R3508="TRUE"),1,0))</f>
        <v/>
      </c>
      <c r="AK3508" s="18" t="str">
        <f aca="false">IF($AH3508=1,IFERROR(VALUE(MID($D3508,2,20)),1000000000)+ROW()/10000000,"")</f>
        <v/>
      </c>
    </row>
    <row r="3509" customFormat="false" ht="15" hidden="false" customHeight="false" outlineLevel="0" collapsed="false">
      <c r="F3509" s="15"/>
      <c r="N3509" s="16" t="str">
        <f aca="false">IF($D3509="","",M3509*Y3509/100)</f>
        <v/>
      </c>
      <c r="V3509" s="16" t="str">
        <f aca="false">IF($D3509="","",Y3509*AB3509/100)</f>
        <v/>
      </c>
      <c r="W3509" s="16" t="str">
        <f aca="false">IF($D3509="","",Y3509-V3509)</f>
        <v/>
      </c>
      <c r="X3509" s="16" t="str">
        <f aca="false">IF($D3509="","",W3509-N3509)</f>
        <v/>
      </c>
      <c r="AB3509" s="17" t="str">
        <f aca="false">IF($D3509="","",IF(OR($R3509=TRUE(),$R3509="TRUE"),Settings!$C$6,Settings!$C$7)*100)</f>
        <v/>
      </c>
      <c r="AH3509" s="18" t="str">
        <f aca="false">IF($D3509="","",IF(COUNTIF($D$2:$D3509,$D3509)=1,1,0))</f>
        <v/>
      </c>
      <c r="AI3509" s="18" t="str">
        <f aca="false">IF($AH3509=1,SUMPRODUCT(--($AK$2:$AK$4001&lt;$AK3509))+1,"")</f>
        <v/>
      </c>
      <c r="AJ3509" s="18" t="str">
        <f aca="false">IF($D3509="","",IF(OR($R3509=TRUE(),$R3509="TRUE"),1,0))</f>
        <v/>
      </c>
      <c r="AK3509" s="18" t="str">
        <f aca="false">IF($AH3509=1,IFERROR(VALUE(MID($D3509,2,20)),1000000000)+ROW()/10000000,"")</f>
        <v/>
      </c>
    </row>
    <row r="3510" customFormat="false" ht="15" hidden="false" customHeight="false" outlineLevel="0" collapsed="false">
      <c r="F3510" s="15"/>
      <c r="N3510" s="16" t="str">
        <f aca="false">IF($D3510="","",M3510*Y3510/100)</f>
        <v/>
      </c>
      <c r="V3510" s="16" t="str">
        <f aca="false">IF($D3510="","",Y3510*AB3510/100)</f>
        <v/>
      </c>
      <c r="W3510" s="16" t="str">
        <f aca="false">IF($D3510="","",Y3510-V3510)</f>
        <v/>
      </c>
      <c r="X3510" s="16" t="str">
        <f aca="false">IF($D3510="","",W3510-N3510)</f>
        <v/>
      </c>
      <c r="AB3510" s="17" t="str">
        <f aca="false">IF($D3510="","",IF(OR($R3510=TRUE(),$R3510="TRUE"),Settings!$C$6,Settings!$C$7)*100)</f>
        <v/>
      </c>
      <c r="AH3510" s="18" t="str">
        <f aca="false">IF($D3510="","",IF(COUNTIF($D$2:$D3510,$D3510)=1,1,0))</f>
        <v/>
      </c>
      <c r="AI3510" s="18" t="str">
        <f aca="false">IF($AH3510=1,SUMPRODUCT(--($AK$2:$AK$4001&lt;$AK3510))+1,"")</f>
        <v/>
      </c>
      <c r="AJ3510" s="18" t="str">
        <f aca="false">IF($D3510="","",IF(OR($R3510=TRUE(),$R3510="TRUE"),1,0))</f>
        <v/>
      </c>
      <c r="AK3510" s="18" t="str">
        <f aca="false">IF($AH3510=1,IFERROR(VALUE(MID($D3510,2,20)),1000000000)+ROW()/10000000,"")</f>
        <v/>
      </c>
    </row>
    <row r="3511" customFormat="false" ht="15" hidden="false" customHeight="false" outlineLevel="0" collapsed="false">
      <c r="F3511" s="15"/>
      <c r="N3511" s="16" t="str">
        <f aca="false">IF($D3511="","",M3511*Y3511/100)</f>
        <v/>
      </c>
      <c r="V3511" s="16" t="str">
        <f aca="false">IF($D3511="","",Y3511*AB3511/100)</f>
        <v/>
      </c>
      <c r="W3511" s="16" t="str">
        <f aca="false">IF($D3511="","",Y3511-V3511)</f>
        <v/>
      </c>
      <c r="X3511" s="16" t="str">
        <f aca="false">IF($D3511="","",W3511-N3511)</f>
        <v/>
      </c>
      <c r="AB3511" s="17" t="str">
        <f aca="false">IF($D3511="","",IF(OR($R3511=TRUE(),$R3511="TRUE"),Settings!$C$6,Settings!$C$7)*100)</f>
        <v/>
      </c>
      <c r="AH3511" s="18" t="str">
        <f aca="false">IF($D3511="","",IF(COUNTIF($D$2:$D3511,$D3511)=1,1,0))</f>
        <v/>
      </c>
      <c r="AI3511" s="18" t="str">
        <f aca="false">IF($AH3511=1,SUMPRODUCT(--($AK$2:$AK$4001&lt;$AK3511))+1,"")</f>
        <v/>
      </c>
      <c r="AJ3511" s="18" t="str">
        <f aca="false">IF($D3511="","",IF(OR($R3511=TRUE(),$R3511="TRUE"),1,0))</f>
        <v/>
      </c>
      <c r="AK3511" s="18" t="str">
        <f aca="false">IF($AH3511=1,IFERROR(VALUE(MID($D3511,2,20)),1000000000)+ROW()/10000000,"")</f>
        <v/>
      </c>
    </row>
    <row r="3512" customFormat="false" ht="15" hidden="false" customHeight="false" outlineLevel="0" collapsed="false">
      <c r="F3512" s="15"/>
      <c r="N3512" s="16" t="str">
        <f aca="false">IF($D3512="","",M3512*Y3512/100)</f>
        <v/>
      </c>
      <c r="V3512" s="16" t="str">
        <f aca="false">IF($D3512="","",Y3512*AB3512/100)</f>
        <v/>
      </c>
      <c r="W3512" s="16" t="str">
        <f aca="false">IF($D3512="","",Y3512-V3512)</f>
        <v/>
      </c>
      <c r="X3512" s="16" t="str">
        <f aca="false">IF($D3512="","",W3512-N3512)</f>
        <v/>
      </c>
      <c r="AB3512" s="17" t="str">
        <f aca="false">IF($D3512="","",IF(OR($R3512=TRUE(),$R3512="TRUE"),Settings!$C$6,Settings!$C$7)*100)</f>
        <v/>
      </c>
      <c r="AH3512" s="18" t="str">
        <f aca="false">IF($D3512="","",IF(COUNTIF($D$2:$D3512,$D3512)=1,1,0))</f>
        <v/>
      </c>
      <c r="AI3512" s="18" t="str">
        <f aca="false">IF($AH3512=1,SUMPRODUCT(--($AK$2:$AK$4001&lt;$AK3512))+1,"")</f>
        <v/>
      </c>
      <c r="AJ3512" s="18" t="str">
        <f aca="false">IF($D3512="","",IF(OR($R3512=TRUE(),$R3512="TRUE"),1,0))</f>
        <v/>
      </c>
      <c r="AK3512" s="18" t="str">
        <f aca="false">IF($AH3512=1,IFERROR(VALUE(MID($D3512,2,20)),1000000000)+ROW()/10000000,"")</f>
        <v/>
      </c>
    </row>
    <row r="3513" customFormat="false" ht="15" hidden="false" customHeight="false" outlineLevel="0" collapsed="false">
      <c r="F3513" s="15"/>
      <c r="N3513" s="16" t="str">
        <f aca="false">IF($D3513="","",M3513*Y3513/100)</f>
        <v/>
      </c>
      <c r="V3513" s="16" t="str">
        <f aca="false">IF($D3513="","",Y3513*AB3513/100)</f>
        <v/>
      </c>
      <c r="W3513" s="16" t="str">
        <f aca="false">IF($D3513="","",Y3513-V3513)</f>
        <v/>
      </c>
      <c r="X3513" s="16" t="str">
        <f aca="false">IF($D3513="","",W3513-N3513)</f>
        <v/>
      </c>
      <c r="AB3513" s="17" t="str">
        <f aca="false">IF($D3513="","",IF(OR($R3513=TRUE(),$R3513="TRUE"),Settings!$C$6,Settings!$C$7)*100)</f>
        <v/>
      </c>
      <c r="AH3513" s="18" t="str">
        <f aca="false">IF($D3513="","",IF(COUNTIF($D$2:$D3513,$D3513)=1,1,0))</f>
        <v/>
      </c>
      <c r="AI3513" s="18" t="str">
        <f aca="false">IF($AH3513=1,SUMPRODUCT(--($AK$2:$AK$4001&lt;$AK3513))+1,"")</f>
        <v/>
      </c>
      <c r="AJ3513" s="18" t="str">
        <f aca="false">IF($D3513="","",IF(OR($R3513=TRUE(),$R3513="TRUE"),1,0))</f>
        <v/>
      </c>
      <c r="AK3513" s="18" t="str">
        <f aca="false">IF($AH3513=1,IFERROR(VALUE(MID($D3513,2,20)),1000000000)+ROW()/10000000,"")</f>
        <v/>
      </c>
    </row>
    <row r="3514" customFormat="false" ht="15" hidden="false" customHeight="false" outlineLevel="0" collapsed="false">
      <c r="F3514" s="15"/>
      <c r="N3514" s="16" t="str">
        <f aca="false">IF($D3514="","",M3514*Y3514/100)</f>
        <v/>
      </c>
      <c r="V3514" s="16" t="str">
        <f aca="false">IF($D3514="","",Y3514*AB3514/100)</f>
        <v/>
      </c>
      <c r="W3514" s="16" t="str">
        <f aca="false">IF($D3514="","",Y3514-V3514)</f>
        <v/>
      </c>
      <c r="X3514" s="16" t="str">
        <f aca="false">IF($D3514="","",W3514-N3514)</f>
        <v/>
      </c>
      <c r="AB3514" s="17" t="str">
        <f aca="false">IF($D3514="","",IF(OR($R3514=TRUE(),$R3514="TRUE"),Settings!$C$6,Settings!$C$7)*100)</f>
        <v/>
      </c>
      <c r="AH3514" s="18" t="str">
        <f aca="false">IF($D3514="","",IF(COUNTIF($D$2:$D3514,$D3514)=1,1,0))</f>
        <v/>
      </c>
      <c r="AI3514" s="18" t="str">
        <f aca="false">IF($AH3514=1,SUMPRODUCT(--($AK$2:$AK$4001&lt;$AK3514))+1,"")</f>
        <v/>
      </c>
      <c r="AJ3514" s="18" t="str">
        <f aca="false">IF($D3514="","",IF(OR($R3514=TRUE(),$R3514="TRUE"),1,0))</f>
        <v/>
      </c>
      <c r="AK3514" s="18" t="str">
        <f aca="false">IF($AH3514=1,IFERROR(VALUE(MID($D3514,2,20)),1000000000)+ROW()/10000000,"")</f>
        <v/>
      </c>
    </row>
    <row r="3515" customFormat="false" ht="15" hidden="false" customHeight="false" outlineLevel="0" collapsed="false">
      <c r="F3515" s="15"/>
      <c r="N3515" s="16" t="str">
        <f aca="false">IF($D3515="","",M3515*Y3515/100)</f>
        <v/>
      </c>
      <c r="V3515" s="16" t="str">
        <f aca="false">IF($D3515="","",Y3515*AB3515/100)</f>
        <v/>
      </c>
      <c r="W3515" s="16" t="str">
        <f aca="false">IF($D3515="","",Y3515-V3515)</f>
        <v/>
      </c>
      <c r="X3515" s="16" t="str">
        <f aca="false">IF($D3515="","",W3515-N3515)</f>
        <v/>
      </c>
      <c r="AB3515" s="17" t="str">
        <f aca="false">IF($D3515="","",IF(OR($R3515=TRUE(),$R3515="TRUE"),Settings!$C$6,Settings!$C$7)*100)</f>
        <v/>
      </c>
      <c r="AH3515" s="18" t="str">
        <f aca="false">IF($D3515="","",IF(COUNTIF($D$2:$D3515,$D3515)=1,1,0))</f>
        <v/>
      </c>
      <c r="AI3515" s="18" t="str">
        <f aca="false">IF($AH3515=1,SUMPRODUCT(--($AK$2:$AK$4001&lt;$AK3515))+1,"")</f>
        <v/>
      </c>
      <c r="AJ3515" s="18" t="str">
        <f aca="false">IF($D3515="","",IF(OR($R3515=TRUE(),$R3515="TRUE"),1,0))</f>
        <v/>
      </c>
      <c r="AK3515" s="18" t="str">
        <f aca="false">IF($AH3515=1,IFERROR(VALUE(MID($D3515,2,20)),1000000000)+ROW()/10000000,"")</f>
        <v/>
      </c>
    </row>
    <row r="3516" customFormat="false" ht="15" hidden="false" customHeight="false" outlineLevel="0" collapsed="false">
      <c r="F3516" s="15"/>
      <c r="N3516" s="16" t="str">
        <f aca="false">IF($D3516="","",M3516*Y3516/100)</f>
        <v/>
      </c>
      <c r="V3516" s="16" t="str">
        <f aca="false">IF($D3516="","",Y3516*AB3516/100)</f>
        <v/>
      </c>
      <c r="W3516" s="16" t="str">
        <f aca="false">IF($D3516="","",Y3516-V3516)</f>
        <v/>
      </c>
      <c r="X3516" s="16" t="str">
        <f aca="false">IF($D3516="","",W3516-N3516)</f>
        <v/>
      </c>
      <c r="AB3516" s="17" t="str">
        <f aca="false">IF($D3516="","",IF(OR($R3516=TRUE(),$R3516="TRUE"),Settings!$C$6,Settings!$C$7)*100)</f>
        <v/>
      </c>
      <c r="AH3516" s="18" t="str">
        <f aca="false">IF($D3516="","",IF(COUNTIF($D$2:$D3516,$D3516)=1,1,0))</f>
        <v/>
      </c>
      <c r="AI3516" s="18" t="str">
        <f aca="false">IF($AH3516=1,SUMPRODUCT(--($AK$2:$AK$4001&lt;$AK3516))+1,"")</f>
        <v/>
      </c>
      <c r="AJ3516" s="18" t="str">
        <f aca="false">IF($D3516="","",IF(OR($R3516=TRUE(),$R3516="TRUE"),1,0))</f>
        <v/>
      </c>
      <c r="AK3516" s="18" t="str">
        <f aca="false">IF($AH3516=1,IFERROR(VALUE(MID($D3516,2,20)),1000000000)+ROW()/10000000,"")</f>
        <v/>
      </c>
    </row>
    <row r="3517" customFormat="false" ht="15" hidden="false" customHeight="false" outlineLevel="0" collapsed="false">
      <c r="F3517" s="15"/>
      <c r="N3517" s="16" t="str">
        <f aca="false">IF($D3517="","",M3517*Y3517/100)</f>
        <v/>
      </c>
      <c r="V3517" s="16" t="str">
        <f aca="false">IF($D3517="","",Y3517*AB3517/100)</f>
        <v/>
      </c>
      <c r="W3517" s="16" t="str">
        <f aca="false">IF($D3517="","",Y3517-V3517)</f>
        <v/>
      </c>
      <c r="X3517" s="16" t="str">
        <f aca="false">IF($D3517="","",W3517-N3517)</f>
        <v/>
      </c>
      <c r="AB3517" s="17" t="str">
        <f aca="false">IF($D3517="","",IF(OR($R3517=TRUE(),$R3517="TRUE"),Settings!$C$6,Settings!$C$7)*100)</f>
        <v/>
      </c>
      <c r="AH3517" s="18" t="str">
        <f aca="false">IF($D3517="","",IF(COUNTIF($D$2:$D3517,$D3517)=1,1,0))</f>
        <v/>
      </c>
      <c r="AI3517" s="18" t="str">
        <f aca="false">IF($AH3517=1,SUMPRODUCT(--($AK$2:$AK$4001&lt;$AK3517))+1,"")</f>
        <v/>
      </c>
      <c r="AJ3517" s="18" t="str">
        <f aca="false">IF($D3517="","",IF(OR($R3517=TRUE(),$R3517="TRUE"),1,0))</f>
        <v/>
      </c>
      <c r="AK3517" s="18" t="str">
        <f aca="false">IF($AH3517=1,IFERROR(VALUE(MID($D3517,2,20)),1000000000)+ROW()/10000000,"")</f>
        <v/>
      </c>
    </row>
    <row r="3518" customFormat="false" ht="15" hidden="false" customHeight="false" outlineLevel="0" collapsed="false">
      <c r="F3518" s="15"/>
      <c r="N3518" s="16" t="str">
        <f aca="false">IF($D3518="","",M3518*Y3518/100)</f>
        <v/>
      </c>
      <c r="V3518" s="16" t="str">
        <f aca="false">IF($D3518="","",Y3518*AB3518/100)</f>
        <v/>
      </c>
      <c r="W3518" s="16" t="str">
        <f aca="false">IF($D3518="","",Y3518-V3518)</f>
        <v/>
      </c>
      <c r="X3518" s="16" t="str">
        <f aca="false">IF($D3518="","",W3518-N3518)</f>
        <v/>
      </c>
      <c r="AB3518" s="17" t="str">
        <f aca="false">IF($D3518="","",IF(OR($R3518=TRUE(),$R3518="TRUE"),Settings!$C$6,Settings!$C$7)*100)</f>
        <v/>
      </c>
      <c r="AH3518" s="18" t="str">
        <f aca="false">IF($D3518="","",IF(COUNTIF($D$2:$D3518,$D3518)=1,1,0))</f>
        <v/>
      </c>
      <c r="AI3518" s="18" t="str">
        <f aca="false">IF($AH3518=1,SUMPRODUCT(--($AK$2:$AK$4001&lt;$AK3518))+1,"")</f>
        <v/>
      </c>
      <c r="AJ3518" s="18" t="str">
        <f aca="false">IF($D3518="","",IF(OR($R3518=TRUE(),$R3518="TRUE"),1,0))</f>
        <v/>
      </c>
      <c r="AK3518" s="18" t="str">
        <f aca="false">IF($AH3518=1,IFERROR(VALUE(MID($D3518,2,20)),1000000000)+ROW()/10000000,"")</f>
        <v/>
      </c>
    </row>
    <row r="3519" customFormat="false" ht="15" hidden="false" customHeight="false" outlineLevel="0" collapsed="false">
      <c r="F3519" s="15"/>
      <c r="N3519" s="16" t="str">
        <f aca="false">IF($D3519="","",M3519*Y3519/100)</f>
        <v/>
      </c>
      <c r="V3519" s="16" t="str">
        <f aca="false">IF($D3519="","",Y3519*AB3519/100)</f>
        <v/>
      </c>
      <c r="W3519" s="16" t="str">
        <f aca="false">IF($D3519="","",Y3519-V3519)</f>
        <v/>
      </c>
      <c r="X3519" s="16" t="str">
        <f aca="false">IF($D3519="","",W3519-N3519)</f>
        <v/>
      </c>
      <c r="AB3519" s="17" t="str">
        <f aca="false">IF($D3519="","",IF(OR($R3519=TRUE(),$R3519="TRUE"),Settings!$C$6,Settings!$C$7)*100)</f>
        <v/>
      </c>
      <c r="AH3519" s="18" t="str">
        <f aca="false">IF($D3519="","",IF(COUNTIF($D$2:$D3519,$D3519)=1,1,0))</f>
        <v/>
      </c>
      <c r="AI3519" s="18" t="str">
        <f aca="false">IF($AH3519=1,SUMPRODUCT(--($AK$2:$AK$4001&lt;$AK3519))+1,"")</f>
        <v/>
      </c>
      <c r="AJ3519" s="18" t="str">
        <f aca="false">IF($D3519="","",IF(OR($R3519=TRUE(),$R3519="TRUE"),1,0))</f>
        <v/>
      </c>
      <c r="AK3519" s="18" t="str">
        <f aca="false">IF($AH3519=1,IFERROR(VALUE(MID($D3519,2,20)),1000000000)+ROW()/10000000,"")</f>
        <v/>
      </c>
    </row>
    <row r="3520" customFormat="false" ht="15" hidden="false" customHeight="false" outlineLevel="0" collapsed="false">
      <c r="F3520" s="15"/>
      <c r="N3520" s="16" t="str">
        <f aca="false">IF($D3520="","",M3520*Y3520/100)</f>
        <v/>
      </c>
      <c r="V3520" s="16" t="str">
        <f aca="false">IF($D3520="","",Y3520*AB3520/100)</f>
        <v/>
      </c>
      <c r="W3520" s="16" t="str">
        <f aca="false">IF($D3520="","",Y3520-V3520)</f>
        <v/>
      </c>
      <c r="X3520" s="16" t="str">
        <f aca="false">IF($D3520="","",W3520-N3520)</f>
        <v/>
      </c>
      <c r="AB3520" s="17" t="str">
        <f aca="false">IF($D3520="","",IF(OR($R3520=TRUE(),$R3520="TRUE"),Settings!$C$6,Settings!$C$7)*100)</f>
        <v/>
      </c>
      <c r="AH3520" s="18" t="str">
        <f aca="false">IF($D3520="","",IF(COUNTIF($D$2:$D3520,$D3520)=1,1,0))</f>
        <v/>
      </c>
      <c r="AI3520" s="18" t="str">
        <f aca="false">IF($AH3520=1,SUMPRODUCT(--($AK$2:$AK$4001&lt;$AK3520))+1,"")</f>
        <v/>
      </c>
      <c r="AJ3520" s="18" t="str">
        <f aca="false">IF($D3520="","",IF(OR($R3520=TRUE(),$R3520="TRUE"),1,0))</f>
        <v/>
      </c>
      <c r="AK3520" s="18" t="str">
        <f aca="false">IF($AH3520=1,IFERROR(VALUE(MID($D3520,2,20)),1000000000)+ROW()/10000000,"")</f>
        <v/>
      </c>
    </row>
    <row r="3521" customFormat="false" ht="15" hidden="false" customHeight="false" outlineLevel="0" collapsed="false">
      <c r="F3521" s="15"/>
      <c r="N3521" s="16" t="str">
        <f aca="false">IF($D3521="","",M3521*Y3521/100)</f>
        <v/>
      </c>
      <c r="V3521" s="16" t="str">
        <f aca="false">IF($D3521="","",Y3521*AB3521/100)</f>
        <v/>
      </c>
      <c r="W3521" s="16" t="str">
        <f aca="false">IF($D3521="","",Y3521-V3521)</f>
        <v/>
      </c>
      <c r="X3521" s="16" t="str">
        <f aca="false">IF($D3521="","",W3521-N3521)</f>
        <v/>
      </c>
      <c r="AB3521" s="17" t="str">
        <f aca="false">IF($D3521="","",IF(OR($R3521=TRUE(),$R3521="TRUE"),Settings!$C$6,Settings!$C$7)*100)</f>
        <v/>
      </c>
      <c r="AH3521" s="18" t="str">
        <f aca="false">IF($D3521="","",IF(COUNTIF($D$2:$D3521,$D3521)=1,1,0))</f>
        <v/>
      </c>
      <c r="AI3521" s="18" t="str">
        <f aca="false">IF($AH3521=1,SUMPRODUCT(--($AK$2:$AK$4001&lt;$AK3521))+1,"")</f>
        <v/>
      </c>
      <c r="AJ3521" s="18" t="str">
        <f aca="false">IF($D3521="","",IF(OR($R3521=TRUE(),$R3521="TRUE"),1,0))</f>
        <v/>
      </c>
      <c r="AK3521" s="18" t="str">
        <f aca="false">IF($AH3521=1,IFERROR(VALUE(MID($D3521,2,20)),1000000000)+ROW()/10000000,"")</f>
        <v/>
      </c>
    </row>
    <row r="3522" customFormat="false" ht="15" hidden="false" customHeight="false" outlineLevel="0" collapsed="false">
      <c r="F3522" s="15"/>
      <c r="N3522" s="16" t="str">
        <f aca="false">IF($D3522="","",M3522*Y3522/100)</f>
        <v/>
      </c>
      <c r="V3522" s="16" t="str">
        <f aca="false">IF($D3522="","",Y3522*AB3522/100)</f>
        <v/>
      </c>
      <c r="W3522" s="16" t="str">
        <f aca="false">IF($D3522="","",Y3522-V3522)</f>
        <v/>
      </c>
      <c r="X3522" s="16" t="str">
        <f aca="false">IF($D3522="","",W3522-N3522)</f>
        <v/>
      </c>
      <c r="AB3522" s="17" t="str">
        <f aca="false">IF($D3522="","",IF(OR($R3522=TRUE(),$R3522="TRUE"),Settings!$C$6,Settings!$C$7)*100)</f>
        <v/>
      </c>
      <c r="AH3522" s="18" t="str">
        <f aca="false">IF($D3522="","",IF(COUNTIF($D$2:$D3522,$D3522)=1,1,0))</f>
        <v/>
      </c>
      <c r="AI3522" s="18" t="str">
        <f aca="false">IF($AH3522=1,SUMPRODUCT(--($AK$2:$AK$4001&lt;$AK3522))+1,"")</f>
        <v/>
      </c>
      <c r="AJ3522" s="18" t="str">
        <f aca="false">IF($D3522="","",IF(OR($R3522=TRUE(),$R3522="TRUE"),1,0))</f>
        <v/>
      </c>
      <c r="AK3522" s="18" t="str">
        <f aca="false">IF($AH3522=1,IFERROR(VALUE(MID($D3522,2,20)),1000000000)+ROW()/10000000,"")</f>
        <v/>
      </c>
    </row>
    <row r="3523" customFormat="false" ht="15" hidden="false" customHeight="false" outlineLevel="0" collapsed="false">
      <c r="F3523" s="15"/>
      <c r="N3523" s="16" t="str">
        <f aca="false">IF($D3523="","",M3523*Y3523/100)</f>
        <v/>
      </c>
      <c r="V3523" s="16" t="str">
        <f aca="false">IF($D3523="","",Y3523*AB3523/100)</f>
        <v/>
      </c>
      <c r="W3523" s="16" t="str">
        <f aca="false">IF($D3523="","",Y3523-V3523)</f>
        <v/>
      </c>
      <c r="X3523" s="16" t="str">
        <f aca="false">IF($D3523="","",W3523-N3523)</f>
        <v/>
      </c>
      <c r="AB3523" s="17" t="str">
        <f aca="false">IF($D3523="","",IF(OR($R3523=TRUE(),$R3523="TRUE"),Settings!$C$6,Settings!$C$7)*100)</f>
        <v/>
      </c>
      <c r="AH3523" s="18" t="str">
        <f aca="false">IF($D3523="","",IF(COUNTIF($D$2:$D3523,$D3523)=1,1,0))</f>
        <v/>
      </c>
      <c r="AI3523" s="18" t="str">
        <f aca="false">IF($AH3523=1,SUMPRODUCT(--($AK$2:$AK$4001&lt;$AK3523))+1,"")</f>
        <v/>
      </c>
      <c r="AJ3523" s="18" t="str">
        <f aca="false">IF($D3523="","",IF(OR($R3523=TRUE(),$R3523="TRUE"),1,0))</f>
        <v/>
      </c>
      <c r="AK3523" s="18" t="str">
        <f aca="false">IF($AH3523=1,IFERROR(VALUE(MID($D3523,2,20)),1000000000)+ROW()/10000000,"")</f>
        <v/>
      </c>
    </row>
    <row r="3524" customFormat="false" ht="15" hidden="false" customHeight="false" outlineLevel="0" collapsed="false">
      <c r="F3524" s="15"/>
      <c r="N3524" s="16" t="str">
        <f aca="false">IF($D3524="","",M3524*Y3524/100)</f>
        <v/>
      </c>
      <c r="V3524" s="16" t="str">
        <f aca="false">IF($D3524="","",Y3524*AB3524/100)</f>
        <v/>
      </c>
      <c r="W3524" s="16" t="str">
        <f aca="false">IF($D3524="","",Y3524-V3524)</f>
        <v/>
      </c>
      <c r="X3524" s="16" t="str">
        <f aca="false">IF($D3524="","",W3524-N3524)</f>
        <v/>
      </c>
      <c r="AB3524" s="17" t="str">
        <f aca="false">IF($D3524="","",IF(OR($R3524=TRUE(),$R3524="TRUE"),Settings!$C$6,Settings!$C$7)*100)</f>
        <v/>
      </c>
      <c r="AH3524" s="18" t="str">
        <f aca="false">IF($D3524="","",IF(COUNTIF($D$2:$D3524,$D3524)=1,1,0))</f>
        <v/>
      </c>
      <c r="AI3524" s="18" t="str">
        <f aca="false">IF($AH3524=1,SUMPRODUCT(--($AK$2:$AK$4001&lt;$AK3524))+1,"")</f>
        <v/>
      </c>
      <c r="AJ3524" s="18" t="str">
        <f aca="false">IF($D3524="","",IF(OR($R3524=TRUE(),$R3524="TRUE"),1,0))</f>
        <v/>
      </c>
      <c r="AK3524" s="18" t="str">
        <f aca="false">IF($AH3524=1,IFERROR(VALUE(MID($D3524,2,20)),1000000000)+ROW()/10000000,"")</f>
        <v/>
      </c>
    </row>
    <row r="3525" customFormat="false" ht="15" hidden="false" customHeight="false" outlineLevel="0" collapsed="false">
      <c r="F3525" s="15"/>
      <c r="N3525" s="16" t="str">
        <f aca="false">IF($D3525="","",M3525*Y3525/100)</f>
        <v/>
      </c>
      <c r="V3525" s="16" t="str">
        <f aca="false">IF($D3525="","",Y3525*AB3525/100)</f>
        <v/>
      </c>
      <c r="W3525" s="16" t="str">
        <f aca="false">IF($D3525="","",Y3525-V3525)</f>
        <v/>
      </c>
      <c r="X3525" s="16" t="str">
        <f aca="false">IF($D3525="","",W3525-N3525)</f>
        <v/>
      </c>
      <c r="AB3525" s="17" t="str">
        <f aca="false">IF($D3525="","",IF(OR($R3525=TRUE(),$R3525="TRUE"),Settings!$C$6,Settings!$C$7)*100)</f>
        <v/>
      </c>
      <c r="AH3525" s="18" t="str">
        <f aca="false">IF($D3525="","",IF(COUNTIF($D$2:$D3525,$D3525)=1,1,0))</f>
        <v/>
      </c>
      <c r="AI3525" s="18" t="str">
        <f aca="false">IF($AH3525=1,SUMPRODUCT(--($AK$2:$AK$4001&lt;$AK3525))+1,"")</f>
        <v/>
      </c>
      <c r="AJ3525" s="18" t="str">
        <f aca="false">IF($D3525="","",IF(OR($R3525=TRUE(),$R3525="TRUE"),1,0))</f>
        <v/>
      </c>
      <c r="AK3525" s="18" t="str">
        <f aca="false">IF($AH3525=1,IFERROR(VALUE(MID($D3525,2,20)),1000000000)+ROW()/10000000,"")</f>
        <v/>
      </c>
    </row>
    <row r="3526" customFormat="false" ht="15" hidden="false" customHeight="false" outlineLevel="0" collapsed="false">
      <c r="F3526" s="15"/>
      <c r="N3526" s="16" t="str">
        <f aca="false">IF($D3526="","",M3526*Y3526/100)</f>
        <v/>
      </c>
      <c r="V3526" s="16" t="str">
        <f aca="false">IF($D3526="","",Y3526*AB3526/100)</f>
        <v/>
      </c>
      <c r="W3526" s="16" t="str">
        <f aca="false">IF($D3526="","",Y3526-V3526)</f>
        <v/>
      </c>
      <c r="X3526" s="16" t="str">
        <f aca="false">IF($D3526="","",W3526-N3526)</f>
        <v/>
      </c>
      <c r="AB3526" s="17" t="str">
        <f aca="false">IF($D3526="","",IF(OR($R3526=TRUE(),$R3526="TRUE"),Settings!$C$6,Settings!$C$7)*100)</f>
        <v/>
      </c>
      <c r="AH3526" s="18" t="str">
        <f aca="false">IF($D3526="","",IF(COUNTIF($D$2:$D3526,$D3526)=1,1,0))</f>
        <v/>
      </c>
      <c r="AI3526" s="18" t="str">
        <f aca="false">IF($AH3526=1,SUMPRODUCT(--($AK$2:$AK$4001&lt;$AK3526))+1,"")</f>
        <v/>
      </c>
      <c r="AJ3526" s="18" t="str">
        <f aca="false">IF($D3526="","",IF(OR($R3526=TRUE(),$R3526="TRUE"),1,0))</f>
        <v/>
      </c>
      <c r="AK3526" s="18" t="str">
        <f aca="false">IF($AH3526=1,IFERROR(VALUE(MID($D3526,2,20)),1000000000)+ROW()/10000000,"")</f>
        <v/>
      </c>
    </row>
    <row r="3527" customFormat="false" ht="15" hidden="false" customHeight="false" outlineLevel="0" collapsed="false">
      <c r="F3527" s="15"/>
      <c r="N3527" s="16" t="str">
        <f aca="false">IF($D3527="","",M3527*Y3527/100)</f>
        <v/>
      </c>
      <c r="V3527" s="16" t="str">
        <f aca="false">IF($D3527="","",Y3527*AB3527/100)</f>
        <v/>
      </c>
      <c r="W3527" s="16" t="str">
        <f aca="false">IF($D3527="","",Y3527-V3527)</f>
        <v/>
      </c>
      <c r="X3527" s="16" t="str">
        <f aca="false">IF($D3527="","",W3527-N3527)</f>
        <v/>
      </c>
      <c r="AB3527" s="17" t="str">
        <f aca="false">IF($D3527="","",IF(OR($R3527=TRUE(),$R3527="TRUE"),Settings!$C$6,Settings!$C$7)*100)</f>
        <v/>
      </c>
      <c r="AH3527" s="18" t="str">
        <f aca="false">IF($D3527="","",IF(COUNTIF($D$2:$D3527,$D3527)=1,1,0))</f>
        <v/>
      </c>
      <c r="AI3527" s="18" t="str">
        <f aca="false">IF($AH3527=1,SUMPRODUCT(--($AK$2:$AK$4001&lt;$AK3527))+1,"")</f>
        <v/>
      </c>
      <c r="AJ3527" s="18" t="str">
        <f aca="false">IF($D3527="","",IF(OR($R3527=TRUE(),$R3527="TRUE"),1,0))</f>
        <v/>
      </c>
      <c r="AK3527" s="18" t="str">
        <f aca="false">IF($AH3527=1,IFERROR(VALUE(MID($D3527,2,20)),1000000000)+ROW()/10000000,"")</f>
        <v/>
      </c>
    </row>
    <row r="3528" customFormat="false" ht="15" hidden="false" customHeight="false" outlineLevel="0" collapsed="false">
      <c r="F3528" s="15"/>
      <c r="N3528" s="16" t="str">
        <f aca="false">IF($D3528="","",M3528*Y3528/100)</f>
        <v/>
      </c>
      <c r="V3528" s="16" t="str">
        <f aca="false">IF($D3528="","",Y3528*AB3528/100)</f>
        <v/>
      </c>
      <c r="W3528" s="16" t="str">
        <f aca="false">IF($D3528="","",Y3528-V3528)</f>
        <v/>
      </c>
      <c r="X3528" s="16" t="str">
        <f aca="false">IF($D3528="","",W3528-N3528)</f>
        <v/>
      </c>
      <c r="AB3528" s="17" t="str">
        <f aca="false">IF($D3528="","",IF(OR($R3528=TRUE(),$R3528="TRUE"),Settings!$C$6,Settings!$C$7)*100)</f>
        <v/>
      </c>
      <c r="AH3528" s="18" t="str">
        <f aca="false">IF($D3528="","",IF(COUNTIF($D$2:$D3528,$D3528)=1,1,0))</f>
        <v/>
      </c>
      <c r="AI3528" s="18" t="str">
        <f aca="false">IF($AH3528=1,SUMPRODUCT(--($AK$2:$AK$4001&lt;$AK3528))+1,"")</f>
        <v/>
      </c>
      <c r="AJ3528" s="18" t="str">
        <f aca="false">IF($D3528="","",IF(OR($R3528=TRUE(),$R3528="TRUE"),1,0))</f>
        <v/>
      </c>
      <c r="AK3528" s="18" t="str">
        <f aca="false">IF($AH3528=1,IFERROR(VALUE(MID($D3528,2,20)),1000000000)+ROW()/10000000,"")</f>
        <v/>
      </c>
    </row>
    <row r="3529" customFormat="false" ht="15" hidden="false" customHeight="false" outlineLevel="0" collapsed="false">
      <c r="F3529" s="15"/>
      <c r="N3529" s="16" t="str">
        <f aca="false">IF($D3529="","",M3529*Y3529/100)</f>
        <v/>
      </c>
      <c r="V3529" s="16" t="str">
        <f aca="false">IF($D3529="","",Y3529*AB3529/100)</f>
        <v/>
      </c>
      <c r="W3529" s="16" t="str">
        <f aca="false">IF($D3529="","",Y3529-V3529)</f>
        <v/>
      </c>
      <c r="X3529" s="16" t="str">
        <f aca="false">IF($D3529="","",W3529-N3529)</f>
        <v/>
      </c>
      <c r="AB3529" s="17" t="str">
        <f aca="false">IF($D3529="","",IF(OR($R3529=TRUE(),$R3529="TRUE"),Settings!$C$6,Settings!$C$7)*100)</f>
        <v/>
      </c>
      <c r="AH3529" s="18" t="str">
        <f aca="false">IF($D3529="","",IF(COUNTIF($D$2:$D3529,$D3529)=1,1,0))</f>
        <v/>
      </c>
      <c r="AI3529" s="18" t="str">
        <f aca="false">IF($AH3529=1,SUMPRODUCT(--($AK$2:$AK$4001&lt;$AK3529))+1,"")</f>
        <v/>
      </c>
      <c r="AJ3529" s="18" t="str">
        <f aca="false">IF($D3529="","",IF(OR($R3529=TRUE(),$R3529="TRUE"),1,0))</f>
        <v/>
      </c>
      <c r="AK3529" s="18" t="str">
        <f aca="false">IF($AH3529=1,IFERROR(VALUE(MID($D3529,2,20)),1000000000)+ROW()/10000000,"")</f>
        <v/>
      </c>
    </row>
    <row r="3530" customFormat="false" ht="15" hidden="false" customHeight="false" outlineLevel="0" collapsed="false">
      <c r="F3530" s="15"/>
      <c r="N3530" s="16" t="str">
        <f aca="false">IF($D3530="","",M3530*Y3530/100)</f>
        <v/>
      </c>
      <c r="V3530" s="16" t="str">
        <f aca="false">IF($D3530="","",Y3530*AB3530/100)</f>
        <v/>
      </c>
      <c r="W3530" s="16" t="str">
        <f aca="false">IF($D3530="","",Y3530-V3530)</f>
        <v/>
      </c>
      <c r="X3530" s="16" t="str">
        <f aca="false">IF($D3530="","",W3530-N3530)</f>
        <v/>
      </c>
      <c r="AB3530" s="17" t="str">
        <f aca="false">IF($D3530="","",IF(OR($R3530=TRUE(),$R3530="TRUE"),Settings!$C$6,Settings!$C$7)*100)</f>
        <v/>
      </c>
      <c r="AH3530" s="18" t="str">
        <f aca="false">IF($D3530="","",IF(COUNTIF($D$2:$D3530,$D3530)=1,1,0))</f>
        <v/>
      </c>
      <c r="AI3530" s="18" t="str">
        <f aca="false">IF($AH3530=1,SUMPRODUCT(--($AK$2:$AK$4001&lt;$AK3530))+1,"")</f>
        <v/>
      </c>
      <c r="AJ3530" s="18" t="str">
        <f aca="false">IF($D3530="","",IF(OR($R3530=TRUE(),$R3530="TRUE"),1,0))</f>
        <v/>
      </c>
      <c r="AK3530" s="18" t="str">
        <f aca="false">IF($AH3530=1,IFERROR(VALUE(MID($D3530,2,20)),1000000000)+ROW()/10000000,"")</f>
        <v/>
      </c>
    </row>
    <row r="3531" customFormat="false" ht="15" hidden="false" customHeight="false" outlineLevel="0" collapsed="false">
      <c r="F3531" s="15"/>
      <c r="N3531" s="16" t="str">
        <f aca="false">IF($D3531="","",M3531*Y3531/100)</f>
        <v/>
      </c>
      <c r="V3531" s="16" t="str">
        <f aca="false">IF($D3531="","",Y3531*AB3531/100)</f>
        <v/>
      </c>
      <c r="W3531" s="16" t="str">
        <f aca="false">IF($D3531="","",Y3531-V3531)</f>
        <v/>
      </c>
      <c r="X3531" s="16" t="str">
        <f aca="false">IF($D3531="","",W3531-N3531)</f>
        <v/>
      </c>
      <c r="AB3531" s="17" t="str">
        <f aca="false">IF($D3531="","",IF(OR($R3531=TRUE(),$R3531="TRUE"),Settings!$C$6,Settings!$C$7)*100)</f>
        <v/>
      </c>
      <c r="AH3531" s="18" t="str">
        <f aca="false">IF($D3531="","",IF(COUNTIF($D$2:$D3531,$D3531)=1,1,0))</f>
        <v/>
      </c>
      <c r="AI3531" s="18" t="str">
        <f aca="false">IF($AH3531=1,SUMPRODUCT(--($AK$2:$AK$4001&lt;$AK3531))+1,"")</f>
        <v/>
      </c>
      <c r="AJ3531" s="18" t="str">
        <f aca="false">IF($D3531="","",IF(OR($R3531=TRUE(),$R3531="TRUE"),1,0))</f>
        <v/>
      </c>
      <c r="AK3531" s="18" t="str">
        <f aca="false">IF($AH3531=1,IFERROR(VALUE(MID($D3531,2,20)),1000000000)+ROW()/10000000,"")</f>
        <v/>
      </c>
    </row>
    <row r="3532" customFormat="false" ht="15" hidden="false" customHeight="false" outlineLevel="0" collapsed="false">
      <c r="F3532" s="15"/>
      <c r="N3532" s="16" t="str">
        <f aca="false">IF($D3532="","",M3532*Y3532/100)</f>
        <v/>
      </c>
      <c r="V3532" s="16" t="str">
        <f aca="false">IF($D3532="","",Y3532*AB3532/100)</f>
        <v/>
      </c>
      <c r="W3532" s="16" t="str">
        <f aca="false">IF($D3532="","",Y3532-V3532)</f>
        <v/>
      </c>
      <c r="X3532" s="16" t="str">
        <f aca="false">IF($D3532="","",W3532-N3532)</f>
        <v/>
      </c>
      <c r="AB3532" s="17" t="str">
        <f aca="false">IF($D3532="","",IF(OR($R3532=TRUE(),$R3532="TRUE"),Settings!$C$6,Settings!$C$7)*100)</f>
        <v/>
      </c>
      <c r="AH3532" s="18" t="str">
        <f aca="false">IF($D3532="","",IF(COUNTIF($D$2:$D3532,$D3532)=1,1,0))</f>
        <v/>
      </c>
      <c r="AI3532" s="18" t="str">
        <f aca="false">IF($AH3532=1,SUMPRODUCT(--($AK$2:$AK$4001&lt;$AK3532))+1,"")</f>
        <v/>
      </c>
      <c r="AJ3532" s="18" t="str">
        <f aca="false">IF($D3532="","",IF(OR($R3532=TRUE(),$R3532="TRUE"),1,0))</f>
        <v/>
      </c>
      <c r="AK3532" s="18" t="str">
        <f aca="false">IF($AH3532=1,IFERROR(VALUE(MID($D3532,2,20)),1000000000)+ROW()/10000000,"")</f>
        <v/>
      </c>
    </row>
    <row r="3533" customFormat="false" ht="15" hidden="false" customHeight="false" outlineLevel="0" collapsed="false">
      <c r="F3533" s="15"/>
      <c r="N3533" s="16" t="str">
        <f aca="false">IF($D3533="","",M3533*Y3533/100)</f>
        <v/>
      </c>
      <c r="V3533" s="16" t="str">
        <f aca="false">IF($D3533="","",Y3533*AB3533/100)</f>
        <v/>
      </c>
      <c r="W3533" s="16" t="str">
        <f aca="false">IF($D3533="","",Y3533-V3533)</f>
        <v/>
      </c>
      <c r="X3533" s="16" t="str">
        <f aca="false">IF($D3533="","",W3533-N3533)</f>
        <v/>
      </c>
      <c r="AB3533" s="17" t="str">
        <f aca="false">IF($D3533="","",IF(OR($R3533=TRUE(),$R3533="TRUE"),Settings!$C$6,Settings!$C$7)*100)</f>
        <v/>
      </c>
      <c r="AH3533" s="18" t="str">
        <f aca="false">IF($D3533="","",IF(COUNTIF($D$2:$D3533,$D3533)=1,1,0))</f>
        <v/>
      </c>
      <c r="AI3533" s="18" t="str">
        <f aca="false">IF($AH3533=1,SUMPRODUCT(--($AK$2:$AK$4001&lt;$AK3533))+1,"")</f>
        <v/>
      </c>
      <c r="AJ3533" s="18" t="str">
        <f aca="false">IF($D3533="","",IF(OR($R3533=TRUE(),$R3533="TRUE"),1,0))</f>
        <v/>
      </c>
      <c r="AK3533" s="18" t="str">
        <f aca="false">IF($AH3533=1,IFERROR(VALUE(MID($D3533,2,20)),1000000000)+ROW()/10000000,"")</f>
        <v/>
      </c>
    </row>
    <row r="3534" customFormat="false" ht="15" hidden="false" customHeight="false" outlineLevel="0" collapsed="false">
      <c r="F3534" s="15"/>
      <c r="N3534" s="16" t="str">
        <f aca="false">IF($D3534="","",M3534*Y3534/100)</f>
        <v/>
      </c>
      <c r="V3534" s="16" t="str">
        <f aca="false">IF($D3534="","",Y3534*AB3534/100)</f>
        <v/>
      </c>
      <c r="W3534" s="16" t="str">
        <f aca="false">IF($D3534="","",Y3534-V3534)</f>
        <v/>
      </c>
      <c r="X3534" s="16" t="str">
        <f aca="false">IF($D3534="","",W3534-N3534)</f>
        <v/>
      </c>
      <c r="AB3534" s="17" t="str">
        <f aca="false">IF($D3534="","",IF(OR($R3534=TRUE(),$R3534="TRUE"),Settings!$C$6,Settings!$C$7)*100)</f>
        <v/>
      </c>
      <c r="AH3534" s="18" t="str">
        <f aca="false">IF($D3534="","",IF(COUNTIF($D$2:$D3534,$D3534)=1,1,0))</f>
        <v/>
      </c>
      <c r="AI3534" s="18" t="str">
        <f aca="false">IF($AH3534=1,SUMPRODUCT(--($AK$2:$AK$4001&lt;$AK3534))+1,"")</f>
        <v/>
      </c>
      <c r="AJ3534" s="18" t="str">
        <f aca="false">IF($D3534="","",IF(OR($R3534=TRUE(),$R3534="TRUE"),1,0))</f>
        <v/>
      </c>
      <c r="AK3534" s="18" t="str">
        <f aca="false">IF($AH3534=1,IFERROR(VALUE(MID($D3534,2,20)),1000000000)+ROW()/10000000,"")</f>
        <v/>
      </c>
    </row>
    <row r="3535" customFormat="false" ht="15" hidden="false" customHeight="false" outlineLevel="0" collapsed="false">
      <c r="F3535" s="15"/>
      <c r="N3535" s="16" t="str">
        <f aca="false">IF($D3535="","",M3535*Y3535/100)</f>
        <v/>
      </c>
      <c r="V3535" s="16" t="str">
        <f aca="false">IF($D3535="","",Y3535*AB3535/100)</f>
        <v/>
      </c>
      <c r="W3535" s="16" t="str">
        <f aca="false">IF($D3535="","",Y3535-V3535)</f>
        <v/>
      </c>
      <c r="X3535" s="16" t="str">
        <f aca="false">IF($D3535="","",W3535-N3535)</f>
        <v/>
      </c>
      <c r="AB3535" s="17" t="str">
        <f aca="false">IF($D3535="","",IF(OR($R3535=TRUE(),$R3535="TRUE"),Settings!$C$6,Settings!$C$7)*100)</f>
        <v/>
      </c>
      <c r="AH3535" s="18" t="str">
        <f aca="false">IF($D3535="","",IF(COUNTIF($D$2:$D3535,$D3535)=1,1,0))</f>
        <v/>
      </c>
      <c r="AI3535" s="18" t="str">
        <f aca="false">IF($AH3535=1,SUMPRODUCT(--($AK$2:$AK$4001&lt;$AK3535))+1,"")</f>
        <v/>
      </c>
      <c r="AJ3535" s="18" t="str">
        <f aca="false">IF($D3535="","",IF(OR($R3535=TRUE(),$R3535="TRUE"),1,0))</f>
        <v/>
      </c>
      <c r="AK3535" s="18" t="str">
        <f aca="false">IF($AH3535=1,IFERROR(VALUE(MID($D3535,2,20)),1000000000)+ROW()/10000000,"")</f>
        <v/>
      </c>
    </row>
    <row r="3536" customFormat="false" ht="15" hidden="false" customHeight="false" outlineLevel="0" collapsed="false">
      <c r="F3536" s="15"/>
      <c r="N3536" s="16" t="str">
        <f aca="false">IF($D3536="","",M3536*Y3536/100)</f>
        <v/>
      </c>
      <c r="V3536" s="16" t="str">
        <f aca="false">IF($D3536="","",Y3536*AB3536/100)</f>
        <v/>
      </c>
      <c r="W3536" s="16" t="str">
        <f aca="false">IF($D3536="","",Y3536-V3536)</f>
        <v/>
      </c>
      <c r="X3536" s="16" t="str">
        <f aca="false">IF($D3536="","",W3536-N3536)</f>
        <v/>
      </c>
      <c r="AB3536" s="17" t="str">
        <f aca="false">IF($D3536="","",IF(OR($R3536=TRUE(),$R3536="TRUE"),Settings!$C$6,Settings!$C$7)*100)</f>
        <v/>
      </c>
      <c r="AH3536" s="18" t="str">
        <f aca="false">IF($D3536="","",IF(COUNTIF($D$2:$D3536,$D3536)=1,1,0))</f>
        <v/>
      </c>
      <c r="AI3536" s="18" t="str">
        <f aca="false">IF($AH3536=1,SUMPRODUCT(--($AK$2:$AK$4001&lt;$AK3536))+1,"")</f>
        <v/>
      </c>
      <c r="AJ3536" s="18" t="str">
        <f aca="false">IF($D3536="","",IF(OR($R3536=TRUE(),$R3536="TRUE"),1,0))</f>
        <v/>
      </c>
      <c r="AK3536" s="18" t="str">
        <f aca="false">IF($AH3536=1,IFERROR(VALUE(MID($D3536,2,20)),1000000000)+ROW()/10000000,"")</f>
        <v/>
      </c>
    </row>
    <row r="3537" customFormat="false" ht="15" hidden="false" customHeight="false" outlineLevel="0" collapsed="false">
      <c r="F3537" s="15"/>
      <c r="N3537" s="16" t="str">
        <f aca="false">IF($D3537="","",M3537*Y3537/100)</f>
        <v/>
      </c>
      <c r="V3537" s="16" t="str">
        <f aca="false">IF($D3537="","",Y3537*AB3537/100)</f>
        <v/>
      </c>
      <c r="W3537" s="16" t="str">
        <f aca="false">IF($D3537="","",Y3537-V3537)</f>
        <v/>
      </c>
      <c r="X3537" s="16" t="str">
        <f aca="false">IF($D3537="","",W3537-N3537)</f>
        <v/>
      </c>
      <c r="AB3537" s="17" t="str">
        <f aca="false">IF($D3537="","",IF(OR($R3537=TRUE(),$R3537="TRUE"),Settings!$C$6,Settings!$C$7)*100)</f>
        <v/>
      </c>
      <c r="AH3537" s="18" t="str">
        <f aca="false">IF($D3537="","",IF(COUNTIF($D$2:$D3537,$D3537)=1,1,0))</f>
        <v/>
      </c>
      <c r="AI3537" s="18" t="str">
        <f aca="false">IF($AH3537=1,SUMPRODUCT(--($AK$2:$AK$4001&lt;$AK3537))+1,"")</f>
        <v/>
      </c>
      <c r="AJ3537" s="18" t="str">
        <f aca="false">IF($D3537="","",IF(OR($R3537=TRUE(),$R3537="TRUE"),1,0))</f>
        <v/>
      </c>
      <c r="AK3537" s="18" t="str">
        <f aca="false">IF($AH3537=1,IFERROR(VALUE(MID($D3537,2,20)),1000000000)+ROW()/10000000,"")</f>
        <v/>
      </c>
    </row>
    <row r="3538" customFormat="false" ht="15" hidden="false" customHeight="false" outlineLevel="0" collapsed="false">
      <c r="F3538" s="15"/>
      <c r="N3538" s="16" t="str">
        <f aca="false">IF($D3538="","",M3538*Y3538/100)</f>
        <v/>
      </c>
      <c r="V3538" s="16" t="str">
        <f aca="false">IF($D3538="","",Y3538*AB3538/100)</f>
        <v/>
      </c>
      <c r="W3538" s="16" t="str">
        <f aca="false">IF($D3538="","",Y3538-V3538)</f>
        <v/>
      </c>
      <c r="X3538" s="16" t="str">
        <f aca="false">IF($D3538="","",W3538-N3538)</f>
        <v/>
      </c>
      <c r="AB3538" s="17" t="str">
        <f aca="false">IF($D3538="","",IF(OR($R3538=TRUE(),$R3538="TRUE"),Settings!$C$6,Settings!$C$7)*100)</f>
        <v/>
      </c>
      <c r="AH3538" s="18" t="str">
        <f aca="false">IF($D3538="","",IF(COUNTIF($D$2:$D3538,$D3538)=1,1,0))</f>
        <v/>
      </c>
      <c r="AI3538" s="18" t="str">
        <f aca="false">IF($AH3538=1,SUMPRODUCT(--($AK$2:$AK$4001&lt;$AK3538))+1,"")</f>
        <v/>
      </c>
      <c r="AJ3538" s="18" t="str">
        <f aca="false">IF($D3538="","",IF(OR($R3538=TRUE(),$R3538="TRUE"),1,0))</f>
        <v/>
      </c>
      <c r="AK3538" s="18" t="str">
        <f aca="false">IF($AH3538=1,IFERROR(VALUE(MID($D3538,2,20)),1000000000)+ROW()/10000000,"")</f>
        <v/>
      </c>
    </row>
    <row r="3539" customFormat="false" ht="15" hidden="false" customHeight="false" outlineLevel="0" collapsed="false">
      <c r="F3539" s="15"/>
      <c r="N3539" s="16" t="str">
        <f aca="false">IF($D3539="","",M3539*Y3539/100)</f>
        <v/>
      </c>
      <c r="V3539" s="16" t="str">
        <f aca="false">IF($D3539="","",Y3539*AB3539/100)</f>
        <v/>
      </c>
      <c r="W3539" s="16" t="str">
        <f aca="false">IF($D3539="","",Y3539-V3539)</f>
        <v/>
      </c>
      <c r="X3539" s="16" t="str">
        <f aca="false">IF($D3539="","",W3539-N3539)</f>
        <v/>
      </c>
      <c r="AB3539" s="17" t="str">
        <f aca="false">IF($D3539="","",IF(OR($R3539=TRUE(),$R3539="TRUE"),Settings!$C$6,Settings!$C$7)*100)</f>
        <v/>
      </c>
      <c r="AH3539" s="18" t="str">
        <f aca="false">IF($D3539="","",IF(COUNTIF($D$2:$D3539,$D3539)=1,1,0))</f>
        <v/>
      </c>
      <c r="AI3539" s="18" t="str">
        <f aca="false">IF($AH3539=1,SUMPRODUCT(--($AK$2:$AK$4001&lt;$AK3539))+1,"")</f>
        <v/>
      </c>
      <c r="AJ3539" s="18" t="str">
        <f aca="false">IF($D3539="","",IF(OR($R3539=TRUE(),$R3539="TRUE"),1,0))</f>
        <v/>
      </c>
      <c r="AK3539" s="18" t="str">
        <f aca="false">IF($AH3539=1,IFERROR(VALUE(MID($D3539,2,20)),1000000000)+ROW()/10000000,"")</f>
        <v/>
      </c>
    </row>
    <row r="3540" customFormat="false" ht="15" hidden="false" customHeight="false" outlineLevel="0" collapsed="false">
      <c r="F3540" s="15"/>
      <c r="N3540" s="16" t="str">
        <f aca="false">IF($D3540="","",M3540*Y3540/100)</f>
        <v/>
      </c>
      <c r="V3540" s="16" t="str">
        <f aca="false">IF($D3540="","",Y3540*AB3540/100)</f>
        <v/>
      </c>
      <c r="W3540" s="16" t="str">
        <f aca="false">IF($D3540="","",Y3540-V3540)</f>
        <v/>
      </c>
      <c r="X3540" s="16" t="str">
        <f aca="false">IF($D3540="","",W3540-N3540)</f>
        <v/>
      </c>
      <c r="AB3540" s="17" t="str">
        <f aca="false">IF($D3540="","",IF(OR($R3540=TRUE(),$R3540="TRUE"),Settings!$C$6,Settings!$C$7)*100)</f>
        <v/>
      </c>
      <c r="AH3540" s="18" t="str">
        <f aca="false">IF($D3540="","",IF(COUNTIF($D$2:$D3540,$D3540)=1,1,0))</f>
        <v/>
      </c>
      <c r="AI3540" s="18" t="str">
        <f aca="false">IF($AH3540=1,SUMPRODUCT(--($AK$2:$AK$4001&lt;$AK3540))+1,"")</f>
        <v/>
      </c>
      <c r="AJ3540" s="18" t="str">
        <f aca="false">IF($D3540="","",IF(OR($R3540=TRUE(),$R3540="TRUE"),1,0))</f>
        <v/>
      </c>
      <c r="AK3540" s="18" t="str">
        <f aca="false">IF($AH3540=1,IFERROR(VALUE(MID($D3540,2,20)),1000000000)+ROW()/10000000,"")</f>
        <v/>
      </c>
    </row>
    <row r="3541" customFormat="false" ht="15" hidden="false" customHeight="false" outlineLevel="0" collapsed="false">
      <c r="F3541" s="15"/>
      <c r="N3541" s="16" t="str">
        <f aca="false">IF($D3541="","",M3541*Y3541/100)</f>
        <v/>
      </c>
      <c r="V3541" s="16" t="str">
        <f aca="false">IF($D3541="","",Y3541*AB3541/100)</f>
        <v/>
      </c>
      <c r="W3541" s="16" t="str">
        <f aca="false">IF($D3541="","",Y3541-V3541)</f>
        <v/>
      </c>
      <c r="X3541" s="16" t="str">
        <f aca="false">IF($D3541="","",W3541-N3541)</f>
        <v/>
      </c>
      <c r="AB3541" s="17" t="str">
        <f aca="false">IF($D3541="","",IF(OR($R3541=TRUE(),$R3541="TRUE"),Settings!$C$6,Settings!$C$7)*100)</f>
        <v/>
      </c>
      <c r="AH3541" s="18" t="str">
        <f aca="false">IF($D3541="","",IF(COUNTIF($D$2:$D3541,$D3541)=1,1,0))</f>
        <v/>
      </c>
      <c r="AI3541" s="18" t="str">
        <f aca="false">IF($AH3541=1,SUMPRODUCT(--($AK$2:$AK$4001&lt;$AK3541))+1,"")</f>
        <v/>
      </c>
      <c r="AJ3541" s="18" t="str">
        <f aca="false">IF($D3541="","",IF(OR($R3541=TRUE(),$R3541="TRUE"),1,0))</f>
        <v/>
      </c>
      <c r="AK3541" s="18" t="str">
        <f aca="false">IF($AH3541=1,IFERROR(VALUE(MID($D3541,2,20)),1000000000)+ROW()/10000000,"")</f>
        <v/>
      </c>
    </row>
    <row r="3542" customFormat="false" ht="15" hidden="false" customHeight="false" outlineLevel="0" collapsed="false">
      <c r="F3542" s="15"/>
      <c r="N3542" s="16" t="str">
        <f aca="false">IF($D3542="","",M3542*Y3542/100)</f>
        <v/>
      </c>
      <c r="V3542" s="16" t="str">
        <f aca="false">IF($D3542="","",Y3542*AB3542/100)</f>
        <v/>
      </c>
      <c r="W3542" s="16" t="str">
        <f aca="false">IF($D3542="","",Y3542-V3542)</f>
        <v/>
      </c>
      <c r="X3542" s="16" t="str">
        <f aca="false">IF($D3542="","",W3542-N3542)</f>
        <v/>
      </c>
      <c r="AB3542" s="17" t="str">
        <f aca="false">IF($D3542="","",IF(OR($R3542=TRUE(),$R3542="TRUE"),Settings!$C$6,Settings!$C$7)*100)</f>
        <v/>
      </c>
      <c r="AH3542" s="18" t="str">
        <f aca="false">IF($D3542="","",IF(COUNTIF($D$2:$D3542,$D3542)=1,1,0))</f>
        <v/>
      </c>
      <c r="AI3542" s="18" t="str">
        <f aca="false">IF($AH3542=1,SUMPRODUCT(--($AK$2:$AK$4001&lt;$AK3542))+1,"")</f>
        <v/>
      </c>
      <c r="AJ3542" s="18" t="str">
        <f aca="false">IF($D3542="","",IF(OR($R3542=TRUE(),$R3542="TRUE"),1,0))</f>
        <v/>
      </c>
      <c r="AK3542" s="18" t="str">
        <f aca="false">IF($AH3542=1,IFERROR(VALUE(MID($D3542,2,20)),1000000000)+ROW()/10000000,"")</f>
        <v/>
      </c>
    </row>
    <row r="3543" customFormat="false" ht="15" hidden="false" customHeight="false" outlineLevel="0" collapsed="false">
      <c r="F3543" s="15"/>
      <c r="N3543" s="16" t="str">
        <f aca="false">IF($D3543="","",M3543*Y3543/100)</f>
        <v/>
      </c>
      <c r="V3543" s="16" t="str">
        <f aca="false">IF($D3543="","",Y3543*AB3543/100)</f>
        <v/>
      </c>
      <c r="W3543" s="16" t="str">
        <f aca="false">IF($D3543="","",Y3543-V3543)</f>
        <v/>
      </c>
      <c r="X3543" s="16" t="str">
        <f aca="false">IF($D3543="","",W3543-N3543)</f>
        <v/>
      </c>
      <c r="AB3543" s="17" t="str">
        <f aca="false">IF($D3543="","",IF(OR($R3543=TRUE(),$R3543="TRUE"),Settings!$C$6,Settings!$C$7)*100)</f>
        <v/>
      </c>
      <c r="AH3543" s="18" t="str">
        <f aca="false">IF($D3543="","",IF(COUNTIF($D$2:$D3543,$D3543)=1,1,0))</f>
        <v/>
      </c>
      <c r="AI3543" s="18" t="str">
        <f aca="false">IF($AH3543=1,SUMPRODUCT(--($AK$2:$AK$4001&lt;$AK3543))+1,"")</f>
        <v/>
      </c>
      <c r="AJ3543" s="18" t="str">
        <f aca="false">IF($D3543="","",IF(OR($R3543=TRUE(),$R3543="TRUE"),1,0))</f>
        <v/>
      </c>
      <c r="AK3543" s="18" t="str">
        <f aca="false">IF($AH3543=1,IFERROR(VALUE(MID($D3543,2,20)),1000000000)+ROW()/10000000,"")</f>
        <v/>
      </c>
    </row>
    <row r="3544" customFormat="false" ht="15" hidden="false" customHeight="false" outlineLevel="0" collapsed="false">
      <c r="F3544" s="15"/>
      <c r="N3544" s="16" t="str">
        <f aca="false">IF($D3544="","",M3544*Y3544/100)</f>
        <v/>
      </c>
      <c r="V3544" s="16" t="str">
        <f aca="false">IF($D3544="","",Y3544*AB3544/100)</f>
        <v/>
      </c>
      <c r="W3544" s="16" t="str">
        <f aca="false">IF($D3544="","",Y3544-V3544)</f>
        <v/>
      </c>
      <c r="X3544" s="16" t="str">
        <f aca="false">IF($D3544="","",W3544-N3544)</f>
        <v/>
      </c>
      <c r="AB3544" s="17" t="str">
        <f aca="false">IF($D3544="","",IF(OR($R3544=TRUE(),$R3544="TRUE"),Settings!$C$6,Settings!$C$7)*100)</f>
        <v/>
      </c>
      <c r="AH3544" s="18" t="str">
        <f aca="false">IF($D3544="","",IF(COUNTIF($D$2:$D3544,$D3544)=1,1,0))</f>
        <v/>
      </c>
      <c r="AI3544" s="18" t="str">
        <f aca="false">IF($AH3544=1,SUMPRODUCT(--($AK$2:$AK$4001&lt;$AK3544))+1,"")</f>
        <v/>
      </c>
      <c r="AJ3544" s="18" t="str">
        <f aca="false">IF($D3544="","",IF(OR($R3544=TRUE(),$R3544="TRUE"),1,0))</f>
        <v/>
      </c>
      <c r="AK3544" s="18" t="str">
        <f aca="false">IF($AH3544=1,IFERROR(VALUE(MID($D3544,2,20)),1000000000)+ROW()/10000000,"")</f>
        <v/>
      </c>
    </row>
    <row r="3545" customFormat="false" ht="15" hidden="false" customHeight="false" outlineLevel="0" collapsed="false">
      <c r="F3545" s="15"/>
      <c r="N3545" s="16" t="str">
        <f aca="false">IF($D3545="","",M3545*Y3545/100)</f>
        <v/>
      </c>
      <c r="V3545" s="16" t="str">
        <f aca="false">IF($D3545="","",Y3545*AB3545/100)</f>
        <v/>
      </c>
      <c r="W3545" s="16" t="str">
        <f aca="false">IF($D3545="","",Y3545-V3545)</f>
        <v/>
      </c>
      <c r="X3545" s="16" t="str">
        <f aca="false">IF($D3545="","",W3545-N3545)</f>
        <v/>
      </c>
      <c r="AB3545" s="17" t="str">
        <f aca="false">IF($D3545="","",IF(OR($R3545=TRUE(),$R3545="TRUE"),Settings!$C$6,Settings!$C$7)*100)</f>
        <v/>
      </c>
      <c r="AH3545" s="18" t="str">
        <f aca="false">IF($D3545="","",IF(COUNTIF($D$2:$D3545,$D3545)=1,1,0))</f>
        <v/>
      </c>
      <c r="AI3545" s="18" t="str">
        <f aca="false">IF($AH3545=1,SUMPRODUCT(--($AK$2:$AK$4001&lt;$AK3545))+1,"")</f>
        <v/>
      </c>
      <c r="AJ3545" s="18" t="str">
        <f aca="false">IF($D3545="","",IF(OR($R3545=TRUE(),$R3545="TRUE"),1,0))</f>
        <v/>
      </c>
      <c r="AK3545" s="18" t="str">
        <f aca="false">IF($AH3545=1,IFERROR(VALUE(MID($D3545,2,20)),1000000000)+ROW()/10000000,"")</f>
        <v/>
      </c>
    </row>
    <row r="3546" customFormat="false" ht="15" hidden="false" customHeight="false" outlineLevel="0" collapsed="false">
      <c r="F3546" s="15"/>
      <c r="N3546" s="16" t="str">
        <f aca="false">IF($D3546="","",M3546*Y3546/100)</f>
        <v/>
      </c>
      <c r="V3546" s="16" t="str">
        <f aca="false">IF($D3546="","",Y3546*AB3546/100)</f>
        <v/>
      </c>
      <c r="W3546" s="16" t="str">
        <f aca="false">IF($D3546="","",Y3546-V3546)</f>
        <v/>
      </c>
      <c r="X3546" s="16" t="str">
        <f aca="false">IF($D3546="","",W3546-N3546)</f>
        <v/>
      </c>
      <c r="AB3546" s="17" t="str">
        <f aca="false">IF($D3546="","",IF(OR($R3546=TRUE(),$R3546="TRUE"),Settings!$C$6,Settings!$C$7)*100)</f>
        <v/>
      </c>
      <c r="AH3546" s="18" t="str">
        <f aca="false">IF($D3546="","",IF(COUNTIF($D$2:$D3546,$D3546)=1,1,0))</f>
        <v/>
      </c>
      <c r="AI3546" s="18" t="str">
        <f aca="false">IF($AH3546=1,SUMPRODUCT(--($AK$2:$AK$4001&lt;$AK3546))+1,"")</f>
        <v/>
      </c>
      <c r="AJ3546" s="18" t="str">
        <f aca="false">IF($D3546="","",IF(OR($R3546=TRUE(),$R3546="TRUE"),1,0))</f>
        <v/>
      </c>
      <c r="AK3546" s="18" t="str">
        <f aca="false">IF($AH3546=1,IFERROR(VALUE(MID($D3546,2,20)),1000000000)+ROW()/10000000,"")</f>
        <v/>
      </c>
    </row>
    <row r="3547" customFormat="false" ht="15" hidden="false" customHeight="false" outlineLevel="0" collapsed="false">
      <c r="F3547" s="15"/>
      <c r="N3547" s="16" t="str">
        <f aca="false">IF($D3547="","",M3547*Y3547/100)</f>
        <v/>
      </c>
      <c r="V3547" s="16" t="str">
        <f aca="false">IF($D3547="","",Y3547*AB3547/100)</f>
        <v/>
      </c>
      <c r="W3547" s="16" t="str">
        <f aca="false">IF($D3547="","",Y3547-V3547)</f>
        <v/>
      </c>
      <c r="X3547" s="16" t="str">
        <f aca="false">IF($D3547="","",W3547-N3547)</f>
        <v/>
      </c>
      <c r="AB3547" s="17" t="str">
        <f aca="false">IF($D3547="","",IF(OR($R3547=TRUE(),$R3547="TRUE"),Settings!$C$6,Settings!$C$7)*100)</f>
        <v/>
      </c>
      <c r="AH3547" s="18" t="str">
        <f aca="false">IF($D3547="","",IF(COUNTIF($D$2:$D3547,$D3547)=1,1,0))</f>
        <v/>
      </c>
      <c r="AI3547" s="18" t="str">
        <f aca="false">IF($AH3547=1,SUMPRODUCT(--($AK$2:$AK$4001&lt;$AK3547))+1,"")</f>
        <v/>
      </c>
      <c r="AJ3547" s="18" t="str">
        <f aca="false">IF($D3547="","",IF(OR($R3547=TRUE(),$R3547="TRUE"),1,0))</f>
        <v/>
      </c>
      <c r="AK3547" s="18" t="str">
        <f aca="false">IF($AH3547=1,IFERROR(VALUE(MID($D3547,2,20)),1000000000)+ROW()/10000000,"")</f>
        <v/>
      </c>
    </row>
    <row r="3548" customFormat="false" ht="15" hidden="false" customHeight="false" outlineLevel="0" collapsed="false">
      <c r="F3548" s="15"/>
      <c r="N3548" s="16" t="str">
        <f aca="false">IF($D3548="","",M3548*Y3548/100)</f>
        <v/>
      </c>
      <c r="V3548" s="16" t="str">
        <f aca="false">IF($D3548="","",Y3548*AB3548/100)</f>
        <v/>
      </c>
      <c r="W3548" s="16" t="str">
        <f aca="false">IF($D3548="","",Y3548-V3548)</f>
        <v/>
      </c>
      <c r="X3548" s="16" t="str">
        <f aca="false">IF($D3548="","",W3548-N3548)</f>
        <v/>
      </c>
      <c r="AB3548" s="17" t="str">
        <f aca="false">IF($D3548="","",IF(OR($R3548=TRUE(),$R3548="TRUE"),Settings!$C$6,Settings!$C$7)*100)</f>
        <v/>
      </c>
      <c r="AH3548" s="18" t="str">
        <f aca="false">IF($D3548="","",IF(COUNTIF($D$2:$D3548,$D3548)=1,1,0))</f>
        <v/>
      </c>
      <c r="AI3548" s="18" t="str">
        <f aca="false">IF($AH3548=1,SUMPRODUCT(--($AK$2:$AK$4001&lt;$AK3548))+1,"")</f>
        <v/>
      </c>
      <c r="AJ3548" s="18" t="str">
        <f aca="false">IF($D3548="","",IF(OR($R3548=TRUE(),$R3548="TRUE"),1,0))</f>
        <v/>
      </c>
      <c r="AK3548" s="18" t="str">
        <f aca="false">IF($AH3548=1,IFERROR(VALUE(MID($D3548,2,20)),1000000000)+ROW()/10000000,"")</f>
        <v/>
      </c>
    </row>
    <row r="3549" customFormat="false" ht="15" hidden="false" customHeight="false" outlineLevel="0" collapsed="false">
      <c r="F3549" s="15"/>
      <c r="N3549" s="16" t="str">
        <f aca="false">IF($D3549="","",M3549*Y3549/100)</f>
        <v/>
      </c>
      <c r="V3549" s="16" t="str">
        <f aca="false">IF($D3549="","",Y3549*AB3549/100)</f>
        <v/>
      </c>
      <c r="W3549" s="16" t="str">
        <f aca="false">IF($D3549="","",Y3549-V3549)</f>
        <v/>
      </c>
      <c r="X3549" s="16" t="str">
        <f aca="false">IF($D3549="","",W3549-N3549)</f>
        <v/>
      </c>
      <c r="AB3549" s="17" t="str">
        <f aca="false">IF($D3549="","",IF(OR($R3549=TRUE(),$R3549="TRUE"),Settings!$C$6,Settings!$C$7)*100)</f>
        <v/>
      </c>
      <c r="AH3549" s="18" t="str">
        <f aca="false">IF($D3549="","",IF(COUNTIF($D$2:$D3549,$D3549)=1,1,0))</f>
        <v/>
      </c>
      <c r="AI3549" s="18" t="str">
        <f aca="false">IF($AH3549=1,SUMPRODUCT(--($AK$2:$AK$4001&lt;$AK3549))+1,"")</f>
        <v/>
      </c>
      <c r="AJ3549" s="18" t="str">
        <f aca="false">IF($D3549="","",IF(OR($R3549=TRUE(),$R3549="TRUE"),1,0))</f>
        <v/>
      </c>
      <c r="AK3549" s="18" t="str">
        <f aca="false">IF($AH3549=1,IFERROR(VALUE(MID($D3549,2,20)),1000000000)+ROW()/10000000,"")</f>
        <v/>
      </c>
    </row>
    <row r="3550" customFormat="false" ht="15" hidden="false" customHeight="false" outlineLevel="0" collapsed="false">
      <c r="F3550" s="15"/>
      <c r="N3550" s="16" t="str">
        <f aca="false">IF($D3550="","",M3550*Y3550/100)</f>
        <v/>
      </c>
      <c r="V3550" s="16" t="str">
        <f aca="false">IF($D3550="","",Y3550*AB3550/100)</f>
        <v/>
      </c>
      <c r="W3550" s="16" t="str">
        <f aca="false">IF($D3550="","",Y3550-V3550)</f>
        <v/>
      </c>
      <c r="X3550" s="16" t="str">
        <f aca="false">IF($D3550="","",W3550-N3550)</f>
        <v/>
      </c>
      <c r="AB3550" s="17" t="str">
        <f aca="false">IF($D3550="","",IF(OR($R3550=TRUE(),$R3550="TRUE"),Settings!$C$6,Settings!$C$7)*100)</f>
        <v/>
      </c>
      <c r="AH3550" s="18" t="str">
        <f aca="false">IF($D3550="","",IF(COUNTIF($D$2:$D3550,$D3550)=1,1,0))</f>
        <v/>
      </c>
      <c r="AI3550" s="18" t="str">
        <f aca="false">IF($AH3550=1,SUMPRODUCT(--($AK$2:$AK$4001&lt;$AK3550))+1,"")</f>
        <v/>
      </c>
      <c r="AJ3550" s="18" t="str">
        <f aca="false">IF($D3550="","",IF(OR($R3550=TRUE(),$R3550="TRUE"),1,0))</f>
        <v/>
      </c>
      <c r="AK3550" s="18" t="str">
        <f aca="false">IF($AH3550=1,IFERROR(VALUE(MID($D3550,2,20)),1000000000)+ROW()/10000000,"")</f>
        <v/>
      </c>
    </row>
    <row r="3551" customFormat="false" ht="15" hidden="false" customHeight="false" outlineLevel="0" collapsed="false">
      <c r="F3551" s="15"/>
      <c r="N3551" s="16" t="str">
        <f aca="false">IF($D3551="","",M3551*Y3551/100)</f>
        <v/>
      </c>
      <c r="V3551" s="16" t="str">
        <f aca="false">IF($D3551="","",Y3551*AB3551/100)</f>
        <v/>
      </c>
      <c r="W3551" s="16" t="str">
        <f aca="false">IF($D3551="","",Y3551-V3551)</f>
        <v/>
      </c>
      <c r="X3551" s="16" t="str">
        <f aca="false">IF($D3551="","",W3551-N3551)</f>
        <v/>
      </c>
      <c r="AB3551" s="17" t="str">
        <f aca="false">IF($D3551="","",IF(OR($R3551=TRUE(),$R3551="TRUE"),Settings!$C$6,Settings!$C$7)*100)</f>
        <v/>
      </c>
      <c r="AH3551" s="18" t="str">
        <f aca="false">IF($D3551="","",IF(COUNTIF($D$2:$D3551,$D3551)=1,1,0))</f>
        <v/>
      </c>
      <c r="AI3551" s="18" t="str">
        <f aca="false">IF($AH3551=1,SUMPRODUCT(--($AK$2:$AK$4001&lt;$AK3551))+1,"")</f>
        <v/>
      </c>
      <c r="AJ3551" s="18" t="str">
        <f aca="false">IF($D3551="","",IF(OR($R3551=TRUE(),$R3551="TRUE"),1,0))</f>
        <v/>
      </c>
      <c r="AK3551" s="18" t="str">
        <f aca="false">IF($AH3551=1,IFERROR(VALUE(MID($D3551,2,20)),1000000000)+ROW()/10000000,"")</f>
        <v/>
      </c>
    </row>
    <row r="3552" customFormat="false" ht="15" hidden="false" customHeight="false" outlineLevel="0" collapsed="false">
      <c r="F3552" s="15"/>
      <c r="N3552" s="16" t="str">
        <f aca="false">IF($D3552="","",M3552*Y3552/100)</f>
        <v/>
      </c>
      <c r="V3552" s="16" t="str">
        <f aca="false">IF($D3552="","",Y3552*AB3552/100)</f>
        <v/>
      </c>
      <c r="W3552" s="16" t="str">
        <f aca="false">IF($D3552="","",Y3552-V3552)</f>
        <v/>
      </c>
      <c r="X3552" s="16" t="str">
        <f aca="false">IF($D3552="","",W3552-N3552)</f>
        <v/>
      </c>
      <c r="AB3552" s="17" t="str">
        <f aca="false">IF($D3552="","",IF(OR($R3552=TRUE(),$R3552="TRUE"),Settings!$C$6,Settings!$C$7)*100)</f>
        <v/>
      </c>
      <c r="AH3552" s="18" t="str">
        <f aca="false">IF($D3552="","",IF(COUNTIF($D$2:$D3552,$D3552)=1,1,0))</f>
        <v/>
      </c>
      <c r="AI3552" s="18" t="str">
        <f aca="false">IF($AH3552=1,SUMPRODUCT(--($AK$2:$AK$4001&lt;$AK3552))+1,"")</f>
        <v/>
      </c>
      <c r="AJ3552" s="18" t="str">
        <f aca="false">IF($D3552="","",IF(OR($R3552=TRUE(),$R3552="TRUE"),1,0))</f>
        <v/>
      </c>
      <c r="AK3552" s="18" t="str">
        <f aca="false">IF($AH3552=1,IFERROR(VALUE(MID($D3552,2,20)),1000000000)+ROW()/10000000,"")</f>
        <v/>
      </c>
    </row>
    <row r="3553" customFormat="false" ht="15" hidden="false" customHeight="false" outlineLevel="0" collapsed="false">
      <c r="F3553" s="15"/>
      <c r="N3553" s="16" t="str">
        <f aca="false">IF($D3553="","",M3553*Y3553/100)</f>
        <v/>
      </c>
      <c r="V3553" s="16" t="str">
        <f aca="false">IF($D3553="","",Y3553*AB3553/100)</f>
        <v/>
      </c>
      <c r="W3553" s="16" t="str">
        <f aca="false">IF($D3553="","",Y3553-V3553)</f>
        <v/>
      </c>
      <c r="X3553" s="16" t="str">
        <f aca="false">IF($D3553="","",W3553-N3553)</f>
        <v/>
      </c>
      <c r="AB3553" s="17" t="str">
        <f aca="false">IF($D3553="","",IF(OR($R3553=TRUE(),$R3553="TRUE"),Settings!$C$6,Settings!$C$7)*100)</f>
        <v/>
      </c>
      <c r="AH3553" s="18" t="str">
        <f aca="false">IF($D3553="","",IF(COUNTIF($D$2:$D3553,$D3553)=1,1,0))</f>
        <v/>
      </c>
      <c r="AI3553" s="18" t="str">
        <f aca="false">IF($AH3553=1,SUMPRODUCT(--($AK$2:$AK$4001&lt;$AK3553))+1,"")</f>
        <v/>
      </c>
      <c r="AJ3553" s="18" t="str">
        <f aca="false">IF($D3553="","",IF(OR($R3553=TRUE(),$R3553="TRUE"),1,0))</f>
        <v/>
      </c>
      <c r="AK3553" s="18" t="str">
        <f aca="false">IF($AH3553=1,IFERROR(VALUE(MID($D3553,2,20)),1000000000)+ROW()/10000000,"")</f>
        <v/>
      </c>
    </row>
    <row r="3554" customFormat="false" ht="15" hidden="false" customHeight="false" outlineLevel="0" collapsed="false">
      <c r="F3554" s="15"/>
      <c r="N3554" s="16" t="str">
        <f aca="false">IF($D3554="","",M3554*Y3554/100)</f>
        <v/>
      </c>
      <c r="V3554" s="16" t="str">
        <f aca="false">IF($D3554="","",Y3554*AB3554/100)</f>
        <v/>
      </c>
      <c r="W3554" s="16" t="str">
        <f aca="false">IF($D3554="","",Y3554-V3554)</f>
        <v/>
      </c>
      <c r="X3554" s="16" t="str">
        <f aca="false">IF($D3554="","",W3554-N3554)</f>
        <v/>
      </c>
      <c r="AB3554" s="17" t="str">
        <f aca="false">IF($D3554="","",IF(OR($R3554=TRUE(),$R3554="TRUE"),Settings!$C$6,Settings!$C$7)*100)</f>
        <v/>
      </c>
      <c r="AH3554" s="18" t="str">
        <f aca="false">IF($D3554="","",IF(COUNTIF($D$2:$D3554,$D3554)=1,1,0))</f>
        <v/>
      </c>
      <c r="AI3554" s="18" t="str">
        <f aca="false">IF($AH3554=1,SUMPRODUCT(--($AK$2:$AK$4001&lt;$AK3554))+1,"")</f>
        <v/>
      </c>
      <c r="AJ3554" s="18" t="str">
        <f aca="false">IF($D3554="","",IF(OR($R3554=TRUE(),$R3554="TRUE"),1,0))</f>
        <v/>
      </c>
      <c r="AK3554" s="18" t="str">
        <f aca="false">IF($AH3554=1,IFERROR(VALUE(MID($D3554,2,20)),1000000000)+ROW()/10000000,"")</f>
        <v/>
      </c>
    </row>
    <row r="3555" customFormat="false" ht="15" hidden="false" customHeight="false" outlineLevel="0" collapsed="false">
      <c r="F3555" s="15"/>
      <c r="N3555" s="16" t="str">
        <f aca="false">IF($D3555="","",M3555*Y3555/100)</f>
        <v/>
      </c>
      <c r="V3555" s="16" t="str">
        <f aca="false">IF($D3555="","",Y3555*AB3555/100)</f>
        <v/>
      </c>
      <c r="W3555" s="16" t="str">
        <f aca="false">IF($D3555="","",Y3555-V3555)</f>
        <v/>
      </c>
      <c r="X3555" s="16" t="str">
        <f aca="false">IF($D3555="","",W3555-N3555)</f>
        <v/>
      </c>
      <c r="AB3555" s="17" t="str">
        <f aca="false">IF($D3555="","",IF(OR($R3555=TRUE(),$R3555="TRUE"),Settings!$C$6,Settings!$C$7)*100)</f>
        <v/>
      </c>
      <c r="AH3555" s="18" t="str">
        <f aca="false">IF($D3555="","",IF(COUNTIF($D$2:$D3555,$D3555)=1,1,0))</f>
        <v/>
      </c>
      <c r="AI3555" s="18" t="str">
        <f aca="false">IF($AH3555=1,SUMPRODUCT(--($AK$2:$AK$4001&lt;$AK3555))+1,"")</f>
        <v/>
      </c>
      <c r="AJ3555" s="18" t="str">
        <f aca="false">IF($D3555="","",IF(OR($R3555=TRUE(),$R3555="TRUE"),1,0))</f>
        <v/>
      </c>
      <c r="AK3555" s="18" t="str">
        <f aca="false">IF($AH3555=1,IFERROR(VALUE(MID($D3555,2,20)),1000000000)+ROW()/10000000,"")</f>
        <v/>
      </c>
    </row>
    <row r="3556" customFormat="false" ht="15" hidden="false" customHeight="false" outlineLevel="0" collapsed="false">
      <c r="F3556" s="15"/>
      <c r="N3556" s="16" t="str">
        <f aca="false">IF($D3556="","",M3556*Y3556/100)</f>
        <v/>
      </c>
      <c r="V3556" s="16" t="str">
        <f aca="false">IF($D3556="","",Y3556*AB3556/100)</f>
        <v/>
      </c>
      <c r="W3556" s="16" t="str">
        <f aca="false">IF($D3556="","",Y3556-V3556)</f>
        <v/>
      </c>
      <c r="X3556" s="16" t="str">
        <f aca="false">IF($D3556="","",W3556-N3556)</f>
        <v/>
      </c>
      <c r="AB3556" s="17" t="str">
        <f aca="false">IF($D3556="","",IF(OR($R3556=TRUE(),$R3556="TRUE"),Settings!$C$6,Settings!$C$7)*100)</f>
        <v/>
      </c>
      <c r="AH3556" s="18" t="str">
        <f aca="false">IF($D3556="","",IF(COUNTIF($D$2:$D3556,$D3556)=1,1,0))</f>
        <v/>
      </c>
      <c r="AI3556" s="18" t="str">
        <f aca="false">IF($AH3556=1,SUMPRODUCT(--($AK$2:$AK$4001&lt;$AK3556))+1,"")</f>
        <v/>
      </c>
      <c r="AJ3556" s="18" t="str">
        <f aca="false">IF($D3556="","",IF(OR($R3556=TRUE(),$R3556="TRUE"),1,0))</f>
        <v/>
      </c>
      <c r="AK3556" s="18" t="str">
        <f aca="false">IF($AH3556=1,IFERROR(VALUE(MID($D3556,2,20)),1000000000)+ROW()/10000000,"")</f>
        <v/>
      </c>
    </row>
    <row r="3557" customFormat="false" ht="15" hidden="false" customHeight="false" outlineLevel="0" collapsed="false">
      <c r="F3557" s="15"/>
      <c r="N3557" s="16" t="str">
        <f aca="false">IF($D3557="","",M3557*Y3557/100)</f>
        <v/>
      </c>
      <c r="V3557" s="16" t="str">
        <f aca="false">IF($D3557="","",Y3557*AB3557/100)</f>
        <v/>
      </c>
      <c r="W3557" s="16" t="str">
        <f aca="false">IF($D3557="","",Y3557-V3557)</f>
        <v/>
      </c>
      <c r="X3557" s="16" t="str">
        <f aca="false">IF($D3557="","",W3557-N3557)</f>
        <v/>
      </c>
      <c r="AB3557" s="17" t="str">
        <f aca="false">IF($D3557="","",IF(OR($R3557=TRUE(),$R3557="TRUE"),Settings!$C$6,Settings!$C$7)*100)</f>
        <v/>
      </c>
      <c r="AH3557" s="18" t="str">
        <f aca="false">IF($D3557="","",IF(COUNTIF($D$2:$D3557,$D3557)=1,1,0))</f>
        <v/>
      </c>
      <c r="AI3557" s="18" t="str">
        <f aca="false">IF($AH3557=1,SUMPRODUCT(--($AK$2:$AK$4001&lt;$AK3557))+1,"")</f>
        <v/>
      </c>
      <c r="AJ3557" s="18" t="str">
        <f aca="false">IF($D3557="","",IF(OR($R3557=TRUE(),$R3557="TRUE"),1,0))</f>
        <v/>
      </c>
      <c r="AK3557" s="18" t="str">
        <f aca="false">IF($AH3557=1,IFERROR(VALUE(MID($D3557,2,20)),1000000000)+ROW()/10000000,"")</f>
        <v/>
      </c>
    </row>
    <row r="3558" customFormat="false" ht="15" hidden="false" customHeight="false" outlineLevel="0" collapsed="false">
      <c r="F3558" s="15"/>
      <c r="N3558" s="16" t="str">
        <f aca="false">IF($D3558="","",M3558*Y3558/100)</f>
        <v/>
      </c>
      <c r="V3558" s="16" t="str">
        <f aca="false">IF($D3558="","",Y3558*AB3558/100)</f>
        <v/>
      </c>
      <c r="W3558" s="16" t="str">
        <f aca="false">IF($D3558="","",Y3558-V3558)</f>
        <v/>
      </c>
      <c r="X3558" s="16" t="str">
        <f aca="false">IF($D3558="","",W3558-N3558)</f>
        <v/>
      </c>
      <c r="AB3558" s="17" t="str">
        <f aca="false">IF($D3558="","",IF(OR($R3558=TRUE(),$R3558="TRUE"),Settings!$C$6,Settings!$C$7)*100)</f>
        <v/>
      </c>
      <c r="AH3558" s="18" t="str">
        <f aca="false">IF($D3558="","",IF(COUNTIF($D$2:$D3558,$D3558)=1,1,0))</f>
        <v/>
      </c>
      <c r="AI3558" s="18" t="str">
        <f aca="false">IF($AH3558=1,SUMPRODUCT(--($AK$2:$AK$4001&lt;$AK3558))+1,"")</f>
        <v/>
      </c>
      <c r="AJ3558" s="18" t="str">
        <f aca="false">IF($D3558="","",IF(OR($R3558=TRUE(),$R3558="TRUE"),1,0))</f>
        <v/>
      </c>
      <c r="AK3558" s="18" t="str">
        <f aca="false">IF($AH3558=1,IFERROR(VALUE(MID($D3558,2,20)),1000000000)+ROW()/10000000,"")</f>
        <v/>
      </c>
    </row>
    <row r="3559" customFormat="false" ht="15" hidden="false" customHeight="false" outlineLevel="0" collapsed="false">
      <c r="F3559" s="15"/>
      <c r="N3559" s="16" t="str">
        <f aca="false">IF($D3559="","",M3559*Y3559/100)</f>
        <v/>
      </c>
      <c r="V3559" s="16" t="str">
        <f aca="false">IF($D3559="","",Y3559*AB3559/100)</f>
        <v/>
      </c>
      <c r="W3559" s="16" t="str">
        <f aca="false">IF($D3559="","",Y3559-V3559)</f>
        <v/>
      </c>
      <c r="X3559" s="16" t="str">
        <f aca="false">IF($D3559="","",W3559-N3559)</f>
        <v/>
      </c>
      <c r="AB3559" s="17" t="str">
        <f aca="false">IF($D3559="","",IF(OR($R3559=TRUE(),$R3559="TRUE"),Settings!$C$6,Settings!$C$7)*100)</f>
        <v/>
      </c>
      <c r="AH3559" s="18" t="str">
        <f aca="false">IF($D3559="","",IF(COUNTIF($D$2:$D3559,$D3559)=1,1,0))</f>
        <v/>
      </c>
      <c r="AI3559" s="18" t="str">
        <f aca="false">IF($AH3559=1,SUMPRODUCT(--($AK$2:$AK$4001&lt;$AK3559))+1,"")</f>
        <v/>
      </c>
      <c r="AJ3559" s="18" t="str">
        <f aca="false">IF($D3559="","",IF(OR($R3559=TRUE(),$R3559="TRUE"),1,0))</f>
        <v/>
      </c>
      <c r="AK3559" s="18" t="str">
        <f aca="false">IF($AH3559=1,IFERROR(VALUE(MID($D3559,2,20)),1000000000)+ROW()/10000000,"")</f>
        <v/>
      </c>
    </row>
    <row r="3560" customFormat="false" ht="15" hidden="false" customHeight="false" outlineLevel="0" collapsed="false">
      <c r="F3560" s="15"/>
      <c r="N3560" s="16" t="str">
        <f aca="false">IF($D3560="","",M3560*Y3560/100)</f>
        <v/>
      </c>
      <c r="V3560" s="16" t="str">
        <f aca="false">IF($D3560="","",Y3560*AB3560/100)</f>
        <v/>
      </c>
      <c r="W3560" s="16" t="str">
        <f aca="false">IF($D3560="","",Y3560-V3560)</f>
        <v/>
      </c>
      <c r="X3560" s="16" t="str">
        <f aca="false">IF($D3560="","",W3560-N3560)</f>
        <v/>
      </c>
      <c r="AB3560" s="17" t="str">
        <f aca="false">IF($D3560="","",IF(OR($R3560=TRUE(),$R3560="TRUE"),Settings!$C$6,Settings!$C$7)*100)</f>
        <v/>
      </c>
      <c r="AH3560" s="18" t="str">
        <f aca="false">IF($D3560="","",IF(COUNTIF($D$2:$D3560,$D3560)=1,1,0))</f>
        <v/>
      </c>
      <c r="AI3560" s="18" t="str">
        <f aca="false">IF($AH3560=1,SUMPRODUCT(--($AK$2:$AK$4001&lt;$AK3560))+1,"")</f>
        <v/>
      </c>
      <c r="AJ3560" s="18" t="str">
        <f aca="false">IF($D3560="","",IF(OR($R3560=TRUE(),$R3560="TRUE"),1,0))</f>
        <v/>
      </c>
      <c r="AK3560" s="18" t="str">
        <f aca="false">IF($AH3560=1,IFERROR(VALUE(MID($D3560,2,20)),1000000000)+ROW()/10000000,"")</f>
        <v/>
      </c>
    </row>
    <row r="3561" customFormat="false" ht="15" hidden="false" customHeight="false" outlineLevel="0" collapsed="false">
      <c r="F3561" s="15"/>
      <c r="N3561" s="16" t="str">
        <f aca="false">IF($D3561="","",M3561*Y3561/100)</f>
        <v/>
      </c>
      <c r="V3561" s="16" t="str">
        <f aca="false">IF($D3561="","",Y3561*AB3561/100)</f>
        <v/>
      </c>
      <c r="W3561" s="16" t="str">
        <f aca="false">IF($D3561="","",Y3561-V3561)</f>
        <v/>
      </c>
      <c r="X3561" s="16" t="str">
        <f aca="false">IF($D3561="","",W3561-N3561)</f>
        <v/>
      </c>
      <c r="AB3561" s="17" t="str">
        <f aca="false">IF($D3561="","",IF(OR($R3561=TRUE(),$R3561="TRUE"),Settings!$C$6,Settings!$C$7)*100)</f>
        <v/>
      </c>
      <c r="AH3561" s="18" t="str">
        <f aca="false">IF($D3561="","",IF(COUNTIF($D$2:$D3561,$D3561)=1,1,0))</f>
        <v/>
      </c>
      <c r="AI3561" s="18" t="str">
        <f aca="false">IF($AH3561=1,SUMPRODUCT(--($AK$2:$AK$4001&lt;$AK3561))+1,"")</f>
        <v/>
      </c>
      <c r="AJ3561" s="18" t="str">
        <f aca="false">IF($D3561="","",IF(OR($R3561=TRUE(),$R3561="TRUE"),1,0))</f>
        <v/>
      </c>
      <c r="AK3561" s="18" t="str">
        <f aca="false">IF($AH3561=1,IFERROR(VALUE(MID($D3561,2,20)),1000000000)+ROW()/10000000,"")</f>
        <v/>
      </c>
    </row>
    <row r="3562" customFormat="false" ht="15" hidden="false" customHeight="false" outlineLevel="0" collapsed="false">
      <c r="F3562" s="15"/>
      <c r="N3562" s="16" t="str">
        <f aca="false">IF($D3562="","",M3562*Y3562/100)</f>
        <v/>
      </c>
      <c r="V3562" s="16" t="str">
        <f aca="false">IF($D3562="","",Y3562*AB3562/100)</f>
        <v/>
      </c>
      <c r="W3562" s="16" t="str">
        <f aca="false">IF($D3562="","",Y3562-V3562)</f>
        <v/>
      </c>
      <c r="X3562" s="16" t="str">
        <f aca="false">IF($D3562="","",W3562-N3562)</f>
        <v/>
      </c>
      <c r="AB3562" s="17" t="str">
        <f aca="false">IF($D3562="","",IF(OR($R3562=TRUE(),$R3562="TRUE"),Settings!$C$6,Settings!$C$7)*100)</f>
        <v/>
      </c>
      <c r="AH3562" s="18" t="str">
        <f aca="false">IF($D3562="","",IF(COUNTIF($D$2:$D3562,$D3562)=1,1,0))</f>
        <v/>
      </c>
      <c r="AI3562" s="18" t="str">
        <f aca="false">IF($AH3562=1,SUMPRODUCT(--($AK$2:$AK$4001&lt;$AK3562))+1,"")</f>
        <v/>
      </c>
      <c r="AJ3562" s="18" t="str">
        <f aca="false">IF($D3562="","",IF(OR($R3562=TRUE(),$R3562="TRUE"),1,0))</f>
        <v/>
      </c>
      <c r="AK3562" s="18" t="str">
        <f aca="false">IF($AH3562=1,IFERROR(VALUE(MID($D3562,2,20)),1000000000)+ROW()/10000000,"")</f>
        <v/>
      </c>
    </row>
    <row r="3563" customFormat="false" ht="15" hidden="false" customHeight="false" outlineLevel="0" collapsed="false">
      <c r="F3563" s="15"/>
      <c r="N3563" s="16" t="str">
        <f aca="false">IF($D3563="","",M3563*Y3563/100)</f>
        <v/>
      </c>
      <c r="V3563" s="16" t="str">
        <f aca="false">IF($D3563="","",Y3563*AB3563/100)</f>
        <v/>
      </c>
      <c r="W3563" s="16" t="str">
        <f aca="false">IF($D3563="","",Y3563-V3563)</f>
        <v/>
      </c>
      <c r="X3563" s="16" t="str">
        <f aca="false">IF($D3563="","",W3563-N3563)</f>
        <v/>
      </c>
      <c r="AB3563" s="17" t="str">
        <f aca="false">IF($D3563="","",IF(OR($R3563=TRUE(),$R3563="TRUE"),Settings!$C$6,Settings!$C$7)*100)</f>
        <v/>
      </c>
      <c r="AH3563" s="18" t="str">
        <f aca="false">IF($D3563="","",IF(COUNTIF($D$2:$D3563,$D3563)=1,1,0))</f>
        <v/>
      </c>
      <c r="AI3563" s="18" t="str">
        <f aca="false">IF($AH3563=1,SUMPRODUCT(--($AK$2:$AK$4001&lt;$AK3563))+1,"")</f>
        <v/>
      </c>
      <c r="AJ3563" s="18" t="str">
        <f aca="false">IF($D3563="","",IF(OR($R3563=TRUE(),$R3563="TRUE"),1,0))</f>
        <v/>
      </c>
      <c r="AK3563" s="18" t="str">
        <f aca="false">IF($AH3563=1,IFERROR(VALUE(MID($D3563,2,20)),1000000000)+ROW()/10000000,"")</f>
        <v/>
      </c>
    </row>
    <row r="3564" customFormat="false" ht="15" hidden="false" customHeight="false" outlineLevel="0" collapsed="false">
      <c r="F3564" s="15"/>
      <c r="N3564" s="16" t="str">
        <f aca="false">IF($D3564="","",M3564*Y3564/100)</f>
        <v/>
      </c>
      <c r="V3564" s="16" t="str">
        <f aca="false">IF($D3564="","",Y3564*AB3564/100)</f>
        <v/>
      </c>
      <c r="W3564" s="16" t="str">
        <f aca="false">IF($D3564="","",Y3564-V3564)</f>
        <v/>
      </c>
      <c r="X3564" s="16" t="str">
        <f aca="false">IF($D3564="","",W3564-N3564)</f>
        <v/>
      </c>
      <c r="AB3564" s="17" t="str">
        <f aca="false">IF($D3564="","",IF(OR($R3564=TRUE(),$R3564="TRUE"),Settings!$C$6,Settings!$C$7)*100)</f>
        <v/>
      </c>
      <c r="AH3564" s="18" t="str">
        <f aca="false">IF($D3564="","",IF(COUNTIF($D$2:$D3564,$D3564)=1,1,0))</f>
        <v/>
      </c>
      <c r="AI3564" s="18" t="str">
        <f aca="false">IF($AH3564=1,SUMPRODUCT(--($AK$2:$AK$4001&lt;$AK3564))+1,"")</f>
        <v/>
      </c>
      <c r="AJ3564" s="18" t="str">
        <f aca="false">IF($D3564="","",IF(OR($R3564=TRUE(),$R3564="TRUE"),1,0))</f>
        <v/>
      </c>
      <c r="AK3564" s="18" t="str">
        <f aca="false">IF($AH3564=1,IFERROR(VALUE(MID($D3564,2,20)),1000000000)+ROW()/10000000,"")</f>
        <v/>
      </c>
    </row>
    <row r="3565" customFormat="false" ht="15" hidden="false" customHeight="false" outlineLevel="0" collapsed="false">
      <c r="F3565" s="15"/>
      <c r="N3565" s="16" t="str">
        <f aca="false">IF($D3565="","",M3565*Y3565/100)</f>
        <v/>
      </c>
      <c r="V3565" s="16" t="str">
        <f aca="false">IF($D3565="","",Y3565*AB3565/100)</f>
        <v/>
      </c>
      <c r="W3565" s="16" t="str">
        <f aca="false">IF($D3565="","",Y3565-V3565)</f>
        <v/>
      </c>
      <c r="X3565" s="16" t="str">
        <f aca="false">IF($D3565="","",W3565-N3565)</f>
        <v/>
      </c>
      <c r="AB3565" s="17" t="str">
        <f aca="false">IF($D3565="","",IF(OR($R3565=TRUE(),$R3565="TRUE"),Settings!$C$6,Settings!$C$7)*100)</f>
        <v/>
      </c>
      <c r="AH3565" s="18" t="str">
        <f aca="false">IF($D3565="","",IF(COUNTIF($D$2:$D3565,$D3565)=1,1,0))</f>
        <v/>
      </c>
      <c r="AI3565" s="18" t="str">
        <f aca="false">IF($AH3565=1,SUMPRODUCT(--($AK$2:$AK$4001&lt;$AK3565))+1,"")</f>
        <v/>
      </c>
      <c r="AJ3565" s="18" t="str">
        <f aca="false">IF($D3565="","",IF(OR($R3565=TRUE(),$R3565="TRUE"),1,0))</f>
        <v/>
      </c>
      <c r="AK3565" s="18" t="str">
        <f aca="false">IF($AH3565=1,IFERROR(VALUE(MID($D3565,2,20)),1000000000)+ROW()/10000000,"")</f>
        <v/>
      </c>
    </row>
    <row r="3566" customFormat="false" ht="15" hidden="false" customHeight="false" outlineLevel="0" collapsed="false">
      <c r="F3566" s="15"/>
      <c r="N3566" s="16" t="str">
        <f aca="false">IF($D3566="","",M3566*Y3566/100)</f>
        <v/>
      </c>
      <c r="V3566" s="16" t="str">
        <f aca="false">IF($D3566="","",Y3566*AB3566/100)</f>
        <v/>
      </c>
      <c r="W3566" s="16" t="str">
        <f aca="false">IF($D3566="","",Y3566-V3566)</f>
        <v/>
      </c>
      <c r="X3566" s="16" t="str">
        <f aca="false">IF($D3566="","",W3566-N3566)</f>
        <v/>
      </c>
      <c r="AB3566" s="17" t="str">
        <f aca="false">IF($D3566="","",IF(OR($R3566=TRUE(),$R3566="TRUE"),Settings!$C$6,Settings!$C$7)*100)</f>
        <v/>
      </c>
      <c r="AH3566" s="18" t="str">
        <f aca="false">IF($D3566="","",IF(COUNTIF($D$2:$D3566,$D3566)=1,1,0))</f>
        <v/>
      </c>
      <c r="AI3566" s="18" t="str">
        <f aca="false">IF($AH3566=1,SUMPRODUCT(--($AK$2:$AK$4001&lt;$AK3566))+1,"")</f>
        <v/>
      </c>
      <c r="AJ3566" s="18" t="str">
        <f aca="false">IF($D3566="","",IF(OR($R3566=TRUE(),$R3566="TRUE"),1,0))</f>
        <v/>
      </c>
      <c r="AK3566" s="18" t="str">
        <f aca="false">IF($AH3566=1,IFERROR(VALUE(MID($D3566,2,20)),1000000000)+ROW()/10000000,"")</f>
        <v/>
      </c>
    </row>
    <row r="3567" customFormat="false" ht="15" hidden="false" customHeight="false" outlineLevel="0" collapsed="false">
      <c r="F3567" s="15"/>
      <c r="N3567" s="16" t="str">
        <f aca="false">IF($D3567="","",M3567*Y3567/100)</f>
        <v/>
      </c>
      <c r="V3567" s="16" t="str">
        <f aca="false">IF($D3567="","",Y3567*AB3567/100)</f>
        <v/>
      </c>
      <c r="W3567" s="16" t="str">
        <f aca="false">IF($D3567="","",Y3567-V3567)</f>
        <v/>
      </c>
      <c r="X3567" s="16" t="str">
        <f aca="false">IF($D3567="","",W3567-N3567)</f>
        <v/>
      </c>
      <c r="AB3567" s="17" t="str">
        <f aca="false">IF($D3567="","",IF(OR($R3567=TRUE(),$R3567="TRUE"),Settings!$C$6,Settings!$C$7)*100)</f>
        <v/>
      </c>
      <c r="AH3567" s="18" t="str">
        <f aca="false">IF($D3567="","",IF(COUNTIF($D$2:$D3567,$D3567)=1,1,0))</f>
        <v/>
      </c>
      <c r="AI3567" s="18" t="str">
        <f aca="false">IF($AH3567=1,SUMPRODUCT(--($AK$2:$AK$4001&lt;$AK3567))+1,"")</f>
        <v/>
      </c>
      <c r="AJ3567" s="18" t="str">
        <f aca="false">IF($D3567="","",IF(OR($R3567=TRUE(),$R3567="TRUE"),1,0))</f>
        <v/>
      </c>
      <c r="AK3567" s="18" t="str">
        <f aca="false">IF($AH3567=1,IFERROR(VALUE(MID($D3567,2,20)),1000000000)+ROW()/10000000,"")</f>
        <v/>
      </c>
    </row>
    <row r="3568" customFormat="false" ht="15" hidden="false" customHeight="false" outlineLevel="0" collapsed="false">
      <c r="F3568" s="15"/>
      <c r="N3568" s="16" t="str">
        <f aca="false">IF($D3568="","",M3568*Y3568/100)</f>
        <v/>
      </c>
      <c r="V3568" s="16" t="str">
        <f aca="false">IF($D3568="","",Y3568*AB3568/100)</f>
        <v/>
      </c>
      <c r="W3568" s="16" t="str">
        <f aca="false">IF($D3568="","",Y3568-V3568)</f>
        <v/>
      </c>
      <c r="X3568" s="16" t="str">
        <f aca="false">IF($D3568="","",W3568-N3568)</f>
        <v/>
      </c>
      <c r="AB3568" s="17" t="str">
        <f aca="false">IF($D3568="","",IF(OR($R3568=TRUE(),$R3568="TRUE"),Settings!$C$6,Settings!$C$7)*100)</f>
        <v/>
      </c>
      <c r="AH3568" s="18" t="str">
        <f aca="false">IF($D3568="","",IF(COUNTIF($D$2:$D3568,$D3568)=1,1,0))</f>
        <v/>
      </c>
      <c r="AI3568" s="18" t="str">
        <f aca="false">IF($AH3568=1,SUMPRODUCT(--($AK$2:$AK$4001&lt;$AK3568))+1,"")</f>
        <v/>
      </c>
      <c r="AJ3568" s="18" t="str">
        <f aca="false">IF($D3568="","",IF(OR($R3568=TRUE(),$R3568="TRUE"),1,0))</f>
        <v/>
      </c>
      <c r="AK3568" s="18" t="str">
        <f aca="false">IF($AH3568=1,IFERROR(VALUE(MID($D3568,2,20)),1000000000)+ROW()/10000000,"")</f>
        <v/>
      </c>
    </row>
    <row r="3569" customFormat="false" ht="15" hidden="false" customHeight="false" outlineLevel="0" collapsed="false">
      <c r="F3569" s="15"/>
      <c r="N3569" s="16" t="str">
        <f aca="false">IF($D3569="","",M3569*Y3569/100)</f>
        <v/>
      </c>
      <c r="V3569" s="16" t="str">
        <f aca="false">IF($D3569="","",Y3569*AB3569/100)</f>
        <v/>
      </c>
      <c r="W3569" s="16" t="str">
        <f aca="false">IF($D3569="","",Y3569-V3569)</f>
        <v/>
      </c>
      <c r="X3569" s="16" t="str">
        <f aca="false">IF($D3569="","",W3569-N3569)</f>
        <v/>
      </c>
      <c r="AB3569" s="17" t="str">
        <f aca="false">IF($D3569="","",IF(OR($R3569=TRUE(),$R3569="TRUE"),Settings!$C$6,Settings!$C$7)*100)</f>
        <v/>
      </c>
      <c r="AH3569" s="18" t="str">
        <f aca="false">IF($D3569="","",IF(COUNTIF($D$2:$D3569,$D3569)=1,1,0))</f>
        <v/>
      </c>
      <c r="AI3569" s="18" t="str">
        <f aca="false">IF($AH3569=1,SUMPRODUCT(--($AK$2:$AK$4001&lt;$AK3569))+1,"")</f>
        <v/>
      </c>
      <c r="AJ3569" s="18" t="str">
        <f aca="false">IF($D3569="","",IF(OR($R3569=TRUE(),$R3569="TRUE"),1,0))</f>
        <v/>
      </c>
      <c r="AK3569" s="18" t="str">
        <f aca="false">IF($AH3569=1,IFERROR(VALUE(MID($D3569,2,20)),1000000000)+ROW()/10000000,"")</f>
        <v/>
      </c>
    </row>
    <row r="3570" customFormat="false" ht="15" hidden="false" customHeight="false" outlineLevel="0" collapsed="false">
      <c r="F3570" s="15"/>
      <c r="N3570" s="16" t="str">
        <f aca="false">IF($D3570="","",M3570*Y3570/100)</f>
        <v/>
      </c>
      <c r="V3570" s="16" t="str">
        <f aca="false">IF($D3570="","",Y3570*AB3570/100)</f>
        <v/>
      </c>
      <c r="W3570" s="16" t="str">
        <f aca="false">IF($D3570="","",Y3570-V3570)</f>
        <v/>
      </c>
      <c r="X3570" s="16" t="str">
        <f aca="false">IF($D3570="","",W3570-N3570)</f>
        <v/>
      </c>
      <c r="AB3570" s="17" t="str">
        <f aca="false">IF($D3570="","",IF(OR($R3570=TRUE(),$R3570="TRUE"),Settings!$C$6,Settings!$C$7)*100)</f>
        <v/>
      </c>
      <c r="AH3570" s="18" t="str">
        <f aca="false">IF($D3570="","",IF(COUNTIF($D$2:$D3570,$D3570)=1,1,0))</f>
        <v/>
      </c>
      <c r="AI3570" s="18" t="str">
        <f aca="false">IF($AH3570=1,SUMPRODUCT(--($AK$2:$AK$4001&lt;$AK3570))+1,"")</f>
        <v/>
      </c>
      <c r="AJ3570" s="18" t="str">
        <f aca="false">IF($D3570="","",IF(OR($R3570=TRUE(),$R3570="TRUE"),1,0))</f>
        <v/>
      </c>
      <c r="AK3570" s="18" t="str">
        <f aca="false">IF($AH3570=1,IFERROR(VALUE(MID($D3570,2,20)),1000000000)+ROW()/10000000,"")</f>
        <v/>
      </c>
    </row>
    <row r="3571" customFormat="false" ht="15" hidden="false" customHeight="false" outlineLevel="0" collapsed="false">
      <c r="F3571" s="15"/>
      <c r="N3571" s="16" t="str">
        <f aca="false">IF($D3571="","",M3571*Y3571/100)</f>
        <v/>
      </c>
      <c r="V3571" s="16" t="str">
        <f aca="false">IF($D3571="","",Y3571*AB3571/100)</f>
        <v/>
      </c>
      <c r="W3571" s="16" t="str">
        <f aca="false">IF($D3571="","",Y3571-V3571)</f>
        <v/>
      </c>
      <c r="X3571" s="16" t="str">
        <f aca="false">IF($D3571="","",W3571-N3571)</f>
        <v/>
      </c>
      <c r="AB3571" s="17" t="str">
        <f aca="false">IF($D3571="","",IF(OR($R3571=TRUE(),$R3571="TRUE"),Settings!$C$6,Settings!$C$7)*100)</f>
        <v/>
      </c>
      <c r="AH3571" s="18" t="str">
        <f aca="false">IF($D3571="","",IF(COUNTIF($D$2:$D3571,$D3571)=1,1,0))</f>
        <v/>
      </c>
      <c r="AI3571" s="18" t="str">
        <f aca="false">IF($AH3571=1,SUMPRODUCT(--($AK$2:$AK$4001&lt;$AK3571))+1,"")</f>
        <v/>
      </c>
      <c r="AJ3571" s="18" t="str">
        <f aca="false">IF($D3571="","",IF(OR($R3571=TRUE(),$R3571="TRUE"),1,0))</f>
        <v/>
      </c>
      <c r="AK3571" s="18" t="str">
        <f aca="false">IF($AH3571=1,IFERROR(VALUE(MID($D3571,2,20)),1000000000)+ROW()/10000000,"")</f>
        <v/>
      </c>
    </row>
    <row r="3572" customFormat="false" ht="15" hidden="false" customHeight="false" outlineLevel="0" collapsed="false">
      <c r="F3572" s="15"/>
      <c r="N3572" s="16" t="str">
        <f aca="false">IF($D3572="","",M3572*Y3572/100)</f>
        <v/>
      </c>
      <c r="V3572" s="16" t="str">
        <f aca="false">IF($D3572="","",Y3572*AB3572/100)</f>
        <v/>
      </c>
      <c r="W3572" s="16" t="str">
        <f aca="false">IF($D3572="","",Y3572-V3572)</f>
        <v/>
      </c>
      <c r="X3572" s="16" t="str">
        <f aca="false">IF($D3572="","",W3572-N3572)</f>
        <v/>
      </c>
      <c r="AB3572" s="17" t="str">
        <f aca="false">IF($D3572="","",IF(OR($R3572=TRUE(),$R3572="TRUE"),Settings!$C$6,Settings!$C$7)*100)</f>
        <v/>
      </c>
      <c r="AH3572" s="18" t="str">
        <f aca="false">IF($D3572="","",IF(COUNTIF($D$2:$D3572,$D3572)=1,1,0))</f>
        <v/>
      </c>
      <c r="AI3572" s="18" t="str">
        <f aca="false">IF($AH3572=1,SUMPRODUCT(--($AK$2:$AK$4001&lt;$AK3572))+1,"")</f>
        <v/>
      </c>
      <c r="AJ3572" s="18" t="str">
        <f aca="false">IF($D3572="","",IF(OR($R3572=TRUE(),$R3572="TRUE"),1,0))</f>
        <v/>
      </c>
      <c r="AK3572" s="18" t="str">
        <f aca="false">IF($AH3572=1,IFERROR(VALUE(MID($D3572,2,20)),1000000000)+ROW()/10000000,"")</f>
        <v/>
      </c>
    </row>
    <row r="3573" customFormat="false" ht="15" hidden="false" customHeight="false" outlineLevel="0" collapsed="false">
      <c r="F3573" s="15"/>
      <c r="N3573" s="16" t="str">
        <f aca="false">IF($D3573="","",M3573*Y3573/100)</f>
        <v/>
      </c>
      <c r="V3573" s="16" t="str">
        <f aca="false">IF($D3573="","",Y3573*AB3573/100)</f>
        <v/>
      </c>
      <c r="W3573" s="16" t="str">
        <f aca="false">IF($D3573="","",Y3573-V3573)</f>
        <v/>
      </c>
      <c r="X3573" s="16" t="str">
        <f aca="false">IF($D3573="","",W3573-N3573)</f>
        <v/>
      </c>
      <c r="AB3573" s="17" t="str">
        <f aca="false">IF($D3573="","",IF(OR($R3573=TRUE(),$R3573="TRUE"),Settings!$C$6,Settings!$C$7)*100)</f>
        <v/>
      </c>
      <c r="AH3573" s="18" t="str">
        <f aca="false">IF($D3573="","",IF(COUNTIF($D$2:$D3573,$D3573)=1,1,0))</f>
        <v/>
      </c>
      <c r="AI3573" s="18" t="str">
        <f aca="false">IF($AH3573=1,SUMPRODUCT(--($AK$2:$AK$4001&lt;$AK3573))+1,"")</f>
        <v/>
      </c>
      <c r="AJ3573" s="18" t="str">
        <f aca="false">IF($D3573="","",IF(OR($R3573=TRUE(),$R3573="TRUE"),1,0))</f>
        <v/>
      </c>
      <c r="AK3573" s="18" t="str">
        <f aca="false">IF($AH3573=1,IFERROR(VALUE(MID($D3573,2,20)),1000000000)+ROW()/10000000,"")</f>
        <v/>
      </c>
    </row>
    <row r="3574" customFormat="false" ht="15" hidden="false" customHeight="false" outlineLevel="0" collapsed="false">
      <c r="F3574" s="15"/>
      <c r="N3574" s="16" t="str">
        <f aca="false">IF($D3574="","",M3574*Y3574/100)</f>
        <v/>
      </c>
      <c r="V3574" s="16" t="str">
        <f aca="false">IF($D3574="","",Y3574*AB3574/100)</f>
        <v/>
      </c>
      <c r="W3574" s="16" t="str">
        <f aca="false">IF($D3574="","",Y3574-V3574)</f>
        <v/>
      </c>
      <c r="X3574" s="16" t="str">
        <f aca="false">IF($D3574="","",W3574-N3574)</f>
        <v/>
      </c>
      <c r="AB3574" s="17" t="str">
        <f aca="false">IF($D3574="","",IF(OR($R3574=TRUE(),$R3574="TRUE"),Settings!$C$6,Settings!$C$7)*100)</f>
        <v/>
      </c>
      <c r="AH3574" s="18" t="str">
        <f aca="false">IF($D3574="","",IF(COUNTIF($D$2:$D3574,$D3574)=1,1,0))</f>
        <v/>
      </c>
      <c r="AI3574" s="18" t="str">
        <f aca="false">IF($AH3574=1,SUMPRODUCT(--($AK$2:$AK$4001&lt;$AK3574))+1,"")</f>
        <v/>
      </c>
      <c r="AJ3574" s="18" t="str">
        <f aca="false">IF($D3574="","",IF(OR($R3574=TRUE(),$R3574="TRUE"),1,0))</f>
        <v/>
      </c>
      <c r="AK3574" s="18" t="str">
        <f aca="false">IF($AH3574=1,IFERROR(VALUE(MID($D3574,2,20)),1000000000)+ROW()/10000000,"")</f>
        <v/>
      </c>
    </row>
    <row r="3575" customFormat="false" ht="15" hidden="false" customHeight="false" outlineLevel="0" collapsed="false">
      <c r="F3575" s="15"/>
      <c r="N3575" s="16" t="str">
        <f aca="false">IF($D3575="","",M3575*Y3575/100)</f>
        <v/>
      </c>
      <c r="V3575" s="16" t="str">
        <f aca="false">IF($D3575="","",Y3575*AB3575/100)</f>
        <v/>
      </c>
      <c r="W3575" s="16" t="str">
        <f aca="false">IF($D3575="","",Y3575-V3575)</f>
        <v/>
      </c>
      <c r="X3575" s="16" t="str">
        <f aca="false">IF($D3575="","",W3575-N3575)</f>
        <v/>
      </c>
      <c r="AB3575" s="17" t="str">
        <f aca="false">IF($D3575="","",IF(OR($R3575=TRUE(),$R3575="TRUE"),Settings!$C$6,Settings!$C$7)*100)</f>
        <v/>
      </c>
      <c r="AH3575" s="18" t="str">
        <f aca="false">IF($D3575="","",IF(COUNTIF($D$2:$D3575,$D3575)=1,1,0))</f>
        <v/>
      </c>
      <c r="AI3575" s="18" t="str">
        <f aca="false">IF($AH3575=1,SUMPRODUCT(--($AK$2:$AK$4001&lt;$AK3575))+1,"")</f>
        <v/>
      </c>
      <c r="AJ3575" s="18" t="str">
        <f aca="false">IF($D3575="","",IF(OR($R3575=TRUE(),$R3575="TRUE"),1,0))</f>
        <v/>
      </c>
      <c r="AK3575" s="18" t="str">
        <f aca="false">IF($AH3575=1,IFERROR(VALUE(MID($D3575,2,20)),1000000000)+ROW()/10000000,"")</f>
        <v/>
      </c>
    </row>
    <row r="3576" customFormat="false" ht="15" hidden="false" customHeight="false" outlineLevel="0" collapsed="false">
      <c r="F3576" s="15"/>
      <c r="N3576" s="16" t="str">
        <f aca="false">IF($D3576="","",M3576*Y3576/100)</f>
        <v/>
      </c>
      <c r="V3576" s="16" t="str">
        <f aca="false">IF($D3576="","",Y3576*AB3576/100)</f>
        <v/>
      </c>
      <c r="W3576" s="16" t="str">
        <f aca="false">IF($D3576="","",Y3576-V3576)</f>
        <v/>
      </c>
      <c r="X3576" s="16" t="str">
        <f aca="false">IF($D3576="","",W3576-N3576)</f>
        <v/>
      </c>
      <c r="AB3576" s="17" t="str">
        <f aca="false">IF($D3576="","",IF(OR($R3576=TRUE(),$R3576="TRUE"),Settings!$C$6,Settings!$C$7)*100)</f>
        <v/>
      </c>
      <c r="AH3576" s="18" t="str">
        <f aca="false">IF($D3576="","",IF(COUNTIF($D$2:$D3576,$D3576)=1,1,0))</f>
        <v/>
      </c>
      <c r="AI3576" s="18" t="str">
        <f aca="false">IF($AH3576=1,SUMPRODUCT(--($AK$2:$AK$4001&lt;$AK3576))+1,"")</f>
        <v/>
      </c>
      <c r="AJ3576" s="18" t="str">
        <f aca="false">IF($D3576="","",IF(OR($R3576=TRUE(),$R3576="TRUE"),1,0))</f>
        <v/>
      </c>
      <c r="AK3576" s="18" t="str">
        <f aca="false">IF($AH3576=1,IFERROR(VALUE(MID($D3576,2,20)),1000000000)+ROW()/10000000,"")</f>
        <v/>
      </c>
    </row>
    <row r="3577" customFormat="false" ht="15" hidden="false" customHeight="false" outlineLevel="0" collapsed="false">
      <c r="F3577" s="15"/>
      <c r="N3577" s="16" t="str">
        <f aca="false">IF($D3577="","",M3577*Y3577/100)</f>
        <v/>
      </c>
      <c r="V3577" s="16" t="str">
        <f aca="false">IF($D3577="","",Y3577*AB3577/100)</f>
        <v/>
      </c>
      <c r="W3577" s="16" t="str">
        <f aca="false">IF($D3577="","",Y3577-V3577)</f>
        <v/>
      </c>
      <c r="X3577" s="16" t="str">
        <f aca="false">IF($D3577="","",W3577-N3577)</f>
        <v/>
      </c>
      <c r="AB3577" s="17" t="str">
        <f aca="false">IF($D3577="","",IF(OR($R3577=TRUE(),$R3577="TRUE"),Settings!$C$6,Settings!$C$7)*100)</f>
        <v/>
      </c>
      <c r="AH3577" s="18" t="str">
        <f aca="false">IF($D3577="","",IF(COUNTIF($D$2:$D3577,$D3577)=1,1,0))</f>
        <v/>
      </c>
      <c r="AI3577" s="18" t="str">
        <f aca="false">IF($AH3577=1,SUMPRODUCT(--($AK$2:$AK$4001&lt;$AK3577))+1,"")</f>
        <v/>
      </c>
      <c r="AJ3577" s="18" t="str">
        <f aca="false">IF($D3577="","",IF(OR($R3577=TRUE(),$R3577="TRUE"),1,0))</f>
        <v/>
      </c>
      <c r="AK3577" s="18" t="str">
        <f aca="false">IF($AH3577=1,IFERROR(VALUE(MID($D3577,2,20)),1000000000)+ROW()/10000000,"")</f>
        <v/>
      </c>
    </row>
    <row r="3578" customFormat="false" ht="15" hidden="false" customHeight="false" outlineLevel="0" collapsed="false">
      <c r="F3578" s="15"/>
      <c r="N3578" s="16" t="str">
        <f aca="false">IF($D3578="","",M3578*Y3578/100)</f>
        <v/>
      </c>
      <c r="V3578" s="16" t="str">
        <f aca="false">IF($D3578="","",Y3578*AB3578/100)</f>
        <v/>
      </c>
      <c r="W3578" s="16" t="str">
        <f aca="false">IF($D3578="","",Y3578-V3578)</f>
        <v/>
      </c>
      <c r="X3578" s="16" t="str">
        <f aca="false">IF($D3578="","",W3578-N3578)</f>
        <v/>
      </c>
      <c r="AB3578" s="17" t="str">
        <f aca="false">IF($D3578="","",IF(OR($R3578=TRUE(),$R3578="TRUE"),Settings!$C$6,Settings!$C$7)*100)</f>
        <v/>
      </c>
      <c r="AH3578" s="18" t="str">
        <f aca="false">IF($D3578="","",IF(COUNTIF($D$2:$D3578,$D3578)=1,1,0))</f>
        <v/>
      </c>
      <c r="AI3578" s="18" t="str">
        <f aca="false">IF($AH3578=1,SUMPRODUCT(--($AK$2:$AK$4001&lt;$AK3578))+1,"")</f>
        <v/>
      </c>
      <c r="AJ3578" s="18" t="str">
        <f aca="false">IF($D3578="","",IF(OR($R3578=TRUE(),$R3578="TRUE"),1,0))</f>
        <v/>
      </c>
      <c r="AK3578" s="18" t="str">
        <f aca="false">IF($AH3578=1,IFERROR(VALUE(MID($D3578,2,20)),1000000000)+ROW()/10000000,"")</f>
        <v/>
      </c>
    </row>
    <row r="3579" customFormat="false" ht="15" hidden="false" customHeight="false" outlineLevel="0" collapsed="false">
      <c r="F3579" s="15"/>
      <c r="N3579" s="16" t="str">
        <f aca="false">IF($D3579="","",M3579*Y3579/100)</f>
        <v/>
      </c>
      <c r="V3579" s="16" t="str">
        <f aca="false">IF($D3579="","",Y3579*AB3579/100)</f>
        <v/>
      </c>
      <c r="W3579" s="16" t="str">
        <f aca="false">IF($D3579="","",Y3579-V3579)</f>
        <v/>
      </c>
      <c r="X3579" s="16" t="str">
        <f aca="false">IF($D3579="","",W3579-N3579)</f>
        <v/>
      </c>
      <c r="AB3579" s="17" t="str">
        <f aca="false">IF($D3579="","",IF(OR($R3579=TRUE(),$R3579="TRUE"),Settings!$C$6,Settings!$C$7)*100)</f>
        <v/>
      </c>
      <c r="AH3579" s="18" t="str">
        <f aca="false">IF($D3579="","",IF(COUNTIF($D$2:$D3579,$D3579)=1,1,0))</f>
        <v/>
      </c>
      <c r="AI3579" s="18" t="str">
        <f aca="false">IF($AH3579=1,SUMPRODUCT(--($AK$2:$AK$4001&lt;$AK3579))+1,"")</f>
        <v/>
      </c>
      <c r="AJ3579" s="18" t="str">
        <f aca="false">IF($D3579="","",IF(OR($R3579=TRUE(),$R3579="TRUE"),1,0))</f>
        <v/>
      </c>
      <c r="AK3579" s="18" t="str">
        <f aca="false">IF($AH3579=1,IFERROR(VALUE(MID($D3579,2,20)),1000000000)+ROW()/10000000,"")</f>
        <v/>
      </c>
    </row>
    <row r="3580" customFormat="false" ht="15" hidden="false" customHeight="false" outlineLevel="0" collapsed="false">
      <c r="F3580" s="15"/>
      <c r="N3580" s="16" t="str">
        <f aca="false">IF($D3580="","",M3580*Y3580/100)</f>
        <v/>
      </c>
      <c r="V3580" s="16" t="str">
        <f aca="false">IF($D3580="","",Y3580*AB3580/100)</f>
        <v/>
      </c>
      <c r="W3580" s="16" t="str">
        <f aca="false">IF($D3580="","",Y3580-V3580)</f>
        <v/>
      </c>
      <c r="X3580" s="16" t="str">
        <f aca="false">IF($D3580="","",W3580-N3580)</f>
        <v/>
      </c>
      <c r="AB3580" s="17" t="str">
        <f aca="false">IF($D3580="","",IF(OR($R3580=TRUE(),$R3580="TRUE"),Settings!$C$6,Settings!$C$7)*100)</f>
        <v/>
      </c>
      <c r="AH3580" s="18" t="str">
        <f aca="false">IF($D3580="","",IF(COUNTIF($D$2:$D3580,$D3580)=1,1,0))</f>
        <v/>
      </c>
      <c r="AI3580" s="18" t="str">
        <f aca="false">IF($AH3580=1,SUMPRODUCT(--($AK$2:$AK$4001&lt;$AK3580))+1,"")</f>
        <v/>
      </c>
      <c r="AJ3580" s="18" t="str">
        <f aca="false">IF($D3580="","",IF(OR($R3580=TRUE(),$R3580="TRUE"),1,0))</f>
        <v/>
      </c>
      <c r="AK3580" s="18" t="str">
        <f aca="false">IF($AH3580=1,IFERROR(VALUE(MID($D3580,2,20)),1000000000)+ROW()/10000000,"")</f>
        <v/>
      </c>
    </row>
    <row r="3581" customFormat="false" ht="15" hidden="false" customHeight="false" outlineLevel="0" collapsed="false">
      <c r="F3581" s="15"/>
      <c r="N3581" s="16" t="str">
        <f aca="false">IF($D3581="","",M3581*Y3581/100)</f>
        <v/>
      </c>
      <c r="V3581" s="16" t="str">
        <f aca="false">IF($D3581="","",Y3581*AB3581/100)</f>
        <v/>
      </c>
      <c r="W3581" s="16" t="str">
        <f aca="false">IF($D3581="","",Y3581-V3581)</f>
        <v/>
      </c>
      <c r="X3581" s="16" t="str">
        <f aca="false">IF($D3581="","",W3581-N3581)</f>
        <v/>
      </c>
      <c r="AB3581" s="17" t="str">
        <f aca="false">IF($D3581="","",IF(OR($R3581=TRUE(),$R3581="TRUE"),Settings!$C$6,Settings!$C$7)*100)</f>
        <v/>
      </c>
      <c r="AH3581" s="18" t="str">
        <f aca="false">IF($D3581="","",IF(COUNTIF($D$2:$D3581,$D3581)=1,1,0))</f>
        <v/>
      </c>
      <c r="AI3581" s="18" t="str">
        <f aca="false">IF($AH3581=1,SUMPRODUCT(--($AK$2:$AK$4001&lt;$AK3581))+1,"")</f>
        <v/>
      </c>
      <c r="AJ3581" s="18" t="str">
        <f aca="false">IF($D3581="","",IF(OR($R3581=TRUE(),$R3581="TRUE"),1,0))</f>
        <v/>
      </c>
      <c r="AK3581" s="18" t="str">
        <f aca="false">IF($AH3581=1,IFERROR(VALUE(MID($D3581,2,20)),1000000000)+ROW()/10000000,"")</f>
        <v/>
      </c>
    </row>
    <row r="3582" customFormat="false" ht="15" hidden="false" customHeight="false" outlineLevel="0" collapsed="false">
      <c r="F3582" s="15"/>
      <c r="N3582" s="16" t="str">
        <f aca="false">IF($D3582="","",M3582*Y3582/100)</f>
        <v/>
      </c>
      <c r="V3582" s="16" t="str">
        <f aca="false">IF($D3582="","",Y3582*AB3582/100)</f>
        <v/>
      </c>
      <c r="W3582" s="16" t="str">
        <f aca="false">IF($D3582="","",Y3582-V3582)</f>
        <v/>
      </c>
      <c r="X3582" s="16" t="str">
        <f aca="false">IF($D3582="","",W3582-N3582)</f>
        <v/>
      </c>
      <c r="AB3582" s="17" t="str">
        <f aca="false">IF($D3582="","",IF(OR($R3582=TRUE(),$R3582="TRUE"),Settings!$C$6,Settings!$C$7)*100)</f>
        <v/>
      </c>
      <c r="AH3582" s="18" t="str">
        <f aca="false">IF($D3582="","",IF(COUNTIF($D$2:$D3582,$D3582)=1,1,0))</f>
        <v/>
      </c>
      <c r="AI3582" s="18" t="str">
        <f aca="false">IF($AH3582=1,SUMPRODUCT(--($AK$2:$AK$4001&lt;$AK3582))+1,"")</f>
        <v/>
      </c>
      <c r="AJ3582" s="18" t="str">
        <f aca="false">IF($D3582="","",IF(OR($R3582=TRUE(),$R3582="TRUE"),1,0))</f>
        <v/>
      </c>
      <c r="AK3582" s="18" t="str">
        <f aca="false">IF($AH3582=1,IFERROR(VALUE(MID($D3582,2,20)),1000000000)+ROW()/10000000,"")</f>
        <v/>
      </c>
    </row>
    <row r="3583" customFormat="false" ht="15" hidden="false" customHeight="false" outlineLevel="0" collapsed="false">
      <c r="F3583" s="15"/>
      <c r="N3583" s="16" t="str">
        <f aca="false">IF($D3583="","",M3583*Y3583/100)</f>
        <v/>
      </c>
      <c r="V3583" s="16" t="str">
        <f aca="false">IF($D3583="","",Y3583*AB3583/100)</f>
        <v/>
      </c>
      <c r="W3583" s="16" t="str">
        <f aca="false">IF($D3583="","",Y3583-V3583)</f>
        <v/>
      </c>
      <c r="X3583" s="16" t="str">
        <f aca="false">IF($D3583="","",W3583-N3583)</f>
        <v/>
      </c>
      <c r="AB3583" s="17" t="str">
        <f aca="false">IF($D3583="","",IF(OR($R3583=TRUE(),$R3583="TRUE"),Settings!$C$6,Settings!$C$7)*100)</f>
        <v/>
      </c>
      <c r="AH3583" s="18" t="str">
        <f aca="false">IF($D3583="","",IF(COUNTIF($D$2:$D3583,$D3583)=1,1,0))</f>
        <v/>
      </c>
      <c r="AI3583" s="18" t="str">
        <f aca="false">IF($AH3583=1,SUMPRODUCT(--($AK$2:$AK$4001&lt;$AK3583))+1,"")</f>
        <v/>
      </c>
      <c r="AJ3583" s="18" t="str">
        <f aca="false">IF($D3583="","",IF(OR($R3583=TRUE(),$R3583="TRUE"),1,0))</f>
        <v/>
      </c>
      <c r="AK3583" s="18" t="str">
        <f aca="false">IF($AH3583=1,IFERROR(VALUE(MID($D3583,2,20)),1000000000)+ROW()/10000000,"")</f>
        <v/>
      </c>
    </row>
    <row r="3584" customFormat="false" ht="15" hidden="false" customHeight="false" outlineLevel="0" collapsed="false">
      <c r="F3584" s="15"/>
      <c r="N3584" s="16" t="str">
        <f aca="false">IF($D3584="","",M3584*Y3584/100)</f>
        <v/>
      </c>
      <c r="V3584" s="16" t="str">
        <f aca="false">IF($D3584="","",Y3584*AB3584/100)</f>
        <v/>
      </c>
      <c r="W3584" s="16" t="str">
        <f aca="false">IF($D3584="","",Y3584-V3584)</f>
        <v/>
      </c>
      <c r="X3584" s="16" t="str">
        <f aca="false">IF($D3584="","",W3584-N3584)</f>
        <v/>
      </c>
      <c r="AB3584" s="17" t="str">
        <f aca="false">IF($D3584="","",IF(OR($R3584=TRUE(),$R3584="TRUE"),Settings!$C$6,Settings!$C$7)*100)</f>
        <v/>
      </c>
      <c r="AH3584" s="18" t="str">
        <f aca="false">IF($D3584="","",IF(COUNTIF($D$2:$D3584,$D3584)=1,1,0))</f>
        <v/>
      </c>
      <c r="AI3584" s="18" t="str">
        <f aca="false">IF($AH3584=1,SUMPRODUCT(--($AK$2:$AK$4001&lt;$AK3584))+1,"")</f>
        <v/>
      </c>
      <c r="AJ3584" s="18" t="str">
        <f aca="false">IF($D3584="","",IF(OR($R3584=TRUE(),$R3584="TRUE"),1,0))</f>
        <v/>
      </c>
      <c r="AK3584" s="18" t="str">
        <f aca="false">IF($AH3584=1,IFERROR(VALUE(MID($D3584,2,20)),1000000000)+ROW()/10000000,"")</f>
        <v/>
      </c>
    </row>
    <row r="3585" customFormat="false" ht="15" hidden="false" customHeight="false" outlineLevel="0" collapsed="false">
      <c r="F3585" s="15"/>
      <c r="N3585" s="16" t="str">
        <f aca="false">IF($D3585="","",M3585*Y3585/100)</f>
        <v/>
      </c>
      <c r="V3585" s="16" t="str">
        <f aca="false">IF($D3585="","",Y3585*AB3585/100)</f>
        <v/>
      </c>
      <c r="W3585" s="16" t="str">
        <f aca="false">IF($D3585="","",Y3585-V3585)</f>
        <v/>
      </c>
      <c r="X3585" s="16" t="str">
        <f aca="false">IF($D3585="","",W3585-N3585)</f>
        <v/>
      </c>
      <c r="AB3585" s="17" t="str">
        <f aca="false">IF($D3585="","",IF(OR($R3585=TRUE(),$R3585="TRUE"),Settings!$C$6,Settings!$C$7)*100)</f>
        <v/>
      </c>
      <c r="AH3585" s="18" t="str">
        <f aca="false">IF($D3585="","",IF(COUNTIF($D$2:$D3585,$D3585)=1,1,0))</f>
        <v/>
      </c>
      <c r="AI3585" s="18" t="str">
        <f aca="false">IF($AH3585=1,SUMPRODUCT(--($AK$2:$AK$4001&lt;$AK3585))+1,"")</f>
        <v/>
      </c>
      <c r="AJ3585" s="18" t="str">
        <f aca="false">IF($D3585="","",IF(OR($R3585=TRUE(),$R3585="TRUE"),1,0))</f>
        <v/>
      </c>
      <c r="AK3585" s="18" t="str">
        <f aca="false">IF($AH3585=1,IFERROR(VALUE(MID($D3585,2,20)),1000000000)+ROW()/10000000,"")</f>
        <v/>
      </c>
    </row>
    <row r="3586" customFormat="false" ht="15" hidden="false" customHeight="false" outlineLevel="0" collapsed="false">
      <c r="F3586" s="15"/>
      <c r="N3586" s="16" t="str">
        <f aca="false">IF($D3586="","",M3586*Y3586/100)</f>
        <v/>
      </c>
      <c r="V3586" s="16" t="str">
        <f aca="false">IF($D3586="","",Y3586*AB3586/100)</f>
        <v/>
      </c>
      <c r="W3586" s="16" t="str">
        <f aca="false">IF($D3586="","",Y3586-V3586)</f>
        <v/>
      </c>
      <c r="X3586" s="16" t="str">
        <f aca="false">IF($D3586="","",W3586-N3586)</f>
        <v/>
      </c>
      <c r="AB3586" s="17" t="str">
        <f aca="false">IF($D3586="","",IF(OR($R3586=TRUE(),$R3586="TRUE"),Settings!$C$6,Settings!$C$7)*100)</f>
        <v/>
      </c>
      <c r="AH3586" s="18" t="str">
        <f aca="false">IF($D3586="","",IF(COUNTIF($D$2:$D3586,$D3586)=1,1,0))</f>
        <v/>
      </c>
      <c r="AI3586" s="18" t="str">
        <f aca="false">IF($AH3586=1,SUMPRODUCT(--($AK$2:$AK$4001&lt;$AK3586))+1,"")</f>
        <v/>
      </c>
      <c r="AJ3586" s="18" t="str">
        <f aca="false">IF($D3586="","",IF(OR($R3586=TRUE(),$R3586="TRUE"),1,0))</f>
        <v/>
      </c>
      <c r="AK3586" s="18" t="str">
        <f aca="false">IF($AH3586=1,IFERROR(VALUE(MID($D3586,2,20)),1000000000)+ROW()/10000000,"")</f>
        <v/>
      </c>
    </row>
    <row r="3587" customFormat="false" ht="15" hidden="false" customHeight="false" outlineLevel="0" collapsed="false">
      <c r="F3587" s="15"/>
      <c r="N3587" s="16" t="str">
        <f aca="false">IF($D3587="","",M3587*Y3587/100)</f>
        <v/>
      </c>
      <c r="V3587" s="16" t="str">
        <f aca="false">IF($D3587="","",Y3587*AB3587/100)</f>
        <v/>
      </c>
      <c r="W3587" s="16" t="str">
        <f aca="false">IF($D3587="","",Y3587-V3587)</f>
        <v/>
      </c>
      <c r="X3587" s="16" t="str">
        <f aca="false">IF($D3587="","",W3587-N3587)</f>
        <v/>
      </c>
      <c r="AB3587" s="17" t="str">
        <f aca="false">IF($D3587="","",IF(OR($R3587=TRUE(),$R3587="TRUE"),Settings!$C$6,Settings!$C$7)*100)</f>
        <v/>
      </c>
      <c r="AH3587" s="18" t="str">
        <f aca="false">IF($D3587="","",IF(COUNTIF($D$2:$D3587,$D3587)=1,1,0))</f>
        <v/>
      </c>
      <c r="AI3587" s="18" t="str">
        <f aca="false">IF($AH3587=1,SUMPRODUCT(--($AK$2:$AK$4001&lt;$AK3587))+1,"")</f>
        <v/>
      </c>
      <c r="AJ3587" s="18" t="str">
        <f aca="false">IF($D3587="","",IF(OR($R3587=TRUE(),$R3587="TRUE"),1,0))</f>
        <v/>
      </c>
      <c r="AK3587" s="18" t="str">
        <f aca="false">IF($AH3587=1,IFERROR(VALUE(MID($D3587,2,20)),1000000000)+ROW()/10000000,"")</f>
        <v/>
      </c>
    </row>
    <row r="3588" customFormat="false" ht="15" hidden="false" customHeight="false" outlineLevel="0" collapsed="false">
      <c r="F3588" s="15"/>
      <c r="N3588" s="16" t="str">
        <f aca="false">IF($D3588="","",M3588*Y3588/100)</f>
        <v/>
      </c>
      <c r="V3588" s="16" t="str">
        <f aca="false">IF($D3588="","",Y3588*AB3588/100)</f>
        <v/>
      </c>
      <c r="W3588" s="16" t="str">
        <f aca="false">IF($D3588="","",Y3588-V3588)</f>
        <v/>
      </c>
      <c r="X3588" s="16" t="str">
        <f aca="false">IF($D3588="","",W3588-N3588)</f>
        <v/>
      </c>
      <c r="AB3588" s="17" t="str">
        <f aca="false">IF($D3588="","",IF(OR($R3588=TRUE(),$R3588="TRUE"),Settings!$C$6,Settings!$C$7)*100)</f>
        <v/>
      </c>
      <c r="AH3588" s="18" t="str">
        <f aca="false">IF($D3588="","",IF(COUNTIF($D$2:$D3588,$D3588)=1,1,0))</f>
        <v/>
      </c>
      <c r="AI3588" s="18" t="str">
        <f aca="false">IF($AH3588=1,SUMPRODUCT(--($AK$2:$AK$4001&lt;$AK3588))+1,"")</f>
        <v/>
      </c>
      <c r="AJ3588" s="18" t="str">
        <f aca="false">IF($D3588="","",IF(OR($R3588=TRUE(),$R3588="TRUE"),1,0))</f>
        <v/>
      </c>
      <c r="AK3588" s="18" t="str">
        <f aca="false">IF($AH3588=1,IFERROR(VALUE(MID($D3588,2,20)),1000000000)+ROW()/10000000,"")</f>
        <v/>
      </c>
    </row>
    <row r="3589" customFormat="false" ht="15" hidden="false" customHeight="false" outlineLevel="0" collapsed="false">
      <c r="F3589" s="15"/>
      <c r="N3589" s="16" t="str">
        <f aca="false">IF($D3589="","",M3589*Y3589/100)</f>
        <v/>
      </c>
      <c r="V3589" s="16" t="str">
        <f aca="false">IF($D3589="","",Y3589*AB3589/100)</f>
        <v/>
      </c>
      <c r="W3589" s="16" t="str">
        <f aca="false">IF($D3589="","",Y3589-V3589)</f>
        <v/>
      </c>
      <c r="X3589" s="16" t="str">
        <f aca="false">IF($D3589="","",W3589-N3589)</f>
        <v/>
      </c>
      <c r="AB3589" s="17" t="str">
        <f aca="false">IF($D3589="","",IF(OR($R3589=TRUE(),$R3589="TRUE"),Settings!$C$6,Settings!$C$7)*100)</f>
        <v/>
      </c>
      <c r="AH3589" s="18" t="str">
        <f aca="false">IF($D3589="","",IF(COUNTIF($D$2:$D3589,$D3589)=1,1,0))</f>
        <v/>
      </c>
      <c r="AI3589" s="18" t="str">
        <f aca="false">IF($AH3589=1,SUMPRODUCT(--($AK$2:$AK$4001&lt;$AK3589))+1,"")</f>
        <v/>
      </c>
      <c r="AJ3589" s="18" t="str">
        <f aca="false">IF($D3589="","",IF(OR($R3589=TRUE(),$R3589="TRUE"),1,0))</f>
        <v/>
      </c>
      <c r="AK3589" s="18" t="str">
        <f aca="false">IF($AH3589=1,IFERROR(VALUE(MID($D3589,2,20)),1000000000)+ROW()/10000000,"")</f>
        <v/>
      </c>
    </row>
    <row r="3590" customFormat="false" ht="15" hidden="false" customHeight="false" outlineLevel="0" collapsed="false">
      <c r="F3590" s="15"/>
      <c r="N3590" s="16" t="str">
        <f aca="false">IF($D3590="","",M3590*Y3590/100)</f>
        <v/>
      </c>
      <c r="V3590" s="16" t="str">
        <f aca="false">IF($D3590="","",Y3590*AB3590/100)</f>
        <v/>
      </c>
      <c r="W3590" s="16" t="str">
        <f aca="false">IF($D3590="","",Y3590-V3590)</f>
        <v/>
      </c>
      <c r="X3590" s="16" t="str">
        <f aca="false">IF($D3590="","",W3590-N3590)</f>
        <v/>
      </c>
      <c r="AB3590" s="17" t="str">
        <f aca="false">IF($D3590="","",IF(OR($R3590=TRUE(),$R3590="TRUE"),Settings!$C$6,Settings!$C$7)*100)</f>
        <v/>
      </c>
      <c r="AH3590" s="18" t="str">
        <f aca="false">IF($D3590="","",IF(COUNTIF($D$2:$D3590,$D3590)=1,1,0))</f>
        <v/>
      </c>
      <c r="AI3590" s="18" t="str">
        <f aca="false">IF($AH3590=1,SUMPRODUCT(--($AK$2:$AK$4001&lt;$AK3590))+1,"")</f>
        <v/>
      </c>
      <c r="AJ3590" s="18" t="str">
        <f aca="false">IF($D3590="","",IF(OR($R3590=TRUE(),$R3590="TRUE"),1,0))</f>
        <v/>
      </c>
      <c r="AK3590" s="18" t="str">
        <f aca="false">IF($AH3590=1,IFERROR(VALUE(MID($D3590,2,20)),1000000000)+ROW()/10000000,"")</f>
        <v/>
      </c>
    </row>
    <row r="3591" customFormat="false" ht="15" hidden="false" customHeight="false" outlineLevel="0" collapsed="false">
      <c r="F3591" s="15"/>
      <c r="N3591" s="16" t="str">
        <f aca="false">IF($D3591="","",M3591*Y3591/100)</f>
        <v/>
      </c>
      <c r="V3591" s="16" t="str">
        <f aca="false">IF($D3591="","",Y3591*AB3591/100)</f>
        <v/>
      </c>
      <c r="W3591" s="16" t="str">
        <f aca="false">IF($D3591="","",Y3591-V3591)</f>
        <v/>
      </c>
      <c r="X3591" s="16" t="str">
        <f aca="false">IF($D3591="","",W3591-N3591)</f>
        <v/>
      </c>
      <c r="AB3591" s="17" t="str">
        <f aca="false">IF($D3591="","",IF(OR($R3591=TRUE(),$R3591="TRUE"),Settings!$C$6,Settings!$C$7)*100)</f>
        <v/>
      </c>
      <c r="AH3591" s="18" t="str">
        <f aca="false">IF($D3591="","",IF(COUNTIF($D$2:$D3591,$D3591)=1,1,0))</f>
        <v/>
      </c>
      <c r="AI3591" s="18" t="str">
        <f aca="false">IF($AH3591=1,SUMPRODUCT(--($AK$2:$AK$4001&lt;$AK3591))+1,"")</f>
        <v/>
      </c>
      <c r="AJ3591" s="18" t="str">
        <f aca="false">IF($D3591="","",IF(OR($R3591=TRUE(),$R3591="TRUE"),1,0))</f>
        <v/>
      </c>
      <c r="AK3591" s="18" t="str">
        <f aca="false">IF($AH3591=1,IFERROR(VALUE(MID($D3591,2,20)),1000000000)+ROW()/10000000,"")</f>
        <v/>
      </c>
    </row>
    <row r="3592" customFormat="false" ht="15" hidden="false" customHeight="false" outlineLevel="0" collapsed="false">
      <c r="F3592" s="15"/>
      <c r="N3592" s="16" t="str">
        <f aca="false">IF($D3592="","",M3592*Y3592/100)</f>
        <v/>
      </c>
      <c r="V3592" s="16" t="str">
        <f aca="false">IF($D3592="","",Y3592*AB3592/100)</f>
        <v/>
      </c>
      <c r="W3592" s="16" t="str">
        <f aca="false">IF($D3592="","",Y3592-V3592)</f>
        <v/>
      </c>
      <c r="X3592" s="16" t="str">
        <f aca="false">IF($D3592="","",W3592-N3592)</f>
        <v/>
      </c>
      <c r="AB3592" s="17" t="str">
        <f aca="false">IF($D3592="","",IF(OR($R3592=TRUE(),$R3592="TRUE"),Settings!$C$6,Settings!$C$7)*100)</f>
        <v/>
      </c>
      <c r="AH3592" s="18" t="str">
        <f aca="false">IF($D3592="","",IF(COUNTIF($D$2:$D3592,$D3592)=1,1,0))</f>
        <v/>
      </c>
      <c r="AI3592" s="18" t="str">
        <f aca="false">IF($AH3592=1,SUMPRODUCT(--($AK$2:$AK$4001&lt;$AK3592))+1,"")</f>
        <v/>
      </c>
      <c r="AJ3592" s="18" t="str">
        <f aca="false">IF($D3592="","",IF(OR($R3592=TRUE(),$R3592="TRUE"),1,0))</f>
        <v/>
      </c>
      <c r="AK3592" s="18" t="str">
        <f aca="false">IF($AH3592=1,IFERROR(VALUE(MID($D3592,2,20)),1000000000)+ROW()/10000000,"")</f>
        <v/>
      </c>
    </row>
    <row r="3593" customFormat="false" ht="15" hidden="false" customHeight="false" outlineLevel="0" collapsed="false">
      <c r="F3593" s="15"/>
      <c r="N3593" s="16" t="str">
        <f aca="false">IF($D3593="","",M3593*Y3593/100)</f>
        <v/>
      </c>
      <c r="V3593" s="16" t="str">
        <f aca="false">IF($D3593="","",Y3593*AB3593/100)</f>
        <v/>
      </c>
      <c r="W3593" s="16" t="str">
        <f aca="false">IF($D3593="","",Y3593-V3593)</f>
        <v/>
      </c>
      <c r="X3593" s="16" t="str">
        <f aca="false">IF($D3593="","",W3593-N3593)</f>
        <v/>
      </c>
      <c r="AB3593" s="17" t="str">
        <f aca="false">IF($D3593="","",IF(OR($R3593=TRUE(),$R3593="TRUE"),Settings!$C$6,Settings!$C$7)*100)</f>
        <v/>
      </c>
      <c r="AH3593" s="18" t="str">
        <f aca="false">IF($D3593="","",IF(COUNTIF($D$2:$D3593,$D3593)=1,1,0))</f>
        <v/>
      </c>
      <c r="AI3593" s="18" t="str">
        <f aca="false">IF($AH3593=1,SUMPRODUCT(--($AK$2:$AK$4001&lt;$AK3593))+1,"")</f>
        <v/>
      </c>
      <c r="AJ3593" s="18" t="str">
        <f aca="false">IF($D3593="","",IF(OR($R3593=TRUE(),$R3593="TRUE"),1,0))</f>
        <v/>
      </c>
      <c r="AK3593" s="18" t="str">
        <f aca="false">IF($AH3593=1,IFERROR(VALUE(MID($D3593,2,20)),1000000000)+ROW()/10000000,"")</f>
        <v/>
      </c>
    </row>
    <row r="3594" customFormat="false" ht="15" hidden="false" customHeight="false" outlineLevel="0" collapsed="false">
      <c r="F3594" s="15"/>
      <c r="N3594" s="16" t="str">
        <f aca="false">IF($D3594="","",M3594*Y3594/100)</f>
        <v/>
      </c>
      <c r="V3594" s="16" t="str">
        <f aca="false">IF($D3594="","",Y3594*AB3594/100)</f>
        <v/>
      </c>
      <c r="W3594" s="16" t="str">
        <f aca="false">IF($D3594="","",Y3594-V3594)</f>
        <v/>
      </c>
      <c r="X3594" s="16" t="str">
        <f aca="false">IF($D3594="","",W3594-N3594)</f>
        <v/>
      </c>
      <c r="AB3594" s="17" t="str">
        <f aca="false">IF($D3594="","",IF(OR($R3594=TRUE(),$R3594="TRUE"),Settings!$C$6,Settings!$C$7)*100)</f>
        <v/>
      </c>
      <c r="AH3594" s="18" t="str">
        <f aca="false">IF($D3594="","",IF(COUNTIF($D$2:$D3594,$D3594)=1,1,0))</f>
        <v/>
      </c>
      <c r="AI3594" s="18" t="str">
        <f aca="false">IF($AH3594=1,SUMPRODUCT(--($AK$2:$AK$4001&lt;$AK3594))+1,"")</f>
        <v/>
      </c>
      <c r="AJ3594" s="18" t="str">
        <f aca="false">IF($D3594="","",IF(OR($R3594=TRUE(),$R3594="TRUE"),1,0))</f>
        <v/>
      </c>
      <c r="AK3594" s="18" t="str">
        <f aca="false">IF($AH3594=1,IFERROR(VALUE(MID($D3594,2,20)),1000000000)+ROW()/10000000,"")</f>
        <v/>
      </c>
    </row>
    <row r="3595" customFormat="false" ht="15" hidden="false" customHeight="false" outlineLevel="0" collapsed="false">
      <c r="F3595" s="15"/>
      <c r="N3595" s="16" t="str">
        <f aca="false">IF($D3595="","",M3595*Y3595/100)</f>
        <v/>
      </c>
      <c r="V3595" s="16" t="str">
        <f aca="false">IF($D3595="","",Y3595*AB3595/100)</f>
        <v/>
      </c>
      <c r="W3595" s="16" t="str">
        <f aca="false">IF($D3595="","",Y3595-V3595)</f>
        <v/>
      </c>
      <c r="X3595" s="16" t="str">
        <f aca="false">IF($D3595="","",W3595-N3595)</f>
        <v/>
      </c>
      <c r="AB3595" s="17" t="str">
        <f aca="false">IF($D3595="","",IF(OR($R3595=TRUE(),$R3595="TRUE"),Settings!$C$6,Settings!$C$7)*100)</f>
        <v/>
      </c>
      <c r="AH3595" s="18" t="str">
        <f aca="false">IF($D3595="","",IF(COUNTIF($D$2:$D3595,$D3595)=1,1,0))</f>
        <v/>
      </c>
      <c r="AI3595" s="18" t="str">
        <f aca="false">IF($AH3595=1,SUMPRODUCT(--($AK$2:$AK$4001&lt;$AK3595))+1,"")</f>
        <v/>
      </c>
      <c r="AJ3595" s="18" t="str">
        <f aca="false">IF($D3595="","",IF(OR($R3595=TRUE(),$R3595="TRUE"),1,0))</f>
        <v/>
      </c>
      <c r="AK3595" s="18" t="str">
        <f aca="false">IF($AH3595=1,IFERROR(VALUE(MID($D3595,2,20)),1000000000)+ROW()/10000000,"")</f>
        <v/>
      </c>
    </row>
    <row r="3596" customFormat="false" ht="15" hidden="false" customHeight="false" outlineLevel="0" collapsed="false">
      <c r="F3596" s="15"/>
      <c r="N3596" s="16" t="str">
        <f aca="false">IF($D3596="","",M3596*Y3596/100)</f>
        <v/>
      </c>
      <c r="V3596" s="16" t="str">
        <f aca="false">IF($D3596="","",Y3596*AB3596/100)</f>
        <v/>
      </c>
      <c r="W3596" s="16" t="str">
        <f aca="false">IF($D3596="","",Y3596-V3596)</f>
        <v/>
      </c>
      <c r="X3596" s="16" t="str">
        <f aca="false">IF($D3596="","",W3596-N3596)</f>
        <v/>
      </c>
      <c r="AB3596" s="17" t="str">
        <f aca="false">IF($D3596="","",IF(OR($R3596=TRUE(),$R3596="TRUE"),Settings!$C$6,Settings!$C$7)*100)</f>
        <v/>
      </c>
      <c r="AH3596" s="18" t="str">
        <f aca="false">IF($D3596="","",IF(COUNTIF($D$2:$D3596,$D3596)=1,1,0))</f>
        <v/>
      </c>
      <c r="AI3596" s="18" t="str">
        <f aca="false">IF($AH3596=1,SUMPRODUCT(--($AK$2:$AK$4001&lt;$AK3596))+1,"")</f>
        <v/>
      </c>
      <c r="AJ3596" s="18" t="str">
        <f aca="false">IF($D3596="","",IF(OR($R3596=TRUE(),$R3596="TRUE"),1,0))</f>
        <v/>
      </c>
      <c r="AK3596" s="18" t="str">
        <f aca="false">IF($AH3596=1,IFERROR(VALUE(MID($D3596,2,20)),1000000000)+ROW()/10000000,"")</f>
        <v/>
      </c>
    </row>
    <row r="3597" customFormat="false" ht="15" hidden="false" customHeight="false" outlineLevel="0" collapsed="false">
      <c r="F3597" s="15"/>
      <c r="N3597" s="16" t="str">
        <f aca="false">IF($D3597="","",M3597*Y3597/100)</f>
        <v/>
      </c>
      <c r="V3597" s="16" t="str">
        <f aca="false">IF($D3597="","",Y3597*AB3597/100)</f>
        <v/>
      </c>
      <c r="W3597" s="16" t="str">
        <f aca="false">IF($D3597="","",Y3597-V3597)</f>
        <v/>
      </c>
      <c r="X3597" s="16" t="str">
        <f aca="false">IF($D3597="","",W3597-N3597)</f>
        <v/>
      </c>
      <c r="AB3597" s="17" t="str">
        <f aca="false">IF($D3597="","",IF(OR($R3597=TRUE(),$R3597="TRUE"),Settings!$C$6,Settings!$C$7)*100)</f>
        <v/>
      </c>
      <c r="AH3597" s="18" t="str">
        <f aca="false">IF($D3597="","",IF(COUNTIF($D$2:$D3597,$D3597)=1,1,0))</f>
        <v/>
      </c>
      <c r="AI3597" s="18" t="str">
        <f aca="false">IF($AH3597=1,SUMPRODUCT(--($AK$2:$AK$4001&lt;$AK3597))+1,"")</f>
        <v/>
      </c>
      <c r="AJ3597" s="18" t="str">
        <f aca="false">IF($D3597="","",IF(OR($R3597=TRUE(),$R3597="TRUE"),1,0))</f>
        <v/>
      </c>
      <c r="AK3597" s="18" t="str">
        <f aca="false">IF($AH3597=1,IFERROR(VALUE(MID($D3597,2,20)),1000000000)+ROW()/10000000,"")</f>
        <v/>
      </c>
    </row>
    <row r="3598" customFormat="false" ht="15" hidden="false" customHeight="false" outlineLevel="0" collapsed="false">
      <c r="F3598" s="15"/>
      <c r="N3598" s="16" t="str">
        <f aca="false">IF($D3598="","",M3598*Y3598/100)</f>
        <v/>
      </c>
      <c r="V3598" s="16" t="str">
        <f aca="false">IF($D3598="","",Y3598*AB3598/100)</f>
        <v/>
      </c>
      <c r="W3598" s="16" t="str">
        <f aca="false">IF($D3598="","",Y3598-V3598)</f>
        <v/>
      </c>
      <c r="X3598" s="16" t="str">
        <f aca="false">IF($D3598="","",W3598-N3598)</f>
        <v/>
      </c>
      <c r="AB3598" s="17" t="str">
        <f aca="false">IF($D3598="","",IF(OR($R3598=TRUE(),$R3598="TRUE"),Settings!$C$6,Settings!$C$7)*100)</f>
        <v/>
      </c>
      <c r="AH3598" s="18" t="str">
        <f aca="false">IF($D3598="","",IF(COUNTIF($D$2:$D3598,$D3598)=1,1,0))</f>
        <v/>
      </c>
      <c r="AI3598" s="18" t="str">
        <f aca="false">IF($AH3598=1,SUMPRODUCT(--($AK$2:$AK$4001&lt;$AK3598))+1,"")</f>
        <v/>
      </c>
      <c r="AJ3598" s="18" t="str">
        <f aca="false">IF($D3598="","",IF(OR($R3598=TRUE(),$R3598="TRUE"),1,0))</f>
        <v/>
      </c>
      <c r="AK3598" s="18" t="str">
        <f aca="false">IF($AH3598=1,IFERROR(VALUE(MID($D3598,2,20)),1000000000)+ROW()/10000000,"")</f>
        <v/>
      </c>
    </row>
    <row r="3599" customFormat="false" ht="15" hidden="false" customHeight="false" outlineLevel="0" collapsed="false">
      <c r="F3599" s="15"/>
      <c r="N3599" s="16" t="str">
        <f aca="false">IF($D3599="","",M3599*Y3599/100)</f>
        <v/>
      </c>
      <c r="V3599" s="16" t="str">
        <f aca="false">IF($D3599="","",Y3599*AB3599/100)</f>
        <v/>
      </c>
      <c r="W3599" s="16" t="str">
        <f aca="false">IF($D3599="","",Y3599-V3599)</f>
        <v/>
      </c>
      <c r="X3599" s="16" t="str">
        <f aca="false">IF($D3599="","",W3599-N3599)</f>
        <v/>
      </c>
      <c r="AB3599" s="17" t="str">
        <f aca="false">IF($D3599="","",IF(OR($R3599=TRUE(),$R3599="TRUE"),Settings!$C$6,Settings!$C$7)*100)</f>
        <v/>
      </c>
      <c r="AH3599" s="18" t="str">
        <f aca="false">IF($D3599="","",IF(COUNTIF($D$2:$D3599,$D3599)=1,1,0))</f>
        <v/>
      </c>
      <c r="AI3599" s="18" t="str">
        <f aca="false">IF($AH3599=1,SUMPRODUCT(--($AK$2:$AK$4001&lt;$AK3599))+1,"")</f>
        <v/>
      </c>
      <c r="AJ3599" s="18" t="str">
        <f aca="false">IF($D3599="","",IF(OR($R3599=TRUE(),$R3599="TRUE"),1,0))</f>
        <v/>
      </c>
      <c r="AK3599" s="18" t="str">
        <f aca="false">IF($AH3599=1,IFERROR(VALUE(MID($D3599,2,20)),1000000000)+ROW()/10000000,"")</f>
        <v/>
      </c>
    </row>
    <row r="3600" customFormat="false" ht="15" hidden="false" customHeight="false" outlineLevel="0" collapsed="false">
      <c r="F3600" s="15"/>
      <c r="N3600" s="16" t="str">
        <f aca="false">IF($D3600="","",M3600*Y3600/100)</f>
        <v/>
      </c>
      <c r="V3600" s="16" t="str">
        <f aca="false">IF($D3600="","",Y3600*AB3600/100)</f>
        <v/>
      </c>
      <c r="W3600" s="16" t="str">
        <f aca="false">IF($D3600="","",Y3600-V3600)</f>
        <v/>
      </c>
      <c r="X3600" s="16" t="str">
        <f aca="false">IF($D3600="","",W3600-N3600)</f>
        <v/>
      </c>
      <c r="AB3600" s="17" t="str">
        <f aca="false">IF($D3600="","",IF(OR($R3600=TRUE(),$R3600="TRUE"),Settings!$C$6,Settings!$C$7)*100)</f>
        <v/>
      </c>
      <c r="AH3600" s="18" t="str">
        <f aca="false">IF($D3600="","",IF(COUNTIF($D$2:$D3600,$D3600)=1,1,0))</f>
        <v/>
      </c>
      <c r="AI3600" s="18" t="str">
        <f aca="false">IF($AH3600=1,SUMPRODUCT(--($AK$2:$AK$4001&lt;$AK3600))+1,"")</f>
        <v/>
      </c>
      <c r="AJ3600" s="18" t="str">
        <f aca="false">IF($D3600="","",IF(OR($R3600=TRUE(),$R3600="TRUE"),1,0))</f>
        <v/>
      </c>
      <c r="AK3600" s="18" t="str">
        <f aca="false">IF($AH3600=1,IFERROR(VALUE(MID($D3600,2,20)),1000000000)+ROW()/10000000,"")</f>
        <v/>
      </c>
    </row>
    <row r="3601" customFormat="false" ht="15" hidden="false" customHeight="false" outlineLevel="0" collapsed="false">
      <c r="F3601" s="15"/>
      <c r="N3601" s="16" t="str">
        <f aca="false">IF($D3601="","",M3601*Y3601/100)</f>
        <v/>
      </c>
      <c r="V3601" s="16" t="str">
        <f aca="false">IF($D3601="","",Y3601*AB3601/100)</f>
        <v/>
      </c>
      <c r="W3601" s="16" t="str">
        <f aca="false">IF($D3601="","",Y3601-V3601)</f>
        <v/>
      </c>
      <c r="X3601" s="16" t="str">
        <f aca="false">IF($D3601="","",W3601-N3601)</f>
        <v/>
      </c>
      <c r="AB3601" s="17" t="str">
        <f aca="false">IF($D3601="","",IF(OR($R3601=TRUE(),$R3601="TRUE"),Settings!$C$6,Settings!$C$7)*100)</f>
        <v/>
      </c>
      <c r="AH3601" s="18" t="str">
        <f aca="false">IF($D3601="","",IF(COUNTIF($D$2:$D3601,$D3601)=1,1,0))</f>
        <v/>
      </c>
      <c r="AI3601" s="18" t="str">
        <f aca="false">IF($AH3601=1,SUMPRODUCT(--($AK$2:$AK$4001&lt;$AK3601))+1,"")</f>
        <v/>
      </c>
      <c r="AJ3601" s="18" t="str">
        <f aca="false">IF($D3601="","",IF(OR($R3601=TRUE(),$R3601="TRUE"),1,0))</f>
        <v/>
      </c>
      <c r="AK3601" s="18" t="str">
        <f aca="false">IF($AH3601=1,IFERROR(VALUE(MID($D3601,2,20)),1000000000)+ROW()/10000000,"")</f>
        <v/>
      </c>
    </row>
    <row r="3602" customFormat="false" ht="15" hidden="false" customHeight="false" outlineLevel="0" collapsed="false">
      <c r="F3602" s="15"/>
      <c r="N3602" s="16" t="str">
        <f aca="false">IF($D3602="","",M3602*Y3602/100)</f>
        <v/>
      </c>
      <c r="V3602" s="16" t="str">
        <f aca="false">IF($D3602="","",Y3602*AB3602/100)</f>
        <v/>
      </c>
      <c r="W3602" s="16" t="str">
        <f aca="false">IF($D3602="","",Y3602-V3602)</f>
        <v/>
      </c>
      <c r="X3602" s="16" t="str">
        <f aca="false">IF($D3602="","",W3602-N3602)</f>
        <v/>
      </c>
      <c r="AB3602" s="17" t="str">
        <f aca="false">IF($D3602="","",IF(OR($R3602=TRUE(),$R3602="TRUE"),Settings!$C$6,Settings!$C$7)*100)</f>
        <v/>
      </c>
      <c r="AH3602" s="18" t="str">
        <f aca="false">IF($D3602="","",IF(COUNTIF($D$2:$D3602,$D3602)=1,1,0))</f>
        <v/>
      </c>
      <c r="AI3602" s="18" t="str">
        <f aca="false">IF($AH3602=1,SUMPRODUCT(--($AK$2:$AK$4001&lt;$AK3602))+1,"")</f>
        <v/>
      </c>
      <c r="AJ3602" s="18" t="str">
        <f aca="false">IF($D3602="","",IF(OR($R3602=TRUE(),$R3602="TRUE"),1,0))</f>
        <v/>
      </c>
      <c r="AK3602" s="18" t="str">
        <f aca="false">IF($AH3602=1,IFERROR(VALUE(MID($D3602,2,20)),1000000000)+ROW()/10000000,"")</f>
        <v/>
      </c>
    </row>
    <row r="3603" customFormat="false" ht="15" hidden="false" customHeight="false" outlineLevel="0" collapsed="false">
      <c r="F3603" s="15"/>
      <c r="N3603" s="16" t="str">
        <f aca="false">IF($D3603="","",M3603*Y3603/100)</f>
        <v/>
      </c>
      <c r="V3603" s="16" t="str">
        <f aca="false">IF($D3603="","",Y3603*AB3603/100)</f>
        <v/>
      </c>
      <c r="W3603" s="16" t="str">
        <f aca="false">IF($D3603="","",Y3603-V3603)</f>
        <v/>
      </c>
      <c r="X3603" s="16" t="str">
        <f aca="false">IF($D3603="","",W3603-N3603)</f>
        <v/>
      </c>
      <c r="AB3603" s="17" t="str">
        <f aca="false">IF($D3603="","",IF(OR($R3603=TRUE(),$R3603="TRUE"),Settings!$C$6,Settings!$C$7)*100)</f>
        <v/>
      </c>
      <c r="AH3603" s="18" t="str">
        <f aca="false">IF($D3603="","",IF(COUNTIF($D$2:$D3603,$D3603)=1,1,0))</f>
        <v/>
      </c>
      <c r="AI3603" s="18" t="str">
        <f aca="false">IF($AH3603=1,SUMPRODUCT(--($AK$2:$AK$4001&lt;$AK3603))+1,"")</f>
        <v/>
      </c>
      <c r="AJ3603" s="18" t="str">
        <f aca="false">IF($D3603="","",IF(OR($R3603=TRUE(),$R3603="TRUE"),1,0))</f>
        <v/>
      </c>
      <c r="AK3603" s="18" t="str">
        <f aca="false">IF($AH3603=1,IFERROR(VALUE(MID($D3603,2,20)),1000000000)+ROW()/10000000,"")</f>
        <v/>
      </c>
    </row>
    <row r="3604" customFormat="false" ht="15" hidden="false" customHeight="false" outlineLevel="0" collapsed="false">
      <c r="F3604" s="15"/>
      <c r="N3604" s="16" t="str">
        <f aca="false">IF($D3604="","",M3604*Y3604/100)</f>
        <v/>
      </c>
      <c r="V3604" s="16" t="str">
        <f aca="false">IF($D3604="","",Y3604*AB3604/100)</f>
        <v/>
      </c>
      <c r="W3604" s="16" t="str">
        <f aca="false">IF($D3604="","",Y3604-V3604)</f>
        <v/>
      </c>
      <c r="X3604" s="16" t="str">
        <f aca="false">IF($D3604="","",W3604-N3604)</f>
        <v/>
      </c>
      <c r="AB3604" s="17" t="str">
        <f aca="false">IF($D3604="","",IF(OR($R3604=TRUE(),$R3604="TRUE"),Settings!$C$6,Settings!$C$7)*100)</f>
        <v/>
      </c>
      <c r="AH3604" s="18" t="str">
        <f aca="false">IF($D3604="","",IF(COUNTIF($D$2:$D3604,$D3604)=1,1,0))</f>
        <v/>
      </c>
      <c r="AI3604" s="18" t="str">
        <f aca="false">IF($AH3604=1,SUMPRODUCT(--($AK$2:$AK$4001&lt;$AK3604))+1,"")</f>
        <v/>
      </c>
      <c r="AJ3604" s="18" t="str">
        <f aca="false">IF($D3604="","",IF(OR($R3604=TRUE(),$R3604="TRUE"),1,0))</f>
        <v/>
      </c>
      <c r="AK3604" s="18" t="str">
        <f aca="false">IF($AH3604=1,IFERROR(VALUE(MID($D3604,2,20)),1000000000)+ROW()/10000000,"")</f>
        <v/>
      </c>
    </row>
    <row r="3605" customFormat="false" ht="15" hidden="false" customHeight="false" outlineLevel="0" collapsed="false">
      <c r="F3605" s="15"/>
      <c r="N3605" s="16" t="str">
        <f aca="false">IF($D3605="","",M3605*Y3605/100)</f>
        <v/>
      </c>
      <c r="V3605" s="16" t="str">
        <f aca="false">IF($D3605="","",Y3605*AB3605/100)</f>
        <v/>
      </c>
      <c r="W3605" s="16" t="str">
        <f aca="false">IF($D3605="","",Y3605-V3605)</f>
        <v/>
      </c>
      <c r="X3605" s="16" t="str">
        <f aca="false">IF($D3605="","",W3605-N3605)</f>
        <v/>
      </c>
      <c r="AB3605" s="17" t="str">
        <f aca="false">IF($D3605="","",IF(OR($R3605=TRUE(),$R3605="TRUE"),Settings!$C$6,Settings!$C$7)*100)</f>
        <v/>
      </c>
      <c r="AH3605" s="18" t="str">
        <f aca="false">IF($D3605="","",IF(COUNTIF($D$2:$D3605,$D3605)=1,1,0))</f>
        <v/>
      </c>
      <c r="AI3605" s="18" t="str">
        <f aca="false">IF($AH3605=1,SUMPRODUCT(--($AK$2:$AK$4001&lt;$AK3605))+1,"")</f>
        <v/>
      </c>
      <c r="AJ3605" s="18" t="str">
        <f aca="false">IF($D3605="","",IF(OR($R3605=TRUE(),$R3605="TRUE"),1,0))</f>
        <v/>
      </c>
      <c r="AK3605" s="18" t="str">
        <f aca="false">IF($AH3605=1,IFERROR(VALUE(MID($D3605,2,20)),1000000000)+ROW()/10000000,"")</f>
        <v/>
      </c>
    </row>
    <row r="3606" customFormat="false" ht="15" hidden="false" customHeight="false" outlineLevel="0" collapsed="false">
      <c r="F3606" s="15"/>
      <c r="N3606" s="16" t="str">
        <f aca="false">IF($D3606="","",M3606*Y3606/100)</f>
        <v/>
      </c>
      <c r="V3606" s="16" t="str">
        <f aca="false">IF($D3606="","",Y3606*AB3606/100)</f>
        <v/>
      </c>
      <c r="W3606" s="16" t="str">
        <f aca="false">IF($D3606="","",Y3606-V3606)</f>
        <v/>
      </c>
      <c r="X3606" s="16" t="str">
        <f aca="false">IF($D3606="","",W3606-N3606)</f>
        <v/>
      </c>
      <c r="AB3606" s="17" t="str">
        <f aca="false">IF($D3606="","",IF(OR($R3606=TRUE(),$R3606="TRUE"),Settings!$C$6,Settings!$C$7)*100)</f>
        <v/>
      </c>
      <c r="AH3606" s="18" t="str">
        <f aca="false">IF($D3606="","",IF(COUNTIF($D$2:$D3606,$D3606)=1,1,0))</f>
        <v/>
      </c>
      <c r="AI3606" s="18" t="str">
        <f aca="false">IF($AH3606=1,SUMPRODUCT(--($AK$2:$AK$4001&lt;$AK3606))+1,"")</f>
        <v/>
      </c>
      <c r="AJ3606" s="18" t="str">
        <f aca="false">IF($D3606="","",IF(OR($R3606=TRUE(),$R3606="TRUE"),1,0))</f>
        <v/>
      </c>
      <c r="AK3606" s="18" t="str">
        <f aca="false">IF($AH3606=1,IFERROR(VALUE(MID($D3606,2,20)),1000000000)+ROW()/10000000,"")</f>
        <v/>
      </c>
    </row>
    <row r="3607" customFormat="false" ht="15" hidden="false" customHeight="false" outlineLevel="0" collapsed="false">
      <c r="F3607" s="15"/>
      <c r="N3607" s="16" t="str">
        <f aca="false">IF($D3607="","",M3607*Y3607/100)</f>
        <v/>
      </c>
      <c r="V3607" s="16" t="str">
        <f aca="false">IF($D3607="","",Y3607*AB3607/100)</f>
        <v/>
      </c>
      <c r="W3607" s="16" t="str">
        <f aca="false">IF($D3607="","",Y3607-V3607)</f>
        <v/>
      </c>
      <c r="X3607" s="16" t="str">
        <f aca="false">IF($D3607="","",W3607-N3607)</f>
        <v/>
      </c>
      <c r="AB3607" s="17" t="str">
        <f aca="false">IF($D3607="","",IF(OR($R3607=TRUE(),$R3607="TRUE"),Settings!$C$6,Settings!$C$7)*100)</f>
        <v/>
      </c>
      <c r="AH3607" s="18" t="str">
        <f aca="false">IF($D3607="","",IF(COUNTIF($D$2:$D3607,$D3607)=1,1,0))</f>
        <v/>
      </c>
      <c r="AI3607" s="18" t="str">
        <f aca="false">IF($AH3607=1,SUMPRODUCT(--($AK$2:$AK$4001&lt;$AK3607))+1,"")</f>
        <v/>
      </c>
      <c r="AJ3607" s="18" t="str">
        <f aca="false">IF($D3607="","",IF(OR($R3607=TRUE(),$R3607="TRUE"),1,0))</f>
        <v/>
      </c>
      <c r="AK3607" s="18" t="str">
        <f aca="false">IF($AH3607=1,IFERROR(VALUE(MID($D3607,2,20)),1000000000)+ROW()/10000000,"")</f>
        <v/>
      </c>
    </row>
    <row r="3608" customFormat="false" ht="15" hidden="false" customHeight="false" outlineLevel="0" collapsed="false">
      <c r="F3608" s="15"/>
      <c r="N3608" s="16" t="str">
        <f aca="false">IF($D3608="","",M3608*Y3608/100)</f>
        <v/>
      </c>
      <c r="V3608" s="16" t="str">
        <f aca="false">IF($D3608="","",Y3608*AB3608/100)</f>
        <v/>
      </c>
      <c r="W3608" s="16" t="str">
        <f aca="false">IF($D3608="","",Y3608-V3608)</f>
        <v/>
      </c>
      <c r="X3608" s="16" t="str">
        <f aca="false">IF($D3608="","",W3608-N3608)</f>
        <v/>
      </c>
      <c r="AB3608" s="17" t="str">
        <f aca="false">IF($D3608="","",IF(OR($R3608=TRUE(),$R3608="TRUE"),Settings!$C$6,Settings!$C$7)*100)</f>
        <v/>
      </c>
      <c r="AH3608" s="18" t="str">
        <f aca="false">IF($D3608="","",IF(COUNTIF($D$2:$D3608,$D3608)=1,1,0))</f>
        <v/>
      </c>
      <c r="AI3608" s="18" t="str">
        <f aca="false">IF($AH3608=1,SUMPRODUCT(--($AK$2:$AK$4001&lt;$AK3608))+1,"")</f>
        <v/>
      </c>
      <c r="AJ3608" s="18" t="str">
        <f aca="false">IF($D3608="","",IF(OR($R3608=TRUE(),$R3608="TRUE"),1,0))</f>
        <v/>
      </c>
      <c r="AK3608" s="18" t="str">
        <f aca="false">IF($AH3608=1,IFERROR(VALUE(MID($D3608,2,20)),1000000000)+ROW()/10000000,"")</f>
        <v/>
      </c>
    </row>
    <row r="3609" customFormat="false" ht="15" hidden="false" customHeight="false" outlineLevel="0" collapsed="false">
      <c r="F3609" s="15"/>
      <c r="N3609" s="16" t="str">
        <f aca="false">IF($D3609="","",M3609*Y3609/100)</f>
        <v/>
      </c>
      <c r="V3609" s="16" t="str">
        <f aca="false">IF($D3609="","",Y3609*AB3609/100)</f>
        <v/>
      </c>
      <c r="W3609" s="16" t="str">
        <f aca="false">IF($D3609="","",Y3609-V3609)</f>
        <v/>
      </c>
      <c r="X3609" s="16" t="str">
        <f aca="false">IF($D3609="","",W3609-N3609)</f>
        <v/>
      </c>
      <c r="AB3609" s="17" t="str">
        <f aca="false">IF($D3609="","",IF(OR($R3609=TRUE(),$R3609="TRUE"),Settings!$C$6,Settings!$C$7)*100)</f>
        <v/>
      </c>
      <c r="AH3609" s="18" t="str">
        <f aca="false">IF($D3609="","",IF(COUNTIF($D$2:$D3609,$D3609)=1,1,0))</f>
        <v/>
      </c>
      <c r="AI3609" s="18" t="str">
        <f aca="false">IF($AH3609=1,SUMPRODUCT(--($AK$2:$AK$4001&lt;$AK3609))+1,"")</f>
        <v/>
      </c>
      <c r="AJ3609" s="18" t="str">
        <f aca="false">IF($D3609="","",IF(OR($R3609=TRUE(),$R3609="TRUE"),1,0))</f>
        <v/>
      </c>
      <c r="AK3609" s="18" t="str">
        <f aca="false">IF($AH3609=1,IFERROR(VALUE(MID($D3609,2,20)),1000000000)+ROW()/10000000,"")</f>
        <v/>
      </c>
    </row>
    <row r="3610" customFormat="false" ht="15" hidden="false" customHeight="false" outlineLevel="0" collapsed="false">
      <c r="F3610" s="15"/>
      <c r="N3610" s="16" t="str">
        <f aca="false">IF($D3610="","",M3610*Y3610/100)</f>
        <v/>
      </c>
      <c r="V3610" s="16" t="str">
        <f aca="false">IF($D3610="","",Y3610*AB3610/100)</f>
        <v/>
      </c>
      <c r="W3610" s="16" t="str">
        <f aca="false">IF($D3610="","",Y3610-V3610)</f>
        <v/>
      </c>
      <c r="X3610" s="16" t="str">
        <f aca="false">IF($D3610="","",W3610-N3610)</f>
        <v/>
      </c>
      <c r="AB3610" s="17" t="str">
        <f aca="false">IF($D3610="","",IF(OR($R3610=TRUE(),$R3610="TRUE"),Settings!$C$6,Settings!$C$7)*100)</f>
        <v/>
      </c>
      <c r="AH3610" s="18" t="str">
        <f aca="false">IF($D3610="","",IF(COUNTIF($D$2:$D3610,$D3610)=1,1,0))</f>
        <v/>
      </c>
      <c r="AI3610" s="18" t="str">
        <f aca="false">IF($AH3610=1,SUMPRODUCT(--($AK$2:$AK$4001&lt;$AK3610))+1,"")</f>
        <v/>
      </c>
      <c r="AJ3610" s="18" t="str">
        <f aca="false">IF($D3610="","",IF(OR($R3610=TRUE(),$R3610="TRUE"),1,0))</f>
        <v/>
      </c>
      <c r="AK3610" s="18" t="str">
        <f aca="false">IF($AH3610=1,IFERROR(VALUE(MID($D3610,2,20)),1000000000)+ROW()/10000000,"")</f>
        <v/>
      </c>
    </row>
    <row r="3611" customFormat="false" ht="15" hidden="false" customHeight="false" outlineLevel="0" collapsed="false">
      <c r="F3611" s="15"/>
      <c r="N3611" s="16" t="str">
        <f aca="false">IF($D3611="","",M3611*Y3611/100)</f>
        <v/>
      </c>
      <c r="V3611" s="16" t="str">
        <f aca="false">IF($D3611="","",Y3611*AB3611/100)</f>
        <v/>
      </c>
      <c r="W3611" s="16" t="str">
        <f aca="false">IF($D3611="","",Y3611-V3611)</f>
        <v/>
      </c>
      <c r="X3611" s="16" t="str">
        <f aca="false">IF($D3611="","",W3611-N3611)</f>
        <v/>
      </c>
      <c r="AB3611" s="17" t="str">
        <f aca="false">IF($D3611="","",IF(OR($R3611=TRUE(),$R3611="TRUE"),Settings!$C$6,Settings!$C$7)*100)</f>
        <v/>
      </c>
      <c r="AH3611" s="18" t="str">
        <f aca="false">IF($D3611="","",IF(COUNTIF($D$2:$D3611,$D3611)=1,1,0))</f>
        <v/>
      </c>
      <c r="AI3611" s="18" t="str">
        <f aca="false">IF($AH3611=1,SUMPRODUCT(--($AK$2:$AK$4001&lt;$AK3611))+1,"")</f>
        <v/>
      </c>
      <c r="AJ3611" s="18" t="str">
        <f aca="false">IF($D3611="","",IF(OR($R3611=TRUE(),$R3611="TRUE"),1,0))</f>
        <v/>
      </c>
      <c r="AK3611" s="18" t="str">
        <f aca="false">IF($AH3611=1,IFERROR(VALUE(MID($D3611,2,20)),1000000000)+ROW()/10000000,"")</f>
        <v/>
      </c>
    </row>
    <row r="3612" customFormat="false" ht="15" hidden="false" customHeight="false" outlineLevel="0" collapsed="false">
      <c r="F3612" s="15"/>
      <c r="N3612" s="16" t="str">
        <f aca="false">IF($D3612="","",M3612*Y3612/100)</f>
        <v/>
      </c>
      <c r="V3612" s="16" t="str">
        <f aca="false">IF($D3612="","",Y3612*AB3612/100)</f>
        <v/>
      </c>
      <c r="W3612" s="16" t="str">
        <f aca="false">IF($D3612="","",Y3612-V3612)</f>
        <v/>
      </c>
      <c r="X3612" s="16" t="str">
        <f aca="false">IF($D3612="","",W3612-N3612)</f>
        <v/>
      </c>
      <c r="AB3612" s="17" t="str">
        <f aca="false">IF($D3612="","",IF(OR($R3612=TRUE(),$R3612="TRUE"),Settings!$C$6,Settings!$C$7)*100)</f>
        <v/>
      </c>
      <c r="AH3612" s="18" t="str">
        <f aca="false">IF($D3612="","",IF(COUNTIF($D$2:$D3612,$D3612)=1,1,0))</f>
        <v/>
      </c>
      <c r="AI3612" s="18" t="str">
        <f aca="false">IF($AH3612=1,SUMPRODUCT(--($AK$2:$AK$4001&lt;$AK3612))+1,"")</f>
        <v/>
      </c>
      <c r="AJ3612" s="18" t="str">
        <f aca="false">IF($D3612="","",IF(OR($R3612=TRUE(),$R3612="TRUE"),1,0))</f>
        <v/>
      </c>
      <c r="AK3612" s="18" t="str">
        <f aca="false">IF($AH3612=1,IFERROR(VALUE(MID($D3612,2,20)),1000000000)+ROW()/10000000,"")</f>
        <v/>
      </c>
    </row>
    <row r="3613" customFormat="false" ht="15" hidden="false" customHeight="false" outlineLevel="0" collapsed="false">
      <c r="F3613" s="15"/>
      <c r="N3613" s="16" t="str">
        <f aca="false">IF($D3613="","",M3613*Y3613/100)</f>
        <v/>
      </c>
      <c r="V3613" s="16" t="str">
        <f aca="false">IF($D3613="","",Y3613*AB3613/100)</f>
        <v/>
      </c>
      <c r="W3613" s="16" t="str">
        <f aca="false">IF($D3613="","",Y3613-V3613)</f>
        <v/>
      </c>
      <c r="X3613" s="16" t="str">
        <f aca="false">IF($D3613="","",W3613-N3613)</f>
        <v/>
      </c>
      <c r="AB3613" s="17" t="str">
        <f aca="false">IF($D3613="","",IF(OR($R3613=TRUE(),$R3613="TRUE"),Settings!$C$6,Settings!$C$7)*100)</f>
        <v/>
      </c>
      <c r="AH3613" s="18" t="str">
        <f aca="false">IF($D3613="","",IF(COUNTIF($D$2:$D3613,$D3613)=1,1,0))</f>
        <v/>
      </c>
      <c r="AI3613" s="18" t="str">
        <f aca="false">IF($AH3613=1,SUMPRODUCT(--($AK$2:$AK$4001&lt;$AK3613))+1,"")</f>
        <v/>
      </c>
      <c r="AJ3613" s="18" t="str">
        <f aca="false">IF($D3613="","",IF(OR($R3613=TRUE(),$R3613="TRUE"),1,0))</f>
        <v/>
      </c>
      <c r="AK3613" s="18" t="str">
        <f aca="false">IF($AH3613=1,IFERROR(VALUE(MID($D3613,2,20)),1000000000)+ROW()/10000000,"")</f>
        <v/>
      </c>
    </row>
    <row r="3614" customFormat="false" ht="15" hidden="false" customHeight="false" outlineLevel="0" collapsed="false">
      <c r="F3614" s="15"/>
      <c r="N3614" s="16" t="str">
        <f aca="false">IF($D3614="","",M3614*Y3614/100)</f>
        <v/>
      </c>
      <c r="V3614" s="16" t="str">
        <f aca="false">IF($D3614="","",Y3614*AB3614/100)</f>
        <v/>
      </c>
      <c r="W3614" s="16" t="str">
        <f aca="false">IF($D3614="","",Y3614-V3614)</f>
        <v/>
      </c>
      <c r="X3614" s="16" t="str">
        <f aca="false">IF($D3614="","",W3614-N3614)</f>
        <v/>
      </c>
      <c r="AB3614" s="17" t="str">
        <f aca="false">IF($D3614="","",IF(OR($R3614=TRUE(),$R3614="TRUE"),Settings!$C$6,Settings!$C$7)*100)</f>
        <v/>
      </c>
      <c r="AH3614" s="18" t="str">
        <f aca="false">IF($D3614="","",IF(COUNTIF($D$2:$D3614,$D3614)=1,1,0))</f>
        <v/>
      </c>
      <c r="AI3614" s="18" t="str">
        <f aca="false">IF($AH3614=1,SUMPRODUCT(--($AK$2:$AK$4001&lt;$AK3614))+1,"")</f>
        <v/>
      </c>
      <c r="AJ3614" s="18" t="str">
        <f aca="false">IF($D3614="","",IF(OR($R3614=TRUE(),$R3614="TRUE"),1,0))</f>
        <v/>
      </c>
      <c r="AK3614" s="18" t="str">
        <f aca="false">IF($AH3614=1,IFERROR(VALUE(MID($D3614,2,20)),1000000000)+ROW()/10000000,"")</f>
        <v/>
      </c>
    </row>
    <row r="3615" customFormat="false" ht="15" hidden="false" customHeight="false" outlineLevel="0" collapsed="false">
      <c r="F3615" s="15"/>
      <c r="N3615" s="16" t="str">
        <f aca="false">IF($D3615="","",M3615*Y3615/100)</f>
        <v/>
      </c>
      <c r="V3615" s="16" t="str">
        <f aca="false">IF($D3615="","",Y3615*AB3615/100)</f>
        <v/>
      </c>
      <c r="W3615" s="16" t="str">
        <f aca="false">IF($D3615="","",Y3615-V3615)</f>
        <v/>
      </c>
      <c r="X3615" s="16" t="str">
        <f aca="false">IF($D3615="","",W3615-N3615)</f>
        <v/>
      </c>
      <c r="AB3615" s="17" t="str">
        <f aca="false">IF($D3615="","",IF(OR($R3615=TRUE(),$R3615="TRUE"),Settings!$C$6,Settings!$C$7)*100)</f>
        <v/>
      </c>
      <c r="AH3615" s="18" t="str">
        <f aca="false">IF($D3615="","",IF(COUNTIF($D$2:$D3615,$D3615)=1,1,0))</f>
        <v/>
      </c>
      <c r="AI3615" s="18" t="str">
        <f aca="false">IF($AH3615=1,SUMPRODUCT(--($AK$2:$AK$4001&lt;$AK3615))+1,"")</f>
        <v/>
      </c>
      <c r="AJ3615" s="18" t="str">
        <f aca="false">IF($D3615="","",IF(OR($R3615=TRUE(),$R3615="TRUE"),1,0))</f>
        <v/>
      </c>
      <c r="AK3615" s="18" t="str">
        <f aca="false">IF($AH3615=1,IFERROR(VALUE(MID($D3615,2,20)),1000000000)+ROW()/10000000,"")</f>
        <v/>
      </c>
    </row>
    <row r="3616" customFormat="false" ht="15" hidden="false" customHeight="false" outlineLevel="0" collapsed="false">
      <c r="F3616" s="15"/>
      <c r="N3616" s="16" t="str">
        <f aca="false">IF($D3616="","",M3616*Y3616/100)</f>
        <v/>
      </c>
      <c r="V3616" s="16" t="str">
        <f aca="false">IF($D3616="","",Y3616*AB3616/100)</f>
        <v/>
      </c>
      <c r="W3616" s="16" t="str">
        <f aca="false">IF($D3616="","",Y3616-V3616)</f>
        <v/>
      </c>
      <c r="X3616" s="16" t="str">
        <f aca="false">IF($D3616="","",W3616-N3616)</f>
        <v/>
      </c>
      <c r="AB3616" s="17" t="str">
        <f aca="false">IF($D3616="","",IF(OR($R3616=TRUE(),$R3616="TRUE"),Settings!$C$6,Settings!$C$7)*100)</f>
        <v/>
      </c>
      <c r="AH3616" s="18" t="str">
        <f aca="false">IF($D3616="","",IF(COUNTIF($D$2:$D3616,$D3616)=1,1,0))</f>
        <v/>
      </c>
      <c r="AI3616" s="18" t="str">
        <f aca="false">IF($AH3616=1,SUMPRODUCT(--($AK$2:$AK$4001&lt;$AK3616))+1,"")</f>
        <v/>
      </c>
      <c r="AJ3616" s="18" t="str">
        <f aca="false">IF($D3616="","",IF(OR($R3616=TRUE(),$R3616="TRUE"),1,0))</f>
        <v/>
      </c>
      <c r="AK3616" s="18" t="str">
        <f aca="false">IF($AH3616=1,IFERROR(VALUE(MID($D3616,2,20)),1000000000)+ROW()/10000000,"")</f>
        <v/>
      </c>
    </row>
    <row r="3617" customFormat="false" ht="15" hidden="false" customHeight="false" outlineLevel="0" collapsed="false">
      <c r="F3617" s="15"/>
      <c r="N3617" s="16" t="str">
        <f aca="false">IF($D3617="","",M3617*Y3617/100)</f>
        <v/>
      </c>
      <c r="V3617" s="16" t="str">
        <f aca="false">IF($D3617="","",Y3617*AB3617/100)</f>
        <v/>
      </c>
      <c r="W3617" s="16" t="str">
        <f aca="false">IF($D3617="","",Y3617-V3617)</f>
        <v/>
      </c>
      <c r="X3617" s="16" t="str">
        <f aca="false">IF($D3617="","",W3617-N3617)</f>
        <v/>
      </c>
      <c r="AB3617" s="17" t="str">
        <f aca="false">IF($D3617="","",IF(OR($R3617=TRUE(),$R3617="TRUE"),Settings!$C$6,Settings!$C$7)*100)</f>
        <v/>
      </c>
      <c r="AH3617" s="18" t="str">
        <f aca="false">IF($D3617="","",IF(COUNTIF($D$2:$D3617,$D3617)=1,1,0))</f>
        <v/>
      </c>
      <c r="AI3617" s="18" t="str">
        <f aca="false">IF($AH3617=1,SUMPRODUCT(--($AK$2:$AK$4001&lt;$AK3617))+1,"")</f>
        <v/>
      </c>
      <c r="AJ3617" s="18" t="str">
        <f aca="false">IF($D3617="","",IF(OR($R3617=TRUE(),$R3617="TRUE"),1,0))</f>
        <v/>
      </c>
      <c r="AK3617" s="18" t="str">
        <f aca="false">IF($AH3617=1,IFERROR(VALUE(MID($D3617,2,20)),1000000000)+ROW()/10000000,"")</f>
        <v/>
      </c>
    </row>
    <row r="3618" customFormat="false" ht="15" hidden="false" customHeight="false" outlineLevel="0" collapsed="false">
      <c r="F3618" s="15"/>
      <c r="N3618" s="16" t="str">
        <f aca="false">IF($D3618="","",M3618*Y3618/100)</f>
        <v/>
      </c>
      <c r="V3618" s="16" t="str">
        <f aca="false">IF($D3618="","",Y3618*AB3618/100)</f>
        <v/>
      </c>
      <c r="W3618" s="16" t="str">
        <f aca="false">IF($D3618="","",Y3618-V3618)</f>
        <v/>
      </c>
      <c r="X3618" s="16" t="str">
        <f aca="false">IF($D3618="","",W3618-N3618)</f>
        <v/>
      </c>
      <c r="AB3618" s="17" t="str">
        <f aca="false">IF($D3618="","",IF(OR($R3618=TRUE(),$R3618="TRUE"),Settings!$C$6,Settings!$C$7)*100)</f>
        <v/>
      </c>
      <c r="AH3618" s="18" t="str">
        <f aca="false">IF($D3618="","",IF(COUNTIF($D$2:$D3618,$D3618)=1,1,0))</f>
        <v/>
      </c>
      <c r="AI3618" s="18" t="str">
        <f aca="false">IF($AH3618=1,SUMPRODUCT(--($AK$2:$AK$4001&lt;$AK3618))+1,"")</f>
        <v/>
      </c>
      <c r="AJ3618" s="18" t="str">
        <f aca="false">IF($D3618="","",IF(OR($R3618=TRUE(),$R3618="TRUE"),1,0))</f>
        <v/>
      </c>
      <c r="AK3618" s="18" t="str">
        <f aca="false">IF($AH3618=1,IFERROR(VALUE(MID($D3618,2,20)),1000000000)+ROW()/10000000,"")</f>
        <v/>
      </c>
    </row>
    <row r="3619" customFormat="false" ht="15" hidden="false" customHeight="false" outlineLevel="0" collapsed="false">
      <c r="F3619" s="15"/>
      <c r="N3619" s="16" t="str">
        <f aca="false">IF($D3619="","",M3619*Y3619/100)</f>
        <v/>
      </c>
      <c r="V3619" s="16" t="str">
        <f aca="false">IF($D3619="","",Y3619*AB3619/100)</f>
        <v/>
      </c>
      <c r="W3619" s="16" t="str">
        <f aca="false">IF($D3619="","",Y3619-V3619)</f>
        <v/>
      </c>
      <c r="X3619" s="16" t="str">
        <f aca="false">IF($D3619="","",W3619-N3619)</f>
        <v/>
      </c>
      <c r="AB3619" s="17" t="str">
        <f aca="false">IF($D3619="","",IF(OR($R3619=TRUE(),$R3619="TRUE"),Settings!$C$6,Settings!$C$7)*100)</f>
        <v/>
      </c>
      <c r="AH3619" s="18" t="str">
        <f aca="false">IF($D3619="","",IF(COUNTIF($D$2:$D3619,$D3619)=1,1,0))</f>
        <v/>
      </c>
      <c r="AI3619" s="18" t="str">
        <f aca="false">IF($AH3619=1,SUMPRODUCT(--($AK$2:$AK$4001&lt;$AK3619))+1,"")</f>
        <v/>
      </c>
      <c r="AJ3619" s="18" t="str">
        <f aca="false">IF($D3619="","",IF(OR($R3619=TRUE(),$R3619="TRUE"),1,0))</f>
        <v/>
      </c>
      <c r="AK3619" s="18" t="str">
        <f aca="false">IF($AH3619=1,IFERROR(VALUE(MID($D3619,2,20)),1000000000)+ROW()/10000000,"")</f>
        <v/>
      </c>
    </row>
    <row r="3620" customFormat="false" ht="15" hidden="false" customHeight="false" outlineLevel="0" collapsed="false">
      <c r="F3620" s="15"/>
      <c r="N3620" s="16" t="str">
        <f aca="false">IF($D3620="","",M3620*Y3620/100)</f>
        <v/>
      </c>
      <c r="V3620" s="16" t="str">
        <f aca="false">IF($D3620="","",Y3620*AB3620/100)</f>
        <v/>
      </c>
      <c r="W3620" s="16" t="str">
        <f aca="false">IF($D3620="","",Y3620-V3620)</f>
        <v/>
      </c>
      <c r="X3620" s="16" t="str">
        <f aca="false">IF($D3620="","",W3620-N3620)</f>
        <v/>
      </c>
      <c r="AB3620" s="17" t="str">
        <f aca="false">IF($D3620="","",IF(OR($R3620=TRUE(),$R3620="TRUE"),Settings!$C$6,Settings!$C$7)*100)</f>
        <v/>
      </c>
      <c r="AH3620" s="18" t="str">
        <f aca="false">IF($D3620="","",IF(COUNTIF($D$2:$D3620,$D3620)=1,1,0))</f>
        <v/>
      </c>
      <c r="AI3620" s="18" t="str">
        <f aca="false">IF($AH3620=1,SUMPRODUCT(--($AK$2:$AK$4001&lt;$AK3620))+1,"")</f>
        <v/>
      </c>
      <c r="AJ3620" s="18" t="str">
        <f aca="false">IF($D3620="","",IF(OR($R3620=TRUE(),$R3620="TRUE"),1,0))</f>
        <v/>
      </c>
      <c r="AK3620" s="18" t="str">
        <f aca="false">IF($AH3620=1,IFERROR(VALUE(MID($D3620,2,20)),1000000000)+ROW()/10000000,"")</f>
        <v/>
      </c>
    </row>
    <row r="3621" customFormat="false" ht="15" hidden="false" customHeight="false" outlineLevel="0" collapsed="false">
      <c r="F3621" s="15"/>
      <c r="N3621" s="16" t="str">
        <f aca="false">IF($D3621="","",M3621*Y3621/100)</f>
        <v/>
      </c>
      <c r="V3621" s="16" t="str">
        <f aca="false">IF($D3621="","",Y3621*AB3621/100)</f>
        <v/>
      </c>
      <c r="W3621" s="16" t="str">
        <f aca="false">IF($D3621="","",Y3621-V3621)</f>
        <v/>
      </c>
      <c r="X3621" s="16" t="str">
        <f aca="false">IF($D3621="","",W3621-N3621)</f>
        <v/>
      </c>
      <c r="AB3621" s="17" t="str">
        <f aca="false">IF($D3621="","",IF(OR($R3621=TRUE(),$R3621="TRUE"),Settings!$C$6,Settings!$C$7)*100)</f>
        <v/>
      </c>
      <c r="AH3621" s="18" t="str">
        <f aca="false">IF($D3621="","",IF(COUNTIF($D$2:$D3621,$D3621)=1,1,0))</f>
        <v/>
      </c>
      <c r="AI3621" s="18" t="str">
        <f aca="false">IF($AH3621=1,SUMPRODUCT(--($AK$2:$AK$4001&lt;$AK3621))+1,"")</f>
        <v/>
      </c>
      <c r="AJ3621" s="18" t="str">
        <f aca="false">IF($D3621="","",IF(OR($R3621=TRUE(),$R3621="TRUE"),1,0))</f>
        <v/>
      </c>
      <c r="AK3621" s="18" t="str">
        <f aca="false">IF($AH3621=1,IFERROR(VALUE(MID($D3621,2,20)),1000000000)+ROW()/10000000,"")</f>
        <v/>
      </c>
    </row>
    <row r="3622" customFormat="false" ht="15" hidden="false" customHeight="false" outlineLevel="0" collapsed="false">
      <c r="F3622" s="15"/>
      <c r="N3622" s="16" t="str">
        <f aca="false">IF($D3622="","",M3622*Y3622/100)</f>
        <v/>
      </c>
      <c r="V3622" s="16" t="str">
        <f aca="false">IF($D3622="","",Y3622*AB3622/100)</f>
        <v/>
      </c>
      <c r="W3622" s="16" t="str">
        <f aca="false">IF($D3622="","",Y3622-V3622)</f>
        <v/>
      </c>
      <c r="X3622" s="16" t="str">
        <f aca="false">IF($D3622="","",W3622-N3622)</f>
        <v/>
      </c>
      <c r="AB3622" s="17" t="str">
        <f aca="false">IF($D3622="","",IF(OR($R3622=TRUE(),$R3622="TRUE"),Settings!$C$6,Settings!$C$7)*100)</f>
        <v/>
      </c>
      <c r="AH3622" s="18" t="str">
        <f aca="false">IF($D3622="","",IF(COUNTIF($D$2:$D3622,$D3622)=1,1,0))</f>
        <v/>
      </c>
      <c r="AI3622" s="18" t="str">
        <f aca="false">IF($AH3622=1,SUMPRODUCT(--($AK$2:$AK$4001&lt;$AK3622))+1,"")</f>
        <v/>
      </c>
      <c r="AJ3622" s="18" t="str">
        <f aca="false">IF($D3622="","",IF(OR($R3622=TRUE(),$R3622="TRUE"),1,0))</f>
        <v/>
      </c>
      <c r="AK3622" s="18" t="str">
        <f aca="false">IF($AH3622=1,IFERROR(VALUE(MID($D3622,2,20)),1000000000)+ROW()/10000000,"")</f>
        <v/>
      </c>
    </row>
    <row r="3623" customFormat="false" ht="15" hidden="false" customHeight="false" outlineLevel="0" collapsed="false">
      <c r="F3623" s="15"/>
      <c r="N3623" s="16" t="str">
        <f aca="false">IF($D3623="","",M3623*Y3623/100)</f>
        <v/>
      </c>
      <c r="V3623" s="16" t="str">
        <f aca="false">IF($D3623="","",Y3623*AB3623/100)</f>
        <v/>
      </c>
      <c r="W3623" s="16" t="str">
        <f aca="false">IF($D3623="","",Y3623-V3623)</f>
        <v/>
      </c>
      <c r="X3623" s="16" t="str">
        <f aca="false">IF($D3623="","",W3623-N3623)</f>
        <v/>
      </c>
      <c r="AB3623" s="17" t="str">
        <f aca="false">IF($D3623="","",IF(OR($R3623=TRUE(),$R3623="TRUE"),Settings!$C$6,Settings!$C$7)*100)</f>
        <v/>
      </c>
      <c r="AH3623" s="18" t="str">
        <f aca="false">IF($D3623="","",IF(COUNTIF($D$2:$D3623,$D3623)=1,1,0))</f>
        <v/>
      </c>
      <c r="AI3623" s="18" t="str">
        <f aca="false">IF($AH3623=1,SUMPRODUCT(--($AK$2:$AK$4001&lt;$AK3623))+1,"")</f>
        <v/>
      </c>
      <c r="AJ3623" s="18" t="str">
        <f aca="false">IF($D3623="","",IF(OR($R3623=TRUE(),$R3623="TRUE"),1,0))</f>
        <v/>
      </c>
      <c r="AK3623" s="18" t="str">
        <f aca="false">IF($AH3623=1,IFERROR(VALUE(MID($D3623,2,20)),1000000000)+ROW()/10000000,"")</f>
        <v/>
      </c>
    </row>
    <row r="3624" customFormat="false" ht="15" hidden="false" customHeight="false" outlineLevel="0" collapsed="false">
      <c r="F3624" s="15"/>
      <c r="N3624" s="16" t="str">
        <f aca="false">IF($D3624="","",M3624*Y3624/100)</f>
        <v/>
      </c>
      <c r="V3624" s="16" t="str">
        <f aca="false">IF($D3624="","",Y3624*AB3624/100)</f>
        <v/>
      </c>
      <c r="W3624" s="16" t="str">
        <f aca="false">IF($D3624="","",Y3624-V3624)</f>
        <v/>
      </c>
      <c r="X3624" s="16" t="str">
        <f aca="false">IF($D3624="","",W3624-N3624)</f>
        <v/>
      </c>
      <c r="AB3624" s="17" t="str">
        <f aca="false">IF($D3624="","",IF(OR($R3624=TRUE(),$R3624="TRUE"),Settings!$C$6,Settings!$C$7)*100)</f>
        <v/>
      </c>
      <c r="AH3624" s="18" t="str">
        <f aca="false">IF($D3624="","",IF(COUNTIF($D$2:$D3624,$D3624)=1,1,0))</f>
        <v/>
      </c>
      <c r="AI3624" s="18" t="str">
        <f aca="false">IF($AH3624=1,SUMPRODUCT(--($AK$2:$AK$4001&lt;$AK3624))+1,"")</f>
        <v/>
      </c>
      <c r="AJ3624" s="18" t="str">
        <f aca="false">IF($D3624="","",IF(OR($R3624=TRUE(),$R3624="TRUE"),1,0))</f>
        <v/>
      </c>
      <c r="AK3624" s="18" t="str">
        <f aca="false">IF($AH3624=1,IFERROR(VALUE(MID($D3624,2,20)),1000000000)+ROW()/10000000,"")</f>
        <v/>
      </c>
    </row>
    <row r="3625" customFormat="false" ht="15" hidden="false" customHeight="false" outlineLevel="0" collapsed="false">
      <c r="F3625" s="15"/>
      <c r="N3625" s="16" t="str">
        <f aca="false">IF($D3625="","",M3625*Y3625/100)</f>
        <v/>
      </c>
      <c r="V3625" s="16" t="str">
        <f aca="false">IF($D3625="","",Y3625*AB3625/100)</f>
        <v/>
      </c>
      <c r="W3625" s="16" t="str">
        <f aca="false">IF($D3625="","",Y3625-V3625)</f>
        <v/>
      </c>
      <c r="X3625" s="16" t="str">
        <f aca="false">IF($D3625="","",W3625-N3625)</f>
        <v/>
      </c>
      <c r="AB3625" s="17" t="str">
        <f aca="false">IF($D3625="","",IF(OR($R3625=TRUE(),$R3625="TRUE"),Settings!$C$6,Settings!$C$7)*100)</f>
        <v/>
      </c>
      <c r="AH3625" s="18" t="str">
        <f aca="false">IF($D3625="","",IF(COUNTIF($D$2:$D3625,$D3625)=1,1,0))</f>
        <v/>
      </c>
      <c r="AI3625" s="18" t="str">
        <f aca="false">IF($AH3625=1,SUMPRODUCT(--($AK$2:$AK$4001&lt;$AK3625))+1,"")</f>
        <v/>
      </c>
      <c r="AJ3625" s="18" t="str">
        <f aca="false">IF($D3625="","",IF(OR($R3625=TRUE(),$R3625="TRUE"),1,0))</f>
        <v/>
      </c>
      <c r="AK3625" s="18" t="str">
        <f aca="false">IF($AH3625=1,IFERROR(VALUE(MID($D3625,2,20)),1000000000)+ROW()/10000000,"")</f>
        <v/>
      </c>
    </row>
    <row r="3626" customFormat="false" ht="15" hidden="false" customHeight="false" outlineLevel="0" collapsed="false">
      <c r="F3626" s="15"/>
      <c r="N3626" s="16" t="str">
        <f aca="false">IF($D3626="","",M3626*Y3626/100)</f>
        <v/>
      </c>
      <c r="V3626" s="16" t="str">
        <f aca="false">IF($D3626="","",Y3626*AB3626/100)</f>
        <v/>
      </c>
      <c r="W3626" s="16" t="str">
        <f aca="false">IF($D3626="","",Y3626-V3626)</f>
        <v/>
      </c>
      <c r="X3626" s="16" t="str">
        <f aca="false">IF($D3626="","",W3626-N3626)</f>
        <v/>
      </c>
      <c r="AB3626" s="17" t="str">
        <f aca="false">IF($D3626="","",IF(OR($R3626=TRUE(),$R3626="TRUE"),Settings!$C$6,Settings!$C$7)*100)</f>
        <v/>
      </c>
      <c r="AH3626" s="18" t="str">
        <f aca="false">IF($D3626="","",IF(COUNTIF($D$2:$D3626,$D3626)=1,1,0))</f>
        <v/>
      </c>
      <c r="AI3626" s="18" t="str">
        <f aca="false">IF($AH3626=1,SUMPRODUCT(--($AK$2:$AK$4001&lt;$AK3626))+1,"")</f>
        <v/>
      </c>
      <c r="AJ3626" s="18" t="str">
        <f aca="false">IF($D3626="","",IF(OR($R3626=TRUE(),$R3626="TRUE"),1,0))</f>
        <v/>
      </c>
      <c r="AK3626" s="18" t="str">
        <f aca="false">IF($AH3626=1,IFERROR(VALUE(MID($D3626,2,20)),1000000000)+ROW()/10000000,"")</f>
        <v/>
      </c>
    </row>
    <row r="3627" customFormat="false" ht="15" hidden="false" customHeight="false" outlineLevel="0" collapsed="false">
      <c r="F3627" s="15"/>
      <c r="N3627" s="16" t="str">
        <f aca="false">IF($D3627="","",M3627*Y3627/100)</f>
        <v/>
      </c>
      <c r="V3627" s="16" t="str">
        <f aca="false">IF($D3627="","",Y3627*AB3627/100)</f>
        <v/>
      </c>
      <c r="W3627" s="16" t="str">
        <f aca="false">IF($D3627="","",Y3627-V3627)</f>
        <v/>
      </c>
      <c r="X3627" s="16" t="str">
        <f aca="false">IF($D3627="","",W3627-N3627)</f>
        <v/>
      </c>
      <c r="AB3627" s="17" t="str">
        <f aca="false">IF($D3627="","",IF(OR($R3627=TRUE(),$R3627="TRUE"),Settings!$C$6,Settings!$C$7)*100)</f>
        <v/>
      </c>
      <c r="AH3627" s="18" t="str">
        <f aca="false">IF($D3627="","",IF(COUNTIF($D$2:$D3627,$D3627)=1,1,0))</f>
        <v/>
      </c>
      <c r="AI3627" s="18" t="str">
        <f aca="false">IF($AH3627=1,SUMPRODUCT(--($AK$2:$AK$4001&lt;$AK3627))+1,"")</f>
        <v/>
      </c>
      <c r="AJ3627" s="18" t="str">
        <f aca="false">IF($D3627="","",IF(OR($R3627=TRUE(),$R3627="TRUE"),1,0))</f>
        <v/>
      </c>
      <c r="AK3627" s="18" t="str">
        <f aca="false">IF($AH3627=1,IFERROR(VALUE(MID($D3627,2,20)),1000000000)+ROW()/10000000,"")</f>
        <v/>
      </c>
    </row>
    <row r="3628" customFormat="false" ht="15" hidden="false" customHeight="false" outlineLevel="0" collapsed="false">
      <c r="F3628" s="15"/>
      <c r="N3628" s="16" t="str">
        <f aca="false">IF($D3628="","",M3628*Y3628/100)</f>
        <v/>
      </c>
      <c r="V3628" s="16" t="str">
        <f aca="false">IF($D3628="","",Y3628*AB3628/100)</f>
        <v/>
      </c>
      <c r="W3628" s="16" t="str">
        <f aca="false">IF($D3628="","",Y3628-V3628)</f>
        <v/>
      </c>
      <c r="X3628" s="16" t="str">
        <f aca="false">IF($D3628="","",W3628-N3628)</f>
        <v/>
      </c>
      <c r="AB3628" s="17" t="str">
        <f aca="false">IF($D3628="","",IF(OR($R3628=TRUE(),$R3628="TRUE"),Settings!$C$6,Settings!$C$7)*100)</f>
        <v/>
      </c>
      <c r="AH3628" s="18" t="str">
        <f aca="false">IF($D3628="","",IF(COUNTIF($D$2:$D3628,$D3628)=1,1,0))</f>
        <v/>
      </c>
      <c r="AI3628" s="18" t="str">
        <f aca="false">IF($AH3628=1,SUMPRODUCT(--($AK$2:$AK$4001&lt;$AK3628))+1,"")</f>
        <v/>
      </c>
      <c r="AJ3628" s="18" t="str">
        <f aca="false">IF($D3628="","",IF(OR($R3628=TRUE(),$R3628="TRUE"),1,0))</f>
        <v/>
      </c>
      <c r="AK3628" s="18" t="str">
        <f aca="false">IF($AH3628=1,IFERROR(VALUE(MID($D3628,2,20)),1000000000)+ROW()/10000000,"")</f>
        <v/>
      </c>
    </row>
    <row r="3629" customFormat="false" ht="15" hidden="false" customHeight="false" outlineLevel="0" collapsed="false">
      <c r="F3629" s="15"/>
      <c r="N3629" s="16" t="str">
        <f aca="false">IF($D3629="","",M3629*Y3629/100)</f>
        <v/>
      </c>
      <c r="V3629" s="16" t="str">
        <f aca="false">IF($D3629="","",Y3629*AB3629/100)</f>
        <v/>
      </c>
      <c r="W3629" s="16" t="str">
        <f aca="false">IF($D3629="","",Y3629-V3629)</f>
        <v/>
      </c>
      <c r="X3629" s="16" t="str">
        <f aca="false">IF($D3629="","",W3629-N3629)</f>
        <v/>
      </c>
      <c r="AB3629" s="17" t="str">
        <f aca="false">IF($D3629="","",IF(OR($R3629=TRUE(),$R3629="TRUE"),Settings!$C$6,Settings!$C$7)*100)</f>
        <v/>
      </c>
      <c r="AH3629" s="18" t="str">
        <f aca="false">IF($D3629="","",IF(COUNTIF($D$2:$D3629,$D3629)=1,1,0))</f>
        <v/>
      </c>
      <c r="AI3629" s="18" t="str">
        <f aca="false">IF($AH3629=1,SUMPRODUCT(--($AK$2:$AK$4001&lt;$AK3629))+1,"")</f>
        <v/>
      </c>
      <c r="AJ3629" s="18" t="str">
        <f aca="false">IF($D3629="","",IF(OR($R3629=TRUE(),$R3629="TRUE"),1,0))</f>
        <v/>
      </c>
      <c r="AK3629" s="18" t="str">
        <f aca="false">IF($AH3629=1,IFERROR(VALUE(MID($D3629,2,20)),1000000000)+ROW()/10000000,"")</f>
        <v/>
      </c>
    </row>
    <row r="3630" customFormat="false" ht="15" hidden="false" customHeight="false" outlineLevel="0" collapsed="false">
      <c r="F3630" s="15"/>
      <c r="N3630" s="16" t="str">
        <f aca="false">IF($D3630="","",M3630*Y3630/100)</f>
        <v/>
      </c>
      <c r="V3630" s="16" t="str">
        <f aca="false">IF($D3630="","",Y3630*AB3630/100)</f>
        <v/>
      </c>
      <c r="W3630" s="16" t="str">
        <f aca="false">IF($D3630="","",Y3630-V3630)</f>
        <v/>
      </c>
      <c r="X3630" s="16" t="str">
        <f aca="false">IF($D3630="","",W3630-N3630)</f>
        <v/>
      </c>
      <c r="AB3630" s="17" t="str">
        <f aca="false">IF($D3630="","",IF(OR($R3630=TRUE(),$R3630="TRUE"),Settings!$C$6,Settings!$C$7)*100)</f>
        <v/>
      </c>
      <c r="AH3630" s="18" t="str">
        <f aca="false">IF($D3630="","",IF(COUNTIF($D$2:$D3630,$D3630)=1,1,0))</f>
        <v/>
      </c>
      <c r="AI3630" s="18" t="str">
        <f aca="false">IF($AH3630=1,SUMPRODUCT(--($AK$2:$AK$4001&lt;$AK3630))+1,"")</f>
        <v/>
      </c>
      <c r="AJ3630" s="18" t="str">
        <f aca="false">IF($D3630="","",IF(OR($R3630=TRUE(),$R3630="TRUE"),1,0))</f>
        <v/>
      </c>
      <c r="AK3630" s="18" t="str">
        <f aca="false">IF($AH3630=1,IFERROR(VALUE(MID($D3630,2,20)),1000000000)+ROW()/10000000,"")</f>
        <v/>
      </c>
    </row>
    <row r="3631" customFormat="false" ht="15" hidden="false" customHeight="false" outlineLevel="0" collapsed="false">
      <c r="F3631" s="15"/>
      <c r="N3631" s="16" t="str">
        <f aca="false">IF($D3631="","",M3631*Y3631/100)</f>
        <v/>
      </c>
      <c r="V3631" s="16" t="str">
        <f aca="false">IF($D3631="","",Y3631*AB3631/100)</f>
        <v/>
      </c>
      <c r="W3631" s="16" t="str">
        <f aca="false">IF($D3631="","",Y3631-V3631)</f>
        <v/>
      </c>
      <c r="X3631" s="16" t="str">
        <f aca="false">IF($D3631="","",W3631-N3631)</f>
        <v/>
      </c>
      <c r="AB3631" s="17" t="str">
        <f aca="false">IF($D3631="","",IF(OR($R3631=TRUE(),$R3631="TRUE"),Settings!$C$6,Settings!$C$7)*100)</f>
        <v/>
      </c>
      <c r="AH3631" s="18" t="str">
        <f aca="false">IF($D3631="","",IF(COUNTIF($D$2:$D3631,$D3631)=1,1,0))</f>
        <v/>
      </c>
      <c r="AI3631" s="18" t="str">
        <f aca="false">IF($AH3631=1,SUMPRODUCT(--($AK$2:$AK$4001&lt;$AK3631))+1,"")</f>
        <v/>
      </c>
      <c r="AJ3631" s="18" t="str">
        <f aca="false">IF($D3631="","",IF(OR($R3631=TRUE(),$R3631="TRUE"),1,0))</f>
        <v/>
      </c>
      <c r="AK3631" s="18" t="str">
        <f aca="false">IF($AH3631=1,IFERROR(VALUE(MID($D3631,2,20)),1000000000)+ROW()/10000000,"")</f>
        <v/>
      </c>
    </row>
    <row r="3632" customFormat="false" ht="15" hidden="false" customHeight="false" outlineLevel="0" collapsed="false">
      <c r="F3632" s="15"/>
      <c r="N3632" s="16" t="str">
        <f aca="false">IF($D3632="","",M3632*Y3632/100)</f>
        <v/>
      </c>
      <c r="V3632" s="16" t="str">
        <f aca="false">IF($D3632="","",Y3632*AB3632/100)</f>
        <v/>
      </c>
      <c r="W3632" s="16" t="str">
        <f aca="false">IF($D3632="","",Y3632-V3632)</f>
        <v/>
      </c>
      <c r="X3632" s="16" t="str">
        <f aca="false">IF($D3632="","",W3632-N3632)</f>
        <v/>
      </c>
      <c r="AB3632" s="17" t="str">
        <f aca="false">IF($D3632="","",IF(OR($R3632=TRUE(),$R3632="TRUE"),Settings!$C$6,Settings!$C$7)*100)</f>
        <v/>
      </c>
      <c r="AH3632" s="18" t="str">
        <f aca="false">IF($D3632="","",IF(COUNTIF($D$2:$D3632,$D3632)=1,1,0))</f>
        <v/>
      </c>
      <c r="AI3632" s="18" t="str">
        <f aca="false">IF($AH3632=1,SUMPRODUCT(--($AK$2:$AK$4001&lt;$AK3632))+1,"")</f>
        <v/>
      </c>
      <c r="AJ3632" s="18" t="str">
        <f aca="false">IF($D3632="","",IF(OR($R3632=TRUE(),$R3632="TRUE"),1,0))</f>
        <v/>
      </c>
      <c r="AK3632" s="18" t="str">
        <f aca="false">IF($AH3632=1,IFERROR(VALUE(MID($D3632,2,20)),1000000000)+ROW()/10000000,"")</f>
        <v/>
      </c>
    </row>
    <row r="3633" customFormat="false" ht="15" hidden="false" customHeight="false" outlineLevel="0" collapsed="false">
      <c r="F3633" s="15"/>
      <c r="N3633" s="16" t="str">
        <f aca="false">IF($D3633="","",M3633*Y3633/100)</f>
        <v/>
      </c>
      <c r="V3633" s="16" t="str">
        <f aca="false">IF($D3633="","",Y3633*AB3633/100)</f>
        <v/>
      </c>
      <c r="W3633" s="16" t="str">
        <f aca="false">IF($D3633="","",Y3633-V3633)</f>
        <v/>
      </c>
      <c r="X3633" s="16" t="str">
        <f aca="false">IF($D3633="","",W3633-N3633)</f>
        <v/>
      </c>
      <c r="AB3633" s="17" t="str">
        <f aca="false">IF($D3633="","",IF(OR($R3633=TRUE(),$R3633="TRUE"),Settings!$C$6,Settings!$C$7)*100)</f>
        <v/>
      </c>
      <c r="AH3633" s="18" t="str">
        <f aca="false">IF($D3633="","",IF(COUNTIF($D$2:$D3633,$D3633)=1,1,0))</f>
        <v/>
      </c>
      <c r="AI3633" s="18" t="str">
        <f aca="false">IF($AH3633=1,SUMPRODUCT(--($AK$2:$AK$4001&lt;$AK3633))+1,"")</f>
        <v/>
      </c>
      <c r="AJ3633" s="18" t="str">
        <f aca="false">IF($D3633="","",IF(OR($R3633=TRUE(),$R3633="TRUE"),1,0))</f>
        <v/>
      </c>
      <c r="AK3633" s="18" t="str">
        <f aca="false">IF($AH3633=1,IFERROR(VALUE(MID($D3633,2,20)),1000000000)+ROW()/10000000,"")</f>
        <v/>
      </c>
    </row>
    <row r="3634" customFormat="false" ht="15" hidden="false" customHeight="false" outlineLevel="0" collapsed="false">
      <c r="F3634" s="15"/>
      <c r="N3634" s="16" t="str">
        <f aca="false">IF($D3634="","",M3634*Y3634/100)</f>
        <v/>
      </c>
      <c r="V3634" s="16" t="str">
        <f aca="false">IF($D3634="","",Y3634*AB3634/100)</f>
        <v/>
      </c>
      <c r="W3634" s="16" t="str">
        <f aca="false">IF($D3634="","",Y3634-V3634)</f>
        <v/>
      </c>
      <c r="X3634" s="16" t="str">
        <f aca="false">IF($D3634="","",W3634-N3634)</f>
        <v/>
      </c>
      <c r="AB3634" s="17" t="str">
        <f aca="false">IF($D3634="","",IF(OR($R3634=TRUE(),$R3634="TRUE"),Settings!$C$6,Settings!$C$7)*100)</f>
        <v/>
      </c>
      <c r="AH3634" s="18" t="str">
        <f aca="false">IF($D3634="","",IF(COUNTIF($D$2:$D3634,$D3634)=1,1,0))</f>
        <v/>
      </c>
      <c r="AI3634" s="18" t="str">
        <f aca="false">IF($AH3634=1,SUMPRODUCT(--($AK$2:$AK$4001&lt;$AK3634))+1,"")</f>
        <v/>
      </c>
      <c r="AJ3634" s="18" t="str">
        <f aca="false">IF($D3634="","",IF(OR($R3634=TRUE(),$R3634="TRUE"),1,0))</f>
        <v/>
      </c>
      <c r="AK3634" s="18" t="str">
        <f aca="false">IF($AH3634=1,IFERROR(VALUE(MID($D3634,2,20)),1000000000)+ROW()/10000000,"")</f>
        <v/>
      </c>
    </row>
    <row r="3635" customFormat="false" ht="15" hidden="false" customHeight="false" outlineLevel="0" collapsed="false">
      <c r="F3635" s="15"/>
      <c r="N3635" s="16" t="str">
        <f aca="false">IF($D3635="","",M3635*Y3635/100)</f>
        <v/>
      </c>
      <c r="V3635" s="16" t="str">
        <f aca="false">IF($D3635="","",Y3635*AB3635/100)</f>
        <v/>
      </c>
      <c r="W3635" s="16" t="str">
        <f aca="false">IF($D3635="","",Y3635-V3635)</f>
        <v/>
      </c>
      <c r="X3635" s="16" t="str">
        <f aca="false">IF($D3635="","",W3635-N3635)</f>
        <v/>
      </c>
      <c r="AB3635" s="17" t="str">
        <f aca="false">IF($D3635="","",IF(OR($R3635=TRUE(),$R3635="TRUE"),Settings!$C$6,Settings!$C$7)*100)</f>
        <v/>
      </c>
      <c r="AH3635" s="18" t="str">
        <f aca="false">IF($D3635="","",IF(COUNTIF($D$2:$D3635,$D3635)=1,1,0))</f>
        <v/>
      </c>
      <c r="AI3635" s="18" t="str">
        <f aca="false">IF($AH3635=1,SUMPRODUCT(--($AK$2:$AK$4001&lt;$AK3635))+1,"")</f>
        <v/>
      </c>
      <c r="AJ3635" s="18" t="str">
        <f aca="false">IF($D3635="","",IF(OR($R3635=TRUE(),$R3635="TRUE"),1,0))</f>
        <v/>
      </c>
      <c r="AK3635" s="18" t="str">
        <f aca="false">IF($AH3635=1,IFERROR(VALUE(MID($D3635,2,20)),1000000000)+ROW()/10000000,"")</f>
        <v/>
      </c>
    </row>
    <row r="3636" customFormat="false" ht="15" hidden="false" customHeight="false" outlineLevel="0" collapsed="false">
      <c r="F3636" s="15"/>
      <c r="N3636" s="16" t="str">
        <f aca="false">IF($D3636="","",M3636*Y3636/100)</f>
        <v/>
      </c>
      <c r="V3636" s="16" t="str">
        <f aca="false">IF($D3636="","",Y3636*AB3636/100)</f>
        <v/>
      </c>
      <c r="W3636" s="16" t="str">
        <f aca="false">IF($D3636="","",Y3636-V3636)</f>
        <v/>
      </c>
      <c r="X3636" s="16" t="str">
        <f aca="false">IF($D3636="","",W3636-N3636)</f>
        <v/>
      </c>
      <c r="AB3636" s="17" t="str">
        <f aca="false">IF($D3636="","",IF(OR($R3636=TRUE(),$R3636="TRUE"),Settings!$C$6,Settings!$C$7)*100)</f>
        <v/>
      </c>
      <c r="AH3636" s="18" t="str">
        <f aca="false">IF($D3636="","",IF(COUNTIF($D$2:$D3636,$D3636)=1,1,0))</f>
        <v/>
      </c>
      <c r="AI3636" s="18" t="str">
        <f aca="false">IF($AH3636=1,SUMPRODUCT(--($AK$2:$AK$4001&lt;$AK3636))+1,"")</f>
        <v/>
      </c>
      <c r="AJ3636" s="18" t="str">
        <f aca="false">IF($D3636="","",IF(OR($R3636=TRUE(),$R3636="TRUE"),1,0))</f>
        <v/>
      </c>
      <c r="AK3636" s="18" t="str">
        <f aca="false">IF($AH3636=1,IFERROR(VALUE(MID($D3636,2,20)),1000000000)+ROW()/10000000,"")</f>
        <v/>
      </c>
    </row>
    <row r="3637" customFormat="false" ht="15" hidden="false" customHeight="false" outlineLevel="0" collapsed="false">
      <c r="F3637" s="15"/>
      <c r="N3637" s="16" t="str">
        <f aca="false">IF($D3637="","",M3637*Y3637/100)</f>
        <v/>
      </c>
      <c r="V3637" s="16" t="str">
        <f aca="false">IF($D3637="","",Y3637*AB3637/100)</f>
        <v/>
      </c>
      <c r="W3637" s="16" t="str">
        <f aca="false">IF($D3637="","",Y3637-V3637)</f>
        <v/>
      </c>
      <c r="X3637" s="16" t="str">
        <f aca="false">IF($D3637="","",W3637-N3637)</f>
        <v/>
      </c>
      <c r="AB3637" s="17" t="str">
        <f aca="false">IF($D3637="","",IF(OR($R3637=TRUE(),$R3637="TRUE"),Settings!$C$6,Settings!$C$7)*100)</f>
        <v/>
      </c>
      <c r="AH3637" s="18" t="str">
        <f aca="false">IF($D3637="","",IF(COUNTIF($D$2:$D3637,$D3637)=1,1,0))</f>
        <v/>
      </c>
      <c r="AI3637" s="18" t="str">
        <f aca="false">IF($AH3637=1,SUMPRODUCT(--($AK$2:$AK$4001&lt;$AK3637))+1,"")</f>
        <v/>
      </c>
      <c r="AJ3637" s="18" t="str">
        <f aca="false">IF($D3637="","",IF(OR($R3637=TRUE(),$R3637="TRUE"),1,0))</f>
        <v/>
      </c>
      <c r="AK3637" s="18" t="str">
        <f aca="false">IF($AH3637=1,IFERROR(VALUE(MID($D3637,2,20)),1000000000)+ROW()/10000000,"")</f>
        <v/>
      </c>
    </row>
    <row r="3638" customFormat="false" ht="15" hidden="false" customHeight="false" outlineLevel="0" collapsed="false">
      <c r="F3638" s="15"/>
      <c r="N3638" s="16" t="str">
        <f aca="false">IF($D3638="","",M3638*Y3638/100)</f>
        <v/>
      </c>
      <c r="V3638" s="16" t="str">
        <f aca="false">IF($D3638="","",Y3638*AB3638/100)</f>
        <v/>
      </c>
      <c r="W3638" s="16" t="str">
        <f aca="false">IF($D3638="","",Y3638-V3638)</f>
        <v/>
      </c>
      <c r="X3638" s="16" t="str">
        <f aca="false">IF($D3638="","",W3638-N3638)</f>
        <v/>
      </c>
      <c r="AB3638" s="17" t="str">
        <f aca="false">IF($D3638="","",IF(OR($R3638=TRUE(),$R3638="TRUE"),Settings!$C$6,Settings!$C$7)*100)</f>
        <v/>
      </c>
      <c r="AH3638" s="18" t="str">
        <f aca="false">IF($D3638="","",IF(COUNTIF($D$2:$D3638,$D3638)=1,1,0))</f>
        <v/>
      </c>
      <c r="AI3638" s="18" t="str">
        <f aca="false">IF($AH3638=1,SUMPRODUCT(--($AK$2:$AK$4001&lt;$AK3638))+1,"")</f>
        <v/>
      </c>
      <c r="AJ3638" s="18" t="str">
        <f aca="false">IF($D3638="","",IF(OR($R3638=TRUE(),$R3638="TRUE"),1,0))</f>
        <v/>
      </c>
      <c r="AK3638" s="18" t="str">
        <f aca="false">IF($AH3638=1,IFERROR(VALUE(MID($D3638,2,20)),1000000000)+ROW()/10000000,"")</f>
        <v/>
      </c>
    </row>
    <row r="3639" customFormat="false" ht="15" hidden="false" customHeight="false" outlineLevel="0" collapsed="false">
      <c r="F3639" s="15"/>
      <c r="N3639" s="16" t="str">
        <f aca="false">IF($D3639="","",M3639*Y3639/100)</f>
        <v/>
      </c>
      <c r="V3639" s="16" t="str">
        <f aca="false">IF($D3639="","",Y3639*AB3639/100)</f>
        <v/>
      </c>
      <c r="W3639" s="16" t="str">
        <f aca="false">IF($D3639="","",Y3639-V3639)</f>
        <v/>
      </c>
      <c r="X3639" s="16" t="str">
        <f aca="false">IF($D3639="","",W3639-N3639)</f>
        <v/>
      </c>
      <c r="AB3639" s="17" t="str">
        <f aca="false">IF($D3639="","",IF(OR($R3639=TRUE(),$R3639="TRUE"),Settings!$C$6,Settings!$C$7)*100)</f>
        <v/>
      </c>
      <c r="AH3639" s="18" t="str">
        <f aca="false">IF($D3639="","",IF(COUNTIF($D$2:$D3639,$D3639)=1,1,0))</f>
        <v/>
      </c>
      <c r="AI3639" s="18" t="str">
        <f aca="false">IF($AH3639=1,SUMPRODUCT(--($AK$2:$AK$4001&lt;$AK3639))+1,"")</f>
        <v/>
      </c>
      <c r="AJ3639" s="18" t="str">
        <f aca="false">IF($D3639="","",IF(OR($R3639=TRUE(),$R3639="TRUE"),1,0))</f>
        <v/>
      </c>
      <c r="AK3639" s="18" t="str">
        <f aca="false">IF($AH3639=1,IFERROR(VALUE(MID($D3639,2,20)),1000000000)+ROW()/10000000,"")</f>
        <v/>
      </c>
    </row>
    <row r="3640" customFormat="false" ht="15" hidden="false" customHeight="false" outlineLevel="0" collapsed="false">
      <c r="F3640" s="15"/>
      <c r="N3640" s="16" t="str">
        <f aca="false">IF($D3640="","",M3640*Y3640/100)</f>
        <v/>
      </c>
      <c r="V3640" s="16" t="str">
        <f aca="false">IF($D3640="","",Y3640*AB3640/100)</f>
        <v/>
      </c>
      <c r="W3640" s="16" t="str">
        <f aca="false">IF($D3640="","",Y3640-V3640)</f>
        <v/>
      </c>
      <c r="X3640" s="16" t="str">
        <f aca="false">IF($D3640="","",W3640-N3640)</f>
        <v/>
      </c>
      <c r="AB3640" s="17" t="str">
        <f aca="false">IF($D3640="","",IF(OR($R3640=TRUE(),$R3640="TRUE"),Settings!$C$6,Settings!$C$7)*100)</f>
        <v/>
      </c>
      <c r="AH3640" s="18" t="str">
        <f aca="false">IF($D3640="","",IF(COUNTIF($D$2:$D3640,$D3640)=1,1,0))</f>
        <v/>
      </c>
      <c r="AI3640" s="18" t="str">
        <f aca="false">IF($AH3640=1,SUMPRODUCT(--($AK$2:$AK$4001&lt;$AK3640))+1,"")</f>
        <v/>
      </c>
      <c r="AJ3640" s="18" t="str">
        <f aca="false">IF($D3640="","",IF(OR($R3640=TRUE(),$R3640="TRUE"),1,0))</f>
        <v/>
      </c>
      <c r="AK3640" s="18" t="str">
        <f aca="false">IF($AH3640=1,IFERROR(VALUE(MID($D3640,2,20)),1000000000)+ROW()/10000000,"")</f>
        <v/>
      </c>
    </row>
    <row r="3641" customFormat="false" ht="15" hidden="false" customHeight="false" outlineLevel="0" collapsed="false">
      <c r="F3641" s="15"/>
      <c r="N3641" s="16" t="str">
        <f aca="false">IF($D3641="","",M3641*Y3641/100)</f>
        <v/>
      </c>
      <c r="V3641" s="16" t="str">
        <f aca="false">IF($D3641="","",Y3641*AB3641/100)</f>
        <v/>
      </c>
      <c r="W3641" s="16" t="str">
        <f aca="false">IF($D3641="","",Y3641-V3641)</f>
        <v/>
      </c>
      <c r="X3641" s="16" t="str">
        <f aca="false">IF($D3641="","",W3641-N3641)</f>
        <v/>
      </c>
      <c r="AB3641" s="17" t="str">
        <f aca="false">IF($D3641="","",IF(OR($R3641=TRUE(),$R3641="TRUE"),Settings!$C$6,Settings!$C$7)*100)</f>
        <v/>
      </c>
      <c r="AH3641" s="18" t="str">
        <f aca="false">IF($D3641="","",IF(COUNTIF($D$2:$D3641,$D3641)=1,1,0))</f>
        <v/>
      </c>
      <c r="AI3641" s="18" t="str">
        <f aca="false">IF($AH3641=1,SUMPRODUCT(--($AK$2:$AK$4001&lt;$AK3641))+1,"")</f>
        <v/>
      </c>
      <c r="AJ3641" s="18" t="str">
        <f aca="false">IF($D3641="","",IF(OR($R3641=TRUE(),$R3641="TRUE"),1,0))</f>
        <v/>
      </c>
      <c r="AK3641" s="18" t="str">
        <f aca="false">IF($AH3641=1,IFERROR(VALUE(MID($D3641,2,20)),1000000000)+ROW()/10000000,"")</f>
        <v/>
      </c>
    </row>
    <row r="3642" customFormat="false" ht="15" hidden="false" customHeight="false" outlineLevel="0" collapsed="false">
      <c r="F3642" s="15"/>
      <c r="N3642" s="16" t="str">
        <f aca="false">IF($D3642="","",M3642*Y3642/100)</f>
        <v/>
      </c>
      <c r="V3642" s="16" t="str">
        <f aca="false">IF($D3642="","",Y3642*AB3642/100)</f>
        <v/>
      </c>
      <c r="W3642" s="16" t="str">
        <f aca="false">IF($D3642="","",Y3642-V3642)</f>
        <v/>
      </c>
      <c r="X3642" s="16" t="str">
        <f aca="false">IF($D3642="","",W3642-N3642)</f>
        <v/>
      </c>
      <c r="AB3642" s="17" t="str">
        <f aca="false">IF($D3642="","",IF(OR($R3642=TRUE(),$R3642="TRUE"),Settings!$C$6,Settings!$C$7)*100)</f>
        <v/>
      </c>
      <c r="AH3642" s="18" t="str">
        <f aca="false">IF($D3642="","",IF(COUNTIF($D$2:$D3642,$D3642)=1,1,0))</f>
        <v/>
      </c>
      <c r="AI3642" s="18" t="str">
        <f aca="false">IF($AH3642=1,SUMPRODUCT(--($AK$2:$AK$4001&lt;$AK3642))+1,"")</f>
        <v/>
      </c>
      <c r="AJ3642" s="18" t="str">
        <f aca="false">IF($D3642="","",IF(OR($R3642=TRUE(),$R3642="TRUE"),1,0))</f>
        <v/>
      </c>
      <c r="AK3642" s="18" t="str">
        <f aca="false">IF($AH3642=1,IFERROR(VALUE(MID($D3642,2,20)),1000000000)+ROW()/10000000,"")</f>
        <v/>
      </c>
    </row>
    <row r="3643" customFormat="false" ht="15" hidden="false" customHeight="false" outlineLevel="0" collapsed="false">
      <c r="F3643" s="15"/>
      <c r="N3643" s="16" t="str">
        <f aca="false">IF($D3643="","",M3643*Y3643/100)</f>
        <v/>
      </c>
      <c r="V3643" s="16" t="str">
        <f aca="false">IF($D3643="","",Y3643*AB3643/100)</f>
        <v/>
      </c>
      <c r="W3643" s="16" t="str">
        <f aca="false">IF($D3643="","",Y3643-V3643)</f>
        <v/>
      </c>
      <c r="X3643" s="16" t="str">
        <f aca="false">IF($D3643="","",W3643-N3643)</f>
        <v/>
      </c>
      <c r="AB3643" s="17" t="str">
        <f aca="false">IF($D3643="","",IF(OR($R3643=TRUE(),$R3643="TRUE"),Settings!$C$6,Settings!$C$7)*100)</f>
        <v/>
      </c>
      <c r="AH3643" s="18" t="str">
        <f aca="false">IF($D3643="","",IF(COUNTIF($D$2:$D3643,$D3643)=1,1,0))</f>
        <v/>
      </c>
      <c r="AI3643" s="18" t="str">
        <f aca="false">IF($AH3643=1,SUMPRODUCT(--($AK$2:$AK$4001&lt;$AK3643))+1,"")</f>
        <v/>
      </c>
      <c r="AJ3643" s="18" t="str">
        <f aca="false">IF($D3643="","",IF(OR($R3643=TRUE(),$R3643="TRUE"),1,0))</f>
        <v/>
      </c>
      <c r="AK3643" s="18" t="str">
        <f aca="false">IF($AH3643=1,IFERROR(VALUE(MID($D3643,2,20)),1000000000)+ROW()/10000000,"")</f>
        <v/>
      </c>
    </row>
    <row r="3644" customFormat="false" ht="15" hidden="false" customHeight="false" outlineLevel="0" collapsed="false">
      <c r="F3644" s="15"/>
      <c r="N3644" s="16" t="str">
        <f aca="false">IF($D3644="","",M3644*Y3644/100)</f>
        <v/>
      </c>
      <c r="V3644" s="16" t="str">
        <f aca="false">IF($D3644="","",Y3644*AB3644/100)</f>
        <v/>
      </c>
      <c r="W3644" s="16" t="str">
        <f aca="false">IF($D3644="","",Y3644-V3644)</f>
        <v/>
      </c>
      <c r="X3644" s="16" t="str">
        <f aca="false">IF($D3644="","",W3644-N3644)</f>
        <v/>
      </c>
      <c r="AB3644" s="17" t="str">
        <f aca="false">IF($D3644="","",IF(OR($R3644=TRUE(),$R3644="TRUE"),Settings!$C$6,Settings!$C$7)*100)</f>
        <v/>
      </c>
      <c r="AH3644" s="18" t="str">
        <f aca="false">IF($D3644="","",IF(COUNTIF($D$2:$D3644,$D3644)=1,1,0))</f>
        <v/>
      </c>
      <c r="AI3644" s="18" t="str">
        <f aca="false">IF($AH3644=1,SUMPRODUCT(--($AK$2:$AK$4001&lt;$AK3644))+1,"")</f>
        <v/>
      </c>
      <c r="AJ3644" s="18" t="str">
        <f aca="false">IF($D3644="","",IF(OR($R3644=TRUE(),$R3644="TRUE"),1,0))</f>
        <v/>
      </c>
      <c r="AK3644" s="18" t="str">
        <f aca="false">IF($AH3644=1,IFERROR(VALUE(MID($D3644,2,20)),1000000000)+ROW()/10000000,"")</f>
        <v/>
      </c>
    </row>
    <row r="3645" customFormat="false" ht="15" hidden="false" customHeight="false" outlineLevel="0" collapsed="false">
      <c r="F3645" s="15"/>
      <c r="N3645" s="16" t="str">
        <f aca="false">IF($D3645="","",M3645*Y3645/100)</f>
        <v/>
      </c>
      <c r="V3645" s="16" t="str">
        <f aca="false">IF($D3645="","",Y3645*AB3645/100)</f>
        <v/>
      </c>
      <c r="W3645" s="16" t="str">
        <f aca="false">IF($D3645="","",Y3645-V3645)</f>
        <v/>
      </c>
      <c r="X3645" s="16" t="str">
        <f aca="false">IF($D3645="","",W3645-N3645)</f>
        <v/>
      </c>
      <c r="AB3645" s="17" t="str">
        <f aca="false">IF($D3645="","",IF(OR($R3645=TRUE(),$R3645="TRUE"),Settings!$C$6,Settings!$C$7)*100)</f>
        <v/>
      </c>
      <c r="AH3645" s="18" t="str">
        <f aca="false">IF($D3645="","",IF(COUNTIF($D$2:$D3645,$D3645)=1,1,0))</f>
        <v/>
      </c>
      <c r="AI3645" s="18" t="str">
        <f aca="false">IF($AH3645=1,SUMPRODUCT(--($AK$2:$AK$4001&lt;$AK3645))+1,"")</f>
        <v/>
      </c>
      <c r="AJ3645" s="18" t="str">
        <f aca="false">IF($D3645="","",IF(OR($R3645=TRUE(),$R3645="TRUE"),1,0))</f>
        <v/>
      </c>
      <c r="AK3645" s="18" t="str">
        <f aca="false">IF($AH3645=1,IFERROR(VALUE(MID($D3645,2,20)),1000000000)+ROW()/10000000,"")</f>
        <v/>
      </c>
    </row>
    <row r="3646" customFormat="false" ht="15" hidden="false" customHeight="false" outlineLevel="0" collapsed="false">
      <c r="F3646" s="15"/>
      <c r="N3646" s="16" t="str">
        <f aca="false">IF($D3646="","",M3646*Y3646/100)</f>
        <v/>
      </c>
      <c r="V3646" s="16" t="str">
        <f aca="false">IF($D3646="","",Y3646*AB3646/100)</f>
        <v/>
      </c>
      <c r="W3646" s="16" t="str">
        <f aca="false">IF($D3646="","",Y3646-V3646)</f>
        <v/>
      </c>
      <c r="X3646" s="16" t="str">
        <f aca="false">IF($D3646="","",W3646-N3646)</f>
        <v/>
      </c>
      <c r="AB3646" s="17" t="str">
        <f aca="false">IF($D3646="","",IF(OR($R3646=TRUE(),$R3646="TRUE"),Settings!$C$6,Settings!$C$7)*100)</f>
        <v/>
      </c>
      <c r="AH3646" s="18" t="str">
        <f aca="false">IF($D3646="","",IF(COUNTIF($D$2:$D3646,$D3646)=1,1,0))</f>
        <v/>
      </c>
      <c r="AI3646" s="18" t="str">
        <f aca="false">IF($AH3646=1,SUMPRODUCT(--($AK$2:$AK$4001&lt;$AK3646))+1,"")</f>
        <v/>
      </c>
      <c r="AJ3646" s="18" t="str">
        <f aca="false">IF($D3646="","",IF(OR($R3646=TRUE(),$R3646="TRUE"),1,0))</f>
        <v/>
      </c>
      <c r="AK3646" s="18" t="str">
        <f aca="false">IF($AH3646=1,IFERROR(VALUE(MID($D3646,2,20)),1000000000)+ROW()/10000000,"")</f>
        <v/>
      </c>
    </row>
    <row r="3647" customFormat="false" ht="15" hidden="false" customHeight="false" outlineLevel="0" collapsed="false">
      <c r="F3647" s="15"/>
      <c r="N3647" s="16" t="str">
        <f aca="false">IF($D3647="","",M3647*Y3647/100)</f>
        <v/>
      </c>
      <c r="V3647" s="16" t="str">
        <f aca="false">IF($D3647="","",Y3647*AB3647/100)</f>
        <v/>
      </c>
      <c r="W3647" s="16" t="str">
        <f aca="false">IF($D3647="","",Y3647-V3647)</f>
        <v/>
      </c>
      <c r="X3647" s="16" t="str">
        <f aca="false">IF($D3647="","",W3647-N3647)</f>
        <v/>
      </c>
      <c r="AB3647" s="17" t="str">
        <f aca="false">IF($D3647="","",IF(OR($R3647=TRUE(),$R3647="TRUE"),Settings!$C$6,Settings!$C$7)*100)</f>
        <v/>
      </c>
      <c r="AH3647" s="18" t="str">
        <f aca="false">IF($D3647="","",IF(COUNTIF($D$2:$D3647,$D3647)=1,1,0))</f>
        <v/>
      </c>
      <c r="AI3647" s="18" t="str">
        <f aca="false">IF($AH3647=1,SUMPRODUCT(--($AK$2:$AK$4001&lt;$AK3647))+1,"")</f>
        <v/>
      </c>
      <c r="AJ3647" s="18" t="str">
        <f aca="false">IF($D3647="","",IF(OR($R3647=TRUE(),$R3647="TRUE"),1,0))</f>
        <v/>
      </c>
      <c r="AK3647" s="18" t="str">
        <f aca="false">IF($AH3647=1,IFERROR(VALUE(MID($D3647,2,20)),1000000000)+ROW()/10000000,"")</f>
        <v/>
      </c>
    </row>
    <row r="3648" customFormat="false" ht="15" hidden="false" customHeight="false" outlineLevel="0" collapsed="false">
      <c r="F3648" s="15"/>
      <c r="N3648" s="16" t="str">
        <f aca="false">IF($D3648="","",M3648*Y3648/100)</f>
        <v/>
      </c>
      <c r="V3648" s="16" t="str">
        <f aca="false">IF($D3648="","",Y3648*AB3648/100)</f>
        <v/>
      </c>
      <c r="W3648" s="16" t="str">
        <f aca="false">IF($D3648="","",Y3648-V3648)</f>
        <v/>
      </c>
      <c r="X3648" s="16" t="str">
        <f aca="false">IF($D3648="","",W3648-N3648)</f>
        <v/>
      </c>
      <c r="AB3648" s="17" t="str">
        <f aca="false">IF($D3648="","",IF(OR($R3648=TRUE(),$R3648="TRUE"),Settings!$C$6,Settings!$C$7)*100)</f>
        <v/>
      </c>
      <c r="AH3648" s="18" t="str">
        <f aca="false">IF($D3648="","",IF(COUNTIF($D$2:$D3648,$D3648)=1,1,0))</f>
        <v/>
      </c>
      <c r="AI3648" s="18" t="str">
        <f aca="false">IF($AH3648=1,SUMPRODUCT(--($AK$2:$AK$4001&lt;$AK3648))+1,"")</f>
        <v/>
      </c>
      <c r="AJ3648" s="18" t="str">
        <f aca="false">IF($D3648="","",IF(OR($R3648=TRUE(),$R3648="TRUE"),1,0))</f>
        <v/>
      </c>
      <c r="AK3648" s="18" t="str">
        <f aca="false">IF($AH3648=1,IFERROR(VALUE(MID($D3648,2,20)),1000000000)+ROW()/10000000,"")</f>
        <v/>
      </c>
    </row>
    <row r="3649" customFormat="false" ht="15" hidden="false" customHeight="false" outlineLevel="0" collapsed="false">
      <c r="F3649" s="15"/>
      <c r="N3649" s="16" t="str">
        <f aca="false">IF($D3649="","",M3649*Y3649/100)</f>
        <v/>
      </c>
      <c r="V3649" s="16" t="str">
        <f aca="false">IF($D3649="","",Y3649*AB3649/100)</f>
        <v/>
      </c>
      <c r="W3649" s="16" t="str">
        <f aca="false">IF($D3649="","",Y3649-V3649)</f>
        <v/>
      </c>
      <c r="X3649" s="16" t="str">
        <f aca="false">IF($D3649="","",W3649-N3649)</f>
        <v/>
      </c>
      <c r="AB3649" s="17" t="str">
        <f aca="false">IF($D3649="","",IF(OR($R3649=TRUE(),$R3649="TRUE"),Settings!$C$6,Settings!$C$7)*100)</f>
        <v/>
      </c>
      <c r="AH3649" s="18" t="str">
        <f aca="false">IF($D3649="","",IF(COUNTIF($D$2:$D3649,$D3649)=1,1,0))</f>
        <v/>
      </c>
      <c r="AI3649" s="18" t="str">
        <f aca="false">IF($AH3649=1,SUMPRODUCT(--($AK$2:$AK$4001&lt;$AK3649))+1,"")</f>
        <v/>
      </c>
      <c r="AJ3649" s="18" t="str">
        <f aca="false">IF($D3649="","",IF(OR($R3649=TRUE(),$R3649="TRUE"),1,0))</f>
        <v/>
      </c>
      <c r="AK3649" s="18" t="str">
        <f aca="false">IF($AH3649=1,IFERROR(VALUE(MID($D3649,2,20)),1000000000)+ROW()/10000000,"")</f>
        <v/>
      </c>
    </row>
    <row r="3650" customFormat="false" ht="15" hidden="false" customHeight="false" outlineLevel="0" collapsed="false">
      <c r="F3650" s="15"/>
      <c r="N3650" s="16" t="str">
        <f aca="false">IF($D3650="","",M3650*Y3650/100)</f>
        <v/>
      </c>
      <c r="V3650" s="16" t="str">
        <f aca="false">IF($D3650="","",Y3650*AB3650/100)</f>
        <v/>
      </c>
      <c r="W3650" s="16" t="str">
        <f aca="false">IF($D3650="","",Y3650-V3650)</f>
        <v/>
      </c>
      <c r="X3650" s="16" t="str">
        <f aca="false">IF($D3650="","",W3650-N3650)</f>
        <v/>
      </c>
      <c r="AB3650" s="17" t="str">
        <f aca="false">IF($D3650="","",IF(OR($R3650=TRUE(),$R3650="TRUE"),Settings!$C$6,Settings!$C$7)*100)</f>
        <v/>
      </c>
      <c r="AH3650" s="18" t="str">
        <f aca="false">IF($D3650="","",IF(COUNTIF($D$2:$D3650,$D3650)=1,1,0))</f>
        <v/>
      </c>
      <c r="AI3650" s="18" t="str">
        <f aca="false">IF($AH3650=1,SUMPRODUCT(--($AK$2:$AK$4001&lt;$AK3650))+1,"")</f>
        <v/>
      </c>
      <c r="AJ3650" s="18" t="str">
        <f aca="false">IF($D3650="","",IF(OR($R3650=TRUE(),$R3650="TRUE"),1,0))</f>
        <v/>
      </c>
      <c r="AK3650" s="18" t="str">
        <f aca="false">IF($AH3650=1,IFERROR(VALUE(MID($D3650,2,20)),1000000000)+ROW()/10000000,"")</f>
        <v/>
      </c>
    </row>
    <row r="3651" customFormat="false" ht="15" hidden="false" customHeight="false" outlineLevel="0" collapsed="false">
      <c r="F3651" s="15"/>
      <c r="N3651" s="16" t="str">
        <f aca="false">IF($D3651="","",M3651*Y3651/100)</f>
        <v/>
      </c>
      <c r="V3651" s="16" t="str">
        <f aca="false">IF($D3651="","",Y3651*AB3651/100)</f>
        <v/>
      </c>
      <c r="W3651" s="16" t="str">
        <f aca="false">IF($D3651="","",Y3651-V3651)</f>
        <v/>
      </c>
      <c r="X3651" s="16" t="str">
        <f aca="false">IF($D3651="","",W3651-N3651)</f>
        <v/>
      </c>
      <c r="AB3651" s="17" t="str">
        <f aca="false">IF($D3651="","",IF(OR($R3651=TRUE(),$R3651="TRUE"),Settings!$C$6,Settings!$C$7)*100)</f>
        <v/>
      </c>
      <c r="AH3651" s="18" t="str">
        <f aca="false">IF($D3651="","",IF(COUNTIF($D$2:$D3651,$D3651)=1,1,0))</f>
        <v/>
      </c>
      <c r="AI3651" s="18" t="str">
        <f aca="false">IF($AH3651=1,SUMPRODUCT(--($AK$2:$AK$4001&lt;$AK3651))+1,"")</f>
        <v/>
      </c>
      <c r="AJ3651" s="18" t="str">
        <f aca="false">IF($D3651="","",IF(OR($R3651=TRUE(),$R3651="TRUE"),1,0))</f>
        <v/>
      </c>
      <c r="AK3651" s="18" t="str">
        <f aca="false">IF($AH3651=1,IFERROR(VALUE(MID($D3651,2,20)),1000000000)+ROW()/10000000,"")</f>
        <v/>
      </c>
    </row>
    <row r="3652" customFormat="false" ht="15" hidden="false" customHeight="false" outlineLevel="0" collapsed="false">
      <c r="F3652" s="15"/>
      <c r="N3652" s="16" t="str">
        <f aca="false">IF($D3652="","",M3652*Y3652/100)</f>
        <v/>
      </c>
      <c r="V3652" s="16" t="str">
        <f aca="false">IF($D3652="","",Y3652*AB3652/100)</f>
        <v/>
      </c>
      <c r="W3652" s="16" t="str">
        <f aca="false">IF($D3652="","",Y3652-V3652)</f>
        <v/>
      </c>
      <c r="X3652" s="16" t="str">
        <f aca="false">IF($D3652="","",W3652-N3652)</f>
        <v/>
      </c>
      <c r="AB3652" s="17" t="str">
        <f aca="false">IF($D3652="","",IF(OR($R3652=TRUE(),$R3652="TRUE"),Settings!$C$6,Settings!$C$7)*100)</f>
        <v/>
      </c>
      <c r="AH3652" s="18" t="str">
        <f aca="false">IF($D3652="","",IF(COUNTIF($D$2:$D3652,$D3652)=1,1,0))</f>
        <v/>
      </c>
      <c r="AI3652" s="18" t="str">
        <f aca="false">IF($AH3652=1,SUMPRODUCT(--($AK$2:$AK$4001&lt;$AK3652))+1,"")</f>
        <v/>
      </c>
      <c r="AJ3652" s="18" t="str">
        <f aca="false">IF($D3652="","",IF(OR($R3652=TRUE(),$R3652="TRUE"),1,0))</f>
        <v/>
      </c>
      <c r="AK3652" s="18" t="str">
        <f aca="false">IF($AH3652=1,IFERROR(VALUE(MID($D3652,2,20)),1000000000)+ROW()/10000000,"")</f>
        <v/>
      </c>
    </row>
    <row r="3653" customFormat="false" ht="15" hidden="false" customHeight="false" outlineLevel="0" collapsed="false">
      <c r="F3653" s="15"/>
      <c r="N3653" s="16" t="str">
        <f aca="false">IF($D3653="","",M3653*Y3653/100)</f>
        <v/>
      </c>
      <c r="V3653" s="16" t="str">
        <f aca="false">IF($D3653="","",Y3653*AB3653/100)</f>
        <v/>
      </c>
      <c r="W3653" s="16" t="str">
        <f aca="false">IF($D3653="","",Y3653-V3653)</f>
        <v/>
      </c>
      <c r="X3653" s="16" t="str">
        <f aca="false">IF($D3653="","",W3653-N3653)</f>
        <v/>
      </c>
      <c r="AB3653" s="17" t="str">
        <f aca="false">IF($D3653="","",IF(OR($R3653=TRUE(),$R3653="TRUE"),Settings!$C$6,Settings!$C$7)*100)</f>
        <v/>
      </c>
      <c r="AH3653" s="18" t="str">
        <f aca="false">IF($D3653="","",IF(COUNTIF($D$2:$D3653,$D3653)=1,1,0))</f>
        <v/>
      </c>
      <c r="AI3653" s="18" t="str">
        <f aca="false">IF($AH3653=1,SUMPRODUCT(--($AK$2:$AK$4001&lt;$AK3653))+1,"")</f>
        <v/>
      </c>
      <c r="AJ3653" s="18" t="str">
        <f aca="false">IF($D3653="","",IF(OR($R3653=TRUE(),$R3653="TRUE"),1,0))</f>
        <v/>
      </c>
      <c r="AK3653" s="18" t="str">
        <f aca="false">IF($AH3653=1,IFERROR(VALUE(MID($D3653,2,20)),1000000000)+ROW()/10000000,"")</f>
        <v/>
      </c>
    </row>
    <row r="3654" customFormat="false" ht="15" hidden="false" customHeight="false" outlineLevel="0" collapsed="false">
      <c r="F3654" s="15"/>
      <c r="N3654" s="16" t="str">
        <f aca="false">IF($D3654="","",M3654*Y3654/100)</f>
        <v/>
      </c>
      <c r="V3654" s="16" t="str">
        <f aca="false">IF($D3654="","",Y3654*AB3654/100)</f>
        <v/>
      </c>
      <c r="W3654" s="16" t="str">
        <f aca="false">IF($D3654="","",Y3654-V3654)</f>
        <v/>
      </c>
      <c r="X3654" s="16" t="str">
        <f aca="false">IF($D3654="","",W3654-N3654)</f>
        <v/>
      </c>
      <c r="AB3654" s="17" t="str">
        <f aca="false">IF($D3654="","",IF(OR($R3654=TRUE(),$R3654="TRUE"),Settings!$C$6,Settings!$C$7)*100)</f>
        <v/>
      </c>
      <c r="AH3654" s="18" t="str">
        <f aca="false">IF($D3654="","",IF(COUNTIF($D$2:$D3654,$D3654)=1,1,0))</f>
        <v/>
      </c>
      <c r="AI3654" s="18" t="str">
        <f aca="false">IF($AH3654=1,SUMPRODUCT(--($AK$2:$AK$4001&lt;$AK3654))+1,"")</f>
        <v/>
      </c>
      <c r="AJ3654" s="18" t="str">
        <f aca="false">IF($D3654="","",IF(OR($R3654=TRUE(),$R3654="TRUE"),1,0))</f>
        <v/>
      </c>
      <c r="AK3654" s="18" t="str">
        <f aca="false">IF($AH3654=1,IFERROR(VALUE(MID($D3654,2,20)),1000000000)+ROW()/10000000,"")</f>
        <v/>
      </c>
    </row>
    <row r="3655" customFormat="false" ht="15" hidden="false" customHeight="false" outlineLevel="0" collapsed="false">
      <c r="F3655" s="15"/>
      <c r="N3655" s="16" t="str">
        <f aca="false">IF($D3655="","",M3655*Y3655/100)</f>
        <v/>
      </c>
      <c r="V3655" s="16" t="str">
        <f aca="false">IF($D3655="","",Y3655*AB3655/100)</f>
        <v/>
      </c>
      <c r="W3655" s="16" t="str">
        <f aca="false">IF($D3655="","",Y3655-V3655)</f>
        <v/>
      </c>
      <c r="X3655" s="16" t="str">
        <f aca="false">IF($D3655="","",W3655-N3655)</f>
        <v/>
      </c>
      <c r="AB3655" s="17" t="str">
        <f aca="false">IF($D3655="","",IF(OR($R3655=TRUE(),$R3655="TRUE"),Settings!$C$6,Settings!$C$7)*100)</f>
        <v/>
      </c>
      <c r="AH3655" s="18" t="str">
        <f aca="false">IF($D3655="","",IF(COUNTIF($D$2:$D3655,$D3655)=1,1,0))</f>
        <v/>
      </c>
      <c r="AI3655" s="18" t="str">
        <f aca="false">IF($AH3655=1,SUMPRODUCT(--($AK$2:$AK$4001&lt;$AK3655))+1,"")</f>
        <v/>
      </c>
      <c r="AJ3655" s="18" t="str">
        <f aca="false">IF($D3655="","",IF(OR($R3655=TRUE(),$R3655="TRUE"),1,0))</f>
        <v/>
      </c>
      <c r="AK3655" s="18" t="str">
        <f aca="false">IF($AH3655=1,IFERROR(VALUE(MID($D3655,2,20)),1000000000)+ROW()/10000000,"")</f>
        <v/>
      </c>
    </row>
    <row r="3656" customFormat="false" ht="15" hidden="false" customHeight="false" outlineLevel="0" collapsed="false">
      <c r="F3656" s="15"/>
      <c r="N3656" s="16" t="str">
        <f aca="false">IF($D3656="","",M3656*Y3656/100)</f>
        <v/>
      </c>
      <c r="V3656" s="16" t="str">
        <f aca="false">IF($D3656="","",Y3656*AB3656/100)</f>
        <v/>
      </c>
      <c r="W3656" s="16" t="str">
        <f aca="false">IF($D3656="","",Y3656-V3656)</f>
        <v/>
      </c>
      <c r="X3656" s="16" t="str">
        <f aca="false">IF($D3656="","",W3656-N3656)</f>
        <v/>
      </c>
      <c r="AB3656" s="17" t="str">
        <f aca="false">IF($D3656="","",IF(OR($R3656=TRUE(),$R3656="TRUE"),Settings!$C$6,Settings!$C$7)*100)</f>
        <v/>
      </c>
      <c r="AH3656" s="18" t="str">
        <f aca="false">IF($D3656="","",IF(COUNTIF($D$2:$D3656,$D3656)=1,1,0))</f>
        <v/>
      </c>
      <c r="AI3656" s="18" t="str">
        <f aca="false">IF($AH3656=1,SUMPRODUCT(--($AK$2:$AK$4001&lt;$AK3656))+1,"")</f>
        <v/>
      </c>
      <c r="AJ3656" s="18" t="str">
        <f aca="false">IF($D3656="","",IF(OR($R3656=TRUE(),$R3656="TRUE"),1,0))</f>
        <v/>
      </c>
      <c r="AK3656" s="18" t="str">
        <f aca="false">IF($AH3656=1,IFERROR(VALUE(MID($D3656,2,20)),1000000000)+ROW()/10000000,"")</f>
        <v/>
      </c>
    </row>
    <row r="3657" customFormat="false" ht="15" hidden="false" customHeight="false" outlineLevel="0" collapsed="false">
      <c r="F3657" s="15"/>
      <c r="N3657" s="16" t="str">
        <f aca="false">IF($D3657="","",M3657*Y3657/100)</f>
        <v/>
      </c>
      <c r="V3657" s="16" t="str">
        <f aca="false">IF($D3657="","",Y3657*AB3657/100)</f>
        <v/>
      </c>
      <c r="W3657" s="16" t="str">
        <f aca="false">IF($D3657="","",Y3657-V3657)</f>
        <v/>
      </c>
      <c r="X3657" s="16" t="str">
        <f aca="false">IF($D3657="","",W3657-N3657)</f>
        <v/>
      </c>
      <c r="AB3657" s="17" t="str">
        <f aca="false">IF($D3657="","",IF(OR($R3657=TRUE(),$R3657="TRUE"),Settings!$C$6,Settings!$C$7)*100)</f>
        <v/>
      </c>
      <c r="AH3657" s="18" t="str">
        <f aca="false">IF($D3657="","",IF(COUNTIF($D$2:$D3657,$D3657)=1,1,0))</f>
        <v/>
      </c>
      <c r="AI3657" s="18" t="str">
        <f aca="false">IF($AH3657=1,SUMPRODUCT(--($AK$2:$AK$4001&lt;$AK3657))+1,"")</f>
        <v/>
      </c>
      <c r="AJ3657" s="18" t="str">
        <f aca="false">IF($D3657="","",IF(OR($R3657=TRUE(),$R3657="TRUE"),1,0))</f>
        <v/>
      </c>
      <c r="AK3657" s="18" t="str">
        <f aca="false">IF($AH3657=1,IFERROR(VALUE(MID($D3657,2,20)),1000000000)+ROW()/10000000,"")</f>
        <v/>
      </c>
    </row>
    <row r="3658" customFormat="false" ht="15" hidden="false" customHeight="false" outlineLevel="0" collapsed="false">
      <c r="F3658" s="15"/>
      <c r="N3658" s="16" t="str">
        <f aca="false">IF($D3658="","",M3658*Y3658/100)</f>
        <v/>
      </c>
      <c r="V3658" s="16" t="str">
        <f aca="false">IF($D3658="","",Y3658*AB3658/100)</f>
        <v/>
      </c>
      <c r="W3658" s="16" t="str">
        <f aca="false">IF($D3658="","",Y3658-V3658)</f>
        <v/>
      </c>
      <c r="X3658" s="16" t="str">
        <f aca="false">IF($D3658="","",W3658-N3658)</f>
        <v/>
      </c>
      <c r="AB3658" s="17" t="str">
        <f aca="false">IF($D3658="","",IF(OR($R3658=TRUE(),$R3658="TRUE"),Settings!$C$6,Settings!$C$7)*100)</f>
        <v/>
      </c>
      <c r="AH3658" s="18" t="str">
        <f aca="false">IF($D3658="","",IF(COUNTIF($D$2:$D3658,$D3658)=1,1,0))</f>
        <v/>
      </c>
      <c r="AI3658" s="18" t="str">
        <f aca="false">IF($AH3658=1,SUMPRODUCT(--($AK$2:$AK$4001&lt;$AK3658))+1,"")</f>
        <v/>
      </c>
      <c r="AJ3658" s="18" t="str">
        <f aca="false">IF($D3658="","",IF(OR($R3658=TRUE(),$R3658="TRUE"),1,0))</f>
        <v/>
      </c>
      <c r="AK3658" s="18" t="str">
        <f aca="false">IF($AH3658=1,IFERROR(VALUE(MID($D3658,2,20)),1000000000)+ROW()/10000000,"")</f>
        <v/>
      </c>
    </row>
    <row r="3659" customFormat="false" ht="15" hidden="false" customHeight="false" outlineLevel="0" collapsed="false">
      <c r="F3659" s="15"/>
      <c r="N3659" s="16" t="str">
        <f aca="false">IF($D3659="","",M3659*Y3659/100)</f>
        <v/>
      </c>
      <c r="V3659" s="16" t="str">
        <f aca="false">IF($D3659="","",Y3659*AB3659/100)</f>
        <v/>
      </c>
      <c r="W3659" s="16" t="str">
        <f aca="false">IF($D3659="","",Y3659-V3659)</f>
        <v/>
      </c>
      <c r="X3659" s="16" t="str">
        <f aca="false">IF($D3659="","",W3659-N3659)</f>
        <v/>
      </c>
      <c r="AB3659" s="17" t="str">
        <f aca="false">IF($D3659="","",IF(OR($R3659=TRUE(),$R3659="TRUE"),Settings!$C$6,Settings!$C$7)*100)</f>
        <v/>
      </c>
      <c r="AH3659" s="18" t="str">
        <f aca="false">IF($D3659="","",IF(COUNTIF($D$2:$D3659,$D3659)=1,1,0))</f>
        <v/>
      </c>
      <c r="AI3659" s="18" t="str">
        <f aca="false">IF($AH3659=1,SUMPRODUCT(--($AK$2:$AK$4001&lt;$AK3659))+1,"")</f>
        <v/>
      </c>
      <c r="AJ3659" s="18" t="str">
        <f aca="false">IF($D3659="","",IF(OR($R3659=TRUE(),$R3659="TRUE"),1,0))</f>
        <v/>
      </c>
      <c r="AK3659" s="18" t="str">
        <f aca="false">IF($AH3659=1,IFERROR(VALUE(MID($D3659,2,20)),1000000000)+ROW()/10000000,"")</f>
        <v/>
      </c>
    </row>
    <row r="3660" customFormat="false" ht="15" hidden="false" customHeight="false" outlineLevel="0" collapsed="false">
      <c r="F3660" s="15"/>
      <c r="N3660" s="16" t="str">
        <f aca="false">IF($D3660="","",M3660*Y3660/100)</f>
        <v/>
      </c>
      <c r="V3660" s="16" t="str">
        <f aca="false">IF($D3660="","",Y3660*AB3660/100)</f>
        <v/>
      </c>
      <c r="W3660" s="16" t="str">
        <f aca="false">IF($D3660="","",Y3660-V3660)</f>
        <v/>
      </c>
      <c r="X3660" s="16" t="str">
        <f aca="false">IF($D3660="","",W3660-N3660)</f>
        <v/>
      </c>
      <c r="AB3660" s="17" t="str">
        <f aca="false">IF($D3660="","",IF(OR($R3660=TRUE(),$R3660="TRUE"),Settings!$C$6,Settings!$C$7)*100)</f>
        <v/>
      </c>
      <c r="AH3660" s="18" t="str">
        <f aca="false">IF($D3660="","",IF(COUNTIF($D$2:$D3660,$D3660)=1,1,0))</f>
        <v/>
      </c>
      <c r="AI3660" s="18" t="str">
        <f aca="false">IF($AH3660=1,SUMPRODUCT(--($AK$2:$AK$4001&lt;$AK3660))+1,"")</f>
        <v/>
      </c>
      <c r="AJ3660" s="18" t="str">
        <f aca="false">IF($D3660="","",IF(OR($R3660=TRUE(),$R3660="TRUE"),1,0))</f>
        <v/>
      </c>
      <c r="AK3660" s="18" t="str">
        <f aca="false">IF($AH3660=1,IFERROR(VALUE(MID($D3660,2,20)),1000000000)+ROW()/10000000,"")</f>
        <v/>
      </c>
    </row>
    <row r="3661" customFormat="false" ht="15" hidden="false" customHeight="false" outlineLevel="0" collapsed="false">
      <c r="F3661" s="15"/>
      <c r="N3661" s="16" t="str">
        <f aca="false">IF($D3661="","",M3661*Y3661/100)</f>
        <v/>
      </c>
      <c r="V3661" s="16" t="str">
        <f aca="false">IF($D3661="","",Y3661*AB3661/100)</f>
        <v/>
      </c>
      <c r="W3661" s="16" t="str">
        <f aca="false">IF($D3661="","",Y3661-V3661)</f>
        <v/>
      </c>
      <c r="X3661" s="16" t="str">
        <f aca="false">IF($D3661="","",W3661-N3661)</f>
        <v/>
      </c>
      <c r="AB3661" s="17" t="str">
        <f aca="false">IF($D3661="","",IF(OR($R3661=TRUE(),$R3661="TRUE"),Settings!$C$6,Settings!$C$7)*100)</f>
        <v/>
      </c>
      <c r="AH3661" s="18" t="str">
        <f aca="false">IF($D3661="","",IF(COUNTIF($D$2:$D3661,$D3661)=1,1,0))</f>
        <v/>
      </c>
      <c r="AI3661" s="18" t="str">
        <f aca="false">IF($AH3661=1,SUMPRODUCT(--($AK$2:$AK$4001&lt;$AK3661))+1,"")</f>
        <v/>
      </c>
      <c r="AJ3661" s="18" t="str">
        <f aca="false">IF($D3661="","",IF(OR($R3661=TRUE(),$R3661="TRUE"),1,0))</f>
        <v/>
      </c>
      <c r="AK3661" s="18" t="str">
        <f aca="false">IF($AH3661=1,IFERROR(VALUE(MID($D3661,2,20)),1000000000)+ROW()/10000000,"")</f>
        <v/>
      </c>
    </row>
    <row r="3662" customFormat="false" ht="15" hidden="false" customHeight="false" outlineLevel="0" collapsed="false">
      <c r="F3662" s="15"/>
      <c r="N3662" s="16" t="str">
        <f aca="false">IF($D3662="","",M3662*Y3662/100)</f>
        <v/>
      </c>
      <c r="V3662" s="16" t="str">
        <f aca="false">IF($D3662="","",Y3662*AB3662/100)</f>
        <v/>
      </c>
      <c r="W3662" s="16" t="str">
        <f aca="false">IF($D3662="","",Y3662-V3662)</f>
        <v/>
      </c>
      <c r="X3662" s="16" t="str">
        <f aca="false">IF($D3662="","",W3662-N3662)</f>
        <v/>
      </c>
      <c r="AB3662" s="17" t="str">
        <f aca="false">IF($D3662="","",IF(OR($R3662=TRUE(),$R3662="TRUE"),Settings!$C$6,Settings!$C$7)*100)</f>
        <v/>
      </c>
      <c r="AH3662" s="18" t="str">
        <f aca="false">IF($D3662="","",IF(COUNTIF($D$2:$D3662,$D3662)=1,1,0))</f>
        <v/>
      </c>
      <c r="AI3662" s="18" t="str">
        <f aca="false">IF($AH3662=1,SUMPRODUCT(--($AK$2:$AK$4001&lt;$AK3662))+1,"")</f>
        <v/>
      </c>
      <c r="AJ3662" s="18" t="str">
        <f aca="false">IF($D3662="","",IF(OR($R3662=TRUE(),$R3662="TRUE"),1,0))</f>
        <v/>
      </c>
      <c r="AK3662" s="18" t="str">
        <f aca="false">IF($AH3662=1,IFERROR(VALUE(MID($D3662,2,20)),1000000000)+ROW()/10000000,"")</f>
        <v/>
      </c>
    </row>
    <row r="3663" customFormat="false" ht="15" hidden="false" customHeight="false" outlineLevel="0" collapsed="false">
      <c r="F3663" s="15"/>
      <c r="N3663" s="16" t="str">
        <f aca="false">IF($D3663="","",M3663*Y3663/100)</f>
        <v/>
      </c>
      <c r="V3663" s="16" t="str">
        <f aca="false">IF($D3663="","",Y3663*AB3663/100)</f>
        <v/>
      </c>
      <c r="W3663" s="16" t="str">
        <f aca="false">IF($D3663="","",Y3663-V3663)</f>
        <v/>
      </c>
      <c r="X3663" s="16" t="str">
        <f aca="false">IF($D3663="","",W3663-N3663)</f>
        <v/>
      </c>
      <c r="AB3663" s="17" t="str">
        <f aca="false">IF($D3663="","",IF(OR($R3663=TRUE(),$R3663="TRUE"),Settings!$C$6,Settings!$C$7)*100)</f>
        <v/>
      </c>
      <c r="AH3663" s="18" t="str">
        <f aca="false">IF($D3663="","",IF(COUNTIF($D$2:$D3663,$D3663)=1,1,0))</f>
        <v/>
      </c>
      <c r="AI3663" s="18" t="str">
        <f aca="false">IF($AH3663=1,SUMPRODUCT(--($AK$2:$AK$4001&lt;$AK3663))+1,"")</f>
        <v/>
      </c>
      <c r="AJ3663" s="18" t="str">
        <f aca="false">IF($D3663="","",IF(OR($R3663=TRUE(),$R3663="TRUE"),1,0))</f>
        <v/>
      </c>
      <c r="AK3663" s="18" t="str">
        <f aca="false">IF($AH3663=1,IFERROR(VALUE(MID($D3663,2,20)),1000000000)+ROW()/10000000,"")</f>
        <v/>
      </c>
    </row>
    <row r="3664" customFormat="false" ht="15" hidden="false" customHeight="false" outlineLevel="0" collapsed="false">
      <c r="F3664" s="15"/>
      <c r="N3664" s="16" t="str">
        <f aca="false">IF($D3664="","",M3664*Y3664/100)</f>
        <v/>
      </c>
      <c r="V3664" s="16" t="str">
        <f aca="false">IF($D3664="","",Y3664*AB3664/100)</f>
        <v/>
      </c>
      <c r="W3664" s="16" t="str">
        <f aca="false">IF($D3664="","",Y3664-V3664)</f>
        <v/>
      </c>
      <c r="X3664" s="16" t="str">
        <f aca="false">IF($D3664="","",W3664-N3664)</f>
        <v/>
      </c>
      <c r="AB3664" s="17" t="str">
        <f aca="false">IF($D3664="","",IF(OR($R3664=TRUE(),$R3664="TRUE"),Settings!$C$6,Settings!$C$7)*100)</f>
        <v/>
      </c>
      <c r="AH3664" s="18" t="str">
        <f aca="false">IF($D3664="","",IF(COUNTIF($D$2:$D3664,$D3664)=1,1,0))</f>
        <v/>
      </c>
      <c r="AI3664" s="18" t="str">
        <f aca="false">IF($AH3664=1,SUMPRODUCT(--($AK$2:$AK$4001&lt;$AK3664))+1,"")</f>
        <v/>
      </c>
      <c r="AJ3664" s="18" t="str">
        <f aca="false">IF($D3664="","",IF(OR($R3664=TRUE(),$R3664="TRUE"),1,0))</f>
        <v/>
      </c>
      <c r="AK3664" s="18" t="str">
        <f aca="false">IF($AH3664=1,IFERROR(VALUE(MID($D3664,2,20)),1000000000)+ROW()/10000000,"")</f>
        <v/>
      </c>
    </row>
    <row r="3665" customFormat="false" ht="15" hidden="false" customHeight="false" outlineLevel="0" collapsed="false">
      <c r="F3665" s="15"/>
      <c r="N3665" s="16" t="str">
        <f aca="false">IF($D3665="","",M3665*Y3665/100)</f>
        <v/>
      </c>
      <c r="V3665" s="16" t="str">
        <f aca="false">IF($D3665="","",Y3665*AB3665/100)</f>
        <v/>
      </c>
      <c r="W3665" s="16" t="str">
        <f aca="false">IF($D3665="","",Y3665-V3665)</f>
        <v/>
      </c>
      <c r="X3665" s="16" t="str">
        <f aca="false">IF($D3665="","",W3665-N3665)</f>
        <v/>
      </c>
      <c r="AB3665" s="17" t="str">
        <f aca="false">IF($D3665="","",IF(OR($R3665=TRUE(),$R3665="TRUE"),Settings!$C$6,Settings!$C$7)*100)</f>
        <v/>
      </c>
      <c r="AH3665" s="18" t="str">
        <f aca="false">IF($D3665="","",IF(COUNTIF($D$2:$D3665,$D3665)=1,1,0))</f>
        <v/>
      </c>
      <c r="AI3665" s="18" t="str">
        <f aca="false">IF($AH3665=1,SUMPRODUCT(--($AK$2:$AK$4001&lt;$AK3665))+1,"")</f>
        <v/>
      </c>
      <c r="AJ3665" s="18" t="str">
        <f aca="false">IF($D3665="","",IF(OR($R3665=TRUE(),$R3665="TRUE"),1,0))</f>
        <v/>
      </c>
      <c r="AK3665" s="18" t="str">
        <f aca="false">IF($AH3665=1,IFERROR(VALUE(MID($D3665,2,20)),1000000000)+ROW()/10000000,"")</f>
        <v/>
      </c>
    </row>
    <row r="3666" customFormat="false" ht="15" hidden="false" customHeight="false" outlineLevel="0" collapsed="false">
      <c r="F3666" s="15"/>
      <c r="N3666" s="16" t="str">
        <f aca="false">IF($D3666="","",M3666*Y3666/100)</f>
        <v/>
      </c>
      <c r="V3666" s="16" t="str">
        <f aca="false">IF($D3666="","",Y3666*AB3666/100)</f>
        <v/>
      </c>
      <c r="W3666" s="16" t="str">
        <f aca="false">IF($D3666="","",Y3666-V3666)</f>
        <v/>
      </c>
      <c r="X3666" s="16" t="str">
        <f aca="false">IF($D3666="","",W3666-N3666)</f>
        <v/>
      </c>
      <c r="AB3666" s="17" t="str">
        <f aca="false">IF($D3666="","",IF(OR($R3666=TRUE(),$R3666="TRUE"),Settings!$C$6,Settings!$C$7)*100)</f>
        <v/>
      </c>
      <c r="AH3666" s="18" t="str">
        <f aca="false">IF($D3666="","",IF(COUNTIF($D$2:$D3666,$D3666)=1,1,0))</f>
        <v/>
      </c>
      <c r="AI3666" s="18" t="str">
        <f aca="false">IF($AH3666=1,SUMPRODUCT(--($AK$2:$AK$4001&lt;$AK3666))+1,"")</f>
        <v/>
      </c>
      <c r="AJ3666" s="18" t="str">
        <f aca="false">IF($D3666="","",IF(OR($R3666=TRUE(),$R3666="TRUE"),1,0))</f>
        <v/>
      </c>
      <c r="AK3666" s="18" t="str">
        <f aca="false">IF($AH3666=1,IFERROR(VALUE(MID($D3666,2,20)),1000000000)+ROW()/10000000,"")</f>
        <v/>
      </c>
    </row>
    <row r="3667" customFormat="false" ht="15" hidden="false" customHeight="false" outlineLevel="0" collapsed="false">
      <c r="F3667" s="15"/>
      <c r="N3667" s="16" t="str">
        <f aca="false">IF($D3667="","",M3667*Y3667/100)</f>
        <v/>
      </c>
      <c r="V3667" s="16" t="str">
        <f aca="false">IF($D3667="","",Y3667*AB3667/100)</f>
        <v/>
      </c>
      <c r="W3667" s="16" t="str">
        <f aca="false">IF($D3667="","",Y3667-V3667)</f>
        <v/>
      </c>
      <c r="X3667" s="16" t="str">
        <f aca="false">IF($D3667="","",W3667-N3667)</f>
        <v/>
      </c>
      <c r="AB3667" s="17" t="str">
        <f aca="false">IF($D3667="","",IF(OR($R3667=TRUE(),$R3667="TRUE"),Settings!$C$6,Settings!$C$7)*100)</f>
        <v/>
      </c>
      <c r="AH3667" s="18" t="str">
        <f aca="false">IF($D3667="","",IF(COUNTIF($D$2:$D3667,$D3667)=1,1,0))</f>
        <v/>
      </c>
      <c r="AI3667" s="18" t="str">
        <f aca="false">IF($AH3667=1,SUMPRODUCT(--($AK$2:$AK$4001&lt;$AK3667))+1,"")</f>
        <v/>
      </c>
      <c r="AJ3667" s="18" t="str">
        <f aca="false">IF($D3667="","",IF(OR($R3667=TRUE(),$R3667="TRUE"),1,0))</f>
        <v/>
      </c>
      <c r="AK3667" s="18" t="str">
        <f aca="false">IF($AH3667=1,IFERROR(VALUE(MID($D3667,2,20)),1000000000)+ROW()/10000000,"")</f>
        <v/>
      </c>
    </row>
    <row r="3668" customFormat="false" ht="15" hidden="false" customHeight="false" outlineLevel="0" collapsed="false">
      <c r="F3668" s="15"/>
      <c r="N3668" s="16" t="str">
        <f aca="false">IF($D3668="","",M3668*Y3668/100)</f>
        <v/>
      </c>
      <c r="V3668" s="16" t="str">
        <f aca="false">IF($D3668="","",Y3668*AB3668/100)</f>
        <v/>
      </c>
      <c r="W3668" s="16" t="str">
        <f aca="false">IF($D3668="","",Y3668-V3668)</f>
        <v/>
      </c>
      <c r="X3668" s="16" t="str">
        <f aca="false">IF($D3668="","",W3668-N3668)</f>
        <v/>
      </c>
      <c r="AB3668" s="17" t="str">
        <f aca="false">IF($D3668="","",IF(OR($R3668=TRUE(),$R3668="TRUE"),Settings!$C$6,Settings!$C$7)*100)</f>
        <v/>
      </c>
      <c r="AH3668" s="18" t="str">
        <f aca="false">IF($D3668="","",IF(COUNTIF($D$2:$D3668,$D3668)=1,1,0))</f>
        <v/>
      </c>
      <c r="AI3668" s="18" t="str">
        <f aca="false">IF($AH3668=1,SUMPRODUCT(--($AK$2:$AK$4001&lt;$AK3668))+1,"")</f>
        <v/>
      </c>
      <c r="AJ3668" s="18" t="str">
        <f aca="false">IF($D3668="","",IF(OR($R3668=TRUE(),$R3668="TRUE"),1,0))</f>
        <v/>
      </c>
      <c r="AK3668" s="18" t="str">
        <f aca="false">IF($AH3668=1,IFERROR(VALUE(MID($D3668,2,20)),1000000000)+ROW()/10000000,"")</f>
        <v/>
      </c>
    </row>
    <row r="3669" customFormat="false" ht="15" hidden="false" customHeight="false" outlineLevel="0" collapsed="false">
      <c r="F3669" s="15"/>
      <c r="N3669" s="16" t="str">
        <f aca="false">IF($D3669="","",M3669*Y3669/100)</f>
        <v/>
      </c>
      <c r="V3669" s="16" t="str">
        <f aca="false">IF($D3669="","",Y3669*AB3669/100)</f>
        <v/>
      </c>
      <c r="W3669" s="16" t="str">
        <f aca="false">IF($D3669="","",Y3669-V3669)</f>
        <v/>
      </c>
      <c r="X3669" s="16" t="str">
        <f aca="false">IF($D3669="","",W3669-N3669)</f>
        <v/>
      </c>
      <c r="AB3669" s="17" t="str">
        <f aca="false">IF($D3669="","",IF(OR($R3669=TRUE(),$R3669="TRUE"),Settings!$C$6,Settings!$C$7)*100)</f>
        <v/>
      </c>
      <c r="AH3669" s="18" t="str">
        <f aca="false">IF($D3669="","",IF(COUNTIF($D$2:$D3669,$D3669)=1,1,0))</f>
        <v/>
      </c>
      <c r="AI3669" s="18" t="str">
        <f aca="false">IF($AH3669=1,SUMPRODUCT(--($AK$2:$AK$4001&lt;$AK3669))+1,"")</f>
        <v/>
      </c>
      <c r="AJ3669" s="18" t="str">
        <f aca="false">IF($D3669="","",IF(OR($R3669=TRUE(),$R3669="TRUE"),1,0))</f>
        <v/>
      </c>
      <c r="AK3669" s="18" t="str">
        <f aca="false">IF($AH3669=1,IFERROR(VALUE(MID($D3669,2,20)),1000000000)+ROW()/10000000,"")</f>
        <v/>
      </c>
    </row>
    <row r="3670" customFormat="false" ht="15" hidden="false" customHeight="false" outlineLevel="0" collapsed="false">
      <c r="F3670" s="15"/>
      <c r="N3670" s="16" t="str">
        <f aca="false">IF($D3670="","",M3670*Y3670/100)</f>
        <v/>
      </c>
      <c r="V3670" s="16" t="str">
        <f aca="false">IF($D3670="","",Y3670*AB3670/100)</f>
        <v/>
      </c>
      <c r="W3670" s="16" t="str">
        <f aca="false">IF($D3670="","",Y3670-V3670)</f>
        <v/>
      </c>
      <c r="X3670" s="16" t="str">
        <f aca="false">IF($D3670="","",W3670-N3670)</f>
        <v/>
      </c>
      <c r="AB3670" s="17" t="str">
        <f aca="false">IF($D3670="","",IF(OR($R3670=TRUE(),$R3670="TRUE"),Settings!$C$6,Settings!$C$7)*100)</f>
        <v/>
      </c>
      <c r="AH3670" s="18" t="str">
        <f aca="false">IF($D3670="","",IF(COUNTIF($D$2:$D3670,$D3670)=1,1,0))</f>
        <v/>
      </c>
      <c r="AI3670" s="18" t="str">
        <f aca="false">IF($AH3670=1,SUMPRODUCT(--($AK$2:$AK$4001&lt;$AK3670))+1,"")</f>
        <v/>
      </c>
      <c r="AJ3670" s="18" t="str">
        <f aca="false">IF($D3670="","",IF(OR($R3670=TRUE(),$R3670="TRUE"),1,0))</f>
        <v/>
      </c>
      <c r="AK3670" s="18" t="str">
        <f aca="false">IF($AH3670=1,IFERROR(VALUE(MID($D3670,2,20)),1000000000)+ROW()/10000000,"")</f>
        <v/>
      </c>
    </row>
    <row r="3671" customFormat="false" ht="15" hidden="false" customHeight="false" outlineLevel="0" collapsed="false">
      <c r="F3671" s="15"/>
      <c r="N3671" s="16" t="str">
        <f aca="false">IF($D3671="","",M3671*Y3671/100)</f>
        <v/>
      </c>
      <c r="V3671" s="16" t="str">
        <f aca="false">IF($D3671="","",Y3671*AB3671/100)</f>
        <v/>
      </c>
      <c r="W3671" s="16" t="str">
        <f aca="false">IF($D3671="","",Y3671-V3671)</f>
        <v/>
      </c>
      <c r="X3671" s="16" t="str">
        <f aca="false">IF($D3671="","",W3671-N3671)</f>
        <v/>
      </c>
      <c r="AB3671" s="17" t="str">
        <f aca="false">IF($D3671="","",IF(OR($R3671=TRUE(),$R3671="TRUE"),Settings!$C$6,Settings!$C$7)*100)</f>
        <v/>
      </c>
      <c r="AH3671" s="18" t="str">
        <f aca="false">IF($D3671="","",IF(COUNTIF($D$2:$D3671,$D3671)=1,1,0))</f>
        <v/>
      </c>
      <c r="AI3671" s="18" t="str">
        <f aca="false">IF($AH3671=1,SUMPRODUCT(--($AK$2:$AK$4001&lt;$AK3671))+1,"")</f>
        <v/>
      </c>
      <c r="AJ3671" s="18" t="str">
        <f aca="false">IF($D3671="","",IF(OR($R3671=TRUE(),$R3671="TRUE"),1,0))</f>
        <v/>
      </c>
      <c r="AK3671" s="18" t="str">
        <f aca="false">IF($AH3671=1,IFERROR(VALUE(MID($D3671,2,20)),1000000000)+ROW()/10000000,"")</f>
        <v/>
      </c>
    </row>
    <row r="3672" customFormat="false" ht="15" hidden="false" customHeight="false" outlineLevel="0" collapsed="false">
      <c r="F3672" s="15"/>
      <c r="N3672" s="16" t="str">
        <f aca="false">IF($D3672="","",M3672*Y3672/100)</f>
        <v/>
      </c>
      <c r="V3672" s="16" t="str">
        <f aca="false">IF($D3672="","",Y3672*AB3672/100)</f>
        <v/>
      </c>
      <c r="W3672" s="16" t="str">
        <f aca="false">IF($D3672="","",Y3672-V3672)</f>
        <v/>
      </c>
      <c r="X3672" s="16" t="str">
        <f aca="false">IF($D3672="","",W3672-N3672)</f>
        <v/>
      </c>
      <c r="AB3672" s="17" t="str">
        <f aca="false">IF($D3672="","",IF(OR($R3672=TRUE(),$R3672="TRUE"),Settings!$C$6,Settings!$C$7)*100)</f>
        <v/>
      </c>
      <c r="AH3672" s="18" t="str">
        <f aca="false">IF($D3672="","",IF(COUNTIF($D$2:$D3672,$D3672)=1,1,0))</f>
        <v/>
      </c>
      <c r="AI3672" s="18" t="str">
        <f aca="false">IF($AH3672=1,SUMPRODUCT(--($AK$2:$AK$4001&lt;$AK3672))+1,"")</f>
        <v/>
      </c>
      <c r="AJ3672" s="18" t="str">
        <f aca="false">IF($D3672="","",IF(OR($R3672=TRUE(),$R3672="TRUE"),1,0))</f>
        <v/>
      </c>
      <c r="AK3672" s="18" t="str">
        <f aca="false">IF($AH3672=1,IFERROR(VALUE(MID($D3672,2,20)),1000000000)+ROW()/10000000,"")</f>
        <v/>
      </c>
    </row>
    <row r="3673" customFormat="false" ht="15" hidden="false" customHeight="false" outlineLevel="0" collapsed="false">
      <c r="F3673" s="15"/>
      <c r="N3673" s="16" t="str">
        <f aca="false">IF($D3673="","",M3673*Y3673/100)</f>
        <v/>
      </c>
      <c r="V3673" s="16" t="str">
        <f aca="false">IF($D3673="","",Y3673*AB3673/100)</f>
        <v/>
      </c>
      <c r="W3673" s="16" t="str">
        <f aca="false">IF($D3673="","",Y3673-V3673)</f>
        <v/>
      </c>
      <c r="X3673" s="16" t="str">
        <f aca="false">IF($D3673="","",W3673-N3673)</f>
        <v/>
      </c>
      <c r="AB3673" s="17" t="str">
        <f aca="false">IF($D3673="","",IF(OR($R3673=TRUE(),$R3673="TRUE"),Settings!$C$6,Settings!$C$7)*100)</f>
        <v/>
      </c>
      <c r="AH3673" s="18" t="str">
        <f aca="false">IF($D3673="","",IF(COUNTIF($D$2:$D3673,$D3673)=1,1,0))</f>
        <v/>
      </c>
      <c r="AI3673" s="18" t="str">
        <f aca="false">IF($AH3673=1,SUMPRODUCT(--($AK$2:$AK$4001&lt;$AK3673))+1,"")</f>
        <v/>
      </c>
      <c r="AJ3673" s="18" t="str">
        <f aca="false">IF($D3673="","",IF(OR($R3673=TRUE(),$R3673="TRUE"),1,0))</f>
        <v/>
      </c>
      <c r="AK3673" s="18" t="str">
        <f aca="false">IF($AH3673=1,IFERROR(VALUE(MID($D3673,2,20)),1000000000)+ROW()/10000000,"")</f>
        <v/>
      </c>
    </row>
    <row r="3674" customFormat="false" ht="15" hidden="false" customHeight="false" outlineLevel="0" collapsed="false">
      <c r="F3674" s="15"/>
      <c r="N3674" s="16" t="str">
        <f aca="false">IF($D3674="","",M3674*Y3674/100)</f>
        <v/>
      </c>
      <c r="V3674" s="16" t="str">
        <f aca="false">IF($D3674="","",Y3674*AB3674/100)</f>
        <v/>
      </c>
      <c r="W3674" s="16" t="str">
        <f aca="false">IF($D3674="","",Y3674-V3674)</f>
        <v/>
      </c>
      <c r="X3674" s="16" t="str">
        <f aca="false">IF($D3674="","",W3674-N3674)</f>
        <v/>
      </c>
      <c r="AB3674" s="17" t="str">
        <f aca="false">IF($D3674="","",IF(OR($R3674=TRUE(),$R3674="TRUE"),Settings!$C$6,Settings!$C$7)*100)</f>
        <v/>
      </c>
      <c r="AH3674" s="18" t="str">
        <f aca="false">IF($D3674="","",IF(COUNTIF($D$2:$D3674,$D3674)=1,1,0))</f>
        <v/>
      </c>
      <c r="AI3674" s="18" t="str">
        <f aca="false">IF($AH3674=1,SUMPRODUCT(--($AK$2:$AK$4001&lt;$AK3674))+1,"")</f>
        <v/>
      </c>
      <c r="AJ3674" s="18" t="str">
        <f aca="false">IF($D3674="","",IF(OR($R3674=TRUE(),$R3674="TRUE"),1,0))</f>
        <v/>
      </c>
      <c r="AK3674" s="18" t="str">
        <f aca="false">IF($AH3674=1,IFERROR(VALUE(MID($D3674,2,20)),1000000000)+ROW()/10000000,"")</f>
        <v/>
      </c>
    </row>
    <row r="3675" customFormat="false" ht="15" hidden="false" customHeight="false" outlineLevel="0" collapsed="false">
      <c r="F3675" s="15"/>
      <c r="N3675" s="16" t="str">
        <f aca="false">IF($D3675="","",M3675*Y3675/100)</f>
        <v/>
      </c>
      <c r="V3675" s="16" t="str">
        <f aca="false">IF($D3675="","",Y3675*AB3675/100)</f>
        <v/>
      </c>
      <c r="W3675" s="16" t="str">
        <f aca="false">IF($D3675="","",Y3675-V3675)</f>
        <v/>
      </c>
      <c r="X3675" s="16" t="str">
        <f aca="false">IF($D3675="","",W3675-N3675)</f>
        <v/>
      </c>
      <c r="AB3675" s="17" t="str">
        <f aca="false">IF($D3675="","",IF(OR($R3675=TRUE(),$R3675="TRUE"),Settings!$C$6,Settings!$C$7)*100)</f>
        <v/>
      </c>
      <c r="AH3675" s="18" t="str">
        <f aca="false">IF($D3675="","",IF(COUNTIF($D$2:$D3675,$D3675)=1,1,0))</f>
        <v/>
      </c>
      <c r="AI3675" s="18" t="str">
        <f aca="false">IF($AH3675=1,SUMPRODUCT(--($AK$2:$AK$4001&lt;$AK3675))+1,"")</f>
        <v/>
      </c>
      <c r="AJ3675" s="18" t="str">
        <f aca="false">IF($D3675="","",IF(OR($R3675=TRUE(),$R3675="TRUE"),1,0))</f>
        <v/>
      </c>
      <c r="AK3675" s="18" t="str">
        <f aca="false">IF($AH3675=1,IFERROR(VALUE(MID($D3675,2,20)),1000000000)+ROW()/10000000,"")</f>
        <v/>
      </c>
    </row>
    <row r="3676" customFormat="false" ht="15" hidden="false" customHeight="false" outlineLevel="0" collapsed="false">
      <c r="F3676" s="15"/>
      <c r="N3676" s="16" t="str">
        <f aca="false">IF($D3676="","",M3676*Y3676/100)</f>
        <v/>
      </c>
      <c r="V3676" s="16" t="str">
        <f aca="false">IF($D3676="","",Y3676*AB3676/100)</f>
        <v/>
      </c>
      <c r="W3676" s="16" t="str">
        <f aca="false">IF($D3676="","",Y3676-V3676)</f>
        <v/>
      </c>
      <c r="X3676" s="16" t="str">
        <f aca="false">IF($D3676="","",W3676-N3676)</f>
        <v/>
      </c>
      <c r="AB3676" s="17" t="str">
        <f aca="false">IF($D3676="","",IF(OR($R3676=TRUE(),$R3676="TRUE"),Settings!$C$6,Settings!$C$7)*100)</f>
        <v/>
      </c>
      <c r="AH3676" s="18" t="str">
        <f aca="false">IF($D3676="","",IF(COUNTIF($D$2:$D3676,$D3676)=1,1,0))</f>
        <v/>
      </c>
      <c r="AI3676" s="18" t="str">
        <f aca="false">IF($AH3676=1,SUMPRODUCT(--($AK$2:$AK$4001&lt;$AK3676))+1,"")</f>
        <v/>
      </c>
      <c r="AJ3676" s="18" t="str">
        <f aca="false">IF($D3676="","",IF(OR($R3676=TRUE(),$R3676="TRUE"),1,0))</f>
        <v/>
      </c>
      <c r="AK3676" s="18" t="str">
        <f aca="false">IF($AH3676=1,IFERROR(VALUE(MID($D3676,2,20)),1000000000)+ROW()/10000000,"")</f>
        <v/>
      </c>
    </row>
    <row r="3677" customFormat="false" ht="15" hidden="false" customHeight="false" outlineLevel="0" collapsed="false">
      <c r="F3677" s="15"/>
      <c r="N3677" s="16" t="str">
        <f aca="false">IF($D3677="","",M3677*Y3677/100)</f>
        <v/>
      </c>
      <c r="V3677" s="16" t="str">
        <f aca="false">IF($D3677="","",Y3677*AB3677/100)</f>
        <v/>
      </c>
      <c r="W3677" s="16" t="str">
        <f aca="false">IF($D3677="","",Y3677-V3677)</f>
        <v/>
      </c>
      <c r="X3677" s="16" t="str">
        <f aca="false">IF($D3677="","",W3677-N3677)</f>
        <v/>
      </c>
      <c r="AB3677" s="17" t="str">
        <f aca="false">IF($D3677="","",IF(OR($R3677=TRUE(),$R3677="TRUE"),Settings!$C$6,Settings!$C$7)*100)</f>
        <v/>
      </c>
      <c r="AH3677" s="18" t="str">
        <f aca="false">IF($D3677="","",IF(COUNTIF($D$2:$D3677,$D3677)=1,1,0))</f>
        <v/>
      </c>
      <c r="AI3677" s="18" t="str">
        <f aca="false">IF($AH3677=1,SUMPRODUCT(--($AK$2:$AK$4001&lt;$AK3677))+1,"")</f>
        <v/>
      </c>
      <c r="AJ3677" s="18" t="str">
        <f aca="false">IF($D3677="","",IF(OR($R3677=TRUE(),$R3677="TRUE"),1,0))</f>
        <v/>
      </c>
      <c r="AK3677" s="18" t="str">
        <f aca="false">IF($AH3677=1,IFERROR(VALUE(MID($D3677,2,20)),1000000000)+ROW()/10000000,"")</f>
        <v/>
      </c>
    </row>
    <row r="3678" customFormat="false" ht="15" hidden="false" customHeight="false" outlineLevel="0" collapsed="false">
      <c r="F3678" s="15"/>
      <c r="N3678" s="16" t="str">
        <f aca="false">IF($D3678="","",M3678*Y3678/100)</f>
        <v/>
      </c>
      <c r="V3678" s="16" t="str">
        <f aca="false">IF($D3678="","",Y3678*AB3678/100)</f>
        <v/>
      </c>
      <c r="W3678" s="16" t="str">
        <f aca="false">IF($D3678="","",Y3678-V3678)</f>
        <v/>
      </c>
      <c r="X3678" s="16" t="str">
        <f aca="false">IF($D3678="","",W3678-N3678)</f>
        <v/>
      </c>
      <c r="AB3678" s="17" t="str">
        <f aca="false">IF($D3678="","",IF(OR($R3678=TRUE(),$R3678="TRUE"),Settings!$C$6,Settings!$C$7)*100)</f>
        <v/>
      </c>
      <c r="AH3678" s="18" t="str">
        <f aca="false">IF($D3678="","",IF(COUNTIF($D$2:$D3678,$D3678)=1,1,0))</f>
        <v/>
      </c>
      <c r="AI3678" s="18" t="str">
        <f aca="false">IF($AH3678=1,SUMPRODUCT(--($AK$2:$AK$4001&lt;$AK3678))+1,"")</f>
        <v/>
      </c>
      <c r="AJ3678" s="18" t="str">
        <f aca="false">IF($D3678="","",IF(OR($R3678=TRUE(),$R3678="TRUE"),1,0))</f>
        <v/>
      </c>
      <c r="AK3678" s="18" t="str">
        <f aca="false">IF($AH3678=1,IFERROR(VALUE(MID($D3678,2,20)),1000000000)+ROW()/10000000,"")</f>
        <v/>
      </c>
    </row>
    <row r="3679" customFormat="false" ht="15" hidden="false" customHeight="false" outlineLevel="0" collapsed="false">
      <c r="F3679" s="15"/>
      <c r="N3679" s="16" t="str">
        <f aca="false">IF($D3679="","",M3679*Y3679/100)</f>
        <v/>
      </c>
      <c r="V3679" s="16" t="str">
        <f aca="false">IF($D3679="","",Y3679*AB3679/100)</f>
        <v/>
      </c>
      <c r="W3679" s="16" t="str">
        <f aca="false">IF($D3679="","",Y3679-V3679)</f>
        <v/>
      </c>
      <c r="X3679" s="16" t="str">
        <f aca="false">IF($D3679="","",W3679-N3679)</f>
        <v/>
      </c>
      <c r="AB3679" s="17" t="str">
        <f aca="false">IF($D3679="","",IF(OR($R3679=TRUE(),$R3679="TRUE"),Settings!$C$6,Settings!$C$7)*100)</f>
        <v/>
      </c>
      <c r="AH3679" s="18" t="str">
        <f aca="false">IF($D3679="","",IF(COUNTIF($D$2:$D3679,$D3679)=1,1,0))</f>
        <v/>
      </c>
      <c r="AI3679" s="18" t="str">
        <f aca="false">IF($AH3679=1,SUMPRODUCT(--($AK$2:$AK$4001&lt;$AK3679))+1,"")</f>
        <v/>
      </c>
      <c r="AJ3679" s="18" t="str">
        <f aca="false">IF($D3679="","",IF(OR($R3679=TRUE(),$R3679="TRUE"),1,0))</f>
        <v/>
      </c>
      <c r="AK3679" s="18" t="str">
        <f aca="false">IF($AH3679=1,IFERROR(VALUE(MID($D3679,2,20)),1000000000)+ROW()/10000000,"")</f>
        <v/>
      </c>
    </row>
    <row r="3680" customFormat="false" ht="15" hidden="false" customHeight="false" outlineLevel="0" collapsed="false">
      <c r="F3680" s="15"/>
      <c r="N3680" s="16" t="str">
        <f aca="false">IF($D3680="","",M3680*Y3680/100)</f>
        <v/>
      </c>
      <c r="V3680" s="16" t="str">
        <f aca="false">IF($D3680="","",Y3680*AB3680/100)</f>
        <v/>
      </c>
      <c r="W3680" s="16" t="str">
        <f aca="false">IF($D3680="","",Y3680-V3680)</f>
        <v/>
      </c>
      <c r="X3680" s="16" t="str">
        <f aca="false">IF($D3680="","",W3680-N3680)</f>
        <v/>
      </c>
      <c r="AB3680" s="17" t="str">
        <f aca="false">IF($D3680="","",IF(OR($R3680=TRUE(),$R3680="TRUE"),Settings!$C$6,Settings!$C$7)*100)</f>
        <v/>
      </c>
      <c r="AH3680" s="18" t="str">
        <f aca="false">IF($D3680="","",IF(COUNTIF($D$2:$D3680,$D3680)=1,1,0))</f>
        <v/>
      </c>
      <c r="AI3680" s="18" t="str">
        <f aca="false">IF($AH3680=1,SUMPRODUCT(--($AK$2:$AK$4001&lt;$AK3680))+1,"")</f>
        <v/>
      </c>
      <c r="AJ3680" s="18" t="str">
        <f aca="false">IF($D3680="","",IF(OR($R3680=TRUE(),$R3680="TRUE"),1,0))</f>
        <v/>
      </c>
      <c r="AK3680" s="18" t="str">
        <f aca="false">IF($AH3680=1,IFERROR(VALUE(MID($D3680,2,20)),1000000000)+ROW()/10000000,"")</f>
        <v/>
      </c>
    </row>
    <row r="3681" customFormat="false" ht="15" hidden="false" customHeight="false" outlineLevel="0" collapsed="false">
      <c r="F3681" s="15"/>
      <c r="N3681" s="16" t="str">
        <f aca="false">IF($D3681="","",M3681*Y3681/100)</f>
        <v/>
      </c>
      <c r="V3681" s="16" t="str">
        <f aca="false">IF($D3681="","",Y3681*AB3681/100)</f>
        <v/>
      </c>
      <c r="W3681" s="16" t="str">
        <f aca="false">IF($D3681="","",Y3681-V3681)</f>
        <v/>
      </c>
      <c r="X3681" s="16" t="str">
        <f aca="false">IF($D3681="","",W3681-N3681)</f>
        <v/>
      </c>
      <c r="AB3681" s="17" t="str">
        <f aca="false">IF($D3681="","",IF(OR($R3681=TRUE(),$R3681="TRUE"),Settings!$C$6,Settings!$C$7)*100)</f>
        <v/>
      </c>
      <c r="AH3681" s="18" t="str">
        <f aca="false">IF($D3681="","",IF(COUNTIF($D$2:$D3681,$D3681)=1,1,0))</f>
        <v/>
      </c>
      <c r="AI3681" s="18" t="str">
        <f aca="false">IF($AH3681=1,SUMPRODUCT(--($AK$2:$AK$4001&lt;$AK3681))+1,"")</f>
        <v/>
      </c>
      <c r="AJ3681" s="18" t="str">
        <f aca="false">IF($D3681="","",IF(OR($R3681=TRUE(),$R3681="TRUE"),1,0))</f>
        <v/>
      </c>
      <c r="AK3681" s="18" t="str">
        <f aca="false">IF($AH3681=1,IFERROR(VALUE(MID($D3681,2,20)),1000000000)+ROW()/10000000,"")</f>
        <v/>
      </c>
    </row>
    <row r="3682" customFormat="false" ht="15" hidden="false" customHeight="false" outlineLevel="0" collapsed="false">
      <c r="F3682" s="15"/>
      <c r="N3682" s="16" t="str">
        <f aca="false">IF($D3682="","",M3682*Y3682/100)</f>
        <v/>
      </c>
      <c r="V3682" s="16" t="str">
        <f aca="false">IF($D3682="","",Y3682*AB3682/100)</f>
        <v/>
      </c>
      <c r="W3682" s="16" t="str">
        <f aca="false">IF($D3682="","",Y3682-V3682)</f>
        <v/>
      </c>
      <c r="X3682" s="16" t="str">
        <f aca="false">IF($D3682="","",W3682-N3682)</f>
        <v/>
      </c>
      <c r="AB3682" s="17" t="str">
        <f aca="false">IF($D3682="","",IF(OR($R3682=TRUE(),$R3682="TRUE"),Settings!$C$6,Settings!$C$7)*100)</f>
        <v/>
      </c>
      <c r="AH3682" s="18" t="str">
        <f aca="false">IF($D3682="","",IF(COUNTIF($D$2:$D3682,$D3682)=1,1,0))</f>
        <v/>
      </c>
      <c r="AI3682" s="18" t="str">
        <f aca="false">IF($AH3682=1,SUMPRODUCT(--($AK$2:$AK$4001&lt;$AK3682))+1,"")</f>
        <v/>
      </c>
      <c r="AJ3682" s="18" t="str">
        <f aca="false">IF($D3682="","",IF(OR($R3682=TRUE(),$R3682="TRUE"),1,0))</f>
        <v/>
      </c>
      <c r="AK3682" s="18" t="str">
        <f aca="false">IF($AH3682=1,IFERROR(VALUE(MID($D3682,2,20)),1000000000)+ROW()/10000000,"")</f>
        <v/>
      </c>
    </row>
    <row r="3683" customFormat="false" ht="15" hidden="false" customHeight="false" outlineLevel="0" collapsed="false">
      <c r="F3683" s="15"/>
      <c r="N3683" s="16" t="str">
        <f aca="false">IF($D3683="","",M3683*Y3683/100)</f>
        <v/>
      </c>
      <c r="V3683" s="16" t="str">
        <f aca="false">IF($D3683="","",Y3683*AB3683/100)</f>
        <v/>
      </c>
      <c r="W3683" s="16" t="str">
        <f aca="false">IF($D3683="","",Y3683-V3683)</f>
        <v/>
      </c>
      <c r="X3683" s="16" t="str">
        <f aca="false">IF($D3683="","",W3683-N3683)</f>
        <v/>
      </c>
      <c r="AB3683" s="17" t="str">
        <f aca="false">IF($D3683="","",IF(OR($R3683=TRUE(),$R3683="TRUE"),Settings!$C$6,Settings!$C$7)*100)</f>
        <v/>
      </c>
      <c r="AH3683" s="18" t="str">
        <f aca="false">IF($D3683="","",IF(COUNTIF($D$2:$D3683,$D3683)=1,1,0))</f>
        <v/>
      </c>
      <c r="AI3683" s="18" t="str">
        <f aca="false">IF($AH3683=1,SUMPRODUCT(--($AK$2:$AK$4001&lt;$AK3683))+1,"")</f>
        <v/>
      </c>
      <c r="AJ3683" s="18" t="str">
        <f aca="false">IF($D3683="","",IF(OR($R3683=TRUE(),$R3683="TRUE"),1,0))</f>
        <v/>
      </c>
      <c r="AK3683" s="18" t="str">
        <f aca="false">IF($AH3683=1,IFERROR(VALUE(MID($D3683,2,20)),1000000000)+ROW()/10000000,"")</f>
        <v/>
      </c>
    </row>
    <row r="3684" customFormat="false" ht="15" hidden="false" customHeight="false" outlineLevel="0" collapsed="false">
      <c r="F3684" s="15"/>
      <c r="N3684" s="16" t="str">
        <f aca="false">IF($D3684="","",M3684*Y3684/100)</f>
        <v/>
      </c>
      <c r="V3684" s="16" t="str">
        <f aca="false">IF($D3684="","",Y3684*AB3684/100)</f>
        <v/>
      </c>
      <c r="W3684" s="16" t="str">
        <f aca="false">IF($D3684="","",Y3684-V3684)</f>
        <v/>
      </c>
      <c r="X3684" s="16" t="str">
        <f aca="false">IF($D3684="","",W3684-N3684)</f>
        <v/>
      </c>
      <c r="AB3684" s="17" t="str">
        <f aca="false">IF($D3684="","",IF(OR($R3684=TRUE(),$R3684="TRUE"),Settings!$C$6,Settings!$C$7)*100)</f>
        <v/>
      </c>
      <c r="AH3684" s="18" t="str">
        <f aca="false">IF($D3684="","",IF(COUNTIF($D$2:$D3684,$D3684)=1,1,0))</f>
        <v/>
      </c>
      <c r="AI3684" s="18" t="str">
        <f aca="false">IF($AH3684=1,SUMPRODUCT(--($AK$2:$AK$4001&lt;$AK3684))+1,"")</f>
        <v/>
      </c>
      <c r="AJ3684" s="18" t="str">
        <f aca="false">IF($D3684="","",IF(OR($R3684=TRUE(),$R3684="TRUE"),1,0))</f>
        <v/>
      </c>
      <c r="AK3684" s="18" t="str">
        <f aca="false">IF($AH3684=1,IFERROR(VALUE(MID($D3684,2,20)),1000000000)+ROW()/10000000,"")</f>
        <v/>
      </c>
    </row>
    <row r="3685" customFormat="false" ht="15" hidden="false" customHeight="false" outlineLevel="0" collapsed="false">
      <c r="F3685" s="15"/>
      <c r="N3685" s="16" t="str">
        <f aca="false">IF($D3685="","",M3685*Y3685/100)</f>
        <v/>
      </c>
      <c r="V3685" s="16" t="str">
        <f aca="false">IF($D3685="","",Y3685*AB3685/100)</f>
        <v/>
      </c>
      <c r="W3685" s="16" t="str">
        <f aca="false">IF($D3685="","",Y3685-V3685)</f>
        <v/>
      </c>
      <c r="X3685" s="16" t="str">
        <f aca="false">IF($D3685="","",W3685-N3685)</f>
        <v/>
      </c>
      <c r="AB3685" s="17" t="str">
        <f aca="false">IF($D3685="","",IF(OR($R3685=TRUE(),$R3685="TRUE"),Settings!$C$6,Settings!$C$7)*100)</f>
        <v/>
      </c>
      <c r="AH3685" s="18" t="str">
        <f aca="false">IF($D3685="","",IF(COUNTIF($D$2:$D3685,$D3685)=1,1,0))</f>
        <v/>
      </c>
      <c r="AI3685" s="18" t="str">
        <f aca="false">IF($AH3685=1,SUMPRODUCT(--($AK$2:$AK$4001&lt;$AK3685))+1,"")</f>
        <v/>
      </c>
      <c r="AJ3685" s="18" t="str">
        <f aca="false">IF($D3685="","",IF(OR($R3685=TRUE(),$R3685="TRUE"),1,0))</f>
        <v/>
      </c>
      <c r="AK3685" s="18" t="str">
        <f aca="false">IF($AH3685=1,IFERROR(VALUE(MID($D3685,2,20)),1000000000)+ROW()/10000000,"")</f>
        <v/>
      </c>
    </row>
    <row r="3686" customFormat="false" ht="15" hidden="false" customHeight="false" outlineLevel="0" collapsed="false">
      <c r="F3686" s="15"/>
      <c r="N3686" s="16" t="str">
        <f aca="false">IF($D3686="","",M3686*Y3686/100)</f>
        <v/>
      </c>
      <c r="V3686" s="16" t="str">
        <f aca="false">IF($D3686="","",Y3686*AB3686/100)</f>
        <v/>
      </c>
      <c r="W3686" s="16" t="str">
        <f aca="false">IF($D3686="","",Y3686-V3686)</f>
        <v/>
      </c>
      <c r="X3686" s="16" t="str">
        <f aca="false">IF($D3686="","",W3686-N3686)</f>
        <v/>
      </c>
      <c r="AB3686" s="17" t="str">
        <f aca="false">IF($D3686="","",IF(OR($R3686=TRUE(),$R3686="TRUE"),Settings!$C$6,Settings!$C$7)*100)</f>
        <v/>
      </c>
      <c r="AH3686" s="18" t="str">
        <f aca="false">IF($D3686="","",IF(COUNTIF($D$2:$D3686,$D3686)=1,1,0))</f>
        <v/>
      </c>
      <c r="AI3686" s="18" t="str">
        <f aca="false">IF($AH3686=1,SUMPRODUCT(--($AK$2:$AK$4001&lt;$AK3686))+1,"")</f>
        <v/>
      </c>
      <c r="AJ3686" s="18" t="str">
        <f aca="false">IF($D3686="","",IF(OR($R3686=TRUE(),$R3686="TRUE"),1,0))</f>
        <v/>
      </c>
      <c r="AK3686" s="18" t="str">
        <f aca="false">IF($AH3686=1,IFERROR(VALUE(MID($D3686,2,20)),1000000000)+ROW()/10000000,"")</f>
        <v/>
      </c>
    </row>
    <row r="3687" customFormat="false" ht="15" hidden="false" customHeight="false" outlineLevel="0" collapsed="false">
      <c r="F3687" s="15"/>
      <c r="N3687" s="16" t="str">
        <f aca="false">IF($D3687="","",M3687*Y3687/100)</f>
        <v/>
      </c>
      <c r="V3687" s="16" t="str">
        <f aca="false">IF($D3687="","",Y3687*AB3687/100)</f>
        <v/>
      </c>
      <c r="W3687" s="16" t="str">
        <f aca="false">IF($D3687="","",Y3687-V3687)</f>
        <v/>
      </c>
      <c r="X3687" s="16" t="str">
        <f aca="false">IF($D3687="","",W3687-N3687)</f>
        <v/>
      </c>
      <c r="AB3687" s="17" t="str">
        <f aca="false">IF($D3687="","",IF(OR($R3687=TRUE(),$R3687="TRUE"),Settings!$C$6,Settings!$C$7)*100)</f>
        <v/>
      </c>
      <c r="AH3687" s="18" t="str">
        <f aca="false">IF($D3687="","",IF(COUNTIF($D$2:$D3687,$D3687)=1,1,0))</f>
        <v/>
      </c>
      <c r="AI3687" s="18" t="str">
        <f aca="false">IF($AH3687=1,SUMPRODUCT(--($AK$2:$AK$4001&lt;$AK3687))+1,"")</f>
        <v/>
      </c>
      <c r="AJ3687" s="18" t="str">
        <f aca="false">IF($D3687="","",IF(OR($R3687=TRUE(),$R3687="TRUE"),1,0))</f>
        <v/>
      </c>
      <c r="AK3687" s="18" t="str">
        <f aca="false">IF($AH3687=1,IFERROR(VALUE(MID($D3687,2,20)),1000000000)+ROW()/10000000,"")</f>
        <v/>
      </c>
    </row>
    <row r="3688" customFormat="false" ht="15" hidden="false" customHeight="false" outlineLevel="0" collapsed="false">
      <c r="F3688" s="15"/>
      <c r="N3688" s="16" t="str">
        <f aca="false">IF($D3688="","",M3688*Y3688/100)</f>
        <v/>
      </c>
      <c r="V3688" s="16" t="str">
        <f aca="false">IF($D3688="","",Y3688*AB3688/100)</f>
        <v/>
      </c>
      <c r="W3688" s="16" t="str">
        <f aca="false">IF($D3688="","",Y3688-V3688)</f>
        <v/>
      </c>
      <c r="X3688" s="16" t="str">
        <f aca="false">IF($D3688="","",W3688-N3688)</f>
        <v/>
      </c>
      <c r="AB3688" s="17" t="str">
        <f aca="false">IF($D3688="","",IF(OR($R3688=TRUE(),$R3688="TRUE"),Settings!$C$6,Settings!$C$7)*100)</f>
        <v/>
      </c>
      <c r="AH3688" s="18" t="str">
        <f aca="false">IF($D3688="","",IF(COUNTIF($D$2:$D3688,$D3688)=1,1,0))</f>
        <v/>
      </c>
      <c r="AI3688" s="18" t="str">
        <f aca="false">IF($AH3688=1,SUMPRODUCT(--($AK$2:$AK$4001&lt;$AK3688))+1,"")</f>
        <v/>
      </c>
      <c r="AJ3688" s="18" t="str">
        <f aca="false">IF($D3688="","",IF(OR($R3688=TRUE(),$R3688="TRUE"),1,0))</f>
        <v/>
      </c>
      <c r="AK3688" s="18" t="str">
        <f aca="false">IF($AH3688=1,IFERROR(VALUE(MID($D3688,2,20)),1000000000)+ROW()/10000000,"")</f>
        <v/>
      </c>
    </row>
    <row r="3689" customFormat="false" ht="15" hidden="false" customHeight="false" outlineLevel="0" collapsed="false">
      <c r="F3689" s="15"/>
      <c r="N3689" s="16" t="str">
        <f aca="false">IF($D3689="","",M3689*Y3689/100)</f>
        <v/>
      </c>
      <c r="V3689" s="16" t="str">
        <f aca="false">IF($D3689="","",Y3689*AB3689/100)</f>
        <v/>
      </c>
      <c r="W3689" s="16" t="str">
        <f aca="false">IF($D3689="","",Y3689-V3689)</f>
        <v/>
      </c>
      <c r="X3689" s="16" t="str">
        <f aca="false">IF($D3689="","",W3689-N3689)</f>
        <v/>
      </c>
      <c r="AB3689" s="17" t="str">
        <f aca="false">IF($D3689="","",IF(OR($R3689=TRUE(),$R3689="TRUE"),Settings!$C$6,Settings!$C$7)*100)</f>
        <v/>
      </c>
      <c r="AH3689" s="18" t="str">
        <f aca="false">IF($D3689="","",IF(COUNTIF($D$2:$D3689,$D3689)=1,1,0))</f>
        <v/>
      </c>
      <c r="AI3689" s="18" t="str">
        <f aca="false">IF($AH3689=1,SUMPRODUCT(--($AK$2:$AK$4001&lt;$AK3689))+1,"")</f>
        <v/>
      </c>
      <c r="AJ3689" s="18" t="str">
        <f aca="false">IF($D3689="","",IF(OR($R3689=TRUE(),$R3689="TRUE"),1,0))</f>
        <v/>
      </c>
      <c r="AK3689" s="18" t="str">
        <f aca="false">IF($AH3689=1,IFERROR(VALUE(MID($D3689,2,20)),1000000000)+ROW()/10000000,"")</f>
        <v/>
      </c>
    </row>
    <row r="3690" customFormat="false" ht="15" hidden="false" customHeight="false" outlineLevel="0" collapsed="false">
      <c r="F3690" s="15"/>
      <c r="N3690" s="16" t="str">
        <f aca="false">IF($D3690="","",M3690*Y3690/100)</f>
        <v/>
      </c>
      <c r="V3690" s="16" t="str">
        <f aca="false">IF($D3690="","",Y3690*AB3690/100)</f>
        <v/>
      </c>
      <c r="W3690" s="16" t="str">
        <f aca="false">IF($D3690="","",Y3690-V3690)</f>
        <v/>
      </c>
      <c r="X3690" s="16" t="str">
        <f aca="false">IF($D3690="","",W3690-N3690)</f>
        <v/>
      </c>
      <c r="AB3690" s="17" t="str">
        <f aca="false">IF($D3690="","",IF(OR($R3690=TRUE(),$R3690="TRUE"),Settings!$C$6,Settings!$C$7)*100)</f>
        <v/>
      </c>
      <c r="AH3690" s="18" t="str">
        <f aca="false">IF($D3690="","",IF(COUNTIF($D$2:$D3690,$D3690)=1,1,0))</f>
        <v/>
      </c>
      <c r="AI3690" s="18" t="str">
        <f aca="false">IF($AH3690=1,SUMPRODUCT(--($AK$2:$AK$4001&lt;$AK3690))+1,"")</f>
        <v/>
      </c>
      <c r="AJ3690" s="18" t="str">
        <f aca="false">IF($D3690="","",IF(OR($R3690=TRUE(),$R3690="TRUE"),1,0))</f>
        <v/>
      </c>
      <c r="AK3690" s="18" t="str">
        <f aca="false">IF($AH3690=1,IFERROR(VALUE(MID($D3690,2,20)),1000000000)+ROW()/10000000,"")</f>
        <v/>
      </c>
    </row>
    <row r="3691" customFormat="false" ht="15" hidden="false" customHeight="false" outlineLevel="0" collapsed="false">
      <c r="F3691" s="15"/>
      <c r="N3691" s="16" t="str">
        <f aca="false">IF($D3691="","",M3691*Y3691/100)</f>
        <v/>
      </c>
      <c r="V3691" s="16" t="str">
        <f aca="false">IF($D3691="","",Y3691*AB3691/100)</f>
        <v/>
      </c>
      <c r="W3691" s="16" t="str">
        <f aca="false">IF($D3691="","",Y3691-V3691)</f>
        <v/>
      </c>
      <c r="X3691" s="16" t="str">
        <f aca="false">IF($D3691="","",W3691-N3691)</f>
        <v/>
      </c>
      <c r="AB3691" s="17" t="str">
        <f aca="false">IF($D3691="","",IF(OR($R3691=TRUE(),$R3691="TRUE"),Settings!$C$6,Settings!$C$7)*100)</f>
        <v/>
      </c>
      <c r="AH3691" s="18" t="str">
        <f aca="false">IF($D3691="","",IF(COUNTIF($D$2:$D3691,$D3691)=1,1,0))</f>
        <v/>
      </c>
      <c r="AI3691" s="18" t="str">
        <f aca="false">IF($AH3691=1,SUMPRODUCT(--($AK$2:$AK$4001&lt;$AK3691))+1,"")</f>
        <v/>
      </c>
      <c r="AJ3691" s="18" t="str">
        <f aca="false">IF($D3691="","",IF(OR($R3691=TRUE(),$R3691="TRUE"),1,0))</f>
        <v/>
      </c>
      <c r="AK3691" s="18" t="str">
        <f aca="false">IF($AH3691=1,IFERROR(VALUE(MID($D3691,2,20)),1000000000)+ROW()/10000000,"")</f>
        <v/>
      </c>
    </row>
    <row r="3692" customFormat="false" ht="15" hidden="false" customHeight="false" outlineLevel="0" collapsed="false">
      <c r="F3692" s="15"/>
      <c r="N3692" s="16" t="str">
        <f aca="false">IF($D3692="","",M3692*Y3692/100)</f>
        <v/>
      </c>
      <c r="V3692" s="16" t="str">
        <f aca="false">IF($D3692="","",Y3692*AB3692/100)</f>
        <v/>
      </c>
      <c r="W3692" s="16" t="str">
        <f aca="false">IF($D3692="","",Y3692-V3692)</f>
        <v/>
      </c>
      <c r="X3692" s="16" t="str">
        <f aca="false">IF($D3692="","",W3692-N3692)</f>
        <v/>
      </c>
      <c r="AB3692" s="17" t="str">
        <f aca="false">IF($D3692="","",IF(OR($R3692=TRUE(),$R3692="TRUE"),Settings!$C$6,Settings!$C$7)*100)</f>
        <v/>
      </c>
      <c r="AH3692" s="18" t="str">
        <f aca="false">IF($D3692="","",IF(COUNTIF($D$2:$D3692,$D3692)=1,1,0))</f>
        <v/>
      </c>
      <c r="AI3692" s="18" t="str">
        <f aca="false">IF($AH3692=1,SUMPRODUCT(--($AK$2:$AK$4001&lt;$AK3692))+1,"")</f>
        <v/>
      </c>
      <c r="AJ3692" s="18" t="str">
        <f aca="false">IF($D3692="","",IF(OR($R3692=TRUE(),$R3692="TRUE"),1,0))</f>
        <v/>
      </c>
      <c r="AK3692" s="18" t="str">
        <f aca="false">IF($AH3692=1,IFERROR(VALUE(MID($D3692,2,20)),1000000000)+ROW()/10000000,"")</f>
        <v/>
      </c>
    </row>
    <row r="3693" customFormat="false" ht="15" hidden="false" customHeight="false" outlineLevel="0" collapsed="false">
      <c r="F3693" s="15"/>
      <c r="N3693" s="16" t="str">
        <f aca="false">IF($D3693="","",M3693*Y3693/100)</f>
        <v/>
      </c>
      <c r="V3693" s="16" t="str">
        <f aca="false">IF($D3693="","",Y3693*AB3693/100)</f>
        <v/>
      </c>
      <c r="W3693" s="16" t="str">
        <f aca="false">IF($D3693="","",Y3693-V3693)</f>
        <v/>
      </c>
      <c r="X3693" s="16" t="str">
        <f aca="false">IF($D3693="","",W3693-N3693)</f>
        <v/>
      </c>
      <c r="AB3693" s="17" t="str">
        <f aca="false">IF($D3693="","",IF(OR($R3693=TRUE(),$R3693="TRUE"),Settings!$C$6,Settings!$C$7)*100)</f>
        <v/>
      </c>
      <c r="AH3693" s="18" t="str">
        <f aca="false">IF($D3693="","",IF(COUNTIF($D$2:$D3693,$D3693)=1,1,0))</f>
        <v/>
      </c>
      <c r="AI3693" s="18" t="str">
        <f aca="false">IF($AH3693=1,SUMPRODUCT(--($AK$2:$AK$4001&lt;$AK3693))+1,"")</f>
        <v/>
      </c>
      <c r="AJ3693" s="18" t="str">
        <f aca="false">IF($D3693="","",IF(OR($R3693=TRUE(),$R3693="TRUE"),1,0))</f>
        <v/>
      </c>
      <c r="AK3693" s="18" t="str">
        <f aca="false">IF($AH3693=1,IFERROR(VALUE(MID($D3693,2,20)),1000000000)+ROW()/10000000,"")</f>
        <v/>
      </c>
    </row>
    <row r="3694" customFormat="false" ht="15" hidden="false" customHeight="false" outlineLevel="0" collapsed="false">
      <c r="F3694" s="15"/>
      <c r="N3694" s="16" t="str">
        <f aca="false">IF($D3694="","",M3694*Y3694/100)</f>
        <v/>
      </c>
      <c r="V3694" s="16" t="str">
        <f aca="false">IF($D3694="","",Y3694*AB3694/100)</f>
        <v/>
      </c>
      <c r="W3694" s="16" t="str">
        <f aca="false">IF($D3694="","",Y3694-V3694)</f>
        <v/>
      </c>
      <c r="X3694" s="16" t="str">
        <f aca="false">IF($D3694="","",W3694-N3694)</f>
        <v/>
      </c>
      <c r="AB3694" s="17" t="str">
        <f aca="false">IF($D3694="","",IF(OR($R3694=TRUE(),$R3694="TRUE"),Settings!$C$6,Settings!$C$7)*100)</f>
        <v/>
      </c>
      <c r="AH3694" s="18" t="str">
        <f aca="false">IF($D3694="","",IF(COUNTIF($D$2:$D3694,$D3694)=1,1,0))</f>
        <v/>
      </c>
      <c r="AI3694" s="18" t="str">
        <f aca="false">IF($AH3694=1,SUMPRODUCT(--($AK$2:$AK$4001&lt;$AK3694))+1,"")</f>
        <v/>
      </c>
      <c r="AJ3694" s="18" t="str">
        <f aca="false">IF($D3694="","",IF(OR($R3694=TRUE(),$R3694="TRUE"),1,0))</f>
        <v/>
      </c>
      <c r="AK3694" s="18" t="str">
        <f aca="false">IF($AH3694=1,IFERROR(VALUE(MID($D3694,2,20)),1000000000)+ROW()/10000000,"")</f>
        <v/>
      </c>
    </row>
    <row r="3695" customFormat="false" ht="15" hidden="false" customHeight="false" outlineLevel="0" collapsed="false">
      <c r="F3695" s="15"/>
      <c r="N3695" s="16" t="str">
        <f aca="false">IF($D3695="","",M3695*Y3695/100)</f>
        <v/>
      </c>
      <c r="V3695" s="16" t="str">
        <f aca="false">IF($D3695="","",Y3695*AB3695/100)</f>
        <v/>
      </c>
      <c r="W3695" s="16" t="str">
        <f aca="false">IF($D3695="","",Y3695-V3695)</f>
        <v/>
      </c>
      <c r="X3695" s="16" t="str">
        <f aca="false">IF($D3695="","",W3695-N3695)</f>
        <v/>
      </c>
      <c r="AB3695" s="17" t="str">
        <f aca="false">IF($D3695="","",IF(OR($R3695=TRUE(),$R3695="TRUE"),Settings!$C$6,Settings!$C$7)*100)</f>
        <v/>
      </c>
      <c r="AH3695" s="18" t="str">
        <f aca="false">IF($D3695="","",IF(COUNTIF($D$2:$D3695,$D3695)=1,1,0))</f>
        <v/>
      </c>
      <c r="AI3695" s="18" t="str">
        <f aca="false">IF($AH3695=1,SUMPRODUCT(--($AK$2:$AK$4001&lt;$AK3695))+1,"")</f>
        <v/>
      </c>
      <c r="AJ3695" s="18" t="str">
        <f aca="false">IF($D3695="","",IF(OR($R3695=TRUE(),$R3695="TRUE"),1,0))</f>
        <v/>
      </c>
      <c r="AK3695" s="18" t="str">
        <f aca="false">IF($AH3695=1,IFERROR(VALUE(MID($D3695,2,20)),1000000000)+ROW()/10000000,"")</f>
        <v/>
      </c>
    </row>
    <row r="3696" customFormat="false" ht="15" hidden="false" customHeight="false" outlineLevel="0" collapsed="false">
      <c r="F3696" s="15"/>
      <c r="N3696" s="16" t="str">
        <f aca="false">IF($D3696="","",M3696*Y3696/100)</f>
        <v/>
      </c>
      <c r="V3696" s="16" t="str">
        <f aca="false">IF($D3696="","",Y3696*AB3696/100)</f>
        <v/>
      </c>
      <c r="W3696" s="16" t="str">
        <f aca="false">IF($D3696="","",Y3696-V3696)</f>
        <v/>
      </c>
      <c r="X3696" s="16" t="str">
        <f aca="false">IF($D3696="","",W3696-N3696)</f>
        <v/>
      </c>
      <c r="AB3696" s="17" t="str">
        <f aca="false">IF($D3696="","",IF(OR($R3696=TRUE(),$R3696="TRUE"),Settings!$C$6,Settings!$C$7)*100)</f>
        <v/>
      </c>
      <c r="AH3696" s="18" t="str">
        <f aca="false">IF($D3696="","",IF(COUNTIF($D$2:$D3696,$D3696)=1,1,0))</f>
        <v/>
      </c>
      <c r="AI3696" s="18" t="str">
        <f aca="false">IF($AH3696=1,SUMPRODUCT(--($AK$2:$AK$4001&lt;$AK3696))+1,"")</f>
        <v/>
      </c>
      <c r="AJ3696" s="18" t="str">
        <f aca="false">IF($D3696="","",IF(OR($R3696=TRUE(),$R3696="TRUE"),1,0))</f>
        <v/>
      </c>
      <c r="AK3696" s="18" t="str">
        <f aca="false">IF($AH3696=1,IFERROR(VALUE(MID($D3696,2,20)),1000000000)+ROW()/10000000,"")</f>
        <v/>
      </c>
    </row>
    <row r="3697" customFormat="false" ht="15" hidden="false" customHeight="false" outlineLevel="0" collapsed="false">
      <c r="F3697" s="15"/>
      <c r="N3697" s="16" t="str">
        <f aca="false">IF($D3697="","",M3697*Y3697/100)</f>
        <v/>
      </c>
      <c r="V3697" s="16" t="str">
        <f aca="false">IF($D3697="","",Y3697*AB3697/100)</f>
        <v/>
      </c>
      <c r="W3697" s="16" t="str">
        <f aca="false">IF($D3697="","",Y3697-V3697)</f>
        <v/>
      </c>
      <c r="X3697" s="16" t="str">
        <f aca="false">IF($D3697="","",W3697-N3697)</f>
        <v/>
      </c>
      <c r="AB3697" s="17" t="str">
        <f aca="false">IF($D3697="","",IF(OR($R3697=TRUE(),$R3697="TRUE"),Settings!$C$6,Settings!$C$7)*100)</f>
        <v/>
      </c>
      <c r="AH3697" s="18" t="str">
        <f aca="false">IF($D3697="","",IF(COUNTIF($D$2:$D3697,$D3697)=1,1,0))</f>
        <v/>
      </c>
      <c r="AI3697" s="18" t="str">
        <f aca="false">IF($AH3697=1,SUMPRODUCT(--($AK$2:$AK$4001&lt;$AK3697))+1,"")</f>
        <v/>
      </c>
      <c r="AJ3697" s="18" t="str">
        <f aca="false">IF($D3697="","",IF(OR($R3697=TRUE(),$R3697="TRUE"),1,0))</f>
        <v/>
      </c>
      <c r="AK3697" s="18" t="str">
        <f aca="false">IF($AH3697=1,IFERROR(VALUE(MID($D3697,2,20)),1000000000)+ROW()/10000000,"")</f>
        <v/>
      </c>
    </row>
    <row r="3698" customFormat="false" ht="15" hidden="false" customHeight="false" outlineLevel="0" collapsed="false">
      <c r="F3698" s="15"/>
      <c r="N3698" s="16" t="str">
        <f aca="false">IF($D3698="","",M3698*Y3698/100)</f>
        <v/>
      </c>
      <c r="V3698" s="16" t="str">
        <f aca="false">IF($D3698="","",Y3698*AB3698/100)</f>
        <v/>
      </c>
      <c r="W3698" s="16" t="str">
        <f aca="false">IF($D3698="","",Y3698-V3698)</f>
        <v/>
      </c>
      <c r="X3698" s="16" t="str">
        <f aca="false">IF($D3698="","",W3698-N3698)</f>
        <v/>
      </c>
      <c r="AB3698" s="17" t="str">
        <f aca="false">IF($D3698="","",IF(OR($R3698=TRUE(),$R3698="TRUE"),Settings!$C$6,Settings!$C$7)*100)</f>
        <v/>
      </c>
      <c r="AH3698" s="18" t="str">
        <f aca="false">IF($D3698="","",IF(COUNTIF($D$2:$D3698,$D3698)=1,1,0))</f>
        <v/>
      </c>
      <c r="AI3698" s="18" t="str">
        <f aca="false">IF($AH3698=1,SUMPRODUCT(--($AK$2:$AK$4001&lt;$AK3698))+1,"")</f>
        <v/>
      </c>
      <c r="AJ3698" s="18" t="str">
        <f aca="false">IF($D3698="","",IF(OR($R3698=TRUE(),$R3698="TRUE"),1,0))</f>
        <v/>
      </c>
      <c r="AK3698" s="18" t="str">
        <f aca="false">IF($AH3698=1,IFERROR(VALUE(MID($D3698,2,20)),1000000000)+ROW()/10000000,"")</f>
        <v/>
      </c>
    </row>
    <row r="3699" customFormat="false" ht="15" hidden="false" customHeight="false" outlineLevel="0" collapsed="false">
      <c r="F3699" s="15"/>
      <c r="N3699" s="16" t="str">
        <f aca="false">IF($D3699="","",M3699*Y3699/100)</f>
        <v/>
      </c>
      <c r="V3699" s="16" t="str">
        <f aca="false">IF($D3699="","",Y3699*AB3699/100)</f>
        <v/>
      </c>
      <c r="W3699" s="16" t="str">
        <f aca="false">IF($D3699="","",Y3699-V3699)</f>
        <v/>
      </c>
      <c r="X3699" s="16" t="str">
        <f aca="false">IF($D3699="","",W3699-N3699)</f>
        <v/>
      </c>
      <c r="AB3699" s="17" t="str">
        <f aca="false">IF($D3699="","",IF(OR($R3699=TRUE(),$R3699="TRUE"),Settings!$C$6,Settings!$C$7)*100)</f>
        <v/>
      </c>
      <c r="AH3699" s="18" t="str">
        <f aca="false">IF($D3699="","",IF(COUNTIF($D$2:$D3699,$D3699)=1,1,0))</f>
        <v/>
      </c>
      <c r="AI3699" s="18" t="str">
        <f aca="false">IF($AH3699=1,SUMPRODUCT(--($AK$2:$AK$4001&lt;$AK3699))+1,"")</f>
        <v/>
      </c>
      <c r="AJ3699" s="18" t="str">
        <f aca="false">IF($D3699="","",IF(OR($R3699=TRUE(),$R3699="TRUE"),1,0))</f>
        <v/>
      </c>
      <c r="AK3699" s="18" t="str">
        <f aca="false">IF($AH3699=1,IFERROR(VALUE(MID($D3699,2,20)),1000000000)+ROW()/10000000,"")</f>
        <v/>
      </c>
    </row>
    <row r="3700" customFormat="false" ht="15" hidden="false" customHeight="false" outlineLevel="0" collapsed="false">
      <c r="F3700" s="15"/>
      <c r="N3700" s="16" t="str">
        <f aca="false">IF($D3700="","",M3700*Y3700/100)</f>
        <v/>
      </c>
      <c r="V3700" s="16" t="str">
        <f aca="false">IF($D3700="","",Y3700*AB3700/100)</f>
        <v/>
      </c>
      <c r="W3700" s="16" t="str">
        <f aca="false">IF($D3700="","",Y3700-V3700)</f>
        <v/>
      </c>
      <c r="X3700" s="16" t="str">
        <f aca="false">IF($D3700="","",W3700-N3700)</f>
        <v/>
      </c>
      <c r="AB3700" s="17" t="str">
        <f aca="false">IF($D3700="","",IF(OR($R3700=TRUE(),$R3700="TRUE"),Settings!$C$6,Settings!$C$7)*100)</f>
        <v/>
      </c>
      <c r="AH3700" s="18" t="str">
        <f aca="false">IF($D3700="","",IF(COUNTIF($D$2:$D3700,$D3700)=1,1,0))</f>
        <v/>
      </c>
      <c r="AI3700" s="18" t="str">
        <f aca="false">IF($AH3700=1,SUMPRODUCT(--($AK$2:$AK$4001&lt;$AK3700))+1,"")</f>
        <v/>
      </c>
      <c r="AJ3700" s="18" t="str">
        <f aca="false">IF($D3700="","",IF(OR($R3700=TRUE(),$R3700="TRUE"),1,0))</f>
        <v/>
      </c>
      <c r="AK3700" s="18" t="str">
        <f aca="false">IF($AH3700=1,IFERROR(VALUE(MID($D3700,2,20)),1000000000)+ROW()/10000000,"")</f>
        <v/>
      </c>
    </row>
    <row r="3701" customFormat="false" ht="15" hidden="false" customHeight="false" outlineLevel="0" collapsed="false">
      <c r="F3701" s="15"/>
      <c r="N3701" s="16" t="str">
        <f aca="false">IF($D3701="","",M3701*Y3701/100)</f>
        <v/>
      </c>
      <c r="V3701" s="16" t="str">
        <f aca="false">IF($D3701="","",Y3701*AB3701/100)</f>
        <v/>
      </c>
      <c r="W3701" s="16" t="str">
        <f aca="false">IF($D3701="","",Y3701-V3701)</f>
        <v/>
      </c>
      <c r="X3701" s="16" t="str">
        <f aca="false">IF($D3701="","",W3701-N3701)</f>
        <v/>
      </c>
      <c r="AB3701" s="17" t="str">
        <f aca="false">IF($D3701="","",IF(OR($R3701=TRUE(),$R3701="TRUE"),Settings!$C$6,Settings!$C$7)*100)</f>
        <v/>
      </c>
      <c r="AH3701" s="18" t="str">
        <f aca="false">IF($D3701="","",IF(COUNTIF($D$2:$D3701,$D3701)=1,1,0))</f>
        <v/>
      </c>
      <c r="AI3701" s="18" t="str">
        <f aca="false">IF($AH3701=1,SUMPRODUCT(--($AK$2:$AK$4001&lt;$AK3701))+1,"")</f>
        <v/>
      </c>
      <c r="AJ3701" s="18" t="str">
        <f aca="false">IF($D3701="","",IF(OR($R3701=TRUE(),$R3701="TRUE"),1,0))</f>
        <v/>
      </c>
      <c r="AK3701" s="18" t="str">
        <f aca="false">IF($AH3701=1,IFERROR(VALUE(MID($D3701,2,20)),1000000000)+ROW()/10000000,"")</f>
        <v/>
      </c>
    </row>
    <row r="3702" customFormat="false" ht="15" hidden="false" customHeight="false" outlineLevel="0" collapsed="false">
      <c r="F3702" s="15"/>
      <c r="N3702" s="16" t="str">
        <f aca="false">IF($D3702="","",M3702*Y3702/100)</f>
        <v/>
      </c>
      <c r="V3702" s="16" t="str">
        <f aca="false">IF($D3702="","",Y3702*AB3702/100)</f>
        <v/>
      </c>
      <c r="W3702" s="16" t="str">
        <f aca="false">IF($D3702="","",Y3702-V3702)</f>
        <v/>
      </c>
      <c r="X3702" s="16" t="str">
        <f aca="false">IF($D3702="","",W3702-N3702)</f>
        <v/>
      </c>
      <c r="AB3702" s="17" t="str">
        <f aca="false">IF($D3702="","",IF(OR($R3702=TRUE(),$R3702="TRUE"),Settings!$C$6,Settings!$C$7)*100)</f>
        <v/>
      </c>
      <c r="AH3702" s="18" t="str">
        <f aca="false">IF($D3702="","",IF(COUNTIF($D$2:$D3702,$D3702)=1,1,0))</f>
        <v/>
      </c>
      <c r="AI3702" s="18" t="str">
        <f aca="false">IF($AH3702=1,SUMPRODUCT(--($AK$2:$AK$4001&lt;$AK3702))+1,"")</f>
        <v/>
      </c>
      <c r="AJ3702" s="18" t="str">
        <f aca="false">IF($D3702="","",IF(OR($R3702=TRUE(),$R3702="TRUE"),1,0))</f>
        <v/>
      </c>
      <c r="AK3702" s="18" t="str">
        <f aca="false">IF($AH3702=1,IFERROR(VALUE(MID($D3702,2,20)),1000000000)+ROW()/10000000,"")</f>
        <v/>
      </c>
    </row>
    <row r="3703" customFormat="false" ht="15" hidden="false" customHeight="false" outlineLevel="0" collapsed="false">
      <c r="F3703" s="15"/>
      <c r="N3703" s="16" t="str">
        <f aca="false">IF($D3703="","",M3703*Y3703/100)</f>
        <v/>
      </c>
      <c r="V3703" s="16" t="str">
        <f aca="false">IF($D3703="","",Y3703*AB3703/100)</f>
        <v/>
      </c>
      <c r="W3703" s="16" t="str">
        <f aca="false">IF($D3703="","",Y3703-V3703)</f>
        <v/>
      </c>
      <c r="X3703" s="16" t="str">
        <f aca="false">IF($D3703="","",W3703-N3703)</f>
        <v/>
      </c>
      <c r="AB3703" s="17" t="str">
        <f aca="false">IF($D3703="","",IF(OR($R3703=TRUE(),$R3703="TRUE"),Settings!$C$6,Settings!$C$7)*100)</f>
        <v/>
      </c>
      <c r="AH3703" s="18" t="str">
        <f aca="false">IF($D3703="","",IF(COUNTIF($D$2:$D3703,$D3703)=1,1,0))</f>
        <v/>
      </c>
      <c r="AI3703" s="18" t="str">
        <f aca="false">IF($AH3703=1,SUMPRODUCT(--($AK$2:$AK$4001&lt;$AK3703))+1,"")</f>
        <v/>
      </c>
      <c r="AJ3703" s="18" t="str">
        <f aca="false">IF($D3703="","",IF(OR($R3703=TRUE(),$R3703="TRUE"),1,0))</f>
        <v/>
      </c>
      <c r="AK3703" s="18" t="str">
        <f aca="false">IF($AH3703=1,IFERROR(VALUE(MID($D3703,2,20)),1000000000)+ROW()/10000000,"")</f>
        <v/>
      </c>
    </row>
    <row r="3704" customFormat="false" ht="15" hidden="false" customHeight="false" outlineLevel="0" collapsed="false">
      <c r="F3704" s="15"/>
      <c r="N3704" s="16" t="str">
        <f aca="false">IF($D3704="","",M3704*Y3704/100)</f>
        <v/>
      </c>
      <c r="V3704" s="16" t="str">
        <f aca="false">IF($D3704="","",Y3704*AB3704/100)</f>
        <v/>
      </c>
      <c r="W3704" s="16" t="str">
        <f aca="false">IF($D3704="","",Y3704-V3704)</f>
        <v/>
      </c>
      <c r="X3704" s="16" t="str">
        <f aca="false">IF($D3704="","",W3704-N3704)</f>
        <v/>
      </c>
      <c r="AB3704" s="17" t="str">
        <f aca="false">IF($D3704="","",IF(OR($R3704=TRUE(),$R3704="TRUE"),Settings!$C$6,Settings!$C$7)*100)</f>
        <v/>
      </c>
      <c r="AH3704" s="18" t="str">
        <f aca="false">IF($D3704="","",IF(COUNTIF($D$2:$D3704,$D3704)=1,1,0))</f>
        <v/>
      </c>
      <c r="AI3704" s="18" t="str">
        <f aca="false">IF($AH3704=1,SUMPRODUCT(--($AK$2:$AK$4001&lt;$AK3704))+1,"")</f>
        <v/>
      </c>
      <c r="AJ3704" s="18" t="str">
        <f aca="false">IF($D3704="","",IF(OR($R3704=TRUE(),$R3704="TRUE"),1,0))</f>
        <v/>
      </c>
      <c r="AK3704" s="18" t="str">
        <f aca="false">IF($AH3704=1,IFERROR(VALUE(MID($D3704,2,20)),1000000000)+ROW()/10000000,"")</f>
        <v/>
      </c>
    </row>
    <row r="3705" customFormat="false" ht="15" hidden="false" customHeight="false" outlineLevel="0" collapsed="false">
      <c r="F3705" s="15"/>
      <c r="N3705" s="16" t="str">
        <f aca="false">IF($D3705="","",M3705*Y3705/100)</f>
        <v/>
      </c>
      <c r="V3705" s="16" t="str">
        <f aca="false">IF($D3705="","",Y3705*AB3705/100)</f>
        <v/>
      </c>
      <c r="W3705" s="16" t="str">
        <f aca="false">IF($D3705="","",Y3705-V3705)</f>
        <v/>
      </c>
      <c r="X3705" s="16" t="str">
        <f aca="false">IF($D3705="","",W3705-N3705)</f>
        <v/>
      </c>
      <c r="AB3705" s="17" t="str">
        <f aca="false">IF($D3705="","",IF(OR($R3705=TRUE(),$R3705="TRUE"),Settings!$C$6,Settings!$C$7)*100)</f>
        <v/>
      </c>
      <c r="AH3705" s="18" t="str">
        <f aca="false">IF($D3705="","",IF(COUNTIF($D$2:$D3705,$D3705)=1,1,0))</f>
        <v/>
      </c>
      <c r="AI3705" s="18" t="str">
        <f aca="false">IF($AH3705=1,SUMPRODUCT(--($AK$2:$AK$4001&lt;$AK3705))+1,"")</f>
        <v/>
      </c>
      <c r="AJ3705" s="18" t="str">
        <f aca="false">IF($D3705="","",IF(OR($R3705=TRUE(),$R3705="TRUE"),1,0))</f>
        <v/>
      </c>
      <c r="AK3705" s="18" t="str">
        <f aca="false">IF($AH3705=1,IFERROR(VALUE(MID($D3705,2,20)),1000000000)+ROW()/10000000,"")</f>
        <v/>
      </c>
    </row>
    <row r="3706" customFormat="false" ht="15" hidden="false" customHeight="false" outlineLevel="0" collapsed="false">
      <c r="F3706" s="15"/>
      <c r="N3706" s="16" t="str">
        <f aca="false">IF($D3706="","",M3706*Y3706/100)</f>
        <v/>
      </c>
      <c r="V3706" s="16" t="str">
        <f aca="false">IF($D3706="","",Y3706*AB3706/100)</f>
        <v/>
      </c>
      <c r="W3706" s="16" t="str">
        <f aca="false">IF($D3706="","",Y3706-V3706)</f>
        <v/>
      </c>
      <c r="X3706" s="16" t="str">
        <f aca="false">IF($D3706="","",W3706-N3706)</f>
        <v/>
      </c>
      <c r="AB3706" s="17" t="str">
        <f aca="false">IF($D3706="","",IF(OR($R3706=TRUE(),$R3706="TRUE"),Settings!$C$6,Settings!$C$7)*100)</f>
        <v/>
      </c>
      <c r="AH3706" s="18" t="str">
        <f aca="false">IF($D3706="","",IF(COUNTIF($D$2:$D3706,$D3706)=1,1,0))</f>
        <v/>
      </c>
      <c r="AI3706" s="18" t="str">
        <f aca="false">IF($AH3706=1,SUMPRODUCT(--($AK$2:$AK$4001&lt;$AK3706))+1,"")</f>
        <v/>
      </c>
      <c r="AJ3706" s="18" t="str">
        <f aca="false">IF($D3706="","",IF(OR($R3706=TRUE(),$R3706="TRUE"),1,0))</f>
        <v/>
      </c>
      <c r="AK3706" s="18" t="str">
        <f aca="false">IF($AH3706=1,IFERROR(VALUE(MID($D3706,2,20)),1000000000)+ROW()/10000000,"")</f>
        <v/>
      </c>
    </row>
    <row r="3707" customFormat="false" ht="15" hidden="false" customHeight="false" outlineLevel="0" collapsed="false">
      <c r="F3707" s="15"/>
      <c r="N3707" s="16" t="str">
        <f aca="false">IF($D3707="","",M3707*Y3707/100)</f>
        <v/>
      </c>
      <c r="V3707" s="16" t="str">
        <f aca="false">IF($D3707="","",Y3707*AB3707/100)</f>
        <v/>
      </c>
      <c r="W3707" s="16" t="str">
        <f aca="false">IF($D3707="","",Y3707-V3707)</f>
        <v/>
      </c>
      <c r="X3707" s="16" t="str">
        <f aca="false">IF($D3707="","",W3707-N3707)</f>
        <v/>
      </c>
      <c r="AB3707" s="17" t="str">
        <f aca="false">IF($D3707="","",IF(OR($R3707=TRUE(),$R3707="TRUE"),Settings!$C$6,Settings!$C$7)*100)</f>
        <v/>
      </c>
      <c r="AH3707" s="18" t="str">
        <f aca="false">IF($D3707="","",IF(COUNTIF($D$2:$D3707,$D3707)=1,1,0))</f>
        <v/>
      </c>
      <c r="AI3707" s="18" t="str">
        <f aca="false">IF($AH3707=1,SUMPRODUCT(--($AK$2:$AK$4001&lt;$AK3707))+1,"")</f>
        <v/>
      </c>
      <c r="AJ3707" s="18" t="str">
        <f aca="false">IF($D3707="","",IF(OR($R3707=TRUE(),$R3707="TRUE"),1,0))</f>
        <v/>
      </c>
      <c r="AK3707" s="18" t="str">
        <f aca="false">IF($AH3707=1,IFERROR(VALUE(MID($D3707,2,20)),1000000000)+ROW()/10000000,"")</f>
        <v/>
      </c>
    </row>
    <row r="3708" customFormat="false" ht="15" hidden="false" customHeight="false" outlineLevel="0" collapsed="false">
      <c r="F3708" s="15"/>
      <c r="N3708" s="16" t="str">
        <f aca="false">IF($D3708="","",M3708*Y3708/100)</f>
        <v/>
      </c>
      <c r="V3708" s="16" t="str">
        <f aca="false">IF($D3708="","",Y3708*AB3708/100)</f>
        <v/>
      </c>
      <c r="W3708" s="16" t="str">
        <f aca="false">IF($D3708="","",Y3708-V3708)</f>
        <v/>
      </c>
      <c r="X3708" s="16" t="str">
        <f aca="false">IF($D3708="","",W3708-N3708)</f>
        <v/>
      </c>
      <c r="AB3708" s="17" t="str">
        <f aca="false">IF($D3708="","",IF(OR($R3708=TRUE(),$R3708="TRUE"),Settings!$C$6,Settings!$C$7)*100)</f>
        <v/>
      </c>
      <c r="AH3708" s="18" t="str">
        <f aca="false">IF($D3708="","",IF(COUNTIF($D$2:$D3708,$D3708)=1,1,0))</f>
        <v/>
      </c>
      <c r="AI3708" s="18" t="str">
        <f aca="false">IF($AH3708=1,SUMPRODUCT(--($AK$2:$AK$4001&lt;$AK3708))+1,"")</f>
        <v/>
      </c>
      <c r="AJ3708" s="18" t="str">
        <f aca="false">IF($D3708="","",IF(OR($R3708=TRUE(),$R3708="TRUE"),1,0))</f>
        <v/>
      </c>
      <c r="AK3708" s="18" t="str">
        <f aca="false">IF($AH3708=1,IFERROR(VALUE(MID($D3708,2,20)),1000000000)+ROW()/10000000,"")</f>
        <v/>
      </c>
    </row>
    <row r="3709" customFormat="false" ht="15" hidden="false" customHeight="false" outlineLevel="0" collapsed="false">
      <c r="F3709" s="15"/>
      <c r="N3709" s="16" t="str">
        <f aca="false">IF($D3709="","",M3709*Y3709/100)</f>
        <v/>
      </c>
      <c r="V3709" s="16" t="str">
        <f aca="false">IF($D3709="","",Y3709*AB3709/100)</f>
        <v/>
      </c>
      <c r="W3709" s="16" t="str">
        <f aca="false">IF($D3709="","",Y3709-V3709)</f>
        <v/>
      </c>
      <c r="X3709" s="16" t="str">
        <f aca="false">IF($D3709="","",W3709-N3709)</f>
        <v/>
      </c>
      <c r="AB3709" s="17" t="str">
        <f aca="false">IF($D3709="","",IF(OR($R3709=TRUE(),$R3709="TRUE"),Settings!$C$6,Settings!$C$7)*100)</f>
        <v/>
      </c>
      <c r="AH3709" s="18" t="str">
        <f aca="false">IF($D3709="","",IF(COUNTIF($D$2:$D3709,$D3709)=1,1,0))</f>
        <v/>
      </c>
      <c r="AI3709" s="18" t="str">
        <f aca="false">IF($AH3709=1,SUMPRODUCT(--($AK$2:$AK$4001&lt;$AK3709))+1,"")</f>
        <v/>
      </c>
      <c r="AJ3709" s="18" t="str">
        <f aca="false">IF($D3709="","",IF(OR($R3709=TRUE(),$R3709="TRUE"),1,0))</f>
        <v/>
      </c>
      <c r="AK3709" s="18" t="str">
        <f aca="false">IF($AH3709=1,IFERROR(VALUE(MID($D3709,2,20)),1000000000)+ROW()/10000000,"")</f>
        <v/>
      </c>
    </row>
    <row r="3710" customFormat="false" ht="15" hidden="false" customHeight="false" outlineLevel="0" collapsed="false">
      <c r="F3710" s="15"/>
      <c r="N3710" s="16" t="str">
        <f aca="false">IF($D3710="","",M3710*Y3710/100)</f>
        <v/>
      </c>
      <c r="V3710" s="16" t="str">
        <f aca="false">IF($D3710="","",Y3710*AB3710/100)</f>
        <v/>
      </c>
      <c r="W3710" s="16" t="str">
        <f aca="false">IF($D3710="","",Y3710-V3710)</f>
        <v/>
      </c>
      <c r="X3710" s="16" t="str">
        <f aca="false">IF($D3710="","",W3710-N3710)</f>
        <v/>
      </c>
      <c r="AB3710" s="17" t="str">
        <f aca="false">IF($D3710="","",IF(OR($R3710=TRUE(),$R3710="TRUE"),Settings!$C$6,Settings!$C$7)*100)</f>
        <v/>
      </c>
      <c r="AH3710" s="18" t="str">
        <f aca="false">IF($D3710="","",IF(COUNTIF($D$2:$D3710,$D3710)=1,1,0))</f>
        <v/>
      </c>
      <c r="AI3710" s="18" t="str">
        <f aca="false">IF($AH3710=1,SUMPRODUCT(--($AK$2:$AK$4001&lt;$AK3710))+1,"")</f>
        <v/>
      </c>
      <c r="AJ3710" s="18" t="str">
        <f aca="false">IF($D3710="","",IF(OR($R3710=TRUE(),$R3710="TRUE"),1,0))</f>
        <v/>
      </c>
      <c r="AK3710" s="18" t="str">
        <f aca="false">IF($AH3710=1,IFERROR(VALUE(MID($D3710,2,20)),1000000000)+ROW()/10000000,"")</f>
        <v/>
      </c>
    </row>
    <row r="3711" customFormat="false" ht="15" hidden="false" customHeight="false" outlineLevel="0" collapsed="false">
      <c r="F3711" s="15"/>
      <c r="N3711" s="16" t="str">
        <f aca="false">IF($D3711="","",M3711*Y3711/100)</f>
        <v/>
      </c>
      <c r="V3711" s="16" t="str">
        <f aca="false">IF($D3711="","",Y3711*AB3711/100)</f>
        <v/>
      </c>
      <c r="W3711" s="16" t="str">
        <f aca="false">IF($D3711="","",Y3711-V3711)</f>
        <v/>
      </c>
      <c r="X3711" s="16" t="str">
        <f aca="false">IF($D3711="","",W3711-N3711)</f>
        <v/>
      </c>
      <c r="AB3711" s="17" t="str">
        <f aca="false">IF($D3711="","",IF(OR($R3711=TRUE(),$R3711="TRUE"),Settings!$C$6,Settings!$C$7)*100)</f>
        <v/>
      </c>
      <c r="AH3711" s="18" t="str">
        <f aca="false">IF($D3711="","",IF(COUNTIF($D$2:$D3711,$D3711)=1,1,0))</f>
        <v/>
      </c>
      <c r="AI3711" s="18" t="str">
        <f aca="false">IF($AH3711=1,SUMPRODUCT(--($AK$2:$AK$4001&lt;$AK3711))+1,"")</f>
        <v/>
      </c>
      <c r="AJ3711" s="18" t="str">
        <f aca="false">IF($D3711="","",IF(OR($R3711=TRUE(),$R3711="TRUE"),1,0))</f>
        <v/>
      </c>
      <c r="AK3711" s="18" t="str">
        <f aca="false">IF($AH3711=1,IFERROR(VALUE(MID($D3711,2,20)),1000000000)+ROW()/10000000,"")</f>
        <v/>
      </c>
    </row>
    <row r="3712" customFormat="false" ht="15" hidden="false" customHeight="false" outlineLevel="0" collapsed="false">
      <c r="F3712" s="15"/>
      <c r="N3712" s="16" t="str">
        <f aca="false">IF($D3712="","",M3712*Y3712/100)</f>
        <v/>
      </c>
      <c r="V3712" s="16" t="str">
        <f aca="false">IF($D3712="","",Y3712*AB3712/100)</f>
        <v/>
      </c>
      <c r="W3712" s="16" t="str">
        <f aca="false">IF($D3712="","",Y3712-V3712)</f>
        <v/>
      </c>
      <c r="X3712" s="16" t="str">
        <f aca="false">IF($D3712="","",W3712-N3712)</f>
        <v/>
      </c>
      <c r="AB3712" s="17" t="str">
        <f aca="false">IF($D3712="","",IF(OR($R3712=TRUE(),$R3712="TRUE"),Settings!$C$6,Settings!$C$7)*100)</f>
        <v/>
      </c>
      <c r="AH3712" s="18" t="str">
        <f aca="false">IF($D3712="","",IF(COUNTIF($D$2:$D3712,$D3712)=1,1,0))</f>
        <v/>
      </c>
      <c r="AI3712" s="18" t="str">
        <f aca="false">IF($AH3712=1,SUMPRODUCT(--($AK$2:$AK$4001&lt;$AK3712))+1,"")</f>
        <v/>
      </c>
      <c r="AJ3712" s="18" t="str">
        <f aca="false">IF($D3712="","",IF(OR($R3712=TRUE(),$R3712="TRUE"),1,0))</f>
        <v/>
      </c>
      <c r="AK3712" s="18" t="str">
        <f aca="false">IF($AH3712=1,IFERROR(VALUE(MID($D3712,2,20)),1000000000)+ROW()/10000000,"")</f>
        <v/>
      </c>
    </row>
    <row r="3713" customFormat="false" ht="15" hidden="false" customHeight="false" outlineLevel="0" collapsed="false">
      <c r="F3713" s="15"/>
      <c r="N3713" s="16" t="str">
        <f aca="false">IF($D3713="","",M3713*Y3713/100)</f>
        <v/>
      </c>
      <c r="V3713" s="16" t="str">
        <f aca="false">IF($D3713="","",Y3713*AB3713/100)</f>
        <v/>
      </c>
      <c r="W3713" s="16" t="str">
        <f aca="false">IF($D3713="","",Y3713-V3713)</f>
        <v/>
      </c>
      <c r="X3713" s="16" t="str">
        <f aca="false">IF($D3713="","",W3713-N3713)</f>
        <v/>
      </c>
      <c r="AB3713" s="17" t="str">
        <f aca="false">IF($D3713="","",IF(OR($R3713=TRUE(),$R3713="TRUE"),Settings!$C$6,Settings!$C$7)*100)</f>
        <v/>
      </c>
      <c r="AH3713" s="18" t="str">
        <f aca="false">IF($D3713="","",IF(COUNTIF($D$2:$D3713,$D3713)=1,1,0))</f>
        <v/>
      </c>
      <c r="AI3713" s="18" t="str">
        <f aca="false">IF($AH3713=1,SUMPRODUCT(--($AK$2:$AK$4001&lt;$AK3713))+1,"")</f>
        <v/>
      </c>
      <c r="AJ3713" s="18" t="str">
        <f aca="false">IF($D3713="","",IF(OR($R3713=TRUE(),$R3713="TRUE"),1,0))</f>
        <v/>
      </c>
      <c r="AK3713" s="18" t="str">
        <f aca="false">IF($AH3713=1,IFERROR(VALUE(MID($D3713,2,20)),1000000000)+ROW()/10000000,"")</f>
        <v/>
      </c>
    </row>
    <row r="3714" customFormat="false" ht="15" hidden="false" customHeight="false" outlineLevel="0" collapsed="false">
      <c r="F3714" s="15"/>
      <c r="N3714" s="16" t="str">
        <f aca="false">IF($D3714="","",M3714*Y3714/100)</f>
        <v/>
      </c>
      <c r="V3714" s="16" t="str">
        <f aca="false">IF($D3714="","",Y3714*AB3714/100)</f>
        <v/>
      </c>
      <c r="W3714" s="16" t="str">
        <f aca="false">IF($D3714="","",Y3714-V3714)</f>
        <v/>
      </c>
      <c r="X3714" s="16" t="str">
        <f aca="false">IF($D3714="","",W3714-N3714)</f>
        <v/>
      </c>
      <c r="AB3714" s="17" t="str">
        <f aca="false">IF($D3714="","",IF(OR($R3714=TRUE(),$R3714="TRUE"),Settings!$C$6,Settings!$C$7)*100)</f>
        <v/>
      </c>
      <c r="AH3714" s="18" t="str">
        <f aca="false">IF($D3714="","",IF(COUNTIF($D$2:$D3714,$D3714)=1,1,0))</f>
        <v/>
      </c>
      <c r="AI3714" s="18" t="str">
        <f aca="false">IF($AH3714=1,SUMPRODUCT(--($AK$2:$AK$4001&lt;$AK3714))+1,"")</f>
        <v/>
      </c>
      <c r="AJ3714" s="18" t="str">
        <f aca="false">IF($D3714="","",IF(OR($R3714=TRUE(),$R3714="TRUE"),1,0))</f>
        <v/>
      </c>
      <c r="AK3714" s="18" t="str">
        <f aca="false">IF($AH3714=1,IFERROR(VALUE(MID($D3714,2,20)),1000000000)+ROW()/10000000,"")</f>
        <v/>
      </c>
    </row>
    <row r="3715" customFormat="false" ht="15" hidden="false" customHeight="false" outlineLevel="0" collapsed="false">
      <c r="F3715" s="15"/>
      <c r="N3715" s="16" t="str">
        <f aca="false">IF($D3715="","",M3715*Y3715/100)</f>
        <v/>
      </c>
      <c r="V3715" s="16" t="str">
        <f aca="false">IF($D3715="","",Y3715*AB3715/100)</f>
        <v/>
      </c>
      <c r="W3715" s="16" t="str">
        <f aca="false">IF($D3715="","",Y3715-V3715)</f>
        <v/>
      </c>
      <c r="X3715" s="16" t="str">
        <f aca="false">IF($D3715="","",W3715-N3715)</f>
        <v/>
      </c>
      <c r="AB3715" s="17" t="str">
        <f aca="false">IF($D3715="","",IF(OR($R3715=TRUE(),$R3715="TRUE"),Settings!$C$6,Settings!$C$7)*100)</f>
        <v/>
      </c>
      <c r="AH3715" s="18" t="str">
        <f aca="false">IF($D3715="","",IF(COUNTIF($D$2:$D3715,$D3715)=1,1,0))</f>
        <v/>
      </c>
      <c r="AI3715" s="18" t="str">
        <f aca="false">IF($AH3715=1,SUMPRODUCT(--($AK$2:$AK$4001&lt;$AK3715))+1,"")</f>
        <v/>
      </c>
      <c r="AJ3715" s="18" t="str">
        <f aca="false">IF($D3715="","",IF(OR($R3715=TRUE(),$R3715="TRUE"),1,0))</f>
        <v/>
      </c>
      <c r="AK3715" s="18" t="str">
        <f aca="false">IF($AH3715=1,IFERROR(VALUE(MID($D3715,2,20)),1000000000)+ROW()/10000000,"")</f>
        <v/>
      </c>
    </row>
    <row r="3716" customFormat="false" ht="15" hidden="false" customHeight="false" outlineLevel="0" collapsed="false">
      <c r="F3716" s="15"/>
      <c r="N3716" s="16" t="str">
        <f aca="false">IF($D3716="","",M3716*Y3716/100)</f>
        <v/>
      </c>
      <c r="V3716" s="16" t="str">
        <f aca="false">IF($D3716="","",Y3716*AB3716/100)</f>
        <v/>
      </c>
      <c r="W3716" s="16" t="str">
        <f aca="false">IF($D3716="","",Y3716-V3716)</f>
        <v/>
      </c>
      <c r="X3716" s="16" t="str">
        <f aca="false">IF($D3716="","",W3716-N3716)</f>
        <v/>
      </c>
      <c r="AB3716" s="17" t="str">
        <f aca="false">IF($D3716="","",IF(OR($R3716=TRUE(),$R3716="TRUE"),Settings!$C$6,Settings!$C$7)*100)</f>
        <v/>
      </c>
      <c r="AH3716" s="18" t="str">
        <f aca="false">IF($D3716="","",IF(COUNTIF($D$2:$D3716,$D3716)=1,1,0))</f>
        <v/>
      </c>
      <c r="AI3716" s="18" t="str">
        <f aca="false">IF($AH3716=1,SUMPRODUCT(--($AK$2:$AK$4001&lt;$AK3716))+1,"")</f>
        <v/>
      </c>
      <c r="AJ3716" s="18" t="str">
        <f aca="false">IF($D3716="","",IF(OR($R3716=TRUE(),$R3716="TRUE"),1,0))</f>
        <v/>
      </c>
      <c r="AK3716" s="18" t="str">
        <f aca="false">IF($AH3716=1,IFERROR(VALUE(MID($D3716,2,20)),1000000000)+ROW()/10000000,"")</f>
        <v/>
      </c>
    </row>
    <row r="3717" customFormat="false" ht="15" hidden="false" customHeight="false" outlineLevel="0" collapsed="false">
      <c r="F3717" s="15"/>
      <c r="N3717" s="16" t="str">
        <f aca="false">IF($D3717="","",M3717*Y3717/100)</f>
        <v/>
      </c>
      <c r="V3717" s="16" t="str">
        <f aca="false">IF($D3717="","",Y3717*AB3717/100)</f>
        <v/>
      </c>
      <c r="W3717" s="16" t="str">
        <f aca="false">IF($D3717="","",Y3717-V3717)</f>
        <v/>
      </c>
      <c r="X3717" s="16" t="str">
        <f aca="false">IF($D3717="","",W3717-N3717)</f>
        <v/>
      </c>
      <c r="AB3717" s="17" t="str">
        <f aca="false">IF($D3717="","",IF(OR($R3717=TRUE(),$R3717="TRUE"),Settings!$C$6,Settings!$C$7)*100)</f>
        <v/>
      </c>
      <c r="AH3717" s="18" t="str">
        <f aca="false">IF($D3717="","",IF(COUNTIF($D$2:$D3717,$D3717)=1,1,0))</f>
        <v/>
      </c>
      <c r="AI3717" s="18" t="str">
        <f aca="false">IF($AH3717=1,SUMPRODUCT(--($AK$2:$AK$4001&lt;$AK3717))+1,"")</f>
        <v/>
      </c>
      <c r="AJ3717" s="18" t="str">
        <f aca="false">IF($D3717="","",IF(OR($R3717=TRUE(),$R3717="TRUE"),1,0))</f>
        <v/>
      </c>
      <c r="AK3717" s="18" t="str">
        <f aca="false">IF($AH3717=1,IFERROR(VALUE(MID($D3717,2,20)),1000000000)+ROW()/10000000,"")</f>
        <v/>
      </c>
    </row>
    <row r="3718" customFormat="false" ht="15" hidden="false" customHeight="false" outlineLevel="0" collapsed="false">
      <c r="F3718" s="15"/>
      <c r="N3718" s="16" t="str">
        <f aca="false">IF($D3718="","",M3718*Y3718/100)</f>
        <v/>
      </c>
      <c r="V3718" s="16" t="str">
        <f aca="false">IF($D3718="","",Y3718*AB3718/100)</f>
        <v/>
      </c>
      <c r="W3718" s="16" t="str">
        <f aca="false">IF($D3718="","",Y3718-V3718)</f>
        <v/>
      </c>
      <c r="X3718" s="16" t="str">
        <f aca="false">IF($D3718="","",W3718-N3718)</f>
        <v/>
      </c>
      <c r="AB3718" s="17" t="str">
        <f aca="false">IF($D3718="","",IF(OR($R3718=TRUE(),$R3718="TRUE"),Settings!$C$6,Settings!$C$7)*100)</f>
        <v/>
      </c>
      <c r="AH3718" s="18" t="str">
        <f aca="false">IF($D3718="","",IF(COUNTIF($D$2:$D3718,$D3718)=1,1,0))</f>
        <v/>
      </c>
      <c r="AI3718" s="18" t="str">
        <f aca="false">IF($AH3718=1,SUMPRODUCT(--($AK$2:$AK$4001&lt;$AK3718))+1,"")</f>
        <v/>
      </c>
      <c r="AJ3718" s="18" t="str">
        <f aca="false">IF($D3718="","",IF(OR($R3718=TRUE(),$R3718="TRUE"),1,0))</f>
        <v/>
      </c>
      <c r="AK3718" s="18" t="str">
        <f aca="false">IF($AH3718=1,IFERROR(VALUE(MID($D3718,2,20)),1000000000)+ROW()/10000000,"")</f>
        <v/>
      </c>
    </row>
    <row r="3719" customFormat="false" ht="15" hidden="false" customHeight="false" outlineLevel="0" collapsed="false">
      <c r="F3719" s="15"/>
      <c r="N3719" s="16" t="str">
        <f aca="false">IF($D3719="","",M3719*Y3719/100)</f>
        <v/>
      </c>
      <c r="V3719" s="16" t="str">
        <f aca="false">IF($D3719="","",Y3719*AB3719/100)</f>
        <v/>
      </c>
      <c r="W3719" s="16" t="str">
        <f aca="false">IF($D3719="","",Y3719-V3719)</f>
        <v/>
      </c>
      <c r="X3719" s="16" t="str">
        <f aca="false">IF($D3719="","",W3719-N3719)</f>
        <v/>
      </c>
      <c r="AB3719" s="17" t="str">
        <f aca="false">IF($D3719="","",IF(OR($R3719=TRUE(),$R3719="TRUE"),Settings!$C$6,Settings!$C$7)*100)</f>
        <v/>
      </c>
      <c r="AH3719" s="18" t="str">
        <f aca="false">IF($D3719="","",IF(COUNTIF($D$2:$D3719,$D3719)=1,1,0))</f>
        <v/>
      </c>
      <c r="AI3719" s="18" t="str">
        <f aca="false">IF($AH3719=1,SUMPRODUCT(--($AK$2:$AK$4001&lt;$AK3719))+1,"")</f>
        <v/>
      </c>
      <c r="AJ3719" s="18" t="str">
        <f aca="false">IF($D3719="","",IF(OR($R3719=TRUE(),$R3719="TRUE"),1,0))</f>
        <v/>
      </c>
      <c r="AK3719" s="18" t="str">
        <f aca="false">IF($AH3719=1,IFERROR(VALUE(MID($D3719,2,20)),1000000000)+ROW()/10000000,"")</f>
        <v/>
      </c>
    </row>
    <row r="3720" customFormat="false" ht="15" hidden="false" customHeight="false" outlineLevel="0" collapsed="false">
      <c r="F3720" s="15"/>
      <c r="N3720" s="16" t="str">
        <f aca="false">IF($D3720="","",M3720*Y3720/100)</f>
        <v/>
      </c>
      <c r="V3720" s="16" t="str">
        <f aca="false">IF($D3720="","",Y3720*AB3720/100)</f>
        <v/>
      </c>
      <c r="W3720" s="16" t="str">
        <f aca="false">IF($D3720="","",Y3720-V3720)</f>
        <v/>
      </c>
      <c r="X3720" s="16" t="str">
        <f aca="false">IF($D3720="","",W3720-N3720)</f>
        <v/>
      </c>
      <c r="AB3720" s="17" t="str">
        <f aca="false">IF($D3720="","",IF(OR($R3720=TRUE(),$R3720="TRUE"),Settings!$C$6,Settings!$C$7)*100)</f>
        <v/>
      </c>
      <c r="AH3720" s="18" t="str">
        <f aca="false">IF($D3720="","",IF(COUNTIF($D$2:$D3720,$D3720)=1,1,0))</f>
        <v/>
      </c>
      <c r="AI3720" s="18" t="str">
        <f aca="false">IF($AH3720=1,SUMPRODUCT(--($AK$2:$AK$4001&lt;$AK3720))+1,"")</f>
        <v/>
      </c>
      <c r="AJ3720" s="18" t="str">
        <f aca="false">IF($D3720="","",IF(OR($R3720=TRUE(),$R3720="TRUE"),1,0))</f>
        <v/>
      </c>
      <c r="AK3720" s="18" t="str">
        <f aca="false">IF($AH3720=1,IFERROR(VALUE(MID($D3720,2,20)),1000000000)+ROW()/10000000,"")</f>
        <v/>
      </c>
    </row>
    <row r="3721" customFormat="false" ht="15" hidden="false" customHeight="false" outlineLevel="0" collapsed="false">
      <c r="F3721" s="15"/>
      <c r="N3721" s="16" t="str">
        <f aca="false">IF($D3721="","",M3721*Y3721/100)</f>
        <v/>
      </c>
      <c r="V3721" s="16" t="str">
        <f aca="false">IF($D3721="","",Y3721*AB3721/100)</f>
        <v/>
      </c>
      <c r="W3721" s="16" t="str">
        <f aca="false">IF($D3721="","",Y3721-V3721)</f>
        <v/>
      </c>
      <c r="X3721" s="16" t="str">
        <f aca="false">IF($D3721="","",W3721-N3721)</f>
        <v/>
      </c>
      <c r="AB3721" s="17" t="str">
        <f aca="false">IF($D3721="","",IF(OR($R3721=TRUE(),$R3721="TRUE"),Settings!$C$6,Settings!$C$7)*100)</f>
        <v/>
      </c>
      <c r="AH3721" s="18" t="str">
        <f aca="false">IF($D3721="","",IF(COUNTIF($D$2:$D3721,$D3721)=1,1,0))</f>
        <v/>
      </c>
      <c r="AI3721" s="18" t="str">
        <f aca="false">IF($AH3721=1,SUMPRODUCT(--($AK$2:$AK$4001&lt;$AK3721))+1,"")</f>
        <v/>
      </c>
      <c r="AJ3721" s="18" t="str">
        <f aca="false">IF($D3721="","",IF(OR($R3721=TRUE(),$R3721="TRUE"),1,0))</f>
        <v/>
      </c>
      <c r="AK3721" s="18" t="str">
        <f aca="false">IF($AH3721=1,IFERROR(VALUE(MID($D3721,2,20)),1000000000)+ROW()/10000000,"")</f>
        <v/>
      </c>
    </row>
    <row r="3722" customFormat="false" ht="15" hidden="false" customHeight="false" outlineLevel="0" collapsed="false">
      <c r="F3722" s="15"/>
      <c r="N3722" s="16" t="str">
        <f aca="false">IF($D3722="","",M3722*Y3722/100)</f>
        <v/>
      </c>
      <c r="V3722" s="16" t="str">
        <f aca="false">IF($D3722="","",Y3722*AB3722/100)</f>
        <v/>
      </c>
      <c r="W3722" s="16" t="str">
        <f aca="false">IF($D3722="","",Y3722-V3722)</f>
        <v/>
      </c>
      <c r="X3722" s="16" t="str">
        <f aca="false">IF($D3722="","",W3722-N3722)</f>
        <v/>
      </c>
      <c r="AB3722" s="17" t="str">
        <f aca="false">IF($D3722="","",IF(OR($R3722=TRUE(),$R3722="TRUE"),Settings!$C$6,Settings!$C$7)*100)</f>
        <v/>
      </c>
      <c r="AH3722" s="18" t="str">
        <f aca="false">IF($D3722="","",IF(COUNTIF($D$2:$D3722,$D3722)=1,1,0))</f>
        <v/>
      </c>
      <c r="AI3722" s="18" t="str">
        <f aca="false">IF($AH3722=1,SUMPRODUCT(--($AK$2:$AK$4001&lt;$AK3722))+1,"")</f>
        <v/>
      </c>
      <c r="AJ3722" s="18" t="str">
        <f aca="false">IF($D3722="","",IF(OR($R3722=TRUE(),$R3722="TRUE"),1,0))</f>
        <v/>
      </c>
      <c r="AK3722" s="18" t="str">
        <f aca="false">IF($AH3722=1,IFERROR(VALUE(MID($D3722,2,20)),1000000000)+ROW()/10000000,"")</f>
        <v/>
      </c>
    </row>
    <row r="3723" customFormat="false" ht="15" hidden="false" customHeight="false" outlineLevel="0" collapsed="false">
      <c r="F3723" s="15"/>
      <c r="N3723" s="16" t="str">
        <f aca="false">IF($D3723="","",M3723*Y3723/100)</f>
        <v/>
      </c>
      <c r="V3723" s="16" t="str">
        <f aca="false">IF($D3723="","",Y3723*AB3723/100)</f>
        <v/>
      </c>
      <c r="W3723" s="16" t="str">
        <f aca="false">IF($D3723="","",Y3723-V3723)</f>
        <v/>
      </c>
      <c r="X3723" s="16" t="str">
        <f aca="false">IF($D3723="","",W3723-N3723)</f>
        <v/>
      </c>
      <c r="AB3723" s="17" t="str">
        <f aca="false">IF($D3723="","",IF(OR($R3723=TRUE(),$R3723="TRUE"),Settings!$C$6,Settings!$C$7)*100)</f>
        <v/>
      </c>
      <c r="AH3723" s="18" t="str">
        <f aca="false">IF($D3723="","",IF(COUNTIF($D$2:$D3723,$D3723)=1,1,0))</f>
        <v/>
      </c>
      <c r="AI3723" s="18" t="str">
        <f aca="false">IF($AH3723=1,SUMPRODUCT(--($AK$2:$AK$4001&lt;$AK3723))+1,"")</f>
        <v/>
      </c>
      <c r="AJ3723" s="18" t="str">
        <f aca="false">IF($D3723="","",IF(OR($R3723=TRUE(),$R3723="TRUE"),1,0))</f>
        <v/>
      </c>
      <c r="AK3723" s="18" t="str">
        <f aca="false">IF($AH3723=1,IFERROR(VALUE(MID($D3723,2,20)),1000000000)+ROW()/10000000,"")</f>
        <v/>
      </c>
    </row>
    <row r="3724" customFormat="false" ht="15" hidden="false" customHeight="false" outlineLevel="0" collapsed="false">
      <c r="F3724" s="15"/>
      <c r="N3724" s="16" t="str">
        <f aca="false">IF($D3724="","",M3724*Y3724/100)</f>
        <v/>
      </c>
      <c r="V3724" s="16" t="str">
        <f aca="false">IF($D3724="","",Y3724*AB3724/100)</f>
        <v/>
      </c>
      <c r="W3724" s="16" t="str">
        <f aca="false">IF($D3724="","",Y3724-V3724)</f>
        <v/>
      </c>
      <c r="X3724" s="16" t="str">
        <f aca="false">IF($D3724="","",W3724-N3724)</f>
        <v/>
      </c>
      <c r="AB3724" s="17" t="str">
        <f aca="false">IF($D3724="","",IF(OR($R3724=TRUE(),$R3724="TRUE"),Settings!$C$6,Settings!$C$7)*100)</f>
        <v/>
      </c>
      <c r="AH3724" s="18" t="str">
        <f aca="false">IF($D3724="","",IF(COUNTIF($D$2:$D3724,$D3724)=1,1,0))</f>
        <v/>
      </c>
      <c r="AI3724" s="18" t="str">
        <f aca="false">IF($AH3724=1,SUMPRODUCT(--($AK$2:$AK$4001&lt;$AK3724))+1,"")</f>
        <v/>
      </c>
      <c r="AJ3724" s="18" t="str">
        <f aca="false">IF($D3724="","",IF(OR($R3724=TRUE(),$R3724="TRUE"),1,0))</f>
        <v/>
      </c>
      <c r="AK3724" s="18" t="str">
        <f aca="false">IF($AH3724=1,IFERROR(VALUE(MID($D3724,2,20)),1000000000)+ROW()/10000000,"")</f>
        <v/>
      </c>
    </row>
    <row r="3725" customFormat="false" ht="15" hidden="false" customHeight="false" outlineLevel="0" collapsed="false">
      <c r="F3725" s="15"/>
      <c r="N3725" s="16" t="str">
        <f aca="false">IF($D3725="","",M3725*Y3725/100)</f>
        <v/>
      </c>
      <c r="V3725" s="16" t="str">
        <f aca="false">IF($D3725="","",Y3725*AB3725/100)</f>
        <v/>
      </c>
      <c r="W3725" s="16" t="str">
        <f aca="false">IF($D3725="","",Y3725-V3725)</f>
        <v/>
      </c>
      <c r="X3725" s="16" t="str">
        <f aca="false">IF($D3725="","",W3725-N3725)</f>
        <v/>
      </c>
      <c r="AB3725" s="17" t="str">
        <f aca="false">IF($D3725="","",IF(OR($R3725=TRUE(),$R3725="TRUE"),Settings!$C$6,Settings!$C$7)*100)</f>
        <v/>
      </c>
      <c r="AH3725" s="18" t="str">
        <f aca="false">IF($D3725="","",IF(COUNTIF($D$2:$D3725,$D3725)=1,1,0))</f>
        <v/>
      </c>
      <c r="AI3725" s="18" t="str">
        <f aca="false">IF($AH3725=1,SUMPRODUCT(--($AK$2:$AK$4001&lt;$AK3725))+1,"")</f>
        <v/>
      </c>
      <c r="AJ3725" s="18" t="str">
        <f aca="false">IF($D3725="","",IF(OR($R3725=TRUE(),$R3725="TRUE"),1,0))</f>
        <v/>
      </c>
      <c r="AK3725" s="18" t="str">
        <f aca="false">IF($AH3725=1,IFERROR(VALUE(MID($D3725,2,20)),1000000000)+ROW()/10000000,"")</f>
        <v/>
      </c>
    </row>
    <row r="3726" customFormat="false" ht="15" hidden="false" customHeight="false" outlineLevel="0" collapsed="false">
      <c r="F3726" s="15"/>
      <c r="N3726" s="16" t="str">
        <f aca="false">IF($D3726="","",M3726*Y3726/100)</f>
        <v/>
      </c>
      <c r="V3726" s="16" t="str">
        <f aca="false">IF($D3726="","",Y3726*AB3726/100)</f>
        <v/>
      </c>
      <c r="W3726" s="16" t="str">
        <f aca="false">IF($D3726="","",Y3726-V3726)</f>
        <v/>
      </c>
      <c r="X3726" s="16" t="str">
        <f aca="false">IF($D3726="","",W3726-N3726)</f>
        <v/>
      </c>
      <c r="AB3726" s="17" t="str">
        <f aca="false">IF($D3726="","",IF(OR($R3726=TRUE(),$R3726="TRUE"),Settings!$C$6,Settings!$C$7)*100)</f>
        <v/>
      </c>
      <c r="AH3726" s="18" t="str">
        <f aca="false">IF($D3726="","",IF(COUNTIF($D$2:$D3726,$D3726)=1,1,0))</f>
        <v/>
      </c>
      <c r="AI3726" s="18" t="str">
        <f aca="false">IF($AH3726=1,SUMPRODUCT(--($AK$2:$AK$4001&lt;$AK3726))+1,"")</f>
        <v/>
      </c>
      <c r="AJ3726" s="18" t="str">
        <f aca="false">IF($D3726="","",IF(OR($R3726=TRUE(),$R3726="TRUE"),1,0))</f>
        <v/>
      </c>
      <c r="AK3726" s="18" t="str">
        <f aca="false">IF($AH3726=1,IFERROR(VALUE(MID($D3726,2,20)),1000000000)+ROW()/10000000,"")</f>
        <v/>
      </c>
    </row>
    <row r="3727" customFormat="false" ht="15" hidden="false" customHeight="false" outlineLevel="0" collapsed="false">
      <c r="F3727" s="15"/>
      <c r="N3727" s="16" t="str">
        <f aca="false">IF($D3727="","",M3727*Y3727/100)</f>
        <v/>
      </c>
      <c r="V3727" s="16" t="str">
        <f aca="false">IF($D3727="","",Y3727*AB3727/100)</f>
        <v/>
      </c>
      <c r="W3727" s="16" t="str">
        <f aca="false">IF($D3727="","",Y3727-V3727)</f>
        <v/>
      </c>
      <c r="X3727" s="16" t="str">
        <f aca="false">IF($D3727="","",W3727-N3727)</f>
        <v/>
      </c>
      <c r="AB3727" s="17" t="str">
        <f aca="false">IF($D3727="","",IF(OR($R3727=TRUE(),$R3727="TRUE"),Settings!$C$6,Settings!$C$7)*100)</f>
        <v/>
      </c>
      <c r="AH3727" s="18" t="str">
        <f aca="false">IF($D3727="","",IF(COUNTIF($D$2:$D3727,$D3727)=1,1,0))</f>
        <v/>
      </c>
      <c r="AI3727" s="18" t="str">
        <f aca="false">IF($AH3727=1,SUMPRODUCT(--($AK$2:$AK$4001&lt;$AK3727))+1,"")</f>
        <v/>
      </c>
      <c r="AJ3727" s="18" t="str">
        <f aca="false">IF($D3727="","",IF(OR($R3727=TRUE(),$R3727="TRUE"),1,0))</f>
        <v/>
      </c>
      <c r="AK3727" s="18" t="str">
        <f aca="false">IF($AH3727=1,IFERROR(VALUE(MID($D3727,2,20)),1000000000)+ROW()/10000000,"")</f>
        <v/>
      </c>
    </row>
    <row r="3728" customFormat="false" ht="15" hidden="false" customHeight="false" outlineLevel="0" collapsed="false">
      <c r="F3728" s="15"/>
      <c r="N3728" s="16" t="str">
        <f aca="false">IF($D3728="","",M3728*Y3728/100)</f>
        <v/>
      </c>
      <c r="V3728" s="16" t="str">
        <f aca="false">IF($D3728="","",Y3728*AB3728/100)</f>
        <v/>
      </c>
      <c r="W3728" s="16" t="str">
        <f aca="false">IF($D3728="","",Y3728-V3728)</f>
        <v/>
      </c>
      <c r="X3728" s="16" t="str">
        <f aca="false">IF($D3728="","",W3728-N3728)</f>
        <v/>
      </c>
      <c r="AB3728" s="17" t="str">
        <f aca="false">IF($D3728="","",IF(OR($R3728=TRUE(),$R3728="TRUE"),Settings!$C$6,Settings!$C$7)*100)</f>
        <v/>
      </c>
      <c r="AH3728" s="18" t="str">
        <f aca="false">IF($D3728="","",IF(COUNTIF($D$2:$D3728,$D3728)=1,1,0))</f>
        <v/>
      </c>
      <c r="AI3728" s="18" t="str">
        <f aca="false">IF($AH3728=1,SUMPRODUCT(--($AK$2:$AK$4001&lt;$AK3728))+1,"")</f>
        <v/>
      </c>
      <c r="AJ3728" s="18" t="str">
        <f aca="false">IF($D3728="","",IF(OR($R3728=TRUE(),$R3728="TRUE"),1,0))</f>
        <v/>
      </c>
      <c r="AK3728" s="18" t="str">
        <f aca="false">IF($AH3728=1,IFERROR(VALUE(MID($D3728,2,20)),1000000000)+ROW()/10000000,"")</f>
        <v/>
      </c>
    </row>
    <row r="3729" customFormat="false" ht="15" hidden="false" customHeight="false" outlineLevel="0" collapsed="false">
      <c r="F3729" s="15"/>
      <c r="N3729" s="16" t="str">
        <f aca="false">IF($D3729="","",M3729*Y3729/100)</f>
        <v/>
      </c>
      <c r="V3729" s="16" t="str">
        <f aca="false">IF($D3729="","",Y3729*AB3729/100)</f>
        <v/>
      </c>
      <c r="W3729" s="16" t="str">
        <f aca="false">IF($D3729="","",Y3729-V3729)</f>
        <v/>
      </c>
      <c r="X3729" s="16" t="str">
        <f aca="false">IF($D3729="","",W3729-N3729)</f>
        <v/>
      </c>
      <c r="AB3729" s="17" t="str">
        <f aca="false">IF($D3729="","",IF(OR($R3729=TRUE(),$R3729="TRUE"),Settings!$C$6,Settings!$C$7)*100)</f>
        <v/>
      </c>
      <c r="AH3729" s="18" t="str">
        <f aca="false">IF($D3729="","",IF(COUNTIF($D$2:$D3729,$D3729)=1,1,0))</f>
        <v/>
      </c>
      <c r="AI3729" s="18" t="str">
        <f aca="false">IF($AH3729=1,SUMPRODUCT(--($AK$2:$AK$4001&lt;$AK3729))+1,"")</f>
        <v/>
      </c>
      <c r="AJ3729" s="18" t="str">
        <f aca="false">IF($D3729="","",IF(OR($R3729=TRUE(),$R3729="TRUE"),1,0))</f>
        <v/>
      </c>
      <c r="AK3729" s="18" t="str">
        <f aca="false">IF($AH3729=1,IFERROR(VALUE(MID($D3729,2,20)),1000000000)+ROW()/10000000,"")</f>
        <v/>
      </c>
    </row>
    <row r="3730" customFormat="false" ht="15" hidden="false" customHeight="false" outlineLevel="0" collapsed="false">
      <c r="F3730" s="15"/>
      <c r="N3730" s="16" t="str">
        <f aca="false">IF($D3730="","",M3730*Y3730/100)</f>
        <v/>
      </c>
      <c r="V3730" s="16" t="str">
        <f aca="false">IF($D3730="","",Y3730*AB3730/100)</f>
        <v/>
      </c>
      <c r="W3730" s="16" t="str">
        <f aca="false">IF($D3730="","",Y3730-V3730)</f>
        <v/>
      </c>
      <c r="X3730" s="16" t="str">
        <f aca="false">IF($D3730="","",W3730-N3730)</f>
        <v/>
      </c>
      <c r="AB3730" s="17" t="str">
        <f aca="false">IF($D3730="","",IF(OR($R3730=TRUE(),$R3730="TRUE"),Settings!$C$6,Settings!$C$7)*100)</f>
        <v/>
      </c>
      <c r="AH3730" s="18" t="str">
        <f aca="false">IF($D3730="","",IF(COUNTIF($D$2:$D3730,$D3730)=1,1,0))</f>
        <v/>
      </c>
      <c r="AI3730" s="18" t="str">
        <f aca="false">IF($AH3730=1,SUMPRODUCT(--($AK$2:$AK$4001&lt;$AK3730))+1,"")</f>
        <v/>
      </c>
      <c r="AJ3730" s="18" t="str">
        <f aca="false">IF($D3730="","",IF(OR($R3730=TRUE(),$R3730="TRUE"),1,0))</f>
        <v/>
      </c>
      <c r="AK3730" s="18" t="str">
        <f aca="false">IF($AH3730=1,IFERROR(VALUE(MID($D3730,2,20)),1000000000)+ROW()/10000000,"")</f>
        <v/>
      </c>
    </row>
    <row r="3731" customFormat="false" ht="15" hidden="false" customHeight="false" outlineLevel="0" collapsed="false">
      <c r="F3731" s="15"/>
      <c r="N3731" s="16" t="str">
        <f aca="false">IF($D3731="","",M3731*Y3731/100)</f>
        <v/>
      </c>
      <c r="V3731" s="16" t="str">
        <f aca="false">IF($D3731="","",Y3731*AB3731/100)</f>
        <v/>
      </c>
      <c r="W3731" s="16" t="str">
        <f aca="false">IF($D3731="","",Y3731-V3731)</f>
        <v/>
      </c>
      <c r="X3731" s="16" t="str">
        <f aca="false">IF($D3731="","",W3731-N3731)</f>
        <v/>
      </c>
      <c r="AB3731" s="17" t="str">
        <f aca="false">IF($D3731="","",IF(OR($R3731=TRUE(),$R3731="TRUE"),Settings!$C$6,Settings!$C$7)*100)</f>
        <v/>
      </c>
      <c r="AH3731" s="18" t="str">
        <f aca="false">IF($D3731="","",IF(COUNTIF($D$2:$D3731,$D3731)=1,1,0))</f>
        <v/>
      </c>
      <c r="AI3731" s="18" t="str">
        <f aca="false">IF($AH3731=1,SUMPRODUCT(--($AK$2:$AK$4001&lt;$AK3731))+1,"")</f>
        <v/>
      </c>
      <c r="AJ3731" s="18" t="str">
        <f aca="false">IF($D3731="","",IF(OR($R3731=TRUE(),$R3731="TRUE"),1,0))</f>
        <v/>
      </c>
      <c r="AK3731" s="18" t="str">
        <f aca="false">IF($AH3731=1,IFERROR(VALUE(MID($D3731,2,20)),1000000000)+ROW()/10000000,"")</f>
        <v/>
      </c>
    </row>
    <row r="3732" customFormat="false" ht="15" hidden="false" customHeight="false" outlineLevel="0" collapsed="false">
      <c r="F3732" s="15"/>
      <c r="N3732" s="16" t="str">
        <f aca="false">IF($D3732="","",M3732*Y3732/100)</f>
        <v/>
      </c>
      <c r="V3732" s="16" t="str">
        <f aca="false">IF($D3732="","",Y3732*AB3732/100)</f>
        <v/>
      </c>
      <c r="W3732" s="16" t="str">
        <f aca="false">IF($D3732="","",Y3732-V3732)</f>
        <v/>
      </c>
      <c r="X3732" s="16" t="str">
        <f aca="false">IF($D3732="","",W3732-N3732)</f>
        <v/>
      </c>
      <c r="AB3732" s="17" t="str">
        <f aca="false">IF($D3732="","",IF(OR($R3732=TRUE(),$R3732="TRUE"),Settings!$C$6,Settings!$C$7)*100)</f>
        <v/>
      </c>
      <c r="AH3732" s="18" t="str">
        <f aca="false">IF($D3732="","",IF(COUNTIF($D$2:$D3732,$D3732)=1,1,0))</f>
        <v/>
      </c>
      <c r="AI3732" s="18" t="str">
        <f aca="false">IF($AH3732=1,SUMPRODUCT(--($AK$2:$AK$4001&lt;$AK3732))+1,"")</f>
        <v/>
      </c>
      <c r="AJ3732" s="18" t="str">
        <f aca="false">IF($D3732="","",IF(OR($R3732=TRUE(),$R3732="TRUE"),1,0))</f>
        <v/>
      </c>
      <c r="AK3732" s="18" t="str">
        <f aca="false">IF($AH3732=1,IFERROR(VALUE(MID($D3732,2,20)),1000000000)+ROW()/10000000,"")</f>
        <v/>
      </c>
    </row>
    <row r="3733" customFormat="false" ht="15" hidden="false" customHeight="false" outlineLevel="0" collapsed="false">
      <c r="F3733" s="15"/>
      <c r="N3733" s="16" t="str">
        <f aca="false">IF($D3733="","",M3733*Y3733/100)</f>
        <v/>
      </c>
      <c r="V3733" s="16" t="str">
        <f aca="false">IF($D3733="","",Y3733*AB3733/100)</f>
        <v/>
      </c>
      <c r="W3733" s="16" t="str">
        <f aca="false">IF($D3733="","",Y3733-V3733)</f>
        <v/>
      </c>
      <c r="X3733" s="16" t="str">
        <f aca="false">IF($D3733="","",W3733-N3733)</f>
        <v/>
      </c>
      <c r="AB3733" s="17" t="str">
        <f aca="false">IF($D3733="","",IF(OR($R3733=TRUE(),$R3733="TRUE"),Settings!$C$6,Settings!$C$7)*100)</f>
        <v/>
      </c>
      <c r="AH3733" s="18" t="str">
        <f aca="false">IF($D3733="","",IF(COUNTIF($D$2:$D3733,$D3733)=1,1,0))</f>
        <v/>
      </c>
      <c r="AI3733" s="18" t="str">
        <f aca="false">IF($AH3733=1,SUMPRODUCT(--($AK$2:$AK$4001&lt;$AK3733))+1,"")</f>
        <v/>
      </c>
      <c r="AJ3733" s="18" t="str">
        <f aca="false">IF($D3733="","",IF(OR($R3733=TRUE(),$R3733="TRUE"),1,0))</f>
        <v/>
      </c>
      <c r="AK3733" s="18" t="str">
        <f aca="false">IF($AH3733=1,IFERROR(VALUE(MID($D3733,2,20)),1000000000)+ROW()/10000000,"")</f>
        <v/>
      </c>
    </row>
    <row r="3734" customFormat="false" ht="15" hidden="false" customHeight="false" outlineLevel="0" collapsed="false">
      <c r="F3734" s="15"/>
      <c r="N3734" s="16" t="str">
        <f aca="false">IF($D3734="","",M3734*Y3734/100)</f>
        <v/>
      </c>
      <c r="V3734" s="16" t="str">
        <f aca="false">IF($D3734="","",Y3734*AB3734/100)</f>
        <v/>
      </c>
      <c r="W3734" s="16" t="str">
        <f aca="false">IF($D3734="","",Y3734-V3734)</f>
        <v/>
      </c>
      <c r="X3734" s="16" t="str">
        <f aca="false">IF($D3734="","",W3734-N3734)</f>
        <v/>
      </c>
      <c r="AB3734" s="17" t="str">
        <f aca="false">IF($D3734="","",IF(OR($R3734=TRUE(),$R3734="TRUE"),Settings!$C$6,Settings!$C$7)*100)</f>
        <v/>
      </c>
      <c r="AH3734" s="18" t="str">
        <f aca="false">IF($D3734="","",IF(COUNTIF($D$2:$D3734,$D3734)=1,1,0))</f>
        <v/>
      </c>
      <c r="AI3734" s="18" t="str">
        <f aca="false">IF($AH3734=1,SUMPRODUCT(--($AK$2:$AK$4001&lt;$AK3734))+1,"")</f>
        <v/>
      </c>
      <c r="AJ3734" s="18" t="str">
        <f aca="false">IF($D3734="","",IF(OR($R3734=TRUE(),$R3734="TRUE"),1,0))</f>
        <v/>
      </c>
      <c r="AK3734" s="18" t="str">
        <f aca="false">IF($AH3734=1,IFERROR(VALUE(MID($D3734,2,20)),1000000000)+ROW()/10000000,"")</f>
        <v/>
      </c>
    </row>
    <row r="3735" customFormat="false" ht="15" hidden="false" customHeight="false" outlineLevel="0" collapsed="false">
      <c r="F3735" s="15"/>
      <c r="N3735" s="16" t="str">
        <f aca="false">IF($D3735="","",M3735*Y3735/100)</f>
        <v/>
      </c>
      <c r="V3735" s="16" t="str">
        <f aca="false">IF($D3735="","",Y3735*AB3735/100)</f>
        <v/>
      </c>
      <c r="W3735" s="16" t="str">
        <f aca="false">IF($D3735="","",Y3735-V3735)</f>
        <v/>
      </c>
      <c r="X3735" s="16" t="str">
        <f aca="false">IF($D3735="","",W3735-N3735)</f>
        <v/>
      </c>
      <c r="AB3735" s="17" t="str">
        <f aca="false">IF($D3735="","",IF(OR($R3735=TRUE(),$R3735="TRUE"),Settings!$C$6,Settings!$C$7)*100)</f>
        <v/>
      </c>
      <c r="AH3735" s="18" t="str">
        <f aca="false">IF($D3735="","",IF(COUNTIF($D$2:$D3735,$D3735)=1,1,0))</f>
        <v/>
      </c>
      <c r="AI3735" s="18" t="str">
        <f aca="false">IF($AH3735=1,SUMPRODUCT(--($AK$2:$AK$4001&lt;$AK3735))+1,"")</f>
        <v/>
      </c>
      <c r="AJ3735" s="18" t="str">
        <f aca="false">IF($D3735="","",IF(OR($R3735=TRUE(),$R3735="TRUE"),1,0))</f>
        <v/>
      </c>
      <c r="AK3735" s="18" t="str">
        <f aca="false">IF($AH3735=1,IFERROR(VALUE(MID($D3735,2,20)),1000000000)+ROW()/10000000,"")</f>
        <v/>
      </c>
    </row>
    <row r="3736" customFormat="false" ht="15" hidden="false" customHeight="false" outlineLevel="0" collapsed="false">
      <c r="F3736" s="15"/>
      <c r="N3736" s="16" t="str">
        <f aca="false">IF($D3736="","",M3736*Y3736/100)</f>
        <v/>
      </c>
      <c r="V3736" s="16" t="str">
        <f aca="false">IF($D3736="","",Y3736*AB3736/100)</f>
        <v/>
      </c>
      <c r="W3736" s="16" t="str">
        <f aca="false">IF($D3736="","",Y3736-V3736)</f>
        <v/>
      </c>
      <c r="X3736" s="16" t="str">
        <f aca="false">IF($D3736="","",W3736-N3736)</f>
        <v/>
      </c>
      <c r="AB3736" s="17" t="str">
        <f aca="false">IF($D3736="","",IF(OR($R3736=TRUE(),$R3736="TRUE"),Settings!$C$6,Settings!$C$7)*100)</f>
        <v/>
      </c>
      <c r="AH3736" s="18" t="str">
        <f aca="false">IF($D3736="","",IF(COUNTIF($D$2:$D3736,$D3736)=1,1,0))</f>
        <v/>
      </c>
      <c r="AI3736" s="18" t="str">
        <f aca="false">IF($AH3736=1,SUMPRODUCT(--($AK$2:$AK$4001&lt;$AK3736))+1,"")</f>
        <v/>
      </c>
      <c r="AJ3736" s="18" t="str">
        <f aca="false">IF($D3736="","",IF(OR($R3736=TRUE(),$R3736="TRUE"),1,0))</f>
        <v/>
      </c>
      <c r="AK3736" s="18" t="str">
        <f aca="false">IF($AH3736=1,IFERROR(VALUE(MID($D3736,2,20)),1000000000)+ROW()/10000000,"")</f>
        <v/>
      </c>
    </row>
    <row r="3737" customFormat="false" ht="15" hidden="false" customHeight="false" outlineLevel="0" collapsed="false">
      <c r="F3737" s="15"/>
      <c r="N3737" s="16" t="str">
        <f aca="false">IF($D3737="","",M3737*Y3737/100)</f>
        <v/>
      </c>
      <c r="V3737" s="16" t="str">
        <f aca="false">IF($D3737="","",Y3737*AB3737/100)</f>
        <v/>
      </c>
      <c r="W3737" s="16" t="str">
        <f aca="false">IF($D3737="","",Y3737-V3737)</f>
        <v/>
      </c>
      <c r="X3737" s="16" t="str">
        <f aca="false">IF($D3737="","",W3737-N3737)</f>
        <v/>
      </c>
      <c r="AB3737" s="17" t="str">
        <f aca="false">IF($D3737="","",IF(OR($R3737=TRUE(),$R3737="TRUE"),Settings!$C$6,Settings!$C$7)*100)</f>
        <v/>
      </c>
      <c r="AH3737" s="18" t="str">
        <f aca="false">IF($D3737="","",IF(COUNTIF($D$2:$D3737,$D3737)=1,1,0))</f>
        <v/>
      </c>
      <c r="AI3737" s="18" t="str">
        <f aca="false">IF($AH3737=1,SUMPRODUCT(--($AK$2:$AK$4001&lt;$AK3737))+1,"")</f>
        <v/>
      </c>
      <c r="AJ3737" s="18" t="str">
        <f aca="false">IF($D3737="","",IF(OR($R3737=TRUE(),$R3737="TRUE"),1,0))</f>
        <v/>
      </c>
      <c r="AK3737" s="18" t="str">
        <f aca="false">IF($AH3737=1,IFERROR(VALUE(MID($D3737,2,20)),1000000000)+ROW()/10000000,"")</f>
        <v/>
      </c>
    </row>
    <row r="3738" customFormat="false" ht="15" hidden="false" customHeight="false" outlineLevel="0" collapsed="false">
      <c r="F3738" s="15"/>
      <c r="N3738" s="16" t="str">
        <f aca="false">IF($D3738="","",M3738*Y3738/100)</f>
        <v/>
      </c>
      <c r="V3738" s="16" t="str">
        <f aca="false">IF($D3738="","",Y3738*AB3738/100)</f>
        <v/>
      </c>
      <c r="W3738" s="16" t="str">
        <f aca="false">IF($D3738="","",Y3738-V3738)</f>
        <v/>
      </c>
      <c r="X3738" s="16" t="str">
        <f aca="false">IF($D3738="","",W3738-N3738)</f>
        <v/>
      </c>
      <c r="AB3738" s="17" t="str">
        <f aca="false">IF($D3738="","",IF(OR($R3738=TRUE(),$R3738="TRUE"),Settings!$C$6,Settings!$C$7)*100)</f>
        <v/>
      </c>
      <c r="AH3738" s="18" t="str">
        <f aca="false">IF($D3738="","",IF(COUNTIF($D$2:$D3738,$D3738)=1,1,0))</f>
        <v/>
      </c>
      <c r="AI3738" s="18" t="str">
        <f aca="false">IF($AH3738=1,SUMPRODUCT(--($AK$2:$AK$4001&lt;$AK3738))+1,"")</f>
        <v/>
      </c>
      <c r="AJ3738" s="18" t="str">
        <f aca="false">IF($D3738="","",IF(OR($R3738=TRUE(),$R3738="TRUE"),1,0))</f>
        <v/>
      </c>
      <c r="AK3738" s="18" t="str">
        <f aca="false">IF($AH3738=1,IFERROR(VALUE(MID($D3738,2,20)),1000000000)+ROW()/10000000,"")</f>
        <v/>
      </c>
    </row>
    <row r="3739" customFormat="false" ht="15" hidden="false" customHeight="false" outlineLevel="0" collapsed="false">
      <c r="F3739" s="15"/>
      <c r="N3739" s="16" t="str">
        <f aca="false">IF($D3739="","",M3739*Y3739/100)</f>
        <v/>
      </c>
      <c r="V3739" s="16" t="str">
        <f aca="false">IF($D3739="","",Y3739*AB3739/100)</f>
        <v/>
      </c>
      <c r="W3739" s="16" t="str">
        <f aca="false">IF($D3739="","",Y3739-V3739)</f>
        <v/>
      </c>
      <c r="X3739" s="16" t="str">
        <f aca="false">IF($D3739="","",W3739-N3739)</f>
        <v/>
      </c>
      <c r="AB3739" s="17" t="str">
        <f aca="false">IF($D3739="","",IF(OR($R3739=TRUE(),$R3739="TRUE"),Settings!$C$6,Settings!$C$7)*100)</f>
        <v/>
      </c>
      <c r="AH3739" s="18" t="str">
        <f aca="false">IF($D3739="","",IF(COUNTIF($D$2:$D3739,$D3739)=1,1,0))</f>
        <v/>
      </c>
      <c r="AI3739" s="18" t="str">
        <f aca="false">IF($AH3739=1,SUMPRODUCT(--($AK$2:$AK$4001&lt;$AK3739))+1,"")</f>
        <v/>
      </c>
      <c r="AJ3739" s="18" t="str">
        <f aca="false">IF($D3739="","",IF(OR($R3739=TRUE(),$R3739="TRUE"),1,0))</f>
        <v/>
      </c>
      <c r="AK3739" s="18" t="str">
        <f aca="false">IF($AH3739=1,IFERROR(VALUE(MID($D3739,2,20)),1000000000)+ROW()/10000000,"")</f>
        <v/>
      </c>
    </row>
    <row r="3740" customFormat="false" ht="15" hidden="false" customHeight="false" outlineLevel="0" collapsed="false">
      <c r="F3740" s="15"/>
      <c r="N3740" s="16" t="str">
        <f aca="false">IF($D3740="","",M3740*Y3740/100)</f>
        <v/>
      </c>
      <c r="V3740" s="16" t="str">
        <f aca="false">IF($D3740="","",Y3740*AB3740/100)</f>
        <v/>
      </c>
      <c r="W3740" s="16" t="str">
        <f aca="false">IF($D3740="","",Y3740-V3740)</f>
        <v/>
      </c>
      <c r="X3740" s="16" t="str">
        <f aca="false">IF($D3740="","",W3740-N3740)</f>
        <v/>
      </c>
      <c r="AB3740" s="17" t="str">
        <f aca="false">IF($D3740="","",IF(OR($R3740=TRUE(),$R3740="TRUE"),Settings!$C$6,Settings!$C$7)*100)</f>
        <v/>
      </c>
      <c r="AH3740" s="18" t="str">
        <f aca="false">IF($D3740="","",IF(COUNTIF($D$2:$D3740,$D3740)=1,1,0))</f>
        <v/>
      </c>
      <c r="AI3740" s="18" t="str">
        <f aca="false">IF($AH3740=1,SUMPRODUCT(--($AK$2:$AK$4001&lt;$AK3740))+1,"")</f>
        <v/>
      </c>
      <c r="AJ3740" s="18" t="str">
        <f aca="false">IF($D3740="","",IF(OR($R3740=TRUE(),$R3740="TRUE"),1,0))</f>
        <v/>
      </c>
      <c r="AK3740" s="18" t="str">
        <f aca="false">IF($AH3740=1,IFERROR(VALUE(MID($D3740,2,20)),1000000000)+ROW()/10000000,"")</f>
        <v/>
      </c>
    </row>
    <row r="3741" customFormat="false" ht="15" hidden="false" customHeight="false" outlineLevel="0" collapsed="false">
      <c r="F3741" s="15"/>
      <c r="N3741" s="16" t="str">
        <f aca="false">IF($D3741="","",M3741*Y3741/100)</f>
        <v/>
      </c>
      <c r="V3741" s="16" t="str">
        <f aca="false">IF($D3741="","",Y3741*AB3741/100)</f>
        <v/>
      </c>
      <c r="W3741" s="16" t="str">
        <f aca="false">IF($D3741="","",Y3741-V3741)</f>
        <v/>
      </c>
      <c r="X3741" s="16" t="str">
        <f aca="false">IF($D3741="","",W3741-N3741)</f>
        <v/>
      </c>
      <c r="AB3741" s="17" t="str">
        <f aca="false">IF($D3741="","",IF(OR($R3741=TRUE(),$R3741="TRUE"),Settings!$C$6,Settings!$C$7)*100)</f>
        <v/>
      </c>
      <c r="AH3741" s="18" t="str">
        <f aca="false">IF($D3741="","",IF(COUNTIF($D$2:$D3741,$D3741)=1,1,0))</f>
        <v/>
      </c>
      <c r="AI3741" s="18" t="str">
        <f aca="false">IF($AH3741=1,SUMPRODUCT(--($AK$2:$AK$4001&lt;$AK3741))+1,"")</f>
        <v/>
      </c>
      <c r="AJ3741" s="18" t="str">
        <f aca="false">IF($D3741="","",IF(OR($R3741=TRUE(),$R3741="TRUE"),1,0))</f>
        <v/>
      </c>
      <c r="AK3741" s="18" t="str">
        <f aca="false">IF($AH3741=1,IFERROR(VALUE(MID($D3741,2,20)),1000000000)+ROW()/10000000,"")</f>
        <v/>
      </c>
    </row>
    <row r="3742" customFormat="false" ht="15" hidden="false" customHeight="false" outlineLevel="0" collapsed="false">
      <c r="F3742" s="15"/>
      <c r="N3742" s="16" t="str">
        <f aca="false">IF($D3742="","",M3742*Y3742/100)</f>
        <v/>
      </c>
      <c r="V3742" s="16" t="str">
        <f aca="false">IF($D3742="","",Y3742*AB3742/100)</f>
        <v/>
      </c>
      <c r="W3742" s="16" t="str">
        <f aca="false">IF($D3742="","",Y3742-V3742)</f>
        <v/>
      </c>
      <c r="X3742" s="16" t="str">
        <f aca="false">IF($D3742="","",W3742-N3742)</f>
        <v/>
      </c>
      <c r="AB3742" s="17" t="str">
        <f aca="false">IF($D3742="","",IF(OR($R3742=TRUE(),$R3742="TRUE"),Settings!$C$6,Settings!$C$7)*100)</f>
        <v/>
      </c>
      <c r="AH3742" s="18" t="str">
        <f aca="false">IF($D3742="","",IF(COUNTIF($D$2:$D3742,$D3742)=1,1,0))</f>
        <v/>
      </c>
      <c r="AI3742" s="18" t="str">
        <f aca="false">IF($AH3742=1,SUMPRODUCT(--($AK$2:$AK$4001&lt;$AK3742))+1,"")</f>
        <v/>
      </c>
      <c r="AJ3742" s="18" t="str">
        <f aca="false">IF($D3742="","",IF(OR($R3742=TRUE(),$R3742="TRUE"),1,0))</f>
        <v/>
      </c>
      <c r="AK3742" s="18" t="str">
        <f aca="false">IF($AH3742=1,IFERROR(VALUE(MID($D3742,2,20)),1000000000)+ROW()/10000000,"")</f>
        <v/>
      </c>
    </row>
    <row r="3743" customFormat="false" ht="15" hidden="false" customHeight="false" outlineLevel="0" collapsed="false">
      <c r="F3743" s="15"/>
      <c r="N3743" s="16" t="str">
        <f aca="false">IF($D3743="","",M3743*Y3743/100)</f>
        <v/>
      </c>
      <c r="V3743" s="16" t="str">
        <f aca="false">IF($D3743="","",Y3743*AB3743/100)</f>
        <v/>
      </c>
      <c r="W3743" s="16" t="str">
        <f aca="false">IF($D3743="","",Y3743-V3743)</f>
        <v/>
      </c>
      <c r="X3743" s="16" t="str">
        <f aca="false">IF($D3743="","",W3743-N3743)</f>
        <v/>
      </c>
      <c r="AB3743" s="17" t="str">
        <f aca="false">IF($D3743="","",IF(OR($R3743=TRUE(),$R3743="TRUE"),Settings!$C$6,Settings!$C$7)*100)</f>
        <v/>
      </c>
      <c r="AH3743" s="18" t="str">
        <f aca="false">IF($D3743="","",IF(COUNTIF($D$2:$D3743,$D3743)=1,1,0))</f>
        <v/>
      </c>
      <c r="AI3743" s="18" t="str">
        <f aca="false">IF($AH3743=1,SUMPRODUCT(--($AK$2:$AK$4001&lt;$AK3743))+1,"")</f>
        <v/>
      </c>
      <c r="AJ3743" s="18" t="str">
        <f aca="false">IF($D3743="","",IF(OR($R3743=TRUE(),$R3743="TRUE"),1,0))</f>
        <v/>
      </c>
      <c r="AK3743" s="18" t="str">
        <f aca="false">IF($AH3743=1,IFERROR(VALUE(MID($D3743,2,20)),1000000000)+ROW()/10000000,"")</f>
        <v/>
      </c>
    </row>
    <row r="3744" customFormat="false" ht="15" hidden="false" customHeight="false" outlineLevel="0" collapsed="false">
      <c r="F3744" s="15"/>
      <c r="N3744" s="16" t="str">
        <f aca="false">IF($D3744="","",M3744*Y3744/100)</f>
        <v/>
      </c>
      <c r="V3744" s="16" t="str">
        <f aca="false">IF($D3744="","",Y3744*AB3744/100)</f>
        <v/>
      </c>
      <c r="W3744" s="16" t="str">
        <f aca="false">IF($D3744="","",Y3744-V3744)</f>
        <v/>
      </c>
      <c r="X3744" s="16" t="str">
        <f aca="false">IF($D3744="","",W3744-N3744)</f>
        <v/>
      </c>
      <c r="AB3744" s="17" t="str">
        <f aca="false">IF($D3744="","",IF(OR($R3744=TRUE(),$R3744="TRUE"),Settings!$C$6,Settings!$C$7)*100)</f>
        <v/>
      </c>
      <c r="AH3744" s="18" t="str">
        <f aca="false">IF($D3744="","",IF(COUNTIF($D$2:$D3744,$D3744)=1,1,0))</f>
        <v/>
      </c>
      <c r="AI3744" s="18" t="str">
        <f aca="false">IF($AH3744=1,SUMPRODUCT(--($AK$2:$AK$4001&lt;$AK3744))+1,"")</f>
        <v/>
      </c>
      <c r="AJ3744" s="18" t="str">
        <f aca="false">IF($D3744="","",IF(OR($R3744=TRUE(),$R3744="TRUE"),1,0))</f>
        <v/>
      </c>
      <c r="AK3744" s="18" t="str">
        <f aca="false">IF($AH3744=1,IFERROR(VALUE(MID($D3744,2,20)),1000000000)+ROW()/10000000,"")</f>
        <v/>
      </c>
    </row>
    <row r="3745" customFormat="false" ht="15" hidden="false" customHeight="false" outlineLevel="0" collapsed="false">
      <c r="F3745" s="15"/>
      <c r="N3745" s="16" t="str">
        <f aca="false">IF($D3745="","",M3745*Y3745/100)</f>
        <v/>
      </c>
      <c r="V3745" s="16" t="str">
        <f aca="false">IF($D3745="","",Y3745*AB3745/100)</f>
        <v/>
      </c>
      <c r="W3745" s="16" t="str">
        <f aca="false">IF($D3745="","",Y3745-V3745)</f>
        <v/>
      </c>
      <c r="X3745" s="16" t="str">
        <f aca="false">IF($D3745="","",W3745-N3745)</f>
        <v/>
      </c>
      <c r="AB3745" s="17" t="str">
        <f aca="false">IF($D3745="","",IF(OR($R3745=TRUE(),$R3745="TRUE"),Settings!$C$6,Settings!$C$7)*100)</f>
        <v/>
      </c>
      <c r="AH3745" s="18" t="str">
        <f aca="false">IF($D3745="","",IF(COUNTIF($D$2:$D3745,$D3745)=1,1,0))</f>
        <v/>
      </c>
      <c r="AI3745" s="18" t="str">
        <f aca="false">IF($AH3745=1,SUMPRODUCT(--($AK$2:$AK$4001&lt;$AK3745))+1,"")</f>
        <v/>
      </c>
      <c r="AJ3745" s="18" t="str">
        <f aca="false">IF($D3745="","",IF(OR($R3745=TRUE(),$R3745="TRUE"),1,0))</f>
        <v/>
      </c>
      <c r="AK3745" s="18" t="str">
        <f aca="false">IF($AH3745=1,IFERROR(VALUE(MID($D3745,2,20)),1000000000)+ROW()/10000000,"")</f>
        <v/>
      </c>
    </row>
    <row r="3746" customFormat="false" ht="15" hidden="false" customHeight="false" outlineLevel="0" collapsed="false">
      <c r="F3746" s="15"/>
      <c r="N3746" s="16" t="str">
        <f aca="false">IF($D3746="","",M3746*Y3746/100)</f>
        <v/>
      </c>
      <c r="V3746" s="16" t="str">
        <f aca="false">IF($D3746="","",Y3746*AB3746/100)</f>
        <v/>
      </c>
      <c r="W3746" s="16" t="str">
        <f aca="false">IF($D3746="","",Y3746-V3746)</f>
        <v/>
      </c>
      <c r="X3746" s="16" t="str">
        <f aca="false">IF($D3746="","",W3746-N3746)</f>
        <v/>
      </c>
      <c r="AB3746" s="17" t="str">
        <f aca="false">IF($D3746="","",IF(OR($R3746=TRUE(),$R3746="TRUE"),Settings!$C$6,Settings!$C$7)*100)</f>
        <v/>
      </c>
      <c r="AH3746" s="18" t="str">
        <f aca="false">IF($D3746="","",IF(COUNTIF($D$2:$D3746,$D3746)=1,1,0))</f>
        <v/>
      </c>
      <c r="AI3746" s="18" t="str">
        <f aca="false">IF($AH3746=1,SUMPRODUCT(--($AK$2:$AK$4001&lt;$AK3746))+1,"")</f>
        <v/>
      </c>
      <c r="AJ3746" s="18" t="str">
        <f aca="false">IF($D3746="","",IF(OR($R3746=TRUE(),$R3746="TRUE"),1,0))</f>
        <v/>
      </c>
      <c r="AK3746" s="18" t="str">
        <f aca="false">IF($AH3746=1,IFERROR(VALUE(MID($D3746,2,20)),1000000000)+ROW()/10000000,"")</f>
        <v/>
      </c>
    </row>
    <row r="3747" customFormat="false" ht="15" hidden="false" customHeight="false" outlineLevel="0" collapsed="false">
      <c r="F3747" s="15"/>
      <c r="N3747" s="16" t="str">
        <f aca="false">IF($D3747="","",M3747*Y3747/100)</f>
        <v/>
      </c>
      <c r="V3747" s="16" t="str">
        <f aca="false">IF($D3747="","",Y3747*AB3747/100)</f>
        <v/>
      </c>
      <c r="W3747" s="16" t="str">
        <f aca="false">IF($D3747="","",Y3747-V3747)</f>
        <v/>
      </c>
      <c r="X3747" s="16" t="str">
        <f aca="false">IF($D3747="","",W3747-N3747)</f>
        <v/>
      </c>
      <c r="AB3747" s="17" t="str">
        <f aca="false">IF($D3747="","",IF(OR($R3747=TRUE(),$R3747="TRUE"),Settings!$C$6,Settings!$C$7)*100)</f>
        <v/>
      </c>
      <c r="AH3747" s="18" t="str">
        <f aca="false">IF($D3747="","",IF(COUNTIF($D$2:$D3747,$D3747)=1,1,0))</f>
        <v/>
      </c>
      <c r="AI3747" s="18" t="str">
        <f aca="false">IF($AH3747=1,SUMPRODUCT(--($AK$2:$AK$4001&lt;$AK3747))+1,"")</f>
        <v/>
      </c>
      <c r="AJ3747" s="18" t="str">
        <f aca="false">IF($D3747="","",IF(OR($R3747=TRUE(),$R3747="TRUE"),1,0))</f>
        <v/>
      </c>
      <c r="AK3747" s="18" t="str">
        <f aca="false">IF($AH3747=1,IFERROR(VALUE(MID($D3747,2,20)),1000000000)+ROW()/10000000,"")</f>
        <v/>
      </c>
    </row>
    <row r="3748" customFormat="false" ht="15" hidden="false" customHeight="false" outlineLevel="0" collapsed="false">
      <c r="F3748" s="15"/>
      <c r="N3748" s="16" t="str">
        <f aca="false">IF($D3748="","",M3748*Y3748/100)</f>
        <v/>
      </c>
      <c r="V3748" s="16" t="str">
        <f aca="false">IF($D3748="","",Y3748*AB3748/100)</f>
        <v/>
      </c>
      <c r="W3748" s="16" t="str">
        <f aca="false">IF($D3748="","",Y3748-V3748)</f>
        <v/>
      </c>
      <c r="X3748" s="16" t="str">
        <f aca="false">IF($D3748="","",W3748-N3748)</f>
        <v/>
      </c>
      <c r="AB3748" s="17" t="str">
        <f aca="false">IF($D3748="","",IF(OR($R3748=TRUE(),$R3748="TRUE"),Settings!$C$6,Settings!$C$7)*100)</f>
        <v/>
      </c>
      <c r="AH3748" s="18" t="str">
        <f aca="false">IF($D3748="","",IF(COUNTIF($D$2:$D3748,$D3748)=1,1,0))</f>
        <v/>
      </c>
      <c r="AI3748" s="18" t="str">
        <f aca="false">IF($AH3748=1,SUMPRODUCT(--($AK$2:$AK$4001&lt;$AK3748))+1,"")</f>
        <v/>
      </c>
      <c r="AJ3748" s="18" t="str">
        <f aca="false">IF($D3748="","",IF(OR($R3748=TRUE(),$R3748="TRUE"),1,0))</f>
        <v/>
      </c>
      <c r="AK3748" s="18" t="str">
        <f aca="false">IF($AH3748=1,IFERROR(VALUE(MID($D3748,2,20)),1000000000)+ROW()/10000000,"")</f>
        <v/>
      </c>
    </row>
    <row r="3749" customFormat="false" ht="15" hidden="false" customHeight="false" outlineLevel="0" collapsed="false">
      <c r="F3749" s="15"/>
      <c r="N3749" s="16" t="str">
        <f aca="false">IF($D3749="","",M3749*Y3749/100)</f>
        <v/>
      </c>
      <c r="V3749" s="16" t="str">
        <f aca="false">IF($D3749="","",Y3749*AB3749/100)</f>
        <v/>
      </c>
      <c r="W3749" s="16" t="str">
        <f aca="false">IF($D3749="","",Y3749-V3749)</f>
        <v/>
      </c>
      <c r="X3749" s="16" t="str">
        <f aca="false">IF($D3749="","",W3749-N3749)</f>
        <v/>
      </c>
      <c r="AB3749" s="17" t="str">
        <f aca="false">IF($D3749="","",IF(OR($R3749=TRUE(),$R3749="TRUE"),Settings!$C$6,Settings!$C$7)*100)</f>
        <v/>
      </c>
      <c r="AH3749" s="18" t="str">
        <f aca="false">IF($D3749="","",IF(COUNTIF($D$2:$D3749,$D3749)=1,1,0))</f>
        <v/>
      </c>
      <c r="AI3749" s="18" t="str">
        <f aca="false">IF($AH3749=1,SUMPRODUCT(--($AK$2:$AK$4001&lt;$AK3749))+1,"")</f>
        <v/>
      </c>
      <c r="AJ3749" s="18" t="str">
        <f aca="false">IF($D3749="","",IF(OR($R3749=TRUE(),$R3749="TRUE"),1,0))</f>
        <v/>
      </c>
      <c r="AK3749" s="18" t="str">
        <f aca="false">IF($AH3749=1,IFERROR(VALUE(MID($D3749,2,20)),1000000000)+ROW()/10000000,"")</f>
        <v/>
      </c>
    </row>
    <row r="3750" customFormat="false" ht="15" hidden="false" customHeight="false" outlineLevel="0" collapsed="false">
      <c r="F3750" s="15"/>
      <c r="N3750" s="16" t="str">
        <f aca="false">IF($D3750="","",M3750*Y3750/100)</f>
        <v/>
      </c>
      <c r="V3750" s="16" t="str">
        <f aca="false">IF($D3750="","",Y3750*AB3750/100)</f>
        <v/>
      </c>
      <c r="W3750" s="16" t="str">
        <f aca="false">IF($D3750="","",Y3750-V3750)</f>
        <v/>
      </c>
      <c r="X3750" s="16" t="str">
        <f aca="false">IF($D3750="","",W3750-N3750)</f>
        <v/>
      </c>
      <c r="AB3750" s="17" t="str">
        <f aca="false">IF($D3750="","",IF(OR($R3750=TRUE(),$R3750="TRUE"),Settings!$C$6,Settings!$C$7)*100)</f>
        <v/>
      </c>
      <c r="AH3750" s="18" t="str">
        <f aca="false">IF($D3750="","",IF(COUNTIF($D$2:$D3750,$D3750)=1,1,0))</f>
        <v/>
      </c>
      <c r="AI3750" s="18" t="str">
        <f aca="false">IF($AH3750=1,SUMPRODUCT(--($AK$2:$AK$4001&lt;$AK3750))+1,"")</f>
        <v/>
      </c>
      <c r="AJ3750" s="18" t="str">
        <f aca="false">IF($D3750="","",IF(OR($R3750=TRUE(),$R3750="TRUE"),1,0))</f>
        <v/>
      </c>
      <c r="AK3750" s="18" t="str">
        <f aca="false">IF($AH3750=1,IFERROR(VALUE(MID($D3750,2,20)),1000000000)+ROW()/10000000,"")</f>
        <v/>
      </c>
    </row>
    <row r="3751" customFormat="false" ht="15" hidden="false" customHeight="false" outlineLevel="0" collapsed="false">
      <c r="F3751" s="15"/>
      <c r="N3751" s="16" t="str">
        <f aca="false">IF($D3751="","",M3751*Y3751/100)</f>
        <v/>
      </c>
      <c r="V3751" s="16" t="str">
        <f aca="false">IF($D3751="","",Y3751*AB3751/100)</f>
        <v/>
      </c>
      <c r="W3751" s="16" t="str">
        <f aca="false">IF($D3751="","",Y3751-V3751)</f>
        <v/>
      </c>
      <c r="X3751" s="16" t="str">
        <f aca="false">IF($D3751="","",W3751-N3751)</f>
        <v/>
      </c>
      <c r="AB3751" s="17" t="str">
        <f aca="false">IF($D3751="","",IF(OR($R3751=TRUE(),$R3751="TRUE"),Settings!$C$6,Settings!$C$7)*100)</f>
        <v/>
      </c>
      <c r="AH3751" s="18" t="str">
        <f aca="false">IF($D3751="","",IF(COUNTIF($D$2:$D3751,$D3751)=1,1,0))</f>
        <v/>
      </c>
      <c r="AI3751" s="18" t="str">
        <f aca="false">IF($AH3751=1,SUMPRODUCT(--($AK$2:$AK$4001&lt;$AK3751))+1,"")</f>
        <v/>
      </c>
      <c r="AJ3751" s="18" t="str">
        <f aca="false">IF($D3751="","",IF(OR($R3751=TRUE(),$R3751="TRUE"),1,0))</f>
        <v/>
      </c>
      <c r="AK3751" s="18" t="str">
        <f aca="false">IF($AH3751=1,IFERROR(VALUE(MID($D3751,2,20)),1000000000)+ROW()/10000000,"")</f>
        <v/>
      </c>
    </row>
    <row r="3752" customFormat="false" ht="15" hidden="false" customHeight="false" outlineLevel="0" collapsed="false">
      <c r="F3752" s="15"/>
      <c r="N3752" s="16" t="str">
        <f aca="false">IF($D3752="","",M3752*Y3752/100)</f>
        <v/>
      </c>
      <c r="V3752" s="16" t="str">
        <f aca="false">IF($D3752="","",Y3752*AB3752/100)</f>
        <v/>
      </c>
      <c r="W3752" s="16" t="str">
        <f aca="false">IF($D3752="","",Y3752-V3752)</f>
        <v/>
      </c>
      <c r="X3752" s="16" t="str">
        <f aca="false">IF($D3752="","",W3752-N3752)</f>
        <v/>
      </c>
      <c r="AB3752" s="17" t="str">
        <f aca="false">IF($D3752="","",IF(OR($R3752=TRUE(),$R3752="TRUE"),Settings!$C$6,Settings!$C$7)*100)</f>
        <v/>
      </c>
      <c r="AH3752" s="18" t="str">
        <f aca="false">IF($D3752="","",IF(COUNTIF($D$2:$D3752,$D3752)=1,1,0))</f>
        <v/>
      </c>
      <c r="AI3752" s="18" t="str">
        <f aca="false">IF($AH3752=1,SUMPRODUCT(--($AK$2:$AK$4001&lt;$AK3752))+1,"")</f>
        <v/>
      </c>
      <c r="AJ3752" s="18" t="str">
        <f aca="false">IF($D3752="","",IF(OR($R3752=TRUE(),$R3752="TRUE"),1,0))</f>
        <v/>
      </c>
      <c r="AK3752" s="18" t="str">
        <f aca="false">IF($AH3752=1,IFERROR(VALUE(MID($D3752,2,20)),1000000000)+ROW()/10000000,"")</f>
        <v/>
      </c>
    </row>
    <row r="3753" customFormat="false" ht="15" hidden="false" customHeight="false" outlineLevel="0" collapsed="false">
      <c r="F3753" s="15"/>
      <c r="N3753" s="16" t="str">
        <f aca="false">IF($D3753="","",M3753*Y3753/100)</f>
        <v/>
      </c>
      <c r="V3753" s="16" t="str">
        <f aca="false">IF($D3753="","",Y3753*AB3753/100)</f>
        <v/>
      </c>
      <c r="W3753" s="16" t="str">
        <f aca="false">IF($D3753="","",Y3753-V3753)</f>
        <v/>
      </c>
      <c r="X3753" s="16" t="str">
        <f aca="false">IF($D3753="","",W3753-N3753)</f>
        <v/>
      </c>
      <c r="AB3753" s="17" t="str">
        <f aca="false">IF($D3753="","",IF(OR($R3753=TRUE(),$R3753="TRUE"),Settings!$C$6,Settings!$C$7)*100)</f>
        <v/>
      </c>
      <c r="AH3753" s="18" t="str">
        <f aca="false">IF($D3753="","",IF(COUNTIF($D$2:$D3753,$D3753)=1,1,0))</f>
        <v/>
      </c>
      <c r="AI3753" s="18" t="str">
        <f aca="false">IF($AH3753=1,SUMPRODUCT(--($AK$2:$AK$4001&lt;$AK3753))+1,"")</f>
        <v/>
      </c>
      <c r="AJ3753" s="18" t="str">
        <f aca="false">IF($D3753="","",IF(OR($R3753=TRUE(),$R3753="TRUE"),1,0))</f>
        <v/>
      </c>
      <c r="AK3753" s="18" t="str">
        <f aca="false">IF($AH3753=1,IFERROR(VALUE(MID($D3753,2,20)),1000000000)+ROW()/10000000,"")</f>
        <v/>
      </c>
    </row>
    <row r="3754" customFormat="false" ht="15" hidden="false" customHeight="false" outlineLevel="0" collapsed="false">
      <c r="F3754" s="15"/>
      <c r="N3754" s="16" t="str">
        <f aca="false">IF($D3754="","",M3754*Y3754/100)</f>
        <v/>
      </c>
      <c r="V3754" s="16" t="str">
        <f aca="false">IF($D3754="","",Y3754*AB3754/100)</f>
        <v/>
      </c>
      <c r="W3754" s="16" t="str">
        <f aca="false">IF($D3754="","",Y3754-V3754)</f>
        <v/>
      </c>
      <c r="X3754" s="16" t="str">
        <f aca="false">IF($D3754="","",W3754-N3754)</f>
        <v/>
      </c>
      <c r="AB3754" s="17" t="str">
        <f aca="false">IF($D3754="","",IF(OR($R3754=TRUE(),$R3754="TRUE"),Settings!$C$6,Settings!$C$7)*100)</f>
        <v/>
      </c>
      <c r="AH3754" s="18" t="str">
        <f aca="false">IF($D3754="","",IF(COUNTIF($D$2:$D3754,$D3754)=1,1,0))</f>
        <v/>
      </c>
      <c r="AI3754" s="18" t="str">
        <f aca="false">IF($AH3754=1,SUMPRODUCT(--($AK$2:$AK$4001&lt;$AK3754))+1,"")</f>
        <v/>
      </c>
      <c r="AJ3754" s="18" t="str">
        <f aca="false">IF($D3754="","",IF(OR($R3754=TRUE(),$R3754="TRUE"),1,0))</f>
        <v/>
      </c>
      <c r="AK3754" s="18" t="str">
        <f aca="false">IF($AH3754=1,IFERROR(VALUE(MID($D3754,2,20)),1000000000)+ROW()/10000000,"")</f>
        <v/>
      </c>
    </row>
    <row r="3755" customFormat="false" ht="15" hidden="false" customHeight="false" outlineLevel="0" collapsed="false">
      <c r="F3755" s="15"/>
      <c r="N3755" s="16" t="str">
        <f aca="false">IF($D3755="","",M3755*Y3755/100)</f>
        <v/>
      </c>
      <c r="V3755" s="16" t="str">
        <f aca="false">IF($D3755="","",Y3755*AB3755/100)</f>
        <v/>
      </c>
      <c r="W3755" s="16" t="str">
        <f aca="false">IF($D3755="","",Y3755-V3755)</f>
        <v/>
      </c>
      <c r="X3755" s="16" t="str">
        <f aca="false">IF($D3755="","",W3755-N3755)</f>
        <v/>
      </c>
      <c r="AB3755" s="17" t="str">
        <f aca="false">IF($D3755="","",IF(OR($R3755=TRUE(),$R3755="TRUE"),Settings!$C$6,Settings!$C$7)*100)</f>
        <v/>
      </c>
      <c r="AH3755" s="18" t="str">
        <f aca="false">IF($D3755="","",IF(COUNTIF($D$2:$D3755,$D3755)=1,1,0))</f>
        <v/>
      </c>
      <c r="AI3755" s="18" t="str">
        <f aca="false">IF($AH3755=1,SUMPRODUCT(--($AK$2:$AK$4001&lt;$AK3755))+1,"")</f>
        <v/>
      </c>
      <c r="AJ3755" s="18" t="str">
        <f aca="false">IF($D3755="","",IF(OR($R3755=TRUE(),$R3755="TRUE"),1,0))</f>
        <v/>
      </c>
      <c r="AK3755" s="18" t="str">
        <f aca="false">IF($AH3755=1,IFERROR(VALUE(MID($D3755,2,20)),1000000000)+ROW()/10000000,"")</f>
        <v/>
      </c>
    </row>
    <row r="3756" customFormat="false" ht="15" hidden="false" customHeight="false" outlineLevel="0" collapsed="false">
      <c r="F3756" s="15"/>
      <c r="N3756" s="16" t="str">
        <f aca="false">IF($D3756="","",M3756*Y3756/100)</f>
        <v/>
      </c>
      <c r="V3756" s="16" t="str">
        <f aca="false">IF($D3756="","",Y3756*AB3756/100)</f>
        <v/>
      </c>
      <c r="W3756" s="16" t="str">
        <f aca="false">IF($D3756="","",Y3756-V3756)</f>
        <v/>
      </c>
      <c r="X3756" s="16" t="str">
        <f aca="false">IF($D3756="","",W3756-N3756)</f>
        <v/>
      </c>
      <c r="AB3756" s="17" t="str">
        <f aca="false">IF($D3756="","",IF(OR($R3756=TRUE(),$R3756="TRUE"),Settings!$C$6,Settings!$C$7)*100)</f>
        <v/>
      </c>
      <c r="AH3756" s="18" t="str">
        <f aca="false">IF($D3756="","",IF(COUNTIF($D$2:$D3756,$D3756)=1,1,0))</f>
        <v/>
      </c>
      <c r="AI3756" s="18" t="str">
        <f aca="false">IF($AH3756=1,SUMPRODUCT(--($AK$2:$AK$4001&lt;$AK3756))+1,"")</f>
        <v/>
      </c>
      <c r="AJ3756" s="18" t="str">
        <f aca="false">IF($D3756="","",IF(OR($R3756=TRUE(),$R3756="TRUE"),1,0))</f>
        <v/>
      </c>
      <c r="AK3756" s="18" t="str">
        <f aca="false">IF($AH3756=1,IFERROR(VALUE(MID($D3756,2,20)),1000000000)+ROW()/10000000,"")</f>
        <v/>
      </c>
    </row>
    <row r="3757" customFormat="false" ht="15" hidden="false" customHeight="false" outlineLevel="0" collapsed="false">
      <c r="F3757" s="15"/>
      <c r="N3757" s="16" t="str">
        <f aca="false">IF($D3757="","",M3757*Y3757/100)</f>
        <v/>
      </c>
      <c r="V3757" s="16" t="str">
        <f aca="false">IF($D3757="","",Y3757*AB3757/100)</f>
        <v/>
      </c>
      <c r="W3757" s="16" t="str">
        <f aca="false">IF($D3757="","",Y3757-V3757)</f>
        <v/>
      </c>
      <c r="X3757" s="16" t="str">
        <f aca="false">IF($D3757="","",W3757-N3757)</f>
        <v/>
      </c>
      <c r="AB3757" s="17" t="str">
        <f aca="false">IF($D3757="","",IF(OR($R3757=TRUE(),$R3757="TRUE"),Settings!$C$6,Settings!$C$7)*100)</f>
        <v/>
      </c>
      <c r="AH3757" s="18" t="str">
        <f aca="false">IF($D3757="","",IF(COUNTIF($D$2:$D3757,$D3757)=1,1,0))</f>
        <v/>
      </c>
      <c r="AI3757" s="18" t="str">
        <f aca="false">IF($AH3757=1,SUMPRODUCT(--($AK$2:$AK$4001&lt;$AK3757))+1,"")</f>
        <v/>
      </c>
      <c r="AJ3757" s="18" t="str">
        <f aca="false">IF($D3757="","",IF(OR($R3757=TRUE(),$R3757="TRUE"),1,0))</f>
        <v/>
      </c>
      <c r="AK3757" s="18" t="str">
        <f aca="false">IF($AH3757=1,IFERROR(VALUE(MID($D3757,2,20)),1000000000)+ROW()/10000000,"")</f>
        <v/>
      </c>
    </row>
    <row r="3758" customFormat="false" ht="15" hidden="false" customHeight="false" outlineLevel="0" collapsed="false">
      <c r="F3758" s="15"/>
      <c r="N3758" s="16" t="str">
        <f aca="false">IF($D3758="","",M3758*Y3758/100)</f>
        <v/>
      </c>
      <c r="V3758" s="16" t="str">
        <f aca="false">IF($D3758="","",Y3758*AB3758/100)</f>
        <v/>
      </c>
      <c r="W3758" s="16" t="str">
        <f aca="false">IF($D3758="","",Y3758-V3758)</f>
        <v/>
      </c>
      <c r="X3758" s="16" t="str">
        <f aca="false">IF($D3758="","",W3758-N3758)</f>
        <v/>
      </c>
      <c r="AB3758" s="17" t="str">
        <f aca="false">IF($D3758="","",IF(OR($R3758=TRUE(),$R3758="TRUE"),Settings!$C$6,Settings!$C$7)*100)</f>
        <v/>
      </c>
      <c r="AH3758" s="18" t="str">
        <f aca="false">IF($D3758="","",IF(COUNTIF($D$2:$D3758,$D3758)=1,1,0))</f>
        <v/>
      </c>
      <c r="AI3758" s="18" t="str">
        <f aca="false">IF($AH3758=1,SUMPRODUCT(--($AK$2:$AK$4001&lt;$AK3758))+1,"")</f>
        <v/>
      </c>
      <c r="AJ3758" s="18" t="str">
        <f aca="false">IF($D3758="","",IF(OR($R3758=TRUE(),$R3758="TRUE"),1,0))</f>
        <v/>
      </c>
      <c r="AK3758" s="18" t="str">
        <f aca="false">IF($AH3758=1,IFERROR(VALUE(MID($D3758,2,20)),1000000000)+ROW()/10000000,"")</f>
        <v/>
      </c>
    </row>
    <row r="3759" customFormat="false" ht="15" hidden="false" customHeight="false" outlineLevel="0" collapsed="false">
      <c r="F3759" s="15"/>
      <c r="N3759" s="16" t="str">
        <f aca="false">IF($D3759="","",M3759*Y3759/100)</f>
        <v/>
      </c>
      <c r="V3759" s="16" t="str">
        <f aca="false">IF($D3759="","",Y3759*AB3759/100)</f>
        <v/>
      </c>
      <c r="W3759" s="16" t="str">
        <f aca="false">IF($D3759="","",Y3759-V3759)</f>
        <v/>
      </c>
      <c r="X3759" s="16" t="str">
        <f aca="false">IF($D3759="","",W3759-N3759)</f>
        <v/>
      </c>
      <c r="AB3759" s="17" t="str">
        <f aca="false">IF($D3759="","",IF(OR($R3759=TRUE(),$R3759="TRUE"),Settings!$C$6,Settings!$C$7)*100)</f>
        <v/>
      </c>
      <c r="AH3759" s="18" t="str">
        <f aca="false">IF($D3759="","",IF(COUNTIF($D$2:$D3759,$D3759)=1,1,0))</f>
        <v/>
      </c>
      <c r="AI3759" s="18" t="str">
        <f aca="false">IF($AH3759=1,SUMPRODUCT(--($AK$2:$AK$4001&lt;$AK3759))+1,"")</f>
        <v/>
      </c>
      <c r="AJ3759" s="18" t="str">
        <f aca="false">IF($D3759="","",IF(OR($R3759=TRUE(),$R3759="TRUE"),1,0))</f>
        <v/>
      </c>
      <c r="AK3759" s="18" t="str">
        <f aca="false">IF($AH3759=1,IFERROR(VALUE(MID($D3759,2,20)),1000000000)+ROW()/10000000,"")</f>
        <v/>
      </c>
    </row>
    <row r="3760" customFormat="false" ht="15" hidden="false" customHeight="false" outlineLevel="0" collapsed="false">
      <c r="F3760" s="15"/>
      <c r="N3760" s="16" t="str">
        <f aca="false">IF($D3760="","",M3760*Y3760/100)</f>
        <v/>
      </c>
      <c r="V3760" s="16" t="str">
        <f aca="false">IF($D3760="","",Y3760*AB3760/100)</f>
        <v/>
      </c>
      <c r="W3760" s="16" t="str">
        <f aca="false">IF($D3760="","",Y3760-V3760)</f>
        <v/>
      </c>
      <c r="X3760" s="16" t="str">
        <f aca="false">IF($D3760="","",W3760-N3760)</f>
        <v/>
      </c>
      <c r="AB3760" s="17" t="str">
        <f aca="false">IF($D3760="","",IF(OR($R3760=TRUE(),$R3760="TRUE"),Settings!$C$6,Settings!$C$7)*100)</f>
        <v/>
      </c>
      <c r="AH3760" s="18" t="str">
        <f aca="false">IF($D3760="","",IF(COUNTIF($D$2:$D3760,$D3760)=1,1,0))</f>
        <v/>
      </c>
      <c r="AI3760" s="18" t="str">
        <f aca="false">IF($AH3760=1,SUMPRODUCT(--($AK$2:$AK$4001&lt;$AK3760))+1,"")</f>
        <v/>
      </c>
      <c r="AJ3760" s="18" t="str">
        <f aca="false">IF($D3760="","",IF(OR($R3760=TRUE(),$R3760="TRUE"),1,0))</f>
        <v/>
      </c>
      <c r="AK3760" s="18" t="str">
        <f aca="false">IF($AH3760=1,IFERROR(VALUE(MID($D3760,2,20)),1000000000)+ROW()/10000000,"")</f>
        <v/>
      </c>
    </row>
    <row r="3761" customFormat="false" ht="15" hidden="false" customHeight="false" outlineLevel="0" collapsed="false">
      <c r="F3761" s="15"/>
      <c r="N3761" s="16" t="str">
        <f aca="false">IF($D3761="","",M3761*Y3761/100)</f>
        <v/>
      </c>
      <c r="V3761" s="16" t="str">
        <f aca="false">IF($D3761="","",Y3761*AB3761/100)</f>
        <v/>
      </c>
      <c r="W3761" s="16" t="str">
        <f aca="false">IF($D3761="","",Y3761-V3761)</f>
        <v/>
      </c>
      <c r="X3761" s="16" t="str">
        <f aca="false">IF($D3761="","",W3761-N3761)</f>
        <v/>
      </c>
      <c r="AB3761" s="17" t="str">
        <f aca="false">IF($D3761="","",IF(OR($R3761=TRUE(),$R3761="TRUE"),Settings!$C$6,Settings!$C$7)*100)</f>
        <v/>
      </c>
      <c r="AH3761" s="18" t="str">
        <f aca="false">IF($D3761="","",IF(COUNTIF($D$2:$D3761,$D3761)=1,1,0))</f>
        <v/>
      </c>
      <c r="AI3761" s="18" t="str">
        <f aca="false">IF($AH3761=1,SUMPRODUCT(--($AK$2:$AK$4001&lt;$AK3761))+1,"")</f>
        <v/>
      </c>
      <c r="AJ3761" s="18" t="str">
        <f aca="false">IF($D3761="","",IF(OR($R3761=TRUE(),$R3761="TRUE"),1,0))</f>
        <v/>
      </c>
      <c r="AK3761" s="18" t="str">
        <f aca="false">IF($AH3761=1,IFERROR(VALUE(MID($D3761,2,20)),1000000000)+ROW()/10000000,"")</f>
        <v/>
      </c>
    </row>
    <row r="3762" customFormat="false" ht="15" hidden="false" customHeight="false" outlineLevel="0" collapsed="false">
      <c r="F3762" s="15"/>
      <c r="N3762" s="16" t="str">
        <f aca="false">IF($D3762="","",M3762*Y3762/100)</f>
        <v/>
      </c>
      <c r="V3762" s="16" t="str">
        <f aca="false">IF($D3762="","",Y3762*AB3762/100)</f>
        <v/>
      </c>
      <c r="W3762" s="16" t="str">
        <f aca="false">IF($D3762="","",Y3762-V3762)</f>
        <v/>
      </c>
      <c r="X3762" s="16" t="str">
        <f aca="false">IF($D3762="","",W3762-N3762)</f>
        <v/>
      </c>
      <c r="AB3762" s="17" t="str">
        <f aca="false">IF($D3762="","",IF(OR($R3762=TRUE(),$R3762="TRUE"),Settings!$C$6,Settings!$C$7)*100)</f>
        <v/>
      </c>
      <c r="AH3762" s="18" t="str">
        <f aca="false">IF($D3762="","",IF(COUNTIF($D$2:$D3762,$D3762)=1,1,0))</f>
        <v/>
      </c>
      <c r="AI3762" s="18" t="str">
        <f aca="false">IF($AH3762=1,SUMPRODUCT(--($AK$2:$AK$4001&lt;$AK3762))+1,"")</f>
        <v/>
      </c>
      <c r="AJ3762" s="18" t="str">
        <f aca="false">IF($D3762="","",IF(OR($R3762=TRUE(),$R3762="TRUE"),1,0))</f>
        <v/>
      </c>
      <c r="AK3762" s="18" t="str">
        <f aca="false">IF($AH3762=1,IFERROR(VALUE(MID($D3762,2,20)),1000000000)+ROW()/10000000,"")</f>
        <v/>
      </c>
    </row>
    <row r="3763" customFormat="false" ht="15" hidden="false" customHeight="false" outlineLevel="0" collapsed="false">
      <c r="F3763" s="15"/>
      <c r="N3763" s="16" t="str">
        <f aca="false">IF($D3763="","",M3763*Y3763/100)</f>
        <v/>
      </c>
      <c r="V3763" s="16" t="str">
        <f aca="false">IF($D3763="","",Y3763*AB3763/100)</f>
        <v/>
      </c>
      <c r="W3763" s="16" t="str">
        <f aca="false">IF($D3763="","",Y3763-V3763)</f>
        <v/>
      </c>
      <c r="X3763" s="16" t="str">
        <f aca="false">IF($D3763="","",W3763-N3763)</f>
        <v/>
      </c>
      <c r="AB3763" s="17" t="str">
        <f aca="false">IF($D3763="","",IF(OR($R3763=TRUE(),$R3763="TRUE"),Settings!$C$6,Settings!$C$7)*100)</f>
        <v/>
      </c>
      <c r="AH3763" s="18" t="str">
        <f aca="false">IF($D3763="","",IF(COUNTIF($D$2:$D3763,$D3763)=1,1,0))</f>
        <v/>
      </c>
      <c r="AI3763" s="18" t="str">
        <f aca="false">IF($AH3763=1,SUMPRODUCT(--($AK$2:$AK$4001&lt;$AK3763))+1,"")</f>
        <v/>
      </c>
      <c r="AJ3763" s="18" t="str">
        <f aca="false">IF($D3763="","",IF(OR($R3763=TRUE(),$R3763="TRUE"),1,0))</f>
        <v/>
      </c>
      <c r="AK3763" s="18" t="str">
        <f aca="false">IF($AH3763=1,IFERROR(VALUE(MID($D3763,2,20)),1000000000)+ROW()/10000000,"")</f>
        <v/>
      </c>
    </row>
    <row r="3764" customFormat="false" ht="15" hidden="false" customHeight="false" outlineLevel="0" collapsed="false">
      <c r="F3764" s="15"/>
      <c r="N3764" s="16" t="str">
        <f aca="false">IF($D3764="","",M3764*Y3764/100)</f>
        <v/>
      </c>
      <c r="V3764" s="16" t="str">
        <f aca="false">IF($D3764="","",Y3764*AB3764/100)</f>
        <v/>
      </c>
      <c r="W3764" s="16" t="str">
        <f aca="false">IF($D3764="","",Y3764-V3764)</f>
        <v/>
      </c>
      <c r="X3764" s="16" t="str">
        <f aca="false">IF($D3764="","",W3764-N3764)</f>
        <v/>
      </c>
      <c r="AB3764" s="17" t="str">
        <f aca="false">IF($D3764="","",IF(OR($R3764=TRUE(),$R3764="TRUE"),Settings!$C$6,Settings!$C$7)*100)</f>
        <v/>
      </c>
      <c r="AH3764" s="18" t="str">
        <f aca="false">IF($D3764="","",IF(COUNTIF($D$2:$D3764,$D3764)=1,1,0))</f>
        <v/>
      </c>
      <c r="AI3764" s="18" t="str">
        <f aca="false">IF($AH3764=1,SUMPRODUCT(--($AK$2:$AK$4001&lt;$AK3764))+1,"")</f>
        <v/>
      </c>
      <c r="AJ3764" s="18" t="str">
        <f aca="false">IF($D3764="","",IF(OR($R3764=TRUE(),$R3764="TRUE"),1,0))</f>
        <v/>
      </c>
      <c r="AK3764" s="18" t="str">
        <f aca="false">IF($AH3764=1,IFERROR(VALUE(MID($D3764,2,20)),1000000000)+ROW()/10000000,"")</f>
        <v/>
      </c>
    </row>
    <row r="3765" customFormat="false" ht="15" hidden="false" customHeight="false" outlineLevel="0" collapsed="false">
      <c r="F3765" s="15"/>
      <c r="N3765" s="16" t="str">
        <f aca="false">IF($D3765="","",M3765*Y3765/100)</f>
        <v/>
      </c>
      <c r="V3765" s="16" t="str">
        <f aca="false">IF($D3765="","",Y3765*AB3765/100)</f>
        <v/>
      </c>
      <c r="W3765" s="16" t="str">
        <f aca="false">IF($D3765="","",Y3765-V3765)</f>
        <v/>
      </c>
      <c r="X3765" s="16" t="str">
        <f aca="false">IF($D3765="","",W3765-N3765)</f>
        <v/>
      </c>
      <c r="AB3765" s="17" t="str">
        <f aca="false">IF($D3765="","",IF(OR($R3765=TRUE(),$R3765="TRUE"),Settings!$C$6,Settings!$C$7)*100)</f>
        <v/>
      </c>
      <c r="AH3765" s="18" t="str">
        <f aca="false">IF($D3765="","",IF(COUNTIF($D$2:$D3765,$D3765)=1,1,0))</f>
        <v/>
      </c>
      <c r="AI3765" s="18" t="str">
        <f aca="false">IF($AH3765=1,SUMPRODUCT(--($AK$2:$AK$4001&lt;$AK3765))+1,"")</f>
        <v/>
      </c>
      <c r="AJ3765" s="18" t="str">
        <f aca="false">IF($D3765="","",IF(OR($R3765=TRUE(),$R3765="TRUE"),1,0))</f>
        <v/>
      </c>
      <c r="AK3765" s="18" t="str">
        <f aca="false">IF($AH3765=1,IFERROR(VALUE(MID($D3765,2,20)),1000000000)+ROW()/10000000,"")</f>
        <v/>
      </c>
    </row>
    <row r="3766" customFormat="false" ht="15" hidden="false" customHeight="false" outlineLevel="0" collapsed="false">
      <c r="F3766" s="15"/>
      <c r="N3766" s="16" t="str">
        <f aca="false">IF($D3766="","",M3766*Y3766/100)</f>
        <v/>
      </c>
      <c r="V3766" s="16" t="str">
        <f aca="false">IF($D3766="","",Y3766*AB3766/100)</f>
        <v/>
      </c>
      <c r="W3766" s="16" t="str">
        <f aca="false">IF($D3766="","",Y3766-V3766)</f>
        <v/>
      </c>
      <c r="X3766" s="16" t="str">
        <f aca="false">IF($D3766="","",W3766-N3766)</f>
        <v/>
      </c>
      <c r="AB3766" s="17" t="str">
        <f aca="false">IF($D3766="","",IF(OR($R3766=TRUE(),$R3766="TRUE"),Settings!$C$6,Settings!$C$7)*100)</f>
        <v/>
      </c>
      <c r="AH3766" s="18" t="str">
        <f aca="false">IF($D3766="","",IF(COUNTIF($D$2:$D3766,$D3766)=1,1,0))</f>
        <v/>
      </c>
      <c r="AI3766" s="18" t="str">
        <f aca="false">IF($AH3766=1,SUMPRODUCT(--($AK$2:$AK$4001&lt;$AK3766))+1,"")</f>
        <v/>
      </c>
      <c r="AJ3766" s="18" t="str">
        <f aca="false">IF($D3766="","",IF(OR($R3766=TRUE(),$R3766="TRUE"),1,0))</f>
        <v/>
      </c>
      <c r="AK3766" s="18" t="str">
        <f aca="false">IF($AH3766=1,IFERROR(VALUE(MID($D3766,2,20)),1000000000)+ROW()/10000000,"")</f>
        <v/>
      </c>
    </row>
    <row r="3767" customFormat="false" ht="15" hidden="false" customHeight="false" outlineLevel="0" collapsed="false">
      <c r="F3767" s="15"/>
      <c r="N3767" s="16" t="str">
        <f aca="false">IF($D3767="","",M3767*Y3767/100)</f>
        <v/>
      </c>
      <c r="V3767" s="16" t="str">
        <f aca="false">IF($D3767="","",Y3767*AB3767/100)</f>
        <v/>
      </c>
      <c r="W3767" s="16" t="str">
        <f aca="false">IF($D3767="","",Y3767-V3767)</f>
        <v/>
      </c>
      <c r="X3767" s="16" t="str">
        <f aca="false">IF($D3767="","",W3767-N3767)</f>
        <v/>
      </c>
      <c r="AB3767" s="17" t="str">
        <f aca="false">IF($D3767="","",IF(OR($R3767=TRUE(),$R3767="TRUE"),Settings!$C$6,Settings!$C$7)*100)</f>
        <v/>
      </c>
      <c r="AH3767" s="18" t="str">
        <f aca="false">IF($D3767="","",IF(COUNTIF($D$2:$D3767,$D3767)=1,1,0))</f>
        <v/>
      </c>
      <c r="AI3767" s="18" t="str">
        <f aca="false">IF($AH3767=1,SUMPRODUCT(--($AK$2:$AK$4001&lt;$AK3767))+1,"")</f>
        <v/>
      </c>
      <c r="AJ3767" s="18" t="str">
        <f aca="false">IF($D3767="","",IF(OR($R3767=TRUE(),$R3767="TRUE"),1,0))</f>
        <v/>
      </c>
      <c r="AK3767" s="18" t="str">
        <f aca="false">IF($AH3767=1,IFERROR(VALUE(MID($D3767,2,20)),1000000000)+ROW()/10000000,"")</f>
        <v/>
      </c>
    </row>
    <row r="3768" customFormat="false" ht="15" hidden="false" customHeight="false" outlineLevel="0" collapsed="false">
      <c r="F3768" s="15"/>
      <c r="N3768" s="16" t="str">
        <f aca="false">IF($D3768="","",M3768*Y3768/100)</f>
        <v/>
      </c>
      <c r="V3768" s="16" t="str">
        <f aca="false">IF($D3768="","",Y3768*AB3768/100)</f>
        <v/>
      </c>
      <c r="W3768" s="16" t="str">
        <f aca="false">IF($D3768="","",Y3768-V3768)</f>
        <v/>
      </c>
      <c r="X3768" s="16" t="str">
        <f aca="false">IF($D3768="","",W3768-N3768)</f>
        <v/>
      </c>
      <c r="AB3768" s="17" t="str">
        <f aca="false">IF($D3768="","",IF(OR($R3768=TRUE(),$R3768="TRUE"),Settings!$C$6,Settings!$C$7)*100)</f>
        <v/>
      </c>
      <c r="AH3768" s="18" t="str">
        <f aca="false">IF($D3768="","",IF(COUNTIF($D$2:$D3768,$D3768)=1,1,0))</f>
        <v/>
      </c>
      <c r="AI3768" s="18" t="str">
        <f aca="false">IF($AH3768=1,SUMPRODUCT(--($AK$2:$AK$4001&lt;$AK3768))+1,"")</f>
        <v/>
      </c>
      <c r="AJ3768" s="18" t="str">
        <f aca="false">IF($D3768="","",IF(OR($R3768=TRUE(),$R3768="TRUE"),1,0))</f>
        <v/>
      </c>
      <c r="AK3768" s="18" t="str">
        <f aca="false">IF($AH3768=1,IFERROR(VALUE(MID($D3768,2,20)),1000000000)+ROW()/10000000,"")</f>
        <v/>
      </c>
    </row>
    <row r="3769" customFormat="false" ht="15" hidden="false" customHeight="false" outlineLevel="0" collapsed="false">
      <c r="F3769" s="15"/>
      <c r="N3769" s="16" t="str">
        <f aca="false">IF($D3769="","",M3769*Y3769/100)</f>
        <v/>
      </c>
      <c r="V3769" s="16" t="str">
        <f aca="false">IF($D3769="","",Y3769*AB3769/100)</f>
        <v/>
      </c>
      <c r="W3769" s="16" t="str">
        <f aca="false">IF($D3769="","",Y3769-V3769)</f>
        <v/>
      </c>
      <c r="X3769" s="16" t="str">
        <f aca="false">IF($D3769="","",W3769-N3769)</f>
        <v/>
      </c>
      <c r="AB3769" s="17" t="str">
        <f aca="false">IF($D3769="","",IF(OR($R3769=TRUE(),$R3769="TRUE"),Settings!$C$6,Settings!$C$7)*100)</f>
        <v/>
      </c>
      <c r="AH3769" s="18" t="str">
        <f aca="false">IF($D3769="","",IF(COUNTIF($D$2:$D3769,$D3769)=1,1,0))</f>
        <v/>
      </c>
      <c r="AI3769" s="18" t="str">
        <f aca="false">IF($AH3769=1,SUMPRODUCT(--($AK$2:$AK$4001&lt;$AK3769))+1,"")</f>
        <v/>
      </c>
      <c r="AJ3769" s="18" t="str">
        <f aca="false">IF($D3769="","",IF(OR($R3769=TRUE(),$R3769="TRUE"),1,0))</f>
        <v/>
      </c>
      <c r="AK3769" s="18" t="str">
        <f aca="false">IF($AH3769=1,IFERROR(VALUE(MID($D3769,2,20)),1000000000)+ROW()/10000000,"")</f>
        <v/>
      </c>
    </row>
    <row r="3770" customFormat="false" ht="15" hidden="false" customHeight="false" outlineLevel="0" collapsed="false">
      <c r="F3770" s="15"/>
      <c r="N3770" s="16" t="str">
        <f aca="false">IF($D3770="","",M3770*Y3770/100)</f>
        <v/>
      </c>
      <c r="V3770" s="16" t="str">
        <f aca="false">IF($D3770="","",Y3770*AB3770/100)</f>
        <v/>
      </c>
      <c r="W3770" s="16" t="str">
        <f aca="false">IF($D3770="","",Y3770-V3770)</f>
        <v/>
      </c>
      <c r="X3770" s="16" t="str">
        <f aca="false">IF($D3770="","",W3770-N3770)</f>
        <v/>
      </c>
      <c r="AB3770" s="17" t="str">
        <f aca="false">IF($D3770="","",IF(OR($R3770=TRUE(),$R3770="TRUE"),Settings!$C$6,Settings!$C$7)*100)</f>
        <v/>
      </c>
      <c r="AH3770" s="18" t="str">
        <f aca="false">IF($D3770="","",IF(COUNTIF($D$2:$D3770,$D3770)=1,1,0))</f>
        <v/>
      </c>
      <c r="AI3770" s="18" t="str">
        <f aca="false">IF($AH3770=1,SUMPRODUCT(--($AK$2:$AK$4001&lt;$AK3770))+1,"")</f>
        <v/>
      </c>
      <c r="AJ3770" s="18" t="str">
        <f aca="false">IF($D3770="","",IF(OR($R3770=TRUE(),$R3770="TRUE"),1,0))</f>
        <v/>
      </c>
      <c r="AK3770" s="18" t="str">
        <f aca="false">IF($AH3770=1,IFERROR(VALUE(MID($D3770,2,20)),1000000000)+ROW()/10000000,"")</f>
        <v/>
      </c>
    </row>
    <row r="3771" customFormat="false" ht="15" hidden="false" customHeight="false" outlineLevel="0" collapsed="false">
      <c r="F3771" s="15"/>
      <c r="N3771" s="16" t="str">
        <f aca="false">IF($D3771="","",M3771*Y3771/100)</f>
        <v/>
      </c>
      <c r="V3771" s="16" t="str">
        <f aca="false">IF($D3771="","",Y3771*AB3771/100)</f>
        <v/>
      </c>
      <c r="W3771" s="16" t="str">
        <f aca="false">IF($D3771="","",Y3771-V3771)</f>
        <v/>
      </c>
      <c r="X3771" s="16" t="str">
        <f aca="false">IF($D3771="","",W3771-N3771)</f>
        <v/>
      </c>
      <c r="AB3771" s="17" t="str">
        <f aca="false">IF($D3771="","",IF(OR($R3771=TRUE(),$R3771="TRUE"),Settings!$C$6,Settings!$C$7)*100)</f>
        <v/>
      </c>
      <c r="AH3771" s="18" t="str">
        <f aca="false">IF($D3771="","",IF(COUNTIF($D$2:$D3771,$D3771)=1,1,0))</f>
        <v/>
      </c>
      <c r="AI3771" s="18" t="str">
        <f aca="false">IF($AH3771=1,SUMPRODUCT(--($AK$2:$AK$4001&lt;$AK3771))+1,"")</f>
        <v/>
      </c>
      <c r="AJ3771" s="18" t="str">
        <f aca="false">IF($D3771="","",IF(OR($R3771=TRUE(),$R3771="TRUE"),1,0))</f>
        <v/>
      </c>
      <c r="AK3771" s="18" t="str">
        <f aca="false">IF($AH3771=1,IFERROR(VALUE(MID($D3771,2,20)),1000000000)+ROW()/10000000,"")</f>
        <v/>
      </c>
    </row>
    <row r="3772" customFormat="false" ht="15" hidden="false" customHeight="false" outlineLevel="0" collapsed="false">
      <c r="F3772" s="15"/>
      <c r="N3772" s="16" t="str">
        <f aca="false">IF($D3772="","",M3772*Y3772/100)</f>
        <v/>
      </c>
      <c r="V3772" s="16" t="str">
        <f aca="false">IF($D3772="","",Y3772*AB3772/100)</f>
        <v/>
      </c>
      <c r="W3772" s="16" t="str">
        <f aca="false">IF($D3772="","",Y3772-V3772)</f>
        <v/>
      </c>
      <c r="X3772" s="16" t="str">
        <f aca="false">IF($D3772="","",W3772-N3772)</f>
        <v/>
      </c>
      <c r="AB3772" s="17" t="str">
        <f aca="false">IF($D3772="","",IF(OR($R3772=TRUE(),$R3772="TRUE"),Settings!$C$6,Settings!$C$7)*100)</f>
        <v/>
      </c>
      <c r="AH3772" s="18" t="str">
        <f aca="false">IF($D3772="","",IF(COUNTIF($D$2:$D3772,$D3772)=1,1,0))</f>
        <v/>
      </c>
      <c r="AI3772" s="18" t="str">
        <f aca="false">IF($AH3772=1,SUMPRODUCT(--($AK$2:$AK$4001&lt;$AK3772))+1,"")</f>
        <v/>
      </c>
      <c r="AJ3772" s="18" t="str">
        <f aca="false">IF($D3772="","",IF(OR($R3772=TRUE(),$R3772="TRUE"),1,0))</f>
        <v/>
      </c>
      <c r="AK3772" s="18" t="str">
        <f aca="false">IF($AH3772=1,IFERROR(VALUE(MID($D3772,2,20)),1000000000)+ROW()/10000000,"")</f>
        <v/>
      </c>
    </row>
    <row r="3773" customFormat="false" ht="15" hidden="false" customHeight="false" outlineLevel="0" collapsed="false">
      <c r="F3773" s="15"/>
      <c r="N3773" s="16" t="str">
        <f aca="false">IF($D3773="","",M3773*Y3773/100)</f>
        <v/>
      </c>
      <c r="V3773" s="16" t="str">
        <f aca="false">IF($D3773="","",Y3773*AB3773/100)</f>
        <v/>
      </c>
      <c r="W3773" s="16" t="str">
        <f aca="false">IF($D3773="","",Y3773-V3773)</f>
        <v/>
      </c>
      <c r="X3773" s="16" t="str">
        <f aca="false">IF($D3773="","",W3773-N3773)</f>
        <v/>
      </c>
      <c r="AB3773" s="17" t="str">
        <f aca="false">IF($D3773="","",IF(OR($R3773=TRUE(),$R3773="TRUE"),Settings!$C$6,Settings!$C$7)*100)</f>
        <v/>
      </c>
      <c r="AH3773" s="18" t="str">
        <f aca="false">IF($D3773="","",IF(COUNTIF($D$2:$D3773,$D3773)=1,1,0))</f>
        <v/>
      </c>
      <c r="AI3773" s="18" t="str">
        <f aca="false">IF($AH3773=1,SUMPRODUCT(--($AK$2:$AK$4001&lt;$AK3773))+1,"")</f>
        <v/>
      </c>
      <c r="AJ3773" s="18" t="str">
        <f aca="false">IF($D3773="","",IF(OR($R3773=TRUE(),$R3773="TRUE"),1,0))</f>
        <v/>
      </c>
      <c r="AK3773" s="18" t="str">
        <f aca="false">IF($AH3773=1,IFERROR(VALUE(MID($D3773,2,20)),1000000000)+ROW()/10000000,"")</f>
        <v/>
      </c>
    </row>
    <row r="3774" customFormat="false" ht="15" hidden="false" customHeight="false" outlineLevel="0" collapsed="false">
      <c r="F3774" s="15"/>
      <c r="N3774" s="16" t="str">
        <f aca="false">IF($D3774="","",M3774*Y3774/100)</f>
        <v/>
      </c>
      <c r="V3774" s="16" t="str">
        <f aca="false">IF($D3774="","",Y3774*AB3774/100)</f>
        <v/>
      </c>
      <c r="W3774" s="16" t="str">
        <f aca="false">IF($D3774="","",Y3774-V3774)</f>
        <v/>
      </c>
      <c r="X3774" s="16" t="str">
        <f aca="false">IF($D3774="","",W3774-N3774)</f>
        <v/>
      </c>
      <c r="AB3774" s="17" t="str">
        <f aca="false">IF($D3774="","",IF(OR($R3774=TRUE(),$R3774="TRUE"),Settings!$C$6,Settings!$C$7)*100)</f>
        <v/>
      </c>
      <c r="AH3774" s="18" t="str">
        <f aca="false">IF($D3774="","",IF(COUNTIF($D$2:$D3774,$D3774)=1,1,0))</f>
        <v/>
      </c>
      <c r="AI3774" s="18" t="str">
        <f aca="false">IF($AH3774=1,SUMPRODUCT(--($AK$2:$AK$4001&lt;$AK3774))+1,"")</f>
        <v/>
      </c>
      <c r="AJ3774" s="18" t="str">
        <f aca="false">IF($D3774="","",IF(OR($R3774=TRUE(),$R3774="TRUE"),1,0))</f>
        <v/>
      </c>
      <c r="AK3774" s="18" t="str">
        <f aca="false">IF($AH3774=1,IFERROR(VALUE(MID($D3774,2,20)),1000000000)+ROW()/10000000,"")</f>
        <v/>
      </c>
    </row>
    <row r="3775" customFormat="false" ht="15" hidden="false" customHeight="false" outlineLevel="0" collapsed="false">
      <c r="F3775" s="15"/>
      <c r="N3775" s="16" t="str">
        <f aca="false">IF($D3775="","",M3775*Y3775/100)</f>
        <v/>
      </c>
      <c r="V3775" s="16" t="str">
        <f aca="false">IF($D3775="","",Y3775*AB3775/100)</f>
        <v/>
      </c>
      <c r="W3775" s="16" t="str">
        <f aca="false">IF($D3775="","",Y3775-V3775)</f>
        <v/>
      </c>
      <c r="X3775" s="16" t="str">
        <f aca="false">IF($D3775="","",W3775-N3775)</f>
        <v/>
      </c>
      <c r="AB3775" s="17" t="str">
        <f aca="false">IF($D3775="","",IF(OR($R3775=TRUE(),$R3775="TRUE"),Settings!$C$6,Settings!$C$7)*100)</f>
        <v/>
      </c>
      <c r="AH3775" s="18" t="str">
        <f aca="false">IF($D3775="","",IF(COUNTIF($D$2:$D3775,$D3775)=1,1,0))</f>
        <v/>
      </c>
      <c r="AI3775" s="18" t="str">
        <f aca="false">IF($AH3775=1,SUMPRODUCT(--($AK$2:$AK$4001&lt;$AK3775))+1,"")</f>
        <v/>
      </c>
      <c r="AJ3775" s="18" t="str">
        <f aca="false">IF($D3775="","",IF(OR($R3775=TRUE(),$R3775="TRUE"),1,0))</f>
        <v/>
      </c>
      <c r="AK3775" s="18" t="str">
        <f aca="false">IF($AH3775=1,IFERROR(VALUE(MID($D3775,2,20)),1000000000)+ROW()/10000000,"")</f>
        <v/>
      </c>
    </row>
    <row r="3776" customFormat="false" ht="15" hidden="false" customHeight="false" outlineLevel="0" collapsed="false">
      <c r="F3776" s="15"/>
      <c r="N3776" s="16" t="str">
        <f aca="false">IF($D3776="","",M3776*Y3776/100)</f>
        <v/>
      </c>
      <c r="V3776" s="16" t="str">
        <f aca="false">IF($D3776="","",Y3776*AB3776/100)</f>
        <v/>
      </c>
      <c r="W3776" s="16" t="str">
        <f aca="false">IF($D3776="","",Y3776-V3776)</f>
        <v/>
      </c>
      <c r="X3776" s="16" t="str">
        <f aca="false">IF($D3776="","",W3776-N3776)</f>
        <v/>
      </c>
      <c r="AB3776" s="17" t="str">
        <f aca="false">IF($D3776="","",IF(OR($R3776=TRUE(),$R3776="TRUE"),Settings!$C$6,Settings!$C$7)*100)</f>
        <v/>
      </c>
      <c r="AH3776" s="18" t="str">
        <f aca="false">IF($D3776="","",IF(COUNTIF($D$2:$D3776,$D3776)=1,1,0))</f>
        <v/>
      </c>
      <c r="AI3776" s="18" t="str">
        <f aca="false">IF($AH3776=1,SUMPRODUCT(--($AK$2:$AK$4001&lt;$AK3776))+1,"")</f>
        <v/>
      </c>
      <c r="AJ3776" s="18" t="str">
        <f aca="false">IF($D3776="","",IF(OR($R3776=TRUE(),$R3776="TRUE"),1,0))</f>
        <v/>
      </c>
      <c r="AK3776" s="18" t="str">
        <f aca="false">IF($AH3776=1,IFERROR(VALUE(MID($D3776,2,20)),1000000000)+ROW()/10000000,"")</f>
        <v/>
      </c>
    </row>
    <row r="3777" customFormat="false" ht="15" hidden="false" customHeight="false" outlineLevel="0" collapsed="false">
      <c r="F3777" s="15"/>
      <c r="N3777" s="16" t="str">
        <f aca="false">IF($D3777="","",M3777*Y3777/100)</f>
        <v/>
      </c>
      <c r="V3777" s="16" t="str">
        <f aca="false">IF($D3777="","",Y3777*AB3777/100)</f>
        <v/>
      </c>
      <c r="W3777" s="16" t="str">
        <f aca="false">IF($D3777="","",Y3777-V3777)</f>
        <v/>
      </c>
      <c r="X3777" s="16" t="str">
        <f aca="false">IF($D3777="","",W3777-N3777)</f>
        <v/>
      </c>
      <c r="AB3777" s="17" t="str">
        <f aca="false">IF($D3777="","",IF(OR($R3777=TRUE(),$R3777="TRUE"),Settings!$C$6,Settings!$C$7)*100)</f>
        <v/>
      </c>
      <c r="AH3777" s="18" t="str">
        <f aca="false">IF($D3777="","",IF(COUNTIF($D$2:$D3777,$D3777)=1,1,0))</f>
        <v/>
      </c>
      <c r="AI3777" s="18" t="str">
        <f aca="false">IF($AH3777=1,SUMPRODUCT(--($AK$2:$AK$4001&lt;$AK3777))+1,"")</f>
        <v/>
      </c>
      <c r="AJ3777" s="18" t="str">
        <f aca="false">IF($D3777="","",IF(OR($R3777=TRUE(),$R3777="TRUE"),1,0))</f>
        <v/>
      </c>
      <c r="AK3777" s="18" t="str">
        <f aca="false">IF($AH3777=1,IFERROR(VALUE(MID($D3777,2,20)),1000000000)+ROW()/10000000,"")</f>
        <v/>
      </c>
    </row>
    <row r="3778" customFormat="false" ht="15" hidden="false" customHeight="false" outlineLevel="0" collapsed="false">
      <c r="F3778" s="15"/>
      <c r="N3778" s="16" t="str">
        <f aca="false">IF($D3778="","",M3778*Y3778/100)</f>
        <v/>
      </c>
      <c r="V3778" s="16" t="str">
        <f aca="false">IF($D3778="","",Y3778*AB3778/100)</f>
        <v/>
      </c>
      <c r="W3778" s="16" t="str">
        <f aca="false">IF($D3778="","",Y3778-V3778)</f>
        <v/>
      </c>
      <c r="X3778" s="16" t="str">
        <f aca="false">IF($D3778="","",W3778-N3778)</f>
        <v/>
      </c>
      <c r="AB3778" s="17" t="str">
        <f aca="false">IF($D3778="","",IF(OR($R3778=TRUE(),$R3778="TRUE"),Settings!$C$6,Settings!$C$7)*100)</f>
        <v/>
      </c>
      <c r="AH3778" s="18" t="str">
        <f aca="false">IF($D3778="","",IF(COUNTIF($D$2:$D3778,$D3778)=1,1,0))</f>
        <v/>
      </c>
      <c r="AI3778" s="18" t="str">
        <f aca="false">IF($AH3778=1,SUMPRODUCT(--($AK$2:$AK$4001&lt;$AK3778))+1,"")</f>
        <v/>
      </c>
      <c r="AJ3778" s="18" t="str">
        <f aca="false">IF($D3778="","",IF(OR($R3778=TRUE(),$R3778="TRUE"),1,0))</f>
        <v/>
      </c>
      <c r="AK3778" s="18" t="str">
        <f aca="false">IF($AH3778=1,IFERROR(VALUE(MID($D3778,2,20)),1000000000)+ROW()/10000000,"")</f>
        <v/>
      </c>
    </row>
    <row r="3779" customFormat="false" ht="15" hidden="false" customHeight="false" outlineLevel="0" collapsed="false">
      <c r="F3779" s="15"/>
      <c r="N3779" s="16" t="str">
        <f aca="false">IF($D3779="","",M3779*Y3779/100)</f>
        <v/>
      </c>
      <c r="V3779" s="16" t="str">
        <f aca="false">IF($D3779="","",Y3779*AB3779/100)</f>
        <v/>
      </c>
      <c r="W3779" s="16" t="str">
        <f aca="false">IF($D3779="","",Y3779-V3779)</f>
        <v/>
      </c>
      <c r="X3779" s="16" t="str">
        <f aca="false">IF($D3779="","",W3779-N3779)</f>
        <v/>
      </c>
      <c r="AB3779" s="17" t="str">
        <f aca="false">IF($D3779="","",IF(OR($R3779=TRUE(),$R3779="TRUE"),Settings!$C$6,Settings!$C$7)*100)</f>
        <v/>
      </c>
      <c r="AH3779" s="18" t="str">
        <f aca="false">IF($D3779="","",IF(COUNTIF($D$2:$D3779,$D3779)=1,1,0))</f>
        <v/>
      </c>
      <c r="AI3779" s="18" t="str">
        <f aca="false">IF($AH3779=1,SUMPRODUCT(--($AK$2:$AK$4001&lt;$AK3779))+1,"")</f>
        <v/>
      </c>
      <c r="AJ3779" s="18" t="str">
        <f aca="false">IF($D3779="","",IF(OR($R3779=TRUE(),$R3779="TRUE"),1,0))</f>
        <v/>
      </c>
      <c r="AK3779" s="18" t="str">
        <f aca="false">IF($AH3779=1,IFERROR(VALUE(MID($D3779,2,20)),1000000000)+ROW()/10000000,"")</f>
        <v/>
      </c>
    </row>
    <row r="3780" customFormat="false" ht="15" hidden="false" customHeight="false" outlineLevel="0" collapsed="false">
      <c r="F3780" s="15"/>
      <c r="N3780" s="16" t="str">
        <f aca="false">IF($D3780="","",M3780*Y3780/100)</f>
        <v/>
      </c>
      <c r="V3780" s="16" t="str">
        <f aca="false">IF($D3780="","",Y3780*AB3780/100)</f>
        <v/>
      </c>
      <c r="W3780" s="16" t="str">
        <f aca="false">IF($D3780="","",Y3780-V3780)</f>
        <v/>
      </c>
      <c r="X3780" s="16" t="str">
        <f aca="false">IF($D3780="","",W3780-N3780)</f>
        <v/>
      </c>
      <c r="AB3780" s="17" t="str">
        <f aca="false">IF($D3780="","",IF(OR($R3780=TRUE(),$R3780="TRUE"),Settings!$C$6,Settings!$C$7)*100)</f>
        <v/>
      </c>
      <c r="AH3780" s="18" t="str">
        <f aca="false">IF($D3780="","",IF(COUNTIF($D$2:$D3780,$D3780)=1,1,0))</f>
        <v/>
      </c>
      <c r="AI3780" s="18" t="str">
        <f aca="false">IF($AH3780=1,SUMPRODUCT(--($AK$2:$AK$4001&lt;$AK3780))+1,"")</f>
        <v/>
      </c>
      <c r="AJ3780" s="18" t="str">
        <f aca="false">IF($D3780="","",IF(OR($R3780=TRUE(),$R3780="TRUE"),1,0))</f>
        <v/>
      </c>
      <c r="AK3780" s="18" t="str">
        <f aca="false">IF($AH3780=1,IFERROR(VALUE(MID($D3780,2,20)),1000000000)+ROW()/10000000,"")</f>
        <v/>
      </c>
    </row>
    <row r="3781" customFormat="false" ht="15" hidden="false" customHeight="false" outlineLevel="0" collapsed="false">
      <c r="F3781" s="15"/>
      <c r="N3781" s="16" t="str">
        <f aca="false">IF($D3781="","",M3781*Y3781/100)</f>
        <v/>
      </c>
      <c r="V3781" s="16" t="str">
        <f aca="false">IF($D3781="","",Y3781*AB3781/100)</f>
        <v/>
      </c>
      <c r="W3781" s="16" t="str">
        <f aca="false">IF($D3781="","",Y3781-V3781)</f>
        <v/>
      </c>
      <c r="X3781" s="16" t="str">
        <f aca="false">IF($D3781="","",W3781-N3781)</f>
        <v/>
      </c>
      <c r="AB3781" s="17" t="str">
        <f aca="false">IF($D3781="","",IF(OR($R3781=TRUE(),$R3781="TRUE"),Settings!$C$6,Settings!$C$7)*100)</f>
        <v/>
      </c>
      <c r="AH3781" s="18" t="str">
        <f aca="false">IF($D3781="","",IF(COUNTIF($D$2:$D3781,$D3781)=1,1,0))</f>
        <v/>
      </c>
      <c r="AI3781" s="18" t="str">
        <f aca="false">IF($AH3781=1,SUMPRODUCT(--($AK$2:$AK$4001&lt;$AK3781))+1,"")</f>
        <v/>
      </c>
      <c r="AJ3781" s="18" t="str">
        <f aca="false">IF($D3781="","",IF(OR($R3781=TRUE(),$R3781="TRUE"),1,0))</f>
        <v/>
      </c>
      <c r="AK3781" s="18" t="str">
        <f aca="false">IF($AH3781=1,IFERROR(VALUE(MID($D3781,2,20)),1000000000)+ROW()/10000000,"")</f>
        <v/>
      </c>
    </row>
    <row r="3782" customFormat="false" ht="15" hidden="false" customHeight="false" outlineLevel="0" collapsed="false">
      <c r="F3782" s="15"/>
      <c r="N3782" s="16" t="str">
        <f aca="false">IF($D3782="","",M3782*Y3782/100)</f>
        <v/>
      </c>
      <c r="V3782" s="16" t="str">
        <f aca="false">IF($D3782="","",Y3782*AB3782/100)</f>
        <v/>
      </c>
      <c r="W3782" s="16" t="str">
        <f aca="false">IF($D3782="","",Y3782-V3782)</f>
        <v/>
      </c>
      <c r="X3782" s="16" t="str">
        <f aca="false">IF($D3782="","",W3782-N3782)</f>
        <v/>
      </c>
      <c r="AB3782" s="17" t="str">
        <f aca="false">IF($D3782="","",IF(OR($R3782=TRUE(),$R3782="TRUE"),Settings!$C$6,Settings!$C$7)*100)</f>
        <v/>
      </c>
      <c r="AH3782" s="18" t="str">
        <f aca="false">IF($D3782="","",IF(COUNTIF($D$2:$D3782,$D3782)=1,1,0))</f>
        <v/>
      </c>
      <c r="AI3782" s="18" t="str">
        <f aca="false">IF($AH3782=1,SUMPRODUCT(--($AK$2:$AK$4001&lt;$AK3782))+1,"")</f>
        <v/>
      </c>
      <c r="AJ3782" s="18" t="str">
        <f aca="false">IF($D3782="","",IF(OR($R3782=TRUE(),$R3782="TRUE"),1,0))</f>
        <v/>
      </c>
      <c r="AK3782" s="18" t="str">
        <f aca="false">IF($AH3782=1,IFERROR(VALUE(MID($D3782,2,20)),1000000000)+ROW()/10000000,"")</f>
        <v/>
      </c>
    </row>
    <row r="3783" customFormat="false" ht="15" hidden="false" customHeight="false" outlineLevel="0" collapsed="false">
      <c r="F3783" s="15"/>
      <c r="N3783" s="16" t="str">
        <f aca="false">IF($D3783="","",M3783*Y3783/100)</f>
        <v/>
      </c>
      <c r="V3783" s="16" t="str">
        <f aca="false">IF($D3783="","",Y3783*AB3783/100)</f>
        <v/>
      </c>
      <c r="W3783" s="16" t="str">
        <f aca="false">IF($D3783="","",Y3783-V3783)</f>
        <v/>
      </c>
      <c r="X3783" s="16" t="str">
        <f aca="false">IF($D3783="","",W3783-N3783)</f>
        <v/>
      </c>
      <c r="AB3783" s="17" t="str">
        <f aca="false">IF($D3783="","",IF(OR($R3783=TRUE(),$R3783="TRUE"),Settings!$C$6,Settings!$C$7)*100)</f>
        <v/>
      </c>
      <c r="AH3783" s="18" t="str">
        <f aca="false">IF($D3783="","",IF(COUNTIF($D$2:$D3783,$D3783)=1,1,0))</f>
        <v/>
      </c>
      <c r="AI3783" s="18" t="str">
        <f aca="false">IF($AH3783=1,SUMPRODUCT(--($AK$2:$AK$4001&lt;$AK3783))+1,"")</f>
        <v/>
      </c>
      <c r="AJ3783" s="18" t="str">
        <f aca="false">IF($D3783="","",IF(OR($R3783=TRUE(),$R3783="TRUE"),1,0))</f>
        <v/>
      </c>
      <c r="AK3783" s="18" t="str">
        <f aca="false">IF($AH3783=1,IFERROR(VALUE(MID($D3783,2,20)),1000000000)+ROW()/10000000,"")</f>
        <v/>
      </c>
    </row>
    <row r="3784" customFormat="false" ht="15" hidden="false" customHeight="false" outlineLevel="0" collapsed="false">
      <c r="F3784" s="15"/>
      <c r="N3784" s="16" t="str">
        <f aca="false">IF($D3784="","",M3784*Y3784/100)</f>
        <v/>
      </c>
      <c r="V3784" s="16" t="str">
        <f aca="false">IF($D3784="","",Y3784*AB3784/100)</f>
        <v/>
      </c>
      <c r="W3784" s="16" t="str">
        <f aca="false">IF($D3784="","",Y3784-V3784)</f>
        <v/>
      </c>
      <c r="X3784" s="16" t="str">
        <f aca="false">IF($D3784="","",W3784-N3784)</f>
        <v/>
      </c>
      <c r="AB3784" s="17" t="str">
        <f aca="false">IF($D3784="","",IF(OR($R3784=TRUE(),$R3784="TRUE"),Settings!$C$6,Settings!$C$7)*100)</f>
        <v/>
      </c>
      <c r="AH3784" s="18" t="str">
        <f aca="false">IF($D3784="","",IF(COUNTIF($D$2:$D3784,$D3784)=1,1,0))</f>
        <v/>
      </c>
      <c r="AI3784" s="18" t="str">
        <f aca="false">IF($AH3784=1,SUMPRODUCT(--($AK$2:$AK$4001&lt;$AK3784))+1,"")</f>
        <v/>
      </c>
      <c r="AJ3784" s="18" t="str">
        <f aca="false">IF($D3784="","",IF(OR($R3784=TRUE(),$R3784="TRUE"),1,0))</f>
        <v/>
      </c>
      <c r="AK3784" s="18" t="str">
        <f aca="false">IF($AH3784=1,IFERROR(VALUE(MID($D3784,2,20)),1000000000)+ROW()/10000000,"")</f>
        <v/>
      </c>
    </row>
    <row r="3785" customFormat="false" ht="15" hidden="false" customHeight="false" outlineLevel="0" collapsed="false">
      <c r="F3785" s="15"/>
      <c r="N3785" s="16" t="str">
        <f aca="false">IF($D3785="","",M3785*Y3785/100)</f>
        <v/>
      </c>
      <c r="V3785" s="16" t="str">
        <f aca="false">IF($D3785="","",Y3785*AB3785/100)</f>
        <v/>
      </c>
      <c r="W3785" s="16" t="str">
        <f aca="false">IF($D3785="","",Y3785-V3785)</f>
        <v/>
      </c>
      <c r="X3785" s="16" t="str">
        <f aca="false">IF($D3785="","",W3785-N3785)</f>
        <v/>
      </c>
      <c r="AB3785" s="17" t="str">
        <f aca="false">IF($D3785="","",IF(OR($R3785=TRUE(),$R3785="TRUE"),Settings!$C$6,Settings!$C$7)*100)</f>
        <v/>
      </c>
      <c r="AH3785" s="18" t="str">
        <f aca="false">IF($D3785="","",IF(COUNTIF($D$2:$D3785,$D3785)=1,1,0))</f>
        <v/>
      </c>
      <c r="AI3785" s="18" t="str">
        <f aca="false">IF($AH3785=1,SUMPRODUCT(--($AK$2:$AK$4001&lt;$AK3785))+1,"")</f>
        <v/>
      </c>
      <c r="AJ3785" s="18" t="str">
        <f aca="false">IF($D3785="","",IF(OR($R3785=TRUE(),$R3785="TRUE"),1,0))</f>
        <v/>
      </c>
      <c r="AK3785" s="18" t="str">
        <f aca="false">IF($AH3785=1,IFERROR(VALUE(MID($D3785,2,20)),1000000000)+ROW()/10000000,"")</f>
        <v/>
      </c>
    </row>
    <row r="3786" customFormat="false" ht="15" hidden="false" customHeight="false" outlineLevel="0" collapsed="false">
      <c r="F3786" s="15"/>
      <c r="N3786" s="16" t="str">
        <f aca="false">IF($D3786="","",M3786*Y3786/100)</f>
        <v/>
      </c>
      <c r="V3786" s="16" t="str">
        <f aca="false">IF($D3786="","",Y3786*AB3786/100)</f>
        <v/>
      </c>
      <c r="W3786" s="16" t="str">
        <f aca="false">IF($D3786="","",Y3786-V3786)</f>
        <v/>
      </c>
      <c r="X3786" s="16" t="str">
        <f aca="false">IF($D3786="","",W3786-N3786)</f>
        <v/>
      </c>
      <c r="AB3786" s="17" t="str">
        <f aca="false">IF($D3786="","",IF(OR($R3786=TRUE(),$R3786="TRUE"),Settings!$C$6,Settings!$C$7)*100)</f>
        <v/>
      </c>
      <c r="AH3786" s="18" t="str">
        <f aca="false">IF($D3786="","",IF(COUNTIF($D$2:$D3786,$D3786)=1,1,0))</f>
        <v/>
      </c>
      <c r="AI3786" s="18" t="str">
        <f aca="false">IF($AH3786=1,SUMPRODUCT(--($AK$2:$AK$4001&lt;$AK3786))+1,"")</f>
        <v/>
      </c>
      <c r="AJ3786" s="18" t="str">
        <f aca="false">IF($D3786="","",IF(OR($R3786=TRUE(),$R3786="TRUE"),1,0))</f>
        <v/>
      </c>
      <c r="AK3786" s="18" t="str">
        <f aca="false">IF($AH3786=1,IFERROR(VALUE(MID($D3786,2,20)),1000000000)+ROW()/10000000,"")</f>
        <v/>
      </c>
    </row>
    <row r="3787" customFormat="false" ht="15" hidden="false" customHeight="false" outlineLevel="0" collapsed="false">
      <c r="F3787" s="15"/>
      <c r="N3787" s="16" t="str">
        <f aca="false">IF($D3787="","",M3787*Y3787/100)</f>
        <v/>
      </c>
      <c r="V3787" s="16" t="str">
        <f aca="false">IF($D3787="","",Y3787*AB3787/100)</f>
        <v/>
      </c>
      <c r="W3787" s="16" t="str">
        <f aca="false">IF($D3787="","",Y3787-V3787)</f>
        <v/>
      </c>
      <c r="X3787" s="16" t="str">
        <f aca="false">IF($D3787="","",W3787-N3787)</f>
        <v/>
      </c>
      <c r="AB3787" s="17" t="str">
        <f aca="false">IF($D3787="","",IF(OR($R3787=TRUE(),$R3787="TRUE"),Settings!$C$6,Settings!$C$7)*100)</f>
        <v/>
      </c>
      <c r="AH3787" s="18" t="str">
        <f aca="false">IF($D3787="","",IF(COUNTIF($D$2:$D3787,$D3787)=1,1,0))</f>
        <v/>
      </c>
      <c r="AI3787" s="18" t="str">
        <f aca="false">IF($AH3787=1,SUMPRODUCT(--($AK$2:$AK$4001&lt;$AK3787))+1,"")</f>
        <v/>
      </c>
      <c r="AJ3787" s="18" t="str">
        <f aca="false">IF($D3787="","",IF(OR($R3787=TRUE(),$R3787="TRUE"),1,0))</f>
        <v/>
      </c>
      <c r="AK3787" s="18" t="str">
        <f aca="false">IF($AH3787=1,IFERROR(VALUE(MID($D3787,2,20)),1000000000)+ROW()/10000000,"")</f>
        <v/>
      </c>
    </row>
    <row r="3788" customFormat="false" ht="15" hidden="false" customHeight="false" outlineLevel="0" collapsed="false">
      <c r="F3788" s="15"/>
      <c r="N3788" s="16" t="str">
        <f aca="false">IF($D3788="","",M3788*Y3788/100)</f>
        <v/>
      </c>
      <c r="V3788" s="16" t="str">
        <f aca="false">IF($D3788="","",Y3788*AB3788/100)</f>
        <v/>
      </c>
      <c r="W3788" s="16" t="str">
        <f aca="false">IF($D3788="","",Y3788-V3788)</f>
        <v/>
      </c>
      <c r="X3788" s="16" t="str">
        <f aca="false">IF($D3788="","",W3788-N3788)</f>
        <v/>
      </c>
      <c r="AB3788" s="17" t="str">
        <f aca="false">IF($D3788="","",IF(OR($R3788=TRUE(),$R3788="TRUE"),Settings!$C$6,Settings!$C$7)*100)</f>
        <v/>
      </c>
      <c r="AH3788" s="18" t="str">
        <f aca="false">IF($D3788="","",IF(COUNTIF($D$2:$D3788,$D3788)=1,1,0))</f>
        <v/>
      </c>
      <c r="AI3788" s="18" t="str">
        <f aca="false">IF($AH3788=1,SUMPRODUCT(--($AK$2:$AK$4001&lt;$AK3788))+1,"")</f>
        <v/>
      </c>
      <c r="AJ3788" s="18" t="str">
        <f aca="false">IF($D3788="","",IF(OR($R3788=TRUE(),$R3788="TRUE"),1,0))</f>
        <v/>
      </c>
      <c r="AK3788" s="18" t="str">
        <f aca="false">IF($AH3788=1,IFERROR(VALUE(MID($D3788,2,20)),1000000000)+ROW()/10000000,"")</f>
        <v/>
      </c>
    </row>
    <row r="3789" customFormat="false" ht="15" hidden="false" customHeight="false" outlineLevel="0" collapsed="false">
      <c r="F3789" s="15"/>
      <c r="N3789" s="16" t="str">
        <f aca="false">IF($D3789="","",M3789*Y3789/100)</f>
        <v/>
      </c>
      <c r="V3789" s="16" t="str">
        <f aca="false">IF($D3789="","",Y3789*AB3789/100)</f>
        <v/>
      </c>
      <c r="W3789" s="16" t="str">
        <f aca="false">IF($D3789="","",Y3789-V3789)</f>
        <v/>
      </c>
      <c r="X3789" s="16" t="str">
        <f aca="false">IF($D3789="","",W3789-N3789)</f>
        <v/>
      </c>
      <c r="AB3789" s="17" t="str">
        <f aca="false">IF($D3789="","",IF(OR($R3789=TRUE(),$R3789="TRUE"),Settings!$C$6,Settings!$C$7)*100)</f>
        <v/>
      </c>
      <c r="AH3789" s="18" t="str">
        <f aca="false">IF($D3789="","",IF(COUNTIF($D$2:$D3789,$D3789)=1,1,0))</f>
        <v/>
      </c>
      <c r="AI3789" s="18" t="str">
        <f aca="false">IF($AH3789=1,SUMPRODUCT(--($AK$2:$AK$4001&lt;$AK3789))+1,"")</f>
        <v/>
      </c>
      <c r="AJ3789" s="18" t="str">
        <f aca="false">IF($D3789="","",IF(OR($R3789=TRUE(),$R3789="TRUE"),1,0))</f>
        <v/>
      </c>
      <c r="AK3789" s="18" t="str">
        <f aca="false">IF($AH3789=1,IFERROR(VALUE(MID($D3789,2,20)),1000000000)+ROW()/10000000,"")</f>
        <v/>
      </c>
    </row>
    <row r="3790" customFormat="false" ht="15" hidden="false" customHeight="false" outlineLevel="0" collapsed="false">
      <c r="F3790" s="15"/>
      <c r="N3790" s="16" t="str">
        <f aca="false">IF($D3790="","",M3790*Y3790/100)</f>
        <v/>
      </c>
      <c r="V3790" s="16" t="str">
        <f aca="false">IF($D3790="","",Y3790*AB3790/100)</f>
        <v/>
      </c>
      <c r="W3790" s="16" t="str">
        <f aca="false">IF($D3790="","",Y3790-V3790)</f>
        <v/>
      </c>
      <c r="X3790" s="16" t="str">
        <f aca="false">IF($D3790="","",W3790-N3790)</f>
        <v/>
      </c>
      <c r="AB3790" s="17" t="str">
        <f aca="false">IF($D3790="","",IF(OR($R3790=TRUE(),$R3790="TRUE"),Settings!$C$6,Settings!$C$7)*100)</f>
        <v/>
      </c>
      <c r="AH3790" s="18" t="str">
        <f aca="false">IF($D3790="","",IF(COUNTIF($D$2:$D3790,$D3790)=1,1,0))</f>
        <v/>
      </c>
      <c r="AI3790" s="18" t="str">
        <f aca="false">IF($AH3790=1,SUMPRODUCT(--($AK$2:$AK$4001&lt;$AK3790))+1,"")</f>
        <v/>
      </c>
      <c r="AJ3790" s="18" t="str">
        <f aca="false">IF($D3790="","",IF(OR($R3790=TRUE(),$R3790="TRUE"),1,0))</f>
        <v/>
      </c>
      <c r="AK3790" s="18" t="str">
        <f aca="false">IF($AH3790=1,IFERROR(VALUE(MID($D3790,2,20)),1000000000)+ROW()/10000000,"")</f>
        <v/>
      </c>
    </row>
    <row r="3791" customFormat="false" ht="15" hidden="false" customHeight="false" outlineLevel="0" collapsed="false">
      <c r="F3791" s="15"/>
      <c r="N3791" s="16" t="str">
        <f aca="false">IF($D3791="","",M3791*Y3791/100)</f>
        <v/>
      </c>
      <c r="V3791" s="16" t="str">
        <f aca="false">IF($D3791="","",Y3791*AB3791/100)</f>
        <v/>
      </c>
      <c r="W3791" s="16" t="str">
        <f aca="false">IF($D3791="","",Y3791-V3791)</f>
        <v/>
      </c>
      <c r="X3791" s="16" t="str">
        <f aca="false">IF($D3791="","",W3791-N3791)</f>
        <v/>
      </c>
      <c r="AB3791" s="17" t="str">
        <f aca="false">IF($D3791="","",IF(OR($R3791=TRUE(),$R3791="TRUE"),Settings!$C$6,Settings!$C$7)*100)</f>
        <v/>
      </c>
      <c r="AH3791" s="18" t="str">
        <f aca="false">IF($D3791="","",IF(COUNTIF($D$2:$D3791,$D3791)=1,1,0))</f>
        <v/>
      </c>
      <c r="AI3791" s="18" t="str">
        <f aca="false">IF($AH3791=1,SUMPRODUCT(--($AK$2:$AK$4001&lt;$AK3791))+1,"")</f>
        <v/>
      </c>
      <c r="AJ3791" s="18" t="str">
        <f aca="false">IF($D3791="","",IF(OR($R3791=TRUE(),$R3791="TRUE"),1,0))</f>
        <v/>
      </c>
      <c r="AK3791" s="18" t="str">
        <f aca="false">IF($AH3791=1,IFERROR(VALUE(MID($D3791,2,20)),1000000000)+ROW()/10000000,"")</f>
        <v/>
      </c>
    </row>
    <row r="3792" customFormat="false" ht="15" hidden="false" customHeight="false" outlineLevel="0" collapsed="false">
      <c r="F3792" s="15"/>
      <c r="N3792" s="16" t="str">
        <f aca="false">IF($D3792="","",M3792*Y3792/100)</f>
        <v/>
      </c>
      <c r="V3792" s="16" t="str">
        <f aca="false">IF($D3792="","",Y3792*AB3792/100)</f>
        <v/>
      </c>
      <c r="W3792" s="16" t="str">
        <f aca="false">IF($D3792="","",Y3792-V3792)</f>
        <v/>
      </c>
      <c r="X3792" s="16" t="str">
        <f aca="false">IF($D3792="","",W3792-N3792)</f>
        <v/>
      </c>
      <c r="AB3792" s="17" t="str">
        <f aca="false">IF($D3792="","",IF(OR($R3792=TRUE(),$R3792="TRUE"),Settings!$C$6,Settings!$C$7)*100)</f>
        <v/>
      </c>
      <c r="AH3792" s="18" t="str">
        <f aca="false">IF($D3792="","",IF(COUNTIF($D$2:$D3792,$D3792)=1,1,0))</f>
        <v/>
      </c>
      <c r="AI3792" s="18" t="str">
        <f aca="false">IF($AH3792=1,SUMPRODUCT(--($AK$2:$AK$4001&lt;$AK3792))+1,"")</f>
        <v/>
      </c>
      <c r="AJ3792" s="18" t="str">
        <f aca="false">IF($D3792="","",IF(OR($R3792=TRUE(),$R3792="TRUE"),1,0))</f>
        <v/>
      </c>
      <c r="AK3792" s="18" t="str">
        <f aca="false">IF($AH3792=1,IFERROR(VALUE(MID($D3792,2,20)),1000000000)+ROW()/10000000,"")</f>
        <v/>
      </c>
    </row>
    <row r="3793" customFormat="false" ht="15" hidden="false" customHeight="false" outlineLevel="0" collapsed="false">
      <c r="F3793" s="15"/>
      <c r="N3793" s="16" t="str">
        <f aca="false">IF($D3793="","",M3793*Y3793/100)</f>
        <v/>
      </c>
      <c r="V3793" s="16" t="str">
        <f aca="false">IF($D3793="","",Y3793*AB3793/100)</f>
        <v/>
      </c>
      <c r="W3793" s="16" t="str">
        <f aca="false">IF($D3793="","",Y3793-V3793)</f>
        <v/>
      </c>
      <c r="X3793" s="16" t="str">
        <f aca="false">IF($D3793="","",W3793-N3793)</f>
        <v/>
      </c>
      <c r="AB3793" s="17" t="str">
        <f aca="false">IF($D3793="","",IF(OR($R3793=TRUE(),$R3793="TRUE"),Settings!$C$6,Settings!$C$7)*100)</f>
        <v/>
      </c>
      <c r="AH3793" s="18" t="str">
        <f aca="false">IF($D3793="","",IF(COUNTIF($D$2:$D3793,$D3793)=1,1,0))</f>
        <v/>
      </c>
      <c r="AI3793" s="18" t="str">
        <f aca="false">IF($AH3793=1,SUMPRODUCT(--($AK$2:$AK$4001&lt;$AK3793))+1,"")</f>
        <v/>
      </c>
      <c r="AJ3793" s="18" t="str">
        <f aca="false">IF($D3793="","",IF(OR($R3793=TRUE(),$R3793="TRUE"),1,0))</f>
        <v/>
      </c>
      <c r="AK3793" s="18" t="str">
        <f aca="false">IF($AH3793=1,IFERROR(VALUE(MID($D3793,2,20)),1000000000)+ROW()/10000000,"")</f>
        <v/>
      </c>
    </row>
    <row r="3794" customFormat="false" ht="15" hidden="false" customHeight="false" outlineLevel="0" collapsed="false">
      <c r="F3794" s="15"/>
      <c r="N3794" s="16" t="str">
        <f aca="false">IF($D3794="","",M3794*Y3794/100)</f>
        <v/>
      </c>
      <c r="V3794" s="16" t="str">
        <f aca="false">IF($D3794="","",Y3794*AB3794/100)</f>
        <v/>
      </c>
      <c r="W3794" s="16" t="str">
        <f aca="false">IF($D3794="","",Y3794-V3794)</f>
        <v/>
      </c>
      <c r="X3794" s="16" t="str">
        <f aca="false">IF($D3794="","",W3794-N3794)</f>
        <v/>
      </c>
      <c r="AB3794" s="17" t="str">
        <f aca="false">IF($D3794="","",IF(OR($R3794=TRUE(),$R3794="TRUE"),Settings!$C$6,Settings!$C$7)*100)</f>
        <v/>
      </c>
      <c r="AH3794" s="18" t="str">
        <f aca="false">IF($D3794="","",IF(COUNTIF($D$2:$D3794,$D3794)=1,1,0))</f>
        <v/>
      </c>
      <c r="AI3794" s="18" t="str">
        <f aca="false">IF($AH3794=1,SUMPRODUCT(--($AK$2:$AK$4001&lt;$AK3794))+1,"")</f>
        <v/>
      </c>
      <c r="AJ3794" s="18" t="str">
        <f aca="false">IF($D3794="","",IF(OR($R3794=TRUE(),$R3794="TRUE"),1,0))</f>
        <v/>
      </c>
      <c r="AK3794" s="18" t="str">
        <f aca="false">IF($AH3794=1,IFERROR(VALUE(MID($D3794,2,20)),1000000000)+ROW()/10000000,"")</f>
        <v/>
      </c>
    </row>
    <row r="3795" customFormat="false" ht="15" hidden="false" customHeight="false" outlineLevel="0" collapsed="false">
      <c r="F3795" s="15"/>
      <c r="N3795" s="16" t="str">
        <f aca="false">IF($D3795="","",M3795*Y3795/100)</f>
        <v/>
      </c>
      <c r="V3795" s="16" t="str">
        <f aca="false">IF($D3795="","",Y3795*AB3795/100)</f>
        <v/>
      </c>
      <c r="W3795" s="16" t="str">
        <f aca="false">IF($D3795="","",Y3795-V3795)</f>
        <v/>
      </c>
      <c r="X3795" s="16" t="str">
        <f aca="false">IF($D3795="","",W3795-N3795)</f>
        <v/>
      </c>
      <c r="AB3795" s="17" t="str">
        <f aca="false">IF($D3795="","",IF(OR($R3795=TRUE(),$R3795="TRUE"),Settings!$C$6,Settings!$C$7)*100)</f>
        <v/>
      </c>
      <c r="AH3795" s="18" t="str">
        <f aca="false">IF($D3795="","",IF(COUNTIF($D$2:$D3795,$D3795)=1,1,0))</f>
        <v/>
      </c>
      <c r="AI3795" s="18" t="str">
        <f aca="false">IF($AH3795=1,SUMPRODUCT(--($AK$2:$AK$4001&lt;$AK3795))+1,"")</f>
        <v/>
      </c>
      <c r="AJ3795" s="18" t="str">
        <f aca="false">IF($D3795="","",IF(OR($R3795=TRUE(),$R3795="TRUE"),1,0))</f>
        <v/>
      </c>
      <c r="AK3795" s="18" t="str">
        <f aca="false">IF($AH3795=1,IFERROR(VALUE(MID($D3795,2,20)),1000000000)+ROW()/10000000,"")</f>
        <v/>
      </c>
    </row>
    <row r="3796" customFormat="false" ht="15" hidden="false" customHeight="false" outlineLevel="0" collapsed="false">
      <c r="F3796" s="15"/>
      <c r="N3796" s="16" t="str">
        <f aca="false">IF($D3796="","",M3796*Y3796/100)</f>
        <v/>
      </c>
      <c r="V3796" s="16" t="str">
        <f aca="false">IF($D3796="","",Y3796*AB3796/100)</f>
        <v/>
      </c>
      <c r="W3796" s="16" t="str">
        <f aca="false">IF($D3796="","",Y3796-V3796)</f>
        <v/>
      </c>
      <c r="X3796" s="16" t="str">
        <f aca="false">IF($D3796="","",W3796-N3796)</f>
        <v/>
      </c>
      <c r="AB3796" s="17" t="str">
        <f aca="false">IF($D3796="","",IF(OR($R3796=TRUE(),$R3796="TRUE"),Settings!$C$6,Settings!$C$7)*100)</f>
        <v/>
      </c>
      <c r="AH3796" s="18" t="str">
        <f aca="false">IF($D3796="","",IF(COUNTIF($D$2:$D3796,$D3796)=1,1,0))</f>
        <v/>
      </c>
      <c r="AI3796" s="18" t="str">
        <f aca="false">IF($AH3796=1,SUMPRODUCT(--($AK$2:$AK$4001&lt;$AK3796))+1,"")</f>
        <v/>
      </c>
      <c r="AJ3796" s="18" t="str">
        <f aca="false">IF($D3796="","",IF(OR($R3796=TRUE(),$R3796="TRUE"),1,0))</f>
        <v/>
      </c>
      <c r="AK3796" s="18" t="str">
        <f aca="false">IF($AH3796=1,IFERROR(VALUE(MID($D3796,2,20)),1000000000)+ROW()/10000000,"")</f>
        <v/>
      </c>
    </row>
    <row r="3797" customFormat="false" ht="15" hidden="false" customHeight="false" outlineLevel="0" collapsed="false">
      <c r="F3797" s="15"/>
      <c r="N3797" s="16" t="str">
        <f aca="false">IF($D3797="","",M3797*Y3797/100)</f>
        <v/>
      </c>
      <c r="V3797" s="16" t="str">
        <f aca="false">IF($D3797="","",Y3797*AB3797/100)</f>
        <v/>
      </c>
      <c r="W3797" s="16" t="str">
        <f aca="false">IF($D3797="","",Y3797-V3797)</f>
        <v/>
      </c>
      <c r="X3797" s="16" t="str">
        <f aca="false">IF($D3797="","",W3797-N3797)</f>
        <v/>
      </c>
      <c r="AB3797" s="17" t="str">
        <f aca="false">IF($D3797="","",IF(OR($R3797=TRUE(),$R3797="TRUE"),Settings!$C$6,Settings!$C$7)*100)</f>
        <v/>
      </c>
      <c r="AH3797" s="18" t="str">
        <f aca="false">IF($D3797="","",IF(COUNTIF($D$2:$D3797,$D3797)=1,1,0))</f>
        <v/>
      </c>
      <c r="AI3797" s="18" t="str">
        <f aca="false">IF($AH3797=1,SUMPRODUCT(--($AK$2:$AK$4001&lt;$AK3797))+1,"")</f>
        <v/>
      </c>
      <c r="AJ3797" s="18" t="str">
        <f aca="false">IF($D3797="","",IF(OR($R3797=TRUE(),$R3797="TRUE"),1,0))</f>
        <v/>
      </c>
      <c r="AK3797" s="18" t="str">
        <f aca="false">IF($AH3797=1,IFERROR(VALUE(MID($D3797,2,20)),1000000000)+ROW()/10000000,"")</f>
        <v/>
      </c>
    </row>
    <row r="3798" customFormat="false" ht="15" hidden="false" customHeight="false" outlineLevel="0" collapsed="false">
      <c r="F3798" s="15"/>
      <c r="N3798" s="16" t="str">
        <f aca="false">IF($D3798="","",M3798*Y3798/100)</f>
        <v/>
      </c>
      <c r="V3798" s="16" t="str">
        <f aca="false">IF($D3798="","",Y3798*AB3798/100)</f>
        <v/>
      </c>
      <c r="W3798" s="16" t="str">
        <f aca="false">IF($D3798="","",Y3798-V3798)</f>
        <v/>
      </c>
      <c r="X3798" s="16" t="str">
        <f aca="false">IF($D3798="","",W3798-N3798)</f>
        <v/>
      </c>
      <c r="AB3798" s="17" t="str">
        <f aca="false">IF($D3798="","",IF(OR($R3798=TRUE(),$R3798="TRUE"),Settings!$C$6,Settings!$C$7)*100)</f>
        <v/>
      </c>
      <c r="AH3798" s="18" t="str">
        <f aca="false">IF($D3798="","",IF(COUNTIF($D$2:$D3798,$D3798)=1,1,0))</f>
        <v/>
      </c>
      <c r="AI3798" s="18" t="str">
        <f aca="false">IF($AH3798=1,SUMPRODUCT(--($AK$2:$AK$4001&lt;$AK3798))+1,"")</f>
        <v/>
      </c>
      <c r="AJ3798" s="18" t="str">
        <f aca="false">IF($D3798="","",IF(OR($R3798=TRUE(),$R3798="TRUE"),1,0))</f>
        <v/>
      </c>
      <c r="AK3798" s="18" t="str">
        <f aca="false">IF($AH3798=1,IFERROR(VALUE(MID($D3798,2,20)),1000000000)+ROW()/10000000,"")</f>
        <v/>
      </c>
    </row>
    <row r="3799" customFormat="false" ht="15" hidden="false" customHeight="false" outlineLevel="0" collapsed="false">
      <c r="F3799" s="15"/>
      <c r="N3799" s="16" t="str">
        <f aca="false">IF($D3799="","",M3799*Y3799/100)</f>
        <v/>
      </c>
      <c r="V3799" s="16" t="str">
        <f aca="false">IF($D3799="","",Y3799*AB3799/100)</f>
        <v/>
      </c>
      <c r="W3799" s="16" t="str">
        <f aca="false">IF($D3799="","",Y3799-V3799)</f>
        <v/>
      </c>
      <c r="X3799" s="16" t="str">
        <f aca="false">IF($D3799="","",W3799-N3799)</f>
        <v/>
      </c>
      <c r="AB3799" s="17" t="str">
        <f aca="false">IF($D3799="","",IF(OR($R3799=TRUE(),$R3799="TRUE"),Settings!$C$6,Settings!$C$7)*100)</f>
        <v/>
      </c>
      <c r="AH3799" s="18" t="str">
        <f aca="false">IF($D3799="","",IF(COUNTIF($D$2:$D3799,$D3799)=1,1,0))</f>
        <v/>
      </c>
      <c r="AI3799" s="18" t="str">
        <f aca="false">IF($AH3799=1,SUMPRODUCT(--($AK$2:$AK$4001&lt;$AK3799))+1,"")</f>
        <v/>
      </c>
      <c r="AJ3799" s="18" t="str">
        <f aca="false">IF($D3799="","",IF(OR($R3799=TRUE(),$R3799="TRUE"),1,0))</f>
        <v/>
      </c>
      <c r="AK3799" s="18" t="str">
        <f aca="false">IF($AH3799=1,IFERROR(VALUE(MID($D3799,2,20)),1000000000)+ROW()/10000000,"")</f>
        <v/>
      </c>
    </row>
    <row r="3800" customFormat="false" ht="15" hidden="false" customHeight="false" outlineLevel="0" collapsed="false">
      <c r="F3800" s="15"/>
      <c r="N3800" s="16" t="str">
        <f aca="false">IF($D3800="","",M3800*Y3800/100)</f>
        <v/>
      </c>
      <c r="V3800" s="16" t="str">
        <f aca="false">IF($D3800="","",Y3800*AB3800/100)</f>
        <v/>
      </c>
      <c r="W3800" s="16" t="str">
        <f aca="false">IF($D3800="","",Y3800-V3800)</f>
        <v/>
      </c>
      <c r="X3800" s="16" t="str">
        <f aca="false">IF($D3800="","",W3800-N3800)</f>
        <v/>
      </c>
      <c r="AB3800" s="17" t="str">
        <f aca="false">IF($D3800="","",IF(OR($R3800=TRUE(),$R3800="TRUE"),Settings!$C$6,Settings!$C$7)*100)</f>
        <v/>
      </c>
      <c r="AH3800" s="18" t="str">
        <f aca="false">IF($D3800="","",IF(COUNTIF($D$2:$D3800,$D3800)=1,1,0))</f>
        <v/>
      </c>
      <c r="AI3800" s="18" t="str">
        <f aca="false">IF($AH3800=1,SUMPRODUCT(--($AK$2:$AK$4001&lt;$AK3800))+1,"")</f>
        <v/>
      </c>
      <c r="AJ3800" s="18" t="str">
        <f aca="false">IF($D3800="","",IF(OR($R3800=TRUE(),$R3800="TRUE"),1,0))</f>
        <v/>
      </c>
      <c r="AK3800" s="18" t="str">
        <f aca="false">IF($AH3800=1,IFERROR(VALUE(MID($D3800,2,20)),1000000000)+ROW()/10000000,"")</f>
        <v/>
      </c>
    </row>
    <row r="3801" customFormat="false" ht="15" hidden="false" customHeight="false" outlineLevel="0" collapsed="false">
      <c r="F3801" s="15"/>
      <c r="N3801" s="16" t="str">
        <f aca="false">IF($D3801="","",M3801*Y3801/100)</f>
        <v/>
      </c>
      <c r="V3801" s="16" t="str">
        <f aca="false">IF($D3801="","",Y3801*AB3801/100)</f>
        <v/>
      </c>
      <c r="W3801" s="16" t="str">
        <f aca="false">IF($D3801="","",Y3801-V3801)</f>
        <v/>
      </c>
      <c r="X3801" s="16" t="str">
        <f aca="false">IF($D3801="","",W3801-N3801)</f>
        <v/>
      </c>
      <c r="AB3801" s="17" t="str">
        <f aca="false">IF($D3801="","",IF(OR($R3801=TRUE(),$R3801="TRUE"),Settings!$C$6,Settings!$C$7)*100)</f>
        <v/>
      </c>
      <c r="AH3801" s="18" t="str">
        <f aca="false">IF($D3801="","",IF(COUNTIF($D$2:$D3801,$D3801)=1,1,0))</f>
        <v/>
      </c>
      <c r="AI3801" s="18" t="str">
        <f aca="false">IF($AH3801=1,SUMPRODUCT(--($AK$2:$AK$4001&lt;$AK3801))+1,"")</f>
        <v/>
      </c>
      <c r="AJ3801" s="18" t="str">
        <f aca="false">IF($D3801="","",IF(OR($R3801=TRUE(),$R3801="TRUE"),1,0))</f>
        <v/>
      </c>
      <c r="AK3801" s="18" t="str">
        <f aca="false">IF($AH3801=1,IFERROR(VALUE(MID($D3801,2,20)),1000000000)+ROW()/10000000,"")</f>
        <v/>
      </c>
    </row>
    <row r="3802" customFormat="false" ht="15" hidden="false" customHeight="false" outlineLevel="0" collapsed="false">
      <c r="F3802" s="15"/>
      <c r="N3802" s="16" t="str">
        <f aca="false">IF($D3802="","",M3802*Y3802/100)</f>
        <v/>
      </c>
      <c r="V3802" s="16" t="str">
        <f aca="false">IF($D3802="","",Y3802*AB3802/100)</f>
        <v/>
      </c>
      <c r="W3802" s="16" t="str">
        <f aca="false">IF($D3802="","",Y3802-V3802)</f>
        <v/>
      </c>
      <c r="X3802" s="16" t="str">
        <f aca="false">IF($D3802="","",W3802-N3802)</f>
        <v/>
      </c>
      <c r="AB3802" s="17" t="str">
        <f aca="false">IF($D3802="","",IF(OR($R3802=TRUE(),$R3802="TRUE"),Settings!$C$6,Settings!$C$7)*100)</f>
        <v/>
      </c>
      <c r="AH3802" s="18" t="str">
        <f aca="false">IF($D3802="","",IF(COUNTIF($D$2:$D3802,$D3802)=1,1,0))</f>
        <v/>
      </c>
      <c r="AI3802" s="18" t="str">
        <f aca="false">IF($AH3802=1,SUMPRODUCT(--($AK$2:$AK$4001&lt;$AK3802))+1,"")</f>
        <v/>
      </c>
      <c r="AJ3802" s="18" t="str">
        <f aca="false">IF($D3802="","",IF(OR($R3802=TRUE(),$R3802="TRUE"),1,0))</f>
        <v/>
      </c>
      <c r="AK3802" s="18" t="str">
        <f aca="false">IF($AH3802=1,IFERROR(VALUE(MID($D3802,2,20)),1000000000)+ROW()/10000000,"")</f>
        <v/>
      </c>
    </row>
    <row r="3803" customFormat="false" ht="15" hidden="false" customHeight="false" outlineLevel="0" collapsed="false">
      <c r="F3803" s="15"/>
      <c r="N3803" s="16" t="str">
        <f aca="false">IF($D3803="","",M3803*Y3803/100)</f>
        <v/>
      </c>
      <c r="V3803" s="16" t="str">
        <f aca="false">IF($D3803="","",Y3803*AB3803/100)</f>
        <v/>
      </c>
      <c r="W3803" s="16" t="str">
        <f aca="false">IF($D3803="","",Y3803-V3803)</f>
        <v/>
      </c>
      <c r="X3803" s="16" t="str">
        <f aca="false">IF($D3803="","",W3803-N3803)</f>
        <v/>
      </c>
      <c r="AB3803" s="17" t="str">
        <f aca="false">IF($D3803="","",IF(OR($R3803=TRUE(),$R3803="TRUE"),Settings!$C$6,Settings!$C$7)*100)</f>
        <v/>
      </c>
      <c r="AH3803" s="18" t="str">
        <f aca="false">IF($D3803="","",IF(COUNTIF($D$2:$D3803,$D3803)=1,1,0))</f>
        <v/>
      </c>
      <c r="AI3803" s="18" t="str">
        <f aca="false">IF($AH3803=1,SUMPRODUCT(--($AK$2:$AK$4001&lt;$AK3803))+1,"")</f>
        <v/>
      </c>
      <c r="AJ3803" s="18" t="str">
        <f aca="false">IF($D3803="","",IF(OR($R3803=TRUE(),$R3803="TRUE"),1,0))</f>
        <v/>
      </c>
      <c r="AK3803" s="18" t="str">
        <f aca="false">IF($AH3803=1,IFERROR(VALUE(MID($D3803,2,20)),1000000000)+ROW()/10000000,"")</f>
        <v/>
      </c>
    </row>
    <row r="3804" customFormat="false" ht="15" hidden="false" customHeight="false" outlineLevel="0" collapsed="false">
      <c r="F3804" s="15"/>
      <c r="N3804" s="16" t="str">
        <f aca="false">IF($D3804="","",M3804*Y3804/100)</f>
        <v/>
      </c>
      <c r="V3804" s="16" t="str">
        <f aca="false">IF($D3804="","",Y3804*AB3804/100)</f>
        <v/>
      </c>
      <c r="W3804" s="16" t="str">
        <f aca="false">IF($D3804="","",Y3804-V3804)</f>
        <v/>
      </c>
      <c r="X3804" s="16" t="str">
        <f aca="false">IF($D3804="","",W3804-N3804)</f>
        <v/>
      </c>
      <c r="AB3804" s="17" t="str">
        <f aca="false">IF($D3804="","",IF(OR($R3804=TRUE(),$R3804="TRUE"),Settings!$C$6,Settings!$C$7)*100)</f>
        <v/>
      </c>
      <c r="AH3804" s="18" t="str">
        <f aca="false">IF($D3804="","",IF(COUNTIF($D$2:$D3804,$D3804)=1,1,0))</f>
        <v/>
      </c>
      <c r="AI3804" s="18" t="str">
        <f aca="false">IF($AH3804=1,SUMPRODUCT(--($AK$2:$AK$4001&lt;$AK3804))+1,"")</f>
        <v/>
      </c>
      <c r="AJ3804" s="18" t="str">
        <f aca="false">IF($D3804="","",IF(OR($R3804=TRUE(),$R3804="TRUE"),1,0))</f>
        <v/>
      </c>
      <c r="AK3804" s="18" t="str">
        <f aca="false">IF($AH3804=1,IFERROR(VALUE(MID($D3804,2,20)),1000000000)+ROW()/10000000,"")</f>
        <v/>
      </c>
    </row>
    <row r="3805" customFormat="false" ht="15" hidden="false" customHeight="false" outlineLevel="0" collapsed="false">
      <c r="F3805" s="15"/>
      <c r="N3805" s="16" t="str">
        <f aca="false">IF($D3805="","",M3805*Y3805/100)</f>
        <v/>
      </c>
      <c r="V3805" s="16" t="str">
        <f aca="false">IF($D3805="","",Y3805*AB3805/100)</f>
        <v/>
      </c>
      <c r="W3805" s="16" t="str">
        <f aca="false">IF($D3805="","",Y3805-V3805)</f>
        <v/>
      </c>
      <c r="X3805" s="16" t="str">
        <f aca="false">IF($D3805="","",W3805-N3805)</f>
        <v/>
      </c>
      <c r="AB3805" s="17" t="str">
        <f aca="false">IF($D3805="","",IF(OR($R3805=TRUE(),$R3805="TRUE"),Settings!$C$6,Settings!$C$7)*100)</f>
        <v/>
      </c>
      <c r="AH3805" s="18" t="str">
        <f aca="false">IF($D3805="","",IF(COUNTIF($D$2:$D3805,$D3805)=1,1,0))</f>
        <v/>
      </c>
      <c r="AI3805" s="18" t="str">
        <f aca="false">IF($AH3805=1,SUMPRODUCT(--($AK$2:$AK$4001&lt;$AK3805))+1,"")</f>
        <v/>
      </c>
      <c r="AJ3805" s="18" t="str">
        <f aca="false">IF($D3805="","",IF(OR($R3805=TRUE(),$R3805="TRUE"),1,0))</f>
        <v/>
      </c>
      <c r="AK3805" s="18" t="str">
        <f aca="false">IF($AH3805=1,IFERROR(VALUE(MID($D3805,2,20)),1000000000)+ROW()/10000000,"")</f>
        <v/>
      </c>
    </row>
    <row r="3806" customFormat="false" ht="15" hidden="false" customHeight="false" outlineLevel="0" collapsed="false">
      <c r="F3806" s="15"/>
      <c r="N3806" s="16" t="str">
        <f aca="false">IF($D3806="","",M3806*Y3806/100)</f>
        <v/>
      </c>
      <c r="V3806" s="16" t="str">
        <f aca="false">IF($D3806="","",Y3806*AB3806/100)</f>
        <v/>
      </c>
      <c r="W3806" s="16" t="str">
        <f aca="false">IF($D3806="","",Y3806-V3806)</f>
        <v/>
      </c>
      <c r="X3806" s="16" t="str">
        <f aca="false">IF($D3806="","",W3806-N3806)</f>
        <v/>
      </c>
      <c r="AB3806" s="17" t="str">
        <f aca="false">IF($D3806="","",IF(OR($R3806=TRUE(),$R3806="TRUE"),Settings!$C$6,Settings!$C$7)*100)</f>
        <v/>
      </c>
      <c r="AH3806" s="18" t="str">
        <f aca="false">IF($D3806="","",IF(COUNTIF($D$2:$D3806,$D3806)=1,1,0))</f>
        <v/>
      </c>
      <c r="AI3806" s="18" t="str">
        <f aca="false">IF($AH3806=1,SUMPRODUCT(--($AK$2:$AK$4001&lt;$AK3806))+1,"")</f>
        <v/>
      </c>
      <c r="AJ3806" s="18" t="str">
        <f aca="false">IF($D3806="","",IF(OR($R3806=TRUE(),$R3806="TRUE"),1,0))</f>
        <v/>
      </c>
      <c r="AK3806" s="18" t="str">
        <f aca="false">IF($AH3806=1,IFERROR(VALUE(MID($D3806,2,20)),1000000000)+ROW()/10000000,"")</f>
        <v/>
      </c>
    </row>
    <row r="3807" customFormat="false" ht="15" hidden="false" customHeight="false" outlineLevel="0" collapsed="false">
      <c r="F3807" s="15"/>
      <c r="N3807" s="16" t="str">
        <f aca="false">IF($D3807="","",M3807*Y3807/100)</f>
        <v/>
      </c>
      <c r="V3807" s="16" t="str">
        <f aca="false">IF($D3807="","",Y3807*AB3807/100)</f>
        <v/>
      </c>
      <c r="W3807" s="16" t="str">
        <f aca="false">IF($D3807="","",Y3807-V3807)</f>
        <v/>
      </c>
      <c r="X3807" s="16" t="str">
        <f aca="false">IF($D3807="","",W3807-N3807)</f>
        <v/>
      </c>
      <c r="AB3807" s="17" t="str">
        <f aca="false">IF($D3807="","",IF(OR($R3807=TRUE(),$R3807="TRUE"),Settings!$C$6,Settings!$C$7)*100)</f>
        <v/>
      </c>
      <c r="AH3807" s="18" t="str">
        <f aca="false">IF($D3807="","",IF(COUNTIF($D$2:$D3807,$D3807)=1,1,0))</f>
        <v/>
      </c>
      <c r="AI3807" s="18" t="str">
        <f aca="false">IF($AH3807=1,SUMPRODUCT(--($AK$2:$AK$4001&lt;$AK3807))+1,"")</f>
        <v/>
      </c>
      <c r="AJ3807" s="18" t="str">
        <f aca="false">IF($D3807="","",IF(OR($R3807=TRUE(),$R3807="TRUE"),1,0))</f>
        <v/>
      </c>
      <c r="AK3807" s="18" t="str">
        <f aca="false">IF($AH3807=1,IFERROR(VALUE(MID($D3807,2,20)),1000000000)+ROW()/10000000,"")</f>
        <v/>
      </c>
    </row>
    <row r="3808" customFormat="false" ht="15" hidden="false" customHeight="false" outlineLevel="0" collapsed="false">
      <c r="F3808" s="15"/>
      <c r="N3808" s="16" t="str">
        <f aca="false">IF($D3808="","",M3808*Y3808/100)</f>
        <v/>
      </c>
      <c r="V3808" s="16" t="str">
        <f aca="false">IF($D3808="","",Y3808*AB3808/100)</f>
        <v/>
      </c>
      <c r="W3808" s="16" t="str">
        <f aca="false">IF($D3808="","",Y3808-V3808)</f>
        <v/>
      </c>
      <c r="X3808" s="16" t="str">
        <f aca="false">IF($D3808="","",W3808-N3808)</f>
        <v/>
      </c>
      <c r="AB3808" s="17" t="str">
        <f aca="false">IF($D3808="","",IF(OR($R3808=TRUE(),$R3808="TRUE"),Settings!$C$6,Settings!$C$7)*100)</f>
        <v/>
      </c>
      <c r="AH3808" s="18" t="str">
        <f aca="false">IF($D3808="","",IF(COUNTIF($D$2:$D3808,$D3808)=1,1,0))</f>
        <v/>
      </c>
      <c r="AI3808" s="18" t="str">
        <f aca="false">IF($AH3808=1,SUMPRODUCT(--($AK$2:$AK$4001&lt;$AK3808))+1,"")</f>
        <v/>
      </c>
      <c r="AJ3808" s="18" t="str">
        <f aca="false">IF($D3808="","",IF(OR($R3808=TRUE(),$R3808="TRUE"),1,0))</f>
        <v/>
      </c>
      <c r="AK3808" s="18" t="str">
        <f aca="false">IF($AH3808=1,IFERROR(VALUE(MID($D3808,2,20)),1000000000)+ROW()/10000000,"")</f>
        <v/>
      </c>
    </row>
    <row r="3809" customFormat="false" ht="15" hidden="false" customHeight="false" outlineLevel="0" collapsed="false">
      <c r="F3809" s="15"/>
      <c r="N3809" s="16" t="str">
        <f aca="false">IF($D3809="","",M3809*Y3809/100)</f>
        <v/>
      </c>
      <c r="V3809" s="16" t="str">
        <f aca="false">IF($D3809="","",Y3809*AB3809/100)</f>
        <v/>
      </c>
      <c r="W3809" s="16" t="str">
        <f aca="false">IF($D3809="","",Y3809-V3809)</f>
        <v/>
      </c>
      <c r="X3809" s="16" t="str">
        <f aca="false">IF($D3809="","",W3809-N3809)</f>
        <v/>
      </c>
      <c r="AB3809" s="17" t="str">
        <f aca="false">IF($D3809="","",IF(OR($R3809=TRUE(),$R3809="TRUE"),Settings!$C$6,Settings!$C$7)*100)</f>
        <v/>
      </c>
      <c r="AH3809" s="18" t="str">
        <f aca="false">IF($D3809="","",IF(COUNTIF($D$2:$D3809,$D3809)=1,1,0))</f>
        <v/>
      </c>
      <c r="AI3809" s="18" t="str">
        <f aca="false">IF($AH3809=1,SUMPRODUCT(--($AK$2:$AK$4001&lt;$AK3809))+1,"")</f>
        <v/>
      </c>
      <c r="AJ3809" s="18" t="str">
        <f aca="false">IF($D3809="","",IF(OR($R3809=TRUE(),$R3809="TRUE"),1,0))</f>
        <v/>
      </c>
      <c r="AK3809" s="18" t="str">
        <f aca="false">IF($AH3809=1,IFERROR(VALUE(MID($D3809,2,20)),1000000000)+ROW()/10000000,"")</f>
        <v/>
      </c>
    </row>
    <row r="3810" customFormat="false" ht="15" hidden="false" customHeight="false" outlineLevel="0" collapsed="false">
      <c r="F3810" s="15"/>
      <c r="N3810" s="16" t="str">
        <f aca="false">IF($D3810="","",M3810*Y3810/100)</f>
        <v/>
      </c>
      <c r="V3810" s="16" t="str">
        <f aca="false">IF($D3810="","",Y3810*AB3810/100)</f>
        <v/>
      </c>
      <c r="W3810" s="16" t="str">
        <f aca="false">IF($D3810="","",Y3810-V3810)</f>
        <v/>
      </c>
      <c r="X3810" s="16" t="str">
        <f aca="false">IF($D3810="","",W3810-N3810)</f>
        <v/>
      </c>
      <c r="AB3810" s="17" t="str">
        <f aca="false">IF($D3810="","",IF(OR($R3810=TRUE(),$R3810="TRUE"),Settings!$C$6,Settings!$C$7)*100)</f>
        <v/>
      </c>
      <c r="AH3810" s="18" t="str">
        <f aca="false">IF($D3810="","",IF(COUNTIF($D$2:$D3810,$D3810)=1,1,0))</f>
        <v/>
      </c>
      <c r="AI3810" s="18" t="str">
        <f aca="false">IF($AH3810=1,SUMPRODUCT(--($AK$2:$AK$4001&lt;$AK3810))+1,"")</f>
        <v/>
      </c>
      <c r="AJ3810" s="18" t="str">
        <f aca="false">IF($D3810="","",IF(OR($R3810=TRUE(),$R3810="TRUE"),1,0))</f>
        <v/>
      </c>
      <c r="AK3810" s="18" t="str">
        <f aca="false">IF($AH3810=1,IFERROR(VALUE(MID($D3810,2,20)),1000000000)+ROW()/10000000,"")</f>
        <v/>
      </c>
    </row>
    <row r="3811" customFormat="false" ht="15" hidden="false" customHeight="false" outlineLevel="0" collapsed="false">
      <c r="F3811" s="15"/>
      <c r="N3811" s="16" t="str">
        <f aca="false">IF($D3811="","",M3811*Y3811/100)</f>
        <v/>
      </c>
      <c r="V3811" s="16" t="str">
        <f aca="false">IF($D3811="","",Y3811*AB3811/100)</f>
        <v/>
      </c>
      <c r="W3811" s="16" t="str">
        <f aca="false">IF($D3811="","",Y3811-V3811)</f>
        <v/>
      </c>
      <c r="X3811" s="16" t="str">
        <f aca="false">IF($D3811="","",W3811-N3811)</f>
        <v/>
      </c>
      <c r="AB3811" s="17" t="str">
        <f aca="false">IF($D3811="","",IF(OR($R3811=TRUE(),$R3811="TRUE"),Settings!$C$6,Settings!$C$7)*100)</f>
        <v/>
      </c>
      <c r="AH3811" s="18" t="str">
        <f aca="false">IF($D3811="","",IF(COUNTIF($D$2:$D3811,$D3811)=1,1,0))</f>
        <v/>
      </c>
      <c r="AI3811" s="18" t="str">
        <f aca="false">IF($AH3811=1,SUMPRODUCT(--($AK$2:$AK$4001&lt;$AK3811))+1,"")</f>
        <v/>
      </c>
      <c r="AJ3811" s="18" t="str">
        <f aca="false">IF($D3811="","",IF(OR($R3811=TRUE(),$R3811="TRUE"),1,0))</f>
        <v/>
      </c>
      <c r="AK3811" s="18" t="str">
        <f aca="false">IF($AH3811=1,IFERROR(VALUE(MID($D3811,2,20)),1000000000)+ROW()/10000000,"")</f>
        <v/>
      </c>
    </row>
    <row r="3812" customFormat="false" ht="15" hidden="false" customHeight="false" outlineLevel="0" collapsed="false">
      <c r="F3812" s="15"/>
      <c r="N3812" s="16" t="str">
        <f aca="false">IF($D3812="","",M3812*Y3812/100)</f>
        <v/>
      </c>
      <c r="V3812" s="16" t="str">
        <f aca="false">IF($D3812="","",Y3812*AB3812/100)</f>
        <v/>
      </c>
      <c r="W3812" s="16" t="str">
        <f aca="false">IF($D3812="","",Y3812-V3812)</f>
        <v/>
      </c>
      <c r="X3812" s="16" t="str">
        <f aca="false">IF($D3812="","",W3812-N3812)</f>
        <v/>
      </c>
      <c r="AB3812" s="17" t="str">
        <f aca="false">IF($D3812="","",IF(OR($R3812=TRUE(),$R3812="TRUE"),Settings!$C$6,Settings!$C$7)*100)</f>
        <v/>
      </c>
      <c r="AH3812" s="18" t="str">
        <f aca="false">IF($D3812="","",IF(COUNTIF($D$2:$D3812,$D3812)=1,1,0))</f>
        <v/>
      </c>
      <c r="AI3812" s="18" t="str">
        <f aca="false">IF($AH3812=1,SUMPRODUCT(--($AK$2:$AK$4001&lt;$AK3812))+1,"")</f>
        <v/>
      </c>
      <c r="AJ3812" s="18" t="str">
        <f aca="false">IF($D3812="","",IF(OR($R3812=TRUE(),$R3812="TRUE"),1,0))</f>
        <v/>
      </c>
      <c r="AK3812" s="18" t="str">
        <f aca="false">IF($AH3812=1,IFERROR(VALUE(MID($D3812,2,20)),1000000000)+ROW()/10000000,"")</f>
        <v/>
      </c>
    </row>
    <row r="3813" customFormat="false" ht="15" hidden="false" customHeight="false" outlineLevel="0" collapsed="false">
      <c r="F3813" s="15"/>
      <c r="N3813" s="16" t="str">
        <f aca="false">IF($D3813="","",M3813*Y3813/100)</f>
        <v/>
      </c>
      <c r="V3813" s="16" t="str">
        <f aca="false">IF($D3813="","",Y3813*AB3813/100)</f>
        <v/>
      </c>
      <c r="W3813" s="16" t="str">
        <f aca="false">IF($D3813="","",Y3813-V3813)</f>
        <v/>
      </c>
      <c r="X3813" s="16" t="str">
        <f aca="false">IF($D3813="","",W3813-N3813)</f>
        <v/>
      </c>
      <c r="AB3813" s="17" t="str">
        <f aca="false">IF($D3813="","",IF(OR($R3813=TRUE(),$R3813="TRUE"),Settings!$C$6,Settings!$C$7)*100)</f>
        <v/>
      </c>
      <c r="AH3813" s="18" t="str">
        <f aca="false">IF($D3813="","",IF(COUNTIF($D$2:$D3813,$D3813)=1,1,0))</f>
        <v/>
      </c>
      <c r="AI3813" s="18" t="str">
        <f aca="false">IF($AH3813=1,SUMPRODUCT(--($AK$2:$AK$4001&lt;$AK3813))+1,"")</f>
        <v/>
      </c>
      <c r="AJ3813" s="18" t="str">
        <f aca="false">IF($D3813="","",IF(OR($R3813=TRUE(),$R3813="TRUE"),1,0))</f>
        <v/>
      </c>
      <c r="AK3813" s="18" t="str">
        <f aca="false">IF($AH3813=1,IFERROR(VALUE(MID($D3813,2,20)),1000000000)+ROW()/10000000,"")</f>
        <v/>
      </c>
    </row>
    <row r="3814" customFormat="false" ht="15" hidden="false" customHeight="false" outlineLevel="0" collapsed="false">
      <c r="F3814" s="15"/>
      <c r="N3814" s="16" t="str">
        <f aca="false">IF($D3814="","",M3814*Y3814/100)</f>
        <v/>
      </c>
      <c r="V3814" s="16" t="str">
        <f aca="false">IF($D3814="","",Y3814*AB3814/100)</f>
        <v/>
      </c>
      <c r="W3814" s="16" t="str">
        <f aca="false">IF($D3814="","",Y3814-V3814)</f>
        <v/>
      </c>
      <c r="X3814" s="16" t="str">
        <f aca="false">IF($D3814="","",W3814-N3814)</f>
        <v/>
      </c>
      <c r="AB3814" s="17" t="str">
        <f aca="false">IF($D3814="","",IF(OR($R3814=TRUE(),$R3814="TRUE"),Settings!$C$6,Settings!$C$7)*100)</f>
        <v/>
      </c>
      <c r="AH3814" s="18" t="str">
        <f aca="false">IF($D3814="","",IF(COUNTIF($D$2:$D3814,$D3814)=1,1,0))</f>
        <v/>
      </c>
      <c r="AI3814" s="18" t="str">
        <f aca="false">IF($AH3814=1,SUMPRODUCT(--($AK$2:$AK$4001&lt;$AK3814))+1,"")</f>
        <v/>
      </c>
      <c r="AJ3814" s="18" t="str">
        <f aca="false">IF($D3814="","",IF(OR($R3814=TRUE(),$R3814="TRUE"),1,0))</f>
        <v/>
      </c>
      <c r="AK3814" s="18" t="str">
        <f aca="false">IF($AH3814=1,IFERROR(VALUE(MID($D3814,2,20)),1000000000)+ROW()/10000000,"")</f>
        <v/>
      </c>
    </row>
    <row r="3815" customFormat="false" ht="15" hidden="false" customHeight="false" outlineLevel="0" collapsed="false">
      <c r="F3815" s="15"/>
      <c r="N3815" s="16" t="str">
        <f aca="false">IF($D3815="","",M3815*Y3815/100)</f>
        <v/>
      </c>
      <c r="V3815" s="16" t="str">
        <f aca="false">IF($D3815="","",Y3815*AB3815/100)</f>
        <v/>
      </c>
      <c r="W3815" s="16" t="str">
        <f aca="false">IF($D3815="","",Y3815-V3815)</f>
        <v/>
      </c>
      <c r="X3815" s="16" t="str">
        <f aca="false">IF($D3815="","",W3815-N3815)</f>
        <v/>
      </c>
      <c r="AB3815" s="17" t="str">
        <f aca="false">IF($D3815="","",IF(OR($R3815=TRUE(),$R3815="TRUE"),Settings!$C$6,Settings!$C$7)*100)</f>
        <v/>
      </c>
      <c r="AH3815" s="18" t="str">
        <f aca="false">IF($D3815="","",IF(COUNTIF($D$2:$D3815,$D3815)=1,1,0))</f>
        <v/>
      </c>
      <c r="AI3815" s="18" t="str">
        <f aca="false">IF($AH3815=1,SUMPRODUCT(--($AK$2:$AK$4001&lt;$AK3815))+1,"")</f>
        <v/>
      </c>
      <c r="AJ3815" s="18" t="str">
        <f aca="false">IF($D3815="","",IF(OR($R3815=TRUE(),$R3815="TRUE"),1,0))</f>
        <v/>
      </c>
      <c r="AK3815" s="18" t="str">
        <f aca="false">IF($AH3815=1,IFERROR(VALUE(MID($D3815,2,20)),1000000000)+ROW()/10000000,"")</f>
        <v/>
      </c>
    </row>
    <row r="3816" customFormat="false" ht="15" hidden="false" customHeight="false" outlineLevel="0" collapsed="false">
      <c r="F3816" s="15"/>
      <c r="N3816" s="16" t="str">
        <f aca="false">IF($D3816="","",M3816*Y3816/100)</f>
        <v/>
      </c>
      <c r="V3816" s="16" t="str">
        <f aca="false">IF($D3816="","",Y3816*AB3816/100)</f>
        <v/>
      </c>
      <c r="W3816" s="16" t="str">
        <f aca="false">IF($D3816="","",Y3816-V3816)</f>
        <v/>
      </c>
      <c r="X3816" s="16" t="str">
        <f aca="false">IF($D3816="","",W3816-N3816)</f>
        <v/>
      </c>
      <c r="AB3816" s="17" t="str">
        <f aca="false">IF($D3816="","",IF(OR($R3816=TRUE(),$R3816="TRUE"),Settings!$C$6,Settings!$C$7)*100)</f>
        <v/>
      </c>
      <c r="AH3816" s="18" t="str">
        <f aca="false">IF($D3816="","",IF(COUNTIF($D$2:$D3816,$D3816)=1,1,0))</f>
        <v/>
      </c>
      <c r="AI3816" s="18" t="str">
        <f aca="false">IF($AH3816=1,SUMPRODUCT(--($AK$2:$AK$4001&lt;$AK3816))+1,"")</f>
        <v/>
      </c>
      <c r="AJ3816" s="18" t="str">
        <f aca="false">IF($D3816="","",IF(OR($R3816=TRUE(),$R3816="TRUE"),1,0))</f>
        <v/>
      </c>
      <c r="AK3816" s="18" t="str">
        <f aca="false">IF($AH3816=1,IFERROR(VALUE(MID($D3816,2,20)),1000000000)+ROW()/10000000,"")</f>
        <v/>
      </c>
    </row>
    <row r="3817" customFormat="false" ht="15" hidden="false" customHeight="false" outlineLevel="0" collapsed="false">
      <c r="F3817" s="15"/>
      <c r="N3817" s="16" t="str">
        <f aca="false">IF($D3817="","",M3817*Y3817/100)</f>
        <v/>
      </c>
      <c r="V3817" s="16" t="str">
        <f aca="false">IF($D3817="","",Y3817*AB3817/100)</f>
        <v/>
      </c>
      <c r="W3817" s="16" t="str">
        <f aca="false">IF($D3817="","",Y3817-V3817)</f>
        <v/>
      </c>
      <c r="X3817" s="16" t="str">
        <f aca="false">IF($D3817="","",W3817-N3817)</f>
        <v/>
      </c>
      <c r="AB3817" s="17" t="str">
        <f aca="false">IF($D3817="","",IF(OR($R3817=TRUE(),$R3817="TRUE"),Settings!$C$6,Settings!$C$7)*100)</f>
        <v/>
      </c>
      <c r="AH3817" s="18" t="str">
        <f aca="false">IF($D3817="","",IF(COUNTIF($D$2:$D3817,$D3817)=1,1,0))</f>
        <v/>
      </c>
      <c r="AI3817" s="18" t="str">
        <f aca="false">IF($AH3817=1,SUMPRODUCT(--($AK$2:$AK$4001&lt;$AK3817))+1,"")</f>
        <v/>
      </c>
      <c r="AJ3817" s="18" t="str">
        <f aca="false">IF($D3817="","",IF(OR($R3817=TRUE(),$R3817="TRUE"),1,0))</f>
        <v/>
      </c>
      <c r="AK3817" s="18" t="str">
        <f aca="false">IF($AH3817=1,IFERROR(VALUE(MID($D3817,2,20)),1000000000)+ROW()/10000000,"")</f>
        <v/>
      </c>
    </row>
    <row r="3818" customFormat="false" ht="15" hidden="false" customHeight="false" outlineLevel="0" collapsed="false">
      <c r="F3818" s="15"/>
      <c r="N3818" s="16" t="str">
        <f aca="false">IF($D3818="","",M3818*Y3818/100)</f>
        <v/>
      </c>
      <c r="V3818" s="16" t="str">
        <f aca="false">IF($D3818="","",Y3818*AB3818/100)</f>
        <v/>
      </c>
      <c r="W3818" s="16" t="str">
        <f aca="false">IF($D3818="","",Y3818-V3818)</f>
        <v/>
      </c>
      <c r="X3818" s="16" t="str">
        <f aca="false">IF($D3818="","",W3818-N3818)</f>
        <v/>
      </c>
      <c r="AB3818" s="17" t="str">
        <f aca="false">IF($D3818="","",IF(OR($R3818=TRUE(),$R3818="TRUE"),Settings!$C$6,Settings!$C$7)*100)</f>
        <v/>
      </c>
      <c r="AH3818" s="18" t="str">
        <f aca="false">IF($D3818="","",IF(COUNTIF($D$2:$D3818,$D3818)=1,1,0))</f>
        <v/>
      </c>
      <c r="AI3818" s="18" t="str">
        <f aca="false">IF($AH3818=1,SUMPRODUCT(--($AK$2:$AK$4001&lt;$AK3818))+1,"")</f>
        <v/>
      </c>
      <c r="AJ3818" s="18" t="str">
        <f aca="false">IF($D3818="","",IF(OR($R3818=TRUE(),$R3818="TRUE"),1,0))</f>
        <v/>
      </c>
      <c r="AK3818" s="18" t="str">
        <f aca="false">IF($AH3818=1,IFERROR(VALUE(MID($D3818,2,20)),1000000000)+ROW()/10000000,"")</f>
        <v/>
      </c>
    </row>
    <row r="3819" customFormat="false" ht="15" hidden="false" customHeight="false" outlineLevel="0" collapsed="false">
      <c r="F3819" s="15"/>
      <c r="N3819" s="16" t="str">
        <f aca="false">IF($D3819="","",M3819*Y3819/100)</f>
        <v/>
      </c>
      <c r="V3819" s="16" t="str">
        <f aca="false">IF($D3819="","",Y3819*AB3819/100)</f>
        <v/>
      </c>
      <c r="W3819" s="16" t="str">
        <f aca="false">IF($D3819="","",Y3819-V3819)</f>
        <v/>
      </c>
      <c r="X3819" s="16" t="str">
        <f aca="false">IF($D3819="","",W3819-N3819)</f>
        <v/>
      </c>
      <c r="AB3819" s="17" t="str">
        <f aca="false">IF($D3819="","",IF(OR($R3819=TRUE(),$R3819="TRUE"),Settings!$C$6,Settings!$C$7)*100)</f>
        <v/>
      </c>
      <c r="AH3819" s="18" t="str">
        <f aca="false">IF($D3819="","",IF(COUNTIF($D$2:$D3819,$D3819)=1,1,0))</f>
        <v/>
      </c>
      <c r="AI3819" s="18" t="str">
        <f aca="false">IF($AH3819=1,SUMPRODUCT(--($AK$2:$AK$4001&lt;$AK3819))+1,"")</f>
        <v/>
      </c>
      <c r="AJ3819" s="18" t="str">
        <f aca="false">IF($D3819="","",IF(OR($R3819=TRUE(),$R3819="TRUE"),1,0))</f>
        <v/>
      </c>
      <c r="AK3819" s="18" t="str">
        <f aca="false">IF($AH3819=1,IFERROR(VALUE(MID($D3819,2,20)),1000000000)+ROW()/10000000,"")</f>
        <v/>
      </c>
    </row>
    <row r="3820" customFormat="false" ht="15" hidden="false" customHeight="false" outlineLevel="0" collapsed="false">
      <c r="F3820" s="15"/>
      <c r="N3820" s="16" t="str">
        <f aca="false">IF($D3820="","",M3820*Y3820/100)</f>
        <v/>
      </c>
      <c r="V3820" s="16" t="str">
        <f aca="false">IF($D3820="","",Y3820*AB3820/100)</f>
        <v/>
      </c>
      <c r="W3820" s="16" t="str">
        <f aca="false">IF($D3820="","",Y3820-V3820)</f>
        <v/>
      </c>
      <c r="X3820" s="16" t="str">
        <f aca="false">IF($D3820="","",W3820-N3820)</f>
        <v/>
      </c>
      <c r="AB3820" s="17" t="str">
        <f aca="false">IF($D3820="","",IF(OR($R3820=TRUE(),$R3820="TRUE"),Settings!$C$6,Settings!$C$7)*100)</f>
        <v/>
      </c>
      <c r="AH3820" s="18" t="str">
        <f aca="false">IF($D3820="","",IF(COUNTIF($D$2:$D3820,$D3820)=1,1,0))</f>
        <v/>
      </c>
      <c r="AI3820" s="18" t="str">
        <f aca="false">IF($AH3820=1,SUMPRODUCT(--($AK$2:$AK$4001&lt;$AK3820))+1,"")</f>
        <v/>
      </c>
      <c r="AJ3820" s="18" t="str">
        <f aca="false">IF($D3820="","",IF(OR($R3820=TRUE(),$R3820="TRUE"),1,0))</f>
        <v/>
      </c>
      <c r="AK3820" s="18" t="str">
        <f aca="false">IF($AH3820=1,IFERROR(VALUE(MID($D3820,2,20)),1000000000)+ROW()/10000000,"")</f>
        <v/>
      </c>
    </row>
    <row r="3821" customFormat="false" ht="15" hidden="false" customHeight="false" outlineLevel="0" collapsed="false">
      <c r="F3821" s="15"/>
      <c r="N3821" s="16" t="str">
        <f aca="false">IF($D3821="","",M3821*Y3821/100)</f>
        <v/>
      </c>
      <c r="V3821" s="16" t="str">
        <f aca="false">IF($D3821="","",Y3821*AB3821/100)</f>
        <v/>
      </c>
      <c r="W3821" s="16" t="str">
        <f aca="false">IF($D3821="","",Y3821-V3821)</f>
        <v/>
      </c>
      <c r="X3821" s="16" t="str">
        <f aca="false">IF($D3821="","",W3821-N3821)</f>
        <v/>
      </c>
      <c r="AB3821" s="17" t="str">
        <f aca="false">IF($D3821="","",IF(OR($R3821=TRUE(),$R3821="TRUE"),Settings!$C$6,Settings!$C$7)*100)</f>
        <v/>
      </c>
      <c r="AH3821" s="18" t="str">
        <f aca="false">IF($D3821="","",IF(COUNTIF($D$2:$D3821,$D3821)=1,1,0))</f>
        <v/>
      </c>
      <c r="AI3821" s="18" t="str">
        <f aca="false">IF($AH3821=1,SUMPRODUCT(--($AK$2:$AK$4001&lt;$AK3821))+1,"")</f>
        <v/>
      </c>
      <c r="AJ3821" s="18" t="str">
        <f aca="false">IF($D3821="","",IF(OR($R3821=TRUE(),$R3821="TRUE"),1,0))</f>
        <v/>
      </c>
      <c r="AK3821" s="18" t="str">
        <f aca="false">IF($AH3821=1,IFERROR(VALUE(MID($D3821,2,20)),1000000000)+ROW()/10000000,"")</f>
        <v/>
      </c>
    </row>
    <row r="3822" customFormat="false" ht="15" hidden="false" customHeight="false" outlineLevel="0" collapsed="false">
      <c r="F3822" s="15"/>
      <c r="N3822" s="16" t="str">
        <f aca="false">IF($D3822="","",M3822*Y3822/100)</f>
        <v/>
      </c>
      <c r="V3822" s="16" t="str">
        <f aca="false">IF($D3822="","",Y3822*AB3822/100)</f>
        <v/>
      </c>
      <c r="W3822" s="16" t="str">
        <f aca="false">IF($D3822="","",Y3822-V3822)</f>
        <v/>
      </c>
      <c r="X3822" s="16" t="str">
        <f aca="false">IF($D3822="","",W3822-N3822)</f>
        <v/>
      </c>
      <c r="AB3822" s="17" t="str">
        <f aca="false">IF($D3822="","",IF(OR($R3822=TRUE(),$R3822="TRUE"),Settings!$C$6,Settings!$C$7)*100)</f>
        <v/>
      </c>
      <c r="AH3822" s="18" t="str">
        <f aca="false">IF($D3822="","",IF(COUNTIF($D$2:$D3822,$D3822)=1,1,0))</f>
        <v/>
      </c>
      <c r="AI3822" s="18" t="str">
        <f aca="false">IF($AH3822=1,SUMPRODUCT(--($AK$2:$AK$4001&lt;$AK3822))+1,"")</f>
        <v/>
      </c>
      <c r="AJ3822" s="18" t="str">
        <f aca="false">IF($D3822="","",IF(OR($R3822=TRUE(),$R3822="TRUE"),1,0))</f>
        <v/>
      </c>
      <c r="AK3822" s="18" t="str">
        <f aca="false">IF($AH3822=1,IFERROR(VALUE(MID($D3822,2,20)),1000000000)+ROW()/10000000,"")</f>
        <v/>
      </c>
    </row>
    <row r="3823" customFormat="false" ht="15" hidden="false" customHeight="false" outlineLevel="0" collapsed="false">
      <c r="F3823" s="15"/>
      <c r="N3823" s="16" t="str">
        <f aca="false">IF($D3823="","",M3823*Y3823/100)</f>
        <v/>
      </c>
      <c r="V3823" s="16" t="str">
        <f aca="false">IF($D3823="","",Y3823*AB3823/100)</f>
        <v/>
      </c>
      <c r="W3823" s="16" t="str">
        <f aca="false">IF($D3823="","",Y3823-V3823)</f>
        <v/>
      </c>
      <c r="X3823" s="16" t="str">
        <f aca="false">IF($D3823="","",W3823-N3823)</f>
        <v/>
      </c>
      <c r="AB3823" s="17" t="str">
        <f aca="false">IF($D3823="","",IF(OR($R3823=TRUE(),$R3823="TRUE"),Settings!$C$6,Settings!$C$7)*100)</f>
        <v/>
      </c>
      <c r="AH3823" s="18" t="str">
        <f aca="false">IF($D3823="","",IF(COUNTIF($D$2:$D3823,$D3823)=1,1,0))</f>
        <v/>
      </c>
      <c r="AI3823" s="18" t="str">
        <f aca="false">IF($AH3823=1,SUMPRODUCT(--($AK$2:$AK$4001&lt;$AK3823))+1,"")</f>
        <v/>
      </c>
      <c r="AJ3823" s="18" t="str">
        <f aca="false">IF($D3823="","",IF(OR($R3823=TRUE(),$R3823="TRUE"),1,0))</f>
        <v/>
      </c>
      <c r="AK3823" s="18" t="str">
        <f aca="false">IF($AH3823=1,IFERROR(VALUE(MID($D3823,2,20)),1000000000)+ROW()/10000000,"")</f>
        <v/>
      </c>
    </row>
    <row r="3824" customFormat="false" ht="15" hidden="false" customHeight="false" outlineLevel="0" collapsed="false">
      <c r="F3824" s="15"/>
      <c r="N3824" s="16" t="str">
        <f aca="false">IF($D3824="","",M3824*Y3824/100)</f>
        <v/>
      </c>
      <c r="V3824" s="16" t="str">
        <f aca="false">IF($D3824="","",Y3824*AB3824/100)</f>
        <v/>
      </c>
      <c r="W3824" s="16" t="str">
        <f aca="false">IF($D3824="","",Y3824-V3824)</f>
        <v/>
      </c>
      <c r="X3824" s="16" t="str">
        <f aca="false">IF($D3824="","",W3824-N3824)</f>
        <v/>
      </c>
      <c r="AB3824" s="17" t="str">
        <f aca="false">IF($D3824="","",IF(OR($R3824=TRUE(),$R3824="TRUE"),Settings!$C$6,Settings!$C$7)*100)</f>
        <v/>
      </c>
      <c r="AH3824" s="18" t="str">
        <f aca="false">IF($D3824="","",IF(COUNTIF($D$2:$D3824,$D3824)=1,1,0))</f>
        <v/>
      </c>
      <c r="AI3824" s="18" t="str">
        <f aca="false">IF($AH3824=1,SUMPRODUCT(--($AK$2:$AK$4001&lt;$AK3824))+1,"")</f>
        <v/>
      </c>
      <c r="AJ3824" s="18" t="str">
        <f aca="false">IF($D3824="","",IF(OR($R3824=TRUE(),$R3824="TRUE"),1,0))</f>
        <v/>
      </c>
      <c r="AK3824" s="18" t="str">
        <f aca="false">IF($AH3824=1,IFERROR(VALUE(MID($D3824,2,20)),1000000000)+ROW()/10000000,"")</f>
        <v/>
      </c>
    </row>
    <row r="3825" customFormat="false" ht="15" hidden="false" customHeight="false" outlineLevel="0" collapsed="false">
      <c r="F3825" s="15"/>
      <c r="N3825" s="16" t="str">
        <f aca="false">IF($D3825="","",M3825*Y3825/100)</f>
        <v/>
      </c>
      <c r="V3825" s="16" t="str">
        <f aca="false">IF($D3825="","",Y3825*AB3825/100)</f>
        <v/>
      </c>
      <c r="W3825" s="16" t="str">
        <f aca="false">IF($D3825="","",Y3825-V3825)</f>
        <v/>
      </c>
      <c r="X3825" s="16" t="str">
        <f aca="false">IF($D3825="","",W3825-N3825)</f>
        <v/>
      </c>
      <c r="AB3825" s="17" t="str">
        <f aca="false">IF($D3825="","",IF(OR($R3825=TRUE(),$R3825="TRUE"),Settings!$C$6,Settings!$C$7)*100)</f>
        <v/>
      </c>
      <c r="AH3825" s="18" t="str">
        <f aca="false">IF($D3825="","",IF(COUNTIF($D$2:$D3825,$D3825)=1,1,0))</f>
        <v/>
      </c>
      <c r="AI3825" s="18" t="str">
        <f aca="false">IF($AH3825=1,SUMPRODUCT(--($AK$2:$AK$4001&lt;$AK3825))+1,"")</f>
        <v/>
      </c>
      <c r="AJ3825" s="18" t="str">
        <f aca="false">IF($D3825="","",IF(OR($R3825=TRUE(),$R3825="TRUE"),1,0))</f>
        <v/>
      </c>
      <c r="AK3825" s="18" t="str">
        <f aca="false">IF($AH3825=1,IFERROR(VALUE(MID($D3825,2,20)),1000000000)+ROW()/10000000,"")</f>
        <v/>
      </c>
    </row>
    <row r="3826" customFormat="false" ht="15" hidden="false" customHeight="false" outlineLevel="0" collapsed="false">
      <c r="F3826" s="15"/>
      <c r="N3826" s="16" t="str">
        <f aca="false">IF($D3826="","",M3826*Y3826/100)</f>
        <v/>
      </c>
      <c r="V3826" s="16" t="str">
        <f aca="false">IF($D3826="","",Y3826*AB3826/100)</f>
        <v/>
      </c>
      <c r="W3826" s="16" t="str">
        <f aca="false">IF($D3826="","",Y3826-V3826)</f>
        <v/>
      </c>
      <c r="X3826" s="16" t="str">
        <f aca="false">IF($D3826="","",W3826-N3826)</f>
        <v/>
      </c>
      <c r="AB3826" s="17" t="str">
        <f aca="false">IF($D3826="","",IF(OR($R3826=TRUE(),$R3826="TRUE"),Settings!$C$6,Settings!$C$7)*100)</f>
        <v/>
      </c>
      <c r="AH3826" s="18" t="str">
        <f aca="false">IF($D3826="","",IF(COUNTIF($D$2:$D3826,$D3826)=1,1,0))</f>
        <v/>
      </c>
      <c r="AI3826" s="18" t="str">
        <f aca="false">IF($AH3826=1,SUMPRODUCT(--($AK$2:$AK$4001&lt;$AK3826))+1,"")</f>
        <v/>
      </c>
      <c r="AJ3826" s="18" t="str">
        <f aca="false">IF($D3826="","",IF(OR($R3826=TRUE(),$R3826="TRUE"),1,0))</f>
        <v/>
      </c>
      <c r="AK3826" s="18" t="str">
        <f aca="false">IF($AH3826=1,IFERROR(VALUE(MID($D3826,2,20)),1000000000)+ROW()/10000000,"")</f>
        <v/>
      </c>
    </row>
    <row r="3827" customFormat="false" ht="15" hidden="false" customHeight="false" outlineLevel="0" collapsed="false">
      <c r="F3827" s="15"/>
      <c r="N3827" s="16" t="str">
        <f aca="false">IF($D3827="","",M3827*Y3827/100)</f>
        <v/>
      </c>
      <c r="V3827" s="16" t="str">
        <f aca="false">IF($D3827="","",Y3827*AB3827/100)</f>
        <v/>
      </c>
      <c r="W3827" s="16" t="str">
        <f aca="false">IF($D3827="","",Y3827-V3827)</f>
        <v/>
      </c>
      <c r="X3827" s="16" t="str">
        <f aca="false">IF($D3827="","",W3827-N3827)</f>
        <v/>
      </c>
      <c r="AB3827" s="17" t="str">
        <f aca="false">IF($D3827="","",IF(OR($R3827=TRUE(),$R3827="TRUE"),Settings!$C$6,Settings!$C$7)*100)</f>
        <v/>
      </c>
      <c r="AH3827" s="18" t="str">
        <f aca="false">IF($D3827="","",IF(COUNTIF($D$2:$D3827,$D3827)=1,1,0))</f>
        <v/>
      </c>
      <c r="AI3827" s="18" t="str">
        <f aca="false">IF($AH3827=1,SUMPRODUCT(--($AK$2:$AK$4001&lt;$AK3827))+1,"")</f>
        <v/>
      </c>
      <c r="AJ3827" s="18" t="str">
        <f aca="false">IF($D3827="","",IF(OR($R3827=TRUE(),$R3827="TRUE"),1,0))</f>
        <v/>
      </c>
      <c r="AK3827" s="18" t="str">
        <f aca="false">IF($AH3827=1,IFERROR(VALUE(MID($D3827,2,20)),1000000000)+ROW()/10000000,"")</f>
        <v/>
      </c>
    </row>
    <row r="3828" customFormat="false" ht="15" hidden="false" customHeight="false" outlineLevel="0" collapsed="false">
      <c r="F3828" s="15"/>
      <c r="N3828" s="16" t="str">
        <f aca="false">IF($D3828="","",M3828*Y3828/100)</f>
        <v/>
      </c>
      <c r="V3828" s="16" t="str">
        <f aca="false">IF($D3828="","",Y3828*AB3828/100)</f>
        <v/>
      </c>
      <c r="W3828" s="16" t="str">
        <f aca="false">IF($D3828="","",Y3828-V3828)</f>
        <v/>
      </c>
      <c r="X3828" s="16" t="str">
        <f aca="false">IF($D3828="","",W3828-N3828)</f>
        <v/>
      </c>
      <c r="AB3828" s="17" t="str">
        <f aca="false">IF($D3828="","",IF(OR($R3828=TRUE(),$R3828="TRUE"),Settings!$C$6,Settings!$C$7)*100)</f>
        <v/>
      </c>
      <c r="AH3828" s="18" t="str">
        <f aca="false">IF($D3828="","",IF(COUNTIF($D$2:$D3828,$D3828)=1,1,0))</f>
        <v/>
      </c>
      <c r="AI3828" s="18" t="str">
        <f aca="false">IF($AH3828=1,SUMPRODUCT(--($AK$2:$AK$4001&lt;$AK3828))+1,"")</f>
        <v/>
      </c>
      <c r="AJ3828" s="18" t="str">
        <f aca="false">IF($D3828="","",IF(OR($R3828=TRUE(),$R3828="TRUE"),1,0))</f>
        <v/>
      </c>
      <c r="AK3828" s="18" t="str">
        <f aca="false">IF($AH3828=1,IFERROR(VALUE(MID($D3828,2,20)),1000000000)+ROW()/10000000,"")</f>
        <v/>
      </c>
    </row>
    <row r="3829" customFormat="false" ht="15" hidden="false" customHeight="false" outlineLevel="0" collapsed="false">
      <c r="F3829" s="15"/>
      <c r="N3829" s="16" t="str">
        <f aca="false">IF($D3829="","",M3829*Y3829/100)</f>
        <v/>
      </c>
      <c r="V3829" s="16" t="str">
        <f aca="false">IF($D3829="","",Y3829*AB3829/100)</f>
        <v/>
      </c>
      <c r="W3829" s="16" t="str">
        <f aca="false">IF($D3829="","",Y3829-V3829)</f>
        <v/>
      </c>
      <c r="X3829" s="16" t="str">
        <f aca="false">IF($D3829="","",W3829-N3829)</f>
        <v/>
      </c>
      <c r="AB3829" s="17" t="str">
        <f aca="false">IF($D3829="","",IF(OR($R3829=TRUE(),$R3829="TRUE"),Settings!$C$6,Settings!$C$7)*100)</f>
        <v/>
      </c>
      <c r="AH3829" s="18" t="str">
        <f aca="false">IF($D3829="","",IF(COUNTIF($D$2:$D3829,$D3829)=1,1,0))</f>
        <v/>
      </c>
      <c r="AI3829" s="18" t="str">
        <f aca="false">IF($AH3829=1,SUMPRODUCT(--($AK$2:$AK$4001&lt;$AK3829))+1,"")</f>
        <v/>
      </c>
      <c r="AJ3829" s="18" t="str">
        <f aca="false">IF($D3829="","",IF(OR($R3829=TRUE(),$R3829="TRUE"),1,0))</f>
        <v/>
      </c>
      <c r="AK3829" s="18" t="str">
        <f aca="false">IF($AH3829=1,IFERROR(VALUE(MID($D3829,2,20)),1000000000)+ROW()/10000000,"")</f>
        <v/>
      </c>
    </row>
    <row r="3830" customFormat="false" ht="15" hidden="false" customHeight="false" outlineLevel="0" collapsed="false">
      <c r="F3830" s="15"/>
      <c r="N3830" s="16" t="str">
        <f aca="false">IF($D3830="","",M3830*Y3830/100)</f>
        <v/>
      </c>
      <c r="V3830" s="16" t="str">
        <f aca="false">IF($D3830="","",Y3830*AB3830/100)</f>
        <v/>
      </c>
      <c r="W3830" s="16" t="str">
        <f aca="false">IF($D3830="","",Y3830-V3830)</f>
        <v/>
      </c>
      <c r="X3830" s="16" t="str">
        <f aca="false">IF($D3830="","",W3830-N3830)</f>
        <v/>
      </c>
      <c r="AB3830" s="17" t="str">
        <f aca="false">IF($D3830="","",IF(OR($R3830=TRUE(),$R3830="TRUE"),Settings!$C$6,Settings!$C$7)*100)</f>
        <v/>
      </c>
      <c r="AH3830" s="18" t="str">
        <f aca="false">IF($D3830="","",IF(COUNTIF($D$2:$D3830,$D3830)=1,1,0))</f>
        <v/>
      </c>
      <c r="AI3830" s="18" t="str">
        <f aca="false">IF($AH3830=1,SUMPRODUCT(--($AK$2:$AK$4001&lt;$AK3830))+1,"")</f>
        <v/>
      </c>
      <c r="AJ3830" s="18" t="str">
        <f aca="false">IF($D3830="","",IF(OR($R3830=TRUE(),$R3830="TRUE"),1,0))</f>
        <v/>
      </c>
      <c r="AK3830" s="18" t="str">
        <f aca="false">IF($AH3830=1,IFERROR(VALUE(MID($D3830,2,20)),1000000000)+ROW()/10000000,"")</f>
        <v/>
      </c>
    </row>
    <row r="3831" customFormat="false" ht="15" hidden="false" customHeight="false" outlineLevel="0" collapsed="false">
      <c r="F3831" s="15"/>
      <c r="N3831" s="16" t="str">
        <f aca="false">IF($D3831="","",M3831*Y3831/100)</f>
        <v/>
      </c>
      <c r="V3831" s="16" t="str">
        <f aca="false">IF($D3831="","",Y3831*AB3831/100)</f>
        <v/>
      </c>
      <c r="W3831" s="16" t="str">
        <f aca="false">IF($D3831="","",Y3831-V3831)</f>
        <v/>
      </c>
      <c r="X3831" s="16" t="str">
        <f aca="false">IF($D3831="","",W3831-N3831)</f>
        <v/>
      </c>
      <c r="AB3831" s="17" t="str">
        <f aca="false">IF($D3831="","",IF(OR($R3831=TRUE(),$R3831="TRUE"),Settings!$C$6,Settings!$C$7)*100)</f>
        <v/>
      </c>
      <c r="AH3831" s="18" t="str">
        <f aca="false">IF($D3831="","",IF(COUNTIF($D$2:$D3831,$D3831)=1,1,0))</f>
        <v/>
      </c>
      <c r="AI3831" s="18" t="str">
        <f aca="false">IF($AH3831=1,SUMPRODUCT(--($AK$2:$AK$4001&lt;$AK3831))+1,"")</f>
        <v/>
      </c>
      <c r="AJ3831" s="18" t="str">
        <f aca="false">IF($D3831="","",IF(OR($R3831=TRUE(),$R3831="TRUE"),1,0))</f>
        <v/>
      </c>
      <c r="AK3831" s="18" t="str">
        <f aca="false">IF($AH3831=1,IFERROR(VALUE(MID($D3831,2,20)),1000000000)+ROW()/10000000,"")</f>
        <v/>
      </c>
    </row>
    <row r="3832" customFormat="false" ht="15" hidden="false" customHeight="false" outlineLevel="0" collapsed="false">
      <c r="F3832" s="15"/>
      <c r="N3832" s="16" t="str">
        <f aca="false">IF($D3832="","",M3832*Y3832/100)</f>
        <v/>
      </c>
      <c r="V3832" s="16" t="str">
        <f aca="false">IF($D3832="","",Y3832*AB3832/100)</f>
        <v/>
      </c>
      <c r="W3832" s="16" t="str">
        <f aca="false">IF($D3832="","",Y3832-V3832)</f>
        <v/>
      </c>
      <c r="X3832" s="16" t="str">
        <f aca="false">IF($D3832="","",W3832-N3832)</f>
        <v/>
      </c>
      <c r="AB3832" s="17" t="str">
        <f aca="false">IF($D3832="","",IF(OR($R3832=TRUE(),$R3832="TRUE"),Settings!$C$6,Settings!$C$7)*100)</f>
        <v/>
      </c>
      <c r="AH3832" s="18" t="str">
        <f aca="false">IF($D3832="","",IF(COUNTIF($D$2:$D3832,$D3832)=1,1,0))</f>
        <v/>
      </c>
      <c r="AI3832" s="18" t="str">
        <f aca="false">IF($AH3832=1,SUMPRODUCT(--($AK$2:$AK$4001&lt;$AK3832))+1,"")</f>
        <v/>
      </c>
      <c r="AJ3832" s="18" t="str">
        <f aca="false">IF($D3832="","",IF(OR($R3832=TRUE(),$R3832="TRUE"),1,0))</f>
        <v/>
      </c>
      <c r="AK3832" s="18" t="str">
        <f aca="false">IF($AH3832=1,IFERROR(VALUE(MID($D3832,2,20)),1000000000)+ROW()/10000000,"")</f>
        <v/>
      </c>
    </row>
    <row r="3833" customFormat="false" ht="15" hidden="false" customHeight="false" outlineLevel="0" collapsed="false">
      <c r="F3833" s="15"/>
      <c r="N3833" s="16" t="str">
        <f aca="false">IF($D3833="","",M3833*Y3833/100)</f>
        <v/>
      </c>
      <c r="V3833" s="16" t="str">
        <f aca="false">IF($D3833="","",Y3833*AB3833/100)</f>
        <v/>
      </c>
      <c r="W3833" s="16" t="str">
        <f aca="false">IF($D3833="","",Y3833-V3833)</f>
        <v/>
      </c>
      <c r="X3833" s="16" t="str">
        <f aca="false">IF($D3833="","",W3833-N3833)</f>
        <v/>
      </c>
      <c r="AB3833" s="17" t="str">
        <f aca="false">IF($D3833="","",IF(OR($R3833=TRUE(),$R3833="TRUE"),Settings!$C$6,Settings!$C$7)*100)</f>
        <v/>
      </c>
      <c r="AH3833" s="18" t="str">
        <f aca="false">IF($D3833="","",IF(COUNTIF($D$2:$D3833,$D3833)=1,1,0))</f>
        <v/>
      </c>
      <c r="AI3833" s="18" t="str">
        <f aca="false">IF($AH3833=1,SUMPRODUCT(--($AK$2:$AK$4001&lt;$AK3833))+1,"")</f>
        <v/>
      </c>
      <c r="AJ3833" s="18" t="str">
        <f aca="false">IF($D3833="","",IF(OR($R3833=TRUE(),$R3833="TRUE"),1,0))</f>
        <v/>
      </c>
      <c r="AK3833" s="18" t="str">
        <f aca="false">IF($AH3833=1,IFERROR(VALUE(MID($D3833,2,20)),1000000000)+ROW()/10000000,"")</f>
        <v/>
      </c>
    </row>
    <row r="3834" customFormat="false" ht="15" hidden="false" customHeight="false" outlineLevel="0" collapsed="false">
      <c r="F3834" s="15"/>
      <c r="N3834" s="16" t="str">
        <f aca="false">IF($D3834="","",M3834*Y3834/100)</f>
        <v/>
      </c>
      <c r="V3834" s="16" t="str">
        <f aca="false">IF($D3834="","",Y3834*AB3834/100)</f>
        <v/>
      </c>
      <c r="W3834" s="16" t="str">
        <f aca="false">IF($D3834="","",Y3834-V3834)</f>
        <v/>
      </c>
      <c r="X3834" s="16" t="str">
        <f aca="false">IF($D3834="","",W3834-N3834)</f>
        <v/>
      </c>
      <c r="AB3834" s="17" t="str">
        <f aca="false">IF($D3834="","",IF(OR($R3834=TRUE(),$R3834="TRUE"),Settings!$C$6,Settings!$C$7)*100)</f>
        <v/>
      </c>
      <c r="AH3834" s="18" t="str">
        <f aca="false">IF($D3834="","",IF(COUNTIF($D$2:$D3834,$D3834)=1,1,0))</f>
        <v/>
      </c>
      <c r="AI3834" s="18" t="str">
        <f aca="false">IF($AH3834=1,SUMPRODUCT(--($AK$2:$AK$4001&lt;$AK3834))+1,"")</f>
        <v/>
      </c>
      <c r="AJ3834" s="18" t="str">
        <f aca="false">IF($D3834="","",IF(OR($R3834=TRUE(),$R3834="TRUE"),1,0))</f>
        <v/>
      </c>
      <c r="AK3834" s="18" t="str">
        <f aca="false">IF($AH3834=1,IFERROR(VALUE(MID($D3834,2,20)),1000000000)+ROW()/10000000,"")</f>
        <v/>
      </c>
    </row>
    <row r="3835" customFormat="false" ht="15" hidden="false" customHeight="false" outlineLevel="0" collapsed="false">
      <c r="F3835" s="15"/>
      <c r="N3835" s="16" t="str">
        <f aca="false">IF($D3835="","",M3835*Y3835/100)</f>
        <v/>
      </c>
      <c r="V3835" s="16" t="str">
        <f aca="false">IF($D3835="","",Y3835*AB3835/100)</f>
        <v/>
      </c>
      <c r="W3835" s="16" t="str">
        <f aca="false">IF($D3835="","",Y3835-V3835)</f>
        <v/>
      </c>
      <c r="X3835" s="16" t="str">
        <f aca="false">IF($D3835="","",W3835-N3835)</f>
        <v/>
      </c>
      <c r="AB3835" s="17" t="str">
        <f aca="false">IF($D3835="","",IF(OR($R3835=TRUE(),$R3835="TRUE"),Settings!$C$6,Settings!$C$7)*100)</f>
        <v/>
      </c>
      <c r="AH3835" s="18" t="str">
        <f aca="false">IF($D3835="","",IF(COUNTIF($D$2:$D3835,$D3835)=1,1,0))</f>
        <v/>
      </c>
      <c r="AI3835" s="18" t="str">
        <f aca="false">IF($AH3835=1,SUMPRODUCT(--($AK$2:$AK$4001&lt;$AK3835))+1,"")</f>
        <v/>
      </c>
      <c r="AJ3835" s="18" t="str">
        <f aca="false">IF($D3835="","",IF(OR($R3835=TRUE(),$R3835="TRUE"),1,0))</f>
        <v/>
      </c>
      <c r="AK3835" s="18" t="str">
        <f aca="false">IF($AH3835=1,IFERROR(VALUE(MID($D3835,2,20)),1000000000)+ROW()/10000000,"")</f>
        <v/>
      </c>
    </row>
    <row r="3836" customFormat="false" ht="15" hidden="false" customHeight="false" outlineLevel="0" collapsed="false">
      <c r="F3836" s="15"/>
      <c r="N3836" s="16" t="str">
        <f aca="false">IF($D3836="","",M3836*Y3836/100)</f>
        <v/>
      </c>
      <c r="V3836" s="16" t="str">
        <f aca="false">IF($D3836="","",Y3836*AB3836/100)</f>
        <v/>
      </c>
      <c r="W3836" s="16" t="str">
        <f aca="false">IF($D3836="","",Y3836-V3836)</f>
        <v/>
      </c>
      <c r="X3836" s="16" t="str">
        <f aca="false">IF($D3836="","",W3836-N3836)</f>
        <v/>
      </c>
      <c r="AB3836" s="17" t="str">
        <f aca="false">IF($D3836="","",IF(OR($R3836=TRUE(),$R3836="TRUE"),Settings!$C$6,Settings!$C$7)*100)</f>
        <v/>
      </c>
      <c r="AH3836" s="18" t="str">
        <f aca="false">IF($D3836="","",IF(COUNTIF($D$2:$D3836,$D3836)=1,1,0))</f>
        <v/>
      </c>
      <c r="AI3836" s="18" t="str">
        <f aca="false">IF($AH3836=1,SUMPRODUCT(--($AK$2:$AK$4001&lt;$AK3836))+1,"")</f>
        <v/>
      </c>
      <c r="AJ3836" s="18" t="str">
        <f aca="false">IF($D3836="","",IF(OR($R3836=TRUE(),$R3836="TRUE"),1,0))</f>
        <v/>
      </c>
      <c r="AK3836" s="18" t="str">
        <f aca="false">IF($AH3836=1,IFERROR(VALUE(MID($D3836,2,20)),1000000000)+ROW()/10000000,"")</f>
        <v/>
      </c>
    </row>
    <row r="3837" customFormat="false" ht="15" hidden="false" customHeight="false" outlineLevel="0" collapsed="false">
      <c r="F3837" s="15"/>
      <c r="N3837" s="16" t="str">
        <f aca="false">IF($D3837="","",M3837*Y3837/100)</f>
        <v/>
      </c>
      <c r="V3837" s="16" t="str">
        <f aca="false">IF($D3837="","",Y3837*AB3837/100)</f>
        <v/>
      </c>
      <c r="W3837" s="16" t="str">
        <f aca="false">IF($D3837="","",Y3837-V3837)</f>
        <v/>
      </c>
      <c r="X3837" s="16" t="str">
        <f aca="false">IF($D3837="","",W3837-N3837)</f>
        <v/>
      </c>
      <c r="AB3837" s="17" t="str">
        <f aca="false">IF($D3837="","",IF(OR($R3837=TRUE(),$R3837="TRUE"),Settings!$C$6,Settings!$C$7)*100)</f>
        <v/>
      </c>
      <c r="AH3837" s="18" t="str">
        <f aca="false">IF($D3837="","",IF(COUNTIF($D$2:$D3837,$D3837)=1,1,0))</f>
        <v/>
      </c>
      <c r="AI3837" s="18" t="str">
        <f aca="false">IF($AH3837=1,SUMPRODUCT(--($AK$2:$AK$4001&lt;$AK3837))+1,"")</f>
        <v/>
      </c>
      <c r="AJ3837" s="18" t="str">
        <f aca="false">IF($D3837="","",IF(OR($R3837=TRUE(),$R3837="TRUE"),1,0))</f>
        <v/>
      </c>
      <c r="AK3837" s="18" t="str">
        <f aca="false">IF($AH3837=1,IFERROR(VALUE(MID($D3837,2,20)),1000000000)+ROW()/10000000,"")</f>
        <v/>
      </c>
    </row>
    <row r="3838" customFormat="false" ht="15" hidden="false" customHeight="false" outlineLevel="0" collapsed="false">
      <c r="F3838" s="15"/>
      <c r="N3838" s="16" t="str">
        <f aca="false">IF($D3838="","",M3838*Y3838/100)</f>
        <v/>
      </c>
      <c r="V3838" s="16" t="str">
        <f aca="false">IF($D3838="","",Y3838*AB3838/100)</f>
        <v/>
      </c>
      <c r="W3838" s="16" t="str">
        <f aca="false">IF($D3838="","",Y3838-V3838)</f>
        <v/>
      </c>
      <c r="X3838" s="16" t="str">
        <f aca="false">IF($D3838="","",W3838-N3838)</f>
        <v/>
      </c>
      <c r="AB3838" s="17" t="str">
        <f aca="false">IF($D3838="","",IF(OR($R3838=TRUE(),$R3838="TRUE"),Settings!$C$6,Settings!$C$7)*100)</f>
        <v/>
      </c>
      <c r="AH3838" s="18" t="str">
        <f aca="false">IF($D3838="","",IF(COUNTIF($D$2:$D3838,$D3838)=1,1,0))</f>
        <v/>
      </c>
      <c r="AI3838" s="18" t="str">
        <f aca="false">IF($AH3838=1,SUMPRODUCT(--($AK$2:$AK$4001&lt;$AK3838))+1,"")</f>
        <v/>
      </c>
      <c r="AJ3838" s="18" t="str">
        <f aca="false">IF($D3838="","",IF(OR($R3838=TRUE(),$R3838="TRUE"),1,0))</f>
        <v/>
      </c>
      <c r="AK3838" s="18" t="str">
        <f aca="false">IF($AH3838=1,IFERROR(VALUE(MID($D3838,2,20)),1000000000)+ROW()/10000000,"")</f>
        <v/>
      </c>
    </row>
    <row r="3839" customFormat="false" ht="15" hidden="false" customHeight="false" outlineLevel="0" collapsed="false">
      <c r="F3839" s="15"/>
      <c r="N3839" s="16" t="str">
        <f aca="false">IF($D3839="","",M3839*Y3839/100)</f>
        <v/>
      </c>
      <c r="V3839" s="16" t="str">
        <f aca="false">IF($D3839="","",Y3839*AB3839/100)</f>
        <v/>
      </c>
      <c r="W3839" s="16" t="str">
        <f aca="false">IF($D3839="","",Y3839-V3839)</f>
        <v/>
      </c>
      <c r="X3839" s="16" t="str">
        <f aca="false">IF($D3839="","",W3839-N3839)</f>
        <v/>
      </c>
      <c r="AB3839" s="17" t="str">
        <f aca="false">IF($D3839="","",IF(OR($R3839=TRUE(),$R3839="TRUE"),Settings!$C$6,Settings!$C$7)*100)</f>
        <v/>
      </c>
      <c r="AH3839" s="18" t="str">
        <f aca="false">IF($D3839="","",IF(COUNTIF($D$2:$D3839,$D3839)=1,1,0))</f>
        <v/>
      </c>
      <c r="AI3839" s="18" t="str">
        <f aca="false">IF($AH3839=1,SUMPRODUCT(--($AK$2:$AK$4001&lt;$AK3839))+1,"")</f>
        <v/>
      </c>
      <c r="AJ3839" s="18" t="str">
        <f aca="false">IF($D3839="","",IF(OR($R3839=TRUE(),$R3839="TRUE"),1,0))</f>
        <v/>
      </c>
      <c r="AK3839" s="18" t="str">
        <f aca="false">IF($AH3839=1,IFERROR(VALUE(MID($D3839,2,20)),1000000000)+ROW()/10000000,"")</f>
        <v/>
      </c>
    </row>
    <row r="3840" customFormat="false" ht="15" hidden="false" customHeight="false" outlineLevel="0" collapsed="false">
      <c r="F3840" s="15"/>
      <c r="N3840" s="16" t="str">
        <f aca="false">IF($D3840="","",M3840*Y3840/100)</f>
        <v/>
      </c>
      <c r="V3840" s="16" t="str">
        <f aca="false">IF($D3840="","",Y3840*AB3840/100)</f>
        <v/>
      </c>
      <c r="W3840" s="16" t="str">
        <f aca="false">IF($D3840="","",Y3840-V3840)</f>
        <v/>
      </c>
      <c r="X3840" s="16" t="str">
        <f aca="false">IF($D3840="","",W3840-N3840)</f>
        <v/>
      </c>
      <c r="AB3840" s="17" t="str">
        <f aca="false">IF($D3840="","",IF(OR($R3840=TRUE(),$R3840="TRUE"),Settings!$C$6,Settings!$C$7)*100)</f>
        <v/>
      </c>
      <c r="AH3840" s="18" t="str">
        <f aca="false">IF($D3840="","",IF(COUNTIF($D$2:$D3840,$D3840)=1,1,0))</f>
        <v/>
      </c>
      <c r="AI3840" s="18" t="str">
        <f aca="false">IF($AH3840=1,SUMPRODUCT(--($AK$2:$AK$4001&lt;$AK3840))+1,"")</f>
        <v/>
      </c>
      <c r="AJ3840" s="18" t="str">
        <f aca="false">IF($D3840="","",IF(OR($R3840=TRUE(),$R3840="TRUE"),1,0))</f>
        <v/>
      </c>
      <c r="AK3840" s="18" t="str">
        <f aca="false">IF($AH3840=1,IFERROR(VALUE(MID($D3840,2,20)),1000000000)+ROW()/10000000,"")</f>
        <v/>
      </c>
    </row>
    <row r="3841" customFormat="false" ht="15" hidden="false" customHeight="false" outlineLevel="0" collapsed="false">
      <c r="F3841" s="15"/>
      <c r="N3841" s="16" t="str">
        <f aca="false">IF($D3841="","",M3841*Y3841/100)</f>
        <v/>
      </c>
      <c r="V3841" s="16" t="str">
        <f aca="false">IF($D3841="","",Y3841*AB3841/100)</f>
        <v/>
      </c>
      <c r="W3841" s="16" t="str">
        <f aca="false">IF($D3841="","",Y3841-V3841)</f>
        <v/>
      </c>
      <c r="X3841" s="16" t="str">
        <f aca="false">IF($D3841="","",W3841-N3841)</f>
        <v/>
      </c>
      <c r="AB3841" s="17" t="str">
        <f aca="false">IF($D3841="","",IF(OR($R3841=TRUE(),$R3841="TRUE"),Settings!$C$6,Settings!$C$7)*100)</f>
        <v/>
      </c>
      <c r="AH3841" s="18" t="str">
        <f aca="false">IF($D3841="","",IF(COUNTIF($D$2:$D3841,$D3841)=1,1,0))</f>
        <v/>
      </c>
      <c r="AI3841" s="18" t="str">
        <f aca="false">IF($AH3841=1,SUMPRODUCT(--($AK$2:$AK$4001&lt;$AK3841))+1,"")</f>
        <v/>
      </c>
      <c r="AJ3841" s="18" t="str">
        <f aca="false">IF($D3841="","",IF(OR($R3841=TRUE(),$R3841="TRUE"),1,0))</f>
        <v/>
      </c>
      <c r="AK3841" s="18" t="str">
        <f aca="false">IF($AH3841=1,IFERROR(VALUE(MID($D3841,2,20)),1000000000)+ROW()/10000000,"")</f>
        <v/>
      </c>
    </row>
    <row r="3842" customFormat="false" ht="15" hidden="false" customHeight="false" outlineLevel="0" collapsed="false">
      <c r="F3842" s="15"/>
      <c r="N3842" s="16" t="str">
        <f aca="false">IF($D3842="","",M3842*Y3842/100)</f>
        <v/>
      </c>
      <c r="V3842" s="16" t="str">
        <f aca="false">IF($D3842="","",Y3842*AB3842/100)</f>
        <v/>
      </c>
      <c r="W3842" s="16" t="str">
        <f aca="false">IF($D3842="","",Y3842-V3842)</f>
        <v/>
      </c>
      <c r="X3842" s="16" t="str">
        <f aca="false">IF($D3842="","",W3842-N3842)</f>
        <v/>
      </c>
      <c r="AB3842" s="17" t="str">
        <f aca="false">IF($D3842="","",IF(OR($R3842=TRUE(),$R3842="TRUE"),Settings!$C$6,Settings!$C$7)*100)</f>
        <v/>
      </c>
      <c r="AH3842" s="18" t="str">
        <f aca="false">IF($D3842="","",IF(COUNTIF($D$2:$D3842,$D3842)=1,1,0))</f>
        <v/>
      </c>
      <c r="AI3842" s="18" t="str">
        <f aca="false">IF($AH3842=1,SUMPRODUCT(--($AK$2:$AK$4001&lt;$AK3842))+1,"")</f>
        <v/>
      </c>
      <c r="AJ3842" s="18" t="str">
        <f aca="false">IF($D3842="","",IF(OR($R3842=TRUE(),$R3842="TRUE"),1,0))</f>
        <v/>
      </c>
      <c r="AK3842" s="18" t="str">
        <f aca="false">IF($AH3842=1,IFERROR(VALUE(MID($D3842,2,20)),1000000000)+ROW()/10000000,"")</f>
        <v/>
      </c>
    </row>
    <row r="3843" customFormat="false" ht="15" hidden="false" customHeight="false" outlineLevel="0" collapsed="false">
      <c r="F3843" s="15"/>
      <c r="N3843" s="16" t="str">
        <f aca="false">IF($D3843="","",M3843*Y3843/100)</f>
        <v/>
      </c>
      <c r="V3843" s="16" t="str">
        <f aca="false">IF($D3843="","",Y3843*AB3843/100)</f>
        <v/>
      </c>
      <c r="W3843" s="16" t="str">
        <f aca="false">IF($D3843="","",Y3843-V3843)</f>
        <v/>
      </c>
      <c r="X3843" s="16" t="str">
        <f aca="false">IF($D3843="","",W3843-N3843)</f>
        <v/>
      </c>
      <c r="AB3843" s="17" t="str">
        <f aca="false">IF($D3843="","",IF(OR($R3843=TRUE(),$R3843="TRUE"),Settings!$C$6,Settings!$C$7)*100)</f>
        <v/>
      </c>
      <c r="AH3843" s="18" t="str">
        <f aca="false">IF($D3843="","",IF(COUNTIF($D$2:$D3843,$D3843)=1,1,0))</f>
        <v/>
      </c>
      <c r="AI3843" s="18" t="str">
        <f aca="false">IF($AH3843=1,SUMPRODUCT(--($AK$2:$AK$4001&lt;$AK3843))+1,"")</f>
        <v/>
      </c>
      <c r="AJ3843" s="18" t="str">
        <f aca="false">IF($D3843="","",IF(OR($R3843=TRUE(),$R3843="TRUE"),1,0))</f>
        <v/>
      </c>
      <c r="AK3843" s="18" t="str">
        <f aca="false">IF($AH3843=1,IFERROR(VALUE(MID($D3843,2,20)),1000000000)+ROW()/10000000,"")</f>
        <v/>
      </c>
    </row>
    <row r="3844" customFormat="false" ht="15" hidden="false" customHeight="false" outlineLevel="0" collapsed="false">
      <c r="F3844" s="15"/>
      <c r="N3844" s="16" t="str">
        <f aca="false">IF($D3844="","",M3844*Y3844/100)</f>
        <v/>
      </c>
      <c r="V3844" s="16" t="str">
        <f aca="false">IF($D3844="","",Y3844*AB3844/100)</f>
        <v/>
      </c>
      <c r="W3844" s="16" t="str">
        <f aca="false">IF($D3844="","",Y3844-V3844)</f>
        <v/>
      </c>
      <c r="X3844" s="16" t="str">
        <f aca="false">IF($D3844="","",W3844-N3844)</f>
        <v/>
      </c>
      <c r="AB3844" s="17" t="str">
        <f aca="false">IF($D3844="","",IF(OR($R3844=TRUE(),$R3844="TRUE"),Settings!$C$6,Settings!$C$7)*100)</f>
        <v/>
      </c>
      <c r="AH3844" s="18" t="str">
        <f aca="false">IF($D3844="","",IF(COUNTIF($D$2:$D3844,$D3844)=1,1,0))</f>
        <v/>
      </c>
      <c r="AI3844" s="18" t="str">
        <f aca="false">IF($AH3844=1,SUMPRODUCT(--($AK$2:$AK$4001&lt;$AK3844))+1,"")</f>
        <v/>
      </c>
      <c r="AJ3844" s="18" t="str">
        <f aca="false">IF($D3844="","",IF(OR($R3844=TRUE(),$R3844="TRUE"),1,0))</f>
        <v/>
      </c>
      <c r="AK3844" s="18" t="str">
        <f aca="false">IF($AH3844=1,IFERROR(VALUE(MID($D3844,2,20)),1000000000)+ROW()/10000000,"")</f>
        <v/>
      </c>
    </row>
    <row r="3845" customFormat="false" ht="15" hidden="false" customHeight="false" outlineLevel="0" collapsed="false">
      <c r="F3845" s="15"/>
      <c r="N3845" s="16" t="str">
        <f aca="false">IF($D3845="","",M3845*Y3845/100)</f>
        <v/>
      </c>
      <c r="V3845" s="16" t="str">
        <f aca="false">IF($D3845="","",Y3845*AB3845/100)</f>
        <v/>
      </c>
      <c r="W3845" s="16" t="str">
        <f aca="false">IF($D3845="","",Y3845-V3845)</f>
        <v/>
      </c>
      <c r="X3845" s="16" t="str">
        <f aca="false">IF($D3845="","",W3845-N3845)</f>
        <v/>
      </c>
      <c r="AB3845" s="17" t="str">
        <f aca="false">IF($D3845="","",IF(OR($R3845=TRUE(),$R3845="TRUE"),Settings!$C$6,Settings!$C$7)*100)</f>
        <v/>
      </c>
      <c r="AH3845" s="18" t="str">
        <f aca="false">IF($D3845="","",IF(COUNTIF($D$2:$D3845,$D3845)=1,1,0))</f>
        <v/>
      </c>
      <c r="AI3845" s="18" t="str">
        <f aca="false">IF($AH3845=1,SUMPRODUCT(--($AK$2:$AK$4001&lt;$AK3845))+1,"")</f>
        <v/>
      </c>
      <c r="AJ3845" s="18" t="str">
        <f aca="false">IF($D3845="","",IF(OR($R3845=TRUE(),$R3845="TRUE"),1,0))</f>
        <v/>
      </c>
      <c r="AK3845" s="18" t="str">
        <f aca="false">IF($AH3845=1,IFERROR(VALUE(MID($D3845,2,20)),1000000000)+ROW()/10000000,"")</f>
        <v/>
      </c>
    </row>
    <row r="3846" customFormat="false" ht="15" hidden="false" customHeight="false" outlineLevel="0" collapsed="false">
      <c r="F3846" s="15"/>
      <c r="N3846" s="16" t="str">
        <f aca="false">IF($D3846="","",M3846*Y3846/100)</f>
        <v/>
      </c>
      <c r="V3846" s="16" t="str">
        <f aca="false">IF($D3846="","",Y3846*AB3846/100)</f>
        <v/>
      </c>
      <c r="W3846" s="16" t="str">
        <f aca="false">IF($D3846="","",Y3846-V3846)</f>
        <v/>
      </c>
      <c r="X3846" s="16" t="str">
        <f aca="false">IF($D3846="","",W3846-N3846)</f>
        <v/>
      </c>
      <c r="AB3846" s="17" t="str">
        <f aca="false">IF($D3846="","",IF(OR($R3846=TRUE(),$R3846="TRUE"),Settings!$C$6,Settings!$C$7)*100)</f>
        <v/>
      </c>
      <c r="AH3846" s="18" t="str">
        <f aca="false">IF($D3846="","",IF(COUNTIF($D$2:$D3846,$D3846)=1,1,0))</f>
        <v/>
      </c>
      <c r="AI3846" s="18" t="str">
        <f aca="false">IF($AH3846=1,SUMPRODUCT(--($AK$2:$AK$4001&lt;$AK3846))+1,"")</f>
        <v/>
      </c>
      <c r="AJ3846" s="18" t="str">
        <f aca="false">IF($D3846="","",IF(OR($R3846=TRUE(),$R3846="TRUE"),1,0))</f>
        <v/>
      </c>
      <c r="AK3846" s="18" t="str">
        <f aca="false">IF($AH3846=1,IFERROR(VALUE(MID($D3846,2,20)),1000000000)+ROW()/10000000,"")</f>
        <v/>
      </c>
    </row>
    <row r="3847" customFormat="false" ht="15" hidden="false" customHeight="false" outlineLevel="0" collapsed="false">
      <c r="F3847" s="15"/>
      <c r="N3847" s="16" t="str">
        <f aca="false">IF($D3847="","",M3847*Y3847/100)</f>
        <v/>
      </c>
      <c r="V3847" s="16" t="str">
        <f aca="false">IF($D3847="","",Y3847*AB3847/100)</f>
        <v/>
      </c>
      <c r="W3847" s="16" t="str">
        <f aca="false">IF($D3847="","",Y3847-V3847)</f>
        <v/>
      </c>
      <c r="X3847" s="16" t="str">
        <f aca="false">IF($D3847="","",W3847-N3847)</f>
        <v/>
      </c>
      <c r="AB3847" s="17" t="str">
        <f aca="false">IF($D3847="","",IF(OR($R3847=TRUE(),$R3847="TRUE"),Settings!$C$6,Settings!$C$7)*100)</f>
        <v/>
      </c>
      <c r="AH3847" s="18" t="str">
        <f aca="false">IF($D3847="","",IF(COUNTIF($D$2:$D3847,$D3847)=1,1,0))</f>
        <v/>
      </c>
      <c r="AI3847" s="18" t="str">
        <f aca="false">IF($AH3847=1,SUMPRODUCT(--($AK$2:$AK$4001&lt;$AK3847))+1,"")</f>
        <v/>
      </c>
      <c r="AJ3847" s="18" t="str">
        <f aca="false">IF($D3847="","",IF(OR($R3847=TRUE(),$R3847="TRUE"),1,0))</f>
        <v/>
      </c>
      <c r="AK3847" s="18" t="str">
        <f aca="false">IF($AH3847=1,IFERROR(VALUE(MID($D3847,2,20)),1000000000)+ROW()/10000000,"")</f>
        <v/>
      </c>
    </row>
    <row r="3848" customFormat="false" ht="15" hidden="false" customHeight="false" outlineLevel="0" collapsed="false">
      <c r="F3848" s="15"/>
      <c r="N3848" s="16" t="str">
        <f aca="false">IF($D3848="","",M3848*Y3848/100)</f>
        <v/>
      </c>
      <c r="V3848" s="16" t="str">
        <f aca="false">IF($D3848="","",Y3848*AB3848/100)</f>
        <v/>
      </c>
      <c r="W3848" s="16" t="str">
        <f aca="false">IF($D3848="","",Y3848-V3848)</f>
        <v/>
      </c>
      <c r="X3848" s="16" t="str">
        <f aca="false">IF($D3848="","",W3848-N3848)</f>
        <v/>
      </c>
      <c r="AB3848" s="17" t="str">
        <f aca="false">IF($D3848="","",IF(OR($R3848=TRUE(),$R3848="TRUE"),Settings!$C$6,Settings!$C$7)*100)</f>
        <v/>
      </c>
      <c r="AH3848" s="18" t="str">
        <f aca="false">IF($D3848="","",IF(COUNTIF($D$2:$D3848,$D3848)=1,1,0))</f>
        <v/>
      </c>
      <c r="AI3848" s="18" t="str">
        <f aca="false">IF($AH3848=1,SUMPRODUCT(--($AK$2:$AK$4001&lt;$AK3848))+1,"")</f>
        <v/>
      </c>
      <c r="AJ3848" s="18" t="str">
        <f aca="false">IF($D3848="","",IF(OR($R3848=TRUE(),$R3848="TRUE"),1,0))</f>
        <v/>
      </c>
      <c r="AK3848" s="18" t="str">
        <f aca="false">IF($AH3848=1,IFERROR(VALUE(MID($D3848,2,20)),1000000000)+ROW()/10000000,"")</f>
        <v/>
      </c>
    </row>
    <row r="3849" customFormat="false" ht="15" hidden="false" customHeight="false" outlineLevel="0" collapsed="false">
      <c r="F3849" s="15"/>
      <c r="N3849" s="16" t="str">
        <f aca="false">IF($D3849="","",M3849*Y3849/100)</f>
        <v/>
      </c>
      <c r="V3849" s="16" t="str">
        <f aca="false">IF($D3849="","",Y3849*AB3849/100)</f>
        <v/>
      </c>
      <c r="W3849" s="16" t="str">
        <f aca="false">IF($D3849="","",Y3849-V3849)</f>
        <v/>
      </c>
      <c r="X3849" s="16" t="str">
        <f aca="false">IF($D3849="","",W3849-N3849)</f>
        <v/>
      </c>
      <c r="AB3849" s="17" t="str">
        <f aca="false">IF($D3849="","",IF(OR($R3849=TRUE(),$R3849="TRUE"),Settings!$C$6,Settings!$C$7)*100)</f>
        <v/>
      </c>
      <c r="AH3849" s="18" t="str">
        <f aca="false">IF($D3849="","",IF(COUNTIF($D$2:$D3849,$D3849)=1,1,0))</f>
        <v/>
      </c>
      <c r="AI3849" s="18" t="str">
        <f aca="false">IF($AH3849=1,SUMPRODUCT(--($AK$2:$AK$4001&lt;$AK3849))+1,"")</f>
        <v/>
      </c>
      <c r="AJ3849" s="18" t="str">
        <f aca="false">IF($D3849="","",IF(OR($R3849=TRUE(),$R3849="TRUE"),1,0))</f>
        <v/>
      </c>
      <c r="AK3849" s="18" t="str">
        <f aca="false">IF($AH3849=1,IFERROR(VALUE(MID($D3849,2,20)),1000000000)+ROW()/10000000,"")</f>
        <v/>
      </c>
    </row>
    <row r="3850" customFormat="false" ht="15" hidden="false" customHeight="false" outlineLevel="0" collapsed="false">
      <c r="F3850" s="15"/>
      <c r="N3850" s="16" t="str">
        <f aca="false">IF($D3850="","",M3850*Y3850/100)</f>
        <v/>
      </c>
      <c r="V3850" s="16" t="str">
        <f aca="false">IF($D3850="","",Y3850*AB3850/100)</f>
        <v/>
      </c>
      <c r="W3850" s="16" t="str">
        <f aca="false">IF($D3850="","",Y3850-V3850)</f>
        <v/>
      </c>
      <c r="X3850" s="16" t="str">
        <f aca="false">IF($D3850="","",W3850-N3850)</f>
        <v/>
      </c>
      <c r="AB3850" s="17" t="str">
        <f aca="false">IF($D3850="","",IF(OR($R3850=TRUE(),$R3850="TRUE"),Settings!$C$6,Settings!$C$7)*100)</f>
        <v/>
      </c>
      <c r="AH3850" s="18" t="str">
        <f aca="false">IF($D3850="","",IF(COUNTIF($D$2:$D3850,$D3850)=1,1,0))</f>
        <v/>
      </c>
      <c r="AI3850" s="18" t="str">
        <f aca="false">IF($AH3850=1,SUMPRODUCT(--($AK$2:$AK$4001&lt;$AK3850))+1,"")</f>
        <v/>
      </c>
      <c r="AJ3850" s="18" t="str">
        <f aca="false">IF($D3850="","",IF(OR($R3850=TRUE(),$R3850="TRUE"),1,0))</f>
        <v/>
      </c>
      <c r="AK3850" s="18" t="str">
        <f aca="false">IF($AH3850=1,IFERROR(VALUE(MID($D3850,2,20)),1000000000)+ROW()/10000000,"")</f>
        <v/>
      </c>
    </row>
    <row r="3851" customFormat="false" ht="15" hidden="false" customHeight="false" outlineLevel="0" collapsed="false">
      <c r="F3851" s="15"/>
      <c r="N3851" s="16" t="str">
        <f aca="false">IF($D3851="","",M3851*Y3851/100)</f>
        <v/>
      </c>
      <c r="V3851" s="16" t="str">
        <f aca="false">IF($D3851="","",Y3851*AB3851/100)</f>
        <v/>
      </c>
      <c r="W3851" s="16" t="str">
        <f aca="false">IF($D3851="","",Y3851-V3851)</f>
        <v/>
      </c>
      <c r="X3851" s="16" t="str">
        <f aca="false">IF($D3851="","",W3851-N3851)</f>
        <v/>
      </c>
      <c r="AB3851" s="17" t="str">
        <f aca="false">IF($D3851="","",IF(OR($R3851=TRUE(),$R3851="TRUE"),Settings!$C$6,Settings!$C$7)*100)</f>
        <v/>
      </c>
      <c r="AH3851" s="18" t="str">
        <f aca="false">IF($D3851="","",IF(COUNTIF($D$2:$D3851,$D3851)=1,1,0))</f>
        <v/>
      </c>
      <c r="AI3851" s="18" t="str">
        <f aca="false">IF($AH3851=1,SUMPRODUCT(--($AK$2:$AK$4001&lt;$AK3851))+1,"")</f>
        <v/>
      </c>
      <c r="AJ3851" s="18" t="str">
        <f aca="false">IF($D3851="","",IF(OR($R3851=TRUE(),$R3851="TRUE"),1,0))</f>
        <v/>
      </c>
      <c r="AK3851" s="18" t="str">
        <f aca="false">IF($AH3851=1,IFERROR(VALUE(MID($D3851,2,20)),1000000000)+ROW()/10000000,"")</f>
        <v/>
      </c>
    </row>
    <row r="3852" customFormat="false" ht="15" hidden="false" customHeight="false" outlineLevel="0" collapsed="false">
      <c r="F3852" s="15"/>
      <c r="N3852" s="16" t="str">
        <f aca="false">IF($D3852="","",M3852*Y3852/100)</f>
        <v/>
      </c>
      <c r="V3852" s="16" t="str">
        <f aca="false">IF($D3852="","",Y3852*AB3852/100)</f>
        <v/>
      </c>
      <c r="W3852" s="16" t="str">
        <f aca="false">IF($D3852="","",Y3852-V3852)</f>
        <v/>
      </c>
      <c r="X3852" s="16" t="str">
        <f aca="false">IF($D3852="","",W3852-N3852)</f>
        <v/>
      </c>
      <c r="AB3852" s="17" t="str">
        <f aca="false">IF($D3852="","",IF(OR($R3852=TRUE(),$R3852="TRUE"),Settings!$C$6,Settings!$C$7)*100)</f>
        <v/>
      </c>
      <c r="AH3852" s="18" t="str">
        <f aca="false">IF($D3852="","",IF(COUNTIF($D$2:$D3852,$D3852)=1,1,0))</f>
        <v/>
      </c>
      <c r="AI3852" s="18" t="str">
        <f aca="false">IF($AH3852=1,SUMPRODUCT(--($AK$2:$AK$4001&lt;$AK3852))+1,"")</f>
        <v/>
      </c>
      <c r="AJ3852" s="18" t="str">
        <f aca="false">IF($D3852="","",IF(OR($R3852=TRUE(),$R3852="TRUE"),1,0))</f>
        <v/>
      </c>
      <c r="AK3852" s="18" t="str">
        <f aca="false">IF($AH3852=1,IFERROR(VALUE(MID($D3852,2,20)),1000000000)+ROW()/10000000,"")</f>
        <v/>
      </c>
    </row>
    <row r="3853" customFormat="false" ht="15" hidden="false" customHeight="false" outlineLevel="0" collapsed="false">
      <c r="F3853" s="15"/>
      <c r="N3853" s="16" t="str">
        <f aca="false">IF($D3853="","",M3853*Y3853/100)</f>
        <v/>
      </c>
      <c r="V3853" s="16" t="str">
        <f aca="false">IF($D3853="","",Y3853*AB3853/100)</f>
        <v/>
      </c>
      <c r="W3853" s="16" t="str">
        <f aca="false">IF($D3853="","",Y3853-V3853)</f>
        <v/>
      </c>
      <c r="X3853" s="16" t="str">
        <f aca="false">IF($D3853="","",W3853-N3853)</f>
        <v/>
      </c>
      <c r="AB3853" s="17" t="str">
        <f aca="false">IF($D3853="","",IF(OR($R3853=TRUE(),$R3853="TRUE"),Settings!$C$6,Settings!$C$7)*100)</f>
        <v/>
      </c>
      <c r="AH3853" s="18" t="str">
        <f aca="false">IF($D3853="","",IF(COUNTIF($D$2:$D3853,$D3853)=1,1,0))</f>
        <v/>
      </c>
      <c r="AI3853" s="18" t="str">
        <f aca="false">IF($AH3853=1,SUMPRODUCT(--($AK$2:$AK$4001&lt;$AK3853))+1,"")</f>
        <v/>
      </c>
      <c r="AJ3853" s="18" t="str">
        <f aca="false">IF($D3853="","",IF(OR($R3853=TRUE(),$R3853="TRUE"),1,0))</f>
        <v/>
      </c>
      <c r="AK3853" s="18" t="str">
        <f aca="false">IF($AH3853=1,IFERROR(VALUE(MID($D3853,2,20)),1000000000)+ROW()/10000000,"")</f>
        <v/>
      </c>
    </row>
    <row r="3854" customFormat="false" ht="15" hidden="false" customHeight="false" outlineLevel="0" collapsed="false">
      <c r="F3854" s="15"/>
      <c r="N3854" s="16" t="str">
        <f aca="false">IF($D3854="","",M3854*Y3854/100)</f>
        <v/>
      </c>
      <c r="V3854" s="16" t="str">
        <f aca="false">IF($D3854="","",Y3854*AB3854/100)</f>
        <v/>
      </c>
      <c r="W3854" s="16" t="str">
        <f aca="false">IF($D3854="","",Y3854-V3854)</f>
        <v/>
      </c>
      <c r="X3854" s="16" t="str">
        <f aca="false">IF($D3854="","",W3854-N3854)</f>
        <v/>
      </c>
      <c r="AB3854" s="17" t="str">
        <f aca="false">IF($D3854="","",IF(OR($R3854=TRUE(),$R3854="TRUE"),Settings!$C$6,Settings!$C$7)*100)</f>
        <v/>
      </c>
      <c r="AH3854" s="18" t="str">
        <f aca="false">IF($D3854="","",IF(COUNTIF($D$2:$D3854,$D3854)=1,1,0))</f>
        <v/>
      </c>
      <c r="AI3854" s="18" t="str">
        <f aca="false">IF($AH3854=1,SUMPRODUCT(--($AK$2:$AK$4001&lt;$AK3854))+1,"")</f>
        <v/>
      </c>
      <c r="AJ3854" s="18" t="str">
        <f aca="false">IF($D3854="","",IF(OR($R3854=TRUE(),$R3854="TRUE"),1,0))</f>
        <v/>
      </c>
      <c r="AK3854" s="18" t="str">
        <f aca="false">IF($AH3854=1,IFERROR(VALUE(MID($D3854,2,20)),1000000000)+ROW()/10000000,"")</f>
        <v/>
      </c>
    </row>
    <row r="3855" customFormat="false" ht="15" hidden="false" customHeight="false" outlineLevel="0" collapsed="false">
      <c r="F3855" s="15"/>
      <c r="N3855" s="16" t="str">
        <f aca="false">IF($D3855="","",M3855*Y3855/100)</f>
        <v/>
      </c>
      <c r="V3855" s="16" t="str">
        <f aca="false">IF($D3855="","",Y3855*AB3855/100)</f>
        <v/>
      </c>
      <c r="W3855" s="16" t="str">
        <f aca="false">IF($D3855="","",Y3855-V3855)</f>
        <v/>
      </c>
      <c r="X3855" s="16" t="str">
        <f aca="false">IF($D3855="","",W3855-N3855)</f>
        <v/>
      </c>
      <c r="AB3855" s="17" t="str">
        <f aca="false">IF($D3855="","",IF(OR($R3855=TRUE(),$R3855="TRUE"),Settings!$C$6,Settings!$C$7)*100)</f>
        <v/>
      </c>
      <c r="AH3855" s="18" t="str">
        <f aca="false">IF($D3855="","",IF(COUNTIF($D$2:$D3855,$D3855)=1,1,0))</f>
        <v/>
      </c>
      <c r="AI3855" s="18" t="str">
        <f aca="false">IF($AH3855=1,SUMPRODUCT(--($AK$2:$AK$4001&lt;$AK3855))+1,"")</f>
        <v/>
      </c>
      <c r="AJ3855" s="18" t="str">
        <f aca="false">IF($D3855="","",IF(OR($R3855=TRUE(),$R3855="TRUE"),1,0))</f>
        <v/>
      </c>
      <c r="AK3855" s="18" t="str">
        <f aca="false">IF($AH3855=1,IFERROR(VALUE(MID($D3855,2,20)),1000000000)+ROW()/10000000,"")</f>
        <v/>
      </c>
    </row>
    <row r="3856" customFormat="false" ht="15" hidden="false" customHeight="false" outlineLevel="0" collapsed="false">
      <c r="F3856" s="15"/>
      <c r="N3856" s="16" t="str">
        <f aca="false">IF($D3856="","",M3856*Y3856/100)</f>
        <v/>
      </c>
      <c r="V3856" s="16" t="str">
        <f aca="false">IF($D3856="","",Y3856*AB3856/100)</f>
        <v/>
      </c>
      <c r="W3856" s="16" t="str">
        <f aca="false">IF($D3856="","",Y3856-V3856)</f>
        <v/>
      </c>
      <c r="X3856" s="16" t="str">
        <f aca="false">IF($D3856="","",W3856-N3856)</f>
        <v/>
      </c>
      <c r="AB3856" s="17" t="str">
        <f aca="false">IF($D3856="","",IF(OR($R3856=TRUE(),$R3856="TRUE"),Settings!$C$6,Settings!$C$7)*100)</f>
        <v/>
      </c>
      <c r="AH3856" s="18" t="str">
        <f aca="false">IF($D3856="","",IF(COUNTIF($D$2:$D3856,$D3856)=1,1,0))</f>
        <v/>
      </c>
      <c r="AI3856" s="18" t="str">
        <f aca="false">IF($AH3856=1,SUMPRODUCT(--($AK$2:$AK$4001&lt;$AK3856))+1,"")</f>
        <v/>
      </c>
      <c r="AJ3856" s="18" t="str">
        <f aca="false">IF($D3856="","",IF(OR($R3856=TRUE(),$R3856="TRUE"),1,0))</f>
        <v/>
      </c>
      <c r="AK3856" s="18" t="str">
        <f aca="false">IF($AH3856=1,IFERROR(VALUE(MID($D3856,2,20)),1000000000)+ROW()/10000000,"")</f>
        <v/>
      </c>
    </row>
    <row r="3857" customFormat="false" ht="15" hidden="false" customHeight="false" outlineLevel="0" collapsed="false">
      <c r="F3857" s="15"/>
      <c r="N3857" s="16" t="str">
        <f aca="false">IF($D3857="","",M3857*Y3857/100)</f>
        <v/>
      </c>
      <c r="V3857" s="16" t="str">
        <f aca="false">IF($D3857="","",Y3857*AB3857/100)</f>
        <v/>
      </c>
      <c r="W3857" s="16" t="str">
        <f aca="false">IF($D3857="","",Y3857-V3857)</f>
        <v/>
      </c>
      <c r="X3857" s="16" t="str">
        <f aca="false">IF($D3857="","",W3857-N3857)</f>
        <v/>
      </c>
      <c r="AB3857" s="17" t="str">
        <f aca="false">IF($D3857="","",IF(OR($R3857=TRUE(),$R3857="TRUE"),Settings!$C$6,Settings!$C$7)*100)</f>
        <v/>
      </c>
      <c r="AH3857" s="18" t="str">
        <f aca="false">IF($D3857="","",IF(COUNTIF($D$2:$D3857,$D3857)=1,1,0))</f>
        <v/>
      </c>
      <c r="AI3857" s="18" t="str">
        <f aca="false">IF($AH3857=1,SUMPRODUCT(--($AK$2:$AK$4001&lt;$AK3857))+1,"")</f>
        <v/>
      </c>
      <c r="AJ3857" s="18" t="str">
        <f aca="false">IF($D3857="","",IF(OR($R3857=TRUE(),$R3857="TRUE"),1,0))</f>
        <v/>
      </c>
      <c r="AK3857" s="18" t="str">
        <f aca="false">IF($AH3857=1,IFERROR(VALUE(MID($D3857,2,20)),1000000000)+ROW()/10000000,"")</f>
        <v/>
      </c>
    </row>
    <row r="3858" customFormat="false" ht="15" hidden="false" customHeight="false" outlineLevel="0" collapsed="false">
      <c r="F3858" s="15"/>
      <c r="N3858" s="16" t="str">
        <f aca="false">IF($D3858="","",M3858*Y3858/100)</f>
        <v/>
      </c>
      <c r="V3858" s="16" t="str">
        <f aca="false">IF($D3858="","",Y3858*AB3858/100)</f>
        <v/>
      </c>
      <c r="W3858" s="16" t="str">
        <f aca="false">IF($D3858="","",Y3858-V3858)</f>
        <v/>
      </c>
      <c r="X3858" s="16" t="str">
        <f aca="false">IF($D3858="","",W3858-N3858)</f>
        <v/>
      </c>
      <c r="AB3858" s="17" t="str">
        <f aca="false">IF($D3858="","",IF(OR($R3858=TRUE(),$R3858="TRUE"),Settings!$C$6,Settings!$C$7)*100)</f>
        <v/>
      </c>
      <c r="AH3858" s="18" t="str">
        <f aca="false">IF($D3858="","",IF(COUNTIF($D$2:$D3858,$D3858)=1,1,0))</f>
        <v/>
      </c>
      <c r="AI3858" s="18" t="str">
        <f aca="false">IF($AH3858=1,SUMPRODUCT(--($AK$2:$AK$4001&lt;$AK3858))+1,"")</f>
        <v/>
      </c>
      <c r="AJ3858" s="18" t="str">
        <f aca="false">IF($D3858="","",IF(OR($R3858=TRUE(),$R3858="TRUE"),1,0))</f>
        <v/>
      </c>
      <c r="AK3858" s="18" t="str">
        <f aca="false">IF($AH3858=1,IFERROR(VALUE(MID($D3858,2,20)),1000000000)+ROW()/10000000,"")</f>
        <v/>
      </c>
    </row>
    <row r="3859" customFormat="false" ht="15" hidden="false" customHeight="false" outlineLevel="0" collapsed="false">
      <c r="F3859" s="15"/>
      <c r="N3859" s="16" t="str">
        <f aca="false">IF($D3859="","",M3859*Y3859/100)</f>
        <v/>
      </c>
      <c r="V3859" s="16" t="str">
        <f aca="false">IF($D3859="","",Y3859*AB3859/100)</f>
        <v/>
      </c>
      <c r="W3859" s="16" t="str">
        <f aca="false">IF($D3859="","",Y3859-V3859)</f>
        <v/>
      </c>
      <c r="X3859" s="16" t="str">
        <f aca="false">IF($D3859="","",W3859-N3859)</f>
        <v/>
      </c>
      <c r="AB3859" s="17" t="str">
        <f aca="false">IF($D3859="","",IF(OR($R3859=TRUE(),$R3859="TRUE"),Settings!$C$6,Settings!$C$7)*100)</f>
        <v/>
      </c>
      <c r="AH3859" s="18" t="str">
        <f aca="false">IF($D3859="","",IF(COUNTIF($D$2:$D3859,$D3859)=1,1,0))</f>
        <v/>
      </c>
      <c r="AI3859" s="18" t="str">
        <f aca="false">IF($AH3859=1,SUMPRODUCT(--($AK$2:$AK$4001&lt;$AK3859))+1,"")</f>
        <v/>
      </c>
      <c r="AJ3859" s="18" t="str">
        <f aca="false">IF($D3859="","",IF(OR($R3859=TRUE(),$R3859="TRUE"),1,0))</f>
        <v/>
      </c>
      <c r="AK3859" s="18" t="str">
        <f aca="false">IF($AH3859=1,IFERROR(VALUE(MID($D3859,2,20)),1000000000)+ROW()/10000000,"")</f>
        <v/>
      </c>
    </row>
    <row r="3860" customFormat="false" ht="15" hidden="false" customHeight="false" outlineLevel="0" collapsed="false">
      <c r="F3860" s="15"/>
      <c r="N3860" s="16" t="str">
        <f aca="false">IF($D3860="","",M3860*Y3860/100)</f>
        <v/>
      </c>
      <c r="V3860" s="16" t="str">
        <f aca="false">IF($D3860="","",Y3860*AB3860/100)</f>
        <v/>
      </c>
      <c r="W3860" s="16" t="str">
        <f aca="false">IF($D3860="","",Y3860-V3860)</f>
        <v/>
      </c>
      <c r="X3860" s="16" t="str">
        <f aca="false">IF($D3860="","",W3860-N3860)</f>
        <v/>
      </c>
      <c r="AB3860" s="17" t="str">
        <f aca="false">IF($D3860="","",IF(OR($R3860=TRUE(),$R3860="TRUE"),Settings!$C$6,Settings!$C$7)*100)</f>
        <v/>
      </c>
      <c r="AH3860" s="18" t="str">
        <f aca="false">IF($D3860="","",IF(COUNTIF($D$2:$D3860,$D3860)=1,1,0))</f>
        <v/>
      </c>
      <c r="AI3860" s="18" t="str">
        <f aca="false">IF($AH3860=1,SUMPRODUCT(--($AK$2:$AK$4001&lt;$AK3860))+1,"")</f>
        <v/>
      </c>
      <c r="AJ3860" s="18" t="str">
        <f aca="false">IF($D3860="","",IF(OR($R3860=TRUE(),$R3860="TRUE"),1,0))</f>
        <v/>
      </c>
      <c r="AK3860" s="18" t="str">
        <f aca="false">IF($AH3860=1,IFERROR(VALUE(MID($D3860,2,20)),1000000000)+ROW()/10000000,"")</f>
        <v/>
      </c>
    </row>
    <row r="3861" customFormat="false" ht="15" hidden="false" customHeight="false" outlineLevel="0" collapsed="false">
      <c r="F3861" s="15"/>
      <c r="N3861" s="16" t="str">
        <f aca="false">IF($D3861="","",M3861*Y3861/100)</f>
        <v/>
      </c>
      <c r="V3861" s="16" t="str">
        <f aca="false">IF($D3861="","",Y3861*AB3861/100)</f>
        <v/>
      </c>
      <c r="W3861" s="16" t="str">
        <f aca="false">IF($D3861="","",Y3861-V3861)</f>
        <v/>
      </c>
      <c r="X3861" s="16" t="str">
        <f aca="false">IF($D3861="","",W3861-N3861)</f>
        <v/>
      </c>
      <c r="AB3861" s="17" t="str">
        <f aca="false">IF($D3861="","",IF(OR($R3861=TRUE(),$R3861="TRUE"),Settings!$C$6,Settings!$C$7)*100)</f>
        <v/>
      </c>
      <c r="AH3861" s="18" t="str">
        <f aca="false">IF($D3861="","",IF(COUNTIF($D$2:$D3861,$D3861)=1,1,0))</f>
        <v/>
      </c>
      <c r="AI3861" s="18" t="str">
        <f aca="false">IF($AH3861=1,SUMPRODUCT(--($AK$2:$AK$4001&lt;$AK3861))+1,"")</f>
        <v/>
      </c>
      <c r="AJ3861" s="18" t="str">
        <f aca="false">IF($D3861="","",IF(OR($R3861=TRUE(),$R3861="TRUE"),1,0))</f>
        <v/>
      </c>
      <c r="AK3861" s="18" t="str">
        <f aca="false">IF($AH3861=1,IFERROR(VALUE(MID($D3861,2,20)),1000000000)+ROW()/10000000,"")</f>
        <v/>
      </c>
    </row>
    <row r="3862" customFormat="false" ht="15" hidden="false" customHeight="false" outlineLevel="0" collapsed="false">
      <c r="F3862" s="15"/>
      <c r="N3862" s="16" t="str">
        <f aca="false">IF($D3862="","",M3862*Y3862/100)</f>
        <v/>
      </c>
      <c r="V3862" s="16" t="str">
        <f aca="false">IF($D3862="","",Y3862*AB3862/100)</f>
        <v/>
      </c>
      <c r="W3862" s="16" t="str">
        <f aca="false">IF($D3862="","",Y3862-V3862)</f>
        <v/>
      </c>
      <c r="X3862" s="16" t="str">
        <f aca="false">IF($D3862="","",W3862-N3862)</f>
        <v/>
      </c>
      <c r="AB3862" s="17" t="str">
        <f aca="false">IF($D3862="","",IF(OR($R3862=TRUE(),$R3862="TRUE"),Settings!$C$6,Settings!$C$7)*100)</f>
        <v/>
      </c>
      <c r="AH3862" s="18" t="str">
        <f aca="false">IF($D3862="","",IF(COUNTIF($D$2:$D3862,$D3862)=1,1,0))</f>
        <v/>
      </c>
      <c r="AI3862" s="18" t="str">
        <f aca="false">IF($AH3862=1,SUMPRODUCT(--($AK$2:$AK$4001&lt;$AK3862))+1,"")</f>
        <v/>
      </c>
      <c r="AJ3862" s="18" t="str">
        <f aca="false">IF($D3862="","",IF(OR($R3862=TRUE(),$R3862="TRUE"),1,0))</f>
        <v/>
      </c>
      <c r="AK3862" s="18" t="str">
        <f aca="false">IF($AH3862=1,IFERROR(VALUE(MID($D3862,2,20)),1000000000)+ROW()/10000000,"")</f>
        <v/>
      </c>
    </row>
    <row r="3863" customFormat="false" ht="15" hidden="false" customHeight="false" outlineLevel="0" collapsed="false">
      <c r="F3863" s="15"/>
      <c r="N3863" s="16" t="str">
        <f aca="false">IF($D3863="","",M3863*Y3863/100)</f>
        <v/>
      </c>
      <c r="V3863" s="16" t="str">
        <f aca="false">IF($D3863="","",Y3863*AB3863/100)</f>
        <v/>
      </c>
      <c r="W3863" s="16" t="str">
        <f aca="false">IF($D3863="","",Y3863-V3863)</f>
        <v/>
      </c>
      <c r="X3863" s="16" t="str">
        <f aca="false">IF($D3863="","",W3863-N3863)</f>
        <v/>
      </c>
      <c r="AB3863" s="17" t="str">
        <f aca="false">IF($D3863="","",IF(OR($R3863=TRUE(),$R3863="TRUE"),Settings!$C$6,Settings!$C$7)*100)</f>
        <v/>
      </c>
      <c r="AH3863" s="18" t="str">
        <f aca="false">IF($D3863="","",IF(COUNTIF($D$2:$D3863,$D3863)=1,1,0))</f>
        <v/>
      </c>
      <c r="AI3863" s="18" t="str">
        <f aca="false">IF($AH3863=1,SUMPRODUCT(--($AK$2:$AK$4001&lt;$AK3863))+1,"")</f>
        <v/>
      </c>
      <c r="AJ3863" s="18" t="str">
        <f aca="false">IF($D3863="","",IF(OR($R3863=TRUE(),$R3863="TRUE"),1,0))</f>
        <v/>
      </c>
      <c r="AK3863" s="18" t="str">
        <f aca="false">IF($AH3863=1,IFERROR(VALUE(MID($D3863,2,20)),1000000000)+ROW()/10000000,"")</f>
        <v/>
      </c>
    </row>
    <row r="3864" customFormat="false" ht="15" hidden="false" customHeight="false" outlineLevel="0" collapsed="false">
      <c r="F3864" s="15"/>
      <c r="N3864" s="16" t="str">
        <f aca="false">IF($D3864="","",M3864*Y3864/100)</f>
        <v/>
      </c>
      <c r="V3864" s="16" t="str">
        <f aca="false">IF($D3864="","",Y3864*AB3864/100)</f>
        <v/>
      </c>
      <c r="W3864" s="16" t="str">
        <f aca="false">IF($D3864="","",Y3864-V3864)</f>
        <v/>
      </c>
      <c r="X3864" s="16" t="str">
        <f aca="false">IF($D3864="","",W3864-N3864)</f>
        <v/>
      </c>
      <c r="AB3864" s="17" t="str">
        <f aca="false">IF($D3864="","",IF(OR($R3864=TRUE(),$R3864="TRUE"),Settings!$C$6,Settings!$C$7)*100)</f>
        <v/>
      </c>
      <c r="AH3864" s="18" t="str">
        <f aca="false">IF($D3864="","",IF(COUNTIF($D$2:$D3864,$D3864)=1,1,0))</f>
        <v/>
      </c>
      <c r="AI3864" s="18" t="str">
        <f aca="false">IF($AH3864=1,SUMPRODUCT(--($AK$2:$AK$4001&lt;$AK3864))+1,"")</f>
        <v/>
      </c>
      <c r="AJ3864" s="18" t="str">
        <f aca="false">IF($D3864="","",IF(OR($R3864=TRUE(),$R3864="TRUE"),1,0))</f>
        <v/>
      </c>
      <c r="AK3864" s="18" t="str">
        <f aca="false">IF($AH3864=1,IFERROR(VALUE(MID($D3864,2,20)),1000000000)+ROW()/10000000,"")</f>
        <v/>
      </c>
    </row>
    <row r="3865" customFormat="false" ht="15" hidden="false" customHeight="false" outlineLevel="0" collapsed="false">
      <c r="F3865" s="15"/>
      <c r="N3865" s="16" t="str">
        <f aca="false">IF($D3865="","",M3865*Y3865/100)</f>
        <v/>
      </c>
      <c r="V3865" s="16" t="str">
        <f aca="false">IF($D3865="","",Y3865*AB3865/100)</f>
        <v/>
      </c>
      <c r="W3865" s="16" t="str">
        <f aca="false">IF($D3865="","",Y3865-V3865)</f>
        <v/>
      </c>
      <c r="X3865" s="16" t="str">
        <f aca="false">IF($D3865="","",W3865-N3865)</f>
        <v/>
      </c>
      <c r="AB3865" s="17" t="str">
        <f aca="false">IF($D3865="","",IF(OR($R3865=TRUE(),$R3865="TRUE"),Settings!$C$6,Settings!$C$7)*100)</f>
        <v/>
      </c>
      <c r="AH3865" s="18" t="str">
        <f aca="false">IF($D3865="","",IF(COUNTIF($D$2:$D3865,$D3865)=1,1,0))</f>
        <v/>
      </c>
      <c r="AI3865" s="18" t="str">
        <f aca="false">IF($AH3865=1,SUMPRODUCT(--($AK$2:$AK$4001&lt;$AK3865))+1,"")</f>
        <v/>
      </c>
      <c r="AJ3865" s="18" t="str">
        <f aca="false">IF($D3865="","",IF(OR($R3865=TRUE(),$R3865="TRUE"),1,0))</f>
        <v/>
      </c>
      <c r="AK3865" s="18" t="str">
        <f aca="false">IF($AH3865=1,IFERROR(VALUE(MID($D3865,2,20)),1000000000)+ROW()/10000000,"")</f>
        <v/>
      </c>
    </row>
    <row r="3866" customFormat="false" ht="15" hidden="false" customHeight="false" outlineLevel="0" collapsed="false">
      <c r="F3866" s="15"/>
      <c r="N3866" s="16" t="str">
        <f aca="false">IF($D3866="","",M3866*Y3866/100)</f>
        <v/>
      </c>
      <c r="V3866" s="16" t="str">
        <f aca="false">IF($D3866="","",Y3866*AB3866/100)</f>
        <v/>
      </c>
      <c r="W3866" s="16" t="str">
        <f aca="false">IF($D3866="","",Y3866-V3866)</f>
        <v/>
      </c>
      <c r="X3866" s="16" t="str">
        <f aca="false">IF($D3866="","",W3866-N3866)</f>
        <v/>
      </c>
      <c r="AB3866" s="17" t="str">
        <f aca="false">IF($D3866="","",IF(OR($R3866=TRUE(),$R3866="TRUE"),Settings!$C$6,Settings!$C$7)*100)</f>
        <v/>
      </c>
      <c r="AH3866" s="18" t="str">
        <f aca="false">IF($D3866="","",IF(COUNTIF($D$2:$D3866,$D3866)=1,1,0))</f>
        <v/>
      </c>
      <c r="AI3866" s="18" t="str">
        <f aca="false">IF($AH3866=1,SUMPRODUCT(--($AK$2:$AK$4001&lt;$AK3866))+1,"")</f>
        <v/>
      </c>
      <c r="AJ3866" s="18" t="str">
        <f aca="false">IF($D3866="","",IF(OR($R3866=TRUE(),$R3866="TRUE"),1,0))</f>
        <v/>
      </c>
      <c r="AK3866" s="18" t="str">
        <f aca="false">IF($AH3866=1,IFERROR(VALUE(MID($D3866,2,20)),1000000000)+ROW()/10000000,"")</f>
        <v/>
      </c>
    </row>
    <row r="3867" customFormat="false" ht="15" hidden="false" customHeight="false" outlineLevel="0" collapsed="false">
      <c r="F3867" s="15"/>
      <c r="N3867" s="16" t="str">
        <f aca="false">IF($D3867="","",M3867*Y3867/100)</f>
        <v/>
      </c>
      <c r="V3867" s="16" t="str">
        <f aca="false">IF($D3867="","",Y3867*AB3867/100)</f>
        <v/>
      </c>
      <c r="W3867" s="16" t="str">
        <f aca="false">IF($D3867="","",Y3867-V3867)</f>
        <v/>
      </c>
      <c r="X3867" s="16" t="str">
        <f aca="false">IF($D3867="","",W3867-N3867)</f>
        <v/>
      </c>
      <c r="AB3867" s="17" t="str">
        <f aca="false">IF($D3867="","",IF(OR($R3867=TRUE(),$R3867="TRUE"),Settings!$C$6,Settings!$C$7)*100)</f>
        <v/>
      </c>
      <c r="AH3867" s="18" t="str">
        <f aca="false">IF($D3867="","",IF(COUNTIF($D$2:$D3867,$D3867)=1,1,0))</f>
        <v/>
      </c>
      <c r="AI3867" s="18" t="str">
        <f aca="false">IF($AH3867=1,SUMPRODUCT(--($AK$2:$AK$4001&lt;$AK3867))+1,"")</f>
        <v/>
      </c>
      <c r="AJ3867" s="18" t="str">
        <f aca="false">IF($D3867="","",IF(OR($R3867=TRUE(),$R3867="TRUE"),1,0))</f>
        <v/>
      </c>
      <c r="AK3867" s="18" t="str">
        <f aca="false">IF($AH3867=1,IFERROR(VALUE(MID($D3867,2,20)),1000000000)+ROW()/10000000,"")</f>
        <v/>
      </c>
    </row>
    <row r="3868" customFormat="false" ht="15" hidden="false" customHeight="false" outlineLevel="0" collapsed="false">
      <c r="F3868" s="15"/>
      <c r="N3868" s="16" t="str">
        <f aca="false">IF($D3868="","",M3868*Y3868/100)</f>
        <v/>
      </c>
      <c r="V3868" s="16" t="str">
        <f aca="false">IF($D3868="","",Y3868*AB3868/100)</f>
        <v/>
      </c>
      <c r="W3868" s="16" t="str">
        <f aca="false">IF($D3868="","",Y3868-V3868)</f>
        <v/>
      </c>
      <c r="X3868" s="16" t="str">
        <f aca="false">IF($D3868="","",W3868-N3868)</f>
        <v/>
      </c>
      <c r="AB3868" s="17" t="str">
        <f aca="false">IF($D3868="","",IF(OR($R3868=TRUE(),$R3868="TRUE"),Settings!$C$6,Settings!$C$7)*100)</f>
        <v/>
      </c>
      <c r="AH3868" s="18" t="str">
        <f aca="false">IF($D3868="","",IF(COUNTIF($D$2:$D3868,$D3868)=1,1,0))</f>
        <v/>
      </c>
      <c r="AI3868" s="18" t="str">
        <f aca="false">IF($AH3868=1,SUMPRODUCT(--($AK$2:$AK$4001&lt;$AK3868))+1,"")</f>
        <v/>
      </c>
      <c r="AJ3868" s="18" t="str">
        <f aca="false">IF($D3868="","",IF(OR($R3868=TRUE(),$R3868="TRUE"),1,0))</f>
        <v/>
      </c>
      <c r="AK3868" s="18" t="str">
        <f aca="false">IF($AH3868=1,IFERROR(VALUE(MID($D3868,2,20)),1000000000)+ROW()/10000000,"")</f>
        <v/>
      </c>
    </row>
    <row r="3869" customFormat="false" ht="15" hidden="false" customHeight="false" outlineLevel="0" collapsed="false">
      <c r="F3869" s="15"/>
      <c r="N3869" s="16" t="str">
        <f aca="false">IF($D3869="","",M3869*Y3869/100)</f>
        <v/>
      </c>
      <c r="V3869" s="16" t="str">
        <f aca="false">IF($D3869="","",Y3869*AB3869/100)</f>
        <v/>
      </c>
      <c r="W3869" s="16" t="str">
        <f aca="false">IF($D3869="","",Y3869-V3869)</f>
        <v/>
      </c>
      <c r="X3869" s="16" t="str">
        <f aca="false">IF($D3869="","",W3869-N3869)</f>
        <v/>
      </c>
      <c r="AB3869" s="17" t="str">
        <f aca="false">IF($D3869="","",IF(OR($R3869=TRUE(),$R3869="TRUE"),Settings!$C$6,Settings!$C$7)*100)</f>
        <v/>
      </c>
      <c r="AH3869" s="18" t="str">
        <f aca="false">IF($D3869="","",IF(COUNTIF($D$2:$D3869,$D3869)=1,1,0))</f>
        <v/>
      </c>
      <c r="AI3869" s="18" t="str">
        <f aca="false">IF($AH3869=1,SUMPRODUCT(--($AK$2:$AK$4001&lt;$AK3869))+1,"")</f>
        <v/>
      </c>
      <c r="AJ3869" s="18" t="str">
        <f aca="false">IF($D3869="","",IF(OR($R3869=TRUE(),$R3869="TRUE"),1,0))</f>
        <v/>
      </c>
      <c r="AK3869" s="18" t="str">
        <f aca="false">IF($AH3869=1,IFERROR(VALUE(MID($D3869,2,20)),1000000000)+ROW()/10000000,"")</f>
        <v/>
      </c>
    </row>
    <row r="3870" customFormat="false" ht="15" hidden="false" customHeight="false" outlineLevel="0" collapsed="false">
      <c r="F3870" s="15"/>
      <c r="N3870" s="16" t="str">
        <f aca="false">IF($D3870="","",M3870*Y3870/100)</f>
        <v/>
      </c>
      <c r="V3870" s="16" t="str">
        <f aca="false">IF($D3870="","",Y3870*AB3870/100)</f>
        <v/>
      </c>
      <c r="W3870" s="16" t="str">
        <f aca="false">IF($D3870="","",Y3870-V3870)</f>
        <v/>
      </c>
      <c r="X3870" s="16" t="str">
        <f aca="false">IF($D3870="","",W3870-N3870)</f>
        <v/>
      </c>
      <c r="AB3870" s="17" t="str">
        <f aca="false">IF($D3870="","",IF(OR($R3870=TRUE(),$R3870="TRUE"),Settings!$C$6,Settings!$C$7)*100)</f>
        <v/>
      </c>
      <c r="AH3870" s="18" t="str">
        <f aca="false">IF($D3870="","",IF(COUNTIF($D$2:$D3870,$D3870)=1,1,0))</f>
        <v/>
      </c>
      <c r="AI3870" s="18" t="str">
        <f aca="false">IF($AH3870=1,SUMPRODUCT(--($AK$2:$AK$4001&lt;$AK3870))+1,"")</f>
        <v/>
      </c>
      <c r="AJ3870" s="18" t="str">
        <f aca="false">IF($D3870="","",IF(OR($R3870=TRUE(),$R3870="TRUE"),1,0))</f>
        <v/>
      </c>
      <c r="AK3870" s="18" t="str">
        <f aca="false">IF($AH3870=1,IFERROR(VALUE(MID($D3870,2,20)),1000000000)+ROW()/10000000,"")</f>
        <v/>
      </c>
    </row>
    <row r="3871" customFormat="false" ht="15" hidden="false" customHeight="false" outlineLevel="0" collapsed="false">
      <c r="F3871" s="15"/>
      <c r="N3871" s="16" t="str">
        <f aca="false">IF($D3871="","",M3871*Y3871/100)</f>
        <v/>
      </c>
      <c r="V3871" s="16" t="str">
        <f aca="false">IF($D3871="","",Y3871*AB3871/100)</f>
        <v/>
      </c>
      <c r="W3871" s="16" t="str">
        <f aca="false">IF($D3871="","",Y3871-V3871)</f>
        <v/>
      </c>
      <c r="X3871" s="16" t="str">
        <f aca="false">IF($D3871="","",W3871-N3871)</f>
        <v/>
      </c>
      <c r="AB3871" s="17" t="str">
        <f aca="false">IF($D3871="","",IF(OR($R3871=TRUE(),$R3871="TRUE"),Settings!$C$6,Settings!$C$7)*100)</f>
        <v/>
      </c>
      <c r="AH3871" s="18" t="str">
        <f aca="false">IF($D3871="","",IF(COUNTIF($D$2:$D3871,$D3871)=1,1,0))</f>
        <v/>
      </c>
      <c r="AI3871" s="18" t="str">
        <f aca="false">IF($AH3871=1,SUMPRODUCT(--($AK$2:$AK$4001&lt;$AK3871))+1,"")</f>
        <v/>
      </c>
      <c r="AJ3871" s="18" t="str">
        <f aca="false">IF($D3871="","",IF(OR($R3871=TRUE(),$R3871="TRUE"),1,0))</f>
        <v/>
      </c>
      <c r="AK3871" s="18" t="str">
        <f aca="false">IF($AH3871=1,IFERROR(VALUE(MID($D3871,2,20)),1000000000)+ROW()/10000000,"")</f>
        <v/>
      </c>
    </row>
    <row r="3872" customFormat="false" ht="15" hidden="false" customHeight="false" outlineLevel="0" collapsed="false">
      <c r="F3872" s="15"/>
      <c r="N3872" s="16" t="str">
        <f aca="false">IF($D3872="","",M3872*Y3872/100)</f>
        <v/>
      </c>
      <c r="V3872" s="16" t="str">
        <f aca="false">IF($D3872="","",Y3872*AB3872/100)</f>
        <v/>
      </c>
      <c r="W3872" s="16" t="str">
        <f aca="false">IF($D3872="","",Y3872-V3872)</f>
        <v/>
      </c>
      <c r="X3872" s="16" t="str">
        <f aca="false">IF($D3872="","",W3872-N3872)</f>
        <v/>
      </c>
      <c r="AB3872" s="17" t="str">
        <f aca="false">IF($D3872="","",IF(OR($R3872=TRUE(),$R3872="TRUE"),Settings!$C$6,Settings!$C$7)*100)</f>
        <v/>
      </c>
      <c r="AH3872" s="18" t="str">
        <f aca="false">IF($D3872="","",IF(COUNTIF($D$2:$D3872,$D3872)=1,1,0))</f>
        <v/>
      </c>
      <c r="AI3872" s="18" t="str">
        <f aca="false">IF($AH3872=1,SUMPRODUCT(--($AK$2:$AK$4001&lt;$AK3872))+1,"")</f>
        <v/>
      </c>
      <c r="AJ3872" s="18" t="str">
        <f aca="false">IF($D3872="","",IF(OR($R3872=TRUE(),$R3872="TRUE"),1,0))</f>
        <v/>
      </c>
      <c r="AK3872" s="18" t="str">
        <f aca="false">IF($AH3872=1,IFERROR(VALUE(MID($D3872,2,20)),1000000000)+ROW()/10000000,"")</f>
        <v/>
      </c>
    </row>
    <row r="3873" customFormat="false" ht="15" hidden="false" customHeight="false" outlineLevel="0" collapsed="false">
      <c r="F3873" s="15"/>
      <c r="N3873" s="16" t="str">
        <f aca="false">IF($D3873="","",M3873*Y3873/100)</f>
        <v/>
      </c>
      <c r="V3873" s="16" t="str">
        <f aca="false">IF($D3873="","",Y3873*AB3873/100)</f>
        <v/>
      </c>
      <c r="W3873" s="16" t="str">
        <f aca="false">IF($D3873="","",Y3873-V3873)</f>
        <v/>
      </c>
      <c r="X3873" s="16" t="str">
        <f aca="false">IF($D3873="","",W3873-N3873)</f>
        <v/>
      </c>
      <c r="AB3873" s="17" t="str">
        <f aca="false">IF($D3873="","",IF(OR($R3873=TRUE(),$R3873="TRUE"),Settings!$C$6,Settings!$C$7)*100)</f>
        <v/>
      </c>
      <c r="AH3873" s="18" t="str">
        <f aca="false">IF($D3873="","",IF(COUNTIF($D$2:$D3873,$D3873)=1,1,0))</f>
        <v/>
      </c>
      <c r="AI3873" s="18" t="str">
        <f aca="false">IF($AH3873=1,SUMPRODUCT(--($AK$2:$AK$4001&lt;$AK3873))+1,"")</f>
        <v/>
      </c>
      <c r="AJ3873" s="18" t="str">
        <f aca="false">IF($D3873="","",IF(OR($R3873=TRUE(),$R3873="TRUE"),1,0))</f>
        <v/>
      </c>
      <c r="AK3873" s="18" t="str">
        <f aca="false">IF($AH3873=1,IFERROR(VALUE(MID($D3873,2,20)),1000000000)+ROW()/10000000,"")</f>
        <v/>
      </c>
    </row>
    <row r="3874" customFormat="false" ht="15" hidden="false" customHeight="false" outlineLevel="0" collapsed="false">
      <c r="F3874" s="15"/>
      <c r="N3874" s="16" t="str">
        <f aca="false">IF($D3874="","",M3874*Y3874/100)</f>
        <v/>
      </c>
      <c r="V3874" s="16" t="str">
        <f aca="false">IF($D3874="","",Y3874*AB3874/100)</f>
        <v/>
      </c>
      <c r="W3874" s="16" t="str">
        <f aca="false">IF($D3874="","",Y3874-V3874)</f>
        <v/>
      </c>
      <c r="X3874" s="16" t="str">
        <f aca="false">IF($D3874="","",W3874-N3874)</f>
        <v/>
      </c>
      <c r="AB3874" s="17" t="str">
        <f aca="false">IF($D3874="","",IF(OR($R3874=TRUE(),$R3874="TRUE"),Settings!$C$6,Settings!$C$7)*100)</f>
        <v/>
      </c>
      <c r="AH3874" s="18" t="str">
        <f aca="false">IF($D3874="","",IF(COUNTIF($D$2:$D3874,$D3874)=1,1,0))</f>
        <v/>
      </c>
      <c r="AI3874" s="18" t="str">
        <f aca="false">IF($AH3874=1,SUMPRODUCT(--($AK$2:$AK$4001&lt;$AK3874))+1,"")</f>
        <v/>
      </c>
      <c r="AJ3874" s="18" t="str">
        <f aca="false">IF($D3874="","",IF(OR($R3874=TRUE(),$R3874="TRUE"),1,0))</f>
        <v/>
      </c>
      <c r="AK3874" s="18" t="str">
        <f aca="false">IF($AH3874=1,IFERROR(VALUE(MID($D3874,2,20)),1000000000)+ROW()/10000000,"")</f>
        <v/>
      </c>
    </row>
    <row r="3875" customFormat="false" ht="15" hidden="false" customHeight="false" outlineLevel="0" collapsed="false">
      <c r="F3875" s="15"/>
      <c r="N3875" s="16" t="str">
        <f aca="false">IF($D3875="","",M3875*Y3875/100)</f>
        <v/>
      </c>
      <c r="V3875" s="16" t="str">
        <f aca="false">IF($D3875="","",Y3875*AB3875/100)</f>
        <v/>
      </c>
      <c r="W3875" s="16" t="str">
        <f aca="false">IF($D3875="","",Y3875-V3875)</f>
        <v/>
      </c>
      <c r="X3875" s="16" t="str">
        <f aca="false">IF($D3875="","",W3875-N3875)</f>
        <v/>
      </c>
      <c r="AB3875" s="17" t="str">
        <f aca="false">IF($D3875="","",IF(OR($R3875=TRUE(),$R3875="TRUE"),Settings!$C$6,Settings!$C$7)*100)</f>
        <v/>
      </c>
      <c r="AH3875" s="18" t="str">
        <f aca="false">IF($D3875="","",IF(COUNTIF($D$2:$D3875,$D3875)=1,1,0))</f>
        <v/>
      </c>
      <c r="AI3875" s="18" t="str">
        <f aca="false">IF($AH3875=1,SUMPRODUCT(--($AK$2:$AK$4001&lt;$AK3875))+1,"")</f>
        <v/>
      </c>
      <c r="AJ3875" s="18" t="str">
        <f aca="false">IF($D3875="","",IF(OR($R3875=TRUE(),$R3875="TRUE"),1,0))</f>
        <v/>
      </c>
      <c r="AK3875" s="18" t="str">
        <f aca="false">IF($AH3875=1,IFERROR(VALUE(MID($D3875,2,20)),1000000000)+ROW()/10000000,"")</f>
        <v/>
      </c>
    </row>
    <row r="3876" customFormat="false" ht="15" hidden="false" customHeight="false" outlineLevel="0" collapsed="false">
      <c r="F3876" s="15"/>
      <c r="N3876" s="16" t="str">
        <f aca="false">IF($D3876="","",M3876*Y3876/100)</f>
        <v/>
      </c>
      <c r="V3876" s="16" t="str">
        <f aca="false">IF($D3876="","",Y3876*AB3876/100)</f>
        <v/>
      </c>
      <c r="W3876" s="16" t="str">
        <f aca="false">IF($D3876="","",Y3876-V3876)</f>
        <v/>
      </c>
      <c r="X3876" s="16" t="str">
        <f aca="false">IF($D3876="","",W3876-N3876)</f>
        <v/>
      </c>
      <c r="AB3876" s="17" t="str">
        <f aca="false">IF($D3876="","",IF(OR($R3876=TRUE(),$R3876="TRUE"),Settings!$C$6,Settings!$C$7)*100)</f>
        <v/>
      </c>
      <c r="AH3876" s="18" t="str">
        <f aca="false">IF($D3876="","",IF(COUNTIF($D$2:$D3876,$D3876)=1,1,0))</f>
        <v/>
      </c>
      <c r="AI3876" s="18" t="str">
        <f aca="false">IF($AH3876=1,SUMPRODUCT(--($AK$2:$AK$4001&lt;$AK3876))+1,"")</f>
        <v/>
      </c>
      <c r="AJ3876" s="18" t="str">
        <f aca="false">IF($D3876="","",IF(OR($R3876=TRUE(),$R3876="TRUE"),1,0))</f>
        <v/>
      </c>
      <c r="AK3876" s="18" t="str">
        <f aca="false">IF($AH3876=1,IFERROR(VALUE(MID($D3876,2,20)),1000000000)+ROW()/10000000,"")</f>
        <v/>
      </c>
    </row>
    <row r="3877" customFormat="false" ht="15" hidden="false" customHeight="false" outlineLevel="0" collapsed="false">
      <c r="F3877" s="15"/>
      <c r="N3877" s="16" t="str">
        <f aca="false">IF($D3877="","",M3877*Y3877/100)</f>
        <v/>
      </c>
      <c r="V3877" s="16" t="str">
        <f aca="false">IF($D3877="","",Y3877*AB3877/100)</f>
        <v/>
      </c>
      <c r="W3877" s="16" t="str">
        <f aca="false">IF($D3877="","",Y3877-V3877)</f>
        <v/>
      </c>
      <c r="X3877" s="16" t="str">
        <f aca="false">IF($D3877="","",W3877-N3877)</f>
        <v/>
      </c>
      <c r="AB3877" s="17" t="str">
        <f aca="false">IF($D3877="","",IF(OR($R3877=TRUE(),$R3877="TRUE"),Settings!$C$6,Settings!$C$7)*100)</f>
        <v/>
      </c>
      <c r="AH3877" s="18" t="str">
        <f aca="false">IF($D3877="","",IF(COUNTIF($D$2:$D3877,$D3877)=1,1,0))</f>
        <v/>
      </c>
      <c r="AI3877" s="18" t="str">
        <f aca="false">IF($AH3877=1,SUMPRODUCT(--($AK$2:$AK$4001&lt;$AK3877))+1,"")</f>
        <v/>
      </c>
      <c r="AJ3877" s="18" t="str">
        <f aca="false">IF($D3877="","",IF(OR($R3877=TRUE(),$R3877="TRUE"),1,0))</f>
        <v/>
      </c>
      <c r="AK3877" s="18" t="str">
        <f aca="false">IF($AH3877=1,IFERROR(VALUE(MID($D3877,2,20)),1000000000)+ROW()/10000000,"")</f>
        <v/>
      </c>
    </row>
    <row r="3878" customFormat="false" ht="15" hidden="false" customHeight="false" outlineLevel="0" collapsed="false">
      <c r="F3878" s="15"/>
      <c r="N3878" s="16" t="str">
        <f aca="false">IF($D3878="","",M3878*Y3878/100)</f>
        <v/>
      </c>
      <c r="V3878" s="16" t="str">
        <f aca="false">IF($D3878="","",Y3878*AB3878/100)</f>
        <v/>
      </c>
      <c r="W3878" s="16" t="str">
        <f aca="false">IF($D3878="","",Y3878-V3878)</f>
        <v/>
      </c>
      <c r="X3878" s="16" t="str">
        <f aca="false">IF($D3878="","",W3878-N3878)</f>
        <v/>
      </c>
      <c r="AB3878" s="17" t="str">
        <f aca="false">IF($D3878="","",IF(OR($R3878=TRUE(),$R3878="TRUE"),Settings!$C$6,Settings!$C$7)*100)</f>
        <v/>
      </c>
      <c r="AH3878" s="18" t="str">
        <f aca="false">IF($D3878="","",IF(COUNTIF($D$2:$D3878,$D3878)=1,1,0))</f>
        <v/>
      </c>
      <c r="AI3878" s="18" t="str">
        <f aca="false">IF($AH3878=1,SUMPRODUCT(--($AK$2:$AK$4001&lt;$AK3878))+1,"")</f>
        <v/>
      </c>
      <c r="AJ3878" s="18" t="str">
        <f aca="false">IF($D3878="","",IF(OR($R3878=TRUE(),$R3878="TRUE"),1,0))</f>
        <v/>
      </c>
      <c r="AK3878" s="18" t="str">
        <f aca="false">IF($AH3878=1,IFERROR(VALUE(MID($D3878,2,20)),1000000000)+ROW()/10000000,"")</f>
        <v/>
      </c>
    </row>
    <row r="3879" customFormat="false" ht="15" hidden="false" customHeight="false" outlineLevel="0" collapsed="false">
      <c r="F3879" s="15"/>
      <c r="N3879" s="16" t="str">
        <f aca="false">IF($D3879="","",M3879*Y3879/100)</f>
        <v/>
      </c>
      <c r="V3879" s="16" t="str">
        <f aca="false">IF($D3879="","",Y3879*AB3879/100)</f>
        <v/>
      </c>
      <c r="W3879" s="16" t="str">
        <f aca="false">IF($D3879="","",Y3879-V3879)</f>
        <v/>
      </c>
      <c r="X3879" s="16" t="str">
        <f aca="false">IF($D3879="","",W3879-N3879)</f>
        <v/>
      </c>
      <c r="AB3879" s="17" t="str">
        <f aca="false">IF($D3879="","",IF(OR($R3879=TRUE(),$R3879="TRUE"),Settings!$C$6,Settings!$C$7)*100)</f>
        <v/>
      </c>
      <c r="AH3879" s="18" t="str">
        <f aca="false">IF($D3879="","",IF(COUNTIF($D$2:$D3879,$D3879)=1,1,0))</f>
        <v/>
      </c>
      <c r="AI3879" s="18" t="str">
        <f aca="false">IF($AH3879=1,SUMPRODUCT(--($AK$2:$AK$4001&lt;$AK3879))+1,"")</f>
        <v/>
      </c>
      <c r="AJ3879" s="18" t="str">
        <f aca="false">IF($D3879="","",IF(OR($R3879=TRUE(),$R3879="TRUE"),1,0))</f>
        <v/>
      </c>
      <c r="AK3879" s="18" t="str">
        <f aca="false">IF($AH3879=1,IFERROR(VALUE(MID($D3879,2,20)),1000000000)+ROW()/10000000,"")</f>
        <v/>
      </c>
    </row>
    <row r="3880" customFormat="false" ht="15" hidden="false" customHeight="false" outlineLevel="0" collapsed="false">
      <c r="F3880" s="15"/>
      <c r="N3880" s="16" t="str">
        <f aca="false">IF($D3880="","",M3880*Y3880/100)</f>
        <v/>
      </c>
      <c r="V3880" s="16" t="str">
        <f aca="false">IF($D3880="","",Y3880*AB3880/100)</f>
        <v/>
      </c>
      <c r="W3880" s="16" t="str">
        <f aca="false">IF($D3880="","",Y3880-V3880)</f>
        <v/>
      </c>
      <c r="X3880" s="16" t="str">
        <f aca="false">IF($D3880="","",W3880-N3880)</f>
        <v/>
      </c>
      <c r="AB3880" s="17" t="str">
        <f aca="false">IF($D3880="","",IF(OR($R3880=TRUE(),$R3880="TRUE"),Settings!$C$6,Settings!$C$7)*100)</f>
        <v/>
      </c>
      <c r="AH3880" s="18" t="str">
        <f aca="false">IF($D3880="","",IF(COUNTIF($D$2:$D3880,$D3880)=1,1,0))</f>
        <v/>
      </c>
      <c r="AI3880" s="18" t="str">
        <f aca="false">IF($AH3880=1,SUMPRODUCT(--($AK$2:$AK$4001&lt;$AK3880))+1,"")</f>
        <v/>
      </c>
      <c r="AJ3880" s="18" t="str">
        <f aca="false">IF($D3880="","",IF(OR($R3880=TRUE(),$R3880="TRUE"),1,0))</f>
        <v/>
      </c>
      <c r="AK3880" s="18" t="str">
        <f aca="false">IF($AH3880=1,IFERROR(VALUE(MID($D3880,2,20)),1000000000)+ROW()/10000000,"")</f>
        <v/>
      </c>
    </row>
    <row r="3881" customFormat="false" ht="15" hidden="false" customHeight="false" outlineLevel="0" collapsed="false">
      <c r="F3881" s="15"/>
      <c r="N3881" s="16" t="str">
        <f aca="false">IF($D3881="","",M3881*Y3881/100)</f>
        <v/>
      </c>
      <c r="V3881" s="16" t="str">
        <f aca="false">IF($D3881="","",Y3881*AB3881/100)</f>
        <v/>
      </c>
      <c r="W3881" s="16" t="str">
        <f aca="false">IF($D3881="","",Y3881-V3881)</f>
        <v/>
      </c>
      <c r="X3881" s="16" t="str">
        <f aca="false">IF($D3881="","",W3881-N3881)</f>
        <v/>
      </c>
      <c r="AB3881" s="17" t="str">
        <f aca="false">IF($D3881="","",IF(OR($R3881=TRUE(),$R3881="TRUE"),Settings!$C$6,Settings!$C$7)*100)</f>
        <v/>
      </c>
      <c r="AH3881" s="18" t="str">
        <f aca="false">IF($D3881="","",IF(COUNTIF($D$2:$D3881,$D3881)=1,1,0))</f>
        <v/>
      </c>
      <c r="AI3881" s="18" t="str">
        <f aca="false">IF($AH3881=1,SUMPRODUCT(--($AK$2:$AK$4001&lt;$AK3881))+1,"")</f>
        <v/>
      </c>
      <c r="AJ3881" s="18" t="str">
        <f aca="false">IF($D3881="","",IF(OR($R3881=TRUE(),$R3881="TRUE"),1,0))</f>
        <v/>
      </c>
      <c r="AK3881" s="18" t="str">
        <f aca="false">IF($AH3881=1,IFERROR(VALUE(MID($D3881,2,20)),1000000000)+ROW()/10000000,"")</f>
        <v/>
      </c>
    </row>
    <row r="3882" customFormat="false" ht="15" hidden="false" customHeight="false" outlineLevel="0" collapsed="false">
      <c r="F3882" s="15"/>
      <c r="N3882" s="16" t="str">
        <f aca="false">IF($D3882="","",M3882*Y3882/100)</f>
        <v/>
      </c>
      <c r="V3882" s="16" t="str">
        <f aca="false">IF($D3882="","",Y3882*AB3882/100)</f>
        <v/>
      </c>
      <c r="W3882" s="16" t="str">
        <f aca="false">IF($D3882="","",Y3882-V3882)</f>
        <v/>
      </c>
      <c r="X3882" s="16" t="str">
        <f aca="false">IF($D3882="","",W3882-N3882)</f>
        <v/>
      </c>
      <c r="AB3882" s="17" t="str">
        <f aca="false">IF($D3882="","",IF(OR($R3882=TRUE(),$R3882="TRUE"),Settings!$C$6,Settings!$C$7)*100)</f>
        <v/>
      </c>
      <c r="AH3882" s="18" t="str">
        <f aca="false">IF($D3882="","",IF(COUNTIF($D$2:$D3882,$D3882)=1,1,0))</f>
        <v/>
      </c>
      <c r="AI3882" s="18" t="str">
        <f aca="false">IF($AH3882=1,SUMPRODUCT(--($AK$2:$AK$4001&lt;$AK3882))+1,"")</f>
        <v/>
      </c>
      <c r="AJ3882" s="18" t="str">
        <f aca="false">IF($D3882="","",IF(OR($R3882=TRUE(),$R3882="TRUE"),1,0))</f>
        <v/>
      </c>
      <c r="AK3882" s="18" t="str">
        <f aca="false">IF($AH3882=1,IFERROR(VALUE(MID($D3882,2,20)),1000000000)+ROW()/10000000,"")</f>
        <v/>
      </c>
    </row>
    <row r="3883" customFormat="false" ht="15" hidden="false" customHeight="false" outlineLevel="0" collapsed="false">
      <c r="F3883" s="15"/>
      <c r="N3883" s="16" t="str">
        <f aca="false">IF($D3883="","",M3883*Y3883/100)</f>
        <v/>
      </c>
      <c r="V3883" s="16" t="str">
        <f aca="false">IF($D3883="","",Y3883*AB3883/100)</f>
        <v/>
      </c>
      <c r="W3883" s="16" t="str">
        <f aca="false">IF($D3883="","",Y3883-V3883)</f>
        <v/>
      </c>
      <c r="X3883" s="16" t="str">
        <f aca="false">IF($D3883="","",W3883-N3883)</f>
        <v/>
      </c>
      <c r="AB3883" s="17" t="str">
        <f aca="false">IF($D3883="","",IF(OR($R3883=TRUE(),$R3883="TRUE"),Settings!$C$6,Settings!$C$7)*100)</f>
        <v/>
      </c>
      <c r="AH3883" s="18" t="str">
        <f aca="false">IF($D3883="","",IF(COUNTIF($D$2:$D3883,$D3883)=1,1,0))</f>
        <v/>
      </c>
      <c r="AI3883" s="18" t="str">
        <f aca="false">IF($AH3883=1,SUMPRODUCT(--($AK$2:$AK$4001&lt;$AK3883))+1,"")</f>
        <v/>
      </c>
      <c r="AJ3883" s="18" t="str">
        <f aca="false">IF($D3883="","",IF(OR($R3883=TRUE(),$R3883="TRUE"),1,0))</f>
        <v/>
      </c>
      <c r="AK3883" s="18" t="str">
        <f aca="false">IF($AH3883=1,IFERROR(VALUE(MID($D3883,2,20)),1000000000)+ROW()/10000000,"")</f>
        <v/>
      </c>
    </row>
    <row r="3884" customFormat="false" ht="15" hidden="false" customHeight="false" outlineLevel="0" collapsed="false">
      <c r="F3884" s="15"/>
      <c r="N3884" s="16" t="str">
        <f aca="false">IF($D3884="","",M3884*Y3884/100)</f>
        <v/>
      </c>
      <c r="V3884" s="16" t="str">
        <f aca="false">IF($D3884="","",Y3884*AB3884/100)</f>
        <v/>
      </c>
      <c r="W3884" s="16" t="str">
        <f aca="false">IF($D3884="","",Y3884-V3884)</f>
        <v/>
      </c>
      <c r="X3884" s="16" t="str">
        <f aca="false">IF($D3884="","",W3884-N3884)</f>
        <v/>
      </c>
      <c r="AB3884" s="17" t="str">
        <f aca="false">IF($D3884="","",IF(OR($R3884=TRUE(),$R3884="TRUE"),Settings!$C$6,Settings!$C$7)*100)</f>
        <v/>
      </c>
      <c r="AH3884" s="18" t="str">
        <f aca="false">IF($D3884="","",IF(COUNTIF($D$2:$D3884,$D3884)=1,1,0))</f>
        <v/>
      </c>
      <c r="AI3884" s="18" t="str">
        <f aca="false">IF($AH3884=1,SUMPRODUCT(--($AK$2:$AK$4001&lt;$AK3884))+1,"")</f>
        <v/>
      </c>
      <c r="AJ3884" s="18" t="str">
        <f aca="false">IF($D3884="","",IF(OR($R3884=TRUE(),$R3884="TRUE"),1,0))</f>
        <v/>
      </c>
      <c r="AK3884" s="18" t="str">
        <f aca="false">IF($AH3884=1,IFERROR(VALUE(MID($D3884,2,20)),1000000000)+ROW()/10000000,"")</f>
        <v/>
      </c>
    </row>
    <row r="3885" customFormat="false" ht="15" hidden="false" customHeight="false" outlineLevel="0" collapsed="false">
      <c r="F3885" s="15"/>
      <c r="N3885" s="16" t="str">
        <f aca="false">IF($D3885="","",M3885*Y3885/100)</f>
        <v/>
      </c>
      <c r="V3885" s="16" t="str">
        <f aca="false">IF($D3885="","",Y3885*AB3885/100)</f>
        <v/>
      </c>
      <c r="W3885" s="16" t="str">
        <f aca="false">IF($D3885="","",Y3885-V3885)</f>
        <v/>
      </c>
      <c r="X3885" s="16" t="str">
        <f aca="false">IF($D3885="","",W3885-N3885)</f>
        <v/>
      </c>
      <c r="AB3885" s="17" t="str">
        <f aca="false">IF($D3885="","",IF(OR($R3885=TRUE(),$R3885="TRUE"),Settings!$C$6,Settings!$C$7)*100)</f>
        <v/>
      </c>
      <c r="AH3885" s="18" t="str">
        <f aca="false">IF($D3885="","",IF(COUNTIF($D$2:$D3885,$D3885)=1,1,0))</f>
        <v/>
      </c>
      <c r="AI3885" s="18" t="str">
        <f aca="false">IF($AH3885=1,SUMPRODUCT(--($AK$2:$AK$4001&lt;$AK3885))+1,"")</f>
        <v/>
      </c>
      <c r="AJ3885" s="18" t="str">
        <f aca="false">IF($D3885="","",IF(OR($R3885=TRUE(),$R3885="TRUE"),1,0))</f>
        <v/>
      </c>
      <c r="AK3885" s="18" t="str">
        <f aca="false">IF($AH3885=1,IFERROR(VALUE(MID($D3885,2,20)),1000000000)+ROW()/10000000,"")</f>
        <v/>
      </c>
    </row>
    <row r="3886" customFormat="false" ht="15" hidden="false" customHeight="false" outlineLevel="0" collapsed="false">
      <c r="F3886" s="15"/>
      <c r="N3886" s="16" t="str">
        <f aca="false">IF($D3886="","",M3886*Y3886/100)</f>
        <v/>
      </c>
      <c r="V3886" s="16" t="str">
        <f aca="false">IF($D3886="","",Y3886*AB3886/100)</f>
        <v/>
      </c>
      <c r="W3886" s="16" t="str">
        <f aca="false">IF($D3886="","",Y3886-V3886)</f>
        <v/>
      </c>
      <c r="X3886" s="16" t="str">
        <f aca="false">IF($D3886="","",W3886-N3886)</f>
        <v/>
      </c>
      <c r="AB3886" s="17" t="str">
        <f aca="false">IF($D3886="","",IF(OR($R3886=TRUE(),$R3886="TRUE"),Settings!$C$6,Settings!$C$7)*100)</f>
        <v/>
      </c>
      <c r="AH3886" s="18" t="str">
        <f aca="false">IF($D3886="","",IF(COUNTIF($D$2:$D3886,$D3886)=1,1,0))</f>
        <v/>
      </c>
      <c r="AI3886" s="18" t="str">
        <f aca="false">IF($AH3886=1,SUMPRODUCT(--($AK$2:$AK$4001&lt;$AK3886))+1,"")</f>
        <v/>
      </c>
      <c r="AJ3886" s="18" t="str">
        <f aca="false">IF($D3886="","",IF(OR($R3886=TRUE(),$R3886="TRUE"),1,0))</f>
        <v/>
      </c>
      <c r="AK3886" s="18" t="str">
        <f aca="false">IF($AH3886=1,IFERROR(VALUE(MID($D3886,2,20)),1000000000)+ROW()/10000000,"")</f>
        <v/>
      </c>
    </row>
    <row r="3887" customFormat="false" ht="15" hidden="false" customHeight="false" outlineLevel="0" collapsed="false">
      <c r="F3887" s="15"/>
      <c r="N3887" s="16" t="str">
        <f aca="false">IF($D3887="","",M3887*Y3887/100)</f>
        <v/>
      </c>
      <c r="V3887" s="16" t="str">
        <f aca="false">IF($D3887="","",Y3887*AB3887/100)</f>
        <v/>
      </c>
      <c r="W3887" s="16" t="str">
        <f aca="false">IF($D3887="","",Y3887-V3887)</f>
        <v/>
      </c>
      <c r="X3887" s="16" t="str">
        <f aca="false">IF($D3887="","",W3887-N3887)</f>
        <v/>
      </c>
      <c r="AB3887" s="17" t="str">
        <f aca="false">IF($D3887="","",IF(OR($R3887=TRUE(),$R3887="TRUE"),Settings!$C$6,Settings!$C$7)*100)</f>
        <v/>
      </c>
      <c r="AH3887" s="18" t="str">
        <f aca="false">IF($D3887="","",IF(COUNTIF($D$2:$D3887,$D3887)=1,1,0))</f>
        <v/>
      </c>
      <c r="AI3887" s="18" t="str">
        <f aca="false">IF($AH3887=1,SUMPRODUCT(--($AK$2:$AK$4001&lt;$AK3887))+1,"")</f>
        <v/>
      </c>
      <c r="AJ3887" s="18" t="str">
        <f aca="false">IF($D3887="","",IF(OR($R3887=TRUE(),$R3887="TRUE"),1,0))</f>
        <v/>
      </c>
      <c r="AK3887" s="18" t="str">
        <f aca="false">IF($AH3887=1,IFERROR(VALUE(MID($D3887,2,20)),1000000000)+ROW()/10000000,"")</f>
        <v/>
      </c>
    </row>
    <row r="3888" customFormat="false" ht="15" hidden="false" customHeight="false" outlineLevel="0" collapsed="false">
      <c r="F3888" s="15"/>
      <c r="N3888" s="16" t="str">
        <f aca="false">IF($D3888="","",M3888*Y3888/100)</f>
        <v/>
      </c>
      <c r="V3888" s="16" t="str">
        <f aca="false">IF($D3888="","",Y3888*AB3888/100)</f>
        <v/>
      </c>
      <c r="W3888" s="16" t="str">
        <f aca="false">IF($D3888="","",Y3888-V3888)</f>
        <v/>
      </c>
      <c r="X3888" s="16" t="str">
        <f aca="false">IF($D3888="","",W3888-N3888)</f>
        <v/>
      </c>
      <c r="AB3888" s="17" t="str">
        <f aca="false">IF($D3888="","",IF(OR($R3888=TRUE(),$R3888="TRUE"),Settings!$C$6,Settings!$C$7)*100)</f>
        <v/>
      </c>
      <c r="AH3888" s="18" t="str">
        <f aca="false">IF($D3888="","",IF(COUNTIF($D$2:$D3888,$D3888)=1,1,0))</f>
        <v/>
      </c>
      <c r="AI3888" s="18" t="str">
        <f aca="false">IF($AH3888=1,SUMPRODUCT(--($AK$2:$AK$4001&lt;$AK3888))+1,"")</f>
        <v/>
      </c>
      <c r="AJ3888" s="18" t="str">
        <f aca="false">IF($D3888="","",IF(OR($R3888=TRUE(),$R3888="TRUE"),1,0))</f>
        <v/>
      </c>
      <c r="AK3888" s="18" t="str">
        <f aca="false">IF($AH3888=1,IFERROR(VALUE(MID($D3888,2,20)),1000000000)+ROW()/10000000,"")</f>
        <v/>
      </c>
    </row>
    <row r="3889" customFormat="false" ht="15" hidden="false" customHeight="false" outlineLevel="0" collapsed="false">
      <c r="F3889" s="15"/>
      <c r="N3889" s="16" t="str">
        <f aca="false">IF($D3889="","",M3889*Y3889/100)</f>
        <v/>
      </c>
      <c r="V3889" s="16" t="str">
        <f aca="false">IF($D3889="","",Y3889*AB3889/100)</f>
        <v/>
      </c>
      <c r="W3889" s="16" t="str">
        <f aca="false">IF($D3889="","",Y3889-V3889)</f>
        <v/>
      </c>
      <c r="X3889" s="16" t="str">
        <f aca="false">IF($D3889="","",W3889-N3889)</f>
        <v/>
      </c>
      <c r="AB3889" s="17" t="str">
        <f aca="false">IF($D3889="","",IF(OR($R3889=TRUE(),$R3889="TRUE"),Settings!$C$6,Settings!$C$7)*100)</f>
        <v/>
      </c>
      <c r="AH3889" s="18" t="str">
        <f aca="false">IF($D3889="","",IF(COUNTIF($D$2:$D3889,$D3889)=1,1,0))</f>
        <v/>
      </c>
      <c r="AI3889" s="18" t="str">
        <f aca="false">IF($AH3889=1,SUMPRODUCT(--($AK$2:$AK$4001&lt;$AK3889))+1,"")</f>
        <v/>
      </c>
      <c r="AJ3889" s="18" t="str">
        <f aca="false">IF($D3889="","",IF(OR($R3889=TRUE(),$R3889="TRUE"),1,0))</f>
        <v/>
      </c>
      <c r="AK3889" s="18" t="str">
        <f aca="false">IF($AH3889=1,IFERROR(VALUE(MID($D3889,2,20)),1000000000)+ROW()/10000000,"")</f>
        <v/>
      </c>
    </row>
    <row r="3890" customFormat="false" ht="15" hidden="false" customHeight="false" outlineLevel="0" collapsed="false">
      <c r="F3890" s="15"/>
      <c r="N3890" s="16" t="str">
        <f aca="false">IF($D3890="","",M3890*Y3890/100)</f>
        <v/>
      </c>
      <c r="V3890" s="16" t="str">
        <f aca="false">IF($D3890="","",Y3890*AB3890/100)</f>
        <v/>
      </c>
      <c r="W3890" s="16" t="str">
        <f aca="false">IF($D3890="","",Y3890-V3890)</f>
        <v/>
      </c>
      <c r="X3890" s="16" t="str">
        <f aca="false">IF($D3890="","",W3890-N3890)</f>
        <v/>
      </c>
      <c r="AB3890" s="17" t="str">
        <f aca="false">IF($D3890="","",IF(OR($R3890=TRUE(),$R3890="TRUE"),Settings!$C$6,Settings!$C$7)*100)</f>
        <v/>
      </c>
      <c r="AH3890" s="18" t="str">
        <f aca="false">IF($D3890="","",IF(COUNTIF($D$2:$D3890,$D3890)=1,1,0))</f>
        <v/>
      </c>
      <c r="AI3890" s="18" t="str">
        <f aca="false">IF($AH3890=1,SUMPRODUCT(--($AK$2:$AK$4001&lt;$AK3890))+1,"")</f>
        <v/>
      </c>
      <c r="AJ3890" s="18" t="str">
        <f aca="false">IF($D3890="","",IF(OR($R3890=TRUE(),$R3890="TRUE"),1,0))</f>
        <v/>
      </c>
      <c r="AK3890" s="18" t="str">
        <f aca="false">IF($AH3890=1,IFERROR(VALUE(MID($D3890,2,20)),1000000000)+ROW()/10000000,"")</f>
        <v/>
      </c>
    </row>
    <row r="3891" customFormat="false" ht="15" hidden="false" customHeight="false" outlineLevel="0" collapsed="false">
      <c r="F3891" s="15"/>
      <c r="N3891" s="16" t="str">
        <f aca="false">IF($D3891="","",M3891*Y3891/100)</f>
        <v/>
      </c>
      <c r="V3891" s="16" t="str">
        <f aca="false">IF($D3891="","",Y3891*AB3891/100)</f>
        <v/>
      </c>
      <c r="W3891" s="16" t="str">
        <f aca="false">IF($D3891="","",Y3891-V3891)</f>
        <v/>
      </c>
      <c r="X3891" s="16" t="str">
        <f aca="false">IF($D3891="","",W3891-N3891)</f>
        <v/>
      </c>
      <c r="AB3891" s="17" t="str">
        <f aca="false">IF($D3891="","",IF(OR($R3891=TRUE(),$R3891="TRUE"),Settings!$C$6,Settings!$C$7)*100)</f>
        <v/>
      </c>
      <c r="AH3891" s="18" t="str">
        <f aca="false">IF($D3891="","",IF(COUNTIF($D$2:$D3891,$D3891)=1,1,0))</f>
        <v/>
      </c>
      <c r="AI3891" s="18" t="str">
        <f aca="false">IF($AH3891=1,SUMPRODUCT(--($AK$2:$AK$4001&lt;$AK3891))+1,"")</f>
        <v/>
      </c>
      <c r="AJ3891" s="18" t="str">
        <f aca="false">IF($D3891="","",IF(OR($R3891=TRUE(),$R3891="TRUE"),1,0))</f>
        <v/>
      </c>
      <c r="AK3891" s="18" t="str">
        <f aca="false">IF($AH3891=1,IFERROR(VALUE(MID($D3891,2,20)),1000000000)+ROW()/10000000,"")</f>
        <v/>
      </c>
    </row>
    <row r="3892" customFormat="false" ht="15" hidden="false" customHeight="false" outlineLevel="0" collapsed="false">
      <c r="F3892" s="15"/>
      <c r="N3892" s="16" t="str">
        <f aca="false">IF($D3892="","",M3892*Y3892/100)</f>
        <v/>
      </c>
      <c r="V3892" s="16" t="str">
        <f aca="false">IF($D3892="","",Y3892*AB3892/100)</f>
        <v/>
      </c>
      <c r="W3892" s="16" t="str">
        <f aca="false">IF($D3892="","",Y3892-V3892)</f>
        <v/>
      </c>
      <c r="X3892" s="16" t="str">
        <f aca="false">IF($D3892="","",W3892-N3892)</f>
        <v/>
      </c>
      <c r="AB3892" s="17" t="str">
        <f aca="false">IF($D3892="","",IF(OR($R3892=TRUE(),$R3892="TRUE"),Settings!$C$6,Settings!$C$7)*100)</f>
        <v/>
      </c>
      <c r="AH3892" s="18" t="str">
        <f aca="false">IF($D3892="","",IF(COUNTIF($D$2:$D3892,$D3892)=1,1,0))</f>
        <v/>
      </c>
      <c r="AI3892" s="18" t="str">
        <f aca="false">IF($AH3892=1,SUMPRODUCT(--($AK$2:$AK$4001&lt;$AK3892))+1,"")</f>
        <v/>
      </c>
      <c r="AJ3892" s="18" t="str">
        <f aca="false">IF($D3892="","",IF(OR($R3892=TRUE(),$R3892="TRUE"),1,0))</f>
        <v/>
      </c>
      <c r="AK3892" s="18" t="str">
        <f aca="false">IF($AH3892=1,IFERROR(VALUE(MID($D3892,2,20)),1000000000)+ROW()/10000000,"")</f>
        <v/>
      </c>
    </row>
    <row r="3893" customFormat="false" ht="15" hidden="false" customHeight="false" outlineLevel="0" collapsed="false">
      <c r="F3893" s="15"/>
      <c r="N3893" s="16" t="str">
        <f aca="false">IF($D3893="","",M3893*Y3893/100)</f>
        <v/>
      </c>
      <c r="V3893" s="16" t="str">
        <f aca="false">IF($D3893="","",Y3893*AB3893/100)</f>
        <v/>
      </c>
      <c r="W3893" s="16" t="str">
        <f aca="false">IF($D3893="","",Y3893-V3893)</f>
        <v/>
      </c>
      <c r="X3893" s="16" t="str">
        <f aca="false">IF($D3893="","",W3893-N3893)</f>
        <v/>
      </c>
      <c r="AB3893" s="17" t="str">
        <f aca="false">IF($D3893="","",IF(OR($R3893=TRUE(),$R3893="TRUE"),Settings!$C$6,Settings!$C$7)*100)</f>
        <v/>
      </c>
      <c r="AH3893" s="18" t="str">
        <f aca="false">IF($D3893="","",IF(COUNTIF($D$2:$D3893,$D3893)=1,1,0))</f>
        <v/>
      </c>
      <c r="AI3893" s="18" t="str">
        <f aca="false">IF($AH3893=1,SUMPRODUCT(--($AK$2:$AK$4001&lt;$AK3893))+1,"")</f>
        <v/>
      </c>
      <c r="AJ3893" s="18" t="str">
        <f aca="false">IF($D3893="","",IF(OR($R3893=TRUE(),$R3893="TRUE"),1,0))</f>
        <v/>
      </c>
      <c r="AK3893" s="18" t="str">
        <f aca="false">IF($AH3893=1,IFERROR(VALUE(MID($D3893,2,20)),1000000000)+ROW()/10000000,"")</f>
        <v/>
      </c>
    </row>
    <row r="3894" customFormat="false" ht="15" hidden="false" customHeight="false" outlineLevel="0" collapsed="false">
      <c r="F3894" s="15"/>
      <c r="N3894" s="16" t="str">
        <f aca="false">IF($D3894="","",M3894*Y3894/100)</f>
        <v/>
      </c>
      <c r="V3894" s="16" t="str">
        <f aca="false">IF($D3894="","",Y3894*AB3894/100)</f>
        <v/>
      </c>
      <c r="W3894" s="16" t="str">
        <f aca="false">IF($D3894="","",Y3894-V3894)</f>
        <v/>
      </c>
      <c r="X3894" s="16" t="str">
        <f aca="false">IF($D3894="","",W3894-N3894)</f>
        <v/>
      </c>
      <c r="AB3894" s="17" t="str">
        <f aca="false">IF($D3894="","",IF(OR($R3894=TRUE(),$R3894="TRUE"),Settings!$C$6,Settings!$C$7)*100)</f>
        <v/>
      </c>
      <c r="AH3894" s="18" t="str">
        <f aca="false">IF($D3894="","",IF(COUNTIF($D$2:$D3894,$D3894)=1,1,0))</f>
        <v/>
      </c>
      <c r="AI3894" s="18" t="str">
        <f aca="false">IF($AH3894=1,SUMPRODUCT(--($AK$2:$AK$4001&lt;$AK3894))+1,"")</f>
        <v/>
      </c>
      <c r="AJ3894" s="18" t="str">
        <f aca="false">IF($D3894="","",IF(OR($R3894=TRUE(),$R3894="TRUE"),1,0))</f>
        <v/>
      </c>
      <c r="AK3894" s="18" t="str">
        <f aca="false">IF($AH3894=1,IFERROR(VALUE(MID($D3894,2,20)),1000000000)+ROW()/10000000,"")</f>
        <v/>
      </c>
    </row>
    <row r="3895" customFormat="false" ht="15" hidden="false" customHeight="false" outlineLevel="0" collapsed="false">
      <c r="F3895" s="15"/>
      <c r="N3895" s="16" t="str">
        <f aca="false">IF($D3895="","",M3895*Y3895/100)</f>
        <v/>
      </c>
      <c r="V3895" s="16" t="str">
        <f aca="false">IF($D3895="","",Y3895*AB3895/100)</f>
        <v/>
      </c>
      <c r="W3895" s="16" t="str">
        <f aca="false">IF($D3895="","",Y3895-V3895)</f>
        <v/>
      </c>
      <c r="X3895" s="16" t="str">
        <f aca="false">IF($D3895="","",W3895-N3895)</f>
        <v/>
      </c>
      <c r="AB3895" s="17" t="str">
        <f aca="false">IF($D3895="","",IF(OR($R3895=TRUE(),$R3895="TRUE"),Settings!$C$6,Settings!$C$7)*100)</f>
        <v/>
      </c>
      <c r="AH3895" s="18" t="str">
        <f aca="false">IF($D3895="","",IF(COUNTIF($D$2:$D3895,$D3895)=1,1,0))</f>
        <v/>
      </c>
      <c r="AI3895" s="18" t="str">
        <f aca="false">IF($AH3895=1,SUMPRODUCT(--($AK$2:$AK$4001&lt;$AK3895))+1,"")</f>
        <v/>
      </c>
      <c r="AJ3895" s="18" t="str">
        <f aca="false">IF($D3895="","",IF(OR($R3895=TRUE(),$R3895="TRUE"),1,0))</f>
        <v/>
      </c>
      <c r="AK3895" s="18" t="str">
        <f aca="false">IF($AH3895=1,IFERROR(VALUE(MID($D3895,2,20)),1000000000)+ROW()/10000000,"")</f>
        <v/>
      </c>
    </row>
    <row r="3896" customFormat="false" ht="15" hidden="false" customHeight="false" outlineLevel="0" collapsed="false">
      <c r="F3896" s="15"/>
      <c r="N3896" s="16" t="str">
        <f aca="false">IF($D3896="","",M3896*Y3896/100)</f>
        <v/>
      </c>
      <c r="V3896" s="16" t="str">
        <f aca="false">IF($D3896="","",Y3896*AB3896/100)</f>
        <v/>
      </c>
      <c r="W3896" s="16" t="str">
        <f aca="false">IF($D3896="","",Y3896-V3896)</f>
        <v/>
      </c>
      <c r="X3896" s="16" t="str">
        <f aca="false">IF($D3896="","",W3896-N3896)</f>
        <v/>
      </c>
      <c r="AB3896" s="17" t="str">
        <f aca="false">IF($D3896="","",IF(OR($R3896=TRUE(),$R3896="TRUE"),Settings!$C$6,Settings!$C$7)*100)</f>
        <v/>
      </c>
      <c r="AH3896" s="18" t="str">
        <f aca="false">IF($D3896="","",IF(COUNTIF($D$2:$D3896,$D3896)=1,1,0))</f>
        <v/>
      </c>
      <c r="AI3896" s="18" t="str">
        <f aca="false">IF($AH3896=1,SUMPRODUCT(--($AK$2:$AK$4001&lt;$AK3896))+1,"")</f>
        <v/>
      </c>
      <c r="AJ3896" s="18" t="str">
        <f aca="false">IF($D3896="","",IF(OR($R3896=TRUE(),$R3896="TRUE"),1,0))</f>
        <v/>
      </c>
      <c r="AK3896" s="18" t="str">
        <f aca="false">IF($AH3896=1,IFERROR(VALUE(MID($D3896,2,20)),1000000000)+ROW()/10000000,"")</f>
        <v/>
      </c>
    </row>
    <row r="3897" customFormat="false" ht="15" hidden="false" customHeight="false" outlineLevel="0" collapsed="false">
      <c r="F3897" s="15"/>
      <c r="N3897" s="16" t="str">
        <f aca="false">IF($D3897="","",M3897*Y3897/100)</f>
        <v/>
      </c>
      <c r="V3897" s="16" t="str">
        <f aca="false">IF($D3897="","",Y3897*AB3897/100)</f>
        <v/>
      </c>
      <c r="W3897" s="16" t="str">
        <f aca="false">IF($D3897="","",Y3897-V3897)</f>
        <v/>
      </c>
      <c r="X3897" s="16" t="str">
        <f aca="false">IF($D3897="","",W3897-N3897)</f>
        <v/>
      </c>
      <c r="AB3897" s="17" t="str">
        <f aca="false">IF($D3897="","",IF(OR($R3897=TRUE(),$R3897="TRUE"),Settings!$C$6,Settings!$C$7)*100)</f>
        <v/>
      </c>
      <c r="AH3897" s="18" t="str">
        <f aca="false">IF($D3897="","",IF(COUNTIF($D$2:$D3897,$D3897)=1,1,0))</f>
        <v/>
      </c>
      <c r="AI3897" s="18" t="str">
        <f aca="false">IF($AH3897=1,SUMPRODUCT(--($AK$2:$AK$4001&lt;$AK3897))+1,"")</f>
        <v/>
      </c>
      <c r="AJ3897" s="18" t="str">
        <f aca="false">IF($D3897="","",IF(OR($R3897=TRUE(),$R3897="TRUE"),1,0))</f>
        <v/>
      </c>
      <c r="AK3897" s="18" t="str">
        <f aca="false">IF($AH3897=1,IFERROR(VALUE(MID($D3897,2,20)),1000000000)+ROW()/10000000,"")</f>
        <v/>
      </c>
    </row>
    <row r="3898" customFormat="false" ht="15" hidden="false" customHeight="false" outlineLevel="0" collapsed="false">
      <c r="F3898" s="15"/>
      <c r="N3898" s="16" t="str">
        <f aca="false">IF($D3898="","",M3898*Y3898/100)</f>
        <v/>
      </c>
      <c r="V3898" s="16" t="str">
        <f aca="false">IF($D3898="","",Y3898*AB3898/100)</f>
        <v/>
      </c>
      <c r="W3898" s="16" t="str">
        <f aca="false">IF($D3898="","",Y3898-V3898)</f>
        <v/>
      </c>
      <c r="X3898" s="16" t="str">
        <f aca="false">IF($D3898="","",W3898-N3898)</f>
        <v/>
      </c>
      <c r="AB3898" s="17" t="str">
        <f aca="false">IF($D3898="","",IF(OR($R3898=TRUE(),$R3898="TRUE"),Settings!$C$6,Settings!$C$7)*100)</f>
        <v/>
      </c>
      <c r="AH3898" s="18" t="str">
        <f aca="false">IF($D3898="","",IF(COUNTIF($D$2:$D3898,$D3898)=1,1,0))</f>
        <v/>
      </c>
      <c r="AI3898" s="18" t="str">
        <f aca="false">IF($AH3898=1,SUMPRODUCT(--($AK$2:$AK$4001&lt;$AK3898))+1,"")</f>
        <v/>
      </c>
      <c r="AJ3898" s="18" t="str">
        <f aca="false">IF($D3898="","",IF(OR($R3898=TRUE(),$R3898="TRUE"),1,0))</f>
        <v/>
      </c>
      <c r="AK3898" s="18" t="str">
        <f aca="false">IF($AH3898=1,IFERROR(VALUE(MID($D3898,2,20)),1000000000)+ROW()/10000000,"")</f>
        <v/>
      </c>
    </row>
    <row r="3899" customFormat="false" ht="15" hidden="false" customHeight="false" outlineLevel="0" collapsed="false">
      <c r="F3899" s="15"/>
      <c r="N3899" s="16" t="str">
        <f aca="false">IF($D3899="","",M3899*Y3899/100)</f>
        <v/>
      </c>
      <c r="V3899" s="16" t="str">
        <f aca="false">IF($D3899="","",Y3899*AB3899/100)</f>
        <v/>
      </c>
      <c r="W3899" s="16" t="str">
        <f aca="false">IF($D3899="","",Y3899-V3899)</f>
        <v/>
      </c>
      <c r="X3899" s="16" t="str">
        <f aca="false">IF($D3899="","",W3899-N3899)</f>
        <v/>
      </c>
      <c r="AB3899" s="17" t="str">
        <f aca="false">IF($D3899="","",IF(OR($R3899=TRUE(),$R3899="TRUE"),Settings!$C$6,Settings!$C$7)*100)</f>
        <v/>
      </c>
      <c r="AH3899" s="18" t="str">
        <f aca="false">IF($D3899="","",IF(COUNTIF($D$2:$D3899,$D3899)=1,1,0))</f>
        <v/>
      </c>
      <c r="AI3899" s="18" t="str">
        <f aca="false">IF($AH3899=1,SUMPRODUCT(--($AK$2:$AK$4001&lt;$AK3899))+1,"")</f>
        <v/>
      </c>
      <c r="AJ3899" s="18" t="str">
        <f aca="false">IF($D3899="","",IF(OR($R3899=TRUE(),$R3899="TRUE"),1,0))</f>
        <v/>
      </c>
      <c r="AK3899" s="18" t="str">
        <f aca="false">IF($AH3899=1,IFERROR(VALUE(MID($D3899,2,20)),1000000000)+ROW()/10000000,"")</f>
        <v/>
      </c>
    </row>
    <row r="3900" customFormat="false" ht="15" hidden="false" customHeight="false" outlineLevel="0" collapsed="false">
      <c r="F3900" s="15"/>
      <c r="N3900" s="16" t="str">
        <f aca="false">IF($D3900="","",M3900*Y3900/100)</f>
        <v/>
      </c>
      <c r="V3900" s="16" t="str">
        <f aca="false">IF($D3900="","",Y3900*AB3900/100)</f>
        <v/>
      </c>
      <c r="W3900" s="16" t="str">
        <f aca="false">IF($D3900="","",Y3900-V3900)</f>
        <v/>
      </c>
      <c r="X3900" s="16" t="str">
        <f aca="false">IF($D3900="","",W3900-N3900)</f>
        <v/>
      </c>
      <c r="AB3900" s="17" t="str">
        <f aca="false">IF($D3900="","",IF(OR($R3900=TRUE(),$R3900="TRUE"),Settings!$C$6,Settings!$C$7)*100)</f>
        <v/>
      </c>
      <c r="AH3900" s="18" t="str">
        <f aca="false">IF($D3900="","",IF(COUNTIF($D$2:$D3900,$D3900)=1,1,0))</f>
        <v/>
      </c>
      <c r="AI3900" s="18" t="str">
        <f aca="false">IF($AH3900=1,SUMPRODUCT(--($AK$2:$AK$4001&lt;$AK3900))+1,"")</f>
        <v/>
      </c>
      <c r="AJ3900" s="18" t="str">
        <f aca="false">IF($D3900="","",IF(OR($R3900=TRUE(),$R3900="TRUE"),1,0))</f>
        <v/>
      </c>
      <c r="AK3900" s="18" t="str">
        <f aca="false">IF($AH3900=1,IFERROR(VALUE(MID($D3900,2,20)),1000000000)+ROW()/10000000,"")</f>
        <v/>
      </c>
    </row>
    <row r="3901" customFormat="false" ht="15" hidden="false" customHeight="false" outlineLevel="0" collapsed="false">
      <c r="F3901" s="15"/>
      <c r="N3901" s="16" t="str">
        <f aca="false">IF($D3901="","",M3901*Y3901/100)</f>
        <v/>
      </c>
      <c r="V3901" s="16" t="str">
        <f aca="false">IF($D3901="","",Y3901*AB3901/100)</f>
        <v/>
      </c>
      <c r="W3901" s="16" t="str">
        <f aca="false">IF($D3901="","",Y3901-V3901)</f>
        <v/>
      </c>
      <c r="X3901" s="16" t="str">
        <f aca="false">IF($D3901="","",W3901-N3901)</f>
        <v/>
      </c>
      <c r="AB3901" s="17" t="str">
        <f aca="false">IF($D3901="","",IF(OR($R3901=TRUE(),$R3901="TRUE"),Settings!$C$6,Settings!$C$7)*100)</f>
        <v/>
      </c>
      <c r="AH3901" s="18" t="str">
        <f aca="false">IF($D3901="","",IF(COUNTIF($D$2:$D3901,$D3901)=1,1,0))</f>
        <v/>
      </c>
      <c r="AI3901" s="18" t="str">
        <f aca="false">IF($AH3901=1,SUMPRODUCT(--($AK$2:$AK$4001&lt;$AK3901))+1,"")</f>
        <v/>
      </c>
      <c r="AJ3901" s="18" t="str">
        <f aca="false">IF($D3901="","",IF(OR($R3901=TRUE(),$R3901="TRUE"),1,0))</f>
        <v/>
      </c>
      <c r="AK3901" s="18" t="str">
        <f aca="false">IF($AH3901=1,IFERROR(VALUE(MID($D3901,2,20)),1000000000)+ROW()/10000000,"")</f>
        <v/>
      </c>
    </row>
    <row r="3902" customFormat="false" ht="15" hidden="false" customHeight="false" outlineLevel="0" collapsed="false">
      <c r="F3902" s="15"/>
      <c r="N3902" s="16" t="str">
        <f aca="false">IF($D3902="","",M3902*Y3902/100)</f>
        <v/>
      </c>
      <c r="V3902" s="16" t="str">
        <f aca="false">IF($D3902="","",Y3902*AB3902/100)</f>
        <v/>
      </c>
      <c r="W3902" s="16" t="str">
        <f aca="false">IF($D3902="","",Y3902-V3902)</f>
        <v/>
      </c>
      <c r="X3902" s="16" t="str">
        <f aca="false">IF($D3902="","",W3902-N3902)</f>
        <v/>
      </c>
      <c r="AB3902" s="17" t="str">
        <f aca="false">IF($D3902="","",IF(OR($R3902=TRUE(),$R3902="TRUE"),Settings!$C$6,Settings!$C$7)*100)</f>
        <v/>
      </c>
      <c r="AH3902" s="18" t="str">
        <f aca="false">IF($D3902="","",IF(COUNTIF($D$2:$D3902,$D3902)=1,1,0))</f>
        <v/>
      </c>
      <c r="AI3902" s="18" t="str">
        <f aca="false">IF($AH3902=1,SUMPRODUCT(--($AK$2:$AK$4001&lt;$AK3902))+1,"")</f>
        <v/>
      </c>
      <c r="AJ3902" s="18" t="str">
        <f aca="false">IF($D3902="","",IF(OR($R3902=TRUE(),$R3902="TRUE"),1,0))</f>
        <v/>
      </c>
      <c r="AK3902" s="18" t="str">
        <f aca="false">IF($AH3902=1,IFERROR(VALUE(MID($D3902,2,20)),1000000000)+ROW()/10000000,"")</f>
        <v/>
      </c>
    </row>
    <row r="3903" customFormat="false" ht="15" hidden="false" customHeight="false" outlineLevel="0" collapsed="false">
      <c r="F3903" s="15"/>
      <c r="N3903" s="16" t="str">
        <f aca="false">IF($D3903="","",M3903*Y3903/100)</f>
        <v/>
      </c>
      <c r="V3903" s="16" t="str">
        <f aca="false">IF($D3903="","",Y3903*AB3903/100)</f>
        <v/>
      </c>
      <c r="W3903" s="16" t="str">
        <f aca="false">IF($D3903="","",Y3903-V3903)</f>
        <v/>
      </c>
      <c r="X3903" s="16" t="str">
        <f aca="false">IF($D3903="","",W3903-N3903)</f>
        <v/>
      </c>
      <c r="AB3903" s="17" t="str">
        <f aca="false">IF($D3903="","",IF(OR($R3903=TRUE(),$R3903="TRUE"),Settings!$C$6,Settings!$C$7)*100)</f>
        <v/>
      </c>
      <c r="AH3903" s="18" t="str">
        <f aca="false">IF($D3903="","",IF(COUNTIF($D$2:$D3903,$D3903)=1,1,0))</f>
        <v/>
      </c>
      <c r="AI3903" s="18" t="str">
        <f aca="false">IF($AH3903=1,SUMPRODUCT(--($AK$2:$AK$4001&lt;$AK3903))+1,"")</f>
        <v/>
      </c>
      <c r="AJ3903" s="18" t="str">
        <f aca="false">IF($D3903="","",IF(OR($R3903=TRUE(),$R3903="TRUE"),1,0))</f>
        <v/>
      </c>
      <c r="AK3903" s="18" t="str">
        <f aca="false">IF($AH3903=1,IFERROR(VALUE(MID($D3903,2,20)),1000000000)+ROW()/10000000,"")</f>
        <v/>
      </c>
    </row>
    <row r="3904" customFormat="false" ht="15" hidden="false" customHeight="false" outlineLevel="0" collapsed="false">
      <c r="F3904" s="15"/>
      <c r="N3904" s="16" t="str">
        <f aca="false">IF($D3904="","",M3904*Y3904/100)</f>
        <v/>
      </c>
      <c r="V3904" s="16" t="str">
        <f aca="false">IF($D3904="","",Y3904*AB3904/100)</f>
        <v/>
      </c>
      <c r="W3904" s="16" t="str">
        <f aca="false">IF($D3904="","",Y3904-V3904)</f>
        <v/>
      </c>
      <c r="X3904" s="16" t="str">
        <f aca="false">IF($D3904="","",W3904-N3904)</f>
        <v/>
      </c>
      <c r="AB3904" s="17" t="str">
        <f aca="false">IF($D3904="","",IF(OR($R3904=TRUE(),$R3904="TRUE"),Settings!$C$6,Settings!$C$7)*100)</f>
        <v/>
      </c>
      <c r="AH3904" s="18" t="str">
        <f aca="false">IF($D3904="","",IF(COUNTIF($D$2:$D3904,$D3904)=1,1,0))</f>
        <v/>
      </c>
      <c r="AI3904" s="18" t="str">
        <f aca="false">IF($AH3904=1,SUMPRODUCT(--($AK$2:$AK$4001&lt;$AK3904))+1,"")</f>
        <v/>
      </c>
      <c r="AJ3904" s="18" t="str">
        <f aca="false">IF($D3904="","",IF(OR($R3904=TRUE(),$R3904="TRUE"),1,0))</f>
        <v/>
      </c>
      <c r="AK3904" s="18" t="str">
        <f aca="false">IF($AH3904=1,IFERROR(VALUE(MID($D3904,2,20)),1000000000)+ROW()/10000000,"")</f>
        <v/>
      </c>
    </row>
    <row r="3905" customFormat="false" ht="15" hidden="false" customHeight="false" outlineLevel="0" collapsed="false">
      <c r="F3905" s="15"/>
      <c r="N3905" s="16" t="str">
        <f aca="false">IF($D3905="","",M3905*Y3905/100)</f>
        <v/>
      </c>
      <c r="V3905" s="16" t="str">
        <f aca="false">IF($D3905="","",Y3905*AB3905/100)</f>
        <v/>
      </c>
      <c r="W3905" s="16" t="str">
        <f aca="false">IF($D3905="","",Y3905-V3905)</f>
        <v/>
      </c>
      <c r="X3905" s="16" t="str">
        <f aca="false">IF($D3905="","",W3905-N3905)</f>
        <v/>
      </c>
      <c r="AB3905" s="17" t="str">
        <f aca="false">IF($D3905="","",IF(OR($R3905=TRUE(),$R3905="TRUE"),Settings!$C$6,Settings!$C$7)*100)</f>
        <v/>
      </c>
      <c r="AH3905" s="18" t="str">
        <f aca="false">IF($D3905="","",IF(COUNTIF($D$2:$D3905,$D3905)=1,1,0))</f>
        <v/>
      </c>
      <c r="AI3905" s="18" t="str">
        <f aca="false">IF($AH3905=1,SUMPRODUCT(--($AK$2:$AK$4001&lt;$AK3905))+1,"")</f>
        <v/>
      </c>
      <c r="AJ3905" s="18" t="str">
        <f aca="false">IF($D3905="","",IF(OR($R3905=TRUE(),$R3905="TRUE"),1,0))</f>
        <v/>
      </c>
      <c r="AK3905" s="18" t="str">
        <f aca="false">IF($AH3905=1,IFERROR(VALUE(MID($D3905,2,20)),1000000000)+ROW()/10000000,"")</f>
        <v/>
      </c>
    </row>
    <row r="3906" customFormat="false" ht="15" hidden="false" customHeight="false" outlineLevel="0" collapsed="false">
      <c r="F3906" s="15"/>
      <c r="N3906" s="16" t="str">
        <f aca="false">IF($D3906="","",M3906*Y3906/100)</f>
        <v/>
      </c>
      <c r="V3906" s="16" t="str">
        <f aca="false">IF($D3906="","",Y3906*AB3906/100)</f>
        <v/>
      </c>
      <c r="W3906" s="16" t="str">
        <f aca="false">IF($D3906="","",Y3906-V3906)</f>
        <v/>
      </c>
      <c r="X3906" s="16" t="str">
        <f aca="false">IF($D3906="","",W3906-N3906)</f>
        <v/>
      </c>
      <c r="AB3906" s="17" t="str">
        <f aca="false">IF($D3906="","",IF(OR($R3906=TRUE(),$R3906="TRUE"),Settings!$C$6,Settings!$C$7)*100)</f>
        <v/>
      </c>
      <c r="AH3906" s="18" t="str">
        <f aca="false">IF($D3906="","",IF(COUNTIF($D$2:$D3906,$D3906)=1,1,0))</f>
        <v/>
      </c>
      <c r="AI3906" s="18" t="str">
        <f aca="false">IF($AH3906=1,SUMPRODUCT(--($AK$2:$AK$4001&lt;$AK3906))+1,"")</f>
        <v/>
      </c>
      <c r="AJ3906" s="18" t="str">
        <f aca="false">IF($D3906="","",IF(OR($R3906=TRUE(),$R3906="TRUE"),1,0))</f>
        <v/>
      </c>
      <c r="AK3906" s="18" t="str">
        <f aca="false">IF($AH3906=1,IFERROR(VALUE(MID($D3906,2,20)),1000000000)+ROW()/10000000,"")</f>
        <v/>
      </c>
    </row>
    <row r="3907" customFormat="false" ht="15" hidden="false" customHeight="false" outlineLevel="0" collapsed="false">
      <c r="F3907" s="15"/>
      <c r="N3907" s="16" t="str">
        <f aca="false">IF($D3907="","",M3907*Y3907/100)</f>
        <v/>
      </c>
      <c r="V3907" s="16" t="str">
        <f aca="false">IF($D3907="","",Y3907*AB3907/100)</f>
        <v/>
      </c>
      <c r="W3907" s="16" t="str">
        <f aca="false">IF($D3907="","",Y3907-V3907)</f>
        <v/>
      </c>
      <c r="X3907" s="16" t="str">
        <f aca="false">IF($D3907="","",W3907-N3907)</f>
        <v/>
      </c>
      <c r="AB3907" s="17" t="str">
        <f aca="false">IF($D3907="","",IF(OR($R3907=TRUE(),$R3907="TRUE"),Settings!$C$6,Settings!$C$7)*100)</f>
        <v/>
      </c>
      <c r="AH3907" s="18" t="str">
        <f aca="false">IF($D3907="","",IF(COUNTIF($D$2:$D3907,$D3907)=1,1,0))</f>
        <v/>
      </c>
      <c r="AI3907" s="18" t="str">
        <f aca="false">IF($AH3907=1,SUMPRODUCT(--($AK$2:$AK$4001&lt;$AK3907))+1,"")</f>
        <v/>
      </c>
      <c r="AJ3907" s="18" t="str">
        <f aca="false">IF($D3907="","",IF(OR($R3907=TRUE(),$R3907="TRUE"),1,0))</f>
        <v/>
      </c>
      <c r="AK3907" s="18" t="str">
        <f aca="false">IF($AH3907=1,IFERROR(VALUE(MID($D3907,2,20)),1000000000)+ROW()/10000000,"")</f>
        <v/>
      </c>
    </row>
    <row r="3908" customFormat="false" ht="15" hidden="false" customHeight="false" outlineLevel="0" collapsed="false">
      <c r="F3908" s="15"/>
      <c r="N3908" s="16" t="str">
        <f aca="false">IF($D3908="","",M3908*Y3908/100)</f>
        <v/>
      </c>
      <c r="V3908" s="16" t="str">
        <f aca="false">IF($D3908="","",Y3908*AB3908/100)</f>
        <v/>
      </c>
      <c r="W3908" s="16" t="str">
        <f aca="false">IF($D3908="","",Y3908-V3908)</f>
        <v/>
      </c>
      <c r="X3908" s="16" t="str">
        <f aca="false">IF($D3908="","",W3908-N3908)</f>
        <v/>
      </c>
      <c r="AB3908" s="17" t="str">
        <f aca="false">IF($D3908="","",IF(OR($R3908=TRUE(),$R3908="TRUE"),Settings!$C$6,Settings!$C$7)*100)</f>
        <v/>
      </c>
      <c r="AH3908" s="18" t="str">
        <f aca="false">IF($D3908="","",IF(COUNTIF($D$2:$D3908,$D3908)=1,1,0))</f>
        <v/>
      </c>
      <c r="AI3908" s="18" t="str">
        <f aca="false">IF($AH3908=1,SUMPRODUCT(--($AK$2:$AK$4001&lt;$AK3908))+1,"")</f>
        <v/>
      </c>
      <c r="AJ3908" s="18" t="str">
        <f aca="false">IF($D3908="","",IF(OR($R3908=TRUE(),$R3908="TRUE"),1,0))</f>
        <v/>
      </c>
      <c r="AK3908" s="18" t="str">
        <f aca="false">IF($AH3908=1,IFERROR(VALUE(MID($D3908,2,20)),1000000000)+ROW()/10000000,"")</f>
        <v/>
      </c>
    </row>
    <row r="3909" customFormat="false" ht="15" hidden="false" customHeight="false" outlineLevel="0" collapsed="false">
      <c r="F3909" s="15"/>
      <c r="N3909" s="16" t="str">
        <f aca="false">IF($D3909="","",M3909*Y3909/100)</f>
        <v/>
      </c>
      <c r="V3909" s="16" t="str">
        <f aca="false">IF($D3909="","",Y3909*AB3909/100)</f>
        <v/>
      </c>
      <c r="W3909" s="16" t="str">
        <f aca="false">IF($D3909="","",Y3909-V3909)</f>
        <v/>
      </c>
      <c r="X3909" s="16" t="str">
        <f aca="false">IF($D3909="","",W3909-N3909)</f>
        <v/>
      </c>
      <c r="AB3909" s="17" t="str">
        <f aca="false">IF($D3909="","",IF(OR($R3909=TRUE(),$R3909="TRUE"),Settings!$C$6,Settings!$C$7)*100)</f>
        <v/>
      </c>
      <c r="AH3909" s="18" t="str">
        <f aca="false">IF($D3909="","",IF(COUNTIF($D$2:$D3909,$D3909)=1,1,0))</f>
        <v/>
      </c>
      <c r="AI3909" s="18" t="str">
        <f aca="false">IF($AH3909=1,SUMPRODUCT(--($AK$2:$AK$4001&lt;$AK3909))+1,"")</f>
        <v/>
      </c>
      <c r="AJ3909" s="18" t="str">
        <f aca="false">IF($D3909="","",IF(OR($R3909=TRUE(),$R3909="TRUE"),1,0))</f>
        <v/>
      </c>
      <c r="AK3909" s="18" t="str">
        <f aca="false">IF($AH3909=1,IFERROR(VALUE(MID($D3909,2,20)),1000000000)+ROW()/10000000,"")</f>
        <v/>
      </c>
    </row>
    <row r="3910" customFormat="false" ht="15" hidden="false" customHeight="false" outlineLevel="0" collapsed="false">
      <c r="F3910" s="15"/>
      <c r="N3910" s="16" t="str">
        <f aca="false">IF($D3910="","",M3910*Y3910/100)</f>
        <v/>
      </c>
      <c r="V3910" s="16" t="str">
        <f aca="false">IF($D3910="","",Y3910*AB3910/100)</f>
        <v/>
      </c>
      <c r="W3910" s="16" t="str">
        <f aca="false">IF($D3910="","",Y3910-V3910)</f>
        <v/>
      </c>
      <c r="X3910" s="16" t="str">
        <f aca="false">IF($D3910="","",W3910-N3910)</f>
        <v/>
      </c>
      <c r="AB3910" s="17" t="str">
        <f aca="false">IF($D3910="","",IF(OR($R3910=TRUE(),$R3910="TRUE"),Settings!$C$6,Settings!$C$7)*100)</f>
        <v/>
      </c>
      <c r="AH3910" s="18" t="str">
        <f aca="false">IF($D3910="","",IF(COUNTIF($D$2:$D3910,$D3910)=1,1,0))</f>
        <v/>
      </c>
      <c r="AI3910" s="18" t="str">
        <f aca="false">IF($AH3910=1,SUMPRODUCT(--($AK$2:$AK$4001&lt;$AK3910))+1,"")</f>
        <v/>
      </c>
      <c r="AJ3910" s="18" t="str">
        <f aca="false">IF($D3910="","",IF(OR($R3910=TRUE(),$R3910="TRUE"),1,0))</f>
        <v/>
      </c>
      <c r="AK3910" s="18" t="str">
        <f aca="false">IF($AH3910=1,IFERROR(VALUE(MID($D3910,2,20)),1000000000)+ROW()/10000000,"")</f>
        <v/>
      </c>
    </row>
    <row r="3911" customFormat="false" ht="15" hidden="false" customHeight="false" outlineLevel="0" collapsed="false">
      <c r="F3911" s="15"/>
      <c r="N3911" s="16" t="str">
        <f aca="false">IF($D3911="","",M3911*Y3911/100)</f>
        <v/>
      </c>
      <c r="V3911" s="16" t="str">
        <f aca="false">IF($D3911="","",Y3911*AB3911/100)</f>
        <v/>
      </c>
      <c r="W3911" s="16" t="str">
        <f aca="false">IF($D3911="","",Y3911-V3911)</f>
        <v/>
      </c>
      <c r="X3911" s="16" t="str">
        <f aca="false">IF($D3911="","",W3911-N3911)</f>
        <v/>
      </c>
      <c r="AB3911" s="17" t="str">
        <f aca="false">IF($D3911="","",IF(OR($R3911=TRUE(),$R3911="TRUE"),Settings!$C$6,Settings!$C$7)*100)</f>
        <v/>
      </c>
      <c r="AH3911" s="18" t="str">
        <f aca="false">IF($D3911="","",IF(COUNTIF($D$2:$D3911,$D3911)=1,1,0))</f>
        <v/>
      </c>
      <c r="AI3911" s="18" t="str">
        <f aca="false">IF($AH3911=1,SUMPRODUCT(--($AK$2:$AK$4001&lt;$AK3911))+1,"")</f>
        <v/>
      </c>
      <c r="AJ3911" s="18" t="str">
        <f aca="false">IF($D3911="","",IF(OR($R3911=TRUE(),$R3911="TRUE"),1,0))</f>
        <v/>
      </c>
      <c r="AK3911" s="18" t="str">
        <f aca="false">IF($AH3911=1,IFERROR(VALUE(MID($D3911,2,20)),1000000000)+ROW()/10000000,"")</f>
        <v/>
      </c>
    </row>
    <row r="3912" customFormat="false" ht="15" hidden="false" customHeight="false" outlineLevel="0" collapsed="false">
      <c r="F3912" s="15"/>
      <c r="N3912" s="16" t="str">
        <f aca="false">IF($D3912="","",M3912*Y3912/100)</f>
        <v/>
      </c>
      <c r="V3912" s="16" t="str">
        <f aca="false">IF($D3912="","",Y3912*AB3912/100)</f>
        <v/>
      </c>
      <c r="W3912" s="16" t="str">
        <f aca="false">IF($D3912="","",Y3912-V3912)</f>
        <v/>
      </c>
      <c r="X3912" s="16" t="str">
        <f aca="false">IF($D3912="","",W3912-N3912)</f>
        <v/>
      </c>
      <c r="AB3912" s="17" t="str">
        <f aca="false">IF($D3912="","",IF(OR($R3912=TRUE(),$R3912="TRUE"),Settings!$C$6,Settings!$C$7)*100)</f>
        <v/>
      </c>
      <c r="AH3912" s="18" t="str">
        <f aca="false">IF($D3912="","",IF(COUNTIF($D$2:$D3912,$D3912)=1,1,0))</f>
        <v/>
      </c>
      <c r="AI3912" s="18" t="str">
        <f aca="false">IF($AH3912=1,SUMPRODUCT(--($AK$2:$AK$4001&lt;$AK3912))+1,"")</f>
        <v/>
      </c>
      <c r="AJ3912" s="18" t="str">
        <f aca="false">IF($D3912="","",IF(OR($R3912=TRUE(),$R3912="TRUE"),1,0))</f>
        <v/>
      </c>
      <c r="AK3912" s="18" t="str">
        <f aca="false">IF($AH3912=1,IFERROR(VALUE(MID($D3912,2,20)),1000000000)+ROW()/10000000,"")</f>
        <v/>
      </c>
    </row>
    <row r="3913" customFormat="false" ht="15" hidden="false" customHeight="false" outlineLevel="0" collapsed="false">
      <c r="F3913" s="15"/>
      <c r="N3913" s="16" t="str">
        <f aca="false">IF($D3913="","",M3913*Y3913/100)</f>
        <v/>
      </c>
      <c r="V3913" s="16" t="str">
        <f aca="false">IF($D3913="","",Y3913*AB3913/100)</f>
        <v/>
      </c>
      <c r="W3913" s="16" t="str">
        <f aca="false">IF($D3913="","",Y3913-V3913)</f>
        <v/>
      </c>
      <c r="X3913" s="16" t="str">
        <f aca="false">IF($D3913="","",W3913-N3913)</f>
        <v/>
      </c>
      <c r="AB3913" s="17" t="str">
        <f aca="false">IF($D3913="","",IF(OR($R3913=TRUE(),$R3913="TRUE"),Settings!$C$6,Settings!$C$7)*100)</f>
        <v/>
      </c>
      <c r="AH3913" s="18" t="str">
        <f aca="false">IF($D3913="","",IF(COUNTIF($D$2:$D3913,$D3913)=1,1,0))</f>
        <v/>
      </c>
      <c r="AI3913" s="18" t="str">
        <f aca="false">IF($AH3913=1,SUMPRODUCT(--($AK$2:$AK$4001&lt;$AK3913))+1,"")</f>
        <v/>
      </c>
      <c r="AJ3913" s="18" t="str">
        <f aca="false">IF($D3913="","",IF(OR($R3913=TRUE(),$R3913="TRUE"),1,0))</f>
        <v/>
      </c>
      <c r="AK3913" s="18" t="str">
        <f aca="false">IF($AH3913=1,IFERROR(VALUE(MID($D3913,2,20)),1000000000)+ROW()/10000000,"")</f>
        <v/>
      </c>
    </row>
    <row r="3914" customFormat="false" ht="15" hidden="false" customHeight="false" outlineLevel="0" collapsed="false">
      <c r="F3914" s="15"/>
      <c r="N3914" s="16" t="str">
        <f aca="false">IF($D3914="","",M3914*Y3914/100)</f>
        <v/>
      </c>
      <c r="V3914" s="16" t="str">
        <f aca="false">IF($D3914="","",Y3914*AB3914/100)</f>
        <v/>
      </c>
      <c r="W3914" s="16" t="str">
        <f aca="false">IF($D3914="","",Y3914-V3914)</f>
        <v/>
      </c>
      <c r="X3914" s="16" t="str">
        <f aca="false">IF($D3914="","",W3914-N3914)</f>
        <v/>
      </c>
      <c r="AB3914" s="17" t="str">
        <f aca="false">IF($D3914="","",IF(OR($R3914=TRUE(),$R3914="TRUE"),Settings!$C$6,Settings!$C$7)*100)</f>
        <v/>
      </c>
      <c r="AH3914" s="18" t="str">
        <f aca="false">IF($D3914="","",IF(COUNTIF($D$2:$D3914,$D3914)=1,1,0))</f>
        <v/>
      </c>
      <c r="AI3914" s="18" t="str">
        <f aca="false">IF($AH3914=1,SUMPRODUCT(--($AK$2:$AK$4001&lt;$AK3914))+1,"")</f>
        <v/>
      </c>
      <c r="AJ3914" s="18" t="str">
        <f aca="false">IF($D3914="","",IF(OR($R3914=TRUE(),$R3914="TRUE"),1,0))</f>
        <v/>
      </c>
      <c r="AK3914" s="18" t="str">
        <f aca="false">IF($AH3914=1,IFERROR(VALUE(MID($D3914,2,20)),1000000000)+ROW()/10000000,"")</f>
        <v/>
      </c>
    </row>
    <row r="3915" customFormat="false" ht="15" hidden="false" customHeight="false" outlineLevel="0" collapsed="false">
      <c r="F3915" s="15"/>
      <c r="N3915" s="16" t="str">
        <f aca="false">IF($D3915="","",M3915*Y3915/100)</f>
        <v/>
      </c>
      <c r="V3915" s="16" t="str">
        <f aca="false">IF($D3915="","",Y3915*AB3915/100)</f>
        <v/>
      </c>
      <c r="W3915" s="16" t="str">
        <f aca="false">IF($D3915="","",Y3915-V3915)</f>
        <v/>
      </c>
      <c r="X3915" s="16" t="str">
        <f aca="false">IF($D3915="","",W3915-N3915)</f>
        <v/>
      </c>
      <c r="AB3915" s="17" t="str">
        <f aca="false">IF($D3915="","",IF(OR($R3915=TRUE(),$R3915="TRUE"),Settings!$C$6,Settings!$C$7)*100)</f>
        <v/>
      </c>
      <c r="AH3915" s="18" t="str">
        <f aca="false">IF($D3915="","",IF(COUNTIF($D$2:$D3915,$D3915)=1,1,0))</f>
        <v/>
      </c>
      <c r="AI3915" s="18" t="str">
        <f aca="false">IF($AH3915=1,SUMPRODUCT(--($AK$2:$AK$4001&lt;$AK3915))+1,"")</f>
        <v/>
      </c>
      <c r="AJ3915" s="18" t="str">
        <f aca="false">IF($D3915="","",IF(OR($R3915=TRUE(),$R3915="TRUE"),1,0))</f>
        <v/>
      </c>
      <c r="AK3915" s="18" t="str">
        <f aca="false">IF($AH3915=1,IFERROR(VALUE(MID($D3915,2,20)),1000000000)+ROW()/10000000,"")</f>
        <v/>
      </c>
    </row>
    <row r="3916" customFormat="false" ht="15" hidden="false" customHeight="false" outlineLevel="0" collapsed="false">
      <c r="F3916" s="15"/>
      <c r="N3916" s="16" t="str">
        <f aca="false">IF($D3916="","",M3916*Y3916/100)</f>
        <v/>
      </c>
      <c r="V3916" s="16" t="str">
        <f aca="false">IF($D3916="","",Y3916*AB3916/100)</f>
        <v/>
      </c>
      <c r="W3916" s="16" t="str">
        <f aca="false">IF($D3916="","",Y3916-V3916)</f>
        <v/>
      </c>
      <c r="X3916" s="16" t="str">
        <f aca="false">IF($D3916="","",W3916-N3916)</f>
        <v/>
      </c>
      <c r="AB3916" s="17" t="str">
        <f aca="false">IF($D3916="","",IF(OR($R3916=TRUE(),$R3916="TRUE"),Settings!$C$6,Settings!$C$7)*100)</f>
        <v/>
      </c>
      <c r="AH3916" s="18" t="str">
        <f aca="false">IF($D3916="","",IF(COUNTIF($D$2:$D3916,$D3916)=1,1,0))</f>
        <v/>
      </c>
      <c r="AI3916" s="18" t="str">
        <f aca="false">IF($AH3916=1,SUMPRODUCT(--($AK$2:$AK$4001&lt;$AK3916))+1,"")</f>
        <v/>
      </c>
      <c r="AJ3916" s="18" t="str">
        <f aca="false">IF($D3916="","",IF(OR($R3916=TRUE(),$R3916="TRUE"),1,0))</f>
        <v/>
      </c>
      <c r="AK3916" s="18" t="str">
        <f aca="false">IF($AH3916=1,IFERROR(VALUE(MID($D3916,2,20)),1000000000)+ROW()/10000000,"")</f>
        <v/>
      </c>
    </row>
    <row r="3917" customFormat="false" ht="15" hidden="false" customHeight="false" outlineLevel="0" collapsed="false">
      <c r="F3917" s="15"/>
      <c r="N3917" s="16" t="str">
        <f aca="false">IF($D3917="","",M3917*Y3917/100)</f>
        <v/>
      </c>
      <c r="V3917" s="16" t="str">
        <f aca="false">IF($D3917="","",Y3917*AB3917/100)</f>
        <v/>
      </c>
      <c r="W3917" s="16" t="str">
        <f aca="false">IF($D3917="","",Y3917-V3917)</f>
        <v/>
      </c>
      <c r="X3917" s="16" t="str">
        <f aca="false">IF($D3917="","",W3917-N3917)</f>
        <v/>
      </c>
      <c r="AB3917" s="17" t="str">
        <f aca="false">IF($D3917="","",IF(OR($R3917=TRUE(),$R3917="TRUE"),Settings!$C$6,Settings!$C$7)*100)</f>
        <v/>
      </c>
      <c r="AH3917" s="18" t="str">
        <f aca="false">IF($D3917="","",IF(COUNTIF($D$2:$D3917,$D3917)=1,1,0))</f>
        <v/>
      </c>
      <c r="AI3917" s="18" t="str">
        <f aca="false">IF($AH3917=1,SUMPRODUCT(--($AK$2:$AK$4001&lt;$AK3917))+1,"")</f>
        <v/>
      </c>
      <c r="AJ3917" s="18" t="str">
        <f aca="false">IF($D3917="","",IF(OR($R3917=TRUE(),$R3917="TRUE"),1,0))</f>
        <v/>
      </c>
      <c r="AK3917" s="18" t="str">
        <f aca="false">IF($AH3917=1,IFERROR(VALUE(MID($D3917,2,20)),1000000000)+ROW()/10000000,"")</f>
        <v/>
      </c>
    </row>
    <row r="3918" customFormat="false" ht="15" hidden="false" customHeight="false" outlineLevel="0" collapsed="false">
      <c r="F3918" s="15"/>
      <c r="N3918" s="16" t="str">
        <f aca="false">IF($D3918="","",M3918*Y3918/100)</f>
        <v/>
      </c>
      <c r="V3918" s="16" t="str">
        <f aca="false">IF($D3918="","",Y3918*AB3918/100)</f>
        <v/>
      </c>
      <c r="W3918" s="16" t="str">
        <f aca="false">IF($D3918="","",Y3918-V3918)</f>
        <v/>
      </c>
      <c r="X3918" s="16" t="str">
        <f aca="false">IF($D3918="","",W3918-N3918)</f>
        <v/>
      </c>
      <c r="AB3918" s="17" t="str">
        <f aca="false">IF($D3918="","",IF(OR($R3918=TRUE(),$R3918="TRUE"),Settings!$C$6,Settings!$C$7)*100)</f>
        <v/>
      </c>
      <c r="AH3918" s="18" t="str">
        <f aca="false">IF($D3918="","",IF(COUNTIF($D$2:$D3918,$D3918)=1,1,0))</f>
        <v/>
      </c>
      <c r="AI3918" s="18" t="str">
        <f aca="false">IF($AH3918=1,SUMPRODUCT(--($AK$2:$AK$4001&lt;$AK3918))+1,"")</f>
        <v/>
      </c>
      <c r="AJ3918" s="18" t="str">
        <f aca="false">IF($D3918="","",IF(OR($R3918=TRUE(),$R3918="TRUE"),1,0))</f>
        <v/>
      </c>
      <c r="AK3918" s="18" t="str">
        <f aca="false">IF($AH3918=1,IFERROR(VALUE(MID($D3918,2,20)),1000000000)+ROW()/10000000,"")</f>
        <v/>
      </c>
    </row>
    <row r="3919" customFormat="false" ht="15" hidden="false" customHeight="false" outlineLevel="0" collapsed="false">
      <c r="F3919" s="15"/>
      <c r="N3919" s="16" t="str">
        <f aca="false">IF($D3919="","",M3919*Y3919/100)</f>
        <v/>
      </c>
      <c r="V3919" s="16" t="str">
        <f aca="false">IF($D3919="","",Y3919*AB3919/100)</f>
        <v/>
      </c>
      <c r="W3919" s="16" t="str">
        <f aca="false">IF($D3919="","",Y3919-V3919)</f>
        <v/>
      </c>
      <c r="X3919" s="16" t="str">
        <f aca="false">IF($D3919="","",W3919-N3919)</f>
        <v/>
      </c>
      <c r="AB3919" s="17" t="str">
        <f aca="false">IF($D3919="","",IF(OR($R3919=TRUE(),$R3919="TRUE"),Settings!$C$6,Settings!$C$7)*100)</f>
        <v/>
      </c>
      <c r="AH3919" s="18" t="str">
        <f aca="false">IF($D3919="","",IF(COUNTIF($D$2:$D3919,$D3919)=1,1,0))</f>
        <v/>
      </c>
      <c r="AI3919" s="18" t="str">
        <f aca="false">IF($AH3919=1,SUMPRODUCT(--($AK$2:$AK$4001&lt;$AK3919))+1,"")</f>
        <v/>
      </c>
      <c r="AJ3919" s="18" t="str">
        <f aca="false">IF($D3919="","",IF(OR($R3919=TRUE(),$R3919="TRUE"),1,0))</f>
        <v/>
      </c>
      <c r="AK3919" s="18" t="str">
        <f aca="false">IF($AH3919=1,IFERROR(VALUE(MID($D3919,2,20)),1000000000)+ROW()/10000000,"")</f>
        <v/>
      </c>
    </row>
    <row r="3920" customFormat="false" ht="15" hidden="false" customHeight="false" outlineLevel="0" collapsed="false">
      <c r="F3920" s="15"/>
      <c r="N3920" s="16" t="str">
        <f aca="false">IF($D3920="","",M3920*Y3920/100)</f>
        <v/>
      </c>
      <c r="V3920" s="16" t="str">
        <f aca="false">IF($D3920="","",Y3920*AB3920/100)</f>
        <v/>
      </c>
      <c r="W3920" s="16" t="str">
        <f aca="false">IF($D3920="","",Y3920-V3920)</f>
        <v/>
      </c>
      <c r="X3920" s="16" t="str">
        <f aca="false">IF($D3920="","",W3920-N3920)</f>
        <v/>
      </c>
      <c r="AB3920" s="17" t="str">
        <f aca="false">IF($D3920="","",IF(OR($R3920=TRUE(),$R3920="TRUE"),Settings!$C$6,Settings!$C$7)*100)</f>
        <v/>
      </c>
      <c r="AH3920" s="18" t="str">
        <f aca="false">IF($D3920="","",IF(COUNTIF($D$2:$D3920,$D3920)=1,1,0))</f>
        <v/>
      </c>
      <c r="AI3920" s="18" t="str">
        <f aca="false">IF($AH3920=1,SUMPRODUCT(--($AK$2:$AK$4001&lt;$AK3920))+1,"")</f>
        <v/>
      </c>
      <c r="AJ3920" s="18" t="str">
        <f aca="false">IF($D3920="","",IF(OR($R3920=TRUE(),$R3920="TRUE"),1,0))</f>
        <v/>
      </c>
      <c r="AK3920" s="18" t="str">
        <f aca="false">IF($AH3920=1,IFERROR(VALUE(MID($D3920,2,20)),1000000000)+ROW()/10000000,"")</f>
        <v/>
      </c>
    </row>
    <row r="3921" customFormat="false" ht="15" hidden="false" customHeight="false" outlineLevel="0" collapsed="false">
      <c r="F3921" s="15"/>
      <c r="N3921" s="16" t="str">
        <f aca="false">IF($D3921="","",M3921*Y3921/100)</f>
        <v/>
      </c>
      <c r="V3921" s="16" t="str">
        <f aca="false">IF($D3921="","",Y3921*AB3921/100)</f>
        <v/>
      </c>
      <c r="W3921" s="16" t="str">
        <f aca="false">IF($D3921="","",Y3921-V3921)</f>
        <v/>
      </c>
      <c r="X3921" s="16" t="str">
        <f aca="false">IF($D3921="","",W3921-N3921)</f>
        <v/>
      </c>
      <c r="AB3921" s="17" t="str">
        <f aca="false">IF($D3921="","",IF(OR($R3921=TRUE(),$R3921="TRUE"),Settings!$C$6,Settings!$C$7)*100)</f>
        <v/>
      </c>
      <c r="AH3921" s="18" t="str">
        <f aca="false">IF($D3921="","",IF(COUNTIF($D$2:$D3921,$D3921)=1,1,0))</f>
        <v/>
      </c>
      <c r="AI3921" s="18" t="str">
        <f aca="false">IF($AH3921=1,SUMPRODUCT(--($AK$2:$AK$4001&lt;$AK3921))+1,"")</f>
        <v/>
      </c>
      <c r="AJ3921" s="18" t="str">
        <f aca="false">IF($D3921="","",IF(OR($R3921=TRUE(),$R3921="TRUE"),1,0))</f>
        <v/>
      </c>
      <c r="AK3921" s="18" t="str">
        <f aca="false">IF($AH3921=1,IFERROR(VALUE(MID($D3921,2,20)),1000000000)+ROW()/10000000,"")</f>
        <v/>
      </c>
    </row>
    <row r="3922" customFormat="false" ht="15" hidden="false" customHeight="false" outlineLevel="0" collapsed="false">
      <c r="F3922" s="15"/>
      <c r="N3922" s="16" t="str">
        <f aca="false">IF($D3922="","",M3922*Y3922/100)</f>
        <v/>
      </c>
      <c r="V3922" s="16" t="str">
        <f aca="false">IF($D3922="","",Y3922*AB3922/100)</f>
        <v/>
      </c>
      <c r="W3922" s="16" t="str">
        <f aca="false">IF($D3922="","",Y3922-V3922)</f>
        <v/>
      </c>
      <c r="X3922" s="16" t="str">
        <f aca="false">IF($D3922="","",W3922-N3922)</f>
        <v/>
      </c>
      <c r="AB3922" s="17" t="str">
        <f aca="false">IF($D3922="","",IF(OR($R3922=TRUE(),$R3922="TRUE"),Settings!$C$6,Settings!$C$7)*100)</f>
        <v/>
      </c>
      <c r="AH3922" s="18" t="str">
        <f aca="false">IF($D3922="","",IF(COUNTIF($D$2:$D3922,$D3922)=1,1,0))</f>
        <v/>
      </c>
      <c r="AI3922" s="18" t="str">
        <f aca="false">IF($AH3922=1,SUMPRODUCT(--($AK$2:$AK$4001&lt;$AK3922))+1,"")</f>
        <v/>
      </c>
      <c r="AJ3922" s="18" t="str">
        <f aca="false">IF($D3922="","",IF(OR($R3922=TRUE(),$R3922="TRUE"),1,0))</f>
        <v/>
      </c>
      <c r="AK3922" s="18" t="str">
        <f aca="false">IF($AH3922=1,IFERROR(VALUE(MID($D3922,2,20)),1000000000)+ROW()/10000000,"")</f>
        <v/>
      </c>
    </row>
    <row r="3923" customFormat="false" ht="15" hidden="false" customHeight="false" outlineLevel="0" collapsed="false">
      <c r="F3923" s="15"/>
      <c r="N3923" s="16" t="str">
        <f aca="false">IF($D3923="","",M3923*Y3923/100)</f>
        <v/>
      </c>
      <c r="V3923" s="16" t="str">
        <f aca="false">IF($D3923="","",Y3923*AB3923/100)</f>
        <v/>
      </c>
      <c r="W3923" s="16" t="str">
        <f aca="false">IF($D3923="","",Y3923-V3923)</f>
        <v/>
      </c>
      <c r="X3923" s="16" t="str">
        <f aca="false">IF($D3923="","",W3923-N3923)</f>
        <v/>
      </c>
      <c r="AB3923" s="17" t="str">
        <f aca="false">IF($D3923="","",IF(OR($R3923=TRUE(),$R3923="TRUE"),Settings!$C$6,Settings!$C$7)*100)</f>
        <v/>
      </c>
      <c r="AH3923" s="18" t="str">
        <f aca="false">IF($D3923="","",IF(COUNTIF($D$2:$D3923,$D3923)=1,1,0))</f>
        <v/>
      </c>
      <c r="AI3923" s="18" t="str">
        <f aca="false">IF($AH3923=1,SUMPRODUCT(--($AK$2:$AK$4001&lt;$AK3923))+1,"")</f>
        <v/>
      </c>
      <c r="AJ3923" s="18" t="str">
        <f aca="false">IF($D3923="","",IF(OR($R3923=TRUE(),$R3923="TRUE"),1,0))</f>
        <v/>
      </c>
      <c r="AK3923" s="18" t="str">
        <f aca="false">IF($AH3923=1,IFERROR(VALUE(MID($D3923,2,20)),1000000000)+ROW()/10000000,"")</f>
        <v/>
      </c>
    </row>
    <row r="3924" customFormat="false" ht="15" hidden="false" customHeight="false" outlineLevel="0" collapsed="false">
      <c r="F3924" s="15"/>
      <c r="N3924" s="16" t="str">
        <f aca="false">IF($D3924="","",M3924*Y3924/100)</f>
        <v/>
      </c>
      <c r="V3924" s="16" t="str">
        <f aca="false">IF($D3924="","",Y3924*AB3924/100)</f>
        <v/>
      </c>
      <c r="W3924" s="16" t="str">
        <f aca="false">IF($D3924="","",Y3924-V3924)</f>
        <v/>
      </c>
      <c r="X3924" s="16" t="str">
        <f aca="false">IF($D3924="","",W3924-N3924)</f>
        <v/>
      </c>
      <c r="AB3924" s="17" t="str">
        <f aca="false">IF($D3924="","",IF(OR($R3924=TRUE(),$R3924="TRUE"),Settings!$C$6,Settings!$C$7)*100)</f>
        <v/>
      </c>
      <c r="AH3924" s="18" t="str">
        <f aca="false">IF($D3924="","",IF(COUNTIF($D$2:$D3924,$D3924)=1,1,0))</f>
        <v/>
      </c>
      <c r="AI3924" s="18" t="str">
        <f aca="false">IF($AH3924=1,SUMPRODUCT(--($AK$2:$AK$4001&lt;$AK3924))+1,"")</f>
        <v/>
      </c>
      <c r="AJ3924" s="18" t="str">
        <f aca="false">IF($D3924="","",IF(OR($R3924=TRUE(),$R3924="TRUE"),1,0))</f>
        <v/>
      </c>
      <c r="AK3924" s="18" t="str">
        <f aca="false">IF($AH3924=1,IFERROR(VALUE(MID($D3924,2,20)),1000000000)+ROW()/10000000,"")</f>
        <v/>
      </c>
    </row>
    <row r="3925" customFormat="false" ht="15" hidden="false" customHeight="false" outlineLevel="0" collapsed="false">
      <c r="F3925" s="15"/>
      <c r="N3925" s="16" t="str">
        <f aca="false">IF($D3925="","",M3925*Y3925/100)</f>
        <v/>
      </c>
      <c r="V3925" s="16" t="str">
        <f aca="false">IF($D3925="","",Y3925*AB3925/100)</f>
        <v/>
      </c>
      <c r="W3925" s="16" t="str">
        <f aca="false">IF($D3925="","",Y3925-V3925)</f>
        <v/>
      </c>
      <c r="X3925" s="16" t="str">
        <f aca="false">IF($D3925="","",W3925-N3925)</f>
        <v/>
      </c>
      <c r="AB3925" s="17" t="str">
        <f aca="false">IF($D3925="","",IF(OR($R3925=TRUE(),$R3925="TRUE"),Settings!$C$6,Settings!$C$7)*100)</f>
        <v/>
      </c>
      <c r="AH3925" s="18" t="str">
        <f aca="false">IF($D3925="","",IF(COUNTIF($D$2:$D3925,$D3925)=1,1,0))</f>
        <v/>
      </c>
      <c r="AI3925" s="18" t="str">
        <f aca="false">IF($AH3925=1,SUMPRODUCT(--($AK$2:$AK$4001&lt;$AK3925))+1,"")</f>
        <v/>
      </c>
      <c r="AJ3925" s="18" t="str">
        <f aca="false">IF($D3925="","",IF(OR($R3925=TRUE(),$R3925="TRUE"),1,0))</f>
        <v/>
      </c>
      <c r="AK3925" s="18" t="str">
        <f aca="false">IF($AH3925=1,IFERROR(VALUE(MID($D3925,2,20)),1000000000)+ROW()/10000000,"")</f>
        <v/>
      </c>
    </row>
    <row r="3926" customFormat="false" ht="15" hidden="false" customHeight="false" outlineLevel="0" collapsed="false">
      <c r="F3926" s="15"/>
      <c r="N3926" s="16" t="str">
        <f aca="false">IF($D3926="","",M3926*Y3926/100)</f>
        <v/>
      </c>
      <c r="V3926" s="16" t="str">
        <f aca="false">IF($D3926="","",Y3926*AB3926/100)</f>
        <v/>
      </c>
      <c r="W3926" s="16" t="str">
        <f aca="false">IF($D3926="","",Y3926-V3926)</f>
        <v/>
      </c>
      <c r="X3926" s="16" t="str">
        <f aca="false">IF($D3926="","",W3926-N3926)</f>
        <v/>
      </c>
      <c r="AB3926" s="17" t="str">
        <f aca="false">IF($D3926="","",IF(OR($R3926=TRUE(),$R3926="TRUE"),Settings!$C$6,Settings!$C$7)*100)</f>
        <v/>
      </c>
      <c r="AH3926" s="18" t="str">
        <f aca="false">IF($D3926="","",IF(COUNTIF($D$2:$D3926,$D3926)=1,1,0))</f>
        <v/>
      </c>
      <c r="AI3926" s="18" t="str">
        <f aca="false">IF($AH3926=1,SUMPRODUCT(--($AK$2:$AK$4001&lt;$AK3926))+1,"")</f>
        <v/>
      </c>
      <c r="AJ3926" s="18" t="str">
        <f aca="false">IF($D3926="","",IF(OR($R3926=TRUE(),$R3926="TRUE"),1,0))</f>
        <v/>
      </c>
      <c r="AK3926" s="18" t="str">
        <f aca="false">IF($AH3926=1,IFERROR(VALUE(MID($D3926,2,20)),1000000000)+ROW()/10000000,"")</f>
        <v/>
      </c>
    </row>
    <row r="3927" customFormat="false" ht="15" hidden="false" customHeight="false" outlineLevel="0" collapsed="false">
      <c r="F3927" s="15"/>
      <c r="N3927" s="16" t="str">
        <f aca="false">IF($D3927="","",M3927*Y3927/100)</f>
        <v/>
      </c>
      <c r="V3927" s="16" t="str">
        <f aca="false">IF($D3927="","",Y3927*AB3927/100)</f>
        <v/>
      </c>
      <c r="W3927" s="16" t="str">
        <f aca="false">IF($D3927="","",Y3927-V3927)</f>
        <v/>
      </c>
      <c r="X3927" s="16" t="str">
        <f aca="false">IF($D3927="","",W3927-N3927)</f>
        <v/>
      </c>
      <c r="AB3927" s="17" t="str">
        <f aca="false">IF($D3927="","",IF(OR($R3927=TRUE(),$R3927="TRUE"),Settings!$C$6,Settings!$C$7)*100)</f>
        <v/>
      </c>
      <c r="AH3927" s="18" t="str">
        <f aca="false">IF($D3927="","",IF(COUNTIF($D$2:$D3927,$D3927)=1,1,0))</f>
        <v/>
      </c>
      <c r="AI3927" s="18" t="str">
        <f aca="false">IF($AH3927=1,SUMPRODUCT(--($AK$2:$AK$4001&lt;$AK3927))+1,"")</f>
        <v/>
      </c>
      <c r="AJ3927" s="18" t="str">
        <f aca="false">IF($D3927="","",IF(OR($R3927=TRUE(),$R3927="TRUE"),1,0))</f>
        <v/>
      </c>
      <c r="AK3927" s="18" t="str">
        <f aca="false">IF($AH3927=1,IFERROR(VALUE(MID($D3927,2,20)),1000000000)+ROW()/10000000,"")</f>
        <v/>
      </c>
    </row>
    <row r="3928" customFormat="false" ht="15" hidden="false" customHeight="false" outlineLevel="0" collapsed="false">
      <c r="F3928" s="15"/>
      <c r="N3928" s="16" t="str">
        <f aca="false">IF($D3928="","",M3928*Y3928/100)</f>
        <v/>
      </c>
      <c r="V3928" s="16" t="str">
        <f aca="false">IF($D3928="","",Y3928*AB3928/100)</f>
        <v/>
      </c>
      <c r="W3928" s="16" t="str">
        <f aca="false">IF($D3928="","",Y3928-V3928)</f>
        <v/>
      </c>
      <c r="X3928" s="16" t="str">
        <f aca="false">IF($D3928="","",W3928-N3928)</f>
        <v/>
      </c>
      <c r="AB3928" s="17" t="str">
        <f aca="false">IF($D3928="","",IF(OR($R3928=TRUE(),$R3928="TRUE"),Settings!$C$6,Settings!$C$7)*100)</f>
        <v/>
      </c>
      <c r="AH3928" s="18" t="str">
        <f aca="false">IF($D3928="","",IF(COUNTIF($D$2:$D3928,$D3928)=1,1,0))</f>
        <v/>
      </c>
      <c r="AI3928" s="18" t="str">
        <f aca="false">IF($AH3928=1,SUMPRODUCT(--($AK$2:$AK$4001&lt;$AK3928))+1,"")</f>
        <v/>
      </c>
      <c r="AJ3928" s="18" t="str">
        <f aca="false">IF($D3928="","",IF(OR($R3928=TRUE(),$R3928="TRUE"),1,0))</f>
        <v/>
      </c>
      <c r="AK3928" s="18" t="str">
        <f aca="false">IF($AH3928=1,IFERROR(VALUE(MID($D3928,2,20)),1000000000)+ROW()/10000000,"")</f>
        <v/>
      </c>
    </row>
    <row r="3929" customFormat="false" ht="15" hidden="false" customHeight="false" outlineLevel="0" collapsed="false">
      <c r="F3929" s="15"/>
      <c r="N3929" s="16" t="str">
        <f aca="false">IF($D3929="","",M3929*Y3929/100)</f>
        <v/>
      </c>
      <c r="V3929" s="16" t="str">
        <f aca="false">IF($D3929="","",Y3929*AB3929/100)</f>
        <v/>
      </c>
      <c r="W3929" s="16" t="str">
        <f aca="false">IF($D3929="","",Y3929-V3929)</f>
        <v/>
      </c>
      <c r="X3929" s="16" t="str">
        <f aca="false">IF($D3929="","",W3929-N3929)</f>
        <v/>
      </c>
      <c r="AB3929" s="17" t="str">
        <f aca="false">IF($D3929="","",IF(OR($R3929=TRUE(),$R3929="TRUE"),Settings!$C$6,Settings!$C$7)*100)</f>
        <v/>
      </c>
      <c r="AH3929" s="18" t="str">
        <f aca="false">IF($D3929="","",IF(COUNTIF($D$2:$D3929,$D3929)=1,1,0))</f>
        <v/>
      </c>
      <c r="AI3929" s="18" t="str">
        <f aca="false">IF($AH3929=1,SUMPRODUCT(--($AK$2:$AK$4001&lt;$AK3929))+1,"")</f>
        <v/>
      </c>
      <c r="AJ3929" s="18" t="str">
        <f aca="false">IF($D3929="","",IF(OR($R3929=TRUE(),$R3929="TRUE"),1,0))</f>
        <v/>
      </c>
      <c r="AK3929" s="18" t="str">
        <f aca="false">IF($AH3929=1,IFERROR(VALUE(MID($D3929,2,20)),1000000000)+ROW()/10000000,"")</f>
        <v/>
      </c>
    </row>
    <row r="3930" customFormat="false" ht="15" hidden="false" customHeight="false" outlineLevel="0" collapsed="false">
      <c r="F3930" s="15"/>
      <c r="N3930" s="16" t="str">
        <f aca="false">IF($D3930="","",M3930*Y3930/100)</f>
        <v/>
      </c>
      <c r="V3930" s="16" t="str">
        <f aca="false">IF($D3930="","",Y3930*AB3930/100)</f>
        <v/>
      </c>
      <c r="W3930" s="16" t="str">
        <f aca="false">IF($D3930="","",Y3930-V3930)</f>
        <v/>
      </c>
      <c r="X3930" s="16" t="str">
        <f aca="false">IF($D3930="","",W3930-N3930)</f>
        <v/>
      </c>
      <c r="AB3930" s="17" t="str">
        <f aca="false">IF($D3930="","",IF(OR($R3930=TRUE(),$R3930="TRUE"),Settings!$C$6,Settings!$C$7)*100)</f>
        <v/>
      </c>
      <c r="AH3930" s="18" t="str">
        <f aca="false">IF($D3930="","",IF(COUNTIF($D$2:$D3930,$D3930)=1,1,0))</f>
        <v/>
      </c>
      <c r="AI3930" s="18" t="str">
        <f aca="false">IF($AH3930=1,SUMPRODUCT(--($AK$2:$AK$4001&lt;$AK3930))+1,"")</f>
        <v/>
      </c>
      <c r="AJ3930" s="18" t="str">
        <f aca="false">IF($D3930="","",IF(OR($R3930=TRUE(),$R3930="TRUE"),1,0))</f>
        <v/>
      </c>
      <c r="AK3930" s="18" t="str">
        <f aca="false">IF($AH3930=1,IFERROR(VALUE(MID($D3930,2,20)),1000000000)+ROW()/10000000,"")</f>
        <v/>
      </c>
    </row>
    <row r="3931" customFormat="false" ht="15" hidden="false" customHeight="false" outlineLevel="0" collapsed="false">
      <c r="F3931" s="15"/>
      <c r="N3931" s="16" t="str">
        <f aca="false">IF($D3931="","",M3931*Y3931/100)</f>
        <v/>
      </c>
      <c r="V3931" s="16" t="str">
        <f aca="false">IF($D3931="","",Y3931*AB3931/100)</f>
        <v/>
      </c>
      <c r="W3931" s="16" t="str">
        <f aca="false">IF($D3931="","",Y3931-V3931)</f>
        <v/>
      </c>
      <c r="X3931" s="16" t="str">
        <f aca="false">IF($D3931="","",W3931-N3931)</f>
        <v/>
      </c>
      <c r="AB3931" s="17" t="str">
        <f aca="false">IF($D3931="","",IF(OR($R3931=TRUE(),$R3931="TRUE"),Settings!$C$6,Settings!$C$7)*100)</f>
        <v/>
      </c>
      <c r="AH3931" s="18" t="str">
        <f aca="false">IF($D3931="","",IF(COUNTIF($D$2:$D3931,$D3931)=1,1,0))</f>
        <v/>
      </c>
      <c r="AI3931" s="18" t="str">
        <f aca="false">IF($AH3931=1,SUMPRODUCT(--($AK$2:$AK$4001&lt;$AK3931))+1,"")</f>
        <v/>
      </c>
      <c r="AJ3931" s="18" t="str">
        <f aca="false">IF($D3931="","",IF(OR($R3931=TRUE(),$R3931="TRUE"),1,0))</f>
        <v/>
      </c>
      <c r="AK3931" s="18" t="str">
        <f aca="false">IF($AH3931=1,IFERROR(VALUE(MID($D3931,2,20)),1000000000)+ROW()/10000000,"")</f>
        <v/>
      </c>
    </row>
    <row r="3932" customFormat="false" ht="15" hidden="false" customHeight="false" outlineLevel="0" collapsed="false">
      <c r="F3932" s="15"/>
      <c r="N3932" s="16" t="str">
        <f aca="false">IF($D3932="","",M3932*Y3932/100)</f>
        <v/>
      </c>
      <c r="V3932" s="16" t="str">
        <f aca="false">IF($D3932="","",Y3932*AB3932/100)</f>
        <v/>
      </c>
      <c r="W3932" s="16" t="str">
        <f aca="false">IF($D3932="","",Y3932-V3932)</f>
        <v/>
      </c>
      <c r="X3932" s="16" t="str">
        <f aca="false">IF($D3932="","",W3932-N3932)</f>
        <v/>
      </c>
      <c r="AB3932" s="17" t="str">
        <f aca="false">IF($D3932="","",IF(OR($R3932=TRUE(),$R3932="TRUE"),Settings!$C$6,Settings!$C$7)*100)</f>
        <v/>
      </c>
      <c r="AH3932" s="18" t="str">
        <f aca="false">IF($D3932="","",IF(COUNTIF($D$2:$D3932,$D3932)=1,1,0))</f>
        <v/>
      </c>
      <c r="AI3932" s="18" t="str">
        <f aca="false">IF($AH3932=1,SUMPRODUCT(--($AK$2:$AK$4001&lt;$AK3932))+1,"")</f>
        <v/>
      </c>
      <c r="AJ3932" s="18" t="str">
        <f aca="false">IF($D3932="","",IF(OR($R3932=TRUE(),$R3932="TRUE"),1,0))</f>
        <v/>
      </c>
      <c r="AK3932" s="18" t="str">
        <f aca="false">IF($AH3932=1,IFERROR(VALUE(MID($D3932,2,20)),1000000000)+ROW()/10000000,"")</f>
        <v/>
      </c>
    </row>
    <row r="3933" customFormat="false" ht="15" hidden="false" customHeight="false" outlineLevel="0" collapsed="false">
      <c r="F3933" s="15"/>
      <c r="N3933" s="16" t="str">
        <f aca="false">IF($D3933="","",M3933*Y3933/100)</f>
        <v/>
      </c>
      <c r="V3933" s="16" t="str">
        <f aca="false">IF($D3933="","",Y3933*AB3933/100)</f>
        <v/>
      </c>
      <c r="W3933" s="16" t="str">
        <f aca="false">IF($D3933="","",Y3933-V3933)</f>
        <v/>
      </c>
      <c r="X3933" s="16" t="str">
        <f aca="false">IF($D3933="","",W3933-N3933)</f>
        <v/>
      </c>
      <c r="AB3933" s="17" t="str">
        <f aca="false">IF($D3933="","",IF(OR($R3933=TRUE(),$R3933="TRUE"),Settings!$C$6,Settings!$C$7)*100)</f>
        <v/>
      </c>
      <c r="AH3933" s="18" t="str">
        <f aca="false">IF($D3933="","",IF(COUNTIF($D$2:$D3933,$D3933)=1,1,0))</f>
        <v/>
      </c>
      <c r="AI3933" s="18" t="str">
        <f aca="false">IF($AH3933=1,SUMPRODUCT(--($AK$2:$AK$4001&lt;$AK3933))+1,"")</f>
        <v/>
      </c>
      <c r="AJ3933" s="18" t="str">
        <f aca="false">IF($D3933="","",IF(OR($R3933=TRUE(),$R3933="TRUE"),1,0))</f>
        <v/>
      </c>
      <c r="AK3933" s="18" t="str">
        <f aca="false">IF($AH3933=1,IFERROR(VALUE(MID($D3933,2,20)),1000000000)+ROW()/10000000,"")</f>
        <v/>
      </c>
    </row>
    <row r="3934" customFormat="false" ht="15" hidden="false" customHeight="false" outlineLevel="0" collapsed="false">
      <c r="F3934" s="15"/>
      <c r="N3934" s="16" t="str">
        <f aca="false">IF($D3934="","",M3934*Y3934/100)</f>
        <v/>
      </c>
      <c r="V3934" s="16" t="str">
        <f aca="false">IF($D3934="","",Y3934*AB3934/100)</f>
        <v/>
      </c>
      <c r="W3934" s="16" t="str">
        <f aca="false">IF($D3934="","",Y3934-V3934)</f>
        <v/>
      </c>
      <c r="X3934" s="16" t="str">
        <f aca="false">IF($D3934="","",W3934-N3934)</f>
        <v/>
      </c>
      <c r="AB3934" s="17" t="str">
        <f aca="false">IF($D3934="","",IF(OR($R3934=TRUE(),$R3934="TRUE"),Settings!$C$6,Settings!$C$7)*100)</f>
        <v/>
      </c>
      <c r="AH3934" s="18" t="str">
        <f aca="false">IF($D3934="","",IF(COUNTIF($D$2:$D3934,$D3934)=1,1,0))</f>
        <v/>
      </c>
      <c r="AI3934" s="18" t="str">
        <f aca="false">IF($AH3934=1,SUMPRODUCT(--($AK$2:$AK$4001&lt;$AK3934))+1,"")</f>
        <v/>
      </c>
      <c r="AJ3934" s="18" t="str">
        <f aca="false">IF($D3934="","",IF(OR($R3934=TRUE(),$R3934="TRUE"),1,0))</f>
        <v/>
      </c>
      <c r="AK3934" s="18" t="str">
        <f aca="false">IF($AH3934=1,IFERROR(VALUE(MID($D3934,2,20)),1000000000)+ROW()/10000000,"")</f>
        <v/>
      </c>
    </row>
    <row r="3935" customFormat="false" ht="15" hidden="false" customHeight="false" outlineLevel="0" collapsed="false">
      <c r="F3935" s="15"/>
      <c r="N3935" s="16" t="str">
        <f aca="false">IF($D3935="","",M3935*Y3935/100)</f>
        <v/>
      </c>
      <c r="V3935" s="16" t="str">
        <f aca="false">IF($D3935="","",Y3935*AB3935/100)</f>
        <v/>
      </c>
      <c r="W3935" s="16" t="str">
        <f aca="false">IF($D3935="","",Y3935-V3935)</f>
        <v/>
      </c>
      <c r="X3935" s="16" t="str">
        <f aca="false">IF($D3935="","",W3935-N3935)</f>
        <v/>
      </c>
      <c r="AB3935" s="17" t="str">
        <f aca="false">IF($D3935="","",IF(OR($R3935=TRUE(),$R3935="TRUE"),Settings!$C$6,Settings!$C$7)*100)</f>
        <v/>
      </c>
      <c r="AH3935" s="18" t="str">
        <f aca="false">IF($D3935="","",IF(COUNTIF($D$2:$D3935,$D3935)=1,1,0))</f>
        <v/>
      </c>
      <c r="AI3935" s="18" t="str">
        <f aca="false">IF($AH3935=1,SUMPRODUCT(--($AK$2:$AK$4001&lt;$AK3935))+1,"")</f>
        <v/>
      </c>
      <c r="AJ3935" s="18" t="str">
        <f aca="false">IF($D3935="","",IF(OR($R3935=TRUE(),$R3935="TRUE"),1,0))</f>
        <v/>
      </c>
      <c r="AK3935" s="18" t="str">
        <f aca="false">IF($AH3935=1,IFERROR(VALUE(MID($D3935,2,20)),1000000000)+ROW()/10000000,"")</f>
        <v/>
      </c>
    </row>
    <row r="3936" customFormat="false" ht="15" hidden="false" customHeight="false" outlineLevel="0" collapsed="false">
      <c r="F3936" s="15"/>
      <c r="N3936" s="16" t="str">
        <f aca="false">IF($D3936="","",M3936*Y3936/100)</f>
        <v/>
      </c>
      <c r="V3936" s="16" t="str">
        <f aca="false">IF($D3936="","",Y3936*AB3936/100)</f>
        <v/>
      </c>
      <c r="W3936" s="16" t="str">
        <f aca="false">IF($D3936="","",Y3936-V3936)</f>
        <v/>
      </c>
      <c r="X3936" s="16" t="str">
        <f aca="false">IF($D3936="","",W3936-N3936)</f>
        <v/>
      </c>
      <c r="AB3936" s="17" t="str">
        <f aca="false">IF($D3936="","",IF(OR($R3936=TRUE(),$R3936="TRUE"),Settings!$C$6,Settings!$C$7)*100)</f>
        <v/>
      </c>
      <c r="AH3936" s="18" t="str">
        <f aca="false">IF($D3936="","",IF(COUNTIF($D$2:$D3936,$D3936)=1,1,0))</f>
        <v/>
      </c>
      <c r="AI3936" s="18" t="str">
        <f aca="false">IF($AH3936=1,SUMPRODUCT(--($AK$2:$AK$4001&lt;$AK3936))+1,"")</f>
        <v/>
      </c>
      <c r="AJ3936" s="18" t="str">
        <f aca="false">IF($D3936="","",IF(OR($R3936=TRUE(),$R3936="TRUE"),1,0))</f>
        <v/>
      </c>
      <c r="AK3936" s="18" t="str">
        <f aca="false">IF($AH3936=1,IFERROR(VALUE(MID($D3936,2,20)),1000000000)+ROW()/10000000,"")</f>
        <v/>
      </c>
    </row>
    <row r="3937" customFormat="false" ht="15" hidden="false" customHeight="false" outlineLevel="0" collapsed="false">
      <c r="F3937" s="15"/>
      <c r="N3937" s="16" t="str">
        <f aca="false">IF($D3937="","",M3937*Y3937/100)</f>
        <v/>
      </c>
      <c r="V3937" s="16" t="str">
        <f aca="false">IF($D3937="","",Y3937*AB3937/100)</f>
        <v/>
      </c>
      <c r="W3937" s="16" t="str">
        <f aca="false">IF($D3937="","",Y3937-V3937)</f>
        <v/>
      </c>
      <c r="X3937" s="16" t="str">
        <f aca="false">IF($D3937="","",W3937-N3937)</f>
        <v/>
      </c>
      <c r="AB3937" s="17" t="str">
        <f aca="false">IF($D3937="","",IF(OR($R3937=TRUE(),$R3937="TRUE"),Settings!$C$6,Settings!$C$7)*100)</f>
        <v/>
      </c>
      <c r="AH3937" s="18" t="str">
        <f aca="false">IF($D3937="","",IF(COUNTIF($D$2:$D3937,$D3937)=1,1,0))</f>
        <v/>
      </c>
      <c r="AI3937" s="18" t="str">
        <f aca="false">IF($AH3937=1,SUMPRODUCT(--($AK$2:$AK$4001&lt;$AK3937))+1,"")</f>
        <v/>
      </c>
      <c r="AJ3937" s="18" t="str">
        <f aca="false">IF($D3937="","",IF(OR($R3937=TRUE(),$R3937="TRUE"),1,0))</f>
        <v/>
      </c>
      <c r="AK3937" s="18" t="str">
        <f aca="false">IF($AH3937=1,IFERROR(VALUE(MID($D3937,2,20)),1000000000)+ROW()/10000000,"")</f>
        <v/>
      </c>
    </row>
    <row r="3938" customFormat="false" ht="15" hidden="false" customHeight="false" outlineLevel="0" collapsed="false">
      <c r="F3938" s="15"/>
      <c r="N3938" s="16" t="str">
        <f aca="false">IF($D3938="","",M3938*Y3938/100)</f>
        <v/>
      </c>
      <c r="V3938" s="16" t="str">
        <f aca="false">IF($D3938="","",Y3938*AB3938/100)</f>
        <v/>
      </c>
      <c r="W3938" s="16" t="str">
        <f aca="false">IF($D3938="","",Y3938-V3938)</f>
        <v/>
      </c>
      <c r="X3938" s="16" t="str">
        <f aca="false">IF($D3938="","",W3938-N3938)</f>
        <v/>
      </c>
      <c r="AB3938" s="17" t="str">
        <f aca="false">IF($D3938="","",IF(OR($R3938=TRUE(),$R3938="TRUE"),Settings!$C$6,Settings!$C$7)*100)</f>
        <v/>
      </c>
      <c r="AH3938" s="18" t="str">
        <f aca="false">IF($D3938="","",IF(COUNTIF($D$2:$D3938,$D3938)=1,1,0))</f>
        <v/>
      </c>
      <c r="AI3938" s="18" t="str">
        <f aca="false">IF($AH3938=1,SUMPRODUCT(--($AK$2:$AK$4001&lt;$AK3938))+1,"")</f>
        <v/>
      </c>
      <c r="AJ3938" s="18" t="str">
        <f aca="false">IF($D3938="","",IF(OR($R3938=TRUE(),$R3938="TRUE"),1,0))</f>
        <v/>
      </c>
      <c r="AK3938" s="18" t="str">
        <f aca="false">IF($AH3938=1,IFERROR(VALUE(MID($D3938,2,20)),1000000000)+ROW()/10000000,"")</f>
        <v/>
      </c>
    </row>
    <row r="3939" customFormat="false" ht="15" hidden="false" customHeight="false" outlineLevel="0" collapsed="false">
      <c r="F3939" s="15"/>
      <c r="N3939" s="16" t="str">
        <f aca="false">IF($D3939="","",M3939*Y3939/100)</f>
        <v/>
      </c>
      <c r="V3939" s="16" t="str">
        <f aca="false">IF($D3939="","",Y3939*AB3939/100)</f>
        <v/>
      </c>
      <c r="W3939" s="16" t="str">
        <f aca="false">IF($D3939="","",Y3939-V3939)</f>
        <v/>
      </c>
      <c r="X3939" s="16" t="str">
        <f aca="false">IF($D3939="","",W3939-N3939)</f>
        <v/>
      </c>
      <c r="AB3939" s="17" t="str">
        <f aca="false">IF($D3939="","",IF(OR($R3939=TRUE(),$R3939="TRUE"),Settings!$C$6,Settings!$C$7)*100)</f>
        <v/>
      </c>
      <c r="AH3939" s="18" t="str">
        <f aca="false">IF($D3939="","",IF(COUNTIF($D$2:$D3939,$D3939)=1,1,0))</f>
        <v/>
      </c>
      <c r="AI3939" s="18" t="str">
        <f aca="false">IF($AH3939=1,SUMPRODUCT(--($AK$2:$AK$4001&lt;$AK3939))+1,"")</f>
        <v/>
      </c>
      <c r="AJ3939" s="18" t="str">
        <f aca="false">IF($D3939="","",IF(OR($R3939=TRUE(),$R3939="TRUE"),1,0))</f>
        <v/>
      </c>
      <c r="AK3939" s="18" t="str">
        <f aca="false">IF($AH3939=1,IFERROR(VALUE(MID($D3939,2,20)),1000000000)+ROW()/10000000,"")</f>
        <v/>
      </c>
    </row>
    <row r="3940" customFormat="false" ht="15" hidden="false" customHeight="false" outlineLevel="0" collapsed="false">
      <c r="F3940" s="15"/>
      <c r="N3940" s="16" t="str">
        <f aca="false">IF($D3940="","",M3940*Y3940/100)</f>
        <v/>
      </c>
      <c r="V3940" s="16" t="str">
        <f aca="false">IF($D3940="","",Y3940*AB3940/100)</f>
        <v/>
      </c>
      <c r="W3940" s="16" t="str">
        <f aca="false">IF($D3940="","",Y3940-V3940)</f>
        <v/>
      </c>
      <c r="X3940" s="16" t="str">
        <f aca="false">IF($D3940="","",W3940-N3940)</f>
        <v/>
      </c>
      <c r="AB3940" s="17" t="str">
        <f aca="false">IF($D3940="","",IF(OR($R3940=TRUE(),$R3940="TRUE"),Settings!$C$6,Settings!$C$7)*100)</f>
        <v/>
      </c>
      <c r="AH3940" s="18" t="str">
        <f aca="false">IF($D3940="","",IF(COUNTIF($D$2:$D3940,$D3940)=1,1,0))</f>
        <v/>
      </c>
      <c r="AI3940" s="18" t="str">
        <f aca="false">IF($AH3940=1,SUMPRODUCT(--($AK$2:$AK$4001&lt;$AK3940))+1,"")</f>
        <v/>
      </c>
      <c r="AJ3940" s="18" t="str">
        <f aca="false">IF($D3940="","",IF(OR($R3940=TRUE(),$R3940="TRUE"),1,0))</f>
        <v/>
      </c>
      <c r="AK3940" s="18" t="str">
        <f aca="false">IF($AH3940=1,IFERROR(VALUE(MID($D3940,2,20)),1000000000)+ROW()/10000000,"")</f>
        <v/>
      </c>
    </row>
    <row r="3941" customFormat="false" ht="15" hidden="false" customHeight="false" outlineLevel="0" collapsed="false">
      <c r="F3941" s="15"/>
      <c r="N3941" s="16" t="str">
        <f aca="false">IF($D3941="","",M3941*Y3941/100)</f>
        <v/>
      </c>
      <c r="V3941" s="16" t="str">
        <f aca="false">IF($D3941="","",Y3941*AB3941/100)</f>
        <v/>
      </c>
      <c r="W3941" s="16" t="str">
        <f aca="false">IF($D3941="","",Y3941-V3941)</f>
        <v/>
      </c>
      <c r="X3941" s="16" t="str">
        <f aca="false">IF($D3941="","",W3941-N3941)</f>
        <v/>
      </c>
      <c r="AB3941" s="17" t="str">
        <f aca="false">IF($D3941="","",IF(OR($R3941=TRUE(),$R3941="TRUE"),Settings!$C$6,Settings!$C$7)*100)</f>
        <v/>
      </c>
      <c r="AH3941" s="18" t="str">
        <f aca="false">IF($D3941="","",IF(COUNTIF($D$2:$D3941,$D3941)=1,1,0))</f>
        <v/>
      </c>
      <c r="AI3941" s="18" t="str">
        <f aca="false">IF($AH3941=1,SUMPRODUCT(--($AK$2:$AK$4001&lt;$AK3941))+1,"")</f>
        <v/>
      </c>
      <c r="AJ3941" s="18" t="str">
        <f aca="false">IF($D3941="","",IF(OR($R3941=TRUE(),$R3941="TRUE"),1,0))</f>
        <v/>
      </c>
      <c r="AK3941" s="18" t="str">
        <f aca="false">IF($AH3941=1,IFERROR(VALUE(MID($D3941,2,20)),1000000000)+ROW()/10000000,"")</f>
        <v/>
      </c>
    </row>
    <row r="3942" customFormat="false" ht="15" hidden="false" customHeight="false" outlineLevel="0" collapsed="false">
      <c r="F3942" s="15"/>
      <c r="N3942" s="16" t="str">
        <f aca="false">IF($D3942="","",M3942*Y3942/100)</f>
        <v/>
      </c>
      <c r="V3942" s="16" t="str">
        <f aca="false">IF($D3942="","",Y3942*AB3942/100)</f>
        <v/>
      </c>
      <c r="W3942" s="16" t="str">
        <f aca="false">IF($D3942="","",Y3942-V3942)</f>
        <v/>
      </c>
      <c r="X3942" s="16" t="str">
        <f aca="false">IF($D3942="","",W3942-N3942)</f>
        <v/>
      </c>
      <c r="AB3942" s="17" t="str">
        <f aca="false">IF($D3942="","",IF(OR($R3942=TRUE(),$R3942="TRUE"),Settings!$C$6,Settings!$C$7)*100)</f>
        <v/>
      </c>
      <c r="AH3942" s="18" t="str">
        <f aca="false">IF($D3942="","",IF(COUNTIF($D$2:$D3942,$D3942)=1,1,0))</f>
        <v/>
      </c>
      <c r="AI3942" s="18" t="str">
        <f aca="false">IF($AH3942=1,SUMPRODUCT(--($AK$2:$AK$4001&lt;$AK3942))+1,"")</f>
        <v/>
      </c>
      <c r="AJ3942" s="18" t="str">
        <f aca="false">IF($D3942="","",IF(OR($R3942=TRUE(),$R3942="TRUE"),1,0))</f>
        <v/>
      </c>
      <c r="AK3942" s="18" t="str">
        <f aca="false">IF($AH3942=1,IFERROR(VALUE(MID($D3942,2,20)),1000000000)+ROW()/10000000,"")</f>
        <v/>
      </c>
    </row>
    <row r="3943" customFormat="false" ht="15" hidden="false" customHeight="false" outlineLevel="0" collapsed="false">
      <c r="F3943" s="15"/>
      <c r="N3943" s="16" t="str">
        <f aca="false">IF($D3943="","",M3943*Y3943/100)</f>
        <v/>
      </c>
      <c r="V3943" s="16" t="str">
        <f aca="false">IF($D3943="","",Y3943*AB3943/100)</f>
        <v/>
      </c>
      <c r="W3943" s="16" t="str">
        <f aca="false">IF($D3943="","",Y3943-V3943)</f>
        <v/>
      </c>
      <c r="X3943" s="16" t="str">
        <f aca="false">IF($D3943="","",W3943-N3943)</f>
        <v/>
      </c>
      <c r="AB3943" s="17" t="str">
        <f aca="false">IF($D3943="","",IF(OR($R3943=TRUE(),$R3943="TRUE"),Settings!$C$6,Settings!$C$7)*100)</f>
        <v/>
      </c>
      <c r="AH3943" s="18" t="str">
        <f aca="false">IF($D3943="","",IF(COUNTIF($D$2:$D3943,$D3943)=1,1,0))</f>
        <v/>
      </c>
      <c r="AI3943" s="18" t="str">
        <f aca="false">IF($AH3943=1,SUMPRODUCT(--($AK$2:$AK$4001&lt;$AK3943))+1,"")</f>
        <v/>
      </c>
      <c r="AJ3943" s="18" t="str">
        <f aca="false">IF($D3943="","",IF(OR($R3943=TRUE(),$R3943="TRUE"),1,0))</f>
        <v/>
      </c>
      <c r="AK3943" s="18" t="str">
        <f aca="false">IF($AH3943=1,IFERROR(VALUE(MID($D3943,2,20)),1000000000)+ROW()/10000000,"")</f>
        <v/>
      </c>
    </row>
    <row r="3944" customFormat="false" ht="15" hidden="false" customHeight="false" outlineLevel="0" collapsed="false">
      <c r="F3944" s="15"/>
      <c r="N3944" s="16" t="str">
        <f aca="false">IF($D3944="","",M3944*Y3944/100)</f>
        <v/>
      </c>
      <c r="V3944" s="16" t="str">
        <f aca="false">IF($D3944="","",Y3944*AB3944/100)</f>
        <v/>
      </c>
      <c r="W3944" s="16" t="str">
        <f aca="false">IF($D3944="","",Y3944-V3944)</f>
        <v/>
      </c>
      <c r="X3944" s="16" t="str">
        <f aca="false">IF($D3944="","",W3944-N3944)</f>
        <v/>
      </c>
      <c r="AB3944" s="17" t="str">
        <f aca="false">IF($D3944="","",IF(OR($R3944=TRUE(),$R3944="TRUE"),Settings!$C$6,Settings!$C$7)*100)</f>
        <v/>
      </c>
      <c r="AH3944" s="18" t="str">
        <f aca="false">IF($D3944="","",IF(COUNTIF($D$2:$D3944,$D3944)=1,1,0))</f>
        <v/>
      </c>
      <c r="AI3944" s="18" t="str">
        <f aca="false">IF($AH3944=1,SUMPRODUCT(--($AK$2:$AK$4001&lt;$AK3944))+1,"")</f>
        <v/>
      </c>
      <c r="AJ3944" s="18" t="str">
        <f aca="false">IF($D3944="","",IF(OR($R3944=TRUE(),$R3944="TRUE"),1,0))</f>
        <v/>
      </c>
      <c r="AK3944" s="18" t="str">
        <f aca="false">IF($AH3944=1,IFERROR(VALUE(MID($D3944,2,20)),1000000000)+ROW()/10000000,"")</f>
        <v/>
      </c>
    </row>
    <row r="3945" customFormat="false" ht="15" hidden="false" customHeight="false" outlineLevel="0" collapsed="false">
      <c r="F3945" s="15"/>
      <c r="N3945" s="16" t="str">
        <f aca="false">IF($D3945="","",M3945*Y3945/100)</f>
        <v/>
      </c>
      <c r="V3945" s="16" t="str">
        <f aca="false">IF($D3945="","",Y3945*AB3945/100)</f>
        <v/>
      </c>
      <c r="W3945" s="16" t="str">
        <f aca="false">IF($D3945="","",Y3945-V3945)</f>
        <v/>
      </c>
      <c r="X3945" s="16" t="str">
        <f aca="false">IF($D3945="","",W3945-N3945)</f>
        <v/>
      </c>
      <c r="AB3945" s="17" t="str">
        <f aca="false">IF($D3945="","",IF(OR($R3945=TRUE(),$R3945="TRUE"),Settings!$C$6,Settings!$C$7)*100)</f>
        <v/>
      </c>
      <c r="AH3945" s="18" t="str">
        <f aca="false">IF($D3945="","",IF(COUNTIF($D$2:$D3945,$D3945)=1,1,0))</f>
        <v/>
      </c>
      <c r="AI3945" s="18" t="str">
        <f aca="false">IF($AH3945=1,SUMPRODUCT(--($AK$2:$AK$4001&lt;$AK3945))+1,"")</f>
        <v/>
      </c>
      <c r="AJ3945" s="18" t="str">
        <f aca="false">IF($D3945="","",IF(OR($R3945=TRUE(),$R3945="TRUE"),1,0))</f>
        <v/>
      </c>
      <c r="AK3945" s="18" t="str">
        <f aca="false">IF($AH3945=1,IFERROR(VALUE(MID($D3945,2,20)),1000000000)+ROW()/10000000,"")</f>
        <v/>
      </c>
    </row>
    <row r="3946" customFormat="false" ht="15" hidden="false" customHeight="false" outlineLevel="0" collapsed="false">
      <c r="F3946" s="15"/>
      <c r="N3946" s="16" t="str">
        <f aca="false">IF($D3946="","",M3946*Y3946/100)</f>
        <v/>
      </c>
      <c r="V3946" s="16" t="str">
        <f aca="false">IF($D3946="","",Y3946*AB3946/100)</f>
        <v/>
      </c>
      <c r="W3946" s="16" t="str">
        <f aca="false">IF($D3946="","",Y3946-V3946)</f>
        <v/>
      </c>
      <c r="X3946" s="16" t="str">
        <f aca="false">IF($D3946="","",W3946-N3946)</f>
        <v/>
      </c>
      <c r="AB3946" s="17" t="str">
        <f aca="false">IF($D3946="","",IF(OR($R3946=TRUE(),$R3946="TRUE"),Settings!$C$6,Settings!$C$7)*100)</f>
        <v/>
      </c>
      <c r="AH3946" s="18" t="str">
        <f aca="false">IF($D3946="","",IF(COUNTIF($D$2:$D3946,$D3946)=1,1,0))</f>
        <v/>
      </c>
      <c r="AI3946" s="18" t="str">
        <f aca="false">IF($AH3946=1,SUMPRODUCT(--($AK$2:$AK$4001&lt;$AK3946))+1,"")</f>
        <v/>
      </c>
      <c r="AJ3946" s="18" t="str">
        <f aca="false">IF($D3946="","",IF(OR($R3946=TRUE(),$R3946="TRUE"),1,0))</f>
        <v/>
      </c>
      <c r="AK3946" s="18" t="str">
        <f aca="false">IF($AH3946=1,IFERROR(VALUE(MID($D3946,2,20)),1000000000)+ROW()/10000000,"")</f>
        <v/>
      </c>
    </row>
    <row r="3947" customFormat="false" ht="15" hidden="false" customHeight="false" outlineLevel="0" collapsed="false">
      <c r="F3947" s="15"/>
      <c r="N3947" s="16" t="str">
        <f aca="false">IF($D3947="","",M3947*Y3947/100)</f>
        <v/>
      </c>
      <c r="V3947" s="16" t="str">
        <f aca="false">IF($D3947="","",Y3947*AB3947/100)</f>
        <v/>
      </c>
      <c r="W3947" s="16" t="str">
        <f aca="false">IF($D3947="","",Y3947-V3947)</f>
        <v/>
      </c>
      <c r="X3947" s="16" t="str">
        <f aca="false">IF($D3947="","",W3947-N3947)</f>
        <v/>
      </c>
      <c r="AB3947" s="17" t="str">
        <f aca="false">IF($D3947="","",IF(OR($R3947=TRUE(),$R3947="TRUE"),Settings!$C$6,Settings!$C$7)*100)</f>
        <v/>
      </c>
      <c r="AH3947" s="18" t="str">
        <f aca="false">IF($D3947="","",IF(COUNTIF($D$2:$D3947,$D3947)=1,1,0))</f>
        <v/>
      </c>
      <c r="AI3947" s="18" t="str">
        <f aca="false">IF($AH3947=1,SUMPRODUCT(--($AK$2:$AK$4001&lt;$AK3947))+1,"")</f>
        <v/>
      </c>
      <c r="AJ3947" s="18" t="str">
        <f aca="false">IF($D3947="","",IF(OR($R3947=TRUE(),$R3947="TRUE"),1,0))</f>
        <v/>
      </c>
      <c r="AK3947" s="18" t="str">
        <f aca="false">IF($AH3947=1,IFERROR(VALUE(MID($D3947,2,20)),1000000000)+ROW()/10000000,"")</f>
        <v/>
      </c>
    </row>
    <row r="3948" customFormat="false" ht="15" hidden="false" customHeight="false" outlineLevel="0" collapsed="false">
      <c r="F3948" s="15"/>
      <c r="N3948" s="16" t="str">
        <f aca="false">IF($D3948="","",M3948*Y3948/100)</f>
        <v/>
      </c>
      <c r="V3948" s="16" t="str">
        <f aca="false">IF($D3948="","",Y3948*AB3948/100)</f>
        <v/>
      </c>
      <c r="W3948" s="16" t="str">
        <f aca="false">IF($D3948="","",Y3948-V3948)</f>
        <v/>
      </c>
      <c r="X3948" s="16" t="str">
        <f aca="false">IF($D3948="","",W3948-N3948)</f>
        <v/>
      </c>
      <c r="AB3948" s="17" t="str">
        <f aca="false">IF($D3948="","",IF(OR($R3948=TRUE(),$R3948="TRUE"),Settings!$C$6,Settings!$C$7)*100)</f>
        <v/>
      </c>
      <c r="AH3948" s="18" t="str">
        <f aca="false">IF($D3948="","",IF(COUNTIF($D$2:$D3948,$D3948)=1,1,0))</f>
        <v/>
      </c>
      <c r="AI3948" s="18" t="str">
        <f aca="false">IF($AH3948=1,SUMPRODUCT(--($AK$2:$AK$4001&lt;$AK3948))+1,"")</f>
        <v/>
      </c>
      <c r="AJ3948" s="18" t="str">
        <f aca="false">IF($D3948="","",IF(OR($R3948=TRUE(),$R3948="TRUE"),1,0))</f>
        <v/>
      </c>
      <c r="AK3948" s="18" t="str">
        <f aca="false">IF($AH3948=1,IFERROR(VALUE(MID($D3948,2,20)),1000000000)+ROW()/10000000,"")</f>
        <v/>
      </c>
    </row>
    <row r="3949" customFormat="false" ht="15" hidden="false" customHeight="false" outlineLevel="0" collapsed="false">
      <c r="F3949" s="15"/>
      <c r="N3949" s="16" t="str">
        <f aca="false">IF($D3949="","",M3949*Y3949/100)</f>
        <v/>
      </c>
      <c r="V3949" s="16" t="str">
        <f aca="false">IF($D3949="","",Y3949*AB3949/100)</f>
        <v/>
      </c>
      <c r="W3949" s="16" t="str">
        <f aca="false">IF($D3949="","",Y3949-V3949)</f>
        <v/>
      </c>
      <c r="X3949" s="16" t="str">
        <f aca="false">IF($D3949="","",W3949-N3949)</f>
        <v/>
      </c>
      <c r="AB3949" s="17" t="str">
        <f aca="false">IF($D3949="","",IF(OR($R3949=TRUE(),$R3949="TRUE"),Settings!$C$6,Settings!$C$7)*100)</f>
        <v/>
      </c>
      <c r="AH3949" s="18" t="str">
        <f aca="false">IF($D3949="","",IF(COUNTIF($D$2:$D3949,$D3949)=1,1,0))</f>
        <v/>
      </c>
      <c r="AI3949" s="18" t="str">
        <f aca="false">IF($AH3949=1,SUMPRODUCT(--($AK$2:$AK$4001&lt;$AK3949))+1,"")</f>
        <v/>
      </c>
      <c r="AJ3949" s="18" t="str">
        <f aca="false">IF($D3949="","",IF(OR($R3949=TRUE(),$R3949="TRUE"),1,0))</f>
        <v/>
      </c>
      <c r="AK3949" s="18" t="str">
        <f aca="false">IF($AH3949=1,IFERROR(VALUE(MID($D3949,2,20)),1000000000)+ROW()/10000000,"")</f>
        <v/>
      </c>
    </row>
    <row r="3950" customFormat="false" ht="15" hidden="false" customHeight="false" outlineLevel="0" collapsed="false">
      <c r="F3950" s="15"/>
      <c r="N3950" s="16" t="str">
        <f aca="false">IF($D3950="","",M3950*Y3950/100)</f>
        <v/>
      </c>
      <c r="V3950" s="16" t="str">
        <f aca="false">IF($D3950="","",Y3950*AB3950/100)</f>
        <v/>
      </c>
      <c r="W3950" s="16" t="str">
        <f aca="false">IF($D3950="","",Y3950-V3950)</f>
        <v/>
      </c>
      <c r="X3950" s="16" t="str">
        <f aca="false">IF($D3950="","",W3950-N3950)</f>
        <v/>
      </c>
      <c r="AB3950" s="17" t="str">
        <f aca="false">IF($D3950="","",IF(OR($R3950=TRUE(),$R3950="TRUE"),Settings!$C$6,Settings!$C$7)*100)</f>
        <v/>
      </c>
      <c r="AH3950" s="18" t="str">
        <f aca="false">IF($D3950="","",IF(COUNTIF($D$2:$D3950,$D3950)=1,1,0))</f>
        <v/>
      </c>
      <c r="AI3950" s="18" t="str">
        <f aca="false">IF($AH3950=1,SUMPRODUCT(--($AK$2:$AK$4001&lt;$AK3950))+1,"")</f>
        <v/>
      </c>
      <c r="AJ3950" s="18" t="str">
        <f aca="false">IF($D3950="","",IF(OR($R3950=TRUE(),$R3950="TRUE"),1,0))</f>
        <v/>
      </c>
      <c r="AK3950" s="18" t="str">
        <f aca="false">IF($AH3950=1,IFERROR(VALUE(MID($D3950,2,20)),1000000000)+ROW()/10000000,"")</f>
        <v/>
      </c>
    </row>
    <row r="3951" customFormat="false" ht="15" hidden="false" customHeight="false" outlineLevel="0" collapsed="false">
      <c r="F3951" s="15"/>
      <c r="N3951" s="16" t="str">
        <f aca="false">IF($D3951="","",M3951*Y3951/100)</f>
        <v/>
      </c>
      <c r="V3951" s="16" t="str">
        <f aca="false">IF($D3951="","",Y3951*AB3951/100)</f>
        <v/>
      </c>
      <c r="W3951" s="16" t="str">
        <f aca="false">IF($D3951="","",Y3951-V3951)</f>
        <v/>
      </c>
      <c r="X3951" s="16" t="str">
        <f aca="false">IF($D3951="","",W3951-N3951)</f>
        <v/>
      </c>
      <c r="AB3951" s="17" t="str">
        <f aca="false">IF($D3951="","",IF(OR($R3951=TRUE(),$R3951="TRUE"),Settings!$C$6,Settings!$C$7)*100)</f>
        <v/>
      </c>
      <c r="AH3951" s="18" t="str">
        <f aca="false">IF($D3951="","",IF(COUNTIF($D$2:$D3951,$D3951)=1,1,0))</f>
        <v/>
      </c>
      <c r="AI3951" s="18" t="str">
        <f aca="false">IF($AH3951=1,SUMPRODUCT(--($AK$2:$AK$4001&lt;$AK3951))+1,"")</f>
        <v/>
      </c>
      <c r="AJ3951" s="18" t="str">
        <f aca="false">IF($D3951="","",IF(OR($R3951=TRUE(),$R3951="TRUE"),1,0))</f>
        <v/>
      </c>
      <c r="AK3951" s="18" t="str">
        <f aca="false">IF($AH3951=1,IFERROR(VALUE(MID($D3951,2,20)),1000000000)+ROW()/10000000,"")</f>
        <v/>
      </c>
    </row>
    <row r="3952" customFormat="false" ht="15" hidden="false" customHeight="false" outlineLevel="0" collapsed="false">
      <c r="F3952" s="15"/>
      <c r="N3952" s="16" t="str">
        <f aca="false">IF($D3952="","",M3952*Y3952/100)</f>
        <v/>
      </c>
      <c r="V3952" s="16" t="str">
        <f aca="false">IF($D3952="","",Y3952*AB3952/100)</f>
        <v/>
      </c>
      <c r="W3952" s="16" t="str">
        <f aca="false">IF($D3952="","",Y3952-V3952)</f>
        <v/>
      </c>
      <c r="X3952" s="16" t="str">
        <f aca="false">IF($D3952="","",W3952-N3952)</f>
        <v/>
      </c>
      <c r="AB3952" s="17" t="str">
        <f aca="false">IF($D3952="","",IF(OR($R3952=TRUE(),$R3952="TRUE"),Settings!$C$6,Settings!$C$7)*100)</f>
        <v/>
      </c>
      <c r="AH3952" s="18" t="str">
        <f aca="false">IF($D3952="","",IF(COUNTIF($D$2:$D3952,$D3952)=1,1,0))</f>
        <v/>
      </c>
      <c r="AI3952" s="18" t="str">
        <f aca="false">IF($AH3952=1,SUMPRODUCT(--($AK$2:$AK$4001&lt;$AK3952))+1,"")</f>
        <v/>
      </c>
      <c r="AJ3952" s="18" t="str">
        <f aca="false">IF($D3952="","",IF(OR($R3952=TRUE(),$R3952="TRUE"),1,0))</f>
        <v/>
      </c>
      <c r="AK3952" s="18" t="str">
        <f aca="false">IF($AH3952=1,IFERROR(VALUE(MID($D3952,2,20)),1000000000)+ROW()/10000000,"")</f>
        <v/>
      </c>
    </row>
    <row r="3953" customFormat="false" ht="15" hidden="false" customHeight="false" outlineLevel="0" collapsed="false">
      <c r="F3953" s="15"/>
      <c r="N3953" s="16" t="str">
        <f aca="false">IF($D3953="","",M3953*Y3953/100)</f>
        <v/>
      </c>
      <c r="V3953" s="16" t="str">
        <f aca="false">IF($D3953="","",Y3953*AB3953/100)</f>
        <v/>
      </c>
      <c r="W3953" s="16" t="str">
        <f aca="false">IF($D3953="","",Y3953-V3953)</f>
        <v/>
      </c>
      <c r="X3953" s="16" t="str">
        <f aca="false">IF($D3953="","",W3953-N3953)</f>
        <v/>
      </c>
      <c r="AB3953" s="17" t="str">
        <f aca="false">IF($D3953="","",IF(OR($R3953=TRUE(),$R3953="TRUE"),Settings!$C$6,Settings!$C$7)*100)</f>
        <v/>
      </c>
      <c r="AH3953" s="18" t="str">
        <f aca="false">IF($D3953="","",IF(COUNTIF($D$2:$D3953,$D3953)=1,1,0))</f>
        <v/>
      </c>
      <c r="AI3953" s="18" t="str">
        <f aca="false">IF($AH3953=1,SUMPRODUCT(--($AK$2:$AK$4001&lt;$AK3953))+1,"")</f>
        <v/>
      </c>
      <c r="AJ3953" s="18" t="str">
        <f aca="false">IF($D3953="","",IF(OR($R3953=TRUE(),$R3953="TRUE"),1,0))</f>
        <v/>
      </c>
      <c r="AK3953" s="18" t="str">
        <f aca="false">IF($AH3953=1,IFERROR(VALUE(MID($D3953,2,20)),1000000000)+ROW()/10000000,"")</f>
        <v/>
      </c>
    </row>
    <row r="3954" customFormat="false" ht="15" hidden="false" customHeight="false" outlineLevel="0" collapsed="false">
      <c r="F3954" s="15"/>
      <c r="N3954" s="16" t="str">
        <f aca="false">IF($D3954="","",M3954*Y3954/100)</f>
        <v/>
      </c>
      <c r="V3954" s="16" t="str">
        <f aca="false">IF($D3954="","",Y3954*AB3954/100)</f>
        <v/>
      </c>
      <c r="W3954" s="16" t="str">
        <f aca="false">IF($D3954="","",Y3954-V3954)</f>
        <v/>
      </c>
      <c r="X3954" s="16" t="str">
        <f aca="false">IF($D3954="","",W3954-N3954)</f>
        <v/>
      </c>
      <c r="AB3954" s="17" t="str">
        <f aca="false">IF($D3954="","",IF(OR($R3954=TRUE(),$R3954="TRUE"),Settings!$C$6,Settings!$C$7)*100)</f>
        <v/>
      </c>
      <c r="AH3954" s="18" t="str">
        <f aca="false">IF($D3954="","",IF(COUNTIF($D$2:$D3954,$D3954)=1,1,0))</f>
        <v/>
      </c>
      <c r="AI3954" s="18" t="str">
        <f aca="false">IF($AH3954=1,SUMPRODUCT(--($AK$2:$AK$4001&lt;$AK3954))+1,"")</f>
        <v/>
      </c>
      <c r="AJ3954" s="18" t="str">
        <f aca="false">IF($D3954="","",IF(OR($R3954=TRUE(),$R3954="TRUE"),1,0))</f>
        <v/>
      </c>
      <c r="AK3954" s="18" t="str">
        <f aca="false">IF($AH3954=1,IFERROR(VALUE(MID($D3954,2,20)),1000000000)+ROW()/10000000,"")</f>
        <v/>
      </c>
    </row>
    <row r="3955" customFormat="false" ht="15" hidden="false" customHeight="false" outlineLevel="0" collapsed="false">
      <c r="F3955" s="15"/>
      <c r="N3955" s="16" t="str">
        <f aca="false">IF($D3955="","",M3955*Y3955/100)</f>
        <v/>
      </c>
      <c r="V3955" s="16" t="str">
        <f aca="false">IF($D3955="","",Y3955*AB3955/100)</f>
        <v/>
      </c>
      <c r="W3955" s="16" t="str">
        <f aca="false">IF($D3955="","",Y3955-V3955)</f>
        <v/>
      </c>
      <c r="X3955" s="16" t="str">
        <f aca="false">IF($D3955="","",W3955-N3955)</f>
        <v/>
      </c>
      <c r="AB3955" s="17" t="str">
        <f aca="false">IF($D3955="","",IF(OR($R3955=TRUE(),$R3955="TRUE"),Settings!$C$6,Settings!$C$7)*100)</f>
        <v/>
      </c>
      <c r="AH3955" s="18" t="str">
        <f aca="false">IF($D3955="","",IF(COUNTIF($D$2:$D3955,$D3955)=1,1,0))</f>
        <v/>
      </c>
      <c r="AI3955" s="18" t="str">
        <f aca="false">IF($AH3955=1,SUMPRODUCT(--($AK$2:$AK$4001&lt;$AK3955))+1,"")</f>
        <v/>
      </c>
      <c r="AJ3955" s="18" t="str">
        <f aca="false">IF($D3955="","",IF(OR($R3955=TRUE(),$R3955="TRUE"),1,0))</f>
        <v/>
      </c>
      <c r="AK3955" s="18" t="str">
        <f aca="false">IF($AH3955=1,IFERROR(VALUE(MID($D3955,2,20)),1000000000)+ROW()/10000000,"")</f>
        <v/>
      </c>
    </row>
    <row r="3956" customFormat="false" ht="15" hidden="false" customHeight="false" outlineLevel="0" collapsed="false">
      <c r="F3956" s="15"/>
      <c r="N3956" s="16" t="str">
        <f aca="false">IF($D3956="","",M3956*Y3956/100)</f>
        <v/>
      </c>
      <c r="V3956" s="16" t="str">
        <f aca="false">IF($D3956="","",Y3956*AB3956/100)</f>
        <v/>
      </c>
      <c r="W3956" s="16" t="str">
        <f aca="false">IF($D3956="","",Y3956-V3956)</f>
        <v/>
      </c>
      <c r="X3956" s="16" t="str">
        <f aca="false">IF($D3956="","",W3956-N3956)</f>
        <v/>
      </c>
      <c r="AB3956" s="17" t="str">
        <f aca="false">IF($D3956="","",IF(OR($R3956=TRUE(),$R3956="TRUE"),Settings!$C$6,Settings!$C$7)*100)</f>
        <v/>
      </c>
      <c r="AH3956" s="18" t="str">
        <f aca="false">IF($D3956="","",IF(COUNTIF($D$2:$D3956,$D3956)=1,1,0))</f>
        <v/>
      </c>
      <c r="AI3956" s="18" t="str">
        <f aca="false">IF($AH3956=1,SUMPRODUCT(--($AK$2:$AK$4001&lt;$AK3956))+1,"")</f>
        <v/>
      </c>
      <c r="AJ3956" s="18" t="str">
        <f aca="false">IF($D3956="","",IF(OR($R3956=TRUE(),$R3956="TRUE"),1,0))</f>
        <v/>
      </c>
      <c r="AK3956" s="18" t="str">
        <f aca="false">IF($AH3956=1,IFERROR(VALUE(MID($D3956,2,20)),1000000000)+ROW()/10000000,"")</f>
        <v/>
      </c>
    </row>
    <row r="3957" customFormat="false" ht="15" hidden="false" customHeight="false" outlineLevel="0" collapsed="false">
      <c r="F3957" s="15"/>
      <c r="N3957" s="16" t="str">
        <f aca="false">IF($D3957="","",M3957*Y3957/100)</f>
        <v/>
      </c>
      <c r="V3957" s="16" t="str">
        <f aca="false">IF($D3957="","",Y3957*AB3957/100)</f>
        <v/>
      </c>
      <c r="W3957" s="16" t="str">
        <f aca="false">IF($D3957="","",Y3957-V3957)</f>
        <v/>
      </c>
      <c r="X3957" s="16" t="str">
        <f aca="false">IF($D3957="","",W3957-N3957)</f>
        <v/>
      </c>
      <c r="AB3957" s="17" t="str">
        <f aca="false">IF($D3957="","",IF(OR($R3957=TRUE(),$R3957="TRUE"),Settings!$C$6,Settings!$C$7)*100)</f>
        <v/>
      </c>
      <c r="AH3957" s="18" t="str">
        <f aca="false">IF($D3957="","",IF(COUNTIF($D$2:$D3957,$D3957)=1,1,0))</f>
        <v/>
      </c>
      <c r="AI3957" s="18" t="str">
        <f aca="false">IF($AH3957=1,SUMPRODUCT(--($AK$2:$AK$4001&lt;$AK3957))+1,"")</f>
        <v/>
      </c>
      <c r="AJ3957" s="18" t="str">
        <f aca="false">IF($D3957="","",IF(OR($R3957=TRUE(),$R3957="TRUE"),1,0))</f>
        <v/>
      </c>
      <c r="AK3957" s="18" t="str">
        <f aca="false">IF($AH3957=1,IFERROR(VALUE(MID($D3957,2,20)),1000000000)+ROW()/10000000,"")</f>
        <v/>
      </c>
    </row>
    <row r="3958" customFormat="false" ht="15" hidden="false" customHeight="false" outlineLevel="0" collapsed="false">
      <c r="F3958" s="15"/>
      <c r="N3958" s="16" t="str">
        <f aca="false">IF($D3958="","",M3958*Y3958/100)</f>
        <v/>
      </c>
      <c r="V3958" s="16" t="str">
        <f aca="false">IF($D3958="","",Y3958*AB3958/100)</f>
        <v/>
      </c>
      <c r="W3958" s="16" t="str">
        <f aca="false">IF($D3958="","",Y3958-V3958)</f>
        <v/>
      </c>
      <c r="X3958" s="16" t="str">
        <f aca="false">IF($D3958="","",W3958-N3958)</f>
        <v/>
      </c>
      <c r="AB3958" s="17" t="str">
        <f aca="false">IF($D3958="","",IF(OR($R3958=TRUE(),$R3958="TRUE"),Settings!$C$6,Settings!$C$7)*100)</f>
        <v/>
      </c>
      <c r="AH3958" s="18" t="str">
        <f aca="false">IF($D3958="","",IF(COUNTIF($D$2:$D3958,$D3958)=1,1,0))</f>
        <v/>
      </c>
      <c r="AI3958" s="18" t="str">
        <f aca="false">IF($AH3958=1,SUMPRODUCT(--($AK$2:$AK$4001&lt;$AK3958))+1,"")</f>
        <v/>
      </c>
      <c r="AJ3958" s="18" t="str">
        <f aca="false">IF($D3958="","",IF(OR($R3958=TRUE(),$R3958="TRUE"),1,0))</f>
        <v/>
      </c>
      <c r="AK3958" s="18" t="str">
        <f aca="false">IF($AH3958=1,IFERROR(VALUE(MID($D3958,2,20)),1000000000)+ROW()/10000000,"")</f>
        <v/>
      </c>
    </row>
    <row r="3959" customFormat="false" ht="15" hidden="false" customHeight="false" outlineLevel="0" collapsed="false">
      <c r="F3959" s="15"/>
      <c r="N3959" s="16" t="str">
        <f aca="false">IF($D3959="","",M3959*Y3959/100)</f>
        <v/>
      </c>
      <c r="V3959" s="16" t="str">
        <f aca="false">IF($D3959="","",Y3959*AB3959/100)</f>
        <v/>
      </c>
      <c r="W3959" s="16" t="str">
        <f aca="false">IF($D3959="","",Y3959-V3959)</f>
        <v/>
      </c>
      <c r="X3959" s="16" t="str">
        <f aca="false">IF($D3959="","",W3959-N3959)</f>
        <v/>
      </c>
      <c r="AB3959" s="17" t="str">
        <f aca="false">IF($D3959="","",IF(OR($R3959=TRUE(),$R3959="TRUE"),Settings!$C$6,Settings!$C$7)*100)</f>
        <v/>
      </c>
      <c r="AH3959" s="18" t="str">
        <f aca="false">IF($D3959="","",IF(COUNTIF($D$2:$D3959,$D3959)=1,1,0))</f>
        <v/>
      </c>
      <c r="AI3959" s="18" t="str">
        <f aca="false">IF($AH3959=1,SUMPRODUCT(--($AK$2:$AK$4001&lt;$AK3959))+1,"")</f>
        <v/>
      </c>
      <c r="AJ3959" s="18" t="str">
        <f aca="false">IF($D3959="","",IF(OR($R3959=TRUE(),$R3959="TRUE"),1,0))</f>
        <v/>
      </c>
      <c r="AK3959" s="18" t="str">
        <f aca="false">IF($AH3959=1,IFERROR(VALUE(MID($D3959,2,20)),1000000000)+ROW()/10000000,"")</f>
        <v/>
      </c>
    </row>
    <row r="3960" customFormat="false" ht="15" hidden="false" customHeight="false" outlineLevel="0" collapsed="false">
      <c r="F3960" s="15"/>
      <c r="N3960" s="16" t="str">
        <f aca="false">IF($D3960="","",M3960*Y3960/100)</f>
        <v/>
      </c>
      <c r="V3960" s="16" t="str">
        <f aca="false">IF($D3960="","",Y3960*AB3960/100)</f>
        <v/>
      </c>
      <c r="W3960" s="16" t="str">
        <f aca="false">IF($D3960="","",Y3960-V3960)</f>
        <v/>
      </c>
      <c r="X3960" s="16" t="str">
        <f aca="false">IF($D3960="","",W3960-N3960)</f>
        <v/>
      </c>
      <c r="AB3960" s="17" t="str">
        <f aca="false">IF($D3960="","",IF(OR($R3960=TRUE(),$R3960="TRUE"),Settings!$C$6,Settings!$C$7)*100)</f>
        <v/>
      </c>
      <c r="AH3960" s="18" t="str">
        <f aca="false">IF($D3960="","",IF(COUNTIF($D$2:$D3960,$D3960)=1,1,0))</f>
        <v/>
      </c>
      <c r="AI3960" s="18" t="str">
        <f aca="false">IF($AH3960=1,SUMPRODUCT(--($AK$2:$AK$4001&lt;$AK3960))+1,"")</f>
        <v/>
      </c>
      <c r="AJ3960" s="18" t="str">
        <f aca="false">IF($D3960="","",IF(OR($R3960=TRUE(),$R3960="TRUE"),1,0))</f>
        <v/>
      </c>
      <c r="AK3960" s="18" t="str">
        <f aca="false">IF($AH3960=1,IFERROR(VALUE(MID($D3960,2,20)),1000000000)+ROW()/10000000,"")</f>
        <v/>
      </c>
    </row>
    <row r="3961" customFormat="false" ht="15" hidden="false" customHeight="false" outlineLevel="0" collapsed="false">
      <c r="F3961" s="15"/>
      <c r="N3961" s="16" t="str">
        <f aca="false">IF($D3961="","",M3961*Y3961/100)</f>
        <v/>
      </c>
      <c r="V3961" s="16" t="str">
        <f aca="false">IF($D3961="","",Y3961*AB3961/100)</f>
        <v/>
      </c>
      <c r="W3961" s="16" t="str">
        <f aca="false">IF($D3961="","",Y3961-V3961)</f>
        <v/>
      </c>
      <c r="X3961" s="16" t="str">
        <f aca="false">IF($D3961="","",W3961-N3961)</f>
        <v/>
      </c>
      <c r="AB3961" s="17" t="str">
        <f aca="false">IF($D3961="","",IF(OR($R3961=TRUE(),$R3961="TRUE"),Settings!$C$6,Settings!$C$7)*100)</f>
        <v/>
      </c>
      <c r="AH3961" s="18" t="str">
        <f aca="false">IF($D3961="","",IF(COUNTIF($D$2:$D3961,$D3961)=1,1,0))</f>
        <v/>
      </c>
      <c r="AI3961" s="18" t="str">
        <f aca="false">IF($AH3961=1,SUMPRODUCT(--($AK$2:$AK$4001&lt;$AK3961))+1,"")</f>
        <v/>
      </c>
      <c r="AJ3961" s="18" t="str">
        <f aca="false">IF($D3961="","",IF(OR($R3961=TRUE(),$R3961="TRUE"),1,0))</f>
        <v/>
      </c>
      <c r="AK3961" s="18" t="str">
        <f aca="false">IF($AH3961=1,IFERROR(VALUE(MID($D3961,2,20)),1000000000)+ROW()/10000000,"")</f>
        <v/>
      </c>
    </row>
    <row r="3962" customFormat="false" ht="15" hidden="false" customHeight="false" outlineLevel="0" collapsed="false">
      <c r="F3962" s="15"/>
      <c r="N3962" s="16" t="str">
        <f aca="false">IF($D3962="","",M3962*Y3962/100)</f>
        <v/>
      </c>
      <c r="V3962" s="16" t="str">
        <f aca="false">IF($D3962="","",Y3962*AB3962/100)</f>
        <v/>
      </c>
      <c r="W3962" s="16" t="str">
        <f aca="false">IF($D3962="","",Y3962-V3962)</f>
        <v/>
      </c>
      <c r="X3962" s="16" t="str">
        <f aca="false">IF($D3962="","",W3962-N3962)</f>
        <v/>
      </c>
      <c r="AB3962" s="17" t="str">
        <f aca="false">IF($D3962="","",IF(OR($R3962=TRUE(),$R3962="TRUE"),Settings!$C$6,Settings!$C$7)*100)</f>
        <v/>
      </c>
      <c r="AH3962" s="18" t="str">
        <f aca="false">IF($D3962="","",IF(COUNTIF($D$2:$D3962,$D3962)=1,1,0))</f>
        <v/>
      </c>
      <c r="AI3962" s="18" t="str">
        <f aca="false">IF($AH3962=1,SUMPRODUCT(--($AK$2:$AK$4001&lt;$AK3962))+1,"")</f>
        <v/>
      </c>
      <c r="AJ3962" s="18" t="str">
        <f aca="false">IF($D3962="","",IF(OR($R3962=TRUE(),$R3962="TRUE"),1,0))</f>
        <v/>
      </c>
      <c r="AK3962" s="18" t="str">
        <f aca="false">IF($AH3962=1,IFERROR(VALUE(MID($D3962,2,20)),1000000000)+ROW()/10000000,"")</f>
        <v/>
      </c>
    </row>
    <row r="3963" customFormat="false" ht="15" hidden="false" customHeight="false" outlineLevel="0" collapsed="false">
      <c r="F3963" s="15"/>
      <c r="N3963" s="16" t="str">
        <f aca="false">IF($D3963="","",M3963*Y3963/100)</f>
        <v/>
      </c>
      <c r="V3963" s="16" t="str">
        <f aca="false">IF($D3963="","",Y3963*AB3963/100)</f>
        <v/>
      </c>
      <c r="W3963" s="16" t="str">
        <f aca="false">IF($D3963="","",Y3963-V3963)</f>
        <v/>
      </c>
      <c r="X3963" s="16" t="str">
        <f aca="false">IF($D3963="","",W3963-N3963)</f>
        <v/>
      </c>
      <c r="AB3963" s="17" t="str">
        <f aca="false">IF($D3963="","",IF(OR($R3963=TRUE(),$R3963="TRUE"),Settings!$C$6,Settings!$C$7)*100)</f>
        <v/>
      </c>
      <c r="AH3963" s="18" t="str">
        <f aca="false">IF($D3963="","",IF(COUNTIF($D$2:$D3963,$D3963)=1,1,0))</f>
        <v/>
      </c>
      <c r="AI3963" s="18" t="str">
        <f aca="false">IF($AH3963=1,SUMPRODUCT(--($AK$2:$AK$4001&lt;$AK3963))+1,"")</f>
        <v/>
      </c>
      <c r="AJ3963" s="18" t="str">
        <f aca="false">IF($D3963="","",IF(OR($R3963=TRUE(),$R3963="TRUE"),1,0))</f>
        <v/>
      </c>
      <c r="AK3963" s="18" t="str">
        <f aca="false">IF($AH3963=1,IFERROR(VALUE(MID($D3963,2,20)),1000000000)+ROW()/10000000,"")</f>
        <v/>
      </c>
    </row>
    <row r="3964" customFormat="false" ht="15" hidden="false" customHeight="false" outlineLevel="0" collapsed="false">
      <c r="F3964" s="15"/>
      <c r="N3964" s="16" t="str">
        <f aca="false">IF($D3964="","",M3964*Y3964/100)</f>
        <v/>
      </c>
      <c r="V3964" s="16" t="str">
        <f aca="false">IF($D3964="","",Y3964*AB3964/100)</f>
        <v/>
      </c>
      <c r="W3964" s="16" t="str">
        <f aca="false">IF($D3964="","",Y3964-V3964)</f>
        <v/>
      </c>
      <c r="X3964" s="16" t="str">
        <f aca="false">IF($D3964="","",W3964-N3964)</f>
        <v/>
      </c>
      <c r="AB3964" s="17" t="str">
        <f aca="false">IF($D3964="","",IF(OR($R3964=TRUE(),$R3964="TRUE"),Settings!$C$6,Settings!$C$7)*100)</f>
        <v/>
      </c>
      <c r="AH3964" s="18" t="str">
        <f aca="false">IF($D3964="","",IF(COUNTIF($D$2:$D3964,$D3964)=1,1,0))</f>
        <v/>
      </c>
      <c r="AI3964" s="18" t="str">
        <f aca="false">IF($AH3964=1,SUMPRODUCT(--($AK$2:$AK$4001&lt;$AK3964))+1,"")</f>
        <v/>
      </c>
      <c r="AJ3964" s="18" t="str">
        <f aca="false">IF($D3964="","",IF(OR($R3964=TRUE(),$R3964="TRUE"),1,0))</f>
        <v/>
      </c>
      <c r="AK3964" s="18" t="str">
        <f aca="false">IF($AH3964=1,IFERROR(VALUE(MID($D3964,2,20)),1000000000)+ROW()/10000000,"")</f>
        <v/>
      </c>
    </row>
    <row r="3965" customFormat="false" ht="15" hidden="false" customHeight="false" outlineLevel="0" collapsed="false">
      <c r="F3965" s="15"/>
      <c r="N3965" s="16" t="str">
        <f aca="false">IF($D3965="","",M3965*Y3965/100)</f>
        <v/>
      </c>
      <c r="V3965" s="16" t="str">
        <f aca="false">IF($D3965="","",Y3965*AB3965/100)</f>
        <v/>
      </c>
      <c r="W3965" s="16" t="str">
        <f aca="false">IF($D3965="","",Y3965-V3965)</f>
        <v/>
      </c>
      <c r="X3965" s="16" t="str">
        <f aca="false">IF($D3965="","",W3965-N3965)</f>
        <v/>
      </c>
      <c r="AB3965" s="17" t="str">
        <f aca="false">IF($D3965="","",IF(OR($R3965=TRUE(),$R3965="TRUE"),Settings!$C$6,Settings!$C$7)*100)</f>
        <v/>
      </c>
      <c r="AH3965" s="18" t="str">
        <f aca="false">IF($D3965="","",IF(COUNTIF($D$2:$D3965,$D3965)=1,1,0))</f>
        <v/>
      </c>
      <c r="AI3965" s="18" t="str">
        <f aca="false">IF($AH3965=1,SUMPRODUCT(--($AK$2:$AK$4001&lt;$AK3965))+1,"")</f>
        <v/>
      </c>
      <c r="AJ3965" s="18" t="str">
        <f aca="false">IF($D3965="","",IF(OR($R3965=TRUE(),$R3965="TRUE"),1,0))</f>
        <v/>
      </c>
      <c r="AK3965" s="18" t="str">
        <f aca="false">IF($AH3965=1,IFERROR(VALUE(MID($D3965,2,20)),1000000000)+ROW()/10000000,"")</f>
        <v/>
      </c>
    </row>
    <row r="3966" customFormat="false" ht="15" hidden="false" customHeight="false" outlineLevel="0" collapsed="false">
      <c r="F3966" s="15"/>
      <c r="N3966" s="16" t="str">
        <f aca="false">IF($D3966="","",M3966*Y3966/100)</f>
        <v/>
      </c>
      <c r="V3966" s="16" t="str">
        <f aca="false">IF($D3966="","",Y3966*AB3966/100)</f>
        <v/>
      </c>
      <c r="W3966" s="16" t="str">
        <f aca="false">IF($D3966="","",Y3966-V3966)</f>
        <v/>
      </c>
      <c r="X3966" s="16" t="str">
        <f aca="false">IF($D3966="","",W3966-N3966)</f>
        <v/>
      </c>
      <c r="AB3966" s="17" t="str">
        <f aca="false">IF($D3966="","",IF(OR($R3966=TRUE(),$R3966="TRUE"),Settings!$C$6,Settings!$C$7)*100)</f>
        <v/>
      </c>
      <c r="AH3966" s="18" t="str">
        <f aca="false">IF($D3966="","",IF(COUNTIF($D$2:$D3966,$D3966)=1,1,0))</f>
        <v/>
      </c>
      <c r="AI3966" s="18" t="str">
        <f aca="false">IF($AH3966=1,SUMPRODUCT(--($AK$2:$AK$4001&lt;$AK3966))+1,"")</f>
        <v/>
      </c>
      <c r="AJ3966" s="18" t="str">
        <f aca="false">IF($D3966="","",IF(OR($R3966=TRUE(),$R3966="TRUE"),1,0))</f>
        <v/>
      </c>
      <c r="AK3966" s="18" t="str">
        <f aca="false">IF($AH3966=1,IFERROR(VALUE(MID($D3966,2,20)),1000000000)+ROW()/10000000,"")</f>
        <v/>
      </c>
    </row>
    <row r="3967" customFormat="false" ht="15" hidden="false" customHeight="false" outlineLevel="0" collapsed="false">
      <c r="F3967" s="15"/>
      <c r="N3967" s="16" t="str">
        <f aca="false">IF($D3967="","",M3967*Y3967/100)</f>
        <v/>
      </c>
      <c r="V3967" s="16" t="str">
        <f aca="false">IF($D3967="","",Y3967*AB3967/100)</f>
        <v/>
      </c>
      <c r="W3967" s="16" t="str">
        <f aca="false">IF($D3967="","",Y3967-V3967)</f>
        <v/>
      </c>
      <c r="X3967" s="16" t="str">
        <f aca="false">IF($D3967="","",W3967-N3967)</f>
        <v/>
      </c>
      <c r="AB3967" s="17" t="str">
        <f aca="false">IF($D3967="","",IF(OR($R3967=TRUE(),$R3967="TRUE"),Settings!$C$6,Settings!$C$7)*100)</f>
        <v/>
      </c>
      <c r="AH3967" s="18" t="str">
        <f aca="false">IF($D3967="","",IF(COUNTIF($D$2:$D3967,$D3967)=1,1,0))</f>
        <v/>
      </c>
      <c r="AI3967" s="18" t="str">
        <f aca="false">IF($AH3967=1,SUMPRODUCT(--($AK$2:$AK$4001&lt;$AK3967))+1,"")</f>
        <v/>
      </c>
      <c r="AJ3967" s="18" t="str">
        <f aca="false">IF($D3967="","",IF(OR($R3967=TRUE(),$R3967="TRUE"),1,0))</f>
        <v/>
      </c>
      <c r="AK3967" s="18" t="str">
        <f aca="false">IF($AH3967=1,IFERROR(VALUE(MID($D3967,2,20)),1000000000)+ROW()/10000000,"")</f>
        <v/>
      </c>
    </row>
    <row r="3968" customFormat="false" ht="15" hidden="false" customHeight="false" outlineLevel="0" collapsed="false">
      <c r="F3968" s="15"/>
      <c r="N3968" s="16" t="str">
        <f aca="false">IF($D3968="","",M3968*Y3968/100)</f>
        <v/>
      </c>
      <c r="V3968" s="16" t="str">
        <f aca="false">IF($D3968="","",Y3968*AB3968/100)</f>
        <v/>
      </c>
      <c r="W3968" s="16" t="str">
        <f aca="false">IF($D3968="","",Y3968-V3968)</f>
        <v/>
      </c>
      <c r="X3968" s="16" t="str">
        <f aca="false">IF($D3968="","",W3968-N3968)</f>
        <v/>
      </c>
      <c r="AB3968" s="17" t="str">
        <f aca="false">IF($D3968="","",IF(OR($R3968=TRUE(),$R3968="TRUE"),Settings!$C$6,Settings!$C$7)*100)</f>
        <v/>
      </c>
      <c r="AH3968" s="18" t="str">
        <f aca="false">IF($D3968="","",IF(COUNTIF($D$2:$D3968,$D3968)=1,1,0))</f>
        <v/>
      </c>
      <c r="AI3968" s="18" t="str">
        <f aca="false">IF($AH3968=1,SUMPRODUCT(--($AK$2:$AK$4001&lt;$AK3968))+1,"")</f>
        <v/>
      </c>
      <c r="AJ3968" s="18" t="str">
        <f aca="false">IF($D3968="","",IF(OR($R3968=TRUE(),$R3968="TRUE"),1,0))</f>
        <v/>
      </c>
      <c r="AK3968" s="18" t="str">
        <f aca="false">IF($AH3968=1,IFERROR(VALUE(MID($D3968,2,20)),1000000000)+ROW()/10000000,"")</f>
        <v/>
      </c>
    </row>
    <row r="3969" customFormat="false" ht="15" hidden="false" customHeight="false" outlineLevel="0" collapsed="false">
      <c r="F3969" s="15"/>
      <c r="N3969" s="16" t="str">
        <f aca="false">IF($D3969="","",M3969*Y3969/100)</f>
        <v/>
      </c>
      <c r="V3969" s="16" t="str">
        <f aca="false">IF($D3969="","",Y3969*AB3969/100)</f>
        <v/>
      </c>
      <c r="W3969" s="16" t="str">
        <f aca="false">IF($D3969="","",Y3969-V3969)</f>
        <v/>
      </c>
      <c r="X3969" s="16" t="str">
        <f aca="false">IF($D3969="","",W3969-N3969)</f>
        <v/>
      </c>
      <c r="AB3969" s="17" t="str">
        <f aca="false">IF($D3969="","",IF(OR($R3969=TRUE(),$R3969="TRUE"),Settings!$C$6,Settings!$C$7)*100)</f>
        <v/>
      </c>
      <c r="AH3969" s="18" t="str">
        <f aca="false">IF($D3969="","",IF(COUNTIF($D$2:$D3969,$D3969)=1,1,0))</f>
        <v/>
      </c>
      <c r="AI3969" s="18" t="str">
        <f aca="false">IF($AH3969=1,SUMPRODUCT(--($AK$2:$AK$4001&lt;$AK3969))+1,"")</f>
        <v/>
      </c>
      <c r="AJ3969" s="18" t="str">
        <f aca="false">IF($D3969="","",IF(OR($R3969=TRUE(),$R3969="TRUE"),1,0))</f>
        <v/>
      </c>
      <c r="AK3969" s="18" t="str">
        <f aca="false">IF($AH3969=1,IFERROR(VALUE(MID($D3969,2,20)),1000000000)+ROW()/10000000,"")</f>
        <v/>
      </c>
    </row>
    <row r="3970" customFormat="false" ht="15" hidden="false" customHeight="false" outlineLevel="0" collapsed="false">
      <c r="F3970" s="15"/>
      <c r="N3970" s="16" t="str">
        <f aca="false">IF($D3970="","",M3970*Y3970/100)</f>
        <v/>
      </c>
      <c r="V3970" s="16" t="str">
        <f aca="false">IF($D3970="","",Y3970*AB3970/100)</f>
        <v/>
      </c>
      <c r="W3970" s="16" t="str">
        <f aca="false">IF($D3970="","",Y3970-V3970)</f>
        <v/>
      </c>
      <c r="X3970" s="16" t="str">
        <f aca="false">IF($D3970="","",W3970-N3970)</f>
        <v/>
      </c>
      <c r="AB3970" s="17" t="str">
        <f aca="false">IF($D3970="","",IF(OR($R3970=TRUE(),$R3970="TRUE"),Settings!$C$6,Settings!$C$7)*100)</f>
        <v/>
      </c>
      <c r="AH3970" s="18" t="str">
        <f aca="false">IF($D3970="","",IF(COUNTIF($D$2:$D3970,$D3970)=1,1,0))</f>
        <v/>
      </c>
      <c r="AI3970" s="18" t="str">
        <f aca="false">IF($AH3970=1,SUMPRODUCT(--($AK$2:$AK$4001&lt;$AK3970))+1,"")</f>
        <v/>
      </c>
      <c r="AJ3970" s="18" t="str">
        <f aca="false">IF($D3970="","",IF(OR($R3970=TRUE(),$R3970="TRUE"),1,0))</f>
        <v/>
      </c>
      <c r="AK3970" s="18" t="str">
        <f aca="false">IF($AH3970=1,IFERROR(VALUE(MID($D3970,2,20)),1000000000)+ROW()/10000000,"")</f>
        <v/>
      </c>
    </row>
    <row r="3971" customFormat="false" ht="15" hidden="false" customHeight="false" outlineLevel="0" collapsed="false">
      <c r="F3971" s="15"/>
      <c r="N3971" s="16" t="str">
        <f aca="false">IF($D3971="","",M3971*Y3971/100)</f>
        <v/>
      </c>
      <c r="V3971" s="16" t="str">
        <f aca="false">IF($D3971="","",Y3971*AB3971/100)</f>
        <v/>
      </c>
      <c r="W3971" s="16" t="str">
        <f aca="false">IF($D3971="","",Y3971-V3971)</f>
        <v/>
      </c>
      <c r="X3971" s="16" t="str">
        <f aca="false">IF($D3971="","",W3971-N3971)</f>
        <v/>
      </c>
      <c r="AB3971" s="17" t="str">
        <f aca="false">IF($D3971="","",IF(OR($R3971=TRUE(),$R3971="TRUE"),Settings!$C$6,Settings!$C$7)*100)</f>
        <v/>
      </c>
      <c r="AH3971" s="18" t="str">
        <f aca="false">IF($D3971="","",IF(COUNTIF($D$2:$D3971,$D3971)=1,1,0))</f>
        <v/>
      </c>
      <c r="AI3971" s="18" t="str">
        <f aca="false">IF($AH3971=1,SUMPRODUCT(--($AK$2:$AK$4001&lt;$AK3971))+1,"")</f>
        <v/>
      </c>
      <c r="AJ3971" s="18" t="str">
        <f aca="false">IF($D3971="","",IF(OR($R3971=TRUE(),$R3971="TRUE"),1,0))</f>
        <v/>
      </c>
      <c r="AK3971" s="18" t="str">
        <f aca="false">IF($AH3971=1,IFERROR(VALUE(MID($D3971,2,20)),1000000000)+ROW()/10000000,"")</f>
        <v/>
      </c>
    </row>
    <row r="3972" customFormat="false" ht="15" hidden="false" customHeight="false" outlineLevel="0" collapsed="false">
      <c r="F3972" s="15"/>
      <c r="N3972" s="16" t="str">
        <f aca="false">IF($D3972="","",M3972*Y3972/100)</f>
        <v/>
      </c>
      <c r="V3972" s="16" t="str">
        <f aca="false">IF($D3972="","",Y3972*AB3972/100)</f>
        <v/>
      </c>
      <c r="W3972" s="16" t="str">
        <f aca="false">IF($D3972="","",Y3972-V3972)</f>
        <v/>
      </c>
      <c r="X3972" s="16" t="str">
        <f aca="false">IF($D3972="","",W3972-N3972)</f>
        <v/>
      </c>
      <c r="AB3972" s="17" t="str">
        <f aca="false">IF($D3972="","",IF(OR($R3972=TRUE(),$R3972="TRUE"),Settings!$C$6,Settings!$C$7)*100)</f>
        <v/>
      </c>
      <c r="AH3972" s="18" t="str">
        <f aca="false">IF($D3972="","",IF(COUNTIF($D$2:$D3972,$D3972)=1,1,0))</f>
        <v/>
      </c>
      <c r="AI3972" s="18" t="str">
        <f aca="false">IF($AH3972=1,SUMPRODUCT(--($AK$2:$AK$4001&lt;$AK3972))+1,"")</f>
        <v/>
      </c>
      <c r="AJ3972" s="18" t="str">
        <f aca="false">IF($D3972="","",IF(OR($R3972=TRUE(),$R3972="TRUE"),1,0))</f>
        <v/>
      </c>
      <c r="AK3972" s="18" t="str">
        <f aca="false">IF($AH3972=1,IFERROR(VALUE(MID($D3972,2,20)),1000000000)+ROW()/10000000,"")</f>
        <v/>
      </c>
    </row>
    <row r="3973" customFormat="false" ht="15" hidden="false" customHeight="false" outlineLevel="0" collapsed="false">
      <c r="F3973" s="15"/>
      <c r="N3973" s="16" t="str">
        <f aca="false">IF($D3973="","",M3973*Y3973/100)</f>
        <v/>
      </c>
      <c r="V3973" s="16" t="str">
        <f aca="false">IF($D3973="","",Y3973*AB3973/100)</f>
        <v/>
      </c>
      <c r="W3973" s="16" t="str">
        <f aca="false">IF($D3973="","",Y3973-V3973)</f>
        <v/>
      </c>
      <c r="X3973" s="16" t="str">
        <f aca="false">IF($D3973="","",W3973-N3973)</f>
        <v/>
      </c>
      <c r="AB3973" s="17" t="str">
        <f aca="false">IF($D3973="","",IF(OR($R3973=TRUE(),$R3973="TRUE"),Settings!$C$6,Settings!$C$7)*100)</f>
        <v/>
      </c>
      <c r="AH3973" s="18" t="str">
        <f aca="false">IF($D3973="","",IF(COUNTIF($D$2:$D3973,$D3973)=1,1,0))</f>
        <v/>
      </c>
      <c r="AI3973" s="18" t="str">
        <f aca="false">IF($AH3973=1,SUMPRODUCT(--($AK$2:$AK$4001&lt;$AK3973))+1,"")</f>
        <v/>
      </c>
      <c r="AJ3973" s="18" t="str">
        <f aca="false">IF($D3973="","",IF(OR($R3973=TRUE(),$R3973="TRUE"),1,0))</f>
        <v/>
      </c>
      <c r="AK3973" s="18" t="str">
        <f aca="false">IF($AH3973=1,IFERROR(VALUE(MID($D3973,2,20)),1000000000)+ROW()/10000000,"")</f>
        <v/>
      </c>
    </row>
    <row r="3974" customFormat="false" ht="15" hidden="false" customHeight="false" outlineLevel="0" collapsed="false">
      <c r="F3974" s="15"/>
      <c r="N3974" s="16" t="str">
        <f aca="false">IF($D3974="","",M3974*Y3974/100)</f>
        <v/>
      </c>
      <c r="V3974" s="16" t="str">
        <f aca="false">IF($D3974="","",Y3974*AB3974/100)</f>
        <v/>
      </c>
      <c r="W3974" s="16" t="str">
        <f aca="false">IF($D3974="","",Y3974-V3974)</f>
        <v/>
      </c>
      <c r="X3974" s="16" t="str">
        <f aca="false">IF($D3974="","",W3974-N3974)</f>
        <v/>
      </c>
      <c r="AB3974" s="17" t="str">
        <f aca="false">IF($D3974="","",IF(OR($R3974=TRUE(),$R3974="TRUE"),Settings!$C$6,Settings!$C$7)*100)</f>
        <v/>
      </c>
      <c r="AH3974" s="18" t="str">
        <f aca="false">IF($D3974="","",IF(COUNTIF($D$2:$D3974,$D3974)=1,1,0))</f>
        <v/>
      </c>
      <c r="AI3974" s="18" t="str">
        <f aca="false">IF($AH3974=1,SUMPRODUCT(--($AK$2:$AK$4001&lt;$AK3974))+1,"")</f>
        <v/>
      </c>
      <c r="AJ3974" s="18" t="str">
        <f aca="false">IF($D3974="","",IF(OR($R3974=TRUE(),$R3974="TRUE"),1,0))</f>
        <v/>
      </c>
      <c r="AK3974" s="18" t="str">
        <f aca="false">IF($AH3974=1,IFERROR(VALUE(MID($D3974,2,20)),1000000000)+ROW()/10000000,"")</f>
        <v/>
      </c>
    </row>
    <row r="3975" customFormat="false" ht="15" hidden="false" customHeight="false" outlineLevel="0" collapsed="false">
      <c r="F3975" s="15"/>
      <c r="N3975" s="16" t="str">
        <f aca="false">IF($D3975="","",M3975*Y3975/100)</f>
        <v/>
      </c>
      <c r="V3975" s="16" t="str">
        <f aca="false">IF($D3975="","",Y3975*AB3975/100)</f>
        <v/>
      </c>
      <c r="W3975" s="16" t="str">
        <f aca="false">IF($D3975="","",Y3975-V3975)</f>
        <v/>
      </c>
      <c r="X3975" s="16" t="str">
        <f aca="false">IF($D3975="","",W3975-N3975)</f>
        <v/>
      </c>
      <c r="AB3975" s="17" t="str">
        <f aca="false">IF($D3975="","",IF(OR($R3975=TRUE(),$R3975="TRUE"),Settings!$C$6,Settings!$C$7)*100)</f>
        <v/>
      </c>
      <c r="AH3975" s="18" t="str">
        <f aca="false">IF($D3975="","",IF(COUNTIF($D$2:$D3975,$D3975)=1,1,0))</f>
        <v/>
      </c>
      <c r="AI3975" s="18" t="str">
        <f aca="false">IF($AH3975=1,SUMPRODUCT(--($AK$2:$AK$4001&lt;$AK3975))+1,"")</f>
        <v/>
      </c>
      <c r="AJ3975" s="18" t="str">
        <f aca="false">IF($D3975="","",IF(OR($R3975=TRUE(),$R3975="TRUE"),1,0))</f>
        <v/>
      </c>
      <c r="AK3975" s="18" t="str">
        <f aca="false">IF($AH3975=1,IFERROR(VALUE(MID($D3975,2,20)),1000000000)+ROW()/10000000,"")</f>
        <v/>
      </c>
    </row>
    <row r="3976" customFormat="false" ht="15" hidden="false" customHeight="false" outlineLevel="0" collapsed="false">
      <c r="F3976" s="15"/>
      <c r="N3976" s="16" t="str">
        <f aca="false">IF($D3976="","",M3976*Y3976/100)</f>
        <v/>
      </c>
      <c r="V3976" s="16" t="str">
        <f aca="false">IF($D3976="","",Y3976*AB3976/100)</f>
        <v/>
      </c>
      <c r="W3976" s="16" t="str">
        <f aca="false">IF($D3976="","",Y3976-V3976)</f>
        <v/>
      </c>
      <c r="X3976" s="16" t="str">
        <f aca="false">IF($D3976="","",W3976-N3976)</f>
        <v/>
      </c>
      <c r="AB3976" s="17" t="str">
        <f aca="false">IF($D3976="","",IF(OR($R3976=TRUE(),$R3976="TRUE"),Settings!$C$6,Settings!$C$7)*100)</f>
        <v/>
      </c>
      <c r="AH3976" s="18" t="str">
        <f aca="false">IF($D3976="","",IF(COUNTIF($D$2:$D3976,$D3976)=1,1,0))</f>
        <v/>
      </c>
      <c r="AI3976" s="18" t="str">
        <f aca="false">IF($AH3976=1,SUMPRODUCT(--($AK$2:$AK$4001&lt;$AK3976))+1,"")</f>
        <v/>
      </c>
      <c r="AJ3976" s="18" t="str">
        <f aca="false">IF($D3976="","",IF(OR($R3976=TRUE(),$R3976="TRUE"),1,0))</f>
        <v/>
      </c>
      <c r="AK3976" s="18" t="str">
        <f aca="false">IF($AH3976=1,IFERROR(VALUE(MID($D3976,2,20)),1000000000)+ROW()/10000000,"")</f>
        <v/>
      </c>
    </row>
    <row r="3977" customFormat="false" ht="15" hidden="false" customHeight="false" outlineLevel="0" collapsed="false">
      <c r="F3977" s="15"/>
      <c r="N3977" s="16" t="str">
        <f aca="false">IF($D3977="","",M3977*Y3977/100)</f>
        <v/>
      </c>
      <c r="V3977" s="16" t="str">
        <f aca="false">IF($D3977="","",Y3977*AB3977/100)</f>
        <v/>
      </c>
      <c r="W3977" s="16" t="str">
        <f aca="false">IF($D3977="","",Y3977-V3977)</f>
        <v/>
      </c>
      <c r="X3977" s="16" t="str">
        <f aca="false">IF($D3977="","",W3977-N3977)</f>
        <v/>
      </c>
      <c r="AB3977" s="17" t="str">
        <f aca="false">IF($D3977="","",IF(OR($R3977=TRUE(),$R3977="TRUE"),Settings!$C$6,Settings!$C$7)*100)</f>
        <v/>
      </c>
      <c r="AH3977" s="18" t="str">
        <f aca="false">IF($D3977="","",IF(COUNTIF($D$2:$D3977,$D3977)=1,1,0))</f>
        <v/>
      </c>
      <c r="AI3977" s="18" t="str">
        <f aca="false">IF($AH3977=1,SUMPRODUCT(--($AK$2:$AK$4001&lt;$AK3977))+1,"")</f>
        <v/>
      </c>
      <c r="AJ3977" s="18" t="str">
        <f aca="false">IF($D3977="","",IF(OR($R3977=TRUE(),$R3977="TRUE"),1,0))</f>
        <v/>
      </c>
      <c r="AK3977" s="18" t="str">
        <f aca="false">IF($AH3977=1,IFERROR(VALUE(MID($D3977,2,20)),1000000000)+ROW()/10000000,"")</f>
        <v/>
      </c>
    </row>
    <row r="3978" customFormat="false" ht="15" hidden="false" customHeight="false" outlineLevel="0" collapsed="false">
      <c r="F3978" s="15"/>
      <c r="N3978" s="16" t="str">
        <f aca="false">IF($D3978="","",M3978*Y3978/100)</f>
        <v/>
      </c>
      <c r="V3978" s="16" t="str">
        <f aca="false">IF($D3978="","",Y3978*AB3978/100)</f>
        <v/>
      </c>
      <c r="W3978" s="16" t="str">
        <f aca="false">IF($D3978="","",Y3978-V3978)</f>
        <v/>
      </c>
      <c r="X3978" s="16" t="str">
        <f aca="false">IF($D3978="","",W3978-N3978)</f>
        <v/>
      </c>
      <c r="AB3978" s="17" t="str">
        <f aca="false">IF($D3978="","",IF(OR($R3978=TRUE(),$R3978="TRUE"),Settings!$C$6,Settings!$C$7)*100)</f>
        <v/>
      </c>
      <c r="AH3978" s="18" t="str">
        <f aca="false">IF($D3978="","",IF(COUNTIF($D$2:$D3978,$D3978)=1,1,0))</f>
        <v/>
      </c>
      <c r="AI3978" s="18" t="str">
        <f aca="false">IF($AH3978=1,SUMPRODUCT(--($AK$2:$AK$4001&lt;$AK3978))+1,"")</f>
        <v/>
      </c>
      <c r="AJ3978" s="18" t="str">
        <f aca="false">IF($D3978="","",IF(OR($R3978=TRUE(),$R3978="TRUE"),1,0))</f>
        <v/>
      </c>
      <c r="AK3978" s="18" t="str">
        <f aca="false">IF($AH3978=1,IFERROR(VALUE(MID($D3978,2,20)),1000000000)+ROW()/10000000,"")</f>
        <v/>
      </c>
    </row>
    <row r="3979" customFormat="false" ht="15" hidden="false" customHeight="false" outlineLevel="0" collapsed="false">
      <c r="F3979" s="15"/>
      <c r="N3979" s="16" t="str">
        <f aca="false">IF($D3979="","",M3979*Y3979/100)</f>
        <v/>
      </c>
      <c r="V3979" s="16" t="str">
        <f aca="false">IF($D3979="","",Y3979*AB3979/100)</f>
        <v/>
      </c>
      <c r="W3979" s="16" t="str">
        <f aca="false">IF($D3979="","",Y3979-V3979)</f>
        <v/>
      </c>
      <c r="X3979" s="16" t="str">
        <f aca="false">IF($D3979="","",W3979-N3979)</f>
        <v/>
      </c>
      <c r="AB3979" s="17" t="str">
        <f aca="false">IF($D3979="","",IF(OR($R3979=TRUE(),$R3979="TRUE"),Settings!$C$6,Settings!$C$7)*100)</f>
        <v/>
      </c>
      <c r="AH3979" s="18" t="str">
        <f aca="false">IF($D3979="","",IF(COUNTIF($D$2:$D3979,$D3979)=1,1,0))</f>
        <v/>
      </c>
      <c r="AI3979" s="18" t="str">
        <f aca="false">IF($AH3979=1,SUMPRODUCT(--($AK$2:$AK$4001&lt;$AK3979))+1,"")</f>
        <v/>
      </c>
      <c r="AJ3979" s="18" t="str">
        <f aca="false">IF($D3979="","",IF(OR($R3979=TRUE(),$R3979="TRUE"),1,0))</f>
        <v/>
      </c>
      <c r="AK3979" s="18" t="str">
        <f aca="false">IF($AH3979=1,IFERROR(VALUE(MID($D3979,2,20)),1000000000)+ROW()/10000000,"")</f>
        <v/>
      </c>
    </row>
    <row r="3980" customFormat="false" ht="15" hidden="false" customHeight="false" outlineLevel="0" collapsed="false">
      <c r="F3980" s="15"/>
      <c r="N3980" s="16" t="str">
        <f aca="false">IF($D3980="","",M3980*Y3980/100)</f>
        <v/>
      </c>
      <c r="V3980" s="16" t="str">
        <f aca="false">IF($D3980="","",Y3980*AB3980/100)</f>
        <v/>
      </c>
      <c r="W3980" s="16" t="str">
        <f aca="false">IF($D3980="","",Y3980-V3980)</f>
        <v/>
      </c>
      <c r="X3980" s="16" t="str">
        <f aca="false">IF($D3980="","",W3980-N3980)</f>
        <v/>
      </c>
      <c r="AB3980" s="17" t="str">
        <f aca="false">IF($D3980="","",IF(OR($R3980=TRUE(),$R3980="TRUE"),Settings!$C$6,Settings!$C$7)*100)</f>
        <v/>
      </c>
      <c r="AH3980" s="18" t="str">
        <f aca="false">IF($D3980="","",IF(COUNTIF($D$2:$D3980,$D3980)=1,1,0))</f>
        <v/>
      </c>
      <c r="AI3980" s="18" t="str">
        <f aca="false">IF($AH3980=1,SUMPRODUCT(--($AK$2:$AK$4001&lt;$AK3980))+1,"")</f>
        <v/>
      </c>
      <c r="AJ3980" s="18" t="str">
        <f aca="false">IF($D3980="","",IF(OR($R3980=TRUE(),$R3980="TRUE"),1,0))</f>
        <v/>
      </c>
      <c r="AK3980" s="18" t="str">
        <f aca="false">IF($AH3980=1,IFERROR(VALUE(MID($D3980,2,20)),1000000000)+ROW()/10000000,"")</f>
        <v/>
      </c>
    </row>
    <row r="3981" customFormat="false" ht="15" hidden="false" customHeight="false" outlineLevel="0" collapsed="false">
      <c r="F3981" s="15"/>
      <c r="N3981" s="16" t="str">
        <f aca="false">IF($D3981="","",M3981*Y3981/100)</f>
        <v/>
      </c>
      <c r="V3981" s="16" t="str">
        <f aca="false">IF($D3981="","",Y3981*AB3981/100)</f>
        <v/>
      </c>
      <c r="W3981" s="16" t="str">
        <f aca="false">IF($D3981="","",Y3981-V3981)</f>
        <v/>
      </c>
      <c r="X3981" s="16" t="str">
        <f aca="false">IF($D3981="","",W3981-N3981)</f>
        <v/>
      </c>
      <c r="AB3981" s="17" t="str">
        <f aca="false">IF($D3981="","",IF(OR($R3981=TRUE(),$R3981="TRUE"),Settings!$C$6,Settings!$C$7)*100)</f>
        <v/>
      </c>
      <c r="AH3981" s="18" t="str">
        <f aca="false">IF($D3981="","",IF(COUNTIF($D$2:$D3981,$D3981)=1,1,0))</f>
        <v/>
      </c>
      <c r="AI3981" s="18" t="str">
        <f aca="false">IF($AH3981=1,SUMPRODUCT(--($AK$2:$AK$4001&lt;$AK3981))+1,"")</f>
        <v/>
      </c>
      <c r="AJ3981" s="18" t="str">
        <f aca="false">IF($D3981="","",IF(OR($R3981=TRUE(),$R3981="TRUE"),1,0))</f>
        <v/>
      </c>
      <c r="AK3981" s="18" t="str">
        <f aca="false">IF($AH3981=1,IFERROR(VALUE(MID($D3981,2,20)),1000000000)+ROW()/10000000,"")</f>
        <v/>
      </c>
    </row>
    <row r="3982" customFormat="false" ht="15" hidden="false" customHeight="false" outlineLevel="0" collapsed="false">
      <c r="F3982" s="15"/>
      <c r="N3982" s="16" t="str">
        <f aca="false">IF($D3982="","",M3982*Y3982/100)</f>
        <v/>
      </c>
      <c r="V3982" s="16" t="str">
        <f aca="false">IF($D3982="","",Y3982*AB3982/100)</f>
        <v/>
      </c>
      <c r="W3982" s="16" t="str">
        <f aca="false">IF($D3982="","",Y3982-V3982)</f>
        <v/>
      </c>
      <c r="X3982" s="16" t="str">
        <f aca="false">IF($D3982="","",W3982-N3982)</f>
        <v/>
      </c>
      <c r="AB3982" s="17" t="str">
        <f aca="false">IF($D3982="","",IF(OR($R3982=TRUE(),$R3982="TRUE"),Settings!$C$6,Settings!$C$7)*100)</f>
        <v/>
      </c>
      <c r="AH3982" s="18" t="str">
        <f aca="false">IF($D3982="","",IF(COUNTIF($D$2:$D3982,$D3982)=1,1,0))</f>
        <v/>
      </c>
      <c r="AI3982" s="18" t="str">
        <f aca="false">IF($AH3982=1,SUMPRODUCT(--($AK$2:$AK$4001&lt;$AK3982))+1,"")</f>
        <v/>
      </c>
      <c r="AJ3982" s="18" t="str">
        <f aca="false">IF($D3982="","",IF(OR($R3982=TRUE(),$R3982="TRUE"),1,0))</f>
        <v/>
      </c>
      <c r="AK3982" s="18" t="str">
        <f aca="false">IF($AH3982=1,IFERROR(VALUE(MID($D3982,2,20)),1000000000)+ROW()/10000000,"")</f>
        <v/>
      </c>
    </row>
    <row r="3983" customFormat="false" ht="15" hidden="false" customHeight="false" outlineLevel="0" collapsed="false">
      <c r="F3983" s="15"/>
      <c r="N3983" s="16" t="str">
        <f aca="false">IF($D3983="","",M3983*Y3983/100)</f>
        <v/>
      </c>
      <c r="V3983" s="16" t="str">
        <f aca="false">IF($D3983="","",Y3983*AB3983/100)</f>
        <v/>
      </c>
      <c r="W3983" s="16" t="str">
        <f aca="false">IF($D3983="","",Y3983-V3983)</f>
        <v/>
      </c>
      <c r="X3983" s="16" t="str">
        <f aca="false">IF($D3983="","",W3983-N3983)</f>
        <v/>
      </c>
      <c r="AB3983" s="17" t="str">
        <f aca="false">IF($D3983="","",IF(OR($R3983=TRUE(),$R3983="TRUE"),Settings!$C$6,Settings!$C$7)*100)</f>
        <v/>
      </c>
      <c r="AH3983" s="18" t="str">
        <f aca="false">IF($D3983="","",IF(COUNTIF($D$2:$D3983,$D3983)=1,1,0))</f>
        <v/>
      </c>
      <c r="AI3983" s="18" t="str">
        <f aca="false">IF($AH3983=1,SUMPRODUCT(--($AK$2:$AK$4001&lt;$AK3983))+1,"")</f>
        <v/>
      </c>
      <c r="AJ3983" s="18" t="str">
        <f aca="false">IF($D3983="","",IF(OR($R3983=TRUE(),$R3983="TRUE"),1,0))</f>
        <v/>
      </c>
      <c r="AK3983" s="18" t="str">
        <f aca="false">IF($AH3983=1,IFERROR(VALUE(MID($D3983,2,20)),1000000000)+ROW()/10000000,"")</f>
        <v/>
      </c>
    </row>
    <row r="3984" customFormat="false" ht="15" hidden="false" customHeight="false" outlineLevel="0" collapsed="false">
      <c r="F3984" s="15"/>
      <c r="N3984" s="16" t="str">
        <f aca="false">IF($D3984="","",M3984*Y3984/100)</f>
        <v/>
      </c>
      <c r="V3984" s="16" t="str">
        <f aca="false">IF($D3984="","",Y3984*AB3984/100)</f>
        <v/>
      </c>
      <c r="W3984" s="16" t="str">
        <f aca="false">IF($D3984="","",Y3984-V3984)</f>
        <v/>
      </c>
      <c r="X3984" s="16" t="str">
        <f aca="false">IF($D3984="","",W3984-N3984)</f>
        <v/>
      </c>
      <c r="AB3984" s="17" t="str">
        <f aca="false">IF($D3984="","",IF(OR($R3984=TRUE(),$R3984="TRUE"),Settings!$C$6,Settings!$C$7)*100)</f>
        <v/>
      </c>
      <c r="AH3984" s="18" t="str">
        <f aca="false">IF($D3984="","",IF(COUNTIF($D$2:$D3984,$D3984)=1,1,0))</f>
        <v/>
      </c>
      <c r="AI3984" s="18" t="str">
        <f aca="false">IF($AH3984=1,SUMPRODUCT(--($AK$2:$AK$4001&lt;$AK3984))+1,"")</f>
        <v/>
      </c>
      <c r="AJ3984" s="18" t="str">
        <f aca="false">IF($D3984="","",IF(OR($R3984=TRUE(),$R3984="TRUE"),1,0))</f>
        <v/>
      </c>
      <c r="AK3984" s="18" t="str">
        <f aca="false">IF($AH3984=1,IFERROR(VALUE(MID($D3984,2,20)),1000000000)+ROW()/10000000,"")</f>
        <v/>
      </c>
    </row>
    <row r="3985" customFormat="false" ht="15" hidden="false" customHeight="false" outlineLevel="0" collapsed="false">
      <c r="F3985" s="15"/>
      <c r="N3985" s="16" t="str">
        <f aca="false">IF($D3985="","",M3985*Y3985/100)</f>
        <v/>
      </c>
      <c r="V3985" s="16" t="str">
        <f aca="false">IF($D3985="","",Y3985*AB3985/100)</f>
        <v/>
      </c>
      <c r="W3985" s="16" t="str">
        <f aca="false">IF($D3985="","",Y3985-V3985)</f>
        <v/>
      </c>
      <c r="X3985" s="16" t="str">
        <f aca="false">IF($D3985="","",W3985-N3985)</f>
        <v/>
      </c>
      <c r="AB3985" s="17" t="str">
        <f aca="false">IF($D3985="","",IF(OR($R3985=TRUE(),$R3985="TRUE"),Settings!$C$6,Settings!$C$7)*100)</f>
        <v/>
      </c>
      <c r="AH3985" s="18" t="str">
        <f aca="false">IF($D3985="","",IF(COUNTIF($D$2:$D3985,$D3985)=1,1,0))</f>
        <v/>
      </c>
      <c r="AI3985" s="18" t="str">
        <f aca="false">IF($AH3985=1,SUMPRODUCT(--($AK$2:$AK$4001&lt;$AK3985))+1,"")</f>
        <v/>
      </c>
      <c r="AJ3985" s="18" t="str">
        <f aca="false">IF($D3985="","",IF(OR($R3985=TRUE(),$R3985="TRUE"),1,0))</f>
        <v/>
      </c>
      <c r="AK3985" s="18" t="str">
        <f aca="false">IF($AH3985=1,IFERROR(VALUE(MID($D3985,2,20)),1000000000)+ROW()/10000000,"")</f>
        <v/>
      </c>
    </row>
    <row r="3986" customFormat="false" ht="15" hidden="false" customHeight="false" outlineLevel="0" collapsed="false">
      <c r="F3986" s="15"/>
      <c r="N3986" s="16" t="str">
        <f aca="false">IF($D3986="","",M3986*Y3986/100)</f>
        <v/>
      </c>
      <c r="V3986" s="16" t="str">
        <f aca="false">IF($D3986="","",Y3986*AB3986/100)</f>
        <v/>
      </c>
      <c r="W3986" s="16" t="str">
        <f aca="false">IF($D3986="","",Y3986-V3986)</f>
        <v/>
      </c>
      <c r="X3986" s="16" t="str">
        <f aca="false">IF($D3986="","",W3986-N3986)</f>
        <v/>
      </c>
      <c r="AB3986" s="17" t="str">
        <f aca="false">IF($D3986="","",IF(OR($R3986=TRUE(),$R3986="TRUE"),Settings!$C$6,Settings!$C$7)*100)</f>
        <v/>
      </c>
      <c r="AH3986" s="18" t="str">
        <f aca="false">IF($D3986="","",IF(COUNTIF($D$2:$D3986,$D3986)=1,1,0))</f>
        <v/>
      </c>
      <c r="AI3986" s="18" t="str">
        <f aca="false">IF($AH3986=1,SUMPRODUCT(--($AK$2:$AK$4001&lt;$AK3986))+1,"")</f>
        <v/>
      </c>
      <c r="AJ3986" s="18" t="str">
        <f aca="false">IF($D3986="","",IF(OR($R3986=TRUE(),$R3986="TRUE"),1,0))</f>
        <v/>
      </c>
      <c r="AK3986" s="18" t="str">
        <f aca="false">IF($AH3986=1,IFERROR(VALUE(MID($D3986,2,20)),1000000000)+ROW()/10000000,"")</f>
        <v/>
      </c>
    </row>
    <row r="3987" customFormat="false" ht="15" hidden="false" customHeight="false" outlineLevel="0" collapsed="false">
      <c r="F3987" s="15"/>
      <c r="N3987" s="16" t="str">
        <f aca="false">IF($D3987="","",M3987*Y3987/100)</f>
        <v/>
      </c>
      <c r="V3987" s="16" t="str">
        <f aca="false">IF($D3987="","",Y3987*AB3987/100)</f>
        <v/>
      </c>
      <c r="W3987" s="16" t="str">
        <f aca="false">IF($D3987="","",Y3987-V3987)</f>
        <v/>
      </c>
      <c r="X3987" s="16" t="str">
        <f aca="false">IF($D3987="","",W3987-N3987)</f>
        <v/>
      </c>
      <c r="AB3987" s="17" t="str">
        <f aca="false">IF($D3987="","",IF(OR($R3987=TRUE(),$R3987="TRUE"),Settings!$C$6,Settings!$C$7)*100)</f>
        <v/>
      </c>
      <c r="AH3987" s="18" t="str">
        <f aca="false">IF($D3987="","",IF(COUNTIF($D$2:$D3987,$D3987)=1,1,0))</f>
        <v/>
      </c>
      <c r="AI3987" s="18" t="str">
        <f aca="false">IF($AH3987=1,SUMPRODUCT(--($AK$2:$AK$4001&lt;$AK3987))+1,"")</f>
        <v/>
      </c>
      <c r="AJ3987" s="18" t="str">
        <f aca="false">IF($D3987="","",IF(OR($R3987=TRUE(),$R3987="TRUE"),1,0))</f>
        <v/>
      </c>
      <c r="AK3987" s="18" t="str">
        <f aca="false">IF($AH3987=1,IFERROR(VALUE(MID($D3987,2,20)),1000000000)+ROW()/10000000,"")</f>
        <v/>
      </c>
    </row>
    <row r="3988" customFormat="false" ht="15" hidden="false" customHeight="false" outlineLevel="0" collapsed="false">
      <c r="F3988" s="15"/>
      <c r="N3988" s="16" t="str">
        <f aca="false">IF($D3988="","",M3988*Y3988/100)</f>
        <v/>
      </c>
      <c r="V3988" s="16" t="str">
        <f aca="false">IF($D3988="","",Y3988*AB3988/100)</f>
        <v/>
      </c>
      <c r="W3988" s="16" t="str">
        <f aca="false">IF($D3988="","",Y3988-V3988)</f>
        <v/>
      </c>
      <c r="X3988" s="16" t="str">
        <f aca="false">IF($D3988="","",W3988-N3988)</f>
        <v/>
      </c>
      <c r="AB3988" s="17" t="str">
        <f aca="false">IF($D3988="","",IF(OR($R3988=TRUE(),$R3988="TRUE"),Settings!$C$6,Settings!$C$7)*100)</f>
        <v/>
      </c>
      <c r="AH3988" s="18" t="str">
        <f aca="false">IF($D3988="","",IF(COUNTIF($D$2:$D3988,$D3988)=1,1,0))</f>
        <v/>
      </c>
      <c r="AI3988" s="18" t="str">
        <f aca="false">IF($AH3988=1,SUMPRODUCT(--($AK$2:$AK$4001&lt;$AK3988))+1,"")</f>
        <v/>
      </c>
      <c r="AJ3988" s="18" t="str">
        <f aca="false">IF($D3988="","",IF(OR($R3988=TRUE(),$R3988="TRUE"),1,0))</f>
        <v/>
      </c>
      <c r="AK3988" s="18" t="str">
        <f aca="false">IF($AH3988=1,IFERROR(VALUE(MID($D3988,2,20)),1000000000)+ROW()/10000000,"")</f>
        <v/>
      </c>
    </row>
    <row r="3989" customFormat="false" ht="15" hidden="false" customHeight="false" outlineLevel="0" collapsed="false">
      <c r="F3989" s="15"/>
      <c r="N3989" s="16" t="str">
        <f aca="false">IF($D3989="","",M3989*Y3989/100)</f>
        <v/>
      </c>
      <c r="V3989" s="16" t="str">
        <f aca="false">IF($D3989="","",Y3989*AB3989/100)</f>
        <v/>
      </c>
      <c r="W3989" s="16" t="str">
        <f aca="false">IF($D3989="","",Y3989-V3989)</f>
        <v/>
      </c>
      <c r="X3989" s="16" t="str">
        <f aca="false">IF($D3989="","",W3989-N3989)</f>
        <v/>
      </c>
      <c r="AB3989" s="17" t="str">
        <f aca="false">IF($D3989="","",IF(OR($R3989=TRUE(),$R3989="TRUE"),Settings!$C$6,Settings!$C$7)*100)</f>
        <v/>
      </c>
      <c r="AH3989" s="18" t="str">
        <f aca="false">IF($D3989="","",IF(COUNTIF($D$2:$D3989,$D3989)=1,1,0))</f>
        <v/>
      </c>
      <c r="AI3989" s="18" t="str">
        <f aca="false">IF($AH3989=1,SUMPRODUCT(--($AK$2:$AK$4001&lt;$AK3989))+1,"")</f>
        <v/>
      </c>
      <c r="AJ3989" s="18" t="str">
        <f aca="false">IF($D3989="","",IF(OR($R3989=TRUE(),$R3989="TRUE"),1,0))</f>
        <v/>
      </c>
      <c r="AK3989" s="18" t="str">
        <f aca="false">IF($AH3989=1,IFERROR(VALUE(MID($D3989,2,20)),1000000000)+ROW()/10000000,"")</f>
        <v/>
      </c>
    </row>
    <row r="3990" customFormat="false" ht="15" hidden="false" customHeight="false" outlineLevel="0" collapsed="false">
      <c r="F3990" s="15"/>
      <c r="N3990" s="16" t="str">
        <f aca="false">IF($D3990="","",M3990*Y3990/100)</f>
        <v/>
      </c>
      <c r="V3990" s="16" t="str">
        <f aca="false">IF($D3990="","",Y3990*AB3990/100)</f>
        <v/>
      </c>
      <c r="W3990" s="16" t="str">
        <f aca="false">IF($D3990="","",Y3990-V3990)</f>
        <v/>
      </c>
      <c r="X3990" s="16" t="str">
        <f aca="false">IF($D3990="","",W3990-N3990)</f>
        <v/>
      </c>
      <c r="AB3990" s="17" t="str">
        <f aca="false">IF($D3990="","",IF(OR($R3990=TRUE(),$R3990="TRUE"),Settings!$C$6,Settings!$C$7)*100)</f>
        <v/>
      </c>
      <c r="AH3990" s="18" t="str">
        <f aca="false">IF($D3990="","",IF(COUNTIF($D$2:$D3990,$D3990)=1,1,0))</f>
        <v/>
      </c>
      <c r="AI3990" s="18" t="str">
        <f aca="false">IF($AH3990=1,SUMPRODUCT(--($AK$2:$AK$4001&lt;$AK3990))+1,"")</f>
        <v/>
      </c>
      <c r="AJ3990" s="18" t="str">
        <f aca="false">IF($D3990="","",IF(OR($R3990=TRUE(),$R3990="TRUE"),1,0))</f>
        <v/>
      </c>
      <c r="AK3990" s="18" t="str">
        <f aca="false">IF($AH3990=1,IFERROR(VALUE(MID($D3990,2,20)),1000000000)+ROW()/10000000,"")</f>
        <v/>
      </c>
    </row>
    <row r="3991" customFormat="false" ht="15" hidden="false" customHeight="false" outlineLevel="0" collapsed="false">
      <c r="F3991" s="15"/>
      <c r="N3991" s="16" t="str">
        <f aca="false">IF($D3991="","",M3991*Y3991/100)</f>
        <v/>
      </c>
      <c r="V3991" s="16" t="str">
        <f aca="false">IF($D3991="","",Y3991*AB3991/100)</f>
        <v/>
      </c>
      <c r="W3991" s="16" t="str">
        <f aca="false">IF($D3991="","",Y3991-V3991)</f>
        <v/>
      </c>
      <c r="X3991" s="16" t="str">
        <f aca="false">IF($D3991="","",W3991-N3991)</f>
        <v/>
      </c>
      <c r="AB3991" s="17" t="str">
        <f aca="false">IF($D3991="","",IF(OR($R3991=TRUE(),$R3991="TRUE"),Settings!$C$6,Settings!$C$7)*100)</f>
        <v/>
      </c>
      <c r="AH3991" s="18" t="str">
        <f aca="false">IF($D3991="","",IF(COUNTIF($D$2:$D3991,$D3991)=1,1,0))</f>
        <v/>
      </c>
      <c r="AI3991" s="18" t="str">
        <f aca="false">IF($AH3991=1,SUMPRODUCT(--($AK$2:$AK$4001&lt;$AK3991))+1,"")</f>
        <v/>
      </c>
      <c r="AJ3991" s="18" t="str">
        <f aca="false">IF($D3991="","",IF(OR($R3991=TRUE(),$R3991="TRUE"),1,0))</f>
        <v/>
      </c>
      <c r="AK3991" s="18" t="str">
        <f aca="false">IF($AH3991=1,IFERROR(VALUE(MID($D3991,2,20)),1000000000)+ROW()/10000000,"")</f>
        <v/>
      </c>
    </row>
    <row r="3992" customFormat="false" ht="15" hidden="false" customHeight="false" outlineLevel="0" collapsed="false">
      <c r="F3992" s="15"/>
      <c r="N3992" s="16" t="str">
        <f aca="false">IF($D3992="","",M3992*Y3992/100)</f>
        <v/>
      </c>
      <c r="V3992" s="16" t="str">
        <f aca="false">IF($D3992="","",Y3992*AB3992/100)</f>
        <v/>
      </c>
      <c r="W3992" s="16" t="str">
        <f aca="false">IF($D3992="","",Y3992-V3992)</f>
        <v/>
      </c>
      <c r="X3992" s="16" t="str">
        <f aca="false">IF($D3992="","",W3992-N3992)</f>
        <v/>
      </c>
      <c r="AB3992" s="17" t="str">
        <f aca="false">IF($D3992="","",IF(OR($R3992=TRUE(),$R3992="TRUE"),Settings!$C$6,Settings!$C$7)*100)</f>
        <v/>
      </c>
      <c r="AH3992" s="18" t="str">
        <f aca="false">IF($D3992="","",IF(COUNTIF($D$2:$D3992,$D3992)=1,1,0))</f>
        <v/>
      </c>
      <c r="AI3992" s="18" t="str">
        <f aca="false">IF($AH3992=1,SUMPRODUCT(--($AK$2:$AK$4001&lt;$AK3992))+1,"")</f>
        <v/>
      </c>
      <c r="AJ3992" s="18" t="str">
        <f aca="false">IF($D3992="","",IF(OR($R3992=TRUE(),$R3992="TRUE"),1,0))</f>
        <v/>
      </c>
      <c r="AK3992" s="18" t="str">
        <f aca="false">IF($AH3992=1,IFERROR(VALUE(MID($D3992,2,20)),1000000000)+ROW()/10000000,"")</f>
        <v/>
      </c>
    </row>
    <row r="3993" customFormat="false" ht="15" hidden="false" customHeight="false" outlineLevel="0" collapsed="false">
      <c r="F3993" s="15"/>
      <c r="N3993" s="16" t="str">
        <f aca="false">IF($D3993="","",M3993*Y3993/100)</f>
        <v/>
      </c>
      <c r="V3993" s="16" t="str">
        <f aca="false">IF($D3993="","",Y3993*AB3993/100)</f>
        <v/>
      </c>
      <c r="W3993" s="16" t="str">
        <f aca="false">IF($D3993="","",Y3993-V3993)</f>
        <v/>
      </c>
      <c r="X3993" s="16" t="str">
        <f aca="false">IF($D3993="","",W3993-N3993)</f>
        <v/>
      </c>
      <c r="AB3993" s="17" t="str">
        <f aca="false">IF($D3993="","",IF(OR($R3993=TRUE(),$R3993="TRUE"),Settings!$C$6,Settings!$C$7)*100)</f>
        <v/>
      </c>
      <c r="AH3993" s="18" t="str">
        <f aca="false">IF($D3993="","",IF(COUNTIF($D$2:$D3993,$D3993)=1,1,0))</f>
        <v/>
      </c>
      <c r="AI3993" s="18" t="str">
        <f aca="false">IF($AH3993=1,SUMPRODUCT(--($AK$2:$AK$4001&lt;$AK3993))+1,"")</f>
        <v/>
      </c>
      <c r="AJ3993" s="18" t="str">
        <f aca="false">IF($D3993="","",IF(OR($R3993=TRUE(),$R3993="TRUE"),1,0))</f>
        <v/>
      </c>
      <c r="AK3993" s="18" t="str">
        <f aca="false">IF($AH3993=1,IFERROR(VALUE(MID($D3993,2,20)),1000000000)+ROW()/10000000,"")</f>
        <v/>
      </c>
    </row>
    <row r="3994" customFormat="false" ht="15" hidden="false" customHeight="false" outlineLevel="0" collapsed="false">
      <c r="F3994" s="15"/>
      <c r="N3994" s="16" t="str">
        <f aca="false">IF($D3994="","",M3994*Y3994/100)</f>
        <v/>
      </c>
      <c r="V3994" s="16" t="str">
        <f aca="false">IF($D3994="","",Y3994*AB3994/100)</f>
        <v/>
      </c>
      <c r="W3994" s="16" t="str">
        <f aca="false">IF($D3994="","",Y3994-V3994)</f>
        <v/>
      </c>
      <c r="X3994" s="16" t="str">
        <f aca="false">IF($D3994="","",W3994-N3994)</f>
        <v/>
      </c>
      <c r="AB3994" s="17" t="str">
        <f aca="false">IF($D3994="","",IF(OR($R3994=TRUE(),$R3994="TRUE"),Settings!$C$6,Settings!$C$7)*100)</f>
        <v/>
      </c>
      <c r="AH3994" s="18" t="str">
        <f aca="false">IF($D3994="","",IF(COUNTIF($D$2:$D3994,$D3994)=1,1,0))</f>
        <v/>
      </c>
      <c r="AI3994" s="18" t="str">
        <f aca="false">IF($AH3994=1,SUMPRODUCT(--($AK$2:$AK$4001&lt;$AK3994))+1,"")</f>
        <v/>
      </c>
      <c r="AJ3994" s="18" t="str">
        <f aca="false">IF($D3994="","",IF(OR($R3994=TRUE(),$R3994="TRUE"),1,0))</f>
        <v/>
      </c>
      <c r="AK3994" s="18" t="str">
        <f aca="false">IF($AH3994=1,IFERROR(VALUE(MID($D3994,2,20)),1000000000)+ROW()/10000000,"")</f>
        <v/>
      </c>
    </row>
    <row r="3995" customFormat="false" ht="15" hidden="false" customHeight="false" outlineLevel="0" collapsed="false">
      <c r="F3995" s="15"/>
      <c r="N3995" s="16" t="str">
        <f aca="false">IF($D3995="","",M3995*Y3995/100)</f>
        <v/>
      </c>
      <c r="V3995" s="16" t="str">
        <f aca="false">IF($D3995="","",Y3995*AB3995/100)</f>
        <v/>
      </c>
      <c r="W3995" s="16" t="str">
        <f aca="false">IF($D3995="","",Y3995-V3995)</f>
        <v/>
      </c>
      <c r="X3995" s="16" t="str">
        <f aca="false">IF($D3995="","",W3995-N3995)</f>
        <v/>
      </c>
      <c r="AB3995" s="17" t="str">
        <f aca="false">IF($D3995="","",IF(OR($R3995=TRUE(),$R3995="TRUE"),Settings!$C$6,Settings!$C$7)*100)</f>
        <v/>
      </c>
      <c r="AH3995" s="18" t="str">
        <f aca="false">IF($D3995="","",IF(COUNTIF($D$2:$D3995,$D3995)=1,1,0))</f>
        <v/>
      </c>
      <c r="AI3995" s="18" t="str">
        <f aca="false">IF($AH3995=1,SUMPRODUCT(--($AK$2:$AK$4001&lt;$AK3995))+1,"")</f>
        <v/>
      </c>
      <c r="AJ3995" s="18" t="str">
        <f aca="false">IF($D3995="","",IF(OR($R3995=TRUE(),$R3995="TRUE"),1,0))</f>
        <v/>
      </c>
      <c r="AK3995" s="18" t="str">
        <f aca="false">IF($AH3995=1,IFERROR(VALUE(MID($D3995,2,20)),1000000000)+ROW()/10000000,"")</f>
        <v/>
      </c>
    </row>
    <row r="3996" customFormat="false" ht="15" hidden="false" customHeight="false" outlineLevel="0" collapsed="false">
      <c r="F3996" s="15"/>
      <c r="N3996" s="16" t="str">
        <f aca="false">IF($D3996="","",M3996*Y3996/100)</f>
        <v/>
      </c>
      <c r="V3996" s="16" t="str">
        <f aca="false">IF($D3996="","",Y3996*AB3996/100)</f>
        <v/>
      </c>
      <c r="W3996" s="16" t="str">
        <f aca="false">IF($D3996="","",Y3996-V3996)</f>
        <v/>
      </c>
      <c r="X3996" s="16" t="str">
        <f aca="false">IF($D3996="","",W3996-N3996)</f>
        <v/>
      </c>
      <c r="AB3996" s="17" t="str">
        <f aca="false">IF($D3996="","",IF(OR($R3996=TRUE(),$R3996="TRUE"),Settings!$C$6,Settings!$C$7)*100)</f>
        <v/>
      </c>
      <c r="AH3996" s="18" t="str">
        <f aca="false">IF($D3996="","",IF(COUNTIF($D$2:$D3996,$D3996)=1,1,0))</f>
        <v/>
      </c>
      <c r="AI3996" s="18" t="str">
        <f aca="false">IF($AH3996=1,SUMPRODUCT(--($AK$2:$AK$4001&lt;$AK3996))+1,"")</f>
        <v/>
      </c>
      <c r="AJ3996" s="18" t="str">
        <f aca="false">IF($D3996="","",IF(OR($R3996=TRUE(),$R3996="TRUE"),1,0))</f>
        <v/>
      </c>
      <c r="AK3996" s="18" t="str">
        <f aca="false">IF($AH3996=1,IFERROR(VALUE(MID($D3996,2,20)),1000000000)+ROW()/10000000,"")</f>
        <v/>
      </c>
    </row>
    <row r="3997" customFormat="false" ht="15" hidden="false" customHeight="false" outlineLevel="0" collapsed="false">
      <c r="F3997" s="15"/>
      <c r="N3997" s="16" t="str">
        <f aca="false">IF($D3997="","",M3997*Y3997/100)</f>
        <v/>
      </c>
      <c r="V3997" s="16" t="str">
        <f aca="false">IF($D3997="","",Y3997*AB3997/100)</f>
        <v/>
      </c>
      <c r="W3997" s="16" t="str">
        <f aca="false">IF($D3997="","",Y3997-V3997)</f>
        <v/>
      </c>
      <c r="X3997" s="16" t="str">
        <f aca="false">IF($D3997="","",W3997-N3997)</f>
        <v/>
      </c>
      <c r="AB3997" s="17" t="str">
        <f aca="false">IF($D3997="","",IF(OR($R3997=TRUE(),$R3997="TRUE"),Settings!$C$6,Settings!$C$7)*100)</f>
        <v/>
      </c>
      <c r="AH3997" s="18" t="str">
        <f aca="false">IF($D3997="","",IF(COUNTIF($D$2:$D3997,$D3997)=1,1,0))</f>
        <v/>
      </c>
      <c r="AI3997" s="18" t="str">
        <f aca="false">IF($AH3997=1,SUMPRODUCT(--($AK$2:$AK$4001&lt;$AK3997))+1,"")</f>
        <v/>
      </c>
      <c r="AJ3997" s="18" t="str">
        <f aca="false">IF($D3997="","",IF(OR($R3997=TRUE(),$R3997="TRUE"),1,0))</f>
        <v/>
      </c>
      <c r="AK3997" s="18" t="str">
        <f aca="false">IF($AH3997=1,IFERROR(VALUE(MID($D3997,2,20)),1000000000)+ROW()/10000000,"")</f>
        <v/>
      </c>
    </row>
    <row r="3998" customFormat="false" ht="15" hidden="false" customHeight="false" outlineLevel="0" collapsed="false">
      <c r="F3998" s="15"/>
      <c r="N3998" s="16" t="str">
        <f aca="false">IF($D3998="","",M3998*Y3998/100)</f>
        <v/>
      </c>
      <c r="V3998" s="16" t="str">
        <f aca="false">IF($D3998="","",Y3998*AB3998/100)</f>
        <v/>
      </c>
      <c r="W3998" s="16" t="str">
        <f aca="false">IF($D3998="","",Y3998-V3998)</f>
        <v/>
      </c>
      <c r="X3998" s="16" t="str">
        <f aca="false">IF($D3998="","",W3998-N3998)</f>
        <v/>
      </c>
      <c r="AB3998" s="17" t="str">
        <f aca="false">IF($D3998="","",IF(OR($R3998=TRUE(),$R3998="TRUE"),Settings!$C$6,Settings!$C$7)*100)</f>
        <v/>
      </c>
      <c r="AH3998" s="18" t="str">
        <f aca="false">IF($D3998="","",IF(COUNTIF($D$2:$D3998,$D3998)=1,1,0))</f>
        <v/>
      </c>
      <c r="AI3998" s="18" t="str">
        <f aca="false">IF($AH3998=1,SUMPRODUCT(--($AK$2:$AK$4001&lt;$AK3998))+1,"")</f>
        <v/>
      </c>
      <c r="AJ3998" s="18" t="str">
        <f aca="false">IF($D3998="","",IF(OR($R3998=TRUE(),$R3998="TRUE"),1,0))</f>
        <v/>
      </c>
      <c r="AK3998" s="18" t="str">
        <f aca="false">IF($AH3998=1,IFERROR(VALUE(MID($D3998,2,20)),1000000000)+ROW()/10000000,"")</f>
        <v/>
      </c>
    </row>
    <row r="3999" customFormat="false" ht="15" hidden="false" customHeight="false" outlineLevel="0" collapsed="false">
      <c r="F3999" s="15"/>
      <c r="N3999" s="16" t="str">
        <f aca="false">IF($D3999="","",M3999*Y3999/100)</f>
        <v/>
      </c>
      <c r="V3999" s="16" t="str">
        <f aca="false">IF($D3999="","",Y3999*AB3999/100)</f>
        <v/>
      </c>
      <c r="W3999" s="16" t="str">
        <f aca="false">IF($D3999="","",Y3999-V3999)</f>
        <v/>
      </c>
      <c r="X3999" s="16" t="str">
        <f aca="false">IF($D3999="","",W3999-N3999)</f>
        <v/>
      </c>
      <c r="AB3999" s="17" t="str">
        <f aca="false">IF($D3999="","",IF(OR($R3999=TRUE(),$R3999="TRUE"),Settings!$C$6,Settings!$C$7)*100)</f>
        <v/>
      </c>
      <c r="AH3999" s="18" t="str">
        <f aca="false">IF($D3999="","",IF(COUNTIF($D$2:$D3999,$D3999)=1,1,0))</f>
        <v/>
      </c>
      <c r="AI3999" s="18" t="str">
        <f aca="false">IF($AH3999=1,SUMPRODUCT(--($AK$2:$AK$4001&lt;$AK3999))+1,"")</f>
        <v/>
      </c>
      <c r="AJ3999" s="18" t="str">
        <f aca="false">IF($D3999="","",IF(OR($R3999=TRUE(),$R3999="TRUE"),1,0))</f>
        <v/>
      </c>
      <c r="AK3999" s="18" t="str">
        <f aca="false">IF($AH3999=1,IFERROR(VALUE(MID($D3999,2,20)),1000000000)+ROW()/10000000,"")</f>
        <v/>
      </c>
    </row>
    <row r="4000" customFormat="false" ht="15" hidden="false" customHeight="false" outlineLevel="0" collapsed="false">
      <c r="F4000" s="15"/>
      <c r="N4000" s="16" t="str">
        <f aca="false">IF($D4000="","",M4000*Y4000/100)</f>
        <v/>
      </c>
      <c r="V4000" s="16" t="str">
        <f aca="false">IF($D4000="","",Y4000*AB4000/100)</f>
        <v/>
      </c>
      <c r="W4000" s="16" t="str">
        <f aca="false">IF($D4000="","",Y4000-V4000)</f>
        <v/>
      </c>
      <c r="X4000" s="16" t="str">
        <f aca="false">IF($D4000="","",W4000-N4000)</f>
        <v/>
      </c>
      <c r="AB4000" s="17" t="str">
        <f aca="false">IF($D4000="","",IF(OR($R4000=TRUE(),$R4000="TRUE"),Settings!$C$6,Settings!$C$7)*100)</f>
        <v/>
      </c>
      <c r="AH4000" s="18" t="str">
        <f aca="false">IF($D4000="","",IF(COUNTIF($D$2:$D4000,$D4000)=1,1,0))</f>
        <v/>
      </c>
      <c r="AI4000" s="18" t="str">
        <f aca="false">IF($AH4000=1,SUMPRODUCT(--($AK$2:$AK$4001&lt;$AK4000))+1,"")</f>
        <v/>
      </c>
      <c r="AJ4000" s="18" t="str">
        <f aca="false">IF($D4000="","",IF(OR($R4000=TRUE(),$R4000="TRUE"),1,0))</f>
        <v/>
      </c>
      <c r="AK4000" s="18" t="str">
        <f aca="false">IF($AH4000=1,IFERROR(VALUE(MID($D4000,2,20)),1000000000)+ROW()/10000000,"")</f>
        <v/>
      </c>
    </row>
    <row r="4001" customFormat="false" ht="15" hidden="false" customHeight="false" outlineLevel="0" collapsed="false">
      <c r="F4001" s="15"/>
      <c r="N4001" s="16" t="str">
        <f aca="false">IF($D4001="","",M4001*Y4001/100)</f>
        <v/>
      </c>
      <c r="V4001" s="16" t="str">
        <f aca="false">IF($D4001="","",Y4001*AB4001/100)</f>
        <v/>
      </c>
      <c r="W4001" s="16" t="str">
        <f aca="false">IF($D4001="","",Y4001-V4001)</f>
        <v/>
      </c>
      <c r="X4001" s="16" t="str">
        <f aca="false">IF($D4001="","",W4001-N4001)</f>
        <v/>
      </c>
      <c r="AB4001" s="17" t="str">
        <f aca="false">IF($D4001="","",IF(OR($R4001=TRUE(),$R4001="TRUE"),Settings!$C$6,Settings!$C$7)*100)</f>
        <v/>
      </c>
      <c r="AH4001" s="18" t="str">
        <f aca="false">IF($D4001="","",IF(COUNTIF($D$2:$D4001,$D4001)=1,1,0))</f>
        <v/>
      </c>
      <c r="AI4001" s="18" t="str">
        <f aca="false">IF($AH4001=1,SUMPRODUCT(--($AK$2:$AK$4001&lt;$AK4001))+1,"")</f>
        <v/>
      </c>
      <c r="AJ4001" s="18" t="str">
        <f aca="false">IF($D4001="","",IF(OR($R4001=TRUE(),$R4001="TRUE"),1,0))</f>
        <v/>
      </c>
      <c r="AK4001" s="18" t="str">
        <f aca="false">IF($AH4001=1,IFERROR(VALUE(MID($D4001,2,20)),1000000000)+ROW()/10000000,"")</f>
        <v/>
      </c>
    </row>
  </sheetData>
  <autoFilter ref="A1:AK4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32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38"/>
    <col collapsed="false" customWidth="true" hidden="false" outlineLevel="0" max="14" min="14" style="0" width="6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6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1"/>
    <col collapsed="false" customWidth="true" hidden="false" outlineLevel="0" max="24" min="24" style="0" width="10"/>
  </cols>
  <sheetData>
    <row r="1" customFormat="false" ht="55.2" hidden="false" customHeight="false" outlineLevel="0" collapsed="false">
      <c r="A1" s="12" t="s">
        <v>72</v>
      </c>
      <c r="B1" s="13" t="s">
        <v>40</v>
      </c>
      <c r="C1" s="13" t="s">
        <v>39</v>
      </c>
      <c r="D1" s="13" t="s">
        <v>37</v>
      </c>
      <c r="E1" s="13" t="s">
        <v>42</v>
      </c>
      <c r="F1" s="13" t="s">
        <v>16</v>
      </c>
      <c r="G1" s="13" t="s">
        <v>19</v>
      </c>
      <c r="H1" s="13" t="s">
        <v>44</v>
      </c>
      <c r="I1" s="13" t="s">
        <v>45</v>
      </c>
      <c r="J1" s="13" t="s">
        <v>46</v>
      </c>
      <c r="K1" s="13" t="s">
        <v>47</v>
      </c>
      <c r="L1" s="13" t="s">
        <v>48</v>
      </c>
      <c r="M1" s="13" t="s">
        <v>60</v>
      </c>
      <c r="N1" s="13" t="s">
        <v>73</v>
      </c>
      <c r="O1" s="13" t="s">
        <v>74</v>
      </c>
      <c r="P1" s="13" t="s">
        <v>75</v>
      </c>
      <c r="Q1" s="13" t="s">
        <v>73</v>
      </c>
      <c r="R1" s="13" t="s">
        <v>52</v>
      </c>
      <c r="S1" s="13" t="s">
        <v>76</v>
      </c>
      <c r="T1" s="13" t="s">
        <v>56</v>
      </c>
      <c r="U1" s="13" t="s">
        <v>57</v>
      </c>
      <c r="V1" s="13" t="s">
        <v>77</v>
      </c>
      <c r="W1" s="13" t="s">
        <v>58</v>
      </c>
      <c r="X1" s="14" t="s">
        <v>78</v>
      </c>
    </row>
    <row r="2" customFormat="false" ht="15" hidden="false" customHeight="false" outlineLevel="0" collapsed="false">
      <c r="A2" s="19"/>
      <c r="B2" s="20" t="str">
        <f aca="false">IF($X2="","",INDEX('Per Line'!$D$2:$D$4001,$X2))</f>
        <v/>
      </c>
      <c r="C2" s="20" t="str">
        <f aca="false">IF($X2="","",INDEX('Per Line'!$C$2:$C$4001,$X2))</f>
        <v/>
      </c>
      <c r="D2" s="20" t="str">
        <f aca="false">IF($X2="","",INDEX('Per Line'!$A$2:$A$4001,$X2))</f>
        <v/>
      </c>
      <c r="E2" s="21" t="str">
        <f aca="false">IF($X2="","",INDEX('Per Line'!$F$2:$F$4001,$X2))</f>
        <v/>
      </c>
      <c r="F2" s="20" t="str">
        <f aca="false">IF($X2="","",INDEX('Per Line'!$G$2:$G$4001,$X2))</f>
        <v/>
      </c>
      <c r="G2" s="20" t="str">
        <f aca="false">IF($X2="","",INDEX('Per Line'!$I$2:$I$4001,$X2))</f>
        <v/>
      </c>
      <c r="H2" s="20" t="str">
        <f aca="false">IF($X2="","",INDEX('Per Line'!$J$2:$J$4001,$X2))</f>
        <v/>
      </c>
      <c r="I2" s="20" t="str">
        <f aca="false">IF($X2="","",INDEX('Per Line'!$K$2:$K$4001,$X2))</f>
        <v/>
      </c>
      <c r="J2" s="20" t="str">
        <f aca="false">IF($X2="","",INDEX('Per Line'!$L$2:$L$4001,$X2))</f>
        <v/>
      </c>
      <c r="K2" s="20" t="str">
        <f aca="false">IF($X2="","",INDEX('Per Line'!$M$2:$M$4001,$X2))</f>
        <v/>
      </c>
      <c r="L2" s="22" t="str">
        <f aca="false">IF($X2="","",K2*V2/100)</f>
        <v/>
      </c>
      <c r="M2" s="20" t="str">
        <f aca="false">IF($X2="","",INDEX('Per Line'!$Z$2:$Z$4001,$X2))</f>
        <v/>
      </c>
      <c r="N2" s="23" t="str">
        <f aca="false">IF($X2="","",Settings!$C$7)</f>
        <v/>
      </c>
      <c r="O2" s="22" t="str">
        <f aca="false">IF($X2="","",SUMIFS('Per Line'!$Y$2:$Y$4001,'Per Line'!$D$2:$D$4001,$B2,'Per Line'!$AJ$2:$AJ$4001,0))</f>
        <v/>
      </c>
      <c r="P2" s="22" t="str">
        <f aca="false">IF($X2="","",O2*N2)</f>
        <v/>
      </c>
      <c r="Q2" s="23" t="str">
        <f aca="false">IF($X2="","",Settings!$C$6)</f>
        <v/>
      </c>
      <c r="R2" s="22" t="str">
        <f aca="false">IF($X2="","",SUMIFS('Per Line'!$Y$2:$Y$4001,'Per Line'!$D$2:$D$4001,$B2,'Per Line'!$AJ$2:$AJ$4001,1))</f>
        <v/>
      </c>
      <c r="S2" s="22" t="str">
        <f aca="false">IF($X2="","",R2*Q2)</f>
        <v/>
      </c>
      <c r="T2" s="22" t="str">
        <f aca="false">IF($X2="","",S2+P2)</f>
        <v/>
      </c>
      <c r="U2" s="22" t="str">
        <f aca="false">IF($X2="","",V2-T2)</f>
        <v/>
      </c>
      <c r="V2" s="22" t="str">
        <f aca="false">IF($X2="","",O2+R2)</f>
        <v/>
      </c>
      <c r="W2" s="22" t="str">
        <f aca="false">IF($X2="","",U2-L2)</f>
        <v/>
      </c>
      <c r="X2" s="24" t="str">
        <f aca="false">IF(ROWS($X$2:$X2)&lt;=MAX('Per Line'!$AI$2:$AI$4001),MATCH(ROWS($X$2:$X2),'Per Line'!$AI$2:$AI$4001,0),"")</f>
        <v/>
      </c>
    </row>
    <row r="3" customFormat="false" ht="15" hidden="false" customHeight="false" outlineLevel="0" collapsed="false">
      <c r="A3" s="19"/>
      <c r="B3" s="20" t="str">
        <f aca="false">IF($X3="","",INDEX('Per Line'!$D$2:$D$4001,$X3))</f>
        <v/>
      </c>
      <c r="C3" s="20" t="str">
        <f aca="false">IF($X3="","",INDEX('Per Line'!$C$2:$C$4001,$X3))</f>
        <v/>
      </c>
      <c r="D3" s="20" t="str">
        <f aca="false">IF($X3="","",INDEX('Per Line'!$A$2:$A$4001,$X3))</f>
        <v/>
      </c>
      <c r="E3" s="21" t="str">
        <f aca="false">IF($X3="","",INDEX('Per Line'!$F$2:$F$4001,$X3))</f>
        <v/>
      </c>
      <c r="F3" s="20" t="str">
        <f aca="false">IF($X3="","",INDEX('Per Line'!$G$2:$G$4001,$X3))</f>
        <v/>
      </c>
      <c r="G3" s="20" t="str">
        <f aca="false">IF($X3="","",INDEX('Per Line'!$I$2:$I$4001,$X3))</f>
        <v/>
      </c>
      <c r="H3" s="20" t="str">
        <f aca="false">IF($X3="","",INDEX('Per Line'!$J$2:$J$4001,$X3))</f>
        <v/>
      </c>
      <c r="I3" s="20" t="str">
        <f aca="false">IF($X3="","",INDEX('Per Line'!$K$2:$K$4001,$X3))</f>
        <v/>
      </c>
      <c r="J3" s="20" t="str">
        <f aca="false">IF($X3="","",INDEX('Per Line'!$L$2:$L$4001,$X3))</f>
        <v/>
      </c>
      <c r="K3" s="20" t="str">
        <f aca="false">IF($X3="","",INDEX('Per Line'!$M$2:$M$4001,$X3))</f>
        <v/>
      </c>
      <c r="L3" s="22" t="str">
        <f aca="false">IF($X3="","",K3*V3/100)</f>
        <v/>
      </c>
      <c r="M3" s="20" t="str">
        <f aca="false">IF($X3="","",INDEX('Per Line'!$Z$2:$Z$4001,$X3))</f>
        <v/>
      </c>
      <c r="N3" s="23" t="str">
        <f aca="false">IF($X3="","",Settings!$C$7)</f>
        <v/>
      </c>
      <c r="O3" s="22" t="str">
        <f aca="false">IF($X3="","",SUMIFS('Per Line'!$Y$2:$Y$4001,'Per Line'!$D$2:$D$4001,$B3,'Per Line'!$AJ$2:$AJ$4001,0))</f>
        <v/>
      </c>
      <c r="P3" s="22" t="str">
        <f aca="false">IF($X3="","",O3*N3)</f>
        <v/>
      </c>
      <c r="Q3" s="23" t="str">
        <f aca="false">IF($X3="","",Settings!$C$6)</f>
        <v/>
      </c>
      <c r="R3" s="22" t="str">
        <f aca="false">IF($X3="","",SUMIFS('Per Line'!$Y$2:$Y$4001,'Per Line'!$D$2:$D$4001,$B3,'Per Line'!$AJ$2:$AJ$4001,1))</f>
        <v/>
      </c>
      <c r="S3" s="22" t="str">
        <f aca="false">IF($X3="","",R3*Q3)</f>
        <v/>
      </c>
      <c r="T3" s="22" t="str">
        <f aca="false">IF($X3="","",S3+P3)</f>
        <v/>
      </c>
      <c r="U3" s="22" t="str">
        <f aca="false">IF($X3="","",V3-T3)</f>
        <v/>
      </c>
      <c r="V3" s="22" t="str">
        <f aca="false">IF($X3="","",O3+R3)</f>
        <v/>
      </c>
      <c r="W3" s="22" t="str">
        <f aca="false">IF($X3="","",U3-L3)</f>
        <v/>
      </c>
      <c r="X3" s="24" t="str">
        <f aca="false">IF(ROWS($X$2:$X3)&lt;=MAX('Per Line'!$AI$2:$AI$4001),MATCH(ROWS($X$2:$X3),'Per Line'!$AI$2:$AI$4001,0),"")</f>
        <v/>
      </c>
    </row>
    <row r="4" customFormat="false" ht="15" hidden="false" customHeight="false" outlineLevel="0" collapsed="false">
      <c r="A4" s="19"/>
      <c r="B4" s="20" t="str">
        <f aca="false">IF($X4="","",INDEX('Per Line'!$D$2:$D$4001,$X4))</f>
        <v/>
      </c>
      <c r="C4" s="20" t="str">
        <f aca="false">IF($X4="","",INDEX('Per Line'!$C$2:$C$4001,$X4))</f>
        <v/>
      </c>
      <c r="D4" s="20" t="str">
        <f aca="false">IF($X4="","",INDEX('Per Line'!$A$2:$A$4001,$X4))</f>
        <v/>
      </c>
      <c r="E4" s="21" t="str">
        <f aca="false">IF($X4="","",INDEX('Per Line'!$F$2:$F$4001,$X4))</f>
        <v/>
      </c>
      <c r="F4" s="20" t="str">
        <f aca="false">IF($X4="","",INDEX('Per Line'!$G$2:$G$4001,$X4))</f>
        <v/>
      </c>
      <c r="G4" s="20" t="str">
        <f aca="false">IF($X4="","",INDEX('Per Line'!$I$2:$I$4001,$X4))</f>
        <v/>
      </c>
      <c r="H4" s="20" t="str">
        <f aca="false">IF($X4="","",INDEX('Per Line'!$J$2:$J$4001,$X4))</f>
        <v/>
      </c>
      <c r="I4" s="20" t="str">
        <f aca="false">IF($X4="","",INDEX('Per Line'!$K$2:$K$4001,$X4))</f>
        <v/>
      </c>
      <c r="J4" s="20" t="str">
        <f aca="false">IF($X4="","",INDEX('Per Line'!$L$2:$L$4001,$X4))</f>
        <v/>
      </c>
      <c r="K4" s="20" t="str">
        <f aca="false">IF($X4="","",INDEX('Per Line'!$M$2:$M$4001,$X4))</f>
        <v/>
      </c>
      <c r="L4" s="22" t="str">
        <f aca="false">IF($X4="","",K4*V4/100)</f>
        <v/>
      </c>
      <c r="M4" s="20" t="str">
        <f aca="false">IF($X4="","",INDEX('Per Line'!$Z$2:$Z$4001,$X4))</f>
        <v/>
      </c>
      <c r="N4" s="23" t="str">
        <f aca="false">IF($X4="","",Settings!$C$7)</f>
        <v/>
      </c>
      <c r="O4" s="22" t="str">
        <f aca="false">IF($X4="","",SUMIFS('Per Line'!$Y$2:$Y$4001,'Per Line'!$D$2:$D$4001,$B4,'Per Line'!$AJ$2:$AJ$4001,0))</f>
        <v/>
      </c>
      <c r="P4" s="22" t="str">
        <f aca="false">IF($X4="","",O4*N4)</f>
        <v/>
      </c>
      <c r="Q4" s="23" t="str">
        <f aca="false">IF($X4="","",Settings!$C$6)</f>
        <v/>
      </c>
      <c r="R4" s="22" t="str">
        <f aca="false">IF($X4="","",SUMIFS('Per Line'!$Y$2:$Y$4001,'Per Line'!$D$2:$D$4001,$B4,'Per Line'!$AJ$2:$AJ$4001,1))</f>
        <v/>
      </c>
      <c r="S4" s="22" t="str">
        <f aca="false">IF($X4="","",R4*Q4)</f>
        <v/>
      </c>
      <c r="T4" s="22" t="str">
        <f aca="false">IF($X4="","",S4+P4)</f>
        <v/>
      </c>
      <c r="U4" s="22" t="str">
        <f aca="false">IF($X4="","",V4-T4)</f>
        <v/>
      </c>
      <c r="V4" s="22" t="str">
        <f aca="false">IF($X4="","",O4+R4)</f>
        <v/>
      </c>
      <c r="W4" s="22" t="str">
        <f aca="false">IF($X4="","",U4-L4)</f>
        <v/>
      </c>
      <c r="X4" s="24" t="str">
        <f aca="false">IF(ROWS($X$2:$X4)&lt;=MAX('Per Line'!$AI$2:$AI$4001),MATCH(ROWS($X$2:$X4),'Per Line'!$AI$2:$AI$4001,0),"")</f>
        <v/>
      </c>
    </row>
    <row r="5" customFormat="false" ht="15" hidden="false" customHeight="false" outlineLevel="0" collapsed="false">
      <c r="A5" s="19"/>
      <c r="B5" s="20" t="str">
        <f aca="false">IF($X5="","",INDEX('Per Line'!$D$2:$D$4001,$X5))</f>
        <v/>
      </c>
      <c r="C5" s="20" t="str">
        <f aca="false">IF($X5="","",INDEX('Per Line'!$C$2:$C$4001,$X5))</f>
        <v/>
      </c>
      <c r="D5" s="20" t="str">
        <f aca="false">IF($X5="","",INDEX('Per Line'!$A$2:$A$4001,$X5))</f>
        <v/>
      </c>
      <c r="E5" s="21" t="str">
        <f aca="false">IF($X5="","",INDEX('Per Line'!$F$2:$F$4001,$X5))</f>
        <v/>
      </c>
      <c r="F5" s="20" t="str">
        <f aca="false">IF($X5="","",INDEX('Per Line'!$G$2:$G$4001,$X5))</f>
        <v/>
      </c>
      <c r="G5" s="20" t="str">
        <f aca="false">IF($X5="","",INDEX('Per Line'!$I$2:$I$4001,$X5))</f>
        <v/>
      </c>
      <c r="H5" s="20" t="str">
        <f aca="false">IF($X5="","",INDEX('Per Line'!$J$2:$J$4001,$X5))</f>
        <v/>
      </c>
      <c r="I5" s="20" t="str">
        <f aca="false">IF($X5="","",INDEX('Per Line'!$K$2:$K$4001,$X5))</f>
        <v/>
      </c>
      <c r="J5" s="20" t="str">
        <f aca="false">IF($X5="","",INDEX('Per Line'!$L$2:$L$4001,$X5))</f>
        <v/>
      </c>
      <c r="K5" s="20" t="str">
        <f aca="false">IF($X5="","",INDEX('Per Line'!$M$2:$M$4001,$X5))</f>
        <v/>
      </c>
      <c r="L5" s="22" t="str">
        <f aca="false">IF($X5="","",K5*V5/100)</f>
        <v/>
      </c>
      <c r="M5" s="20" t="str">
        <f aca="false">IF($X5="","",INDEX('Per Line'!$Z$2:$Z$4001,$X5))</f>
        <v/>
      </c>
      <c r="N5" s="23" t="str">
        <f aca="false">IF($X5="","",Settings!$C$7)</f>
        <v/>
      </c>
      <c r="O5" s="22" t="str">
        <f aca="false">IF($X5="","",SUMIFS('Per Line'!$Y$2:$Y$4001,'Per Line'!$D$2:$D$4001,$B5,'Per Line'!$AJ$2:$AJ$4001,0))</f>
        <v/>
      </c>
      <c r="P5" s="22" t="str">
        <f aca="false">IF($X5="","",O5*N5)</f>
        <v/>
      </c>
      <c r="Q5" s="23" t="str">
        <f aca="false">IF($X5="","",Settings!$C$6)</f>
        <v/>
      </c>
      <c r="R5" s="22" t="str">
        <f aca="false">IF($X5="","",SUMIFS('Per Line'!$Y$2:$Y$4001,'Per Line'!$D$2:$D$4001,$B5,'Per Line'!$AJ$2:$AJ$4001,1))</f>
        <v/>
      </c>
      <c r="S5" s="22" t="str">
        <f aca="false">IF($X5="","",R5*Q5)</f>
        <v/>
      </c>
      <c r="T5" s="22" t="str">
        <f aca="false">IF($X5="","",S5+P5)</f>
        <v/>
      </c>
      <c r="U5" s="22" t="str">
        <f aca="false">IF($X5="","",V5-T5)</f>
        <v/>
      </c>
      <c r="V5" s="22" t="str">
        <f aca="false">IF($X5="","",O5+R5)</f>
        <v/>
      </c>
      <c r="W5" s="22" t="str">
        <f aca="false">IF($X5="","",U5-L5)</f>
        <v/>
      </c>
      <c r="X5" s="24" t="str">
        <f aca="false">IF(ROWS($X$2:$X5)&lt;=MAX('Per Line'!$AI$2:$AI$4001),MATCH(ROWS($X$2:$X5),'Per Line'!$AI$2:$AI$4001,0),"")</f>
        <v/>
      </c>
    </row>
    <row r="6" customFormat="false" ht="15" hidden="false" customHeight="false" outlineLevel="0" collapsed="false">
      <c r="A6" s="19"/>
      <c r="B6" s="20" t="str">
        <f aca="false">IF($X6="","",INDEX('Per Line'!$D$2:$D$4001,$X6))</f>
        <v/>
      </c>
      <c r="C6" s="20" t="str">
        <f aca="false">IF($X6="","",INDEX('Per Line'!$C$2:$C$4001,$X6))</f>
        <v/>
      </c>
      <c r="D6" s="20" t="str">
        <f aca="false">IF($X6="","",INDEX('Per Line'!$A$2:$A$4001,$X6))</f>
        <v/>
      </c>
      <c r="E6" s="21" t="str">
        <f aca="false">IF($X6="","",INDEX('Per Line'!$F$2:$F$4001,$X6))</f>
        <v/>
      </c>
      <c r="F6" s="20" t="str">
        <f aca="false">IF($X6="","",INDEX('Per Line'!$G$2:$G$4001,$X6))</f>
        <v/>
      </c>
      <c r="G6" s="20" t="str">
        <f aca="false">IF($X6="","",INDEX('Per Line'!$I$2:$I$4001,$X6))</f>
        <v/>
      </c>
      <c r="H6" s="20" t="str">
        <f aca="false">IF($X6="","",INDEX('Per Line'!$J$2:$J$4001,$X6))</f>
        <v/>
      </c>
      <c r="I6" s="20" t="str">
        <f aca="false">IF($X6="","",INDEX('Per Line'!$K$2:$K$4001,$X6))</f>
        <v/>
      </c>
      <c r="J6" s="20" t="str">
        <f aca="false">IF($X6="","",INDEX('Per Line'!$L$2:$L$4001,$X6))</f>
        <v/>
      </c>
      <c r="K6" s="20" t="str">
        <f aca="false">IF($X6="","",INDEX('Per Line'!$M$2:$M$4001,$X6))</f>
        <v/>
      </c>
      <c r="L6" s="22" t="str">
        <f aca="false">IF($X6="","",K6*V6/100)</f>
        <v/>
      </c>
      <c r="M6" s="20" t="str">
        <f aca="false">IF($X6="","",INDEX('Per Line'!$Z$2:$Z$4001,$X6))</f>
        <v/>
      </c>
      <c r="N6" s="23" t="str">
        <f aca="false">IF($X6="","",Settings!$C$7)</f>
        <v/>
      </c>
      <c r="O6" s="22" t="str">
        <f aca="false">IF($X6="","",SUMIFS('Per Line'!$Y$2:$Y$4001,'Per Line'!$D$2:$D$4001,$B6,'Per Line'!$AJ$2:$AJ$4001,0))</f>
        <v/>
      </c>
      <c r="P6" s="22" t="str">
        <f aca="false">IF($X6="","",O6*N6)</f>
        <v/>
      </c>
      <c r="Q6" s="23" t="str">
        <f aca="false">IF($X6="","",Settings!$C$6)</f>
        <v/>
      </c>
      <c r="R6" s="22" t="str">
        <f aca="false">IF($X6="","",SUMIFS('Per Line'!$Y$2:$Y$4001,'Per Line'!$D$2:$D$4001,$B6,'Per Line'!$AJ$2:$AJ$4001,1))</f>
        <v/>
      </c>
      <c r="S6" s="22" t="str">
        <f aca="false">IF($X6="","",R6*Q6)</f>
        <v/>
      </c>
      <c r="T6" s="22" t="str">
        <f aca="false">IF($X6="","",S6+P6)</f>
        <v/>
      </c>
      <c r="U6" s="22" t="str">
        <f aca="false">IF($X6="","",V6-T6)</f>
        <v/>
      </c>
      <c r="V6" s="22" t="str">
        <f aca="false">IF($X6="","",O6+R6)</f>
        <v/>
      </c>
      <c r="W6" s="22" t="str">
        <f aca="false">IF($X6="","",U6-L6)</f>
        <v/>
      </c>
      <c r="X6" s="24" t="str">
        <f aca="false">IF(ROWS($X$2:$X6)&lt;=MAX('Per Line'!$AI$2:$AI$4001),MATCH(ROWS($X$2:$X6),'Per Line'!$AI$2:$AI$4001,0),"")</f>
        <v/>
      </c>
    </row>
    <row r="7" customFormat="false" ht="15" hidden="false" customHeight="false" outlineLevel="0" collapsed="false">
      <c r="A7" s="19"/>
      <c r="B7" s="20" t="str">
        <f aca="false">IF($X7="","",INDEX('Per Line'!$D$2:$D$4001,$X7))</f>
        <v/>
      </c>
      <c r="C7" s="20" t="str">
        <f aca="false">IF($X7="","",INDEX('Per Line'!$C$2:$C$4001,$X7))</f>
        <v/>
      </c>
      <c r="D7" s="20" t="str">
        <f aca="false">IF($X7="","",INDEX('Per Line'!$A$2:$A$4001,$X7))</f>
        <v/>
      </c>
      <c r="E7" s="21" t="str">
        <f aca="false">IF($X7="","",INDEX('Per Line'!$F$2:$F$4001,$X7))</f>
        <v/>
      </c>
      <c r="F7" s="20" t="str">
        <f aca="false">IF($X7="","",INDEX('Per Line'!$G$2:$G$4001,$X7))</f>
        <v/>
      </c>
      <c r="G7" s="20" t="str">
        <f aca="false">IF($X7="","",INDEX('Per Line'!$I$2:$I$4001,$X7))</f>
        <v/>
      </c>
      <c r="H7" s="20" t="str">
        <f aca="false">IF($X7="","",INDEX('Per Line'!$J$2:$J$4001,$X7))</f>
        <v/>
      </c>
      <c r="I7" s="20" t="str">
        <f aca="false">IF($X7="","",INDEX('Per Line'!$K$2:$K$4001,$X7))</f>
        <v/>
      </c>
      <c r="J7" s="20" t="str">
        <f aca="false">IF($X7="","",INDEX('Per Line'!$L$2:$L$4001,$X7))</f>
        <v/>
      </c>
      <c r="K7" s="20" t="str">
        <f aca="false">IF($X7="","",INDEX('Per Line'!$M$2:$M$4001,$X7))</f>
        <v/>
      </c>
      <c r="L7" s="22" t="str">
        <f aca="false">IF($X7="","",K7*V7/100)</f>
        <v/>
      </c>
      <c r="M7" s="20" t="str">
        <f aca="false">IF($X7="","",INDEX('Per Line'!$Z$2:$Z$4001,$X7))</f>
        <v/>
      </c>
      <c r="N7" s="23" t="str">
        <f aca="false">IF($X7="","",Settings!$C$7)</f>
        <v/>
      </c>
      <c r="O7" s="22" t="str">
        <f aca="false">IF($X7="","",SUMIFS('Per Line'!$Y$2:$Y$4001,'Per Line'!$D$2:$D$4001,$B7,'Per Line'!$AJ$2:$AJ$4001,0))</f>
        <v/>
      </c>
      <c r="P7" s="22" t="str">
        <f aca="false">IF($X7="","",O7*N7)</f>
        <v/>
      </c>
      <c r="Q7" s="23" t="str">
        <f aca="false">IF($X7="","",Settings!$C$6)</f>
        <v/>
      </c>
      <c r="R7" s="22" t="str">
        <f aca="false">IF($X7="","",SUMIFS('Per Line'!$Y$2:$Y$4001,'Per Line'!$D$2:$D$4001,$B7,'Per Line'!$AJ$2:$AJ$4001,1))</f>
        <v/>
      </c>
      <c r="S7" s="22" t="str">
        <f aca="false">IF($X7="","",R7*Q7)</f>
        <v/>
      </c>
      <c r="T7" s="22" t="str">
        <f aca="false">IF($X7="","",S7+P7)</f>
        <v/>
      </c>
      <c r="U7" s="22" t="str">
        <f aca="false">IF($X7="","",V7-T7)</f>
        <v/>
      </c>
      <c r="V7" s="22" t="str">
        <f aca="false">IF($X7="","",O7+R7)</f>
        <v/>
      </c>
      <c r="W7" s="22" t="str">
        <f aca="false">IF($X7="","",U7-L7)</f>
        <v/>
      </c>
      <c r="X7" s="24" t="str">
        <f aca="false">IF(ROWS($X$2:$X7)&lt;=MAX('Per Line'!$AI$2:$AI$4001),MATCH(ROWS($X$2:$X7),'Per Line'!$AI$2:$AI$4001,0),"")</f>
        <v/>
      </c>
    </row>
    <row r="8" customFormat="false" ht="15" hidden="false" customHeight="false" outlineLevel="0" collapsed="false">
      <c r="A8" s="19"/>
      <c r="B8" s="20" t="str">
        <f aca="false">IF($X8="","",INDEX('Per Line'!$D$2:$D$4001,$X8))</f>
        <v/>
      </c>
      <c r="C8" s="20" t="str">
        <f aca="false">IF($X8="","",INDEX('Per Line'!$C$2:$C$4001,$X8))</f>
        <v/>
      </c>
      <c r="D8" s="20" t="str">
        <f aca="false">IF($X8="","",INDEX('Per Line'!$A$2:$A$4001,$X8))</f>
        <v/>
      </c>
      <c r="E8" s="21" t="str">
        <f aca="false">IF($X8="","",INDEX('Per Line'!$F$2:$F$4001,$X8))</f>
        <v/>
      </c>
      <c r="F8" s="20" t="str">
        <f aca="false">IF($X8="","",INDEX('Per Line'!$G$2:$G$4001,$X8))</f>
        <v/>
      </c>
      <c r="G8" s="20" t="str">
        <f aca="false">IF($X8="","",INDEX('Per Line'!$I$2:$I$4001,$X8))</f>
        <v/>
      </c>
      <c r="H8" s="20" t="str">
        <f aca="false">IF($X8="","",INDEX('Per Line'!$J$2:$J$4001,$X8))</f>
        <v/>
      </c>
      <c r="I8" s="20" t="str">
        <f aca="false">IF($X8="","",INDEX('Per Line'!$K$2:$K$4001,$X8))</f>
        <v/>
      </c>
      <c r="J8" s="20" t="str">
        <f aca="false">IF($X8="","",INDEX('Per Line'!$L$2:$L$4001,$X8))</f>
        <v/>
      </c>
      <c r="K8" s="20" t="str">
        <f aca="false">IF($X8="","",INDEX('Per Line'!$M$2:$M$4001,$X8))</f>
        <v/>
      </c>
      <c r="L8" s="22" t="str">
        <f aca="false">IF($X8="","",K8*V8/100)</f>
        <v/>
      </c>
      <c r="M8" s="20" t="str">
        <f aca="false">IF($X8="","",INDEX('Per Line'!$Z$2:$Z$4001,$X8))</f>
        <v/>
      </c>
      <c r="N8" s="23" t="str">
        <f aca="false">IF($X8="","",Settings!$C$7)</f>
        <v/>
      </c>
      <c r="O8" s="22" t="str">
        <f aca="false">IF($X8="","",SUMIFS('Per Line'!$Y$2:$Y$4001,'Per Line'!$D$2:$D$4001,$B8,'Per Line'!$AJ$2:$AJ$4001,0))</f>
        <v/>
      </c>
      <c r="P8" s="22" t="str">
        <f aca="false">IF($X8="","",O8*N8)</f>
        <v/>
      </c>
      <c r="Q8" s="23" t="str">
        <f aca="false">IF($X8="","",Settings!$C$6)</f>
        <v/>
      </c>
      <c r="R8" s="22" t="str">
        <f aca="false">IF($X8="","",SUMIFS('Per Line'!$Y$2:$Y$4001,'Per Line'!$D$2:$D$4001,$B8,'Per Line'!$AJ$2:$AJ$4001,1))</f>
        <v/>
      </c>
      <c r="S8" s="22" t="str">
        <f aca="false">IF($X8="","",R8*Q8)</f>
        <v/>
      </c>
      <c r="T8" s="22" t="str">
        <f aca="false">IF($X8="","",S8+P8)</f>
        <v/>
      </c>
      <c r="U8" s="22" t="str">
        <f aca="false">IF($X8="","",V8-T8)</f>
        <v/>
      </c>
      <c r="V8" s="22" t="str">
        <f aca="false">IF($X8="","",O8+R8)</f>
        <v/>
      </c>
      <c r="W8" s="22" t="str">
        <f aca="false">IF($X8="","",U8-L8)</f>
        <v/>
      </c>
      <c r="X8" s="24" t="str">
        <f aca="false">IF(ROWS($X$2:$X8)&lt;=MAX('Per Line'!$AI$2:$AI$4001),MATCH(ROWS($X$2:$X8),'Per Line'!$AI$2:$AI$4001,0),"")</f>
        <v/>
      </c>
    </row>
    <row r="9" customFormat="false" ht="15" hidden="false" customHeight="false" outlineLevel="0" collapsed="false">
      <c r="A9" s="19"/>
      <c r="B9" s="20" t="str">
        <f aca="false">IF($X9="","",INDEX('Per Line'!$D$2:$D$4001,$X9))</f>
        <v/>
      </c>
      <c r="C9" s="20" t="str">
        <f aca="false">IF($X9="","",INDEX('Per Line'!$C$2:$C$4001,$X9))</f>
        <v/>
      </c>
      <c r="D9" s="20" t="str">
        <f aca="false">IF($X9="","",INDEX('Per Line'!$A$2:$A$4001,$X9))</f>
        <v/>
      </c>
      <c r="E9" s="21" t="str">
        <f aca="false">IF($X9="","",INDEX('Per Line'!$F$2:$F$4001,$X9))</f>
        <v/>
      </c>
      <c r="F9" s="20" t="str">
        <f aca="false">IF($X9="","",INDEX('Per Line'!$G$2:$G$4001,$X9))</f>
        <v/>
      </c>
      <c r="G9" s="20" t="str">
        <f aca="false">IF($X9="","",INDEX('Per Line'!$I$2:$I$4001,$X9))</f>
        <v/>
      </c>
      <c r="H9" s="20" t="str">
        <f aca="false">IF($X9="","",INDEX('Per Line'!$J$2:$J$4001,$X9))</f>
        <v/>
      </c>
      <c r="I9" s="20" t="str">
        <f aca="false">IF($X9="","",INDEX('Per Line'!$K$2:$K$4001,$X9))</f>
        <v/>
      </c>
      <c r="J9" s="20" t="str">
        <f aca="false">IF($X9="","",INDEX('Per Line'!$L$2:$L$4001,$X9))</f>
        <v/>
      </c>
      <c r="K9" s="20" t="str">
        <f aca="false">IF($X9="","",INDEX('Per Line'!$M$2:$M$4001,$X9))</f>
        <v/>
      </c>
      <c r="L9" s="22" t="str">
        <f aca="false">IF($X9="","",K9*V9/100)</f>
        <v/>
      </c>
      <c r="M9" s="20" t="str">
        <f aca="false">IF($X9="","",INDEX('Per Line'!$Z$2:$Z$4001,$X9))</f>
        <v/>
      </c>
      <c r="N9" s="23" t="str">
        <f aca="false">IF($X9="","",Settings!$C$7)</f>
        <v/>
      </c>
      <c r="O9" s="22" t="str">
        <f aca="false">IF($X9="","",SUMIFS('Per Line'!$Y$2:$Y$4001,'Per Line'!$D$2:$D$4001,$B9,'Per Line'!$AJ$2:$AJ$4001,0))</f>
        <v/>
      </c>
      <c r="P9" s="22" t="str">
        <f aca="false">IF($X9="","",O9*N9)</f>
        <v/>
      </c>
      <c r="Q9" s="23" t="str">
        <f aca="false">IF($X9="","",Settings!$C$6)</f>
        <v/>
      </c>
      <c r="R9" s="22" t="str">
        <f aca="false">IF($X9="","",SUMIFS('Per Line'!$Y$2:$Y$4001,'Per Line'!$D$2:$D$4001,$B9,'Per Line'!$AJ$2:$AJ$4001,1))</f>
        <v/>
      </c>
      <c r="S9" s="22" t="str">
        <f aca="false">IF($X9="","",R9*Q9)</f>
        <v/>
      </c>
      <c r="T9" s="22" t="str">
        <f aca="false">IF($X9="","",S9+P9)</f>
        <v/>
      </c>
      <c r="U9" s="22" t="str">
        <f aca="false">IF($X9="","",V9-T9)</f>
        <v/>
      </c>
      <c r="V9" s="22" t="str">
        <f aca="false">IF($X9="","",O9+R9)</f>
        <v/>
      </c>
      <c r="W9" s="22" t="str">
        <f aca="false">IF($X9="","",U9-L9)</f>
        <v/>
      </c>
      <c r="X9" s="24" t="str">
        <f aca="false">IF(ROWS($X$2:$X9)&lt;=MAX('Per Line'!$AI$2:$AI$4001),MATCH(ROWS($X$2:$X9),'Per Line'!$AI$2:$AI$4001,0),"")</f>
        <v/>
      </c>
    </row>
    <row r="10" customFormat="false" ht="15" hidden="false" customHeight="false" outlineLevel="0" collapsed="false">
      <c r="A10" s="19"/>
      <c r="B10" s="20" t="str">
        <f aca="false">IF($X10="","",INDEX('Per Line'!$D$2:$D$4001,$X10))</f>
        <v/>
      </c>
      <c r="C10" s="20" t="str">
        <f aca="false">IF($X10="","",INDEX('Per Line'!$C$2:$C$4001,$X10))</f>
        <v/>
      </c>
      <c r="D10" s="20" t="str">
        <f aca="false">IF($X10="","",INDEX('Per Line'!$A$2:$A$4001,$X10))</f>
        <v/>
      </c>
      <c r="E10" s="21" t="str">
        <f aca="false">IF($X10="","",INDEX('Per Line'!$F$2:$F$4001,$X10))</f>
        <v/>
      </c>
      <c r="F10" s="20" t="str">
        <f aca="false">IF($X10="","",INDEX('Per Line'!$G$2:$G$4001,$X10))</f>
        <v/>
      </c>
      <c r="G10" s="20" t="str">
        <f aca="false">IF($X10="","",INDEX('Per Line'!$I$2:$I$4001,$X10))</f>
        <v/>
      </c>
      <c r="H10" s="20" t="str">
        <f aca="false">IF($X10="","",INDEX('Per Line'!$J$2:$J$4001,$X10))</f>
        <v/>
      </c>
      <c r="I10" s="20" t="str">
        <f aca="false">IF($X10="","",INDEX('Per Line'!$K$2:$K$4001,$X10))</f>
        <v/>
      </c>
      <c r="J10" s="20" t="str">
        <f aca="false">IF($X10="","",INDEX('Per Line'!$L$2:$L$4001,$X10))</f>
        <v/>
      </c>
      <c r="K10" s="20" t="str">
        <f aca="false">IF($X10="","",INDEX('Per Line'!$M$2:$M$4001,$X10))</f>
        <v/>
      </c>
      <c r="L10" s="22" t="str">
        <f aca="false">IF($X10="","",K10*V10/100)</f>
        <v/>
      </c>
      <c r="M10" s="20" t="str">
        <f aca="false">IF($X10="","",INDEX('Per Line'!$Z$2:$Z$4001,$X10))</f>
        <v/>
      </c>
      <c r="N10" s="23" t="str">
        <f aca="false">IF($X10="","",Settings!$C$7)</f>
        <v/>
      </c>
      <c r="O10" s="22" t="str">
        <f aca="false">IF($X10="","",SUMIFS('Per Line'!$Y$2:$Y$4001,'Per Line'!$D$2:$D$4001,$B10,'Per Line'!$AJ$2:$AJ$4001,0))</f>
        <v/>
      </c>
      <c r="P10" s="22" t="str">
        <f aca="false">IF($X10="","",O10*N10)</f>
        <v/>
      </c>
      <c r="Q10" s="23" t="str">
        <f aca="false">IF($X10="","",Settings!$C$6)</f>
        <v/>
      </c>
      <c r="R10" s="22" t="str">
        <f aca="false">IF($X10="","",SUMIFS('Per Line'!$Y$2:$Y$4001,'Per Line'!$D$2:$D$4001,$B10,'Per Line'!$AJ$2:$AJ$4001,1))</f>
        <v/>
      </c>
      <c r="S10" s="22" t="str">
        <f aca="false">IF($X10="","",R10*Q10)</f>
        <v/>
      </c>
      <c r="T10" s="22" t="str">
        <f aca="false">IF($X10="","",S10+P10)</f>
        <v/>
      </c>
      <c r="U10" s="22" t="str">
        <f aca="false">IF($X10="","",V10-T10)</f>
        <v/>
      </c>
      <c r="V10" s="22" t="str">
        <f aca="false">IF($X10="","",O10+R10)</f>
        <v/>
      </c>
      <c r="W10" s="22" t="str">
        <f aca="false">IF($X10="","",U10-L10)</f>
        <v/>
      </c>
      <c r="X10" s="24" t="str">
        <f aca="false">IF(ROWS($X$2:$X10)&lt;=MAX('Per Line'!$AI$2:$AI$4001),MATCH(ROWS($X$2:$X10),'Per Line'!$AI$2:$AI$4001,0),"")</f>
        <v/>
      </c>
    </row>
    <row r="11" customFormat="false" ht="15" hidden="false" customHeight="false" outlineLevel="0" collapsed="false">
      <c r="A11" s="19"/>
      <c r="B11" s="20" t="str">
        <f aca="false">IF($X11="","",INDEX('Per Line'!$D$2:$D$4001,$X11))</f>
        <v/>
      </c>
      <c r="C11" s="20" t="str">
        <f aca="false">IF($X11="","",INDEX('Per Line'!$C$2:$C$4001,$X11))</f>
        <v/>
      </c>
      <c r="D11" s="20" t="str">
        <f aca="false">IF($X11="","",INDEX('Per Line'!$A$2:$A$4001,$X11))</f>
        <v/>
      </c>
      <c r="E11" s="21" t="str">
        <f aca="false">IF($X11="","",INDEX('Per Line'!$F$2:$F$4001,$X11))</f>
        <v/>
      </c>
      <c r="F11" s="20" t="str">
        <f aca="false">IF($X11="","",INDEX('Per Line'!$G$2:$G$4001,$X11))</f>
        <v/>
      </c>
      <c r="G11" s="20" t="str">
        <f aca="false">IF($X11="","",INDEX('Per Line'!$I$2:$I$4001,$X11))</f>
        <v/>
      </c>
      <c r="H11" s="20" t="str">
        <f aca="false">IF($X11="","",INDEX('Per Line'!$J$2:$J$4001,$X11))</f>
        <v/>
      </c>
      <c r="I11" s="20" t="str">
        <f aca="false">IF($X11="","",INDEX('Per Line'!$K$2:$K$4001,$X11))</f>
        <v/>
      </c>
      <c r="J11" s="20" t="str">
        <f aca="false">IF($X11="","",INDEX('Per Line'!$L$2:$L$4001,$X11))</f>
        <v/>
      </c>
      <c r="K11" s="20" t="str">
        <f aca="false">IF($X11="","",INDEX('Per Line'!$M$2:$M$4001,$X11))</f>
        <v/>
      </c>
      <c r="L11" s="22" t="str">
        <f aca="false">IF($X11="","",K11*V11/100)</f>
        <v/>
      </c>
      <c r="M11" s="20" t="str">
        <f aca="false">IF($X11="","",INDEX('Per Line'!$Z$2:$Z$4001,$X11))</f>
        <v/>
      </c>
      <c r="N11" s="23" t="str">
        <f aca="false">IF($X11="","",Settings!$C$7)</f>
        <v/>
      </c>
      <c r="O11" s="22" t="str">
        <f aca="false">IF($X11="","",SUMIFS('Per Line'!$Y$2:$Y$4001,'Per Line'!$D$2:$D$4001,$B11,'Per Line'!$AJ$2:$AJ$4001,0))</f>
        <v/>
      </c>
      <c r="P11" s="22" t="str">
        <f aca="false">IF($X11="","",O11*N11)</f>
        <v/>
      </c>
      <c r="Q11" s="23" t="str">
        <f aca="false">IF($X11="","",Settings!$C$6)</f>
        <v/>
      </c>
      <c r="R11" s="22" t="str">
        <f aca="false">IF($X11="","",SUMIFS('Per Line'!$Y$2:$Y$4001,'Per Line'!$D$2:$D$4001,$B11,'Per Line'!$AJ$2:$AJ$4001,1))</f>
        <v/>
      </c>
      <c r="S11" s="22" t="str">
        <f aca="false">IF($X11="","",R11*Q11)</f>
        <v/>
      </c>
      <c r="T11" s="22" t="str">
        <f aca="false">IF($X11="","",S11+P11)</f>
        <v/>
      </c>
      <c r="U11" s="22" t="str">
        <f aca="false">IF($X11="","",V11-T11)</f>
        <v/>
      </c>
      <c r="V11" s="22" t="str">
        <f aca="false">IF($X11="","",O11+R11)</f>
        <v/>
      </c>
      <c r="W11" s="22" t="str">
        <f aca="false">IF($X11="","",U11-L11)</f>
        <v/>
      </c>
      <c r="X11" s="24" t="str">
        <f aca="false">IF(ROWS($X$2:$X11)&lt;=MAX('Per Line'!$AI$2:$AI$4001),MATCH(ROWS($X$2:$X11),'Per Line'!$AI$2:$AI$4001,0),"")</f>
        <v/>
      </c>
    </row>
    <row r="12" customFormat="false" ht="15" hidden="false" customHeight="false" outlineLevel="0" collapsed="false">
      <c r="A12" s="19"/>
      <c r="B12" s="20" t="str">
        <f aca="false">IF($X12="","",INDEX('Per Line'!$D$2:$D$4001,$X12))</f>
        <v/>
      </c>
      <c r="C12" s="20" t="str">
        <f aca="false">IF($X12="","",INDEX('Per Line'!$C$2:$C$4001,$X12))</f>
        <v/>
      </c>
      <c r="D12" s="20" t="str">
        <f aca="false">IF($X12="","",INDEX('Per Line'!$A$2:$A$4001,$X12))</f>
        <v/>
      </c>
      <c r="E12" s="21" t="str">
        <f aca="false">IF($X12="","",INDEX('Per Line'!$F$2:$F$4001,$X12))</f>
        <v/>
      </c>
      <c r="F12" s="20" t="str">
        <f aca="false">IF($X12="","",INDEX('Per Line'!$G$2:$G$4001,$X12))</f>
        <v/>
      </c>
      <c r="G12" s="20" t="str">
        <f aca="false">IF($X12="","",INDEX('Per Line'!$I$2:$I$4001,$X12))</f>
        <v/>
      </c>
      <c r="H12" s="20" t="str">
        <f aca="false">IF($X12="","",INDEX('Per Line'!$J$2:$J$4001,$X12))</f>
        <v/>
      </c>
      <c r="I12" s="20" t="str">
        <f aca="false">IF($X12="","",INDEX('Per Line'!$K$2:$K$4001,$X12))</f>
        <v/>
      </c>
      <c r="J12" s="20" t="str">
        <f aca="false">IF($X12="","",INDEX('Per Line'!$L$2:$L$4001,$X12))</f>
        <v/>
      </c>
      <c r="K12" s="20" t="str">
        <f aca="false">IF($X12="","",INDEX('Per Line'!$M$2:$M$4001,$X12))</f>
        <v/>
      </c>
      <c r="L12" s="22" t="str">
        <f aca="false">IF($X12="","",K12*V12/100)</f>
        <v/>
      </c>
      <c r="M12" s="20" t="str">
        <f aca="false">IF($X12="","",INDEX('Per Line'!$Z$2:$Z$4001,$X12))</f>
        <v/>
      </c>
      <c r="N12" s="23" t="str">
        <f aca="false">IF($X12="","",Settings!$C$7)</f>
        <v/>
      </c>
      <c r="O12" s="22" t="str">
        <f aca="false">IF($X12="","",SUMIFS('Per Line'!$Y$2:$Y$4001,'Per Line'!$D$2:$D$4001,$B12,'Per Line'!$AJ$2:$AJ$4001,0))</f>
        <v/>
      </c>
      <c r="P12" s="22" t="str">
        <f aca="false">IF($X12="","",O12*N12)</f>
        <v/>
      </c>
      <c r="Q12" s="23" t="str">
        <f aca="false">IF($X12="","",Settings!$C$6)</f>
        <v/>
      </c>
      <c r="R12" s="22" t="str">
        <f aca="false">IF($X12="","",SUMIFS('Per Line'!$Y$2:$Y$4001,'Per Line'!$D$2:$D$4001,$B12,'Per Line'!$AJ$2:$AJ$4001,1))</f>
        <v/>
      </c>
      <c r="S12" s="22" t="str">
        <f aca="false">IF($X12="","",R12*Q12)</f>
        <v/>
      </c>
      <c r="T12" s="22" t="str">
        <f aca="false">IF($X12="","",S12+P12)</f>
        <v/>
      </c>
      <c r="U12" s="22" t="str">
        <f aca="false">IF($X12="","",V12-T12)</f>
        <v/>
      </c>
      <c r="V12" s="22" t="str">
        <f aca="false">IF($X12="","",O12+R12)</f>
        <v/>
      </c>
      <c r="W12" s="22" t="str">
        <f aca="false">IF($X12="","",U12-L12)</f>
        <v/>
      </c>
      <c r="X12" s="24" t="str">
        <f aca="false">IF(ROWS($X$2:$X12)&lt;=MAX('Per Line'!$AI$2:$AI$4001),MATCH(ROWS($X$2:$X12),'Per Line'!$AI$2:$AI$4001,0),"")</f>
        <v/>
      </c>
    </row>
    <row r="13" customFormat="false" ht="15" hidden="false" customHeight="false" outlineLevel="0" collapsed="false">
      <c r="A13" s="19"/>
      <c r="B13" s="20" t="str">
        <f aca="false">IF($X13="","",INDEX('Per Line'!$D$2:$D$4001,$X13))</f>
        <v/>
      </c>
      <c r="C13" s="20" t="str">
        <f aca="false">IF($X13="","",INDEX('Per Line'!$C$2:$C$4001,$X13))</f>
        <v/>
      </c>
      <c r="D13" s="20" t="str">
        <f aca="false">IF($X13="","",INDEX('Per Line'!$A$2:$A$4001,$X13))</f>
        <v/>
      </c>
      <c r="E13" s="21" t="str">
        <f aca="false">IF($X13="","",INDEX('Per Line'!$F$2:$F$4001,$X13))</f>
        <v/>
      </c>
      <c r="F13" s="20" t="str">
        <f aca="false">IF($X13="","",INDEX('Per Line'!$G$2:$G$4001,$X13))</f>
        <v/>
      </c>
      <c r="G13" s="20" t="str">
        <f aca="false">IF($X13="","",INDEX('Per Line'!$I$2:$I$4001,$X13))</f>
        <v/>
      </c>
      <c r="H13" s="20" t="str">
        <f aca="false">IF($X13="","",INDEX('Per Line'!$J$2:$J$4001,$X13))</f>
        <v/>
      </c>
      <c r="I13" s="20" t="str">
        <f aca="false">IF($X13="","",INDEX('Per Line'!$K$2:$K$4001,$X13))</f>
        <v/>
      </c>
      <c r="J13" s="20" t="str">
        <f aca="false">IF($X13="","",INDEX('Per Line'!$L$2:$L$4001,$X13))</f>
        <v/>
      </c>
      <c r="K13" s="20" t="str">
        <f aca="false">IF($X13="","",INDEX('Per Line'!$M$2:$M$4001,$X13))</f>
        <v/>
      </c>
      <c r="L13" s="22" t="str">
        <f aca="false">IF($X13="","",K13*V13/100)</f>
        <v/>
      </c>
      <c r="M13" s="20" t="str">
        <f aca="false">IF($X13="","",INDEX('Per Line'!$Z$2:$Z$4001,$X13))</f>
        <v/>
      </c>
      <c r="N13" s="23" t="str">
        <f aca="false">IF($X13="","",Settings!$C$7)</f>
        <v/>
      </c>
      <c r="O13" s="22" t="str">
        <f aca="false">IF($X13="","",SUMIFS('Per Line'!$Y$2:$Y$4001,'Per Line'!$D$2:$D$4001,$B13,'Per Line'!$AJ$2:$AJ$4001,0))</f>
        <v/>
      </c>
      <c r="P13" s="22" t="str">
        <f aca="false">IF($X13="","",O13*N13)</f>
        <v/>
      </c>
      <c r="Q13" s="23" t="str">
        <f aca="false">IF($X13="","",Settings!$C$6)</f>
        <v/>
      </c>
      <c r="R13" s="22" t="str">
        <f aca="false">IF($X13="","",SUMIFS('Per Line'!$Y$2:$Y$4001,'Per Line'!$D$2:$D$4001,$B13,'Per Line'!$AJ$2:$AJ$4001,1))</f>
        <v/>
      </c>
      <c r="S13" s="22" t="str">
        <f aca="false">IF($X13="","",R13*Q13)</f>
        <v/>
      </c>
      <c r="T13" s="22" t="str">
        <f aca="false">IF($X13="","",S13+P13)</f>
        <v/>
      </c>
      <c r="U13" s="22" t="str">
        <f aca="false">IF($X13="","",V13-T13)</f>
        <v/>
      </c>
      <c r="V13" s="22" t="str">
        <f aca="false">IF($X13="","",O13+R13)</f>
        <v/>
      </c>
      <c r="W13" s="22" t="str">
        <f aca="false">IF($X13="","",U13-L13)</f>
        <v/>
      </c>
      <c r="X13" s="24" t="str">
        <f aca="false">IF(ROWS($X$2:$X13)&lt;=MAX('Per Line'!$AI$2:$AI$4001),MATCH(ROWS($X$2:$X13),'Per Line'!$AI$2:$AI$4001,0),"")</f>
        <v/>
      </c>
    </row>
    <row r="14" customFormat="false" ht="15" hidden="false" customHeight="false" outlineLevel="0" collapsed="false">
      <c r="A14" s="19"/>
      <c r="B14" s="20" t="str">
        <f aca="false">IF($X14="","",INDEX('Per Line'!$D$2:$D$4001,$X14))</f>
        <v/>
      </c>
      <c r="C14" s="20" t="str">
        <f aca="false">IF($X14="","",INDEX('Per Line'!$C$2:$C$4001,$X14))</f>
        <v/>
      </c>
      <c r="D14" s="20" t="str">
        <f aca="false">IF($X14="","",INDEX('Per Line'!$A$2:$A$4001,$X14))</f>
        <v/>
      </c>
      <c r="E14" s="21" t="str">
        <f aca="false">IF($X14="","",INDEX('Per Line'!$F$2:$F$4001,$X14))</f>
        <v/>
      </c>
      <c r="F14" s="20" t="str">
        <f aca="false">IF($X14="","",INDEX('Per Line'!$G$2:$G$4001,$X14))</f>
        <v/>
      </c>
      <c r="G14" s="20" t="str">
        <f aca="false">IF($X14="","",INDEX('Per Line'!$I$2:$I$4001,$X14))</f>
        <v/>
      </c>
      <c r="H14" s="20" t="str">
        <f aca="false">IF($X14="","",INDEX('Per Line'!$J$2:$J$4001,$X14))</f>
        <v/>
      </c>
      <c r="I14" s="20" t="str">
        <f aca="false">IF($X14="","",INDEX('Per Line'!$K$2:$K$4001,$X14))</f>
        <v/>
      </c>
      <c r="J14" s="20" t="str">
        <f aca="false">IF($X14="","",INDEX('Per Line'!$L$2:$L$4001,$X14))</f>
        <v/>
      </c>
      <c r="K14" s="20" t="str">
        <f aca="false">IF($X14="","",INDEX('Per Line'!$M$2:$M$4001,$X14))</f>
        <v/>
      </c>
      <c r="L14" s="22" t="str">
        <f aca="false">IF($X14="","",K14*V14/100)</f>
        <v/>
      </c>
      <c r="M14" s="20" t="str">
        <f aca="false">IF($X14="","",INDEX('Per Line'!$Z$2:$Z$4001,$X14))</f>
        <v/>
      </c>
      <c r="N14" s="23" t="str">
        <f aca="false">IF($X14="","",Settings!$C$7)</f>
        <v/>
      </c>
      <c r="O14" s="22" t="str">
        <f aca="false">IF($X14="","",SUMIFS('Per Line'!$Y$2:$Y$4001,'Per Line'!$D$2:$D$4001,$B14,'Per Line'!$AJ$2:$AJ$4001,0))</f>
        <v/>
      </c>
      <c r="P14" s="22" t="str">
        <f aca="false">IF($X14="","",O14*N14)</f>
        <v/>
      </c>
      <c r="Q14" s="23" t="str">
        <f aca="false">IF($X14="","",Settings!$C$6)</f>
        <v/>
      </c>
      <c r="R14" s="22" t="str">
        <f aca="false">IF($X14="","",SUMIFS('Per Line'!$Y$2:$Y$4001,'Per Line'!$D$2:$D$4001,$B14,'Per Line'!$AJ$2:$AJ$4001,1))</f>
        <v/>
      </c>
      <c r="S14" s="22" t="str">
        <f aca="false">IF($X14="","",R14*Q14)</f>
        <v/>
      </c>
      <c r="T14" s="22" t="str">
        <f aca="false">IF($X14="","",S14+P14)</f>
        <v/>
      </c>
      <c r="U14" s="22" t="str">
        <f aca="false">IF($X14="","",V14-T14)</f>
        <v/>
      </c>
      <c r="V14" s="22" t="str">
        <f aca="false">IF($X14="","",O14+R14)</f>
        <v/>
      </c>
      <c r="W14" s="22" t="str">
        <f aca="false">IF($X14="","",U14-L14)</f>
        <v/>
      </c>
      <c r="X14" s="24" t="str">
        <f aca="false">IF(ROWS($X$2:$X14)&lt;=MAX('Per Line'!$AI$2:$AI$4001),MATCH(ROWS($X$2:$X14),'Per Line'!$AI$2:$AI$4001,0),"")</f>
        <v/>
      </c>
    </row>
    <row r="15" customFormat="false" ht="15" hidden="false" customHeight="false" outlineLevel="0" collapsed="false">
      <c r="A15" s="19"/>
      <c r="B15" s="20" t="str">
        <f aca="false">IF($X15="","",INDEX('Per Line'!$D$2:$D$4001,$X15))</f>
        <v/>
      </c>
      <c r="C15" s="20" t="str">
        <f aca="false">IF($X15="","",INDEX('Per Line'!$C$2:$C$4001,$X15))</f>
        <v/>
      </c>
      <c r="D15" s="20" t="str">
        <f aca="false">IF($X15="","",INDEX('Per Line'!$A$2:$A$4001,$X15))</f>
        <v/>
      </c>
      <c r="E15" s="21" t="str">
        <f aca="false">IF($X15="","",INDEX('Per Line'!$F$2:$F$4001,$X15))</f>
        <v/>
      </c>
      <c r="F15" s="20" t="str">
        <f aca="false">IF($X15="","",INDEX('Per Line'!$G$2:$G$4001,$X15))</f>
        <v/>
      </c>
      <c r="G15" s="20" t="str">
        <f aca="false">IF($X15="","",INDEX('Per Line'!$I$2:$I$4001,$X15))</f>
        <v/>
      </c>
      <c r="H15" s="20" t="str">
        <f aca="false">IF($X15="","",INDEX('Per Line'!$J$2:$J$4001,$X15))</f>
        <v/>
      </c>
      <c r="I15" s="20" t="str">
        <f aca="false">IF($X15="","",INDEX('Per Line'!$K$2:$K$4001,$X15))</f>
        <v/>
      </c>
      <c r="J15" s="20" t="str">
        <f aca="false">IF($X15="","",INDEX('Per Line'!$L$2:$L$4001,$X15))</f>
        <v/>
      </c>
      <c r="K15" s="20" t="str">
        <f aca="false">IF($X15="","",INDEX('Per Line'!$M$2:$M$4001,$X15))</f>
        <v/>
      </c>
      <c r="L15" s="22" t="str">
        <f aca="false">IF($X15="","",K15*V15/100)</f>
        <v/>
      </c>
      <c r="M15" s="20" t="str">
        <f aca="false">IF($X15="","",INDEX('Per Line'!$Z$2:$Z$4001,$X15))</f>
        <v/>
      </c>
      <c r="N15" s="23" t="str">
        <f aca="false">IF($X15="","",Settings!$C$7)</f>
        <v/>
      </c>
      <c r="O15" s="22" t="str">
        <f aca="false">IF($X15="","",SUMIFS('Per Line'!$Y$2:$Y$4001,'Per Line'!$D$2:$D$4001,$B15,'Per Line'!$AJ$2:$AJ$4001,0))</f>
        <v/>
      </c>
      <c r="P15" s="22" t="str">
        <f aca="false">IF($X15="","",O15*N15)</f>
        <v/>
      </c>
      <c r="Q15" s="23" t="str">
        <f aca="false">IF($X15="","",Settings!$C$6)</f>
        <v/>
      </c>
      <c r="R15" s="22" t="str">
        <f aca="false">IF($X15="","",SUMIFS('Per Line'!$Y$2:$Y$4001,'Per Line'!$D$2:$D$4001,$B15,'Per Line'!$AJ$2:$AJ$4001,1))</f>
        <v/>
      </c>
      <c r="S15" s="22" t="str">
        <f aca="false">IF($X15="","",R15*Q15)</f>
        <v/>
      </c>
      <c r="T15" s="22" t="str">
        <f aca="false">IF($X15="","",S15+P15)</f>
        <v/>
      </c>
      <c r="U15" s="22" t="str">
        <f aca="false">IF($X15="","",V15-T15)</f>
        <v/>
      </c>
      <c r="V15" s="22" t="str">
        <f aca="false">IF($X15="","",O15+R15)</f>
        <v/>
      </c>
      <c r="W15" s="22" t="str">
        <f aca="false">IF($X15="","",U15-L15)</f>
        <v/>
      </c>
      <c r="X15" s="24" t="str">
        <f aca="false">IF(ROWS($X$2:$X15)&lt;=MAX('Per Line'!$AI$2:$AI$4001),MATCH(ROWS($X$2:$X15),'Per Line'!$AI$2:$AI$4001,0),"")</f>
        <v/>
      </c>
    </row>
    <row r="16" customFormat="false" ht="15" hidden="false" customHeight="false" outlineLevel="0" collapsed="false">
      <c r="A16" s="19"/>
      <c r="B16" s="20" t="str">
        <f aca="false">IF($X16="","",INDEX('Per Line'!$D$2:$D$4001,$X16))</f>
        <v/>
      </c>
      <c r="C16" s="20" t="str">
        <f aca="false">IF($X16="","",INDEX('Per Line'!$C$2:$C$4001,$X16))</f>
        <v/>
      </c>
      <c r="D16" s="20" t="str">
        <f aca="false">IF($X16="","",INDEX('Per Line'!$A$2:$A$4001,$X16))</f>
        <v/>
      </c>
      <c r="E16" s="21" t="str">
        <f aca="false">IF($X16="","",INDEX('Per Line'!$F$2:$F$4001,$X16))</f>
        <v/>
      </c>
      <c r="F16" s="20" t="str">
        <f aca="false">IF($X16="","",INDEX('Per Line'!$G$2:$G$4001,$X16))</f>
        <v/>
      </c>
      <c r="G16" s="20" t="str">
        <f aca="false">IF($X16="","",INDEX('Per Line'!$I$2:$I$4001,$X16))</f>
        <v/>
      </c>
      <c r="H16" s="20" t="str">
        <f aca="false">IF($X16="","",INDEX('Per Line'!$J$2:$J$4001,$X16))</f>
        <v/>
      </c>
      <c r="I16" s="20" t="str">
        <f aca="false">IF($X16="","",INDEX('Per Line'!$K$2:$K$4001,$X16))</f>
        <v/>
      </c>
      <c r="J16" s="20" t="str">
        <f aca="false">IF($X16="","",INDEX('Per Line'!$L$2:$L$4001,$X16))</f>
        <v/>
      </c>
      <c r="K16" s="20" t="str">
        <f aca="false">IF($X16="","",INDEX('Per Line'!$M$2:$M$4001,$X16))</f>
        <v/>
      </c>
      <c r="L16" s="22" t="str">
        <f aca="false">IF($X16="","",K16*V16/100)</f>
        <v/>
      </c>
      <c r="M16" s="20" t="str">
        <f aca="false">IF($X16="","",INDEX('Per Line'!$Z$2:$Z$4001,$X16))</f>
        <v/>
      </c>
      <c r="N16" s="23" t="str">
        <f aca="false">IF($X16="","",Settings!$C$7)</f>
        <v/>
      </c>
      <c r="O16" s="22" t="str">
        <f aca="false">IF($X16="","",SUMIFS('Per Line'!$Y$2:$Y$4001,'Per Line'!$D$2:$D$4001,$B16,'Per Line'!$AJ$2:$AJ$4001,0))</f>
        <v/>
      </c>
      <c r="P16" s="22" t="str">
        <f aca="false">IF($X16="","",O16*N16)</f>
        <v/>
      </c>
      <c r="Q16" s="23" t="str">
        <f aca="false">IF($X16="","",Settings!$C$6)</f>
        <v/>
      </c>
      <c r="R16" s="22" t="str">
        <f aca="false">IF($X16="","",SUMIFS('Per Line'!$Y$2:$Y$4001,'Per Line'!$D$2:$D$4001,$B16,'Per Line'!$AJ$2:$AJ$4001,1))</f>
        <v/>
      </c>
      <c r="S16" s="22" t="str">
        <f aca="false">IF($X16="","",R16*Q16)</f>
        <v/>
      </c>
      <c r="T16" s="22" t="str">
        <f aca="false">IF($X16="","",S16+P16)</f>
        <v/>
      </c>
      <c r="U16" s="22" t="str">
        <f aca="false">IF($X16="","",V16-T16)</f>
        <v/>
      </c>
      <c r="V16" s="22" t="str">
        <f aca="false">IF($X16="","",O16+R16)</f>
        <v/>
      </c>
      <c r="W16" s="22" t="str">
        <f aca="false">IF($X16="","",U16-L16)</f>
        <v/>
      </c>
      <c r="X16" s="24" t="str">
        <f aca="false">IF(ROWS($X$2:$X16)&lt;=MAX('Per Line'!$AI$2:$AI$4001),MATCH(ROWS($X$2:$X16),'Per Line'!$AI$2:$AI$4001,0),"")</f>
        <v/>
      </c>
    </row>
    <row r="17" customFormat="false" ht="15" hidden="false" customHeight="false" outlineLevel="0" collapsed="false">
      <c r="A17" s="19"/>
      <c r="B17" s="20" t="str">
        <f aca="false">IF($X17="","",INDEX('Per Line'!$D$2:$D$4001,$X17))</f>
        <v/>
      </c>
      <c r="C17" s="20" t="str">
        <f aca="false">IF($X17="","",INDEX('Per Line'!$C$2:$C$4001,$X17))</f>
        <v/>
      </c>
      <c r="D17" s="20" t="str">
        <f aca="false">IF($X17="","",INDEX('Per Line'!$A$2:$A$4001,$X17))</f>
        <v/>
      </c>
      <c r="E17" s="21" t="str">
        <f aca="false">IF($X17="","",INDEX('Per Line'!$F$2:$F$4001,$X17))</f>
        <v/>
      </c>
      <c r="F17" s="20" t="str">
        <f aca="false">IF($X17="","",INDEX('Per Line'!$G$2:$G$4001,$X17))</f>
        <v/>
      </c>
      <c r="G17" s="20" t="str">
        <f aca="false">IF($X17="","",INDEX('Per Line'!$I$2:$I$4001,$X17))</f>
        <v/>
      </c>
      <c r="H17" s="20" t="str">
        <f aca="false">IF($X17="","",INDEX('Per Line'!$J$2:$J$4001,$X17))</f>
        <v/>
      </c>
      <c r="I17" s="20" t="str">
        <f aca="false">IF($X17="","",INDEX('Per Line'!$K$2:$K$4001,$X17))</f>
        <v/>
      </c>
      <c r="J17" s="20" t="str">
        <f aca="false">IF($X17="","",INDEX('Per Line'!$L$2:$L$4001,$X17))</f>
        <v/>
      </c>
      <c r="K17" s="20" t="str">
        <f aca="false">IF($X17="","",INDEX('Per Line'!$M$2:$M$4001,$X17))</f>
        <v/>
      </c>
      <c r="L17" s="22" t="str">
        <f aca="false">IF($X17="","",K17*V17/100)</f>
        <v/>
      </c>
      <c r="M17" s="20" t="str">
        <f aca="false">IF($X17="","",INDEX('Per Line'!$Z$2:$Z$4001,$X17))</f>
        <v/>
      </c>
      <c r="N17" s="23" t="str">
        <f aca="false">IF($X17="","",Settings!$C$7)</f>
        <v/>
      </c>
      <c r="O17" s="22" t="str">
        <f aca="false">IF($X17="","",SUMIFS('Per Line'!$Y$2:$Y$4001,'Per Line'!$D$2:$D$4001,$B17,'Per Line'!$AJ$2:$AJ$4001,0))</f>
        <v/>
      </c>
      <c r="P17" s="22" t="str">
        <f aca="false">IF($X17="","",O17*N17)</f>
        <v/>
      </c>
      <c r="Q17" s="23" t="str">
        <f aca="false">IF($X17="","",Settings!$C$6)</f>
        <v/>
      </c>
      <c r="R17" s="22" t="str">
        <f aca="false">IF($X17="","",SUMIFS('Per Line'!$Y$2:$Y$4001,'Per Line'!$D$2:$D$4001,$B17,'Per Line'!$AJ$2:$AJ$4001,1))</f>
        <v/>
      </c>
      <c r="S17" s="22" t="str">
        <f aca="false">IF($X17="","",R17*Q17)</f>
        <v/>
      </c>
      <c r="T17" s="22" t="str">
        <f aca="false">IF($X17="","",S17+P17)</f>
        <v/>
      </c>
      <c r="U17" s="22" t="str">
        <f aca="false">IF($X17="","",V17-T17)</f>
        <v/>
      </c>
      <c r="V17" s="22" t="str">
        <f aca="false">IF($X17="","",O17+R17)</f>
        <v/>
      </c>
      <c r="W17" s="22" t="str">
        <f aca="false">IF($X17="","",U17-L17)</f>
        <v/>
      </c>
      <c r="X17" s="24" t="str">
        <f aca="false">IF(ROWS($X$2:$X17)&lt;=MAX('Per Line'!$AI$2:$AI$4001),MATCH(ROWS($X$2:$X17),'Per Line'!$AI$2:$AI$4001,0),"")</f>
        <v/>
      </c>
    </row>
    <row r="18" customFormat="false" ht="15" hidden="false" customHeight="false" outlineLevel="0" collapsed="false">
      <c r="A18" s="19"/>
      <c r="B18" s="20" t="str">
        <f aca="false">IF($X18="","",INDEX('Per Line'!$D$2:$D$4001,$X18))</f>
        <v/>
      </c>
      <c r="C18" s="20" t="str">
        <f aca="false">IF($X18="","",INDEX('Per Line'!$C$2:$C$4001,$X18))</f>
        <v/>
      </c>
      <c r="D18" s="20" t="str">
        <f aca="false">IF($X18="","",INDEX('Per Line'!$A$2:$A$4001,$X18))</f>
        <v/>
      </c>
      <c r="E18" s="21" t="str">
        <f aca="false">IF($X18="","",INDEX('Per Line'!$F$2:$F$4001,$X18))</f>
        <v/>
      </c>
      <c r="F18" s="20" t="str">
        <f aca="false">IF($X18="","",INDEX('Per Line'!$G$2:$G$4001,$X18))</f>
        <v/>
      </c>
      <c r="G18" s="20" t="str">
        <f aca="false">IF($X18="","",INDEX('Per Line'!$I$2:$I$4001,$X18))</f>
        <v/>
      </c>
      <c r="H18" s="20" t="str">
        <f aca="false">IF($X18="","",INDEX('Per Line'!$J$2:$J$4001,$X18))</f>
        <v/>
      </c>
      <c r="I18" s="20" t="str">
        <f aca="false">IF($X18="","",INDEX('Per Line'!$K$2:$K$4001,$X18))</f>
        <v/>
      </c>
      <c r="J18" s="20" t="str">
        <f aca="false">IF($X18="","",INDEX('Per Line'!$L$2:$L$4001,$X18))</f>
        <v/>
      </c>
      <c r="K18" s="20" t="str">
        <f aca="false">IF($X18="","",INDEX('Per Line'!$M$2:$M$4001,$X18))</f>
        <v/>
      </c>
      <c r="L18" s="22" t="str">
        <f aca="false">IF($X18="","",K18*V18/100)</f>
        <v/>
      </c>
      <c r="M18" s="20" t="str">
        <f aca="false">IF($X18="","",INDEX('Per Line'!$Z$2:$Z$4001,$X18))</f>
        <v/>
      </c>
      <c r="N18" s="23" t="str">
        <f aca="false">IF($X18="","",Settings!$C$7)</f>
        <v/>
      </c>
      <c r="O18" s="22" t="str">
        <f aca="false">IF($X18="","",SUMIFS('Per Line'!$Y$2:$Y$4001,'Per Line'!$D$2:$D$4001,$B18,'Per Line'!$AJ$2:$AJ$4001,0))</f>
        <v/>
      </c>
      <c r="P18" s="22" t="str">
        <f aca="false">IF($X18="","",O18*N18)</f>
        <v/>
      </c>
      <c r="Q18" s="23" t="str">
        <f aca="false">IF($X18="","",Settings!$C$6)</f>
        <v/>
      </c>
      <c r="R18" s="22" t="str">
        <f aca="false">IF($X18="","",SUMIFS('Per Line'!$Y$2:$Y$4001,'Per Line'!$D$2:$D$4001,$B18,'Per Line'!$AJ$2:$AJ$4001,1))</f>
        <v/>
      </c>
      <c r="S18" s="22" t="str">
        <f aca="false">IF($X18="","",R18*Q18)</f>
        <v/>
      </c>
      <c r="T18" s="22" t="str">
        <f aca="false">IF($X18="","",S18+P18)</f>
        <v/>
      </c>
      <c r="U18" s="22" t="str">
        <f aca="false">IF($X18="","",V18-T18)</f>
        <v/>
      </c>
      <c r="V18" s="22" t="str">
        <f aca="false">IF($X18="","",O18+R18)</f>
        <v/>
      </c>
      <c r="W18" s="22" t="str">
        <f aca="false">IF($X18="","",U18-L18)</f>
        <v/>
      </c>
      <c r="X18" s="24" t="str">
        <f aca="false">IF(ROWS($X$2:$X18)&lt;=MAX('Per Line'!$AI$2:$AI$4001),MATCH(ROWS($X$2:$X18),'Per Line'!$AI$2:$AI$4001,0),"")</f>
        <v/>
      </c>
    </row>
    <row r="19" customFormat="false" ht="15" hidden="false" customHeight="false" outlineLevel="0" collapsed="false">
      <c r="A19" s="19"/>
      <c r="B19" s="20" t="str">
        <f aca="false">IF($X19="","",INDEX('Per Line'!$D$2:$D$4001,$X19))</f>
        <v/>
      </c>
      <c r="C19" s="20" t="str">
        <f aca="false">IF($X19="","",INDEX('Per Line'!$C$2:$C$4001,$X19))</f>
        <v/>
      </c>
      <c r="D19" s="20" t="str">
        <f aca="false">IF($X19="","",INDEX('Per Line'!$A$2:$A$4001,$X19))</f>
        <v/>
      </c>
      <c r="E19" s="21" t="str">
        <f aca="false">IF($X19="","",INDEX('Per Line'!$F$2:$F$4001,$X19))</f>
        <v/>
      </c>
      <c r="F19" s="20" t="str">
        <f aca="false">IF($X19="","",INDEX('Per Line'!$G$2:$G$4001,$X19))</f>
        <v/>
      </c>
      <c r="G19" s="20" t="str">
        <f aca="false">IF($X19="","",INDEX('Per Line'!$I$2:$I$4001,$X19))</f>
        <v/>
      </c>
      <c r="H19" s="20" t="str">
        <f aca="false">IF($X19="","",INDEX('Per Line'!$J$2:$J$4001,$X19))</f>
        <v/>
      </c>
      <c r="I19" s="20" t="str">
        <f aca="false">IF($X19="","",INDEX('Per Line'!$K$2:$K$4001,$X19))</f>
        <v/>
      </c>
      <c r="J19" s="20" t="str">
        <f aca="false">IF($X19="","",INDEX('Per Line'!$L$2:$L$4001,$X19))</f>
        <v/>
      </c>
      <c r="K19" s="20" t="str">
        <f aca="false">IF($X19="","",INDEX('Per Line'!$M$2:$M$4001,$X19))</f>
        <v/>
      </c>
      <c r="L19" s="22" t="str">
        <f aca="false">IF($X19="","",K19*V19/100)</f>
        <v/>
      </c>
      <c r="M19" s="20" t="str">
        <f aca="false">IF($X19="","",INDEX('Per Line'!$Z$2:$Z$4001,$X19))</f>
        <v/>
      </c>
      <c r="N19" s="23" t="str">
        <f aca="false">IF($X19="","",Settings!$C$7)</f>
        <v/>
      </c>
      <c r="O19" s="22" t="str">
        <f aca="false">IF($X19="","",SUMIFS('Per Line'!$Y$2:$Y$4001,'Per Line'!$D$2:$D$4001,$B19,'Per Line'!$AJ$2:$AJ$4001,0))</f>
        <v/>
      </c>
      <c r="P19" s="22" t="str">
        <f aca="false">IF($X19="","",O19*N19)</f>
        <v/>
      </c>
      <c r="Q19" s="23" t="str">
        <f aca="false">IF($X19="","",Settings!$C$6)</f>
        <v/>
      </c>
      <c r="R19" s="22" t="str">
        <f aca="false">IF($X19="","",SUMIFS('Per Line'!$Y$2:$Y$4001,'Per Line'!$D$2:$D$4001,$B19,'Per Line'!$AJ$2:$AJ$4001,1))</f>
        <v/>
      </c>
      <c r="S19" s="22" t="str">
        <f aca="false">IF($X19="","",R19*Q19)</f>
        <v/>
      </c>
      <c r="T19" s="22" t="str">
        <f aca="false">IF($X19="","",S19+P19)</f>
        <v/>
      </c>
      <c r="U19" s="22" t="str">
        <f aca="false">IF($X19="","",V19-T19)</f>
        <v/>
      </c>
      <c r="V19" s="22" t="str">
        <f aca="false">IF($X19="","",O19+R19)</f>
        <v/>
      </c>
      <c r="W19" s="22" t="str">
        <f aca="false">IF($X19="","",U19-L19)</f>
        <v/>
      </c>
      <c r="X19" s="24" t="str">
        <f aca="false">IF(ROWS($X$2:$X19)&lt;=MAX('Per Line'!$AI$2:$AI$4001),MATCH(ROWS($X$2:$X19),'Per Line'!$AI$2:$AI$4001,0),"")</f>
        <v/>
      </c>
    </row>
    <row r="20" customFormat="false" ht="15" hidden="false" customHeight="false" outlineLevel="0" collapsed="false">
      <c r="A20" s="19"/>
      <c r="B20" s="20" t="str">
        <f aca="false">IF($X20="","",INDEX('Per Line'!$D$2:$D$4001,$X20))</f>
        <v/>
      </c>
      <c r="C20" s="20" t="str">
        <f aca="false">IF($X20="","",INDEX('Per Line'!$C$2:$C$4001,$X20))</f>
        <v/>
      </c>
      <c r="D20" s="20" t="str">
        <f aca="false">IF($X20="","",INDEX('Per Line'!$A$2:$A$4001,$X20))</f>
        <v/>
      </c>
      <c r="E20" s="21" t="str">
        <f aca="false">IF($X20="","",INDEX('Per Line'!$F$2:$F$4001,$X20))</f>
        <v/>
      </c>
      <c r="F20" s="20" t="str">
        <f aca="false">IF($X20="","",INDEX('Per Line'!$G$2:$G$4001,$X20))</f>
        <v/>
      </c>
      <c r="G20" s="20" t="str">
        <f aca="false">IF($X20="","",INDEX('Per Line'!$I$2:$I$4001,$X20))</f>
        <v/>
      </c>
      <c r="H20" s="20" t="str">
        <f aca="false">IF($X20="","",INDEX('Per Line'!$J$2:$J$4001,$X20))</f>
        <v/>
      </c>
      <c r="I20" s="20" t="str">
        <f aca="false">IF($X20="","",INDEX('Per Line'!$K$2:$K$4001,$X20))</f>
        <v/>
      </c>
      <c r="J20" s="20" t="str">
        <f aca="false">IF($X20="","",INDEX('Per Line'!$L$2:$L$4001,$X20))</f>
        <v/>
      </c>
      <c r="K20" s="20" t="str">
        <f aca="false">IF($X20="","",INDEX('Per Line'!$M$2:$M$4001,$X20))</f>
        <v/>
      </c>
      <c r="L20" s="22" t="str">
        <f aca="false">IF($X20="","",K20*V20/100)</f>
        <v/>
      </c>
      <c r="M20" s="20" t="str">
        <f aca="false">IF($X20="","",INDEX('Per Line'!$Z$2:$Z$4001,$X20))</f>
        <v/>
      </c>
      <c r="N20" s="23" t="str">
        <f aca="false">IF($X20="","",Settings!$C$7)</f>
        <v/>
      </c>
      <c r="O20" s="22" t="str">
        <f aca="false">IF($X20="","",SUMIFS('Per Line'!$Y$2:$Y$4001,'Per Line'!$D$2:$D$4001,$B20,'Per Line'!$AJ$2:$AJ$4001,0))</f>
        <v/>
      </c>
      <c r="P20" s="22" t="str">
        <f aca="false">IF($X20="","",O20*N20)</f>
        <v/>
      </c>
      <c r="Q20" s="23" t="str">
        <f aca="false">IF($X20="","",Settings!$C$6)</f>
        <v/>
      </c>
      <c r="R20" s="22" t="str">
        <f aca="false">IF($X20="","",SUMIFS('Per Line'!$Y$2:$Y$4001,'Per Line'!$D$2:$D$4001,$B20,'Per Line'!$AJ$2:$AJ$4001,1))</f>
        <v/>
      </c>
      <c r="S20" s="22" t="str">
        <f aca="false">IF($X20="","",R20*Q20)</f>
        <v/>
      </c>
      <c r="T20" s="22" t="str">
        <f aca="false">IF($X20="","",S20+P20)</f>
        <v/>
      </c>
      <c r="U20" s="22" t="str">
        <f aca="false">IF($X20="","",V20-T20)</f>
        <v/>
      </c>
      <c r="V20" s="22" t="str">
        <f aca="false">IF($X20="","",O20+R20)</f>
        <v/>
      </c>
      <c r="W20" s="22" t="str">
        <f aca="false">IF($X20="","",U20-L20)</f>
        <v/>
      </c>
      <c r="X20" s="24" t="str">
        <f aca="false">IF(ROWS($X$2:$X20)&lt;=MAX('Per Line'!$AI$2:$AI$4001),MATCH(ROWS($X$2:$X20),'Per Line'!$AI$2:$AI$4001,0),"")</f>
        <v/>
      </c>
    </row>
    <row r="21" customFormat="false" ht="15" hidden="false" customHeight="false" outlineLevel="0" collapsed="false">
      <c r="A21" s="19"/>
      <c r="B21" s="20" t="str">
        <f aca="false">IF($X21="","",INDEX('Per Line'!$D$2:$D$4001,$X21))</f>
        <v/>
      </c>
      <c r="C21" s="20" t="str">
        <f aca="false">IF($X21="","",INDEX('Per Line'!$C$2:$C$4001,$X21))</f>
        <v/>
      </c>
      <c r="D21" s="20" t="str">
        <f aca="false">IF($X21="","",INDEX('Per Line'!$A$2:$A$4001,$X21))</f>
        <v/>
      </c>
      <c r="E21" s="21" t="str">
        <f aca="false">IF($X21="","",INDEX('Per Line'!$F$2:$F$4001,$X21))</f>
        <v/>
      </c>
      <c r="F21" s="20" t="str">
        <f aca="false">IF($X21="","",INDEX('Per Line'!$G$2:$G$4001,$X21))</f>
        <v/>
      </c>
      <c r="G21" s="20" t="str">
        <f aca="false">IF($X21="","",INDEX('Per Line'!$I$2:$I$4001,$X21))</f>
        <v/>
      </c>
      <c r="H21" s="20" t="str">
        <f aca="false">IF($X21="","",INDEX('Per Line'!$J$2:$J$4001,$X21))</f>
        <v/>
      </c>
      <c r="I21" s="20" t="str">
        <f aca="false">IF($X21="","",INDEX('Per Line'!$K$2:$K$4001,$X21))</f>
        <v/>
      </c>
      <c r="J21" s="20" t="str">
        <f aca="false">IF($X21="","",INDEX('Per Line'!$L$2:$L$4001,$X21))</f>
        <v/>
      </c>
      <c r="K21" s="20" t="str">
        <f aca="false">IF($X21="","",INDEX('Per Line'!$M$2:$M$4001,$X21))</f>
        <v/>
      </c>
      <c r="L21" s="22" t="str">
        <f aca="false">IF($X21="","",K21*V21/100)</f>
        <v/>
      </c>
      <c r="M21" s="20" t="str">
        <f aca="false">IF($X21="","",INDEX('Per Line'!$Z$2:$Z$4001,$X21))</f>
        <v/>
      </c>
      <c r="N21" s="23" t="str">
        <f aca="false">IF($X21="","",Settings!$C$7)</f>
        <v/>
      </c>
      <c r="O21" s="22" t="str">
        <f aca="false">IF($X21="","",SUMIFS('Per Line'!$Y$2:$Y$4001,'Per Line'!$D$2:$D$4001,$B21,'Per Line'!$AJ$2:$AJ$4001,0))</f>
        <v/>
      </c>
      <c r="P21" s="22" t="str">
        <f aca="false">IF($X21="","",O21*N21)</f>
        <v/>
      </c>
      <c r="Q21" s="23" t="str">
        <f aca="false">IF($X21="","",Settings!$C$6)</f>
        <v/>
      </c>
      <c r="R21" s="22" t="str">
        <f aca="false">IF($X21="","",SUMIFS('Per Line'!$Y$2:$Y$4001,'Per Line'!$D$2:$D$4001,$B21,'Per Line'!$AJ$2:$AJ$4001,1))</f>
        <v/>
      </c>
      <c r="S21" s="22" t="str">
        <f aca="false">IF($X21="","",R21*Q21)</f>
        <v/>
      </c>
      <c r="T21" s="22" t="str">
        <f aca="false">IF($X21="","",S21+P21)</f>
        <v/>
      </c>
      <c r="U21" s="22" t="str">
        <f aca="false">IF($X21="","",V21-T21)</f>
        <v/>
      </c>
      <c r="V21" s="22" t="str">
        <f aca="false">IF($X21="","",O21+R21)</f>
        <v/>
      </c>
      <c r="W21" s="22" t="str">
        <f aca="false">IF($X21="","",U21-L21)</f>
        <v/>
      </c>
      <c r="X21" s="24" t="str">
        <f aca="false">IF(ROWS($X$2:$X21)&lt;=MAX('Per Line'!$AI$2:$AI$4001),MATCH(ROWS($X$2:$X21),'Per Line'!$AI$2:$AI$4001,0),"")</f>
        <v/>
      </c>
    </row>
    <row r="22" customFormat="false" ht="15" hidden="false" customHeight="false" outlineLevel="0" collapsed="false">
      <c r="A22" s="19"/>
      <c r="B22" s="20" t="str">
        <f aca="false">IF($X22="","",INDEX('Per Line'!$D$2:$D$4001,$X22))</f>
        <v/>
      </c>
      <c r="C22" s="20" t="str">
        <f aca="false">IF($X22="","",INDEX('Per Line'!$C$2:$C$4001,$X22))</f>
        <v/>
      </c>
      <c r="D22" s="20" t="str">
        <f aca="false">IF($X22="","",INDEX('Per Line'!$A$2:$A$4001,$X22))</f>
        <v/>
      </c>
      <c r="E22" s="21" t="str">
        <f aca="false">IF($X22="","",INDEX('Per Line'!$F$2:$F$4001,$X22))</f>
        <v/>
      </c>
      <c r="F22" s="20" t="str">
        <f aca="false">IF($X22="","",INDEX('Per Line'!$G$2:$G$4001,$X22))</f>
        <v/>
      </c>
      <c r="G22" s="20" t="str">
        <f aca="false">IF($X22="","",INDEX('Per Line'!$I$2:$I$4001,$X22))</f>
        <v/>
      </c>
      <c r="H22" s="20" t="str">
        <f aca="false">IF($X22="","",INDEX('Per Line'!$J$2:$J$4001,$X22))</f>
        <v/>
      </c>
      <c r="I22" s="20" t="str">
        <f aca="false">IF($X22="","",INDEX('Per Line'!$K$2:$K$4001,$X22))</f>
        <v/>
      </c>
      <c r="J22" s="20" t="str">
        <f aca="false">IF($X22="","",INDEX('Per Line'!$L$2:$L$4001,$X22))</f>
        <v/>
      </c>
      <c r="K22" s="20" t="str">
        <f aca="false">IF($X22="","",INDEX('Per Line'!$M$2:$M$4001,$X22))</f>
        <v/>
      </c>
      <c r="L22" s="22" t="str">
        <f aca="false">IF($X22="","",K22*V22/100)</f>
        <v/>
      </c>
      <c r="M22" s="20" t="str">
        <f aca="false">IF($X22="","",INDEX('Per Line'!$Z$2:$Z$4001,$X22))</f>
        <v/>
      </c>
      <c r="N22" s="23" t="str">
        <f aca="false">IF($X22="","",Settings!$C$7)</f>
        <v/>
      </c>
      <c r="O22" s="22" t="str">
        <f aca="false">IF($X22="","",SUMIFS('Per Line'!$Y$2:$Y$4001,'Per Line'!$D$2:$D$4001,$B22,'Per Line'!$AJ$2:$AJ$4001,0))</f>
        <v/>
      </c>
      <c r="P22" s="22" t="str">
        <f aca="false">IF($X22="","",O22*N22)</f>
        <v/>
      </c>
      <c r="Q22" s="23" t="str">
        <f aca="false">IF($X22="","",Settings!$C$6)</f>
        <v/>
      </c>
      <c r="R22" s="22" t="str">
        <f aca="false">IF($X22="","",SUMIFS('Per Line'!$Y$2:$Y$4001,'Per Line'!$D$2:$D$4001,$B22,'Per Line'!$AJ$2:$AJ$4001,1))</f>
        <v/>
      </c>
      <c r="S22" s="22" t="str">
        <f aca="false">IF($X22="","",R22*Q22)</f>
        <v/>
      </c>
      <c r="T22" s="22" t="str">
        <f aca="false">IF($X22="","",S22+P22)</f>
        <v/>
      </c>
      <c r="U22" s="22" t="str">
        <f aca="false">IF($X22="","",V22-T22)</f>
        <v/>
      </c>
      <c r="V22" s="22" t="str">
        <f aca="false">IF($X22="","",O22+R22)</f>
        <v/>
      </c>
      <c r="W22" s="22" t="str">
        <f aca="false">IF($X22="","",U22-L22)</f>
        <v/>
      </c>
      <c r="X22" s="24" t="str">
        <f aca="false">IF(ROWS($X$2:$X22)&lt;=MAX('Per Line'!$AI$2:$AI$4001),MATCH(ROWS($X$2:$X22),'Per Line'!$AI$2:$AI$4001,0),"")</f>
        <v/>
      </c>
    </row>
    <row r="23" customFormat="false" ht="15" hidden="false" customHeight="false" outlineLevel="0" collapsed="false">
      <c r="A23" s="19"/>
      <c r="B23" s="20" t="str">
        <f aca="false">IF($X23="","",INDEX('Per Line'!$D$2:$D$4001,$X23))</f>
        <v/>
      </c>
      <c r="C23" s="20" t="str">
        <f aca="false">IF($X23="","",INDEX('Per Line'!$C$2:$C$4001,$X23))</f>
        <v/>
      </c>
      <c r="D23" s="20" t="str">
        <f aca="false">IF($X23="","",INDEX('Per Line'!$A$2:$A$4001,$X23))</f>
        <v/>
      </c>
      <c r="E23" s="21" t="str">
        <f aca="false">IF($X23="","",INDEX('Per Line'!$F$2:$F$4001,$X23))</f>
        <v/>
      </c>
      <c r="F23" s="20" t="str">
        <f aca="false">IF($X23="","",INDEX('Per Line'!$G$2:$G$4001,$X23))</f>
        <v/>
      </c>
      <c r="G23" s="20" t="str">
        <f aca="false">IF($X23="","",INDEX('Per Line'!$I$2:$I$4001,$X23))</f>
        <v/>
      </c>
      <c r="H23" s="20" t="str">
        <f aca="false">IF($X23="","",INDEX('Per Line'!$J$2:$J$4001,$X23))</f>
        <v/>
      </c>
      <c r="I23" s="20" t="str">
        <f aca="false">IF($X23="","",INDEX('Per Line'!$K$2:$K$4001,$X23))</f>
        <v/>
      </c>
      <c r="J23" s="20" t="str">
        <f aca="false">IF($X23="","",INDEX('Per Line'!$L$2:$L$4001,$X23))</f>
        <v/>
      </c>
      <c r="K23" s="20" t="str">
        <f aca="false">IF($X23="","",INDEX('Per Line'!$M$2:$M$4001,$X23))</f>
        <v/>
      </c>
      <c r="L23" s="22" t="str">
        <f aca="false">IF($X23="","",K23*V23/100)</f>
        <v/>
      </c>
      <c r="M23" s="20" t="str">
        <f aca="false">IF($X23="","",INDEX('Per Line'!$Z$2:$Z$4001,$X23))</f>
        <v/>
      </c>
      <c r="N23" s="23" t="str">
        <f aca="false">IF($X23="","",Settings!$C$7)</f>
        <v/>
      </c>
      <c r="O23" s="22" t="str">
        <f aca="false">IF($X23="","",SUMIFS('Per Line'!$Y$2:$Y$4001,'Per Line'!$D$2:$D$4001,$B23,'Per Line'!$AJ$2:$AJ$4001,0))</f>
        <v/>
      </c>
      <c r="P23" s="22" t="str">
        <f aca="false">IF($X23="","",O23*N23)</f>
        <v/>
      </c>
      <c r="Q23" s="23" t="str">
        <f aca="false">IF($X23="","",Settings!$C$6)</f>
        <v/>
      </c>
      <c r="R23" s="22" t="str">
        <f aca="false">IF($X23="","",SUMIFS('Per Line'!$Y$2:$Y$4001,'Per Line'!$D$2:$D$4001,$B23,'Per Line'!$AJ$2:$AJ$4001,1))</f>
        <v/>
      </c>
      <c r="S23" s="22" t="str">
        <f aca="false">IF($X23="","",R23*Q23)</f>
        <v/>
      </c>
      <c r="T23" s="22" t="str">
        <f aca="false">IF($X23="","",S23+P23)</f>
        <v/>
      </c>
      <c r="U23" s="22" t="str">
        <f aca="false">IF($X23="","",V23-T23)</f>
        <v/>
      </c>
      <c r="V23" s="22" t="str">
        <f aca="false">IF($X23="","",O23+R23)</f>
        <v/>
      </c>
      <c r="W23" s="22" t="str">
        <f aca="false">IF($X23="","",U23-L23)</f>
        <v/>
      </c>
      <c r="X23" s="24" t="str">
        <f aca="false">IF(ROWS($X$2:$X23)&lt;=MAX('Per Line'!$AI$2:$AI$4001),MATCH(ROWS($X$2:$X23),'Per Line'!$AI$2:$AI$4001,0),"")</f>
        <v/>
      </c>
    </row>
    <row r="24" customFormat="false" ht="15" hidden="false" customHeight="false" outlineLevel="0" collapsed="false">
      <c r="A24" s="19"/>
      <c r="B24" s="20" t="str">
        <f aca="false">IF($X24="","",INDEX('Per Line'!$D$2:$D$4001,$X24))</f>
        <v/>
      </c>
      <c r="C24" s="20" t="str">
        <f aca="false">IF($X24="","",INDEX('Per Line'!$C$2:$C$4001,$X24))</f>
        <v/>
      </c>
      <c r="D24" s="20" t="str">
        <f aca="false">IF($X24="","",INDEX('Per Line'!$A$2:$A$4001,$X24))</f>
        <v/>
      </c>
      <c r="E24" s="21" t="str">
        <f aca="false">IF($X24="","",INDEX('Per Line'!$F$2:$F$4001,$X24))</f>
        <v/>
      </c>
      <c r="F24" s="20" t="str">
        <f aca="false">IF($X24="","",INDEX('Per Line'!$G$2:$G$4001,$X24))</f>
        <v/>
      </c>
      <c r="G24" s="20" t="str">
        <f aca="false">IF($X24="","",INDEX('Per Line'!$I$2:$I$4001,$X24))</f>
        <v/>
      </c>
      <c r="H24" s="20" t="str">
        <f aca="false">IF($X24="","",INDEX('Per Line'!$J$2:$J$4001,$X24))</f>
        <v/>
      </c>
      <c r="I24" s="20" t="str">
        <f aca="false">IF($X24="","",INDEX('Per Line'!$K$2:$K$4001,$X24))</f>
        <v/>
      </c>
      <c r="J24" s="20" t="str">
        <f aca="false">IF($X24="","",INDEX('Per Line'!$L$2:$L$4001,$X24))</f>
        <v/>
      </c>
      <c r="K24" s="20" t="str">
        <f aca="false">IF($X24="","",INDEX('Per Line'!$M$2:$M$4001,$X24))</f>
        <v/>
      </c>
      <c r="L24" s="22" t="str">
        <f aca="false">IF($X24="","",K24*V24/100)</f>
        <v/>
      </c>
      <c r="M24" s="20" t="str">
        <f aca="false">IF($X24="","",INDEX('Per Line'!$Z$2:$Z$4001,$X24))</f>
        <v/>
      </c>
      <c r="N24" s="23" t="str">
        <f aca="false">IF($X24="","",Settings!$C$7)</f>
        <v/>
      </c>
      <c r="O24" s="22" t="str">
        <f aca="false">IF($X24="","",SUMIFS('Per Line'!$Y$2:$Y$4001,'Per Line'!$D$2:$D$4001,$B24,'Per Line'!$AJ$2:$AJ$4001,0))</f>
        <v/>
      </c>
      <c r="P24" s="22" t="str">
        <f aca="false">IF($X24="","",O24*N24)</f>
        <v/>
      </c>
      <c r="Q24" s="23" t="str">
        <f aca="false">IF($X24="","",Settings!$C$6)</f>
        <v/>
      </c>
      <c r="R24" s="22" t="str">
        <f aca="false">IF($X24="","",SUMIFS('Per Line'!$Y$2:$Y$4001,'Per Line'!$D$2:$D$4001,$B24,'Per Line'!$AJ$2:$AJ$4001,1))</f>
        <v/>
      </c>
      <c r="S24" s="22" t="str">
        <f aca="false">IF($X24="","",R24*Q24)</f>
        <v/>
      </c>
      <c r="T24" s="22" t="str">
        <f aca="false">IF($X24="","",S24+P24)</f>
        <v/>
      </c>
      <c r="U24" s="22" t="str">
        <f aca="false">IF($X24="","",V24-T24)</f>
        <v/>
      </c>
      <c r="V24" s="22" t="str">
        <f aca="false">IF($X24="","",O24+R24)</f>
        <v/>
      </c>
      <c r="W24" s="22" t="str">
        <f aca="false">IF($X24="","",U24-L24)</f>
        <v/>
      </c>
      <c r="X24" s="24" t="str">
        <f aca="false">IF(ROWS($X$2:$X24)&lt;=MAX('Per Line'!$AI$2:$AI$4001),MATCH(ROWS($X$2:$X24),'Per Line'!$AI$2:$AI$4001,0),"")</f>
        <v/>
      </c>
    </row>
    <row r="25" customFormat="false" ht="15" hidden="false" customHeight="false" outlineLevel="0" collapsed="false">
      <c r="A25" s="19"/>
      <c r="B25" s="20" t="str">
        <f aca="false">IF($X25="","",INDEX('Per Line'!$D$2:$D$4001,$X25))</f>
        <v/>
      </c>
      <c r="C25" s="20" t="str">
        <f aca="false">IF($X25="","",INDEX('Per Line'!$C$2:$C$4001,$X25))</f>
        <v/>
      </c>
      <c r="D25" s="20" t="str">
        <f aca="false">IF($X25="","",INDEX('Per Line'!$A$2:$A$4001,$X25))</f>
        <v/>
      </c>
      <c r="E25" s="21" t="str">
        <f aca="false">IF($X25="","",INDEX('Per Line'!$F$2:$F$4001,$X25))</f>
        <v/>
      </c>
      <c r="F25" s="20" t="str">
        <f aca="false">IF($X25="","",INDEX('Per Line'!$G$2:$G$4001,$X25))</f>
        <v/>
      </c>
      <c r="G25" s="20" t="str">
        <f aca="false">IF($X25="","",INDEX('Per Line'!$I$2:$I$4001,$X25))</f>
        <v/>
      </c>
      <c r="H25" s="20" t="str">
        <f aca="false">IF($X25="","",INDEX('Per Line'!$J$2:$J$4001,$X25))</f>
        <v/>
      </c>
      <c r="I25" s="20" t="str">
        <f aca="false">IF($X25="","",INDEX('Per Line'!$K$2:$K$4001,$X25))</f>
        <v/>
      </c>
      <c r="J25" s="20" t="str">
        <f aca="false">IF($X25="","",INDEX('Per Line'!$L$2:$L$4001,$X25))</f>
        <v/>
      </c>
      <c r="K25" s="20" t="str">
        <f aca="false">IF($X25="","",INDEX('Per Line'!$M$2:$M$4001,$X25))</f>
        <v/>
      </c>
      <c r="L25" s="22" t="str">
        <f aca="false">IF($X25="","",K25*V25/100)</f>
        <v/>
      </c>
      <c r="M25" s="20" t="str">
        <f aca="false">IF($X25="","",INDEX('Per Line'!$Z$2:$Z$4001,$X25))</f>
        <v/>
      </c>
      <c r="N25" s="23" t="str">
        <f aca="false">IF($X25="","",Settings!$C$7)</f>
        <v/>
      </c>
      <c r="O25" s="22" t="str">
        <f aca="false">IF($X25="","",SUMIFS('Per Line'!$Y$2:$Y$4001,'Per Line'!$D$2:$D$4001,$B25,'Per Line'!$AJ$2:$AJ$4001,0))</f>
        <v/>
      </c>
      <c r="P25" s="22" t="str">
        <f aca="false">IF($X25="","",O25*N25)</f>
        <v/>
      </c>
      <c r="Q25" s="23" t="str">
        <f aca="false">IF($X25="","",Settings!$C$6)</f>
        <v/>
      </c>
      <c r="R25" s="22" t="str">
        <f aca="false">IF($X25="","",SUMIFS('Per Line'!$Y$2:$Y$4001,'Per Line'!$D$2:$D$4001,$B25,'Per Line'!$AJ$2:$AJ$4001,1))</f>
        <v/>
      </c>
      <c r="S25" s="22" t="str">
        <f aca="false">IF($X25="","",R25*Q25)</f>
        <v/>
      </c>
      <c r="T25" s="22" t="str">
        <f aca="false">IF($X25="","",S25+P25)</f>
        <v/>
      </c>
      <c r="U25" s="22" t="str">
        <f aca="false">IF($X25="","",V25-T25)</f>
        <v/>
      </c>
      <c r="V25" s="22" t="str">
        <f aca="false">IF($X25="","",O25+R25)</f>
        <v/>
      </c>
      <c r="W25" s="22" t="str">
        <f aca="false">IF($X25="","",U25-L25)</f>
        <v/>
      </c>
      <c r="X25" s="24" t="str">
        <f aca="false">IF(ROWS($X$2:$X25)&lt;=MAX('Per Line'!$AI$2:$AI$4001),MATCH(ROWS($X$2:$X25),'Per Line'!$AI$2:$AI$4001,0),"")</f>
        <v/>
      </c>
    </row>
    <row r="26" customFormat="false" ht="15" hidden="false" customHeight="false" outlineLevel="0" collapsed="false">
      <c r="A26" s="19"/>
      <c r="B26" s="20" t="str">
        <f aca="false">IF($X26="","",INDEX('Per Line'!$D$2:$D$4001,$X26))</f>
        <v/>
      </c>
      <c r="C26" s="20" t="str">
        <f aca="false">IF($X26="","",INDEX('Per Line'!$C$2:$C$4001,$X26))</f>
        <v/>
      </c>
      <c r="D26" s="20" t="str">
        <f aca="false">IF($X26="","",INDEX('Per Line'!$A$2:$A$4001,$X26))</f>
        <v/>
      </c>
      <c r="E26" s="21" t="str">
        <f aca="false">IF($X26="","",INDEX('Per Line'!$F$2:$F$4001,$X26))</f>
        <v/>
      </c>
      <c r="F26" s="20" t="str">
        <f aca="false">IF($X26="","",INDEX('Per Line'!$G$2:$G$4001,$X26))</f>
        <v/>
      </c>
      <c r="G26" s="20" t="str">
        <f aca="false">IF($X26="","",INDEX('Per Line'!$I$2:$I$4001,$X26))</f>
        <v/>
      </c>
      <c r="H26" s="20" t="str">
        <f aca="false">IF($X26="","",INDEX('Per Line'!$J$2:$J$4001,$X26))</f>
        <v/>
      </c>
      <c r="I26" s="20" t="str">
        <f aca="false">IF($X26="","",INDEX('Per Line'!$K$2:$K$4001,$X26))</f>
        <v/>
      </c>
      <c r="J26" s="20" t="str">
        <f aca="false">IF($X26="","",INDEX('Per Line'!$L$2:$L$4001,$X26))</f>
        <v/>
      </c>
      <c r="K26" s="20" t="str">
        <f aca="false">IF($X26="","",INDEX('Per Line'!$M$2:$M$4001,$X26))</f>
        <v/>
      </c>
      <c r="L26" s="22" t="str">
        <f aca="false">IF($X26="","",K26*V26/100)</f>
        <v/>
      </c>
      <c r="M26" s="20" t="str">
        <f aca="false">IF($X26="","",INDEX('Per Line'!$Z$2:$Z$4001,$X26))</f>
        <v/>
      </c>
      <c r="N26" s="23" t="str">
        <f aca="false">IF($X26="","",Settings!$C$7)</f>
        <v/>
      </c>
      <c r="O26" s="22" t="str">
        <f aca="false">IF($X26="","",SUMIFS('Per Line'!$Y$2:$Y$4001,'Per Line'!$D$2:$D$4001,$B26,'Per Line'!$AJ$2:$AJ$4001,0))</f>
        <v/>
      </c>
      <c r="P26" s="22" t="str">
        <f aca="false">IF($X26="","",O26*N26)</f>
        <v/>
      </c>
      <c r="Q26" s="23" t="str">
        <f aca="false">IF($X26="","",Settings!$C$6)</f>
        <v/>
      </c>
      <c r="R26" s="22" t="str">
        <f aca="false">IF($X26="","",SUMIFS('Per Line'!$Y$2:$Y$4001,'Per Line'!$D$2:$D$4001,$B26,'Per Line'!$AJ$2:$AJ$4001,1))</f>
        <v/>
      </c>
      <c r="S26" s="22" t="str">
        <f aca="false">IF($X26="","",R26*Q26)</f>
        <v/>
      </c>
      <c r="T26" s="22" t="str">
        <f aca="false">IF($X26="","",S26+P26)</f>
        <v/>
      </c>
      <c r="U26" s="22" t="str">
        <f aca="false">IF($X26="","",V26-T26)</f>
        <v/>
      </c>
      <c r="V26" s="22" t="str">
        <f aca="false">IF($X26="","",O26+R26)</f>
        <v/>
      </c>
      <c r="W26" s="22" t="str">
        <f aca="false">IF($X26="","",U26-L26)</f>
        <v/>
      </c>
      <c r="X26" s="24" t="str">
        <f aca="false">IF(ROWS($X$2:$X26)&lt;=MAX('Per Line'!$AI$2:$AI$4001),MATCH(ROWS($X$2:$X26),'Per Line'!$AI$2:$AI$4001,0),"")</f>
        <v/>
      </c>
    </row>
    <row r="27" customFormat="false" ht="15" hidden="false" customHeight="false" outlineLevel="0" collapsed="false">
      <c r="A27" s="19"/>
      <c r="B27" s="20" t="str">
        <f aca="false">IF($X27="","",INDEX('Per Line'!$D$2:$D$4001,$X27))</f>
        <v/>
      </c>
      <c r="C27" s="20" t="str">
        <f aca="false">IF($X27="","",INDEX('Per Line'!$C$2:$C$4001,$X27))</f>
        <v/>
      </c>
      <c r="D27" s="20" t="str">
        <f aca="false">IF($X27="","",INDEX('Per Line'!$A$2:$A$4001,$X27))</f>
        <v/>
      </c>
      <c r="E27" s="21" t="str">
        <f aca="false">IF($X27="","",INDEX('Per Line'!$F$2:$F$4001,$X27))</f>
        <v/>
      </c>
      <c r="F27" s="20" t="str">
        <f aca="false">IF($X27="","",INDEX('Per Line'!$G$2:$G$4001,$X27))</f>
        <v/>
      </c>
      <c r="G27" s="20" t="str">
        <f aca="false">IF($X27="","",INDEX('Per Line'!$I$2:$I$4001,$X27))</f>
        <v/>
      </c>
      <c r="H27" s="20" t="str">
        <f aca="false">IF($X27="","",INDEX('Per Line'!$J$2:$J$4001,$X27))</f>
        <v/>
      </c>
      <c r="I27" s="20" t="str">
        <f aca="false">IF($X27="","",INDEX('Per Line'!$K$2:$K$4001,$X27))</f>
        <v/>
      </c>
      <c r="J27" s="20" t="str">
        <f aca="false">IF($X27="","",INDEX('Per Line'!$L$2:$L$4001,$X27))</f>
        <v/>
      </c>
      <c r="K27" s="20" t="str">
        <f aca="false">IF($X27="","",INDEX('Per Line'!$M$2:$M$4001,$X27))</f>
        <v/>
      </c>
      <c r="L27" s="22" t="str">
        <f aca="false">IF($X27="","",K27*V27/100)</f>
        <v/>
      </c>
      <c r="M27" s="20" t="str">
        <f aca="false">IF($X27="","",INDEX('Per Line'!$Z$2:$Z$4001,$X27))</f>
        <v/>
      </c>
      <c r="N27" s="23" t="str">
        <f aca="false">IF($X27="","",Settings!$C$7)</f>
        <v/>
      </c>
      <c r="O27" s="22" t="str">
        <f aca="false">IF($X27="","",SUMIFS('Per Line'!$Y$2:$Y$4001,'Per Line'!$D$2:$D$4001,$B27,'Per Line'!$AJ$2:$AJ$4001,0))</f>
        <v/>
      </c>
      <c r="P27" s="22" t="str">
        <f aca="false">IF($X27="","",O27*N27)</f>
        <v/>
      </c>
      <c r="Q27" s="23" t="str">
        <f aca="false">IF($X27="","",Settings!$C$6)</f>
        <v/>
      </c>
      <c r="R27" s="22" t="str">
        <f aca="false">IF($X27="","",SUMIFS('Per Line'!$Y$2:$Y$4001,'Per Line'!$D$2:$D$4001,$B27,'Per Line'!$AJ$2:$AJ$4001,1))</f>
        <v/>
      </c>
      <c r="S27" s="22" t="str">
        <f aca="false">IF($X27="","",R27*Q27)</f>
        <v/>
      </c>
      <c r="T27" s="22" t="str">
        <f aca="false">IF($X27="","",S27+P27)</f>
        <v/>
      </c>
      <c r="U27" s="22" t="str">
        <f aca="false">IF($X27="","",V27-T27)</f>
        <v/>
      </c>
      <c r="V27" s="22" t="str">
        <f aca="false">IF($X27="","",O27+R27)</f>
        <v/>
      </c>
      <c r="W27" s="22" t="str">
        <f aca="false">IF($X27="","",U27-L27)</f>
        <v/>
      </c>
      <c r="X27" s="24" t="str">
        <f aca="false">IF(ROWS($X$2:$X27)&lt;=MAX('Per Line'!$AI$2:$AI$4001),MATCH(ROWS($X$2:$X27),'Per Line'!$AI$2:$AI$4001,0),"")</f>
        <v/>
      </c>
    </row>
    <row r="28" customFormat="false" ht="15" hidden="false" customHeight="false" outlineLevel="0" collapsed="false">
      <c r="A28" s="19"/>
      <c r="B28" s="20" t="str">
        <f aca="false">IF($X28="","",INDEX('Per Line'!$D$2:$D$4001,$X28))</f>
        <v/>
      </c>
      <c r="C28" s="20" t="str">
        <f aca="false">IF($X28="","",INDEX('Per Line'!$C$2:$C$4001,$X28))</f>
        <v/>
      </c>
      <c r="D28" s="20" t="str">
        <f aca="false">IF($X28="","",INDEX('Per Line'!$A$2:$A$4001,$X28))</f>
        <v/>
      </c>
      <c r="E28" s="21" t="str">
        <f aca="false">IF($X28="","",INDEX('Per Line'!$F$2:$F$4001,$X28))</f>
        <v/>
      </c>
      <c r="F28" s="20" t="str">
        <f aca="false">IF($X28="","",INDEX('Per Line'!$G$2:$G$4001,$X28))</f>
        <v/>
      </c>
      <c r="G28" s="20" t="str">
        <f aca="false">IF($X28="","",INDEX('Per Line'!$I$2:$I$4001,$X28))</f>
        <v/>
      </c>
      <c r="H28" s="20" t="str">
        <f aca="false">IF($X28="","",INDEX('Per Line'!$J$2:$J$4001,$X28))</f>
        <v/>
      </c>
      <c r="I28" s="20" t="str">
        <f aca="false">IF($X28="","",INDEX('Per Line'!$K$2:$K$4001,$X28))</f>
        <v/>
      </c>
      <c r="J28" s="20" t="str">
        <f aca="false">IF($X28="","",INDEX('Per Line'!$L$2:$L$4001,$X28))</f>
        <v/>
      </c>
      <c r="K28" s="20" t="str">
        <f aca="false">IF($X28="","",INDEX('Per Line'!$M$2:$M$4001,$X28))</f>
        <v/>
      </c>
      <c r="L28" s="22" t="str">
        <f aca="false">IF($X28="","",K28*V28/100)</f>
        <v/>
      </c>
      <c r="M28" s="20" t="str">
        <f aca="false">IF($X28="","",INDEX('Per Line'!$Z$2:$Z$4001,$X28))</f>
        <v/>
      </c>
      <c r="N28" s="23" t="str">
        <f aca="false">IF($X28="","",Settings!$C$7)</f>
        <v/>
      </c>
      <c r="O28" s="22" t="str">
        <f aca="false">IF($X28="","",SUMIFS('Per Line'!$Y$2:$Y$4001,'Per Line'!$D$2:$D$4001,$B28,'Per Line'!$AJ$2:$AJ$4001,0))</f>
        <v/>
      </c>
      <c r="P28" s="22" t="str">
        <f aca="false">IF($X28="","",O28*N28)</f>
        <v/>
      </c>
      <c r="Q28" s="23" t="str">
        <f aca="false">IF($X28="","",Settings!$C$6)</f>
        <v/>
      </c>
      <c r="R28" s="22" t="str">
        <f aca="false">IF($X28="","",SUMIFS('Per Line'!$Y$2:$Y$4001,'Per Line'!$D$2:$D$4001,$B28,'Per Line'!$AJ$2:$AJ$4001,1))</f>
        <v/>
      </c>
      <c r="S28" s="22" t="str">
        <f aca="false">IF($X28="","",R28*Q28)</f>
        <v/>
      </c>
      <c r="T28" s="22" t="str">
        <f aca="false">IF($X28="","",S28+P28)</f>
        <v/>
      </c>
      <c r="U28" s="22" t="str">
        <f aca="false">IF($X28="","",V28-T28)</f>
        <v/>
      </c>
      <c r="V28" s="22" t="str">
        <f aca="false">IF($X28="","",O28+R28)</f>
        <v/>
      </c>
      <c r="W28" s="22" t="str">
        <f aca="false">IF($X28="","",U28-L28)</f>
        <v/>
      </c>
      <c r="X28" s="24" t="str">
        <f aca="false">IF(ROWS($X$2:$X28)&lt;=MAX('Per Line'!$AI$2:$AI$4001),MATCH(ROWS($X$2:$X28),'Per Line'!$AI$2:$AI$4001,0),"")</f>
        <v/>
      </c>
    </row>
    <row r="29" customFormat="false" ht="15" hidden="false" customHeight="false" outlineLevel="0" collapsed="false">
      <c r="A29" s="19"/>
      <c r="B29" s="20" t="str">
        <f aca="false">IF($X29="","",INDEX('Per Line'!$D$2:$D$4001,$X29))</f>
        <v/>
      </c>
      <c r="C29" s="20" t="str">
        <f aca="false">IF($X29="","",INDEX('Per Line'!$C$2:$C$4001,$X29))</f>
        <v/>
      </c>
      <c r="D29" s="20" t="str">
        <f aca="false">IF($X29="","",INDEX('Per Line'!$A$2:$A$4001,$X29))</f>
        <v/>
      </c>
      <c r="E29" s="21" t="str">
        <f aca="false">IF($X29="","",INDEX('Per Line'!$F$2:$F$4001,$X29))</f>
        <v/>
      </c>
      <c r="F29" s="20" t="str">
        <f aca="false">IF($X29="","",INDEX('Per Line'!$G$2:$G$4001,$X29))</f>
        <v/>
      </c>
      <c r="G29" s="20" t="str">
        <f aca="false">IF($X29="","",INDEX('Per Line'!$I$2:$I$4001,$X29))</f>
        <v/>
      </c>
      <c r="H29" s="20" t="str">
        <f aca="false">IF($X29="","",INDEX('Per Line'!$J$2:$J$4001,$X29))</f>
        <v/>
      </c>
      <c r="I29" s="20" t="str">
        <f aca="false">IF($X29="","",INDEX('Per Line'!$K$2:$K$4001,$X29))</f>
        <v/>
      </c>
      <c r="J29" s="20" t="str">
        <f aca="false">IF($X29="","",INDEX('Per Line'!$L$2:$L$4001,$X29))</f>
        <v/>
      </c>
      <c r="K29" s="20" t="str">
        <f aca="false">IF($X29="","",INDEX('Per Line'!$M$2:$M$4001,$X29))</f>
        <v/>
      </c>
      <c r="L29" s="22" t="str">
        <f aca="false">IF($X29="","",K29*V29/100)</f>
        <v/>
      </c>
      <c r="M29" s="20" t="str">
        <f aca="false">IF($X29="","",INDEX('Per Line'!$Z$2:$Z$4001,$X29))</f>
        <v/>
      </c>
      <c r="N29" s="23" t="str">
        <f aca="false">IF($X29="","",Settings!$C$7)</f>
        <v/>
      </c>
      <c r="O29" s="22" t="str">
        <f aca="false">IF($X29="","",SUMIFS('Per Line'!$Y$2:$Y$4001,'Per Line'!$D$2:$D$4001,$B29,'Per Line'!$AJ$2:$AJ$4001,0))</f>
        <v/>
      </c>
      <c r="P29" s="22" t="str">
        <f aca="false">IF($X29="","",O29*N29)</f>
        <v/>
      </c>
      <c r="Q29" s="23" t="str">
        <f aca="false">IF($X29="","",Settings!$C$6)</f>
        <v/>
      </c>
      <c r="R29" s="22" t="str">
        <f aca="false">IF($X29="","",SUMIFS('Per Line'!$Y$2:$Y$4001,'Per Line'!$D$2:$D$4001,$B29,'Per Line'!$AJ$2:$AJ$4001,1))</f>
        <v/>
      </c>
      <c r="S29" s="22" t="str">
        <f aca="false">IF($X29="","",R29*Q29)</f>
        <v/>
      </c>
      <c r="T29" s="22" t="str">
        <f aca="false">IF($X29="","",S29+P29)</f>
        <v/>
      </c>
      <c r="U29" s="22" t="str">
        <f aca="false">IF($X29="","",V29-T29)</f>
        <v/>
      </c>
      <c r="V29" s="22" t="str">
        <f aca="false">IF($X29="","",O29+R29)</f>
        <v/>
      </c>
      <c r="W29" s="22" t="str">
        <f aca="false">IF($X29="","",U29-L29)</f>
        <v/>
      </c>
      <c r="X29" s="24" t="str">
        <f aca="false">IF(ROWS($X$2:$X29)&lt;=MAX('Per Line'!$AI$2:$AI$4001),MATCH(ROWS($X$2:$X29),'Per Line'!$AI$2:$AI$4001,0),"")</f>
        <v/>
      </c>
    </row>
    <row r="30" customFormat="false" ht="15" hidden="false" customHeight="false" outlineLevel="0" collapsed="false">
      <c r="A30" s="19"/>
      <c r="B30" s="20" t="str">
        <f aca="false">IF($X30="","",INDEX('Per Line'!$D$2:$D$4001,$X30))</f>
        <v/>
      </c>
      <c r="C30" s="20" t="str">
        <f aca="false">IF($X30="","",INDEX('Per Line'!$C$2:$C$4001,$X30))</f>
        <v/>
      </c>
      <c r="D30" s="20" t="str">
        <f aca="false">IF($X30="","",INDEX('Per Line'!$A$2:$A$4001,$X30))</f>
        <v/>
      </c>
      <c r="E30" s="21" t="str">
        <f aca="false">IF($X30="","",INDEX('Per Line'!$F$2:$F$4001,$X30))</f>
        <v/>
      </c>
      <c r="F30" s="20" t="str">
        <f aca="false">IF($X30="","",INDEX('Per Line'!$G$2:$G$4001,$X30))</f>
        <v/>
      </c>
      <c r="G30" s="20" t="str">
        <f aca="false">IF($X30="","",INDEX('Per Line'!$I$2:$I$4001,$X30))</f>
        <v/>
      </c>
      <c r="H30" s="20" t="str">
        <f aca="false">IF($X30="","",INDEX('Per Line'!$J$2:$J$4001,$X30))</f>
        <v/>
      </c>
      <c r="I30" s="20" t="str">
        <f aca="false">IF($X30="","",INDEX('Per Line'!$K$2:$K$4001,$X30))</f>
        <v/>
      </c>
      <c r="J30" s="20" t="str">
        <f aca="false">IF($X30="","",INDEX('Per Line'!$L$2:$L$4001,$X30))</f>
        <v/>
      </c>
      <c r="K30" s="20" t="str">
        <f aca="false">IF($X30="","",INDEX('Per Line'!$M$2:$M$4001,$X30))</f>
        <v/>
      </c>
      <c r="L30" s="22" t="str">
        <f aca="false">IF($X30="","",K30*V30/100)</f>
        <v/>
      </c>
      <c r="M30" s="20" t="str">
        <f aca="false">IF($X30="","",INDEX('Per Line'!$Z$2:$Z$4001,$X30))</f>
        <v/>
      </c>
      <c r="N30" s="23" t="str">
        <f aca="false">IF($X30="","",Settings!$C$7)</f>
        <v/>
      </c>
      <c r="O30" s="22" t="str">
        <f aca="false">IF($X30="","",SUMIFS('Per Line'!$Y$2:$Y$4001,'Per Line'!$D$2:$D$4001,$B30,'Per Line'!$AJ$2:$AJ$4001,0))</f>
        <v/>
      </c>
      <c r="P30" s="22" t="str">
        <f aca="false">IF($X30="","",O30*N30)</f>
        <v/>
      </c>
      <c r="Q30" s="23" t="str">
        <f aca="false">IF($X30="","",Settings!$C$6)</f>
        <v/>
      </c>
      <c r="R30" s="22" t="str">
        <f aca="false">IF($X30="","",SUMIFS('Per Line'!$Y$2:$Y$4001,'Per Line'!$D$2:$D$4001,$B30,'Per Line'!$AJ$2:$AJ$4001,1))</f>
        <v/>
      </c>
      <c r="S30" s="22" t="str">
        <f aca="false">IF($X30="","",R30*Q30)</f>
        <v/>
      </c>
      <c r="T30" s="22" t="str">
        <f aca="false">IF($X30="","",S30+P30)</f>
        <v/>
      </c>
      <c r="U30" s="22" t="str">
        <f aca="false">IF($X30="","",V30-T30)</f>
        <v/>
      </c>
      <c r="V30" s="22" t="str">
        <f aca="false">IF($X30="","",O30+R30)</f>
        <v/>
      </c>
      <c r="W30" s="22" t="str">
        <f aca="false">IF($X30="","",U30-L30)</f>
        <v/>
      </c>
      <c r="X30" s="24" t="str">
        <f aca="false">IF(ROWS($X$2:$X30)&lt;=MAX('Per Line'!$AI$2:$AI$4001),MATCH(ROWS($X$2:$X30),'Per Line'!$AI$2:$AI$4001,0),"")</f>
        <v/>
      </c>
    </row>
    <row r="31" customFormat="false" ht="15" hidden="false" customHeight="false" outlineLevel="0" collapsed="false">
      <c r="A31" s="19"/>
      <c r="B31" s="20" t="str">
        <f aca="false">IF($X31="","",INDEX('Per Line'!$D$2:$D$4001,$X31))</f>
        <v/>
      </c>
      <c r="C31" s="20" t="str">
        <f aca="false">IF($X31="","",INDEX('Per Line'!$C$2:$C$4001,$X31))</f>
        <v/>
      </c>
      <c r="D31" s="20" t="str">
        <f aca="false">IF($X31="","",INDEX('Per Line'!$A$2:$A$4001,$X31))</f>
        <v/>
      </c>
      <c r="E31" s="21" t="str">
        <f aca="false">IF($X31="","",INDEX('Per Line'!$F$2:$F$4001,$X31))</f>
        <v/>
      </c>
      <c r="F31" s="20" t="str">
        <f aca="false">IF($X31="","",INDEX('Per Line'!$G$2:$G$4001,$X31))</f>
        <v/>
      </c>
      <c r="G31" s="20" t="str">
        <f aca="false">IF($X31="","",INDEX('Per Line'!$I$2:$I$4001,$X31))</f>
        <v/>
      </c>
      <c r="H31" s="20" t="str">
        <f aca="false">IF($X31="","",INDEX('Per Line'!$J$2:$J$4001,$X31))</f>
        <v/>
      </c>
      <c r="I31" s="20" t="str">
        <f aca="false">IF($X31="","",INDEX('Per Line'!$K$2:$K$4001,$X31))</f>
        <v/>
      </c>
      <c r="J31" s="20" t="str">
        <f aca="false">IF($X31="","",INDEX('Per Line'!$L$2:$L$4001,$X31))</f>
        <v/>
      </c>
      <c r="K31" s="20" t="str">
        <f aca="false">IF($X31="","",INDEX('Per Line'!$M$2:$M$4001,$X31))</f>
        <v/>
      </c>
      <c r="L31" s="22" t="str">
        <f aca="false">IF($X31="","",K31*V31/100)</f>
        <v/>
      </c>
      <c r="M31" s="20" t="str">
        <f aca="false">IF($X31="","",INDEX('Per Line'!$Z$2:$Z$4001,$X31))</f>
        <v/>
      </c>
      <c r="N31" s="23" t="str">
        <f aca="false">IF($X31="","",Settings!$C$7)</f>
        <v/>
      </c>
      <c r="O31" s="22" t="str">
        <f aca="false">IF($X31="","",SUMIFS('Per Line'!$Y$2:$Y$4001,'Per Line'!$D$2:$D$4001,$B31,'Per Line'!$AJ$2:$AJ$4001,0))</f>
        <v/>
      </c>
      <c r="P31" s="22" t="str">
        <f aca="false">IF($X31="","",O31*N31)</f>
        <v/>
      </c>
      <c r="Q31" s="23" t="str">
        <f aca="false">IF($X31="","",Settings!$C$6)</f>
        <v/>
      </c>
      <c r="R31" s="22" t="str">
        <f aca="false">IF($X31="","",SUMIFS('Per Line'!$Y$2:$Y$4001,'Per Line'!$D$2:$D$4001,$B31,'Per Line'!$AJ$2:$AJ$4001,1))</f>
        <v/>
      </c>
      <c r="S31" s="22" t="str">
        <f aca="false">IF($X31="","",R31*Q31)</f>
        <v/>
      </c>
      <c r="T31" s="22" t="str">
        <f aca="false">IF($X31="","",S31+P31)</f>
        <v/>
      </c>
      <c r="U31" s="22" t="str">
        <f aca="false">IF($X31="","",V31-T31)</f>
        <v/>
      </c>
      <c r="V31" s="22" t="str">
        <f aca="false">IF($X31="","",O31+R31)</f>
        <v/>
      </c>
      <c r="W31" s="22" t="str">
        <f aca="false">IF($X31="","",U31-L31)</f>
        <v/>
      </c>
      <c r="X31" s="24" t="str">
        <f aca="false">IF(ROWS($X$2:$X31)&lt;=MAX('Per Line'!$AI$2:$AI$4001),MATCH(ROWS($X$2:$X31),'Per Line'!$AI$2:$AI$4001,0),"")</f>
        <v/>
      </c>
    </row>
    <row r="32" customFormat="false" ht="15" hidden="false" customHeight="false" outlineLevel="0" collapsed="false">
      <c r="A32" s="19"/>
      <c r="B32" s="20" t="str">
        <f aca="false">IF($X32="","",INDEX('Per Line'!$D$2:$D$4001,$X32))</f>
        <v/>
      </c>
      <c r="C32" s="20" t="str">
        <f aca="false">IF($X32="","",INDEX('Per Line'!$C$2:$C$4001,$X32))</f>
        <v/>
      </c>
      <c r="D32" s="20" t="str">
        <f aca="false">IF($X32="","",INDEX('Per Line'!$A$2:$A$4001,$X32))</f>
        <v/>
      </c>
      <c r="E32" s="21" t="str">
        <f aca="false">IF($X32="","",INDEX('Per Line'!$F$2:$F$4001,$X32))</f>
        <v/>
      </c>
      <c r="F32" s="20" t="str">
        <f aca="false">IF($X32="","",INDEX('Per Line'!$G$2:$G$4001,$X32))</f>
        <v/>
      </c>
      <c r="G32" s="20" t="str">
        <f aca="false">IF($X32="","",INDEX('Per Line'!$I$2:$I$4001,$X32))</f>
        <v/>
      </c>
      <c r="H32" s="20" t="str">
        <f aca="false">IF($X32="","",INDEX('Per Line'!$J$2:$J$4001,$X32))</f>
        <v/>
      </c>
      <c r="I32" s="20" t="str">
        <f aca="false">IF($X32="","",INDEX('Per Line'!$K$2:$K$4001,$X32))</f>
        <v/>
      </c>
      <c r="J32" s="20" t="str">
        <f aca="false">IF($X32="","",INDEX('Per Line'!$L$2:$L$4001,$X32))</f>
        <v/>
      </c>
      <c r="K32" s="20" t="str">
        <f aca="false">IF($X32="","",INDEX('Per Line'!$M$2:$M$4001,$X32))</f>
        <v/>
      </c>
      <c r="L32" s="22" t="str">
        <f aca="false">IF($X32="","",K32*V32/100)</f>
        <v/>
      </c>
      <c r="M32" s="20" t="str">
        <f aca="false">IF($X32="","",INDEX('Per Line'!$Z$2:$Z$4001,$X32))</f>
        <v/>
      </c>
      <c r="N32" s="23" t="str">
        <f aca="false">IF($X32="","",Settings!$C$7)</f>
        <v/>
      </c>
      <c r="O32" s="22" t="str">
        <f aca="false">IF($X32="","",SUMIFS('Per Line'!$Y$2:$Y$4001,'Per Line'!$D$2:$D$4001,$B32,'Per Line'!$AJ$2:$AJ$4001,0))</f>
        <v/>
      </c>
      <c r="P32" s="22" t="str">
        <f aca="false">IF($X32="","",O32*N32)</f>
        <v/>
      </c>
      <c r="Q32" s="23" t="str">
        <f aca="false">IF($X32="","",Settings!$C$6)</f>
        <v/>
      </c>
      <c r="R32" s="22" t="str">
        <f aca="false">IF($X32="","",SUMIFS('Per Line'!$Y$2:$Y$4001,'Per Line'!$D$2:$D$4001,$B32,'Per Line'!$AJ$2:$AJ$4001,1))</f>
        <v/>
      </c>
      <c r="S32" s="22" t="str">
        <f aca="false">IF($X32="","",R32*Q32)</f>
        <v/>
      </c>
      <c r="T32" s="22" t="str">
        <f aca="false">IF($X32="","",S32+P32)</f>
        <v/>
      </c>
      <c r="U32" s="22" t="str">
        <f aca="false">IF($X32="","",V32-T32)</f>
        <v/>
      </c>
      <c r="V32" s="22" t="str">
        <f aca="false">IF($X32="","",O32+R32)</f>
        <v/>
      </c>
      <c r="W32" s="22" t="str">
        <f aca="false">IF($X32="","",U32-L32)</f>
        <v/>
      </c>
      <c r="X32" s="24" t="str">
        <f aca="false">IF(ROWS($X$2:$X32)&lt;=MAX('Per Line'!$AI$2:$AI$4001),MATCH(ROWS($X$2:$X32),'Per Line'!$AI$2:$AI$4001,0),"")</f>
        <v/>
      </c>
    </row>
    <row r="33" customFormat="false" ht="15" hidden="false" customHeight="false" outlineLevel="0" collapsed="false">
      <c r="A33" s="19"/>
      <c r="B33" s="20" t="str">
        <f aca="false">IF($X33="","",INDEX('Per Line'!$D$2:$D$4001,$X33))</f>
        <v/>
      </c>
      <c r="C33" s="20" t="str">
        <f aca="false">IF($X33="","",INDEX('Per Line'!$C$2:$C$4001,$X33))</f>
        <v/>
      </c>
      <c r="D33" s="20" t="str">
        <f aca="false">IF($X33="","",INDEX('Per Line'!$A$2:$A$4001,$X33))</f>
        <v/>
      </c>
      <c r="E33" s="21" t="str">
        <f aca="false">IF($X33="","",INDEX('Per Line'!$F$2:$F$4001,$X33))</f>
        <v/>
      </c>
      <c r="F33" s="20" t="str">
        <f aca="false">IF($X33="","",INDEX('Per Line'!$G$2:$G$4001,$X33))</f>
        <v/>
      </c>
      <c r="G33" s="20" t="str">
        <f aca="false">IF($X33="","",INDEX('Per Line'!$I$2:$I$4001,$X33))</f>
        <v/>
      </c>
      <c r="H33" s="20" t="str">
        <f aca="false">IF($X33="","",INDEX('Per Line'!$J$2:$J$4001,$X33))</f>
        <v/>
      </c>
      <c r="I33" s="20" t="str">
        <f aca="false">IF($X33="","",INDEX('Per Line'!$K$2:$K$4001,$X33))</f>
        <v/>
      </c>
      <c r="J33" s="20" t="str">
        <f aca="false">IF($X33="","",INDEX('Per Line'!$L$2:$L$4001,$X33))</f>
        <v/>
      </c>
      <c r="K33" s="20" t="str">
        <f aca="false">IF($X33="","",INDEX('Per Line'!$M$2:$M$4001,$X33))</f>
        <v/>
      </c>
      <c r="L33" s="22" t="str">
        <f aca="false">IF($X33="","",K33*V33/100)</f>
        <v/>
      </c>
      <c r="M33" s="20" t="str">
        <f aca="false">IF($X33="","",INDEX('Per Line'!$Z$2:$Z$4001,$X33))</f>
        <v/>
      </c>
      <c r="N33" s="23" t="str">
        <f aca="false">IF($X33="","",Settings!$C$7)</f>
        <v/>
      </c>
      <c r="O33" s="22" t="str">
        <f aca="false">IF($X33="","",SUMIFS('Per Line'!$Y$2:$Y$4001,'Per Line'!$D$2:$D$4001,$B33,'Per Line'!$AJ$2:$AJ$4001,0))</f>
        <v/>
      </c>
      <c r="P33" s="22" t="str">
        <f aca="false">IF($X33="","",O33*N33)</f>
        <v/>
      </c>
      <c r="Q33" s="23" t="str">
        <f aca="false">IF($X33="","",Settings!$C$6)</f>
        <v/>
      </c>
      <c r="R33" s="22" t="str">
        <f aca="false">IF($X33="","",SUMIFS('Per Line'!$Y$2:$Y$4001,'Per Line'!$D$2:$D$4001,$B33,'Per Line'!$AJ$2:$AJ$4001,1))</f>
        <v/>
      </c>
      <c r="S33" s="22" t="str">
        <f aca="false">IF($X33="","",R33*Q33)</f>
        <v/>
      </c>
      <c r="T33" s="22" t="str">
        <f aca="false">IF($X33="","",S33+P33)</f>
        <v/>
      </c>
      <c r="U33" s="22" t="str">
        <f aca="false">IF($X33="","",V33-T33)</f>
        <v/>
      </c>
      <c r="V33" s="22" t="str">
        <f aca="false">IF($X33="","",O33+R33)</f>
        <v/>
      </c>
      <c r="W33" s="22" t="str">
        <f aca="false">IF($X33="","",U33-L33)</f>
        <v/>
      </c>
      <c r="X33" s="24" t="str">
        <f aca="false">IF(ROWS($X$2:$X33)&lt;=MAX('Per Line'!$AI$2:$AI$4001),MATCH(ROWS($X$2:$X33),'Per Line'!$AI$2:$AI$4001,0),"")</f>
        <v/>
      </c>
    </row>
    <row r="34" customFormat="false" ht="15" hidden="false" customHeight="false" outlineLevel="0" collapsed="false">
      <c r="A34" s="19"/>
      <c r="B34" s="20" t="str">
        <f aca="false">IF($X34="","",INDEX('Per Line'!$D$2:$D$4001,$X34))</f>
        <v/>
      </c>
      <c r="C34" s="20" t="str">
        <f aca="false">IF($X34="","",INDEX('Per Line'!$C$2:$C$4001,$X34))</f>
        <v/>
      </c>
      <c r="D34" s="20" t="str">
        <f aca="false">IF($X34="","",INDEX('Per Line'!$A$2:$A$4001,$X34))</f>
        <v/>
      </c>
      <c r="E34" s="21" t="str">
        <f aca="false">IF($X34="","",INDEX('Per Line'!$F$2:$F$4001,$X34))</f>
        <v/>
      </c>
      <c r="F34" s="20" t="str">
        <f aca="false">IF($X34="","",INDEX('Per Line'!$G$2:$G$4001,$X34))</f>
        <v/>
      </c>
      <c r="G34" s="20" t="str">
        <f aca="false">IF($X34="","",INDEX('Per Line'!$I$2:$I$4001,$X34))</f>
        <v/>
      </c>
      <c r="H34" s="20" t="str">
        <f aca="false">IF($X34="","",INDEX('Per Line'!$J$2:$J$4001,$X34))</f>
        <v/>
      </c>
      <c r="I34" s="20" t="str">
        <f aca="false">IF($X34="","",INDEX('Per Line'!$K$2:$K$4001,$X34))</f>
        <v/>
      </c>
      <c r="J34" s="20" t="str">
        <f aca="false">IF($X34="","",INDEX('Per Line'!$L$2:$L$4001,$X34))</f>
        <v/>
      </c>
      <c r="K34" s="20" t="str">
        <f aca="false">IF($X34="","",INDEX('Per Line'!$M$2:$M$4001,$X34))</f>
        <v/>
      </c>
      <c r="L34" s="22" t="str">
        <f aca="false">IF($X34="","",K34*V34/100)</f>
        <v/>
      </c>
      <c r="M34" s="20" t="str">
        <f aca="false">IF($X34="","",INDEX('Per Line'!$Z$2:$Z$4001,$X34))</f>
        <v/>
      </c>
      <c r="N34" s="23" t="str">
        <f aca="false">IF($X34="","",Settings!$C$7)</f>
        <v/>
      </c>
      <c r="O34" s="22" t="str">
        <f aca="false">IF($X34="","",SUMIFS('Per Line'!$Y$2:$Y$4001,'Per Line'!$D$2:$D$4001,$B34,'Per Line'!$AJ$2:$AJ$4001,0))</f>
        <v/>
      </c>
      <c r="P34" s="22" t="str">
        <f aca="false">IF($X34="","",O34*N34)</f>
        <v/>
      </c>
      <c r="Q34" s="23" t="str">
        <f aca="false">IF($X34="","",Settings!$C$6)</f>
        <v/>
      </c>
      <c r="R34" s="22" t="str">
        <f aca="false">IF($X34="","",SUMIFS('Per Line'!$Y$2:$Y$4001,'Per Line'!$D$2:$D$4001,$B34,'Per Line'!$AJ$2:$AJ$4001,1))</f>
        <v/>
      </c>
      <c r="S34" s="22" t="str">
        <f aca="false">IF($X34="","",R34*Q34)</f>
        <v/>
      </c>
      <c r="T34" s="22" t="str">
        <f aca="false">IF($X34="","",S34+P34)</f>
        <v/>
      </c>
      <c r="U34" s="22" t="str">
        <f aca="false">IF($X34="","",V34-T34)</f>
        <v/>
      </c>
      <c r="V34" s="22" t="str">
        <f aca="false">IF($X34="","",O34+R34)</f>
        <v/>
      </c>
      <c r="W34" s="22" t="str">
        <f aca="false">IF($X34="","",U34-L34)</f>
        <v/>
      </c>
      <c r="X34" s="24" t="str">
        <f aca="false">IF(ROWS($X$2:$X34)&lt;=MAX('Per Line'!$AI$2:$AI$4001),MATCH(ROWS($X$2:$X34),'Per Line'!$AI$2:$AI$4001,0),"")</f>
        <v/>
      </c>
    </row>
    <row r="35" customFormat="false" ht="15" hidden="false" customHeight="false" outlineLevel="0" collapsed="false">
      <c r="A35" s="19"/>
      <c r="B35" s="20" t="str">
        <f aca="false">IF($X35="","",INDEX('Per Line'!$D$2:$D$4001,$X35))</f>
        <v/>
      </c>
      <c r="C35" s="20" t="str">
        <f aca="false">IF($X35="","",INDEX('Per Line'!$C$2:$C$4001,$X35))</f>
        <v/>
      </c>
      <c r="D35" s="20" t="str">
        <f aca="false">IF($X35="","",INDEX('Per Line'!$A$2:$A$4001,$X35))</f>
        <v/>
      </c>
      <c r="E35" s="21" t="str">
        <f aca="false">IF($X35="","",INDEX('Per Line'!$F$2:$F$4001,$X35))</f>
        <v/>
      </c>
      <c r="F35" s="20" t="str">
        <f aca="false">IF($X35="","",INDEX('Per Line'!$G$2:$G$4001,$X35))</f>
        <v/>
      </c>
      <c r="G35" s="20" t="str">
        <f aca="false">IF($X35="","",INDEX('Per Line'!$I$2:$I$4001,$X35))</f>
        <v/>
      </c>
      <c r="H35" s="20" t="str">
        <f aca="false">IF($X35="","",INDEX('Per Line'!$J$2:$J$4001,$X35))</f>
        <v/>
      </c>
      <c r="I35" s="20" t="str">
        <f aca="false">IF($X35="","",INDEX('Per Line'!$K$2:$K$4001,$X35))</f>
        <v/>
      </c>
      <c r="J35" s="20" t="str">
        <f aca="false">IF($X35="","",INDEX('Per Line'!$L$2:$L$4001,$X35))</f>
        <v/>
      </c>
      <c r="K35" s="20" t="str">
        <f aca="false">IF($X35="","",INDEX('Per Line'!$M$2:$M$4001,$X35))</f>
        <v/>
      </c>
      <c r="L35" s="22" t="str">
        <f aca="false">IF($X35="","",K35*V35/100)</f>
        <v/>
      </c>
      <c r="M35" s="20" t="str">
        <f aca="false">IF($X35="","",INDEX('Per Line'!$Z$2:$Z$4001,$X35))</f>
        <v/>
      </c>
      <c r="N35" s="23" t="str">
        <f aca="false">IF($X35="","",Settings!$C$7)</f>
        <v/>
      </c>
      <c r="O35" s="22" t="str">
        <f aca="false">IF($X35="","",SUMIFS('Per Line'!$Y$2:$Y$4001,'Per Line'!$D$2:$D$4001,$B35,'Per Line'!$AJ$2:$AJ$4001,0))</f>
        <v/>
      </c>
      <c r="P35" s="22" t="str">
        <f aca="false">IF($X35="","",O35*N35)</f>
        <v/>
      </c>
      <c r="Q35" s="23" t="str">
        <f aca="false">IF($X35="","",Settings!$C$6)</f>
        <v/>
      </c>
      <c r="R35" s="22" t="str">
        <f aca="false">IF($X35="","",SUMIFS('Per Line'!$Y$2:$Y$4001,'Per Line'!$D$2:$D$4001,$B35,'Per Line'!$AJ$2:$AJ$4001,1))</f>
        <v/>
      </c>
      <c r="S35" s="22" t="str">
        <f aca="false">IF($X35="","",R35*Q35)</f>
        <v/>
      </c>
      <c r="T35" s="22" t="str">
        <f aca="false">IF($X35="","",S35+P35)</f>
        <v/>
      </c>
      <c r="U35" s="22" t="str">
        <f aca="false">IF($X35="","",V35-T35)</f>
        <v/>
      </c>
      <c r="V35" s="22" t="str">
        <f aca="false">IF($X35="","",O35+R35)</f>
        <v/>
      </c>
      <c r="W35" s="22" t="str">
        <f aca="false">IF($X35="","",U35-L35)</f>
        <v/>
      </c>
      <c r="X35" s="24" t="str">
        <f aca="false">IF(ROWS($X$2:$X35)&lt;=MAX('Per Line'!$AI$2:$AI$4001),MATCH(ROWS($X$2:$X35),'Per Line'!$AI$2:$AI$4001,0),"")</f>
        <v/>
      </c>
    </row>
    <row r="36" customFormat="false" ht="15" hidden="false" customHeight="false" outlineLevel="0" collapsed="false">
      <c r="A36" s="19"/>
      <c r="B36" s="20" t="str">
        <f aca="false">IF($X36="","",INDEX('Per Line'!$D$2:$D$4001,$X36))</f>
        <v/>
      </c>
      <c r="C36" s="20" t="str">
        <f aca="false">IF($X36="","",INDEX('Per Line'!$C$2:$C$4001,$X36))</f>
        <v/>
      </c>
      <c r="D36" s="20" t="str">
        <f aca="false">IF($X36="","",INDEX('Per Line'!$A$2:$A$4001,$X36))</f>
        <v/>
      </c>
      <c r="E36" s="21" t="str">
        <f aca="false">IF($X36="","",INDEX('Per Line'!$F$2:$F$4001,$X36))</f>
        <v/>
      </c>
      <c r="F36" s="20" t="str">
        <f aca="false">IF($X36="","",INDEX('Per Line'!$G$2:$G$4001,$X36))</f>
        <v/>
      </c>
      <c r="G36" s="20" t="str">
        <f aca="false">IF($X36="","",INDEX('Per Line'!$I$2:$I$4001,$X36))</f>
        <v/>
      </c>
      <c r="H36" s="20" t="str">
        <f aca="false">IF($X36="","",INDEX('Per Line'!$J$2:$J$4001,$X36))</f>
        <v/>
      </c>
      <c r="I36" s="20" t="str">
        <f aca="false">IF($X36="","",INDEX('Per Line'!$K$2:$K$4001,$X36))</f>
        <v/>
      </c>
      <c r="J36" s="20" t="str">
        <f aca="false">IF($X36="","",INDEX('Per Line'!$L$2:$L$4001,$X36))</f>
        <v/>
      </c>
      <c r="K36" s="20" t="str">
        <f aca="false">IF($X36="","",INDEX('Per Line'!$M$2:$M$4001,$X36))</f>
        <v/>
      </c>
      <c r="L36" s="22" t="str">
        <f aca="false">IF($X36="","",K36*V36/100)</f>
        <v/>
      </c>
      <c r="M36" s="20" t="str">
        <f aca="false">IF($X36="","",INDEX('Per Line'!$Z$2:$Z$4001,$X36))</f>
        <v/>
      </c>
      <c r="N36" s="23" t="str">
        <f aca="false">IF($X36="","",Settings!$C$7)</f>
        <v/>
      </c>
      <c r="O36" s="22" t="str">
        <f aca="false">IF($X36="","",SUMIFS('Per Line'!$Y$2:$Y$4001,'Per Line'!$D$2:$D$4001,$B36,'Per Line'!$AJ$2:$AJ$4001,0))</f>
        <v/>
      </c>
      <c r="P36" s="22" t="str">
        <f aca="false">IF($X36="","",O36*N36)</f>
        <v/>
      </c>
      <c r="Q36" s="23" t="str">
        <f aca="false">IF($X36="","",Settings!$C$6)</f>
        <v/>
      </c>
      <c r="R36" s="22" t="str">
        <f aca="false">IF($X36="","",SUMIFS('Per Line'!$Y$2:$Y$4001,'Per Line'!$D$2:$D$4001,$B36,'Per Line'!$AJ$2:$AJ$4001,1))</f>
        <v/>
      </c>
      <c r="S36" s="22" t="str">
        <f aca="false">IF($X36="","",R36*Q36)</f>
        <v/>
      </c>
      <c r="T36" s="22" t="str">
        <f aca="false">IF($X36="","",S36+P36)</f>
        <v/>
      </c>
      <c r="U36" s="22" t="str">
        <f aca="false">IF($X36="","",V36-T36)</f>
        <v/>
      </c>
      <c r="V36" s="22" t="str">
        <f aca="false">IF($X36="","",O36+R36)</f>
        <v/>
      </c>
      <c r="W36" s="22" t="str">
        <f aca="false">IF($X36="","",U36-L36)</f>
        <v/>
      </c>
      <c r="X36" s="24" t="str">
        <f aca="false">IF(ROWS($X$2:$X36)&lt;=MAX('Per Line'!$AI$2:$AI$4001),MATCH(ROWS($X$2:$X36),'Per Line'!$AI$2:$AI$4001,0),"")</f>
        <v/>
      </c>
    </row>
    <row r="37" customFormat="false" ht="15" hidden="false" customHeight="false" outlineLevel="0" collapsed="false">
      <c r="A37" s="19"/>
      <c r="B37" s="20" t="str">
        <f aca="false">IF($X37="","",INDEX('Per Line'!$D$2:$D$4001,$X37))</f>
        <v/>
      </c>
      <c r="C37" s="20" t="str">
        <f aca="false">IF($X37="","",INDEX('Per Line'!$C$2:$C$4001,$X37))</f>
        <v/>
      </c>
      <c r="D37" s="20" t="str">
        <f aca="false">IF($X37="","",INDEX('Per Line'!$A$2:$A$4001,$X37))</f>
        <v/>
      </c>
      <c r="E37" s="21" t="str">
        <f aca="false">IF($X37="","",INDEX('Per Line'!$F$2:$F$4001,$X37))</f>
        <v/>
      </c>
      <c r="F37" s="20" t="str">
        <f aca="false">IF($X37="","",INDEX('Per Line'!$G$2:$G$4001,$X37))</f>
        <v/>
      </c>
      <c r="G37" s="20" t="str">
        <f aca="false">IF($X37="","",INDEX('Per Line'!$I$2:$I$4001,$X37))</f>
        <v/>
      </c>
      <c r="H37" s="20" t="str">
        <f aca="false">IF($X37="","",INDEX('Per Line'!$J$2:$J$4001,$X37))</f>
        <v/>
      </c>
      <c r="I37" s="20" t="str">
        <f aca="false">IF($X37="","",INDEX('Per Line'!$K$2:$K$4001,$X37))</f>
        <v/>
      </c>
      <c r="J37" s="20" t="str">
        <f aca="false">IF($X37="","",INDEX('Per Line'!$L$2:$L$4001,$X37))</f>
        <v/>
      </c>
      <c r="K37" s="20" t="str">
        <f aca="false">IF($X37="","",INDEX('Per Line'!$M$2:$M$4001,$X37))</f>
        <v/>
      </c>
      <c r="L37" s="22" t="str">
        <f aca="false">IF($X37="","",K37*V37/100)</f>
        <v/>
      </c>
      <c r="M37" s="20" t="str">
        <f aca="false">IF($X37="","",INDEX('Per Line'!$Z$2:$Z$4001,$X37))</f>
        <v/>
      </c>
      <c r="N37" s="23" t="str">
        <f aca="false">IF($X37="","",Settings!$C$7)</f>
        <v/>
      </c>
      <c r="O37" s="22" t="str">
        <f aca="false">IF($X37="","",SUMIFS('Per Line'!$Y$2:$Y$4001,'Per Line'!$D$2:$D$4001,$B37,'Per Line'!$AJ$2:$AJ$4001,0))</f>
        <v/>
      </c>
      <c r="P37" s="22" t="str">
        <f aca="false">IF($X37="","",O37*N37)</f>
        <v/>
      </c>
      <c r="Q37" s="23" t="str">
        <f aca="false">IF($X37="","",Settings!$C$6)</f>
        <v/>
      </c>
      <c r="R37" s="22" t="str">
        <f aca="false">IF($X37="","",SUMIFS('Per Line'!$Y$2:$Y$4001,'Per Line'!$D$2:$D$4001,$B37,'Per Line'!$AJ$2:$AJ$4001,1))</f>
        <v/>
      </c>
      <c r="S37" s="22" t="str">
        <f aca="false">IF($X37="","",R37*Q37)</f>
        <v/>
      </c>
      <c r="T37" s="22" t="str">
        <f aca="false">IF($X37="","",S37+P37)</f>
        <v/>
      </c>
      <c r="U37" s="22" t="str">
        <f aca="false">IF($X37="","",V37-T37)</f>
        <v/>
      </c>
      <c r="V37" s="22" t="str">
        <f aca="false">IF($X37="","",O37+R37)</f>
        <v/>
      </c>
      <c r="W37" s="22" t="str">
        <f aca="false">IF($X37="","",U37-L37)</f>
        <v/>
      </c>
      <c r="X37" s="24" t="str">
        <f aca="false">IF(ROWS($X$2:$X37)&lt;=MAX('Per Line'!$AI$2:$AI$4001),MATCH(ROWS($X$2:$X37),'Per Line'!$AI$2:$AI$4001,0),"")</f>
        <v/>
      </c>
    </row>
    <row r="38" customFormat="false" ht="15" hidden="false" customHeight="false" outlineLevel="0" collapsed="false">
      <c r="A38" s="19"/>
      <c r="B38" s="20" t="str">
        <f aca="false">IF($X38="","",INDEX('Per Line'!$D$2:$D$4001,$X38))</f>
        <v/>
      </c>
      <c r="C38" s="20" t="str">
        <f aca="false">IF($X38="","",INDEX('Per Line'!$C$2:$C$4001,$X38))</f>
        <v/>
      </c>
      <c r="D38" s="20" t="str">
        <f aca="false">IF($X38="","",INDEX('Per Line'!$A$2:$A$4001,$X38))</f>
        <v/>
      </c>
      <c r="E38" s="21" t="str">
        <f aca="false">IF($X38="","",INDEX('Per Line'!$F$2:$F$4001,$X38))</f>
        <v/>
      </c>
      <c r="F38" s="20" t="str">
        <f aca="false">IF($X38="","",INDEX('Per Line'!$G$2:$G$4001,$X38))</f>
        <v/>
      </c>
      <c r="G38" s="20" t="str">
        <f aca="false">IF($X38="","",INDEX('Per Line'!$I$2:$I$4001,$X38))</f>
        <v/>
      </c>
      <c r="H38" s="20" t="str">
        <f aca="false">IF($X38="","",INDEX('Per Line'!$J$2:$J$4001,$X38))</f>
        <v/>
      </c>
      <c r="I38" s="20" t="str">
        <f aca="false">IF($X38="","",INDEX('Per Line'!$K$2:$K$4001,$X38))</f>
        <v/>
      </c>
      <c r="J38" s="20" t="str">
        <f aca="false">IF($X38="","",INDEX('Per Line'!$L$2:$L$4001,$X38))</f>
        <v/>
      </c>
      <c r="K38" s="20" t="str">
        <f aca="false">IF($X38="","",INDEX('Per Line'!$M$2:$M$4001,$X38))</f>
        <v/>
      </c>
      <c r="L38" s="22" t="str">
        <f aca="false">IF($X38="","",K38*V38/100)</f>
        <v/>
      </c>
      <c r="M38" s="20" t="str">
        <f aca="false">IF($X38="","",INDEX('Per Line'!$Z$2:$Z$4001,$X38))</f>
        <v/>
      </c>
      <c r="N38" s="23" t="str">
        <f aca="false">IF($X38="","",Settings!$C$7)</f>
        <v/>
      </c>
      <c r="O38" s="22" t="str">
        <f aca="false">IF($X38="","",SUMIFS('Per Line'!$Y$2:$Y$4001,'Per Line'!$D$2:$D$4001,$B38,'Per Line'!$AJ$2:$AJ$4001,0))</f>
        <v/>
      </c>
      <c r="P38" s="22" t="str">
        <f aca="false">IF($X38="","",O38*N38)</f>
        <v/>
      </c>
      <c r="Q38" s="23" t="str">
        <f aca="false">IF($X38="","",Settings!$C$6)</f>
        <v/>
      </c>
      <c r="R38" s="22" t="str">
        <f aca="false">IF($X38="","",SUMIFS('Per Line'!$Y$2:$Y$4001,'Per Line'!$D$2:$D$4001,$B38,'Per Line'!$AJ$2:$AJ$4001,1))</f>
        <v/>
      </c>
      <c r="S38" s="22" t="str">
        <f aca="false">IF($X38="","",R38*Q38)</f>
        <v/>
      </c>
      <c r="T38" s="22" t="str">
        <f aca="false">IF($X38="","",S38+P38)</f>
        <v/>
      </c>
      <c r="U38" s="22" t="str">
        <f aca="false">IF($X38="","",V38-T38)</f>
        <v/>
      </c>
      <c r="V38" s="22" t="str">
        <f aca="false">IF($X38="","",O38+R38)</f>
        <v/>
      </c>
      <c r="W38" s="22" t="str">
        <f aca="false">IF($X38="","",U38-L38)</f>
        <v/>
      </c>
      <c r="X38" s="24" t="str">
        <f aca="false">IF(ROWS($X$2:$X38)&lt;=MAX('Per Line'!$AI$2:$AI$4001),MATCH(ROWS($X$2:$X38),'Per Line'!$AI$2:$AI$4001,0),"")</f>
        <v/>
      </c>
    </row>
    <row r="39" customFormat="false" ht="15" hidden="false" customHeight="false" outlineLevel="0" collapsed="false">
      <c r="A39" s="19"/>
      <c r="B39" s="20" t="str">
        <f aca="false">IF($X39="","",INDEX('Per Line'!$D$2:$D$4001,$X39))</f>
        <v/>
      </c>
      <c r="C39" s="20" t="str">
        <f aca="false">IF($X39="","",INDEX('Per Line'!$C$2:$C$4001,$X39))</f>
        <v/>
      </c>
      <c r="D39" s="20" t="str">
        <f aca="false">IF($X39="","",INDEX('Per Line'!$A$2:$A$4001,$X39))</f>
        <v/>
      </c>
      <c r="E39" s="21" t="str">
        <f aca="false">IF($X39="","",INDEX('Per Line'!$F$2:$F$4001,$X39))</f>
        <v/>
      </c>
      <c r="F39" s="20" t="str">
        <f aca="false">IF($X39="","",INDEX('Per Line'!$G$2:$G$4001,$X39))</f>
        <v/>
      </c>
      <c r="G39" s="20" t="str">
        <f aca="false">IF($X39="","",INDEX('Per Line'!$I$2:$I$4001,$X39))</f>
        <v/>
      </c>
      <c r="H39" s="20" t="str">
        <f aca="false">IF($X39="","",INDEX('Per Line'!$J$2:$J$4001,$X39))</f>
        <v/>
      </c>
      <c r="I39" s="20" t="str">
        <f aca="false">IF($X39="","",INDEX('Per Line'!$K$2:$K$4001,$X39))</f>
        <v/>
      </c>
      <c r="J39" s="20" t="str">
        <f aca="false">IF($X39="","",INDEX('Per Line'!$L$2:$L$4001,$X39))</f>
        <v/>
      </c>
      <c r="K39" s="20" t="str">
        <f aca="false">IF($X39="","",INDEX('Per Line'!$M$2:$M$4001,$X39))</f>
        <v/>
      </c>
      <c r="L39" s="22" t="str">
        <f aca="false">IF($X39="","",K39*V39/100)</f>
        <v/>
      </c>
      <c r="M39" s="20" t="str">
        <f aca="false">IF($X39="","",INDEX('Per Line'!$Z$2:$Z$4001,$X39))</f>
        <v/>
      </c>
      <c r="N39" s="23" t="str">
        <f aca="false">IF($X39="","",Settings!$C$7)</f>
        <v/>
      </c>
      <c r="O39" s="22" t="str">
        <f aca="false">IF($X39="","",SUMIFS('Per Line'!$Y$2:$Y$4001,'Per Line'!$D$2:$D$4001,$B39,'Per Line'!$AJ$2:$AJ$4001,0))</f>
        <v/>
      </c>
      <c r="P39" s="22" t="str">
        <f aca="false">IF($X39="","",O39*N39)</f>
        <v/>
      </c>
      <c r="Q39" s="23" t="str">
        <f aca="false">IF($X39="","",Settings!$C$6)</f>
        <v/>
      </c>
      <c r="R39" s="22" t="str">
        <f aca="false">IF($X39="","",SUMIFS('Per Line'!$Y$2:$Y$4001,'Per Line'!$D$2:$D$4001,$B39,'Per Line'!$AJ$2:$AJ$4001,1))</f>
        <v/>
      </c>
      <c r="S39" s="22" t="str">
        <f aca="false">IF($X39="","",R39*Q39)</f>
        <v/>
      </c>
      <c r="T39" s="22" t="str">
        <f aca="false">IF($X39="","",S39+P39)</f>
        <v/>
      </c>
      <c r="U39" s="22" t="str">
        <f aca="false">IF($X39="","",V39-T39)</f>
        <v/>
      </c>
      <c r="V39" s="22" t="str">
        <f aca="false">IF($X39="","",O39+R39)</f>
        <v/>
      </c>
      <c r="W39" s="22" t="str">
        <f aca="false">IF($X39="","",U39-L39)</f>
        <v/>
      </c>
      <c r="X39" s="24" t="str">
        <f aca="false">IF(ROWS($X$2:$X39)&lt;=MAX('Per Line'!$AI$2:$AI$4001),MATCH(ROWS($X$2:$X39),'Per Line'!$AI$2:$AI$4001,0),"")</f>
        <v/>
      </c>
    </row>
    <row r="40" customFormat="false" ht="15" hidden="false" customHeight="false" outlineLevel="0" collapsed="false">
      <c r="A40" s="19"/>
      <c r="B40" s="20" t="str">
        <f aca="false">IF($X40="","",INDEX('Per Line'!$D$2:$D$4001,$X40))</f>
        <v/>
      </c>
      <c r="C40" s="20" t="str">
        <f aca="false">IF($X40="","",INDEX('Per Line'!$C$2:$C$4001,$X40))</f>
        <v/>
      </c>
      <c r="D40" s="20" t="str">
        <f aca="false">IF($X40="","",INDEX('Per Line'!$A$2:$A$4001,$X40))</f>
        <v/>
      </c>
      <c r="E40" s="21" t="str">
        <f aca="false">IF($X40="","",INDEX('Per Line'!$F$2:$F$4001,$X40))</f>
        <v/>
      </c>
      <c r="F40" s="20" t="str">
        <f aca="false">IF($X40="","",INDEX('Per Line'!$G$2:$G$4001,$X40))</f>
        <v/>
      </c>
      <c r="G40" s="20" t="str">
        <f aca="false">IF($X40="","",INDEX('Per Line'!$I$2:$I$4001,$X40))</f>
        <v/>
      </c>
      <c r="H40" s="20" t="str">
        <f aca="false">IF($X40="","",INDEX('Per Line'!$J$2:$J$4001,$X40))</f>
        <v/>
      </c>
      <c r="I40" s="20" t="str">
        <f aca="false">IF($X40="","",INDEX('Per Line'!$K$2:$K$4001,$X40))</f>
        <v/>
      </c>
      <c r="J40" s="20" t="str">
        <f aca="false">IF($X40="","",INDEX('Per Line'!$L$2:$L$4001,$X40))</f>
        <v/>
      </c>
      <c r="K40" s="20" t="str">
        <f aca="false">IF($X40="","",INDEX('Per Line'!$M$2:$M$4001,$X40))</f>
        <v/>
      </c>
      <c r="L40" s="22" t="str">
        <f aca="false">IF($X40="","",K40*V40/100)</f>
        <v/>
      </c>
      <c r="M40" s="20" t="str">
        <f aca="false">IF($X40="","",INDEX('Per Line'!$Z$2:$Z$4001,$X40))</f>
        <v/>
      </c>
      <c r="N40" s="23" t="str">
        <f aca="false">IF($X40="","",Settings!$C$7)</f>
        <v/>
      </c>
      <c r="O40" s="22" t="str">
        <f aca="false">IF($X40="","",SUMIFS('Per Line'!$Y$2:$Y$4001,'Per Line'!$D$2:$D$4001,$B40,'Per Line'!$AJ$2:$AJ$4001,0))</f>
        <v/>
      </c>
      <c r="P40" s="22" t="str">
        <f aca="false">IF($X40="","",O40*N40)</f>
        <v/>
      </c>
      <c r="Q40" s="23" t="str">
        <f aca="false">IF($X40="","",Settings!$C$6)</f>
        <v/>
      </c>
      <c r="R40" s="22" t="str">
        <f aca="false">IF($X40="","",SUMIFS('Per Line'!$Y$2:$Y$4001,'Per Line'!$D$2:$D$4001,$B40,'Per Line'!$AJ$2:$AJ$4001,1))</f>
        <v/>
      </c>
      <c r="S40" s="22" t="str">
        <f aca="false">IF($X40="","",R40*Q40)</f>
        <v/>
      </c>
      <c r="T40" s="22" t="str">
        <f aca="false">IF($X40="","",S40+P40)</f>
        <v/>
      </c>
      <c r="U40" s="22" t="str">
        <f aca="false">IF($X40="","",V40-T40)</f>
        <v/>
      </c>
      <c r="V40" s="22" t="str">
        <f aca="false">IF($X40="","",O40+R40)</f>
        <v/>
      </c>
      <c r="W40" s="22" t="str">
        <f aca="false">IF($X40="","",U40-L40)</f>
        <v/>
      </c>
      <c r="X40" s="24" t="str">
        <f aca="false">IF(ROWS($X$2:$X40)&lt;=MAX('Per Line'!$AI$2:$AI$4001),MATCH(ROWS($X$2:$X40),'Per Line'!$AI$2:$AI$4001,0),"")</f>
        <v/>
      </c>
    </row>
    <row r="41" customFormat="false" ht="15" hidden="false" customHeight="false" outlineLevel="0" collapsed="false">
      <c r="A41" s="19"/>
      <c r="B41" s="20" t="str">
        <f aca="false">IF($X41="","",INDEX('Per Line'!$D$2:$D$4001,$X41))</f>
        <v/>
      </c>
      <c r="C41" s="20" t="str">
        <f aca="false">IF($X41="","",INDEX('Per Line'!$C$2:$C$4001,$X41))</f>
        <v/>
      </c>
      <c r="D41" s="20" t="str">
        <f aca="false">IF($X41="","",INDEX('Per Line'!$A$2:$A$4001,$X41))</f>
        <v/>
      </c>
      <c r="E41" s="21" t="str">
        <f aca="false">IF($X41="","",INDEX('Per Line'!$F$2:$F$4001,$X41))</f>
        <v/>
      </c>
      <c r="F41" s="20" t="str">
        <f aca="false">IF($X41="","",INDEX('Per Line'!$G$2:$G$4001,$X41))</f>
        <v/>
      </c>
      <c r="G41" s="20" t="str">
        <f aca="false">IF($X41="","",INDEX('Per Line'!$I$2:$I$4001,$X41))</f>
        <v/>
      </c>
      <c r="H41" s="20" t="str">
        <f aca="false">IF($X41="","",INDEX('Per Line'!$J$2:$J$4001,$X41))</f>
        <v/>
      </c>
      <c r="I41" s="20" t="str">
        <f aca="false">IF($X41="","",INDEX('Per Line'!$K$2:$K$4001,$X41))</f>
        <v/>
      </c>
      <c r="J41" s="20" t="str">
        <f aca="false">IF($X41="","",INDEX('Per Line'!$L$2:$L$4001,$X41))</f>
        <v/>
      </c>
      <c r="K41" s="20" t="str">
        <f aca="false">IF($X41="","",INDEX('Per Line'!$M$2:$M$4001,$X41))</f>
        <v/>
      </c>
      <c r="L41" s="22" t="str">
        <f aca="false">IF($X41="","",K41*V41/100)</f>
        <v/>
      </c>
      <c r="M41" s="20" t="str">
        <f aca="false">IF($X41="","",INDEX('Per Line'!$Z$2:$Z$4001,$X41))</f>
        <v/>
      </c>
      <c r="N41" s="23" t="str">
        <f aca="false">IF($X41="","",Settings!$C$7)</f>
        <v/>
      </c>
      <c r="O41" s="22" t="str">
        <f aca="false">IF($X41="","",SUMIFS('Per Line'!$Y$2:$Y$4001,'Per Line'!$D$2:$D$4001,$B41,'Per Line'!$AJ$2:$AJ$4001,0))</f>
        <v/>
      </c>
      <c r="P41" s="22" t="str">
        <f aca="false">IF($X41="","",O41*N41)</f>
        <v/>
      </c>
      <c r="Q41" s="23" t="str">
        <f aca="false">IF($X41="","",Settings!$C$6)</f>
        <v/>
      </c>
      <c r="R41" s="22" t="str">
        <f aca="false">IF($X41="","",SUMIFS('Per Line'!$Y$2:$Y$4001,'Per Line'!$D$2:$D$4001,$B41,'Per Line'!$AJ$2:$AJ$4001,1))</f>
        <v/>
      </c>
      <c r="S41" s="22" t="str">
        <f aca="false">IF($X41="","",R41*Q41)</f>
        <v/>
      </c>
      <c r="T41" s="22" t="str">
        <f aca="false">IF($X41="","",S41+P41)</f>
        <v/>
      </c>
      <c r="U41" s="22" t="str">
        <f aca="false">IF($X41="","",V41-T41)</f>
        <v/>
      </c>
      <c r="V41" s="22" t="str">
        <f aca="false">IF($X41="","",O41+R41)</f>
        <v/>
      </c>
      <c r="W41" s="22" t="str">
        <f aca="false">IF($X41="","",U41-L41)</f>
        <v/>
      </c>
      <c r="X41" s="24" t="str">
        <f aca="false">IF(ROWS($X$2:$X41)&lt;=MAX('Per Line'!$AI$2:$AI$4001),MATCH(ROWS($X$2:$X41),'Per Line'!$AI$2:$AI$4001,0),"")</f>
        <v/>
      </c>
    </row>
    <row r="42" customFormat="false" ht="15" hidden="false" customHeight="false" outlineLevel="0" collapsed="false">
      <c r="A42" s="19"/>
      <c r="B42" s="20" t="str">
        <f aca="false">IF($X42="","",INDEX('Per Line'!$D$2:$D$4001,$X42))</f>
        <v/>
      </c>
      <c r="C42" s="20" t="str">
        <f aca="false">IF($X42="","",INDEX('Per Line'!$C$2:$C$4001,$X42))</f>
        <v/>
      </c>
      <c r="D42" s="20" t="str">
        <f aca="false">IF($X42="","",INDEX('Per Line'!$A$2:$A$4001,$X42))</f>
        <v/>
      </c>
      <c r="E42" s="21" t="str">
        <f aca="false">IF($X42="","",INDEX('Per Line'!$F$2:$F$4001,$X42))</f>
        <v/>
      </c>
      <c r="F42" s="20" t="str">
        <f aca="false">IF($X42="","",INDEX('Per Line'!$G$2:$G$4001,$X42))</f>
        <v/>
      </c>
      <c r="G42" s="20" t="str">
        <f aca="false">IF($X42="","",INDEX('Per Line'!$I$2:$I$4001,$X42))</f>
        <v/>
      </c>
      <c r="H42" s="20" t="str">
        <f aca="false">IF($X42="","",INDEX('Per Line'!$J$2:$J$4001,$X42))</f>
        <v/>
      </c>
      <c r="I42" s="20" t="str">
        <f aca="false">IF($X42="","",INDEX('Per Line'!$K$2:$K$4001,$X42))</f>
        <v/>
      </c>
      <c r="J42" s="20" t="str">
        <f aca="false">IF($X42="","",INDEX('Per Line'!$L$2:$L$4001,$X42))</f>
        <v/>
      </c>
      <c r="K42" s="20" t="str">
        <f aca="false">IF($X42="","",INDEX('Per Line'!$M$2:$M$4001,$X42))</f>
        <v/>
      </c>
      <c r="L42" s="22" t="str">
        <f aca="false">IF($X42="","",K42*V42/100)</f>
        <v/>
      </c>
      <c r="M42" s="20" t="str">
        <f aca="false">IF($X42="","",INDEX('Per Line'!$Z$2:$Z$4001,$X42))</f>
        <v/>
      </c>
      <c r="N42" s="23" t="str">
        <f aca="false">IF($X42="","",Settings!$C$7)</f>
        <v/>
      </c>
      <c r="O42" s="22" t="str">
        <f aca="false">IF($X42="","",SUMIFS('Per Line'!$Y$2:$Y$4001,'Per Line'!$D$2:$D$4001,$B42,'Per Line'!$AJ$2:$AJ$4001,0))</f>
        <v/>
      </c>
      <c r="P42" s="22" t="str">
        <f aca="false">IF($X42="","",O42*N42)</f>
        <v/>
      </c>
      <c r="Q42" s="23" t="str">
        <f aca="false">IF($X42="","",Settings!$C$6)</f>
        <v/>
      </c>
      <c r="R42" s="22" t="str">
        <f aca="false">IF($X42="","",SUMIFS('Per Line'!$Y$2:$Y$4001,'Per Line'!$D$2:$D$4001,$B42,'Per Line'!$AJ$2:$AJ$4001,1))</f>
        <v/>
      </c>
      <c r="S42" s="22" t="str">
        <f aca="false">IF($X42="","",R42*Q42)</f>
        <v/>
      </c>
      <c r="T42" s="22" t="str">
        <f aca="false">IF($X42="","",S42+P42)</f>
        <v/>
      </c>
      <c r="U42" s="22" t="str">
        <f aca="false">IF($X42="","",V42-T42)</f>
        <v/>
      </c>
      <c r="V42" s="22" t="str">
        <f aca="false">IF($X42="","",O42+R42)</f>
        <v/>
      </c>
      <c r="W42" s="22" t="str">
        <f aca="false">IF($X42="","",U42-L42)</f>
        <v/>
      </c>
      <c r="X42" s="24" t="str">
        <f aca="false">IF(ROWS($X$2:$X42)&lt;=MAX('Per Line'!$AI$2:$AI$4001),MATCH(ROWS($X$2:$X42),'Per Line'!$AI$2:$AI$4001,0),"")</f>
        <v/>
      </c>
    </row>
    <row r="43" customFormat="false" ht="15" hidden="false" customHeight="false" outlineLevel="0" collapsed="false">
      <c r="A43" s="19"/>
      <c r="B43" s="20" t="str">
        <f aca="false">IF($X43="","",INDEX('Per Line'!$D$2:$D$4001,$X43))</f>
        <v/>
      </c>
      <c r="C43" s="20" t="str">
        <f aca="false">IF($X43="","",INDEX('Per Line'!$C$2:$C$4001,$X43))</f>
        <v/>
      </c>
      <c r="D43" s="20" t="str">
        <f aca="false">IF($X43="","",INDEX('Per Line'!$A$2:$A$4001,$X43))</f>
        <v/>
      </c>
      <c r="E43" s="21" t="str">
        <f aca="false">IF($X43="","",INDEX('Per Line'!$F$2:$F$4001,$X43))</f>
        <v/>
      </c>
      <c r="F43" s="20" t="str">
        <f aca="false">IF($X43="","",INDEX('Per Line'!$G$2:$G$4001,$X43))</f>
        <v/>
      </c>
      <c r="G43" s="20" t="str">
        <f aca="false">IF($X43="","",INDEX('Per Line'!$I$2:$I$4001,$X43))</f>
        <v/>
      </c>
      <c r="H43" s="20" t="str">
        <f aca="false">IF($X43="","",INDEX('Per Line'!$J$2:$J$4001,$X43))</f>
        <v/>
      </c>
      <c r="I43" s="20" t="str">
        <f aca="false">IF($X43="","",INDEX('Per Line'!$K$2:$K$4001,$X43))</f>
        <v/>
      </c>
      <c r="J43" s="20" t="str">
        <f aca="false">IF($X43="","",INDEX('Per Line'!$L$2:$L$4001,$X43))</f>
        <v/>
      </c>
      <c r="K43" s="20" t="str">
        <f aca="false">IF($X43="","",INDEX('Per Line'!$M$2:$M$4001,$X43))</f>
        <v/>
      </c>
      <c r="L43" s="22" t="str">
        <f aca="false">IF($X43="","",K43*V43/100)</f>
        <v/>
      </c>
      <c r="M43" s="20" t="str">
        <f aca="false">IF($X43="","",INDEX('Per Line'!$Z$2:$Z$4001,$X43))</f>
        <v/>
      </c>
      <c r="N43" s="23" t="str">
        <f aca="false">IF($X43="","",Settings!$C$7)</f>
        <v/>
      </c>
      <c r="O43" s="22" t="str">
        <f aca="false">IF($X43="","",SUMIFS('Per Line'!$Y$2:$Y$4001,'Per Line'!$D$2:$D$4001,$B43,'Per Line'!$AJ$2:$AJ$4001,0))</f>
        <v/>
      </c>
      <c r="P43" s="22" t="str">
        <f aca="false">IF($X43="","",O43*N43)</f>
        <v/>
      </c>
      <c r="Q43" s="23" t="str">
        <f aca="false">IF($X43="","",Settings!$C$6)</f>
        <v/>
      </c>
      <c r="R43" s="22" t="str">
        <f aca="false">IF($X43="","",SUMIFS('Per Line'!$Y$2:$Y$4001,'Per Line'!$D$2:$D$4001,$B43,'Per Line'!$AJ$2:$AJ$4001,1))</f>
        <v/>
      </c>
      <c r="S43" s="22" t="str">
        <f aca="false">IF($X43="","",R43*Q43)</f>
        <v/>
      </c>
      <c r="T43" s="22" t="str">
        <f aca="false">IF($X43="","",S43+P43)</f>
        <v/>
      </c>
      <c r="U43" s="22" t="str">
        <f aca="false">IF($X43="","",V43-T43)</f>
        <v/>
      </c>
      <c r="V43" s="22" t="str">
        <f aca="false">IF($X43="","",O43+R43)</f>
        <v/>
      </c>
      <c r="W43" s="22" t="str">
        <f aca="false">IF($X43="","",U43-L43)</f>
        <v/>
      </c>
      <c r="X43" s="24" t="str">
        <f aca="false">IF(ROWS($X$2:$X43)&lt;=MAX('Per Line'!$AI$2:$AI$4001),MATCH(ROWS($X$2:$X43),'Per Line'!$AI$2:$AI$4001,0),"")</f>
        <v/>
      </c>
    </row>
    <row r="44" customFormat="false" ht="15" hidden="false" customHeight="false" outlineLevel="0" collapsed="false">
      <c r="A44" s="19"/>
      <c r="B44" s="20" t="str">
        <f aca="false">IF($X44="","",INDEX('Per Line'!$D$2:$D$4001,$X44))</f>
        <v/>
      </c>
      <c r="C44" s="20" t="str">
        <f aca="false">IF($X44="","",INDEX('Per Line'!$C$2:$C$4001,$X44))</f>
        <v/>
      </c>
      <c r="D44" s="20" t="str">
        <f aca="false">IF($X44="","",INDEX('Per Line'!$A$2:$A$4001,$X44))</f>
        <v/>
      </c>
      <c r="E44" s="21" t="str">
        <f aca="false">IF($X44="","",INDEX('Per Line'!$F$2:$F$4001,$X44))</f>
        <v/>
      </c>
      <c r="F44" s="20" t="str">
        <f aca="false">IF($X44="","",INDEX('Per Line'!$G$2:$G$4001,$X44))</f>
        <v/>
      </c>
      <c r="G44" s="20" t="str">
        <f aca="false">IF($X44="","",INDEX('Per Line'!$I$2:$I$4001,$X44))</f>
        <v/>
      </c>
      <c r="H44" s="20" t="str">
        <f aca="false">IF($X44="","",INDEX('Per Line'!$J$2:$J$4001,$X44))</f>
        <v/>
      </c>
      <c r="I44" s="20" t="str">
        <f aca="false">IF($X44="","",INDEX('Per Line'!$K$2:$K$4001,$X44))</f>
        <v/>
      </c>
      <c r="J44" s="20" t="str">
        <f aca="false">IF($X44="","",INDEX('Per Line'!$L$2:$L$4001,$X44))</f>
        <v/>
      </c>
      <c r="K44" s="20" t="str">
        <f aca="false">IF($X44="","",INDEX('Per Line'!$M$2:$M$4001,$X44))</f>
        <v/>
      </c>
      <c r="L44" s="22" t="str">
        <f aca="false">IF($X44="","",K44*V44/100)</f>
        <v/>
      </c>
      <c r="M44" s="20" t="str">
        <f aca="false">IF($X44="","",INDEX('Per Line'!$Z$2:$Z$4001,$X44))</f>
        <v/>
      </c>
      <c r="N44" s="23" t="str">
        <f aca="false">IF($X44="","",Settings!$C$7)</f>
        <v/>
      </c>
      <c r="O44" s="22" t="str">
        <f aca="false">IF($X44="","",SUMIFS('Per Line'!$Y$2:$Y$4001,'Per Line'!$D$2:$D$4001,$B44,'Per Line'!$AJ$2:$AJ$4001,0))</f>
        <v/>
      </c>
      <c r="P44" s="22" t="str">
        <f aca="false">IF($X44="","",O44*N44)</f>
        <v/>
      </c>
      <c r="Q44" s="23" t="str">
        <f aca="false">IF($X44="","",Settings!$C$6)</f>
        <v/>
      </c>
      <c r="R44" s="22" t="str">
        <f aca="false">IF($X44="","",SUMIFS('Per Line'!$Y$2:$Y$4001,'Per Line'!$D$2:$D$4001,$B44,'Per Line'!$AJ$2:$AJ$4001,1))</f>
        <v/>
      </c>
      <c r="S44" s="22" t="str">
        <f aca="false">IF($X44="","",R44*Q44)</f>
        <v/>
      </c>
      <c r="T44" s="22" t="str">
        <f aca="false">IF($X44="","",S44+P44)</f>
        <v/>
      </c>
      <c r="U44" s="22" t="str">
        <f aca="false">IF($X44="","",V44-T44)</f>
        <v/>
      </c>
      <c r="V44" s="22" t="str">
        <f aca="false">IF($X44="","",O44+R44)</f>
        <v/>
      </c>
      <c r="W44" s="22" t="str">
        <f aca="false">IF($X44="","",U44-L44)</f>
        <v/>
      </c>
      <c r="X44" s="24" t="str">
        <f aca="false">IF(ROWS($X$2:$X44)&lt;=MAX('Per Line'!$AI$2:$AI$4001),MATCH(ROWS($X$2:$X44),'Per Line'!$AI$2:$AI$4001,0),"")</f>
        <v/>
      </c>
    </row>
    <row r="45" customFormat="false" ht="15" hidden="false" customHeight="false" outlineLevel="0" collapsed="false">
      <c r="A45" s="19"/>
      <c r="B45" s="20" t="str">
        <f aca="false">IF($X45="","",INDEX('Per Line'!$D$2:$D$4001,$X45))</f>
        <v/>
      </c>
      <c r="C45" s="20" t="str">
        <f aca="false">IF($X45="","",INDEX('Per Line'!$C$2:$C$4001,$X45))</f>
        <v/>
      </c>
      <c r="D45" s="20" t="str">
        <f aca="false">IF($X45="","",INDEX('Per Line'!$A$2:$A$4001,$X45))</f>
        <v/>
      </c>
      <c r="E45" s="21" t="str">
        <f aca="false">IF($X45="","",INDEX('Per Line'!$F$2:$F$4001,$X45))</f>
        <v/>
      </c>
      <c r="F45" s="20" t="str">
        <f aca="false">IF($X45="","",INDEX('Per Line'!$G$2:$G$4001,$X45))</f>
        <v/>
      </c>
      <c r="G45" s="20" t="str">
        <f aca="false">IF($X45="","",INDEX('Per Line'!$I$2:$I$4001,$X45))</f>
        <v/>
      </c>
      <c r="H45" s="20" t="str">
        <f aca="false">IF($X45="","",INDEX('Per Line'!$J$2:$J$4001,$X45))</f>
        <v/>
      </c>
      <c r="I45" s="20" t="str">
        <f aca="false">IF($X45="","",INDEX('Per Line'!$K$2:$K$4001,$X45))</f>
        <v/>
      </c>
      <c r="J45" s="20" t="str">
        <f aca="false">IF($X45="","",INDEX('Per Line'!$L$2:$L$4001,$X45))</f>
        <v/>
      </c>
      <c r="K45" s="20" t="str">
        <f aca="false">IF($X45="","",INDEX('Per Line'!$M$2:$M$4001,$X45))</f>
        <v/>
      </c>
      <c r="L45" s="22" t="str">
        <f aca="false">IF($X45="","",K45*V45/100)</f>
        <v/>
      </c>
      <c r="M45" s="20" t="str">
        <f aca="false">IF($X45="","",INDEX('Per Line'!$Z$2:$Z$4001,$X45))</f>
        <v/>
      </c>
      <c r="N45" s="23" t="str">
        <f aca="false">IF($X45="","",Settings!$C$7)</f>
        <v/>
      </c>
      <c r="O45" s="22" t="str">
        <f aca="false">IF($X45="","",SUMIFS('Per Line'!$Y$2:$Y$4001,'Per Line'!$D$2:$D$4001,$B45,'Per Line'!$AJ$2:$AJ$4001,0))</f>
        <v/>
      </c>
      <c r="P45" s="22" t="str">
        <f aca="false">IF($X45="","",O45*N45)</f>
        <v/>
      </c>
      <c r="Q45" s="23" t="str">
        <f aca="false">IF($X45="","",Settings!$C$6)</f>
        <v/>
      </c>
      <c r="R45" s="22" t="str">
        <f aca="false">IF($X45="","",SUMIFS('Per Line'!$Y$2:$Y$4001,'Per Line'!$D$2:$D$4001,$B45,'Per Line'!$AJ$2:$AJ$4001,1))</f>
        <v/>
      </c>
      <c r="S45" s="22" t="str">
        <f aca="false">IF($X45="","",R45*Q45)</f>
        <v/>
      </c>
      <c r="T45" s="22" t="str">
        <f aca="false">IF($X45="","",S45+P45)</f>
        <v/>
      </c>
      <c r="U45" s="22" t="str">
        <f aca="false">IF($X45="","",V45-T45)</f>
        <v/>
      </c>
      <c r="V45" s="22" t="str">
        <f aca="false">IF($X45="","",O45+R45)</f>
        <v/>
      </c>
      <c r="W45" s="22" t="str">
        <f aca="false">IF($X45="","",U45-L45)</f>
        <v/>
      </c>
      <c r="X45" s="24" t="str">
        <f aca="false">IF(ROWS($X$2:$X45)&lt;=MAX('Per Line'!$AI$2:$AI$4001),MATCH(ROWS($X$2:$X45),'Per Line'!$AI$2:$AI$4001,0),"")</f>
        <v/>
      </c>
    </row>
    <row r="46" customFormat="false" ht="15" hidden="false" customHeight="false" outlineLevel="0" collapsed="false">
      <c r="A46" s="19"/>
      <c r="B46" s="20" t="str">
        <f aca="false">IF($X46="","",INDEX('Per Line'!$D$2:$D$4001,$X46))</f>
        <v/>
      </c>
      <c r="C46" s="20" t="str">
        <f aca="false">IF($X46="","",INDEX('Per Line'!$C$2:$C$4001,$X46))</f>
        <v/>
      </c>
      <c r="D46" s="20" t="str">
        <f aca="false">IF($X46="","",INDEX('Per Line'!$A$2:$A$4001,$X46))</f>
        <v/>
      </c>
      <c r="E46" s="21" t="str">
        <f aca="false">IF($X46="","",INDEX('Per Line'!$F$2:$F$4001,$X46))</f>
        <v/>
      </c>
      <c r="F46" s="20" t="str">
        <f aca="false">IF($X46="","",INDEX('Per Line'!$G$2:$G$4001,$X46))</f>
        <v/>
      </c>
      <c r="G46" s="20" t="str">
        <f aca="false">IF($X46="","",INDEX('Per Line'!$I$2:$I$4001,$X46))</f>
        <v/>
      </c>
      <c r="H46" s="20" t="str">
        <f aca="false">IF($X46="","",INDEX('Per Line'!$J$2:$J$4001,$X46))</f>
        <v/>
      </c>
      <c r="I46" s="20" t="str">
        <f aca="false">IF($X46="","",INDEX('Per Line'!$K$2:$K$4001,$X46))</f>
        <v/>
      </c>
      <c r="J46" s="20" t="str">
        <f aca="false">IF($X46="","",INDEX('Per Line'!$L$2:$L$4001,$X46))</f>
        <v/>
      </c>
      <c r="K46" s="20" t="str">
        <f aca="false">IF($X46="","",INDEX('Per Line'!$M$2:$M$4001,$X46))</f>
        <v/>
      </c>
      <c r="L46" s="22" t="str">
        <f aca="false">IF($X46="","",K46*V46/100)</f>
        <v/>
      </c>
      <c r="M46" s="20" t="str">
        <f aca="false">IF($X46="","",INDEX('Per Line'!$Z$2:$Z$4001,$X46))</f>
        <v/>
      </c>
      <c r="N46" s="23" t="str">
        <f aca="false">IF($X46="","",Settings!$C$7)</f>
        <v/>
      </c>
      <c r="O46" s="22" t="str">
        <f aca="false">IF($X46="","",SUMIFS('Per Line'!$Y$2:$Y$4001,'Per Line'!$D$2:$D$4001,$B46,'Per Line'!$AJ$2:$AJ$4001,0))</f>
        <v/>
      </c>
      <c r="P46" s="22" t="str">
        <f aca="false">IF($X46="","",O46*N46)</f>
        <v/>
      </c>
      <c r="Q46" s="23" t="str">
        <f aca="false">IF($X46="","",Settings!$C$6)</f>
        <v/>
      </c>
      <c r="R46" s="22" t="str">
        <f aca="false">IF($X46="","",SUMIFS('Per Line'!$Y$2:$Y$4001,'Per Line'!$D$2:$D$4001,$B46,'Per Line'!$AJ$2:$AJ$4001,1))</f>
        <v/>
      </c>
      <c r="S46" s="22" t="str">
        <f aca="false">IF($X46="","",R46*Q46)</f>
        <v/>
      </c>
      <c r="T46" s="22" t="str">
        <f aca="false">IF($X46="","",S46+P46)</f>
        <v/>
      </c>
      <c r="U46" s="22" t="str">
        <f aca="false">IF($X46="","",V46-T46)</f>
        <v/>
      </c>
      <c r="V46" s="22" t="str">
        <f aca="false">IF($X46="","",O46+R46)</f>
        <v/>
      </c>
      <c r="W46" s="22" t="str">
        <f aca="false">IF($X46="","",U46-L46)</f>
        <v/>
      </c>
      <c r="X46" s="24" t="str">
        <f aca="false">IF(ROWS($X$2:$X46)&lt;=MAX('Per Line'!$AI$2:$AI$4001),MATCH(ROWS($X$2:$X46),'Per Line'!$AI$2:$AI$4001,0),"")</f>
        <v/>
      </c>
    </row>
    <row r="47" customFormat="false" ht="15" hidden="false" customHeight="false" outlineLevel="0" collapsed="false">
      <c r="A47" s="19"/>
      <c r="B47" s="20" t="str">
        <f aca="false">IF($X47="","",INDEX('Per Line'!$D$2:$D$4001,$X47))</f>
        <v/>
      </c>
      <c r="C47" s="20" t="str">
        <f aca="false">IF($X47="","",INDEX('Per Line'!$C$2:$C$4001,$X47))</f>
        <v/>
      </c>
      <c r="D47" s="20" t="str">
        <f aca="false">IF($X47="","",INDEX('Per Line'!$A$2:$A$4001,$X47))</f>
        <v/>
      </c>
      <c r="E47" s="21" t="str">
        <f aca="false">IF($X47="","",INDEX('Per Line'!$F$2:$F$4001,$X47))</f>
        <v/>
      </c>
      <c r="F47" s="20" t="str">
        <f aca="false">IF($X47="","",INDEX('Per Line'!$G$2:$G$4001,$X47))</f>
        <v/>
      </c>
      <c r="G47" s="20" t="str">
        <f aca="false">IF($X47="","",INDEX('Per Line'!$I$2:$I$4001,$X47))</f>
        <v/>
      </c>
      <c r="H47" s="20" t="str">
        <f aca="false">IF($X47="","",INDEX('Per Line'!$J$2:$J$4001,$X47))</f>
        <v/>
      </c>
      <c r="I47" s="20" t="str">
        <f aca="false">IF($X47="","",INDEX('Per Line'!$K$2:$K$4001,$X47))</f>
        <v/>
      </c>
      <c r="J47" s="20" t="str">
        <f aca="false">IF($X47="","",INDEX('Per Line'!$L$2:$L$4001,$X47))</f>
        <v/>
      </c>
      <c r="K47" s="20" t="str">
        <f aca="false">IF($X47="","",INDEX('Per Line'!$M$2:$M$4001,$X47))</f>
        <v/>
      </c>
      <c r="L47" s="22" t="str">
        <f aca="false">IF($X47="","",K47*V47/100)</f>
        <v/>
      </c>
      <c r="M47" s="20" t="str">
        <f aca="false">IF($X47="","",INDEX('Per Line'!$Z$2:$Z$4001,$X47))</f>
        <v/>
      </c>
      <c r="N47" s="23" t="str">
        <f aca="false">IF($X47="","",Settings!$C$7)</f>
        <v/>
      </c>
      <c r="O47" s="22" t="str">
        <f aca="false">IF($X47="","",SUMIFS('Per Line'!$Y$2:$Y$4001,'Per Line'!$D$2:$D$4001,$B47,'Per Line'!$AJ$2:$AJ$4001,0))</f>
        <v/>
      </c>
      <c r="P47" s="22" t="str">
        <f aca="false">IF($X47="","",O47*N47)</f>
        <v/>
      </c>
      <c r="Q47" s="23" t="str">
        <f aca="false">IF($X47="","",Settings!$C$6)</f>
        <v/>
      </c>
      <c r="R47" s="22" t="str">
        <f aca="false">IF($X47="","",SUMIFS('Per Line'!$Y$2:$Y$4001,'Per Line'!$D$2:$D$4001,$B47,'Per Line'!$AJ$2:$AJ$4001,1))</f>
        <v/>
      </c>
      <c r="S47" s="22" t="str">
        <f aca="false">IF($X47="","",R47*Q47)</f>
        <v/>
      </c>
      <c r="T47" s="22" t="str">
        <f aca="false">IF($X47="","",S47+P47)</f>
        <v/>
      </c>
      <c r="U47" s="22" t="str">
        <f aca="false">IF($X47="","",V47-T47)</f>
        <v/>
      </c>
      <c r="V47" s="22" t="str">
        <f aca="false">IF($X47="","",O47+R47)</f>
        <v/>
      </c>
      <c r="W47" s="22" t="str">
        <f aca="false">IF($X47="","",U47-L47)</f>
        <v/>
      </c>
      <c r="X47" s="24" t="str">
        <f aca="false">IF(ROWS($X$2:$X47)&lt;=MAX('Per Line'!$AI$2:$AI$4001),MATCH(ROWS($X$2:$X47),'Per Line'!$AI$2:$AI$4001,0),"")</f>
        <v/>
      </c>
    </row>
    <row r="48" customFormat="false" ht="15" hidden="false" customHeight="false" outlineLevel="0" collapsed="false">
      <c r="A48" s="19"/>
      <c r="B48" s="20" t="str">
        <f aca="false">IF($X48="","",INDEX('Per Line'!$D$2:$D$4001,$X48))</f>
        <v/>
      </c>
      <c r="C48" s="20" t="str">
        <f aca="false">IF($X48="","",INDEX('Per Line'!$C$2:$C$4001,$X48))</f>
        <v/>
      </c>
      <c r="D48" s="20" t="str">
        <f aca="false">IF($X48="","",INDEX('Per Line'!$A$2:$A$4001,$X48))</f>
        <v/>
      </c>
      <c r="E48" s="21" t="str">
        <f aca="false">IF($X48="","",INDEX('Per Line'!$F$2:$F$4001,$X48))</f>
        <v/>
      </c>
      <c r="F48" s="20" t="str">
        <f aca="false">IF($X48="","",INDEX('Per Line'!$G$2:$G$4001,$X48))</f>
        <v/>
      </c>
      <c r="G48" s="20" t="str">
        <f aca="false">IF($X48="","",INDEX('Per Line'!$I$2:$I$4001,$X48))</f>
        <v/>
      </c>
      <c r="H48" s="20" t="str">
        <f aca="false">IF($X48="","",INDEX('Per Line'!$J$2:$J$4001,$X48))</f>
        <v/>
      </c>
      <c r="I48" s="20" t="str">
        <f aca="false">IF($X48="","",INDEX('Per Line'!$K$2:$K$4001,$X48))</f>
        <v/>
      </c>
      <c r="J48" s="20" t="str">
        <f aca="false">IF($X48="","",INDEX('Per Line'!$L$2:$L$4001,$X48))</f>
        <v/>
      </c>
      <c r="K48" s="20" t="str">
        <f aca="false">IF($X48="","",INDEX('Per Line'!$M$2:$M$4001,$X48))</f>
        <v/>
      </c>
      <c r="L48" s="22" t="str">
        <f aca="false">IF($X48="","",K48*V48/100)</f>
        <v/>
      </c>
      <c r="M48" s="20" t="str">
        <f aca="false">IF($X48="","",INDEX('Per Line'!$Z$2:$Z$4001,$X48))</f>
        <v/>
      </c>
      <c r="N48" s="23" t="str">
        <f aca="false">IF($X48="","",Settings!$C$7)</f>
        <v/>
      </c>
      <c r="O48" s="22" t="str">
        <f aca="false">IF($X48="","",SUMIFS('Per Line'!$Y$2:$Y$4001,'Per Line'!$D$2:$D$4001,$B48,'Per Line'!$AJ$2:$AJ$4001,0))</f>
        <v/>
      </c>
      <c r="P48" s="22" t="str">
        <f aca="false">IF($X48="","",O48*N48)</f>
        <v/>
      </c>
      <c r="Q48" s="23" t="str">
        <f aca="false">IF($X48="","",Settings!$C$6)</f>
        <v/>
      </c>
      <c r="R48" s="22" t="str">
        <f aca="false">IF($X48="","",SUMIFS('Per Line'!$Y$2:$Y$4001,'Per Line'!$D$2:$D$4001,$B48,'Per Line'!$AJ$2:$AJ$4001,1))</f>
        <v/>
      </c>
      <c r="S48" s="22" t="str">
        <f aca="false">IF($X48="","",R48*Q48)</f>
        <v/>
      </c>
      <c r="T48" s="22" t="str">
        <f aca="false">IF($X48="","",S48+P48)</f>
        <v/>
      </c>
      <c r="U48" s="22" t="str">
        <f aca="false">IF($X48="","",V48-T48)</f>
        <v/>
      </c>
      <c r="V48" s="22" t="str">
        <f aca="false">IF($X48="","",O48+R48)</f>
        <v/>
      </c>
      <c r="W48" s="22" t="str">
        <f aca="false">IF($X48="","",U48-L48)</f>
        <v/>
      </c>
      <c r="X48" s="24" t="str">
        <f aca="false">IF(ROWS($X$2:$X48)&lt;=MAX('Per Line'!$AI$2:$AI$4001),MATCH(ROWS($X$2:$X48),'Per Line'!$AI$2:$AI$4001,0),"")</f>
        <v/>
      </c>
    </row>
    <row r="49" customFormat="false" ht="15" hidden="false" customHeight="false" outlineLevel="0" collapsed="false">
      <c r="A49" s="19"/>
      <c r="B49" s="20" t="str">
        <f aca="false">IF($X49="","",INDEX('Per Line'!$D$2:$D$4001,$X49))</f>
        <v/>
      </c>
      <c r="C49" s="20" t="str">
        <f aca="false">IF($X49="","",INDEX('Per Line'!$C$2:$C$4001,$X49))</f>
        <v/>
      </c>
      <c r="D49" s="20" t="str">
        <f aca="false">IF($X49="","",INDEX('Per Line'!$A$2:$A$4001,$X49))</f>
        <v/>
      </c>
      <c r="E49" s="21" t="str">
        <f aca="false">IF($X49="","",INDEX('Per Line'!$F$2:$F$4001,$X49))</f>
        <v/>
      </c>
      <c r="F49" s="20" t="str">
        <f aca="false">IF($X49="","",INDEX('Per Line'!$G$2:$G$4001,$X49))</f>
        <v/>
      </c>
      <c r="G49" s="20" t="str">
        <f aca="false">IF($X49="","",INDEX('Per Line'!$I$2:$I$4001,$X49))</f>
        <v/>
      </c>
      <c r="H49" s="20" t="str">
        <f aca="false">IF($X49="","",INDEX('Per Line'!$J$2:$J$4001,$X49))</f>
        <v/>
      </c>
      <c r="I49" s="20" t="str">
        <f aca="false">IF($X49="","",INDEX('Per Line'!$K$2:$K$4001,$X49))</f>
        <v/>
      </c>
      <c r="J49" s="20" t="str">
        <f aca="false">IF($X49="","",INDEX('Per Line'!$L$2:$L$4001,$X49))</f>
        <v/>
      </c>
      <c r="K49" s="20" t="str">
        <f aca="false">IF($X49="","",INDEX('Per Line'!$M$2:$M$4001,$X49))</f>
        <v/>
      </c>
      <c r="L49" s="22" t="str">
        <f aca="false">IF($X49="","",K49*V49/100)</f>
        <v/>
      </c>
      <c r="M49" s="20" t="str">
        <f aca="false">IF($X49="","",INDEX('Per Line'!$Z$2:$Z$4001,$X49))</f>
        <v/>
      </c>
      <c r="N49" s="23" t="str">
        <f aca="false">IF($X49="","",Settings!$C$7)</f>
        <v/>
      </c>
      <c r="O49" s="22" t="str">
        <f aca="false">IF($X49="","",SUMIFS('Per Line'!$Y$2:$Y$4001,'Per Line'!$D$2:$D$4001,$B49,'Per Line'!$AJ$2:$AJ$4001,0))</f>
        <v/>
      </c>
      <c r="P49" s="22" t="str">
        <f aca="false">IF($X49="","",O49*N49)</f>
        <v/>
      </c>
      <c r="Q49" s="23" t="str">
        <f aca="false">IF($X49="","",Settings!$C$6)</f>
        <v/>
      </c>
      <c r="R49" s="22" t="str">
        <f aca="false">IF($X49="","",SUMIFS('Per Line'!$Y$2:$Y$4001,'Per Line'!$D$2:$D$4001,$B49,'Per Line'!$AJ$2:$AJ$4001,1))</f>
        <v/>
      </c>
      <c r="S49" s="22" t="str">
        <f aca="false">IF($X49="","",R49*Q49)</f>
        <v/>
      </c>
      <c r="T49" s="22" t="str">
        <f aca="false">IF($X49="","",S49+P49)</f>
        <v/>
      </c>
      <c r="U49" s="22" t="str">
        <f aca="false">IF($X49="","",V49-T49)</f>
        <v/>
      </c>
      <c r="V49" s="22" t="str">
        <f aca="false">IF($X49="","",O49+R49)</f>
        <v/>
      </c>
      <c r="W49" s="22" t="str">
        <f aca="false">IF($X49="","",U49-L49)</f>
        <v/>
      </c>
      <c r="X49" s="24" t="str">
        <f aca="false">IF(ROWS($X$2:$X49)&lt;=MAX('Per Line'!$AI$2:$AI$4001),MATCH(ROWS($X$2:$X49),'Per Line'!$AI$2:$AI$4001,0),"")</f>
        <v/>
      </c>
    </row>
    <row r="50" customFormat="false" ht="15" hidden="false" customHeight="false" outlineLevel="0" collapsed="false">
      <c r="A50" s="19"/>
      <c r="B50" s="20" t="str">
        <f aca="false">IF($X50="","",INDEX('Per Line'!$D$2:$D$4001,$X50))</f>
        <v/>
      </c>
      <c r="C50" s="20" t="str">
        <f aca="false">IF($X50="","",INDEX('Per Line'!$C$2:$C$4001,$X50))</f>
        <v/>
      </c>
      <c r="D50" s="20" t="str">
        <f aca="false">IF($X50="","",INDEX('Per Line'!$A$2:$A$4001,$X50))</f>
        <v/>
      </c>
      <c r="E50" s="21" t="str">
        <f aca="false">IF($X50="","",INDEX('Per Line'!$F$2:$F$4001,$X50))</f>
        <v/>
      </c>
      <c r="F50" s="20" t="str">
        <f aca="false">IF($X50="","",INDEX('Per Line'!$G$2:$G$4001,$X50))</f>
        <v/>
      </c>
      <c r="G50" s="20" t="str">
        <f aca="false">IF($X50="","",INDEX('Per Line'!$I$2:$I$4001,$X50))</f>
        <v/>
      </c>
      <c r="H50" s="20" t="str">
        <f aca="false">IF($X50="","",INDEX('Per Line'!$J$2:$J$4001,$X50))</f>
        <v/>
      </c>
      <c r="I50" s="20" t="str">
        <f aca="false">IF($X50="","",INDEX('Per Line'!$K$2:$K$4001,$X50))</f>
        <v/>
      </c>
      <c r="J50" s="20" t="str">
        <f aca="false">IF($X50="","",INDEX('Per Line'!$L$2:$L$4001,$X50))</f>
        <v/>
      </c>
      <c r="K50" s="20" t="str">
        <f aca="false">IF($X50="","",INDEX('Per Line'!$M$2:$M$4001,$X50))</f>
        <v/>
      </c>
      <c r="L50" s="22" t="str">
        <f aca="false">IF($X50="","",K50*V50/100)</f>
        <v/>
      </c>
      <c r="M50" s="20" t="str">
        <f aca="false">IF($X50="","",INDEX('Per Line'!$Z$2:$Z$4001,$X50))</f>
        <v/>
      </c>
      <c r="N50" s="23" t="str">
        <f aca="false">IF($X50="","",Settings!$C$7)</f>
        <v/>
      </c>
      <c r="O50" s="22" t="str">
        <f aca="false">IF($X50="","",SUMIFS('Per Line'!$Y$2:$Y$4001,'Per Line'!$D$2:$D$4001,$B50,'Per Line'!$AJ$2:$AJ$4001,0))</f>
        <v/>
      </c>
      <c r="P50" s="22" t="str">
        <f aca="false">IF($X50="","",O50*N50)</f>
        <v/>
      </c>
      <c r="Q50" s="23" t="str">
        <f aca="false">IF($X50="","",Settings!$C$6)</f>
        <v/>
      </c>
      <c r="R50" s="22" t="str">
        <f aca="false">IF($X50="","",SUMIFS('Per Line'!$Y$2:$Y$4001,'Per Line'!$D$2:$D$4001,$B50,'Per Line'!$AJ$2:$AJ$4001,1))</f>
        <v/>
      </c>
      <c r="S50" s="22" t="str">
        <f aca="false">IF($X50="","",R50*Q50)</f>
        <v/>
      </c>
      <c r="T50" s="22" t="str">
        <f aca="false">IF($X50="","",S50+P50)</f>
        <v/>
      </c>
      <c r="U50" s="22" t="str">
        <f aca="false">IF($X50="","",V50-T50)</f>
        <v/>
      </c>
      <c r="V50" s="22" t="str">
        <f aca="false">IF($X50="","",O50+R50)</f>
        <v/>
      </c>
      <c r="W50" s="22" t="str">
        <f aca="false">IF($X50="","",U50-L50)</f>
        <v/>
      </c>
      <c r="X50" s="24" t="str">
        <f aca="false">IF(ROWS($X$2:$X50)&lt;=MAX('Per Line'!$AI$2:$AI$4001),MATCH(ROWS($X$2:$X50),'Per Line'!$AI$2:$AI$4001,0),"")</f>
        <v/>
      </c>
    </row>
    <row r="51" customFormat="false" ht="15" hidden="false" customHeight="false" outlineLevel="0" collapsed="false">
      <c r="A51" s="19"/>
      <c r="B51" s="20" t="str">
        <f aca="false">IF($X51="","",INDEX('Per Line'!$D$2:$D$4001,$X51))</f>
        <v/>
      </c>
      <c r="C51" s="20" t="str">
        <f aca="false">IF($X51="","",INDEX('Per Line'!$C$2:$C$4001,$X51))</f>
        <v/>
      </c>
      <c r="D51" s="20" t="str">
        <f aca="false">IF($X51="","",INDEX('Per Line'!$A$2:$A$4001,$X51))</f>
        <v/>
      </c>
      <c r="E51" s="21" t="str">
        <f aca="false">IF($X51="","",INDEX('Per Line'!$F$2:$F$4001,$X51))</f>
        <v/>
      </c>
      <c r="F51" s="20" t="str">
        <f aca="false">IF($X51="","",INDEX('Per Line'!$G$2:$G$4001,$X51))</f>
        <v/>
      </c>
      <c r="G51" s="20" t="str">
        <f aca="false">IF($X51="","",INDEX('Per Line'!$I$2:$I$4001,$X51))</f>
        <v/>
      </c>
      <c r="H51" s="20" t="str">
        <f aca="false">IF($X51="","",INDEX('Per Line'!$J$2:$J$4001,$X51))</f>
        <v/>
      </c>
      <c r="I51" s="20" t="str">
        <f aca="false">IF($X51="","",INDEX('Per Line'!$K$2:$K$4001,$X51))</f>
        <v/>
      </c>
      <c r="J51" s="20" t="str">
        <f aca="false">IF($X51="","",INDEX('Per Line'!$L$2:$L$4001,$X51))</f>
        <v/>
      </c>
      <c r="K51" s="20" t="str">
        <f aca="false">IF($X51="","",INDEX('Per Line'!$M$2:$M$4001,$X51))</f>
        <v/>
      </c>
      <c r="L51" s="22" t="str">
        <f aca="false">IF($X51="","",K51*V51/100)</f>
        <v/>
      </c>
      <c r="M51" s="20" t="str">
        <f aca="false">IF($X51="","",INDEX('Per Line'!$Z$2:$Z$4001,$X51))</f>
        <v/>
      </c>
      <c r="N51" s="23" t="str">
        <f aca="false">IF($X51="","",Settings!$C$7)</f>
        <v/>
      </c>
      <c r="O51" s="22" t="str">
        <f aca="false">IF($X51="","",SUMIFS('Per Line'!$Y$2:$Y$4001,'Per Line'!$D$2:$D$4001,$B51,'Per Line'!$AJ$2:$AJ$4001,0))</f>
        <v/>
      </c>
      <c r="P51" s="22" t="str">
        <f aca="false">IF($X51="","",O51*N51)</f>
        <v/>
      </c>
      <c r="Q51" s="23" t="str">
        <f aca="false">IF($X51="","",Settings!$C$6)</f>
        <v/>
      </c>
      <c r="R51" s="22" t="str">
        <f aca="false">IF($X51="","",SUMIFS('Per Line'!$Y$2:$Y$4001,'Per Line'!$D$2:$D$4001,$B51,'Per Line'!$AJ$2:$AJ$4001,1))</f>
        <v/>
      </c>
      <c r="S51" s="22" t="str">
        <f aca="false">IF($X51="","",R51*Q51)</f>
        <v/>
      </c>
      <c r="T51" s="22" t="str">
        <f aca="false">IF($X51="","",S51+P51)</f>
        <v/>
      </c>
      <c r="U51" s="22" t="str">
        <f aca="false">IF($X51="","",V51-T51)</f>
        <v/>
      </c>
      <c r="V51" s="22" t="str">
        <f aca="false">IF($X51="","",O51+R51)</f>
        <v/>
      </c>
      <c r="W51" s="22" t="str">
        <f aca="false">IF($X51="","",U51-L51)</f>
        <v/>
      </c>
      <c r="X51" s="24" t="str">
        <f aca="false">IF(ROWS($X$2:$X51)&lt;=MAX('Per Line'!$AI$2:$AI$4001),MATCH(ROWS($X$2:$X51),'Per Line'!$AI$2:$AI$4001,0),"")</f>
        <v/>
      </c>
    </row>
    <row r="52" customFormat="false" ht="15" hidden="false" customHeight="false" outlineLevel="0" collapsed="false">
      <c r="A52" s="19"/>
      <c r="B52" s="20" t="str">
        <f aca="false">IF($X52="","",INDEX('Per Line'!$D$2:$D$4001,$X52))</f>
        <v/>
      </c>
      <c r="C52" s="20" t="str">
        <f aca="false">IF($X52="","",INDEX('Per Line'!$C$2:$C$4001,$X52))</f>
        <v/>
      </c>
      <c r="D52" s="20" t="str">
        <f aca="false">IF($X52="","",INDEX('Per Line'!$A$2:$A$4001,$X52))</f>
        <v/>
      </c>
      <c r="E52" s="21" t="str">
        <f aca="false">IF($X52="","",INDEX('Per Line'!$F$2:$F$4001,$X52))</f>
        <v/>
      </c>
      <c r="F52" s="20" t="str">
        <f aca="false">IF($X52="","",INDEX('Per Line'!$G$2:$G$4001,$X52))</f>
        <v/>
      </c>
      <c r="G52" s="20" t="str">
        <f aca="false">IF($X52="","",INDEX('Per Line'!$I$2:$I$4001,$X52))</f>
        <v/>
      </c>
      <c r="H52" s="20" t="str">
        <f aca="false">IF($X52="","",INDEX('Per Line'!$J$2:$J$4001,$X52))</f>
        <v/>
      </c>
      <c r="I52" s="20" t="str">
        <f aca="false">IF($X52="","",INDEX('Per Line'!$K$2:$K$4001,$X52))</f>
        <v/>
      </c>
      <c r="J52" s="20" t="str">
        <f aca="false">IF($X52="","",INDEX('Per Line'!$L$2:$L$4001,$X52))</f>
        <v/>
      </c>
      <c r="K52" s="20" t="str">
        <f aca="false">IF($X52="","",INDEX('Per Line'!$M$2:$M$4001,$X52))</f>
        <v/>
      </c>
      <c r="L52" s="22" t="str">
        <f aca="false">IF($X52="","",K52*V52/100)</f>
        <v/>
      </c>
      <c r="M52" s="20" t="str">
        <f aca="false">IF($X52="","",INDEX('Per Line'!$Z$2:$Z$4001,$X52))</f>
        <v/>
      </c>
      <c r="N52" s="23" t="str">
        <f aca="false">IF($X52="","",Settings!$C$7)</f>
        <v/>
      </c>
      <c r="O52" s="22" t="str">
        <f aca="false">IF($X52="","",SUMIFS('Per Line'!$Y$2:$Y$4001,'Per Line'!$D$2:$D$4001,$B52,'Per Line'!$AJ$2:$AJ$4001,0))</f>
        <v/>
      </c>
      <c r="P52" s="22" t="str">
        <f aca="false">IF($X52="","",O52*N52)</f>
        <v/>
      </c>
      <c r="Q52" s="23" t="str">
        <f aca="false">IF($X52="","",Settings!$C$6)</f>
        <v/>
      </c>
      <c r="R52" s="22" t="str">
        <f aca="false">IF($X52="","",SUMIFS('Per Line'!$Y$2:$Y$4001,'Per Line'!$D$2:$D$4001,$B52,'Per Line'!$AJ$2:$AJ$4001,1))</f>
        <v/>
      </c>
      <c r="S52" s="22" t="str">
        <f aca="false">IF($X52="","",R52*Q52)</f>
        <v/>
      </c>
      <c r="T52" s="22" t="str">
        <f aca="false">IF($X52="","",S52+P52)</f>
        <v/>
      </c>
      <c r="U52" s="22" t="str">
        <f aca="false">IF($X52="","",V52-T52)</f>
        <v/>
      </c>
      <c r="V52" s="22" t="str">
        <f aca="false">IF($X52="","",O52+R52)</f>
        <v/>
      </c>
      <c r="W52" s="22" t="str">
        <f aca="false">IF($X52="","",U52-L52)</f>
        <v/>
      </c>
      <c r="X52" s="24" t="str">
        <f aca="false">IF(ROWS($X$2:$X52)&lt;=MAX('Per Line'!$AI$2:$AI$4001),MATCH(ROWS($X$2:$X52),'Per Line'!$AI$2:$AI$4001,0),"")</f>
        <v/>
      </c>
    </row>
    <row r="53" customFormat="false" ht="15" hidden="false" customHeight="false" outlineLevel="0" collapsed="false">
      <c r="A53" s="19"/>
      <c r="B53" s="20" t="str">
        <f aca="false">IF($X53="","",INDEX('Per Line'!$D$2:$D$4001,$X53))</f>
        <v/>
      </c>
      <c r="C53" s="20" t="str">
        <f aca="false">IF($X53="","",INDEX('Per Line'!$C$2:$C$4001,$X53))</f>
        <v/>
      </c>
      <c r="D53" s="20" t="str">
        <f aca="false">IF($X53="","",INDEX('Per Line'!$A$2:$A$4001,$X53))</f>
        <v/>
      </c>
      <c r="E53" s="21" t="str">
        <f aca="false">IF($X53="","",INDEX('Per Line'!$F$2:$F$4001,$X53))</f>
        <v/>
      </c>
      <c r="F53" s="20" t="str">
        <f aca="false">IF($X53="","",INDEX('Per Line'!$G$2:$G$4001,$X53))</f>
        <v/>
      </c>
      <c r="G53" s="20" t="str">
        <f aca="false">IF($X53="","",INDEX('Per Line'!$I$2:$I$4001,$X53))</f>
        <v/>
      </c>
      <c r="H53" s="20" t="str">
        <f aca="false">IF($X53="","",INDEX('Per Line'!$J$2:$J$4001,$X53))</f>
        <v/>
      </c>
      <c r="I53" s="20" t="str">
        <f aca="false">IF($X53="","",INDEX('Per Line'!$K$2:$K$4001,$X53))</f>
        <v/>
      </c>
      <c r="J53" s="20" t="str">
        <f aca="false">IF($X53="","",INDEX('Per Line'!$L$2:$L$4001,$X53))</f>
        <v/>
      </c>
      <c r="K53" s="20" t="str">
        <f aca="false">IF($X53="","",INDEX('Per Line'!$M$2:$M$4001,$X53))</f>
        <v/>
      </c>
      <c r="L53" s="22" t="str">
        <f aca="false">IF($X53="","",K53*V53/100)</f>
        <v/>
      </c>
      <c r="M53" s="20" t="str">
        <f aca="false">IF($X53="","",INDEX('Per Line'!$Z$2:$Z$4001,$X53))</f>
        <v/>
      </c>
      <c r="N53" s="23" t="str">
        <f aca="false">IF($X53="","",Settings!$C$7)</f>
        <v/>
      </c>
      <c r="O53" s="22" t="str">
        <f aca="false">IF($X53="","",SUMIFS('Per Line'!$Y$2:$Y$4001,'Per Line'!$D$2:$D$4001,$B53,'Per Line'!$AJ$2:$AJ$4001,0))</f>
        <v/>
      </c>
      <c r="P53" s="22" t="str">
        <f aca="false">IF($X53="","",O53*N53)</f>
        <v/>
      </c>
      <c r="Q53" s="23" t="str">
        <f aca="false">IF($X53="","",Settings!$C$6)</f>
        <v/>
      </c>
      <c r="R53" s="22" t="str">
        <f aca="false">IF($X53="","",SUMIFS('Per Line'!$Y$2:$Y$4001,'Per Line'!$D$2:$D$4001,$B53,'Per Line'!$AJ$2:$AJ$4001,1))</f>
        <v/>
      </c>
      <c r="S53" s="22" t="str">
        <f aca="false">IF($X53="","",R53*Q53)</f>
        <v/>
      </c>
      <c r="T53" s="22" t="str">
        <f aca="false">IF($X53="","",S53+P53)</f>
        <v/>
      </c>
      <c r="U53" s="22" t="str">
        <f aca="false">IF($X53="","",V53-T53)</f>
        <v/>
      </c>
      <c r="V53" s="22" t="str">
        <f aca="false">IF($X53="","",O53+R53)</f>
        <v/>
      </c>
      <c r="W53" s="22" t="str">
        <f aca="false">IF($X53="","",U53-L53)</f>
        <v/>
      </c>
      <c r="X53" s="24" t="str">
        <f aca="false">IF(ROWS($X$2:$X53)&lt;=MAX('Per Line'!$AI$2:$AI$4001),MATCH(ROWS($X$2:$X53),'Per Line'!$AI$2:$AI$4001,0),"")</f>
        <v/>
      </c>
    </row>
    <row r="54" customFormat="false" ht="15" hidden="false" customHeight="false" outlineLevel="0" collapsed="false">
      <c r="A54" s="19"/>
      <c r="B54" s="20" t="str">
        <f aca="false">IF($X54="","",INDEX('Per Line'!$D$2:$D$4001,$X54))</f>
        <v/>
      </c>
      <c r="C54" s="20" t="str">
        <f aca="false">IF($X54="","",INDEX('Per Line'!$C$2:$C$4001,$X54))</f>
        <v/>
      </c>
      <c r="D54" s="20" t="str">
        <f aca="false">IF($X54="","",INDEX('Per Line'!$A$2:$A$4001,$X54))</f>
        <v/>
      </c>
      <c r="E54" s="21" t="str">
        <f aca="false">IF($X54="","",INDEX('Per Line'!$F$2:$F$4001,$X54))</f>
        <v/>
      </c>
      <c r="F54" s="20" t="str">
        <f aca="false">IF($X54="","",INDEX('Per Line'!$G$2:$G$4001,$X54))</f>
        <v/>
      </c>
      <c r="G54" s="20" t="str">
        <f aca="false">IF($X54="","",INDEX('Per Line'!$I$2:$I$4001,$X54))</f>
        <v/>
      </c>
      <c r="H54" s="20" t="str">
        <f aca="false">IF($X54="","",INDEX('Per Line'!$J$2:$J$4001,$X54))</f>
        <v/>
      </c>
      <c r="I54" s="20" t="str">
        <f aca="false">IF($X54="","",INDEX('Per Line'!$K$2:$K$4001,$X54))</f>
        <v/>
      </c>
      <c r="J54" s="20" t="str">
        <f aca="false">IF($X54="","",INDEX('Per Line'!$L$2:$L$4001,$X54))</f>
        <v/>
      </c>
      <c r="K54" s="20" t="str">
        <f aca="false">IF($X54="","",INDEX('Per Line'!$M$2:$M$4001,$X54))</f>
        <v/>
      </c>
      <c r="L54" s="22" t="str">
        <f aca="false">IF($X54="","",K54*V54/100)</f>
        <v/>
      </c>
      <c r="M54" s="20" t="str">
        <f aca="false">IF($X54="","",INDEX('Per Line'!$Z$2:$Z$4001,$X54))</f>
        <v/>
      </c>
      <c r="N54" s="23" t="str">
        <f aca="false">IF($X54="","",Settings!$C$7)</f>
        <v/>
      </c>
      <c r="O54" s="22" t="str">
        <f aca="false">IF($X54="","",SUMIFS('Per Line'!$Y$2:$Y$4001,'Per Line'!$D$2:$D$4001,$B54,'Per Line'!$AJ$2:$AJ$4001,0))</f>
        <v/>
      </c>
      <c r="P54" s="22" t="str">
        <f aca="false">IF($X54="","",O54*N54)</f>
        <v/>
      </c>
      <c r="Q54" s="23" t="str">
        <f aca="false">IF($X54="","",Settings!$C$6)</f>
        <v/>
      </c>
      <c r="R54" s="22" t="str">
        <f aca="false">IF($X54="","",SUMIFS('Per Line'!$Y$2:$Y$4001,'Per Line'!$D$2:$D$4001,$B54,'Per Line'!$AJ$2:$AJ$4001,1))</f>
        <v/>
      </c>
      <c r="S54" s="22" t="str">
        <f aca="false">IF($X54="","",R54*Q54)</f>
        <v/>
      </c>
      <c r="T54" s="22" t="str">
        <f aca="false">IF($X54="","",S54+P54)</f>
        <v/>
      </c>
      <c r="U54" s="22" t="str">
        <f aca="false">IF($X54="","",V54-T54)</f>
        <v/>
      </c>
      <c r="V54" s="22" t="str">
        <f aca="false">IF($X54="","",O54+R54)</f>
        <v/>
      </c>
      <c r="W54" s="22" t="str">
        <f aca="false">IF($X54="","",U54-L54)</f>
        <v/>
      </c>
      <c r="X54" s="24" t="str">
        <f aca="false">IF(ROWS($X$2:$X54)&lt;=MAX('Per Line'!$AI$2:$AI$4001),MATCH(ROWS($X$2:$X54),'Per Line'!$AI$2:$AI$4001,0),"")</f>
        <v/>
      </c>
    </row>
    <row r="55" customFormat="false" ht="15" hidden="false" customHeight="false" outlineLevel="0" collapsed="false">
      <c r="A55" s="19"/>
      <c r="B55" s="20" t="str">
        <f aca="false">IF($X55="","",INDEX('Per Line'!$D$2:$D$4001,$X55))</f>
        <v/>
      </c>
      <c r="C55" s="20" t="str">
        <f aca="false">IF($X55="","",INDEX('Per Line'!$C$2:$C$4001,$X55))</f>
        <v/>
      </c>
      <c r="D55" s="20" t="str">
        <f aca="false">IF($X55="","",INDEX('Per Line'!$A$2:$A$4001,$X55))</f>
        <v/>
      </c>
      <c r="E55" s="21" t="str">
        <f aca="false">IF($X55="","",INDEX('Per Line'!$F$2:$F$4001,$X55))</f>
        <v/>
      </c>
      <c r="F55" s="20" t="str">
        <f aca="false">IF($X55="","",INDEX('Per Line'!$G$2:$G$4001,$X55))</f>
        <v/>
      </c>
      <c r="G55" s="20" t="str">
        <f aca="false">IF($X55="","",INDEX('Per Line'!$I$2:$I$4001,$X55))</f>
        <v/>
      </c>
      <c r="H55" s="20" t="str">
        <f aca="false">IF($X55="","",INDEX('Per Line'!$J$2:$J$4001,$X55))</f>
        <v/>
      </c>
      <c r="I55" s="20" t="str">
        <f aca="false">IF($X55="","",INDEX('Per Line'!$K$2:$K$4001,$X55))</f>
        <v/>
      </c>
      <c r="J55" s="20" t="str">
        <f aca="false">IF($X55="","",INDEX('Per Line'!$L$2:$L$4001,$X55))</f>
        <v/>
      </c>
      <c r="K55" s="20" t="str">
        <f aca="false">IF($X55="","",INDEX('Per Line'!$M$2:$M$4001,$X55))</f>
        <v/>
      </c>
      <c r="L55" s="22" t="str">
        <f aca="false">IF($X55="","",K55*V55/100)</f>
        <v/>
      </c>
      <c r="M55" s="20" t="str">
        <f aca="false">IF($X55="","",INDEX('Per Line'!$Z$2:$Z$4001,$X55))</f>
        <v/>
      </c>
      <c r="N55" s="23" t="str">
        <f aca="false">IF($X55="","",Settings!$C$7)</f>
        <v/>
      </c>
      <c r="O55" s="22" t="str">
        <f aca="false">IF($X55="","",SUMIFS('Per Line'!$Y$2:$Y$4001,'Per Line'!$D$2:$D$4001,$B55,'Per Line'!$AJ$2:$AJ$4001,0))</f>
        <v/>
      </c>
      <c r="P55" s="22" t="str">
        <f aca="false">IF($X55="","",O55*N55)</f>
        <v/>
      </c>
      <c r="Q55" s="23" t="str">
        <f aca="false">IF($X55="","",Settings!$C$6)</f>
        <v/>
      </c>
      <c r="R55" s="22" t="str">
        <f aca="false">IF($X55="","",SUMIFS('Per Line'!$Y$2:$Y$4001,'Per Line'!$D$2:$D$4001,$B55,'Per Line'!$AJ$2:$AJ$4001,1))</f>
        <v/>
      </c>
      <c r="S55" s="22" t="str">
        <f aca="false">IF($X55="","",R55*Q55)</f>
        <v/>
      </c>
      <c r="T55" s="22" t="str">
        <f aca="false">IF($X55="","",S55+P55)</f>
        <v/>
      </c>
      <c r="U55" s="22" t="str">
        <f aca="false">IF($X55="","",V55-T55)</f>
        <v/>
      </c>
      <c r="V55" s="22" t="str">
        <f aca="false">IF($X55="","",O55+R55)</f>
        <v/>
      </c>
      <c r="W55" s="22" t="str">
        <f aca="false">IF($X55="","",U55-L55)</f>
        <v/>
      </c>
      <c r="X55" s="24" t="str">
        <f aca="false">IF(ROWS($X$2:$X55)&lt;=MAX('Per Line'!$AI$2:$AI$4001),MATCH(ROWS($X$2:$X55),'Per Line'!$AI$2:$AI$4001,0),"")</f>
        <v/>
      </c>
    </row>
    <row r="56" customFormat="false" ht="15" hidden="false" customHeight="false" outlineLevel="0" collapsed="false">
      <c r="A56" s="19"/>
      <c r="B56" s="20" t="str">
        <f aca="false">IF($X56="","",INDEX('Per Line'!$D$2:$D$4001,$X56))</f>
        <v/>
      </c>
      <c r="C56" s="20" t="str">
        <f aca="false">IF($X56="","",INDEX('Per Line'!$C$2:$C$4001,$X56))</f>
        <v/>
      </c>
      <c r="D56" s="20" t="str">
        <f aca="false">IF($X56="","",INDEX('Per Line'!$A$2:$A$4001,$X56))</f>
        <v/>
      </c>
      <c r="E56" s="21" t="str">
        <f aca="false">IF($X56="","",INDEX('Per Line'!$F$2:$F$4001,$X56))</f>
        <v/>
      </c>
      <c r="F56" s="20" t="str">
        <f aca="false">IF($X56="","",INDEX('Per Line'!$G$2:$G$4001,$X56))</f>
        <v/>
      </c>
      <c r="G56" s="20" t="str">
        <f aca="false">IF($X56="","",INDEX('Per Line'!$I$2:$I$4001,$X56))</f>
        <v/>
      </c>
      <c r="H56" s="20" t="str">
        <f aca="false">IF($X56="","",INDEX('Per Line'!$J$2:$J$4001,$X56))</f>
        <v/>
      </c>
      <c r="I56" s="20" t="str">
        <f aca="false">IF($X56="","",INDEX('Per Line'!$K$2:$K$4001,$X56))</f>
        <v/>
      </c>
      <c r="J56" s="20" t="str">
        <f aca="false">IF($X56="","",INDEX('Per Line'!$L$2:$L$4001,$X56))</f>
        <v/>
      </c>
      <c r="K56" s="20" t="str">
        <f aca="false">IF($X56="","",INDEX('Per Line'!$M$2:$M$4001,$X56))</f>
        <v/>
      </c>
      <c r="L56" s="22" t="str">
        <f aca="false">IF($X56="","",K56*V56/100)</f>
        <v/>
      </c>
      <c r="M56" s="20" t="str">
        <f aca="false">IF($X56="","",INDEX('Per Line'!$Z$2:$Z$4001,$X56))</f>
        <v/>
      </c>
      <c r="N56" s="23" t="str">
        <f aca="false">IF($X56="","",Settings!$C$7)</f>
        <v/>
      </c>
      <c r="O56" s="22" t="str">
        <f aca="false">IF($X56="","",SUMIFS('Per Line'!$Y$2:$Y$4001,'Per Line'!$D$2:$D$4001,$B56,'Per Line'!$AJ$2:$AJ$4001,0))</f>
        <v/>
      </c>
      <c r="P56" s="22" t="str">
        <f aca="false">IF($X56="","",O56*N56)</f>
        <v/>
      </c>
      <c r="Q56" s="23" t="str">
        <f aca="false">IF($X56="","",Settings!$C$6)</f>
        <v/>
      </c>
      <c r="R56" s="22" t="str">
        <f aca="false">IF($X56="","",SUMIFS('Per Line'!$Y$2:$Y$4001,'Per Line'!$D$2:$D$4001,$B56,'Per Line'!$AJ$2:$AJ$4001,1))</f>
        <v/>
      </c>
      <c r="S56" s="22" t="str">
        <f aca="false">IF($X56="","",R56*Q56)</f>
        <v/>
      </c>
      <c r="T56" s="22" t="str">
        <f aca="false">IF($X56="","",S56+P56)</f>
        <v/>
      </c>
      <c r="U56" s="22" t="str">
        <f aca="false">IF($X56="","",V56-T56)</f>
        <v/>
      </c>
      <c r="V56" s="22" t="str">
        <f aca="false">IF($X56="","",O56+R56)</f>
        <v/>
      </c>
      <c r="W56" s="22" t="str">
        <f aca="false">IF($X56="","",U56-L56)</f>
        <v/>
      </c>
      <c r="X56" s="24" t="str">
        <f aca="false">IF(ROWS($X$2:$X56)&lt;=MAX('Per Line'!$AI$2:$AI$4001),MATCH(ROWS($X$2:$X56),'Per Line'!$AI$2:$AI$4001,0),"")</f>
        <v/>
      </c>
    </row>
    <row r="57" customFormat="false" ht="15" hidden="false" customHeight="false" outlineLevel="0" collapsed="false">
      <c r="A57" s="19"/>
      <c r="B57" s="20" t="str">
        <f aca="false">IF($X57="","",INDEX('Per Line'!$D$2:$D$4001,$X57))</f>
        <v/>
      </c>
      <c r="C57" s="20" t="str">
        <f aca="false">IF($X57="","",INDEX('Per Line'!$C$2:$C$4001,$X57))</f>
        <v/>
      </c>
      <c r="D57" s="20" t="str">
        <f aca="false">IF($X57="","",INDEX('Per Line'!$A$2:$A$4001,$X57))</f>
        <v/>
      </c>
      <c r="E57" s="21" t="str">
        <f aca="false">IF($X57="","",INDEX('Per Line'!$F$2:$F$4001,$X57))</f>
        <v/>
      </c>
      <c r="F57" s="20" t="str">
        <f aca="false">IF($X57="","",INDEX('Per Line'!$G$2:$G$4001,$X57))</f>
        <v/>
      </c>
      <c r="G57" s="20" t="str">
        <f aca="false">IF($X57="","",INDEX('Per Line'!$I$2:$I$4001,$X57))</f>
        <v/>
      </c>
      <c r="H57" s="20" t="str">
        <f aca="false">IF($X57="","",INDEX('Per Line'!$J$2:$J$4001,$X57))</f>
        <v/>
      </c>
      <c r="I57" s="20" t="str">
        <f aca="false">IF($X57="","",INDEX('Per Line'!$K$2:$K$4001,$X57))</f>
        <v/>
      </c>
      <c r="J57" s="20" t="str">
        <f aca="false">IF($X57="","",INDEX('Per Line'!$L$2:$L$4001,$X57))</f>
        <v/>
      </c>
      <c r="K57" s="20" t="str">
        <f aca="false">IF($X57="","",INDEX('Per Line'!$M$2:$M$4001,$X57))</f>
        <v/>
      </c>
      <c r="L57" s="22" t="str">
        <f aca="false">IF($X57="","",K57*V57/100)</f>
        <v/>
      </c>
      <c r="M57" s="20" t="str">
        <f aca="false">IF($X57="","",INDEX('Per Line'!$Z$2:$Z$4001,$X57))</f>
        <v/>
      </c>
      <c r="N57" s="23" t="str">
        <f aca="false">IF($X57="","",Settings!$C$7)</f>
        <v/>
      </c>
      <c r="O57" s="22" t="str">
        <f aca="false">IF($X57="","",SUMIFS('Per Line'!$Y$2:$Y$4001,'Per Line'!$D$2:$D$4001,$B57,'Per Line'!$AJ$2:$AJ$4001,0))</f>
        <v/>
      </c>
      <c r="P57" s="22" t="str">
        <f aca="false">IF($X57="","",O57*N57)</f>
        <v/>
      </c>
      <c r="Q57" s="23" t="str">
        <f aca="false">IF($X57="","",Settings!$C$6)</f>
        <v/>
      </c>
      <c r="R57" s="22" t="str">
        <f aca="false">IF($X57="","",SUMIFS('Per Line'!$Y$2:$Y$4001,'Per Line'!$D$2:$D$4001,$B57,'Per Line'!$AJ$2:$AJ$4001,1))</f>
        <v/>
      </c>
      <c r="S57" s="22" t="str">
        <f aca="false">IF($X57="","",R57*Q57)</f>
        <v/>
      </c>
      <c r="T57" s="22" t="str">
        <f aca="false">IF($X57="","",S57+P57)</f>
        <v/>
      </c>
      <c r="U57" s="22" t="str">
        <f aca="false">IF($X57="","",V57-T57)</f>
        <v/>
      </c>
      <c r="V57" s="22" t="str">
        <f aca="false">IF($X57="","",O57+R57)</f>
        <v/>
      </c>
      <c r="W57" s="22" t="str">
        <f aca="false">IF($X57="","",U57-L57)</f>
        <v/>
      </c>
      <c r="X57" s="24" t="str">
        <f aca="false">IF(ROWS($X$2:$X57)&lt;=MAX('Per Line'!$AI$2:$AI$4001),MATCH(ROWS($X$2:$X57),'Per Line'!$AI$2:$AI$4001,0),"")</f>
        <v/>
      </c>
    </row>
    <row r="58" customFormat="false" ht="15" hidden="false" customHeight="false" outlineLevel="0" collapsed="false">
      <c r="A58" s="19"/>
      <c r="B58" s="20" t="str">
        <f aca="false">IF($X58="","",INDEX('Per Line'!$D$2:$D$4001,$X58))</f>
        <v/>
      </c>
      <c r="C58" s="20" t="str">
        <f aca="false">IF($X58="","",INDEX('Per Line'!$C$2:$C$4001,$X58))</f>
        <v/>
      </c>
      <c r="D58" s="20" t="str">
        <f aca="false">IF($X58="","",INDEX('Per Line'!$A$2:$A$4001,$X58))</f>
        <v/>
      </c>
      <c r="E58" s="21" t="str">
        <f aca="false">IF($X58="","",INDEX('Per Line'!$F$2:$F$4001,$X58))</f>
        <v/>
      </c>
      <c r="F58" s="20" t="str">
        <f aca="false">IF($X58="","",INDEX('Per Line'!$G$2:$G$4001,$X58))</f>
        <v/>
      </c>
      <c r="G58" s="20" t="str">
        <f aca="false">IF($X58="","",INDEX('Per Line'!$I$2:$I$4001,$X58))</f>
        <v/>
      </c>
      <c r="H58" s="20" t="str">
        <f aca="false">IF($X58="","",INDEX('Per Line'!$J$2:$J$4001,$X58))</f>
        <v/>
      </c>
      <c r="I58" s="20" t="str">
        <f aca="false">IF($X58="","",INDEX('Per Line'!$K$2:$K$4001,$X58))</f>
        <v/>
      </c>
      <c r="J58" s="20" t="str">
        <f aca="false">IF($X58="","",INDEX('Per Line'!$L$2:$L$4001,$X58))</f>
        <v/>
      </c>
      <c r="K58" s="20" t="str">
        <f aca="false">IF($X58="","",INDEX('Per Line'!$M$2:$M$4001,$X58))</f>
        <v/>
      </c>
      <c r="L58" s="22" t="str">
        <f aca="false">IF($X58="","",K58*V58/100)</f>
        <v/>
      </c>
      <c r="M58" s="20" t="str">
        <f aca="false">IF($X58="","",INDEX('Per Line'!$Z$2:$Z$4001,$X58))</f>
        <v/>
      </c>
      <c r="N58" s="23" t="str">
        <f aca="false">IF($X58="","",Settings!$C$7)</f>
        <v/>
      </c>
      <c r="O58" s="22" t="str">
        <f aca="false">IF($X58="","",SUMIFS('Per Line'!$Y$2:$Y$4001,'Per Line'!$D$2:$D$4001,$B58,'Per Line'!$AJ$2:$AJ$4001,0))</f>
        <v/>
      </c>
      <c r="P58" s="22" t="str">
        <f aca="false">IF($X58="","",O58*N58)</f>
        <v/>
      </c>
      <c r="Q58" s="23" t="str">
        <f aca="false">IF($X58="","",Settings!$C$6)</f>
        <v/>
      </c>
      <c r="R58" s="22" t="str">
        <f aca="false">IF($X58="","",SUMIFS('Per Line'!$Y$2:$Y$4001,'Per Line'!$D$2:$D$4001,$B58,'Per Line'!$AJ$2:$AJ$4001,1))</f>
        <v/>
      </c>
      <c r="S58" s="22" t="str">
        <f aca="false">IF($X58="","",R58*Q58)</f>
        <v/>
      </c>
      <c r="T58" s="22" t="str">
        <f aca="false">IF($X58="","",S58+P58)</f>
        <v/>
      </c>
      <c r="U58" s="22" t="str">
        <f aca="false">IF($X58="","",V58-T58)</f>
        <v/>
      </c>
      <c r="V58" s="22" t="str">
        <f aca="false">IF($X58="","",O58+R58)</f>
        <v/>
      </c>
      <c r="W58" s="22" t="str">
        <f aca="false">IF($X58="","",U58-L58)</f>
        <v/>
      </c>
      <c r="X58" s="24" t="str">
        <f aca="false">IF(ROWS($X$2:$X58)&lt;=MAX('Per Line'!$AI$2:$AI$4001),MATCH(ROWS($X$2:$X58),'Per Line'!$AI$2:$AI$4001,0),"")</f>
        <v/>
      </c>
    </row>
    <row r="59" customFormat="false" ht="15" hidden="false" customHeight="false" outlineLevel="0" collapsed="false">
      <c r="A59" s="19"/>
      <c r="B59" s="20" t="str">
        <f aca="false">IF($X59="","",INDEX('Per Line'!$D$2:$D$4001,$X59))</f>
        <v/>
      </c>
      <c r="C59" s="20" t="str">
        <f aca="false">IF($X59="","",INDEX('Per Line'!$C$2:$C$4001,$X59))</f>
        <v/>
      </c>
      <c r="D59" s="20" t="str">
        <f aca="false">IF($X59="","",INDEX('Per Line'!$A$2:$A$4001,$X59))</f>
        <v/>
      </c>
      <c r="E59" s="21" t="str">
        <f aca="false">IF($X59="","",INDEX('Per Line'!$F$2:$F$4001,$X59))</f>
        <v/>
      </c>
      <c r="F59" s="20" t="str">
        <f aca="false">IF($X59="","",INDEX('Per Line'!$G$2:$G$4001,$X59))</f>
        <v/>
      </c>
      <c r="G59" s="20" t="str">
        <f aca="false">IF($X59="","",INDEX('Per Line'!$I$2:$I$4001,$X59))</f>
        <v/>
      </c>
      <c r="H59" s="20" t="str">
        <f aca="false">IF($X59="","",INDEX('Per Line'!$J$2:$J$4001,$X59))</f>
        <v/>
      </c>
      <c r="I59" s="20" t="str">
        <f aca="false">IF($X59="","",INDEX('Per Line'!$K$2:$K$4001,$X59))</f>
        <v/>
      </c>
      <c r="J59" s="20" t="str">
        <f aca="false">IF($X59="","",INDEX('Per Line'!$L$2:$L$4001,$X59))</f>
        <v/>
      </c>
      <c r="K59" s="20" t="str">
        <f aca="false">IF($X59="","",INDEX('Per Line'!$M$2:$M$4001,$X59))</f>
        <v/>
      </c>
      <c r="L59" s="22" t="str">
        <f aca="false">IF($X59="","",K59*V59/100)</f>
        <v/>
      </c>
      <c r="M59" s="20" t="str">
        <f aca="false">IF($X59="","",INDEX('Per Line'!$Z$2:$Z$4001,$X59))</f>
        <v/>
      </c>
      <c r="N59" s="23" t="str">
        <f aca="false">IF($X59="","",Settings!$C$7)</f>
        <v/>
      </c>
      <c r="O59" s="22" t="str">
        <f aca="false">IF($X59="","",SUMIFS('Per Line'!$Y$2:$Y$4001,'Per Line'!$D$2:$D$4001,$B59,'Per Line'!$AJ$2:$AJ$4001,0))</f>
        <v/>
      </c>
      <c r="P59" s="22" t="str">
        <f aca="false">IF($X59="","",O59*N59)</f>
        <v/>
      </c>
      <c r="Q59" s="23" t="str">
        <f aca="false">IF($X59="","",Settings!$C$6)</f>
        <v/>
      </c>
      <c r="R59" s="22" t="str">
        <f aca="false">IF($X59="","",SUMIFS('Per Line'!$Y$2:$Y$4001,'Per Line'!$D$2:$D$4001,$B59,'Per Line'!$AJ$2:$AJ$4001,1))</f>
        <v/>
      </c>
      <c r="S59" s="22" t="str">
        <f aca="false">IF($X59="","",R59*Q59)</f>
        <v/>
      </c>
      <c r="T59" s="22" t="str">
        <f aca="false">IF($X59="","",S59+P59)</f>
        <v/>
      </c>
      <c r="U59" s="22" t="str">
        <f aca="false">IF($X59="","",V59-T59)</f>
        <v/>
      </c>
      <c r="V59" s="22" t="str">
        <f aca="false">IF($X59="","",O59+R59)</f>
        <v/>
      </c>
      <c r="W59" s="22" t="str">
        <f aca="false">IF($X59="","",U59-L59)</f>
        <v/>
      </c>
      <c r="X59" s="24" t="str">
        <f aca="false">IF(ROWS($X$2:$X59)&lt;=MAX('Per Line'!$AI$2:$AI$4001),MATCH(ROWS($X$2:$X59),'Per Line'!$AI$2:$AI$4001,0),"")</f>
        <v/>
      </c>
    </row>
    <row r="60" customFormat="false" ht="15" hidden="false" customHeight="false" outlineLevel="0" collapsed="false">
      <c r="A60" s="19"/>
      <c r="B60" s="20" t="str">
        <f aca="false">IF($X60="","",INDEX('Per Line'!$D$2:$D$4001,$X60))</f>
        <v/>
      </c>
      <c r="C60" s="20" t="str">
        <f aca="false">IF($X60="","",INDEX('Per Line'!$C$2:$C$4001,$X60))</f>
        <v/>
      </c>
      <c r="D60" s="20" t="str">
        <f aca="false">IF($X60="","",INDEX('Per Line'!$A$2:$A$4001,$X60))</f>
        <v/>
      </c>
      <c r="E60" s="21" t="str">
        <f aca="false">IF($X60="","",INDEX('Per Line'!$F$2:$F$4001,$X60))</f>
        <v/>
      </c>
      <c r="F60" s="20" t="str">
        <f aca="false">IF($X60="","",INDEX('Per Line'!$G$2:$G$4001,$X60))</f>
        <v/>
      </c>
      <c r="G60" s="20" t="str">
        <f aca="false">IF($X60="","",INDEX('Per Line'!$I$2:$I$4001,$X60))</f>
        <v/>
      </c>
      <c r="H60" s="20" t="str">
        <f aca="false">IF($X60="","",INDEX('Per Line'!$J$2:$J$4001,$X60))</f>
        <v/>
      </c>
      <c r="I60" s="20" t="str">
        <f aca="false">IF($X60="","",INDEX('Per Line'!$K$2:$K$4001,$X60))</f>
        <v/>
      </c>
      <c r="J60" s="20" t="str">
        <f aca="false">IF($X60="","",INDEX('Per Line'!$L$2:$L$4001,$X60))</f>
        <v/>
      </c>
      <c r="K60" s="20" t="str">
        <f aca="false">IF($X60="","",INDEX('Per Line'!$M$2:$M$4001,$X60))</f>
        <v/>
      </c>
      <c r="L60" s="22" t="str">
        <f aca="false">IF($X60="","",K60*V60/100)</f>
        <v/>
      </c>
      <c r="M60" s="20" t="str">
        <f aca="false">IF($X60="","",INDEX('Per Line'!$Z$2:$Z$4001,$X60))</f>
        <v/>
      </c>
      <c r="N60" s="23" t="str">
        <f aca="false">IF($X60="","",Settings!$C$7)</f>
        <v/>
      </c>
      <c r="O60" s="22" t="str">
        <f aca="false">IF($X60="","",SUMIFS('Per Line'!$Y$2:$Y$4001,'Per Line'!$D$2:$D$4001,$B60,'Per Line'!$AJ$2:$AJ$4001,0))</f>
        <v/>
      </c>
      <c r="P60" s="22" t="str">
        <f aca="false">IF($X60="","",O60*N60)</f>
        <v/>
      </c>
      <c r="Q60" s="23" t="str">
        <f aca="false">IF($X60="","",Settings!$C$6)</f>
        <v/>
      </c>
      <c r="R60" s="22" t="str">
        <f aca="false">IF($X60="","",SUMIFS('Per Line'!$Y$2:$Y$4001,'Per Line'!$D$2:$D$4001,$B60,'Per Line'!$AJ$2:$AJ$4001,1))</f>
        <v/>
      </c>
      <c r="S60" s="22" t="str">
        <f aca="false">IF($X60="","",R60*Q60)</f>
        <v/>
      </c>
      <c r="T60" s="22" t="str">
        <f aca="false">IF($X60="","",S60+P60)</f>
        <v/>
      </c>
      <c r="U60" s="22" t="str">
        <f aca="false">IF($X60="","",V60-T60)</f>
        <v/>
      </c>
      <c r="V60" s="22" t="str">
        <f aca="false">IF($X60="","",O60+R60)</f>
        <v/>
      </c>
      <c r="W60" s="22" t="str">
        <f aca="false">IF($X60="","",U60-L60)</f>
        <v/>
      </c>
      <c r="X60" s="24" t="str">
        <f aca="false">IF(ROWS($X$2:$X60)&lt;=MAX('Per Line'!$AI$2:$AI$4001),MATCH(ROWS($X$2:$X60),'Per Line'!$AI$2:$AI$4001,0),"")</f>
        <v/>
      </c>
    </row>
    <row r="61" customFormat="false" ht="15" hidden="false" customHeight="false" outlineLevel="0" collapsed="false">
      <c r="A61" s="19"/>
      <c r="B61" s="20" t="str">
        <f aca="false">IF($X61="","",INDEX('Per Line'!$D$2:$D$4001,$X61))</f>
        <v/>
      </c>
      <c r="C61" s="20" t="str">
        <f aca="false">IF($X61="","",INDEX('Per Line'!$C$2:$C$4001,$X61))</f>
        <v/>
      </c>
      <c r="D61" s="20" t="str">
        <f aca="false">IF($X61="","",INDEX('Per Line'!$A$2:$A$4001,$X61))</f>
        <v/>
      </c>
      <c r="E61" s="21" t="str">
        <f aca="false">IF($X61="","",INDEX('Per Line'!$F$2:$F$4001,$X61))</f>
        <v/>
      </c>
      <c r="F61" s="20" t="str">
        <f aca="false">IF($X61="","",INDEX('Per Line'!$G$2:$G$4001,$X61))</f>
        <v/>
      </c>
      <c r="G61" s="20" t="str">
        <f aca="false">IF($X61="","",INDEX('Per Line'!$I$2:$I$4001,$X61))</f>
        <v/>
      </c>
      <c r="H61" s="20" t="str">
        <f aca="false">IF($X61="","",INDEX('Per Line'!$J$2:$J$4001,$X61))</f>
        <v/>
      </c>
      <c r="I61" s="20" t="str">
        <f aca="false">IF($X61="","",INDEX('Per Line'!$K$2:$K$4001,$X61))</f>
        <v/>
      </c>
      <c r="J61" s="20" t="str">
        <f aca="false">IF($X61="","",INDEX('Per Line'!$L$2:$L$4001,$X61))</f>
        <v/>
      </c>
      <c r="K61" s="20" t="str">
        <f aca="false">IF($X61="","",INDEX('Per Line'!$M$2:$M$4001,$X61))</f>
        <v/>
      </c>
      <c r="L61" s="22" t="str">
        <f aca="false">IF($X61="","",K61*V61/100)</f>
        <v/>
      </c>
      <c r="M61" s="20" t="str">
        <f aca="false">IF($X61="","",INDEX('Per Line'!$Z$2:$Z$4001,$X61))</f>
        <v/>
      </c>
      <c r="N61" s="23" t="str">
        <f aca="false">IF($X61="","",Settings!$C$7)</f>
        <v/>
      </c>
      <c r="O61" s="22" t="str">
        <f aca="false">IF($X61="","",SUMIFS('Per Line'!$Y$2:$Y$4001,'Per Line'!$D$2:$D$4001,$B61,'Per Line'!$AJ$2:$AJ$4001,0))</f>
        <v/>
      </c>
      <c r="P61" s="22" t="str">
        <f aca="false">IF($X61="","",O61*N61)</f>
        <v/>
      </c>
      <c r="Q61" s="23" t="str">
        <f aca="false">IF($X61="","",Settings!$C$6)</f>
        <v/>
      </c>
      <c r="R61" s="22" t="str">
        <f aca="false">IF($X61="","",SUMIFS('Per Line'!$Y$2:$Y$4001,'Per Line'!$D$2:$D$4001,$B61,'Per Line'!$AJ$2:$AJ$4001,1))</f>
        <v/>
      </c>
      <c r="S61" s="22" t="str">
        <f aca="false">IF($X61="","",R61*Q61)</f>
        <v/>
      </c>
      <c r="T61" s="22" t="str">
        <f aca="false">IF($X61="","",S61+P61)</f>
        <v/>
      </c>
      <c r="U61" s="22" t="str">
        <f aca="false">IF($X61="","",V61-T61)</f>
        <v/>
      </c>
      <c r="V61" s="22" t="str">
        <f aca="false">IF($X61="","",O61+R61)</f>
        <v/>
      </c>
      <c r="W61" s="22" t="str">
        <f aca="false">IF($X61="","",U61-L61)</f>
        <v/>
      </c>
      <c r="X61" s="24" t="str">
        <f aca="false">IF(ROWS($X$2:$X61)&lt;=MAX('Per Line'!$AI$2:$AI$4001),MATCH(ROWS($X$2:$X61),'Per Line'!$AI$2:$AI$4001,0),"")</f>
        <v/>
      </c>
    </row>
    <row r="62" customFormat="false" ht="15" hidden="false" customHeight="false" outlineLevel="0" collapsed="false">
      <c r="A62" s="19"/>
      <c r="B62" s="20" t="str">
        <f aca="false">IF($X62="","",INDEX('Per Line'!$D$2:$D$4001,$X62))</f>
        <v/>
      </c>
      <c r="C62" s="20" t="str">
        <f aca="false">IF($X62="","",INDEX('Per Line'!$C$2:$C$4001,$X62))</f>
        <v/>
      </c>
      <c r="D62" s="20" t="str">
        <f aca="false">IF($X62="","",INDEX('Per Line'!$A$2:$A$4001,$X62))</f>
        <v/>
      </c>
      <c r="E62" s="21" t="str">
        <f aca="false">IF($X62="","",INDEX('Per Line'!$F$2:$F$4001,$X62))</f>
        <v/>
      </c>
      <c r="F62" s="20" t="str">
        <f aca="false">IF($X62="","",INDEX('Per Line'!$G$2:$G$4001,$X62))</f>
        <v/>
      </c>
      <c r="G62" s="20" t="str">
        <f aca="false">IF($X62="","",INDEX('Per Line'!$I$2:$I$4001,$X62))</f>
        <v/>
      </c>
      <c r="H62" s="20" t="str">
        <f aca="false">IF($X62="","",INDEX('Per Line'!$J$2:$J$4001,$X62))</f>
        <v/>
      </c>
      <c r="I62" s="20" t="str">
        <f aca="false">IF($X62="","",INDEX('Per Line'!$K$2:$K$4001,$X62))</f>
        <v/>
      </c>
      <c r="J62" s="20" t="str">
        <f aca="false">IF($X62="","",INDEX('Per Line'!$L$2:$L$4001,$X62))</f>
        <v/>
      </c>
      <c r="K62" s="20" t="str">
        <f aca="false">IF($X62="","",INDEX('Per Line'!$M$2:$M$4001,$X62))</f>
        <v/>
      </c>
      <c r="L62" s="22" t="str">
        <f aca="false">IF($X62="","",K62*V62/100)</f>
        <v/>
      </c>
      <c r="M62" s="20" t="str">
        <f aca="false">IF($X62="","",INDEX('Per Line'!$Z$2:$Z$4001,$X62))</f>
        <v/>
      </c>
      <c r="N62" s="23" t="str">
        <f aca="false">IF($X62="","",Settings!$C$7)</f>
        <v/>
      </c>
      <c r="O62" s="22" t="str">
        <f aca="false">IF($X62="","",SUMIFS('Per Line'!$Y$2:$Y$4001,'Per Line'!$D$2:$D$4001,$B62,'Per Line'!$AJ$2:$AJ$4001,0))</f>
        <v/>
      </c>
      <c r="P62" s="22" t="str">
        <f aca="false">IF($X62="","",O62*N62)</f>
        <v/>
      </c>
      <c r="Q62" s="23" t="str">
        <f aca="false">IF($X62="","",Settings!$C$6)</f>
        <v/>
      </c>
      <c r="R62" s="22" t="str">
        <f aca="false">IF($X62="","",SUMIFS('Per Line'!$Y$2:$Y$4001,'Per Line'!$D$2:$D$4001,$B62,'Per Line'!$AJ$2:$AJ$4001,1))</f>
        <v/>
      </c>
      <c r="S62" s="22" t="str">
        <f aca="false">IF($X62="","",R62*Q62)</f>
        <v/>
      </c>
      <c r="T62" s="22" t="str">
        <f aca="false">IF($X62="","",S62+P62)</f>
        <v/>
      </c>
      <c r="U62" s="22" t="str">
        <f aca="false">IF($X62="","",V62-T62)</f>
        <v/>
      </c>
      <c r="V62" s="22" t="str">
        <f aca="false">IF($X62="","",O62+R62)</f>
        <v/>
      </c>
      <c r="W62" s="22" t="str">
        <f aca="false">IF($X62="","",U62-L62)</f>
        <v/>
      </c>
      <c r="X62" s="24" t="str">
        <f aca="false">IF(ROWS($X$2:$X62)&lt;=MAX('Per Line'!$AI$2:$AI$4001),MATCH(ROWS($X$2:$X62),'Per Line'!$AI$2:$AI$4001,0),"")</f>
        <v/>
      </c>
    </row>
    <row r="63" customFormat="false" ht="15" hidden="false" customHeight="false" outlineLevel="0" collapsed="false">
      <c r="A63" s="19"/>
      <c r="B63" s="20" t="str">
        <f aca="false">IF($X63="","",INDEX('Per Line'!$D$2:$D$4001,$X63))</f>
        <v/>
      </c>
      <c r="C63" s="20" t="str">
        <f aca="false">IF($X63="","",INDEX('Per Line'!$C$2:$C$4001,$X63))</f>
        <v/>
      </c>
      <c r="D63" s="20" t="str">
        <f aca="false">IF($X63="","",INDEX('Per Line'!$A$2:$A$4001,$X63))</f>
        <v/>
      </c>
      <c r="E63" s="21" t="str">
        <f aca="false">IF($X63="","",INDEX('Per Line'!$F$2:$F$4001,$X63))</f>
        <v/>
      </c>
      <c r="F63" s="20" t="str">
        <f aca="false">IF($X63="","",INDEX('Per Line'!$G$2:$G$4001,$X63))</f>
        <v/>
      </c>
      <c r="G63" s="20" t="str">
        <f aca="false">IF($X63="","",INDEX('Per Line'!$I$2:$I$4001,$X63))</f>
        <v/>
      </c>
      <c r="H63" s="20" t="str">
        <f aca="false">IF($X63="","",INDEX('Per Line'!$J$2:$J$4001,$X63))</f>
        <v/>
      </c>
      <c r="I63" s="20" t="str">
        <f aca="false">IF($X63="","",INDEX('Per Line'!$K$2:$K$4001,$X63))</f>
        <v/>
      </c>
      <c r="J63" s="20" t="str">
        <f aca="false">IF($X63="","",INDEX('Per Line'!$L$2:$L$4001,$X63))</f>
        <v/>
      </c>
      <c r="K63" s="20" t="str">
        <f aca="false">IF($X63="","",INDEX('Per Line'!$M$2:$M$4001,$X63))</f>
        <v/>
      </c>
      <c r="L63" s="22" t="str">
        <f aca="false">IF($X63="","",K63*V63/100)</f>
        <v/>
      </c>
      <c r="M63" s="20" t="str">
        <f aca="false">IF($X63="","",INDEX('Per Line'!$Z$2:$Z$4001,$X63))</f>
        <v/>
      </c>
      <c r="N63" s="23" t="str">
        <f aca="false">IF($X63="","",Settings!$C$7)</f>
        <v/>
      </c>
      <c r="O63" s="22" t="str">
        <f aca="false">IF($X63="","",SUMIFS('Per Line'!$Y$2:$Y$4001,'Per Line'!$D$2:$D$4001,$B63,'Per Line'!$AJ$2:$AJ$4001,0))</f>
        <v/>
      </c>
      <c r="P63" s="22" t="str">
        <f aca="false">IF($X63="","",O63*N63)</f>
        <v/>
      </c>
      <c r="Q63" s="23" t="str">
        <f aca="false">IF($X63="","",Settings!$C$6)</f>
        <v/>
      </c>
      <c r="R63" s="22" t="str">
        <f aca="false">IF($X63="","",SUMIFS('Per Line'!$Y$2:$Y$4001,'Per Line'!$D$2:$D$4001,$B63,'Per Line'!$AJ$2:$AJ$4001,1))</f>
        <v/>
      </c>
      <c r="S63" s="22" t="str">
        <f aca="false">IF($X63="","",R63*Q63)</f>
        <v/>
      </c>
      <c r="T63" s="22" t="str">
        <f aca="false">IF($X63="","",S63+P63)</f>
        <v/>
      </c>
      <c r="U63" s="22" t="str">
        <f aca="false">IF($X63="","",V63-T63)</f>
        <v/>
      </c>
      <c r="V63" s="22" t="str">
        <f aca="false">IF($X63="","",O63+R63)</f>
        <v/>
      </c>
      <c r="W63" s="22" t="str">
        <f aca="false">IF($X63="","",U63-L63)</f>
        <v/>
      </c>
      <c r="X63" s="24" t="str">
        <f aca="false">IF(ROWS($X$2:$X63)&lt;=MAX('Per Line'!$AI$2:$AI$4001),MATCH(ROWS($X$2:$X63),'Per Line'!$AI$2:$AI$4001,0),"")</f>
        <v/>
      </c>
    </row>
    <row r="64" customFormat="false" ht="15" hidden="false" customHeight="false" outlineLevel="0" collapsed="false">
      <c r="A64" s="19"/>
      <c r="B64" s="20" t="str">
        <f aca="false">IF($X64="","",INDEX('Per Line'!$D$2:$D$4001,$X64))</f>
        <v/>
      </c>
      <c r="C64" s="20" t="str">
        <f aca="false">IF($X64="","",INDEX('Per Line'!$C$2:$C$4001,$X64))</f>
        <v/>
      </c>
      <c r="D64" s="20" t="str">
        <f aca="false">IF($X64="","",INDEX('Per Line'!$A$2:$A$4001,$X64))</f>
        <v/>
      </c>
      <c r="E64" s="21" t="str">
        <f aca="false">IF($X64="","",INDEX('Per Line'!$F$2:$F$4001,$X64))</f>
        <v/>
      </c>
      <c r="F64" s="20" t="str">
        <f aca="false">IF($X64="","",INDEX('Per Line'!$G$2:$G$4001,$X64))</f>
        <v/>
      </c>
      <c r="G64" s="20" t="str">
        <f aca="false">IF($X64="","",INDEX('Per Line'!$I$2:$I$4001,$X64))</f>
        <v/>
      </c>
      <c r="H64" s="20" t="str">
        <f aca="false">IF($X64="","",INDEX('Per Line'!$J$2:$J$4001,$X64))</f>
        <v/>
      </c>
      <c r="I64" s="20" t="str">
        <f aca="false">IF($X64="","",INDEX('Per Line'!$K$2:$K$4001,$X64))</f>
        <v/>
      </c>
      <c r="J64" s="20" t="str">
        <f aca="false">IF($X64="","",INDEX('Per Line'!$L$2:$L$4001,$X64))</f>
        <v/>
      </c>
      <c r="K64" s="20" t="str">
        <f aca="false">IF($X64="","",INDEX('Per Line'!$M$2:$M$4001,$X64))</f>
        <v/>
      </c>
      <c r="L64" s="22" t="str">
        <f aca="false">IF($X64="","",K64*V64/100)</f>
        <v/>
      </c>
      <c r="M64" s="20" t="str">
        <f aca="false">IF($X64="","",INDEX('Per Line'!$Z$2:$Z$4001,$X64))</f>
        <v/>
      </c>
      <c r="N64" s="23" t="str">
        <f aca="false">IF($X64="","",Settings!$C$7)</f>
        <v/>
      </c>
      <c r="O64" s="22" t="str">
        <f aca="false">IF($X64="","",SUMIFS('Per Line'!$Y$2:$Y$4001,'Per Line'!$D$2:$D$4001,$B64,'Per Line'!$AJ$2:$AJ$4001,0))</f>
        <v/>
      </c>
      <c r="P64" s="22" t="str">
        <f aca="false">IF($X64="","",O64*N64)</f>
        <v/>
      </c>
      <c r="Q64" s="23" t="str">
        <f aca="false">IF($X64="","",Settings!$C$6)</f>
        <v/>
      </c>
      <c r="R64" s="22" t="str">
        <f aca="false">IF($X64="","",SUMIFS('Per Line'!$Y$2:$Y$4001,'Per Line'!$D$2:$D$4001,$B64,'Per Line'!$AJ$2:$AJ$4001,1))</f>
        <v/>
      </c>
      <c r="S64" s="22" t="str">
        <f aca="false">IF($X64="","",R64*Q64)</f>
        <v/>
      </c>
      <c r="T64" s="22" t="str">
        <f aca="false">IF($X64="","",S64+P64)</f>
        <v/>
      </c>
      <c r="U64" s="22" t="str">
        <f aca="false">IF($X64="","",V64-T64)</f>
        <v/>
      </c>
      <c r="V64" s="22" t="str">
        <f aca="false">IF($X64="","",O64+R64)</f>
        <v/>
      </c>
      <c r="W64" s="22" t="str">
        <f aca="false">IF($X64="","",U64-L64)</f>
        <v/>
      </c>
      <c r="X64" s="24" t="str">
        <f aca="false">IF(ROWS($X$2:$X64)&lt;=MAX('Per Line'!$AI$2:$AI$4001),MATCH(ROWS($X$2:$X64),'Per Line'!$AI$2:$AI$4001,0),"")</f>
        <v/>
      </c>
    </row>
    <row r="65" customFormat="false" ht="15" hidden="false" customHeight="false" outlineLevel="0" collapsed="false">
      <c r="A65" s="19"/>
      <c r="B65" s="20" t="str">
        <f aca="false">IF($X65="","",INDEX('Per Line'!$D$2:$D$4001,$X65))</f>
        <v/>
      </c>
      <c r="C65" s="20" t="str">
        <f aca="false">IF($X65="","",INDEX('Per Line'!$C$2:$C$4001,$X65))</f>
        <v/>
      </c>
      <c r="D65" s="20" t="str">
        <f aca="false">IF($X65="","",INDEX('Per Line'!$A$2:$A$4001,$X65))</f>
        <v/>
      </c>
      <c r="E65" s="21" t="str">
        <f aca="false">IF($X65="","",INDEX('Per Line'!$F$2:$F$4001,$X65))</f>
        <v/>
      </c>
      <c r="F65" s="20" t="str">
        <f aca="false">IF($X65="","",INDEX('Per Line'!$G$2:$G$4001,$X65))</f>
        <v/>
      </c>
      <c r="G65" s="20" t="str">
        <f aca="false">IF($X65="","",INDEX('Per Line'!$I$2:$I$4001,$X65))</f>
        <v/>
      </c>
      <c r="H65" s="20" t="str">
        <f aca="false">IF($X65="","",INDEX('Per Line'!$J$2:$J$4001,$X65))</f>
        <v/>
      </c>
      <c r="I65" s="20" t="str">
        <f aca="false">IF($X65="","",INDEX('Per Line'!$K$2:$K$4001,$X65))</f>
        <v/>
      </c>
      <c r="J65" s="20" t="str">
        <f aca="false">IF($X65="","",INDEX('Per Line'!$L$2:$L$4001,$X65))</f>
        <v/>
      </c>
      <c r="K65" s="20" t="str">
        <f aca="false">IF($X65="","",INDEX('Per Line'!$M$2:$M$4001,$X65))</f>
        <v/>
      </c>
      <c r="L65" s="22" t="str">
        <f aca="false">IF($X65="","",K65*V65/100)</f>
        <v/>
      </c>
      <c r="M65" s="20" t="str">
        <f aca="false">IF($X65="","",INDEX('Per Line'!$Z$2:$Z$4001,$X65))</f>
        <v/>
      </c>
      <c r="N65" s="23" t="str">
        <f aca="false">IF($X65="","",Settings!$C$7)</f>
        <v/>
      </c>
      <c r="O65" s="22" t="str">
        <f aca="false">IF($X65="","",SUMIFS('Per Line'!$Y$2:$Y$4001,'Per Line'!$D$2:$D$4001,$B65,'Per Line'!$AJ$2:$AJ$4001,0))</f>
        <v/>
      </c>
      <c r="P65" s="22" t="str">
        <f aca="false">IF($X65="","",O65*N65)</f>
        <v/>
      </c>
      <c r="Q65" s="23" t="str">
        <f aca="false">IF($X65="","",Settings!$C$6)</f>
        <v/>
      </c>
      <c r="R65" s="22" t="str">
        <f aca="false">IF($X65="","",SUMIFS('Per Line'!$Y$2:$Y$4001,'Per Line'!$D$2:$D$4001,$B65,'Per Line'!$AJ$2:$AJ$4001,1))</f>
        <v/>
      </c>
      <c r="S65" s="22" t="str">
        <f aca="false">IF($X65="","",R65*Q65)</f>
        <v/>
      </c>
      <c r="T65" s="22" t="str">
        <f aca="false">IF($X65="","",S65+P65)</f>
        <v/>
      </c>
      <c r="U65" s="22" t="str">
        <f aca="false">IF($X65="","",V65-T65)</f>
        <v/>
      </c>
      <c r="V65" s="22" t="str">
        <f aca="false">IF($X65="","",O65+R65)</f>
        <v/>
      </c>
      <c r="W65" s="22" t="str">
        <f aca="false">IF($X65="","",U65-L65)</f>
        <v/>
      </c>
      <c r="X65" s="24" t="str">
        <f aca="false">IF(ROWS($X$2:$X65)&lt;=MAX('Per Line'!$AI$2:$AI$4001),MATCH(ROWS($X$2:$X65),'Per Line'!$AI$2:$AI$4001,0),"")</f>
        <v/>
      </c>
    </row>
    <row r="66" customFormat="false" ht="15" hidden="false" customHeight="false" outlineLevel="0" collapsed="false">
      <c r="A66" s="19"/>
      <c r="B66" s="20" t="str">
        <f aca="false">IF($X66="","",INDEX('Per Line'!$D$2:$D$4001,$X66))</f>
        <v/>
      </c>
      <c r="C66" s="20" t="str">
        <f aca="false">IF($X66="","",INDEX('Per Line'!$C$2:$C$4001,$X66))</f>
        <v/>
      </c>
      <c r="D66" s="20" t="str">
        <f aca="false">IF($X66="","",INDEX('Per Line'!$A$2:$A$4001,$X66))</f>
        <v/>
      </c>
      <c r="E66" s="21" t="str">
        <f aca="false">IF($X66="","",INDEX('Per Line'!$F$2:$F$4001,$X66))</f>
        <v/>
      </c>
      <c r="F66" s="20" t="str">
        <f aca="false">IF($X66="","",INDEX('Per Line'!$G$2:$G$4001,$X66))</f>
        <v/>
      </c>
      <c r="G66" s="20" t="str">
        <f aca="false">IF($X66="","",INDEX('Per Line'!$I$2:$I$4001,$X66))</f>
        <v/>
      </c>
      <c r="H66" s="20" t="str">
        <f aca="false">IF($X66="","",INDEX('Per Line'!$J$2:$J$4001,$X66))</f>
        <v/>
      </c>
      <c r="I66" s="20" t="str">
        <f aca="false">IF($X66="","",INDEX('Per Line'!$K$2:$K$4001,$X66))</f>
        <v/>
      </c>
      <c r="J66" s="20" t="str">
        <f aca="false">IF($X66="","",INDEX('Per Line'!$L$2:$L$4001,$X66))</f>
        <v/>
      </c>
      <c r="K66" s="20" t="str">
        <f aca="false">IF($X66="","",INDEX('Per Line'!$M$2:$M$4001,$X66))</f>
        <v/>
      </c>
      <c r="L66" s="22" t="str">
        <f aca="false">IF($X66="","",K66*V66/100)</f>
        <v/>
      </c>
      <c r="M66" s="20" t="str">
        <f aca="false">IF($X66="","",INDEX('Per Line'!$Z$2:$Z$4001,$X66))</f>
        <v/>
      </c>
      <c r="N66" s="23" t="str">
        <f aca="false">IF($X66="","",Settings!$C$7)</f>
        <v/>
      </c>
      <c r="O66" s="22" t="str">
        <f aca="false">IF($X66="","",SUMIFS('Per Line'!$Y$2:$Y$4001,'Per Line'!$D$2:$D$4001,$B66,'Per Line'!$AJ$2:$AJ$4001,0))</f>
        <v/>
      </c>
      <c r="P66" s="22" t="str">
        <f aca="false">IF($X66="","",O66*N66)</f>
        <v/>
      </c>
      <c r="Q66" s="23" t="str">
        <f aca="false">IF($X66="","",Settings!$C$6)</f>
        <v/>
      </c>
      <c r="R66" s="22" t="str">
        <f aca="false">IF($X66="","",SUMIFS('Per Line'!$Y$2:$Y$4001,'Per Line'!$D$2:$D$4001,$B66,'Per Line'!$AJ$2:$AJ$4001,1))</f>
        <v/>
      </c>
      <c r="S66" s="22" t="str">
        <f aca="false">IF($X66="","",R66*Q66)</f>
        <v/>
      </c>
      <c r="T66" s="22" t="str">
        <f aca="false">IF($X66="","",S66+P66)</f>
        <v/>
      </c>
      <c r="U66" s="22" t="str">
        <f aca="false">IF($X66="","",V66-T66)</f>
        <v/>
      </c>
      <c r="V66" s="22" t="str">
        <f aca="false">IF($X66="","",O66+R66)</f>
        <v/>
      </c>
      <c r="W66" s="22" t="str">
        <f aca="false">IF($X66="","",U66-L66)</f>
        <v/>
      </c>
      <c r="X66" s="24" t="str">
        <f aca="false">IF(ROWS($X$2:$X66)&lt;=MAX('Per Line'!$AI$2:$AI$4001),MATCH(ROWS($X$2:$X66),'Per Line'!$AI$2:$AI$4001,0),"")</f>
        <v/>
      </c>
    </row>
    <row r="67" customFormat="false" ht="15" hidden="false" customHeight="false" outlineLevel="0" collapsed="false">
      <c r="A67" s="19"/>
      <c r="B67" s="20" t="str">
        <f aca="false">IF($X67="","",INDEX('Per Line'!$D$2:$D$4001,$X67))</f>
        <v/>
      </c>
      <c r="C67" s="20" t="str">
        <f aca="false">IF($X67="","",INDEX('Per Line'!$C$2:$C$4001,$X67))</f>
        <v/>
      </c>
      <c r="D67" s="20" t="str">
        <f aca="false">IF($X67="","",INDEX('Per Line'!$A$2:$A$4001,$X67))</f>
        <v/>
      </c>
      <c r="E67" s="21" t="str">
        <f aca="false">IF($X67="","",INDEX('Per Line'!$F$2:$F$4001,$X67))</f>
        <v/>
      </c>
      <c r="F67" s="20" t="str">
        <f aca="false">IF($X67="","",INDEX('Per Line'!$G$2:$G$4001,$X67))</f>
        <v/>
      </c>
      <c r="G67" s="20" t="str">
        <f aca="false">IF($X67="","",INDEX('Per Line'!$I$2:$I$4001,$X67))</f>
        <v/>
      </c>
      <c r="H67" s="20" t="str">
        <f aca="false">IF($X67="","",INDEX('Per Line'!$J$2:$J$4001,$X67))</f>
        <v/>
      </c>
      <c r="I67" s="20" t="str">
        <f aca="false">IF($X67="","",INDEX('Per Line'!$K$2:$K$4001,$X67))</f>
        <v/>
      </c>
      <c r="J67" s="20" t="str">
        <f aca="false">IF($X67="","",INDEX('Per Line'!$L$2:$L$4001,$X67))</f>
        <v/>
      </c>
      <c r="K67" s="20" t="str">
        <f aca="false">IF($X67="","",INDEX('Per Line'!$M$2:$M$4001,$X67))</f>
        <v/>
      </c>
      <c r="L67" s="22" t="str">
        <f aca="false">IF($X67="","",K67*V67/100)</f>
        <v/>
      </c>
      <c r="M67" s="20" t="str">
        <f aca="false">IF($X67="","",INDEX('Per Line'!$Z$2:$Z$4001,$X67))</f>
        <v/>
      </c>
      <c r="N67" s="23" t="str">
        <f aca="false">IF($X67="","",Settings!$C$7)</f>
        <v/>
      </c>
      <c r="O67" s="22" t="str">
        <f aca="false">IF($X67="","",SUMIFS('Per Line'!$Y$2:$Y$4001,'Per Line'!$D$2:$D$4001,$B67,'Per Line'!$AJ$2:$AJ$4001,0))</f>
        <v/>
      </c>
      <c r="P67" s="22" t="str">
        <f aca="false">IF($X67="","",O67*N67)</f>
        <v/>
      </c>
      <c r="Q67" s="23" t="str">
        <f aca="false">IF($X67="","",Settings!$C$6)</f>
        <v/>
      </c>
      <c r="R67" s="22" t="str">
        <f aca="false">IF($X67="","",SUMIFS('Per Line'!$Y$2:$Y$4001,'Per Line'!$D$2:$D$4001,$B67,'Per Line'!$AJ$2:$AJ$4001,1))</f>
        <v/>
      </c>
      <c r="S67" s="22" t="str">
        <f aca="false">IF($X67="","",R67*Q67)</f>
        <v/>
      </c>
      <c r="T67" s="22" t="str">
        <f aca="false">IF($X67="","",S67+P67)</f>
        <v/>
      </c>
      <c r="U67" s="22" t="str">
        <f aca="false">IF($X67="","",V67-T67)</f>
        <v/>
      </c>
      <c r="V67" s="22" t="str">
        <f aca="false">IF($X67="","",O67+R67)</f>
        <v/>
      </c>
      <c r="W67" s="22" t="str">
        <f aca="false">IF($X67="","",U67-L67)</f>
        <v/>
      </c>
      <c r="X67" s="24" t="str">
        <f aca="false">IF(ROWS($X$2:$X67)&lt;=MAX('Per Line'!$AI$2:$AI$4001),MATCH(ROWS($X$2:$X67),'Per Line'!$AI$2:$AI$4001,0),"")</f>
        <v/>
      </c>
    </row>
    <row r="68" customFormat="false" ht="15" hidden="false" customHeight="false" outlineLevel="0" collapsed="false">
      <c r="A68" s="19"/>
      <c r="B68" s="20" t="str">
        <f aca="false">IF($X68="","",INDEX('Per Line'!$D$2:$D$4001,$X68))</f>
        <v/>
      </c>
      <c r="C68" s="20" t="str">
        <f aca="false">IF($X68="","",INDEX('Per Line'!$C$2:$C$4001,$X68))</f>
        <v/>
      </c>
      <c r="D68" s="20" t="str">
        <f aca="false">IF($X68="","",INDEX('Per Line'!$A$2:$A$4001,$X68))</f>
        <v/>
      </c>
      <c r="E68" s="21" t="str">
        <f aca="false">IF($X68="","",INDEX('Per Line'!$F$2:$F$4001,$X68))</f>
        <v/>
      </c>
      <c r="F68" s="20" t="str">
        <f aca="false">IF($X68="","",INDEX('Per Line'!$G$2:$G$4001,$X68))</f>
        <v/>
      </c>
      <c r="G68" s="20" t="str">
        <f aca="false">IF($X68="","",INDEX('Per Line'!$I$2:$I$4001,$X68))</f>
        <v/>
      </c>
      <c r="H68" s="20" t="str">
        <f aca="false">IF($X68="","",INDEX('Per Line'!$J$2:$J$4001,$X68))</f>
        <v/>
      </c>
      <c r="I68" s="20" t="str">
        <f aca="false">IF($X68="","",INDEX('Per Line'!$K$2:$K$4001,$X68))</f>
        <v/>
      </c>
      <c r="J68" s="20" t="str">
        <f aca="false">IF($X68="","",INDEX('Per Line'!$L$2:$L$4001,$X68))</f>
        <v/>
      </c>
      <c r="K68" s="20" t="str">
        <f aca="false">IF($X68="","",INDEX('Per Line'!$M$2:$M$4001,$X68))</f>
        <v/>
      </c>
      <c r="L68" s="22" t="str">
        <f aca="false">IF($X68="","",K68*V68/100)</f>
        <v/>
      </c>
      <c r="M68" s="20" t="str">
        <f aca="false">IF($X68="","",INDEX('Per Line'!$Z$2:$Z$4001,$X68))</f>
        <v/>
      </c>
      <c r="N68" s="23" t="str">
        <f aca="false">IF($X68="","",Settings!$C$7)</f>
        <v/>
      </c>
      <c r="O68" s="22" t="str">
        <f aca="false">IF($X68="","",SUMIFS('Per Line'!$Y$2:$Y$4001,'Per Line'!$D$2:$D$4001,$B68,'Per Line'!$AJ$2:$AJ$4001,0))</f>
        <v/>
      </c>
      <c r="P68" s="22" t="str">
        <f aca="false">IF($X68="","",O68*N68)</f>
        <v/>
      </c>
      <c r="Q68" s="23" t="str">
        <f aca="false">IF($X68="","",Settings!$C$6)</f>
        <v/>
      </c>
      <c r="R68" s="22" t="str">
        <f aca="false">IF($X68="","",SUMIFS('Per Line'!$Y$2:$Y$4001,'Per Line'!$D$2:$D$4001,$B68,'Per Line'!$AJ$2:$AJ$4001,1))</f>
        <v/>
      </c>
      <c r="S68" s="22" t="str">
        <f aca="false">IF($X68="","",R68*Q68)</f>
        <v/>
      </c>
      <c r="T68" s="22" t="str">
        <f aca="false">IF($X68="","",S68+P68)</f>
        <v/>
      </c>
      <c r="U68" s="22" t="str">
        <f aca="false">IF($X68="","",V68-T68)</f>
        <v/>
      </c>
      <c r="V68" s="22" t="str">
        <f aca="false">IF($X68="","",O68+R68)</f>
        <v/>
      </c>
      <c r="W68" s="22" t="str">
        <f aca="false">IF($X68="","",U68-L68)</f>
        <v/>
      </c>
      <c r="X68" s="24" t="str">
        <f aca="false">IF(ROWS($X$2:$X68)&lt;=MAX('Per Line'!$AI$2:$AI$4001),MATCH(ROWS($X$2:$X68),'Per Line'!$AI$2:$AI$4001,0),"")</f>
        <v/>
      </c>
    </row>
    <row r="69" customFormat="false" ht="15" hidden="false" customHeight="false" outlineLevel="0" collapsed="false">
      <c r="A69" s="19"/>
      <c r="B69" s="20" t="str">
        <f aca="false">IF($X69="","",INDEX('Per Line'!$D$2:$D$4001,$X69))</f>
        <v/>
      </c>
      <c r="C69" s="20" t="str">
        <f aca="false">IF($X69="","",INDEX('Per Line'!$C$2:$C$4001,$X69))</f>
        <v/>
      </c>
      <c r="D69" s="20" t="str">
        <f aca="false">IF($X69="","",INDEX('Per Line'!$A$2:$A$4001,$X69))</f>
        <v/>
      </c>
      <c r="E69" s="21" t="str">
        <f aca="false">IF($X69="","",INDEX('Per Line'!$F$2:$F$4001,$X69))</f>
        <v/>
      </c>
      <c r="F69" s="20" t="str">
        <f aca="false">IF($X69="","",INDEX('Per Line'!$G$2:$G$4001,$X69))</f>
        <v/>
      </c>
      <c r="G69" s="20" t="str">
        <f aca="false">IF($X69="","",INDEX('Per Line'!$I$2:$I$4001,$X69))</f>
        <v/>
      </c>
      <c r="H69" s="20" t="str">
        <f aca="false">IF($X69="","",INDEX('Per Line'!$J$2:$J$4001,$X69))</f>
        <v/>
      </c>
      <c r="I69" s="20" t="str">
        <f aca="false">IF($X69="","",INDEX('Per Line'!$K$2:$K$4001,$X69))</f>
        <v/>
      </c>
      <c r="J69" s="20" t="str">
        <f aca="false">IF($X69="","",INDEX('Per Line'!$L$2:$L$4001,$X69))</f>
        <v/>
      </c>
      <c r="K69" s="20" t="str">
        <f aca="false">IF($X69="","",INDEX('Per Line'!$M$2:$M$4001,$X69))</f>
        <v/>
      </c>
      <c r="L69" s="22" t="str">
        <f aca="false">IF($X69="","",K69*V69/100)</f>
        <v/>
      </c>
      <c r="M69" s="20" t="str">
        <f aca="false">IF($X69="","",INDEX('Per Line'!$Z$2:$Z$4001,$X69))</f>
        <v/>
      </c>
      <c r="N69" s="23" t="str">
        <f aca="false">IF($X69="","",Settings!$C$7)</f>
        <v/>
      </c>
      <c r="O69" s="22" t="str">
        <f aca="false">IF($X69="","",SUMIFS('Per Line'!$Y$2:$Y$4001,'Per Line'!$D$2:$D$4001,$B69,'Per Line'!$AJ$2:$AJ$4001,0))</f>
        <v/>
      </c>
      <c r="P69" s="22" t="str">
        <f aca="false">IF($X69="","",O69*N69)</f>
        <v/>
      </c>
      <c r="Q69" s="23" t="str">
        <f aca="false">IF($X69="","",Settings!$C$6)</f>
        <v/>
      </c>
      <c r="R69" s="22" t="str">
        <f aca="false">IF($X69="","",SUMIFS('Per Line'!$Y$2:$Y$4001,'Per Line'!$D$2:$D$4001,$B69,'Per Line'!$AJ$2:$AJ$4001,1))</f>
        <v/>
      </c>
      <c r="S69" s="22" t="str">
        <f aca="false">IF($X69="","",R69*Q69)</f>
        <v/>
      </c>
      <c r="T69" s="22" t="str">
        <f aca="false">IF($X69="","",S69+P69)</f>
        <v/>
      </c>
      <c r="U69" s="22" t="str">
        <f aca="false">IF($X69="","",V69-T69)</f>
        <v/>
      </c>
      <c r="V69" s="22" t="str">
        <f aca="false">IF($X69="","",O69+R69)</f>
        <v/>
      </c>
      <c r="W69" s="22" t="str">
        <f aca="false">IF($X69="","",U69-L69)</f>
        <v/>
      </c>
      <c r="X69" s="24" t="str">
        <f aca="false">IF(ROWS($X$2:$X69)&lt;=MAX('Per Line'!$AI$2:$AI$4001),MATCH(ROWS($X$2:$X69),'Per Line'!$AI$2:$AI$4001,0),"")</f>
        <v/>
      </c>
    </row>
    <row r="70" customFormat="false" ht="15" hidden="false" customHeight="false" outlineLevel="0" collapsed="false">
      <c r="A70" s="19"/>
      <c r="B70" s="20" t="str">
        <f aca="false">IF($X70="","",INDEX('Per Line'!$D$2:$D$4001,$X70))</f>
        <v/>
      </c>
      <c r="C70" s="20" t="str">
        <f aca="false">IF($X70="","",INDEX('Per Line'!$C$2:$C$4001,$X70))</f>
        <v/>
      </c>
      <c r="D70" s="20" t="str">
        <f aca="false">IF($X70="","",INDEX('Per Line'!$A$2:$A$4001,$X70))</f>
        <v/>
      </c>
      <c r="E70" s="21" t="str">
        <f aca="false">IF($X70="","",INDEX('Per Line'!$F$2:$F$4001,$X70))</f>
        <v/>
      </c>
      <c r="F70" s="20" t="str">
        <f aca="false">IF($X70="","",INDEX('Per Line'!$G$2:$G$4001,$X70))</f>
        <v/>
      </c>
      <c r="G70" s="20" t="str">
        <f aca="false">IF($X70="","",INDEX('Per Line'!$I$2:$I$4001,$X70))</f>
        <v/>
      </c>
      <c r="H70" s="20" t="str">
        <f aca="false">IF($X70="","",INDEX('Per Line'!$J$2:$J$4001,$X70))</f>
        <v/>
      </c>
      <c r="I70" s="20" t="str">
        <f aca="false">IF($X70="","",INDEX('Per Line'!$K$2:$K$4001,$X70))</f>
        <v/>
      </c>
      <c r="J70" s="20" t="str">
        <f aca="false">IF($X70="","",INDEX('Per Line'!$L$2:$L$4001,$X70))</f>
        <v/>
      </c>
      <c r="K70" s="20" t="str">
        <f aca="false">IF($X70="","",INDEX('Per Line'!$M$2:$M$4001,$X70))</f>
        <v/>
      </c>
      <c r="L70" s="22" t="str">
        <f aca="false">IF($X70="","",K70*V70/100)</f>
        <v/>
      </c>
      <c r="M70" s="20" t="str">
        <f aca="false">IF($X70="","",INDEX('Per Line'!$Z$2:$Z$4001,$X70))</f>
        <v/>
      </c>
      <c r="N70" s="23" t="str">
        <f aca="false">IF($X70="","",Settings!$C$7)</f>
        <v/>
      </c>
      <c r="O70" s="22" t="str">
        <f aca="false">IF($X70="","",SUMIFS('Per Line'!$Y$2:$Y$4001,'Per Line'!$D$2:$D$4001,$B70,'Per Line'!$AJ$2:$AJ$4001,0))</f>
        <v/>
      </c>
      <c r="P70" s="22" t="str">
        <f aca="false">IF($X70="","",O70*N70)</f>
        <v/>
      </c>
      <c r="Q70" s="23" t="str">
        <f aca="false">IF($X70="","",Settings!$C$6)</f>
        <v/>
      </c>
      <c r="R70" s="22" t="str">
        <f aca="false">IF($X70="","",SUMIFS('Per Line'!$Y$2:$Y$4001,'Per Line'!$D$2:$D$4001,$B70,'Per Line'!$AJ$2:$AJ$4001,1))</f>
        <v/>
      </c>
      <c r="S70" s="22" t="str">
        <f aca="false">IF($X70="","",R70*Q70)</f>
        <v/>
      </c>
      <c r="T70" s="22" t="str">
        <f aca="false">IF($X70="","",S70+P70)</f>
        <v/>
      </c>
      <c r="U70" s="22" t="str">
        <f aca="false">IF($X70="","",V70-T70)</f>
        <v/>
      </c>
      <c r="V70" s="22" t="str">
        <f aca="false">IF($X70="","",O70+R70)</f>
        <v/>
      </c>
      <c r="W70" s="22" t="str">
        <f aca="false">IF($X70="","",U70-L70)</f>
        <v/>
      </c>
      <c r="X70" s="24" t="str">
        <f aca="false">IF(ROWS($X$2:$X70)&lt;=MAX('Per Line'!$AI$2:$AI$4001),MATCH(ROWS($X$2:$X70),'Per Line'!$AI$2:$AI$4001,0),"")</f>
        <v/>
      </c>
    </row>
    <row r="71" customFormat="false" ht="15" hidden="false" customHeight="false" outlineLevel="0" collapsed="false">
      <c r="A71" s="19"/>
      <c r="B71" s="20" t="str">
        <f aca="false">IF($X71="","",INDEX('Per Line'!$D$2:$D$4001,$X71))</f>
        <v/>
      </c>
      <c r="C71" s="20" t="str">
        <f aca="false">IF($X71="","",INDEX('Per Line'!$C$2:$C$4001,$X71))</f>
        <v/>
      </c>
      <c r="D71" s="20" t="str">
        <f aca="false">IF($X71="","",INDEX('Per Line'!$A$2:$A$4001,$X71))</f>
        <v/>
      </c>
      <c r="E71" s="21" t="str">
        <f aca="false">IF($X71="","",INDEX('Per Line'!$F$2:$F$4001,$X71))</f>
        <v/>
      </c>
      <c r="F71" s="20" t="str">
        <f aca="false">IF($X71="","",INDEX('Per Line'!$G$2:$G$4001,$X71))</f>
        <v/>
      </c>
      <c r="G71" s="20" t="str">
        <f aca="false">IF($X71="","",INDEX('Per Line'!$I$2:$I$4001,$X71))</f>
        <v/>
      </c>
      <c r="H71" s="20" t="str">
        <f aca="false">IF($X71="","",INDEX('Per Line'!$J$2:$J$4001,$X71))</f>
        <v/>
      </c>
      <c r="I71" s="20" t="str">
        <f aca="false">IF($X71="","",INDEX('Per Line'!$K$2:$K$4001,$X71))</f>
        <v/>
      </c>
      <c r="J71" s="20" t="str">
        <f aca="false">IF($X71="","",INDEX('Per Line'!$L$2:$L$4001,$X71))</f>
        <v/>
      </c>
      <c r="K71" s="20" t="str">
        <f aca="false">IF($X71="","",INDEX('Per Line'!$M$2:$M$4001,$X71))</f>
        <v/>
      </c>
      <c r="L71" s="22" t="str">
        <f aca="false">IF($X71="","",K71*V71/100)</f>
        <v/>
      </c>
      <c r="M71" s="20" t="str">
        <f aca="false">IF($X71="","",INDEX('Per Line'!$Z$2:$Z$4001,$X71))</f>
        <v/>
      </c>
      <c r="N71" s="23" t="str">
        <f aca="false">IF($X71="","",Settings!$C$7)</f>
        <v/>
      </c>
      <c r="O71" s="22" t="str">
        <f aca="false">IF($X71="","",SUMIFS('Per Line'!$Y$2:$Y$4001,'Per Line'!$D$2:$D$4001,$B71,'Per Line'!$AJ$2:$AJ$4001,0))</f>
        <v/>
      </c>
      <c r="P71" s="22" t="str">
        <f aca="false">IF($X71="","",O71*N71)</f>
        <v/>
      </c>
      <c r="Q71" s="23" t="str">
        <f aca="false">IF($X71="","",Settings!$C$6)</f>
        <v/>
      </c>
      <c r="R71" s="22" t="str">
        <f aca="false">IF($X71="","",SUMIFS('Per Line'!$Y$2:$Y$4001,'Per Line'!$D$2:$D$4001,$B71,'Per Line'!$AJ$2:$AJ$4001,1))</f>
        <v/>
      </c>
      <c r="S71" s="22" t="str">
        <f aca="false">IF($X71="","",R71*Q71)</f>
        <v/>
      </c>
      <c r="T71" s="22" t="str">
        <f aca="false">IF($X71="","",S71+P71)</f>
        <v/>
      </c>
      <c r="U71" s="22" t="str">
        <f aca="false">IF($X71="","",V71-T71)</f>
        <v/>
      </c>
      <c r="V71" s="22" t="str">
        <f aca="false">IF($X71="","",O71+R71)</f>
        <v/>
      </c>
      <c r="W71" s="22" t="str">
        <f aca="false">IF($X71="","",U71-L71)</f>
        <v/>
      </c>
      <c r="X71" s="24" t="str">
        <f aca="false">IF(ROWS($X$2:$X71)&lt;=MAX('Per Line'!$AI$2:$AI$4001),MATCH(ROWS($X$2:$X71),'Per Line'!$AI$2:$AI$4001,0),"")</f>
        <v/>
      </c>
    </row>
    <row r="72" customFormat="false" ht="15" hidden="false" customHeight="false" outlineLevel="0" collapsed="false">
      <c r="A72" s="19"/>
      <c r="B72" s="20" t="str">
        <f aca="false">IF($X72="","",INDEX('Per Line'!$D$2:$D$4001,$X72))</f>
        <v/>
      </c>
      <c r="C72" s="20" t="str">
        <f aca="false">IF($X72="","",INDEX('Per Line'!$C$2:$C$4001,$X72))</f>
        <v/>
      </c>
      <c r="D72" s="20" t="str">
        <f aca="false">IF($X72="","",INDEX('Per Line'!$A$2:$A$4001,$X72))</f>
        <v/>
      </c>
      <c r="E72" s="21" t="str">
        <f aca="false">IF($X72="","",INDEX('Per Line'!$F$2:$F$4001,$X72))</f>
        <v/>
      </c>
      <c r="F72" s="20" t="str">
        <f aca="false">IF($X72="","",INDEX('Per Line'!$G$2:$G$4001,$X72))</f>
        <v/>
      </c>
      <c r="G72" s="20" t="str">
        <f aca="false">IF($X72="","",INDEX('Per Line'!$I$2:$I$4001,$X72))</f>
        <v/>
      </c>
      <c r="H72" s="20" t="str">
        <f aca="false">IF($X72="","",INDEX('Per Line'!$J$2:$J$4001,$X72))</f>
        <v/>
      </c>
      <c r="I72" s="20" t="str">
        <f aca="false">IF($X72="","",INDEX('Per Line'!$K$2:$K$4001,$X72))</f>
        <v/>
      </c>
      <c r="J72" s="20" t="str">
        <f aca="false">IF($X72="","",INDEX('Per Line'!$L$2:$L$4001,$X72))</f>
        <v/>
      </c>
      <c r="K72" s="20" t="str">
        <f aca="false">IF($X72="","",INDEX('Per Line'!$M$2:$M$4001,$X72))</f>
        <v/>
      </c>
      <c r="L72" s="22" t="str">
        <f aca="false">IF($X72="","",K72*V72/100)</f>
        <v/>
      </c>
      <c r="M72" s="20" t="str">
        <f aca="false">IF($X72="","",INDEX('Per Line'!$Z$2:$Z$4001,$X72))</f>
        <v/>
      </c>
      <c r="N72" s="23" t="str">
        <f aca="false">IF($X72="","",Settings!$C$7)</f>
        <v/>
      </c>
      <c r="O72" s="22" t="str">
        <f aca="false">IF($X72="","",SUMIFS('Per Line'!$Y$2:$Y$4001,'Per Line'!$D$2:$D$4001,$B72,'Per Line'!$AJ$2:$AJ$4001,0))</f>
        <v/>
      </c>
      <c r="P72" s="22" t="str">
        <f aca="false">IF($X72="","",O72*N72)</f>
        <v/>
      </c>
      <c r="Q72" s="23" t="str">
        <f aca="false">IF($X72="","",Settings!$C$6)</f>
        <v/>
      </c>
      <c r="R72" s="22" t="str">
        <f aca="false">IF($X72="","",SUMIFS('Per Line'!$Y$2:$Y$4001,'Per Line'!$D$2:$D$4001,$B72,'Per Line'!$AJ$2:$AJ$4001,1))</f>
        <v/>
      </c>
      <c r="S72" s="22" t="str">
        <f aca="false">IF($X72="","",R72*Q72)</f>
        <v/>
      </c>
      <c r="T72" s="22" t="str">
        <f aca="false">IF($X72="","",S72+P72)</f>
        <v/>
      </c>
      <c r="U72" s="22" t="str">
        <f aca="false">IF($X72="","",V72-T72)</f>
        <v/>
      </c>
      <c r="V72" s="22" t="str">
        <f aca="false">IF($X72="","",O72+R72)</f>
        <v/>
      </c>
      <c r="W72" s="22" t="str">
        <f aca="false">IF($X72="","",U72-L72)</f>
        <v/>
      </c>
      <c r="X72" s="24" t="str">
        <f aca="false">IF(ROWS($X$2:$X72)&lt;=MAX('Per Line'!$AI$2:$AI$4001),MATCH(ROWS($X$2:$X72),'Per Line'!$AI$2:$AI$4001,0),"")</f>
        <v/>
      </c>
    </row>
    <row r="73" customFormat="false" ht="15" hidden="false" customHeight="false" outlineLevel="0" collapsed="false">
      <c r="A73" s="19"/>
      <c r="B73" s="20" t="str">
        <f aca="false">IF($X73="","",INDEX('Per Line'!$D$2:$D$4001,$X73))</f>
        <v/>
      </c>
      <c r="C73" s="20" t="str">
        <f aca="false">IF($X73="","",INDEX('Per Line'!$C$2:$C$4001,$X73))</f>
        <v/>
      </c>
      <c r="D73" s="20" t="str">
        <f aca="false">IF($X73="","",INDEX('Per Line'!$A$2:$A$4001,$X73))</f>
        <v/>
      </c>
      <c r="E73" s="21" t="str">
        <f aca="false">IF($X73="","",INDEX('Per Line'!$F$2:$F$4001,$X73))</f>
        <v/>
      </c>
      <c r="F73" s="20" t="str">
        <f aca="false">IF($X73="","",INDEX('Per Line'!$G$2:$G$4001,$X73))</f>
        <v/>
      </c>
      <c r="G73" s="20" t="str">
        <f aca="false">IF($X73="","",INDEX('Per Line'!$I$2:$I$4001,$X73))</f>
        <v/>
      </c>
      <c r="H73" s="20" t="str">
        <f aca="false">IF($X73="","",INDEX('Per Line'!$J$2:$J$4001,$X73))</f>
        <v/>
      </c>
      <c r="I73" s="20" t="str">
        <f aca="false">IF($X73="","",INDEX('Per Line'!$K$2:$K$4001,$X73))</f>
        <v/>
      </c>
      <c r="J73" s="20" t="str">
        <f aca="false">IF($X73="","",INDEX('Per Line'!$L$2:$L$4001,$X73))</f>
        <v/>
      </c>
      <c r="K73" s="20" t="str">
        <f aca="false">IF($X73="","",INDEX('Per Line'!$M$2:$M$4001,$X73))</f>
        <v/>
      </c>
      <c r="L73" s="22" t="str">
        <f aca="false">IF($X73="","",K73*V73/100)</f>
        <v/>
      </c>
      <c r="M73" s="20" t="str">
        <f aca="false">IF($X73="","",INDEX('Per Line'!$Z$2:$Z$4001,$X73))</f>
        <v/>
      </c>
      <c r="N73" s="23" t="str">
        <f aca="false">IF($X73="","",Settings!$C$7)</f>
        <v/>
      </c>
      <c r="O73" s="22" t="str">
        <f aca="false">IF($X73="","",SUMIFS('Per Line'!$Y$2:$Y$4001,'Per Line'!$D$2:$D$4001,$B73,'Per Line'!$AJ$2:$AJ$4001,0))</f>
        <v/>
      </c>
      <c r="P73" s="22" t="str">
        <f aca="false">IF($X73="","",O73*N73)</f>
        <v/>
      </c>
      <c r="Q73" s="23" t="str">
        <f aca="false">IF($X73="","",Settings!$C$6)</f>
        <v/>
      </c>
      <c r="R73" s="22" t="str">
        <f aca="false">IF($X73="","",SUMIFS('Per Line'!$Y$2:$Y$4001,'Per Line'!$D$2:$D$4001,$B73,'Per Line'!$AJ$2:$AJ$4001,1))</f>
        <v/>
      </c>
      <c r="S73" s="22" t="str">
        <f aca="false">IF($X73="","",R73*Q73)</f>
        <v/>
      </c>
      <c r="T73" s="22" t="str">
        <f aca="false">IF($X73="","",S73+P73)</f>
        <v/>
      </c>
      <c r="U73" s="22" t="str">
        <f aca="false">IF($X73="","",V73-T73)</f>
        <v/>
      </c>
      <c r="V73" s="22" t="str">
        <f aca="false">IF($X73="","",O73+R73)</f>
        <v/>
      </c>
      <c r="W73" s="22" t="str">
        <f aca="false">IF($X73="","",U73-L73)</f>
        <v/>
      </c>
      <c r="X73" s="24" t="str">
        <f aca="false">IF(ROWS($X$2:$X73)&lt;=MAX('Per Line'!$AI$2:$AI$4001),MATCH(ROWS($X$2:$X73),'Per Line'!$AI$2:$AI$4001,0),"")</f>
        <v/>
      </c>
    </row>
    <row r="74" customFormat="false" ht="15" hidden="false" customHeight="false" outlineLevel="0" collapsed="false">
      <c r="A74" s="19"/>
      <c r="B74" s="20" t="str">
        <f aca="false">IF($X74="","",INDEX('Per Line'!$D$2:$D$4001,$X74))</f>
        <v/>
      </c>
      <c r="C74" s="20" t="str">
        <f aca="false">IF($X74="","",INDEX('Per Line'!$C$2:$C$4001,$X74))</f>
        <v/>
      </c>
      <c r="D74" s="20" t="str">
        <f aca="false">IF($X74="","",INDEX('Per Line'!$A$2:$A$4001,$X74))</f>
        <v/>
      </c>
      <c r="E74" s="21" t="str">
        <f aca="false">IF($X74="","",INDEX('Per Line'!$F$2:$F$4001,$X74))</f>
        <v/>
      </c>
      <c r="F74" s="20" t="str">
        <f aca="false">IF($X74="","",INDEX('Per Line'!$G$2:$G$4001,$X74))</f>
        <v/>
      </c>
      <c r="G74" s="20" t="str">
        <f aca="false">IF($X74="","",INDEX('Per Line'!$I$2:$I$4001,$X74))</f>
        <v/>
      </c>
      <c r="H74" s="20" t="str">
        <f aca="false">IF($X74="","",INDEX('Per Line'!$J$2:$J$4001,$X74))</f>
        <v/>
      </c>
      <c r="I74" s="20" t="str">
        <f aca="false">IF($X74="","",INDEX('Per Line'!$K$2:$K$4001,$X74))</f>
        <v/>
      </c>
      <c r="J74" s="20" t="str">
        <f aca="false">IF($X74="","",INDEX('Per Line'!$L$2:$L$4001,$X74))</f>
        <v/>
      </c>
      <c r="K74" s="20" t="str">
        <f aca="false">IF($X74="","",INDEX('Per Line'!$M$2:$M$4001,$X74))</f>
        <v/>
      </c>
      <c r="L74" s="22" t="str">
        <f aca="false">IF($X74="","",K74*V74/100)</f>
        <v/>
      </c>
      <c r="M74" s="20" t="str">
        <f aca="false">IF($X74="","",INDEX('Per Line'!$Z$2:$Z$4001,$X74))</f>
        <v/>
      </c>
      <c r="N74" s="23" t="str">
        <f aca="false">IF($X74="","",Settings!$C$7)</f>
        <v/>
      </c>
      <c r="O74" s="22" t="str">
        <f aca="false">IF($X74="","",SUMIFS('Per Line'!$Y$2:$Y$4001,'Per Line'!$D$2:$D$4001,$B74,'Per Line'!$AJ$2:$AJ$4001,0))</f>
        <v/>
      </c>
      <c r="P74" s="22" t="str">
        <f aca="false">IF($X74="","",O74*N74)</f>
        <v/>
      </c>
      <c r="Q74" s="23" t="str">
        <f aca="false">IF($X74="","",Settings!$C$6)</f>
        <v/>
      </c>
      <c r="R74" s="22" t="str">
        <f aca="false">IF($X74="","",SUMIFS('Per Line'!$Y$2:$Y$4001,'Per Line'!$D$2:$D$4001,$B74,'Per Line'!$AJ$2:$AJ$4001,1))</f>
        <v/>
      </c>
      <c r="S74" s="22" t="str">
        <f aca="false">IF($X74="","",R74*Q74)</f>
        <v/>
      </c>
      <c r="T74" s="22" t="str">
        <f aca="false">IF($X74="","",S74+P74)</f>
        <v/>
      </c>
      <c r="U74" s="22" t="str">
        <f aca="false">IF($X74="","",V74-T74)</f>
        <v/>
      </c>
      <c r="V74" s="22" t="str">
        <f aca="false">IF($X74="","",O74+R74)</f>
        <v/>
      </c>
      <c r="W74" s="22" t="str">
        <f aca="false">IF($X74="","",U74-L74)</f>
        <v/>
      </c>
      <c r="X74" s="24" t="str">
        <f aca="false">IF(ROWS($X$2:$X74)&lt;=MAX('Per Line'!$AI$2:$AI$4001),MATCH(ROWS($X$2:$X74),'Per Line'!$AI$2:$AI$4001,0),"")</f>
        <v/>
      </c>
    </row>
    <row r="75" customFormat="false" ht="15" hidden="false" customHeight="false" outlineLevel="0" collapsed="false">
      <c r="A75" s="19"/>
      <c r="B75" s="20" t="str">
        <f aca="false">IF($X75="","",INDEX('Per Line'!$D$2:$D$4001,$X75))</f>
        <v/>
      </c>
      <c r="C75" s="20" t="str">
        <f aca="false">IF($X75="","",INDEX('Per Line'!$C$2:$C$4001,$X75))</f>
        <v/>
      </c>
      <c r="D75" s="20" t="str">
        <f aca="false">IF($X75="","",INDEX('Per Line'!$A$2:$A$4001,$X75))</f>
        <v/>
      </c>
      <c r="E75" s="21" t="str">
        <f aca="false">IF($X75="","",INDEX('Per Line'!$F$2:$F$4001,$X75))</f>
        <v/>
      </c>
      <c r="F75" s="20" t="str">
        <f aca="false">IF($X75="","",INDEX('Per Line'!$G$2:$G$4001,$X75))</f>
        <v/>
      </c>
      <c r="G75" s="20" t="str">
        <f aca="false">IF($X75="","",INDEX('Per Line'!$I$2:$I$4001,$X75))</f>
        <v/>
      </c>
      <c r="H75" s="20" t="str">
        <f aca="false">IF($X75="","",INDEX('Per Line'!$J$2:$J$4001,$X75))</f>
        <v/>
      </c>
      <c r="I75" s="20" t="str">
        <f aca="false">IF($X75="","",INDEX('Per Line'!$K$2:$K$4001,$X75))</f>
        <v/>
      </c>
      <c r="J75" s="20" t="str">
        <f aca="false">IF($X75="","",INDEX('Per Line'!$L$2:$L$4001,$X75))</f>
        <v/>
      </c>
      <c r="K75" s="20" t="str">
        <f aca="false">IF($X75="","",INDEX('Per Line'!$M$2:$M$4001,$X75))</f>
        <v/>
      </c>
      <c r="L75" s="22" t="str">
        <f aca="false">IF($X75="","",K75*V75/100)</f>
        <v/>
      </c>
      <c r="M75" s="20" t="str">
        <f aca="false">IF($X75="","",INDEX('Per Line'!$Z$2:$Z$4001,$X75))</f>
        <v/>
      </c>
      <c r="N75" s="23" t="str">
        <f aca="false">IF($X75="","",Settings!$C$7)</f>
        <v/>
      </c>
      <c r="O75" s="22" t="str">
        <f aca="false">IF($X75="","",SUMIFS('Per Line'!$Y$2:$Y$4001,'Per Line'!$D$2:$D$4001,$B75,'Per Line'!$AJ$2:$AJ$4001,0))</f>
        <v/>
      </c>
      <c r="P75" s="22" t="str">
        <f aca="false">IF($X75="","",O75*N75)</f>
        <v/>
      </c>
      <c r="Q75" s="23" t="str">
        <f aca="false">IF($X75="","",Settings!$C$6)</f>
        <v/>
      </c>
      <c r="R75" s="22" t="str">
        <f aca="false">IF($X75="","",SUMIFS('Per Line'!$Y$2:$Y$4001,'Per Line'!$D$2:$D$4001,$B75,'Per Line'!$AJ$2:$AJ$4001,1))</f>
        <v/>
      </c>
      <c r="S75" s="22" t="str">
        <f aca="false">IF($X75="","",R75*Q75)</f>
        <v/>
      </c>
      <c r="T75" s="22" t="str">
        <f aca="false">IF($X75="","",S75+P75)</f>
        <v/>
      </c>
      <c r="U75" s="22" t="str">
        <f aca="false">IF($X75="","",V75-T75)</f>
        <v/>
      </c>
      <c r="V75" s="22" t="str">
        <f aca="false">IF($X75="","",O75+R75)</f>
        <v/>
      </c>
      <c r="W75" s="22" t="str">
        <f aca="false">IF($X75="","",U75-L75)</f>
        <v/>
      </c>
      <c r="X75" s="24" t="str">
        <f aca="false">IF(ROWS($X$2:$X75)&lt;=MAX('Per Line'!$AI$2:$AI$4001),MATCH(ROWS($X$2:$X75),'Per Line'!$AI$2:$AI$4001,0),"")</f>
        <v/>
      </c>
    </row>
    <row r="76" customFormat="false" ht="15" hidden="false" customHeight="false" outlineLevel="0" collapsed="false">
      <c r="A76" s="19"/>
      <c r="B76" s="20" t="str">
        <f aca="false">IF($X76="","",INDEX('Per Line'!$D$2:$D$4001,$X76))</f>
        <v/>
      </c>
      <c r="C76" s="20" t="str">
        <f aca="false">IF($X76="","",INDEX('Per Line'!$C$2:$C$4001,$X76))</f>
        <v/>
      </c>
      <c r="D76" s="20" t="str">
        <f aca="false">IF($X76="","",INDEX('Per Line'!$A$2:$A$4001,$X76))</f>
        <v/>
      </c>
      <c r="E76" s="21" t="str">
        <f aca="false">IF($X76="","",INDEX('Per Line'!$F$2:$F$4001,$X76))</f>
        <v/>
      </c>
      <c r="F76" s="20" t="str">
        <f aca="false">IF($X76="","",INDEX('Per Line'!$G$2:$G$4001,$X76))</f>
        <v/>
      </c>
      <c r="G76" s="20" t="str">
        <f aca="false">IF($X76="","",INDEX('Per Line'!$I$2:$I$4001,$X76))</f>
        <v/>
      </c>
      <c r="H76" s="20" t="str">
        <f aca="false">IF($X76="","",INDEX('Per Line'!$J$2:$J$4001,$X76))</f>
        <v/>
      </c>
      <c r="I76" s="20" t="str">
        <f aca="false">IF($X76="","",INDEX('Per Line'!$K$2:$K$4001,$X76))</f>
        <v/>
      </c>
      <c r="J76" s="20" t="str">
        <f aca="false">IF($X76="","",INDEX('Per Line'!$L$2:$L$4001,$X76))</f>
        <v/>
      </c>
      <c r="K76" s="20" t="str">
        <f aca="false">IF($X76="","",INDEX('Per Line'!$M$2:$M$4001,$X76))</f>
        <v/>
      </c>
      <c r="L76" s="22" t="str">
        <f aca="false">IF($X76="","",K76*V76/100)</f>
        <v/>
      </c>
      <c r="M76" s="20" t="str">
        <f aca="false">IF($X76="","",INDEX('Per Line'!$Z$2:$Z$4001,$X76))</f>
        <v/>
      </c>
      <c r="N76" s="23" t="str">
        <f aca="false">IF($X76="","",Settings!$C$7)</f>
        <v/>
      </c>
      <c r="O76" s="22" t="str">
        <f aca="false">IF($X76="","",SUMIFS('Per Line'!$Y$2:$Y$4001,'Per Line'!$D$2:$D$4001,$B76,'Per Line'!$AJ$2:$AJ$4001,0))</f>
        <v/>
      </c>
      <c r="P76" s="22" t="str">
        <f aca="false">IF($X76="","",O76*N76)</f>
        <v/>
      </c>
      <c r="Q76" s="23" t="str">
        <f aca="false">IF($X76="","",Settings!$C$6)</f>
        <v/>
      </c>
      <c r="R76" s="22" t="str">
        <f aca="false">IF($X76="","",SUMIFS('Per Line'!$Y$2:$Y$4001,'Per Line'!$D$2:$D$4001,$B76,'Per Line'!$AJ$2:$AJ$4001,1))</f>
        <v/>
      </c>
      <c r="S76" s="22" t="str">
        <f aca="false">IF($X76="","",R76*Q76)</f>
        <v/>
      </c>
      <c r="T76" s="22" t="str">
        <f aca="false">IF($X76="","",S76+P76)</f>
        <v/>
      </c>
      <c r="U76" s="22" t="str">
        <f aca="false">IF($X76="","",V76-T76)</f>
        <v/>
      </c>
      <c r="V76" s="22" t="str">
        <f aca="false">IF($X76="","",O76+R76)</f>
        <v/>
      </c>
      <c r="W76" s="22" t="str">
        <f aca="false">IF($X76="","",U76-L76)</f>
        <v/>
      </c>
      <c r="X76" s="24" t="str">
        <f aca="false">IF(ROWS($X$2:$X76)&lt;=MAX('Per Line'!$AI$2:$AI$4001),MATCH(ROWS($X$2:$X76),'Per Line'!$AI$2:$AI$4001,0),"")</f>
        <v/>
      </c>
    </row>
    <row r="77" customFormat="false" ht="15" hidden="false" customHeight="false" outlineLevel="0" collapsed="false">
      <c r="A77" s="19"/>
      <c r="B77" s="20" t="str">
        <f aca="false">IF($X77="","",INDEX('Per Line'!$D$2:$D$4001,$X77))</f>
        <v/>
      </c>
      <c r="C77" s="20" t="str">
        <f aca="false">IF($X77="","",INDEX('Per Line'!$C$2:$C$4001,$X77))</f>
        <v/>
      </c>
      <c r="D77" s="20" t="str">
        <f aca="false">IF($X77="","",INDEX('Per Line'!$A$2:$A$4001,$X77))</f>
        <v/>
      </c>
      <c r="E77" s="21" t="str">
        <f aca="false">IF($X77="","",INDEX('Per Line'!$F$2:$F$4001,$X77))</f>
        <v/>
      </c>
      <c r="F77" s="20" t="str">
        <f aca="false">IF($X77="","",INDEX('Per Line'!$G$2:$G$4001,$X77))</f>
        <v/>
      </c>
      <c r="G77" s="20" t="str">
        <f aca="false">IF($X77="","",INDEX('Per Line'!$I$2:$I$4001,$X77))</f>
        <v/>
      </c>
      <c r="H77" s="20" t="str">
        <f aca="false">IF($X77="","",INDEX('Per Line'!$J$2:$J$4001,$X77))</f>
        <v/>
      </c>
      <c r="I77" s="20" t="str">
        <f aca="false">IF($X77="","",INDEX('Per Line'!$K$2:$K$4001,$X77))</f>
        <v/>
      </c>
      <c r="J77" s="20" t="str">
        <f aca="false">IF($X77="","",INDEX('Per Line'!$L$2:$L$4001,$X77))</f>
        <v/>
      </c>
      <c r="K77" s="20" t="str">
        <f aca="false">IF($X77="","",INDEX('Per Line'!$M$2:$M$4001,$X77))</f>
        <v/>
      </c>
      <c r="L77" s="22" t="str">
        <f aca="false">IF($X77="","",K77*V77/100)</f>
        <v/>
      </c>
      <c r="M77" s="20" t="str">
        <f aca="false">IF($X77="","",INDEX('Per Line'!$Z$2:$Z$4001,$X77))</f>
        <v/>
      </c>
      <c r="N77" s="23" t="str">
        <f aca="false">IF($X77="","",Settings!$C$7)</f>
        <v/>
      </c>
      <c r="O77" s="22" t="str">
        <f aca="false">IF($X77="","",SUMIFS('Per Line'!$Y$2:$Y$4001,'Per Line'!$D$2:$D$4001,$B77,'Per Line'!$AJ$2:$AJ$4001,0))</f>
        <v/>
      </c>
      <c r="P77" s="22" t="str">
        <f aca="false">IF($X77="","",O77*N77)</f>
        <v/>
      </c>
      <c r="Q77" s="23" t="str">
        <f aca="false">IF($X77="","",Settings!$C$6)</f>
        <v/>
      </c>
      <c r="R77" s="22" t="str">
        <f aca="false">IF($X77="","",SUMIFS('Per Line'!$Y$2:$Y$4001,'Per Line'!$D$2:$D$4001,$B77,'Per Line'!$AJ$2:$AJ$4001,1))</f>
        <v/>
      </c>
      <c r="S77" s="22" t="str">
        <f aca="false">IF($X77="","",R77*Q77)</f>
        <v/>
      </c>
      <c r="T77" s="22" t="str">
        <f aca="false">IF($X77="","",S77+P77)</f>
        <v/>
      </c>
      <c r="U77" s="22" t="str">
        <f aca="false">IF($X77="","",V77-T77)</f>
        <v/>
      </c>
      <c r="V77" s="22" t="str">
        <f aca="false">IF($X77="","",O77+R77)</f>
        <v/>
      </c>
      <c r="W77" s="22" t="str">
        <f aca="false">IF($X77="","",U77-L77)</f>
        <v/>
      </c>
      <c r="X77" s="24" t="str">
        <f aca="false">IF(ROWS($X$2:$X77)&lt;=MAX('Per Line'!$AI$2:$AI$4001),MATCH(ROWS($X$2:$X77),'Per Line'!$AI$2:$AI$4001,0),"")</f>
        <v/>
      </c>
    </row>
    <row r="78" customFormat="false" ht="15" hidden="false" customHeight="false" outlineLevel="0" collapsed="false">
      <c r="A78" s="19"/>
      <c r="B78" s="20" t="str">
        <f aca="false">IF($X78="","",INDEX('Per Line'!$D$2:$D$4001,$X78))</f>
        <v/>
      </c>
      <c r="C78" s="20" t="str">
        <f aca="false">IF($X78="","",INDEX('Per Line'!$C$2:$C$4001,$X78))</f>
        <v/>
      </c>
      <c r="D78" s="20" t="str">
        <f aca="false">IF($X78="","",INDEX('Per Line'!$A$2:$A$4001,$X78))</f>
        <v/>
      </c>
      <c r="E78" s="21" t="str">
        <f aca="false">IF($X78="","",INDEX('Per Line'!$F$2:$F$4001,$X78))</f>
        <v/>
      </c>
      <c r="F78" s="20" t="str">
        <f aca="false">IF($X78="","",INDEX('Per Line'!$G$2:$G$4001,$X78))</f>
        <v/>
      </c>
      <c r="G78" s="20" t="str">
        <f aca="false">IF($X78="","",INDEX('Per Line'!$I$2:$I$4001,$X78))</f>
        <v/>
      </c>
      <c r="H78" s="20" t="str">
        <f aca="false">IF($X78="","",INDEX('Per Line'!$J$2:$J$4001,$X78))</f>
        <v/>
      </c>
      <c r="I78" s="20" t="str">
        <f aca="false">IF($X78="","",INDEX('Per Line'!$K$2:$K$4001,$X78))</f>
        <v/>
      </c>
      <c r="J78" s="20" t="str">
        <f aca="false">IF($X78="","",INDEX('Per Line'!$L$2:$L$4001,$X78))</f>
        <v/>
      </c>
      <c r="K78" s="20" t="str">
        <f aca="false">IF($X78="","",INDEX('Per Line'!$M$2:$M$4001,$X78))</f>
        <v/>
      </c>
      <c r="L78" s="22" t="str">
        <f aca="false">IF($X78="","",K78*V78/100)</f>
        <v/>
      </c>
      <c r="M78" s="20" t="str">
        <f aca="false">IF($X78="","",INDEX('Per Line'!$Z$2:$Z$4001,$X78))</f>
        <v/>
      </c>
      <c r="N78" s="23" t="str">
        <f aca="false">IF($X78="","",Settings!$C$7)</f>
        <v/>
      </c>
      <c r="O78" s="22" t="str">
        <f aca="false">IF($X78="","",SUMIFS('Per Line'!$Y$2:$Y$4001,'Per Line'!$D$2:$D$4001,$B78,'Per Line'!$AJ$2:$AJ$4001,0))</f>
        <v/>
      </c>
      <c r="P78" s="22" t="str">
        <f aca="false">IF($X78="","",O78*N78)</f>
        <v/>
      </c>
      <c r="Q78" s="23" t="str">
        <f aca="false">IF($X78="","",Settings!$C$6)</f>
        <v/>
      </c>
      <c r="R78" s="22" t="str">
        <f aca="false">IF($X78="","",SUMIFS('Per Line'!$Y$2:$Y$4001,'Per Line'!$D$2:$D$4001,$B78,'Per Line'!$AJ$2:$AJ$4001,1))</f>
        <v/>
      </c>
      <c r="S78" s="22" t="str">
        <f aca="false">IF($X78="","",R78*Q78)</f>
        <v/>
      </c>
      <c r="T78" s="22" t="str">
        <f aca="false">IF($X78="","",S78+P78)</f>
        <v/>
      </c>
      <c r="U78" s="22" t="str">
        <f aca="false">IF($X78="","",V78-T78)</f>
        <v/>
      </c>
      <c r="V78" s="22" t="str">
        <f aca="false">IF($X78="","",O78+R78)</f>
        <v/>
      </c>
      <c r="W78" s="22" t="str">
        <f aca="false">IF($X78="","",U78-L78)</f>
        <v/>
      </c>
      <c r="X78" s="24" t="str">
        <f aca="false">IF(ROWS($X$2:$X78)&lt;=MAX('Per Line'!$AI$2:$AI$4001),MATCH(ROWS($X$2:$X78),'Per Line'!$AI$2:$AI$4001,0),"")</f>
        <v/>
      </c>
    </row>
    <row r="79" customFormat="false" ht="15" hidden="false" customHeight="false" outlineLevel="0" collapsed="false">
      <c r="A79" s="19"/>
      <c r="B79" s="20" t="str">
        <f aca="false">IF($X79="","",INDEX('Per Line'!$D$2:$D$4001,$X79))</f>
        <v/>
      </c>
      <c r="C79" s="20" t="str">
        <f aca="false">IF($X79="","",INDEX('Per Line'!$C$2:$C$4001,$X79))</f>
        <v/>
      </c>
      <c r="D79" s="20" t="str">
        <f aca="false">IF($X79="","",INDEX('Per Line'!$A$2:$A$4001,$X79))</f>
        <v/>
      </c>
      <c r="E79" s="21" t="str">
        <f aca="false">IF($X79="","",INDEX('Per Line'!$F$2:$F$4001,$X79))</f>
        <v/>
      </c>
      <c r="F79" s="20" t="str">
        <f aca="false">IF($X79="","",INDEX('Per Line'!$G$2:$G$4001,$X79))</f>
        <v/>
      </c>
      <c r="G79" s="20" t="str">
        <f aca="false">IF($X79="","",INDEX('Per Line'!$I$2:$I$4001,$X79))</f>
        <v/>
      </c>
      <c r="H79" s="20" t="str">
        <f aca="false">IF($X79="","",INDEX('Per Line'!$J$2:$J$4001,$X79))</f>
        <v/>
      </c>
      <c r="I79" s="20" t="str">
        <f aca="false">IF($X79="","",INDEX('Per Line'!$K$2:$K$4001,$X79))</f>
        <v/>
      </c>
      <c r="J79" s="20" t="str">
        <f aca="false">IF($X79="","",INDEX('Per Line'!$L$2:$L$4001,$X79))</f>
        <v/>
      </c>
      <c r="K79" s="20" t="str">
        <f aca="false">IF($X79="","",INDEX('Per Line'!$M$2:$M$4001,$X79))</f>
        <v/>
      </c>
      <c r="L79" s="22" t="str">
        <f aca="false">IF($X79="","",K79*V79/100)</f>
        <v/>
      </c>
      <c r="M79" s="20" t="str">
        <f aca="false">IF($X79="","",INDEX('Per Line'!$Z$2:$Z$4001,$X79))</f>
        <v/>
      </c>
      <c r="N79" s="23" t="str">
        <f aca="false">IF($X79="","",Settings!$C$7)</f>
        <v/>
      </c>
      <c r="O79" s="22" t="str">
        <f aca="false">IF($X79="","",SUMIFS('Per Line'!$Y$2:$Y$4001,'Per Line'!$D$2:$D$4001,$B79,'Per Line'!$AJ$2:$AJ$4001,0))</f>
        <v/>
      </c>
      <c r="P79" s="22" t="str">
        <f aca="false">IF($X79="","",O79*N79)</f>
        <v/>
      </c>
      <c r="Q79" s="23" t="str">
        <f aca="false">IF($X79="","",Settings!$C$6)</f>
        <v/>
      </c>
      <c r="R79" s="22" t="str">
        <f aca="false">IF($X79="","",SUMIFS('Per Line'!$Y$2:$Y$4001,'Per Line'!$D$2:$D$4001,$B79,'Per Line'!$AJ$2:$AJ$4001,1))</f>
        <v/>
      </c>
      <c r="S79" s="22" t="str">
        <f aca="false">IF($X79="","",R79*Q79)</f>
        <v/>
      </c>
      <c r="T79" s="22" t="str">
        <f aca="false">IF($X79="","",S79+P79)</f>
        <v/>
      </c>
      <c r="U79" s="22" t="str">
        <f aca="false">IF($X79="","",V79-T79)</f>
        <v/>
      </c>
      <c r="V79" s="22" t="str">
        <f aca="false">IF($X79="","",O79+R79)</f>
        <v/>
      </c>
      <c r="W79" s="22" t="str">
        <f aca="false">IF($X79="","",U79-L79)</f>
        <v/>
      </c>
      <c r="X79" s="24" t="str">
        <f aca="false">IF(ROWS($X$2:$X79)&lt;=MAX('Per Line'!$AI$2:$AI$4001),MATCH(ROWS($X$2:$X79),'Per Line'!$AI$2:$AI$4001,0),"")</f>
        <v/>
      </c>
    </row>
    <row r="80" customFormat="false" ht="15" hidden="false" customHeight="false" outlineLevel="0" collapsed="false">
      <c r="A80" s="19"/>
      <c r="B80" s="20" t="str">
        <f aca="false">IF($X80="","",INDEX('Per Line'!$D$2:$D$4001,$X80))</f>
        <v/>
      </c>
      <c r="C80" s="20" t="str">
        <f aca="false">IF($X80="","",INDEX('Per Line'!$C$2:$C$4001,$X80))</f>
        <v/>
      </c>
      <c r="D80" s="20" t="str">
        <f aca="false">IF($X80="","",INDEX('Per Line'!$A$2:$A$4001,$X80))</f>
        <v/>
      </c>
      <c r="E80" s="21" t="str">
        <f aca="false">IF($X80="","",INDEX('Per Line'!$F$2:$F$4001,$X80))</f>
        <v/>
      </c>
      <c r="F80" s="20" t="str">
        <f aca="false">IF($X80="","",INDEX('Per Line'!$G$2:$G$4001,$X80))</f>
        <v/>
      </c>
      <c r="G80" s="20" t="str">
        <f aca="false">IF($X80="","",INDEX('Per Line'!$I$2:$I$4001,$X80))</f>
        <v/>
      </c>
      <c r="H80" s="20" t="str">
        <f aca="false">IF($X80="","",INDEX('Per Line'!$J$2:$J$4001,$X80))</f>
        <v/>
      </c>
      <c r="I80" s="20" t="str">
        <f aca="false">IF($X80="","",INDEX('Per Line'!$K$2:$K$4001,$X80))</f>
        <v/>
      </c>
      <c r="J80" s="20" t="str">
        <f aca="false">IF($X80="","",INDEX('Per Line'!$L$2:$L$4001,$X80))</f>
        <v/>
      </c>
      <c r="K80" s="20" t="str">
        <f aca="false">IF($X80="","",INDEX('Per Line'!$M$2:$M$4001,$X80))</f>
        <v/>
      </c>
      <c r="L80" s="22" t="str">
        <f aca="false">IF($X80="","",K80*V80/100)</f>
        <v/>
      </c>
      <c r="M80" s="20" t="str">
        <f aca="false">IF($X80="","",INDEX('Per Line'!$Z$2:$Z$4001,$X80))</f>
        <v/>
      </c>
      <c r="N80" s="23" t="str">
        <f aca="false">IF($X80="","",Settings!$C$7)</f>
        <v/>
      </c>
      <c r="O80" s="22" t="str">
        <f aca="false">IF($X80="","",SUMIFS('Per Line'!$Y$2:$Y$4001,'Per Line'!$D$2:$D$4001,$B80,'Per Line'!$AJ$2:$AJ$4001,0))</f>
        <v/>
      </c>
      <c r="P80" s="22" t="str">
        <f aca="false">IF($X80="","",O80*N80)</f>
        <v/>
      </c>
      <c r="Q80" s="23" t="str">
        <f aca="false">IF($X80="","",Settings!$C$6)</f>
        <v/>
      </c>
      <c r="R80" s="22" t="str">
        <f aca="false">IF($X80="","",SUMIFS('Per Line'!$Y$2:$Y$4001,'Per Line'!$D$2:$D$4001,$B80,'Per Line'!$AJ$2:$AJ$4001,1))</f>
        <v/>
      </c>
      <c r="S80" s="22" t="str">
        <f aca="false">IF($X80="","",R80*Q80)</f>
        <v/>
      </c>
      <c r="T80" s="22" t="str">
        <f aca="false">IF($X80="","",S80+P80)</f>
        <v/>
      </c>
      <c r="U80" s="22" t="str">
        <f aca="false">IF($X80="","",V80-T80)</f>
        <v/>
      </c>
      <c r="V80" s="22" t="str">
        <f aca="false">IF($X80="","",O80+R80)</f>
        <v/>
      </c>
      <c r="W80" s="22" t="str">
        <f aca="false">IF($X80="","",U80-L80)</f>
        <v/>
      </c>
      <c r="X80" s="24" t="str">
        <f aca="false">IF(ROWS($X$2:$X80)&lt;=MAX('Per Line'!$AI$2:$AI$4001),MATCH(ROWS($X$2:$X80),'Per Line'!$AI$2:$AI$4001,0),"")</f>
        <v/>
      </c>
    </row>
    <row r="81" customFormat="false" ht="15" hidden="false" customHeight="false" outlineLevel="0" collapsed="false">
      <c r="A81" s="19"/>
      <c r="B81" s="20" t="str">
        <f aca="false">IF($X81="","",INDEX('Per Line'!$D$2:$D$4001,$X81))</f>
        <v/>
      </c>
      <c r="C81" s="20" t="str">
        <f aca="false">IF($X81="","",INDEX('Per Line'!$C$2:$C$4001,$X81))</f>
        <v/>
      </c>
      <c r="D81" s="20" t="str">
        <f aca="false">IF($X81="","",INDEX('Per Line'!$A$2:$A$4001,$X81))</f>
        <v/>
      </c>
      <c r="E81" s="21" t="str">
        <f aca="false">IF($X81="","",INDEX('Per Line'!$F$2:$F$4001,$X81))</f>
        <v/>
      </c>
      <c r="F81" s="20" t="str">
        <f aca="false">IF($X81="","",INDEX('Per Line'!$G$2:$G$4001,$X81))</f>
        <v/>
      </c>
      <c r="G81" s="20" t="str">
        <f aca="false">IF($X81="","",INDEX('Per Line'!$I$2:$I$4001,$X81))</f>
        <v/>
      </c>
      <c r="H81" s="20" t="str">
        <f aca="false">IF($X81="","",INDEX('Per Line'!$J$2:$J$4001,$X81))</f>
        <v/>
      </c>
      <c r="I81" s="20" t="str">
        <f aca="false">IF($X81="","",INDEX('Per Line'!$K$2:$K$4001,$X81))</f>
        <v/>
      </c>
      <c r="J81" s="20" t="str">
        <f aca="false">IF($X81="","",INDEX('Per Line'!$L$2:$L$4001,$X81))</f>
        <v/>
      </c>
      <c r="K81" s="20" t="str">
        <f aca="false">IF($X81="","",INDEX('Per Line'!$M$2:$M$4001,$X81))</f>
        <v/>
      </c>
      <c r="L81" s="22" t="str">
        <f aca="false">IF($X81="","",K81*V81/100)</f>
        <v/>
      </c>
      <c r="M81" s="20" t="str">
        <f aca="false">IF($X81="","",INDEX('Per Line'!$Z$2:$Z$4001,$X81))</f>
        <v/>
      </c>
      <c r="N81" s="23" t="str">
        <f aca="false">IF($X81="","",Settings!$C$7)</f>
        <v/>
      </c>
      <c r="O81" s="22" t="str">
        <f aca="false">IF($X81="","",SUMIFS('Per Line'!$Y$2:$Y$4001,'Per Line'!$D$2:$D$4001,$B81,'Per Line'!$AJ$2:$AJ$4001,0))</f>
        <v/>
      </c>
      <c r="P81" s="22" t="str">
        <f aca="false">IF($X81="","",O81*N81)</f>
        <v/>
      </c>
      <c r="Q81" s="23" t="str">
        <f aca="false">IF($X81="","",Settings!$C$6)</f>
        <v/>
      </c>
      <c r="R81" s="22" t="str">
        <f aca="false">IF($X81="","",SUMIFS('Per Line'!$Y$2:$Y$4001,'Per Line'!$D$2:$D$4001,$B81,'Per Line'!$AJ$2:$AJ$4001,1))</f>
        <v/>
      </c>
      <c r="S81" s="22" t="str">
        <f aca="false">IF($X81="","",R81*Q81)</f>
        <v/>
      </c>
      <c r="T81" s="22" t="str">
        <f aca="false">IF($X81="","",S81+P81)</f>
        <v/>
      </c>
      <c r="U81" s="22" t="str">
        <f aca="false">IF($X81="","",V81-T81)</f>
        <v/>
      </c>
      <c r="V81" s="22" t="str">
        <f aca="false">IF($X81="","",O81+R81)</f>
        <v/>
      </c>
      <c r="W81" s="22" t="str">
        <f aca="false">IF($X81="","",U81-L81)</f>
        <v/>
      </c>
      <c r="X81" s="24" t="str">
        <f aca="false">IF(ROWS($X$2:$X81)&lt;=MAX('Per Line'!$AI$2:$AI$4001),MATCH(ROWS($X$2:$X81),'Per Line'!$AI$2:$AI$4001,0),"")</f>
        <v/>
      </c>
    </row>
    <row r="82" customFormat="false" ht="15" hidden="false" customHeight="false" outlineLevel="0" collapsed="false">
      <c r="A82" s="19"/>
      <c r="B82" s="20" t="str">
        <f aca="false">IF($X82="","",INDEX('Per Line'!$D$2:$D$4001,$X82))</f>
        <v/>
      </c>
      <c r="C82" s="20" t="str">
        <f aca="false">IF($X82="","",INDEX('Per Line'!$C$2:$C$4001,$X82))</f>
        <v/>
      </c>
      <c r="D82" s="20" t="str">
        <f aca="false">IF($X82="","",INDEX('Per Line'!$A$2:$A$4001,$X82))</f>
        <v/>
      </c>
      <c r="E82" s="21" t="str">
        <f aca="false">IF($X82="","",INDEX('Per Line'!$F$2:$F$4001,$X82))</f>
        <v/>
      </c>
      <c r="F82" s="20" t="str">
        <f aca="false">IF($X82="","",INDEX('Per Line'!$G$2:$G$4001,$X82))</f>
        <v/>
      </c>
      <c r="G82" s="20" t="str">
        <f aca="false">IF($X82="","",INDEX('Per Line'!$I$2:$I$4001,$X82))</f>
        <v/>
      </c>
      <c r="H82" s="20" t="str">
        <f aca="false">IF($X82="","",INDEX('Per Line'!$J$2:$J$4001,$X82))</f>
        <v/>
      </c>
      <c r="I82" s="20" t="str">
        <f aca="false">IF($X82="","",INDEX('Per Line'!$K$2:$K$4001,$X82))</f>
        <v/>
      </c>
      <c r="J82" s="20" t="str">
        <f aca="false">IF($X82="","",INDEX('Per Line'!$L$2:$L$4001,$X82))</f>
        <v/>
      </c>
      <c r="K82" s="20" t="str">
        <f aca="false">IF($X82="","",INDEX('Per Line'!$M$2:$M$4001,$X82))</f>
        <v/>
      </c>
      <c r="L82" s="22" t="str">
        <f aca="false">IF($X82="","",K82*V82/100)</f>
        <v/>
      </c>
      <c r="M82" s="20" t="str">
        <f aca="false">IF($X82="","",INDEX('Per Line'!$Z$2:$Z$4001,$X82))</f>
        <v/>
      </c>
      <c r="N82" s="23" t="str">
        <f aca="false">IF($X82="","",Settings!$C$7)</f>
        <v/>
      </c>
      <c r="O82" s="22" t="str">
        <f aca="false">IF($X82="","",SUMIFS('Per Line'!$Y$2:$Y$4001,'Per Line'!$D$2:$D$4001,$B82,'Per Line'!$AJ$2:$AJ$4001,0))</f>
        <v/>
      </c>
      <c r="P82" s="22" t="str">
        <f aca="false">IF($X82="","",O82*N82)</f>
        <v/>
      </c>
      <c r="Q82" s="23" t="str">
        <f aca="false">IF($X82="","",Settings!$C$6)</f>
        <v/>
      </c>
      <c r="R82" s="22" t="str">
        <f aca="false">IF($X82="","",SUMIFS('Per Line'!$Y$2:$Y$4001,'Per Line'!$D$2:$D$4001,$B82,'Per Line'!$AJ$2:$AJ$4001,1))</f>
        <v/>
      </c>
      <c r="S82" s="22" t="str">
        <f aca="false">IF($X82="","",R82*Q82)</f>
        <v/>
      </c>
      <c r="T82" s="22" t="str">
        <f aca="false">IF($X82="","",S82+P82)</f>
        <v/>
      </c>
      <c r="U82" s="22" t="str">
        <f aca="false">IF($X82="","",V82-T82)</f>
        <v/>
      </c>
      <c r="V82" s="22" t="str">
        <f aca="false">IF($X82="","",O82+R82)</f>
        <v/>
      </c>
      <c r="W82" s="22" t="str">
        <f aca="false">IF($X82="","",U82-L82)</f>
        <v/>
      </c>
      <c r="X82" s="24" t="str">
        <f aca="false">IF(ROWS($X$2:$X82)&lt;=MAX('Per Line'!$AI$2:$AI$4001),MATCH(ROWS($X$2:$X82),'Per Line'!$AI$2:$AI$4001,0),"")</f>
        <v/>
      </c>
    </row>
    <row r="83" customFormat="false" ht="15" hidden="false" customHeight="false" outlineLevel="0" collapsed="false">
      <c r="A83" s="19"/>
      <c r="B83" s="20" t="str">
        <f aca="false">IF($X83="","",INDEX('Per Line'!$D$2:$D$4001,$X83))</f>
        <v/>
      </c>
      <c r="C83" s="20" t="str">
        <f aca="false">IF($X83="","",INDEX('Per Line'!$C$2:$C$4001,$X83))</f>
        <v/>
      </c>
      <c r="D83" s="20" t="str">
        <f aca="false">IF($X83="","",INDEX('Per Line'!$A$2:$A$4001,$X83))</f>
        <v/>
      </c>
      <c r="E83" s="21" t="str">
        <f aca="false">IF($X83="","",INDEX('Per Line'!$F$2:$F$4001,$X83))</f>
        <v/>
      </c>
      <c r="F83" s="20" t="str">
        <f aca="false">IF($X83="","",INDEX('Per Line'!$G$2:$G$4001,$X83))</f>
        <v/>
      </c>
      <c r="G83" s="20" t="str">
        <f aca="false">IF($X83="","",INDEX('Per Line'!$I$2:$I$4001,$X83))</f>
        <v/>
      </c>
      <c r="H83" s="20" t="str">
        <f aca="false">IF($X83="","",INDEX('Per Line'!$J$2:$J$4001,$X83))</f>
        <v/>
      </c>
      <c r="I83" s="20" t="str">
        <f aca="false">IF($X83="","",INDEX('Per Line'!$K$2:$K$4001,$X83))</f>
        <v/>
      </c>
      <c r="J83" s="20" t="str">
        <f aca="false">IF($X83="","",INDEX('Per Line'!$L$2:$L$4001,$X83))</f>
        <v/>
      </c>
      <c r="K83" s="20" t="str">
        <f aca="false">IF($X83="","",INDEX('Per Line'!$M$2:$M$4001,$X83))</f>
        <v/>
      </c>
      <c r="L83" s="22" t="str">
        <f aca="false">IF($X83="","",K83*V83/100)</f>
        <v/>
      </c>
      <c r="M83" s="20" t="str">
        <f aca="false">IF($X83="","",INDEX('Per Line'!$Z$2:$Z$4001,$X83))</f>
        <v/>
      </c>
      <c r="N83" s="23" t="str">
        <f aca="false">IF($X83="","",Settings!$C$7)</f>
        <v/>
      </c>
      <c r="O83" s="22" t="str">
        <f aca="false">IF($X83="","",SUMIFS('Per Line'!$Y$2:$Y$4001,'Per Line'!$D$2:$D$4001,$B83,'Per Line'!$AJ$2:$AJ$4001,0))</f>
        <v/>
      </c>
      <c r="P83" s="22" t="str">
        <f aca="false">IF($X83="","",O83*N83)</f>
        <v/>
      </c>
      <c r="Q83" s="23" t="str">
        <f aca="false">IF($X83="","",Settings!$C$6)</f>
        <v/>
      </c>
      <c r="R83" s="22" t="str">
        <f aca="false">IF($X83="","",SUMIFS('Per Line'!$Y$2:$Y$4001,'Per Line'!$D$2:$D$4001,$B83,'Per Line'!$AJ$2:$AJ$4001,1))</f>
        <v/>
      </c>
      <c r="S83" s="22" t="str">
        <f aca="false">IF($X83="","",R83*Q83)</f>
        <v/>
      </c>
      <c r="T83" s="22" t="str">
        <f aca="false">IF($X83="","",S83+P83)</f>
        <v/>
      </c>
      <c r="U83" s="22" t="str">
        <f aca="false">IF($X83="","",V83-T83)</f>
        <v/>
      </c>
      <c r="V83" s="22" t="str">
        <f aca="false">IF($X83="","",O83+R83)</f>
        <v/>
      </c>
      <c r="W83" s="22" t="str">
        <f aca="false">IF($X83="","",U83-L83)</f>
        <v/>
      </c>
      <c r="X83" s="24" t="str">
        <f aca="false">IF(ROWS($X$2:$X83)&lt;=MAX('Per Line'!$AI$2:$AI$4001),MATCH(ROWS($X$2:$X83),'Per Line'!$AI$2:$AI$4001,0),"")</f>
        <v/>
      </c>
    </row>
    <row r="84" customFormat="false" ht="15" hidden="false" customHeight="false" outlineLevel="0" collapsed="false">
      <c r="A84" s="19"/>
      <c r="B84" s="20" t="str">
        <f aca="false">IF($X84="","",INDEX('Per Line'!$D$2:$D$4001,$X84))</f>
        <v/>
      </c>
      <c r="C84" s="20" t="str">
        <f aca="false">IF($X84="","",INDEX('Per Line'!$C$2:$C$4001,$X84))</f>
        <v/>
      </c>
      <c r="D84" s="20" t="str">
        <f aca="false">IF($X84="","",INDEX('Per Line'!$A$2:$A$4001,$X84))</f>
        <v/>
      </c>
      <c r="E84" s="21" t="str">
        <f aca="false">IF($X84="","",INDEX('Per Line'!$F$2:$F$4001,$X84))</f>
        <v/>
      </c>
      <c r="F84" s="20" t="str">
        <f aca="false">IF($X84="","",INDEX('Per Line'!$G$2:$G$4001,$X84))</f>
        <v/>
      </c>
      <c r="G84" s="20" t="str">
        <f aca="false">IF($X84="","",INDEX('Per Line'!$I$2:$I$4001,$X84))</f>
        <v/>
      </c>
      <c r="H84" s="20" t="str">
        <f aca="false">IF($X84="","",INDEX('Per Line'!$J$2:$J$4001,$X84))</f>
        <v/>
      </c>
      <c r="I84" s="20" t="str">
        <f aca="false">IF($X84="","",INDEX('Per Line'!$K$2:$K$4001,$X84))</f>
        <v/>
      </c>
      <c r="J84" s="20" t="str">
        <f aca="false">IF($X84="","",INDEX('Per Line'!$L$2:$L$4001,$X84))</f>
        <v/>
      </c>
      <c r="K84" s="20" t="str">
        <f aca="false">IF($X84="","",INDEX('Per Line'!$M$2:$M$4001,$X84))</f>
        <v/>
      </c>
      <c r="L84" s="22" t="str">
        <f aca="false">IF($X84="","",K84*V84/100)</f>
        <v/>
      </c>
      <c r="M84" s="20" t="str">
        <f aca="false">IF($X84="","",INDEX('Per Line'!$Z$2:$Z$4001,$X84))</f>
        <v/>
      </c>
      <c r="N84" s="23" t="str">
        <f aca="false">IF($X84="","",Settings!$C$7)</f>
        <v/>
      </c>
      <c r="O84" s="22" t="str">
        <f aca="false">IF($X84="","",SUMIFS('Per Line'!$Y$2:$Y$4001,'Per Line'!$D$2:$D$4001,$B84,'Per Line'!$AJ$2:$AJ$4001,0))</f>
        <v/>
      </c>
      <c r="P84" s="22" t="str">
        <f aca="false">IF($X84="","",O84*N84)</f>
        <v/>
      </c>
      <c r="Q84" s="23" t="str">
        <f aca="false">IF($X84="","",Settings!$C$6)</f>
        <v/>
      </c>
      <c r="R84" s="22" t="str">
        <f aca="false">IF($X84="","",SUMIFS('Per Line'!$Y$2:$Y$4001,'Per Line'!$D$2:$D$4001,$B84,'Per Line'!$AJ$2:$AJ$4001,1))</f>
        <v/>
      </c>
      <c r="S84" s="22" t="str">
        <f aca="false">IF($X84="","",R84*Q84)</f>
        <v/>
      </c>
      <c r="T84" s="22" t="str">
        <f aca="false">IF($X84="","",S84+P84)</f>
        <v/>
      </c>
      <c r="U84" s="22" t="str">
        <f aca="false">IF($X84="","",V84-T84)</f>
        <v/>
      </c>
      <c r="V84" s="22" t="str">
        <f aca="false">IF($X84="","",O84+R84)</f>
        <v/>
      </c>
      <c r="W84" s="22" t="str">
        <f aca="false">IF($X84="","",U84-L84)</f>
        <v/>
      </c>
      <c r="X84" s="24" t="str">
        <f aca="false">IF(ROWS($X$2:$X84)&lt;=MAX('Per Line'!$AI$2:$AI$4001),MATCH(ROWS($X$2:$X84),'Per Line'!$AI$2:$AI$4001,0),"")</f>
        <v/>
      </c>
    </row>
    <row r="85" customFormat="false" ht="15" hidden="false" customHeight="false" outlineLevel="0" collapsed="false">
      <c r="A85" s="19"/>
      <c r="B85" s="20" t="str">
        <f aca="false">IF($X85="","",INDEX('Per Line'!$D$2:$D$4001,$X85))</f>
        <v/>
      </c>
      <c r="C85" s="20" t="str">
        <f aca="false">IF($X85="","",INDEX('Per Line'!$C$2:$C$4001,$X85))</f>
        <v/>
      </c>
      <c r="D85" s="20" t="str">
        <f aca="false">IF($X85="","",INDEX('Per Line'!$A$2:$A$4001,$X85))</f>
        <v/>
      </c>
      <c r="E85" s="21" t="str">
        <f aca="false">IF($X85="","",INDEX('Per Line'!$F$2:$F$4001,$X85))</f>
        <v/>
      </c>
      <c r="F85" s="20" t="str">
        <f aca="false">IF($X85="","",INDEX('Per Line'!$G$2:$G$4001,$X85))</f>
        <v/>
      </c>
      <c r="G85" s="20" t="str">
        <f aca="false">IF($X85="","",INDEX('Per Line'!$I$2:$I$4001,$X85))</f>
        <v/>
      </c>
      <c r="H85" s="20" t="str">
        <f aca="false">IF($X85="","",INDEX('Per Line'!$J$2:$J$4001,$X85))</f>
        <v/>
      </c>
      <c r="I85" s="20" t="str">
        <f aca="false">IF($X85="","",INDEX('Per Line'!$K$2:$K$4001,$X85))</f>
        <v/>
      </c>
      <c r="J85" s="20" t="str">
        <f aca="false">IF($X85="","",INDEX('Per Line'!$L$2:$L$4001,$X85))</f>
        <v/>
      </c>
      <c r="K85" s="20" t="str">
        <f aca="false">IF($X85="","",INDEX('Per Line'!$M$2:$M$4001,$X85))</f>
        <v/>
      </c>
      <c r="L85" s="22" t="str">
        <f aca="false">IF($X85="","",K85*V85/100)</f>
        <v/>
      </c>
      <c r="M85" s="20" t="str">
        <f aca="false">IF($X85="","",INDEX('Per Line'!$Z$2:$Z$4001,$X85))</f>
        <v/>
      </c>
      <c r="N85" s="23" t="str">
        <f aca="false">IF($X85="","",Settings!$C$7)</f>
        <v/>
      </c>
      <c r="O85" s="22" t="str">
        <f aca="false">IF($X85="","",SUMIFS('Per Line'!$Y$2:$Y$4001,'Per Line'!$D$2:$D$4001,$B85,'Per Line'!$AJ$2:$AJ$4001,0))</f>
        <v/>
      </c>
      <c r="P85" s="22" t="str">
        <f aca="false">IF($X85="","",O85*N85)</f>
        <v/>
      </c>
      <c r="Q85" s="23" t="str">
        <f aca="false">IF($X85="","",Settings!$C$6)</f>
        <v/>
      </c>
      <c r="R85" s="22" t="str">
        <f aca="false">IF($X85="","",SUMIFS('Per Line'!$Y$2:$Y$4001,'Per Line'!$D$2:$D$4001,$B85,'Per Line'!$AJ$2:$AJ$4001,1))</f>
        <v/>
      </c>
      <c r="S85" s="22" t="str">
        <f aca="false">IF($X85="","",R85*Q85)</f>
        <v/>
      </c>
      <c r="T85" s="22" t="str">
        <f aca="false">IF($X85="","",S85+P85)</f>
        <v/>
      </c>
      <c r="U85" s="22" t="str">
        <f aca="false">IF($X85="","",V85-T85)</f>
        <v/>
      </c>
      <c r="V85" s="22" t="str">
        <f aca="false">IF($X85="","",O85+R85)</f>
        <v/>
      </c>
      <c r="W85" s="22" t="str">
        <f aca="false">IF($X85="","",U85-L85)</f>
        <v/>
      </c>
      <c r="X85" s="24" t="str">
        <f aca="false">IF(ROWS($X$2:$X85)&lt;=MAX('Per Line'!$AI$2:$AI$4001),MATCH(ROWS($X$2:$X85),'Per Line'!$AI$2:$AI$4001,0),"")</f>
        <v/>
      </c>
    </row>
    <row r="86" customFormat="false" ht="15" hidden="false" customHeight="false" outlineLevel="0" collapsed="false">
      <c r="A86" s="19"/>
      <c r="B86" s="20" t="str">
        <f aca="false">IF($X86="","",INDEX('Per Line'!$D$2:$D$4001,$X86))</f>
        <v/>
      </c>
      <c r="C86" s="20" t="str">
        <f aca="false">IF($X86="","",INDEX('Per Line'!$C$2:$C$4001,$X86))</f>
        <v/>
      </c>
      <c r="D86" s="20" t="str">
        <f aca="false">IF($X86="","",INDEX('Per Line'!$A$2:$A$4001,$X86))</f>
        <v/>
      </c>
      <c r="E86" s="21" t="str">
        <f aca="false">IF($X86="","",INDEX('Per Line'!$F$2:$F$4001,$X86))</f>
        <v/>
      </c>
      <c r="F86" s="20" t="str">
        <f aca="false">IF($X86="","",INDEX('Per Line'!$G$2:$G$4001,$X86))</f>
        <v/>
      </c>
      <c r="G86" s="20" t="str">
        <f aca="false">IF($X86="","",INDEX('Per Line'!$I$2:$I$4001,$X86))</f>
        <v/>
      </c>
      <c r="H86" s="20" t="str">
        <f aca="false">IF($X86="","",INDEX('Per Line'!$J$2:$J$4001,$X86))</f>
        <v/>
      </c>
      <c r="I86" s="20" t="str">
        <f aca="false">IF($X86="","",INDEX('Per Line'!$K$2:$K$4001,$X86))</f>
        <v/>
      </c>
      <c r="J86" s="20" t="str">
        <f aca="false">IF($X86="","",INDEX('Per Line'!$L$2:$L$4001,$X86))</f>
        <v/>
      </c>
      <c r="K86" s="20" t="str">
        <f aca="false">IF($X86="","",INDEX('Per Line'!$M$2:$M$4001,$X86))</f>
        <v/>
      </c>
      <c r="L86" s="22" t="str">
        <f aca="false">IF($X86="","",K86*V86/100)</f>
        <v/>
      </c>
      <c r="M86" s="20" t="str">
        <f aca="false">IF($X86="","",INDEX('Per Line'!$Z$2:$Z$4001,$X86))</f>
        <v/>
      </c>
      <c r="N86" s="23" t="str">
        <f aca="false">IF($X86="","",Settings!$C$7)</f>
        <v/>
      </c>
      <c r="O86" s="22" t="str">
        <f aca="false">IF($X86="","",SUMIFS('Per Line'!$Y$2:$Y$4001,'Per Line'!$D$2:$D$4001,$B86,'Per Line'!$AJ$2:$AJ$4001,0))</f>
        <v/>
      </c>
      <c r="P86" s="22" t="str">
        <f aca="false">IF($X86="","",O86*N86)</f>
        <v/>
      </c>
      <c r="Q86" s="23" t="str">
        <f aca="false">IF($X86="","",Settings!$C$6)</f>
        <v/>
      </c>
      <c r="R86" s="22" t="str">
        <f aca="false">IF($X86="","",SUMIFS('Per Line'!$Y$2:$Y$4001,'Per Line'!$D$2:$D$4001,$B86,'Per Line'!$AJ$2:$AJ$4001,1))</f>
        <v/>
      </c>
      <c r="S86" s="22" t="str">
        <f aca="false">IF($X86="","",R86*Q86)</f>
        <v/>
      </c>
      <c r="T86" s="22" t="str">
        <f aca="false">IF($X86="","",S86+P86)</f>
        <v/>
      </c>
      <c r="U86" s="22" t="str">
        <f aca="false">IF($X86="","",V86-T86)</f>
        <v/>
      </c>
      <c r="V86" s="22" t="str">
        <f aca="false">IF($X86="","",O86+R86)</f>
        <v/>
      </c>
      <c r="W86" s="22" t="str">
        <f aca="false">IF($X86="","",U86-L86)</f>
        <v/>
      </c>
      <c r="X86" s="24" t="str">
        <f aca="false">IF(ROWS($X$2:$X86)&lt;=MAX('Per Line'!$AI$2:$AI$4001),MATCH(ROWS($X$2:$X86),'Per Line'!$AI$2:$AI$4001,0),"")</f>
        <v/>
      </c>
    </row>
    <row r="87" customFormat="false" ht="15" hidden="false" customHeight="false" outlineLevel="0" collapsed="false">
      <c r="A87" s="19"/>
      <c r="B87" s="20" t="str">
        <f aca="false">IF($X87="","",INDEX('Per Line'!$D$2:$D$4001,$X87))</f>
        <v/>
      </c>
      <c r="C87" s="20" t="str">
        <f aca="false">IF($X87="","",INDEX('Per Line'!$C$2:$C$4001,$X87))</f>
        <v/>
      </c>
      <c r="D87" s="20" t="str">
        <f aca="false">IF($X87="","",INDEX('Per Line'!$A$2:$A$4001,$X87))</f>
        <v/>
      </c>
      <c r="E87" s="21" t="str">
        <f aca="false">IF($X87="","",INDEX('Per Line'!$F$2:$F$4001,$X87))</f>
        <v/>
      </c>
      <c r="F87" s="20" t="str">
        <f aca="false">IF($X87="","",INDEX('Per Line'!$G$2:$G$4001,$X87))</f>
        <v/>
      </c>
      <c r="G87" s="20" t="str">
        <f aca="false">IF($X87="","",INDEX('Per Line'!$I$2:$I$4001,$X87))</f>
        <v/>
      </c>
      <c r="H87" s="20" t="str">
        <f aca="false">IF($X87="","",INDEX('Per Line'!$J$2:$J$4001,$X87))</f>
        <v/>
      </c>
      <c r="I87" s="20" t="str">
        <f aca="false">IF($X87="","",INDEX('Per Line'!$K$2:$K$4001,$X87))</f>
        <v/>
      </c>
      <c r="J87" s="20" t="str">
        <f aca="false">IF($X87="","",INDEX('Per Line'!$L$2:$L$4001,$X87))</f>
        <v/>
      </c>
      <c r="K87" s="20" t="str">
        <f aca="false">IF($X87="","",INDEX('Per Line'!$M$2:$M$4001,$X87))</f>
        <v/>
      </c>
      <c r="L87" s="22" t="str">
        <f aca="false">IF($X87="","",K87*V87/100)</f>
        <v/>
      </c>
      <c r="M87" s="20" t="str">
        <f aca="false">IF($X87="","",INDEX('Per Line'!$Z$2:$Z$4001,$X87))</f>
        <v/>
      </c>
      <c r="N87" s="23" t="str">
        <f aca="false">IF($X87="","",Settings!$C$7)</f>
        <v/>
      </c>
      <c r="O87" s="22" t="str">
        <f aca="false">IF($X87="","",SUMIFS('Per Line'!$Y$2:$Y$4001,'Per Line'!$D$2:$D$4001,$B87,'Per Line'!$AJ$2:$AJ$4001,0))</f>
        <v/>
      </c>
      <c r="P87" s="22" t="str">
        <f aca="false">IF($X87="","",O87*N87)</f>
        <v/>
      </c>
      <c r="Q87" s="23" t="str">
        <f aca="false">IF($X87="","",Settings!$C$6)</f>
        <v/>
      </c>
      <c r="R87" s="22" t="str">
        <f aca="false">IF($X87="","",SUMIFS('Per Line'!$Y$2:$Y$4001,'Per Line'!$D$2:$D$4001,$B87,'Per Line'!$AJ$2:$AJ$4001,1))</f>
        <v/>
      </c>
      <c r="S87" s="22" t="str">
        <f aca="false">IF($X87="","",R87*Q87)</f>
        <v/>
      </c>
      <c r="T87" s="22" t="str">
        <f aca="false">IF($X87="","",S87+P87)</f>
        <v/>
      </c>
      <c r="U87" s="22" t="str">
        <f aca="false">IF($X87="","",V87-T87)</f>
        <v/>
      </c>
      <c r="V87" s="22" t="str">
        <f aca="false">IF($X87="","",O87+R87)</f>
        <v/>
      </c>
      <c r="W87" s="22" t="str">
        <f aca="false">IF($X87="","",U87-L87)</f>
        <v/>
      </c>
      <c r="X87" s="24" t="str">
        <f aca="false">IF(ROWS($X$2:$X87)&lt;=MAX('Per Line'!$AI$2:$AI$4001),MATCH(ROWS($X$2:$X87),'Per Line'!$AI$2:$AI$4001,0),"")</f>
        <v/>
      </c>
    </row>
    <row r="88" customFormat="false" ht="15" hidden="false" customHeight="false" outlineLevel="0" collapsed="false">
      <c r="A88" s="19"/>
      <c r="B88" s="20" t="str">
        <f aca="false">IF($X88="","",INDEX('Per Line'!$D$2:$D$4001,$X88))</f>
        <v/>
      </c>
      <c r="C88" s="20" t="str">
        <f aca="false">IF($X88="","",INDEX('Per Line'!$C$2:$C$4001,$X88))</f>
        <v/>
      </c>
      <c r="D88" s="20" t="str">
        <f aca="false">IF($X88="","",INDEX('Per Line'!$A$2:$A$4001,$X88))</f>
        <v/>
      </c>
      <c r="E88" s="21" t="str">
        <f aca="false">IF($X88="","",INDEX('Per Line'!$F$2:$F$4001,$X88))</f>
        <v/>
      </c>
      <c r="F88" s="20" t="str">
        <f aca="false">IF($X88="","",INDEX('Per Line'!$G$2:$G$4001,$X88))</f>
        <v/>
      </c>
      <c r="G88" s="20" t="str">
        <f aca="false">IF($X88="","",INDEX('Per Line'!$I$2:$I$4001,$X88))</f>
        <v/>
      </c>
      <c r="H88" s="20" t="str">
        <f aca="false">IF($X88="","",INDEX('Per Line'!$J$2:$J$4001,$X88))</f>
        <v/>
      </c>
      <c r="I88" s="20" t="str">
        <f aca="false">IF($X88="","",INDEX('Per Line'!$K$2:$K$4001,$X88))</f>
        <v/>
      </c>
      <c r="J88" s="20" t="str">
        <f aca="false">IF($X88="","",INDEX('Per Line'!$L$2:$L$4001,$X88))</f>
        <v/>
      </c>
      <c r="K88" s="20" t="str">
        <f aca="false">IF($X88="","",INDEX('Per Line'!$M$2:$M$4001,$X88))</f>
        <v/>
      </c>
      <c r="L88" s="22" t="str">
        <f aca="false">IF($X88="","",K88*V88/100)</f>
        <v/>
      </c>
      <c r="M88" s="20" t="str">
        <f aca="false">IF($X88="","",INDEX('Per Line'!$Z$2:$Z$4001,$X88))</f>
        <v/>
      </c>
      <c r="N88" s="23" t="str">
        <f aca="false">IF($X88="","",Settings!$C$7)</f>
        <v/>
      </c>
      <c r="O88" s="22" t="str">
        <f aca="false">IF($X88="","",SUMIFS('Per Line'!$Y$2:$Y$4001,'Per Line'!$D$2:$D$4001,$B88,'Per Line'!$AJ$2:$AJ$4001,0))</f>
        <v/>
      </c>
      <c r="P88" s="22" t="str">
        <f aca="false">IF($X88="","",O88*N88)</f>
        <v/>
      </c>
      <c r="Q88" s="23" t="str">
        <f aca="false">IF($X88="","",Settings!$C$6)</f>
        <v/>
      </c>
      <c r="R88" s="22" t="str">
        <f aca="false">IF($X88="","",SUMIFS('Per Line'!$Y$2:$Y$4001,'Per Line'!$D$2:$D$4001,$B88,'Per Line'!$AJ$2:$AJ$4001,1))</f>
        <v/>
      </c>
      <c r="S88" s="22" t="str">
        <f aca="false">IF($X88="","",R88*Q88)</f>
        <v/>
      </c>
      <c r="T88" s="22" t="str">
        <f aca="false">IF($X88="","",S88+P88)</f>
        <v/>
      </c>
      <c r="U88" s="22" t="str">
        <f aca="false">IF($X88="","",V88-T88)</f>
        <v/>
      </c>
      <c r="V88" s="22" t="str">
        <f aca="false">IF($X88="","",O88+R88)</f>
        <v/>
      </c>
      <c r="W88" s="22" t="str">
        <f aca="false">IF($X88="","",U88-L88)</f>
        <v/>
      </c>
      <c r="X88" s="24" t="str">
        <f aca="false">IF(ROWS($X$2:$X88)&lt;=MAX('Per Line'!$AI$2:$AI$4001),MATCH(ROWS($X$2:$X88),'Per Line'!$AI$2:$AI$4001,0),"")</f>
        <v/>
      </c>
    </row>
    <row r="89" customFormat="false" ht="15" hidden="false" customHeight="false" outlineLevel="0" collapsed="false">
      <c r="A89" s="19"/>
      <c r="B89" s="20" t="str">
        <f aca="false">IF($X89="","",INDEX('Per Line'!$D$2:$D$4001,$X89))</f>
        <v/>
      </c>
      <c r="C89" s="20" t="str">
        <f aca="false">IF($X89="","",INDEX('Per Line'!$C$2:$C$4001,$X89))</f>
        <v/>
      </c>
      <c r="D89" s="20" t="str">
        <f aca="false">IF($X89="","",INDEX('Per Line'!$A$2:$A$4001,$X89))</f>
        <v/>
      </c>
      <c r="E89" s="21" t="str">
        <f aca="false">IF($X89="","",INDEX('Per Line'!$F$2:$F$4001,$X89))</f>
        <v/>
      </c>
      <c r="F89" s="20" t="str">
        <f aca="false">IF($X89="","",INDEX('Per Line'!$G$2:$G$4001,$X89))</f>
        <v/>
      </c>
      <c r="G89" s="20" t="str">
        <f aca="false">IF($X89="","",INDEX('Per Line'!$I$2:$I$4001,$X89))</f>
        <v/>
      </c>
      <c r="H89" s="20" t="str">
        <f aca="false">IF($X89="","",INDEX('Per Line'!$J$2:$J$4001,$X89))</f>
        <v/>
      </c>
      <c r="I89" s="20" t="str">
        <f aca="false">IF($X89="","",INDEX('Per Line'!$K$2:$K$4001,$X89))</f>
        <v/>
      </c>
      <c r="J89" s="20" t="str">
        <f aca="false">IF($X89="","",INDEX('Per Line'!$L$2:$L$4001,$X89))</f>
        <v/>
      </c>
      <c r="K89" s="20" t="str">
        <f aca="false">IF($X89="","",INDEX('Per Line'!$M$2:$M$4001,$X89))</f>
        <v/>
      </c>
      <c r="L89" s="22" t="str">
        <f aca="false">IF($X89="","",K89*V89/100)</f>
        <v/>
      </c>
      <c r="M89" s="20" t="str">
        <f aca="false">IF($X89="","",INDEX('Per Line'!$Z$2:$Z$4001,$X89))</f>
        <v/>
      </c>
      <c r="N89" s="23" t="str">
        <f aca="false">IF($X89="","",Settings!$C$7)</f>
        <v/>
      </c>
      <c r="O89" s="22" t="str">
        <f aca="false">IF($X89="","",SUMIFS('Per Line'!$Y$2:$Y$4001,'Per Line'!$D$2:$D$4001,$B89,'Per Line'!$AJ$2:$AJ$4001,0))</f>
        <v/>
      </c>
      <c r="P89" s="22" t="str">
        <f aca="false">IF($X89="","",O89*N89)</f>
        <v/>
      </c>
      <c r="Q89" s="23" t="str">
        <f aca="false">IF($X89="","",Settings!$C$6)</f>
        <v/>
      </c>
      <c r="R89" s="22" t="str">
        <f aca="false">IF($X89="","",SUMIFS('Per Line'!$Y$2:$Y$4001,'Per Line'!$D$2:$D$4001,$B89,'Per Line'!$AJ$2:$AJ$4001,1))</f>
        <v/>
      </c>
      <c r="S89" s="22" t="str">
        <f aca="false">IF($X89="","",R89*Q89)</f>
        <v/>
      </c>
      <c r="T89" s="22" t="str">
        <f aca="false">IF($X89="","",S89+P89)</f>
        <v/>
      </c>
      <c r="U89" s="22" t="str">
        <f aca="false">IF($X89="","",V89-T89)</f>
        <v/>
      </c>
      <c r="V89" s="22" t="str">
        <f aca="false">IF($X89="","",O89+R89)</f>
        <v/>
      </c>
      <c r="W89" s="22" t="str">
        <f aca="false">IF($X89="","",U89-L89)</f>
        <v/>
      </c>
      <c r="X89" s="24" t="str">
        <f aca="false">IF(ROWS($X$2:$X89)&lt;=MAX('Per Line'!$AI$2:$AI$4001),MATCH(ROWS($X$2:$X89),'Per Line'!$AI$2:$AI$4001,0),"")</f>
        <v/>
      </c>
    </row>
    <row r="90" customFormat="false" ht="15" hidden="false" customHeight="false" outlineLevel="0" collapsed="false">
      <c r="A90" s="19"/>
      <c r="B90" s="20" t="str">
        <f aca="false">IF($X90="","",INDEX('Per Line'!$D$2:$D$4001,$X90))</f>
        <v/>
      </c>
      <c r="C90" s="20" t="str">
        <f aca="false">IF($X90="","",INDEX('Per Line'!$C$2:$C$4001,$X90))</f>
        <v/>
      </c>
      <c r="D90" s="20" t="str">
        <f aca="false">IF($X90="","",INDEX('Per Line'!$A$2:$A$4001,$X90))</f>
        <v/>
      </c>
      <c r="E90" s="21" t="str">
        <f aca="false">IF($X90="","",INDEX('Per Line'!$F$2:$F$4001,$X90))</f>
        <v/>
      </c>
      <c r="F90" s="20" t="str">
        <f aca="false">IF($X90="","",INDEX('Per Line'!$G$2:$G$4001,$X90))</f>
        <v/>
      </c>
      <c r="G90" s="20" t="str">
        <f aca="false">IF($X90="","",INDEX('Per Line'!$I$2:$I$4001,$X90))</f>
        <v/>
      </c>
      <c r="H90" s="20" t="str">
        <f aca="false">IF($X90="","",INDEX('Per Line'!$J$2:$J$4001,$X90))</f>
        <v/>
      </c>
      <c r="I90" s="20" t="str">
        <f aca="false">IF($X90="","",INDEX('Per Line'!$K$2:$K$4001,$X90))</f>
        <v/>
      </c>
      <c r="J90" s="20" t="str">
        <f aca="false">IF($X90="","",INDEX('Per Line'!$L$2:$L$4001,$X90))</f>
        <v/>
      </c>
      <c r="K90" s="20" t="str">
        <f aca="false">IF($X90="","",INDEX('Per Line'!$M$2:$M$4001,$X90))</f>
        <v/>
      </c>
      <c r="L90" s="22" t="str">
        <f aca="false">IF($X90="","",K90*V90/100)</f>
        <v/>
      </c>
      <c r="M90" s="20" t="str">
        <f aca="false">IF($X90="","",INDEX('Per Line'!$Z$2:$Z$4001,$X90))</f>
        <v/>
      </c>
      <c r="N90" s="23" t="str">
        <f aca="false">IF($X90="","",Settings!$C$7)</f>
        <v/>
      </c>
      <c r="O90" s="22" t="str">
        <f aca="false">IF($X90="","",SUMIFS('Per Line'!$Y$2:$Y$4001,'Per Line'!$D$2:$D$4001,$B90,'Per Line'!$AJ$2:$AJ$4001,0))</f>
        <v/>
      </c>
      <c r="P90" s="22" t="str">
        <f aca="false">IF($X90="","",O90*N90)</f>
        <v/>
      </c>
      <c r="Q90" s="23" t="str">
        <f aca="false">IF($X90="","",Settings!$C$6)</f>
        <v/>
      </c>
      <c r="R90" s="22" t="str">
        <f aca="false">IF($X90="","",SUMIFS('Per Line'!$Y$2:$Y$4001,'Per Line'!$D$2:$D$4001,$B90,'Per Line'!$AJ$2:$AJ$4001,1))</f>
        <v/>
      </c>
      <c r="S90" s="22" t="str">
        <f aca="false">IF($X90="","",R90*Q90)</f>
        <v/>
      </c>
      <c r="T90" s="22" t="str">
        <f aca="false">IF($X90="","",S90+P90)</f>
        <v/>
      </c>
      <c r="U90" s="22" t="str">
        <f aca="false">IF($X90="","",V90-T90)</f>
        <v/>
      </c>
      <c r="V90" s="22" t="str">
        <f aca="false">IF($X90="","",O90+R90)</f>
        <v/>
      </c>
      <c r="W90" s="22" t="str">
        <f aca="false">IF($X90="","",U90-L90)</f>
        <v/>
      </c>
      <c r="X90" s="24" t="str">
        <f aca="false">IF(ROWS($X$2:$X90)&lt;=MAX('Per Line'!$AI$2:$AI$4001),MATCH(ROWS($X$2:$X90),'Per Line'!$AI$2:$AI$4001,0),"")</f>
        <v/>
      </c>
    </row>
    <row r="91" customFormat="false" ht="15" hidden="false" customHeight="false" outlineLevel="0" collapsed="false">
      <c r="A91" s="19"/>
      <c r="B91" s="20" t="str">
        <f aca="false">IF($X91="","",INDEX('Per Line'!$D$2:$D$4001,$X91))</f>
        <v/>
      </c>
      <c r="C91" s="20" t="str">
        <f aca="false">IF($X91="","",INDEX('Per Line'!$C$2:$C$4001,$X91))</f>
        <v/>
      </c>
      <c r="D91" s="20" t="str">
        <f aca="false">IF($X91="","",INDEX('Per Line'!$A$2:$A$4001,$X91))</f>
        <v/>
      </c>
      <c r="E91" s="21" t="str">
        <f aca="false">IF($X91="","",INDEX('Per Line'!$F$2:$F$4001,$X91))</f>
        <v/>
      </c>
      <c r="F91" s="20" t="str">
        <f aca="false">IF($X91="","",INDEX('Per Line'!$G$2:$G$4001,$X91))</f>
        <v/>
      </c>
      <c r="G91" s="20" t="str">
        <f aca="false">IF($X91="","",INDEX('Per Line'!$I$2:$I$4001,$X91))</f>
        <v/>
      </c>
      <c r="H91" s="20" t="str">
        <f aca="false">IF($X91="","",INDEX('Per Line'!$J$2:$J$4001,$X91))</f>
        <v/>
      </c>
      <c r="I91" s="20" t="str">
        <f aca="false">IF($X91="","",INDEX('Per Line'!$K$2:$K$4001,$X91))</f>
        <v/>
      </c>
      <c r="J91" s="20" t="str">
        <f aca="false">IF($X91="","",INDEX('Per Line'!$L$2:$L$4001,$X91))</f>
        <v/>
      </c>
      <c r="K91" s="20" t="str">
        <f aca="false">IF($X91="","",INDEX('Per Line'!$M$2:$M$4001,$X91))</f>
        <v/>
      </c>
      <c r="L91" s="22" t="str">
        <f aca="false">IF($X91="","",K91*V91/100)</f>
        <v/>
      </c>
      <c r="M91" s="20" t="str">
        <f aca="false">IF($X91="","",INDEX('Per Line'!$Z$2:$Z$4001,$X91))</f>
        <v/>
      </c>
      <c r="N91" s="23" t="str">
        <f aca="false">IF($X91="","",Settings!$C$7)</f>
        <v/>
      </c>
      <c r="O91" s="22" t="str">
        <f aca="false">IF($X91="","",SUMIFS('Per Line'!$Y$2:$Y$4001,'Per Line'!$D$2:$D$4001,$B91,'Per Line'!$AJ$2:$AJ$4001,0))</f>
        <v/>
      </c>
      <c r="P91" s="22" t="str">
        <f aca="false">IF($X91="","",O91*N91)</f>
        <v/>
      </c>
      <c r="Q91" s="23" t="str">
        <f aca="false">IF($X91="","",Settings!$C$6)</f>
        <v/>
      </c>
      <c r="R91" s="22" t="str">
        <f aca="false">IF($X91="","",SUMIFS('Per Line'!$Y$2:$Y$4001,'Per Line'!$D$2:$D$4001,$B91,'Per Line'!$AJ$2:$AJ$4001,1))</f>
        <v/>
      </c>
      <c r="S91" s="22" t="str">
        <f aca="false">IF($X91="","",R91*Q91)</f>
        <v/>
      </c>
      <c r="T91" s="22" t="str">
        <f aca="false">IF($X91="","",S91+P91)</f>
        <v/>
      </c>
      <c r="U91" s="22" t="str">
        <f aca="false">IF($X91="","",V91-T91)</f>
        <v/>
      </c>
      <c r="V91" s="22" t="str">
        <f aca="false">IF($X91="","",O91+R91)</f>
        <v/>
      </c>
      <c r="W91" s="22" t="str">
        <f aca="false">IF($X91="","",U91-L91)</f>
        <v/>
      </c>
      <c r="X91" s="24" t="str">
        <f aca="false">IF(ROWS($X$2:$X91)&lt;=MAX('Per Line'!$AI$2:$AI$4001),MATCH(ROWS($X$2:$X91),'Per Line'!$AI$2:$AI$4001,0),"")</f>
        <v/>
      </c>
    </row>
    <row r="92" customFormat="false" ht="15" hidden="false" customHeight="false" outlineLevel="0" collapsed="false">
      <c r="A92" s="19"/>
      <c r="B92" s="20" t="str">
        <f aca="false">IF($X92="","",INDEX('Per Line'!$D$2:$D$4001,$X92))</f>
        <v/>
      </c>
      <c r="C92" s="20" t="str">
        <f aca="false">IF($X92="","",INDEX('Per Line'!$C$2:$C$4001,$X92))</f>
        <v/>
      </c>
      <c r="D92" s="20" t="str">
        <f aca="false">IF($X92="","",INDEX('Per Line'!$A$2:$A$4001,$X92))</f>
        <v/>
      </c>
      <c r="E92" s="21" t="str">
        <f aca="false">IF($X92="","",INDEX('Per Line'!$F$2:$F$4001,$X92))</f>
        <v/>
      </c>
      <c r="F92" s="20" t="str">
        <f aca="false">IF($X92="","",INDEX('Per Line'!$G$2:$G$4001,$X92))</f>
        <v/>
      </c>
      <c r="G92" s="20" t="str">
        <f aca="false">IF($X92="","",INDEX('Per Line'!$I$2:$I$4001,$X92))</f>
        <v/>
      </c>
      <c r="H92" s="20" t="str">
        <f aca="false">IF($X92="","",INDEX('Per Line'!$J$2:$J$4001,$X92))</f>
        <v/>
      </c>
      <c r="I92" s="20" t="str">
        <f aca="false">IF($X92="","",INDEX('Per Line'!$K$2:$K$4001,$X92))</f>
        <v/>
      </c>
      <c r="J92" s="20" t="str">
        <f aca="false">IF($X92="","",INDEX('Per Line'!$L$2:$L$4001,$X92))</f>
        <v/>
      </c>
      <c r="K92" s="20" t="str">
        <f aca="false">IF($X92="","",INDEX('Per Line'!$M$2:$M$4001,$X92))</f>
        <v/>
      </c>
      <c r="L92" s="22" t="str">
        <f aca="false">IF($X92="","",K92*V92/100)</f>
        <v/>
      </c>
      <c r="M92" s="20" t="str">
        <f aca="false">IF($X92="","",INDEX('Per Line'!$Z$2:$Z$4001,$X92))</f>
        <v/>
      </c>
      <c r="N92" s="23" t="str">
        <f aca="false">IF($X92="","",Settings!$C$7)</f>
        <v/>
      </c>
      <c r="O92" s="22" t="str">
        <f aca="false">IF($X92="","",SUMIFS('Per Line'!$Y$2:$Y$4001,'Per Line'!$D$2:$D$4001,$B92,'Per Line'!$AJ$2:$AJ$4001,0))</f>
        <v/>
      </c>
      <c r="P92" s="22" t="str">
        <f aca="false">IF($X92="","",O92*N92)</f>
        <v/>
      </c>
      <c r="Q92" s="23" t="str">
        <f aca="false">IF($X92="","",Settings!$C$6)</f>
        <v/>
      </c>
      <c r="R92" s="22" t="str">
        <f aca="false">IF($X92="","",SUMIFS('Per Line'!$Y$2:$Y$4001,'Per Line'!$D$2:$D$4001,$B92,'Per Line'!$AJ$2:$AJ$4001,1))</f>
        <v/>
      </c>
      <c r="S92" s="22" t="str">
        <f aca="false">IF($X92="","",R92*Q92)</f>
        <v/>
      </c>
      <c r="T92" s="22" t="str">
        <f aca="false">IF($X92="","",S92+P92)</f>
        <v/>
      </c>
      <c r="U92" s="22" t="str">
        <f aca="false">IF($X92="","",V92-T92)</f>
        <v/>
      </c>
      <c r="V92" s="22" t="str">
        <f aca="false">IF($X92="","",O92+R92)</f>
        <v/>
      </c>
      <c r="W92" s="22" t="str">
        <f aca="false">IF($X92="","",U92-L92)</f>
        <v/>
      </c>
      <c r="X92" s="24" t="str">
        <f aca="false">IF(ROWS($X$2:$X92)&lt;=MAX('Per Line'!$AI$2:$AI$4001),MATCH(ROWS($X$2:$X92),'Per Line'!$AI$2:$AI$4001,0),"")</f>
        <v/>
      </c>
    </row>
    <row r="93" customFormat="false" ht="15" hidden="false" customHeight="false" outlineLevel="0" collapsed="false">
      <c r="A93" s="19"/>
      <c r="B93" s="20" t="str">
        <f aca="false">IF($X93="","",INDEX('Per Line'!$D$2:$D$4001,$X93))</f>
        <v/>
      </c>
      <c r="C93" s="20" t="str">
        <f aca="false">IF($X93="","",INDEX('Per Line'!$C$2:$C$4001,$X93))</f>
        <v/>
      </c>
      <c r="D93" s="20" t="str">
        <f aca="false">IF($X93="","",INDEX('Per Line'!$A$2:$A$4001,$X93))</f>
        <v/>
      </c>
      <c r="E93" s="21" t="str">
        <f aca="false">IF($X93="","",INDEX('Per Line'!$F$2:$F$4001,$X93))</f>
        <v/>
      </c>
      <c r="F93" s="20" t="str">
        <f aca="false">IF($X93="","",INDEX('Per Line'!$G$2:$G$4001,$X93))</f>
        <v/>
      </c>
      <c r="G93" s="20" t="str">
        <f aca="false">IF($X93="","",INDEX('Per Line'!$I$2:$I$4001,$X93))</f>
        <v/>
      </c>
      <c r="H93" s="20" t="str">
        <f aca="false">IF($X93="","",INDEX('Per Line'!$J$2:$J$4001,$X93))</f>
        <v/>
      </c>
      <c r="I93" s="20" t="str">
        <f aca="false">IF($X93="","",INDEX('Per Line'!$K$2:$K$4001,$X93))</f>
        <v/>
      </c>
      <c r="J93" s="20" t="str">
        <f aca="false">IF($X93="","",INDEX('Per Line'!$L$2:$L$4001,$X93))</f>
        <v/>
      </c>
      <c r="K93" s="20" t="str">
        <f aca="false">IF($X93="","",INDEX('Per Line'!$M$2:$M$4001,$X93))</f>
        <v/>
      </c>
      <c r="L93" s="22" t="str">
        <f aca="false">IF($X93="","",K93*V93/100)</f>
        <v/>
      </c>
      <c r="M93" s="20" t="str">
        <f aca="false">IF($X93="","",INDEX('Per Line'!$Z$2:$Z$4001,$X93))</f>
        <v/>
      </c>
      <c r="N93" s="23" t="str">
        <f aca="false">IF($X93="","",Settings!$C$7)</f>
        <v/>
      </c>
      <c r="O93" s="22" t="str">
        <f aca="false">IF($X93="","",SUMIFS('Per Line'!$Y$2:$Y$4001,'Per Line'!$D$2:$D$4001,$B93,'Per Line'!$AJ$2:$AJ$4001,0))</f>
        <v/>
      </c>
      <c r="P93" s="22" t="str">
        <f aca="false">IF($X93="","",O93*N93)</f>
        <v/>
      </c>
      <c r="Q93" s="23" t="str">
        <f aca="false">IF($X93="","",Settings!$C$6)</f>
        <v/>
      </c>
      <c r="R93" s="22" t="str">
        <f aca="false">IF($X93="","",SUMIFS('Per Line'!$Y$2:$Y$4001,'Per Line'!$D$2:$D$4001,$B93,'Per Line'!$AJ$2:$AJ$4001,1))</f>
        <v/>
      </c>
      <c r="S93" s="22" t="str">
        <f aca="false">IF($X93="","",R93*Q93)</f>
        <v/>
      </c>
      <c r="T93" s="22" t="str">
        <f aca="false">IF($X93="","",S93+P93)</f>
        <v/>
      </c>
      <c r="U93" s="22" t="str">
        <f aca="false">IF($X93="","",V93-T93)</f>
        <v/>
      </c>
      <c r="V93" s="22" t="str">
        <f aca="false">IF($X93="","",O93+R93)</f>
        <v/>
      </c>
      <c r="W93" s="22" t="str">
        <f aca="false">IF($X93="","",U93-L93)</f>
        <v/>
      </c>
      <c r="X93" s="24" t="str">
        <f aca="false">IF(ROWS($X$2:$X93)&lt;=MAX('Per Line'!$AI$2:$AI$4001),MATCH(ROWS($X$2:$X93),'Per Line'!$AI$2:$AI$4001,0),"")</f>
        <v/>
      </c>
    </row>
    <row r="94" customFormat="false" ht="15" hidden="false" customHeight="false" outlineLevel="0" collapsed="false">
      <c r="A94" s="19"/>
      <c r="B94" s="20" t="str">
        <f aca="false">IF($X94="","",INDEX('Per Line'!$D$2:$D$4001,$X94))</f>
        <v/>
      </c>
      <c r="C94" s="20" t="str">
        <f aca="false">IF($X94="","",INDEX('Per Line'!$C$2:$C$4001,$X94))</f>
        <v/>
      </c>
      <c r="D94" s="20" t="str">
        <f aca="false">IF($X94="","",INDEX('Per Line'!$A$2:$A$4001,$X94))</f>
        <v/>
      </c>
      <c r="E94" s="21" t="str">
        <f aca="false">IF($X94="","",INDEX('Per Line'!$F$2:$F$4001,$X94))</f>
        <v/>
      </c>
      <c r="F94" s="20" t="str">
        <f aca="false">IF($X94="","",INDEX('Per Line'!$G$2:$G$4001,$X94))</f>
        <v/>
      </c>
      <c r="G94" s="20" t="str">
        <f aca="false">IF($X94="","",INDEX('Per Line'!$I$2:$I$4001,$X94))</f>
        <v/>
      </c>
      <c r="H94" s="20" t="str">
        <f aca="false">IF($X94="","",INDEX('Per Line'!$J$2:$J$4001,$X94))</f>
        <v/>
      </c>
      <c r="I94" s="20" t="str">
        <f aca="false">IF($X94="","",INDEX('Per Line'!$K$2:$K$4001,$X94))</f>
        <v/>
      </c>
      <c r="J94" s="20" t="str">
        <f aca="false">IF($X94="","",INDEX('Per Line'!$L$2:$L$4001,$X94))</f>
        <v/>
      </c>
      <c r="K94" s="20" t="str">
        <f aca="false">IF($X94="","",INDEX('Per Line'!$M$2:$M$4001,$X94))</f>
        <v/>
      </c>
      <c r="L94" s="22" t="str">
        <f aca="false">IF($X94="","",K94*V94/100)</f>
        <v/>
      </c>
      <c r="M94" s="20" t="str">
        <f aca="false">IF($X94="","",INDEX('Per Line'!$Z$2:$Z$4001,$X94))</f>
        <v/>
      </c>
      <c r="N94" s="23" t="str">
        <f aca="false">IF($X94="","",Settings!$C$7)</f>
        <v/>
      </c>
      <c r="O94" s="22" t="str">
        <f aca="false">IF($X94="","",SUMIFS('Per Line'!$Y$2:$Y$4001,'Per Line'!$D$2:$D$4001,$B94,'Per Line'!$AJ$2:$AJ$4001,0))</f>
        <v/>
      </c>
      <c r="P94" s="22" t="str">
        <f aca="false">IF($X94="","",O94*N94)</f>
        <v/>
      </c>
      <c r="Q94" s="23" t="str">
        <f aca="false">IF($X94="","",Settings!$C$6)</f>
        <v/>
      </c>
      <c r="R94" s="22" t="str">
        <f aca="false">IF($X94="","",SUMIFS('Per Line'!$Y$2:$Y$4001,'Per Line'!$D$2:$D$4001,$B94,'Per Line'!$AJ$2:$AJ$4001,1))</f>
        <v/>
      </c>
      <c r="S94" s="22" t="str">
        <f aca="false">IF($X94="","",R94*Q94)</f>
        <v/>
      </c>
      <c r="T94" s="22" t="str">
        <f aca="false">IF($X94="","",S94+P94)</f>
        <v/>
      </c>
      <c r="U94" s="22" t="str">
        <f aca="false">IF($X94="","",V94-T94)</f>
        <v/>
      </c>
      <c r="V94" s="22" t="str">
        <f aca="false">IF($X94="","",O94+R94)</f>
        <v/>
      </c>
      <c r="W94" s="22" t="str">
        <f aca="false">IF($X94="","",U94-L94)</f>
        <v/>
      </c>
      <c r="X94" s="24" t="str">
        <f aca="false">IF(ROWS($X$2:$X94)&lt;=MAX('Per Line'!$AI$2:$AI$4001),MATCH(ROWS($X$2:$X94),'Per Line'!$AI$2:$AI$4001,0),"")</f>
        <v/>
      </c>
    </row>
    <row r="95" customFormat="false" ht="15" hidden="false" customHeight="false" outlineLevel="0" collapsed="false">
      <c r="A95" s="19"/>
      <c r="B95" s="20" t="str">
        <f aca="false">IF($X95="","",INDEX('Per Line'!$D$2:$D$4001,$X95))</f>
        <v/>
      </c>
      <c r="C95" s="20" t="str">
        <f aca="false">IF($X95="","",INDEX('Per Line'!$C$2:$C$4001,$X95))</f>
        <v/>
      </c>
      <c r="D95" s="20" t="str">
        <f aca="false">IF($X95="","",INDEX('Per Line'!$A$2:$A$4001,$X95))</f>
        <v/>
      </c>
      <c r="E95" s="21" t="str">
        <f aca="false">IF($X95="","",INDEX('Per Line'!$F$2:$F$4001,$X95))</f>
        <v/>
      </c>
      <c r="F95" s="20" t="str">
        <f aca="false">IF($X95="","",INDEX('Per Line'!$G$2:$G$4001,$X95))</f>
        <v/>
      </c>
      <c r="G95" s="20" t="str">
        <f aca="false">IF($X95="","",INDEX('Per Line'!$I$2:$I$4001,$X95))</f>
        <v/>
      </c>
      <c r="H95" s="20" t="str">
        <f aca="false">IF($X95="","",INDEX('Per Line'!$J$2:$J$4001,$X95))</f>
        <v/>
      </c>
      <c r="I95" s="20" t="str">
        <f aca="false">IF($X95="","",INDEX('Per Line'!$K$2:$K$4001,$X95))</f>
        <v/>
      </c>
      <c r="J95" s="20" t="str">
        <f aca="false">IF($X95="","",INDEX('Per Line'!$L$2:$L$4001,$X95))</f>
        <v/>
      </c>
      <c r="K95" s="20" t="str">
        <f aca="false">IF($X95="","",INDEX('Per Line'!$M$2:$M$4001,$X95))</f>
        <v/>
      </c>
      <c r="L95" s="22" t="str">
        <f aca="false">IF($X95="","",K95*V95/100)</f>
        <v/>
      </c>
      <c r="M95" s="20" t="str">
        <f aca="false">IF($X95="","",INDEX('Per Line'!$Z$2:$Z$4001,$X95))</f>
        <v/>
      </c>
      <c r="N95" s="23" t="str">
        <f aca="false">IF($X95="","",Settings!$C$7)</f>
        <v/>
      </c>
      <c r="O95" s="22" t="str">
        <f aca="false">IF($X95="","",SUMIFS('Per Line'!$Y$2:$Y$4001,'Per Line'!$D$2:$D$4001,$B95,'Per Line'!$AJ$2:$AJ$4001,0))</f>
        <v/>
      </c>
      <c r="P95" s="22" t="str">
        <f aca="false">IF($X95="","",O95*N95)</f>
        <v/>
      </c>
      <c r="Q95" s="23" t="str">
        <f aca="false">IF($X95="","",Settings!$C$6)</f>
        <v/>
      </c>
      <c r="R95" s="22" t="str">
        <f aca="false">IF($X95="","",SUMIFS('Per Line'!$Y$2:$Y$4001,'Per Line'!$D$2:$D$4001,$B95,'Per Line'!$AJ$2:$AJ$4001,1))</f>
        <v/>
      </c>
      <c r="S95" s="22" t="str">
        <f aca="false">IF($X95="","",R95*Q95)</f>
        <v/>
      </c>
      <c r="T95" s="22" t="str">
        <f aca="false">IF($X95="","",S95+P95)</f>
        <v/>
      </c>
      <c r="U95" s="22" t="str">
        <f aca="false">IF($X95="","",V95-T95)</f>
        <v/>
      </c>
      <c r="V95" s="22" t="str">
        <f aca="false">IF($X95="","",O95+R95)</f>
        <v/>
      </c>
      <c r="W95" s="22" t="str">
        <f aca="false">IF($X95="","",U95-L95)</f>
        <v/>
      </c>
      <c r="X95" s="24" t="str">
        <f aca="false">IF(ROWS($X$2:$X95)&lt;=MAX('Per Line'!$AI$2:$AI$4001),MATCH(ROWS($X$2:$X95),'Per Line'!$AI$2:$AI$4001,0),"")</f>
        <v/>
      </c>
    </row>
    <row r="96" customFormat="false" ht="15" hidden="false" customHeight="false" outlineLevel="0" collapsed="false">
      <c r="A96" s="19"/>
      <c r="B96" s="20" t="str">
        <f aca="false">IF($X96="","",INDEX('Per Line'!$D$2:$D$4001,$X96))</f>
        <v/>
      </c>
      <c r="C96" s="20" t="str">
        <f aca="false">IF($X96="","",INDEX('Per Line'!$C$2:$C$4001,$X96))</f>
        <v/>
      </c>
      <c r="D96" s="20" t="str">
        <f aca="false">IF($X96="","",INDEX('Per Line'!$A$2:$A$4001,$X96))</f>
        <v/>
      </c>
      <c r="E96" s="21" t="str">
        <f aca="false">IF($X96="","",INDEX('Per Line'!$F$2:$F$4001,$X96))</f>
        <v/>
      </c>
      <c r="F96" s="20" t="str">
        <f aca="false">IF($X96="","",INDEX('Per Line'!$G$2:$G$4001,$X96))</f>
        <v/>
      </c>
      <c r="G96" s="20" t="str">
        <f aca="false">IF($X96="","",INDEX('Per Line'!$I$2:$I$4001,$X96))</f>
        <v/>
      </c>
      <c r="H96" s="20" t="str">
        <f aca="false">IF($X96="","",INDEX('Per Line'!$J$2:$J$4001,$X96))</f>
        <v/>
      </c>
      <c r="I96" s="20" t="str">
        <f aca="false">IF($X96="","",INDEX('Per Line'!$K$2:$K$4001,$X96))</f>
        <v/>
      </c>
      <c r="J96" s="20" t="str">
        <f aca="false">IF($X96="","",INDEX('Per Line'!$L$2:$L$4001,$X96))</f>
        <v/>
      </c>
      <c r="K96" s="20" t="str">
        <f aca="false">IF($X96="","",INDEX('Per Line'!$M$2:$M$4001,$X96))</f>
        <v/>
      </c>
      <c r="L96" s="22" t="str">
        <f aca="false">IF($X96="","",K96*V96/100)</f>
        <v/>
      </c>
      <c r="M96" s="20" t="str">
        <f aca="false">IF($X96="","",INDEX('Per Line'!$Z$2:$Z$4001,$X96))</f>
        <v/>
      </c>
      <c r="N96" s="23" t="str">
        <f aca="false">IF($X96="","",Settings!$C$7)</f>
        <v/>
      </c>
      <c r="O96" s="22" t="str">
        <f aca="false">IF($X96="","",SUMIFS('Per Line'!$Y$2:$Y$4001,'Per Line'!$D$2:$D$4001,$B96,'Per Line'!$AJ$2:$AJ$4001,0))</f>
        <v/>
      </c>
      <c r="P96" s="22" t="str">
        <f aca="false">IF($X96="","",O96*N96)</f>
        <v/>
      </c>
      <c r="Q96" s="23" t="str">
        <f aca="false">IF($X96="","",Settings!$C$6)</f>
        <v/>
      </c>
      <c r="R96" s="22" t="str">
        <f aca="false">IF($X96="","",SUMIFS('Per Line'!$Y$2:$Y$4001,'Per Line'!$D$2:$D$4001,$B96,'Per Line'!$AJ$2:$AJ$4001,1))</f>
        <v/>
      </c>
      <c r="S96" s="22" t="str">
        <f aca="false">IF($X96="","",R96*Q96)</f>
        <v/>
      </c>
      <c r="T96" s="22" t="str">
        <f aca="false">IF($X96="","",S96+P96)</f>
        <v/>
      </c>
      <c r="U96" s="22" t="str">
        <f aca="false">IF($X96="","",V96-T96)</f>
        <v/>
      </c>
      <c r="V96" s="22" t="str">
        <f aca="false">IF($X96="","",O96+R96)</f>
        <v/>
      </c>
      <c r="W96" s="22" t="str">
        <f aca="false">IF($X96="","",U96-L96)</f>
        <v/>
      </c>
      <c r="X96" s="24" t="str">
        <f aca="false">IF(ROWS($X$2:$X96)&lt;=MAX('Per Line'!$AI$2:$AI$4001),MATCH(ROWS($X$2:$X96),'Per Line'!$AI$2:$AI$4001,0),"")</f>
        <v/>
      </c>
    </row>
    <row r="97" customFormat="false" ht="15" hidden="false" customHeight="false" outlineLevel="0" collapsed="false">
      <c r="A97" s="19"/>
      <c r="B97" s="20" t="str">
        <f aca="false">IF($X97="","",INDEX('Per Line'!$D$2:$D$4001,$X97))</f>
        <v/>
      </c>
      <c r="C97" s="20" t="str">
        <f aca="false">IF($X97="","",INDEX('Per Line'!$C$2:$C$4001,$X97))</f>
        <v/>
      </c>
      <c r="D97" s="20" t="str">
        <f aca="false">IF($X97="","",INDEX('Per Line'!$A$2:$A$4001,$X97))</f>
        <v/>
      </c>
      <c r="E97" s="21" t="str">
        <f aca="false">IF($X97="","",INDEX('Per Line'!$F$2:$F$4001,$X97))</f>
        <v/>
      </c>
      <c r="F97" s="20" t="str">
        <f aca="false">IF($X97="","",INDEX('Per Line'!$G$2:$G$4001,$X97))</f>
        <v/>
      </c>
      <c r="G97" s="20" t="str">
        <f aca="false">IF($X97="","",INDEX('Per Line'!$I$2:$I$4001,$X97))</f>
        <v/>
      </c>
      <c r="H97" s="20" t="str">
        <f aca="false">IF($X97="","",INDEX('Per Line'!$J$2:$J$4001,$X97))</f>
        <v/>
      </c>
      <c r="I97" s="20" t="str">
        <f aca="false">IF($X97="","",INDEX('Per Line'!$K$2:$K$4001,$X97))</f>
        <v/>
      </c>
      <c r="J97" s="20" t="str">
        <f aca="false">IF($X97="","",INDEX('Per Line'!$L$2:$L$4001,$X97))</f>
        <v/>
      </c>
      <c r="K97" s="20" t="str">
        <f aca="false">IF($X97="","",INDEX('Per Line'!$M$2:$M$4001,$X97))</f>
        <v/>
      </c>
      <c r="L97" s="22" t="str">
        <f aca="false">IF($X97="","",K97*V97/100)</f>
        <v/>
      </c>
      <c r="M97" s="20" t="str">
        <f aca="false">IF($X97="","",INDEX('Per Line'!$Z$2:$Z$4001,$X97))</f>
        <v/>
      </c>
      <c r="N97" s="23" t="str">
        <f aca="false">IF($X97="","",Settings!$C$7)</f>
        <v/>
      </c>
      <c r="O97" s="22" t="str">
        <f aca="false">IF($X97="","",SUMIFS('Per Line'!$Y$2:$Y$4001,'Per Line'!$D$2:$D$4001,$B97,'Per Line'!$AJ$2:$AJ$4001,0))</f>
        <v/>
      </c>
      <c r="P97" s="22" t="str">
        <f aca="false">IF($X97="","",O97*N97)</f>
        <v/>
      </c>
      <c r="Q97" s="23" t="str">
        <f aca="false">IF($X97="","",Settings!$C$6)</f>
        <v/>
      </c>
      <c r="R97" s="22" t="str">
        <f aca="false">IF($X97="","",SUMIFS('Per Line'!$Y$2:$Y$4001,'Per Line'!$D$2:$D$4001,$B97,'Per Line'!$AJ$2:$AJ$4001,1))</f>
        <v/>
      </c>
      <c r="S97" s="22" t="str">
        <f aca="false">IF($X97="","",R97*Q97)</f>
        <v/>
      </c>
      <c r="T97" s="22" t="str">
        <f aca="false">IF($X97="","",S97+P97)</f>
        <v/>
      </c>
      <c r="U97" s="22" t="str">
        <f aca="false">IF($X97="","",V97-T97)</f>
        <v/>
      </c>
      <c r="V97" s="22" t="str">
        <f aca="false">IF($X97="","",O97+R97)</f>
        <v/>
      </c>
      <c r="W97" s="22" t="str">
        <f aca="false">IF($X97="","",U97-L97)</f>
        <v/>
      </c>
      <c r="X97" s="24" t="str">
        <f aca="false">IF(ROWS($X$2:$X97)&lt;=MAX('Per Line'!$AI$2:$AI$4001),MATCH(ROWS($X$2:$X97),'Per Line'!$AI$2:$AI$4001,0),"")</f>
        <v/>
      </c>
    </row>
    <row r="98" customFormat="false" ht="15" hidden="false" customHeight="false" outlineLevel="0" collapsed="false">
      <c r="A98" s="19"/>
      <c r="B98" s="20" t="str">
        <f aca="false">IF($X98="","",INDEX('Per Line'!$D$2:$D$4001,$X98))</f>
        <v/>
      </c>
      <c r="C98" s="20" t="str">
        <f aca="false">IF($X98="","",INDEX('Per Line'!$C$2:$C$4001,$X98))</f>
        <v/>
      </c>
      <c r="D98" s="20" t="str">
        <f aca="false">IF($X98="","",INDEX('Per Line'!$A$2:$A$4001,$X98))</f>
        <v/>
      </c>
      <c r="E98" s="21" t="str">
        <f aca="false">IF($X98="","",INDEX('Per Line'!$F$2:$F$4001,$X98))</f>
        <v/>
      </c>
      <c r="F98" s="20" t="str">
        <f aca="false">IF($X98="","",INDEX('Per Line'!$G$2:$G$4001,$X98))</f>
        <v/>
      </c>
      <c r="G98" s="20" t="str">
        <f aca="false">IF($X98="","",INDEX('Per Line'!$I$2:$I$4001,$X98))</f>
        <v/>
      </c>
      <c r="H98" s="20" t="str">
        <f aca="false">IF($X98="","",INDEX('Per Line'!$J$2:$J$4001,$X98))</f>
        <v/>
      </c>
      <c r="I98" s="20" t="str">
        <f aca="false">IF($X98="","",INDEX('Per Line'!$K$2:$K$4001,$X98))</f>
        <v/>
      </c>
      <c r="J98" s="20" t="str">
        <f aca="false">IF($X98="","",INDEX('Per Line'!$L$2:$L$4001,$X98))</f>
        <v/>
      </c>
      <c r="K98" s="20" t="str">
        <f aca="false">IF($X98="","",INDEX('Per Line'!$M$2:$M$4001,$X98))</f>
        <v/>
      </c>
      <c r="L98" s="22" t="str">
        <f aca="false">IF($X98="","",K98*V98/100)</f>
        <v/>
      </c>
      <c r="M98" s="20" t="str">
        <f aca="false">IF($X98="","",INDEX('Per Line'!$Z$2:$Z$4001,$X98))</f>
        <v/>
      </c>
      <c r="N98" s="23" t="str">
        <f aca="false">IF($X98="","",Settings!$C$7)</f>
        <v/>
      </c>
      <c r="O98" s="22" t="str">
        <f aca="false">IF($X98="","",SUMIFS('Per Line'!$Y$2:$Y$4001,'Per Line'!$D$2:$D$4001,$B98,'Per Line'!$AJ$2:$AJ$4001,0))</f>
        <v/>
      </c>
      <c r="P98" s="22" t="str">
        <f aca="false">IF($X98="","",O98*N98)</f>
        <v/>
      </c>
      <c r="Q98" s="23" t="str">
        <f aca="false">IF($X98="","",Settings!$C$6)</f>
        <v/>
      </c>
      <c r="R98" s="22" t="str">
        <f aca="false">IF($X98="","",SUMIFS('Per Line'!$Y$2:$Y$4001,'Per Line'!$D$2:$D$4001,$B98,'Per Line'!$AJ$2:$AJ$4001,1))</f>
        <v/>
      </c>
      <c r="S98" s="22" t="str">
        <f aca="false">IF($X98="","",R98*Q98)</f>
        <v/>
      </c>
      <c r="T98" s="22" t="str">
        <f aca="false">IF($X98="","",S98+P98)</f>
        <v/>
      </c>
      <c r="U98" s="22" t="str">
        <f aca="false">IF($X98="","",V98-T98)</f>
        <v/>
      </c>
      <c r="V98" s="22" t="str">
        <f aca="false">IF($X98="","",O98+R98)</f>
        <v/>
      </c>
      <c r="W98" s="22" t="str">
        <f aca="false">IF($X98="","",U98-L98)</f>
        <v/>
      </c>
      <c r="X98" s="24" t="str">
        <f aca="false">IF(ROWS($X$2:$X98)&lt;=MAX('Per Line'!$AI$2:$AI$4001),MATCH(ROWS($X$2:$X98),'Per Line'!$AI$2:$AI$4001,0),"")</f>
        <v/>
      </c>
    </row>
    <row r="99" customFormat="false" ht="15" hidden="false" customHeight="false" outlineLevel="0" collapsed="false">
      <c r="A99" s="19"/>
      <c r="B99" s="20" t="str">
        <f aca="false">IF($X99="","",INDEX('Per Line'!$D$2:$D$4001,$X99))</f>
        <v/>
      </c>
      <c r="C99" s="20" t="str">
        <f aca="false">IF($X99="","",INDEX('Per Line'!$C$2:$C$4001,$X99))</f>
        <v/>
      </c>
      <c r="D99" s="20" t="str">
        <f aca="false">IF($X99="","",INDEX('Per Line'!$A$2:$A$4001,$X99))</f>
        <v/>
      </c>
      <c r="E99" s="21" t="str">
        <f aca="false">IF($X99="","",INDEX('Per Line'!$F$2:$F$4001,$X99))</f>
        <v/>
      </c>
      <c r="F99" s="20" t="str">
        <f aca="false">IF($X99="","",INDEX('Per Line'!$G$2:$G$4001,$X99))</f>
        <v/>
      </c>
      <c r="G99" s="20" t="str">
        <f aca="false">IF($X99="","",INDEX('Per Line'!$I$2:$I$4001,$X99))</f>
        <v/>
      </c>
      <c r="H99" s="20" t="str">
        <f aca="false">IF($X99="","",INDEX('Per Line'!$J$2:$J$4001,$X99))</f>
        <v/>
      </c>
      <c r="I99" s="20" t="str">
        <f aca="false">IF($X99="","",INDEX('Per Line'!$K$2:$K$4001,$X99))</f>
        <v/>
      </c>
      <c r="J99" s="20" t="str">
        <f aca="false">IF($X99="","",INDEX('Per Line'!$L$2:$L$4001,$X99))</f>
        <v/>
      </c>
      <c r="K99" s="20" t="str">
        <f aca="false">IF($X99="","",INDEX('Per Line'!$M$2:$M$4001,$X99))</f>
        <v/>
      </c>
      <c r="L99" s="22" t="str">
        <f aca="false">IF($X99="","",K99*V99/100)</f>
        <v/>
      </c>
      <c r="M99" s="20" t="str">
        <f aca="false">IF($X99="","",INDEX('Per Line'!$Z$2:$Z$4001,$X99))</f>
        <v/>
      </c>
      <c r="N99" s="23" t="str">
        <f aca="false">IF($X99="","",Settings!$C$7)</f>
        <v/>
      </c>
      <c r="O99" s="22" t="str">
        <f aca="false">IF($X99="","",SUMIFS('Per Line'!$Y$2:$Y$4001,'Per Line'!$D$2:$D$4001,$B99,'Per Line'!$AJ$2:$AJ$4001,0))</f>
        <v/>
      </c>
      <c r="P99" s="22" t="str">
        <f aca="false">IF($X99="","",O99*N99)</f>
        <v/>
      </c>
      <c r="Q99" s="23" t="str">
        <f aca="false">IF($X99="","",Settings!$C$6)</f>
        <v/>
      </c>
      <c r="R99" s="22" t="str">
        <f aca="false">IF($X99="","",SUMIFS('Per Line'!$Y$2:$Y$4001,'Per Line'!$D$2:$D$4001,$B99,'Per Line'!$AJ$2:$AJ$4001,1))</f>
        <v/>
      </c>
      <c r="S99" s="22" t="str">
        <f aca="false">IF($X99="","",R99*Q99)</f>
        <v/>
      </c>
      <c r="T99" s="22" t="str">
        <f aca="false">IF($X99="","",S99+P99)</f>
        <v/>
      </c>
      <c r="U99" s="22" t="str">
        <f aca="false">IF($X99="","",V99-T99)</f>
        <v/>
      </c>
      <c r="V99" s="22" t="str">
        <f aca="false">IF($X99="","",O99+R99)</f>
        <v/>
      </c>
      <c r="W99" s="22" t="str">
        <f aca="false">IF($X99="","",U99-L99)</f>
        <v/>
      </c>
      <c r="X99" s="24" t="str">
        <f aca="false">IF(ROWS($X$2:$X99)&lt;=MAX('Per Line'!$AI$2:$AI$4001),MATCH(ROWS($X$2:$X99),'Per Line'!$AI$2:$AI$4001,0),"")</f>
        <v/>
      </c>
    </row>
    <row r="100" customFormat="false" ht="15" hidden="false" customHeight="false" outlineLevel="0" collapsed="false">
      <c r="A100" s="19"/>
      <c r="B100" s="20" t="str">
        <f aca="false">IF($X100="","",INDEX('Per Line'!$D$2:$D$4001,$X100))</f>
        <v/>
      </c>
      <c r="C100" s="20" t="str">
        <f aca="false">IF($X100="","",INDEX('Per Line'!$C$2:$C$4001,$X100))</f>
        <v/>
      </c>
      <c r="D100" s="20" t="str">
        <f aca="false">IF($X100="","",INDEX('Per Line'!$A$2:$A$4001,$X100))</f>
        <v/>
      </c>
      <c r="E100" s="21" t="str">
        <f aca="false">IF($X100="","",INDEX('Per Line'!$F$2:$F$4001,$X100))</f>
        <v/>
      </c>
      <c r="F100" s="20" t="str">
        <f aca="false">IF($X100="","",INDEX('Per Line'!$G$2:$G$4001,$X100))</f>
        <v/>
      </c>
      <c r="G100" s="20" t="str">
        <f aca="false">IF($X100="","",INDEX('Per Line'!$I$2:$I$4001,$X100))</f>
        <v/>
      </c>
      <c r="H100" s="20" t="str">
        <f aca="false">IF($X100="","",INDEX('Per Line'!$J$2:$J$4001,$X100))</f>
        <v/>
      </c>
      <c r="I100" s="20" t="str">
        <f aca="false">IF($X100="","",INDEX('Per Line'!$K$2:$K$4001,$X100))</f>
        <v/>
      </c>
      <c r="J100" s="20" t="str">
        <f aca="false">IF($X100="","",INDEX('Per Line'!$L$2:$L$4001,$X100))</f>
        <v/>
      </c>
      <c r="K100" s="20" t="str">
        <f aca="false">IF($X100="","",INDEX('Per Line'!$M$2:$M$4001,$X100))</f>
        <v/>
      </c>
      <c r="L100" s="22" t="str">
        <f aca="false">IF($X100="","",K100*V100/100)</f>
        <v/>
      </c>
      <c r="M100" s="20" t="str">
        <f aca="false">IF($X100="","",INDEX('Per Line'!$Z$2:$Z$4001,$X100))</f>
        <v/>
      </c>
      <c r="N100" s="23" t="str">
        <f aca="false">IF($X100="","",Settings!$C$7)</f>
        <v/>
      </c>
      <c r="O100" s="22" t="str">
        <f aca="false">IF($X100="","",SUMIFS('Per Line'!$Y$2:$Y$4001,'Per Line'!$D$2:$D$4001,$B100,'Per Line'!$AJ$2:$AJ$4001,0))</f>
        <v/>
      </c>
      <c r="P100" s="22" t="str">
        <f aca="false">IF($X100="","",O100*N100)</f>
        <v/>
      </c>
      <c r="Q100" s="23" t="str">
        <f aca="false">IF($X100="","",Settings!$C$6)</f>
        <v/>
      </c>
      <c r="R100" s="22" t="str">
        <f aca="false">IF($X100="","",SUMIFS('Per Line'!$Y$2:$Y$4001,'Per Line'!$D$2:$D$4001,$B100,'Per Line'!$AJ$2:$AJ$4001,1))</f>
        <v/>
      </c>
      <c r="S100" s="22" t="str">
        <f aca="false">IF($X100="","",R100*Q100)</f>
        <v/>
      </c>
      <c r="T100" s="22" t="str">
        <f aca="false">IF($X100="","",S100+P100)</f>
        <v/>
      </c>
      <c r="U100" s="22" t="str">
        <f aca="false">IF($X100="","",V100-T100)</f>
        <v/>
      </c>
      <c r="V100" s="22" t="str">
        <f aca="false">IF($X100="","",O100+R100)</f>
        <v/>
      </c>
      <c r="W100" s="22" t="str">
        <f aca="false">IF($X100="","",U100-L100)</f>
        <v/>
      </c>
      <c r="X100" s="24" t="str">
        <f aca="false">IF(ROWS($X$2:$X100)&lt;=MAX('Per Line'!$AI$2:$AI$4001),MATCH(ROWS($X$2:$X100),'Per Line'!$AI$2:$AI$4001,0),"")</f>
        <v/>
      </c>
    </row>
    <row r="101" customFormat="false" ht="15" hidden="false" customHeight="false" outlineLevel="0" collapsed="false">
      <c r="A101" s="19"/>
      <c r="B101" s="20" t="str">
        <f aca="false">IF($X101="","",INDEX('Per Line'!$D$2:$D$4001,$X101))</f>
        <v/>
      </c>
      <c r="C101" s="20" t="str">
        <f aca="false">IF($X101="","",INDEX('Per Line'!$C$2:$C$4001,$X101))</f>
        <v/>
      </c>
      <c r="D101" s="20" t="str">
        <f aca="false">IF($X101="","",INDEX('Per Line'!$A$2:$A$4001,$X101))</f>
        <v/>
      </c>
      <c r="E101" s="21" t="str">
        <f aca="false">IF($X101="","",INDEX('Per Line'!$F$2:$F$4001,$X101))</f>
        <v/>
      </c>
      <c r="F101" s="20" t="str">
        <f aca="false">IF($X101="","",INDEX('Per Line'!$G$2:$G$4001,$X101))</f>
        <v/>
      </c>
      <c r="G101" s="20" t="str">
        <f aca="false">IF($X101="","",INDEX('Per Line'!$I$2:$I$4001,$X101))</f>
        <v/>
      </c>
      <c r="H101" s="20" t="str">
        <f aca="false">IF($X101="","",INDEX('Per Line'!$J$2:$J$4001,$X101))</f>
        <v/>
      </c>
      <c r="I101" s="20" t="str">
        <f aca="false">IF($X101="","",INDEX('Per Line'!$K$2:$K$4001,$X101))</f>
        <v/>
      </c>
      <c r="J101" s="20" t="str">
        <f aca="false">IF($X101="","",INDEX('Per Line'!$L$2:$L$4001,$X101))</f>
        <v/>
      </c>
      <c r="K101" s="20" t="str">
        <f aca="false">IF($X101="","",INDEX('Per Line'!$M$2:$M$4001,$X101))</f>
        <v/>
      </c>
      <c r="L101" s="22" t="str">
        <f aca="false">IF($X101="","",K101*V101/100)</f>
        <v/>
      </c>
      <c r="M101" s="20" t="str">
        <f aca="false">IF($X101="","",INDEX('Per Line'!$Z$2:$Z$4001,$X101))</f>
        <v/>
      </c>
      <c r="N101" s="23" t="str">
        <f aca="false">IF($X101="","",Settings!$C$7)</f>
        <v/>
      </c>
      <c r="O101" s="22" t="str">
        <f aca="false">IF($X101="","",SUMIFS('Per Line'!$Y$2:$Y$4001,'Per Line'!$D$2:$D$4001,$B101,'Per Line'!$AJ$2:$AJ$4001,0))</f>
        <v/>
      </c>
      <c r="P101" s="22" t="str">
        <f aca="false">IF($X101="","",O101*N101)</f>
        <v/>
      </c>
      <c r="Q101" s="23" t="str">
        <f aca="false">IF($X101="","",Settings!$C$6)</f>
        <v/>
      </c>
      <c r="R101" s="22" t="str">
        <f aca="false">IF($X101="","",SUMIFS('Per Line'!$Y$2:$Y$4001,'Per Line'!$D$2:$D$4001,$B101,'Per Line'!$AJ$2:$AJ$4001,1))</f>
        <v/>
      </c>
      <c r="S101" s="22" t="str">
        <f aca="false">IF($X101="","",R101*Q101)</f>
        <v/>
      </c>
      <c r="T101" s="22" t="str">
        <f aca="false">IF($X101="","",S101+P101)</f>
        <v/>
      </c>
      <c r="U101" s="22" t="str">
        <f aca="false">IF($X101="","",V101-T101)</f>
        <v/>
      </c>
      <c r="V101" s="22" t="str">
        <f aca="false">IF($X101="","",O101+R101)</f>
        <v/>
      </c>
      <c r="W101" s="22" t="str">
        <f aca="false">IF($X101="","",U101-L101)</f>
        <v/>
      </c>
      <c r="X101" s="24" t="str">
        <f aca="false">IF(ROWS($X$2:$X101)&lt;=MAX('Per Line'!$AI$2:$AI$4001),MATCH(ROWS($X$2:$X101),'Per Line'!$AI$2:$AI$4001,0),"")</f>
        <v/>
      </c>
    </row>
    <row r="102" customFormat="false" ht="15" hidden="false" customHeight="false" outlineLevel="0" collapsed="false">
      <c r="A102" s="19"/>
      <c r="B102" s="20" t="str">
        <f aca="false">IF($X102="","",INDEX('Per Line'!$D$2:$D$4001,$X102))</f>
        <v/>
      </c>
      <c r="C102" s="20" t="str">
        <f aca="false">IF($X102="","",INDEX('Per Line'!$C$2:$C$4001,$X102))</f>
        <v/>
      </c>
      <c r="D102" s="20" t="str">
        <f aca="false">IF($X102="","",INDEX('Per Line'!$A$2:$A$4001,$X102))</f>
        <v/>
      </c>
      <c r="E102" s="21" t="str">
        <f aca="false">IF($X102="","",INDEX('Per Line'!$F$2:$F$4001,$X102))</f>
        <v/>
      </c>
      <c r="F102" s="20" t="str">
        <f aca="false">IF($X102="","",INDEX('Per Line'!$G$2:$G$4001,$X102))</f>
        <v/>
      </c>
      <c r="G102" s="20" t="str">
        <f aca="false">IF($X102="","",INDEX('Per Line'!$I$2:$I$4001,$X102))</f>
        <v/>
      </c>
      <c r="H102" s="20" t="str">
        <f aca="false">IF($X102="","",INDEX('Per Line'!$J$2:$J$4001,$X102))</f>
        <v/>
      </c>
      <c r="I102" s="20" t="str">
        <f aca="false">IF($X102="","",INDEX('Per Line'!$K$2:$K$4001,$X102))</f>
        <v/>
      </c>
      <c r="J102" s="20" t="str">
        <f aca="false">IF($X102="","",INDEX('Per Line'!$L$2:$L$4001,$X102))</f>
        <v/>
      </c>
      <c r="K102" s="20" t="str">
        <f aca="false">IF($X102="","",INDEX('Per Line'!$M$2:$M$4001,$X102))</f>
        <v/>
      </c>
      <c r="L102" s="22" t="str">
        <f aca="false">IF($X102="","",K102*V102/100)</f>
        <v/>
      </c>
      <c r="M102" s="20" t="str">
        <f aca="false">IF($X102="","",INDEX('Per Line'!$Z$2:$Z$4001,$X102))</f>
        <v/>
      </c>
      <c r="N102" s="23" t="str">
        <f aca="false">IF($X102="","",Settings!$C$7)</f>
        <v/>
      </c>
      <c r="O102" s="22" t="str">
        <f aca="false">IF($X102="","",SUMIFS('Per Line'!$Y$2:$Y$4001,'Per Line'!$D$2:$D$4001,$B102,'Per Line'!$AJ$2:$AJ$4001,0))</f>
        <v/>
      </c>
      <c r="P102" s="22" t="str">
        <f aca="false">IF($X102="","",O102*N102)</f>
        <v/>
      </c>
      <c r="Q102" s="23" t="str">
        <f aca="false">IF($X102="","",Settings!$C$6)</f>
        <v/>
      </c>
      <c r="R102" s="22" t="str">
        <f aca="false">IF($X102="","",SUMIFS('Per Line'!$Y$2:$Y$4001,'Per Line'!$D$2:$D$4001,$B102,'Per Line'!$AJ$2:$AJ$4001,1))</f>
        <v/>
      </c>
      <c r="S102" s="22" t="str">
        <f aca="false">IF($X102="","",R102*Q102)</f>
        <v/>
      </c>
      <c r="T102" s="22" t="str">
        <f aca="false">IF($X102="","",S102+P102)</f>
        <v/>
      </c>
      <c r="U102" s="22" t="str">
        <f aca="false">IF($X102="","",V102-T102)</f>
        <v/>
      </c>
      <c r="V102" s="22" t="str">
        <f aca="false">IF($X102="","",O102+R102)</f>
        <v/>
      </c>
      <c r="W102" s="22" t="str">
        <f aca="false">IF($X102="","",U102-L102)</f>
        <v/>
      </c>
      <c r="X102" s="24" t="str">
        <f aca="false">IF(ROWS($X$2:$X102)&lt;=MAX('Per Line'!$AI$2:$AI$4001),MATCH(ROWS($X$2:$X102),'Per Line'!$AI$2:$AI$4001,0),"")</f>
        <v/>
      </c>
    </row>
    <row r="103" customFormat="false" ht="15" hidden="false" customHeight="false" outlineLevel="0" collapsed="false">
      <c r="A103" s="19"/>
      <c r="B103" s="20" t="str">
        <f aca="false">IF($X103="","",INDEX('Per Line'!$D$2:$D$4001,$X103))</f>
        <v/>
      </c>
      <c r="C103" s="20" t="str">
        <f aca="false">IF($X103="","",INDEX('Per Line'!$C$2:$C$4001,$X103))</f>
        <v/>
      </c>
      <c r="D103" s="20" t="str">
        <f aca="false">IF($X103="","",INDEX('Per Line'!$A$2:$A$4001,$X103))</f>
        <v/>
      </c>
      <c r="E103" s="21" t="str">
        <f aca="false">IF($X103="","",INDEX('Per Line'!$F$2:$F$4001,$X103))</f>
        <v/>
      </c>
      <c r="F103" s="20" t="str">
        <f aca="false">IF($X103="","",INDEX('Per Line'!$G$2:$G$4001,$X103))</f>
        <v/>
      </c>
      <c r="G103" s="20" t="str">
        <f aca="false">IF($X103="","",INDEX('Per Line'!$I$2:$I$4001,$X103))</f>
        <v/>
      </c>
      <c r="H103" s="20" t="str">
        <f aca="false">IF($X103="","",INDEX('Per Line'!$J$2:$J$4001,$X103))</f>
        <v/>
      </c>
      <c r="I103" s="20" t="str">
        <f aca="false">IF($X103="","",INDEX('Per Line'!$K$2:$K$4001,$X103))</f>
        <v/>
      </c>
      <c r="J103" s="20" t="str">
        <f aca="false">IF($X103="","",INDEX('Per Line'!$L$2:$L$4001,$X103))</f>
        <v/>
      </c>
      <c r="K103" s="20" t="str">
        <f aca="false">IF($X103="","",INDEX('Per Line'!$M$2:$M$4001,$X103))</f>
        <v/>
      </c>
      <c r="L103" s="22" t="str">
        <f aca="false">IF($X103="","",K103*V103/100)</f>
        <v/>
      </c>
      <c r="M103" s="20" t="str">
        <f aca="false">IF($X103="","",INDEX('Per Line'!$Z$2:$Z$4001,$X103))</f>
        <v/>
      </c>
      <c r="N103" s="23" t="str">
        <f aca="false">IF($X103="","",Settings!$C$7)</f>
        <v/>
      </c>
      <c r="O103" s="22" t="str">
        <f aca="false">IF($X103="","",SUMIFS('Per Line'!$Y$2:$Y$4001,'Per Line'!$D$2:$D$4001,$B103,'Per Line'!$AJ$2:$AJ$4001,0))</f>
        <v/>
      </c>
      <c r="P103" s="22" t="str">
        <f aca="false">IF($X103="","",O103*N103)</f>
        <v/>
      </c>
      <c r="Q103" s="23" t="str">
        <f aca="false">IF($X103="","",Settings!$C$6)</f>
        <v/>
      </c>
      <c r="R103" s="22" t="str">
        <f aca="false">IF($X103="","",SUMIFS('Per Line'!$Y$2:$Y$4001,'Per Line'!$D$2:$D$4001,$B103,'Per Line'!$AJ$2:$AJ$4001,1))</f>
        <v/>
      </c>
      <c r="S103" s="22" t="str">
        <f aca="false">IF($X103="","",R103*Q103)</f>
        <v/>
      </c>
      <c r="T103" s="22" t="str">
        <f aca="false">IF($X103="","",S103+P103)</f>
        <v/>
      </c>
      <c r="U103" s="22" t="str">
        <f aca="false">IF($X103="","",V103-T103)</f>
        <v/>
      </c>
      <c r="V103" s="22" t="str">
        <f aca="false">IF($X103="","",O103+R103)</f>
        <v/>
      </c>
      <c r="W103" s="22" t="str">
        <f aca="false">IF($X103="","",U103-L103)</f>
        <v/>
      </c>
      <c r="X103" s="24" t="str">
        <f aca="false">IF(ROWS($X$2:$X103)&lt;=MAX('Per Line'!$AI$2:$AI$4001),MATCH(ROWS($X$2:$X103),'Per Line'!$AI$2:$AI$4001,0),"")</f>
        <v/>
      </c>
    </row>
    <row r="104" customFormat="false" ht="15" hidden="false" customHeight="false" outlineLevel="0" collapsed="false">
      <c r="A104" s="19"/>
      <c r="B104" s="20" t="str">
        <f aca="false">IF($X104="","",INDEX('Per Line'!$D$2:$D$4001,$X104))</f>
        <v/>
      </c>
      <c r="C104" s="20" t="str">
        <f aca="false">IF($X104="","",INDEX('Per Line'!$C$2:$C$4001,$X104))</f>
        <v/>
      </c>
      <c r="D104" s="20" t="str">
        <f aca="false">IF($X104="","",INDEX('Per Line'!$A$2:$A$4001,$X104))</f>
        <v/>
      </c>
      <c r="E104" s="21" t="str">
        <f aca="false">IF($X104="","",INDEX('Per Line'!$F$2:$F$4001,$X104))</f>
        <v/>
      </c>
      <c r="F104" s="20" t="str">
        <f aca="false">IF($X104="","",INDEX('Per Line'!$G$2:$G$4001,$X104))</f>
        <v/>
      </c>
      <c r="G104" s="20" t="str">
        <f aca="false">IF($X104="","",INDEX('Per Line'!$I$2:$I$4001,$X104))</f>
        <v/>
      </c>
      <c r="H104" s="20" t="str">
        <f aca="false">IF($X104="","",INDEX('Per Line'!$J$2:$J$4001,$X104))</f>
        <v/>
      </c>
      <c r="I104" s="20" t="str">
        <f aca="false">IF($X104="","",INDEX('Per Line'!$K$2:$K$4001,$X104))</f>
        <v/>
      </c>
      <c r="J104" s="20" t="str">
        <f aca="false">IF($X104="","",INDEX('Per Line'!$L$2:$L$4001,$X104))</f>
        <v/>
      </c>
      <c r="K104" s="20" t="str">
        <f aca="false">IF($X104="","",INDEX('Per Line'!$M$2:$M$4001,$X104))</f>
        <v/>
      </c>
      <c r="L104" s="22" t="str">
        <f aca="false">IF($X104="","",K104*V104/100)</f>
        <v/>
      </c>
      <c r="M104" s="20" t="str">
        <f aca="false">IF($X104="","",INDEX('Per Line'!$Z$2:$Z$4001,$X104))</f>
        <v/>
      </c>
      <c r="N104" s="23" t="str">
        <f aca="false">IF($X104="","",Settings!$C$7)</f>
        <v/>
      </c>
      <c r="O104" s="22" t="str">
        <f aca="false">IF($X104="","",SUMIFS('Per Line'!$Y$2:$Y$4001,'Per Line'!$D$2:$D$4001,$B104,'Per Line'!$AJ$2:$AJ$4001,0))</f>
        <v/>
      </c>
      <c r="P104" s="22" t="str">
        <f aca="false">IF($X104="","",O104*N104)</f>
        <v/>
      </c>
      <c r="Q104" s="23" t="str">
        <f aca="false">IF($X104="","",Settings!$C$6)</f>
        <v/>
      </c>
      <c r="R104" s="22" t="str">
        <f aca="false">IF($X104="","",SUMIFS('Per Line'!$Y$2:$Y$4001,'Per Line'!$D$2:$D$4001,$B104,'Per Line'!$AJ$2:$AJ$4001,1))</f>
        <v/>
      </c>
      <c r="S104" s="22" t="str">
        <f aca="false">IF($X104="","",R104*Q104)</f>
        <v/>
      </c>
      <c r="T104" s="22" t="str">
        <f aca="false">IF($X104="","",S104+P104)</f>
        <v/>
      </c>
      <c r="U104" s="22" t="str">
        <f aca="false">IF($X104="","",V104-T104)</f>
        <v/>
      </c>
      <c r="V104" s="22" t="str">
        <f aca="false">IF($X104="","",O104+R104)</f>
        <v/>
      </c>
      <c r="W104" s="22" t="str">
        <f aca="false">IF($X104="","",U104-L104)</f>
        <v/>
      </c>
      <c r="X104" s="24" t="str">
        <f aca="false">IF(ROWS($X$2:$X104)&lt;=MAX('Per Line'!$AI$2:$AI$4001),MATCH(ROWS($X$2:$X104),'Per Line'!$AI$2:$AI$4001,0),"")</f>
        <v/>
      </c>
    </row>
    <row r="105" customFormat="false" ht="15" hidden="false" customHeight="false" outlineLevel="0" collapsed="false">
      <c r="A105" s="19"/>
      <c r="B105" s="20" t="str">
        <f aca="false">IF($X105="","",INDEX('Per Line'!$D$2:$D$4001,$X105))</f>
        <v/>
      </c>
      <c r="C105" s="20" t="str">
        <f aca="false">IF($X105="","",INDEX('Per Line'!$C$2:$C$4001,$X105))</f>
        <v/>
      </c>
      <c r="D105" s="20" t="str">
        <f aca="false">IF($X105="","",INDEX('Per Line'!$A$2:$A$4001,$X105))</f>
        <v/>
      </c>
      <c r="E105" s="21" t="str">
        <f aca="false">IF($X105="","",INDEX('Per Line'!$F$2:$F$4001,$X105))</f>
        <v/>
      </c>
      <c r="F105" s="20" t="str">
        <f aca="false">IF($X105="","",INDEX('Per Line'!$G$2:$G$4001,$X105))</f>
        <v/>
      </c>
      <c r="G105" s="20" t="str">
        <f aca="false">IF($X105="","",INDEX('Per Line'!$I$2:$I$4001,$X105))</f>
        <v/>
      </c>
      <c r="H105" s="20" t="str">
        <f aca="false">IF($X105="","",INDEX('Per Line'!$J$2:$J$4001,$X105))</f>
        <v/>
      </c>
      <c r="I105" s="20" t="str">
        <f aca="false">IF($X105="","",INDEX('Per Line'!$K$2:$K$4001,$X105))</f>
        <v/>
      </c>
      <c r="J105" s="20" t="str">
        <f aca="false">IF($X105="","",INDEX('Per Line'!$L$2:$L$4001,$X105))</f>
        <v/>
      </c>
      <c r="K105" s="20" t="str">
        <f aca="false">IF($X105="","",INDEX('Per Line'!$M$2:$M$4001,$X105))</f>
        <v/>
      </c>
      <c r="L105" s="22" t="str">
        <f aca="false">IF($X105="","",K105*V105/100)</f>
        <v/>
      </c>
      <c r="M105" s="20" t="str">
        <f aca="false">IF($X105="","",INDEX('Per Line'!$Z$2:$Z$4001,$X105))</f>
        <v/>
      </c>
      <c r="N105" s="23" t="str">
        <f aca="false">IF($X105="","",Settings!$C$7)</f>
        <v/>
      </c>
      <c r="O105" s="22" t="str">
        <f aca="false">IF($X105="","",SUMIFS('Per Line'!$Y$2:$Y$4001,'Per Line'!$D$2:$D$4001,$B105,'Per Line'!$AJ$2:$AJ$4001,0))</f>
        <v/>
      </c>
      <c r="P105" s="22" t="str">
        <f aca="false">IF($X105="","",O105*N105)</f>
        <v/>
      </c>
      <c r="Q105" s="23" t="str">
        <f aca="false">IF($X105="","",Settings!$C$6)</f>
        <v/>
      </c>
      <c r="R105" s="22" t="str">
        <f aca="false">IF($X105="","",SUMIFS('Per Line'!$Y$2:$Y$4001,'Per Line'!$D$2:$D$4001,$B105,'Per Line'!$AJ$2:$AJ$4001,1))</f>
        <v/>
      </c>
      <c r="S105" s="22" t="str">
        <f aca="false">IF($X105="","",R105*Q105)</f>
        <v/>
      </c>
      <c r="T105" s="22" t="str">
        <f aca="false">IF($X105="","",S105+P105)</f>
        <v/>
      </c>
      <c r="U105" s="22" t="str">
        <f aca="false">IF($X105="","",V105-T105)</f>
        <v/>
      </c>
      <c r="V105" s="22" t="str">
        <f aca="false">IF($X105="","",O105+R105)</f>
        <v/>
      </c>
      <c r="W105" s="22" t="str">
        <f aca="false">IF($X105="","",U105-L105)</f>
        <v/>
      </c>
      <c r="X105" s="24" t="str">
        <f aca="false">IF(ROWS($X$2:$X105)&lt;=MAX('Per Line'!$AI$2:$AI$4001),MATCH(ROWS($X$2:$X105),'Per Line'!$AI$2:$AI$4001,0),"")</f>
        <v/>
      </c>
    </row>
    <row r="106" customFormat="false" ht="15" hidden="false" customHeight="false" outlineLevel="0" collapsed="false">
      <c r="A106" s="19"/>
      <c r="B106" s="20" t="str">
        <f aca="false">IF($X106="","",INDEX('Per Line'!$D$2:$D$4001,$X106))</f>
        <v/>
      </c>
      <c r="C106" s="20" t="str">
        <f aca="false">IF($X106="","",INDEX('Per Line'!$C$2:$C$4001,$X106))</f>
        <v/>
      </c>
      <c r="D106" s="20" t="str">
        <f aca="false">IF($X106="","",INDEX('Per Line'!$A$2:$A$4001,$X106))</f>
        <v/>
      </c>
      <c r="E106" s="21" t="str">
        <f aca="false">IF($X106="","",INDEX('Per Line'!$F$2:$F$4001,$X106))</f>
        <v/>
      </c>
      <c r="F106" s="20" t="str">
        <f aca="false">IF($X106="","",INDEX('Per Line'!$G$2:$G$4001,$X106))</f>
        <v/>
      </c>
      <c r="G106" s="20" t="str">
        <f aca="false">IF($X106="","",INDEX('Per Line'!$I$2:$I$4001,$X106))</f>
        <v/>
      </c>
      <c r="H106" s="20" t="str">
        <f aca="false">IF($X106="","",INDEX('Per Line'!$J$2:$J$4001,$X106))</f>
        <v/>
      </c>
      <c r="I106" s="20" t="str">
        <f aca="false">IF($X106="","",INDEX('Per Line'!$K$2:$K$4001,$X106))</f>
        <v/>
      </c>
      <c r="J106" s="20" t="str">
        <f aca="false">IF($X106="","",INDEX('Per Line'!$L$2:$L$4001,$X106))</f>
        <v/>
      </c>
      <c r="K106" s="20" t="str">
        <f aca="false">IF($X106="","",INDEX('Per Line'!$M$2:$M$4001,$X106))</f>
        <v/>
      </c>
      <c r="L106" s="22" t="str">
        <f aca="false">IF($X106="","",K106*V106/100)</f>
        <v/>
      </c>
      <c r="M106" s="20" t="str">
        <f aca="false">IF($X106="","",INDEX('Per Line'!$Z$2:$Z$4001,$X106))</f>
        <v/>
      </c>
      <c r="N106" s="23" t="str">
        <f aca="false">IF($X106="","",Settings!$C$7)</f>
        <v/>
      </c>
      <c r="O106" s="22" t="str">
        <f aca="false">IF($X106="","",SUMIFS('Per Line'!$Y$2:$Y$4001,'Per Line'!$D$2:$D$4001,$B106,'Per Line'!$AJ$2:$AJ$4001,0))</f>
        <v/>
      </c>
      <c r="P106" s="22" t="str">
        <f aca="false">IF($X106="","",O106*N106)</f>
        <v/>
      </c>
      <c r="Q106" s="23" t="str">
        <f aca="false">IF($X106="","",Settings!$C$6)</f>
        <v/>
      </c>
      <c r="R106" s="22" t="str">
        <f aca="false">IF($X106="","",SUMIFS('Per Line'!$Y$2:$Y$4001,'Per Line'!$D$2:$D$4001,$B106,'Per Line'!$AJ$2:$AJ$4001,1))</f>
        <v/>
      </c>
      <c r="S106" s="22" t="str">
        <f aca="false">IF($X106="","",R106*Q106)</f>
        <v/>
      </c>
      <c r="T106" s="22" t="str">
        <f aca="false">IF($X106="","",S106+P106)</f>
        <v/>
      </c>
      <c r="U106" s="22" t="str">
        <f aca="false">IF($X106="","",V106-T106)</f>
        <v/>
      </c>
      <c r="V106" s="22" t="str">
        <f aca="false">IF($X106="","",O106+R106)</f>
        <v/>
      </c>
      <c r="W106" s="22" t="str">
        <f aca="false">IF($X106="","",U106-L106)</f>
        <v/>
      </c>
      <c r="X106" s="24" t="str">
        <f aca="false">IF(ROWS($X$2:$X106)&lt;=MAX('Per Line'!$AI$2:$AI$4001),MATCH(ROWS($X$2:$X106),'Per Line'!$AI$2:$AI$4001,0),"")</f>
        <v/>
      </c>
    </row>
    <row r="107" customFormat="false" ht="15" hidden="false" customHeight="false" outlineLevel="0" collapsed="false">
      <c r="A107" s="19"/>
      <c r="B107" s="20" t="str">
        <f aca="false">IF($X107="","",INDEX('Per Line'!$D$2:$D$4001,$X107))</f>
        <v/>
      </c>
      <c r="C107" s="20" t="str">
        <f aca="false">IF($X107="","",INDEX('Per Line'!$C$2:$C$4001,$X107))</f>
        <v/>
      </c>
      <c r="D107" s="20" t="str">
        <f aca="false">IF($X107="","",INDEX('Per Line'!$A$2:$A$4001,$X107))</f>
        <v/>
      </c>
      <c r="E107" s="21" t="str">
        <f aca="false">IF($X107="","",INDEX('Per Line'!$F$2:$F$4001,$X107))</f>
        <v/>
      </c>
      <c r="F107" s="20" t="str">
        <f aca="false">IF($X107="","",INDEX('Per Line'!$G$2:$G$4001,$X107))</f>
        <v/>
      </c>
      <c r="G107" s="20" t="str">
        <f aca="false">IF($X107="","",INDEX('Per Line'!$I$2:$I$4001,$X107))</f>
        <v/>
      </c>
      <c r="H107" s="20" t="str">
        <f aca="false">IF($X107="","",INDEX('Per Line'!$J$2:$J$4001,$X107))</f>
        <v/>
      </c>
      <c r="I107" s="20" t="str">
        <f aca="false">IF($X107="","",INDEX('Per Line'!$K$2:$K$4001,$X107))</f>
        <v/>
      </c>
      <c r="J107" s="20" t="str">
        <f aca="false">IF($X107="","",INDEX('Per Line'!$L$2:$L$4001,$X107))</f>
        <v/>
      </c>
      <c r="K107" s="20" t="str">
        <f aca="false">IF($X107="","",INDEX('Per Line'!$M$2:$M$4001,$X107))</f>
        <v/>
      </c>
      <c r="L107" s="22" t="str">
        <f aca="false">IF($X107="","",K107*V107/100)</f>
        <v/>
      </c>
      <c r="M107" s="20" t="str">
        <f aca="false">IF($X107="","",INDEX('Per Line'!$Z$2:$Z$4001,$X107))</f>
        <v/>
      </c>
      <c r="N107" s="23" t="str">
        <f aca="false">IF($X107="","",Settings!$C$7)</f>
        <v/>
      </c>
      <c r="O107" s="22" t="str">
        <f aca="false">IF($X107="","",SUMIFS('Per Line'!$Y$2:$Y$4001,'Per Line'!$D$2:$D$4001,$B107,'Per Line'!$AJ$2:$AJ$4001,0))</f>
        <v/>
      </c>
      <c r="P107" s="22" t="str">
        <f aca="false">IF($X107="","",O107*N107)</f>
        <v/>
      </c>
      <c r="Q107" s="23" t="str">
        <f aca="false">IF($X107="","",Settings!$C$6)</f>
        <v/>
      </c>
      <c r="R107" s="22" t="str">
        <f aca="false">IF($X107="","",SUMIFS('Per Line'!$Y$2:$Y$4001,'Per Line'!$D$2:$D$4001,$B107,'Per Line'!$AJ$2:$AJ$4001,1))</f>
        <v/>
      </c>
      <c r="S107" s="22" t="str">
        <f aca="false">IF($X107="","",R107*Q107)</f>
        <v/>
      </c>
      <c r="T107" s="22" t="str">
        <f aca="false">IF($X107="","",S107+P107)</f>
        <v/>
      </c>
      <c r="U107" s="22" t="str">
        <f aca="false">IF($X107="","",V107-T107)</f>
        <v/>
      </c>
      <c r="V107" s="22" t="str">
        <f aca="false">IF($X107="","",O107+R107)</f>
        <v/>
      </c>
      <c r="W107" s="22" t="str">
        <f aca="false">IF($X107="","",U107-L107)</f>
        <v/>
      </c>
      <c r="X107" s="24" t="str">
        <f aca="false">IF(ROWS($X$2:$X107)&lt;=MAX('Per Line'!$AI$2:$AI$4001),MATCH(ROWS($X$2:$X107),'Per Line'!$AI$2:$AI$4001,0),"")</f>
        <v/>
      </c>
    </row>
    <row r="108" customFormat="false" ht="15" hidden="false" customHeight="false" outlineLevel="0" collapsed="false">
      <c r="A108" s="19"/>
      <c r="B108" s="20" t="str">
        <f aca="false">IF($X108="","",INDEX('Per Line'!$D$2:$D$4001,$X108))</f>
        <v/>
      </c>
      <c r="C108" s="20" t="str">
        <f aca="false">IF($X108="","",INDEX('Per Line'!$C$2:$C$4001,$X108))</f>
        <v/>
      </c>
      <c r="D108" s="20" t="str">
        <f aca="false">IF($X108="","",INDEX('Per Line'!$A$2:$A$4001,$X108))</f>
        <v/>
      </c>
      <c r="E108" s="21" t="str">
        <f aca="false">IF($X108="","",INDEX('Per Line'!$F$2:$F$4001,$X108))</f>
        <v/>
      </c>
      <c r="F108" s="20" t="str">
        <f aca="false">IF($X108="","",INDEX('Per Line'!$G$2:$G$4001,$X108))</f>
        <v/>
      </c>
      <c r="G108" s="20" t="str">
        <f aca="false">IF($X108="","",INDEX('Per Line'!$I$2:$I$4001,$X108))</f>
        <v/>
      </c>
      <c r="H108" s="20" t="str">
        <f aca="false">IF($X108="","",INDEX('Per Line'!$J$2:$J$4001,$X108))</f>
        <v/>
      </c>
      <c r="I108" s="20" t="str">
        <f aca="false">IF($X108="","",INDEX('Per Line'!$K$2:$K$4001,$X108))</f>
        <v/>
      </c>
      <c r="J108" s="20" t="str">
        <f aca="false">IF($X108="","",INDEX('Per Line'!$L$2:$L$4001,$X108))</f>
        <v/>
      </c>
      <c r="K108" s="20" t="str">
        <f aca="false">IF($X108="","",INDEX('Per Line'!$M$2:$M$4001,$X108))</f>
        <v/>
      </c>
      <c r="L108" s="22" t="str">
        <f aca="false">IF($X108="","",K108*V108/100)</f>
        <v/>
      </c>
      <c r="M108" s="20" t="str">
        <f aca="false">IF($X108="","",INDEX('Per Line'!$Z$2:$Z$4001,$X108))</f>
        <v/>
      </c>
      <c r="N108" s="23" t="str">
        <f aca="false">IF($X108="","",Settings!$C$7)</f>
        <v/>
      </c>
      <c r="O108" s="22" t="str">
        <f aca="false">IF($X108="","",SUMIFS('Per Line'!$Y$2:$Y$4001,'Per Line'!$D$2:$D$4001,$B108,'Per Line'!$AJ$2:$AJ$4001,0))</f>
        <v/>
      </c>
      <c r="P108" s="22" t="str">
        <f aca="false">IF($X108="","",O108*N108)</f>
        <v/>
      </c>
      <c r="Q108" s="23" t="str">
        <f aca="false">IF($X108="","",Settings!$C$6)</f>
        <v/>
      </c>
      <c r="R108" s="22" t="str">
        <f aca="false">IF($X108="","",SUMIFS('Per Line'!$Y$2:$Y$4001,'Per Line'!$D$2:$D$4001,$B108,'Per Line'!$AJ$2:$AJ$4001,1))</f>
        <v/>
      </c>
      <c r="S108" s="22" t="str">
        <f aca="false">IF($X108="","",R108*Q108)</f>
        <v/>
      </c>
      <c r="T108" s="22" t="str">
        <f aca="false">IF($X108="","",S108+P108)</f>
        <v/>
      </c>
      <c r="U108" s="22" t="str">
        <f aca="false">IF($X108="","",V108-T108)</f>
        <v/>
      </c>
      <c r="V108" s="22" t="str">
        <f aca="false">IF($X108="","",O108+R108)</f>
        <v/>
      </c>
      <c r="W108" s="22" t="str">
        <f aca="false">IF($X108="","",U108-L108)</f>
        <v/>
      </c>
      <c r="X108" s="24" t="str">
        <f aca="false">IF(ROWS($X$2:$X108)&lt;=MAX('Per Line'!$AI$2:$AI$4001),MATCH(ROWS($X$2:$X108),'Per Line'!$AI$2:$AI$4001,0),"")</f>
        <v/>
      </c>
    </row>
    <row r="109" customFormat="false" ht="15" hidden="false" customHeight="false" outlineLevel="0" collapsed="false">
      <c r="A109" s="19"/>
      <c r="B109" s="20" t="str">
        <f aca="false">IF($X109="","",INDEX('Per Line'!$D$2:$D$4001,$X109))</f>
        <v/>
      </c>
      <c r="C109" s="20" t="str">
        <f aca="false">IF($X109="","",INDEX('Per Line'!$C$2:$C$4001,$X109))</f>
        <v/>
      </c>
      <c r="D109" s="20" t="str">
        <f aca="false">IF($X109="","",INDEX('Per Line'!$A$2:$A$4001,$X109))</f>
        <v/>
      </c>
      <c r="E109" s="21" t="str">
        <f aca="false">IF($X109="","",INDEX('Per Line'!$F$2:$F$4001,$X109))</f>
        <v/>
      </c>
      <c r="F109" s="20" t="str">
        <f aca="false">IF($X109="","",INDEX('Per Line'!$G$2:$G$4001,$X109))</f>
        <v/>
      </c>
      <c r="G109" s="20" t="str">
        <f aca="false">IF($X109="","",INDEX('Per Line'!$I$2:$I$4001,$X109))</f>
        <v/>
      </c>
      <c r="H109" s="20" t="str">
        <f aca="false">IF($X109="","",INDEX('Per Line'!$J$2:$J$4001,$X109))</f>
        <v/>
      </c>
      <c r="I109" s="20" t="str">
        <f aca="false">IF($X109="","",INDEX('Per Line'!$K$2:$K$4001,$X109))</f>
        <v/>
      </c>
      <c r="J109" s="20" t="str">
        <f aca="false">IF($X109="","",INDEX('Per Line'!$L$2:$L$4001,$X109))</f>
        <v/>
      </c>
      <c r="K109" s="20" t="str">
        <f aca="false">IF($X109="","",INDEX('Per Line'!$M$2:$M$4001,$X109))</f>
        <v/>
      </c>
      <c r="L109" s="22" t="str">
        <f aca="false">IF($X109="","",K109*V109/100)</f>
        <v/>
      </c>
      <c r="M109" s="20" t="str">
        <f aca="false">IF($X109="","",INDEX('Per Line'!$Z$2:$Z$4001,$X109))</f>
        <v/>
      </c>
      <c r="N109" s="23" t="str">
        <f aca="false">IF($X109="","",Settings!$C$7)</f>
        <v/>
      </c>
      <c r="O109" s="22" t="str">
        <f aca="false">IF($X109="","",SUMIFS('Per Line'!$Y$2:$Y$4001,'Per Line'!$D$2:$D$4001,$B109,'Per Line'!$AJ$2:$AJ$4001,0))</f>
        <v/>
      </c>
      <c r="P109" s="22" t="str">
        <f aca="false">IF($X109="","",O109*N109)</f>
        <v/>
      </c>
      <c r="Q109" s="23" t="str">
        <f aca="false">IF($X109="","",Settings!$C$6)</f>
        <v/>
      </c>
      <c r="R109" s="22" t="str">
        <f aca="false">IF($X109="","",SUMIFS('Per Line'!$Y$2:$Y$4001,'Per Line'!$D$2:$D$4001,$B109,'Per Line'!$AJ$2:$AJ$4001,1))</f>
        <v/>
      </c>
      <c r="S109" s="22" t="str">
        <f aca="false">IF($X109="","",R109*Q109)</f>
        <v/>
      </c>
      <c r="T109" s="22" t="str">
        <f aca="false">IF($X109="","",S109+P109)</f>
        <v/>
      </c>
      <c r="U109" s="22" t="str">
        <f aca="false">IF($X109="","",V109-T109)</f>
        <v/>
      </c>
      <c r="V109" s="22" t="str">
        <f aca="false">IF($X109="","",O109+R109)</f>
        <v/>
      </c>
      <c r="W109" s="22" t="str">
        <f aca="false">IF($X109="","",U109-L109)</f>
        <v/>
      </c>
      <c r="X109" s="24" t="str">
        <f aca="false">IF(ROWS($X$2:$X109)&lt;=MAX('Per Line'!$AI$2:$AI$4001),MATCH(ROWS($X$2:$X109),'Per Line'!$AI$2:$AI$4001,0),"")</f>
        <v/>
      </c>
    </row>
    <row r="110" customFormat="false" ht="15" hidden="false" customHeight="false" outlineLevel="0" collapsed="false">
      <c r="A110" s="19"/>
      <c r="B110" s="20" t="str">
        <f aca="false">IF($X110="","",INDEX('Per Line'!$D$2:$D$4001,$X110))</f>
        <v/>
      </c>
      <c r="C110" s="20" t="str">
        <f aca="false">IF($X110="","",INDEX('Per Line'!$C$2:$C$4001,$X110))</f>
        <v/>
      </c>
      <c r="D110" s="20" t="str">
        <f aca="false">IF($X110="","",INDEX('Per Line'!$A$2:$A$4001,$X110))</f>
        <v/>
      </c>
      <c r="E110" s="21" t="str">
        <f aca="false">IF($X110="","",INDEX('Per Line'!$F$2:$F$4001,$X110))</f>
        <v/>
      </c>
      <c r="F110" s="20" t="str">
        <f aca="false">IF($X110="","",INDEX('Per Line'!$G$2:$G$4001,$X110))</f>
        <v/>
      </c>
      <c r="G110" s="20" t="str">
        <f aca="false">IF($X110="","",INDEX('Per Line'!$I$2:$I$4001,$X110))</f>
        <v/>
      </c>
      <c r="H110" s="20" t="str">
        <f aca="false">IF($X110="","",INDEX('Per Line'!$J$2:$J$4001,$X110))</f>
        <v/>
      </c>
      <c r="I110" s="20" t="str">
        <f aca="false">IF($X110="","",INDEX('Per Line'!$K$2:$K$4001,$X110))</f>
        <v/>
      </c>
      <c r="J110" s="20" t="str">
        <f aca="false">IF($X110="","",INDEX('Per Line'!$L$2:$L$4001,$X110))</f>
        <v/>
      </c>
      <c r="K110" s="20" t="str">
        <f aca="false">IF($X110="","",INDEX('Per Line'!$M$2:$M$4001,$X110))</f>
        <v/>
      </c>
      <c r="L110" s="22" t="str">
        <f aca="false">IF($X110="","",K110*V110/100)</f>
        <v/>
      </c>
      <c r="M110" s="20" t="str">
        <f aca="false">IF($X110="","",INDEX('Per Line'!$Z$2:$Z$4001,$X110))</f>
        <v/>
      </c>
      <c r="N110" s="23" t="str">
        <f aca="false">IF($X110="","",Settings!$C$7)</f>
        <v/>
      </c>
      <c r="O110" s="22" t="str">
        <f aca="false">IF($X110="","",SUMIFS('Per Line'!$Y$2:$Y$4001,'Per Line'!$D$2:$D$4001,$B110,'Per Line'!$AJ$2:$AJ$4001,0))</f>
        <v/>
      </c>
      <c r="P110" s="22" t="str">
        <f aca="false">IF($X110="","",O110*N110)</f>
        <v/>
      </c>
      <c r="Q110" s="23" t="str">
        <f aca="false">IF($X110="","",Settings!$C$6)</f>
        <v/>
      </c>
      <c r="R110" s="22" t="str">
        <f aca="false">IF($X110="","",SUMIFS('Per Line'!$Y$2:$Y$4001,'Per Line'!$D$2:$D$4001,$B110,'Per Line'!$AJ$2:$AJ$4001,1))</f>
        <v/>
      </c>
      <c r="S110" s="22" t="str">
        <f aca="false">IF($X110="","",R110*Q110)</f>
        <v/>
      </c>
      <c r="T110" s="22" t="str">
        <f aca="false">IF($X110="","",S110+P110)</f>
        <v/>
      </c>
      <c r="U110" s="22" t="str">
        <f aca="false">IF($X110="","",V110-T110)</f>
        <v/>
      </c>
      <c r="V110" s="22" t="str">
        <f aca="false">IF($X110="","",O110+R110)</f>
        <v/>
      </c>
      <c r="W110" s="22" t="str">
        <f aca="false">IF($X110="","",U110-L110)</f>
        <v/>
      </c>
      <c r="X110" s="24" t="str">
        <f aca="false">IF(ROWS($X$2:$X110)&lt;=MAX('Per Line'!$AI$2:$AI$4001),MATCH(ROWS($X$2:$X110),'Per Line'!$AI$2:$AI$4001,0),"")</f>
        <v/>
      </c>
    </row>
    <row r="111" customFormat="false" ht="15" hidden="false" customHeight="false" outlineLevel="0" collapsed="false">
      <c r="A111" s="19"/>
      <c r="B111" s="20" t="str">
        <f aca="false">IF($X111="","",INDEX('Per Line'!$D$2:$D$4001,$X111))</f>
        <v/>
      </c>
      <c r="C111" s="20" t="str">
        <f aca="false">IF($X111="","",INDEX('Per Line'!$C$2:$C$4001,$X111))</f>
        <v/>
      </c>
      <c r="D111" s="20" t="str">
        <f aca="false">IF($X111="","",INDEX('Per Line'!$A$2:$A$4001,$X111))</f>
        <v/>
      </c>
      <c r="E111" s="21" t="str">
        <f aca="false">IF($X111="","",INDEX('Per Line'!$F$2:$F$4001,$X111))</f>
        <v/>
      </c>
      <c r="F111" s="20" t="str">
        <f aca="false">IF($X111="","",INDEX('Per Line'!$G$2:$G$4001,$X111))</f>
        <v/>
      </c>
      <c r="G111" s="20" t="str">
        <f aca="false">IF($X111="","",INDEX('Per Line'!$I$2:$I$4001,$X111))</f>
        <v/>
      </c>
      <c r="H111" s="20" t="str">
        <f aca="false">IF($X111="","",INDEX('Per Line'!$J$2:$J$4001,$X111))</f>
        <v/>
      </c>
      <c r="I111" s="20" t="str">
        <f aca="false">IF($X111="","",INDEX('Per Line'!$K$2:$K$4001,$X111))</f>
        <v/>
      </c>
      <c r="J111" s="20" t="str">
        <f aca="false">IF($X111="","",INDEX('Per Line'!$L$2:$L$4001,$X111))</f>
        <v/>
      </c>
      <c r="K111" s="20" t="str">
        <f aca="false">IF($X111="","",INDEX('Per Line'!$M$2:$M$4001,$X111))</f>
        <v/>
      </c>
      <c r="L111" s="22" t="str">
        <f aca="false">IF($X111="","",K111*V111/100)</f>
        <v/>
      </c>
      <c r="M111" s="20" t="str">
        <f aca="false">IF($X111="","",INDEX('Per Line'!$Z$2:$Z$4001,$X111))</f>
        <v/>
      </c>
      <c r="N111" s="23" t="str">
        <f aca="false">IF($X111="","",Settings!$C$7)</f>
        <v/>
      </c>
      <c r="O111" s="22" t="str">
        <f aca="false">IF($X111="","",SUMIFS('Per Line'!$Y$2:$Y$4001,'Per Line'!$D$2:$D$4001,$B111,'Per Line'!$AJ$2:$AJ$4001,0))</f>
        <v/>
      </c>
      <c r="P111" s="22" t="str">
        <f aca="false">IF($X111="","",O111*N111)</f>
        <v/>
      </c>
      <c r="Q111" s="23" t="str">
        <f aca="false">IF($X111="","",Settings!$C$6)</f>
        <v/>
      </c>
      <c r="R111" s="22" t="str">
        <f aca="false">IF($X111="","",SUMIFS('Per Line'!$Y$2:$Y$4001,'Per Line'!$D$2:$D$4001,$B111,'Per Line'!$AJ$2:$AJ$4001,1))</f>
        <v/>
      </c>
      <c r="S111" s="22" t="str">
        <f aca="false">IF($X111="","",R111*Q111)</f>
        <v/>
      </c>
      <c r="T111" s="22" t="str">
        <f aca="false">IF($X111="","",S111+P111)</f>
        <v/>
      </c>
      <c r="U111" s="22" t="str">
        <f aca="false">IF($X111="","",V111-T111)</f>
        <v/>
      </c>
      <c r="V111" s="22" t="str">
        <f aca="false">IF($X111="","",O111+R111)</f>
        <v/>
      </c>
      <c r="W111" s="22" t="str">
        <f aca="false">IF($X111="","",U111-L111)</f>
        <v/>
      </c>
      <c r="X111" s="24" t="str">
        <f aca="false">IF(ROWS($X$2:$X111)&lt;=MAX('Per Line'!$AI$2:$AI$4001),MATCH(ROWS($X$2:$X111),'Per Line'!$AI$2:$AI$4001,0),"")</f>
        <v/>
      </c>
    </row>
    <row r="112" customFormat="false" ht="15" hidden="false" customHeight="false" outlineLevel="0" collapsed="false">
      <c r="A112" s="19"/>
      <c r="B112" s="20" t="str">
        <f aca="false">IF($X112="","",INDEX('Per Line'!$D$2:$D$4001,$X112))</f>
        <v/>
      </c>
      <c r="C112" s="20" t="str">
        <f aca="false">IF($X112="","",INDEX('Per Line'!$C$2:$C$4001,$X112))</f>
        <v/>
      </c>
      <c r="D112" s="20" t="str">
        <f aca="false">IF($X112="","",INDEX('Per Line'!$A$2:$A$4001,$X112))</f>
        <v/>
      </c>
      <c r="E112" s="21" t="str">
        <f aca="false">IF($X112="","",INDEX('Per Line'!$F$2:$F$4001,$X112))</f>
        <v/>
      </c>
      <c r="F112" s="20" t="str">
        <f aca="false">IF($X112="","",INDEX('Per Line'!$G$2:$G$4001,$X112))</f>
        <v/>
      </c>
      <c r="G112" s="20" t="str">
        <f aca="false">IF($X112="","",INDEX('Per Line'!$I$2:$I$4001,$X112))</f>
        <v/>
      </c>
      <c r="H112" s="20" t="str">
        <f aca="false">IF($X112="","",INDEX('Per Line'!$J$2:$J$4001,$X112))</f>
        <v/>
      </c>
      <c r="I112" s="20" t="str">
        <f aca="false">IF($X112="","",INDEX('Per Line'!$K$2:$K$4001,$X112))</f>
        <v/>
      </c>
      <c r="J112" s="20" t="str">
        <f aca="false">IF($X112="","",INDEX('Per Line'!$L$2:$L$4001,$X112))</f>
        <v/>
      </c>
      <c r="K112" s="20" t="str">
        <f aca="false">IF($X112="","",INDEX('Per Line'!$M$2:$M$4001,$X112))</f>
        <v/>
      </c>
      <c r="L112" s="22" t="str">
        <f aca="false">IF($X112="","",K112*V112/100)</f>
        <v/>
      </c>
      <c r="M112" s="20" t="str">
        <f aca="false">IF($X112="","",INDEX('Per Line'!$Z$2:$Z$4001,$X112))</f>
        <v/>
      </c>
      <c r="N112" s="23" t="str">
        <f aca="false">IF($X112="","",Settings!$C$7)</f>
        <v/>
      </c>
      <c r="O112" s="22" t="str">
        <f aca="false">IF($X112="","",SUMIFS('Per Line'!$Y$2:$Y$4001,'Per Line'!$D$2:$D$4001,$B112,'Per Line'!$AJ$2:$AJ$4001,0))</f>
        <v/>
      </c>
      <c r="P112" s="22" t="str">
        <f aca="false">IF($X112="","",O112*N112)</f>
        <v/>
      </c>
      <c r="Q112" s="23" t="str">
        <f aca="false">IF($X112="","",Settings!$C$6)</f>
        <v/>
      </c>
      <c r="R112" s="22" t="str">
        <f aca="false">IF($X112="","",SUMIFS('Per Line'!$Y$2:$Y$4001,'Per Line'!$D$2:$D$4001,$B112,'Per Line'!$AJ$2:$AJ$4001,1))</f>
        <v/>
      </c>
      <c r="S112" s="22" t="str">
        <f aca="false">IF($X112="","",R112*Q112)</f>
        <v/>
      </c>
      <c r="T112" s="22" t="str">
        <f aca="false">IF($X112="","",S112+P112)</f>
        <v/>
      </c>
      <c r="U112" s="22" t="str">
        <f aca="false">IF($X112="","",V112-T112)</f>
        <v/>
      </c>
      <c r="V112" s="22" t="str">
        <f aca="false">IF($X112="","",O112+R112)</f>
        <v/>
      </c>
      <c r="W112" s="22" t="str">
        <f aca="false">IF($X112="","",U112-L112)</f>
        <v/>
      </c>
      <c r="X112" s="24" t="str">
        <f aca="false">IF(ROWS($X$2:$X112)&lt;=MAX('Per Line'!$AI$2:$AI$4001),MATCH(ROWS($X$2:$X112),'Per Line'!$AI$2:$AI$4001,0),"")</f>
        <v/>
      </c>
    </row>
    <row r="113" customFormat="false" ht="15" hidden="false" customHeight="false" outlineLevel="0" collapsed="false">
      <c r="A113" s="19"/>
      <c r="B113" s="20" t="str">
        <f aca="false">IF($X113="","",INDEX('Per Line'!$D$2:$D$4001,$X113))</f>
        <v/>
      </c>
      <c r="C113" s="20" t="str">
        <f aca="false">IF($X113="","",INDEX('Per Line'!$C$2:$C$4001,$X113))</f>
        <v/>
      </c>
      <c r="D113" s="20" t="str">
        <f aca="false">IF($X113="","",INDEX('Per Line'!$A$2:$A$4001,$X113))</f>
        <v/>
      </c>
      <c r="E113" s="21" t="str">
        <f aca="false">IF($X113="","",INDEX('Per Line'!$F$2:$F$4001,$X113))</f>
        <v/>
      </c>
      <c r="F113" s="20" t="str">
        <f aca="false">IF($X113="","",INDEX('Per Line'!$G$2:$G$4001,$X113))</f>
        <v/>
      </c>
      <c r="G113" s="20" t="str">
        <f aca="false">IF($X113="","",INDEX('Per Line'!$I$2:$I$4001,$X113))</f>
        <v/>
      </c>
      <c r="H113" s="20" t="str">
        <f aca="false">IF($X113="","",INDEX('Per Line'!$J$2:$J$4001,$X113))</f>
        <v/>
      </c>
      <c r="I113" s="20" t="str">
        <f aca="false">IF($X113="","",INDEX('Per Line'!$K$2:$K$4001,$X113))</f>
        <v/>
      </c>
      <c r="J113" s="20" t="str">
        <f aca="false">IF($X113="","",INDEX('Per Line'!$L$2:$L$4001,$X113))</f>
        <v/>
      </c>
      <c r="K113" s="20" t="str">
        <f aca="false">IF($X113="","",INDEX('Per Line'!$M$2:$M$4001,$X113))</f>
        <v/>
      </c>
      <c r="L113" s="22" t="str">
        <f aca="false">IF($X113="","",K113*V113/100)</f>
        <v/>
      </c>
      <c r="M113" s="20" t="str">
        <f aca="false">IF($X113="","",INDEX('Per Line'!$Z$2:$Z$4001,$X113))</f>
        <v/>
      </c>
      <c r="N113" s="23" t="str">
        <f aca="false">IF($X113="","",Settings!$C$7)</f>
        <v/>
      </c>
      <c r="O113" s="22" t="str">
        <f aca="false">IF($X113="","",SUMIFS('Per Line'!$Y$2:$Y$4001,'Per Line'!$D$2:$D$4001,$B113,'Per Line'!$AJ$2:$AJ$4001,0))</f>
        <v/>
      </c>
      <c r="P113" s="22" t="str">
        <f aca="false">IF($X113="","",O113*N113)</f>
        <v/>
      </c>
      <c r="Q113" s="23" t="str">
        <f aca="false">IF($X113="","",Settings!$C$6)</f>
        <v/>
      </c>
      <c r="R113" s="22" t="str">
        <f aca="false">IF($X113="","",SUMIFS('Per Line'!$Y$2:$Y$4001,'Per Line'!$D$2:$D$4001,$B113,'Per Line'!$AJ$2:$AJ$4001,1))</f>
        <v/>
      </c>
      <c r="S113" s="22" t="str">
        <f aca="false">IF($X113="","",R113*Q113)</f>
        <v/>
      </c>
      <c r="T113" s="22" t="str">
        <f aca="false">IF($X113="","",S113+P113)</f>
        <v/>
      </c>
      <c r="U113" s="22" t="str">
        <f aca="false">IF($X113="","",V113-T113)</f>
        <v/>
      </c>
      <c r="V113" s="22" t="str">
        <f aca="false">IF($X113="","",O113+R113)</f>
        <v/>
      </c>
      <c r="W113" s="22" t="str">
        <f aca="false">IF($X113="","",U113-L113)</f>
        <v/>
      </c>
      <c r="X113" s="24" t="str">
        <f aca="false">IF(ROWS($X$2:$X113)&lt;=MAX('Per Line'!$AI$2:$AI$4001),MATCH(ROWS($X$2:$X113),'Per Line'!$AI$2:$AI$4001,0),"")</f>
        <v/>
      </c>
    </row>
    <row r="114" customFormat="false" ht="15" hidden="false" customHeight="false" outlineLevel="0" collapsed="false">
      <c r="A114" s="19"/>
      <c r="B114" s="20" t="str">
        <f aca="false">IF($X114="","",INDEX('Per Line'!$D$2:$D$4001,$X114))</f>
        <v/>
      </c>
      <c r="C114" s="20" t="str">
        <f aca="false">IF($X114="","",INDEX('Per Line'!$C$2:$C$4001,$X114))</f>
        <v/>
      </c>
      <c r="D114" s="20" t="str">
        <f aca="false">IF($X114="","",INDEX('Per Line'!$A$2:$A$4001,$X114))</f>
        <v/>
      </c>
      <c r="E114" s="21" t="str">
        <f aca="false">IF($X114="","",INDEX('Per Line'!$F$2:$F$4001,$X114))</f>
        <v/>
      </c>
      <c r="F114" s="20" t="str">
        <f aca="false">IF($X114="","",INDEX('Per Line'!$G$2:$G$4001,$X114))</f>
        <v/>
      </c>
      <c r="G114" s="20" t="str">
        <f aca="false">IF($X114="","",INDEX('Per Line'!$I$2:$I$4001,$X114))</f>
        <v/>
      </c>
      <c r="H114" s="20" t="str">
        <f aca="false">IF($X114="","",INDEX('Per Line'!$J$2:$J$4001,$X114))</f>
        <v/>
      </c>
      <c r="I114" s="20" t="str">
        <f aca="false">IF($X114="","",INDEX('Per Line'!$K$2:$K$4001,$X114))</f>
        <v/>
      </c>
      <c r="J114" s="20" t="str">
        <f aca="false">IF($X114="","",INDEX('Per Line'!$L$2:$L$4001,$X114))</f>
        <v/>
      </c>
      <c r="K114" s="20" t="str">
        <f aca="false">IF($X114="","",INDEX('Per Line'!$M$2:$M$4001,$X114))</f>
        <v/>
      </c>
      <c r="L114" s="22" t="str">
        <f aca="false">IF($X114="","",K114*V114/100)</f>
        <v/>
      </c>
      <c r="M114" s="20" t="str">
        <f aca="false">IF($X114="","",INDEX('Per Line'!$Z$2:$Z$4001,$X114))</f>
        <v/>
      </c>
      <c r="N114" s="23" t="str">
        <f aca="false">IF($X114="","",Settings!$C$7)</f>
        <v/>
      </c>
      <c r="O114" s="22" t="str">
        <f aca="false">IF($X114="","",SUMIFS('Per Line'!$Y$2:$Y$4001,'Per Line'!$D$2:$D$4001,$B114,'Per Line'!$AJ$2:$AJ$4001,0))</f>
        <v/>
      </c>
      <c r="P114" s="22" t="str">
        <f aca="false">IF($X114="","",O114*N114)</f>
        <v/>
      </c>
      <c r="Q114" s="23" t="str">
        <f aca="false">IF($X114="","",Settings!$C$6)</f>
        <v/>
      </c>
      <c r="R114" s="22" t="str">
        <f aca="false">IF($X114="","",SUMIFS('Per Line'!$Y$2:$Y$4001,'Per Line'!$D$2:$D$4001,$B114,'Per Line'!$AJ$2:$AJ$4001,1))</f>
        <v/>
      </c>
      <c r="S114" s="22" t="str">
        <f aca="false">IF($X114="","",R114*Q114)</f>
        <v/>
      </c>
      <c r="T114" s="22" t="str">
        <f aca="false">IF($X114="","",S114+P114)</f>
        <v/>
      </c>
      <c r="U114" s="22" t="str">
        <f aca="false">IF($X114="","",V114-T114)</f>
        <v/>
      </c>
      <c r="V114" s="22" t="str">
        <f aca="false">IF($X114="","",O114+R114)</f>
        <v/>
      </c>
      <c r="W114" s="22" t="str">
        <f aca="false">IF($X114="","",U114-L114)</f>
        <v/>
      </c>
      <c r="X114" s="24" t="str">
        <f aca="false">IF(ROWS($X$2:$X114)&lt;=MAX('Per Line'!$AI$2:$AI$4001),MATCH(ROWS($X$2:$X114),'Per Line'!$AI$2:$AI$4001,0),"")</f>
        <v/>
      </c>
    </row>
    <row r="115" customFormat="false" ht="15" hidden="false" customHeight="false" outlineLevel="0" collapsed="false">
      <c r="A115" s="19"/>
      <c r="B115" s="20" t="str">
        <f aca="false">IF($X115="","",INDEX('Per Line'!$D$2:$D$4001,$X115))</f>
        <v/>
      </c>
      <c r="C115" s="20" t="str">
        <f aca="false">IF($X115="","",INDEX('Per Line'!$C$2:$C$4001,$X115))</f>
        <v/>
      </c>
      <c r="D115" s="20" t="str">
        <f aca="false">IF($X115="","",INDEX('Per Line'!$A$2:$A$4001,$X115))</f>
        <v/>
      </c>
      <c r="E115" s="21" t="str">
        <f aca="false">IF($X115="","",INDEX('Per Line'!$F$2:$F$4001,$X115))</f>
        <v/>
      </c>
      <c r="F115" s="20" t="str">
        <f aca="false">IF($X115="","",INDEX('Per Line'!$G$2:$G$4001,$X115))</f>
        <v/>
      </c>
      <c r="G115" s="20" t="str">
        <f aca="false">IF($X115="","",INDEX('Per Line'!$I$2:$I$4001,$X115))</f>
        <v/>
      </c>
      <c r="H115" s="20" t="str">
        <f aca="false">IF($X115="","",INDEX('Per Line'!$J$2:$J$4001,$X115))</f>
        <v/>
      </c>
      <c r="I115" s="20" t="str">
        <f aca="false">IF($X115="","",INDEX('Per Line'!$K$2:$K$4001,$X115))</f>
        <v/>
      </c>
      <c r="J115" s="20" t="str">
        <f aca="false">IF($X115="","",INDEX('Per Line'!$L$2:$L$4001,$X115))</f>
        <v/>
      </c>
      <c r="K115" s="20" t="str">
        <f aca="false">IF($X115="","",INDEX('Per Line'!$M$2:$M$4001,$X115))</f>
        <v/>
      </c>
      <c r="L115" s="22" t="str">
        <f aca="false">IF($X115="","",K115*V115/100)</f>
        <v/>
      </c>
      <c r="M115" s="20" t="str">
        <f aca="false">IF($X115="","",INDEX('Per Line'!$Z$2:$Z$4001,$X115))</f>
        <v/>
      </c>
      <c r="N115" s="23" t="str">
        <f aca="false">IF($X115="","",Settings!$C$7)</f>
        <v/>
      </c>
      <c r="O115" s="22" t="str">
        <f aca="false">IF($X115="","",SUMIFS('Per Line'!$Y$2:$Y$4001,'Per Line'!$D$2:$D$4001,$B115,'Per Line'!$AJ$2:$AJ$4001,0))</f>
        <v/>
      </c>
      <c r="P115" s="22" t="str">
        <f aca="false">IF($X115="","",O115*N115)</f>
        <v/>
      </c>
      <c r="Q115" s="23" t="str">
        <f aca="false">IF($X115="","",Settings!$C$6)</f>
        <v/>
      </c>
      <c r="R115" s="22" t="str">
        <f aca="false">IF($X115="","",SUMIFS('Per Line'!$Y$2:$Y$4001,'Per Line'!$D$2:$D$4001,$B115,'Per Line'!$AJ$2:$AJ$4001,1))</f>
        <v/>
      </c>
      <c r="S115" s="22" t="str">
        <f aca="false">IF($X115="","",R115*Q115)</f>
        <v/>
      </c>
      <c r="T115" s="22" t="str">
        <f aca="false">IF($X115="","",S115+P115)</f>
        <v/>
      </c>
      <c r="U115" s="22" t="str">
        <f aca="false">IF($X115="","",V115-T115)</f>
        <v/>
      </c>
      <c r="V115" s="22" t="str">
        <f aca="false">IF($X115="","",O115+R115)</f>
        <v/>
      </c>
      <c r="W115" s="22" t="str">
        <f aca="false">IF($X115="","",U115-L115)</f>
        <v/>
      </c>
      <c r="X115" s="24" t="str">
        <f aca="false">IF(ROWS($X$2:$X115)&lt;=MAX('Per Line'!$AI$2:$AI$4001),MATCH(ROWS($X$2:$X115),'Per Line'!$AI$2:$AI$4001,0),"")</f>
        <v/>
      </c>
    </row>
    <row r="116" customFormat="false" ht="15" hidden="false" customHeight="false" outlineLevel="0" collapsed="false">
      <c r="A116" s="19"/>
      <c r="B116" s="20" t="str">
        <f aca="false">IF($X116="","",INDEX('Per Line'!$D$2:$D$4001,$X116))</f>
        <v/>
      </c>
      <c r="C116" s="20" t="str">
        <f aca="false">IF($X116="","",INDEX('Per Line'!$C$2:$C$4001,$X116))</f>
        <v/>
      </c>
      <c r="D116" s="20" t="str">
        <f aca="false">IF($X116="","",INDEX('Per Line'!$A$2:$A$4001,$X116))</f>
        <v/>
      </c>
      <c r="E116" s="21" t="str">
        <f aca="false">IF($X116="","",INDEX('Per Line'!$F$2:$F$4001,$X116))</f>
        <v/>
      </c>
      <c r="F116" s="20" t="str">
        <f aca="false">IF($X116="","",INDEX('Per Line'!$G$2:$G$4001,$X116))</f>
        <v/>
      </c>
      <c r="G116" s="20" t="str">
        <f aca="false">IF($X116="","",INDEX('Per Line'!$I$2:$I$4001,$X116))</f>
        <v/>
      </c>
      <c r="H116" s="20" t="str">
        <f aca="false">IF($X116="","",INDEX('Per Line'!$J$2:$J$4001,$X116))</f>
        <v/>
      </c>
      <c r="I116" s="20" t="str">
        <f aca="false">IF($X116="","",INDEX('Per Line'!$K$2:$K$4001,$X116))</f>
        <v/>
      </c>
      <c r="J116" s="20" t="str">
        <f aca="false">IF($X116="","",INDEX('Per Line'!$L$2:$L$4001,$X116))</f>
        <v/>
      </c>
      <c r="K116" s="20" t="str">
        <f aca="false">IF($X116="","",INDEX('Per Line'!$M$2:$M$4001,$X116))</f>
        <v/>
      </c>
      <c r="L116" s="22" t="str">
        <f aca="false">IF($X116="","",K116*V116/100)</f>
        <v/>
      </c>
      <c r="M116" s="20" t="str">
        <f aca="false">IF($X116="","",INDEX('Per Line'!$Z$2:$Z$4001,$X116))</f>
        <v/>
      </c>
      <c r="N116" s="23" t="str">
        <f aca="false">IF($X116="","",Settings!$C$7)</f>
        <v/>
      </c>
      <c r="O116" s="22" t="str">
        <f aca="false">IF($X116="","",SUMIFS('Per Line'!$Y$2:$Y$4001,'Per Line'!$D$2:$D$4001,$B116,'Per Line'!$AJ$2:$AJ$4001,0))</f>
        <v/>
      </c>
      <c r="P116" s="22" t="str">
        <f aca="false">IF($X116="","",O116*N116)</f>
        <v/>
      </c>
      <c r="Q116" s="23" t="str">
        <f aca="false">IF($X116="","",Settings!$C$6)</f>
        <v/>
      </c>
      <c r="R116" s="22" t="str">
        <f aca="false">IF($X116="","",SUMIFS('Per Line'!$Y$2:$Y$4001,'Per Line'!$D$2:$D$4001,$B116,'Per Line'!$AJ$2:$AJ$4001,1))</f>
        <v/>
      </c>
      <c r="S116" s="22" t="str">
        <f aca="false">IF($X116="","",R116*Q116)</f>
        <v/>
      </c>
      <c r="T116" s="22" t="str">
        <f aca="false">IF($X116="","",S116+P116)</f>
        <v/>
      </c>
      <c r="U116" s="22" t="str">
        <f aca="false">IF($X116="","",V116-T116)</f>
        <v/>
      </c>
      <c r="V116" s="22" t="str">
        <f aca="false">IF($X116="","",O116+R116)</f>
        <v/>
      </c>
      <c r="W116" s="22" t="str">
        <f aca="false">IF($X116="","",U116-L116)</f>
        <v/>
      </c>
      <c r="X116" s="24" t="str">
        <f aca="false">IF(ROWS($X$2:$X116)&lt;=MAX('Per Line'!$AI$2:$AI$4001),MATCH(ROWS($X$2:$X116),'Per Line'!$AI$2:$AI$4001,0),"")</f>
        <v/>
      </c>
    </row>
    <row r="117" customFormat="false" ht="15" hidden="false" customHeight="false" outlineLevel="0" collapsed="false">
      <c r="A117" s="19"/>
      <c r="B117" s="20" t="str">
        <f aca="false">IF($X117="","",INDEX('Per Line'!$D$2:$D$4001,$X117))</f>
        <v/>
      </c>
      <c r="C117" s="20" t="str">
        <f aca="false">IF($X117="","",INDEX('Per Line'!$C$2:$C$4001,$X117))</f>
        <v/>
      </c>
      <c r="D117" s="20" t="str">
        <f aca="false">IF($X117="","",INDEX('Per Line'!$A$2:$A$4001,$X117))</f>
        <v/>
      </c>
      <c r="E117" s="21" t="str">
        <f aca="false">IF($X117="","",INDEX('Per Line'!$F$2:$F$4001,$X117))</f>
        <v/>
      </c>
      <c r="F117" s="20" t="str">
        <f aca="false">IF($X117="","",INDEX('Per Line'!$G$2:$G$4001,$X117))</f>
        <v/>
      </c>
      <c r="G117" s="20" t="str">
        <f aca="false">IF($X117="","",INDEX('Per Line'!$I$2:$I$4001,$X117))</f>
        <v/>
      </c>
      <c r="H117" s="20" t="str">
        <f aca="false">IF($X117="","",INDEX('Per Line'!$J$2:$J$4001,$X117))</f>
        <v/>
      </c>
      <c r="I117" s="20" t="str">
        <f aca="false">IF($X117="","",INDEX('Per Line'!$K$2:$K$4001,$X117))</f>
        <v/>
      </c>
      <c r="J117" s="20" t="str">
        <f aca="false">IF($X117="","",INDEX('Per Line'!$L$2:$L$4001,$X117))</f>
        <v/>
      </c>
      <c r="K117" s="20" t="str">
        <f aca="false">IF($X117="","",INDEX('Per Line'!$M$2:$M$4001,$X117))</f>
        <v/>
      </c>
      <c r="L117" s="22" t="str">
        <f aca="false">IF($X117="","",K117*V117/100)</f>
        <v/>
      </c>
      <c r="M117" s="20" t="str">
        <f aca="false">IF($X117="","",INDEX('Per Line'!$Z$2:$Z$4001,$X117))</f>
        <v/>
      </c>
      <c r="N117" s="23" t="str">
        <f aca="false">IF($X117="","",Settings!$C$7)</f>
        <v/>
      </c>
      <c r="O117" s="22" t="str">
        <f aca="false">IF($X117="","",SUMIFS('Per Line'!$Y$2:$Y$4001,'Per Line'!$D$2:$D$4001,$B117,'Per Line'!$AJ$2:$AJ$4001,0))</f>
        <v/>
      </c>
      <c r="P117" s="22" t="str">
        <f aca="false">IF($X117="","",O117*N117)</f>
        <v/>
      </c>
      <c r="Q117" s="23" t="str">
        <f aca="false">IF($X117="","",Settings!$C$6)</f>
        <v/>
      </c>
      <c r="R117" s="22" t="str">
        <f aca="false">IF($X117="","",SUMIFS('Per Line'!$Y$2:$Y$4001,'Per Line'!$D$2:$D$4001,$B117,'Per Line'!$AJ$2:$AJ$4001,1))</f>
        <v/>
      </c>
      <c r="S117" s="22" t="str">
        <f aca="false">IF($X117="","",R117*Q117)</f>
        <v/>
      </c>
      <c r="T117" s="22" t="str">
        <f aca="false">IF($X117="","",S117+P117)</f>
        <v/>
      </c>
      <c r="U117" s="22" t="str">
        <f aca="false">IF($X117="","",V117-T117)</f>
        <v/>
      </c>
      <c r="V117" s="22" t="str">
        <f aca="false">IF($X117="","",O117+R117)</f>
        <v/>
      </c>
      <c r="W117" s="22" t="str">
        <f aca="false">IF($X117="","",U117-L117)</f>
        <v/>
      </c>
      <c r="X117" s="24" t="str">
        <f aca="false">IF(ROWS($X$2:$X117)&lt;=MAX('Per Line'!$AI$2:$AI$4001),MATCH(ROWS($X$2:$X117),'Per Line'!$AI$2:$AI$4001,0),"")</f>
        <v/>
      </c>
    </row>
    <row r="118" customFormat="false" ht="15" hidden="false" customHeight="false" outlineLevel="0" collapsed="false">
      <c r="A118" s="19"/>
      <c r="B118" s="20" t="str">
        <f aca="false">IF($X118="","",INDEX('Per Line'!$D$2:$D$4001,$X118))</f>
        <v/>
      </c>
      <c r="C118" s="20" t="str">
        <f aca="false">IF($X118="","",INDEX('Per Line'!$C$2:$C$4001,$X118))</f>
        <v/>
      </c>
      <c r="D118" s="20" t="str">
        <f aca="false">IF($X118="","",INDEX('Per Line'!$A$2:$A$4001,$X118))</f>
        <v/>
      </c>
      <c r="E118" s="21" t="str">
        <f aca="false">IF($X118="","",INDEX('Per Line'!$F$2:$F$4001,$X118))</f>
        <v/>
      </c>
      <c r="F118" s="20" t="str">
        <f aca="false">IF($X118="","",INDEX('Per Line'!$G$2:$G$4001,$X118))</f>
        <v/>
      </c>
      <c r="G118" s="20" t="str">
        <f aca="false">IF($X118="","",INDEX('Per Line'!$I$2:$I$4001,$X118))</f>
        <v/>
      </c>
      <c r="H118" s="20" t="str">
        <f aca="false">IF($X118="","",INDEX('Per Line'!$J$2:$J$4001,$X118))</f>
        <v/>
      </c>
      <c r="I118" s="20" t="str">
        <f aca="false">IF($X118="","",INDEX('Per Line'!$K$2:$K$4001,$X118))</f>
        <v/>
      </c>
      <c r="J118" s="20" t="str">
        <f aca="false">IF($X118="","",INDEX('Per Line'!$L$2:$L$4001,$X118))</f>
        <v/>
      </c>
      <c r="K118" s="20" t="str">
        <f aca="false">IF($X118="","",INDEX('Per Line'!$M$2:$M$4001,$X118))</f>
        <v/>
      </c>
      <c r="L118" s="22" t="str">
        <f aca="false">IF($X118="","",K118*V118/100)</f>
        <v/>
      </c>
      <c r="M118" s="20" t="str">
        <f aca="false">IF($X118="","",INDEX('Per Line'!$Z$2:$Z$4001,$X118))</f>
        <v/>
      </c>
      <c r="N118" s="23" t="str">
        <f aca="false">IF($X118="","",Settings!$C$7)</f>
        <v/>
      </c>
      <c r="O118" s="22" t="str">
        <f aca="false">IF($X118="","",SUMIFS('Per Line'!$Y$2:$Y$4001,'Per Line'!$D$2:$D$4001,$B118,'Per Line'!$AJ$2:$AJ$4001,0))</f>
        <v/>
      </c>
      <c r="P118" s="22" t="str">
        <f aca="false">IF($X118="","",O118*N118)</f>
        <v/>
      </c>
      <c r="Q118" s="23" t="str">
        <f aca="false">IF($X118="","",Settings!$C$6)</f>
        <v/>
      </c>
      <c r="R118" s="22" t="str">
        <f aca="false">IF($X118="","",SUMIFS('Per Line'!$Y$2:$Y$4001,'Per Line'!$D$2:$D$4001,$B118,'Per Line'!$AJ$2:$AJ$4001,1))</f>
        <v/>
      </c>
      <c r="S118" s="22" t="str">
        <f aca="false">IF($X118="","",R118*Q118)</f>
        <v/>
      </c>
      <c r="T118" s="22" t="str">
        <f aca="false">IF($X118="","",S118+P118)</f>
        <v/>
      </c>
      <c r="U118" s="22" t="str">
        <f aca="false">IF($X118="","",V118-T118)</f>
        <v/>
      </c>
      <c r="V118" s="22" t="str">
        <f aca="false">IF($X118="","",O118+R118)</f>
        <v/>
      </c>
      <c r="W118" s="22" t="str">
        <f aca="false">IF($X118="","",U118-L118)</f>
        <v/>
      </c>
      <c r="X118" s="24" t="str">
        <f aca="false">IF(ROWS($X$2:$X118)&lt;=MAX('Per Line'!$AI$2:$AI$4001),MATCH(ROWS($X$2:$X118),'Per Line'!$AI$2:$AI$4001,0),"")</f>
        <v/>
      </c>
    </row>
    <row r="119" customFormat="false" ht="15" hidden="false" customHeight="false" outlineLevel="0" collapsed="false">
      <c r="A119" s="19"/>
      <c r="B119" s="20" t="str">
        <f aca="false">IF($X119="","",INDEX('Per Line'!$D$2:$D$4001,$X119))</f>
        <v/>
      </c>
      <c r="C119" s="20" t="str">
        <f aca="false">IF($X119="","",INDEX('Per Line'!$C$2:$C$4001,$X119))</f>
        <v/>
      </c>
      <c r="D119" s="20" t="str">
        <f aca="false">IF($X119="","",INDEX('Per Line'!$A$2:$A$4001,$X119))</f>
        <v/>
      </c>
      <c r="E119" s="21" t="str">
        <f aca="false">IF($X119="","",INDEX('Per Line'!$F$2:$F$4001,$X119))</f>
        <v/>
      </c>
      <c r="F119" s="20" t="str">
        <f aca="false">IF($X119="","",INDEX('Per Line'!$G$2:$G$4001,$X119))</f>
        <v/>
      </c>
      <c r="G119" s="20" t="str">
        <f aca="false">IF($X119="","",INDEX('Per Line'!$I$2:$I$4001,$X119))</f>
        <v/>
      </c>
      <c r="H119" s="20" t="str">
        <f aca="false">IF($X119="","",INDEX('Per Line'!$J$2:$J$4001,$X119))</f>
        <v/>
      </c>
      <c r="I119" s="20" t="str">
        <f aca="false">IF($X119="","",INDEX('Per Line'!$K$2:$K$4001,$X119))</f>
        <v/>
      </c>
      <c r="J119" s="20" t="str">
        <f aca="false">IF($X119="","",INDEX('Per Line'!$L$2:$L$4001,$X119))</f>
        <v/>
      </c>
      <c r="K119" s="20" t="str">
        <f aca="false">IF($X119="","",INDEX('Per Line'!$M$2:$M$4001,$X119))</f>
        <v/>
      </c>
      <c r="L119" s="22" t="str">
        <f aca="false">IF($X119="","",K119*V119/100)</f>
        <v/>
      </c>
      <c r="M119" s="20" t="str">
        <f aca="false">IF($X119="","",INDEX('Per Line'!$Z$2:$Z$4001,$X119))</f>
        <v/>
      </c>
      <c r="N119" s="23" t="str">
        <f aca="false">IF($X119="","",Settings!$C$7)</f>
        <v/>
      </c>
      <c r="O119" s="22" t="str">
        <f aca="false">IF($X119="","",SUMIFS('Per Line'!$Y$2:$Y$4001,'Per Line'!$D$2:$D$4001,$B119,'Per Line'!$AJ$2:$AJ$4001,0))</f>
        <v/>
      </c>
      <c r="P119" s="22" t="str">
        <f aca="false">IF($X119="","",O119*N119)</f>
        <v/>
      </c>
      <c r="Q119" s="23" t="str">
        <f aca="false">IF($X119="","",Settings!$C$6)</f>
        <v/>
      </c>
      <c r="R119" s="22" t="str">
        <f aca="false">IF($X119="","",SUMIFS('Per Line'!$Y$2:$Y$4001,'Per Line'!$D$2:$D$4001,$B119,'Per Line'!$AJ$2:$AJ$4001,1))</f>
        <v/>
      </c>
      <c r="S119" s="22" t="str">
        <f aca="false">IF($X119="","",R119*Q119)</f>
        <v/>
      </c>
      <c r="T119" s="22" t="str">
        <f aca="false">IF($X119="","",S119+P119)</f>
        <v/>
      </c>
      <c r="U119" s="22" t="str">
        <f aca="false">IF($X119="","",V119-T119)</f>
        <v/>
      </c>
      <c r="V119" s="22" t="str">
        <f aca="false">IF($X119="","",O119+R119)</f>
        <v/>
      </c>
      <c r="W119" s="22" t="str">
        <f aca="false">IF($X119="","",U119-L119)</f>
        <v/>
      </c>
      <c r="X119" s="24" t="str">
        <f aca="false">IF(ROWS($X$2:$X119)&lt;=MAX('Per Line'!$AI$2:$AI$4001),MATCH(ROWS($X$2:$X119),'Per Line'!$AI$2:$AI$4001,0),"")</f>
        <v/>
      </c>
    </row>
    <row r="120" customFormat="false" ht="15" hidden="false" customHeight="false" outlineLevel="0" collapsed="false">
      <c r="A120" s="19"/>
      <c r="B120" s="20" t="str">
        <f aca="false">IF($X120="","",INDEX('Per Line'!$D$2:$D$4001,$X120))</f>
        <v/>
      </c>
      <c r="C120" s="20" t="str">
        <f aca="false">IF($X120="","",INDEX('Per Line'!$C$2:$C$4001,$X120))</f>
        <v/>
      </c>
      <c r="D120" s="20" t="str">
        <f aca="false">IF($X120="","",INDEX('Per Line'!$A$2:$A$4001,$X120))</f>
        <v/>
      </c>
      <c r="E120" s="21" t="str">
        <f aca="false">IF($X120="","",INDEX('Per Line'!$F$2:$F$4001,$X120))</f>
        <v/>
      </c>
      <c r="F120" s="20" t="str">
        <f aca="false">IF($X120="","",INDEX('Per Line'!$G$2:$G$4001,$X120))</f>
        <v/>
      </c>
      <c r="G120" s="20" t="str">
        <f aca="false">IF($X120="","",INDEX('Per Line'!$I$2:$I$4001,$X120))</f>
        <v/>
      </c>
      <c r="H120" s="20" t="str">
        <f aca="false">IF($X120="","",INDEX('Per Line'!$J$2:$J$4001,$X120))</f>
        <v/>
      </c>
      <c r="I120" s="20" t="str">
        <f aca="false">IF($X120="","",INDEX('Per Line'!$K$2:$K$4001,$X120))</f>
        <v/>
      </c>
      <c r="J120" s="20" t="str">
        <f aca="false">IF($X120="","",INDEX('Per Line'!$L$2:$L$4001,$X120))</f>
        <v/>
      </c>
      <c r="K120" s="20" t="str">
        <f aca="false">IF($X120="","",INDEX('Per Line'!$M$2:$M$4001,$X120))</f>
        <v/>
      </c>
      <c r="L120" s="22" t="str">
        <f aca="false">IF($X120="","",K120*V120/100)</f>
        <v/>
      </c>
      <c r="M120" s="20" t="str">
        <f aca="false">IF($X120="","",INDEX('Per Line'!$Z$2:$Z$4001,$X120))</f>
        <v/>
      </c>
      <c r="N120" s="23" t="str">
        <f aca="false">IF($X120="","",Settings!$C$7)</f>
        <v/>
      </c>
      <c r="O120" s="22" t="str">
        <f aca="false">IF($X120="","",SUMIFS('Per Line'!$Y$2:$Y$4001,'Per Line'!$D$2:$D$4001,$B120,'Per Line'!$AJ$2:$AJ$4001,0))</f>
        <v/>
      </c>
      <c r="P120" s="22" t="str">
        <f aca="false">IF($X120="","",O120*N120)</f>
        <v/>
      </c>
      <c r="Q120" s="23" t="str">
        <f aca="false">IF($X120="","",Settings!$C$6)</f>
        <v/>
      </c>
      <c r="R120" s="22" t="str">
        <f aca="false">IF($X120="","",SUMIFS('Per Line'!$Y$2:$Y$4001,'Per Line'!$D$2:$D$4001,$B120,'Per Line'!$AJ$2:$AJ$4001,1))</f>
        <v/>
      </c>
      <c r="S120" s="22" t="str">
        <f aca="false">IF($X120="","",R120*Q120)</f>
        <v/>
      </c>
      <c r="T120" s="22" t="str">
        <f aca="false">IF($X120="","",S120+P120)</f>
        <v/>
      </c>
      <c r="U120" s="22" t="str">
        <f aca="false">IF($X120="","",V120-T120)</f>
        <v/>
      </c>
      <c r="V120" s="22" t="str">
        <f aca="false">IF($X120="","",O120+R120)</f>
        <v/>
      </c>
      <c r="W120" s="22" t="str">
        <f aca="false">IF($X120="","",U120-L120)</f>
        <v/>
      </c>
      <c r="X120" s="24" t="str">
        <f aca="false">IF(ROWS($X$2:$X120)&lt;=MAX('Per Line'!$AI$2:$AI$4001),MATCH(ROWS($X$2:$X120),'Per Line'!$AI$2:$AI$4001,0),"")</f>
        <v/>
      </c>
    </row>
    <row r="121" customFormat="false" ht="15" hidden="false" customHeight="false" outlineLevel="0" collapsed="false">
      <c r="A121" s="19"/>
      <c r="B121" s="20" t="str">
        <f aca="false">IF($X121="","",INDEX('Per Line'!$D$2:$D$4001,$X121))</f>
        <v/>
      </c>
      <c r="C121" s="20" t="str">
        <f aca="false">IF($X121="","",INDEX('Per Line'!$C$2:$C$4001,$X121))</f>
        <v/>
      </c>
      <c r="D121" s="20" t="str">
        <f aca="false">IF($X121="","",INDEX('Per Line'!$A$2:$A$4001,$X121))</f>
        <v/>
      </c>
      <c r="E121" s="21" t="str">
        <f aca="false">IF($X121="","",INDEX('Per Line'!$F$2:$F$4001,$X121))</f>
        <v/>
      </c>
      <c r="F121" s="20" t="str">
        <f aca="false">IF($X121="","",INDEX('Per Line'!$G$2:$G$4001,$X121))</f>
        <v/>
      </c>
      <c r="G121" s="20" t="str">
        <f aca="false">IF($X121="","",INDEX('Per Line'!$I$2:$I$4001,$X121))</f>
        <v/>
      </c>
      <c r="H121" s="20" t="str">
        <f aca="false">IF($X121="","",INDEX('Per Line'!$J$2:$J$4001,$X121))</f>
        <v/>
      </c>
      <c r="I121" s="20" t="str">
        <f aca="false">IF($X121="","",INDEX('Per Line'!$K$2:$K$4001,$X121))</f>
        <v/>
      </c>
      <c r="J121" s="20" t="str">
        <f aca="false">IF($X121="","",INDEX('Per Line'!$L$2:$L$4001,$X121))</f>
        <v/>
      </c>
      <c r="K121" s="20" t="str">
        <f aca="false">IF($X121="","",INDEX('Per Line'!$M$2:$M$4001,$X121))</f>
        <v/>
      </c>
      <c r="L121" s="22" t="str">
        <f aca="false">IF($X121="","",K121*V121/100)</f>
        <v/>
      </c>
      <c r="M121" s="20" t="str">
        <f aca="false">IF($X121="","",INDEX('Per Line'!$Z$2:$Z$4001,$X121))</f>
        <v/>
      </c>
      <c r="N121" s="23" t="str">
        <f aca="false">IF($X121="","",Settings!$C$7)</f>
        <v/>
      </c>
      <c r="O121" s="22" t="str">
        <f aca="false">IF($X121="","",SUMIFS('Per Line'!$Y$2:$Y$4001,'Per Line'!$D$2:$D$4001,$B121,'Per Line'!$AJ$2:$AJ$4001,0))</f>
        <v/>
      </c>
      <c r="P121" s="22" t="str">
        <f aca="false">IF($X121="","",O121*N121)</f>
        <v/>
      </c>
      <c r="Q121" s="23" t="str">
        <f aca="false">IF($X121="","",Settings!$C$6)</f>
        <v/>
      </c>
      <c r="R121" s="22" t="str">
        <f aca="false">IF($X121="","",SUMIFS('Per Line'!$Y$2:$Y$4001,'Per Line'!$D$2:$D$4001,$B121,'Per Line'!$AJ$2:$AJ$4001,1))</f>
        <v/>
      </c>
      <c r="S121" s="22" t="str">
        <f aca="false">IF($X121="","",R121*Q121)</f>
        <v/>
      </c>
      <c r="T121" s="22" t="str">
        <f aca="false">IF($X121="","",S121+P121)</f>
        <v/>
      </c>
      <c r="U121" s="22" t="str">
        <f aca="false">IF($X121="","",V121-T121)</f>
        <v/>
      </c>
      <c r="V121" s="22" t="str">
        <f aca="false">IF($X121="","",O121+R121)</f>
        <v/>
      </c>
      <c r="W121" s="22" t="str">
        <f aca="false">IF($X121="","",U121-L121)</f>
        <v/>
      </c>
      <c r="X121" s="24" t="str">
        <f aca="false">IF(ROWS($X$2:$X121)&lt;=MAX('Per Line'!$AI$2:$AI$4001),MATCH(ROWS($X$2:$X121),'Per Line'!$AI$2:$AI$4001,0),"")</f>
        <v/>
      </c>
    </row>
    <row r="122" customFormat="false" ht="15" hidden="false" customHeight="false" outlineLevel="0" collapsed="false">
      <c r="A122" s="19"/>
      <c r="B122" s="20" t="str">
        <f aca="false">IF($X122="","",INDEX('Per Line'!$D$2:$D$4001,$X122))</f>
        <v/>
      </c>
      <c r="C122" s="20" t="str">
        <f aca="false">IF($X122="","",INDEX('Per Line'!$C$2:$C$4001,$X122))</f>
        <v/>
      </c>
      <c r="D122" s="20" t="str">
        <f aca="false">IF($X122="","",INDEX('Per Line'!$A$2:$A$4001,$X122))</f>
        <v/>
      </c>
      <c r="E122" s="21" t="str">
        <f aca="false">IF($X122="","",INDEX('Per Line'!$F$2:$F$4001,$X122))</f>
        <v/>
      </c>
      <c r="F122" s="20" t="str">
        <f aca="false">IF($X122="","",INDEX('Per Line'!$G$2:$G$4001,$X122))</f>
        <v/>
      </c>
      <c r="G122" s="20" t="str">
        <f aca="false">IF($X122="","",INDEX('Per Line'!$I$2:$I$4001,$X122))</f>
        <v/>
      </c>
      <c r="H122" s="20" t="str">
        <f aca="false">IF($X122="","",INDEX('Per Line'!$J$2:$J$4001,$X122))</f>
        <v/>
      </c>
      <c r="I122" s="20" t="str">
        <f aca="false">IF($X122="","",INDEX('Per Line'!$K$2:$K$4001,$X122))</f>
        <v/>
      </c>
      <c r="J122" s="20" t="str">
        <f aca="false">IF($X122="","",INDEX('Per Line'!$L$2:$L$4001,$X122))</f>
        <v/>
      </c>
      <c r="K122" s="20" t="str">
        <f aca="false">IF($X122="","",INDEX('Per Line'!$M$2:$M$4001,$X122))</f>
        <v/>
      </c>
      <c r="L122" s="22" t="str">
        <f aca="false">IF($X122="","",K122*V122/100)</f>
        <v/>
      </c>
      <c r="M122" s="20" t="str">
        <f aca="false">IF($X122="","",INDEX('Per Line'!$Z$2:$Z$4001,$X122))</f>
        <v/>
      </c>
      <c r="N122" s="23" t="str">
        <f aca="false">IF($X122="","",Settings!$C$7)</f>
        <v/>
      </c>
      <c r="O122" s="22" t="str">
        <f aca="false">IF($X122="","",SUMIFS('Per Line'!$Y$2:$Y$4001,'Per Line'!$D$2:$D$4001,$B122,'Per Line'!$AJ$2:$AJ$4001,0))</f>
        <v/>
      </c>
      <c r="P122" s="22" t="str">
        <f aca="false">IF($X122="","",O122*N122)</f>
        <v/>
      </c>
      <c r="Q122" s="23" t="str">
        <f aca="false">IF($X122="","",Settings!$C$6)</f>
        <v/>
      </c>
      <c r="R122" s="22" t="str">
        <f aca="false">IF($X122="","",SUMIFS('Per Line'!$Y$2:$Y$4001,'Per Line'!$D$2:$D$4001,$B122,'Per Line'!$AJ$2:$AJ$4001,1))</f>
        <v/>
      </c>
      <c r="S122" s="22" t="str">
        <f aca="false">IF($X122="","",R122*Q122)</f>
        <v/>
      </c>
      <c r="T122" s="22" t="str">
        <f aca="false">IF($X122="","",S122+P122)</f>
        <v/>
      </c>
      <c r="U122" s="22" t="str">
        <f aca="false">IF($X122="","",V122-T122)</f>
        <v/>
      </c>
      <c r="V122" s="22" t="str">
        <f aca="false">IF($X122="","",O122+R122)</f>
        <v/>
      </c>
      <c r="W122" s="22" t="str">
        <f aca="false">IF($X122="","",U122-L122)</f>
        <v/>
      </c>
      <c r="X122" s="24" t="str">
        <f aca="false">IF(ROWS($X$2:$X122)&lt;=MAX('Per Line'!$AI$2:$AI$4001),MATCH(ROWS($X$2:$X122),'Per Line'!$AI$2:$AI$4001,0),"")</f>
        <v/>
      </c>
    </row>
    <row r="123" customFormat="false" ht="15" hidden="false" customHeight="false" outlineLevel="0" collapsed="false">
      <c r="A123" s="19"/>
      <c r="B123" s="20" t="str">
        <f aca="false">IF($X123="","",INDEX('Per Line'!$D$2:$D$4001,$X123))</f>
        <v/>
      </c>
      <c r="C123" s="20" t="str">
        <f aca="false">IF($X123="","",INDEX('Per Line'!$C$2:$C$4001,$X123))</f>
        <v/>
      </c>
      <c r="D123" s="20" t="str">
        <f aca="false">IF($X123="","",INDEX('Per Line'!$A$2:$A$4001,$X123))</f>
        <v/>
      </c>
      <c r="E123" s="21" t="str">
        <f aca="false">IF($X123="","",INDEX('Per Line'!$F$2:$F$4001,$X123))</f>
        <v/>
      </c>
      <c r="F123" s="20" t="str">
        <f aca="false">IF($X123="","",INDEX('Per Line'!$G$2:$G$4001,$X123))</f>
        <v/>
      </c>
      <c r="G123" s="20" t="str">
        <f aca="false">IF($X123="","",INDEX('Per Line'!$I$2:$I$4001,$X123))</f>
        <v/>
      </c>
      <c r="H123" s="20" t="str">
        <f aca="false">IF($X123="","",INDEX('Per Line'!$J$2:$J$4001,$X123))</f>
        <v/>
      </c>
      <c r="I123" s="20" t="str">
        <f aca="false">IF($X123="","",INDEX('Per Line'!$K$2:$K$4001,$X123))</f>
        <v/>
      </c>
      <c r="J123" s="20" t="str">
        <f aca="false">IF($X123="","",INDEX('Per Line'!$L$2:$L$4001,$X123))</f>
        <v/>
      </c>
      <c r="K123" s="20" t="str">
        <f aca="false">IF($X123="","",INDEX('Per Line'!$M$2:$M$4001,$X123))</f>
        <v/>
      </c>
      <c r="L123" s="22" t="str">
        <f aca="false">IF($X123="","",K123*V123/100)</f>
        <v/>
      </c>
      <c r="M123" s="20" t="str">
        <f aca="false">IF($X123="","",INDEX('Per Line'!$Z$2:$Z$4001,$X123))</f>
        <v/>
      </c>
      <c r="N123" s="23" t="str">
        <f aca="false">IF($X123="","",Settings!$C$7)</f>
        <v/>
      </c>
      <c r="O123" s="22" t="str">
        <f aca="false">IF($X123="","",SUMIFS('Per Line'!$Y$2:$Y$4001,'Per Line'!$D$2:$D$4001,$B123,'Per Line'!$AJ$2:$AJ$4001,0))</f>
        <v/>
      </c>
      <c r="P123" s="22" t="str">
        <f aca="false">IF($X123="","",O123*N123)</f>
        <v/>
      </c>
      <c r="Q123" s="23" t="str">
        <f aca="false">IF($X123="","",Settings!$C$6)</f>
        <v/>
      </c>
      <c r="R123" s="22" t="str">
        <f aca="false">IF($X123="","",SUMIFS('Per Line'!$Y$2:$Y$4001,'Per Line'!$D$2:$D$4001,$B123,'Per Line'!$AJ$2:$AJ$4001,1))</f>
        <v/>
      </c>
      <c r="S123" s="22" t="str">
        <f aca="false">IF($X123="","",R123*Q123)</f>
        <v/>
      </c>
      <c r="T123" s="22" t="str">
        <f aca="false">IF($X123="","",S123+P123)</f>
        <v/>
      </c>
      <c r="U123" s="22" t="str">
        <f aca="false">IF($X123="","",V123-T123)</f>
        <v/>
      </c>
      <c r="V123" s="22" t="str">
        <f aca="false">IF($X123="","",O123+R123)</f>
        <v/>
      </c>
      <c r="W123" s="22" t="str">
        <f aca="false">IF($X123="","",U123-L123)</f>
        <v/>
      </c>
      <c r="X123" s="24" t="str">
        <f aca="false">IF(ROWS($X$2:$X123)&lt;=MAX('Per Line'!$AI$2:$AI$4001),MATCH(ROWS($X$2:$X123),'Per Line'!$AI$2:$AI$4001,0),"")</f>
        <v/>
      </c>
    </row>
    <row r="124" customFormat="false" ht="15" hidden="false" customHeight="false" outlineLevel="0" collapsed="false">
      <c r="A124" s="19"/>
      <c r="B124" s="20" t="str">
        <f aca="false">IF($X124="","",INDEX('Per Line'!$D$2:$D$4001,$X124))</f>
        <v/>
      </c>
      <c r="C124" s="20" t="str">
        <f aca="false">IF($X124="","",INDEX('Per Line'!$C$2:$C$4001,$X124))</f>
        <v/>
      </c>
      <c r="D124" s="20" t="str">
        <f aca="false">IF($X124="","",INDEX('Per Line'!$A$2:$A$4001,$X124))</f>
        <v/>
      </c>
      <c r="E124" s="21" t="str">
        <f aca="false">IF($X124="","",INDEX('Per Line'!$F$2:$F$4001,$X124))</f>
        <v/>
      </c>
      <c r="F124" s="20" t="str">
        <f aca="false">IF($X124="","",INDEX('Per Line'!$G$2:$G$4001,$X124))</f>
        <v/>
      </c>
      <c r="G124" s="20" t="str">
        <f aca="false">IF($X124="","",INDEX('Per Line'!$I$2:$I$4001,$X124))</f>
        <v/>
      </c>
      <c r="H124" s="20" t="str">
        <f aca="false">IF($X124="","",INDEX('Per Line'!$J$2:$J$4001,$X124))</f>
        <v/>
      </c>
      <c r="I124" s="20" t="str">
        <f aca="false">IF($X124="","",INDEX('Per Line'!$K$2:$K$4001,$X124))</f>
        <v/>
      </c>
      <c r="J124" s="20" t="str">
        <f aca="false">IF($X124="","",INDEX('Per Line'!$L$2:$L$4001,$X124))</f>
        <v/>
      </c>
      <c r="K124" s="20" t="str">
        <f aca="false">IF($X124="","",INDEX('Per Line'!$M$2:$M$4001,$X124))</f>
        <v/>
      </c>
      <c r="L124" s="22" t="str">
        <f aca="false">IF($X124="","",K124*V124/100)</f>
        <v/>
      </c>
      <c r="M124" s="20" t="str">
        <f aca="false">IF($X124="","",INDEX('Per Line'!$Z$2:$Z$4001,$X124))</f>
        <v/>
      </c>
      <c r="N124" s="23" t="str">
        <f aca="false">IF($X124="","",Settings!$C$7)</f>
        <v/>
      </c>
      <c r="O124" s="22" t="str">
        <f aca="false">IF($X124="","",SUMIFS('Per Line'!$Y$2:$Y$4001,'Per Line'!$D$2:$D$4001,$B124,'Per Line'!$AJ$2:$AJ$4001,0))</f>
        <v/>
      </c>
      <c r="P124" s="22" t="str">
        <f aca="false">IF($X124="","",O124*N124)</f>
        <v/>
      </c>
      <c r="Q124" s="23" t="str">
        <f aca="false">IF($X124="","",Settings!$C$6)</f>
        <v/>
      </c>
      <c r="R124" s="22" t="str">
        <f aca="false">IF($X124="","",SUMIFS('Per Line'!$Y$2:$Y$4001,'Per Line'!$D$2:$D$4001,$B124,'Per Line'!$AJ$2:$AJ$4001,1))</f>
        <v/>
      </c>
      <c r="S124" s="22" t="str">
        <f aca="false">IF($X124="","",R124*Q124)</f>
        <v/>
      </c>
      <c r="T124" s="22" t="str">
        <f aca="false">IF($X124="","",S124+P124)</f>
        <v/>
      </c>
      <c r="U124" s="22" t="str">
        <f aca="false">IF($X124="","",V124-T124)</f>
        <v/>
      </c>
      <c r="V124" s="22" t="str">
        <f aca="false">IF($X124="","",O124+R124)</f>
        <v/>
      </c>
      <c r="W124" s="22" t="str">
        <f aca="false">IF($X124="","",U124-L124)</f>
        <v/>
      </c>
      <c r="X124" s="24" t="str">
        <f aca="false">IF(ROWS($X$2:$X124)&lt;=MAX('Per Line'!$AI$2:$AI$4001),MATCH(ROWS($X$2:$X124),'Per Line'!$AI$2:$AI$4001,0),"")</f>
        <v/>
      </c>
    </row>
    <row r="125" customFormat="false" ht="15" hidden="false" customHeight="false" outlineLevel="0" collapsed="false">
      <c r="A125" s="19"/>
      <c r="B125" s="20" t="str">
        <f aca="false">IF($X125="","",INDEX('Per Line'!$D$2:$D$4001,$X125))</f>
        <v/>
      </c>
      <c r="C125" s="20" t="str">
        <f aca="false">IF($X125="","",INDEX('Per Line'!$C$2:$C$4001,$X125))</f>
        <v/>
      </c>
      <c r="D125" s="20" t="str">
        <f aca="false">IF($X125="","",INDEX('Per Line'!$A$2:$A$4001,$X125))</f>
        <v/>
      </c>
      <c r="E125" s="21" t="str">
        <f aca="false">IF($X125="","",INDEX('Per Line'!$F$2:$F$4001,$X125))</f>
        <v/>
      </c>
      <c r="F125" s="20" t="str">
        <f aca="false">IF($X125="","",INDEX('Per Line'!$G$2:$G$4001,$X125))</f>
        <v/>
      </c>
      <c r="G125" s="20" t="str">
        <f aca="false">IF($X125="","",INDEX('Per Line'!$I$2:$I$4001,$X125))</f>
        <v/>
      </c>
      <c r="H125" s="20" t="str">
        <f aca="false">IF($X125="","",INDEX('Per Line'!$J$2:$J$4001,$X125))</f>
        <v/>
      </c>
      <c r="I125" s="20" t="str">
        <f aca="false">IF($X125="","",INDEX('Per Line'!$K$2:$K$4001,$X125))</f>
        <v/>
      </c>
      <c r="J125" s="20" t="str">
        <f aca="false">IF($X125="","",INDEX('Per Line'!$L$2:$L$4001,$X125))</f>
        <v/>
      </c>
      <c r="K125" s="20" t="str">
        <f aca="false">IF($X125="","",INDEX('Per Line'!$M$2:$M$4001,$X125))</f>
        <v/>
      </c>
      <c r="L125" s="22" t="str">
        <f aca="false">IF($X125="","",K125*V125/100)</f>
        <v/>
      </c>
      <c r="M125" s="20" t="str">
        <f aca="false">IF($X125="","",INDEX('Per Line'!$Z$2:$Z$4001,$X125))</f>
        <v/>
      </c>
      <c r="N125" s="23" t="str">
        <f aca="false">IF($X125="","",Settings!$C$7)</f>
        <v/>
      </c>
      <c r="O125" s="22" t="str">
        <f aca="false">IF($X125="","",SUMIFS('Per Line'!$Y$2:$Y$4001,'Per Line'!$D$2:$D$4001,$B125,'Per Line'!$AJ$2:$AJ$4001,0))</f>
        <v/>
      </c>
      <c r="P125" s="22" t="str">
        <f aca="false">IF($X125="","",O125*N125)</f>
        <v/>
      </c>
      <c r="Q125" s="23" t="str">
        <f aca="false">IF($X125="","",Settings!$C$6)</f>
        <v/>
      </c>
      <c r="R125" s="22" t="str">
        <f aca="false">IF($X125="","",SUMIFS('Per Line'!$Y$2:$Y$4001,'Per Line'!$D$2:$D$4001,$B125,'Per Line'!$AJ$2:$AJ$4001,1))</f>
        <v/>
      </c>
      <c r="S125" s="22" t="str">
        <f aca="false">IF($X125="","",R125*Q125)</f>
        <v/>
      </c>
      <c r="T125" s="22" t="str">
        <f aca="false">IF($X125="","",S125+P125)</f>
        <v/>
      </c>
      <c r="U125" s="22" t="str">
        <f aca="false">IF($X125="","",V125-T125)</f>
        <v/>
      </c>
      <c r="V125" s="22" t="str">
        <f aca="false">IF($X125="","",O125+R125)</f>
        <v/>
      </c>
      <c r="W125" s="22" t="str">
        <f aca="false">IF($X125="","",U125-L125)</f>
        <v/>
      </c>
      <c r="X125" s="24" t="str">
        <f aca="false">IF(ROWS($X$2:$X125)&lt;=MAX('Per Line'!$AI$2:$AI$4001),MATCH(ROWS($X$2:$X125),'Per Line'!$AI$2:$AI$4001,0),"")</f>
        <v/>
      </c>
    </row>
    <row r="126" customFormat="false" ht="15" hidden="false" customHeight="false" outlineLevel="0" collapsed="false">
      <c r="A126" s="19"/>
      <c r="B126" s="20" t="str">
        <f aca="false">IF($X126="","",INDEX('Per Line'!$D$2:$D$4001,$X126))</f>
        <v/>
      </c>
      <c r="C126" s="20" t="str">
        <f aca="false">IF($X126="","",INDEX('Per Line'!$C$2:$C$4001,$X126))</f>
        <v/>
      </c>
      <c r="D126" s="20" t="str">
        <f aca="false">IF($X126="","",INDEX('Per Line'!$A$2:$A$4001,$X126))</f>
        <v/>
      </c>
      <c r="E126" s="21" t="str">
        <f aca="false">IF($X126="","",INDEX('Per Line'!$F$2:$F$4001,$X126))</f>
        <v/>
      </c>
      <c r="F126" s="20" t="str">
        <f aca="false">IF($X126="","",INDEX('Per Line'!$G$2:$G$4001,$X126))</f>
        <v/>
      </c>
      <c r="G126" s="20" t="str">
        <f aca="false">IF($X126="","",INDEX('Per Line'!$I$2:$I$4001,$X126))</f>
        <v/>
      </c>
      <c r="H126" s="20" t="str">
        <f aca="false">IF($X126="","",INDEX('Per Line'!$J$2:$J$4001,$X126))</f>
        <v/>
      </c>
      <c r="I126" s="20" t="str">
        <f aca="false">IF($X126="","",INDEX('Per Line'!$K$2:$K$4001,$X126))</f>
        <v/>
      </c>
      <c r="J126" s="20" t="str">
        <f aca="false">IF($X126="","",INDEX('Per Line'!$L$2:$L$4001,$X126))</f>
        <v/>
      </c>
      <c r="K126" s="20" t="str">
        <f aca="false">IF($X126="","",INDEX('Per Line'!$M$2:$M$4001,$X126))</f>
        <v/>
      </c>
      <c r="L126" s="22" t="str">
        <f aca="false">IF($X126="","",K126*V126/100)</f>
        <v/>
      </c>
      <c r="M126" s="20" t="str">
        <f aca="false">IF($X126="","",INDEX('Per Line'!$Z$2:$Z$4001,$X126))</f>
        <v/>
      </c>
      <c r="N126" s="23" t="str">
        <f aca="false">IF($X126="","",Settings!$C$7)</f>
        <v/>
      </c>
      <c r="O126" s="22" t="str">
        <f aca="false">IF($X126="","",SUMIFS('Per Line'!$Y$2:$Y$4001,'Per Line'!$D$2:$D$4001,$B126,'Per Line'!$AJ$2:$AJ$4001,0))</f>
        <v/>
      </c>
      <c r="P126" s="22" t="str">
        <f aca="false">IF($X126="","",O126*N126)</f>
        <v/>
      </c>
      <c r="Q126" s="23" t="str">
        <f aca="false">IF($X126="","",Settings!$C$6)</f>
        <v/>
      </c>
      <c r="R126" s="22" t="str">
        <f aca="false">IF($X126="","",SUMIFS('Per Line'!$Y$2:$Y$4001,'Per Line'!$D$2:$D$4001,$B126,'Per Line'!$AJ$2:$AJ$4001,1))</f>
        <v/>
      </c>
      <c r="S126" s="22" t="str">
        <f aca="false">IF($X126="","",R126*Q126)</f>
        <v/>
      </c>
      <c r="T126" s="22" t="str">
        <f aca="false">IF($X126="","",S126+P126)</f>
        <v/>
      </c>
      <c r="U126" s="22" t="str">
        <f aca="false">IF($X126="","",V126-T126)</f>
        <v/>
      </c>
      <c r="V126" s="22" t="str">
        <f aca="false">IF($X126="","",O126+R126)</f>
        <v/>
      </c>
      <c r="W126" s="22" t="str">
        <f aca="false">IF($X126="","",U126-L126)</f>
        <v/>
      </c>
      <c r="X126" s="24" t="str">
        <f aca="false">IF(ROWS($X$2:$X126)&lt;=MAX('Per Line'!$AI$2:$AI$4001),MATCH(ROWS($X$2:$X126),'Per Line'!$AI$2:$AI$4001,0),"")</f>
        <v/>
      </c>
    </row>
    <row r="127" customFormat="false" ht="15" hidden="false" customHeight="false" outlineLevel="0" collapsed="false">
      <c r="A127" s="19"/>
      <c r="B127" s="20" t="str">
        <f aca="false">IF($X127="","",INDEX('Per Line'!$D$2:$D$4001,$X127))</f>
        <v/>
      </c>
      <c r="C127" s="20" t="str">
        <f aca="false">IF($X127="","",INDEX('Per Line'!$C$2:$C$4001,$X127))</f>
        <v/>
      </c>
      <c r="D127" s="20" t="str">
        <f aca="false">IF($X127="","",INDEX('Per Line'!$A$2:$A$4001,$X127))</f>
        <v/>
      </c>
      <c r="E127" s="21" t="str">
        <f aca="false">IF($X127="","",INDEX('Per Line'!$F$2:$F$4001,$X127))</f>
        <v/>
      </c>
      <c r="F127" s="20" t="str">
        <f aca="false">IF($X127="","",INDEX('Per Line'!$G$2:$G$4001,$X127))</f>
        <v/>
      </c>
      <c r="G127" s="20" t="str">
        <f aca="false">IF($X127="","",INDEX('Per Line'!$I$2:$I$4001,$X127))</f>
        <v/>
      </c>
      <c r="H127" s="20" t="str">
        <f aca="false">IF($X127="","",INDEX('Per Line'!$J$2:$J$4001,$X127))</f>
        <v/>
      </c>
      <c r="I127" s="20" t="str">
        <f aca="false">IF($X127="","",INDEX('Per Line'!$K$2:$K$4001,$X127))</f>
        <v/>
      </c>
      <c r="J127" s="20" t="str">
        <f aca="false">IF($X127="","",INDEX('Per Line'!$L$2:$L$4001,$X127))</f>
        <v/>
      </c>
      <c r="K127" s="20" t="str">
        <f aca="false">IF($X127="","",INDEX('Per Line'!$M$2:$M$4001,$X127))</f>
        <v/>
      </c>
      <c r="L127" s="22" t="str">
        <f aca="false">IF($X127="","",K127*V127/100)</f>
        <v/>
      </c>
      <c r="M127" s="20" t="str">
        <f aca="false">IF($X127="","",INDEX('Per Line'!$Z$2:$Z$4001,$X127))</f>
        <v/>
      </c>
      <c r="N127" s="23" t="str">
        <f aca="false">IF($X127="","",Settings!$C$7)</f>
        <v/>
      </c>
      <c r="O127" s="22" t="str">
        <f aca="false">IF($X127="","",SUMIFS('Per Line'!$Y$2:$Y$4001,'Per Line'!$D$2:$D$4001,$B127,'Per Line'!$AJ$2:$AJ$4001,0))</f>
        <v/>
      </c>
      <c r="P127" s="22" t="str">
        <f aca="false">IF($X127="","",O127*N127)</f>
        <v/>
      </c>
      <c r="Q127" s="23" t="str">
        <f aca="false">IF($X127="","",Settings!$C$6)</f>
        <v/>
      </c>
      <c r="R127" s="22" t="str">
        <f aca="false">IF($X127="","",SUMIFS('Per Line'!$Y$2:$Y$4001,'Per Line'!$D$2:$D$4001,$B127,'Per Line'!$AJ$2:$AJ$4001,1))</f>
        <v/>
      </c>
      <c r="S127" s="22" t="str">
        <f aca="false">IF($X127="","",R127*Q127)</f>
        <v/>
      </c>
      <c r="T127" s="22" t="str">
        <f aca="false">IF($X127="","",S127+P127)</f>
        <v/>
      </c>
      <c r="U127" s="22" t="str">
        <f aca="false">IF($X127="","",V127-T127)</f>
        <v/>
      </c>
      <c r="V127" s="22" t="str">
        <f aca="false">IF($X127="","",O127+R127)</f>
        <v/>
      </c>
      <c r="W127" s="22" t="str">
        <f aca="false">IF($X127="","",U127-L127)</f>
        <v/>
      </c>
      <c r="X127" s="24" t="str">
        <f aca="false">IF(ROWS($X$2:$X127)&lt;=MAX('Per Line'!$AI$2:$AI$4001),MATCH(ROWS($X$2:$X127),'Per Line'!$AI$2:$AI$4001,0),"")</f>
        <v/>
      </c>
    </row>
    <row r="128" customFormat="false" ht="15" hidden="false" customHeight="false" outlineLevel="0" collapsed="false">
      <c r="A128" s="19"/>
      <c r="B128" s="20" t="str">
        <f aca="false">IF($X128="","",INDEX('Per Line'!$D$2:$D$4001,$X128))</f>
        <v/>
      </c>
      <c r="C128" s="20" t="str">
        <f aca="false">IF($X128="","",INDEX('Per Line'!$C$2:$C$4001,$X128))</f>
        <v/>
      </c>
      <c r="D128" s="20" t="str">
        <f aca="false">IF($X128="","",INDEX('Per Line'!$A$2:$A$4001,$X128))</f>
        <v/>
      </c>
      <c r="E128" s="21" t="str">
        <f aca="false">IF($X128="","",INDEX('Per Line'!$F$2:$F$4001,$X128))</f>
        <v/>
      </c>
      <c r="F128" s="20" t="str">
        <f aca="false">IF($X128="","",INDEX('Per Line'!$G$2:$G$4001,$X128))</f>
        <v/>
      </c>
      <c r="G128" s="20" t="str">
        <f aca="false">IF($X128="","",INDEX('Per Line'!$I$2:$I$4001,$X128))</f>
        <v/>
      </c>
      <c r="H128" s="20" t="str">
        <f aca="false">IF($X128="","",INDEX('Per Line'!$J$2:$J$4001,$X128))</f>
        <v/>
      </c>
      <c r="I128" s="20" t="str">
        <f aca="false">IF($X128="","",INDEX('Per Line'!$K$2:$K$4001,$X128))</f>
        <v/>
      </c>
      <c r="J128" s="20" t="str">
        <f aca="false">IF($X128="","",INDEX('Per Line'!$L$2:$L$4001,$X128))</f>
        <v/>
      </c>
      <c r="K128" s="20" t="str">
        <f aca="false">IF($X128="","",INDEX('Per Line'!$M$2:$M$4001,$X128))</f>
        <v/>
      </c>
      <c r="L128" s="22" t="str">
        <f aca="false">IF($X128="","",K128*V128/100)</f>
        <v/>
      </c>
      <c r="M128" s="20" t="str">
        <f aca="false">IF($X128="","",INDEX('Per Line'!$Z$2:$Z$4001,$X128))</f>
        <v/>
      </c>
      <c r="N128" s="23" t="str">
        <f aca="false">IF($X128="","",Settings!$C$7)</f>
        <v/>
      </c>
      <c r="O128" s="22" t="str">
        <f aca="false">IF($X128="","",SUMIFS('Per Line'!$Y$2:$Y$4001,'Per Line'!$D$2:$D$4001,$B128,'Per Line'!$AJ$2:$AJ$4001,0))</f>
        <v/>
      </c>
      <c r="P128" s="22" t="str">
        <f aca="false">IF($X128="","",O128*N128)</f>
        <v/>
      </c>
      <c r="Q128" s="23" t="str">
        <f aca="false">IF($X128="","",Settings!$C$6)</f>
        <v/>
      </c>
      <c r="R128" s="22" t="str">
        <f aca="false">IF($X128="","",SUMIFS('Per Line'!$Y$2:$Y$4001,'Per Line'!$D$2:$D$4001,$B128,'Per Line'!$AJ$2:$AJ$4001,1))</f>
        <v/>
      </c>
      <c r="S128" s="22" t="str">
        <f aca="false">IF($X128="","",R128*Q128)</f>
        <v/>
      </c>
      <c r="T128" s="22" t="str">
        <f aca="false">IF($X128="","",S128+P128)</f>
        <v/>
      </c>
      <c r="U128" s="22" t="str">
        <f aca="false">IF($X128="","",V128-T128)</f>
        <v/>
      </c>
      <c r="V128" s="22" t="str">
        <f aca="false">IF($X128="","",O128+R128)</f>
        <v/>
      </c>
      <c r="W128" s="22" t="str">
        <f aca="false">IF($X128="","",U128-L128)</f>
        <v/>
      </c>
      <c r="X128" s="24" t="str">
        <f aca="false">IF(ROWS($X$2:$X128)&lt;=MAX('Per Line'!$AI$2:$AI$4001),MATCH(ROWS($X$2:$X128),'Per Line'!$AI$2:$AI$4001,0),"")</f>
        <v/>
      </c>
    </row>
    <row r="129" customFormat="false" ht="15" hidden="false" customHeight="false" outlineLevel="0" collapsed="false">
      <c r="A129" s="19"/>
      <c r="B129" s="20" t="str">
        <f aca="false">IF($X129="","",INDEX('Per Line'!$D$2:$D$4001,$X129))</f>
        <v/>
      </c>
      <c r="C129" s="20" t="str">
        <f aca="false">IF($X129="","",INDEX('Per Line'!$C$2:$C$4001,$X129))</f>
        <v/>
      </c>
      <c r="D129" s="20" t="str">
        <f aca="false">IF($X129="","",INDEX('Per Line'!$A$2:$A$4001,$X129))</f>
        <v/>
      </c>
      <c r="E129" s="21" t="str">
        <f aca="false">IF($X129="","",INDEX('Per Line'!$F$2:$F$4001,$X129))</f>
        <v/>
      </c>
      <c r="F129" s="20" t="str">
        <f aca="false">IF($X129="","",INDEX('Per Line'!$G$2:$G$4001,$X129))</f>
        <v/>
      </c>
      <c r="G129" s="20" t="str">
        <f aca="false">IF($X129="","",INDEX('Per Line'!$I$2:$I$4001,$X129))</f>
        <v/>
      </c>
      <c r="H129" s="20" t="str">
        <f aca="false">IF($X129="","",INDEX('Per Line'!$J$2:$J$4001,$X129))</f>
        <v/>
      </c>
      <c r="I129" s="20" t="str">
        <f aca="false">IF($X129="","",INDEX('Per Line'!$K$2:$K$4001,$X129))</f>
        <v/>
      </c>
      <c r="J129" s="20" t="str">
        <f aca="false">IF($X129="","",INDEX('Per Line'!$L$2:$L$4001,$X129))</f>
        <v/>
      </c>
      <c r="K129" s="20" t="str">
        <f aca="false">IF($X129="","",INDEX('Per Line'!$M$2:$M$4001,$X129))</f>
        <v/>
      </c>
      <c r="L129" s="22" t="str">
        <f aca="false">IF($X129="","",K129*V129/100)</f>
        <v/>
      </c>
      <c r="M129" s="20" t="str">
        <f aca="false">IF($X129="","",INDEX('Per Line'!$Z$2:$Z$4001,$X129))</f>
        <v/>
      </c>
      <c r="N129" s="23" t="str">
        <f aca="false">IF($X129="","",Settings!$C$7)</f>
        <v/>
      </c>
      <c r="O129" s="22" t="str">
        <f aca="false">IF($X129="","",SUMIFS('Per Line'!$Y$2:$Y$4001,'Per Line'!$D$2:$D$4001,$B129,'Per Line'!$AJ$2:$AJ$4001,0))</f>
        <v/>
      </c>
      <c r="P129" s="22" t="str">
        <f aca="false">IF($X129="","",O129*N129)</f>
        <v/>
      </c>
      <c r="Q129" s="23" t="str">
        <f aca="false">IF($X129="","",Settings!$C$6)</f>
        <v/>
      </c>
      <c r="R129" s="22" t="str">
        <f aca="false">IF($X129="","",SUMIFS('Per Line'!$Y$2:$Y$4001,'Per Line'!$D$2:$D$4001,$B129,'Per Line'!$AJ$2:$AJ$4001,1))</f>
        <v/>
      </c>
      <c r="S129" s="22" t="str">
        <f aca="false">IF($X129="","",R129*Q129)</f>
        <v/>
      </c>
      <c r="T129" s="22" t="str">
        <f aca="false">IF($X129="","",S129+P129)</f>
        <v/>
      </c>
      <c r="U129" s="22" t="str">
        <f aca="false">IF($X129="","",V129-T129)</f>
        <v/>
      </c>
      <c r="V129" s="22" t="str">
        <f aca="false">IF($X129="","",O129+R129)</f>
        <v/>
      </c>
      <c r="W129" s="22" t="str">
        <f aca="false">IF($X129="","",U129-L129)</f>
        <v/>
      </c>
      <c r="X129" s="24" t="str">
        <f aca="false">IF(ROWS($X$2:$X129)&lt;=MAX('Per Line'!$AI$2:$AI$4001),MATCH(ROWS($X$2:$X129),'Per Line'!$AI$2:$AI$4001,0),"")</f>
        <v/>
      </c>
    </row>
    <row r="130" customFormat="false" ht="15" hidden="false" customHeight="false" outlineLevel="0" collapsed="false">
      <c r="A130" s="19"/>
      <c r="B130" s="20" t="str">
        <f aca="false">IF($X130="","",INDEX('Per Line'!$D$2:$D$4001,$X130))</f>
        <v/>
      </c>
      <c r="C130" s="20" t="str">
        <f aca="false">IF($X130="","",INDEX('Per Line'!$C$2:$C$4001,$X130))</f>
        <v/>
      </c>
      <c r="D130" s="20" t="str">
        <f aca="false">IF($X130="","",INDEX('Per Line'!$A$2:$A$4001,$X130))</f>
        <v/>
      </c>
      <c r="E130" s="21" t="str">
        <f aca="false">IF($X130="","",INDEX('Per Line'!$F$2:$F$4001,$X130))</f>
        <v/>
      </c>
      <c r="F130" s="20" t="str">
        <f aca="false">IF($X130="","",INDEX('Per Line'!$G$2:$G$4001,$X130))</f>
        <v/>
      </c>
      <c r="G130" s="20" t="str">
        <f aca="false">IF($X130="","",INDEX('Per Line'!$I$2:$I$4001,$X130))</f>
        <v/>
      </c>
      <c r="H130" s="20" t="str">
        <f aca="false">IF($X130="","",INDEX('Per Line'!$J$2:$J$4001,$X130))</f>
        <v/>
      </c>
      <c r="I130" s="20" t="str">
        <f aca="false">IF($X130="","",INDEX('Per Line'!$K$2:$K$4001,$X130))</f>
        <v/>
      </c>
      <c r="J130" s="20" t="str">
        <f aca="false">IF($X130="","",INDEX('Per Line'!$L$2:$L$4001,$X130))</f>
        <v/>
      </c>
      <c r="K130" s="20" t="str">
        <f aca="false">IF($X130="","",INDEX('Per Line'!$M$2:$M$4001,$X130))</f>
        <v/>
      </c>
      <c r="L130" s="22" t="str">
        <f aca="false">IF($X130="","",K130*V130/100)</f>
        <v/>
      </c>
      <c r="M130" s="20" t="str">
        <f aca="false">IF($X130="","",INDEX('Per Line'!$Z$2:$Z$4001,$X130))</f>
        <v/>
      </c>
      <c r="N130" s="23" t="str">
        <f aca="false">IF($X130="","",Settings!$C$7)</f>
        <v/>
      </c>
      <c r="O130" s="22" t="str">
        <f aca="false">IF($X130="","",SUMIFS('Per Line'!$Y$2:$Y$4001,'Per Line'!$D$2:$D$4001,$B130,'Per Line'!$AJ$2:$AJ$4001,0))</f>
        <v/>
      </c>
      <c r="P130" s="22" t="str">
        <f aca="false">IF($X130="","",O130*N130)</f>
        <v/>
      </c>
      <c r="Q130" s="23" t="str">
        <f aca="false">IF($X130="","",Settings!$C$6)</f>
        <v/>
      </c>
      <c r="R130" s="22" t="str">
        <f aca="false">IF($X130="","",SUMIFS('Per Line'!$Y$2:$Y$4001,'Per Line'!$D$2:$D$4001,$B130,'Per Line'!$AJ$2:$AJ$4001,1))</f>
        <v/>
      </c>
      <c r="S130" s="22" t="str">
        <f aca="false">IF($X130="","",R130*Q130)</f>
        <v/>
      </c>
      <c r="T130" s="22" t="str">
        <f aca="false">IF($X130="","",S130+P130)</f>
        <v/>
      </c>
      <c r="U130" s="22" t="str">
        <f aca="false">IF($X130="","",V130-T130)</f>
        <v/>
      </c>
      <c r="V130" s="22" t="str">
        <f aca="false">IF($X130="","",O130+R130)</f>
        <v/>
      </c>
      <c r="W130" s="22" t="str">
        <f aca="false">IF($X130="","",U130-L130)</f>
        <v/>
      </c>
      <c r="X130" s="24" t="str">
        <f aca="false">IF(ROWS($X$2:$X130)&lt;=MAX('Per Line'!$AI$2:$AI$4001),MATCH(ROWS($X$2:$X130),'Per Line'!$AI$2:$AI$4001,0),"")</f>
        <v/>
      </c>
    </row>
    <row r="131" customFormat="false" ht="15" hidden="false" customHeight="false" outlineLevel="0" collapsed="false">
      <c r="A131" s="19"/>
      <c r="B131" s="20" t="str">
        <f aca="false">IF($X131="","",INDEX('Per Line'!$D$2:$D$4001,$X131))</f>
        <v/>
      </c>
      <c r="C131" s="20" t="str">
        <f aca="false">IF($X131="","",INDEX('Per Line'!$C$2:$C$4001,$X131))</f>
        <v/>
      </c>
      <c r="D131" s="20" t="str">
        <f aca="false">IF($X131="","",INDEX('Per Line'!$A$2:$A$4001,$X131))</f>
        <v/>
      </c>
      <c r="E131" s="21" t="str">
        <f aca="false">IF($X131="","",INDEX('Per Line'!$F$2:$F$4001,$X131))</f>
        <v/>
      </c>
      <c r="F131" s="20" t="str">
        <f aca="false">IF($X131="","",INDEX('Per Line'!$G$2:$G$4001,$X131))</f>
        <v/>
      </c>
      <c r="G131" s="20" t="str">
        <f aca="false">IF($X131="","",INDEX('Per Line'!$I$2:$I$4001,$X131))</f>
        <v/>
      </c>
      <c r="H131" s="20" t="str">
        <f aca="false">IF($X131="","",INDEX('Per Line'!$J$2:$J$4001,$X131))</f>
        <v/>
      </c>
      <c r="I131" s="20" t="str">
        <f aca="false">IF($X131="","",INDEX('Per Line'!$K$2:$K$4001,$X131))</f>
        <v/>
      </c>
      <c r="J131" s="20" t="str">
        <f aca="false">IF($X131="","",INDEX('Per Line'!$L$2:$L$4001,$X131))</f>
        <v/>
      </c>
      <c r="K131" s="20" t="str">
        <f aca="false">IF($X131="","",INDEX('Per Line'!$M$2:$M$4001,$X131))</f>
        <v/>
      </c>
      <c r="L131" s="22" t="str">
        <f aca="false">IF($X131="","",K131*V131/100)</f>
        <v/>
      </c>
      <c r="M131" s="20" t="str">
        <f aca="false">IF($X131="","",INDEX('Per Line'!$Z$2:$Z$4001,$X131))</f>
        <v/>
      </c>
      <c r="N131" s="23" t="str">
        <f aca="false">IF($X131="","",Settings!$C$7)</f>
        <v/>
      </c>
      <c r="O131" s="22" t="str">
        <f aca="false">IF($X131="","",SUMIFS('Per Line'!$Y$2:$Y$4001,'Per Line'!$D$2:$D$4001,$B131,'Per Line'!$AJ$2:$AJ$4001,0))</f>
        <v/>
      </c>
      <c r="P131" s="22" t="str">
        <f aca="false">IF($X131="","",O131*N131)</f>
        <v/>
      </c>
      <c r="Q131" s="23" t="str">
        <f aca="false">IF($X131="","",Settings!$C$6)</f>
        <v/>
      </c>
      <c r="R131" s="22" t="str">
        <f aca="false">IF($X131="","",SUMIFS('Per Line'!$Y$2:$Y$4001,'Per Line'!$D$2:$D$4001,$B131,'Per Line'!$AJ$2:$AJ$4001,1))</f>
        <v/>
      </c>
      <c r="S131" s="22" t="str">
        <f aca="false">IF($X131="","",R131*Q131)</f>
        <v/>
      </c>
      <c r="T131" s="22" t="str">
        <f aca="false">IF($X131="","",S131+P131)</f>
        <v/>
      </c>
      <c r="U131" s="22" t="str">
        <f aca="false">IF($X131="","",V131-T131)</f>
        <v/>
      </c>
      <c r="V131" s="22" t="str">
        <f aca="false">IF($X131="","",O131+R131)</f>
        <v/>
      </c>
      <c r="W131" s="22" t="str">
        <f aca="false">IF($X131="","",U131-L131)</f>
        <v/>
      </c>
      <c r="X131" s="24" t="str">
        <f aca="false">IF(ROWS($X$2:$X131)&lt;=MAX('Per Line'!$AI$2:$AI$4001),MATCH(ROWS($X$2:$X131),'Per Line'!$AI$2:$AI$4001,0),"")</f>
        <v/>
      </c>
    </row>
    <row r="132" customFormat="false" ht="15" hidden="false" customHeight="false" outlineLevel="0" collapsed="false">
      <c r="A132" s="19"/>
      <c r="B132" s="20" t="str">
        <f aca="false">IF($X132="","",INDEX('Per Line'!$D$2:$D$4001,$X132))</f>
        <v/>
      </c>
      <c r="C132" s="20" t="str">
        <f aca="false">IF($X132="","",INDEX('Per Line'!$C$2:$C$4001,$X132))</f>
        <v/>
      </c>
      <c r="D132" s="20" t="str">
        <f aca="false">IF($X132="","",INDEX('Per Line'!$A$2:$A$4001,$X132))</f>
        <v/>
      </c>
      <c r="E132" s="21" t="str">
        <f aca="false">IF($X132="","",INDEX('Per Line'!$F$2:$F$4001,$X132))</f>
        <v/>
      </c>
      <c r="F132" s="20" t="str">
        <f aca="false">IF($X132="","",INDEX('Per Line'!$G$2:$G$4001,$X132))</f>
        <v/>
      </c>
      <c r="G132" s="20" t="str">
        <f aca="false">IF($X132="","",INDEX('Per Line'!$I$2:$I$4001,$X132))</f>
        <v/>
      </c>
      <c r="H132" s="20" t="str">
        <f aca="false">IF($X132="","",INDEX('Per Line'!$J$2:$J$4001,$X132))</f>
        <v/>
      </c>
      <c r="I132" s="20" t="str">
        <f aca="false">IF($X132="","",INDEX('Per Line'!$K$2:$K$4001,$X132))</f>
        <v/>
      </c>
      <c r="J132" s="20" t="str">
        <f aca="false">IF($X132="","",INDEX('Per Line'!$L$2:$L$4001,$X132))</f>
        <v/>
      </c>
      <c r="K132" s="20" t="str">
        <f aca="false">IF($X132="","",INDEX('Per Line'!$M$2:$M$4001,$X132))</f>
        <v/>
      </c>
      <c r="L132" s="22" t="str">
        <f aca="false">IF($X132="","",K132*V132/100)</f>
        <v/>
      </c>
      <c r="M132" s="20" t="str">
        <f aca="false">IF($X132="","",INDEX('Per Line'!$Z$2:$Z$4001,$X132))</f>
        <v/>
      </c>
      <c r="N132" s="23" t="str">
        <f aca="false">IF($X132="","",Settings!$C$7)</f>
        <v/>
      </c>
      <c r="O132" s="22" t="str">
        <f aca="false">IF($X132="","",SUMIFS('Per Line'!$Y$2:$Y$4001,'Per Line'!$D$2:$D$4001,$B132,'Per Line'!$AJ$2:$AJ$4001,0))</f>
        <v/>
      </c>
      <c r="P132" s="22" t="str">
        <f aca="false">IF($X132="","",O132*N132)</f>
        <v/>
      </c>
      <c r="Q132" s="23" t="str">
        <f aca="false">IF($X132="","",Settings!$C$6)</f>
        <v/>
      </c>
      <c r="R132" s="22" t="str">
        <f aca="false">IF($X132="","",SUMIFS('Per Line'!$Y$2:$Y$4001,'Per Line'!$D$2:$D$4001,$B132,'Per Line'!$AJ$2:$AJ$4001,1))</f>
        <v/>
      </c>
      <c r="S132" s="22" t="str">
        <f aca="false">IF($X132="","",R132*Q132)</f>
        <v/>
      </c>
      <c r="T132" s="22" t="str">
        <f aca="false">IF($X132="","",S132+P132)</f>
        <v/>
      </c>
      <c r="U132" s="22" t="str">
        <f aca="false">IF($X132="","",V132-T132)</f>
        <v/>
      </c>
      <c r="V132" s="22" t="str">
        <f aca="false">IF($X132="","",O132+R132)</f>
        <v/>
      </c>
      <c r="W132" s="22" t="str">
        <f aca="false">IF($X132="","",U132-L132)</f>
        <v/>
      </c>
      <c r="X132" s="24" t="str">
        <f aca="false">IF(ROWS($X$2:$X132)&lt;=MAX('Per Line'!$AI$2:$AI$4001),MATCH(ROWS($X$2:$X132),'Per Line'!$AI$2:$AI$4001,0),"")</f>
        <v/>
      </c>
    </row>
    <row r="133" customFormat="false" ht="15" hidden="false" customHeight="false" outlineLevel="0" collapsed="false">
      <c r="A133" s="19"/>
      <c r="B133" s="20" t="str">
        <f aca="false">IF($X133="","",INDEX('Per Line'!$D$2:$D$4001,$X133))</f>
        <v/>
      </c>
      <c r="C133" s="20" t="str">
        <f aca="false">IF($X133="","",INDEX('Per Line'!$C$2:$C$4001,$X133))</f>
        <v/>
      </c>
      <c r="D133" s="20" t="str">
        <f aca="false">IF($X133="","",INDEX('Per Line'!$A$2:$A$4001,$X133))</f>
        <v/>
      </c>
      <c r="E133" s="21" t="str">
        <f aca="false">IF($X133="","",INDEX('Per Line'!$F$2:$F$4001,$X133))</f>
        <v/>
      </c>
      <c r="F133" s="20" t="str">
        <f aca="false">IF($X133="","",INDEX('Per Line'!$G$2:$G$4001,$X133))</f>
        <v/>
      </c>
      <c r="G133" s="20" t="str">
        <f aca="false">IF($X133="","",INDEX('Per Line'!$I$2:$I$4001,$X133))</f>
        <v/>
      </c>
      <c r="H133" s="20" t="str">
        <f aca="false">IF($X133="","",INDEX('Per Line'!$J$2:$J$4001,$X133))</f>
        <v/>
      </c>
      <c r="I133" s="20" t="str">
        <f aca="false">IF($X133="","",INDEX('Per Line'!$K$2:$K$4001,$X133))</f>
        <v/>
      </c>
      <c r="J133" s="20" t="str">
        <f aca="false">IF($X133="","",INDEX('Per Line'!$L$2:$L$4001,$X133))</f>
        <v/>
      </c>
      <c r="K133" s="20" t="str">
        <f aca="false">IF($X133="","",INDEX('Per Line'!$M$2:$M$4001,$X133))</f>
        <v/>
      </c>
      <c r="L133" s="22" t="str">
        <f aca="false">IF($X133="","",K133*V133/100)</f>
        <v/>
      </c>
      <c r="M133" s="20" t="str">
        <f aca="false">IF($X133="","",INDEX('Per Line'!$Z$2:$Z$4001,$X133))</f>
        <v/>
      </c>
      <c r="N133" s="23" t="str">
        <f aca="false">IF($X133="","",Settings!$C$7)</f>
        <v/>
      </c>
      <c r="O133" s="22" t="str">
        <f aca="false">IF($X133="","",SUMIFS('Per Line'!$Y$2:$Y$4001,'Per Line'!$D$2:$D$4001,$B133,'Per Line'!$AJ$2:$AJ$4001,0))</f>
        <v/>
      </c>
      <c r="P133" s="22" t="str">
        <f aca="false">IF($X133="","",O133*N133)</f>
        <v/>
      </c>
      <c r="Q133" s="23" t="str">
        <f aca="false">IF($X133="","",Settings!$C$6)</f>
        <v/>
      </c>
      <c r="R133" s="22" t="str">
        <f aca="false">IF($X133="","",SUMIFS('Per Line'!$Y$2:$Y$4001,'Per Line'!$D$2:$D$4001,$B133,'Per Line'!$AJ$2:$AJ$4001,1))</f>
        <v/>
      </c>
      <c r="S133" s="22" t="str">
        <f aca="false">IF($X133="","",R133*Q133)</f>
        <v/>
      </c>
      <c r="T133" s="22" t="str">
        <f aca="false">IF($X133="","",S133+P133)</f>
        <v/>
      </c>
      <c r="U133" s="22" t="str">
        <f aca="false">IF($X133="","",V133-T133)</f>
        <v/>
      </c>
      <c r="V133" s="22" t="str">
        <f aca="false">IF($X133="","",O133+R133)</f>
        <v/>
      </c>
      <c r="W133" s="22" t="str">
        <f aca="false">IF($X133="","",U133-L133)</f>
        <v/>
      </c>
      <c r="X133" s="24" t="str">
        <f aca="false">IF(ROWS($X$2:$X133)&lt;=MAX('Per Line'!$AI$2:$AI$4001),MATCH(ROWS($X$2:$X133),'Per Line'!$AI$2:$AI$4001,0),"")</f>
        <v/>
      </c>
    </row>
    <row r="134" customFormat="false" ht="15" hidden="false" customHeight="false" outlineLevel="0" collapsed="false">
      <c r="A134" s="19"/>
      <c r="B134" s="20" t="str">
        <f aca="false">IF($X134="","",INDEX('Per Line'!$D$2:$D$4001,$X134))</f>
        <v/>
      </c>
      <c r="C134" s="20" t="str">
        <f aca="false">IF($X134="","",INDEX('Per Line'!$C$2:$C$4001,$X134))</f>
        <v/>
      </c>
      <c r="D134" s="20" t="str">
        <f aca="false">IF($X134="","",INDEX('Per Line'!$A$2:$A$4001,$X134))</f>
        <v/>
      </c>
      <c r="E134" s="21" t="str">
        <f aca="false">IF($X134="","",INDEX('Per Line'!$F$2:$F$4001,$X134))</f>
        <v/>
      </c>
      <c r="F134" s="20" t="str">
        <f aca="false">IF($X134="","",INDEX('Per Line'!$G$2:$G$4001,$X134))</f>
        <v/>
      </c>
      <c r="G134" s="20" t="str">
        <f aca="false">IF($X134="","",INDEX('Per Line'!$I$2:$I$4001,$X134))</f>
        <v/>
      </c>
      <c r="H134" s="20" t="str">
        <f aca="false">IF($X134="","",INDEX('Per Line'!$J$2:$J$4001,$X134))</f>
        <v/>
      </c>
      <c r="I134" s="20" t="str">
        <f aca="false">IF($X134="","",INDEX('Per Line'!$K$2:$K$4001,$X134))</f>
        <v/>
      </c>
      <c r="J134" s="20" t="str">
        <f aca="false">IF($X134="","",INDEX('Per Line'!$L$2:$L$4001,$X134))</f>
        <v/>
      </c>
      <c r="K134" s="20" t="str">
        <f aca="false">IF($X134="","",INDEX('Per Line'!$M$2:$M$4001,$X134))</f>
        <v/>
      </c>
      <c r="L134" s="22" t="str">
        <f aca="false">IF($X134="","",K134*V134/100)</f>
        <v/>
      </c>
      <c r="M134" s="20" t="str">
        <f aca="false">IF($X134="","",INDEX('Per Line'!$Z$2:$Z$4001,$X134))</f>
        <v/>
      </c>
      <c r="N134" s="23" t="str">
        <f aca="false">IF($X134="","",Settings!$C$7)</f>
        <v/>
      </c>
      <c r="O134" s="22" t="str">
        <f aca="false">IF($X134="","",SUMIFS('Per Line'!$Y$2:$Y$4001,'Per Line'!$D$2:$D$4001,$B134,'Per Line'!$AJ$2:$AJ$4001,0))</f>
        <v/>
      </c>
      <c r="P134" s="22" t="str">
        <f aca="false">IF($X134="","",O134*N134)</f>
        <v/>
      </c>
      <c r="Q134" s="23" t="str">
        <f aca="false">IF($X134="","",Settings!$C$6)</f>
        <v/>
      </c>
      <c r="R134" s="22" t="str">
        <f aca="false">IF($X134="","",SUMIFS('Per Line'!$Y$2:$Y$4001,'Per Line'!$D$2:$D$4001,$B134,'Per Line'!$AJ$2:$AJ$4001,1))</f>
        <v/>
      </c>
      <c r="S134" s="22" t="str">
        <f aca="false">IF($X134="","",R134*Q134)</f>
        <v/>
      </c>
      <c r="T134" s="22" t="str">
        <f aca="false">IF($X134="","",S134+P134)</f>
        <v/>
      </c>
      <c r="U134" s="22" t="str">
        <f aca="false">IF($X134="","",V134-T134)</f>
        <v/>
      </c>
      <c r="V134" s="22" t="str">
        <f aca="false">IF($X134="","",O134+R134)</f>
        <v/>
      </c>
      <c r="W134" s="22" t="str">
        <f aca="false">IF($X134="","",U134-L134)</f>
        <v/>
      </c>
      <c r="X134" s="24" t="str">
        <f aca="false">IF(ROWS($X$2:$X134)&lt;=MAX('Per Line'!$AI$2:$AI$4001),MATCH(ROWS($X$2:$X134),'Per Line'!$AI$2:$AI$4001,0),"")</f>
        <v/>
      </c>
    </row>
    <row r="135" customFormat="false" ht="15" hidden="false" customHeight="false" outlineLevel="0" collapsed="false">
      <c r="A135" s="19"/>
      <c r="B135" s="20" t="str">
        <f aca="false">IF($X135="","",INDEX('Per Line'!$D$2:$D$4001,$X135))</f>
        <v/>
      </c>
      <c r="C135" s="20" t="str">
        <f aca="false">IF($X135="","",INDEX('Per Line'!$C$2:$C$4001,$X135))</f>
        <v/>
      </c>
      <c r="D135" s="20" t="str">
        <f aca="false">IF($X135="","",INDEX('Per Line'!$A$2:$A$4001,$X135))</f>
        <v/>
      </c>
      <c r="E135" s="21" t="str">
        <f aca="false">IF($X135="","",INDEX('Per Line'!$F$2:$F$4001,$X135))</f>
        <v/>
      </c>
      <c r="F135" s="20" t="str">
        <f aca="false">IF($X135="","",INDEX('Per Line'!$G$2:$G$4001,$X135))</f>
        <v/>
      </c>
      <c r="G135" s="20" t="str">
        <f aca="false">IF($X135="","",INDEX('Per Line'!$I$2:$I$4001,$X135))</f>
        <v/>
      </c>
      <c r="H135" s="20" t="str">
        <f aca="false">IF($X135="","",INDEX('Per Line'!$J$2:$J$4001,$X135))</f>
        <v/>
      </c>
      <c r="I135" s="20" t="str">
        <f aca="false">IF($X135="","",INDEX('Per Line'!$K$2:$K$4001,$X135))</f>
        <v/>
      </c>
      <c r="J135" s="20" t="str">
        <f aca="false">IF($X135="","",INDEX('Per Line'!$L$2:$L$4001,$X135))</f>
        <v/>
      </c>
      <c r="K135" s="20" t="str">
        <f aca="false">IF($X135="","",INDEX('Per Line'!$M$2:$M$4001,$X135))</f>
        <v/>
      </c>
      <c r="L135" s="22" t="str">
        <f aca="false">IF($X135="","",K135*V135/100)</f>
        <v/>
      </c>
      <c r="M135" s="20" t="str">
        <f aca="false">IF($X135="","",INDEX('Per Line'!$Z$2:$Z$4001,$X135))</f>
        <v/>
      </c>
      <c r="N135" s="23" t="str">
        <f aca="false">IF($X135="","",Settings!$C$7)</f>
        <v/>
      </c>
      <c r="O135" s="22" t="str">
        <f aca="false">IF($X135="","",SUMIFS('Per Line'!$Y$2:$Y$4001,'Per Line'!$D$2:$D$4001,$B135,'Per Line'!$AJ$2:$AJ$4001,0))</f>
        <v/>
      </c>
      <c r="P135" s="22" t="str">
        <f aca="false">IF($X135="","",O135*N135)</f>
        <v/>
      </c>
      <c r="Q135" s="23" t="str">
        <f aca="false">IF($X135="","",Settings!$C$6)</f>
        <v/>
      </c>
      <c r="R135" s="22" t="str">
        <f aca="false">IF($X135="","",SUMIFS('Per Line'!$Y$2:$Y$4001,'Per Line'!$D$2:$D$4001,$B135,'Per Line'!$AJ$2:$AJ$4001,1))</f>
        <v/>
      </c>
      <c r="S135" s="22" t="str">
        <f aca="false">IF($X135="","",R135*Q135)</f>
        <v/>
      </c>
      <c r="T135" s="22" t="str">
        <f aca="false">IF($X135="","",S135+P135)</f>
        <v/>
      </c>
      <c r="U135" s="22" t="str">
        <f aca="false">IF($X135="","",V135-T135)</f>
        <v/>
      </c>
      <c r="V135" s="22" t="str">
        <f aca="false">IF($X135="","",O135+R135)</f>
        <v/>
      </c>
      <c r="W135" s="22" t="str">
        <f aca="false">IF($X135="","",U135-L135)</f>
        <v/>
      </c>
      <c r="X135" s="24" t="str">
        <f aca="false">IF(ROWS($X$2:$X135)&lt;=MAX('Per Line'!$AI$2:$AI$4001),MATCH(ROWS($X$2:$X135),'Per Line'!$AI$2:$AI$4001,0),"")</f>
        <v/>
      </c>
    </row>
    <row r="136" customFormat="false" ht="15" hidden="false" customHeight="false" outlineLevel="0" collapsed="false">
      <c r="A136" s="19"/>
      <c r="B136" s="20" t="str">
        <f aca="false">IF($X136="","",INDEX('Per Line'!$D$2:$D$4001,$X136))</f>
        <v/>
      </c>
      <c r="C136" s="20" t="str">
        <f aca="false">IF($X136="","",INDEX('Per Line'!$C$2:$C$4001,$X136))</f>
        <v/>
      </c>
      <c r="D136" s="20" t="str">
        <f aca="false">IF($X136="","",INDEX('Per Line'!$A$2:$A$4001,$X136))</f>
        <v/>
      </c>
      <c r="E136" s="21" t="str">
        <f aca="false">IF($X136="","",INDEX('Per Line'!$F$2:$F$4001,$X136))</f>
        <v/>
      </c>
      <c r="F136" s="20" t="str">
        <f aca="false">IF($X136="","",INDEX('Per Line'!$G$2:$G$4001,$X136))</f>
        <v/>
      </c>
      <c r="G136" s="20" t="str">
        <f aca="false">IF($X136="","",INDEX('Per Line'!$I$2:$I$4001,$X136))</f>
        <v/>
      </c>
      <c r="H136" s="20" t="str">
        <f aca="false">IF($X136="","",INDEX('Per Line'!$J$2:$J$4001,$X136))</f>
        <v/>
      </c>
      <c r="I136" s="20" t="str">
        <f aca="false">IF($X136="","",INDEX('Per Line'!$K$2:$K$4001,$X136))</f>
        <v/>
      </c>
      <c r="J136" s="20" t="str">
        <f aca="false">IF($X136="","",INDEX('Per Line'!$L$2:$L$4001,$X136))</f>
        <v/>
      </c>
      <c r="K136" s="20" t="str">
        <f aca="false">IF($X136="","",INDEX('Per Line'!$M$2:$M$4001,$X136))</f>
        <v/>
      </c>
      <c r="L136" s="22" t="str">
        <f aca="false">IF($X136="","",K136*V136/100)</f>
        <v/>
      </c>
      <c r="M136" s="20" t="str">
        <f aca="false">IF($X136="","",INDEX('Per Line'!$Z$2:$Z$4001,$X136))</f>
        <v/>
      </c>
      <c r="N136" s="23" t="str">
        <f aca="false">IF($X136="","",Settings!$C$7)</f>
        <v/>
      </c>
      <c r="O136" s="22" t="str">
        <f aca="false">IF($X136="","",SUMIFS('Per Line'!$Y$2:$Y$4001,'Per Line'!$D$2:$D$4001,$B136,'Per Line'!$AJ$2:$AJ$4001,0))</f>
        <v/>
      </c>
      <c r="P136" s="22" t="str">
        <f aca="false">IF($X136="","",O136*N136)</f>
        <v/>
      </c>
      <c r="Q136" s="23" t="str">
        <f aca="false">IF($X136="","",Settings!$C$6)</f>
        <v/>
      </c>
      <c r="R136" s="22" t="str">
        <f aca="false">IF($X136="","",SUMIFS('Per Line'!$Y$2:$Y$4001,'Per Line'!$D$2:$D$4001,$B136,'Per Line'!$AJ$2:$AJ$4001,1))</f>
        <v/>
      </c>
      <c r="S136" s="22" t="str">
        <f aca="false">IF($X136="","",R136*Q136)</f>
        <v/>
      </c>
      <c r="T136" s="22" t="str">
        <f aca="false">IF($X136="","",S136+P136)</f>
        <v/>
      </c>
      <c r="U136" s="22" t="str">
        <f aca="false">IF($X136="","",V136-T136)</f>
        <v/>
      </c>
      <c r="V136" s="22" t="str">
        <f aca="false">IF($X136="","",O136+R136)</f>
        <v/>
      </c>
      <c r="W136" s="22" t="str">
        <f aca="false">IF($X136="","",U136-L136)</f>
        <v/>
      </c>
      <c r="X136" s="24" t="str">
        <f aca="false">IF(ROWS($X$2:$X136)&lt;=MAX('Per Line'!$AI$2:$AI$4001),MATCH(ROWS($X$2:$X136),'Per Line'!$AI$2:$AI$4001,0),"")</f>
        <v/>
      </c>
    </row>
    <row r="137" customFormat="false" ht="15" hidden="false" customHeight="false" outlineLevel="0" collapsed="false">
      <c r="A137" s="19"/>
      <c r="B137" s="20" t="str">
        <f aca="false">IF($X137="","",INDEX('Per Line'!$D$2:$D$4001,$X137))</f>
        <v/>
      </c>
      <c r="C137" s="20" t="str">
        <f aca="false">IF($X137="","",INDEX('Per Line'!$C$2:$C$4001,$X137))</f>
        <v/>
      </c>
      <c r="D137" s="20" t="str">
        <f aca="false">IF($X137="","",INDEX('Per Line'!$A$2:$A$4001,$X137))</f>
        <v/>
      </c>
      <c r="E137" s="21" t="str">
        <f aca="false">IF($X137="","",INDEX('Per Line'!$F$2:$F$4001,$X137))</f>
        <v/>
      </c>
      <c r="F137" s="20" t="str">
        <f aca="false">IF($X137="","",INDEX('Per Line'!$G$2:$G$4001,$X137))</f>
        <v/>
      </c>
      <c r="G137" s="20" t="str">
        <f aca="false">IF($X137="","",INDEX('Per Line'!$I$2:$I$4001,$X137))</f>
        <v/>
      </c>
      <c r="H137" s="20" t="str">
        <f aca="false">IF($X137="","",INDEX('Per Line'!$J$2:$J$4001,$X137))</f>
        <v/>
      </c>
      <c r="I137" s="20" t="str">
        <f aca="false">IF($X137="","",INDEX('Per Line'!$K$2:$K$4001,$X137))</f>
        <v/>
      </c>
      <c r="J137" s="20" t="str">
        <f aca="false">IF($X137="","",INDEX('Per Line'!$L$2:$L$4001,$X137))</f>
        <v/>
      </c>
      <c r="K137" s="20" t="str">
        <f aca="false">IF($X137="","",INDEX('Per Line'!$M$2:$M$4001,$X137))</f>
        <v/>
      </c>
      <c r="L137" s="22" t="str">
        <f aca="false">IF($X137="","",K137*V137/100)</f>
        <v/>
      </c>
      <c r="M137" s="20" t="str">
        <f aca="false">IF($X137="","",INDEX('Per Line'!$Z$2:$Z$4001,$X137))</f>
        <v/>
      </c>
      <c r="N137" s="23" t="str">
        <f aca="false">IF($X137="","",Settings!$C$7)</f>
        <v/>
      </c>
      <c r="O137" s="22" t="str">
        <f aca="false">IF($X137="","",SUMIFS('Per Line'!$Y$2:$Y$4001,'Per Line'!$D$2:$D$4001,$B137,'Per Line'!$AJ$2:$AJ$4001,0))</f>
        <v/>
      </c>
      <c r="P137" s="22" t="str">
        <f aca="false">IF($X137="","",O137*N137)</f>
        <v/>
      </c>
      <c r="Q137" s="23" t="str">
        <f aca="false">IF($X137="","",Settings!$C$6)</f>
        <v/>
      </c>
      <c r="R137" s="22" t="str">
        <f aca="false">IF($X137="","",SUMIFS('Per Line'!$Y$2:$Y$4001,'Per Line'!$D$2:$D$4001,$B137,'Per Line'!$AJ$2:$AJ$4001,1))</f>
        <v/>
      </c>
      <c r="S137" s="22" t="str">
        <f aca="false">IF($X137="","",R137*Q137)</f>
        <v/>
      </c>
      <c r="T137" s="22" t="str">
        <f aca="false">IF($X137="","",S137+P137)</f>
        <v/>
      </c>
      <c r="U137" s="22" t="str">
        <f aca="false">IF($X137="","",V137-T137)</f>
        <v/>
      </c>
      <c r="V137" s="22" t="str">
        <f aca="false">IF($X137="","",O137+R137)</f>
        <v/>
      </c>
      <c r="W137" s="22" t="str">
        <f aca="false">IF($X137="","",U137-L137)</f>
        <v/>
      </c>
      <c r="X137" s="24" t="str">
        <f aca="false">IF(ROWS($X$2:$X137)&lt;=MAX('Per Line'!$AI$2:$AI$4001),MATCH(ROWS($X$2:$X137),'Per Line'!$AI$2:$AI$4001,0),"")</f>
        <v/>
      </c>
    </row>
    <row r="138" customFormat="false" ht="15" hidden="false" customHeight="false" outlineLevel="0" collapsed="false">
      <c r="A138" s="19"/>
      <c r="B138" s="20" t="str">
        <f aca="false">IF($X138="","",INDEX('Per Line'!$D$2:$D$4001,$X138))</f>
        <v/>
      </c>
      <c r="C138" s="20" t="str">
        <f aca="false">IF($X138="","",INDEX('Per Line'!$C$2:$C$4001,$X138))</f>
        <v/>
      </c>
      <c r="D138" s="20" t="str">
        <f aca="false">IF($X138="","",INDEX('Per Line'!$A$2:$A$4001,$X138))</f>
        <v/>
      </c>
      <c r="E138" s="21" t="str">
        <f aca="false">IF($X138="","",INDEX('Per Line'!$F$2:$F$4001,$X138))</f>
        <v/>
      </c>
      <c r="F138" s="20" t="str">
        <f aca="false">IF($X138="","",INDEX('Per Line'!$G$2:$G$4001,$X138))</f>
        <v/>
      </c>
      <c r="G138" s="20" t="str">
        <f aca="false">IF($X138="","",INDEX('Per Line'!$I$2:$I$4001,$X138))</f>
        <v/>
      </c>
      <c r="H138" s="20" t="str">
        <f aca="false">IF($X138="","",INDEX('Per Line'!$J$2:$J$4001,$X138))</f>
        <v/>
      </c>
      <c r="I138" s="20" t="str">
        <f aca="false">IF($X138="","",INDEX('Per Line'!$K$2:$K$4001,$X138))</f>
        <v/>
      </c>
      <c r="J138" s="20" t="str">
        <f aca="false">IF($X138="","",INDEX('Per Line'!$L$2:$L$4001,$X138))</f>
        <v/>
      </c>
      <c r="K138" s="20" t="str">
        <f aca="false">IF($X138="","",INDEX('Per Line'!$M$2:$M$4001,$X138))</f>
        <v/>
      </c>
      <c r="L138" s="22" t="str">
        <f aca="false">IF($X138="","",K138*V138/100)</f>
        <v/>
      </c>
      <c r="M138" s="20" t="str">
        <f aca="false">IF($X138="","",INDEX('Per Line'!$Z$2:$Z$4001,$X138))</f>
        <v/>
      </c>
      <c r="N138" s="23" t="str">
        <f aca="false">IF($X138="","",Settings!$C$7)</f>
        <v/>
      </c>
      <c r="O138" s="22" t="str">
        <f aca="false">IF($X138="","",SUMIFS('Per Line'!$Y$2:$Y$4001,'Per Line'!$D$2:$D$4001,$B138,'Per Line'!$AJ$2:$AJ$4001,0))</f>
        <v/>
      </c>
      <c r="P138" s="22" t="str">
        <f aca="false">IF($X138="","",O138*N138)</f>
        <v/>
      </c>
      <c r="Q138" s="23" t="str">
        <f aca="false">IF($X138="","",Settings!$C$6)</f>
        <v/>
      </c>
      <c r="R138" s="22" t="str">
        <f aca="false">IF($X138="","",SUMIFS('Per Line'!$Y$2:$Y$4001,'Per Line'!$D$2:$D$4001,$B138,'Per Line'!$AJ$2:$AJ$4001,1))</f>
        <v/>
      </c>
      <c r="S138" s="22" t="str">
        <f aca="false">IF($X138="","",R138*Q138)</f>
        <v/>
      </c>
      <c r="T138" s="22" t="str">
        <f aca="false">IF($X138="","",S138+P138)</f>
        <v/>
      </c>
      <c r="U138" s="22" t="str">
        <f aca="false">IF($X138="","",V138-T138)</f>
        <v/>
      </c>
      <c r="V138" s="22" t="str">
        <f aca="false">IF($X138="","",O138+R138)</f>
        <v/>
      </c>
      <c r="W138" s="22" t="str">
        <f aca="false">IF($X138="","",U138-L138)</f>
        <v/>
      </c>
      <c r="X138" s="24" t="str">
        <f aca="false">IF(ROWS($X$2:$X138)&lt;=MAX('Per Line'!$AI$2:$AI$4001),MATCH(ROWS($X$2:$X138),'Per Line'!$AI$2:$AI$4001,0),"")</f>
        <v/>
      </c>
    </row>
    <row r="139" customFormat="false" ht="15" hidden="false" customHeight="false" outlineLevel="0" collapsed="false">
      <c r="A139" s="19"/>
      <c r="B139" s="20" t="str">
        <f aca="false">IF($X139="","",INDEX('Per Line'!$D$2:$D$4001,$X139))</f>
        <v/>
      </c>
      <c r="C139" s="20" t="str">
        <f aca="false">IF($X139="","",INDEX('Per Line'!$C$2:$C$4001,$X139))</f>
        <v/>
      </c>
      <c r="D139" s="20" t="str">
        <f aca="false">IF($X139="","",INDEX('Per Line'!$A$2:$A$4001,$X139))</f>
        <v/>
      </c>
      <c r="E139" s="21" t="str">
        <f aca="false">IF($X139="","",INDEX('Per Line'!$F$2:$F$4001,$X139))</f>
        <v/>
      </c>
      <c r="F139" s="20" t="str">
        <f aca="false">IF($X139="","",INDEX('Per Line'!$G$2:$G$4001,$X139))</f>
        <v/>
      </c>
      <c r="G139" s="20" t="str">
        <f aca="false">IF($X139="","",INDEX('Per Line'!$I$2:$I$4001,$X139))</f>
        <v/>
      </c>
      <c r="H139" s="20" t="str">
        <f aca="false">IF($X139="","",INDEX('Per Line'!$J$2:$J$4001,$X139))</f>
        <v/>
      </c>
      <c r="I139" s="20" t="str">
        <f aca="false">IF($X139="","",INDEX('Per Line'!$K$2:$K$4001,$X139))</f>
        <v/>
      </c>
      <c r="J139" s="20" t="str">
        <f aca="false">IF($X139="","",INDEX('Per Line'!$L$2:$L$4001,$X139))</f>
        <v/>
      </c>
      <c r="K139" s="20" t="str">
        <f aca="false">IF($X139="","",INDEX('Per Line'!$M$2:$M$4001,$X139))</f>
        <v/>
      </c>
      <c r="L139" s="22" t="str">
        <f aca="false">IF($X139="","",K139*V139/100)</f>
        <v/>
      </c>
      <c r="M139" s="20" t="str">
        <f aca="false">IF($X139="","",INDEX('Per Line'!$Z$2:$Z$4001,$X139))</f>
        <v/>
      </c>
      <c r="N139" s="23" t="str">
        <f aca="false">IF($X139="","",Settings!$C$7)</f>
        <v/>
      </c>
      <c r="O139" s="22" t="str">
        <f aca="false">IF($X139="","",SUMIFS('Per Line'!$Y$2:$Y$4001,'Per Line'!$D$2:$D$4001,$B139,'Per Line'!$AJ$2:$AJ$4001,0))</f>
        <v/>
      </c>
      <c r="P139" s="22" t="str">
        <f aca="false">IF($X139="","",O139*N139)</f>
        <v/>
      </c>
      <c r="Q139" s="23" t="str">
        <f aca="false">IF($X139="","",Settings!$C$6)</f>
        <v/>
      </c>
      <c r="R139" s="22" t="str">
        <f aca="false">IF($X139="","",SUMIFS('Per Line'!$Y$2:$Y$4001,'Per Line'!$D$2:$D$4001,$B139,'Per Line'!$AJ$2:$AJ$4001,1))</f>
        <v/>
      </c>
      <c r="S139" s="22" t="str">
        <f aca="false">IF($X139="","",R139*Q139)</f>
        <v/>
      </c>
      <c r="T139" s="22" t="str">
        <f aca="false">IF($X139="","",S139+P139)</f>
        <v/>
      </c>
      <c r="U139" s="22" t="str">
        <f aca="false">IF($X139="","",V139-T139)</f>
        <v/>
      </c>
      <c r="V139" s="22" t="str">
        <f aca="false">IF($X139="","",O139+R139)</f>
        <v/>
      </c>
      <c r="W139" s="22" t="str">
        <f aca="false">IF($X139="","",U139-L139)</f>
        <v/>
      </c>
      <c r="X139" s="24" t="str">
        <f aca="false">IF(ROWS($X$2:$X139)&lt;=MAX('Per Line'!$AI$2:$AI$4001),MATCH(ROWS($X$2:$X139),'Per Line'!$AI$2:$AI$4001,0),"")</f>
        <v/>
      </c>
    </row>
    <row r="140" customFormat="false" ht="15" hidden="false" customHeight="false" outlineLevel="0" collapsed="false">
      <c r="A140" s="19"/>
      <c r="B140" s="20" t="str">
        <f aca="false">IF($X140="","",INDEX('Per Line'!$D$2:$D$4001,$X140))</f>
        <v/>
      </c>
      <c r="C140" s="20" t="str">
        <f aca="false">IF($X140="","",INDEX('Per Line'!$C$2:$C$4001,$X140))</f>
        <v/>
      </c>
      <c r="D140" s="20" t="str">
        <f aca="false">IF($X140="","",INDEX('Per Line'!$A$2:$A$4001,$X140))</f>
        <v/>
      </c>
      <c r="E140" s="21" t="str">
        <f aca="false">IF($X140="","",INDEX('Per Line'!$F$2:$F$4001,$X140))</f>
        <v/>
      </c>
      <c r="F140" s="20" t="str">
        <f aca="false">IF($X140="","",INDEX('Per Line'!$G$2:$G$4001,$X140))</f>
        <v/>
      </c>
      <c r="G140" s="20" t="str">
        <f aca="false">IF($X140="","",INDEX('Per Line'!$I$2:$I$4001,$X140))</f>
        <v/>
      </c>
      <c r="H140" s="20" t="str">
        <f aca="false">IF($X140="","",INDEX('Per Line'!$J$2:$J$4001,$X140))</f>
        <v/>
      </c>
      <c r="I140" s="20" t="str">
        <f aca="false">IF($X140="","",INDEX('Per Line'!$K$2:$K$4001,$X140))</f>
        <v/>
      </c>
      <c r="J140" s="20" t="str">
        <f aca="false">IF($X140="","",INDEX('Per Line'!$L$2:$L$4001,$X140))</f>
        <v/>
      </c>
      <c r="K140" s="20" t="str">
        <f aca="false">IF($X140="","",INDEX('Per Line'!$M$2:$M$4001,$X140))</f>
        <v/>
      </c>
      <c r="L140" s="22" t="str">
        <f aca="false">IF($X140="","",K140*V140/100)</f>
        <v/>
      </c>
      <c r="M140" s="20" t="str">
        <f aca="false">IF($X140="","",INDEX('Per Line'!$Z$2:$Z$4001,$X140))</f>
        <v/>
      </c>
      <c r="N140" s="23" t="str">
        <f aca="false">IF($X140="","",Settings!$C$7)</f>
        <v/>
      </c>
      <c r="O140" s="22" t="str">
        <f aca="false">IF($X140="","",SUMIFS('Per Line'!$Y$2:$Y$4001,'Per Line'!$D$2:$D$4001,$B140,'Per Line'!$AJ$2:$AJ$4001,0))</f>
        <v/>
      </c>
      <c r="P140" s="22" t="str">
        <f aca="false">IF($X140="","",O140*N140)</f>
        <v/>
      </c>
      <c r="Q140" s="23" t="str">
        <f aca="false">IF($X140="","",Settings!$C$6)</f>
        <v/>
      </c>
      <c r="R140" s="22" t="str">
        <f aca="false">IF($X140="","",SUMIFS('Per Line'!$Y$2:$Y$4001,'Per Line'!$D$2:$D$4001,$B140,'Per Line'!$AJ$2:$AJ$4001,1))</f>
        <v/>
      </c>
      <c r="S140" s="22" t="str">
        <f aca="false">IF($X140="","",R140*Q140)</f>
        <v/>
      </c>
      <c r="T140" s="22" t="str">
        <f aca="false">IF($X140="","",S140+P140)</f>
        <v/>
      </c>
      <c r="U140" s="22" t="str">
        <f aca="false">IF($X140="","",V140-T140)</f>
        <v/>
      </c>
      <c r="V140" s="22" t="str">
        <f aca="false">IF($X140="","",O140+R140)</f>
        <v/>
      </c>
      <c r="W140" s="22" t="str">
        <f aca="false">IF($X140="","",U140-L140)</f>
        <v/>
      </c>
      <c r="X140" s="24" t="str">
        <f aca="false">IF(ROWS($X$2:$X140)&lt;=MAX('Per Line'!$AI$2:$AI$4001),MATCH(ROWS($X$2:$X140),'Per Line'!$AI$2:$AI$4001,0),"")</f>
        <v/>
      </c>
    </row>
    <row r="141" customFormat="false" ht="15" hidden="false" customHeight="false" outlineLevel="0" collapsed="false">
      <c r="A141" s="19"/>
      <c r="B141" s="20" t="str">
        <f aca="false">IF($X141="","",INDEX('Per Line'!$D$2:$D$4001,$X141))</f>
        <v/>
      </c>
      <c r="C141" s="20" t="str">
        <f aca="false">IF($X141="","",INDEX('Per Line'!$C$2:$C$4001,$X141))</f>
        <v/>
      </c>
      <c r="D141" s="20" t="str">
        <f aca="false">IF($X141="","",INDEX('Per Line'!$A$2:$A$4001,$X141))</f>
        <v/>
      </c>
      <c r="E141" s="21" t="str">
        <f aca="false">IF($X141="","",INDEX('Per Line'!$F$2:$F$4001,$X141))</f>
        <v/>
      </c>
      <c r="F141" s="20" t="str">
        <f aca="false">IF($X141="","",INDEX('Per Line'!$G$2:$G$4001,$X141))</f>
        <v/>
      </c>
      <c r="G141" s="20" t="str">
        <f aca="false">IF($X141="","",INDEX('Per Line'!$I$2:$I$4001,$X141))</f>
        <v/>
      </c>
      <c r="H141" s="20" t="str">
        <f aca="false">IF($X141="","",INDEX('Per Line'!$J$2:$J$4001,$X141))</f>
        <v/>
      </c>
      <c r="I141" s="20" t="str">
        <f aca="false">IF($X141="","",INDEX('Per Line'!$K$2:$K$4001,$X141))</f>
        <v/>
      </c>
      <c r="J141" s="20" t="str">
        <f aca="false">IF($X141="","",INDEX('Per Line'!$L$2:$L$4001,$X141))</f>
        <v/>
      </c>
      <c r="K141" s="20" t="str">
        <f aca="false">IF($X141="","",INDEX('Per Line'!$M$2:$M$4001,$X141))</f>
        <v/>
      </c>
      <c r="L141" s="22" t="str">
        <f aca="false">IF($X141="","",K141*V141/100)</f>
        <v/>
      </c>
      <c r="M141" s="20" t="str">
        <f aca="false">IF($X141="","",INDEX('Per Line'!$Z$2:$Z$4001,$X141))</f>
        <v/>
      </c>
      <c r="N141" s="23" t="str">
        <f aca="false">IF($X141="","",Settings!$C$7)</f>
        <v/>
      </c>
      <c r="O141" s="22" t="str">
        <f aca="false">IF($X141="","",SUMIFS('Per Line'!$Y$2:$Y$4001,'Per Line'!$D$2:$D$4001,$B141,'Per Line'!$AJ$2:$AJ$4001,0))</f>
        <v/>
      </c>
      <c r="P141" s="22" t="str">
        <f aca="false">IF($X141="","",O141*N141)</f>
        <v/>
      </c>
      <c r="Q141" s="23" t="str">
        <f aca="false">IF($X141="","",Settings!$C$6)</f>
        <v/>
      </c>
      <c r="R141" s="22" t="str">
        <f aca="false">IF($X141="","",SUMIFS('Per Line'!$Y$2:$Y$4001,'Per Line'!$D$2:$D$4001,$B141,'Per Line'!$AJ$2:$AJ$4001,1))</f>
        <v/>
      </c>
      <c r="S141" s="22" t="str">
        <f aca="false">IF($X141="","",R141*Q141)</f>
        <v/>
      </c>
      <c r="T141" s="22" t="str">
        <f aca="false">IF($X141="","",S141+P141)</f>
        <v/>
      </c>
      <c r="U141" s="22" t="str">
        <f aca="false">IF($X141="","",V141-T141)</f>
        <v/>
      </c>
      <c r="V141" s="22" t="str">
        <f aca="false">IF($X141="","",O141+R141)</f>
        <v/>
      </c>
      <c r="W141" s="22" t="str">
        <f aca="false">IF($X141="","",U141-L141)</f>
        <v/>
      </c>
      <c r="X141" s="24" t="str">
        <f aca="false">IF(ROWS($X$2:$X141)&lt;=MAX('Per Line'!$AI$2:$AI$4001),MATCH(ROWS($X$2:$X141),'Per Line'!$AI$2:$AI$4001,0),"")</f>
        <v/>
      </c>
    </row>
    <row r="142" customFormat="false" ht="15" hidden="false" customHeight="false" outlineLevel="0" collapsed="false">
      <c r="A142" s="19"/>
      <c r="B142" s="20" t="str">
        <f aca="false">IF($X142="","",INDEX('Per Line'!$D$2:$D$4001,$X142))</f>
        <v/>
      </c>
      <c r="C142" s="20" t="str">
        <f aca="false">IF($X142="","",INDEX('Per Line'!$C$2:$C$4001,$X142))</f>
        <v/>
      </c>
      <c r="D142" s="20" t="str">
        <f aca="false">IF($X142="","",INDEX('Per Line'!$A$2:$A$4001,$X142))</f>
        <v/>
      </c>
      <c r="E142" s="21" t="str">
        <f aca="false">IF($X142="","",INDEX('Per Line'!$F$2:$F$4001,$X142))</f>
        <v/>
      </c>
      <c r="F142" s="20" t="str">
        <f aca="false">IF($X142="","",INDEX('Per Line'!$G$2:$G$4001,$X142))</f>
        <v/>
      </c>
      <c r="G142" s="20" t="str">
        <f aca="false">IF($X142="","",INDEX('Per Line'!$I$2:$I$4001,$X142))</f>
        <v/>
      </c>
      <c r="H142" s="20" t="str">
        <f aca="false">IF($X142="","",INDEX('Per Line'!$J$2:$J$4001,$X142))</f>
        <v/>
      </c>
      <c r="I142" s="20" t="str">
        <f aca="false">IF($X142="","",INDEX('Per Line'!$K$2:$K$4001,$X142))</f>
        <v/>
      </c>
      <c r="J142" s="20" t="str">
        <f aca="false">IF($X142="","",INDEX('Per Line'!$L$2:$L$4001,$X142))</f>
        <v/>
      </c>
      <c r="K142" s="20" t="str">
        <f aca="false">IF($X142="","",INDEX('Per Line'!$M$2:$M$4001,$X142))</f>
        <v/>
      </c>
      <c r="L142" s="22" t="str">
        <f aca="false">IF($X142="","",K142*V142/100)</f>
        <v/>
      </c>
      <c r="M142" s="20" t="str">
        <f aca="false">IF($X142="","",INDEX('Per Line'!$Z$2:$Z$4001,$X142))</f>
        <v/>
      </c>
      <c r="N142" s="23" t="str">
        <f aca="false">IF($X142="","",Settings!$C$7)</f>
        <v/>
      </c>
      <c r="O142" s="22" t="str">
        <f aca="false">IF($X142="","",SUMIFS('Per Line'!$Y$2:$Y$4001,'Per Line'!$D$2:$D$4001,$B142,'Per Line'!$AJ$2:$AJ$4001,0))</f>
        <v/>
      </c>
      <c r="P142" s="22" t="str">
        <f aca="false">IF($X142="","",O142*N142)</f>
        <v/>
      </c>
      <c r="Q142" s="23" t="str">
        <f aca="false">IF($X142="","",Settings!$C$6)</f>
        <v/>
      </c>
      <c r="R142" s="22" t="str">
        <f aca="false">IF($X142="","",SUMIFS('Per Line'!$Y$2:$Y$4001,'Per Line'!$D$2:$D$4001,$B142,'Per Line'!$AJ$2:$AJ$4001,1))</f>
        <v/>
      </c>
      <c r="S142" s="22" t="str">
        <f aca="false">IF($X142="","",R142*Q142)</f>
        <v/>
      </c>
      <c r="T142" s="22" t="str">
        <f aca="false">IF($X142="","",S142+P142)</f>
        <v/>
      </c>
      <c r="U142" s="22" t="str">
        <f aca="false">IF($X142="","",V142-T142)</f>
        <v/>
      </c>
      <c r="V142" s="22" t="str">
        <f aca="false">IF($X142="","",O142+R142)</f>
        <v/>
      </c>
      <c r="W142" s="22" t="str">
        <f aca="false">IF($X142="","",U142-L142)</f>
        <v/>
      </c>
      <c r="X142" s="24" t="str">
        <f aca="false">IF(ROWS($X$2:$X142)&lt;=MAX('Per Line'!$AI$2:$AI$4001),MATCH(ROWS($X$2:$X142),'Per Line'!$AI$2:$AI$4001,0),"")</f>
        <v/>
      </c>
    </row>
    <row r="143" customFormat="false" ht="15" hidden="false" customHeight="false" outlineLevel="0" collapsed="false">
      <c r="A143" s="19"/>
      <c r="B143" s="20" t="str">
        <f aca="false">IF($X143="","",INDEX('Per Line'!$D$2:$D$4001,$X143))</f>
        <v/>
      </c>
      <c r="C143" s="20" t="str">
        <f aca="false">IF($X143="","",INDEX('Per Line'!$C$2:$C$4001,$X143))</f>
        <v/>
      </c>
      <c r="D143" s="20" t="str">
        <f aca="false">IF($X143="","",INDEX('Per Line'!$A$2:$A$4001,$X143))</f>
        <v/>
      </c>
      <c r="E143" s="21" t="str">
        <f aca="false">IF($X143="","",INDEX('Per Line'!$F$2:$F$4001,$X143))</f>
        <v/>
      </c>
      <c r="F143" s="20" t="str">
        <f aca="false">IF($X143="","",INDEX('Per Line'!$G$2:$G$4001,$X143))</f>
        <v/>
      </c>
      <c r="G143" s="20" t="str">
        <f aca="false">IF($X143="","",INDEX('Per Line'!$I$2:$I$4001,$X143))</f>
        <v/>
      </c>
      <c r="H143" s="20" t="str">
        <f aca="false">IF($X143="","",INDEX('Per Line'!$J$2:$J$4001,$X143))</f>
        <v/>
      </c>
      <c r="I143" s="20" t="str">
        <f aca="false">IF($X143="","",INDEX('Per Line'!$K$2:$K$4001,$X143))</f>
        <v/>
      </c>
      <c r="J143" s="20" t="str">
        <f aca="false">IF($X143="","",INDEX('Per Line'!$L$2:$L$4001,$X143))</f>
        <v/>
      </c>
      <c r="K143" s="20" t="str">
        <f aca="false">IF($X143="","",INDEX('Per Line'!$M$2:$M$4001,$X143))</f>
        <v/>
      </c>
      <c r="L143" s="22" t="str">
        <f aca="false">IF($X143="","",K143*V143/100)</f>
        <v/>
      </c>
      <c r="M143" s="20" t="str">
        <f aca="false">IF($X143="","",INDEX('Per Line'!$Z$2:$Z$4001,$X143))</f>
        <v/>
      </c>
      <c r="N143" s="23" t="str">
        <f aca="false">IF($X143="","",Settings!$C$7)</f>
        <v/>
      </c>
      <c r="O143" s="22" t="str">
        <f aca="false">IF($X143="","",SUMIFS('Per Line'!$Y$2:$Y$4001,'Per Line'!$D$2:$D$4001,$B143,'Per Line'!$AJ$2:$AJ$4001,0))</f>
        <v/>
      </c>
      <c r="P143" s="22" t="str">
        <f aca="false">IF($X143="","",O143*N143)</f>
        <v/>
      </c>
      <c r="Q143" s="23" t="str">
        <f aca="false">IF($X143="","",Settings!$C$6)</f>
        <v/>
      </c>
      <c r="R143" s="22" t="str">
        <f aca="false">IF($X143="","",SUMIFS('Per Line'!$Y$2:$Y$4001,'Per Line'!$D$2:$D$4001,$B143,'Per Line'!$AJ$2:$AJ$4001,1))</f>
        <v/>
      </c>
      <c r="S143" s="22" t="str">
        <f aca="false">IF($X143="","",R143*Q143)</f>
        <v/>
      </c>
      <c r="T143" s="22" t="str">
        <f aca="false">IF($X143="","",S143+P143)</f>
        <v/>
      </c>
      <c r="U143" s="22" t="str">
        <f aca="false">IF($X143="","",V143-T143)</f>
        <v/>
      </c>
      <c r="V143" s="22" t="str">
        <f aca="false">IF($X143="","",O143+R143)</f>
        <v/>
      </c>
      <c r="W143" s="22" t="str">
        <f aca="false">IF($X143="","",U143-L143)</f>
        <v/>
      </c>
      <c r="X143" s="24" t="str">
        <f aca="false">IF(ROWS($X$2:$X143)&lt;=MAX('Per Line'!$AI$2:$AI$4001),MATCH(ROWS($X$2:$X143),'Per Line'!$AI$2:$AI$4001,0),"")</f>
        <v/>
      </c>
    </row>
    <row r="144" customFormat="false" ht="15" hidden="false" customHeight="false" outlineLevel="0" collapsed="false">
      <c r="A144" s="19"/>
      <c r="B144" s="20" t="str">
        <f aca="false">IF($X144="","",INDEX('Per Line'!$D$2:$D$4001,$X144))</f>
        <v/>
      </c>
      <c r="C144" s="20" t="str">
        <f aca="false">IF($X144="","",INDEX('Per Line'!$C$2:$C$4001,$X144))</f>
        <v/>
      </c>
      <c r="D144" s="20" t="str">
        <f aca="false">IF($X144="","",INDEX('Per Line'!$A$2:$A$4001,$X144))</f>
        <v/>
      </c>
      <c r="E144" s="21" t="str">
        <f aca="false">IF($X144="","",INDEX('Per Line'!$F$2:$F$4001,$X144))</f>
        <v/>
      </c>
      <c r="F144" s="20" t="str">
        <f aca="false">IF($X144="","",INDEX('Per Line'!$G$2:$G$4001,$X144))</f>
        <v/>
      </c>
      <c r="G144" s="20" t="str">
        <f aca="false">IF($X144="","",INDEX('Per Line'!$I$2:$I$4001,$X144))</f>
        <v/>
      </c>
      <c r="H144" s="20" t="str">
        <f aca="false">IF($X144="","",INDEX('Per Line'!$J$2:$J$4001,$X144))</f>
        <v/>
      </c>
      <c r="I144" s="20" t="str">
        <f aca="false">IF($X144="","",INDEX('Per Line'!$K$2:$K$4001,$X144))</f>
        <v/>
      </c>
      <c r="J144" s="20" t="str">
        <f aca="false">IF($X144="","",INDEX('Per Line'!$L$2:$L$4001,$X144))</f>
        <v/>
      </c>
      <c r="K144" s="20" t="str">
        <f aca="false">IF($X144="","",INDEX('Per Line'!$M$2:$M$4001,$X144))</f>
        <v/>
      </c>
      <c r="L144" s="22" t="str">
        <f aca="false">IF($X144="","",K144*V144/100)</f>
        <v/>
      </c>
      <c r="M144" s="20" t="str">
        <f aca="false">IF($X144="","",INDEX('Per Line'!$Z$2:$Z$4001,$X144))</f>
        <v/>
      </c>
      <c r="N144" s="23" t="str">
        <f aca="false">IF($X144="","",Settings!$C$7)</f>
        <v/>
      </c>
      <c r="O144" s="22" t="str">
        <f aca="false">IF($X144="","",SUMIFS('Per Line'!$Y$2:$Y$4001,'Per Line'!$D$2:$D$4001,$B144,'Per Line'!$AJ$2:$AJ$4001,0))</f>
        <v/>
      </c>
      <c r="P144" s="22" t="str">
        <f aca="false">IF($X144="","",O144*N144)</f>
        <v/>
      </c>
      <c r="Q144" s="23" t="str">
        <f aca="false">IF($X144="","",Settings!$C$6)</f>
        <v/>
      </c>
      <c r="R144" s="22" t="str">
        <f aca="false">IF($X144="","",SUMIFS('Per Line'!$Y$2:$Y$4001,'Per Line'!$D$2:$D$4001,$B144,'Per Line'!$AJ$2:$AJ$4001,1))</f>
        <v/>
      </c>
      <c r="S144" s="22" t="str">
        <f aca="false">IF($X144="","",R144*Q144)</f>
        <v/>
      </c>
      <c r="T144" s="22" t="str">
        <f aca="false">IF($X144="","",S144+P144)</f>
        <v/>
      </c>
      <c r="U144" s="22" t="str">
        <f aca="false">IF($X144="","",V144-T144)</f>
        <v/>
      </c>
      <c r="V144" s="22" t="str">
        <f aca="false">IF($X144="","",O144+R144)</f>
        <v/>
      </c>
      <c r="W144" s="22" t="str">
        <f aca="false">IF($X144="","",U144-L144)</f>
        <v/>
      </c>
      <c r="X144" s="24" t="str">
        <f aca="false">IF(ROWS($X$2:$X144)&lt;=MAX('Per Line'!$AI$2:$AI$4001),MATCH(ROWS($X$2:$X144),'Per Line'!$AI$2:$AI$4001,0),"")</f>
        <v/>
      </c>
    </row>
    <row r="145" customFormat="false" ht="15" hidden="false" customHeight="false" outlineLevel="0" collapsed="false">
      <c r="A145" s="19"/>
      <c r="B145" s="20" t="str">
        <f aca="false">IF($X145="","",INDEX('Per Line'!$D$2:$D$4001,$X145))</f>
        <v/>
      </c>
      <c r="C145" s="20" t="str">
        <f aca="false">IF($X145="","",INDEX('Per Line'!$C$2:$C$4001,$X145))</f>
        <v/>
      </c>
      <c r="D145" s="20" t="str">
        <f aca="false">IF($X145="","",INDEX('Per Line'!$A$2:$A$4001,$X145))</f>
        <v/>
      </c>
      <c r="E145" s="21" t="str">
        <f aca="false">IF($X145="","",INDEX('Per Line'!$F$2:$F$4001,$X145))</f>
        <v/>
      </c>
      <c r="F145" s="20" t="str">
        <f aca="false">IF($X145="","",INDEX('Per Line'!$G$2:$G$4001,$X145))</f>
        <v/>
      </c>
      <c r="G145" s="20" t="str">
        <f aca="false">IF($X145="","",INDEX('Per Line'!$I$2:$I$4001,$X145))</f>
        <v/>
      </c>
      <c r="H145" s="20" t="str">
        <f aca="false">IF($X145="","",INDEX('Per Line'!$J$2:$J$4001,$X145))</f>
        <v/>
      </c>
      <c r="I145" s="20" t="str">
        <f aca="false">IF($X145="","",INDEX('Per Line'!$K$2:$K$4001,$X145))</f>
        <v/>
      </c>
      <c r="J145" s="20" t="str">
        <f aca="false">IF($X145="","",INDEX('Per Line'!$L$2:$L$4001,$X145))</f>
        <v/>
      </c>
      <c r="K145" s="20" t="str">
        <f aca="false">IF($X145="","",INDEX('Per Line'!$M$2:$M$4001,$X145))</f>
        <v/>
      </c>
      <c r="L145" s="22" t="str">
        <f aca="false">IF($X145="","",K145*V145/100)</f>
        <v/>
      </c>
      <c r="M145" s="20" t="str">
        <f aca="false">IF($X145="","",INDEX('Per Line'!$Z$2:$Z$4001,$X145))</f>
        <v/>
      </c>
      <c r="N145" s="23" t="str">
        <f aca="false">IF($X145="","",Settings!$C$7)</f>
        <v/>
      </c>
      <c r="O145" s="22" t="str">
        <f aca="false">IF($X145="","",SUMIFS('Per Line'!$Y$2:$Y$4001,'Per Line'!$D$2:$D$4001,$B145,'Per Line'!$AJ$2:$AJ$4001,0))</f>
        <v/>
      </c>
      <c r="P145" s="22" t="str">
        <f aca="false">IF($X145="","",O145*N145)</f>
        <v/>
      </c>
      <c r="Q145" s="23" t="str">
        <f aca="false">IF($X145="","",Settings!$C$6)</f>
        <v/>
      </c>
      <c r="R145" s="22" t="str">
        <f aca="false">IF($X145="","",SUMIFS('Per Line'!$Y$2:$Y$4001,'Per Line'!$D$2:$D$4001,$B145,'Per Line'!$AJ$2:$AJ$4001,1))</f>
        <v/>
      </c>
      <c r="S145" s="22" t="str">
        <f aca="false">IF($X145="","",R145*Q145)</f>
        <v/>
      </c>
      <c r="T145" s="22" t="str">
        <f aca="false">IF($X145="","",S145+P145)</f>
        <v/>
      </c>
      <c r="U145" s="22" t="str">
        <f aca="false">IF($X145="","",V145-T145)</f>
        <v/>
      </c>
      <c r="V145" s="22" t="str">
        <f aca="false">IF($X145="","",O145+R145)</f>
        <v/>
      </c>
      <c r="W145" s="22" t="str">
        <f aca="false">IF($X145="","",U145-L145)</f>
        <v/>
      </c>
      <c r="X145" s="24" t="str">
        <f aca="false">IF(ROWS($X$2:$X145)&lt;=MAX('Per Line'!$AI$2:$AI$4001),MATCH(ROWS($X$2:$X145),'Per Line'!$AI$2:$AI$4001,0),"")</f>
        <v/>
      </c>
    </row>
    <row r="146" customFormat="false" ht="15" hidden="false" customHeight="false" outlineLevel="0" collapsed="false">
      <c r="A146" s="19"/>
      <c r="B146" s="20" t="str">
        <f aca="false">IF($X146="","",INDEX('Per Line'!$D$2:$D$4001,$X146))</f>
        <v/>
      </c>
      <c r="C146" s="20" t="str">
        <f aca="false">IF($X146="","",INDEX('Per Line'!$C$2:$C$4001,$X146))</f>
        <v/>
      </c>
      <c r="D146" s="20" t="str">
        <f aca="false">IF($X146="","",INDEX('Per Line'!$A$2:$A$4001,$X146))</f>
        <v/>
      </c>
      <c r="E146" s="21" t="str">
        <f aca="false">IF($X146="","",INDEX('Per Line'!$F$2:$F$4001,$X146))</f>
        <v/>
      </c>
      <c r="F146" s="20" t="str">
        <f aca="false">IF($X146="","",INDEX('Per Line'!$G$2:$G$4001,$X146))</f>
        <v/>
      </c>
      <c r="G146" s="20" t="str">
        <f aca="false">IF($X146="","",INDEX('Per Line'!$I$2:$I$4001,$X146))</f>
        <v/>
      </c>
      <c r="H146" s="20" t="str">
        <f aca="false">IF($X146="","",INDEX('Per Line'!$J$2:$J$4001,$X146))</f>
        <v/>
      </c>
      <c r="I146" s="20" t="str">
        <f aca="false">IF($X146="","",INDEX('Per Line'!$K$2:$K$4001,$X146))</f>
        <v/>
      </c>
      <c r="J146" s="20" t="str">
        <f aca="false">IF($X146="","",INDEX('Per Line'!$L$2:$L$4001,$X146))</f>
        <v/>
      </c>
      <c r="K146" s="20" t="str">
        <f aca="false">IF($X146="","",INDEX('Per Line'!$M$2:$M$4001,$X146))</f>
        <v/>
      </c>
      <c r="L146" s="22" t="str">
        <f aca="false">IF($X146="","",K146*V146/100)</f>
        <v/>
      </c>
      <c r="M146" s="20" t="str">
        <f aca="false">IF($X146="","",INDEX('Per Line'!$Z$2:$Z$4001,$X146))</f>
        <v/>
      </c>
      <c r="N146" s="23" t="str">
        <f aca="false">IF($X146="","",Settings!$C$7)</f>
        <v/>
      </c>
      <c r="O146" s="22" t="str">
        <f aca="false">IF($X146="","",SUMIFS('Per Line'!$Y$2:$Y$4001,'Per Line'!$D$2:$D$4001,$B146,'Per Line'!$AJ$2:$AJ$4001,0))</f>
        <v/>
      </c>
      <c r="P146" s="22" t="str">
        <f aca="false">IF($X146="","",O146*N146)</f>
        <v/>
      </c>
      <c r="Q146" s="23" t="str">
        <f aca="false">IF($X146="","",Settings!$C$6)</f>
        <v/>
      </c>
      <c r="R146" s="22" t="str">
        <f aca="false">IF($X146="","",SUMIFS('Per Line'!$Y$2:$Y$4001,'Per Line'!$D$2:$D$4001,$B146,'Per Line'!$AJ$2:$AJ$4001,1))</f>
        <v/>
      </c>
      <c r="S146" s="22" t="str">
        <f aca="false">IF($X146="","",R146*Q146)</f>
        <v/>
      </c>
      <c r="T146" s="22" t="str">
        <f aca="false">IF($X146="","",S146+P146)</f>
        <v/>
      </c>
      <c r="U146" s="22" t="str">
        <f aca="false">IF($X146="","",V146-T146)</f>
        <v/>
      </c>
      <c r="V146" s="22" t="str">
        <f aca="false">IF($X146="","",O146+R146)</f>
        <v/>
      </c>
      <c r="W146" s="22" t="str">
        <f aca="false">IF($X146="","",U146-L146)</f>
        <v/>
      </c>
      <c r="X146" s="24" t="str">
        <f aca="false">IF(ROWS($X$2:$X146)&lt;=MAX('Per Line'!$AI$2:$AI$4001),MATCH(ROWS($X$2:$X146),'Per Line'!$AI$2:$AI$4001,0),"")</f>
        <v/>
      </c>
    </row>
    <row r="147" customFormat="false" ht="15" hidden="false" customHeight="false" outlineLevel="0" collapsed="false">
      <c r="A147" s="19"/>
      <c r="B147" s="20" t="str">
        <f aca="false">IF($X147="","",INDEX('Per Line'!$D$2:$D$4001,$X147))</f>
        <v/>
      </c>
      <c r="C147" s="20" t="str">
        <f aca="false">IF($X147="","",INDEX('Per Line'!$C$2:$C$4001,$X147))</f>
        <v/>
      </c>
      <c r="D147" s="20" t="str">
        <f aca="false">IF($X147="","",INDEX('Per Line'!$A$2:$A$4001,$X147))</f>
        <v/>
      </c>
      <c r="E147" s="21" t="str">
        <f aca="false">IF($X147="","",INDEX('Per Line'!$F$2:$F$4001,$X147))</f>
        <v/>
      </c>
      <c r="F147" s="20" t="str">
        <f aca="false">IF($X147="","",INDEX('Per Line'!$G$2:$G$4001,$X147))</f>
        <v/>
      </c>
      <c r="G147" s="20" t="str">
        <f aca="false">IF($X147="","",INDEX('Per Line'!$I$2:$I$4001,$X147))</f>
        <v/>
      </c>
      <c r="H147" s="20" t="str">
        <f aca="false">IF($X147="","",INDEX('Per Line'!$J$2:$J$4001,$X147))</f>
        <v/>
      </c>
      <c r="I147" s="20" t="str">
        <f aca="false">IF($X147="","",INDEX('Per Line'!$K$2:$K$4001,$X147))</f>
        <v/>
      </c>
      <c r="J147" s="20" t="str">
        <f aca="false">IF($X147="","",INDEX('Per Line'!$L$2:$L$4001,$X147))</f>
        <v/>
      </c>
      <c r="K147" s="20" t="str">
        <f aca="false">IF($X147="","",INDEX('Per Line'!$M$2:$M$4001,$X147))</f>
        <v/>
      </c>
      <c r="L147" s="22" t="str">
        <f aca="false">IF($X147="","",K147*V147/100)</f>
        <v/>
      </c>
      <c r="M147" s="20" t="str">
        <f aca="false">IF($X147="","",INDEX('Per Line'!$Z$2:$Z$4001,$X147))</f>
        <v/>
      </c>
      <c r="N147" s="23" t="str">
        <f aca="false">IF($X147="","",Settings!$C$7)</f>
        <v/>
      </c>
      <c r="O147" s="22" t="str">
        <f aca="false">IF($X147="","",SUMIFS('Per Line'!$Y$2:$Y$4001,'Per Line'!$D$2:$D$4001,$B147,'Per Line'!$AJ$2:$AJ$4001,0))</f>
        <v/>
      </c>
      <c r="P147" s="22" t="str">
        <f aca="false">IF($X147="","",O147*N147)</f>
        <v/>
      </c>
      <c r="Q147" s="23" t="str">
        <f aca="false">IF($X147="","",Settings!$C$6)</f>
        <v/>
      </c>
      <c r="R147" s="22" t="str">
        <f aca="false">IF($X147="","",SUMIFS('Per Line'!$Y$2:$Y$4001,'Per Line'!$D$2:$D$4001,$B147,'Per Line'!$AJ$2:$AJ$4001,1))</f>
        <v/>
      </c>
      <c r="S147" s="22" t="str">
        <f aca="false">IF($X147="","",R147*Q147)</f>
        <v/>
      </c>
      <c r="T147" s="22" t="str">
        <f aca="false">IF($X147="","",S147+P147)</f>
        <v/>
      </c>
      <c r="U147" s="22" t="str">
        <f aca="false">IF($X147="","",V147-T147)</f>
        <v/>
      </c>
      <c r="V147" s="22" t="str">
        <f aca="false">IF($X147="","",O147+R147)</f>
        <v/>
      </c>
      <c r="W147" s="22" t="str">
        <f aca="false">IF($X147="","",U147-L147)</f>
        <v/>
      </c>
      <c r="X147" s="24" t="str">
        <f aca="false">IF(ROWS($X$2:$X147)&lt;=MAX('Per Line'!$AI$2:$AI$4001),MATCH(ROWS($X$2:$X147),'Per Line'!$AI$2:$AI$4001,0),"")</f>
        <v/>
      </c>
    </row>
    <row r="148" customFormat="false" ht="15" hidden="false" customHeight="false" outlineLevel="0" collapsed="false">
      <c r="A148" s="19"/>
      <c r="B148" s="20" t="str">
        <f aca="false">IF($X148="","",INDEX('Per Line'!$D$2:$D$4001,$X148))</f>
        <v/>
      </c>
      <c r="C148" s="20" t="str">
        <f aca="false">IF($X148="","",INDEX('Per Line'!$C$2:$C$4001,$X148))</f>
        <v/>
      </c>
      <c r="D148" s="20" t="str">
        <f aca="false">IF($X148="","",INDEX('Per Line'!$A$2:$A$4001,$X148))</f>
        <v/>
      </c>
      <c r="E148" s="21" t="str">
        <f aca="false">IF($X148="","",INDEX('Per Line'!$F$2:$F$4001,$X148))</f>
        <v/>
      </c>
      <c r="F148" s="20" t="str">
        <f aca="false">IF($X148="","",INDEX('Per Line'!$G$2:$G$4001,$X148))</f>
        <v/>
      </c>
      <c r="G148" s="20" t="str">
        <f aca="false">IF($X148="","",INDEX('Per Line'!$I$2:$I$4001,$X148))</f>
        <v/>
      </c>
      <c r="H148" s="20" t="str">
        <f aca="false">IF($X148="","",INDEX('Per Line'!$J$2:$J$4001,$X148))</f>
        <v/>
      </c>
      <c r="I148" s="20" t="str">
        <f aca="false">IF($X148="","",INDEX('Per Line'!$K$2:$K$4001,$X148))</f>
        <v/>
      </c>
      <c r="J148" s="20" t="str">
        <f aca="false">IF($X148="","",INDEX('Per Line'!$L$2:$L$4001,$X148))</f>
        <v/>
      </c>
      <c r="K148" s="20" t="str">
        <f aca="false">IF($X148="","",INDEX('Per Line'!$M$2:$M$4001,$X148))</f>
        <v/>
      </c>
      <c r="L148" s="22" t="str">
        <f aca="false">IF($X148="","",K148*V148/100)</f>
        <v/>
      </c>
      <c r="M148" s="20" t="str">
        <f aca="false">IF($X148="","",INDEX('Per Line'!$Z$2:$Z$4001,$X148))</f>
        <v/>
      </c>
      <c r="N148" s="23" t="str">
        <f aca="false">IF($X148="","",Settings!$C$7)</f>
        <v/>
      </c>
      <c r="O148" s="22" t="str">
        <f aca="false">IF($X148="","",SUMIFS('Per Line'!$Y$2:$Y$4001,'Per Line'!$D$2:$D$4001,$B148,'Per Line'!$AJ$2:$AJ$4001,0))</f>
        <v/>
      </c>
      <c r="P148" s="22" t="str">
        <f aca="false">IF($X148="","",O148*N148)</f>
        <v/>
      </c>
      <c r="Q148" s="23" t="str">
        <f aca="false">IF($X148="","",Settings!$C$6)</f>
        <v/>
      </c>
      <c r="R148" s="22" t="str">
        <f aca="false">IF($X148="","",SUMIFS('Per Line'!$Y$2:$Y$4001,'Per Line'!$D$2:$D$4001,$B148,'Per Line'!$AJ$2:$AJ$4001,1))</f>
        <v/>
      </c>
      <c r="S148" s="22" t="str">
        <f aca="false">IF($X148="","",R148*Q148)</f>
        <v/>
      </c>
      <c r="T148" s="22" t="str">
        <f aca="false">IF($X148="","",S148+P148)</f>
        <v/>
      </c>
      <c r="U148" s="22" t="str">
        <f aca="false">IF($X148="","",V148-T148)</f>
        <v/>
      </c>
      <c r="V148" s="22" t="str">
        <f aca="false">IF($X148="","",O148+R148)</f>
        <v/>
      </c>
      <c r="W148" s="22" t="str">
        <f aca="false">IF($X148="","",U148-L148)</f>
        <v/>
      </c>
      <c r="X148" s="24" t="str">
        <f aca="false">IF(ROWS($X$2:$X148)&lt;=MAX('Per Line'!$AI$2:$AI$4001),MATCH(ROWS($X$2:$X148),'Per Line'!$AI$2:$AI$4001,0),"")</f>
        <v/>
      </c>
    </row>
    <row r="149" customFormat="false" ht="15" hidden="false" customHeight="false" outlineLevel="0" collapsed="false">
      <c r="A149" s="19"/>
      <c r="B149" s="20" t="str">
        <f aca="false">IF($X149="","",INDEX('Per Line'!$D$2:$D$4001,$X149))</f>
        <v/>
      </c>
      <c r="C149" s="20" t="str">
        <f aca="false">IF($X149="","",INDEX('Per Line'!$C$2:$C$4001,$X149))</f>
        <v/>
      </c>
      <c r="D149" s="20" t="str">
        <f aca="false">IF($X149="","",INDEX('Per Line'!$A$2:$A$4001,$X149))</f>
        <v/>
      </c>
      <c r="E149" s="21" t="str">
        <f aca="false">IF($X149="","",INDEX('Per Line'!$F$2:$F$4001,$X149))</f>
        <v/>
      </c>
      <c r="F149" s="20" t="str">
        <f aca="false">IF($X149="","",INDEX('Per Line'!$G$2:$G$4001,$X149))</f>
        <v/>
      </c>
      <c r="G149" s="20" t="str">
        <f aca="false">IF($X149="","",INDEX('Per Line'!$I$2:$I$4001,$X149))</f>
        <v/>
      </c>
      <c r="H149" s="20" t="str">
        <f aca="false">IF($X149="","",INDEX('Per Line'!$J$2:$J$4001,$X149))</f>
        <v/>
      </c>
      <c r="I149" s="20" t="str">
        <f aca="false">IF($X149="","",INDEX('Per Line'!$K$2:$K$4001,$X149))</f>
        <v/>
      </c>
      <c r="J149" s="20" t="str">
        <f aca="false">IF($X149="","",INDEX('Per Line'!$L$2:$L$4001,$X149))</f>
        <v/>
      </c>
      <c r="K149" s="20" t="str">
        <f aca="false">IF($X149="","",INDEX('Per Line'!$M$2:$M$4001,$X149))</f>
        <v/>
      </c>
      <c r="L149" s="22" t="str">
        <f aca="false">IF($X149="","",K149*V149/100)</f>
        <v/>
      </c>
      <c r="M149" s="20" t="str">
        <f aca="false">IF($X149="","",INDEX('Per Line'!$Z$2:$Z$4001,$X149))</f>
        <v/>
      </c>
      <c r="N149" s="23" t="str">
        <f aca="false">IF($X149="","",Settings!$C$7)</f>
        <v/>
      </c>
      <c r="O149" s="22" t="str">
        <f aca="false">IF($X149="","",SUMIFS('Per Line'!$Y$2:$Y$4001,'Per Line'!$D$2:$D$4001,$B149,'Per Line'!$AJ$2:$AJ$4001,0))</f>
        <v/>
      </c>
      <c r="P149" s="22" t="str">
        <f aca="false">IF($X149="","",O149*N149)</f>
        <v/>
      </c>
      <c r="Q149" s="23" t="str">
        <f aca="false">IF($X149="","",Settings!$C$6)</f>
        <v/>
      </c>
      <c r="R149" s="22" t="str">
        <f aca="false">IF($X149="","",SUMIFS('Per Line'!$Y$2:$Y$4001,'Per Line'!$D$2:$D$4001,$B149,'Per Line'!$AJ$2:$AJ$4001,1))</f>
        <v/>
      </c>
      <c r="S149" s="22" t="str">
        <f aca="false">IF($X149="","",R149*Q149)</f>
        <v/>
      </c>
      <c r="T149" s="22" t="str">
        <f aca="false">IF($X149="","",S149+P149)</f>
        <v/>
      </c>
      <c r="U149" s="22" t="str">
        <f aca="false">IF($X149="","",V149-T149)</f>
        <v/>
      </c>
      <c r="V149" s="22" t="str">
        <f aca="false">IF($X149="","",O149+R149)</f>
        <v/>
      </c>
      <c r="W149" s="22" t="str">
        <f aca="false">IF($X149="","",U149-L149)</f>
        <v/>
      </c>
      <c r="X149" s="24" t="str">
        <f aca="false">IF(ROWS($X$2:$X149)&lt;=MAX('Per Line'!$AI$2:$AI$4001),MATCH(ROWS($X$2:$X149),'Per Line'!$AI$2:$AI$4001,0),"")</f>
        <v/>
      </c>
    </row>
    <row r="150" customFormat="false" ht="15" hidden="false" customHeight="false" outlineLevel="0" collapsed="false">
      <c r="A150" s="19"/>
      <c r="B150" s="20" t="str">
        <f aca="false">IF($X150="","",INDEX('Per Line'!$D$2:$D$4001,$X150))</f>
        <v/>
      </c>
      <c r="C150" s="20" t="str">
        <f aca="false">IF($X150="","",INDEX('Per Line'!$C$2:$C$4001,$X150))</f>
        <v/>
      </c>
      <c r="D150" s="20" t="str">
        <f aca="false">IF($X150="","",INDEX('Per Line'!$A$2:$A$4001,$X150))</f>
        <v/>
      </c>
      <c r="E150" s="21" t="str">
        <f aca="false">IF($X150="","",INDEX('Per Line'!$F$2:$F$4001,$X150))</f>
        <v/>
      </c>
      <c r="F150" s="20" t="str">
        <f aca="false">IF($X150="","",INDEX('Per Line'!$G$2:$G$4001,$X150))</f>
        <v/>
      </c>
      <c r="G150" s="20" t="str">
        <f aca="false">IF($X150="","",INDEX('Per Line'!$I$2:$I$4001,$X150))</f>
        <v/>
      </c>
      <c r="H150" s="20" t="str">
        <f aca="false">IF($X150="","",INDEX('Per Line'!$J$2:$J$4001,$X150))</f>
        <v/>
      </c>
      <c r="I150" s="20" t="str">
        <f aca="false">IF($X150="","",INDEX('Per Line'!$K$2:$K$4001,$X150))</f>
        <v/>
      </c>
      <c r="J150" s="20" t="str">
        <f aca="false">IF($X150="","",INDEX('Per Line'!$L$2:$L$4001,$X150))</f>
        <v/>
      </c>
      <c r="K150" s="20" t="str">
        <f aca="false">IF($X150="","",INDEX('Per Line'!$M$2:$M$4001,$X150))</f>
        <v/>
      </c>
      <c r="L150" s="22" t="str">
        <f aca="false">IF($X150="","",K150*V150/100)</f>
        <v/>
      </c>
      <c r="M150" s="20" t="str">
        <f aca="false">IF($X150="","",INDEX('Per Line'!$Z$2:$Z$4001,$X150))</f>
        <v/>
      </c>
      <c r="N150" s="23" t="str">
        <f aca="false">IF($X150="","",Settings!$C$7)</f>
        <v/>
      </c>
      <c r="O150" s="22" t="str">
        <f aca="false">IF($X150="","",SUMIFS('Per Line'!$Y$2:$Y$4001,'Per Line'!$D$2:$D$4001,$B150,'Per Line'!$AJ$2:$AJ$4001,0))</f>
        <v/>
      </c>
      <c r="P150" s="22" t="str">
        <f aca="false">IF($X150="","",O150*N150)</f>
        <v/>
      </c>
      <c r="Q150" s="23" t="str">
        <f aca="false">IF($X150="","",Settings!$C$6)</f>
        <v/>
      </c>
      <c r="R150" s="22" t="str">
        <f aca="false">IF($X150="","",SUMIFS('Per Line'!$Y$2:$Y$4001,'Per Line'!$D$2:$D$4001,$B150,'Per Line'!$AJ$2:$AJ$4001,1))</f>
        <v/>
      </c>
      <c r="S150" s="22" t="str">
        <f aca="false">IF($X150="","",R150*Q150)</f>
        <v/>
      </c>
      <c r="T150" s="22" t="str">
        <f aca="false">IF($X150="","",S150+P150)</f>
        <v/>
      </c>
      <c r="U150" s="22" t="str">
        <f aca="false">IF($X150="","",V150-T150)</f>
        <v/>
      </c>
      <c r="V150" s="22" t="str">
        <f aca="false">IF($X150="","",O150+R150)</f>
        <v/>
      </c>
      <c r="W150" s="22" t="str">
        <f aca="false">IF($X150="","",U150-L150)</f>
        <v/>
      </c>
      <c r="X150" s="24" t="str">
        <f aca="false">IF(ROWS($X$2:$X150)&lt;=MAX('Per Line'!$AI$2:$AI$4001),MATCH(ROWS($X$2:$X150),'Per Line'!$AI$2:$AI$4001,0),"")</f>
        <v/>
      </c>
    </row>
    <row r="151" customFormat="false" ht="15" hidden="false" customHeight="false" outlineLevel="0" collapsed="false">
      <c r="A151" s="19"/>
      <c r="B151" s="20" t="str">
        <f aca="false">IF($X151="","",INDEX('Per Line'!$D$2:$D$4001,$X151))</f>
        <v/>
      </c>
      <c r="C151" s="20" t="str">
        <f aca="false">IF($X151="","",INDEX('Per Line'!$C$2:$C$4001,$X151))</f>
        <v/>
      </c>
      <c r="D151" s="20" t="str">
        <f aca="false">IF($X151="","",INDEX('Per Line'!$A$2:$A$4001,$X151))</f>
        <v/>
      </c>
      <c r="E151" s="21" t="str">
        <f aca="false">IF($X151="","",INDEX('Per Line'!$F$2:$F$4001,$X151))</f>
        <v/>
      </c>
      <c r="F151" s="20" t="str">
        <f aca="false">IF($X151="","",INDEX('Per Line'!$G$2:$G$4001,$X151))</f>
        <v/>
      </c>
      <c r="G151" s="20" t="str">
        <f aca="false">IF($X151="","",INDEX('Per Line'!$I$2:$I$4001,$X151))</f>
        <v/>
      </c>
      <c r="H151" s="20" t="str">
        <f aca="false">IF($X151="","",INDEX('Per Line'!$J$2:$J$4001,$X151))</f>
        <v/>
      </c>
      <c r="I151" s="20" t="str">
        <f aca="false">IF($X151="","",INDEX('Per Line'!$K$2:$K$4001,$X151))</f>
        <v/>
      </c>
      <c r="J151" s="20" t="str">
        <f aca="false">IF($X151="","",INDEX('Per Line'!$L$2:$L$4001,$X151))</f>
        <v/>
      </c>
      <c r="K151" s="20" t="str">
        <f aca="false">IF($X151="","",INDEX('Per Line'!$M$2:$M$4001,$X151))</f>
        <v/>
      </c>
      <c r="L151" s="22" t="str">
        <f aca="false">IF($X151="","",K151*V151/100)</f>
        <v/>
      </c>
      <c r="M151" s="20" t="str">
        <f aca="false">IF($X151="","",INDEX('Per Line'!$Z$2:$Z$4001,$X151))</f>
        <v/>
      </c>
      <c r="N151" s="23" t="str">
        <f aca="false">IF($X151="","",Settings!$C$7)</f>
        <v/>
      </c>
      <c r="O151" s="22" t="str">
        <f aca="false">IF($X151="","",SUMIFS('Per Line'!$Y$2:$Y$4001,'Per Line'!$D$2:$D$4001,$B151,'Per Line'!$AJ$2:$AJ$4001,0))</f>
        <v/>
      </c>
      <c r="P151" s="22" t="str">
        <f aca="false">IF($X151="","",O151*N151)</f>
        <v/>
      </c>
      <c r="Q151" s="23" t="str">
        <f aca="false">IF($X151="","",Settings!$C$6)</f>
        <v/>
      </c>
      <c r="R151" s="22" t="str">
        <f aca="false">IF($X151="","",SUMIFS('Per Line'!$Y$2:$Y$4001,'Per Line'!$D$2:$D$4001,$B151,'Per Line'!$AJ$2:$AJ$4001,1))</f>
        <v/>
      </c>
      <c r="S151" s="22" t="str">
        <f aca="false">IF($X151="","",R151*Q151)</f>
        <v/>
      </c>
      <c r="T151" s="22" t="str">
        <f aca="false">IF($X151="","",S151+P151)</f>
        <v/>
      </c>
      <c r="U151" s="22" t="str">
        <f aca="false">IF($X151="","",V151-T151)</f>
        <v/>
      </c>
      <c r="V151" s="22" t="str">
        <f aca="false">IF($X151="","",O151+R151)</f>
        <v/>
      </c>
      <c r="W151" s="22" t="str">
        <f aca="false">IF($X151="","",U151-L151)</f>
        <v/>
      </c>
      <c r="X151" s="24" t="str">
        <f aca="false">IF(ROWS($X$2:$X151)&lt;=MAX('Per Line'!$AI$2:$AI$4001),MATCH(ROWS($X$2:$X151),'Per Line'!$AI$2:$AI$4001,0),"")</f>
        <v/>
      </c>
    </row>
    <row r="152" customFormat="false" ht="15" hidden="false" customHeight="false" outlineLevel="0" collapsed="false">
      <c r="A152" s="19"/>
      <c r="B152" s="20" t="str">
        <f aca="false">IF($X152="","",INDEX('Per Line'!$D$2:$D$4001,$X152))</f>
        <v/>
      </c>
      <c r="C152" s="20" t="str">
        <f aca="false">IF($X152="","",INDEX('Per Line'!$C$2:$C$4001,$X152))</f>
        <v/>
      </c>
      <c r="D152" s="20" t="str">
        <f aca="false">IF($X152="","",INDEX('Per Line'!$A$2:$A$4001,$X152))</f>
        <v/>
      </c>
      <c r="E152" s="21" t="str">
        <f aca="false">IF($X152="","",INDEX('Per Line'!$F$2:$F$4001,$X152))</f>
        <v/>
      </c>
      <c r="F152" s="20" t="str">
        <f aca="false">IF($X152="","",INDEX('Per Line'!$G$2:$G$4001,$X152))</f>
        <v/>
      </c>
      <c r="G152" s="20" t="str">
        <f aca="false">IF($X152="","",INDEX('Per Line'!$I$2:$I$4001,$X152))</f>
        <v/>
      </c>
      <c r="H152" s="20" t="str">
        <f aca="false">IF($X152="","",INDEX('Per Line'!$J$2:$J$4001,$X152))</f>
        <v/>
      </c>
      <c r="I152" s="20" t="str">
        <f aca="false">IF($X152="","",INDEX('Per Line'!$K$2:$K$4001,$X152))</f>
        <v/>
      </c>
      <c r="J152" s="20" t="str">
        <f aca="false">IF($X152="","",INDEX('Per Line'!$L$2:$L$4001,$X152))</f>
        <v/>
      </c>
      <c r="K152" s="20" t="str">
        <f aca="false">IF($X152="","",INDEX('Per Line'!$M$2:$M$4001,$X152))</f>
        <v/>
      </c>
      <c r="L152" s="22" t="str">
        <f aca="false">IF($X152="","",K152*V152/100)</f>
        <v/>
      </c>
      <c r="M152" s="20" t="str">
        <f aca="false">IF($X152="","",INDEX('Per Line'!$Z$2:$Z$4001,$X152))</f>
        <v/>
      </c>
      <c r="N152" s="23" t="str">
        <f aca="false">IF($X152="","",Settings!$C$7)</f>
        <v/>
      </c>
      <c r="O152" s="22" t="str">
        <f aca="false">IF($X152="","",SUMIFS('Per Line'!$Y$2:$Y$4001,'Per Line'!$D$2:$D$4001,$B152,'Per Line'!$AJ$2:$AJ$4001,0))</f>
        <v/>
      </c>
      <c r="P152" s="22" t="str">
        <f aca="false">IF($X152="","",O152*N152)</f>
        <v/>
      </c>
      <c r="Q152" s="23" t="str">
        <f aca="false">IF($X152="","",Settings!$C$6)</f>
        <v/>
      </c>
      <c r="R152" s="22" t="str">
        <f aca="false">IF($X152="","",SUMIFS('Per Line'!$Y$2:$Y$4001,'Per Line'!$D$2:$D$4001,$B152,'Per Line'!$AJ$2:$AJ$4001,1))</f>
        <v/>
      </c>
      <c r="S152" s="22" t="str">
        <f aca="false">IF($X152="","",R152*Q152)</f>
        <v/>
      </c>
      <c r="T152" s="22" t="str">
        <f aca="false">IF($X152="","",S152+P152)</f>
        <v/>
      </c>
      <c r="U152" s="22" t="str">
        <f aca="false">IF($X152="","",V152-T152)</f>
        <v/>
      </c>
      <c r="V152" s="22" t="str">
        <f aca="false">IF($X152="","",O152+R152)</f>
        <v/>
      </c>
      <c r="W152" s="22" t="str">
        <f aca="false">IF($X152="","",U152-L152)</f>
        <v/>
      </c>
      <c r="X152" s="24" t="str">
        <f aca="false">IF(ROWS($X$2:$X152)&lt;=MAX('Per Line'!$AI$2:$AI$4001),MATCH(ROWS($X$2:$X152),'Per Line'!$AI$2:$AI$4001,0),"")</f>
        <v/>
      </c>
    </row>
    <row r="153" customFormat="false" ht="15" hidden="false" customHeight="false" outlineLevel="0" collapsed="false">
      <c r="A153" s="19"/>
      <c r="B153" s="20" t="str">
        <f aca="false">IF($X153="","",INDEX('Per Line'!$D$2:$D$4001,$X153))</f>
        <v/>
      </c>
      <c r="C153" s="20" t="str">
        <f aca="false">IF($X153="","",INDEX('Per Line'!$C$2:$C$4001,$X153))</f>
        <v/>
      </c>
      <c r="D153" s="20" t="str">
        <f aca="false">IF($X153="","",INDEX('Per Line'!$A$2:$A$4001,$X153))</f>
        <v/>
      </c>
      <c r="E153" s="21" t="str">
        <f aca="false">IF($X153="","",INDEX('Per Line'!$F$2:$F$4001,$X153))</f>
        <v/>
      </c>
      <c r="F153" s="20" t="str">
        <f aca="false">IF($X153="","",INDEX('Per Line'!$G$2:$G$4001,$X153))</f>
        <v/>
      </c>
      <c r="G153" s="20" t="str">
        <f aca="false">IF($X153="","",INDEX('Per Line'!$I$2:$I$4001,$X153))</f>
        <v/>
      </c>
      <c r="H153" s="20" t="str">
        <f aca="false">IF($X153="","",INDEX('Per Line'!$J$2:$J$4001,$X153))</f>
        <v/>
      </c>
      <c r="I153" s="20" t="str">
        <f aca="false">IF($X153="","",INDEX('Per Line'!$K$2:$K$4001,$X153))</f>
        <v/>
      </c>
      <c r="J153" s="20" t="str">
        <f aca="false">IF($X153="","",INDEX('Per Line'!$L$2:$L$4001,$X153))</f>
        <v/>
      </c>
      <c r="K153" s="20" t="str">
        <f aca="false">IF($X153="","",INDEX('Per Line'!$M$2:$M$4001,$X153))</f>
        <v/>
      </c>
      <c r="L153" s="22" t="str">
        <f aca="false">IF($X153="","",K153*V153/100)</f>
        <v/>
      </c>
      <c r="M153" s="20" t="str">
        <f aca="false">IF($X153="","",INDEX('Per Line'!$Z$2:$Z$4001,$X153))</f>
        <v/>
      </c>
      <c r="N153" s="23" t="str">
        <f aca="false">IF($X153="","",Settings!$C$7)</f>
        <v/>
      </c>
      <c r="O153" s="22" t="str">
        <f aca="false">IF($X153="","",SUMIFS('Per Line'!$Y$2:$Y$4001,'Per Line'!$D$2:$D$4001,$B153,'Per Line'!$AJ$2:$AJ$4001,0))</f>
        <v/>
      </c>
      <c r="P153" s="22" t="str">
        <f aca="false">IF($X153="","",O153*N153)</f>
        <v/>
      </c>
      <c r="Q153" s="23" t="str">
        <f aca="false">IF($X153="","",Settings!$C$6)</f>
        <v/>
      </c>
      <c r="R153" s="22" t="str">
        <f aca="false">IF($X153="","",SUMIFS('Per Line'!$Y$2:$Y$4001,'Per Line'!$D$2:$D$4001,$B153,'Per Line'!$AJ$2:$AJ$4001,1))</f>
        <v/>
      </c>
      <c r="S153" s="22" t="str">
        <f aca="false">IF($X153="","",R153*Q153)</f>
        <v/>
      </c>
      <c r="T153" s="22" t="str">
        <f aca="false">IF($X153="","",S153+P153)</f>
        <v/>
      </c>
      <c r="U153" s="22" t="str">
        <f aca="false">IF($X153="","",V153-T153)</f>
        <v/>
      </c>
      <c r="V153" s="22" t="str">
        <f aca="false">IF($X153="","",O153+R153)</f>
        <v/>
      </c>
      <c r="W153" s="22" t="str">
        <f aca="false">IF($X153="","",U153-L153)</f>
        <v/>
      </c>
      <c r="X153" s="24" t="str">
        <f aca="false">IF(ROWS($X$2:$X153)&lt;=MAX('Per Line'!$AI$2:$AI$4001),MATCH(ROWS($X$2:$X153),'Per Line'!$AI$2:$AI$4001,0),"")</f>
        <v/>
      </c>
    </row>
    <row r="154" customFormat="false" ht="15" hidden="false" customHeight="false" outlineLevel="0" collapsed="false">
      <c r="A154" s="19"/>
      <c r="B154" s="20" t="str">
        <f aca="false">IF($X154="","",INDEX('Per Line'!$D$2:$D$4001,$X154))</f>
        <v/>
      </c>
      <c r="C154" s="20" t="str">
        <f aca="false">IF($X154="","",INDEX('Per Line'!$C$2:$C$4001,$X154))</f>
        <v/>
      </c>
      <c r="D154" s="20" t="str">
        <f aca="false">IF($X154="","",INDEX('Per Line'!$A$2:$A$4001,$X154))</f>
        <v/>
      </c>
      <c r="E154" s="21" t="str">
        <f aca="false">IF($X154="","",INDEX('Per Line'!$F$2:$F$4001,$X154))</f>
        <v/>
      </c>
      <c r="F154" s="20" t="str">
        <f aca="false">IF($X154="","",INDEX('Per Line'!$G$2:$G$4001,$X154))</f>
        <v/>
      </c>
      <c r="G154" s="20" t="str">
        <f aca="false">IF($X154="","",INDEX('Per Line'!$I$2:$I$4001,$X154))</f>
        <v/>
      </c>
      <c r="H154" s="20" t="str">
        <f aca="false">IF($X154="","",INDEX('Per Line'!$J$2:$J$4001,$X154))</f>
        <v/>
      </c>
      <c r="I154" s="20" t="str">
        <f aca="false">IF($X154="","",INDEX('Per Line'!$K$2:$K$4001,$X154))</f>
        <v/>
      </c>
      <c r="J154" s="20" t="str">
        <f aca="false">IF($X154="","",INDEX('Per Line'!$L$2:$L$4001,$X154))</f>
        <v/>
      </c>
      <c r="K154" s="20" t="str">
        <f aca="false">IF($X154="","",INDEX('Per Line'!$M$2:$M$4001,$X154))</f>
        <v/>
      </c>
      <c r="L154" s="22" t="str">
        <f aca="false">IF($X154="","",K154*V154/100)</f>
        <v/>
      </c>
      <c r="M154" s="20" t="str">
        <f aca="false">IF($X154="","",INDEX('Per Line'!$Z$2:$Z$4001,$X154))</f>
        <v/>
      </c>
      <c r="N154" s="23" t="str">
        <f aca="false">IF($X154="","",Settings!$C$7)</f>
        <v/>
      </c>
      <c r="O154" s="22" t="str">
        <f aca="false">IF($X154="","",SUMIFS('Per Line'!$Y$2:$Y$4001,'Per Line'!$D$2:$D$4001,$B154,'Per Line'!$AJ$2:$AJ$4001,0))</f>
        <v/>
      </c>
      <c r="P154" s="22" t="str">
        <f aca="false">IF($X154="","",O154*N154)</f>
        <v/>
      </c>
      <c r="Q154" s="23" t="str">
        <f aca="false">IF($X154="","",Settings!$C$6)</f>
        <v/>
      </c>
      <c r="R154" s="22" t="str">
        <f aca="false">IF($X154="","",SUMIFS('Per Line'!$Y$2:$Y$4001,'Per Line'!$D$2:$D$4001,$B154,'Per Line'!$AJ$2:$AJ$4001,1))</f>
        <v/>
      </c>
      <c r="S154" s="22" t="str">
        <f aca="false">IF($X154="","",R154*Q154)</f>
        <v/>
      </c>
      <c r="T154" s="22" t="str">
        <f aca="false">IF($X154="","",S154+P154)</f>
        <v/>
      </c>
      <c r="U154" s="22" t="str">
        <f aca="false">IF($X154="","",V154-T154)</f>
        <v/>
      </c>
      <c r="V154" s="22" t="str">
        <f aca="false">IF($X154="","",O154+R154)</f>
        <v/>
      </c>
      <c r="W154" s="22" t="str">
        <f aca="false">IF($X154="","",U154-L154)</f>
        <v/>
      </c>
      <c r="X154" s="24" t="str">
        <f aca="false">IF(ROWS($X$2:$X154)&lt;=MAX('Per Line'!$AI$2:$AI$4001),MATCH(ROWS($X$2:$X154),'Per Line'!$AI$2:$AI$4001,0),"")</f>
        <v/>
      </c>
    </row>
    <row r="155" customFormat="false" ht="15" hidden="false" customHeight="false" outlineLevel="0" collapsed="false">
      <c r="A155" s="19"/>
      <c r="B155" s="20" t="str">
        <f aca="false">IF($X155="","",INDEX('Per Line'!$D$2:$D$4001,$X155))</f>
        <v/>
      </c>
      <c r="C155" s="20" t="str">
        <f aca="false">IF($X155="","",INDEX('Per Line'!$C$2:$C$4001,$X155))</f>
        <v/>
      </c>
      <c r="D155" s="20" t="str">
        <f aca="false">IF($X155="","",INDEX('Per Line'!$A$2:$A$4001,$X155))</f>
        <v/>
      </c>
      <c r="E155" s="21" t="str">
        <f aca="false">IF($X155="","",INDEX('Per Line'!$F$2:$F$4001,$X155))</f>
        <v/>
      </c>
      <c r="F155" s="20" t="str">
        <f aca="false">IF($X155="","",INDEX('Per Line'!$G$2:$G$4001,$X155))</f>
        <v/>
      </c>
      <c r="G155" s="20" t="str">
        <f aca="false">IF($X155="","",INDEX('Per Line'!$I$2:$I$4001,$X155))</f>
        <v/>
      </c>
      <c r="H155" s="20" t="str">
        <f aca="false">IF($X155="","",INDEX('Per Line'!$J$2:$J$4001,$X155))</f>
        <v/>
      </c>
      <c r="I155" s="20" t="str">
        <f aca="false">IF($X155="","",INDEX('Per Line'!$K$2:$K$4001,$X155))</f>
        <v/>
      </c>
      <c r="J155" s="20" t="str">
        <f aca="false">IF($X155="","",INDEX('Per Line'!$L$2:$L$4001,$X155))</f>
        <v/>
      </c>
      <c r="K155" s="20" t="str">
        <f aca="false">IF($X155="","",INDEX('Per Line'!$M$2:$M$4001,$X155))</f>
        <v/>
      </c>
      <c r="L155" s="22" t="str">
        <f aca="false">IF($X155="","",K155*V155/100)</f>
        <v/>
      </c>
      <c r="M155" s="20" t="str">
        <f aca="false">IF($X155="","",INDEX('Per Line'!$Z$2:$Z$4001,$X155))</f>
        <v/>
      </c>
      <c r="N155" s="23" t="str">
        <f aca="false">IF($X155="","",Settings!$C$7)</f>
        <v/>
      </c>
      <c r="O155" s="22" t="str">
        <f aca="false">IF($X155="","",SUMIFS('Per Line'!$Y$2:$Y$4001,'Per Line'!$D$2:$D$4001,$B155,'Per Line'!$AJ$2:$AJ$4001,0))</f>
        <v/>
      </c>
      <c r="P155" s="22" t="str">
        <f aca="false">IF($X155="","",O155*N155)</f>
        <v/>
      </c>
      <c r="Q155" s="23" t="str">
        <f aca="false">IF($X155="","",Settings!$C$6)</f>
        <v/>
      </c>
      <c r="R155" s="22" t="str">
        <f aca="false">IF($X155="","",SUMIFS('Per Line'!$Y$2:$Y$4001,'Per Line'!$D$2:$D$4001,$B155,'Per Line'!$AJ$2:$AJ$4001,1))</f>
        <v/>
      </c>
      <c r="S155" s="22" t="str">
        <f aca="false">IF($X155="","",R155*Q155)</f>
        <v/>
      </c>
      <c r="T155" s="22" t="str">
        <f aca="false">IF($X155="","",S155+P155)</f>
        <v/>
      </c>
      <c r="U155" s="22" t="str">
        <f aca="false">IF($X155="","",V155-T155)</f>
        <v/>
      </c>
      <c r="V155" s="22" t="str">
        <f aca="false">IF($X155="","",O155+R155)</f>
        <v/>
      </c>
      <c r="W155" s="22" t="str">
        <f aca="false">IF($X155="","",U155-L155)</f>
        <v/>
      </c>
      <c r="X155" s="24" t="str">
        <f aca="false">IF(ROWS($X$2:$X155)&lt;=MAX('Per Line'!$AI$2:$AI$4001),MATCH(ROWS($X$2:$X155),'Per Line'!$AI$2:$AI$4001,0),"")</f>
        <v/>
      </c>
    </row>
    <row r="156" customFormat="false" ht="15" hidden="false" customHeight="false" outlineLevel="0" collapsed="false">
      <c r="A156" s="19"/>
      <c r="B156" s="20" t="str">
        <f aca="false">IF($X156="","",INDEX('Per Line'!$D$2:$D$4001,$X156))</f>
        <v/>
      </c>
      <c r="C156" s="20" t="str">
        <f aca="false">IF($X156="","",INDEX('Per Line'!$C$2:$C$4001,$X156))</f>
        <v/>
      </c>
      <c r="D156" s="20" t="str">
        <f aca="false">IF($X156="","",INDEX('Per Line'!$A$2:$A$4001,$X156))</f>
        <v/>
      </c>
      <c r="E156" s="21" t="str">
        <f aca="false">IF($X156="","",INDEX('Per Line'!$F$2:$F$4001,$X156))</f>
        <v/>
      </c>
      <c r="F156" s="20" t="str">
        <f aca="false">IF($X156="","",INDEX('Per Line'!$G$2:$G$4001,$X156))</f>
        <v/>
      </c>
      <c r="G156" s="20" t="str">
        <f aca="false">IF($X156="","",INDEX('Per Line'!$I$2:$I$4001,$X156))</f>
        <v/>
      </c>
      <c r="H156" s="20" t="str">
        <f aca="false">IF($X156="","",INDEX('Per Line'!$J$2:$J$4001,$X156))</f>
        <v/>
      </c>
      <c r="I156" s="20" t="str">
        <f aca="false">IF($X156="","",INDEX('Per Line'!$K$2:$K$4001,$X156))</f>
        <v/>
      </c>
      <c r="J156" s="20" t="str">
        <f aca="false">IF($X156="","",INDEX('Per Line'!$L$2:$L$4001,$X156))</f>
        <v/>
      </c>
      <c r="K156" s="20" t="str">
        <f aca="false">IF($X156="","",INDEX('Per Line'!$M$2:$M$4001,$X156))</f>
        <v/>
      </c>
      <c r="L156" s="22" t="str">
        <f aca="false">IF($X156="","",K156*V156/100)</f>
        <v/>
      </c>
      <c r="M156" s="20" t="str">
        <f aca="false">IF($X156="","",INDEX('Per Line'!$Z$2:$Z$4001,$X156))</f>
        <v/>
      </c>
      <c r="N156" s="23" t="str">
        <f aca="false">IF($X156="","",Settings!$C$7)</f>
        <v/>
      </c>
      <c r="O156" s="22" t="str">
        <f aca="false">IF($X156="","",SUMIFS('Per Line'!$Y$2:$Y$4001,'Per Line'!$D$2:$D$4001,$B156,'Per Line'!$AJ$2:$AJ$4001,0))</f>
        <v/>
      </c>
      <c r="P156" s="22" t="str">
        <f aca="false">IF($X156="","",O156*N156)</f>
        <v/>
      </c>
      <c r="Q156" s="23" t="str">
        <f aca="false">IF($X156="","",Settings!$C$6)</f>
        <v/>
      </c>
      <c r="R156" s="22" t="str">
        <f aca="false">IF($X156="","",SUMIFS('Per Line'!$Y$2:$Y$4001,'Per Line'!$D$2:$D$4001,$B156,'Per Line'!$AJ$2:$AJ$4001,1))</f>
        <v/>
      </c>
      <c r="S156" s="22" t="str">
        <f aca="false">IF($X156="","",R156*Q156)</f>
        <v/>
      </c>
      <c r="T156" s="22" t="str">
        <f aca="false">IF($X156="","",S156+P156)</f>
        <v/>
      </c>
      <c r="U156" s="22" t="str">
        <f aca="false">IF($X156="","",V156-T156)</f>
        <v/>
      </c>
      <c r="V156" s="22" t="str">
        <f aca="false">IF($X156="","",O156+R156)</f>
        <v/>
      </c>
      <c r="W156" s="22" t="str">
        <f aca="false">IF($X156="","",U156-L156)</f>
        <v/>
      </c>
      <c r="X156" s="24" t="str">
        <f aca="false">IF(ROWS($X$2:$X156)&lt;=MAX('Per Line'!$AI$2:$AI$4001),MATCH(ROWS($X$2:$X156),'Per Line'!$AI$2:$AI$4001,0),"")</f>
        <v/>
      </c>
    </row>
    <row r="157" customFormat="false" ht="15" hidden="false" customHeight="false" outlineLevel="0" collapsed="false">
      <c r="A157" s="19"/>
      <c r="B157" s="20" t="str">
        <f aca="false">IF($X157="","",INDEX('Per Line'!$D$2:$D$4001,$X157))</f>
        <v/>
      </c>
      <c r="C157" s="20" t="str">
        <f aca="false">IF($X157="","",INDEX('Per Line'!$C$2:$C$4001,$X157))</f>
        <v/>
      </c>
      <c r="D157" s="20" t="str">
        <f aca="false">IF($X157="","",INDEX('Per Line'!$A$2:$A$4001,$X157))</f>
        <v/>
      </c>
      <c r="E157" s="21" t="str">
        <f aca="false">IF($X157="","",INDEX('Per Line'!$F$2:$F$4001,$X157))</f>
        <v/>
      </c>
      <c r="F157" s="20" t="str">
        <f aca="false">IF($X157="","",INDEX('Per Line'!$G$2:$G$4001,$X157))</f>
        <v/>
      </c>
      <c r="G157" s="20" t="str">
        <f aca="false">IF($X157="","",INDEX('Per Line'!$I$2:$I$4001,$X157))</f>
        <v/>
      </c>
      <c r="H157" s="20" t="str">
        <f aca="false">IF($X157="","",INDEX('Per Line'!$J$2:$J$4001,$X157))</f>
        <v/>
      </c>
      <c r="I157" s="20" t="str">
        <f aca="false">IF($X157="","",INDEX('Per Line'!$K$2:$K$4001,$X157))</f>
        <v/>
      </c>
      <c r="J157" s="20" t="str">
        <f aca="false">IF($X157="","",INDEX('Per Line'!$L$2:$L$4001,$X157))</f>
        <v/>
      </c>
      <c r="K157" s="20" t="str">
        <f aca="false">IF($X157="","",INDEX('Per Line'!$M$2:$M$4001,$X157))</f>
        <v/>
      </c>
      <c r="L157" s="22" t="str">
        <f aca="false">IF($X157="","",K157*V157/100)</f>
        <v/>
      </c>
      <c r="M157" s="20" t="str">
        <f aca="false">IF($X157="","",INDEX('Per Line'!$Z$2:$Z$4001,$X157))</f>
        <v/>
      </c>
      <c r="N157" s="23" t="str">
        <f aca="false">IF($X157="","",Settings!$C$7)</f>
        <v/>
      </c>
      <c r="O157" s="22" t="str">
        <f aca="false">IF($X157="","",SUMIFS('Per Line'!$Y$2:$Y$4001,'Per Line'!$D$2:$D$4001,$B157,'Per Line'!$AJ$2:$AJ$4001,0))</f>
        <v/>
      </c>
      <c r="P157" s="22" t="str">
        <f aca="false">IF($X157="","",O157*N157)</f>
        <v/>
      </c>
      <c r="Q157" s="23" t="str">
        <f aca="false">IF($X157="","",Settings!$C$6)</f>
        <v/>
      </c>
      <c r="R157" s="22" t="str">
        <f aca="false">IF($X157="","",SUMIFS('Per Line'!$Y$2:$Y$4001,'Per Line'!$D$2:$D$4001,$B157,'Per Line'!$AJ$2:$AJ$4001,1))</f>
        <v/>
      </c>
      <c r="S157" s="22" t="str">
        <f aca="false">IF($X157="","",R157*Q157)</f>
        <v/>
      </c>
      <c r="T157" s="22" t="str">
        <f aca="false">IF($X157="","",S157+P157)</f>
        <v/>
      </c>
      <c r="U157" s="22" t="str">
        <f aca="false">IF($X157="","",V157-T157)</f>
        <v/>
      </c>
      <c r="V157" s="22" t="str">
        <f aca="false">IF($X157="","",O157+R157)</f>
        <v/>
      </c>
      <c r="W157" s="22" t="str">
        <f aca="false">IF($X157="","",U157-L157)</f>
        <v/>
      </c>
      <c r="X157" s="24" t="str">
        <f aca="false">IF(ROWS($X$2:$X157)&lt;=MAX('Per Line'!$AI$2:$AI$4001),MATCH(ROWS($X$2:$X157),'Per Line'!$AI$2:$AI$4001,0),"")</f>
        <v/>
      </c>
    </row>
    <row r="158" customFormat="false" ht="15" hidden="false" customHeight="false" outlineLevel="0" collapsed="false">
      <c r="A158" s="19"/>
      <c r="B158" s="20" t="str">
        <f aca="false">IF($X158="","",INDEX('Per Line'!$D$2:$D$4001,$X158))</f>
        <v/>
      </c>
      <c r="C158" s="20" t="str">
        <f aca="false">IF($X158="","",INDEX('Per Line'!$C$2:$C$4001,$X158))</f>
        <v/>
      </c>
      <c r="D158" s="20" t="str">
        <f aca="false">IF($X158="","",INDEX('Per Line'!$A$2:$A$4001,$X158))</f>
        <v/>
      </c>
      <c r="E158" s="21" t="str">
        <f aca="false">IF($X158="","",INDEX('Per Line'!$F$2:$F$4001,$X158))</f>
        <v/>
      </c>
      <c r="F158" s="20" t="str">
        <f aca="false">IF($X158="","",INDEX('Per Line'!$G$2:$G$4001,$X158))</f>
        <v/>
      </c>
      <c r="G158" s="20" t="str">
        <f aca="false">IF($X158="","",INDEX('Per Line'!$I$2:$I$4001,$X158))</f>
        <v/>
      </c>
      <c r="H158" s="20" t="str">
        <f aca="false">IF($X158="","",INDEX('Per Line'!$J$2:$J$4001,$X158))</f>
        <v/>
      </c>
      <c r="I158" s="20" t="str">
        <f aca="false">IF($X158="","",INDEX('Per Line'!$K$2:$K$4001,$X158))</f>
        <v/>
      </c>
      <c r="J158" s="20" t="str">
        <f aca="false">IF($X158="","",INDEX('Per Line'!$L$2:$L$4001,$X158))</f>
        <v/>
      </c>
      <c r="K158" s="20" t="str">
        <f aca="false">IF($X158="","",INDEX('Per Line'!$M$2:$M$4001,$X158))</f>
        <v/>
      </c>
      <c r="L158" s="22" t="str">
        <f aca="false">IF($X158="","",K158*V158/100)</f>
        <v/>
      </c>
      <c r="M158" s="20" t="str">
        <f aca="false">IF($X158="","",INDEX('Per Line'!$Z$2:$Z$4001,$X158))</f>
        <v/>
      </c>
      <c r="N158" s="23" t="str">
        <f aca="false">IF($X158="","",Settings!$C$7)</f>
        <v/>
      </c>
      <c r="O158" s="22" t="str">
        <f aca="false">IF($X158="","",SUMIFS('Per Line'!$Y$2:$Y$4001,'Per Line'!$D$2:$D$4001,$B158,'Per Line'!$AJ$2:$AJ$4001,0))</f>
        <v/>
      </c>
      <c r="P158" s="22" t="str">
        <f aca="false">IF($X158="","",O158*N158)</f>
        <v/>
      </c>
      <c r="Q158" s="23" t="str">
        <f aca="false">IF($X158="","",Settings!$C$6)</f>
        <v/>
      </c>
      <c r="R158" s="22" t="str">
        <f aca="false">IF($X158="","",SUMIFS('Per Line'!$Y$2:$Y$4001,'Per Line'!$D$2:$D$4001,$B158,'Per Line'!$AJ$2:$AJ$4001,1))</f>
        <v/>
      </c>
      <c r="S158" s="22" t="str">
        <f aca="false">IF($X158="","",R158*Q158)</f>
        <v/>
      </c>
      <c r="T158" s="22" t="str">
        <f aca="false">IF($X158="","",S158+P158)</f>
        <v/>
      </c>
      <c r="U158" s="22" t="str">
        <f aca="false">IF($X158="","",V158-T158)</f>
        <v/>
      </c>
      <c r="V158" s="22" t="str">
        <f aca="false">IF($X158="","",O158+R158)</f>
        <v/>
      </c>
      <c r="W158" s="22" t="str">
        <f aca="false">IF($X158="","",U158-L158)</f>
        <v/>
      </c>
      <c r="X158" s="24" t="str">
        <f aca="false">IF(ROWS($X$2:$X158)&lt;=MAX('Per Line'!$AI$2:$AI$4001),MATCH(ROWS($X$2:$X158),'Per Line'!$AI$2:$AI$4001,0),"")</f>
        <v/>
      </c>
    </row>
    <row r="159" customFormat="false" ht="15" hidden="false" customHeight="false" outlineLevel="0" collapsed="false">
      <c r="A159" s="19"/>
      <c r="B159" s="20" t="str">
        <f aca="false">IF($X159="","",INDEX('Per Line'!$D$2:$D$4001,$X159))</f>
        <v/>
      </c>
      <c r="C159" s="20" t="str">
        <f aca="false">IF($X159="","",INDEX('Per Line'!$C$2:$C$4001,$X159))</f>
        <v/>
      </c>
      <c r="D159" s="20" t="str">
        <f aca="false">IF($X159="","",INDEX('Per Line'!$A$2:$A$4001,$X159))</f>
        <v/>
      </c>
      <c r="E159" s="21" t="str">
        <f aca="false">IF($X159="","",INDEX('Per Line'!$F$2:$F$4001,$X159))</f>
        <v/>
      </c>
      <c r="F159" s="20" t="str">
        <f aca="false">IF($X159="","",INDEX('Per Line'!$G$2:$G$4001,$X159))</f>
        <v/>
      </c>
      <c r="G159" s="20" t="str">
        <f aca="false">IF($X159="","",INDEX('Per Line'!$I$2:$I$4001,$X159))</f>
        <v/>
      </c>
      <c r="H159" s="20" t="str">
        <f aca="false">IF($X159="","",INDEX('Per Line'!$J$2:$J$4001,$X159))</f>
        <v/>
      </c>
      <c r="I159" s="20" t="str">
        <f aca="false">IF($X159="","",INDEX('Per Line'!$K$2:$K$4001,$X159))</f>
        <v/>
      </c>
      <c r="J159" s="20" t="str">
        <f aca="false">IF($X159="","",INDEX('Per Line'!$L$2:$L$4001,$X159))</f>
        <v/>
      </c>
      <c r="K159" s="20" t="str">
        <f aca="false">IF($X159="","",INDEX('Per Line'!$M$2:$M$4001,$X159))</f>
        <v/>
      </c>
      <c r="L159" s="22" t="str">
        <f aca="false">IF($X159="","",K159*V159/100)</f>
        <v/>
      </c>
      <c r="M159" s="20" t="str">
        <f aca="false">IF($X159="","",INDEX('Per Line'!$Z$2:$Z$4001,$X159))</f>
        <v/>
      </c>
      <c r="N159" s="23" t="str">
        <f aca="false">IF($X159="","",Settings!$C$7)</f>
        <v/>
      </c>
      <c r="O159" s="22" t="str">
        <f aca="false">IF($X159="","",SUMIFS('Per Line'!$Y$2:$Y$4001,'Per Line'!$D$2:$D$4001,$B159,'Per Line'!$AJ$2:$AJ$4001,0))</f>
        <v/>
      </c>
      <c r="P159" s="22" t="str">
        <f aca="false">IF($X159="","",O159*N159)</f>
        <v/>
      </c>
      <c r="Q159" s="23" t="str">
        <f aca="false">IF($X159="","",Settings!$C$6)</f>
        <v/>
      </c>
      <c r="R159" s="22" t="str">
        <f aca="false">IF($X159="","",SUMIFS('Per Line'!$Y$2:$Y$4001,'Per Line'!$D$2:$D$4001,$B159,'Per Line'!$AJ$2:$AJ$4001,1))</f>
        <v/>
      </c>
      <c r="S159" s="22" t="str">
        <f aca="false">IF($X159="","",R159*Q159)</f>
        <v/>
      </c>
      <c r="T159" s="22" t="str">
        <f aca="false">IF($X159="","",S159+P159)</f>
        <v/>
      </c>
      <c r="U159" s="22" t="str">
        <f aca="false">IF($X159="","",V159-T159)</f>
        <v/>
      </c>
      <c r="V159" s="22" t="str">
        <f aca="false">IF($X159="","",O159+R159)</f>
        <v/>
      </c>
      <c r="W159" s="22" t="str">
        <f aca="false">IF($X159="","",U159-L159)</f>
        <v/>
      </c>
      <c r="X159" s="24" t="str">
        <f aca="false">IF(ROWS($X$2:$X159)&lt;=MAX('Per Line'!$AI$2:$AI$4001),MATCH(ROWS($X$2:$X159),'Per Line'!$AI$2:$AI$4001,0),"")</f>
        <v/>
      </c>
    </row>
    <row r="160" customFormat="false" ht="15" hidden="false" customHeight="false" outlineLevel="0" collapsed="false">
      <c r="A160" s="19"/>
      <c r="B160" s="20" t="str">
        <f aca="false">IF($X160="","",INDEX('Per Line'!$D$2:$D$4001,$X160))</f>
        <v/>
      </c>
      <c r="C160" s="20" t="str">
        <f aca="false">IF($X160="","",INDEX('Per Line'!$C$2:$C$4001,$X160))</f>
        <v/>
      </c>
      <c r="D160" s="20" t="str">
        <f aca="false">IF($X160="","",INDEX('Per Line'!$A$2:$A$4001,$X160))</f>
        <v/>
      </c>
      <c r="E160" s="21" t="str">
        <f aca="false">IF($X160="","",INDEX('Per Line'!$F$2:$F$4001,$X160))</f>
        <v/>
      </c>
      <c r="F160" s="20" t="str">
        <f aca="false">IF($X160="","",INDEX('Per Line'!$G$2:$G$4001,$X160))</f>
        <v/>
      </c>
      <c r="G160" s="20" t="str">
        <f aca="false">IF($X160="","",INDEX('Per Line'!$I$2:$I$4001,$X160))</f>
        <v/>
      </c>
      <c r="H160" s="20" t="str">
        <f aca="false">IF($X160="","",INDEX('Per Line'!$J$2:$J$4001,$X160))</f>
        <v/>
      </c>
      <c r="I160" s="20" t="str">
        <f aca="false">IF($X160="","",INDEX('Per Line'!$K$2:$K$4001,$X160))</f>
        <v/>
      </c>
      <c r="J160" s="20" t="str">
        <f aca="false">IF($X160="","",INDEX('Per Line'!$L$2:$L$4001,$X160))</f>
        <v/>
      </c>
      <c r="K160" s="20" t="str">
        <f aca="false">IF($X160="","",INDEX('Per Line'!$M$2:$M$4001,$X160))</f>
        <v/>
      </c>
      <c r="L160" s="22" t="str">
        <f aca="false">IF($X160="","",K160*V160/100)</f>
        <v/>
      </c>
      <c r="M160" s="20" t="str">
        <f aca="false">IF($X160="","",INDEX('Per Line'!$Z$2:$Z$4001,$X160))</f>
        <v/>
      </c>
      <c r="N160" s="23" t="str">
        <f aca="false">IF($X160="","",Settings!$C$7)</f>
        <v/>
      </c>
      <c r="O160" s="22" t="str">
        <f aca="false">IF($X160="","",SUMIFS('Per Line'!$Y$2:$Y$4001,'Per Line'!$D$2:$D$4001,$B160,'Per Line'!$AJ$2:$AJ$4001,0))</f>
        <v/>
      </c>
      <c r="P160" s="22" t="str">
        <f aca="false">IF($X160="","",O160*N160)</f>
        <v/>
      </c>
      <c r="Q160" s="23" t="str">
        <f aca="false">IF($X160="","",Settings!$C$6)</f>
        <v/>
      </c>
      <c r="R160" s="22" t="str">
        <f aca="false">IF($X160="","",SUMIFS('Per Line'!$Y$2:$Y$4001,'Per Line'!$D$2:$D$4001,$B160,'Per Line'!$AJ$2:$AJ$4001,1))</f>
        <v/>
      </c>
      <c r="S160" s="22" t="str">
        <f aca="false">IF($X160="","",R160*Q160)</f>
        <v/>
      </c>
      <c r="T160" s="22" t="str">
        <f aca="false">IF($X160="","",S160+P160)</f>
        <v/>
      </c>
      <c r="U160" s="22" t="str">
        <f aca="false">IF($X160="","",V160-T160)</f>
        <v/>
      </c>
      <c r="V160" s="22" t="str">
        <f aca="false">IF($X160="","",O160+R160)</f>
        <v/>
      </c>
      <c r="W160" s="22" t="str">
        <f aca="false">IF($X160="","",U160-L160)</f>
        <v/>
      </c>
      <c r="X160" s="24" t="str">
        <f aca="false">IF(ROWS($X$2:$X160)&lt;=MAX('Per Line'!$AI$2:$AI$4001),MATCH(ROWS($X$2:$X160),'Per Line'!$AI$2:$AI$4001,0),"")</f>
        <v/>
      </c>
    </row>
    <row r="161" customFormat="false" ht="15" hidden="false" customHeight="false" outlineLevel="0" collapsed="false">
      <c r="A161" s="19"/>
      <c r="B161" s="20" t="str">
        <f aca="false">IF($X161="","",INDEX('Per Line'!$D$2:$D$4001,$X161))</f>
        <v/>
      </c>
      <c r="C161" s="20" t="str">
        <f aca="false">IF($X161="","",INDEX('Per Line'!$C$2:$C$4001,$X161))</f>
        <v/>
      </c>
      <c r="D161" s="20" t="str">
        <f aca="false">IF($X161="","",INDEX('Per Line'!$A$2:$A$4001,$X161))</f>
        <v/>
      </c>
      <c r="E161" s="21" t="str">
        <f aca="false">IF($X161="","",INDEX('Per Line'!$F$2:$F$4001,$X161))</f>
        <v/>
      </c>
      <c r="F161" s="20" t="str">
        <f aca="false">IF($X161="","",INDEX('Per Line'!$G$2:$G$4001,$X161))</f>
        <v/>
      </c>
      <c r="G161" s="20" t="str">
        <f aca="false">IF($X161="","",INDEX('Per Line'!$I$2:$I$4001,$X161))</f>
        <v/>
      </c>
      <c r="H161" s="20" t="str">
        <f aca="false">IF($X161="","",INDEX('Per Line'!$J$2:$J$4001,$X161))</f>
        <v/>
      </c>
      <c r="I161" s="20" t="str">
        <f aca="false">IF($X161="","",INDEX('Per Line'!$K$2:$K$4001,$X161))</f>
        <v/>
      </c>
      <c r="J161" s="20" t="str">
        <f aca="false">IF($X161="","",INDEX('Per Line'!$L$2:$L$4001,$X161))</f>
        <v/>
      </c>
      <c r="K161" s="20" t="str">
        <f aca="false">IF($X161="","",INDEX('Per Line'!$M$2:$M$4001,$X161))</f>
        <v/>
      </c>
      <c r="L161" s="22" t="str">
        <f aca="false">IF($X161="","",K161*V161/100)</f>
        <v/>
      </c>
      <c r="M161" s="20" t="str">
        <f aca="false">IF($X161="","",INDEX('Per Line'!$Z$2:$Z$4001,$X161))</f>
        <v/>
      </c>
      <c r="N161" s="23" t="str">
        <f aca="false">IF($X161="","",Settings!$C$7)</f>
        <v/>
      </c>
      <c r="O161" s="22" t="str">
        <f aca="false">IF($X161="","",SUMIFS('Per Line'!$Y$2:$Y$4001,'Per Line'!$D$2:$D$4001,$B161,'Per Line'!$AJ$2:$AJ$4001,0))</f>
        <v/>
      </c>
      <c r="P161" s="22" t="str">
        <f aca="false">IF($X161="","",O161*N161)</f>
        <v/>
      </c>
      <c r="Q161" s="23" t="str">
        <f aca="false">IF($X161="","",Settings!$C$6)</f>
        <v/>
      </c>
      <c r="R161" s="22" t="str">
        <f aca="false">IF($X161="","",SUMIFS('Per Line'!$Y$2:$Y$4001,'Per Line'!$D$2:$D$4001,$B161,'Per Line'!$AJ$2:$AJ$4001,1))</f>
        <v/>
      </c>
      <c r="S161" s="22" t="str">
        <f aca="false">IF($X161="","",R161*Q161)</f>
        <v/>
      </c>
      <c r="T161" s="22" t="str">
        <f aca="false">IF($X161="","",S161+P161)</f>
        <v/>
      </c>
      <c r="U161" s="22" t="str">
        <f aca="false">IF($X161="","",V161-T161)</f>
        <v/>
      </c>
      <c r="V161" s="22" t="str">
        <f aca="false">IF($X161="","",O161+R161)</f>
        <v/>
      </c>
      <c r="W161" s="22" t="str">
        <f aca="false">IF($X161="","",U161-L161)</f>
        <v/>
      </c>
      <c r="X161" s="24" t="str">
        <f aca="false">IF(ROWS($X$2:$X161)&lt;=MAX('Per Line'!$AI$2:$AI$4001),MATCH(ROWS($X$2:$X161),'Per Line'!$AI$2:$AI$4001,0),"")</f>
        <v/>
      </c>
    </row>
    <row r="162" customFormat="false" ht="15" hidden="false" customHeight="false" outlineLevel="0" collapsed="false">
      <c r="A162" s="19"/>
      <c r="B162" s="20" t="str">
        <f aca="false">IF($X162="","",INDEX('Per Line'!$D$2:$D$4001,$X162))</f>
        <v/>
      </c>
      <c r="C162" s="20" t="str">
        <f aca="false">IF($X162="","",INDEX('Per Line'!$C$2:$C$4001,$X162))</f>
        <v/>
      </c>
      <c r="D162" s="20" t="str">
        <f aca="false">IF($X162="","",INDEX('Per Line'!$A$2:$A$4001,$X162))</f>
        <v/>
      </c>
      <c r="E162" s="21" t="str">
        <f aca="false">IF($X162="","",INDEX('Per Line'!$F$2:$F$4001,$X162))</f>
        <v/>
      </c>
      <c r="F162" s="20" t="str">
        <f aca="false">IF($X162="","",INDEX('Per Line'!$G$2:$G$4001,$X162))</f>
        <v/>
      </c>
      <c r="G162" s="20" t="str">
        <f aca="false">IF($X162="","",INDEX('Per Line'!$I$2:$I$4001,$X162))</f>
        <v/>
      </c>
      <c r="H162" s="20" t="str">
        <f aca="false">IF($X162="","",INDEX('Per Line'!$J$2:$J$4001,$X162))</f>
        <v/>
      </c>
      <c r="I162" s="20" t="str">
        <f aca="false">IF($X162="","",INDEX('Per Line'!$K$2:$K$4001,$X162))</f>
        <v/>
      </c>
      <c r="J162" s="20" t="str">
        <f aca="false">IF($X162="","",INDEX('Per Line'!$L$2:$L$4001,$X162))</f>
        <v/>
      </c>
      <c r="K162" s="20" t="str">
        <f aca="false">IF($X162="","",INDEX('Per Line'!$M$2:$M$4001,$X162))</f>
        <v/>
      </c>
      <c r="L162" s="22" t="str">
        <f aca="false">IF($X162="","",K162*V162/100)</f>
        <v/>
      </c>
      <c r="M162" s="20" t="str">
        <f aca="false">IF($X162="","",INDEX('Per Line'!$Z$2:$Z$4001,$X162))</f>
        <v/>
      </c>
      <c r="N162" s="23" t="str">
        <f aca="false">IF($X162="","",Settings!$C$7)</f>
        <v/>
      </c>
      <c r="O162" s="22" t="str">
        <f aca="false">IF($X162="","",SUMIFS('Per Line'!$Y$2:$Y$4001,'Per Line'!$D$2:$D$4001,$B162,'Per Line'!$AJ$2:$AJ$4001,0))</f>
        <v/>
      </c>
      <c r="P162" s="22" t="str">
        <f aca="false">IF($X162="","",O162*N162)</f>
        <v/>
      </c>
      <c r="Q162" s="23" t="str">
        <f aca="false">IF($X162="","",Settings!$C$6)</f>
        <v/>
      </c>
      <c r="R162" s="22" t="str">
        <f aca="false">IF($X162="","",SUMIFS('Per Line'!$Y$2:$Y$4001,'Per Line'!$D$2:$D$4001,$B162,'Per Line'!$AJ$2:$AJ$4001,1))</f>
        <v/>
      </c>
      <c r="S162" s="22" t="str">
        <f aca="false">IF($X162="","",R162*Q162)</f>
        <v/>
      </c>
      <c r="T162" s="22" t="str">
        <f aca="false">IF($X162="","",S162+P162)</f>
        <v/>
      </c>
      <c r="U162" s="22" t="str">
        <f aca="false">IF($X162="","",V162-T162)</f>
        <v/>
      </c>
      <c r="V162" s="22" t="str">
        <f aca="false">IF($X162="","",O162+R162)</f>
        <v/>
      </c>
      <c r="W162" s="22" t="str">
        <f aca="false">IF($X162="","",U162-L162)</f>
        <v/>
      </c>
      <c r="X162" s="24" t="str">
        <f aca="false">IF(ROWS($X$2:$X162)&lt;=MAX('Per Line'!$AI$2:$AI$4001),MATCH(ROWS($X$2:$X162),'Per Line'!$AI$2:$AI$4001,0),"")</f>
        <v/>
      </c>
    </row>
    <row r="163" customFormat="false" ht="15" hidden="false" customHeight="false" outlineLevel="0" collapsed="false">
      <c r="A163" s="19"/>
      <c r="B163" s="20" t="str">
        <f aca="false">IF($X163="","",INDEX('Per Line'!$D$2:$D$4001,$X163))</f>
        <v/>
      </c>
      <c r="C163" s="20" t="str">
        <f aca="false">IF($X163="","",INDEX('Per Line'!$C$2:$C$4001,$X163))</f>
        <v/>
      </c>
      <c r="D163" s="20" t="str">
        <f aca="false">IF($X163="","",INDEX('Per Line'!$A$2:$A$4001,$X163))</f>
        <v/>
      </c>
      <c r="E163" s="21" t="str">
        <f aca="false">IF($X163="","",INDEX('Per Line'!$F$2:$F$4001,$X163))</f>
        <v/>
      </c>
      <c r="F163" s="20" t="str">
        <f aca="false">IF($X163="","",INDEX('Per Line'!$G$2:$G$4001,$X163))</f>
        <v/>
      </c>
      <c r="G163" s="20" t="str">
        <f aca="false">IF($X163="","",INDEX('Per Line'!$I$2:$I$4001,$X163))</f>
        <v/>
      </c>
      <c r="H163" s="20" t="str">
        <f aca="false">IF($X163="","",INDEX('Per Line'!$J$2:$J$4001,$X163))</f>
        <v/>
      </c>
      <c r="I163" s="20" t="str">
        <f aca="false">IF($X163="","",INDEX('Per Line'!$K$2:$K$4001,$X163))</f>
        <v/>
      </c>
      <c r="J163" s="20" t="str">
        <f aca="false">IF($X163="","",INDEX('Per Line'!$L$2:$L$4001,$X163))</f>
        <v/>
      </c>
      <c r="K163" s="20" t="str">
        <f aca="false">IF($X163="","",INDEX('Per Line'!$M$2:$M$4001,$X163))</f>
        <v/>
      </c>
      <c r="L163" s="22" t="str">
        <f aca="false">IF($X163="","",K163*V163/100)</f>
        <v/>
      </c>
      <c r="M163" s="20" t="str">
        <f aca="false">IF($X163="","",INDEX('Per Line'!$Z$2:$Z$4001,$X163))</f>
        <v/>
      </c>
      <c r="N163" s="23" t="str">
        <f aca="false">IF($X163="","",Settings!$C$7)</f>
        <v/>
      </c>
      <c r="O163" s="22" t="str">
        <f aca="false">IF($X163="","",SUMIFS('Per Line'!$Y$2:$Y$4001,'Per Line'!$D$2:$D$4001,$B163,'Per Line'!$AJ$2:$AJ$4001,0))</f>
        <v/>
      </c>
      <c r="P163" s="22" t="str">
        <f aca="false">IF($X163="","",O163*N163)</f>
        <v/>
      </c>
      <c r="Q163" s="23" t="str">
        <f aca="false">IF($X163="","",Settings!$C$6)</f>
        <v/>
      </c>
      <c r="R163" s="22" t="str">
        <f aca="false">IF($X163="","",SUMIFS('Per Line'!$Y$2:$Y$4001,'Per Line'!$D$2:$D$4001,$B163,'Per Line'!$AJ$2:$AJ$4001,1))</f>
        <v/>
      </c>
      <c r="S163" s="22" t="str">
        <f aca="false">IF($X163="","",R163*Q163)</f>
        <v/>
      </c>
      <c r="T163" s="22" t="str">
        <f aca="false">IF($X163="","",S163+P163)</f>
        <v/>
      </c>
      <c r="U163" s="22" t="str">
        <f aca="false">IF($X163="","",V163-T163)</f>
        <v/>
      </c>
      <c r="V163" s="22" t="str">
        <f aca="false">IF($X163="","",O163+R163)</f>
        <v/>
      </c>
      <c r="W163" s="22" t="str">
        <f aca="false">IF($X163="","",U163-L163)</f>
        <v/>
      </c>
      <c r="X163" s="24" t="str">
        <f aca="false">IF(ROWS($X$2:$X163)&lt;=MAX('Per Line'!$AI$2:$AI$4001),MATCH(ROWS($X$2:$X163),'Per Line'!$AI$2:$AI$4001,0),"")</f>
        <v/>
      </c>
    </row>
    <row r="164" customFormat="false" ht="15" hidden="false" customHeight="false" outlineLevel="0" collapsed="false">
      <c r="A164" s="19"/>
      <c r="B164" s="20" t="str">
        <f aca="false">IF($X164="","",INDEX('Per Line'!$D$2:$D$4001,$X164))</f>
        <v/>
      </c>
      <c r="C164" s="20" t="str">
        <f aca="false">IF($X164="","",INDEX('Per Line'!$C$2:$C$4001,$X164))</f>
        <v/>
      </c>
      <c r="D164" s="20" t="str">
        <f aca="false">IF($X164="","",INDEX('Per Line'!$A$2:$A$4001,$X164))</f>
        <v/>
      </c>
      <c r="E164" s="21" t="str">
        <f aca="false">IF($X164="","",INDEX('Per Line'!$F$2:$F$4001,$X164))</f>
        <v/>
      </c>
      <c r="F164" s="20" t="str">
        <f aca="false">IF($X164="","",INDEX('Per Line'!$G$2:$G$4001,$X164))</f>
        <v/>
      </c>
      <c r="G164" s="20" t="str">
        <f aca="false">IF($X164="","",INDEX('Per Line'!$I$2:$I$4001,$X164))</f>
        <v/>
      </c>
      <c r="H164" s="20" t="str">
        <f aca="false">IF($X164="","",INDEX('Per Line'!$J$2:$J$4001,$X164))</f>
        <v/>
      </c>
      <c r="I164" s="20" t="str">
        <f aca="false">IF($X164="","",INDEX('Per Line'!$K$2:$K$4001,$X164))</f>
        <v/>
      </c>
      <c r="J164" s="20" t="str">
        <f aca="false">IF($X164="","",INDEX('Per Line'!$L$2:$L$4001,$X164))</f>
        <v/>
      </c>
      <c r="K164" s="20" t="str">
        <f aca="false">IF($X164="","",INDEX('Per Line'!$M$2:$M$4001,$X164))</f>
        <v/>
      </c>
      <c r="L164" s="22" t="str">
        <f aca="false">IF($X164="","",K164*V164/100)</f>
        <v/>
      </c>
      <c r="M164" s="20" t="str">
        <f aca="false">IF($X164="","",INDEX('Per Line'!$Z$2:$Z$4001,$X164))</f>
        <v/>
      </c>
      <c r="N164" s="23" t="str">
        <f aca="false">IF($X164="","",Settings!$C$7)</f>
        <v/>
      </c>
      <c r="O164" s="22" t="str">
        <f aca="false">IF($X164="","",SUMIFS('Per Line'!$Y$2:$Y$4001,'Per Line'!$D$2:$D$4001,$B164,'Per Line'!$AJ$2:$AJ$4001,0))</f>
        <v/>
      </c>
      <c r="P164" s="22" t="str">
        <f aca="false">IF($X164="","",O164*N164)</f>
        <v/>
      </c>
      <c r="Q164" s="23" t="str">
        <f aca="false">IF($X164="","",Settings!$C$6)</f>
        <v/>
      </c>
      <c r="R164" s="22" t="str">
        <f aca="false">IF($X164="","",SUMIFS('Per Line'!$Y$2:$Y$4001,'Per Line'!$D$2:$D$4001,$B164,'Per Line'!$AJ$2:$AJ$4001,1))</f>
        <v/>
      </c>
      <c r="S164" s="22" t="str">
        <f aca="false">IF($X164="","",R164*Q164)</f>
        <v/>
      </c>
      <c r="T164" s="22" t="str">
        <f aca="false">IF($X164="","",S164+P164)</f>
        <v/>
      </c>
      <c r="U164" s="22" t="str">
        <f aca="false">IF($X164="","",V164-T164)</f>
        <v/>
      </c>
      <c r="V164" s="22" t="str">
        <f aca="false">IF($X164="","",O164+R164)</f>
        <v/>
      </c>
      <c r="W164" s="22" t="str">
        <f aca="false">IF($X164="","",U164-L164)</f>
        <v/>
      </c>
      <c r="X164" s="24" t="str">
        <f aca="false">IF(ROWS($X$2:$X164)&lt;=MAX('Per Line'!$AI$2:$AI$4001),MATCH(ROWS($X$2:$X164),'Per Line'!$AI$2:$AI$4001,0),"")</f>
        <v/>
      </c>
    </row>
    <row r="165" customFormat="false" ht="15" hidden="false" customHeight="false" outlineLevel="0" collapsed="false">
      <c r="A165" s="19"/>
      <c r="B165" s="20" t="str">
        <f aca="false">IF($X165="","",INDEX('Per Line'!$D$2:$D$4001,$X165))</f>
        <v/>
      </c>
      <c r="C165" s="20" t="str">
        <f aca="false">IF($X165="","",INDEX('Per Line'!$C$2:$C$4001,$X165))</f>
        <v/>
      </c>
      <c r="D165" s="20" t="str">
        <f aca="false">IF($X165="","",INDEX('Per Line'!$A$2:$A$4001,$X165))</f>
        <v/>
      </c>
      <c r="E165" s="21" t="str">
        <f aca="false">IF($X165="","",INDEX('Per Line'!$F$2:$F$4001,$X165))</f>
        <v/>
      </c>
      <c r="F165" s="20" t="str">
        <f aca="false">IF($X165="","",INDEX('Per Line'!$G$2:$G$4001,$X165))</f>
        <v/>
      </c>
      <c r="G165" s="20" t="str">
        <f aca="false">IF($X165="","",INDEX('Per Line'!$I$2:$I$4001,$X165))</f>
        <v/>
      </c>
      <c r="H165" s="20" t="str">
        <f aca="false">IF($X165="","",INDEX('Per Line'!$J$2:$J$4001,$X165))</f>
        <v/>
      </c>
      <c r="I165" s="20" t="str">
        <f aca="false">IF($X165="","",INDEX('Per Line'!$K$2:$K$4001,$X165))</f>
        <v/>
      </c>
      <c r="J165" s="20" t="str">
        <f aca="false">IF($X165="","",INDEX('Per Line'!$L$2:$L$4001,$X165))</f>
        <v/>
      </c>
      <c r="K165" s="20" t="str">
        <f aca="false">IF($X165="","",INDEX('Per Line'!$M$2:$M$4001,$X165))</f>
        <v/>
      </c>
      <c r="L165" s="22" t="str">
        <f aca="false">IF($X165="","",K165*V165/100)</f>
        <v/>
      </c>
      <c r="M165" s="20" t="str">
        <f aca="false">IF($X165="","",INDEX('Per Line'!$Z$2:$Z$4001,$X165))</f>
        <v/>
      </c>
      <c r="N165" s="23" t="str">
        <f aca="false">IF($X165="","",Settings!$C$7)</f>
        <v/>
      </c>
      <c r="O165" s="22" t="str">
        <f aca="false">IF($X165="","",SUMIFS('Per Line'!$Y$2:$Y$4001,'Per Line'!$D$2:$D$4001,$B165,'Per Line'!$AJ$2:$AJ$4001,0))</f>
        <v/>
      </c>
      <c r="P165" s="22" t="str">
        <f aca="false">IF($X165="","",O165*N165)</f>
        <v/>
      </c>
      <c r="Q165" s="23" t="str">
        <f aca="false">IF($X165="","",Settings!$C$6)</f>
        <v/>
      </c>
      <c r="R165" s="22" t="str">
        <f aca="false">IF($X165="","",SUMIFS('Per Line'!$Y$2:$Y$4001,'Per Line'!$D$2:$D$4001,$B165,'Per Line'!$AJ$2:$AJ$4001,1))</f>
        <v/>
      </c>
      <c r="S165" s="22" t="str">
        <f aca="false">IF($X165="","",R165*Q165)</f>
        <v/>
      </c>
      <c r="T165" s="22" t="str">
        <f aca="false">IF($X165="","",S165+P165)</f>
        <v/>
      </c>
      <c r="U165" s="22" t="str">
        <f aca="false">IF($X165="","",V165-T165)</f>
        <v/>
      </c>
      <c r="V165" s="22" t="str">
        <f aca="false">IF($X165="","",O165+R165)</f>
        <v/>
      </c>
      <c r="W165" s="22" t="str">
        <f aca="false">IF($X165="","",U165-L165)</f>
        <v/>
      </c>
      <c r="X165" s="24" t="str">
        <f aca="false">IF(ROWS($X$2:$X165)&lt;=MAX('Per Line'!$AI$2:$AI$4001),MATCH(ROWS($X$2:$X165),'Per Line'!$AI$2:$AI$4001,0),"")</f>
        <v/>
      </c>
    </row>
    <row r="166" customFormat="false" ht="15" hidden="false" customHeight="false" outlineLevel="0" collapsed="false">
      <c r="A166" s="19"/>
      <c r="B166" s="20" t="str">
        <f aca="false">IF($X166="","",INDEX('Per Line'!$D$2:$D$4001,$X166))</f>
        <v/>
      </c>
      <c r="C166" s="20" t="str">
        <f aca="false">IF($X166="","",INDEX('Per Line'!$C$2:$C$4001,$X166))</f>
        <v/>
      </c>
      <c r="D166" s="20" t="str">
        <f aca="false">IF($X166="","",INDEX('Per Line'!$A$2:$A$4001,$X166))</f>
        <v/>
      </c>
      <c r="E166" s="21" t="str">
        <f aca="false">IF($X166="","",INDEX('Per Line'!$F$2:$F$4001,$X166))</f>
        <v/>
      </c>
      <c r="F166" s="20" t="str">
        <f aca="false">IF($X166="","",INDEX('Per Line'!$G$2:$G$4001,$X166))</f>
        <v/>
      </c>
      <c r="G166" s="20" t="str">
        <f aca="false">IF($X166="","",INDEX('Per Line'!$I$2:$I$4001,$X166))</f>
        <v/>
      </c>
      <c r="H166" s="20" t="str">
        <f aca="false">IF($X166="","",INDEX('Per Line'!$J$2:$J$4001,$X166))</f>
        <v/>
      </c>
      <c r="I166" s="20" t="str">
        <f aca="false">IF($X166="","",INDEX('Per Line'!$K$2:$K$4001,$X166))</f>
        <v/>
      </c>
      <c r="J166" s="20" t="str">
        <f aca="false">IF($X166="","",INDEX('Per Line'!$L$2:$L$4001,$X166))</f>
        <v/>
      </c>
      <c r="K166" s="20" t="str">
        <f aca="false">IF($X166="","",INDEX('Per Line'!$M$2:$M$4001,$X166))</f>
        <v/>
      </c>
      <c r="L166" s="22" t="str">
        <f aca="false">IF($X166="","",K166*V166/100)</f>
        <v/>
      </c>
      <c r="M166" s="20" t="str">
        <f aca="false">IF($X166="","",INDEX('Per Line'!$Z$2:$Z$4001,$X166))</f>
        <v/>
      </c>
      <c r="N166" s="23" t="str">
        <f aca="false">IF($X166="","",Settings!$C$7)</f>
        <v/>
      </c>
      <c r="O166" s="22" t="str">
        <f aca="false">IF($X166="","",SUMIFS('Per Line'!$Y$2:$Y$4001,'Per Line'!$D$2:$D$4001,$B166,'Per Line'!$AJ$2:$AJ$4001,0))</f>
        <v/>
      </c>
      <c r="P166" s="22" t="str">
        <f aca="false">IF($X166="","",O166*N166)</f>
        <v/>
      </c>
      <c r="Q166" s="23" t="str">
        <f aca="false">IF($X166="","",Settings!$C$6)</f>
        <v/>
      </c>
      <c r="R166" s="22" t="str">
        <f aca="false">IF($X166="","",SUMIFS('Per Line'!$Y$2:$Y$4001,'Per Line'!$D$2:$D$4001,$B166,'Per Line'!$AJ$2:$AJ$4001,1))</f>
        <v/>
      </c>
      <c r="S166" s="22" t="str">
        <f aca="false">IF($X166="","",R166*Q166)</f>
        <v/>
      </c>
      <c r="T166" s="22" t="str">
        <f aca="false">IF($X166="","",S166+P166)</f>
        <v/>
      </c>
      <c r="U166" s="22" t="str">
        <f aca="false">IF($X166="","",V166-T166)</f>
        <v/>
      </c>
      <c r="V166" s="22" t="str">
        <f aca="false">IF($X166="","",O166+R166)</f>
        <v/>
      </c>
      <c r="W166" s="22" t="str">
        <f aca="false">IF($X166="","",U166-L166)</f>
        <v/>
      </c>
      <c r="X166" s="24" t="str">
        <f aca="false">IF(ROWS($X$2:$X166)&lt;=MAX('Per Line'!$AI$2:$AI$4001),MATCH(ROWS($X$2:$X166),'Per Line'!$AI$2:$AI$4001,0),"")</f>
        <v/>
      </c>
    </row>
    <row r="167" customFormat="false" ht="15" hidden="false" customHeight="false" outlineLevel="0" collapsed="false">
      <c r="A167" s="19"/>
      <c r="B167" s="20" t="str">
        <f aca="false">IF($X167="","",INDEX('Per Line'!$D$2:$D$4001,$X167))</f>
        <v/>
      </c>
      <c r="C167" s="20" t="str">
        <f aca="false">IF($X167="","",INDEX('Per Line'!$C$2:$C$4001,$X167))</f>
        <v/>
      </c>
      <c r="D167" s="20" t="str">
        <f aca="false">IF($X167="","",INDEX('Per Line'!$A$2:$A$4001,$X167))</f>
        <v/>
      </c>
      <c r="E167" s="21" t="str">
        <f aca="false">IF($X167="","",INDEX('Per Line'!$F$2:$F$4001,$X167))</f>
        <v/>
      </c>
      <c r="F167" s="20" t="str">
        <f aca="false">IF($X167="","",INDEX('Per Line'!$G$2:$G$4001,$X167))</f>
        <v/>
      </c>
      <c r="G167" s="20" t="str">
        <f aca="false">IF($X167="","",INDEX('Per Line'!$I$2:$I$4001,$X167))</f>
        <v/>
      </c>
      <c r="H167" s="20" t="str">
        <f aca="false">IF($X167="","",INDEX('Per Line'!$J$2:$J$4001,$X167))</f>
        <v/>
      </c>
      <c r="I167" s="20" t="str">
        <f aca="false">IF($X167="","",INDEX('Per Line'!$K$2:$K$4001,$X167))</f>
        <v/>
      </c>
      <c r="J167" s="20" t="str">
        <f aca="false">IF($X167="","",INDEX('Per Line'!$L$2:$L$4001,$X167))</f>
        <v/>
      </c>
      <c r="K167" s="20" t="str">
        <f aca="false">IF($X167="","",INDEX('Per Line'!$M$2:$M$4001,$X167))</f>
        <v/>
      </c>
      <c r="L167" s="22" t="str">
        <f aca="false">IF($X167="","",K167*V167/100)</f>
        <v/>
      </c>
      <c r="M167" s="20" t="str">
        <f aca="false">IF($X167="","",INDEX('Per Line'!$Z$2:$Z$4001,$X167))</f>
        <v/>
      </c>
      <c r="N167" s="23" t="str">
        <f aca="false">IF($X167="","",Settings!$C$7)</f>
        <v/>
      </c>
      <c r="O167" s="22" t="str">
        <f aca="false">IF($X167="","",SUMIFS('Per Line'!$Y$2:$Y$4001,'Per Line'!$D$2:$D$4001,$B167,'Per Line'!$AJ$2:$AJ$4001,0))</f>
        <v/>
      </c>
      <c r="P167" s="22" t="str">
        <f aca="false">IF($X167="","",O167*N167)</f>
        <v/>
      </c>
      <c r="Q167" s="23" t="str">
        <f aca="false">IF($X167="","",Settings!$C$6)</f>
        <v/>
      </c>
      <c r="R167" s="22" t="str">
        <f aca="false">IF($X167="","",SUMIFS('Per Line'!$Y$2:$Y$4001,'Per Line'!$D$2:$D$4001,$B167,'Per Line'!$AJ$2:$AJ$4001,1))</f>
        <v/>
      </c>
      <c r="S167" s="22" t="str">
        <f aca="false">IF($X167="","",R167*Q167)</f>
        <v/>
      </c>
      <c r="T167" s="22" t="str">
        <f aca="false">IF($X167="","",S167+P167)</f>
        <v/>
      </c>
      <c r="U167" s="22" t="str">
        <f aca="false">IF($X167="","",V167-T167)</f>
        <v/>
      </c>
      <c r="V167" s="22" t="str">
        <f aca="false">IF($X167="","",O167+R167)</f>
        <v/>
      </c>
      <c r="W167" s="22" t="str">
        <f aca="false">IF($X167="","",U167-L167)</f>
        <v/>
      </c>
      <c r="X167" s="24" t="str">
        <f aca="false">IF(ROWS($X$2:$X167)&lt;=MAX('Per Line'!$AI$2:$AI$4001),MATCH(ROWS($X$2:$X167),'Per Line'!$AI$2:$AI$4001,0),"")</f>
        <v/>
      </c>
    </row>
    <row r="168" customFormat="false" ht="15" hidden="false" customHeight="false" outlineLevel="0" collapsed="false">
      <c r="A168" s="19"/>
      <c r="B168" s="20" t="str">
        <f aca="false">IF($X168="","",INDEX('Per Line'!$D$2:$D$4001,$X168))</f>
        <v/>
      </c>
      <c r="C168" s="20" t="str">
        <f aca="false">IF($X168="","",INDEX('Per Line'!$C$2:$C$4001,$X168))</f>
        <v/>
      </c>
      <c r="D168" s="20" t="str">
        <f aca="false">IF($X168="","",INDEX('Per Line'!$A$2:$A$4001,$X168))</f>
        <v/>
      </c>
      <c r="E168" s="21" t="str">
        <f aca="false">IF($X168="","",INDEX('Per Line'!$F$2:$F$4001,$X168))</f>
        <v/>
      </c>
      <c r="F168" s="20" t="str">
        <f aca="false">IF($X168="","",INDEX('Per Line'!$G$2:$G$4001,$X168))</f>
        <v/>
      </c>
      <c r="G168" s="20" t="str">
        <f aca="false">IF($X168="","",INDEX('Per Line'!$I$2:$I$4001,$X168))</f>
        <v/>
      </c>
      <c r="H168" s="20" t="str">
        <f aca="false">IF($X168="","",INDEX('Per Line'!$J$2:$J$4001,$X168))</f>
        <v/>
      </c>
      <c r="I168" s="20" t="str">
        <f aca="false">IF($X168="","",INDEX('Per Line'!$K$2:$K$4001,$X168))</f>
        <v/>
      </c>
      <c r="J168" s="20" t="str">
        <f aca="false">IF($X168="","",INDEX('Per Line'!$L$2:$L$4001,$X168))</f>
        <v/>
      </c>
      <c r="K168" s="20" t="str">
        <f aca="false">IF($X168="","",INDEX('Per Line'!$M$2:$M$4001,$X168))</f>
        <v/>
      </c>
      <c r="L168" s="22" t="str">
        <f aca="false">IF($X168="","",K168*V168/100)</f>
        <v/>
      </c>
      <c r="M168" s="20" t="str">
        <f aca="false">IF($X168="","",INDEX('Per Line'!$Z$2:$Z$4001,$X168))</f>
        <v/>
      </c>
      <c r="N168" s="23" t="str">
        <f aca="false">IF($X168="","",Settings!$C$7)</f>
        <v/>
      </c>
      <c r="O168" s="22" t="str">
        <f aca="false">IF($X168="","",SUMIFS('Per Line'!$Y$2:$Y$4001,'Per Line'!$D$2:$D$4001,$B168,'Per Line'!$AJ$2:$AJ$4001,0))</f>
        <v/>
      </c>
      <c r="P168" s="22" t="str">
        <f aca="false">IF($X168="","",O168*N168)</f>
        <v/>
      </c>
      <c r="Q168" s="23" t="str">
        <f aca="false">IF($X168="","",Settings!$C$6)</f>
        <v/>
      </c>
      <c r="R168" s="22" t="str">
        <f aca="false">IF($X168="","",SUMIFS('Per Line'!$Y$2:$Y$4001,'Per Line'!$D$2:$D$4001,$B168,'Per Line'!$AJ$2:$AJ$4001,1))</f>
        <v/>
      </c>
      <c r="S168" s="22" t="str">
        <f aca="false">IF($X168="","",R168*Q168)</f>
        <v/>
      </c>
      <c r="T168" s="22" t="str">
        <f aca="false">IF($X168="","",S168+P168)</f>
        <v/>
      </c>
      <c r="U168" s="22" t="str">
        <f aca="false">IF($X168="","",V168-T168)</f>
        <v/>
      </c>
      <c r="V168" s="22" t="str">
        <f aca="false">IF($X168="","",O168+R168)</f>
        <v/>
      </c>
      <c r="W168" s="22" t="str">
        <f aca="false">IF($X168="","",U168-L168)</f>
        <v/>
      </c>
      <c r="X168" s="24" t="str">
        <f aca="false">IF(ROWS($X$2:$X168)&lt;=MAX('Per Line'!$AI$2:$AI$4001),MATCH(ROWS($X$2:$X168),'Per Line'!$AI$2:$AI$4001,0),"")</f>
        <v/>
      </c>
    </row>
    <row r="169" customFormat="false" ht="15" hidden="false" customHeight="false" outlineLevel="0" collapsed="false">
      <c r="A169" s="19"/>
      <c r="B169" s="20" t="str">
        <f aca="false">IF($X169="","",INDEX('Per Line'!$D$2:$D$4001,$X169))</f>
        <v/>
      </c>
      <c r="C169" s="20" t="str">
        <f aca="false">IF($X169="","",INDEX('Per Line'!$C$2:$C$4001,$X169))</f>
        <v/>
      </c>
      <c r="D169" s="20" t="str">
        <f aca="false">IF($X169="","",INDEX('Per Line'!$A$2:$A$4001,$X169))</f>
        <v/>
      </c>
      <c r="E169" s="21" t="str">
        <f aca="false">IF($X169="","",INDEX('Per Line'!$F$2:$F$4001,$X169))</f>
        <v/>
      </c>
      <c r="F169" s="20" t="str">
        <f aca="false">IF($X169="","",INDEX('Per Line'!$G$2:$G$4001,$X169))</f>
        <v/>
      </c>
      <c r="G169" s="20" t="str">
        <f aca="false">IF($X169="","",INDEX('Per Line'!$I$2:$I$4001,$X169))</f>
        <v/>
      </c>
      <c r="H169" s="20" t="str">
        <f aca="false">IF($X169="","",INDEX('Per Line'!$J$2:$J$4001,$X169))</f>
        <v/>
      </c>
      <c r="I169" s="20" t="str">
        <f aca="false">IF($X169="","",INDEX('Per Line'!$K$2:$K$4001,$X169))</f>
        <v/>
      </c>
      <c r="J169" s="20" t="str">
        <f aca="false">IF($X169="","",INDEX('Per Line'!$L$2:$L$4001,$X169))</f>
        <v/>
      </c>
      <c r="K169" s="20" t="str">
        <f aca="false">IF($X169="","",INDEX('Per Line'!$M$2:$M$4001,$X169))</f>
        <v/>
      </c>
      <c r="L169" s="22" t="str">
        <f aca="false">IF($X169="","",K169*V169/100)</f>
        <v/>
      </c>
      <c r="M169" s="20" t="str">
        <f aca="false">IF($X169="","",INDEX('Per Line'!$Z$2:$Z$4001,$X169))</f>
        <v/>
      </c>
      <c r="N169" s="23" t="str">
        <f aca="false">IF($X169="","",Settings!$C$7)</f>
        <v/>
      </c>
      <c r="O169" s="22" t="str">
        <f aca="false">IF($X169="","",SUMIFS('Per Line'!$Y$2:$Y$4001,'Per Line'!$D$2:$D$4001,$B169,'Per Line'!$AJ$2:$AJ$4001,0))</f>
        <v/>
      </c>
      <c r="P169" s="22" t="str">
        <f aca="false">IF($X169="","",O169*N169)</f>
        <v/>
      </c>
      <c r="Q169" s="23" t="str">
        <f aca="false">IF($X169="","",Settings!$C$6)</f>
        <v/>
      </c>
      <c r="R169" s="22" t="str">
        <f aca="false">IF($X169="","",SUMIFS('Per Line'!$Y$2:$Y$4001,'Per Line'!$D$2:$D$4001,$B169,'Per Line'!$AJ$2:$AJ$4001,1))</f>
        <v/>
      </c>
      <c r="S169" s="22" t="str">
        <f aca="false">IF($X169="","",R169*Q169)</f>
        <v/>
      </c>
      <c r="T169" s="22" t="str">
        <f aca="false">IF($X169="","",S169+P169)</f>
        <v/>
      </c>
      <c r="U169" s="22" t="str">
        <f aca="false">IF($X169="","",V169-T169)</f>
        <v/>
      </c>
      <c r="V169" s="22" t="str">
        <f aca="false">IF($X169="","",O169+R169)</f>
        <v/>
      </c>
      <c r="W169" s="22" t="str">
        <f aca="false">IF($X169="","",U169-L169)</f>
        <v/>
      </c>
      <c r="X169" s="24" t="str">
        <f aca="false">IF(ROWS($X$2:$X169)&lt;=MAX('Per Line'!$AI$2:$AI$4001),MATCH(ROWS($X$2:$X169),'Per Line'!$AI$2:$AI$4001,0),"")</f>
        <v/>
      </c>
    </row>
    <row r="170" customFormat="false" ht="15" hidden="false" customHeight="false" outlineLevel="0" collapsed="false">
      <c r="A170" s="19"/>
      <c r="B170" s="20" t="str">
        <f aca="false">IF($X170="","",INDEX('Per Line'!$D$2:$D$4001,$X170))</f>
        <v/>
      </c>
      <c r="C170" s="20" t="str">
        <f aca="false">IF($X170="","",INDEX('Per Line'!$C$2:$C$4001,$X170))</f>
        <v/>
      </c>
      <c r="D170" s="20" t="str">
        <f aca="false">IF($X170="","",INDEX('Per Line'!$A$2:$A$4001,$X170))</f>
        <v/>
      </c>
      <c r="E170" s="21" t="str">
        <f aca="false">IF($X170="","",INDEX('Per Line'!$F$2:$F$4001,$X170))</f>
        <v/>
      </c>
      <c r="F170" s="20" t="str">
        <f aca="false">IF($X170="","",INDEX('Per Line'!$G$2:$G$4001,$X170))</f>
        <v/>
      </c>
      <c r="G170" s="20" t="str">
        <f aca="false">IF($X170="","",INDEX('Per Line'!$I$2:$I$4001,$X170))</f>
        <v/>
      </c>
      <c r="H170" s="20" t="str">
        <f aca="false">IF($X170="","",INDEX('Per Line'!$J$2:$J$4001,$X170))</f>
        <v/>
      </c>
      <c r="I170" s="20" t="str">
        <f aca="false">IF($X170="","",INDEX('Per Line'!$K$2:$K$4001,$X170))</f>
        <v/>
      </c>
      <c r="J170" s="20" t="str">
        <f aca="false">IF($X170="","",INDEX('Per Line'!$L$2:$L$4001,$X170))</f>
        <v/>
      </c>
      <c r="K170" s="20" t="str">
        <f aca="false">IF($X170="","",INDEX('Per Line'!$M$2:$M$4001,$X170))</f>
        <v/>
      </c>
      <c r="L170" s="22" t="str">
        <f aca="false">IF($X170="","",K170*V170/100)</f>
        <v/>
      </c>
      <c r="M170" s="20" t="str">
        <f aca="false">IF($X170="","",INDEX('Per Line'!$Z$2:$Z$4001,$X170))</f>
        <v/>
      </c>
      <c r="N170" s="23" t="str">
        <f aca="false">IF($X170="","",Settings!$C$7)</f>
        <v/>
      </c>
      <c r="O170" s="22" t="str">
        <f aca="false">IF($X170="","",SUMIFS('Per Line'!$Y$2:$Y$4001,'Per Line'!$D$2:$D$4001,$B170,'Per Line'!$AJ$2:$AJ$4001,0))</f>
        <v/>
      </c>
      <c r="P170" s="22" t="str">
        <f aca="false">IF($X170="","",O170*N170)</f>
        <v/>
      </c>
      <c r="Q170" s="23" t="str">
        <f aca="false">IF($X170="","",Settings!$C$6)</f>
        <v/>
      </c>
      <c r="R170" s="22" t="str">
        <f aca="false">IF($X170="","",SUMIFS('Per Line'!$Y$2:$Y$4001,'Per Line'!$D$2:$D$4001,$B170,'Per Line'!$AJ$2:$AJ$4001,1))</f>
        <v/>
      </c>
      <c r="S170" s="22" t="str">
        <f aca="false">IF($X170="","",R170*Q170)</f>
        <v/>
      </c>
      <c r="T170" s="22" t="str">
        <f aca="false">IF($X170="","",S170+P170)</f>
        <v/>
      </c>
      <c r="U170" s="22" t="str">
        <f aca="false">IF($X170="","",V170-T170)</f>
        <v/>
      </c>
      <c r="V170" s="22" t="str">
        <f aca="false">IF($X170="","",O170+R170)</f>
        <v/>
      </c>
      <c r="W170" s="22" t="str">
        <f aca="false">IF($X170="","",U170-L170)</f>
        <v/>
      </c>
      <c r="X170" s="24" t="str">
        <f aca="false">IF(ROWS($X$2:$X170)&lt;=MAX('Per Line'!$AI$2:$AI$4001),MATCH(ROWS($X$2:$X170),'Per Line'!$AI$2:$AI$4001,0),"")</f>
        <v/>
      </c>
    </row>
    <row r="171" customFormat="false" ht="15" hidden="false" customHeight="false" outlineLevel="0" collapsed="false">
      <c r="A171" s="19"/>
      <c r="B171" s="20" t="str">
        <f aca="false">IF($X171="","",INDEX('Per Line'!$D$2:$D$4001,$X171))</f>
        <v/>
      </c>
      <c r="C171" s="20" t="str">
        <f aca="false">IF($X171="","",INDEX('Per Line'!$C$2:$C$4001,$X171))</f>
        <v/>
      </c>
      <c r="D171" s="20" t="str">
        <f aca="false">IF($X171="","",INDEX('Per Line'!$A$2:$A$4001,$X171))</f>
        <v/>
      </c>
      <c r="E171" s="21" t="str">
        <f aca="false">IF($X171="","",INDEX('Per Line'!$F$2:$F$4001,$X171))</f>
        <v/>
      </c>
      <c r="F171" s="20" t="str">
        <f aca="false">IF($X171="","",INDEX('Per Line'!$G$2:$G$4001,$X171))</f>
        <v/>
      </c>
      <c r="G171" s="20" t="str">
        <f aca="false">IF($X171="","",INDEX('Per Line'!$I$2:$I$4001,$X171))</f>
        <v/>
      </c>
      <c r="H171" s="20" t="str">
        <f aca="false">IF($X171="","",INDEX('Per Line'!$J$2:$J$4001,$X171))</f>
        <v/>
      </c>
      <c r="I171" s="20" t="str">
        <f aca="false">IF($X171="","",INDEX('Per Line'!$K$2:$K$4001,$X171))</f>
        <v/>
      </c>
      <c r="J171" s="20" t="str">
        <f aca="false">IF($X171="","",INDEX('Per Line'!$L$2:$L$4001,$X171))</f>
        <v/>
      </c>
      <c r="K171" s="20" t="str">
        <f aca="false">IF($X171="","",INDEX('Per Line'!$M$2:$M$4001,$X171))</f>
        <v/>
      </c>
      <c r="L171" s="22" t="str">
        <f aca="false">IF($X171="","",K171*V171/100)</f>
        <v/>
      </c>
      <c r="M171" s="20" t="str">
        <f aca="false">IF($X171="","",INDEX('Per Line'!$Z$2:$Z$4001,$X171))</f>
        <v/>
      </c>
      <c r="N171" s="23" t="str">
        <f aca="false">IF($X171="","",Settings!$C$7)</f>
        <v/>
      </c>
      <c r="O171" s="22" t="str">
        <f aca="false">IF($X171="","",SUMIFS('Per Line'!$Y$2:$Y$4001,'Per Line'!$D$2:$D$4001,$B171,'Per Line'!$AJ$2:$AJ$4001,0))</f>
        <v/>
      </c>
      <c r="P171" s="22" t="str">
        <f aca="false">IF($X171="","",O171*N171)</f>
        <v/>
      </c>
      <c r="Q171" s="23" t="str">
        <f aca="false">IF($X171="","",Settings!$C$6)</f>
        <v/>
      </c>
      <c r="R171" s="22" t="str">
        <f aca="false">IF($X171="","",SUMIFS('Per Line'!$Y$2:$Y$4001,'Per Line'!$D$2:$D$4001,$B171,'Per Line'!$AJ$2:$AJ$4001,1))</f>
        <v/>
      </c>
      <c r="S171" s="22" t="str">
        <f aca="false">IF($X171="","",R171*Q171)</f>
        <v/>
      </c>
      <c r="T171" s="22" t="str">
        <f aca="false">IF($X171="","",S171+P171)</f>
        <v/>
      </c>
      <c r="U171" s="22" t="str">
        <f aca="false">IF($X171="","",V171-T171)</f>
        <v/>
      </c>
      <c r="V171" s="22" t="str">
        <f aca="false">IF($X171="","",O171+R171)</f>
        <v/>
      </c>
      <c r="W171" s="22" t="str">
        <f aca="false">IF($X171="","",U171-L171)</f>
        <v/>
      </c>
      <c r="X171" s="24" t="str">
        <f aca="false">IF(ROWS($X$2:$X171)&lt;=MAX('Per Line'!$AI$2:$AI$4001),MATCH(ROWS($X$2:$X171),'Per Line'!$AI$2:$AI$4001,0),"")</f>
        <v/>
      </c>
    </row>
    <row r="172" customFormat="false" ht="15" hidden="false" customHeight="false" outlineLevel="0" collapsed="false">
      <c r="A172" s="19"/>
      <c r="B172" s="20" t="str">
        <f aca="false">IF($X172="","",INDEX('Per Line'!$D$2:$D$4001,$X172))</f>
        <v/>
      </c>
      <c r="C172" s="20" t="str">
        <f aca="false">IF($X172="","",INDEX('Per Line'!$C$2:$C$4001,$X172))</f>
        <v/>
      </c>
      <c r="D172" s="20" t="str">
        <f aca="false">IF($X172="","",INDEX('Per Line'!$A$2:$A$4001,$X172))</f>
        <v/>
      </c>
      <c r="E172" s="21" t="str">
        <f aca="false">IF($X172="","",INDEX('Per Line'!$F$2:$F$4001,$X172))</f>
        <v/>
      </c>
      <c r="F172" s="20" t="str">
        <f aca="false">IF($X172="","",INDEX('Per Line'!$G$2:$G$4001,$X172))</f>
        <v/>
      </c>
      <c r="G172" s="20" t="str">
        <f aca="false">IF($X172="","",INDEX('Per Line'!$I$2:$I$4001,$X172))</f>
        <v/>
      </c>
      <c r="H172" s="20" t="str">
        <f aca="false">IF($X172="","",INDEX('Per Line'!$J$2:$J$4001,$X172))</f>
        <v/>
      </c>
      <c r="I172" s="20" t="str">
        <f aca="false">IF($X172="","",INDEX('Per Line'!$K$2:$K$4001,$X172))</f>
        <v/>
      </c>
      <c r="J172" s="20" t="str">
        <f aca="false">IF($X172="","",INDEX('Per Line'!$L$2:$L$4001,$X172))</f>
        <v/>
      </c>
      <c r="K172" s="20" t="str">
        <f aca="false">IF($X172="","",INDEX('Per Line'!$M$2:$M$4001,$X172))</f>
        <v/>
      </c>
      <c r="L172" s="22" t="str">
        <f aca="false">IF($X172="","",K172*V172/100)</f>
        <v/>
      </c>
      <c r="M172" s="20" t="str">
        <f aca="false">IF($X172="","",INDEX('Per Line'!$Z$2:$Z$4001,$X172))</f>
        <v/>
      </c>
      <c r="N172" s="23" t="str">
        <f aca="false">IF($X172="","",Settings!$C$7)</f>
        <v/>
      </c>
      <c r="O172" s="22" t="str">
        <f aca="false">IF($X172="","",SUMIFS('Per Line'!$Y$2:$Y$4001,'Per Line'!$D$2:$D$4001,$B172,'Per Line'!$AJ$2:$AJ$4001,0))</f>
        <v/>
      </c>
      <c r="P172" s="22" t="str">
        <f aca="false">IF($X172="","",O172*N172)</f>
        <v/>
      </c>
      <c r="Q172" s="23" t="str">
        <f aca="false">IF($X172="","",Settings!$C$6)</f>
        <v/>
      </c>
      <c r="R172" s="22" t="str">
        <f aca="false">IF($X172="","",SUMIFS('Per Line'!$Y$2:$Y$4001,'Per Line'!$D$2:$D$4001,$B172,'Per Line'!$AJ$2:$AJ$4001,1))</f>
        <v/>
      </c>
      <c r="S172" s="22" t="str">
        <f aca="false">IF($X172="","",R172*Q172)</f>
        <v/>
      </c>
      <c r="T172" s="22" t="str">
        <f aca="false">IF($X172="","",S172+P172)</f>
        <v/>
      </c>
      <c r="U172" s="22" t="str">
        <f aca="false">IF($X172="","",V172-T172)</f>
        <v/>
      </c>
      <c r="V172" s="22" t="str">
        <f aca="false">IF($X172="","",O172+R172)</f>
        <v/>
      </c>
      <c r="W172" s="22" t="str">
        <f aca="false">IF($X172="","",U172-L172)</f>
        <v/>
      </c>
      <c r="X172" s="24" t="str">
        <f aca="false">IF(ROWS($X$2:$X172)&lt;=MAX('Per Line'!$AI$2:$AI$4001),MATCH(ROWS($X$2:$X172),'Per Line'!$AI$2:$AI$4001,0),"")</f>
        <v/>
      </c>
    </row>
    <row r="173" customFormat="false" ht="15" hidden="false" customHeight="false" outlineLevel="0" collapsed="false">
      <c r="A173" s="19"/>
      <c r="B173" s="20" t="str">
        <f aca="false">IF($X173="","",INDEX('Per Line'!$D$2:$D$4001,$X173))</f>
        <v/>
      </c>
      <c r="C173" s="20" t="str">
        <f aca="false">IF($X173="","",INDEX('Per Line'!$C$2:$C$4001,$X173))</f>
        <v/>
      </c>
      <c r="D173" s="20" t="str">
        <f aca="false">IF($X173="","",INDEX('Per Line'!$A$2:$A$4001,$X173))</f>
        <v/>
      </c>
      <c r="E173" s="21" t="str">
        <f aca="false">IF($X173="","",INDEX('Per Line'!$F$2:$F$4001,$X173))</f>
        <v/>
      </c>
      <c r="F173" s="20" t="str">
        <f aca="false">IF($X173="","",INDEX('Per Line'!$G$2:$G$4001,$X173))</f>
        <v/>
      </c>
      <c r="G173" s="20" t="str">
        <f aca="false">IF($X173="","",INDEX('Per Line'!$I$2:$I$4001,$X173))</f>
        <v/>
      </c>
      <c r="H173" s="20" t="str">
        <f aca="false">IF($X173="","",INDEX('Per Line'!$J$2:$J$4001,$X173))</f>
        <v/>
      </c>
      <c r="I173" s="20" t="str">
        <f aca="false">IF($X173="","",INDEX('Per Line'!$K$2:$K$4001,$X173))</f>
        <v/>
      </c>
      <c r="J173" s="20" t="str">
        <f aca="false">IF($X173="","",INDEX('Per Line'!$L$2:$L$4001,$X173))</f>
        <v/>
      </c>
      <c r="K173" s="20" t="str">
        <f aca="false">IF($X173="","",INDEX('Per Line'!$M$2:$M$4001,$X173))</f>
        <v/>
      </c>
      <c r="L173" s="22" t="str">
        <f aca="false">IF($X173="","",K173*V173/100)</f>
        <v/>
      </c>
      <c r="M173" s="20" t="str">
        <f aca="false">IF($X173="","",INDEX('Per Line'!$Z$2:$Z$4001,$X173))</f>
        <v/>
      </c>
      <c r="N173" s="23" t="str">
        <f aca="false">IF($X173="","",Settings!$C$7)</f>
        <v/>
      </c>
      <c r="O173" s="22" t="str">
        <f aca="false">IF($X173="","",SUMIFS('Per Line'!$Y$2:$Y$4001,'Per Line'!$D$2:$D$4001,$B173,'Per Line'!$AJ$2:$AJ$4001,0))</f>
        <v/>
      </c>
      <c r="P173" s="22" t="str">
        <f aca="false">IF($X173="","",O173*N173)</f>
        <v/>
      </c>
      <c r="Q173" s="23" t="str">
        <f aca="false">IF($X173="","",Settings!$C$6)</f>
        <v/>
      </c>
      <c r="R173" s="22" t="str">
        <f aca="false">IF($X173="","",SUMIFS('Per Line'!$Y$2:$Y$4001,'Per Line'!$D$2:$D$4001,$B173,'Per Line'!$AJ$2:$AJ$4001,1))</f>
        <v/>
      </c>
      <c r="S173" s="22" t="str">
        <f aca="false">IF($X173="","",R173*Q173)</f>
        <v/>
      </c>
      <c r="T173" s="22" t="str">
        <f aca="false">IF($X173="","",S173+P173)</f>
        <v/>
      </c>
      <c r="U173" s="22" t="str">
        <f aca="false">IF($X173="","",V173-T173)</f>
        <v/>
      </c>
      <c r="V173" s="22" t="str">
        <f aca="false">IF($X173="","",O173+R173)</f>
        <v/>
      </c>
      <c r="W173" s="22" t="str">
        <f aca="false">IF($X173="","",U173-L173)</f>
        <v/>
      </c>
      <c r="X173" s="24" t="str">
        <f aca="false">IF(ROWS($X$2:$X173)&lt;=MAX('Per Line'!$AI$2:$AI$4001),MATCH(ROWS($X$2:$X173),'Per Line'!$AI$2:$AI$4001,0),"")</f>
        <v/>
      </c>
    </row>
    <row r="174" customFormat="false" ht="15" hidden="false" customHeight="false" outlineLevel="0" collapsed="false">
      <c r="A174" s="19"/>
      <c r="B174" s="20" t="str">
        <f aca="false">IF($X174="","",INDEX('Per Line'!$D$2:$D$4001,$X174))</f>
        <v/>
      </c>
      <c r="C174" s="20" t="str">
        <f aca="false">IF($X174="","",INDEX('Per Line'!$C$2:$C$4001,$X174))</f>
        <v/>
      </c>
      <c r="D174" s="20" t="str">
        <f aca="false">IF($X174="","",INDEX('Per Line'!$A$2:$A$4001,$X174))</f>
        <v/>
      </c>
      <c r="E174" s="21" t="str">
        <f aca="false">IF($X174="","",INDEX('Per Line'!$F$2:$F$4001,$X174))</f>
        <v/>
      </c>
      <c r="F174" s="20" t="str">
        <f aca="false">IF($X174="","",INDEX('Per Line'!$G$2:$G$4001,$X174))</f>
        <v/>
      </c>
      <c r="G174" s="20" t="str">
        <f aca="false">IF($X174="","",INDEX('Per Line'!$I$2:$I$4001,$X174))</f>
        <v/>
      </c>
      <c r="H174" s="20" t="str">
        <f aca="false">IF($X174="","",INDEX('Per Line'!$J$2:$J$4001,$X174))</f>
        <v/>
      </c>
      <c r="I174" s="20" t="str">
        <f aca="false">IF($X174="","",INDEX('Per Line'!$K$2:$K$4001,$X174))</f>
        <v/>
      </c>
      <c r="J174" s="20" t="str">
        <f aca="false">IF($X174="","",INDEX('Per Line'!$L$2:$L$4001,$X174))</f>
        <v/>
      </c>
      <c r="K174" s="20" t="str">
        <f aca="false">IF($X174="","",INDEX('Per Line'!$M$2:$M$4001,$X174))</f>
        <v/>
      </c>
      <c r="L174" s="22" t="str">
        <f aca="false">IF($X174="","",K174*V174/100)</f>
        <v/>
      </c>
      <c r="M174" s="20" t="str">
        <f aca="false">IF($X174="","",INDEX('Per Line'!$Z$2:$Z$4001,$X174))</f>
        <v/>
      </c>
      <c r="N174" s="23" t="str">
        <f aca="false">IF($X174="","",Settings!$C$7)</f>
        <v/>
      </c>
      <c r="O174" s="22" t="str">
        <f aca="false">IF($X174="","",SUMIFS('Per Line'!$Y$2:$Y$4001,'Per Line'!$D$2:$D$4001,$B174,'Per Line'!$AJ$2:$AJ$4001,0))</f>
        <v/>
      </c>
      <c r="P174" s="22" t="str">
        <f aca="false">IF($X174="","",O174*N174)</f>
        <v/>
      </c>
      <c r="Q174" s="23" t="str">
        <f aca="false">IF($X174="","",Settings!$C$6)</f>
        <v/>
      </c>
      <c r="R174" s="22" t="str">
        <f aca="false">IF($X174="","",SUMIFS('Per Line'!$Y$2:$Y$4001,'Per Line'!$D$2:$D$4001,$B174,'Per Line'!$AJ$2:$AJ$4001,1))</f>
        <v/>
      </c>
      <c r="S174" s="22" t="str">
        <f aca="false">IF($X174="","",R174*Q174)</f>
        <v/>
      </c>
      <c r="T174" s="22" t="str">
        <f aca="false">IF($X174="","",S174+P174)</f>
        <v/>
      </c>
      <c r="U174" s="22" t="str">
        <f aca="false">IF($X174="","",V174-T174)</f>
        <v/>
      </c>
      <c r="V174" s="22" t="str">
        <f aca="false">IF($X174="","",O174+R174)</f>
        <v/>
      </c>
      <c r="W174" s="22" t="str">
        <f aca="false">IF($X174="","",U174-L174)</f>
        <v/>
      </c>
      <c r="X174" s="24" t="str">
        <f aca="false">IF(ROWS($X$2:$X174)&lt;=MAX('Per Line'!$AI$2:$AI$4001),MATCH(ROWS($X$2:$X174),'Per Line'!$AI$2:$AI$4001,0),"")</f>
        <v/>
      </c>
    </row>
    <row r="175" customFormat="false" ht="15" hidden="false" customHeight="false" outlineLevel="0" collapsed="false">
      <c r="A175" s="19"/>
      <c r="B175" s="20" t="str">
        <f aca="false">IF($X175="","",INDEX('Per Line'!$D$2:$D$4001,$X175))</f>
        <v/>
      </c>
      <c r="C175" s="20" t="str">
        <f aca="false">IF($X175="","",INDEX('Per Line'!$C$2:$C$4001,$X175))</f>
        <v/>
      </c>
      <c r="D175" s="20" t="str">
        <f aca="false">IF($X175="","",INDEX('Per Line'!$A$2:$A$4001,$X175))</f>
        <v/>
      </c>
      <c r="E175" s="21" t="str">
        <f aca="false">IF($X175="","",INDEX('Per Line'!$F$2:$F$4001,$X175))</f>
        <v/>
      </c>
      <c r="F175" s="20" t="str">
        <f aca="false">IF($X175="","",INDEX('Per Line'!$G$2:$G$4001,$X175))</f>
        <v/>
      </c>
      <c r="G175" s="20" t="str">
        <f aca="false">IF($X175="","",INDEX('Per Line'!$I$2:$I$4001,$X175))</f>
        <v/>
      </c>
      <c r="H175" s="20" t="str">
        <f aca="false">IF($X175="","",INDEX('Per Line'!$J$2:$J$4001,$X175))</f>
        <v/>
      </c>
      <c r="I175" s="20" t="str">
        <f aca="false">IF($X175="","",INDEX('Per Line'!$K$2:$K$4001,$X175))</f>
        <v/>
      </c>
      <c r="J175" s="20" t="str">
        <f aca="false">IF($X175="","",INDEX('Per Line'!$L$2:$L$4001,$X175))</f>
        <v/>
      </c>
      <c r="K175" s="20" t="str">
        <f aca="false">IF($X175="","",INDEX('Per Line'!$M$2:$M$4001,$X175))</f>
        <v/>
      </c>
      <c r="L175" s="22" t="str">
        <f aca="false">IF($X175="","",K175*V175/100)</f>
        <v/>
      </c>
      <c r="M175" s="20" t="str">
        <f aca="false">IF($X175="","",INDEX('Per Line'!$Z$2:$Z$4001,$X175))</f>
        <v/>
      </c>
      <c r="N175" s="23" t="str">
        <f aca="false">IF($X175="","",Settings!$C$7)</f>
        <v/>
      </c>
      <c r="O175" s="22" t="str">
        <f aca="false">IF($X175="","",SUMIFS('Per Line'!$Y$2:$Y$4001,'Per Line'!$D$2:$D$4001,$B175,'Per Line'!$AJ$2:$AJ$4001,0))</f>
        <v/>
      </c>
      <c r="P175" s="22" t="str">
        <f aca="false">IF($X175="","",O175*N175)</f>
        <v/>
      </c>
      <c r="Q175" s="23" t="str">
        <f aca="false">IF($X175="","",Settings!$C$6)</f>
        <v/>
      </c>
      <c r="R175" s="22" t="str">
        <f aca="false">IF($X175="","",SUMIFS('Per Line'!$Y$2:$Y$4001,'Per Line'!$D$2:$D$4001,$B175,'Per Line'!$AJ$2:$AJ$4001,1))</f>
        <v/>
      </c>
      <c r="S175" s="22" t="str">
        <f aca="false">IF($X175="","",R175*Q175)</f>
        <v/>
      </c>
      <c r="T175" s="22" t="str">
        <f aca="false">IF($X175="","",S175+P175)</f>
        <v/>
      </c>
      <c r="U175" s="22" t="str">
        <f aca="false">IF($X175="","",V175-T175)</f>
        <v/>
      </c>
      <c r="V175" s="22" t="str">
        <f aca="false">IF($X175="","",O175+R175)</f>
        <v/>
      </c>
      <c r="W175" s="22" t="str">
        <f aca="false">IF($X175="","",U175-L175)</f>
        <v/>
      </c>
      <c r="X175" s="24" t="str">
        <f aca="false">IF(ROWS($X$2:$X175)&lt;=MAX('Per Line'!$AI$2:$AI$4001),MATCH(ROWS($X$2:$X175),'Per Line'!$AI$2:$AI$4001,0),"")</f>
        <v/>
      </c>
    </row>
    <row r="176" customFormat="false" ht="15" hidden="false" customHeight="false" outlineLevel="0" collapsed="false">
      <c r="A176" s="19"/>
      <c r="B176" s="20" t="str">
        <f aca="false">IF($X176="","",INDEX('Per Line'!$D$2:$D$4001,$X176))</f>
        <v/>
      </c>
      <c r="C176" s="20" t="str">
        <f aca="false">IF($X176="","",INDEX('Per Line'!$C$2:$C$4001,$X176))</f>
        <v/>
      </c>
      <c r="D176" s="20" t="str">
        <f aca="false">IF($X176="","",INDEX('Per Line'!$A$2:$A$4001,$X176))</f>
        <v/>
      </c>
      <c r="E176" s="21" t="str">
        <f aca="false">IF($X176="","",INDEX('Per Line'!$F$2:$F$4001,$X176))</f>
        <v/>
      </c>
      <c r="F176" s="20" t="str">
        <f aca="false">IF($X176="","",INDEX('Per Line'!$G$2:$G$4001,$X176))</f>
        <v/>
      </c>
      <c r="G176" s="20" t="str">
        <f aca="false">IF($X176="","",INDEX('Per Line'!$I$2:$I$4001,$X176))</f>
        <v/>
      </c>
      <c r="H176" s="20" t="str">
        <f aca="false">IF($X176="","",INDEX('Per Line'!$J$2:$J$4001,$X176))</f>
        <v/>
      </c>
      <c r="I176" s="20" t="str">
        <f aca="false">IF($X176="","",INDEX('Per Line'!$K$2:$K$4001,$X176))</f>
        <v/>
      </c>
      <c r="J176" s="20" t="str">
        <f aca="false">IF($X176="","",INDEX('Per Line'!$L$2:$L$4001,$X176))</f>
        <v/>
      </c>
      <c r="K176" s="20" t="str">
        <f aca="false">IF($X176="","",INDEX('Per Line'!$M$2:$M$4001,$X176))</f>
        <v/>
      </c>
      <c r="L176" s="22" t="str">
        <f aca="false">IF($X176="","",K176*V176/100)</f>
        <v/>
      </c>
      <c r="M176" s="20" t="str">
        <f aca="false">IF($X176="","",INDEX('Per Line'!$Z$2:$Z$4001,$X176))</f>
        <v/>
      </c>
      <c r="N176" s="23" t="str">
        <f aca="false">IF($X176="","",Settings!$C$7)</f>
        <v/>
      </c>
      <c r="O176" s="22" t="str">
        <f aca="false">IF($X176="","",SUMIFS('Per Line'!$Y$2:$Y$4001,'Per Line'!$D$2:$D$4001,$B176,'Per Line'!$AJ$2:$AJ$4001,0))</f>
        <v/>
      </c>
      <c r="P176" s="22" t="str">
        <f aca="false">IF($X176="","",O176*N176)</f>
        <v/>
      </c>
      <c r="Q176" s="23" t="str">
        <f aca="false">IF($X176="","",Settings!$C$6)</f>
        <v/>
      </c>
      <c r="R176" s="22" t="str">
        <f aca="false">IF($X176="","",SUMIFS('Per Line'!$Y$2:$Y$4001,'Per Line'!$D$2:$D$4001,$B176,'Per Line'!$AJ$2:$AJ$4001,1))</f>
        <v/>
      </c>
      <c r="S176" s="22" t="str">
        <f aca="false">IF($X176="","",R176*Q176)</f>
        <v/>
      </c>
      <c r="T176" s="22" t="str">
        <f aca="false">IF($X176="","",S176+P176)</f>
        <v/>
      </c>
      <c r="U176" s="22" t="str">
        <f aca="false">IF($X176="","",V176-T176)</f>
        <v/>
      </c>
      <c r="V176" s="22" t="str">
        <f aca="false">IF($X176="","",O176+R176)</f>
        <v/>
      </c>
      <c r="W176" s="22" t="str">
        <f aca="false">IF($X176="","",U176-L176)</f>
        <v/>
      </c>
      <c r="X176" s="24" t="str">
        <f aca="false">IF(ROWS($X$2:$X176)&lt;=MAX('Per Line'!$AI$2:$AI$4001),MATCH(ROWS($X$2:$X176),'Per Line'!$AI$2:$AI$4001,0),"")</f>
        <v/>
      </c>
    </row>
    <row r="177" customFormat="false" ht="15" hidden="false" customHeight="false" outlineLevel="0" collapsed="false">
      <c r="A177" s="19"/>
      <c r="B177" s="20" t="str">
        <f aca="false">IF($X177="","",INDEX('Per Line'!$D$2:$D$4001,$X177))</f>
        <v/>
      </c>
      <c r="C177" s="20" t="str">
        <f aca="false">IF($X177="","",INDEX('Per Line'!$C$2:$C$4001,$X177))</f>
        <v/>
      </c>
      <c r="D177" s="20" t="str">
        <f aca="false">IF($X177="","",INDEX('Per Line'!$A$2:$A$4001,$X177))</f>
        <v/>
      </c>
      <c r="E177" s="21" t="str">
        <f aca="false">IF($X177="","",INDEX('Per Line'!$F$2:$F$4001,$X177))</f>
        <v/>
      </c>
      <c r="F177" s="20" t="str">
        <f aca="false">IF($X177="","",INDEX('Per Line'!$G$2:$G$4001,$X177))</f>
        <v/>
      </c>
      <c r="G177" s="20" t="str">
        <f aca="false">IF($X177="","",INDEX('Per Line'!$I$2:$I$4001,$X177))</f>
        <v/>
      </c>
      <c r="H177" s="20" t="str">
        <f aca="false">IF($X177="","",INDEX('Per Line'!$J$2:$J$4001,$X177))</f>
        <v/>
      </c>
      <c r="I177" s="20" t="str">
        <f aca="false">IF($X177="","",INDEX('Per Line'!$K$2:$K$4001,$X177))</f>
        <v/>
      </c>
      <c r="J177" s="20" t="str">
        <f aca="false">IF($X177="","",INDEX('Per Line'!$L$2:$L$4001,$X177))</f>
        <v/>
      </c>
      <c r="K177" s="20" t="str">
        <f aca="false">IF($X177="","",INDEX('Per Line'!$M$2:$M$4001,$X177))</f>
        <v/>
      </c>
      <c r="L177" s="22" t="str">
        <f aca="false">IF($X177="","",K177*V177/100)</f>
        <v/>
      </c>
      <c r="M177" s="20" t="str">
        <f aca="false">IF($X177="","",INDEX('Per Line'!$Z$2:$Z$4001,$X177))</f>
        <v/>
      </c>
      <c r="N177" s="23" t="str">
        <f aca="false">IF($X177="","",Settings!$C$7)</f>
        <v/>
      </c>
      <c r="O177" s="22" t="str">
        <f aca="false">IF($X177="","",SUMIFS('Per Line'!$Y$2:$Y$4001,'Per Line'!$D$2:$D$4001,$B177,'Per Line'!$AJ$2:$AJ$4001,0))</f>
        <v/>
      </c>
      <c r="P177" s="22" t="str">
        <f aca="false">IF($X177="","",O177*N177)</f>
        <v/>
      </c>
      <c r="Q177" s="23" t="str">
        <f aca="false">IF($X177="","",Settings!$C$6)</f>
        <v/>
      </c>
      <c r="R177" s="22" t="str">
        <f aca="false">IF($X177="","",SUMIFS('Per Line'!$Y$2:$Y$4001,'Per Line'!$D$2:$D$4001,$B177,'Per Line'!$AJ$2:$AJ$4001,1))</f>
        <v/>
      </c>
      <c r="S177" s="22" t="str">
        <f aca="false">IF($X177="","",R177*Q177)</f>
        <v/>
      </c>
      <c r="T177" s="22" t="str">
        <f aca="false">IF($X177="","",S177+P177)</f>
        <v/>
      </c>
      <c r="U177" s="22" t="str">
        <f aca="false">IF($X177="","",V177-T177)</f>
        <v/>
      </c>
      <c r="V177" s="22" t="str">
        <f aca="false">IF($X177="","",O177+R177)</f>
        <v/>
      </c>
      <c r="W177" s="22" t="str">
        <f aca="false">IF($X177="","",U177-L177)</f>
        <v/>
      </c>
      <c r="X177" s="24" t="str">
        <f aca="false">IF(ROWS($X$2:$X177)&lt;=MAX('Per Line'!$AI$2:$AI$4001),MATCH(ROWS($X$2:$X177),'Per Line'!$AI$2:$AI$4001,0),"")</f>
        <v/>
      </c>
    </row>
    <row r="178" customFormat="false" ht="15" hidden="false" customHeight="false" outlineLevel="0" collapsed="false">
      <c r="A178" s="19"/>
      <c r="B178" s="20" t="str">
        <f aca="false">IF($X178="","",INDEX('Per Line'!$D$2:$D$4001,$X178))</f>
        <v/>
      </c>
      <c r="C178" s="20" t="str">
        <f aca="false">IF($X178="","",INDEX('Per Line'!$C$2:$C$4001,$X178))</f>
        <v/>
      </c>
      <c r="D178" s="20" t="str">
        <f aca="false">IF($X178="","",INDEX('Per Line'!$A$2:$A$4001,$X178))</f>
        <v/>
      </c>
      <c r="E178" s="21" t="str">
        <f aca="false">IF($X178="","",INDEX('Per Line'!$F$2:$F$4001,$X178))</f>
        <v/>
      </c>
      <c r="F178" s="20" t="str">
        <f aca="false">IF($X178="","",INDEX('Per Line'!$G$2:$G$4001,$X178))</f>
        <v/>
      </c>
      <c r="G178" s="20" t="str">
        <f aca="false">IF($X178="","",INDEX('Per Line'!$I$2:$I$4001,$X178))</f>
        <v/>
      </c>
      <c r="H178" s="20" t="str">
        <f aca="false">IF($X178="","",INDEX('Per Line'!$J$2:$J$4001,$X178))</f>
        <v/>
      </c>
      <c r="I178" s="20" t="str">
        <f aca="false">IF($X178="","",INDEX('Per Line'!$K$2:$K$4001,$X178))</f>
        <v/>
      </c>
      <c r="J178" s="20" t="str">
        <f aca="false">IF($X178="","",INDEX('Per Line'!$L$2:$L$4001,$X178))</f>
        <v/>
      </c>
      <c r="K178" s="20" t="str">
        <f aca="false">IF($X178="","",INDEX('Per Line'!$M$2:$M$4001,$X178))</f>
        <v/>
      </c>
      <c r="L178" s="22" t="str">
        <f aca="false">IF($X178="","",K178*V178/100)</f>
        <v/>
      </c>
      <c r="M178" s="20" t="str">
        <f aca="false">IF($X178="","",INDEX('Per Line'!$Z$2:$Z$4001,$X178))</f>
        <v/>
      </c>
      <c r="N178" s="23" t="str">
        <f aca="false">IF($X178="","",Settings!$C$7)</f>
        <v/>
      </c>
      <c r="O178" s="22" t="str">
        <f aca="false">IF($X178="","",SUMIFS('Per Line'!$Y$2:$Y$4001,'Per Line'!$D$2:$D$4001,$B178,'Per Line'!$AJ$2:$AJ$4001,0))</f>
        <v/>
      </c>
      <c r="P178" s="22" t="str">
        <f aca="false">IF($X178="","",O178*N178)</f>
        <v/>
      </c>
      <c r="Q178" s="23" t="str">
        <f aca="false">IF($X178="","",Settings!$C$6)</f>
        <v/>
      </c>
      <c r="R178" s="22" t="str">
        <f aca="false">IF($X178="","",SUMIFS('Per Line'!$Y$2:$Y$4001,'Per Line'!$D$2:$D$4001,$B178,'Per Line'!$AJ$2:$AJ$4001,1))</f>
        <v/>
      </c>
      <c r="S178" s="22" t="str">
        <f aca="false">IF($X178="","",R178*Q178)</f>
        <v/>
      </c>
      <c r="T178" s="22" t="str">
        <f aca="false">IF($X178="","",S178+P178)</f>
        <v/>
      </c>
      <c r="U178" s="22" t="str">
        <f aca="false">IF($X178="","",V178-T178)</f>
        <v/>
      </c>
      <c r="V178" s="22" t="str">
        <f aca="false">IF($X178="","",O178+R178)</f>
        <v/>
      </c>
      <c r="W178" s="22" t="str">
        <f aca="false">IF($X178="","",U178-L178)</f>
        <v/>
      </c>
      <c r="X178" s="24" t="str">
        <f aca="false">IF(ROWS($X$2:$X178)&lt;=MAX('Per Line'!$AI$2:$AI$4001),MATCH(ROWS($X$2:$X178),'Per Line'!$AI$2:$AI$4001,0),"")</f>
        <v/>
      </c>
    </row>
    <row r="179" customFormat="false" ht="15" hidden="false" customHeight="false" outlineLevel="0" collapsed="false">
      <c r="A179" s="19"/>
      <c r="B179" s="20" t="str">
        <f aca="false">IF($X179="","",INDEX('Per Line'!$D$2:$D$4001,$X179))</f>
        <v/>
      </c>
      <c r="C179" s="20" t="str">
        <f aca="false">IF($X179="","",INDEX('Per Line'!$C$2:$C$4001,$X179))</f>
        <v/>
      </c>
      <c r="D179" s="20" t="str">
        <f aca="false">IF($X179="","",INDEX('Per Line'!$A$2:$A$4001,$X179))</f>
        <v/>
      </c>
      <c r="E179" s="21" t="str">
        <f aca="false">IF($X179="","",INDEX('Per Line'!$F$2:$F$4001,$X179))</f>
        <v/>
      </c>
      <c r="F179" s="20" t="str">
        <f aca="false">IF($X179="","",INDEX('Per Line'!$G$2:$G$4001,$X179))</f>
        <v/>
      </c>
      <c r="G179" s="20" t="str">
        <f aca="false">IF($X179="","",INDEX('Per Line'!$I$2:$I$4001,$X179))</f>
        <v/>
      </c>
      <c r="H179" s="20" t="str">
        <f aca="false">IF($X179="","",INDEX('Per Line'!$J$2:$J$4001,$X179))</f>
        <v/>
      </c>
      <c r="I179" s="20" t="str">
        <f aca="false">IF($X179="","",INDEX('Per Line'!$K$2:$K$4001,$X179))</f>
        <v/>
      </c>
      <c r="J179" s="20" t="str">
        <f aca="false">IF($X179="","",INDEX('Per Line'!$L$2:$L$4001,$X179))</f>
        <v/>
      </c>
      <c r="K179" s="20" t="str">
        <f aca="false">IF($X179="","",INDEX('Per Line'!$M$2:$M$4001,$X179))</f>
        <v/>
      </c>
      <c r="L179" s="22" t="str">
        <f aca="false">IF($X179="","",K179*V179/100)</f>
        <v/>
      </c>
      <c r="M179" s="20" t="str">
        <f aca="false">IF($X179="","",INDEX('Per Line'!$Z$2:$Z$4001,$X179))</f>
        <v/>
      </c>
      <c r="N179" s="23" t="str">
        <f aca="false">IF($X179="","",Settings!$C$7)</f>
        <v/>
      </c>
      <c r="O179" s="22" t="str">
        <f aca="false">IF($X179="","",SUMIFS('Per Line'!$Y$2:$Y$4001,'Per Line'!$D$2:$D$4001,$B179,'Per Line'!$AJ$2:$AJ$4001,0))</f>
        <v/>
      </c>
      <c r="P179" s="22" t="str">
        <f aca="false">IF($X179="","",O179*N179)</f>
        <v/>
      </c>
      <c r="Q179" s="23" t="str">
        <f aca="false">IF($X179="","",Settings!$C$6)</f>
        <v/>
      </c>
      <c r="R179" s="22" t="str">
        <f aca="false">IF($X179="","",SUMIFS('Per Line'!$Y$2:$Y$4001,'Per Line'!$D$2:$D$4001,$B179,'Per Line'!$AJ$2:$AJ$4001,1))</f>
        <v/>
      </c>
      <c r="S179" s="22" t="str">
        <f aca="false">IF($X179="","",R179*Q179)</f>
        <v/>
      </c>
      <c r="T179" s="22" t="str">
        <f aca="false">IF($X179="","",S179+P179)</f>
        <v/>
      </c>
      <c r="U179" s="22" t="str">
        <f aca="false">IF($X179="","",V179-T179)</f>
        <v/>
      </c>
      <c r="V179" s="22" t="str">
        <f aca="false">IF($X179="","",O179+R179)</f>
        <v/>
      </c>
      <c r="W179" s="22" t="str">
        <f aca="false">IF($X179="","",U179-L179)</f>
        <v/>
      </c>
      <c r="X179" s="24" t="str">
        <f aca="false">IF(ROWS($X$2:$X179)&lt;=MAX('Per Line'!$AI$2:$AI$4001),MATCH(ROWS($X$2:$X179),'Per Line'!$AI$2:$AI$4001,0),"")</f>
        <v/>
      </c>
    </row>
    <row r="180" customFormat="false" ht="15" hidden="false" customHeight="false" outlineLevel="0" collapsed="false">
      <c r="A180" s="19"/>
      <c r="B180" s="20" t="str">
        <f aca="false">IF($X180="","",INDEX('Per Line'!$D$2:$D$4001,$X180))</f>
        <v/>
      </c>
      <c r="C180" s="20" t="str">
        <f aca="false">IF($X180="","",INDEX('Per Line'!$C$2:$C$4001,$X180))</f>
        <v/>
      </c>
      <c r="D180" s="20" t="str">
        <f aca="false">IF($X180="","",INDEX('Per Line'!$A$2:$A$4001,$X180))</f>
        <v/>
      </c>
      <c r="E180" s="21" t="str">
        <f aca="false">IF($X180="","",INDEX('Per Line'!$F$2:$F$4001,$X180))</f>
        <v/>
      </c>
      <c r="F180" s="20" t="str">
        <f aca="false">IF($X180="","",INDEX('Per Line'!$G$2:$G$4001,$X180))</f>
        <v/>
      </c>
      <c r="G180" s="20" t="str">
        <f aca="false">IF($X180="","",INDEX('Per Line'!$I$2:$I$4001,$X180))</f>
        <v/>
      </c>
      <c r="H180" s="20" t="str">
        <f aca="false">IF($X180="","",INDEX('Per Line'!$J$2:$J$4001,$X180))</f>
        <v/>
      </c>
      <c r="I180" s="20" t="str">
        <f aca="false">IF($X180="","",INDEX('Per Line'!$K$2:$K$4001,$X180))</f>
        <v/>
      </c>
      <c r="J180" s="20" t="str">
        <f aca="false">IF($X180="","",INDEX('Per Line'!$L$2:$L$4001,$X180))</f>
        <v/>
      </c>
      <c r="K180" s="20" t="str">
        <f aca="false">IF($X180="","",INDEX('Per Line'!$M$2:$M$4001,$X180))</f>
        <v/>
      </c>
      <c r="L180" s="22" t="str">
        <f aca="false">IF($X180="","",K180*V180/100)</f>
        <v/>
      </c>
      <c r="M180" s="20" t="str">
        <f aca="false">IF($X180="","",INDEX('Per Line'!$Z$2:$Z$4001,$X180))</f>
        <v/>
      </c>
      <c r="N180" s="23" t="str">
        <f aca="false">IF($X180="","",Settings!$C$7)</f>
        <v/>
      </c>
      <c r="O180" s="22" t="str">
        <f aca="false">IF($X180="","",SUMIFS('Per Line'!$Y$2:$Y$4001,'Per Line'!$D$2:$D$4001,$B180,'Per Line'!$AJ$2:$AJ$4001,0))</f>
        <v/>
      </c>
      <c r="P180" s="22" t="str">
        <f aca="false">IF($X180="","",O180*N180)</f>
        <v/>
      </c>
      <c r="Q180" s="23" t="str">
        <f aca="false">IF($X180="","",Settings!$C$6)</f>
        <v/>
      </c>
      <c r="R180" s="22" t="str">
        <f aca="false">IF($X180="","",SUMIFS('Per Line'!$Y$2:$Y$4001,'Per Line'!$D$2:$D$4001,$B180,'Per Line'!$AJ$2:$AJ$4001,1))</f>
        <v/>
      </c>
      <c r="S180" s="22" t="str">
        <f aca="false">IF($X180="","",R180*Q180)</f>
        <v/>
      </c>
      <c r="T180" s="22" t="str">
        <f aca="false">IF($X180="","",S180+P180)</f>
        <v/>
      </c>
      <c r="U180" s="22" t="str">
        <f aca="false">IF($X180="","",V180-T180)</f>
        <v/>
      </c>
      <c r="V180" s="22" t="str">
        <f aca="false">IF($X180="","",O180+R180)</f>
        <v/>
      </c>
      <c r="W180" s="22" t="str">
        <f aca="false">IF($X180="","",U180-L180)</f>
        <v/>
      </c>
      <c r="X180" s="24" t="str">
        <f aca="false">IF(ROWS($X$2:$X180)&lt;=MAX('Per Line'!$AI$2:$AI$4001),MATCH(ROWS($X$2:$X180),'Per Line'!$AI$2:$AI$4001,0),"")</f>
        <v/>
      </c>
    </row>
    <row r="181" customFormat="false" ht="15" hidden="false" customHeight="false" outlineLevel="0" collapsed="false">
      <c r="A181" s="19"/>
      <c r="B181" s="20" t="str">
        <f aca="false">IF($X181="","",INDEX('Per Line'!$D$2:$D$4001,$X181))</f>
        <v/>
      </c>
      <c r="C181" s="20" t="str">
        <f aca="false">IF($X181="","",INDEX('Per Line'!$C$2:$C$4001,$X181))</f>
        <v/>
      </c>
      <c r="D181" s="20" t="str">
        <f aca="false">IF($X181="","",INDEX('Per Line'!$A$2:$A$4001,$X181))</f>
        <v/>
      </c>
      <c r="E181" s="21" t="str">
        <f aca="false">IF($X181="","",INDEX('Per Line'!$F$2:$F$4001,$X181))</f>
        <v/>
      </c>
      <c r="F181" s="20" t="str">
        <f aca="false">IF($X181="","",INDEX('Per Line'!$G$2:$G$4001,$X181))</f>
        <v/>
      </c>
      <c r="G181" s="20" t="str">
        <f aca="false">IF($X181="","",INDEX('Per Line'!$I$2:$I$4001,$X181))</f>
        <v/>
      </c>
      <c r="H181" s="20" t="str">
        <f aca="false">IF($X181="","",INDEX('Per Line'!$J$2:$J$4001,$X181))</f>
        <v/>
      </c>
      <c r="I181" s="20" t="str">
        <f aca="false">IF($X181="","",INDEX('Per Line'!$K$2:$K$4001,$X181))</f>
        <v/>
      </c>
      <c r="J181" s="20" t="str">
        <f aca="false">IF($X181="","",INDEX('Per Line'!$L$2:$L$4001,$X181))</f>
        <v/>
      </c>
      <c r="K181" s="20" t="str">
        <f aca="false">IF($X181="","",INDEX('Per Line'!$M$2:$M$4001,$X181))</f>
        <v/>
      </c>
      <c r="L181" s="22" t="str">
        <f aca="false">IF($X181="","",K181*V181/100)</f>
        <v/>
      </c>
      <c r="M181" s="20" t="str">
        <f aca="false">IF($X181="","",INDEX('Per Line'!$Z$2:$Z$4001,$X181))</f>
        <v/>
      </c>
      <c r="N181" s="23" t="str">
        <f aca="false">IF($X181="","",Settings!$C$7)</f>
        <v/>
      </c>
      <c r="O181" s="22" t="str">
        <f aca="false">IF($X181="","",SUMIFS('Per Line'!$Y$2:$Y$4001,'Per Line'!$D$2:$D$4001,$B181,'Per Line'!$AJ$2:$AJ$4001,0))</f>
        <v/>
      </c>
      <c r="P181" s="22" t="str">
        <f aca="false">IF($X181="","",O181*N181)</f>
        <v/>
      </c>
      <c r="Q181" s="23" t="str">
        <f aca="false">IF($X181="","",Settings!$C$6)</f>
        <v/>
      </c>
      <c r="R181" s="22" t="str">
        <f aca="false">IF($X181="","",SUMIFS('Per Line'!$Y$2:$Y$4001,'Per Line'!$D$2:$D$4001,$B181,'Per Line'!$AJ$2:$AJ$4001,1))</f>
        <v/>
      </c>
      <c r="S181" s="22" t="str">
        <f aca="false">IF($X181="","",R181*Q181)</f>
        <v/>
      </c>
      <c r="T181" s="22" t="str">
        <f aca="false">IF($X181="","",S181+P181)</f>
        <v/>
      </c>
      <c r="U181" s="22" t="str">
        <f aca="false">IF($X181="","",V181-T181)</f>
        <v/>
      </c>
      <c r="V181" s="22" t="str">
        <f aca="false">IF($X181="","",O181+R181)</f>
        <v/>
      </c>
      <c r="W181" s="22" t="str">
        <f aca="false">IF($X181="","",U181-L181)</f>
        <v/>
      </c>
      <c r="X181" s="24" t="str">
        <f aca="false">IF(ROWS($X$2:$X181)&lt;=MAX('Per Line'!$AI$2:$AI$4001),MATCH(ROWS($X$2:$X181),'Per Line'!$AI$2:$AI$4001,0),"")</f>
        <v/>
      </c>
    </row>
    <row r="182" customFormat="false" ht="15" hidden="false" customHeight="false" outlineLevel="0" collapsed="false">
      <c r="A182" s="19"/>
      <c r="B182" s="20" t="str">
        <f aca="false">IF($X182="","",INDEX('Per Line'!$D$2:$D$4001,$X182))</f>
        <v/>
      </c>
      <c r="C182" s="20" t="str">
        <f aca="false">IF($X182="","",INDEX('Per Line'!$C$2:$C$4001,$X182))</f>
        <v/>
      </c>
      <c r="D182" s="20" t="str">
        <f aca="false">IF($X182="","",INDEX('Per Line'!$A$2:$A$4001,$X182))</f>
        <v/>
      </c>
      <c r="E182" s="21" t="str">
        <f aca="false">IF($X182="","",INDEX('Per Line'!$F$2:$F$4001,$X182))</f>
        <v/>
      </c>
      <c r="F182" s="20" t="str">
        <f aca="false">IF($X182="","",INDEX('Per Line'!$G$2:$G$4001,$X182))</f>
        <v/>
      </c>
      <c r="G182" s="20" t="str">
        <f aca="false">IF($X182="","",INDEX('Per Line'!$I$2:$I$4001,$X182))</f>
        <v/>
      </c>
      <c r="H182" s="20" t="str">
        <f aca="false">IF($X182="","",INDEX('Per Line'!$J$2:$J$4001,$X182))</f>
        <v/>
      </c>
      <c r="I182" s="20" t="str">
        <f aca="false">IF($X182="","",INDEX('Per Line'!$K$2:$K$4001,$X182))</f>
        <v/>
      </c>
      <c r="J182" s="20" t="str">
        <f aca="false">IF($X182="","",INDEX('Per Line'!$L$2:$L$4001,$X182))</f>
        <v/>
      </c>
      <c r="K182" s="20" t="str">
        <f aca="false">IF($X182="","",INDEX('Per Line'!$M$2:$M$4001,$X182))</f>
        <v/>
      </c>
      <c r="L182" s="22" t="str">
        <f aca="false">IF($X182="","",K182*V182/100)</f>
        <v/>
      </c>
      <c r="M182" s="20" t="str">
        <f aca="false">IF($X182="","",INDEX('Per Line'!$Z$2:$Z$4001,$X182))</f>
        <v/>
      </c>
      <c r="N182" s="23" t="str">
        <f aca="false">IF($X182="","",Settings!$C$7)</f>
        <v/>
      </c>
      <c r="O182" s="22" t="str">
        <f aca="false">IF($X182="","",SUMIFS('Per Line'!$Y$2:$Y$4001,'Per Line'!$D$2:$D$4001,$B182,'Per Line'!$AJ$2:$AJ$4001,0))</f>
        <v/>
      </c>
      <c r="P182" s="22" t="str">
        <f aca="false">IF($X182="","",O182*N182)</f>
        <v/>
      </c>
      <c r="Q182" s="23" t="str">
        <f aca="false">IF($X182="","",Settings!$C$6)</f>
        <v/>
      </c>
      <c r="R182" s="22" t="str">
        <f aca="false">IF($X182="","",SUMIFS('Per Line'!$Y$2:$Y$4001,'Per Line'!$D$2:$D$4001,$B182,'Per Line'!$AJ$2:$AJ$4001,1))</f>
        <v/>
      </c>
      <c r="S182" s="22" t="str">
        <f aca="false">IF($X182="","",R182*Q182)</f>
        <v/>
      </c>
      <c r="T182" s="22" t="str">
        <f aca="false">IF($X182="","",S182+P182)</f>
        <v/>
      </c>
      <c r="U182" s="22" t="str">
        <f aca="false">IF($X182="","",V182-T182)</f>
        <v/>
      </c>
      <c r="V182" s="22" t="str">
        <f aca="false">IF($X182="","",O182+R182)</f>
        <v/>
      </c>
      <c r="W182" s="22" t="str">
        <f aca="false">IF($X182="","",U182-L182)</f>
        <v/>
      </c>
      <c r="X182" s="24" t="str">
        <f aca="false">IF(ROWS($X$2:$X182)&lt;=MAX('Per Line'!$AI$2:$AI$4001),MATCH(ROWS($X$2:$X182),'Per Line'!$AI$2:$AI$4001,0),"")</f>
        <v/>
      </c>
    </row>
    <row r="183" customFormat="false" ht="15" hidden="false" customHeight="false" outlineLevel="0" collapsed="false">
      <c r="A183" s="19"/>
      <c r="B183" s="20" t="str">
        <f aca="false">IF($X183="","",INDEX('Per Line'!$D$2:$D$4001,$X183))</f>
        <v/>
      </c>
      <c r="C183" s="20" t="str">
        <f aca="false">IF($X183="","",INDEX('Per Line'!$C$2:$C$4001,$X183))</f>
        <v/>
      </c>
      <c r="D183" s="20" t="str">
        <f aca="false">IF($X183="","",INDEX('Per Line'!$A$2:$A$4001,$X183))</f>
        <v/>
      </c>
      <c r="E183" s="21" t="str">
        <f aca="false">IF($X183="","",INDEX('Per Line'!$F$2:$F$4001,$X183))</f>
        <v/>
      </c>
      <c r="F183" s="20" t="str">
        <f aca="false">IF($X183="","",INDEX('Per Line'!$G$2:$G$4001,$X183))</f>
        <v/>
      </c>
      <c r="G183" s="20" t="str">
        <f aca="false">IF($X183="","",INDEX('Per Line'!$I$2:$I$4001,$X183))</f>
        <v/>
      </c>
      <c r="H183" s="20" t="str">
        <f aca="false">IF($X183="","",INDEX('Per Line'!$J$2:$J$4001,$X183))</f>
        <v/>
      </c>
      <c r="I183" s="20" t="str">
        <f aca="false">IF($X183="","",INDEX('Per Line'!$K$2:$K$4001,$X183))</f>
        <v/>
      </c>
      <c r="J183" s="20" t="str">
        <f aca="false">IF($X183="","",INDEX('Per Line'!$L$2:$L$4001,$X183))</f>
        <v/>
      </c>
      <c r="K183" s="20" t="str">
        <f aca="false">IF($X183="","",INDEX('Per Line'!$M$2:$M$4001,$X183))</f>
        <v/>
      </c>
      <c r="L183" s="22" t="str">
        <f aca="false">IF($X183="","",K183*V183/100)</f>
        <v/>
      </c>
      <c r="M183" s="20" t="str">
        <f aca="false">IF($X183="","",INDEX('Per Line'!$Z$2:$Z$4001,$X183))</f>
        <v/>
      </c>
      <c r="N183" s="23" t="str">
        <f aca="false">IF($X183="","",Settings!$C$7)</f>
        <v/>
      </c>
      <c r="O183" s="22" t="str">
        <f aca="false">IF($X183="","",SUMIFS('Per Line'!$Y$2:$Y$4001,'Per Line'!$D$2:$D$4001,$B183,'Per Line'!$AJ$2:$AJ$4001,0))</f>
        <v/>
      </c>
      <c r="P183" s="22" t="str">
        <f aca="false">IF($X183="","",O183*N183)</f>
        <v/>
      </c>
      <c r="Q183" s="23" t="str">
        <f aca="false">IF($X183="","",Settings!$C$6)</f>
        <v/>
      </c>
      <c r="R183" s="22" t="str">
        <f aca="false">IF($X183="","",SUMIFS('Per Line'!$Y$2:$Y$4001,'Per Line'!$D$2:$D$4001,$B183,'Per Line'!$AJ$2:$AJ$4001,1))</f>
        <v/>
      </c>
      <c r="S183" s="22" t="str">
        <f aca="false">IF($X183="","",R183*Q183)</f>
        <v/>
      </c>
      <c r="T183" s="22" t="str">
        <f aca="false">IF($X183="","",S183+P183)</f>
        <v/>
      </c>
      <c r="U183" s="22" t="str">
        <f aca="false">IF($X183="","",V183-T183)</f>
        <v/>
      </c>
      <c r="V183" s="22" t="str">
        <f aca="false">IF($X183="","",O183+R183)</f>
        <v/>
      </c>
      <c r="W183" s="22" t="str">
        <f aca="false">IF($X183="","",U183-L183)</f>
        <v/>
      </c>
      <c r="X183" s="24" t="str">
        <f aca="false">IF(ROWS($X$2:$X183)&lt;=MAX('Per Line'!$AI$2:$AI$4001),MATCH(ROWS($X$2:$X183),'Per Line'!$AI$2:$AI$4001,0),"")</f>
        <v/>
      </c>
    </row>
    <row r="184" customFormat="false" ht="15" hidden="false" customHeight="false" outlineLevel="0" collapsed="false">
      <c r="A184" s="19"/>
      <c r="B184" s="20" t="str">
        <f aca="false">IF($X184="","",INDEX('Per Line'!$D$2:$D$4001,$X184))</f>
        <v/>
      </c>
      <c r="C184" s="20" t="str">
        <f aca="false">IF($X184="","",INDEX('Per Line'!$C$2:$C$4001,$X184))</f>
        <v/>
      </c>
      <c r="D184" s="20" t="str">
        <f aca="false">IF($X184="","",INDEX('Per Line'!$A$2:$A$4001,$X184))</f>
        <v/>
      </c>
      <c r="E184" s="21" t="str">
        <f aca="false">IF($X184="","",INDEX('Per Line'!$F$2:$F$4001,$X184))</f>
        <v/>
      </c>
      <c r="F184" s="20" t="str">
        <f aca="false">IF($X184="","",INDEX('Per Line'!$G$2:$G$4001,$X184))</f>
        <v/>
      </c>
      <c r="G184" s="20" t="str">
        <f aca="false">IF($X184="","",INDEX('Per Line'!$I$2:$I$4001,$X184))</f>
        <v/>
      </c>
      <c r="H184" s="20" t="str">
        <f aca="false">IF($X184="","",INDEX('Per Line'!$J$2:$J$4001,$X184))</f>
        <v/>
      </c>
      <c r="I184" s="20" t="str">
        <f aca="false">IF($X184="","",INDEX('Per Line'!$K$2:$K$4001,$X184))</f>
        <v/>
      </c>
      <c r="J184" s="20" t="str">
        <f aca="false">IF($X184="","",INDEX('Per Line'!$L$2:$L$4001,$X184))</f>
        <v/>
      </c>
      <c r="K184" s="20" t="str">
        <f aca="false">IF($X184="","",INDEX('Per Line'!$M$2:$M$4001,$X184))</f>
        <v/>
      </c>
      <c r="L184" s="22" t="str">
        <f aca="false">IF($X184="","",K184*V184/100)</f>
        <v/>
      </c>
      <c r="M184" s="20" t="str">
        <f aca="false">IF($X184="","",INDEX('Per Line'!$Z$2:$Z$4001,$X184))</f>
        <v/>
      </c>
      <c r="N184" s="23" t="str">
        <f aca="false">IF($X184="","",Settings!$C$7)</f>
        <v/>
      </c>
      <c r="O184" s="22" t="str">
        <f aca="false">IF($X184="","",SUMIFS('Per Line'!$Y$2:$Y$4001,'Per Line'!$D$2:$D$4001,$B184,'Per Line'!$AJ$2:$AJ$4001,0))</f>
        <v/>
      </c>
      <c r="P184" s="22" t="str">
        <f aca="false">IF($X184="","",O184*N184)</f>
        <v/>
      </c>
      <c r="Q184" s="23" t="str">
        <f aca="false">IF($X184="","",Settings!$C$6)</f>
        <v/>
      </c>
      <c r="R184" s="22" t="str">
        <f aca="false">IF($X184="","",SUMIFS('Per Line'!$Y$2:$Y$4001,'Per Line'!$D$2:$D$4001,$B184,'Per Line'!$AJ$2:$AJ$4001,1))</f>
        <v/>
      </c>
      <c r="S184" s="22" t="str">
        <f aca="false">IF($X184="","",R184*Q184)</f>
        <v/>
      </c>
      <c r="T184" s="22" t="str">
        <f aca="false">IF($X184="","",S184+P184)</f>
        <v/>
      </c>
      <c r="U184" s="22" t="str">
        <f aca="false">IF($X184="","",V184-T184)</f>
        <v/>
      </c>
      <c r="V184" s="22" t="str">
        <f aca="false">IF($X184="","",O184+R184)</f>
        <v/>
      </c>
      <c r="W184" s="22" t="str">
        <f aca="false">IF($X184="","",U184-L184)</f>
        <v/>
      </c>
      <c r="X184" s="24" t="str">
        <f aca="false">IF(ROWS($X$2:$X184)&lt;=MAX('Per Line'!$AI$2:$AI$4001),MATCH(ROWS($X$2:$X184),'Per Line'!$AI$2:$AI$4001,0),"")</f>
        <v/>
      </c>
    </row>
    <row r="185" customFormat="false" ht="15" hidden="false" customHeight="false" outlineLevel="0" collapsed="false">
      <c r="A185" s="19"/>
      <c r="B185" s="20" t="str">
        <f aca="false">IF($X185="","",INDEX('Per Line'!$D$2:$D$4001,$X185))</f>
        <v/>
      </c>
      <c r="C185" s="20" t="str">
        <f aca="false">IF($X185="","",INDEX('Per Line'!$C$2:$C$4001,$X185))</f>
        <v/>
      </c>
      <c r="D185" s="20" t="str">
        <f aca="false">IF($X185="","",INDEX('Per Line'!$A$2:$A$4001,$X185))</f>
        <v/>
      </c>
      <c r="E185" s="21" t="str">
        <f aca="false">IF($X185="","",INDEX('Per Line'!$F$2:$F$4001,$X185))</f>
        <v/>
      </c>
      <c r="F185" s="20" t="str">
        <f aca="false">IF($X185="","",INDEX('Per Line'!$G$2:$G$4001,$X185))</f>
        <v/>
      </c>
      <c r="G185" s="20" t="str">
        <f aca="false">IF($X185="","",INDEX('Per Line'!$I$2:$I$4001,$X185))</f>
        <v/>
      </c>
      <c r="H185" s="20" t="str">
        <f aca="false">IF($X185="","",INDEX('Per Line'!$J$2:$J$4001,$X185))</f>
        <v/>
      </c>
      <c r="I185" s="20" t="str">
        <f aca="false">IF($X185="","",INDEX('Per Line'!$K$2:$K$4001,$X185))</f>
        <v/>
      </c>
      <c r="J185" s="20" t="str">
        <f aca="false">IF($X185="","",INDEX('Per Line'!$L$2:$L$4001,$X185))</f>
        <v/>
      </c>
      <c r="K185" s="20" t="str">
        <f aca="false">IF($X185="","",INDEX('Per Line'!$M$2:$M$4001,$X185))</f>
        <v/>
      </c>
      <c r="L185" s="22" t="str">
        <f aca="false">IF($X185="","",K185*V185/100)</f>
        <v/>
      </c>
      <c r="M185" s="20" t="str">
        <f aca="false">IF($X185="","",INDEX('Per Line'!$Z$2:$Z$4001,$X185))</f>
        <v/>
      </c>
      <c r="N185" s="23" t="str">
        <f aca="false">IF($X185="","",Settings!$C$7)</f>
        <v/>
      </c>
      <c r="O185" s="22" t="str">
        <f aca="false">IF($X185="","",SUMIFS('Per Line'!$Y$2:$Y$4001,'Per Line'!$D$2:$D$4001,$B185,'Per Line'!$AJ$2:$AJ$4001,0))</f>
        <v/>
      </c>
      <c r="P185" s="22" t="str">
        <f aca="false">IF($X185="","",O185*N185)</f>
        <v/>
      </c>
      <c r="Q185" s="23" t="str">
        <f aca="false">IF($X185="","",Settings!$C$6)</f>
        <v/>
      </c>
      <c r="R185" s="22" t="str">
        <f aca="false">IF($X185="","",SUMIFS('Per Line'!$Y$2:$Y$4001,'Per Line'!$D$2:$D$4001,$B185,'Per Line'!$AJ$2:$AJ$4001,1))</f>
        <v/>
      </c>
      <c r="S185" s="22" t="str">
        <f aca="false">IF($X185="","",R185*Q185)</f>
        <v/>
      </c>
      <c r="T185" s="22" t="str">
        <f aca="false">IF($X185="","",S185+P185)</f>
        <v/>
      </c>
      <c r="U185" s="22" t="str">
        <f aca="false">IF($X185="","",V185-T185)</f>
        <v/>
      </c>
      <c r="V185" s="22" t="str">
        <f aca="false">IF($X185="","",O185+R185)</f>
        <v/>
      </c>
      <c r="W185" s="22" t="str">
        <f aca="false">IF($X185="","",U185-L185)</f>
        <v/>
      </c>
      <c r="X185" s="24" t="str">
        <f aca="false">IF(ROWS($X$2:$X185)&lt;=MAX('Per Line'!$AI$2:$AI$4001),MATCH(ROWS($X$2:$X185),'Per Line'!$AI$2:$AI$4001,0),"")</f>
        <v/>
      </c>
    </row>
    <row r="186" customFormat="false" ht="15" hidden="false" customHeight="false" outlineLevel="0" collapsed="false">
      <c r="A186" s="19"/>
      <c r="B186" s="20" t="str">
        <f aca="false">IF($X186="","",INDEX('Per Line'!$D$2:$D$4001,$X186))</f>
        <v/>
      </c>
      <c r="C186" s="20" t="str">
        <f aca="false">IF($X186="","",INDEX('Per Line'!$C$2:$C$4001,$X186))</f>
        <v/>
      </c>
      <c r="D186" s="20" t="str">
        <f aca="false">IF($X186="","",INDEX('Per Line'!$A$2:$A$4001,$X186))</f>
        <v/>
      </c>
      <c r="E186" s="21" t="str">
        <f aca="false">IF($X186="","",INDEX('Per Line'!$F$2:$F$4001,$X186))</f>
        <v/>
      </c>
      <c r="F186" s="20" t="str">
        <f aca="false">IF($X186="","",INDEX('Per Line'!$G$2:$G$4001,$X186))</f>
        <v/>
      </c>
      <c r="G186" s="20" t="str">
        <f aca="false">IF($X186="","",INDEX('Per Line'!$I$2:$I$4001,$X186))</f>
        <v/>
      </c>
      <c r="H186" s="20" t="str">
        <f aca="false">IF($X186="","",INDEX('Per Line'!$J$2:$J$4001,$X186))</f>
        <v/>
      </c>
      <c r="I186" s="20" t="str">
        <f aca="false">IF($X186="","",INDEX('Per Line'!$K$2:$K$4001,$X186))</f>
        <v/>
      </c>
      <c r="J186" s="20" t="str">
        <f aca="false">IF($X186="","",INDEX('Per Line'!$L$2:$L$4001,$X186))</f>
        <v/>
      </c>
      <c r="K186" s="20" t="str">
        <f aca="false">IF($X186="","",INDEX('Per Line'!$M$2:$M$4001,$X186))</f>
        <v/>
      </c>
      <c r="L186" s="22" t="str">
        <f aca="false">IF($X186="","",K186*V186/100)</f>
        <v/>
      </c>
      <c r="M186" s="20" t="str">
        <f aca="false">IF($X186="","",INDEX('Per Line'!$Z$2:$Z$4001,$X186))</f>
        <v/>
      </c>
      <c r="N186" s="23" t="str">
        <f aca="false">IF($X186="","",Settings!$C$7)</f>
        <v/>
      </c>
      <c r="O186" s="22" t="str">
        <f aca="false">IF($X186="","",SUMIFS('Per Line'!$Y$2:$Y$4001,'Per Line'!$D$2:$D$4001,$B186,'Per Line'!$AJ$2:$AJ$4001,0))</f>
        <v/>
      </c>
      <c r="P186" s="22" t="str">
        <f aca="false">IF($X186="","",O186*N186)</f>
        <v/>
      </c>
      <c r="Q186" s="23" t="str">
        <f aca="false">IF($X186="","",Settings!$C$6)</f>
        <v/>
      </c>
      <c r="R186" s="22" t="str">
        <f aca="false">IF($X186="","",SUMIFS('Per Line'!$Y$2:$Y$4001,'Per Line'!$D$2:$D$4001,$B186,'Per Line'!$AJ$2:$AJ$4001,1))</f>
        <v/>
      </c>
      <c r="S186" s="22" t="str">
        <f aca="false">IF($X186="","",R186*Q186)</f>
        <v/>
      </c>
      <c r="T186" s="22" t="str">
        <f aca="false">IF($X186="","",S186+P186)</f>
        <v/>
      </c>
      <c r="U186" s="22" t="str">
        <f aca="false">IF($X186="","",V186-T186)</f>
        <v/>
      </c>
      <c r="V186" s="22" t="str">
        <f aca="false">IF($X186="","",O186+R186)</f>
        <v/>
      </c>
      <c r="W186" s="22" t="str">
        <f aca="false">IF($X186="","",U186-L186)</f>
        <v/>
      </c>
      <c r="X186" s="24" t="str">
        <f aca="false">IF(ROWS($X$2:$X186)&lt;=MAX('Per Line'!$AI$2:$AI$4001),MATCH(ROWS($X$2:$X186),'Per Line'!$AI$2:$AI$4001,0),"")</f>
        <v/>
      </c>
    </row>
    <row r="187" customFormat="false" ht="15" hidden="false" customHeight="false" outlineLevel="0" collapsed="false">
      <c r="A187" s="19"/>
      <c r="B187" s="20" t="str">
        <f aca="false">IF($X187="","",INDEX('Per Line'!$D$2:$D$4001,$X187))</f>
        <v/>
      </c>
      <c r="C187" s="20" t="str">
        <f aca="false">IF($X187="","",INDEX('Per Line'!$C$2:$C$4001,$X187))</f>
        <v/>
      </c>
      <c r="D187" s="20" t="str">
        <f aca="false">IF($X187="","",INDEX('Per Line'!$A$2:$A$4001,$X187))</f>
        <v/>
      </c>
      <c r="E187" s="21" t="str">
        <f aca="false">IF($X187="","",INDEX('Per Line'!$F$2:$F$4001,$X187))</f>
        <v/>
      </c>
      <c r="F187" s="20" t="str">
        <f aca="false">IF($X187="","",INDEX('Per Line'!$G$2:$G$4001,$X187))</f>
        <v/>
      </c>
      <c r="G187" s="20" t="str">
        <f aca="false">IF($X187="","",INDEX('Per Line'!$I$2:$I$4001,$X187))</f>
        <v/>
      </c>
      <c r="H187" s="20" t="str">
        <f aca="false">IF($X187="","",INDEX('Per Line'!$J$2:$J$4001,$X187))</f>
        <v/>
      </c>
      <c r="I187" s="20" t="str">
        <f aca="false">IF($X187="","",INDEX('Per Line'!$K$2:$K$4001,$X187))</f>
        <v/>
      </c>
      <c r="J187" s="20" t="str">
        <f aca="false">IF($X187="","",INDEX('Per Line'!$L$2:$L$4001,$X187))</f>
        <v/>
      </c>
      <c r="K187" s="20" t="str">
        <f aca="false">IF($X187="","",INDEX('Per Line'!$M$2:$M$4001,$X187))</f>
        <v/>
      </c>
      <c r="L187" s="22" t="str">
        <f aca="false">IF($X187="","",K187*V187/100)</f>
        <v/>
      </c>
      <c r="M187" s="20" t="str">
        <f aca="false">IF($X187="","",INDEX('Per Line'!$Z$2:$Z$4001,$X187))</f>
        <v/>
      </c>
      <c r="N187" s="23" t="str">
        <f aca="false">IF($X187="","",Settings!$C$7)</f>
        <v/>
      </c>
      <c r="O187" s="22" t="str">
        <f aca="false">IF($X187="","",SUMIFS('Per Line'!$Y$2:$Y$4001,'Per Line'!$D$2:$D$4001,$B187,'Per Line'!$AJ$2:$AJ$4001,0))</f>
        <v/>
      </c>
      <c r="P187" s="22" t="str">
        <f aca="false">IF($X187="","",O187*N187)</f>
        <v/>
      </c>
      <c r="Q187" s="23" t="str">
        <f aca="false">IF($X187="","",Settings!$C$6)</f>
        <v/>
      </c>
      <c r="R187" s="22" t="str">
        <f aca="false">IF($X187="","",SUMIFS('Per Line'!$Y$2:$Y$4001,'Per Line'!$D$2:$D$4001,$B187,'Per Line'!$AJ$2:$AJ$4001,1))</f>
        <v/>
      </c>
      <c r="S187" s="22" t="str">
        <f aca="false">IF($X187="","",R187*Q187)</f>
        <v/>
      </c>
      <c r="T187" s="22" t="str">
        <f aca="false">IF($X187="","",S187+P187)</f>
        <v/>
      </c>
      <c r="U187" s="22" t="str">
        <f aca="false">IF($X187="","",V187-T187)</f>
        <v/>
      </c>
      <c r="V187" s="22" t="str">
        <f aca="false">IF($X187="","",O187+R187)</f>
        <v/>
      </c>
      <c r="W187" s="22" t="str">
        <f aca="false">IF($X187="","",U187-L187)</f>
        <v/>
      </c>
      <c r="X187" s="24" t="str">
        <f aca="false">IF(ROWS($X$2:$X187)&lt;=MAX('Per Line'!$AI$2:$AI$4001),MATCH(ROWS($X$2:$X187),'Per Line'!$AI$2:$AI$4001,0),"")</f>
        <v/>
      </c>
    </row>
    <row r="188" customFormat="false" ht="15" hidden="false" customHeight="false" outlineLevel="0" collapsed="false">
      <c r="A188" s="19"/>
      <c r="B188" s="20" t="str">
        <f aca="false">IF($X188="","",INDEX('Per Line'!$D$2:$D$4001,$X188))</f>
        <v/>
      </c>
      <c r="C188" s="20" t="str">
        <f aca="false">IF($X188="","",INDEX('Per Line'!$C$2:$C$4001,$X188))</f>
        <v/>
      </c>
      <c r="D188" s="20" t="str">
        <f aca="false">IF($X188="","",INDEX('Per Line'!$A$2:$A$4001,$X188))</f>
        <v/>
      </c>
      <c r="E188" s="21" t="str">
        <f aca="false">IF($X188="","",INDEX('Per Line'!$F$2:$F$4001,$X188))</f>
        <v/>
      </c>
      <c r="F188" s="20" t="str">
        <f aca="false">IF($X188="","",INDEX('Per Line'!$G$2:$G$4001,$X188))</f>
        <v/>
      </c>
      <c r="G188" s="20" t="str">
        <f aca="false">IF($X188="","",INDEX('Per Line'!$I$2:$I$4001,$X188))</f>
        <v/>
      </c>
      <c r="H188" s="20" t="str">
        <f aca="false">IF($X188="","",INDEX('Per Line'!$J$2:$J$4001,$X188))</f>
        <v/>
      </c>
      <c r="I188" s="20" t="str">
        <f aca="false">IF($X188="","",INDEX('Per Line'!$K$2:$K$4001,$X188))</f>
        <v/>
      </c>
      <c r="J188" s="20" t="str">
        <f aca="false">IF($X188="","",INDEX('Per Line'!$L$2:$L$4001,$X188))</f>
        <v/>
      </c>
      <c r="K188" s="20" t="str">
        <f aca="false">IF($X188="","",INDEX('Per Line'!$M$2:$M$4001,$X188))</f>
        <v/>
      </c>
      <c r="L188" s="22" t="str">
        <f aca="false">IF($X188="","",K188*V188/100)</f>
        <v/>
      </c>
      <c r="M188" s="20" t="str">
        <f aca="false">IF($X188="","",INDEX('Per Line'!$Z$2:$Z$4001,$X188))</f>
        <v/>
      </c>
      <c r="N188" s="23" t="str">
        <f aca="false">IF($X188="","",Settings!$C$7)</f>
        <v/>
      </c>
      <c r="O188" s="22" t="str">
        <f aca="false">IF($X188="","",SUMIFS('Per Line'!$Y$2:$Y$4001,'Per Line'!$D$2:$D$4001,$B188,'Per Line'!$AJ$2:$AJ$4001,0))</f>
        <v/>
      </c>
      <c r="P188" s="22" t="str">
        <f aca="false">IF($X188="","",O188*N188)</f>
        <v/>
      </c>
      <c r="Q188" s="23" t="str">
        <f aca="false">IF($X188="","",Settings!$C$6)</f>
        <v/>
      </c>
      <c r="R188" s="22" t="str">
        <f aca="false">IF($X188="","",SUMIFS('Per Line'!$Y$2:$Y$4001,'Per Line'!$D$2:$D$4001,$B188,'Per Line'!$AJ$2:$AJ$4001,1))</f>
        <v/>
      </c>
      <c r="S188" s="22" t="str">
        <f aca="false">IF($X188="","",R188*Q188)</f>
        <v/>
      </c>
      <c r="T188" s="22" t="str">
        <f aca="false">IF($X188="","",S188+P188)</f>
        <v/>
      </c>
      <c r="U188" s="22" t="str">
        <f aca="false">IF($X188="","",V188-T188)</f>
        <v/>
      </c>
      <c r="V188" s="22" t="str">
        <f aca="false">IF($X188="","",O188+R188)</f>
        <v/>
      </c>
      <c r="W188" s="22" t="str">
        <f aca="false">IF($X188="","",U188-L188)</f>
        <v/>
      </c>
      <c r="X188" s="24" t="str">
        <f aca="false">IF(ROWS($X$2:$X188)&lt;=MAX('Per Line'!$AI$2:$AI$4001),MATCH(ROWS($X$2:$X188),'Per Line'!$AI$2:$AI$4001,0),"")</f>
        <v/>
      </c>
    </row>
    <row r="189" customFormat="false" ht="15" hidden="false" customHeight="false" outlineLevel="0" collapsed="false">
      <c r="A189" s="19"/>
      <c r="B189" s="20" t="str">
        <f aca="false">IF($X189="","",INDEX('Per Line'!$D$2:$D$4001,$X189))</f>
        <v/>
      </c>
      <c r="C189" s="20" t="str">
        <f aca="false">IF($X189="","",INDEX('Per Line'!$C$2:$C$4001,$X189))</f>
        <v/>
      </c>
      <c r="D189" s="20" t="str">
        <f aca="false">IF($X189="","",INDEX('Per Line'!$A$2:$A$4001,$X189))</f>
        <v/>
      </c>
      <c r="E189" s="21" t="str">
        <f aca="false">IF($X189="","",INDEX('Per Line'!$F$2:$F$4001,$X189))</f>
        <v/>
      </c>
      <c r="F189" s="20" t="str">
        <f aca="false">IF($X189="","",INDEX('Per Line'!$G$2:$G$4001,$X189))</f>
        <v/>
      </c>
      <c r="G189" s="20" t="str">
        <f aca="false">IF($X189="","",INDEX('Per Line'!$I$2:$I$4001,$X189))</f>
        <v/>
      </c>
      <c r="H189" s="20" t="str">
        <f aca="false">IF($X189="","",INDEX('Per Line'!$J$2:$J$4001,$X189))</f>
        <v/>
      </c>
      <c r="I189" s="20" t="str">
        <f aca="false">IF($X189="","",INDEX('Per Line'!$K$2:$K$4001,$X189))</f>
        <v/>
      </c>
      <c r="J189" s="20" t="str">
        <f aca="false">IF($X189="","",INDEX('Per Line'!$L$2:$L$4001,$X189))</f>
        <v/>
      </c>
      <c r="K189" s="20" t="str">
        <f aca="false">IF($X189="","",INDEX('Per Line'!$M$2:$M$4001,$X189))</f>
        <v/>
      </c>
      <c r="L189" s="22" t="str">
        <f aca="false">IF($X189="","",K189*V189/100)</f>
        <v/>
      </c>
      <c r="M189" s="20" t="str">
        <f aca="false">IF($X189="","",INDEX('Per Line'!$Z$2:$Z$4001,$X189))</f>
        <v/>
      </c>
      <c r="N189" s="23" t="str">
        <f aca="false">IF($X189="","",Settings!$C$7)</f>
        <v/>
      </c>
      <c r="O189" s="22" t="str">
        <f aca="false">IF($X189="","",SUMIFS('Per Line'!$Y$2:$Y$4001,'Per Line'!$D$2:$D$4001,$B189,'Per Line'!$AJ$2:$AJ$4001,0))</f>
        <v/>
      </c>
      <c r="P189" s="22" t="str">
        <f aca="false">IF($X189="","",O189*N189)</f>
        <v/>
      </c>
      <c r="Q189" s="23" t="str">
        <f aca="false">IF($X189="","",Settings!$C$6)</f>
        <v/>
      </c>
      <c r="R189" s="22" t="str">
        <f aca="false">IF($X189="","",SUMIFS('Per Line'!$Y$2:$Y$4001,'Per Line'!$D$2:$D$4001,$B189,'Per Line'!$AJ$2:$AJ$4001,1))</f>
        <v/>
      </c>
      <c r="S189" s="22" t="str">
        <f aca="false">IF($X189="","",R189*Q189)</f>
        <v/>
      </c>
      <c r="T189" s="22" t="str">
        <f aca="false">IF($X189="","",S189+P189)</f>
        <v/>
      </c>
      <c r="U189" s="22" t="str">
        <f aca="false">IF($X189="","",V189-T189)</f>
        <v/>
      </c>
      <c r="V189" s="22" t="str">
        <f aca="false">IF($X189="","",O189+R189)</f>
        <v/>
      </c>
      <c r="W189" s="22" t="str">
        <f aca="false">IF($X189="","",U189-L189)</f>
        <v/>
      </c>
      <c r="X189" s="24" t="str">
        <f aca="false">IF(ROWS($X$2:$X189)&lt;=MAX('Per Line'!$AI$2:$AI$4001),MATCH(ROWS($X$2:$X189),'Per Line'!$AI$2:$AI$4001,0),"")</f>
        <v/>
      </c>
    </row>
    <row r="190" customFormat="false" ht="15" hidden="false" customHeight="false" outlineLevel="0" collapsed="false">
      <c r="A190" s="19"/>
      <c r="B190" s="20" t="str">
        <f aca="false">IF($X190="","",INDEX('Per Line'!$D$2:$D$4001,$X190))</f>
        <v/>
      </c>
      <c r="C190" s="20" t="str">
        <f aca="false">IF($X190="","",INDEX('Per Line'!$C$2:$C$4001,$X190))</f>
        <v/>
      </c>
      <c r="D190" s="20" t="str">
        <f aca="false">IF($X190="","",INDEX('Per Line'!$A$2:$A$4001,$X190))</f>
        <v/>
      </c>
      <c r="E190" s="21" t="str">
        <f aca="false">IF($X190="","",INDEX('Per Line'!$F$2:$F$4001,$X190))</f>
        <v/>
      </c>
      <c r="F190" s="20" t="str">
        <f aca="false">IF($X190="","",INDEX('Per Line'!$G$2:$G$4001,$X190))</f>
        <v/>
      </c>
      <c r="G190" s="20" t="str">
        <f aca="false">IF($X190="","",INDEX('Per Line'!$I$2:$I$4001,$X190))</f>
        <v/>
      </c>
      <c r="H190" s="20" t="str">
        <f aca="false">IF($X190="","",INDEX('Per Line'!$J$2:$J$4001,$X190))</f>
        <v/>
      </c>
      <c r="I190" s="20" t="str">
        <f aca="false">IF($X190="","",INDEX('Per Line'!$K$2:$K$4001,$X190))</f>
        <v/>
      </c>
      <c r="J190" s="20" t="str">
        <f aca="false">IF($X190="","",INDEX('Per Line'!$L$2:$L$4001,$X190))</f>
        <v/>
      </c>
      <c r="K190" s="20" t="str">
        <f aca="false">IF($X190="","",INDEX('Per Line'!$M$2:$M$4001,$X190))</f>
        <v/>
      </c>
      <c r="L190" s="22" t="str">
        <f aca="false">IF($X190="","",K190*V190/100)</f>
        <v/>
      </c>
      <c r="M190" s="20" t="str">
        <f aca="false">IF($X190="","",INDEX('Per Line'!$Z$2:$Z$4001,$X190))</f>
        <v/>
      </c>
      <c r="N190" s="23" t="str">
        <f aca="false">IF($X190="","",Settings!$C$7)</f>
        <v/>
      </c>
      <c r="O190" s="22" t="str">
        <f aca="false">IF($X190="","",SUMIFS('Per Line'!$Y$2:$Y$4001,'Per Line'!$D$2:$D$4001,$B190,'Per Line'!$AJ$2:$AJ$4001,0))</f>
        <v/>
      </c>
      <c r="P190" s="22" t="str">
        <f aca="false">IF($X190="","",O190*N190)</f>
        <v/>
      </c>
      <c r="Q190" s="23" t="str">
        <f aca="false">IF($X190="","",Settings!$C$6)</f>
        <v/>
      </c>
      <c r="R190" s="22" t="str">
        <f aca="false">IF($X190="","",SUMIFS('Per Line'!$Y$2:$Y$4001,'Per Line'!$D$2:$D$4001,$B190,'Per Line'!$AJ$2:$AJ$4001,1))</f>
        <v/>
      </c>
      <c r="S190" s="22" t="str">
        <f aca="false">IF($X190="","",R190*Q190)</f>
        <v/>
      </c>
      <c r="T190" s="22" t="str">
        <f aca="false">IF($X190="","",S190+P190)</f>
        <v/>
      </c>
      <c r="U190" s="22" t="str">
        <f aca="false">IF($X190="","",V190-T190)</f>
        <v/>
      </c>
      <c r="V190" s="22" t="str">
        <f aca="false">IF($X190="","",O190+R190)</f>
        <v/>
      </c>
      <c r="W190" s="22" t="str">
        <f aca="false">IF($X190="","",U190-L190)</f>
        <v/>
      </c>
      <c r="X190" s="24" t="str">
        <f aca="false">IF(ROWS($X$2:$X190)&lt;=MAX('Per Line'!$AI$2:$AI$4001),MATCH(ROWS($X$2:$X190),'Per Line'!$AI$2:$AI$4001,0),"")</f>
        <v/>
      </c>
    </row>
    <row r="191" customFormat="false" ht="15" hidden="false" customHeight="false" outlineLevel="0" collapsed="false">
      <c r="A191" s="19"/>
      <c r="B191" s="20" t="str">
        <f aca="false">IF($X191="","",INDEX('Per Line'!$D$2:$D$4001,$X191))</f>
        <v/>
      </c>
      <c r="C191" s="20" t="str">
        <f aca="false">IF($X191="","",INDEX('Per Line'!$C$2:$C$4001,$X191))</f>
        <v/>
      </c>
      <c r="D191" s="20" t="str">
        <f aca="false">IF($X191="","",INDEX('Per Line'!$A$2:$A$4001,$X191))</f>
        <v/>
      </c>
      <c r="E191" s="21" t="str">
        <f aca="false">IF($X191="","",INDEX('Per Line'!$F$2:$F$4001,$X191))</f>
        <v/>
      </c>
      <c r="F191" s="20" t="str">
        <f aca="false">IF($X191="","",INDEX('Per Line'!$G$2:$G$4001,$X191))</f>
        <v/>
      </c>
      <c r="G191" s="20" t="str">
        <f aca="false">IF($X191="","",INDEX('Per Line'!$I$2:$I$4001,$X191))</f>
        <v/>
      </c>
      <c r="H191" s="20" t="str">
        <f aca="false">IF($X191="","",INDEX('Per Line'!$J$2:$J$4001,$X191))</f>
        <v/>
      </c>
      <c r="I191" s="20" t="str">
        <f aca="false">IF($X191="","",INDEX('Per Line'!$K$2:$K$4001,$X191))</f>
        <v/>
      </c>
      <c r="J191" s="20" t="str">
        <f aca="false">IF($X191="","",INDEX('Per Line'!$L$2:$L$4001,$X191))</f>
        <v/>
      </c>
      <c r="K191" s="20" t="str">
        <f aca="false">IF($X191="","",INDEX('Per Line'!$M$2:$M$4001,$X191))</f>
        <v/>
      </c>
      <c r="L191" s="22" t="str">
        <f aca="false">IF($X191="","",K191*V191/100)</f>
        <v/>
      </c>
      <c r="M191" s="20" t="str">
        <f aca="false">IF($X191="","",INDEX('Per Line'!$Z$2:$Z$4001,$X191))</f>
        <v/>
      </c>
      <c r="N191" s="23" t="str">
        <f aca="false">IF($X191="","",Settings!$C$7)</f>
        <v/>
      </c>
      <c r="O191" s="22" t="str">
        <f aca="false">IF($X191="","",SUMIFS('Per Line'!$Y$2:$Y$4001,'Per Line'!$D$2:$D$4001,$B191,'Per Line'!$AJ$2:$AJ$4001,0))</f>
        <v/>
      </c>
      <c r="P191" s="22" t="str">
        <f aca="false">IF($X191="","",O191*N191)</f>
        <v/>
      </c>
      <c r="Q191" s="23" t="str">
        <f aca="false">IF($X191="","",Settings!$C$6)</f>
        <v/>
      </c>
      <c r="R191" s="22" t="str">
        <f aca="false">IF($X191="","",SUMIFS('Per Line'!$Y$2:$Y$4001,'Per Line'!$D$2:$D$4001,$B191,'Per Line'!$AJ$2:$AJ$4001,1))</f>
        <v/>
      </c>
      <c r="S191" s="22" t="str">
        <f aca="false">IF($X191="","",R191*Q191)</f>
        <v/>
      </c>
      <c r="T191" s="22" t="str">
        <f aca="false">IF($X191="","",S191+P191)</f>
        <v/>
      </c>
      <c r="U191" s="22" t="str">
        <f aca="false">IF($X191="","",V191-T191)</f>
        <v/>
      </c>
      <c r="V191" s="22" t="str">
        <f aca="false">IF($X191="","",O191+R191)</f>
        <v/>
      </c>
      <c r="W191" s="22" t="str">
        <f aca="false">IF($X191="","",U191-L191)</f>
        <v/>
      </c>
      <c r="X191" s="24" t="str">
        <f aca="false">IF(ROWS($X$2:$X191)&lt;=MAX('Per Line'!$AI$2:$AI$4001),MATCH(ROWS($X$2:$X191),'Per Line'!$AI$2:$AI$4001,0),"")</f>
        <v/>
      </c>
    </row>
    <row r="192" customFormat="false" ht="15" hidden="false" customHeight="false" outlineLevel="0" collapsed="false">
      <c r="A192" s="19"/>
      <c r="B192" s="20" t="str">
        <f aca="false">IF($X192="","",INDEX('Per Line'!$D$2:$D$4001,$X192))</f>
        <v/>
      </c>
      <c r="C192" s="20" t="str">
        <f aca="false">IF($X192="","",INDEX('Per Line'!$C$2:$C$4001,$X192))</f>
        <v/>
      </c>
      <c r="D192" s="20" t="str">
        <f aca="false">IF($X192="","",INDEX('Per Line'!$A$2:$A$4001,$X192))</f>
        <v/>
      </c>
      <c r="E192" s="21" t="str">
        <f aca="false">IF($X192="","",INDEX('Per Line'!$F$2:$F$4001,$X192))</f>
        <v/>
      </c>
      <c r="F192" s="20" t="str">
        <f aca="false">IF($X192="","",INDEX('Per Line'!$G$2:$G$4001,$X192))</f>
        <v/>
      </c>
      <c r="G192" s="20" t="str">
        <f aca="false">IF($X192="","",INDEX('Per Line'!$I$2:$I$4001,$X192))</f>
        <v/>
      </c>
      <c r="H192" s="20" t="str">
        <f aca="false">IF($X192="","",INDEX('Per Line'!$J$2:$J$4001,$X192))</f>
        <v/>
      </c>
      <c r="I192" s="20" t="str">
        <f aca="false">IF($X192="","",INDEX('Per Line'!$K$2:$K$4001,$X192))</f>
        <v/>
      </c>
      <c r="J192" s="20" t="str">
        <f aca="false">IF($X192="","",INDEX('Per Line'!$L$2:$L$4001,$X192))</f>
        <v/>
      </c>
      <c r="K192" s="20" t="str">
        <f aca="false">IF($X192="","",INDEX('Per Line'!$M$2:$M$4001,$X192))</f>
        <v/>
      </c>
      <c r="L192" s="22" t="str">
        <f aca="false">IF($X192="","",K192*V192/100)</f>
        <v/>
      </c>
      <c r="M192" s="20" t="str">
        <f aca="false">IF($X192="","",INDEX('Per Line'!$Z$2:$Z$4001,$X192))</f>
        <v/>
      </c>
      <c r="N192" s="23" t="str">
        <f aca="false">IF($X192="","",Settings!$C$7)</f>
        <v/>
      </c>
      <c r="O192" s="22" t="str">
        <f aca="false">IF($X192="","",SUMIFS('Per Line'!$Y$2:$Y$4001,'Per Line'!$D$2:$D$4001,$B192,'Per Line'!$AJ$2:$AJ$4001,0))</f>
        <v/>
      </c>
      <c r="P192" s="22" t="str">
        <f aca="false">IF($X192="","",O192*N192)</f>
        <v/>
      </c>
      <c r="Q192" s="23" t="str">
        <f aca="false">IF($X192="","",Settings!$C$6)</f>
        <v/>
      </c>
      <c r="R192" s="22" t="str">
        <f aca="false">IF($X192="","",SUMIFS('Per Line'!$Y$2:$Y$4001,'Per Line'!$D$2:$D$4001,$B192,'Per Line'!$AJ$2:$AJ$4001,1))</f>
        <v/>
      </c>
      <c r="S192" s="22" t="str">
        <f aca="false">IF($X192="","",R192*Q192)</f>
        <v/>
      </c>
      <c r="T192" s="22" t="str">
        <f aca="false">IF($X192="","",S192+P192)</f>
        <v/>
      </c>
      <c r="U192" s="22" t="str">
        <f aca="false">IF($X192="","",V192-T192)</f>
        <v/>
      </c>
      <c r="V192" s="22" t="str">
        <f aca="false">IF($X192="","",O192+R192)</f>
        <v/>
      </c>
      <c r="W192" s="22" t="str">
        <f aca="false">IF($X192="","",U192-L192)</f>
        <v/>
      </c>
      <c r="X192" s="24" t="str">
        <f aca="false">IF(ROWS($X$2:$X192)&lt;=MAX('Per Line'!$AI$2:$AI$4001),MATCH(ROWS($X$2:$X192),'Per Line'!$AI$2:$AI$4001,0),"")</f>
        <v/>
      </c>
    </row>
    <row r="193" customFormat="false" ht="15" hidden="false" customHeight="false" outlineLevel="0" collapsed="false">
      <c r="A193" s="19"/>
      <c r="B193" s="20" t="str">
        <f aca="false">IF($X193="","",INDEX('Per Line'!$D$2:$D$4001,$X193))</f>
        <v/>
      </c>
      <c r="C193" s="20" t="str">
        <f aca="false">IF($X193="","",INDEX('Per Line'!$C$2:$C$4001,$X193))</f>
        <v/>
      </c>
      <c r="D193" s="20" t="str">
        <f aca="false">IF($X193="","",INDEX('Per Line'!$A$2:$A$4001,$X193))</f>
        <v/>
      </c>
      <c r="E193" s="21" t="str">
        <f aca="false">IF($X193="","",INDEX('Per Line'!$F$2:$F$4001,$X193))</f>
        <v/>
      </c>
      <c r="F193" s="20" t="str">
        <f aca="false">IF($X193="","",INDEX('Per Line'!$G$2:$G$4001,$X193))</f>
        <v/>
      </c>
      <c r="G193" s="20" t="str">
        <f aca="false">IF($X193="","",INDEX('Per Line'!$I$2:$I$4001,$X193))</f>
        <v/>
      </c>
      <c r="H193" s="20" t="str">
        <f aca="false">IF($X193="","",INDEX('Per Line'!$J$2:$J$4001,$X193))</f>
        <v/>
      </c>
      <c r="I193" s="20" t="str">
        <f aca="false">IF($X193="","",INDEX('Per Line'!$K$2:$K$4001,$X193))</f>
        <v/>
      </c>
      <c r="J193" s="20" t="str">
        <f aca="false">IF($X193="","",INDEX('Per Line'!$L$2:$L$4001,$X193))</f>
        <v/>
      </c>
      <c r="K193" s="20" t="str">
        <f aca="false">IF($X193="","",INDEX('Per Line'!$M$2:$M$4001,$X193))</f>
        <v/>
      </c>
      <c r="L193" s="22" t="str">
        <f aca="false">IF($X193="","",K193*V193/100)</f>
        <v/>
      </c>
      <c r="M193" s="20" t="str">
        <f aca="false">IF($X193="","",INDEX('Per Line'!$Z$2:$Z$4001,$X193))</f>
        <v/>
      </c>
      <c r="N193" s="23" t="str">
        <f aca="false">IF($X193="","",Settings!$C$7)</f>
        <v/>
      </c>
      <c r="O193" s="22" t="str">
        <f aca="false">IF($X193="","",SUMIFS('Per Line'!$Y$2:$Y$4001,'Per Line'!$D$2:$D$4001,$B193,'Per Line'!$AJ$2:$AJ$4001,0))</f>
        <v/>
      </c>
      <c r="P193" s="22" t="str">
        <f aca="false">IF($X193="","",O193*N193)</f>
        <v/>
      </c>
      <c r="Q193" s="23" t="str">
        <f aca="false">IF($X193="","",Settings!$C$6)</f>
        <v/>
      </c>
      <c r="R193" s="22" t="str">
        <f aca="false">IF($X193="","",SUMIFS('Per Line'!$Y$2:$Y$4001,'Per Line'!$D$2:$D$4001,$B193,'Per Line'!$AJ$2:$AJ$4001,1))</f>
        <v/>
      </c>
      <c r="S193" s="22" t="str">
        <f aca="false">IF($X193="","",R193*Q193)</f>
        <v/>
      </c>
      <c r="T193" s="22" t="str">
        <f aca="false">IF($X193="","",S193+P193)</f>
        <v/>
      </c>
      <c r="U193" s="22" t="str">
        <f aca="false">IF($X193="","",V193-T193)</f>
        <v/>
      </c>
      <c r="V193" s="22" t="str">
        <f aca="false">IF($X193="","",O193+R193)</f>
        <v/>
      </c>
      <c r="W193" s="22" t="str">
        <f aca="false">IF($X193="","",U193-L193)</f>
        <v/>
      </c>
      <c r="X193" s="24" t="str">
        <f aca="false">IF(ROWS($X$2:$X193)&lt;=MAX('Per Line'!$AI$2:$AI$4001),MATCH(ROWS($X$2:$X193),'Per Line'!$AI$2:$AI$4001,0),"")</f>
        <v/>
      </c>
    </row>
    <row r="194" customFormat="false" ht="15" hidden="false" customHeight="false" outlineLevel="0" collapsed="false">
      <c r="A194" s="19"/>
      <c r="B194" s="20" t="str">
        <f aca="false">IF($X194="","",INDEX('Per Line'!$D$2:$D$4001,$X194))</f>
        <v/>
      </c>
      <c r="C194" s="20" t="str">
        <f aca="false">IF($X194="","",INDEX('Per Line'!$C$2:$C$4001,$X194))</f>
        <v/>
      </c>
      <c r="D194" s="20" t="str">
        <f aca="false">IF($X194="","",INDEX('Per Line'!$A$2:$A$4001,$X194))</f>
        <v/>
      </c>
      <c r="E194" s="21" t="str">
        <f aca="false">IF($X194="","",INDEX('Per Line'!$F$2:$F$4001,$X194))</f>
        <v/>
      </c>
      <c r="F194" s="20" t="str">
        <f aca="false">IF($X194="","",INDEX('Per Line'!$G$2:$G$4001,$X194))</f>
        <v/>
      </c>
      <c r="G194" s="20" t="str">
        <f aca="false">IF($X194="","",INDEX('Per Line'!$I$2:$I$4001,$X194))</f>
        <v/>
      </c>
      <c r="H194" s="20" t="str">
        <f aca="false">IF($X194="","",INDEX('Per Line'!$J$2:$J$4001,$X194))</f>
        <v/>
      </c>
      <c r="I194" s="20" t="str">
        <f aca="false">IF($X194="","",INDEX('Per Line'!$K$2:$K$4001,$X194))</f>
        <v/>
      </c>
      <c r="J194" s="20" t="str">
        <f aca="false">IF($X194="","",INDEX('Per Line'!$L$2:$L$4001,$X194))</f>
        <v/>
      </c>
      <c r="K194" s="20" t="str">
        <f aca="false">IF($X194="","",INDEX('Per Line'!$M$2:$M$4001,$X194))</f>
        <v/>
      </c>
      <c r="L194" s="22" t="str">
        <f aca="false">IF($X194="","",K194*V194/100)</f>
        <v/>
      </c>
      <c r="M194" s="20" t="str">
        <f aca="false">IF($X194="","",INDEX('Per Line'!$Z$2:$Z$4001,$X194))</f>
        <v/>
      </c>
      <c r="N194" s="23" t="str">
        <f aca="false">IF($X194="","",Settings!$C$7)</f>
        <v/>
      </c>
      <c r="O194" s="22" t="str">
        <f aca="false">IF($X194="","",SUMIFS('Per Line'!$Y$2:$Y$4001,'Per Line'!$D$2:$D$4001,$B194,'Per Line'!$AJ$2:$AJ$4001,0))</f>
        <v/>
      </c>
      <c r="P194" s="22" t="str">
        <f aca="false">IF($X194="","",O194*N194)</f>
        <v/>
      </c>
      <c r="Q194" s="23" t="str">
        <f aca="false">IF($X194="","",Settings!$C$6)</f>
        <v/>
      </c>
      <c r="R194" s="22" t="str">
        <f aca="false">IF($X194="","",SUMIFS('Per Line'!$Y$2:$Y$4001,'Per Line'!$D$2:$D$4001,$B194,'Per Line'!$AJ$2:$AJ$4001,1))</f>
        <v/>
      </c>
      <c r="S194" s="22" t="str">
        <f aca="false">IF($X194="","",R194*Q194)</f>
        <v/>
      </c>
      <c r="T194" s="22" t="str">
        <f aca="false">IF($X194="","",S194+P194)</f>
        <v/>
      </c>
      <c r="U194" s="22" t="str">
        <f aca="false">IF($X194="","",V194-T194)</f>
        <v/>
      </c>
      <c r="V194" s="22" t="str">
        <f aca="false">IF($X194="","",O194+R194)</f>
        <v/>
      </c>
      <c r="W194" s="22" t="str">
        <f aca="false">IF($X194="","",U194-L194)</f>
        <v/>
      </c>
      <c r="X194" s="24" t="str">
        <f aca="false">IF(ROWS($X$2:$X194)&lt;=MAX('Per Line'!$AI$2:$AI$4001),MATCH(ROWS($X$2:$X194),'Per Line'!$AI$2:$AI$4001,0),"")</f>
        <v/>
      </c>
    </row>
    <row r="195" customFormat="false" ht="15" hidden="false" customHeight="false" outlineLevel="0" collapsed="false">
      <c r="A195" s="19"/>
      <c r="B195" s="20" t="str">
        <f aca="false">IF($X195="","",INDEX('Per Line'!$D$2:$D$4001,$X195))</f>
        <v/>
      </c>
      <c r="C195" s="20" t="str">
        <f aca="false">IF($X195="","",INDEX('Per Line'!$C$2:$C$4001,$X195))</f>
        <v/>
      </c>
      <c r="D195" s="20" t="str">
        <f aca="false">IF($X195="","",INDEX('Per Line'!$A$2:$A$4001,$X195))</f>
        <v/>
      </c>
      <c r="E195" s="21" t="str">
        <f aca="false">IF($X195="","",INDEX('Per Line'!$F$2:$F$4001,$X195))</f>
        <v/>
      </c>
      <c r="F195" s="20" t="str">
        <f aca="false">IF($X195="","",INDEX('Per Line'!$G$2:$G$4001,$X195))</f>
        <v/>
      </c>
      <c r="G195" s="20" t="str">
        <f aca="false">IF($X195="","",INDEX('Per Line'!$I$2:$I$4001,$X195))</f>
        <v/>
      </c>
      <c r="H195" s="20" t="str">
        <f aca="false">IF($X195="","",INDEX('Per Line'!$J$2:$J$4001,$X195))</f>
        <v/>
      </c>
      <c r="I195" s="20" t="str">
        <f aca="false">IF($X195="","",INDEX('Per Line'!$K$2:$K$4001,$X195))</f>
        <v/>
      </c>
      <c r="J195" s="20" t="str">
        <f aca="false">IF($X195="","",INDEX('Per Line'!$L$2:$L$4001,$X195))</f>
        <v/>
      </c>
      <c r="K195" s="20" t="str">
        <f aca="false">IF($X195="","",INDEX('Per Line'!$M$2:$M$4001,$X195))</f>
        <v/>
      </c>
      <c r="L195" s="22" t="str">
        <f aca="false">IF($X195="","",K195*V195/100)</f>
        <v/>
      </c>
      <c r="M195" s="20" t="str">
        <f aca="false">IF($X195="","",INDEX('Per Line'!$Z$2:$Z$4001,$X195))</f>
        <v/>
      </c>
      <c r="N195" s="23" t="str">
        <f aca="false">IF($X195="","",Settings!$C$7)</f>
        <v/>
      </c>
      <c r="O195" s="22" t="str">
        <f aca="false">IF($X195="","",SUMIFS('Per Line'!$Y$2:$Y$4001,'Per Line'!$D$2:$D$4001,$B195,'Per Line'!$AJ$2:$AJ$4001,0))</f>
        <v/>
      </c>
      <c r="P195" s="22" t="str">
        <f aca="false">IF($X195="","",O195*N195)</f>
        <v/>
      </c>
      <c r="Q195" s="23" t="str">
        <f aca="false">IF($X195="","",Settings!$C$6)</f>
        <v/>
      </c>
      <c r="R195" s="22" t="str">
        <f aca="false">IF($X195="","",SUMIFS('Per Line'!$Y$2:$Y$4001,'Per Line'!$D$2:$D$4001,$B195,'Per Line'!$AJ$2:$AJ$4001,1))</f>
        <v/>
      </c>
      <c r="S195" s="22" t="str">
        <f aca="false">IF($X195="","",R195*Q195)</f>
        <v/>
      </c>
      <c r="T195" s="22" t="str">
        <f aca="false">IF($X195="","",S195+P195)</f>
        <v/>
      </c>
      <c r="U195" s="22" t="str">
        <f aca="false">IF($X195="","",V195-T195)</f>
        <v/>
      </c>
      <c r="V195" s="22" t="str">
        <f aca="false">IF($X195="","",O195+R195)</f>
        <v/>
      </c>
      <c r="W195" s="22" t="str">
        <f aca="false">IF($X195="","",U195-L195)</f>
        <v/>
      </c>
      <c r="X195" s="24" t="str">
        <f aca="false">IF(ROWS($X$2:$X195)&lt;=MAX('Per Line'!$AI$2:$AI$4001),MATCH(ROWS($X$2:$X195),'Per Line'!$AI$2:$AI$4001,0),"")</f>
        <v/>
      </c>
    </row>
    <row r="196" customFormat="false" ht="15" hidden="false" customHeight="false" outlineLevel="0" collapsed="false">
      <c r="A196" s="19"/>
      <c r="B196" s="20" t="str">
        <f aca="false">IF($X196="","",INDEX('Per Line'!$D$2:$D$4001,$X196))</f>
        <v/>
      </c>
      <c r="C196" s="20" t="str">
        <f aca="false">IF($X196="","",INDEX('Per Line'!$C$2:$C$4001,$X196))</f>
        <v/>
      </c>
      <c r="D196" s="20" t="str">
        <f aca="false">IF($X196="","",INDEX('Per Line'!$A$2:$A$4001,$X196))</f>
        <v/>
      </c>
      <c r="E196" s="21" t="str">
        <f aca="false">IF($X196="","",INDEX('Per Line'!$F$2:$F$4001,$X196))</f>
        <v/>
      </c>
      <c r="F196" s="20" t="str">
        <f aca="false">IF($X196="","",INDEX('Per Line'!$G$2:$G$4001,$X196))</f>
        <v/>
      </c>
      <c r="G196" s="20" t="str">
        <f aca="false">IF($X196="","",INDEX('Per Line'!$I$2:$I$4001,$X196))</f>
        <v/>
      </c>
      <c r="H196" s="20" t="str">
        <f aca="false">IF($X196="","",INDEX('Per Line'!$J$2:$J$4001,$X196))</f>
        <v/>
      </c>
      <c r="I196" s="20" t="str">
        <f aca="false">IF($X196="","",INDEX('Per Line'!$K$2:$K$4001,$X196))</f>
        <v/>
      </c>
      <c r="J196" s="20" t="str">
        <f aca="false">IF($X196="","",INDEX('Per Line'!$L$2:$L$4001,$X196))</f>
        <v/>
      </c>
      <c r="K196" s="20" t="str">
        <f aca="false">IF($X196="","",INDEX('Per Line'!$M$2:$M$4001,$X196))</f>
        <v/>
      </c>
      <c r="L196" s="22" t="str">
        <f aca="false">IF($X196="","",K196*V196/100)</f>
        <v/>
      </c>
      <c r="M196" s="20" t="str">
        <f aca="false">IF($X196="","",INDEX('Per Line'!$Z$2:$Z$4001,$X196))</f>
        <v/>
      </c>
      <c r="N196" s="23" t="str">
        <f aca="false">IF($X196="","",Settings!$C$7)</f>
        <v/>
      </c>
      <c r="O196" s="22" t="str">
        <f aca="false">IF($X196="","",SUMIFS('Per Line'!$Y$2:$Y$4001,'Per Line'!$D$2:$D$4001,$B196,'Per Line'!$AJ$2:$AJ$4001,0))</f>
        <v/>
      </c>
      <c r="P196" s="22" t="str">
        <f aca="false">IF($X196="","",O196*N196)</f>
        <v/>
      </c>
      <c r="Q196" s="23" t="str">
        <f aca="false">IF($X196="","",Settings!$C$6)</f>
        <v/>
      </c>
      <c r="R196" s="22" t="str">
        <f aca="false">IF($X196="","",SUMIFS('Per Line'!$Y$2:$Y$4001,'Per Line'!$D$2:$D$4001,$B196,'Per Line'!$AJ$2:$AJ$4001,1))</f>
        <v/>
      </c>
      <c r="S196" s="22" t="str">
        <f aca="false">IF($X196="","",R196*Q196)</f>
        <v/>
      </c>
      <c r="T196" s="22" t="str">
        <f aca="false">IF($X196="","",S196+P196)</f>
        <v/>
      </c>
      <c r="U196" s="22" t="str">
        <f aca="false">IF($X196="","",V196-T196)</f>
        <v/>
      </c>
      <c r="V196" s="22" t="str">
        <f aca="false">IF($X196="","",O196+R196)</f>
        <v/>
      </c>
      <c r="W196" s="22" t="str">
        <f aca="false">IF($X196="","",U196-L196)</f>
        <v/>
      </c>
      <c r="X196" s="24" t="str">
        <f aca="false">IF(ROWS($X$2:$X196)&lt;=MAX('Per Line'!$AI$2:$AI$4001),MATCH(ROWS($X$2:$X196),'Per Line'!$AI$2:$AI$4001,0),"")</f>
        <v/>
      </c>
    </row>
    <row r="197" customFormat="false" ht="15" hidden="false" customHeight="false" outlineLevel="0" collapsed="false">
      <c r="A197" s="19"/>
      <c r="B197" s="20" t="str">
        <f aca="false">IF($X197="","",INDEX('Per Line'!$D$2:$D$4001,$X197))</f>
        <v/>
      </c>
      <c r="C197" s="20" t="str">
        <f aca="false">IF($X197="","",INDEX('Per Line'!$C$2:$C$4001,$X197))</f>
        <v/>
      </c>
      <c r="D197" s="20" t="str">
        <f aca="false">IF($X197="","",INDEX('Per Line'!$A$2:$A$4001,$X197))</f>
        <v/>
      </c>
      <c r="E197" s="21" t="str">
        <f aca="false">IF($X197="","",INDEX('Per Line'!$F$2:$F$4001,$X197))</f>
        <v/>
      </c>
      <c r="F197" s="20" t="str">
        <f aca="false">IF($X197="","",INDEX('Per Line'!$G$2:$G$4001,$X197))</f>
        <v/>
      </c>
      <c r="G197" s="20" t="str">
        <f aca="false">IF($X197="","",INDEX('Per Line'!$I$2:$I$4001,$X197))</f>
        <v/>
      </c>
      <c r="H197" s="20" t="str">
        <f aca="false">IF($X197="","",INDEX('Per Line'!$J$2:$J$4001,$X197))</f>
        <v/>
      </c>
      <c r="I197" s="20" t="str">
        <f aca="false">IF($X197="","",INDEX('Per Line'!$K$2:$K$4001,$X197))</f>
        <v/>
      </c>
      <c r="J197" s="20" t="str">
        <f aca="false">IF($X197="","",INDEX('Per Line'!$L$2:$L$4001,$X197))</f>
        <v/>
      </c>
      <c r="K197" s="20" t="str">
        <f aca="false">IF($X197="","",INDEX('Per Line'!$M$2:$M$4001,$X197))</f>
        <v/>
      </c>
      <c r="L197" s="22" t="str">
        <f aca="false">IF($X197="","",K197*V197/100)</f>
        <v/>
      </c>
      <c r="M197" s="20" t="str">
        <f aca="false">IF($X197="","",INDEX('Per Line'!$Z$2:$Z$4001,$X197))</f>
        <v/>
      </c>
      <c r="N197" s="23" t="str">
        <f aca="false">IF($X197="","",Settings!$C$7)</f>
        <v/>
      </c>
      <c r="O197" s="22" t="str">
        <f aca="false">IF($X197="","",SUMIFS('Per Line'!$Y$2:$Y$4001,'Per Line'!$D$2:$D$4001,$B197,'Per Line'!$AJ$2:$AJ$4001,0))</f>
        <v/>
      </c>
      <c r="P197" s="22" t="str">
        <f aca="false">IF($X197="","",O197*N197)</f>
        <v/>
      </c>
      <c r="Q197" s="23" t="str">
        <f aca="false">IF($X197="","",Settings!$C$6)</f>
        <v/>
      </c>
      <c r="R197" s="22" t="str">
        <f aca="false">IF($X197="","",SUMIFS('Per Line'!$Y$2:$Y$4001,'Per Line'!$D$2:$D$4001,$B197,'Per Line'!$AJ$2:$AJ$4001,1))</f>
        <v/>
      </c>
      <c r="S197" s="22" t="str">
        <f aca="false">IF($X197="","",R197*Q197)</f>
        <v/>
      </c>
      <c r="T197" s="22" t="str">
        <f aca="false">IF($X197="","",S197+P197)</f>
        <v/>
      </c>
      <c r="U197" s="22" t="str">
        <f aca="false">IF($X197="","",V197-T197)</f>
        <v/>
      </c>
      <c r="V197" s="22" t="str">
        <f aca="false">IF($X197="","",O197+R197)</f>
        <v/>
      </c>
      <c r="W197" s="22" t="str">
        <f aca="false">IF($X197="","",U197-L197)</f>
        <v/>
      </c>
      <c r="X197" s="24" t="str">
        <f aca="false">IF(ROWS($X$2:$X197)&lt;=MAX('Per Line'!$AI$2:$AI$4001),MATCH(ROWS($X$2:$X197),'Per Line'!$AI$2:$AI$4001,0),"")</f>
        <v/>
      </c>
    </row>
    <row r="198" customFormat="false" ht="15" hidden="false" customHeight="false" outlineLevel="0" collapsed="false">
      <c r="A198" s="19"/>
      <c r="B198" s="20" t="str">
        <f aca="false">IF($X198="","",INDEX('Per Line'!$D$2:$D$4001,$X198))</f>
        <v/>
      </c>
      <c r="C198" s="20" t="str">
        <f aca="false">IF($X198="","",INDEX('Per Line'!$C$2:$C$4001,$X198))</f>
        <v/>
      </c>
      <c r="D198" s="20" t="str">
        <f aca="false">IF($X198="","",INDEX('Per Line'!$A$2:$A$4001,$X198))</f>
        <v/>
      </c>
      <c r="E198" s="21" t="str">
        <f aca="false">IF($X198="","",INDEX('Per Line'!$F$2:$F$4001,$X198))</f>
        <v/>
      </c>
      <c r="F198" s="20" t="str">
        <f aca="false">IF($X198="","",INDEX('Per Line'!$G$2:$G$4001,$X198))</f>
        <v/>
      </c>
      <c r="G198" s="20" t="str">
        <f aca="false">IF($X198="","",INDEX('Per Line'!$I$2:$I$4001,$X198))</f>
        <v/>
      </c>
      <c r="H198" s="20" t="str">
        <f aca="false">IF($X198="","",INDEX('Per Line'!$J$2:$J$4001,$X198))</f>
        <v/>
      </c>
      <c r="I198" s="20" t="str">
        <f aca="false">IF($X198="","",INDEX('Per Line'!$K$2:$K$4001,$X198))</f>
        <v/>
      </c>
      <c r="J198" s="20" t="str">
        <f aca="false">IF($X198="","",INDEX('Per Line'!$L$2:$L$4001,$X198))</f>
        <v/>
      </c>
      <c r="K198" s="20" t="str">
        <f aca="false">IF($X198="","",INDEX('Per Line'!$M$2:$M$4001,$X198))</f>
        <v/>
      </c>
      <c r="L198" s="22" t="str">
        <f aca="false">IF($X198="","",K198*V198/100)</f>
        <v/>
      </c>
      <c r="M198" s="20" t="str">
        <f aca="false">IF($X198="","",INDEX('Per Line'!$Z$2:$Z$4001,$X198))</f>
        <v/>
      </c>
      <c r="N198" s="23" t="str">
        <f aca="false">IF($X198="","",Settings!$C$7)</f>
        <v/>
      </c>
      <c r="O198" s="22" t="str">
        <f aca="false">IF($X198="","",SUMIFS('Per Line'!$Y$2:$Y$4001,'Per Line'!$D$2:$D$4001,$B198,'Per Line'!$AJ$2:$AJ$4001,0))</f>
        <v/>
      </c>
      <c r="P198" s="22" t="str">
        <f aca="false">IF($X198="","",O198*N198)</f>
        <v/>
      </c>
      <c r="Q198" s="23" t="str">
        <f aca="false">IF($X198="","",Settings!$C$6)</f>
        <v/>
      </c>
      <c r="R198" s="22" t="str">
        <f aca="false">IF($X198="","",SUMIFS('Per Line'!$Y$2:$Y$4001,'Per Line'!$D$2:$D$4001,$B198,'Per Line'!$AJ$2:$AJ$4001,1))</f>
        <v/>
      </c>
      <c r="S198" s="22" t="str">
        <f aca="false">IF($X198="","",R198*Q198)</f>
        <v/>
      </c>
      <c r="T198" s="22" t="str">
        <f aca="false">IF($X198="","",S198+P198)</f>
        <v/>
      </c>
      <c r="U198" s="22" t="str">
        <f aca="false">IF($X198="","",V198-T198)</f>
        <v/>
      </c>
      <c r="V198" s="22" t="str">
        <f aca="false">IF($X198="","",O198+R198)</f>
        <v/>
      </c>
      <c r="W198" s="22" t="str">
        <f aca="false">IF($X198="","",U198-L198)</f>
        <v/>
      </c>
      <c r="X198" s="24" t="str">
        <f aca="false">IF(ROWS($X$2:$X198)&lt;=MAX('Per Line'!$AI$2:$AI$4001),MATCH(ROWS($X$2:$X198),'Per Line'!$AI$2:$AI$4001,0),"")</f>
        <v/>
      </c>
    </row>
    <row r="199" customFormat="false" ht="15" hidden="false" customHeight="false" outlineLevel="0" collapsed="false">
      <c r="A199" s="19"/>
      <c r="B199" s="20" t="str">
        <f aca="false">IF($X199="","",INDEX('Per Line'!$D$2:$D$4001,$X199))</f>
        <v/>
      </c>
      <c r="C199" s="20" t="str">
        <f aca="false">IF($X199="","",INDEX('Per Line'!$C$2:$C$4001,$X199))</f>
        <v/>
      </c>
      <c r="D199" s="20" t="str">
        <f aca="false">IF($X199="","",INDEX('Per Line'!$A$2:$A$4001,$X199))</f>
        <v/>
      </c>
      <c r="E199" s="21" t="str">
        <f aca="false">IF($X199="","",INDEX('Per Line'!$F$2:$F$4001,$X199))</f>
        <v/>
      </c>
      <c r="F199" s="20" t="str">
        <f aca="false">IF($X199="","",INDEX('Per Line'!$G$2:$G$4001,$X199))</f>
        <v/>
      </c>
      <c r="G199" s="20" t="str">
        <f aca="false">IF($X199="","",INDEX('Per Line'!$I$2:$I$4001,$X199))</f>
        <v/>
      </c>
      <c r="H199" s="20" t="str">
        <f aca="false">IF($X199="","",INDEX('Per Line'!$J$2:$J$4001,$X199))</f>
        <v/>
      </c>
      <c r="I199" s="20" t="str">
        <f aca="false">IF($X199="","",INDEX('Per Line'!$K$2:$K$4001,$X199))</f>
        <v/>
      </c>
      <c r="J199" s="20" t="str">
        <f aca="false">IF($X199="","",INDEX('Per Line'!$L$2:$L$4001,$X199))</f>
        <v/>
      </c>
      <c r="K199" s="20" t="str">
        <f aca="false">IF($X199="","",INDEX('Per Line'!$M$2:$M$4001,$X199))</f>
        <v/>
      </c>
      <c r="L199" s="22" t="str">
        <f aca="false">IF($X199="","",K199*V199/100)</f>
        <v/>
      </c>
      <c r="M199" s="20" t="str">
        <f aca="false">IF($X199="","",INDEX('Per Line'!$Z$2:$Z$4001,$X199))</f>
        <v/>
      </c>
      <c r="N199" s="23" t="str">
        <f aca="false">IF($X199="","",Settings!$C$7)</f>
        <v/>
      </c>
      <c r="O199" s="22" t="str">
        <f aca="false">IF($X199="","",SUMIFS('Per Line'!$Y$2:$Y$4001,'Per Line'!$D$2:$D$4001,$B199,'Per Line'!$AJ$2:$AJ$4001,0))</f>
        <v/>
      </c>
      <c r="P199" s="22" t="str">
        <f aca="false">IF($X199="","",O199*N199)</f>
        <v/>
      </c>
      <c r="Q199" s="23" t="str">
        <f aca="false">IF($X199="","",Settings!$C$6)</f>
        <v/>
      </c>
      <c r="R199" s="22" t="str">
        <f aca="false">IF($X199="","",SUMIFS('Per Line'!$Y$2:$Y$4001,'Per Line'!$D$2:$D$4001,$B199,'Per Line'!$AJ$2:$AJ$4001,1))</f>
        <v/>
      </c>
      <c r="S199" s="22" t="str">
        <f aca="false">IF($X199="","",R199*Q199)</f>
        <v/>
      </c>
      <c r="T199" s="22" t="str">
        <f aca="false">IF($X199="","",S199+P199)</f>
        <v/>
      </c>
      <c r="U199" s="22" t="str">
        <f aca="false">IF($X199="","",V199-T199)</f>
        <v/>
      </c>
      <c r="V199" s="22" t="str">
        <f aca="false">IF($X199="","",O199+R199)</f>
        <v/>
      </c>
      <c r="W199" s="22" t="str">
        <f aca="false">IF($X199="","",U199-L199)</f>
        <v/>
      </c>
      <c r="X199" s="24" t="str">
        <f aca="false">IF(ROWS($X$2:$X199)&lt;=MAX('Per Line'!$AI$2:$AI$4001),MATCH(ROWS($X$2:$X199),'Per Line'!$AI$2:$AI$4001,0),"")</f>
        <v/>
      </c>
    </row>
    <row r="200" customFormat="false" ht="15" hidden="false" customHeight="false" outlineLevel="0" collapsed="false">
      <c r="A200" s="19"/>
      <c r="B200" s="20" t="str">
        <f aca="false">IF($X200="","",INDEX('Per Line'!$D$2:$D$4001,$X200))</f>
        <v/>
      </c>
      <c r="C200" s="20" t="str">
        <f aca="false">IF($X200="","",INDEX('Per Line'!$C$2:$C$4001,$X200))</f>
        <v/>
      </c>
      <c r="D200" s="20" t="str">
        <f aca="false">IF($X200="","",INDEX('Per Line'!$A$2:$A$4001,$X200))</f>
        <v/>
      </c>
      <c r="E200" s="21" t="str">
        <f aca="false">IF($X200="","",INDEX('Per Line'!$F$2:$F$4001,$X200))</f>
        <v/>
      </c>
      <c r="F200" s="20" t="str">
        <f aca="false">IF($X200="","",INDEX('Per Line'!$G$2:$G$4001,$X200))</f>
        <v/>
      </c>
      <c r="G200" s="20" t="str">
        <f aca="false">IF($X200="","",INDEX('Per Line'!$I$2:$I$4001,$X200))</f>
        <v/>
      </c>
      <c r="H200" s="20" t="str">
        <f aca="false">IF($X200="","",INDEX('Per Line'!$J$2:$J$4001,$X200))</f>
        <v/>
      </c>
      <c r="I200" s="20" t="str">
        <f aca="false">IF($X200="","",INDEX('Per Line'!$K$2:$K$4001,$X200))</f>
        <v/>
      </c>
      <c r="J200" s="20" t="str">
        <f aca="false">IF($X200="","",INDEX('Per Line'!$L$2:$L$4001,$X200))</f>
        <v/>
      </c>
      <c r="K200" s="20" t="str">
        <f aca="false">IF($X200="","",INDEX('Per Line'!$M$2:$M$4001,$X200))</f>
        <v/>
      </c>
      <c r="L200" s="22" t="str">
        <f aca="false">IF($X200="","",K200*V200/100)</f>
        <v/>
      </c>
      <c r="M200" s="20" t="str">
        <f aca="false">IF($X200="","",INDEX('Per Line'!$Z$2:$Z$4001,$X200))</f>
        <v/>
      </c>
      <c r="N200" s="23" t="str">
        <f aca="false">IF($X200="","",Settings!$C$7)</f>
        <v/>
      </c>
      <c r="O200" s="22" t="str">
        <f aca="false">IF($X200="","",SUMIFS('Per Line'!$Y$2:$Y$4001,'Per Line'!$D$2:$D$4001,$B200,'Per Line'!$AJ$2:$AJ$4001,0))</f>
        <v/>
      </c>
      <c r="P200" s="22" t="str">
        <f aca="false">IF($X200="","",O200*N200)</f>
        <v/>
      </c>
      <c r="Q200" s="23" t="str">
        <f aca="false">IF($X200="","",Settings!$C$6)</f>
        <v/>
      </c>
      <c r="R200" s="22" t="str">
        <f aca="false">IF($X200="","",SUMIFS('Per Line'!$Y$2:$Y$4001,'Per Line'!$D$2:$D$4001,$B200,'Per Line'!$AJ$2:$AJ$4001,1))</f>
        <v/>
      </c>
      <c r="S200" s="22" t="str">
        <f aca="false">IF($X200="","",R200*Q200)</f>
        <v/>
      </c>
      <c r="T200" s="22" t="str">
        <f aca="false">IF($X200="","",S200+P200)</f>
        <v/>
      </c>
      <c r="U200" s="22" t="str">
        <f aca="false">IF($X200="","",V200-T200)</f>
        <v/>
      </c>
      <c r="V200" s="22" t="str">
        <f aca="false">IF($X200="","",O200+R200)</f>
        <v/>
      </c>
      <c r="W200" s="22" t="str">
        <f aca="false">IF($X200="","",U200-L200)</f>
        <v/>
      </c>
      <c r="X200" s="24" t="str">
        <f aca="false">IF(ROWS($X$2:$X200)&lt;=MAX('Per Line'!$AI$2:$AI$4001),MATCH(ROWS($X$2:$X200),'Per Line'!$AI$2:$AI$4001,0),"")</f>
        <v/>
      </c>
    </row>
    <row r="201" customFormat="false" ht="15" hidden="false" customHeight="false" outlineLevel="0" collapsed="false">
      <c r="A201" s="19"/>
      <c r="B201" s="20" t="str">
        <f aca="false">IF($X201="","",INDEX('Per Line'!$D$2:$D$4001,$X201))</f>
        <v/>
      </c>
      <c r="C201" s="20" t="str">
        <f aca="false">IF($X201="","",INDEX('Per Line'!$C$2:$C$4001,$X201))</f>
        <v/>
      </c>
      <c r="D201" s="20" t="str">
        <f aca="false">IF($X201="","",INDEX('Per Line'!$A$2:$A$4001,$X201))</f>
        <v/>
      </c>
      <c r="E201" s="21" t="str">
        <f aca="false">IF($X201="","",INDEX('Per Line'!$F$2:$F$4001,$X201))</f>
        <v/>
      </c>
      <c r="F201" s="20" t="str">
        <f aca="false">IF($X201="","",INDEX('Per Line'!$G$2:$G$4001,$X201))</f>
        <v/>
      </c>
      <c r="G201" s="20" t="str">
        <f aca="false">IF($X201="","",INDEX('Per Line'!$I$2:$I$4001,$X201))</f>
        <v/>
      </c>
      <c r="H201" s="20" t="str">
        <f aca="false">IF($X201="","",INDEX('Per Line'!$J$2:$J$4001,$X201))</f>
        <v/>
      </c>
      <c r="I201" s="20" t="str">
        <f aca="false">IF($X201="","",INDEX('Per Line'!$K$2:$K$4001,$X201))</f>
        <v/>
      </c>
      <c r="J201" s="20" t="str">
        <f aca="false">IF($X201="","",INDEX('Per Line'!$L$2:$L$4001,$X201))</f>
        <v/>
      </c>
      <c r="K201" s="20" t="str">
        <f aca="false">IF($X201="","",INDEX('Per Line'!$M$2:$M$4001,$X201))</f>
        <v/>
      </c>
      <c r="L201" s="22" t="str">
        <f aca="false">IF($X201="","",K201*V201/100)</f>
        <v/>
      </c>
      <c r="M201" s="20" t="str">
        <f aca="false">IF($X201="","",INDEX('Per Line'!$Z$2:$Z$4001,$X201))</f>
        <v/>
      </c>
      <c r="N201" s="23" t="str">
        <f aca="false">IF($X201="","",Settings!$C$7)</f>
        <v/>
      </c>
      <c r="O201" s="22" t="str">
        <f aca="false">IF($X201="","",SUMIFS('Per Line'!$Y$2:$Y$4001,'Per Line'!$D$2:$D$4001,$B201,'Per Line'!$AJ$2:$AJ$4001,0))</f>
        <v/>
      </c>
      <c r="P201" s="22" t="str">
        <f aca="false">IF($X201="","",O201*N201)</f>
        <v/>
      </c>
      <c r="Q201" s="23" t="str">
        <f aca="false">IF($X201="","",Settings!$C$6)</f>
        <v/>
      </c>
      <c r="R201" s="22" t="str">
        <f aca="false">IF($X201="","",SUMIFS('Per Line'!$Y$2:$Y$4001,'Per Line'!$D$2:$D$4001,$B201,'Per Line'!$AJ$2:$AJ$4001,1))</f>
        <v/>
      </c>
      <c r="S201" s="22" t="str">
        <f aca="false">IF($X201="","",R201*Q201)</f>
        <v/>
      </c>
      <c r="T201" s="22" t="str">
        <f aca="false">IF($X201="","",S201+P201)</f>
        <v/>
      </c>
      <c r="U201" s="22" t="str">
        <f aca="false">IF($X201="","",V201-T201)</f>
        <v/>
      </c>
      <c r="V201" s="22" t="str">
        <f aca="false">IF($X201="","",O201+R201)</f>
        <v/>
      </c>
      <c r="W201" s="22" t="str">
        <f aca="false">IF($X201="","",U201-L201)</f>
        <v/>
      </c>
      <c r="X201" s="24" t="str">
        <f aca="false">IF(ROWS($X$2:$X201)&lt;=MAX('Per Line'!$AI$2:$AI$4001),MATCH(ROWS($X$2:$X201),'Per Line'!$AI$2:$AI$4001,0),"")</f>
        <v/>
      </c>
    </row>
    <row r="202" customFormat="false" ht="15" hidden="false" customHeight="false" outlineLevel="0" collapsed="false">
      <c r="A202" s="19"/>
      <c r="B202" s="20" t="str">
        <f aca="false">IF($X202="","",INDEX('Per Line'!$D$2:$D$4001,$X202))</f>
        <v/>
      </c>
      <c r="C202" s="20" t="str">
        <f aca="false">IF($X202="","",INDEX('Per Line'!$C$2:$C$4001,$X202))</f>
        <v/>
      </c>
      <c r="D202" s="20" t="str">
        <f aca="false">IF($X202="","",INDEX('Per Line'!$A$2:$A$4001,$X202))</f>
        <v/>
      </c>
      <c r="E202" s="21" t="str">
        <f aca="false">IF($X202="","",INDEX('Per Line'!$F$2:$F$4001,$X202))</f>
        <v/>
      </c>
      <c r="F202" s="20" t="str">
        <f aca="false">IF($X202="","",INDEX('Per Line'!$G$2:$G$4001,$X202))</f>
        <v/>
      </c>
      <c r="G202" s="20" t="str">
        <f aca="false">IF($X202="","",INDEX('Per Line'!$I$2:$I$4001,$X202))</f>
        <v/>
      </c>
      <c r="H202" s="20" t="str">
        <f aca="false">IF($X202="","",INDEX('Per Line'!$J$2:$J$4001,$X202))</f>
        <v/>
      </c>
      <c r="I202" s="20" t="str">
        <f aca="false">IF($X202="","",INDEX('Per Line'!$K$2:$K$4001,$X202))</f>
        <v/>
      </c>
      <c r="J202" s="20" t="str">
        <f aca="false">IF($X202="","",INDEX('Per Line'!$L$2:$L$4001,$X202))</f>
        <v/>
      </c>
      <c r="K202" s="20" t="str">
        <f aca="false">IF($X202="","",INDEX('Per Line'!$M$2:$M$4001,$X202))</f>
        <v/>
      </c>
      <c r="L202" s="22" t="str">
        <f aca="false">IF($X202="","",K202*V202/100)</f>
        <v/>
      </c>
      <c r="M202" s="20" t="str">
        <f aca="false">IF($X202="","",INDEX('Per Line'!$Z$2:$Z$4001,$X202))</f>
        <v/>
      </c>
      <c r="N202" s="23" t="str">
        <f aca="false">IF($X202="","",Settings!$C$7)</f>
        <v/>
      </c>
      <c r="O202" s="22" t="str">
        <f aca="false">IF($X202="","",SUMIFS('Per Line'!$Y$2:$Y$4001,'Per Line'!$D$2:$D$4001,$B202,'Per Line'!$AJ$2:$AJ$4001,0))</f>
        <v/>
      </c>
      <c r="P202" s="22" t="str">
        <f aca="false">IF($X202="","",O202*N202)</f>
        <v/>
      </c>
      <c r="Q202" s="23" t="str">
        <f aca="false">IF($X202="","",Settings!$C$6)</f>
        <v/>
      </c>
      <c r="R202" s="22" t="str">
        <f aca="false">IF($X202="","",SUMIFS('Per Line'!$Y$2:$Y$4001,'Per Line'!$D$2:$D$4001,$B202,'Per Line'!$AJ$2:$AJ$4001,1))</f>
        <v/>
      </c>
      <c r="S202" s="22" t="str">
        <f aca="false">IF($X202="","",R202*Q202)</f>
        <v/>
      </c>
      <c r="T202" s="22" t="str">
        <f aca="false">IF($X202="","",S202+P202)</f>
        <v/>
      </c>
      <c r="U202" s="22" t="str">
        <f aca="false">IF($X202="","",V202-T202)</f>
        <v/>
      </c>
      <c r="V202" s="22" t="str">
        <f aca="false">IF($X202="","",O202+R202)</f>
        <v/>
      </c>
      <c r="W202" s="22" t="str">
        <f aca="false">IF($X202="","",U202-L202)</f>
        <v/>
      </c>
      <c r="X202" s="24" t="str">
        <f aca="false">IF(ROWS($X$2:$X202)&lt;=MAX('Per Line'!$AI$2:$AI$4001),MATCH(ROWS($X$2:$X202),'Per Line'!$AI$2:$AI$4001,0),"")</f>
        <v/>
      </c>
    </row>
    <row r="203" customFormat="false" ht="15" hidden="false" customHeight="false" outlineLevel="0" collapsed="false">
      <c r="A203" s="19"/>
      <c r="B203" s="20" t="str">
        <f aca="false">IF($X203="","",INDEX('Per Line'!$D$2:$D$4001,$X203))</f>
        <v/>
      </c>
      <c r="C203" s="20" t="str">
        <f aca="false">IF($X203="","",INDEX('Per Line'!$C$2:$C$4001,$X203))</f>
        <v/>
      </c>
      <c r="D203" s="20" t="str">
        <f aca="false">IF($X203="","",INDEX('Per Line'!$A$2:$A$4001,$X203))</f>
        <v/>
      </c>
      <c r="E203" s="21" t="str">
        <f aca="false">IF($X203="","",INDEX('Per Line'!$F$2:$F$4001,$X203))</f>
        <v/>
      </c>
      <c r="F203" s="20" t="str">
        <f aca="false">IF($X203="","",INDEX('Per Line'!$G$2:$G$4001,$X203))</f>
        <v/>
      </c>
      <c r="G203" s="20" t="str">
        <f aca="false">IF($X203="","",INDEX('Per Line'!$I$2:$I$4001,$X203))</f>
        <v/>
      </c>
      <c r="H203" s="20" t="str">
        <f aca="false">IF($X203="","",INDEX('Per Line'!$J$2:$J$4001,$X203))</f>
        <v/>
      </c>
      <c r="I203" s="20" t="str">
        <f aca="false">IF($X203="","",INDEX('Per Line'!$K$2:$K$4001,$X203))</f>
        <v/>
      </c>
      <c r="J203" s="20" t="str">
        <f aca="false">IF($X203="","",INDEX('Per Line'!$L$2:$L$4001,$X203))</f>
        <v/>
      </c>
      <c r="K203" s="20" t="str">
        <f aca="false">IF($X203="","",INDEX('Per Line'!$M$2:$M$4001,$X203))</f>
        <v/>
      </c>
      <c r="L203" s="22" t="str">
        <f aca="false">IF($X203="","",K203*V203/100)</f>
        <v/>
      </c>
      <c r="M203" s="20" t="str">
        <f aca="false">IF($X203="","",INDEX('Per Line'!$Z$2:$Z$4001,$X203))</f>
        <v/>
      </c>
      <c r="N203" s="23" t="str">
        <f aca="false">IF($X203="","",Settings!$C$7)</f>
        <v/>
      </c>
      <c r="O203" s="22" t="str">
        <f aca="false">IF($X203="","",SUMIFS('Per Line'!$Y$2:$Y$4001,'Per Line'!$D$2:$D$4001,$B203,'Per Line'!$AJ$2:$AJ$4001,0))</f>
        <v/>
      </c>
      <c r="P203" s="22" t="str">
        <f aca="false">IF($X203="","",O203*N203)</f>
        <v/>
      </c>
      <c r="Q203" s="23" t="str">
        <f aca="false">IF($X203="","",Settings!$C$6)</f>
        <v/>
      </c>
      <c r="R203" s="22" t="str">
        <f aca="false">IF($X203="","",SUMIFS('Per Line'!$Y$2:$Y$4001,'Per Line'!$D$2:$D$4001,$B203,'Per Line'!$AJ$2:$AJ$4001,1))</f>
        <v/>
      </c>
      <c r="S203" s="22" t="str">
        <f aca="false">IF($X203="","",R203*Q203)</f>
        <v/>
      </c>
      <c r="T203" s="22" t="str">
        <f aca="false">IF($X203="","",S203+P203)</f>
        <v/>
      </c>
      <c r="U203" s="22" t="str">
        <f aca="false">IF($X203="","",V203-T203)</f>
        <v/>
      </c>
      <c r="V203" s="22" t="str">
        <f aca="false">IF($X203="","",O203+R203)</f>
        <v/>
      </c>
      <c r="W203" s="22" t="str">
        <f aca="false">IF($X203="","",U203-L203)</f>
        <v/>
      </c>
      <c r="X203" s="24" t="str">
        <f aca="false">IF(ROWS($X$2:$X203)&lt;=MAX('Per Line'!$AI$2:$AI$4001),MATCH(ROWS($X$2:$X203),'Per Line'!$AI$2:$AI$4001,0),"")</f>
        <v/>
      </c>
    </row>
    <row r="204" customFormat="false" ht="15" hidden="false" customHeight="false" outlineLevel="0" collapsed="false">
      <c r="A204" s="19"/>
      <c r="B204" s="20" t="str">
        <f aca="false">IF($X204="","",INDEX('Per Line'!$D$2:$D$4001,$X204))</f>
        <v/>
      </c>
      <c r="C204" s="20" t="str">
        <f aca="false">IF($X204="","",INDEX('Per Line'!$C$2:$C$4001,$X204))</f>
        <v/>
      </c>
      <c r="D204" s="20" t="str">
        <f aca="false">IF($X204="","",INDEX('Per Line'!$A$2:$A$4001,$X204))</f>
        <v/>
      </c>
      <c r="E204" s="21" t="str">
        <f aca="false">IF($X204="","",INDEX('Per Line'!$F$2:$F$4001,$X204))</f>
        <v/>
      </c>
      <c r="F204" s="20" t="str">
        <f aca="false">IF($X204="","",INDEX('Per Line'!$G$2:$G$4001,$X204))</f>
        <v/>
      </c>
      <c r="G204" s="20" t="str">
        <f aca="false">IF($X204="","",INDEX('Per Line'!$I$2:$I$4001,$X204))</f>
        <v/>
      </c>
      <c r="H204" s="20" t="str">
        <f aca="false">IF($X204="","",INDEX('Per Line'!$J$2:$J$4001,$X204))</f>
        <v/>
      </c>
      <c r="I204" s="20" t="str">
        <f aca="false">IF($X204="","",INDEX('Per Line'!$K$2:$K$4001,$X204))</f>
        <v/>
      </c>
      <c r="J204" s="20" t="str">
        <f aca="false">IF($X204="","",INDEX('Per Line'!$L$2:$L$4001,$X204))</f>
        <v/>
      </c>
      <c r="K204" s="20" t="str">
        <f aca="false">IF($X204="","",INDEX('Per Line'!$M$2:$M$4001,$X204))</f>
        <v/>
      </c>
      <c r="L204" s="22" t="str">
        <f aca="false">IF($X204="","",K204*V204/100)</f>
        <v/>
      </c>
      <c r="M204" s="20" t="str">
        <f aca="false">IF($X204="","",INDEX('Per Line'!$Z$2:$Z$4001,$X204))</f>
        <v/>
      </c>
      <c r="N204" s="23" t="str">
        <f aca="false">IF($X204="","",Settings!$C$7)</f>
        <v/>
      </c>
      <c r="O204" s="22" t="str">
        <f aca="false">IF($X204="","",SUMIFS('Per Line'!$Y$2:$Y$4001,'Per Line'!$D$2:$D$4001,$B204,'Per Line'!$AJ$2:$AJ$4001,0))</f>
        <v/>
      </c>
      <c r="P204" s="22" t="str">
        <f aca="false">IF($X204="","",O204*N204)</f>
        <v/>
      </c>
      <c r="Q204" s="23" t="str">
        <f aca="false">IF($X204="","",Settings!$C$6)</f>
        <v/>
      </c>
      <c r="R204" s="22" t="str">
        <f aca="false">IF($X204="","",SUMIFS('Per Line'!$Y$2:$Y$4001,'Per Line'!$D$2:$D$4001,$B204,'Per Line'!$AJ$2:$AJ$4001,1))</f>
        <v/>
      </c>
      <c r="S204" s="22" t="str">
        <f aca="false">IF($X204="","",R204*Q204)</f>
        <v/>
      </c>
      <c r="T204" s="22" t="str">
        <f aca="false">IF($X204="","",S204+P204)</f>
        <v/>
      </c>
      <c r="U204" s="22" t="str">
        <f aca="false">IF($X204="","",V204-T204)</f>
        <v/>
      </c>
      <c r="V204" s="22" t="str">
        <f aca="false">IF($X204="","",O204+R204)</f>
        <v/>
      </c>
      <c r="W204" s="22" t="str">
        <f aca="false">IF($X204="","",U204-L204)</f>
        <v/>
      </c>
      <c r="X204" s="24" t="str">
        <f aca="false">IF(ROWS($X$2:$X204)&lt;=MAX('Per Line'!$AI$2:$AI$4001),MATCH(ROWS($X$2:$X204),'Per Line'!$AI$2:$AI$4001,0),"")</f>
        <v/>
      </c>
    </row>
    <row r="205" customFormat="false" ht="15" hidden="false" customHeight="false" outlineLevel="0" collapsed="false">
      <c r="A205" s="19"/>
      <c r="B205" s="20" t="str">
        <f aca="false">IF($X205="","",INDEX('Per Line'!$D$2:$D$4001,$X205))</f>
        <v/>
      </c>
      <c r="C205" s="20" t="str">
        <f aca="false">IF($X205="","",INDEX('Per Line'!$C$2:$C$4001,$X205))</f>
        <v/>
      </c>
      <c r="D205" s="20" t="str">
        <f aca="false">IF($X205="","",INDEX('Per Line'!$A$2:$A$4001,$X205))</f>
        <v/>
      </c>
      <c r="E205" s="21" t="str">
        <f aca="false">IF($X205="","",INDEX('Per Line'!$F$2:$F$4001,$X205))</f>
        <v/>
      </c>
      <c r="F205" s="20" t="str">
        <f aca="false">IF($X205="","",INDEX('Per Line'!$G$2:$G$4001,$X205))</f>
        <v/>
      </c>
      <c r="G205" s="20" t="str">
        <f aca="false">IF($X205="","",INDEX('Per Line'!$I$2:$I$4001,$X205))</f>
        <v/>
      </c>
      <c r="H205" s="20" t="str">
        <f aca="false">IF($X205="","",INDEX('Per Line'!$J$2:$J$4001,$X205))</f>
        <v/>
      </c>
      <c r="I205" s="20" t="str">
        <f aca="false">IF($X205="","",INDEX('Per Line'!$K$2:$K$4001,$X205))</f>
        <v/>
      </c>
      <c r="J205" s="20" t="str">
        <f aca="false">IF($X205="","",INDEX('Per Line'!$L$2:$L$4001,$X205))</f>
        <v/>
      </c>
      <c r="K205" s="20" t="str">
        <f aca="false">IF($X205="","",INDEX('Per Line'!$M$2:$M$4001,$X205))</f>
        <v/>
      </c>
      <c r="L205" s="22" t="str">
        <f aca="false">IF($X205="","",K205*V205/100)</f>
        <v/>
      </c>
      <c r="M205" s="20" t="str">
        <f aca="false">IF($X205="","",INDEX('Per Line'!$Z$2:$Z$4001,$X205))</f>
        <v/>
      </c>
      <c r="N205" s="23" t="str">
        <f aca="false">IF($X205="","",Settings!$C$7)</f>
        <v/>
      </c>
      <c r="O205" s="22" t="str">
        <f aca="false">IF($X205="","",SUMIFS('Per Line'!$Y$2:$Y$4001,'Per Line'!$D$2:$D$4001,$B205,'Per Line'!$AJ$2:$AJ$4001,0))</f>
        <v/>
      </c>
      <c r="P205" s="22" t="str">
        <f aca="false">IF($X205="","",O205*N205)</f>
        <v/>
      </c>
      <c r="Q205" s="23" t="str">
        <f aca="false">IF($X205="","",Settings!$C$6)</f>
        <v/>
      </c>
      <c r="R205" s="22" t="str">
        <f aca="false">IF($X205="","",SUMIFS('Per Line'!$Y$2:$Y$4001,'Per Line'!$D$2:$D$4001,$B205,'Per Line'!$AJ$2:$AJ$4001,1))</f>
        <v/>
      </c>
      <c r="S205" s="22" t="str">
        <f aca="false">IF($X205="","",R205*Q205)</f>
        <v/>
      </c>
      <c r="T205" s="22" t="str">
        <f aca="false">IF($X205="","",S205+P205)</f>
        <v/>
      </c>
      <c r="U205" s="22" t="str">
        <f aca="false">IF($X205="","",V205-T205)</f>
        <v/>
      </c>
      <c r="V205" s="22" t="str">
        <f aca="false">IF($X205="","",O205+R205)</f>
        <v/>
      </c>
      <c r="W205" s="22" t="str">
        <f aca="false">IF($X205="","",U205-L205)</f>
        <v/>
      </c>
      <c r="X205" s="24" t="str">
        <f aca="false">IF(ROWS($X$2:$X205)&lt;=MAX('Per Line'!$AI$2:$AI$4001),MATCH(ROWS($X$2:$X205),'Per Line'!$AI$2:$AI$4001,0),"")</f>
        <v/>
      </c>
    </row>
    <row r="206" customFormat="false" ht="15" hidden="false" customHeight="false" outlineLevel="0" collapsed="false">
      <c r="A206" s="19"/>
      <c r="B206" s="20" t="str">
        <f aca="false">IF($X206="","",INDEX('Per Line'!$D$2:$D$4001,$X206))</f>
        <v/>
      </c>
      <c r="C206" s="20" t="str">
        <f aca="false">IF($X206="","",INDEX('Per Line'!$C$2:$C$4001,$X206))</f>
        <v/>
      </c>
      <c r="D206" s="20" t="str">
        <f aca="false">IF($X206="","",INDEX('Per Line'!$A$2:$A$4001,$X206))</f>
        <v/>
      </c>
      <c r="E206" s="21" t="str">
        <f aca="false">IF($X206="","",INDEX('Per Line'!$F$2:$F$4001,$X206))</f>
        <v/>
      </c>
      <c r="F206" s="20" t="str">
        <f aca="false">IF($X206="","",INDEX('Per Line'!$G$2:$G$4001,$X206))</f>
        <v/>
      </c>
      <c r="G206" s="20" t="str">
        <f aca="false">IF($X206="","",INDEX('Per Line'!$I$2:$I$4001,$X206))</f>
        <v/>
      </c>
      <c r="H206" s="20" t="str">
        <f aca="false">IF($X206="","",INDEX('Per Line'!$J$2:$J$4001,$X206))</f>
        <v/>
      </c>
      <c r="I206" s="20" t="str">
        <f aca="false">IF($X206="","",INDEX('Per Line'!$K$2:$K$4001,$X206))</f>
        <v/>
      </c>
      <c r="J206" s="20" t="str">
        <f aca="false">IF($X206="","",INDEX('Per Line'!$L$2:$L$4001,$X206))</f>
        <v/>
      </c>
      <c r="K206" s="20" t="str">
        <f aca="false">IF($X206="","",INDEX('Per Line'!$M$2:$M$4001,$X206))</f>
        <v/>
      </c>
      <c r="L206" s="22" t="str">
        <f aca="false">IF($X206="","",K206*V206/100)</f>
        <v/>
      </c>
      <c r="M206" s="20" t="str">
        <f aca="false">IF($X206="","",INDEX('Per Line'!$Z$2:$Z$4001,$X206))</f>
        <v/>
      </c>
      <c r="N206" s="23" t="str">
        <f aca="false">IF($X206="","",Settings!$C$7)</f>
        <v/>
      </c>
      <c r="O206" s="22" t="str">
        <f aca="false">IF($X206="","",SUMIFS('Per Line'!$Y$2:$Y$4001,'Per Line'!$D$2:$D$4001,$B206,'Per Line'!$AJ$2:$AJ$4001,0))</f>
        <v/>
      </c>
      <c r="P206" s="22" t="str">
        <f aca="false">IF($X206="","",O206*N206)</f>
        <v/>
      </c>
      <c r="Q206" s="23" t="str">
        <f aca="false">IF($X206="","",Settings!$C$6)</f>
        <v/>
      </c>
      <c r="R206" s="22" t="str">
        <f aca="false">IF($X206="","",SUMIFS('Per Line'!$Y$2:$Y$4001,'Per Line'!$D$2:$D$4001,$B206,'Per Line'!$AJ$2:$AJ$4001,1))</f>
        <v/>
      </c>
      <c r="S206" s="22" t="str">
        <f aca="false">IF($X206="","",R206*Q206)</f>
        <v/>
      </c>
      <c r="T206" s="22" t="str">
        <f aca="false">IF($X206="","",S206+P206)</f>
        <v/>
      </c>
      <c r="U206" s="22" t="str">
        <f aca="false">IF($X206="","",V206-T206)</f>
        <v/>
      </c>
      <c r="V206" s="22" t="str">
        <f aca="false">IF($X206="","",O206+R206)</f>
        <v/>
      </c>
      <c r="W206" s="22" t="str">
        <f aca="false">IF($X206="","",U206-L206)</f>
        <v/>
      </c>
      <c r="X206" s="24" t="str">
        <f aca="false">IF(ROWS($X$2:$X206)&lt;=MAX('Per Line'!$AI$2:$AI$4001),MATCH(ROWS($X$2:$X206),'Per Line'!$AI$2:$AI$4001,0),"")</f>
        <v/>
      </c>
    </row>
    <row r="207" customFormat="false" ht="15" hidden="false" customHeight="false" outlineLevel="0" collapsed="false">
      <c r="A207" s="19"/>
      <c r="B207" s="20" t="str">
        <f aca="false">IF($X207="","",INDEX('Per Line'!$D$2:$D$4001,$X207))</f>
        <v/>
      </c>
      <c r="C207" s="20" t="str">
        <f aca="false">IF($X207="","",INDEX('Per Line'!$C$2:$C$4001,$X207))</f>
        <v/>
      </c>
      <c r="D207" s="20" t="str">
        <f aca="false">IF($X207="","",INDEX('Per Line'!$A$2:$A$4001,$X207))</f>
        <v/>
      </c>
      <c r="E207" s="21" t="str">
        <f aca="false">IF($X207="","",INDEX('Per Line'!$F$2:$F$4001,$X207))</f>
        <v/>
      </c>
      <c r="F207" s="20" t="str">
        <f aca="false">IF($X207="","",INDEX('Per Line'!$G$2:$G$4001,$X207))</f>
        <v/>
      </c>
      <c r="G207" s="20" t="str">
        <f aca="false">IF($X207="","",INDEX('Per Line'!$I$2:$I$4001,$X207))</f>
        <v/>
      </c>
      <c r="H207" s="20" t="str">
        <f aca="false">IF($X207="","",INDEX('Per Line'!$J$2:$J$4001,$X207))</f>
        <v/>
      </c>
      <c r="I207" s="20" t="str">
        <f aca="false">IF($X207="","",INDEX('Per Line'!$K$2:$K$4001,$X207))</f>
        <v/>
      </c>
      <c r="J207" s="20" t="str">
        <f aca="false">IF($X207="","",INDEX('Per Line'!$L$2:$L$4001,$X207))</f>
        <v/>
      </c>
      <c r="K207" s="20" t="str">
        <f aca="false">IF($X207="","",INDEX('Per Line'!$M$2:$M$4001,$X207))</f>
        <v/>
      </c>
      <c r="L207" s="22" t="str">
        <f aca="false">IF($X207="","",K207*V207/100)</f>
        <v/>
      </c>
      <c r="M207" s="20" t="str">
        <f aca="false">IF($X207="","",INDEX('Per Line'!$Z$2:$Z$4001,$X207))</f>
        <v/>
      </c>
      <c r="N207" s="23" t="str">
        <f aca="false">IF($X207="","",Settings!$C$7)</f>
        <v/>
      </c>
      <c r="O207" s="22" t="str">
        <f aca="false">IF($X207="","",SUMIFS('Per Line'!$Y$2:$Y$4001,'Per Line'!$D$2:$D$4001,$B207,'Per Line'!$AJ$2:$AJ$4001,0))</f>
        <v/>
      </c>
      <c r="P207" s="22" t="str">
        <f aca="false">IF($X207="","",O207*N207)</f>
        <v/>
      </c>
      <c r="Q207" s="23" t="str">
        <f aca="false">IF($X207="","",Settings!$C$6)</f>
        <v/>
      </c>
      <c r="R207" s="22" t="str">
        <f aca="false">IF($X207="","",SUMIFS('Per Line'!$Y$2:$Y$4001,'Per Line'!$D$2:$D$4001,$B207,'Per Line'!$AJ$2:$AJ$4001,1))</f>
        <v/>
      </c>
      <c r="S207" s="22" t="str">
        <f aca="false">IF($X207="","",R207*Q207)</f>
        <v/>
      </c>
      <c r="T207" s="22" t="str">
        <f aca="false">IF($X207="","",S207+P207)</f>
        <v/>
      </c>
      <c r="U207" s="22" t="str">
        <f aca="false">IF($X207="","",V207-T207)</f>
        <v/>
      </c>
      <c r="V207" s="22" t="str">
        <f aca="false">IF($X207="","",O207+R207)</f>
        <v/>
      </c>
      <c r="W207" s="22" t="str">
        <f aca="false">IF($X207="","",U207-L207)</f>
        <v/>
      </c>
      <c r="X207" s="24" t="str">
        <f aca="false">IF(ROWS($X$2:$X207)&lt;=MAX('Per Line'!$AI$2:$AI$4001),MATCH(ROWS($X$2:$X207),'Per Line'!$AI$2:$AI$4001,0),"")</f>
        <v/>
      </c>
    </row>
    <row r="208" customFormat="false" ht="15" hidden="false" customHeight="false" outlineLevel="0" collapsed="false">
      <c r="A208" s="19"/>
      <c r="B208" s="20" t="str">
        <f aca="false">IF($X208="","",INDEX('Per Line'!$D$2:$D$4001,$X208))</f>
        <v/>
      </c>
      <c r="C208" s="20" t="str">
        <f aca="false">IF($X208="","",INDEX('Per Line'!$C$2:$C$4001,$X208))</f>
        <v/>
      </c>
      <c r="D208" s="20" t="str">
        <f aca="false">IF($X208="","",INDEX('Per Line'!$A$2:$A$4001,$X208))</f>
        <v/>
      </c>
      <c r="E208" s="21" t="str">
        <f aca="false">IF($X208="","",INDEX('Per Line'!$F$2:$F$4001,$X208))</f>
        <v/>
      </c>
      <c r="F208" s="20" t="str">
        <f aca="false">IF($X208="","",INDEX('Per Line'!$G$2:$G$4001,$X208))</f>
        <v/>
      </c>
      <c r="G208" s="20" t="str">
        <f aca="false">IF($X208="","",INDEX('Per Line'!$I$2:$I$4001,$X208))</f>
        <v/>
      </c>
      <c r="H208" s="20" t="str">
        <f aca="false">IF($X208="","",INDEX('Per Line'!$J$2:$J$4001,$X208))</f>
        <v/>
      </c>
      <c r="I208" s="20" t="str">
        <f aca="false">IF($X208="","",INDEX('Per Line'!$K$2:$K$4001,$X208))</f>
        <v/>
      </c>
      <c r="J208" s="20" t="str">
        <f aca="false">IF($X208="","",INDEX('Per Line'!$L$2:$L$4001,$X208))</f>
        <v/>
      </c>
      <c r="K208" s="20" t="str">
        <f aca="false">IF($X208="","",INDEX('Per Line'!$M$2:$M$4001,$X208))</f>
        <v/>
      </c>
      <c r="L208" s="22" t="str">
        <f aca="false">IF($X208="","",K208*V208/100)</f>
        <v/>
      </c>
      <c r="M208" s="20" t="str">
        <f aca="false">IF($X208="","",INDEX('Per Line'!$Z$2:$Z$4001,$X208))</f>
        <v/>
      </c>
      <c r="N208" s="23" t="str">
        <f aca="false">IF($X208="","",Settings!$C$7)</f>
        <v/>
      </c>
      <c r="O208" s="22" t="str">
        <f aca="false">IF($X208="","",SUMIFS('Per Line'!$Y$2:$Y$4001,'Per Line'!$D$2:$D$4001,$B208,'Per Line'!$AJ$2:$AJ$4001,0))</f>
        <v/>
      </c>
      <c r="P208" s="22" t="str">
        <f aca="false">IF($X208="","",O208*N208)</f>
        <v/>
      </c>
      <c r="Q208" s="23" t="str">
        <f aca="false">IF($X208="","",Settings!$C$6)</f>
        <v/>
      </c>
      <c r="R208" s="22" t="str">
        <f aca="false">IF($X208="","",SUMIFS('Per Line'!$Y$2:$Y$4001,'Per Line'!$D$2:$D$4001,$B208,'Per Line'!$AJ$2:$AJ$4001,1))</f>
        <v/>
      </c>
      <c r="S208" s="22" t="str">
        <f aca="false">IF($X208="","",R208*Q208)</f>
        <v/>
      </c>
      <c r="T208" s="22" t="str">
        <f aca="false">IF($X208="","",S208+P208)</f>
        <v/>
      </c>
      <c r="U208" s="22" t="str">
        <f aca="false">IF($X208="","",V208-T208)</f>
        <v/>
      </c>
      <c r="V208" s="22" t="str">
        <f aca="false">IF($X208="","",O208+R208)</f>
        <v/>
      </c>
      <c r="W208" s="22" t="str">
        <f aca="false">IF($X208="","",U208-L208)</f>
        <v/>
      </c>
      <c r="X208" s="24" t="str">
        <f aca="false">IF(ROWS($X$2:$X208)&lt;=MAX('Per Line'!$AI$2:$AI$4001),MATCH(ROWS($X$2:$X208),'Per Line'!$AI$2:$AI$4001,0),"")</f>
        <v/>
      </c>
    </row>
    <row r="209" customFormat="false" ht="15" hidden="false" customHeight="false" outlineLevel="0" collapsed="false">
      <c r="A209" s="19"/>
      <c r="B209" s="20" t="str">
        <f aca="false">IF($X209="","",INDEX('Per Line'!$D$2:$D$4001,$X209))</f>
        <v/>
      </c>
      <c r="C209" s="20" t="str">
        <f aca="false">IF($X209="","",INDEX('Per Line'!$C$2:$C$4001,$X209))</f>
        <v/>
      </c>
      <c r="D209" s="20" t="str">
        <f aca="false">IF($X209="","",INDEX('Per Line'!$A$2:$A$4001,$X209))</f>
        <v/>
      </c>
      <c r="E209" s="21" t="str">
        <f aca="false">IF($X209="","",INDEX('Per Line'!$F$2:$F$4001,$X209))</f>
        <v/>
      </c>
      <c r="F209" s="20" t="str">
        <f aca="false">IF($X209="","",INDEX('Per Line'!$G$2:$G$4001,$X209))</f>
        <v/>
      </c>
      <c r="G209" s="20" t="str">
        <f aca="false">IF($X209="","",INDEX('Per Line'!$I$2:$I$4001,$X209))</f>
        <v/>
      </c>
      <c r="H209" s="20" t="str">
        <f aca="false">IF($X209="","",INDEX('Per Line'!$J$2:$J$4001,$X209))</f>
        <v/>
      </c>
      <c r="I209" s="20" t="str">
        <f aca="false">IF($X209="","",INDEX('Per Line'!$K$2:$K$4001,$X209))</f>
        <v/>
      </c>
      <c r="J209" s="20" t="str">
        <f aca="false">IF($X209="","",INDEX('Per Line'!$L$2:$L$4001,$X209))</f>
        <v/>
      </c>
      <c r="K209" s="20" t="str">
        <f aca="false">IF($X209="","",INDEX('Per Line'!$M$2:$M$4001,$X209))</f>
        <v/>
      </c>
      <c r="L209" s="22" t="str">
        <f aca="false">IF($X209="","",K209*V209/100)</f>
        <v/>
      </c>
      <c r="M209" s="20" t="str">
        <f aca="false">IF($X209="","",INDEX('Per Line'!$Z$2:$Z$4001,$X209))</f>
        <v/>
      </c>
      <c r="N209" s="23" t="str">
        <f aca="false">IF($X209="","",Settings!$C$7)</f>
        <v/>
      </c>
      <c r="O209" s="22" t="str">
        <f aca="false">IF($X209="","",SUMIFS('Per Line'!$Y$2:$Y$4001,'Per Line'!$D$2:$D$4001,$B209,'Per Line'!$AJ$2:$AJ$4001,0))</f>
        <v/>
      </c>
      <c r="P209" s="22" t="str">
        <f aca="false">IF($X209="","",O209*N209)</f>
        <v/>
      </c>
      <c r="Q209" s="23" t="str">
        <f aca="false">IF($X209="","",Settings!$C$6)</f>
        <v/>
      </c>
      <c r="R209" s="22" t="str">
        <f aca="false">IF($X209="","",SUMIFS('Per Line'!$Y$2:$Y$4001,'Per Line'!$D$2:$D$4001,$B209,'Per Line'!$AJ$2:$AJ$4001,1))</f>
        <v/>
      </c>
      <c r="S209" s="22" t="str">
        <f aca="false">IF($X209="","",R209*Q209)</f>
        <v/>
      </c>
      <c r="T209" s="22" t="str">
        <f aca="false">IF($X209="","",S209+P209)</f>
        <v/>
      </c>
      <c r="U209" s="22" t="str">
        <f aca="false">IF($X209="","",V209-T209)</f>
        <v/>
      </c>
      <c r="V209" s="22" t="str">
        <f aca="false">IF($X209="","",O209+R209)</f>
        <v/>
      </c>
      <c r="W209" s="22" t="str">
        <f aca="false">IF($X209="","",U209-L209)</f>
        <v/>
      </c>
      <c r="X209" s="24" t="str">
        <f aca="false">IF(ROWS($X$2:$X209)&lt;=MAX('Per Line'!$AI$2:$AI$4001),MATCH(ROWS($X$2:$X209),'Per Line'!$AI$2:$AI$4001,0),"")</f>
        <v/>
      </c>
    </row>
    <row r="210" customFormat="false" ht="15" hidden="false" customHeight="false" outlineLevel="0" collapsed="false">
      <c r="A210" s="19"/>
      <c r="B210" s="20" t="str">
        <f aca="false">IF($X210="","",INDEX('Per Line'!$D$2:$D$4001,$X210))</f>
        <v/>
      </c>
      <c r="C210" s="20" t="str">
        <f aca="false">IF($X210="","",INDEX('Per Line'!$C$2:$C$4001,$X210))</f>
        <v/>
      </c>
      <c r="D210" s="20" t="str">
        <f aca="false">IF($X210="","",INDEX('Per Line'!$A$2:$A$4001,$X210))</f>
        <v/>
      </c>
      <c r="E210" s="21" t="str">
        <f aca="false">IF($X210="","",INDEX('Per Line'!$F$2:$F$4001,$X210))</f>
        <v/>
      </c>
      <c r="F210" s="20" t="str">
        <f aca="false">IF($X210="","",INDEX('Per Line'!$G$2:$G$4001,$X210))</f>
        <v/>
      </c>
      <c r="G210" s="20" t="str">
        <f aca="false">IF($X210="","",INDEX('Per Line'!$I$2:$I$4001,$X210))</f>
        <v/>
      </c>
      <c r="H210" s="20" t="str">
        <f aca="false">IF($X210="","",INDEX('Per Line'!$J$2:$J$4001,$X210))</f>
        <v/>
      </c>
      <c r="I210" s="20" t="str">
        <f aca="false">IF($X210="","",INDEX('Per Line'!$K$2:$K$4001,$X210))</f>
        <v/>
      </c>
      <c r="J210" s="20" t="str">
        <f aca="false">IF($X210="","",INDEX('Per Line'!$L$2:$L$4001,$X210))</f>
        <v/>
      </c>
      <c r="K210" s="20" t="str">
        <f aca="false">IF($X210="","",INDEX('Per Line'!$M$2:$M$4001,$X210))</f>
        <v/>
      </c>
      <c r="L210" s="22" t="str">
        <f aca="false">IF($X210="","",K210*V210/100)</f>
        <v/>
      </c>
      <c r="M210" s="20" t="str">
        <f aca="false">IF($X210="","",INDEX('Per Line'!$Z$2:$Z$4001,$X210))</f>
        <v/>
      </c>
      <c r="N210" s="23" t="str">
        <f aca="false">IF($X210="","",Settings!$C$7)</f>
        <v/>
      </c>
      <c r="O210" s="22" t="str">
        <f aca="false">IF($X210="","",SUMIFS('Per Line'!$Y$2:$Y$4001,'Per Line'!$D$2:$D$4001,$B210,'Per Line'!$AJ$2:$AJ$4001,0))</f>
        <v/>
      </c>
      <c r="P210" s="22" t="str">
        <f aca="false">IF($X210="","",O210*N210)</f>
        <v/>
      </c>
      <c r="Q210" s="23" t="str">
        <f aca="false">IF($X210="","",Settings!$C$6)</f>
        <v/>
      </c>
      <c r="R210" s="22" t="str">
        <f aca="false">IF($X210="","",SUMIFS('Per Line'!$Y$2:$Y$4001,'Per Line'!$D$2:$D$4001,$B210,'Per Line'!$AJ$2:$AJ$4001,1))</f>
        <v/>
      </c>
      <c r="S210" s="22" t="str">
        <f aca="false">IF($X210="","",R210*Q210)</f>
        <v/>
      </c>
      <c r="T210" s="22" t="str">
        <f aca="false">IF($X210="","",S210+P210)</f>
        <v/>
      </c>
      <c r="U210" s="22" t="str">
        <f aca="false">IF($X210="","",V210-T210)</f>
        <v/>
      </c>
      <c r="V210" s="22" t="str">
        <f aca="false">IF($X210="","",O210+R210)</f>
        <v/>
      </c>
      <c r="W210" s="22" t="str">
        <f aca="false">IF($X210="","",U210-L210)</f>
        <v/>
      </c>
      <c r="X210" s="24" t="str">
        <f aca="false">IF(ROWS($X$2:$X210)&lt;=MAX('Per Line'!$AI$2:$AI$4001),MATCH(ROWS($X$2:$X210),'Per Line'!$AI$2:$AI$4001,0),"")</f>
        <v/>
      </c>
    </row>
    <row r="211" customFormat="false" ht="15" hidden="false" customHeight="false" outlineLevel="0" collapsed="false">
      <c r="A211" s="19"/>
      <c r="B211" s="20" t="str">
        <f aca="false">IF($X211="","",INDEX('Per Line'!$D$2:$D$4001,$X211))</f>
        <v/>
      </c>
      <c r="C211" s="20" t="str">
        <f aca="false">IF($X211="","",INDEX('Per Line'!$C$2:$C$4001,$X211))</f>
        <v/>
      </c>
      <c r="D211" s="20" t="str">
        <f aca="false">IF($X211="","",INDEX('Per Line'!$A$2:$A$4001,$X211))</f>
        <v/>
      </c>
      <c r="E211" s="21" t="str">
        <f aca="false">IF($X211="","",INDEX('Per Line'!$F$2:$F$4001,$X211))</f>
        <v/>
      </c>
      <c r="F211" s="20" t="str">
        <f aca="false">IF($X211="","",INDEX('Per Line'!$G$2:$G$4001,$X211))</f>
        <v/>
      </c>
      <c r="G211" s="20" t="str">
        <f aca="false">IF($X211="","",INDEX('Per Line'!$I$2:$I$4001,$X211))</f>
        <v/>
      </c>
      <c r="H211" s="20" t="str">
        <f aca="false">IF($X211="","",INDEX('Per Line'!$J$2:$J$4001,$X211))</f>
        <v/>
      </c>
      <c r="I211" s="20" t="str">
        <f aca="false">IF($X211="","",INDEX('Per Line'!$K$2:$K$4001,$X211))</f>
        <v/>
      </c>
      <c r="J211" s="20" t="str">
        <f aca="false">IF($X211="","",INDEX('Per Line'!$L$2:$L$4001,$X211))</f>
        <v/>
      </c>
      <c r="K211" s="20" t="str">
        <f aca="false">IF($X211="","",INDEX('Per Line'!$M$2:$M$4001,$X211))</f>
        <v/>
      </c>
      <c r="L211" s="22" t="str">
        <f aca="false">IF($X211="","",K211*V211/100)</f>
        <v/>
      </c>
      <c r="M211" s="20" t="str">
        <f aca="false">IF($X211="","",INDEX('Per Line'!$Z$2:$Z$4001,$X211))</f>
        <v/>
      </c>
      <c r="N211" s="23" t="str">
        <f aca="false">IF($X211="","",Settings!$C$7)</f>
        <v/>
      </c>
      <c r="O211" s="22" t="str">
        <f aca="false">IF($X211="","",SUMIFS('Per Line'!$Y$2:$Y$4001,'Per Line'!$D$2:$D$4001,$B211,'Per Line'!$AJ$2:$AJ$4001,0))</f>
        <v/>
      </c>
      <c r="P211" s="22" t="str">
        <f aca="false">IF($X211="","",O211*N211)</f>
        <v/>
      </c>
      <c r="Q211" s="23" t="str">
        <f aca="false">IF($X211="","",Settings!$C$6)</f>
        <v/>
      </c>
      <c r="R211" s="22" t="str">
        <f aca="false">IF($X211="","",SUMIFS('Per Line'!$Y$2:$Y$4001,'Per Line'!$D$2:$D$4001,$B211,'Per Line'!$AJ$2:$AJ$4001,1))</f>
        <v/>
      </c>
      <c r="S211" s="22" t="str">
        <f aca="false">IF($X211="","",R211*Q211)</f>
        <v/>
      </c>
      <c r="T211" s="22" t="str">
        <f aca="false">IF($X211="","",S211+P211)</f>
        <v/>
      </c>
      <c r="U211" s="22" t="str">
        <f aca="false">IF($X211="","",V211-T211)</f>
        <v/>
      </c>
      <c r="V211" s="22" t="str">
        <f aca="false">IF($X211="","",O211+R211)</f>
        <v/>
      </c>
      <c r="W211" s="22" t="str">
        <f aca="false">IF($X211="","",U211-L211)</f>
        <v/>
      </c>
      <c r="X211" s="24" t="str">
        <f aca="false">IF(ROWS($X$2:$X211)&lt;=MAX('Per Line'!$AI$2:$AI$4001),MATCH(ROWS($X$2:$X211),'Per Line'!$AI$2:$AI$4001,0),"")</f>
        <v/>
      </c>
    </row>
    <row r="212" customFormat="false" ht="15" hidden="false" customHeight="false" outlineLevel="0" collapsed="false">
      <c r="A212" s="19"/>
      <c r="B212" s="20" t="str">
        <f aca="false">IF($X212="","",INDEX('Per Line'!$D$2:$D$4001,$X212))</f>
        <v/>
      </c>
      <c r="C212" s="20" t="str">
        <f aca="false">IF($X212="","",INDEX('Per Line'!$C$2:$C$4001,$X212))</f>
        <v/>
      </c>
      <c r="D212" s="20" t="str">
        <f aca="false">IF($X212="","",INDEX('Per Line'!$A$2:$A$4001,$X212))</f>
        <v/>
      </c>
      <c r="E212" s="21" t="str">
        <f aca="false">IF($X212="","",INDEX('Per Line'!$F$2:$F$4001,$X212))</f>
        <v/>
      </c>
      <c r="F212" s="20" t="str">
        <f aca="false">IF($X212="","",INDEX('Per Line'!$G$2:$G$4001,$X212))</f>
        <v/>
      </c>
      <c r="G212" s="20" t="str">
        <f aca="false">IF($X212="","",INDEX('Per Line'!$I$2:$I$4001,$X212))</f>
        <v/>
      </c>
      <c r="H212" s="20" t="str">
        <f aca="false">IF($X212="","",INDEX('Per Line'!$J$2:$J$4001,$X212))</f>
        <v/>
      </c>
      <c r="I212" s="20" t="str">
        <f aca="false">IF($X212="","",INDEX('Per Line'!$K$2:$K$4001,$X212))</f>
        <v/>
      </c>
      <c r="J212" s="20" t="str">
        <f aca="false">IF($X212="","",INDEX('Per Line'!$L$2:$L$4001,$X212))</f>
        <v/>
      </c>
      <c r="K212" s="20" t="str">
        <f aca="false">IF($X212="","",INDEX('Per Line'!$M$2:$M$4001,$X212))</f>
        <v/>
      </c>
      <c r="L212" s="22" t="str">
        <f aca="false">IF($X212="","",K212*V212/100)</f>
        <v/>
      </c>
      <c r="M212" s="20" t="str">
        <f aca="false">IF($X212="","",INDEX('Per Line'!$Z$2:$Z$4001,$X212))</f>
        <v/>
      </c>
      <c r="N212" s="23" t="str">
        <f aca="false">IF($X212="","",Settings!$C$7)</f>
        <v/>
      </c>
      <c r="O212" s="22" t="str">
        <f aca="false">IF($X212="","",SUMIFS('Per Line'!$Y$2:$Y$4001,'Per Line'!$D$2:$D$4001,$B212,'Per Line'!$AJ$2:$AJ$4001,0))</f>
        <v/>
      </c>
      <c r="P212" s="22" t="str">
        <f aca="false">IF($X212="","",O212*N212)</f>
        <v/>
      </c>
      <c r="Q212" s="23" t="str">
        <f aca="false">IF($X212="","",Settings!$C$6)</f>
        <v/>
      </c>
      <c r="R212" s="22" t="str">
        <f aca="false">IF($X212="","",SUMIFS('Per Line'!$Y$2:$Y$4001,'Per Line'!$D$2:$D$4001,$B212,'Per Line'!$AJ$2:$AJ$4001,1))</f>
        <v/>
      </c>
      <c r="S212" s="22" t="str">
        <f aca="false">IF($X212="","",R212*Q212)</f>
        <v/>
      </c>
      <c r="T212" s="22" t="str">
        <f aca="false">IF($X212="","",S212+P212)</f>
        <v/>
      </c>
      <c r="U212" s="22" t="str">
        <f aca="false">IF($X212="","",V212-T212)</f>
        <v/>
      </c>
      <c r="V212" s="22" t="str">
        <f aca="false">IF($X212="","",O212+R212)</f>
        <v/>
      </c>
      <c r="W212" s="22" t="str">
        <f aca="false">IF($X212="","",U212-L212)</f>
        <v/>
      </c>
      <c r="X212" s="24" t="str">
        <f aca="false">IF(ROWS($X$2:$X212)&lt;=MAX('Per Line'!$AI$2:$AI$4001),MATCH(ROWS($X$2:$X212),'Per Line'!$AI$2:$AI$4001,0),"")</f>
        <v/>
      </c>
    </row>
    <row r="213" customFormat="false" ht="15" hidden="false" customHeight="false" outlineLevel="0" collapsed="false">
      <c r="A213" s="19"/>
      <c r="B213" s="20" t="str">
        <f aca="false">IF($X213="","",INDEX('Per Line'!$D$2:$D$4001,$X213))</f>
        <v/>
      </c>
      <c r="C213" s="20" t="str">
        <f aca="false">IF($X213="","",INDEX('Per Line'!$C$2:$C$4001,$X213))</f>
        <v/>
      </c>
      <c r="D213" s="20" t="str">
        <f aca="false">IF($X213="","",INDEX('Per Line'!$A$2:$A$4001,$X213))</f>
        <v/>
      </c>
      <c r="E213" s="21" t="str">
        <f aca="false">IF($X213="","",INDEX('Per Line'!$F$2:$F$4001,$X213))</f>
        <v/>
      </c>
      <c r="F213" s="20" t="str">
        <f aca="false">IF($X213="","",INDEX('Per Line'!$G$2:$G$4001,$X213))</f>
        <v/>
      </c>
      <c r="G213" s="20" t="str">
        <f aca="false">IF($X213="","",INDEX('Per Line'!$I$2:$I$4001,$X213))</f>
        <v/>
      </c>
      <c r="H213" s="20" t="str">
        <f aca="false">IF($X213="","",INDEX('Per Line'!$J$2:$J$4001,$X213))</f>
        <v/>
      </c>
      <c r="I213" s="20" t="str">
        <f aca="false">IF($X213="","",INDEX('Per Line'!$K$2:$K$4001,$X213))</f>
        <v/>
      </c>
      <c r="J213" s="20" t="str">
        <f aca="false">IF($X213="","",INDEX('Per Line'!$L$2:$L$4001,$X213))</f>
        <v/>
      </c>
      <c r="K213" s="20" t="str">
        <f aca="false">IF($X213="","",INDEX('Per Line'!$M$2:$M$4001,$X213))</f>
        <v/>
      </c>
      <c r="L213" s="22" t="str">
        <f aca="false">IF($X213="","",K213*V213/100)</f>
        <v/>
      </c>
      <c r="M213" s="20" t="str">
        <f aca="false">IF($X213="","",INDEX('Per Line'!$Z$2:$Z$4001,$X213))</f>
        <v/>
      </c>
      <c r="N213" s="23" t="str">
        <f aca="false">IF($X213="","",Settings!$C$7)</f>
        <v/>
      </c>
      <c r="O213" s="22" t="str">
        <f aca="false">IF($X213="","",SUMIFS('Per Line'!$Y$2:$Y$4001,'Per Line'!$D$2:$D$4001,$B213,'Per Line'!$AJ$2:$AJ$4001,0))</f>
        <v/>
      </c>
      <c r="P213" s="22" t="str">
        <f aca="false">IF($X213="","",O213*N213)</f>
        <v/>
      </c>
      <c r="Q213" s="23" t="str">
        <f aca="false">IF($X213="","",Settings!$C$6)</f>
        <v/>
      </c>
      <c r="R213" s="22" t="str">
        <f aca="false">IF($X213="","",SUMIFS('Per Line'!$Y$2:$Y$4001,'Per Line'!$D$2:$D$4001,$B213,'Per Line'!$AJ$2:$AJ$4001,1))</f>
        <v/>
      </c>
      <c r="S213" s="22" t="str">
        <f aca="false">IF($X213="","",R213*Q213)</f>
        <v/>
      </c>
      <c r="T213" s="22" t="str">
        <f aca="false">IF($X213="","",S213+P213)</f>
        <v/>
      </c>
      <c r="U213" s="22" t="str">
        <f aca="false">IF($X213="","",V213-T213)</f>
        <v/>
      </c>
      <c r="V213" s="22" t="str">
        <f aca="false">IF($X213="","",O213+R213)</f>
        <v/>
      </c>
      <c r="W213" s="22" t="str">
        <f aca="false">IF($X213="","",U213-L213)</f>
        <v/>
      </c>
      <c r="X213" s="24" t="str">
        <f aca="false">IF(ROWS($X$2:$X213)&lt;=MAX('Per Line'!$AI$2:$AI$4001),MATCH(ROWS($X$2:$X213),'Per Line'!$AI$2:$AI$4001,0),"")</f>
        <v/>
      </c>
    </row>
    <row r="214" customFormat="false" ht="15" hidden="false" customHeight="false" outlineLevel="0" collapsed="false">
      <c r="A214" s="19"/>
      <c r="B214" s="20" t="str">
        <f aca="false">IF($X214="","",INDEX('Per Line'!$D$2:$D$4001,$X214))</f>
        <v/>
      </c>
      <c r="C214" s="20" t="str">
        <f aca="false">IF($X214="","",INDEX('Per Line'!$C$2:$C$4001,$X214))</f>
        <v/>
      </c>
      <c r="D214" s="20" t="str">
        <f aca="false">IF($X214="","",INDEX('Per Line'!$A$2:$A$4001,$X214))</f>
        <v/>
      </c>
      <c r="E214" s="21" t="str">
        <f aca="false">IF($X214="","",INDEX('Per Line'!$F$2:$F$4001,$X214))</f>
        <v/>
      </c>
      <c r="F214" s="20" t="str">
        <f aca="false">IF($X214="","",INDEX('Per Line'!$G$2:$G$4001,$X214))</f>
        <v/>
      </c>
      <c r="G214" s="20" t="str">
        <f aca="false">IF($X214="","",INDEX('Per Line'!$I$2:$I$4001,$X214))</f>
        <v/>
      </c>
      <c r="H214" s="20" t="str">
        <f aca="false">IF($X214="","",INDEX('Per Line'!$J$2:$J$4001,$X214))</f>
        <v/>
      </c>
      <c r="I214" s="20" t="str">
        <f aca="false">IF($X214="","",INDEX('Per Line'!$K$2:$K$4001,$X214))</f>
        <v/>
      </c>
      <c r="J214" s="20" t="str">
        <f aca="false">IF($X214="","",INDEX('Per Line'!$L$2:$L$4001,$X214))</f>
        <v/>
      </c>
      <c r="K214" s="20" t="str">
        <f aca="false">IF($X214="","",INDEX('Per Line'!$M$2:$M$4001,$X214))</f>
        <v/>
      </c>
      <c r="L214" s="22" t="str">
        <f aca="false">IF($X214="","",K214*V214/100)</f>
        <v/>
      </c>
      <c r="M214" s="20" t="str">
        <f aca="false">IF($X214="","",INDEX('Per Line'!$Z$2:$Z$4001,$X214))</f>
        <v/>
      </c>
      <c r="N214" s="23" t="str">
        <f aca="false">IF($X214="","",Settings!$C$7)</f>
        <v/>
      </c>
      <c r="O214" s="22" t="str">
        <f aca="false">IF($X214="","",SUMIFS('Per Line'!$Y$2:$Y$4001,'Per Line'!$D$2:$D$4001,$B214,'Per Line'!$AJ$2:$AJ$4001,0))</f>
        <v/>
      </c>
      <c r="P214" s="22" t="str">
        <f aca="false">IF($X214="","",O214*N214)</f>
        <v/>
      </c>
      <c r="Q214" s="23" t="str">
        <f aca="false">IF($X214="","",Settings!$C$6)</f>
        <v/>
      </c>
      <c r="R214" s="22" t="str">
        <f aca="false">IF($X214="","",SUMIFS('Per Line'!$Y$2:$Y$4001,'Per Line'!$D$2:$D$4001,$B214,'Per Line'!$AJ$2:$AJ$4001,1))</f>
        <v/>
      </c>
      <c r="S214" s="22" t="str">
        <f aca="false">IF($X214="","",R214*Q214)</f>
        <v/>
      </c>
      <c r="T214" s="22" t="str">
        <f aca="false">IF($X214="","",S214+P214)</f>
        <v/>
      </c>
      <c r="U214" s="22" t="str">
        <f aca="false">IF($X214="","",V214-T214)</f>
        <v/>
      </c>
      <c r="V214" s="22" t="str">
        <f aca="false">IF($X214="","",O214+R214)</f>
        <v/>
      </c>
      <c r="W214" s="22" t="str">
        <f aca="false">IF($X214="","",U214-L214)</f>
        <v/>
      </c>
      <c r="X214" s="24" t="str">
        <f aca="false">IF(ROWS($X$2:$X214)&lt;=MAX('Per Line'!$AI$2:$AI$4001),MATCH(ROWS($X$2:$X214),'Per Line'!$AI$2:$AI$4001,0),"")</f>
        <v/>
      </c>
    </row>
    <row r="215" customFormat="false" ht="15" hidden="false" customHeight="false" outlineLevel="0" collapsed="false">
      <c r="A215" s="19"/>
      <c r="B215" s="20" t="str">
        <f aca="false">IF($X215="","",INDEX('Per Line'!$D$2:$D$4001,$X215))</f>
        <v/>
      </c>
      <c r="C215" s="20" t="str">
        <f aca="false">IF($X215="","",INDEX('Per Line'!$C$2:$C$4001,$X215))</f>
        <v/>
      </c>
      <c r="D215" s="20" t="str">
        <f aca="false">IF($X215="","",INDEX('Per Line'!$A$2:$A$4001,$X215))</f>
        <v/>
      </c>
      <c r="E215" s="21" t="str">
        <f aca="false">IF($X215="","",INDEX('Per Line'!$F$2:$F$4001,$X215))</f>
        <v/>
      </c>
      <c r="F215" s="20" t="str">
        <f aca="false">IF($X215="","",INDEX('Per Line'!$G$2:$G$4001,$X215))</f>
        <v/>
      </c>
      <c r="G215" s="20" t="str">
        <f aca="false">IF($X215="","",INDEX('Per Line'!$I$2:$I$4001,$X215))</f>
        <v/>
      </c>
      <c r="H215" s="20" t="str">
        <f aca="false">IF($X215="","",INDEX('Per Line'!$J$2:$J$4001,$X215))</f>
        <v/>
      </c>
      <c r="I215" s="20" t="str">
        <f aca="false">IF($X215="","",INDEX('Per Line'!$K$2:$K$4001,$X215))</f>
        <v/>
      </c>
      <c r="J215" s="20" t="str">
        <f aca="false">IF($X215="","",INDEX('Per Line'!$L$2:$L$4001,$X215))</f>
        <v/>
      </c>
      <c r="K215" s="20" t="str">
        <f aca="false">IF($X215="","",INDEX('Per Line'!$M$2:$M$4001,$X215))</f>
        <v/>
      </c>
      <c r="L215" s="22" t="str">
        <f aca="false">IF($X215="","",K215*V215/100)</f>
        <v/>
      </c>
      <c r="M215" s="20" t="str">
        <f aca="false">IF($X215="","",INDEX('Per Line'!$Z$2:$Z$4001,$X215))</f>
        <v/>
      </c>
      <c r="N215" s="23" t="str">
        <f aca="false">IF($X215="","",Settings!$C$7)</f>
        <v/>
      </c>
      <c r="O215" s="22" t="str">
        <f aca="false">IF($X215="","",SUMIFS('Per Line'!$Y$2:$Y$4001,'Per Line'!$D$2:$D$4001,$B215,'Per Line'!$AJ$2:$AJ$4001,0))</f>
        <v/>
      </c>
      <c r="P215" s="22" t="str">
        <f aca="false">IF($X215="","",O215*N215)</f>
        <v/>
      </c>
      <c r="Q215" s="23" t="str">
        <f aca="false">IF($X215="","",Settings!$C$6)</f>
        <v/>
      </c>
      <c r="R215" s="22" t="str">
        <f aca="false">IF($X215="","",SUMIFS('Per Line'!$Y$2:$Y$4001,'Per Line'!$D$2:$D$4001,$B215,'Per Line'!$AJ$2:$AJ$4001,1))</f>
        <v/>
      </c>
      <c r="S215" s="22" t="str">
        <f aca="false">IF($X215="","",R215*Q215)</f>
        <v/>
      </c>
      <c r="T215" s="22" t="str">
        <f aca="false">IF($X215="","",S215+P215)</f>
        <v/>
      </c>
      <c r="U215" s="22" t="str">
        <f aca="false">IF($X215="","",V215-T215)</f>
        <v/>
      </c>
      <c r="V215" s="22" t="str">
        <f aca="false">IF($X215="","",O215+R215)</f>
        <v/>
      </c>
      <c r="W215" s="22" t="str">
        <f aca="false">IF($X215="","",U215-L215)</f>
        <v/>
      </c>
      <c r="X215" s="24" t="str">
        <f aca="false">IF(ROWS($X$2:$X215)&lt;=MAX('Per Line'!$AI$2:$AI$4001),MATCH(ROWS($X$2:$X215),'Per Line'!$AI$2:$AI$4001,0),"")</f>
        <v/>
      </c>
    </row>
    <row r="216" customFormat="false" ht="15" hidden="false" customHeight="false" outlineLevel="0" collapsed="false">
      <c r="A216" s="19"/>
      <c r="B216" s="20" t="str">
        <f aca="false">IF($X216="","",INDEX('Per Line'!$D$2:$D$4001,$X216))</f>
        <v/>
      </c>
      <c r="C216" s="20" t="str">
        <f aca="false">IF($X216="","",INDEX('Per Line'!$C$2:$C$4001,$X216))</f>
        <v/>
      </c>
      <c r="D216" s="20" t="str">
        <f aca="false">IF($X216="","",INDEX('Per Line'!$A$2:$A$4001,$X216))</f>
        <v/>
      </c>
      <c r="E216" s="21" t="str">
        <f aca="false">IF($X216="","",INDEX('Per Line'!$F$2:$F$4001,$X216))</f>
        <v/>
      </c>
      <c r="F216" s="20" t="str">
        <f aca="false">IF($X216="","",INDEX('Per Line'!$G$2:$G$4001,$X216))</f>
        <v/>
      </c>
      <c r="G216" s="20" t="str">
        <f aca="false">IF($X216="","",INDEX('Per Line'!$I$2:$I$4001,$X216))</f>
        <v/>
      </c>
      <c r="H216" s="20" t="str">
        <f aca="false">IF($X216="","",INDEX('Per Line'!$J$2:$J$4001,$X216))</f>
        <v/>
      </c>
      <c r="I216" s="20" t="str">
        <f aca="false">IF($X216="","",INDEX('Per Line'!$K$2:$K$4001,$X216))</f>
        <v/>
      </c>
      <c r="J216" s="20" t="str">
        <f aca="false">IF($X216="","",INDEX('Per Line'!$L$2:$L$4001,$X216))</f>
        <v/>
      </c>
      <c r="K216" s="20" t="str">
        <f aca="false">IF($X216="","",INDEX('Per Line'!$M$2:$M$4001,$X216))</f>
        <v/>
      </c>
      <c r="L216" s="22" t="str">
        <f aca="false">IF($X216="","",K216*V216/100)</f>
        <v/>
      </c>
      <c r="M216" s="20" t="str">
        <f aca="false">IF($X216="","",INDEX('Per Line'!$Z$2:$Z$4001,$X216))</f>
        <v/>
      </c>
      <c r="N216" s="23" t="str">
        <f aca="false">IF($X216="","",Settings!$C$7)</f>
        <v/>
      </c>
      <c r="O216" s="22" t="str">
        <f aca="false">IF($X216="","",SUMIFS('Per Line'!$Y$2:$Y$4001,'Per Line'!$D$2:$D$4001,$B216,'Per Line'!$AJ$2:$AJ$4001,0))</f>
        <v/>
      </c>
      <c r="P216" s="22" t="str">
        <f aca="false">IF($X216="","",O216*N216)</f>
        <v/>
      </c>
      <c r="Q216" s="23" t="str">
        <f aca="false">IF($X216="","",Settings!$C$6)</f>
        <v/>
      </c>
      <c r="R216" s="22" t="str">
        <f aca="false">IF($X216="","",SUMIFS('Per Line'!$Y$2:$Y$4001,'Per Line'!$D$2:$D$4001,$B216,'Per Line'!$AJ$2:$AJ$4001,1))</f>
        <v/>
      </c>
      <c r="S216" s="22" t="str">
        <f aca="false">IF($X216="","",R216*Q216)</f>
        <v/>
      </c>
      <c r="T216" s="22" t="str">
        <f aca="false">IF($X216="","",S216+P216)</f>
        <v/>
      </c>
      <c r="U216" s="22" t="str">
        <f aca="false">IF($X216="","",V216-T216)</f>
        <v/>
      </c>
      <c r="V216" s="22" t="str">
        <f aca="false">IF($X216="","",O216+R216)</f>
        <v/>
      </c>
      <c r="W216" s="22" t="str">
        <f aca="false">IF($X216="","",U216-L216)</f>
        <v/>
      </c>
      <c r="X216" s="24" t="str">
        <f aca="false">IF(ROWS($X$2:$X216)&lt;=MAX('Per Line'!$AI$2:$AI$4001),MATCH(ROWS($X$2:$X216),'Per Line'!$AI$2:$AI$4001,0),"")</f>
        <v/>
      </c>
    </row>
    <row r="217" customFormat="false" ht="15" hidden="false" customHeight="false" outlineLevel="0" collapsed="false">
      <c r="A217" s="19"/>
      <c r="B217" s="20" t="str">
        <f aca="false">IF($X217="","",INDEX('Per Line'!$D$2:$D$4001,$X217))</f>
        <v/>
      </c>
      <c r="C217" s="20" t="str">
        <f aca="false">IF($X217="","",INDEX('Per Line'!$C$2:$C$4001,$X217))</f>
        <v/>
      </c>
      <c r="D217" s="20" t="str">
        <f aca="false">IF($X217="","",INDEX('Per Line'!$A$2:$A$4001,$X217))</f>
        <v/>
      </c>
      <c r="E217" s="21" t="str">
        <f aca="false">IF($X217="","",INDEX('Per Line'!$F$2:$F$4001,$X217))</f>
        <v/>
      </c>
      <c r="F217" s="20" t="str">
        <f aca="false">IF($X217="","",INDEX('Per Line'!$G$2:$G$4001,$X217))</f>
        <v/>
      </c>
      <c r="G217" s="20" t="str">
        <f aca="false">IF($X217="","",INDEX('Per Line'!$I$2:$I$4001,$X217))</f>
        <v/>
      </c>
      <c r="H217" s="20" t="str">
        <f aca="false">IF($X217="","",INDEX('Per Line'!$J$2:$J$4001,$X217))</f>
        <v/>
      </c>
      <c r="I217" s="20" t="str">
        <f aca="false">IF($X217="","",INDEX('Per Line'!$K$2:$K$4001,$X217))</f>
        <v/>
      </c>
      <c r="J217" s="20" t="str">
        <f aca="false">IF($X217="","",INDEX('Per Line'!$L$2:$L$4001,$X217))</f>
        <v/>
      </c>
      <c r="K217" s="20" t="str">
        <f aca="false">IF($X217="","",INDEX('Per Line'!$M$2:$M$4001,$X217))</f>
        <v/>
      </c>
      <c r="L217" s="22" t="str">
        <f aca="false">IF($X217="","",K217*V217/100)</f>
        <v/>
      </c>
      <c r="M217" s="20" t="str">
        <f aca="false">IF($X217="","",INDEX('Per Line'!$Z$2:$Z$4001,$X217))</f>
        <v/>
      </c>
      <c r="N217" s="23" t="str">
        <f aca="false">IF($X217="","",Settings!$C$7)</f>
        <v/>
      </c>
      <c r="O217" s="22" t="str">
        <f aca="false">IF($X217="","",SUMIFS('Per Line'!$Y$2:$Y$4001,'Per Line'!$D$2:$D$4001,$B217,'Per Line'!$AJ$2:$AJ$4001,0))</f>
        <v/>
      </c>
      <c r="P217" s="22" t="str">
        <f aca="false">IF($X217="","",O217*N217)</f>
        <v/>
      </c>
      <c r="Q217" s="23" t="str">
        <f aca="false">IF($X217="","",Settings!$C$6)</f>
        <v/>
      </c>
      <c r="R217" s="22" t="str">
        <f aca="false">IF($X217="","",SUMIFS('Per Line'!$Y$2:$Y$4001,'Per Line'!$D$2:$D$4001,$B217,'Per Line'!$AJ$2:$AJ$4001,1))</f>
        <v/>
      </c>
      <c r="S217" s="22" t="str">
        <f aca="false">IF($X217="","",R217*Q217)</f>
        <v/>
      </c>
      <c r="T217" s="22" t="str">
        <f aca="false">IF($X217="","",S217+P217)</f>
        <v/>
      </c>
      <c r="U217" s="22" t="str">
        <f aca="false">IF($X217="","",V217-T217)</f>
        <v/>
      </c>
      <c r="V217" s="22" t="str">
        <f aca="false">IF($X217="","",O217+R217)</f>
        <v/>
      </c>
      <c r="W217" s="22" t="str">
        <f aca="false">IF($X217="","",U217-L217)</f>
        <v/>
      </c>
      <c r="X217" s="24" t="str">
        <f aca="false">IF(ROWS($X$2:$X217)&lt;=MAX('Per Line'!$AI$2:$AI$4001),MATCH(ROWS($X$2:$X217),'Per Line'!$AI$2:$AI$4001,0),"")</f>
        <v/>
      </c>
    </row>
    <row r="218" customFormat="false" ht="15" hidden="false" customHeight="false" outlineLevel="0" collapsed="false">
      <c r="A218" s="19"/>
      <c r="B218" s="20" t="str">
        <f aca="false">IF($X218="","",INDEX('Per Line'!$D$2:$D$4001,$X218))</f>
        <v/>
      </c>
      <c r="C218" s="20" t="str">
        <f aca="false">IF($X218="","",INDEX('Per Line'!$C$2:$C$4001,$X218))</f>
        <v/>
      </c>
      <c r="D218" s="20" t="str">
        <f aca="false">IF($X218="","",INDEX('Per Line'!$A$2:$A$4001,$X218))</f>
        <v/>
      </c>
      <c r="E218" s="21" t="str">
        <f aca="false">IF($X218="","",INDEX('Per Line'!$F$2:$F$4001,$X218))</f>
        <v/>
      </c>
      <c r="F218" s="20" t="str">
        <f aca="false">IF($X218="","",INDEX('Per Line'!$G$2:$G$4001,$X218))</f>
        <v/>
      </c>
      <c r="G218" s="20" t="str">
        <f aca="false">IF($X218="","",INDEX('Per Line'!$I$2:$I$4001,$X218))</f>
        <v/>
      </c>
      <c r="H218" s="20" t="str">
        <f aca="false">IF($X218="","",INDEX('Per Line'!$J$2:$J$4001,$X218))</f>
        <v/>
      </c>
      <c r="I218" s="20" t="str">
        <f aca="false">IF($X218="","",INDEX('Per Line'!$K$2:$K$4001,$X218))</f>
        <v/>
      </c>
      <c r="J218" s="20" t="str">
        <f aca="false">IF($X218="","",INDEX('Per Line'!$L$2:$L$4001,$X218))</f>
        <v/>
      </c>
      <c r="K218" s="20" t="str">
        <f aca="false">IF($X218="","",INDEX('Per Line'!$M$2:$M$4001,$X218))</f>
        <v/>
      </c>
      <c r="L218" s="22" t="str">
        <f aca="false">IF($X218="","",K218*V218/100)</f>
        <v/>
      </c>
      <c r="M218" s="20" t="str">
        <f aca="false">IF($X218="","",INDEX('Per Line'!$Z$2:$Z$4001,$X218))</f>
        <v/>
      </c>
      <c r="N218" s="23" t="str">
        <f aca="false">IF($X218="","",Settings!$C$7)</f>
        <v/>
      </c>
      <c r="O218" s="22" t="str">
        <f aca="false">IF($X218="","",SUMIFS('Per Line'!$Y$2:$Y$4001,'Per Line'!$D$2:$D$4001,$B218,'Per Line'!$AJ$2:$AJ$4001,0))</f>
        <v/>
      </c>
      <c r="P218" s="22" t="str">
        <f aca="false">IF($X218="","",O218*N218)</f>
        <v/>
      </c>
      <c r="Q218" s="23" t="str">
        <f aca="false">IF($X218="","",Settings!$C$6)</f>
        <v/>
      </c>
      <c r="R218" s="22" t="str">
        <f aca="false">IF($X218="","",SUMIFS('Per Line'!$Y$2:$Y$4001,'Per Line'!$D$2:$D$4001,$B218,'Per Line'!$AJ$2:$AJ$4001,1))</f>
        <v/>
      </c>
      <c r="S218" s="22" t="str">
        <f aca="false">IF($X218="","",R218*Q218)</f>
        <v/>
      </c>
      <c r="T218" s="22" t="str">
        <f aca="false">IF($X218="","",S218+P218)</f>
        <v/>
      </c>
      <c r="U218" s="22" t="str">
        <f aca="false">IF($X218="","",V218-T218)</f>
        <v/>
      </c>
      <c r="V218" s="22" t="str">
        <f aca="false">IF($X218="","",O218+R218)</f>
        <v/>
      </c>
      <c r="W218" s="22" t="str">
        <f aca="false">IF($X218="","",U218-L218)</f>
        <v/>
      </c>
      <c r="X218" s="24" t="str">
        <f aca="false">IF(ROWS($X$2:$X218)&lt;=MAX('Per Line'!$AI$2:$AI$4001),MATCH(ROWS($X$2:$X218),'Per Line'!$AI$2:$AI$4001,0),"")</f>
        <v/>
      </c>
    </row>
    <row r="219" customFormat="false" ht="15" hidden="false" customHeight="false" outlineLevel="0" collapsed="false">
      <c r="A219" s="19"/>
      <c r="B219" s="20" t="str">
        <f aca="false">IF($X219="","",INDEX('Per Line'!$D$2:$D$4001,$X219))</f>
        <v/>
      </c>
      <c r="C219" s="20" t="str">
        <f aca="false">IF($X219="","",INDEX('Per Line'!$C$2:$C$4001,$X219))</f>
        <v/>
      </c>
      <c r="D219" s="20" t="str">
        <f aca="false">IF($X219="","",INDEX('Per Line'!$A$2:$A$4001,$X219))</f>
        <v/>
      </c>
      <c r="E219" s="21" t="str">
        <f aca="false">IF($X219="","",INDEX('Per Line'!$F$2:$F$4001,$X219))</f>
        <v/>
      </c>
      <c r="F219" s="20" t="str">
        <f aca="false">IF($X219="","",INDEX('Per Line'!$G$2:$G$4001,$X219))</f>
        <v/>
      </c>
      <c r="G219" s="20" t="str">
        <f aca="false">IF($X219="","",INDEX('Per Line'!$I$2:$I$4001,$X219))</f>
        <v/>
      </c>
      <c r="H219" s="20" t="str">
        <f aca="false">IF($X219="","",INDEX('Per Line'!$J$2:$J$4001,$X219))</f>
        <v/>
      </c>
      <c r="I219" s="20" t="str">
        <f aca="false">IF($X219="","",INDEX('Per Line'!$K$2:$K$4001,$X219))</f>
        <v/>
      </c>
      <c r="J219" s="20" t="str">
        <f aca="false">IF($X219="","",INDEX('Per Line'!$L$2:$L$4001,$X219))</f>
        <v/>
      </c>
      <c r="K219" s="20" t="str">
        <f aca="false">IF($X219="","",INDEX('Per Line'!$M$2:$M$4001,$X219))</f>
        <v/>
      </c>
      <c r="L219" s="22" t="str">
        <f aca="false">IF($X219="","",K219*V219/100)</f>
        <v/>
      </c>
      <c r="M219" s="20" t="str">
        <f aca="false">IF($X219="","",INDEX('Per Line'!$Z$2:$Z$4001,$X219))</f>
        <v/>
      </c>
      <c r="N219" s="23" t="str">
        <f aca="false">IF($X219="","",Settings!$C$7)</f>
        <v/>
      </c>
      <c r="O219" s="22" t="str">
        <f aca="false">IF($X219="","",SUMIFS('Per Line'!$Y$2:$Y$4001,'Per Line'!$D$2:$D$4001,$B219,'Per Line'!$AJ$2:$AJ$4001,0))</f>
        <v/>
      </c>
      <c r="P219" s="22" t="str">
        <f aca="false">IF($X219="","",O219*N219)</f>
        <v/>
      </c>
      <c r="Q219" s="23" t="str">
        <f aca="false">IF($X219="","",Settings!$C$6)</f>
        <v/>
      </c>
      <c r="R219" s="22" t="str">
        <f aca="false">IF($X219="","",SUMIFS('Per Line'!$Y$2:$Y$4001,'Per Line'!$D$2:$D$4001,$B219,'Per Line'!$AJ$2:$AJ$4001,1))</f>
        <v/>
      </c>
      <c r="S219" s="22" t="str">
        <f aca="false">IF($X219="","",R219*Q219)</f>
        <v/>
      </c>
      <c r="T219" s="22" t="str">
        <f aca="false">IF($X219="","",S219+P219)</f>
        <v/>
      </c>
      <c r="U219" s="22" t="str">
        <f aca="false">IF($X219="","",V219-T219)</f>
        <v/>
      </c>
      <c r="V219" s="22" t="str">
        <f aca="false">IF($X219="","",O219+R219)</f>
        <v/>
      </c>
      <c r="W219" s="22" t="str">
        <f aca="false">IF($X219="","",U219-L219)</f>
        <v/>
      </c>
      <c r="X219" s="24" t="str">
        <f aca="false">IF(ROWS($X$2:$X219)&lt;=MAX('Per Line'!$AI$2:$AI$4001),MATCH(ROWS($X$2:$X219),'Per Line'!$AI$2:$AI$4001,0),"")</f>
        <v/>
      </c>
    </row>
    <row r="220" customFormat="false" ht="15" hidden="false" customHeight="false" outlineLevel="0" collapsed="false">
      <c r="A220" s="19"/>
      <c r="B220" s="20" t="str">
        <f aca="false">IF($X220="","",INDEX('Per Line'!$D$2:$D$4001,$X220))</f>
        <v/>
      </c>
      <c r="C220" s="20" t="str">
        <f aca="false">IF($X220="","",INDEX('Per Line'!$C$2:$C$4001,$X220))</f>
        <v/>
      </c>
      <c r="D220" s="20" t="str">
        <f aca="false">IF($X220="","",INDEX('Per Line'!$A$2:$A$4001,$X220))</f>
        <v/>
      </c>
      <c r="E220" s="21" t="str">
        <f aca="false">IF($X220="","",INDEX('Per Line'!$F$2:$F$4001,$X220))</f>
        <v/>
      </c>
      <c r="F220" s="20" t="str">
        <f aca="false">IF($X220="","",INDEX('Per Line'!$G$2:$G$4001,$X220))</f>
        <v/>
      </c>
      <c r="G220" s="20" t="str">
        <f aca="false">IF($X220="","",INDEX('Per Line'!$I$2:$I$4001,$X220))</f>
        <v/>
      </c>
      <c r="H220" s="20" t="str">
        <f aca="false">IF($X220="","",INDEX('Per Line'!$J$2:$J$4001,$X220))</f>
        <v/>
      </c>
      <c r="I220" s="20" t="str">
        <f aca="false">IF($X220="","",INDEX('Per Line'!$K$2:$K$4001,$X220))</f>
        <v/>
      </c>
      <c r="J220" s="20" t="str">
        <f aca="false">IF($X220="","",INDEX('Per Line'!$L$2:$L$4001,$X220))</f>
        <v/>
      </c>
      <c r="K220" s="20" t="str">
        <f aca="false">IF($X220="","",INDEX('Per Line'!$M$2:$M$4001,$X220))</f>
        <v/>
      </c>
      <c r="L220" s="22" t="str">
        <f aca="false">IF($X220="","",K220*V220/100)</f>
        <v/>
      </c>
      <c r="M220" s="20" t="str">
        <f aca="false">IF($X220="","",INDEX('Per Line'!$Z$2:$Z$4001,$X220))</f>
        <v/>
      </c>
      <c r="N220" s="23" t="str">
        <f aca="false">IF($X220="","",Settings!$C$7)</f>
        <v/>
      </c>
      <c r="O220" s="22" t="str">
        <f aca="false">IF($X220="","",SUMIFS('Per Line'!$Y$2:$Y$4001,'Per Line'!$D$2:$D$4001,$B220,'Per Line'!$AJ$2:$AJ$4001,0))</f>
        <v/>
      </c>
      <c r="P220" s="22" t="str">
        <f aca="false">IF($X220="","",O220*N220)</f>
        <v/>
      </c>
      <c r="Q220" s="23" t="str">
        <f aca="false">IF($X220="","",Settings!$C$6)</f>
        <v/>
      </c>
      <c r="R220" s="22" t="str">
        <f aca="false">IF($X220="","",SUMIFS('Per Line'!$Y$2:$Y$4001,'Per Line'!$D$2:$D$4001,$B220,'Per Line'!$AJ$2:$AJ$4001,1))</f>
        <v/>
      </c>
      <c r="S220" s="22" t="str">
        <f aca="false">IF($X220="","",R220*Q220)</f>
        <v/>
      </c>
      <c r="T220" s="22" t="str">
        <f aca="false">IF($X220="","",S220+P220)</f>
        <v/>
      </c>
      <c r="U220" s="22" t="str">
        <f aca="false">IF($X220="","",V220-T220)</f>
        <v/>
      </c>
      <c r="V220" s="22" t="str">
        <f aca="false">IF($X220="","",O220+R220)</f>
        <v/>
      </c>
      <c r="W220" s="22" t="str">
        <f aca="false">IF($X220="","",U220-L220)</f>
        <v/>
      </c>
      <c r="X220" s="24" t="str">
        <f aca="false">IF(ROWS($X$2:$X220)&lt;=MAX('Per Line'!$AI$2:$AI$4001),MATCH(ROWS($X$2:$X220),'Per Line'!$AI$2:$AI$4001,0),"")</f>
        <v/>
      </c>
    </row>
    <row r="221" customFormat="false" ht="15" hidden="false" customHeight="false" outlineLevel="0" collapsed="false">
      <c r="A221" s="19"/>
      <c r="B221" s="20" t="str">
        <f aca="false">IF($X221="","",INDEX('Per Line'!$D$2:$D$4001,$X221))</f>
        <v/>
      </c>
      <c r="C221" s="20" t="str">
        <f aca="false">IF($X221="","",INDEX('Per Line'!$C$2:$C$4001,$X221))</f>
        <v/>
      </c>
      <c r="D221" s="20" t="str">
        <f aca="false">IF($X221="","",INDEX('Per Line'!$A$2:$A$4001,$X221))</f>
        <v/>
      </c>
      <c r="E221" s="21" t="str">
        <f aca="false">IF($X221="","",INDEX('Per Line'!$F$2:$F$4001,$X221))</f>
        <v/>
      </c>
      <c r="F221" s="20" t="str">
        <f aca="false">IF($X221="","",INDEX('Per Line'!$G$2:$G$4001,$X221))</f>
        <v/>
      </c>
      <c r="G221" s="20" t="str">
        <f aca="false">IF($X221="","",INDEX('Per Line'!$I$2:$I$4001,$X221))</f>
        <v/>
      </c>
      <c r="H221" s="20" t="str">
        <f aca="false">IF($X221="","",INDEX('Per Line'!$J$2:$J$4001,$X221))</f>
        <v/>
      </c>
      <c r="I221" s="20" t="str">
        <f aca="false">IF($X221="","",INDEX('Per Line'!$K$2:$K$4001,$X221))</f>
        <v/>
      </c>
      <c r="J221" s="20" t="str">
        <f aca="false">IF($X221="","",INDEX('Per Line'!$L$2:$L$4001,$X221))</f>
        <v/>
      </c>
      <c r="K221" s="20" t="str">
        <f aca="false">IF($X221="","",INDEX('Per Line'!$M$2:$M$4001,$X221))</f>
        <v/>
      </c>
      <c r="L221" s="22" t="str">
        <f aca="false">IF($X221="","",K221*V221/100)</f>
        <v/>
      </c>
      <c r="M221" s="20" t="str">
        <f aca="false">IF($X221="","",INDEX('Per Line'!$Z$2:$Z$4001,$X221))</f>
        <v/>
      </c>
      <c r="N221" s="23" t="str">
        <f aca="false">IF($X221="","",Settings!$C$7)</f>
        <v/>
      </c>
      <c r="O221" s="22" t="str">
        <f aca="false">IF($X221="","",SUMIFS('Per Line'!$Y$2:$Y$4001,'Per Line'!$D$2:$D$4001,$B221,'Per Line'!$AJ$2:$AJ$4001,0))</f>
        <v/>
      </c>
      <c r="P221" s="22" t="str">
        <f aca="false">IF($X221="","",O221*N221)</f>
        <v/>
      </c>
      <c r="Q221" s="23" t="str">
        <f aca="false">IF($X221="","",Settings!$C$6)</f>
        <v/>
      </c>
      <c r="R221" s="22" t="str">
        <f aca="false">IF($X221="","",SUMIFS('Per Line'!$Y$2:$Y$4001,'Per Line'!$D$2:$D$4001,$B221,'Per Line'!$AJ$2:$AJ$4001,1))</f>
        <v/>
      </c>
      <c r="S221" s="22" t="str">
        <f aca="false">IF($X221="","",R221*Q221)</f>
        <v/>
      </c>
      <c r="T221" s="22" t="str">
        <f aca="false">IF($X221="","",S221+P221)</f>
        <v/>
      </c>
      <c r="U221" s="22" t="str">
        <f aca="false">IF($X221="","",V221-T221)</f>
        <v/>
      </c>
      <c r="V221" s="22" t="str">
        <f aca="false">IF($X221="","",O221+R221)</f>
        <v/>
      </c>
      <c r="W221" s="22" t="str">
        <f aca="false">IF($X221="","",U221-L221)</f>
        <v/>
      </c>
      <c r="X221" s="24" t="str">
        <f aca="false">IF(ROWS($X$2:$X221)&lt;=MAX('Per Line'!$AI$2:$AI$4001),MATCH(ROWS($X$2:$X221),'Per Line'!$AI$2:$AI$4001,0),"")</f>
        <v/>
      </c>
    </row>
    <row r="222" customFormat="false" ht="15" hidden="false" customHeight="false" outlineLevel="0" collapsed="false">
      <c r="A222" s="19"/>
      <c r="B222" s="20" t="str">
        <f aca="false">IF($X222="","",INDEX('Per Line'!$D$2:$D$4001,$X222))</f>
        <v/>
      </c>
      <c r="C222" s="20" t="str">
        <f aca="false">IF($X222="","",INDEX('Per Line'!$C$2:$C$4001,$X222))</f>
        <v/>
      </c>
      <c r="D222" s="20" t="str">
        <f aca="false">IF($X222="","",INDEX('Per Line'!$A$2:$A$4001,$X222))</f>
        <v/>
      </c>
      <c r="E222" s="21" t="str">
        <f aca="false">IF($X222="","",INDEX('Per Line'!$F$2:$F$4001,$X222))</f>
        <v/>
      </c>
      <c r="F222" s="20" t="str">
        <f aca="false">IF($X222="","",INDEX('Per Line'!$G$2:$G$4001,$X222))</f>
        <v/>
      </c>
      <c r="G222" s="20" t="str">
        <f aca="false">IF($X222="","",INDEX('Per Line'!$I$2:$I$4001,$X222))</f>
        <v/>
      </c>
      <c r="H222" s="20" t="str">
        <f aca="false">IF($X222="","",INDEX('Per Line'!$J$2:$J$4001,$X222))</f>
        <v/>
      </c>
      <c r="I222" s="20" t="str">
        <f aca="false">IF($X222="","",INDEX('Per Line'!$K$2:$K$4001,$X222))</f>
        <v/>
      </c>
      <c r="J222" s="20" t="str">
        <f aca="false">IF($X222="","",INDEX('Per Line'!$L$2:$L$4001,$X222))</f>
        <v/>
      </c>
      <c r="K222" s="20" t="str">
        <f aca="false">IF($X222="","",INDEX('Per Line'!$M$2:$M$4001,$X222))</f>
        <v/>
      </c>
      <c r="L222" s="22" t="str">
        <f aca="false">IF($X222="","",K222*V222/100)</f>
        <v/>
      </c>
      <c r="M222" s="20" t="str">
        <f aca="false">IF($X222="","",INDEX('Per Line'!$Z$2:$Z$4001,$X222))</f>
        <v/>
      </c>
      <c r="N222" s="23" t="str">
        <f aca="false">IF($X222="","",Settings!$C$7)</f>
        <v/>
      </c>
      <c r="O222" s="22" t="str">
        <f aca="false">IF($X222="","",SUMIFS('Per Line'!$Y$2:$Y$4001,'Per Line'!$D$2:$D$4001,$B222,'Per Line'!$AJ$2:$AJ$4001,0))</f>
        <v/>
      </c>
      <c r="P222" s="22" t="str">
        <f aca="false">IF($X222="","",O222*N222)</f>
        <v/>
      </c>
      <c r="Q222" s="23" t="str">
        <f aca="false">IF($X222="","",Settings!$C$6)</f>
        <v/>
      </c>
      <c r="R222" s="22" t="str">
        <f aca="false">IF($X222="","",SUMIFS('Per Line'!$Y$2:$Y$4001,'Per Line'!$D$2:$D$4001,$B222,'Per Line'!$AJ$2:$AJ$4001,1))</f>
        <v/>
      </c>
      <c r="S222" s="22" t="str">
        <f aca="false">IF($X222="","",R222*Q222)</f>
        <v/>
      </c>
      <c r="T222" s="22" t="str">
        <f aca="false">IF($X222="","",S222+P222)</f>
        <v/>
      </c>
      <c r="U222" s="22" t="str">
        <f aca="false">IF($X222="","",V222-T222)</f>
        <v/>
      </c>
      <c r="V222" s="22" t="str">
        <f aca="false">IF($X222="","",O222+R222)</f>
        <v/>
      </c>
      <c r="W222" s="22" t="str">
        <f aca="false">IF($X222="","",U222-L222)</f>
        <v/>
      </c>
      <c r="X222" s="24" t="str">
        <f aca="false">IF(ROWS($X$2:$X222)&lt;=MAX('Per Line'!$AI$2:$AI$4001),MATCH(ROWS($X$2:$X222),'Per Line'!$AI$2:$AI$4001,0),"")</f>
        <v/>
      </c>
    </row>
    <row r="223" customFormat="false" ht="15" hidden="false" customHeight="false" outlineLevel="0" collapsed="false">
      <c r="A223" s="19"/>
      <c r="B223" s="20" t="str">
        <f aca="false">IF($X223="","",INDEX('Per Line'!$D$2:$D$4001,$X223))</f>
        <v/>
      </c>
      <c r="C223" s="20" t="str">
        <f aca="false">IF($X223="","",INDEX('Per Line'!$C$2:$C$4001,$X223))</f>
        <v/>
      </c>
      <c r="D223" s="20" t="str">
        <f aca="false">IF($X223="","",INDEX('Per Line'!$A$2:$A$4001,$X223))</f>
        <v/>
      </c>
      <c r="E223" s="21" t="str">
        <f aca="false">IF($X223="","",INDEX('Per Line'!$F$2:$F$4001,$X223))</f>
        <v/>
      </c>
      <c r="F223" s="20" t="str">
        <f aca="false">IF($X223="","",INDEX('Per Line'!$G$2:$G$4001,$X223))</f>
        <v/>
      </c>
      <c r="G223" s="20" t="str">
        <f aca="false">IF($X223="","",INDEX('Per Line'!$I$2:$I$4001,$X223))</f>
        <v/>
      </c>
      <c r="H223" s="20" t="str">
        <f aca="false">IF($X223="","",INDEX('Per Line'!$J$2:$J$4001,$X223))</f>
        <v/>
      </c>
      <c r="I223" s="20" t="str">
        <f aca="false">IF($X223="","",INDEX('Per Line'!$K$2:$K$4001,$X223))</f>
        <v/>
      </c>
      <c r="J223" s="20" t="str">
        <f aca="false">IF($X223="","",INDEX('Per Line'!$L$2:$L$4001,$X223))</f>
        <v/>
      </c>
      <c r="K223" s="20" t="str">
        <f aca="false">IF($X223="","",INDEX('Per Line'!$M$2:$M$4001,$X223))</f>
        <v/>
      </c>
      <c r="L223" s="22" t="str">
        <f aca="false">IF($X223="","",K223*V223/100)</f>
        <v/>
      </c>
      <c r="M223" s="20" t="str">
        <f aca="false">IF($X223="","",INDEX('Per Line'!$Z$2:$Z$4001,$X223))</f>
        <v/>
      </c>
      <c r="N223" s="23" t="str">
        <f aca="false">IF($X223="","",Settings!$C$7)</f>
        <v/>
      </c>
      <c r="O223" s="22" t="str">
        <f aca="false">IF($X223="","",SUMIFS('Per Line'!$Y$2:$Y$4001,'Per Line'!$D$2:$D$4001,$B223,'Per Line'!$AJ$2:$AJ$4001,0))</f>
        <v/>
      </c>
      <c r="P223" s="22" t="str">
        <f aca="false">IF($X223="","",O223*N223)</f>
        <v/>
      </c>
      <c r="Q223" s="23" t="str">
        <f aca="false">IF($X223="","",Settings!$C$6)</f>
        <v/>
      </c>
      <c r="R223" s="22" t="str">
        <f aca="false">IF($X223="","",SUMIFS('Per Line'!$Y$2:$Y$4001,'Per Line'!$D$2:$D$4001,$B223,'Per Line'!$AJ$2:$AJ$4001,1))</f>
        <v/>
      </c>
      <c r="S223" s="22" t="str">
        <f aca="false">IF($X223="","",R223*Q223)</f>
        <v/>
      </c>
      <c r="T223" s="22" t="str">
        <f aca="false">IF($X223="","",S223+P223)</f>
        <v/>
      </c>
      <c r="U223" s="22" t="str">
        <f aca="false">IF($X223="","",V223-T223)</f>
        <v/>
      </c>
      <c r="V223" s="22" t="str">
        <f aca="false">IF($X223="","",O223+R223)</f>
        <v/>
      </c>
      <c r="W223" s="22" t="str">
        <f aca="false">IF($X223="","",U223-L223)</f>
        <v/>
      </c>
      <c r="X223" s="24" t="str">
        <f aca="false">IF(ROWS($X$2:$X223)&lt;=MAX('Per Line'!$AI$2:$AI$4001),MATCH(ROWS($X$2:$X223),'Per Line'!$AI$2:$AI$4001,0),"")</f>
        <v/>
      </c>
    </row>
    <row r="224" customFormat="false" ht="15" hidden="false" customHeight="false" outlineLevel="0" collapsed="false">
      <c r="A224" s="19"/>
      <c r="B224" s="20" t="str">
        <f aca="false">IF($X224="","",INDEX('Per Line'!$D$2:$D$4001,$X224))</f>
        <v/>
      </c>
      <c r="C224" s="20" t="str">
        <f aca="false">IF($X224="","",INDEX('Per Line'!$C$2:$C$4001,$X224))</f>
        <v/>
      </c>
      <c r="D224" s="20" t="str">
        <f aca="false">IF($X224="","",INDEX('Per Line'!$A$2:$A$4001,$X224))</f>
        <v/>
      </c>
      <c r="E224" s="21" t="str">
        <f aca="false">IF($X224="","",INDEX('Per Line'!$F$2:$F$4001,$X224))</f>
        <v/>
      </c>
      <c r="F224" s="20" t="str">
        <f aca="false">IF($X224="","",INDEX('Per Line'!$G$2:$G$4001,$X224))</f>
        <v/>
      </c>
      <c r="G224" s="20" t="str">
        <f aca="false">IF($X224="","",INDEX('Per Line'!$I$2:$I$4001,$X224))</f>
        <v/>
      </c>
      <c r="H224" s="20" t="str">
        <f aca="false">IF($X224="","",INDEX('Per Line'!$J$2:$J$4001,$X224))</f>
        <v/>
      </c>
      <c r="I224" s="20" t="str">
        <f aca="false">IF($X224="","",INDEX('Per Line'!$K$2:$K$4001,$X224))</f>
        <v/>
      </c>
      <c r="J224" s="20" t="str">
        <f aca="false">IF($X224="","",INDEX('Per Line'!$L$2:$L$4001,$X224))</f>
        <v/>
      </c>
      <c r="K224" s="20" t="str">
        <f aca="false">IF($X224="","",INDEX('Per Line'!$M$2:$M$4001,$X224))</f>
        <v/>
      </c>
      <c r="L224" s="22" t="str">
        <f aca="false">IF($X224="","",K224*V224/100)</f>
        <v/>
      </c>
      <c r="M224" s="20" t="str">
        <f aca="false">IF($X224="","",INDEX('Per Line'!$Z$2:$Z$4001,$X224))</f>
        <v/>
      </c>
      <c r="N224" s="23" t="str">
        <f aca="false">IF($X224="","",Settings!$C$7)</f>
        <v/>
      </c>
      <c r="O224" s="22" t="str">
        <f aca="false">IF($X224="","",SUMIFS('Per Line'!$Y$2:$Y$4001,'Per Line'!$D$2:$D$4001,$B224,'Per Line'!$AJ$2:$AJ$4001,0))</f>
        <v/>
      </c>
      <c r="P224" s="22" t="str">
        <f aca="false">IF($X224="","",O224*N224)</f>
        <v/>
      </c>
      <c r="Q224" s="23" t="str">
        <f aca="false">IF($X224="","",Settings!$C$6)</f>
        <v/>
      </c>
      <c r="R224" s="22" t="str">
        <f aca="false">IF($X224="","",SUMIFS('Per Line'!$Y$2:$Y$4001,'Per Line'!$D$2:$D$4001,$B224,'Per Line'!$AJ$2:$AJ$4001,1))</f>
        <v/>
      </c>
      <c r="S224" s="22" t="str">
        <f aca="false">IF($X224="","",R224*Q224)</f>
        <v/>
      </c>
      <c r="T224" s="22" t="str">
        <f aca="false">IF($X224="","",S224+P224)</f>
        <v/>
      </c>
      <c r="U224" s="22" t="str">
        <f aca="false">IF($X224="","",V224-T224)</f>
        <v/>
      </c>
      <c r="V224" s="22" t="str">
        <f aca="false">IF($X224="","",O224+R224)</f>
        <v/>
      </c>
      <c r="W224" s="22" t="str">
        <f aca="false">IF($X224="","",U224-L224)</f>
        <v/>
      </c>
      <c r="X224" s="24" t="str">
        <f aca="false">IF(ROWS($X$2:$X224)&lt;=MAX('Per Line'!$AI$2:$AI$4001),MATCH(ROWS($X$2:$X224),'Per Line'!$AI$2:$AI$4001,0),"")</f>
        <v/>
      </c>
    </row>
    <row r="225" customFormat="false" ht="15" hidden="false" customHeight="false" outlineLevel="0" collapsed="false">
      <c r="A225" s="19"/>
      <c r="B225" s="20" t="str">
        <f aca="false">IF($X225="","",INDEX('Per Line'!$D$2:$D$4001,$X225))</f>
        <v/>
      </c>
      <c r="C225" s="20" t="str">
        <f aca="false">IF($X225="","",INDEX('Per Line'!$C$2:$C$4001,$X225))</f>
        <v/>
      </c>
      <c r="D225" s="20" t="str">
        <f aca="false">IF($X225="","",INDEX('Per Line'!$A$2:$A$4001,$X225))</f>
        <v/>
      </c>
      <c r="E225" s="21" t="str">
        <f aca="false">IF($X225="","",INDEX('Per Line'!$F$2:$F$4001,$X225))</f>
        <v/>
      </c>
      <c r="F225" s="20" t="str">
        <f aca="false">IF($X225="","",INDEX('Per Line'!$G$2:$G$4001,$X225))</f>
        <v/>
      </c>
      <c r="G225" s="20" t="str">
        <f aca="false">IF($X225="","",INDEX('Per Line'!$I$2:$I$4001,$X225))</f>
        <v/>
      </c>
      <c r="H225" s="20" t="str">
        <f aca="false">IF($X225="","",INDEX('Per Line'!$J$2:$J$4001,$X225))</f>
        <v/>
      </c>
      <c r="I225" s="20" t="str">
        <f aca="false">IF($X225="","",INDEX('Per Line'!$K$2:$K$4001,$X225))</f>
        <v/>
      </c>
      <c r="J225" s="20" t="str">
        <f aca="false">IF($X225="","",INDEX('Per Line'!$L$2:$L$4001,$X225))</f>
        <v/>
      </c>
      <c r="K225" s="20" t="str">
        <f aca="false">IF($X225="","",INDEX('Per Line'!$M$2:$M$4001,$X225))</f>
        <v/>
      </c>
      <c r="L225" s="22" t="str">
        <f aca="false">IF($X225="","",K225*V225/100)</f>
        <v/>
      </c>
      <c r="M225" s="20" t="str">
        <f aca="false">IF($X225="","",INDEX('Per Line'!$Z$2:$Z$4001,$X225))</f>
        <v/>
      </c>
      <c r="N225" s="23" t="str">
        <f aca="false">IF($X225="","",Settings!$C$7)</f>
        <v/>
      </c>
      <c r="O225" s="22" t="str">
        <f aca="false">IF($X225="","",SUMIFS('Per Line'!$Y$2:$Y$4001,'Per Line'!$D$2:$D$4001,$B225,'Per Line'!$AJ$2:$AJ$4001,0))</f>
        <v/>
      </c>
      <c r="P225" s="22" t="str">
        <f aca="false">IF($X225="","",O225*N225)</f>
        <v/>
      </c>
      <c r="Q225" s="23" t="str">
        <f aca="false">IF($X225="","",Settings!$C$6)</f>
        <v/>
      </c>
      <c r="R225" s="22" t="str">
        <f aca="false">IF($X225="","",SUMIFS('Per Line'!$Y$2:$Y$4001,'Per Line'!$D$2:$D$4001,$B225,'Per Line'!$AJ$2:$AJ$4001,1))</f>
        <v/>
      </c>
      <c r="S225" s="22" t="str">
        <f aca="false">IF($X225="","",R225*Q225)</f>
        <v/>
      </c>
      <c r="T225" s="22" t="str">
        <f aca="false">IF($X225="","",S225+P225)</f>
        <v/>
      </c>
      <c r="U225" s="22" t="str">
        <f aca="false">IF($X225="","",V225-T225)</f>
        <v/>
      </c>
      <c r="V225" s="22" t="str">
        <f aca="false">IF($X225="","",O225+R225)</f>
        <v/>
      </c>
      <c r="W225" s="22" t="str">
        <f aca="false">IF($X225="","",U225-L225)</f>
        <v/>
      </c>
      <c r="X225" s="24" t="str">
        <f aca="false">IF(ROWS($X$2:$X225)&lt;=MAX('Per Line'!$AI$2:$AI$4001),MATCH(ROWS($X$2:$X225),'Per Line'!$AI$2:$AI$4001,0),"")</f>
        <v/>
      </c>
    </row>
    <row r="226" customFormat="false" ht="15" hidden="false" customHeight="false" outlineLevel="0" collapsed="false">
      <c r="A226" s="19"/>
      <c r="B226" s="20" t="str">
        <f aca="false">IF($X226="","",INDEX('Per Line'!$D$2:$D$4001,$X226))</f>
        <v/>
      </c>
      <c r="C226" s="20" t="str">
        <f aca="false">IF($X226="","",INDEX('Per Line'!$C$2:$C$4001,$X226))</f>
        <v/>
      </c>
      <c r="D226" s="20" t="str">
        <f aca="false">IF($X226="","",INDEX('Per Line'!$A$2:$A$4001,$X226))</f>
        <v/>
      </c>
      <c r="E226" s="21" t="str">
        <f aca="false">IF($X226="","",INDEX('Per Line'!$F$2:$F$4001,$X226))</f>
        <v/>
      </c>
      <c r="F226" s="20" t="str">
        <f aca="false">IF($X226="","",INDEX('Per Line'!$G$2:$G$4001,$X226))</f>
        <v/>
      </c>
      <c r="G226" s="20" t="str">
        <f aca="false">IF($X226="","",INDEX('Per Line'!$I$2:$I$4001,$X226))</f>
        <v/>
      </c>
      <c r="H226" s="20" t="str">
        <f aca="false">IF($X226="","",INDEX('Per Line'!$J$2:$J$4001,$X226))</f>
        <v/>
      </c>
      <c r="I226" s="20" t="str">
        <f aca="false">IF($X226="","",INDEX('Per Line'!$K$2:$K$4001,$X226))</f>
        <v/>
      </c>
      <c r="J226" s="20" t="str">
        <f aca="false">IF($X226="","",INDEX('Per Line'!$L$2:$L$4001,$X226))</f>
        <v/>
      </c>
      <c r="K226" s="20" t="str">
        <f aca="false">IF($X226="","",INDEX('Per Line'!$M$2:$M$4001,$X226))</f>
        <v/>
      </c>
      <c r="L226" s="22" t="str">
        <f aca="false">IF($X226="","",K226*V226/100)</f>
        <v/>
      </c>
      <c r="M226" s="20" t="str">
        <f aca="false">IF($X226="","",INDEX('Per Line'!$Z$2:$Z$4001,$X226))</f>
        <v/>
      </c>
      <c r="N226" s="23" t="str">
        <f aca="false">IF($X226="","",Settings!$C$7)</f>
        <v/>
      </c>
      <c r="O226" s="22" t="str">
        <f aca="false">IF($X226="","",SUMIFS('Per Line'!$Y$2:$Y$4001,'Per Line'!$D$2:$D$4001,$B226,'Per Line'!$AJ$2:$AJ$4001,0))</f>
        <v/>
      </c>
      <c r="P226" s="22" t="str">
        <f aca="false">IF($X226="","",O226*N226)</f>
        <v/>
      </c>
      <c r="Q226" s="23" t="str">
        <f aca="false">IF($X226="","",Settings!$C$6)</f>
        <v/>
      </c>
      <c r="R226" s="22" t="str">
        <f aca="false">IF($X226="","",SUMIFS('Per Line'!$Y$2:$Y$4001,'Per Line'!$D$2:$D$4001,$B226,'Per Line'!$AJ$2:$AJ$4001,1))</f>
        <v/>
      </c>
      <c r="S226" s="22" t="str">
        <f aca="false">IF($X226="","",R226*Q226)</f>
        <v/>
      </c>
      <c r="T226" s="22" t="str">
        <f aca="false">IF($X226="","",S226+P226)</f>
        <v/>
      </c>
      <c r="U226" s="22" t="str">
        <f aca="false">IF($X226="","",V226-T226)</f>
        <v/>
      </c>
      <c r="V226" s="22" t="str">
        <f aca="false">IF($X226="","",O226+R226)</f>
        <v/>
      </c>
      <c r="W226" s="22" t="str">
        <f aca="false">IF($X226="","",U226-L226)</f>
        <v/>
      </c>
      <c r="X226" s="24" t="str">
        <f aca="false">IF(ROWS($X$2:$X226)&lt;=MAX('Per Line'!$AI$2:$AI$4001),MATCH(ROWS($X$2:$X226),'Per Line'!$AI$2:$AI$4001,0),"")</f>
        <v/>
      </c>
    </row>
    <row r="227" customFormat="false" ht="15" hidden="false" customHeight="false" outlineLevel="0" collapsed="false">
      <c r="A227" s="19"/>
      <c r="B227" s="20" t="str">
        <f aca="false">IF($X227="","",INDEX('Per Line'!$D$2:$D$4001,$X227))</f>
        <v/>
      </c>
      <c r="C227" s="20" t="str">
        <f aca="false">IF($X227="","",INDEX('Per Line'!$C$2:$C$4001,$X227))</f>
        <v/>
      </c>
      <c r="D227" s="20" t="str">
        <f aca="false">IF($X227="","",INDEX('Per Line'!$A$2:$A$4001,$X227))</f>
        <v/>
      </c>
      <c r="E227" s="21" t="str">
        <f aca="false">IF($X227="","",INDEX('Per Line'!$F$2:$F$4001,$X227))</f>
        <v/>
      </c>
      <c r="F227" s="20" t="str">
        <f aca="false">IF($X227="","",INDEX('Per Line'!$G$2:$G$4001,$X227))</f>
        <v/>
      </c>
      <c r="G227" s="20" t="str">
        <f aca="false">IF($X227="","",INDEX('Per Line'!$I$2:$I$4001,$X227))</f>
        <v/>
      </c>
      <c r="H227" s="20" t="str">
        <f aca="false">IF($X227="","",INDEX('Per Line'!$J$2:$J$4001,$X227))</f>
        <v/>
      </c>
      <c r="I227" s="20" t="str">
        <f aca="false">IF($X227="","",INDEX('Per Line'!$K$2:$K$4001,$X227))</f>
        <v/>
      </c>
      <c r="J227" s="20" t="str">
        <f aca="false">IF($X227="","",INDEX('Per Line'!$L$2:$L$4001,$X227))</f>
        <v/>
      </c>
      <c r="K227" s="20" t="str">
        <f aca="false">IF($X227="","",INDEX('Per Line'!$M$2:$M$4001,$X227))</f>
        <v/>
      </c>
      <c r="L227" s="22" t="str">
        <f aca="false">IF($X227="","",K227*V227/100)</f>
        <v/>
      </c>
      <c r="M227" s="20" t="str">
        <f aca="false">IF($X227="","",INDEX('Per Line'!$Z$2:$Z$4001,$X227))</f>
        <v/>
      </c>
      <c r="N227" s="23" t="str">
        <f aca="false">IF($X227="","",Settings!$C$7)</f>
        <v/>
      </c>
      <c r="O227" s="22" t="str">
        <f aca="false">IF($X227="","",SUMIFS('Per Line'!$Y$2:$Y$4001,'Per Line'!$D$2:$D$4001,$B227,'Per Line'!$AJ$2:$AJ$4001,0))</f>
        <v/>
      </c>
      <c r="P227" s="22" t="str">
        <f aca="false">IF($X227="","",O227*N227)</f>
        <v/>
      </c>
      <c r="Q227" s="23" t="str">
        <f aca="false">IF($X227="","",Settings!$C$6)</f>
        <v/>
      </c>
      <c r="R227" s="22" t="str">
        <f aca="false">IF($X227="","",SUMIFS('Per Line'!$Y$2:$Y$4001,'Per Line'!$D$2:$D$4001,$B227,'Per Line'!$AJ$2:$AJ$4001,1))</f>
        <v/>
      </c>
      <c r="S227" s="22" t="str">
        <f aca="false">IF($X227="","",R227*Q227)</f>
        <v/>
      </c>
      <c r="T227" s="22" t="str">
        <f aca="false">IF($X227="","",S227+P227)</f>
        <v/>
      </c>
      <c r="U227" s="22" t="str">
        <f aca="false">IF($X227="","",V227-T227)</f>
        <v/>
      </c>
      <c r="V227" s="22" t="str">
        <f aca="false">IF($X227="","",O227+R227)</f>
        <v/>
      </c>
      <c r="W227" s="22" t="str">
        <f aca="false">IF($X227="","",U227-L227)</f>
        <v/>
      </c>
      <c r="X227" s="24" t="str">
        <f aca="false">IF(ROWS($X$2:$X227)&lt;=MAX('Per Line'!$AI$2:$AI$4001),MATCH(ROWS($X$2:$X227),'Per Line'!$AI$2:$AI$4001,0),"")</f>
        <v/>
      </c>
    </row>
    <row r="228" customFormat="false" ht="15" hidden="false" customHeight="false" outlineLevel="0" collapsed="false">
      <c r="A228" s="19"/>
      <c r="B228" s="20" t="str">
        <f aca="false">IF($X228="","",INDEX('Per Line'!$D$2:$D$4001,$X228))</f>
        <v/>
      </c>
      <c r="C228" s="20" t="str">
        <f aca="false">IF($X228="","",INDEX('Per Line'!$C$2:$C$4001,$X228))</f>
        <v/>
      </c>
      <c r="D228" s="20" t="str">
        <f aca="false">IF($X228="","",INDEX('Per Line'!$A$2:$A$4001,$X228))</f>
        <v/>
      </c>
      <c r="E228" s="21" t="str">
        <f aca="false">IF($X228="","",INDEX('Per Line'!$F$2:$F$4001,$X228))</f>
        <v/>
      </c>
      <c r="F228" s="20" t="str">
        <f aca="false">IF($X228="","",INDEX('Per Line'!$G$2:$G$4001,$X228))</f>
        <v/>
      </c>
      <c r="G228" s="20" t="str">
        <f aca="false">IF($X228="","",INDEX('Per Line'!$I$2:$I$4001,$X228))</f>
        <v/>
      </c>
      <c r="H228" s="20" t="str">
        <f aca="false">IF($X228="","",INDEX('Per Line'!$J$2:$J$4001,$X228))</f>
        <v/>
      </c>
      <c r="I228" s="20" t="str">
        <f aca="false">IF($X228="","",INDEX('Per Line'!$K$2:$K$4001,$X228))</f>
        <v/>
      </c>
      <c r="J228" s="20" t="str">
        <f aca="false">IF($X228="","",INDEX('Per Line'!$L$2:$L$4001,$X228))</f>
        <v/>
      </c>
      <c r="K228" s="20" t="str">
        <f aca="false">IF($X228="","",INDEX('Per Line'!$M$2:$M$4001,$X228))</f>
        <v/>
      </c>
      <c r="L228" s="22" t="str">
        <f aca="false">IF($X228="","",K228*V228/100)</f>
        <v/>
      </c>
      <c r="M228" s="20" t="str">
        <f aca="false">IF($X228="","",INDEX('Per Line'!$Z$2:$Z$4001,$X228))</f>
        <v/>
      </c>
      <c r="N228" s="23" t="str">
        <f aca="false">IF($X228="","",Settings!$C$7)</f>
        <v/>
      </c>
      <c r="O228" s="22" t="str">
        <f aca="false">IF($X228="","",SUMIFS('Per Line'!$Y$2:$Y$4001,'Per Line'!$D$2:$D$4001,$B228,'Per Line'!$AJ$2:$AJ$4001,0))</f>
        <v/>
      </c>
      <c r="P228" s="22" t="str">
        <f aca="false">IF($X228="","",O228*N228)</f>
        <v/>
      </c>
      <c r="Q228" s="23" t="str">
        <f aca="false">IF($X228="","",Settings!$C$6)</f>
        <v/>
      </c>
      <c r="R228" s="22" t="str">
        <f aca="false">IF($X228="","",SUMIFS('Per Line'!$Y$2:$Y$4001,'Per Line'!$D$2:$D$4001,$B228,'Per Line'!$AJ$2:$AJ$4001,1))</f>
        <v/>
      </c>
      <c r="S228" s="22" t="str">
        <f aca="false">IF($X228="","",R228*Q228)</f>
        <v/>
      </c>
      <c r="T228" s="22" t="str">
        <f aca="false">IF($X228="","",S228+P228)</f>
        <v/>
      </c>
      <c r="U228" s="22" t="str">
        <f aca="false">IF($X228="","",V228-T228)</f>
        <v/>
      </c>
      <c r="V228" s="22" t="str">
        <f aca="false">IF($X228="","",O228+R228)</f>
        <v/>
      </c>
      <c r="W228" s="22" t="str">
        <f aca="false">IF($X228="","",U228-L228)</f>
        <v/>
      </c>
      <c r="X228" s="24" t="str">
        <f aca="false">IF(ROWS($X$2:$X228)&lt;=MAX('Per Line'!$AI$2:$AI$4001),MATCH(ROWS($X$2:$X228),'Per Line'!$AI$2:$AI$4001,0),"")</f>
        <v/>
      </c>
    </row>
    <row r="229" customFormat="false" ht="15" hidden="false" customHeight="false" outlineLevel="0" collapsed="false">
      <c r="A229" s="19"/>
      <c r="B229" s="20" t="str">
        <f aca="false">IF($X229="","",INDEX('Per Line'!$D$2:$D$4001,$X229))</f>
        <v/>
      </c>
      <c r="C229" s="20" t="str">
        <f aca="false">IF($X229="","",INDEX('Per Line'!$C$2:$C$4001,$X229))</f>
        <v/>
      </c>
      <c r="D229" s="20" t="str">
        <f aca="false">IF($X229="","",INDEX('Per Line'!$A$2:$A$4001,$X229))</f>
        <v/>
      </c>
      <c r="E229" s="21" t="str">
        <f aca="false">IF($X229="","",INDEX('Per Line'!$F$2:$F$4001,$X229))</f>
        <v/>
      </c>
      <c r="F229" s="20" t="str">
        <f aca="false">IF($X229="","",INDEX('Per Line'!$G$2:$G$4001,$X229))</f>
        <v/>
      </c>
      <c r="G229" s="20" t="str">
        <f aca="false">IF($X229="","",INDEX('Per Line'!$I$2:$I$4001,$X229))</f>
        <v/>
      </c>
      <c r="H229" s="20" t="str">
        <f aca="false">IF($X229="","",INDEX('Per Line'!$J$2:$J$4001,$X229))</f>
        <v/>
      </c>
      <c r="I229" s="20" t="str">
        <f aca="false">IF($X229="","",INDEX('Per Line'!$K$2:$K$4001,$X229))</f>
        <v/>
      </c>
      <c r="J229" s="20" t="str">
        <f aca="false">IF($X229="","",INDEX('Per Line'!$L$2:$L$4001,$X229))</f>
        <v/>
      </c>
      <c r="K229" s="20" t="str">
        <f aca="false">IF($X229="","",INDEX('Per Line'!$M$2:$M$4001,$X229))</f>
        <v/>
      </c>
      <c r="L229" s="22" t="str">
        <f aca="false">IF($X229="","",K229*V229/100)</f>
        <v/>
      </c>
      <c r="M229" s="20" t="str">
        <f aca="false">IF($X229="","",INDEX('Per Line'!$Z$2:$Z$4001,$X229))</f>
        <v/>
      </c>
      <c r="N229" s="23" t="str">
        <f aca="false">IF($X229="","",Settings!$C$7)</f>
        <v/>
      </c>
      <c r="O229" s="22" t="str">
        <f aca="false">IF($X229="","",SUMIFS('Per Line'!$Y$2:$Y$4001,'Per Line'!$D$2:$D$4001,$B229,'Per Line'!$AJ$2:$AJ$4001,0))</f>
        <v/>
      </c>
      <c r="P229" s="22" t="str">
        <f aca="false">IF($X229="","",O229*N229)</f>
        <v/>
      </c>
      <c r="Q229" s="23" t="str">
        <f aca="false">IF($X229="","",Settings!$C$6)</f>
        <v/>
      </c>
      <c r="R229" s="22" t="str">
        <f aca="false">IF($X229="","",SUMIFS('Per Line'!$Y$2:$Y$4001,'Per Line'!$D$2:$D$4001,$B229,'Per Line'!$AJ$2:$AJ$4001,1))</f>
        <v/>
      </c>
      <c r="S229" s="22" t="str">
        <f aca="false">IF($X229="","",R229*Q229)</f>
        <v/>
      </c>
      <c r="T229" s="22" t="str">
        <f aca="false">IF($X229="","",S229+P229)</f>
        <v/>
      </c>
      <c r="U229" s="22" t="str">
        <f aca="false">IF($X229="","",V229-T229)</f>
        <v/>
      </c>
      <c r="V229" s="22" t="str">
        <f aca="false">IF($X229="","",O229+R229)</f>
        <v/>
      </c>
      <c r="W229" s="22" t="str">
        <f aca="false">IF($X229="","",U229-L229)</f>
        <v/>
      </c>
      <c r="X229" s="24" t="str">
        <f aca="false">IF(ROWS($X$2:$X229)&lt;=MAX('Per Line'!$AI$2:$AI$4001),MATCH(ROWS($X$2:$X229),'Per Line'!$AI$2:$AI$4001,0),"")</f>
        <v/>
      </c>
    </row>
    <row r="230" customFormat="false" ht="15" hidden="false" customHeight="false" outlineLevel="0" collapsed="false">
      <c r="A230" s="19"/>
      <c r="B230" s="20" t="str">
        <f aca="false">IF($X230="","",INDEX('Per Line'!$D$2:$D$4001,$X230))</f>
        <v/>
      </c>
      <c r="C230" s="20" t="str">
        <f aca="false">IF($X230="","",INDEX('Per Line'!$C$2:$C$4001,$X230))</f>
        <v/>
      </c>
      <c r="D230" s="20" t="str">
        <f aca="false">IF($X230="","",INDEX('Per Line'!$A$2:$A$4001,$X230))</f>
        <v/>
      </c>
      <c r="E230" s="21" t="str">
        <f aca="false">IF($X230="","",INDEX('Per Line'!$F$2:$F$4001,$X230))</f>
        <v/>
      </c>
      <c r="F230" s="20" t="str">
        <f aca="false">IF($X230="","",INDEX('Per Line'!$G$2:$G$4001,$X230))</f>
        <v/>
      </c>
      <c r="G230" s="20" t="str">
        <f aca="false">IF($X230="","",INDEX('Per Line'!$I$2:$I$4001,$X230))</f>
        <v/>
      </c>
      <c r="H230" s="20" t="str">
        <f aca="false">IF($X230="","",INDEX('Per Line'!$J$2:$J$4001,$X230))</f>
        <v/>
      </c>
      <c r="I230" s="20" t="str">
        <f aca="false">IF($X230="","",INDEX('Per Line'!$K$2:$K$4001,$X230))</f>
        <v/>
      </c>
      <c r="J230" s="20" t="str">
        <f aca="false">IF($X230="","",INDEX('Per Line'!$L$2:$L$4001,$X230))</f>
        <v/>
      </c>
      <c r="K230" s="20" t="str">
        <f aca="false">IF($X230="","",INDEX('Per Line'!$M$2:$M$4001,$X230))</f>
        <v/>
      </c>
      <c r="L230" s="22" t="str">
        <f aca="false">IF($X230="","",K230*V230/100)</f>
        <v/>
      </c>
      <c r="M230" s="20" t="str">
        <f aca="false">IF($X230="","",INDEX('Per Line'!$Z$2:$Z$4001,$X230))</f>
        <v/>
      </c>
      <c r="N230" s="23" t="str">
        <f aca="false">IF($X230="","",Settings!$C$7)</f>
        <v/>
      </c>
      <c r="O230" s="22" t="str">
        <f aca="false">IF($X230="","",SUMIFS('Per Line'!$Y$2:$Y$4001,'Per Line'!$D$2:$D$4001,$B230,'Per Line'!$AJ$2:$AJ$4001,0))</f>
        <v/>
      </c>
      <c r="P230" s="22" t="str">
        <f aca="false">IF($X230="","",O230*N230)</f>
        <v/>
      </c>
      <c r="Q230" s="23" t="str">
        <f aca="false">IF($X230="","",Settings!$C$6)</f>
        <v/>
      </c>
      <c r="R230" s="22" t="str">
        <f aca="false">IF($X230="","",SUMIFS('Per Line'!$Y$2:$Y$4001,'Per Line'!$D$2:$D$4001,$B230,'Per Line'!$AJ$2:$AJ$4001,1))</f>
        <v/>
      </c>
      <c r="S230" s="22" t="str">
        <f aca="false">IF($X230="","",R230*Q230)</f>
        <v/>
      </c>
      <c r="T230" s="22" t="str">
        <f aca="false">IF($X230="","",S230+P230)</f>
        <v/>
      </c>
      <c r="U230" s="22" t="str">
        <f aca="false">IF($X230="","",V230-T230)</f>
        <v/>
      </c>
      <c r="V230" s="22" t="str">
        <f aca="false">IF($X230="","",O230+R230)</f>
        <v/>
      </c>
      <c r="W230" s="22" t="str">
        <f aca="false">IF($X230="","",U230-L230)</f>
        <v/>
      </c>
      <c r="X230" s="24" t="str">
        <f aca="false">IF(ROWS($X$2:$X230)&lt;=MAX('Per Line'!$AI$2:$AI$4001),MATCH(ROWS($X$2:$X230),'Per Line'!$AI$2:$AI$4001,0),"")</f>
        <v/>
      </c>
    </row>
    <row r="231" customFormat="false" ht="15" hidden="false" customHeight="false" outlineLevel="0" collapsed="false">
      <c r="A231" s="19"/>
      <c r="B231" s="20" t="str">
        <f aca="false">IF($X231="","",INDEX('Per Line'!$D$2:$D$4001,$X231))</f>
        <v/>
      </c>
      <c r="C231" s="20" t="str">
        <f aca="false">IF($X231="","",INDEX('Per Line'!$C$2:$C$4001,$X231))</f>
        <v/>
      </c>
      <c r="D231" s="20" t="str">
        <f aca="false">IF($X231="","",INDEX('Per Line'!$A$2:$A$4001,$X231))</f>
        <v/>
      </c>
      <c r="E231" s="21" t="str">
        <f aca="false">IF($X231="","",INDEX('Per Line'!$F$2:$F$4001,$X231))</f>
        <v/>
      </c>
      <c r="F231" s="20" t="str">
        <f aca="false">IF($X231="","",INDEX('Per Line'!$G$2:$G$4001,$X231))</f>
        <v/>
      </c>
      <c r="G231" s="20" t="str">
        <f aca="false">IF($X231="","",INDEX('Per Line'!$I$2:$I$4001,$X231))</f>
        <v/>
      </c>
      <c r="H231" s="20" t="str">
        <f aca="false">IF($X231="","",INDEX('Per Line'!$J$2:$J$4001,$X231))</f>
        <v/>
      </c>
      <c r="I231" s="20" t="str">
        <f aca="false">IF($X231="","",INDEX('Per Line'!$K$2:$K$4001,$X231))</f>
        <v/>
      </c>
      <c r="J231" s="20" t="str">
        <f aca="false">IF($X231="","",INDEX('Per Line'!$L$2:$L$4001,$X231))</f>
        <v/>
      </c>
      <c r="K231" s="20" t="str">
        <f aca="false">IF($X231="","",INDEX('Per Line'!$M$2:$M$4001,$X231))</f>
        <v/>
      </c>
      <c r="L231" s="22" t="str">
        <f aca="false">IF($X231="","",K231*V231/100)</f>
        <v/>
      </c>
      <c r="M231" s="20" t="str">
        <f aca="false">IF($X231="","",INDEX('Per Line'!$Z$2:$Z$4001,$X231))</f>
        <v/>
      </c>
      <c r="N231" s="23" t="str">
        <f aca="false">IF($X231="","",Settings!$C$7)</f>
        <v/>
      </c>
      <c r="O231" s="22" t="str">
        <f aca="false">IF($X231="","",SUMIFS('Per Line'!$Y$2:$Y$4001,'Per Line'!$D$2:$D$4001,$B231,'Per Line'!$AJ$2:$AJ$4001,0))</f>
        <v/>
      </c>
      <c r="P231" s="22" t="str">
        <f aca="false">IF($X231="","",O231*N231)</f>
        <v/>
      </c>
      <c r="Q231" s="23" t="str">
        <f aca="false">IF($X231="","",Settings!$C$6)</f>
        <v/>
      </c>
      <c r="R231" s="22" t="str">
        <f aca="false">IF($X231="","",SUMIFS('Per Line'!$Y$2:$Y$4001,'Per Line'!$D$2:$D$4001,$B231,'Per Line'!$AJ$2:$AJ$4001,1))</f>
        <v/>
      </c>
      <c r="S231" s="22" t="str">
        <f aca="false">IF($X231="","",R231*Q231)</f>
        <v/>
      </c>
      <c r="T231" s="22" t="str">
        <f aca="false">IF($X231="","",S231+P231)</f>
        <v/>
      </c>
      <c r="U231" s="22" t="str">
        <f aca="false">IF($X231="","",V231-T231)</f>
        <v/>
      </c>
      <c r="V231" s="22" t="str">
        <f aca="false">IF($X231="","",O231+R231)</f>
        <v/>
      </c>
      <c r="W231" s="22" t="str">
        <f aca="false">IF($X231="","",U231-L231)</f>
        <v/>
      </c>
      <c r="X231" s="24" t="str">
        <f aca="false">IF(ROWS($X$2:$X231)&lt;=MAX('Per Line'!$AI$2:$AI$4001),MATCH(ROWS($X$2:$X231),'Per Line'!$AI$2:$AI$4001,0),"")</f>
        <v/>
      </c>
    </row>
    <row r="232" customFormat="false" ht="15" hidden="false" customHeight="false" outlineLevel="0" collapsed="false">
      <c r="A232" s="19"/>
      <c r="B232" s="20" t="str">
        <f aca="false">IF($X232="","",INDEX('Per Line'!$D$2:$D$4001,$X232))</f>
        <v/>
      </c>
      <c r="C232" s="20" t="str">
        <f aca="false">IF($X232="","",INDEX('Per Line'!$C$2:$C$4001,$X232))</f>
        <v/>
      </c>
      <c r="D232" s="20" t="str">
        <f aca="false">IF($X232="","",INDEX('Per Line'!$A$2:$A$4001,$X232))</f>
        <v/>
      </c>
      <c r="E232" s="21" t="str">
        <f aca="false">IF($X232="","",INDEX('Per Line'!$F$2:$F$4001,$X232))</f>
        <v/>
      </c>
      <c r="F232" s="20" t="str">
        <f aca="false">IF($X232="","",INDEX('Per Line'!$G$2:$G$4001,$X232))</f>
        <v/>
      </c>
      <c r="G232" s="20" t="str">
        <f aca="false">IF($X232="","",INDEX('Per Line'!$I$2:$I$4001,$X232))</f>
        <v/>
      </c>
      <c r="H232" s="20" t="str">
        <f aca="false">IF($X232="","",INDEX('Per Line'!$J$2:$J$4001,$X232))</f>
        <v/>
      </c>
      <c r="I232" s="20" t="str">
        <f aca="false">IF($X232="","",INDEX('Per Line'!$K$2:$K$4001,$X232))</f>
        <v/>
      </c>
      <c r="J232" s="20" t="str">
        <f aca="false">IF($X232="","",INDEX('Per Line'!$L$2:$L$4001,$X232))</f>
        <v/>
      </c>
      <c r="K232" s="20" t="str">
        <f aca="false">IF($X232="","",INDEX('Per Line'!$M$2:$M$4001,$X232))</f>
        <v/>
      </c>
      <c r="L232" s="22" t="str">
        <f aca="false">IF($X232="","",K232*V232/100)</f>
        <v/>
      </c>
      <c r="M232" s="20" t="str">
        <f aca="false">IF($X232="","",INDEX('Per Line'!$Z$2:$Z$4001,$X232))</f>
        <v/>
      </c>
      <c r="N232" s="23" t="str">
        <f aca="false">IF($X232="","",Settings!$C$7)</f>
        <v/>
      </c>
      <c r="O232" s="22" t="str">
        <f aca="false">IF($X232="","",SUMIFS('Per Line'!$Y$2:$Y$4001,'Per Line'!$D$2:$D$4001,$B232,'Per Line'!$AJ$2:$AJ$4001,0))</f>
        <v/>
      </c>
      <c r="P232" s="22" t="str">
        <f aca="false">IF($X232="","",O232*N232)</f>
        <v/>
      </c>
      <c r="Q232" s="23" t="str">
        <f aca="false">IF($X232="","",Settings!$C$6)</f>
        <v/>
      </c>
      <c r="R232" s="22" t="str">
        <f aca="false">IF($X232="","",SUMIFS('Per Line'!$Y$2:$Y$4001,'Per Line'!$D$2:$D$4001,$B232,'Per Line'!$AJ$2:$AJ$4001,1))</f>
        <v/>
      </c>
      <c r="S232" s="22" t="str">
        <f aca="false">IF($X232="","",R232*Q232)</f>
        <v/>
      </c>
      <c r="T232" s="22" t="str">
        <f aca="false">IF($X232="","",S232+P232)</f>
        <v/>
      </c>
      <c r="U232" s="22" t="str">
        <f aca="false">IF($X232="","",V232-T232)</f>
        <v/>
      </c>
      <c r="V232" s="22" t="str">
        <f aca="false">IF($X232="","",O232+R232)</f>
        <v/>
      </c>
      <c r="W232" s="22" t="str">
        <f aca="false">IF($X232="","",U232-L232)</f>
        <v/>
      </c>
      <c r="X232" s="24" t="str">
        <f aca="false">IF(ROWS($X$2:$X232)&lt;=MAX('Per Line'!$AI$2:$AI$4001),MATCH(ROWS($X$2:$X232),'Per Line'!$AI$2:$AI$4001,0),"")</f>
        <v/>
      </c>
    </row>
    <row r="233" customFormat="false" ht="15" hidden="false" customHeight="false" outlineLevel="0" collapsed="false">
      <c r="A233" s="19"/>
      <c r="B233" s="20" t="str">
        <f aca="false">IF($X233="","",INDEX('Per Line'!$D$2:$D$4001,$X233))</f>
        <v/>
      </c>
      <c r="C233" s="20" t="str">
        <f aca="false">IF($X233="","",INDEX('Per Line'!$C$2:$C$4001,$X233))</f>
        <v/>
      </c>
      <c r="D233" s="20" t="str">
        <f aca="false">IF($X233="","",INDEX('Per Line'!$A$2:$A$4001,$X233))</f>
        <v/>
      </c>
      <c r="E233" s="21" t="str">
        <f aca="false">IF($X233="","",INDEX('Per Line'!$F$2:$F$4001,$X233))</f>
        <v/>
      </c>
      <c r="F233" s="20" t="str">
        <f aca="false">IF($X233="","",INDEX('Per Line'!$G$2:$G$4001,$X233))</f>
        <v/>
      </c>
      <c r="G233" s="20" t="str">
        <f aca="false">IF($X233="","",INDEX('Per Line'!$I$2:$I$4001,$X233))</f>
        <v/>
      </c>
      <c r="H233" s="20" t="str">
        <f aca="false">IF($X233="","",INDEX('Per Line'!$J$2:$J$4001,$X233))</f>
        <v/>
      </c>
      <c r="I233" s="20" t="str">
        <f aca="false">IF($X233="","",INDEX('Per Line'!$K$2:$K$4001,$X233))</f>
        <v/>
      </c>
      <c r="J233" s="20" t="str">
        <f aca="false">IF($X233="","",INDEX('Per Line'!$L$2:$L$4001,$X233))</f>
        <v/>
      </c>
      <c r="K233" s="20" t="str">
        <f aca="false">IF($X233="","",INDEX('Per Line'!$M$2:$M$4001,$X233))</f>
        <v/>
      </c>
      <c r="L233" s="22" t="str">
        <f aca="false">IF($X233="","",K233*V233/100)</f>
        <v/>
      </c>
      <c r="M233" s="20" t="str">
        <f aca="false">IF($X233="","",INDEX('Per Line'!$Z$2:$Z$4001,$X233))</f>
        <v/>
      </c>
      <c r="N233" s="23" t="str">
        <f aca="false">IF($X233="","",Settings!$C$7)</f>
        <v/>
      </c>
      <c r="O233" s="22" t="str">
        <f aca="false">IF($X233="","",SUMIFS('Per Line'!$Y$2:$Y$4001,'Per Line'!$D$2:$D$4001,$B233,'Per Line'!$AJ$2:$AJ$4001,0))</f>
        <v/>
      </c>
      <c r="P233" s="22" t="str">
        <f aca="false">IF($X233="","",O233*N233)</f>
        <v/>
      </c>
      <c r="Q233" s="23" t="str">
        <f aca="false">IF($X233="","",Settings!$C$6)</f>
        <v/>
      </c>
      <c r="R233" s="22" t="str">
        <f aca="false">IF($X233="","",SUMIFS('Per Line'!$Y$2:$Y$4001,'Per Line'!$D$2:$D$4001,$B233,'Per Line'!$AJ$2:$AJ$4001,1))</f>
        <v/>
      </c>
      <c r="S233" s="22" t="str">
        <f aca="false">IF($X233="","",R233*Q233)</f>
        <v/>
      </c>
      <c r="T233" s="22" t="str">
        <f aca="false">IF($X233="","",S233+P233)</f>
        <v/>
      </c>
      <c r="U233" s="22" t="str">
        <f aca="false">IF($X233="","",V233-T233)</f>
        <v/>
      </c>
      <c r="V233" s="22" t="str">
        <f aca="false">IF($X233="","",O233+R233)</f>
        <v/>
      </c>
      <c r="W233" s="22" t="str">
        <f aca="false">IF($X233="","",U233-L233)</f>
        <v/>
      </c>
      <c r="X233" s="24" t="str">
        <f aca="false">IF(ROWS($X$2:$X233)&lt;=MAX('Per Line'!$AI$2:$AI$4001),MATCH(ROWS($X$2:$X233),'Per Line'!$AI$2:$AI$4001,0),"")</f>
        <v/>
      </c>
    </row>
    <row r="234" customFormat="false" ht="15" hidden="false" customHeight="false" outlineLevel="0" collapsed="false">
      <c r="A234" s="19"/>
      <c r="B234" s="20" t="str">
        <f aca="false">IF($X234="","",INDEX('Per Line'!$D$2:$D$4001,$X234))</f>
        <v/>
      </c>
      <c r="C234" s="20" t="str">
        <f aca="false">IF($X234="","",INDEX('Per Line'!$C$2:$C$4001,$X234))</f>
        <v/>
      </c>
      <c r="D234" s="20" t="str">
        <f aca="false">IF($X234="","",INDEX('Per Line'!$A$2:$A$4001,$X234))</f>
        <v/>
      </c>
      <c r="E234" s="21" t="str">
        <f aca="false">IF($X234="","",INDEX('Per Line'!$F$2:$F$4001,$X234))</f>
        <v/>
      </c>
      <c r="F234" s="20" t="str">
        <f aca="false">IF($X234="","",INDEX('Per Line'!$G$2:$G$4001,$X234))</f>
        <v/>
      </c>
      <c r="G234" s="20" t="str">
        <f aca="false">IF($X234="","",INDEX('Per Line'!$I$2:$I$4001,$X234))</f>
        <v/>
      </c>
      <c r="H234" s="20" t="str">
        <f aca="false">IF($X234="","",INDEX('Per Line'!$J$2:$J$4001,$X234))</f>
        <v/>
      </c>
      <c r="I234" s="20" t="str">
        <f aca="false">IF($X234="","",INDEX('Per Line'!$K$2:$K$4001,$X234))</f>
        <v/>
      </c>
      <c r="J234" s="20" t="str">
        <f aca="false">IF($X234="","",INDEX('Per Line'!$L$2:$L$4001,$X234))</f>
        <v/>
      </c>
      <c r="K234" s="20" t="str">
        <f aca="false">IF($X234="","",INDEX('Per Line'!$M$2:$M$4001,$X234))</f>
        <v/>
      </c>
      <c r="L234" s="22" t="str">
        <f aca="false">IF($X234="","",K234*V234/100)</f>
        <v/>
      </c>
      <c r="M234" s="20" t="str">
        <f aca="false">IF($X234="","",INDEX('Per Line'!$Z$2:$Z$4001,$X234))</f>
        <v/>
      </c>
      <c r="N234" s="23" t="str">
        <f aca="false">IF($X234="","",Settings!$C$7)</f>
        <v/>
      </c>
      <c r="O234" s="22" t="str">
        <f aca="false">IF($X234="","",SUMIFS('Per Line'!$Y$2:$Y$4001,'Per Line'!$D$2:$D$4001,$B234,'Per Line'!$AJ$2:$AJ$4001,0))</f>
        <v/>
      </c>
      <c r="P234" s="22" t="str">
        <f aca="false">IF($X234="","",O234*N234)</f>
        <v/>
      </c>
      <c r="Q234" s="23" t="str">
        <f aca="false">IF($X234="","",Settings!$C$6)</f>
        <v/>
      </c>
      <c r="R234" s="22" t="str">
        <f aca="false">IF($X234="","",SUMIFS('Per Line'!$Y$2:$Y$4001,'Per Line'!$D$2:$D$4001,$B234,'Per Line'!$AJ$2:$AJ$4001,1))</f>
        <v/>
      </c>
      <c r="S234" s="22" t="str">
        <f aca="false">IF($X234="","",R234*Q234)</f>
        <v/>
      </c>
      <c r="T234" s="22" t="str">
        <f aca="false">IF($X234="","",S234+P234)</f>
        <v/>
      </c>
      <c r="U234" s="22" t="str">
        <f aca="false">IF($X234="","",V234-T234)</f>
        <v/>
      </c>
      <c r="V234" s="22" t="str">
        <f aca="false">IF($X234="","",O234+R234)</f>
        <v/>
      </c>
      <c r="W234" s="22" t="str">
        <f aca="false">IF($X234="","",U234-L234)</f>
        <v/>
      </c>
      <c r="X234" s="24" t="str">
        <f aca="false">IF(ROWS($X$2:$X234)&lt;=MAX('Per Line'!$AI$2:$AI$4001),MATCH(ROWS($X$2:$X234),'Per Line'!$AI$2:$AI$4001,0),"")</f>
        <v/>
      </c>
    </row>
    <row r="235" customFormat="false" ht="15" hidden="false" customHeight="false" outlineLevel="0" collapsed="false">
      <c r="A235" s="19"/>
      <c r="B235" s="20" t="str">
        <f aca="false">IF($X235="","",INDEX('Per Line'!$D$2:$D$4001,$X235))</f>
        <v/>
      </c>
      <c r="C235" s="20" t="str">
        <f aca="false">IF($X235="","",INDEX('Per Line'!$C$2:$C$4001,$X235))</f>
        <v/>
      </c>
      <c r="D235" s="20" t="str">
        <f aca="false">IF($X235="","",INDEX('Per Line'!$A$2:$A$4001,$X235))</f>
        <v/>
      </c>
      <c r="E235" s="21" t="str">
        <f aca="false">IF($X235="","",INDEX('Per Line'!$F$2:$F$4001,$X235))</f>
        <v/>
      </c>
      <c r="F235" s="20" t="str">
        <f aca="false">IF($X235="","",INDEX('Per Line'!$G$2:$G$4001,$X235))</f>
        <v/>
      </c>
      <c r="G235" s="20" t="str">
        <f aca="false">IF($X235="","",INDEX('Per Line'!$I$2:$I$4001,$X235))</f>
        <v/>
      </c>
      <c r="H235" s="20" t="str">
        <f aca="false">IF($X235="","",INDEX('Per Line'!$J$2:$J$4001,$X235))</f>
        <v/>
      </c>
      <c r="I235" s="20" t="str">
        <f aca="false">IF($X235="","",INDEX('Per Line'!$K$2:$K$4001,$X235))</f>
        <v/>
      </c>
      <c r="J235" s="20" t="str">
        <f aca="false">IF($X235="","",INDEX('Per Line'!$L$2:$L$4001,$X235))</f>
        <v/>
      </c>
      <c r="K235" s="20" t="str">
        <f aca="false">IF($X235="","",INDEX('Per Line'!$M$2:$M$4001,$X235))</f>
        <v/>
      </c>
      <c r="L235" s="22" t="str">
        <f aca="false">IF($X235="","",K235*V235/100)</f>
        <v/>
      </c>
      <c r="M235" s="20" t="str">
        <f aca="false">IF($X235="","",INDEX('Per Line'!$Z$2:$Z$4001,$X235))</f>
        <v/>
      </c>
      <c r="N235" s="23" t="str">
        <f aca="false">IF($X235="","",Settings!$C$7)</f>
        <v/>
      </c>
      <c r="O235" s="22" t="str">
        <f aca="false">IF($X235="","",SUMIFS('Per Line'!$Y$2:$Y$4001,'Per Line'!$D$2:$D$4001,$B235,'Per Line'!$AJ$2:$AJ$4001,0))</f>
        <v/>
      </c>
      <c r="P235" s="22" t="str">
        <f aca="false">IF($X235="","",O235*N235)</f>
        <v/>
      </c>
      <c r="Q235" s="23" t="str">
        <f aca="false">IF($X235="","",Settings!$C$6)</f>
        <v/>
      </c>
      <c r="R235" s="22" t="str">
        <f aca="false">IF($X235="","",SUMIFS('Per Line'!$Y$2:$Y$4001,'Per Line'!$D$2:$D$4001,$B235,'Per Line'!$AJ$2:$AJ$4001,1))</f>
        <v/>
      </c>
      <c r="S235" s="22" t="str">
        <f aca="false">IF($X235="","",R235*Q235)</f>
        <v/>
      </c>
      <c r="T235" s="22" t="str">
        <f aca="false">IF($X235="","",S235+P235)</f>
        <v/>
      </c>
      <c r="U235" s="22" t="str">
        <f aca="false">IF($X235="","",V235-T235)</f>
        <v/>
      </c>
      <c r="V235" s="22" t="str">
        <f aca="false">IF($X235="","",O235+R235)</f>
        <v/>
      </c>
      <c r="W235" s="22" t="str">
        <f aca="false">IF($X235="","",U235-L235)</f>
        <v/>
      </c>
      <c r="X235" s="24" t="str">
        <f aca="false">IF(ROWS($X$2:$X235)&lt;=MAX('Per Line'!$AI$2:$AI$4001),MATCH(ROWS($X$2:$X235),'Per Line'!$AI$2:$AI$4001,0),"")</f>
        <v/>
      </c>
    </row>
    <row r="236" customFormat="false" ht="15" hidden="false" customHeight="false" outlineLevel="0" collapsed="false">
      <c r="A236" s="19"/>
      <c r="B236" s="20" t="str">
        <f aca="false">IF($X236="","",INDEX('Per Line'!$D$2:$D$4001,$X236))</f>
        <v/>
      </c>
      <c r="C236" s="20" t="str">
        <f aca="false">IF($X236="","",INDEX('Per Line'!$C$2:$C$4001,$X236))</f>
        <v/>
      </c>
      <c r="D236" s="20" t="str">
        <f aca="false">IF($X236="","",INDEX('Per Line'!$A$2:$A$4001,$X236))</f>
        <v/>
      </c>
      <c r="E236" s="21" t="str">
        <f aca="false">IF($X236="","",INDEX('Per Line'!$F$2:$F$4001,$X236))</f>
        <v/>
      </c>
      <c r="F236" s="20" t="str">
        <f aca="false">IF($X236="","",INDEX('Per Line'!$G$2:$G$4001,$X236))</f>
        <v/>
      </c>
      <c r="G236" s="20" t="str">
        <f aca="false">IF($X236="","",INDEX('Per Line'!$I$2:$I$4001,$X236))</f>
        <v/>
      </c>
      <c r="H236" s="20" t="str">
        <f aca="false">IF($X236="","",INDEX('Per Line'!$J$2:$J$4001,$X236))</f>
        <v/>
      </c>
      <c r="I236" s="20" t="str">
        <f aca="false">IF($X236="","",INDEX('Per Line'!$K$2:$K$4001,$X236))</f>
        <v/>
      </c>
      <c r="J236" s="20" t="str">
        <f aca="false">IF($X236="","",INDEX('Per Line'!$L$2:$L$4001,$X236))</f>
        <v/>
      </c>
      <c r="K236" s="20" t="str">
        <f aca="false">IF($X236="","",INDEX('Per Line'!$M$2:$M$4001,$X236))</f>
        <v/>
      </c>
      <c r="L236" s="22" t="str">
        <f aca="false">IF($X236="","",K236*V236/100)</f>
        <v/>
      </c>
      <c r="M236" s="20" t="str">
        <f aca="false">IF($X236="","",INDEX('Per Line'!$Z$2:$Z$4001,$X236))</f>
        <v/>
      </c>
      <c r="N236" s="23" t="str">
        <f aca="false">IF($X236="","",Settings!$C$7)</f>
        <v/>
      </c>
      <c r="O236" s="22" t="str">
        <f aca="false">IF($X236="","",SUMIFS('Per Line'!$Y$2:$Y$4001,'Per Line'!$D$2:$D$4001,$B236,'Per Line'!$AJ$2:$AJ$4001,0))</f>
        <v/>
      </c>
      <c r="P236" s="22" t="str">
        <f aca="false">IF($X236="","",O236*N236)</f>
        <v/>
      </c>
      <c r="Q236" s="23" t="str">
        <f aca="false">IF($X236="","",Settings!$C$6)</f>
        <v/>
      </c>
      <c r="R236" s="22" t="str">
        <f aca="false">IF($X236="","",SUMIFS('Per Line'!$Y$2:$Y$4001,'Per Line'!$D$2:$D$4001,$B236,'Per Line'!$AJ$2:$AJ$4001,1))</f>
        <v/>
      </c>
      <c r="S236" s="22" t="str">
        <f aca="false">IF($X236="","",R236*Q236)</f>
        <v/>
      </c>
      <c r="T236" s="22" t="str">
        <f aca="false">IF($X236="","",S236+P236)</f>
        <v/>
      </c>
      <c r="U236" s="22" t="str">
        <f aca="false">IF($X236="","",V236-T236)</f>
        <v/>
      </c>
      <c r="V236" s="22" t="str">
        <f aca="false">IF($X236="","",O236+R236)</f>
        <v/>
      </c>
      <c r="W236" s="22" t="str">
        <f aca="false">IF($X236="","",U236-L236)</f>
        <v/>
      </c>
      <c r="X236" s="24" t="str">
        <f aca="false">IF(ROWS($X$2:$X236)&lt;=MAX('Per Line'!$AI$2:$AI$4001),MATCH(ROWS($X$2:$X236),'Per Line'!$AI$2:$AI$4001,0),"")</f>
        <v/>
      </c>
    </row>
    <row r="237" customFormat="false" ht="15" hidden="false" customHeight="false" outlineLevel="0" collapsed="false">
      <c r="A237" s="19"/>
      <c r="B237" s="20" t="str">
        <f aca="false">IF($X237="","",INDEX('Per Line'!$D$2:$D$4001,$X237))</f>
        <v/>
      </c>
      <c r="C237" s="20" t="str">
        <f aca="false">IF($X237="","",INDEX('Per Line'!$C$2:$C$4001,$X237))</f>
        <v/>
      </c>
      <c r="D237" s="20" t="str">
        <f aca="false">IF($X237="","",INDEX('Per Line'!$A$2:$A$4001,$X237))</f>
        <v/>
      </c>
      <c r="E237" s="21" t="str">
        <f aca="false">IF($X237="","",INDEX('Per Line'!$F$2:$F$4001,$X237))</f>
        <v/>
      </c>
      <c r="F237" s="20" t="str">
        <f aca="false">IF($X237="","",INDEX('Per Line'!$G$2:$G$4001,$X237))</f>
        <v/>
      </c>
      <c r="G237" s="20" t="str">
        <f aca="false">IF($X237="","",INDEX('Per Line'!$I$2:$I$4001,$X237))</f>
        <v/>
      </c>
      <c r="H237" s="20" t="str">
        <f aca="false">IF($X237="","",INDEX('Per Line'!$J$2:$J$4001,$X237))</f>
        <v/>
      </c>
      <c r="I237" s="20" t="str">
        <f aca="false">IF($X237="","",INDEX('Per Line'!$K$2:$K$4001,$X237))</f>
        <v/>
      </c>
      <c r="J237" s="20" t="str">
        <f aca="false">IF($X237="","",INDEX('Per Line'!$L$2:$L$4001,$X237))</f>
        <v/>
      </c>
      <c r="K237" s="20" t="str">
        <f aca="false">IF($X237="","",INDEX('Per Line'!$M$2:$M$4001,$X237))</f>
        <v/>
      </c>
      <c r="L237" s="22" t="str">
        <f aca="false">IF($X237="","",K237*V237/100)</f>
        <v/>
      </c>
      <c r="M237" s="20" t="str">
        <f aca="false">IF($X237="","",INDEX('Per Line'!$Z$2:$Z$4001,$X237))</f>
        <v/>
      </c>
      <c r="N237" s="23" t="str">
        <f aca="false">IF($X237="","",Settings!$C$7)</f>
        <v/>
      </c>
      <c r="O237" s="22" t="str">
        <f aca="false">IF($X237="","",SUMIFS('Per Line'!$Y$2:$Y$4001,'Per Line'!$D$2:$D$4001,$B237,'Per Line'!$AJ$2:$AJ$4001,0))</f>
        <v/>
      </c>
      <c r="P237" s="22" t="str">
        <f aca="false">IF($X237="","",O237*N237)</f>
        <v/>
      </c>
      <c r="Q237" s="23" t="str">
        <f aca="false">IF($X237="","",Settings!$C$6)</f>
        <v/>
      </c>
      <c r="R237" s="22" t="str">
        <f aca="false">IF($X237="","",SUMIFS('Per Line'!$Y$2:$Y$4001,'Per Line'!$D$2:$D$4001,$B237,'Per Line'!$AJ$2:$AJ$4001,1))</f>
        <v/>
      </c>
      <c r="S237" s="22" t="str">
        <f aca="false">IF($X237="","",R237*Q237)</f>
        <v/>
      </c>
      <c r="T237" s="22" t="str">
        <f aca="false">IF($X237="","",S237+P237)</f>
        <v/>
      </c>
      <c r="U237" s="22" t="str">
        <f aca="false">IF($X237="","",V237-T237)</f>
        <v/>
      </c>
      <c r="V237" s="22" t="str">
        <f aca="false">IF($X237="","",O237+R237)</f>
        <v/>
      </c>
      <c r="W237" s="22" t="str">
        <f aca="false">IF($X237="","",U237-L237)</f>
        <v/>
      </c>
      <c r="X237" s="24" t="str">
        <f aca="false">IF(ROWS($X$2:$X237)&lt;=MAX('Per Line'!$AI$2:$AI$4001),MATCH(ROWS($X$2:$X237),'Per Line'!$AI$2:$AI$4001,0),"")</f>
        <v/>
      </c>
    </row>
    <row r="238" customFormat="false" ht="15" hidden="false" customHeight="false" outlineLevel="0" collapsed="false">
      <c r="A238" s="19"/>
      <c r="B238" s="20" t="str">
        <f aca="false">IF($X238="","",INDEX('Per Line'!$D$2:$D$4001,$X238))</f>
        <v/>
      </c>
      <c r="C238" s="20" t="str">
        <f aca="false">IF($X238="","",INDEX('Per Line'!$C$2:$C$4001,$X238))</f>
        <v/>
      </c>
      <c r="D238" s="20" t="str">
        <f aca="false">IF($X238="","",INDEX('Per Line'!$A$2:$A$4001,$X238))</f>
        <v/>
      </c>
      <c r="E238" s="21" t="str">
        <f aca="false">IF($X238="","",INDEX('Per Line'!$F$2:$F$4001,$X238))</f>
        <v/>
      </c>
      <c r="F238" s="20" t="str">
        <f aca="false">IF($X238="","",INDEX('Per Line'!$G$2:$G$4001,$X238))</f>
        <v/>
      </c>
      <c r="G238" s="20" t="str">
        <f aca="false">IF($X238="","",INDEX('Per Line'!$I$2:$I$4001,$X238))</f>
        <v/>
      </c>
      <c r="H238" s="20" t="str">
        <f aca="false">IF($X238="","",INDEX('Per Line'!$J$2:$J$4001,$X238))</f>
        <v/>
      </c>
      <c r="I238" s="20" t="str">
        <f aca="false">IF($X238="","",INDEX('Per Line'!$K$2:$K$4001,$X238))</f>
        <v/>
      </c>
      <c r="J238" s="20" t="str">
        <f aca="false">IF($X238="","",INDEX('Per Line'!$L$2:$L$4001,$X238))</f>
        <v/>
      </c>
      <c r="K238" s="20" t="str">
        <f aca="false">IF($X238="","",INDEX('Per Line'!$M$2:$M$4001,$X238))</f>
        <v/>
      </c>
      <c r="L238" s="22" t="str">
        <f aca="false">IF($X238="","",K238*V238/100)</f>
        <v/>
      </c>
      <c r="M238" s="20" t="str">
        <f aca="false">IF($X238="","",INDEX('Per Line'!$Z$2:$Z$4001,$X238))</f>
        <v/>
      </c>
      <c r="N238" s="23" t="str">
        <f aca="false">IF($X238="","",Settings!$C$7)</f>
        <v/>
      </c>
      <c r="O238" s="22" t="str">
        <f aca="false">IF($X238="","",SUMIFS('Per Line'!$Y$2:$Y$4001,'Per Line'!$D$2:$D$4001,$B238,'Per Line'!$AJ$2:$AJ$4001,0))</f>
        <v/>
      </c>
      <c r="P238" s="22" t="str">
        <f aca="false">IF($X238="","",O238*N238)</f>
        <v/>
      </c>
      <c r="Q238" s="23" t="str">
        <f aca="false">IF($X238="","",Settings!$C$6)</f>
        <v/>
      </c>
      <c r="R238" s="22" t="str">
        <f aca="false">IF($X238="","",SUMIFS('Per Line'!$Y$2:$Y$4001,'Per Line'!$D$2:$D$4001,$B238,'Per Line'!$AJ$2:$AJ$4001,1))</f>
        <v/>
      </c>
      <c r="S238" s="22" t="str">
        <f aca="false">IF($X238="","",R238*Q238)</f>
        <v/>
      </c>
      <c r="T238" s="22" t="str">
        <f aca="false">IF($X238="","",S238+P238)</f>
        <v/>
      </c>
      <c r="U238" s="22" t="str">
        <f aca="false">IF($X238="","",V238-T238)</f>
        <v/>
      </c>
      <c r="V238" s="22" t="str">
        <f aca="false">IF($X238="","",O238+R238)</f>
        <v/>
      </c>
      <c r="W238" s="22" t="str">
        <f aca="false">IF($X238="","",U238-L238)</f>
        <v/>
      </c>
      <c r="X238" s="24" t="str">
        <f aca="false">IF(ROWS($X$2:$X238)&lt;=MAX('Per Line'!$AI$2:$AI$4001),MATCH(ROWS($X$2:$X238),'Per Line'!$AI$2:$AI$4001,0),"")</f>
        <v/>
      </c>
    </row>
    <row r="239" customFormat="false" ht="15" hidden="false" customHeight="false" outlineLevel="0" collapsed="false">
      <c r="A239" s="19"/>
      <c r="B239" s="20" t="str">
        <f aca="false">IF($X239="","",INDEX('Per Line'!$D$2:$D$4001,$X239))</f>
        <v/>
      </c>
      <c r="C239" s="20" t="str">
        <f aca="false">IF($X239="","",INDEX('Per Line'!$C$2:$C$4001,$X239))</f>
        <v/>
      </c>
      <c r="D239" s="20" t="str">
        <f aca="false">IF($X239="","",INDEX('Per Line'!$A$2:$A$4001,$X239))</f>
        <v/>
      </c>
      <c r="E239" s="21" t="str">
        <f aca="false">IF($X239="","",INDEX('Per Line'!$F$2:$F$4001,$X239))</f>
        <v/>
      </c>
      <c r="F239" s="20" t="str">
        <f aca="false">IF($X239="","",INDEX('Per Line'!$G$2:$G$4001,$X239))</f>
        <v/>
      </c>
      <c r="G239" s="20" t="str">
        <f aca="false">IF($X239="","",INDEX('Per Line'!$I$2:$I$4001,$X239))</f>
        <v/>
      </c>
      <c r="H239" s="20" t="str">
        <f aca="false">IF($X239="","",INDEX('Per Line'!$J$2:$J$4001,$X239))</f>
        <v/>
      </c>
      <c r="I239" s="20" t="str">
        <f aca="false">IF($X239="","",INDEX('Per Line'!$K$2:$K$4001,$X239))</f>
        <v/>
      </c>
      <c r="J239" s="20" t="str">
        <f aca="false">IF($X239="","",INDEX('Per Line'!$L$2:$L$4001,$X239))</f>
        <v/>
      </c>
      <c r="K239" s="20" t="str">
        <f aca="false">IF($X239="","",INDEX('Per Line'!$M$2:$M$4001,$X239))</f>
        <v/>
      </c>
      <c r="L239" s="22" t="str">
        <f aca="false">IF($X239="","",K239*V239/100)</f>
        <v/>
      </c>
      <c r="M239" s="20" t="str">
        <f aca="false">IF($X239="","",INDEX('Per Line'!$Z$2:$Z$4001,$X239))</f>
        <v/>
      </c>
      <c r="N239" s="23" t="str">
        <f aca="false">IF($X239="","",Settings!$C$7)</f>
        <v/>
      </c>
      <c r="O239" s="22" t="str">
        <f aca="false">IF($X239="","",SUMIFS('Per Line'!$Y$2:$Y$4001,'Per Line'!$D$2:$D$4001,$B239,'Per Line'!$AJ$2:$AJ$4001,0))</f>
        <v/>
      </c>
      <c r="P239" s="22" t="str">
        <f aca="false">IF($X239="","",O239*N239)</f>
        <v/>
      </c>
      <c r="Q239" s="23" t="str">
        <f aca="false">IF($X239="","",Settings!$C$6)</f>
        <v/>
      </c>
      <c r="R239" s="22" t="str">
        <f aca="false">IF($X239="","",SUMIFS('Per Line'!$Y$2:$Y$4001,'Per Line'!$D$2:$D$4001,$B239,'Per Line'!$AJ$2:$AJ$4001,1))</f>
        <v/>
      </c>
      <c r="S239" s="22" t="str">
        <f aca="false">IF($X239="","",R239*Q239)</f>
        <v/>
      </c>
      <c r="T239" s="22" t="str">
        <f aca="false">IF($X239="","",S239+P239)</f>
        <v/>
      </c>
      <c r="U239" s="22" t="str">
        <f aca="false">IF($X239="","",V239-T239)</f>
        <v/>
      </c>
      <c r="V239" s="22" t="str">
        <f aca="false">IF($X239="","",O239+R239)</f>
        <v/>
      </c>
      <c r="W239" s="22" t="str">
        <f aca="false">IF($X239="","",U239-L239)</f>
        <v/>
      </c>
      <c r="X239" s="24" t="str">
        <f aca="false">IF(ROWS($X$2:$X239)&lt;=MAX('Per Line'!$AI$2:$AI$4001),MATCH(ROWS($X$2:$X239),'Per Line'!$AI$2:$AI$4001,0),"")</f>
        <v/>
      </c>
    </row>
    <row r="240" customFormat="false" ht="15" hidden="false" customHeight="false" outlineLevel="0" collapsed="false">
      <c r="A240" s="19"/>
      <c r="B240" s="20" t="str">
        <f aca="false">IF($X240="","",INDEX('Per Line'!$D$2:$D$4001,$X240))</f>
        <v/>
      </c>
      <c r="C240" s="20" t="str">
        <f aca="false">IF($X240="","",INDEX('Per Line'!$C$2:$C$4001,$X240))</f>
        <v/>
      </c>
      <c r="D240" s="20" t="str">
        <f aca="false">IF($X240="","",INDEX('Per Line'!$A$2:$A$4001,$X240))</f>
        <v/>
      </c>
      <c r="E240" s="21" t="str">
        <f aca="false">IF($X240="","",INDEX('Per Line'!$F$2:$F$4001,$X240))</f>
        <v/>
      </c>
      <c r="F240" s="20" t="str">
        <f aca="false">IF($X240="","",INDEX('Per Line'!$G$2:$G$4001,$X240))</f>
        <v/>
      </c>
      <c r="G240" s="20" t="str">
        <f aca="false">IF($X240="","",INDEX('Per Line'!$I$2:$I$4001,$X240))</f>
        <v/>
      </c>
      <c r="H240" s="20" t="str">
        <f aca="false">IF($X240="","",INDEX('Per Line'!$J$2:$J$4001,$X240))</f>
        <v/>
      </c>
      <c r="I240" s="20" t="str">
        <f aca="false">IF($X240="","",INDEX('Per Line'!$K$2:$K$4001,$X240))</f>
        <v/>
      </c>
      <c r="J240" s="20" t="str">
        <f aca="false">IF($X240="","",INDEX('Per Line'!$L$2:$L$4001,$X240))</f>
        <v/>
      </c>
      <c r="K240" s="20" t="str">
        <f aca="false">IF($X240="","",INDEX('Per Line'!$M$2:$M$4001,$X240))</f>
        <v/>
      </c>
      <c r="L240" s="22" t="str">
        <f aca="false">IF($X240="","",K240*V240/100)</f>
        <v/>
      </c>
      <c r="M240" s="20" t="str">
        <f aca="false">IF($X240="","",INDEX('Per Line'!$Z$2:$Z$4001,$X240))</f>
        <v/>
      </c>
      <c r="N240" s="23" t="str">
        <f aca="false">IF($X240="","",Settings!$C$7)</f>
        <v/>
      </c>
      <c r="O240" s="22" t="str">
        <f aca="false">IF($X240="","",SUMIFS('Per Line'!$Y$2:$Y$4001,'Per Line'!$D$2:$D$4001,$B240,'Per Line'!$AJ$2:$AJ$4001,0))</f>
        <v/>
      </c>
      <c r="P240" s="22" t="str">
        <f aca="false">IF($X240="","",O240*N240)</f>
        <v/>
      </c>
      <c r="Q240" s="23" t="str">
        <f aca="false">IF($X240="","",Settings!$C$6)</f>
        <v/>
      </c>
      <c r="R240" s="22" t="str">
        <f aca="false">IF($X240="","",SUMIFS('Per Line'!$Y$2:$Y$4001,'Per Line'!$D$2:$D$4001,$B240,'Per Line'!$AJ$2:$AJ$4001,1))</f>
        <v/>
      </c>
      <c r="S240" s="22" t="str">
        <f aca="false">IF($X240="","",R240*Q240)</f>
        <v/>
      </c>
      <c r="T240" s="22" t="str">
        <f aca="false">IF($X240="","",S240+P240)</f>
        <v/>
      </c>
      <c r="U240" s="22" t="str">
        <f aca="false">IF($X240="","",V240-T240)</f>
        <v/>
      </c>
      <c r="V240" s="22" t="str">
        <f aca="false">IF($X240="","",O240+R240)</f>
        <v/>
      </c>
      <c r="W240" s="22" t="str">
        <f aca="false">IF($X240="","",U240-L240)</f>
        <v/>
      </c>
      <c r="X240" s="24" t="str">
        <f aca="false">IF(ROWS($X$2:$X240)&lt;=MAX('Per Line'!$AI$2:$AI$4001),MATCH(ROWS($X$2:$X240),'Per Line'!$AI$2:$AI$4001,0),"")</f>
        <v/>
      </c>
    </row>
    <row r="241" customFormat="false" ht="15" hidden="false" customHeight="false" outlineLevel="0" collapsed="false">
      <c r="A241" s="19"/>
      <c r="B241" s="20" t="str">
        <f aca="false">IF($X241="","",INDEX('Per Line'!$D$2:$D$4001,$X241))</f>
        <v/>
      </c>
      <c r="C241" s="20" t="str">
        <f aca="false">IF($X241="","",INDEX('Per Line'!$C$2:$C$4001,$X241))</f>
        <v/>
      </c>
      <c r="D241" s="20" t="str">
        <f aca="false">IF($X241="","",INDEX('Per Line'!$A$2:$A$4001,$X241))</f>
        <v/>
      </c>
      <c r="E241" s="21" t="str">
        <f aca="false">IF($X241="","",INDEX('Per Line'!$F$2:$F$4001,$X241))</f>
        <v/>
      </c>
      <c r="F241" s="20" t="str">
        <f aca="false">IF($X241="","",INDEX('Per Line'!$G$2:$G$4001,$X241))</f>
        <v/>
      </c>
      <c r="G241" s="20" t="str">
        <f aca="false">IF($X241="","",INDEX('Per Line'!$I$2:$I$4001,$X241))</f>
        <v/>
      </c>
      <c r="H241" s="20" t="str">
        <f aca="false">IF($X241="","",INDEX('Per Line'!$J$2:$J$4001,$X241))</f>
        <v/>
      </c>
      <c r="I241" s="20" t="str">
        <f aca="false">IF($X241="","",INDEX('Per Line'!$K$2:$K$4001,$X241))</f>
        <v/>
      </c>
      <c r="J241" s="20" t="str">
        <f aca="false">IF($X241="","",INDEX('Per Line'!$L$2:$L$4001,$X241))</f>
        <v/>
      </c>
      <c r="K241" s="20" t="str">
        <f aca="false">IF($X241="","",INDEX('Per Line'!$M$2:$M$4001,$X241))</f>
        <v/>
      </c>
      <c r="L241" s="22" t="str">
        <f aca="false">IF($X241="","",K241*V241/100)</f>
        <v/>
      </c>
      <c r="M241" s="20" t="str">
        <f aca="false">IF($X241="","",INDEX('Per Line'!$Z$2:$Z$4001,$X241))</f>
        <v/>
      </c>
      <c r="N241" s="23" t="str">
        <f aca="false">IF($X241="","",Settings!$C$7)</f>
        <v/>
      </c>
      <c r="O241" s="22" t="str">
        <f aca="false">IF($X241="","",SUMIFS('Per Line'!$Y$2:$Y$4001,'Per Line'!$D$2:$D$4001,$B241,'Per Line'!$AJ$2:$AJ$4001,0))</f>
        <v/>
      </c>
      <c r="P241" s="22" t="str">
        <f aca="false">IF($X241="","",O241*N241)</f>
        <v/>
      </c>
      <c r="Q241" s="23" t="str">
        <f aca="false">IF($X241="","",Settings!$C$6)</f>
        <v/>
      </c>
      <c r="R241" s="22" t="str">
        <f aca="false">IF($X241="","",SUMIFS('Per Line'!$Y$2:$Y$4001,'Per Line'!$D$2:$D$4001,$B241,'Per Line'!$AJ$2:$AJ$4001,1))</f>
        <v/>
      </c>
      <c r="S241" s="22" t="str">
        <f aca="false">IF($X241="","",R241*Q241)</f>
        <v/>
      </c>
      <c r="T241" s="22" t="str">
        <f aca="false">IF($X241="","",S241+P241)</f>
        <v/>
      </c>
      <c r="U241" s="22" t="str">
        <f aca="false">IF($X241="","",V241-T241)</f>
        <v/>
      </c>
      <c r="V241" s="22" t="str">
        <f aca="false">IF($X241="","",O241+R241)</f>
        <v/>
      </c>
      <c r="W241" s="22" t="str">
        <f aca="false">IF($X241="","",U241-L241)</f>
        <v/>
      </c>
      <c r="X241" s="24" t="str">
        <f aca="false">IF(ROWS($X$2:$X241)&lt;=MAX('Per Line'!$AI$2:$AI$4001),MATCH(ROWS($X$2:$X241),'Per Line'!$AI$2:$AI$4001,0),"")</f>
        <v/>
      </c>
    </row>
    <row r="242" customFormat="false" ht="15" hidden="false" customHeight="false" outlineLevel="0" collapsed="false">
      <c r="A242" s="19"/>
      <c r="B242" s="20" t="str">
        <f aca="false">IF($X242="","",INDEX('Per Line'!$D$2:$D$4001,$X242))</f>
        <v/>
      </c>
      <c r="C242" s="20" t="str">
        <f aca="false">IF($X242="","",INDEX('Per Line'!$C$2:$C$4001,$X242))</f>
        <v/>
      </c>
      <c r="D242" s="20" t="str">
        <f aca="false">IF($X242="","",INDEX('Per Line'!$A$2:$A$4001,$X242))</f>
        <v/>
      </c>
      <c r="E242" s="21" t="str">
        <f aca="false">IF($X242="","",INDEX('Per Line'!$F$2:$F$4001,$X242))</f>
        <v/>
      </c>
      <c r="F242" s="20" t="str">
        <f aca="false">IF($X242="","",INDEX('Per Line'!$G$2:$G$4001,$X242))</f>
        <v/>
      </c>
      <c r="G242" s="20" t="str">
        <f aca="false">IF($X242="","",INDEX('Per Line'!$I$2:$I$4001,$X242))</f>
        <v/>
      </c>
      <c r="H242" s="20" t="str">
        <f aca="false">IF($X242="","",INDEX('Per Line'!$J$2:$J$4001,$X242))</f>
        <v/>
      </c>
      <c r="I242" s="20" t="str">
        <f aca="false">IF($X242="","",INDEX('Per Line'!$K$2:$K$4001,$X242))</f>
        <v/>
      </c>
      <c r="J242" s="20" t="str">
        <f aca="false">IF($X242="","",INDEX('Per Line'!$L$2:$L$4001,$X242))</f>
        <v/>
      </c>
      <c r="K242" s="20" t="str">
        <f aca="false">IF($X242="","",INDEX('Per Line'!$M$2:$M$4001,$X242))</f>
        <v/>
      </c>
      <c r="L242" s="22" t="str">
        <f aca="false">IF($X242="","",K242*V242/100)</f>
        <v/>
      </c>
      <c r="M242" s="20" t="str">
        <f aca="false">IF($X242="","",INDEX('Per Line'!$Z$2:$Z$4001,$X242))</f>
        <v/>
      </c>
      <c r="N242" s="23" t="str">
        <f aca="false">IF($X242="","",Settings!$C$7)</f>
        <v/>
      </c>
      <c r="O242" s="22" t="str">
        <f aca="false">IF($X242="","",SUMIFS('Per Line'!$Y$2:$Y$4001,'Per Line'!$D$2:$D$4001,$B242,'Per Line'!$AJ$2:$AJ$4001,0))</f>
        <v/>
      </c>
      <c r="P242" s="22" t="str">
        <f aca="false">IF($X242="","",O242*N242)</f>
        <v/>
      </c>
      <c r="Q242" s="23" t="str">
        <f aca="false">IF($X242="","",Settings!$C$6)</f>
        <v/>
      </c>
      <c r="R242" s="22" t="str">
        <f aca="false">IF($X242="","",SUMIFS('Per Line'!$Y$2:$Y$4001,'Per Line'!$D$2:$D$4001,$B242,'Per Line'!$AJ$2:$AJ$4001,1))</f>
        <v/>
      </c>
      <c r="S242" s="22" t="str">
        <f aca="false">IF($X242="","",R242*Q242)</f>
        <v/>
      </c>
      <c r="T242" s="22" t="str">
        <f aca="false">IF($X242="","",S242+P242)</f>
        <v/>
      </c>
      <c r="U242" s="22" t="str">
        <f aca="false">IF($X242="","",V242-T242)</f>
        <v/>
      </c>
      <c r="V242" s="22" t="str">
        <f aca="false">IF($X242="","",O242+R242)</f>
        <v/>
      </c>
      <c r="W242" s="22" t="str">
        <f aca="false">IF($X242="","",U242-L242)</f>
        <v/>
      </c>
      <c r="X242" s="24" t="str">
        <f aca="false">IF(ROWS($X$2:$X242)&lt;=MAX('Per Line'!$AI$2:$AI$4001),MATCH(ROWS($X$2:$X242),'Per Line'!$AI$2:$AI$4001,0),"")</f>
        <v/>
      </c>
    </row>
    <row r="243" customFormat="false" ht="15" hidden="false" customHeight="false" outlineLevel="0" collapsed="false">
      <c r="A243" s="19"/>
      <c r="B243" s="20" t="str">
        <f aca="false">IF($X243="","",INDEX('Per Line'!$D$2:$D$4001,$X243))</f>
        <v/>
      </c>
      <c r="C243" s="20" t="str">
        <f aca="false">IF($X243="","",INDEX('Per Line'!$C$2:$C$4001,$X243))</f>
        <v/>
      </c>
      <c r="D243" s="20" t="str">
        <f aca="false">IF($X243="","",INDEX('Per Line'!$A$2:$A$4001,$X243))</f>
        <v/>
      </c>
      <c r="E243" s="21" t="str">
        <f aca="false">IF($X243="","",INDEX('Per Line'!$F$2:$F$4001,$X243))</f>
        <v/>
      </c>
      <c r="F243" s="20" t="str">
        <f aca="false">IF($X243="","",INDEX('Per Line'!$G$2:$G$4001,$X243))</f>
        <v/>
      </c>
      <c r="G243" s="20" t="str">
        <f aca="false">IF($X243="","",INDEX('Per Line'!$I$2:$I$4001,$X243))</f>
        <v/>
      </c>
      <c r="H243" s="20" t="str">
        <f aca="false">IF($X243="","",INDEX('Per Line'!$J$2:$J$4001,$X243))</f>
        <v/>
      </c>
      <c r="I243" s="20" t="str">
        <f aca="false">IF($X243="","",INDEX('Per Line'!$K$2:$K$4001,$X243))</f>
        <v/>
      </c>
      <c r="J243" s="20" t="str">
        <f aca="false">IF($X243="","",INDEX('Per Line'!$L$2:$L$4001,$X243))</f>
        <v/>
      </c>
      <c r="K243" s="20" t="str">
        <f aca="false">IF($X243="","",INDEX('Per Line'!$M$2:$M$4001,$X243))</f>
        <v/>
      </c>
      <c r="L243" s="22" t="str">
        <f aca="false">IF($X243="","",K243*V243/100)</f>
        <v/>
      </c>
      <c r="M243" s="20" t="str">
        <f aca="false">IF($X243="","",INDEX('Per Line'!$Z$2:$Z$4001,$X243))</f>
        <v/>
      </c>
      <c r="N243" s="23" t="str">
        <f aca="false">IF($X243="","",Settings!$C$7)</f>
        <v/>
      </c>
      <c r="O243" s="22" t="str">
        <f aca="false">IF($X243="","",SUMIFS('Per Line'!$Y$2:$Y$4001,'Per Line'!$D$2:$D$4001,$B243,'Per Line'!$AJ$2:$AJ$4001,0))</f>
        <v/>
      </c>
      <c r="P243" s="22" t="str">
        <f aca="false">IF($X243="","",O243*N243)</f>
        <v/>
      </c>
      <c r="Q243" s="23" t="str">
        <f aca="false">IF($X243="","",Settings!$C$6)</f>
        <v/>
      </c>
      <c r="R243" s="22" t="str">
        <f aca="false">IF($X243="","",SUMIFS('Per Line'!$Y$2:$Y$4001,'Per Line'!$D$2:$D$4001,$B243,'Per Line'!$AJ$2:$AJ$4001,1))</f>
        <v/>
      </c>
      <c r="S243" s="22" t="str">
        <f aca="false">IF($X243="","",R243*Q243)</f>
        <v/>
      </c>
      <c r="T243" s="22" t="str">
        <f aca="false">IF($X243="","",S243+P243)</f>
        <v/>
      </c>
      <c r="U243" s="22" t="str">
        <f aca="false">IF($X243="","",V243-T243)</f>
        <v/>
      </c>
      <c r="V243" s="22" t="str">
        <f aca="false">IF($X243="","",O243+R243)</f>
        <v/>
      </c>
      <c r="W243" s="22" t="str">
        <f aca="false">IF($X243="","",U243-L243)</f>
        <v/>
      </c>
      <c r="X243" s="24" t="str">
        <f aca="false">IF(ROWS($X$2:$X243)&lt;=MAX('Per Line'!$AI$2:$AI$4001),MATCH(ROWS($X$2:$X243),'Per Line'!$AI$2:$AI$4001,0),"")</f>
        <v/>
      </c>
    </row>
    <row r="244" customFormat="false" ht="15" hidden="false" customHeight="false" outlineLevel="0" collapsed="false">
      <c r="A244" s="19"/>
      <c r="B244" s="20" t="str">
        <f aca="false">IF($X244="","",INDEX('Per Line'!$D$2:$D$4001,$X244))</f>
        <v/>
      </c>
      <c r="C244" s="20" t="str">
        <f aca="false">IF($X244="","",INDEX('Per Line'!$C$2:$C$4001,$X244))</f>
        <v/>
      </c>
      <c r="D244" s="20" t="str">
        <f aca="false">IF($X244="","",INDEX('Per Line'!$A$2:$A$4001,$X244))</f>
        <v/>
      </c>
      <c r="E244" s="21" t="str">
        <f aca="false">IF($X244="","",INDEX('Per Line'!$F$2:$F$4001,$X244))</f>
        <v/>
      </c>
      <c r="F244" s="20" t="str">
        <f aca="false">IF($X244="","",INDEX('Per Line'!$G$2:$G$4001,$X244))</f>
        <v/>
      </c>
      <c r="G244" s="20" t="str">
        <f aca="false">IF($X244="","",INDEX('Per Line'!$I$2:$I$4001,$X244))</f>
        <v/>
      </c>
      <c r="H244" s="20" t="str">
        <f aca="false">IF($X244="","",INDEX('Per Line'!$J$2:$J$4001,$X244))</f>
        <v/>
      </c>
      <c r="I244" s="20" t="str">
        <f aca="false">IF($X244="","",INDEX('Per Line'!$K$2:$K$4001,$X244))</f>
        <v/>
      </c>
      <c r="J244" s="20" t="str">
        <f aca="false">IF($X244="","",INDEX('Per Line'!$L$2:$L$4001,$X244))</f>
        <v/>
      </c>
      <c r="K244" s="20" t="str">
        <f aca="false">IF($X244="","",INDEX('Per Line'!$M$2:$M$4001,$X244))</f>
        <v/>
      </c>
      <c r="L244" s="22" t="str">
        <f aca="false">IF($X244="","",K244*V244/100)</f>
        <v/>
      </c>
      <c r="M244" s="20" t="str">
        <f aca="false">IF($X244="","",INDEX('Per Line'!$Z$2:$Z$4001,$X244))</f>
        <v/>
      </c>
      <c r="N244" s="23" t="str">
        <f aca="false">IF($X244="","",Settings!$C$7)</f>
        <v/>
      </c>
      <c r="O244" s="22" t="str">
        <f aca="false">IF($X244="","",SUMIFS('Per Line'!$Y$2:$Y$4001,'Per Line'!$D$2:$D$4001,$B244,'Per Line'!$AJ$2:$AJ$4001,0))</f>
        <v/>
      </c>
      <c r="P244" s="22" t="str">
        <f aca="false">IF($X244="","",O244*N244)</f>
        <v/>
      </c>
      <c r="Q244" s="23" t="str">
        <f aca="false">IF($X244="","",Settings!$C$6)</f>
        <v/>
      </c>
      <c r="R244" s="22" t="str">
        <f aca="false">IF($X244="","",SUMIFS('Per Line'!$Y$2:$Y$4001,'Per Line'!$D$2:$D$4001,$B244,'Per Line'!$AJ$2:$AJ$4001,1))</f>
        <v/>
      </c>
      <c r="S244" s="22" t="str">
        <f aca="false">IF($X244="","",R244*Q244)</f>
        <v/>
      </c>
      <c r="T244" s="22" t="str">
        <f aca="false">IF($X244="","",S244+P244)</f>
        <v/>
      </c>
      <c r="U244" s="22" t="str">
        <f aca="false">IF($X244="","",V244-T244)</f>
        <v/>
      </c>
      <c r="V244" s="22" t="str">
        <f aca="false">IF($X244="","",O244+R244)</f>
        <v/>
      </c>
      <c r="W244" s="22" t="str">
        <f aca="false">IF($X244="","",U244-L244)</f>
        <v/>
      </c>
      <c r="X244" s="24" t="str">
        <f aca="false">IF(ROWS($X$2:$X244)&lt;=MAX('Per Line'!$AI$2:$AI$4001),MATCH(ROWS($X$2:$X244),'Per Line'!$AI$2:$AI$4001,0),"")</f>
        <v/>
      </c>
    </row>
    <row r="245" customFormat="false" ht="15" hidden="false" customHeight="false" outlineLevel="0" collapsed="false">
      <c r="A245" s="19"/>
      <c r="B245" s="20" t="str">
        <f aca="false">IF($X245="","",INDEX('Per Line'!$D$2:$D$4001,$X245))</f>
        <v/>
      </c>
      <c r="C245" s="20" t="str">
        <f aca="false">IF($X245="","",INDEX('Per Line'!$C$2:$C$4001,$X245))</f>
        <v/>
      </c>
      <c r="D245" s="20" t="str">
        <f aca="false">IF($X245="","",INDEX('Per Line'!$A$2:$A$4001,$X245))</f>
        <v/>
      </c>
      <c r="E245" s="21" t="str">
        <f aca="false">IF($X245="","",INDEX('Per Line'!$F$2:$F$4001,$X245))</f>
        <v/>
      </c>
      <c r="F245" s="20" t="str">
        <f aca="false">IF($X245="","",INDEX('Per Line'!$G$2:$G$4001,$X245))</f>
        <v/>
      </c>
      <c r="G245" s="20" t="str">
        <f aca="false">IF($X245="","",INDEX('Per Line'!$I$2:$I$4001,$X245))</f>
        <v/>
      </c>
      <c r="H245" s="20" t="str">
        <f aca="false">IF($X245="","",INDEX('Per Line'!$J$2:$J$4001,$X245))</f>
        <v/>
      </c>
      <c r="I245" s="20" t="str">
        <f aca="false">IF($X245="","",INDEX('Per Line'!$K$2:$K$4001,$X245))</f>
        <v/>
      </c>
      <c r="J245" s="20" t="str">
        <f aca="false">IF($X245="","",INDEX('Per Line'!$L$2:$L$4001,$X245))</f>
        <v/>
      </c>
      <c r="K245" s="20" t="str">
        <f aca="false">IF($X245="","",INDEX('Per Line'!$M$2:$M$4001,$X245))</f>
        <v/>
      </c>
      <c r="L245" s="22" t="str">
        <f aca="false">IF($X245="","",K245*V245/100)</f>
        <v/>
      </c>
      <c r="M245" s="20" t="str">
        <f aca="false">IF($X245="","",INDEX('Per Line'!$Z$2:$Z$4001,$X245))</f>
        <v/>
      </c>
      <c r="N245" s="23" t="str">
        <f aca="false">IF($X245="","",Settings!$C$7)</f>
        <v/>
      </c>
      <c r="O245" s="22" t="str">
        <f aca="false">IF($X245="","",SUMIFS('Per Line'!$Y$2:$Y$4001,'Per Line'!$D$2:$D$4001,$B245,'Per Line'!$AJ$2:$AJ$4001,0))</f>
        <v/>
      </c>
      <c r="P245" s="22" t="str">
        <f aca="false">IF($X245="","",O245*N245)</f>
        <v/>
      </c>
      <c r="Q245" s="23" t="str">
        <f aca="false">IF($X245="","",Settings!$C$6)</f>
        <v/>
      </c>
      <c r="R245" s="22" t="str">
        <f aca="false">IF($X245="","",SUMIFS('Per Line'!$Y$2:$Y$4001,'Per Line'!$D$2:$D$4001,$B245,'Per Line'!$AJ$2:$AJ$4001,1))</f>
        <v/>
      </c>
      <c r="S245" s="22" t="str">
        <f aca="false">IF($X245="","",R245*Q245)</f>
        <v/>
      </c>
      <c r="T245" s="22" t="str">
        <f aca="false">IF($X245="","",S245+P245)</f>
        <v/>
      </c>
      <c r="U245" s="22" t="str">
        <f aca="false">IF($X245="","",V245-T245)</f>
        <v/>
      </c>
      <c r="V245" s="22" t="str">
        <f aca="false">IF($X245="","",O245+R245)</f>
        <v/>
      </c>
      <c r="W245" s="22" t="str">
        <f aca="false">IF($X245="","",U245-L245)</f>
        <v/>
      </c>
      <c r="X245" s="24" t="str">
        <f aca="false">IF(ROWS($X$2:$X245)&lt;=MAX('Per Line'!$AI$2:$AI$4001),MATCH(ROWS($X$2:$X245),'Per Line'!$AI$2:$AI$4001,0),"")</f>
        <v/>
      </c>
    </row>
    <row r="246" customFormat="false" ht="15" hidden="false" customHeight="false" outlineLevel="0" collapsed="false">
      <c r="A246" s="19"/>
      <c r="B246" s="20" t="str">
        <f aca="false">IF($X246="","",INDEX('Per Line'!$D$2:$D$4001,$X246))</f>
        <v/>
      </c>
      <c r="C246" s="20" t="str">
        <f aca="false">IF($X246="","",INDEX('Per Line'!$C$2:$C$4001,$X246))</f>
        <v/>
      </c>
      <c r="D246" s="20" t="str">
        <f aca="false">IF($X246="","",INDEX('Per Line'!$A$2:$A$4001,$X246))</f>
        <v/>
      </c>
      <c r="E246" s="21" t="str">
        <f aca="false">IF($X246="","",INDEX('Per Line'!$F$2:$F$4001,$X246))</f>
        <v/>
      </c>
      <c r="F246" s="20" t="str">
        <f aca="false">IF($X246="","",INDEX('Per Line'!$G$2:$G$4001,$X246))</f>
        <v/>
      </c>
      <c r="G246" s="20" t="str">
        <f aca="false">IF($X246="","",INDEX('Per Line'!$I$2:$I$4001,$X246))</f>
        <v/>
      </c>
      <c r="H246" s="20" t="str">
        <f aca="false">IF($X246="","",INDEX('Per Line'!$J$2:$J$4001,$X246))</f>
        <v/>
      </c>
      <c r="I246" s="20" t="str">
        <f aca="false">IF($X246="","",INDEX('Per Line'!$K$2:$K$4001,$X246))</f>
        <v/>
      </c>
      <c r="J246" s="20" t="str">
        <f aca="false">IF($X246="","",INDEX('Per Line'!$L$2:$L$4001,$X246))</f>
        <v/>
      </c>
      <c r="K246" s="20" t="str">
        <f aca="false">IF($X246="","",INDEX('Per Line'!$M$2:$M$4001,$X246))</f>
        <v/>
      </c>
      <c r="L246" s="22" t="str">
        <f aca="false">IF($X246="","",K246*V246/100)</f>
        <v/>
      </c>
      <c r="M246" s="20" t="str">
        <f aca="false">IF($X246="","",INDEX('Per Line'!$Z$2:$Z$4001,$X246))</f>
        <v/>
      </c>
      <c r="N246" s="23" t="str">
        <f aca="false">IF($X246="","",Settings!$C$7)</f>
        <v/>
      </c>
      <c r="O246" s="22" t="str">
        <f aca="false">IF($X246="","",SUMIFS('Per Line'!$Y$2:$Y$4001,'Per Line'!$D$2:$D$4001,$B246,'Per Line'!$AJ$2:$AJ$4001,0))</f>
        <v/>
      </c>
      <c r="P246" s="22" t="str">
        <f aca="false">IF($X246="","",O246*N246)</f>
        <v/>
      </c>
      <c r="Q246" s="23" t="str">
        <f aca="false">IF($X246="","",Settings!$C$6)</f>
        <v/>
      </c>
      <c r="R246" s="22" t="str">
        <f aca="false">IF($X246="","",SUMIFS('Per Line'!$Y$2:$Y$4001,'Per Line'!$D$2:$D$4001,$B246,'Per Line'!$AJ$2:$AJ$4001,1))</f>
        <v/>
      </c>
      <c r="S246" s="22" t="str">
        <f aca="false">IF($X246="","",R246*Q246)</f>
        <v/>
      </c>
      <c r="T246" s="22" t="str">
        <f aca="false">IF($X246="","",S246+P246)</f>
        <v/>
      </c>
      <c r="U246" s="22" t="str">
        <f aca="false">IF($X246="","",V246-T246)</f>
        <v/>
      </c>
      <c r="V246" s="22" t="str">
        <f aca="false">IF($X246="","",O246+R246)</f>
        <v/>
      </c>
      <c r="W246" s="22" t="str">
        <f aca="false">IF($X246="","",U246-L246)</f>
        <v/>
      </c>
      <c r="X246" s="24" t="str">
        <f aca="false">IF(ROWS($X$2:$X246)&lt;=MAX('Per Line'!$AI$2:$AI$4001),MATCH(ROWS($X$2:$X246),'Per Line'!$AI$2:$AI$4001,0),"")</f>
        <v/>
      </c>
    </row>
    <row r="247" customFormat="false" ht="15" hidden="false" customHeight="false" outlineLevel="0" collapsed="false">
      <c r="A247" s="19"/>
      <c r="B247" s="20" t="str">
        <f aca="false">IF($X247="","",INDEX('Per Line'!$D$2:$D$4001,$X247))</f>
        <v/>
      </c>
      <c r="C247" s="20" t="str">
        <f aca="false">IF($X247="","",INDEX('Per Line'!$C$2:$C$4001,$X247))</f>
        <v/>
      </c>
      <c r="D247" s="20" t="str">
        <f aca="false">IF($X247="","",INDEX('Per Line'!$A$2:$A$4001,$X247))</f>
        <v/>
      </c>
      <c r="E247" s="21" t="str">
        <f aca="false">IF($X247="","",INDEX('Per Line'!$F$2:$F$4001,$X247))</f>
        <v/>
      </c>
      <c r="F247" s="20" t="str">
        <f aca="false">IF($X247="","",INDEX('Per Line'!$G$2:$G$4001,$X247))</f>
        <v/>
      </c>
      <c r="G247" s="20" t="str">
        <f aca="false">IF($X247="","",INDEX('Per Line'!$I$2:$I$4001,$X247))</f>
        <v/>
      </c>
      <c r="H247" s="20" t="str">
        <f aca="false">IF($X247="","",INDEX('Per Line'!$J$2:$J$4001,$X247))</f>
        <v/>
      </c>
      <c r="I247" s="20" t="str">
        <f aca="false">IF($X247="","",INDEX('Per Line'!$K$2:$K$4001,$X247))</f>
        <v/>
      </c>
      <c r="J247" s="20" t="str">
        <f aca="false">IF($X247="","",INDEX('Per Line'!$L$2:$L$4001,$X247))</f>
        <v/>
      </c>
      <c r="K247" s="20" t="str">
        <f aca="false">IF($X247="","",INDEX('Per Line'!$M$2:$M$4001,$X247))</f>
        <v/>
      </c>
      <c r="L247" s="22" t="str">
        <f aca="false">IF($X247="","",K247*V247/100)</f>
        <v/>
      </c>
      <c r="M247" s="20" t="str">
        <f aca="false">IF($X247="","",INDEX('Per Line'!$Z$2:$Z$4001,$X247))</f>
        <v/>
      </c>
      <c r="N247" s="23" t="str">
        <f aca="false">IF($X247="","",Settings!$C$7)</f>
        <v/>
      </c>
      <c r="O247" s="22" t="str">
        <f aca="false">IF($X247="","",SUMIFS('Per Line'!$Y$2:$Y$4001,'Per Line'!$D$2:$D$4001,$B247,'Per Line'!$AJ$2:$AJ$4001,0))</f>
        <v/>
      </c>
      <c r="P247" s="22" t="str">
        <f aca="false">IF($X247="","",O247*N247)</f>
        <v/>
      </c>
      <c r="Q247" s="23" t="str">
        <f aca="false">IF($X247="","",Settings!$C$6)</f>
        <v/>
      </c>
      <c r="R247" s="22" t="str">
        <f aca="false">IF($X247="","",SUMIFS('Per Line'!$Y$2:$Y$4001,'Per Line'!$D$2:$D$4001,$B247,'Per Line'!$AJ$2:$AJ$4001,1))</f>
        <v/>
      </c>
      <c r="S247" s="22" t="str">
        <f aca="false">IF($X247="","",R247*Q247)</f>
        <v/>
      </c>
      <c r="T247" s="22" t="str">
        <f aca="false">IF($X247="","",S247+P247)</f>
        <v/>
      </c>
      <c r="U247" s="22" t="str">
        <f aca="false">IF($X247="","",V247-T247)</f>
        <v/>
      </c>
      <c r="V247" s="22" t="str">
        <f aca="false">IF($X247="","",O247+R247)</f>
        <v/>
      </c>
      <c r="W247" s="22" t="str">
        <f aca="false">IF($X247="","",U247-L247)</f>
        <v/>
      </c>
      <c r="X247" s="24" t="str">
        <f aca="false">IF(ROWS($X$2:$X247)&lt;=MAX('Per Line'!$AI$2:$AI$4001),MATCH(ROWS($X$2:$X247),'Per Line'!$AI$2:$AI$4001,0),"")</f>
        <v/>
      </c>
    </row>
    <row r="248" customFormat="false" ht="15" hidden="false" customHeight="false" outlineLevel="0" collapsed="false">
      <c r="A248" s="19"/>
      <c r="B248" s="20" t="str">
        <f aca="false">IF($X248="","",INDEX('Per Line'!$D$2:$D$4001,$X248))</f>
        <v/>
      </c>
      <c r="C248" s="20" t="str">
        <f aca="false">IF($X248="","",INDEX('Per Line'!$C$2:$C$4001,$X248))</f>
        <v/>
      </c>
      <c r="D248" s="20" t="str">
        <f aca="false">IF($X248="","",INDEX('Per Line'!$A$2:$A$4001,$X248))</f>
        <v/>
      </c>
      <c r="E248" s="21" t="str">
        <f aca="false">IF($X248="","",INDEX('Per Line'!$F$2:$F$4001,$X248))</f>
        <v/>
      </c>
      <c r="F248" s="20" t="str">
        <f aca="false">IF($X248="","",INDEX('Per Line'!$G$2:$G$4001,$X248))</f>
        <v/>
      </c>
      <c r="G248" s="20" t="str">
        <f aca="false">IF($X248="","",INDEX('Per Line'!$I$2:$I$4001,$X248))</f>
        <v/>
      </c>
      <c r="H248" s="20" t="str">
        <f aca="false">IF($X248="","",INDEX('Per Line'!$J$2:$J$4001,$X248))</f>
        <v/>
      </c>
      <c r="I248" s="20" t="str">
        <f aca="false">IF($X248="","",INDEX('Per Line'!$K$2:$K$4001,$X248))</f>
        <v/>
      </c>
      <c r="J248" s="20" t="str">
        <f aca="false">IF($X248="","",INDEX('Per Line'!$L$2:$L$4001,$X248))</f>
        <v/>
      </c>
      <c r="K248" s="20" t="str">
        <f aca="false">IF($X248="","",INDEX('Per Line'!$M$2:$M$4001,$X248))</f>
        <v/>
      </c>
      <c r="L248" s="22" t="str">
        <f aca="false">IF($X248="","",K248*V248/100)</f>
        <v/>
      </c>
      <c r="M248" s="20" t="str">
        <f aca="false">IF($X248="","",INDEX('Per Line'!$Z$2:$Z$4001,$X248))</f>
        <v/>
      </c>
      <c r="N248" s="23" t="str">
        <f aca="false">IF($X248="","",Settings!$C$7)</f>
        <v/>
      </c>
      <c r="O248" s="22" t="str">
        <f aca="false">IF($X248="","",SUMIFS('Per Line'!$Y$2:$Y$4001,'Per Line'!$D$2:$D$4001,$B248,'Per Line'!$AJ$2:$AJ$4001,0))</f>
        <v/>
      </c>
      <c r="P248" s="22" t="str">
        <f aca="false">IF($X248="","",O248*N248)</f>
        <v/>
      </c>
      <c r="Q248" s="23" t="str">
        <f aca="false">IF($X248="","",Settings!$C$6)</f>
        <v/>
      </c>
      <c r="R248" s="22" t="str">
        <f aca="false">IF($X248="","",SUMIFS('Per Line'!$Y$2:$Y$4001,'Per Line'!$D$2:$D$4001,$B248,'Per Line'!$AJ$2:$AJ$4001,1))</f>
        <v/>
      </c>
      <c r="S248" s="22" t="str">
        <f aca="false">IF($X248="","",R248*Q248)</f>
        <v/>
      </c>
      <c r="T248" s="22" t="str">
        <f aca="false">IF($X248="","",S248+P248)</f>
        <v/>
      </c>
      <c r="U248" s="22" t="str">
        <f aca="false">IF($X248="","",V248-T248)</f>
        <v/>
      </c>
      <c r="V248" s="22" t="str">
        <f aca="false">IF($X248="","",O248+R248)</f>
        <v/>
      </c>
      <c r="W248" s="22" t="str">
        <f aca="false">IF($X248="","",U248-L248)</f>
        <v/>
      </c>
      <c r="X248" s="24" t="str">
        <f aca="false">IF(ROWS($X$2:$X248)&lt;=MAX('Per Line'!$AI$2:$AI$4001),MATCH(ROWS($X$2:$X248),'Per Line'!$AI$2:$AI$4001,0),"")</f>
        <v/>
      </c>
    </row>
    <row r="249" customFormat="false" ht="15" hidden="false" customHeight="false" outlineLevel="0" collapsed="false">
      <c r="A249" s="19"/>
      <c r="B249" s="20" t="str">
        <f aca="false">IF($X249="","",INDEX('Per Line'!$D$2:$D$4001,$X249))</f>
        <v/>
      </c>
      <c r="C249" s="20" t="str">
        <f aca="false">IF($X249="","",INDEX('Per Line'!$C$2:$C$4001,$X249))</f>
        <v/>
      </c>
      <c r="D249" s="20" t="str">
        <f aca="false">IF($X249="","",INDEX('Per Line'!$A$2:$A$4001,$X249))</f>
        <v/>
      </c>
      <c r="E249" s="21" t="str">
        <f aca="false">IF($X249="","",INDEX('Per Line'!$F$2:$F$4001,$X249))</f>
        <v/>
      </c>
      <c r="F249" s="20" t="str">
        <f aca="false">IF($X249="","",INDEX('Per Line'!$G$2:$G$4001,$X249))</f>
        <v/>
      </c>
      <c r="G249" s="20" t="str">
        <f aca="false">IF($X249="","",INDEX('Per Line'!$I$2:$I$4001,$X249))</f>
        <v/>
      </c>
      <c r="H249" s="20" t="str">
        <f aca="false">IF($X249="","",INDEX('Per Line'!$J$2:$J$4001,$X249))</f>
        <v/>
      </c>
      <c r="I249" s="20" t="str">
        <f aca="false">IF($X249="","",INDEX('Per Line'!$K$2:$K$4001,$X249))</f>
        <v/>
      </c>
      <c r="J249" s="20" t="str">
        <f aca="false">IF($X249="","",INDEX('Per Line'!$L$2:$L$4001,$X249))</f>
        <v/>
      </c>
      <c r="K249" s="20" t="str">
        <f aca="false">IF($X249="","",INDEX('Per Line'!$M$2:$M$4001,$X249))</f>
        <v/>
      </c>
      <c r="L249" s="22" t="str">
        <f aca="false">IF($X249="","",K249*V249/100)</f>
        <v/>
      </c>
      <c r="M249" s="20" t="str">
        <f aca="false">IF($X249="","",INDEX('Per Line'!$Z$2:$Z$4001,$X249))</f>
        <v/>
      </c>
      <c r="N249" s="23" t="str">
        <f aca="false">IF($X249="","",Settings!$C$7)</f>
        <v/>
      </c>
      <c r="O249" s="22" t="str">
        <f aca="false">IF($X249="","",SUMIFS('Per Line'!$Y$2:$Y$4001,'Per Line'!$D$2:$D$4001,$B249,'Per Line'!$AJ$2:$AJ$4001,0))</f>
        <v/>
      </c>
      <c r="P249" s="22" t="str">
        <f aca="false">IF($X249="","",O249*N249)</f>
        <v/>
      </c>
      <c r="Q249" s="23" t="str">
        <f aca="false">IF($X249="","",Settings!$C$6)</f>
        <v/>
      </c>
      <c r="R249" s="22" t="str">
        <f aca="false">IF($X249="","",SUMIFS('Per Line'!$Y$2:$Y$4001,'Per Line'!$D$2:$D$4001,$B249,'Per Line'!$AJ$2:$AJ$4001,1))</f>
        <v/>
      </c>
      <c r="S249" s="22" t="str">
        <f aca="false">IF($X249="","",R249*Q249)</f>
        <v/>
      </c>
      <c r="T249" s="22" t="str">
        <f aca="false">IF($X249="","",S249+P249)</f>
        <v/>
      </c>
      <c r="U249" s="22" t="str">
        <f aca="false">IF($X249="","",V249-T249)</f>
        <v/>
      </c>
      <c r="V249" s="22" t="str">
        <f aca="false">IF($X249="","",O249+R249)</f>
        <v/>
      </c>
      <c r="W249" s="22" t="str">
        <f aca="false">IF($X249="","",U249-L249)</f>
        <v/>
      </c>
      <c r="X249" s="24" t="str">
        <f aca="false">IF(ROWS($X$2:$X249)&lt;=MAX('Per Line'!$AI$2:$AI$4001),MATCH(ROWS($X$2:$X249),'Per Line'!$AI$2:$AI$4001,0),"")</f>
        <v/>
      </c>
    </row>
    <row r="250" customFormat="false" ht="15" hidden="false" customHeight="false" outlineLevel="0" collapsed="false">
      <c r="A250" s="19"/>
      <c r="B250" s="20" t="str">
        <f aca="false">IF($X250="","",INDEX('Per Line'!$D$2:$D$4001,$X250))</f>
        <v/>
      </c>
      <c r="C250" s="20" t="str">
        <f aca="false">IF($X250="","",INDEX('Per Line'!$C$2:$C$4001,$X250))</f>
        <v/>
      </c>
      <c r="D250" s="20" t="str">
        <f aca="false">IF($X250="","",INDEX('Per Line'!$A$2:$A$4001,$X250))</f>
        <v/>
      </c>
      <c r="E250" s="21" t="str">
        <f aca="false">IF($X250="","",INDEX('Per Line'!$F$2:$F$4001,$X250))</f>
        <v/>
      </c>
      <c r="F250" s="20" t="str">
        <f aca="false">IF($X250="","",INDEX('Per Line'!$G$2:$G$4001,$X250))</f>
        <v/>
      </c>
      <c r="G250" s="20" t="str">
        <f aca="false">IF($X250="","",INDEX('Per Line'!$I$2:$I$4001,$X250))</f>
        <v/>
      </c>
      <c r="H250" s="20" t="str">
        <f aca="false">IF($X250="","",INDEX('Per Line'!$J$2:$J$4001,$X250))</f>
        <v/>
      </c>
      <c r="I250" s="20" t="str">
        <f aca="false">IF($X250="","",INDEX('Per Line'!$K$2:$K$4001,$X250))</f>
        <v/>
      </c>
      <c r="J250" s="20" t="str">
        <f aca="false">IF($X250="","",INDEX('Per Line'!$L$2:$L$4001,$X250))</f>
        <v/>
      </c>
      <c r="K250" s="20" t="str">
        <f aca="false">IF($X250="","",INDEX('Per Line'!$M$2:$M$4001,$X250))</f>
        <v/>
      </c>
      <c r="L250" s="22" t="str">
        <f aca="false">IF($X250="","",K250*V250/100)</f>
        <v/>
      </c>
      <c r="M250" s="20" t="str">
        <f aca="false">IF($X250="","",INDEX('Per Line'!$Z$2:$Z$4001,$X250))</f>
        <v/>
      </c>
      <c r="N250" s="23" t="str">
        <f aca="false">IF($X250="","",Settings!$C$7)</f>
        <v/>
      </c>
      <c r="O250" s="22" t="str">
        <f aca="false">IF($X250="","",SUMIFS('Per Line'!$Y$2:$Y$4001,'Per Line'!$D$2:$D$4001,$B250,'Per Line'!$AJ$2:$AJ$4001,0))</f>
        <v/>
      </c>
      <c r="P250" s="22" t="str">
        <f aca="false">IF($X250="","",O250*N250)</f>
        <v/>
      </c>
      <c r="Q250" s="23" t="str">
        <f aca="false">IF($X250="","",Settings!$C$6)</f>
        <v/>
      </c>
      <c r="R250" s="22" t="str">
        <f aca="false">IF($X250="","",SUMIFS('Per Line'!$Y$2:$Y$4001,'Per Line'!$D$2:$D$4001,$B250,'Per Line'!$AJ$2:$AJ$4001,1))</f>
        <v/>
      </c>
      <c r="S250" s="22" t="str">
        <f aca="false">IF($X250="","",R250*Q250)</f>
        <v/>
      </c>
      <c r="T250" s="22" t="str">
        <f aca="false">IF($X250="","",S250+P250)</f>
        <v/>
      </c>
      <c r="U250" s="22" t="str">
        <f aca="false">IF($X250="","",V250-T250)</f>
        <v/>
      </c>
      <c r="V250" s="22" t="str">
        <f aca="false">IF($X250="","",O250+R250)</f>
        <v/>
      </c>
      <c r="W250" s="22" t="str">
        <f aca="false">IF($X250="","",U250-L250)</f>
        <v/>
      </c>
      <c r="X250" s="24" t="str">
        <f aca="false">IF(ROWS($X$2:$X250)&lt;=MAX('Per Line'!$AI$2:$AI$4001),MATCH(ROWS($X$2:$X250),'Per Line'!$AI$2:$AI$4001,0),"")</f>
        <v/>
      </c>
    </row>
    <row r="251" customFormat="false" ht="15" hidden="false" customHeight="false" outlineLevel="0" collapsed="false">
      <c r="A251" s="19"/>
      <c r="B251" s="20" t="str">
        <f aca="false">IF($X251="","",INDEX('Per Line'!$D$2:$D$4001,$X251))</f>
        <v/>
      </c>
      <c r="C251" s="20" t="str">
        <f aca="false">IF($X251="","",INDEX('Per Line'!$C$2:$C$4001,$X251))</f>
        <v/>
      </c>
      <c r="D251" s="20" t="str">
        <f aca="false">IF($X251="","",INDEX('Per Line'!$A$2:$A$4001,$X251))</f>
        <v/>
      </c>
      <c r="E251" s="21" t="str">
        <f aca="false">IF($X251="","",INDEX('Per Line'!$F$2:$F$4001,$X251))</f>
        <v/>
      </c>
      <c r="F251" s="20" t="str">
        <f aca="false">IF($X251="","",INDEX('Per Line'!$G$2:$G$4001,$X251))</f>
        <v/>
      </c>
      <c r="G251" s="20" t="str">
        <f aca="false">IF($X251="","",INDEX('Per Line'!$I$2:$I$4001,$X251))</f>
        <v/>
      </c>
      <c r="H251" s="20" t="str">
        <f aca="false">IF($X251="","",INDEX('Per Line'!$J$2:$J$4001,$X251))</f>
        <v/>
      </c>
      <c r="I251" s="20" t="str">
        <f aca="false">IF($X251="","",INDEX('Per Line'!$K$2:$K$4001,$X251))</f>
        <v/>
      </c>
      <c r="J251" s="20" t="str">
        <f aca="false">IF($X251="","",INDEX('Per Line'!$L$2:$L$4001,$X251))</f>
        <v/>
      </c>
      <c r="K251" s="20" t="str">
        <f aca="false">IF($X251="","",INDEX('Per Line'!$M$2:$M$4001,$X251))</f>
        <v/>
      </c>
      <c r="L251" s="22" t="str">
        <f aca="false">IF($X251="","",K251*V251/100)</f>
        <v/>
      </c>
      <c r="M251" s="20" t="str">
        <f aca="false">IF($X251="","",INDEX('Per Line'!$Z$2:$Z$4001,$X251))</f>
        <v/>
      </c>
      <c r="N251" s="23" t="str">
        <f aca="false">IF($X251="","",Settings!$C$7)</f>
        <v/>
      </c>
      <c r="O251" s="22" t="str">
        <f aca="false">IF($X251="","",SUMIFS('Per Line'!$Y$2:$Y$4001,'Per Line'!$D$2:$D$4001,$B251,'Per Line'!$AJ$2:$AJ$4001,0))</f>
        <v/>
      </c>
      <c r="P251" s="22" t="str">
        <f aca="false">IF($X251="","",O251*N251)</f>
        <v/>
      </c>
      <c r="Q251" s="23" t="str">
        <f aca="false">IF($X251="","",Settings!$C$6)</f>
        <v/>
      </c>
      <c r="R251" s="22" t="str">
        <f aca="false">IF($X251="","",SUMIFS('Per Line'!$Y$2:$Y$4001,'Per Line'!$D$2:$D$4001,$B251,'Per Line'!$AJ$2:$AJ$4001,1))</f>
        <v/>
      </c>
      <c r="S251" s="22" t="str">
        <f aca="false">IF($X251="","",R251*Q251)</f>
        <v/>
      </c>
      <c r="T251" s="22" t="str">
        <f aca="false">IF($X251="","",S251+P251)</f>
        <v/>
      </c>
      <c r="U251" s="22" t="str">
        <f aca="false">IF($X251="","",V251-T251)</f>
        <v/>
      </c>
      <c r="V251" s="22" t="str">
        <f aca="false">IF($X251="","",O251+R251)</f>
        <v/>
      </c>
      <c r="W251" s="22" t="str">
        <f aca="false">IF($X251="","",U251-L251)</f>
        <v/>
      </c>
      <c r="X251" s="24" t="str">
        <f aca="false">IF(ROWS($X$2:$X251)&lt;=MAX('Per Line'!$AI$2:$AI$4001),MATCH(ROWS($X$2:$X251),'Per Line'!$AI$2:$AI$4001,0),"")</f>
        <v/>
      </c>
    </row>
    <row r="252" customFormat="false" ht="15" hidden="false" customHeight="false" outlineLevel="0" collapsed="false">
      <c r="A252" s="19"/>
      <c r="B252" s="20" t="str">
        <f aca="false">IF($X252="","",INDEX('Per Line'!$D$2:$D$4001,$X252))</f>
        <v/>
      </c>
      <c r="C252" s="20" t="str">
        <f aca="false">IF($X252="","",INDEX('Per Line'!$C$2:$C$4001,$X252))</f>
        <v/>
      </c>
      <c r="D252" s="20" t="str">
        <f aca="false">IF($X252="","",INDEX('Per Line'!$A$2:$A$4001,$X252))</f>
        <v/>
      </c>
      <c r="E252" s="21" t="str">
        <f aca="false">IF($X252="","",INDEX('Per Line'!$F$2:$F$4001,$X252))</f>
        <v/>
      </c>
      <c r="F252" s="20" t="str">
        <f aca="false">IF($X252="","",INDEX('Per Line'!$G$2:$G$4001,$X252))</f>
        <v/>
      </c>
      <c r="G252" s="20" t="str">
        <f aca="false">IF($X252="","",INDEX('Per Line'!$I$2:$I$4001,$X252))</f>
        <v/>
      </c>
      <c r="H252" s="20" t="str">
        <f aca="false">IF($X252="","",INDEX('Per Line'!$J$2:$J$4001,$X252))</f>
        <v/>
      </c>
      <c r="I252" s="20" t="str">
        <f aca="false">IF($X252="","",INDEX('Per Line'!$K$2:$K$4001,$X252))</f>
        <v/>
      </c>
      <c r="J252" s="20" t="str">
        <f aca="false">IF($X252="","",INDEX('Per Line'!$L$2:$L$4001,$X252))</f>
        <v/>
      </c>
      <c r="K252" s="20" t="str">
        <f aca="false">IF($X252="","",INDEX('Per Line'!$M$2:$M$4001,$X252))</f>
        <v/>
      </c>
      <c r="L252" s="22" t="str">
        <f aca="false">IF($X252="","",K252*V252/100)</f>
        <v/>
      </c>
      <c r="M252" s="20" t="str">
        <f aca="false">IF($X252="","",INDEX('Per Line'!$Z$2:$Z$4001,$X252))</f>
        <v/>
      </c>
      <c r="N252" s="23" t="str">
        <f aca="false">IF($X252="","",Settings!$C$7)</f>
        <v/>
      </c>
      <c r="O252" s="22" t="str">
        <f aca="false">IF($X252="","",SUMIFS('Per Line'!$Y$2:$Y$4001,'Per Line'!$D$2:$D$4001,$B252,'Per Line'!$AJ$2:$AJ$4001,0))</f>
        <v/>
      </c>
      <c r="P252" s="22" t="str">
        <f aca="false">IF($X252="","",O252*N252)</f>
        <v/>
      </c>
      <c r="Q252" s="23" t="str">
        <f aca="false">IF($X252="","",Settings!$C$6)</f>
        <v/>
      </c>
      <c r="R252" s="22" t="str">
        <f aca="false">IF($X252="","",SUMIFS('Per Line'!$Y$2:$Y$4001,'Per Line'!$D$2:$D$4001,$B252,'Per Line'!$AJ$2:$AJ$4001,1))</f>
        <v/>
      </c>
      <c r="S252" s="22" t="str">
        <f aca="false">IF($X252="","",R252*Q252)</f>
        <v/>
      </c>
      <c r="T252" s="22" t="str">
        <f aca="false">IF($X252="","",S252+P252)</f>
        <v/>
      </c>
      <c r="U252" s="22" t="str">
        <f aca="false">IF($X252="","",V252-T252)</f>
        <v/>
      </c>
      <c r="V252" s="22" t="str">
        <f aca="false">IF($X252="","",O252+R252)</f>
        <v/>
      </c>
      <c r="W252" s="22" t="str">
        <f aca="false">IF($X252="","",U252-L252)</f>
        <v/>
      </c>
      <c r="X252" s="24" t="str">
        <f aca="false">IF(ROWS($X$2:$X252)&lt;=MAX('Per Line'!$AI$2:$AI$4001),MATCH(ROWS($X$2:$X252),'Per Line'!$AI$2:$AI$4001,0),"")</f>
        <v/>
      </c>
    </row>
    <row r="253" customFormat="false" ht="15" hidden="false" customHeight="false" outlineLevel="0" collapsed="false">
      <c r="A253" s="19"/>
      <c r="B253" s="20" t="str">
        <f aca="false">IF($X253="","",INDEX('Per Line'!$D$2:$D$4001,$X253))</f>
        <v/>
      </c>
      <c r="C253" s="20" t="str">
        <f aca="false">IF($X253="","",INDEX('Per Line'!$C$2:$C$4001,$X253))</f>
        <v/>
      </c>
      <c r="D253" s="20" t="str">
        <f aca="false">IF($X253="","",INDEX('Per Line'!$A$2:$A$4001,$X253))</f>
        <v/>
      </c>
      <c r="E253" s="21" t="str">
        <f aca="false">IF($X253="","",INDEX('Per Line'!$F$2:$F$4001,$X253))</f>
        <v/>
      </c>
      <c r="F253" s="20" t="str">
        <f aca="false">IF($X253="","",INDEX('Per Line'!$G$2:$G$4001,$X253))</f>
        <v/>
      </c>
      <c r="G253" s="20" t="str">
        <f aca="false">IF($X253="","",INDEX('Per Line'!$I$2:$I$4001,$X253))</f>
        <v/>
      </c>
      <c r="H253" s="20" t="str">
        <f aca="false">IF($X253="","",INDEX('Per Line'!$J$2:$J$4001,$X253))</f>
        <v/>
      </c>
      <c r="I253" s="20" t="str">
        <f aca="false">IF($X253="","",INDEX('Per Line'!$K$2:$K$4001,$X253))</f>
        <v/>
      </c>
      <c r="J253" s="20" t="str">
        <f aca="false">IF($X253="","",INDEX('Per Line'!$L$2:$L$4001,$X253))</f>
        <v/>
      </c>
      <c r="K253" s="20" t="str">
        <f aca="false">IF($X253="","",INDEX('Per Line'!$M$2:$M$4001,$X253))</f>
        <v/>
      </c>
      <c r="L253" s="22" t="str">
        <f aca="false">IF($X253="","",K253*V253/100)</f>
        <v/>
      </c>
      <c r="M253" s="20" t="str">
        <f aca="false">IF($X253="","",INDEX('Per Line'!$Z$2:$Z$4001,$X253))</f>
        <v/>
      </c>
      <c r="N253" s="23" t="str">
        <f aca="false">IF($X253="","",Settings!$C$7)</f>
        <v/>
      </c>
      <c r="O253" s="22" t="str">
        <f aca="false">IF($X253="","",SUMIFS('Per Line'!$Y$2:$Y$4001,'Per Line'!$D$2:$D$4001,$B253,'Per Line'!$AJ$2:$AJ$4001,0))</f>
        <v/>
      </c>
      <c r="P253" s="22" t="str">
        <f aca="false">IF($X253="","",O253*N253)</f>
        <v/>
      </c>
      <c r="Q253" s="23" t="str">
        <f aca="false">IF($X253="","",Settings!$C$6)</f>
        <v/>
      </c>
      <c r="R253" s="22" t="str">
        <f aca="false">IF($X253="","",SUMIFS('Per Line'!$Y$2:$Y$4001,'Per Line'!$D$2:$D$4001,$B253,'Per Line'!$AJ$2:$AJ$4001,1))</f>
        <v/>
      </c>
      <c r="S253" s="22" t="str">
        <f aca="false">IF($X253="","",R253*Q253)</f>
        <v/>
      </c>
      <c r="T253" s="22" t="str">
        <f aca="false">IF($X253="","",S253+P253)</f>
        <v/>
      </c>
      <c r="U253" s="22" t="str">
        <f aca="false">IF($X253="","",V253-T253)</f>
        <v/>
      </c>
      <c r="V253" s="22" t="str">
        <f aca="false">IF($X253="","",O253+R253)</f>
        <v/>
      </c>
      <c r="W253" s="22" t="str">
        <f aca="false">IF($X253="","",U253-L253)</f>
        <v/>
      </c>
      <c r="X253" s="24" t="str">
        <f aca="false">IF(ROWS($X$2:$X253)&lt;=MAX('Per Line'!$AI$2:$AI$4001),MATCH(ROWS($X$2:$X253),'Per Line'!$AI$2:$AI$4001,0),"")</f>
        <v/>
      </c>
    </row>
    <row r="254" customFormat="false" ht="15" hidden="false" customHeight="false" outlineLevel="0" collapsed="false">
      <c r="A254" s="19"/>
      <c r="B254" s="20" t="str">
        <f aca="false">IF($X254="","",INDEX('Per Line'!$D$2:$D$4001,$X254))</f>
        <v/>
      </c>
      <c r="C254" s="20" t="str">
        <f aca="false">IF($X254="","",INDEX('Per Line'!$C$2:$C$4001,$X254))</f>
        <v/>
      </c>
      <c r="D254" s="20" t="str">
        <f aca="false">IF($X254="","",INDEX('Per Line'!$A$2:$A$4001,$X254))</f>
        <v/>
      </c>
      <c r="E254" s="21" t="str">
        <f aca="false">IF($X254="","",INDEX('Per Line'!$F$2:$F$4001,$X254))</f>
        <v/>
      </c>
      <c r="F254" s="20" t="str">
        <f aca="false">IF($X254="","",INDEX('Per Line'!$G$2:$G$4001,$X254))</f>
        <v/>
      </c>
      <c r="G254" s="20" t="str">
        <f aca="false">IF($X254="","",INDEX('Per Line'!$I$2:$I$4001,$X254))</f>
        <v/>
      </c>
      <c r="H254" s="20" t="str">
        <f aca="false">IF($X254="","",INDEX('Per Line'!$J$2:$J$4001,$X254))</f>
        <v/>
      </c>
      <c r="I254" s="20" t="str">
        <f aca="false">IF($X254="","",INDEX('Per Line'!$K$2:$K$4001,$X254))</f>
        <v/>
      </c>
      <c r="J254" s="20" t="str">
        <f aca="false">IF($X254="","",INDEX('Per Line'!$L$2:$L$4001,$X254))</f>
        <v/>
      </c>
      <c r="K254" s="20" t="str">
        <f aca="false">IF($X254="","",INDEX('Per Line'!$M$2:$M$4001,$X254))</f>
        <v/>
      </c>
      <c r="L254" s="22" t="str">
        <f aca="false">IF($X254="","",K254*V254/100)</f>
        <v/>
      </c>
      <c r="M254" s="20" t="str">
        <f aca="false">IF($X254="","",INDEX('Per Line'!$Z$2:$Z$4001,$X254))</f>
        <v/>
      </c>
      <c r="N254" s="23" t="str">
        <f aca="false">IF($X254="","",Settings!$C$7)</f>
        <v/>
      </c>
      <c r="O254" s="22" t="str">
        <f aca="false">IF($X254="","",SUMIFS('Per Line'!$Y$2:$Y$4001,'Per Line'!$D$2:$D$4001,$B254,'Per Line'!$AJ$2:$AJ$4001,0))</f>
        <v/>
      </c>
      <c r="P254" s="22" t="str">
        <f aca="false">IF($X254="","",O254*N254)</f>
        <v/>
      </c>
      <c r="Q254" s="23" t="str">
        <f aca="false">IF($X254="","",Settings!$C$6)</f>
        <v/>
      </c>
      <c r="R254" s="22" t="str">
        <f aca="false">IF($X254="","",SUMIFS('Per Line'!$Y$2:$Y$4001,'Per Line'!$D$2:$D$4001,$B254,'Per Line'!$AJ$2:$AJ$4001,1))</f>
        <v/>
      </c>
      <c r="S254" s="22" t="str">
        <f aca="false">IF($X254="","",R254*Q254)</f>
        <v/>
      </c>
      <c r="T254" s="22" t="str">
        <f aca="false">IF($X254="","",S254+P254)</f>
        <v/>
      </c>
      <c r="U254" s="22" t="str">
        <f aca="false">IF($X254="","",V254-T254)</f>
        <v/>
      </c>
      <c r="V254" s="22" t="str">
        <f aca="false">IF($X254="","",O254+R254)</f>
        <v/>
      </c>
      <c r="W254" s="22" t="str">
        <f aca="false">IF($X254="","",U254-L254)</f>
        <v/>
      </c>
      <c r="X254" s="24" t="str">
        <f aca="false">IF(ROWS($X$2:$X254)&lt;=MAX('Per Line'!$AI$2:$AI$4001),MATCH(ROWS($X$2:$X254),'Per Line'!$AI$2:$AI$4001,0),"")</f>
        <v/>
      </c>
    </row>
    <row r="255" customFormat="false" ht="15" hidden="false" customHeight="false" outlineLevel="0" collapsed="false">
      <c r="A255" s="19"/>
      <c r="B255" s="20" t="str">
        <f aca="false">IF($X255="","",INDEX('Per Line'!$D$2:$D$4001,$X255))</f>
        <v/>
      </c>
      <c r="C255" s="20" t="str">
        <f aca="false">IF($X255="","",INDEX('Per Line'!$C$2:$C$4001,$X255))</f>
        <v/>
      </c>
      <c r="D255" s="20" t="str">
        <f aca="false">IF($X255="","",INDEX('Per Line'!$A$2:$A$4001,$X255))</f>
        <v/>
      </c>
      <c r="E255" s="21" t="str">
        <f aca="false">IF($X255="","",INDEX('Per Line'!$F$2:$F$4001,$X255))</f>
        <v/>
      </c>
      <c r="F255" s="20" t="str">
        <f aca="false">IF($X255="","",INDEX('Per Line'!$G$2:$G$4001,$X255))</f>
        <v/>
      </c>
      <c r="G255" s="20" t="str">
        <f aca="false">IF($X255="","",INDEX('Per Line'!$I$2:$I$4001,$X255))</f>
        <v/>
      </c>
      <c r="H255" s="20" t="str">
        <f aca="false">IF($X255="","",INDEX('Per Line'!$J$2:$J$4001,$X255))</f>
        <v/>
      </c>
      <c r="I255" s="20" t="str">
        <f aca="false">IF($X255="","",INDEX('Per Line'!$K$2:$K$4001,$X255))</f>
        <v/>
      </c>
      <c r="J255" s="20" t="str">
        <f aca="false">IF($X255="","",INDEX('Per Line'!$L$2:$L$4001,$X255))</f>
        <v/>
      </c>
      <c r="K255" s="20" t="str">
        <f aca="false">IF($X255="","",INDEX('Per Line'!$M$2:$M$4001,$X255))</f>
        <v/>
      </c>
      <c r="L255" s="22" t="str">
        <f aca="false">IF($X255="","",K255*V255/100)</f>
        <v/>
      </c>
      <c r="M255" s="20" t="str">
        <f aca="false">IF($X255="","",INDEX('Per Line'!$Z$2:$Z$4001,$X255))</f>
        <v/>
      </c>
      <c r="N255" s="23" t="str">
        <f aca="false">IF($X255="","",Settings!$C$7)</f>
        <v/>
      </c>
      <c r="O255" s="22" t="str">
        <f aca="false">IF($X255="","",SUMIFS('Per Line'!$Y$2:$Y$4001,'Per Line'!$D$2:$D$4001,$B255,'Per Line'!$AJ$2:$AJ$4001,0))</f>
        <v/>
      </c>
      <c r="P255" s="22" t="str">
        <f aca="false">IF($X255="","",O255*N255)</f>
        <v/>
      </c>
      <c r="Q255" s="23" t="str">
        <f aca="false">IF($X255="","",Settings!$C$6)</f>
        <v/>
      </c>
      <c r="R255" s="22" t="str">
        <f aca="false">IF($X255="","",SUMIFS('Per Line'!$Y$2:$Y$4001,'Per Line'!$D$2:$D$4001,$B255,'Per Line'!$AJ$2:$AJ$4001,1))</f>
        <v/>
      </c>
      <c r="S255" s="22" t="str">
        <f aca="false">IF($X255="","",R255*Q255)</f>
        <v/>
      </c>
      <c r="T255" s="22" t="str">
        <f aca="false">IF($X255="","",S255+P255)</f>
        <v/>
      </c>
      <c r="U255" s="22" t="str">
        <f aca="false">IF($X255="","",V255-T255)</f>
        <v/>
      </c>
      <c r="V255" s="22" t="str">
        <f aca="false">IF($X255="","",O255+R255)</f>
        <v/>
      </c>
      <c r="W255" s="22" t="str">
        <f aca="false">IF($X255="","",U255-L255)</f>
        <v/>
      </c>
      <c r="X255" s="24" t="str">
        <f aca="false">IF(ROWS($X$2:$X255)&lt;=MAX('Per Line'!$AI$2:$AI$4001),MATCH(ROWS($X$2:$X255),'Per Line'!$AI$2:$AI$4001,0),"")</f>
        <v/>
      </c>
    </row>
    <row r="256" customFormat="false" ht="15" hidden="false" customHeight="false" outlineLevel="0" collapsed="false">
      <c r="A256" s="19"/>
      <c r="B256" s="20" t="str">
        <f aca="false">IF($X256="","",INDEX('Per Line'!$D$2:$D$4001,$X256))</f>
        <v/>
      </c>
      <c r="C256" s="20" t="str">
        <f aca="false">IF($X256="","",INDEX('Per Line'!$C$2:$C$4001,$X256))</f>
        <v/>
      </c>
      <c r="D256" s="20" t="str">
        <f aca="false">IF($X256="","",INDEX('Per Line'!$A$2:$A$4001,$X256))</f>
        <v/>
      </c>
      <c r="E256" s="21" t="str">
        <f aca="false">IF($X256="","",INDEX('Per Line'!$F$2:$F$4001,$X256))</f>
        <v/>
      </c>
      <c r="F256" s="20" t="str">
        <f aca="false">IF($X256="","",INDEX('Per Line'!$G$2:$G$4001,$X256))</f>
        <v/>
      </c>
      <c r="G256" s="20" t="str">
        <f aca="false">IF($X256="","",INDEX('Per Line'!$I$2:$I$4001,$X256))</f>
        <v/>
      </c>
      <c r="H256" s="20" t="str">
        <f aca="false">IF($X256="","",INDEX('Per Line'!$J$2:$J$4001,$X256))</f>
        <v/>
      </c>
      <c r="I256" s="20" t="str">
        <f aca="false">IF($X256="","",INDEX('Per Line'!$K$2:$K$4001,$X256))</f>
        <v/>
      </c>
      <c r="J256" s="20" t="str">
        <f aca="false">IF($X256="","",INDEX('Per Line'!$L$2:$L$4001,$X256))</f>
        <v/>
      </c>
      <c r="K256" s="20" t="str">
        <f aca="false">IF($X256="","",INDEX('Per Line'!$M$2:$M$4001,$X256))</f>
        <v/>
      </c>
      <c r="L256" s="22" t="str">
        <f aca="false">IF($X256="","",K256*V256/100)</f>
        <v/>
      </c>
      <c r="M256" s="20" t="str">
        <f aca="false">IF($X256="","",INDEX('Per Line'!$Z$2:$Z$4001,$X256))</f>
        <v/>
      </c>
      <c r="N256" s="23" t="str">
        <f aca="false">IF($X256="","",Settings!$C$7)</f>
        <v/>
      </c>
      <c r="O256" s="22" t="str">
        <f aca="false">IF($X256="","",SUMIFS('Per Line'!$Y$2:$Y$4001,'Per Line'!$D$2:$D$4001,$B256,'Per Line'!$AJ$2:$AJ$4001,0))</f>
        <v/>
      </c>
      <c r="P256" s="22" t="str">
        <f aca="false">IF($X256="","",O256*N256)</f>
        <v/>
      </c>
      <c r="Q256" s="23" t="str">
        <f aca="false">IF($X256="","",Settings!$C$6)</f>
        <v/>
      </c>
      <c r="R256" s="22" t="str">
        <f aca="false">IF($X256="","",SUMIFS('Per Line'!$Y$2:$Y$4001,'Per Line'!$D$2:$D$4001,$B256,'Per Line'!$AJ$2:$AJ$4001,1))</f>
        <v/>
      </c>
      <c r="S256" s="22" t="str">
        <f aca="false">IF($X256="","",R256*Q256)</f>
        <v/>
      </c>
      <c r="T256" s="22" t="str">
        <f aca="false">IF($X256="","",S256+P256)</f>
        <v/>
      </c>
      <c r="U256" s="22" t="str">
        <f aca="false">IF($X256="","",V256-T256)</f>
        <v/>
      </c>
      <c r="V256" s="22" t="str">
        <f aca="false">IF($X256="","",O256+R256)</f>
        <v/>
      </c>
      <c r="W256" s="22" t="str">
        <f aca="false">IF($X256="","",U256-L256)</f>
        <v/>
      </c>
      <c r="X256" s="24" t="str">
        <f aca="false">IF(ROWS($X$2:$X256)&lt;=MAX('Per Line'!$AI$2:$AI$4001),MATCH(ROWS($X$2:$X256),'Per Line'!$AI$2:$AI$4001,0),"")</f>
        <v/>
      </c>
    </row>
    <row r="257" customFormat="false" ht="15" hidden="false" customHeight="false" outlineLevel="0" collapsed="false">
      <c r="A257" s="19"/>
      <c r="B257" s="20" t="str">
        <f aca="false">IF($X257="","",INDEX('Per Line'!$D$2:$D$4001,$X257))</f>
        <v/>
      </c>
      <c r="C257" s="20" t="str">
        <f aca="false">IF($X257="","",INDEX('Per Line'!$C$2:$C$4001,$X257))</f>
        <v/>
      </c>
      <c r="D257" s="20" t="str">
        <f aca="false">IF($X257="","",INDEX('Per Line'!$A$2:$A$4001,$X257))</f>
        <v/>
      </c>
      <c r="E257" s="21" t="str">
        <f aca="false">IF($X257="","",INDEX('Per Line'!$F$2:$F$4001,$X257))</f>
        <v/>
      </c>
      <c r="F257" s="20" t="str">
        <f aca="false">IF($X257="","",INDEX('Per Line'!$G$2:$G$4001,$X257))</f>
        <v/>
      </c>
      <c r="G257" s="20" t="str">
        <f aca="false">IF($X257="","",INDEX('Per Line'!$I$2:$I$4001,$X257))</f>
        <v/>
      </c>
      <c r="H257" s="20" t="str">
        <f aca="false">IF($X257="","",INDEX('Per Line'!$J$2:$J$4001,$X257))</f>
        <v/>
      </c>
      <c r="I257" s="20" t="str">
        <f aca="false">IF($X257="","",INDEX('Per Line'!$K$2:$K$4001,$X257))</f>
        <v/>
      </c>
      <c r="J257" s="20" t="str">
        <f aca="false">IF($X257="","",INDEX('Per Line'!$L$2:$L$4001,$X257))</f>
        <v/>
      </c>
      <c r="K257" s="20" t="str">
        <f aca="false">IF($X257="","",INDEX('Per Line'!$M$2:$M$4001,$X257))</f>
        <v/>
      </c>
      <c r="L257" s="22" t="str">
        <f aca="false">IF($X257="","",K257*V257/100)</f>
        <v/>
      </c>
      <c r="M257" s="20" t="str">
        <f aca="false">IF($X257="","",INDEX('Per Line'!$Z$2:$Z$4001,$X257))</f>
        <v/>
      </c>
      <c r="N257" s="23" t="str">
        <f aca="false">IF($X257="","",Settings!$C$7)</f>
        <v/>
      </c>
      <c r="O257" s="22" t="str">
        <f aca="false">IF($X257="","",SUMIFS('Per Line'!$Y$2:$Y$4001,'Per Line'!$D$2:$D$4001,$B257,'Per Line'!$AJ$2:$AJ$4001,0))</f>
        <v/>
      </c>
      <c r="P257" s="22" t="str">
        <f aca="false">IF($X257="","",O257*N257)</f>
        <v/>
      </c>
      <c r="Q257" s="23" t="str">
        <f aca="false">IF($X257="","",Settings!$C$6)</f>
        <v/>
      </c>
      <c r="R257" s="22" t="str">
        <f aca="false">IF($X257="","",SUMIFS('Per Line'!$Y$2:$Y$4001,'Per Line'!$D$2:$D$4001,$B257,'Per Line'!$AJ$2:$AJ$4001,1))</f>
        <v/>
      </c>
      <c r="S257" s="22" t="str">
        <f aca="false">IF($X257="","",R257*Q257)</f>
        <v/>
      </c>
      <c r="T257" s="22" t="str">
        <f aca="false">IF($X257="","",S257+P257)</f>
        <v/>
      </c>
      <c r="U257" s="22" t="str">
        <f aca="false">IF($X257="","",V257-T257)</f>
        <v/>
      </c>
      <c r="V257" s="22" t="str">
        <f aca="false">IF($X257="","",O257+R257)</f>
        <v/>
      </c>
      <c r="W257" s="22" t="str">
        <f aca="false">IF($X257="","",U257-L257)</f>
        <v/>
      </c>
      <c r="X257" s="24" t="str">
        <f aca="false">IF(ROWS($X$2:$X257)&lt;=MAX('Per Line'!$AI$2:$AI$4001),MATCH(ROWS($X$2:$X257),'Per Line'!$AI$2:$AI$4001,0),"")</f>
        <v/>
      </c>
    </row>
    <row r="258" customFormat="false" ht="15" hidden="false" customHeight="false" outlineLevel="0" collapsed="false">
      <c r="A258" s="19"/>
      <c r="B258" s="20" t="str">
        <f aca="false">IF($X258="","",INDEX('Per Line'!$D$2:$D$4001,$X258))</f>
        <v/>
      </c>
      <c r="C258" s="20" t="str">
        <f aca="false">IF($X258="","",INDEX('Per Line'!$C$2:$C$4001,$X258))</f>
        <v/>
      </c>
      <c r="D258" s="20" t="str">
        <f aca="false">IF($X258="","",INDEX('Per Line'!$A$2:$A$4001,$X258))</f>
        <v/>
      </c>
      <c r="E258" s="21" t="str">
        <f aca="false">IF($X258="","",INDEX('Per Line'!$F$2:$F$4001,$X258))</f>
        <v/>
      </c>
      <c r="F258" s="20" t="str">
        <f aca="false">IF($X258="","",INDEX('Per Line'!$G$2:$G$4001,$X258))</f>
        <v/>
      </c>
      <c r="G258" s="20" t="str">
        <f aca="false">IF($X258="","",INDEX('Per Line'!$I$2:$I$4001,$X258))</f>
        <v/>
      </c>
      <c r="H258" s="20" t="str">
        <f aca="false">IF($X258="","",INDEX('Per Line'!$J$2:$J$4001,$X258))</f>
        <v/>
      </c>
      <c r="I258" s="20" t="str">
        <f aca="false">IF($X258="","",INDEX('Per Line'!$K$2:$K$4001,$X258))</f>
        <v/>
      </c>
      <c r="J258" s="20" t="str">
        <f aca="false">IF($X258="","",INDEX('Per Line'!$L$2:$L$4001,$X258))</f>
        <v/>
      </c>
      <c r="K258" s="20" t="str">
        <f aca="false">IF($X258="","",INDEX('Per Line'!$M$2:$M$4001,$X258))</f>
        <v/>
      </c>
      <c r="L258" s="22" t="str">
        <f aca="false">IF($X258="","",K258*V258/100)</f>
        <v/>
      </c>
      <c r="M258" s="20" t="str">
        <f aca="false">IF($X258="","",INDEX('Per Line'!$Z$2:$Z$4001,$X258))</f>
        <v/>
      </c>
      <c r="N258" s="23" t="str">
        <f aca="false">IF($X258="","",Settings!$C$7)</f>
        <v/>
      </c>
      <c r="O258" s="22" t="str">
        <f aca="false">IF($X258="","",SUMIFS('Per Line'!$Y$2:$Y$4001,'Per Line'!$D$2:$D$4001,$B258,'Per Line'!$AJ$2:$AJ$4001,0))</f>
        <v/>
      </c>
      <c r="P258" s="22" t="str">
        <f aca="false">IF($X258="","",O258*N258)</f>
        <v/>
      </c>
      <c r="Q258" s="23" t="str">
        <f aca="false">IF($X258="","",Settings!$C$6)</f>
        <v/>
      </c>
      <c r="R258" s="22" t="str">
        <f aca="false">IF($X258="","",SUMIFS('Per Line'!$Y$2:$Y$4001,'Per Line'!$D$2:$D$4001,$B258,'Per Line'!$AJ$2:$AJ$4001,1))</f>
        <v/>
      </c>
      <c r="S258" s="22" t="str">
        <f aca="false">IF($X258="","",R258*Q258)</f>
        <v/>
      </c>
      <c r="T258" s="22" t="str">
        <f aca="false">IF($X258="","",S258+P258)</f>
        <v/>
      </c>
      <c r="U258" s="22" t="str">
        <f aca="false">IF($X258="","",V258-T258)</f>
        <v/>
      </c>
      <c r="V258" s="22" t="str">
        <f aca="false">IF($X258="","",O258+R258)</f>
        <v/>
      </c>
      <c r="W258" s="22" t="str">
        <f aca="false">IF($X258="","",U258-L258)</f>
        <v/>
      </c>
      <c r="X258" s="24" t="str">
        <f aca="false">IF(ROWS($X$2:$X258)&lt;=MAX('Per Line'!$AI$2:$AI$4001),MATCH(ROWS($X$2:$X258),'Per Line'!$AI$2:$AI$4001,0),"")</f>
        <v/>
      </c>
    </row>
    <row r="259" customFormat="false" ht="15" hidden="false" customHeight="false" outlineLevel="0" collapsed="false">
      <c r="A259" s="19"/>
      <c r="B259" s="20" t="str">
        <f aca="false">IF($X259="","",INDEX('Per Line'!$D$2:$D$4001,$X259))</f>
        <v/>
      </c>
      <c r="C259" s="20" t="str">
        <f aca="false">IF($X259="","",INDEX('Per Line'!$C$2:$C$4001,$X259))</f>
        <v/>
      </c>
      <c r="D259" s="20" t="str">
        <f aca="false">IF($X259="","",INDEX('Per Line'!$A$2:$A$4001,$X259))</f>
        <v/>
      </c>
      <c r="E259" s="21" t="str">
        <f aca="false">IF($X259="","",INDEX('Per Line'!$F$2:$F$4001,$X259))</f>
        <v/>
      </c>
      <c r="F259" s="20" t="str">
        <f aca="false">IF($X259="","",INDEX('Per Line'!$G$2:$G$4001,$X259))</f>
        <v/>
      </c>
      <c r="G259" s="20" t="str">
        <f aca="false">IF($X259="","",INDEX('Per Line'!$I$2:$I$4001,$X259))</f>
        <v/>
      </c>
      <c r="H259" s="20" t="str">
        <f aca="false">IF($X259="","",INDEX('Per Line'!$J$2:$J$4001,$X259))</f>
        <v/>
      </c>
      <c r="I259" s="20" t="str">
        <f aca="false">IF($X259="","",INDEX('Per Line'!$K$2:$K$4001,$X259))</f>
        <v/>
      </c>
      <c r="J259" s="20" t="str">
        <f aca="false">IF($X259="","",INDEX('Per Line'!$L$2:$L$4001,$X259))</f>
        <v/>
      </c>
      <c r="K259" s="20" t="str">
        <f aca="false">IF($X259="","",INDEX('Per Line'!$M$2:$M$4001,$X259))</f>
        <v/>
      </c>
      <c r="L259" s="22" t="str">
        <f aca="false">IF($X259="","",K259*V259/100)</f>
        <v/>
      </c>
      <c r="M259" s="20" t="str">
        <f aca="false">IF($X259="","",INDEX('Per Line'!$Z$2:$Z$4001,$X259))</f>
        <v/>
      </c>
      <c r="N259" s="23" t="str">
        <f aca="false">IF($X259="","",Settings!$C$7)</f>
        <v/>
      </c>
      <c r="O259" s="22" t="str">
        <f aca="false">IF($X259="","",SUMIFS('Per Line'!$Y$2:$Y$4001,'Per Line'!$D$2:$D$4001,$B259,'Per Line'!$AJ$2:$AJ$4001,0))</f>
        <v/>
      </c>
      <c r="P259" s="22" t="str">
        <f aca="false">IF($X259="","",O259*N259)</f>
        <v/>
      </c>
      <c r="Q259" s="23" t="str">
        <f aca="false">IF($X259="","",Settings!$C$6)</f>
        <v/>
      </c>
      <c r="R259" s="22" t="str">
        <f aca="false">IF($X259="","",SUMIFS('Per Line'!$Y$2:$Y$4001,'Per Line'!$D$2:$D$4001,$B259,'Per Line'!$AJ$2:$AJ$4001,1))</f>
        <v/>
      </c>
      <c r="S259" s="22" t="str">
        <f aca="false">IF($X259="","",R259*Q259)</f>
        <v/>
      </c>
      <c r="T259" s="22" t="str">
        <f aca="false">IF($X259="","",S259+P259)</f>
        <v/>
      </c>
      <c r="U259" s="22" t="str">
        <f aca="false">IF($X259="","",V259-T259)</f>
        <v/>
      </c>
      <c r="V259" s="22" t="str">
        <f aca="false">IF($X259="","",O259+R259)</f>
        <v/>
      </c>
      <c r="W259" s="22" t="str">
        <f aca="false">IF($X259="","",U259-L259)</f>
        <v/>
      </c>
      <c r="X259" s="24" t="str">
        <f aca="false">IF(ROWS($X$2:$X259)&lt;=MAX('Per Line'!$AI$2:$AI$4001),MATCH(ROWS($X$2:$X259),'Per Line'!$AI$2:$AI$4001,0),"")</f>
        <v/>
      </c>
    </row>
    <row r="260" customFormat="false" ht="15" hidden="false" customHeight="false" outlineLevel="0" collapsed="false">
      <c r="A260" s="19"/>
      <c r="B260" s="20" t="str">
        <f aca="false">IF($X260="","",INDEX('Per Line'!$D$2:$D$4001,$X260))</f>
        <v/>
      </c>
      <c r="C260" s="20" t="str">
        <f aca="false">IF($X260="","",INDEX('Per Line'!$C$2:$C$4001,$X260))</f>
        <v/>
      </c>
      <c r="D260" s="20" t="str">
        <f aca="false">IF($X260="","",INDEX('Per Line'!$A$2:$A$4001,$X260))</f>
        <v/>
      </c>
      <c r="E260" s="21" t="str">
        <f aca="false">IF($X260="","",INDEX('Per Line'!$F$2:$F$4001,$X260))</f>
        <v/>
      </c>
      <c r="F260" s="20" t="str">
        <f aca="false">IF($X260="","",INDEX('Per Line'!$G$2:$G$4001,$X260))</f>
        <v/>
      </c>
      <c r="G260" s="20" t="str">
        <f aca="false">IF($X260="","",INDEX('Per Line'!$I$2:$I$4001,$X260))</f>
        <v/>
      </c>
      <c r="H260" s="20" t="str">
        <f aca="false">IF($X260="","",INDEX('Per Line'!$J$2:$J$4001,$X260))</f>
        <v/>
      </c>
      <c r="I260" s="20" t="str">
        <f aca="false">IF($X260="","",INDEX('Per Line'!$K$2:$K$4001,$X260))</f>
        <v/>
      </c>
      <c r="J260" s="20" t="str">
        <f aca="false">IF($X260="","",INDEX('Per Line'!$L$2:$L$4001,$X260))</f>
        <v/>
      </c>
      <c r="K260" s="20" t="str">
        <f aca="false">IF($X260="","",INDEX('Per Line'!$M$2:$M$4001,$X260))</f>
        <v/>
      </c>
      <c r="L260" s="22" t="str">
        <f aca="false">IF($X260="","",K260*V260/100)</f>
        <v/>
      </c>
      <c r="M260" s="20" t="str">
        <f aca="false">IF($X260="","",INDEX('Per Line'!$Z$2:$Z$4001,$X260))</f>
        <v/>
      </c>
      <c r="N260" s="23" t="str">
        <f aca="false">IF($X260="","",Settings!$C$7)</f>
        <v/>
      </c>
      <c r="O260" s="22" t="str">
        <f aca="false">IF($X260="","",SUMIFS('Per Line'!$Y$2:$Y$4001,'Per Line'!$D$2:$D$4001,$B260,'Per Line'!$AJ$2:$AJ$4001,0))</f>
        <v/>
      </c>
      <c r="P260" s="22" t="str">
        <f aca="false">IF($X260="","",O260*N260)</f>
        <v/>
      </c>
      <c r="Q260" s="23" t="str">
        <f aca="false">IF($X260="","",Settings!$C$6)</f>
        <v/>
      </c>
      <c r="R260" s="22" t="str">
        <f aca="false">IF($X260="","",SUMIFS('Per Line'!$Y$2:$Y$4001,'Per Line'!$D$2:$D$4001,$B260,'Per Line'!$AJ$2:$AJ$4001,1))</f>
        <v/>
      </c>
      <c r="S260" s="22" t="str">
        <f aca="false">IF($X260="","",R260*Q260)</f>
        <v/>
      </c>
      <c r="T260" s="22" t="str">
        <f aca="false">IF($X260="","",S260+P260)</f>
        <v/>
      </c>
      <c r="U260" s="22" t="str">
        <f aca="false">IF($X260="","",V260-T260)</f>
        <v/>
      </c>
      <c r="V260" s="22" t="str">
        <f aca="false">IF($X260="","",O260+R260)</f>
        <v/>
      </c>
      <c r="W260" s="22" t="str">
        <f aca="false">IF($X260="","",U260-L260)</f>
        <v/>
      </c>
      <c r="X260" s="24" t="str">
        <f aca="false">IF(ROWS($X$2:$X260)&lt;=MAX('Per Line'!$AI$2:$AI$4001),MATCH(ROWS($X$2:$X260),'Per Line'!$AI$2:$AI$4001,0),"")</f>
        <v/>
      </c>
    </row>
    <row r="261" customFormat="false" ht="15" hidden="false" customHeight="false" outlineLevel="0" collapsed="false">
      <c r="A261" s="19"/>
      <c r="B261" s="20" t="str">
        <f aca="false">IF($X261="","",INDEX('Per Line'!$D$2:$D$4001,$X261))</f>
        <v/>
      </c>
      <c r="C261" s="20" t="str">
        <f aca="false">IF($X261="","",INDEX('Per Line'!$C$2:$C$4001,$X261))</f>
        <v/>
      </c>
      <c r="D261" s="20" t="str">
        <f aca="false">IF($X261="","",INDEX('Per Line'!$A$2:$A$4001,$X261))</f>
        <v/>
      </c>
      <c r="E261" s="21" t="str">
        <f aca="false">IF($X261="","",INDEX('Per Line'!$F$2:$F$4001,$X261))</f>
        <v/>
      </c>
      <c r="F261" s="20" t="str">
        <f aca="false">IF($X261="","",INDEX('Per Line'!$G$2:$G$4001,$X261))</f>
        <v/>
      </c>
      <c r="G261" s="20" t="str">
        <f aca="false">IF($X261="","",INDEX('Per Line'!$I$2:$I$4001,$X261))</f>
        <v/>
      </c>
      <c r="H261" s="20" t="str">
        <f aca="false">IF($X261="","",INDEX('Per Line'!$J$2:$J$4001,$X261))</f>
        <v/>
      </c>
      <c r="I261" s="20" t="str">
        <f aca="false">IF($X261="","",INDEX('Per Line'!$K$2:$K$4001,$X261))</f>
        <v/>
      </c>
      <c r="J261" s="20" t="str">
        <f aca="false">IF($X261="","",INDEX('Per Line'!$L$2:$L$4001,$X261))</f>
        <v/>
      </c>
      <c r="K261" s="20" t="str">
        <f aca="false">IF($X261="","",INDEX('Per Line'!$M$2:$M$4001,$X261))</f>
        <v/>
      </c>
      <c r="L261" s="22" t="str">
        <f aca="false">IF($X261="","",K261*V261/100)</f>
        <v/>
      </c>
      <c r="M261" s="20" t="str">
        <f aca="false">IF($X261="","",INDEX('Per Line'!$Z$2:$Z$4001,$X261))</f>
        <v/>
      </c>
      <c r="N261" s="23" t="str">
        <f aca="false">IF($X261="","",Settings!$C$7)</f>
        <v/>
      </c>
      <c r="O261" s="22" t="str">
        <f aca="false">IF($X261="","",SUMIFS('Per Line'!$Y$2:$Y$4001,'Per Line'!$D$2:$D$4001,$B261,'Per Line'!$AJ$2:$AJ$4001,0))</f>
        <v/>
      </c>
      <c r="P261" s="22" t="str">
        <f aca="false">IF($X261="","",O261*N261)</f>
        <v/>
      </c>
      <c r="Q261" s="23" t="str">
        <f aca="false">IF($X261="","",Settings!$C$6)</f>
        <v/>
      </c>
      <c r="R261" s="22" t="str">
        <f aca="false">IF($X261="","",SUMIFS('Per Line'!$Y$2:$Y$4001,'Per Line'!$D$2:$D$4001,$B261,'Per Line'!$AJ$2:$AJ$4001,1))</f>
        <v/>
      </c>
      <c r="S261" s="22" t="str">
        <f aca="false">IF($X261="","",R261*Q261)</f>
        <v/>
      </c>
      <c r="T261" s="22" t="str">
        <f aca="false">IF($X261="","",S261+P261)</f>
        <v/>
      </c>
      <c r="U261" s="22" t="str">
        <f aca="false">IF($X261="","",V261-T261)</f>
        <v/>
      </c>
      <c r="V261" s="22" t="str">
        <f aca="false">IF($X261="","",O261+R261)</f>
        <v/>
      </c>
      <c r="W261" s="22" t="str">
        <f aca="false">IF($X261="","",U261-L261)</f>
        <v/>
      </c>
      <c r="X261" s="24" t="str">
        <f aca="false">IF(ROWS($X$2:$X261)&lt;=MAX('Per Line'!$AI$2:$AI$4001),MATCH(ROWS($X$2:$X261),'Per Line'!$AI$2:$AI$4001,0),"")</f>
        <v/>
      </c>
    </row>
    <row r="262" customFormat="false" ht="15" hidden="false" customHeight="false" outlineLevel="0" collapsed="false">
      <c r="A262" s="19"/>
      <c r="B262" s="20" t="str">
        <f aca="false">IF($X262="","",INDEX('Per Line'!$D$2:$D$4001,$X262))</f>
        <v/>
      </c>
      <c r="C262" s="20" t="str">
        <f aca="false">IF($X262="","",INDEX('Per Line'!$C$2:$C$4001,$X262))</f>
        <v/>
      </c>
      <c r="D262" s="20" t="str">
        <f aca="false">IF($X262="","",INDEX('Per Line'!$A$2:$A$4001,$X262))</f>
        <v/>
      </c>
      <c r="E262" s="21" t="str">
        <f aca="false">IF($X262="","",INDEX('Per Line'!$F$2:$F$4001,$X262))</f>
        <v/>
      </c>
      <c r="F262" s="20" t="str">
        <f aca="false">IF($X262="","",INDEX('Per Line'!$G$2:$G$4001,$X262))</f>
        <v/>
      </c>
      <c r="G262" s="20" t="str">
        <f aca="false">IF($X262="","",INDEX('Per Line'!$I$2:$I$4001,$X262))</f>
        <v/>
      </c>
      <c r="H262" s="20" t="str">
        <f aca="false">IF($X262="","",INDEX('Per Line'!$J$2:$J$4001,$X262))</f>
        <v/>
      </c>
      <c r="I262" s="20" t="str">
        <f aca="false">IF($X262="","",INDEX('Per Line'!$K$2:$K$4001,$X262))</f>
        <v/>
      </c>
      <c r="J262" s="20" t="str">
        <f aca="false">IF($X262="","",INDEX('Per Line'!$L$2:$L$4001,$X262))</f>
        <v/>
      </c>
      <c r="K262" s="20" t="str">
        <f aca="false">IF($X262="","",INDEX('Per Line'!$M$2:$M$4001,$X262))</f>
        <v/>
      </c>
      <c r="L262" s="22" t="str">
        <f aca="false">IF($X262="","",K262*V262/100)</f>
        <v/>
      </c>
      <c r="M262" s="20" t="str">
        <f aca="false">IF($X262="","",INDEX('Per Line'!$Z$2:$Z$4001,$X262))</f>
        <v/>
      </c>
      <c r="N262" s="23" t="str">
        <f aca="false">IF($X262="","",Settings!$C$7)</f>
        <v/>
      </c>
      <c r="O262" s="22" t="str">
        <f aca="false">IF($X262="","",SUMIFS('Per Line'!$Y$2:$Y$4001,'Per Line'!$D$2:$D$4001,$B262,'Per Line'!$AJ$2:$AJ$4001,0))</f>
        <v/>
      </c>
      <c r="P262" s="22" t="str">
        <f aca="false">IF($X262="","",O262*N262)</f>
        <v/>
      </c>
      <c r="Q262" s="23" t="str">
        <f aca="false">IF($X262="","",Settings!$C$6)</f>
        <v/>
      </c>
      <c r="R262" s="22" t="str">
        <f aca="false">IF($X262="","",SUMIFS('Per Line'!$Y$2:$Y$4001,'Per Line'!$D$2:$D$4001,$B262,'Per Line'!$AJ$2:$AJ$4001,1))</f>
        <v/>
      </c>
      <c r="S262" s="22" t="str">
        <f aca="false">IF($X262="","",R262*Q262)</f>
        <v/>
      </c>
      <c r="T262" s="22" t="str">
        <f aca="false">IF($X262="","",S262+P262)</f>
        <v/>
      </c>
      <c r="U262" s="22" t="str">
        <f aca="false">IF($X262="","",V262-T262)</f>
        <v/>
      </c>
      <c r="V262" s="22" t="str">
        <f aca="false">IF($X262="","",O262+R262)</f>
        <v/>
      </c>
      <c r="W262" s="22" t="str">
        <f aca="false">IF($X262="","",U262-L262)</f>
        <v/>
      </c>
      <c r="X262" s="24" t="str">
        <f aca="false">IF(ROWS($X$2:$X262)&lt;=MAX('Per Line'!$AI$2:$AI$4001),MATCH(ROWS($X$2:$X262),'Per Line'!$AI$2:$AI$4001,0),"")</f>
        <v/>
      </c>
    </row>
    <row r="263" customFormat="false" ht="15" hidden="false" customHeight="false" outlineLevel="0" collapsed="false">
      <c r="A263" s="19"/>
      <c r="B263" s="20" t="str">
        <f aca="false">IF($X263="","",INDEX('Per Line'!$D$2:$D$4001,$X263))</f>
        <v/>
      </c>
      <c r="C263" s="20" t="str">
        <f aca="false">IF($X263="","",INDEX('Per Line'!$C$2:$C$4001,$X263))</f>
        <v/>
      </c>
      <c r="D263" s="20" t="str">
        <f aca="false">IF($X263="","",INDEX('Per Line'!$A$2:$A$4001,$X263))</f>
        <v/>
      </c>
      <c r="E263" s="21" t="str">
        <f aca="false">IF($X263="","",INDEX('Per Line'!$F$2:$F$4001,$X263))</f>
        <v/>
      </c>
      <c r="F263" s="20" t="str">
        <f aca="false">IF($X263="","",INDEX('Per Line'!$G$2:$G$4001,$X263))</f>
        <v/>
      </c>
      <c r="G263" s="20" t="str">
        <f aca="false">IF($X263="","",INDEX('Per Line'!$I$2:$I$4001,$X263))</f>
        <v/>
      </c>
      <c r="H263" s="20" t="str">
        <f aca="false">IF($X263="","",INDEX('Per Line'!$J$2:$J$4001,$X263))</f>
        <v/>
      </c>
      <c r="I263" s="20" t="str">
        <f aca="false">IF($X263="","",INDEX('Per Line'!$K$2:$K$4001,$X263))</f>
        <v/>
      </c>
      <c r="J263" s="20" t="str">
        <f aca="false">IF($X263="","",INDEX('Per Line'!$L$2:$L$4001,$X263))</f>
        <v/>
      </c>
      <c r="K263" s="20" t="str">
        <f aca="false">IF($X263="","",INDEX('Per Line'!$M$2:$M$4001,$X263))</f>
        <v/>
      </c>
      <c r="L263" s="22" t="str">
        <f aca="false">IF($X263="","",K263*V263/100)</f>
        <v/>
      </c>
      <c r="M263" s="20" t="str">
        <f aca="false">IF($X263="","",INDEX('Per Line'!$Z$2:$Z$4001,$X263))</f>
        <v/>
      </c>
      <c r="N263" s="23" t="str">
        <f aca="false">IF($X263="","",Settings!$C$7)</f>
        <v/>
      </c>
      <c r="O263" s="22" t="str">
        <f aca="false">IF($X263="","",SUMIFS('Per Line'!$Y$2:$Y$4001,'Per Line'!$D$2:$D$4001,$B263,'Per Line'!$AJ$2:$AJ$4001,0))</f>
        <v/>
      </c>
      <c r="P263" s="22" t="str">
        <f aca="false">IF($X263="","",O263*N263)</f>
        <v/>
      </c>
      <c r="Q263" s="23" t="str">
        <f aca="false">IF($X263="","",Settings!$C$6)</f>
        <v/>
      </c>
      <c r="R263" s="22" t="str">
        <f aca="false">IF($X263="","",SUMIFS('Per Line'!$Y$2:$Y$4001,'Per Line'!$D$2:$D$4001,$B263,'Per Line'!$AJ$2:$AJ$4001,1))</f>
        <v/>
      </c>
      <c r="S263" s="22" t="str">
        <f aca="false">IF($X263="","",R263*Q263)</f>
        <v/>
      </c>
      <c r="T263" s="22" t="str">
        <f aca="false">IF($X263="","",S263+P263)</f>
        <v/>
      </c>
      <c r="U263" s="22" t="str">
        <f aca="false">IF($X263="","",V263-T263)</f>
        <v/>
      </c>
      <c r="V263" s="22" t="str">
        <f aca="false">IF($X263="","",O263+R263)</f>
        <v/>
      </c>
      <c r="W263" s="22" t="str">
        <f aca="false">IF($X263="","",U263-L263)</f>
        <v/>
      </c>
      <c r="X263" s="24" t="str">
        <f aca="false">IF(ROWS($X$2:$X263)&lt;=MAX('Per Line'!$AI$2:$AI$4001),MATCH(ROWS($X$2:$X263),'Per Line'!$AI$2:$AI$4001,0),"")</f>
        <v/>
      </c>
    </row>
    <row r="264" customFormat="false" ht="15" hidden="false" customHeight="false" outlineLevel="0" collapsed="false">
      <c r="A264" s="19"/>
      <c r="B264" s="20" t="str">
        <f aca="false">IF($X264="","",INDEX('Per Line'!$D$2:$D$4001,$X264))</f>
        <v/>
      </c>
      <c r="C264" s="20" t="str">
        <f aca="false">IF($X264="","",INDEX('Per Line'!$C$2:$C$4001,$X264))</f>
        <v/>
      </c>
      <c r="D264" s="20" t="str">
        <f aca="false">IF($X264="","",INDEX('Per Line'!$A$2:$A$4001,$X264))</f>
        <v/>
      </c>
      <c r="E264" s="21" t="str">
        <f aca="false">IF($X264="","",INDEX('Per Line'!$F$2:$F$4001,$X264))</f>
        <v/>
      </c>
      <c r="F264" s="20" t="str">
        <f aca="false">IF($X264="","",INDEX('Per Line'!$G$2:$G$4001,$X264))</f>
        <v/>
      </c>
      <c r="G264" s="20" t="str">
        <f aca="false">IF($X264="","",INDEX('Per Line'!$I$2:$I$4001,$X264))</f>
        <v/>
      </c>
      <c r="H264" s="20" t="str">
        <f aca="false">IF($X264="","",INDEX('Per Line'!$J$2:$J$4001,$X264))</f>
        <v/>
      </c>
      <c r="I264" s="20" t="str">
        <f aca="false">IF($X264="","",INDEX('Per Line'!$K$2:$K$4001,$X264))</f>
        <v/>
      </c>
      <c r="J264" s="20" t="str">
        <f aca="false">IF($X264="","",INDEX('Per Line'!$L$2:$L$4001,$X264))</f>
        <v/>
      </c>
      <c r="K264" s="20" t="str">
        <f aca="false">IF($X264="","",INDEX('Per Line'!$M$2:$M$4001,$X264))</f>
        <v/>
      </c>
      <c r="L264" s="22" t="str">
        <f aca="false">IF($X264="","",K264*V264/100)</f>
        <v/>
      </c>
      <c r="M264" s="20" t="str">
        <f aca="false">IF($X264="","",INDEX('Per Line'!$Z$2:$Z$4001,$X264))</f>
        <v/>
      </c>
      <c r="N264" s="23" t="str">
        <f aca="false">IF($X264="","",Settings!$C$7)</f>
        <v/>
      </c>
      <c r="O264" s="22" t="str">
        <f aca="false">IF($X264="","",SUMIFS('Per Line'!$Y$2:$Y$4001,'Per Line'!$D$2:$D$4001,$B264,'Per Line'!$AJ$2:$AJ$4001,0))</f>
        <v/>
      </c>
      <c r="P264" s="22" t="str">
        <f aca="false">IF($X264="","",O264*N264)</f>
        <v/>
      </c>
      <c r="Q264" s="23" t="str">
        <f aca="false">IF($X264="","",Settings!$C$6)</f>
        <v/>
      </c>
      <c r="R264" s="22" t="str">
        <f aca="false">IF($X264="","",SUMIFS('Per Line'!$Y$2:$Y$4001,'Per Line'!$D$2:$D$4001,$B264,'Per Line'!$AJ$2:$AJ$4001,1))</f>
        <v/>
      </c>
      <c r="S264" s="22" t="str">
        <f aca="false">IF($X264="","",R264*Q264)</f>
        <v/>
      </c>
      <c r="T264" s="22" t="str">
        <f aca="false">IF($X264="","",S264+P264)</f>
        <v/>
      </c>
      <c r="U264" s="22" t="str">
        <f aca="false">IF($X264="","",V264-T264)</f>
        <v/>
      </c>
      <c r="V264" s="22" t="str">
        <f aca="false">IF($X264="","",O264+R264)</f>
        <v/>
      </c>
      <c r="W264" s="22" t="str">
        <f aca="false">IF($X264="","",U264-L264)</f>
        <v/>
      </c>
      <c r="X264" s="24" t="str">
        <f aca="false">IF(ROWS($X$2:$X264)&lt;=MAX('Per Line'!$AI$2:$AI$4001),MATCH(ROWS($X$2:$X264),'Per Line'!$AI$2:$AI$4001,0),"")</f>
        <v/>
      </c>
    </row>
    <row r="265" customFormat="false" ht="15" hidden="false" customHeight="false" outlineLevel="0" collapsed="false">
      <c r="A265" s="19"/>
      <c r="B265" s="20" t="str">
        <f aca="false">IF($X265="","",INDEX('Per Line'!$D$2:$D$4001,$X265))</f>
        <v/>
      </c>
      <c r="C265" s="20" t="str">
        <f aca="false">IF($X265="","",INDEX('Per Line'!$C$2:$C$4001,$X265))</f>
        <v/>
      </c>
      <c r="D265" s="20" t="str">
        <f aca="false">IF($X265="","",INDEX('Per Line'!$A$2:$A$4001,$X265))</f>
        <v/>
      </c>
      <c r="E265" s="21" t="str">
        <f aca="false">IF($X265="","",INDEX('Per Line'!$F$2:$F$4001,$X265))</f>
        <v/>
      </c>
      <c r="F265" s="20" t="str">
        <f aca="false">IF($X265="","",INDEX('Per Line'!$G$2:$G$4001,$X265))</f>
        <v/>
      </c>
      <c r="G265" s="20" t="str">
        <f aca="false">IF($X265="","",INDEX('Per Line'!$I$2:$I$4001,$X265))</f>
        <v/>
      </c>
      <c r="H265" s="20" t="str">
        <f aca="false">IF($X265="","",INDEX('Per Line'!$J$2:$J$4001,$X265))</f>
        <v/>
      </c>
      <c r="I265" s="20" t="str">
        <f aca="false">IF($X265="","",INDEX('Per Line'!$K$2:$K$4001,$X265))</f>
        <v/>
      </c>
      <c r="J265" s="20" t="str">
        <f aca="false">IF($X265="","",INDEX('Per Line'!$L$2:$L$4001,$X265))</f>
        <v/>
      </c>
      <c r="K265" s="20" t="str">
        <f aca="false">IF($X265="","",INDEX('Per Line'!$M$2:$M$4001,$X265))</f>
        <v/>
      </c>
      <c r="L265" s="22" t="str">
        <f aca="false">IF($X265="","",K265*V265/100)</f>
        <v/>
      </c>
      <c r="M265" s="20" t="str">
        <f aca="false">IF($X265="","",INDEX('Per Line'!$Z$2:$Z$4001,$X265))</f>
        <v/>
      </c>
      <c r="N265" s="23" t="str">
        <f aca="false">IF($X265="","",Settings!$C$7)</f>
        <v/>
      </c>
      <c r="O265" s="22" t="str">
        <f aca="false">IF($X265="","",SUMIFS('Per Line'!$Y$2:$Y$4001,'Per Line'!$D$2:$D$4001,$B265,'Per Line'!$AJ$2:$AJ$4001,0))</f>
        <v/>
      </c>
      <c r="P265" s="22" t="str">
        <f aca="false">IF($X265="","",O265*N265)</f>
        <v/>
      </c>
      <c r="Q265" s="23" t="str">
        <f aca="false">IF($X265="","",Settings!$C$6)</f>
        <v/>
      </c>
      <c r="R265" s="22" t="str">
        <f aca="false">IF($X265="","",SUMIFS('Per Line'!$Y$2:$Y$4001,'Per Line'!$D$2:$D$4001,$B265,'Per Line'!$AJ$2:$AJ$4001,1))</f>
        <v/>
      </c>
      <c r="S265" s="22" t="str">
        <f aca="false">IF($X265="","",R265*Q265)</f>
        <v/>
      </c>
      <c r="T265" s="22" t="str">
        <f aca="false">IF($X265="","",S265+P265)</f>
        <v/>
      </c>
      <c r="U265" s="22" t="str">
        <f aca="false">IF($X265="","",V265-T265)</f>
        <v/>
      </c>
      <c r="V265" s="22" t="str">
        <f aca="false">IF($X265="","",O265+R265)</f>
        <v/>
      </c>
      <c r="W265" s="22" t="str">
        <f aca="false">IF($X265="","",U265-L265)</f>
        <v/>
      </c>
      <c r="X265" s="24" t="str">
        <f aca="false">IF(ROWS($X$2:$X265)&lt;=MAX('Per Line'!$AI$2:$AI$4001),MATCH(ROWS($X$2:$X265),'Per Line'!$AI$2:$AI$4001,0),"")</f>
        <v/>
      </c>
    </row>
    <row r="266" customFormat="false" ht="15" hidden="false" customHeight="false" outlineLevel="0" collapsed="false">
      <c r="A266" s="19"/>
      <c r="B266" s="20" t="str">
        <f aca="false">IF($X266="","",INDEX('Per Line'!$D$2:$D$4001,$X266))</f>
        <v/>
      </c>
      <c r="C266" s="20" t="str">
        <f aca="false">IF($X266="","",INDEX('Per Line'!$C$2:$C$4001,$X266))</f>
        <v/>
      </c>
      <c r="D266" s="20" t="str">
        <f aca="false">IF($X266="","",INDEX('Per Line'!$A$2:$A$4001,$X266))</f>
        <v/>
      </c>
      <c r="E266" s="21" t="str">
        <f aca="false">IF($X266="","",INDEX('Per Line'!$F$2:$F$4001,$X266))</f>
        <v/>
      </c>
      <c r="F266" s="20" t="str">
        <f aca="false">IF($X266="","",INDEX('Per Line'!$G$2:$G$4001,$X266))</f>
        <v/>
      </c>
      <c r="G266" s="20" t="str">
        <f aca="false">IF($X266="","",INDEX('Per Line'!$I$2:$I$4001,$X266))</f>
        <v/>
      </c>
      <c r="H266" s="20" t="str">
        <f aca="false">IF($X266="","",INDEX('Per Line'!$J$2:$J$4001,$X266))</f>
        <v/>
      </c>
      <c r="I266" s="20" t="str">
        <f aca="false">IF($X266="","",INDEX('Per Line'!$K$2:$K$4001,$X266))</f>
        <v/>
      </c>
      <c r="J266" s="20" t="str">
        <f aca="false">IF($X266="","",INDEX('Per Line'!$L$2:$L$4001,$X266))</f>
        <v/>
      </c>
      <c r="K266" s="20" t="str">
        <f aca="false">IF($X266="","",INDEX('Per Line'!$M$2:$M$4001,$X266))</f>
        <v/>
      </c>
      <c r="L266" s="22" t="str">
        <f aca="false">IF($X266="","",K266*V266/100)</f>
        <v/>
      </c>
      <c r="M266" s="20" t="str">
        <f aca="false">IF($X266="","",INDEX('Per Line'!$Z$2:$Z$4001,$X266))</f>
        <v/>
      </c>
      <c r="N266" s="23" t="str">
        <f aca="false">IF($X266="","",Settings!$C$7)</f>
        <v/>
      </c>
      <c r="O266" s="22" t="str">
        <f aca="false">IF($X266="","",SUMIFS('Per Line'!$Y$2:$Y$4001,'Per Line'!$D$2:$D$4001,$B266,'Per Line'!$AJ$2:$AJ$4001,0))</f>
        <v/>
      </c>
      <c r="P266" s="22" t="str">
        <f aca="false">IF($X266="","",O266*N266)</f>
        <v/>
      </c>
      <c r="Q266" s="23" t="str">
        <f aca="false">IF($X266="","",Settings!$C$6)</f>
        <v/>
      </c>
      <c r="R266" s="22" t="str">
        <f aca="false">IF($X266="","",SUMIFS('Per Line'!$Y$2:$Y$4001,'Per Line'!$D$2:$D$4001,$B266,'Per Line'!$AJ$2:$AJ$4001,1))</f>
        <v/>
      </c>
      <c r="S266" s="22" t="str">
        <f aca="false">IF($X266="","",R266*Q266)</f>
        <v/>
      </c>
      <c r="T266" s="22" t="str">
        <f aca="false">IF($X266="","",S266+P266)</f>
        <v/>
      </c>
      <c r="U266" s="22" t="str">
        <f aca="false">IF($X266="","",V266-T266)</f>
        <v/>
      </c>
      <c r="V266" s="22" t="str">
        <f aca="false">IF($X266="","",O266+R266)</f>
        <v/>
      </c>
      <c r="W266" s="22" t="str">
        <f aca="false">IF($X266="","",U266-L266)</f>
        <v/>
      </c>
      <c r="X266" s="24" t="str">
        <f aca="false">IF(ROWS($X$2:$X266)&lt;=MAX('Per Line'!$AI$2:$AI$4001),MATCH(ROWS($X$2:$X266),'Per Line'!$AI$2:$AI$4001,0),"")</f>
        <v/>
      </c>
    </row>
    <row r="267" customFormat="false" ht="15" hidden="false" customHeight="false" outlineLevel="0" collapsed="false">
      <c r="A267" s="19"/>
      <c r="B267" s="20" t="str">
        <f aca="false">IF($X267="","",INDEX('Per Line'!$D$2:$D$4001,$X267))</f>
        <v/>
      </c>
      <c r="C267" s="20" t="str">
        <f aca="false">IF($X267="","",INDEX('Per Line'!$C$2:$C$4001,$X267))</f>
        <v/>
      </c>
      <c r="D267" s="20" t="str">
        <f aca="false">IF($X267="","",INDEX('Per Line'!$A$2:$A$4001,$X267))</f>
        <v/>
      </c>
      <c r="E267" s="21" t="str">
        <f aca="false">IF($X267="","",INDEX('Per Line'!$F$2:$F$4001,$X267))</f>
        <v/>
      </c>
      <c r="F267" s="20" t="str">
        <f aca="false">IF($X267="","",INDEX('Per Line'!$G$2:$G$4001,$X267))</f>
        <v/>
      </c>
      <c r="G267" s="20" t="str">
        <f aca="false">IF($X267="","",INDEX('Per Line'!$I$2:$I$4001,$X267))</f>
        <v/>
      </c>
      <c r="H267" s="20" t="str">
        <f aca="false">IF($X267="","",INDEX('Per Line'!$J$2:$J$4001,$X267))</f>
        <v/>
      </c>
      <c r="I267" s="20" t="str">
        <f aca="false">IF($X267="","",INDEX('Per Line'!$K$2:$K$4001,$X267))</f>
        <v/>
      </c>
      <c r="J267" s="20" t="str">
        <f aca="false">IF($X267="","",INDEX('Per Line'!$L$2:$L$4001,$X267))</f>
        <v/>
      </c>
      <c r="K267" s="20" t="str">
        <f aca="false">IF($X267="","",INDEX('Per Line'!$M$2:$M$4001,$X267))</f>
        <v/>
      </c>
      <c r="L267" s="22" t="str">
        <f aca="false">IF($X267="","",K267*V267/100)</f>
        <v/>
      </c>
      <c r="M267" s="20" t="str">
        <f aca="false">IF($X267="","",INDEX('Per Line'!$Z$2:$Z$4001,$X267))</f>
        <v/>
      </c>
      <c r="N267" s="23" t="str">
        <f aca="false">IF($X267="","",Settings!$C$7)</f>
        <v/>
      </c>
      <c r="O267" s="22" t="str">
        <f aca="false">IF($X267="","",SUMIFS('Per Line'!$Y$2:$Y$4001,'Per Line'!$D$2:$D$4001,$B267,'Per Line'!$AJ$2:$AJ$4001,0))</f>
        <v/>
      </c>
      <c r="P267" s="22" t="str">
        <f aca="false">IF($X267="","",O267*N267)</f>
        <v/>
      </c>
      <c r="Q267" s="23" t="str">
        <f aca="false">IF($X267="","",Settings!$C$6)</f>
        <v/>
      </c>
      <c r="R267" s="22" t="str">
        <f aca="false">IF($X267="","",SUMIFS('Per Line'!$Y$2:$Y$4001,'Per Line'!$D$2:$D$4001,$B267,'Per Line'!$AJ$2:$AJ$4001,1))</f>
        <v/>
      </c>
      <c r="S267" s="22" t="str">
        <f aca="false">IF($X267="","",R267*Q267)</f>
        <v/>
      </c>
      <c r="T267" s="22" t="str">
        <f aca="false">IF($X267="","",S267+P267)</f>
        <v/>
      </c>
      <c r="U267" s="22" t="str">
        <f aca="false">IF($X267="","",V267-T267)</f>
        <v/>
      </c>
      <c r="V267" s="22" t="str">
        <f aca="false">IF($X267="","",O267+R267)</f>
        <v/>
      </c>
      <c r="W267" s="22" t="str">
        <f aca="false">IF($X267="","",U267-L267)</f>
        <v/>
      </c>
      <c r="X267" s="24" t="str">
        <f aca="false">IF(ROWS($X$2:$X267)&lt;=MAX('Per Line'!$AI$2:$AI$4001),MATCH(ROWS($X$2:$X267),'Per Line'!$AI$2:$AI$4001,0),"")</f>
        <v/>
      </c>
    </row>
    <row r="268" customFormat="false" ht="15" hidden="false" customHeight="false" outlineLevel="0" collapsed="false">
      <c r="A268" s="19"/>
      <c r="B268" s="20" t="str">
        <f aca="false">IF($X268="","",INDEX('Per Line'!$D$2:$D$4001,$X268))</f>
        <v/>
      </c>
      <c r="C268" s="20" t="str">
        <f aca="false">IF($X268="","",INDEX('Per Line'!$C$2:$C$4001,$X268))</f>
        <v/>
      </c>
      <c r="D268" s="20" t="str">
        <f aca="false">IF($X268="","",INDEX('Per Line'!$A$2:$A$4001,$X268))</f>
        <v/>
      </c>
      <c r="E268" s="21" t="str">
        <f aca="false">IF($X268="","",INDEX('Per Line'!$F$2:$F$4001,$X268))</f>
        <v/>
      </c>
      <c r="F268" s="20" t="str">
        <f aca="false">IF($X268="","",INDEX('Per Line'!$G$2:$G$4001,$X268))</f>
        <v/>
      </c>
      <c r="G268" s="20" t="str">
        <f aca="false">IF($X268="","",INDEX('Per Line'!$I$2:$I$4001,$X268))</f>
        <v/>
      </c>
      <c r="H268" s="20" t="str">
        <f aca="false">IF($X268="","",INDEX('Per Line'!$J$2:$J$4001,$X268))</f>
        <v/>
      </c>
      <c r="I268" s="20" t="str">
        <f aca="false">IF($X268="","",INDEX('Per Line'!$K$2:$K$4001,$X268))</f>
        <v/>
      </c>
      <c r="J268" s="20" t="str">
        <f aca="false">IF($X268="","",INDEX('Per Line'!$L$2:$L$4001,$X268))</f>
        <v/>
      </c>
      <c r="K268" s="20" t="str">
        <f aca="false">IF($X268="","",INDEX('Per Line'!$M$2:$M$4001,$X268))</f>
        <v/>
      </c>
      <c r="L268" s="22" t="str">
        <f aca="false">IF($X268="","",K268*V268/100)</f>
        <v/>
      </c>
      <c r="M268" s="20" t="str">
        <f aca="false">IF($X268="","",INDEX('Per Line'!$Z$2:$Z$4001,$X268))</f>
        <v/>
      </c>
      <c r="N268" s="23" t="str">
        <f aca="false">IF($X268="","",Settings!$C$7)</f>
        <v/>
      </c>
      <c r="O268" s="22" t="str">
        <f aca="false">IF($X268="","",SUMIFS('Per Line'!$Y$2:$Y$4001,'Per Line'!$D$2:$D$4001,$B268,'Per Line'!$AJ$2:$AJ$4001,0))</f>
        <v/>
      </c>
      <c r="P268" s="22" t="str">
        <f aca="false">IF($X268="","",O268*N268)</f>
        <v/>
      </c>
      <c r="Q268" s="23" t="str">
        <f aca="false">IF($X268="","",Settings!$C$6)</f>
        <v/>
      </c>
      <c r="R268" s="22" t="str">
        <f aca="false">IF($X268="","",SUMIFS('Per Line'!$Y$2:$Y$4001,'Per Line'!$D$2:$D$4001,$B268,'Per Line'!$AJ$2:$AJ$4001,1))</f>
        <v/>
      </c>
      <c r="S268" s="22" t="str">
        <f aca="false">IF($X268="","",R268*Q268)</f>
        <v/>
      </c>
      <c r="T268" s="22" t="str">
        <f aca="false">IF($X268="","",S268+P268)</f>
        <v/>
      </c>
      <c r="U268" s="22" t="str">
        <f aca="false">IF($X268="","",V268-T268)</f>
        <v/>
      </c>
      <c r="V268" s="22" t="str">
        <f aca="false">IF($X268="","",O268+R268)</f>
        <v/>
      </c>
      <c r="W268" s="22" t="str">
        <f aca="false">IF($X268="","",U268-L268)</f>
        <v/>
      </c>
      <c r="X268" s="24" t="str">
        <f aca="false">IF(ROWS($X$2:$X268)&lt;=MAX('Per Line'!$AI$2:$AI$4001),MATCH(ROWS($X$2:$X268),'Per Line'!$AI$2:$AI$4001,0),"")</f>
        <v/>
      </c>
    </row>
    <row r="269" customFormat="false" ht="15" hidden="false" customHeight="false" outlineLevel="0" collapsed="false">
      <c r="A269" s="19"/>
      <c r="B269" s="20" t="str">
        <f aca="false">IF($X269="","",INDEX('Per Line'!$D$2:$D$4001,$X269))</f>
        <v/>
      </c>
      <c r="C269" s="20" t="str">
        <f aca="false">IF($X269="","",INDEX('Per Line'!$C$2:$C$4001,$X269))</f>
        <v/>
      </c>
      <c r="D269" s="20" t="str">
        <f aca="false">IF($X269="","",INDEX('Per Line'!$A$2:$A$4001,$X269))</f>
        <v/>
      </c>
      <c r="E269" s="21" t="str">
        <f aca="false">IF($X269="","",INDEX('Per Line'!$F$2:$F$4001,$X269))</f>
        <v/>
      </c>
      <c r="F269" s="20" t="str">
        <f aca="false">IF($X269="","",INDEX('Per Line'!$G$2:$G$4001,$X269))</f>
        <v/>
      </c>
      <c r="G269" s="20" t="str">
        <f aca="false">IF($X269="","",INDEX('Per Line'!$I$2:$I$4001,$X269))</f>
        <v/>
      </c>
      <c r="H269" s="20" t="str">
        <f aca="false">IF($X269="","",INDEX('Per Line'!$J$2:$J$4001,$X269))</f>
        <v/>
      </c>
      <c r="I269" s="20" t="str">
        <f aca="false">IF($X269="","",INDEX('Per Line'!$K$2:$K$4001,$X269))</f>
        <v/>
      </c>
      <c r="J269" s="20" t="str">
        <f aca="false">IF($X269="","",INDEX('Per Line'!$L$2:$L$4001,$X269))</f>
        <v/>
      </c>
      <c r="K269" s="20" t="str">
        <f aca="false">IF($X269="","",INDEX('Per Line'!$M$2:$M$4001,$X269))</f>
        <v/>
      </c>
      <c r="L269" s="22" t="str">
        <f aca="false">IF($X269="","",K269*V269/100)</f>
        <v/>
      </c>
      <c r="M269" s="20" t="str">
        <f aca="false">IF($X269="","",INDEX('Per Line'!$Z$2:$Z$4001,$X269))</f>
        <v/>
      </c>
      <c r="N269" s="23" t="str">
        <f aca="false">IF($X269="","",Settings!$C$7)</f>
        <v/>
      </c>
      <c r="O269" s="22" t="str">
        <f aca="false">IF($X269="","",SUMIFS('Per Line'!$Y$2:$Y$4001,'Per Line'!$D$2:$D$4001,$B269,'Per Line'!$AJ$2:$AJ$4001,0))</f>
        <v/>
      </c>
      <c r="P269" s="22" t="str">
        <f aca="false">IF($X269="","",O269*N269)</f>
        <v/>
      </c>
      <c r="Q269" s="23" t="str">
        <f aca="false">IF($X269="","",Settings!$C$6)</f>
        <v/>
      </c>
      <c r="R269" s="22" t="str">
        <f aca="false">IF($X269="","",SUMIFS('Per Line'!$Y$2:$Y$4001,'Per Line'!$D$2:$D$4001,$B269,'Per Line'!$AJ$2:$AJ$4001,1))</f>
        <v/>
      </c>
      <c r="S269" s="22" t="str">
        <f aca="false">IF($X269="","",R269*Q269)</f>
        <v/>
      </c>
      <c r="T269" s="22" t="str">
        <f aca="false">IF($X269="","",S269+P269)</f>
        <v/>
      </c>
      <c r="U269" s="22" t="str">
        <f aca="false">IF($X269="","",V269-T269)</f>
        <v/>
      </c>
      <c r="V269" s="22" t="str">
        <f aca="false">IF($X269="","",O269+R269)</f>
        <v/>
      </c>
      <c r="W269" s="22" t="str">
        <f aca="false">IF($X269="","",U269-L269)</f>
        <v/>
      </c>
      <c r="X269" s="24" t="str">
        <f aca="false">IF(ROWS($X$2:$X269)&lt;=MAX('Per Line'!$AI$2:$AI$4001),MATCH(ROWS($X$2:$X269),'Per Line'!$AI$2:$AI$4001,0),"")</f>
        <v/>
      </c>
    </row>
    <row r="270" customFormat="false" ht="15" hidden="false" customHeight="false" outlineLevel="0" collapsed="false">
      <c r="A270" s="19"/>
      <c r="B270" s="20" t="str">
        <f aca="false">IF($X270="","",INDEX('Per Line'!$D$2:$D$4001,$X270))</f>
        <v/>
      </c>
      <c r="C270" s="20" t="str">
        <f aca="false">IF($X270="","",INDEX('Per Line'!$C$2:$C$4001,$X270))</f>
        <v/>
      </c>
      <c r="D270" s="20" t="str">
        <f aca="false">IF($X270="","",INDEX('Per Line'!$A$2:$A$4001,$X270))</f>
        <v/>
      </c>
      <c r="E270" s="21" t="str">
        <f aca="false">IF($X270="","",INDEX('Per Line'!$F$2:$F$4001,$X270))</f>
        <v/>
      </c>
      <c r="F270" s="20" t="str">
        <f aca="false">IF($X270="","",INDEX('Per Line'!$G$2:$G$4001,$X270))</f>
        <v/>
      </c>
      <c r="G270" s="20" t="str">
        <f aca="false">IF($X270="","",INDEX('Per Line'!$I$2:$I$4001,$X270))</f>
        <v/>
      </c>
      <c r="H270" s="20" t="str">
        <f aca="false">IF($X270="","",INDEX('Per Line'!$J$2:$J$4001,$X270))</f>
        <v/>
      </c>
      <c r="I270" s="20" t="str">
        <f aca="false">IF($X270="","",INDEX('Per Line'!$K$2:$K$4001,$X270))</f>
        <v/>
      </c>
      <c r="J270" s="20" t="str">
        <f aca="false">IF($X270="","",INDEX('Per Line'!$L$2:$L$4001,$X270))</f>
        <v/>
      </c>
      <c r="K270" s="20" t="str">
        <f aca="false">IF($X270="","",INDEX('Per Line'!$M$2:$M$4001,$X270))</f>
        <v/>
      </c>
      <c r="L270" s="22" t="str">
        <f aca="false">IF($X270="","",K270*V270/100)</f>
        <v/>
      </c>
      <c r="M270" s="20" t="str">
        <f aca="false">IF($X270="","",INDEX('Per Line'!$Z$2:$Z$4001,$X270))</f>
        <v/>
      </c>
      <c r="N270" s="23" t="str">
        <f aca="false">IF($X270="","",Settings!$C$7)</f>
        <v/>
      </c>
      <c r="O270" s="22" t="str">
        <f aca="false">IF($X270="","",SUMIFS('Per Line'!$Y$2:$Y$4001,'Per Line'!$D$2:$D$4001,$B270,'Per Line'!$AJ$2:$AJ$4001,0))</f>
        <v/>
      </c>
      <c r="P270" s="22" t="str">
        <f aca="false">IF($X270="","",O270*N270)</f>
        <v/>
      </c>
      <c r="Q270" s="23" t="str">
        <f aca="false">IF($X270="","",Settings!$C$6)</f>
        <v/>
      </c>
      <c r="R270" s="22" t="str">
        <f aca="false">IF($X270="","",SUMIFS('Per Line'!$Y$2:$Y$4001,'Per Line'!$D$2:$D$4001,$B270,'Per Line'!$AJ$2:$AJ$4001,1))</f>
        <v/>
      </c>
      <c r="S270" s="22" t="str">
        <f aca="false">IF($X270="","",R270*Q270)</f>
        <v/>
      </c>
      <c r="T270" s="22" t="str">
        <f aca="false">IF($X270="","",S270+P270)</f>
        <v/>
      </c>
      <c r="U270" s="22" t="str">
        <f aca="false">IF($X270="","",V270-T270)</f>
        <v/>
      </c>
      <c r="V270" s="22" t="str">
        <f aca="false">IF($X270="","",O270+R270)</f>
        <v/>
      </c>
      <c r="W270" s="22" t="str">
        <f aca="false">IF($X270="","",U270-L270)</f>
        <v/>
      </c>
      <c r="X270" s="24" t="str">
        <f aca="false">IF(ROWS($X$2:$X270)&lt;=MAX('Per Line'!$AI$2:$AI$4001),MATCH(ROWS($X$2:$X270),'Per Line'!$AI$2:$AI$4001,0),"")</f>
        <v/>
      </c>
    </row>
    <row r="271" customFormat="false" ht="15" hidden="false" customHeight="false" outlineLevel="0" collapsed="false">
      <c r="A271" s="19"/>
      <c r="B271" s="20" t="str">
        <f aca="false">IF($X271="","",INDEX('Per Line'!$D$2:$D$4001,$X271))</f>
        <v/>
      </c>
      <c r="C271" s="20" t="str">
        <f aca="false">IF($X271="","",INDEX('Per Line'!$C$2:$C$4001,$X271))</f>
        <v/>
      </c>
      <c r="D271" s="20" t="str">
        <f aca="false">IF($X271="","",INDEX('Per Line'!$A$2:$A$4001,$X271))</f>
        <v/>
      </c>
      <c r="E271" s="21" t="str">
        <f aca="false">IF($X271="","",INDEX('Per Line'!$F$2:$F$4001,$X271))</f>
        <v/>
      </c>
      <c r="F271" s="20" t="str">
        <f aca="false">IF($X271="","",INDEX('Per Line'!$G$2:$G$4001,$X271))</f>
        <v/>
      </c>
      <c r="G271" s="20" t="str">
        <f aca="false">IF($X271="","",INDEX('Per Line'!$I$2:$I$4001,$X271))</f>
        <v/>
      </c>
      <c r="H271" s="20" t="str">
        <f aca="false">IF($X271="","",INDEX('Per Line'!$J$2:$J$4001,$X271))</f>
        <v/>
      </c>
      <c r="I271" s="20" t="str">
        <f aca="false">IF($X271="","",INDEX('Per Line'!$K$2:$K$4001,$X271))</f>
        <v/>
      </c>
      <c r="J271" s="20" t="str">
        <f aca="false">IF($X271="","",INDEX('Per Line'!$L$2:$L$4001,$X271))</f>
        <v/>
      </c>
      <c r="K271" s="20" t="str">
        <f aca="false">IF($X271="","",INDEX('Per Line'!$M$2:$M$4001,$X271))</f>
        <v/>
      </c>
      <c r="L271" s="22" t="str">
        <f aca="false">IF($X271="","",K271*V271/100)</f>
        <v/>
      </c>
      <c r="M271" s="20" t="str">
        <f aca="false">IF($X271="","",INDEX('Per Line'!$Z$2:$Z$4001,$X271))</f>
        <v/>
      </c>
      <c r="N271" s="23" t="str">
        <f aca="false">IF($X271="","",Settings!$C$7)</f>
        <v/>
      </c>
      <c r="O271" s="22" t="str">
        <f aca="false">IF($X271="","",SUMIFS('Per Line'!$Y$2:$Y$4001,'Per Line'!$D$2:$D$4001,$B271,'Per Line'!$AJ$2:$AJ$4001,0))</f>
        <v/>
      </c>
      <c r="P271" s="22" t="str">
        <f aca="false">IF($X271="","",O271*N271)</f>
        <v/>
      </c>
      <c r="Q271" s="23" t="str">
        <f aca="false">IF($X271="","",Settings!$C$6)</f>
        <v/>
      </c>
      <c r="R271" s="22" t="str">
        <f aca="false">IF($X271="","",SUMIFS('Per Line'!$Y$2:$Y$4001,'Per Line'!$D$2:$D$4001,$B271,'Per Line'!$AJ$2:$AJ$4001,1))</f>
        <v/>
      </c>
      <c r="S271" s="22" t="str">
        <f aca="false">IF($X271="","",R271*Q271)</f>
        <v/>
      </c>
      <c r="T271" s="22" t="str">
        <f aca="false">IF($X271="","",S271+P271)</f>
        <v/>
      </c>
      <c r="U271" s="22" t="str">
        <f aca="false">IF($X271="","",V271-T271)</f>
        <v/>
      </c>
      <c r="V271" s="22" t="str">
        <f aca="false">IF($X271="","",O271+R271)</f>
        <v/>
      </c>
      <c r="W271" s="22" t="str">
        <f aca="false">IF($X271="","",U271-L271)</f>
        <v/>
      </c>
      <c r="X271" s="24" t="str">
        <f aca="false">IF(ROWS($X$2:$X271)&lt;=MAX('Per Line'!$AI$2:$AI$4001),MATCH(ROWS($X$2:$X271),'Per Line'!$AI$2:$AI$4001,0),"")</f>
        <v/>
      </c>
    </row>
    <row r="272" customFormat="false" ht="15" hidden="false" customHeight="false" outlineLevel="0" collapsed="false">
      <c r="A272" s="19"/>
      <c r="B272" s="20" t="str">
        <f aca="false">IF($X272="","",INDEX('Per Line'!$D$2:$D$4001,$X272))</f>
        <v/>
      </c>
      <c r="C272" s="20" t="str">
        <f aca="false">IF($X272="","",INDEX('Per Line'!$C$2:$C$4001,$X272))</f>
        <v/>
      </c>
      <c r="D272" s="20" t="str">
        <f aca="false">IF($X272="","",INDEX('Per Line'!$A$2:$A$4001,$X272))</f>
        <v/>
      </c>
      <c r="E272" s="21" t="str">
        <f aca="false">IF($X272="","",INDEX('Per Line'!$F$2:$F$4001,$X272))</f>
        <v/>
      </c>
      <c r="F272" s="20" t="str">
        <f aca="false">IF($X272="","",INDEX('Per Line'!$G$2:$G$4001,$X272))</f>
        <v/>
      </c>
      <c r="G272" s="20" t="str">
        <f aca="false">IF($X272="","",INDEX('Per Line'!$I$2:$I$4001,$X272))</f>
        <v/>
      </c>
      <c r="H272" s="20" t="str">
        <f aca="false">IF($X272="","",INDEX('Per Line'!$J$2:$J$4001,$X272))</f>
        <v/>
      </c>
      <c r="I272" s="20" t="str">
        <f aca="false">IF($X272="","",INDEX('Per Line'!$K$2:$K$4001,$X272))</f>
        <v/>
      </c>
      <c r="J272" s="20" t="str">
        <f aca="false">IF($X272="","",INDEX('Per Line'!$L$2:$L$4001,$X272))</f>
        <v/>
      </c>
      <c r="K272" s="20" t="str">
        <f aca="false">IF($X272="","",INDEX('Per Line'!$M$2:$M$4001,$X272))</f>
        <v/>
      </c>
      <c r="L272" s="22" t="str">
        <f aca="false">IF($X272="","",K272*V272/100)</f>
        <v/>
      </c>
      <c r="M272" s="20" t="str">
        <f aca="false">IF($X272="","",INDEX('Per Line'!$Z$2:$Z$4001,$X272))</f>
        <v/>
      </c>
      <c r="N272" s="23" t="str">
        <f aca="false">IF($X272="","",Settings!$C$7)</f>
        <v/>
      </c>
      <c r="O272" s="22" t="str">
        <f aca="false">IF($X272="","",SUMIFS('Per Line'!$Y$2:$Y$4001,'Per Line'!$D$2:$D$4001,$B272,'Per Line'!$AJ$2:$AJ$4001,0))</f>
        <v/>
      </c>
      <c r="P272" s="22" t="str">
        <f aca="false">IF($X272="","",O272*N272)</f>
        <v/>
      </c>
      <c r="Q272" s="23" t="str">
        <f aca="false">IF($X272="","",Settings!$C$6)</f>
        <v/>
      </c>
      <c r="R272" s="22" t="str">
        <f aca="false">IF($X272="","",SUMIFS('Per Line'!$Y$2:$Y$4001,'Per Line'!$D$2:$D$4001,$B272,'Per Line'!$AJ$2:$AJ$4001,1))</f>
        <v/>
      </c>
      <c r="S272" s="22" t="str">
        <f aca="false">IF($X272="","",R272*Q272)</f>
        <v/>
      </c>
      <c r="T272" s="22" t="str">
        <f aca="false">IF($X272="","",S272+P272)</f>
        <v/>
      </c>
      <c r="U272" s="22" t="str">
        <f aca="false">IF($X272="","",V272-T272)</f>
        <v/>
      </c>
      <c r="V272" s="22" t="str">
        <f aca="false">IF($X272="","",O272+R272)</f>
        <v/>
      </c>
      <c r="W272" s="22" t="str">
        <f aca="false">IF($X272="","",U272-L272)</f>
        <v/>
      </c>
      <c r="X272" s="24" t="str">
        <f aca="false">IF(ROWS($X$2:$X272)&lt;=MAX('Per Line'!$AI$2:$AI$4001),MATCH(ROWS($X$2:$X272),'Per Line'!$AI$2:$AI$4001,0),"")</f>
        <v/>
      </c>
    </row>
    <row r="273" customFormat="false" ht="15" hidden="false" customHeight="false" outlineLevel="0" collapsed="false">
      <c r="A273" s="19"/>
      <c r="B273" s="20" t="str">
        <f aca="false">IF($X273="","",INDEX('Per Line'!$D$2:$D$4001,$X273))</f>
        <v/>
      </c>
      <c r="C273" s="20" t="str">
        <f aca="false">IF($X273="","",INDEX('Per Line'!$C$2:$C$4001,$X273))</f>
        <v/>
      </c>
      <c r="D273" s="20" t="str">
        <f aca="false">IF($X273="","",INDEX('Per Line'!$A$2:$A$4001,$X273))</f>
        <v/>
      </c>
      <c r="E273" s="21" t="str">
        <f aca="false">IF($X273="","",INDEX('Per Line'!$F$2:$F$4001,$X273))</f>
        <v/>
      </c>
      <c r="F273" s="20" t="str">
        <f aca="false">IF($X273="","",INDEX('Per Line'!$G$2:$G$4001,$X273))</f>
        <v/>
      </c>
      <c r="G273" s="20" t="str">
        <f aca="false">IF($X273="","",INDEX('Per Line'!$I$2:$I$4001,$X273))</f>
        <v/>
      </c>
      <c r="H273" s="20" t="str">
        <f aca="false">IF($X273="","",INDEX('Per Line'!$J$2:$J$4001,$X273))</f>
        <v/>
      </c>
      <c r="I273" s="20" t="str">
        <f aca="false">IF($X273="","",INDEX('Per Line'!$K$2:$K$4001,$X273))</f>
        <v/>
      </c>
      <c r="J273" s="20" t="str">
        <f aca="false">IF($X273="","",INDEX('Per Line'!$L$2:$L$4001,$X273))</f>
        <v/>
      </c>
      <c r="K273" s="20" t="str">
        <f aca="false">IF($X273="","",INDEX('Per Line'!$M$2:$M$4001,$X273))</f>
        <v/>
      </c>
      <c r="L273" s="22" t="str">
        <f aca="false">IF($X273="","",K273*V273/100)</f>
        <v/>
      </c>
      <c r="M273" s="20" t="str">
        <f aca="false">IF($X273="","",INDEX('Per Line'!$Z$2:$Z$4001,$X273))</f>
        <v/>
      </c>
      <c r="N273" s="23" t="str">
        <f aca="false">IF($X273="","",Settings!$C$7)</f>
        <v/>
      </c>
      <c r="O273" s="22" t="str">
        <f aca="false">IF($X273="","",SUMIFS('Per Line'!$Y$2:$Y$4001,'Per Line'!$D$2:$D$4001,$B273,'Per Line'!$AJ$2:$AJ$4001,0))</f>
        <v/>
      </c>
      <c r="P273" s="22" t="str">
        <f aca="false">IF($X273="","",O273*N273)</f>
        <v/>
      </c>
      <c r="Q273" s="23" t="str">
        <f aca="false">IF($X273="","",Settings!$C$6)</f>
        <v/>
      </c>
      <c r="R273" s="22" t="str">
        <f aca="false">IF($X273="","",SUMIFS('Per Line'!$Y$2:$Y$4001,'Per Line'!$D$2:$D$4001,$B273,'Per Line'!$AJ$2:$AJ$4001,1))</f>
        <v/>
      </c>
      <c r="S273" s="22" t="str">
        <f aca="false">IF($X273="","",R273*Q273)</f>
        <v/>
      </c>
      <c r="T273" s="22" t="str">
        <f aca="false">IF($X273="","",S273+P273)</f>
        <v/>
      </c>
      <c r="U273" s="22" t="str">
        <f aca="false">IF($X273="","",V273-T273)</f>
        <v/>
      </c>
      <c r="V273" s="22" t="str">
        <f aca="false">IF($X273="","",O273+R273)</f>
        <v/>
      </c>
      <c r="W273" s="22" t="str">
        <f aca="false">IF($X273="","",U273-L273)</f>
        <v/>
      </c>
      <c r="X273" s="24" t="str">
        <f aca="false">IF(ROWS($X$2:$X273)&lt;=MAX('Per Line'!$AI$2:$AI$4001),MATCH(ROWS($X$2:$X273),'Per Line'!$AI$2:$AI$4001,0),"")</f>
        <v/>
      </c>
    </row>
    <row r="274" customFormat="false" ht="15" hidden="false" customHeight="false" outlineLevel="0" collapsed="false">
      <c r="A274" s="19"/>
      <c r="B274" s="20" t="str">
        <f aca="false">IF($X274="","",INDEX('Per Line'!$D$2:$D$4001,$X274))</f>
        <v/>
      </c>
      <c r="C274" s="20" t="str">
        <f aca="false">IF($X274="","",INDEX('Per Line'!$C$2:$C$4001,$X274))</f>
        <v/>
      </c>
      <c r="D274" s="20" t="str">
        <f aca="false">IF($X274="","",INDEX('Per Line'!$A$2:$A$4001,$X274))</f>
        <v/>
      </c>
      <c r="E274" s="21" t="str">
        <f aca="false">IF($X274="","",INDEX('Per Line'!$F$2:$F$4001,$X274))</f>
        <v/>
      </c>
      <c r="F274" s="20" t="str">
        <f aca="false">IF($X274="","",INDEX('Per Line'!$G$2:$G$4001,$X274))</f>
        <v/>
      </c>
      <c r="G274" s="20" t="str">
        <f aca="false">IF($X274="","",INDEX('Per Line'!$I$2:$I$4001,$X274))</f>
        <v/>
      </c>
      <c r="H274" s="20" t="str">
        <f aca="false">IF($X274="","",INDEX('Per Line'!$J$2:$J$4001,$X274))</f>
        <v/>
      </c>
      <c r="I274" s="20" t="str">
        <f aca="false">IF($X274="","",INDEX('Per Line'!$K$2:$K$4001,$X274))</f>
        <v/>
      </c>
      <c r="J274" s="20" t="str">
        <f aca="false">IF($X274="","",INDEX('Per Line'!$L$2:$L$4001,$X274))</f>
        <v/>
      </c>
      <c r="K274" s="20" t="str">
        <f aca="false">IF($X274="","",INDEX('Per Line'!$M$2:$M$4001,$X274))</f>
        <v/>
      </c>
      <c r="L274" s="22" t="str">
        <f aca="false">IF($X274="","",K274*V274/100)</f>
        <v/>
      </c>
      <c r="M274" s="20" t="str">
        <f aca="false">IF($X274="","",INDEX('Per Line'!$Z$2:$Z$4001,$X274))</f>
        <v/>
      </c>
      <c r="N274" s="23" t="str">
        <f aca="false">IF($X274="","",Settings!$C$7)</f>
        <v/>
      </c>
      <c r="O274" s="22" t="str">
        <f aca="false">IF($X274="","",SUMIFS('Per Line'!$Y$2:$Y$4001,'Per Line'!$D$2:$D$4001,$B274,'Per Line'!$AJ$2:$AJ$4001,0))</f>
        <v/>
      </c>
      <c r="P274" s="22" t="str">
        <f aca="false">IF($X274="","",O274*N274)</f>
        <v/>
      </c>
      <c r="Q274" s="23" t="str">
        <f aca="false">IF($X274="","",Settings!$C$6)</f>
        <v/>
      </c>
      <c r="R274" s="22" t="str">
        <f aca="false">IF($X274="","",SUMIFS('Per Line'!$Y$2:$Y$4001,'Per Line'!$D$2:$D$4001,$B274,'Per Line'!$AJ$2:$AJ$4001,1))</f>
        <v/>
      </c>
      <c r="S274" s="22" t="str">
        <f aca="false">IF($X274="","",R274*Q274)</f>
        <v/>
      </c>
      <c r="T274" s="22" t="str">
        <f aca="false">IF($X274="","",S274+P274)</f>
        <v/>
      </c>
      <c r="U274" s="22" t="str">
        <f aca="false">IF($X274="","",V274-T274)</f>
        <v/>
      </c>
      <c r="V274" s="22" t="str">
        <f aca="false">IF($X274="","",O274+R274)</f>
        <v/>
      </c>
      <c r="W274" s="22" t="str">
        <f aca="false">IF($X274="","",U274-L274)</f>
        <v/>
      </c>
      <c r="X274" s="24" t="str">
        <f aca="false">IF(ROWS($X$2:$X274)&lt;=MAX('Per Line'!$AI$2:$AI$4001),MATCH(ROWS($X$2:$X274),'Per Line'!$AI$2:$AI$4001,0),"")</f>
        <v/>
      </c>
    </row>
    <row r="275" customFormat="false" ht="15" hidden="false" customHeight="false" outlineLevel="0" collapsed="false">
      <c r="A275" s="19"/>
      <c r="B275" s="20" t="str">
        <f aca="false">IF($X275="","",INDEX('Per Line'!$D$2:$D$4001,$X275))</f>
        <v/>
      </c>
      <c r="C275" s="20" t="str">
        <f aca="false">IF($X275="","",INDEX('Per Line'!$C$2:$C$4001,$X275))</f>
        <v/>
      </c>
      <c r="D275" s="20" t="str">
        <f aca="false">IF($X275="","",INDEX('Per Line'!$A$2:$A$4001,$X275))</f>
        <v/>
      </c>
      <c r="E275" s="21" t="str">
        <f aca="false">IF($X275="","",INDEX('Per Line'!$F$2:$F$4001,$X275))</f>
        <v/>
      </c>
      <c r="F275" s="20" t="str">
        <f aca="false">IF($X275="","",INDEX('Per Line'!$G$2:$G$4001,$X275))</f>
        <v/>
      </c>
      <c r="G275" s="20" t="str">
        <f aca="false">IF($X275="","",INDEX('Per Line'!$I$2:$I$4001,$X275))</f>
        <v/>
      </c>
      <c r="H275" s="20" t="str">
        <f aca="false">IF($X275="","",INDEX('Per Line'!$J$2:$J$4001,$X275))</f>
        <v/>
      </c>
      <c r="I275" s="20" t="str">
        <f aca="false">IF($X275="","",INDEX('Per Line'!$K$2:$K$4001,$X275))</f>
        <v/>
      </c>
      <c r="J275" s="20" t="str">
        <f aca="false">IF($X275="","",INDEX('Per Line'!$L$2:$L$4001,$X275))</f>
        <v/>
      </c>
      <c r="K275" s="20" t="str">
        <f aca="false">IF($X275="","",INDEX('Per Line'!$M$2:$M$4001,$X275))</f>
        <v/>
      </c>
      <c r="L275" s="22" t="str">
        <f aca="false">IF($X275="","",K275*V275/100)</f>
        <v/>
      </c>
      <c r="M275" s="20" t="str">
        <f aca="false">IF($X275="","",INDEX('Per Line'!$Z$2:$Z$4001,$X275))</f>
        <v/>
      </c>
      <c r="N275" s="23" t="str">
        <f aca="false">IF($X275="","",Settings!$C$7)</f>
        <v/>
      </c>
      <c r="O275" s="22" t="str">
        <f aca="false">IF($X275="","",SUMIFS('Per Line'!$Y$2:$Y$4001,'Per Line'!$D$2:$D$4001,$B275,'Per Line'!$AJ$2:$AJ$4001,0))</f>
        <v/>
      </c>
      <c r="P275" s="22" t="str">
        <f aca="false">IF($X275="","",O275*N275)</f>
        <v/>
      </c>
      <c r="Q275" s="23" t="str">
        <f aca="false">IF($X275="","",Settings!$C$6)</f>
        <v/>
      </c>
      <c r="R275" s="22" t="str">
        <f aca="false">IF($X275="","",SUMIFS('Per Line'!$Y$2:$Y$4001,'Per Line'!$D$2:$D$4001,$B275,'Per Line'!$AJ$2:$AJ$4001,1))</f>
        <v/>
      </c>
      <c r="S275" s="22" t="str">
        <f aca="false">IF($X275="","",R275*Q275)</f>
        <v/>
      </c>
      <c r="T275" s="22" t="str">
        <f aca="false">IF($X275="","",S275+P275)</f>
        <v/>
      </c>
      <c r="U275" s="22" t="str">
        <f aca="false">IF($X275="","",V275-T275)</f>
        <v/>
      </c>
      <c r="V275" s="22" t="str">
        <f aca="false">IF($X275="","",O275+R275)</f>
        <v/>
      </c>
      <c r="W275" s="22" t="str">
        <f aca="false">IF($X275="","",U275-L275)</f>
        <v/>
      </c>
      <c r="X275" s="24" t="str">
        <f aca="false">IF(ROWS($X$2:$X275)&lt;=MAX('Per Line'!$AI$2:$AI$4001),MATCH(ROWS($X$2:$X275),'Per Line'!$AI$2:$AI$4001,0),"")</f>
        <v/>
      </c>
    </row>
    <row r="276" customFormat="false" ht="15" hidden="false" customHeight="false" outlineLevel="0" collapsed="false">
      <c r="A276" s="19"/>
      <c r="B276" s="20" t="str">
        <f aca="false">IF($X276="","",INDEX('Per Line'!$D$2:$D$4001,$X276))</f>
        <v/>
      </c>
      <c r="C276" s="20" t="str">
        <f aca="false">IF($X276="","",INDEX('Per Line'!$C$2:$C$4001,$X276))</f>
        <v/>
      </c>
      <c r="D276" s="20" t="str">
        <f aca="false">IF($X276="","",INDEX('Per Line'!$A$2:$A$4001,$X276))</f>
        <v/>
      </c>
      <c r="E276" s="21" t="str">
        <f aca="false">IF($X276="","",INDEX('Per Line'!$F$2:$F$4001,$X276))</f>
        <v/>
      </c>
      <c r="F276" s="20" t="str">
        <f aca="false">IF($X276="","",INDEX('Per Line'!$G$2:$G$4001,$X276))</f>
        <v/>
      </c>
      <c r="G276" s="20" t="str">
        <f aca="false">IF($X276="","",INDEX('Per Line'!$I$2:$I$4001,$X276))</f>
        <v/>
      </c>
      <c r="H276" s="20" t="str">
        <f aca="false">IF($X276="","",INDEX('Per Line'!$J$2:$J$4001,$X276))</f>
        <v/>
      </c>
      <c r="I276" s="20" t="str">
        <f aca="false">IF($X276="","",INDEX('Per Line'!$K$2:$K$4001,$X276))</f>
        <v/>
      </c>
      <c r="J276" s="20" t="str">
        <f aca="false">IF($X276="","",INDEX('Per Line'!$L$2:$L$4001,$X276))</f>
        <v/>
      </c>
      <c r="K276" s="20" t="str">
        <f aca="false">IF($X276="","",INDEX('Per Line'!$M$2:$M$4001,$X276))</f>
        <v/>
      </c>
      <c r="L276" s="22" t="str">
        <f aca="false">IF($X276="","",K276*V276/100)</f>
        <v/>
      </c>
      <c r="M276" s="20" t="str">
        <f aca="false">IF($X276="","",INDEX('Per Line'!$Z$2:$Z$4001,$X276))</f>
        <v/>
      </c>
      <c r="N276" s="23" t="str">
        <f aca="false">IF($X276="","",Settings!$C$7)</f>
        <v/>
      </c>
      <c r="O276" s="22" t="str">
        <f aca="false">IF($X276="","",SUMIFS('Per Line'!$Y$2:$Y$4001,'Per Line'!$D$2:$D$4001,$B276,'Per Line'!$AJ$2:$AJ$4001,0))</f>
        <v/>
      </c>
      <c r="P276" s="22" t="str">
        <f aca="false">IF($X276="","",O276*N276)</f>
        <v/>
      </c>
      <c r="Q276" s="23" t="str">
        <f aca="false">IF($X276="","",Settings!$C$6)</f>
        <v/>
      </c>
      <c r="R276" s="22" t="str">
        <f aca="false">IF($X276="","",SUMIFS('Per Line'!$Y$2:$Y$4001,'Per Line'!$D$2:$D$4001,$B276,'Per Line'!$AJ$2:$AJ$4001,1))</f>
        <v/>
      </c>
      <c r="S276" s="22" t="str">
        <f aca="false">IF($X276="","",R276*Q276)</f>
        <v/>
      </c>
      <c r="T276" s="22" t="str">
        <f aca="false">IF($X276="","",S276+P276)</f>
        <v/>
      </c>
      <c r="U276" s="22" t="str">
        <f aca="false">IF($X276="","",V276-T276)</f>
        <v/>
      </c>
      <c r="V276" s="22" t="str">
        <f aca="false">IF($X276="","",O276+R276)</f>
        <v/>
      </c>
      <c r="W276" s="22" t="str">
        <f aca="false">IF($X276="","",U276-L276)</f>
        <v/>
      </c>
      <c r="X276" s="24" t="str">
        <f aca="false">IF(ROWS($X$2:$X276)&lt;=MAX('Per Line'!$AI$2:$AI$4001),MATCH(ROWS($X$2:$X276),'Per Line'!$AI$2:$AI$4001,0),"")</f>
        <v/>
      </c>
    </row>
    <row r="277" customFormat="false" ht="15" hidden="false" customHeight="false" outlineLevel="0" collapsed="false">
      <c r="A277" s="19"/>
      <c r="B277" s="20" t="str">
        <f aca="false">IF($X277="","",INDEX('Per Line'!$D$2:$D$4001,$X277))</f>
        <v/>
      </c>
      <c r="C277" s="20" t="str">
        <f aca="false">IF($X277="","",INDEX('Per Line'!$C$2:$C$4001,$X277))</f>
        <v/>
      </c>
      <c r="D277" s="20" t="str">
        <f aca="false">IF($X277="","",INDEX('Per Line'!$A$2:$A$4001,$X277))</f>
        <v/>
      </c>
      <c r="E277" s="21" t="str">
        <f aca="false">IF($X277="","",INDEX('Per Line'!$F$2:$F$4001,$X277))</f>
        <v/>
      </c>
      <c r="F277" s="20" t="str">
        <f aca="false">IF($X277="","",INDEX('Per Line'!$G$2:$G$4001,$X277))</f>
        <v/>
      </c>
      <c r="G277" s="20" t="str">
        <f aca="false">IF($X277="","",INDEX('Per Line'!$I$2:$I$4001,$X277))</f>
        <v/>
      </c>
      <c r="H277" s="20" t="str">
        <f aca="false">IF($X277="","",INDEX('Per Line'!$J$2:$J$4001,$X277))</f>
        <v/>
      </c>
      <c r="I277" s="20" t="str">
        <f aca="false">IF($X277="","",INDEX('Per Line'!$K$2:$K$4001,$X277))</f>
        <v/>
      </c>
      <c r="J277" s="20" t="str">
        <f aca="false">IF($X277="","",INDEX('Per Line'!$L$2:$L$4001,$X277))</f>
        <v/>
      </c>
      <c r="K277" s="20" t="str">
        <f aca="false">IF($X277="","",INDEX('Per Line'!$M$2:$M$4001,$X277))</f>
        <v/>
      </c>
      <c r="L277" s="22" t="str">
        <f aca="false">IF($X277="","",K277*V277/100)</f>
        <v/>
      </c>
      <c r="M277" s="20" t="str">
        <f aca="false">IF($X277="","",INDEX('Per Line'!$Z$2:$Z$4001,$X277))</f>
        <v/>
      </c>
      <c r="N277" s="23" t="str">
        <f aca="false">IF($X277="","",Settings!$C$7)</f>
        <v/>
      </c>
      <c r="O277" s="22" t="str">
        <f aca="false">IF($X277="","",SUMIFS('Per Line'!$Y$2:$Y$4001,'Per Line'!$D$2:$D$4001,$B277,'Per Line'!$AJ$2:$AJ$4001,0))</f>
        <v/>
      </c>
      <c r="P277" s="22" t="str">
        <f aca="false">IF($X277="","",O277*N277)</f>
        <v/>
      </c>
      <c r="Q277" s="23" t="str">
        <f aca="false">IF($X277="","",Settings!$C$6)</f>
        <v/>
      </c>
      <c r="R277" s="22" t="str">
        <f aca="false">IF($X277="","",SUMIFS('Per Line'!$Y$2:$Y$4001,'Per Line'!$D$2:$D$4001,$B277,'Per Line'!$AJ$2:$AJ$4001,1))</f>
        <v/>
      </c>
      <c r="S277" s="22" t="str">
        <f aca="false">IF($X277="","",R277*Q277)</f>
        <v/>
      </c>
      <c r="T277" s="22" t="str">
        <f aca="false">IF($X277="","",S277+P277)</f>
        <v/>
      </c>
      <c r="U277" s="22" t="str">
        <f aca="false">IF($X277="","",V277-T277)</f>
        <v/>
      </c>
      <c r="V277" s="22" t="str">
        <f aca="false">IF($X277="","",O277+R277)</f>
        <v/>
      </c>
      <c r="W277" s="22" t="str">
        <f aca="false">IF($X277="","",U277-L277)</f>
        <v/>
      </c>
      <c r="X277" s="24" t="str">
        <f aca="false">IF(ROWS($X$2:$X277)&lt;=MAX('Per Line'!$AI$2:$AI$4001),MATCH(ROWS($X$2:$X277),'Per Line'!$AI$2:$AI$4001,0),"")</f>
        <v/>
      </c>
    </row>
    <row r="278" customFormat="false" ht="15" hidden="false" customHeight="false" outlineLevel="0" collapsed="false">
      <c r="A278" s="19"/>
      <c r="B278" s="20" t="str">
        <f aca="false">IF($X278="","",INDEX('Per Line'!$D$2:$D$4001,$X278))</f>
        <v/>
      </c>
      <c r="C278" s="20" t="str">
        <f aca="false">IF($X278="","",INDEX('Per Line'!$C$2:$C$4001,$X278))</f>
        <v/>
      </c>
      <c r="D278" s="20" t="str">
        <f aca="false">IF($X278="","",INDEX('Per Line'!$A$2:$A$4001,$X278))</f>
        <v/>
      </c>
      <c r="E278" s="21" t="str">
        <f aca="false">IF($X278="","",INDEX('Per Line'!$F$2:$F$4001,$X278))</f>
        <v/>
      </c>
      <c r="F278" s="20" t="str">
        <f aca="false">IF($X278="","",INDEX('Per Line'!$G$2:$G$4001,$X278))</f>
        <v/>
      </c>
      <c r="G278" s="20" t="str">
        <f aca="false">IF($X278="","",INDEX('Per Line'!$I$2:$I$4001,$X278))</f>
        <v/>
      </c>
      <c r="H278" s="20" t="str">
        <f aca="false">IF($X278="","",INDEX('Per Line'!$J$2:$J$4001,$X278))</f>
        <v/>
      </c>
      <c r="I278" s="20" t="str">
        <f aca="false">IF($X278="","",INDEX('Per Line'!$K$2:$K$4001,$X278))</f>
        <v/>
      </c>
      <c r="J278" s="20" t="str">
        <f aca="false">IF($X278="","",INDEX('Per Line'!$L$2:$L$4001,$X278))</f>
        <v/>
      </c>
      <c r="K278" s="20" t="str">
        <f aca="false">IF($X278="","",INDEX('Per Line'!$M$2:$M$4001,$X278))</f>
        <v/>
      </c>
      <c r="L278" s="22" t="str">
        <f aca="false">IF($X278="","",K278*V278/100)</f>
        <v/>
      </c>
      <c r="M278" s="20" t="str">
        <f aca="false">IF($X278="","",INDEX('Per Line'!$Z$2:$Z$4001,$X278))</f>
        <v/>
      </c>
      <c r="N278" s="23" t="str">
        <f aca="false">IF($X278="","",Settings!$C$7)</f>
        <v/>
      </c>
      <c r="O278" s="22" t="str">
        <f aca="false">IF($X278="","",SUMIFS('Per Line'!$Y$2:$Y$4001,'Per Line'!$D$2:$D$4001,$B278,'Per Line'!$AJ$2:$AJ$4001,0))</f>
        <v/>
      </c>
      <c r="P278" s="22" t="str">
        <f aca="false">IF($X278="","",O278*N278)</f>
        <v/>
      </c>
      <c r="Q278" s="23" t="str">
        <f aca="false">IF($X278="","",Settings!$C$6)</f>
        <v/>
      </c>
      <c r="R278" s="22" t="str">
        <f aca="false">IF($X278="","",SUMIFS('Per Line'!$Y$2:$Y$4001,'Per Line'!$D$2:$D$4001,$B278,'Per Line'!$AJ$2:$AJ$4001,1))</f>
        <v/>
      </c>
      <c r="S278" s="22" t="str">
        <f aca="false">IF($X278="","",R278*Q278)</f>
        <v/>
      </c>
      <c r="T278" s="22" t="str">
        <f aca="false">IF($X278="","",S278+P278)</f>
        <v/>
      </c>
      <c r="U278" s="22" t="str">
        <f aca="false">IF($X278="","",V278-T278)</f>
        <v/>
      </c>
      <c r="V278" s="22" t="str">
        <f aca="false">IF($X278="","",O278+R278)</f>
        <v/>
      </c>
      <c r="W278" s="22" t="str">
        <f aca="false">IF($X278="","",U278-L278)</f>
        <v/>
      </c>
      <c r="X278" s="24" t="str">
        <f aca="false">IF(ROWS($X$2:$X278)&lt;=MAX('Per Line'!$AI$2:$AI$4001),MATCH(ROWS($X$2:$X278),'Per Line'!$AI$2:$AI$4001,0),"")</f>
        <v/>
      </c>
    </row>
    <row r="279" customFormat="false" ht="15" hidden="false" customHeight="false" outlineLevel="0" collapsed="false">
      <c r="A279" s="19"/>
      <c r="B279" s="20" t="str">
        <f aca="false">IF($X279="","",INDEX('Per Line'!$D$2:$D$4001,$X279))</f>
        <v/>
      </c>
      <c r="C279" s="20" t="str">
        <f aca="false">IF($X279="","",INDEX('Per Line'!$C$2:$C$4001,$X279))</f>
        <v/>
      </c>
      <c r="D279" s="20" t="str">
        <f aca="false">IF($X279="","",INDEX('Per Line'!$A$2:$A$4001,$X279))</f>
        <v/>
      </c>
      <c r="E279" s="21" t="str">
        <f aca="false">IF($X279="","",INDEX('Per Line'!$F$2:$F$4001,$X279))</f>
        <v/>
      </c>
      <c r="F279" s="20" t="str">
        <f aca="false">IF($X279="","",INDEX('Per Line'!$G$2:$G$4001,$X279))</f>
        <v/>
      </c>
      <c r="G279" s="20" t="str">
        <f aca="false">IF($X279="","",INDEX('Per Line'!$I$2:$I$4001,$X279))</f>
        <v/>
      </c>
      <c r="H279" s="20" t="str">
        <f aca="false">IF($X279="","",INDEX('Per Line'!$J$2:$J$4001,$X279))</f>
        <v/>
      </c>
      <c r="I279" s="20" t="str">
        <f aca="false">IF($X279="","",INDEX('Per Line'!$K$2:$K$4001,$X279))</f>
        <v/>
      </c>
      <c r="J279" s="20" t="str">
        <f aca="false">IF($X279="","",INDEX('Per Line'!$L$2:$L$4001,$X279))</f>
        <v/>
      </c>
      <c r="K279" s="20" t="str">
        <f aca="false">IF($X279="","",INDEX('Per Line'!$M$2:$M$4001,$X279))</f>
        <v/>
      </c>
      <c r="L279" s="22" t="str">
        <f aca="false">IF($X279="","",K279*V279/100)</f>
        <v/>
      </c>
      <c r="M279" s="20" t="str">
        <f aca="false">IF($X279="","",INDEX('Per Line'!$Z$2:$Z$4001,$X279))</f>
        <v/>
      </c>
      <c r="N279" s="23" t="str">
        <f aca="false">IF($X279="","",Settings!$C$7)</f>
        <v/>
      </c>
      <c r="O279" s="22" t="str">
        <f aca="false">IF($X279="","",SUMIFS('Per Line'!$Y$2:$Y$4001,'Per Line'!$D$2:$D$4001,$B279,'Per Line'!$AJ$2:$AJ$4001,0))</f>
        <v/>
      </c>
      <c r="P279" s="22" t="str">
        <f aca="false">IF($X279="","",O279*N279)</f>
        <v/>
      </c>
      <c r="Q279" s="23" t="str">
        <f aca="false">IF($X279="","",Settings!$C$6)</f>
        <v/>
      </c>
      <c r="R279" s="22" t="str">
        <f aca="false">IF($X279="","",SUMIFS('Per Line'!$Y$2:$Y$4001,'Per Line'!$D$2:$D$4001,$B279,'Per Line'!$AJ$2:$AJ$4001,1))</f>
        <v/>
      </c>
      <c r="S279" s="22" t="str">
        <f aca="false">IF($X279="","",R279*Q279)</f>
        <v/>
      </c>
      <c r="T279" s="22" t="str">
        <f aca="false">IF($X279="","",S279+P279)</f>
        <v/>
      </c>
      <c r="U279" s="22" t="str">
        <f aca="false">IF($X279="","",V279-T279)</f>
        <v/>
      </c>
      <c r="V279" s="22" t="str">
        <f aca="false">IF($X279="","",O279+R279)</f>
        <v/>
      </c>
      <c r="W279" s="22" t="str">
        <f aca="false">IF($X279="","",U279-L279)</f>
        <v/>
      </c>
      <c r="X279" s="24" t="str">
        <f aca="false">IF(ROWS($X$2:$X279)&lt;=MAX('Per Line'!$AI$2:$AI$4001),MATCH(ROWS($X$2:$X279),'Per Line'!$AI$2:$AI$4001,0),"")</f>
        <v/>
      </c>
    </row>
    <row r="280" customFormat="false" ht="15" hidden="false" customHeight="false" outlineLevel="0" collapsed="false">
      <c r="A280" s="19"/>
      <c r="B280" s="20" t="str">
        <f aca="false">IF($X280="","",INDEX('Per Line'!$D$2:$D$4001,$X280))</f>
        <v/>
      </c>
      <c r="C280" s="20" t="str">
        <f aca="false">IF($X280="","",INDEX('Per Line'!$C$2:$C$4001,$X280))</f>
        <v/>
      </c>
      <c r="D280" s="20" t="str">
        <f aca="false">IF($X280="","",INDEX('Per Line'!$A$2:$A$4001,$X280))</f>
        <v/>
      </c>
      <c r="E280" s="21" t="str">
        <f aca="false">IF($X280="","",INDEX('Per Line'!$F$2:$F$4001,$X280))</f>
        <v/>
      </c>
      <c r="F280" s="20" t="str">
        <f aca="false">IF($X280="","",INDEX('Per Line'!$G$2:$G$4001,$X280))</f>
        <v/>
      </c>
      <c r="G280" s="20" t="str">
        <f aca="false">IF($X280="","",INDEX('Per Line'!$I$2:$I$4001,$X280))</f>
        <v/>
      </c>
      <c r="H280" s="20" t="str">
        <f aca="false">IF($X280="","",INDEX('Per Line'!$J$2:$J$4001,$X280))</f>
        <v/>
      </c>
      <c r="I280" s="20" t="str">
        <f aca="false">IF($X280="","",INDEX('Per Line'!$K$2:$K$4001,$X280))</f>
        <v/>
      </c>
      <c r="J280" s="20" t="str">
        <f aca="false">IF($X280="","",INDEX('Per Line'!$L$2:$L$4001,$X280))</f>
        <v/>
      </c>
      <c r="K280" s="20" t="str">
        <f aca="false">IF($X280="","",INDEX('Per Line'!$M$2:$M$4001,$X280))</f>
        <v/>
      </c>
      <c r="L280" s="22" t="str">
        <f aca="false">IF($X280="","",K280*V280/100)</f>
        <v/>
      </c>
      <c r="M280" s="20" t="str">
        <f aca="false">IF($X280="","",INDEX('Per Line'!$Z$2:$Z$4001,$X280))</f>
        <v/>
      </c>
      <c r="N280" s="23" t="str">
        <f aca="false">IF($X280="","",Settings!$C$7)</f>
        <v/>
      </c>
      <c r="O280" s="22" t="str">
        <f aca="false">IF($X280="","",SUMIFS('Per Line'!$Y$2:$Y$4001,'Per Line'!$D$2:$D$4001,$B280,'Per Line'!$AJ$2:$AJ$4001,0))</f>
        <v/>
      </c>
      <c r="P280" s="22" t="str">
        <f aca="false">IF($X280="","",O280*N280)</f>
        <v/>
      </c>
      <c r="Q280" s="23" t="str">
        <f aca="false">IF($X280="","",Settings!$C$6)</f>
        <v/>
      </c>
      <c r="R280" s="22" t="str">
        <f aca="false">IF($X280="","",SUMIFS('Per Line'!$Y$2:$Y$4001,'Per Line'!$D$2:$D$4001,$B280,'Per Line'!$AJ$2:$AJ$4001,1))</f>
        <v/>
      </c>
      <c r="S280" s="22" t="str">
        <f aca="false">IF($X280="","",R280*Q280)</f>
        <v/>
      </c>
      <c r="T280" s="22" t="str">
        <f aca="false">IF($X280="","",S280+P280)</f>
        <v/>
      </c>
      <c r="U280" s="22" t="str">
        <f aca="false">IF($X280="","",V280-T280)</f>
        <v/>
      </c>
      <c r="V280" s="22" t="str">
        <f aca="false">IF($X280="","",O280+R280)</f>
        <v/>
      </c>
      <c r="W280" s="22" t="str">
        <f aca="false">IF($X280="","",U280-L280)</f>
        <v/>
      </c>
      <c r="X280" s="24" t="str">
        <f aca="false">IF(ROWS($X$2:$X280)&lt;=MAX('Per Line'!$AI$2:$AI$4001),MATCH(ROWS($X$2:$X280),'Per Line'!$AI$2:$AI$4001,0),"")</f>
        <v/>
      </c>
    </row>
    <row r="281" customFormat="false" ht="15" hidden="false" customHeight="false" outlineLevel="0" collapsed="false">
      <c r="A281" s="19"/>
      <c r="B281" s="20" t="str">
        <f aca="false">IF($X281="","",INDEX('Per Line'!$D$2:$D$4001,$X281))</f>
        <v/>
      </c>
      <c r="C281" s="20" t="str">
        <f aca="false">IF($X281="","",INDEX('Per Line'!$C$2:$C$4001,$X281))</f>
        <v/>
      </c>
      <c r="D281" s="20" t="str">
        <f aca="false">IF($X281="","",INDEX('Per Line'!$A$2:$A$4001,$X281))</f>
        <v/>
      </c>
      <c r="E281" s="21" t="str">
        <f aca="false">IF($X281="","",INDEX('Per Line'!$F$2:$F$4001,$X281))</f>
        <v/>
      </c>
      <c r="F281" s="20" t="str">
        <f aca="false">IF($X281="","",INDEX('Per Line'!$G$2:$G$4001,$X281))</f>
        <v/>
      </c>
      <c r="G281" s="20" t="str">
        <f aca="false">IF($X281="","",INDEX('Per Line'!$I$2:$I$4001,$X281))</f>
        <v/>
      </c>
      <c r="H281" s="20" t="str">
        <f aca="false">IF($X281="","",INDEX('Per Line'!$J$2:$J$4001,$X281))</f>
        <v/>
      </c>
      <c r="I281" s="20" t="str">
        <f aca="false">IF($X281="","",INDEX('Per Line'!$K$2:$K$4001,$X281))</f>
        <v/>
      </c>
      <c r="J281" s="20" t="str">
        <f aca="false">IF($X281="","",INDEX('Per Line'!$L$2:$L$4001,$X281))</f>
        <v/>
      </c>
      <c r="K281" s="20" t="str">
        <f aca="false">IF($X281="","",INDEX('Per Line'!$M$2:$M$4001,$X281))</f>
        <v/>
      </c>
      <c r="L281" s="22" t="str">
        <f aca="false">IF($X281="","",K281*V281/100)</f>
        <v/>
      </c>
      <c r="M281" s="20" t="str">
        <f aca="false">IF($X281="","",INDEX('Per Line'!$Z$2:$Z$4001,$X281))</f>
        <v/>
      </c>
      <c r="N281" s="23" t="str">
        <f aca="false">IF($X281="","",Settings!$C$7)</f>
        <v/>
      </c>
      <c r="O281" s="22" t="str">
        <f aca="false">IF($X281="","",SUMIFS('Per Line'!$Y$2:$Y$4001,'Per Line'!$D$2:$D$4001,$B281,'Per Line'!$AJ$2:$AJ$4001,0))</f>
        <v/>
      </c>
      <c r="P281" s="22" t="str">
        <f aca="false">IF($X281="","",O281*N281)</f>
        <v/>
      </c>
      <c r="Q281" s="23" t="str">
        <f aca="false">IF($X281="","",Settings!$C$6)</f>
        <v/>
      </c>
      <c r="R281" s="22" t="str">
        <f aca="false">IF($X281="","",SUMIFS('Per Line'!$Y$2:$Y$4001,'Per Line'!$D$2:$D$4001,$B281,'Per Line'!$AJ$2:$AJ$4001,1))</f>
        <v/>
      </c>
      <c r="S281" s="22" t="str">
        <f aca="false">IF($X281="","",R281*Q281)</f>
        <v/>
      </c>
      <c r="T281" s="22" t="str">
        <f aca="false">IF($X281="","",S281+P281)</f>
        <v/>
      </c>
      <c r="U281" s="22" t="str">
        <f aca="false">IF($X281="","",V281-T281)</f>
        <v/>
      </c>
      <c r="V281" s="22" t="str">
        <f aca="false">IF($X281="","",O281+R281)</f>
        <v/>
      </c>
      <c r="W281" s="22" t="str">
        <f aca="false">IF($X281="","",U281-L281)</f>
        <v/>
      </c>
      <c r="X281" s="24" t="str">
        <f aca="false">IF(ROWS($X$2:$X281)&lt;=MAX('Per Line'!$AI$2:$AI$4001),MATCH(ROWS($X$2:$X281),'Per Line'!$AI$2:$AI$4001,0),"")</f>
        <v/>
      </c>
    </row>
    <row r="282" customFormat="false" ht="15" hidden="false" customHeight="false" outlineLevel="0" collapsed="false">
      <c r="A282" s="19"/>
      <c r="B282" s="20" t="str">
        <f aca="false">IF($X282="","",INDEX('Per Line'!$D$2:$D$4001,$X282))</f>
        <v/>
      </c>
      <c r="C282" s="20" t="str">
        <f aca="false">IF($X282="","",INDEX('Per Line'!$C$2:$C$4001,$X282))</f>
        <v/>
      </c>
      <c r="D282" s="20" t="str">
        <f aca="false">IF($X282="","",INDEX('Per Line'!$A$2:$A$4001,$X282))</f>
        <v/>
      </c>
      <c r="E282" s="21" t="str">
        <f aca="false">IF($X282="","",INDEX('Per Line'!$F$2:$F$4001,$X282))</f>
        <v/>
      </c>
      <c r="F282" s="20" t="str">
        <f aca="false">IF($X282="","",INDEX('Per Line'!$G$2:$G$4001,$X282))</f>
        <v/>
      </c>
      <c r="G282" s="20" t="str">
        <f aca="false">IF($X282="","",INDEX('Per Line'!$I$2:$I$4001,$X282))</f>
        <v/>
      </c>
      <c r="H282" s="20" t="str">
        <f aca="false">IF($X282="","",INDEX('Per Line'!$J$2:$J$4001,$X282))</f>
        <v/>
      </c>
      <c r="I282" s="20" t="str">
        <f aca="false">IF($X282="","",INDEX('Per Line'!$K$2:$K$4001,$X282))</f>
        <v/>
      </c>
      <c r="J282" s="20" t="str">
        <f aca="false">IF($X282="","",INDEX('Per Line'!$L$2:$L$4001,$X282))</f>
        <v/>
      </c>
      <c r="K282" s="20" t="str">
        <f aca="false">IF($X282="","",INDEX('Per Line'!$M$2:$M$4001,$X282))</f>
        <v/>
      </c>
      <c r="L282" s="22" t="str">
        <f aca="false">IF($X282="","",K282*V282/100)</f>
        <v/>
      </c>
      <c r="M282" s="20" t="str">
        <f aca="false">IF($X282="","",INDEX('Per Line'!$Z$2:$Z$4001,$X282))</f>
        <v/>
      </c>
      <c r="N282" s="23" t="str">
        <f aca="false">IF($X282="","",Settings!$C$7)</f>
        <v/>
      </c>
      <c r="O282" s="22" t="str">
        <f aca="false">IF($X282="","",SUMIFS('Per Line'!$Y$2:$Y$4001,'Per Line'!$D$2:$D$4001,$B282,'Per Line'!$AJ$2:$AJ$4001,0))</f>
        <v/>
      </c>
      <c r="P282" s="22" t="str">
        <f aca="false">IF($X282="","",O282*N282)</f>
        <v/>
      </c>
      <c r="Q282" s="23" t="str">
        <f aca="false">IF($X282="","",Settings!$C$6)</f>
        <v/>
      </c>
      <c r="R282" s="22" t="str">
        <f aca="false">IF($X282="","",SUMIFS('Per Line'!$Y$2:$Y$4001,'Per Line'!$D$2:$D$4001,$B282,'Per Line'!$AJ$2:$AJ$4001,1))</f>
        <v/>
      </c>
      <c r="S282" s="22" t="str">
        <f aca="false">IF($X282="","",R282*Q282)</f>
        <v/>
      </c>
      <c r="T282" s="22" t="str">
        <f aca="false">IF($X282="","",S282+P282)</f>
        <v/>
      </c>
      <c r="U282" s="22" t="str">
        <f aca="false">IF($X282="","",V282-T282)</f>
        <v/>
      </c>
      <c r="V282" s="22" t="str">
        <f aca="false">IF($X282="","",O282+R282)</f>
        <v/>
      </c>
      <c r="W282" s="22" t="str">
        <f aca="false">IF($X282="","",U282-L282)</f>
        <v/>
      </c>
      <c r="X282" s="24" t="str">
        <f aca="false">IF(ROWS($X$2:$X282)&lt;=MAX('Per Line'!$AI$2:$AI$4001),MATCH(ROWS($X$2:$X282),'Per Line'!$AI$2:$AI$4001,0),"")</f>
        <v/>
      </c>
    </row>
    <row r="283" customFormat="false" ht="15" hidden="false" customHeight="false" outlineLevel="0" collapsed="false">
      <c r="A283" s="19"/>
      <c r="B283" s="20" t="str">
        <f aca="false">IF($X283="","",INDEX('Per Line'!$D$2:$D$4001,$X283))</f>
        <v/>
      </c>
      <c r="C283" s="20" t="str">
        <f aca="false">IF($X283="","",INDEX('Per Line'!$C$2:$C$4001,$X283))</f>
        <v/>
      </c>
      <c r="D283" s="20" t="str">
        <f aca="false">IF($X283="","",INDEX('Per Line'!$A$2:$A$4001,$X283))</f>
        <v/>
      </c>
      <c r="E283" s="21" t="str">
        <f aca="false">IF($X283="","",INDEX('Per Line'!$F$2:$F$4001,$X283))</f>
        <v/>
      </c>
      <c r="F283" s="20" t="str">
        <f aca="false">IF($X283="","",INDEX('Per Line'!$G$2:$G$4001,$X283))</f>
        <v/>
      </c>
      <c r="G283" s="20" t="str">
        <f aca="false">IF($X283="","",INDEX('Per Line'!$I$2:$I$4001,$X283))</f>
        <v/>
      </c>
      <c r="H283" s="20" t="str">
        <f aca="false">IF($X283="","",INDEX('Per Line'!$J$2:$J$4001,$X283))</f>
        <v/>
      </c>
      <c r="I283" s="20" t="str">
        <f aca="false">IF($X283="","",INDEX('Per Line'!$K$2:$K$4001,$X283))</f>
        <v/>
      </c>
      <c r="J283" s="20" t="str">
        <f aca="false">IF($X283="","",INDEX('Per Line'!$L$2:$L$4001,$X283))</f>
        <v/>
      </c>
      <c r="K283" s="20" t="str">
        <f aca="false">IF($X283="","",INDEX('Per Line'!$M$2:$M$4001,$X283))</f>
        <v/>
      </c>
      <c r="L283" s="22" t="str">
        <f aca="false">IF($X283="","",K283*V283/100)</f>
        <v/>
      </c>
      <c r="M283" s="20" t="str">
        <f aca="false">IF($X283="","",INDEX('Per Line'!$Z$2:$Z$4001,$X283))</f>
        <v/>
      </c>
      <c r="N283" s="23" t="str">
        <f aca="false">IF($X283="","",Settings!$C$7)</f>
        <v/>
      </c>
      <c r="O283" s="22" t="str">
        <f aca="false">IF($X283="","",SUMIFS('Per Line'!$Y$2:$Y$4001,'Per Line'!$D$2:$D$4001,$B283,'Per Line'!$AJ$2:$AJ$4001,0))</f>
        <v/>
      </c>
      <c r="P283" s="22" t="str">
        <f aca="false">IF($X283="","",O283*N283)</f>
        <v/>
      </c>
      <c r="Q283" s="23" t="str">
        <f aca="false">IF($X283="","",Settings!$C$6)</f>
        <v/>
      </c>
      <c r="R283" s="22" t="str">
        <f aca="false">IF($X283="","",SUMIFS('Per Line'!$Y$2:$Y$4001,'Per Line'!$D$2:$D$4001,$B283,'Per Line'!$AJ$2:$AJ$4001,1))</f>
        <v/>
      </c>
      <c r="S283" s="22" t="str">
        <f aca="false">IF($X283="","",R283*Q283)</f>
        <v/>
      </c>
      <c r="T283" s="22" t="str">
        <f aca="false">IF($X283="","",S283+P283)</f>
        <v/>
      </c>
      <c r="U283" s="22" t="str">
        <f aca="false">IF($X283="","",V283-T283)</f>
        <v/>
      </c>
      <c r="V283" s="22" t="str">
        <f aca="false">IF($X283="","",O283+R283)</f>
        <v/>
      </c>
      <c r="W283" s="22" t="str">
        <f aca="false">IF($X283="","",U283-L283)</f>
        <v/>
      </c>
      <c r="X283" s="24" t="str">
        <f aca="false">IF(ROWS($X$2:$X283)&lt;=MAX('Per Line'!$AI$2:$AI$4001),MATCH(ROWS($X$2:$X283),'Per Line'!$AI$2:$AI$4001,0),"")</f>
        <v/>
      </c>
    </row>
    <row r="284" customFormat="false" ht="15" hidden="false" customHeight="false" outlineLevel="0" collapsed="false">
      <c r="A284" s="19"/>
      <c r="B284" s="20" t="str">
        <f aca="false">IF($X284="","",INDEX('Per Line'!$D$2:$D$4001,$X284))</f>
        <v/>
      </c>
      <c r="C284" s="20" t="str">
        <f aca="false">IF($X284="","",INDEX('Per Line'!$C$2:$C$4001,$X284))</f>
        <v/>
      </c>
      <c r="D284" s="20" t="str">
        <f aca="false">IF($X284="","",INDEX('Per Line'!$A$2:$A$4001,$X284))</f>
        <v/>
      </c>
      <c r="E284" s="21" t="str">
        <f aca="false">IF($X284="","",INDEX('Per Line'!$F$2:$F$4001,$X284))</f>
        <v/>
      </c>
      <c r="F284" s="20" t="str">
        <f aca="false">IF($X284="","",INDEX('Per Line'!$G$2:$G$4001,$X284))</f>
        <v/>
      </c>
      <c r="G284" s="20" t="str">
        <f aca="false">IF($X284="","",INDEX('Per Line'!$I$2:$I$4001,$X284))</f>
        <v/>
      </c>
      <c r="H284" s="20" t="str">
        <f aca="false">IF($X284="","",INDEX('Per Line'!$J$2:$J$4001,$X284))</f>
        <v/>
      </c>
      <c r="I284" s="20" t="str">
        <f aca="false">IF($X284="","",INDEX('Per Line'!$K$2:$K$4001,$X284))</f>
        <v/>
      </c>
      <c r="J284" s="20" t="str">
        <f aca="false">IF($X284="","",INDEX('Per Line'!$L$2:$L$4001,$X284))</f>
        <v/>
      </c>
      <c r="K284" s="20" t="str">
        <f aca="false">IF($X284="","",INDEX('Per Line'!$M$2:$M$4001,$X284))</f>
        <v/>
      </c>
      <c r="L284" s="22" t="str">
        <f aca="false">IF($X284="","",K284*V284/100)</f>
        <v/>
      </c>
      <c r="M284" s="20" t="str">
        <f aca="false">IF($X284="","",INDEX('Per Line'!$Z$2:$Z$4001,$X284))</f>
        <v/>
      </c>
      <c r="N284" s="23" t="str">
        <f aca="false">IF($X284="","",Settings!$C$7)</f>
        <v/>
      </c>
      <c r="O284" s="22" t="str">
        <f aca="false">IF($X284="","",SUMIFS('Per Line'!$Y$2:$Y$4001,'Per Line'!$D$2:$D$4001,$B284,'Per Line'!$AJ$2:$AJ$4001,0))</f>
        <v/>
      </c>
      <c r="P284" s="22" t="str">
        <f aca="false">IF($X284="","",O284*N284)</f>
        <v/>
      </c>
      <c r="Q284" s="23" t="str">
        <f aca="false">IF($X284="","",Settings!$C$6)</f>
        <v/>
      </c>
      <c r="R284" s="22" t="str">
        <f aca="false">IF($X284="","",SUMIFS('Per Line'!$Y$2:$Y$4001,'Per Line'!$D$2:$D$4001,$B284,'Per Line'!$AJ$2:$AJ$4001,1))</f>
        <v/>
      </c>
      <c r="S284" s="22" t="str">
        <f aca="false">IF($X284="","",R284*Q284)</f>
        <v/>
      </c>
      <c r="T284" s="22" t="str">
        <f aca="false">IF($X284="","",S284+P284)</f>
        <v/>
      </c>
      <c r="U284" s="22" t="str">
        <f aca="false">IF($X284="","",V284-T284)</f>
        <v/>
      </c>
      <c r="V284" s="22" t="str">
        <f aca="false">IF($X284="","",O284+R284)</f>
        <v/>
      </c>
      <c r="W284" s="22" t="str">
        <f aca="false">IF($X284="","",U284-L284)</f>
        <v/>
      </c>
      <c r="X284" s="24" t="str">
        <f aca="false">IF(ROWS($X$2:$X284)&lt;=MAX('Per Line'!$AI$2:$AI$4001),MATCH(ROWS($X$2:$X284),'Per Line'!$AI$2:$AI$4001,0),"")</f>
        <v/>
      </c>
    </row>
    <row r="285" customFormat="false" ht="15" hidden="false" customHeight="false" outlineLevel="0" collapsed="false">
      <c r="A285" s="19"/>
      <c r="B285" s="20" t="str">
        <f aca="false">IF($X285="","",INDEX('Per Line'!$D$2:$D$4001,$X285))</f>
        <v/>
      </c>
      <c r="C285" s="20" t="str">
        <f aca="false">IF($X285="","",INDEX('Per Line'!$C$2:$C$4001,$X285))</f>
        <v/>
      </c>
      <c r="D285" s="20" t="str">
        <f aca="false">IF($X285="","",INDEX('Per Line'!$A$2:$A$4001,$X285))</f>
        <v/>
      </c>
      <c r="E285" s="21" t="str">
        <f aca="false">IF($X285="","",INDEX('Per Line'!$F$2:$F$4001,$X285))</f>
        <v/>
      </c>
      <c r="F285" s="20" t="str">
        <f aca="false">IF($X285="","",INDEX('Per Line'!$G$2:$G$4001,$X285))</f>
        <v/>
      </c>
      <c r="G285" s="20" t="str">
        <f aca="false">IF($X285="","",INDEX('Per Line'!$I$2:$I$4001,$X285))</f>
        <v/>
      </c>
      <c r="H285" s="20" t="str">
        <f aca="false">IF($X285="","",INDEX('Per Line'!$J$2:$J$4001,$X285))</f>
        <v/>
      </c>
      <c r="I285" s="20" t="str">
        <f aca="false">IF($X285="","",INDEX('Per Line'!$K$2:$K$4001,$X285))</f>
        <v/>
      </c>
      <c r="J285" s="20" t="str">
        <f aca="false">IF($X285="","",INDEX('Per Line'!$L$2:$L$4001,$X285))</f>
        <v/>
      </c>
      <c r="K285" s="20" t="str">
        <f aca="false">IF($X285="","",INDEX('Per Line'!$M$2:$M$4001,$X285))</f>
        <v/>
      </c>
      <c r="L285" s="22" t="str">
        <f aca="false">IF($X285="","",K285*V285/100)</f>
        <v/>
      </c>
      <c r="M285" s="20" t="str">
        <f aca="false">IF($X285="","",INDEX('Per Line'!$Z$2:$Z$4001,$X285))</f>
        <v/>
      </c>
      <c r="N285" s="23" t="str">
        <f aca="false">IF($X285="","",Settings!$C$7)</f>
        <v/>
      </c>
      <c r="O285" s="22" t="str">
        <f aca="false">IF($X285="","",SUMIFS('Per Line'!$Y$2:$Y$4001,'Per Line'!$D$2:$D$4001,$B285,'Per Line'!$AJ$2:$AJ$4001,0))</f>
        <v/>
      </c>
      <c r="P285" s="22" t="str">
        <f aca="false">IF($X285="","",O285*N285)</f>
        <v/>
      </c>
      <c r="Q285" s="23" t="str">
        <f aca="false">IF($X285="","",Settings!$C$6)</f>
        <v/>
      </c>
      <c r="R285" s="22" t="str">
        <f aca="false">IF($X285="","",SUMIFS('Per Line'!$Y$2:$Y$4001,'Per Line'!$D$2:$D$4001,$B285,'Per Line'!$AJ$2:$AJ$4001,1))</f>
        <v/>
      </c>
      <c r="S285" s="22" t="str">
        <f aca="false">IF($X285="","",R285*Q285)</f>
        <v/>
      </c>
      <c r="T285" s="22" t="str">
        <f aca="false">IF($X285="","",S285+P285)</f>
        <v/>
      </c>
      <c r="U285" s="22" t="str">
        <f aca="false">IF($X285="","",V285-T285)</f>
        <v/>
      </c>
      <c r="V285" s="22" t="str">
        <f aca="false">IF($X285="","",O285+R285)</f>
        <v/>
      </c>
      <c r="W285" s="22" t="str">
        <f aca="false">IF($X285="","",U285-L285)</f>
        <v/>
      </c>
      <c r="X285" s="24" t="str">
        <f aca="false">IF(ROWS($X$2:$X285)&lt;=MAX('Per Line'!$AI$2:$AI$4001),MATCH(ROWS($X$2:$X285),'Per Line'!$AI$2:$AI$4001,0),"")</f>
        <v/>
      </c>
    </row>
    <row r="286" customFormat="false" ht="15" hidden="false" customHeight="false" outlineLevel="0" collapsed="false">
      <c r="A286" s="19"/>
      <c r="B286" s="20" t="str">
        <f aca="false">IF($X286="","",INDEX('Per Line'!$D$2:$D$4001,$X286))</f>
        <v/>
      </c>
      <c r="C286" s="20" t="str">
        <f aca="false">IF($X286="","",INDEX('Per Line'!$C$2:$C$4001,$X286))</f>
        <v/>
      </c>
      <c r="D286" s="20" t="str">
        <f aca="false">IF($X286="","",INDEX('Per Line'!$A$2:$A$4001,$X286))</f>
        <v/>
      </c>
      <c r="E286" s="21" t="str">
        <f aca="false">IF($X286="","",INDEX('Per Line'!$F$2:$F$4001,$X286))</f>
        <v/>
      </c>
      <c r="F286" s="20" t="str">
        <f aca="false">IF($X286="","",INDEX('Per Line'!$G$2:$G$4001,$X286))</f>
        <v/>
      </c>
      <c r="G286" s="20" t="str">
        <f aca="false">IF($X286="","",INDEX('Per Line'!$I$2:$I$4001,$X286))</f>
        <v/>
      </c>
      <c r="H286" s="20" t="str">
        <f aca="false">IF($X286="","",INDEX('Per Line'!$J$2:$J$4001,$X286))</f>
        <v/>
      </c>
      <c r="I286" s="20" t="str">
        <f aca="false">IF($X286="","",INDEX('Per Line'!$K$2:$K$4001,$X286))</f>
        <v/>
      </c>
      <c r="J286" s="20" t="str">
        <f aca="false">IF($X286="","",INDEX('Per Line'!$L$2:$L$4001,$X286))</f>
        <v/>
      </c>
      <c r="K286" s="20" t="str">
        <f aca="false">IF($X286="","",INDEX('Per Line'!$M$2:$M$4001,$X286))</f>
        <v/>
      </c>
      <c r="L286" s="22" t="str">
        <f aca="false">IF($X286="","",K286*V286/100)</f>
        <v/>
      </c>
      <c r="M286" s="20" t="str">
        <f aca="false">IF($X286="","",INDEX('Per Line'!$Z$2:$Z$4001,$X286))</f>
        <v/>
      </c>
      <c r="N286" s="23" t="str">
        <f aca="false">IF($X286="","",Settings!$C$7)</f>
        <v/>
      </c>
      <c r="O286" s="22" t="str">
        <f aca="false">IF($X286="","",SUMIFS('Per Line'!$Y$2:$Y$4001,'Per Line'!$D$2:$D$4001,$B286,'Per Line'!$AJ$2:$AJ$4001,0))</f>
        <v/>
      </c>
      <c r="P286" s="22" t="str">
        <f aca="false">IF($X286="","",O286*N286)</f>
        <v/>
      </c>
      <c r="Q286" s="23" t="str">
        <f aca="false">IF($X286="","",Settings!$C$6)</f>
        <v/>
      </c>
      <c r="R286" s="22" t="str">
        <f aca="false">IF($X286="","",SUMIFS('Per Line'!$Y$2:$Y$4001,'Per Line'!$D$2:$D$4001,$B286,'Per Line'!$AJ$2:$AJ$4001,1))</f>
        <v/>
      </c>
      <c r="S286" s="22" t="str">
        <f aca="false">IF($X286="","",R286*Q286)</f>
        <v/>
      </c>
      <c r="T286" s="22" t="str">
        <f aca="false">IF($X286="","",S286+P286)</f>
        <v/>
      </c>
      <c r="U286" s="22" t="str">
        <f aca="false">IF($X286="","",V286-T286)</f>
        <v/>
      </c>
      <c r="V286" s="22" t="str">
        <f aca="false">IF($X286="","",O286+R286)</f>
        <v/>
      </c>
      <c r="W286" s="22" t="str">
        <f aca="false">IF($X286="","",U286-L286)</f>
        <v/>
      </c>
      <c r="X286" s="24" t="str">
        <f aca="false">IF(ROWS($X$2:$X286)&lt;=MAX('Per Line'!$AI$2:$AI$4001),MATCH(ROWS($X$2:$X286),'Per Line'!$AI$2:$AI$4001,0),"")</f>
        <v/>
      </c>
    </row>
    <row r="287" customFormat="false" ht="15" hidden="false" customHeight="false" outlineLevel="0" collapsed="false">
      <c r="A287" s="19"/>
      <c r="B287" s="20" t="str">
        <f aca="false">IF($X287="","",INDEX('Per Line'!$D$2:$D$4001,$X287))</f>
        <v/>
      </c>
      <c r="C287" s="20" t="str">
        <f aca="false">IF($X287="","",INDEX('Per Line'!$C$2:$C$4001,$X287))</f>
        <v/>
      </c>
      <c r="D287" s="20" t="str">
        <f aca="false">IF($X287="","",INDEX('Per Line'!$A$2:$A$4001,$X287))</f>
        <v/>
      </c>
      <c r="E287" s="21" t="str">
        <f aca="false">IF($X287="","",INDEX('Per Line'!$F$2:$F$4001,$X287))</f>
        <v/>
      </c>
      <c r="F287" s="20" t="str">
        <f aca="false">IF($X287="","",INDEX('Per Line'!$G$2:$G$4001,$X287))</f>
        <v/>
      </c>
      <c r="G287" s="20" t="str">
        <f aca="false">IF($X287="","",INDEX('Per Line'!$I$2:$I$4001,$X287))</f>
        <v/>
      </c>
      <c r="H287" s="20" t="str">
        <f aca="false">IF($X287="","",INDEX('Per Line'!$J$2:$J$4001,$X287))</f>
        <v/>
      </c>
      <c r="I287" s="20" t="str">
        <f aca="false">IF($X287="","",INDEX('Per Line'!$K$2:$K$4001,$X287))</f>
        <v/>
      </c>
      <c r="J287" s="20" t="str">
        <f aca="false">IF($X287="","",INDEX('Per Line'!$L$2:$L$4001,$X287))</f>
        <v/>
      </c>
      <c r="K287" s="20" t="str">
        <f aca="false">IF($X287="","",INDEX('Per Line'!$M$2:$M$4001,$X287))</f>
        <v/>
      </c>
      <c r="L287" s="22" t="str">
        <f aca="false">IF($X287="","",K287*V287/100)</f>
        <v/>
      </c>
      <c r="M287" s="20" t="str">
        <f aca="false">IF($X287="","",INDEX('Per Line'!$Z$2:$Z$4001,$X287))</f>
        <v/>
      </c>
      <c r="N287" s="23" t="str">
        <f aca="false">IF($X287="","",Settings!$C$7)</f>
        <v/>
      </c>
      <c r="O287" s="22" t="str">
        <f aca="false">IF($X287="","",SUMIFS('Per Line'!$Y$2:$Y$4001,'Per Line'!$D$2:$D$4001,$B287,'Per Line'!$AJ$2:$AJ$4001,0))</f>
        <v/>
      </c>
      <c r="P287" s="22" t="str">
        <f aca="false">IF($X287="","",O287*N287)</f>
        <v/>
      </c>
      <c r="Q287" s="23" t="str">
        <f aca="false">IF($X287="","",Settings!$C$6)</f>
        <v/>
      </c>
      <c r="R287" s="22" t="str">
        <f aca="false">IF($X287="","",SUMIFS('Per Line'!$Y$2:$Y$4001,'Per Line'!$D$2:$D$4001,$B287,'Per Line'!$AJ$2:$AJ$4001,1))</f>
        <v/>
      </c>
      <c r="S287" s="22" t="str">
        <f aca="false">IF($X287="","",R287*Q287)</f>
        <v/>
      </c>
      <c r="T287" s="22" t="str">
        <f aca="false">IF($X287="","",S287+P287)</f>
        <v/>
      </c>
      <c r="U287" s="22" t="str">
        <f aca="false">IF($X287="","",V287-T287)</f>
        <v/>
      </c>
      <c r="V287" s="22" t="str">
        <f aca="false">IF($X287="","",O287+R287)</f>
        <v/>
      </c>
      <c r="W287" s="22" t="str">
        <f aca="false">IF($X287="","",U287-L287)</f>
        <v/>
      </c>
      <c r="X287" s="24" t="str">
        <f aca="false">IF(ROWS($X$2:$X287)&lt;=MAX('Per Line'!$AI$2:$AI$4001),MATCH(ROWS($X$2:$X287),'Per Line'!$AI$2:$AI$4001,0),"")</f>
        <v/>
      </c>
    </row>
    <row r="288" customFormat="false" ht="15" hidden="false" customHeight="false" outlineLevel="0" collapsed="false">
      <c r="A288" s="19"/>
      <c r="B288" s="20" t="str">
        <f aca="false">IF($X288="","",INDEX('Per Line'!$D$2:$D$4001,$X288))</f>
        <v/>
      </c>
      <c r="C288" s="20" t="str">
        <f aca="false">IF($X288="","",INDEX('Per Line'!$C$2:$C$4001,$X288))</f>
        <v/>
      </c>
      <c r="D288" s="20" t="str">
        <f aca="false">IF($X288="","",INDEX('Per Line'!$A$2:$A$4001,$X288))</f>
        <v/>
      </c>
      <c r="E288" s="21" t="str">
        <f aca="false">IF($X288="","",INDEX('Per Line'!$F$2:$F$4001,$X288))</f>
        <v/>
      </c>
      <c r="F288" s="20" t="str">
        <f aca="false">IF($X288="","",INDEX('Per Line'!$G$2:$G$4001,$X288))</f>
        <v/>
      </c>
      <c r="G288" s="20" t="str">
        <f aca="false">IF($X288="","",INDEX('Per Line'!$I$2:$I$4001,$X288))</f>
        <v/>
      </c>
      <c r="H288" s="20" t="str">
        <f aca="false">IF($X288="","",INDEX('Per Line'!$J$2:$J$4001,$X288))</f>
        <v/>
      </c>
      <c r="I288" s="20" t="str">
        <f aca="false">IF($X288="","",INDEX('Per Line'!$K$2:$K$4001,$X288))</f>
        <v/>
      </c>
      <c r="J288" s="20" t="str">
        <f aca="false">IF($X288="","",INDEX('Per Line'!$L$2:$L$4001,$X288))</f>
        <v/>
      </c>
      <c r="K288" s="20" t="str">
        <f aca="false">IF($X288="","",INDEX('Per Line'!$M$2:$M$4001,$X288))</f>
        <v/>
      </c>
      <c r="L288" s="22" t="str">
        <f aca="false">IF($X288="","",K288*V288/100)</f>
        <v/>
      </c>
      <c r="M288" s="20" t="str">
        <f aca="false">IF($X288="","",INDEX('Per Line'!$Z$2:$Z$4001,$X288))</f>
        <v/>
      </c>
      <c r="N288" s="23" t="str">
        <f aca="false">IF($X288="","",Settings!$C$7)</f>
        <v/>
      </c>
      <c r="O288" s="22" t="str">
        <f aca="false">IF($X288="","",SUMIFS('Per Line'!$Y$2:$Y$4001,'Per Line'!$D$2:$D$4001,$B288,'Per Line'!$AJ$2:$AJ$4001,0))</f>
        <v/>
      </c>
      <c r="P288" s="22" t="str">
        <f aca="false">IF($X288="","",O288*N288)</f>
        <v/>
      </c>
      <c r="Q288" s="23" t="str">
        <f aca="false">IF($X288="","",Settings!$C$6)</f>
        <v/>
      </c>
      <c r="R288" s="22" t="str">
        <f aca="false">IF($X288="","",SUMIFS('Per Line'!$Y$2:$Y$4001,'Per Line'!$D$2:$D$4001,$B288,'Per Line'!$AJ$2:$AJ$4001,1))</f>
        <v/>
      </c>
      <c r="S288" s="22" t="str">
        <f aca="false">IF($X288="","",R288*Q288)</f>
        <v/>
      </c>
      <c r="T288" s="22" t="str">
        <f aca="false">IF($X288="","",S288+P288)</f>
        <v/>
      </c>
      <c r="U288" s="22" t="str">
        <f aca="false">IF($X288="","",V288-T288)</f>
        <v/>
      </c>
      <c r="V288" s="22" t="str">
        <f aca="false">IF($X288="","",O288+R288)</f>
        <v/>
      </c>
      <c r="W288" s="22" t="str">
        <f aca="false">IF($X288="","",U288-L288)</f>
        <v/>
      </c>
      <c r="X288" s="24" t="str">
        <f aca="false">IF(ROWS($X$2:$X288)&lt;=MAX('Per Line'!$AI$2:$AI$4001),MATCH(ROWS($X$2:$X288),'Per Line'!$AI$2:$AI$4001,0),"")</f>
        <v/>
      </c>
    </row>
    <row r="289" customFormat="false" ht="15" hidden="false" customHeight="false" outlineLevel="0" collapsed="false">
      <c r="A289" s="19"/>
      <c r="B289" s="20" t="str">
        <f aca="false">IF($X289="","",INDEX('Per Line'!$D$2:$D$4001,$X289))</f>
        <v/>
      </c>
      <c r="C289" s="20" t="str">
        <f aca="false">IF($X289="","",INDEX('Per Line'!$C$2:$C$4001,$X289))</f>
        <v/>
      </c>
      <c r="D289" s="20" t="str">
        <f aca="false">IF($X289="","",INDEX('Per Line'!$A$2:$A$4001,$X289))</f>
        <v/>
      </c>
      <c r="E289" s="21" t="str">
        <f aca="false">IF($X289="","",INDEX('Per Line'!$F$2:$F$4001,$X289))</f>
        <v/>
      </c>
      <c r="F289" s="20" t="str">
        <f aca="false">IF($X289="","",INDEX('Per Line'!$G$2:$G$4001,$X289))</f>
        <v/>
      </c>
      <c r="G289" s="20" t="str">
        <f aca="false">IF($X289="","",INDEX('Per Line'!$I$2:$I$4001,$X289))</f>
        <v/>
      </c>
      <c r="H289" s="20" t="str">
        <f aca="false">IF($X289="","",INDEX('Per Line'!$J$2:$J$4001,$X289))</f>
        <v/>
      </c>
      <c r="I289" s="20" t="str">
        <f aca="false">IF($X289="","",INDEX('Per Line'!$K$2:$K$4001,$X289))</f>
        <v/>
      </c>
      <c r="J289" s="20" t="str">
        <f aca="false">IF($X289="","",INDEX('Per Line'!$L$2:$L$4001,$X289))</f>
        <v/>
      </c>
      <c r="K289" s="20" t="str">
        <f aca="false">IF($X289="","",INDEX('Per Line'!$M$2:$M$4001,$X289))</f>
        <v/>
      </c>
      <c r="L289" s="22" t="str">
        <f aca="false">IF($X289="","",K289*V289/100)</f>
        <v/>
      </c>
      <c r="M289" s="20" t="str">
        <f aca="false">IF($X289="","",INDEX('Per Line'!$Z$2:$Z$4001,$X289))</f>
        <v/>
      </c>
      <c r="N289" s="23" t="str">
        <f aca="false">IF($X289="","",Settings!$C$7)</f>
        <v/>
      </c>
      <c r="O289" s="22" t="str">
        <f aca="false">IF($X289="","",SUMIFS('Per Line'!$Y$2:$Y$4001,'Per Line'!$D$2:$D$4001,$B289,'Per Line'!$AJ$2:$AJ$4001,0))</f>
        <v/>
      </c>
      <c r="P289" s="22" t="str">
        <f aca="false">IF($X289="","",O289*N289)</f>
        <v/>
      </c>
      <c r="Q289" s="23" t="str">
        <f aca="false">IF($X289="","",Settings!$C$6)</f>
        <v/>
      </c>
      <c r="R289" s="22" t="str">
        <f aca="false">IF($X289="","",SUMIFS('Per Line'!$Y$2:$Y$4001,'Per Line'!$D$2:$D$4001,$B289,'Per Line'!$AJ$2:$AJ$4001,1))</f>
        <v/>
      </c>
      <c r="S289" s="22" t="str">
        <f aca="false">IF($X289="","",R289*Q289)</f>
        <v/>
      </c>
      <c r="T289" s="22" t="str">
        <f aca="false">IF($X289="","",S289+P289)</f>
        <v/>
      </c>
      <c r="U289" s="22" t="str">
        <f aca="false">IF($X289="","",V289-T289)</f>
        <v/>
      </c>
      <c r="V289" s="22" t="str">
        <f aca="false">IF($X289="","",O289+R289)</f>
        <v/>
      </c>
      <c r="W289" s="22" t="str">
        <f aca="false">IF($X289="","",U289-L289)</f>
        <v/>
      </c>
      <c r="X289" s="24" t="str">
        <f aca="false">IF(ROWS($X$2:$X289)&lt;=MAX('Per Line'!$AI$2:$AI$4001),MATCH(ROWS($X$2:$X289),'Per Line'!$AI$2:$AI$4001,0),"")</f>
        <v/>
      </c>
    </row>
    <row r="290" customFormat="false" ht="15" hidden="false" customHeight="false" outlineLevel="0" collapsed="false">
      <c r="A290" s="19"/>
      <c r="B290" s="20" t="str">
        <f aca="false">IF($X290="","",INDEX('Per Line'!$D$2:$D$4001,$X290))</f>
        <v/>
      </c>
      <c r="C290" s="20" t="str">
        <f aca="false">IF($X290="","",INDEX('Per Line'!$C$2:$C$4001,$X290))</f>
        <v/>
      </c>
      <c r="D290" s="20" t="str">
        <f aca="false">IF($X290="","",INDEX('Per Line'!$A$2:$A$4001,$X290))</f>
        <v/>
      </c>
      <c r="E290" s="21" t="str">
        <f aca="false">IF($X290="","",INDEX('Per Line'!$F$2:$F$4001,$X290))</f>
        <v/>
      </c>
      <c r="F290" s="20" t="str">
        <f aca="false">IF($X290="","",INDEX('Per Line'!$G$2:$G$4001,$X290))</f>
        <v/>
      </c>
      <c r="G290" s="20" t="str">
        <f aca="false">IF($X290="","",INDEX('Per Line'!$I$2:$I$4001,$X290))</f>
        <v/>
      </c>
      <c r="H290" s="20" t="str">
        <f aca="false">IF($X290="","",INDEX('Per Line'!$J$2:$J$4001,$X290))</f>
        <v/>
      </c>
      <c r="I290" s="20" t="str">
        <f aca="false">IF($X290="","",INDEX('Per Line'!$K$2:$K$4001,$X290))</f>
        <v/>
      </c>
      <c r="J290" s="20" t="str">
        <f aca="false">IF($X290="","",INDEX('Per Line'!$L$2:$L$4001,$X290))</f>
        <v/>
      </c>
      <c r="K290" s="20" t="str">
        <f aca="false">IF($X290="","",INDEX('Per Line'!$M$2:$M$4001,$X290))</f>
        <v/>
      </c>
      <c r="L290" s="22" t="str">
        <f aca="false">IF($X290="","",K290*V290/100)</f>
        <v/>
      </c>
      <c r="M290" s="20" t="str">
        <f aca="false">IF($X290="","",INDEX('Per Line'!$Z$2:$Z$4001,$X290))</f>
        <v/>
      </c>
      <c r="N290" s="23" t="str">
        <f aca="false">IF($X290="","",Settings!$C$7)</f>
        <v/>
      </c>
      <c r="O290" s="22" t="str">
        <f aca="false">IF($X290="","",SUMIFS('Per Line'!$Y$2:$Y$4001,'Per Line'!$D$2:$D$4001,$B290,'Per Line'!$AJ$2:$AJ$4001,0))</f>
        <v/>
      </c>
      <c r="P290" s="22" t="str">
        <f aca="false">IF($X290="","",O290*N290)</f>
        <v/>
      </c>
      <c r="Q290" s="23" t="str">
        <f aca="false">IF($X290="","",Settings!$C$6)</f>
        <v/>
      </c>
      <c r="R290" s="22" t="str">
        <f aca="false">IF($X290="","",SUMIFS('Per Line'!$Y$2:$Y$4001,'Per Line'!$D$2:$D$4001,$B290,'Per Line'!$AJ$2:$AJ$4001,1))</f>
        <v/>
      </c>
      <c r="S290" s="22" t="str">
        <f aca="false">IF($X290="","",R290*Q290)</f>
        <v/>
      </c>
      <c r="T290" s="22" t="str">
        <f aca="false">IF($X290="","",S290+P290)</f>
        <v/>
      </c>
      <c r="U290" s="22" t="str">
        <f aca="false">IF($X290="","",V290-T290)</f>
        <v/>
      </c>
      <c r="V290" s="22" t="str">
        <f aca="false">IF($X290="","",O290+R290)</f>
        <v/>
      </c>
      <c r="W290" s="22" t="str">
        <f aca="false">IF($X290="","",U290-L290)</f>
        <v/>
      </c>
      <c r="X290" s="24" t="str">
        <f aca="false">IF(ROWS($X$2:$X290)&lt;=MAX('Per Line'!$AI$2:$AI$4001),MATCH(ROWS($X$2:$X290),'Per Line'!$AI$2:$AI$4001,0),"")</f>
        <v/>
      </c>
    </row>
    <row r="291" customFormat="false" ht="15" hidden="false" customHeight="false" outlineLevel="0" collapsed="false">
      <c r="A291" s="19"/>
      <c r="B291" s="20" t="str">
        <f aca="false">IF($X291="","",INDEX('Per Line'!$D$2:$D$4001,$X291))</f>
        <v/>
      </c>
      <c r="C291" s="20" t="str">
        <f aca="false">IF($X291="","",INDEX('Per Line'!$C$2:$C$4001,$X291))</f>
        <v/>
      </c>
      <c r="D291" s="20" t="str">
        <f aca="false">IF($X291="","",INDEX('Per Line'!$A$2:$A$4001,$X291))</f>
        <v/>
      </c>
      <c r="E291" s="21" t="str">
        <f aca="false">IF($X291="","",INDEX('Per Line'!$F$2:$F$4001,$X291))</f>
        <v/>
      </c>
      <c r="F291" s="20" t="str">
        <f aca="false">IF($X291="","",INDEX('Per Line'!$G$2:$G$4001,$X291))</f>
        <v/>
      </c>
      <c r="G291" s="20" t="str">
        <f aca="false">IF($X291="","",INDEX('Per Line'!$I$2:$I$4001,$X291))</f>
        <v/>
      </c>
      <c r="H291" s="20" t="str">
        <f aca="false">IF($X291="","",INDEX('Per Line'!$J$2:$J$4001,$X291))</f>
        <v/>
      </c>
      <c r="I291" s="20" t="str">
        <f aca="false">IF($X291="","",INDEX('Per Line'!$K$2:$K$4001,$X291))</f>
        <v/>
      </c>
      <c r="J291" s="20" t="str">
        <f aca="false">IF($X291="","",INDEX('Per Line'!$L$2:$L$4001,$X291))</f>
        <v/>
      </c>
      <c r="K291" s="20" t="str">
        <f aca="false">IF($X291="","",INDEX('Per Line'!$M$2:$M$4001,$X291))</f>
        <v/>
      </c>
      <c r="L291" s="22" t="str">
        <f aca="false">IF($X291="","",K291*V291/100)</f>
        <v/>
      </c>
      <c r="M291" s="20" t="str">
        <f aca="false">IF($X291="","",INDEX('Per Line'!$Z$2:$Z$4001,$X291))</f>
        <v/>
      </c>
      <c r="N291" s="23" t="str">
        <f aca="false">IF($X291="","",Settings!$C$7)</f>
        <v/>
      </c>
      <c r="O291" s="22" t="str">
        <f aca="false">IF($X291="","",SUMIFS('Per Line'!$Y$2:$Y$4001,'Per Line'!$D$2:$D$4001,$B291,'Per Line'!$AJ$2:$AJ$4001,0))</f>
        <v/>
      </c>
      <c r="P291" s="22" t="str">
        <f aca="false">IF($X291="","",O291*N291)</f>
        <v/>
      </c>
      <c r="Q291" s="23" t="str">
        <f aca="false">IF($X291="","",Settings!$C$6)</f>
        <v/>
      </c>
      <c r="R291" s="22" t="str">
        <f aca="false">IF($X291="","",SUMIFS('Per Line'!$Y$2:$Y$4001,'Per Line'!$D$2:$D$4001,$B291,'Per Line'!$AJ$2:$AJ$4001,1))</f>
        <v/>
      </c>
      <c r="S291" s="22" t="str">
        <f aca="false">IF($X291="","",R291*Q291)</f>
        <v/>
      </c>
      <c r="T291" s="22" t="str">
        <f aca="false">IF($X291="","",S291+P291)</f>
        <v/>
      </c>
      <c r="U291" s="22" t="str">
        <f aca="false">IF($X291="","",V291-T291)</f>
        <v/>
      </c>
      <c r="V291" s="22" t="str">
        <f aca="false">IF($X291="","",O291+R291)</f>
        <v/>
      </c>
      <c r="W291" s="22" t="str">
        <f aca="false">IF($X291="","",U291-L291)</f>
        <v/>
      </c>
      <c r="X291" s="24" t="str">
        <f aca="false">IF(ROWS($X$2:$X291)&lt;=MAX('Per Line'!$AI$2:$AI$4001),MATCH(ROWS($X$2:$X291),'Per Line'!$AI$2:$AI$4001,0),"")</f>
        <v/>
      </c>
    </row>
    <row r="292" customFormat="false" ht="15" hidden="false" customHeight="false" outlineLevel="0" collapsed="false">
      <c r="A292" s="19"/>
      <c r="B292" s="20" t="str">
        <f aca="false">IF($X292="","",INDEX('Per Line'!$D$2:$D$4001,$X292))</f>
        <v/>
      </c>
      <c r="C292" s="20" t="str">
        <f aca="false">IF($X292="","",INDEX('Per Line'!$C$2:$C$4001,$X292))</f>
        <v/>
      </c>
      <c r="D292" s="20" t="str">
        <f aca="false">IF($X292="","",INDEX('Per Line'!$A$2:$A$4001,$X292))</f>
        <v/>
      </c>
      <c r="E292" s="21" t="str">
        <f aca="false">IF($X292="","",INDEX('Per Line'!$F$2:$F$4001,$X292))</f>
        <v/>
      </c>
      <c r="F292" s="20" t="str">
        <f aca="false">IF($X292="","",INDEX('Per Line'!$G$2:$G$4001,$X292))</f>
        <v/>
      </c>
      <c r="G292" s="20" t="str">
        <f aca="false">IF($X292="","",INDEX('Per Line'!$I$2:$I$4001,$X292))</f>
        <v/>
      </c>
      <c r="H292" s="20" t="str">
        <f aca="false">IF($X292="","",INDEX('Per Line'!$J$2:$J$4001,$X292))</f>
        <v/>
      </c>
      <c r="I292" s="20" t="str">
        <f aca="false">IF($X292="","",INDEX('Per Line'!$K$2:$K$4001,$X292))</f>
        <v/>
      </c>
      <c r="J292" s="20" t="str">
        <f aca="false">IF($X292="","",INDEX('Per Line'!$L$2:$L$4001,$X292))</f>
        <v/>
      </c>
      <c r="K292" s="20" t="str">
        <f aca="false">IF($X292="","",INDEX('Per Line'!$M$2:$M$4001,$X292))</f>
        <v/>
      </c>
      <c r="L292" s="22" t="str">
        <f aca="false">IF($X292="","",K292*V292/100)</f>
        <v/>
      </c>
      <c r="M292" s="20" t="str">
        <f aca="false">IF($X292="","",INDEX('Per Line'!$Z$2:$Z$4001,$X292))</f>
        <v/>
      </c>
      <c r="N292" s="23" t="str">
        <f aca="false">IF($X292="","",Settings!$C$7)</f>
        <v/>
      </c>
      <c r="O292" s="22" t="str">
        <f aca="false">IF($X292="","",SUMIFS('Per Line'!$Y$2:$Y$4001,'Per Line'!$D$2:$D$4001,$B292,'Per Line'!$AJ$2:$AJ$4001,0))</f>
        <v/>
      </c>
      <c r="P292" s="22" t="str">
        <f aca="false">IF($X292="","",O292*N292)</f>
        <v/>
      </c>
      <c r="Q292" s="23" t="str">
        <f aca="false">IF($X292="","",Settings!$C$6)</f>
        <v/>
      </c>
      <c r="R292" s="22" t="str">
        <f aca="false">IF($X292="","",SUMIFS('Per Line'!$Y$2:$Y$4001,'Per Line'!$D$2:$D$4001,$B292,'Per Line'!$AJ$2:$AJ$4001,1))</f>
        <v/>
      </c>
      <c r="S292" s="22" t="str">
        <f aca="false">IF($X292="","",R292*Q292)</f>
        <v/>
      </c>
      <c r="T292" s="22" t="str">
        <f aca="false">IF($X292="","",S292+P292)</f>
        <v/>
      </c>
      <c r="U292" s="22" t="str">
        <f aca="false">IF($X292="","",V292-T292)</f>
        <v/>
      </c>
      <c r="V292" s="22" t="str">
        <f aca="false">IF($X292="","",O292+R292)</f>
        <v/>
      </c>
      <c r="W292" s="22" t="str">
        <f aca="false">IF($X292="","",U292-L292)</f>
        <v/>
      </c>
      <c r="X292" s="24" t="str">
        <f aca="false">IF(ROWS($X$2:$X292)&lt;=MAX('Per Line'!$AI$2:$AI$4001),MATCH(ROWS($X$2:$X292),'Per Line'!$AI$2:$AI$4001,0),"")</f>
        <v/>
      </c>
    </row>
    <row r="293" customFormat="false" ht="15" hidden="false" customHeight="false" outlineLevel="0" collapsed="false">
      <c r="A293" s="19"/>
      <c r="B293" s="20" t="str">
        <f aca="false">IF($X293="","",INDEX('Per Line'!$D$2:$D$4001,$X293))</f>
        <v/>
      </c>
      <c r="C293" s="20" t="str">
        <f aca="false">IF($X293="","",INDEX('Per Line'!$C$2:$C$4001,$X293))</f>
        <v/>
      </c>
      <c r="D293" s="20" t="str">
        <f aca="false">IF($X293="","",INDEX('Per Line'!$A$2:$A$4001,$X293))</f>
        <v/>
      </c>
      <c r="E293" s="21" t="str">
        <f aca="false">IF($X293="","",INDEX('Per Line'!$F$2:$F$4001,$X293))</f>
        <v/>
      </c>
      <c r="F293" s="20" t="str">
        <f aca="false">IF($X293="","",INDEX('Per Line'!$G$2:$G$4001,$X293))</f>
        <v/>
      </c>
      <c r="G293" s="20" t="str">
        <f aca="false">IF($X293="","",INDEX('Per Line'!$I$2:$I$4001,$X293))</f>
        <v/>
      </c>
      <c r="H293" s="20" t="str">
        <f aca="false">IF($X293="","",INDEX('Per Line'!$J$2:$J$4001,$X293))</f>
        <v/>
      </c>
      <c r="I293" s="20" t="str">
        <f aca="false">IF($X293="","",INDEX('Per Line'!$K$2:$K$4001,$X293))</f>
        <v/>
      </c>
      <c r="J293" s="20" t="str">
        <f aca="false">IF($X293="","",INDEX('Per Line'!$L$2:$L$4001,$X293))</f>
        <v/>
      </c>
      <c r="K293" s="20" t="str">
        <f aca="false">IF($X293="","",INDEX('Per Line'!$M$2:$M$4001,$X293))</f>
        <v/>
      </c>
      <c r="L293" s="22" t="str">
        <f aca="false">IF($X293="","",K293*V293/100)</f>
        <v/>
      </c>
      <c r="M293" s="20" t="str">
        <f aca="false">IF($X293="","",INDEX('Per Line'!$Z$2:$Z$4001,$X293))</f>
        <v/>
      </c>
      <c r="N293" s="23" t="str">
        <f aca="false">IF($X293="","",Settings!$C$7)</f>
        <v/>
      </c>
      <c r="O293" s="22" t="str">
        <f aca="false">IF($X293="","",SUMIFS('Per Line'!$Y$2:$Y$4001,'Per Line'!$D$2:$D$4001,$B293,'Per Line'!$AJ$2:$AJ$4001,0))</f>
        <v/>
      </c>
      <c r="P293" s="22" t="str">
        <f aca="false">IF($X293="","",O293*N293)</f>
        <v/>
      </c>
      <c r="Q293" s="23" t="str">
        <f aca="false">IF($X293="","",Settings!$C$6)</f>
        <v/>
      </c>
      <c r="R293" s="22" t="str">
        <f aca="false">IF($X293="","",SUMIFS('Per Line'!$Y$2:$Y$4001,'Per Line'!$D$2:$D$4001,$B293,'Per Line'!$AJ$2:$AJ$4001,1))</f>
        <v/>
      </c>
      <c r="S293" s="22" t="str">
        <f aca="false">IF($X293="","",R293*Q293)</f>
        <v/>
      </c>
      <c r="T293" s="22" t="str">
        <f aca="false">IF($X293="","",S293+P293)</f>
        <v/>
      </c>
      <c r="U293" s="22" t="str">
        <f aca="false">IF($X293="","",V293-T293)</f>
        <v/>
      </c>
      <c r="V293" s="22" t="str">
        <f aca="false">IF($X293="","",O293+R293)</f>
        <v/>
      </c>
      <c r="W293" s="22" t="str">
        <f aca="false">IF($X293="","",U293-L293)</f>
        <v/>
      </c>
      <c r="X293" s="24" t="str">
        <f aca="false">IF(ROWS($X$2:$X293)&lt;=MAX('Per Line'!$AI$2:$AI$4001),MATCH(ROWS($X$2:$X293),'Per Line'!$AI$2:$AI$4001,0),"")</f>
        <v/>
      </c>
    </row>
    <row r="294" customFormat="false" ht="15" hidden="false" customHeight="false" outlineLevel="0" collapsed="false">
      <c r="A294" s="19"/>
      <c r="B294" s="20" t="str">
        <f aca="false">IF($X294="","",INDEX('Per Line'!$D$2:$D$4001,$X294))</f>
        <v/>
      </c>
      <c r="C294" s="20" t="str">
        <f aca="false">IF($X294="","",INDEX('Per Line'!$C$2:$C$4001,$X294))</f>
        <v/>
      </c>
      <c r="D294" s="20" t="str">
        <f aca="false">IF($X294="","",INDEX('Per Line'!$A$2:$A$4001,$X294))</f>
        <v/>
      </c>
      <c r="E294" s="21" t="str">
        <f aca="false">IF($X294="","",INDEX('Per Line'!$F$2:$F$4001,$X294))</f>
        <v/>
      </c>
      <c r="F294" s="20" t="str">
        <f aca="false">IF($X294="","",INDEX('Per Line'!$G$2:$G$4001,$X294))</f>
        <v/>
      </c>
      <c r="G294" s="20" t="str">
        <f aca="false">IF($X294="","",INDEX('Per Line'!$I$2:$I$4001,$X294))</f>
        <v/>
      </c>
      <c r="H294" s="20" t="str">
        <f aca="false">IF($X294="","",INDEX('Per Line'!$J$2:$J$4001,$X294))</f>
        <v/>
      </c>
      <c r="I294" s="20" t="str">
        <f aca="false">IF($X294="","",INDEX('Per Line'!$K$2:$K$4001,$X294))</f>
        <v/>
      </c>
      <c r="J294" s="20" t="str">
        <f aca="false">IF($X294="","",INDEX('Per Line'!$L$2:$L$4001,$X294))</f>
        <v/>
      </c>
      <c r="K294" s="20" t="str">
        <f aca="false">IF($X294="","",INDEX('Per Line'!$M$2:$M$4001,$X294))</f>
        <v/>
      </c>
      <c r="L294" s="22" t="str">
        <f aca="false">IF($X294="","",K294*V294/100)</f>
        <v/>
      </c>
      <c r="M294" s="20" t="str">
        <f aca="false">IF($X294="","",INDEX('Per Line'!$Z$2:$Z$4001,$X294))</f>
        <v/>
      </c>
      <c r="N294" s="23" t="str">
        <f aca="false">IF($X294="","",Settings!$C$7)</f>
        <v/>
      </c>
      <c r="O294" s="22" t="str">
        <f aca="false">IF($X294="","",SUMIFS('Per Line'!$Y$2:$Y$4001,'Per Line'!$D$2:$D$4001,$B294,'Per Line'!$AJ$2:$AJ$4001,0))</f>
        <v/>
      </c>
      <c r="P294" s="22" t="str">
        <f aca="false">IF($X294="","",O294*N294)</f>
        <v/>
      </c>
      <c r="Q294" s="23" t="str">
        <f aca="false">IF($X294="","",Settings!$C$6)</f>
        <v/>
      </c>
      <c r="R294" s="22" t="str">
        <f aca="false">IF($X294="","",SUMIFS('Per Line'!$Y$2:$Y$4001,'Per Line'!$D$2:$D$4001,$B294,'Per Line'!$AJ$2:$AJ$4001,1))</f>
        <v/>
      </c>
      <c r="S294" s="22" t="str">
        <f aca="false">IF($X294="","",R294*Q294)</f>
        <v/>
      </c>
      <c r="T294" s="22" t="str">
        <f aca="false">IF($X294="","",S294+P294)</f>
        <v/>
      </c>
      <c r="U294" s="22" t="str">
        <f aca="false">IF($X294="","",V294-T294)</f>
        <v/>
      </c>
      <c r="V294" s="22" t="str">
        <f aca="false">IF($X294="","",O294+R294)</f>
        <v/>
      </c>
      <c r="W294" s="22" t="str">
        <f aca="false">IF($X294="","",U294-L294)</f>
        <v/>
      </c>
      <c r="X294" s="24" t="str">
        <f aca="false">IF(ROWS($X$2:$X294)&lt;=MAX('Per Line'!$AI$2:$AI$4001),MATCH(ROWS($X$2:$X294),'Per Line'!$AI$2:$AI$4001,0),"")</f>
        <v/>
      </c>
    </row>
    <row r="295" customFormat="false" ht="15" hidden="false" customHeight="false" outlineLevel="0" collapsed="false">
      <c r="A295" s="19"/>
      <c r="B295" s="20" t="str">
        <f aca="false">IF($X295="","",INDEX('Per Line'!$D$2:$D$4001,$X295))</f>
        <v/>
      </c>
      <c r="C295" s="20" t="str">
        <f aca="false">IF($X295="","",INDEX('Per Line'!$C$2:$C$4001,$X295))</f>
        <v/>
      </c>
      <c r="D295" s="20" t="str">
        <f aca="false">IF($X295="","",INDEX('Per Line'!$A$2:$A$4001,$X295))</f>
        <v/>
      </c>
      <c r="E295" s="21" t="str">
        <f aca="false">IF($X295="","",INDEX('Per Line'!$F$2:$F$4001,$X295))</f>
        <v/>
      </c>
      <c r="F295" s="20" t="str">
        <f aca="false">IF($X295="","",INDEX('Per Line'!$G$2:$G$4001,$X295))</f>
        <v/>
      </c>
      <c r="G295" s="20" t="str">
        <f aca="false">IF($X295="","",INDEX('Per Line'!$I$2:$I$4001,$X295))</f>
        <v/>
      </c>
      <c r="H295" s="20" t="str">
        <f aca="false">IF($X295="","",INDEX('Per Line'!$J$2:$J$4001,$X295))</f>
        <v/>
      </c>
      <c r="I295" s="20" t="str">
        <f aca="false">IF($X295="","",INDEX('Per Line'!$K$2:$K$4001,$X295))</f>
        <v/>
      </c>
      <c r="J295" s="20" t="str">
        <f aca="false">IF($X295="","",INDEX('Per Line'!$L$2:$L$4001,$X295))</f>
        <v/>
      </c>
      <c r="K295" s="20" t="str">
        <f aca="false">IF($X295="","",INDEX('Per Line'!$M$2:$M$4001,$X295))</f>
        <v/>
      </c>
      <c r="L295" s="22" t="str">
        <f aca="false">IF($X295="","",K295*V295/100)</f>
        <v/>
      </c>
      <c r="M295" s="20" t="str">
        <f aca="false">IF($X295="","",INDEX('Per Line'!$Z$2:$Z$4001,$X295))</f>
        <v/>
      </c>
      <c r="N295" s="23" t="str">
        <f aca="false">IF($X295="","",Settings!$C$7)</f>
        <v/>
      </c>
      <c r="O295" s="22" t="str">
        <f aca="false">IF($X295="","",SUMIFS('Per Line'!$Y$2:$Y$4001,'Per Line'!$D$2:$D$4001,$B295,'Per Line'!$AJ$2:$AJ$4001,0))</f>
        <v/>
      </c>
      <c r="P295" s="22" t="str">
        <f aca="false">IF($X295="","",O295*N295)</f>
        <v/>
      </c>
      <c r="Q295" s="23" t="str">
        <f aca="false">IF($X295="","",Settings!$C$6)</f>
        <v/>
      </c>
      <c r="R295" s="22" t="str">
        <f aca="false">IF($X295="","",SUMIFS('Per Line'!$Y$2:$Y$4001,'Per Line'!$D$2:$D$4001,$B295,'Per Line'!$AJ$2:$AJ$4001,1))</f>
        <v/>
      </c>
      <c r="S295" s="22" t="str">
        <f aca="false">IF($X295="","",R295*Q295)</f>
        <v/>
      </c>
      <c r="T295" s="22" t="str">
        <f aca="false">IF($X295="","",S295+P295)</f>
        <v/>
      </c>
      <c r="U295" s="22" t="str">
        <f aca="false">IF($X295="","",V295-T295)</f>
        <v/>
      </c>
      <c r="V295" s="22" t="str">
        <f aca="false">IF($X295="","",O295+R295)</f>
        <v/>
      </c>
      <c r="W295" s="22" t="str">
        <f aca="false">IF($X295="","",U295-L295)</f>
        <v/>
      </c>
      <c r="X295" s="24" t="str">
        <f aca="false">IF(ROWS($X$2:$X295)&lt;=MAX('Per Line'!$AI$2:$AI$4001),MATCH(ROWS($X$2:$X295),'Per Line'!$AI$2:$AI$4001,0),"")</f>
        <v/>
      </c>
    </row>
    <row r="296" customFormat="false" ht="15" hidden="false" customHeight="false" outlineLevel="0" collapsed="false">
      <c r="A296" s="19"/>
      <c r="B296" s="20" t="str">
        <f aca="false">IF($X296="","",INDEX('Per Line'!$D$2:$D$4001,$X296))</f>
        <v/>
      </c>
      <c r="C296" s="20" t="str">
        <f aca="false">IF($X296="","",INDEX('Per Line'!$C$2:$C$4001,$X296))</f>
        <v/>
      </c>
      <c r="D296" s="20" t="str">
        <f aca="false">IF($X296="","",INDEX('Per Line'!$A$2:$A$4001,$X296))</f>
        <v/>
      </c>
      <c r="E296" s="21" t="str">
        <f aca="false">IF($X296="","",INDEX('Per Line'!$F$2:$F$4001,$X296))</f>
        <v/>
      </c>
      <c r="F296" s="20" t="str">
        <f aca="false">IF($X296="","",INDEX('Per Line'!$G$2:$G$4001,$X296))</f>
        <v/>
      </c>
      <c r="G296" s="20" t="str">
        <f aca="false">IF($X296="","",INDEX('Per Line'!$I$2:$I$4001,$X296))</f>
        <v/>
      </c>
      <c r="H296" s="20" t="str">
        <f aca="false">IF($X296="","",INDEX('Per Line'!$J$2:$J$4001,$X296))</f>
        <v/>
      </c>
      <c r="I296" s="20" t="str">
        <f aca="false">IF($X296="","",INDEX('Per Line'!$K$2:$K$4001,$X296))</f>
        <v/>
      </c>
      <c r="J296" s="20" t="str">
        <f aca="false">IF($X296="","",INDEX('Per Line'!$L$2:$L$4001,$X296))</f>
        <v/>
      </c>
      <c r="K296" s="20" t="str">
        <f aca="false">IF($X296="","",INDEX('Per Line'!$M$2:$M$4001,$X296))</f>
        <v/>
      </c>
      <c r="L296" s="22" t="str">
        <f aca="false">IF($X296="","",K296*V296/100)</f>
        <v/>
      </c>
      <c r="M296" s="20" t="str">
        <f aca="false">IF($X296="","",INDEX('Per Line'!$Z$2:$Z$4001,$X296))</f>
        <v/>
      </c>
      <c r="N296" s="23" t="str">
        <f aca="false">IF($X296="","",Settings!$C$7)</f>
        <v/>
      </c>
      <c r="O296" s="22" t="str">
        <f aca="false">IF($X296="","",SUMIFS('Per Line'!$Y$2:$Y$4001,'Per Line'!$D$2:$D$4001,$B296,'Per Line'!$AJ$2:$AJ$4001,0))</f>
        <v/>
      </c>
      <c r="P296" s="22" t="str">
        <f aca="false">IF($X296="","",O296*N296)</f>
        <v/>
      </c>
      <c r="Q296" s="23" t="str">
        <f aca="false">IF($X296="","",Settings!$C$6)</f>
        <v/>
      </c>
      <c r="R296" s="22" t="str">
        <f aca="false">IF($X296="","",SUMIFS('Per Line'!$Y$2:$Y$4001,'Per Line'!$D$2:$D$4001,$B296,'Per Line'!$AJ$2:$AJ$4001,1))</f>
        <v/>
      </c>
      <c r="S296" s="22" t="str">
        <f aca="false">IF($X296="","",R296*Q296)</f>
        <v/>
      </c>
      <c r="T296" s="22" t="str">
        <f aca="false">IF($X296="","",S296+P296)</f>
        <v/>
      </c>
      <c r="U296" s="22" t="str">
        <f aca="false">IF($X296="","",V296-T296)</f>
        <v/>
      </c>
      <c r="V296" s="22" t="str">
        <f aca="false">IF($X296="","",O296+R296)</f>
        <v/>
      </c>
      <c r="W296" s="22" t="str">
        <f aca="false">IF($X296="","",U296-L296)</f>
        <v/>
      </c>
      <c r="X296" s="24" t="str">
        <f aca="false">IF(ROWS($X$2:$X296)&lt;=MAX('Per Line'!$AI$2:$AI$4001),MATCH(ROWS($X$2:$X296),'Per Line'!$AI$2:$AI$4001,0),"")</f>
        <v/>
      </c>
    </row>
    <row r="297" customFormat="false" ht="15" hidden="false" customHeight="false" outlineLevel="0" collapsed="false">
      <c r="A297" s="19"/>
      <c r="B297" s="20" t="str">
        <f aca="false">IF($X297="","",INDEX('Per Line'!$D$2:$D$4001,$X297))</f>
        <v/>
      </c>
      <c r="C297" s="20" t="str">
        <f aca="false">IF($X297="","",INDEX('Per Line'!$C$2:$C$4001,$X297))</f>
        <v/>
      </c>
      <c r="D297" s="20" t="str">
        <f aca="false">IF($X297="","",INDEX('Per Line'!$A$2:$A$4001,$X297))</f>
        <v/>
      </c>
      <c r="E297" s="21" t="str">
        <f aca="false">IF($X297="","",INDEX('Per Line'!$F$2:$F$4001,$X297))</f>
        <v/>
      </c>
      <c r="F297" s="20" t="str">
        <f aca="false">IF($X297="","",INDEX('Per Line'!$G$2:$G$4001,$X297))</f>
        <v/>
      </c>
      <c r="G297" s="20" t="str">
        <f aca="false">IF($X297="","",INDEX('Per Line'!$I$2:$I$4001,$X297))</f>
        <v/>
      </c>
      <c r="H297" s="20" t="str">
        <f aca="false">IF($X297="","",INDEX('Per Line'!$J$2:$J$4001,$X297))</f>
        <v/>
      </c>
      <c r="I297" s="20" t="str">
        <f aca="false">IF($X297="","",INDEX('Per Line'!$K$2:$K$4001,$X297))</f>
        <v/>
      </c>
      <c r="J297" s="20" t="str">
        <f aca="false">IF($X297="","",INDEX('Per Line'!$L$2:$L$4001,$X297))</f>
        <v/>
      </c>
      <c r="K297" s="20" t="str">
        <f aca="false">IF($X297="","",INDEX('Per Line'!$M$2:$M$4001,$X297))</f>
        <v/>
      </c>
      <c r="L297" s="22" t="str">
        <f aca="false">IF($X297="","",K297*V297/100)</f>
        <v/>
      </c>
      <c r="M297" s="20" t="str">
        <f aca="false">IF($X297="","",INDEX('Per Line'!$Z$2:$Z$4001,$X297))</f>
        <v/>
      </c>
      <c r="N297" s="23" t="str">
        <f aca="false">IF($X297="","",Settings!$C$7)</f>
        <v/>
      </c>
      <c r="O297" s="22" t="str">
        <f aca="false">IF($X297="","",SUMIFS('Per Line'!$Y$2:$Y$4001,'Per Line'!$D$2:$D$4001,$B297,'Per Line'!$AJ$2:$AJ$4001,0))</f>
        <v/>
      </c>
      <c r="P297" s="22" t="str">
        <f aca="false">IF($X297="","",O297*N297)</f>
        <v/>
      </c>
      <c r="Q297" s="23" t="str">
        <f aca="false">IF($X297="","",Settings!$C$6)</f>
        <v/>
      </c>
      <c r="R297" s="22" t="str">
        <f aca="false">IF($X297="","",SUMIFS('Per Line'!$Y$2:$Y$4001,'Per Line'!$D$2:$D$4001,$B297,'Per Line'!$AJ$2:$AJ$4001,1))</f>
        <v/>
      </c>
      <c r="S297" s="22" t="str">
        <f aca="false">IF($X297="","",R297*Q297)</f>
        <v/>
      </c>
      <c r="T297" s="22" t="str">
        <f aca="false">IF($X297="","",S297+P297)</f>
        <v/>
      </c>
      <c r="U297" s="22" t="str">
        <f aca="false">IF($X297="","",V297-T297)</f>
        <v/>
      </c>
      <c r="V297" s="22" t="str">
        <f aca="false">IF($X297="","",O297+R297)</f>
        <v/>
      </c>
      <c r="W297" s="22" t="str">
        <f aca="false">IF($X297="","",U297-L297)</f>
        <v/>
      </c>
      <c r="X297" s="24" t="str">
        <f aca="false">IF(ROWS($X$2:$X297)&lt;=MAX('Per Line'!$AI$2:$AI$4001),MATCH(ROWS($X$2:$X297),'Per Line'!$AI$2:$AI$4001,0),"")</f>
        <v/>
      </c>
    </row>
    <row r="298" customFormat="false" ht="15" hidden="false" customHeight="false" outlineLevel="0" collapsed="false">
      <c r="A298" s="19"/>
      <c r="B298" s="20" t="str">
        <f aca="false">IF($X298="","",INDEX('Per Line'!$D$2:$D$4001,$X298))</f>
        <v/>
      </c>
      <c r="C298" s="20" t="str">
        <f aca="false">IF($X298="","",INDEX('Per Line'!$C$2:$C$4001,$X298))</f>
        <v/>
      </c>
      <c r="D298" s="20" t="str">
        <f aca="false">IF($X298="","",INDEX('Per Line'!$A$2:$A$4001,$X298))</f>
        <v/>
      </c>
      <c r="E298" s="21" t="str">
        <f aca="false">IF($X298="","",INDEX('Per Line'!$F$2:$F$4001,$X298))</f>
        <v/>
      </c>
      <c r="F298" s="20" t="str">
        <f aca="false">IF($X298="","",INDEX('Per Line'!$G$2:$G$4001,$X298))</f>
        <v/>
      </c>
      <c r="G298" s="20" t="str">
        <f aca="false">IF($X298="","",INDEX('Per Line'!$I$2:$I$4001,$X298))</f>
        <v/>
      </c>
      <c r="H298" s="20" t="str">
        <f aca="false">IF($X298="","",INDEX('Per Line'!$J$2:$J$4001,$X298))</f>
        <v/>
      </c>
      <c r="I298" s="20" t="str">
        <f aca="false">IF($X298="","",INDEX('Per Line'!$K$2:$K$4001,$X298))</f>
        <v/>
      </c>
      <c r="J298" s="20" t="str">
        <f aca="false">IF($X298="","",INDEX('Per Line'!$L$2:$L$4001,$X298))</f>
        <v/>
      </c>
      <c r="K298" s="20" t="str">
        <f aca="false">IF($X298="","",INDEX('Per Line'!$M$2:$M$4001,$X298))</f>
        <v/>
      </c>
      <c r="L298" s="22" t="str">
        <f aca="false">IF($X298="","",K298*V298/100)</f>
        <v/>
      </c>
      <c r="M298" s="20" t="str">
        <f aca="false">IF($X298="","",INDEX('Per Line'!$Z$2:$Z$4001,$X298))</f>
        <v/>
      </c>
      <c r="N298" s="23" t="str">
        <f aca="false">IF($X298="","",Settings!$C$7)</f>
        <v/>
      </c>
      <c r="O298" s="22" t="str">
        <f aca="false">IF($X298="","",SUMIFS('Per Line'!$Y$2:$Y$4001,'Per Line'!$D$2:$D$4001,$B298,'Per Line'!$AJ$2:$AJ$4001,0))</f>
        <v/>
      </c>
      <c r="P298" s="22" t="str">
        <f aca="false">IF($X298="","",O298*N298)</f>
        <v/>
      </c>
      <c r="Q298" s="23" t="str">
        <f aca="false">IF($X298="","",Settings!$C$6)</f>
        <v/>
      </c>
      <c r="R298" s="22" t="str">
        <f aca="false">IF($X298="","",SUMIFS('Per Line'!$Y$2:$Y$4001,'Per Line'!$D$2:$D$4001,$B298,'Per Line'!$AJ$2:$AJ$4001,1))</f>
        <v/>
      </c>
      <c r="S298" s="22" t="str">
        <f aca="false">IF($X298="","",R298*Q298)</f>
        <v/>
      </c>
      <c r="T298" s="22" t="str">
        <f aca="false">IF($X298="","",S298+P298)</f>
        <v/>
      </c>
      <c r="U298" s="22" t="str">
        <f aca="false">IF($X298="","",V298-T298)</f>
        <v/>
      </c>
      <c r="V298" s="22" t="str">
        <f aca="false">IF($X298="","",O298+R298)</f>
        <v/>
      </c>
      <c r="W298" s="22" t="str">
        <f aca="false">IF($X298="","",U298-L298)</f>
        <v/>
      </c>
      <c r="X298" s="24" t="str">
        <f aca="false">IF(ROWS($X$2:$X298)&lt;=MAX('Per Line'!$AI$2:$AI$4001),MATCH(ROWS($X$2:$X298),'Per Line'!$AI$2:$AI$4001,0),"")</f>
        <v/>
      </c>
    </row>
    <row r="299" customFormat="false" ht="15" hidden="false" customHeight="false" outlineLevel="0" collapsed="false">
      <c r="A299" s="19"/>
      <c r="B299" s="20" t="str">
        <f aca="false">IF($X299="","",INDEX('Per Line'!$D$2:$D$4001,$X299))</f>
        <v/>
      </c>
      <c r="C299" s="20" t="str">
        <f aca="false">IF($X299="","",INDEX('Per Line'!$C$2:$C$4001,$X299))</f>
        <v/>
      </c>
      <c r="D299" s="20" t="str">
        <f aca="false">IF($X299="","",INDEX('Per Line'!$A$2:$A$4001,$X299))</f>
        <v/>
      </c>
      <c r="E299" s="21" t="str">
        <f aca="false">IF($X299="","",INDEX('Per Line'!$F$2:$F$4001,$X299))</f>
        <v/>
      </c>
      <c r="F299" s="20" t="str">
        <f aca="false">IF($X299="","",INDEX('Per Line'!$G$2:$G$4001,$X299))</f>
        <v/>
      </c>
      <c r="G299" s="20" t="str">
        <f aca="false">IF($X299="","",INDEX('Per Line'!$I$2:$I$4001,$X299))</f>
        <v/>
      </c>
      <c r="H299" s="20" t="str">
        <f aca="false">IF($X299="","",INDEX('Per Line'!$J$2:$J$4001,$X299))</f>
        <v/>
      </c>
      <c r="I299" s="20" t="str">
        <f aca="false">IF($X299="","",INDEX('Per Line'!$K$2:$K$4001,$X299))</f>
        <v/>
      </c>
      <c r="J299" s="20" t="str">
        <f aca="false">IF($X299="","",INDEX('Per Line'!$L$2:$L$4001,$X299))</f>
        <v/>
      </c>
      <c r="K299" s="20" t="str">
        <f aca="false">IF($X299="","",INDEX('Per Line'!$M$2:$M$4001,$X299))</f>
        <v/>
      </c>
      <c r="L299" s="22" t="str">
        <f aca="false">IF($X299="","",K299*V299/100)</f>
        <v/>
      </c>
      <c r="M299" s="20" t="str">
        <f aca="false">IF($X299="","",INDEX('Per Line'!$Z$2:$Z$4001,$X299))</f>
        <v/>
      </c>
      <c r="N299" s="23" t="str">
        <f aca="false">IF($X299="","",Settings!$C$7)</f>
        <v/>
      </c>
      <c r="O299" s="22" t="str">
        <f aca="false">IF($X299="","",SUMIFS('Per Line'!$Y$2:$Y$4001,'Per Line'!$D$2:$D$4001,$B299,'Per Line'!$AJ$2:$AJ$4001,0))</f>
        <v/>
      </c>
      <c r="P299" s="22" t="str">
        <f aca="false">IF($X299="","",O299*N299)</f>
        <v/>
      </c>
      <c r="Q299" s="23" t="str">
        <f aca="false">IF($X299="","",Settings!$C$6)</f>
        <v/>
      </c>
      <c r="R299" s="22" t="str">
        <f aca="false">IF($X299="","",SUMIFS('Per Line'!$Y$2:$Y$4001,'Per Line'!$D$2:$D$4001,$B299,'Per Line'!$AJ$2:$AJ$4001,1))</f>
        <v/>
      </c>
      <c r="S299" s="22" t="str">
        <f aca="false">IF($X299="","",R299*Q299)</f>
        <v/>
      </c>
      <c r="T299" s="22" t="str">
        <f aca="false">IF($X299="","",S299+P299)</f>
        <v/>
      </c>
      <c r="U299" s="22" t="str">
        <f aca="false">IF($X299="","",V299-T299)</f>
        <v/>
      </c>
      <c r="V299" s="22" t="str">
        <f aca="false">IF($X299="","",O299+R299)</f>
        <v/>
      </c>
      <c r="W299" s="22" t="str">
        <f aca="false">IF($X299="","",U299-L299)</f>
        <v/>
      </c>
      <c r="X299" s="24" t="str">
        <f aca="false">IF(ROWS($X$2:$X299)&lt;=MAX('Per Line'!$AI$2:$AI$4001),MATCH(ROWS($X$2:$X299),'Per Line'!$AI$2:$AI$4001,0),"")</f>
        <v/>
      </c>
    </row>
    <row r="300" customFormat="false" ht="15" hidden="false" customHeight="false" outlineLevel="0" collapsed="false">
      <c r="A300" s="19"/>
      <c r="B300" s="20" t="str">
        <f aca="false">IF($X300="","",INDEX('Per Line'!$D$2:$D$4001,$X300))</f>
        <v/>
      </c>
      <c r="C300" s="20" t="str">
        <f aca="false">IF($X300="","",INDEX('Per Line'!$C$2:$C$4001,$X300))</f>
        <v/>
      </c>
      <c r="D300" s="20" t="str">
        <f aca="false">IF($X300="","",INDEX('Per Line'!$A$2:$A$4001,$X300))</f>
        <v/>
      </c>
      <c r="E300" s="21" t="str">
        <f aca="false">IF($X300="","",INDEX('Per Line'!$F$2:$F$4001,$X300))</f>
        <v/>
      </c>
      <c r="F300" s="20" t="str">
        <f aca="false">IF($X300="","",INDEX('Per Line'!$G$2:$G$4001,$X300))</f>
        <v/>
      </c>
      <c r="G300" s="20" t="str">
        <f aca="false">IF($X300="","",INDEX('Per Line'!$I$2:$I$4001,$X300))</f>
        <v/>
      </c>
      <c r="H300" s="20" t="str">
        <f aca="false">IF($X300="","",INDEX('Per Line'!$J$2:$J$4001,$X300))</f>
        <v/>
      </c>
      <c r="I300" s="20" t="str">
        <f aca="false">IF($X300="","",INDEX('Per Line'!$K$2:$K$4001,$X300))</f>
        <v/>
      </c>
      <c r="J300" s="20" t="str">
        <f aca="false">IF($X300="","",INDEX('Per Line'!$L$2:$L$4001,$X300))</f>
        <v/>
      </c>
      <c r="K300" s="20" t="str">
        <f aca="false">IF($X300="","",INDEX('Per Line'!$M$2:$M$4001,$X300))</f>
        <v/>
      </c>
      <c r="L300" s="22" t="str">
        <f aca="false">IF($X300="","",K300*V300/100)</f>
        <v/>
      </c>
      <c r="M300" s="20" t="str">
        <f aca="false">IF($X300="","",INDEX('Per Line'!$Z$2:$Z$4001,$X300))</f>
        <v/>
      </c>
      <c r="N300" s="23" t="str">
        <f aca="false">IF($X300="","",Settings!$C$7)</f>
        <v/>
      </c>
      <c r="O300" s="22" t="str">
        <f aca="false">IF($X300="","",SUMIFS('Per Line'!$Y$2:$Y$4001,'Per Line'!$D$2:$D$4001,$B300,'Per Line'!$AJ$2:$AJ$4001,0))</f>
        <v/>
      </c>
      <c r="P300" s="22" t="str">
        <f aca="false">IF($X300="","",O300*N300)</f>
        <v/>
      </c>
      <c r="Q300" s="23" t="str">
        <f aca="false">IF($X300="","",Settings!$C$6)</f>
        <v/>
      </c>
      <c r="R300" s="22" t="str">
        <f aca="false">IF($X300="","",SUMIFS('Per Line'!$Y$2:$Y$4001,'Per Line'!$D$2:$D$4001,$B300,'Per Line'!$AJ$2:$AJ$4001,1))</f>
        <v/>
      </c>
      <c r="S300" s="22" t="str">
        <f aca="false">IF($X300="","",R300*Q300)</f>
        <v/>
      </c>
      <c r="T300" s="22" t="str">
        <f aca="false">IF($X300="","",S300+P300)</f>
        <v/>
      </c>
      <c r="U300" s="22" t="str">
        <f aca="false">IF($X300="","",V300-T300)</f>
        <v/>
      </c>
      <c r="V300" s="22" t="str">
        <f aca="false">IF($X300="","",O300+R300)</f>
        <v/>
      </c>
      <c r="W300" s="22" t="str">
        <f aca="false">IF($X300="","",U300-L300)</f>
        <v/>
      </c>
      <c r="X300" s="24" t="str">
        <f aca="false">IF(ROWS($X$2:$X300)&lt;=MAX('Per Line'!$AI$2:$AI$4001),MATCH(ROWS($X$2:$X300),'Per Line'!$AI$2:$AI$4001,0),"")</f>
        <v/>
      </c>
    </row>
    <row r="301" customFormat="false" ht="15" hidden="false" customHeight="false" outlineLevel="0" collapsed="false">
      <c r="A301" s="19"/>
      <c r="B301" s="20" t="str">
        <f aca="false">IF($X301="","",INDEX('Per Line'!$D$2:$D$4001,$X301))</f>
        <v/>
      </c>
      <c r="C301" s="20" t="str">
        <f aca="false">IF($X301="","",INDEX('Per Line'!$C$2:$C$4001,$X301))</f>
        <v/>
      </c>
      <c r="D301" s="20" t="str">
        <f aca="false">IF($X301="","",INDEX('Per Line'!$A$2:$A$4001,$X301))</f>
        <v/>
      </c>
      <c r="E301" s="21" t="str">
        <f aca="false">IF($X301="","",INDEX('Per Line'!$F$2:$F$4001,$X301))</f>
        <v/>
      </c>
      <c r="F301" s="20" t="str">
        <f aca="false">IF($X301="","",INDEX('Per Line'!$G$2:$G$4001,$X301))</f>
        <v/>
      </c>
      <c r="G301" s="20" t="str">
        <f aca="false">IF($X301="","",INDEX('Per Line'!$I$2:$I$4001,$X301))</f>
        <v/>
      </c>
      <c r="H301" s="20" t="str">
        <f aca="false">IF($X301="","",INDEX('Per Line'!$J$2:$J$4001,$X301))</f>
        <v/>
      </c>
      <c r="I301" s="20" t="str">
        <f aca="false">IF($X301="","",INDEX('Per Line'!$K$2:$K$4001,$X301))</f>
        <v/>
      </c>
      <c r="J301" s="20" t="str">
        <f aca="false">IF($X301="","",INDEX('Per Line'!$L$2:$L$4001,$X301))</f>
        <v/>
      </c>
      <c r="K301" s="20" t="str">
        <f aca="false">IF($X301="","",INDEX('Per Line'!$M$2:$M$4001,$X301))</f>
        <v/>
      </c>
      <c r="L301" s="22" t="str">
        <f aca="false">IF($X301="","",K301*V301/100)</f>
        <v/>
      </c>
      <c r="M301" s="20" t="str">
        <f aca="false">IF($X301="","",INDEX('Per Line'!$Z$2:$Z$4001,$X301))</f>
        <v/>
      </c>
      <c r="N301" s="23" t="str">
        <f aca="false">IF($X301="","",Settings!$C$7)</f>
        <v/>
      </c>
      <c r="O301" s="22" t="str">
        <f aca="false">IF($X301="","",SUMIFS('Per Line'!$Y$2:$Y$4001,'Per Line'!$D$2:$D$4001,$B301,'Per Line'!$AJ$2:$AJ$4001,0))</f>
        <v/>
      </c>
      <c r="P301" s="22" t="str">
        <f aca="false">IF($X301="","",O301*N301)</f>
        <v/>
      </c>
      <c r="Q301" s="23" t="str">
        <f aca="false">IF($X301="","",Settings!$C$6)</f>
        <v/>
      </c>
      <c r="R301" s="22" t="str">
        <f aca="false">IF($X301="","",SUMIFS('Per Line'!$Y$2:$Y$4001,'Per Line'!$D$2:$D$4001,$B301,'Per Line'!$AJ$2:$AJ$4001,1))</f>
        <v/>
      </c>
      <c r="S301" s="22" t="str">
        <f aca="false">IF($X301="","",R301*Q301)</f>
        <v/>
      </c>
      <c r="T301" s="22" t="str">
        <f aca="false">IF($X301="","",S301+P301)</f>
        <v/>
      </c>
      <c r="U301" s="22" t="str">
        <f aca="false">IF($X301="","",V301-T301)</f>
        <v/>
      </c>
      <c r="V301" s="22" t="str">
        <f aca="false">IF($X301="","",O301+R301)</f>
        <v/>
      </c>
      <c r="W301" s="22" t="str">
        <f aca="false">IF($X301="","",U301-L301)</f>
        <v/>
      </c>
      <c r="X301" s="24" t="str">
        <f aca="false">IF(ROWS($X$2:$X301)&lt;=MAX('Per Line'!$AI$2:$AI$4001),MATCH(ROWS($X$2:$X301),'Per Line'!$AI$2:$AI$4001,0),"")</f>
        <v/>
      </c>
    </row>
    <row r="302" customFormat="false" ht="15" hidden="false" customHeight="false" outlineLevel="0" collapsed="false">
      <c r="A302" s="19"/>
      <c r="B302" s="20" t="str">
        <f aca="false">IF($X302="","",INDEX('Per Line'!$D$2:$D$4001,$X302))</f>
        <v/>
      </c>
      <c r="C302" s="20" t="str">
        <f aca="false">IF($X302="","",INDEX('Per Line'!$C$2:$C$4001,$X302))</f>
        <v/>
      </c>
      <c r="D302" s="20" t="str">
        <f aca="false">IF($X302="","",INDEX('Per Line'!$A$2:$A$4001,$X302))</f>
        <v/>
      </c>
      <c r="E302" s="21" t="str">
        <f aca="false">IF($X302="","",INDEX('Per Line'!$F$2:$F$4001,$X302))</f>
        <v/>
      </c>
      <c r="F302" s="20" t="str">
        <f aca="false">IF($X302="","",INDEX('Per Line'!$G$2:$G$4001,$X302))</f>
        <v/>
      </c>
      <c r="G302" s="20" t="str">
        <f aca="false">IF($X302="","",INDEX('Per Line'!$I$2:$I$4001,$X302))</f>
        <v/>
      </c>
      <c r="H302" s="20" t="str">
        <f aca="false">IF($X302="","",INDEX('Per Line'!$J$2:$J$4001,$X302))</f>
        <v/>
      </c>
      <c r="I302" s="20" t="str">
        <f aca="false">IF($X302="","",INDEX('Per Line'!$K$2:$K$4001,$X302))</f>
        <v/>
      </c>
      <c r="J302" s="20" t="str">
        <f aca="false">IF($X302="","",INDEX('Per Line'!$L$2:$L$4001,$X302))</f>
        <v/>
      </c>
      <c r="K302" s="20" t="str">
        <f aca="false">IF($X302="","",INDEX('Per Line'!$M$2:$M$4001,$X302))</f>
        <v/>
      </c>
      <c r="L302" s="22" t="str">
        <f aca="false">IF($X302="","",K302*V302/100)</f>
        <v/>
      </c>
      <c r="M302" s="20" t="str">
        <f aca="false">IF($X302="","",INDEX('Per Line'!$Z$2:$Z$4001,$X302))</f>
        <v/>
      </c>
      <c r="N302" s="23" t="str">
        <f aca="false">IF($X302="","",Settings!$C$7)</f>
        <v/>
      </c>
      <c r="O302" s="22" t="str">
        <f aca="false">IF($X302="","",SUMIFS('Per Line'!$Y$2:$Y$4001,'Per Line'!$D$2:$D$4001,$B302,'Per Line'!$AJ$2:$AJ$4001,0))</f>
        <v/>
      </c>
      <c r="P302" s="22" t="str">
        <f aca="false">IF($X302="","",O302*N302)</f>
        <v/>
      </c>
      <c r="Q302" s="23" t="str">
        <f aca="false">IF($X302="","",Settings!$C$6)</f>
        <v/>
      </c>
      <c r="R302" s="22" t="str">
        <f aca="false">IF($X302="","",SUMIFS('Per Line'!$Y$2:$Y$4001,'Per Line'!$D$2:$D$4001,$B302,'Per Line'!$AJ$2:$AJ$4001,1))</f>
        <v/>
      </c>
      <c r="S302" s="22" t="str">
        <f aca="false">IF($X302="","",R302*Q302)</f>
        <v/>
      </c>
      <c r="T302" s="22" t="str">
        <f aca="false">IF($X302="","",S302+P302)</f>
        <v/>
      </c>
      <c r="U302" s="22" t="str">
        <f aca="false">IF($X302="","",V302-T302)</f>
        <v/>
      </c>
      <c r="V302" s="22" t="str">
        <f aca="false">IF($X302="","",O302+R302)</f>
        <v/>
      </c>
      <c r="W302" s="22" t="str">
        <f aca="false">IF($X302="","",U302-L302)</f>
        <v/>
      </c>
      <c r="X302" s="24" t="str">
        <f aca="false">IF(ROWS($X$2:$X302)&lt;=MAX('Per Line'!$AI$2:$AI$4001),MATCH(ROWS($X$2:$X302),'Per Line'!$AI$2:$AI$4001,0),"")</f>
        <v/>
      </c>
    </row>
    <row r="303" customFormat="false" ht="15" hidden="false" customHeight="false" outlineLevel="0" collapsed="false">
      <c r="A303" s="19"/>
      <c r="B303" s="20" t="str">
        <f aca="false">IF($X303="","",INDEX('Per Line'!$D$2:$D$4001,$X303))</f>
        <v/>
      </c>
      <c r="C303" s="20" t="str">
        <f aca="false">IF($X303="","",INDEX('Per Line'!$C$2:$C$4001,$X303))</f>
        <v/>
      </c>
      <c r="D303" s="20" t="str">
        <f aca="false">IF($X303="","",INDEX('Per Line'!$A$2:$A$4001,$X303))</f>
        <v/>
      </c>
      <c r="E303" s="21" t="str">
        <f aca="false">IF($X303="","",INDEX('Per Line'!$F$2:$F$4001,$X303))</f>
        <v/>
      </c>
      <c r="F303" s="20" t="str">
        <f aca="false">IF($X303="","",INDEX('Per Line'!$G$2:$G$4001,$X303))</f>
        <v/>
      </c>
      <c r="G303" s="20" t="str">
        <f aca="false">IF($X303="","",INDEX('Per Line'!$I$2:$I$4001,$X303))</f>
        <v/>
      </c>
      <c r="H303" s="20" t="str">
        <f aca="false">IF($X303="","",INDEX('Per Line'!$J$2:$J$4001,$X303))</f>
        <v/>
      </c>
      <c r="I303" s="20" t="str">
        <f aca="false">IF($X303="","",INDEX('Per Line'!$K$2:$K$4001,$X303))</f>
        <v/>
      </c>
      <c r="J303" s="20" t="str">
        <f aca="false">IF($X303="","",INDEX('Per Line'!$L$2:$L$4001,$X303))</f>
        <v/>
      </c>
      <c r="K303" s="20" t="str">
        <f aca="false">IF($X303="","",INDEX('Per Line'!$M$2:$M$4001,$X303))</f>
        <v/>
      </c>
      <c r="L303" s="22" t="str">
        <f aca="false">IF($X303="","",K303*V303/100)</f>
        <v/>
      </c>
      <c r="M303" s="20" t="str">
        <f aca="false">IF($X303="","",INDEX('Per Line'!$Z$2:$Z$4001,$X303))</f>
        <v/>
      </c>
      <c r="N303" s="23" t="str">
        <f aca="false">IF($X303="","",Settings!$C$7)</f>
        <v/>
      </c>
      <c r="O303" s="22" t="str">
        <f aca="false">IF($X303="","",SUMIFS('Per Line'!$Y$2:$Y$4001,'Per Line'!$D$2:$D$4001,$B303,'Per Line'!$AJ$2:$AJ$4001,0))</f>
        <v/>
      </c>
      <c r="P303" s="22" t="str">
        <f aca="false">IF($X303="","",O303*N303)</f>
        <v/>
      </c>
      <c r="Q303" s="23" t="str">
        <f aca="false">IF($X303="","",Settings!$C$6)</f>
        <v/>
      </c>
      <c r="R303" s="22" t="str">
        <f aca="false">IF($X303="","",SUMIFS('Per Line'!$Y$2:$Y$4001,'Per Line'!$D$2:$D$4001,$B303,'Per Line'!$AJ$2:$AJ$4001,1))</f>
        <v/>
      </c>
      <c r="S303" s="22" t="str">
        <f aca="false">IF($X303="","",R303*Q303)</f>
        <v/>
      </c>
      <c r="T303" s="22" t="str">
        <f aca="false">IF($X303="","",S303+P303)</f>
        <v/>
      </c>
      <c r="U303" s="22" t="str">
        <f aca="false">IF($X303="","",V303-T303)</f>
        <v/>
      </c>
      <c r="V303" s="22" t="str">
        <f aca="false">IF($X303="","",O303+R303)</f>
        <v/>
      </c>
      <c r="W303" s="22" t="str">
        <f aca="false">IF($X303="","",U303-L303)</f>
        <v/>
      </c>
      <c r="X303" s="24" t="str">
        <f aca="false">IF(ROWS($X$2:$X303)&lt;=MAX('Per Line'!$AI$2:$AI$4001),MATCH(ROWS($X$2:$X303),'Per Line'!$AI$2:$AI$4001,0),"")</f>
        <v/>
      </c>
    </row>
    <row r="304" customFormat="false" ht="15" hidden="false" customHeight="false" outlineLevel="0" collapsed="false">
      <c r="A304" s="19"/>
      <c r="B304" s="20" t="str">
        <f aca="false">IF($X304="","",INDEX('Per Line'!$D$2:$D$4001,$X304))</f>
        <v/>
      </c>
      <c r="C304" s="20" t="str">
        <f aca="false">IF($X304="","",INDEX('Per Line'!$C$2:$C$4001,$X304))</f>
        <v/>
      </c>
      <c r="D304" s="20" t="str">
        <f aca="false">IF($X304="","",INDEX('Per Line'!$A$2:$A$4001,$X304))</f>
        <v/>
      </c>
      <c r="E304" s="21" t="str">
        <f aca="false">IF($X304="","",INDEX('Per Line'!$F$2:$F$4001,$X304))</f>
        <v/>
      </c>
      <c r="F304" s="20" t="str">
        <f aca="false">IF($X304="","",INDEX('Per Line'!$G$2:$G$4001,$X304))</f>
        <v/>
      </c>
      <c r="G304" s="20" t="str">
        <f aca="false">IF($X304="","",INDEX('Per Line'!$I$2:$I$4001,$X304))</f>
        <v/>
      </c>
      <c r="H304" s="20" t="str">
        <f aca="false">IF($X304="","",INDEX('Per Line'!$J$2:$J$4001,$X304))</f>
        <v/>
      </c>
      <c r="I304" s="20" t="str">
        <f aca="false">IF($X304="","",INDEX('Per Line'!$K$2:$K$4001,$X304))</f>
        <v/>
      </c>
      <c r="J304" s="20" t="str">
        <f aca="false">IF($X304="","",INDEX('Per Line'!$L$2:$L$4001,$X304))</f>
        <v/>
      </c>
      <c r="K304" s="20" t="str">
        <f aca="false">IF($X304="","",INDEX('Per Line'!$M$2:$M$4001,$X304))</f>
        <v/>
      </c>
      <c r="L304" s="22" t="str">
        <f aca="false">IF($X304="","",K304*V304/100)</f>
        <v/>
      </c>
      <c r="M304" s="20" t="str">
        <f aca="false">IF($X304="","",INDEX('Per Line'!$Z$2:$Z$4001,$X304))</f>
        <v/>
      </c>
      <c r="N304" s="23" t="str">
        <f aca="false">IF($X304="","",Settings!$C$7)</f>
        <v/>
      </c>
      <c r="O304" s="22" t="str">
        <f aca="false">IF($X304="","",SUMIFS('Per Line'!$Y$2:$Y$4001,'Per Line'!$D$2:$D$4001,$B304,'Per Line'!$AJ$2:$AJ$4001,0))</f>
        <v/>
      </c>
      <c r="P304" s="22" t="str">
        <f aca="false">IF($X304="","",O304*N304)</f>
        <v/>
      </c>
      <c r="Q304" s="23" t="str">
        <f aca="false">IF($X304="","",Settings!$C$6)</f>
        <v/>
      </c>
      <c r="R304" s="22" t="str">
        <f aca="false">IF($X304="","",SUMIFS('Per Line'!$Y$2:$Y$4001,'Per Line'!$D$2:$D$4001,$B304,'Per Line'!$AJ$2:$AJ$4001,1))</f>
        <v/>
      </c>
      <c r="S304" s="22" t="str">
        <f aca="false">IF($X304="","",R304*Q304)</f>
        <v/>
      </c>
      <c r="T304" s="22" t="str">
        <f aca="false">IF($X304="","",S304+P304)</f>
        <v/>
      </c>
      <c r="U304" s="22" t="str">
        <f aca="false">IF($X304="","",V304-T304)</f>
        <v/>
      </c>
      <c r="V304" s="22" t="str">
        <f aca="false">IF($X304="","",O304+R304)</f>
        <v/>
      </c>
      <c r="W304" s="22" t="str">
        <f aca="false">IF($X304="","",U304-L304)</f>
        <v/>
      </c>
      <c r="X304" s="24" t="str">
        <f aca="false">IF(ROWS($X$2:$X304)&lt;=MAX('Per Line'!$AI$2:$AI$4001),MATCH(ROWS($X$2:$X304),'Per Line'!$AI$2:$AI$4001,0),"")</f>
        <v/>
      </c>
    </row>
    <row r="305" customFormat="false" ht="15" hidden="false" customHeight="false" outlineLevel="0" collapsed="false">
      <c r="A305" s="19"/>
      <c r="B305" s="20" t="str">
        <f aca="false">IF($X305="","",INDEX('Per Line'!$D$2:$D$4001,$X305))</f>
        <v/>
      </c>
      <c r="C305" s="20" t="str">
        <f aca="false">IF($X305="","",INDEX('Per Line'!$C$2:$C$4001,$X305))</f>
        <v/>
      </c>
      <c r="D305" s="20" t="str">
        <f aca="false">IF($X305="","",INDEX('Per Line'!$A$2:$A$4001,$X305))</f>
        <v/>
      </c>
      <c r="E305" s="21" t="str">
        <f aca="false">IF($X305="","",INDEX('Per Line'!$F$2:$F$4001,$X305))</f>
        <v/>
      </c>
      <c r="F305" s="20" t="str">
        <f aca="false">IF($X305="","",INDEX('Per Line'!$G$2:$G$4001,$X305))</f>
        <v/>
      </c>
      <c r="G305" s="20" t="str">
        <f aca="false">IF($X305="","",INDEX('Per Line'!$I$2:$I$4001,$X305))</f>
        <v/>
      </c>
      <c r="H305" s="20" t="str">
        <f aca="false">IF($X305="","",INDEX('Per Line'!$J$2:$J$4001,$X305))</f>
        <v/>
      </c>
      <c r="I305" s="20" t="str">
        <f aca="false">IF($X305="","",INDEX('Per Line'!$K$2:$K$4001,$X305))</f>
        <v/>
      </c>
      <c r="J305" s="20" t="str">
        <f aca="false">IF($X305="","",INDEX('Per Line'!$L$2:$L$4001,$X305))</f>
        <v/>
      </c>
      <c r="K305" s="20" t="str">
        <f aca="false">IF($X305="","",INDEX('Per Line'!$M$2:$M$4001,$X305))</f>
        <v/>
      </c>
      <c r="L305" s="22" t="str">
        <f aca="false">IF($X305="","",K305*V305/100)</f>
        <v/>
      </c>
      <c r="M305" s="20" t="str">
        <f aca="false">IF($X305="","",INDEX('Per Line'!$Z$2:$Z$4001,$X305))</f>
        <v/>
      </c>
      <c r="N305" s="23" t="str">
        <f aca="false">IF($X305="","",Settings!$C$7)</f>
        <v/>
      </c>
      <c r="O305" s="22" t="str">
        <f aca="false">IF($X305="","",SUMIFS('Per Line'!$Y$2:$Y$4001,'Per Line'!$D$2:$D$4001,$B305,'Per Line'!$AJ$2:$AJ$4001,0))</f>
        <v/>
      </c>
      <c r="P305" s="22" t="str">
        <f aca="false">IF($X305="","",O305*N305)</f>
        <v/>
      </c>
      <c r="Q305" s="23" t="str">
        <f aca="false">IF($X305="","",Settings!$C$6)</f>
        <v/>
      </c>
      <c r="R305" s="22" t="str">
        <f aca="false">IF($X305="","",SUMIFS('Per Line'!$Y$2:$Y$4001,'Per Line'!$D$2:$D$4001,$B305,'Per Line'!$AJ$2:$AJ$4001,1))</f>
        <v/>
      </c>
      <c r="S305" s="22" t="str">
        <f aca="false">IF($X305="","",R305*Q305)</f>
        <v/>
      </c>
      <c r="T305" s="22" t="str">
        <f aca="false">IF($X305="","",S305+P305)</f>
        <v/>
      </c>
      <c r="U305" s="22" t="str">
        <f aca="false">IF($X305="","",V305-T305)</f>
        <v/>
      </c>
      <c r="V305" s="22" t="str">
        <f aca="false">IF($X305="","",O305+R305)</f>
        <v/>
      </c>
      <c r="W305" s="22" t="str">
        <f aca="false">IF($X305="","",U305-L305)</f>
        <v/>
      </c>
      <c r="X305" s="24" t="str">
        <f aca="false">IF(ROWS($X$2:$X305)&lt;=MAX('Per Line'!$AI$2:$AI$4001),MATCH(ROWS($X$2:$X305),'Per Line'!$AI$2:$AI$4001,0),"")</f>
        <v/>
      </c>
    </row>
    <row r="306" customFormat="false" ht="15" hidden="false" customHeight="false" outlineLevel="0" collapsed="false">
      <c r="A306" s="19"/>
      <c r="B306" s="20" t="str">
        <f aca="false">IF($X306="","",INDEX('Per Line'!$D$2:$D$4001,$X306))</f>
        <v/>
      </c>
      <c r="C306" s="20" t="str">
        <f aca="false">IF($X306="","",INDEX('Per Line'!$C$2:$C$4001,$X306))</f>
        <v/>
      </c>
      <c r="D306" s="20" t="str">
        <f aca="false">IF($X306="","",INDEX('Per Line'!$A$2:$A$4001,$X306))</f>
        <v/>
      </c>
      <c r="E306" s="21" t="str">
        <f aca="false">IF($X306="","",INDEX('Per Line'!$F$2:$F$4001,$X306))</f>
        <v/>
      </c>
      <c r="F306" s="20" t="str">
        <f aca="false">IF($X306="","",INDEX('Per Line'!$G$2:$G$4001,$X306))</f>
        <v/>
      </c>
      <c r="G306" s="20" t="str">
        <f aca="false">IF($X306="","",INDEX('Per Line'!$I$2:$I$4001,$X306))</f>
        <v/>
      </c>
      <c r="H306" s="20" t="str">
        <f aca="false">IF($X306="","",INDEX('Per Line'!$J$2:$J$4001,$X306))</f>
        <v/>
      </c>
      <c r="I306" s="20" t="str">
        <f aca="false">IF($X306="","",INDEX('Per Line'!$K$2:$K$4001,$X306))</f>
        <v/>
      </c>
      <c r="J306" s="20" t="str">
        <f aca="false">IF($X306="","",INDEX('Per Line'!$L$2:$L$4001,$X306))</f>
        <v/>
      </c>
      <c r="K306" s="20" t="str">
        <f aca="false">IF($X306="","",INDEX('Per Line'!$M$2:$M$4001,$X306))</f>
        <v/>
      </c>
      <c r="L306" s="22" t="str">
        <f aca="false">IF($X306="","",K306*V306/100)</f>
        <v/>
      </c>
      <c r="M306" s="20" t="str">
        <f aca="false">IF($X306="","",INDEX('Per Line'!$Z$2:$Z$4001,$X306))</f>
        <v/>
      </c>
      <c r="N306" s="23" t="str">
        <f aca="false">IF($X306="","",Settings!$C$7)</f>
        <v/>
      </c>
      <c r="O306" s="22" t="str">
        <f aca="false">IF($X306="","",SUMIFS('Per Line'!$Y$2:$Y$4001,'Per Line'!$D$2:$D$4001,$B306,'Per Line'!$AJ$2:$AJ$4001,0))</f>
        <v/>
      </c>
      <c r="P306" s="22" t="str">
        <f aca="false">IF($X306="","",O306*N306)</f>
        <v/>
      </c>
      <c r="Q306" s="23" t="str">
        <f aca="false">IF($X306="","",Settings!$C$6)</f>
        <v/>
      </c>
      <c r="R306" s="22" t="str">
        <f aca="false">IF($X306="","",SUMIFS('Per Line'!$Y$2:$Y$4001,'Per Line'!$D$2:$D$4001,$B306,'Per Line'!$AJ$2:$AJ$4001,1))</f>
        <v/>
      </c>
      <c r="S306" s="22" t="str">
        <f aca="false">IF($X306="","",R306*Q306)</f>
        <v/>
      </c>
      <c r="T306" s="22" t="str">
        <f aca="false">IF($X306="","",S306+P306)</f>
        <v/>
      </c>
      <c r="U306" s="22" t="str">
        <f aca="false">IF($X306="","",V306-T306)</f>
        <v/>
      </c>
      <c r="V306" s="22" t="str">
        <f aca="false">IF($X306="","",O306+R306)</f>
        <v/>
      </c>
      <c r="W306" s="22" t="str">
        <f aca="false">IF($X306="","",U306-L306)</f>
        <v/>
      </c>
      <c r="X306" s="24" t="str">
        <f aca="false">IF(ROWS($X$2:$X306)&lt;=MAX('Per Line'!$AI$2:$AI$4001),MATCH(ROWS($X$2:$X306),'Per Line'!$AI$2:$AI$4001,0),"")</f>
        <v/>
      </c>
    </row>
    <row r="307" customFormat="false" ht="15" hidden="false" customHeight="false" outlineLevel="0" collapsed="false">
      <c r="A307" s="19"/>
      <c r="B307" s="20" t="str">
        <f aca="false">IF($X307="","",INDEX('Per Line'!$D$2:$D$4001,$X307))</f>
        <v/>
      </c>
      <c r="C307" s="20" t="str">
        <f aca="false">IF($X307="","",INDEX('Per Line'!$C$2:$C$4001,$X307))</f>
        <v/>
      </c>
      <c r="D307" s="20" t="str">
        <f aca="false">IF($X307="","",INDEX('Per Line'!$A$2:$A$4001,$X307))</f>
        <v/>
      </c>
      <c r="E307" s="21" t="str">
        <f aca="false">IF($X307="","",INDEX('Per Line'!$F$2:$F$4001,$X307))</f>
        <v/>
      </c>
      <c r="F307" s="20" t="str">
        <f aca="false">IF($X307="","",INDEX('Per Line'!$G$2:$G$4001,$X307))</f>
        <v/>
      </c>
      <c r="G307" s="20" t="str">
        <f aca="false">IF($X307="","",INDEX('Per Line'!$I$2:$I$4001,$X307))</f>
        <v/>
      </c>
      <c r="H307" s="20" t="str">
        <f aca="false">IF($X307="","",INDEX('Per Line'!$J$2:$J$4001,$X307))</f>
        <v/>
      </c>
      <c r="I307" s="20" t="str">
        <f aca="false">IF($X307="","",INDEX('Per Line'!$K$2:$K$4001,$X307))</f>
        <v/>
      </c>
      <c r="J307" s="20" t="str">
        <f aca="false">IF($X307="","",INDEX('Per Line'!$L$2:$L$4001,$X307))</f>
        <v/>
      </c>
      <c r="K307" s="20" t="str">
        <f aca="false">IF($X307="","",INDEX('Per Line'!$M$2:$M$4001,$X307))</f>
        <v/>
      </c>
      <c r="L307" s="22" t="str">
        <f aca="false">IF($X307="","",K307*V307/100)</f>
        <v/>
      </c>
      <c r="M307" s="20" t="str">
        <f aca="false">IF($X307="","",INDEX('Per Line'!$Z$2:$Z$4001,$X307))</f>
        <v/>
      </c>
      <c r="N307" s="23" t="str">
        <f aca="false">IF($X307="","",Settings!$C$7)</f>
        <v/>
      </c>
      <c r="O307" s="22" t="str">
        <f aca="false">IF($X307="","",SUMIFS('Per Line'!$Y$2:$Y$4001,'Per Line'!$D$2:$D$4001,$B307,'Per Line'!$AJ$2:$AJ$4001,0))</f>
        <v/>
      </c>
      <c r="P307" s="22" t="str">
        <f aca="false">IF($X307="","",O307*N307)</f>
        <v/>
      </c>
      <c r="Q307" s="23" t="str">
        <f aca="false">IF($X307="","",Settings!$C$6)</f>
        <v/>
      </c>
      <c r="R307" s="22" t="str">
        <f aca="false">IF($X307="","",SUMIFS('Per Line'!$Y$2:$Y$4001,'Per Line'!$D$2:$D$4001,$B307,'Per Line'!$AJ$2:$AJ$4001,1))</f>
        <v/>
      </c>
      <c r="S307" s="22" t="str">
        <f aca="false">IF($X307="","",R307*Q307)</f>
        <v/>
      </c>
      <c r="T307" s="22" t="str">
        <f aca="false">IF($X307="","",S307+P307)</f>
        <v/>
      </c>
      <c r="U307" s="22" t="str">
        <f aca="false">IF($X307="","",V307-T307)</f>
        <v/>
      </c>
      <c r="V307" s="22" t="str">
        <f aca="false">IF($X307="","",O307+R307)</f>
        <v/>
      </c>
      <c r="W307" s="22" t="str">
        <f aca="false">IF($X307="","",U307-L307)</f>
        <v/>
      </c>
      <c r="X307" s="24" t="str">
        <f aca="false">IF(ROWS($X$2:$X307)&lt;=MAX('Per Line'!$AI$2:$AI$4001),MATCH(ROWS($X$2:$X307),'Per Line'!$AI$2:$AI$4001,0),"")</f>
        <v/>
      </c>
    </row>
    <row r="308" customFormat="false" ht="15" hidden="false" customHeight="false" outlineLevel="0" collapsed="false">
      <c r="A308" s="19"/>
      <c r="B308" s="20" t="str">
        <f aca="false">IF($X308="","",INDEX('Per Line'!$D$2:$D$4001,$X308))</f>
        <v/>
      </c>
      <c r="C308" s="20" t="str">
        <f aca="false">IF($X308="","",INDEX('Per Line'!$C$2:$C$4001,$X308))</f>
        <v/>
      </c>
      <c r="D308" s="20" t="str">
        <f aca="false">IF($X308="","",INDEX('Per Line'!$A$2:$A$4001,$X308))</f>
        <v/>
      </c>
      <c r="E308" s="21" t="str">
        <f aca="false">IF($X308="","",INDEX('Per Line'!$F$2:$F$4001,$X308))</f>
        <v/>
      </c>
      <c r="F308" s="20" t="str">
        <f aca="false">IF($X308="","",INDEX('Per Line'!$G$2:$G$4001,$X308))</f>
        <v/>
      </c>
      <c r="G308" s="20" t="str">
        <f aca="false">IF($X308="","",INDEX('Per Line'!$I$2:$I$4001,$X308))</f>
        <v/>
      </c>
      <c r="H308" s="20" t="str">
        <f aca="false">IF($X308="","",INDEX('Per Line'!$J$2:$J$4001,$X308))</f>
        <v/>
      </c>
      <c r="I308" s="20" t="str">
        <f aca="false">IF($X308="","",INDEX('Per Line'!$K$2:$K$4001,$X308))</f>
        <v/>
      </c>
      <c r="J308" s="20" t="str">
        <f aca="false">IF($X308="","",INDEX('Per Line'!$L$2:$L$4001,$X308))</f>
        <v/>
      </c>
      <c r="K308" s="20" t="str">
        <f aca="false">IF($X308="","",INDEX('Per Line'!$M$2:$M$4001,$X308))</f>
        <v/>
      </c>
      <c r="L308" s="22" t="str">
        <f aca="false">IF($X308="","",K308*V308/100)</f>
        <v/>
      </c>
      <c r="M308" s="20" t="str">
        <f aca="false">IF($X308="","",INDEX('Per Line'!$Z$2:$Z$4001,$X308))</f>
        <v/>
      </c>
      <c r="N308" s="23" t="str">
        <f aca="false">IF($X308="","",Settings!$C$7)</f>
        <v/>
      </c>
      <c r="O308" s="22" t="str">
        <f aca="false">IF($X308="","",SUMIFS('Per Line'!$Y$2:$Y$4001,'Per Line'!$D$2:$D$4001,$B308,'Per Line'!$AJ$2:$AJ$4001,0))</f>
        <v/>
      </c>
      <c r="P308" s="22" t="str">
        <f aca="false">IF($X308="","",O308*N308)</f>
        <v/>
      </c>
      <c r="Q308" s="23" t="str">
        <f aca="false">IF($X308="","",Settings!$C$6)</f>
        <v/>
      </c>
      <c r="R308" s="22" t="str">
        <f aca="false">IF($X308="","",SUMIFS('Per Line'!$Y$2:$Y$4001,'Per Line'!$D$2:$D$4001,$B308,'Per Line'!$AJ$2:$AJ$4001,1))</f>
        <v/>
      </c>
      <c r="S308" s="22" t="str">
        <f aca="false">IF($X308="","",R308*Q308)</f>
        <v/>
      </c>
      <c r="T308" s="22" t="str">
        <f aca="false">IF($X308="","",S308+P308)</f>
        <v/>
      </c>
      <c r="U308" s="22" t="str">
        <f aca="false">IF($X308="","",V308-T308)</f>
        <v/>
      </c>
      <c r="V308" s="22" t="str">
        <f aca="false">IF($X308="","",O308+R308)</f>
        <v/>
      </c>
      <c r="W308" s="22" t="str">
        <f aca="false">IF($X308="","",U308-L308)</f>
        <v/>
      </c>
      <c r="X308" s="24" t="str">
        <f aca="false">IF(ROWS($X$2:$X308)&lt;=MAX('Per Line'!$AI$2:$AI$4001),MATCH(ROWS($X$2:$X308),'Per Line'!$AI$2:$AI$4001,0),"")</f>
        <v/>
      </c>
    </row>
    <row r="309" customFormat="false" ht="15" hidden="false" customHeight="false" outlineLevel="0" collapsed="false">
      <c r="A309" s="19"/>
      <c r="B309" s="20" t="str">
        <f aca="false">IF($X309="","",INDEX('Per Line'!$D$2:$D$4001,$X309))</f>
        <v/>
      </c>
      <c r="C309" s="20" t="str">
        <f aca="false">IF($X309="","",INDEX('Per Line'!$C$2:$C$4001,$X309))</f>
        <v/>
      </c>
      <c r="D309" s="20" t="str">
        <f aca="false">IF($X309="","",INDEX('Per Line'!$A$2:$A$4001,$X309))</f>
        <v/>
      </c>
      <c r="E309" s="21" t="str">
        <f aca="false">IF($X309="","",INDEX('Per Line'!$F$2:$F$4001,$X309))</f>
        <v/>
      </c>
      <c r="F309" s="20" t="str">
        <f aca="false">IF($X309="","",INDEX('Per Line'!$G$2:$G$4001,$X309))</f>
        <v/>
      </c>
      <c r="G309" s="20" t="str">
        <f aca="false">IF($X309="","",INDEX('Per Line'!$I$2:$I$4001,$X309))</f>
        <v/>
      </c>
      <c r="H309" s="20" t="str">
        <f aca="false">IF($X309="","",INDEX('Per Line'!$J$2:$J$4001,$X309))</f>
        <v/>
      </c>
      <c r="I309" s="20" t="str">
        <f aca="false">IF($X309="","",INDEX('Per Line'!$K$2:$K$4001,$X309))</f>
        <v/>
      </c>
      <c r="J309" s="20" t="str">
        <f aca="false">IF($X309="","",INDEX('Per Line'!$L$2:$L$4001,$X309))</f>
        <v/>
      </c>
      <c r="K309" s="20" t="str">
        <f aca="false">IF($X309="","",INDEX('Per Line'!$M$2:$M$4001,$X309))</f>
        <v/>
      </c>
      <c r="L309" s="22" t="str">
        <f aca="false">IF($X309="","",K309*V309/100)</f>
        <v/>
      </c>
      <c r="M309" s="20" t="str">
        <f aca="false">IF($X309="","",INDEX('Per Line'!$Z$2:$Z$4001,$X309))</f>
        <v/>
      </c>
      <c r="N309" s="23" t="str">
        <f aca="false">IF($X309="","",Settings!$C$7)</f>
        <v/>
      </c>
      <c r="O309" s="22" t="str">
        <f aca="false">IF($X309="","",SUMIFS('Per Line'!$Y$2:$Y$4001,'Per Line'!$D$2:$D$4001,$B309,'Per Line'!$AJ$2:$AJ$4001,0))</f>
        <v/>
      </c>
      <c r="P309" s="22" t="str">
        <f aca="false">IF($X309="","",O309*N309)</f>
        <v/>
      </c>
      <c r="Q309" s="23" t="str">
        <f aca="false">IF($X309="","",Settings!$C$6)</f>
        <v/>
      </c>
      <c r="R309" s="22" t="str">
        <f aca="false">IF($X309="","",SUMIFS('Per Line'!$Y$2:$Y$4001,'Per Line'!$D$2:$D$4001,$B309,'Per Line'!$AJ$2:$AJ$4001,1))</f>
        <v/>
      </c>
      <c r="S309" s="22" t="str">
        <f aca="false">IF($X309="","",R309*Q309)</f>
        <v/>
      </c>
      <c r="T309" s="22" t="str">
        <f aca="false">IF($X309="","",S309+P309)</f>
        <v/>
      </c>
      <c r="U309" s="22" t="str">
        <f aca="false">IF($X309="","",V309-T309)</f>
        <v/>
      </c>
      <c r="V309" s="22" t="str">
        <f aca="false">IF($X309="","",O309+R309)</f>
        <v/>
      </c>
      <c r="W309" s="22" t="str">
        <f aca="false">IF($X309="","",U309-L309)</f>
        <v/>
      </c>
      <c r="X309" s="24" t="str">
        <f aca="false">IF(ROWS($X$2:$X309)&lt;=MAX('Per Line'!$AI$2:$AI$4001),MATCH(ROWS($X$2:$X309),'Per Line'!$AI$2:$AI$4001,0),"")</f>
        <v/>
      </c>
    </row>
    <row r="310" customFormat="false" ht="15" hidden="false" customHeight="false" outlineLevel="0" collapsed="false">
      <c r="A310" s="19"/>
      <c r="B310" s="20" t="str">
        <f aca="false">IF($X310="","",INDEX('Per Line'!$D$2:$D$4001,$X310))</f>
        <v/>
      </c>
      <c r="C310" s="20" t="str">
        <f aca="false">IF($X310="","",INDEX('Per Line'!$C$2:$C$4001,$X310))</f>
        <v/>
      </c>
      <c r="D310" s="20" t="str">
        <f aca="false">IF($X310="","",INDEX('Per Line'!$A$2:$A$4001,$X310))</f>
        <v/>
      </c>
      <c r="E310" s="21" t="str">
        <f aca="false">IF($X310="","",INDEX('Per Line'!$F$2:$F$4001,$X310))</f>
        <v/>
      </c>
      <c r="F310" s="20" t="str">
        <f aca="false">IF($X310="","",INDEX('Per Line'!$G$2:$G$4001,$X310))</f>
        <v/>
      </c>
      <c r="G310" s="20" t="str">
        <f aca="false">IF($X310="","",INDEX('Per Line'!$I$2:$I$4001,$X310))</f>
        <v/>
      </c>
      <c r="H310" s="20" t="str">
        <f aca="false">IF($X310="","",INDEX('Per Line'!$J$2:$J$4001,$X310))</f>
        <v/>
      </c>
      <c r="I310" s="20" t="str">
        <f aca="false">IF($X310="","",INDEX('Per Line'!$K$2:$K$4001,$X310))</f>
        <v/>
      </c>
      <c r="J310" s="20" t="str">
        <f aca="false">IF($X310="","",INDEX('Per Line'!$L$2:$L$4001,$X310))</f>
        <v/>
      </c>
      <c r="K310" s="20" t="str">
        <f aca="false">IF($X310="","",INDEX('Per Line'!$M$2:$M$4001,$X310))</f>
        <v/>
      </c>
      <c r="L310" s="22" t="str">
        <f aca="false">IF($X310="","",K310*V310/100)</f>
        <v/>
      </c>
      <c r="M310" s="20" t="str">
        <f aca="false">IF($X310="","",INDEX('Per Line'!$Z$2:$Z$4001,$X310))</f>
        <v/>
      </c>
      <c r="N310" s="23" t="str">
        <f aca="false">IF($X310="","",Settings!$C$7)</f>
        <v/>
      </c>
      <c r="O310" s="22" t="str">
        <f aca="false">IF($X310="","",SUMIFS('Per Line'!$Y$2:$Y$4001,'Per Line'!$D$2:$D$4001,$B310,'Per Line'!$AJ$2:$AJ$4001,0))</f>
        <v/>
      </c>
      <c r="P310" s="22" t="str">
        <f aca="false">IF($X310="","",O310*N310)</f>
        <v/>
      </c>
      <c r="Q310" s="23" t="str">
        <f aca="false">IF($X310="","",Settings!$C$6)</f>
        <v/>
      </c>
      <c r="R310" s="22" t="str">
        <f aca="false">IF($X310="","",SUMIFS('Per Line'!$Y$2:$Y$4001,'Per Line'!$D$2:$D$4001,$B310,'Per Line'!$AJ$2:$AJ$4001,1))</f>
        <v/>
      </c>
      <c r="S310" s="22" t="str">
        <f aca="false">IF($X310="","",R310*Q310)</f>
        <v/>
      </c>
      <c r="T310" s="22" t="str">
        <f aca="false">IF($X310="","",S310+P310)</f>
        <v/>
      </c>
      <c r="U310" s="22" t="str">
        <f aca="false">IF($X310="","",V310-T310)</f>
        <v/>
      </c>
      <c r="V310" s="22" t="str">
        <f aca="false">IF($X310="","",O310+R310)</f>
        <v/>
      </c>
      <c r="W310" s="22" t="str">
        <f aca="false">IF($X310="","",U310-L310)</f>
        <v/>
      </c>
      <c r="X310" s="24" t="str">
        <f aca="false">IF(ROWS($X$2:$X310)&lt;=MAX('Per Line'!$AI$2:$AI$4001),MATCH(ROWS($X$2:$X310),'Per Line'!$AI$2:$AI$4001,0),"")</f>
        <v/>
      </c>
    </row>
    <row r="311" customFormat="false" ht="15" hidden="false" customHeight="false" outlineLevel="0" collapsed="false">
      <c r="A311" s="19"/>
      <c r="B311" s="20" t="str">
        <f aca="false">IF($X311="","",INDEX('Per Line'!$D$2:$D$4001,$X311))</f>
        <v/>
      </c>
      <c r="C311" s="20" t="str">
        <f aca="false">IF($X311="","",INDEX('Per Line'!$C$2:$C$4001,$X311))</f>
        <v/>
      </c>
      <c r="D311" s="20" t="str">
        <f aca="false">IF($X311="","",INDEX('Per Line'!$A$2:$A$4001,$X311))</f>
        <v/>
      </c>
      <c r="E311" s="21" t="str">
        <f aca="false">IF($X311="","",INDEX('Per Line'!$F$2:$F$4001,$X311))</f>
        <v/>
      </c>
      <c r="F311" s="20" t="str">
        <f aca="false">IF($X311="","",INDEX('Per Line'!$G$2:$G$4001,$X311))</f>
        <v/>
      </c>
      <c r="G311" s="20" t="str">
        <f aca="false">IF($X311="","",INDEX('Per Line'!$I$2:$I$4001,$X311))</f>
        <v/>
      </c>
      <c r="H311" s="20" t="str">
        <f aca="false">IF($X311="","",INDEX('Per Line'!$J$2:$J$4001,$X311))</f>
        <v/>
      </c>
      <c r="I311" s="20" t="str">
        <f aca="false">IF($X311="","",INDEX('Per Line'!$K$2:$K$4001,$X311))</f>
        <v/>
      </c>
      <c r="J311" s="20" t="str">
        <f aca="false">IF($X311="","",INDEX('Per Line'!$L$2:$L$4001,$X311))</f>
        <v/>
      </c>
      <c r="K311" s="20" t="str">
        <f aca="false">IF($X311="","",INDEX('Per Line'!$M$2:$M$4001,$X311))</f>
        <v/>
      </c>
      <c r="L311" s="22" t="str">
        <f aca="false">IF($X311="","",K311*V311/100)</f>
        <v/>
      </c>
      <c r="M311" s="20" t="str">
        <f aca="false">IF($X311="","",INDEX('Per Line'!$Z$2:$Z$4001,$X311))</f>
        <v/>
      </c>
      <c r="N311" s="23" t="str">
        <f aca="false">IF($X311="","",Settings!$C$7)</f>
        <v/>
      </c>
      <c r="O311" s="22" t="str">
        <f aca="false">IF($X311="","",SUMIFS('Per Line'!$Y$2:$Y$4001,'Per Line'!$D$2:$D$4001,$B311,'Per Line'!$AJ$2:$AJ$4001,0))</f>
        <v/>
      </c>
      <c r="P311" s="22" t="str">
        <f aca="false">IF($X311="","",O311*N311)</f>
        <v/>
      </c>
      <c r="Q311" s="23" t="str">
        <f aca="false">IF($X311="","",Settings!$C$6)</f>
        <v/>
      </c>
      <c r="R311" s="22" t="str">
        <f aca="false">IF($X311="","",SUMIFS('Per Line'!$Y$2:$Y$4001,'Per Line'!$D$2:$D$4001,$B311,'Per Line'!$AJ$2:$AJ$4001,1))</f>
        <v/>
      </c>
      <c r="S311" s="22" t="str">
        <f aca="false">IF($X311="","",R311*Q311)</f>
        <v/>
      </c>
      <c r="T311" s="22" t="str">
        <f aca="false">IF($X311="","",S311+P311)</f>
        <v/>
      </c>
      <c r="U311" s="22" t="str">
        <f aca="false">IF($X311="","",V311-T311)</f>
        <v/>
      </c>
      <c r="V311" s="22" t="str">
        <f aca="false">IF($X311="","",O311+R311)</f>
        <v/>
      </c>
      <c r="W311" s="22" t="str">
        <f aca="false">IF($X311="","",U311-L311)</f>
        <v/>
      </c>
      <c r="X311" s="24" t="str">
        <f aca="false">IF(ROWS($X$2:$X311)&lt;=MAX('Per Line'!$AI$2:$AI$4001),MATCH(ROWS($X$2:$X311),'Per Line'!$AI$2:$AI$4001,0),"")</f>
        <v/>
      </c>
    </row>
    <row r="312" customFormat="false" ht="15" hidden="false" customHeight="false" outlineLevel="0" collapsed="false">
      <c r="A312" s="19"/>
      <c r="B312" s="20" t="str">
        <f aca="false">IF($X312="","",INDEX('Per Line'!$D$2:$D$4001,$X312))</f>
        <v/>
      </c>
      <c r="C312" s="20" t="str">
        <f aca="false">IF($X312="","",INDEX('Per Line'!$C$2:$C$4001,$X312))</f>
        <v/>
      </c>
      <c r="D312" s="20" t="str">
        <f aca="false">IF($X312="","",INDEX('Per Line'!$A$2:$A$4001,$X312))</f>
        <v/>
      </c>
      <c r="E312" s="21" t="str">
        <f aca="false">IF($X312="","",INDEX('Per Line'!$F$2:$F$4001,$X312))</f>
        <v/>
      </c>
      <c r="F312" s="20" t="str">
        <f aca="false">IF($X312="","",INDEX('Per Line'!$G$2:$G$4001,$X312))</f>
        <v/>
      </c>
      <c r="G312" s="20" t="str">
        <f aca="false">IF($X312="","",INDEX('Per Line'!$I$2:$I$4001,$X312))</f>
        <v/>
      </c>
      <c r="H312" s="20" t="str">
        <f aca="false">IF($X312="","",INDEX('Per Line'!$J$2:$J$4001,$X312))</f>
        <v/>
      </c>
      <c r="I312" s="20" t="str">
        <f aca="false">IF($X312="","",INDEX('Per Line'!$K$2:$K$4001,$X312))</f>
        <v/>
      </c>
      <c r="J312" s="20" t="str">
        <f aca="false">IF($X312="","",INDEX('Per Line'!$L$2:$L$4001,$X312))</f>
        <v/>
      </c>
      <c r="K312" s="20" t="str">
        <f aca="false">IF($X312="","",INDEX('Per Line'!$M$2:$M$4001,$X312))</f>
        <v/>
      </c>
      <c r="L312" s="22" t="str">
        <f aca="false">IF($X312="","",K312*V312/100)</f>
        <v/>
      </c>
      <c r="M312" s="20" t="str">
        <f aca="false">IF($X312="","",INDEX('Per Line'!$Z$2:$Z$4001,$X312))</f>
        <v/>
      </c>
      <c r="N312" s="23" t="str">
        <f aca="false">IF($X312="","",Settings!$C$7)</f>
        <v/>
      </c>
      <c r="O312" s="22" t="str">
        <f aca="false">IF($X312="","",SUMIFS('Per Line'!$Y$2:$Y$4001,'Per Line'!$D$2:$D$4001,$B312,'Per Line'!$AJ$2:$AJ$4001,0))</f>
        <v/>
      </c>
      <c r="P312" s="22" t="str">
        <f aca="false">IF($X312="","",O312*N312)</f>
        <v/>
      </c>
      <c r="Q312" s="23" t="str">
        <f aca="false">IF($X312="","",Settings!$C$6)</f>
        <v/>
      </c>
      <c r="R312" s="22" t="str">
        <f aca="false">IF($X312="","",SUMIFS('Per Line'!$Y$2:$Y$4001,'Per Line'!$D$2:$D$4001,$B312,'Per Line'!$AJ$2:$AJ$4001,1))</f>
        <v/>
      </c>
      <c r="S312" s="22" t="str">
        <f aca="false">IF($X312="","",R312*Q312)</f>
        <v/>
      </c>
      <c r="T312" s="22" t="str">
        <f aca="false">IF($X312="","",S312+P312)</f>
        <v/>
      </c>
      <c r="U312" s="22" t="str">
        <f aca="false">IF($X312="","",V312-T312)</f>
        <v/>
      </c>
      <c r="V312" s="22" t="str">
        <f aca="false">IF($X312="","",O312+R312)</f>
        <v/>
      </c>
      <c r="W312" s="22" t="str">
        <f aca="false">IF($X312="","",U312-L312)</f>
        <v/>
      </c>
      <c r="X312" s="24" t="str">
        <f aca="false">IF(ROWS($X$2:$X312)&lt;=MAX('Per Line'!$AI$2:$AI$4001),MATCH(ROWS($X$2:$X312),'Per Line'!$AI$2:$AI$4001,0),"")</f>
        <v/>
      </c>
    </row>
    <row r="313" customFormat="false" ht="15" hidden="false" customHeight="false" outlineLevel="0" collapsed="false">
      <c r="A313" s="19"/>
      <c r="B313" s="20" t="str">
        <f aca="false">IF($X313="","",INDEX('Per Line'!$D$2:$D$4001,$X313))</f>
        <v/>
      </c>
      <c r="C313" s="20" t="str">
        <f aca="false">IF($X313="","",INDEX('Per Line'!$C$2:$C$4001,$X313))</f>
        <v/>
      </c>
      <c r="D313" s="20" t="str">
        <f aca="false">IF($X313="","",INDEX('Per Line'!$A$2:$A$4001,$X313))</f>
        <v/>
      </c>
      <c r="E313" s="21" t="str">
        <f aca="false">IF($X313="","",INDEX('Per Line'!$F$2:$F$4001,$X313))</f>
        <v/>
      </c>
      <c r="F313" s="20" t="str">
        <f aca="false">IF($X313="","",INDEX('Per Line'!$G$2:$G$4001,$X313))</f>
        <v/>
      </c>
      <c r="G313" s="20" t="str">
        <f aca="false">IF($X313="","",INDEX('Per Line'!$I$2:$I$4001,$X313))</f>
        <v/>
      </c>
      <c r="H313" s="20" t="str">
        <f aca="false">IF($X313="","",INDEX('Per Line'!$J$2:$J$4001,$X313))</f>
        <v/>
      </c>
      <c r="I313" s="20" t="str">
        <f aca="false">IF($X313="","",INDEX('Per Line'!$K$2:$K$4001,$X313))</f>
        <v/>
      </c>
      <c r="J313" s="20" t="str">
        <f aca="false">IF($X313="","",INDEX('Per Line'!$L$2:$L$4001,$X313))</f>
        <v/>
      </c>
      <c r="K313" s="20" t="str">
        <f aca="false">IF($X313="","",INDEX('Per Line'!$M$2:$M$4001,$X313))</f>
        <v/>
      </c>
      <c r="L313" s="22" t="str">
        <f aca="false">IF($X313="","",K313*V313/100)</f>
        <v/>
      </c>
      <c r="M313" s="20" t="str">
        <f aca="false">IF($X313="","",INDEX('Per Line'!$Z$2:$Z$4001,$X313))</f>
        <v/>
      </c>
      <c r="N313" s="23" t="str">
        <f aca="false">IF($X313="","",Settings!$C$7)</f>
        <v/>
      </c>
      <c r="O313" s="22" t="str">
        <f aca="false">IF($X313="","",SUMIFS('Per Line'!$Y$2:$Y$4001,'Per Line'!$D$2:$D$4001,$B313,'Per Line'!$AJ$2:$AJ$4001,0))</f>
        <v/>
      </c>
      <c r="P313" s="22" t="str">
        <f aca="false">IF($X313="","",O313*N313)</f>
        <v/>
      </c>
      <c r="Q313" s="23" t="str">
        <f aca="false">IF($X313="","",Settings!$C$6)</f>
        <v/>
      </c>
      <c r="R313" s="22" t="str">
        <f aca="false">IF($X313="","",SUMIFS('Per Line'!$Y$2:$Y$4001,'Per Line'!$D$2:$D$4001,$B313,'Per Line'!$AJ$2:$AJ$4001,1))</f>
        <v/>
      </c>
      <c r="S313" s="22" t="str">
        <f aca="false">IF($X313="","",R313*Q313)</f>
        <v/>
      </c>
      <c r="T313" s="22" t="str">
        <f aca="false">IF($X313="","",S313+P313)</f>
        <v/>
      </c>
      <c r="U313" s="22" t="str">
        <f aca="false">IF($X313="","",V313-T313)</f>
        <v/>
      </c>
      <c r="V313" s="22" t="str">
        <f aca="false">IF($X313="","",O313+R313)</f>
        <v/>
      </c>
      <c r="W313" s="22" t="str">
        <f aca="false">IF($X313="","",U313-L313)</f>
        <v/>
      </c>
      <c r="X313" s="24" t="str">
        <f aca="false">IF(ROWS($X$2:$X313)&lt;=MAX('Per Line'!$AI$2:$AI$4001),MATCH(ROWS($X$2:$X313),'Per Line'!$AI$2:$AI$4001,0),"")</f>
        <v/>
      </c>
    </row>
    <row r="314" customFormat="false" ht="15" hidden="false" customHeight="false" outlineLevel="0" collapsed="false">
      <c r="A314" s="19"/>
      <c r="B314" s="20" t="str">
        <f aca="false">IF($X314="","",INDEX('Per Line'!$D$2:$D$4001,$X314))</f>
        <v/>
      </c>
      <c r="C314" s="20" t="str">
        <f aca="false">IF($X314="","",INDEX('Per Line'!$C$2:$C$4001,$X314))</f>
        <v/>
      </c>
      <c r="D314" s="20" t="str">
        <f aca="false">IF($X314="","",INDEX('Per Line'!$A$2:$A$4001,$X314))</f>
        <v/>
      </c>
      <c r="E314" s="21" t="str">
        <f aca="false">IF($X314="","",INDEX('Per Line'!$F$2:$F$4001,$X314))</f>
        <v/>
      </c>
      <c r="F314" s="20" t="str">
        <f aca="false">IF($X314="","",INDEX('Per Line'!$G$2:$G$4001,$X314))</f>
        <v/>
      </c>
      <c r="G314" s="20" t="str">
        <f aca="false">IF($X314="","",INDEX('Per Line'!$I$2:$I$4001,$X314))</f>
        <v/>
      </c>
      <c r="H314" s="20" t="str">
        <f aca="false">IF($X314="","",INDEX('Per Line'!$J$2:$J$4001,$X314))</f>
        <v/>
      </c>
      <c r="I314" s="20" t="str">
        <f aca="false">IF($X314="","",INDEX('Per Line'!$K$2:$K$4001,$X314))</f>
        <v/>
      </c>
      <c r="J314" s="20" t="str">
        <f aca="false">IF($X314="","",INDEX('Per Line'!$L$2:$L$4001,$X314))</f>
        <v/>
      </c>
      <c r="K314" s="20" t="str">
        <f aca="false">IF($X314="","",INDEX('Per Line'!$M$2:$M$4001,$X314))</f>
        <v/>
      </c>
      <c r="L314" s="22" t="str">
        <f aca="false">IF($X314="","",K314*V314/100)</f>
        <v/>
      </c>
      <c r="M314" s="20" t="str">
        <f aca="false">IF($X314="","",INDEX('Per Line'!$Z$2:$Z$4001,$X314))</f>
        <v/>
      </c>
      <c r="N314" s="23" t="str">
        <f aca="false">IF($X314="","",Settings!$C$7)</f>
        <v/>
      </c>
      <c r="O314" s="22" t="str">
        <f aca="false">IF($X314="","",SUMIFS('Per Line'!$Y$2:$Y$4001,'Per Line'!$D$2:$D$4001,$B314,'Per Line'!$AJ$2:$AJ$4001,0))</f>
        <v/>
      </c>
      <c r="P314" s="22" t="str">
        <f aca="false">IF($X314="","",O314*N314)</f>
        <v/>
      </c>
      <c r="Q314" s="23" t="str">
        <f aca="false">IF($X314="","",Settings!$C$6)</f>
        <v/>
      </c>
      <c r="R314" s="22" t="str">
        <f aca="false">IF($X314="","",SUMIFS('Per Line'!$Y$2:$Y$4001,'Per Line'!$D$2:$D$4001,$B314,'Per Line'!$AJ$2:$AJ$4001,1))</f>
        <v/>
      </c>
      <c r="S314" s="22" t="str">
        <f aca="false">IF($X314="","",R314*Q314)</f>
        <v/>
      </c>
      <c r="T314" s="22" t="str">
        <f aca="false">IF($X314="","",S314+P314)</f>
        <v/>
      </c>
      <c r="U314" s="22" t="str">
        <f aca="false">IF($X314="","",V314-T314)</f>
        <v/>
      </c>
      <c r="V314" s="22" t="str">
        <f aca="false">IF($X314="","",O314+R314)</f>
        <v/>
      </c>
      <c r="W314" s="22" t="str">
        <f aca="false">IF($X314="","",U314-L314)</f>
        <v/>
      </c>
      <c r="X314" s="24" t="str">
        <f aca="false">IF(ROWS($X$2:$X314)&lt;=MAX('Per Line'!$AI$2:$AI$4001),MATCH(ROWS($X$2:$X314),'Per Line'!$AI$2:$AI$4001,0),"")</f>
        <v/>
      </c>
    </row>
    <row r="315" customFormat="false" ht="15" hidden="false" customHeight="false" outlineLevel="0" collapsed="false">
      <c r="A315" s="19"/>
      <c r="B315" s="20" t="str">
        <f aca="false">IF($X315="","",INDEX('Per Line'!$D$2:$D$4001,$X315))</f>
        <v/>
      </c>
      <c r="C315" s="20" t="str">
        <f aca="false">IF($X315="","",INDEX('Per Line'!$C$2:$C$4001,$X315))</f>
        <v/>
      </c>
      <c r="D315" s="20" t="str">
        <f aca="false">IF($X315="","",INDEX('Per Line'!$A$2:$A$4001,$X315))</f>
        <v/>
      </c>
      <c r="E315" s="21" t="str">
        <f aca="false">IF($X315="","",INDEX('Per Line'!$F$2:$F$4001,$X315))</f>
        <v/>
      </c>
      <c r="F315" s="20" t="str">
        <f aca="false">IF($X315="","",INDEX('Per Line'!$G$2:$G$4001,$X315))</f>
        <v/>
      </c>
      <c r="G315" s="20" t="str">
        <f aca="false">IF($X315="","",INDEX('Per Line'!$I$2:$I$4001,$X315))</f>
        <v/>
      </c>
      <c r="H315" s="20" t="str">
        <f aca="false">IF($X315="","",INDEX('Per Line'!$J$2:$J$4001,$X315))</f>
        <v/>
      </c>
      <c r="I315" s="20" t="str">
        <f aca="false">IF($X315="","",INDEX('Per Line'!$K$2:$K$4001,$X315))</f>
        <v/>
      </c>
      <c r="J315" s="20" t="str">
        <f aca="false">IF($X315="","",INDEX('Per Line'!$L$2:$L$4001,$X315))</f>
        <v/>
      </c>
      <c r="K315" s="20" t="str">
        <f aca="false">IF($X315="","",INDEX('Per Line'!$M$2:$M$4001,$X315))</f>
        <v/>
      </c>
      <c r="L315" s="22" t="str">
        <f aca="false">IF($X315="","",K315*V315/100)</f>
        <v/>
      </c>
      <c r="M315" s="20" t="str">
        <f aca="false">IF($X315="","",INDEX('Per Line'!$Z$2:$Z$4001,$X315))</f>
        <v/>
      </c>
      <c r="N315" s="23" t="str">
        <f aca="false">IF($X315="","",Settings!$C$7)</f>
        <v/>
      </c>
      <c r="O315" s="22" t="str">
        <f aca="false">IF($X315="","",SUMIFS('Per Line'!$Y$2:$Y$4001,'Per Line'!$D$2:$D$4001,$B315,'Per Line'!$AJ$2:$AJ$4001,0))</f>
        <v/>
      </c>
      <c r="P315" s="22" t="str">
        <f aca="false">IF($X315="","",O315*N315)</f>
        <v/>
      </c>
      <c r="Q315" s="23" t="str">
        <f aca="false">IF($X315="","",Settings!$C$6)</f>
        <v/>
      </c>
      <c r="R315" s="22" t="str">
        <f aca="false">IF($X315="","",SUMIFS('Per Line'!$Y$2:$Y$4001,'Per Line'!$D$2:$D$4001,$B315,'Per Line'!$AJ$2:$AJ$4001,1))</f>
        <v/>
      </c>
      <c r="S315" s="22" t="str">
        <f aca="false">IF($X315="","",R315*Q315)</f>
        <v/>
      </c>
      <c r="T315" s="22" t="str">
        <f aca="false">IF($X315="","",S315+P315)</f>
        <v/>
      </c>
      <c r="U315" s="22" t="str">
        <f aca="false">IF($X315="","",V315-T315)</f>
        <v/>
      </c>
      <c r="V315" s="22" t="str">
        <f aca="false">IF($X315="","",O315+R315)</f>
        <v/>
      </c>
      <c r="W315" s="22" t="str">
        <f aca="false">IF($X315="","",U315-L315)</f>
        <v/>
      </c>
      <c r="X315" s="24" t="str">
        <f aca="false">IF(ROWS($X$2:$X315)&lt;=MAX('Per Line'!$AI$2:$AI$4001),MATCH(ROWS($X$2:$X315),'Per Line'!$AI$2:$AI$4001,0),"")</f>
        <v/>
      </c>
    </row>
    <row r="316" customFormat="false" ht="15" hidden="false" customHeight="false" outlineLevel="0" collapsed="false">
      <c r="A316" s="19"/>
      <c r="B316" s="20" t="str">
        <f aca="false">IF($X316="","",INDEX('Per Line'!$D$2:$D$4001,$X316))</f>
        <v/>
      </c>
      <c r="C316" s="20" t="str">
        <f aca="false">IF($X316="","",INDEX('Per Line'!$C$2:$C$4001,$X316))</f>
        <v/>
      </c>
      <c r="D316" s="20" t="str">
        <f aca="false">IF($X316="","",INDEX('Per Line'!$A$2:$A$4001,$X316))</f>
        <v/>
      </c>
      <c r="E316" s="21" t="str">
        <f aca="false">IF($X316="","",INDEX('Per Line'!$F$2:$F$4001,$X316))</f>
        <v/>
      </c>
      <c r="F316" s="20" t="str">
        <f aca="false">IF($X316="","",INDEX('Per Line'!$G$2:$G$4001,$X316))</f>
        <v/>
      </c>
      <c r="G316" s="20" t="str">
        <f aca="false">IF($X316="","",INDEX('Per Line'!$I$2:$I$4001,$X316))</f>
        <v/>
      </c>
      <c r="H316" s="20" t="str">
        <f aca="false">IF($X316="","",INDEX('Per Line'!$J$2:$J$4001,$X316))</f>
        <v/>
      </c>
      <c r="I316" s="20" t="str">
        <f aca="false">IF($X316="","",INDEX('Per Line'!$K$2:$K$4001,$X316))</f>
        <v/>
      </c>
      <c r="J316" s="20" t="str">
        <f aca="false">IF($X316="","",INDEX('Per Line'!$L$2:$L$4001,$X316))</f>
        <v/>
      </c>
      <c r="K316" s="20" t="str">
        <f aca="false">IF($X316="","",INDEX('Per Line'!$M$2:$M$4001,$X316))</f>
        <v/>
      </c>
      <c r="L316" s="22" t="str">
        <f aca="false">IF($X316="","",K316*V316/100)</f>
        <v/>
      </c>
      <c r="M316" s="20" t="str">
        <f aca="false">IF($X316="","",INDEX('Per Line'!$Z$2:$Z$4001,$X316))</f>
        <v/>
      </c>
      <c r="N316" s="23" t="str">
        <f aca="false">IF($X316="","",Settings!$C$7)</f>
        <v/>
      </c>
      <c r="O316" s="22" t="str">
        <f aca="false">IF($X316="","",SUMIFS('Per Line'!$Y$2:$Y$4001,'Per Line'!$D$2:$D$4001,$B316,'Per Line'!$AJ$2:$AJ$4001,0))</f>
        <v/>
      </c>
      <c r="P316" s="22" t="str">
        <f aca="false">IF($X316="","",O316*N316)</f>
        <v/>
      </c>
      <c r="Q316" s="23" t="str">
        <f aca="false">IF($X316="","",Settings!$C$6)</f>
        <v/>
      </c>
      <c r="R316" s="22" t="str">
        <f aca="false">IF($X316="","",SUMIFS('Per Line'!$Y$2:$Y$4001,'Per Line'!$D$2:$D$4001,$B316,'Per Line'!$AJ$2:$AJ$4001,1))</f>
        <v/>
      </c>
      <c r="S316" s="22" t="str">
        <f aca="false">IF($X316="","",R316*Q316)</f>
        <v/>
      </c>
      <c r="T316" s="22" t="str">
        <f aca="false">IF($X316="","",S316+P316)</f>
        <v/>
      </c>
      <c r="U316" s="22" t="str">
        <f aca="false">IF($X316="","",V316-T316)</f>
        <v/>
      </c>
      <c r="V316" s="22" t="str">
        <f aca="false">IF($X316="","",O316+R316)</f>
        <v/>
      </c>
      <c r="W316" s="22" t="str">
        <f aca="false">IF($X316="","",U316-L316)</f>
        <v/>
      </c>
      <c r="X316" s="24" t="str">
        <f aca="false">IF(ROWS($X$2:$X316)&lt;=MAX('Per Line'!$AI$2:$AI$4001),MATCH(ROWS($X$2:$X316),'Per Line'!$AI$2:$AI$4001,0),"")</f>
        <v/>
      </c>
    </row>
    <row r="317" customFormat="false" ht="15" hidden="false" customHeight="false" outlineLevel="0" collapsed="false">
      <c r="A317" s="19"/>
      <c r="B317" s="20" t="str">
        <f aca="false">IF($X317="","",INDEX('Per Line'!$D$2:$D$4001,$X317))</f>
        <v/>
      </c>
      <c r="C317" s="20" t="str">
        <f aca="false">IF($X317="","",INDEX('Per Line'!$C$2:$C$4001,$X317))</f>
        <v/>
      </c>
      <c r="D317" s="20" t="str">
        <f aca="false">IF($X317="","",INDEX('Per Line'!$A$2:$A$4001,$X317))</f>
        <v/>
      </c>
      <c r="E317" s="21" t="str">
        <f aca="false">IF($X317="","",INDEX('Per Line'!$F$2:$F$4001,$X317))</f>
        <v/>
      </c>
      <c r="F317" s="20" t="str">
        <f aca="false">IF($X317="","",INDEX('Per Line'!$G$2:$G$4001,$X317))</f>
        <v/>
      </c>
      <c r="G317" s="20" t="str">
        <f aca="false">IF($X317="","",INDEX('Per Line'!$I$2:$I$4001,$X317))</f>
        <v/>
      </c>
      <c r="H317" s="20" t="str">
        <f aca="false">IF($X317="","",INDEX('Per Line'!$J$2:$J$4001,$X317))</f>
        <v/>
      </c>
      <c r="I317" s="20" t="str">
        <f aca="false">IF($X317="","",INDEX('Per Line'!$K$2:$K$4001,$X317))</f>
        <v/>
      </c>
      <c r="J317" s="20" t="str">
        <f aca="false">IF($X317="","",INDEX('Per Line'!$L$2:$L$4001,$X317))</f>
        <v/>
      </c>
      <c r="K317" s="20" t="str">
        <f aca="false">IF($X317="","",INDEX('Per Line'!$M$2:$M$4001,$X317))</f>
        <v/>
      </c>
      <c r="L317" s="22" t="str">
        <f aca="false">IF($X317="","",K317*V317/100)</f>
        <v/>
      </c>
      <c r="M317" s="20" t="str">
        <f aca="false">IF($X317="","",INDEX('Per Line'!$Z$2:$Z$4001,$X317))</f>
        <v/>
      </c>
      <c r="N317" s="23" t="str">
        <f aca="false">IF($X317="","",Settings!$C$7)</f>
        <v/>
      </c>
      <c r="O317" s="22" t="str">
        <f aca="false">IF($X317="","",SUMIFS('Per Line'!$Y$2:$Y$4001,'Per Line'!$D$2:$D$4001,$B317,'Per Line'!$AJ$2:$AJ$4001,0))</f>
        <v/>
      </c>
      <c r="P317" s="22" t="str">
        <f aca="false">IF($X317="","",O317*N317)</f>
        <v/>
      </c>
      <c r="Q317" s="23" t="str">
        <f aca="false">IF($X317="","",Settings!$C$6)</f>
        <v/>
      </c>
      <c r="R317" s="22" t="str">
        <f aca="false">IF($X317="","",SUMIFS('Per Line'!$Y$2:$Y$4001,'Per Line'!$D$2:$D$4001,$B317,'Per Line'!$AJ$2:$AJ$4001,1))</f>
        <v/>
      </c>
      <c r="S317" s="22" t="str">
        <f aca="false">IF($X317="","",R317*Q317)</f>
        <v/>
      </c>
      <c r="T317" s="22" t="str">
        <f aca="false">IF($X317="","",S317+P317)</f>
        <v/>
      </c>
      <c r="U317" s="22" t="str">
        <f aca="false">IF($X317="","",V317-T317)</f>
        <v/>
      </c>
      <c r="V317" s="22" t="str">
        <f aca="false">IF($X317="","",O317+R317)</f>
        <v/>
      </c>
      <c r="W317" s="22" t="str">
        <f aca="false">IF($X317="","",U317-L317)</f>
        <v/>
      </c>
      <c r="X317" s="24" t="str">
        <f aca="false">IF(ROWS($X$2:$X317)&lt;=MAX('Per Line'!$AI$2:$AI$4001),MATCH(ROWS($X$2:$X317),'Per Line'!$AI$2:$AI$4001,0),"")</f>
        <v/>
      </c>
    </row>
    <row r="318" customFormat="false" ht="15" hidden="false" customHeight="false" outlineLevel="0" collapsed="false">
      <c r="A318" s="19"/>
      <c r="B318" s="20" t="str">
        <f aca="false">IF($X318="","",INDEX('Per Line'!$D$2:$D$4001,$X318))</f>
        <v/>
      </c>
      <c r="C318" s="20" t="str">
        <f aca="false">IF($X318="","",INDEX('Per Line'!$C$2:$C$4001,$X318))</f>
        <v/>
      </c>
      <c r="D318" s="20" t="str">
        <f aca="false">IF($X318="","",INDEX('Per Line'!$A$2:$A$4001,$X318))</f>
        <v/>
      </c>
      <c r="E318" s="21" t="str">
        <f aca="false">IF($X318="","",INDEX('Per Line'!$F$2:$F$4001,$X318))</f>
        <v/>
      </c>
      <c r="F318" s="20" t="str">
        <f aca="false">IF($X318="","",INDEX('Per Line'!$G$2:$G$4001,$X318))</f>
        <v/>
      </c>
      <c r="G318" s="20" t="str">
        <f aca="false">IF($X318="","",INDEX('Per Line'!$I$2:$I$4001,$X318))</f>
        <v/>
      </c>
      <c r="H318" s="20" t="str">
        <f aca="false">IF($X318="","",INDEX('Per Line'!$J$2:$J$4001,$X318))</f>
        <v/>
      </c>
      <c r="I318" s="20" t="str">
        <f aca="false">IF($X318="","",INDEX('Per Line'!$K$2:$K$4001,$X318))</f>
        <v/>
      </c>
      <c r="J318" s="20" t="str">
        <f aca="false">IF($X318="","",INDEX('Per Line'!$L$2:$L$4001,$X318))</f>
        <v/>
      </c>
      <c r="K318" s="20" t="str">
        <f aca="false">IF($X318="","",INDEX('Per Line'!$M$2:$M$4001,$X318))</f>
        <v/>
      </c>
      <c r="L318" s="22" t="str">
        <f aca="false">IF($X318="","",K318*V318/100)</f>
        <v/>
      </c>
      <c r="M318" s="20" t="str">
        <f aca="false">IF($X318="","",INDEX('Per Line'!$Z$2:$Z$4001,$X318))</f>
        <v/>
      </c>
      <c r="N318" s="23" t="str">
        <f aca="false">IF($X318="","",Settings!$C$7)</f>
        <v/>
      </c>
      <c r="O318" s="22" t="str">
        <f aca="false">IF($X318="","",SUMIFS('Per Line'!$Y$2:$Y$4001,'Per Line'!$D$2:$D$4001,$B318,'Per Line'!$AJ$2:$AJ$4001,0))</f>
        <v/>
      </c>
      <c r="P318" s="22" t="str">
        <f aca="false">IF($X318="","",O318*N318)</f>
        <v/>
      </c>
      <c r="Q318" s="23" t="str">
        <f aca="false">IF($X318="","",Settings!$C$6)</f>
        <v/>
      </c>
      <c r="R318" s="22" t="str">
        <f aca="false">IF($X318="","",SUMIFS('Per Line'!$Y$2:$Y$4001,'Per Line'!$D$2:$D$4001,$B318,'Per Line'!$AJ$2:$AJ$4001,1))</f>
        <v/>
      </c>
      <c r="S318" s="22" t="str">
        <f aca="false">IF($X318="","",R318*Q318)</f>
        <v/>
      </c>
      <c r="T318" s="22" t="str">
        <f aca="false">IF($X318="","",S318+P318)</f>
        <v/>
      </c>
      <c r="U318" s="22" t="str">
        <f aca="false">IF($X318="","",V318-T318)</f>
        <v/>
      </c>
      <c r="V318" s="22" t="str">
        <f aca="false">IF($X318="","",O318+R318)</f>
        <v/>
      </c>
      <c r="W318" s="22" t="str">
        <f aca="false">IF($X318="","",U318-L318)</f>
        <v/>
      </c>
      <c r="X318" s="24" t="str">
        <f aca="false">IF(ROWS($X$2:$X318)&lt;=MAX('Per Line'!$AI$2:$AI$4001),MATCH(ROWS($X$2:$X318),'Per Line'!$AI$2:$AI$4001,0),"")</f>
        <v/>
      </c>
    </row>
    <row r="319" customFormat="false" ht="15" hidden="false" customHeight="false" outlineLevel="0" collapsed="false">
      <c r="A319" s="19"/>
      <c r="B319" s="20" t="str">
        <f aca="false">IF($X319="","",INDEX('Per Line'!$D$2:$D$4001,$X319))</f>
        <v/>
      </c>
      <c r="C319" s="20" t="str">
        <f aca="false">IF($X319="","",INDEX('Per Line'!$C$2:$C$4001,$X319))</f>
        <v/>
      </c>
      <c r="D319" s="20" t="str">
        <f aca="false">IF($X319="","",INDEX('Per Line'!$A$2:$A$4001,$X319))</f>
        <v/>
      </c>
      <c r="E319" s="21" t="str">
        <f aca="false">IF($X319="","",INDEX('Per Line'!$F$2:$F$4001,$X319))</f>
        <v/>
      </c>
      <c r="F319" s="20" t="str">
        <f aca="false">IF($X319="","",INDEX('Per Line'!$G$2:$G$4001,$X319))</f>
        <v/>
      </c>
      <c r="G319" s="20" t="str">
        <f aca="false">IF($X319="","",INDEX('Per Line'!$I$2:$I$4001,$X319))</f>
        <v/>
      </c>
      <c r="H319" s="20" t="str">
        <f aca="false">IF($X319="","",INDEX('Per Line'!$J$2:$J$4001,$X319))</f>
        <v/>
      </c>
      <c r="I319" s="20" t="str">
        <f aca="false">IF($X319="","",INDEX('Per Line'!$K$2:$K$4001,$X319))</f>
        <v/>
      </c>
      <c r="J319" s="20" t="str">
        <f aca="false">IF($X319="","",INDEX('Per Line'!$L$2:$L$4001,$X319))</f>
        <v/>
      </c>
      <c r="K319" s="20" t="str">
        <f aca="false">IF($X319="","",INDEX('Per Line'!$M$2:$M$4001,$X319))</f>
        <v/>
      </c>
      <c r="L319" s="22" t="str">
        <f aca="false">IF($X319="","",K319*V319/100)</f>
        <v/>
      </c>
      <c r="M319" s="20" t="str">
        <f aca="false">IF($X319="","",INDEX('Per Line'!$Z$2:$Z$4001,$X319))</f>
        <v/>
      </c>
      <c r="N319" s="23" t="str">
        <f aca="false">IF($X319="","",Settings!$C$7)</f>
        <v/>
      </c>
      <c r="O319" s="22" t="str">
        <f aca="false">IF($X319="","",SUMIFS('Per Line'!$Y$2:$Y$4001,'Per Line'!$D$2:$D$4001,$B319,'Per Line'!$AJ$2:$AJ$4001,0))</f>
        <v/>
      </c>
      <c r="P319" s="22" t="str">
        <f aca="false">IF($X319="","",O319*N319)</f>
        <v/>
      </c>
      <c r="Q319" s="23" t="str">
        <f aca="false">IF($X319="","",Settings!$C$6)</f>
        <v/>
      </c>
      <c r="R319" s="22" t="str">
        <f aca="false">IF($X319="","",SUMIFS('Per Line'!$Y$2:$Y$4001,'Per Line'!$D$2:$D$4001,$B319,'Per Line'!$AJ$2:$AJ$4001,1))</f>
        <v/>
      </c>
      <c r="S319" s="22" t="str">
        <f aca="false">IF($X319="","",R319*Q319)</f>
        <v/>
      </c>
      <c r="T319" s="22" t="str">
        <f aca="false">IF($X319="","",S319+P319)</f>
        <v/>
      </c>
      <c r="U319" s="22" t="str">
        <f aca="false">IF($X319="","",V319-T319)</f>
        <v/>
      </c>
      <c r="V319" s="22" t="str">
        <f aca="false">IF($X319="","",O319+R319)</f>
        <v/>
      </c>
      <c r="W319" s="22" t="str">
        <f aca="false">IF($X319="","",U319-L319)</f>
        <v/>
      </c>
      <c r="X319" s="24" t="str">
        <f aca="false">IF(ROWS($X$2:$X319)&lt;=MAX('Per Line'!$AI$2:$AI$4001),MATCH(ROWS($X$2:$X319),'Per Line'!$AI$2:$AI$4001,0),"")</f>
        <v/>
      </c>
    </row>
    <row r="320" customFormat="false" ht="15" hidden="false" customHeight="false" outlineLevel="0" collapsed="false">
      <c r="A320" s="19"/>
      <c r="B320" s="20" t="str">
        <f aca="false">IF($X320="","",INDEX('Per Line'!$D$2:$D$4001,$X320))</f>
        <v/>
      </c>
      <c r="C320" s="20" t="str">
        <f aca="false">IF($X320="","",INDEX('Per Line'!$C$2:$C$4001,$X320))</f>
        <v/>
      </c>
      <c r="D320" s="20" t="str">
        <f aca="false">IF($X320="","",INDEX('Per Line'!$A$2:$A$4001,$X320))</f>
        <v/>
      </c>
      <c r="E320" s="21" t="str">
        <f aca="false">IF($X320="","",INDEX('Per Line'!$F$2:$F$4001,$X320))</f>
        <v/>
      </c>
      <c r="F320" s="20" t="str">
        <f aca="false">IF($X320="","",INDEX('Per Line'!$G$2:$G$4001,$X320))</f>
        <v/>
      </c>
      <c r="G320" s="20" t="str">
        <f aca="false">IF($X320="","",INDEX('Per Line'!$I$2:$I$4001,$X320))</f>
        <v/>
      </c>
      <c r="H320" s="20" t="str">
        <f aca="false">IF($X320="","",INDEX('Per Line'!$J$2:$J$4001,$X320))</f>
        <v/>
      </c>
      <c r="I320" s="20" t="str">
        <f aca="false">IF($X320="","",INDEX('Per Line'!$K$2:$K$4001,$X320))</f>
        <v/>
      </c>
      <c r="J320" s="20" t="str">
        <f aca="false">IF($X320="","",INDEX('Per Line'!$L$2:$L$4001,$X320))</f>
        <v/>
      </c>
      <c r="K320" s="20" t="str">
        <f aca="false">IF($X320="","",INDEX('Per Line'!$M$2:$M$4001,$X320))</f>
        <v/>
      </c>
      <c r="L320" s="22" t="str">
        <f aca="false">IF($X320="","",K320*V320/100)</f>
        <v/>
      </c>
      <c r="M320" s="20" t="str">
        <f aca="false">IF($X320="","",INDEX('Per Line'!$Z$2:$Z$4001,$X320))</f>
        <v/>
      </c>
      <c r="N320" s="23" t="str">
        <f aca="false">IF($X320="","",Settings!$C$7)</f>
        <v/>
      </c>
      <c r="O320" s="22" t="str">
        <f aca="false">IF($X320="","",SUMIFS('Per Line'!$Y$2:$Y$4001,'Per Line'!$D$2:$D$4001,$B320,'Per Line'!$AJ$2:$AJ$4001,0))</f>
        <v/>
      </c>
      <c r="P320" s="22" t="str">
        <f aca="false">IF($X320="","",O320*N320)</f>
        <v/>
      </c>
      <c r="Q320" s="23" t="str">
        <f aca="false">IF($X320="","",Settings!$C$6)</f>
        <v/>
      </c>
      <c r="R320" s="22" t="str">
        <f aca="false">IF($X320="","",SUMIFS('Per Line'!$Y$2:$Y$4001,'Per Line'!$D$2:$D$4001,$B320,'Per Line'!$AJ$2:$AJ$4001,1))</f>
        <v/>
      </c>
      <c r="S320" s="22" t="str">
        <f aca="false">IF($X320="","",R320*Q320)</f>
        <v/>
      </c>
      <c r="T320" s="22" t="str">
        <f aca="false">IF($X320="","",S320+P320)</f>
        <v/>
      </c>
      <c r="U320" s="22" t="str">
        <f aca="false">IF($X320="","",V320-T320)</f>
        <v/>
      </c>
      <c r="V320" s="22" t="str">
        <f aca="false">IF($X320="","",O320+R320)</f>
        <v/>
      </c>
      <c r="W320" s="22" t="str">
        <f aca="false">IF($X320="","",U320-L320)</f>
        <v/>
      </c>
      <c r="X320" s="24" t="str">
        <f aca="false">IF(ROWS($X$2:$X320)&lt;=MAX('Per Line'!$AI$2:$AI$4001),MATCH(ROWS($X$2:$X320),'Per Line'!$AI$2:$AI$4001,0),"")</f>
        <v/>
      </c>
    </row>
    <row r="321" customFormat="false" ht="15" hidden="false" customHeight="false" outlineLevel="0" collapsed="false">
      <c r="A321" s="19"/>
      <c r="B321" s="20" t="str">
        <f aca="false">IF($X321="","",INDEX('Per Line'!$D$2:$D$4001,$X321))</f>
        <v/>
      </c>
      <c r="C321" s="20" t="str">
        <f aca="false">IF($X321="","",INDEX('Per Line'!$C$2:$C$4001,$X321))</f>
        <v/>
      </c>
      <c r="D321" s="20" t="str">
        <f aca="false">IF($X321="","",INDEX('Per Line'!$A$2:$A$4001,$X321))</f>
        <v/>
      </c>
      <c r="E321" s="21" t="str">
        <f aca="false">IF($X321="","",INDEX('Per Line'!$F$2:$F$4001,$X321))</f>
        <v/>
      </c>
      <c r="F321" s="20" t="str">
        <f aca="false">IF($X321="","",INDEX('Per Line'!$G$2:$G$4001,$X321))</f>
        <v/>
      </c>
      <c r="G321" s="20" t="str">
        <f aca="false">IF($X321="","",INDEX('Per Line'!$I$2:$I$4001,$X321))</f>
        <v/>
      </c>
      <c r="H321" s="20" t="str">
        <f aca="false">IF($X321="","",INDEX('Per Line'!$J$2:$J$4001,$X321))</f>
        <v/>
      </c>
      <c r="I321" s="20" t="str">
        <f aca="false">IF($X321="","",INDEX('Per Line'!$K$2:$K$4001,$X321))</f>
        <v/>
      </c>
      <c r="J321" s="20" t="str">
        <f aca="false">IF($X321="","",INDEX('Per Line'!$L$2:$L$4001,$X321))</f>
        <v/>
      </c>
      <c r="K321" s="20" t="str">
        <f aca="false">IF($X321="","",INDEX('Per Line'!$M$2:$M$4001,$X321))</f>
        <v/>
      </c>
      <c r="L321" s="22" t="str">
        <f aca="false">IF($X321="","",K321*V321/100)</f>
        <v/>
      </c>
      <c r="M321" s="20" t="str">
        <f aca="false">IF($X321="","",INDEX('Per Line'!$Z$2:$Z$4001,$X321))</f>
        <v/>
      </c>
      <c r="N321" s="23" t="str">
        <f aca="false">IF($X321="","",Settings!$C$7)</f>
        <v/>
      </c>
      <c r="O321" s="22" t="str">
        <f aca="false">IF($X321="","",SUMIFS('Per Line'!$Y$2:$Y$4001,'Per Line'!$D$2:$D$4001,$B321,'Per Line'!$AJ$2:$AJ$4001,0))</f>
        <v/>
      </c>
      <c r="P321" s="22" t="str">
        <f aca="false">IF($X321="","",O321*N321)</f>
        <v/>
      </c>
      <c r="Q321" s="23" t="str">
        <f aca="false">IF($X321="","",Settings!$C$6)</f>
        <v/>
      </c>
      <c r="R321" s="22" t="str">
        <f aca="false">IF($X321="","",SUMIFS('Per Line'!$Y$2:$Y$4001,'Per Line'!$D$2:$D$4001,$B321,'Per Line'!$AJ$2:$AJ$4001,1))</f>
        <v/>
      </c>
      <c r="S321" s="22" t="str">
        <f aca="false">IF($X321="","",R321*Q321)</f>
        <v/>
      </c>
      <c r="T321" s="22" t="str">
        <f aca="false">IF($X321="","",S321+P321)</f>
        <v/>
      </c>
      <c r="U321" s="22" t="str">
        <f aca="false">IF($X321="","",V321-T321)</f>
        <v/>
      </c>
      <c r="V321" s="22" t="str">
        <f aca="false">IF($X321="","",O321+R321)</f>
        <v/>
      </c>
      <c r="W321" s="22" t="str">
        <f aca="false">IF($X321="","",U321-L321)</f>
        <v/>
      </c>
      <c r="X321" s="24" t="str">
        <f aca="false">IF(ROWS($X$2:$X321)&lt;=MAX('Per Line'!$AI$2:$AI$4001),MATCH(ROWS($X$2:$X321),'Per Line'!$AI$2:$AI$4001,0),"")</f>
        <v/>
      </c>
    </row>
    <row r="322" customFormat="false" ht="15" hidden="false" customHeight="false" outlineLevel="0" collapsed="false">
      <c r="A322" s="19"/>
      <c r="B322" s="20" t="str">
        <f aca="false">IF($X322="","",INDEX('Per Line'!$D$2:$D$4001,$X322))</f>
        <v/>
      </c>
      <c r="C322" s="20" t="str">
        <f aca="false">IF($X322="","",INDEX('Per Line'!$C$2:$C$4001,$X322))</f>
        <v/>
      </c>
      <c r="D322" s="20" t="str">
        <f aca="false">IF($X322="","",INDEX('Per Line'!$A$2:$A$4001,$X322))</f>
        <v/>
      </c>
      <c r="E322" s="21" t="str">
        <f aca="false">IF($X322="","",INDEX('Per Line'!$F$2:$F$4001,$X322))</f>
        <v/>
      </c>
      <c r="F322" s="20" t="str">
        <f aca="false">IF($X322="","",INDEX('Per Line'!$G$2:$G$4001,$X322))</f>
        <v/>
      </c>
      <c r="G322" s="20" t="str">
        <f aca="false">IF($X322="","",INDEX('Per Line'!$I$2:$I$4001,$X322))</f>
        <v/>
      </c>
      <c r="H322" s="20" t="str">
        <f aca="false">IF($X322="","",INDEX('Per Line'!$J$2:$J$4001,$X322))</f>
        <v/>
      </c>
      <c r="I322" s="20" t="str">
        <f aca="false">IF($X322="","",INDEX('Per Line'!$K$2:$K$4001,$X322))</f>
        <v/>
      </c>
      <c r="J322" s="20" t="str">
        <f aca="false">IF($X322="","",INDEX('Per Line'!$L$2:$L$4001,$X322))</f>
        <v/>
      </c>
      <c r="K322" s="20" t="str">
        <f aca="false">IF($X322="","",INDEX('Per Line'!$M$2:$M$4001,$X322))</f>
        <v/>
      </c>
      <c r="L322" s="22" t="str">
        <f aca="false">IF($X322="","",K322*V322/100)</f>
        <v/>
      </c>
      <c r="M322" s="20" t="str">
        <f aca="false">IF($X322="","",INDEX('Per Line'!$Z$2:$Z$4001,$X322))</f>
        <v/>
      </c>
      <c r="N322" s="23" t="str">
        <f aca="false">IF($X322="","",Settings!$C$7)</f>
        <v/>
      </c>
      <c r="O322" s="22" t="str">
        <f aca="false">IF($X322="","",SUMIFS('Per Line'!$Y$2:$Y$4001,'Per Line'!$D$2:$D$4001,$B322,'Per Line'!$AJ$2:$AJ$4001,0))</f>
        <v/>
      </c>
      <c r="P322" s="22" t="str">
        <f aca="false">IF($X322="","",O322*N322)</f>
        <v/>
      </c>
      <c r="Q322" s="23" t="str">
        <f aca="false">IF($X322="","",Settings!$C$6)</f>
        <v/>
      </c>
      <c r="R322" s="22" t="str">
        <f aca="false">IF($X322="","",SUMIFS('Per Line'!$Y$2:$Y$4001,'Per Line'!$D$2:$D$4001,$B322,'Per Line'!$AJ$2:$AJ$4001,1))</f>
        <v/>
      </c>
      <c r="S322" s="22" t="str">
        <f aca="false">IF($X322="","",R322*Q322)</f>
        <v/>
      </c>
      <c r="T322" s="22" t="str">
        <f aca="false">IF($X322="","",S322+P322)</f>
        <v/>
      </c>
      <c r="U322" s="22" t="str">
        <f aca="false">IF($X322="","",V322-T322)</f>
        <v/>
      </c>
      <c r="V322" s="22" t="str">
        <f aca="false">IF($X322="","",O322+R322)</f>
        <v/>
      </c>
      <c r="W322" s="22" t="str">
        <f aca="false">IF($X322="","",U322-L322)</f>
        <v/>
      </c>
      <c r="X322" s="24" t="str">
        <f aca="false">IF(ROWS($X$2:$X322)&lt;=MAX('Per Line'!$AI$2:$AI$4001),MATCH(ROWS($X$2:$X322),'Per Line'!$AI$2:$AI$4001,0),"")</f>
        <v/>
      </c>
    </row>
    <row r="323" customFormat="false" ht="15" hidden="false" customHeight="false" outlineLevel="0" collapsed="false">
      <c r="A323" s="19"/>
      <c r="B323" s="20" t="str">
        <f aca="false">IF($X323="","",INDEX('Per Line'!$D$2:$D$4001,$X323))</f>
        <v/>
      </c>
      <c r="C323" s="20" t="str">
        <f aca="false">IF($X323="","",INDEX('Per Line'!$C$2:$C$4001,$X323))</f>
        <v/>
      </c>
      <c r="D323" s="20" t="str">
        <f aca="false">IF($X323="","",INDEX('Per Line'!$A$2:$A$4001,$X323))</f>
        <v/>
      </c>
      <c r="E323" s="21" t="str">
        <f aca="false">IF($X323="","",INDEX('Per Line'!$F$2:$F$4001,$X323))</f>
        <v/>
      </c>
      <c r="F323" s="20" t="str">
        <f aca="false">IF($X323="","",INDEX('Per Line'!$G$2:$G$4001,$X323))</f>
        <v/>
      </c>
      <c r="G323" s="20" t="str">
        <f aca="false">IF($X323="","",INDEX('Per Line'!$I$2:$I$4001,$X323))</f>
        <v/>
      </c>
      <c r="H323" s="20" t="str">
        <f aca="false">IF($X323="","",INDEX('Per Line'!$J$2:$J$4001,$X323))</f>
        <v/>
      </c>
      <c r="I323" s="20" t="str">
        <f aca="false">IF($X323="","",INDEX('Per Line'!$K$2:$K$4001,$X323))</f>
        <v/>
      </c>
      <c r="J323" s="20" t="str">
        <f aca="false">IF($X323="","",INDEX('Per Line'!$L$2:$L$4001,$X323))</f>
        <v/>
      </c>
      <c r="K323" s="20" t="str">
        <f aca="false">IF($X323="","",INDEX('Per Line'!$M$2:$M$4001,$X323))</f>
        <v/>
      </c>
      <c r="L323" s="22" t="str">
        <f aca="false">IF($X323="","",K323*V323/100)</f>
        <v/>
      </c>
      <c r="M323" s="20" t="str">
        <f aca="false">IF($X323="","",INDEX('Per Line'!$Z$2:$Z$4001,$X323))</f>
        <v/>
      </c>
      <c r="N323" s="23" t="str">
        <f aca="false">IF($X323="","",Settings!$C$7)</f>
        <v/>
      </c>
      <c r="O323" s="22" t="str">
        <f aca="false">IF($X323="","",SUMIFS('Per Line'!$Y$2:$Y$4001,'Per Line'!$D$2:$D$4001,$B323,'Per Line'!$AJ$2:$AJ$4001,0))</f>
        <v/>
      </c>
      <c r="P323" s="22" t="str">
        <f aca="false">IF($X323="","",O323*N323)</f>
        <v/>
      </c>
      <c r="Q323" s="23" t="str">
        <f aca="false">IF($X323="","",Settings!$C$6)</f>
        <v/>
      </c>
      <c r="R323" s="22" t="str">
        <f aca="false">IF($X323="","",SUMIFS('Per Line'!$Y$2:$Y$4001,'Per Line'!$D$2:$D$4001,$B323,'Per Line'!$AJ$2:$AJ$4001,1))</f>
        <v/>
      </c>
      <c r="S323" s="22" t="str">
        <f aca="false">IF($X323="","",R323*Q323)</f>
        <v/>
      </c>
      <c r="T323" s="22" t="str">
        <f aca="false">IF($X323="","",S323+P323)</f>
        <v/>
      </c>
      <c r="U323" s="22" t="str">
        <f aca="false">IF($X323="","",V323-T323)</f>
        <v/>
      </c>
      <c r="V323" s="22" t="str">
        <f aca="false">IF($X323="","",O323+R323)</f>
        <v/>
      </c>
      <c r="W323" s="22" t="str">
        <f aca="false">IF($X323="","",U323-L323)</f>
        <v/>
      </c>
      <c r="X323" s="24" t="str">
        <f aca="false">IF(ROWS($X$2:$X323)&lt;=MAX('Per Line'!$AI$2:$AI$4001),MATCH(ROWS($X$2:$X323),'Per Line'!$AI$2:$AI$4001,0),"")</f>
        <v/>
      </c>
    </row>
    <row r="324" customFormat="false" ht="15" hidden="false" customHeight="false" outlineLevel="0" collapsed="false">
      <c r="A324" s="19"/>
      <c r="B324" s="20" t="str">
        <f aca="false">IF($X324="","",INDEX('Per Line'!$D$2:$D$4001,$X324))</f>
        <v/>
      </c>
      <c r="C324" s="20" t="str">
        <f aca="false">IF($X324="","",INDEX('Per Line'!$C$2:$C$4001,$X324))</f>
        <v/>
      </c>
      <c r="D324" s="20" t="str">
        <f aca="false">IF($X324="","",INDEX('Per Line'!$A$2:$A$4001,$X324))</f>
        <v/>
      </c>
      <c r="E324" s="21" t="str">
        <f aca="false">IF($X324="","",INDEX('Per Line'!$F$2:$F$4001,$X324))</f>
        <v/>
      </c>
      <c r="F324" s="20" t="str">
        <f aca="false">IF($X324="","",INDEX('Per Line'!$G$2:$G$4001,$X324))</f>
        <v/>
      </c>
      <c r="G324" s="20" t="str">
        <f aca="false">IF($X324="","",INDEX('Per Line'!$I$2:$I$4001,$X324))</f>
        <v/>
      </c>
      <c r="H324" s="20" t="str">
        <f aca="false">IF($X324="","",INDEX('Per Line'!$J$2:$J$4001,$X324))</f>
        <v/>
      </c>
      <c r="I324" s="20" t="str">
        <f aca="false">IF($X324="","",INDEX('Per Line'!$K$2:$K$4001,$X324))</f>
        <v/>
      </c>
      <c r="J324" s="20" t="str">
        <f aca="false">IF($X324="","",INDEX('Per Line'!$L$2:$L$4001,$X324))</f>
        <v/>
      </c>
      <c r="K324" s="20" t="str">
        <f aca="false">IF($X324="","",INDEX('Per Line'!$M$2:$M$4001,$X324))</f>
        <v/>
      </c>
      <c r="L324" s="22" t="str">
        <f aca="false">IF($X324="","",K324*V324/100)</f>
        <v/>
      </c>
      <c r="M324" s="20" t="str">
        <f aca="false">IF($X324="","",INDEX('Per Line'!$Z$2:$Z$4001,$X324))</f>
        <v/>
      </c>
      <c r="N324" s="23" t="str">
        <f aca="false">IF($X324="","",Settings!$C$7)</f>
        <v/>
      </c>
      <c r="O324" s="22" t="str">
        <f aca="false">IF($X324="","",SUMIFS('Per Line'!$Y$2:$Y$4001,'Per Line'!$D$2:$D$4001,$B324,'Per Line'!$AJ$2:$AJ$4001,0))</f>
        <v/>
      </c>
      <c r="P324" s="22" t="str">
        <f aca="false">IF($X324="","",O324*N324)</f>
        <v/>
      </c>
      <c r="Q324" s="23" t="str">
        <f aca="false">IF($X324="","",Settings!$C$6)</f>
        <v/>
      </c>
      <c r="R324" s="22" t="str">
        <f aca="false">IF($X324="","",SUMIFS('Per Line'!$Y$2:$Y$4001,'Per Line'!$D$2:$D$4001,$B324,'Per Line'!$AJ$2:$AJ$4001,1))</f>
        <v/>
      </c>
      <c r="S324" s="22" t="str">
        <f aca="false">IF($X324="","",R324*Q324)</f>
        <v/>
      </c>
      <c r="T324" s="22" t="str">
        <f aca="false">IF($X324="","",S324+P324)</f>
        <v/>
      </c>
      <c r="U324" s="22" t="str">
        <f aca="false">IF($X324="","",V324-T324)</f>
        <v/>
      </c>
      <c r="V324" s="22" t="str">
        <f aca="false">IF($X324="","",O324+R324)</f>
        <v/>
      </c>
      <c r="W324" s="22" t="str">
        <f aca="false">IF($X324="","",U324-L324)</f>
        <v/>
      </c>
      <c r="X324" s="24" t="str">
        <f aca="false">IF(ROWS($X$2:$X324)&lt;=MAX('Per Line'!$AI$2:$AI$4001),MATCH(ROWS($X$2:$X324),'Per Line'!$AI$2:$AI$4001,0),"")</f>
        <v/>
      </c>
    </row>
    <row r="325" customFormat="false" ht="15" hidden="false" customHeight="false" outlineLevel="0" collapsed="false">
      <c r="A325" s="19"/>
      <c r="B325" s="20" t="str">
        <f aca="false">IF($X325="","",INDEX('Per Line'!$D$2:$D$4001,$X325))</f>
        <v/>
      </c>
      <c r="C325" s="20" t="str">
        <f aca="false">IF($X325="","",INDEX('Per Line'!$C$2:$C$4001,$X325))</f>
        <v/>
      </c>
      <c r="D325" s="20" t="str">
        <f aca="false">IF($X325="","",INDEX('Per Line'!$A$2:$A$4001,$X325))</f>
        <v/>
      </c>
      <c r="E325" s="21" t="str">
        <f aca="false">IF($X325="","",INDEX('Per Line'!$F$2:$F$4001,$X325))</f>
        <v/>
      </c>
      <c r="F325" s="20" t="str">
        <f aca="false">IF($X325="","",INDEX('Per Line'!$G$2:$G$4001,$X325))</f>
        <v/>
      </c>
      <c r="G325" s="20" t="str">
        <f aca="false">IF($X325="","",INDEX('Per Line'!$I$2:$I$4001,$X325))</f>
        <v/>
      </c>
      <c r="H325" s="20" t="str">
        <f aca="false">IF($X325="","",INDEX('Per Line'!$J$2:$J$4001,$X325))</f>
        <v/>
      </c>
      <c r="I325" s="20" t="str">
        <f aca="false">IF($X325="","",INDEX('Per Line'!$K$2:$K$4001,$X325))</f>
        <v/>
      </c>
      <c r="J325" s="20" t="str">
        <f aca="false">IF($X325="","",INDEX('Per Line'!$L$2:$L$4001,$X325))</f>
        <v/>
      </c>
      <c r="K325" s="20" t="str">
        <f aca="false">IF($X325="","",INDEX('Per Line'!$M$2:$M$4001,$X325))</f>
        <v/>
      </c>
      <c r="L325" s="22" t="str">
        <f aca="false">IF($X325="","",K325*V325/100)</f>
        <v/>
      </c>
      <c r="M325" s="20" t="str">
        <f aca="false">IF($X325="","",INDEX('Per Line'!$Z$2:$Z$4001,$X325))</f>
        <v/>
      </c>
      <c r="N325" s="23" t="str">
        <f aca="false">IF($X325="","",Settings!$C$7)</f>
        <v/>
      </c>
      <c r="O325" s="22" t="str">
        <f aca="false">IF($X325="","",SUMIFS('Per Line'!$Y$2:$Y$4001,'Per Line'!$D$2:$D$4001,$B325,'Per Line'!$AJ$2:$AJ$4001,0))</f>
        <v/>
      </c>
      <c r="P325" s="22" t="str">
        <f aca="false">IF($X325="","",O325*N325)</f>
        <v/>
      </c>
      <c r="Q325" s="23" t="str">
        <f aca="false">IF($X325="","",Settings!$C$6)</f>
        <v/>
      </c>
      <c r="R325" s="22" t="str">
        <f aca="false">IF($X325="","",SUMIFS('Per Line'!$Y$2:$Y$4001,'Per Line'!$D$2:$D$4001,$B325,'Per Line'!$AJ$2:$AJ$4001,1))</f>
        <v/>
      </c>
      <c r="S325" s="22" t="str">
        <f aca="false">IF($X325="","",R325*Q325)</f>
        <v/>
      </c>
      <c r="T325" s="22" t="str">
        <f aca="false">IF($X325="","",S325+P325)</f>
        <v/>
      </c>
      <c r="U325" s="22" t="str">
        <f aca="false">IF($X325="","",V325-T325)</f>
        <v/>
      </c>
      <c r="V325" s="22" t="str">
        <f aca="false">IF($X325="","",O325+R325)</f>
        <v/>
      </c>
      <c r="W325" s="22" t="str">
        <f aca="false">IF($X325="","",U325-L325)</f>
        <v/>
      </c>
      <c r="X325" s="24" t="str">
        <f aca="false">IF(ROWS($X$2:$X325)&lt;=MAX('Per Line'!$AI$2:$AI$4001),MATCH(ROWS($X$2:$X325),'Per Line'!$AI$2:$AI$4001,0),"")</f>
        <v/>
      </c>
    </row>
    <row r="326" customFormat="false" ht="15" hidden="false" customHeight="false" outlineLevel="0" collapsed="false">
      <c r="A326" s="19"/>
      <c r="B326" s="20" t="str">
        <f aca="false">IF($X326="","",INDEX('Per Line'!$D$2:$D$4001,$X326))</f>
        <v/>
      </c>
      <c r="C326" s="20" t="str">
        <f aca="false">IF($X326="","",INDEX('Per Line'!$C$2:$C$4001,$X326))</f>
        <v/>
      </c>
      <c r="D326" s="20" t="str">
        <f aca="false">IF($X326="","",INDEX('Per Line'!$A$2:$A$4001,$X326))</f>
        <v/>
      </c>
      <c r="E326" s="21" t="str">
        <f aca="false">IF($X326="","",INDEX('Per Line'!$F$2:$F$4001,$X326))</f>
        <v/>
      </c>
      <c r="F326" s="20" t="str">
        <f aca="false">IF($X326="","",INDEX('Per Line'!$G$2:$G$4001,$X326))</f>
        <v/>
      </c>
      <c r="G326" s="20" t="str">
        <f aca="false">IF($X326="","",INDEX('Per Line'!$I$2:$I$4001,$X326))</f>
        <v/>
      </c>
      <c r="H326" s="20" t="str">
        <f aca="false">IF($X326="","",INDEX('Per Line'!$J$2:$J$4001,$X326))</f>
        <v/>
      </c>
      <c r="I326" s="20" t="str">
        <f aca="false">IF($X326="","",INDEX('Per Line'!$K$2:$K$4001,$X326))</f>
        <v/>
      </c>
      <c r="J326" s="20" t="str">
        <f aca="false">IF($X326="","",INDEX('Per Line'!$L$2:$L$4001,$X326))</f>
        <v/>
      </c>
      <c r="K326" s="20" t="str">
        <f aca="false">IF($X326="","",INDEX('Per Line'!$M$2:$M$4001,$X326))</f>
        <v/>
      </c>
      <c r="L326" s="22" t="str">
        <f aca="false">IF($X326="","",K326*V326/100)</f>
        <v/>
      </c>
      <c r="M326" s="20" t="str">
        <f aca="false">IF($X326="","",INDEX('Per Line'!$Z$2:$Z$4001,$X326))</f>
        <v/>
      </c>
      <c r="N326" s="23" t="str">
        <f aca="false">IF($X326="","",Settings!$C$7)</f>
        <v/>
      </c>
      <c r="O326" s="22" t="str">
        <f aca="false">IF($X326="","",SUMIFS('Per Line'!$Y$2:$Y$4001,'Per Line'!$D$2:$D$4001,$B326,'Per Line'!$AJ$2:$AJ$4001,0))</f>
        <v/>
      </c>
      <c r="P326" s="22" t="str">
        <f aca="false">IF($X326="","",O326*N326)</f>
        <v/>
      </c>
      <c r="Q326" s="23" t="str">
        <f aca="false">IF($X326="","",Settings!$C$6)</f>
        <v/>
      </c>
      <c r="R326" s="22" t="str">
        <f aca="false">IF($X326="","",SUMIFS('Per Line'!$Y$2:$Y$4001,'Per Line'!$D$2:$D$4001,$B326,'Per Line'!$AJ$2:$AJ$4001,1))</f>
        <v/>
      </c>
      <c r="S326" s="22" t="str">
        <f aca="false">IF($X326="","",R326*Q326)</f>
        <v/>
      </c>
      <c r="T326" s="22" t="str">
        <f aca="false">IF($X326="","",S326+P326)</f>
        <v/>
      </c>
      <c r="U326" s="22" t="str">
        <f aca="false">IF($X326="","",V326-T326)</f>
        <v/>
      </c>
      <c r="V326" s="22" t="str">
        <f aca="false">IF($X326="","",O326+R326)</f>
        <v/>
      </c>
      <c r="W326" s="22" t="str">
        <f aca="false">IF($X326="","",U326-L326)</f>
        <v/>
      </c>
      <c r="X326" s="24" t="str">
        <f aca="false">IF(ROWS($X$2:$X326)&lt;=MAX('Per Line'!$AI$2:$AI$4001),MATCH(ROWS($X$2:$X326),'Per Line'!$AI$2:$AI$4001,0),"")</f>
        <v/>
      </c>
    </row>
    <row r="327" customFormat="false" ht="15" hidden="false" customHeight="false" outlineLevel="0" collapsed="false">
      <c r="A327" s="19"/>
      <c r="B327" s="20" t="str">
        <f aca="false">IF($X327="","",INDEX('Per Line'!$D$2:$D$4001,$X327))</f>
        <v/>
      </c>
      <c r="C327" s="20" t="str">
        <f aca="false">IF($X327="","",INDEX('Per Line'!$C$2:$C$4001,$X327))</f>
        <v/>
      </c>
      <c r="D327" s="20" t="str">
        <f aca="false">IF($X327="","",INDEX('Per Line'!$A$2:$A$4001,$X327))</f>
        <v/>
      </c>
      <c r="E327" s="21" t="str">
        <f aca="false">IF($X327="","",INDEX('Per Line'!$F$2:$F$4001,$X327))</f>
        <v/>
      </c>
      <c r="F327" s="20" t="str">
        <f aca="false">IF($X327="","",INDEX('Per Line'!$G$2:$G$4001,$X327))</f>
        <v/>
      </c>
      <c r="G327" s="20" t="str">
        <f aca="false">IF($X327="","",INDEX('Per Line'!$I$2:$I$4001,$X327))</f>
        <v/>
      </c>
      <c r="H327" s="20" t="str">
        <f aca="false">IF($X327="","",INDEX('Per Line'!$J$2:$J$4001,$X327))</f>
        <v/>
      </c>
      <c r="I327" s="20" t="str">
        <f aca="false">IF($X327="","",INDEX('Per Line'!$K$2:$K$4001,$X327))</f>
        <v/>
      </c>
      <c r="J327" s="20" t="str">
        <f aca="false">IF($X327="","",INDEX('Per Line'!$L$2:$L$4001,$X327))</f>
        <v/>
      </c>
      <c r="K327" s="20" t="str">
        <f aca="false">IF($X327="","",INDEX('Per Line'!$M$2:$M$4001,$X327))</f>
        <v/>
      </c>
      <c r="L327" s="22" t="str">
        <f aca="false">IF($X327="","",K327*V327/100)</f>
        <v/>
      </c>
      <c r="M327" s="20" t="str">
        <f aca="false">IF($X327="","",INDEX('Per Line'!$Z$2:$Z$4001,$X327))</f>
        <v/>
      </c>
      <c r="N327" s="23" t="str">
        <f aca="false">IF($X327="","",Settings!$C$7)</f>
        <v/>
      </c>
      <c r="O327" s="22" t="str">
        <f aca="false">IF($X327="","",SUMIFS('Per Line'!$Y$2:$Y$4001,'Per Line'!$D$2:$D$4001,$B327,'Per Line'!$AJ$2:$AJ$4001,0))</f>
        <v/>
      </c>
      <c r="P327" s="22" t="str">
        <f aca="false">IF($X327="","",O327*N327)</f>
        <v/>
      </c>
      <c r="Q327" s="23" t="str">
        <f aca="false">IF($X327="","",Settings!$C$6)</f>
        <v/>
      </c>
      <c r="R327" s="22" t="str">
        <f aca="false">IF($X327="","",SUMIFS('Per Line'!$Y$2:$Y$4001,'Per Line'!$D$2:$D$4001,$B327,'Per Line'!$AJ$2:$AJ$4001,1))</f>
        <v/>
      </c>
      <c r="S327" s="22" t="str">
        <f aca="false">IF($X327="","",R327*Q327)</f>
        <v/>
      </c>
      <c r="T327" s="22" t="str">
        <f aca="false">IF($X327="","",S327+P327)</f>
        <v/>
      </c>
      <c r="U327" s="22" t="str">
        <f aca="false">IF($X327="","",V327-T327)</f>
        <v/>
      </c>
      <c r="V327" s="22" t="str">
        <f aca="false">IF($X327="","",O327+R327)</f>
        <v/>
      </c>
      <c r="W327" s="22" t="str">
        <f aca="false">IF($X327="","",U327-L327)</f>
        <v/>
      </c>
      <c r="X327" s="24" t="str">
        <f aca="false">IF(ROWS($X$2:$X327)&lt;=MAX('Per Line'!$AI$2:$AI$4001),MATCH(ROWS($X$2:$X327),'Per Line'!$AI$2:$AI$4001,0),"")</f>
        <v/>
      </c>
    </row>
    <row r="328" customFormat="false" ht="15" hidden="false" customHeight="false" outlineLevel="0" collapsed="false">
      <c r="A328" s="19"/>
      <c r="B328" s="20" t="str">
        <f aca="false">IF($X328="","",INDEX('Per Line'!$D$2:$D$4001,$X328))</f>
        <v/>
      </c>
      <c r="C328" s="20" t="str">
        <f aca="false">IF($X328="","",INDEX('Per Line'!$C$2:$C$4001,$X328))</f>
        <v/>
      </c>
      <c r="D328" s="20" t="str">
        <f aca="false">IF($X328="","",INDEX('Per Line'!$A$2:$A$4001,$X328))</f>
        <v/>
      </c>
      <c r="E328" s="21" t="str">
        <f aca="false">IF($X328="","",INDEX('Per Line'!$F$2:$F$4001,$X328))</f>
        <v/>
      </c>
      <c r="F328" s="20" t="str">
        <f aca="false">IF($X328="","",INDEX('Per Line'!$G$2:$G$4001,$X328))</f>
        <v/>
      </c>
      <c r="G328" s="20" t="str">
        <f aca="false">IF($X328="","",INDEX('Per Line'!$I$2:$I$4001,$X328))</f>
        <v/>
      </c>
      <c r="H328" s="20" t="str">
        <f aca="false">IF($X328="","",INDEX('Per Line'!$J$2:$J$4001,$X328))</f>
        <v/>
      </c>
      <c r="I328" s="20" t="str">
        <f aca="false">IF($X328="","",INDEX('Per Line'!$K$2:$K$4001,$X328))</f>
        <v/>
      </c>
      <c r="J328" s="20" t="str">
        <f aca="false">IF($X328="","",INDEX('Per Line'!$L$2:$L$4001,$X328))</f>
        <v/>
      </c>
      <c r="K328" s="20" t="str">
        <f aca="false">IF($X328="","",INDEX('Per Line'!$M$2:$M$4001,$X328))</f>
        <v/>
      </c>
      <c r="L328" s="22" t="str">
        <f aca="false">IF($X328="","",K328*V328/100)</f>
        <v/>
      </c>
      <c r="M328" s="20" t="str">
        <f aca="false">IF($X328="","",INDEX('Per Line'!$Z$2:$Z$4001,$X328))</f>
        <v/>
      </c>
      <c r="N328" s="23" t="str">
        <f aca="false">IF($X328="","",Settings!$C$7)</f>
        <v/>
      </c>
      <c r="O328" s="22" t="str">
        <f aca="false">IF($X328="","",SUMIFS('Per Line'!$Y$2:$Y$4001,'Per Line'!$D$2:$D$4001,$B328,'Per Line'!$AJ$2:$AJ$4001,0))</f>
        <v/>
      </c>
      <c r="P328" s="22" t="str">
        <f aca="false">IF($X328="","",O328*N328)</f>
        <v/>
      </c>
      <c r="Q328" s="23" t="str">
        <f aca="false">IF($X328="","",Settings!$C$6)</f>
        <v/>
      </c>
      <c r="R328" s="22" t="str">
        <f aca="false">IF($X328="","",SUMIFS('Per Line'!$Y$2:$Y$4001,'Per Line'!$D$2:$D$4001,$B328,'Per Line'!$AJ$2:$AJ$4001,1))</f>
        <v/>
      </c>
      <c r="S328" s="22" t="str">
        <f aca="false">IF($X328="","",R328*Q328)</f>
        <v/>
      </c>
      <c r="T328" s="22" t="str">
        <f aca="false">IF($X328="","",S328+P328)</f>
        <v/>
      </c>
      <c r="U328" s="22" t="str">
        <f aca="false">IF($X328="","",V328-T328)</f>
        <v/>
      </c>
      <c r="V328" s="22" t="str">
        <f aca="false">IF($X328="","",O328+R328)</f>
        <v/>
      </c>
      <c r="W328" s="22" t="str">
        <f aca="false">IF($X328="","",U328-L328)</f>
        <v/>
      </c>
      <c r="X328" s="24" t="str">
        <f aca="false">IF(ROWS($X$2:$X328)&lt;=MAX('Per Line'!$AI$2:$AI$4001),MATCH(ROWS($X$2:$X328),'Per Line'!$AI$2:$AI$4001,0),"")</f>
        <v/>
      </c>
    </row>
    <row r="329" customFormat="false" ht="15" hidden="false" customHeight="false" outlineLevel="0" collapsed="false">
      <c r="A329" s="19"/>
      <c r="B329" s="20" t="str">
        <f aca="false">IF($X329="","",INDEX('Per Line'!$D$2:$D$4001,$X329))</f>
        <v/>
      </c>
      <c r="C329" s="20" t="str">
        <f aca="false">IF($X329="","",INDEX('Per Line'!$C$2:$C$4001,$X329))</f>
        <v/>
      </c>
      <c r="D329" s="20" t="str">
        <f aca="false">IF($X329="","",INDEX('Per Line'!$A$2:$A$4001,$X329))</f>
        <v/>
      </c>
      <c r="E329" s="21" t="str">
        <f aca="false">IF($X329="","",INDEX('Per Line'!$F$2:$F$4001,$X329))</f>
        <v/>
      </c>
      <c r="F329" s="20" t="str">
        <f aca="false">IF($X329="","",INDEX('Per Line'!$G$2:$G$4001,$X329))</f>
        <v/>
      </c>
      <c r="G329" s="20" t="str">
        <f aca="false">IF($X329="","",INDEX('Per Line'!$I$2:$I$4001,$X329))</f>
        <v/>
      </c>
      <c r="H329" s="20" t="str">
        <f aca="false">IF($X329="","",INDEX('Per Line'!$J$2:$J$4001,$X329))</f>
        <v/>
      </c>
      <c r="I329" s="20" t="str">
        <f aca="false">IF($X329="","",INDEX('Per Line'!$K$2:$K$4001,$X329))</f>
        <v/>
      </c>
      <c r="J329" s="20" t="str">
        <f aca="false">IF($X329="","",INDEX('Per Line'!$L$2:$L$4001,$X329))</f>
        <v/>
      </c>
      <c r="K329" s="20" t="str">
        <f aca="false">IF($X329="","",INDEX('Per Line'!$M$2:$M$4001,$X329))</f>
        <v/>
      </c>
      <c r="L329" s="22" t="str">
        <f aca="false">IF($X329="","",K329*V329/100)</f>
        <v/>
      </c>
      <c r="M329" s="20" t="str">
        <f aca="false">IF($X329="","",INDEX('Per Line'!$Z$2:$Z$4001,$X329))</f>
        <v/>
      </c>
      <c r="N329" s="23" t="str">
        <f aca="false">IF($X329="","",Settings!$C$7)</f>
        <v/>
      </c>
      <c r="O329" s="22" t="str">
        <f aca="false">IF($X329="","",SUMIFS('Per Line'!$Y$2:$Y$4001,'Per Line'!$D$2:$D$4001,$B329,'Per Line'!$AJ$2:$AJ$4001,0))</f>
        <v/>
      </c>
      <c r="P329" s="22" t="str">
        <f aca="false">IF($X329="","",O329*N329)</f>
        <v/>
      </c>
      <c r="Q329" s="23" t="str">
        <f aca="false">IF($X329="","",Settings!$C$6)</f>
        <v/>
      </c>
      <c r="R329" s="22" t="str">
        <f aca="false">IF($X329="","",SUMIFS('Per Line'!$Y$2:$Y$4001,'Per Line'!$D$2:$D$4001,$B329,'Per Line'!$AJ$2:$AJ$4001,1))</f>
        <v/>
      </c>
      <c r="S329" s="22" t="str">
        <f aca="false">IF($X329="","",R329*Q329)</f>
        <v/>
      </c>
      <c r="T329" s="22" t="str">
        <f aca="false">IF($X329="","",S329+P329)</f>
        <v/>
      </c>
      <c r="U329" s="22" t="str">
        <f aca="false">IF($X329="","",V329-T329)</f>
        <v/>
      </c>
      <c r="V329" s="22" t="str">
        <f aca="false">IF($X329="","",O329+R329)</f>
        <v/>
      </c>
      <c r="W329" s="22" t="str">
        <f aca="false">IF($X329="","",U329-L329)</f>
        <v/>
      </c>
      <c r="X329" s="24" t="str">
        <f aca="false">IF(ROWS($X$2:$X329)&lt;=MAX('Per Line'!$AI$2:$AI$4001),MATCH(ROWS($X$2:$X329),'Per Line'!$AI$2:$AI$4001,0),"")</f>
        <v/>
      </c>
    </row>
    <row r="330" customFormat="false" ht="15" hidden="false" customHeight="false" outlineLevel="0" collapsed="false">
      <c r="A330" s="19"/>
      <c r="B330" s="20" t="str">
        <f aca="false">IF($X330="","",INDEX('Per Line'!$D$2:$D$4001,$X330))</f>
        <v/>
      </c>
      <c r="C330" s="20" t="str">
        <f aca="false">IF($X330="","",INDEX('Per Line'!$C$2:$C$4001,$X330))</f>
        <v/>
      </c>
      <c r="D330" s="20" t="str">
        <f aca="false">IF($X330="","",INDEX('Per Line'!$A$2:$A$4001,$X330))</f>
        <v/>
      </c>
      <c r="E330" s="21" t="str">
        <f aca="false">IF($X330="","",INDEX('Per Line'!$F$2:$F$4001,$X330))</f>
        <v/>
      </c>
      <c r="F330" s="20" t="str">
        <f aca="false">IF($X330="","",INDEX('Per Line'!$G$2:$G$4001,$X330))</f>
        <v/>
      </c>
      <c r="G330" s="20" t="str">
        <f aca="false">IF($X330="","",INDEX('Per Line'!$I$2:$I$4001,$X330))</f>
        <v/>
      </c>
      <c r="H330" s="20" t="str">
        <f aca="false">IF($X330="","",INDEX('Per Line'!$J$2:$J$4001,$X330))</f>
        <v/>
      </c>
      <c r="I330" s="20" t="str">
        <f aca="false">IF($X330="","",INDEX('Per Line'!$K$2:$K$4001,$X330))</f>
        <v/>
      </c>
      <c r="J330" s="20" t="str">
        <f aca="false">IF($X330="","",INDEX('Per Line'!$L$2:$L$4001,$X330))</f>
        <v/>
      </c>
      <c r="K330" s="20" t="str">
        <f aca="false">IF($X330="","",INDEX('Per Line'!$M$2:$M$4001,$X330))</f>
        <v/>
      </c>
      <c r="L330" s="22" t="str">
        <f aca="false">IF($X330="","",K330*V330/100)</f>
        <v/>
      </c>
      <c r="M330" s="20" t="str">
        <f aca="false">IF($X330="","",INDEX('Per Line'!$Z$2:$Z$4001,$X330))</f>
        <v/>
      </c>
      <c r="N330" s="23" t="str">
        <f aca="false">IF($X330="","",Settings!$C$7)</f>
        <v/>
      </c>
      <c r="O330" s="22" t="str">
        <f aca="false">IF($X330="","",SUMIFS('Per Line'!$Y$2:$Y$4001,'Per Line'!$D$2:$D$4001,$B330,'Per Line'!$AJ$2:$AJ$4001,0))</f>
        <v/>
      </c>
      <c r="P330" s="22" t="str">
        <f aca="false">IF($X330="","",O330*N330)</f>
        <v/>
      </c>
      <c r="Q330" s="23" t="str">
        <f aca="false">IF($X330="","",Settings!$C$6)</f>
        <v/>
      </c>
      <c r="R330" s="22" t="str">
        <f aca="false">IF($X330="","",SUMIFS('Per Line'!$Y$2:$Y$4001,'Per Line'!$D$2:$D$4001,$B330,'Per Line'!$AJ$2:$AJ$4001,1))</f>
        <v/>
      </c>
      <c r="S330" s="22" t="str">
        <f aca="false">IF($X330="","",R330*Q330)</f>
        <v/>
      </c>
      <c r="T330" s="22" t="str">
        <f aca="false">IF($X330="","",S330+P330)</f>
        <v/>
      </c>
      <c r="U330" s="22" t="str">
        <f aca="false">IF($X330="","",V330-T330)</f>
        <v/>
      </c>
      <c r="V330" s="22" t="str">
        <f aca="false">IF($X330="","",O330+R330)</f>
        <v/>
      </c>
      <c r="W330" s="22" t="str">
        <f aca="false">IF($X330="","",U330-L330)</f>
        <v/>
      </c>
      <c r="X330" s="24" t="str">
        <f aca="false">IF(ROWS($X$2:$X330)&lt;=MAX('Per Line'!$AI$2:$AI$4001),MATCH(ROWS($X$2:$X330),'Per Line'!$AI$2:$AI$4001,0),"")</f>
        <v/>
      </c>
    </row>
    <row r="331" customFormat="false" ht="15" hidden="false" customHeight="false" outlineLevel="0" collapsed="false">
      <c r="A331" s="19"/>
      <c r="B331" s="20" t="str">
        <f aca="false">IF($X331="","",INDEX('Per Line'!$D$2:$D$4001,$X331))</f>
        <v/>
      </c>
      <c r="C331" s="20" t="str">
        <f aca="false">IF($X331="","",INDEX('Per Line'!$C$2:$C$4001,$X331))</f>
        <v/>
      </c>
      <c r="D331" s="20" t="str">
        <f aca="false">IF($X331="","",INDEX('Per Line'!$A$2:$A$4001,$X331))</f>
        <v/>
      </c>
      <c r="E331" s="21" t="str">
        <f aca="false">IF($X331="","",INDEX('Per Line'!$F$2:$F$4001,$X331))</f>
        <v/>
      </c>
      <c r="F331" s="20" t="str">
        <f aca="false">IF($X331="","",INDEX('Per Line'!$G$2:$G$4001,$X331))</f>
        <v/>
      </c>
      <c r="G331" s="20" t="str">
        <f aca="false">IF($X331="","",INDEX('Per Line'!$I$2:$I$4001,$X331))</f>
        <v/>
      </c>
      <c r="H331" s="20" t="str">
        <f aca="false">IF($X331="","",INDEX('Per Line'!$J$2:$J$4001,$X331))</f>
        <v/>
      </c>
      <c r="I331" s="20" t="str">
        <f aca="false">IF($X331="","",INDEX('Per Line'!$K$2:$K$4001,$X331))</f>
        <v/>
      </c>
      <c r="J331" s="20" t="str">
        <f aca="false">IF($X331="","",INDEX('Per Line'!$L$2:$L$4001,$X331))</f>
        <v/>
      </c>
      <c r="K331" s="20" t="str">
        <f aca="false">IF($X331="","",INDEX('Per Line'!$M$2:$M$4001,$X331))</f>
        <v/>
      </c>
      <c r="L331" s="22" t="str">
        <f aca="false">IF($X331="","",K331*V331/100)</f>
        <v/>
      </c>
      <c r="M331" s="20" t="str">
        <f aca="false">IF($X331="","",INDEX('Per Line'!$Z$2:$Z$4001,$X331))</f>
        <v/>
      </c>
      <c r="N331" s="23" t="str">
        <f aca="false">IF($X331="","",Settings!$C$7)</f>
        <v/>
      </c>
      <c r="O331" s="22" t="str">
        <f aca="false">IF($X331="","",SUMIFS('Per Line'!$Y$2:$Y$4001,'Per Line'!$D$2:$D$4001,$B331,'Per Line'!$AJ$2:$AJ$4001,0))</f>
        <v/>
      </c>
      <c r="P331" s="22" t="str">
        <f aca="false">IF($X331="","",O331*N331)</f>
        <v/>
      </c>
      <c r="Q331" s="23" t="str">
        <f aca="false">IF($X331="","",Settings!$C$6)</f>
        <v/>
      </c>
      <c r="R331" s="22" t="str">
        <f aca="false">IF($X331="","",SUMIFS('Per Line'!$Y$2:$Y$4001,'Per Line'!$D$2:$D$4001,$B331,'Per Line'!$AJ$2:$AJ$4001,1))</f>
        <v/>
      </c>
      <c r="S331" s="22" t="str">
        <f aca="false">IF($X331="","",R331*Q331)</f>
        <v/>
      </c>
      <c r="T331" s="22" t="str">
        <f aca="false">IF($X331="","",S331+P331)</f>
        <v/>
      </c>
      <c r="U331" s="22" t="str">
        <f aca="false">IF($X331="","",V331-T331)</f>
        <v/>
      </c>
      <c r="V331" s="22" t="str">
        <f aca="false">IF($X331="","",O331+R331)</f>
        <v/>
      </c>
      <c r="W331" s="22" t="str">
        <f aca="false">IF($X331="","",U331-L331)</f>
        <v/>
      </c>
      <c r="X331" s="24" t="str">
        <f aca="false">IF(ROWS($X$2:$X331)&lt;=MAX('Per Line'!$AI$2:$AI$4001),MATCH(ROWS($X$2:$X331),'Per Line'!$AI$2:$AI$4001,0),"")</f>
        <v/>
      </c>
    </row>
    <row r="332" customFormat="false" ht="15" hidden="false" customHeight="false" outlineLevel="0" collapsed="false">
      <c r="A332" s="19"/>
      <c r="B332" s="20" t="str">
        <f aca="false">IF($X332="","",INDEX('Per Line'!$D$2:$D$4001,$X332))</f>
        <v/>
      </c>
      <c r="C332" s="20" t="str">
        <f aca="false">IF($X332="","",INDEX('Per Line'!$C$2:$C$4001,$X332))</f>
        <v/>
      </c>
      <c r="D332" s="20" t="str">
        <f aca="false">IF($X332="","",INDEX('Per Line'!$A$2:$A$4001,$X332))</f>
        <v/>
      </c>
      <c r="E332" s="21" t="str">
        <f aca="false">IF($X332="","",INDEX('Per Line'!$F$2:$F$4001,$X332))</f>
        <v/>
      </c>
      <c r="F332" s="20" t="str">
        <f aca="false">IF($X332="","",INDEX('Per Line'!$G$2:$G$4001,$X332))</f>
        <v/>
      </c>
      <c r="G332" s="20" t="str">
        <f aca="false">IF($X332="","",INDEX('Per Line'!$I$2:$I$4001,$X332))</f>
        <v/>
      </c>
      <c r="H332" s="20" t="str">
        <f aca="false">IF($X332="","",INDEX('Per Line'!$J$2:$J$4001,$X332))</f>
        <v/>
      </c>
      <c r="I332" s="20" t="str">
        <f aca="false">IF($X332="","",INDEX('Per Line'!$K$2:$K$4001,$X332))</f>
        <v/>
      </c>
      <c r="J332" s="20" t="str">
        <f aca="false">IF($X332="","",INDEX('Per Line'!$L$2:$L$4001,$X332))</f>
        <v/>
      </c>
      <c r="K332" s="20" t="str">
        <f aca="false">IF($X332="","",INDEX('Per Line'!$M$2:$M$4001,$X332))</f>
        <v/>
      </c>
      <c r="L332" s="22" t="str">
        <f aca="false">IF($X332="","",K332*V332/100)</f>
        <v/>
      </c>
      <c r="M332" s="20" t="str">
        <f aca="false">IF($X332="","",INDEX('Per Line'!$Z$2:$Z$4001,$X332))</f>
        <v/>
      </c>
      <c r="N332" s="23" t="str">
        <f aca="false">IF($X332="","",Settings!$C$7)</f>
        <v/>
      </c>
      <c r="O332" s="22" t="str">
        <f aca="false">IF($X332="","",SUMIFS('Per Line'!$Y$2:$Y$4001,'Per Line'!$D$2:$D$4001,$B332,'Per Line'!$AJ$2:$AJ$4001,0))</f>
        <v/>
      </c>
      <c r="P332" s="22" t="str">
        <f aca="false">IF($X332="","",O332*N332)</f>
        <v/>
      </c>
      <c r="Q332" s="23" t="str">
        <f aca="false">IF($X332="","",Settings!$C$6)</f>
        <v/>
      </c>
      <c r="R332" s="22" t="str">
        <f aca="false">IF($X332="","",SUMIFS('Per Line'!$Y$2:$Y$4001,'Per Line'!$D$2:$D$4001,$B332,'Per Line'!$AJ$2:$AJ$4001,1))</f>
        <v/>
      </c>
      <c r="S332" s="22" t="str">
        <f aca="false">IF($X332="","",R332*Q332)</f>
        <v/>
      </c>
      <c r="T332" s="22" t="str">
        <f aca="false">IF($X332="","",S332+P332)</f>
        <v/>
      </c>
      <c r="U332" s="22" t="str">
        <f aca="false">IF($X332="","",V332-T332)</f>
        <v/>
      </c>
      <c r="V332" s="22" t="str">
        <f aca="false">IF($X332="","",O332+R332)</f>
        <v/>
      </c>
      <c r="W332" s="22" t="str">
        <f aca="false">IF($X332="","",U332-L332)</f>
        <v/>
      </c>
      <c r="X332" s="24" t="str">
        <f aca="false">IF(ROWS($X$2:$X332)&lt;=MAX('Per Line'!$AI$2:$AI$4001),MATCH(ROWS($X$2:$X332),'Per Line'!$AI$2:$AI$4001,0),"")</f>
        <v/>
      </c>
    </row>
    <row r="333" customFormat="false" ht="15" hidden="false" customHeight="false" outlineLevel="0" collapsed="false">
      <c r="A333" s="19"/>
      <c r="B333" s="20" t="str">
        <f aca="false">IF($X333="","",INDEX('Per Line'!$D$2:$D$4001,$X333))</f>
        <v/>
      </c>
      <c r="C333" s="20" t="str">
        <f aca="false">IF($X333="","",INDEX('Per Line'!$C$2:$C$4001,$X333))</f>
        <v/>
      </c>
      <c r="D333" s="20" t="str">
        <f aca="false">IF($X333="","",INDEX('Per Line'!$A$2:$A$4001,$X333))</f>
        <v/>
      </c>
      <c r="E333" s="21" t="str">
        <f aca="false">IF($X333="","",INDEX('Per Line'!$F$2:$F$4001,$X333))</f>
        <v/>
      </c>
      <c r="F333" s="20" t="str">
        <f aca="false">IF($X333="","",INDEX('Per Line'!$G$2:$G$4001,$X333))</f>
        <v/>
      </c>
      <c r="G333" s="20" t="str">
        <f aca="false">IF($X333="","",INDEX('Per Line'!$I$2:$I$4001,$X333))</f>
        <v/>
      </c>
      <c r="H333" s="20" t="str">
        <f aca="false">IF($X333="","",INDEX('Per Line'!$J$2:$J$4001,$X333))</f>
        <v/>
      </c>
      <c r="I333" s="20" t="str">
        <f aca="false">IF($X333="","",INDEX('Per Line'!$K$2:$K$4001,$X333))</f>
        <v/>
      </c>
      <c r="J333" s="20" t="str">
        <f aca="false">IF($X333="","",INDEX('Per Line'!$L$2:$L$4001,$X333))</f>
        <v/>
      </c>
      <c r="K333" s="20" t="str">
        <f aca="false">IF($X333="","",INDEX('Per Line'!$M$2:$M$4001,$X333))</f>
        <v/>
      </c>
      <c r="L333" s="22" t="str">
        <f aca="false">IF($X333="","",K333*V333/100)</f>
        <v/>
      </c>
      <c r="M333" s="20" t="str">
        <f aca="false">IF($X333="","",INDEX('Per Line'!$Z$2:$Z$4001,$X333))</f>
        <v/>
      </c>
      <c r="N333" s="23" t="str">
        <f aca="false">IF($X333="","",Settings!$C$7)</f>
        <v/>
      </c>
      <c r="O333" s="22" t="str">
        <f aca="false">IF($X333="","",SUMIFS('Per Line'!$Y$2:$Y$4001,'Per Line'!$D$2:$D$4001,$B333,'Per Line'!$AJ$2:$AJ$4001,0))</f>
        <v/>
      </c>
      <c r="P333" s="22" t="str">
        <f aca="false">IF($X333="","",O333*N333)</f>
        <v/>
      </c>
      <c r="Q333" s="23" t="str">
        <f aca="false">IF($X333="","",Settings!$C$6)</f>
        <v/>
      </c>
      <c r="R333" s="22" t="str">
        <f aca="false">IF($X333="","",SUMIFS('Per Line'!$Y$2:$Y$4001,'Per Line'!$D$2:$D$4001,$B333,'Per Line'!$AJ$2:$AJ$4001,1))</f>
        <v/>
      </c>
      <c r="S333" s="22" t="str">
        <f aca="false">IF($X333="","",R333*Q333)</f>
        <v/>
      </c>
      <c r="T333" s="22" t="str">
        <f aca="false">IF($X333="","",S333+P333)</f>
        <v/>
      </c>
      <c r="U333" s="22" t="str">
        <f aca="false">IF($X333="","",V333-T333)</f>
        <v/>
      </c>
      <c r="V333" s="22" t="str">
        <f aca="false">IF($X333="","",O333+R333)</f>
        <v/>
      </c>
      <c r="W333" s="22" t="str">
        <f aca="false">IF($X333="","",U333-L333)</f>
        <v/>
      </c>
      <c r="X333" s="24" t="str">
        <f aca="false">IF(ROWS($X$2:$X333)&lt;=MAX('Per Line'!$AI$2:$AI$4001),MATCH(ROWS($X$2:$X333),'Per Line'!$AI$2:$AI$4001,0),"")</f>
        <v/>
      </c>
    </row>
    <row r="334" customFormat="false" ht="15" hidden="false" customHeight="false" outlineLevel="0" collapsed="false">
      <c r="A334" s="19"/>
      <c r="B334" s="20" t="str">
        <f aca="false">IF($X334="","",INDEX('Per Line'!$D$2:$D$4001,$X334))</f>
        <v/>
      </c>
      <c r="C334" s="20" t="str">
        <f aca="false">IF($X334="","",INDEX('Per Line'!$C$2:$C$4001,$X334))</f>
        <v/>
      </c>
      <c r="D334" s="20" t="str">
        <f aca="false">IF($X334="","",INDEX('Per Line'!$A$2:$A$4001,$X334))</f>
        <v/>
      </c>
      <c r="E334" s="21" t="str">
        <f aca="false">IF($X334="","",INDEX('Per Line'!$F$2:$F$4001,$X334))</f>
        <v/>
      </c>
      <c r="F334" s="20" t="str">
        <f aca="false">IF($X334="","",INDEX('Per Line'!$G$2:$G$4001,$X334))</f>
        <v/>
      </c>
      <c r="G334" s="20" t="str">
        <f aca="false">IF($X334="","",INDEX('Per Line'!$I$2:$I$4001,$X334))</f>
        <v/>
      </c>
      <c r="H334" s="20" t="str">
        <f aca="false">IF($X334="","",INDEX('Per Line'!$J$2:$J$4001,$X334))</f>
        <v/>
      </c>
      <c r="I334" s="20" t="str">
        <f aca="false">IF($X334="","",INDEX('Per Line'!$K$2:$K$4001,$X334))</f>
        <v/>
      </c>
      <c r="J334" s="20" t="str">
        <f aca="false">IF($X334="","",INDEX('Per Line'!$L$2:$L$4001,$X334))</f>
        <v/>
      </c>
      <c r="K334" s="20" t="str">
        <f aca="false">IF($X334="","",INDEX('Per Line'!$M$2:$M$4001,$X334))</f>
        <v/>
      </c>
      <c r="L334" s="22" t="str">
        <f aca="false">IF($X334="","",K334*V334/100)</f>
        <v/>
      </c>
      <c r="M334" s="20" t="str">
        <f aca="false">IF($X334="","",INDEX('Per Line'!$Z$2:$Z$4001,$X334))</f>
        <v/>
      </c>
      <c r="N334" s="23" t="str">
        <f aca="false">IF($X334="","",Settings!$C$7)</f>
        <v/>
      </c>
      <c r="O334" s="22" t="str">
        <f aca="false">IF($X334="","",SUMIFS('Per Line'!$Y$2:$Y$4001,'Per Line'!$D$2:$D$4001,$B334,'Per Line'!$AJ$2:$AJ$4001,0))</f>
        <v/>
      </c>
      <c r="P334" s="22" t="str">
        <f aca="false">IF($X334="","",O334*N334)</f>
        <v/>
      </c>
      <c r="Q334" s="23" t="str">
        <f aca="false">IF($X334="","",Settings!$C$6)</f>
        <v/>
      </c>
      <c r="R334" s="22" t="str">
        <f aca="false">IF($X334="","",SUMIFS('Per Line'!$Y$2:$Y$4001,'Per Line'!$D$2:$D$4001,$B334,'Per Line'!$AJ$2:$AJ$4001,1))</f>
        <v/>
      </c>
      <c r="S334" s="22" t="str">
        <f aca="false">IF($X334="","",R334*Q334)</f>
        <v/>
      </c>
      <c r="T334" s="22" t="str">
        <f aca="false">IF($X334="","",S334+P334)</f>
        <v/>
      </c>
      <c r="U334" s="22" t="str">
        <f aca="false">IF($X334="","",V334-T334)</f>
        <v/>
      </c>
      <c r="V334" s="22" t="str">
        <f aca="false">IF($X334="","",O334+R334)</f>
        <v/>
      </c>
      <c r="W334" s="22" t="str">
        <f aca="false">IF($X334="","",U334-L334)</f>
        <v/>
      </c>
      <c r="X334" s="24" t="str">
        <f aca="false">IF(ROWS($X$2:$X334)&lt;=MAX('Per Line'!$AI$2:$AI$4001),MATCH(ROWS($X$2:$X334),'Per Line'!$AI$2:$AI$4001,0),"")</f>
        <v/>
      </c>
    </row>
    <row r="335" customFormat="false" ht="15" hidden="false" customHeight="false" outlineLevel="0" collapsed="false">
      <c r="A335" s="19"/>
      <c r="B335" s="20" t="str">
        <f aca="false">IF($X335="","",INDEX('Per Line'!$D$2:$D$4001,$X335))</f>
        <v/>
      </c>
      <c r="C335" s="20" t="str">
        <f aca="false">IF($X335="","",INDEX('Per Line'!$C$2:$C$4001,$X335))</f>
        <v/>
      </c>
      <c r="D335" s="20" t="str">
        <f aca="false">IF($X335="","",INDEX('Per Line'!$A$2:$A$4001,$X335))</f>
        <v/>
      </c>
      <c r="E335" s="21" t="str">
        <f aca="false">IF($X335="","",INDEX('Per Line'!$F$2:$F$4001,$X335))</f>
        <v/>
      </c>
      <c r="F335" s="20" t="str">
        <f aca="false">IF($X335="","",INDEX('Per Line'!$G$2:$G$4001,$X335))</f>
        <v/>
      </c>
      <c r="G335" s="20" t="str">
        <f aca="false">IF($X335="","",INDEX('Per Line'!$I$2:$I$4001,$X335))</f>
        <v/>
      </c>
      <c r="H335" s="20" t="str">
        <f aca="false">IF($X335="","",INDEX('Per Line'!$J$2:$J$4001,$X335))</f>
        <v/>
      </c>
      <c r="I335" s="20" t="str">
        <f aca="false">IF($X335="","",INDEX('Per Line'!$K$2:$K$4001,$X335))</f>
        <v/>
      </c>
      <c r="J335" s="20" t="str">
        <f aca="false">IF($X335="","",INDEX('Per Line'!$L$2:$L$4001,$X335))</f>
        <v/>
      </c>
      <c r="K335" s="20" t="str">
        <f aca="false">IF($X335="","",INDEX('Per Line'!$M$2:$M$4001,$X335))</f>
        <v/>
      </c>
      <c r="L335" s="22" t="str">
        <f aca="false">IF($X335="","",K335*V335/100)</f>
        <v/>
      </c>
      <c r="M335" s="20" t="str">
        <f aca="false">IF($X335="","",INDEX('Per Line'!$Z$2:$Z$4001,$X335))</f>
        <v/>
      </c>
      <c r="N335" s="23" t="str">
        <f aca="false">IF($X335="","",Settings!$C$7)</f>
        <v/>
      </c>
      <c r="O335" s="22" t="str">
        <f aca="false">IF($X335="","",SUMIFS('Per Line'!$Y$2:$Y$4001,'Per Line'!$D$2:$D$4001,$B335,'Per Line'!$AJ$2:$AJ$4001,0))</f>
        <v/>
      </c>
      <c r="P335" s="22" t="str">
        <f aca="false">IF($X335="","",O335*N335)</f>
        <v/>
      </c>
      <c r="Q335" s="23" t="str">
        <f aca="false">IF($X335="","",Settings!$C$6)</f>
        <v/>
      </c>
      <c r="R335" s="22" t="str">
        <f aca="false">IF($X335="","",SUMIFS('Per Line'!$Y$2:$Y$4001,'Per Line'!$D$2:$D$4001,$B335,'Per Line'!$AJ$2:$AJ$4001,1))</f>
        <v/>
      </c>
      <c r="S335" s="22" t="str">
        <f aca="false">IF($X335="","",R335*Q335)</f>
        <v/>
      </c>
      <c r="T335" s="22" t="str">
        <f aca="false">IF($X335="","",S335+P335)</f>
        <v/>
      </c>
      <c r="U335" s="22" t="str">
        <f aca="false">IF($X335="","",V335-T335)</f>
        <v/>
      </c>
      <c r="V335" s="22" t="str">
        <f aca="false">IF($X335="","",O335+R335)</f>
        <v/>
      </c>
      <c r="W335" s="22" t="str">
        <f aca="false">IF($X335="","",U335-L335)</f>
        <v/>
      </c>
      <c r="X335" s="24" t="str">
        <f aca="false">IF(ROWS($X$2:$X335)&lt;=MAX('Per Line'!$AI$2:$AI$4001),MATCH(ROWS($X$2:$X335),'Per Line'!$AI$2:$AI$4001,0),"")</f>
        <v/>
      </c>
    </row>
    <row r="336" customFormat="false" ht="15" hidden="false" customHeight="false" outlineLevel="0" collapsed="false">
      <c r="A336" s="19"/>
      <c r="B336" s="20" t="str">
        <f aca="false">IF($X336="","",INDEX('Per Line'!$D$2:$D$4001,$X336))</f>
        <v/>
      </c>
      <c r="C336" s="20" t="str">
        <f aca="false">IF($X336="","",INDEX('Per Line'!$C$2:$C$4001,$X336))</f>
        <v/>
      </c>
      <c r="D336" s="20" t="str">
        <f aca="false">IF($X336="","",INDEX('Per Line'!$A$2:$A$4001,$X336))</f>
        <v/>
      </c>
      <c r="E336" s="21" t="str">
        <f aca="false">IF($X336="","",INDEX('Per Line'!$F$2:$F$4001,$X336))</f>
        <v/>
      </c>
      <c r="F336" s="20" t="str">
        <f aca="false">IF($X336="","",INDEX('Per Line'!$G$2:$G$4001,$X336))</f>
        <v/>
      </c>
      <c r="G336" s="20" t="str">
        <f aca="false">IF($X336="","",INDEX('Per Line'!$I$2:$I$4001,$X336))</f>
        <v/>
      </c>
      <c r="H336" s="20" t="str">
        <f aca="false">IF($X336="","",INDEX('Per Line'!$J$2:$J$4001,$X336))</f>
        <v/>
      </c>
      <c r="I336" s="20" t="str">
        <f aca="false">IF($X336="","",INDEX('Per Line'!$K$2:$K$4001,$X336))</f>
        <v/>
      </c>
      <c r="J336" s="20" t="str">
        <f aca="false">IF($X336="","",INDEX('Per Line'!$L$2:$L$4001,$X336))</f>
        <v/>
      </c>
      <c r="K336" s="20" t="str">
        <f aca="false">IF($X336="","",INDEX('Per Line'!$M$2:$M$4001,$X336))</f>
        <v/>
      </c>
      <c r="L336" s="22" t="str">
        <f aca="false">IF($X336="","",K336*V336/100)</f>
        <v/>
      </c>
      <c r="M336" s="20" t="str">
        <f aca="false">IF($X336="","",INDEX('Per Line'!$Z$2:$Z$4001,$X336))</f>
        <v/>
      </c>
      <c r="N336" s="23" t="str">
        <f aca="false">IF($X336="","",Settings!$C$7)</f>
        <v/>
      </c>
      <c r="O336" s="22" t="str">
        <f aca="false">IF($X336="","",SUMIFS('Per Line'!$Y$2:$Y$4001,'Per Line'!$D$2:$D$4001,$B336,'Per Line'!$AJ$2:$AJ$4001,0))</f>
        <v/>
      </c>
      <c r="P336" s="22" t="str">
        <f aca="false">IF($X336="","",O336*N336)</f>
        <v/>
      </c>
      <c r="Q336" s="23" t="str">
        <f aca="false">IF($X336="","",Settings!$C$6)</f>
        <v/>
      </c>
      <c r="R336" s="22" t="str">
        <f aca="false">IF($X336="","",SUMIFS('Per Line'!$Y$2:$Y$4001,'Per Line'!$D$2:$D$4001,$B336,'Per Line'!$AJ$2:$AJ$4001,1))</f>
        <v/>
      </c>
      <c r="S336" s="22" t="str">
        <f aca="false">IF($X336="","",R336*Q336)</f>
        <v/>
      </c>
      <c r="T336" s="22" t="str">
        <f aca="false">IF($X336="","",S336+P336)</f>
        <v/>
      </c>
      <c r="U336" s="22" t="str">
        <f aca="false">IF($X336="","",V336-T336)</f>
        <v/>
      </c>
      <c r="V336" s="22" t="str">
        <f aca="false">IF($X336="","",O336+R336)</f>
        <v/>
      </c>
      <c r="W336" s="22" t="str">
        <f aca="false">IF($X336="","",U336-L336)</f>
        <v/>
      </c>
      <c r="X336" s="24" t="str">
        <f aca="false">IF(ROWS($X$2:$X336)&lt;=MAX('Per Line'!$AI$2:$AI$4001),MATCH(ROWS($X$2:$X336),'Per Line'!$AI$2:$AI$4001,0),"")</f>
        <v/>
      </c>
    </row>
    <row r="337" customFormat="false" ht="15" hidden="false" customHeight="false" outlineLevel="0" collapsed="false">
      <c r="A337" s="19"/>
      <c r="B337" s="20" t="str">
        <f aca="false">IF($X337="","",INDEX('Per Line'!$D$2:$D$4001,$X337))</f>
        <v/>
      </c>
      <c r="C337" s="20" t="str">
        <f aca="false">IF($X337="","",INDEX('Per Line'!$C$2:$C$4001,$X337))</f>
        <v/>
      </c>
      <c r="D337" s="20" t="str">
        <f aca="false">IF($X337="","",INDEX('Per Line'!$A$2:$A$4001,$X337))</f>
        <v/>
      </c>
      <c r="E337" s="21" t="str">
        <f aca="false">IF($X337="","",INDEX('Per Line'!$F$2:$F$4001,$X337))</f>
        <v/>
      </c>
      <c r="F337" s="20" t="str">
        <f aca="false">IF($X337="","",INDEX('Per Line'!$G$2:$G$4001,$X337))</f>
        <v/>
      </c>
      <c r="G337" s="20" t="str">
        <f aca="false">IF($X337="","",INDEX('Per Line'!$I$2:$I$4001,$X337))</f>
        <v/>
      </c>
      <c r="H337" s="20" t="str">
        <f aca="false">IF($X337="","",INDEX('Per Line'!$J$2:$J$4001,$X337))</f>
        <v/>
      </c>
      <c r="I337" s="20" t="str">
        <f aca="false">IF($X337="","",INDEX('Per Line'!$K$2:$K$4001,$X337))</f>
        <v/>
      </c>
      <c r="J337" s="20" t="str">
        <f aca="false">IF($X337="","",INDEX('Per Line'!$L$2:$L$4001,$X337))</f>
        <v/>
      </c>
      <c r="K337" s="20" t="str">
        <f aca="false">IF($X337="","",INDEX('Per Line'!$M$2:$M$4001,$X337))</f>
        <v/>
      </c>
      <c r="L337" s="22" t="str">
        <f aca="false">IF($X337="","",K337*V337/100)</f>
        <v/>
      </c>
      <c r="M337" s="20" t="str">
        <f aca="false">IF($X337="","",INDEX('Per Line'!$Z$2:$Z$4001,$X337))</f>
        <v/>
      </c>
      <c r="N337" s="23" t="str">
        <f aca="false">IF($X337="","",Settings!$C$7)</f>
        <v/>
      </c>
      <c r="O337" s="22" t="str">
        <f aca="false">IF($X337="","",SUMIFS('Per Line'!$Y$2:$Y$4001,'Per Line'!$D$2:$D$4001,$B337,'Per Line'!$AJ$2:$AJ$4001,0))</f>
        <v/>
      </c>
      <c r="P337" s="22" t="str">
        <f aca="false">IF($X337="","",O337*N337)</f>
        <v/>
      </c>
      <c r="Q337" s="23" t="str">
        <f aca="false">IF($X337="","",Settings!$C$6)</f>
        <v/>
      </c>
      <c r="R337" s="22" t="str">
        <f aca="false">IF($X337="","",SUMIFS('Per Line'!$Y$2:$Y$4001,'Per Line'!$D$2:$D$4001,$B337,'Per Line'!$AJ$2:$AJ$4001,1))</f>
        <v/>
      </c>
      <c r="S337" s="22" t="str">
        <f aca="false">IF($X337="","",R337*Q337)</f>
        <v/>
      </c>
      <c r="T337" s="22" t="str">
        <f aca="false">IF($X337="","",S337+P337)</f>
        <v/>
      </c>
      <c r="U337" s="22" t="str">
        <f aca="false">IF($X337="","",V337-T337)</f>
        <v/>
      </c>
      <c r="V337" s="22" t="str">
        <f aca="false">IF($X337="","",O337+R337)</f>
        <v/>
      </c>
      <c r="W337" s="22" t="str">
        <f aca="false">IF($X337="","",U337-L337)</f>
        <v/>
      </c>
      <c r="X337" s="24" t="str">
        <f aca="false">IF(ROWS($X$2:$X337)&lt;=MAX('Per Line'!$AI$2:$AI$4001),MATCH(ROWS($X$2:$X337),'Per Line'!$AI$2:$AI$4001,0),"")</f>
        <v/>
      </c>
    </row>
    <row r="338" customFormat="false" ht="15" hidden="false" customHeight="false" outlineLevel="0" collapsed="false">
      <c r="A338" s="19"/>
      <c r="B338" s="20" t="str">
        <f aca="false">IF($X338="","",INDEX('Per Line'!$D$2:$D$4001,$X338))</f>
        <v/>
      </c>
      <c r="C338" s="20" t="str">
        <f aca="false">IF($X338="","",INDEX('Per Line'!$C$2:$C$4001,$X338))</f>
        <v/>
      </c>
      <c r="D338" s="20" t="str">
        <f aca="false">IF($X338="","",INDEX('Per Line'!$A$2:$A$4001,$X338))</f>
        <v/>
      </c>
      <c r="E338" s="21" t="str">
        <f aca="false">IF($X338="","",INDEX('Per Line'!$F$2:$F$4001,$X338))</f>
        <v/>
      </c>
      <c r="F338" s="20" t="str">
        <f aca="false">IF($X338="","",INDEX('Per Line'!$G$2:$G$4001,$X338))</f>
        <v/>
      </c>
      <c r="G338" s="20" t="str">
        <f aca="false">IF($X338="","",INDEX('Per Line'!$I$2:$I$4001,$X338))</f>
        <v/>
      </c>
      <c r="H338" s="20" t="str">
        <f aca="false">IF($X338="","",INDEX('Per Line'!$J$2:$J$4001,$X338))</f>
        <v/>
      </c>
      <c r="I338" s="20" t="str">
        <f aca="false">IF($X338="","",INDEX('Per Line'!$K$2:$K$4001,$X338))</f>
        <v/>
      </c>
      <c r="J338" s="20" t="str">
        <f aca="false">IF($X338="","",INDEX('Per Line'!$L$2:$L$4001,$X338))</f>
        <v/>
      </c>
      <c r="K338" s="20" t="str">
        <f aca="false">IF($X338="","",INDEX('Per Line'!$M$2:$M$4001,$X338))</f>
        <v/>
      </c>
      <c r="L338" s="22" t="str">
        <f aca="false">IF($X338="","",K338*V338/100)</f>
        <v/>
      </c>
      <c r="M338" s="20" t="str">
        <f aca="false">IF($X338="","",INDEX('Per Line'!$Z$2:$Z$4001,$X338))</f>
        <v/>
      </c>
      <c r="N338" s="23" t="str">
        <f aca="false">IF($X338="","",Settings!$C$7)</f>
        <v/>
      </c>
      <c r="O338" s="22" t="str">
        <f aca="false">IF($X338="","",SUMIFS('Per Line'!$Y$2:$Y$4001,'Per Line'!$D$2:$D$4001,$B338,'Per Line'!$AJ$2:$AJ$4001,0))</f>
        <v/>
      </c>
      <c r="P338" s="22" t="str">
        <f aca="false">IF($X338="","",O338*N338)</f>
        <v/>
      </c>
      <c r="Q338" s="23" t="str">
        <f aca="false">IF($X338="","",Settings!$C$6)</f>
        <v/>
      </c>
      <c r="R338" s="22" t="str">
        <f aca="false">IF($X338="","",SUMIFS('Per Line'!$Y$2:$Y$4001,'Per Line'!$D$2:$D$4001,$B338,'Per Line'!$AJ$2:$AJ$4001,1))</f>
        <v/>
      </c>
      <c r="S338" s="22" t="str">
        <f aca="false">IF($X338="","",R338*Q338)</f>
        <v/>
      </c>
      <c r="T338" s="22" t="str">
        <f aca="false">IF($X338="","",S338+P338)</f>
        <v/>
      </c>
      <c r="U338" s="22" t="str">
        <f aca="false">IF($X338="","",V338-T338)</f>
        <v/>
      </c>
      <c r="V338" s="22" t="str">
        <f aca="false">IF($X338="","",O338+R338)</f>
        <v/>
      </c>
      <c r="W338" s="22" t="str">
        <f aca="false">IF($X338="","",U338-L338)</f>
        <v/>
      </c>
      <c r="X338" s="24" t="str">
        <f aca="false">IF(ROWS($X$2:$X338)&lt;=MAX('Per Line'!$AI$2:$AI$4001),MATCH(ROWS($X$2:$X338),'Per Line'!$AI$2:$AI$4001,0),"")</f>
        <v/>
      </c>
    </row>
    <row r="339" customFormat="false" ht="15" hidden="false" customHeight="false" outlineLevel="0" collapsed="false">
      <c r="A339" s="19"/>
      <c r="B339" s="20" t="str">
        <f aca="false">IF($X339="","",INDEX('Per Line'!$D$2:$D$4001,$X339))</f>
        <v/>
      </c>
      <c r="C339" s="20" t="str">
        <f aca="false">IF($X339="","",INDEX('Per Line'!$C$2:$C$4001,$X339))</f>
        <v/>
      </c>
      <c r="D339" s="20" t="str">
        <f aca="false">IF($X339="","",INDEX('Per Line'!$A$2:$A$4001,$X339))</f>
        <v/>
      </c>
      <c r="E339" s="21" t="str">
        <f aca="false">IF($X339="","",INDEX('Per Line'!$F$2:$F$4001,$X339))</f>
        <v/>
      </c>
      <c r="F339" s="20" t="str">
        <f aca="false">IF($X339="","",INDEX('Per Line'!$G$2:$G$4001,$X339))</f>
        <v/>
      </c>
      <c r="G339" s="20" t="str">
        <f aca="false">IF($X339="","",INDEX('Per Line'!$I$2:$I$4001,$X339))</f>
        <v/>
      </c>
      <c r="H339" s="20" t="str">
        <f aca="false">IF($X339="","",INDEX('Per Line'!$J$2:$J$4001,$X339))</f>
        <v/>
      </c>
      <c r="I339" s="20" t="str">
        <f aca="false">IF($X339="","",INDEX('Per Line'!$K$2:$K$4001,$X339))</f>
        <v/>
      </c>
      <c r="J339" s="20" t="str">
        <f aca="false">IF($X339="","",INDEX('Per Line'!$L$2:$L$4001,$X339))</f>
        <v/>
      </c>
      <c r="K339" s="20" t="str">
        <f aca="false">IF($X339="","",INDEX('Per Line'!$M$2:$M$4001,$X339))</f>
        <v/>
      </c>
      <c r="L339" s="22" t="str">
        <f aca="false">IF($X339="","",K339*V339/100)</f>
        <v/>
      </c>
      <c r="M339" s="20" t="str">
        <f aca="false">IF($X339="","",INDEX('Per Line'!$Z$2:$Z$4001,$X339))</f>
        <v/>
      </c>
      <c r="N339" s="23" t="str">
        <f aca="false">IF($X339="","",Settings!$C$7)</f>
        <v/>
      </c>
      <c r="O339" s="22" t="str">
        <f aca="false">IF($X339="","",SUMIFS('Per Line'!$Y$2:$Y$4001,'Per Line'!$D$2:$D$4001,$B339,'Per Line'!$AJ$2:$AJ$4001,0))</f>
        <v/>
      </c>
      <c r="P339" s="22" t="str">
        <f aca="false">IF($X339="","",O339*N339)</f>
        <v/>
      </c>
      <c r="Q339" s="23" t="str">
        <f aca="false">IF($X339="","",Settings!$C$6)</f>
        <v/>
      </c>
      <c r="R339" s="22" t="str">
        <f aca="false">IF($X339="","",SUMIFS('Per Line'!$Y$2:$Y$4001,'Per Line'!$D$2:$D$4001,$B339,'Per Line'!$AJ$2:$AJ$4001,1))</f>
        <v/>
      </c>
      <c r="S339" s="22" t="str">
        <f aca="false">IF($X339="","",R339*Q339)</f>
        <v/>
      </c>
      <c r="T339" s="22" t="str">
        <f aca="false">IF($X339="","",S339+P339)</f>
        <v/>
      </c>
      <c r="U339" s="22" t="str">
        <f aca="false">IF($X339="","",V339-T339)</f>
        <v/>
      </c>
      <c r="V339" s="22" t="str">
        <f aca="false">IF($X339="","",O339+R339)</f>
        <v/>
      </c>
      <c r="W339" s="22" t="str">
        <f aca="false">IF($X339="","",U339-L339)</f>
        <v/>
      </c>
      <c r="X339" s="24" t="str">
        <f aca="false">IF(ROWS($X$2:$X339)&lt;=MAX('Per Line'!$AI$2:$AI$4001),MATCH(ROWS($X$2:$X339),'Per Line'!$AI$2:$AI$4001,0),"")</f>
        <v/>
      </c>
    </row>
    <row r="340" customFormat="false" ht="15" hidden="false" customHeight="false" outlineLevel="0" collapsed="false">
      <c r="A340" s="19"/>
      <c r="B340" s="20" t="str">
        <f aca="false">IF($X340="","",INDEX('Per Line'!$D$2:$D$4001,$X340))</f>
        <v/>
      </c>
      <c r="C340" s="20" t="str">
        <f aca="false">IF($X340="","",INDEX('Per Line'!$C$2:$C$4001,$X340))</f>
        <v/>
      </c>
      <c r="D340" s="20" t="str">
        <f aca="false">IF($X340="","",INDEX('Per Line'!$A$2:$A$4001,$X340))</f>
        <v/>
      </c>
      <c r="E340" s="21" t="str">
        <f aca="false">IF($X340="","",INDEX('Per Line'!$F$2:$F$4001,$X340))</f>
        <v/>
      </c>
      <c r="F340" s="20" t="str">
        <f aca="false">IF($X340="","",INDEX('Per Line'!$G$2:$G$4001,$X340))</f>
        <v/>
      </c>
      <c r="G340" s="20" t="str">
        <f aca="false">IF($X340="","",INDEX('Per Line'!$I$2:$I$4001,$X340))</f>
        <v/>
      </c>
      <c r="H340" s="20" t="str">
        <f aca="false">IF($X340="","",INDEX('Per Line'!$J$2:$J$4001,$X340))</f>
        <v/>
      </c>
      <c r="I340" s="20" t="str">
        <f aca="false">IF($X340="","",INDEX('Per Line'!$K$2:$K$4001,$X340))</f>
        <v/>
      </c>
      <c r="J340" s="20" t="str">
        <f aca="false">IF($X340="","",INDEX('Per Line'!$L$2:$L$4001,$X340))</f>
        <v/>
      </c>
      <c r="K340" s="20" t="str">
        <f aca="false">IF($X340="","",INDEX('Per Line'!$M$2:$M$4001,$X340))</f>
        <v/>
      </c>
      <c r="L340" s="22" t="str">
        <f aca="false">IF($X340="","",K340*V340/100)</f>
        <v/>
      </c>
      <c r="M340" s="20" t="str">
        <f aca="false">IF($X340="","",INDEX('Per Line'!$Z$2:$Z$4001,$X340))</f>
        <v/>
      </c>
      <c r="N340" s="23" t="str">
        <f aca="false">IF($X340="","",Settings!$C$7)</f>
        <v/>
      </c>
      <c r="O340" s="22" t="str">
        <f aca="false">IF($X340="","",SUMIFS('Per Line'!$Y$2:$Y$4001,'Per Line'!$D$2:$D$4001,$B340,'Per Line'!$AJ$2:$AJ$4001,0))</f>
        <v/>
      </c>
      <c r="P340" s="22" t="str">
        <f aca="false">IF($X340="","",O340*N340)</f>
        <v/>
      </c>
      <c r="Q340" s="23" t="str">
        <f aca="false">IF($X340="","",Settings!$C$6)</f>
        <v/>
      </c>
      <c r="R340" s="22" t="str">
        <f aca="false">IF($X340="","",SUMIFS('Per Line'!$Y$2:$Y$4001,'Per Line'!$D$2:$D$4001,$B340,'Per Line'!$AJ$2:$AJ$4001,1))</f>
        <v/>
      </c>
      <c r="S340" s="22" t="str">
        <f aca="false">IF($X340="","",R340*Q340)</f>
        <v/>
      </c>
      <c r="T340" s="22" t="str">
        <f aca="false">IF($X340="","",S340+P340)</f>
        <v/>
      </c>
      <c r="U340" s="22" t="str">
        <f aca="false">IF($X340="","",V340-T340)</f>
        <v/>
      </c>
      <c r="V340" s="22" t="str">
        <f aca="false">IF($X340="","",O340+R340)</f>
        <v/>
      </c>
      <c r="W340" s="22" t="str">
        <f aca="false">IF($X340="","",U340-L340)</f>
        <v/>
      </c>
      <c r="X340" s="24" t="str">
        <f aca="false">IF(ROWS($X$2:$X340)&lt;=MAX('Per Line'!$AI$2:$AI$4001),MATCH(ROWS($X$2:$X340),'Per Line'!$AI$2:$AI$4001,0),"")</f>
        <v/>
      </c>
    </row>
    <row r="341" customFormat="false" ht="15" hidden="false" customHeight="false" outlineLevel="0" collapsed="false">
      <c r="A341" s="19"/>
      <c r="B341" s="20" t="str">
        <f aca="false">IF($X341="","",INDEX('Per Line'!$D$2:$D$4001,$X341))</f>
        <v/>
      </c>
      <c r="C341" s="20" t="str">
        <f aca="false">IF($X341="","",INDEX('Per Line'!$C$2:$C$4001,$X341))</f>
        <v/>
      </c>
      <c r="D341" s="20" t="str">
        <f aca="false">IF($X341="","",INDEX('Per Line'!$A$2:$A$4001,$X341))</f>
        <v/>
      </c>
      <c r="E341" s="21" t="str">
        <f aca="false">IF($X341="","",INDEX('Per Line'!$F$2:$F$4001,$X341))</f>
        <v/>
      </c>
      <c r="F341" s="20" t="str">
        <f aca="false">IF($X341="","",INDEX('Per Line'!$G$2:$G$4001,$X341))</f>
        <v/>
      </c>
      <c r="G341" s="20" t="str">
        <f aca="false">IF($X341="","",INDEX('Per Line'!$I$2:$I$4001,$X341))</f>
        <v/>
      </c>
      <c r="H341" s="20" t="str">
        <f aca="false">IF($X341="","",INDEX('Per Line'!$J$2:$J$4001,$X341))</f>
        <v/>
      </c>
      <c r="I341" s="20" t="str">
        <f aca="false">IF($X341="","",INDEX('Per Line'!$K$2:$K$4001,$X341))</f>
        <v/>
      </c>
      <c r="J341" s="20" t="str">
        <f aca="false">IF($X341="","",INDEX('Per Line'!$L$2:$L$4001,$X341))</f>
        <v/>
      </c>
      <c r="K341" s="20" t="str">
        <f aca="false">IF($X341="","",INDEX('Per Line'!$M$2:$M$4001,$X341))</f>
        <v/>
      </c>
      <c r="L341" s="22" t="str">
        <f aca="false">IF($X341="","",K341*V341/100)</f>
        <v/>
      </c>
      <c r="M341" s="20" t="str">
        <f aca="false">IF($X341="","",INDEX('Per Line'!$Z$2:$Z$4001,$X341))</f>
        <v/>
      </c>
      <c r="N341" s="23" t="str">
        <f aca="false">IF($X341="","",Settings!$C$7)</f>
        <v/>
      </c>
      <c r="O341" s="22" t="str">
        <f aca="false">IF($X341="","",SUMIFS('Per Line'!$Y$2:$Y$4001,'Per Line'!$D$2:$D$4001,$B341,'Per Line'!$AJ$2:$AJ$4001,0))</f>
        <v/>
      </c>
      <c r="P341" s="22" t="str">
        <f aca="false">IF($X341="","",O341*N341)</f>
        <v/>
      </c>
      <c r="Q341" s="23" t="str">
        <f aca="false">IF($X341="","",Settings!$C$6)</f>
        <v/>
      </c>
      <c r="R341" s="22" t="str">
        <f aca="false">IF($X341="","",SUMIFS('Per Line'!$Y$2:$Y$4001,'Per Line'!$D$2:$D$4001,$B341,'Per Line'!$AJ$2:$AJ$4001,1))</f>
        <v/>
      </c>
      <c r="S341" s="22" t="str">
        <f aca="false">IF($X341="","",R341*Q341)</f>
        <v/>
      </c>
      <c r="T341" s="22" t="str">
        <f aca="false">IF($X341="","",S341+P341)</f>
        <v/>
      </c>
      <c r="U341" s="22" t="str">
        <f aca="false">IF($X341="","",V341-T341)</f>
        <v/>
      </c>
      <c r="V341" s="22" t="str">
        <f aca="false">IF($X341="","",O341+R341)</f>
        <v/>
      </c>
      <c r="W341" s="22" t="str">
        <f aca="false">IF($X341="","",U341-L341)</f>
        <v/>
      </c>
      <c r="X341" s="24" t="str">
        <f aca="false">IF(ROWS($X$2:$X341)&lt;=MAX('Per Line'!$AI$2:$AI$4001),MATCH(ROWS($X$2:$X341),'Per Line'!$AI$2:$AI$4001,0),"")</f>
        <v/>
      </c>
    </row>
    <row r="342" customFormat="false" ht="15" hidden="false" customHeight="false" outlineLevel="0" collapsed="false">
      <c r="A342" s="19"/>
      <c r="B342" s="20" t="str">
        <f aca="false">IF($X342="","",INDEX('Per Line'!$D$2:$D$4001,$X342))</f>
        <v/>
      </c>
      <c r="C342" s="20" t="str">
        <f aca="false">IF($X342="","",INDEX('Per Line'!$C$2:$C$4001,$X342))</f>
        <v/>
      </c>
      <c r="D342" s="20" t="str">
        <f aca="false">IF($X342="","",INDEX('Per Line'!$A$2:$A$4001,$X342))</f>
        <v/>
      </c>
      <c r="E342" s="21" t="str">
        <f aca="false">IF($X342="","",INDEX('Per Line'!$F$2:$F$4001,$X342))</f>
        <v/>
      </c>
      <c r="F342" s="20" t="str">
        <f aca="false">IF($X342="","",INDEX('Per Line'!$G$2:$G$4001,$X342))</f>
        <v/>
      </c>
      <c r="G342" s="20" t="str">
        <f aca="false">IF($X342="","",INDEX('Per Line'!$I$2:$I$4001,$X342))</f>
        <v/>
      </c>
      <c r="H342" s="20" t="str">
        <f aca="false">IF($X342="","",INDEX('Per Line'!$J$2:$J$4001,$X342))</f>
        <v/>
      </c>
      <c r="I342" s="20" t="str">
        <f aca="false">IF($X342="","",INDEX('Per Line'!$K$2:$K$4001,$X342))</f>
        <v/>
      </c>
      <c r="J342" s="20" t="str">
        <f aca="false">IF($X342="","",INDEX('Per Line'!$L$2:$L$4001,$X342))</f>
        <v/>
      </c>
      <c r="K342" s="20" t="str">
        <f aca="false">IF($X342="","",INDEX('Per Line'!$M$2:$M$4001,$X342))</f>
        <v/>
      </c>
      <c r="L342" s="22" t="str">
        <f aca="false">IF($X342="","",K342*V342/100)</f>
        <v/>
      </c>
      <c r="M342" s="20" t="str">
        <f aca="false">IF($X342="","",INDEX('Per Line'!$Z$2:$Z$4001,$X342))</f>
        <v/>
      </c>
      <c r="N342" s="23" t="str">
        <f aca="false">IF($X342="","",Settings!$C$7)</f>
        <v/>
      </c>
      <c r="O342" s="22" t="str">
        <f aca="false">IF($X342="","",SUMIFS('Per Line'!$Y$2:$Y$4001,'Per Line'!$D$2:$D$4001,$B342,'Per Line'!$AJ$2:$AJ$4001,0))</f>
        <v/>
      </c>
      <c r="P342" s="22" t="str">
        <f aca="false">IF($X342="","",O342*N342)</f>
        <v/>
      </c>
      <c r="Q342" s="23" t="str">
        <f aca="false">IF($X342="","",Settings!$C$6)</f>
        <v/>
      </c>
      <c r="R342" s="22" t="str">
        <f aca="false">IF($X342="","",SUMIFS('Per Line'!$Y$2:$Y$4001,'Per Line'!$D$2:$D$4001,$B342,'Per Line'!$AJ$2:$AJ$4001,1))</f>
        <v/>
      </c>
      <c r="S342" s="22" t="str">
        <f aca="false">IF($X342="","",R342*Q342)</f>
        <v/>
      </c>
      <c r="T342" s="22" t="str">
        <f aca="false">IF($X342="","",S342+P342)</f>
        <v/>
      </c>
      <c r="U342" s="22" t="str">
        <f aca="false">IF($X342="","",V342-T342)</f>
        <v/>
      </c>
      <c r="V342" s="22" t="str">
        <f aca="false">IF($X342="","",O342+R342)</f>
        <v/>
      </c>
      <c r="W342" s="22" t="str">
        <f aca="false">IF($X342="","",U342-L342)</f>
        <v/>
      </c>
      <c r="X342" s="24" t="str">
        <f aca="false">IF(ROWS($X$2:$X342)&lt;=MAX('Per Line'!$AI$2:$AI$4001),MATCH(ROWS($X$2:$X342),'Per Line'!$AI$2:$AI$4001,0),"")</f>
        <v/>
      </c>
    </row>
    <row r="343" customFormat="false" ht="15" hidden="false" customHeight="false" outlineLevel="0" collapsed="false">
      <c r="A343" s="19"/>
      <c r="B343" s="20" t="str">
        <f aca="false">IF($X343="","",INDEX('Per Line'!$D$2:$D$4001,$X343))</f>
        <v/>
      </c>
      <c r="C343" s="20" t="str">
        <f aca="false">IF($X343="","",INDEX('Per Line'!$C$2:$C$4001,$X343))</f>
        <v/>
      </c>
      <c r="D343" s="20" t="str">
        <f aca="false">IF($X343="","",INDEX('Per Line'!$A$2:$A$4001,$X343))</f>
        <v/>
      </c>
      <c r="E343" s="21" t="str">
        <f aca="false">IF($X343="","",INDEX('Per Line'!$F$2:$F$4001,$X343))</f>
        <v/>
      </c>
      <c r="F343" s="20" t="str">
        <f aca="false">IF($X343="","",INDEX('Per Line'!$G$2:$G$4001,$X343))</f>
        <v/>
      </c>
      <c r="G343" s="20" t="str">
        <f aca="false">IF($X343="","",INDEX('Per Line'!$I$2:$I$4001,$X343))</f>
        <v/>
      </c>
      <c r="H343" s="20" t="str">
        <f aca="false">IF($X343="","",INDEX('Per Line'!$J$2:$J$4001,$X343))</f>
        <v/>
      </c>
      <c r="I343" s="20" t="str">
        <f aca="false">IF($X343="","",INDEX('Per Line'!$K$2:$K$4001,$X343))</f>
        <v/>
      </c>
      <c r="J343" s="20" t="str">
        <f aca="false">IF($X343="","",INDEX('Per Line'!$L$2:$L$4001,$X343))</f>
        <v/>
      </c>
      <c r="K343" s="20" t="str">
        <f aca="false">IF($X343="","",INDEX('Per Line'!$M$2:$M$4001,$X343))</f>
        <v/>
      </c>
      <c r="L343" s="22" t="str">
        <f aca="false">IF($X343="","",K343*V343/100)</f>
        <v/>
      </c>
      <c r="M343" s="20" t="str">
        <f aca="false">IF($X343="","",INDEX('Per Line'!$Z$2:$Z$4001,$X343))</f>
        <v/>
      </c>
      <c r="N343" s="23" t="str">
        <f aca="false">IF($X343="","",Settings!$C$7)</f>
        <v/>
      </c>
      <c r="O343" s="22" t="str">
        <f aca="false">IF($X343="","",SUMIFS('Per Line'!$Y$2:$Y$4001,'Per Line'!$D$2:$D$4001,$B343,'Per Line'!$AJ$2:$AJ$4001,0))</f>
        <v/>
      </c>
      <c r="P343" s="22" t="str">
        <f aca="false">IF($X343="","",O343*N343)</f>
        <v/>
      </c>
      <c r="Q343" s="23" t="str">
        <f aca="false">IF($X343="","",Settings!$C$6)</f>
        <v/>
      </c>
      <c r="R343" s="22" t="str">
        <f aca="false">IF($X343="","",SUMIFS('Per Line'!$Y$2:$Y$4001,'Per Line'!$D$2:$D$4001,$B343,'Per Line'!$AJ$2:$AJ$4001,1))</f>
        <v/>
      </c>
      <c r="S343" s="22" t="str">
        <f aca="false">IF($X343="","",R343*Q343)</f>
        <v/>
      </c>
      <c r="T343" s="22" t="str">
        <f aca="false">IF($X343="","",S343+P343)</f>
        <v/>
      </c>
      <c r="U343" s="22" t="str">
        <f aca="false">IF($X343="","",V343-T343)</f>
        <v/>
      </c>
      <c r="V343" s="22" t="str">
        <f aca="false">IF($X343="","",O343+R343)</f>
        <v/>
      </c>
      <c r="W343" s="22" t="str">
        <f aca="false">IF($X343="","",U343-L343)</f>
        <v/>
      </c>
      <c r="X343" s="24" t="str">
        <f aca="false">IF(ROWS($X$2:$X343)&lt;=MAX('Per Line'!$AI$2:$AI$4001),MATCH(ROWS($X$2:$X343),'Per Line'!$AI$2:$AI$4001,0),"")</f>
        <v/>
      </c>
    </row>
    <row r="344" customFormat="false" ht="15" hidden="false" customHeight="false" outlineLevel="0" collapsed="false">
      <c r="A344" s="19"/>
      <c r="B344" s="20" t="str">
        <f aca="false">IF($X344="","",INDEX('Per Line'!$D$2:$D$4001,$X344))</f>
        <v/>
      </c>
      <c r="C344" s="20" t="str">
        <f aca="false">IF($X344="","",INDEX('Per Line'!$C$2:$C$4001,$X344))</f>
        <v/>
      </c>
      <c r="D344" s="20" t="str">
        <f aca="false">IF($X344="","",INDEX('Per Line'!$A$2:$A$4001,$X344))</f>
        <v/>
      </c>
      <c r="E344" s="21" t="str">
        <f aca="false">IF($X344="","",INDEX('Per Line'!$F$2:$F$4001,$X344))</f>
        <v/>
      </c>
      <c r="F344" s="20" t="str">
        <f aca="false">IF($X344="","",INDEX('Per Line'!$G$2:$G$4001,$X344))</f>
        <v/>
      </c>
      <c r="G344" s="20" t="str">
        <f aca="false">IF($X344="","",INDEX('Per Line'!$I$2:$I$4001,$X344))</f>
        <v/>
      </c>
      <c r="H344" s="20" t="str">
        <f aca="false">IF($X344="","",INDEX('Per Line'!$J$2:$J$4001,$X344))</f>
        <v/>
      </c>
      <c r="I344" s="20" t="str">
        <f aca="false">IF($X344="","",INDEX('Per Line'!$K$2:$K$4001,$X344))</f>
        <v/>
      </c>
      <c r="J344" s="20" t="str">
        <f aca="false">IF($X344="","",INDEX('Per Line'!$L$2:$L$4001,$X344))</f>
        <v/>
      </c>
      <c r="K344" s="20" t="str">
        <f aca="false">IF($X344="","",INDEX('Per Line'!$M$2:$M$4001,$X344))</f>
        <v/>
      </c>
      <c r="L344" s="22" t="str">
        <f aca="false">IF($X344="","",K344*V344/100)</f>
        <v/>
      </c>
      <c r="M344" s="20" t="str">
        <f aca="false">IF($X344="","",INDEX('Per Line'!$Z$2:$Z$4001,$X344))</f>
        <v/>
      </c>
      <c r="N344" s="23" t="str">
        <f aca="false">IF($X344="","",Settings!$C$7)</f>
        <v/>
      </c>
      <c r="O344" s="22" t="str">
        <f aca="false">IF($X344="","",SUMIFS('Per Line'!$Y$2:$Y$4001,'Per Line'!$D$2:$D$4001,$B344,'Per Line'!$AJ$2:$AJ$4001,0))</f>
        <v/>
      </c>
      <c r="P344" s="22" t="str">
        <f aca="false">IF($X344="","",O344*N344)</f>
        <v/>
      </c>
      <c r="Q344" s="23" t="str">
        <f aca="false">IF($X344="","",Settings!$C$6)</f>
        <v/>
      </c>
      <c r="R344" s="22" t="str">
        <f aca="false">IF($X344="","",SUMIFS('Per Line'!$Y$2:$Y$4001,'Per Line'!$D$2:$D$4001,$B344,'Per Line'!$AJ$2:$AJ$4001,1))</f>
        <v/>
      </c>
      <c r="S344" s="22" t="str">
        <f aca="false">IF($X344="","",R344*Q344)</f>
        <v/>
      </c>
      <c r="T344" s="22" t="str">
        <f aca="false">IF($X344="","",S344+P344)</f>
        <v/>
      </c>
      <c r="U344" s="22" t="str">
        <f aca="false">IF($X344="","",V344-T344)</f>
        <v/>
      </c>
      <c r="V344" s="22" t="str">
        <f aca="false">IF($X344="","",O344+R344)</f>
        <v/>
      </c>
      <c r="W344" s="22" t="str">
        <f aca="false">IF($X344="","",U344-L344)</f>
        <v/>
      </c>
      <c r="X344" s="24" t="str">
        <f aca="false">IF(ROWS($X$2:$X344)&lt;=MAX('Per Line'!$AI$2:$AI$4001),MATCH(ROWS($X$2:$X344),'Per Line'!$AI$2:$AI$4001,0),"")</f>
        <v/>
      </c>
    </row>
    <row r="345" customFormat="false" ht="15" hidden="false" customHeight="false" outlineLevel="0" collapsed="false">
      <c r="A345" s="19"/>
      <c r="B345" s="20" t="str">
        <f aca="false">IF($X345="","",INDEX('Per Line'!$D$2:$D$4001,$X345))</f>
        <v/>
      </c>
      <c r="C345" s="20" t="str">
        <f aca="false">IF($X345="","",INDEX('Per Line'!$C$2:$C$4001,$X345))</f>
        <v/>
      </c>
      <c r="D345" s="20" t="str">
        <f aca="false">IF($X345="","",INDEX('Per Line'!$A$2:$A$4001,$X345))</f>
        <v/>
      </c>
      <c r="E345" s="21" t="str">
        <f aca="false">IF($X345="","",INDEX('Per Line'!$F$2:$F$4001,$X345))</f>
        <v/>
      </c>
      <c r="F345" s="20" t="str">
        <f aca="false">IF($X345="","",INDEX('Per Line'!$G$2:$G$4001,$X345))</f>
        <v/>
      </c>
      <c r="G345" s="20" t="str">
        <f aca="false">IF($X345="","",INDEX('Per Line'!$I$2:$I$4001,$X345))</f>
        <v/>
      </c>
      <c r="H345" s="20" t="str">
        <f aca="false">IF($X345="","",INDEX('Per Line'!$J$2:$J$4001,$X345))</f>
        <v/>
      </c>
      <c r="I345" s="20" t="str">
        <f aca="false">IF($X345="","",INDEX('Per Line'!$K$2:$K$4001,$X345))</f>
        <v/>
      </c>
      <c r="J345" s="20" t="str">
        <f aca="false">IF($X345="","",INDEX('Per Line'!$L$2:$L$4001,$X345))</f>
        <v/>
      </c>
      <c r="K345" s="20" t="str">
        <f aca="false">IF($X345="","",INDEX('Per Line'!$M$2:$M$4001,$X345))</f>
        <v/>
      </c>
      <c r="L345" s="22" t="str">
        <f aca="false">IF($X345="","",K345*V345/100)</f>
        <v/>
      </c>
      <c r="M345" s="20" t="str">
        <f aca="false">IF($X345="","",INDEX('Per Line'!$Z$2:$Z$4001,$X345))</f>
        <v/>
      </c>
      <c r="N345" s="23" t="str">
        <f aca="false">IF($X345="","",Settings!$C$7)</f>
        <v/>
      </c>
      <c r="O345" s="22" t="str">
        <f aca="false">IF($X345="","",SUMIFS('Per Line'!$Y$2:$Y$4001,'Per Line'!$D$2:$D$4001,$B345,'Per Line'!$AJ$2:$AJ$4001,0))</f>
        <v/>
      </c>
      <c r="P345" s="22" t="str">
        <f aca="false">IF($X345="","",O345*N345)</f>
        <v/>
      </c>
      <c r="Q345" s="23" t="str">
        <f aca="false">IF($X345="","",Settings!$C$6)</f>
        <v/>
      </c>
      <c r="R345" s="22" t="str">
        <f aca="false">IF($X345="","",SUMIFS('Per Line'!$Y$2:$Y$4001,'Per Line'!$D$2:$D$4001,$B345,'Per Line'!$AJ$2:$AJ$4001,1))</f>
        <v/>
      </c>
      <c r="S345" s="22" t="str">
        <f aca="false">IF($X345="","",R345*Q345)</f>
        <v/>
      </c>
      <c r="T345" s="22" t="str">
        <f aca="false">IF($X345="","",S345+P345)</f>
        <v/>
      </c>
      <c r="U345" s="22" t="str">
        <f aca="false">IF($X345="","",V345-T345)</f>
        <v/>
      </c>
      <c r="V345" s="22" t="str">
        <f aca="false">IF($X345="","",O345+R345)</f>
        <v/>
      </c>
      <c r="W345" s="22" t="str">
        <f aca="false">IF($X345="","",U345-L345)</f>
        <v/>
      </c>
      <c r="X345" s="24" t="str">
        <f aca="false">IF(ROWS($X$2:$X345)&lt;=MAX('Per Line'!$AI$2:$AI$4001),MATCH(ROWS($X$2:$X345),'Per Line'!$AI$2:$AI$4001,0),"")</f>
        <v/>
      </c>
    </row>
    <row r="346" customFormat="false" ht="15" hidden="false" customHeight="false" outlineLevel="0" collapsed="false">
      <c r="A346" s="19"/>
      <c r="B346" s="20" t="str">
        <f aca="false">IF($X346="","",INDEX('Per Line'!$D$2:$D$4001,$X346))</f>
        <v/>
      </c>
      <c r="C346" s="20" t="str">
        <f aca="false">IF($X346="","",INDEX('Per Line'!$C$2:$C$4001,$X346))</f>
        <v/>
      </c>
      <c r="D346" s="20" t="str">
        <f aca="false">IF($X346="","",INDEX('Per Line'!$A$2:$A$4001,$X346))</f>
        <v/>
      </c>
      <c r="E346" s="21" t="str">
        <f aca="false">IF($X346="","",INDEX('Per Line'!$F$2:$F$4001,$X346))</f>
        <v/>
      </c>
      <c r="F346" s="20" t="str">
        <f aca="false">IF($X346="","",INDEX('Per Line'!$G$2:$G$4001,$X346))</f>
        <v/>
      </c>
      <c r="G346" s="20" t="str">
        <f aca="false">IF($X346="","",INDEX('Per Line'!$I$2:$I$4001,$X346))</f>
        <v/>
      </c>
      <c r="H346" s="20" t="str">
        <f aca="false">IF($X346="","",INDEX('Per Line'!$J$2:$J$4001,$X346))</f>
        <v/>
      </c>
      <c r="I346" s="20" t="str">
        <f aca="false">IF($X346="","",INDEX('Per Line'!$K$2:$K$4001,$X346))</f>
        <v/>
      </c>
      <c r="J346" s="20" t="str">
        <f aca="false">IF($X346="","",INDEX('Per Line'!$L$2:$L$4001,$X346))</f>
        <v/>
      </c>
      <c r="K346" s="20" t="str">
        <f aca="false">IF($X346="","",INDEX('Per Line'!$M$2:$M$4001,$X346))</f>
        <v/>
      </c>
      <c r="L346" s="22" t="str">
        <f aca="false">IF($X346="","",K346*V346/100)</f>
        <v/>
      </c>
      <c r="M346" s="20" t="str">
        <f aca="false">IF($X346="","",INDEX('Per Line'!$Z$2:$Z$4001,$X346))</f>
        <v/>
      </c>
      <c r="N346" s="23" t="str">
        <f aca="false">IF($X346="","",Settings!$C$7)</f>
        <v/>
      </c>
      <c r="O346" s="22" t="str">
        <f aca="false">IF($X346="","",SUMIFS('Per Line'!$Y$2:$Y$4001,'Per Line'!$D$2:$D$4001,$B346,'Per Line'!$AJ$2:$AJ$4001,0))</f>
        <v/>
      </c>
      <c r="P346" s="22" t="str">
        <f aca="false">IF($X346="","",O346*N346)</f>
        <v/>
      </c>
      <c r="Q346" s="23" t="str">
        <f aca="false">IF($X346="","",Settings!$C$6)</f>
        <v/>
      </c>
      <c r="R346" s="22" t="str">
        <f aca="false">IF($X346="","",SUMIFS('Per Line'!$Y$2:$Y$4001,'Per Line'!$D$2:$D$4001,$B346,'Per Line'!$AJ$2:$AJ$4001,1))</f>
        <v/>
      </c>
      <c r="S346" s="22" t="str">
        <f aca="false">IF($X346="","",R346*Q346)</f>
        <v/>
      </c>
      <c r="T346" s="22" t="str">
        <f aca="false">IF($X346="","",S346+P346)</f>
        <v/>
      </c>
      <c r="U346" s="22" t="str">
        <f aca="false">IF($X346="","",V346-T346)</f>
        <v/>
      </c>
      <c r="V346" s="22" t="str">
        <f aca="false">IF($X346="","",O346+R346)</f>
        <v/>
      </c>
      <c r="W346" s="22" t="str">
        <f aca="false">IF($X346="","",U346-L346)</f>
        <v/>
      </c>
      <c r="X346" s="24" t="str">
        <f aca="false">IF(ROWS($X$2:$X346)&lt;=MAX('Per Line'!$AI$2:$AI$4001),MATCH(ROWS($X$2:$X346),'Per Line'!$AI$2:$AI$4001,0),"")</f>
        <v/>
      </c>
    </row>
    <row r="347" customFormat="false" ht="15" hidden="false" customHeight="false" outlineLevel="0" collapsed="false">
      <c r="A347" s="19"/>
      <c r="B347" s="20" t="str">
        <f aca="false">IF($X347="","",INDEX('Per Line'!$D$2:$D$4001,$X347))</f>
        <v/>
      </c>
      <c r="C347" s="20" t="str">
        <f aca="false">IF($X347="","",INDEX('Per Line'!$C$2:$C$4001,$X347))</f>
        <v/>
      </c>
      <c r="D347" s="20" t="str">
        <f aca="false">IF($X347="","",INDEX('Per Line'!$A$2:$A$4001,$X347))</f>
        <v/>
      </c>
      <c r="E347" s="21" t="str">
        <f aca="false">IF($X347="","",INDEX('Per Line'!$F$2:$F$4001,$X347))</f>
        <v/>
      </c>
      <c r="F347" s="20" t="str">
        <f aca="false">IF($X347="","",INDEX('Per Line'!$G$2:$G$4001,$X347))</f>
        <v/>
      </c>
      <c r="G347" s="20" t="str">
        <f aca="false">IF($X347="","",INDEX('Per Line'!$I$2:$I$4001,$X347))</f>
        <v/>
      </c>
      <c r="H347" s="20" t="str">
        <f aca="false">IF($X347="","",INDEX('Per Line'!$J$2:$J$4001,$X347))</f>
        <v/>
      </c>
      <c r="I347" s="20" t="str">
        <f aca="false">IF($X347="","",INDEX('Per Line'!$K$2:$K$4001,$X347))</f>
        <v/>
      </c>
      <c r="J347" s="20" t="str">
        <f aca="false">IF($X347="","",INDEX('Per Line'!$L$2:$L$4001,$X347))</f>
        <v/>
      </c>
      <c r="K347" s="20" t="str">
        <f aca="false">IF($X347="","",INDEX('Per Line'!$M$2:$M$4001,$X347))</f>
        <v/>
      </c>
      <c r="L347" s="22" t="str">
        <f aca="false">IF($X347="","",K347*V347/100)</f>
        <v/>
      </c>
      <c r="M347" s="20" t="str">
        <f aca="false">IF($X347="","",INDEX('Per Line'!$Z$2:$Z$4001,$X347))</f>
        <v/>
      </c>
      <c r="N347" s="23" t="str">
        <f aca="false">IF($X347="","",Settings!$C$7)</f>
        <v/>
      </c>
      <c r="O347" s="22" t="str">
        <f aca="false">IF($X347="","",SUMIFS('Per Line'!$Y$2:$Y$4001,'Per Line'!$D$2:$D$4001,$B347,'Per Line'!$AJ$2:$AJ$4001,0))</f>
        <v/>
      </c>
      <c r="P347" s="22" t="str">
        <f aca="false">IF($X347="","",O347*N347)</f>
        <v/>
      </c>
      <c r="Q347" s="23" t="str">
        <f aca="false">IF($X347="","",Settings!$C$6)</f>
        <v/>
      </c>
      <c r="R347" s="22" t="str">
        <f aca="false">IF($X347="","",SUMIFS('Per Line'!$Y$2:$Y$4001,'Per Line'!$D$2:$D$4001,$B347,'Per Line'!$AJ$2:$AJ$4001,1))</f>
        <v/>
      </c>
      <c r="S347" s="22" t="str">
        <f aca="false">IF($X347="","",R347*Q347)</f>
        <v/>
      </c>
      <c r="T347" s="22" t="str">
        <f aca="false">IF($X347="","",S347+P347)</f>
        <v/>
      </c>
      <c r="U347" s="22" t="str">
        <f aca="false">IF($X347="","",V347-T347)</f>
        <v/>
      </c>
      <c r="V347" s="22" t="str">
        <f aca="false">IF($X347="","",O347+R347)</f>
        <v/>
      </c>
      <c r="W347" s="22" t="str">
        <f aca="false">IF($X347="","",U347-L347)</f>
        <v/>
      </c>
      <c r="X347" s="24" t="str">
        <f aca="false">IF(ROWS($X$2:$X347)&lt;=MAX('Per Line'!$AI$2:$AI$4001),MATCH(ROWS($X$2:$X347),'Per Line'!$AI$2:$AI$4001,0),"")</f>
        <v/>
      </c>
    </row>
    <row r="348" customFormat="false" ht="15" hidden="false" customHeight="false" outlineLevel="0" collapsed="false">
      <c r="A348" s="19"/>
      <c r="B348" s="20" t="str">
        <f aca="false">IF($X348="","",INDEX('Per Line'!$D$2:$D$4001,$X348))</f>
        <v/>
      </c>
      <c r="C348" s="20" t="str">
        <f aca="false">IF($X348="","",INDEX('Per Line'!$C$2:$C$4001,$X348))</f>
        <v/>
      </c>
      <c r="D348" s="20" t="str">
        <f aca="false">IF($X348="","",INDEX('Per Line'!$A$2:$A$4001,$X348))</f>
        <v/>
      </c>
      <c r="E348" s="21" t="str">
        <f aca="false">IF($X348="","",INDEX('Per Line'!$F$2:$F$4001,$X348))</f>
        <v/>
      </c>
      <c r="F348" s="20" t="str">
        <f aca="false">IF($X348="","",INDEX('Per Line'!$G$2:$G$4001,$X348))</f>
        <v/>
      </c>
      <c r="G348" s="20" t="str">
        <f aca="false">IF($X348="","",INDEX('Per Line'!$I$2:$I$4001,$X348))</f>
        <v/>
      </c>
      <c r="H348" s="20" t="str">
        <f aca="false">IF($X348="","",INDEX('Per Line'!$J$2:$J$4001,$X348))</f>
        <v/>
      </c>
      <c r="I348" s="20" t="str">
        <f aca="false">IF($X348="","",INDEX('Per Line'!$K$2:$K$4001,$X348))</f>
        <v/>
      </c>
      <c r="J348" s="20" t="str">
        <f aca="false">IF($X348="","",INDEX('Per Line'!$L$2:$L$4001,$X348))</f>
        <v/>
      </c>
      <c r="K348" s="20" t="str">
        <f aca="false">IF($X348="","",INDEX('Per Line'!$M$2:$M$4001,$X348))</f>
        <v/>
      </c>
      <c r="L348" s="22" t="str">
        <f aca="false">IF($X348="","",K348*V348/100)</f>
        <v/>
      </c>
      <c r="M348" s="20" t="str">
        <f aca="false">IF($X348="","",INDEX('Per Line'!$Z$2:$Z$4001,$X348))</f>
        <v/>
      </c>
      <c r="N348" s="23" t="str">
        <f aca="false">IF($X348="","",Settings!$C$7)</f>
        <v/>
      </c>
      <c r="O348" s="22" t="str">
        <f aca="false">IF($X348="","",SUMIFS('Per Line'!$Y$2:$Y$4001,'Per Line'!$D$2:$D$4001,$B348,'Per Line'!$AJ$2:$AJ$4001,0))</f>
        <v/>
      </c>
      <c r="P348" s="22" t="str">
        <f aca="false">IF($X348="","",O348*N348)</f>
        <v/>
      </c>
      <c r="Q348" s="23" t="str">
        <f aca="false">IF($X348="","",Settings!$C$6)</f>
        <v/>
      </c>
      <c r="R348" s="22" t="str">
        <f aca="false">IF($X348="","",SUMIFS('Per Line'!$Y$2:$Y$4001,'Per Line'!$D$2:$D$4001,$B348,'Per Line'!$AJ$2:$AJ$4001,1))</f>
        <v/>
      </c>
      <c r="S348" s="22" t="str">
        <f aca="false">IF($X348="","",R348*Q348)</f>
        <v/>
      </c>
      <c r="T348" s="22" t="str">
        <f aca="false">IF($X348="","",S348+P348)</f>
        <v/>
      </c>
      <c r="U348" s="22" t="str">
        <f aca="false">IF($X348="","",V348-T348)</f>
        <v/>
      </c>
      <c r="V348" s="22" t="str">
        <f aca="false">IF($X348="","",O348+R348)</f>
        <v/>
      </c>
      <c r="W348" s="22" t="str">
        <f aca="false">IF($X348="","",U348-L348)</f>
        <v/>
      </c>
      <c r="X348" s="24" t="str">
        <f aca="false">IF(ROWS($X$2:$X348)&lt;=MAX('Per Line'!$AI$2:$AI$4001),MATCH(ROWS($X$2:$X348),'Per Line'!$AI$2:$AI$4001,0),"")</f>
        <v/>
      </c>
    </row>
    <row r="349" customFormat="false" ht="15" hidden="false" customHeight="false" outlineLevel="0" collapsed="false">
      <c r="A349" s="19"/>
      <c r="B349" s="20" t="str">
        <f aca="false">IF($X349="","",INDEX('Per Line'!$D$2:$D$4001,$X349))</f>
        <v/>
      </c>
      <c r="C349" s="20" t="str">
        <f aca="false">IF($X349="","",INDEX('Per Line'!$C$2:$C$4001,$X349))</f>
        <v/>
      </c>
      <c r="D349" s="20" t="str">
        <f aca="false">IF($X349="","",INDEX('Per Line'!$A$2:$A$4001,$X349))</f>
        <v/>
      </c>
      <c r="E349" s="21" t="str">
        <f aca="false">IF($X349="","",INDEX('Per Line'!$F$2:$F$4001,$X349))</f>
        <v/>
      </c>
      <c r="F349" s="20" t="str">
        <f aca="false">IF($X349="","",INDEX('Per Line'!$G$2:$G$4001,$X349))</f>
        <v/>
      </c>
      <c r="G349" s="20" t="str">
        <f aca="false">IF($X349="","",INDEX('Per Line'!$I$2:$I$4001,$X349))</f>
        <v/>
      </c>
      <c r="H349" s="20" t="str">
        <f aca="false">IF($X349="","",INDEX('Per Line'!$J$2:$J$4001,$X349))</f>
        <v/>
      </c>
      <c r="I349" s="20" t="str">
        <f aca="false">IF($X349="","",INDEX('Per Line'!$K$2:$K$4001,$X349))</f>
        <v/>
      </c>
      <c r="J349" s="20" t="str">
        <f aca="false">IF($X349="","",INDEX('Per Line'!$L$2:$L$4001,$X349))</f>
        <v/>
      </c>
      <c r="K349" s="20" t="str">
        <f aca="false">IF($X349="","",INDEX('Per Line'!$M$2:$M$4001,$X349))</f>
        <v/>
      </c>
      <c r="L349" s="22" t="str">
        <f aca="false">IF($X349="","",K349*V349/100)</f>
        <v/>
      </c>
      <c r="M349" s="20" t="str">
        <f aca="false">IF($X349="","",INDEX('Per Line'!$Z$2:$Z$4001,$X349))</f>
        <v/>
      </c>
      <c r="N349" s="23" t="str">
        <f aca="false">IF($X349="","",Settings!$C$7)</f>
        <v/>
      </c>
      <c r="O349" s="22" t="str">
        <f aca="false">IF($X349="","",SUMIFS('Per Line'!$Y$2:$Y$4001,'Per Line'!$D$2:$D$4001,$B349,'Per Line'!$AJ$2:$AJ$4001,0))</f>
        <v/>
      </c>
      <c r="P349" s="22" t="str">
        <f aca="false">IF($X349="","",O349*N349)</f>
        <v/>
      </c>
      <c r="Q349" s="23" t="str">
        <f aca="false">IF($X349="","",Settings!$C$6)</f>
        <v/>
      </c>
      <c r="R349" s="22" t="str">
        <f aca="false">IF($X349="","",SUMIFS('Per Line'!$Y$2:$Y$4001,'Per Line'!$D$2:$D$4001,$B349,'Per Line'!$AJ$2:$AJ$4001,1))</f>
        <v/>
      </c>
      <c r="S349" s="22" t="str">
        <f aca="false">IF($X349="","",R349*Q349)</f>
        <v/>
      </c>
      <c r="T349" s="22" t="str">
        <f aca="false">IF($X349="","",S349+P349)</f>
        <v/>
      </c>
      <c r="U349" s="22" t="str">
        <f aca="false">IF($X349="","",V349-T349)</f>
        <v/>
      </c>
      <c r="V349" s="22" t="str">
        <f aca="false">IF($X349="","",O349+R349)</f>
        <v/>
      </c>
      <c r="W349" s="22" t="str">
        <f aca="false">IF($X349="","",U349-L349)</f>
        <v/>
      </c>
      <c r="X349" s="24" t="str">
        <f aca="false">IF(ROWS($X$2:$X349)&lt;=MAX('Per Line'!$AI$2:$AI$4001),MATCH(ROWS($X$2:$X349),'Per Line'!$AI$2:$AI$4001,0),"")</f>
        <v/>
      </c>
    </row>
    <row r="350" customFormat="false" ht="15" hidden="false" customHeight="false" outlineLevel="0" collapsed="false">
      <c r="A350" s="19"/>
      <c r="B350" s="20" t="str">
        <f aca="false">IF($X350="","",INDEX('Per Line'!$D$2:$D$4001,$X350))</f>
        <v/>
      </c>
      <c r="C350" s="20" t="str">
        <f aca="false">IF($X350="","",INDEX('Per Line'!$C$2:$C$4001,$X350))</f>
        <v/>
      </c>
      <c r="D350" s="20" t="str">
        <f aca="false">IF($X350="","",INDEX('Per Line'!$A$2:$A$4001,$X350))</f>
        <v/>
      </c>
      <c r="E350" s="21" t="str">
        <f aca="false">IF($X350="","",INDEX('Per Line'!$F$2:$F$4001,$X350))</f>
        <v/>
      </c>
      <c r="F350" s="20" t="str">
        <f aca="false">IF($X350="","",INDEX('Per Line'!$G$2:$G$4001,$X350))</f>
        <v/>
      </c>
      <c r="G350" s="20" t="str">
        <f aca="false">IF($X350="","",INDEX('Per Line'!$I$2:$I$4001,$X350))</f>
        <v/>
      </c>
      <c r="H350" s="20" t="str">
        <f aca="false">IF($X350="","",INDEX('Per Line'!$J$2:$J$4001,$X350))</f>
        <v/>
      </c>
      <c r="I350" s="20" t="str">
        <f aca="false">IF($X350="","",INDEX('Per Line'!$K$2:$K$4001,$X350))</f>
        <v/>
      </c>
      <c r="J350" s="20" t="str">
        <f aca="false">IF($X350="","",INDEX('Per Line'!$L$2:$L$4001,$X350))</f>
        <v/>
      </c>
      <c r="K350" s="20" t="str">
        <f aca="false">IF($X350="","",INDEX('Per Line'!$M$2:$M$4001,$X350))</f>
        <v/>
      </c>
      <c r="L350" s="22" t="str">
        <f aca="false">IF($X350="","",K350*V350/100)</f>
        <v/>
      </c>
      <c r="M350" s="20" t="str">
        <f aca="false">IF($X350="","",INDEX('Per Line'!$Z$2:$Z$4001,$X350))</f>
        <v/>
      </c>
      <c r="N350" s="23" t="str">
        <f aca="false">IF($X350="","",Settings!$C$7)</f>
        <v/>
      </c>
      <c r="O350" s="22" t="str">
        <f aca="false">IF($X350="","",SUMIFS('Per Line'!$Y$2:$Y$4001,'Per Line'!$D$2:$D$4001,$B350,'Per Line'!$AJ$2:$AJ$4001,0))</f>
        <v/>
      </c>
      <c r="P350" s="22" t="str">
        <f aca="false">IF($X350="","",O350*N350)</f>
        <v/>
      </c>
      <c r="Q350" s="23" t="str">
        <f aca="false">IF($X350="","",Settings!$C$6)</f>
        <v/>
      </c>
      <c r="R350" s="22" t="str">
        <f aca="false">IF($X350="","",SUMIFS('Per Line'!$Y$2:$Y$4001,'Per Line'!$D$2:$D$4001,$B350,'Per Line'!$AJ$2:$AJ$4001,1))</f>
        <v/>
      </c>
      <c r="S350" s="22" t="str">
        <f aca="false">IF($X350="","",R350*Q350)</f>
        <v/>
      </c>
      <c r="T350" s="22" t="str">
        <f aca="false">IF($X350="","",S350+P350)</f>
        <v/>
      </c>
      <c r="U350" s="22" t="str">
        <f aca="false">IF($X350="","",V350-T350)</f>
        <v/>
      </c>
      <c r="V350" s="22" t="str">
        <f aca="false">IF($X350="","",O350+R350)</f>
        <v/>
      </c>
      <c r="W350" s="22" t="str">
        <f aca="false">IF($X350="","",U350-L350)</f>
        <v/>
      </c>
      <c r="X350" s="24" t="str">
        <f aca="false">IF(ROWS($X$2:$X350)&lt;=MAX('Per Line'!$AI$2:$AI$4001),MATCH(ROWS($X$2:$X350),'Per Line'!$AI$2:$AI$4001,0),"")</f>
        <v/>
      </c>
    </row>
    <row r="351" customFormat="false" ht="15" hidden="false" customHeight="false" outlineLevel="0" collapsed="false">
      <c r="A351" s="19"/>
      <c r="B351" s="20" t="str">
        <f aca="false">IF($X351="","",INDEX('Per Line'!$D$2:$D$4001,$X351))</f>
        <v/>
      </c>
      <c r="C351" s="20" t="str">
        <f aca="false">IF($X351="","",INDEX('Per Line'!$C$2:$C$4001,$X351))</f>
        <v/>
      </c>
      <c r="D351" s="20" t="str">
        <f aca="false">IF($X351="","",INDEX('Per Line'!$A$2:$A$4001,$X351))</f>
        <v/>
      </c>
      <c r="E351" s="21" t="str">
        <f aca="false">IF($X351="","",INDEX('Per Line'!$F$2:$F$4001,$X351))</f>
        <v/>
      </c>
      <c r="F351" s="20" t="str">
        <f aca="false">IF($X351="","",INDEX('Per Line'!$G$2:$G$4001,$X351))</f>
        <v/>
      </c>
      <c r="G351" s="20" t="str">
        <f aca="false">IF($X351="","",INDEX('Per Line'!$I$2:$I$4001,$X351))</f>
        <v/>
      </c>
      <c r="H351" s="20" t="str">
        <f aca="false">IF($X351="","",INDEX('Per Line'!$J$2:$J$4001,$X351))</f>
        <v/>
      </c>
      <c r="I351" s="20" t="str">
        <f aca="false">IF($X351="","",INDEX('Per Line'!$K$2:$K$4001,$X351))</f>
        <v/>
      </c>
      <c r="J351" s="20" t="str">
        <f aca="false">IF($X351="","",INDEX('Per Line'!$L$2:$L$4001,$X351))</f>
        <v/>
      </c>
      <c r="K351" s="20" t="str">
        <f aca="false">IF($X351="","",INDEX('Per Line'!$M$2:$M$4001,$X351))</f>
        <v/>
      </c>
      <c r="L351" s="22" t="str">
        <f aca="false">IF($X351="","",K351*V351/100)</f>
        <v/>
      </c>
      <c r="M351" s="20" t="str">
        <f aca="false">IF($X351="","",INDEX('Per Line'!$Z$2:$Z$4001,$X351))</f>
        <v/>
      </c>
      <c r="N351" s="23" t="str">
        <f aca="false">IF($X351="","",Settings!$C$7)</f>
        <v/>
      </c>
      <c r="O351" s="22" t="str">
        <f aca="false">IF($X351="","",SUMIFS('Per Line'!$Y$2:$Y$4001,'Per Line'!$D$2:$D$4001,$B351,'Per Line'!$AJ$2:$AJ$4001,0))</f>
        <v/>
      </c>
      <c r="P351" s="22" t="str">
        <f aca="false">IF($X351="","",O351*N351)</f>
        <v/>
      </c>
      <c r="Q351" s="23" t="str">
        <f aca="false">IF($X351="","",Settings!$C$6)</f>
        <v/>
      </c>
      <c r="R351" s="22" t="str">
        <f aca="false">IF($X351="","",SUMIFS('Per Line'!$Y$2:$Y$4001,'Per Line'!$D$2:$D$4001,$B351,'Per Line'!$AJ$2:$AJ$4001,1))</f>
        <v/>
      </c>
      <c r="S351" s="22" t="str">
        <f aca="false">IF($X351="","",R351*Q351)</f>
        <v/>
      </c>
      <c r="T351" s="22" t="str">
        <f aca="false">IF($X351="","",S351+P351)</f>
        <v/>
      </c>
      <c r="U351" s="22" t="str">
        <f aca="false">IF($X351="","",V351-T351)</f>
        <v/>
      </c>
      <c r="V351" s="22" t="str">
        <f aca="false">IF($X351="","",O351+R351)</f>
        <v/>
      </c>
      <c r="W351" s="22" t="str">
        <f aca="false">IF($X351="","",U351-L351)</f>
        <v/>
      </c>
      <c r="X351" s="24" t="str">
        <f aca="false">IF(ROWS($X$2:$X351)&lt;=MAX('Per Line'!$AI$2:$AI$4001),MATCH(ROWS($X$2:$X351),'Per Line'!$AI$2:$AI$4001,0),"")</f>
        <v/>
      </c>
    </row>
    <row r="352" customFormat="false" ht="15" hidden="false" customHeight="false" outlineLevel="0" collapsed="false">
      <c r="A352" s="19"/>
      <c r="B352" s="20" t="str">
        <f aca="false">IF($X352="","",INDEX('Per Line'!$D$2:$D$4001,$X352))</f>
        <v/>
      </c>
      <c r="C352" s="20" t="str">
        <f aca="false">IF($X352="","",INDEX('Per Line'!$C$2:$C$4001,$X352))</f>
        <v/>
      </c>
      <c r="D352" s="20" t="str">
        <f aca="false">IF($X352="","",INDEX('Per Line'!$A$2:$A$4001,$X352))</f>
        <v/>
      </c>
      <c r="E352" s="21" t="str">
        <f aca="false">IF($X352="","",INDEX('Per Line'!$F$2:$F$4001,$X352))</f>
        <v/>
      </c>
      <c r="F352" s="20" t="str">
        <f aca="false">IF($X352="","",INDEX('Per Line'!$G$2:$G$4001,$X352))</f>
        <v/>
      </c>
      <c r="G352" s="20" t="str">
        <f aca="false">IF($X352="","",INDEX('Per Line'!$I$2:$I$4001,$X352))</f>
        <v/>
      </c>
      <c r="H352" s="20" t="str">
        <f aca="false">IF($X352="","",INDEX('Per Line'!$J$2:$J$4001,$X352))</f>
        <v/>
      </c>
      <c r="I352" s="20" t="str">
        <f aca="false">IF($X352="","",INDEX('Per Line'!$K$2:$K$4001,$X352))</f>
        <v/>
      </c>
      <c r="J352" s="20" t="str">
        <f aca="false">IF($X352="","",INDEX('Per Line'!$L$2:$L$4001,$X352))</f>
        <v/>
      </c>
      <c r="K352" s="20" t="str">
        <f aca="false">IF($X352="","",INDEX('Per Line'!$M$2:$M$4001,$X352))</f>
        <v/>
      </c>
      <c r="L352" s="22" t="str">
        <f aca="false">IF($X352="","",K352*V352/100)</f>
        <v/>
      </c>
      <c r="M352" s="20" t="str">
        <f aca="false">IF($X352="","",INDEX('Per Line'!$Z$2:$Z$4001,$X352))</f>
        <v/>
      </c>
      <c r="N352" s="23" t="str">
        <f aca="false">IF($X352="","",Settings!$C$7)</f>
        <v/>
      </c>
      <c r="O352" s="22" t="str">
        <f aca="false">IF($X352="","",SUMIFS('Per Line'!$Y$2:$Y$4001,'Per Line'!$D$2:$D$4001,$B352,'Per Line'!$AJ$2:$AJ$4001,0))</f>
        <v/>
      </c>
      <c r="P352" s="22" t="str">
        <f aca="false">IF($X352="","",O352*N352)</f>
        <v/>
      </c>
      <c r="Q352" s="23" t="str">
        <f aca="false">IF($X352="","",Settings!$C$6)</f>
        <v/>
      </c>
      <c r="R352" s="22" t="str">
        <f aca="false">IF($X352="","",SUMIFS('Per Line'!$Y$2:$Y$4001,'Per Line'!$D$2:$D$4001,$B352,'Per Line'!$AJ$2:$AJ$4001,1))</f>
        <v/>
      </c>
      <c r="S352" s="22" t="str">
        <f aca="false">IF($X352="","",R352*Q352)</f>
        <v/>
      </c>
      <c r="T352" s="22" t="str">
        <f aca="false">IF($X352="","",S352+P352)</f>
        <v/>
      </c>
      <c r="U352" s="22" t="str">
        <f aca="false">IF($X352="","",V352-T352)</f>
        <v/>
      </c>
      <c r="V352" s="22" t="str">
        <f aca="false">IF($X352="","",O352+R352)</f>
        <v/>
      </c>
      <c r="W352" s="22" t="str">
        <f aca="false">IF($X352="","",U352-L352)</f>
        <v/>
      </c>
      <c r="X352" s="24" t="str">
        <f aca="false">IF(ROWS($X$2:$X352)&lt;=MAX('Per Line'!$AI$2:$AI$4001),MATCH(ROWS($X$2:$X352),'Per Line'!$AI$2:$AI$4001,0),"")</f>
        <v/>
      </c>
    </row>
    <row r="353" customFormat="false" ht="15" hidden="false" customHeight="false" outlineLevel="0" collapsed="false">
      <c r="A353" s="19"/>
      <c r="B353" s="20" t="str">
        <f aca="false">IF($X353="","",INDEX('Per Line'!$D$2:$D$4001,$X353))</f>
        <v/>
      </c>
      <c r="C353" s="20" t="str">
        <f aca="false">IF($X353="","",INDEX('Per Line'!$C$2:$C$4001,$X353))</f>
        <v/>
      </c>
      <c r="D353" s="20" t="str">
        <f aca="false">IF($X353="","",INDEX('Per Line'!$A$2:$A$4001,$X353))</f>
        <v/>
      </c>
      <c r="E353" s="21" t="str">
        <f aca="false">IF($X353="","",INDEX('Per Line'!$F$2:$F$4001,$X353))</f>
        <v/>
      </c>
      <c r="F353" s="20" t="str">
        <f aca="false">IF($X353="","",INDEX('Per Line'!$G$2:$G$4001,$X353))</f>
        <v/>
      </c>
      <c r="G353" s="20" t="str">
        <f aca="false">IF($X353="","",INDEX('Per Line'!$I$2:$I$4001,$X353))</f>
        <v/>
      </c>
      <c r="H353" s="20" t="str">
        <f aca="false">IF($X353="","",INDEX('Per Line'!$J$2:$J$4001,$X353))</f>
        <v/>
      </c>
      <c r="I353" s="20" t="str">
        <f aca="false">IF($X353="","",INDEX('Per Line'!$K$2:$K$4001,$X353))</f>
        <v/>
      </c>
      <c r="J353" s="20" t="str">
        <f aca="false">IF($X353="","",INDEX('Per Line'!$L$2:$L$4001,$X353))</f>
        <v/>
      </c>
      <c r="K353" s="20" t="str">
        <f aca="false">IF($X353="","",INDEX('Per Line'!$M$2:$M$4001,$X353))</f>
        <v/>
      </c>
      <c r="L353" s="22" t="str">
        <f aca="false">IF($X353="","",K353*V353/100)</f>
        <v/>
      </c>
      <c r="M353" s="20" t="str">
        <f aca="false">IF($X353="","",INDEX('Per Line'!$Z$2:$Z$4001,$X353))</f>
        <v/>
      </c>
      <c r="N353" s="23" t="str">
        <f aca="false">IF($X353="","",Settings!$C$7)</f>
        <v/>
      </c>
      <c r="O353" s="22" t="str">
        <f aca="false">IF($X353="","",SUMIFS('Per Line'!$Y$2:$Y$4001,'Per Line'!$D$2:$D$4001,$B353,'Per Line'!$AJ$2:$AJ$4001,0))</f>
        <v/>
      </c>
      <c r="P353" s="22" t="str">
        <f aca="false">IF($X353="","",O353*N353)</f>
        <v/>
      </c>
      <c r="Q353" s="23" t="str">
        <f aca="false">IF($X353="","",Settings!$C$6)</f>
        <v/>
      </c>
      <c r="R353" s="22" t="str">
        <f aca="false">IF($X353="","",SUMIFS('Per Line'!$Y$2:$Y$4001,'Per Line'!$D$2:$D$4001,$B353,'Per Line'!$AJ$2:$AJ$4001,1))</f>
        <v/>
      </c>
      <c r="S353" s="22" t="str">
        <f aca="false">IF($X353="","",R353*Q353)</f>
        <v/>
      </c>
      <c r="T353" s="22" t="str">
        <f aca="false">IF($X353="","",S353+P353)</f>
        <v/>
      </c>
      <c r="U353" s="22" t="str">
        <f aca="false">IF($X353="","",V353-T353)</f>
        <v/>
      </c>
      <c r="V353" s="22" t="str">
        <f aca="false">IF($X353="","",O353+R353)</f>
        <v/>
      </c>
      <c r="W353" s="22" t="str">
        <f aca="false">IF($X353="","",U353-L353)</f>
        <v/>
      </c>
      <c r="X353" s="24" t="str">
        <f aca="false">IF(ROWS($X$2:$X353)&lt;=MAX('Per Line'!$AI$2:$AI$4001),MATCH(ROWS($X$2:$X353),'Per Line'!$AI$2:$AI$4001,0),"")</f>
        <v/>
      </c>
    </row>
    <row r="354" customFormat="false" ht="15" hidden="false" customHeight="false" outlineLevel="0" collapsed="false">
      <c r="A354" s="19"/>
      <c r="B354" s="20" t="str">
        <f aca="false">IF($X354="","",INDEX('Per Line'!$D$2:$D$4001,$X354))</f>
        <v/>
      </c>
      <c r="C354" s="20" t="str">
        <f aca="false">IF($X354="","",INDEX('Per Line'!$C$2:$C$4001,$X354))</f>
        <v/>
      </c>
      <c r="D354" s="20" t="str">
        <f aca="false">IF($X354="","",INDEX('Per Line'!$A$2:$A$4001,$X354))</f>
        <v/>
      </c>
      <c r="E354" s="21" t="str">
        <f aca="false">IF($X354="","",INDEX('Per Line'!$F$2:$F$4001,$X354))</f>
        <v/>
      </c>
      <c r="F354" s="20" t="str">
        <f aca="false">IF($X354="","",INDEX('Per Line'!$G$2:$G$4001,$X354))</f>
        <v/>
      </c>
      <c r="G354" s="20" t="str">
        <f aca="false">IF($X354="","",INDEX('Per Line'!$I$2:$I$4001,$X354))</f>
        <v/>
      </c>
      <c r="H354" s="20" t="str">
        <f aca="false">IF($X354="","",INDEX('Per Line'!$J$2:$J$4001,$X354))</f>
        <v/>
      </c>
      <c r="I354" s="20" t="str">
        <f aca="false">IF($X354="","",INDEX('Per Line'!$K$2:$K$4001,$X354))</f>
        <v/>
      </c>
      <c r="J354" s="20" t="str">
        <f aca="false">IF($X354="","",INDEX('Per Line'!$L$2:$L$4001,$X354))</f>
        <v/>
      </c>
      <c r="K354" s="20" t="str">
        <f aca="false">IF($X354="","",INDEX('Per Line'!$M$2:$M$4001,$X354))</f>
        <v/>
      </c>
      <c r="L354" s="22" t="str">
        <f aca="false">IF($X354="","",K354*V354/100)</f>
        <v/>
      </c>
      <c r="M354" s="20" t="str">
        <f aca="false">IF($X354="","",INDEX('Per Line'!$Z$2:$Z$4001,$X354))</f>
        <v/>
      </c>
      <c r="N354" s="23" t="str">
        <f aca="false">IF($X354="","",Settings!$C$7)</f>
        <v/>
      </c>
      <c r="O354" s="22" t="str">
        <f aca="false">IF($X354="","",SUMIFS('Per Line'!$Y$2:$Y$4001,'Per Line'!$D$2:$D$4001,$B354,'Per Line'!$AJ$2:$AJ$4001,0))</f>
        <v/>
      </c>
      <c r="P354" s="22" t="str">
        <f aca="false">IF($X354="","",O354*N354)</f>
        <v/>
      </c>
      <c r="Q354" s="23" t="str">
        <f aca="false">IF($X354="","",Settings!$C$6)</f>
        <v/>
      </c>
      <c r="R354" s="22" t="str">
        <f aca="false">IF($X354="","",SUMIFS('Per Line'!$Y$2:$Y$4001,'Per Line'!$D$2:$D$4001,$B354,'Per Line'!$AJ$2:$AJ$4001,1))</f>
        <v/>
      </c>
      <c r="S354" s="22" t="str">
        <f aca="false">IF($X354="","",R354*Q354)</f>
        <v/>
      </c>
      <c r="T354" s="22" t="str">
        <f aca="false">IF($X354="","",S354+P354)</f>
        <v/>
      </c>
      <c r="U354" s="22" t="str">
        <f aca="false">IF($X354="","",V354-T354)</f>
        <v/>
      </c>
      <c r="V354" s="22" t="str">
        <f aca="false">IF($X354="","",O354+R354)</f>
        <v/>
      </c>
      <c r="W354" s="22" t="str">
        <f aca="false">IF($X354="","",U354-L354)</f>
        <v/>
      </c>
      <c r="X354" s="24" t="str">
        <f aca="false">IF(ROWS($X$2:$X354)&lt;=MAX('Per Line'!$AI$2:$AI$4001),MATCH(ROWS($X$2:$X354),'Per Line'!$AI$2:$AI$4001,0),"")</f>
        <v/>
      </c>
    </row>
    <row r="355" customFormat="false" ht="15" hidden="false" customHeight="false" outlineLevel="0" collapsed="false">
      <c r="A355" s="19"/>
      <c r="B355" s="20" t="str">
        <f aca="false">IF($X355="","",INDEX('Per Line'!$D$2:$D$4001,$X355))</f>
        <v/>
      </c>
      <c r="C355" s="20" t="str">
        <f aca="false">IF($X355="","",INDEX('Per Line'!$C$2:$C$4001,$X355))</f>
        <v/>
      </c>
      <c r="D355" s="20" t="str">
        <f aca="false">IF($X355="","",INDEX('Per Line'!$A$2:$A$4001,$X355))</f>
        <v/>
      </c>
      <c r="E355" s="21" t="str">
        <f aca="false">IF($X355="","",INDEX('Per Line'!$F$2:$F$4001,$X355))</f>
        <v/>
      </c>
      <c r="F355" s="20" t="str">
        <f aca="false">IF($X355="","",INDEX('Per Line'!$G$2:$G$4001,$X355))</f>
        <v/>
      </c>
      <c r="G355" s="20" t="str">
        <f aca="false">IF($X355="","",INDEX('Per Line'!$I$2:$I$4001,$X355))</f>
        <v/>
      </c>
      <c r="H355" s="20" t="str">
        <f aca="false">IF($X355="","",INDEX('Per Line'!$J$2:$J$4001,$X355))</f>
        <v/>
      </c>
      <c r="I355" s="20" t="str">
        <f aca="false">IF($X355="","",INDEX('Per Line'!$K$2:$K$4001,$X355))</f>
        <v/>
      </c>
      <c r="J355" s="20" t="str">
        <f aca="false">IF($X355="","",INDEX('Per Line'!$L$2:$L$4001,$X355))</f>
        <v/>
      </c>
      <c r="K355" s="20" t="str">
        <f aca="false">IF($X355="","",INDEX('Per Line'!$M$2:$M$4001,$X355))</f>
        <v/>
      </c>
      <c r="L355" s="22" t="str">
        <f aca="false">IF($X355="","",K355*V355/100)</f>
        <v/>
      </c>
      <c r="M355" s="20" t="str">
        <f aca="false">IF($X355="","",INDEX('Per Line'!$Z$2:$Z$4001,$X355))</f>
        <v/>
      </c>
      <c r="N355" s="23" t="str">
        <f aca="false">IF($X355="","",Settings!$C$7)</f>
        <v/>
      </c>
      <c r="O355" s="22" t="str">
        <f aca="false">IF($X355="","",SUMIFS('Per Line'!$Y$2:$Y$4001,'Per Line'!$D$2:$D$4001,$B355,'Per Line'!$AJ$2:$AJ$4001,0))</f>
        <v/>
      </c>
      <c r="P355" s="22" t="str">
        <f aca="false">IF($X355="","",O355*N355)</f>
        <v/>
      </c>
      <c r="Q355" s="23" t="str">
        <f aca="false">IF($X355="","",Settings!$C$6)</f>
        <v/>
      </c>
      <c r="R355" s="22" t="str">
        <f aca="false">IF($X355="","",SUMIFS('Per Line'!$Y$2:$Y$4001,'Per Line'!$D$2:$D$4001,$B355,'Per Line'!$AJ$2:$AJ$4001,1))</f>
        <v/>
      </c>
      <c r="S355" s="22" t="str">
        <f aca="false">IF($X355="","",R355*Q355)</f>
        <v/>
      </c>
      <c r="T355" s="22" t="str">
        <f aca="false">IF($X355="","",S355+P355)</f>
        <v/>
      </c>
      <c r="U355" s="22" t="str">
        <f aca="false">IF($X355="","",V355-T355)</f>
        <v/>
      </c>
      <c r="V355" s="22" t="str">
        <f aca="false">IF($X355="","",O355+R355)</f>
        <v/>
      </c>
      <c r="W355" s="22" t="str">
        <f aca="false">IF($X355="","",U355-L355)</f>
        <v/>
      </c>
      <c r="X355" s="24" t="str">
        <f aca="false">IF(ROWS($X$2:$X355)&lt;=MAX('Per Line'!$AI$2:$AI$4001),MATCH(ROWS($X$2:$X355),'Per Line'!$AI$2:$AI$4001,0),"")</f>
        <v/>
      </c>
    </row>
    <row r="356" customFormat="false" ht="15" hidden="false" customHeight="false" outlineLevel="0" collapsed="false">
      <c r="A356" s="19"/>
      <c r="B356" s="20" t="str">
        <f aca="false">IF($X356="","",INDEX('Per Line'!$D$2:$D$4001,$X356))</f>
        <v/>
      </c>
      <c r="C356" s="20" t="str">
        <f aca="false">IF($X356="","",INDEX('Per Line'!$C$2:$C$4001,$X356))</f>
        <v/>
      </c>
      <c r="D356" s="20" t="str">
        <f aca="false">IF($X356="","",INDEX('Per Line'!$A$2:$A$4001,$X356))</f>
        <v/>
      </c>
      <c r="E356" s="21" t="str">
        <f aca="false">IF($X356="","",INDEX('Per Line'!$F$2:$F$4001,$X356))</f>
        <v/>
      </c>
      <c r="F356" s="20" t="str">
        <f aca="false">IF($X356="","",INDEX('Per Line'!$G$2:$G$4001,$X356))</f>
        <v/>
      </c>
      <c r="G356" s="20" t="str">
        <f aca="false">IF($X356="","",INDEX('Per Line'!$I$2:$I$4001,$X356))</f>
        <v/>
      </c>
      <c r="H356" s="20" t="str">
        <f aca="false">IF($X356="","",INDEX('Per Line'!$J$2:$J$4001,$X356))</f>
        <v/>
      </c>
      <c r="I356" s="20" t="str">
        <f aca="false">IF($X356="","",INDEX('Per Line'!$K$2:$K$4001,$X356))</f>
        <v/>
      </c>
      <c r="J356" s="20" t="str">
        <f aca="false">IF($X356="","",INDEX('Per Line'!$L$2:$L$4001,$X356))</f>
        <v/>
      </c>
      <c r="K356" s="20" t="str">
        <f aca="false">IF($X356="","",INDEX('Per Line'!$M$2:$M$4001,$X356))</f>
        <v/>
      </c>
      <c r="L356" s="22" t="str">
        <f aca="false">IF($X356="","",K356*V356/100)</f>
        <v/>
      </c>
      <c r="M356" s="20" t="str">
        <f aca="false">IF($X356="","",INDEX('Per Line'!$Z$2:$Z$4001,$X356))</f>
        <v/>
      </c>
      <c r="N356" s="23" t="str">
        <f aca="false">IF($X356="","",Settings!$C$7)</f>
        <v/>
      </c>
      <c r="O356" s="22" t="str">
        <f aca="false">IF($X356="","",SUMIFS('Per Line'!$Y$2:$Y$4001,'Per Line'!$D$2:$D$4001,$B356,'Per Line'!$AJ$2:$AJ$4001,0))</f>
        <v/>
      </c>
      <c r="P356" s="22" t="str">
        <f aca="false">IF($X356="","",O356*N356)</f>
        <v/>
      </c>
      <c r="Q356" s="23" t="str">
        <f aca="false">IF($X356="","",Settings!$C$6)</f>
        <v/>
      </c>
      <c r="R356" s="22" t="str">
        <f aca="false">IF($X356="","",SUMIFS('Per Line'!$Y$2:$Y$4001,'Per Line'!$D$2:$D$4001,$B356,'Per Line'!$AJ$2:$AJ$4001,1))</f>
        <v/>
      </c>
      <c r="S356" s="22" t="str">
        <f aca="false">IF($X356="","",R356*Q356)</f>
        <v/>
      </c>
      <c r="T356" s="22" t="str">
        <f aca="false">IF($X356="","",S356+P356)</f>
        <v/>
      </c>
      <c r="U356" s="22" t="str">
        <f aca="false">IF($X356="","",V356-T356)</f>
        <v/>
      </c>
      <c r="V356" s="22" t="str">
        <f aca="false">IF($X356="","",O356+R356)</f>
        <v/>
      </c>
      <c r="W356" s="22" t="str">
        <f aca="false">IF($X356="","",U356-L356)</f>
        <v/>
      </c>
      <c r="X356" s="24" t="str">
        <f aca="false">IF(ROWS($X$2:$X356)&lt;=MAX('Per Line'!$AI$2:$AI$4001),MATCH(ROWS($X$2:$X356),'Per Line'!$AI$2:$AI$4001,0),"")</f>
        <v/>
      </c>
    </row>
    <row r="357" customFormat="false" ht="15" hidden="false" customHeight="false" outlineLevel="0" collapsed="false">
      <c r="A357" s="19"/>
      <c r="B357" s="20" t="str">
        <f aca="false">IF($X357="","",INDEX('Per Line'!$D$2:$D$4001,$X357))</f>
        <v/>
      </c>
      <c r="C357" s="20" t="str">
        <f aca="false">IF($X357="","",INDEX('Per Line'!$C$2:$C$4001,$X357))</f>
        <v/>
      </c>
      <c r="D357" s="20" t="str">
        <f aca="false">IF($X357="","",INDEX('Per Line'!$A$2:$A$4001,$X357))</f>
        <v/>
      </c>
      <c r="E357" s="21" t="str">
        <f aca="false">IF($X357="","",INDEX('Per Line'!$F$2:$F$4001,$X357))</f>
        <v/>
      </c>
      <c r="F357" s="20" t="str">
        <f aca="false">IF($X357="","",INDEX('Per Line'!$G$2:$G$4001,$X357))</f>
        <v/>
      </c>
      <c r="G357" s="20" t="str">
        <f aca="false">IF($X357="","",INDEX('Per Line'!$I$2:$I$4001,$X357))</f>
        <v/>
      </c>
      <c r="H357" s="20" t="str">
        <f aca="false">IF($X357="","",INDEX('Per Line'!$J$2:$J$4001,$X357))</f>
        <v/>
      </c>
      <c r="I357" s="20" t="str">
        <f aca="false">IF($X357="","",INDEX('Per Line'!$K$2:$K$4001,$X357))</f>
        <v/>
      </c>
      <c r="J357" s="20" t="str">
        <f aca="false">IF($X357="","",INDEX('Per Line'!$L$2:$L$4001,$X357))</f>
        <v/>
      </c>
      <c r="K357" s="20" t="str">
        <f aca="false">IF($X357="","",INDEX('Per Line'!$M$2:$M$4001,$X357))</f>
        <v/>
      </c>
      <c r="L357" s="22" t="str">
        <f aca="false">IF($X357="","",K357*V357/100)</f>
        <v/>
      </c>
      <c r="M357" s="20" t="str">
        <f aca="false">IF($X357="","",INDEX('Per Line'!$Z$2:$Z$4001,$X357))</f>
        <v/>
      </c>
      <c r="N357" s="23" t="str">
        <f aca="false">IF($X357="","",Settings!$C$7)</f>
        <v/>
      </c>
      <c r="O357" s="22" t="str">
        <f aca="false">IF($X357="","",SUMIFS('Per Line'!$Y$2:$Y$4001,'Per Line'!$D$2:$D$4001,$B357,'Per Line'!$AJ$2:$AJ$4001,0))</f>
        <v/>
      </c>
      <c r="P357" s="22" t="str">
        <f aca="false">IF($X357="","",O357*N357)</f>
        <v/>
      </c>
      <c r="Q357" s="23" t="str">
        <f aca="false">IF($X357="","",Settings!$C$6)</f>
        <v/>
      </c>
      <c r="R357" s="22" t="str">
        <f aca="false">IF($X357="","",SUMIFS('Per Line'!$Y$2:$Y$4001,'Per Line'!$D$2:$D$4001,$B357,'Per Line'!$AJ$2:$AJ$4001,1))</f>
        <v/>
      </c>
      <c r="S357" s="22" t="str">
        <f aca="false">IF($X357="","",R357*Q357)</f>
        <v/>
      </c>
      <c r="T357" s="22" t="str">
        <f aca="false">IF($X357="","",S357+P357)</f>
        <v/>
      </c>
      <c r="U357" s="22" t="str">
        <f aca="false">IF($X357="","",V357-T357)</f>
        <v/>
      </c>
      <c r="V357" s="22" t="str">
        <f aca="false">IF($X357="","",O357+R357)</f>
        <v/>
      </c>
      <c r="W357" s="22" t="str">
        <f aca="false">IF($X357="","",U357-L357)</f>
        <v/>
      </c>
      <c r="X357" s="24" t="str">
        <f aca="false">IF(ROWS($X$2:$X357)&lt;=MAX('Per Line'!$AI$2:$AI$4001),MATCH(ROWS($X$2:$X357),'Per Line'!$AI$2:$AI$4001,0),"")</f>
        <v/>
      </c>
    </row>
    <row r="358" customFormat="false" ht="15" hidden="false" customHeight="false" outlineLevel="0" collapsed="false">
      <c r="A358" s="19"/>
      <c r="B358" s="20" t="str">
        <f aca="false">IF($X358="","",INDEX('Per Line'!$D$2:$D$4001,$X358))</f>
        <v/>
      </c>
      <c r="C358" s="20" t="str">
        <f aca="false">IF($X358="","",INDEX('Per Line'!$C$2:$C$4001,$X358))</f>
        <v/>
      </c>
      <c r="D358" s="20" t="str">
        <f aca="false">IF($X358="","",INDEX('Per Line'!$A$2:$A$4001,$X358))</f>
        <v/>
      </c>
      <c r="E358" s="21" t="str">
        <f aca="false">IF($X358="","",INDEX('Per Line'!$F$2:$F$4001,$X358))</f>
        <v/>
      </c>
      <c r="F358" s="20" t="str">
        <f aca="false">IF($X358="","",INDEX('Per Line'!$G$2:$G$4001,$X358))</f>
        <v/>
      </c>
      <c r="G358" s="20" t="str">
        <f aca="false">IF($X358="","",INDEX('Per Line'!$I$2:$I$4001,$X358))</f>
        <v/>
      </c>
      <c r="H358" s="20" t="str">
        <f aca="false">IF($X358="","",INDEX('Per Line'!$J$2:$J$4001,$X358))</f>
        <v/>
      </c>
      <c r="I358" s="20" t="str">
        <f aca="false">IF($X358="","",INDEX('Per Line'!$K$2:$K$4001,$X358))</f>
        <v/>
      </c>
      <c r="J358" s="20" t="str">
        <f aca="false">IF($X358="","",INDEX('Per Line'!$L$2:$L$4001,$X358))</f>
        <v/>
      </c>
      <c r="K358" s="20" t="str">
        <f aca="false">IF($X358="","",INDEX('Per Line'!$M$2:$M$4001,$X358))</f>
        <v/>
      </c>
      <c r="L358" s="22" t="str">
        <f aca="false">IF($X358="","",K358*V358/100)</f>
        <v/>
      </c>
      <c r="M358" s="20" t="str">
        <f aca="false">IF($X358="","",INDEX('Per Line'!$Z$2:$Z$4001,$X358))</f>
        <v/>
      </c>
      <c r="N358" s="23" t="str">
        <f aca="false">IF($X358="","",Settings!$C$7)</f>
        <v/>
      </c>
      <c r="O358" s="22" t="str">
        <f aca="false">IF($X358="","",SUMIFS('Per Line'!$Y$2:$Y$4001,'Per Line'!$D$2:$D$4001,$B358,'Per Line'!$AJ$2:$AJ$4001,0))</f>
        <v/>
      </c>
      <c r="P358" s="22" t="str">
        <f aca="false">IF($X358="","",O358*N358)</f>
        <v/>
      </c>
      <c r="Q358" s="23" t="str">
        <f aca="false">IF($X358="","",Settings!$C$6)</f>
        <v/>
      </c>
      <c r="R358" s="22" t="str">
        <f aca="false">IF($X358="","",SUMIFS('Per Line'!$Y$2:$Y$4001,'Per Line'!$D$2:$D$4001,$B358,'Per Line'!$AJ$2:$AJ$4001,1))</f>
        <v/>
      </c>
      <c r="S358" s="22" t="str">
        <f aca="false">IF($X358="","",R358*Q358)</f>
        <v/>
      </c>
      <c r="T358" s="22" t="str">
        <f aca="false">IF($X358="","",S358+P358)</f>
        <v/>
      </c>
      <c r="U358" s="22" t="str">
        <f aca="false">IF($X358="","",V358-T358)</f>
        <v/>
      </c>
      <c r="V358" s="22" t="str">
        <f aca="false">IF($X358="","",O358+R358)</f>
        <v/>
      </c>
      <c r="W358" s="22" t="str">
        <f aca="false">IF($X358="","",U358-L358)</f>
        <v/>
      </c>
      <c r="X358" s="24" t="str">
        <f aca="false">IF(ROWS($X$2:$X358)&lt;=MAX('Per Line'!$AI$2:$AI$4001),MATCH(ROWS($X$2:$X358),'Per Line'!$AI$2:$AI$4001,0),"")</f>
        <v/>
      </c>
    </row>
    <row r="359" customFormat="false" ht="15" hidden="false" customHeight="false" outlineLevel="0" collapsed="false">
      <c r="A359" s="19"/>
      <c r="B359" s="20" t="str">
        <f aca="false">IF($X359="","",INDEX('Per Line'!$D$2:$D$4001,$X359))</f>
        <v/>
      </c>
      <c r="C359" s="20" t="str">
        <f aca="false">IF($X359="","",INDEX('Per Line'!$C$2:$C$4001,$X359))</f>
        <v/>
      </c>
      <c r="D359" s="20" t="str">
        <f aca="false">IF($X359="","",INDEX('Per Line'!$A$2:$A$4001,$X359))</f>
        <v/>
      </c>
      <c r="E359" s="21" t="str">
        <f aca="false">IF($X359="","",INDEX('Per Line'!$F$2:$F$4001,$X359))</f>
        <v/>
      </c>
      <c r="F359" s="20" t="str">
        <f aca="false">IF($X359="","",INDEX('Per Line'!$G$2:$G$4001,$X359))</f>
        <v/>
      </c>
      <c r="G359" s="20" t="str">
        <f aca="false">IF($X359="","",INDEX('Per Line'!$I$2:$I$4001,$X359))</f>
        <v/>
      </c>
      <c r="H359" s="20" t="str">
        <f aca="false">IF($X359="","",INDEX('Per Line'!$J$2:$J$4001,$X359))</f>
        <v/>
      </c>
      <c r="I359" s="20" t="str">
        <f aca="false">IF($X359="","",INDEX('Per Line'!$K$2:$K$4001,$X359))</f>
        <v/>
      </c>
      <c r="J359" s="20" t="str">
        <f aca="false">IF($X359="","",INDEX('Per Line'!$L$2:$L$4001,$X359))</f>
        <v/>
      </c>
      <c r="K359" s="20" t="str">
        <f aca="false">IF($X359="","",INDEX('Per Line'!$M$2:$M$4001,$X359))</f>
        <v/>
      </c>
      <c r="L359" s="22" t="str">
        <f aca="false">IF($X359="","",K359*V359/100)</f>
        <v/>
      </c>
      <c r="M359" s="20" t="str">
        <f aca="false">IF($X359="","",INDEX('Per Line'!$Z$2:$Z$4001,$X359))</f>
        <v/>
      </c>
      <c r="N359" s="23" t="str">
        <f aca="false">IF($X359="","",Settings!$C$7)</f>
        <v/>
      </c>
      <c r="O359" s="22" t="str">
        <f aca="false">IF($X359="","",SUMIFS('Per Line'!$Y$2:$Y$4001,'Per Line'!$D$2:$D$4001,$B359,'Per Line'!$AJ$2:$AJ$4001,0))</f>
        <v/>
      </c>
      <c r="P359" s="22" t="str">
        <f aca="false">IF($X359="","",O359*N359)</f>
        <v/>
      </c>
      <c r="Q359" s="23" t="str">
        <f aca="false">IF($X359="","",Settings!$C$6)</f>
        <v/>
      </c>
      <c r="R359" s="22" t="str">
        <f aca="false">IF($X359="","",SUMIFS('Per Line'!$Y$2:$Y$4001,'Per Line'!$D$2:$D$4001,$B359,'Per Line'!$AJ$2:$AJ$4001,1))</f>
        <v/>
      </c>
      <c r="S359" s="22" t="str">
        <f aca="false">IF($X359="","",R359*Q359)</f>
        <v/>
      </c>
      <c r="T359" s="22" t="str">
        <f aca="false">IF($X359="","",S359+P359)</f>
        <v/>
      </c>
      <c r="U359" s="22" t="str">
        <f aca="false">IF($X359="","",V359-T359)</f>
        <v/>
      </c>
      <c r="V359" s="22" t="str">
        <f aca="false">IF($X359="","",O359+R359)</f>
        <v/>
      </c>
      <c r="W359" s="22" t="str">
        <f aca="false">IF($X359="","",U359-L359)</f>
        <v/>
      </c>
      <c r="X359" s="24" t="str">
        <f aca="false">IF(ROWS($X$2:$X359)&lt;=MAX('Per Line'!$AI$2:$AI$4001),MATCH(ROWS($X$2:$X359),'Per Line'!$AI$2:$AI$4001,0),"")</f>
        <v/>
      </c>
    </row>
    <row r="360" customFormat="false" ht="15" hidden="false" customHeight="false" outlineLevel="0" collapsed="false">
      <c r="A360" s="19"/>
      <c r="B360" s="20" t="str">
        <f aca="false">IF($X360="","",INDEX('Per Line'!$D$2:$D$4001,$X360))</f>
        <v/>
      </c>
      <c r="C360" s="20" t="str">
        <f aca="false">IF($X360="","",INDEX('Per Line'!$C$2:$C$4001,$X360))</f>
        <v/>
      </c>
      <c r="D360" s="20" t="str">
        <f aca="false">IF($X360="","",INDEX('Per Line'!$A$2:$A$4001,$X360))</f>
        <v/>
      </c>
      <c r="E360" s="21" t="str">
        <f aca="false">IF($X360="","",INDEX('Per Line'!$F$2:$F$4001,$X360))</f>
        <v/>
      </c>
      <c r="F360" s="20" t="str">
        <f aca="false">IF($X360="","",INDEX('Per Line'!$G$2:$G$4001,$X360))</f>
        <v/>
      </c>
      <c r="G360" s="20" t="str">
        <f aca="false">IF($X360="","",INDEX('Per Line'!$I$2:$I$4001,$X360))</f>
        <v/>
      </c>
      <c r="H360" s="20" t="str">
        <f aca="false">IF($X360="","",INDEX('Per Line'!$J$2:$J$4001,$X360))</f>
        <v/>
      </c>
      <c r="I360" s="20" t="str">
        <f aca="false">IF($X360="","",INDEX('Per Line'!$K$2:$K$4001,$X360))</f>
        <v/>
      </c>
      <c r="J360" s="20" t="str">
        <f aca="false">IF($X360="","",INDEX('Per Line'!$L$2:$L$4001,$X360))</f>
        <v/>
      </c>
      <c r="K360" s="20" t="str">
        <f aca="false">IF($X360="","",INDEX('Per Line'!$M$2:$M$4001,$X360))</f>
        <v/>
      </c>
      <c r="L360" s="22" t="str">
        <f aca="false">IF($X360="","",K360*V360/100)</f>
        <v/>
      </c>
      <c r="M360" s="20" t="str">
        <f aca="false">IF($X360="","",INDEX('Per Line'!$Z$2:$Z$4001,$X360))</f>
        <v/>
      </c>
      <c r="N360" s="23" t="str">
        <f aca="false">IF($X360="","",Settings!$C$7)</f>
        <v/>
      </c>
      <c r="O360" s="22" t="str">
        <f aca="false">IF($X360="","",SUMIFS('Per Line'!$Y$2:$Y$4001,'Per Line'!$D$2:$D$4001,$B360,'Per Line'!$AJ$2:$AJ$4001,0))</f>
        <v/>
      </c>
      <c r="P360" s="22" t="str">
        <f aca="false">IF($X360="","",O360*N360)</f>
        <v/>
      </c>
      <c r="Q360" s="23" t="str">
        <f aca="false">IF($X360="","",Settings!$C$6)</f>
        <v/>
      </c>
      <c r="R360" s="22" t="str">
        <f aca="false">IF($X360="","",SUMIFS('Per Line'!$Y$2:$Y$4001,'Per Line'!$D$2:$D$4001,$B360,'Per Line'!$AJ$2:$AJ$4001,1))</f>
        <v/>
      </c>
      <c r="S360" s="22" t="str">
        <f aca="false">IF($X360="","",R360*Q360)</f>
        <v/>
      </c>
      <c r="T360" s="22" t="str">
        <f aca="false">IF($X360="","",S360+P360)</f>
        <v/>
      </c>
      <c r="U360" s="22" t="str">
        <f aca="false">IF($X360="","",V360-T360)</f>
        <v/>
      </c>
      <c r="V360" s="22" t="str">
        <f aca="false">IF($X360="","",O360+R360)</f>
        <v/>
      </c>
      <c r="W360" s="22" t="str">
        <f aca="false">IF($X360="","",U360-L360)</f>
        <v/>
      </c>
      <c r="X360" s="24" t="str">
        <f aca="false">IF(ROWS($X$2:$X360)&lt;=MAX('Per Line'!$AI$2:$AI$4001),MATCH(ROWS($X$2:$X360),'Per Line'!$AI$2:$AI$4001,0),"")</f>
        <v/>
      </c>
    </row>
    <row r="361" customFormat="false" ht="15" hidden="false" customHeight="false" outlineLevel="0" collapsed="false">
      <c r="A361" s="19"/>
      <c r="B361" s="20" t="str">
        <f aca="false">IF($X361="","",INDEX('Per Line'!$D$2:$D$4001,$X361))</f>
        <v/>
      </c>
      <c r="C361" s="20" t="str">
        <f aca="false">IF($X361="","",INDEX('Per Line'!$C$2:$C$4001,$X361))</f>
        <v/>
      </c>
      <c r="D361" s="20" t="str">
        <f aca="false">IF($X361="","",INDEX('Per Line'!$A$2:$A$4001,$X361))</f>
        <v/>
      </c>
      <c r="E361" s="21" t="str">
        <f aca="false">IF($X361="","",INDEX('Per Line'!$F$2:$F$4001,$X361))</f>
        <v/>
      </c>
      <c r="F361" s="20" t="str">
        <f aca="false">IF($X361="","",INDEX('Per Line'!$G$2:$G$4001,$X361))</f>
        <v/>
      </c>
      <c r="G361" s="20" t="str">
        <f aca="false">IF($X361="","",INDEX('Per Line'!$I$2:$I$4001,$X361))</f>
        <v/>
      </c>
      <c r="H361" s="20" t="str">
        <f aca="false">IF($X361="","",INDEX('Per Line'!$J$2:$J$4001,$X361))</f>
        <v/>
      </c>
      <c r="I361" s="20" t="str">
        <f aca="false">IF($X361="","",INDEX('Per Line'!$K$2:$K$4001,$X361))</f>
        <v/>
      </c>
      <c r="J361" s="20" t="str">
        <f aca="false">IF($X361="","",INDEX('Per Line'!$L$2:$L$4001,$X361))</f>
        <v/>
      </c>
      <c r="K361" s="20" t="str">
        <f aca="false">IF($X361="","",INDEX('Per Line'!$M$2:$M$4001,$X361))</f>
        <v/>
      </c>
      <c r="L361" s="22" t="str">
        <f aca="false">IF($X361="","",K361*V361/100)</f>
        <v/>
      </c>
      <c r="M361" s="20" t="str">
        <f aca="false">IF($X361="","",INDEX('Per Line'!$Z$2:$Z$4001,$X361))</f>
        <v/>
      </c>
      <c r="N361" s="23" t="str">
        <f aca="false">IF($X361="","",Settings!$C$7)</f>
        <v/>
      </c>
      <c r="O361" s="22" t="str">
        <f aca="false">IF($X361="","",SUMIFS('Per Line'!$Y$2:$Y$4001,'Per Line'!$D$2:$D$4001,$B361,'Per Line'!$AJ$2:$AJ$4001,0))</f>
        <v/>
      </c>
      <c r="P361" s="22" t="str">
        <f aca="false">IF($X361="","",O361*N361)</f>
        <v/>
      </c>
      <c r="Q361" s="23" t="str">
        <f aca="false">IF($X361="","",Settings!$C$6)</f>
        <v/>
      </c>
      <c r="R361" s="22" t="str">
        <f aca="false">IF($X361="","",SUMIFS('Per Line'!$Y$2:$Y$4001,'Per Line'!$D$2:$D$4001,$B361,'Per Line'!$AJ$2:$AJ$4001,1))</f>
        <v/>
      </c>
      <c r="S361" s="22" t="str">
        <f aca="false">IF($X361="","",R361*Q361)</f>
        <v/>
      </c>
      <c r="T361" s="22" t="str">
        <f aca="false">IF($X361="","",S361+P361)</f>
        <v/>
      </c>
      <c r="U361" s="22" t="str">
        <f aca="false">IF($X361="","",V361-T361)</f>
        <v/>
      </c>
      <c r="V361" s="22" t="str">
        <f aca="false">IF($X361="","",O361+R361)</f>
        <v/>
      </c>
      <c r="W361" s="22" t="str">
        <f aca="false">IF($X361="","",U361-L361)</f>
        <v/>
      </c>
      <c r="X361" s="24" t="str">
        <f aca="false">IF(ROWS($X$2:$X361)&lt;=MAX('Per Line'!$AI$2:$AI$4001),MATCH(ROWS($X$2:$X361),'Per Line'!$AI$2:$AI$4001,0),"")</f>
        <v/>
      </c>
    </row>
    <row r="362" customFormat="false" ht="15" hidden="false" customHeight="false" outlineLevel="0" collapsed="false">
      <c r="A362" s="19"/>
      <c r="B362" s="20" t="str">
        <f aca="false">IF($X362="","",INDEX('Per Line'!$D$2:$D$4001,$X362))</f>
        <v/>
      </c>
      <c r="C362" s="20" t="str">
        <f aca="false">IF($X362="","",INDEX('Per Line'!$C$2:$C$4001,$X362))</f>
        <v/>
      </c>
      <c r="D362" s="20" t="str">
        <f aca="false">IF($X362="","",INDEX('Per Line'!$A$2:$A$4001,$X362))</f>
        <v/>
      </c>
      <c r="E362" s="21" t="str">
        <f aca="false">IF($X362="","",INDEX('Per Line'!$F$2:$F$4001,$X362))</f>
        <v/>
      </c>
      <c r="F362" s="20" t="str">
        <f aca="false">IF($X362="","",INDEX('Per Line'!$G$2:$G$4001,$X362))</f>
        <v/>
      </c>
      <c r="G362" s="20" t="str">
        <f aca="false">IF($X362="","",INDEX('Per Line'!$I$2:$I$4001,$X362))</f>
        <v/>
      </c>
      <c r="H362" s="20" t="str">
        <f aca="false">IF($X362="","",INDEX('Per Line'!$J$2:$J$4001,$X362))</f>
        <v/>
      </c>
      <c r="I362" s="20" t="str">
        <f aca="false">IF($X362="","",INDEX('Per Line'!$K$2:$K$4001,$X362))</f>
        <v/>
      </c>
      <c r="J362" s="20" t="str">
        <f aca="false">IF($X362="","",INDEX('Per Line'!$L$2:$L$4001,$X362))</f>
        <v/>
      </c>
      <c r="K362" s="20" t="str">
        <f aca="false">IF($X362="","",INDEX('Per Line'!$M$2:$M$4001,$X362))</f>
        <v/>
      </c>
      <c r="L362" s="22" t="str">
        <f aca="false">IF($X362="","",K362*V362/100)</f>
        <v/>
      </c>
      <c r="M362" s="20" t="str">
        <f aca="false">IF($X362="","",INDEX('Per Line'!$Z$2:$Z$4001,$X362))</f>
        <v/>
      </c>
      <c r="N362" s="23" t="str">
        <f aca="false">IF($X362="","",Settings!$C$7)</f>
        <v/>
      </c>
      <c r="O362" s="22" t="str">
        <f aca="false">IF($X362="","",SUMIFS('Per Line'!$Y$2:$Y$4001,'Per Line'!$D$2:$D$4001,$B362,'Per Line'!$AJ$2:$AJ$4001,0))</f>
        <v/>
      </c>
      <c r="P362" s="22" t="str">
        <f aca="false">IF($X362="","",O362*N362)</f>
        <v/>
      </c>
      <c r="Q362" s="23" t="str">
        <f aca="false">IF($X362="","",Settings!$C$6)</f>
        <v/>
      </c>
      <c r="R362" s="22" t="str">
        <f aca="false">IF($X362="","",SUMIFS('Per Line'!$Y$2:$Y$4001,'Per Line'!$D$2:$D$4001,$B362,'Per Line'!$AJ$2:$AJ$4001,1))</f>
        <v/>
      </c>
      <c r="S362" s="22" t="str">
        <f aca="false">IF($X362="","",R362*Q362)</f>
        <v/>
      </c>
      <c r="T362" s="22" t="str">
        <f aca="false">IF($X362="","",S362+P362)</f>
        <v/>
      </c>
      <c r="U362" s="22" t="str">
        <f aca="false">IF($X362="","",V362-T362)</f>
        <v/>
      </c>
      <c r="V362" s="22" t="str">
        <f aca="false">IF($X362="","",O362+R362)</f>
        <v/>
      </c>
      <c r="W362" s="22" t="str">
        <f aca="false">IF($X362="","",U362-L362)</f>
        <v/>
      </c>
      <c r="X362" s="24" t="str">
        <f aca="false">IF(ROWS($X$2:$X362)&lt;=MAX('Per Line'!$AI$2:$AI$4001),MATCH(ROWS($X$2:$X362),'Per Line'!$AI$2:$AI$4001,0),"")</f>
        <v/>
      </c>
    </row>
    <row r="363" customFormat="false" ht="15" hidden="false" customHeight="false" outlineLevel="0" collapsed="false">
      <c r="A363" s="19"/>
      <c r="B363" s="20" t="str">
        <f aca="false">IF($X363="","",INDEX('Per Line'!$D$2:$D$4001,$X363))</f>
        <v/>
      </c>
      <c r="C363" s="20" t="str">
        <f aca="false">IF($X363="","",INDEX('Per Line'!$C$2:$C$4001,$X363))</f>
        <v/>
      </c>
      <c r="D363" s="20" t="str">
        <f aca="false">IF($X363="","",INDEX('Per Line'!$A$2:$A$4001,$X363))</f>
        <v/>
      </c>
      <c r="E363" s="21" t="str">
        <f aca="false">IF($X363="","",INDEX('Per Line'!$F$2:$F$4001,$X363))</f>
        <v/>
      </c>
      <c r="F363" s="20" t="str">
        <f aca="false">IF($X363="","",INDEX('Per Line'!$G$2:$G$4001,$X363))</f>
        <v/>
      </c>
      <c r="G363" s="20" t="str">
        <f aca="false">IF($X363="","",INDEX('Per Line'!$I$2:$I$4001,$X363))</f>
        <v/>
      </c>
      <c r="H363" s="20" t="str">
        <f aca="false">IF($X363="","",INDEX('Per Line'!$J$2:$J$4001,$X363))</f>
        <v/>
      </c>
      <c r="I363" s="20" t="str">
        <f aca="false">IF($X363="","",INDEX('Per Line'!$K$2:$K$4001,$X363))</f>
        <v/>
      </c>
      <c r="J363" s="20" t="str">
        <f aca="false">IF($X363="","",INDEX('Per Line'!$L$2:$L$4001,$X363))</f>
        <v/>
      </c>
      <c r="K363" s="20" t="str">
        <f aca="false">IF($X363="","",INDEX('Per Line'!$M$2:$M$4001,$X363))</f>
        <v/>
      </c>
      <c r="L363" s="22" t="str">
        <f aca="false">IF($X363="","",K363*V363/100)</f>
        <v/>
      </c>
      <c r="M363" s="20" t="str">
        <f aca="false">IF($X363="","",INDEX('Per Line'!$Z$2:$Z$4001,$X363))</f>
        <v/>
      </c>
      <c r="N363" s="23" t="str">
        <f aca="false">IF($X363="","",Settings!$C$7)</f>
        <v/>
      </c>
      <c r="O363" s="22" t="str">
        <f aca="false">IF($X363="","",SUMIFS('Per Line'!$Y$2:$Y$4001,'Per Line'!$D$2:$D$4001,$B363,'Per Line'!$AJ$2:$AJ$4001,0))</f>
        <v/>
      </c>
      <c r="P363" s="22" t="str">
        <f aca="false">IF($X363="","",O363*N363)</f>
        <v/>
      </c>
      <c r="Q363" s="23" t="str">
        <f aca="false">IF($X363="","",Settings!$C$6)</f>
        <v/>
      </c>
      <c r="R363" s="22" t="str">
        <f aca="false">IF($X363="","",SUMIFS('Per Line'!$Y$2:$Y$4001,'Per Line'!$D$2:$D$4001,$B363,'Per Line'!$AJ$2:$AJ$4001,1))</f>
        <v/>
      </c>
      <c r="S363" s="22" t="str">
        <f aca="false">IF($X363="","",R363*Q363)</f>
        <v/>
      </c>
      <c r="T363" s="22" t="str">
        <f aca="false">IF($X363="","",S363+P363)</f>
        <v/>
      </c>
      <c r="U363" s="22" t="str">
        <f aca="false">IF($X363="","",V363-T363)</f>
        <v/>
      </c>
      <c r="V363" s="22" t="str">
        <f aca="false">IF($X363="","",O363+R363)</f>
        <v/>
      </c>
      <c r="W363" s="22" t="str">
        <f aca="false">IF($X363="","",U363-L363)</f>
        <v/>
      </c>
      <c r="X363" s="24" t="str">
        <f aca="false">IF(ROWS($X$2:$X363)&lt;=MAX('Per Line'!$AI$2:$AI$4001),MATCH(ROWS($X$2:$X363),'Per Line'!$AI$2:$AI$4001,0),"")</f>
        <v/>
      </c>
    </row>
    <row r="364" customFormat="false" ht="15" hidden="false" customHeight="false" outlineLevel="0" collapsed="false">
      <c r="A364" s="19"/>
      <c r="B364" s="20" t="str">
        <f aca="false">IF($X364="","",INDEX('Per Line'!$D$2:$D$4001,$X364))</f>
        <v/>
      </c>
      <c r="C364" s="20" t="str">
        <f aca="false">IF($X364="","",INDEX('Per Line'!$C$2:$C$4001,$X364))</f>
        <v/>
      </c>
      <c r="D364" s="20" t="str">
        <f aca="false">IF($X364="","",INDEX('Per Line'!$A$2:$A$4001,$X364))</f>
        <v/>
      </c>
      <c r="E364" s="21" t="str">
        <f aca="false">IF($X364="","",INDEX('Per Line'!$F$2:$F$4001,$X364))</f>
        <v/>
      </c>
      <c r="F364" s="20" t="str">
        <f aca="false">IF($X364="","",INDEX('Per Line'!$G$2:$G$4001,$X364))</f>
        <v/>
      </c>
      <c r="G364" s="20" t="str">
        <f aca="false">IF($X364="","",INDEX('Per Line'!$I$2:$I$4001,$X364))</f>
        <v/>
      </c>
      <c r="H364" s="20" t="str">
        <f aca="false">IF($X364="","",INDEX('Per Line'!$J$2:$J$4001,$X364))</f>
        <v/>
      </c>
      <c r="I364" s="20" t="str">
        <f aca="false">IF($X364="","",INDEX('Per Line'!$K$2:$K$4001,$X364))</f>
        <v/>
      </c>
      <c r="J364" s="20" t="str">
        <f aca="false">IF($X364="","",INDEX('Per Line'!$L$2:$L$4001,$X364))</f>
        <v/>
      </c>
      <c r="K364" s="20" t="str">
        <f aca="false">IF($X364="","",INDEX('Per Line'!$M$2:$M$4001,$X364))</f>
        <v/>
      </c>
      <c r="L364" s="22" t="str">
        <f aca="false">IF($X364="","",K364*V364/100)</f>
        <v/>
      </c>
      <c r="M364" s="20" t="str">
        <f aca="false">IF($X364="","",INDEX('Per Line'!$Z$2:$Z$4001,$X364))</f>
        <v/>
      </c>
      <c r="N364" s="23" t="str">
        <f aca="false">IF($X364="","",Settings!$C$7)</f>
        <v/>
      </c>
      <c r="O364" s="22" t="str">
        <f aca="false">IF($X364="","",SUMIFS('Per Line'!$Y$2:$Y$4001,'Per Line'!$D$2:$D$4001,$B364,'Per Line'!$AJ$2:$AJ$4001,0))</f>
        <v/>
      </c>
      <c r="P364" s="22" t="str">
        <f aca="false">IF($X364="","",O364*N364)</f>
        <v/>
      </c>
      <c r="Q364" s="23" t="str">
        <f aca="false">IF($X364="","",Settings!$C$6)</f>
        <v/>
      </c>
      <c r="R364" s="22" t="str">
        <f aca="false">IF($X364="","",SUMIFS('Per Line'!$Y$2:$Y$4001,'Per Line'!$D$2:$D$4001,$B364,'Per Line'!$AJ$2:$AJ$4001,1))</f>
        <v/>
      </c>
      <c r="S364" s="22" t="str">
        <f aca="false">IF($X364="","",R364*Q364)</f>
        <v/>
      </c>
      <c r="T364" s="22" t="str">
        <f aca="false">IF($X364="","",S364+P364)</f>
        <v/>
      </c>
      <c r="U364" s="22" t="str">
        <f aca="false">IF($X364="","",V364-T364)</f>
        <v/>
      </c>
      <c r="V364" s="22" t="str">
        <f aca="false">IF($X364="","",O364+R364)</f>
        <v/>
      </c>
      <c r="W364" s="22" t="str">
        <f aca="false">IF($X364="","",U364-L364)</f>
        <v/>
      </c>
      <c r="X364" s="24" t="str">
        <f aca="false">IF(ROWS($X$2:$X364)&lt;=MAX('Per Line'!$AI$2:$AI$4001),MATCH(ROWS($X$2:$X364),'Per Line'!$AI$2:$AI$4001,0),"")</f>
        <v/>
      </c>
    </row>
    <row r="365" customFormat="false" ht="15" hidden="false" customHeight="false" outlineLevel="0" collapsed="false">
      <c r="A365" s="19"/>
      <c r="B365" s="20" t="str">
        <f aca="false">IF($X365="","",INDEX('Per Line'!$D$2:$D$4001,$X365))</f>
        <v/>
      </c>
      <c r="C365" s="20" t="str">
        <f aca="false">IF($X365="","",INDEX('Per Line'!$C$2:$C$4001,$X365))</f>
        <v/>
      </c>
      <c r="D365" s="20" t="str">
        <f aca="false">IF($X365="","",INDEX('Per Line'!$A$2:$A$4001,$X365))</f>
        <v/>
      </c>
      <c r="E365" s="21" t="str">
        <f aca="false">IF($X365="","",INDEX('Per Line'!$F$2:$F$4001,$X365))</f>
        <v/>
      </c>
      <c r="F365" s="20" t="str">
        <f aca="false">IF($X365="","",INDEX('Per Line'!$G$2:$G$4001,$X365))</f>
        <v/>
      </c>
      <c r="G365" s="20" t="str">
        <f aca="false">IF($X365="","",INDEX('Per Line'!$I$2:$I$4001,$X365))</f>
        <v/>
      </c>
      <c r="H365" s="20" t="str">
        <f aca="false">IF($X365="","",INDEX('Per Line'!$J$2:$J$4001,$X365))</f>
        <v/>
      </c>
      <c r="I365" s="20" t="str">
        <f aca="false">IF($X365="","",INDEX('Per Line'!$K$2:$K$4001,$X365))</f>
        <v/>
      </c>
      <c r="J365" s="20" t="str">
        <f aca="false">IF($X365="","",INDEX('Per Line'!$L$2:$L$4001,$X365))</f>
        <v/>
      </c>
      <c r="K365" s="20" t="str">
        <f aca="false">IF($X365="","",INDEX('Per Line'!$M$2:$M$4001,$X365))</f>
        <v/>
      </c>
      <c r="L365" s="22" t="str">
        <f aca="false">IF($X365="","",K365*V365/100)</f>
        <v/>
      </c>
      <c r="M365" s="20" t="str">
        <f aca="false">IF($X365="","",INDEX('Per Line'!$Z$2:$Z$4001,$X365))</f>
        <v/>
      </c>
      <c r="N365" s="23" t="str">
        <f aca="false">IF($X365="","",Settings!$C$7)</f>
        <v/>
      </c>
      <c r="O365" s="22" t="str">
        <f aca="false">IF($X365="","",SUMIFS('Per Line'!$Y$2:$Y$4001,'Per Line'!$D$2:$D$4001,$B365,'Per Line'!$AJ$2:$AJ$4001,0))</f>
        <v/>
      </c>
      <c r="P365" s="22" t="str">
        <f aca="false">IF($X365="","",O365*N365)</f>
        <v/>
      </c>
      <c r="Q365" s="23" t="str">
        <f aca="false">IF($X365="","",Settings!$C$6)</f>
        <v/>
      </c>
      <c r="R365" s="22" t="str">
        <f aca="false">IF($X365="","",SUMIFS('Per Line'!$Y$2:$Y$4001,'Per Line'!$D$2:$D$4001,$B365,'Per Line'!$AJ$2:$AJ$4001,1))</f>
        <v/>
      </c>
      <c r="S365" s="22" t="str">
        <f aca="false">IF($X365="","",R365*Q365)</f>
        <v/>
      </c>
      <c r="T365" s="22" t="str">
        <f aca="false">IF($X365="","",S365+P365)</f>
        <v/>
      </c>
      <c r="U365" s="22" t="str">
        <f aca="false">IF($X365="","",V365-T365)</f>
        <v/>
      </c>
      <c r="V365" s="22" t="str">
        <f aca="false">IF($X365="","",O365+R365)</f>
        <v/>
      </c>
      <c r="W365" s="22" t="str">
        <f aca="false">IF($X365="","",U365-L365)</f>
        <v/>
      </c>
      <c r="X365" s="24" t="str">
        <f aca="false">IF(ROWS($X$2:$X365)&lt;=MAX('Per Line'!$AI$2:$AI$4001),MATCH(ROWS($X$2:$X365),'Per Line'!$AI$2:$AI$4001,0),"")</f>
        <v/>
      </c>
    </row>
    <row r="366" customFormat="false" ht="15" hidden="false" customHeight="false" outlineLevel="0" collapsed="false">
      <c r="A366" s="19"/>
      <c r="B366" s="20" t="str">
        <f aca="false">IF($X366="","",INDEX('Per Line'!$D$2:$D$4001,$X366))</f>
        <v/>
      </c>
      <c r="C366" s="20" t="str">
        <f aca="false">IF($X366="","",INDEX('Per Line'!$C$2:$C$4001,$X366))</f>
        <v/>
      </c>
      <c r="D366" s="20" t="str">
        <f aca="false">IF($X366="","",INDEX('Per Line'!$A$2:$A$4001,$X366))</f>
        <v/>
      </c>
      <c r="E366" s="21" t="str">
        <f aca="false">IF($X366="","",INDEX('Per Line'!$F$2:$F$4001,$X366))</f>
        <v/>
      </c>
      <c r="F366" s="20" t="str">
        <f aca="false">IF($X366="","",INDEX('Per Line'!$G$2:$G$4001,$X366))</f>
        <v/>
      </c>
      <c r="G366" s="20" t="str">
        <f aca="false">IF($X366="","",INDEX('Per Line'!$I$2:$I$4001,$X366))</f>
        <v/>
      </c>
      <c r="H366" s="20" t="str">
        <f aca="false">IF($X366="","",INDEX('Per Line'!$J$2:$J$4001,$X366))</f>
        <v/>
      </c>
      <c r="I366" s="20" t="str">
        <f aca="false">IF($X366="","",INDEX('Per Line'!$K$2:$K$4001,$X366))</f>
        <v/>
      </c>
      <c r="J366" s="20" t="str">
        <f aca="false">IF($X366="","",INDEX('Per Line'!$L$2:$L$4001,$X366))</f>
        <v/>
      </c>
      <c r="K366" s="20" t="str">
        <f aca="false">IF($X366="","",INDEX('Per Line'!$M$2:$M$4001,$X366))</f>
        <v/>
      </c>
      <c r="L366" s="22" t="str">
        <f aca="false">IF($X366="","",K366*V366/100)</f>
        <v/>
      </c>
      <c r="M366" s="20" t="str">
        <f aca="false">IF($X366="","",INDEX('Per Line'!$Z$2:$Z$4001,$X366))</f>
        <v/>
      </c>
      <c r="N366" s="23" t="str">
        <f aca="false">IF($X366="","",Settings!$C$7)</f>
        <v/>
      </c>
      <c r="O366" s="22" t="str">
        <f aca="false">IF($X366="","",SUMIFS('Per Line'!$Y$2:$Y$4001,'Per Line'!$D$2:$D$4001,$B366,'Per Line'!$AJ$2:$AJ$4001,0))</f>
        <v/>
      </c>
      <c r="P366" s="22" t="str">
        <f aca="false">IF($X366="","",O366*N366)</f>
        <v/>
      </c>
      <c r="Q366" s="23" t="str">
        <f aca="false">IF($X366="","",Settings!$C$6)</f>
        <v/>
      </c>
      <c r="R366" s="22" t="str">
        <f aca="false">IF($X366="","",SUMIFS('Per Line'!$Y$2:$Y$4001,'Per Line'!$D$2:$D$4001,$B366,'Per Line'!$AJ$2:$AJ$4001,1))</f>
        <v/>
      </c>
      <c r="S366" s="22" t="str">
        <f aca="false">IF($X366="","",R366*Q366)</f>
        <v/>
      </c>
      <c r="T366" s="22" t="str">
        <f aca="false">IF($X366="","",S366+P366)</f>
        <v/>
      </c>
      <c r="U366" s="22" t="str">
        <f aca="false">IF($X366="","",V366-T366)</f>
        <v/>
      </c>
      <c r="V366" s="22" t="str">
        <f aca="false">IF($X366="","",O366+R366)</f>
        <v/>
      </c>
      <c r="W366" s="22" t="str">
        <f aca="false">IF($X366="","",U366-L366)</f>
        <v/>
      </c>
      <c r="X366" s="24" t="str">
        <f aca="false">IF(ROWS($X$2:$X366)&lt;=MAX('Per Line'!$AI$2:$AI$4001),MATCH(ROWS($X$2:$X366),'Per Line'!$AI$2:$AI$4001,0),"")</f>
        <v/>
      </c>
    </row>
    <row r="367" customFormat="false" ht="15" hidden="false" customHeight="false" outlineLevel="0" collapsed="false">
      <c r="A367" s="19"/>
      <c r="B367" s="20" t="str">
        <f aca="false">IF($X367="","",INDEX('Per Line'!$D$2:$D$4001,$X367))</f>
        <v/>
      </c>
      <c r="C367" s="20" t="str">
        <f aca="false">IF($X367="","",INDEX('Per Line'!$C$2:$C$4001,$X367))</f>
        <v/>
      </c>
      <c r="D367" s="20" t="str">
        <f aca="false">IF($X367="","",INDEX('Per Line'!$A$2:$A$4001,$X367))</f>
        <v/>
      </c>
      <c r="E367" s="21" t="str">
        <f aca="false">IF($X367="","",INDEX('Per Line'!$F$2:$F$4001,$X367))</f>
        <v/>
      </c>
      <c r="F367" s="20" t="str">
        <f aca="false">IF($X367="","",INDEX('Per Line'!$G$2:$G$4001,$X367))</f>
        <v/>
      </c>
      <c r="G367" s="20" t="str">
        <f aca="false">IF($X367="","",INDEX('Per Line'!$I$2:$I$4001,$X367))</f>
        <v/>
      </c>
      <c r="H367" s="20" t="str">
        <f aca="false">IF($X367="","",INDEX('Per Line'!$J$2:$J$4001,$X367))</f>
        <v/>
      </c>
      <c r="I367" s="20" t="str">
        <f aca="false">IF($X367="","",INDEX('Per Line'!$K$2:$K$4001,$X367))</f>
        <v/>
      </c>
      <c r="J367" s="20" t="str">
        <f aca="false">IF($X367="","",INDEX('Per Line'!$L$2:$L$4001,$X367))</f>
        <v/>
      </c>
      <c r="K367" s="20" t="str">
        <f aca="false">IF($X367="","",INDEX('Per Line'!$M$2:$M$4001,$X367))</f>
        <v/>
      </c>
      <c r="L367" s="22" t="str">
        <f aca="false">IF($X367="","",K367*V367/100)</f>
        <v/>
      </c>
      <c r="M367" s="20" t="str">
        <f aca="false">IF($X367="","",INDEX('Per Line'!$Z$2:$Z$4001,$X367))</f>
        <v/>
      </c>
      <c r="N367" s="23" t="str">
        <f aca="false">IF($X367="","",Settings!$C$7)</f>
        <v/>
      </c>
      <c r="O367" s="22" t="str">
        <f aca="false">IF($X367="","",SUMIFS('Per Line'!$Y$2:$Y$4001,'Per Line'!$D$2:$D$4001,$B367,'Per Line'!$AJ$2:$AJ$4001,0))</f>
        <v/>
      </c>
      <c r="P367" s="22" t="str">
        <f aca="false">IF($X367="","",O367*N367)</f>
        <v/>
      </c>
      <c r="Q367" s="23" t="str">
        <f aca="false">IF($X367="","",Settings!$C$6)</f>
        <v/>
      </c>
      <c r="R367" s="22" t="str">
        <f aca="false">IF($X367="","",SUMIFS('Per Line'!$Y$2:$Y$4001,'Per Line'!$D$2:$D$4001,$B367,'Per Line'!$AJ$2:$AJ$4001,1))</f>
        <v/>
      </c>
      <c r="S367" s="22" t="str">
        <f aca="false">IF($X367="","",R367*Q367)</f>
        <v/>
      </c>
      <c r="T367" s="22" t="str">
        <f aca="false">IF($X367="","",S367+P367)</f>
        <v/>
      </c>
      <c r="U367" s="22" t="str">
        <f aca="false">IF($X367="","",V367-T367)</f>
        <v/>
      </c>
      <c r="V367" s="22" t="str">
        <f aca="false">IF($X367="","",O367+R367)</f>
        <v/>
      </c>
      <c r="W367" s="22" t="str">
        <f aca="false">IF($X367="","",U367-L367)</f>
        <v/>
      </c>
      <c r="X367" s="24" t="str">
        <f aca="false">IF(ROWS($X$2:$X367)&lt;=MAX('Per Line'!$AI$2:$AI$4001),MATCH(ROWS($X$2:$X367),'Per Line'!$AI$2:$AI$4001,0),"")</f>
        <v/>
      </c>
    </row>
    <row r="368" customFormat="false" ht="15" hidden="false" customHeight="false" outlineLevel="0" collapsed="false">
      <c r="A368" s="19"/>
      <c r="B368" s="20" t="str">
        <f aca="false">IF($X368="","",INDEX('Per Line'!$D$2:$D$4001,$X368))</f>
        <v/>
      </c>
      <c r="C368" s="20" t="str">
        <f aca="false">IF($X368="","",INDEX('Per Line'!$C$2:$C$4001,$X368))</f>
        <v/>
      </c>
      <c r="D368" s="20" t="str">
        <f aca="false">IF($X368="","",INDEX('Per Line'!$A$2:$A$4001,$X368))</f>
        <v/>
      </c>
      <c r="E368" s="21" t="str">
        <f aca="false">IF($X368="","",INDEX('Per Line'!$F$2:$F$4001,$X368))</f>
        <v/>
      </c>
      <c r="F368" s="20" t="str">
        <f aca="false">IF($X368="","",INDEX('Per Line'!$G$2:$G$4001,$X368))</f>
        <v/>
      </c>
      <c r="G368" s="20" t="str">
        <f aca="false">IF($X368="","",INDEX('Per Line'!$I$2:$I$4001,$X368))</f>
        <v/>
      </c>
      <c r="H368" s="20" t="str">
        <f aca="false">IF($X368="","",INDEX('Per Line'!$J$2:$J$4001,$X368))</f>
        <v/>
      </c>
      <c r="I368" s="20" t="str">
        <f aca="false">IF($X368="","",INDEX('Per Line'!$K$2:$K$4001,$X368))</f>
        <v/>
      </c>
      <c r="J368" s="20" t="str">
        <f aca="false">IF($X368="","",INDEX('Per Line'!$L$2:$L$4001,$X368))</f>
        <v/>
      </c>
      <c r="K368" s="20" t="str">
        <f aca="false">IF($X368="","",INDEX('Per Line'!$M$2:$M$4001,$X368))</f>
        <v/>
      </c>
      <c r="L368" s="22" t="str">
        <f aca="false">IF($X368="","",K368*V368/100)</f>
        <v/>
      </c>
      <c r="M368" s="20" t="str">
        <f aca="false">IF($X368="","",INDEX('Per Line'!$Z$2:$Z$4001,$X368))</f>
        <v/>
      </c>
      <c r="N368" s="23" t="str">
        <f aca="false">IF($X368="","",Settings!$C$7)</f>
        <v/>
      </c>
      <c r="O368" s="22" t="str">
        <f aca="false">IF($X368="","",SUMIFS('Per Line'!$Y$2:$Y$4001,'Per Line'!$D$2:$D$4001,$B368,'Per Line'!$AJ$2:$AJ$4001,0))</f>
        <v/>
      </c>
      <c r="P368" s="22" t="str">
        <f aca="false">IF($X368="","",O368*N368)</f>
        <v/>
      </c>
      <c r="Q368" s="23" t="str">
        <f aca="false">IF($X368="","",Settings!$C$6)</f>
        <v/>
      </c>
      <c r="R368" s="22" t="str">
        <f aca="false">IF($X368="","",SUMIFS('Per Line'!$Y$2:$Y$4001,'Per Line'!$D$2:$D$4001,$B368,'Per Line'!$AJ$2:$AJ$4001,1))</f>
        <v/>
      </c>
      <c r="S368" s="22" t="str">
        <f aca="false">IF($X368="","",R368*Q368)</f>
        <v/>
      </c>
      <c r="T368" s="22" t="str">
        <f aca="false">IF($X368="","",S368+P368)</f>
        <v/>
      </c>
      <c r="U368" s="22" t="str">
        <f aca="false">IF($X368="","",V368-T368)</f>
        <v/>
      </c>
      <c r="V368" s="22" t="str">
        <f aca="false">IF($X368="","",O368+R368)</f>
        <v/>
      </c>
      <c r="W368" s="22" t="str">
        <f aca="false">IF($X368="","",U368-L368)</f>
        <v/>
      </c>
      <c r="X368" s="24" t="str">
        <f aca="false">IF(ROWS($X$2:$X368)&lt;=MAX('Per Line'!$AI$2:$AI$4001),MATCH(ROWS($X$2:$X368),'Per Line'!$AI$2:$AI$4001,0),"")</f>
        <v/>
      </c>
    </row>
    <row r="369" customFormat="false" ht="15" hidden="false" customHeight="false" outlineLevel="0" collapsed="false">
      <c r="A369" s="19"/>
      <c r="B369" s="20" t="str">
        <f aca="false">IF($X369="","",INDEX('Per Line'!$D$2:$D$4001,$X369))</f>
        <v/>
      </c>
      <c r="C369" s="20" t="str">
        <f aca="false">IF($X369="","",INDEX('Per Line'!$C$2:$C$4001,$X369))</f>
        <v/>
      </c>
      <c r="D369" s="20" t="str">
        <f aca="false">IF($X369="","",INDEX('Per Line'!$A$2:$A$4001,$X369))</f>
        <v/>
      </c>
      <c r="E369" s="21" t="str">
        <f aca="false">IF($X369="","",INDEX('Per Line'!$F$2:$F$4001,$X369))</f>
        <v/>
      </c>
      <c r="F369" s="20" t="str">
        <f aca="false">IF($X369="","",INDEX('Per Line'!$G$2:$G$4001,$X369))</f>
        <v/>
      </c>
      <c r="G369" s="20" t="str">
        <f aca="false">IF($X369="","",INDEX('Per Line'!$I$2:$I$4001,$X369))</f>
        <v/>
      </c>
      <c r="H369" s="20" t="str">
        <f aca="false">IF($X369="","",INDEX('Per Line'!$J$2:$J$4001,$X369))</f>
        <v/>
      </c>
      <c r="I369" s="20" t="str">
        <f aca="false">IF($X369="","",INDEX('Per Line'!$K$2:$K$4001,$X369))</f>
        <v/>
      </c>
      <c r="J369" s="20" t="str">
        <f aca="false">IF($X369="","",INDEX('Per Line'!$L$2:$L$4001,$X369))</f>
        <v/>
      </c>
      <c r="K369" s="20" t="str">
        <f aca="false">IF($X369="","",INDEX('Per Line'!$M$2:$M$4001,$X369))</f>
        <v/>
      </c>
      <c r="L369" s="22" t="str">
        <f aca="false">IF($X369="","",K369*V369/100)</f>
        <v/>
      </c>
      <c r="M369" s="20" t="str">
        <f aca="false">IF($X369="","",INDEX('Per Line'!$Z$2:$Z$4001,$X369))</f>
        <v/>
      </c>
      <c r="N369" s="23" t="str">
        <f aca="false">IF($X369="","",Settings!$C$7)</f>
        <v/>
      </c>
      <c r="O369" s="22" t="str">
        <f aca="false">IF($X369="","",SUMIFS('Per Line'!$Y$2:$Y$4001,'Per Line'!$D$2:$D$4001,$B369,'Per Line'!$AJ$2:$AJ$4001,0))</f>
        <v/>
      </c>
      <c r="P369" s="22" t="str">
        <f aca="false">IF($X369="","",O369*N369)</f>
        <v/>
      </c>
      <c r="Q369" s="23" t="str">
        <f aca="false">IF($X369="","",Settings!$C$6)</f>
        <v/>
      </c>
      <c r="R369" s="22" t="str">
        <f aca="false">IF($X369="","",SUMIFS('Per Line'!$Y$2:$Y$4001,'Per Line'!$D$2:$D$4001,$B369,'Per Line'!$AJ$2:$AJ$4001,1))</f>
        <v/>
      </c>
      <c r="S369" s="22" t="str">
        <f aca="false">IF($X369="","",R369*Q369)</f>
        <v/>
      </c>
      <c r="T369" s="22" t="str">
        <f aca="false">IF($X369="","",S369+P369)</f>
        <v/>
      </c>
      <c r="U369" s="22" t="str">
        <f aca="false">IF($X369="","",V369-T369)</f>
        <v/>
      </c>
      <c r="V369" s="22" t="str">
        <f aca="false">IF($X369="","",O369+R369)</f>
        <v/>
      </c>
      <c r="W369" s="22" t="str">
        <f aca="false">IF($X369="","",U369-L369)</f>
        <v/>
      </c>
      <c r="X369" s="24" t="str">
        <f aca="false">IF(ROWS($X$2:$X369)&lt;=MAX('Per Line'!$AI$2:$AI$4001),MATCH(ROWS($X$2:$X369),'Per Line'!$AI$2:$AI$4001,0),"")</f>
        <v/>
      </c>
    </row>
    <row r="370" customFormat="false" ht="15" hidden="false" customHeight="false" outlineLevel="0" collapsed="false">
      <c r="A370" s="19"/>
      <c r="B370" s="20" t="str">
        <f aca="false">IF($X370="","",INDEX('Per Line'!$D$2:$D$4001,$X370))</f>
        <v/>
      </c>
      <c r="C370" s="20" t="str">
        <f aca="false">IF($X370="","",INDEX('Per Line'!$C$2:$C$4001,$X370))</f>
        <v/>
      </c>
      <c r="D370" s="20" t="str">
        <f aca="false">IF($X370="","",INDEX('Per Line'!$A$2:$A$4001,$X370))</f>
        <v/>
      </c>
      <c r="E370" s="21" t="str">
        <f aca="false">IF($X370="","",INDEX('Per Line'!$F$2:$F$4001,$X370))</f>
        <v/>
      </c>
      <c r="F370" s="20" t="str">
        <f aca="false">IF($X370="","",INDEX('Per Line'!$G$2:$G$4001,$X370))</f>
        <v/>
      </c>
      <c r="G370" s="20" t="str">
        <f aca="false">IF($X370="","",INDEX('Per Line'!$I$2:$I$4001,$X370))</f>
        <v/>
      </c>
      <c r="H370" s="20" t="str">
        <f aca="false">IF($X370="","",INDEX('Per Line'!$J$2:$J$4001,$X370))</f>
        <v/>
      </c>
      <c r="I370" s="20" t="str">
        <f aca="false">IF($X370="","",INDEX('Per Line'!$K$2:$K$4001,$X370))</f>
        <v/>
      </c>
      <c r="J370" s="20" t="str">
        <f aca="false">IF($X370="","",INDEX('Per Line'!$L$2:$L$4001,$X370))</f>
        <v/>
      </c>
      <c r="K370" s="20" t="str">
        <f aca="false">IF($X370="","",INDEX('Per Line'!$M$2:$M$4001,$X370))</f>
        <v/>
      </c>
      <c r="L370" s="22" t="str">
        <f aca="false">IF($X370="","",K370*V370/100)</f>
        <v/>
      </c>
      <c r="M370" s="20" t="str">
        <f aca="false">IF($X370="","",INDEX('Per Line'!$Z$2:$Z$4001,$X370))</f>
        <v/>
      </c>
      <c r="N370" s="23" t="str">
        <f aca="false">IF($X370="","",Settings!$C$7)</f>
        <v/>
      </c>
      <c r="O370" s="22" t="str">
        <f aca="false">IF($X370="","",SUMIFS('Per Line'!$Y$2:$Y$4001,'Per Line'!$D$2:$D$4001,$B370,'Per Line'!$AJ$2:$AJ$4001,0))</f>
        <v/>
      </c>
      <c r="P370" s="22" t="str">
        <f aca="false">IF($X370="","",O370*N370)</f>
        <v/>
      </c>
      <c r="Q370" s="23" t="str">
        <f aca="false">IF($X370="","",Settings!$C$6)</f>
        <v/>
      </c>
      <c r="R370" s="22" t="str">
        <f aca="false">IF($X370="","",SUMIFS('Per Line'!$Y$2:$Y$4001,'Per Line'!$D$2:$D$4001,$B370,'Per Line'!$AJ$2:$AJ$4001,1))</f>
        <v/>
      </c>
      <c r="S370" s="22" t="str">
        <f aca="false">IF($X370="","",R370*Q370)</f>
        <v/>
      </c>
      <c r="T370" s="22" t="str">
        <f aca="false">IF($X370="","",S370+P370)</f>
        <v/>
      </c>
      <c r="U370" s="22" t="str">
        <f aca="false">IF($X370="","",V370-T370)</f>
        <v/>
      </c>
      <c r="V370" s="22" t="str">
        <f aca="false">IF($X370="","",O370+R370)</f>
        <v/>
      </c>
      <c r="W370" s="22" t="str">
        <f aca="false">IF($X370="","",U370-L370)</f>
        <v/>
      </c>
      <c r="X370" s="24" t="str">
        <f aca="false">IF(ROWS($X$2:$X370)&lt;=MAX('Per Line'!$AI$2:$AI$4001),MATCH(ROWS($X$2:$X370),'Per Line'!$AI$2:$AI$4001,0),"")</f>
        <v/>
      </c>
    </row>
    <row r="371" customFormat="false" ht="15" hidden="false" customHeight="false" outlineLevel="0" collapsed="false">
      <c r="A371" s="19"/>
      <c r="B371" s="20" t="str">
        <f aca="false">IF($X371="","",INDEX('Per Line'!$D$2:$D$4001,$X371))</f>
        <v/>
      </c>
      <c r="C371" s="20" t="str">
        <f aca="false">IF($X371="","",INDEX('Per Line'!$C$2:$C$4001,$X371))</f>
        <v/>
      </c>
      <c r="D371" s="20" t="str">
        <f aca="false">IF($X371="","",INDEX('Per Line'!$A$2:$A$4001,$X371))</f>
        <v/>
      </c>
      <c r="E371" s="21" t="str">
        <f aca="false">IF($X371="","",INDEX('Per Line'!$F$2:$F$4001,$X371))</f>
        <v/>
      </c>
      <c r="F371" s="20" t="str">
        <f aca="false">IF($X371="","",INDEX('Per Line'!$G$2:$G$4001,$X371))</f>
        <v/>
      </c>
      <c r="G371" s="20" t="str">
        <f aca="false">IF($X371="","",INDEX('Per Line'!$I$2:$I$4001,$X371))</f>
        <v/>
      </c>
      <c r="H371" s="20" t="str">
        <f aca="false">IF($X371="","",INDEX('Per Line'!$J$2:$J$4001,$X371))</f>
        <v/>
      </c>
      <c r="I371" s="20" t="str">
        <f aca="false">IF($X371="","",INDEX('Per Line'!$K$2:$K$4001,$X371))</f>
        <v/>
      </c>
      <c r="J371" s="20" t="str">
        <f aca="false">IF($X371="","",INDEX('Per Line'!$L$2:$L$4001,$X371))</f>
        <v/>
      </c>
      <c r="K371" s="20" t="str">
        <f aca="false">IF($X371="","",INDEX('Per Line'!$M$2:$M$4001,$X371))</f>
        <v/>
      </c>
      <c r="L371" s="22" t="str">
        <f aca="false">IF($X371="","",K371*V371/100)</f>
        <v/>
      </c>
      <c r="M371" s="20" t="str">
        <f aca="false">IF($X371="","",INDEX('Per Line'!$Z$2:$Z$4001,$X371))</f>
        <v/>
      </c>
      <c r="N371" s="23" t="str">
        <f aca="false">IF($X371="","",Settings!$C$7)</f>
        <v/>
      </c>
      <c r="O371" s="22" t="str">
        <f aca="false">IF($X371="","",SUMIFS('Per Line'!$Y$2:$Y$4001,'Per Line'!$D$2:$D$4001,$B371,'Per Line'!$AJ$2:$AJ$4001,0))</f>
        <v/>
      </c>
      <c r="P371" s="22" t="str">
        <f aca="false">IF($X371="","",O371*N371)</f>
        <v/>
      </c>
      <c r="Q371" s="23" t="str">
        <f aca="false">IF($X371="","",Settings!$C$6)</f>
        <v/>
      </c>
      <c r="R371" s="22" t="str">
        <f aca="false">IF($X371="","",SUMIFS('Per Line'!$Y$2:$Y$4001,'Per Line'!$D$2:$D$4001,$B371,'Per Line'!$AJ$2:$AJ$4001,1))</f>
        <v/>
      </c>
      <c r="S371" s="22" t="str">
        <f aca="false">IF($X371="","",R371*Q371)</f>
        <v/>
      </c>
      <c r="T371" s="22" t="str">
        <f aca="false">IF($X371="","",S371+P371)</f>
        <v/>
      </c>
      <c r="U371" s="22" t="str">
        <f aca="false">IF($X371="","",V371-T371)</f>
        <v/>
      </c>
      <c r="V371" s="22" t="str">
        <f aca="false">IF($X371="","",O371+R371)</f>
        <v/>
      </c>
      <c r="W371" s="22" t="str">
        <f aca="false">IF($X371="","",U371-L371)</f>
        <v/>
      </c>
      <c r="X371" s="24" t="str">
        <f aca="false">IF(ROWS($X$2:$X371)&lt;=MAX('Per Line'!$AI$2:$AI$4001),MATCH(ROWS($X$2:$X371),'Per Line'!$AI$2:$AI$4001,0),"")</f>
        <v/>
      </c>
    </row>
    <row r="372" customFormat="false" ht="15" hidden="false" customHeight="false" outlineLevel="0" collapsed="false">
      <c r="A372" s="19"/>
      <c r="B372" s="20" t="str">
        <f aca="false">IF($X372="","",INDEX('Per Line'!$D$2:$D$4001,$X372))</f>
        <v/>
      </c>
      <c r="C372" s="20" t="str">
        <f aca="false">IF($X372="","",INDEX('Per Line'!$C$2:$C$4001,$X372))</f>
        <v/>
      </c>
      <c r="D372" s="20" t="str">
        <f aca="false">IF($X372="","",INDEX('Per Line'!$A$2:$A$4001,$X372))</f>
        <v/>
      </c>
      <c r="E372" s="21" t="str">
        <f aca="false">IF($X372="","",INDEX('Per Line'!$F$2:$F$4001,$X372))</f>
        <v/>
      </c>
      <c r="F372" s="20" t="str">
        <f aca="false">IF($X372="","",INDEX('Per Line'!$G$2:$G$4001,$X372))</f>
        <v/>
      </c>
      <c r="G372" s="20" t="str">
        <f aca="false">IF($X372="","",INDEX('Per Line'!$I$2:$I$4001,$X372))</f>
        <v/>
      </c>
      <c r="H372" s="20" t="str">
        <f aca="false">IF($X372="","",INDEX('Per Line'!$J$2:$J$4001,$X372))</f>
        <v/>
      </c>
      <c r="I372" s="20" t="str">
        <f aca="false">IF($X372="","",INDEX('Per Line'!$K$2:$K$4001,$X372))</f>
        <v/>
      </c>
      <c r="J372" s="20" t="str">
        <f aca="false">IF($X372="","",INDEX('Per Line'!$L$2:$L$4001,$X372))</f>
        <v/>
      </c>
      <c r="K372" s="20" t="str">
        <f aca="false">IF($X372="","",INDEX('Per Line'!$M$2:$M$4001,$X372))</f>
        <v/>
      </c>
      <c r="L372" s="22" t="str">
        <f aca="false">IF($X372="","",K372*V372/100)</f>
        <v/>
      </c>
      <c r="M372" s="20" t="str">
        <f aca="false">IF($X372="","",INDEX('Per Line'!$Z$2:$Z$4001,$X372))</f>
        <v/>
      </c>
      <c r="N372" s="23" t="str">
        <f aca="false">IF($X372="","",Settings!$C$7)</f>
        <v/>
      </c>
      <c r="O372" s="22" t="str">
        <f aca="false">IF($X372="","",SUMIFS('Per Line'!$Y$2:$Y$4001,'Per Line'!$D$2:$D$4001,$B372,'Per Line'!$AJ$2:$AJ$4001,0))</f>
        <v/>
      </c>
      <c r="P372" s="22" t="str">
        <f aca="false">IF($X372="","",O372*N372)</f>
        <v/>
      </c>
      <c r="Q372" s="23" t="str">
        <f aca="false">IF($X372="","",Settings!$C$6)</f>
        <v/>
      </c>
      <c r="R372" s="22" t="str">
        <f aca="false">IF($X372="","",SUMIFS('Per Line'!$Y$2:$Y$4001,'Per Line'!$D$2:$D$4001,$B372,'Per Line'!$AJ$2:$AJ$4001,1))</f>
        <v/>
      </c>
      <c r="S372" s="22" t="str">
        <f aca="false">IF($X372="","",R372*Q372)</f>
        <v/>
      </c>
      <c r="T372" s="22" t="str">
        <f aca="false">IF($X372="","",S372+P372)</f>
        <v/>
      </c>
      <c r="U372" s="22" t="str">
        <f aca="false">IF($X372="","",V372-T372)</f>
        <v/>
      </c>
      <c r="V372" s="22" t="str">
        <f aca="false">IF($X372="","",O372+R372)</f>
        <v/>
      </c>
      <c r="W372" s="22" t="str">
        <f aca="false">IF($X372="","",U372-L372)</f>
        <v/>
      </c>
      <c r="X372" s="24" t="str">
        <f aca="false">IF(ROWS($X$2:$X372)&lt;=MAX('Per Line'!$AI$2:$AI$4001),MATCH(ROWS($X$2:$X372),'Per Line'!$AI$2:$AI$4001,0),"")</f>
        <v/>
      </c>
    </row>
    <row r="373" customFormat="false" ht="15" hidden="false" customHeight="false" outlineLevel="0" collapsed="false">
      <c r="A373" s="19"/>
      <c r="B373" s="20" t="str">
        <f aca="false">IF($X373="","",INDEX('Per Line'!$D$2:$D$4001,$X373))</f>
        <v/>
      </c>
      <c r="C373" s="20" t="str">
        <f aca="false">IF($X373="","",INDEX('Per Line'!$C$2:$C$4001,$X373))</f>
        <v/>
      </c>
      <c r="D373" s="20" t="str">
        <f aca="false">IF($X373="","",INDEX('Per Line'!$A$2:$A$4001,$X373))</f>
        <v/>
      </c>
      <c r="E373" s="21" t="str">
        <f aca="false">IF($X373="","",INDEX('Per Line'!$F$2:$F$4001,$X373))</f>
        <v/>
      </c>
      <c r="F373" s="20" t="str">
        <f aca="false">IF($X373="","",INDEX('Per Line'!$G$2:$G$4001,$X373))</f>
        <v/>
      </c>
      <c r="G373" s="20" t="str">
        <f aca="false">IF($X373="","",INDEX('Per Line'!$I$2:$I$4001,$X373))</f>
        <v/>
      </c>
      <c r="H373" s="20" t="str">
        <f aca="false">IF($X373="","",INDEX('Per Line'!$J$2:$J$4001,$X373))</f>
        <v/>
      </c>
      <c r="I373" s="20" t="str">
        <f aca="false">IF($X373="","",INDEX('Per Line'!$K$2:$K$4001,$X373))</f>
        <v/>
      </c>
      <c r="J373" s="20" t="str">
        <f aca="false">IF($X373="","",INDEX('Per Line'!$L$2:$L$4001,$X373))</f>
        <v/>
      </c>
      <c r="K373" s="20" t="str">
        <f aca="false">IF($X373="","",INDEX('Per Line'!$M$2:$M$4001,$X373))</f>
        <v/>
      </c>
      <c r="L373" s="22" t="str">
        <f aca="false">IF($X373="","",K373*V373/100)</f>
        <v/>
      </c>
      <c r="M373" s="20" t="str">
        <f aca="false">IF($X373="","",INDEX('Per Line'!$Z$2:$Z$4001,$X373))</f>
        <v/>
      </c>
      <c r="N373" s="23" t="str">
        <f aca="false">IF($X373="","",Settings!$C$7)</f>
        <v/>
      </c>
      <c r="O373" s="22" t="str">
        <f aca="false">IF($X373="","",SUMIFS('Per Line'!$Y$2:$Y$4001,'Per Line'!$D$2:$D$4001,$B373,'Per Line'!$AJ$2:$AJ$4001,0))</f>
        <v/>
      </c>
      <c r="P373" s="22" t="str">
        <f aca="false">IF($X373="","",O373*N373)</f>
        <v/>
      </c>
      <c r="Q373" s="23" t="str">
        <f aca="false">IF($X373="","",Settings!$C$6)</f>
        <v/>
      </c>
      <c r="R373" s="22" t="str">
        <f aca="false">IF($X373="","",SUMIFS('Per Line'!$Y$2:$Y$4001,'Per Line'!$D$2:$D$4001,$B373,'Per Line'!$AJ$2:$AJ$4001,1))</f>
        <v/>
      </c>
      <c r="S373" s="22" t="str">
        <f aca="false">IF($X373="","",R373*Q373)</f>
        <v/>
      </c>
      <c r="T373" s="22" t="str">
        <f aca="false">IF($X373="","",S373+P373)</f>
        <v/>
      </c>
      <c r="U373" s="22" t="str">
        <f aca="false">IF($X373="","",V373-T373)</f>
        <v/>
      </c>
      <c r="V373" s="22" t="str">
        <f aca="false">IF($X373="","",O373+R373)</f>
        <v/>
      </c>
      <c r="W373" s="22" t="str">
        <f aca="false">IF($X373="","",U373-L373)</f>
        <v/>
      </c>
      <c r="X373" s="24" t="str">
        <f aca="false">IF(ROWS($X$2:$X373)&lt;=MAX('Per Line'!$AI$2:$AI$4001),MATCH(ROWS($X$2:$X373),'Per Line'!$AI$2:$AI$4001,0),"")</f>
        <v/>
      </c>
    </row>
    <row r="374" customFormat="false" ht="15" hidden="false" customHeight="false" outlineLevel="0" collapsed="false">
      <c r="A374" s="19"/>
      <c r="B374" s="20" t="str">
        <f aca="false">IF($X374="","",INDEX('Per Line'!$D$2:$D$4001,$X374))</f>
        <v/>
      </c>
      <c r="C374" s="20" t="str">
        <f aca="false">IF($X374="","",INDEX('Per Line'!$C$2:$C$4001,$X374))</f>
        <v/>
      </c>
      <c r="D374" s="20" t="str">
        <f aca="false">IF($X374="","",INDEX('Per Line'!$A$2:$A$4001,$X374))</f>
        <v/>
      </c>
      <c r="E374" s="21" t="str">
        <f aca="false">IF($X374="","",INDEX('Per Line'!$F$2:$F$4001,$X374))</f>
        <v/>
      </c>
      <c r="F374" s="20" t="str">
        <f aca="false">IF($X374="","",INDEX('Per Line'!$G$2:$G$4001,$X374))</f>
        <v/>
      </c>
      <c r="G374" s="20" t="str">
        <f aca="false">IF($X374="","",INDEX('Per Line'!$I$2:$I$4001,$X374))</f>
        <v/>
      </c>
      <c r="H374" s="20" t="str">
        <f aca="false">IF($X374="","",INDEX('Per Line'!$J$2:$J$4001,$X374))</f>
        <v/>
      </c>
      <c r="I374" s="20" t="str">
        <f aca="false">IF($X374="","",INDEX('Per Line'!$K$2:$K$4001,$X374))</f>
        <v/>
      </c>
      <c r="J374" s="20" t="str">
        <f aca="false">IF($X374="","",INDEX('Per Line'!$L$2:$L$4001,$X374))</f>
        <v/>
      </c>
      <c r="K374" s="20" t="str">
        <f aca="false">IF($X374="","",INDEX('Per Line'!$M$2:$M$4001,$X374))</f>
        <v/>
      </c>
      <c r="L374" s="22" t="str">
        <f aca="false">IF($X374="","",K374*V374/100)</f>
        <v/>
      </c>
      <c r="M374" s="20" t="str">
        <f aca="false">IF($X374="","",INDEX('Per Line'!$Z$2:$Z$4001,$X374))</f>
        <v/>
      </c>
      <c r="N374" s="23" t="str">
        <f aca="false">IF($X374="","",Settings!$C$7)</f>
        <v/>
      </c>
      <c r="O374" s="22" t="str">
        <f aca="false">IF($X374="","",SUMIFS('Per Line'!$Y$2:$Y$4001,'Per Line'!$D$2:$D$4001,$B374,'Per Line'!$AJ$2:$AJ$4001,0))</f>
        <v/>
      </c>
      <c r="P374" s="22" t="str">
        <f aca="false">IF($X374="","",O374*N374)</f>
        <v/>
      </c>
      <c r="Q374" s="23" t="str">
        <f aca="false">IF($X374="","",Settings!$C$6)</f>
        <v/>
      </c>
      <c r="R374" s="22" t="str">
        <f aca="false">IF($X374="","",SUMIFS('Per Line'!$Y$2:$Y$4001,'Per Line'!$D$2:$D$4001,$B374,'Per Line'!$AJ$2:$AJ$4001,1))</f>
        <v/>
      </c>
      <c r="S374" s="22" t="str">
        <f aca="false">IF($X374="","",R374*Q374)</f>
        <v/>
      </c>
      <c r="T374" s="22" t="str">
        <f aca="false">IF($X374="","",S374+P374)</f>
        <v/>
      </c>
      <c r="U374" s="22" t="str">
        <f aca="false">IF($X374="","",V374-T374)</f>
        <v/>
      </c>
      <c r="V374" s="22" t="str">
        <f aca="false">IF($X374="","",O374+R374)</f>
        <v/>
      </c>
      <c r="W374" s="22" t="str">
        <f aca="false">IF($X374="","",U374-L374)</f>
        <v/>
      </c>
      <c r="X374" s="24" t="str">
        <f aca="false">IF(ROWS($X$2:$X374)&lt;=MAX('Per Line'!$AI$2:$AI$4001),MATCH(ROWS($X$2:$X374),'Per Line'!$AI$2:$AI$4001,0),"")</f>
        <v/>
      </c>
    </row>
    <row r="375" customFormat="false" ht="15" hidden="false" customHeight="false" outlineLevel="0" collapsed="false">
      <c r="A375" s="19"/>
      <c r="B375" s="20" t="str">
        <f aca="false">IF($X375="","",INDEX('Per Line'!$D$2:$D$4001,$X375))</f>
        <v/>
      </c>
      <c r="C375" s="20" t="str">
        <f aca="false">IF($X375="","",INDEX('Per Line'!$C$2:$C$4001,$X375))</f>
        <v/>
      </c>
      <c r="D375" s="20" t="str">
        <f aca="false">IF($X375="","",INDEX('Per Line'!$A$2:$A$4001,$X375))</f>
        <v/>
      </c>
      <c r="E375" s="21" t="str">
        <f aca="false">IF($X375="","",INDEX('Per Line'!$F$2:$F$4001,$X375))</f>
        <v/>
      </c>
      <c r="F375" s="20" t="str">
        <f aca="false">IF($X375="","",INDEX('Per Line'!$G$2:$G$4001,$X375))</f>
        <v/>
      </c>
      <c r="G375" s="20" t="str">
        <f aca="false">IF($X375="","",INDEX('Per Line'!$I$2:$I$4001,$X375))</f>
        <v/>
      </c>
      <c r="H375" s="20" t="str">
        <f aca="false">IF($X375="","",INDEX('Per Line'!$J$2:$J$4001,$X375))</f>
        <v/>
      </c>
      <c r="I375" s="20" t="str">
        <f aca="false">IF($X375="","",INDEX('Per Line'!$K$2:$K$4001,$X375))</f>
        <v/>
      </c>
      <c r="J375" s="20" t="str">
        <f aca="false">IF($X375="","",INDEX('Per Line'!$L$2:$L$4001,$X375))</f>
        <v/>
      </c>
      <c r="K375" s="20" t="str">
        <f aca="false">IF($X375="","",INDEX('Per Line'!$M$2:$M$4001,$X375))</f>
        <v/>
      </c>
      <c r="L375" s="22" t="str">
        <f aca="false">IF($X375="","",K375*V375/100)</f>
        <v/>
      </c>
      <c r="M375" s="20" t="str">
        <f aca="false">IF($X375="","",INDEX('Per Line'!$Z$2:$Z$4001,$X375))</f>
        <v/>
      </c>
      <c r="N375" s="23" t="str">
        <f aca="false">IF($X375="","",Settings!$C$7)</f>
        <v/>
      </c>
      <c r="O375" s="22" t="str">
        <f aca="false">IF($X375="","",SUMIFS('Per Line'!$Y$2:$Y$4001,'Per Line'!$D$2:$D$4001,$B375,'Per Line'!$AJ$2:$AJ$4001,0))</f>
        <v/>
      </c>
      <c r="P375" s="22" t="str">
        <f aca="false">IF($X375="","",O375*N375)</f>
        <v/>
      </c>
      <c r="Q375" s="23" t="str">
        <f aca="false">IF($X375="","",Settings!$C$6)</f>
        <v/>
      </c>
      <c r="R375" s="22" t="str">
        <f aca="false">IF($X375="","",SUMIFS('Per Line'!$Y$2:$Y$4001,'Per Line'!$D$2:$D$4001,$B375,'Per Line'!$AJ$2:$AJ$4001,1))</f>
        <v/>
      </c>
      <c r="S375" s="22" t="str">
        <f aca="false">IF($X375="","",R375*Q375)</f>
        <v/>
      </c>
      <c r="T375" s="22" t="str">
        <f aca="false">IF($X375="","",S375+P375)</f>
        <v/>
      </c>
      <c r="U375" s="22" t="str">
        <f aca="false">IF($X375="","",V375-T375)</f>
        <v/>
      </c>
      <c r="V375" s="22" t="str">
        <f aca="false">IF($X375="","",O375+R375)</f>
        <v/>
      </c>
      <c r="W375" s="22" t="str">
        <f aca="false">IF($X375="","",U375-L375)</f>
        <v/>
      </c>
      <c r="X375" s="24" t="str">
        <f aca="false">IF(ROWS($X$2:$X375)&lt;=MAX('Per Line'!$AI$2:$AI$4001),MATCH(ROWS($X$2:$X375),'Per Line'!$AI$2:$AI$4001,0),"")</f>
        <v/>
      </c>
    </row>
    <row r="376" customFormat="false" ht="15" hidden="false" customHeight="false" outlineLevel="0" collapsed="false">
      <c r="A376" s="19"/>
      <c r="B376" s="20" t="str">
        <f aca="false">IF($X376="","",INDEX('Per Line'!$D$2:$D$4001,$X376))</f>
        <v/>
      </c>
      <c r="C376" s="20" t="str">
        <f aca="false">IF($X376="","",INDEX('Per Line'!$C$2:$C$4001,$X376))</f>
        <v/>
      </c>
      <c r="D376" s="20" t="str">
        <f aca="false">IF($X376="","",INDEX('Per Line'!$A$2:$A$4001,$X376))</f>
        <v/>
      </c>
      <c r="E376" s="21" t="str">
        <f aca="false">IF($X376="","",INDEX('Per Line'!$F$2:$F$4001,$X376))</f>
        <v/>
      </c>
      <c r="F376" s="20" t="str">
        <f aca="false">IF($X376="","",INDEX('Per Line'!$G$2:$G$4001,$X376))</f>
        <v/>
      </c>
      <c r="G376" s="20" t="str">
        <f aca="false">IF($X376="","",INDEX('Per Line'!$I$2:$I$4001,$X376))</f>
        <v/>
      </c>
      <c r="H376" s="20" t="str">
        <f aca="false">IF($X376="","",INDEX('Per Line'!$J$2:$J$4001,$X376))</f>
        <v/>
      </c>
      <c r="I376" s="20" t="str">
        <f aca="false">IF($X376="","",INDEX('Per Line'!$K$2:$K$4001,$X376))</f>
        <v/>
      </c>
      <c r="J376" s="20" t="str">
        <f aca="false">IF($X376="","",INDEX('Per Line'!$L$2:$L$4001,$X376))</f>
        <v/>
      </c>
      <c r="K376" s="20" t="str">
        <f aca="false">IF($X376="","",INDEX('Per Line'!$M$2:$M$4001,$X376))</f>
        <v/>
      </c>
      <c r="L376" s="22" t="str">
        <f aca="false">IF($X376="","",K376*V376/100)</f>
        <v/>
      </c>
      <c r="M376" s="20" t="str">
        <f aca="false">IF($X376="","",INDEX('Per Line'!$Z$2:$Z$4001,$X376))</f>
        <v/>
      </c>
      <c r="N376" s="23" t="str">
        <f aca="false">IF($X376="","",Settings!$C$7)</f>
        <v/>
      </c>
      <c r="O376" s="22" t="str">
        <f aca="false">IF($X376="","",SUMIFS('Per Line'!$Y$2:$Y$4001,'Per Line'!$D$2:$D$4001,$B376,'Per Line'!$AJ$2:$AJ$4001,0))</f>
        <v/>
      </c>
      <c r="P376" s="22" t="str">
        <f aca="false">IF($X376="","",O376*N376)</f>
        <v/>
      </c>
      <c r="Q376" s="23" t="str">
        <f aca="false">IF($X376="","",Settings!$C$6)</f>
        <v/>
      </c>
      <c r="R376" s="22" t="str">
        <f aca="false">IF($X376="","",SUMIFS('Per Line'!$Y$2:$Y$4001,'Per Line'!$D$2:$D$4001,$B376,'Per Line'!$AJ$2:$AJ$4001,1))</f>
        <v/>
      </c>
      <c r="S376" s="22" t="str">
        <f aca="false">IF($X376="","",R376*Q376)</f>
        <v/>
      </c>
      <c r="T376" s="22" t="str">
        <f aca="false">IF($X376="","",S376+P376)</f>
        <v/>
      </c>
      <c r="U376" s="22" t="str">
        <f aca="false">IF($X376="","",V376-T376)</f>
        <v/>
      </c>
      <c r="V376" s="22" t="str">
        <f aca="false">IF($X376="","",O376+R376)</f>
        <v/>
      </c>
      <c r="W376" s="22" t="str">
        <f aca="false">IF($X376="","",U376-L376)</f>
        <v/>
      </c>
      <c r="X376" s="24" t="str">
        <f aca="false">IF(ROWS($X$2:$X376)&lt;=MAX('Per Line'!$AI$2:$AI$4001),MATCH(ROWS($X$2:$X376),'Per Line'!$AI$2:$AI$4001,0),"")</f>
        <v/>
      </c>
    </row>
    <row r="377" customFormat="false" ht="15" hidden="false" customHeight="false" outlineLevel="0" collapsed="false">
      <c r="A377" s="19"/>
      <c r="B377" s="20" t="str">
        <f aca="false">IF($X377="","",INDEX('Per Line'!$D$2:$D$4001,$X377))</f>
        <v/>
      </c>
      <c r="C377" s="20" t="str">
        <f aca="false">IF($X377="","",INDEX('Per Line'!$C$2:$C$4001,$X377))</f>
        <v/>
      </c>
      <c r="D377" s="20" t="str">
        <f aca="false">IF($X377="","",INDEX('Per Line'!$A$2:$A$4001,$X377))</f>
        <v/>
      </c>
      <c r="E377" s="21" t="str">
        <f aca="false">IF($X377="","",INDEX('Per Line'!$F$2:$F$4001,$X377))</f>
        <v/>
      </c>
      <c r="F377" s="20" t="str">
        <f aca="false">IF($X377="","",INDEX('Per Line'!$G$2:$G$4001,$X377))</f>
        <v/>
      </c>
      <c r="G377" s="20" t="str">
        <f aca="false">IF($X377="","",INDEX('Per Line'!$I$2:$I$4001,$X377))</f>
        <v/>
      </c>
      <c r="H377" s="20" t="str">
        <f aca="false">IF($X377="","",INDEX('Per Line'!$J$2:$J$4001,$X377))</f>
        <v/>
      </c>
      <c r="I377" s="20" t="str">
        <f aca="false">IF($X377="","",INDEX('Per Line'!$K$2:$K$4001,$X377))</f>
        <v/>
      </c>
      <c r="J377" s="20" t="str">
        <f aca="false">IF($X377="","",INDEX('Per Line'!$L$2:$L$4001,$X377))</f>
        <v/>
      </c>
      <c r="K377" s="20" t="str">
        <f aca="false">IF($X377="","",INDEX('Per Line'!$M$2:$M$4001,$X377))</f>
        <v/>
      </c>
      <c r="L377" s="22" t="str">
        <f aca="false">IF($X377="","",K377*V377/100)</f>
        <v/>
      </c>
      <c r="M377" s="20" t="str">
        <f aca="false">IF($X377="","",INDEX('Per Line'!$Z$2:$Z$4001,$X377))</f>
        <v/>
      </c>
      <c r="N377" s="23" t="str">
        <f aca="false">IF($X377="","",Settings!$C$7)</f>
        <v/>
      </c>
      <c r="O377" s="22" t="str">
        <f aca="false">IF($X377="","",SUMIFS('Per Line'!$Y$2:$Y$4001,'Per Line'!$D$2:$D$4001,$B377,'Per Line'!$AJ$2:$AJ$4001,0))</f>
        <v/>
      </c>
      <c r="P377" s="22" t="str">
        <f aca="false">IF($X377="","",O377*N377)</f>
        <v/>
      </c>
      <c r="Q377" s="23" t="str">
        <f aca="false">IF($X377="","",Settings!$C$6)</f>
        <v/>
      </c>
      <c r="R377" s="22" t="str">
        <f aca="false">IF($X377="","",SUMIFS('Per Line'!$Y$2:$Y$4001,'Per Line'!$D$2:$D$4001,$B377,'Per Line'!$AJ$2:$AJ$4001,1))</f>
        <v/>
      </c>
      <c r="S377" s="22" t="str">
        <f aca="false">IF($X377="","",R377*Q377)</f>
        <v/>
      </c>
      <c r="T377" s="22" t="str">
        <f aca="false">IF($X377="","",S377+P377)</f>
        <v/>
      </c>
      <c r="U377" s="22" t="str">
        <f aca="false">IF($X377="","",V377-T377)</f>
        <v/>
      </c>
      <c r="V377" s="22" t="str">
        <f aca="false">IF($X377="","",O377+R377)</f>
        <v/>
      </c>
      <c r="W377" s="22" t="str">
        <f aca="false">IF($X377="","",U377-L377)</f>
        <v/>
      </c>
      <c r="X377" s="24" t="str">
        <f aca="false">IF(ROWS($X$2:$X377)&lt;=MAX('Per Line'!$AI$2:$AI$4001),MATCH(ROWS($X$2:$X377),'Per Line'!$AI$2:$AI$4001,0),"")</f>
        <v/>
      </c>
    </row>
    <row r="378" customFormat="false" ht="15" hidden="false" customHeight="false" outlineLevel="0" collapsed="false">
      <c r="A378" s="19"/>
      <c r="B378" s="20" t="str">
        <f aca="false">IF($X378="","",INDEX('Per Line'!$D$2:$D$4001,$X378))</f>
        <v/>
      </c>
      <c r="C378" s="20" t="str">
        <f aca="false">IF($X378="","",INDEX('Per Line'!$C$2:$C$4001,$X378))</f>
        <v/>
      </c>
      <c r="D378" s="20" t="str">
        <f aca="false">IF($X378="","",INDEX('Per Line'!$A$2:$A$4001,$X378))</f>
        <v/>
      </c>
      <c r="E378" s="21" t="str">
        <f aca="false">IF($X378="","",INDEX('Per Line'!$F$2:$F$4001,$X378))</f>
        <v/>
      </c>
      <c r="F378" s="20" t="str">
        <f aca="false">IF($X378="","",INDEX('Per Line'!$G$2:$G$4001,$X378))</f>
        <v/>
      </c>
      <c r="G378" s="20" t="str">
        <f aca="false">IF($X378="","",INDEX('Per Line'!$I$2:$I$4001,$X378))</f>
        <v/>
      </c>
      <c r="H378" s="20" t="str">
        <f aca="false">IF($X378="","",INDEX('Per Line'!$J$2:$J$4001,$X378))</f>
        <v/>
      </c>
      <c r="I378" s="20" t="str">
        <f aca="false">IF($X378="","",INDEX('Per Line'!$K$2:$K$4001,$X378))</f>
        <v/>
      </c>
      <c r="J378" s="20" t="str">
        <f aca="false">IF($X378="","",INDEX('Per Line'!$L$2:$L$4001,$X378))</f>
        <v/>
      </c>
      <c r="K378" s="20" t="str">
        <f aca="false">IF($X378="","",INDEX('Per Line'!$M$2:$M$4001,$X378))</f>
        <v/>
      </c>
      <c r="L378" s="22" t="str">
        <f aca="false">IF($X378="","",K378*V378/100)</f>
        <v/>
      </c>
      <c r="M378" s="20" t="str">
        <f aca="false">IF($X378="","",INDEX('Per Line'!$Z$2:$Z$4001,$X378))</f>
        <v/>
      </c>
      <c r="N378" s="23" t="str">
        <f aca="false">IF($X378="","",Settings!$C$7)</f>
        <v/>
      </c>
      <c r="O378" s="22" t="str">
        <f aca="false">IF($X378="","",SUMIFS('Per Line'!$Y$2:$Y$4001,'Per Line'!$D$2:$D$4001,$B378,'Per Line'!$AJ$2:$AJ$4001,0))</f>
        <v/>
      </c>
      <c r="P378" s="22" t="str">
        <f aca="false">IF($X378="","",O378*N378)</f>
        <v/>
      </c>
      <c r="Q378" s="23" t="str">
        <f aca="false">IF($X378="","",Settings!$C$6)</f>
        <v/>
      </c>
      <c r="R378" s="22" t="str">
        <f aca="false">IF($X378="","",SUMIFS('Per Line'!$Y$2:$Y$4001,'Per Line'!$D$2:$D$4001,$B378,'Per Line'!$AJ$2:$AJ$4001,1))</f>
        <v/>
      </c>
      <c r="S378" s="22" t="str">
        <f aca="false">IF($X378="","",R378*Q378)</f>
        <v/>
      </c>
      <c r="T378" s="22" t="str">
        <f aca="false">IF($X378="","",S378+P378)</f>
        <v/>
      </c>
      <c r="U378" s="22" t="str">
        <f aca="false">IF($X378="","",V378-T378)</f>
        <v/>
      </c>
      <c r="V378" s="22" t="str">
        <f aca="false">IF($X378="","",O378+R378)</f>
        <v/>
      </c>
      <c r="W378" s="22" t="str">
        <f aca="false">IF($X378="","",U378-L378)</f>
        <v/>
      </c>
      <c r="X378" s="24" t="str">
        <f aca="false">IF(ROWS($X$2:$X378)&lt;=MAX('Per Line'!$AI$2:$AI$4001),MATCH(ROWS($X$2:$X378),'Per Line'!$AI$2:$AI$4001,0),"")</f>
        <v/>
      </c>
    </row>
    <row r="379" customFormat="false" ht="15" hidden="false" customHeight="false" outlineLevel="0" collapsed="false">
      <c r="A379" s="19"/>
      <c r="B379" s="20" t="str">
        <f aca="false">IF($X379="","",INDEX('Per Line'!$D$2:$D$4001,$X379))</f>
        <v/>
      </c>
      <c r="C379" s="20" t="str">
        <f aca="false">IF($X379="","",INDEX('Per Line'!$C$2:$C$4001,$X379))</f>
        <v/>
      </c>
      <c r="D379" s="20" t="str">
        <f aca="false">IF($X379="","",INDEX('Per Line'!$A$2:$A$4001,$X379))</f>
        <v/>
      </c>
      <c r="E379" s="21" t="str">
        <f aca="false">IF($X379="","",INDEX('Per Line'!$F$2:$F$4001,$X379))</f>
        <v/>
      </c>
      <c r="F379" s="20" t="str">
        <f aca="false">IF($X379="","",INDEX('Per Line'!$G$2:$G$4001,$X379))</f>
        <v/>
      </c>
      <c r="G379" s="20" t="str">
        <f aca="false">IF($X379="","",INDEX('Per Line'!$I$2:$I$4001,$X379))</f>
        <v/>
      </c>
      <c r="H379" s="20" t="str">
        <f aca="false">IF($X379="","",INDEX('Per Line'!$J$2:$J$4001,$X379))</f>
        <v/>
      </c>
      <c r="I379" s="20" t="str">
        <f aca="false">IF($X379="","",INDEX('Per Line'!$K$2:$K$4001,$X379))</f>
        <v/>
      </c>
      <c r="J379" s="20" t="str">
        <f aca="false">IF($X379="","",INDEX('Per Line'!$L$2:$L$4001,$X379))</f>
        <v/>
      </c>
      <c r="K379" s="20" t="str">
        <f aca="false">IF($X379="","",INDEX('Per Line'!$M$2:$M$4001,$X379))</f>
        <v/>
      </c>
      <c r="L379" s="22" t="str">
        <f aca="false">IF($X379="","",K379*V379/100)</f>
        <v/>
      </c>
      <c r="M379" s="20" t="str">
        <f aca="false">IF($X379="","",INDEX('Per Line'!$Z$2:$Z$4001,$X379))</f>
        <v/>
      </c>
      <c r="N379" s="23" t="str">
        <f aca="false">IF($X379="","",Settings!$C$7)</f>
        <v/>
      </c>
      <c r="O379" s="22" t="str">
        <f aca="false">IF($X379="","",SUMIFS('Per Line'!$Y$2:$Y$4001,'Per Line'!$D$2:$D$4001,$B379,'Per Line'!$AJ$2:$AJ$4001,0))</f>
        <v/>
      </c>
      <c r="P379" s="22" t="str">
        <f aca="false">IF($X379="","",O379*N379)</f>
        <v/>
      </c>
      <c r="Q379" s="23" t="str">
        <f aca="false">IF($X379="","",Settings!$C$6)</f>
        <v/>
      </c>
      <c r="R379" s="22" t="str">
        <f aca="false">IF($X379="","",SUMIFS('Per Line'!$Y$2:$Y$4001,'Per Line'!$D$2:$D$4001,$B379,'Per Line'!$AJ$2:$AJ$4001,1))</f>
        <v/>
      </c>
      <c r="S379" s="22" t="str">
        <f aca="false">IF($X379="","",R379*Q379)</f>
        <v/>
      </c>
      <c r="T379" s="22" t="str">
        <f aca="false">IF($X379="","",S379+P379)</f>
        <v/>
      </c>
      <c r="U379" s="22" t="str">
        <f aca="false">IF($X379="","",V379-T379)</f>
        <v/>
      </c>
      <c r="V379" s="22" t="str">
        <f aca="false">IF($X379="","",O379+R379)</f>
        <v/>
      </c>
      <c r="W379" s="22" t="str">
        <f aca="false">IF($X379="","",U379-L379)</f>
        <v/>
      </c>
      <c r="X379" s="24" t="str">
        <f aca="false">IF(ROWS($X$2:$X379)&lt;=MAX('Per Line'!$AI$2:$AI$4001),MATCH(ROWS($X$2:$X379),'Per Line'!$AI$2:$AI$4001,0),"")</f>
        <v/>
      </c>
    </row>
    <row r="380" customFormat="false" ht="15" hidden="false" customHeight="false" outlineLevel="0" collapsed="false">
      <c r="A380" s="19"/>
      <c r="B380" s="20" t="str">
        <f aca="false">IF($X380="","",INDEX('Per Line'!$D$2:$D$4001,$X380))</f>
        <v/>
      </c>
      <c r="C380" s="20" t="str">
        <f aca="false">IF($X380="","",INDEX('Per Line'!$C$2:$C$4001,$X380))</f>
        <v/>
      </c>
      <c r="D380" s="20" t="str">
        <f aca="false">IF($X380="","",INDEX('Per Line'!$A$2:$A$4001,$X380))</f>
        <v/>
      </c>
      <c r="E380" s="21" t="str">
        <f aca="false">IF($X380="","",INDEX('Per Line'!$F$2:$F$4001,$X380))</f>
        <v/>
      </c>
      <c r="F380" s="20" t="str">
        <f aca="false">IF($X380="","",INDEX('Per Line'!$G$2:$G$4001,$X380))</f>
        <v/>
      </c>
      <c r="G380" s="20" t="str">
        <f aca="false">IF($X380="","",INDEX('Per Line'!$I$2:$I$4001,$X380))</f>
        <v/>
      </c>
      <c r="H380" s="20" t="str">
        <f aca="false">IF($X380="","",INDEX('Per Line'!$J$2:$J$4001,$X380))</f>
        <v/>
      </c>
      <c r="I380" s="20" t="str">
        <f aca="false">IF($X380="","",INDEX('Per Line'!$K$2:$K$4001,$X380))</f>
        <v/>
      </c>
      <c r="J380" s="20" t="str">
        <f aca="false">IF($X380="","",INDEX('Per Line'!$L$2:$L$4001,$X380))</f>
        <v/>
      </c>
      <c r="K380" s="20" t="str">
        <f aca="false">IF($X380="","",INDEX('Per Line'!$M$2:$M$4001,$X380))</f>
        <v/>
      </c>
      <c r="L380" s="22" t="str">
        <f aca="false">IF($X380="","",K380*V380/100)</f>
        <v/>
      </c>
      <c r="M380" s="20" t="str">
        <f aca="false">IF($X380="","",INDEX('Per Line'!$Z$2:$Z$4001,$X380))</f>
        <v/>
      </c>
      <c r="N380" s="23" t="str">
        <f aca="false">IF($X380="","",Settings!$C$7)</f>
        <v/>
      </c>
      <c r="O380" s="22" t="str">
        <f aca="false">IF($X380="","",SUMIFS('Per Line'!$Y$2:$Y$4001,'Per Line'!$D$2:$D$4001,$B380,'Per Line'!$AJ$2:$AJ$4001,0))</f>
        <v/>
      </c>
      <c r="P380" s="22" t="str">
        <f aca="false">IF($X380="","",O380*N380)</f>
        <v/>
      </c>
      <c r="Q380" s="23" t="str">
        <f aca="false">IF($X380="","",Settings!$C$6)</f>
        <v/>
      </c>
      <c r="R380" s="22" t="str">
        <f aca="false">IF($X380="","",SUMIFS('Per Line'!$Y$2:$Y$4001,'Per Line'!$D$2:$D$4001,$B380,'Per Line'!$AJ$2:$AJ$4001,1))</f>
        <v/>
      </c>
      <c r="S380" s="22" t="str">
        <f aca="false">IF($X380="","",R380*Q380)</f>
        <v/>
      </c>
      <c r="T380" s="22" t="str">
        <f aca="false">IF($X380="","",S380+P380)</f>
        <v/>
      </c>
      <c r="U380" s="22" t="str">
        <f aca="false">IF($X380="","",V380-T380)</f>
        <v/>
      </c>
      <c r="V380" s="22" t="str">
        <f aca="false">IF($X380="","",O380+R380)</f>
        <v/>
      </c>
      <c r="W380" s="22" t="str">
        <f aca="false">IF($X380="","",U380-L380)</f>
        <v/>
      </c>
      <c r="X380" s="24" t="str">
        <f aca="false">IF(ROWS($X$2:$X380)&lt;=MAX('Per Line'!$AI$2:$AI$4001),MATCH(ROWS($X$2:$X380),'Per Line'!$AI$2:$AI$4001,0),"")</f>
        <v/>
      </c>
    </row>
    <row r="381" customFormat="false" ht="15" hidden="false" customHeight="false" outlineLevel="0" collapsed="false">
      <c r="A381" s="19"/>
      <c r="B381" s="20" t="str">
        <f aca="false">IF($X381="","",INDEX('Per Line'!$D$2:$D$4001,$X381))</f>
        <v/>
      </c>
      <c r="C381" s="20" t="str">
        <f aca="false">IF($X381="","",INDEX('Per Line'!$C$2:$C$4001,$X381))</f>
        <v/>
      </c>
      <c r="D381" s="20" t="str">
        <f aca="false">IF($X381="","",INDEX('Per Line'!$A$2:$A$4001,$X381))</f>
        <v/>
      </c>
      <c r="E381" s="21" t="str">
        <f aca="false">IF($X381="","",INDEX('Per Line'!$F$2:$F$4001,$X381))</f>
        <v/>
      </c>
      <c r="F381" s="20" t="str">
        <f aca="false">IF($X381="","",INDEX('Per Line'!$G$2:$G$4001,$X381))</f>
        <v/>
      </c>
      <c r="G381" s="20" t="str">
        <f aca="false">IF($X381="","",INDEX('Per Line'!$I$2:$I$4001,$X381))</f>
        <v/>
      </c>
      <c r="H381" s="20" t="str">
        <f aca="false">IF($X381="","",INDEX('Per Line'!$J$2:$J$4001,$X381))</f>
        <v/>
      </c>
      <c r="I381" s="20" t="str">
        <f aca="false">IF($X381="","",INDEX('Per Line'!$K$2:$K$4001,$X381))</f>
        <v/>
      </c>
      <c r="J381" s="20" t="str">
        <f aca="false">IF($X381="","",INDEX('Per Line'!$L$2:$L$4001,$X381))</f>
        <v/>
      </c>
      <c r="K381" s="20" t="str">
        <f aca="false">IF($X381="","",INDEX('Per Line'!$M$2:$M$4001,$X381))</f>
        <v/>
      </c>
      <c r="L381" s="22" t="str">
        <f aca="false">IF($X381="","",K381*V381/100)</f>
        <v/>
      </c>
      <c r="M381" s="20" t="str">
        <f aca="false">IF($X381="","",INDEX('Per Line'!$Z$2:$Z$4001,$X381))</f>
        <v/>
      </c>
      <c r="N381" s="23" t="str">
        <f aca="false">IF($X381="","",Settings!$C$7)</f>
        <v/>
      </c>
      <c r="O381" s="22" t="str">
        <f aca="false">IF($X381="","",SUMIFS('Per Line'!$Y$2:$Y$4001,'Per Line'!$D$2:$D$4001,$B381,'Per Line'!$AJ$2:$AJ$4001,0))</f>
        <v/>
      </c>
      <c r="P381" s="22" t="str">
        <f aca="false">IF($X381="","",O381*N381)</f>
        <v/>
      </c>
      <c r="Q381" s="23" t="str">
        <f aca="false">IF($X381="","",Settings!$C$6)</f>
        <v/>
      </c>
      <c r="R381" s="22" t="str">
        <f aca="false">IF($X381="","",SUMIFS('Per Line'!$Y$2:$Y$4001,'Per Line'!$D$2:$D$4001,$B381,'Per Line'!$AJ$2:$AJ$4001,1))</f>
        <v/>
      </c>
      <c r="S381" s="22" t="str">
        <f aca="false">IF($X381="","",R381*Q381)</f>
        <v/>
      </c>
      <c r="T381" s="22" t="str">
        <f aca="false">IF($X381="","",S381+P381)</f>
        <v/>
      </c>
      <c r="U381" s="22" t="str">
        <f aca="false">IF($X381="","",V381-T381)</f>
        <v/>
      </c>
      <c r="V381" s="22" t="str">
        <f aca="false">IF($X381="","",O381+R381)</f>
        <v/>
      </c>
      <c r="W381" s="22" t="str">
        <f aca="false">IF($X381="","",U381-L381)</f>
        <v/>
      </c>
      <c r="X381" s="24" t="str">
        <f aca="false">IF(ROWS($X$2:$X381)&lt;=MAX('Per Line'!$AI$2:$AI$4001),MATCH(ROWS($X$2:$X381),'Per Line'!$AI$2:$AI$4001,0),"")</f>
        <v/>
      </c>
    </row>
    <row r="382" customFormat="false" ht="15" hidden="false" customHeight="false" outlineLevel="0" collapsed="false">
      <c r="A382" s="19"/>
      <c r="B382" s="20" t="str">
        <f aca="false">IF($X382="","",INDEX('Per Line'!$D$2:$D$4001,$X382))</f>
        <v/>
      </c>
      <c r="C382" s="20" t="str">
        <f aca="false">IF($X382="","",INDEX('Per Line'!$C$2:$C$4001,$X382))</f>
        <v/>
      </c>
      <c r="D382" s="20" t="str">
        <f aca="false">IF($X382="","",INDEX('Per Line'!$A$2:$A$4001,$X382))</f>
        <v/>
      </c>
      <c r="E382" s="21" t="str">
        <f aca="false">IF($X382="","",INDEX('Per Line'!$F$2:$F$4001,$X382))</f>
        <v/>
      </c>
      <c r="F382" s="20" t="str">
        <f aca="false">IF($X382="","",INDEX('Per Line'!$G$2:$G$4001,$X382))</f>
        <v/>
      </c>
      <c r="G382" s="20" t="str">
        <f aca="false">IF($X382="","",INDEX('Per Line'!$I$2:$I$4001,$X382))</f>
        <v/>
      </c>
      <c r="H382" s="20" t="str">
        <f aca="false">IF($X382="","",INDEX('Per Line'!$J$2:$J$4001,$X382))</f>
        <v/>
      </c>
      <c r="I382" s="20" t="str">
        <f aca="false">IF($X382="","",INDEX('Per Line'!$K$2:$K$4001,$X382))</f>
        <v/>
      </c>
      <c r="J382" s="20" t="str">
        <f aca="false">IF($X382="","",INDEX('Per Line'!$L$2:$L$4001,$X382))</f>
        <v/>
      </c>
      <c r="K382" s="20" t="str">
        <f aca="false">IF($X382="","",INDEX('Per Line'!$M$2:$M$4001,$X382))</f>
        <v/>
      </c>
      <c r="L382" s="22" t="str">
        <f aca="false">IF($X382="","",K382*V382/100)</f>
        <v/>
      </c>
      <c r="M382" s="20" t="str">
        <f aca="false">IF($X382="","",INDEX('Per Line'!$Z$2:$Z$4001,$X382))</f>
        <v/>
      </c>
      <c r="N382" s="23" t="str">
        <f aca="false">IF($X382="","",Settings!$C$7)</f>
        <v/>
      </c>
      <c r="O382" s="22" t="str">
        <f aca="false">IF($X382="","",SUMIFS('Per Line'!$Y$2:$Y$4001,'Per Line'!$D$2:$D$4001,$B382,'Per Line'!$AJ$2:$AJ$4001,0))</f>
        <v/>
      </c>
      <c r="P382" s="22" t="str">
        <f aca="false">IF($X382="","",O382*N382)</f>
        <v/>
      </c>
      <c r="Q382" s="23" t="str">
        <f aca="false">IF($X382="","",Settings!$C$6)</f>
        <v/>
      </c>
      <c r="R382" s="22" t="str">
        <f aca="false">IF($X382="","",SUMIFS('Per Line'!$Y$2:$Y$4001,'Per Line'!$D$2:$D$4001,$B382,'Per Line'!$AJ$2:$AJ$4001,1))</f>
        <v/>
      </c>
      <c r="S382" s="22" t="str">
        <f aca="false">IF($X382="","",R382*Q382)</f>
        <v/>
      </c>
      <c r="T382" s="22" t="str">
        <f aca="false">IF($X382="","",S382+P382)</f>
        <v/>
      </c>
      <c r="U382" s="22" t="str">
        <f aca="false">IF($X382="","",V382-T382)</f>
        <v/>
      </c>
      <c r="V382" s="22" t="str">
        <f aca="false">IF($X382="","",O382+R382)</f>
        <v/>
      </c>
      <c r="W382" s="22" t="str">
        <f aca="false">IF($X382="","",U382-L382)</f>
        <v/>
      </c>
      <c r="X382" s="24" t="str">
        <f aca="false">IF(ROWS($X$2:$X382)&lt;=MAX('Per Line'!$AI$2:$AI$4001),MATCH(ROWS($X$2:$X382),'Per Line'!$AI$2:$AI$4001,0),"")</f>
        <v/>
      </c>
    </row>
    <row r="383" customFormat="false" ht="15" hidden="false" customHeight="false" outlineLevel="0" collapsed="false">
      <c r="A383" s="19"/>
      <c r="B383" s="20" t="str">
        <f aca="false">IF($X383="","",INDEX('Per Line'!$D$2:$D$4001,$X383))</f>
        <v/>
      </c>
      <c r="C383" s="20" t="str">
        <f aca="false">IF($X383="","",INDEX('Per Line'!$C$2:$C$4001,$X383))</f>
        <v/>
      </c>
      <c r="D383" s="20" t="str">
        <f aca="false">IF($X383="","",INDEX('Per Line'!$A$2:$A$4001,$X383))</f>
        <v/>
      </c>
      <c r="E383" s="21" t="str">
        <f aca="false">IF($X383="","",INDEX('Per Line'!$F$2:$F$4001,$X383))</f>
        <v/>
      </c>
      <c r="F383" s="20" t="str">
        <f aca="false">IF($X383="","",INDEX('Per Line'!$G$2:$G$4001,$X383))</f>
        <v/>
      </c>
      <c r="G383" s="20" t="str">
        <f aca="false">IF($X383="","",INDEX('Per Line'!$I$2:$I$4001,$X383))</f>
        <v/>
      </c>
      <c r="H383" s="20" t="str">
        <f aca="false">IF($X383="","",INDEX('Per Line'!$J$2:$J$4001,$X383))</f>
        <v/>
      </c>
      <c r="I383" s="20" t="str">
        <f aca="false">IF($X383="","",INDEX('Per Line'!$K$2:$K$4001,$X383))</f>
        <v/>
      </c>
      <c r="J383" s="20" t="str">
        <f aca="false">IF($X383="","",INDEX('Per Line'!$L$2:$L$4001,$X383))</f>
        <v/>
      </c>
      <c r="K383" s="20" t="str">
        <f aca="false">IF($X383="","",INDEX('Per Line'!$M$2:$M$4001,$X383))</f>
        <v/>
      </c>
      <c r="L383" s="22" t="str">
        <f aca="false">IF($X383="","",K383*V383/100)</f>
        <v/>
      </c>
      <c r="M383" s="20" t="str">
        <f aca="false">IF($X383="","",INDEX('Per Line'!$Z$2:$Z$4001,$X383))</f>
        <v/>
      </c>
      <c r="N383" s="23" t="str">
        <f aca="false">IF($X383="","",Settings!$C$7)</f>
        <v/>
      </c>
      <c r="O383" s="22" t="str">
        <f aca="false">IF($X383="","",SUMIFS('Per Line'!$Y$2:$Y$4001,'Per Line'!$D$2:$D$4001,$B383,'Per Line'!$AJ$2:$AJ$4001,0))</f>
        <v/>
      </c>
      <c r="P383" s="22" t="str">
        <f aca="false">IF($X383="","",O383*N383)</f>
        <v/>
      </c>
      <c r="Q383" s="23" t="str">
        <f aca="false">IF($X383="","",Settings!$C$6)</f>
        <v/>
      </c>
      <c r="R383" s="22" t="str">
        <f aca="false">IF($X383="","",SUMIFS('Per Line'!$Y$2:$Y$4001,'Per Line'!$D$2:$D$4001,$B383,'Per Line'!$AJ$2:$AJ$4001,1))</f>
        <v/>
      </c>
      <c r="S383" s="22" t="str">
        <f aca="false">IF($X383="","",R383*Q383)</f>
        <v/>
      </c>
      <c r="T383" s="22" t="str">
        <f aca="false">IF($X383="","",S383+P383)</f>
        <v/>
      </c>
      <c r="U383" s="22" t="str">
        <f aca="false">IF($X383="","",V383-T383)</f>
        <v/>
      </c>
      <c r="V383" s="22" t="str">
        <f aca="false">IF($X383="","",O383+R383)</f>
        <v/>
      </c>
      <c r="W383" s="22" t="str">
        <f aca="false">IF($X383="","",U383-L383)</f>
        <v/>
      </c>
      <c r="X383" s="24" t="str">
        <f aca="false">IF(ROWS($X$2:$X383)&lt;=MAX('Per Line'!$AI$2:$AI$4001),MATCH(ROWS($X$2:$X383),'Per Line'!$AI$2:$AI$4001,0),"")</f>
        <v/>
      </c>
    </row>
    <row r="384" customFormat="false" ht="15" hidden="false" customHeight="false" outlineLevel="0" collapsed="false">
      <c r="A384" s="19"/>
      <c r="B384" s="20" t="str">
        <f aca="false">IF($X384="","",INDEX('Per Line'!$D$2:$D$4001,$X384))</f>
        <v/>
      </c>
      <c r="C384" s="20" t="str">
        <f aca="false">IF($X384="","",INDEX('Per Line'!$C$2:$C$4001,$X384))</f>
        <v/>
      </c>
      <c r="D384" s="20" t="str">
        <f aca="false">IF($X384="","",INDEX('Per Line'!$A$2:$A$4001,$X384))</f>
        <v/>
      </c>
      <c r="E384" s="21" t="str">
        <f aca="false">IF($X384="","",INDEX('Per Line'!$F$2:$F$4001,$X384))</f>
        <v/>
      </c>
      <c r="F384" s="20" t="str">
        <f aca="false">IF($X384="","",INDEX('Per Line'!$G$2:$G$4001,$X384))</f>
        <v/>
      </c>
      <c r="G384" s="20" t="str">
        <f aca="false">IF($X384="","",INDEX('Per Line'!$I$2:$I$4001,$X384))</f>
        <v/>
      </c>
      <c r="H384" s="20" t="str">
        <f aca="false">IF($X384="","",INDEX('Per Line'!$J$2:$J$4001,$X384))</f>
        <v/>
      </c>
      <c r="I384" s="20" t="str">
        <f aca="false">IF($X384="","",INDEX('Per Line'!$K$2:$K$4001,$X384))</f>
        <v/>
      </c>
      <c r="J384" s="20" t="str">
        <f aca="false">IF($X384="","",INDEX('Per Line'!$L$2:$L$4001,$X384))</f>
        <v/>
      </c>
      <c r="K384" s="20" t="str">
        <f aca="false">IF($X384="","",INDEX('Per Line'!$M$2:$M$4001,$X384))</f>
        <v/>
      </c>
      <c r="L384" s="22" t="str">
        <f aca="false">IF($X384="","",K384*V384/100)</f>
        <v/>
      </c>
      <c r="M384" s="20" t="str">
        <f aca="false">IF($X384="","",INDEX('Per Line'!$Z$2:$Z$4001,$X384))</f>
        <v/>
      </c>
      <c r="N384" s="23" t="str">
        <f aca="false">IF($X384="","",Settings!$C$7)</f>
        <v/>
      </c>
      <c r="O384" s="22" t="str">
        <f aca="false">IF($X384="","",SUMIFS('Per Line'!$Y$2:$Y$4001,'Per Line'!$D$2:$D$4001,$B384,'Per Line'!$AJ$2:$AJ$4001,0))</f>
        <v/>
      </c>
      <c r="P384" s="22" t="str">
        <f aca="false">IF($X384="","",O384*N384)</f>
        <v/>
      </c>
      <c r="Q384" s="23" t="str">
        <f aca="false">IF($X384="","",Settings!$C$6)</f>
        <v/>
      </c>
      <c r="R384" s="22" t="str">
        <f aca="false">IF($X384="","",SUMIFS('Per Line'!$Y$2:$Y$4001,'Per Line'!$D$2:$D$4001,$B384,'Per Line'!$AJ$2:$AJ$4001,1))</f>
        <v/>
      </c>
      <c r="S384" s="22" t="str">
        <f aca="false">IF($X384="","",R384*Q384)</f>
        <v/>
      </c>
      <c r="T384" s="22" t="str">
        <f aca="false">IF($X384="","",S384+P384)</f>
        <v/>
      </c>
      <c r="U384" s="22" t="str">
        <f aca="false">IF($X384="","",V384-T384)</f>
        <v/>
      </c>
      <c r="V384" s="22" t="str">
        <f aca="false">IF($X384="","",O384+R384)</f>
        <v/>
      </c>
      <c r="W384" s="22" t="str">
        <f aca="false">IF($X384="","",U384-L384)</f>
        <v/>
      </c>
      <c r="X384" s="24" t="str">
        <f aca="false">IF(ROWS($X$2:$X384)&lt;=MAX('Per Line'!$AI$2:$AI$4001),MATCH(ROWS($X$2:$X384),'Per Line'!$AI$2:$AI$4001,0),"")</f>
        <v/>
      </c>
    </row>
    <row r="385" customFormat="false" ht="15" hidden="false" customHeight="false" outlineLevel="0" collapsed="false">
      <c r="A385" s="19"/>
      <c r="B385" s="20" t="str">
        <f aca="false">IF($X385="","",INDEX('Per Line'!$D$2:$D$4001,$X385))</f>
        <v/>
      </c>
      <c r="C385" s="20" t="str">
        <f aca="false">IF($X385="","",INDEX('Per Line'!$C$2:$C$4001,$X385))</f>
        <v/>
      </c>
      <c r="D385" s="20" t="str">
        <f aca="false">IF($X385="","",INDEX('Per Line'!$A$2:$A$4001,$X385))</f>
        <v/>
      </c>
      <c r="E385" s="21" t="str">
        <f aca="false">IF($X385="","",INDEX('Per Line'!$F$2:$F$4001,$X385))</f>
        <v/>
      </c>
      <c r="F385" s="20" t="str">
        <f aca="false">IF($X385="","",INDEX('Per Line'!$G$2:$G$4001,$X385))</f>
        <v/>
      </c>
      <c r="G385" s="20" t="str">
        <f aca="false">IF($X385="","",INDEX('Per Line'!$I$2:$I$4001,$X385))</f>
        <v/>
      </c>
      <c r="H385" s="20" t="str">
        <f aca="false">IF($X385="","",INDEX('Per Line'!$J$2:$J$4001,$X385))</f>
        <v/>
      </c>
      <c r="I385" s="20" t="str">
        <f aca="false">IF($X385="","",INDEX('Per Line'!$K$2:$K$4001,$X385))</f>
        <v/>
      </c>
      <c r="J385" s="20" t="str">
        <f aca="false">IF($X385="","",INDEX('Per Line'!$L$2:$L$4001,$X385))</f>
        <v/>
      </c>
      <c r="K385" s="20" t="str">
        <f aca="false">IF($X385="","",INDEX('Per Line'!$M$2:$M$4001,$X385))</f>
        <v/>
      </c>
      <c r="L385" s="22" t="str">
        <f aca="false">IF($X385="","",K385*V385/100)</f>
        <v/>
      </c>
      <c r="M385" s="20" t="str">
        <f aca="false">IF($X385="","",INDEX('Per Line'!$Z$2:$Z$4001,$X385))</f>
        <v/>
      </c>
      <c r="N385" s="23" t="str">
        <f aca="false">IF($X385="","",Settings!$C$7)</f>
        <v/>
      </c>
      <c r="O385" s="22" t="str">
        <f aca="false">IF($X385="","",SUMIFS('Per Line'!$Y$2:$Y$4001,'Per Line'!$D$2:$D$4001,$B385,'Per Line'!$AJ$2:$AJ$4001,0))</f>
        <v/>
      </c>
      <c r="P385" s="22" t="str">
        <f aca="false">IF($X385="","",O385*N385)</f>
        <v/>
      </c>
      <c r="Q385" s="23" t="str">
        <f aca="false">IF($X385="","",Settings!$C$6)</f>
        <v/>
      </c>
      <c r="R385" s="22" t="str">
        <f aca="false">IF($X385="","",SUMIFS('Per Line'!$Y$2:$Y$4001,'Per Line'!$D$2:$D$4001,$B385,'Per Line'!$AJ$2:$AJ$4001,1))</f>
        <v/>
      </c>
      <c r="S385" s="22" t="str">
        <f aca="false">IF($X385="","",R385*Q385)</f>
        <v/>
      </c>
      <c r="T385" s="22" t="str">
        <f aca="false">IF($X385="","",S385+P385)</f>
        <v/>
      </c>
      <c r="U385" s="22" t="str">
        <f aca="false">IF($X385="","",V385-T385)</f>
        <v/>
      </c>
      <c r="V385" s="22" t="str">
        <f aca="false">IF($X385="","",O385+R385)</f>
        <v/>
      </c>
      <c r="W385" s="22" t="str">
        <f aca="false">IF($X385="","",U385-L385)</f>
        <v/>
      </c>
      <c r="X385" s="24" t="str">
        <f aca="false">IF(ROWS($X$2:$X385)&lt;=MAX('Per Line'!$AI$2:$AI$4001),MATCH(ROWS($X$2:$X385),'Per Line'!$AI$2:$AI$4001,0),"")</f>
        <v/>
      </c>
    </row>
    <row r="386" customFormat="false" ht="15" hidden="false" customHeight="false" outlineLevel="0" collapsed="false">
      <c r="A386" s="19"/>
      <c r="B386" s="20" t="str">
        <f aca="false">IF($X386="","",INDEX('Per Line'!$D$2:$D$4001,$X386))</f>
        <v/>
      </c>
      <c r="C386" s="20" t="str">
        <f aca="false">IF($X386="","",INDEX('Per Line'!$C$2:$C$4001,$X386))</f>
        <v/>
      </c>
      <c r="D386" s="20" t="str">
        <f aca="false">IF($X386="","",INDEX('Per Line'!$A$2:$A$4001,$X386))</f>
        <v/>
      </c>
      <c r="E386" s="21" t="str">
        <f aca="false">IF($X386="","",INDEX('Per Line'!$F$2:$F$4001,$X386))</f>
        <v/>
      </c>
      <c r="F386" s="20" t="str">
        <f aca="false">IF($X386="","",INDEX('Per Line'!$G$2:$G$4001,$X386))</f>
        <v/>
      </c>
      <c r="G386" s="20" t="str">
        <f aca="false">IF($X386="","",INDEX('Per Line'!$I$2:$I$4001,$X386))</f>
        <v/>
      </c>
      <c r="H386" s="20" t="str">
        <f aca="false">IF($X386="","",INDEX('Per Line'!$J$2:$J$4001,$X386))</f>
        <v/>
      </c>
      <c r="I386" s="20" t="str">
        <f aca="false">IF($X386="","",INDEX('Per Line'!$K$2:$K$4001,$X386))</f>
        <v/>
      </c>
      <c r="J386" s="20" t="str">
        <f aca="false">IF($X386="","",INDEX('Per Line'!$L$2:$L$4001,$X386))</f>
        <v/>
      </c>
      <c r="K386" s="20" t="str">
        <f aca="false">IF($X386="","",INDEX('Per Line'!$M$2:$M$4001,$X386))</f>
        <v/>
      </c>
      <c r="L386" s="22" t="str">
        <f aca="false">IF($X386="","",K386*V386/100)</f>
        <v/>
      </c>
      <c r="M386" s="20" t="str">
        <f aca="false">IF($X386="","",INDEX('Per Line'!$Z$2:$Z$4001,$X386))</f>
        <v/>
      </c>
      <c r="N386" s="23" t="str">
        <f aca="false">IF($X386="","",Settings!$C$7)</f>
        <v/>
      </c>
      <c r="O386" s="22" t="str">
        <f aca="false">IF($X386="","",SUMIFS('Per Line'!$Y$2:$Y$4001,'Per Line'!$D$2:$D$4001,$B386,'Per Line'!$AJ$2:$AJ$4001,0))</f>
        <v/>
      </c>
      <c r="P386" s="22" t="str">
        <f aca="false">IF($X386="","",O386*N386)</f>
        <v/>
      </c>
      <c r="Q386" s="23" t="str">
        <f aca="false">IF($X386="","",Settings!$C$6)</f>
        <v/>
      </c>
      <c r="R386" s="22" t="str">
        <f aca="false">IF($X386="","",SUMIFS('Per Line'!$Y$2:$Y$4001,'Per Line'!$D$2:$D$4001,$B386,'Per Line'!$AJ$2:$AJ$4001,1))</f>
        <v/>
      </c>
      <c r="S386" s="22" t="str">
        <f aca="false">IF($X386="","",R386*Q386)</f>
        <v/>
      </c>
      <c r="T386" s="22" t="str">
        <f aca="false">IF($X386="","",S386+P386)</f>
        <v/>
      </c>
      <c r="U386" s="22" t="str">
        <f aca="false">IF($X386="","",V386-T386)</f>
        <v/>
      </c>
      <c r="V386" s="22" t="str">
        <f aca="false">IF($X386="","",O386+R386)</f>
        <v/>
      </c>
      <c r="W386" s="22" t="str">
        <f aca="false">IF($X386="","",U386-L386)</f>
        <v/>
      </c>
      <c r="X386" s="24" t="str">
        <f aca="false">IF(ROWS($X$2:$X386)&lt;=MAX('Per Line'!$AI$2:$AI$4001),MATCH(ROWS($X$2:$X386),'Per Line'!$AI$2:$AI$4001,0),"")</f>
        <v/>
      </c>
    </row>
    <row r="387" customFormat="false" ht="15" hidden="false" customHeight="false" outlineLevel="0" collapsed="false">
      <c r="A387" s="19"/>
      <c r="B387" s="20" t="str">
        <f aca="false">IF($X387="","",INDEX('Per Line'!$D$2:$D$4001,$X387))</f>
        <v/>
      </c>
      <c r="C387" s="20" t="str">
        <f aca="false">IF($X387="","",INDEX('Per Line'!$C$2:$C$4001,$X387))</f>
        <v/>
      </c>
      <c r="D387" s="20" t="str">
        <f aca="false">IF($X387="","",INDEX('Per Line'!$A$2:$A$4001,$X387))</f>
        <v/>
      </c>
      <c r="E387" s="21" t="str">
        <f aca="false">IF($X387="","",INDEX('Per Line'!$F$2:$F$4001,$X387))</f>
        <v/>
      </c>
      <c r="F387" s="20" t="str">
        <f aca="false">IF($X387="","",INDEX('Per Line'!$G$2:$G$4001,$X387))</f>
        <v/>
      </c>
      <c r="G387" s="20" t="str">
        <f aca="false">IF($X387="","",INDEX('Per Line'!$I$2:$I$4001,$X387))</f>
        <v/>
      </c>
      <c r="H387" s="20" t="str">
        <f aca="false">IF($X387="","",INDEX('Per Line'!$J$2:$J$4001,$X387))</f>
        <v/>
      </c>
      <c r="I387" s="20" t="str">
        <f aca="false">IF($X387="","",INDEX('Per Line'!$K$2:$K$4001,$X387))</f>
        <v/>
      </c>
      <c r="J387" s="20" t="str">
        <f aca="false">IF($X387="","",INDEX('Per Line'!$L$2:$L$4001,$X387))</f>
        <v/>
      </c>
      <c r="K387" s="20" t="str">
        <f aca="false">IF($X387="","",INDEX('Per Line'!$M$2:$M$4001,$X387))</f>
        <v/>
      </c>
      <c r="L387" s="22" t="str">
        <f aca="false">IF($X387="","",K387*V387/100)</f>
        <v/>
      </c>
      <c r="M387" s="20" t="str">
        <f aca="false">IF($X387="","",INDEX('Per Line'!$Z$2:$Z$4001,$X387))</f>
        <v/>
      </c>
      <c r="N387" s="23" t="str">
        <f aca="false">IF($X387="","",Settings!$C$7)</f>
        <v/>
      </c>
      <c r="O387" s="22" t="str">
        <f aca="false">IF($X387="","",SUMIFS('Per Line'!$Y$2:$Y$4001,'Per Line'!$D$2:$D$4001,$B387,'Per Line'!$AJ$2:$AJ$4001,0))</f>
        <v/>
      </c>
      <c r="P387" s="22" t="str">
        <f aca="false">IF($X387="","",O387*N387)</f>
        <v/>
      </c>
      <c r="Q387" s="23" t="str">
        <f aca="false">IF($X387="","",Settings!$C$6)</f>
        <v/>
      </c>
      <c r="R387" s="22" t="str">
        <f aca="false">IF($X387="","",SUMIFS('Per Line'!$Y$2:$Y$4001,'Per Line'!$D$2:$D$4001,$B387,'Per Line'!$AJ$2:$AJ$4001,1))</f>
        <v/>
      </c>
      <c r="S387" s="22" t="str">
        <f aca="false">IF($X387="","",R387*Q387)</f>
        <v/>
      </c>
      <c r="T387" s="22" t="str">
        <f aca="false">IF($X387="","",S387+P387)</f>
        <v/>
      </c>
      <c r="U387" s="22" t="str">
        <f aca="false">IF($X387="","",V387-T387)</f>
        <v/>
      </c>
      <c r="V387" s="22" t="str">
        <f aca="false">IF($X387="","",O387+R387)</f>
        <v/>
      </c>
      <c r="W387" s="22" t="str">
        <f aca="false">IF($X387="","",U387-L387)</f>
        <v/>
      </c>
      <c r="X387" s="24" t="str">
        <f aca="false">IF(ROWS($X$2:$X387)&lt;=MAX('Per Line'!$AI$2:$AI$4001),MATCH(ROWS($X$2:$X387),'Per Line'!$AI$2:$AI$4001,0),"")</f>
        <v/>
      </c>
    </row>
    <row r="388" customFormat="false" ht="15" hidden="false" customHeight="false" outlineLevel="0" collapsed="false">
      <c r="A388" s="19"/>
      <c r="B388" s="20" t="str">
        <f aca="false">IF($X388="","",INDEX('Per Line'!$D$2:$D$4001,$X388))</f>
        <v/>
      </c>
      <c r="C388" s="20" t="str">
        <f aca="false">IF($X388="","",INDEX('Per Line'!$C$2:$C$4001,$X388))</f>
        <v/>
      </c>
      <c r="D388" s="20" t="str">
        <f aca="false">IF($X388="","",INDEX('Per Line'!$A$2:$A$4001,$X388))</f>
        <v/>
      </c>
      <c r="E388" s="21" t="str">
        <f aca="false">IF($X388="","",INDEX('Per Line'!$F$2:$F$4001,$X388))</f>
        <v/>
      </c>
      <c r="F388" s="20" t="str">
        <f aca="false">IF($X388="","",INDEX('Per Line'!$G$2:$G$4001,$X388))</f>
        <v/>
      </c>
      <c r="G388" s="20" t="str">
        <f aca="false">IF($X388="","",INDEX('Per Line'!$I$2:$I$4001,$X388))</f>
        <v/>
      </c>
      <c r="H388" s="20" t="str">
        <f aca="false">IF($X388="","",INDEX('Per Line'!$J$2:$J$4001,$X388))</f>
        <v/>
      </c>
      <c r="I388" s="20" t="str">
        <f aca="false">IF($X388="","",INDEX('Per Line'!$K$2:$K$4001,$X388))</f>
        <v/>
      </c>
      <c r="J388" s="20" t="str">
        <f aca="false">IF($X388="","",INDEX('Per Line'!$L$2:$L$4001,$X388))</f>
        <v/>
      </c>
      <c r="K388" s="20" t="str">
        <f aca="false">IF($X388="","",INDEX('Per Line'!$M$2:$M$4001,$X388))</f>
        <v/>
      </c>
      <c r="L388" s="22" t="str">
        <f aca="false">IF($X388="","",K388*V388/100)</f>
        <v/>
      </c>
      <c r="M388" s="20" t="str">
        <f aca="false">IF($X388="","",INDEX('Per Line'!$Z$2:$Z$4001,$X388))</f>
        <v/>
      </c>
      <c r="N388" s="23" t="str">
        <f aca="false">IF($X388="","",Settings!$C$7)</f>
        <v/>
      </c>
      <c r="O388" s="22" t="str">
        <f aca="false">IF($X388="","",SUMIFS('Per Line'!$Y$2:$Y$4001,'Per Line'!$D$2:$D$4001,$B388,'Per Line'!$AJ$2:$AJ$4001,0))</f>
        <v/>
      </c>
      <c r="P388" s="22" t="str">
        <f aca="false">IF($X388="","",O388*N388)</f>
        <v/>
      </c>
      <c r="Q388" s="23" t="str">
        <f aca="false">IF($X388="","",Settings!$C$6)</f>
        <v/>
      </c>
      <c r="R388" s="22" t="str">
        <f aca="false">IF($X388="","",SUMIFS('Per Line'!$Y$2:$Y$4001,'Per Line'!$D$2:$D$4001,$B388,'Per Line'!$AJ$2:$AJ$4001,1))</f>
        <v/>
      </c>
      <c r="S388" s="22" t="str">
        <f aca="false">IF($X388="","",R388*Q388)</f>
        <v/>
      </c>
      <c r="T388" s="22" t="str">
        <f aca="false">IF($X388="","",S388+P388)</f>
        <v/>
      </c>
      <c r="U388" s="22" t="str">
        <f aca="false">IF($X388="","",V388-T388)</f>
        <v/>
      </c>
      <c r="V388" s="22" t="str">
        <f aca="false">IF($X388="","",O388+R388)</f>
        <v/>
      </c>
      <c r="W388" s="22" t="str">
        <f aca="false">IF($X388="","",U388-L388)</f>
        <v/>
      </c>
      <c r="X388" s="24" t="str">
        <f aca="false">IF(ROWS($X$2:$X388)&lt;=MAX('Per Line'!$AI$2:$AI$4001),MATCH(ROWS($X$2:$X388),'Per Line'!$AI$2:$AI$4001,0),"")</f>
        <v/>
      </c>
    </row>
    <row r="389" customFormat="false" ht="15" hidden="false" customHeight="false" outlineLevel="0" collapsed="false">
      <c r="A389" s="19"/>
      <c r="B389" s="20" t="str">
        <f aca="false">IF($X389="","",INDEX('Per Line'!$D$2:$D$4001,$X389))</f>
        <v/>
      </c>
      <c r="C389" s="20" t="str">
        <f aca="false">IF($X389="","",INDEX('Per Line'!$C$2:$C$4001,$X389))</f>
        <v/>
      </c>
      <c r="D389" s="20" t="str">
        <f aca="false">IF($X389="","",INDEX('Per Line'!$A$2:$A$4001,$X389))</f>
        <v/>
      </c>
      <c r="E389" s="21" t="str">
        <f aca="false">IF($X389="","",INDEX('Per Line'!$F$2:$F$4001,$X389))</f>
        <v/>
      </c>
      <c r="F389" s="20" t="str">
        <f aca="false">IF($X389="","",INDEX('Per Line'!$G$2:$G$4001,$X389))</f>
        <v/>
      </c>
      <c r="G389" s="20" t="str">
        <f aca="false">IF($X389="","",INDEX('Per Line'!$I$2:$I$4001,$X389))</f>
        <v/>
      </c>
      <c r="H389" s="20" t="str">
        <f aca="false">IF($X389="","",INDEX('Per Line'!$J$2:$J$4001,$X389))</f>
        <v/>
      </c>
      <c r="I389" s="20" t="str">
        <f aca="false">IF($X389="","",INDEX('Per Line'!$K$2:$K$4001,$X389))</f>
        <v/>
      </c>
      <c r="J389" s="20" t="str">
        <f aca="false">IF($X389="","",INDEX('Per Line'!$L$2:$L$4001,$X389))</f>
        <v/>
      </c>
      <c r="K389" s="20" t="str">
        <f aca="false">IF($X389="","",INDEX('Per Line'!$M$2:$M$4001,$X389))</f>
        <v/>
      </c>
      <c r="L389" s="22" t="str">
        <f aca="false">IF($X389="","",K389*V389/100)</f>
        <v/>
      </c>
      <c r="M389" s="20" t="str">
        <f aca="false">IF($X389="","",INDEX('Per Line'!$Z$2:$Z$4001,$X389))</f>
        <v/>
      </c>
      <c r="N389" s="23" t="str">
        <f aca="false">IF($X389="","",Settings!$C$7)</f>
        <v/>
      </c>
      <c r="O389" s="22" t="str">
        <f aca="false">IF($X389="","",SUMIFS('Per Line'!$Y$2:$Y$4001,'Per Line'!$D$2:$D$4001,$B389,'Per Line'!$AJ$2:$AJ$4001,0))</f>
        <v/>
      </c>
      <c r="P389" s="22" t="str">
        <f aca="false">IF($X389="","",O389*N389)</f>
        <v/>
      </c>
      <c r="Q389" s="23" t="str">
        <f aca="false">IF($X389="","",Settings!$C$6)</f>
        <v/>
      </c>
      <c r="R389" s="22" t="str">
        <f aca="false">IF($X389="","",SUMIFS('Per Line'!$Y$2:$Y$4001,'Per Line'!$D$2:$D$4001,$B389,'Per Line'!$AJ$2:$AJ$4001,1))</f>
        <v/>
      </c>
      <c r="S389" s="22" t="str">
        <f aca="false">IF($X389="","",R389*Q389)</f>
        <v/>
      </c>
      <c r="T389" s="22" t="str">
        <f aca="false">IF($X389="","",S389+P389)</f>
        <v/>
      </c>
      <c r="U389" s="22" t="str">
        <f aca="false">IF($X389="","",V389-T389)</f>
        <v/>
      </c>
      <c r="V389" s="22" t="str">
        <f aca="false">IF($X389="","",O389+R389)</f>
        <v/>
      </c>
      <c r="W389" s="22" t="str">
        <f aca="false">IF($X389="","",U389-L389)</f>
        <v/>
      </c>
      <c r="X389" s="24" t="str">
        <f aca="false">IF(ROWS($X$2:$X389)&lt;=MAX('Per Line'!$AI$2:$AI$4001),MATCH(ROWS($X$2:$X389),'Per Line'!$AI$2:$AI$4001,0),"")</f>
        <v/>
      </c>
    </row>
    <row r="390" customFormat="false" ht="15" hidden="false" customHeight="false" outlineLevel="0" collapsed="false">
      <c r="A390" s="19"/>
      <c r="B390" s="20" t="str">
        <f aca="false">IF($X390="","",INDEX('Per Line'!$D$2:$D$4001,$X390))</f>
        <v/>
      </c>
      <c r="C390" s="20" t="str">
        <f aca="false">IF($X390="","",INDEX('Per Line'!$C$2:$C$4001,$X390))</f>
        <v/>
      </c>
      <c r="D390" s="20" t="str">
        <f aca="false">IF($X390="","",INDEX('Per Line'!$A$2:$A$4001,$X390))</f>
        <v/>
      </c>
      <c r="E390" s="21" t="str">
        <f aca="false">IF($X390="","",INDEX('Per Line'!$F$2:$F$4001,$X390))</f>
        <v/>
      </c>
      <c r="F390" s="20" t="str">
        <f aca="false">IF($X390="","",INDEX('Per Line'!$G$2:$G$4001,$X390))</f>
        <v/>
      </c>
      <c r="G390" s="20" t="str">
        <f aca="false">IF($X390="","",INDEX('Per Line'!$I$2:$I$4001,$X390))</f>
        <v/>
      </c>
      <c r="H390" s="20" t="str">
        <f aca="false">IF($X390="","",INDEX('Per Line'!$J$2:$J$4001,$X390))</f>
        <v/>
      </c>
      <c r="I390" s="20" t="str">
        <f aca="false">IF($X390="","",INDEX('Per Line'!$K$2:$K$4001,$X390))</f>
        <v/>
      </c>
      <c r="J390" s="20" t="str">
        <f aca="false">IF($X390="","",INDEX('Per Line'!$L$2:$L$4001,$X390))</f>
        <v/>
      </c>
      <c r="K390" s="20" t="str">
        <f aca="false">IF($X390="","",INDEX('Per Line'!$M$2:$M$4001,$X390))</f>
        <v/>
      </c>
      <c r="L390" s="22" t="str">
        <f aca="false">IF($X390="","",K390*V390/100)</f>
        <v/>
      </c>
      <c r="M390" s="20" t="str">
        <f aca="false">IF($X390="","",INDEX('Per Line'!$Z$2:$Z$4001,$X390))</f>
        <v/>
      </c>
      <c r="N390" s="23" t="str">
        <f aca="false">IF($X390="","",Settings!$C$7)</f>
        <v/>
      </c>
      <c r="O390" s="22" t="str">
        <f aca="false">IF($X390="","",SUMIFS('Per Line'!$Y$2:$Y$4001,'Per Line'!$D$2:$D$4001,$B390,'Per Line'!$AJ$2:$AJ$4001,0))</f>
        <v/>
      </c>
      <c r="P390" s="22" t="str">
        <f aca="false">IF($X390="","",O390*N390)</f>
        <v/>
      </c>
      <c r="Q390" s="23" t="str">
        <f aca="false">IF($X390="","",Settings!$C$6)</f>
        <v/>
      </c>
      <c r="R390" s="22" t="str">
        <f aca="false">IF($X390="","",SUMIFS('Per Line'!$Y$2:$Y$4001,'Per Line'!$D$2:$D$4001,$B390,'Per Line'!$AJ$2:$AJ$4001,1))</f>
        <v/>
      </c>
      <c r="S390" s="22" t="str">
        <f aca="false">IF($X390="","",R390*Q390)</f>
        <v/>
      </c>
      <c r="T390" s="22" t="str">
        <f aca="false">IF($X390="","",S390+P390)</f>
        <v/>
      </c>
      <c r="U390" s="22" t="str">
        <f aca="false">IF($X390="","",V390-T390)</f>
        <v/>
      </c>
      <c r="V390" s="22" t="str">
        <f aca="false">IF($X390="","",O390+R390)</f>
        <v/>
      </c>
      <c r="W390" s="22" t="str">
        <f aca="false">IF($X390="","",U390-L390)</f>
        <v/>
      </c>
      <c r="X390" s="24" t="str">
        <f aca="false">IF(ROWS($X$2:$X390)&lt;=MAX('Per Line'!$AI$2:$AI$4001),MATCH(ROWS($X$2:$X390),'Per Line'!$AI$2:$AI$4001,0),"")</f>
        <v/>
      </c>
    </row>
    <row r="391" customFormat="false" ht="15" hidden="false" customHeight="false" outlineLevel="0" collapsed="false">
      <c r="A391" s="19"/>
      <c r="B391" s="20" t="str">
        <f aca="false">IF($X391="","",INDEX('Per Line'!$D$2:$D$4001,$X391))</f>
        <v/>
      </c>
      <c r="C391" s="20" t="str">
        <f aca="false">IF($X391="","",INDEX('Per Line'!$C$2:$C$4001,$X391))</f>
        <v/>
      </c>
      <c r="D391" s="20" t="str">
        <f aca="false">IF($X391="","",INDEX('Per Line'!$A$2:$A$4001,$X391))</f>
        <v/>
      </c>
      <c r="E391" s="21" t="str">
        <f aca="false">IF($X391="","",INDEX('Per Line'!$F$2:$F$4001,$X391))</f>
        <v/>
      </c>
      <c r="F391" s="20" t="str">
        <f aca="false">IF($X391="","",INDEX('Per Line'!$G$2:$G$4001,$X391))</f>
        <v/>
      </c>
      <c r="G391" s="20" t="str">
        <f aca="false">IF($X391="","",INDEX('Per Line'!$I$2:$I$4001,$X391))</f>
        <v/>
      </c>
      <c r="H391" s="20" t="str">
        <f aca="false">IF($X391="","",INDEX('Per Line'!$J$2:$J$4001,$X391))</f>
        <v/>
      </c>
      <c r="I391" s="20" t="str">
        <f aca="false">IF($X391="","",INDEX('Per Line'!$K$2:$K$4001,$X391))</f>
        <v/>
      </c>
      <c r="J391" s="20" t="str">
        <f aca="false">IF($X391="","",INDEX('Per Line'!$L$2:$L$4001,$X391))</f>
        <v/>
      </c>
      <c r="K391" s="20" t="str">
        <f aca="false">IF($X391="","",INDEX('Per Line'!$M$2:$M$4001,$X391))</f>
        <v/>
      </c>
      <c r="L391" s="22" t="str">
        <f aca="false">IF($X391="","",K391*V391/100)</f>
        <v/>
      </c>
      <c r="M391" s="20" t="str">
        <f aca="false">IF($X391="","",INDEX('Per Line'!$Z$2:$Z$4001,$X391))</f>
        <v/>
      </c>
      <c r="N391" s="23" t="str">
        <f aca="false">IF($X391="","",Settings!$C$7)</f>
        <v/>
      </c>
      <c r="O391" s="22" t="str">
        <f aca="false">IF($X391="","",SUMIFS('Per Line'!$Y$2:$Y$4001,'Per Line'!$D$2:$D$4001,$B391,'Per Line'!$AJ$2:$AJ$4001,0))</f>
        <v/>
      </c>
      <c r="P391" s="22" t="str">
        <f aca="false">IF($X391="","",O391*N391)</f>
        <v/>
      </c>
      <c r="Q391" s="23" t="str">
        <f aca="false">IF($X391="","",Settings!$C$6)</f>
        <v/>
      </c>
      <c r="R391" s="22" t="str">
        <f aca="false">IF($X391="","",SUMIFS('Per Line'!$Y$2:$Y$4001,'Per Line'!$D$2:$D$4001,$B391,'Per Line'!$AJ$2:$AJ$4001,1))</f>
        <v/>
      </c>
      <c r="S391" s="22" t="str">
        <f aca="false">IF($X391="","",R391*Q391)</f>
        <v/>
      </c>
      <c r="T391" s="22" t="str">
        <f aca="false">IF($X391="","",S391+P391)</f>
        <v/>
      </c>
      <c r="U391" s="22" t="str">
        <f aca="false">IF($X391="","",V391-T391)</f>
        <v/>
      </c>
      <c r="V391" s="22" t="str">
        <f aca="false">IF($X391="","",O391+R391)</f>
        <v/>
      </c>
      <c r="W391" s="22" t="str">
        <f aca="false">IF($X391="","",U391-L391)</f>
        <v/>
      </c>
      <c r="X391" s="24" t="str">
        <f aca="false">IF(ROWS($X$2:$X391)&lt;=MAX('Per Line'!$AI$2:$AI$4001),MATCH(ROWS($X$2:$X391),'Per Line'!$AI$2:$AI$4001,0),"")</f>
        <v/>
      </c>
    </row>
    <row r="392" customFormat="false" ht="15" hidden="false" customHeight="false" outlineLevel="0" collapsed="false">
      <c r="A392" s="19"/>
      <c r="B392" s="20" t="str">
        <f aca="false">IF($X392="","",INDEX('Per Line'!$D$2:$D$4001,$X392))</f>
        <v/>
      </c>
      <c r="C392" s="20" t="str">
        <f aca="false">IF($X392="","",INDEX('Per Line'!$C$2:$C$4001,$X392))</f>
        <v/>
      </c>
      <c r="D392" s="20" t="str">
        <f aca="false">IF($X392="","",INDEX('Per Line'!$A$2:$A$4001,$X392))</f>
        <v/>
      </c>
      <c r="E392" s="21" t="str">
        <f aca="false">IF($X392="","",INDEX('Per Line'!$F$2:$F$4001,$X392))</f>
        <v/>
      </c>
      <c r="F392" s="20" t="str">
        <f aca="false">IF($X392="","",INDEX('Per Line'!$G$2:$G$4001,$X392))</f>
        <v/>
      </c>
      <c r="G392" s="20" t="str">
        <f aca="false">IF($X392="","",INDEX('Per Line'!$I$2:$I$4001,$X392))</f>
        <v/>
      </c>
      <c r="H392" s="20" t="str">
        <f aca="false">IF($X392="","",INDEX('Per Line'!$J$2:$J$4001,$X392))</f>
        <v/>
      </c>
      <c r="I392" s="20" t="str">
        <f aca="false">IF($X392="","",INDEX('Per Line'!$K$2:$K$4001,$X392))</f>
        <v/>
      </c>
      <c r="J392" s="20" t="str">
        <f aca="false">IF($X392="","",INDEX('Per Line'!$L$2:$L$4001,$X392))</f>
        <v/>
      </c>
      <c r="K392" s="20" t="str">
        <f aca="false">IF($X392="","",INDEX('Per Line'!$M$2:$M$4001,$X392))</f>
        <v/>
      </c>
      <c r="L392" s="22" t="str">
        <f aca="false">IF($X392="","",K392*V392/100)</f>
        <v/>
      </c>
      <c r="M392" s="20" t="str">
        <f aca="false">IF($X392="","",INDEX('Per Line'!$Z$2:$Z$4001,$X392))</f>
        <v/>
      </c>
      <c r="N392" s="23" t="str">
        <f aca="false">IF($X392="","",Settings!$C$7)</f>
        <v/>
      </c>
      <c r="O392" s="22" t="str">
        <f aca="false">IF($X392="","",SUMIFS('Per Line'!$Y$2:$Y$4001,'Per Line'!$D$2:$D$4001,$B392,'Per Line'!$AJ$2:$AJ$4001,0))</f>
        <v/>
      </c>
      <c r="P392" s="22" t="str">
        <f aca="false">IF($X392="","",O392*N392)</f>
        <v/>
      </c>
      <c r="Q392" s="23" t="str">
        <f aca="false">IF($X392="","",Settings!$C$6)</f>
        <v/>
      </c>
      <c r="R392" s="22" t="str">
        <f aca="false">IF($X392="","",SUMIFS('Per Line'!$Y$2:$Y$4001,'Per Line'!$D$2:$D$4001,$B392,'Per Line'!$AJ$2:$AJ$4001,1))</f>
        <v/>
      </c>
      <c r="S392" s="22" t="str">
        <f aca="false">IF($X392="","",R392*Q392)</f>
        <v/>
      </c>
      <c r="T392" s="22" t="str">
        <f aca="false">IF($X392="","",S392+P392)</f>
        <v/>
      </c>
      <c r="U392" s="22" t="str">
        <f aca="false">IF($X392="","",V392-T392)</f>
        <v/>
      </c>
      <c r="V392" s="22" t="str">
        <f aca="false">IF($X392="","",O392+R392)</f>
        <v/>
      </c>
      <c r="W392" s="22" t="str">
        <f aca="false">IF($X392="","",U392-L392)</f>
        <v/>
      </c>
      <c r="X392" s="24" t="str">
        <f aca="false">IF(ROWS($X$2:$X392)&lt;=MAX('Per Line'!$AI$2:$AI$4001),MATCH(ROWS($X$2:$X392),'Per Line'!$AI$2:$AI$4001,0),"")</f>
        <v/>
      </c>
    </row>
    <row r="393" customFormat="false" ht="15" hidden="false" customHeight="false" outlineLevel="0" collapsed="false">
      <c r="A393" s="19"/>
      <c r="B393" s="20" t="str">
        <f aca="false">IF($X393="","",INDEX('Per Line'!$D$2:$D$4001,$X393))</f>
        <v/>
      </c>
      <c r="C393" s="20" t="str">
        <f aca="false">IF($X393="","",INDEX('Per Line'!$C$2:$C$4001,$X393))</f>
        <v/>
      </c>
      <c r="D393" s="20" t="str">
        <f aca="false">IF($X393="","",INDEX('Per Line'!$A$2:$A$4001,$X393))</f>
        <v/>
      </c>
      <c r="E393" s="21" t="str">
        <f aca="false">IF($X393="","",INDEX('Per Line'!$F$2:$F$4001,$X393))</f>
        <v/>
      </c>
      <c r="F393" s="20" t="str">
        <f aca="false">IF($X393="","",INDEX('Per Line'!$G$2:$G$4001,$X393))</f>
        <v/>
      </c>
      <c r="G393" s="20" t="str">
        <f aca="false">IF($X393="","",INDEX('Per Line'!$I$2:$I$4001,$X393))</f>
        <v/>
      </c>
      <c r="H393" s="20" t="str">
        <f aca="false">IF($X393="","",INDEX('Per Line'!$J$2:$J$4001,$X393))</f>
        <v/>
      </c>
      <c r="I393" s="20" t="str">
        <f aca="false">IF($X393="","",INDEX('Per Line'!$K$2:$K$4001,$X393))</f>
        <v/>
      </c>
      <c r="J393" s="20" t="str">
        <f aca="false">IF($X393="","",INDEX('Per Line'!$L$2:$L$4001,$X393))</f>
        <v/>
      </c>
      <c r="K393" s="20" t="str">
        <f aca="false">IF($X393="","",INDEX('Per Line'!$M$2:$M$4001,$X393))</f>
        <v/>
      </c>
      <c r="L393" s="22" t="str">
        <f aca="false">IF($X393="","",K393*V393/100)</f>
        <v/>
      </c>
      <c r="M393" s="20" t="str">
        <f aca="false">IF($X393="","",INDEX('Per Line'!$Z$2:$Z$4001,$X393))</f>
        <v/>
      </c>
      <c r="N393" s="23" t="str">
        <f aca="false">IF($X393="","",Settings!$C$7)</f>
        <v/>
      </c>
      <c r="O393" s="22" t="str">
        <f aca="false">IF($X393="","",SUMIFS('Per Line'!$Y$2:$Y$4001,'Per Line'!$D$2:$D$4001,$B393,'Per Line'!$AJ$2:$AJ$4001,0))</f>
        <v/>
      </c>
      <c r="P393" s="22" t="str">
        <f aca="false">IF($X393="","",O393*N393)</f>
        <v/>
      </c>
      <c r="Q393" s="23" t="str">
        <f aca="false">IF($X393="","",Settings!$C$6)</f>
        <v/>
      </c>
      <c r="R393" s="22" t="str">
        <f aca="false">IF($X393="","",SUMIFS('Per Line'!$Y$2:$Y$4001,'Per Line'!$D$2:$D$4001,$B393,'Per Line'!$AJ$2:$AJ$4001,1))</f>
        <v/>
      </c>
      <c r="S393" s="22" t="str">
        <f aca="false">IF($X393="","",R393*Q393)</f>
        <v/>
      </c>
      <c r="T393" s="22" t="str">
        <f aca="false">IF($X393="","",S393+P393)</f>
        <v/>
      </c>
      <c r="U393" s="22" t="str">
        <f aca="false">IF($X393="","",V393-T393)</f>
        <v/>
      </c>
      <c r="V393" s="22" t="str">
        <f aca="false">IF($X393="","",O393+R393)</f>
        <v/>
      </c>
      <c r="W393" s="22" t="str">
        <f aca="false">IF($X393="","",U393-L393)</f>
        <v/>
      </c>
      <c r="X393" s="24" t="str">
        <f aca="false">IF(ROWS($X$2:$X393)&lt;=MAX('Per Line'!$AI$2:$AI$4001),MATCH(ROWS($X$2:$X393),'Per Line'!$AI$2:$AI$4001,0),"")</f>
        <v/>
      </c>
    </row>
    <row r="394" customFormat="false" ht="15" hidden="false" customHeight="false" outlineLevel="0" collapsed="false">
      <c r="A394" s="19"/>
      <c r="B394" s="20" t="str">
        <f aca="false">IF($X394="","",INDEX('Per Line'!$D$2:$D$4001,$X394))</f>
        <v/>
      </c>
      <c r="C394" s="20" t="str">
        <f aca="false">IF($X394="","",INDEX('Per Line'!$C$2:$C$4001,$X394))</f>
        <v/>
      </c>
      <c r="D394" s="20" t="str">
        <f aca="false">IF($X394="","",INDEX('Per Line'!$A$2:$A$4001,$X394))</f>
        <v/>
      </c>
      <c r="E394" s="21" t="str">
        <f aca="false">IF($X394="","",INDEX('Per Line'!$F$2:$F$4001,$X394))</f>
        <v/>
      </c>
      <c r="F394" s="20" t="str">
        <f aca="false">IF($X394="","",INDEX('Per Line'!$G$2:$G$4001,$X394))</f>
        <v/>
      </c>
      <c r="G394" s="20" t="str">
        <f aca="false">IF($X394="","",INDEX('Per Line'!$I$2:$I$4001,$X394))</f>
        <v/>
      </c>
      <c r="H394" s="20" t="str">
        <f aca="false">IF($X394="","",INDEX('Per Line'!$J$2:$J$4001,$X394))</f>
        <v/>
      </c>
      <c r="I394" s="20" t="str">
        <f aca="false">IF($X394="","",INDEX('Per Line'!$K$2:$K$4001,$X394))</f>
        <v/>
      </c>
      <c r="J394" s="20" t="str">
        <f aca="false">IF($X394="","",INDEX('Per Line'!$L$2:$L$4001,$X394))</f>
        <v/>
      </c>
      <c r="K394" s="20" t="str">
        <f aca="false">IF($X394="","",INDEX('Per Line'!$M$2:$M$4001,$X394))</f>
        <v/>
      </c>
      <c r="L394" s="22" t="str">
        <f aca="false">IF($X394="","",K394*V394/100)</f>
        <v/>
      </c>
      <c r="M394" s="20" t="str">
        <f aca="false">IF($X394="","",INDEX('Per Line'!$Z$2:$Z$4001,$X394))</f>
        <v/>
      </c>
      <c r="N394" s="23" t="str">
        <f aca="false">IF($X394="","",Settings!$C$7)</f>
        <v/>
      </c>
      <c r="O394" s="22" t="str">
        <f aca="false">IF($X394="","",SUMIFS('Per Line'!$Y$2:$Y$4001,'Per Line'!$D$2:$D$4001,$B394,'Per Line'!$AJ$2:$AJ$4001,0))</f>
        <v/>
      </c>
      <c r="P394" s="22" t="str">
        <f aca="false">IF($X394="","",O394*N394)</f>
        <v/>
      </c>
      <c r="Q394" s="23" t="str">
        <f aca="false">IF($X394="","",Settings!$C$6)</f>
        <v/>
      </c>
      <c r="R394" s="22" t="str">
        <f aca="false">IF($X394="","",SUMIFS('Per Line'!$Y$2:$Y$4001,'Per Line'!$D$2:$D$4001,$B394,'Per Line'!$AJ$2:$AJ$4001,1))</f>
        <v/>
      </c>
      <c r="S394" s="22" t="str">
        <f aca="false">IF($X394="","",R394*Q394)</f>
        <v/>
      </c>
      <c r="T394" s="22" t="str">
        <f aca="false">IF($X394="","",S394+P394)</f>
        <v/>
      </c>
      <c r="U394" s="22" t="str">
        <f aca="false">IF($X394="","",V394-T394)</f>
        <v/>
      </c>
      <c r="V394" s="22" t="str">
        <f aca="false">IF($X394="","",O394+R394)</f>
        <v/>
      </c>
      <c r="W394" s="22" t="str">
        <f aca="false">IF($X394="","",U394-L394)</f>
        <v/>
      </c>
      <c r="X394" s="24" t="str">
        <f aca="false">IF(ROWS($X$2:$X394)&lt;=MAX('Per Line'!$AI$2:$AI$4001),MATCH(ROWS($X$2:$X394),'Per Line'!$AI$2:$AI$4001,0),"")</f>
        <v/>
      </c>
    </row>
    <row r="395" customFormat="false" ht="15" hidden="false" customHeight="false" outlineLevel="0" collapsed="false">
      <c r="A395" s="19"/>
      <c r="B395" s="20" t="str">
        <f aca="false">IF($X395="","",INDEX('Per Line'!$D$2:$D$4001,$X395))</f>
        <v/>
      </c>
      <c r="C395" s="20" t="str">
        <f aca="false">IF($X395="","",INDEX('Per Line'!$C$2:$C$4001,$X395))</f>
        <v/>
      </c>
      <c r="D395" s="20" t="str">
        <f aca="false">IF($X395="","",INDEX('Per Line'!$A$2:$A$4001,$X395))</f>
        <v/>
      </c>
      <c r="E395" s="21" t="str">
        <f aca="false">IF($X395="","",INDEX('Per Line'!$F$2:$F$4001,$X395))</f>
        <v/>
      </c>
      <c r="F395" s="20" t="str">
        <f aca="false">IF($X395="","",INDEX('Per Line'!$G$2:$G$4001,$X395))</f>
        <v/>
      </c>
      <c r="G395" s="20" t="str">
        <f aca="false">IF($X395="","",INDEX('Per Line'!$I$2:$I$4001,$X395))</f>
        <v/>
      </c>
      <c r="H395" s="20" t="str">
        <f aca="false">IF($X395="","",INDEX('Per Line'!$J$2:$J$4001,$X395))</f>
        <v/>
      </c>
      <c r="I395" s="20" t="str">
        <f aca="false">IF($X395="","",INDEX('Per Line'!$K$2:$K$4001,$X395))</f>
        <v/>
      </c>
      <c r="J395" s="20" t="str">
        <f aca="false">IF($X395="","",INDEX('Per Line'!$L$2:$L$4001,$X395))</f>
        <v/>
      </c>
      <c r="K395" s="20" t="str">
        <f aca="false">IF($X395="","",INDEX('Per Line'!$M$2:$M$4001,$X395))</f>
        <v/>
      </c>
      <c r="L395" s="22" t="str">
        <f aca="false">IF($X395="","",K395*V395/100)</f>
        <v/>
      </c>
      <c r="M395" s="20" t="str">
        <f aca="false">IF($X395="","",INDEX('Per Line'!$Z$2:$Z$4001,$X395))</f>
        <v/>
      </c>
      <c r="N395" s="23" t="str">
        <f aca="false">IF($X395="","",Settings!$C$7)</f>
        <v/>
      </c>
      <c r="O395" s="22" t="str">
        <f aca="false">IF($X395="","",SUMIFS('Per Line'!$Y$2:$Y$4001,'Per Line'!$D$2:$D$4001,$B395,'Per Line'!$AJ$2:$AJ$4001,0))</f>
        <v/>
      </c>
      <c r="P395" s="22" t="str">
        <f aca="false">IF($X395="","",O395*N395)</f>
        <v/>
      </c>
      <c r="Q395" s="23" t="str">
        <f aca="false">IF($X395="","",Settings!$C$6)</f>
        <v/>
      </c>
      <c r="R395" s="22" t="str">
        <f aca="false">IF($X395="","",SUMIFS('Per Line'!$Y$2:$Y$4001,'Per Line'!$D$2:$D$4001,$B395,'Per Line'!$AJ$2:$AJ$4001,1))</f>
        <v/>
      </c>
      <c r="S395" s="22" t="str">
        <f aca="false">IF($X395="","",R395*Q395)</f>
        <v/>
      </c>
      <c r="T395" s="22" t="str">
        <f aca="false">IF($X395="","",S395+P395)</f>
        <v/>
      </c>
      <c r="U395" s="22" t="str">
        <f aca="false">IF($X395="","",V395-T395)</f>
        <v/>
      </c>
      <c r="V395" s="22" t="str">
        <f aca="false">IF($X395="","",O395+R395)</f>
        <v/>
      </c>
      <c r="W395" s="22" t="str">
        <f aca="false">IF($X395="","",U395-L395)</f>
        <v/>
      </c>
      <c r="X395" s="24" t="str">
        <f aca="false">IF(ROWS($X$2:$X395)&lt;=MAX('Per Line'!$AI$2:$AI$4001),MATCH(ROWS($X$2:$X395),'Per Line'!$AI$2:$AI$4001,0),"")</f>
        <v/>
      </c>
    </row>
    <row r="396" customFormat="false" ht="15" hidden="false" customHeight="false" outlineLevel="0" collapsed="false">
      <c r="A396" s="19"/>
      <c r="B396" s="20" t="str">
        <f aca="false">IF($X396="","",INDEX('Per Line'!$D$2:$D$4001,$X396))</f>
        <v/>
      </c>
      <c r="C396" s="20" t="str">
        <f aca="false">IF($X396="","",INDEX('Per Line'!$C$2:$C$4001,$X396))</f>
        <v/>
      </c>
      <c r="D396" s="20" t="str">
        <f aca="false">IF($X396="","",INDEX('Per Line'!$A$2:$A$4001,$X396))</f>
        <v/>
      </c>
      <c r="E396" s="21" t="str">
        <f aca="false">IF($X396="","",INDEX('Per Line'!$F$2:$F$4001,$X396))</f>
        <v/>
      </c>
      <c r="F396" s="20" t="str">
        <f aca="false">IF($X396="","",INDEX('Per Line'!$G$2:$G$4001,$X396))</f>
        <v/>
      </c>
      <c r="G396" s="20" t="str">
        <f aca="false">IF($X396="","",INDEX('Per Line'!$I$2:$I$4001,$X396))</f>
        <v/>
      </c>
      <c r="H396" s="20" t="str">
        <f aca="false">IF($X396="","",INDEX('Per Line'!$J$2:$J$4001,$X396))</f>
        <v/>
      </c>
      <c r="I396" s="20" t="str">
        <f aca="false">IF($X396="","",INDEX('Per Line'!$K$2:$K$4001,$X396))</f>
        <v/>
      </c>
      <c r="J396" s="20" t="str">
        <f aca="false">IF($X396="","",INDEX('Per Line'!$L$2:$L$4001,$X396))</f>
        <v/>
      </c>
      <c r="K396" s="20" t="str">
        <f aca="false">IF($X396="","",INDEX('Per Line'!$M$2:$M$4001,$X396))</f>
        <v/>
      </c>
      <c r="L396" s="22" t="str">
        <f aca="false">IF($X396="","",K396*V396/100)</f>
        <v/>
      </c>
      <c r="M396" s="20" t="str">
        <f aca="false">IF($X396="","",INDEX('Per Line'!$Z$2:$Z$4001,$X396))</f>
        <v/>
      </c>
      <c r="N396" s="23" t="str">
        <f aca="false">IF($X396="","",Settings!$C$7)</f>
        <v/>
      </c>
      <c r="O396" s="22" t="str">
        <f aca="false">IF($X396="","",SUMIFS('Per Line'!$Y$2:$Y$4001,'Per Line'!$D$2:$D$4001,$B396,'Per Line'!$AJ$2:$AJ$4001,0))</f>
        <v/>
      </c>
      <c r="P396" s="22" t="str">
        <f aca="false">IF($X396="","",O396*N396)</f>
        <v/>
      </c>
      <c r="Q396" s="23" t="str">
        <f aca="false">IF($X396="","",Settings!$C$6)</f>
        <v/>
      </c>
      <c r="R396" s="22" t="str">
        <f aca="false">IF($X396="","",SUMIFS('Per Line'!$Y$2:$Y$4001,'Per Line'!$D$2:$D$4001,$B396,'Per Line'!$AJ$2:$AJ$4001,1))</f>
        <v/>
      </c>
      <c r="S396" s="22" t="str">
        <f aca="false">IF($X396="","",R396*Q396)</f>
        <v/>
      </c>
      <c r="T396" s="22" t="str">
        <f aca="false">IF($X396="","",S396+P396)</f>
        <v/>
      </c>
      <c r="U396" s="22" t="str">
        <f aca="false">IF($X396="","",V396-T396)</f>
        <v/>
      </c>
      <c r="V396" s="22" t="str">
        <f aca="false">IF($X396="","",O396+R396)</f>
        <v/>
      </c>
      <c r="W396" s="22" t="str">
        <f aca="false">IF($X396="","",U396-L396)</f>
        <v/>
      </c>
      <c r="X396" s="24" t="str">
        <f aca="false">IF(ROWS($X$2:$X396)&lt;=MAX('Per Line'!$AI$2:$AI$4001),MATCH(ROWS($X$2:$X396),'Per Line'!$AI$2:$AI$4001,0),"")</f>
        <v/>
      </c>
    </row>
    <row r="397" customFormat="false" ht="15" hidden="false" customHeight="false" outlineLevel="0" collapsed="false">
      <c r="A397" s="19"/>
      <c r="B397" s="20" t="str">
        <f aca="false">IF($X397="","",INDEX('Per Line'!$D$2:$D$4001,$X397))</f>
        <v/>
      </c>
      <c r="C397" s="20" t="str">
        <f aca="false">IF($X397="","",INDEX('Per Line'!$C$2:$C$4001,$X397))</f>
        <v/>
      </c>
      <c r="D397" s="20" t="str">
        <f aca="false">IF($X397="","",INDEX('Per Line'!$A$2:$A$4001,$X397))</f>
        <v/>
      </c>
      <c r="E397" s="21" t="str">
        <f aca="false">IF($X397="","",INDEX('Per Line'!$F$2:$F$4001,$X397))</f>
        <v/>
      </c>
      <c r="F397" s="20" t="str">
        <f aca="false">IF($X397="","",INDEX('Per Line'!$G$2:$G$4001,$X397))</f>
        <v/>
      </c>
      <c r="G397" s="20" t="str">
        <f aca="false">IF($X397="","",INDEX('Per Line'!$I$2:$I$4001,$X397))</f>
        <v/>
      </c>
      <c r="H397" s="20" t="str">
        <f aca="false">IF($X397="","",INDEX('Per Line'!$J$2:$J$4001,$X397))</f>
        <v/>
      </c>
      <c r="I397" s="20" t="str">
        <f aca="false">IF($X397="","",INDEX('Per Line'!$K$2:$K$4001,$X397))</f>
        <v/>
      </c>
      <c r="J397" s="20" t="str">
        <f aca="false">IF($X397="","",INDEX('Per Line'!$L$2:$L$4001,$X397))</f>
        <v/>
      </c>
      <c r="K397" s="20" t="str">
        <f aca="false">IF($X397="","",INDEX('Per Line'!$M$2:$M$4001,$X397))</f>
        <v/>
      </c>
      <c r="L397" s="22" t="str">
        <f aca="false">IF($X397="","",K397*V397/100)</f>
        <v/>
      </c>
      <c r="M397" s="20" t="str">
        <f aca="false">IF($X397="","",INDEX('Per Line'!$Z$2:$Z$4001,$X397))</f>
        <v/>
      </c>
      <c r="N397" s="23" t="str">
        <f aca="false">IF($X397="","",Settings!$C$7)</f>
        <v/>
      </c>
      <c r="O397" s="22" t="str">
        <f aca="false">IF($X397="","",SUMIFS('Per Line'!$Y$2:$Y$4001,'Per Line'!$D$2:$D$4001,$B397,'Per Line'!$AJ$2:$AJ$4001,0))</f>
        <v/>
      </c>
      <c r="P397" s="22" t="str">
        <f aca="false">IF($X397="","",O397*N397)</f>
        <v/>
      </c>
      <c r="Q397" s="23" t="str">
        <f aca="false">IF($X397="","",Settings!$C$6)</f>
        <v/>
      </c>
      <c r="R397" s="22" t="str">
        <f aca="false">IF($X397="","",SUMIFS('Per Line'!$Y$2:$Y$4001,'Per Line'!$D$2:$D$4001,$B397,'Per Line'!$AJ$2:$AJ$4001,1))</f>
        <v/>
      </c>
      <c r="S397" s="22" t="str">
        <f aca="false">IF($X397="","",R397*Q397)</f>
        <v/>
      </c>
      <c r="T397" s="22" t="str">
        <f aca="false">IF($X397="","",S397+P397)</f>
        <v/>
      </c>
      <c r="U397" s="22" t="str">
        <f aca="false">IF($X397="","",V397-T397)</f>
        <v/>
      </c>
      <c r="V397" s="22" t="str">
        <f aca="false">IF($X397="","",O397+R397)</f>
        <v/>
      </c>
      <c r="W397" s="22" t="str">
        <f aca="false">IF($X397="","",U397-L397)</f>
        <v/>
      </c>
      <c r="X397" s="24" t="str">
        <f aca="false">IF(ROWS($X$2:$X397)&lt;=MAX('Per Line'!$AI$2:$AI$4001),MATCH(ROWS($X$2:$X397),'Per Line'!$AI$2:$AI$4001,0),"")</f>
        <v/>
      </c>
    </row>
    <row r="398" customFormat="false" ht="15" hidden="false" customHeight="false" outlineLevel="0" collapsed="false">
      <c r="A398" s="19"/>
      <c r="B398" s="20" t="str">
        <f aca="false">IF($X398="","",INDEX('Per Line'!$D$2:$D$4001,$X398))</f>
        <v/>
      </c>
      <c r="C398" s="20" t="str">
        <f aca="false">IF($X398="","",INDEX('Per Line'!$C$2:$C$4001,$X398))</f>
        <v/>
      </c>
      <c r="D398" s="20" t="str">
        <f aca="false">IF($X398="","",INDEX('Per Line'!$A$2:$A$4001,$X398))</f>
        <v/>
      </c>
      <c r="E398" s="21" t="str">
        <f aca="false">IF($X398="","",INDEX('Per Line'!$F$2:$F$4001,$X398))</f>
        <v/>
      </c>
      <c r="F398" s="20" t="str">
        <f aca="false">IF($X398="","",INDEX('Per Line'!$G$2:$G$4001,$X398))</f>
        <v/>
      </c>
      <c r="G398" s="20" t="str">
        <f aca="false">IF($X398="","",INDEX('Per Line'!$I$2:$I$4001,$X398))</f>
        <v/>
      </c>
      <c r="H398" s="20" t="str">
        <f aca="false">IF($X398="","",INDEX('Per Line'!$J$2:$J$4001,$X398))</f>
        <v/>
      </c>
      <c r="I398" s="20" t="str">
        <f aca="false">IF($X398="","",INDEX('Per Line'!$K$2:$K$4001,$X398))</f>
        <v/>
      </c>
      <c r="J398" s="20" t="str">
        <f aca="false">IF($X398="","",INDEX('Per Line'!$L$2:$L$4001,$X398))</f>
        <v/>
      </c>
      <c r="K398" s="20" t="str">
        <f aca="false">IF($X398="","",INDEX('Per Line'!$M$2:$M$4001,$X398))</f>
        <v/>
      </c>
      <c r="L398" s="22" t="str">
        <f aca="false">IF($X398="","",K398*V398/100)</f>
        <v/>
      </c>
      <c r="M398" s="20" t="str">
        <f aca="false">IF($X398="","",INDEX('Per Line'!$Z$2:$Z$4001,$X398))</f>
        <v/>
      </c>
      <c r="N398" s="23" t="str">
        <f aca="false">IF($X398="","",Settings!$C$7)</f>
        <v/>
      </c>
      <c r="O398" s="22" t="str">
        <f aca="false">IF($X398="","",SUMIFS('Per Line'!$Y$2:$Y$4001,'Per Line'!$D$2:$D$4001,$B398,'Per Line'!$AJ$2:$AJ$4001,0))</f>
        <v/>
      </c>
      <c r="P398" s="22" t="str">
        <f aca="false">IF($X398="","",O398*N398)</f>
        <v/>
      </c>
      <c r="Q398" s="23" t="str">
        <f aca="false">IF($X398="","",Settings!$C$6)</f>
        <v/>
      </c>
      <c r="R398" s="22" t="str">
        <f aca="false">IF($X398="","",SUMIFS('Per Line'!$Y$2:$Y$4001,'Per Line'!$D$2:$D$4001,$B398,'Per Line'!$AJ$2:$AJ$4001,1))</f>
        <v/>
      </c>
      <c r="S398" s="22" t="str">
        <f aca="false">IF($X398="","",R398*Q398)</f>
        <v/>
      </c>
      <c r="T398" s="22" t="str">
        <f aca="false">IF($X398="","",S398+P398)</f>
        <v/>
      </c>
      <c r="U398" s="22" t="str">
        <f aca="false">IF($X398="","",V398-T398)</f>
        <v/>
      </c>
      <c r="V398" s="22" t="str">
        <f aca="false">IF($X398="","",O398+R398)</f>
        <v/>
      </c>
      <c r="W398" s="22" t="str">
        <f aca="false">IF($X398="","",U398-L398)</f>
        <v/>
      </c>
      <c r="X398" s="24" t="str">
        <f aca="false">IF(ROWS($X$2:$X398)&lt;=MAX('Per Line'!$AI$2:$AI$4001),MATCH(ROWS($X$2:$X398),'Per Line'!$AI$2:$AI$4001,0),"")</f>
        <v/>
      </c>
    </row>
    <row r="399" customFormat="false" ht="15" hidden="false" customHeight="false" outlineLevel="0" collapsed="false">
      <c r="A399" s="19"/>
      <c r="B399" s="20" t="str">
        <f aca="false">IF($X399="","",INDEX('Per Line'!$D$2:$D$4001,$X399))</f>
        <v/>
      </c>
      <c r="C399" s="20" t="str">
        <f aca="false">IF($X399="","",INDEX('Per Line'!$C$2:$C$4001,$X399))</f>
        <v/>
      </c>
      <c r="D399" s="20" t="str">
        <f aca="false">IF($X399="","",INDEX('Per Line'!$A$2:$A$4001,$X399))</f>
        <v/>
      </c>
      <c r="E399" s="21" t="str">
        <f aca="false">IF($X399="","",INDEX('Per Line'!$F$2:$F$4001,$X399))</f>
        <v/>
      </c>
      <c r="F399" s="20" t="str">
        <f aca="false">IF($X399="","",INDEX('Per Line'!$G$2:$G$4001,$X399))</f>
        <v/>
      </c>
      <c r="G399" s="20" t="str">
        <f aca="false">IF($X399="","",INDEX('Per Line'!$I$2:$I$4001,$X399))</f>
        <v/>
      </c>
      <c r="H399" s="20" t="str">
        <f aca="false">IF($X399="","",INDEX('Per Line'!$J$2:$J$4001,$X399))</f>
        <v/>
      </c>
      <c r="I399" s="20" t="str">
        <f aca="false">IF($X399="","",INDEX('Per Line'!$K$2:$K$4001,$X399))</f>
        <v/>
      </c>
      <c r="J399" s="20" t="str">
        <f aca="false">IF($X399="","",INDEX('Per Line'!$L$2:$L$4001,$X399))</f>
        <v/>
      </c>
      <c r="K399" s="20" t="str">
        <f aca="false">IF($X399="","",INDEX('Per Line'!$M$2:$M$4001,$X399))</f>
        <v/>
      </c>
      <c r="L399" s="22" t="str">
        <f aca="false">IF($X399="","",K399*V399/100)</f>
        <v/>
      </c>
      <c r="M399" s="20" t="str">
        <f aca="false">IF($X399="","",INDEX('Per Line'!$Z$2:$Z$4001,$X399))</f>
        <v/>
      </c>
      <c r="N399" s="23" t="str">
        <f aca="false">IF($X399="","",Settings!$C$7)</f>
        <v/>
      </c>
      <c r="O399" s="22" t="str">
        <f aca="false">IF($X399="","",SUMIFS('Per Line'!$Y$2:$Y$4001,'Per Line'!$D$2:$D$4001,$B399,'Per Line'!$AJ$2:$AJ$4001,0))</f>
        <v/>
      </c>
      <c r="P399" s="22" t="str">
        <f aca="false">IF($X399="","",O399*N399)</f>
        <v/>
      </c>
      <c r="Q399" s="23" t="str">
        <f aca="false">IF($X399="","",Settings!$C$6)</f>
        <v/>
      </c>
      <c r="R399" s="22" t="str">
        <f aca="false">IF($X399="","",SUMIFS('Per Line'!$Y$2:$Y$4001,'Per Line'!$D$2:$D$4001,$B399,'Per Line'!$AJ$2:$AJ$4001,1))</f>
        <v/>
      </c>
      <c r="S399" s="22" t="str">
        <f aca="false">IF($X399="","",R399*Q399)</f>
        <v/>
      </c>
      <c r="T399" s="22" t="str">
        <f aca="false">IF($X399="","",S399+P399)</f>
        <v/>
      </c>
      <c r="U399" s="22" t="str">
        <f aca="false">IF($X399="","",V399-T399)</f>
        <v/>
      </c>
      <c r="V399" s="22" t="str">
        <f aca="false">IF($X399="","",O399+R399)</f>
        <v/>
      </c>
      <c r="W399" s="22" t="str">
        <f aca="false">IF($X399="","",U399-L399)</f>
        <v/>
      </c>
      <c r="X399" s="24" t="str">
        <f aca="false">IF(ROWS($X$2:$X399)&lt;=MAX('Per Line'!$AI$2:$AI$4001),MATCH(ROWS($X$2:$X399),'Per Line'!$AI$2:$AI$4001,0),"")</f>
        <v/>
      </c>
    </row>
    <row r="400" customFormat="false" ht="15" hidden="false" customHeight="false" outlineLevel="0" collapsed="false">
      <c r="A400" s="19"/>
      <c r="B400" s="20" t="str">
        <f aca="false">IF($X400="","",INDEX('Per Line'!$D$2:$D$4001,$X400))</f>
        <v/>
      </c>
      <c r="C400" s="20" t="str">
        <f aca="false">IF($X400="","",INDEX('Per Line'!$C$2:$C$4001,$X400))</f>
        <v/>
      </c>
      <c r="D400" s="20" t="str">
        <f aca="false">IF($X400="","",INDEX('Per Line'!$A$2:$A$4001,$X400))</f>
        <v/>
      </c>
      <c r="E400" s="21" t="str">
        <f aca="false">IF($X400="","",INDEX('Per Line'!$F$2:$F$4001,$X400))</f>
        <v/>
      </c>
      <c r="F400" s="20" t="str">
        <f aca="false">IF($X400="","",INDEX('Per Line'!$G$2:$G$4001,$X400))</f>
        <v/>
      </c>
      <c r="G400" s="20" t="str">
        <f aca="false">IF($X400="","",INDEX('Per Line'!$I$2:$I$4001,$X400))</f>
        <v/>
      </c>
      <c r="H400" s="20" t="str">
        <f aca="false">IF($X400="","",INDEX('Per Line'!$J$2:$J$4001,$X400))</f>
        <v/>
      </c>
      <c r="I400" s="20" t="str">
        <f aca="false">IF($X400="","",INDEX('Per Line'!$K$2:$K$4001,$X400))</f>
        <v/>
      </c>
      <c r="J400" s="20" t="str">
        <f aca="false">IF($X400="","",INDEX('Per Line'!$L$2:$L$4001,$X400))</f>
        <v/>
      </c>
      <c r="K400" s="20" t="str">
        <f aca="false">IF($X400="","",INDEX('Per Line'!$M$2:$M$4001,$X400))</f>
        <v/>
      </c>
      <c r="L400" s="22" t="str">
        <f aca="false">IF($X400="","",K400*V400/100)</f>
        <v/>
      </c>
      <c r="M400" s="20" t="str">
        <f aca="false">IF($X400="","",INDEX('Per Line'!$Z$2:$Z$4001,$X400))</f>
        <v/>
      </c>
      <c r="N400" s="23" t="str">
        <f aca="false">IF($X400="","",Settings!$C$7)</f>
        <v/>
      </c>
      <c r="O400" s="22" t="str">
        <f aca="false">IF($X400="","",SUMIFS('Per Line'!$Y$2:$Y$4001,'Per Line'!$D$2:$D$4001,$B400,'Per Line'!$AJ$2:$AJ$4001,0))</f>
        <v/>
      </c>
      <c r="P400" s="22" t="str">
        <f aca="false">IF($X400="","",O400*N400)</f>
        <v/>
      </c>
      <c r="Q400" s="23" t="str">
        <f aca="false">IF($X400="","",Settings!$C$6)</f>
        <v/>
      </c>
      <c r="R400" s="22" t="str">
        <f aca="false">IF($X400="","",SUMIFS('Per Line'!$Y$2:$Y$4001,'Per Line'!$D$2:$D$4001,$B400,'Per Line'!$AJ$2:$AJ$4001,1))</f>
        <v/>
      </c>
      <c r="S400" s="22" t="str">
        <f aca="false">IF($X400="","",R400*Q400)</f>
        <v/>
      </c>
      <c r="T400" s="22" t="str">
        <f aca="false">IF($X400="","",S400+P400)</f>
        <v/>
      </c>
      <c r="U400" s="22" t="str">
        <f aca="false">IF($X400="","",V400-T400)</f>
        <v/>
      </c>
      <c r="V400" s="22" t="str">
        <f aca="false">IF($X400="","",O400+R400)</f>
        <v/>
      </c>
      <c r="W400" s="22" t="str">
        <f aca="false">IF($X400="","",U400-L400)</f>
        <v/>
      </c>
      <c r="X400" s="24" t="str">
        <f aca="false">IF(ROWS($X$2:$X400)&lt;=MAX('Per Line'!$AI$2:$AI$4001),MATCH(ROWS($X$2:$X400),'Per Line'!$AI$2:$AI$4001,0),"")</f>
        <v/>
      </c>
    </row>
    <row r="401" customFormat="false" ht="15" hidden="false" customHeight="false" outlineLevel="0" collapsed="false">
      <c r="A401" s="19"/>
      <c r="B401" s="20" t="str">
        <f aca="false">IF($X401="","",INDEX('Per Line'!$D$2:$D$4001,$X401))</f>
        <v/>
      </c>
      <c r="C401" s="20" t="str">
        <f aca="false">IF($X401="","",INDEX('Per Line'!$C$2:$C$4001,$X401))</f>
        <v/>
      </c>
      <c r="D401" s="20" t="str">
        <f aca="false">IF($X401="","",INDEX('Per Line'!$A$2:$A$4001,$X401))</f>
        <v/>
      </c>
      <c r="E401" s="21" t="str">
        <f aca="false">IF($X401="","",INDEX('Per Line'!$F$2:$F$4001,$X401))</f>
        <v/>
      </c>
      <c r="F401" s="20" t="str">
        <f aca="false">IF($X401="","",INDEX('Per Line'!$G$2:$G$4001,$X401))</f>
        <v/>
      </c>
      <c r="G401" s="20" t="str">
        <f aca="false">IF($X401="","",INDEX('Per Line'!$I$2:$I$4001,$X401))</f>
        <v/>
      </c>
      <c r="H401" s="20" t="str">
        <f aca="false">IF($X401="","",INDEX('Per Line'!$J$2:$J$4001,$X401))</f>
        <v/>
      </c>
      <c r="I401" s="20" t="str">
        <f aca="false">IF($X401="","",INDEX('Per Line'!$K$2:$K$4001,$X401))</f>
        <v/>
      </c>
      <c r="J401" s="20" t="str">
        <f aca="false">IF($X401="","",INDEX('Per Line'!$L$2:$L$4001,$X401))</f>
        <v/>
      </c>
      <c r="K401" s="20" t="str">
        <f aca="false">IF($X401="","",INDEX('Per Line'!$M$2:$M$4001,$X401))</f>
        <v/>
      </c>
      <c r="L401" s="22" t="str">
        <f aca="false">IF($X401="","",K401*V401/100)</f>
        <v/>
      </c>
      <c r="M401" s="20" t="str">
        <f aca="false">IF($X401="","",INDEX('Per Line'!$Z$2:$Z$4001,$X401))</f>
        <v/>
      </c>
      <c r="N401" s="23" t="str">
        <f aca="false">IF($X401="","",Settings!$C$7)</f>
        <v/>
      </c>
      <c r="O401" s="22" t="str">
        <f aca="false">IF($X401="","",SUMIFS('Per Line'!$Y$2:$Y$4001,'Per Line'!$D$2:$D$4001,$B401,'Per Line'!$AJ$2:$AJ$4001,0))</f>
        <v/>
      </c>
      <c r="P401" s="22" t="str">
        <f aca="false">IF($X401="","",O401*N401)</f>
        <v/>
      </c>
      <c r="Q401" s="23" t="str">
        <f aca="false">IF($X401="","",Settings!$C$6)</f>
        <v/>
      </c>
      <c r="R401" s="22" t="str">
        <f aca="false">IF($X401="","",SUMIFS('Per Line'!$Y$2:$Y$4001,'Per Line'!$D$2:$D$4001,$B401,'Per Line'!$AJ$2:$AJ$4001,1))</f>
        <v/>
      </c>
      <c r="S401" s="22" t="str">
        <f aca="false">IF($X401="","",R401*Q401)</f>
        <v/>
      </c>
      <c r="T401" s="22" t="str">
        <f aca="false">IF($X401="","",S401+P401)</f>
        <v/>
      </c>
      <c r="U401" s="22" t="str">
        <f aca="false">IF($X401="","",V401-T401)</f>
        <v/>
      </c>
      <c r="V401" s="22" t="str">
        <f aca="false">IF($X401="","",O401+R401)</f>
        <v/>
      </c>
      <c r="W401" s="22" t="str">
        <f aca="false">IF($X401="","",U401-L401)</f>
        <v/>
      </c>
      <c r="X401" s="24" t="str">
        <f aca="false">IF(ROWS($X$2:$X401)&lt;=MAX('Per Line'!$AI$2:$AI$4001),MATCH(ROWS($X$2:$X401),'Per Line'!$AI$2:$AI$4001,0),"")</f>
        <v/>
      </c>
    </row>
    <row r="402" customFormat="false" ht="15" hidden="false" customHeight="false" outlineLevel="0" collapsed="false">
      <c r="A402" s="19"/>
      <c r="B402" s="20" t="str">
        <f aca="false">IF($X402="","",INDEX('Per Line'!$D$2:$D$4001,$X402))</f>
        <v/>
      </c>
      <c r="C402" s="20" t="str">
        <f aca="false">IF($X402="","",INDEX('Per Line'!$C$2:$C$4001,$X402))</f>
        <v/>
      </c>
      <c r="D402" s="20" t="str">
        <f aca="false">IF($X402="","",INDEX('Per Line'!$A$2:$A$4001,$X402))</f>
        <v/>
      </c>
      <c r="E402" s="21" t="str">
        <f aca="false">IF($X402="","",INDEX('Per Line'!$F$2:$F$4001,$X402))</f>
        <v/>
      </c>
      <c r="F402" s="20" t="str">
        <f aca="false">IF($X402="","",INDEX('Per Line'!$G$2:$G$4001,$X402))</f>
        <v/>
      </c>
      <c r="G402" s="20" t="str">
        <f aca="false">IF($X402="","",INDEX('Per Line'!$I$2:$I$4001,$X402))</f>
        <v/>
      </c>
      <c r="H402" s="20" t="str">
        <f aca="false">IF($X402="","",INDEX('Per Line'!$J$2:$J$4001,$X402))</f>
        <v/>
      </c>
      <c r="I402" s="20" t="str">
        <f aca="false">IF($X402="","",INDEX('Per Line'!$K$2:$K$4001,$X402))</f>
        <v/>
      </c>
      <c r="J402" s="20" t="str">
        <f aca="false">IF($X402="","",INDEX('Per Line'!$L$2:$L$4001,$X402))</f>
        <v/>
      </c>
      <c r="K402" s="20" t="str">
        <f aca="false">IF($X402="","",INDEX('Per Line'!$M$2:$M$4001,$X402))</f>
        <v/>
      </c>
      <c r="L402" s="22" t="str">
        <f aca="false">IF($X402="","",K402*V402/100)</f>
        <v/>
      </c>
      <c r="M402" s="20" t="str">
        <f aca="false">IF($X402="","",INDEX('Per Line'!$Z$2:$Z$4001,$X402))</f>
        <v/>
      </c>
      <c r="N402" s="23" t="str">
        <f aca="false">IF($X402="","",Settings!$C$7)</f>
        <v/>
      </c>
      <c r="O402" s="22" t="str">
        <f aca="false">IF($X402="","",SUMIFS('Per Line'!$Y$2:$Y$4001,'Per Line'!$D$2:$D$4001,$B402,'Per Line'!$AJ$2:$AJ$4001,0))</f>
        <v/>
      </c>
      <c r="P402" s="22" t="str">
        <f aca="false">IF($X402="","",O402*N402)</f>
        <v/>
      </c>
      <c r="Q402" s="23" t="str">
        <f aca="false">IF($X402="","",Settings!$C$6)</f>
        <v/>
      </c>
      <c r="R402" s="22" t="str">
        <f aca="false">IF($X402="","",SUMIFS('Per Line'!$Y$2:$Y$4001,'Per Line'!$D$2:$D$4001,$B402,'Per Line'!$AJ$2:$AJ$4001,1))</f>
        <v/>
      </c>
      <c r="S402" s="22" t="str">
        <f aca="false">IF($X402="","",R402*Q402)</f>
        <v/>
      </c>
      <c r="T402" s="22" t="str">
        <f aca="false">IF($X402="","",S402+P402)</f>
        <v/>
      </c>
      <c r="U402" s="22" t="str">
        <f aca="false">IF($X402="","",V402-T402)</f>
        <v/>
      </c>
      <c r="V402" s="22" t="str">
        <f aca="false">IF($X402="","",O402+R402)</f>
        <v/>
      </c>
      <c r="W402" s="22" t="str">
        <f aca="false">IF($X402="","",U402-L402)</f>
        <v/>
      </c>
      <c r="X402" s="24" t="str">
        <f aca="false">IF(ROWS($X$2:$X402)&lt;=MAX('Per Line'!$AI$2:$AI$4001),MATCH(ROWS($X$2:$X402),'Per Line'!$AI$2:$AI$4001,0),"")</f>
        <v/>
      </c>
    </row>
    <row r="403" customFormat="false" ht="15" hidden="false" customHeight="false" outlineLevel="0" collapsed="false">
      <c r="A403" s="19"/>
      <c r="B403" s="20" t="str">
        <f aca="false">IF($X403="","",INDEX('Per Line'!$D$2:$D$4001,$X403))</f>
        <v/>
      </c>
      <c r="C403" s="20" t="str">
        <f aca="false">IF($X403="","",INDEX('Per Line'!$C$2:$C$4001,$X403))</f>
        <v/>
      </c>
      <c r="D403" s="20" t="str">
        <f aca="false">IF($X403="","",INDEX('Per Line'!$A$2:$A$4001,$X403))</f>
        <v/>
      </c>
      <c r="E403" s="21" t="str">
        <f aca="false">IF($X403="","",INDEX('Per Line'!$F$2:$F$4001,$X403))</f>
        <v/>
      </c>
      <c r="F403" s="20" t="str">
        <f aca="false">IF($X403="","",INDEX('Per Line'!$G$2:$G$4001,$X403))</f>
        <v/>
      </c>
      <c r="G403" s="20" t="str">
        <f aca="false">IF($X403="","",INDEX('Per Line'!$I$2:$I$4001,$X403))</f>
        <v/>
      </c>
      <c r="H403" s="20" t="str">
        <f aca="false">IF($X403="","",INDEX('Per Line'!$J$2:$J$4001,$X403))</f>
        <v/>
      </c>
      <c r="I403" s="20" t="str">
        <f aca="false">IF($X403="","",INDEX('Per Line'!$K$2:$K$4001,$X403))</f>
        <v/>
      </c>
      <c r="J403" s="20" t="str">
        <f aca="false">IF($X403="","",INDEX('Per Line'!$L$2:$L$4001,$X403))</f>
        <v/>
      </c>
      <c r="K403" s="20" t="str">
        <f aca="false">IF($X403="","",INDEX('Per Line'!$M$2:$M$4001,$X403))</f>
        <v/>
      </c>
      <c r="L403" s="22" t="str">
        <f aca="false">IF($X403="","",K403*V403/100)</f>
        <v/>
      </c>
      <c r="M403" s="20" t="str">
        <f aca="false">IF($X403="","",INDEX('Per Line'!$Z$2:$Z$4001,$X403))</f>
        <v/>
      </c>
      <c r="N403" s="23" t="str">
        <f aca="false">IF($X403="","",Settings!$C$7)</f>
        <v/>
      </c>
      <c r="O403" s="22" t="str">
        <f aca="false">IF($X403="","",SUMIFS('Per Line'!$Y$2:$Y$4001,'Per Line'!$D$2:$D$4001,$B403,'Per Line'!$AJ$2:$AJ$4001,0))</f>
        <v/>
      </c>
      <c r="P403" s="22" t="str">
        <f aca="false">IF($X403="","",O403*N403)</f>
        <v/>
      </c>
      <c r="Q403" s="23" t="str">
        <f aca="false">IF($X403="","",Settings!$C$6)</f>
        <v/>
      </c>
      <c r="R403" s="22" t="str">
        <f aca="false">IF($X403="","",SUMIFS('Per Line'!$Y$2:$Y$4001,'Per Line'!$D$2:$D$4001,$B403,'Per Line'!$AJ$2:$AJ$4001,1))</f>
        <v/>
      </c>
      <c r="S403" s="22" t="str">
        <f aca="false">IF($X403="","",R403*Q403)</f>
        <v/>
      </c>
      <c r="T403" s="22" t="str">
        <f aca="false">IF($X403="","",S403+P403)</f>
        <v/>
      </c>
      <c r="U403" s="22" t="str">
        <f aca="false">IF($X403="","",V403-T403)</f>
        <v/>
      </c>
      <c r="V403" s="22" t="str">
        <f aca="false">IF($X403="","",O403+R403)</f>
        <v/>
      </c>
      <c r="W403" s="22" t="str">
        <f aca="false">IF($X403="","",U403-L403)</f>
        <v/>
      </c>
      <c r="X403" s="24" t="str">
        <f aca="false">IF(ROWS($X$2:$X403)&lt;=MAX('Per Line'!$AI$2:$AI$4001),MATCH(ROWS($X$2:$X403),'Per Line'!$AI$2:$AI$4001,0),"")</f>
        <v/>
      </c>
    </row>
    <row r="404" customFormat="false" ht="15" hidden="false" customHeight="false" outlineLevel="0" collapsed="false">
      <c r="A404" s="19"/>
      <c r="B404" s="20" t="str">
        <f aca="false">IF($X404="","",INDEX('Per Line'!$D$2:$D$4001,$X404))</f>
        <v/>
      </c>
      <c r="C404" s="20" t="str">
        <f aca="false">IF($X404="","",INDEX('Per Line'!$C$2:$C$4001,$X404))</f>
        <v/>
      </c>
      <c r="D404" s="20" t="str">
        <f aca="false">IF($X404="","",INDEX('Per Line'!$A$2:$A$4001,$X404))</f>
        <v/>
      </c>
      <c r="E404" s="21" t="str">
        <f aca="false">IF($X404="","",INDEX('Per Line'!$F$2:$F$4001,$X404))</f>
        <v/>
      </c>
      <c r="F404" s="20" t="str">
        <f aca="false">IF($X404="","",INDEX('Per Line'!$G$2:$G$4001,$X404))</f>
        <v/>
      </c>
      <c r="G404" s="20" t="str">
        <f aca="false">IF($X404="","",INDEX('Per Line'!$I$2:$I$4001,$X404))</f>
        <v/>
      </c>
      <c r="H404" s="20" t="str">
        <f aca="false">IF($X404="","",INDEX('Per Line'!$J$2:$J$4001,$X404))</f>
        <v/>
      </c>
      <c r="I404" s="20" t="str">
        <f aca="false">IF($X404="","",INDEX('Per Line'!$K$2:$K$4001,$X404))</f>
        <v/>
      </c>
      <c r="J404" s="20" t="str">
        <f aca="false">IF($X404="","",INDEX('Per Line'!$L$2:$L$4001,$X404))</f>
        <v/>
      </c>
      <c r="K404" s="20" t="str">
        <f aca="false">IF($X404="","",INDEX('Per Line'!$M$2:$M$4001,$X404))</f>
        <v/>
      </c>
      <c r="L404" s="22" t="str">
        <f aca="false">IF($X404="","",K404*V404/100)</f>
        <v/>
      </c>
      <c r="M404" s="20" t="str">
        <f aca="false">IF($X404="","",INDEX('Per Line'!$Z$2:$Z$4001,$X404))</f>
        <v/>
      </c>
      <c r="N404" s="23" t="str">
        <f aca="false">IF($X404="","",Settings!$C$7)</f>
        <v/>
      </c>
      <c r="O404" s="22" t="str">
        <f aca="false">IF($X404="","",SUMIFS('Per Line'!$Y$2:$Y$4001,'Per Line'!$D$2:$D$4001,$B404,'Per Line'!$AJ$2:$AJ$4001,0))</f>
        <v/>
      </c>
      <c r="P404" s="22" t="str">
        <f aca="false">IF($X404="","",O404*N404)</f>
        <v/>
      </c>
      <c r="Q404" s="23" t="str">
        <f aca="false">IF($X404="","",Settings!$C$6)</f>
        <v/>
      </c>
      <c r="R404" s="22" t="str">
        <f aca="false">IF($X404="","",SUMIFS('Per Line'!$Y$2:$Y$4001,'Per Line'!$D$2:$D$4001,$B404,'Per Line'!$AJ$2:$AJ$4001,1))</f>
        <v/>
      </c>
      <c r="S404" s="22" t="str">
        <f aca="false">IF($X404="","",R404*Q404)</f>
        <v/>
      </c>
      <c r="T404" s="22" t="str">
        <f aca="false">IF($X404="","",S404+P404)</f>
        <v/>
      </c>
      <c r="U404" s="22" t="str">
        <f aca="false">IF($X404="","",V404-T404)</f>
        <v/>
      </c>
      <c r="V404" s="22" t="str">
        <f aca="false">IF($X404="","",O404+R404)</f>
        <v/>
      </c>
      <c r="W404" s="22" t="str">
        <f aca="false">IF($X404="","",U404-L404)</f>
        <v/>
      </c>
      <c r="X404" s="24" t="str">
        <f aca="false">IF(ROWS($X$2:$X404)&lt;=MAX('Per Line'!$AI$2:$AI$4001),MATCH(ROWS($X$2:$X404),'Per Line'!$AI$2:$AI$4001,0),"")</f>
        <v/>
      </c>
    </row>
    <row r="405" customFormat="false" ht="15" hidden="false" customHeight="false" outlineLevel="0" collapsed="false">
      <c r="A405" s="19"/>
      <c r="B405" s="20" t="str">
        <f aca="false">IF($X405="","",INDEX('Per Line'!$D$2:$D$4001,$X405))</f>
        <v/>
      </c>
      <c r="C405" s="20" t="str">
        <f aca="false">IF($X405="","",INDEX('Per Line'!$C$2:$C$4001,$X405))</f>
        <v/>
      </c>
      <c r="D405" s="20" t="str">
        <f aca="false">IF($X405="","",INDEX('Per Line'!$A$2:$A$4001,$X405))</f>
        <v/>
      </c>
      <c r="E405" s="21" t="str">
        <f aca="false">IF($X405="","",INDEX('Per Line'!$F$2:$F$4001,$X405))</f>
        <v/>
      </c>
      <c r="F405" s="20" t="str">
        <f aca="false">IF($X405="","",INDEX('Per Line'!$G$2:$G$4001,$X405))</f>
        <v/>
      </c>
      <c r="G405" s="20" t="str">
        <f aca="false">IF($X405="","",INDEX('Per Line'!$I$2:$I$4001,$X405))</f>
        <v/>
      </c>
      <c r="H405" s="20" t="str">
        <f aca="false">IF($X405="","",INDEX('Per Line'!$J$2:$J$4001,$X405))</f>
        <v/>
      </c>
      <c r="I405" s="20" t="str">
        <f aca="false">IF($X405="","",INDEX('Per Line'!$K$2:$K$4001,$X405))</f>
        <v/>
      </c>
      <c r="J405" s="20" t="str">
        <f aca="false">IF($X405="","",INDEX('Per Line'!$L$2:$L$4001,$X405))</f>
        <v/>
      </c>
      <c r="K405" s="20" t="str">
        <f aca="false">IF($X405="","",INDEX('Per Line'!$M$2:$M$4001,$X405))</f>
        <v/>
      </c>
      <c r="L405" s="22" t="str">
        <f aca="false">IF($X405="","",K405*V405/100)</f>
        <v/>
      </c>
      <c r="M405" s="20" t="str">
        <f aca="false">IF($X405="","",INDEX('Per Line'!$Z$2:$Z$4001,$X405))</f>
        <v/>
      </c>
      <c r="N405" s="23" t="str">
        <f aca="false">IF($X405="","",Settings!$C$7)</f>
        <v/>
      </c>
      <c r="O405" s="22" t="str">
        <f aca="false">IF($X405="","",SUMIFS('Per Line'!$Y$2:$Y$4001,'Per Line'!$D$2:$D$4001,$B405,'Per Line'!$AJ$2:$AJ$4001,0))</f>
        <v/>
      </c>
      <c r="P405" s="22" t="str">
        <f aca="false">IF($X405="","",O405*N405)</f>
        <v/>
      </c>
      <c r="Q405" s="23" t="str">
        <f aca="false">IF($X405="","",Settings!$C$6)</f>
        <v/>
      </c>
      <c r="R405" s="22" t="str">
        <f aca="false">IF($X405="","",SUMIFS('Per Line'!$Y$2:$Y$4001,'Per Line'!$D$2:$D$4001,$B405,'Per Line'!$AJ$2:$AJ$4001,1))</f>
        <v/>
      </c>
      <c r="S405" s="22" t="str">
        <f aca="false">IF($X405="","",R405*Q405)</f>
        <v/>
      </c>
      <c r="T405" s="22" t="str">
        <f aca="false">IF($X405="","",S405+P405)</f>
        <v/>
      </c>
      <c r="U405" s="22" t="str">
        <f aca="false">IF($X405="","",V405-T405)</f>
        <v/>
      </c>
      <c r="V405" s="22" t="str">
        <f aca="false">IF($X405="","",O405+R405)</f>
        <v/>
      </c>
      <c r="W405" s="22" t="str">
        <f aca="false">IF($X405="","",U405-L405)</f>
        <v/>
      </c>
      <c r="X405" s="24" t="str">
        <f aca="false">IF(ROWS($X$2:$X405)&lt;=MAX('Per Line'!$AI$2:$AI$4001),MATCH(ROWS($X$2:$X405),'Per Line'!$AI$2:$AI$4001,0),"")</f>
        <v/>
      </c>
    </row>
    <row r="406" customFormat="false" ht="15" hidden="false" customHeight="false" outlineLevel="0" collapsed="false">
      <c r="A406" s="19"/>
      <c r="B406" s="20" t="str">
        <f aca="false">IF($X406="","",INDEX('Per Line'!$D$2:$D$4001,$X406))</f>
        <v/>
      </c>
      <c r="C406" s="20" t="str">
        <f aca="false">IF($X406="","",INDEX('Per Line'!$C$2:$C$4001,$X406))</f>
        <v/>
      </c>
      <c r="D406" s="20" t="str">
        <f aca="false">IF($X406="","",INDEX('Per Line'!$A$2:$A$4001,$X406))</f>
        <v/>
      </c>
      <c r="E406" s="21" t="str">
        <f aca="false">IF($X406="","",INDEX('Per Line'!$F$2:$F$4001,$X406))</f>
        <v/>
      </c>
      <c r="F406" s="20" t="str">
        <f aca="false">IF($X406="","",INDEX('Per Line'!$G$2:$G$4001,$X406))</f>
        <v/>
      </c>
      <c r="G406" s="20" t="str">
        <f aca="false">IF($X406="","",INDEX('Per Line'!$I$2:$I$4001,$X406))</f>
        <v/>
      </c>
      <c r="H406" s="20" t="str">
        <f aca="false">IF($X406="","",INDEX('Per Line'!$J$2:$J$4001,$X406))</f>
        <v/>
      </c>
      <c r="I406" s="20" t="str">
        <f aca="false">IF($X406="","",INDEX('Per Line'!$K$2:$K$4001,$X406))</f>
        <v/>
      </c>
      <c r="J406" s="20" t="str">
        <f aca="false">IF($X406="","",INDEX('Per Line'!$L$2:$L$4001,$X406))</f>
        <v/>
      </c>
      <c r="K406" s="20" t="str">
        <f aca="false">IF($X406="","",INDEX('Per Line'!$M$2:$M$4001,$X406))</f>
        <v/>
      </c>
      <c r="L406" s="22" t="str">
        <f aca="false">IF($X406="","",K406*V406/100)</f>
        <v/>
      </c>
      <c r="M406" s="20" t="str">
        <f aca="false">IF($X406="","",INDEX('Per Line'!$Z$2:$Z$4001,$X406))</f>
        <v/>
      </c>
      <c r="N406" s="23" t="str">
        <f aca="false">IF($X406="","",Settings!$C$7)</f>
        <v/>
      </c>
      <c r="O406" s="22" t="str">
        <f aca="false">IF($X406="","",SUMIFS('Per Line'!$Y$2:$Y$4001,'Per Line'!$D$2:$D$4001,$B406,'Per Line'!$AJ$2:$AJ$4001,0))</f>
        <v/>
      </c>
      <c r="P406" s="22" t="str">
        <f aca="false">IF($X406="","",O406*N406)</f>
        <v/>
      </c>
      <c r="Q406" s="23" t="str">
        <f aca="false">IF($X406="","",Settings!$C$6)</f>
        <v/>
      </c>
      <c r="R406" s="22" t="str">
        <f aca="false">IF($X406="","",SUMIFS('Per Line'!$Y$2:$Y$4001,'Per Line'!$D$2:$D$4001,$B406,'Per Line'!$AJ$2:$AJ$4001,1))</f>
        <v/>
      </c>
      <c r="S406" s="22" t="str">
        <f aca="false">IF($X406="","",R406*Q406)</f>
        <v/>
      </c>
      <c r="T406" s="22" t="str">
        <f aca="false">IF($X406="","",S406+P406)</f>
        <v/>
      </c>
      <c r="U406" s="22" t="str">
        <f aca="false">IF($X406="","",V406-T406)</f>
        <v/>
      </c>
      <c r="V406" s="22" t="str">
        <f aca="false">IF($X406="","",O406+R406)</f>
        <v/>
      </c>
      <c r="W406" s="22" t="str">
        <f aca="false">IF($X406="","",U406-L406)</f>
        <v/>
      </c>
      <c r="X406" s="24" t="str">
        <f aca="false">IF(ROWS($X$2:$X406)&lt;=MAX('Per Line'!$AI$2:$AI$4001),MATCH(ROWS($X$2:$X406),'Per Line'!$AI$2:$AI$4001,0),"")</f>
        <v/>
      </c>
    </row>
    <row r="407" customFormat="false" ht="15" hidden="false" customHeight="false" outlineLevel="0" collapsed="false">
      <c r="A407" s="19"/>
      <c r="B407" s="20" t="str">
        <f aca="false">IF($X407="","",INDEX('Per Line'!$D$2:$D$4001,$X407))</f>
        <v/>
      </c>
      <c r="C407" s="20" t="str">
        <f aca="false">IF($X407="","",INDEX('Per Line'!$C$2:$C$4001,$X407))</f>
        <v/>
      </c>
      <c r="D407" s="20" t="str">
        <f aca="false">IF($X407="","",INDEX('Per Line'!$A$2:$A$4001,$X407))</f>
        <v/>
      </c>
      <c r="E407" s="21" t="str">
        <f aca="false">IF($X407="","",INDEX('Per Line'!$F$2:$F$4001,$X407))</f>
        <v/>
      </c>
      <c r="F407" s="20" t="str">
        <f aca="false">IF($X407="","",INDEX('Per Line'!$G$2:$G$4001,$X407))</f>
        <v/>
      </c>
      <c r="G407" s="20" t="str">
        <f aca="false">IF($X407="","",INDEX('Per Line'!$I$2:$I$4001,$X407))</f>
        <v/>
      </c>
      <c r="H407" s="20" t="str">
        <f aca="false">IF($X407="","",INDEX('Per Line'!$J$2:$J$4001,$X407))</f>
        <v/>
      </c>
      <c r="I407" s="20" t="str">
        <f aca="false">IF($X407="","",INDEX('Per Line'!$K$2:$K$4001,$X407))</f>
        <v/>
      </c>
      <c r="J407" s="20" t="str">
        <f aca="false">IF($X407="","",INDEX('Per Line'!$L$2:$L$4001,$X407))</f>
        <v/>
      </c>
      <c r="K407" s="20" t="str">
        <f aca="false">IF($X407="","",INDEX('Per Line'!$M$2:$M$4001,$X407))</f>
        <v/>
      </c>
      <c r="L407" s="22" t="str">
        <f aca="false">IF($X407="","",K407*V407/100)</f>
        <v/>
      </c>
      <c r="M407" s="20" t="str">
        <f aca="false">IF($X407="","",INDEX('Per Line'!$Z$2:$Z$4001,$X407))</f>
        <v/>
      </c>
      <c r="N407" s="23" t="str">
        <f aca="false">IF($X407="","",Settings!$C$7)</f>
        <v/>
      </c>
      <c r="O407" s="22" t="str">
        <f aca="false">IF($X407="","",SUMIFS('Per Line'!$Y$2:$Y$4001,'Per Line'!$D$2:$D$4001,$B407,'Per Line'!$AJ$2:$AJ$4001,0))</f>
        <v/>
      </c>
      <c r="P407" s="22" t="str">
        <f aca="false">IF($X407="","",O407*N407)</f>
        <v/>
      </c>
      <c r="Q407" s="23" t="str">
        <f aca="false">IF($X407="","",Settings!$C$6)</f>
        <v/>
      </c>
      <c r="R407" s="22" t="str">
        <f aca="false">IF($X407="","",SUMIFS('Per Line'!$Y$2:$Y$4001,'Per Line'!$D$2:$D$4001,$B407,'Per Line'!$AJ$2:$AJ$4001,1))</f>
        <v/>
      </c>
      <c r="S407" s="22" t="str">
        <f aca="false">IF($X407="","",R407*Q407)</f>
        <v/>
      </c>
      <c r="T407" s="22" t="str">
        <f aca="false">IF($X407="","",S407+P407)</f>
        <v/>
      </c>
      <c r="U407" s="22" t="str">
        <f aca="false">IF($X407="","",V407-T407)</f>
        <v/>
      </c>
      <c r="V407" s="22" t="str">
        <f aca="false">IF($X407="","",O407+R407)</f>
        <v/>
      </c>
      <c r="W407" s="22" t="str">
        <f aca="false">IF($X407="","",U407-L407)</f>
        <v/>
      </c>
      <c r="X407" s="24" t="str">
        <f aca="false">IF(ROWS($X$2:$X407)&lt;=MAX('Per Line'!$AI$2:$AI$4001),MATCH(ROWS($X$2:$X407),'Per Line'!$AI$2:$AI$4001,0),"")</f>
        <v/>
      </c>
    </row>
    <row r="408" customFormat="false" ht="15" hidden="false" customHeight="false" outlineLevel="0" collapsed="false">
      <c r="A408" s="19"/>
      <c r="B408" s="20" t="str">
        <f aca="false">IF($X408="","",INDEX('Per Line'!$D$2:$D$4001,$X408))</f>
        <v/>
      </c>
      <c r="C408" s="20" t="str">
        <f aca="false">IF($X408="","",INDEX('Per Line'!$C$2:$C$4001,$X408))</f>
        <v/>
      </c>
      <c r="D408" s="20" t="str">
        <f aca="false">IF($X408="","",INDEX('Per Line'!$A$2:$A$4001,$X408))</f>
        <v/>
      </c>
      <c r="E408" s="21" t="str">
        <f aca="false">IF($X408="","",INDEX('Per Line'!$F$2:$F$4001,$X408))</f>
        <v/>
      </c>
      <c r="F408" s="20" t="str">
        <f aca="false">IF($X408="","",INDEX('Per Line'!$G$2:$G$4001,$X408))</f>
        <v/>
      </c>
      <c r="G408" s="20" t="str">
        <f aca="false">IF($X408="","",INDEX('Per Line'!$I$2:$I$4001,$X408))</f>
        <v/>
      </c>
      <c r="H408" s="20" t="str">
        <f aca="false">IF($X408="","",INDEX('Per Line'!$J$2:$J$4001,$X408))</f>
        <v/>
      </c>
      <c r="I408" s="20" t="str">
        <f aca="false">IF($X408="","",INDEX('Per Line'!$K$2:$K$4001,$X408))</f>
        <v/>
      </c>
      <c r="J408" s="20" t="str">
        <f aca="false">IF($X408="","",INDEX('Per Line'!$L$2:$L$4001,$X408))</f>
        <v/>
      </c>
      <c r="K408" s="20" t="str">
        <f aca="false">IF($X408="","",INDEX('Per Line'!$M$2:$M$4001,$X408))</f>
        <v/>
      </c>
      <c r="L408" s="22" t="str">
        <f aca="false">IF($X408="","",K408*V408/100)</f>
        <v/>
      </c>
      <c r="M408" s="20" t="str">
        <f aca="false">IF($X408="","",INDEX('Per Line'!$Z$2:$Z$4001,$X408))</f>
        <v/>
      </c>
      <c r="N408" s="23" t="str">
        <f aca="false">IF($X408="","",Settings!$C$7)</f>
        <v/>
      </c>
      <c r="O408" s="22" t="str">
        <f aca="false">IF($X408="","",SUMIFS('Per Line'!$Y$2:$Y$4001,'Per Line'!$D$2:$D$4001,$B408,'Per Line'!$AJ$2:$AJ$4001,0))</f>
        <v/>
      </c>
      <c r="P408" s="22" t="str">
        <f aca="false">IF($X408="","",O408*N408)</f>
        <v/>
      </c>
      <c r="Q408" s="23" t="str">
        <f aca="false">IF($X408="","",Settings!$C$6)</f>
        <v/>
      </c>
      <c r="R408" s="22" t="str">
        <f aca="false">IF($X408="","",SUMIFS('Per Line'!$Y$2:$Y$4001,'Per Line'!$D$2:$D$4001,$B408,'Per Line'!$AJ$2:$AJ$4001,1))</f>
        <v/>
      </c>
      <c r="S408" s="22" t="str">
        <f aca="false">IF($X408="","",R408*Q408)</f>
        <v/>
      </c>
      <c r="T408" s="22" t="str">
        <f aca="false">IF($X408="","",S408+P408)</f>
        <v/>
      </c>
      <c r="U408" s="22" t="str">
        <f aca="false">IF($X408="","",V408-T408)</f>
        <v/>
      </c>
      <c r="V408" s="22" t="str">
        <f aca="false">IF($X408="","",O408+R408)</f>
        <v/>
      </c>
      <c r="W408" s="22" t="str">
        <f aca="false">IF($X408="","",U408-L408)</f>
        <v/>
      </c>
      <c r="X408" s="24" t="str">
        <f aca="false">IF(ROWS($X$2:$X408)&lt;=MAX('Per Line'!$AI$2:$AI$4001),MATCH(ROWS($X$2:$X408),'Per Line'!$AI$2:$AI$4001,0),"")</f>
        <v/>
      </c>
    </row>
    <row r="409" customFormat="false" ht="15" hidden="false" customHeight="false" outlineLevel="0" collapsed="false">
      <c r="A409" s="19"/>
      <c r="B409" s="20" t="str">
        <f aca="false">IF($X409="","",INDEX('Per Line'!$D$2:$D$4001,$X409))</f>
        <v/>
      </c>
      <c r="C409" s="20" t="str">
        <f aca="false">IF($X409="","",INDEX('Per Line'!$C$2:$C$4001,$X409))</f>
        <v/>
      </c>
      <c r="D409" s="20" t="str">
        <f aca="false">IF($X409="","",INDEX('Per Line'!$A$2:$A$4001,$X409))</f>
        <v/>
      </c>
      <c r="E409" s="21" t="str">
        <f aca="false">IF($X409="","",INDEX('Per Line'!$F$2:$F$4001,$X409))</f>
        <v/>
      </c>
      <c r="F409" s="20" t="str">
        <f aca="false">IF($X409="","",INDEX('Per Line'!$G$2:$G$4001,$X409))</f>
        <v/>
      </c>
      <c r="G409" s="20" t="str">
        <f aca="false">IF($X409="","",INDEX('Per Line'!$I$2:$I$4001,$X409))</f>
        <v/>
      </c>
      <c r="H409" s="20" t="str">
        <f aca="false">IF($X409="","",INDEX('Per Line'!$J$2:$J$4001,$X409))</f>
        <v/>
      </c>
      <c r="I409" s="20" t="str">
        <f aca="false">IF($X409="","",INDEX('Per Line'!$K$2:$K$4001,$X409))</f>
        <v/>
      </c>
      <c r="J409" s="20" t="str">
        <f aca="false">IF($X409="","",INDEX('Per Line'!$L$2:$L$4001,$X409))</f>
        <v/>
      </c>
      <c r="K409" s="20" t="str">
        <f aca="false">IF($X409="","",INDEX('Per Line'!$M$2:$M$4001,$X409))</f>
        <v/>
      </c>
      <c r="L409" s="22" t="str">
        <f aca="false">IF($X409="","",K409*V409/100)</f>
        <v/>
      </c>
      <c r="M409" s="20" t="str">
        <f aca="false">IF($X409="","",INDEX('Per Line'!$Z$2:$Z$4001,$X409))</f>
        <v/>
      </c>
      <c r="N409" s="23" t="str">
        <f aca="false">IF($X409="","",Settings!$C$7)</f>
        <v/>
      </c>
      <c r="O409" s="22" t="str">
        <f aca="false">IF($X409="","",SUMIFS('Per Line'!$Y$2:$Y$4001,'Per Line'!$D$2:$D$4001,$B409,'Per Line'!$AJ$2:$AJ$4001,0))</f>
        <v/>
      </c>
      <c r="P409" s="22" t="str">
        <f aca="false">IF($X409="","",O409*N409)</f>
        <v/>
      </c>
      <c r="Q409" s="23" t="str">
        <f aca="false">IF($X409="","",Settings!$C$6)</f>
        <v/>
      </c>
      <c r="R409" s="22" t="str">
        <f aca="false">IF($X409="","",SUMIFS('Per Line'!$Y$2:$Y$4001,'Per Line'!$D$2:$D$4001,$B409,'Per Line'!$AJ$2:$AJ$4001,1))</f>
        <v/>
      </c>
      <c r="S409" s="22" t="str">
        <f aca="false">IF($X409="","",R409*Q409)</f>
        <v/>
      </c>
      <c r="T409" s="22" t="str">
        <f aca="false">IF($X409="","",S409+P409)</f>
        <v/>
      </c>
      <c r="U409" s="22" t="str">
        <f aca="false">IF($X409="","",V409-T409)</f>
        <v/>
      </c>
      <c r="V409" s="22" t="str">
        <f aca="false">IF($X409="","",O409+R409)</f>
        <v/>
      </c>
      <c r="W409" s="22" t="str">
        <f aca="false">IF($X409="","",U409-L409)</f>
        <v/>
      </c>
      <c r="X409" s="24" t="str">
        <f aca="false">IF(ROWS($X$2:$X409)&lt;=MAX('Per Line'!$AI$2:$AI$4001),MATCH(ROWS($X$2:$X409),'Per Line'!$AI$2:$AI$4001,0),"")</f>
        <v/>
      </c>
    </row>
    <row r="410" customFormat="false" ht="15" hidden="false" customHeight="false" outlineLevel="0" collapsed="false">
      <c r="A410" s="19"/>
      <c r="B410" s="20" t="str">
        <f aca="false">IF($X410="","",INDEX('Per Line'!$D$2:$D$4001,$X410))</f>
        <v/>
      </c>
      <c r="C410" s="20" t="str">
        <f aca="false">IF($X410="","",INDEX('Per Line'!$C$2:$C$4001,$X410))</f>
        <v/>
      </c>
      <c r="D410" s="20" t="str">
        <f aca="false">IF($X410="","",INDEX('Per Line'!$A$2:$A$4001,$X410))</f>
        <v/>
      </c>
      <c r="E410" s="21" t="str">
        <f aca="false">IF($X410="","",INDEX('Per Line'!$F$2:$F$4001,$X410))</f>
        <v/>
      </c>
      <c r="F410" s="20" t="str">
        <f aca="false">IF($X410="","",INDEX('Per Line'!$G$2:$G$4001,$X410))</f>
        <v/>
      </c>
      <c r="G410" s="20" t="str">
        <f aca="false">IF($X410="","",INDEX('Per Line'!$I$2:$I$4001,$X410))</f>
        <v/>
      </c>
      <c r="H410" s="20" t="str">
        <f aca="false">IF($X410="","",INDEX('Per Line'!$J$2:$J$4001,$X410))</f>
        <v/>
      </c>
      <c r="I410" s="20" t="str">
        <f aca="false">IF($X410="","",INDEX('Per Line'!$K$2:$K$4001,$X410))</f>
        <v/>
      </c>
      <c r="J410" s="20" t="str">
        <f aca="false">IF($X410="","",INDEX('Per Line'!$L$2:$L$4001,$X410))</f>
        <v/>
      </c>
      <c r="K410" s="20" t="str">
        <f aca="false">IF($X410="","",INDEX('Per Line'!$M$2:$M$4001,$X410))</f>
        <v/>
      </c>
      <c r="L410" s="22" t="str">
        <f aca="false">IF($X410="","",K410*V410/100)</f>
        <v/>
      </c>
      <c r="M410" s="20" t="str">
        <f aca="false">IF($X410="","",INDEX('Per Line'!$Z$2:$Z$4001,$X410))</f>
        <v/>
      </c>
      <c r="N410" s="23" t="str">
        <f aca="false">IF($X410="","",Settings!$C$7)</f>
        <v/>
      </c>
      <c r="O410" s="22" t="str">
        <f aca="false">IF($X410="","",SUMIFS('Per Line'!$Y$2:$Y$4001,'Per Line'!$D$2:$D$4001,$B410,'Per Line'!$AJ$2:$AJ$4001,0))</f>
        <v/>
      </c>
      <c r="P410" s="22" t="str">
        <f aca="false">IF($X410="","",O410*N410)</f>
        <v/>
      </c>
      <c r="Q410" s="23" t="str">
        <f aca="false">IF($X410="","",Settings!$C$6)</f>
        <v/>
      </c>
      <c r="R410" s="22" t="str">
        <f aca="false">IF($X410="","",SUMIFS('Per Line'!$Y$2:$Y$4001,'Per Line'!$D$2:$D$4001,$B410,'Per Line'!$AJ$2:$AJ$4001,1))</f>
        <v/>
      </c>
      <c r="S410" s="22" t="str">
        <f aca="false">IF($X410="","",R410*Q410)</f>
        <v/>
      </c>
      <c r="T410" s="22" t="str">
        <f aca="false">IF($X410="","",S410+P410)</f>
        <v/>
      </c>
      <c r="U410" s="22" t="str">
        <f aca="false">IF($X410="","",V410-T410)</f>
        <v/>
      </c>
      <c r="V410" s="22" t="str">
        <f aca="false">IF($X410="","",O410+R410)</f>
        <v/>
      </c>
      <c r="W410" s="22" t="str">
        <f aca="false">IF($X410="","",U410-L410)</f>
        <v/>
      </c>
      <c r="X410" s="24" t="str">
        <f aca="false">IF(ROWS($X$2:$X410)&lt;=MAX('Per Line'!$AI$2:$AI$4001),MATCH(ROWS($X$2:$X410),'Per Line'!$AI$2:$AI$4001,0),"")</f>
        <v/>
      </c>
    </row>
    <row r="411" customFormat="false" ht="15" hidden="false" customHeight="false" outlineLevel="0" collapsed="false">
      <c r="A411" s="19"/>
      <c r="B411" s="20" t="str">
        <f aca="false">IF($X411="","",INDEX('Per Line'!$D$2:$D$4001,$X411))</f>
        <v/>
      </c>
      <c r="C411" s="20" t="str">
        <f aca="false">IF($X411="","",INDEX('Per Line'!$C$2:$C$4001,$X411))</f>
        <v/>
      </c>
      <c r="D411" s="20" t="str">
        <f aca="false">IF($X411="","",INDEX('Per Line'!$A$2:$A$4001,$X411))</f>
        <v/>
      </c>
      <c r="E411" s="21" t="str">
        <f aca="false">IF($X411="","",INDEX('Per Line'!$F$2:$F$4001,$X411))</f>
        <v/>
      </c>
      <c r="F411" s="20" t="str">
        <f aca="false">IF($X411="","",INDEX('Per Line'!$G$2:$G$4001,$X411))</f>
        <v/>
      </c>
      <c r="G411" s="20" t="str">
        <f aca="false">IF($X411="","",INDEX('Per Line'!$I$2:$I$4001,$X411))</f>
        <v/>
      </c>
      <c r="H411" s="20" t="str">
        <f aca="false">IF($X411="","",INDEX('Per Line'!$J$2:$J$4001,$X411))</f>
        <v/>
      </c>
      <c r="I411" s="20" t="str">
        <f aca="false">IF($X411="","",INDEX('Per Line'!$K$2:$K$4001,$X411))</f>
        <v/>
      </c>
      <c r="J411" s="20" t="str">
        <f aca="false">IF($X411="","",INDEX('Per Line'!$L$2:$L$4001,$X411))</f>
        <v/>
      </c>
      <c r="K411" s="20" t="str">
        <f aca="false">IF($X411="","",INDEX('Per Line'!$M$2:$M$4001,$X411))</f>
        <v/>
      </c>
      <c r="L411" s="22" t="str">
        <f aca="false">IF($X411="","",K411*V411/100)</f>
        <v/>
      </c>
      <c r="M411" s="20" t="str">
        <f aca="false">IF($X411="","",INDEX('Per Line'!$Z$2:$Z$4001,$X411))</f>
        <v/>
      </c>
      <c r="N411" s="23" t="str">
        <f aca="false">IF($X411="","",Settings!$C$7)</f>
        <v/>
      </c>
      <c r="O411" s="22" t="str">
        <f aca="false">IF($X411="","",SUMIFS('Per Line'!$Y$2:$Y$4001,'Per Line'!$D$2:$D$4001,$B411,'Per Line'!$AJ$2:$AJ$4001,0))</f>
        <v/>
      </c>
      <c r="P411" s="22" t="str">
        <f aca="false">IF($X411="","",O411*N411)</f>
        <v/>
      </c>
      <c r="Q411" s="23" t="str">
        <f aca="false">IF($X411="","",Settings!$C$6)</f>
        <v/>
      </c>
      <c r="R411" s="22" t="str">
        <f aca="false">IF($X411="","",SUMIFS('Per Line'!$Y$2:$Y$4001,'Per Line'!$D$2:$D$4001,$B411,'Per Line'!$AJ$2:$AJ$4001,1))</f>
        <v/>
      </c>
      <c r="S411" s="22" t="str">
        <f aca="false">IF($X411="","",R411*Q411)</f>
        <v/>
      </c>
      <c r="T411" s="22" t="str">
        <f aca="false">IF($X411="","",S411+P411)</f>
        <v/>
      </c>
      <c r="U411" s="22" t="str">
        <f aca="false">IF($X411="","",V411-T411)</f>
        <v/>
      </c>
      <c r="V411" s="22" t="str">
        <f aca="false">IF($X411="","",O411+R411)</f>
        <v/>
      </c>
      <c r="W411" s="22" t="str">
        <f aca="false">IF($X411="","",U411-L411)</f>
        <v/>
      </c>
      <c r="X411" s="24" t="str">
        <f aca="false">IF(ROWS($X$2:$X411)&lt;=MAX('Per Line'!$AI$2:$AI$4001),MATCH(ROWS($X$2:$X411),'Per Line'!$AI$2:$AI$4001,0),"")</f>
        <v/>
      </c>
    </row>
    <row r="412" customFormat="false" ht="15" hidden="false" customHeight="false" outlineLevel="0" collapsed="false">
      <c r="A412" s="19"/>
      <c r="B412" s="20" t="str">
        <f aca="false">IF($X412="","",INDEX('Per Line'!$D$2:$D$4001,$X412))</f>
        <v/>
      </c>
      <c r="C412" s="20" t="str">
        <f aca="false">IF($X412="","",INDEX('Per Line'!$C$2:$C$4001,$X412))</f>
        <v/>
      </c>
      <c r="D412" s="20" t="str">
        <f aca="false">IF($X412="","",INDEX('Per Line'!$A$2:$A$4001,$X412))</f>
        <v/>
      </c>
      <c r="E412" s="21" t="str">
        <f aca="false">IF($X412="","",INDEX('Per Line'!$F$2:$F$4001,$X412))</f>
        <v/>
      </c>
      <c r="F412" s="20" t="str">
        <f aca="false">IF($X412="","",INDEX('Per Line'!$G$2:$G$4001,$X412))</f>
        <v/>
      </c>
      <c r="G412" s="20" t="str">
        <f aca="false">IF($X412="","",INDEX('Per Line'!$I$2:$I$4001,$X412))</f>
        <v/>
      </c>
      <c r="H412" s="20" t="str">
        <f aca="false">IF($X412="","",INDEX('Per Line'!$J$2:$J$4001,$X412))</f>
        <v/>
      </c>
      <c r="I412" s="20" t="str">
        <f aca="false">IF($X412="","",INDEX('Per Line'!$K$2:$K$4001,$X412))</f>
        <v/>
      </c>
      <c r="J412" s="20" t="str">
        <f aca="false">IF($X412="","",INDEX('Per Line'!$L$2:$L$4001,$X412))</f>
        <v/>
      </c>
      <c r="K412" s="20" t="str">
        <f aca="false">IF($X412="","",INDEX('Per Line'!$M$2:$M$4001,$X412))</f>
        <v/>
      </c>
      <c r="L412" s="22" t="str">
        <f aca="false">IF($X412="","",K412*V412/100)</f>
        <v/>
      </c>
      <c r="M412" s="20" t="str">
        <f aca="false">IF($X412="","",INDEX('Per Line'!$Z$2:$Z$4001,$X412))</f>
        <v/>
      </c>
      <c r="N412" s="23" t="str">
        <f aca="false">IF($X412="","",Settings!$C$7)</f>
        <v/>
      </c>
      <c r="O412" s="22" t="str">
        <f aca="false">IF($X412="","",SUMIFS('Per Line'!$Y$2:$Y$4001,'Per Line'!$D$2:$D$4001,$B412,'Per Line'!$AJ$2:$AJ$4001,0))</f>
        <v/>
      </c>
      <c r="P412" s="22" t="str">
        <f aca="false">IF($X412="","",O412*N412)</f>
        <v/>
      </c>
      <c r="Q412" s="23" t="str">
        <f aca="false">IF($X412="","",Settings!$C$6)</f>
        <v/>
      </c>
      <c r="R412" s="22" t="str">
        <f aca="false">IF($X412="","",SUMIFS('Per Line'!$Y$2:$Y$4001,'Per Line'!$D$2:$D$4001,$B412,'Per Line'!$AJ$2:$AJ$4001,1))</f>
        <v/>
      </c>
      <c r="S412" s="22" t="str">
        <f aca="false">IF($X412="","",R412*Q412)</f>
        <v/>
      </c>
      <c r="T412" s="22" t="str">
        <f aca="false">IF($X412="","",S412+P412)</f>
        <v/>
      </c>
      <c r="U412" s="22" t="str">
        <f aca="false">IF($X412="","",V412-T412)</f>
        <v/>
      </c>
      <c r="V412" s="22" t="str">
        <f aca="false">IF($X412="","",O412+R412)</f>
        <v/>
      </c>
      <c r="W412" s="22" t="str">
        <f aca="false">IF($X412="","",U412-L412)</f>
        <v/>
      </c>
      <c r="X412" s="24" t="str">
        <f aca="false">IF(ROWS($X$2:$X412)&lt;=MAX('Per Line'!$AI$2:$AI$4001),MATCH(ROWS($X$2:$X412),'Per Line'!$AI$2:$AI$4001,0),"")</f>
        <v/>
      </c>
    </row>
    <row r="413" customFormat="false" ht="15" hidden="false" customHeight="false" outlineLevel="0" collapsed="false">
      <c r="A413" s="19"/>
      <c r="B413" s="20" t="str">
        <f aca="false">IF($X413="","",INDEX('Per Line'!$D$2:$D$4001,$X413))</f>
        <v/>
      </c>
      <c r="C413" s="20" t="str">
        <f aca="false">IF($X413="","",INDEX('Per Line'!$C$2:$C$4001,$X413))</f>
        <v/>
      </c>
      <c r="D413" s="20" t="str">
        <f aca="false">IF($X413="","",INDEX('Per Line'!$A$2:$A$4001,$X413))</f>
        <v/>
      </c>
      <c r="E413" s="21" t="str">
        <f aca="false">IF($X413="","",INDEX('Per Line'!$F$2:$F$4001,$X413))</f>
        <v/>
      </c>
      <c r="F413" s="20" t="str">
        <f aca="false">IF($X413="","",INDEX('Per Line'!$G$2:$G$4001,$X413))</f>
        <v/>
      </c>
      <c r="G413" s="20" t="str">
        <f aca="false">IF($X413="","",INDEX('Per Line'!$I$2:$I$4001,$X413))</f>
        <v/>
      </c>
      <c r="H413" s="20" t="str">
        <f aca="false">IF($X413="","",INDEX('Per Line'!$J$2:$J$4001,$X413))</f>
        <v/>
      </c>
      <c r="I413" s="20" t="str">
        <f aca="false">IF($X413="","",INDEX('Per Line'!$K$2:$K$4001,$X413))</f>
        <v/>
      </c>
      <c r="J413" s="20" t="str">
        <f aca="false">IF($X413="","",INDEX('Per Line'!$L$2:$L$4001,$X413))</f>
        <v/>
      </c>
      <c r="K413" s="20" t="str">
        <f aca="false">IF($X413="","",INDEX('Per Line'!$M$2:$M$4001,$X413))</f>
        <v/>
      </c>
      <c r="L413" s="22" t="str">
        <f aca="false">IF($X413="","",K413*V413/100)</f>
        <v/>
      </c>
      <c r="M413" s="20" t="str">
        <f aca="false">IF($X413="","",INDEX('Per Line'!$Z$2:$Z$4001,$X413))</f>
        <v/>
      </c>
      <c r="N413" s="23" t="str">
        <f aca="false">IF($X413="","",Settings!$C$7)</f>
        <v/>
      </c>
      <c r="O413" s="22" t="str">
        <f aca="false">IF($X413="","",SUMIFS('Per Line'!$Y$2:$Y$4001,'Per Line'!$D$2:$D$4001,$B413,'Per Line'!$AJ$2:$AJ$4001,0))</f>
        <v/>
      </c>
      <c r="P413" s="22" t="str">
        <f aca="false">IF($X413="","",O413*N413)</f>
        <v/>
      </c>
      <c r="Q413" s="23" t="str">
        <f aca="false">IF($X413="","",Settings!$C$6)</f>
        <v/>
      </c>
      <c r="R413" s="22" t="str">
        <f aca="false">IF($X413="","",SUMIFS('Per Line'!$Y$2:$Y$4001,'Per Line'!$D$2:$D$4001,$B413,'Per Line'!$AJ$2:$AJ$4001,1))</f>
        <v/>
      </c>
      <c r="S413" s="22" t="str">
        <f aca="false">IF($X413="","",R413*Q413)</f>
        <v/>
      </c>
      <c r="T413" s="22" t="str">
        <f aca="false">IF($X413="","",S413+P413)</f>
        <v/>
      </c>
      <c r="U413" s="22" t="str">
        <f aca="false">IF($X413="","",V413-T413)</f>
        <v/>
      </c>
      <c r="V413" s="22" t="str">
        <f aca="false">IF($X413="","",O413+R413)</f>
        <v/>
      </c>
      <c r="W413" s="22" t="str">
        <f aca="false">IF($X413="","",U413-L413)</f>
        <v/>
      </c>
      <c r="X413" s="24" t="str">
        <f aca="false">IF(ROWS($X$2:$X413)&lt;=MAX('Per Line'!$AI$2:$AI$4001),MATCH(ROWS($X$2:$X413),'Per Line'!$AI$2:$AI$4001,0),"")</f>
        <v/>
      </c>
    </row>
    <row r="414" customFormat="false" ht="15" hidden="false" customHeight="false" outlineLevel="0" collapsed="false">
      <c r="A414" s="19"/>
      <c r="B414" s="20" t="str">
        <f aca="false">IF($X414="","",INDEX('Per Line'!$D$2:$D$4001,$X414))</f>
        <v/>
      </c>
      <c r="C414" s="20" t="str">
        <f aca="false">IF($X414="","",INDEX('Per Line'!$C$2:$C$4001,$X414))</f>
        <v/>
      </c>
      <c r="D414" s="20" t="str">
        <f aca="false">IF($X414="","",INDEX('Per Line'!$A$2:$A$4001,$X414))</f>
        <v/>
      </c>
      <c r="E414" s="21" t="str">
        <f aca="false">IF($X414="","",INDEX('Per Line'!$F$2:$F$4001,$X414))</f>
        <v/>
      </c>
      <c r="F414" s="20" t="str">
        <f aca="false">IF($X414="","",INDEX('Per Line'!$G$2:$G$4001,$X414))</f>
        <v/>
      </c>
      <c r="G414" s="20" t="str">
        <f aca="false">IF($X414="","",INDEX('Per Line'!$I$2:$I$4001,$X414))</f>
        <v/>
      </c>
      <c r="H414" s="20" t="str">
        <f aca="false">IF($X414="","",INDEX('Per Line'!$J$2:$J$4001,$X414))</f>
        <v/>
      </c>
      <c r="I414" s="20" t="str">
        <f aca="false">IF($X414="","",INDEX('Per Line'!$K$2:$K$4001,$X414))</f>
        <v/>
      </c>
      <c r="J414" s="20" t="str">
        <f aca="false">IF($X414="","",INDEX('Per Line'!$L$2:$L$4001,$X414))</f>
        <v/>
      </c>
      <c r="K414" s="20" t="str">
        <f aca="false">IF($X414="","",INDEX('Per Line'!$M$2:$M$4001,$X414))</f>
        <v/>
      </c>
      <c r="L414" s="22" t="str">
        <f aca="false">IF($X414="","",K414*V414/100)</f>
        <v/>
      </c>
      <c r="M414" s="20" t="str">
        <f aca="false">IF($X414="","",INDEX('Per Line'!$Z$2:$Z$4001,$X414))</f>
        <v/>
      </c>
      <c r="N414" s="23" t="str">
        <f aca="false">IF($X414="","",Settings!$C$7)</f>
        <v/>
      </c>
      <c r="O414" s="22" t="str">
        <f aca="false">IF($X414="","",SUMIFS('Per Line'!$Y$2:$Y$4001,'Per Line'!$D$2:$D$4001,$B414,'Per Line'!$AJ$2:$AJ$4001,0))</f>
        <v/>
      </c>
      <c r="P414" s="22" t="str">
        <f aca="false">IF($X414="","",O414*N414)</f>
        <v/>
      </c>
      <c r="Q414" s="23" t="str">
        <f aca="false">IF($X414="","",Settings!$C$6)</f>
        <v/>
      </c>
      <c r="R414" s="22" t="str">
        <f aca="false">IF($X414="","",SUMIFS('Per Line'!$Y$2:$Y$4001,'Per Line'!$D$2:$D$4001,$B414,'Per Line'!$AJ$2:$AJ$4001,1))</f>
        <v/>
      </c>
      <c r="S414" s="22" t="str">
        <f aca="false">IF($X414="","",R414*Q414)</f>
        <v/>
      </c>
      <c r="T414" s="22" t="str">
        <f aca="false">IF($X414="","",S414+P414)</f>
        <v/>
      </c>
      <c r="U414" s="22" t="str">
        <f aca="false">IF($X414="","",V414-T414)</f>
        <v/>
      </c>
      <c r="V414" s="22" t="str">
        <f aca="false">IF($X414="","",O414+R414)</f>
        <v/>
      </c>
      <c r="W414" s="22" t="str">
        <f aca="false">IF($X414="","",U414-L414)</f>
        <v/>
      </c>
      <c r="X414" s="24" t="str">
        <f aca="false">IF(ROWS($X$2:$X414)&lt;=MAX('Per Line'!$AI$2:$AI$4001),MATCH(ROWS($X$2:$X414),'Per Line'!$AI$2:$AI$4001,0),"")</f>
        <v/>
      </c>
    </row>
    <row r="415" customFormat="false" ht="15" hidden="false" customHeight="false" outlineLevel="0" collapsed="false">
      <c r="A415" s="19"/>
      <c r="B415" s="20" t="str">
        <f aca="false">IF($X415="","",INDEX('Per Line'!$D$2:$D$4001,$X415))</f>
        <v/>
      </c>
      <c r="C415" s="20" t="str">
        <f aca="false">IF($X415="","",INDEX('Per Line'!$C$2:$C$4001,$X415))</f>
        <v/>
      </c>
      <c r="D415" s="20" t="str">
        <f aca="false">IF($X415="","",INDEX('Per Line'!$A$2:$A$4001,$X415))</f>
        <v/>
      </c>
      <c r="E415" s="21" t="str">
        <f aca="false">IF($X415="","",INDEX('Per Line'!$F$2:$F$4001,$X415))</f>
        <v/>
      </c>
      <c r="F415" s="20" t="str">
        <f aca="false">IF($X415="","",INDEX('Per Line'!$G$2:$G$4001,$X415))</f>
        <v/>
      </c>
      <c r="G415" s="20" t="str">
        <f aca="false">IF($X415="","",INDEX('Per Line'!$I$2:$I$4001,$X415))</f>
        <v/>
      </c>
      <c r="H415" s="20" t="str">
        <f aca="false">IF($X415="","",INDEX('Per Line'!$J$2:$J$4001,$X415))</f>
        <v/>
      </c>
      <c r="I415" s="20" t="str">
        <f aca="false">IF($X415="","",INDEX('Per Line'!$K$2:$K$4001,$X415))</f>
        <v/>
      </c>
      <c r="J415" s="20" t="str">
        <f aca="false">IF($X415="","",INDEX('Per Line'!$L$2:$L$4001,$X415))</f>
        <v/>
      </c>
      <c r="K415" s="20" t="str">
        <f aca="false">IF($X415="","",INDEX('Per Line'!$M$2:$M$4001,$X415))</f>
        <v/>
      </c>
      <c r="L415" s="22" t="str">
        <f aca="false">IF($X415="","",K415*V415/100)</f>
        <v/>
      </c>
      <c r="M415" s="20" t="str">
        <f aca="false">IF($X415="","",INDEX('Per Line'!$Z$2:$Z$4001,$X415))</f>
        <v/>
      </c>
      <c r="N415" s="23" t="str">
        <f aca="false">IF($X415="","",Settings!$C$7)</f>
        <v/>
      </c>
      <c r="O415" s="22" t="str">
        <f aca="false">IF($X415="","",SUMIFS('Per Line'!$Y$2:$Y$4001,'Per Line'!$D$2:$D$4001,$B415,'Per Line'!$AJ$2:$AJ$4001,0))</f>
        <v/>
      </c>
      <c r="P415" s="22" t="str">
        <f aca="false">IF($X415="","",O415*N415)</f>
        <v/>
      </c>
      <c r="Q415" s="23" t="str">
        <f aca="false">IF($X415="","",Settings!$C$6)</f>
        <v/>
      </c>
      <c r="R415" s="22" t="str">
        <f aca="false">IF($X415="","",SUMIFS('Per Line'!$Y$2:$Y$4001,'Per Line'!$D$2:$D$4001,$B415,'Per Line'!$AJ$2:$AJ$4001,1))</f>
        <v/>
      </c>
      <c r="S415" s="22" t="str">
        <f aca="false">IF($X415="","",R415*Q415)</f>
        <v/>
      </c>
      <c r="T415" s="22" t="str">
        <f aca="false">IF($X415="","",S415+P415)</f>
        <v/>
      </c>
      <c r="U415" s="22" t="str">
        <f aca="false">IF($X415="","",V415-T415)</f>
        <v/>
      </c>
      <c r="V415" s="22" t="str">
        <f aca="false">IF($X415="","",O415+R415)</f>
        <v/>
      </c>
      <c r="W415" s="22" t="str">
        <f aca="false">IF($X415="","",U415-L415)</f>
        <v/>
      </c>
      <c r="X415" s="24" t="str">
        <f aca="false">IF(ROWS($X$2:$X415)&lt;=MAX('Per Line'!$AI$2:$AI$4001),MATCH(ROWS($X$2:$X415),'Per Line'!$AI$2:$AI$4001,0),"")</f>
        <v/>
      </c>
    </row>
    <row r="416" customFormat="false" ht="15" hidden="false" customHeight="false" outlineLevel="0" collapsed="false">
      <c r="A416" s="19"/>
      <c r="B416" s="20" t="str">
        <f aca="false">IF($X416="","",INDEX('Per Line'!$D$2:$D$4001,$X416))</f>
        <v/>
      </c>
      <c r="C416" s="20" t="str">
        <f aca="false">IF($X416="","",INDEX('Per Line'!$C$2:$C$4001,$X416))</f>
        <v/>
      </c>
      <c r="D416" s="20" t="str">
        <f aca="false">IF($X416="","",INDEX('Per Line'!$A$2:$A$4001,$X416))</f>
        <v/>
      </c>
      <c r="E416" s="21" t="str">
        <f aca="false">IF($X416="","",INDEX('Per Line'!$F$2:$F$4001,$X416))</f>
        <v/>
      </c>
      <c r="F416" s="20" t="str">
        <f aca="false">IF($X416="","",INDEX('Per Line'!$G$2:$G$4001,$X416))</f>
        <v/>
      </c>
      <c r="G416" s="20" t="str">
        <f aca="false">IF($X416="","",INDEX('Per Line'!$I$2:$I$4001,$X416))</f>
        <v/>
      </c>
      <c r="H416" s="20" t="str">
        <f aca="false">IF($X416="","",INDEX('Per Line'!$J$2:$J$4001,$X416))</f>
        <v/>
      </c>
      <c r="I416" s="20" t="str">
        <f aca="false">IF($X416="","",INDEX('Per Line'!$K$2:$K$4001,$X416))</f>
        <v/>
      </c>
      <c r="J416" s="20" t="str">
        <f aca="false">IF($X416="","",INDEX('Per Line'!$L$2:$L$4001,$X416))</f>
        <v/>
      </c>
      <c r="K416" s="20" t="str">
        <f aca="false">IF($X416="","",INDEX('Per Line'!$M$2:$M$4001,$X416))</f>
        <v/>
      </c>
      <c r="L416" s="22" t="str">
        <f aca="false">IF($X416="","",K416*V416/100)</f>
        <v/>
      </c>
      <c r="M416" s="20" t="str">
        <f aca="false">IF($X416="","",INDEX('Per Line'!$Z$2:$Z$4001,$X416))</f>
        <v/>
      </c>
      <c r="N416" s="23" t="str">
        <f aca="false">IF($X416="","",Settings!$C$7)</f>
        <v/>
      </c>
      <c r="O416" s="22" t="str">
        <f aca="false">IF($X416="","",SUMIFS('Per Line'!$Y$2:$Y$4001,'Per Line'!$D$2:$D$4001,$B416,'Per Line'!$AJ$2:$AJ$4001,0))</f>
        <v/>
      </c>
      <c r="P416" s="22" t="str">
        <f aca="false">IF($X416="","",O416*N416)</f>
        <v/>
      </c>
      <c r="Q416" s="23" t="str">
        <f aca="false">IF($X416="","",Settings!$C$6)</f>
        <v/>
      </c>
      <c r="R416" s="22" t="str">
        <f aca="false">IF($X416="","",SUMIFS('Per Line'!$Y$2:$Y$4001,'Per Line'!$D$2:$D$4001,$B416,'Per Line'!$AJ$2:$AJ$4001,1))</f>
        <v/>
      </c>
      <c r="S416" s="22" t="str">
        <f aca="false">IF($X416="","",R416*Q416)</f>
        <v/>
      </c>
      <c r="T416" s="22" t="str">
        <f aca="false">IF($X416="","",S416+P416)</f>
        <v/>
      </c>
      <c r="U416" s="22" t="str">
        <f aca="false">IF($X416="","",V416-T416)</f>
        <v/>
      </c>
      <c r="V416" s="22" t="str">
        <f aca="false">IF($X416="","",O416+R416)</f>
        <v/>
      </c>
      <c r="W416" s="22" t="str">
        <f aca="false">IF($X416="","",U416-L416)</f>
        <v/>
      </c>
      <c r="X416" s="24" t="str">
        <f aca="false">IF(ROWS($X$2:$X416)&lt;=MAX('Per Line'!$AI$2:$AI$4001),MATCH(ROWS($X$2:$X416),'Per Line'!$AI$2:$AI$4001,0),"")</f>
        <v/>
      </c>
    </row>
    <row r="417" customFormat="false" ht="15" hidden="false" customHeight="false" outlineLevel="0" collapsed="false">
      <c r="A417" s="19"/>
      <c r="B417" s="20" t="str">
        <f aca="false">IF($X417="","",INDEX('Per Line'!$D$2:$D$4001,$X417))</f>
        <v/>
      </c>
      <c r="C417" s="20" t="str">
        <f aca="false">IF($X417="","",INDEX('Per Line'!$C$2:$C$4001,$X417))</f>
        <v/>
      </c>
      <c r="D417" s="20" t="str">
        <f aca="false">IF($X417="","",INDEX('Per Line'!$A$2:$A$4001,$X417))</f>
        <v/>
      </c>
      <c r="E417" s="21" t="str">
        <f aca="false">IF($X417="","",INDEX('Per Line'!$F$2:$F$4001,$X417))</f>
        <v/>
      </c>
      <c r="F417" s="20" t="str">
        <f aca="false">IF($X417="","",INDEX('Per Line'!$G$2:$G$4001,$X417))</f>
        <v/>
      </c>
      <c r="G417" s="20" t="str">
        <f aca="false">IF($X417="","",INDEX('Per Line'!$I$2:$I$4001,$X417))</f>
        <v/>
      </c>
      <c r="H417" s="20" t="str">
        <f aca="false">IF($X417="","",INDEX('Per Line'!$J$2:$J$4001,$X417))</f>
        <v/>
      </c>
      <c r="I417" s="20" t="str">
        <f aca="false">IF($X417="","",INDEX('Per Line'!$K$2:$K$4001,$X417))</f>
        <v/>
      </c>
      <c r="J417" s="20" t="str">
        <f aca="false">IF($X417="","",INDEX('Per Line'!$L$2:$L$4001,$X417))</f>
        <v/>
      </c>
      <c r="K417" s="20" t="str">
        <f aca="false">IF($X417="","",INDEX('Per Line'!$M$2:$M$4001,$X417))</f>
        <v/>
      </c>
      <c r="L417" s="22" t="str">
        <f aca="false">IF($X417="","",K417*V417/100)</f>
        <v/>
      </c>
      <c r="M417" s="20" t="str">
        <f aca="false">IF($X417="","",INDEX('Per Line'!$Z$2:$Z$4001,$X417))</f>
        <v/>
      </c>
      <c r="N417" s="23" t="str">
        <f aca="false">IF($X417="","",Settings!$C$7)</f>
        <v/>
      </c>
      <c r="O417" s="22" t="str">
        <f aca="false">IF($X417="","",SUMIFS('Per Line'!$Y$2:$Y$4001,'Per Line'!$D$2:$D$4001,$B417,'Per Line'!$AJ$2:$AJ$4001,0))</f>
        <v/>
      </c>
      <c r="P417" s="22" t="str">
        <f aca="false">IF($X417="","",O417*N417)</f>
        <v/>
      </c>
      <c r="Q417" s="23" t="str">
        <f aca="false">IF($X417="","",Settings!$C$6)</f>
        <v/>
      </c>
      <c r="R417" s="22" t="str">
        <f aca="false">IF($X417="","",SUMIFS('Per Line'!$Y$2:$Y$4001,'Per Line'!$D$2:$D$4001,$B417,'Per Line'!$AJ$2:$AJ$4001,1))</f>
        <v/>
      </c>
      <c r="S417" s="22" t="str">
        <f aca="false">IF($X417="","",R417*Q417)</f>
        <v/>
      </c>
      <c r="T417" s="22" t="str">
        <f aca="false">IF($X417="","",S417+P417)</f>
        <v/>
      </c>
      <c r="U417" s="22" t="str">
        <f aca="false">IF($X417="","",V417-T417)</f>
        <v/>
      </c>
      <c r="V417" s="22" t="str">
        <f aca="false">IF($X417="","",O417+R417)</f>
        <v/>
      </c>
      <c r="W417" s="22" t="str">
        <f aca="false">IF($X417="","",U417-L417)</f>
        <v/>
      </c>
      <c r="X417" s="24" t="str">
        <f aca="false">IF(ROWS($X$2:$X417)&lt;=MAX('Per Line'!$AI$2:$AI$4001),MATCH(ROWS($X$2:$X417),'Per Line'!$AI$2:$AI$4001,0),"")</f>
        <v/>
      </c>
    </row>
    <row r="418" customFormat="false" ht="15" hidden="false" customHeight="false" outlineLevel="0" collapsed="false">
      <c r="A418" s="19"/>
      <c r="B418" s="20" t="str">
        <f aca="false">IF($X418="","",INDEX('Per Line'!$D$2:$D$4001,$X418))</f>
        <v/>
      </c>
      <c r="C418" s="20" t="str">
        <f aca="false">IF($X418="","",INDEX('Per Line'!$C$2:$C$4001,$X418))</f>
        <v/>
      </c>
      <c r="D418" s="20" t="str">
        <f aca="false">IF($X418="","",INDEX('Per Line'!$A$2:$A$4001,$X418))</f>
        <v/>
      </c>
      <c r="E418" s="21" t="str">
        <f aca="false">IF($X418="","",INDEX('Per Line'!$F$2:$F$4001,$X418))</f>
        <v/>
      </c>
      <c r="F418" s="20" t="str">
        <f aca="false">IF($X418="","",INDEX('Per Line'!$G$2:$G$4001,$X418))</f>
        <v/>
      </c>
      <c r="G418" s="20" t="str">
        <f aca="false">IF($X418="","",INDEX('Per Line'!$I$2:$I$4001,$X418))</f>
        <v/>
      </c>
      <c r="H418" s="20" t="str">
        <f aca="false">IF($X418="","",INDEX('Per Line'!$J$2:$J$4001,$X418))</f>
        <v/>
      </c>
      <c r="I418" s="20" t="str">
        <f aca="false">IF($X418="","",INDEX('Per Line'!$K$2:$K$4001,$X418))</f>
        <v/>
      </c>
      <c r="J418" s="20" t="str">
        <f aca="false">IF($X418="","",INDEX('Per Line'!$L$2:$L$4001,$X418))</f>
        <v/>
      </c>
      <c r="K418" s="20" t="str">
        <f aca="false">IF($X418="","",INDEX('Per Line'!$M$2:$M$4001,$X418))</f>
        <v/>
      </c>
      <c r="L418" s="22" t="str">
        <f aca="false">IF($X418="","",K418*V418/100)</f>
        <v/>
      </c>
      <c r="M418" s="20" t="str">
        <f aca="false">IF($X418="","",INDEX('Per Line'!$Z$2:$Z$4001,$X418))</f>
        <v/>
      </c>
      <c r="N418" s="23" t="str">
        <f aca="false">IF($X418="","",Settings!$C$7)</f>
        <v/>
      </c>
      <c r="O418" s="22" t="str">
        <f aca="false">IF($X418="","",SUMIFS('Per Line'!$Y$2:$Y$4001,'Per Line'!$D$2:$D$4001,$B418,'Per Line'!$AJ$2:$AJ$4001,0))</f>
        <v/>
      </c>
      <c r="P418" s="22" t="str">
        <f aca="false">IF($X418="","",O418*N418)</f>
        <v/>
      </c>
      <c r="Q418" s="23" t="str">
        <f aca="false">IF($X418="","",Settings!$C$6)</f>
        <v/>
      </c>
      <c r="R418" s="22" t="str">
        <f aca="false">IF($X418="","",SUMIFS('Per Line'!$Y$2:$Y$4001,'Per Line'!$D$2:$D$4001,$B418,'Per Line'!$AJ$2:$AJ$4001,1))</f>
        <v/>
      </c>
      <c r="S418" s="22" t="str">
        <f aca="false">IF($X418="","",R418*Q418)</f>
        <v/>
      </c>
      <c r="T418" s="22" t="str">
        <f aca="false">IF($X418="","",S418+P418)</f>
        <v/>
      </c>
      <c r="U418" s="22" t="str">
        <f aca="false">IF($X418="","",V418-T418)</f>
        <v/>
      </c>
      <c r="V418" s="22" t="str">
        <f aca="false">IF($X418="","",O418+R418)</f>
        <v/>
      </c>
      <c r="W418" s="22" t="str">
        <f aca="false">IF($X418="","",U418-L418)</f>
        <v/>
      </c>
      <c r="X418" s="24" t="str">
        <f aca="false">IF(ROWS($X$2:$X418)&lt;=MAX('Per Line'!$AI$2:$AI$4001),MATCH(ROWS($X$2:$X418),'Per Line'!$AI$2:$AI$4001,0),"")</f>
        <v/>
      </c>
    </row>
    <row r="419" customFormat="false" ht="15" hidden="false" customHeight="false" outlineLevel="0" collapsed="false">
      <c r="A419" s="19"/>
      <c r="B419" s="20" t="str">
        <f aca="false">IF($X419="","",INDEX('Per Line'!$D$2:$D$4001,$X419))</f>
        <v/>
      </c>
      <c r="C419" s="20" t="str">
        <f aca="false">IF($X419="","",INDEX('Per Line'!$C$2:$C$4001,$X419))</f>
        <v/>
      </c>
      <c r="D419" s="20" t="str">
        <f aca="false">IF($X419="","",INDEX('Per Line'!$A$2:$A$4001,$X419))</f>
        <v/>
      </c>
      <c r="E419" s="21" t="str">
        <f aca="false">IF($X419="","",INDEX('Per Line'!$F$2:$F$4001,$X419))</f>
        <v/>
      </c>
      <c r="F419" s="20" t="str">
        <f aca="false">IF($X419="","",INDEX('Per Line'!$G$2:$G$4001,$X419))</f>
        <v/>
      </c>
      <c r="G419" s="20" t="str">
        <f aca="false">IF($X419="","",INDEX('Per Line'!$I$2:$I$4001,$X419))</f>
        <v/>
      </c>
      <c r="H419" s="20" t="str">
        <f aca="false">IF($X419="","",INDEX('Per Line'!$J$2:$J$4001,$X419))</f>
        <v/>
      </c>
      <c r="I419" s="20" t="str">
        <f aca="false">IF($X419="","",INDEX('Per Line'!$K$2:$K$4001,$X419))</f>
        <v/>
      </c>
      <c r="J419" s="20" t="str">
        <f aca="false">IF($X419="","",INDEX('Per Line'!$L$2:$L$4001,$X419))</f>
        <v/>
      </c>
      <c r="K419" s="20" t="str">
        <f aca="false">IF($X419="","",INDEX('Per Line'!$M$2:$M$4001,$X419))</f>
        <v/>
      </c>
      <c r="L419" s="22" t="str">
        <f aca="false">IF($X419="","",K419*V419/100)</f>
        <v/>
      </c>
      <c r="M419" s="20" t="str">
        <f aca="false">IF($X419="","",INDEX('Per Line'!$Z$2:$Z$4001,$X419))</f>
        <v/>
      </c>
      <c r="N419" s="23" t="str">
        <f aca="false">IF($X419="","",Settings!$C$7)</f>
        <v/>
      </c>
      <c r="O419" s="22" t="str">
        <f aca="false">IF($X419="","",SUMIFS('Per Line'!$Y$2:$Y$4001,'Per Line'!$D$2:$D$4001,$B419,'Per Line'!$AJ$2:$AJ$4001,0))</f>
        <v/>
      </c>
      <c r="P419" s="22" t="str">
        <f aca="false">IF($X419="","",O419*N419)</f>
        <v/>
      </c>
      <c r="Q419" s="23" t="str">
        <f aca="false">IF($X419="","",Settings!$C$6)</f>
        <v/>
      </c>
      <c r="R419" s="22" t="str">
        <f aca="false">IF($X419="","",SUMIFS('Per Line'!$Y$2:$Y$4001,'Per Line'!$D$2:$D$4001,$B419,'Per Line'!$AJ$2:$AJ$4001,1))</f>
        <v/>
      </c>
      <c r="S419" s="22" t="str">
        <f aca="false">IF($X419="","",R419*Q419)</f>
        <v/>
      </c>
      <c r="T419" s="22" t="str">
        <f aca="false">IF($X419="","",S419+P419)</f>
        <v/>
      </c>
      <c r="U419" s="22" t="str">
        <f aca="false">IF($X419="","",V419-T419)</f>
        <v/>
      </c>
      <c r="V419" s="22" t="str">
        <f aca="false">IF($X419="","",O419+R419)</f>
        <v/>
      </c>
      <c r="W419" s="22" t="str">
        <f aca="false">IF($X419="","",U419-L419)</f>
        <v/>
      </c>
      <c r="X419" s="24" t="str">
        <f aca="false">IF(ROWS($X$2:$X419)&lt;=MAX('Per Line'!$AI$2:$AI$4001),MATCH(ROWS($X$2:$X419),'Per Line'!$AI$2:$AI$4001,0),"")</f>
        <v/>
      </c>
    </row>
    <row r="420" customFormat="false" ht="15" hidden="false" customHeight="false" outlineLevel="0" collapsed="false">
      <c r="A420" s="19"/>
      <c r="B420" s="20" t="str">
        <f aca="false">IF($X420="","",INDEX('Per Line'!$D$2:$D$4001,$X420))</f>
        <v/>
      </c>
      <c r="C420" s="20" t="str">
        <f aca="false">IF($X420="","",INDEX('Per Line'!$C$2:$C$4001,$X420))</f>
        <v/>
      </c>
      <c r="D420" s="20" t="str">
        <f aca="false">IF($X420="","",INDEX('Per Line'!$A$2:$A$4001,$X420))</f>
        <v/>
      </c>
      <c r="E420" s="21" t="str">
        <f aca="false">IF($X420="","",INDEX('Per Line'!$F$2:$F$4001,$X420))</f>
        <v/>
      </c>
      <c r="F420" s="20" t="str">
        <f aca="false">IF($X420="","",INDEX('Per Line'!$G$2:$G$4001,$X420))</f>
        <v/>
      </c>
      <c r="G420" s="20" t="str">
        <f aca="false">IF($X420="","",INDEX('Per Line'!$I$2:$I$4001,$X420))</f>
        <v/>
      </c>
      <c r="H420" s="20" t="str">
        <f aca="false">IF($X420="","",INDEX('Per Line'!$J$2:$J$4001,$X420))</f>
        <v/>
      </c>
      <c r="I420" s="20" t="str">
        <f aca="false">IF($X420="","",INDEX('Per Line'!$K$2:$K$4001,$X420))</f>
        <v/>
      </c>
      <c r="J420" s="20" t="str">
        <f aca="false">IF($X420="","",INDEX('Per Line'!$L$2:$L$4001,$X420))</f>
        <v/>
      </c>
      <c r="K420" s="20" t="str">
        <f aca="false">IF($X420="","",INDEX('Per Line'!$M$2:$M$4001,$X420))</f>
        <v/>
      </c>
      <c r="L420" s="22" t="str">
        <f aca="false">IF($X420="","",K420*V420/100)</f>
        <v/>
      </c>
      <c r="M420" s="20" t="str">
        <f aca="false">IF($X420="","",INDEX('Per Line'!$Z$2:$Z$4001,$X420))</f>
        <v/>
      </c>
      <c r="N420" s="23" t="str">
        <f aca="false">IF($X420="","",Settings!$C$7)</f>
        <v/>
      </c>
      <c r="O420" s="22" t="str">
        <f aca="false">IF($X420="","",SUMIFS('Per Line'!$Y$2:$Y$4001,'Per Line'!$D$2:$D$4001,$B420,'Per Line'!$AJ$2:$AJ$4001,0))</f>
        <v/>
      </c>
      <c r="P420" s="22" t="str">
        <f aca="false">IF($X420="","",O420*N420)</f>
        <v/>
      </c>
      <c r="Q420" s="23" t="str">
        <f aca="false">IF($X420="","",Settings!$C$6)</f>
        <v/>
      </c>
      <c r="R420" s="22" t="str">
        <f aca="false">IF($X420="","",SUMIFS('Per Line'!$Y$2:$Y$4001,'Per Line'!$D$2:$D$4001,$B420,'Per Line'!$AJ$2:$AJ$4001,1))</f>
        <v/>
      </c>
      <c r="S420" s="22" t="str">
        <f aca="false">IF($X420="","",R420*Q420)</f>
        <v/>
      </c>
      <c r="T420" s="22" t="str">
        <f aca="false">IF($X420="","",S420+P420)</f>
        <v/>
      </c>
      <c r="U420" s="22" t="str">
        <f aca="false">IF($X420="","",V420-T420)</f>
        <v/>
      </c>
      <c r="V420" s="22" t="str">
        <f aca="false">IF($X420="","",O420+R420)</f>
        <v/>
      </c>
      <c r="W420" s="22" t="str">
        <f aca="false">IF($X420="","",U420-L420)</f>
        <v/>
      </c>
      <c r="X420" s="24" t="str">
        <f aca="false">IF(ROWS($X$2:$X420)&lt;=MAX('Per Line'!$AI$2:$AI$4001),MATCH(ROWS($X$2:$X420),'Per Line'!$AI$2:$AI$4001,0),"")</f>
        <v/>
      </c>
    </row>
    <row r="421" customFormat="false" ht="15" hidden="false" customHeight="false" outlineLevel="0" collapsed="false">
      <c r="A421" s="19"/>
      <c r="B421" s="20" t="str">
        <f aca="false">IF($X421="","",INDEX('Per Line'!$D$2:$D$4001,$X421))</f>
        <v/>
      </c>
      <c r="C421" s="20" t="str">
        <f aca="false">IF($X421="","",INDEX('Per Line'!$C$2:$C$4001,$X421))</f>
        <v/>
      </c>
      <c r="D421" s="20" t="str">
        <f aca="false">IF($X421="","",INDEX('Per Line'!$A$2:$A$4001,$X421))</f>
        <v/>
      </c>
      <c r="E421" s="21" t="str">
        <f aca="false">IF($X421="","",INDEX('Per Line'!$F$2:$F$4001,$X421))</f>
        <v/>
      </c>
      <c r="F421" s="20" t="str">
        <f aca="false">IF($X421="","",INDEX('Per Line'!$G$2:$G$4001,$X421))</f>
        <v/>
      </c>
      <c r="G421" s="20" t="str">
        <f aca="false">IF($X421="","",INDEX('Per Line'!$I$2:$I$4001,$X421))</f>
        <v/>
      </c>
      <c r="H421" s="20" t="str">
        <f aca="false">IF($X421="","",INDEX('Per Line'!$J$2:$J$4001,$X421))</f>
        <v/>
      </c>
      <c r="I421" s="20" t="str">
        <f aca="false">IF($X421="","",INDEX('Per Line'!$K$2:$K$4001,$X421))</f>
        <v/>
      </c>
      <c r="J421" s="20" t="str">
        <f aca="false">IF($X421="","",INDEX('Per Line'!$L$2:$L$4001,$X421))</f>
        <v/>
      </c>
      <c r="K421" s="20" t="str">
        <f aca="false">IF($X421="","",INDEX('Per Line'!$M$2:$M$4001,$X421))</f>
        <v/>
      </c>
      <c r="L421" s="22" t="str">
        <f aca="false">IF($X421="","",K421*V421/100)</f>
        <v/>
      </c>
      <c r="M421" s="20" t="str">
        <f aca="false">IF($X421="","",INDEX('Per Line'!$Z$2:$Z$4001,$X421))</f>
        <v/>
      </c>
      <c r="N421" s="23" t="str">
        <f aca="false">IF($X421="","",Settings!$C$7)</f>
        <v/>
      </c>
      <c r="O421" s="22" t="str">
        <f aca="false">IF($X421="","",SUMIFS('Per Line'!$Y$2:$Y$4001,'Per Line'!$D$2:$D$4001,$B421,'Per Line'!$AJ$2:$AJ$4001,0))</f>
        <v/>
      </c>
      <c r="P421" s="22" t="str">
        <f aca="false">IF($X421="","",O421*N421)</f>
        <v/>
      </c>
      <c r="Q421" s="23" t="str">
        <f aca="false">IF($X421="","",Settings!$C$6)</f>
        <v/>
      </c>
      <c r="R421" s="22" t="str">
        <f aca="false">IF($X421="","",SUMIFS('Per Line'!$Y$2:$Y$4001,'Per Line'!$D$2:$D$4001,$B421,'Per Line'!$AJ$2:$AJ$4001,1))</f>
        <v/>
      </c>
      <c r="S421" s="22" t="str">
        <f aca="false">IF($X421="","",R421*Q421)</f>
        <v/>
      </c>
      <c r="T421" s="22" t="str">
        <f aca="false">IF($X421="","",S421+P421)</f>
        <v/>
      </c>
      <c r="U421" s="22" t="str">
        <f aca="false">IF($X421="","",V421-T421)</f>
        <v/>
      </c>
      <c r="V421" s="22" t="str">
        <f aca="false">IF($X421="","",O421+R421)</f>
        <v/>
      </c>
      <c r="W421" s="22" t="str">
        <f aca="false">IF($X421="","",U421-L421)</f>
        <v/>
      </c>
      <c r="X421" s="24" t="str">
        <f aca="false">IF(ROWS($X$2:$X421)&lt;=MAX('Per Line'!$AI$2:$AI$4001),MATCH(ROWS($X$2:$X421),'Per Line'!$AI$2:$AI$4001,0),"")</f>
        <v/>
      </c>
    </row>
    <row r="422" customFormat="false" ht="15" hidden="false" customHeight="false" outlineLevel="0" collapsed="false">
      <c r="A422" s="19"/>
      <c r="B422" s="20" t="str">
        <f aca="false">IF($X422="","",INDEX('Per Line'!$D$2:$D$4001,$X422))</f>
        <v/>
      </c>
      <c r="C422" s="20" t="str">
        <f aca="false">IF($X422="","",INDEX('Per Line'!$C$2:$C$4001,$X422))</f>
        <v/>
      </c>
      <c r="D422" s="20" t="str">
        <f aca="false">IF($X422="","",INDEX('Per Line'!$A$2:$A$4001,$X422))</f>
        <v/>
      </c>
      <c r="E422" s="21" t="str">
        <f aca="false">IF($X422="","",INDEX('Per Line'!$F$2:$F$4001,$X422))</f>
        <v/>
      </c>
      <c r="F422" s="20" t="str">
        <f aca="false">IF($X422="","",INDEX('Per Line'!$G$2:$G$4001,$X422))</f>
        <v/>
      </c>
      <c r="G422" s="20" t="str">
        <f aca="false">IF($X422="","",INDEX('Per Line'!$I$2:$I$4001,$X422))</f>
        <v/>
      </c>
      <c r="H422" s="20" t="str">
        <f aca="false">IF($X422="","",INDEX('Per Line'!$J$2:$J$4001,$X422))</f>
        <v/>
      </c>
      <c r="I422" s="20" t="str">
        <f aca="false">IF($X422="","",INDEX('Per Line'!$K$2:$K$4001,$X422))</f>
        <v/>
      </c>
      <c r="J422" s="20" t="str">
        <f aca="false">IF($X422="","",INDEX('Per Line'!$L$2:$L$4001,$X422))</f>
        <v/>
      </c>
      <c r="K422" s="20" t="str">
        <f aca="false">IF($X422="","",INDEX('Per Line'!$M$2:$M$4001,$X422))</f>
        <v/>
      </c>
      <c r="L422" s="22" t="str">
        <f aca="false">IF($X422="","",K422*V422/100)</f>
        <v/>
      </c>
      <c r="M422" s="20" t="str">
        <f aca="false">IF($X422="","",INDEX('Per Line'!$Z$2:$Z$4001,$X422))</f>
        <v/>
      </c>
      <c r="N422" s="23" t="str">
        <f aca="false">IF($X422="","",Settings!$C$7)</f>
        <v/>
      </c>
      <c r="O422" s="22" t="str">
        <f aca="false">IF($X422="","",SUMIFS('Per Line'!$Y$2:$Y$4001,'Per Line'!$D$2:$D$4001,$B422,'Per Line'!$AJ$2:$AJ$4001,0))</f>
        <v/>
      </c>
      <c r="P422" s="22" t="str">
        <f aca="false">IF($X422="","",O422*N422)</f>
        <v/>
      </c>
      <c r="Q422" s="23" t="str">
        <f aca="false">IF($X422="","",Settings!$C$6)</f>
        <v/>
      </c>
      <c r="R422" s="22" t="str">
        <f aca="false">IF($X422="","",SUMIFS('Per Line'!$Y$2:$Y$4001,'Per Line'!$D$2:$D$4001,$B422,'Per Line'!$AJ$2:$AJ$4001,1))</f>
        <v/>
      </c>
      <c r="S422" s="22" t="str">
        <f aca="false">IF($X422="","",R422*Q422)</f>
        <v/>
      </c>
      <c r="T422" s="22" t="str">
        <f aca="false">IF($X422="","",S422+P422)</f>
        <v/>
      </c>
      <c r="U422" s="22" t="str">
        <f aca="false">IF($X422="","",V422-T422)</f>
        <v/>
      </c>
      <c r="V422" s="22" t="str">
        <f aca="false">IF($X422="","",O422+R422)</f>
        <v/>
      </c>
      <c r="W422" s="22" t="str">
        <f aca="false">IF($X422="","",U422-L422)</f>
        <v/>
      </c>
      <c r="X422" s="24" t="str">
        <f aca="false">IF(ROWS($X$2:$X422)&lt;=MAX('Per Line'!$AI$2:$AI$4001),MATCH(ROWS($X$2:$X422),'Per Line'!$AI$2:$AI$4001,0),"")</f>
        <v/>
      </c>
    </row>
    <row r="423" customFormat="false" ht="15" hidden="false" customHeight="false" outlineLevel="0" collapsed="false">
      <c r="A423" s="19"/>
      <c r="B423" s="20" t="str">
        <f aca="false">IF($X423="","",INDEX('Per Line'!$D$2:$D$4001,$X423))</f>
        <v/>
      </c>
      <c r="C423" s="20" t="str">
        <f aca="false">IF($X423="","",INDEX('Per Line'!$C$2:$C$4001,$X423))</f>
        <v/>
      </c>
      <c r="D423" s="20" t="str">
        <f aca="false">IF($X423="","",INDEX('Per Line'!$A$2:$A$4001,$X423))</f>
        <v/>
      </c>
      <c r="E423" s="21" t="str">
        <f aca="false">IF($X423="","",INDEX('Per Line'!$F$2:$F$4001,$X423))</f>
        <v/>
      </c>
      <c r="F423" s="20" t="str">
        <f aca="false">IF($X423="","",INDEX('Per Line'!$G$2:$G$4001,$X423))</f>
        <v/>
      </c>
      <c r="G423" s="20" t="str">
        <f aca="false">IF($X423="","",INDEX('Per Line'!$I$2:$I$4001,$X423))</f>
        <v/>
      </c>
      <c r="H423" s="20" t="str">
        <f aca="false">IF($X423="","",INDEX('Per Line'!$J$2:$J$4001,$X423))</f>
        <v/>
      </c>
      <c r="I423" s="20" t="str">
        <f aca="false">IF($X423="","",INDEX('Per Line'!$K$2:$K$4001,$X423))</f>
        <v/>
      </c>
      <c r="J423" s="20" t="str">
        <f aca="false">IF($X423="","",INDEX('Per Line'!$L$2:$L$4001,$X423))</f>
        <v/>
      </c>
      <c r="K423" s="20" t="str">
        <f aca="false">IF($X423="","",INDEX('Per Line'!$M$2:$M$4001,$X423))</f>
        <v/>
      </c>
      <c r="L423" s="22" t="str">
        <f aca="false">IF($X423="","",K423*V423/100)</f>
        <v/>
      </c>
      <c r="M423" s="20" t="str">
        <f aca="false">IF($X423="","",INDEX('Per Line'!$Z$2:$Z$4001,$X423))</f>
        <v/>
      </c>
      <c r="N423" s="23" t="str">
        <f aca="false">IF($X423="","",Settings!$C$7)</f>
        <v/>
      </c>
      <c r="O423" s="22" t="str">
        <f aca="false">IF($X423="","",SUMIFS('Per Line'!$Y$2:$Y$4001,'Per Line'!$D$2:$D$4001,$B423,'Per Line'!$AJ$2:$AJ$4001,0))</f>
        <v/>
      </c>
      <c r="P423" s="22" t="str">
        <f aca="false">IF($X423="","",O423*N423)</f>
        <v/>
      </c>
      <c r="Q423" s="23" t="str">
        <f aca="false">IF($X423="","",Settings!$C$6)</f>
        <v/>
      </c>
      <c r="R423" s="22" t="str">
        <f aca="false">IF($X423="","",SUMIFS('Per Line'!$Y$2:$Y$4001,'Per Line'!$D$2:$D$4001,$B423,'Per Line'!$AJ$2:$AJ$4001,1))</f>
        <v/>
      </c>
      <c r="S423" s="22" t="str">
        <f aca="false">IF($X423="","",R423*Q423)</f>
        <v/>
      </c>
      <c r="T423" s="22" t="str">
        <f aca="false">IF($X423="","",S423+P423)</f>
        <v/>
      </c>
      <c r="U423" s="22" t="str">
        <f aca="false">IF($X423="","",V423-T423)</f>
        <v/>
      </c>
      <c r="V423" s="22" t="str">
        <f aca="false">IF($X423="","",O423+R423)</f>
        <v/>
      </c>
      <c r="W423" s="22" t="str">
        <f aca="false">IF($X423="","",U423-L423)</f>
        <v/>
      </c>
      <c r="X423" s="24" t="str">
        <f aca="false">IF(ROWS($X$2:$X423)&lt;=MAX('Per Line'!$AI$2:$AI$4001),MATCH(ROWS($X$2:$X423),'Per Line'!$AI$2:$AI$4001,0),"")</f>
        <v/>
      </c>
    </row>
    <row r="424" customFormat="false" ht="15" hidden="false" customHeight="false" outlineLevel="0" collapsed="false">
      <c r="A424" s="19"/>
      <c r="B424" s="20" t="str">
        <f aca="false">IF($X424="","",INDEX('Per Line'!$D$2:$D$4001,$X424))</f>
        <v/>
      </c>
      <c r="C424" s="20" t="str">
        <f aca="false">IF($X424="","",INDEX('Per Line'!$C$2:$C$4001,$X424))</f>
        <v/>
      </c>
      <c r="D424" s="20" t="str">
        <f aca="false">IF($X424="","",INDEX('Per Line'!$A$2:$A$4001,$X424))</f>
        <v/>
      </c>
      <c r="E424" s="21" t="str">
        <f aca="false">IF($X424="","",INDEX('Per Line'!$F$2:$F$4001,$X424))</f>
        <v/>
      </c>
      <c r="F424" s="20" t="str">
        <f aca="false">IF($X424="","",INDEX('Per Line'!$G$2:$G$4001,$X424))</f>
        <v/>
      </c>
      <c r="G424" s="20" t="str">
        <f aca="false">IF($X424="","",INDEX('Per Line'!$I$2:$I$4001,$X424))</f>
        <v/>
      </c>
      <c r="H424" s="20" t="str">
        <f aca="false">IF($X424="","",INDEX('Per Line'!$J$2:$J$4001,$X424))</f>
        <v/>
      </c>
      <c r="I424" s="20" t="str">
        <f aca="false">IF($X424="","",INDEX('Per Line'!$K$2:$K$4001,$X424))</f>
        <v/>
      </c>
      <c r="J424" s="20" t="str">
        <f aca="false">IF($X424="","",INDEX('Per Line'!$L$2:$L$4001,$X424))</f>
        <v/>
      </c>
      <c r="K424" s="20" t="str">
        <f aca="false">IF($X424="","",INDEX('Per Line'!$M$2:$M$4001,$X424))</f>
        <v/>
      </c>
      <c r="L424" s="22" t="str">
        <f aca="false">IF($X424="","",K424*V424/100)</f>
        <v/>
      </c>
      <c r="M424" s="20" t="str">
        <f aca="false">IF($X424="","",INDEX('Per Line'!$Z$2:$Z$4001,$X424))</f>
        <v/>
      </c>
      <c r="N424" s="23" t="str">
        <f aca="false">IF($X424="","",Settings!$C$7)</f>
        <v/>
      </c>
      <c r="O424" s="22" t="str">
        <f aca="false">IF($X424="","",SUMIFS('Per Line'!$Y$2:$Y$4001,'Per Line'!$D$2:$D$4001,$B424,'Per Line'!$AJ$2:$AJ$4001,0))</f>
        <v/>
      </c>
      <c r="P424" s="22" t="str">
        <f aca="false">IF($X424="","",O424*N424)</f>
        <v/>
      </c>
      <c r="Q424" s="23" t="str">
        <f aca="false">IF($X424="","",Settings!$C$6)</f>
        <v/>
      </c>
      <c r="R424" s="22" t="str">
        <f aca="false">IF($X424="","",SUMIFS('Per Line'!$Y$2:$Y$4001,'Per Line'!$D$2:$D$4001,$B424,'Per Line'!$AJ$2:$AJ$4001,1))</f>
        <v/>
      </c>
      <c r="S424" s="22" t="str">
        <f aca="false">IF($X424="","",R424*Q424)</f>
        <v/>
      </c>
      <c r="T424" s="22" t="str">
        <f aca="false">IF($X424="","",S424+P424)</f>
        <v/>
      </c>
      <c r="U424" s="22" t="str">
        <f aca="false">IF($X424="","",V424-T424)</f>
        <v/>
      </c>
      <c r="V424" s="22" t="str">
        <f aca="false">IF($X424="","",O424+R424)</f>
        <v/>
      </c>
      <c r="W424" s="22" t="str">
        <f aca="false">IF($X424="","",U424-L424)</f>
        <v/>
      </c>
      <c r="X424" s="24" t="str">
        <f aca="false">IF(ROWS($X$2:$X424)&lt;=MAX('Per Line'!$AI$2:$AI$4001),MATCH(ROWS($X$2:$X424),'Per Line'!$AI$2:$AI$4001,0),"")</f>
        <v/>
      </c>
    </row>
    <row r="425" customFormat="false" ht="15" hidden="false" customHeight="false" outlineLevel="0" collapsed="false">
      <c r="A425" s="19"/>
      <c r="B425" s="20" t="str">
        <f aca="false">IF($X425="","",INDEX('Per Line'!$D$2:$D$4001,$X425))</f>
        <v/>
      </c>
      <c r="C425" s="20" t="str">
        <f aca="false">IF($X425="","",INDEX('Per Line'!$C$2:$C$4001,$X425))</f>
        <v/>
      </c>
      <c r="D425" s="20" t="str">
        <f aca="false">IF($X425="","",INDEX('Per Line'!$A$2:$A$4001,$X425))</f>
        <v/>
      </c>
      <c r="E425" s="21" t="str">
        <f aca="false">IF($X425="","",INDEX('Per Line'!$F$2:$F$4001,$X425))</f>
        <v/>
      </c>
      <c r="F425" s="20" t="str">
        <f aca="false">IF($X425="","",INDEX('Per Line'!$G$2:$G$4001,$X425))</f>
        <v/>
      </c>
      <c r="G425" s="20" t="str">
        <f aca="false">IF($X425="","",INDEX('Per Line'!$I$2:$I$4001,$X425))</f>
        <v/>
      </c>
      <c r="H425" s="20" t="str">
        <f aca="false">IF($X425="","",INDEX('Per Line'!$J$2:$J$4001,$X425))</f>
        <v/>
      </c>
      <c r="I425" s="20" t="str">
        <f aca="false">IF($X425="","",INDEX('Per Line'!$K$2:$K$4001,$X425))</f>
        <v/>
      </c>
      <c r="J425" s="20" t="str">
        <f aca="false">IF($X425="","",INDEX('Per Line'!$L$2:$L$4001,$X425))</f>
        <v/>
      </c>
      <c r="K425" s="20" t="str">
        <f aca="false">IF($X425="","",INDEX('Per Line'!$M$2:$M$4001,$X425))</f>
        <v/>
      </c>
      <c r="L425" s="22" t="str">
        <f aca="false">IF($X425="","",K425*V425/100)</f>
        <v/>
      </c>
      <c r="M425" s="20" t="str">
        <f aca="false">IF($X425="","",INDEX('Per Line'!$Z$2:$Z$4001,$X425))</f>
        <v/>
      </c>
      <c r="N425" s="23" t="str">
        <f aca="false">IF($X425="","",Settings!$C$7)</f>
        <v/>
      </c>
      <c r="O425" s="22" t="str">
        <f aca="false">IF($X425="","",SUMIFS('Per Line'!$Y$2:$Y$4001,'Per Line'!$D$2:$D$4001,$B425,'Per Line'!$AJ$2:$AJ$4001,0))</f>
        <v/>
      </c>
      <c r="P425" s="22" t="str">
        <f aca="false">IF($X425="","",O425*N425)</f>
        <v/>
      </c>
      <c r="Q425" s="23" t="str">
        <f aca="false">IF($X425="","",Settings!$C$6)</f>
        <v/>
      </c>
      <c r="R425" s="22" t="str">
        <f aca="false">IF($X425="","",SUMIFS('Per Line'!$Y$2:$Y$4001,'Per Line'!$D$2:$D$4001,$B425,'Per Line'!$AJ$2:$AJ$4001,1))</f>
        <v/>
      </c>
      <c r="S425" s="22" t="str">
        <f aca="false">IF($X425="","",R425*Q425)</f>
        <v/>
      </c>
      <c r="T425" s="22" t="str">
        <f aca="false">IF($X425="","",S425+P425)</f>
        <v/>
      </c>
      <c r="U425" s="22" t="str">
        <f aca="false">IF($X425="","",V425-T425)</f>
        <v/>
      </c>
      <c r="V425" s="22" t="str">
        <f aca="false">IF($X425="","",O425+R425)</f>
        <v/>
      </c>
      <c r="W425" s="22" t="str">
        <f aca="false">IF($X425="","",U425-L425)</f>
        <v/>
      </c>
      <c r="X425" s="24" t="str">
        <f aca="false">IF(ROWS($X$2:$X425)&lt;=MAX('Per Line'!$AI$2:$AI$4001),MATCH(ROWS($X$2:$X425),'Per Line'!$AI$2:$AI$4001,0),"")</f>
        <v/>
      </c>
    </row>
    <row r="426" customFormat="false" ht="15" hidden="false" customHeight="false" outlineLevel="0" collapsed="false">
      <c r="A426" s="19"/>
      <c r="B426" s="20" t="str">
        <f aca="false">IF($X426="","",INDEX('Per Line'!$D$2:$D$4001,$X426))</f>
        <v/>
      </c>
      <c r="C426" s="20" t="str">
        <f aca="false">IF($X426="","",INDEX('Per Line'!$C$2:$C$4001,$X426))</f>
        <v/>
      </c>
      <c r="D426" s="20" t="str">
        <f aca="false">IF($X426="","",INDEX('Per Line'!$A$2:$A$4001,$X426))</f>
        <v/>
      </c>
      <c r="E426" s="21" t="str">
        <f aca="false">IF($X426="","",INDEX('Per Line'!$F$2:$F$4001,$X426))</f>
        <v/>
      </c>
      <c r="F426" s="20" t="str">
        <f aca="false">IF($X426="","",INDEX('Per Line'!$G$2:$G$4001,$X426))</f>
        <v/>
      </c>
      <c r="G426" s="20" t="str">
        <f aca="false">IF($X426="","",INDEX('Per Line'!$I$2:$I$4001,$X426))</f>
        <v/>
      </c>
      <c r="H426" s="20" t="str">
        <f aca="false">IF($X426="","",INDEX('Per Line'!$J$2:$J$4001,$X426))</f>
        <v/>
      </c>
      <c r="I426" s="20" t="str">
        <f aca="false">IF($X426="","",INDEX('Per Line'!$K$2:$K$4001,$X426))</f>
        <v/>
      </c>
      <c r="J426" s="20" t="str">
        <f aca="false">IF($X426="","",INDEX('Per Line'!$L$2:$L$4001,$X426))</f>
        <v/>
      </c>
      <c r="K426" s="20" t="str">
        <f aca="false">IF($X426="","",INDEX('Per Line'!$M$2:$M$4001,$X426))</f>
        <v/>
      </c>
      <c r="L426" s="22" t="str">
        <f aca="false">IF($X426="","",K426*V426/100)</f>
        <v/>
      </c>
      <c r="M426" s="20" t="str">
        <f aca="false">IF($X426="","",INDEX('Per Line'!$Z$2:$Z$4001,$X426))</f>
        <v/>
      </c>
      <c r="N426" s="23" t="str">
        <f aca="false">IF($X426="","",Settings!$C$7)</f>
        <v/>
      </c>
      <c r="O426" s="22" t="str">
        <f aca="false">IF($X426="","",SUMIFS('Per Line'!$Y$2:$Y$4001,'Per Line'!$D$2:$D$4001,$B426,'Per Line'!$AJ$2:$AJ$4001,0))</f>
        <v/>
      </c>
      <c r="P426" s="22" t="str">
        <f aca="false">IF($X426="","",O426*N426)</f>
        <v/>
      </c>
      <c r="Q426" s="23" t="str">
        <f aca="false">IF($X426="","",Settings!$C$6)</f>
        <v/>
      </c>
      <c r="R426" s="22" t="str">
        <f aca="false">IF($X426="","",SUMIFS('Per Line'!$Y$2:$Y$4001,'Per Line'!$D$2:$D$4001,$B426,'Per Line'!$AJ$2:$AJ$4001,1))</f>
        <v/>
      </c>
      <c r="S426" s="22" t="str">
        <f aca="false">IF($X426="","",R426*Q426)</f>
        <v/>
      </c>
      <c r="T426" s="22" t="str">
        <f aca="false">IF($X426="","",S426+P426)</f>
        <v/>
      </c>
      <c r="U426" s="22" t="str">
        <f aca="false">IF($X426="","",V426-T426)</f>
        <v/>
      </c>
      <c r="V426" s="22" t="str">
        <f aca="false">IF($X426="","",O426+R426)</f>
        <v/>
      </c>
      <c r="W426" s="22" t="str">
        <f aca="false">IF($X426="","",U426-L426)</f>
        <v/>
      </c>
      <c r="X426" s="24" t="str">
        <f aca="false">IF(ROWS($X$2:$X426)&lt;=MAX('Per Line'!$AI$2:$AI$4001),MATCH(ROWS($X$2:$X426),'Per Line'!$AI$2:$AI$4001,0),"")</f>
        <v/>
      </c>
    </row>
    <row r="427" customFormat="false" ht="15" hidden="false" customHeight="false" outlineLevel="0" collapsed="false">
      <c r="A427" s="19"/>
      <c r="B427" s="20" t="str">
        <f aca="false">IF($X427="","",INDEX('Per Line'!$D$2:$D$4001,$X427))</f>
        <v/>
      </c>
      <c r="C427" s="20" t="str">
        <f aca="false">IF($X427="","",INDEX('Per Line'!$C$2:$C$4001,$X427))</f>
        <v/>
      </c>
      <c r="D427" s="20" t="str">
        <f aca="false">IF($X427="","",INDEX('Per Line'!$A$2:$A$4001,$X427))</f>
        <v/>
      </c>
      <c r="E427" s="21" t="str">
        <f aca="false">IF($X427="","",INDEX('Per Line'!$F$2:$F$4001,$X427))</f>
        <v/>
      </c>
      <c r="F427" s="20" t="str">
        <f aca="false">IF($X427="","",INDEX('Per Line'!$G$2:$G$4001,$X427))</f>
        <v/>
      </c>
      <c r="G427" s="20" t="str">
        <f aca="false">IF($X427="","",INDEX('Per Line'!$I$2:$I$4001,$X427))</f>
        <v/>
      </c>
      <c r="H427" s="20" t="str">
        <f aca="false">IF($X427="","",INDEX('Per Line'!$J$2:$J$4001,$X427))</f>
        <v/>
      </c>
      <c r="I427" s="20" t="str">
        <f aca="false">IF($X427="","",INDEX('Per Line'!$K$2:$K$4001,$X427))</f>
        <v/>
      </c>
      <c r="J427" s="20" t="str">
        <f aca="false">IF($X427="","",INDEX('Per Line'!$L$2:$L$4001,$X427))</f>
        <v/>
      </c>
      <c r="K427" s="20" t="str">
        <f aca="false">IF($X427="","",INDEX('Per Line'!$M$2:$M$4001,$X427))</f>
        <v/>
      </c>
      <c r="L427" s="22" t="str">
        <f aca="false">IF($X427="","",K427*V427/100)</f>
        <v/>
      </c>
      <c r="M427" s="20" t="str">
        <f aca="false">IF($X427="","",INDEX('Per Line'!$Z$2:$Z$4001,$X427))</f>
        <v/>
      </c>
      <c r="N427" s="23" t="str">
        <f aca="false">IF($X427="","",Settings!$C$7)</f>
        <v/>
      </c>
      <c r="O427" s="22" t="str">
        <f aca="false">IF($X427="","",SUMIFS('Per Line'!$Y$2:$Y$4001,'Per Line'!$D$2:$D$4001,$B427,'Per Line'!$AJ$2:$AJ$4001,0))</f>
        <v/>
      </c>
      <c r="P427" s="22" t="str">
        <f aca="false">IF($X427="","",O427*N427)</f>
        <v/>
      </c>
      <c r="Q427" s="23" t="str">
        <f aca="false">IF($X427="","",Settings!$C$6)</f>
        <v/>
      </c>
      <c r="R427" s="22" t="str">
        <f aca="false">IF($X427="","",SUMIFS('Per Line'!$Y$2:$Y$4001,'Per Line'!$D$2:$D$4001,$B427,'Per Line'!$AJ$2:$AJ$4001,1))</f>
        <v/>
      </c>
      <c r="S427" s="22" t="str">
        <f aca="false">IF($X427="","",R427*Q427)</f>
        <v/>
      </c>
      <c r="T427" s="22" t="str">
        <f aca="false">IF($X427="","",S427+P427)</f>
        <v/>
      </c>
      <c r="U427" s="22" t="str">
        <f aca="false">IF($X427="","",V427-T427)</f>
        <v/>
      </c>
      <c r="V427" s="22" t="str">
        <f aca="false">IF($X427="","",O427+R427)</f>
        <v/>
      </c>
      <c r="W427" s="22" t="str">
        <f aca="false">IF($X427="","",U427-L427)</f>
        <v/>
      </c>
      <c r="X427" s="24" t="str">
        <f aca="false">IF(ROWS($X$2:$X427)&lt;=MAX('Per Line'!$AI$2:$AI$4001),MATCH(ROWS($X$2:$X427),'Per Line'!$AI$2:$AI$4001,0),"")</f>
        <v/>
      </c>
    </row>
    <row r="428" customFormat="false" ht="15" hidden="false" customHeight="false" outlineLevel="0" collapsed="false">
      <c r="A428" s="19"/>
      <c r="B428" s="20" t="str">
        <f aca="false">IF($X428="","",INDEX('Per Line'!$D$2:$D$4001,$X428))</f>
        <v/>
      </c>
      <c r="C428" s="20" t="str">
        <f aca="false">IF($X428="","",INDEX('Per Line'!$C$2:$C$4001,$X428))</f>
        <v/>
      </c>
      <c r="D428" s="20" t="str">
        <f aca="false">IF($X428="","",INDEX('Per Line'!$A$2:$A$4001,$X428))</f>
        <v/>
      </c>
      <c r="E428" s="21" t="str">
        <f aca="false">IF($X428="","",INDEX('Per Line'!$F$2:$F$4001,$X428))</f>
        <v/>
      </c>
      <c r="F428" s="20" t="str">
        <f aca="false">IF($X428="","",INDEX('Per Line'!$G$2:$G$4001,$X428))</f>
        <v/>
      </c>
      <c r="G428" s="20" t="str">
        <f aca="false">IF($X428="","",INDEX('Per Line'!$I$2:$I$4001,$X428))</f>
        <v/>
      </c>
      <c r="H428" s="20" t="str">
        <f aca="false">IF($X428="","",INDEX('Per Line'!$J$2:$J$4001,$X428))</f>
        <v/>
      </c>
      <c r="I428" s="20" t="str">
        <f aca="false">IF($X428="","",INDEX('Per Line'!$K$2:$K$4001,$X428))</f>
        <v/>
      </c>
      <c r="J428" s="20" t="str">
        <f aca="false">IF($X428="","",INDEX('Per Line'!$L$2:$L$4001,$X428))</f>
        <v/>
      </c>
      <c r="K428" s="20" t="str">
        <f aca="false">IF($X428="","",INDEX('Per Line'!$M$2:$M$4001,$X428))</f>
        <v/>
      </c>
      <c r="L428" s="22" t="str">
        <f aca="false">IF($X428="","",K428*V428/100)</f>
        <v/>
      </c>
      <c r="M428" s="20" t="str">
        <f aca="false">IF($X428="","",INDEX('Per Line'!$Z$2:$Z$4001,$X428))</f>
        <v/>
      </c>
      <c r="N428" s="23" t="str">
        <f aca="false">IF($X428="","",Settings!$C$7)</f>
        <v/>
      </c>
      <c r="O428" s="22" t="str">
        <f aca="false">IF($X428="","",SUMIFS('Per Line'!$Y$2:$Y$4001,'Per Line'!$D$2:$D$4001,$B428,'Per Line'!$AJ$2:$AJ$4001,0))</f>
        <v/>
      </c>
      <c r="P428" s="22" t="str">
        <f aca="false">IF($X428="","",O428*N428)</f>
        <v/>
      </c>
      <c r="Q428" s="23" t="str">
        <f aca="false">IF($X428="","",Settings!$C$6)</f>
        <v/>
      </c>
      <c r="R428" s="22" t="str">
        <f aca="false">IF($X428="","",SUMIFS('Per Line'!$Y$2:$Y$4001,'Per Line'!$D$2:$D$4001,$B428,'Per Line'!$AJ$2:$AJ$4001,1))</f>
        <v/>
      </c>
      <c r="S428" s="22" t="str">
        <f aca="false">IF($X428="","",R428*Q428)</f>
        <v/>
      </c>
      <c r="T428" s="22" t="str">
        <f aca="false">IF($X428="","",S428+P428)</f>
        <v/>
      </c>
      <c r="U428" s="22" t="str">
        <f aca="false">IF($X428="","",V428-T428)</f>
        <v/>
      </c>
      <c r="V428" s="22" t="str">
        <f aca="false">IF($X428="","",O428+R428)</f>
        <v/>
      </c>
      <c r="W428" s="22" t="str">
        <f aca="false">IF($X428="","",U428-L428)</f>
        <v/>
      </c>
      <c r="X428" s="24" t="str">
        <f aca="false">IF(ROWS($X$2:$X428)&lt;=MAX('Per Line'!$AI$2:$AI$4001),MATCH(ROWS($X$2:$X428),'Per Line'!$AI$2:$AI$4001,0),"")</f>
        <v/>
      </c>
    </row>
    <row r="429" customFormat="false" ht="15" hidden="false" customHeight="false" outlineLevel="0" collapsed="false">
      <c r="A429" s="19"/>
      <c r="B429" s="20" t="str">
        <f aca="false">IF($X429="","",INDEX('Per Line'!$D$2:$D$4001,$X429))</f>
        <v/>
      </c>
      <c r="C429" s="20" t="str">
        <f aca="false">IF($X429="","",INDEX('Per Line'!$C$2:$C$4001,$X429))</f>
        <v/>
      </c>
      <c r="D429" s="20" t="str">
        <f aca="false">IF($X429="","",INDEX('Per Line'!$A$2:$A$4001,$X429))</f>
        <v/>
      </c>
      <c r="E429" s="21" t="str">
        <f aca="false">IF($X429="","",INDEX('Per Line'!$F$2:$F$4001,$X429))</f>
        <v/>
      </c>
      <c r="F429" s="20" t="str">
        <f aca="false">IF($X429="","",INDEX('Per Line'!$G$2:$G$4001,$X429))</f>
        <v/>
      </c>
      <c r="G429" s="20" t="str">
        <f aca="false">IF($X429="","",INDEX('Per Line'!$I$2:$I$4001,$X429))</f>
        <v/>
      </c>
      <c r="H429" s="20" t="str">
        <f aca="false">IF($X429="","",INDEX('Per Line'!$J$2:$J$4001,$X429))</f>
        <v/>
      </c>
      <c r="I429" s="20" t="str">
        <f aca="false">IF($X429="","",INDEX('Per Line'!$K$2:$K$4001,$X429))</f>
        <v/>
      </c>
      <c r="J429" s="20" t="str">
        <f aca="false">IF($X429="","",INDEX('Per Line'!$L$2:$L$4001,$X429))</f>
        <v/>
      </c>
      <c r="K429" s="20" t="str">
        <f aca="false">IF($X429="","",INDEX('Per Line'!$M$2:$M$4001,$X429))</f>
        <v/>
      </c>
      <c r="L429" s="22" t="str">
        <f aca="false">IF($X429="","",K429*V429/100)</f>
        <v/>
      </c>
      <c r="M429" s="20" t="str">
        <f aca="false">IF($X429="","",INDEX('Per Line'!$Z$2:$Z$4001,$X429))</f>
        <v/>
      </c>
      <c r="N429" s="23" t="str">
        <f aca="false">IF($X429="","",Settings!$C$7)</f>
        <v/>
      </c>
      <c r="O429" s="22" t="str">
        <f aca="false">IF($X429="","",SUMIFS('Per Line'!$Y$2:$Y$4001,'Per Line'!$D$2:$D$4001,$B429,'Per Line'!$AJ$2:$AJ$4001,0))</f>
        <v/>
      </c>
      <c r="P429" s="22" t="str">
        <f aca="false">IF($X429="","",O429*N429)</f>
        <v/>
      </c>
      <c r="Q429" s="23" t="str">
        <f aca="false">IF($X429="","",Settings!$C$6)</f>
        <v/>
      </c>
      <c r="R429" s="22" t="str">
        <f aca="false">IF($X429="","",SUMIFS('Per Line'!$Y$2:$Y$4001,'Per Line'!$D$2:$D$4001,$B429,'Per Line'!$AJ$2:$AJ$4001,1))</f>
        <v/>
      </c>
      <c r="S429" s="22" t="str">
        <f aca="false">IF($X429="","",R429*Q429)</f>
        <v/>
      </c>
      <c r="T429" s="22" t="str">
        <f aca="false">IF($X429="","",S429+P429)</f>
        <v/>
      </c>
      <c r="U429" s="22" t="str">
        <f aca="false">IF($X429="","",V429-T429)</f>
        <v/>
      </c>
      <c r="V429" s="22" t="str">
        <f aca="false">IF($X429="","",O429+R429)</f>
        <v/>
      </c>
      <c r="W429" s="22" t="str">
        <f aca="false">IF($X429="","",U429-L429)</f>
        <v/>
      </c>
      <c r="X429" s="24" t="str">
        <f aca="false">IF(ROWS($X$2:$X429)&lt;=MAX('Per Line'!$AI$2:$AI$4001),MATCH(ROWS($X$2:$X429),'Per Line'!$AI$2:$AI$4001,0),"")</f>
        <v/>
      </c>
    </row>
    <row r="430" customFormat="false" ht="15" hidden="false" customHeight="false" outlineLevel="0" collapsed="false">
      <c r="A430" s="19"/>
      <c r="B430" s="20" t="str">
        <f aca="false">IF($X430="","",INDEX('Per Line'!$D$2:$D$4001,$X430))</f>
        <v/>
      </c>
      <c r="C430" s="20" t="str">
        <f aca="false">IF($X430="","",INDEX('Per Line'!$C$2:$C$4001,$X430))</f>
        <v/>
      </c>
      <c r="D430" s="20" t="str">
        <f aca="false">IF($X430="","",INDEX('Per Line'!$A$2:$A$4001,$X430))</f>
        <v/>
      </c>
      <c r="E430" s="21" t="str">
        <f aca="false">IF($X430="","",INDEX('Per Line'!$F$2:$F$4001,$X430))</f>
        <v/>
      </c>
      <c r="F430" s="20" t="str">
        <f aca="false">IF($X430="","",INDEX('Per Line'!$G$2:$G$4001,$X430))</f>
        <v/>
      </c>
      <c r="G430" s="20" t="str">
        <f aca="false">IF($X430="","",INDEX('Per Line'!$I$2:$I$4001,$X430))</f>
        <v/>
      </c>
      <c r="H430" s="20" t="str">
        <f aca="false">IF($X430="","",INDEX('Per Line'!$J$2:$J$4001,$X430))</f>
        <v/>
      </c>
      <c r="I430" s="20" t="str">
        <f aca="false">IF($X430="","",INDEX('Per Line'!$K$2:$K$4001,$X430))</f>
        <v/>
      </c>
      <c r="J430" s="20" t="str">
        <f aca="false">IF($X430="","",INDEX('Per Line'!$L$2:$L$4001,$X430))</f>
        <v/>
      </c>
      <c r="K430" s="20" t="str">
        <f aca="false">IF($X430="","",INDEX('Per Line'!$M$2:$M$4001,$X430))</f>
        <v/>
      </c>
      <c r="L430" s="22" t="str">
        <f aca="false">IF($X430="","",K430*V430/100)</f>
        <v/>
      </c>
      <c r="M430" s="20" t="str">
        <f aca="false">IF($X430="","",INDEX('Per Line'!$Z$2:$Z$4001,$X430))</f>
        <v/>
      </c>
      <c r="N430" s="23" t="str">
        <f aca="false">IF($X430="","",Settings!$C$7)</f>
        <v/>
      </c>
      <c r="O430" s="22" t="str">
        <f aca="false">IF($X430="","",SUMIFS('Per Line'!$Y$2:$Y$4001,'Per Line'!$D$2:$D$4001,$B430,'Per Line'!$AJ$2:$AJ$4001,0))</f>
        <v/>
      </c>
      <c r="P430" s="22" t="str">
        <f aca="false">IF($X430="","",O430*N430)</f>
        <v/>
      </c>
      <c r="Q430" s="23" t="str">
        <f aca="false">IF($X430="","",Settings!$C$6)</f>
        <v/>
      </c>
      <c r="R430" s="22" t="str">
        <f aca="false">IF($X430="","",SUMIFS('Per Line'!$Y$2:$Y$4001,'Per Line'!$D$2:$D$4001,$B430,'Per Line'!$AJ$2:$AJ$4001,1))</f>
        <v/>
      </c>
      <c r="S430" s="22" t="str">
        <f aca="false">IF($X430="","",R430*Q430)</f>
        <v/>
      </c>
      <c r="T430" s="22" t="str">
        <f aca="false">IF($X430="","",S430+P430)</f>
        <v/>
      </c>
      <c r="U430" s="22" t="str">
        <f aca="false">IF($X430="","",V430-T430)</f>
        <v/>
      </c>
      <c r="V430" s="22" t="str">
        <f aca="false">IF($X430="","",O430+R430)</f>
        <v/>
      </c>
      <c r="W430" s="22" t="str">
        <f aca="false">IF($X430="","",U430-L430)</f>
        <v/>
      </c>
      <c r="X430" s="24" t="str">
        <f aca="false">IF(ROWS($X$2:$X430)&lt;=MAX('Per Line'!$AI$2:$AI$4001),MATCH(ROWS($X$2:$X430),'Per Line'!$AI$2:$AI$4001,0),"")</f>
        <v/>
      </c>
    </row>
    <row r="431" customFormat="false" ht="15" hidden="false" customHeight="false" outlineLevel="0" collapsed="false">
      <c r="A431" s="19"/>
      <c r="B431" s="20" t="str">
        <f aca="false">IF($X431="","",INDEX('Per Line'!$D$2:$D$4001,$X431))</f>
        <v/>
      </c>
      <c r="C431" s="20" t="str">
        <f aca="false">IF($X431="","",INDEX('Per Line'!$C$2:$C$4001,$X431))</f>
        <v/>
      </c>
      <c r="D431" s="20" t="str">
        <f aca="false">IF($X431="","",INDEX('Per Line'!$A$2:$A$4001,$X431))</f>
        <v/>
      </c>
      <c r="E431" s="21" t="str">
        <f aca="false">IF($X431="","",INDEX('Per Line'!$F$2:$F$4001,$X431))</f>
        <v/>
      </c>
      <c r="F431" s="20" t="str">
        <f aca="false">IF($X431="","",INDEX('Per Line'!$G$2:$G$4001,$X431))</f>
        <v/>
      </c>
      <c r="G431" s="20" t="str">
        <f aca="false">IF($X431="","",INDEX('Per Line'!$I$2:$I$4001,$X431))</f>
        <v/>
      </c>
      <c r="H431" s="20" t="str">
        <f aca="false">IF($X431="","",INDEX('Per Line'!$J$2:$J$4001,$X431))</f>
        <v/>
      </c>
      <c r="I431" s="20" t="str">
        <f aca="false">IF($X431="","",INDEX('Per Line'!$K$2:$K$4001,$X431))</f>
        <v/>
      </c>
      <c r="J431" s="20" t="str">
        <f aca="false">IF($X431="","",INDEX('Per Line'!$L$2:$L$4001,$X431))</f>
        <v/>
      </c>
      <c r="K431" s="20" t="str">
        <f aca="false">IF($X431="","",INDEX('Per Line'!$M$2:$M$4001,$X431))</f>
        <v/>
      </c>
      <c r="L431" s="22" t="str">
        <f aca="false">IF($X431="","",K431*V431/100)</f>
        <v/>
      </c>
      <c r="M431" s="20" t="str">
        <f aca="false">IF($X431="","",INDEX('Per Line'!$Z$2:$Z$4001,$X431))</f>
        <v/>
      </c>
      <c r="N431" s="23" t="str">
        <f aca="false">IF($X431="","",Settings!$C$7)</f>
        <v/>
      </c>
      <c r="O431" s="22" t="str">
        <f aca="false">IF($X431="","",SUMIFS('Per Line'!$Y$2:$Y$4001,'Per Line'!$D$2:$D$4001,$B431,'Per Line'!$AJ$2:$AJ$4001,0))</f>
        <v/>
      </c>
      <c r="P431" s="22" t="str">
        <f aca="false">IF($X431="","",O431*N431)</f>
        <v/>
      </c>
      <c r="Q431" s="23" t="str">
        <f aca="false">IF($X431="","",Settings!$C$6)</f>
        <v/>
      </c>
      <c r="R431" s="22" t="str">
        <f aca="false">IF($X431="","",SUMIFS('Per Line'!$Y$2:$Y$4001,'Per Line'!$D$2:$D$4001,$B431,'Per Line'!$AJ$2:$AJ$4001,1))</f>
        <v/>
      </c>
      <c r="S431" s="22" t="str">
        <f aca="false">IF($X431="","",R431*Q431)</f>
        <v/>
      </c>
      <c r="T431" s="22" t="str">
        <f aca="false">IF($X431="","",S431+P431)</f>
        <v/>
      </c>
      <c r="U431" s="22" t="str">
        <f aca="false">IF($X431="","",V431-T431)</f>
        <v/>
      </c>
      <c r="V431" s="22" t="str">
        <f aca="false">IF($X431="","",O431+R431)</f>
        <v/>
      </c>
      <c r="W431" s="22" t="str">
        <f aca="false">IF($X431="","",U431-L431)</f>
        <v/>
      </c>
      <c r="X431" s="24" t="str">
        <f aca="false">IF(ROWS($X$2:$X431)&lt;=MAX('Per Line'!$AI$2:$AI$4001),MATCH(ROWS($X$2:$X431),'Per Line'!$AI$2:$AI$4001,0),"")</f>
        <v/>
      </c>
    </row>
    <row r="432" customFormat="false" ht="15" hidden="false" customHeight="false" outlineLevel="0" collapsed="false">
      <c r="A432" s="19"/>
      <c r="B432" s="20" t="str">
        <f aca="false">IF($X432="","",INDEX('Per Line'!$D$2:$D$4001,$X432))</f>
        <v/>
      </c>
      <c r="C432" s="20" t="str">
        <f aca="false">IF($X432="","",INDEX('Per Line'!$C$2:$C$4001,$X432))</f>
        <v/>
      </c>
      <c r="D432" s="20" t="str">
        <f aca="false">IF($X432="","",INDEX('Per Line'!$A$2:$A$4001,$X432))</f>
        <v/>
      </c>
      <c r="E432" s="21" t="str">
        <f aca="false">IF($X432="","",INDEX('Per Line'!$F$2:$F$4001,$X432))</f>
        <v/>
      </c>
      <c r="F432" s="20" t="str">
        <f aca="false">IF($X432="","",INDEX('Per Line'!$G$2:$G$4001,$X432))</f>
        <v/>
      </c>
      <c r="G432" s="20" t="str">
        <f aca="false">IF($X432="","",INDEX('Per Line'!$I$2:$I$4001,$X432))</f>
        <v/>
      </c>
      <c r="H432" s="20" t="str">
        <f aca="false">IF($X432="","",INDEX('Per Line'!$J$2:$J$4001,$X432))</f>
        <v/>
      </c>
      <c r="I432" s="20" t="str">
        <f aca="false">IF($X432="","",INDEX('Per Line'!$K$2:$K$4001,$X432))</f>
        <v/>
      </c>
      <c r="J432" s="20" t="str">
        <f aca="false">IF($X432="","",INDEX('Per Line'!$L$2:$L$4001,$X432))</f>
        <v/>
      </c>
      <c r="K432" s="20" t="str">
        <f aca="false">IF($X432="","",INDEX('Per Line'!$M$2:$M$4001,$X432))</f>
        <v/>
      </c>
      <c r="L432" s="22" t="str">
        <f aca="false">IF($X432="","",K432*V432/100)</f>
        <v/>
      </c>
      <c r="M432" s="20" t="str">
        <f aca="false">IF($X432="","",INDEX('Per Line'!$Z$2:$Z$4001,$X432))</f>
        <v/>
      </c>
      <c r="N432" s="23" t="str">
        <f aca="false">IF($X432="","",Settings!$C$7)</f>
        <v/>
      </c>
      <c r="O432" s="22" t="str">
        <f aca="false">IF($X432="","",SUMIFS('Per Line'!$Y$2:$Y$4001,'Per Line'!$D$2:$D$4001,$B432,'Per Line'!$AJ$2:$AJ$4001,0))</f>
        <v/>
      </c>
      <c r="P432" s="22" t="str">
        <f aca="false">IF($X432="","",O432*N432)</f>
        <v/>
      </c>
      <c r="Q432" s="23" t="str">
        <f aca="false">IF($X432="","",Settings!$C$6)</f>
        <v/>
      </c>
      <c r="R432" s="22" t="str">
        <f aca="false">IF($X432="","",SUMIFS('Per Line'!$Y$2:$Y$4001,'Per Line'!$D$2:$D$4001,$B432,'Per Line'!$AJ$2:$AJ$4001,1))</f>
        <v/>
      </c>
      <c r="S432" s="22" t="str">
        <f aca="false">IF($X432="","",R432*Q432)</f>
        <v/>
      </c>
      <c r="T432" s="22" t="str">
        <f aca="false">IF($X432="","",S432+P432)</f>
        <v/>
      </c>
      <c r="U432" s="22" t="str">
        <f aca="false">IF($X432="","",V432-T432)</f>
        <v/>
      </c>
      <c r="V432" s="22" t="str">
        <f aca="false">IF($X432="","",O432+R432)</f>
        <v/>
      </c>
      <c r="W432" s="22" t="str">
        <f aca="false">IF($X432="","",U432-L432)</f>
        <v/>
      </c>
      <c r="X432" s="24" t="str">
        <f aca="false">IF(ROWS($X$2:$X432)&lt;=MAX('Per Line'!$AI$2:$AI$4001),MATCH(ROWS($X$2:$X432),'Per Line'!$AI$2:$AI$4001,0),"")</f>
        <v/>
      </c>
    </row>
    <row r="433" customFormat="false" ht="15" hidden="false" customHeight="false" outlineLevel="0" collapsed="false">
      <c r="A433" s="19"/>
      <c r="B433" s="20" t="str">
        <f aca="false">IF($X433="","",INDEX('Per Line'!$D$2:$D$4001,$X433))</f>
        <v/>
      </c>
      <c r="C433" s="20" t="str">
        <f aca="false">IF($X433="","",INDEX('Per Line'!$C$2:$C$4001,$X433))</f>
        <v/>
      </c>
      <c r="D433" s="20" t="str">
        <f aca="false">IF($X433="","",INDEX('Per Line'!$A$2:$A$4001,$X433))</f>
        <v/>
      </c>
      <c r="E433" s="21" t="str">
        <f aca="false">IF($X433="","",INDEX('Per Line'!$F$2:$F$4001,$X433))</f>
        <v/>
      </c>
      <c r="F433" s="20" t="str">
        <f aca="false">IF($X433="","",INDEX('Per Line'!$G$2:$G$4001,$X433))</f>
        <v/>
      </c>
      <c r="G433" s="20" t="str">
        <f aca="false">IF($X433="","",INDEX('Per Line'!$I$2:$I$4001,$X433))</f>
        <v/>
      </c>
      <c r="H433" s="20" t="str">
        <f aca="false">IF($X433="","",INDEX('Per Line'!$J$2:$J$4001,$X433))</f>
        <v/>
      </c>
      <c r="I433" s="20" t="str">
        <f aca="false">IF($X433="","",INDEX('Per Line'!$K$2:$K$4001,$X433))</f>
        <v/>
      </c>
      <c r="J433" s="20" t="str">
        <f aca="false">IF($X433="","",INDEX('Per Line'!$L$2:$L$4001,$X433))</f>
        <v/>
      </c>
      <c r="K433" s="20" t="str">
        <f aca="false">IF($X433="","",INDEX('Per Line'!$M$2:$M$4001,$X433))</f>
        <v/>
      </c>
      <c r="L433" s="22" t="str">
        <f aca="false">IF($X433="","",K433*V433/100)</f>
        <v/>
      </c>
      <c r="M433" s="20" t="str">
        <f aca="false">IF($X433="","",INDEX('Per Line'!$Z$2:$Z$4001,$X433))</f>
        <v/>
      </c>
      <c r="N433" s="23" t="str">
        <f aca="false">IF($X433="","",Settings!$C$7)</f>
        <v/>
      </c>
      <c r="O433" s="22" t="str">
        <f aca="false">IF($X433="","",SUMIFS('Per Line'!$Y$2:$Y$4001,'Per Line'!$D$2:$D$4001,$B433,'Per Line'!$AJ$2:$AJ$4001,0))</f>
        <v/>
      </c>
      <c r="P433" s="22" t="str">
        <f aca="false">IF($X433="","",O433*N433)</f>
        <v/>
      </c>
      <c r="Q433" s="23" t="str">
        <f aca="false">IF($X433="","",Settings!$C$6)</f>
        <v/>
      </c>
      <c r="R433" s="22" t="str">
        <f aca="false">IF($X433="","",SUMIFS('Per Line'!$Y$2:$Y$4001,'Per Line'!$D$2:$D$4001,$B433,'Per Line'!$AJ$2:$AJ$4001,1))</f>
        <v/>
      </c>
      <c r="S433" s="22" t="str">
        <f aca="false">IF($X433="","",R433*Q433)</f>
        <v/>
      </c>
      <c r="T433" s="22" t="str">
        <f aca="false">IF($X433="","",S433+P433)</f>
        <v/>
      </c>
      <c r="U433" s="22" t="str">
        <f aca="false">IF($X433="","",V433-T433)</f>
        <v/>
      </c>
      <c r="V433" s="22" t="str">
        <f aca="false">IF($X433="","",O433+R433)</f>
        <v/>
      </c>
      <c r="W433" s="22" t="str">
        <f aca="false">IF($X433="","",U433-L433)</f>
        <v/>
      </c>
      <c r="X433" s="24" t="str">
        <f aca="false">IF(ROWS($X$2:$X433)&lt;=MAX('Per Line'!$AI$2:$AI$4001),MATCH(ROWS($X$2:$X433),'Per Line'!$AI$2:$AI$4001,0),"")</f>
        <v/>
      </c>
    </row>
    <row r="434" customFormat="false" ht="15" hidden="false" customHeight="false" outlineLevel="0" collapsed="false">
      <c r="A434" s="19"/>
      <c r="B434" s="20" t="str">
        <f aca="false">IF($X434="","",INDEX('Per Line'!$D$2:$D$4001,$X434))</f>
        <v/>
      </c>
      <c r="C434" s="20" t="str">
        <f aca="false">IF($X434="","",INDEX('Per Line'!$C$2:$C$4001,$X434))</f>
        <v/>
      </c>
      <c r="D434" s="20" t="str">
        <f aca="false">IF($X434="","",INDEX('Per Line'!$A$2:$A$4001,$X434))</f>
        <v/>
      </c>
      <c r="E434" s="21" t="str">
        <f aca="false">IF($X434="","",INDEX('Per Line'!$F$2:$F$4001,$X434))</f>
        <v/>
      </c>
      <c r="F434" s="20" t="str">
        <f aca="false">IF($X434="","",INDEX('Per Line'!$G$2:$G$4001,$X434))</f>
        <v/>
      </c>
      <c r="G434" s="20" t="str">
        <f aca="false">IF($X434="","",INDEX('Per Line'!$I$2:$I$4001,$X434))</f>
        <v/>
      </c>
      <c r="H434" s="20" t="str">
        <f aca="false">IF($X434="","",INDEX('Per Line'!$J$2:$J$4001,$X434))</f>
        <v/>
      </c>
      <c r="I434" s="20" t="str">
        <f aca="false">IF($X434="","",INDEX('Per Line'!$K$2:$K$4001,$X434))</f>
        <v/>
      </c>
      <c r="J434" s="20" t="str">
        <f aca="false">IF($X434="","",INDEX('Per Line'!$L$2:$L$4001,$X434))</f>
        <v/>
      </c>
      <c r="K434" s="20" t="str">
        <f aca="false">IF($X434="","",INDEX('Per Line'!$M$2:$M$4001,$X434))</f>
        <v/>
      </c>
      <c r="L434" s="22" t="str">
        <f aca="false">IF($X434="","",K434*V434/100)</f>
        <v/>
      </c>
      <c r="M434" s="20" t="str">
        <f aca="false">IF($X434="","",INDEX('Per Line'!$Z$2:$Z$4001,$X434))</f>
        <v/>
      </c>
      <c r="N434" s="23" t="str">
        <f aca="false">IF($X434="","",Settings!$C$7)</f>
        <v/>
      </c>
      <c r="O434" s="22" t="str">
        <f aca="false">IF($X434="","",SUMIFS('Per Line'!$Y$2:$Y$4001,'Per Line'!$D$2:$D$4001,$B434,'Per Line'!$AJ$2:$AJ$4001,0))</f>
        <v/>
      </c>
      <c r="P434" s="22" t="str">
        <f aca="false">IF($X434="","",O434*N434)</f>
        <v/>
      </c>
      <c r="Q434" s="23" t="str">
        <f aca="false">IF($X434="","",Settings!$C$6)</f>
        <v/>
      </c>
      <c r="R434" s="22" t="str">
        <f aca="false">IF($X434="","",SUMIFS('Per Line'!$Y$2:$Y$4001,'Per Line'!$D$2:$D$4001,$B434,'Per Line'!$AJ$2:$AJ$4001,1))</f>
        <v/>
      </c>
      <c r="S434" s="22" t="str">
        <f aca="false">IF($X434="","",R434*Q434)</f>
        <v/>
      </c>
      <c r="T434" s="22" t="str">
        <f aca="false">IF($X434="","",S434+P434)</f>
        <v/>
      </c>
      <c r="U434" s="22" t="str">
        <f aca="false">IF($X434="","",V434-T434)</f>
        <v/>
      </c>
      <c r="V434" s="22" t="str">
        <f aca="false">IF($X434="","",O434+R434)</f>
        <v/>
      </c>
      <c r="W434" s="22" t="str">
        <f aca="false">IF($X434="","",U434-L434)</f>
        <v/>
      </c>
      <c r="X434" s="24" t="str">
        <f aca="false">IF(ROWS($X$2:$X434)&lt;=MAX('Per Line'!$AI$2:$AI$4001),MATCH(ROWS($X$2:$X434),'Per Line'!$AI$2:$AI$4001,0),"")</f>
        <v/>
      </c>
    </row>
    <row r="435" customFormat="false" ht="15" hidden="false" customHeight="false" outlineLevel="0" collapsed="false">
      <c r="A435" s="19"/>
      <c r="B435" s="20" t="str">
        <f aca="false">IF($X435="","",INDEX('Per Line'!$D$2:$D$4001,$X435))</f>
        <v/>
      </c>
      <c r="C435" s="20" t="str">
        <f aca="false">IF($X435="","",INDEX('Per Line'!$C$2:$C$4001,$X435))</f>
        <v/>
      </c>
      <c r="D435" s="20" t="str">
        <f aca="false">IF($X435="","",INDEX('Per Line'!$A$2:$A$4001,$X435))</f>
        <v/>
      </c>
      <c r="E435" s="21" t="str">
        <f aca="false">IF($X435="","",INDEX('Per Line'!$F$2:$F$4001,$X435))</f>
        <v/>
      </c>
      <c r="F435" s="20" t="str">
        <f aca="false">IF($X435="","",INDEX('Per Line'!$G$2:$G$4001,$X435))</f>
        <v/>
      </c>
      <c r="G435" s="20" t="str">
        <f aca="false">IF($X435="","",INDEX('Per Line'!$I$2:$I$4001,$X435))</f>
        <v/>
      </c>
      <c r="H435" s="20" t="str">
        <f aca="false">IF($X435="","",INDEX('Per Line'!$J$2:$J$4001,$X435))</f>
        <v/>
      </c>
      <c r="I435" s="20" t="str">
        <f aca="false">IF($X435="","",INDEX('Per Line'!$K$2:$K$4001,$X435))</f>
        <v/>
      </c>
      <c r="J435" s="20" t="str">
        <f aca="false">IF($X435="","",INDEX('Per Line'!$L$2:$L$4001,$X435))</f>
        <v/>
      </c>
      <c r="K435" s="20" t="str">
        <f aca="false">IF($X435="","",INDEX('Per Line'!$M$2:$M$4001,$X435))</f>
        <v/>
      </c>
      <c r="L435" s="22" t="str">
        <f aca="false">IF($X435="","",K435*V435/100)</f>
        <v/>
      </c>
      <c r="M435" s="20" t="str">
        <f aca="false">IF($X435="","",INDEX('Per Line'!$Z$2:$Z$4001,$X435))</f>
        <v/>
      </c>
      <c r="N435" s="23" t="str">
        <f aca="false">IF($X435="","",Settings!$C$7)</f>
        <v/>
      </c>
      <c r="O435" s="22" t="str">
        <f aca="false">IF($X435="","",SUMIFS('Per Line'!$Y$2:$Y$4001,'Per Line'!$D$2:$D$4001,$B435,'Per Line'!$AJ$2:$AJ$4001,0))</f>
        <v/>
      </c>
      <c r="P435" s="22" t="str">
        <f aca="false">IF($X435="","",O435*N435)</f>
        <v/>
      </c>
      <c r="Q435" s="23" t="str">
        <f aca="false">IF($X435="","",Settings!$C$6)</f>
        <v/>
      </c>
      <c r="R435" s="22" t="str">
        <f aca="false">IF($X435="","",SUMIFS('Per Line'!$Y$2:$Y$4001,'Per Line'!$D$2:$D$4001,$B435,'Per Line'!$AJ$2:$AJ$4001,1))</f>
        <v/>
      </c>
      <c r="S435" s="22" t="str">
        <f aca="false">IF($X435="","",R435*Q435)</f>
        <v/>
      </c>
      <c r="T435" s="22" t="str">
        <f aca="false">IF($X435="","",S435+P435)</f>
        <v/>
      </c>
      <c r="U435" s="22" t="str">
        <f aca="false">IF($X435="","",V435-T435)</f>
        <v/>
      </c>
      <c r="V435" s="22" t="str">
        <f aca="false">IF($X435="","",O435+R435)</f>
        <v/>
      </c>
      <c r="W435" s="22" t="str">
        <f aca="false">IF($X435="","",U435-L435)</f>
        <v/>
      </c>
      <c r="X435" s="24" t="str">
        <f aca="false">IF(ROWS($X$2:$X435)&lt;=MAX('Per Line'!$AI$2:$AI$4001),MATCH(ROWS($X$2:$X435),'Per Line'!$AI$2:$AI$4001,0),"")</f>
        <v/>
      </c>
    </row>
    <row r="436" customFormat="false" ht="15" hidden="false" customHeight="false" outlineLevel="0" collapsed="false">
      <c r="A436" s="19"/>
      <c r="B436" s="20" t="str">
        <f aca="false">IF($X436="","",INDEX('Per Line'!$D$2:$D$4001,$X436))</f>
        <v/>
      </c>
      <c r="C436" s="20" t="str">
        <f aca="false">IF($X436="","",INDEX('Per Line'!$C$2:$C$4001,$X436))</f>
        <v/>
      </c>
      <c r="D436" s="20" t="str">
        <f aca="false">IF($X436="","",INDEX('Per Line'!$A$2:$A$4001,$X436))</f>
        <v/>
      </c>
      <c r="E436" s="21" t="str">
        <f aca="false">IF($X436="","",INDEX('Per Line'!$F$2:$F$4001,$X436))</f>
        <v/>
      </c>
      <c r="F436" s="20" t="str">
        <f aca="false">IF($X436="","",INDEX('Per Line'!$G$2:$G$4001,$X436))</f>
        <v/>
      </c>
      <c r="G436" s="20" t="str">
        <f aca="false">IF($X436="","",INDEX('Per Line'!$I$2:$I$4001,$X436))</f>
        <v/>
      </c>
      <c r="H436" s="20" t="str">
        <f aca="false">IF($X436="","",INDEX('Per Line'!$J$2:$J$4001,$X436))</f>
        <v/>
      </c>
      <c r="I436" s="20" t="str">
        <f aca="false">IF($X436="","",INDEX('Per Line'!$K$2:$K$4001,$X436))</f>
        <v/>
      </c>
      <c r="J436" s="20" t="str">
        <f aca="false">IF($X436="","",INDEX('Per Line'!$L$2:$L$4001,$X436))</f>
        <v/>
      </c>
      <c r="K436" s="20" t="str">
        <f aca="false">IF($X436="","",INDEX('Per Line'!$M$2:$M$4001,$X436))</f>
        <v/>
      </c>
      <c r="L436" s="22" t="str">
        <f aca="false">IF($X436="","",K436*V436/100)</f>
        <v/>
      </c>
      <c r="M436" s="20" t="str">
        <f aca="false">IF($X436="","",INDEX('Per Line'!$Z$2:$Z$4001,$X436))</f>
        <v/>
      </c>
      <c r="N436" s="23" t="str">
        <f aca="false">IF($X436="","",Settings!$C$7)</f>
        <v/>
      </c>
      <c r="O436" s="22" t="str">
        <f aca="false">IF($X436="","",SUMIFS('Per Line'!$Y$2:$Y$4001,'Per Line'!$D$2:$D$4001,$B436,'Per Line'!$AJ$2:$AJ$4001,0))</f>
        <v/>
      </c>
      <c r="P436" s="22" t="str">
        <f aca="false">IF($X436="","",O436*N436)</f>
        <v/>
      </c>
      <c r="Q436" s="23" t="str">
        <f aca="false">IF($X436="","",Settings!$C$6)</f>
        <v/>
      </c>
      <c r="R436" s="22" t="str">
        <f aca="false">IF($X436="","",SUMIFS('Per Line'!$Y$2:$Y$4001,'Per Line'!$D$2:$D$4001,$B436,'Per Line'!$AJ$2:$AJ$4001,1))</f>
        <v/>
      </c>
      <c r="S436" s="22" t="str">
        <f aca="false">IF($X436="","",R436*Q436)</f>
        <v/>
      </c>
      <c r="T436" s="22" t="str">
        <f aca="false">IF($X436="","",S436+P436)</f>
        <v/>
      </c>
      <c r="U436" s="22" t="str">
        <f aca="false">IF($X436="","",V436-T436)</f>
        <v/>
      </c>
      <c r="V436" s="22" t="str">
        <f aca="false">IF($X436="","",O436+R436)</f>
        <v/>
      </c>
      <c r="W436" s="22" t="str">
        <f aca="false">IF($X436="","",U436-L436)</f>
        <v/>
      </c>
      <c r="X436" s="24" t="str">
        <f aca="false">IF(ROWS($X$2:$X436)&lt;=MAX('Per Line'!$AI$2:$AI$4001),MATCH(ROWS($X$2:$X436),'Per Line'!$AI$2:$AI$4001,0),"")</f>
        <v/>
      </c>
    </row>
    <row r="437" customFormat="false" ht="15" hidden="false" customHeight="false" outlineLevel="0" collapsed="false">
      <c r="A437" s="19"/>
      <c r="B437" s="20" t="str">
        <f aca="false">IF($X437="","",INDEX('Per Line'!$D$2:$D$4001,$X437))</f>
        <v/>
      </c>
      <c r="C437" s="20" t="str">
        <f aca="false">IF($X437="","",INDEX('Per Line'!$C$2:$C$4001,$X437))</f>
        <v/>
      </c>
      <c r="D437" s="20" t="str">
        <f aca="false">IF($X437="","",INDEX('Per Line'!$A$2:$A$4001,$X437))</f>
        <v/>
      </c>
      <c r="E437" s="21" t="str">
        <f aca="false">IF($X437="","",INDEX('Per Line'!$F$2:$F$4001,$X437))</f>
        <v/>
      </c>
      <c r="F437" s="20" t="str">
        <f aca="false">IF($X437="","",INDEX('Per Line'!$G$2:$G$4001,$X437))</f>
        <v/>
      </c>
      <c r="G437" s="20" t="str">
        <f aca="false">IF($X437="","",INDEX('Per Line'!$I$2:$I$4001,$X437))</f>
        <v/>
      </c>
      <c r="H437" s="20" t="str">
        <f aca="false">IF($X437="","",INDEX('Per Line'!$J$2:$J$4001,$X437))</f>
        <v/>
      </c>
      <c r="I437" s="20" t="str">
        <f aca="false">IF($X437="","",INDEX('Per Line'!$K$2:$K$4001,$X437))</f>
        <v/>
      </c>
      <c r="J437" s="20" t="str">
        <f aca="false">IF($X437="","",INDEX('Per Line'!$L$2:$L$4001,$X437))</f>
        <v/>
      </c>
      <c r="K437" s="20" t="str">
        <f aca="false">IF($X437="","",INDEX('Per Line'!$M$2:$M$4001,$X437))</f>
        <v/>
      </c>
      <c r="L437" s="22" t="str">
        <f aca="false">IF($X437="","",K437*V437/100)</f>
        <v/>
      </c>
      <c r="M437" s="20" t="str">
        <f aca="false">IF($X437="","",INDEX('Per Line'!$Z$2:$Z$4001,$X437))</f>
        <v/>
      </c>
      <c r="N437" s="23" t="str">
        <f aca="false">IF($X437="","",Settings!$C$7)</f>
        <v/>
      </c>
      <c r="O437" s="22" t="str">
        <f aca="false">IF($X437="","",SUMIFS('Per Line'!$Y$2:$Y$4001,'Per Line'!$D$2:$D$4001,$B437,'Per Line'!$AJ$2:$AJ$4001,0))</f>
        <v/>
      </c>
      <c r="P437" s="22" t="str">
        <f aca="false">IF($X437="","",O437*N437)</f>
        <v/>
      </c>
      <c r="Q437" s="23" t="str">
        <f aca="false">IF($X437="","",Settings!$C$6)</f>
        <v/>
      </c>
      <c r="R437" s="22" t="str">
        <f aca="false">IF($X437="","",SUMIFS('Per Line'!$Y$2:$Y$4001,'Per Line'!$D$2:$D$4001,$B437,'Per Line'!$AJ$2:$AJ$4001,1))</f>
        <v/>
      </c>
      <c r="S437" s="22" t="str">
        <f aca="false">IF($X437="","",R437*Q437)</f>
        <v/>
      </c>
      <c r="T437" s="22" t="str">
        <f aca="false">IF($X437="","",S437+P437)</f>
        <v/>
      </c>
      <c r="U437" s="22" t="str">
        <f aca="false">IF($X437="","",V437-T437)</f>
        <v/>
      </c>
      <c r="V437" s="22" t="str">
        <f aca="false">IF($X437="","",O437+R437)</f>
        <v/>
      </c>
      <c r="W437" s="22" t="str">
        <f aca="false">IF($X437="","",U437-L437)</f>
        <v/>
      </c>
      <c r="X437" s="24" t="str">
        <f aca="false">IF(ROWS($X$2:$X437)&lt;=MAX('Per Line'!$AI$2:$AI$4001),MATCH(ROWS($X$2:$X437),'Per Line'!$AI$2:$AI$4001,0),"")</f>
        <v/>
      </c>
    </row>
    <row r="438" customFormat="false" ht="15" hidden="false" customHeight="false" outlineLevel="0" collapsed="false">
      <c r="A438" s="19"/>
      <c r="B438" s="20" t="str">
        <f aca="false">IF($X438="","",INDEX('Per Line'!$D$2:$D$4001,$X438))</f>
        <v/>
      </c>
      <c r="C438" s="20" t="str">
        <f aca="false">IF($X438="","",INDEX('Per Line'!$C$2:$C$4001,$X438))</f>
        <v/>
      </c>
      <c r="D438" s="20" t="str">
        <f aca="false">IF($X438="","",INDEX('Per Line'!$A$2:$A$4001,$X438))</f>
        <v/>
      </c>
      <c r="E438" s="21" t="str">
        <f aca="false">IF($X438="","",INDEX('Per Line'!$F$2:$F$4001,$X438))</f>
        <v/>
      </c>
      <c r="F438" s="20" t="str">
        <f aca="false">IF($X438="","",INDEX('Per Line'!$G$2:$G$4001,$X438))</f>
        <v/>
      </c>
      <c r="G438" s="20" t="str">
        <f aca="false">IF($X438="","",INDEX('Per Line'!$I$2:$I$4001,$X438))</f>
        <v/>
      </c>
      <c r="H438" s="20" t="str">
        <f aca="false">IF($X438="","",INDEX('Per Line'!$J$2:$J$4001,$X438))</f>
        <v/>
      </c>
      <c r="I438" s="20" t="str">
        <f aca="false">IF($X438="","",INDEX('Per Line'!$K$2:$K$4001,$X438))</f>
        <v/>
      </c>
      <c r="J438" s="20" t="str">
        <f aca="false">IF($X438="","",INDEX('Per Line'!$L$2:$L$4001,$X438))</f>
        <v/>
      </c>
      <c r="K438" s="20" t="str">
        <f aca="false">IF($X438="","",INDEX('Per Line'!$M$2:$M$4001,$X438))</f>
        <v/>
      </c>
      <c r="L438" s="22" t="str">
        <f aca="false">IF($X438="","",K438*V438/100)</f>
        <v/>
      </c>
      <c r="M438" s="20" t="str">
        <f aca="false">IF($X438="","",INDEX('Per Line'!$Z$2:$Z$4001,$X438))</f>
        <v/>
      </c>
      <c r="N438" s="23" t="str">
        <f aca="false">IF($X438="","",Settings!$C$7)</f>
        <v/>
      </c>
      <c r="O438" s="22" t="str">
        <f aca="false">IF($X438="","",SUMIFS('Per Line'!$Y$2:$Y$4001,'Per Line'!$D$2:$D$4001,$B438,'Per Line'!$AJ$2:$AJ$4001,0))</f>
        <v/>
      </c>
      <c r="P438" s="22" t="str">
        <f aca="false">IF($X438="","",O438*N438)</f>
        <v/>
      </c>
      <c r="Q438" s="23" t="str">
        <f aca="false">IF($X438="","",Settings!$C$6)</f>
        <v/>
      </c>
      <c r="R438" s="22" t="str">
        <f aca="false">IF($X438="","",SUMIFS('Per Line'!$Y$2:$Y$4001,'Per Line'!$D$2:$D$4001,$B438,'Per Line'!$AJ$2:$AJ$4001,1))</f>
        <v/>
      </c>
      <c r="S438" s="22" t="str">
        <f aca="false">IF($X438="","",R438*Q438)</f>
        <v/>
      </c>
      <c r="T438" s="22" t="str">
        <f aca="false">IF($X438="","",S438+P438)</f>
        <v/>
      </c>
      <c r="U438" s="22" t="str">
        <f aca="false">IF($X438="","",V438-T438)</f>
        <v/>
      </c>
      <c r="V438" s="22" t="str">
        <f aca="false">IF($X438="","",O438+R438)</f>
        <v/>
      </c>
      <c r="W438" s="22" t="str">
        <f aca="false">IF($X438="","",U438-L438)</f>
        <v/>
      </c>
      <c r="X438" s="24" t="str">
        <f aca="false">IF(ROWS($X$2:$X438)&lt;=MAX('Per Line'!$AI$2:$AI$4001),MATCH(ROWS($X$2:$X438),'Per Line'!$AI$2:$AI$4001,0),"")</f>
        <v/>
      </c>
    </row>
    <row r="439" customFormat="false" ht="15" hidden="false" customHeight="false" outlineLevel="0" collapsed="false">
      <c r="A439" s="19"/>
      <c r="B439" s="20" t="str">
        <f aca="false">IF($X439="","",INDEX('Per Line'!$D$2:$D$4001,$X439))</f>
        <v/>
      </c>
      <c r="C439" s="20" t="str">
        <f aca="false">IF($X439="","",INDEX('Per Line'!$C$2:$C$4001,$X439))</f>
        <v/>
      </c>
      <c r="D439" s="20" t="str">
        <f aca="false">IF($X439="","",INDEX('Per Line'!$A$2:$A$4001,$X439))</f>
        <v/>
      </c>
      <c r="E439" s="21" t="str">
        <f aca="false">IF($X439="","",INDEX('Per Line'!$F$2:$F$4001,$X439))</f>
        <v/>
      </c>
      <c r="F439" s="20" t="str">
        <f aca="false">IF($X439="","",INDEX('Per Line'!$G$2:$G$4001,$X439))</f>
        <v/>
      </c>
      <c r="G439" s="20" t="str">
        <f aca="false">IF($X439="","",INDEX('Per Line'!$I$2:$I$4001,$X439))</f>
        <v/>
      </c>
      <c r="H439" s="20" t="str">
        <f aca="false">IF($X439="","",INDEX('Per Line'!$J$2:$J$4001,$X439))</f>
        <v/>
      </c>
      <c r="I439" s="20" t="str">
        <f aca="false">IF($X439="","",INDEX('Per Line'!$K$2:$K$4001,$X439))</f>
        <v/>
      </c>
      <c r="J439" s="20" t="str">
        <f aca="false">IF($X439="","",INDEX('Per Line'!$L$2:$L$4001,$X439))</f>
        <v/>
      </c>
      <c r="K439" s="20" t="str">
        <f aca="false">IF($X439="","",INDEX('Per Line'!$M$2:$M$4001,$X439))</f>
        <v/>
      </c>
      <c r="L439" s="22" t="str">
        <f aca="false">IF($X439="","",K439*V439/100)</f>
        <v/>
      </c>
      <c r="M439" s="20" t="str">
        <f aca="false">IF($X439="","",INDEX('Per Line'!$Z$2:$Z$4001,$X439))</f>
        <v/>
      </c>
      <c r="N439" s="23" t="str">
        <f aca="false">IF($X439="","",Settings!$C$7)</f>
        <v/>
      </c>
      <c r="O439" s="22" t="str">
        <f aca="false">IF($X439="","",SUMIFS('Per Line'!$Y$2:$Y$4001,'Per Line'!$D$2:$D$4001,$B439,'Per Line'!$AJ$2:$AJ$4001,0))</f>
        <v/>
      </c>
      <c r="P439" s="22" t="str">
        <f aca="false">IF($X439="","",O439*N439)</f>
        <v/>
      </c>
      <c r="Q439" s="23" t="str">
        <f aca="false">IF($X439="","",Settings!$C$6)</f>
        <v/>
      </c>
      <c r="R439" s="22" t="str">
        <f aca="false">IF($X439="","",SUMIFS('Per Line'!$Y$2:$Y$4001,'Per Line'!$D$2:$D$4001,$B439,'Per Line'!$AJ$2:$AJ$4001,1))</f>
        <v/>
      </c>
      <c r="S439" s="22" t="str">
        <f aca="false">IF($X439="","",R439*Q439)</f>
        <v/>
      </c>
      <c r="T439" s="22" t="str">
        <f aca="false">IF($X439="","",S439+P439)</f>
        <v/>
      </c>
      <c r="U439" s="22" t="str">
        <f aca="false">IF($X439="","",V439-T439)</f>
        <v/>
      </c>
      <c r="V439" s="22" t="str">
        <f aca="false">IF($X439="","",O439+R439)</f>
        <v/>
      </c>
      <c r="W439" s="22" t="str">
        <f aca="false">IF($X439="","",U439-L439)</f>
        <v/>
      </c>
      <c r="X439" s="24" t="str">
        <f aca="false">IF(ROWS($X$2:$X439)&lt;=MAX('Per Line'!$AI$2:$AI$4001),MATCH(ROWS($X$2:$X439),'Per Line'!$AI$2:$AI$4001,0),"")</f>
        <v/>
      </c>
    </row>
    <row r="440" customFormat="false" ht="15" hidden="false" customHeight="false" outlineLevel="0" collapsed="false">
      <c r="A440" s="19"/>
      <c r="B440" s="20" t="str">
        <f aca="false">IF($X440="","",INDEX('Per Line'!$D$2:$D$4001,$X440))</f>
        <v/>
      </c>
      <c r="C440" s="20" t="str">
        <f aca="false">IF($X440="","",INDEX('Per Line'!$C$2:$C$4001,$X440))</f>
        <v/>
      </c>
      <c r="D440" s="20" t="str">
        <f aca="false">IF($X440="","",INDEX('Per Line'!$A$2:$A$4001,$X440))</f>
        <v/>
      </c>
      <c r="E440" s="21" t="str">
        <f aca="false">IF($X440="","",INDEX('Per Line'!$F$2:$F$4001,$X440))</f>
        <v/>
      </c>
      <c r="F440" s="20" t="str">
        <f aca="false">IF($X440="","",INDEX('Per Line'!$G$2:$G$4001,$X440))</f>
        <v/>
      </c>
      <c r="G440" s="20" t="str">
        <f aca="false">IF($X440="","",INDEX('Per Line'!$I$2:$I$4001,$X440))</f>
        <v/>
      </c>
      <c r="H440" s="20" t="str">
        <f aca="false">IF($X440="","",INDEX('Per Line'!$J$2:$J$4001,$X440))</f>
        <v/>
      </c>
      <c r="I440" s="20" t="str">
        <f aca="false">IF($X440="","",INDEX('Per Line'!$K$2:$K$4001,$X440))</f>
        <v/>
      </c>
      <c r="J440" s="20" t="str">
        <f aca="false">IF($X440="","",INDEX('Per Line'!$L$2:$L$4001,$X440))</f>
        <v/>
      </c>
      <c r="K440" s="20" t="str">
        <f aca="false">IF($X440="","",INDEX('Per Line'!$M$2:$M$4001,$X440))</f>
        <v/>
      </c>
      <c r="L440" s="22" t="str">
        <f aca="false">IF($X440="","",K440*V440/100)</f>
        <v/>
      </c>
      <c r="M440" s="20" t="str">
        <f aca="false">IF($X440="","",INDEX('Per Line'!$Z$2:$Z$4001,$X440))</f>
        <v/>
      </c>
      <c r="N440" s="23" t="str">
        <f aca="false">IF($X440="","",Settings!$C$7)</f>
        <v/>
      </c>
      <c r="O440" s="22" t="str">
        <f aca="false">IF($X440="","",SUMIFS('Per Line'!$Y$2:$Y$4001,'Per Line'!$D$2:$D$4001,$B440,'Per Line'!$AJ$2:$AJ$4001,0))</f>
        <v/>
      </c>
      <c r="P440" s="22" t="str">
        <f aca="false">IF($X440="","",O440*N440)</f>
        <v/>
      </c>
      <c r="Q440" s="23" t="str">
        <f aca="false">IF($X440="","",Settings!$C$6)</f>
        <v/>
      </c>
      <c r="R440" s="22" t="str">
        <f aca="false">IF($X440="","",SUMIFS('Per Line'!$Y$2:$Y$4001,'Per Line'!$D$2:$D$4001,$B440,'Per Line'!$AJ$2:$AJ$4001,1))</f>
        <v/>
      </c>
      <c r="S440" s="22" t="str">
        <f aca="false">IF($X440="","",R440*Q440)</f>
        <v/>
      </c>
      <c r="T440" s="22" t="str">
        <f aca="false">IF($X440="","",S440+P440)</f>
        <v/>
      </c>
      <c r="U440" s="22" t="str">
        <f aca="false">IF($X440="","",V440-T440)</f>
        <v/>
      </c>
      <c r="V440" s="22" t="str">
        <f aca="false">IF($X440="","",O440+R440)</f>
        <v/>
      </c>
      <c r="W440" s="22" t="str">
        <f aca="false">IF($X440="","",U440-L440)</f>
        <v/>
      </c>
      <c r="X440" s="24" t="str">
        <f aca="false">IF(ROWS($X$2:$X440)&lt;=MAX('Per Line'!$AI$2:$AI$4001),MATCH(ROWS($X$2:$X440),'Per Line'!$AI$2:$AI$4001,0),"")</f>
        <v/>
      </c>
    </row>
    <row r="441" customFormat="false" ht="15" hidden="false" customHeight="false" outlineLevel="0" collapsed="false">
      <c r="A441" s="19"/>
      <c r="B441" s="20" t="str">
        <f aca="false">IF($X441="","",INDEX('Per Line'!$D$2:$D$4001,$X441))</f>
        <v/>
      </c>
      <c r="C441" s="20" t="str">
        <f aca="false">IF($X441="","",INDEX('Per Line'!$C$2:$C$4001,$X441))</f>
        <v/>
      </c>
      <c r="D441" s="20" t="str">
        <f aca="false">IF($X441="","",INDEX('Per Line'!$A$2:$A$4001,$X441))</f>
        <v/>
      </c>
      <c r="E441" s="21" t="str">
        <f aca="false">IF($X441="","",INDEX('Per Line'!$F$2:$F$4001,$X441))</f>
        <v/>
      </c>
      <c r="F441" s="20" t="str">
        <f aca="false">IF($X441="","",INDEX('Per Line'!$G$2:$G$4001,$X441))</f>
        <v/>
      </c>
      <c r="G441" s="20" t="str">
        <f aca="false">IF($X441="","",INDEX('Per Line'!$I$2:$I$4001,$X441))</f>
        <v/>
      </c>
      <c r="H441" s="20" t="str">
        <f aca="false">IF($X441="","",INDEX('Per Line'!$J$2:$J$4001,$X441))</f>
        <v/>
      </c>
      <c r="I441" s="20" t="str">
        <f aca="false">IF($X441="","",INDEX('Per Line'!$K$2:$K$4001,$X441))</f>
        <v/>
      </c>
      <c r="J441" s="20" t="str">
        <f aca="false">IF($X441="","",INDEX('Per Line'!$L$2:$L$4001,$X441))</f>
        <v/>
      </c>
      <c r="K441" s="20" t="str">
        <f aca="false">IF($X441="","",INDEX('Per Line'!$M$2:$M$4001,$X441))</f>
        <v/>
      </c>
      <c r="L441" s="22" t="str">
        <f aca="false">IF($X441="","",K441*V441/100)</f>
        <v/>
      </c>
      <c r="M441" s="20" t="str">
        <f aca="false">IF($X441="","",INDEX('Per Line'!$Z$2:$Z$4001,$X441))</f>
        <v/>
      </c>
      <c r="N441" s="23" t="str">
        <f aca="false">IF($X441="","",Settings!$C$7)</f>
        <v/>
      </c>
      <c r="O441" s="22" t="str">
        <f aca="false">IF($X441="","",SUMIFS('Per Line'!$Y$2:$Y$4001,'Per Line'!$D$2:$D$4001,$B441,'Per Line'!$AJ$2:$AJ$4001,0))</f>
        <v/>
      </c>
      <c r="P441" s="22" t="str">
        <f aca="false">IF($X441="","",O441*N441)</f>
        <v/>
      </c>
      <c r="Q441" s="23" t="str">
        <f aca="false">IF($X441="","",Settings!$C$6)</f>
        <v/>
      </c>
      <c r="R441" s="22" t="str">
        <f aca="false">IF($X441="","",SUMIFS('Per Line'!$Y$2:$Y$4001,'Per Line'!$D$2:$D$4001,$B441,'Per Line'!$AJ$2:$AJ$4001,1))</f>
        <v/>
      </c>
      <c r="S441" s="22" t="str">
        <f aca="false">IF($X441="","",R441*Q441)</f>
        <v/>
      </c>
      <c r="T441" s="22" t="str">
        <f aca="false">IF($X441="","",S441+P441)</f>
        <v/>
      </c>
      <c r="U441" s="22" t="str">
        <f aca="false">IF($X441="","",V441-T441)</f>
        <v/>
      </c>
      <c r="V441" s="22" t="str">
        <f aca="false">IF($X441="","",O441+R441)</f>
        <v/>
      </c>
      <c r="W441" s="22" t="str">
        <f aca="false">IF($X441="","",U441-L441)</f>
        <v/>
      </c>
      <c r="X441" s="24" t="str">
        <f aca="false">IF(ROWS($X$2:$X441)&lt;=MAX('Per Line'!$AI$2:$AI$4001),MATCH(ROWS($X$2:$X441),'Per Line'!$AI$2:$AI$4001,0),"")</f>
        <v/>
      </c>
    </row>
    <row r="442" customFormat="false" ht="15" hidden="false" customHeight="false" outlineLevel="0" collapsed="false">
      <c r="A442" s="19"/>
      <c r="B442" s="20" t="str">
        <f aca="false">IF($X442="","",INDEX('Per Line'!$D$2:$D$4001,$X442))</f>
        <v/>
      </c>
      <c r="C442" s="20" t="str">
        <f aca="false">IF($X442="","",INDEX('Per Line'!$C$2:$C$4001,$X442))</f>
        <v/>
      </c>
      <c r="D442" s="20" t="str">
        <f aca="false">IF($X442="","",INDEX('Per Line'!$A$2:$A$4001,$X442))</f>
        <v/>
      </c>
      <c r="E442" s="21" t="str">
        <f aca="false">IF($X442="","",INDEX('Per Line'!$F$2:$F$4001,$X442))</f>
        <v/>
      </c>
      <c r="F442" s="20" t="str">
        <f aca="false">IF($X442="","",INDEX('Per Line'!$G$2:$G$4001,$X442))</f>
        <v/>
      </c>
      <c r="G442" s="20" t="str">
        <f aca="false">IF($X442="","",INDEX('Per Line'!$I$2:$I$4001,$X442))</f>
        <v/>
      </c>
      <c r="H442" s="20" t="str">
        <f aca="false">IF($X442="","",INDEX('Per Line'!$J$2:$J$4001,$X442))</f>
        <v/>
      </c>
      <c r="I442" s="20" t="str">
        <f aca="false">IF($X442="","",INDEX('Per Line'!$K$2:$K$4001,$X442))</f>
        <v/>
      </c>
      <c r="J442" s="20" t="str">
        <f aca="false">IF($X442="","",INDEX('Per Line'!$L$2:$L$4001,$X442))</f>
        <v/>
      </c>
      <c r="K442" s="20" t="str">
        <f aca="false">IF($X442="","",INDEX('Per Line'!$M$2:$M$4001,$X442))</f>
        <v/>
      </c>
      <c r="L442" s="22" t="str">
        <f aca="false">IF($X442="","",K442*V442/100)</f>
        <v/>
      </c>
      <c r="M442" s="20" t="str">
        <f aca="false">IF($X442="","",INDEX('Per Line'!$Z$2:$Z$4001,$X442))</f>
        <v/>
      </c>
      <c r="N442" s="23" t="str">
        <f aca="false">IF($X442="","",Settings!$C$7)</f>
        <v/>
      </c>
      <c r="O442" s="22" t="str">
        <f aca="false">IF($X442="","",SUMIFS('Per Line'!$Y$2:$Y$4001,'Per Line'!$D$2:$D$4001,$B442,'Per Line'!$AJ$2:$AJ$4001,0))</f>
        <v/>
      </c>
      <c r="P442" s="22" t="str">
        <f aca="false">IF($X442="","",O442*N442)</f>
        <v/>
      </c>
      <c r="Q442" s="23" t="str">
        <f aca="false">IF($X442="","",Settings!$C$6)</f>
        <v/>
      </c>
      <c r="R442" s="22" t="str">
        <f aca="false">IF($X442="","",SUMIFS('Per Line'!$Y$2:$Y$4001,'Per Line'!$D$2:$D$4001,$B442,'Per Line'!$AJ$2:$AJ$4001,1))</f>
        <v/>
      </c>
      <c r="S442" s="22" t="str">
        <f aca="false">IF($X442="","",R442*Q442)</f>
        <v/>
      </c>
      <c r="T442" s="22" t="str">
        <f aca="false">IF($X442="","",S442+P442)</f>
        <v/>
      </c>
      <c r="U442" s="22" t="str">
        <f aca="false">IF($X442="","",V442-T442)</f>
        <v/>
      </c>
      <c r="V442" s="22" t="str">
        <f aca="false">IF($X442="","",O442+R442)</f>
        <v/>
      </c>
      <c r="W442" s="22" t="str">
        <f aca="false">IF($X442="","",U442-L442)</f>
        <v/>
      </c>
      <c r="X442" s="24" t="str">
        <f aca="false">IF(ROWS($X$2:$X442)&lt;=MAX('Per Line'!$AI$2:$AI$4001),MATCH(ROWS($X$2:$X442),'Per Line'!$AI$2:$AI$4001,0),"")</f>
        <v/>
      </c>
    </row>
    <row r="443" customFormat="false" ht="15" hidden="false" customHeight="false" outlineLevel="0" collapsed="false">
      <c r="A443" s="19"/>
      <c r="B443" s="20" t="str">
        <f aca="false">IF($X443="","",INDEX('Per Line'!$D$2:$D$4001,$X443))</f>
        <v/>
      </c>
      <c r="C443" s="20" t="str">
        <f aca="false">IF($X443="","",INDEX('Per Line'!$C$2:$C$4001,$X443))</f>
        <v/>
      </c>
      <c r="D443" s="20" t="str">
        <f aca="false">IF($X443="","",INDEX('Per Line'!$A$2:$A$4001,$X443))</f>
        <v/>
      </c>
      <c r="E443" s="21" t="str">
        <f aca="false">IF($X443="","",INDEX('Per Line'!$F$2:$F$4001,$X443))</f>
        <v/>
      </c>
      <c r="F443" s="20" t="str">
        <f aca="false">IF($X443="","",INDEX('Per Line'!$G$2:$G$4001,$X443))</f>
        <v/>
      </c>
      <c r="G443" s="20" t="str">
        <f aca="false">IF($X443="","",INDEX('Per Line'!$I$2:$I$4001,$X443))</f>
        <v/>
      </c>
      <c r="H443" s="20" t="str">
        <f aca="false">IF($X443="","",INDEX('Per Line'!$J$2:$J$4001,$X443))</f>
        <v/>
      </c>
      <c r="I443" s="20" t="str">
        <f aca="false">IF($X443="","",INDEX('Per Line'!$K$2:$K$4001,$X443))</f>
        <v/>
      </c>
      <c r="J443" s="20" t="str">
        <f aca="false">IF($X443="","",INDEX('Per Line'!$L$2:$L$4001,$X443))</f>
        <v/>
      </c>
      <c r="K443" s="20" t="str">
        <f aca="false">IF($X443="","",INDEX('Per Line'!$M$2:$M$4001,$X443))</f>
        <v/>
      </c>
      <c r="L443" s="22" t="str">
        <f aca="false">IF($X443="","",K443*V443/100)</f>
        <v/>
      </c>
      <c r="M443" s="20" t="str">
        <f aca="false">IF($X443="","",INDEX('Per Line'!$Z$2:$Z$4001,$X443))</f>
        <v/>
      </c>
      <c r="N443" s="23" t="str">
        <f aca="false">IF($X443="","",Settings!$C$7)</f>
        <v/>
      </c>
      <c r="O443" s="22" t="str">
        <f aca="false">IF($X443="","",SUMIFS('Per Line'!$Y$2:$Y$4001,'Per Line'!$D$2:$D$4001,$B443,'Per Line'!$AJ$2:$AJ$4001,0))</f>
        <v/>
      </c>
      <c r="P443" s="22" t="str">
        <f aca="false">IF($X443="","",O443*N443)</f>
        <v/>
      </c>
      <c r="Q443" s="23" t="str">
        <f aca="false">IF($X443="","",Settings!$C$6)</f>
        <v/>
      </c>
      <c r="R443" s="22" t="str">
        <f aca="false">IF($X443="","",SUMIFS('Per Line'!$Y$2:$Y$4001,'Per Line'!$D$2:$D$4001,$B443,'Per Line'!$AJ$2:$AJ$4001,1))</f>
        <v/>
      </c>
      <c r="S443" s="22" t="str">
        <f aca="false">IF($X443="","",R443*Q443)</f>
        <v/>
      </c>
      <c r="T443" s="22" t="str">
        <f aca="false">IF($X443="","",S443+P443)</f>
        <v/>
      </c>
      <c r="U443" s="22" t="str">
        <f aca="false">IF($X443="","",V443-T443)</f>
        <v/>
      </c>
      <c r="V443" s="22" t="str">
        <f aca="false">IF($X443="","",O443+R443)</f>
        <v/>
      </c>
      <c r="W443" s="22" t="str">
        <f aca="false">IF($X443="","",U443-L443)</f>
        <v/>
      </c>
      <c r="X443" s="24" t="str">
        <f aca="false">IF(ROWS($X$2:$X443)&lt;=MAX('Per Line'!$AI$2:$AI$4001),MATCH(ROWS($X$2:$X443),'Per Line'!$AI$2:$AI$4001,0),"")</f>
        <v/>
      </c>
    </row>
    <row r="444" customFormat="false" ht="15" hidden="false" customHeight="false" outlineLevel="0" collapsed="false">
      <c r="A444" s="19"/>
      <c r="B444" s="20" t="str">
        <f aca="false">IF($X444="","",INDEX('Per Line'!$D$2:$D$4001,$X444))</f>
        <v/>
      </c>
      <c r="C444" s="20" t="str">
        <f aca="false">IF($X444="","",INDEX('Per Line'!$C$2:$C$4001,$X444))</f>
        <v/>
      </c>
      <c r="D444" s="20" t="str">
        <f aca="false">IF($X444="","",INDEX('Per Line'!$A$2:$A$4001,$X444))</f>
        <v/>
      </c>
      <c r="E444" s="21" t="str">
        <f aca="false">IF($X444="","",INDEX('Per Line'!$F$2:$F$4001,$X444))</f>
        <v/>
      </c>
      <c r="F444" s="20" t="str">
        <f aca="false">IF($X444="","",INDEX('Per Line'!$G$2:$G$4001,$X444))</f>
        <v/>
      </c>
      <c r="G444" s="20" t="str">
        <f aca="false">IF($X444="","",INDEX('Per Line'!$I$2:$I$4001,$X444))</f>
        <v/>
      </c>
      <c r="H444" s="20" t="str">
        <f aca="false">IF($X444="","",INDEX('Per Line'!$J$2:$J$4001,$X444))</f>
        <v/>
      </c>
      <c r="I444" s="20" t="str">
        <f aca="false">IF($X444="","",INDEX('Per Line'!$K$2:$K$4001,$X444))</f>
        <v/>
      </c>
      <c r="J444" s="20" t="str">
        <f aca="false">IF($X444="","",INDEX('Per Line'!$L$2:$L$4001,$X444))</f>
        <v/>
      </c>
      <c r="K444" s="20" t="str">
        <f aca="false">IF($X444="","",INDEX('Per Line'!$M$2:$M$4001,$X444))</f>
        <v/>
      </c>
      <c r="L444" s="22" t="str">
        <f aca="false">IF($X444="","",K444*V444/100)</f>
        <v/>
      </c>
      <c r="M444" s="20" t="str">
        <f aca="false">IF($X444="","",INDEX('Per Line'!$Z$2:$Z$4001,$X444))</f>
        <v/>
      </c>
      <c r="N444" s="23" t="str">
        <f aca="false">IF($X444="","",Settings!$C$7)</f>
        <v/>
      </c>
      <c r="O444" s="22" t="str">
        <f aca="false">IF($X444="","",SUMIFS('Per Line'!$Y$2:$Y$4001,'Per Line'!$D$2:$D$4001,$B444,'Per Line'!$AJ$2:$AJ$4001,0))</f>
        <v/>
      </c>
      <c r="P444" s="22" t="str">
        <f aca="false">IF($X444="","",O444*N444)</f>
        <v/>
      </c>
      <c r="Q444" s="23" t="str">
        <f aca="false">IF($X444="","",Settings!$C$6)</f>
        <v/>
      </c>
      <c r="R444" s="22" t="str">
        <f aca="false">IF($X444="","",SUMIFS('Per Line'!$Y$2:$Y$4001,'Per Line'!$D$2:$D$4001,$B444,'Per Line'!$AJ$2:$AJ$4001,1))</f>
        <v/>
      </c>
      <c r="S444" s="22" t="str">
        <f aca="false">IF($X444="","",R444*Q444)</f>
        <v/>
      </c>
      <c r="T444" s="22" t="str">
        <f aca="false">IF($X444="","",S444+P444)</f>
        <v/>
      </c>
      <c r="U444" s="22" t="str">
        <f aca="false">IF($X444="","",V444-T444)</f>
        <v/>
      </c>
      <c r="V444" s="22" t="str">
        <f aca="false">IF($X444="","",O444+R444)</f>
        <v/>
      </c>
      <c r="W444" s="22" t="str">
        <f aca="false">IF($X444="","",U444-L444)</f>
        <v/>
      </c>
      <c r="X444" s="24" t="str">
        <f aca="false">IF(ROWS($X$2:$X444)&lt;=MAX('Per Line'!$AI$2:$AI$4001),MATCH(ROWS($X$2:$X444),'Per Line'!$AI$2:$AI$4001,0),"")</f>
        <v/>
      </c>
    </row>
    <row r="445" customFormat="false" ht="15" hidden="false" customHeight="false" outlineLevel="0" collapsed="false">
      <c r="A445" s="19"/>
      <c r="B445" s="20" t="str">
        <f aca="false">IF($X445="","",INDEX('Per Line'!$D$2:$D$4001,$X445))</f>
        <v/>
      </c>
      <c r="C445" s="20" t="str">
        <f aca="false">IF($X445="","",INDEX('Per Line'!$C$2:$C$4001,$X445))</f>
        <v/>
      </c>
      <c r="D445" s="20" t="str">
        <f aca="false">IF($X445="","",INDEX('Per Line'!$A$2:$A$4001,$X445))</f>
        <v/>
      </c>
      <c r="E445" s="21" t="str">
        <f aca="false">IF($X445="","",INDEX('Per Line'!$F$2:$F$4001,$X445))</f>
        <v/>
      </c>
      <c r="F445" s="20" t="str">
        <f aca="false">IF($X445="","",INDEX('Per Line'!$G$2:$G$4001,$X445))</f>
        <v/>
      </c>
      <c r="G445" s="20" t="str">
        <f aca="false">IF($X445="","",INDEX('Per Line'!$I$2:$I$4001,$X445))</f>
        <v/>
      </c>
      <c r="H445" s="20" t="str">
        <f aca="false">IF($X445="","",INDEX('Per Line'!$J$2:$J$4001,$X445))</f>
        <v/>
      </c>
      <c r="I445" s="20" t="str">
        <f aca="false">IF($X445="","",INDEX('Per Line'!$K$2:$K$4001,$X445))</f>
        <v/>
      </c>
      <c r="J445" s="20" t="str">
        <f aca="false">IF($X445="","",INDEX('Per Line'!$L$2:$L$4001,$X445))</f>
        <v/>
      </c>
      <c r="K445" s="20" t="str">
        <f aca="false">IF($X445="","",INDEX('Per Line'!$M$2:$M$4001,$X445))</f>
        <v/>
      </c>
      <c r="L445" s="22" t="str">
        <f aca="false">IF($X445="","",K445*V445/100)</f>
        <v/>
      </c>
      <c r="M445" s="20" t="str">
        <f aca="false">IF($X445="","",INDEX('Per Line'!$Z$2:$Z$4001,$X445))</f>
        <v/>
      </c>
      <c r="N445" s="23" t="str">
        <f aca="false">IF($X445="","",Settings!$C$7)</f>
        <v/>
      </c>
      <c r="O445" s="22" t="str">
        <f aca="false">IF($X445="","",SUMIFS('Per Line'!$Y$2:$Y$4001,'Per Line'!$D$2:$D$4001,$B445,'Per Line'!$AJ$2:$AJ$4001,0))</f>
        <v/>
      </c>
      <c r="P445" s="22" t="str">
        <f aca="false">IF($X445="","",O445*N445)</f>
        <v/>
      </c>
      <c r="Q445" s="23" t="str">
        <f aca="false">IF($X445="","",Settings!$C$6)</f>
        <v/>
      </c>
      <c r="R445" s="22" t="str">
        <f aca="false">IF($X445="","",SUMIFS('Per Line'!$Y$2:$Y$4001,'Per Line'!$D$2:$D$4001,$B445,'Per Line'!$AJ$2:$AJ$4001,1))</f>
        <v/>
      </c>
      <c r="S445" s="22" t="str">
        <f aca="false">IF($X445="","",R445*Q445)</f>
        <v/>
      </c>
      <c r="T445" s="22" t="str">
        <f aca="false">IF($X445="","",S445+P445)</f>
        <v/>
      </c>
      <c r="U445" s="22" t="str">
        <f aca="false">IF($X445="","",V445-T445)</f>
        <v/>
      </c>
      <c r="V445" s="22" t="str">
        <f aca="false">IF($X445="","",O445+R445)</f>
        <v/>
      </c>
      <c r="W445" s="22" t="str">
        <f aca="false">IF($X445="","",U445-L445)</f>
        <v/>
      </c>
      <c r="X445" s="24" t="str">
        <f aca="false">IF(ROWS($X$2:$X445)&lt;=MAX('Per Line'!$AI$2:$AI$4001),MATCH(ROWS($X$2:$X445),'Per Line'!$AI$2:$AI$4001,0),"")</f>
        <v/>
      </c>
    </row>
    <row r="446" customFormat="false" ht="15" hidden="false" customHeight="false" outlineLevel="0" collapsed="false">
      <c r="A446" s="19"/>
      <c r="B446" s="20" t="str">
        <f aca="false">IF($X446="","",INDEX('Per Line'!$D$2:$D$4001,$X446))</f>
        <v/>
      </c>
      <c r="C446" s="20" t="str">
        <f aca="false">IF($X446="","",INDEX('Per Line'!$C$2:$C$4001,$X446))</f>
        <v/>
      </c>
      <c r="D446" s="20" t="str">
        <f aca="false">IF($X446="","",INDEX('Per Line'!$A$2:$A$4001,$X446))</f>
        <v/>
      </c>
      <c r="E446" s="21" t="str">
        <f aca="false">IF($X446="","",INDEX('Per Line'!$F$2:$F$4001,$X446))</f>
        <v/>
      </c>
      <c r="F446" s="20" t="str">
        <f aca="false">IF($X446="","",INDEX('Per Line'!$G$2:$G$4001,$X446))</f>
        <v/>
      </c>
      <c r="G446" s="20" t="str">
        <f aca="false">IF($X446="","",INDEX('Per Line'!$I$2:$I$4001,$X446))</f>
        <v/>
      </c>
      <c r="H446" s="20" t="str">
        <f aca="false">IF($X446="","",INDEX('Per Line'!$J$2:$J$4001,$X446))</f>
        <v/>
      </c>
      <c r="I446" s="20" t="str">
        <f aca="false">IF($X446="","",INDEX('Per Line'!$K$2:$K$4001,$X446))</f>
        <v/>
      </c>
      <c r="J446" s="20" t="str">
        <f aca="false">IF($X446="","",INDEX('Per Line'!$L$2:$L$4001,$X446))</f>
        <v/>
      </c>
      <c r="K446" s="20" t="str">
        <f aca="false">IF($X446="","",INDEX('Per Line'!$M$2:$M$4001,$X446))</f>
        <v/>
      </c>
      <c r="L446" s="22" t="str">
        <f aca="false">IF($X446="","",K446*V446/100)</f>
        <v/>
      </c>
      <c r="M446" s="20" t="str">
        <f aca="false">IF($X446="","",INDEX('Per Line'!$Z$2:$Z$4001,$X446))</f>
        <v/>
      </c>
      <c r="N446" s="23" t="str">
        <f aca="false">IF($X446="","",Settings!$C$7)</f>
        <v/>
      </c>
      <c r="O446" s="22" t="str">
        <f aca="false">IF($X446="","",SUMIFS('Per Line'!$Y$2:$Y$4001,'Per Line'!$D$2:$D$4001,$B446,'Per Line'!$AJ$2:$AJ$4001,0))</f>
        <v/>
      </c>
      <c r="P446" s="22" t="str">
        <f aca="false">IF($X446="","",O446*N446)</f>
        <v/>
      </c>
      <c r="Q446" s="23" t="str">
        <f aca="false">IF($X446="","",Settings!$C$6)</f>
        <v/>
      </c>
      <c r="R446" s="22" t="str">
        <f aca="false">IF($X446="","",SUMIFS('Per Line'!$Y$2:$Y$4001,'Per Line'!$D$2:$D$4001,$B446,'Per Line'!$AJ$2:$AJ$4001,1))</f>
        <v/>
      </c>
      <c r="S446" s="22" t="str">
        <f aca="false">IF($X446="","",R446*Q446)</f>
        <v/>
      </c>
      <c r="T446" s="22" t="str">
        <f aca="false">IF($X446="","",S446+P446)</f>
        <v/>
      </c>
      <c r="U446" s="22" t="str">
        <f aca="false">IF($X446="","",V446-T446)</f>
        <v/>
      </c>
      <c r="V446" s="22" t="str">
        <f aca="false">IF($X446="","",O446+R446)</f>
        <v/>
      </c>
      <c r="W446" s="22" t="str">
        <f aca="false">IF($X446="","",U446-L446)</f>
        <v/>
      </c>
      <c r="X446" s="24" t="str">
        <f aca="false">IF(ROWS($X$2:$X446)&lt;=MAX('Per Line'!$AI$2:$AI$4001),MATCH(ROWS($X$2:$X446),'Per Line'!$AI$2:$AI$4001,0),"")</f>
        <v/>
      </c>
    </row>
    <row r="447" customFormat="false" ht="15" hidden="false" customHeight="false" outlineLevel="0" collapsed="false">
      <c r="A447" s="19"/>
      <c r="B447" s="20" t="str">
        <f aca="false">IF($X447="","",INDEX('Per Line'!$D$2:$D$4001,$X447))</f>
        <v/>
      </c>
      <c r="C447" s="20" t="str">
        <f aca="false">IF($X447="","",INDEX('Per Line'!$C$2:$C$4001,$X447))</f>
        <v/>
      </c>
      <c r="D447" s="20" t="str">
        <f aca="false">IF($X447="","",INDEX('Per Line'!$A$2:$A$4001,$X447))</f>
        <v/>
      </c>
      <c r="E447" s="21" t="str">
        <f aca="false">IF($X447="","",INDEX('Per Line'!$F$2:$F$4001,$X447))</f>
        <v/>
      </c>
      <c r="F447" s="20" t="str">
        <f aca="false">IF($X447="","",INDEX('Per Line'!$G$2:$G$4001,$X447))</f>
        <v/>
      </c>
      <c r="G447" s="20" t="str">
        <f aca="false">IF($X447="","",INDEX('Per Line'!$I$2:$I$4001,$X447))</f>
        <v/>
      </c>
      <c r="H447" s="20" t="str">
        <f aca="false">IF($X447="","",INDEX('Per Line'!$J$2:$J$4001,$X447))</f>
        <v/>
      </c>
      <c r="I447" s="20" t="str">
        <f aca="false">IF($X447="","",INDEX('Per Line'!$K$2:$K$4001,$X447))</f>
        <v/>
      </c>
      <c r="J447" s="20" t="str">
        <f aca="false">IF($X447="","",INDEX('Per Line'!$L$2:$L$4001,$X447))</f>
        <v/>
      </c>
      <c r="K447" s="20" t="str">
        <f aca="false">IF($X447="","",INDEX('Per Line'!$M$2:$M$4001,$X447))</f>
        <v/>
      </c>
      <c r="L447" s="22" t="str">
        <f aca="false">IF($X447="","",K447*V447/100)</f>
        <v/>
      </c>
      <c r="M447" s="20" t="str">
        <f aca="false">IF($X447="","",INDEX('Per Line'!$Z$2:$Z$4001,$X447))</f>
        <v/>
      </c>
      <c r="N447" s="23" t="str">
        <f aca="false">IF($X447="","",Settings!$C$7)</f>
        <v/>
      </c>
      <c r="O447" s="22" t="str">
        <f aca="false">IF($X447="","",SUMIFS('Per Line'!$Y$2:$Y$4001,'Per Line'!$D$2:$D$4001,$B447,'Per Line'!$AJ$2:$AJ$4001,0))</f>
        <v/>
      </c>
      <c r="P447" s="22" t="str">
        <f aca="false">IF($X447="","",O447*N447)</f>
        <v/>
      </c>
      <c r="Q447" s="23" t="str">
        <f aca="false">IF($X447="","",Settings!$C$6)</f>
        <v/>
      </c>
      <c r="R447" s="22" t="str">
        <f aca="false">IF($X447="","",SUMIFS('Per Line'!$Y$2:$Y$4001,'Per Line'!$D$2:$D$4001,$B447,'Per Line'!$AJ$2:$AJ$4001,1))</f>
        <v/>
      </c>
      <c r="S447" s="22" t="str">
        <f aca="false">IF($X447="","",R447*Q447)</f>
        <v/>
      </c>
      <c r="T447" s="22" t="str">
        <f aca="false">IF($X447="","",S447+P447)</f>
        <v/>
      </c>
      <c r="U447" s="22" t="str">
        <f aca="false">IF($X447="","",V447-T447)</f>
        <v/>
      </c>
      <c r="V447" s="22" t="str">
        <f aca="false">IF($X447="","",O447+R447)</f>
        <v/>
      </c>
      <c r="W447" s="22" t="str">
        <f aca="false">IF($X447="","",U447-L447)</f>
        <v/>
      </c>
      <c r="X447" s="24" t="str">
        <f aca="false">IF(ROWS($X$2:$X447)&lt;=MAX('Per Line'!$AI$2:$AI$4001),MATCH(ROWS($X$2:$X447),'Per Line'!$AI$2:$AI$4001,0),"")</f>
        <v/>
      </c>
    </row>
    <row r="448" customFormat="false" ht="15" hidden="false" customHeight="false" outlineLevel="0" collapsed="false">
      <c r="A448" s="19"/>
      <c r="B448" s="20" t="str">
        <f aca="false">IF($X448="","",INDEX('Per Line'!$D$2:$D$4001,$X448))</f>
        <v/>
      </c>
      <c r="C448" s="20" t="str">
        <f aca="false">IF($X448="","",INDEX('Per Line'!$C$2:$C$4001,$X448))</f>
        <v/>
      </c>
      <c r="D448" s="20" t="str">
        <f aca="false">IF($X448="","",INDEX('Per Line'!$A$2:$A$4001,$X448))</f>
        <v/>
      </c>
      <c r="E448" s="21" t="str">
        <f aca="false">IF($X448="","",INDEX('Per Line'!$F$2:$F$4001,$X448))</f>
        <v/>
      </c>
      <c r="F448" s="20" t="str">
        <f aca="false">IF($X448="","",INDEX('Per Line'!$G$2:$G$4001,$X448))</f>
        <v/>
      </c>
      <c r="G448" s="20" t="str">
        <f aca="false">IF($X448="","",INDEX('Per Line'!$I$2:$I$4001,$X448))</f>
        <v/>
      </c>
      <c r="H448" s="20" t="str">
        <f aca="false">IF($X448="","",INDEX('Per Line'!$J$2:$J$4001,$X448))</f>
        <v/>
      </c>
      <c r="I448" s="20" t="str">
        <f aca="false">IF($X448="","",INDEX('Per Line'!$K$2:$K$4001,$X448))</f>
        <v/>
      </c>
      <c r="J448" s="20" t="str">
        <f aca="false">IF($X448="","",INDEX('Per Line'!$L$2:$L$4001,$X448))</f>
        <v/>
      </c>
      <c r="K448" s="20" t="str">
        <f aca="false">IF($X448="","",INDEX('Per Line'!$M$2:$M$4001,$X448))</f>
        <v/>
      </c>
      <c r="L448" s="22" t="str">
        <f aca="false">IF($X448="","",K448*V448/100)</f>
        <v/>
      </c>
      <c r="M448" s="20" t="str">
        <f aca="false">IF($X448="","",INDEX('Per Line'!$Z$2:$Z$4001,$X448))</f>
        <v/>
      </c>
      <c r="N448" s="23" t="str">
        <f aca="false">IF($X448="","",Settings!$C$7)</f>
        <v/>
      </c>
      <c r="O448" s="22" t="str">
        <f aca="false">IF($X448="","",SUMIFS('Per Line'!$Y$2:$Y$4001,'Per Line'!$D$2:$D$4001,$B448,'Per Line'!$AJ$2:$AJ$4001,0))</f>
        <v/>
      </c>
      <c r="P448" s="22" t="str">
        <f aca="false">IF($X448="","",O448*N448)</f>
        <v/>
      </c>
      <c r="Q448" s="23" t="str">
        <f aca="false">IF($X448="","",Settings!$C$6)</f>
        <v/>
      </c>
      <c r="R448" s="22" t="str">
        <f aca="false">IF($X448="","",SUMIFS('Per Line'!$Y$2:$Y$4001,'Per Line'!$D$2:$D$4001,$B448,'Per Line'!$AJ$2:$AJ$4001,1))</f>
        <v/>
      </c>
      <c r="S448" s="22" t="str">
        <f aca="false">IF($X448="","",R448*Q448)</f>
        <v/>
      </c>
      <c r="T448" s="22" t="str">
        <f aca="false">IF($X448="","",S448+P448)</f>
        <v/>
      </c>
      <c r="U448" s="22" t="str">
        <f aca="false">IF($X448="","",V448-T448)</f>
        <v/>
      </c>
      <c r="V448" s="22" t="str">
        <f aca="false">IF($X448="","",O448+R448)</f>
        <v/>
      </c>
      <c r="W448" s="22" t="str">
        <f aca="false">IF($X448="","",U448-L448)</f>
        <v/>
      </c>
      <c r="X448" s="24" t="str">
        <f aca="false">IF(ROWS($X$2:$X448)&lt;=MAX('Per Line'!$AI$2:$AI$4001),MATCH(ROWS($X$2:$X448),'Per Line'!$AI$2:$AI$4001,0),"")</f>
        <v/>
      </c>
    </row>
    <row r="449" customFormat="false" ht="15" hidden="false" customHeight="false" outlineLevel="0" collapsed="false">
      <c r="A449" s="19"/>
      <c r="B449" s="20" t="str">
        <f aca="false">IF($X449="","",INDEX('Per Line'!$D$2:$D$4001,$X449))</f>
        <v/>
      </c>
      <c r="C449" s="20" t="str">
        <f aca="false">IF($X449="","",INDEX('Per Line'!$C$2:$C$4001,$X449))</f>
        <v/>
      </c>
      <c r="D449" s="20" t="str">
        <f aca="false">IF($X449="","",INDEX('Per Line'!$A$2:$A$4001,$X449))</f>
        <v/>
      </c>
      <c r="E449" s="21" t="str">
        <f aca="false">IF($X449="","",INDEX('Per Line'!$F$2:$F$4001,$X449))</f>
        <v/>
      </c>
      <c r="F449" s="20" t="str">
        <f aca="false">IF($X449="","",INDEX('Per Line'!$G$2:$G$4001,$X449))</f>
        <v/>
      </c>
      <c r="G449" s="20" t="str">
        <f aca="false">IF($X449="","",INDEX('Per Line'!$I$2:$I$4001,$X449))</f>
        <v/>
      </c>
      <c r="H449" s="20" t="str">
        <f aca="false">IF($X449="","",INDEX('Per Line'!$J$2:$J$4001,$X449))</f>
        <v/>
      </c>
      <c r="I449" s="20" t="str">
        <f aca="false">IF($X449="","",INDEX('Per Line'!$K$2:$K$4001,$X449))</f>
        <v/>
      </c>
      <c r="J449" s="20" t="str">
        <f aca="false">IF($X449="","",INDEX('Per Line'!$L$2:$L$4001,$X449))</f>
        <v/>
      </c>
      <c r="K449" s="20" t="str">
        <f aca="false">IF($X449="","",INDEX('Per Line'!$M$2:$M$4001,$X449))</f>
        <v/>
      </c>
      <c r="L449" s="22" t="str">
        <f aca="false">IF($X449="","",K449*V449/100)</f>
        <v/>
      </c>
      <c r="M449" s="20" t="str">
        <f aca="false">IF($X449="","",INDEX('Per Line'!$Z$2:$Z$4001,$X449))</f>
        <v/>
      </c>
      <c r="N449" s="23" t="str">
        <f aca="false">IF($X449="","",Settings!$C$7)</f>
        <v/>
      </c>
      <c r="O449" s="22" t="str">
        <f aca="false">IF($X449="","",SUMIFS('Per Line'!$Y$2:$Y$4001,'Per Line'!$D$2:$D$4001,$B449,'Per Line'!$AJ$2:$AJ$4001,0))</f>
        <v/>
      </c>
      <c r="P449" s="22" t="str">
        <f aca="false">IF($X449="","",O449*N449)</f>
        <v/>
      </c>
      <c r="Q449" s="23" t="str">
        <f aca="false">IF($X449="","",Settings!$C$6)</f>
        <v/>
      </c>
      <c r="R449" s="22" t="str">
        <f aca="false">IF($X449="","",SUMIFS('Per Line'!$Y$2:$Y$4001,'Per Line'!$D$2:$D$4001,$B449,'Per Line'!$AJ$2:$AJ$4001,1))</f>
        <v/>
      </c>
      <c r="S449" s="22" t="str">
        <f aca="false">IF($X449="","",R449*Q449)</f>
        <v/>
      </c>
      <c r="T449" s="22" t="str">
        <f aca="false">IF($X449="","",S449+P449)</f>
        <v/>
      </c>
      <c r="U449" s="22" t="str">
        <f aca="false">IF($X449="","",V449-T449)</f>
        <v/>
      </c>
      <c r="V449" s="22" t="str">
        <f aca="false">IF($X449="","",O449+R449)</f>
        <v/>
      </c>
      <c r="W449" s="22" t="str">
        <f aca="false">IF($X449="","",U449-L449)</f>
        <v/>
      </c>
      <c r="X449" s="24" t="str">
        <f aca="false">IF(ROWS($X$2:$X449)&lt;=MAX('Per Line'!$AI$2:$AI$4001),MATCH(ROWS($X$2:$X449),'Per Line'!$AI$2:$AI$4001,0),"")</f>
        <v/>
      </c>
    </row>
    <row r="450" customFormat="false" ht="15" hidden="false" customHeight="false" outlineLevel="0" collapsed="false">
      <c r="A450" s="19"/>
      <c r="B450" s="20" t="str">
        <f aca="false">IF($X450="","",INDEX('Per Line'!$D$2:$D$4001,$X450))</f>
        <v/>
      </c>
      <c r="C450" s="20" t="str">
        <f aca="false">IF($X450="","",INDEX('Per Line'!$C$2:$C$4001,$X450))</f>
        <v/>
      </c>
      <c r="D450" s="20" t="str">
        <f aca="false">IF($X450="","",INDEX('Per Line'!$A$2:$A$4001,$X450))</f>
        <v/>
      </c>
      <c r="E450" s="21" t="str">
        <f aca="false">IF($X450="","",INDEX('Per Line'!$F$2:$F$4001,$X450))</f>
        <v/>
      </c>
      <c r="F450" s="20" t="str">
        <f aca="false">IF($X450="","",INDEX('Per Line'!$G$2:$G$4001,$X450))</f>
        <v/>
      </c>
      <c r="G450" s="20" t="str">
        <f aca="false">IF($X450="","",INDEX('Per Line'!$I$2:$I$4001,$X450))</f>
        <v/>
      </c>
      <c r="H450" s="20" t="str">
        <f aca="false">IF($X450="","",INDEX('Per Line'!$J$2:$J$4001,$X450))</f>
        <v/>
      </c>
      <c r="I450" s="20" t="str">
        <f aca="false">IF($X450="","",INDEX('Per Line'!$K$2:$K$4001,$X450))</f>
        <v/>
      </c>
      <c r="J450" s="20" t="str">
        <f aca="false">IF($X450="","",INDEX('Per Line'!$L$2:$L$4001,$X450))</f>
        <v/>
      </c>
      <c r="K450" s="20" t="str">
        <f aca="false">IF($X450="","",INDEX('Per Line'!$M$2:$M$4001,$X450))</f>
        <v/>
      </c>
      <c r="L450" s="22" t="str">
        <f aca="false">IF($X450="","",K450*V450/100)</f>
        <v/>
      </c>
      <c r="M450" s="20" t="str">
        <f aca="false">IF($X450="","",INDEX('Per Line'!$Z$2:$Z$4001,$X450))</f>
        <v/>
      </c>
      <c r="N450" s="23" t="str">
        <f aca="false">IF($X450="","",Settings!$C$7)</f>
        <v/>
      </c>
      <c r="O450" s="22" t="str">
        <f aca="false">IF($X450="","",SUMIFS('Per Line'!$Y$2:$Y$4001,'Per Line'!$D$2:$D$4001,$B450,'Per Line'!$AJ$2:$AJ$4001,0))</f>
        <v/>
      </c>
      <c r="P450" s="22" t="str">
        <f aca="false">IF($X450="","",O450*N450)</f>
        <v/>
      </c>
      <c r="Q450" s="23" t="str">
        <f aca="false">IF($X450="","",Settings!$C$6)</f>
        <v/>
      </c>
      <c r="R450" s="22" t="str">
        <f aca="false">IF($X450="","",SUMIFS('Per Line'!$Y$2:$Y$4001,'Per Line'!$D$2:$D$4001,$B450,'Per Line'!$AJ$2:$AJ$4001,1))</f>
        <v/>
      </c>
      <c r="S450" s="22" t="str">
        <f aca="false">IF($X450="","",R450*Q450)</f>
        <v/>
      </c>
      <c r="T450" s="22" t="str">
        <f aca="false">IF($X450="","",S450+P450)</f>
        <v/>
      </c>
      <c r="U450" s="22" t="str">
        <f aca="false">IF($X450="","",V450-T450)</f>
        <v/>
      </c>
      <c r="V450" s="22" t="str">
        <f aca="false">IF($X450="","",O450+R450)</f>
        <v/>
      </c>
      <c r="W450" s="22" t="str">
        <f aca="false">IF($X450="","",U450-L450)</f>
        <v/>
      </c>
      <c r="X450" s="24" t="str">
        <f aca="false">IF(ROWS($X$2:$X450)&lt;=MAX('Per Line'!$AI$2:$AI$4001),MATCH(ROWS($X$2:$X450),'Per Line'!$AI$2:$AI$4001,0),"")</f>
        <v/>
      </c>
    </row>
    <row r="451" customFormat="false" ht="15" hidden="false" customHeight="false" outlineLevel="0" collapsed="false">
      <c r="A451" s="19"/>
      <c r="B451" s="20" t="str">
        <f aca="false">IF($X451="","",INDEX('Per Line'!$D$2:$D$4001,$X451))</f>
        <v/>
      </c>
      <c r="C451" s="20" t="str">
        <f aca="false">IF($X451="","",INDEX('Per Line'!$C$2:$C$4001,$X451))</f>
        <v/>
      </c>
      <c r="D451" s="20" t="str">
        <f aca="false">IF($X451="","",INDEX('Per Line'!$A$2:$A$4001,$X451))</f>
        <v/>
      </c>
      <c r="E451" s="21" t="str">
        <f aca="false">IF($X451="","",INDEX('Per Line'!$F$2:$F$4001,$X451))</f>
        <v/>
      </c>
      <c r="F451" s="20" t="str">
        <f aca="false">IF($X451="","",INDEX('Per Line'!$G$2:$G$4001,$X451))</f>
        <v/>
      </c>
      <c r="G451" s="20" t="str">
        <f aca="false">IF($X451="","",INDEX('Per Line'!$I$2:$I$4001,$X451))</f>
        <v/>
      </c>
      <c r="H451" s="20" t="str">
        <f aca="false">IF($X451="","",INDEX('Per Line'!$J$2:$J$4001,$X451))</f>
        <v/>
      </c>
      <c r="I451" s="20" t="str">
        <f aca="false">IF($X451="","",INDEX('Per Line'!$K$2:$K$4001,$X451))</f>
        <v/>
      </c>
      <c r="J451" s="20" t="str">
        <f aca="false">IF($X451="","",INDEX('Per Line'!$L$2:$L$4001,$X451))</f>
        <v/>
      </c>
      <c r="K451" s="20" t="str">
        <f aca="false">IF($X451="","",INDEX('Per Line'!$M$2:$M$4001,$X451))</f>
        <v/>
      </c>
      <c r="L451" s="22" t="str">
        <f aca="false">IF($X451="","",K451*V451/100)</f>
        <v/>
      </c>
      <c r="M451" s="20" t="str">
        <f aca="false">IF($X451="","",INDEX('Per Line'!$Z$2:$Z$4001,$X451))</f>
        <v/>
      </c>
      <c r="N451" s="23" t="str">
        <f aca="false">IF($X451="","",Settings!$C$7)</f>
        <v/>
      </c>
      <c r="O451" s="22" t="str">
        <f aca="false">IF($X451="","",SUMIFS('Per Line'!$Y$2:$Y$4001,'Per Line'!$D$2:$D$4001,$B451,'Per Line'!$AJ$2:$AJ$4001,0))</f>
        <v/>
      </c>
      <c r="P451" s="22" t="str">
        <f aca="false">IF($X451="","",O451*N451)</f>
        <v/>
      </c>
      <c r="Q451" s="23" t="str">
        <f aca="false">IF($X451="","",Settings!$C$6)</f>
        <v/>
      </c>
      <c r="R451" s="22" t="str">
        <f aca="false">IF($X451="","",SUMIFS('Per Line'!$Y$2:$Y$4001,'Per Line'!$D$2:$D$4001,$B451,'Per Line'!$AJ$2:$AJ$4001,1))</f>
        <v/>
      </c>
      <c r="S451" s="22" t="str">
        <f aca="false">IF($X451="","",R451*Q451)</f>
        <v/>
      </c>
      <c r="T451" s="22" t="str">
        <f aca="false">IF($X451="","",S451+P451)</f>
        <v/>
      </c>
      <c r="U451" s="22" t="str">
        <f aca="false">IF($X451="","",V451-T451)</f>
        <v/>
      </c>
      <c r="V451" s="22" t="str">
        <f aca="false">IF($X451="","",O451+R451)</f>
        <v/>
      </c>
      <c r="W451" s="22" t="str">
        <f aca="false">IF($X451="","",U451-L451)</f>
        <v/>
      </c>
      <c r="X451" s="24" t="str">
        <f aca="false">IF(ROWS($X$2:$X451)&lt;=MAX('Per Line'!$AI$2:$AI$4001),MATCH(ROWS($X$2:$X451),'Per Line'!$AI$2:$AI$4001,0),"")</f>
        <v/>
      </c>
    </row>
    <row r="452" customFormat="false" ht="15" hidden="false" customHeight="false" outlineLevel="0" collapsed="false">
      <c r="A452" s="19"/>
      <c r="B452" s="20" t="str">
        <f aca="false">IF($X452="","",INDEX('Per Line'!$D$2:$D$4001,$X452))</f>
        <v/>
      </c>
      <c r="C452" s="20" t="str">
        <f aca="false">IF($X452="","",INDEX('Per Line'!$C$2:$C$4001,$X452))</f>
        <v/>
      </c>
      <c r="D452" s="20" t="str">
        <f aca="false">IF($X452="","",INDEX('Per Line'!$A$2:$A$4001,$X452))</f>
        <v/>
      </c>
      <c r="E452" s="21" t="str">
        <f aca="false">IF($X452="","",INDEX('Per Line'!$F$2:$F$4001,$X452))</f>
        <v/>
      </c>
      <c r="F452" s="20" t="str">
        <f aca="false">IF($X452="","",INDEX('Per Line'!$G$2:$G$4001,$X452))</f>
        <v/>
      </c>
      <c r="G452" s="20" t="str">
        <f aca="false">IF($X452="","",INDEX('Per Line'!$I$2:$I$4001,$X452))</f>
        <v/>
      </c>
      <c r="H452" s="20" t="str">
        <f aca="false">IF($X452="","",INDEX('Per Line'!$J$2:$J$4001,$X452))</f>
        <v/>
      </c>
      <c r="I452" s="20" t="str">
        <f aca="false">IF($X452="","",INDEX('Per Line'!$K$2:$K$4001,$X452))</f>
        <v/>
      </c>
      <c r="J452" s="20" t="str">
        <f aca="false">IF($X452="","",INDEX('Per Line'!$L$2:$L$4001,$X452))</f>
        <v/>
      </c>
      <c r="K452" s="20" t="str">
        <f aca="false">IF($X452="","",INDEX('Per Line'!$M$2:$M$4001,$X452))</f>
        <v/>
      </c>
      <c r="L452" s="22" t="str">
        <f aca="false">IF($X452="","",K452*V452/100)</f>
        <v/>
      </c>
      <c r="M452" s="20" t="str">
        <f aca="false">IF($X452="","",INDEX('Per Line'!$Z$2:$Z$4001,$X452))</f>
        <v/>
      </c>
      <c r="N452" s="23" t="str">
        <f aca="false">IF($X452="","",Settings!$C$7)</f>
        <v/>
      </c>
      <c r="O452" s="22" t="str">
        <f aca="false">IF($X452="","",SUMIFS('Per Line'!$Y$2:$Y$4001,'Per Line'!$D$2:$D$4001,$B452,'Per Line'!$AJ$2:$AJ$4001,0))</f>
        <v/>
      </c>
      <c r="P452" s="22" t="str">
        <f aca="false">IF($X452="","",O452*N452)</f>
        <v/>
      </c>
      <c r="Q452" s="23" t="str">
        <f aca="false">IF($X452="","",Settings!$C$6)</f>
        <v/>
      </c>
      <c r="R452" s="22" t="str">
        <f aca="false">IF($X452="","",SUMIFS('Per Line'!$Y$2:$Y$4001,'Per Line'!$D$2:$D$4001,$B452,'Per Line'!$AJ$2:$AJ$4001,1))</f>
        <v/>
      </c>
      <c r="S452" s="22" t="str">
        <f aca="false">IF($X452="","",R452*Q452)</f>
        <v/>
      </c>
      <c r="T452" s="22" t="str">
        <f aca="false">IF($X452="","",S452+P452)</f>
        <v/>
      </c>
      <c r="U452" s="22" t="str">
        <f aca="false">IF($X452="","",V452-T452)</f>
        <v/>
      </c>
      <c r="V452" s="22" t="str">
        <f aca="false">IF($X452="","",O452+R452)</f>
        <v/>
      </c>
      <c r="W452" s="22" t="str">
        <f aca="false">IF($X452="","",U452-L452)</f>
        <v/>
      </c>
      <c r="X452" s="24" t="str">
        <f aca="false">IF(ROWS($X$2:$X452)&lt;=MAX('Per Line'!$AI$2:$AI$4001),MATCH(ROWS($X$2:$X452),'Per Line'!$AI$2:$AI$4001,0),"")</f>
        <v/>
      </c>
    </row>
    <row r="453" customFormat="false" ht="15" hidden="false" customHeight="false" outlineLevel="0" collapsed="false">
      <c r="A453" s="19"/>
      <c r="B453" s="20" t="str">
        <f aca="false">IF($X453="","",INDEX('Per Line'!$D$2:$D$4001,$X453))</f>
        <v/>
      </c>
      <c r="C453" s="20" t="str">
        <f aca="false">IF($X453="","",INDEX('Per Line'!$C$2:$C$4001,$X453))</f>
        <v/>
      </c>
      <c r="D453" s="20" t="str">
        <f aca="false">IF($X453="","",INDEX('Per Line'!$A$2:$A$4001,$X453))</f>
        <v/>
      </c>
      <c r="E453" s="21" t="str">
        <f aca="false">IF($X453="","",INDEX('Per Line'!$F$2:$F$4001,$X453))</f>
        <v/>
      </c>
      <c r="F453" s="20" t="str">
        <f aca="false">IF($X453="","",INDEX('Per Line'!$G$2:$G$4001,$X453))</f>
        <v/>
      </c>
      <c r="G453" s="20" t="str">
        <f aca="false">IF($X453="","",INDEX('Per Line'!$I$2:$I$4001,$X453))</f>
        <v/>
      </c>
      <c r="H453" s="20" t="str">
        <f aca="false">IF($X453="","",INDEX('Per Line'!$J$2:$J$4001,$X453))</f>
        <v/>
      </c>
      <c r="I453" s="20" t="str">
        <f aca="false">IF($X453="","",INDEX('Per Line'!$K$2:$K$4001,$X453))</f>
        <v/>
      </c>
      <c r="J453" s="20" t="str">
        <f aca="false">IF($X453="","",INDEX('Per Line'!$L$2:$L$4001,$X453))</f>
        <v/>
      </c>
      <c r="K453" s="20" t="str">
        <f aca="false">IF($X453="","",INDEX('Per Line'!$M$2:$M$4001,$X453))</f>
        <v/>
      </c>
      <c r="L453" s="22" t="str">
        <f aca="false">IF($X453="","",K453*V453/100)</f>
        <v/>
      </c>
      <c r="M453" s="20" t="str">
        <f aca="false">IF($X453="","",INDEX('Per Line'!$Z$2:$Z$4001,$X453))</f>
        <v/>
      </c>
      <c r="N453" s="23" t="str">
        <f aca="false">IF($X453="","",Settings!$C$7)</f>
        <v/>
      </c>
      <c r="O453" s="22" t="str">
        <f aca="false">IF($X453="","",SUMIFS('Per Line'!$Y$2:$Y$4001,'Per Line'!$D$2:$D$4001,$B453,'Per Line'!$AJ$2:$AJ$4001,0))</f>
        <v/>
      </c>
      <c r="P453" s="22" t="str">
        <f aca="false">IF($X453="","",O453*N453)</f>
        <v/>
      </c>
      <c r="Q453" s="23" t="str">
        <f aca="false">IF($X453="","",Settings!$C$6)</f>
        <v/>
      </c>
      <c r="R453" s="22" t="str">
        <f aca="false">IF($X453="","",SUMIFS('Per Line'!$Y$2:$Y$4001,'Per Line'!$D$2:$D$4001,$B453,'Per Line'!$AJ$2:$AJ$4001,1))</f>
        <v/>
      </c>
      <c r="S453" s="22" t="str">
        <f aca="false">IF($X453="","",R453*Q453)</f>
        <v/>
      </c>
      <c r="T453" s="22" t="str">
        <f aca="false">IF($X453="","",S453+P453)</f>
        <v/>
      </c>
      <c r="U453" s="22" t="str">
        <f aca="false">IF($X453="","",V453-T453)</f>
        <v/>
      </c>
      <c r="V453" s="22" t="str">
        <f aca="false">IF($X453="","",O453+R453)</f>
        <v/>
      </c>
      <c r="W453" s="22" t="str">
        <f aca="false">IF($X453="","",U453-L453)</f>
        <v/>
      </c>
      <c r="X453" s="24" t="str">
        <f aca="false">IF(ROWS($X$2:$X453)&lt;=MAX('Per Line'!$AI$2:$AI$4001),MATCH(ROWS($X$2:$X453),'Per Line'!$AI$2:$AI$4001,0),"")</f>
        <v/>
      </c>
    </row>
    <row r="454" customFormat="false" ht="15" hidden="false" customHeight="false" outlineLevel="0" collapsed="false">
      <c r="A454" s="19"/>
      <c r="B454" s="20" t="str">
        <f aca="false">IF($X454="","",INDEX('Per Line'!$D$2:$D$4001,$X454))</f>
        <v/>
      </c>
      <c r="C454" s="20" t="str">
        <f aca="false">IF($X454="","",INDEX('Per Line'!$C$2:$C$4001,$X454))</f>
        <v/>
      </c>
      <c r="D454" s="20" t="str">
        <f aca="false">IF($X454="","",INDEX('Per Line'!$A$2:$A$4001,$X454))</f>
        <v/>
      </c>
      <c r="E454" s="21" t="str">
        <f aca="false">IF($X454="","",INDEX('Per Line'!$F$2:$F$4001,$X454))</f>
        <v/>
      </c>
      <c r="F454" s="20" t="str">
        <f aca="false">IF($X454="","",INDEX('Per Line'!$G$2:$G$4001,$X454))</f>
        <v/>
      </c>
      <c r="G454" s="20" t="str">
        <f aca="false">IF($X454="","",INDEX('Per Line'!$I$2:$I$4001,$X454))</f>
        <v/>
      </c>
      <c r="H454" s="20" t="str">
        <f aca="false">IF($X454="","",INDEX('Per Line'!$J$2:$J$4001,$X454))</f>
        <v/>
      </c>
      <c r="I454" s="20" t="str">
        <f aca="false">IF($X454="","",INDEX('Per Line'!$K$2:$K$4001,$X454))</f>
        <v/>
      </c>
      <c r="J454" s="20" t="str">
        <f aca="false">IF($X454="","",INDEX('Per Line'!$L$2:$L$4001,$X454))</f>
        <v/>
      </c>
      <c r="K454" s="20" t="str">
        <f aca="false">IF($X454="","",INDEX('Per Line'!$M$2:$M$4001,$X454))</f>
        <v/>
      </c>
      <c r="L454" s="22" t="str">
        <f aca="false">IF($X454="","",K454*V454/100)</f>
        <v/>
      </c>
      <c r="M454" s="20" t="str">
        <f aca="false">IF($X454="","",INDEX('Per Line'!$Z$2:$Z$4001,$X454))</f>
        <v/>
      </c>
      <c r="N454" s="23" t="str">
        <f aca="false">IF($X454="","",Settings!$C$7)</f>
        <v/>
      </c>
      <c r="O454" s="22" t="str">
        <f aca="false">IF($X454="","",SUMIFS('Per Line'!$Y$2:$Y$4001,'Per Line'!$D$2:$D$4001,$B454,'Per Line'!$AJ$2:$AJ$4001,0))</f>
        <v/>
      </c>
      <c r="P454" s="22" t="str">
        <f aca="false">IF($X454="","",O454*N454)</f>
        <v/>
      </c>
      <c r="Q454" s="23" t="str">
        <f aca="false">IF($X454="","",Settings!$C$6)</f>
        <v/>
      </c>
      <c r="R454" s="22" t="str">
        <f aca="false">IF($X454="","",SUMIFS('Per Line'!$Y$2:$Y$4001,'Per Line'!$D$2:$D$4001,$B454,'Per Line'!$AJ$2:$AJ$4001,1))</f>
        <v/>
      </c>
      <c r="S454" s="22" t="str">
        <f aca="false">IF($X454="","",R454*Q454)</f>
        <v/>
      </c>
      <c r="T454" s="22" t="str">
        <f aca="false">IF($X454="","",S454+P454)</f>
        <v/>
      </c>
      <c r="U454" s="22" t="str">
        <f aca="false">IF($X454="","",V454-T454)</f>
        <v/>
      </c>
      <c r="V454" s="22" t="str">
        <f aca="false">IF($X454="","",O454+R454)</f>
        <v/>
      </c>
      <c r="W454" s="22" t="str">
        <f aca="false">IF($X454="","",U454-L454)</f>
        <v/>
      </c>
      <c r="X454" s="24" t="str">
        <f aca="false">IF(ROWS($X$2:$X454)&lt;=MAX('Per Line'!$AI$2:$AI$4001),MATCH(ROWS($X$2:$X454),'Per Line'!$AI$2:$AI$4001,0),"")</f>
        <v/>
      </c>
    </row>
    <row r="455" customFormat="false" ht="15" hidden="false" customHeight="false" outlineLevel="0" collapsed="false">
      <c r="A455" s="19"/>
      <c r="B455" s="20" t="str">
        <f aca="false">IF($X455="","",INDEX('Per Line'!$D$2:$D$4001,$X455))</f>
        <v/>
      </c>
      <c r="C455" s="20" t="str">
        <f aca="false">IF($X455="","",INDEX('Per Line'!$C$2:$C$4001,$X455))</f>
        <v/>
      </c>
      <c r="D455" s="20" t="str">
        <f aca="false">IF($X455="","",INDEX('Per Line'!$A$2:$A$4001,$X455))</f>
        <v/>
      </c>
      <c r="E455" s="21" t="str">
        <f aca="false">IF($X455="","",INDEX('Per Line'!$F$2:$F$4001,$X455))</f>
        <v/>
      </c>
      <c r="F455" s="20" t="str">
        <f aca="false">IF($X455="","",INDEX('Per Line'!$G$2:$G$4001,$X455))</f>
        <v/>
      </c>
      <c r="G455" s="20" t="str">
        <f aca="false">IF($X455="","",INDEX('Per Line'!$I$2:$I$4001,$X455))</f>
        <v/>
      </c>
      <c r="H455" s="20" t="str">
        <f aca="false">IF($X455="","",INDEX('Per Line'!$J$2:$J$4001,$X455))</f>
        <v/>
      </c>
      <c r="I455" s="20" t="str">
        <f aca="false">IF($X455="","",INDEX('Per Line'!$K$2:$K$4001,$X455))</f>
        <v/>
      </c>
      <c r="J455" s="20" t="str">
        <f aca="false">IF($X455="","",INDEX('Per Line'!$L$2:$L$4001,$X455))</f>
        <v/>
      </c>
      <c r="K455" s="20" t="str">
        <f aca="false">IF($X455="","",INDEX('Per Line'!$M$2:$M$4001,$X455))</f>
        <v/>
      </c>
      <c r="L455" s="22" t="str">
        <f aca="false">IF($X455="","",K455*V455/100)</f>
        <v/>
      </c>
      <c r="M455" s="20" t="str">
        <f aca="false">IF($X455="","",INDEX('Per Line'!$Z$2:$Z$4001,$X455))</f>
        <v/>
      </c>
      <c r="N455" s="23" t="str">
        <f aca="false">IF($X455="","",Settings!$C$7)</f>
        <v/>
      </c>
      <c r="O455" s="22" t="str">
        <f aca="false">IF($X455="","",SUMIFS('Per Line'!$Y$2:$Y$4001,'Per Line'!$D$2:$D$4001,$B455,'Per Line'!$AJ$2:$AJ$4001,0))</f>
        <v/>
      </c>
      <c r="P455" s="22" t="str">
        <f aca="false">IF($X455="","",O455*N455)</f>
        <v/>
      </c>
      <c r="Q455" s="23" t="str">
        <f aca="false">IF($X455="","",Settings!$C$6)</f>
        <v/>
      </c>
      <c r="R455" s="22" t="str">
        <f aca="false">IF($X455="","",SUMIFS('Per Line'!$Y$2:$Y$4001,'Per Line'!$D$2:$D$4001,$B455,'Per Line'!$AJ$2:$AJ$4001,1))</f>
        <v/>
      </c>
      <c r="S455" s="22" t="str">
        <f aca="false">IF($X455="","",R455*Q455)</f>
        <v/>
      </c>
      <c r="T455" s="22" t="str">
        <f aca="false">IF($X455="","",S455+P455)</f>
        <v/>
      </c>
      <c r="U455" s="22" t="str">
        <f aca="false">IF($X455="","",V455-T455)</f>
        <v/>
      </c>
      <c r="V455" s="22" t="str">
        <f aca="false">IF($X455="","",O455+R455)</f>
        <v/>
      </c>
      <c r="W455" s="22" t="str">
        <f aca="false">IF($X455="","",U455-L455)</f>
        <v/>
      </c>
      <c r="X455" s="24" t="str">
        <f aca="false">IF(ROWS($X$2:$X455)&lt;=MAX('Per Line'!$AI$2:$AI$4001),MATCH(ROWS($X$2:$X455),'Per Line'!$AI$2:$AI$4001,0),"")</f>
        <v/>
      </c>
    </row>
    <row r="456" customFormat="false" ht="15" hidden="false" customHeight="false" outlineLevel="0" collapsed="false">
      <c r="A456" s="19"/>
      <c r="B456" s="20" t="str">
        <f aca="false">IF($X456="","",INDEX('Per Line'!$D$2:$D$4001,$X456))</f>
        <v/>
      </c>
      <c r="C456" s="20" t="str">
        <f aca="false">IF($X456="","",INDEX('Per Line'!$C$2:$C$4001,$X456))</f>
        <v/>
      </c>
      <c r="D456" s="20" t="str">
        <f aca="false">IF($X456="","",INDEX('Per Line'!$A$2:$A$4001,$X456))</f>
        <v/>
      </c>
      <c r="E456" s="21" t="str">
        <f aca="false">IF($X456="","",INDEX('Per Line'!$F$2:$F$4001,$X456))</f>
        <v/>
      </c>
      <c r="F456" s="20" t="str">
        <f aca="false">IF($X456="","",INDEX('Per Line'!$G$2:$G$4001,$X456))</f>
        <v/>
      </c>
      <c r="G456" s="20" t="str">
        <f aca="false">IF($X456="","",INDEX('Per Line'!$I$2:$I$4001,$X456))</f>
        <v/>
      </c>
      <c r="H456" s="20" t="str">
        <f aca="false">IF($X456="","",INDEX('Per Line'!$J$2:$J$4001,$X456))</f>
        <v/>
      </c>
      <c r="I456" s="20" t="str">
        <f aca="false">IF($X456="","",INDEX('Per Line'!$K$2:$K$4001,$X456))</f>
        <v/>
      </c>
      <c r="J456" s="20" t="str">
        <f aca="false">IF($X456="","",INDEX('Per Line'!$L$2:$L$4001,$X456))</f>
        <v/>
      </c>
      <c r="K456" s="20" t="str">
        <f aca="false">IF($X456="","",INDEX('Per Line'!$M$2:$M$4001,$X456))</f>
        <v/>
      </c>
      <c r="L456" s="22" t="str">
        <f aca="false">IF($X456="","",K456*V456/100)</f>
        <v/>
      </c>
      <c r="M456" s="20" t="str">
        <f aca="false">IF($X456="","",INDEX('Per Line'!$Z$2:$Z$4001,$X456))</f>
        <v/>
      </c>
      <c r="N456" s="23" t="str">
        <f aca="false">IF($X456="","",Settings!$C$7)</f>
        <v/>
      </c>
      <c r="O456" s="22" t="str">
        <f aca="false">IF($X456="","",SUMIFS('Per Line'!$Y$2:$Y$4001,'Per Line'!$D$2:$D$4001,$B456,'Per Line'!$AJ$2:$AJ$4001,0))</f>
        <v/>
      </c>
      <c r="P456" s="22" t="str">
        <f aca="false">IF($X456="","",O456*N456)</f>
        <v/>
      </c>
      <c r="Q456" s="23" t="str">
        <f aca="false">IF($X456="","",Settings!$C$6)</f>
        <v/>
      </c>
      <c r="R456" s="22" t="str">
        <f aca="false">IF($X456="","",SUMIFS('Per Line'!$Y$2:$Y$4001,'Per Line'!$D$2:$D$4001,$B456,'Per Line'!$AJ$2:$AJ$4001,1))</f>
        <v/>
      </c>
      <c r="S456" s="22" t="str">
        <f aca="false">IF($X456="","",R456*Q456)</f>
        <v/>
      </c>
      <c r="T456" s="22" t="str">
        <f aca="false">IF($X456="","",S456+P456)</f>
        <v/>
      </c>
      <c r="U456" s="22" t="str">
        <f aca="false">IF($X456="","",V456-T456)</f>
        <v/>
      </c>
      <c r="V456" s="22" t="str">
        <f aca="false">IF($X456="","",O456+R456)</f>
        <v/>
      </c>
      <c r="W456" s="22" t="str">
        <f aca="false">IF($X456="","",U456-L456)</f>
        <v/>
      </c>
      <c r="X456" s="24" t="str">
        <f aca="false">IF(ROWS($X$2:$X456)&lt;=MAX('Per Line'!$AI$2:$AI$4001),MATCH(ROWS($X$2:$X456),'Per Line'!$AI$2:$AI$4001,0),"")</f>
        <v/>
      </c>
    </row>
    <row r="457" customFormat="false" ht="15" hidden="false" customHeight="false" outlineLevel="0" collapsed="false">
      <c r="A457" s="19"/>
      <c r="B457" s="20" t="str">
        <f aca="false">IF($X457="","",INDEX('Per Line'!$D$2:$D$4001,$X457))</f>
        <v/>
      </c>
      <c r="C457" s="20" t="str">
        <f aca="false">IF($X457="","",INDEX('Per Line'!$C$2:$C$4001,$X457))</f>
        <v/>
      </c>
      <c r="D457" s="20" t="str">
        <f aca="false">IF($X457="","",INDEX('Per Line'!$A$2:$A$4001,$X457))</f>
        <v/>
      </c>
      <c r="E457" s="21" t="str">
        <f aca="false">IF($X457="","",INDEX('Per Line'!$F$2:$F$4001,$X457))</f>
        <v/>
      </c>
      <c r="F457" s="20" t="str">
        <f aca="false">IF($X457="","",INDEX('Per Line'!$G$2:$G$4001,$X457))</f>
        <v/>
      </c>
      <c r="G457" s="20" t="str">
        <f aca="false">IF($X457="","",INDEX('Per Line'!$I$2:$I$4001,$X457))</f>
        <v/>
      </c>
      <c r="H457" s="20" t="str">
        <f aca="false">IF($X457="","",INDEX('Per Line'!$J$2:$J$4001,$X457))</f>
        <v/>
      </c>
      <c r="I457" s="20" t="str">
        <f aca="false">IF($X457="","",INDEX('Per Line'!$K$2:$K$4001,$X457))</f>
        <v/>
      </c>
      <c r="J457" s="20" t="str">
        <f aca="false">IF($X457="","",INDEX('Per Line'!$L$2:$L$4001,$X457))</f>
        <v/>
      </c>
      <c r="K457" s="20" t="str">
        <f aca="false">IF($X457="","",INDEX('Per Line'!$M$2:$M$4001,$X457))</f>
        <v/>
      </c>
      <c r="L457" s="22" t="str">
        <f aca="false">IF($X457="","",K457*V457/100)</f>
        <v/>
      </c>
      <c r="M457" s="20" t="str">
        <f aca="false">IF($X457="","",INDEX('Per Line'!$Z$2:$Z$4001,$X457))</f>
        <v/>
      </c>
      <c r="N457" s="23" t="str">
        <f aca="false">IF($X457="","",Settings!$C$7)</f>
        <v/>
      </c>
      <c r="O457" s="22" t="str">
        <f aca="false">IF($X457="","",SUMIFS('Per Line'!$Y$2:$Y$4001,'Per Line'!$D$2:$D$4001,$B457,'Per Line'!$AJ$2:$AJ$4001,0))</f>
        <v/>
      </c>
      <c r="P457" s="22" t="str">
        <f aca="false">IF($X457="","",O457*N457)</f>
        <v/>
      </c>
      <c r="Q457" s="23" t="str">
        <f aca="false">IF($X457="","",Settings!$C$6)</f>
        <v/>
      </c>
      <c r="R457" s="22" t="str">
        <f aca="false">IF($X457="","",SUMIFS('Per Line'!$Y$2:$Y$4001,'Per Line'!$D$2:$D$4001,$B457,'Per Line'!$AJ$2:$AJ$4001,1))</f>
        <v/>
      </c>
      <c r="S457" s="22" t="str">
        <f aca="false">IF($X457="","",R457*Q457)</f>
        <v/>
      </c>
      <c r="T457" s="22" t="str">
        <f aca="false">IF($X457="","",S457+P457)</f>
        <v/>
      </c>
      <c r="U457" s="22" t="str">
        <f aca="false">IF($X457="","",V457-T457)</f>
        <v/>
      </c>
      <c r="V457" s="22" t="str">
        <f aca="false">IF($X457="","",O457+R457)</f>
        <v/>
      </c>
      <c r="W457" s="22" t="str">
        <f aca="false">IF($X457="","",U457-L457)</f>
        <v/>
      </c>
      <c r="X457" s="24" t="str">
        <f aca="false">IF(ROWS($X$2:$X457)&lt;=MAX('Per Line'!$AI$2:$AI$4001),MATCH(ROWS($X$2:$X457),'Per Line'!$AI$2:$AI$4001,0),"")</f>
        <v/>
      </c>
    </row>
    <row r="458" customFormat="false" ht="15" hidden="false" customHeight="false" outlineLevel="0" collapsed="false">
      <c r="A458" s="19"/>
      <c r="B458" s="20" t="str">
        <f aca="false">IF($X458="","",INDEX('Per Line'!$D$2:$D$4001,$X458))</f>
        <v/>
      </c>
      <c r="C458" s="20" t="str">
        <f aca="false">IF($X458="","",INDEX('Per Line'!$C$2:$C$4001,$X458))</f>
        <v/>
      </c>
      <c r="D458" s="20" t="str">
        <f aca="false">IF($X458="","",INDEX('Per Line'!$A$2:$A$4001,$X458))</f>
        <v/>
      </c>
      <c r="E458" s="21" t="str">
        <f aca="false">IF($X458="","",INDEX('Per Line'!$F$2:$F$4001,$X458))</f>
        <v/>
      </c>
      <c r="F458" s="20" t="str">
        <f aca="false">IF($X458="","",INDEX('Per Line'!$G$2:$G$4001,$X458))</f>
        <v/>
      </c>
      <c r="G458" s="20" t="str">
        <f aca="false">IF($X458="","",INDEX('Per Line'!$I$2:$I$4001,$X458))</f>
        <v/>
      </c>
      <c r="H458" s="20" t="str">
        <f aca="false">IF($X458="","",INDEX('Per Line'!$J$2:$J$4001,$X458))</f>
        <v/>
      </c>
      <c r="I458" s="20" t="str">
        <f aca="false">IF($X458="","",INDEX('Per Line'!$K$2:$K$4001,$X458))</f>
        <v/>
      </c>
      <c r="J458" s="20" t="str">
        <f aca="false">IF($X458="","",INDEX('Per Line'!$L$2:$L$4001,$X458))</f>
        <v/>
      </c>
      <c r="K458" s="20" t="str">
        <f aca="false">IF($X458="","",INDEX('Per Line'!$M$2:$M$4001,$X458))</f>
        <v/>
      </c>
      <c r="L458" s="22" t="str">
        <f aca="false">IF($X458="","",K458*V458/100)</f>
        <v/>
      </c>
      <c r="M458" s="20" t="str">
        <f aca="false">IF($X458="","",INDEX('Per Line'!$Z$2:$Z$4001,$X458))</f>
        <v/>
      </c>
      <c r="N458" s="23" t="str">
        <f aca="false">IF($X458="","",Settings!$C$7)</f>
        <v/>
      </c>
      <c r="O458" s="22" t="str">
        <f aca="false">IF($X458="","",SUMIFS('Per Line'!$Y$2:$Y$4001,'Per Line'!$D$2:$D$4001,$B458,'Per Line'!$AJ$2:$AJ$4001,0))</f>
        <v/>
      </c>
      <c r="P458" s="22" t="str">
        <f aca="false">IF($X458="","",O458*N458)</f>
        <v/>
      </c>
      <c r="Q458" s="23" t="str">
        <f aca="false">IF($X458="","",Settings!$C$6)</f>
        <v/>
      </c>
      <c r="R458" s="22" t="str">
        <f aca="false">IF($X458="","",SUMIFS('Per Line'!$Y$2:$Y$4001,'Per Line'!$D$2:$D$4001,$B458,'Per Line'!$AJ$2:$AJ$4001,1))</f>
        <v/>
      </c>
      <c r="S458" s="22" t="str">
        <f aca="false">IF($X458="","",R458*Q458)</f>
        <v/>
      </c>
      <c r="T458" s="22" t="str">
        <f aca="false">IF($X458="","",S458+P458)</f>
        <v/>
      </c>
      <c r="U458" s="22" t="str">
        <f aca="false">IF($X458="","",V458-T458)</f>
        <v/>
      </c>
      <c r="V458" s="22" t="str">
        <f aca="false">IF($X458="","",O458+R458)</f>
        <v/>
      </c>
      <c r="W458" s="22" t="str">
        <f aca="false">IF($X458="","",U458-L458)</f>
        <v/>
      </c>
      <c r="X458" s="24" t="str">
        <f aca="false">IF(ROWS($X$2:$X458)&lt;=MAX('Per Line'!$AI$2:$AI$4001),MATCH(ROWS($X$2:$X458),'Per Line'!$AI$2:$AI$4001,0),"")</f>
        <v/>
      </c>
    </row>
    <row r="459" customFormat="false" ht="15" hidden="false" customHeight="false" outlineLevel="0" collapsed="false">
      <c r="A459" s="19"/>
      <c r="B459" s="20" t="str">
        <f aca="false">IF($X459="","",INDEX('Per Line'!$D$2:$D$4001,$X459))</f>
        <v/>
      </c>
      <c r="C459" s="20" t="str">
        <f aca="false">IF($X459="","",INDEX('Per Line'!$C$2:$C$4001,$X459))</f>
        <v/>
      </c>
      <c r="D459" s="20" t="str">
        <f aca="false">IF($X459="","",INDEX('Per Line'!$A$2:$A$4001,$X459))</f>
        <v/>
      </c>
      <c r="E459" s="21" t="str">
        <f aca="false">IF($X459="","",INDEX('Per Line'!$F$2:$F$4001,$X459))</f>
        <v/>
      </c>
      <c r="F459" s="20" t="str">
        <f aca="false">IF($X459="","",INDEX('Per Line'!$G$2:$G$4001,$X459))</f>
        <v/>
      </c>
      <c r="G459" s="20" t="str">
        <f aca="false">IF($X459="","",INDEX('Per Line'!$I$2:$I$4001,$X459))</f>
        <v/>
      </c>
      <c r="H459" s="20" t="str">
        <f aca="false">IF($X459="","",INDEX('Per Line'!$J$2:$J$4001,$X459))</f>
        <v/>
      </c>
      <c r="I459" s="20" t="str">
        <f aca="false">IF($X459="","",INDEX('Per Line'!$K$2:$K$4001,$X459))</f>
        <v/>
      </c>
      <c r="J459" s="20" t="str">
        <f aca="false">IF($X459="","",INDEX('Per Line'!$L$2:$L$4001,$X459))</f>
        <v/>
      </c>
      <c r="K459" s="20" t="str">
        <f aca="false">IF($X459="","",INDEX('Per Line'!$M$2:$M$4001,$X459))</f>
        <v/>
      </c>
      <c r="L459" s="22" t="str">
        <f aca="false">IF($X459="","",K459*V459/100)</f>
        <v/>
      </c>
      <c r="M459" s="20" t="str">
        <f aca="false">IF($X459="","",INDEX('Per Line'!$Z$2:$Z$4001,$X459))</f>
        <v/>
      </c>
      <c r="N459" s="23" t="str">
        <f aca="false">IF($X459="","",Settings!$C$7)</f>
        <v/>
      </c>
      <c r="O459" s="22" t="str">
        <f aca="false">IF($X459="","",SUMIFS('Per Line'!$Y$2:$Y$4001,'Per Line'!$D$2:$D$4001,$B459,'Per Line'!$AJ$2:$AJ$4001,0))</f>
        <v/>
      </c>
      <c r="P459" s="22" t="str">
        <f aca="false">IF($X459="","",O459*N459)</f>
        <v/>
      </c>
      <c r="Q459" s="23" t="str">
        <f aca="false">IF($X459="","",Settings!$C$6)</f>
        <v/>
      </c>
      <c r="R459" s="22" t="str">
        <f aca="false">IF($X459="","",SUMIFS('Per Line'!$Y$2:$Y$4001,'Per Line'!$D$2:$D$4001,$B459,'Per Line'!$AJ$2:$AJ$4001,1))</f>
        <v/>
      </c>
      <c r="S459" s="22" t="str">
        <f aca="false">IF($X459="","",R459*Q459)</f>
        <v/>
      </c>
      <c r="T459" s="22" t="str">
        <f aca="false">IF($X459="","",S459+P459)</f>
        <v/>
      </c>
      <c r="U459" s="22" t="str">
        <f aca="false">IF($X459="","",V459-T459)</f>
        <v/>
      </c>
      <c r="V459" s="22" t="str">
        <f aca="false">IF($X459="","",O459+R459)</f>
        <v/>
      </c>
      <c r="W459" s="22" t="str">
        <f aca="false">IF($X459="","",U459-L459)</f>
        <v/>
      </c>
      <c r="X459" s="24" t="str">
        <f aca="false">IF(ROWS($X$2:$X459)&lt;=MAX('Per Line'!$AI$2:$AI$4001),MATCH(ROWS($X$2:$X459),'Per Line'!$AI$2:$AI$4001,0),"")</f>
        <v/>
      </c>
    </row>
    <row r="460" customFormat="false" ht="15" hidden="false" customHeight="false" outlineLevel="0" collapsed="false">
      <c r="A460" s="19"/>
      <c r="B460" s="20" t="str">
        <f aca="false">IF($X460="","",INDEX('Per Line'!$D$2:$D$4001,$X460))</f>
        <v/>
      </c>
      <c r="C460" s="20" t="str">
        <f aca="false">IF($X460="","",INDEX('Per Line'!$C$2:$C$4001,$X460))</f>
        <v/>
      </c>
      <c r="D460" s="20" t="str">
        <f aca="false">IF($X460="","",INDEX('Per Line'!$A$2:$A$4001,$X460))</f>
        <v/>
      </c>
      <c r="E460" s="21" t="str">
        <f aca="false">IF($X460="","",INDEX('Per Line'!$F$2:$F$4001,$X460))</f>
        <v/>
      </c>
      <c r="F460" s="20" t="str">
        <f aca="false">IF($X460="","",INDEX('Per Line'!$G$2:$G$4001,$X460))</f>
        <v/>
      </c>
      <c r="G460" s="20" t="str">
        <f aca="false">IF($X460="","",INDEX('Per Line'!$I$2:$I$4001,$X460))</f>
        <v/>
      </c>
      <c r="H460" s="20" t="str">
        <f aca="false">IF($X460="","",INDEX('Per Line'!$J$2:$J$4001,$X460))</f>
        <v/>
      </c>
      <c r="I460" s="20" t="str">
        <f aca="false">IF($X460="","",INDEX('Per Line'!$K$2:$K$4001,$X460))</f>
        <v/>
      </c>
      <c r="J460" s="20" t="str">
        <f aca="false">IF($X460="","",INDEX('Per Line'!$L$2:$L$4001,$X460))</f>
        <v/>
      </c>
      <c r="K460" s="20" t="str">
        <f aca="false">IF($X460="","",INDEX('Per Line'!$M$2:$M$4001,$X460))</f>
        <v/>
      </c>
      <c r="L460" s="22" t="str">
        <f aca="false">IF($X460="","",K460*V460/100)</f>
        <v/>
      </c>
      <c r="M460" s="20" t="str">
        <f aca="false">IF($X460="","",INDEX('Per Line'!$Z$2:$Z$4001,$X460))</f>
        <v/>
      </c>
      <c r="N460" s="23" t="str">
        <f aca="false">IF($X460="","",Settings!$C$7)</f>
        <v/>
      </c>
      <c r="O460" s="22" t="str">
        <f aca="false">IF($X460="","",SUMIFS('Per Line'!$Y$2:$Y$4001,'Per Line'!$D$2:$D$4001,$B460,'Per Line'!$AJ$2:$AJ$4001,0))</f>
        <v/>
      </c>
      <c r="P460" s="22" t="str">
        <f aca="false">IF($X460="","",O460*N460)</f>
        <v/>
      </c>
      <c r="Q460" s="23" t="str">
        <f aca="false">IF($X460="","",Settings!$C$6)</f>
        <v/>
      </c>
      <c r="R460" s="22" t="str">
        <f aca="false">IF($X460="","",SUMIFS('Per Line'!$Y$2:$Y$4001,'Per Line'!$D$2:$D$4001,$B460,'Per Line'!$AJ$2:$AJ$4001,1))</f>
        <v/>
      </c>
      <c r="S460" s="22" t="str">
        <f aca="false">IF($X460="","",R460*Q460)</f>
        <v/>
      </c>
      <c r="T460" s="22" t="str">
        <f aca="false">IF($X460="","",S460+P460)</f>
        <v/>
      </c>
      <c r="U460" s="22" t="str">
        <f aca="false">IF($X460="","",V460-T460)</f>
        <v/>
      </c>
      <c r="V460" s="22" t="str">
        <f aca="false">IF($X460="","",O460+R460)</f>
        <v/>
      </c>
      <c r="W460" s="22" t="str">
        <f aca="false">IF($X460="","",U460-L460)</f>
        <v/>
      </c>
      <c r="X460" s="24" t="str">
        <f aca="false">IF(ROWS($X$2:$X460)&lt;=MAX('Per Line'!$AI$2:$AI$4001),MATCH(ROWS($X$2:$X460),'Per Line'!$AI$2:$AI$4001,0),"")</f>
        <v/>
      </c>
    </row>
    <row r="461" customFormat="false" ht="15" hidden="false" customHeight="false" outlineLevel="0" collapsed="false">
      <c r="A461" s="19"/>
      <c r="B461" s="20" t="str">
        <f aca="false">IF($X461="","",INDEX('Per Line'!$D$2:$D$4001,$X461))</f>
        <v/>
      </c>
      <c r="C461" s="20" t="str">
        <f aca="false">IF($X461="","",INDEX('Per Line'!$C$2:$C$4001,$X461))</f>
        <v/>
      </c>
      <c r="D461" s="20" t="str">
        <f aca="false">IF($X461="","",INDEX('Per Line'!$A$2:$A$4001,$X461))</f>
        <v/>
      </c>
      <c r="E461" s="21" t="str">
        <f aca="false">IF($X461="","",INDEX('Per Line'!$F$2:$F$4001,$X461))</f>
        <v/>
      </c>
      <c r="F461" s="20" t="str">
        <f aca="false">IF($X461="","",INDEX('Per Line'!$G$2:$G$4001,$X461))</f>
        <v/>
      </c>
      <c r="G461" s="20" t="str">
        <f aca="false">IF($X461="","",INDEX('Per Line'!$I$2:$I$4001,$X461))</f>
        <v/>
      </c>
      <c r="H461" s="20" t="str">
        <f aca="false">IF($X461="","",INDEX('Per Line'!$J$2:$J$4001,$X461))</f>
        <v/>
      </c>
      <c r="I461" s="20" t="str">
        <f aca="false">IF($X461="","",INDEX('Per Line'!$K$2:$K$4001,$X461))</f>
        <v/>
      </c>
      <c r="J461" s="20" t="str">
        <f aca="false">IF($X461="","",INDEX('Per Line'!$L$2:$L$4001,$X461))</f>
        <v/>
      </c>
      <c r="K461" s="20" t="str">
        <f aca="false">IF($X461="","",INDEX('Per Line'!$M$2:$M$4001,$X461))</f>
        <v/>
      </c>
      <c r="L461" s="22" t="str">
        <f aca="false">IF($X461="","",K461*V461/100)</f>
        <v/>
      </c>
      <c r="M461" s="20" t="str">
        <f aca="false">IF($X461="","",INDEX('Per Line'!$Z$2:$Z$4001,$X461))</f>
        <v/>
      </c>
      <c r="N461" s="23" t="str">
        <f aca="false">IF($X461="","",Settings!$C$7)</f>
        <v/>
      </c>
      <c r="O461" s="22" t="str">
        <f aca="false">IF($X461="","",SUMIFS('Per Line'!$Y$2:$Y$4001,'Per Line'!$D$2:$D$4001,$B461,'Per Line'!$AJ$2:$AJ$4001,0))</f>
        <v/>
      </c>
      <c r="P461" s="22" t="str">
        <f aca="false">IF($X461="","",O461*N461)</f>
        <v/>
      </c>
      <c r="Q461" s="23" t="str">
        <f aca="false">IF($X461="","",Settings!$C$6)</f>
        <v/>
      </c>
      <c r="R461" s="22" t="str">
        <f aca="false">IF($X461="","",SUMIFS('Per Line'!$Y$2:$Y$4001,'Per Line'!$D$2:$D$4001,$B461,'Per Line'!$AJ$2:$AJ$4001,1))</f>
        <v/>
      </c>
      <c r="S461" s="22" t="str">
        <f aca="false">IF($X461="","",R461*Q461)</f>
        <v/>
      </c>
      <c r="T461" s="22" t="str">
        <f aca="false">IF($X461="","",S461+P461)</f>
        <v/>
      </c>
      <c r="U461" s="22" t="str">
        <f aca="false">IF($X461="","",V461-T461)</f>
        <v/>
      </c>
      <c r="V461" s="22" t="str">
        <f aca="false">IF($X461="","",O461+R461)</f>
        <v/>
      </c>
      <c r="W461" s="22" t="str">
        <f aca="false">IF($X461="","",U461-L461)</f>
        <v/>
      </c>
      <c r="X461" s="24" t="str">
        <f aca="false">IF(ROWS($X$2:$X461)&lt;=MAX('Per Line'!$AI$2:$AI$4001),MATCH(ROWS($X$2:$X461),'Per Line'!$AI$2:$AI$4001,0),"")</f>
        <v/>
      </c>
    </row>
    <row r="462" customFormat="false" ht="15" hidden="false" customHeight="false" outlineLevel="0" collapsed="false">
      <c r="A462" s="19"/>
      <c r="B462" s="20" t="str">
        <f aca="false">IF($X462="","",INDEX('Per Line'!$D$2:$D$4001,$X462))</f>
        <v/>
      </c>
      <c r="C462" s="20" t="str">
        <f aca="false">IF($X462="","",INDEX('Per Line'!$C$2:$C$4001,$X462))</f>
        <v/>
      </c>
      <c r="D462" s="20" t="str">
        <f aca="false">IF($X462="","",INDEX('Per Line'!$A$2:$A$4001,$X462))</f>
        <v/>
      </c>
      <c r="E462" s="21" t="str">
        <f aca="false">IF($X462="","",INDEX('Per Line'!$F$2:$F$4001,$X462))</f>
        <v/>
      </c>
      <c r="F462" s="20" t="str">
        <f aca="false">IF($X462="","",INDEX('Per Line'!$G$2:$G$4001,$X462))</f>
        <v/>
      </c>
      <c r="G462" s="20" t="str">
        <f aca="false">IF($X462="","",INDEX('Per Line'!$I$2:$I$4001,$X462))</f>
        <v/>
      </c>
      <c r="H462" s="20" t="str">
        <f aca="false">IF($X462="","",INDEX('Per Line'!$J$2:$J$4001,$X462))</f>
        <v/>
      </c>
      <c r="I462" s="20" t="str">
        <f aca="false">IF($X462="","",INDEX('Per Line'!$K$2:$K$4001,$X462))</f>
        <v/>
      </c>
      <c r="J462" s="20" t="str">
        <f aca="false">IF($X462="","",INDEX('Per Line'!$L$2:$L$4001,$X462))</f>
        <v/>
      </c>
      <c r="K462" s="20" t="str">
        <f aca="false">IF($X462="","",INDEX('Per Line'!$M$2:$M$4001,$X462))</f>
        <v/>
      </c>
      <c r="L462" s="22" t="str">
        <f aca="false">IF($X462="","",K462*V462/100)</f>
        <v/>
      </c>
      <c r="M462" s="20" t="str">
        <f aca="false">IF($X462="","",INDEX('Per Line'!$Z$2:$Z$4001,$X462))</f>
        <v/>
      </c>
      <c r="N462" s="23" t="str">
        <f aca="false">IF($X462="","",Settings!$C$7)</f>
        <v/>
      </c>
      <c r="O462" s="22" t="str">
        <f aca="false">IF($X462="","",SUMIFS('Per Line'!$Y$2:$Y$4001,'Per Line'!$D$2:$D$4001,$B462,'Per Line'!$AJ$2:$AJ$4001,0))</f>
        <v/>
      </c>
      <c r="P462" s="22" t="str">
        <f aca="false">IF($X462="","",O462*N462)</f>
        <v/>
      </c>
      <c r="Q462" s="23" t="str">
        <f aca="false">IF($X462="","",Settings!$C$6)</f>
        <v/>
      </c>
      <c r="R462" s="22" t="str">
        <f aca="false">IF($X462="","",SUMIFS('Per Line'!$Y$2:$Y$4001,'Per Line'!$D$2:$D$4001,$B462,'Per Line'!$AJ$2:$AJ$4001,1))</f>
        <v/>
      </c>
      <c r="S462" s="22" t="str">
        <f aca="false">IF($X462="","",R462*Q462)</f>
        <v/>
      </c>
      <c r="T462" s="22" t="str">
        <f aca="false">IF($X462="","",S462+P462)</f>
        <v/>
      </c>
      <c r="U462" s="22" t="str">
        <f aca="false">IF($X462="","",V462-T462)</f>
        <v/>
      </c>
      <c r="V462" s="22" t="str">
        <f aca="false">IF($X462="","",O462+R462)</f>
        <v/>
      </c>
      <c r="W462" s="22" t="str">
        <f aca="false">IF($X462="","",U462-L462)</f>
        <v/>
      </c>
      <c r="X462" s="24" t="str">
        <f aca="false">IF(ROWS($X$2:$X462)&lt;=MAX('Per Line'!$AI$2:$AI$4001),MATCH(ROWS($X$2:$X462),'Per Line'!$AI$2:$AI$4001,0),"")</f>
        <v/>
      </c>
    </row>
    <row r="463" customFormat="false" ht="15" hidden="false" customHeight="false" outlineLevel="0" collapsed="false">
      <c r="A463" s="19"/>
      <c r="B463" s="20" t="str">
        <f aca="false">IF($X463="","",INDEX('Per Line'!$D$2:$D$4001,$X463))</f>
        <v/>
      </c>
      <c r="C463" s="20" t="str">
        <f aca="false">IF($X463="","",INDEX('Per Line'!$C$2:$C$4001,$X463))</f>
        <v/>
      </c>
      <c r="D463" s="20" t="str">
        <f aca="false">IF($X463="","",INDEX('Per Line'!$A$2:$A$4001,$X463))</f>
        <v/>
      </c>
      <c r="E463" s="21" t="str">
        <f aca="false">IF($X463="","",INDEX('Per Line'!$F$2:$F$4001,$X463))</f>
        <v/>
      </c>
      <c r="F463" s="20" t="str">
        <f aca="false">IF($X463="","",INDEX('Per Line'!$G$2:$G$4001,$X463))</f>
        <v/>
      </c>
      <c r="G463" s="20" t="str">
        <f aca="false">IF($X463="","",INDEX('Per Line'!$I$2:$I$4001,$X463))</f>
        <v/>
      </c>
      <c r="H463" s="20" t="str">
        <f aca="false">IF($X463="","",INDEX('Per Line'!$J$2:$J$4001,$X463))</f>
        <v/>
      </c>
      <c r="I463" s="20" t="str">
        <f aca="false">IF($X463="","",INDEX('Per Line'!$K$2:$K$4001,$X463))</f>
        <v/>
      </c>
      <c r="J463" s="20" t="str">
        <f aca="false">IF($X463="","",INDEX('Per Line'!$L$2:$L$4001,$X463))</f>
        <v/>
      </c>
      <c r="K463" s="20" t="str">
        <f aca="false">IF($X463="","",INDEX('Per Line'!$M$2:$M$4001,$X463))</f>
        <v/>
      </c>
      <c r="L463" s="22" t="str">
        <f aca="false">IF($X463="","",K463*V463/100)</f>
        <v/>
      </c>
      <c r="M463" s="20" t="str">
        <f aca="false">IF($X463="","",INDEX('Per Line'!$Z$2:$Z$4001,$X463))</f>
        <v/>
      </c>
      <c r="N463" s="23" t="str">
        <f aca="false">IF($X463="","",Settings!$C$7)</f>
        <v/>
      </c>
      <c r="O463" s="22" t="str">
        <f aca="false">IF($X463="","",SUMIFS('Per Line'!$Y$2:$Y$4001,'Per Line'!$D$2:$D$4001,$B463,'Per Line'!$AJ$2:$AJ$4001,0))</f>
        <v/>
      </c>
      <c r="P463" s="22" t="str">
        <f aca="false">IF($X463="","",O463*N463)</f>
        <v/>
      </c>
      <c r="Q463" s="23" t="str">
        <f aca="false">IF($X463="","",Settings!$C$6)</f>
        <v/>
      </c>
      <c r="R463" s="22" t="str">
        <f aca="false">IF($X463="","",SUMIFS('Per Line'!$Y$2:$Y$4001,'Per Line'!$D$2:$D$4001,$B463,'Per Line'!$AJ$2:$AJ$4001,1))</f>
        <v/>
      </c>
      <c r="S463" s="22" t="str">
        <f aca="false">IF($X463="","",R463*Q463)</f>
        <v/>
      </c>
      <c r="T463" s="22" t="str">
        <f aca="false">IF($X463="","",S463+P463)</f>
        <v/>
      </c>
      <c r="U463" s="22" t="str">
        <f aca="false">IF($X463="","",V463-T463)</f>
        <v/>
      </c>
      <c r="V463" s="22" t="str">
        <f aca="false">IF($X463="","",O463+R463)</f>
        <v/>
      </c>
      <c r="W463" s="22" t="str">
        <f aca="false">IF($X463="","",U463-L463)</f>
        <v/>
      </c>
      <c r="X463" s="24" t="str">
        <f aca="false">IF(ROWS($X$2:$X463)&lt;=MAX('Per Line'!$AI$2:$AI$4001),MATCH(ROWS($X$2:$X463),'Per Line'!$AI$2:$AI$4001,0),"")</f>
        <v/>
      </c>
    </row>
    <row r="464" customFormat="false" ht="15" hidden="false" customHeight="false" outlineLevel="0" collapsed="false">
      <c r="A464" s="19"/>
      <c r="B464" s="20" t="str">
        <f aca="false">IF($X464="","",INDEX('Per Line'!$D$2:$D$4001,$X464))</f>
        <v/>
      </c>
      <c r="C464" s="20" t="str">
        <f aca="false">IF($X464="","",INDEX('Per Line'!$C$2:$C$4001,$X464))</f>
        <v/>
      </c>
      <c r="D464" s="20" t="str">
        <f aca="false">IF($X464="","",INDEX('Per Line'!$A$2:$A$4001,$X464))</f>
        <v/>
      </c>
      <c r="E464" s="21" t="str">
        <f aca="false">IF($X464="","",INDEX('Per Line'!$F$2:$F$4001,$X464))</f>
        <v/>
      </c>
      <c r="F464" s="20" t="str">
        <f aca="false">IF($X464="","",INDEX('Per Line'!$G$2:$G$4001,$X464))</f>
        <v/>
      </c>
      <c r="G464" s="20" t="str">
        <f aca="false">IF($X464="","",INDEX('Per Line'!$I$2:$I$4001,$X464))</f>
        <v/>
      </c>
      <c r="H464" s="20" t="str">
        <f aca="false">IF($X464="","",INDEX('Per Line'!$J$2:$J$4001,$X464))</f>
        <v/>
      </c>
      <c r="I464" s="20" t="str">
        <f aca="false">IF($X464="","",INDEX('Per Line'!$K$2:$K$4001,$X464))</f>
        <v/>
      </c>
      <c r="J464" s="20" t="str">
        <f aca="false">IF($X464="","",INDEX('Per Line'!$L$2:$L$4001,$X464))</f>
        <v/>
      </c>
      <c r="K464" s="20" t="str">
        <f aca="false">IF($X464="","",INDEX('Per Line'!$M$2:$M$4001,$X464))</f>
        <v/>
      </c>
      <c r="L464" s="22" t="str">
        <f aca="false">IF($X464="","",K464*V464/100)</f>
        <v/>
      </c>
      <c r="M464" s="20" t="str">
        <f aca="false">IF($X464="","",INDEX('Per Line'!$Z$2:$Z$4001,$X464))</f>
        <v/>
      </c>
      <c r="N464" s="23" t="str">
        <f aca="false">IF($X464="","",Settings!$C$7)</f>
        <v/>
      </c>
      <c r="O464" s="22" t="str">
        <f aca="false">IF($X464="","",SUMIFS('Per Line'!$Y$2:$Y$4001,'Per Line'!$D$2:$D$4001,$B464,'Per Line'!$AJ$2:$AJ$4001,0))</f>
        <v/>
      </c>
      <c r="P464" s="22" t="str">
        <f aca="false">IF($X464="","",O464*N464)</f>
        <v/>
      </c>
      <c r="Q464" s="23" t="str">
        <f aca="false">IF($X464="","",Settings!$C$6)</f>
        <v/>
      </c>
      <c r="R464" s="22" t="str">
        <f aca="false">IF($X464="","",SUMIFS('Per Line'!$Y$2:$Y$4001,'Per Line'!$D$2:$D$4001,$B464,'Per Line'!$AJ$2:$AJ$4001,1))</f>
        <v/>
      </c>
      <c r="S464" s="22" t="str">
        <f aca="false">IF($X464="","",R464*Q464)</f>
        <v/>
      </c>
      <c r="T464" s="22" t="str">
        <f aca="false">IF($X464="","",S464+P464)</f>
        <v/>
      </c>
      <c r="U464" s="22" t="str">
        <f aca="false">IF($X464="","",V464-T464)</f>
        <v/>
      </c>
      <c r="V464" s="22" t="str">
        <f aca="false">IF($X464="","",O464+R464)</f>
        <v/>
      </c>
      <c r="W464" s="22" t="str">
        <f aca="false">IF($X464="","",U464-L464)</f>
        <v/>
      </c>
      <c r="X464" s="24" t="str">
        <f aca="false">IF(ROWS($X$2:$X464)&lt;=MAX('Per Line'!$AI$2:$AI$4001),MATCH(ROWS($X$2:$X464),'Per Line'!$AI$2:$AI$4001,0),"")</f>
        <v/>
      </c>
    </row>
    <row r="465" customFormat="false" ht="15" hidden="false" customHeight="false" outlineLevel="0" collapsed="false">
      <c r="A465" s="19"/>
      <c r="B465" s="20" t="str">
        <f aca="false">IF($X465="","",INDEX('Per Line'!$D$2:$D$4001,$X465))</f>
        <v/>
      </c>
      <c r="C465" s="20" t="str">
        <f aca="false">IF($X465="","",INDEX('Per Line'!$C$2:$C$4001,$X465))</f>
        <v/>
      </c>
      <c r="D465" s="20" t="str">
        <f aca="false">IF($X465="","",INDEX('Per Line'!$A$2:$A$4001,$X465))</f>
        <v/>
      </c>
      <c r="E465" s="21" t="str">
        <f aca="false">IF($X465="","",INDEX('Per Line'!$F$2:$F$4001,$X465))</f>
        <v/>
      </c>
      <c r="F465" s="20" t="str">
        <f aca="false">IF($X465="","",INDEX('Per Line'!$G$2:$G$4001,$X465))</f>
        <v/>
      </c>
      <c r="G465" s="20" t="str">
        <f aca="false">IF($X465="","",INDEX('Per Line'!$I$2:$I$4001,$X465))</f>
        <v/>
      </c>
      <c r="H465" s="20" t="str">
        <f aca="false">IF($X465="","",INDEX('Per Line'!$J$2:$J$4001,$X465))</f>
        <v/>
      </c>
      <c r="I465" s="20" t="str">
        <f aca="false">IF($X465="","",INDEX('Per Line'!$K$2:$K$4001,$X465))</f>
        <v/>
      </c>
      <c r="J465" s="20" t="str">
        <f aca="false">IF($X465="","",INDEX('Per Line'!$L$2:$L$4001,$X465))</f>
        <v/>
      </c>
      <c r="K465" s="20" t="str">
        <f aca="false">IF($X465="","",INDEX('Per Line'!$M$2:$M$4001,$X465))</f>
        <v/>
      </c>
      <c r="L465" s="22" t="str">
        <f aca="false">IF($X465="","",K465*V465/100)</f>
        <v/>
      </c>
      <c r="M465" s="20" t="str">
        <f aca="false">IF($X465="","",INDEX('Per Line'!$Z$2:$Z$4001,$X465))</f>
        <v/>
      </c>
      <c r="N465" s="23" t="str">
        <f aca="false">IF($X465="","",Settings!$C$7)</f>
        <v/>
      </c>
      <c r="O465" s="22" t="str">
        <f aca="false">IF($X465="","",SUMIFS('Per Line'!$Y$2:$Y$4001,'Per Line'!$D$2:$D$4001,$B465,'Per Line'!$AJ$2:$AJ$4001,0))</f>
        <v/>
      </c>
      <c r="P465" s="22" t="str">
        <f aca="false">IF($X465="","",O465*N465)</f>
        <v/>
      </c>
      <c r="Q465" s="23" t="str">
        <f aca="false">IF($X465="","",Settings!$C$6)</f>
        <v/>
      </c>
      <c r="R465" s="22" t="str">
        <f aca="false">IF($X465="","",SUMIFS('Per Line'!$Y$2:$Y$4001,'Per Line'!$D$2:$D$4001,$B465,'Per Line'!$AJ$2:$AJ$4001,1))</f>
        <v/>
      </c>
      <c r="S465" s="22" t="str">
        <f aca="false">IF($X465="","",R465*Q465)</f>
        <v/>
      </c>
      <c r="T465" s="22" t="str">
        <f aca="false">IF($X465="","",S465+P465)</f>
        <v/>
      </c>
      <c r="U465" s="22" t="str">
        <f aca="false">IF($X465="","",V465-T465)</f>
        <v/>
      </c>
      <c r="V465" s="22" t="str">
        <f aca="false">IF($X465="","",O465+R465)</f>
        <v/>
      </c>
      <c r="W465" s="22" t="str">
        <f aca="false">IF($X465="","",U465-L465)</f>
        <v/>
      </c>
      <c r="X465" s="24" t="str">
        <f aca="false">IF(ROWS($X$2:$X465)&lt;=MAX('Per Line'!$AI$2:$AI$4001),MATCH(ROWS($X$2:$X465),'Per Line'!$AI$2:$AI$4001,0),"")</f>
        <v/>
      </c>
    </row>
    <row r="466" customFormat="false" ht="15" hidden="false" customHeight="false" outlineLevel="0" collapsed="false">
      <c r="A466" s="19"/>
      <c r="B466" s="20" t="str">
        <f aca="false">IF($X466="","",INDEX('Per Line'!$D$2:$D$4001,$X466))</f>
        <v/>
      </c>
      <c r="C466" s="20" t="str">
        <f aca="false">IF($X466="","",INDEX('Per Line'!$C$2:$C$4001,$X466))</f>
        <v/>
      </c>
      <c r="D466" s="20" t="str">
        <f aca="false">IF($X466="","",INDEX('Per Line'!$A$2:$A$4001,$X466))</f>
        <v/>
      </c>
      <c r="E466" s="21" t="str">
        <f aca="false">IF($X466="","",INDEX('Per Line'!$F$2:$F$4001,$X466))</f>
        <v/>
      </c>
      <c r="F466" s="20" t="str">
        <f aca="false">IF($X466="","",INDEX('Per Line'!$G$2:$G$4001,$X466))</f>
        <v/>
      </c>
      <c r="G466" s="20" t="str">
        <f aca="false">IF($X466="","",INDEX('Per Line'!$I$2:$I$4001,$X466))</f>
        <v/>
      </c>
      <c r="H466" s="20" t="str">
        <f aca="false">IF($X466="","",INDEX('Per Line'!$J$2:$J$4001,$X466))</f>
        <v/>
      </c>
      <c r="I466" s="20" t="str">
        <f aca="false">IF($X466="","",INDEX('Per Line'!$K$2:$K$4001,$X466))</f>
        <v/>
      </c>
      <c r="J466" s="20" t="str">
        <f aca="false">IF($X466="","",INDEX('Per Line'!$L$2:$L$4001,$X466))</f>
        <v/>
      </c>
      <c r="K466" s="20" t="str">
        <f aca="false">IF($X466="","",INDEX('Per Line'!$M$2:$M$4001,$X466))</f>
        <v/>
      </c>
      <c r="L466" s="22" t="str">
        <f aca="false">IF($X466="","",K466*V466/100)</f>
        <v/>
      </c>
      <c r="M466" s="20" t="str">
        <f aca="false">IF($X466="","",INDEX('Per Line'!$Z$2:$Z$4001,$X466))</f>
        <v/>
      </c>
      <c r="N466" s="23" t="str">
        <f aca="false">IF($X466="","",Settings!$C$7)</f>
        <v/>
      </c>
      <c r="O466" s="22" t="str">
        <f aca="false">IF($X466="","",SUMIFS('Per Line'!$Y$2:$Y$4001,'Per Line'!$D$2:$D$4001,$B466,'Per Line'!$AJ$2:$AJ$4001,0))</f>
        <v/>
      </c>
      <c r="P466" s="22" t="str">
        <f aca="false">IF($X466="","",O466*N466)</f>
        <v/>
      </c>
      <c r="Q466" s="23" t="str">
        <f aca="false">IF($X466="","",Settings!$C$6)</f>
        <v/>
      </c>
      <c r="R466" s="22" t="str">
        <f aca="false">IF($X466="","",SUMIFS('Per Line'!$Y$2:$Y$4001,'Per Line'!$D$2:$D$4001,$B466,'Per Line'!$AJ$2:$AJ$4001,1))</f>
        <v/>
      </c>
      <c r="S466" s="22" t="str">
        <f aca="false">IF($X466="","",R466*Q466)</f>
        <v/>
      </c>
      <c r="T466" s="22" t="str">
        <f aca="false">IF($X466="","",S466+P466)</f>
        <v/>
      </c>
      <c r="U466" s="22" t="str">
        <f aca="false">IF($X466="","",V466-T466)</f>
        <v/>
      </c>
      <c r="V466" s="22" t="str">
        <f aca="false">IF($X466="","",O466+R466)</f>
        <v/>
      </c>
      <c r="W466" s="22" t="str">
        <f aca="false">IF($X466="","",U466-L466)</f>
        <v/>
      </c>
      <c r="X466" s="24" t="str">
        <f aca="false">IF(ROWS($X$2:$X466)&lt;=MAX('Per Line'!$AI$2:$AI$4001),MATCH(ROWS($X$2:$X466),'Per Line'!$AI$2:$AI$4001,0),"")</f>
        <v/>
      </c>
    </row>
    <row r="467" customFormat="false" ht="15" hidden="false" customHeight="false" outlineLevel="0" collapsed="false">
      <c r="A467" s="19"/>
      <c r="B467" s="20" t="str">
        <f aca="false">IF($X467="","",INDEX('Per Line'!$D$2:$D$4001,$X467))</f>
        <v/>
      </c>
      <c r="C467" s="20" t="str">
        <f aca="false">IF($X467="","",INDEX('Per Line'!$C$2:$C$4001,$X467))</f>
        <v/>
      </c>
      <c r="D467" s="20" t="str">
        <f aca="false">IF($X467="","",INDEX('Per Line'!$A$2:$A$4001,$X467))</f>
        <v/>
      </c>
      <c r="E467" s="21" t="str">
        <f aca="false">IF($X467="","",INDEX('Per Line'!$F$2:$F$4001,$X467))</f>
        <v/>
      </c>
      <c r="F467" s="20" t="str">
        <f aca="false">IF($X467="","",INDEX('Per Line'!$G$2:$G$4001,$X467))</f>
        <v/>
      </c>
      <c r="G467" s="20" t="str">
        <f aca="false">IF($X467="","",INDEX('Per Line'!$I$2:$I$4001,$X467))</f>
        <v/>
      </c>
      <c r="H467" s="20" t="str">
        <f aca="false">IF($X467="","",INDEX('Per Line'!$J$2:$J$4001,$X467))</f>
        <v/>
      </c>
      <c r="I467" s="20" t="str">
        <f aca="false">IF($X467="","",INDEX('Per Line'!$K$2:$K$4001,$X467))</f>
        <v/>
      </c>
      <c r="J467" s="20" t="str">
        <f aca="false">IF($X467="","",INDEX('Per Line'!$L$2:$L$4001,$X467))</f>
        <v/>
      </c>
      <c r="K467" s="20" t="str">
        <f aca="false">IF($X467="","",INDEX('Per Line'!$M$2:$M$4001,$X467))</f>
        <v/>
      </c>
      <c r="L467" s="22" t="str">
        <f aca="false">IF($X467="","",K467*V467/100)</f>
        <v/>
      </c>
      <c r="M467" s="20" t="str">
        <f aca="false">IF($X467="","",INDEX('Per Line'!$Z$2:$Z$4001,$X467))</f>
        <v/>
      </c>
      <c r="N467" s="23" t="str">
        <f aca="false">IF($X467="","",Settings!$C$7)</f>
        <v/>
      </c>
      <c r="O467" s="22" t="str">
        <f aca="false">IF($X467="","",SUMIFS('Per Line'!$Y$2:$Y$4001,'Per Line'!$D$2:$D$4001,$B467,'Per Line'!$AJ$2:$AJ$4001,0))</f>
        <v/>
      </c>
      <c r="P467" s="22" t="str">
        <f aca="false">IF($X467="","",O467*N467)</f>
        <v/>
      </c>
      <c r="Q467" s="23" t="str">
        <f aca="false">IF($X467="","",Settings!$C$6)</f>
        <v/>
      </c>
      <c r="R467" s="22" t="str">
        <f aca="false">IF($X467="","",SUMIFS('Per Line'!$Y$2:$Y$4001,'Per Line'!$D$2:$D$4001,$B467,'Per Line'!$AJ$2:$AJ$4001,1))</f>
        <v/>
      </c>
      <c r="S467" s="22" t="str">
        <f aca="false">IF($X467="","",R467*Q467)</f>
        <v/>
      </c>
      <c r="T467" s="22" t="str">
        <f aca="false">IF($X467="","",S467+P467)</f>
        <v/>
      </c>
      <c r="U467" s="22" t="str">
        <f aca="false">IF($X467="","",V467-T467)</f>
        <v/>
      </c>
      <c r="V467" s="22" t="str">
        <f aca="false">IF($X467="","",O467+R467)</f>
        <v/>
      </c>
      <c r="W467" s="22" t="str">
        <f aca="false">IF($X467="","",U467-L467)</f>
        <v/>
      </c>
      <c r="X467" s="24" t="str">
        <f aca="false">IF(ROWS($X$2:$X467)&lt;=MAX('Per Line'!$AI$2:$AI$4001),MATCH(ROWS($X$2:$X467),'Per Line'!$AI$2:$AI$4001,0),"")</f>
        <v/>
      </c>
    </row>
    <row r="468" customFormat="false" ht="15" hidden="false" customHeight="false" outlineLevel="0" collapsed="false">
      <c r="A468" s="19"/>
      <c r="B468" s="20" t="str">
        <f aca="false">IF($X468="","",INDEX('Per Line'!$D$2:$D$4001,$X468))</f>
        <v/>
      </c>
      <c r="C468" s="20" t="str">
        <f aca="false">IF($X468="","",INDEX('Per Line'!$C$2:$C$4001,$X468))</f>
        <v/>
      </c>
      <c r="D468" s="20" t="str">
        <f aca="false">IF($X468="","",INDEX('Per Line'!$A$2:$A$4001,$X468))</f>
        <v/>
      </c>
      <c r="E468" s="21" t="str">
        <f aca="false">IF($X468="","",INDEX('Per Line'!$F$2:$F$4001,$X468))</f>
        <v/>
      </c>
      <c r="F468" s="20" t="str">
        <f aca="false">IF($X468="","",INDEX('Per Line'!$G$2:$G$4001,$X468))</f>
        <v/>
      </c>
      <c r="G468" s="20" t="str">
        <f aca="false">IF($X468="","",INDEX('Per Line'!$I$2:$I$4001,$X468))</f>
        <v/>
      </c>
      <c r="H468" s="20" t="str">
        <f aca="false">IF($X468="","",INDEX('Per Line'!$J$2:$J$4001,$X468))</f>
        <v/>
      </c>
      <c r="I468" s="20" t="str">
        <f aca="false">IF($X468="","",INDEX('Per Line'!$K$2:$K$4001,$X468))</f>
        <v/>
      </c>
      <c r="J468" s="20" t="str">
        <f aca="false">IF($X468="","",INDEX('Per Line'!$L$2:$L$4001,$X468))</f>
        <v/>
      </c>
      <c r="K468" s="20" t="str">
        <f aca="false">IF($X468="","",INDEX('Per Line'!$M$2:$M$4001,$X468))</f>
        <v/>
      </c>
      <c r="L468" s="22" t="str">
        <f aca="false">IF($X468="","",K468*V468/100)</f>
        <v/>
      </c>
      <c r="M468" s="20" t="str">
        <f aca="false">IF($X468="","",INDEX('Per Line'!$Z$2:$Z$4001,$X468))</f>
        <v/>
      </c>
      <c r="N468" s="23" t="str">
        <f aca="false">IF($X468="","",Settings!$C$7)</f>
        <v/>
      </c>
      <c r="O468" s="22" t="str">
        <f aca="false">IF($X468="","",SUMIFS('Per Line'!$Y$2:$Y$4001,'Per Line'!$D$2:$D$4001,$B468,'Per Line'!$AJ$2:$AJ$4001,0))</f>
        <v/>
      </c>
      <c r="P468" s="22" t="str">
        <f aca="false">IF($X468="","",O468*N468)</f>
        <v/>
      </c>
      <c r="Q468" s="23" t="str">
        <f aca="false">IF($X468="","",Settings!$C$6)</f>
        <v/>
      </c>
      <c r="R468" s="22" t="str">
        <f aca="false">IF($X468="","",SUMIFS('Per Line'!$Y$2:$Y$4001,'Per Line'!$D$2:$D$4001,$B468,'Per Line'!$AJ$2:$AJ$4001,1))</f>
        <v/>
      </c>
      <c r="S468" s="22" t="str">
        <f aca="false">IF($X468="","",R468*Q468)</f>
        <v/>
      </c>
      <c r="T468" s="22" t="str">
        <f aca="false">IF($X468="","",S468+P468)</f>
        <v/>
      </c>
      <c r="U468" s="22" t="str">
        <f aca="false">IF($X468="","",V468-T468)</f>
        <v/>
      </c>
      <c r="V468" s="22" t="str">
        <f aca="false">IF($X468="","",O468+R468)</f>
        <v/>
      </c>
      <c r="W468" s="22" t="str">
        <f aca="false">IF($X468="","",U468-L468)</f>
        <v/>
      </c>
      <c r="X468" s="24" t="str">
        <f aca="false">IF(ROWS($X$2:$X468)&lt;=MAX('Per Line'!$AI$2:$AI$4001),MATCH(ROWS($X$2:$X468),'Per Line'!$AI$2:$AI$4001,0),"")</f>
        <v/>
      </c>
    </row>
    <row r="469" customFormat="false" ht="15" hidden="false" customHeight="false" outlineLevel="0" collapsed="false">
      <c r="A469" s="19"/>
      <c r="B469" s="20" t="str">
        <f aca="false">IF($X469="","",INDEX('Per Line'!$D$2:$D$4001,$X469))</f>
        <v/>
      </c>
      <c r="C469" s="20" t="str">
        <f aca="false">IF($X469="","",INDEX('Per Line'!$C$2:$C$4001,$X469))</f>
        <v/>
      </c>
      <c r="D469" s="20" t="str">
        <f aca="false">IF($X469="","",INDEX('Per Line'!$A$2:$A$4001,$X469))</f>
        <v/>
      </c>
      <c r="E469" s="21" t="str">
        <f aca="false">IF($X469="","",INDEX('Per Line'!$F$2:$F$4001,$X469))</f>
        <v/>
      </c>
      <c r="F469" s="20" t="str">
        <f aca="false">IF($X469="","",INDEX('Per Line'!$G$2:$G$4001,$X469))</f>
        <v/>
      </c>
      <c r="G469" s="20" t="str">
        <f aca="false">IF($X469="","",INDEX('Per Line'!$I$2:$I$4001,$X469))</f>
        <v/>
      </c>
      <c r="H469" s="20" t="str">
        <f aca="false">IF($X469="","",INDEX('Per Line'!$J$2:$J$4001,$X469))</f>
        <v/>
      </c>
      <c r="I469" s="20" t="str">
        <f aca="false">IF($X469="","",INDEX('Per Line'!$K$2:$K$4001,$X469))</f>
        <v/>
      </c>
      <c r="J469" s="20" t="str">
        <f aca="false">IF($X469="","",INDEX('Per Line'!$L$2:$L$4001,$X469))</f>
        <v/>
      </c>
      <c r="K469" s="20" t="str">
        <f aca="false">IF($X469="","",INDEX('Per Line'!$M$2:$M$4001,$X469))</f>
        <v/>
      </c>
      <c r="L469" s="22" t="str">
        <f aca="false">IF($X469="","",K469*V469/100)</f>
        <v/>
      </c>
      <c r="M469" s="20" t="str">
        <f aca="false">IF($X469="","",INDEX('Per Line'!$Z$2:$Z$4001,$X469))</f>
        <v/>
      </c>
      <c r="N469" s="23" t="str">
        <f aca="false">IF($X469="","",Settings!$C$7)</f>
        <v/>
      </c>
      <c r="O469" s="22" t="str">
        <f aca="false">IF($X469="","",SUMIFS('Per Line'!$Y$2:$Y$4001,'Per Line'!$D$2:$D$4001,$B469,'Per Line'!$AJ$2:$AJ$4001,0))</f>
        <v/>
      </c>
      <c r="P469" s="22" t="str">
        <f aca="false">IF($X469="","",O469*N469)</f>
        <v/>
      </c>
      <c r="Q469" s="23" t="str">
        <f aca="false">IF($X469="","",Settings!$C$6)</f>
        <v/>
      </c>
      <c r="R469" s="22" t="str">
        <f aca="false">IF($X469="","",SUMIFS('Per Line'!$Y$2:$Y$4001,'Per Line'!$D$2:$D$4001,$B469,'Per Line'!$AJ$2:$AJ$4001,1))</f>
        <v/>
      </c>
      <c r="S469" s="22" t="str">
        <f aca="false">IF($X469="","",R469*Q469)</f>
        <v/>
      </c>
      <c r="T469" s="22" t="str">
        <f aca="false">IF($X469="","",S469+P469)</f>
        <v/>
      </c>
      <c r="U469" s="22" t="str">
        <f aca="false">IF($X469="","",V469-T469)</f>
        <v/>
      </c>
      <c r="V469" s="22" t="str">
        <f aca="false">IF($X469="","",O469+R469)</f>
        <v/>
      </c>
      <c r="W469" s="22" t="str">
        <f aca="false">IF($X469="","",U469-L469)</f>
        <v/>
      </c>
      <c r="X469" s="24" t="str">
        <f aca="false">IF(ROWS($X$2:$X469)&lt;=MAX('Per Line'!$AI$2:$AI$4001),MATCH(ROWS($X$2:$X469),'Per Line'!$AI$2:$AI$4001,0),"")</f>
        <v/>
      </c>
    </row>
    <row r="470" customFormat="false" ht="15" hidden="false" customHeight="false" outlineLevel="0" collapsed="false">
      <c r="A470" s="19"/>
      <c r="B470" s="20" t="str">
        <f aca="false">IF($X470="","",INDEX('Per Line'!$D$2:$D$4001,$X470))</f>
        <v/>
      </c>
      <c r="C470" s="20" t="str">
        <f aca="false">IF($X470="","",INDEX('Per Line'!$C$2:$C$4001,$X470))</f>
        <v/>
      </c>
      <c r="D470" s="20" t="str">
        <f aca="false">IF($X470="","",INDEX('Per Line'!$A$2:$A$4001,$X470))</f>
        <v/>
      </c>
      <c r="E470" s="21" t="str">
        <f aca="false">IF($X470="","",INDEX('Per Line'!$F$2:$F$4001,$X470))</f>
        <v/>
      </c>
      <c r="F470" s="20" t="str">
        <f aca="false">IF($X470="","",INDEX('Per Line'!$G$2:$G$4001,$X470))</f>
        <v/>
      </c>
      <c r="G470" s="20" t="str">
        <f aca="false">IF($X470="","",INDEX('Per Line'!$I$2:$I$4001,$X470))</f>
        <v/>
      </c>
      <c r="H470" s="20" t="str">
        <f aca="false">IF($X470="","",INDEX('Per Line'!$J$2:$J$4001,$X470))</f>
        <v/>
      </c>
      <c r="I470" s="20" t="str">
        <f aca="false">IF($X470="","",INDEX('Per Line'!$K$2:$K$4001,$X470))</f>
        <v/>
      </c>
      <c r="J470" s="20" t="str">
        <f aca="false">IF($X470="","",INDEX('Per Line'!$L$2:$L$4001,$X470))</f>
        <v/>
      </c>
      <c r="K470" s="20" t="str">
        <f aca="false">IF($X470="","",INDEX('Per Line'!$M$2:$M$4001,$X470))</f>
        <v/>
      </c>
      <c r="L470" s="22" t="str">
        <f aca="false">IF($X470="","",K470*V470/100)</f>
        <v/>
      </c>
      <c r="M470" s="20" t="str">
        <f aca="false">IF($X470="","",INDEX('Per Line'!$Z$2:$Z$4001,$X470))</f>
        <v/>
      </c>
      <c r="N470" s="23" t="str">
        <f aca="false">IF($X470="","",Settings!$C$7)</f>
        <v/>
      </c>
      <c r="O470" s="22" t="str">
        <f aca="false">IF($X470="","",SUMIFS('Per Line'!$Y$2:$Y$4001,'Per Line'!$D$2:$D$4001,$B470,'Per Line'!$AJ$2:$AJ$4001,0))</f>
        <v/>
      </c>
      <c r="P470" s="22" t="str">
        <f aca="false">IF($X470="","",O470*N470)</f>
        <v/>
      </c>
      <c r="Q470" s="23" t="str">
        <f aca="false">IF($X470="","",Settings!$C$6)</f>
        <v/>
      </c>
      <c r="R470" s="22" t="str">
        <f aca="false">IF($X470="","",SUMIFS('Per Line'!$Y$2:$Y$4001,'Per Line'!$D$2:$D$4001,$B470,'Per Line'!$AJ$2:$AJ$4001,1))</f>
        <v/>
      </c>
      <c r="S470" s="22" t="str">
        <f aca="false">IF($X470="","",R470*Q470)</f>
        <v/>
      </c>
      <c r="T470" s="22" t="str">
        <f aca="false">IF($X470="","",S470+P470)</f>
        <v/>
      </c>
      <c r="U470" s="22" t="str">
        <f aca="false">IF($X470="","",V470-T470)</f>
        <v/>
      </c>
      <c r="V470" s="22" t="str">
        <f aca="false">IF($X470="","",O470+R470)</f>
        <v/>
      </c>
      <c r="W470" s="22" t="str">
        <f aca="false">IF($X470="","",U470-L470)</f>
        <v/>
      </c>
      <c r="X470" s="24" t="str">
        <f aca="false">IF(ROWS($X$2:$X470)&lt;=MAX('Per Line'!$AI$2:$AI$4001),MATCH(ROWS($X$2:$X470),'Per Line'!$AI$2:$AI$4001,0),"")</f>
        <v/>
      </c>
    </row>
    <row r="471" customFormat="false" ht="15" hidden="false" customHeight="false" outlineLevel="0" collapsed="false">
      <c r="A471" s="19"/>
      <c r="B471" s="20" t="str">
        <f aca="false">IF($X471="","",INDEX('Per Line'!$D$2:$D$4001,$X471))</f>
        <v/>
      </c>
      <c r="C471" s="20" t="str">
        <f aca="false">IF($X471="","",INDEX('Per Line'!$C$2:$C$4001,$X471))</f>
        <v/>
      </c>
      <c r="D471" s="20" t="str">
        <f aca="false">IF($X471="","",INDEX('Per Line'!$A$2:$A$4001,$X471))</f>
        <v/>
      </c>
      <c r="E471" s="21" t="str">
        <f aca="false">IF($X471="","",INDEX('Per Line'!$F$2:$F$4001,$X471))</f>
        <v/>
      </c>
      <c r="F471" s="20" t="str">
        <f aca="false">IF($X471="","",INDEX('Per Line'!$G$2:$G$4001,$X471))</f>
        <v/>
      </c>
      <c r="G471" s="20" t="str">
        <f aca="false">IF($X471="","",INDEX('Per Line'!$I$2:$I$4001,$X471))</f>
        <v/>
      </c>
      <c r="H471" s="20" t="str">
        <f aca="false">IF($X471="","",INDEX('Per Line'!$J$2:$J$4001,$X471))</f>
        <v/>
      </c>
      <c r="I471" s="20" t="str">
        <f aca="false">IF($X471="","",INDEX('Per Line'!$K$2:$K$4001,$X471))</f>
        <v/>
      </c>
      <c r="J471" s="20" t="str">
        <f aca="false">IF($X471="","",INDEX('Per Line'!$L$2:$L$4001,$X471))</f>
        <v/>
      </c>
      <c r="K471" s="20" t="str">
        <f aca="false">IF($X471="","",INDEX('Per Line'!$M$2:$M$4001,$X471))</f>
        <v/>
      </c>
      <c r="L471" s="22" t="str">
        <f aca="false">IF($X471="","",K471*V471/100)</f>
        <v/>
      </c>
      <c r="M471" s="20" t="str">
        <f aca="false">IF($X471="","",INDEX('Per Line'!$Z$2:$Z$4001,$X471))</f>
        <v/>
      </c>
      <c r="N471" s="23" t="str">
        <f aca="false">IF($X471="","",Settings!$C$7)</f>
        <v/>
      </c>
      <c r="O471" s="22" t="str">
        <f aca="false">IF($X471="","",SUMIFS('Per Line'!$Y$2:$Y$4001,'Per Line'!$D$2:$D$4001,$B471,'Per Line'!$AJ$2:$AJ$4001,0))</f>
        <v/>
      </c>
      <c r="P471" s="22" t="str">
        <f aca="false">IF($X471="","",O471*N471)</f>
        <v/>
      </c>
      <c r="Q471" s="23" t="str">
        <f aca="false">IF($X471="","",Settings!$C$6)</f>
        <v/>
      </c>
      <c r="R471" s="22" t="str">
        <f aca="false">IF($X471="","",SUMIFS('Per Line'!$Y$2:$Y$4001,'Per Line'!$D$2:$D$4001,$B471,'Per Line'!$AJ$2:$AJ$4001,1))</f>
        <v/>
      </c>
      <c r="S471" s="22" t="str">
        <f aca="false">IF($X471="","",R471*Q471)</f>
        <v/>
      </c>
      <c r="T471" s="22" t="str">
        <f aca="false">IF($X471="","",S471+P471)</f>
        <v/>
      </c>
      <c r="U471" s="22" t="str">
        <f aca="false">IF($X471="","",V471-T471)</f>
        <v/>
      </c>
      <c r="V471" s="22" t="str">
        <f aca="false">IF($X471="","",O471+R471)</f>
        <v/>
      </c>
      <c r="W471" s="22" t="str">
        <f aca="false">IF($X471="","",U471-L471)</f>
        <v/>
      </c>
      <c r="X471" s="24" t="str">
        <f aca="false">IF(ROWS($X$2:$X471)&lt;=MAX('Per Line'!$AI$2:$AI$4001),MATCH(ROWS($X$2:$X471),'Per Line'!$AI$2:$AI$4001,0),"")</f>
        <v/>
      </c>
    </row>
    <row r="472" customFormat="false" ht="15" hidden="false" customHeight="false" outlineLevel="0" collapsed="false">
      <c r="A472" s="19"/>
      <c r="B472" s="20" t="str">
        <f aca="false">IF($X472="","",INDEX('Per Line'!$D$2:$D$4001,$X472))</f>
        <v/>
      </c>
      <c r="C472" s="20" t="str">
        <f aca="false">IF($X472="","",INDEX('Per Line'!$C$2:$C$4001,$X472))</f>
        <v/>
      </c>
      <c r="D472" s="20" t="str">
        <f aca="false">IF($X472="","",INDEX('Per Line'!$A$2:$A$4001,$X472))</f>
        <v/>
      </c>
      <c r="E472" s="21" t="str">
        <f aca="false">IF($X472="","",INDEX('Per Line'!$F$2:$F$4001,$X472))</f>
        <v/>
      </c>
      <c r="F472" s="20" t="str">
        <f aca="false">IF($X472="","",INDEX('Per Line'!$G$2:$G$4001,$X472))</f>
        <v/>
      </c>
      <c r="G472" s="20" t="str">
        <f aca="false">IF($X472="","",INDEX('Per Line'!$I$2:$I$4001,$X472))</f>
        <v/>
      </c>
      <c r="H472" s="20" t="str">
        <f aca="false">IF($X472="","",INDEX('Per Line'!$J$2:$J$4001,$X472))</f>
        <v/>
      </c>
      <c r="I472" s="20" t="str">
        <f aca="false">IF($X472="","",INDEX('Per Line'!$K$2:$K$4001,$X472))</f>
        <v/>
      </c>
      <c r="J472" s="20" t="str">
        <f aca="false">IF($X472="","",INDEX('Per Line'!$L$2:$L$4001,$X472))</f>
        <v/>
      </c>
      <c r="K472" s="20" t="str">
        <f aca="false">IF($X472="","",INDEX('Per Line'!$M$2:$M$4001,$X472))</f>
        <v/>
      </c>
      <c r="L472" s="22" t="str">
        <f aca="false">IF($X472="","",K472*V472/100)</f>
        <v/>
      </c>
      <c r="M472" s="20" t="str">
        <f aca="false">IF($X472="","",INDEX('Per Line'!$Z$2:$Z$4001,$X472))</f>
        <v/>
      </c>
      <c r="N472" s="23" t="str">
        <f aca="false">IF($X472="","",Settings!$C$7)</f>
        <v/>
      </c>
      <c r="O472" s="22" t="str">
        <f aca="false">IF($X472="","",SUMIFS('Per Line'!$Y$2:$Y$4001,'Per Line'!$D$2:$D$4001,$B472,'Per Line'!$AJ$2:$AJ$4001,0))</f>
        <v/>
      </c>
      <c r="P472" s="22" t="str">
        <f aca="false">IF($X472="","",O472*N472)</f>
        <v/>
      </c>
      <c r="Q472" s="23" t="str">
        <f aca="false">IF($X472="","",Settings!$C$6)</f>
        <v/>
      </c>
      <c r="R472" s="22" t="str">
        <f aca="false">IF($X472="","",SUMIFS('Per Line'!$Y$2:$Y$4001,'Per Line'!$D$2:$D$4001,$B472,'Per Line'!$AJ$2:$AJ$4001,1))</f>
        <v/>
      </c>
      <c r="S472" s="22" t="str">
        <f aca="false">IF($X472="","",R472*Q472)</f>
        <v/>
      </c>
      <c r="T472" s="22" t="str">
        <f aca="false">IF($X472="","",S472+P472)</f>
        <v/>
      </c>
      <c r="U472" s="22" t="str">
        <f aca="false">IF($X472="","",V472-T472)</f>
        <v/>
      </c>
      <c r="V472" s="22" t="str">
        <f aca="false">IF($X472="","",O472+R472)</f>
        <v/>
      </c>
      <c r="W472" s="22" t="str">
        <f aca="false">IF($X472="","",U472-L472)</f>
        <v/>
      </c>
      <c r="X472" s="24" t="str">
        <f aca="false">IF(ROWS($X$2:$X472)&lt;=MAX('Per Line'!$AI$2:$AI$4001),MATCH(ROWS($X$2:$X472),'Per Line'!$AI$2:$AI$4001,0),"")</f>
        <v/>
      </c>
    </row>
    <row r="473" customFormat="false" ht="15" hidden="false" customHeight="false" outlineLevel="0" collapsed="false">
      <c r="A473" s="19"/>
      <c r="B473" s="20" t="str">
        <f aca="false">IF($X473="","",INDEX('Per Line'!$D$2:$D$4001,$X473))</f>
        <v/>
      </c>
      <c r="C473" s="20" t="str">
        <f aca="false">IF($X473="","",INDEX('Per Line'!$C$2:$C$4001,$X473))</f>
        <v/>
      </c>
      <c r="D473" s="20" t="str">
        <f aca="false">IF($X473="","",INDEX('Per Line'!$A$2:$A$4001,$X473))</f>
        <v/>
      </c>
      <c r="E473" s="21" t="str">
        <f aca="false">IF($X473="","",INDEX('Per Line'!$F$2:$F$4001,$X473))</f>
        <v/>
      </c>
      <c r="F473" s="20" t="str">
        <f aca="false">IF($X473="","",INDEX('Per Line'!$G$2:$G$4001,$X473))</f>
        <v/>
      </c>
      <c r="G473" s="20" t="str">
        <f aca="false">IF($X473="","",INDEX('Per Line'!$I$2:$I$4001,$X473))</f>
        <v/>
      </c>
      <c r="H473" s="20" t="str">
        <f aca="false">IF($X473="","",INDEX('Per Line'!$J$2:$J$4001,$X473))</f>
        <v/>
      </c>
      <c r="I473" s="20" t="str">
        <f aca="false">IF($X473="","",INDEX('Per Line'!$K$2:$K$4001,$X473))</f>
        <v/>
      </c>
      <c r="J473" s="20" t="str">
        <f aca="false">IF($X473="","",INDEX('Per Line'!$L$2:$L$4001,$X473))</f>
        <v/>
      </c>
      <c r="K473" s="20" t="str">
        <f aca="false">IF($X473="","",INDEX('Per Line'!$M$2:$M$4001,$X473))</f>
        <v/>
      </c>
      <c r="L473" s="22" t="str">
        <f aca="false">IF($X473="","",K473*V473/100)</f>
        <v/>
      </c>
      <c r="M473" s="20" t="str">
        <f aca="false">IF($X473="","",INDEX('Per Line'!$Z$2:$Z$4001,$X473))</f>
        <v/>
      </c>
      <c r="N473" s="23" t="str">
        <f aca="false">IF($X473="","",Settings!$C$7)</f>
        <v/>
      </c>
      <c r="O473" s="22" t="str">
        <f aca="false">IF($X473="","",SUMIFS('Per Line'!$Y$2:$Y$4001,'Per Line'!$D$2:$D$4001,$B473,'Per Line'!$AJ$2:$AJ$4001,0))</f>
        <v/>
      </c>
      <c r="P473" s="22" t="str">
        <f aca="false">IF($X473="","",O473*N473)</f>
        <v/>
      </c>
      <c r="Q473" s="23" t="str">
        <f aca="false">IF($X473="","",Settings!$C$6)</f>
        <v/>
      </c>
      <c r="R473" s="22" t="str">
        <f aca="false">IF($X473="","",SUMIFS('Per Line'!$Y$2:$Y$4001,'Per Line'!$D$2:$D$4001,$B473,'Per Line'!$AJ$2:$AJ$4001,1))</f>
        <v/>
      </c>
      <c r="S473" s="22" t="str">
        <f aca="false">IF($X473="","",R473*Q473)</f>
        <v/>
      </c>
      <c r="T473" s="22" t="str">
        <f aca="false">IF($X473="","",S473+P473)</f>
        <v/>
      </c>
      <c r="U473" s="22" t="str">
        <f aca="false">IF($X473="","",V473-T473)</f>
        <v/>
      </c>
      <c r="V473" s="22" t="str">
        <f aca="false">IF($X473="","",O473+R473)</f>
        <v/>
      </c>
      <c r="W473" s="22" t="str">
        <f aca="false">IF($X473="","",U473-L473)</f>
        <v/>
      </c>
      <c r="X473" s="24" t="str">
        <f aca="false">IF(ROWS($X$2:$X473)&lt;=MAX('Per Line'!$AI$2:$AI$4001),MATCH(ROWS($X$2:$X473),'Per Line'!$AI$2:$AI$4001,0),"")</f>
        <v/>
      </c>
    </row>
    <row r="474" customFormat="false" ht="15" hidden="false" customHeight="false" outlineLevel="0" collapsed="false">
      <c r="A474" s="19"/>
      <c r="B474" s="20" t="str">
        <f aca="false">IF($X474="","",INDEX('Per Line'!$D$2:$D$4001,$X474))</f>
        <v/>
      </c>
      <c r="C474" s="20" t="str">
        <f aca="false">IF($X474="","",INDEX('Per Line'!$C$2:$C$4001,$X474))</f>
        <v/>
      </c>
      <c r="D474" s="20" t="str">
        <f aca="false">IF($X474="","",INDEX('Per Line'!$A$2:$A$4001,$X474))</f>
        <v/>
      </c>
      <c r="E474" s="21" t="str">
        <f aca="false">IF($X474="","",INDEX('Per Line'!$F$2:$F$4001,$X474))</f>
        <v/>
      </c>
      <c r="F474" s="20" t="str">
        <f aca="false">IF($X474="","",INDEX('Per Line'!$G$2:$G$4001,$X474))</f>
        <v/>
      </c>
      <c r="G474" s="20" t="str">
        <f aca="false">IF($X474="","",INDEX('Per Line'!$I$2:$I$4001,$X474))</f>
        <v/>
      </c>
      <c r="H474" s="20" t="str">
        <f aca="false">IF($X474="","",INDEX('Per Line'!$J$2:$J$4001,$X474))</f>
        <v/>
      </c>
      <c r="I474" s="20" t="str">
        <f aca="false">IF($X474="","",INDEX('Per Line'!$K$2:$K$4001,$X474))</f>
        <v/>
      </c>
      <c r="J474" s="20" t="str">
        <f aca="false">IF($X474="","",INDEX('Per Line'!$L$2:$L$4001,$X474))</f>
        <v/>
      </c>
      <c r="K474" s="20" t="str">
        <f aca="false">IF($X474="","",INDEX('Per Line'!$M$2:$M$4001,$X474))</f>
        <v/>
      </c>
      <c r="L474" s="22" t="str">
        <f aca="false">IF($X474="","",K474*V474/100)</f>
        <v/>
      </c>
      <c r="M474" s="20" t="str">
        <f aca="false">IF($X474="","",INDEX('Per Line'!$Z$2:$Z$4001,$X474))</f>
        <v/>
      </c>
      <c r="N474" s="23" t="str">
        <f aca="false">IF($X474="","",Settings!$C$7)</f>
        <v/>
      </c>
      <c r="O474" s="22" t="str">
        <f aca="false">IF($X474="","",SUMIFS('Per Line'!$Y$2:$Y$4001,'Per Line'!$D$2:$D$4001,$B474,'Per Line'!$AJ$2:$AJ$4001,0))</f>
        <v/>
      </c>
      <c r="P474" s="22" t="str">
        <f aca="false">IF($X474="","",O474*N474)</f>
        <v/>
      </c>
      <c r="Q474" s="23" t="str">
        <f aca="false">IF($X474="","",Settings!$C$6)</f>
        <v/>
      </c>
      <c r="R474" s="22" t="str">
        <f aca="false">IF($X474="","",SUMIFS('Per Line'!$Y$2:$Y$4001,'Per Line'!$D$2:$D$4001,$B474,'Per Line'!$AJ$2:$AJ$4001,1))</f>
        <v/>
      </c>
      <c r="S474" s="22" t="str">
        <f aca="false">IF($X474="","",R474*Q474)</f>
        <v/>
      </c>
      <c r="T474" s="22" t="str">
        <f aca="false">IF($X474="","",S474+P474)</f>
        <v/>
      </c>
      <c r="U474" s="22" t="str">
        <f aca="false">IF($X474="","",V474-T474)</f>
        <v/>
      </c>
      <c r="V474" s="22" t="str">
        <f aca="false">IF($X474="","",O474+R474)</f>
        <v/>
      </c>
      <c r="W474" s="22" t="str">
        <f aca="false">IF($X474="","",U474-L474)</f>
        <v/>
      </c>
      <c r="X474" s="24" t="str">
        <f aca="false">IF(ROWS($X$2:$X474)&lt;=MAX('Per Line'!$AI$2:$AI$4001),MATCH(ROWS($X$2:$X474),'Per Line'!$AI$2:$AI$4001,0),"")</f>
        <v/>
      </c>
    </row>
    <row r="475" customFormat="false" ht="15" hidden="false" customHeight="false" outlineLevel="0" collapsed="false">
      <c r="A475" s="19"/>
      <c r="B475" s="20" t="str">
        <f aca="false">IF($X475="","",INDEX('Per Line'!$D$2:$D$4001,$X475))</f>
        <v/>
      </c>
      <c r="C475" s="20" t="str">
        <f aca="false">IF($X475="","",INDEX('Per Line'!$C$2:$C$4001,$X475))</f>
        <v/>
      </c>
      <c r="D475" s="20" t="str">
        <f aca="false">IF($X475="","",INDEX('Per Line'!$A$2:$A$4001,$X475))</f>
        <v/>
      </c>
      <c r="E475" s="21" t="str">
        <f aca="false">IF($X475="","",INDEX('Per Line'!$F$2:$F$4001,$X475))</f>
        <v/>
      </c>
      <c r="F475" s="20" t="str">
        <f aca="false">IF($X475="","",INDEX('Per Line'!$G$2:$G$4001,$X475))</f>
        <v/>
      </c>
      <c r="G475" s="20" t="str">
        <f aca="false">IF($X475="","",INDEX('Per Line'!$I$2:$I$4001,$X475))</f>
        <v/>
      </c>
      <c r="H475" s="20" t="str">
        <f aca="false">IF($X475="","",INDEX('Per Line'!$J$2:$J$4001,$X475))</f>
        <v/>
      </c>
      <c r="I475" s="20" t="str">
        <f aca="false">IF($X475="","",INDEX('Per Line'!$K$2:$K$4001,$X475))</f>
        <v/>
      </c>
      <c r="J475" s="20" t="str">
        <f aca="false">IF($X475="","",INDEX('Per Line'!$L$2:$L$4001,$X475))</f>
        <v/>
      </c>
      <c r="K475" s="20" t="str">
        <f aca="false">IF($X475="","",INDEX('Per Line'!$M$2:$M$4001,$X475))</f>
        <v/>
      </c>
      <c r="L475" s="22" t="str">
        <f aca="false">IF($X475="","",K475*V475/100)</f>
        <v/>
      </c>
      <c r="M475" s="20" t="str">
        <f aca="false">IF($X475="","",INDEX('Per Line'!$Z$2:$Z$4001,$X475))</f>
        <v/>
      </c>
      <c r="N475" s="23" t="str">
        <f aca="false">IF($X475="","",Settings!$C$7)</f>
        <v/>
      </c>
      <c r="O475" s="22" t="str">
        <f aca="false">IF($X475="","",SUMIFS('Per Line'!$Y$2:$Y$4001,'Per Line'!$D$2:$D$4001,$B475,'Per Line'!$AJ$2:$AJ$4001,0))</f>
        <v/>
      </c>
      <c r="P475" s="22" t="str">
        <f aca="false">IF($X475="","",O475*N475)</f>
        <v/>
      </c>
      <c r="Q475" s="23" t="str">
        <f aca="false">IF($X475="","",Settings!$C$6)</f>
        <v/>
      </c>
      <c r="R475" s="22" t="str">
        <f aca="false">IF($X475="","",SUMIFS('Per Line'!$Y$2:$Y$4001,'Per Line'!$D$2:$D$4001,$B475,'Per Line'!$AJ$2:$AJ$4001,1))</f>
        <v/>
      </c>
      <c r="S475" s="22" t="str">
        <f aca="false">IF($X475="","",R475*Q475)</f>
        <v/>
      </c>
      <c r="T475" s="22" t="str">
        <f aca="false">IF($X475="","",S475+P475)</f>
        <v/>
      </c>
      <c r="U475" s="22" t="str">
        <f aca="false">IF($X475="","",V475-T475)</f>
        <v/>
      </c>
      <c r="V475" s="22" t="str">
        <f aca="false">IF($X475="","",O475+R475)</f>
        <v/>
      </c>
      <c r="W475" s="22" t="str">
        <f aca="false">IF($X475="","",U475-L475)</f>
        <v/>
      </c>
      <c r="X475" s="24" t="str">
        <f aca="false">IF(ROWS($X$2:$X475)&lt;=MAX('Per Line'!$AI$2:$AI$4001),MATCH(ROWS($X$2:$X475),'Per Line'!$AI$2:$AI$4001,0),"")</f>
        <v/>
      </c>
    </row>
    <row r="476" customFormat="false" ht="15" hidden="false" customHeight="false" outlineLevel="0" collapsed="false">
      <c r="A476" s="19"/>
      <c r="B476" s="20" t="str">
        <f aca="false">IF($X476="","",INDEX('Per Line'!$D$2:$D$4001,$X476))</f>
        <v/>
      </c>
      <c r="C476" s="20" t="str">
        <f aca="false">IF($X476="","",INDEX('Per Line'!$C$2:$C$4001,$X476))</f>
        <v/>
      </c>
      <c r="D476" s="20" t="str">
        <f aca="false">IF($X476="","",INDEX('Per Line'!$A$2:$A$4001,$X476))</f>
        <v/>
      </c>
      <c r="E476" s="21" t="str">
        <f aca="false">IF($X476="","",INDEX('Per Line'!$F$2:$F$4001,$X476))</f>
        <v/>
      </c>
      <c r="F476" s="20" t="str">
        <f aca="false">IF($X476="","",INDEX('Per Line'!$G$2:$G$4001,$X476))</f>
        <v/>
      </c>
      <c r="G476" s="20" t="str">
        <f aca="false">IF($X476="","",INDEX('Per Line'!$I$2:$I$4001,$X476))</f>
        <v/>
      </c>
      <c r="H476" s="20" t="str">
        <f aca="false">IF($X476="","",INDEX('Per Line'!$J$2:$J$4001,$X476))</f>
        <v/>
      </c>
      <c r="I476" s="20" t="str">
        <f aca="false">IF($X476="","",INDEX('Per Line'!$K$2:$K$4001,$X476))</f>
        <v/>
      </c>
      <c r="J476" s="20" t="str">
        <f aca="false">IF($X476="","",INDEX('Per Line'!$L$2:$L$4001,$X476))</f>
        <v/>
      </c>
      <c r="K476" s="20" t="str">
        <f aca="false">IF($X476="","",INDEX('Per Line'!$M$2:$M$4001,$X476))</f>
        <v/>
      </c>
      <c r="L476" s="22" t="str">
        <f aca="false">IF($X476="","",K476*V476/100)</f>
        <v/>
      </c>
      <c r="M476" s="20" t="str">
        <f aca="false">IF($X476="","",INDEX('Per Line'!$Z$2:$Z$4001,$X476))</f>
        <v/>
      </c>
      <c r="N476" s="23" t="str">
        <f aca="false">IF($X476="","",Settings!$C$7)</f>
        <v/>
      </c>
      <c r="O476" s="22" t="str">
        <f aca="false">IF($X476="","",SUMIFS('Per Line'!$Y$2:$Y$4001,'Per Line'!$D$2:$D$4001,$B476,'Per Line'!$AJ$2:$AJ$4001,0))</f>
        <v/>
      </c>
      <c r="P476" s="22" t="str">
        <f aca="false">IF($X476="","",O476*N476)</f>
        <v/>
      </c>
      <c r="Q476" s="23" t="str">
        <f aca="false">IF($X476="","",Settings!$C$6)</f>
        <v/>
      </c>
      <c r="R476" s="22" t="str">
        <f aca="false">IF($X476="","",SUMIFS('Per Line'!$Y$2:$Y$4001,'Per Line'!$D$2:$D$4001,$B476,'Per Line'!$AJ$2:$AJ$4001,1))</f>
        <v/>
      </c>
      <c r="S476" s="22" t="str">
        <f aca="false">IF($X476="","",R476*Q476)</f>
        <v/>
      </c>
      <c r="T476" s="22" t="str">
        <f aca="false">IF($X476="","",S476+P476)</f>
        <v/>
      </c>
      <c r="U476" s="22" t="str">
        <f aca="false">IF($X476="","",V476-T476)</f>
        <v/>
      </c>
      <c r="V476" s="22" t="str">
        <f aca="false">IF($X476="","",O476+R476)</f>
        <v/>
      </c>
      <c r="W476" s="22" t="str">
        <f aca="false">IF($X476="","",U476-L476)</f>
        <v/>
      </c>
      <c r="X476" s="24" t="str">
        <f aca="false">IF(ROWS($X$2:$X476)&lt;=MAX('Per Line'!$AI$2:$AI$4001),MATCH(ROWS($X$2:$X476),'Per Line'!$AI$2:$AI$4001,0),"")</f>
        <v/>
      </c>
    </row>
    <row r="477" customFormat="false" ht="15" hidden="false" customHeight="false" outlineLevel="0" collapsed="false">
      <c r="A477" s="19"/>
      <c r="B477" s="20" t="str">
        <f aca="false">IF($X477="","",INDEX('Per Line'!$D$2:$D$4001,$X477))</f>
        <v/>
      </c>
      <c r="C477" s="20" t="str">
        <f aca="false">IF($X477="","",INDEX('Per Line'!$C$2:$C$4001,$X477))</f>
        <v/>
      </c>
      <c r="D477" s="20" t="str">
        <f aca="false">IF($X477="","",INDEX('Per Line'!$A$2:$A$4001,$X477))</f>
        <v/>
      </c>
      <c r="E477" s="21" t="str">
        <f aca="false">IF($X477="","",INDEX('Per Line'!$F$2:$F$4001,$X477))</f>
        <v/>
      </c>
      <c r="F477" s="20" t="str">
        <f aca="false">IF($X477="","",INDEX('Per Line'!$G$2:$G$4001,$X477))</f>
        <v/>
      </c>
      <c r="G477" s="20" t="str">
        <f aca="false">IF($X477="","",INDEX('Per Line'!$I$2:$I$4001,$X477))</f>
        <v/>
      </c>
      <c r="H477" s="20" t="str">
        <f aca="false">IF($X477="","",INDEX('Per Line'!$J$2:$J$4001,$X477))</f>
        <v/>
      </c>
      <c r="I477" s="20" t="str">
        <f aca="false">IF($X477="","",INDEX('Per Line'!$K$2:$K$4001,$X477))</f>
        <v/>
      </c>
      <c r="J477" s="20" t="str">
        <f aca="false">IF($X477="","",INDEX('Per Line'!$L$2:$L$4001,$X477))</f>
        <v/>
      </c>
      <c r="K477" s="20" t="str">
        <f aca="false">IF($X477="","",INDEX('Per Line'!$M$2:$M$4001,$X477))</f>
        <v/>
      </c>
      <c r="L477" s="22" t="str">
        <f aca="false">IF($X477="","",K477*V477/100)</f>
        <v/>
      </c>
      <c r="M477" s="20" t="str">
        <f aca="false">IF($X477="","",INDEX('Per Line'!$Z$2:$Z$4001,$X477))</f>
        <v/>
      </c>
      <c r="N477" s="23" t="str">
        <f aca="false">IF($X477="","",Settings!$C$7)</f>
        <v/>
      </c>
      <c r="O477" s="22" t="str">
        <f aca="false">IF($X477="","",SUMIFS('Per Line'!$Y$2:$Y$4001,'Per Line'!$D$2:$D$4001,$B477,'Per Line'!$AJ$2:$AJ$4001,0))</f>
        <v/>
      </c>
      <c r="P477" s="22" t="str">
        <f aca="false">IF($X477="","",O477*N477)</f>
        <v/>
      </c>
      <c r="Q477" s="23" t="str">
        <f aca="false">IF($X477="","",Settings!$C$6)</f>
        <v/>
      </c>
      <c r="R477" s="22" t="str">
        <f aca="false">IF($X477="","",SUMIFS('Per Line'!$Y$2:$Y$4001,'Per Line'!$D$2:$D$4001,$B477,'Per Line'!$AJ$2:$AJ$4001,1))</f>
        <v/>
      </c>
      <c r="S477" s="22" t="str">
        <f aca="false">IF($X477="","",R477*Q477)</f>
        <v/>
      </c>
      <c r="T477" s="22" t="str">
        <f aca="false">IF($X477="","",S477+P477)</f>
        <v/>
      </c>
      <c r="U477" s="22" t="str">
        <f aca="false">IF($X477="","",V477-T477)</f>
        <v/>
      </c>
      <c r="V477" s="22" t="str">
        <f aca="false">IF($X477="","",O477+R477)</f>
        <v/>
      </c>
      <c r="W477" s="22" t="str">
        <f aca="false">IF($X477="","",U477-L477)</f>
        <v/>
      </c>
      <c r="X477" s="24" t="str">
        <f aca="false">IF(ROWS($X$2:$X477)&lt;=MAX('Per Line'!$AI$2:$AI$4001),MATCH(ROWS($X$2:$X477),'Per Line'!$AI$2:$AI$4001,0),"")</f>
        <v/>
      </c>
    </row>
    <row r="478" customFormat="false" ht="15" hidden="false" customHeight="false" outlineLevel="0" collapsed="false">
      <c r="A478" s="19"/>
      <c r="B478" s="20" t="str">
        <f aca="false">IF($X478="","",INDEX('Per Line'!$D$2:$D$4001,$X478))</f>
        <v/>
      </c>
      <c r="C478" s="20" t="str">
        <f aca="false">IF($X478="","",INDEX('Per Line'!$C$2:$C$4001,$X478))</f>
        <v/>
      </c>
      <c r="D478" s="20" t="str">
        <f aca="false">IF($X478="","",INDEX('Per Line'!$A$2:$A$4001,$X478))</f>
        <v/>
      </c>
      <c r="E478" s="21" t="str">
        <f aca="false">IF($X478="","",INDEX('Per Line'!$F$2:$F$4001,$X478))</f>
        <v/>
      </c>
      <c r="F478" s="20" t="str">
        <f aca="false">IF($X478="","",INDEX('Per Line'!$G$2:$G$4001,$X478))</f>
        <v/>
      </c>
      <c r="G478" s="20" t="str">
        <f aca="false">IF($X478="","",INDEX('Per Line'!$I$2:$I$4001,$X478))</f>
        <v/>
      </c>
      <c r="H478" s="20" t="str">
        <f aca="false">IF($X478="","",INDEX('Per Line'!$J$2:$J$4001,$X478))</f>
        <v/>
      </c>
      <c r="I478" s="20" t="str">
        <f aca="false">IF($X478="","",INDEX('Per Line'!$K$2:$K$4001,$X478))</f>
        <v/>
      </c>
      <c r="J478" s="20" t="str">
        <f aca="false">IF($X478="","",INDEX('Per Line'!$L$2:$L$4001,$X478))</f>
        <v/>
      </c>
      <c r="K478" s="20" t="str">
        <f aca="false">IF($X478="","",INDEX('Per Line'!$M$2:$M$4001,$X478))</f>
        <v/>
      </c>
      <c r="L478" s="22" t="str">
        <f aca="false">IF($X478="","",K478*V478/100)</f>
        <v/>
      </c>
      <c r="M478" s="20" t="str">
        <f aca="false">IF($X478="","",INDEX('Per Line'!$Z$2:$Z$4001,$X478))</f>
        <v/>
      </c>
      <c r="N478" s="23" t="str">
        <f aca="false">IF($X478="","",Settings!$C$7)</f>
        <v/>
      </c>
      <c r="O478" s="22" t="str">
        <f aca="false">IF($X478="","",SUMIFS('Per Line'!$Y$2:$Y$4001,'Per Line'!$D$2:$D$4001,$B478,'Per Line'!$AJ$2:$AJ$4001,0))</f>
        <v/>
      </c>
      <c r="P478" s="22" t="str">
        <f aca="false">IF($X478="","",O478*N478)</f>
        <v/>
      </c>
      <c r="Q478" s="23" t="str">
        <f aca="false">IF($X478="","",Settings!$C$6)</f>
        <v/>
      </c>
      <c r="R478" s="22" t="str">
        <f aca="false">IF($X478="","",SUMIFS('Per Line'!$Y$2:$Y$4001,'Per Line'!$D$2:$D$4001,$B478,'Per Line'!$AJ$2:$AJ$4001,1))</f>
        <v/>
      </c>
      <c r="S478" s="22" t="str">
        <f aca="false">IF($X478="","",R478*Q478)</f>
        <v/>
      </c>
      <c r="T478" s="22" t="str">
        <f aca="false">IF($X478="","",S478+P478)</f>
        <v/>
      </c>
      <c r="U478" s="22" t="str">
        <f aca="false">IF($X478="","",V478-T478)</f>
        <v/>
      </c>
      <c r="V478" s="22" t="str">
        <f aca="false">IF($X478="","",O478+R478)</f>
        <v/>
      </c>
      <c r="W478" s="22" t="str">
        <f aca="false">IF($X478="","",U478-L478)</f>
        <v/>
      </c>
      <c r="X478" s="24" t="str">
        <f aca="false">IF(ROWS($X$2:$X478)&lt;=MAX('Per Line'!$AI$2:$AI$4001),MATCH(ROWS($X$2:$X478),'Per Line'!$AI$2:$AI$4001,0),"")</f>
        <v/>
      </c>
    </row>
    <row r="479" customFormat="false" ht="15" hidden="false" customHeight="false" outlineLevel="0" collapsed="false">
      <c r="A479" s="19"/>
      <c r="B479" s="20" t="str">
        <f aca="false">IF($X479="","",INDEX('Per Line'!$D$2:$D$4001,$X479))</f>
        <v/>
      </c>
      <c r="C479" s="20" t="str">
        <f aca="false">IF($X479="","",INDEX('Per Line'!$C$2:$C$4001,$X479))</f>
        <v/>
      </c>
      <c r="D479" s="20" t="str">
        <f aca="false">IF($X479="","",INDEX('Per Line'!$A$2:$A$4001,$X479))</f>
        <v/>
      </c>
      <c r="E479" s="21" t="str">
        <f aca="false">IF($X479="","",INDEX('Per Line'!$F$2:$F$4001,$X479))</f>
        <v/>
      </c>
      <c r="F479" s="20" t="str">
        <f aca="false">IF($X479="","",INDEX('Per Line'!$G$2:$G$4001,$X479))</f>
        <v/>
      </c>
      <c r="G479" s="20" t="str">
        <f aca="false">IF($X479="","",INDEX('Per Line'!$I$2:$I$4001,$X479))</f>
        <v/>
      </c>
      <c r="H479" s="20" t="str">
        <f aca="false">IF($X479="","",INDEX('Per Line'!$J$2:$J$4001,$X479))</f>
        <v/>
      </c>
      <c r="I479" s="20" t="str">
        <f aca="false">IF($X479="","",INDEX('Per Line'!$K$2:$K$4001,$X479))</f>
        <v/>
      </c>
      <c r="J479" s="20" t="str">
        <f aca="false">IF($X479="","",INDEX('Per Line'!$L$2:$L$4001,$X479))</f>
        <v/>
      </c>
      <c r="K479" s="20" t="str">
        <f aca="false">IF($X479="","",INDEX('Per Line'!$M$2:$M$4001,$X479))</f>
        <v/>
      </c>
      <c r="L479" s="22" t="str">
        <f aca="false">IF($X479="","",K479*V479/100)</f>
        <v/>
      </c>
      <c r="M479" s="20" t="str">
        <f aca="false">IF($X479="","",INDEX('Per Line'!$Z$2:$Z$4001,$X479))</f>
        <v/>
      </c>
      <c r="N479" s="23" t="str">
        <f aca="false">IF($X479="","",Settings!$C$7)</f>
        <v/>
      </c>
      <c r="O479" s="22" t="str">
        <f aca="false">IF($X479="","",SUMIFS('Per Line'!$Y$2:$Y$4001,'Per Line'!$D$2:$D$4001,$B479,'Per Line'!$AJ$2:$AJ$4001,0))</f>
        <v/>
      </c>
      <c r="P479" s="22" t="str">
        <f aca="false">IF($X479="","",O479*N479)</f>
        <v/>
      </c>
      <c r="Q479" s="23" t="str">
        <f aca="false">IF($X479="","",Settings!$C$6)</f>
        <v/>
      </c>
      <c r="R479" s="22" t="str">
        <f aca="false">IF($X479="","",SUMIFS('Per Line'!$Y$2:$Y$4001,'Per Line'!$D$2:$D$4001,$B479,'Per Line'!$AJ$2:$AJ$4001,1))</f>
        <v/>
      </c>
      <c r="S479" s="22" t="str">
        <f aca="false">IF($X479="","",R479*Q479)</f>
        <v/>
      </c>
      <c r="T479" s="22" t="str">
        <f aca="false">IF($X479="","",S479+P479)</f>
        <v/>
      </c>
      <c r="U479" s="22" t="str">
        <f aca="false">IF($X479="","",V479-T479)</f>
        <v/>
      </c>
      <c r="V479" s="22" t="str">
        <f aca="false">IF($X479="","",O479+R479)</f>
        <v/>
      </c>
      <c r="W479" s="22" t="str">
        <f aca="false">IF($X479="","",U479-L479)</f>
        <v/>
      </c>
      <c r="X479" s="24" t="str">
        <f aca="false">IF(ROWS($X$2:$X479)&lt;=MAX('Per Line'!$AI$2:$AI$4001),MATCH(ROWS($X$2:$X479),'Per Line'!$AI$2:$AI$4001,0),"")</f>
        <v/>
      </c>
    </row>
    <row r="480" customFormat="false" ht="15" hidden="false" customHeight="false" outlineLevel="0" collapsed="false">
      <c r="A480" s="19"/>
      <c r="B480" s="20" t="str">
        <f aca="false">IF($X480="","",INDEX('Per Line'!$D$2:$D$4001,$X480))</f>
        <v/>
      </c>
      <c r="C480" s="20" t="str">
        <f aca="false">IF($X480="","",INDEX('Per Line'!$C$2:$C$4001,$X480))</f>
        <v/>
      </c>
      <c r="D480" s="20" t="str">
        <f aca="false">IF($X480="","",INDEX('Per Line'!$A$2:$A$4001,$X480))</f>
        <v/>
      </c>
      <c r="E480" s="21" t="str">
        <f aca="false">IF($X480="","",INDEX('Per Line'!$F$2:$F$4001,$X480))</f>
        <v/>
      </c>
      <c r="F480" s="20" t="str">
        <f aca="false">IF($X480="","",INDEX('Per Line'!$G$2:$G$4001,$X480))</f>
        <v/>
      </c>
      <c r="G480" s="20" t="str">
        <f aca="false">IF($X480="","",INDEX('Per Line'!$I$2:$I$4001,$X480))</f>
        <v/>
      </c>
      <c r="H480" s="20" t="str">
        <f aca="false">IF($X480="","",INDEX('Per Line'!$J$2:$J$4001,$X480))</f>
        <v/>
      </c>
      <c r="I480" s="20" t="str">
        <f aca="false">IF($X480="","",INDEX('Per Line'!$K$2:$K$4001,$X480))</f>
        <v/>
      </c>
      <c r="J480" s="20" t="str">
        <f aca="false">IF($X480="","",INDEX('Per Line'!$L$2:$L$4001,$X480))</f>
        <v/>
      </c>
      <c r="K480" s="20" t="str">
        <f aca="false">IF($X480="","",INDEX('Per Line'!$M$2:$M$4001,$X480))</f>
        <v/>
      </c>
      <c r="L480" s="22" t="str">
        <f aca="false">IF($X480="","",K480*V480/100)</f>
        <v/>
      </c>
      <c r="M480" s="20" t="str">
        <f aca="false">IF($X480="","",INDEX('Per Line'!$Z$2:$Z$4001,$X480))</f>
        <v/>
      </c>
      <c r="N480" s="23" t="str">
        <f aca="false">IF($X480="","",Settings!$C$7)</f>
        <v/>
      </c>
      <c r="O480" s="22" t="str">
        <f aca="false">IF($X480="","",SUMIFS('Per Line'!$Y$2:$Y$4001,'Per Line'!$D$2:$D$4001,$B480,'Per Line'!$AJ$2:$AJ$4001,0))</f>
        <v/>
      </c>
      <c r="P480" s="22" t="str">
        <f aca="false">IF($X480="","",O480*N480)</f>
        <v/>
      </c>
      <c r="Q480" s="23" t="str">
        <f aca="false">IF($X480="","",Settings!$C$6)</f>
        <v/>
      </c>
      <c r="R480" s="22" t="str">
        <f aca="false">IF($X480="","",SUMIFS('Per Line'!$Y$2:$Y$4001,'Per Line'!$D$2:$D$4001,$B480,'Per Line'!$AJ$2:$AJ$4001,1))</f>
        <v/>
      </c>
      <c r="S480" s="22" t="str">
        <f aca="false">IF($X480="","",R480*Q480)</f>
        <v/>
      </c>
      <c r="T480" s="22" t="str">
        <f aca="false">IF($X480="","",S480+P480)</f>
        <v/>
      </c>
      <c r="U480" s="22" t="str">
        <f aca="false">IF($X480="","",V480-T480)</f>
        <v/>
      </c>
      <c r="V480" s="22" t="str">
        <f aca="false">IF($X480="","",O480+R480)</f>
        <v/>
      </c>
      <c r="W480" s="22" t="str">
        <f aca="false">IF($X480="","",U480-L480)</f>
        <v/>
      </c>
      <c r="X480" s="24" t="str">
        <f aca="false">IF(ROWS($X$2:$X480)&lt;=MAX('Per Line'!$AI$2:$AI$4001),MATCH(ROWS($X$2:$X480),'Per Line'!$AI$2:$AI$4001,0),"")</f>
        <v/>
      </c>
    </row>
    <row r="481" customFormat="false" ht="15" hidden="false" customHeight="false" outlineLevel="0" collapsed="false">
      <c r="A481" s="19"/>
      <c r="B481" s="20" t="str">
        <f aca="false">IF($X481="","",INDEX('Per Line'!$D$2:$D$4001,$X481))</f>
        <v/>
      </c>
      <c r="C481" s="20" t="str">
        <f aca="false">IF($X481="","",INDEX('Per Line'!$C$2:$C$4001,$X481))</f>
        <v/>
      </c>
      <c r="D481" s="20" t="str">
        <f aca="false">IF($X481="","",INDEX('Per Line'!$A$2:$A$4001,$X481))</f>
        <v/>
      </c>
      <c r="E481" s="21" t="str">
        <f aca="false">IF($X481="","",INDEX('Per Line'!$F$2:$F$4001,$X481))</f>
        <v/>
      </c>
      <c r="F481" s="20" t="str">
        <f aca="false">IF($X481="","",INDEX('Per Line'!$G$2:$G$4001,$X481))</f>
        <v/>
      </c>
      <c r="G481" s="20" t="str">
        <f aca="false">IF($X481="","",INDEX('Per Line'!$I$2:$I$4001,$X481))</f>
        <v/>
      </c>
      <c r="H481" s="20" t="str">
        <f aca="false">IF($X481="","",INDEX('Per Line'!$J$2:$J$4001,$X481))</f>
        <v/>
      </c>
      <c r="I481" s="20" t="str">
        <f aca="false">IF($X481="","",INDEX('Per Line'!$K$2:$K$4001,$X481))</f>
        <v/>
      </c>
      <c r="J481" s="20" t="str">
        <f aca="false">IF($X481="","",INDEX('Per Line'!$L$2:$L$4001,$X481))</f>
        <v/>
      </c>
      <c r="K481" s="20" t="str">
        <f aca="false">IF($X481="","",INDEX('Per Line'!$M$2:$M$4001,$X481))</f>
        <v/>
      </c>
      <c r="L481" s="22" t="str">
        <f aca="false">IF($X481="","",K481*V481/100)</f>
        <v/>
      </c>
      <c r="M481" s="20" t="str">
        <f aca="false">IF($X481="","",INDEX('Per Line'!$Z$2:$Z$4001,$X481))</f>
        <v/>
      </c>
      <c r="N481" s="23" t="str">
        <f aca="false">IF($X481="","",Settings!$C$7)</f>
        <v/>
      </c>
      <c r="O481" s="22" t="str">
        <f aca="false">IF($X481="","",SUMIFS('Per Line'!$Y$2:$Y$4001,'Per Line'!$D$2:$D$4001,$B481,'Per Line'!$AJ$2:$AJ$4001,0))</f>
        <v/>
      </c>
      <c r="P481" s="22" t="str">
        <f aca="false">IF($X481="","",O481*N481)</f>
        <v/>
      </c>
      <c r="Q481" s="23" t="str">
        <f aca="false">IF($X481="","",Settings!$C$6)</f>
        <v/>
      </c>
      <c r="R481" s="22" t="str">
        <f aca="false">IF($X481="","",SUMIFS('Per Line'!$Y$2:$Y$4001,'Per Line'!$D$2:$D$4001,$B481,'Per Line'!$AJ$2:$AJ$4001,1))</f>
        <v/>
      </c>
      <c r="S481" s="22" t="str">
        <f aca="false">IF($X481="","",R481*Q481)</f>
        <v/>
      </c>
      <c r="T481" s="22" t="str">
        <f aca="false">IF($X481="","",S481+P481)</f>
        <v/>
      </c>
      <c r="U481" s="22" t="str">
        <f aca="false">IF($X481="","",V481-T481)</f>
        <v/>
      </c>
      <c r="V481" s="22" t="str">
        <f aca="false">IF($X481="","",O481+R481)</f>
        <v/>
      </c>
      <c r="W481" s="22" t="str">
        <f aca="false">IF($X481="","",U481-L481)</f>
        <v/>
      </c>
      <c r="X481" s="24" t="str">
        <f aca="false">IF(ROWS($X$2:$X481)&lt;=MAX('Per Line'!$AI$2:$AI$4001),MATCH(ROWS($X$2:$X481),'Per Line'!$AI$2:$AI$4001,0),"")</f>
        <v/>
      </c>
    </row>
    <row r="482" customFormat="false" ht="15" hidden="false" customHeight="false" outlineLevel="0" collapsed="false">
      <c r="A482" s="19"/>
      <c r="B482" s="20" t="str">
        <f aca="false">IF($X482="","",INDEX('Per Line'!$D$2:$D$4001,$X482))</f>
        <v/>
      </c>
      <c r="C482" s="20" t="str">
        <f aca="false">IF($X482="","",INDEX('Per Line'!$C$2:$C$4001,$X482))</f>
        <v/>
      </c>
      <c r="D482" s="20" t="str">
        <f aca="false">IF($X482="","",INDEX('Per Line'!$A$2:$A$4001,$X482))</f>
        <v/>
      </c>
      <c r="E482" s="21" t="str">
        <f aca="false">IF($X482="","",INDEX('Per Line'!$F$2:$F$4001,$X482))</f>
        <v/>
      </c>
      <c r="F482" s="20" t="str">
        <f aca="false">IF($X482="","",INDEX('Per Line'!$G$2:$G$4001,$X482))</f>
        <v/>
      </c>
      <c r="G482" s="20" t="str">
        <f aca="false">IF($X482="","",INDEX('Per Line'!$I$2:$I$4001,$X482))</f>
        <v/>
      </c>
      <c r="H482" s="20" t="str">
        <f aca="false">IF($X482="","",INDEX('Per Line'!$J$2:$J$4001,$X482))</f>
        <v/>
      </c>
      <c r="I482" s="20" t="str">
        <f aca="false">IF($X482="","",INDEX('Per Line'!$K$2:$K$4001,$X482))</f>
        <v/>
      </c>
      <c r="J482" s="20" t="str">
        <f aca="false">IF($X482="","",INDEX('Per Line'!$L$2:$L$4001,$X482))</f>
        <v/>
      </c>
      <c r="K482" s="20" t="str">
        <f aca="false">IF($X482="","",INDEX('Per Line'!$M$2:$M$4001,$X482))</f>
        <v/>
      </c>
      <c r="L482" s="22" t="str">
        <f aca="false">IF($X482="","",K482*V482/100)</f>
        <v/>
      </c>
      <c r="M482" s="20" t="str">
        <f aca="false">IF($X482="","",INDEX('Per Line'!$Z$2:$Z$4001,$X482))</f>
        <v/>
      </c>
      <c r="N482" s="23" t="str">
        <f aca="false">IF($X482="","",Settings!$C$7)</f>
        <v/>
      </c>
      <c r="O482" s="22" t="str">
        <f aca="false">IF($X482="","",SUMIFS('Per Line'!$Y$2:$Y$4001,'Per Line'!$D$2:$D$4001,$B482,'Per Line'!$AJ$2:$AJ$4001,0))</f>
        <v/>
      </c>
      <c r="P482" s="22" t="str">
        <f aca="false">IF($X482="","",O482*N482)</f>
        <v/>
      </c>
      <c r="Q482" s="23" t="str">
        <f aca="false">IF($X482="","",Settings!$C$6)</f>
        <v/>
      </c>
      <c r="R482" s="22" t="str">
        <f aca="false">IF($X482="","",SUMIFS('Per Line'!$Y$2:$Y$4001,'Per Line'!$D$2:$D$4001,$B482,'Per Line'!$AJ$2:$AJ$4001,1))</f>
        <v/>
      </c>
      <c r="S482" s="22" t="str">
        <f aca="false">IF($X482="","",R482*Q482)</f>
        <v/>
      </c>
      <c r="T482" s="22" t="str">
        <f aca="false">IF($X482="","",S482+P482)</f>
        <v/>
      </c>
      <c r="U482" s="22" t="str">
        <f aca="false">IF($X482="","",V482-T482)</f>
        <v/>
      </c>
      <c r="V482" s="22" t="str">
        <f aca="false">IF($X482="","",O482+R482)</f>
        <v/>
      </c>
      <c r="W482" s="22" t="str">
        <f aca="false">IF($X482="","",U482-L482)</f>
        <v/>
      </c>
      <c r="X482" s="24" t="str">
        <f aca="false">IF(ROWS($X$2:$X482)&lt;=MAX('Per Line'!$AI$2:$AI$4001),MATCH(ROWS($X$2:$X482),'Per Line'!$AI$2:$AI$4001,0),"")</f>
        <v/>
      </c>
    </row>
    <row r="483" customFormat="false" ht="15" hidden="false" customHeight="false" outlineLevel="0" collapsed="false">
      <c r="A483" s="19"/>
      <c r="B483" s="20" t="str">
        <f aca="false">IF($X483="","",INDEX('Per Line'!$D$2:$D$4001,$X483))</f>
        <v/>
      </c>
      <c r="C483" s="20" t="str">
        <f aca="false">IF($X483="","",INDEX('Per Line'!$C$2:$C$4001,$X483))</f>
        <v/>
      </c>
      <c r="D483" s="20" t="str">
        <f aca="false">IF($X483="","",INDEX('Per Line'!$A$2:$A$4001,$X483))</f>
        <v/>
      </c>
      <c r="E483" s="21" t="str">
        <f aca="false">IF($X483="","",INDEX('Per Line'!$F$2:$F$4001,$X483))</f>
        <v/>
      </c>
      <c r="F483" s="20" t="str">
        <f aca="false">IF($X483="","",INDEX('Per Line'!$G$2:$G$4001,$X483))</f>
        <v/>
      </c>
      <c r="G483" s="20" t="str">
        <f aca="false">IF($X483="","",INDEX('Per Line'!$I$2:$I$4001,$X483))</f>
        <v/>
      </c>
      <c r="H483" s="20" t="str">
        <f aca="false">IF($X483="","",INDEX('Per Line'!$J$2:$J$4001,$X483))</f>
        <v/>
      </c>
      <c r="I483" s="20" t="str">
        <f aca="false">IF($X483="","",INDEX('Per Line'!$K$2:$K$4001,$X483))</f>
        <v/>
      </c>
      <c r="J483" s="20" t="str">
        <f aca="false">IF($X483="","",INDEX('Per Line'!$L$2:$L$4001,$X483))</f>
        <v/>
      </c>
      <c r="K483" s="20" t="str">
        <f aca="false">IF($X483="","",INDEX('Per Line'!$M$2:$M$4001,$X483))</f>
        <v/>
      </c>
      <c r="L483" s="22" t="str">
        <f aca="false">IF($X483="","",K483*V483/100)</f>
        <v/>
      </c>
      <c r="M483" s="20" t="str">
        <f aca="false">IF($X483="","",INDEX('Per Line'!$Z$2:$Z$4001,$X483))</f>
        <v/>
      </c>
      <c r="N483" s="23" t="str">
        <f aca="false">IF($X483="","",Settings!$C$7)</f>
        <v/>
      </c>
      <c r="O483" s="22" t="str">
        <f aca="false">IF($X483="","",SUMIFS('Per Line'!$Y$2:$Y$4001,'Per Line'!$D$2:$D$4001,$B483,'Per Line'!$AJ$2:$AJ$4001,0))</f>
        <v/>
      </c>
      <c r="P483" s="22" t="str">
        <f aca="false">IF($X483="","",O483*N483)</f>
        <v/>
      </c>
      <c r="Q483" s="23" t="str">
        <f aca="false">IF($X483="","",Settings!$C$6)</f>
        <v/>
      </c>
      <c r="R483" s="22" t="str">
        <f aca="false">IF($X483="","",SUMIFS('Per Line'!$Y$2:$Y$4001,'Per Line'!$D$2:$D$4001,$B483,'Per Line'!$AJ$2:$AJ$4001,1))</f>
        <v/>
      </c>
      <c r="S483" s="22" t="str">
        <f aca="false">IF($X483="","",R483*Q483)</f>
        <v/>
      </c>
      <c r="T483" s="22" t="str">
        <f aca="false">IF($X483="","",S483+P483)</f>
        <v/>
      </c>
      <c r="U483" s="22" t="str">
        <f aca="false">IF($X483="","",V483-T483)</f>
        <v/>
      </c>
      <c r="V483" s="22" t="str">
        <f aca="false">IF($X483="","",O483+R483)</f>
        <v/>
      </c>
      <c r="W483" s="22" t="str">
        <f aca="false">IF($X483="","",U483-L483)</f>
        <v/>
      </c>
      <c r="X483" s="24" t="str">
        <f aca="false">IF(ROWS($X$2:$X483)&lt;=MAX('Per Line'!$AI$2:$AI$4001),MATCH(ROWS($X$2:$X483),'Per Line'!$AI$2:$AI$4001,0),"")</f>
        <v/>
      </c>
    </row>
    <row r="484" customFormat="false" ht="15" hidden="false" customHeight="false" outlineLevel="0" collapsed="false">
      <c r="A484" s="19"/>
      <c r="B484" s="20" t="str">
        <f aca="false">IF($X484="","",INDEX('Per Line'!$D$2:$D$4001,$X484))</f>
        <v/>
      </c>
      <c r="C484" s="20" t="str">
        <f aca="false">IF($X484="","",INDEX('Per Line'!$C$2:$C$4001,$X484))</f>
        <v/>
      </c>
      <c r="D484" s="20" t="str">
        <f aca="false">IF($X484="","",INDEX('Per Line'!$A$2:$A$4001,$X484))</f>
        <v/>
      </c>
      <c r="E484" s="21" t="str">
        <f aca="false">IF($X484="","",INDEX('Per Line'!$F$2:$F$4001,$X484))</f>
        <v/>
      </c>
      <c r="F484" s="20" t="str">
        <f aca="false">IF($X484="","",INDEX('Per Line'!$G$2:$G$4001,$X484))</f>
        <v/>
      </c>
      <c r="G484" s="20" t="str">
        <f aca="false">IF($X484="","",INDEX('Per Line'!$I$2:$I$4001,$X484))</f>
        <v/>
      </c>
      <c r="H484" s="20" t="str">
        <f aca="false">IF($X484="","",INDEX('Per Line'!$J$2:$J$4001,$X484))</f>
        <v/>
      </c>
      <c r="I484" s="20" t="str">
        <f aca="false">IF($X484="","",INDEX('Per Line'!$K$2:$K$4001,$X484))</f>
        <v/>
      </c>
      <c r="J484" s="20" t="str">
        <f aca="false">IF($X484="","",INDEX('Per Line'!$L$2:$L$4001,$X484))</f>
        <v/>
      </c>
      <c r="K484" s="20" t="str">
        <f aca="false">IF($X484="","",INDEX('Per Line'!$M$2:$M$4001,$X484))</f>
        <v/>
      </c>
      <c r="L484" s="22" t="str">
        <f aca="false">IF($X484="","",K484*V484/100)</f>
        <v/>
      </c>
      <c r="M484" s="20" t="str">
        <f aca="false">IF($X484="","",INDEX('Per Line'!$Z$2:$Z$4001,$X484))</f>
        <v/>
      </c>
      <c r="N484" s="23" t="str">
        <f aca="false">IF($X484="","",Settings!$C$7)</f>
        <v/>
      </c>
      <c r="O484" s="22" t="str">
        <f aca="false">IF($X484="","",SUMIFS('Per Line'!$Y$2:$Y$4001,'Per Line'!$D$2:$D$4001,$B484,'Per Line'!$AJ$2:$AJ$4001,0))</f>
        <v/>
      </c>
      <c r="P484" s="22" t="str">
        <f aca="false">IF($X484="","",O484*N484)</f>
        <v/>
      </c>
      <c r="Q484" s="23" t="str">
        <f aca="false">IF($X484="","",Settings!$C$6)</f>
        <v/>
      </c>
      <c r="R484" s="22" t="str">
        <f aca="false">IF($X484="","",SUMIFS('Per Line'!$Y$2:$Y$4001,'Per Line'!$D$2:$D$4001,$B484,'Per Line'!$AJ$2:$AJ$4001,1))</f>
        <v/>
      </c>
      <c r="S484" s="22" t="str">
        <f aca="false">IF($X484="","",R484*Q484)</f>
        <v/>
      </c>
      <c r="T484" s="22" t="str">
        <f aca="false">IF($X484="","",S484+P484)</f>
        <v/>
      </c>
      <c r="U484" s="22" t="str">
        <f aca="false">IF($X484="","",V484-T484)</f>
        <v/>
      </c>
      <c r="V484" s="22" t="str">
        <f aca="false">IF($X484="","",O484+R484)</f>
        <v/>
      </c>
      <c r="W484" s="22" t="str">
        <f aca="false">IF($X484="","",U484-L484)</f>
        <v/>
      </c>
      <c r="X484" s="24" t="str">
        <f aca="false">IF(ROWS($X$2:$X484)&lt;=MAX('Per Line'!$AI$2:$AI$4001),MATCH(ROWS($X$2:$X484),'Per Line'!$AI$2:$AI$4001,0),"")</f>
        <v/>
      </c>
    </row>
    <row r="485" customFormat="false" ht="15" hidden="false" customHeight="false" outlineLevel="0" collapsed="false">
      <c r="A485" s="19"/>
      <c r="B485" s="20" t="str">
        <f aca="false">IF($X485="","",INDEX('Per Line'!$D$2:$D$4001,$X485))</f>
        <v/>
      </c>
      <c r="C485" s="20" t="str">
        <f aca="false">IF($X485="","",INDEX('Per Line'!$C$2:$C$4001,$X485))</f>
        <v/>
      </c>
      <c r="D485" s="20" t="str">
        <f aca="false">IF($X485="","",INDEX('Per Line'!$A$2:$A$4001,$X485))</f>
        <v/>
      </c>
      <c r="E485" s="21" t="str">
        <f aca="false">IF($X485="","",INDEX('Per Line'!$F$2:$F$4001,$X485))</f>
        <v/>
      </c>
      <c r="F485" s="20" t="str">
        <f aca="false">IF($X485="","",INDEX('Per Line'!$G$2:$G$4001,$X485))</f>
        <v/>
      </c>
      <c r="G485" s="20" t="str">
        <f aca="false">IF($X485="","",INDEX('Per Line'!$I$2:$I$4001,$X485))</f>
        <v/>
      </c>
      <c r="H485" s="20" t="str">
        <f aca="false">IF($X485="","",INDEX('Per Line'!$J$2:$J$4001,$X485))</f>
        <v/>
      </c>
      <c r="I485" s="20" t="str">
        <f aca="false">IF($X485="","",INDEX('Per Line'!$K$2:$K$4001,$X485))</f>
        <v/>
      </c>
      <c r="J485" s="20" t="str">
        <f aca="false">IF($X485="","",INDEX('Per Line'!$L$2:$L$4001,$X485))</f>
        <v/>
      </c>
      <c r="K485" s="20" t="str">
        <f aca="false">IF($X485="","",INDEX('Per Line'!$M$2:$M$4001,$X485))</f>
        <v/>
      </c>
      <c r="L485" s="22" t="str">
        <f aca="false">IF($X485="","",K485*V485/100)</f>
        <v/>
      </c>
      <c r="M485" s="20" t="str">
        <f aca="false">IF($X485="","",INDEX('Per Line'!$Z$2:$Z$4001,$X485))</f>
        <v/>
      </c>
      <c r="N485" s="23" t="str">
        <f aca="false">IF($X485="","",Settings!$C$7)</f>
        <v/>
      </c>
      <c r="O485" s="22" t="str">
        <f aca="false">IF($X485="","",SUMIFS('Per Line'!$Y$2:$Y$4001,'Per Line'!$D$2:$D$4001,$B485,'Per Line'!$AJ$2:$AJ$4001,0))</f>
        <v/>
      </c>
      <c r="P485" s="22" t="str">
        <f aca="false">IF($X485="","",O485*N485)</f>
        <v/>
      </c>
      <c r="Q485" s="23" t="str">
        <f aca="false">IF($X485="","",Settings!$C$6)</f>
        <v/>
      </c>
      <c r="R485" s="22" t="str">
        <f aca="false">IF($X485="","",SUMIFS('Per Line'!$Y$2:$Y$4001,'Per Line'!$D$2:$D$4001,$B485,'Per Line'!$AJ$2:$AJ$4001,1))</f>
        <v/>
      </c>
      <c r="S485" s="22" t="str">
        <f aca="false">IF($X485="","",R485*Q485)</f>
        <v/>
      </c>
      <c r="T485" s="22" t="str">
        <f aca="false">IF($X485="","",S485+P485)</f>
        <v/>
      </c>
      <c r="U485" s="22" t="str">
        <f aca="false">IF($X485="","",V485-T485)</f>
        <v/>
      </c>
      <c r="V485" s="22" t="str">
        <f aca="false">IF($X485="","",O485+R485)</f>
        <v/>
      </c>
      <c r="W485" s="22" t="str">
        <f aca="false">IF($X485="","",U485-L485)</f>
        <v/>
      </c>
      <c r="X485" s="24" t="str">
        <f aca="false">IF(ROWS($X$2:$X485)&lt;=MAX('Per Line'!$AI$2:$AI$4001),MATCH(ROWS($X$2:$X485),'Per Line'!$AI$2:$AI$4001,0),"")</f>
        <v/>
      </c>
    </row>
    <row r="486" customFormat="false" ht="15" hidden="false" customHeight="false" outlineLevel="0" collapsed="false">
      <c r="A486" s="19"/>
      <c r="B486" s="20" t="str">
        <f aca="false">IF($X486="","",INDEX('Per Line'!$D$2:$D$4001,$X486))</f>
        <v/>
      </c>
      <c r="C486" s="20" t="str">
        <f aca="false">IF($X486="","",INDEX('Per Line'!$C$2:$C$4001,$X486))</f>
        <v/>
      </c>
      <c r="D486" s="20" t="str">
        <f aca="false">IF($X486="","",INDEX('Per Line'!$A$2:$A$4001,$X486))</f>
        <v/>
      </c>
      <c r="E486" s="21" t="str">
        <f aca="false">IF($X486="","",INDEX('Per Line'!$F$2:$F$4001,$X486))</f>
        <v/>
      </c>
      <c r="F486" s="20" t="str">
        <f aca="false">IF($X486="","",INDEX('Per Line'!$G$2:$G$4001,$X486))</f>
        <v/>
      </c>
      <c r="G486" s="20" t="str">
        <f aca="false">IF($X486="","",INDEX('Per Line'!$I$2:$I$4001,$X486))</f>
        <v/>
      </c>
      <c r="H486" s="20" t="str">
        <f aca="false">IF($X486="","",INDEX('Per Line'!$J$2:$J$4001,$X486))</f>
        <v/>
      </c>
      <c r="I486" s="20" t="str">
        <f aca="false">IF($X486="","",INDEX('Per Line'!$K$2:$K$4001,$X486))</f>
        <v/>
      </c>
      <c r="J486" s="20" t="str">
        <f aca="false">IF($X486="","",INDEX('Per Line'!$L$2:$L$4001,$X486))</f>
        <v/>
      </c>
      <c r="K486" s="20" t="str">
        <f aca="false">IF($X486="","",INDEX('Per Line'!$M$2:$M$4001,$X486))</f>
        <v/>
      </c>
      <c r="L486" s="22" t="str">
        <f aca="false">IF($X486="","",K486*V486/100)</f>
        <v/>
      </c>
      <c r="M486" s="20" t="str">
        <f aca="false">IF($X486="","",INDEX('Per Line'!$Z$2:$Z$4001,$X486))</f>
        <v/>
      </c>
      <c r="N486" s="23" t="str">
        <f aca="false">IF($X486="","",Settings!$C$7)</f>
        <v/>
      </c>
      <c r="O486" s="22" t="str">
        <f aca="false">IF($X486="","",SUMIFS('Per Line'!$Y$2:$Y$4001,'Per Line'!$D$2:$D$4001,$B486,'Per Line'!$AJ$2:$AJ$4001,0))</f>
        <v/>
      </c>
      <c r="P486" s="22" t="str">
        <f aca="false">IF($X486="","",O486*N486)</f>
        <v/>
      </c>
      <c r="Q486" s="23" t="str">
        <f aca="false">IF($X486="","",Settings!$C$6)</f>
        <v/>
      </c>
      <c r="R486" s="22" t="str">
        <f aca="false">IF($X486="","",SUMIFS('Per Line'!$Y$2:$Y$4001,'Per Line'!$D$2:$D$4001,$B486,'Per Line'!$AJ$2:$AJ$4001,1))</f>
        <v/>
      </c>
      <c r="S486" s="22" t="str">
        <f aca="false">IF($X486="","",R486*Q486)</f>
        <v/>
      </c>
      <c r="T486" s="22" t="str">
        <f aca="false">IF($X486="","",S486+P486)</f>
        <v/>
      </c>
      <c r="U486" s="22" t="str">
        <f aca="false">IF($X486="","",V486-T486)</f>
        <v/>
      </c>
      <c r="V486" s="22" t="str">
        <f aca="false">IF($X486="","",O486+R486)</f>
        <v/>
      </c>
      <c r="W486" s="22" t="str">
        <f aca="false">IF($X486="","",U486-L486)</f>
        <v/>
      </c>
      <c r="X486" s="24" t="str">
        <f aca="false">IF(ROWS($X$2:$X486)&lt;=MAX('Per Line'!$AI$2:$AI$4001),MATCH(ROWS($X$2:$X486),'Per Line'!$AI$2:$AI$4001,0),"")</f>
        <v/>
      </c>
    </row>
    <row r="487" customFormat="false" ht="15" hidden="false" customHeight="false" outlineLevel="0" collapsed="false">
      <c r="A487" s="19"/>
      <c r="B487" s="20" t="str">
        <f aca="false">IF($X487="","",INDEX('Per Line'!$D$2:$D$4001,$X487))</f>
        <v/>
      </c>
      <c r="C487" s="20" t="str">
        <f aca="false">IF($X487="","",INDEX('Per Line'!$C$2:$C$4001,$X487))</f>
        <v/>
      </c>
      <c r="D487" s="20" t="str">
        <f aca="false">IF($X487="","",INDEX('Per Line'!$A$2:$A$4001,$X487))</f>
        <v/>
      </c>
      <c r="E487" s="21" t="str">
        <f aca="false">IF($X487="","",INDEX('Per Line'!$F$2:$F$4001,$X487))</f>
        <v/>
      </c>
      <c r="F487" s="20" t="str">
        <f aca="false">IF($X487="","",INDEX('Per Line'!$G$2:$G$4001,$X487))</f>
        <v/>
      </c>
      <c r="G487" s="20" t="str">
        <f aca="false">IF($X487="","",INDEX('Per Line'!$I$2:$I$4001,$X487))</f>
        <v/>
      </c>
      <c r="H487" s="20" t="str">
        <f aca="false">IF($X487="","",INDEX('Per Line'!$J$2:$J$4001,$X487))</f>
        <v/>
      </c>
      <c r="I487" s="20" t="str">
        <f aca="false">IF($X487="","",INDEX('Per Line'!$K$2:$K$4001,$X487))</f>
        <v/>
      </c>
      <c r="J487" s="20" t="str">
        <f aca="false">IF($X487="","",INDEX('Per Line'!$L$2:$L$4001,$X487))</f>
        <v/>
      </c>
      <c r="K487" s="20" t="str">
        <f aca="false">IF($X487="","",INDEX('Per Line'!$M$2:$M$4001,$X487))</f>
        <v/>
      </c>
      <c r="L487" s="22" t="str">
        <f aca="false">IF($X487="","",K487*V487/100)</f>
        <v/>
      </c>
      <c r="M487" s="20" t="str">
        <f aca="false">IF($X487="","",INDEX('Per Line'!$Z$2:$Z$4001,$X487))</f>
        <v/>
      </c>
      <c r="N487" s="23" t="str">
        <f aca="false">IF($X487="","",Settings!$C$7)</f>
        <v/>
      </c>
      <c r="O487" s="22" t="str">
        <f aca="false">IF($X487="","",SUMIFS('Per Line'!$Y$2:$Y$4001,'Per Line'!$D$2:$D$4001,$B487,'Per Line'!$AJ$2:$AJ$4001,0))</f>
        <v/>
      </c>
      <c r="P487" s="22" t="str">
        <f aca="false">IF($X487="","",O487*N487)</f>
        <v/>
      </c>
      <c r="Q487" s="23" t="str">
        <f aca="false">IF($X487="","",Settings!$C$6)</f>
        <v/>
      </c>
      <c r="R487" s="22" t="str">
        <f aca="false">IF($X487="","",SUMIFS('Per Line'!$Y$2:$Y$4001,'Per Line'!$D$2:$D$4001,$B487,'Per Line'!$AJ$2:$AJ$4001,1))</f>
        <v/>
      </c>
      <c r="S487" s="22" t="str">
        <f aca="false">IF($X487="","",R487*Q487)</f>
        <v/>
      </c>
      <c r="T487" s="22" t="str">
        <f aca="false">IF($X487="","",S487+P487)</f>
        <v/>
      </c>
      <c r="U487" s="22" t="str">
        <f aca="false">IF($X487="","",V487-T487)</f>
        <v/>
      </c>
      <c r="V487" s="22" t="str">
        <f aca="false">IF($X487="","",O487+R487)</f>
        <v/>
      </c>
      <c r="W487" s="22" t="str">
        <f aca="false">IF($X487="","",U487-L487)</f>
        <v/>
      </c>
      <c r="X487" s="24" t="str">
        <f aca="false">IF(ROWS($X$2:$X487)&lt;=MAX('Per Line'!$AI$2:$AI$4001),MATCH(ROWS($X$2:$X487),'Per Line'!$AI$2:$AI$4001,0),"")</f>
        <v/>
      </c>
    </row>
    <row r="488" customFormat="false" ht="15" hidden="false" customHeight="false" outlineLevel="0" collapsed="false">
      <c r="A488" s="19"/>
      <c r="B488" s="20" t="str">
        <f aca="false">IF($X488="","",INDEX('Per Line'!$D$2:$D$4001,$X488))</f>
        <v/>
      </c>
      <c r="C488" s="20" t="str">
        <f aca="false">IF($X488="","",INDEX('Per Line'!$C$2:$C$4001,$X488))</f>
        <v/>
      </c>
      <c r="D488" s="20" t="str">
        <f aca="false">IF($X488="","",INDEX('Per Line'!$A$2:$A$4001,$X488))</f>
        <v/>
      </c>
      <c r="E488" s="21" t="str">
        <f aca="false">IF($X488="","",INDEX('Per Line'!$F$2:$F$4001,$X488))</f>
        <v/>
      </c>
      <c r="F488" s="20" t="str">
        <f aca="false">IF($X488="","",INDEX('Per Line'!$G$2:$G$4001,$X488))</f>
        <v/>
      </c>
      <c r="G488" s="20" t="str">
        <f aca="false">IF($X488="","",INDEX('Per Line'!$I$2:$I$4001,$X488))</f>
        <v/>
      </c>
      <c r="H488" s="20" t="str">
        <f aca="false">IF($X488="","",INDEX('Per Line'!$J$2:$J$4001,$X488))</f>
        <v/>
      </c>
      <c r="I488" s="20" t="str">
        <f aca="false">IF($X488="","",INDEX('Per Line'!$K$2:$K$4001,$X488))</f>
        <v/>
      </c>
      <c r="J488" s="20" t="str">
        <f aca="false">IF($X488="","",INDEX('Per Line'!$L$2:$L$4001,$X488))</f>
        <v/>
      </c>
      <c r="K488" s="20" t="str">
        <f aca="false">IF($X488="","",INDEX('Per Line'!$M$2:$M$4001,$X488))</f>
        <v/>
      </c>
      <c r="L488" s="22" t="str">
        <f aca="false">IF($X488="","",K488*V488/100)</f>
        <v/>
      </c>
      <c r="M488" s="20" t="str">
        <f aca="false">IF($X488="","",INDEX('Per Line'!$Z$2:$Z$4001,$X488))</f>
        <v/>
      </c>
      <c r="N488" s="23" t="str">
        <f aca="false">IF($X488="","",Settings!$C$7)</f>
        <v/>
      </c>
      <c r="O488" s="22" t="str">
        <f aca="false">IF($X488="","",SUMIFS('Per Line'!$Y$2:$Y$4001,'Per Line'!$D$2:$D$4001,$B488,'Per Line'!$AJ$2:$AJ$4001,0))</f>
        <v/>
      </c>
      <c r="P488" s="22" t="str">
        <f aca="false">IF($X488="","",O488*N488)</f>
        <v/>
      </c>
      <c r="Q488" s="23" t="str">
        <f aca="false">IF($X488="","",Settings!$C$6)</f>
        <v/>
      </c>
      <c r="R488" s="22" t="str">
        <f aca="false">IF($X488="","",SUMIFS('Per Line'!$Y$2:$Y$4001,'Per Line'!$D$2:$D$4001,$B488,'Per Line'!$AJ$2:$AJ$4001,1))</f>
        <v/>
      </c>
      <c r="S488" s="22" t="str">
        <f aca="false">IF($X488="","",R488*Q488)</f>
        <v/>
      </c>
      <c r="T488" s="22" t="str">
        <f aca="false">IF($X488="","",S488+P488)</f>
        <v/>
      </c>
      <c r="U488" s="22" t="str">
        <f aca="false">IF($X488="","",V488-T488)</f>
        <v/>
      </c>
      <c r="V488" s="22" t="str">
        <f aca="false">IF($X488="","",O488+R488)</f>
        <v/>
      </c>
      <c r="W488" s="22" t="str">
        <f aca="false">IF($X488="","",U488-L488)</f>
        <v/>
      </c>
      <c r="X488" s="24" t="str">
        <f aca="false">IF(ROWS($X$2:$X488)&lt;=MAX('Per Line'!$AI$2:$AI$4001),MATCH(ROWS($X$2:$X488),'Per Line'!$AI$2:$AI$4001,0),"")</f>
        <v/>
      </c>
    </row>
    <row r="489" customFormat="false" ht="15" hidden="false" customHeight="false" outlineLevel="0" collapsed="false">
      <c r="A489" s="19"/>
      <c r="B489" s="20" t="str">
        <f aca="false">IF($X489="","",INDEX('Per Line'!$D$2:$D$4001,$X489))</f>
        <v/>
      </c>
      <c r="C489" s="20" t="str">
        <f aca="false">IF($X489="","",INDEX('Per Line'!$C$2:$C$4001,$X489))</f>
        <v/>
      </c>
      <c r="D489" s="20" t="str">
        <f aca="false">IF($X489="","",INDEX('Per Line'!$A$2:$A$4001,$X489))</f>
        <v/>
      </c>
      <c r="E489" s="21" t="str">
        <f aca="false">IF($X489="","",INDEX('Per Line'!$F$2:$F$4001,$X489))</f>
        <v/>
      </c>
      <c r="F489" s="20" t="str">
        <f aca="false">IF($X489="","",INDEX('Per Line'!$G$2:$G$4001,$X489))</f>
        <v/>
      </c>
      <c r="G489" s="20" t="str">
        <f aca="false">IF($X489="","",INDEX('Per Line'!$I$2:$I$4001,$X489))</f>
        <v/>
      </c>
      <c r="H489" s="20" t="str">
        <f aca="false">IF($X489="","",INDEX('Per Line'!$J$2:$J$4001,$X489))</f>
        <v/>
      </c>
      <c r="I489" s="20" t="str">
        <f aca="false">IF($X489="","",INDEX('Per Line'!$K$2:$K$4001,$X489))</f>
        <v/>
      </c>
      <c r="J489" s="20" t="str">
        <f aca="false">IF($X489="","",INDEX('Per Line'!$L$2:$L$4001,$X489))</f>
        <v/>
      </c>
      <c r="K489" s="20" t="str">
        <f aca="false">IF($X489="","",INDEX('Per Line'!$M$2:$M$4001,$X489))</f>
        <v/>
      </c>
      <c r="L489" s="22" t="str">
        <f aca="false">IF($X489="","",K489*V489/100)</f>
        <v/>
      </c>
      <c r="M489" s="20" t="str">
        <f aca="false">IF($X489="","",INDEX('Per Line'!$Z$2:$Z$4001,$X489))</f>
        <v/>
      </c>
      <c r="N489" s="23" t="str">
        <f aca="false">IF($X489="","",Settings!$C$7)</f>
        <v/>
      </c>
      <c r="O489" s="22" t="str">
        <f aca="false">IF($X489="","",SUMIFS('Per Line'!$Y$2:$Y$4001,'Per Line'!$D$2:$D$4001,$B489,'Per Line'!$AJ$2:$AJ$4001,0))</f>
        <v/>
      </c>
      <c r="P489" s="22" t="str">
        <f aca="false">IF($X489="","",O489*N489)</f>
        <v/>
      </c>
      <c r="Q489" s="23" t="str">
        <f aca="false">IF($X489="","",Settings!$C$6)</f>
        <v/>
      </c>
      <c r="R489" s="22" t="str">
        <f aca="false">IF($X489="","",SUMIFS('Per Line'!$Y$2:$Y$4001,'Per Line'!$D$2:$D$4001,$B489,'Per Line'!$AJ$2:$AJ$4001,1))</f>
        <v/>
      </c>
      <c r="S489" s="22" t="str">
        <f aca="false">IF($X489="","",R489*Q489)</f>
        <v/>
      </c>
      <c r="T489" s="22" t="str">
        <f aca="false">IF($X489="","",S489+P489)</f>
        <v/>
      </c>
      <c r="U489" s="22" t="str">
        <f aca="false">IF($X489="","",V489-T489)</f>
        <v/>
      </c>
      <c r="V489" s="22" t="str">
        <f aca="false">IF($X489="","",O489+R489)</f>
        <v/>
      </c>
      <c r="W489" s="22" t="str">
        <f aca="false">IF($X489="","",U489-L489)</f>
        <v/>
      </c>
      <c r="X489" s="24" t="str">
        <f aca="false">IF(ROWS($X$2:$X489)&lt;=MAX('Per Line'!$AI$2:$AI$4001),MATCH(ROWS($X$2:$X489),'Per Line'!$AI$2:$AI$4001,0),"")</f>
        <v/>
      </c>
    </row>
    <row r="490" customFormat="false" ht="15" hidden="false" customHeight="false" outlineLevel="0" collapsed="false">
      <c r="A490" s="19"/>
      <c r="B490" s="20" t="str">
        <f aca="false">IF($X490="","",INDEX('Per Line'!$D$2:$D$4001,$X490))</f>
        <v/>
      </c>
      <c r="C490" s="20" t="str">
        <f aca="false">IF($X490="","",INDEX('Per Line'!$C$2:$C$4001,$X490))</f>
        <v/>
      </c>
      <c r="D490" s="20" t="str">
        <f aca="false">IF($X490="","",INDEX('Per Line'!$A$2:$A$4001,$X490))</f>
        <v/>
      </c>
      <c r="E490" s="21" t="str">
        <f aca="false">IF($X490="","",INDEX('Per Line'!$F$2:$F$4001,$X490))</f>
        <v/>
      </c>
      <c r="F490" s="20" t="str">
        <f aca="false">IF($X490="","",INDEX('Per Line'!$G$2:$G$4001,$X490))</f>
        <v/>
      </c>
      <c r="G490" s="20" t="str">
        <f aca="false">IF($X490="","",INDEX('Per Line'!$I$2:$I$4001,$X490))</f>
        <v/>
      </c>
      <c r="H490" s="20" t="str">
        <f aca="false">IF($X490="","",INDEX('Per Line'!$J$2:$J$4001,$X490))</f>
        <v/>
      </c>
      <c r="I490" s="20" t="str">
        <f aca="false">IF($X490="","",INDEX('Per Line'!$K$2:$K$4001,$X490))</f>
        <v/>
      </c>
      <c r="J490" s="20" t="str">
        <f aca="false">IF($X490="","",INDEX('Per Line'!$L$2:$L$4001,$X490))</f>
        <v/>
      </c>
      <c r="K490" s="20" t="str">
        <f aca="false">IF($X490="","",INDEX('Per Line'!$M$2:$M$4001,$X490))</f>
        <v/>
      </c>
      <c r="L490" s="22" t="str">
        <f aca="false">IF($X490="","",K490*V490/100)</f>
        <v/>
      </c>
      <c r="M490" s="20" t="str">
        <f aca="false">IF($X490="","",INDEX('Per Line'!$Z$2:$Z$4001,$X490))</f>
        <v/>
      </c>
      <c r="N490" s="23" t="str">
        <f aca="false">IF($X490="","",Settings!$C$7)</f>
        <v/>
      </c>
      <c r="O490" s="22" t="str">
        <f aca="false">IF($X490="","",SUMIFS('Per Line'!$Y$2:$Y$4001,'Per Line'!$D$2:$D$4001,$B490,'Per Line'!$AJ$2:$AJ$4001,0))</f>
        <v/>
      </c>
      <c r="P490" s="22" t="str">
        <f aca="false">IF($X490="","",O490*N490)</f>
        <v/>
      </c>
      <c r="Q490" s="23" t="str">
        <f aca="false">IF($X490="","",Settings!$C$6)</f>
        <v/>
      </c>
      <c r="R490" s="22" t="str">
        <f aca="false">IF($X490="","",SUMIFS('Per Line'!$Y$2:$Y$4001,'Per Line'!$D$2:$D$4001,$B490,'Per Line'!$AJ$2:$AJ$4001,1))</f>
        <v/>
      </c>
      <c r="S490" s="22" t="str">
        <f aca="false">IF($X490="","",R490*Q490)</f>
        <v/>
      </c>
      <c r="T490" s="22" t="str">
        <f aca="false">IF($X490="","",S490+P490)</f>
        <v/>
      </c>
      <c r="U490" s="22" t="str">
        <f aca="false">IF($X490="","",V490-T490)</f>
        <v/>
      </c>
      <c r="V490" s="22" t="str">
        <f aca="false">IF($X490="","",O490+R490)</f>
        <v/>
      </c>
      <c r="W490" s="22" t="str">
        <f aca="false">IF($X490="","",U490-L490)</f>
        <v/>
      </c>
      <c r="X490" s="24" t="str">
        <f aca="false">IF(ROWS($X$2:$X490)&lt;=MAX('Per Line'!$AI$2:$AI$4001),MATCH(ROWS($X$2:$X490),'Per Line'!$AI$2:$AI$4001,0),"")</f>
        <v/>
      </c>
    </row>
    <row r="491" customFormat="false" ht="15" hidden="false" customHeight="false" outlineLevel="0" collapsed="false">
      <c r="A491" s="19"/>
      <c r="B491" s="20" t="str">
        <f aca="false">IF($X491="","",INDEX('Per Line'!$D$2:$D$4001,$X491))</f>
        <v/>
      </c>
      <c r="C491" s="20" t="str">
        <f aca="false">IF($X491="","",INDEX('Per Line'!$C$2:$C$4001,$X491))</f>
        <v/>
      </c>
      <c r="D491" s="20" t="str">
        <f aca="false">IF($X491="","",INDEX('Per Line'!$A$2:$A$4001,$X491))</f>
        <v/>
      </c>
      <c r="E491" s="21" t="str">
        <f aca="false">IF($X491="","",INDEX('Per Line'!$F$2:$F$4001,$X491))</f>
        <v/>
      </c>
      <c r="F491" s="20" t="str">
        <f aca="false">IF($X491="","",INDEX('Per Line'!$G$2:$G$4001,$X491))</f>
        <v/>
      </c>
      <c r="G491" s="20" t="str">
        <f aca="false">IF($X491="","",INDEX('Per Line'!$I$2:$I$4001,$X491))</f>
        <v/>
      </c>
      <c r="H491" s="20" t="str">
        <f aca="false">IF($X491="","",INDEX('Per Line'!$J$2:$J$4001,$X491))</f>
        <v/>
      </c>
      <c r="I491" s="20" t="str">
        <f aca="false">IF($X491="","",INDEX('Per Line'!$K$2:$K$4001,$X491))</f>
        <v/>
      </c>
      <c r="J491" s="20" t="str">
        <f aca="false">IF($X491="","",INDEX('Per Line'!$L$2:$L$4001,$X491))</f>
        <v/>
      </c>
      <c r="K491" s="20" t="str">
        <f aca="false">IF($X491="","",INDEX('Per Line'!$M$2:$M$4001,$X491))</f>
        <v/>
      </c>
      <c r="L491" s="22" t="str">
        <f aca="false">IF($X491="","",K491*V491/100)</f>
        <v/>
      </c>
      <c r="M491" s="20" t="str">
        <f aca="false">IF($X491="","",INDEX('Per Line'!$Z$2:$Z$4001,$X491))</f>
        <v/>
      </c>
      <c r="N491" s="23" t="str">
        <f aca="false">IF($X491="","",Settings!$C$7)</f>
        <v/>
      </c>
      <c r="O491" s="22" t="str">
        <f aca="false">IF($X491="","",SUMIFS('Per Line'!$Y$2:$Y$4001,'Per Line'!$D$2:$D$4001,$B491,'Per Line'!$AJ$2:$AJ$4001,0))</f>
        <v/>
      </c>
      <c r="P491" s="22" t="str">
        <f aca="false">IF($X491="","",O491*N491)</f>
        <v/>
      </c>
      <c r="Q491" s="23" t="str">
        <f aca="false">IF($X491="","",Settings!$C$6)</f>
        <v/>
      </c>
      <c r="R491" s="22" t="str">
        <f aca="false">IF($X491="","",SUMIFS('Per Line'!$Y$2:$Y$4001,'Per Line'!$D$2:$D$4001,$B491,'Per Line'!$AJ$2:$AJ$4001,1))</f>
        <v/>
      </c>
      <c r="S491" s="22" t="str">
        <f aca="false">IF($X491="","",R491*Q491)</f>
        <v/>
      </c>
      <c r="T491" s="22" t="str">
        <f aca="false">IF($X491="","",S491+P491)</f>
        <v/>
      </c>
      <c r="U491" s="22" t="str">
        <f aca="false">IF($X491="","",V491-T491)</f>
        <v/>
      </c>
      <c r="V491" s="22" t="str">
        <f aca="false">IF($X491="","",O491+R491)</f>
        <v/>
      </c>
      <c r="W491" s="22" t="str">
        <f aca="false">IF($X491="","",U491-L491)</f>
        <v/>
      </c>
      <c r="X491" s="24" t="str">
        <f aca="false">IF(ROWS($X$2:$X491)&lt;=MAX('Per Line'!$AI$2:$AI$4001),MATCH(ROWS($X$2:$X491),'Per Line'!$AI$2:$AI$4001,0),"")</f>
        <v/>
      </c>
    </row>
    <row r="492" customFormat="false" ht="15" hidden="false" customHeight="false" outlineLevel="0" collapsed="false">
      <c r="A492" s="19"/>
      <c r="B492" s="20" t="str">
        <f aca="false">IF($X492="","",INDEX('Per Line'!$D$2:$D$4001,$X492))</f>
        <v/>
      </c>
      <c r="C492" s="20" t="str">
        <f aca="false">IF($X492="","",INDEX('Per Line'!$C$2:$C$4001,$X492))</f>
        <v/>
      </c>
      <c r="D492" s="20" t="str">
        <f aca="false">IF($X492="","",INDEX('Per Line'!$A$2:$A$4001,$X492))</f>
        <v/>
      </c>
      <c r="E492" s="21" t="str">
        <f aca="false">IF($X492="","",INDEX('Per Line'!$F$2:$F$4001,$X492))</f>
        <v/>
      </c>
      <c r="F492" s="20" t="str">
        <f aca="false">IF($X492="","",INDEX('Per Line'!$G$2:$G$4001,$X492))</f>
        <v/>
      </c>
      <c r="G492" s="20" t="str">
        <f aca="false">IF($X492="","",INDEX('Per Line'!$I$2:$I$4001,$X492))</f>
        <v/>
      </c>
      <c r="H492" s="20" t="str">
        <f aca="false">IF($X492="","",INDEX('Per Line'!$J$2:$J$4001,$X492))</f>
        <v/>
      </c>
      <c r="I492" s="20" t="str">
        <f aca="false">IF($X492="","",INDEX('Per Line'!$K$2:$K$4001,$X492))</f>
        <v/>
      </c>
      <c r="J492" s="20" t="str">
        <f aca="false">IF($X492="","",INDEX('Per Line'!$L$2:$L$4001,$X492))</f>
        <v/>
      </c>
      <c r="K492" s="20" t="str">
        <f aca="false">IF($X492="","",INDEX('Per Line'!$M$2:$M$4001,$X492))</f>
        <v/>
      </c>
      <c r="L492" s="22" t="str">
        <f aca="false">IF($X492="","",K492*V492/100)</f>
        <v/>
      </c>
      <c r="M492" s="20" t="str">
        <f aca="false">IF($X492="","",INDEX('Per Line'!$Z$2:$Z$4001,$X492))</f>
        <v/>
      </c>
      <c r="N492" s="23" t="str">
        <f aca="false">IF($X492="","",Settings!$C$7)</f>
        <v/>
      </c>
      <c r="O492" s="22" t="str">
        <f aca="false">IF($X492="","",SUMIFS('Per Line'!$Y$2:$Y$4001,'Per Line'!$D$2:$D$4001,$B492,'Per Line'!$AJ$2:$AJ$4001,0))</f>
        <v/>
      </c>
      <c r="P492" s="22" t="str">
        <f aca="false">IF($X492="","",O492*N492)</f>
        <v/>
      </c>
      <c r="Q492" s="23" t="str">
        <f aca="false">IF($X492="","",Settings!$C$6)</f>
        <v/>
      </c>
      <c r="R492" s="22" t="str">
        <f aca="false">IF($X492="","",SUMIFS('Per Line'!$Y$2:$Y$4001,'Per Line'!$D$2:$D$4001,$B492,'Per Line'!$AJ$2:$AJ$4001,1))</f>
        <v/>
      </c>
      <c r="S492" s="22" t="str">
        <f aca="false">IF($X492="","",R492*Q492)</f>
        <v/>
      </c>
      <c r="T492" s="22" t="str">
        <f aca="false">IF($X492="","",S492+P492)</f>
        <v/>
      </c>
      <c r="U492" s="22" t="str">
        <f aca="false">IF($X492="","",V492-T492)</f>
        <v/>
      </c>
      <c r="V492" s="22" t="str">
        <f aca="false">IF($X492="","",O492+R492)</f>
        <v/>
      </c>
      <c r="W492" s="22" t="str">
        <f aca="false">IF($X492="","",U492-L492)</f>
        <v/>
      </c>
      <c r="X492" s="24" t="str">
        <f aca="false">IF(ROWS($X$2:$X492)&lt;=MAX('Per Line'!$AI$2:$AI$4001),MATCH(ROWS($X$2:$X492),'Per Line'!$AI$2:$AI$4001,0),"")</f>
        <v/>
      </c>
    </row>
    <row r="493" customFormat="false" ht="15" hidden="false" customHeight="false" outlineLevel="0" collapsed="false">
      <c r="A493" s="19"/>
      <c r="B493" s="20" t="str">
        <f aca="false">IF($X493="","",INDEX('Per Line'!$D$2:$D$4001,$X493))</f>
        <v/>
      </c>
      <c r="C493" s="20" t="str">
        <f aca="false">IF($X493="","",INDEX('Per Line'!$C$2:$C$4001,$X493))</f>
        <v/>
      </c>
      <c r="D493" s="20" t="str">
        <f aca="false">IF($X493="","",INDEX('Per Line'!$A$2:$A$4001,$X493))</f>
        <v/>
      </c>
      <c r="E493" s="21" t="str">
        <f aca="false">IF($X493="","",INDEX('Per Line'!$F$2:$F$4001,$X493))</f>
        <v/>
      </c>
      <c r="F493" s="20" t="str">
        <f aca="false">IF($X493="","",INDEX('Per Line'!$G$2:$G$4001,$X493))</f>
        <v/>
      </c>
      <c r="G493" s="20" t="str">
        <f aca="false">IF($X493="","",INDEX('Per Line'!$I$2:$I$4001,$X493))</f>
        <v/>
      </c>
      <c r="H493" s="20" t="str">
        <f aca="false">IF($X493="","",INDEX('Per Line'!$J$2:$J$4001,$X493))</f>
        <v/>
      </c>
      <c r="I493" s="20" t="str">
        <f aca="false">IF($X493="","",INDEX('Per Line'!$K$2:$K$4001,$X493))</f>
        <v/>
      </c>
      <c r="J493" s="20" t="str">
        <f aca="false">IF($X493="","",INDEX('Per Line'!$L$2:$L$4001,$X493))</f>
        <v/>
      </c>
      <c r="K493" s="20" t="str">
        <f aca="false">IF($X493="","",INDEX('Per Line'!$M$2:$M$4001,$X493))</f>
        <v/>
      </c>
      <c r="L493" s="22" t="str">
        <f aca="false">IF($X493="","",K493*V493/100)</f>
        <v/>
      </c>
      <c r="M493" s="20" t="str">
        <f aca="false">IF($X493="","",INDEX('Per Line'!$Z$2:$Z$4001,$X493))</f>
        <v/>
      </c>
      <c r="N493" s="23" t="str">
        <f aca="false">IF($X493="","",Settings!$C$7)</f>
        <v/>
      </c>
      <c r="O493" s="22" t="str">
        <f aca="false">IF($X493="","",SUMIFS('Per Line'!$Y$2:$Y$4001,'Per Line'!$D$2:$D$4001,$B493,'Per Line'!$AJ$2:$AJ$4001,0))</f>
        <v/>
      </c>
      <c r="P493" s="22" t="str">
        <f aca="false">IF($X493="","",O493*N493)</f>
        <v/>
      </c>
      <c r="Q493" s="23" t="str">
        <f aca="false">IF($X493="","",Settings!$C$6)</f>
        <v/>
      </c>
      <c r="R493" s="22" t="str">
        <f aca="false">IF($X493="","",SUMIFS('Per Line'!$Y$2:$Y$4001,'Per Line'!$D$2:$D$4001,$B493,'Per Line'!$AJ$2:$AJ$4001,1))</f>
        <v/>
      </c>
      <c r="S493" s="22" t="str">
        <f aca="false">IF($X493="","",R493*Q493)</f>
        <v/>
      </c>
      <c r="T493" s="22" t="str">
        <f aca="false">IF($X493="","",S493+P493)</f>
        <v/>
      </c>
      <c r="U493" s="22" t="str">
        <f aca="false">IF($X493="","",V493-T493)</f>
        <v/>
      </c>
      <c r="V493" s="22" t="str">
        <f aca="false">IF($X493="","",O493+R493)</f>
        <v/>
      </c>
      <c r="W493" s="22" t="str">
        <f aca="false">IF($X493="","",U493-L493)</f>
        <v/>
      </c>
      <c r="X493" s="24" t="str">
        <f aca="false">IF(ROWS($X$2:$X493)&lt;=MAX('Per Line'!$AI$2:$AI$4001),MATCH(ROWS($X$2:$X493),'Per Line'!$AI$2:$AI$4001,0),"")</f>
        <v/>
      </c>
    </row>
    <row r="494" customFormat="false" ht="15" hidden="false" customHeight="false" outlineLevel="0" collapsed="false">
      <c r="A494" s="19"/>
      <c r="B494" s="20" t="str">
        <f aca="false">IF($X494="","",INDEX('Per Line'!$D$2:$D$4001,$X494))</f>
        <v/>
      </c>
      <c r="C494" s="20" t="str">
        <f aca="false">IF($X494="","",INDEX('Per Line'!$C$2:$C$4001,$X494))</f>
        <v/>
      </c>
      <c r="D494" s="20" t="str">
        <f aca="false">IF($X494="","",INDEX('Per Line'!$A$2:$A$4001,$X494))</f>
        <v/>
      </c>
      <c r="E494" s="21" t="str">
        <f aca="false">IF($X494="","",INDEX('Per Line'!$F$2:$F$4001,$X494))</f>
        <v/>
      </c>
      <c r="F494" s="20" t="str">
        <f aca="false">IF($X494="","",INDEX('Per Line'!$G$2:$G$4001,$X494))</f>
        <v/>
      </c>
      <c r="G494" s="20" t="str">
        <f aca="false">IF($X494="","",INDEX('Per Line'!$I$2:$I$4001,$X494))</f>
        <v/>
      </c>
      <c r="H494" s="20" t="str">
        <f aca="false">IF($X494="","",INDEX('Per Line'!$J$2:$J$4001,$X494))</f>
        <v/>
      </c>
      <c r="I494" s="20" t="str">
        <f aca="false">IF($X494="","",INDEX('Per Line'!$K$2:$K$4001,$X494))</f>
        <v/>
      </c>
      <c r="J494" s="20" t="str">
        <f aca="false">IF($X494="","",INDEX('Per Line'!$L$2:$L$4001,$X494))</f>
        <v/>
      </c>
      <c r="K494" s="20" t="str">
        <f aca="false">IF($X494="","",INDEX('Per Line'!$M$2:$M$4001,$X494))</f>
        <v/>
      </c>
      <c r="L494" s="22" t="str">
        <f aca="false">IF($X494="","",K494*V494/100)</f>
        <v/>
      </c>
      <c r="M494" s="20" t="str">
        <f aca="false">IF($X494="","",INDEX('Per Line'!$Z$2:$Z$4001,$X494))</f>
        <v/>
      </c>
      <c r="N494" s="23" t="str">
        <f aca="false">IF($X494="","",Settings!$C$7)</f>
        <v/>
      </c>
      <c r="O494" s="22" t="str">
        <f aca="false">IF($X494="","",SUMIFS('Per Line'!$Y$2:$Y$4001,'Per Line'!$D$2:$D$4001,$B494,'Per Line'!$AJ$2:$AJ$4001,0))</f>
        <v/>
      </c>
      <c r="P494" s="22" t="str">
        <f aca="false">IF($X494="","",O494*N494)</f>
        <v/>
      </c>
      <c r="Q494" s="23" t="str">
        <f aca="false">IF($X494="","",Settings!$C$6)</f>
        <v/>
      </c>
      <c r="R494" s="22" t="str">
        <f aca="false">IF($X494="","",SUMIFS('Per Line'!$Y$2:$Y$4001,'Per Line'!$D$2:$D$4001,$B494,'Per Line'!$AJ$2:$AJ$4001,1))</f>
        <v/>
      </c>
      <c r="S494" s="22" t="str">
        <f aca="false">IF($X494="","",R494*Q494)</f>
        <v/>
      </c>
      <c r="T494" s="22" t="str">
        <f aca="false">IF($X494="","",S494+P494)</f>
        <v/>
      </c>
      <c r="U494" s="22" t="str">
        <f aca="false">IF($X494="","",V494-T494)</f>
        <v/>
      </c>
      <c r="V494" s="22" t="str">
        <f aca="false">IF($X494="","",O494+R494)</f>
        <v/>
      </c>
      <c r="W494" s="22" t="str">
        <f aca="false">IF($X494="","",U494-L494)</f>
        <v/>
      </c>
      <c r="X494" s="24" t="str">
        <f aca="false">IF(ROWS($X$2:$X494)&lt;=MAX('Per Line'!$AI$2:$AI$4001),MATCH(ROWS($X$2:$X494),'Per Line'!$AI$2:$AI$4001,0),"")</f>
        <v/>
      </c>
    </row>
    <row r="495" customFormat="false" ht="15" hidden="false" customHeight="false" outlineLevel="0" collapsed="false">
      <c r="A495" s="19"/>
      <c r="B495" s="20" t="str">
        <f aca="false">IF($X495="","",INDEX('Per Line'!$D$2:$D$4001,$X495))</f>
        <v/>
      </c>
      <c r="C495" s="20" t="str">
        <f aca="false">IF($X495="","",INDEX('Per Line'!$C$2:$C$4001,$X495))</f>
        <v/>
      </c>
      <c r="D495" s="20" t="str">
        <f aca="false">IF($X495="","",INDEX('Per Line'!$A$2:$A$4001,$X495))</f>
        <v/>
      </c>
      <c r="E495" s="21" t="str">
        <f aca="false">IF($X495="","",INDEX('Per Line'!$F$2:$F$4001,$X495))</f>
        <v/>
      </c>
      <c r="F495" s="20" t="str">
        <f aca="false">IF($X495="","",INDEX('Per Line'!$G$2:$G$4001,$X495))</f>
        <v/>
      </c>
      <c r="G495" s="20" t="str">
        <f aca="false">IF($X495="","",INDEX('Per Line'!$I$2:$I$4001,$X495))</f>
        <v/>
      </c>
      <c r="H495" s="20" t="str">
        <f aca="false">IF($X495="","",INDEX('Per Line'!$J$2:$J$4001,$X495))</f>
        <v/>
      </c>
      <c r="I495" s="20" t="str">
        <f aca="false">IF($X495="","",INDEX('Per Line'!$K$2:$K$4001,$X495))</f>
        <v/>
      </c>
      <c r="J495" s="20" t="str">
        <f aca="false">IF($X495="","",INDEX('Per Line'!$L$2:$L$4001,$X495))</f>
        <v/>
      </c>
      <c r="K495" s="20" t="str">
        <f aca="false">IF($X495="","",INDEX('Per Line'!$M$2:$M$4001,$X495))</f>
        <v/>
      </c>
      <c r="L495" s="22" t="str">
        <f aca="false">IF($X495="","",K495*V495/100)</f>
        <v/>
      </c>
      <c r="M495" s="20" t="str">
        <f aca="false">IF($X495="","",INDEX('Per Line'!$Z$2:$Z$4001,$X495))</f>
        <v/>
      </c>
      <c r="N495" s="23" t="str">
        <f aca="false">IF($X495="","",Settings!$C$7)</f>
        <v/>
      </c>
      <c r="O495" s="22" t="str">
        <f aca="false">IF($X495="","",SUMIFS('Per Line'!$Y$2:$Y$4001,'Per Line'!$D$2:$D$4001,$B495,'Per Line'!$AJ$2:$AJ$4001,0))</f>
        <v/>
      </c>
      <c r="P495" s="22" t="str">
        <f aca="false">IF($X495="","",O495*N495)</f>
        <v/>
      </c>
      <c r="Q495" s="23" t="str">
        <f aca="false">IF($X495="","",Settings!$C$6)</f>
        <v/>
      </c>
      <c r="R495" s="22" t="str">
        <f aca="false">IF($X495="","",SUMIFS('Per Line'!$Y$2:$Y$4001,'Per Line'!$D$2:$D$4001,$B495,'Per Line'!$AJ$2:$AJ$4001,1))</f>
        <v/>
      </c>
      <c r="S495" s="22" t="str">
        <f aca="false">IF($X495="","",R495*Q495)</f>
        <v/>
      </c>
      <c r="T495" s="22" t="str">
        <f aca="false">IF($X495="","",S495+P495)</f>
        <v/>
      </c>
      <c r="U495" s="22" t="str">
        <f aca="false">IF($X495="","",V495-T495)</f>
        <v/>
      </c>
      <c r="V495" s="22" t="str">
        <f aca="false">IF($X495="","",O495+R495)</f>
        <v/>
      </c>
      <c r="W495" s="22" t="str">
        <f aca="false">IF($X495="","",U495-L495)</f>
        <v/>
      </c>
      <c r="X495" s="24" t="str">
        <f aca="false">IF(ROWS($X$2:$X495)&lt;=MAX('Per Line'!$AI$2:$AI$4001),MATCH(ROWS($X$2:$X495),'Per Line'!$AI$2:$AI$4001,0),"")</f>
        <v/>
      </c>
    </row>
    <row r="496" customFormat="false" ht="15" hidden="false" customHeight="false" outlineLevel="0" collapsed="false">
      <c r="A496" s="19"/>
      <c r="B496" s="20" t="str">
        <f aca="false">IF($X496="","",INDEX('Per Line'!$D$2:$D$4001,$X496))</f>
        <v/>
      </c>
      <c r="C496" s="20" t="str">
        <f aca="false">IF($X496="","",INDEX('Per Line'!$C$2:$C$4001,$X496))</f>
        <v/>
      </c>
      <c r="D496" s="20" t="str">
        <f aca="false">IF($X496="","",INDEX('Per Line'!$A$2:$A$4001,$X496))</f>
        <v/>
      </c>
      <c r="E496" s="21" t="str">
        <f aca="false">IF($X496="","",INDEX('Per Line'!$F$2:$F$4001,$X496))</f>
        <v/>
      </c>
      <c r="F496" s="20" t="str">
        <f aca="false">IF($X496="","",INDEX('Per Line'!$G$2:$G$4001,$X496))</f>
        <v/>
      </c>
      <c r="G496" s="20" t="str">
        <f aca="false">IF($X496="","",INDEX('Per Line'!$I$2:$I$4001,$X496))</f>
        <v/>
      </c>
      <c r="H496" s="20" t="str">
        <f aca="false">IF($X496="","",INDEX('Per Line'!$J$2:$J$4001,$X496))</f>
        <v/>
      </c>
      <c r="I496" s="20" t="str">
        <f aca="false">IF($X496="","",INDEX('Per Line'!$K$2:$K$4001,$X496))</f>
        <v/>
      </c>
      <c r="J496" s="20" t="str">
        <f aca="false">IF($X496="","",INDEX('Per Line'!$L$2:$L$4001,$X496))</f>
        <v/>
      </c>
      <c r="K496" s="20" t="str">
        <f aca="false">IF($X496="","",INDEX('Per Line'!$M$2:$M$4001,$X496))</f>
        <v/>
      </c>
      <c r="L496" s="22" t="str">
        <f aca="false">IF($X496="","",K496*V496/100)</f>
        <v/>
      </c>
      <c r="M496" s="20" t="str">
        <f aca="false">IF($X496="","",INDEX('Per Line'!$Z$2:$Z$4001,$X496))</f>
        <v/>
      </c>
      <c r="N496" s="23" t="str">
        <f aca="false">IF($X496="","",Settings!$C$7)</f>
        <v/>
      </c>
      <c r="O496" s="22" t="str">
        <f aca="false">IF($X496="","",SUMIFS('Per Line'!$Y$2:$Y$4001,'Per Line'!$D$2:$D$4001,$B496,'Per Line'!$AJ$2:$AJ$4001,0))</f>
        <v/>
      </c>
      <c r="P496" s="22" t="str">
        <f aca="false">IF($X496="","",O496*N496)</f>
        <v/>
      </c>
      <c r="Q496" s="23" t="str">
        <f aca="false">IF($X496="","",Settings!$C$6)</f>
        <v/>
      </c>
      <c r="R496" s="22" t="str">
        <f aca="false">IF($X496="","",SUMIFS('Per Line'!$Y$2:$Y$4001,'Per Line'!$D$2:$D$4001,$B496,'Per Line'!$AJ$2:$AJ$4001,1))</f>
        <v/>
      </c>
      <c r="S496" s="22" t="str">
        <f aca="false">IF($X496="","",R496*Q496)</f>
        <v/>
      </c>
      <c r="T496" s="22" t="str">
        <f aca="false">IF($X496="","",S496+P496)</f>
        <v/>
      </c>
      <c r="U496" s="22" t="str">
        <f aca="false">IF($X496="","",V496-T496)</f>
        <v/>
      </c>
      <c r="V496" s="22" t="str">
        <f aca="false">IF($X496="","",O496+R496)</f>
        <v/>
      </c>
      <c r="W496" s="22" t="str">
        <f aca="false">IF($X496="","",U496-L496)</f>
        <v/>
      </c>
      <c r="X496" s="24" t="str">
        <f aca="false">IF(ROWS($X$2:$X496)&lt;=MAX('Per Line'!$AI$2:$AI$4001),MATCH(ROWS($X$2:$X496),'Per Line'!$AI$2:$AI$4001,0),"")</f>
        <v/>
      </c>
    </row>
    <row r="497" customFormat="false" ht="15" hidden="false" customHeight="false" outlineLevel="0" collapsed="false">
      <c r="A497" s="19"/>
      <c r="B497" s="20" t="str">
        <f aca="false">IF($X497="","",INDEX('Per Line'!$D$2:$D$4001,$X497))</f>
        <v/>
      </c>
      <c r="C497" s="20" t="str">
        <f aca="false">IF($X497="","",INDEX('Per Line'!$C$2:$C$4001,$X497))</f>
        <v/>
      </c>
      <c r="D497" s="20" t="str">
        <f aca="false">IF($X497="","",INDEX('Per Line'!$A$2:$A$4001,$X497))</f>
        <v/>
      </c>
      <c r="E497" s="21" t="str">
        <f aca="false">IF($X497="","",INDEX('Per Line'!$F$2:$F$4001,$X497))</f>
        <v/>
      </c>
      <c r="F497" s="20" t="str">
        <f aca="false">IF($X497="","",INDEX('Per Line'!$G$2:$G$4001,$X497))</f>
        <v/>
      </c>
      <c r="G497" s="20" t="str">
        <f aca="false">IF($X497="","",INDEX('Per Line'!$I$2:$I$4001,$X497))</f>
        <v/>
      </c>
      <c r="H497" s="20" t="str">
        <f aca="false">IF($X497="","",INDEX('Per Line'!$J$2:$J$4001,$X497))</f>
        <v/>
      </c>
      <c r="I497" s="20" t="str">
        <f aca="false">IF($X497="","",INDEX('Per Line'!$K$2:$K$4001,$X497))</f>
        <v/>
      </c>
      <c r="J497" s="20" t="str">
        <f aca="false">IF($X497="","",INDEX('Per Line'!$L$2:$L$4001,$X497))</f>
        <v/>
      </c>
      <c r="K497" s="20" t="str">
        <f aca="false">IF($X497="","",INDEX('Per Line'!$M$2:$M$4001,$X497))</f>
        <v/>
      </c>
      <c r="L497" s="22" t="str">
        <f aca="false">IF($X497="","",K497*V497/100)</f>
        <v/>
      </c>
      <c r="M497" s="20" t="str">
        <f aca="false">IF($X497="","",INDEX('Per Line'!$Z$2:$Z$4001,$X497))</f>
        <v/>
      </c>
      <c r="N497" s="23" t="str">
        <f aca="false">IF($X497="","",Settings!$C$7)</f>
        <v/>
      </c>
      <c r="O497" s="22" t="str">
        <f aca="false">IF($X497="","",SUMIFS('Per Line'!$Y$2:$Y$4001,'Per Line'!$D$2:$D$4001,$B497,'Per Line'!$AJ$2:$AJ$4001,0))</f>
        <v/>
      </c>
      <c r="P497" s="22" t="str">
        <f aca="false">IF($X497="","",O497*N497)</f>
        <v/>
      </c>
      <c r="Q497" s="23" t="str">
        <f aca="false">IF($X497="","",Settings!$C$6)</f>
        <v/>
      </c>
      <c r="R497" s="22" t="str">
        <f aca="false">IF($X497="","",SUMIFS('Per Line'!$Y$2:$Y$4001,'Per Line'!$D$2:$D$4001,$B497,'Per Line'!$AJ$2:$AJ$4001,1))</f>
        <v/>
      </c>
      <c r="S497" s="22" t="str">
        <f aca="false">IF($X497="","",R497*Q497)</f>
        <v/>
      </c>
      <c r="T497" s="22" t="str">
        <f aca="false">IF($X497="","",S497+P497)</f>
        <v/>
      </c>
      <c r="U497" s="22" t="str">
        <f aca="false">IF($X497="","",V497-T497)</f>
        <v/>
      </c>
      <c r="V497" s="22" t="str">
        <f aca="false">IF($X497="","",O497+R497)</f>
        <v/>
      </c>
      <c r="W497" s="22" t="str">
        <f aca="false">IF($X497="","",U497-L497)</f>
        <v/>
      </c>
      <c r="X497" s="24" t="str">
        <f aca="false">IF(ROWS($X$2:$X497)&lt;=MAX('Per Line'!$AI$2:$AI$4001),MATCH(ROWS($X$2:$X497),'Per Line'!$AI$2:$AI$4001,0),"")</f>
        <v/>
      </c>
    </row>
    <row r="498" customFormat="false" ht="15" hidden="false" customHeight="false" outlineLevel="0" collapsed="false">
      <c r="A498" s="19"/>
      <c r="B498" s="20" t="str">
        <f aca="false">IF($X498="","",INDEX('Per Line'!$D$2:$D$4001,$X498))</f>
        <v/>
      </c>
      <c r="C498" s="20" t="str">
        <f aca="false">IF($X498="","",INDEX('Per Line'!$C$2:$C$4001,$X498))</f>
        <v/>
      </c>
      <c r="D498" s="20" t="str">
        <f aca="false">IF($X498="","",INDEX('Per Line'!$A$2:$A$4001,$X498))</f>
        <v/>
      </c>
      <c r="E498" s="21" t="str">
        <f aca="false">IF($X498="","",INDEX('Per Line'!$F$2:$F$4001,$X498))</f>
        <v/>
      </c>
      <c r="F498" s="20" t="str">
        <f aca="false">IF($X498="","",INDEX('Per Line'!$G$2:$G$4001,$X498))</f>
        <v/>
      </c>
      <c r="G498" s="20" t="str">
        <f aca="false">IF($X498="","",INDEX('Per Line'!$I$2:$I$4001,$X498))</f>
        <v/>
      </c>
      <c r="H498" s="20" t="str">
        <f aca="false">IF($X498="","",INDEX('Per Line'!$J$2:$J$4001,$X498))</f>
        <v/>
      </c>
      <c r="I498" s="20" t="str">
        <f aca="false">IF($X498="","",INDEX('Per Line'!$K$2:$K$4001,$X498))</f>
        <v/>
      </c>
      <c r="J498" s="20" t="str">
        <f aca="false">IF($X498="","",INDEX('Per Line'!$L$2:$L$4001,$X498))</f>
        <v/>
      </c>
      <c r="K498" s="20" t="str">
        <f aca="false">IF($X498="","",INDEX('Per Line'!$M$2:$M$4001,$X498))</f>
        <v/>
      </c>
      <c r="L498" s="22" t="str">
        <f aca="false">IF($X498="","",K498*V498/100)</f>
        <v/>
      </c>
      <c r="M498" s="20" t="str">
        <f aca="false">IF($X498="","",INDEX('Per Line'!$Z$2:$Z$4001,$X498))</f>
        <v/>
      </c>
      <c r="N498" s="23" t="str">
        <f aca="false">IF($X498="","",Settings!$C$7)</f>
        <v/>
      </c>
      <c r="O498" s="22" t="str">
        <f aca="false">IF($X498="","",SUMIFS('Per Line'!$Y$2:$Y$4001,'Per Line'!$D$2:$D$4001,$B498,'Per Line'!$AJ$2:$AJ$4001,0))</f>
        <v/>
      </c>
      <c r="P498" s="22" t="str">
        <f aca="false">IF($X498="","",O498*N498)</f>
        <v/>
      </c>
      <c r="Q498" s="23" t="str">
        <f aca="false">IF($X498="","",Settings!$C$6)</f>
        <v/>
      </c>
      <c r="R498" s="22" t="str">
        <f aca="false">IF($X498="","",SUMIFS('Per Line'!$Y$2:$Y$4001,'Per Line'!$D$2:$D$4001,$B498,'Per Line'!$AJ$2:$AJ$4001,1))</f>
        <v/>
      </c>
      <c r="S498" s="22" t="str">
        <f aca="false">IF($X498="","",R498*Q498)</f>
        <v/>
      </c>
      <c r="T498" s="22" t="str">
        <f aca="false">IF($X498="","",S498+P498)</f>
        <v/>
      </c>
      <c r="U498" s="22" t="str">
        <f aca="false">IF($X498="","",V498-T498)</f>
        <v/>
      </c>
      <c r="V498" s="22" t="str">
        <f aca="false">IF($X498="","",O498+R498)</f>
        <v/>
      </c>
      <c r="W498" s="22" t="str">
        <f aca="false">IF($X498="","",U498-L498)</f>
        <v/>
      </c>
      <c r="X498" s="24" t="str">
        <f aca="false">IF(ROWS($X$2:$X498)&lt;=MAX('Per Line'!$AI$2:$AI$4001),MATCH(ROWS($X$2:$X498),'Per Line'!$AI$2:$AI$4001,0),"")</f>
        <v/>
      </c>
    </row>
    <row r="499" customFormat="false" ht="15" hidden="false" customHeight="false" outlineLevel="0" collapsed="false">
      <c r="A499" s="19"/>
      <c r="B499" s="20" t="str">
        <f aca="false">IF($X499="","",INDEX('Per Line'!$D$2:$D$4001,$X499))</f>
        <v/>
      </c>
      <c r="C499" s="20" t="str">
        <f aca="false">IF($X499="","",INDEX('Per Line'!$C$2:$C$4001,$X499))</f>
        <v/>
      </c>
      <c r="D499" s="20" t="str">
        <f aca="false">IF($X499="","",INDEX('Per Line'!$A$2:$A$4001,$X499))</f>
        <v/>
      </c>
      <c r="E499" s="21" t="str">
        <f aca="false">IF($X499="","",INDEX('Per Line'!$F$2:$F$4001,$X499))</f>
        <v/>
      </c>
      <c r="F499" s="20" t="str">
        <f aca="false">IF($X499="","",INDEX('Per Line'!$G$2:$G$4001,$X499))</f>
        <v/>
      </c>
      <c r="G499" s="20" t="str">
        <f aca="false">IF($X499="","",INDEX('Per Line'!$I$2:$I$4001,$X499))</f>
        <v/>
      </c>
      <c r="H499" s="20" t="str">
        <f aca="false">IF($X499="","",INDEX('Per Line'!$J$2:$J$4001,$X499))</f>
        <v/>
      </c>
      <c r="I499" s="20" t="str">
        <f aca="false">IF($X499="","",INDEX('Per Line'!$K$2:$K$4001,$X499))</f>
        <v/>
      </c>
      <c r="J499" s="20" t="str">
        <f aca="false">IF($X499="","",INDEX('Per Line'!$L$2:$L$4001,$X499))</f>
        <v/>
      </c>
      <c r="K499" s="20" t="str">
        <f aca="false">IF($X499="","",INDEX('Per Line'!$M$2:$M$4001,$X499))</f>
        <v/>
      </c>
      <c r="L499" s="22" t="str">
        <f aca="false">IF($X499="","",K499*V499/100)</f>
        <v/>
      </c>
      <c r="M499" s="20" t="str">
        <f aca="false">IF($X499="","",INDEX('Per Line'!$Z$2:$Z$4001,$X499))</f>
        <v/>
      </c>
      <c r="N499" s="23" t="str">
        <f aca="false">IF($X499="","",Settings!$C$7)</f>
        <v/>
      </c>
      <c r="O499" s="22" t="str">
        <f aca="false">IF($X499="","",SUMIFS('Per Line'!$Y$2:$Y$4001,'Per Line'!$D$2:$D$4001,$B499,'Per Line'!$AJ$2:$AJ$4001,0))</f>
        <v/>
      </c>
      <c r="P499" s="22" t="str">
        <f aca="false">IF($X499="","",O499*N499)</f>
        <v/>
      </c>
      <c r="Q499" s="23" t="str">
        <f aca="false">IF($X499="","",Settings!$C$6)</f>
        <v/>
      </c>
      <c r="R499" s="22" t="str">
        <f aca="false">IF($X499="","",SUMIFS('Per Line'!$Y$2:$Y$4001,'Per Line'!$D$2:$D$4001,$B499,'Per Line'!$AJ$2:$AJ$4001,1))</f>
        <v/>
      </c>
      <c r="S499" s="22" t="str">
        <f aca="false">IF($X499="","",R499*Q499)</f>
        <v/>
      </c>
      <c r="T499" s="22" t="str">
        <f aca="false">IF($X499="","",S499+P499)</f>
        <v/>
      </c>
      <c r="U499" s="22" t="str">
        <f aca="false">IF($X499="","",V499-T499)</f>
        <v/>
      </c>
      <c r="V499" s="22" t="str">
        <f aca="false">IF($X499="","",O499+R499)</f>
        <v/>
      </c>
      <c r="W499" s="22" t="str">
        <f aca="false">IF($X499="","",U499-L499)</f>
        <v/>
      </c>
      <c r="X499" s="24" t="str">
        <f aca="false">IF(ROWS($X$2:$X499)&lt;=MAX('Per Line'!$AI$2:$AI$4001),MATCH(ROWS($X$2:$X499),'Per Line'!$AI$2:$AI$4001,0),"")</f>
        <v/>
      </c>
    </row>
    <row r="500" customFormat="false" ht="15" hidden="false" customHeight="false" outlineLevel="0" collapsed="false">
      <c r="A500" s="19"/>
      <c r="B500" s="20" t="str">
        <f aca="false">IF($X500="","",INDEX('Per Line'!$D$2:$D$4001,$X500))</f>
        <v/>
      </c>
      <c r="C500" s="20" t="str">
        <f aca="false">IF($X500="","",INDEX('Per Line'!$C$2:$C$4001,$X500))</f>
        <v/>
      </c>
      <c r="D500" s="20" t="str">
        <f aca="false">IF($X500="","",INDEX('Per Line'!$A$2:$A$4001,$X500))</f>
        <v/>
      </c>
      <c r="E500" s="21" t="str">
        <f aca="false">IF($X500="","",INDEX('Per Line'!$F$2:$F$4001,$X500))</f>
        <v/>
      </c>
      <c r="F500" s="20" t="str">
        <f aca="false">IF($X500="","",INDEX('Per Line'!$G$2:$G$4001,$X500))</f>
        <v/>
      </c>
      <c r="G500" s="20" t="str">
        <f aca="false">IF($X500="","",INDEX('Per Line'!$I$2:$I$4001,$X500))</f>
        <v/>
      </c>
      <c r="H500" s="20" t="str">
        <f aca="false">IF($X500="","",INDEX('Per Line'!$J$2:$J$4001,$X500))</f>
        <v/>
      </c>
      <c r="I500" s="20" t="str">
        <f aca="false">IF($X500="","",INDEX('Per Line'!$K$2:$K$4001,$X500))</f>
        <v/>
      </c>
      <c r="J500" s="20" t="str">
        <f aca="false">IF($X500="","",INDEX('Per Line'!$L$2:$L$4001,$X500))</f>
        <v/>
      </c>
      <c r="K500" s="20" t="str">
        <f aca="false">IF($X500="","",INDEX('Per Line'!$M$2:$M$4001,$X500))</f>
        <v/>
      </c>
      <c r="L500" s="22" t="str">
        <f aca="false">IF($X500="","",K500*V500/100)</f>
        <v/>
      </c>
      <c r="M500" s="20" t="str">
        <f aca="false">IF($X500="","",INDEX('Per Line'!$Z$2:$Z$4001,$X500))</f>
        <v/>
      </c>
      <c r="N500" s="23" t="str">
        <f aca="false">IF($X500="","",Settings!$C$7)</f>
        <v/>
      </c>
      <c r="O500" s="22" t="str">
        <f aca="false">IF($X500="","",SUMIFS('Per Line'!$Y$2:$Y$4001,'Per Line'!$D$2:$D$4001,$B500,'Per Line'!$AJ$2:$AJ$4001,0))</f>
        <v/>
      </c>
      <c r="P500" s="22" t="str">
        <f aca="false">IF($X500="","",O500*N500)</f>
        <v/>
      </c>
      <c r="Q500" s="23" t="str">
        <f aca="false">IF($X500="","",Settings!$C$6)</f>
        <v/>
      </c>
      <c r="R500" s="22" t="str">
        <f aca="false">IF($X500="","",SUMIFS('Per Line'!$Y$2:$Y$4001,'Per Line'!$D$2:$D$4001,$B500,'Per Line'!$AJ$2:$AJ$4001,1))</f>
        <v/>
      </c>
      <c r="S500" s="22" t="str">
        <f aca="false">IF($X500="","",R500*Q500)</f>
        <v/>
      </c>
      <c r="T500" s="22" t="str">
        <f aca="false">IF($X500="","",S500+P500)</f>
        <v/>
      </c>
      <c r="U500" s="22" t="str">
        <f aca="false">IF($X500="","",V500-T500)</f>
        <v/>
      </c>
      <c r="V500" s="22" t="str">
        <f aca="false">IF($X500="","",O500+R500)</f>
        <v/>
      </c>
      <c r="W500" s="22" t="str">
        <f aca="false">IF($X500="","",U500-L500)</f>
        <v/>
      </c>
      <c r="X500" s="24" t="str">
        <f aca="false">IF(ROWS($X$2:$X500)&lt;=MAX('Per Line'!$AI$2:$AI$4001),MATCH(ROWS($X$2:$X500),'Per Line'!$AI$2:$AI$4001,0),"")</f>
        <v/>
      </c>
    </row>
    <row r="501" customFormat="false" ht="15" hidden="false" customHeight="false" outlineLevel="0" collapsed="false">
      <c r="A501" s="19"/>
      <c r="B501" s="20" t="str">
        <f aca="false">IF($X501="","",INDEX('Per Line'!$D$2:$D$4001,$X501))</f>
        <v/>
      </c>
      <c r="C501" s="20" t="str">
        <f aca="false">IF($X501="","",INDEX('Per Line'!$C$2:$C$4001,$X501))</f>
        <v/>
      </c>
      <c r="D501" s="20" t="str">
        <f aca="false">IF($X501="","",INDEX('Per Line'!$A$2:$A$4001,$X501))</f>
        <v/>
      </c>
      <c r="E501" s="21" t="str">
        <f aca="false">IF($X501="","",INDEX('Per Line'!$F$2:$F$4001,$X501))</f>
        <v/>
      </c>
      <c r="F501" s="20" t="str">
        <f aca="false">IF($X501="","",INDEX('Per Line'!$G$2:$G$4001,$X501))</f>
        <v/>
      </c>
      <c r="G501" s="20" t="str">
        <f aca="false">IF($X501="","",INDEX('Per Line'!$I$2:$I$4001,$X501))</f>
        <v/>
      </c>
      <c r="H501" s="20" t="str">
        <f aca="false">IF($X501="","",INDEX('Per Line'!$J$2:$J$4001,$X501))</f>
        <v/>
      </c>
      <c r="I501" s="20" t="str">
        <f aca="false">IF($X501="","",INDEX('Per Line'!$K$2:$K$4001,$X501))</f>
        <v/>
      </c>
      <c r="J501" s="20" t="str">
        <f aca="false">IF($X501="","",INDEX('Per Line'!$L$2:$L$4001,$X501))</f>
        <v/>
      </c>
      <c r="K501" s="20" t="str">
        <f aca="false">IF($X501="","",INDEX('Per Line'!$M$2:$M$4001,$X501))</f>
        <v/>
      </c>
      <c r="L501" s="22" t="str">
        <f aca="false">IF($X501="","",K501*V501/100)</f>
        <v/>
      </c>
      <c r="M501" s="20" t="str">
        <f aca="false">IF($X501="","",INDEX('Per Line'!$Z$2:$Z$4001,$X501))</f>
        <v/>
      </c>
      <c r="N501" s="23" t="str">
        <f aca="false">IF($X501="","",Settings!$C$7)</f>
        <v/>
      </c>
      <c r="O501" s="22" t="str">
        <f aca="false">IF($X501="","",SUMIFS('Per Line'!$Y$2:$Y$4001,'Per Line'!$D$2:$D$4001,$B501,'Per Line'!$AJ$2:$AJ$4001,0))</f>
        <v/>
      </c>
      <c r="P501" s="22" t="str">
        <f aca="false">IF($X501="","",O501*N501)</f>
        <v/>
      </c>
      <c r="Q501" s="23" t="str">
        <f aca="false">IF($X501="","",Settings!$C$6)</f>
        <v/>
      </c>
      <c r="R501" s="22" t="str">
        <f aca="false">IF($X501="","",SUMIFS('Per Line'!$Y$2:$Y$4001,'Per Line'!$D$2:$D$4001,$B501,'Per Line'!$AJ$2:$AJ$4001,1))</f>
        <v/>
      </c>
      <c r="S501" s="22" t="str">
        <f aca="false">IF($X501="","",R501*Q501)</f>
        <v/>
      </c>
      <c r="T501" s="22" t="str">
        <f aca="false">IF($X501="","",S501+P501)</f>
        <v/>
      </c>
      <c r="U501" s="22" t="str">
        <f aca="false">IF($X501="","",V501-T501)</f>
        <v/>
      </c>
      <c r="V501" s="22" t="str">
        <f aca="false">IF($X501="","",O501+R501)</f>
        <v/>
      </c>
      <c r="W501" s="22" t="str">
        <f aca="false">IF($X501="","",U501-L501)</f>
        <v/>
      </c>
      <c r="X501" s="24" t="str">
        <f aca="false">IF(ROWS($X$2:$X501)&lt;=MAX('Per Line'!$AI$2:$AI$4001),MATCH(ROWS($X$2:$X501),'Per Line'!$AI$2:$AI$4001,0),"")</f>
        <v/>
      </c>
    </row>
    <row r="502" customFormat="false" ht="15" hidden="false" customHeight="false" outlineLevel="0" collapsed="false">
      <c r="A502" s="19"/>
      <c r="B502" s="20" t="str">
        <f aca="false">IF($X502="","",INDEX('Per Line'!$D$2:$D$4001,$X502))</f>
        <v/>
      </c>
      <c r="C502" s="20" t="str">
        <f aca="false">IF($X502="","",INDEX('Per Line'!$C$2:$C$4001,$X502))</f>
        <v/>
      </c>
      <c r="D502" s="20" t="str">
        <f aca="false">IF($X502="","",INDEX('Per Line'!$A$2:$A$4001,$X502))</f>
        <v/>
      </c>
      <c r="E502" s="21" t="str">
        <f aca="false">IF($X502="","",INDEX('Per Line'!$F$2:$F$4001,$X502))</f>
        <v/>
      </c>
      <c r="F502" s="20" t="str">
        <f aca="false">IF($X502="","",INDEX('Per Line'!$G$2:$G$4001,$X502))</f>
        <v/>
      </c>
      <c r="G502" s="20" t="str">
        <f aca="false">IF($X502="","",INDEX('Per Line'!$I$2:$I$4001,$X502))</f>
        <v/>
      </c>
      <c r="H502" s="20" t="str">
        <f aca="false">IF($X502="","",INDEX('Per Line'!$J$2:$J$4001,$X502))</f>
        <v/>
      </c>
      <c r="I502" s="20" t="str">
        <f aca="false">IF($X502="","",INDEX('Per Line'!$K$2:$K$4001,$X502))</f>
        <v/>
      </c>
      <c r="J502" s="20" t="str">
        <f aca="false">IF($X502="","",INDEX('Per Line'!$L$2:$L$4001,$X502))</f>
        <v/>
      </c>
      <c r="K502" s="20" t="str">
        <f aca="false">IF($X502="","",INDEX('Per Line'!$M$2:$M$4001,$X502))</f>
        <v/>
      </c>
      <c r="L502" s="22" t="str">
        <f aca="false">IF($X502="","",K502*V502/100)</f>
        <v/>
      </c>
      <c r="M502" s="20" t="str">
        <f aca="false">IF($X502="","",INDEX('Per Line'!$Z$2:$Z$4001,$X502))</f>
        <v/>
      </c>
      <c r="N502" s="23" t="str">
        <f aca="false">IF($X502="","",Settings!$C$7)</f>
        <v/>
      </c>
      <c r="O502" s="22" t="str">
        <f aca="false">IF($X502="","",SUMIFS('Per Line'!$Y$2:$Y$4001,'Per Line'!$D$2:$D$4001,$B502,'Per Line'!$AJ$2:$AJ$4001,0))</f>
        <v/>
      </c>
      <c r="P502" s="22" t="str">
        <f aca="false">IF($X502="","",O502*N502)</f>
        <v/>
      </c>
      <c r="Q502" s="23" t="str">
        <f aca="false">IF($X502="","",Settings!$C$6)</f>
        <v/>
      </c>
      <c r="R502" s="22" t="str">
        <f aca="false">IF($X502="","",SUMIFS('Per Line'!$Y$2:$Y$4001,'Per Line'!$D$2:$D$4001,$B502,'Per Line'!$AJ$2:$AJ$4001,1))</f>
        <v/>
      </c>
      <c r="S502" s="22" t="str">
        <f aca="false">IF($X502="","",R502*Q502)</f>
        <v/>
      </c>
      <c r="T502" s="22" t="str">
        <f aca="false">IF($X502="","",S502+P502)</f>
        <v/>
      </c>
      <c r="U502" s="22" t="str">
        <f aca="false">IF($X502="","",V502-T502)</f>
        <v/>
      </c>
      <c r="V502" s="22" t="str">
        <f aca="false">IF($X502="","",O502+R502)</f>
        <v/>
      </c>
      <c r="W502" s="22" t="str">
        <f aca="false">IF($X502="","",U502-L502)</f>
        <v/>
      </c>
      <c r="X502" s="24" t="str">
        <f aca="false">IF(ROWS($X$2:$X502)&lt;=MAX('Per Line'!$AI$2:$AI$4001),MATCH(ROWS($X$2:$X502),'Per Line'!$AI$2:$AI$4001,0),"")</f>
        <v/>
      </c>
    </row>
    <row r="503" customFormat="false" ht="15" hidden="false" customHeight="false" outlineLevel="0" collapsed="false">
      <c r="A503" s="19"/>
      <c r="B503" s="20" t="str">
        <f aca="false">IF($X503="","",INDEX('Per Line'!$D$2:$D$4001,$X503))</f>
        <v/>
      </c>
      <c r="C503" s="20" t="str">
        <f aca="false">IF($X503="","",INDEX('Per Line'!$C$2:$C$4001,$X503))</f>
        <v/>
      </c>
      <c r="D503" s="20" t="str">
        <f aca="false">IF($X503="","",INDEX('Per Line'!$A$2:$A$4001,$X503))</f>
        <v/>
      </c>
      <c r="E503" s="21" t="str">
        <f aca="false">IF($X503="","",INDEX('Per Line'!$F$2:$F$4001,$X503))</f>
        <v/>
      </c>
      <c r="F503" s="20" t="str">
        <f aca="false">IF($X503="","",INDEX('Per Line'!$G$2:$G$4001,$X503))</f>
        <v/>
      </c>
      <c r="G503" s="20" t="str">
        <f aca="false">IF($X503="","",INDEX('Per Line'!$I$2:$I$4001,$X503))</f>
        <v/>
      </c>
      <c r="H503" s="20" t="str">
        <f aca="false">IF($X503="","",INDEX('Per Line'!$J$2:$J$4001,$X503))</f>
        <v/>
      </c>
      <c r="I503" s="20" t="str">
        <f aca="false">IF($X503="","",INDEX('Per Line'!$K$2:$K$4001,$X503))</f>
        <v/>
      </c>
      <c r="J503" s="20" t="str">
        <f aca="false">IF($X503="","",INDEX('Per Line'!$L$2:$L$4001,$X503))</f>
        <v/>
      </c>
      <c r="K503" s="20" t="str">
        <f aca="false">IF($X503="","",INDEX('Per Line'!$M$2:$M$4001,$X503))</f>
        <v/>
      </c>
      <c r="L503" s="22" t="str">
        <f aca="false">IF($X503="","",K503*V503/100)</f>
        <v/>
      </c>
      <c r="M503" s="20" t="str">
        <f aca="false">IF($X503="","",INDEX('Per Line'!$Z$2:$Z$4001,$X503))</f>
        <v/>
      </c>
      <c r="N503" s="23" t="str">
        <f aca="false">IF($X503="","",Settings!$C$7)</f>
        <v/>
      </c>
      <c r="O503" s="22" t="str">
        <f aca="false">IF($X503="","",SUMIFS('Per Line'!$Y$2:$Y$4001,'Per Line'!$D$2:$D$4001,$B503,'Per Line'!$AJ$2:$AJ$4001,0))</f>
        <v/>
      </c>
      <c r="P503" s="22" t="str">
        <f aca="false">IF($X503="","",O503*N503)</f>
        <v/>
      </c>
      <c r="Q503" s="23" t="str">
        <f aca="false">IF($X503="","",Settings!$C$6)</f>
        <v/>
      </c>
      <c r="R503" s="22" t="str">
        <f aca="false">IF($X503="","",SUMIFS('Per Line'!$Y$2:$Y$4001,'Per Line'!$D$2:$D$4001,$B503,'Per Line'!$AJ$2:$AJ$4001,1))</f>
        <v/>
      </c>
      <c r="S503" s="22" t="str">
        <f aca="false">IF($X503="","",R503*Q503)</f>
        <v/>
      </c>
      <c r="T503" s="22" t="str">
        <f aca="false">IF($X503="","",S503+P503)</f>
        <v/>
      </c>
      <c r="U503" s="22" t="str">
        <f aca="false">IF($X503="","",V503-T503)</f>
        <v/>
      </c>
      <c r="V503" s="22" t="str">
        <f aca="false">IF($X503="","",O503+R503)</f>
        <v/>
      </c>
      <c r="W503" s="22" t="str">
        <f aca="false">IF($X503="","",U503-L503)</f>
        <v/>
      </c>
      <c r="X503" s="24" t="str">
        <f aca="false">IF(ROWS($X$2:$X503)&lt;=MAX('Per Line'!$AI$2:$AI$4001),MATCH(ROWS($X$2:$X503),'Per Line'!$AI$2:$AI$4001,0),"")</f>
        <v/>
      </c>
    </row>
    <row r="504" customFormat="false" ht="15" hidden="false" customHeight="false" outlineLevel="0" collapsed="false">
      <c r="A504" s="19"/>
      <c r="B504" s="20" t="str">
        <f aca="false">IF($X504="","",INDEX('Per Line'!$D$2:$D$4001,$X504))</f>
        <v/>
      </c>
      <c r="C504" s="20" t="str">
        <f aca="false">IF($X504="","",INDEX('Per Line'!$C$2:$C$4001,$X504))</f>
        <v/>
      </c>
      <c r="D504" s="20" t="str">
        <f aca="false">IF($X504="","",INDEX('Per Line'!$A$2:$A$4001,$X504))</f>
        <v/>
      </c>
      <c r="E504" s="21" t="str">
        <f aca="false">IF($X504="","",INDEX('Per Line'!$F$2:$F$4001,$X504))</f>
        <v/>
      </c>
      <c r="F504" s="20" t="str">
        <f aca="false">IF($X504="","",INDEX('Per Line'!$G$2:$G$4001,$X504))</f>
        <v/>
      </c>
      <c r="G504" s="20" t="str">
        <f aca="false">IF($X504="","",INDEX('Per Line'!$I$2:$I$4001,$X504))</f>
        <v/>
      </c>
      <c r="H504" s="20" t="str">
        <f aca="false">IF($X504="","",INDEX('Per Line'!$J$2:$J$4001,$X504))</f>
        <v/>
      </c>
      <c r="I504" s="20" t="str">
        <f aca="false">IF($X504="","",INDEX('Per Line'!$K$2:$K$4001,$X504))</f>
        <v/>
      </c>
      <c r="J504" s="20" t="str">
        <f aca="false">IF($X504="","",INDEX('Per Line'!$L$2:$L$4001,$X504))</f>
        <v/>
      </c>
      <c r="K504" s="20" t="str">
        <f aca="false">IF($X504="","",INDEX('Per Line'!$M$2:$M$4001,$X504))</f>
        <v/>
      </c>
      <c r="L504" s="22" t="str">
        <f aca="false">IF($X504="","",K504*V504/100)</f>
        <v/>
      </c>
      <c r="M504" s="20" t="str">
        <f aca="false">IF($X504="","",INDEX('Per Line'!$Z$2:$Z$4001,$X504))</f>
        <v/>
      </c>
      <c r="N504" s="23" t="str">
        <f aca="false">IF($X504="","",Settings!$C$7)</f>
        <v/>
      </c>
      <c r="O504" s="22" t="str">
        <f aca="false">IF($X504="","",SUMIFS('Per Line'!$Y$2:$Y$4001,'Per Line'!$D$2:$D$4001,$B504,'Per Line'!$AJ$2:$AJ$4001,0))</f>
        <v/>
      </c>
      <c r="P504" s="22" t="str">
        <f aca="false">IF($X504="","",O504*N504)</f>
        <v/>
      </c>
      <c r="Q504" s="23" t="str">
        <f aca="false">IF($X504="","",Settings!$C$6)</f>
        <v/>
      </c>
      <c r="R504" s="22" t="str">
        <f aca="false">IF($X504="","",SUMIFS('Per Line'!$Y$2:$Y$4001,'Per Line'!$D$2:$D$4001,$B504,'Per Line'!$AJ$2:$AJ$4001,1))</f>
        <v/>
      </c>
      <c r="S504" s="22" t="str">
        <f aca="false">IF($X504="","",R504*Q504)</f>
        <v/>
      </c>
      <c r="T504" s="22" t="str">
        <f aca="false">IF($X504="","",S504+P504)</f>
        <v/>
      </c>
      <c r="U504" s="22" t="str">
        <f aca="false">IF($X504="","",V504-T504)</f>
        <v/>
      </c>
      <c r="V504" s="22" t="str">
        <f aca="false">IF($X504="","",O504+R504)</f>
        <v/>
      </c>
      <c r="W504" s="22" t="str">
        <f aca="false">IF($X504="","",U504-L504)</f>
        <v/>
      </c>
      <c r="X504" s="24" t="str">
        <f aca="false">IF(ROWS($X$2:$X504)&lt;=MAX('Per Line'!$AI$2:$AI$4001),MATCH(ROWS($X$2:$X504),'Per Line'!$AI$2:$AI$4001,0),"")</f>
        <v/>
      </c>
    </row>
    <row r="505" customFormat="false" ht="15" hidden="false" customHeight="false" outlineLevel="0" collapsed="false">
      <c r="A505" s="19"/>
      <c r="B505" s="20" t="str">
        <f aca="false">IF($X505="","",INDEX('Per Line'!$D$2:$D$4001,$X505))</f>
        <v/>
      </c>
      <c r="C505" s="20" t="str">
        <f aca="false">IF($X505="","",INDEX('Per Line'!$C$2:$C$4001,$X505))</f>
        <v/>
      </c>
      <c r="D505" s="20" t="str">
        <f aca="false">IF($X505="","",INDEX('Per Line'!$A$2:$A$4001,$X505))</f>
        <v/>
      </c>
      <c r="E505" s="21" t="str">
        <f aca="false">IF($X505="","",INDEX('Per Line'!$F$2:$F$4001,$X505))</f>
        <v/>
      </c>
      <c r="F505" s="20" t="str">
        <f aca="false">IF($X505="","",INDEX('Per Line'!$G$2:$G$4001,$X505))</f>
        <v/>
      </c>
      <c r="G505" s="20" t="str">
        <f aca="false">IF($X505="","",INDEX('Per Line'!$I$2:$I$4001,$X505))</f>
        <v/>
      </c>
      <c r="H505" s="20" t="str">
        <f aca="false">IF($X505="","",INDEX('Per Line'!$J$2:$J$4001,$X505))</f>
        <v/>
      </c>
      <c r="I505" s="20" t="str">
        <f aca="false">IF($X505="","",INDEX('Per Line'!$K$2:$K$4001,$X505))</f>
        <v/>
      </c>
      <c r="J505" s="20" t="str">
        <f aca="false">IF($X505="","",INDEX('Per Line'!$L$2:$L$4001,$X505))</f>
        <v/>
      </c>
      <c r="K505" s="20" t="str">
        <f aca="false">IF($X505="","",INDEX('Per Line'!$M$2:$M$4001,$X505))</f>
        <v/>
      </c>
      <c r="L505" s="22" t="str">
        <f aca="false">IF($X505="","",K505*V505/100)</f>
        <v/>
      </c>
      <c r="M505" s="20" t="str">
        <f aca="false">IF($X505="","",INDEX('Per Line'!$Z$2:$Z$4001,$X505))</f>
        <v/>
      </c>
      <c r="N505" s="23" t="str">
        <f aca="false">IF($X505="","",Settings!$C$7)</f>
        <v/>
      </c>
      <c r="O505" s="22" t="str">
        <f aca="false">IF($X505="","",SUMIFS('Per Line'!$Y$2:$Y$4001,'Per Line'!$D$2:$D$4001,$B505,'Per Line'!$AJ$2:$AJ$4001,0))</f>
        <v/>
      </c>
      <c r="P505" s="22" t="str">
        <f aca="false">IF($X505="","",O505*N505)</f>
        <v/>
      </c>
      <c r="Q505" s="23" t="str">
        <f aca="false">IF($X505="","",Settings!$C$6)</f>
        <v/>
      </c>
      <c r="R505" s="22" t="str">
        <f aca="false">IF($X505="","",SUMIFS('Per Line'!$Y$2:$Y$4001,'Per Line'!$D$2:$D$4001,$B505,'Per Line'!$AJ$2:$AJ$4001,1))</f>
        <v/>
      </c>
      <c r="S505" s="22" t="str">
        <f aca="false">IF($X505="","",R505*Q505)</f>
        <v/>
      </c>
      <c r="T505" s="22" t="str">
        <f aca="false">IF($X505="","",S505+P505)</f>
        <v/>
      </c>
      <c r="U505" s="22" t="str">
        <f aca="false">IF($X505="","",V505-T505)</f>
        <v/>
      </c>
      <c r="V505" s="22" t="str">
        <f aca="false">IF($X505="","",O505+R505)</f>
        <v/>
      </c>
      <c r="W505" s="22" t="str">
        <f aca="false">IF($X505="","",U505-L505)</f>
        <v/>
      </c>
      <c r="X505" s="24" t="str">
        <f aca="false">IF(ROWS($X$2:$X505)&lt;=MAX('Per Line'!$AI$2:$AI$4001),MATCH(ROWS($X$2:$X505),'Per Line'!$AI$2:$AI$4001,0),"")</f>
        <v/>
      </c>
    </row>
    <row r="506" customFormat="false" ht="15" hidden="false" customHeight="false" outlineLevel="0" collapsed="false">
      <c r="A506" s="19"/>
      <c r="B506" s="20" t="str">
        <f aca="false">IF($X506="","",INDEX('Per Line'!$D$2:$D$4001,$X506))</f>
        <v/>
      </c>
      <c r="C506" s="20" t="str">
        <f aca="false">IF($X506="","",INDEX('Per Line'!$C$2:$C$4001,$X506))</f>
        <v/>
      </c>
      <c r="D506" s="20" t="str">
        <f aca="false">IF($X506="","",INDEX('Per Line'!$A$2:$A$4001,$X506))</f>
        <v/>
      </c>
      <c r="E506" s="21" t="str">
        <f aca="false">IF($X506="","",INDEX('Per Line'!$F$2:$F$4001,$X506))</f>
        <v/>
      </c>
      <c r="F506" s="20" t="str">
        <f aca="false">IF($X506="","",INDEX('Per Line'!$G$2:$G$4001,$X506))</f>
        <v/>
      </c>
      <c r="G506" s="20" t="str">
        <f aca="false">IF($X506="","",INDEX('Per Line'!$I$2:$I$4001,$X506))</f>
        <v/>
      </c>
      <c r="H506" s="20" t="str">
        <f aca="false">IF($X506="","",INDEX('Per Line'!$J$2:$J$4001,$X506))</f>
        <v/>
      </c>
      <c r="I506" s="20" t="str">
        <f aca="false">IF($X506="","",INDEX('Per Line'!$K$2:$K$4001,$X506))</f>
        <v/>
      </c>
      <c r="J506" s="20" t="str">
        <f aca="false">IF($X506="","",INDEX('Per Line'!$L$2:$L$4001,$X506))</f>
        <v/>
      </c>
      <c r="K506" s="20" t="str">
        <f aca="false">IF($X506="","",INDEX('Per Line'!$M$2:$M$4001,$X506))</f>
        <v/>
      </c>
      <c r="L506" s="22" t="str">
        <f aca="false">IF($X506="","",K506*V506/100)</f>
        <v/>
      </c>
      <c r="M506" s="20" t="str">
        <f aca="false">IF($X506="","",INDEX('Per Line'!$Z$2:$Z$4001,$X506))</f>
        <v/>
      </c>
      <c r="N506" s="23" t="str">
        <f aca="false">IF($X506="","",Settings!$C$7)</f>
        <v/>
      </c>
      <c r="O506" s="22" t="str">
        <f aca="false">IF($X506="","",SUMIFS('Per Line'!$Y$2:$Y$4001,'Per Line'!$D$2:$D$4001,$B506,'Per Line'!$AJ$2:$AJ$4001,0))</f>
        <v/>
      </c>
      <c r="P506" s="22" t="str">
        <f aca="false">IF($X506="","",O506*N506)</f>
        <v/>
      </c>
      <c r="Q506" s="23" t="str">
        <f aca="false">IF($X506="","",Settings!$C$6)</f>
        <v/>
      </c>
      <c r="R506" s="22" t="str">
        <f aca="false">IF($X506="","",SUMIFS('Per Line'!$Y$2:$Y$4001,'Per Line'!$D$2:$D$4001,$B506,'Per Line'!$AJ$2:$AJ$4001,1))</f>
        <v/>
      </c>
      <c r="S506" s="22" t="str">
        <f aca="false">IF($X506="","",R506*Q506)</f>
        <v/>
      </c>
      <c r="T506" s="22" t="str">
        <f aca="false">IF($X506="","",S506+P506)</f>
        <v/>
      </c>
      <c r="U506" s="22" t="str">
        <f aca="false">IF($X506="","",V506-T506)</f>
        <v/>
      </c>
      <c r="V506" s="22" t="str">
        <f aca="false">IF($X506="","",O506+R506)</f>
        <v/>
      </c>
      <c r="W506" s="22" t="str">
        <f aca="false">IF($X506="","",U506-L506)</f>
        <v/>
      </c>
      <c r="X506" s="24" t="str">
        <f aca="false">IF(ROWS($X$2:$X506)&lt;=MAX('Per Line'!$AI$2:$AI$4001),MATCH(ROWS($X$2:$X506),'Per Line'!$AI$2:$AI$4001,0),"")</f>
        <v/>
      </c>
    </row>
    <row r="507" customFormat="false" ht="15" hidden="false" customHeight="false" outlineLevel="0" collapsed="false">
      <c r="A507" s="19"/>
      <c r="B507" s="20" t="str">
        <f aca="false">IF($X507="","",INDEX('Per Line'!$D$2:$D$4001,$X507))</f>
        <v/>
      </c>
      <c r="C507" s="20" t="str">
        <f aca="false">IF($X507="","",INDEX('Per Line'!$C$2:$C$4001,$X507))</f>
        <v/>
      </c>
      <c r="D507" s="20" t="str">
        <f aca="false">IF($X507="","",INDEX('Per Line'!$A$2:$A$4001,$X507))</f>
        <v/>
      </c>
      <c r="E507" s="21" t="str">
        <f aca="false">IF($X507="","",INDEX('Per Line'!$F$2:$F$4001,$X507))</f>
        <v/>
      </c>
      <c r="F507" s="20" t="str">
        <f aca="false">IF($X507="","",INDEX('Per Line'!$G$2:$G$4001,$X507))</f>
        <v/>
      </c>
      <c r="G507" s="20" t="str">
        <f aca="false">IF($X507="","",INDEX('Per Line'!$I$2:$I$4001,$X507))</f>
        <v/>
      </c>
      <c r="H507" s="20" t="str">
        <f aca="false">IF($X507="","",INDEX('Per Line'!$J$2:$J$4001,$X507))</f>
        <v/>
      </c>
      <c r="I507" s="20" t="str">
        <f aca="false">IF($X507="","",INDEX('Per Line'!$K$2:$K$4001,$X507))</f>
        <v/>
      </c>
      <c r="J507" s="20" t="str">
        <f aca="false">IF($X507="","",INDEX('Per Line'!$L$2:$L$4001,$X507))</f>
        <v/>
      </c>
      <c r="K507" s="20" t="str">
        <f aca="false">IF($X507="","",INDEX('Per Line'!$M$2:$M$4001,$X507))</f>
        <v/>
      </c>
      <c r="L507" s="22" t="str">
        <f aca="false">IF($X507="","",K507*V507/100)</f>
        <v/>
      </c>
      <c r="M507" s="20" t="str">
        <f aca="false">IF($X507="","",INDEX('Per Line'!$Z$2:$Z$4001,$X507))</f>
        <v/>
      </c>
      <c r="N507" s="23" t="str">
        <f aca="false">IF($X507="","",Settings!$C$7)</f>
        <v/>
      </c>
      <c r="O507" s="22" t="str">
        <f aca="false">IF($X507="","",SUMIFS('Per Line'!$Y$2:$Y$4001,'Per Line'!$D$2:$D$4001,$B507,'Per Line'!$AJ$2:$AJ$4001,0))</f>
        <v/>
      </c>
      <c r="P507" s="22" t="str">
        <f aca="false">IF($X507="","",O507*N507)</f>
        <v/>
      </c>
      <c r="Q507" s="23" t="str">
        <f aca="false">IF($X507="","",Settings!$C$6)</f>
        <v/>
      </c>
      <c r="R507" s="22" t="str">
        <f aca="false">IF($X507="","",SUMIFS('Per Line'!$Y$2:$Y$4001,'Per Line'!$D$2:$D$4001,$B507,'Per Line'!$AJ$2:$AJ$4001,1))</f>
        <v/>
      </c>
      <c r="S507" s="22" t="str">
        <f aca="false">IF($X507="","",R507*Q507)</f>
        <v/>
      </c>
      <c r="T507" s="22" t="str">
        <f aca="false">IF($X507="","",S507+P507)</f>
        <v/>
      </c>
      <c r="U507" s="22" t="str">
        <f aca="false">IF($X507="","",V507-T507)</f>
        <v/>
      </c>
      <c r="V507" s="22" t="str">
        <f aca="false">IF($X507="","",O507+R507)</f>
        <v/>
      </c>
      <c r="W507" s="22" t="str">
        <f aca="false">IF($X507="","",U507-L507)</f>
        <v/>
      </c>
      <c r="X507" s="24" t="str">
        <f aca="false">IF(ROWS($X$2:$X507)&lt;=MAX('Per Line'!$AI$2:$AI$4001),MATCH(ROWS($X$2:$X507),'Per Line'!$AI$2:$AI$4001,0),"")</f>
        <v/>
      </c>
    </row>
    <row r="508" customFormat="false" ht="15" hidden="false" customHeight="false" outlineLevel="0" collapsed="false">
      <c r="A508" s="19"/>
      <c r="B508" s="20" t="str">
        <f aca="false">IF($X508="","",INDEX('Per Line'!$D$2:$D$4001,$X508))</f>
        <v/>
      </c>
      <c r="C508" s="20" t="str">
        <f aca="false">IF($X508="","",INDEX('Per Line'!$C$2:$C$4001,$X508))</f>
        <v/>
      </c>
      <c r="D508" s="20" t="str">
        <f aca="false">IF($X508="","",INDEX('Per Line'!$A$2:$A$4001,$X508))</f>
        <v/>
      </c>
      <c r="E508" s="21" t="str">
        <f aca="false">IF($X508="","",INDEX('Per Line'!$F$2:$F$4001,$X508))</f>
        <v/>
      </c>
      <c r="F508" s="20" t="str">
        <f aca="false">IF($X508="","",INDEX('Per Line'!$G$2:$G$4001,$X508))</f>
        <v/>
      </c>
      <c r="G508" s="20" t="str">
        <f aca="false">IF($X508="","",INDEX('Per Line'!$I$2:$I$4001,$X508))</f>
        <v/>
      </c>
      <c r="H508" s="20" t="str">
        <f aca="false">IF($X508="","",INDEX('Per Line'!$J$2:$J$4001,$X508))</f>
        <v/>
      </c>
      <c r="I508" s="20" t="str">
        <f aca="false">IF($X508="","",INDEX('Per Line'!$K$2:$K$4001,$X508))</f>
        <v/>
      </c>
      <c r="J508" s="20" t="str">
        <f aca="false">IF($X508="","",INDEX('Per Line'!$L$2:$L$4001,$X508))</f>
        <v/>
      </c>
      <c r="K508" s="20" t="str">
        <f aca="false">IF($X508="","",INDEX('Per Line'!$M$2:$M$4001,$X508))</f>
        <v/>
      </c>
      <c r="L508" s="22" t="str">
        <f aca="false">IF($X508="","",K508*V508/100)</f>
        <v/>
      </c>
      <c r="M508" s="20" t="str">
        <f aca="false">IF($X508="","",INDEX('Per Line'!$Z$2:$Z$4001,$X508))</f>
        <v/>
      </c>
      <c r="N508" s="23" t="str">
        <f aca="false">IF($X508="","",Settings!$C$7)</f>
        <v/>
      </c>
      <c r="O508" s="22" t="str">
        <f aca="false">IF($X508="","",SUMIFS('Per Line'!$Y$2:$Y$4001,'Per Line'!$D$2:$D$4001,$B508,'Per Line'!$AJ$2:$AJ$4001,0))</f>
        <v/>
      </c>
      <c r="P508" s="22" t="str">
        <f aca="false">IF($X508="","",O508*N508)</f>
        <v/>
      </c>
      <c r="Q508" s="23" t="str">
        <f aca="false">IF($X508="","",Settings!$C$6)</f>
        <v/>
      </c>
      <c r="R508" s="22" t="str">
        <f aca="false">IF($X508="","",SUMIFS('Per Line'!$Y$2:$Y$4001,'Per Line'!$D$2:$D$4001,$B508,'Per Line'!$AJ$2:$AJ$4001,1))</f>
        <v/>
      </c>
      <c r="S508" s="22" t="str">
        <f aca="false">IF($X508="","",R508*Q508)</f>
        <v/>
      </c>
      <c r="T508" s="22" t="str">
        <f aca="false">IF($X508="","",S508+P508)</f>
        <v/>
      </c>
      <c r="U508" s="22" t="str">
        <f aca="false">IF($X508="","",V508-T508)</f>
        <v/>
      </c>
      <c r="V508" s="22" t="str">
        <f aca="false">IF($X508="","",O508+R508)</f>
        <v/>
      </c>
      <c r="W508" s="22" t="str">
        <f aca="false">IF($X508="","",U508-L508)</f>
        <v/>
      </c>
      <c r="X508" s="24" t="str">
        <f aca="false">IF(ROWS($X$2:$X508)&lt;=MAX('Per Line'!$AI$2:$AI$4001),MATCH(ROWS($X$2:$X508),'Per Line'!$AI$2:$AI$4001,0),"")</f>
        <v/>
      </c>
    </row>
    <row r="509" customFormat="false" ht="15" hidden="false" customHeight="false" outlineLevel="0" collapsed="false">
      <c r="A509" s="19"/>
      <c r="B509" s="20" t="str">
        <f aca="false">IF($X509="","",INDEX('Per Line'!$D$2:$D$4001,$X509))</f>
        <v/>
      </c>
      <c r="C509" s="20" t="str">
        <f aca="false">IF($X509="","",INDEX('Per Line'!$C$2:$C$4001,$X509))</f>
        <v/>
      </c>
      <c r="D509" s="20" t="str">
        <f aca="false">IF($X509="","",INDEX('Per Line'!$A$2:$A$4001,$X509))</f>
        <v/>
      </c>
      <c r="E509" s="21" t="str">
        <f aca="false">IF($X509="","",INDEX('Per Line'!$F$2:$F$4001,$X509))</f>
        <v/>
      </c>
      <c r="F509" s="20" t="str">
        <f aca="false">IF($X509="","",INDEX('Per Line'!$G$2:$G$4001,$X509))</f>
        <v/>
      </c>
      <c r="G509" s="20" t="str">
        <f aca="false">IF($X509="","",INDEX('Per Line'!$I$2:$I$4001,$X509))</f>
        <v/>
      </c>
      <c r="H509" s="20" t="str">
        <f aca="false">IF($X509="","",INDEX('Per Line'!$J$2:$J$4001,$X509))</f>
        <v/>
      </c>
      <c r="I509" s="20" t="str">
        <f aca="false">IF($X509="","",INDEX('Per Line'!$K$2:$K$4001,$X509))</f>
        <v/>
      </c>
      <c r="J509" s="20" t="str">
        <f aca="false">IF($X509="","",INDEX('Per Line'!$L$2:$L$4001,$X509))</f>
        <v/>
      </c>
      <c r="K509" s="20" t="str">
        <f aca="false">IF($X509="","",INDEX('Per Line'!$M$2:$M$4001,$X509))</f>
        <v/>
      </c>
      <c r="L509" s="22" t="str">
        <f aca="false">IF($X509="","",K509*V509/100)</f>
        <v/>
      </c>
      <c r="M509" s="20" t="str">
        <f aca="false">IF($X509="","",INDEX('Per Line'!$Z$2:$Z$4001,$X509))</f>
        <v/>
      </c>
      <c r="N509" s="23" t="str">
        <f aca="false">IF($X509="","",Settings!$C$7)</f>
        <v/>
      </c>
      <c r="O509" s="22" t="str">
        <f aca="false">IF($X509="","",SUMIFS('Per Line'!$Y$2:$Y$4001,'Per Line'!$D$2:$D$4001,$B509,'Per Line'!$AJ$2:$AJ$4001,0))</f>
        <v/>
      </c>
      <c r="P509" s="22" t="str">
        <f aca="false">IF($X509="","",O509*N509)</f>
        <v/>
      </c>
      <c r="Q509" s="23" t="str">
        <f aca="false">IF($X509="","",Settings!$C$6)</f>
        <v/>
      </c>
      <c r="R509" s="22" t="str">
        <f aca="false">IF($X509="","",SUMIFS('Per Line'!$Y$2:$Y$4001,'Per Line'!$D$2:$D$4001,$B509,'Per Line'!$AJ$2:$AJ$4001,1))</f>
        <v/>
      </c>
      <c r="S509" s="22" t="str">
        <f aca="false">IF($X509="","",R509*Q509)</f>
        <v/>
      </c>
      <c r="T509" s="22" t="str">
        <f aca="false">IF($X509="","",S509+P509)</f>
        <v/>
      </c>
      <c r="U509" s="22" t="str">
        <f aca="false">IF($X509="","",V509-T509)</f>
        <v/>
      </c>
      <c r="V509" s="22" t="str">
        <f aca="false">IF($X509="","",O509+R509)</f>
        <v/>
      </c>
      <c r="W509" s="22" t="str">
        <f aca="false">IF($X509="","",U509-L509)</f>
        <v/>
      </c>
      <c r="X509" s="24" t="str">
        <f aca="false">IF(ROWS($X$2:$X509)&lt;=MAX('Per Line'!$AI$2:$AI$4001),MATCH(ROWS($X$2:$X509),'Per Line'!$AI$2:$AI$4001,0),"")</f>
        <v/>
      </c>
    </row>
    <row r="510" customFormat="false" ht="15" hidden="false" customHeight="false" outlineLevel="0" collapsed="false">
      <c r="A510" s="19"/>
      <c r="B510" s="20" t="str">
        <f aca="false">IF($X510="","",INDEX('Per Line'!$D$2:$D$4001,$X510))</f>
        <v/>
      </c>
      <c r="C510" s="20" t="str">
        <f aca="false">IF($X510="","",INDEX('Per Line'!$C$2:$C$4001,$X510))</f>
        <v/>
      </c>
      <c r="D510" s="20" t="str">
        <f aca="false">IF($X510="","",INDEX('Per Line'!$A$2:$A$4001,$X510))</f>
        <v/>
      </c>
      <c r="E510" s="21" t="str">
        <f aca="false">IF($X510="","",INDEX('Per Line'!$F$2:$F$4001,$X510))</f>
        <v/>
      </c>
      <c r="F510" s="20" t="str">
        <f aca="false">IF($X510="","",INDEX('Per Line'!$G$2:$G$4001,$X510))</f>
        <v/>
      </c>
      <c r="G510" s="20" t="str">
        <f aca="false">IF($X510="","",INDEX('Per Line'!$I$2:$I$4001,$X510))</f>
        <v/>
      </c>
      <c r="H510" s="20" t="str">
        <f aca="false">IF($X510="","",INDEX('Per Line'!$J$2:$J$4001,$X510))</f>
        <v/>
      </c>
      <c r="I510" s="20" t="str">
        <f aca="false">IF($X510="","",INDEX('Per Line'!$K$2:$K$4001,$X510))</f>
        <v/>
      </c>
      <c r="J510" s="20" t="str">
        <f aca="false">IF($X510="","",INDEX('Per Line'!$L$2:$L$4001,$X510))</f>
        <v/>
      </c>
      <c r="K510" s="20" t="str">
        <f aca="false">IF($X510="","",INDEX('Per Line'!$M$2:$M$4001,$X510))</f>
        <v/>
      </c>
      <c r="L510" s="22" t="str">
        <f aca="false">IF($X510="","",K510*V510/100)</f>
        <v/>
      </c>
      <c r="M510" s="20" t="str">
        <f aca="false">IF($X510="","",INDEX('Per Line'!$Z$2:$Z$4001,$X510))</f>
        <v/>
      </c>
      <c r="N510" s="23" t="str">
        <f aca="false">IF($X510="","",Settings!$C$7)</f>
        <v/>
      </c>
      <c r="O510" s="22" t="str">
        <f aca="false">IF($X510="","",SUMIFS('Per Line'!$Y$2:$Y$4001,'Per Line'!$D$2:$D$4001,$B510,'Per Line'!$AJ$2:$AJ$4001,0))</f>
        <v/>
      </c>
      <c r="P510" s="22" t="str">
        <f aca="false">IF($X510="","",O510*N510)</f>
        <v/>
      </c>
      <c r="Q510" s="23" t="str">
        <f aca="false">IF($X510="","",Settings!$C$6)</f>
        <v/>
      </c>
      <c r="R510" s="22" t="str">
        <f aca="false">IF($X510="","",SUMIFS('Per Line'!$Y$2:$Y$4001,'Per Line'!$D$2:$D$4001,$B510,'Per Line'!$AJ$2:$AJ$4001,1))</f>
        <v/>
      </c>
      <c r="S510" s="22" t="str">
        <f aca="false">IF($X510="","",R510*Q510)</f>
        <v/>
      </c>
      <c r="T510" s="22" t="str">
        <f aca="false">IF($X510="","",S510+P510)</f>
        <v/>
      </c>
      <c r="U510" s="22" t="str">
        <f aca="false">IF($X510="","",V510-T510)</f>
        <v/>
      </c>
      <c r="V510" s="22" t="str">
        <f aca="false">IF($X510="","",O510+R510)</f>
        <v/>
      </c>
      <c r="W510" s="22" t="str">
        <f aca="false">IF($X510="","",U510-L510)</f>
        <v/>
      </c>
      <c r="X510" s="24" t="str">
        <f aca="false">IF(ROWS($X$2:$X510)&lt;=MAX('Per Line'!$AI$2:$AI$4001),MATCH(ROWS($X$2:$X510),'Per Line'!$AI$2:$AI$4001,0),"")</f>
        <v/>
      </c>
    </row>
    <row r="511" customFormat="false" ht="15" hidden="false" customHeight="false" outlineLevel="0" collapsed="false">
      <c r="A511" s="19"/>
      <c r="B511" s="20" t="str">
        <f aca="false">IF($X511="","",INDEX('Per Line'!$D$2:$D$4001,$X511))</f>
        <v/>
      </c>
      <c r="C511" s="20" t="str">
        <f aca="false">IF($X511="","",INDEX('Per Line'!$C$2:$C$4001,$X511))</f>
        <v/>
      </c>
      <c r="D511" s="20" t="str">
        <f aca="false">IF($X511="","",INDEX('Per Line'!$A$2:$A$4001,$X511))</f>
        <v/>
      </c>
      <c r="E511" s="21" t="str">
        <f aca="false">IF($X511="","",INDEX('Per Line'!$F$2:$F$4001,$X511))</f>
        <v/>
      </c>
      <c r="F511" s="20" t="str">
        <f aca="false">IF($X511="","",INDEX('Per Line'!$G$2:$G$4001,$X511))</f>
        <v/>
      </c>
      <c r="G511" s="20" t="str">
        <f aca="false">IF($X511="","",INDEX('Per Line'!$I$2:$I$4001,$X511))</f>
        <v/>
      </c>
      <c r="H511" s="20" t="str">
        <f aca="false">IF($X511="","",INDEX('Per Line'!$J$2:$J$4001,$X511))</f>
        <v/>
      </c>
      <c r="I511" s="20" t="str">
        <f aca="false">IF($X511="","",INDEX('Per Line'!$K$2:$K$4001,$X511))</f>
        <v/>
      </c>
      <c r="J511" s="20" t="str">
        <f aca="false">IF($X511="","",INDEX('Per Line'!$L$2:$L$4001,$X511))</f>
        <v/>
      </c>
      <c r="K511" s="20" t="str">
        <f aca="false">IF($X511="","",INDEX('Per Line'!$M$2:$M$4001,$X511))</f>
        <v/>
      </c>
      <c r="L511" s="22" t="str">
        <f aca="false">IF($X511="","",K511*V511/100)</f>
        <v/>
      </c>
      <c r="M511" s="20" t="str">
        <f aca="false">IF($X511="","",INDEX('Per Line'!$Z$2:$Z$4001,$X511))</f>
        <v/>
      </c>
      <c r="N511" s="23" t="str">
        <f aca="false">IF($X511="","",Settings!$C$7)</f>
        <v/>
      </c>
      <c r="O511" s="22" t="str">
        <f aca="false">IF($X511="","",SUMIFS('Per Line'!$Y$2:$Y$4001,'Per Line'!$D$2:$D$4001,$B511,'Per Line'!$AJ$2:$AJ$4001,0))</f>
        <v/>
      </c>
      <c r="P511" s="22" t="str">
        <f aca="false">IF($X511="","",O511*N511)</f>
        <v/>
      </c>
      <c r="Q511" s="23" t="str">
        <f aca="false">IF($X511="","",Settings!$C$6)</f>
        <v/>
      </c>
      <c r="R511" s="22" t="str">
        <f aca="false">IF($X511="","",SUMIFS('Per Line'!$Y$2:$Y$4001,'Per Line'!$D$2:$D$4001,$B511,'Per Line'!$AJ$2:$AJ$4001,1))</f>
        <v/>
      </c>
      <c r="S511" s="22" t="str">
        <f aca="false">IF($X511="","",R511*Q511)</f>
        <v/>
      </c>
      <c r="T511" s="22" t="str">
        <f aca="false">IF($X511="","",S511+P511)</f>
        <v/>
      </c>
      <c r="U511" s="22" t="str">
        <f aca="false">IF($X511="","",V511-T511)</f>
        <v/>
      </c>
      <c r="V511" s="22" t="str">
        <f aca="false">IF($X511="","",O511+R511)</f>
        <v/>
      </c>
      <c r="W511" s="22" t="str">
        <f aca="false">IF($X511="","",U511-L511)</f>
        <v/>
      </c>
      <c r="X511" s="24" t="str">
        <f aca="false">IF(ROWS($X$2:$X511)&lt;=MAX('Per Line'!$AI$2:$AI$4001),MATCH(ROWS($X$2:$X511),'Per Line'!$AI$2:$AI$4001,0),"")</f>
        <v/>
      </c>
    </row>
    <row r="512" customFormat="false" ht="15" hidden="false" customHeight="false" outlineLevel="0" collapsed="false">
      <c r="A512" s="19"/>
      <c r="B512" s="20" t="str">
        <f aca="false">IF($X512="","",INDEX('Per Line'!$D$2:$D$4001,$X512))</f>
        <v/>
      </c>
      <c r="C512" s="20" t="str">
        <f aca="false">IF($X512="","",INDEX('Per Line'!$C$2:$C$4001,$X512))</f>
        <v/>
      </c>
      <c r="D512" s="20" t="str">
        <f aca="false">IF($X512="","",INDEX('Per Line'!$A$2:$A$4001,$X512))</f>
        <v/>
      </c>
      <c r="E512" s="21" t="str">
        <f aca="false">IF($X512="","",INDEX('Per Line'!$F$2:$F$4001,$X512))</f>
        <v/>
      </c>
      <c r="F512" s="20" t="str">
        <f aca="false">IF($X512="","",INDEX('Per Line'!$G$2:$G$4001,$X512))</f>
        <v/>
      </c>
      <c r="G512" s="20" t="str">
        <f aca="false">IF($X512="","",INDEX('Per Line'!$I$2:$I$4001,$X512))</f>
        <v/>
      </c>
      <c r="H512" s="20" t="str">
        <f aca="false">IF($X512="","",INDEX('Per Line'!$J$2:$J$4001,$X512))</f>
        <v/>
      </c>
      <c r="I512" s="20" t="str">
        <f aca="false">IF($X512="","",INDEX('Per Line'!$K$2:$K$4001,$X512))</f>
        <v/>
      </c>
      <c r="J512" s="20" t="str">
        <f aca="false">IF($X512="","",INDEX('Per Line'!$L$2:$L$4001,$X512))</f>
        <v/>
      </c>
      <c r="K512" s="20" t="str">
        <f aca="false">IF($X512="","",INDEX('Per Line'!$M$2:$M$4001,$X512))</f>
        <v/>
      </c>
      <c r="L512" s="22" t="str">
        <f aca="false">IF($X512="","",K512*V512/100)</f>
        <v/>
      </c>
      <c r="M512" s="20" t="str">
        <f aca="false">IF($X512="","",INDEX('Per Line'!$Z$2:$Z$4001,$X512))</f>
        <v/>
      </c>
      <c r="N512" s="23" t="str">
        <f aca="false">IF($X512="","",Settings!$C$7)</f>
        <v/>
      </c>
      <c r="O512" s="22" t="str">
        <f aca="false">IF($X512="","",SUMIFS('Per Line'!$Y$2:$Y$4001,'Per Line'!$D$2:$D$4001,$B512,'Per Line'!$AJ$2:$AJ$4001,0))</f>
        <v/>
      </c>
      <c r="P512" s="22" t="str">
        <f aca="false">IF($X512="","",O512*N512)</f>
        <v/>
      </c>
      <c r="Q512" s="23" t="str">
        <f aca="false">IF($X512="","",Settings!$C$6)</f>
        <v/>
      </c>
      <c r="R512" s="22" t="str">
        <f aca="false">IF($X512="","",SUMIFS('Per Line'!$Y$2:$Y$4001,'Per Line'!$D$2:$D$4001,$B512,'Per Line'!$AJ$2:$AJ$4001,1))</f>
        <v/>
      </c>
      <c r="S512" s="22" t="str">
        <f aca="false">IF($X512="","",R512*Q512)</f>
        <v/>
      </c>
      <c r="T512" s="22" t="str">
        <f aca="false">IF($X512="","",S512+P512)</f>
        <v/>
      </c>
      <c r="U512" s="22" t="str">
        <f aca="false">IF($X512="","",V512-T512)</f>
        <v/>
      </c>
      <c r="V512" s="22" t="str">
        <f aca="false">IF($X512="","",O512+R512)</f>
        <v/>
      </c>
      <c r="W512" s="22" t="str">
        <f aca="false">IF($X512="","",U512-L512)</f>
        <v/>
      </c>
      <c r="X512" s="24" t="str">
        <f aca="false">IF(ROWS($X$2:$X512)&lt;=MAX('Per Line'!$AI$2:$AI$4001),MATCH(ROWS($X$2:$X512),'Per Line'!$AI$2:$AI$4001,0),"")</f>
        <v/>
      </c>
    </row>
    <row r="513" customFormat="false" ht="15" hidden="false" customHeight="false" outlineLevel="0" collapsed="false">
      <c r="A513" s="19"/>
      <c r="B513" s="20" t="str">
        <f aca="false">IF($X513="","",INDEX('Per Line'!$D$2:$D$4001,$X513))</f>
        <v/>
      </c>
      <c r="C513" s="20" t="str">
        <f aca="false">IF($X513="","",INDEX('Per Line'!$C$2:$C$4001,$X513))</f>
        <v/>
      </c>
      <c r="D513" s="20" t="str">
        <f aca="false">IF($X513="","",INDEX('Per Line'!$A$2:$A$4001,$X513))</f>
        <v/>
      </c>
      <c r="E513" s="21" t="str">
        <f aca="false">IF($X513="","",INDEX('Per Line'!$F$2:$F$4001,$X513))</f>
        <v/>
      </c>
      <c r="F513" s="20" t="str">
        <f aca="false">IF($X513="","",INDEX('Per Line'!$G$2:$G$4001,$X513))</f>
        <v/>
      </c>
      <c r="G513" s="20" t="str">
        <f aca="false">IF($X513="","",INDEX('Per Line'!$I$2:$I$4001,$X513))</f>
        <v/>
      </c>
      <c r="H513" s="20" t="str">
        <f aca="false">IF($X513="","",INDEX('Per Line'!$J$2:$J$4001,$X513))</f>
        <v/>
      </c>
      <c r="I513" s="20" t="str">
        <f aca="false">IF($X513="","",INDEX('Per Line'!$K$2:$K$4001,$X513))</f>
        <v/>
      </c>
      <c r="J513" s="20" t="str">
        <f aca="false">IF($X513="","",INDEX('Per Line'!$L$2:$L$4001,$X513))</f>
        <v/>
      </c>
      <c r="K513" s="20" t="str">
        <f aca="false">IF($X513="","",INDEX('Per Line'!$M$2:$M$4001,$X513))</f>
        <v/>
      </c>
      <c r="L513" s="22" t="str">
        <f aca="false">IF($X513="","",K513*V513/100)</f>
        <v/>
      </c>
      <c r="M513" s="20" t="str">
        <f aca="false">IF($X513="","",INDEX('Per Line'!$Z$2:$Z$4001,$X513))</f>
        <v/>
      </c>
      <c r="N513" s="23" t="str">
        <f aca="false">IF($X513="","",Settings!$C$7)</f>
        <v/>
      </c>
      <c r="O513" s="22" t="str">
        <f aca="false">IF($X513="","",SUMIFS('Per Line'!$Y$2:$Y$4001,'Per Line'!$D$2:$D$4001,$B513,'Per Line'!$AJ$2:$AJ$4001,0))</f>
        <v/>
      </c>
      <c r="P513" s="22" t="str">
        <f aca="false">IF($X513="","",O513*N513)</f>
        <v/>
      </c>
      <c r="Q513" s="23" t="str">
        <f aca="false">IF($X513="","",Settings!$C$6)</f>
        <v/>
      </c>
      <c r="R513" s="22" t="str">
        <f aca="false">IF($X513="","",SUMIFS('Per Line'!$Y$2:$Y$4001,'Per Line'!$D$2:$D$4001,$B513,'Per Line'!$AJ$2:$AJ$4001,1))</f>
        <v/>
      </c>
      <c r="S513" s="22" t="str">
        <f aca="false">IF($X513="","",R513*Q513)</f>
        <v/>
      </c>
      <c r="T513" s="22" t="str">
        <f aca="false">IF($X513="","",S513+P513)</f>
        <v/>
      </c>
      <c r="U513" s="22" t="str">
        <f aca="false">IF($X513="","",V513-T513)</f>
        <v/>
      </c>
      <c r="V513" s="22" t="str">
        <f aca="false">IF($X513="","",O513+R513)</f>
        <v/>
      </c>
      <c r="W513" s="22" t="str">
        <f aca="false">IF($X513="","",U513-L513)</f>
        <v/>
      </c>
      <c r="X513" s="24" t="str">
        <f aca="false">IF(ROWS($X$2:$X513)&lt;=MAX('Per Line'!$AI$2:$AI$4001),MATCH(ROWS($X$2:$X513),'Per Line'!$AI$2:$AI$4001,0),"")</f>
        <v/>
      </c>
    </row>
    <row r="514" customFormat="false" ht="15" hidden="false" customHeight="false" outlineLevel="0" collapsed="false">
      <c r="A514" s="19"/>
      <c r="B514" s="20" t="str">
        <f aca="false">IF($X514="","",INDEX('Per Line'!$D$2:$D$4001,$X514))</f>
        <v/>
      </c>
      <c r="C514" s="20" t="str">
        <f aca="false">IF($X514="","",INDEX('Per Line'!$C$2:$C$4001,$X514))</f>
        <v/>
      </c>
      <c r="D514" s="20" t="str">
        <f aca="false">IF($X514="","",INDEX('Per Line'!$A$2:$A$4001,$X514))</f>
        <v/>
      </c>
      <c r="E514" s="21" t="str">
        <f aca="false">IF($X514="","",INDEX('Per Line'!$F$2:$F$4001,$X514))</f>
        <v/>
      </c>
      <c r="F514" s="20" t="str">
        <f aca="false">IF($X514="","",INDEX('Per Line'!$G$2:$G$4001,$X514))</f>
        <v/>
      </c>
      <c r="G514" s="20" t="str">
        <f aca="false">IF($X514="","",INDEX('Per Line'!$I$2:$I$4001,$X514))</f>
        <v/>
      </c>
      <c r="H514" s="20" t="str">
        <f aca="false">IF($X514="","",INDEX('Per Line'!$J$2:$J$4001,$X514))</f>
        <v/>
      </c>
      <c r="I514" s="20" t="str">
        <f aca="false">IF($X514="","",INDEX('Per Line'!$K$2:$K$4001,$X514))</f>
        <v/>
      </c>
      <c r="J514" s="20" t="str">
        <f aca="false">IF($X514="","",INDEX('Per Line'!$L$2:$L$4001,$X514))</f>
        <v/>
      </c>
      <c r="K514" s="20" t="str">
        <f aca="false">IF($X514="","",INDEX('Per Line'!$M$2:$M$4001,$X514))</f>
        <v/>
      </c>
      <c r="L514" s="22" t="str">
        <f aca="false">IF($X514="","",K514*V514/100)</f>
        <v/>
      </c>
      <c r="M514" s="20" t="str">
        <f aca="false">IF($X514="","",INDEX('Per Line'!$Z$2:$Z$4001,$X514))</f>
        <v/>
      </c>
      <c r="N514" s="23" t="str">
        <f aca="false">IF($X514="","",Settings!$C$7)</f>
        <v/>
      </c>
      <c r="O514" s="22" t="str">
        <f aca="false">IF($X514="","",SUMIFS('Per Line'!$Y$2:$Y$4001,'Per Line'!$D$2:$D$4001,$B514,'Per Line'!$AJ$2:$AJ$4001,0))</f>
        <v/>
      </c>
      <c r="P514" s="22" t="str">
        <f aca="false">IF($X514="","",O514*N514)</f>
        <v/>
      </c>
      <c r="Q514" s="23" t="str">
        <f aca="false">IF($X514="","",Settings!$C$6)</f>
        <v/>
      </c>
      <c r="R514" s="22" t="str">
        <f aca="false">IF($X514="","",SUMIFS('Per Line'!$Y$2:$Y$4001,'Per Line'!$D$2:$D$4001,$B514,'Per Line'!$AJ$2:$AJ$4001,1))</f>
        <v/>
      </c>
      <c r="S514" s="22" t="str">
        <f aca="false">IF($X514="","",R514*Q514)</f>
        <v/>
      </c>
      <c r="T514" s="22" t="str">
        <f aca="false">IF($X514="","",S514+P514)</f>
        <v/>
      </c>
      <c r="U514" s="22" t="str">
        <f aca="false">IF($X514="","",V514-T514)</f>
        <v/>
      </c>
      <c r="V514" s="22" t="str">
        <f aca="false">IF($X514="","",O514+R514)</f>
        <v/>
      </c>
      <c r="W514" s="22" t="str">
        <f aca="false">IF($X514="","",U514-L514)</f>
        <v/>
      </c>
      <c r="X514" s="24" t="str">
        <f aca="false">IF(ROWS($X$2:$X514)&lt;=MAX('Per Line'!$AI$2:$AI$4001),MATCH(ROWS($X$2:$X514),'Per Line'!$AI$2:$AI$4001,0),"")</f>
        <v/>
      </c>
    </row>
    <row r="515" customFormat="false" ht="15" hidden="false" customHeight="false" outlineLevel="0" collapsed="false">
      <c r="A515" s="19"/>
      <c r="B515" s="20" t="str">
        <f aca="false">IF($X515="","",INDEX('Per Line'!$D$2:$D$4001,$X515))</f>
        <v/>
      </c>
      <c r="C515" s="20" t="str">
        <f aca="false">IF($X515="","",INDEX('Per Line'!$C$2:$C$4001,$X515))</f>
        <v/>
      </c>
      <c r="D515" s="20" t="str">
        <f aca="false">IF($X515="","",INDEX('Per Line'!$A$2:$A$4001,$X515))</f>
        <v/>
      </c>
      <c r="E515" s="21" t="str">
        <f aca="false">IF($X515="","",INDEX('Per Line'!$F$2:$F$4001,$X515))</f>
        <v/>
      </c>
      <c r="F515" s="20" t="str">
        <f aca="false">IF($X515="","",INDEX('Per Line'!$G$2:$G$4001,$X515))</f>
        <v/>
      </c>
      <c r="G515" s="20" t="str">
        <f aca="false">IF($X515="","",INDEX('Per Line'!$I$2:$I$4001,$X515))</f>
        <v/>
      </c>
      <c r="H515" s="20" t="str">
        <f aca="false">IF($X515="","",INDEX('Per Line'!$J$2:$J$4001,$X515))</f>
        <v/>
      </c>
      <c r="I515" s="20" t="str">
        <f aca="false">IF($X515="","",INDEX('Per Line'!$K$2:$K$4001,$X515))</f>
        <v/>
      </c>
      <c r="J515" s="20" t="str">
        <f aca="false">IF($X515="","",INDEX('Per Line'!$L$2:$L$4001,$X515))</f>
        <v/>
      </c>
      <c r="K515" s="20" t="str">
        <f aca="false">IF($X515="","",INDEX('Per Line'!$M$2:$M$4001,$X515))</f>
        <v/>
      </c>
      <c r="L515" s="22" t="str">
        <f aca="false">IF($X515="","",K515*V515/100)</f>
        <v/>
      </c>
      <c r="M515" s="20" t="str">
        <f aca="false">IF($X515="","",INDEX('Per Line'!$Z$2:$Z$4001,$X515))</f>
        <v/>
      </c>
      <c r="N515" s="23" t="str">
        <f aca="false">IF($X515="","",Settings!$C$7)</f>
        <v/>
      </c>
      <c r="O515" s="22" t="str">
        <f aca="false">IF($X515="","",SUMIFS('Per Line'!$Y$2:$Y$4001,'Per Line'!$D$2:$D$4001,$B515,'Per Line'!$AJ$2:$AJ$4001,0))</f>
        <v/>
      </c>
      <c r="P515" s="22" t="str">
        <f aca="false">IF($X515="","",O515*N515)</f>
        <v/>
      </c>
      <c r="Q515" s="23" t="str">
        <f aca="false">IF($X515="","",Settings!$C$6)</f>
        <v/>
      </c>
      <c r="R515" s="22" t="str">
        <f aca="false">IF($X515="","",SUMIFS('Per Line'!$Y$2:$Y$4001,'Per Line'!$D$2:$D$4001,$B515,'Per Line'!$AJ$2:$AJ$4001,1))</f>
        <v/>
      </c>
      <c r="S515" s="22" t="str">
        <f aca="false">IF($X515="","",R515*Q515)</f>
        <v/>
      </c>
      <c r="T515" s="22" t="str">
        <f aca="false">IF($X515="","",S515+P515)</f>
        <v/>
      </c>
      <c r="U515" s="22" t="str">
        <f aca="false">IF($X515="","",V515-T515)</f>
        <v/>
      </c>
      <c r="V515" s="22" t="str">
        <f aca="false">IF($X515="","",O515+R515)</f>
        <v/>
      </c>
      <c r="W515" s="22" t="str">
        <f aca="false">IF($X515="","",U515-L515)</f>
        <v/>
      </c>
      <c r="X515" s="24" t="str">
        <f aca="false">IF(ROWS($X$2:$X515)&lt;=MAX('Per Line'!$AI$2:$AI$4001),MATCH(ROWS($X$2:$X515),'Per Line'!$AI$2:$AI$4001,0),"")</f>
        <v/>
      </c>
    </row>
    <row r="516" customFormat="false" ht="15" hidden="false" customHeight="false" outlineLevel="0" collapsed="false">
      <c r="A516" s="19"/>
      <c r="B516" s="20" t="str">
        <f aca="false">IF($X516="","",INDEX('Per Line'!$D$2:$D$4001,$X516))</f>
        <v/>
      </c>
      <c r="C516" s="20" t="str">
        <f aca="false">IF($X516="","",INDEX('Per Line'!$C$2:$C$4001,$X516))</f>
        <v/>
      </c>
      <c r="D516" s="20" t="str">
        <f aca="false">IF($X516="","",INDEX('Per Line'!$A$2:$A$4001,$X516))</f>
        <v/>
      </c>
      <c r="E516" s="21" t="str">
        <f aca="false">IF($X516="","",INDEX('Per Line'!$F$2:$F$4001,$X516))</f>
        <v/>
      </c>
      <c r="F516" s="20" t="str">
        <f aca="false">IF($X516="","",INDEX('Per Line'!$G$2:$G$4001,$X516))</f>
        <v/>
      </c>
      <c r="G516" s="20" t="str">
        <f aca="false">IF($X516="","",INDEX('Per Line'!$I$2:$I$4001,$X516))</f>
        <v/>
      </c>
      <c r="H516" s="20" t="str">
        <f aca="false">IF($X516="","",INDEX('Per Line'!$J$2:$J$4001,$X516))</f>
        <v/>
      </c>
      <c r="I516" s="20" t="str">
        <f aca="false">IF($X516="","",INDEX('Per Line'!$K$2:$K$4001,$X516))</f>
        <v/>
      </c>
      <c r="J516" s="20" t="str">
        <f aca="false">IF($X516="","",INDEX('Per Line'!$L$2:$L$4001,$X516))</f>
        <v/>
      </c>
      <c r="K516" s="20" t="str">
        <f aca="false">IF($X516="","",INDEX('Per Line'!$M$2:$M$4001,$X516))</f>
        <v/>
      </c>
      <c r="L516" s="22" t="str">
        <f aca="false">IF($X516="","",K516*V516/100)</f>
        <v/>
      </c>
      <c r="M516" s="20" t="str">
        <f aca="false">IF($X516="","",INDEX('Per Line'!$Z$2:$Z$4001,$X516))</f>
        <v/>
      </c>
      <c r="N516" s="23" t="str">
        <f aca="false">IF($X516="","",Settings!$C$7)</f>
        <v/>
      </c>
      <c r="O516" s="22" t="str">
        <f aca="false">IF($X516="","",SUMIFS('Per Line'!$Y$2:$Y$4001,'Per Line'!$D$2:$D$4001,$B516,'Per Line'!$AJ$2:$AJ$4001,0))</f>
        <v/>
      </c>
      <c r="P516" s="22" t="str">
        <f aca="false">IF($X516="","",O516*N516)</f>
        <v/>
      </c>
      <c r="Q516" s="23" t="str">
        <f aca="false">IF($X516="","",Settings!$C$6)</f>
        <v/>
      </c>
      <c r="R516" s="22" t="str">
        <f aca="false">IF($X516="","",SUMIFS('Per Line'!$Y$2:$Y$4001,'Per Line'!$D$2:$D$4001,$B516,'Per Line'!$AJ$2:$AJ$4001,1))</f>
        <v/>
      </c>
      <c r="S516" s="22" t="str">
        <f aca="false">IF($X516="","",R516*Q516)</f>
        <v/>
      </c>
      <c r="T516" s="22" t="str">
        <f aca="false">IF($X516="","",S516+P516)</f>
        <v/>
      </c>
      <c r="U516" s="22" t="str">
        <f aca="false">IF($X516="","",V516-T516)</f>
        <v/>
      </c>
      <c r="V516" s="22" t="str">
        <f aca="false">IF($X516="","",O516+R516)</f>
        <v/>
      </c>
      <c r="W516" s="22" t="str">
        <f aca="false">IF($X516="","",U516-L516)</f>
        <v/>
      </c>
      <c r="X516" s="24" t="str">
        <f aca="false">IF(ROWS($X$2:$X516)&lt;=MAX('Per Line'!$AI$2:$AI$4001),MATCH(ROWS($X$2:$X516),'Per Line'!$AI$2:$AI$4001,0),"")</f>
        <v/>
      </c>
    </row>
    <row r="517" customFormat="false" ht="15" hidden="false" customHeight="false" outlineLevel="0" collapsed="false">
      <c r="A517" s="19"/>
      <c r="B517" s="20" t="str">
        <f aca="false">IF($X517="","",INDEX('Per Line'!$D$2:$D$4001,$X517))</f>
        <v/>
      </c>
      <c r="C517" s="20" t="str">
        <f aca="false">IF($X517="","",INDEX('Per Line'!$C$2:$C$4001,$X517))</f>
        <v/>
      </c>
      <c r="D517" s="20" t="str">
        <f aca="false">IF($X517="","",INDEX('Per Line'!$A$2:$A$4001,$X517))</f>
        <v/>
      </c>
      <c r="E517" s="21" t="str">
        <f aca="false">IF($X517="","",INDEX('Per Line'!$F$2:$F$4001,$X517))</f>
        <v/>
      </c>
      <c r="F517" s="20" t="str">
        <f aca="false">IF($X517="","",INDEX('Per Line'!$G$2:$G$4001,$X517))</f>
        <v/>
      </c>
      <c r="G517" s="20" t="str">
        <f aca="false">IF($X517="","",INDEX('Per Line'!$I$2:$I$4001,$X517))</f>
        <v/>
      </c>
      <c r="H517" s="20" t="str">
        <f aca="false">IF($X517="","",INDEX('Per Line'!$J$2:$J$4001,$X517))</f>
        <v/>
      </c>
      <c r="I517" s="20" t="str">
        <f aca="false">IF($X517="","",INDEX('Per Line'!$K$2:$K$4001,$X517))</f>
        <v/>
      </c>
      <c r="J517" s="20" t="str">
        <f aca="false">IF($X517="","",INDEX('Per Line'!$L$2:$L$4001,$X517))</f>
        <v/>
      </c>
      <c r="K517" s="20" t="str">
        <f aca="false">IF($X517="","",INDEX('Per Line'!$M$2:$M$4001,$X517))</f>
        <v/>
      </c>
      <c r="L517" s="22" t="str">
        <f aca="false">IF($X517="","",K517*V517/100)</f>
        <v/>
      </c>
      <c r="M517" s="20" t="str">
        <f aca="false">IF($X517="","",INDEX('Per Line'!$Z$2:$Z$4001,$X517))</f>
        <v/>
      </c>
      <c r="N517" s="23" t="str">
        <f aca="false">IF($X517="","",Settings!$C$7)</f>
        <v/>
      </c>
      <c r="O517" s="22" t="str">
        <f aca="false">IF($X517="","",SUMIFS('Per Line'!$Y$2:$Y$4001,'Per Line'!$D$2:$D$4001,$B517,'Per Line'!$AJ$2:$AJ$4001,0))</f>
        <v/>
      </c>
      <c r="P517" s="22" t="str">
        <f aca="false">IF($X517="","",O517*N517)</f>
        <v/>
      </c>
      <c r="Q517" s="23" t="str">
        <f aca="false">IF($X517="","",Settings!$C$6)</f>
        <v/>
      </c>
      <c r="R517" s="22" t="str">
        <f aca="false">IF($X517="","",SUMIFS('Per Line'!$Y$2:$Y$4001,'Per Line'!$D$2:$D$4001,$B517,'Per Line'!$AJ$2:$AJ$4001,1))</f>
        <v/>
      </c>
      <c r="S517" s="22" t="str">
        <f aca="false">IF($X517="","",R517*Q517)</f>
        <v/>
      </c>
      <c r="T517" s="22" t="str">
        <f aca="false">IF($X517="","",S517+P517)</f>
        <v/>
      </c>
      <c r="U517" s="22" t="str">
        <f aca="false">IF($X517="","",V517-T517)</f>
        <v/>
      </c>
      <c r="V517" s="22" t="str">
        <f aca="false">IF($X517="","",O517+R517)</f>
        <v/>
      </c>
      <c r="W517" s="22" t="str">
        <f aca="false">IF($X517="","",U517-L517)</f>
        <v/>
      </c>
      <c r="X517" s="24" t="str">
        <f aca="false">IF(ROWS($X$2:$X517)&lt;=MAX('Per Line'!$AI$2:$AI$4001),MATCH(ROWS($X$2:$X517),'Per Line'!$AI$2:$AI$4001,0),"")</f>
        <v/>
      </c>
    </row>
    <row r="518" customFormat="false" ht="15" hidden="false" customHeight="false" outlineLevel="0" collapsed="false">
      <c r="A518" s="19"/>
      <c r="B518" s="20" t="str">
        <f aca="false">IF($X518="","",INDEX('Per Line'!$D$2:$D$4001,$X518))</f>
        <v/>
      </c>
      <c r="C518" s="20" t="str">
        <f aca="false">IF($X518="","",INDEX('Per Line'!$C$2:$C$4001,$X518))</f>
        <v/>
      </c>
      <c r="D518" s="20" t="str">
        <f aca="false">IF($X518="","",INDEX('Per Line'!$A$2:$A$4001,$X518))</f>
        <v/>
      </c>
      <c r="E518" s="21" t="str">
        <f aca="false">IF($X518="","",INDEX('Per Line'!$F$2:$F$4001,$X518))</f>
        <v/>
      </c>
      <c r="F518" s="20" t="str">
        <f aca="false">IF($X518="","",INDEX('Per Line'!$G$2:$G$4001,$X518))</f>
        <v/>
      </c>
      <c r="G518" s="20" t="str">
        <f aca="false">IF($X518="","",INDEX('Per Line'!$I$2:$I$4001,$X518))</f>
        <v/>
      </c>
      <c r="H518" s="20" t="str">
        <f aca="false">IF($X518="","",INDEX('Per Line'!$J$2:$J$4001,$X518))</f>
        <v/>
      </c>
      <c r="I518" s="20" t="str">
        <f aca="false">IF($X518="","",INDEX('Per Line'!$K$2:$K$4001,$X518))</f>
        <v/>
      </c>
      <c r="J518" s="20" t="str">
        <f aca="false">IF($X518="","",INDEX('Per Line'!$L$2:$L$4001,$X518))</f>
        <v/>
      </c>
      <c r="K518" s="20" t="str">
        <f aca="false">IF($X518="","",INDEX('Per Line'!$M$2:$M$4001,$X518))</f>
        <v/>
      </c>
      <c r="L518" s="22" t="str">
        <f aca="false">IF($X518="","",K518*V518/100)</f>
        <v/>
      </c>
      <c r="M518" s="20" t="str">
        <f aca="false">IF($X518="","",INDEX('Per Line'!$Z$2:$Z$4001,$X518))</f>
        <v/>
      </c>
      <c r="N518" s="23" t="str">
        <f aca="false">IF($X518="","",Settings!$C$7)</f>
        <v/>
      </c>
      <c r="O518" s="22" t="str">
        <f aca="false">IF($X518="","",SUMIFS('Per Line'!$Y$2:$Y$4001,'Per Line'!$D$2:$D$4001,$B518,'Per Line'!$AJ$2:$AJ$4001,0))</f>
        <v/>
      </c>
      <c r="P518" s="22" t="str">
        <f aca="false">IF($X518="","",O518*N518)</f>
        <v/>
      </c>
      <c r="Q518" s="23" t="str">
        <f aca="false">IF($X518="","",Settings!$C$6)</f>
        <v/>
      </c>
      <c r="R518" s="22" t="str">
        <f aca="false">IF($X518="","",SUMIFS('Per Line'!$Y$2:$Y$4001,'Per Line'!$D$2:$D$4001,$B518,'Per Line'!$AJ$2:$AJ$4001,1))</f>
        <v/>
      </c>
      <c r="S518" s="22" t="str">
        <f aca="false">IF($X518="","",R518*Q518)</f>
        <v/>
      </c>
      <c r="T518" s="22" t="str">
        <f aca="false">IF($X518="","",S518+P518)</f>
        <v/>
      </c>
      <c r="U518" s="22" t="str">
        <f aca="false">IF($X518="","",V518-T518)</f>
        <v/>
      </c>
      <c r="V518" s="22" t="str">
        <f aca="false">IF($X518="","",O518+R518)</f>
        <v/>
      </c>
      <c r="W518" s="22" t="str">
        <f aca="false">IF($X518="","",U518-L518)</f>
        <v/>
      </c>
      <c r="X518" s="24" t="str">
        <f aca="false">IF(ROWS($X$2:$X518)&lt;=MAX('Per Line'!$AI$2:$AI$4001),MATCH(ROWS($X$2:$X518),'Per Line'!$AI$2:$AI$4001,0),"")</f>
        <v/>
      </c>
    </row>
    <row r="519" customFormat="false" ht="15" hidden="false" customHeight="false" outlineLevel="0" collapsed="false">
      <c r="A519" s="19"/>
      <c r="B519" s="20" t="str">
        <f aca="false">IF($X519="","",INDEX('Per Line'!$D$2:$D$4001,$X519))</f>
        <v/>
      </c>
      <c r="C519" s="20" t="str">
        <f aca="false">IF($X519="","",INDEX('Per Line'!$C$2:$C$4001,$X519))</f>
        <v/>
      </c>
      <c r="D519" s="20" t="str">
        <f aca="false">IF($X519="","",INDEX('Per Line'!$A$2:$A$4001,$X519))</f>
        <v/>
      </c>
      <c r="E519" s="21" t="str">
        <f aca="false">IF($X519="","",INDEX('Per Line'!$F$2:$F$4001,$X519))</f>
        <v/>
      </c>
      <c r="F519" s="20" t="str">
        <f aca="false">IF($X519="","",INDEX('Per Line'!$G$2:$G$4001,$X519))</f>
        <v/>
      </c>
      <c r="G519" s="20" t="str">
        <f aca="false">IF($X519="","",INDEX('Per Line'!$I$2:$I$4001,$X519))</f>
        <v/>
      </c>
      <c r="H519" s="20" t="str">
        <f aca="false">IF($X519="","",INDEX('Per Line'!$J$2:$J$4001,$X519))</f>
        <v/>
      </c>
      <c r="I519" s="20" t="str">
        <f aca="false">IF($X519="","",INDEX('Per Line'!$K$2:$K$4001,$X519))</f>
        <v/>
      </c>
      <c r="J519" s="20" t="str">
        <f aca="false">IF($X519="","",INDEX('Per Line'!$L$2:$L$4001,$X519))</f>
        <v/>
      </c>
      <c r="K519" s="20" t="str">
        <f aca="false">IF($X519="","",INDEX('Per Line'!$M$2:$M$4001,$X519))</f>
        <v/>
      </c>
      <c r="L519" s="22" t="str">
        <f aca="false">IF($X519="","",K519*V519/100)</f>
        <v/>
      </c>
      <c r="M519" s="20" t="str">
        <f aca="false">IF($X519="","",INDEX('Per Line'!$Z$2:$Z$4001,$X519))</f>
        <v/>
      </c>
      <c r="N519" s="23" t="str">
        <f aca="false">IF($X519="","",Settings!$C$7)</f>
        <v/>
      </c>
      <c r="O519" s="22" t="str">
        <f aca="false">IF($X519="","",SUMIFS('Per Line'!$Y$2:$Y$4001,'Per Line'!$D$2:$D$4001,$B519,'Per Line'!$AJ$2:$AJ$4001,0))</f>
        <v/>
      </c>
      <c r="P519" s="22" t="str">
        <f aca="false">IF($X519="","",O519*N519)</f>
        <v/>
      </c>
      <c r="Q519" s="23" t="str">
        <f aca="false">IF($X519="","",Settings!$C$6)</f>
        <v/>
      </c>
      <c r="R519" s="22" t="str">
        <f aca="false">IF($X519="","",SUMIFS('Per Line'!$Y$2:$Y$4001,'Per Line'!$D$2:$D$4001,$B519,'Per Line'!$AJ$2:$AJ$4001,1))</f>
        <v/>
      </c>
      <c r="S519" s="22" t="str">
        <f aca="false">IF($X519="","",R519*Q519)</f>
        <v/>
      </c>
      <c r="T519" s="22" t="str">
        <f aca="false">IF($X519="","",S519+P519)</f>
        <v/>
      </c>
      <c r="U519" s="22" t="str">
        <f aca="false">IF($X519="","",V519-T519)</f>
        <v/>
      </c>
      <c r="V519" s="22" t="str">
        <f aca="false">IF($X519="","",O519+R519)</f>
        <v/>
      </c>
      <c r="W519" s="22" t="str">
        <f aca="false">IF($X519="","",U519-L519)</f>
        <v/>
      </c>
      <c r="X519" s="24" t="str">
        <f aca="false">IF(ROWS($X$2:$X519)&lt;=MAX('Per Line'!$AI$2:$AI$4001),MATCH(ROWS($X$2:$X519),'Per Line'!$AI$2:$AI$4001,0),"")</f>
        <v/>
      </c>
    </row>
    <row r="520" customFormat="false" ht="15" hidden="false" customHeight="false" outlineLevel="0" collapsed="false">
      <c r="A520" s="19"/>
      <c r="B520" s="20" t="str">
        <f aca="false">IF($X520="","",INDEX('Per Line'!$D$2:$D$4001,$X520))</f>
        <v/>
      </c>
      <c r="C520" s="20" t="str">
        <f aca="false">IF($X520="","",INDEX('Per Line'!$C$2:$C$4001,$X520))</f>
        <v/>
      </c>
      <c r="D520" s="20" t="str">
        <f aca="false">IF($X520="","",INDEX('Per Line'!$A$2:$A$4001,$X520))</f>
        <v/>
      </c>
      <c r="E520" s="21" t="str">
        <f aca="false">IF($X520="","",INDEX('Per Line'!$F$2:$F$4001,$X520))</f>
        <v/>
      </c>
      <c r="F520" s="20" t="str">
        <f aca="false">IF($X520="","",INDEX('Per Line'!$G$2:$G$4001,$X520))</f>
        <v/>
      </c>
      <c r="G520" s="20" t="str">
        <f aca="false">IF($X520="","",INDEX('Per Line'!$I$2:$I$4001,$X520))</f>
        <v/>
      </c>
      <c r="H520" s="20" t="str">
        <f aca="false">IF($X520="","",INDEX('Per Line'!$J$2:$J$4001,$X520))</f>
        <v/>
      </c>
      <c r="I520" s="20" t="str">
        <f aca="false">IF($X520="","",INDEX('Per Line'!$K$2:$K$4001,$X520))</f>
        <v/>
      </c>
      <c r="J520" s="20" t="str">
        <f aca="false">IF($X520="","",INDEX('Per Line'!$L$2:$L$4001,$X520))</f>
        <v/>
      </c>
      <c r="K520" s="20" t="str">
        <f aca="false">IF($X520="","",INDEX('Per Line'!$M$2:$M$4001,$X520))</f>
        <v/>
      </c>
      <c r="L520" s="22" t="str">
        <f aca="false">IF($X520="","",K520*V520/100)</f>
        <v/>
      </c>
      <c r="M520" s="20" t="str">
        <f aca="false">IF($X520="","",INDEX('Per Line'!$Z$2:$Z$4001,$X520))</f>
        <v/>
      </c>
      <c r="N520" s="23" t="str">
        <f aca="false">IF($X520="","",Settings!$C$7)</f>
        <v/>
      </c>
      <c r="O520" s="22" t="str">
        <f aca="false">IF($X520="","",SUMIFS('Per Line'!$Y$2:$Y$4001,'Per Line'!$D$2:$D$4001,$B520,'Per Line'!$AJ$2:$AJ$4001,0))</f>
        <v/>
      </c>
      <c r="P520" s="22" t="str">
        <f aca="false">IF($X520="","",O520*N520)</f>
        <v/>
      </c>
      <c r="Q520" s="23" t="str">
        <f aca="false">IF($X520="","",Settings!$C$6)</f>
        <v/>
      </c>
      <c r="R520" s="22" t="str">
        <f aca="false">IF($X520="","",SUMIFS('Per Line'!$Y$2:$Y$4001,'Per Line'!$D$2:$D$4001,$B520,'Per Line'!$AJ$2:$AJ$4001,1))</f>
        <v/>
      </c>
      <c r="S520" s="22" t="str">
        <f aca="false">IF($X520="","",R520*Q520)</f>
        <v/>
      </c>
      <c r="T520" s="22" t="str">
        <f aca="false">IF($X520="","",S520+P520)</f>
        <v/>
      </c>
      <c r="U520" s="22" t="str">
        <f aca="false">IF($X520="","",V520-T520)</f>
        <v/>
      </c>
      <c r="V520" s="22" t="str">
        <f aca="false">IF($X520="","",O520+R520)</f>
        <v/>
      </c>
      <c r="W520" s="22" t="str">
        <f aca="false">IF($X520="","",U520-L520)</f>
        <v/>
      </c>
      <c r="X520" s="24" t="str">
        <f aca="false">IF(ROWS($X$2:$X520)&lt;=MAX('Per Line'!$AI$2:$AI$4001),MATCH(ROWS($X$2:$X520),'Per Line'!$AI$2:$AI$4001,0),"")</f>
        <v/>
      </c>
    </row>
    <row r="521" customFormat="false" ht="15" hidden="false" customHeight="false" outlineLevel="0" collapsed="false">
      <c r="A521" s="19"/>
      <c r="B521" s="20" t="str">
        <f aca="false">IF($X521="","",INDEX('Per Line'!$D$2:$D$4001,$X521))</f>
        <v/>
      </c>
      <c r="C521" s="20" t="str">
        <f aca="false">IF($X521="","",INDEX('Per Line'!$C$2:$C$4001,$X521))</f>
        <v/>
      </c>
      <c r="D521" s="20" t="str">
        <f aca="false">IF($X521="","",INDEX('Per Line'!$A$2:$A$4001,$X521))</f>
        <v/>
      </c>
      <c r="E521" s="21" t="str">
        <f aca="false">IF($X521="","",INDEX('Per Line'!$F$2:$F$4001,$X521))</f>
        <v/>
      </c>
      <c r="F521" s="20" t="str">
        <f aca="false">IF($X521="","",INDEX('Per Line'!$G$2:$G$4001,$X521))</f>
        <v/>
      </c>
      <c r="G521" s="20" t="str">
        <f aca="false">IF($X521="","",INDEX('Per Line'!$I$2:$I$4001,$X521))</f>
        <v/>
      </c>
      <c r="H521" s="20" t="str">
        <f aca="false">IF($X521="","",INDEX('Per Line'!$J$2:$J$4001,$X521))</f>
        <v/>
      </c>
      <c r="I521" s="20" t="str">
        <f aca="false">IF($X521="","",INDEX('Per Line'!$K$2:$K$4001,$X521))</f>
        <v/>
      </c>
      <c r="J521" s="20" t="str">
        <f aca="false">IF($X521="","",INDEX('Per Line'!$L$2:$L$4001,$X521))</f>
        <v/>
      </c>
      <c r="K521" s="20" t="str">
        <f aca="false">IF($X521="","",INDEX('Per Line'!$M$2:$M$4001,$X521))</f>
        <v/>
      </c>
      <c r="L521" s="22" t="str">
        <f aca="false">IF($X521="","",K521*V521/100)</f>
        <v/>
      </c>
      <c r="M521" s="20" t="str">
        <f aca="false">IF($X521="","",INDEX('Per Line'!$Z$2:$Z$4001,$X521))</f>
        <v/>
      </c>
      <c r="N521" s="23" t="str">
        <f aca="false">IF($X521="","",Settings!$C$7)</f>
        <v/>
      </c>
      <c r="O521" s="22" t="str">
        <f aca="false">IF($X521="","",SUMIFS('Per Line'!$Y$2:$Y$4001,'Per Line'!$D$2:$D$4001,$B521,'Per Line'!$AJ$2:$AJ$4001,0))</f>
        <v/>
      </c>
      <c r="P521" s="22" t="str">
        <f aca="false">IF($X521="","",O521*N521)</f>
        <v/>
      </c>
      <c r="Q521" s="23" t="str">
        <f aca="false">IF($X521="","",Settings!$C$6)</f>
        <v/>
      </c>
      <c r="R521" s="22" t="str">
        <f aca="false">IF($X521="","",SUMIFS('Per Line'!$Y$2:$Y$4001,'Per Line'!$D$2:$D$4001,$B521,'Per Line'!$AJ$2:$AJ$4001,1))</f>
        <v/>
      </c>
      <c r="S521" s="22" t="str">
        <f aca="false">IF($X521="","",R521*Q521)</f>
        <v/>
      </c>
      <c r="T521" s="22" t="str">
        <f aca="false">IF($X521="","",S521+P521)</f>
        <v/>
      </c>
      <c r="U521" s="22" t="str">
        <f aca="false">IF($X521="","",V521-T521)</f>
        <v/>
      </c>
      <c r="V521" s="22" t="str">
        <f aca="false">IF($X521="","",O521+R521)</f>
        <v/>
      </c>
      <c r="W521" s="22" t="str">
        <f aca="false">IF($X521="","",U521-L521)</f>
        <v/>
      </c>
      <c r="X521" s="24" t="str">
        <f aca="false">IF(ROWS($X$2:$X521)&lt;=MAX('Per Line'!$AI$2:$AI$4001),MATCH(ROWS($X$2:$X521),'Per Line'!$AI$2:$AI$4001,0),"")</f>
        <v/>
      </c>
    </row>
    <row r="522" customFormat="false" ht="15" hidden="false" customHeight="false" outlineLevel="0" collapsed="false">
      <c r="A522" s="19"/>
      <c r="B522" s="20" t="str">
        <f aca="false">IF($X522="","",INDEX('Per Line'!$D$2:$D$4001,$X522))</f>
        <v/>
      </c>
      <c r="C522" s="20" t="str">
        <f aca="false">IF($X522="","",INDEX('Per Line'!$C$2:$C$4001,$X522))</f>
        <v/>
      </c>
      <c r="D522" s="20" t="str">
        <f aca="false">IF($X522="","",INDEX('Per Line'!$A$2:$A$4001,$X522))</f>
        <v/>
      </c>
      <c r="E522" s="21" t="str">
        <f aca="false">IF($X522="","",INDEX('Per Line'!$F$2:$F$4001,$X522))</f>
        <v/>
      </c>
      <c r="F522" s="20" t="str">
        <f aca="false">IF($X522="","",INDEX('Per Line'!$G$2:$G$4001,$X522))</f>
        <v/>
      </c>
      <c r="G522" s="20" t="str">
        <f aca="false">IF($X522="","",INDEX('Per Line'!$I$2:$I$4001,$X522))</f>
        <v/>
      </c>
      <c r="H522" s="20" t="str">
        <f aca="false">IF($X522="","",INDEX('Per Line'!$J$2:$J$4001,$X522))</f>
        <v/>
      </c>
      <c r="I522" s="20" t="str">
        <f aca="false">IF($X522="","",INDEX('Per Line'!$K$2:$K$4001,$X522))</f>
        <v/>
      </c>
      <c r="J522" s="20" t="str">
        <f aca="false">IF($X522="","",INDEX('Per Line'!$L$2:$L$4001,$X522))</f>
        <v/>
      </c>
      <c r="K522" s="20" t="str">
        <f aca="false">IF($X522="","",INDEX('Per Line'!$M$2:$M$4001,$X522))</f>
        <v/>
      </c>
      <c r="L522" s="22" t="str">
        <f aca="false">IF($X522="","",K522*V522/100)</f>
        <v/>
      </c>
      <c r="M522" s="20" t="str">
        <f aca="false">IF($X522="","",INDEX('Per Line'!$Z$2:$Z$4001,$X522))</f>
        <v/>
      </c>
      <c r="N522" s="23" t="str">
        <f aca="false">IF($X522="","",Settings!$C$7)</f>
        <v/>
      </c>
      <c r="O522" s="22" t="str">
        <f aca="false">IF($X522="","",SUMIFS('Per Line'!$Y$2:$Y$4001,'Per Line'!$D$2:$D$4001,$B522,'Per Line'!$AJ$2:$AJ$4001,0))</f>
        <v/>
      </c>
      <c r="P522" s="22" t="str">
        <f aca="false">IF($X522="","",O522*N522)</f>
        <v/>
      </c>
      <c r="Q522" s="23" t="str">
        <f aca="false">IF($X522="","",Settings!$C$6)</f>
        <v/>
      </c>
      <c r="R522" s="22" t="str">
        <f aca="false">IF($X522="","",SUMIFS('Per Line'!$Y$2:$Y$4001,'Per Line'!$D$2:$D$4001,$B522,'Per Line'!$AJ$2:$AJ$4001,1))</f>
        <v/>
      </c>
      <c r="S522" s="22" t="str">
        <f aca="false">IF($X522="","",R522*Q522)</f>
        <v/>
      </c>
      <c r="T522" s="22" t="str">
        <f aca="false">IF($X522="","",S522+P522)</f>
        <v/>
      </c>
      <c r="U522" s="22" t="str">
        <f aca="false">IF($X522="","",V522-T522)</f>
        <v/>
      </c>
      <c r="V522" s="22" t="str">
        <f aca="false">IF($X522="","",O522+R522)</f>
        <v/>
      </c>
      <c r="W522" s="22" t="str">
        <f aca="false">IF($X522="","",U522-L522)</f>
        <v/>
      </c>
      <c r="X522" s="24" t="str">
        <f aca="false">IF(ROWS($X$2:$X522)&lt;=MAX('Per Line'!$AI$2:$AI$4001),MATCH(ROWS($X$2:$X522),'Per Line'!$AI$2:$AI$4001,0),"")</f>
        <v/>
      </c>
    </row>
    <row r="523" customFormat="false" ht="15" hidden="false" customHeight="false" outlineLevel="0" collapsed="false">
      <c r="A523" s="19"/>
      <c r="B523" s="20" t="str">
        <f aca="false">IF($X523="","",INDEX('Per Line'!$D$2:$D$4001,$X523))</f>
        <v/>
      </c>
      <c r="C523" s="20" t="str">
        <f aca="false">IF($X523="","",INDEX('Per Line'!$C$2:$C$4001,$X523))</f>
        <v/>
      </c>
      <c r="D523" s="20" t="str">
        <f aca="false">IF($X523="","",INDEX('Per Line'!$A$2:$A$4001,$X523))</f>
        <v/>
      </c>
      <c r="E523" s="21" t="str">
        <f aca="false">IF($X523="","",INDEX('Per Line'!$F$2:$F$4001,$X523))</f>
        <v/>
      </c>
      <c r="F523" s="20" t="str">
        <f aca="false">IF($X523="","",INDEX('Per Line'!$G$2:$G$4001,$X523))</f>
        <v/>
      </c>
      <c r="G523" s="20" t="str">
        <f aca="false">IF($X523="","",INDEX('Per Line'!$I$2:$I$4001,$X523))</f>
        <v/>
      </c>
      <c r="H523" s="20" t="str">
        <f aca="false">IF($X523="","",INDEX('Per Line'!$J$2:$J$4001,$X523))</f>
        <v/>
      </c>
      <c r="I523" s="20" t="str">
        <f aca="false">IF($X523="","",INDEX('Per Line'!$K$2:$K$4001,$X523))</f>
        <v/>
      </c>
      <c r="J523" s="20" t="str">
        <f aca="false">IF($X523="","",INDEX('Per Line'!$L$2:$L$4001,$X523))</f>
        <v/>
      </c>
      <c r="K523" s="20" t="str">
        <f aca="false">IF($X523="","",INDEX('Per Line'!$M$2:$M$4001,$X523))</f>
        <v/>
      </c>
      <c r="L523" s="22" t="str">
        <f aca="false">IF($X523="","",K523*V523/100)</f>
        <v/>
      </c>
      <c r="M523" s="20" t="str">
        <f aca="false">IF($X523="","",INDEX('Per Line'!$Z$2:$Z$4001,$X523))</f>
        <v/>
      </c>
      <c r="N523" s="23" t="str">
        <f aca="false">IF($X523="","",Settings!$C$7)</f>
        <v/>
      </c>
      <c r="O523" s="22" t="str">
        <f aca="false">IF($X523="","",SUMIFS('Per Line'!$Y$2:$Y$4001,'Per Line'!$D$2:$D$4001,$B523,'Per Line'!$AJ$2:$AJ$4001,0))</f>
        <v/>
      </c>
      <c r="P523" s="22" t="str">
        <f aca="false">IF($X523="","",O523*N523)</f>
        <v/>
      </c>
      <c r="Q523" s="23" t="str">
        <f aca="false">IF($X523="","",Settings!$C$6)</f>
        <v/>
      </c>
      <c r="R523" s="22" t="str">
        <f aca="false">IF($X523="","",SUMIFS('Per Line'!$Y$2:$Y$4001,'Per Line'!$D$2:$D$4001,$B523,'Per Line'!$AJ$2:$AJ$4001,1))</f>
        <v/>
      </c>
      <c r="S523" s="22" t="str">
        <f aca="false">IF($X523="","",R523*Q523)</f>
        <v/>
      </c>
      <c r="T523" s="22" t="str">
        <f aca="false">IF($X523="","",S523+P523)</f>
        <v/>
      </c>
      <c r="U523" s="22" t="str">
        <f aca="false">IF($X523="","",V523-T523)</f>
        <v/>
      </c>
      <c r="V523" s="22" t="str">
        <f aca="false">IF($X523="","",O523+R523)</f>
        <v/>
      </c>
      <c r="W523" s="22" t="str">
        <f aca="false">IF($X523="","",U523-L523)</f>
        <v/>
      </c>
      <c r="X523" s="24" t="str">
        <f aca="false">IF(ROWS($X$2:$X523)&lt;=MAX('Per Line'!$AI$2:$AI$4001),MATCH(ROWS($X$2:$X523),'Per Line'!$AI$2:$AI$4001,0),"")</f>
        <v/>
      </c>
    </row>
    <row r="524" customFormat="false" ht="15" hidden="false" customHeight="false" outlineLevel="0" collapsed="false">
      <c r="A524" s="19"/>
      <c r="B524" s="20" t="str">
        <f aca="false">IF($X524="","",INDEX('Per Line'!$D$2:$D$4001,$X524))</f>
        <v/>
      </c>
      <c r="C524" s="20" t="str">
        <f aca="false">IF($X524="","",INDEX('Per Line'!$C$2:$C$4001,$X524))</f>
        <v/>
      </c>
      <c r="D524" s="20" t="str">
        <f aca="false">IF($X524="","",INDEX('Per Line'!$A$2:$A$4001,$X524))</f>
        <v/>
      </c>
      <c r="E524" s="21" t="str">
        <f aca="false">IF($X524="","",INDEX('Per Line'!$F$2:$F$4001,$X524))</f>
        <v/>
      </c>
      <c r="F524" s="20" t="str">
        <f aca="false">IF($X524="","",INDEX('Per Line'!$G$2:$G$4001,$X524))</f>
        <v/>
      </c>
      <c r="G524" s="20" t="str">
        <f aca="false">IF($X524="","",INDEX('Per Line'!$I$2:$I$4001,$X524))</f>
        <v/>
      </c>
      <c r="H524" s="20" t="str">
        <f aca="false">IF($X524="","",INDEX('Per Line'!$J$2:$J$4001,$X524))</f>
        <v/>
      </c>
      <c r="I524" s="20" t="str">
        <f aca="false">IF($X524="","",INDEX('Per Line'!$K$2:$K$4001,$X524))</f>
        <v/>
      </c>
      <c r="J524" s="20" t="str">
        <f aca="false">IF($X524="","",INDEX('Per Line'!$L$2:$L$4001,$X524))</f>
        <v/>
      </c>
      <c r="K524" s="20" t="str">
        <f aca="false">IF($X524="","",INDEX('Per Line'!$M$2:$M$4001,$X524))</f>
        <v/>
      </c>
      <c r="L524" s="22" t="str">
        <f aca="false">IF($X524="","",K524*V524/100)</f>
        <v/>
      </c>
      <c r="M524" s="20" t="str">
        <f aca="false">IF($X524="","",INDEX('Per Line'!$Z$2:$Z$4001,$X524))</f>
        <v/>
      </c>
      <c r="N524" s="23" t="str">
        <f aca="false">IF($X524="","",Settings!$C$7)</f>
        <v/>
      </c>
      <c r="O524" s="22" t="str">
        <f aca="false">IF($X524="","",SUMIFS('Per Line'!$Y$2:$Y$4001,'Per Line'!$D$2:$D$4001,$B524,'Per Line'!$AJ$2:$AJ$4001,0))</f>
        <v/>
      </c>
      <c r="P524" s="22" t="str">
        <f aca="false">IF($X524="","",O524*N524)</f>
        <v/>
      </c>
      <c r="Q524" s="23" t="str">
        <f aca="false">IF($X524="","",Settings!$C$6)</f>
        <v/>
      </c>
      <c r="R524" s="22" t="str">
        <f aca="false">IF($X524="","",SUMIFS('Per Line'!$Y$2:$Y$4001,'Per Line'!$D$2:$D$4001,$B524,'Per Line'!$AJ$2:$AJ$4001,1))</f>
        <v/>
      </c>
      <c r="S524" s="22" t="str">
        <f aca="false">IF($X524="","",R524*Q524)</f>
        <v/>
      </c>
      <c r="T524" s="22" t="str">
        <f aca="false">IF($X524="","",S524+P524)</f>
        <v/>
      </c>
      <c r="U524" s="22" t="str">
        <f aca="false">IF($X524="","",V524-T524)</f>
        <v/>
      </c>
      <c r="V524" s="22" t="str">
        <f aca="false">IF($X524="","",O524+R524)</f>
        <v/>
      </c>
      <c r="W524" s="22" t="str">
        <f aca="false">IF($X524="","",U524-L524)</f>
        <v/>
      </c>
      <c r="X524" s="24" t="str">
        <f aca="false">IF(ROWS($X$2:$X524)&lt;=MAX('Per Line'!$AI$2:$AI$4001),MATCH(ROWS($X$2:$X524),'Per Line'!$AI$2:$AI$4001,0),"")</f>
        <v/>
      </c>
    </row>
    <row r="525" customFormat="false" ht="15" hidden="false" customHeight="false" outlineLevel="0" collapsed="false">
      <c r="A525" s="19"/>
      <c r="B525" s="20" t="str">
        <f aca="false">IF($X525="","",INDEX('Per Line'!$D$2:$D$4001,$X525))</f>
        <v/>
      </c>
      <c r="C525" s="20" t="str">
        <f aca="false">IF($X525="","",INDEX('Per Line'!$C$2:$C$4001,$X525))</f>
        <v/>
      </c>
      <c r="D525" s="20" t="str">
        <f aca="false">IF($X525="","",INDEX('Per Line'!$A$2:$A$4001,$X525))</f>
        <v/>
      </c>
      <c r="E525" s="21" t="str">
        <f aca="false">IF($X525="","",INDEX('Per Line'!$F$2:$F$4001,$X525))</f>
        <v/>
      </c>
      <c r="F525" s="20" t="str">
        <f aca="false">IF($X525="","",INDEX('Per Line'!$G$2:$G$4001,$X525))</f>
        <v/>
      </c>
      <c r="G525" s="20" t="str">
        <f aca="false">IF($X525="","",INDEX('Per Line'!$I$2:$I$4001,$X525))</f>
        <v/>
      </c>
      <c r="H525" s="20" t="str">
        <f aca="false">IF($X525="","",INDEX('Per Line'!$J$2:$J$4001,$X525))</f>
        <v/>
      </c>
      <c r="I525" s="20" t="str">
        <f aca="false">IF($X525="","",INDEX('Per Line'!$K$2:$K$4001,$X525))</f>
        <v/>
      </c>
      <c r="J525" s="20" t="str">
        <f aca="false">IF($X525="","",INDEX('Per Line'!$L$2:$L$4001,$X525))</f>
        <v/>
      </c>
      <c r="K525" s="20" t="str">
        <f aca="false">IF($X525="","",INDEX('Per Line'!$M$2:$M$4001,$X525))</f>
        <v/>
      </c>
      <c r="L525" s="22" t="str">
        <f aca="false">IF($X525="","",K525*V525/100)</f>
        <v/>
      </c>
      <c r="M525" s="20" t="str">
        <f aca="false">IF($X525="","",INDEX('Per Line'!$Z$2:$Z$4001,$X525))</f>
        <v/>
      </c>
      <c r="N525" s="23" t="str">
        <f aca="false">IF($X525="","",Settings!$C$7)</f>
        <v/>
      </c>
      <c r="O525" s="22" t="str">
        <f aca="false">IF($X525="","",SUMIFS('Per Line'!$Y$2:$Y$4001,'Per Line'!$D$2:$D$4001,$B525,'Per Line'!$AJ$2:$AJ$4001,0))</f>
        <v/>
      </c>
      <c r="P525" s="22" t="str">
        <f aca="false">IF($X525="","",O525*N525)</f>
        <v/>
      </c>
      <c r="Q525" s="23" t="str">
        <f aca="false">IF($X525="","",Settings!$C$6)</f>
        <v/>
      </c>
      <c r="R525" s="22" t="str">
        <f aca="false">IF($X525="","",SUMIFS('Per Line'!$Y$2:$Y$4001,'Per Line'!$D$2:$D$4001,$B525,'Per Line'!$AJ$2:$AJ$4001,1))</f>
        <v/>
      </c>
      <c r="S525" s="22" t="str">
        <f aca="false">IF($X525="","",R525*Q525)</f>
        <v/>
      </c>
      <c r="T525" s="22" t="str">
        <f aca="false">IF($X525="","",S525+P525)</f>
        <v/>
      </c>
      <c r="U525" s="22" t="str">
        <f aca="false">IF($X525="","",V525-T525)</f>
        <v/>
      </c>
      <c r="V525" s="22" t="str">
        <f aca="false">IF($X525="","",O525+R525)</f>
        <v/>
      </c>
      <c r="W525" s="22" t="str">
        <f aca="false">IF($X525="","",U525-L525)</f>
        <v/>
      </c>
      <c r="X525" s="24" t="str">
        <f aca="false">IF(ROWS($X$2:$X525)&lt;=MAX('Per Line'!$AI$2:$AI$4001),MATCH(ROWS($X$2:$X525),'Per Line'!$AI$2:$AI$4001,0),"")</f>
        <v/>
      </c>
    </row>
    <row r="526" customFormat="false" ht="15" hidden="false" customHeight="false" outlineLevel="0" collapsed="false">
      <c r="A526" s="19"/>
      <c r="B526" s="20" t="str">
        <f aca="false">IF($X526="","",INDEX('Per Line'!$D$2:$D$4001,$X526))</f>
        <v/>
      </c>
      <c r="C526" s="20" t="str">
        <f aca="false">IF($X526="","",INDEX('Per Line'!$C$2:$C$4001,$X526))</f>
        <v/>
      </c>
      <c r="D526" s="20" t="str">
        <f aca="false">IF($X526="","",INDEX('Per Line'!$A$2:$A$4001,$X526))</f>
        <v/>
      </c>
      <c r="E526" s="21" t="str">
        <f aca="false">IF($X526="","",INDEX('Per Line'!$F$2:$F$4001,$X526))</f>
        <v/>
      </c>
      <c r="F526" s="20" t="str">
        <f aca="false">IF($X526="","",INDEX('Per Line'!$G$2:$G$4001,$X526))</f>
        <v/>
      </c>
      <c r="G526" s="20" t="str">
        <f aca="false">IF($X526="","",INDEX('Per Line'!$I$2:$I$4001,$X526))</f>
        <v/>
      </c>
      <c r="H526" s="20" t="str">
        <f aca="false">IF($X526="","",INDEX('Per Line'!$J$2:$J$4001,$X526))</f>
        <v/>
      </c>
      <c r="I526" s="20" t="str">
        <f aca="false">IF($X526="","",INDEX('Per Line'!$K$2:$K$4001,$X526))</f>
        <v/>
      </c>
      <c r="J526" s="20" t="str">
        <f aca="false">IF($X526="","",INDEX('Per Line'!$L$2:$L$4001,$X526))</f>
        <v/>
      </c>
      <c r="K526" s="20" t="str">
        <f aca="false">IF($X526="","",INDEX('Per Line'!$M$2:$M$4001,$X526))</f>
        <v/>
      </c>
      <c r="L526" s="22" t="str">
        <f aca="false">IF($X526="","",K526*V526/100)</f>
        <v/>
      </c>
      <c r="M526" s="20" t="str">
        <f aca="false">IF($X526="","",INDEX('Per Line'!$Z$2:$Z$4001,$X526))</f>
        <v/>
      </c>
      <c r="N526" s="23" t="str">
        <f aca="false">IF($X526="","",Settings!$C$7)</f>
        <v/>
      </c>
      <c r="O526" s="22" t="str">
        <f aca="false">IF($X526="","",SUMIFS('Per Line'!$Y$2:$Y$4001,'Per Line'!$D$2:$D$4001,$B526,'Per Line'!$AJ$2:$AJ$4001,0))</f>
        <v/>
      </c>
      <c r="P526" s="22" t="str">
        <f aca="false">IF($X526="","",O526*N526)</f>
        <v/>
      </c>
      <c r="Q526" s="23" t="str">
        <f aca="false">IF($X526="","",Settings!$C$6)</f>
        <v/>
      </c>
      <c r="R526" s="22" t="str">
        <f aca="false">IF($X526="","",SUMIFS('Per Line'!$Y$2:$Y$4001,'Per Line'!$D$2:$D$4001,$B526,'Per Line'!$AJ$2:$AJ$4001,1))</f>
        <v/>
      </c>
      <c r="S526" s="22" t="str">
        <f aca="false">IF($X526="","",R526*Q526)</f>
        <v/>
      </c>
      <c r="T526" s="22" t="str">
        <f aca="false">IF($X526="","",S526+P526)</f>
        <v/>
      </c>
      <c r="U526" s="22" t="str">
        <f aca="false">IF($X526="","",V526-T526)</f>
        <v/>
      </c>
      <c r="V526" s="22" t="str">
        <f aca="false">IF($X526="","",O526+R526)</f>
        <v/>
      </c>
      <c r="W526" s="22" t="str">
        <f aca="false">IF($X526="","",U526-L526)</f>
        <v/>
      </c>
      <c r="X526" s="24" t="str">
        <f aca="false">IF(ROWS($X$2:$X526)&lt;=MAX('Per Line'!$AI$2:$AI$4001),MATCH(ROWS($X$2:$X526),'Per Line'!$AI$2:$AI$4001,0),"")</f>
        <v/>
      </c>
    </row>
    <row r="527" customFormat="false" ht="15" hidden="false" customHeight="false" outlineLevel="0" collapsed="false">
      <c r="A527" s="19"/>
      <c r="B527" s="20" t="str">
        <f aca="false">IF($X527="","",INDEX('Per Line'!$D$2:$D$4001,$X527))</f>
        <v/>
      </c>
      <c r="C527" s="20" t="str">
        <f aca="false">IF($X527="","",INDEX('Per Line'!$C$2:$C$4001,$X527))</f>
        <v/>
      </c>
      <c r="D527" s="20" t="str">
        <f aca="false">IF($X527="","",INDEX('Per Line'!$A$2:$A$4001,$X527))</f>
        <v/>
      </c>
      <c r="E527" s="21" t="str">
        <f aca="false">IF($X527="","",INDEX('Per Line'!$F$2:$F$4001,$X527))</f>
        <v/>
      </c>
      <c r="F527" s="20" t="str">
        <f aca="false">IF($X527="","",INDEX('Per Line'!$G$2:$G$4001,$X527))</f>
        <v/>
      </c>
      <c r="G527" s="20" t="str">
        <f aca="false">IF($X527="","",INDEX('Per Line'!$I$2:$I$4001,$X527))</f>
        <v/>
      </c>
      <c r="H527" s="20" t="str">
        <f aca="false">IF($X527="","",INDEX('Per Line'!$J$2:$J$4001,$X527))</f>
        <v/>
      </c>
      <c r="I527" s="20" t="str">
        <f aca="false">IF($X527="","",INDEX('Per Line'!$K$2:$K$4001,$X527))</f>
        <v/>
      </c>
      <c r="J527" s="20" t="str">
        <f aca="false">IF($X527="","",INDEX('Per Line'!$L$2:$L$4001,$X527))</f>
        <v/>
      </c>
      <c r="K527" s="20" t="str">
        <f aca="false">IF($X527="","",INDEX('Per Line'!$M$2:$M$4001,$X527))</f>
        <v/>
      </c>
      <c r="L527" s="22" t="str">
        <f aca="false">IF($X527="","",K527*V527/100)</f>
        <v/>
      </c>
      <c r="M527" s="20" t="str">
        <f aca="false">IF($X527="","",INDEX('Per Line'!$Z$2:$Z$4001,$X527))</f>
        <v/>
      </c>
      <c r="N527" s="23" t="str">
        <f aca="false">IF($X527="","",Settings!$C$7)</f>
        <v/>
      </c>
      <c r="O527" s="22" t="str">
        <f aca="false">IF($X527="","",SUMIFS('Per Line'!$Y$2:$Y$4001,'Per Line'!$D$2:$D$4001,$B527,'Per Line'!$AJ$2:$AJ$4001,0))</f>
        <v/>
      </c>
      <c r="P527" s="22" t="str">
        <f aca="false">IF($X527="","",O527*N527)</f>
        <v/>
      </c>
      <c r="Q527" s="23" t="str">
        <f aca="false">IF($X527="","",Settings!$C$6)</f>
        <v/>
      </c>
      <c r="R527" s="22" t="str">
        <f aca="false">IF($X527="","",SUMIFS('Per Line'!$Y$2:$Y$4001,'Per Line'!$D$2:$D$4001,$B527,'Per Line'!$AJ$2:$AJ$4001,1))</f>
        <v/>
      </c>
      <c r="S527" s="22" t="str">
        <f aca="false">IF($X527="","",R527*Q527)</f>
        <v/>
      </c>
      <c r="T527" s="22" t="str">
        <f aca="false">IF($X527="","",S527+P527)</f>
        <v/>
      </c>
      <c r="U527" s="22" t="str">
        <f aca="false">IF($X527="","",V527-T527)</f>
        <v/>
      </c>
      <c r="V527" s="22" t="str">
        <f aca="false">IF($X527="","",O527+R527)</f>
        <v/>
      </c>
      <c r="W527" s="22" t="str">
        <f aca="false">IF($X527="","",U527-L527)</f>
        <v/>
      </c>
      <c r="X527" s="24" t="str">
        <f aca="false">IF(ROWS($X$2:$X527)&lt;=MAX('Per Line'!$AI$2:$AI$4001),MATCH(ROWS($X$2:$X527),'Per Line'!$AI$2:$AI$4001,0),"")</f>
        <v/>
      </c>
    </row>
    <row r="528" customFormat="false" ht="15" hidden="false" customHeight="false" outlineLevel="0" collapsed="false">
      <c r="A528" s="19"/>
      <c r="B528" s="20" t="str">
        <f aca="false">IF($X528="","",INDEX('Per Line'!$D$2:$D$4001,$X528))</f>
        <v/>
      </c>
      <c r="C528" s="20" t="str">
        <f aca="false">IF($X528="","",INDEX('Per Line'!$C$2:$C$4001,$X528))</f>
        <v/>
      </c>
      <c r="D528" s="20" t="str">
        <f aca="false">IF($X528="","",INDEX('Per Line'!$A$2:$A$4001,$X528))</f>
        <v/>
      </c>
      <c r="E528" s="21" t="str">
        <f aca="false">IF($X528="","",INDEX('Per Line'!$F$2:$F$4001,$X528))</f>
        <v/>
      </c>
      <c r="F528" s="20" t="str">
        <f aca="false">IF($X528="","",INDEX('Per Line'!$G$2:$G$4001,$X528))</f>
        <v/>
      </c>
      <c r="G528" s="20" t="str">
        <f aca="false">IF($X528="","",INDEX('Per Line'!$I$2:$I$4001,$X528))</f>
        <v/>
      </c>
      <c r="H528" s="20" t="str">
        <f aca="false">IF($X528="","",INDEX('Per Line'!$J$2:$J$4001,$X528))</f>
        <v/>
      </c>
      <c r="I528" s="20" t="str">
        <f aca="false">IF($X528="","",INDEX('Per Line'!$K$2:$K$4001,$X528))</f>
        <v/>
      </c>
      <c r="J528" s="20" t="str">
        <f aca="false">IF($X528="","",INDEX('Per Line'!$L$2:$L$4001,$X528))</f>
        <v/>
      </c>
      <c r="K528" s="20" t="str">
        <f aca="false">IF($X528="","",INDEX('Per Line'!$M$2:$M$4001,$X528))</f>
        <v/>
      </c>
      <c r="L528" s="22" t="str">
        <f aca="false">IF($X528="","",K528*V528/100)</f>
        <v/>
      </c>
      <c r="M528" s="20" t="str">
        <f aca="false">IF($X528="","",INDEX('Per Line'!$Z$2:$Z$4001,$X528))</f>
        <v/>
      </c>
      <c r="N528" s="23" t="str">
        <f aca="false">IF($X528="","",Settings!$C$7)</f>
        <v/>
      </c>
      <c r="O528" s="22" t="str">
        <f aca="false">IF($X528="","",SUMIFS('Per Line'!$Y$2:$Y$4001,'Per Line'!$D$2:$D$4001,$B528,'Per Line'!$AJ$2:$AJ$4001,0))</f>
        <v/>
      </c>
      <c r="P528" s="22" t="str">
        <f aca="false">IF($X528="","",O528*N528)</f>
        <v/>
      </c>
      <c r="Q528" s="23" t="str">
        <f aca="false">IF($X528="","",Settings!$C$6)</f>
        <v/>
      </c>
      <c r="R528" s="22" t="str">
        <f aca="false">IF($X528="","",SUMIFS('Per Line'!$Y$2:$Y$4001,'Per Line'!$D$2:$D$4001,$B528,'Per Line'!$AJ$2:$AJ$4001,1))</f>
        <v/>
      </c>
      <c r="S528" s="22" t="str">
        <f aca="false">IF($X528="","",R528*Q528)</f>
        <v/>
      </c>
      <c r="T528" s="22" t="str">
        <f aca="false">IF($X528="","",S528+P528)</f>
        <v/>
      </c>
      <c r="U528" s="22" t="str">
        <f aca="false">IF($X528="","",V528-T528)</f>
        <v/>
      </c>
      <c r="V528" s="22" t="str">
        <f aca="false">IF($X528="","",O528+R528)</f>
        <v/>
      </c>
      <c r="W528" s="22" t="str">
        <f aca="false">IF($X528="","",U528-L528)</f>
        <v/>
      </c>
      <c r="X528" s="24" t="str">
        <f aca="false">IF(ROWS($X$2:$X528)&lt;=MAX('Per Line'!$AI$2:$AI$4001),MATCH(ROWS($X$2:$X528),'Per Line'!$AI$2:$AI$4001,0),"")</f>
        <v/>
      </c>
    </row>
    <row r="529" customFormat="false" ht="15" hidden="false" customHeight="false" outlineLevel="0" collapsed="false">
      <c r="A529" s="19"/>
      <c r="B529" s="20" t="str">
        <f aca="false">IF($X529="","",INDEX('Per Line'!$D$2:$D$4001,$X529))</f>
        <v/>
      </c>
      <c r="C529" s="20" t="str">
        <f aca="false">IF($X529="","",INDEX('Per Line'!$C$2:$C$4001,$X529))</f>
        <v/>
      </c>
      <c r="D529" s="20" t="str">
        <f aca="false">IF($X529="","",INDEX('Per Line'!$A$2:$A$4001,$X529))</f>
        <v/>
      </c>
      <c r="E529" s="21" t="str">
        <f aca="false">IF($X529="","",INDEX('Per Line'!$F$2:$F$4001,$X529))</f>
        <v/>
      </c>
      <c r="F529" s="20" t="str">
        <f aca="false">IF($X529="","",INDEX('Per Line'!$G$2:$G$4001,$X529))</f>
        <v/>
      </c>
      <c r="G529" s="20" t="str">
        <f aca="false">IF($X529="","",INDEX('Per Line'!$I$2:$I$4001,$X529))</f>
        <v/>
      </c>
      <c r="H529" s="20" t="str">
        <f aca="false">IF($X529="","",INDEX('Per Line'!$J$2:$J$4001,$X529))</f>
        <v/>
      </c>
      <c r="I529" s="20" t="str">
        <f aca="false">IF($X529="","",INDEX('Per Line'!$K$2:$K$4001,$X529))</f>
        <v/>
      </c>
      <c r="J529" s="20" t="str">
        <f aca="false">IF($X529="","",INDEX('Per Line'!$L$2:$L$4001,$X529))</f>
        <v/>
      </c>
      <c r="K529" s="20" t="str">
        <f aca="false">IF($X529="","",INDEX('Per Line'!$M$2:$M$4001,$X529))</f>
        <v/>
      </c>
      <c r="L529" s="22" t="str">
        <f aca="false">IF($X529="","",K529*V529/100)</f>
        <v/>
      </c>
      <c r="M529" s="20" t="str">
        <f aca="false">IF($X529="","",INDEX('Per Line'!$Z$2:$Z$4001,$X529))</f>
        <v/>
      </c>
      <c r="N529" s="23" t="str">
        <f aca="false">IF($X529="","",Settings!$C$7)</f>
        <v/>
      </c>
      <c r="O529" s="22" t="str">
        <f aca="false">IF($X529="","",SUMIFS('Per Line'!$Y$2:$Y$4001,'Per Line'!$D$2:$D$4001,$B529,'Per Line'!$AJ$2:$AJ$4001,0))</f>
        <v/>
      </c>
      <c r="P529" s="22" t="str">
        <f aca="false">IF($X529="","",O529*N529)</f>
        <v/>
      </c>
      <c r="Q529" s="23" t="str">
        <f aca="false">IF($X529="","",Settings!$C$6)</f>
        <v/>
      </c>
      <c r="R529" s="22" t="str">
        <f aca="false">IF($X529="","",SUMIFS('Per Line'!$Y$2:$Y$4001,'Per Line'!$D$2:$D$4001,$B529,'Per Line'!$AJ$2:$AJ$4001,1))</f>
        <v/>
      </c>
      <c r="S529" s="22" t="str">
        <f aca="false">IF($X529="","",R529*Q529)</f>
        <v/>
      </c>
      <c r="T529" s="22" t="str">
        <f aca="false">IF($X529="","",S529+P529)</f>
        <v/>
      </c>
      <c r="U529" s="22" t="str">
        <f aca="false">IF($X529="","",V529-T529)</f>
        <v/>
      </c>
      <c r="V529" s="22" t="str">
        <f aca="false">IF($X529="","",O529+R529)</f>
        <v/>
      </c>
      <c r="W529" s="22" t="str">
        <f aca="false">IF($X529="","",U529-L529)</f>
        <v/>
      </c>
      <c r="X529" s="24" t="str">
        <f aca="false">IF(ROWS($X$2:$X529)&lt;=MAX('Per Line'!$AI$2:$AI$4001),MATCH(ROWS($X$2:$X529),'Per Line'!$AI$2:$AI$4001,0),"")</f>
        <v/>
      </c>
    </row>
    <row r="530" customFormat="false" ht="15" hidden="false" customHeight="false" outlineLevel="0" collapsed="false">
      <c r="A530" s="19"/>
      <c r="B530" s="20" t="str">
        <f aca="false">IF($X530="","",INDEX('Per Line'!$D$2:$D$4001,$X530))</f>
        <v/>
      </c>
      <c r="C530" s="20" t="str">
        <f aca="false">IF($X530="","",INDEX('Per Line'!$C$2:$C$4001,$X530))</f>
        <v/>
      </c>
      <c r="D530" s="20" t="str">
        <f aca="false">IF($X530="","",INDEX('Per Line'!$A$2:$A$4001,$X530))</f>
        <v/>
      </c>
      <c r="E530" s="21" t="str">
        <f aca="false">IF($X530="","",INDEX('Per Line'!$F$2:$F$4001,$X530))</f>
        <v/>
      </c>
      <c r="F530" s="20" t="str">
        <f aca="false">IF($X530="","",INDEX('Per Line'!$G$2:$G$4001,$X530))</f>
        <v/>
      </c>
      <c r="G530" s="20" t="str">
        <f aca="false">IF($X530="","",INDEX('Per Line'!$I$2:$I$4001,$X530))</f>
        <v/>
      </c>
      <c r="H530" s="20" t="str">
        <f aca="false">IF($X530="","",INDEX('Per Line'!$J$2:$J$4001,$X530))</f>
        <v/>
      </c>
      <c r="I530" s="20" t="str">
        <f aca="false">IF($X530="","",INDEX('Per Line'!$K$2:$K$4001,$X530))</f>
        <v/>
      </c>
      <c r="J530" s="20" t="str">
        <f aca="false">IF($X530="","",INDEX('Per Line'!$L$2:$L$4001,$X530))</f>
        <v/>
      </c>
      <c r="K530" s="20" t="str">
        <f aca="false">IF($X530="","",INDEX('Per Line'!$M$2:$M$4001,$X530))</f>
        <v/>
      </c>
      <c r="L530" s="22" t="str">
        <f aca="false">IF($X530="","",K530*V530/100)</f>
        <v/>
      </c>
      <c r="M530" s="20" t="str">
        <f aca="false">IF($X530="","",INDEX('Per Line'!$Z$2:$Z$4001,$X530))</f>
        <v/>
      </c>
      <c r="N530" s="23" t="str">
        <f aca="false">IF($X530="","",Settings!$C$7)</f>
        <v/>
      </c>
      <c r="O530" s="22" t="str">
        <f aca="false">IF($X530="","",SUMIFS('Per Line'!$Y$2:$Y$4001,'Per Line'!$D$2:$D$4001,$B530,'Per Line'!$AJ$2:$AJ$4001,0))</f>
        <v/>
      </c>
      <c r="P530" s="22" t="str">
        <f aca="false">IF($X530="","",O530*N530)</f>
        <v/>
      </c>
      <c r="Q530" s="23" t="str">
        <f aca="false">IF($X530="","",Settings!$C$6)</f>
        <v/>
      </c>
      <c r="R530" s="22" t="str">
        <f aca="false">IF($X530="","",SUMIFS('Per Line'!$Y$2:$Y$4001,'Per Line'!$D$2:$D$4001,$B530,'Per Line'!$AJ$2:$AJ$4001,1))</f>
        <v/>
      </c>
      <c r="S530" s="22" t="str">
        <f aca="false">IF($X530="","",R530*Q530)</f>
        <v/>
      </c>
      <c r="T530" s="22" t="str">
        <f aca="false">IF($X530="","",S530+P530)</f>
        <v/>
      </c>
      <c r="U530" s="22" t="str">
        <f aca="false">IF($X530="","",V530-T530)</f>
        <v/>
      </c>
      <c r="V530" s="22" t="str">
        <f aca="false">IF($X530="","",O530+R530)</f>
        <v/>
      </c>
      <c r="W530" s="22" t="str">
        <f aca="false">IF($X530="","",U530-L530)</f>
        <v/>
      </c>
      <c r="X530" s="24" t="str">
        <f aca="false">IF(ROWS($X$2:$X530)&lt;=MAX('Per Line'!$AI$2:$AI$4001),MATCH(ROWS($X$2:$X530),'Per Line'!$AI$2:$AI$4001,0),"")</f>
        <v/>
      </c>
    </row>
    <row r="531" customFormat="false" ht="15" hidden="false" customHeight="false" outlineLevel="0" collapsed="false">
      <c r="A531" s="19"/>
      <c r="B531" s="20" t="str">
        <f aca="false">IF($X531="","",INDEX('Per Line'!$D$2:$D$4001,$X531))</f>
        <v/>
      </c>
      <c r="C531" s="20" t="str">
        <f aca="false">IF($X531="","",INDEX('Per Line'!$C$2:$C$4001,$X531))</f>
        <v/>
      </c>
      <c r="D531" s="20" t="str">
        <f aca="false">IF($X531="","",INDEX('Per Line'!$A$2:$A$4001,$X531))</f>
        <v/>
      </c>
      <c r="E531" s="21" t="str">
        <f aca="false">IF($X531="","",INDEX('Per Line'!$F$2:$F$4001,$X531))</f>
        <v/>
      </c>
      <c r="F531" s="20" t="str">
        <f aca="false">IF($X531="","",INDEX('Per Line'!$G$2:$G$4001,$X531))</f>
        <v/>
      </c>
      <c r="G531" s="20" t="str">
        <f aca="false">IF($X531="","",INDEX('Per Line'!$I$2:$I$4001,$X531))</f>
        <v/>
      </c>
      <c r="H531" s="20" t="str">
        <f aca="false">IF($X531="","",INDEX('Per Line'!$J$2:$J$4001,$X531))</f>
        <v/>
      </c>
      <c r="I531" s="20" t="str">
        <f aca="false">IF($X531="","",INDEX('Per Line'!$K$2:$K$4001,$X531))</f>
        <v/>
      </c>
      <c r="J531" s="20" t="str">
        <f aca="false">IF($X531="","",INDEX('Per Line'!$L$2:$L$4001,$X531))</f>
        <v/>
      </c>
      <c r="K531" s="20" t="str">
        <f aca="false">IF($X531="","",INDEX('Per Line'!$M$2:$M$4001,$X531))</f>
        <v/>
      </c>
      <c r="L531" s="22" t="str">
        <f aca="false">IF($X531="","",K531*V531/100)</f>
        <v/>
      </c>
      <c r="M531" s="20" t="str">
        <f aca="false">IF($X531="","",INDEX('Per Line'!$Z$2:$Z$4001,$X531))</f>
        <v/>
      </c>
      <c r="N531" s="23" t="str">
        <f aca="false">IF($X531="","",Settings!$C$7)</f>
        <v/>
      </c>
      <c r="O531" s="22" t="str">
        <f aca="false">IF($X531="","",SUMIFS('Per Line'!$Y$2:$Y$4001,'Per Line'!$D$2:$D$4001,$B531,'Per Line'!$AJ$2:$AJ$4001,0))</f>
        <v/>
      </c>
      <c r="P531" s="22" t="str">
        <f aca="false">IF($X531="","",O531*N531)</f>
        <v/>
      </c>
      <c r="Q531" s="23" t="str">
        <f aca="false">IF($X531="","",Settings!$C$6)</f>
        <v/>
      </c>
      <c r="R531" s="22" t="str">
        <f aca="false">IF($X531="","",SUMIFS('Per Line'!$Y$2:$Y$4001,'Per Line'!$D$2:$D$4001,$B531,'Per Line'!$AJ$2:$AJ$4001,1))</f>
        <v/>
      </c>
      <c r="S531" s="22" t="str">
        <f aca="false">IF($X531="","",R531*Q531)</f>
        <v/>
      </c>
      <c r="T531" s="22" t="str">
        <f aca="false">IF($X531="","",S531+P531)</f>
        <v/>
      </c>
      <c r="U531" s="22" t="str">
        <f aca="false">IF($X531="","",V531-T531)</f>
        <v/>
      </c>
      <c r="V531" s="22" t="str">
        <f aca="false">IF($X531="","",O531+R531)</f>
        <v/>
      </c>
      <c r="W531" s="22" t="str">
        <f aca="false">IF($X531="","",U531-L531)</f>
        <v/>
      </c>
      <c r="X531" s="24" t="str">
        <f aca="false">IF(ROWS($X$2:$X531)&lt;=MAX('Per Line'!$AI$2:$AI$4001),MATCH(ROWS($X$2:$X531),'Per Line'!$AI$2:$AI$4001,0),"")</f>
        <v/>
      </c>
    </row>
    <row r="532" customFormat="false" ht="15" hidden="false" customHeight="false" outlineLevel="0" collapsed="false">
      <c r="A532" s="19"/>
      <c r="B532" s="20" t="str">
        <f aca="false">IF($X532="","",INDEX('Per Line'!$D$2:$D$4001,$X532))</f>
        <v/>
      </c>
      <c r="C532" s="20" t="str">
        <f aca="false">IF($X532="","",INDEX('Per Line'!$C$2:$C$4001,$X532))</f>
        <v/>
      </c>
      <c r="D532" s="20" t="str">
        <f aca="false">IF($X532="","",INDEX('Per Line'!$A$2:$A$4001,$X532))</f>
        <v/>
      </c>
      <c r="E532" s="21" t="str">
        <f aca="false">IF($X532="","",INDEX('Per Line'!$F$2:$F$4001,$X532))</f>
        <v/>
      </c>
      <c r="F532" s="20" t="str">
        <f aca="false">IF($X532="","",INDEX('Per Line'!$G$2:$G$4001,$X532))</f>
        <v/>
      </c>
      <c r="G532" s="20" t="str">
        <f aca="false">IF($X532="","",INDEX('Per Line'!$I$2:$I$4001,$X532))</f>
        <v/>
      </c>
      <c r="H532" s="20" t="str">
        <f aca="false">IF($X532="","",INDEX('Per Line'!$J$2:$J$4001,$X532))</f>
        <v/>
      </c>
      <c r="I532" s="20" t="str">
        <f aca="false">IF($X532="","",INDEX('Per Line'!$K$2:$K$4001,$X532))</f>
        <v/>
      </c>
      <c r="J532" s="20" t="str">
        <f aca="false">IF($X532="","",INDEX('Per Line'!$L$2:$L$4001,$X532))</f>
        <v/>
      </c>
      <c r="K532" s="20" t="str">
        <f aca="false">IF($X532="","",INDEX('Per Line'!$M$2:$M$4001,$X532))</f>
        <v/>
      </c>
      <c r="L532" s="22" t="str">
        <f aca="false">IF($X532="","",K532*V532/100)</f>
        <v/>
      </c>
      <c r="M532" s="20" t="str">
        <f aca="false">IF($X532="","",INDEX('Per Line'!$Z$2:$Z$4001,$X532))</f>
        <v/>
      </c>
      <c r="N532" s="23" t="str">
        <f aca="false">IF($X532="","",Settings!$C$7)</f>
        <v/>
      </c>
      <c r="O532" s="22" t="str">
        <f aca="false">IF($X532="","",SUMIFS('Per Line'!$Y$2:$Y$4001,'Per Line'!$D$2:$D$4001,$B532,'Per Line'!$AJ$2:$AJ$4001,0))</f>
        <v/>
      </c>
      <c r="P532" s="22" t="str">
        <f aca="false">IF($X532="","",O532*N532)</f>
        <v/>
      </c>
      <c r="Q532" s="23" t="str">
        <f aca="false">IF($X532="","",Settings!$C$6)</f>
        <v/>
      </c>
      <c r="R532" s="22" t="str">
        <f aca="false">IF($X532="","",SUMIFS('Per Line'!$Y$2:$Y$4001,'Per Line'!$D$2:$D$4001,$B532,'Per Line'!$AJ$2:$AJ$4001,1))</f>
        <v/>
      </c>
      <c r="S532" s="22" t="str">
        <f aca="false">IF($X532="","",R532*Q532)</f>
        <v/>
      </c>
      <c r="T532" s="22" t="str">
        <f aca="false">IF($X532="","",S532+P532)</f>
        <v/>
      </c>
      <c r="U532" s="22" t="str">
        <f aca="false">IF($X532="","",V532-T532)</f>
        <v/>
      </c>
      <c r="V532" s="22" t="str">
        <f aca="false">IF($X532="","",O532+R532)</f>
        <v/>
      </c>
      <c r="W532" s="22" t="str">
        <f aca="false">IF($X532="","",U532-L532)</f>
        <v/>
      </c>
      <c r="X532" s="24" t="str">
        <f aca="false">IF(ROWS($X$2:$X532)&lt;=MAX('Per Line'!$AI$2:$AI$4001),MATCH(ROWS($X$2:$X532),'Per Line'!$AI$2:$AI$4001,0),"")</f>
        <v/>
      </c>
    </row>
    <row r="533" customFormat="false" ht="15" hidden="false" customHeight="false" outlineLevel="0" collapsed="false">
      <c r="A533" s="19"/>
      <c r="B533" s="20" t="str">
        <f aca="false">IF($X533="","",INDEX('Per Line'!$D$2:$D$4001,$X533))</f>
        <v/>
      </c>
      <c r="C533" s="20" t="str">
        <f aca="false">IF($X533="","",INDEX('Per Line'!$C$2:$C$4001,$X533))</f>
        <v/>
      </c>
      <c r="D533" s="20" t="str">
        <f aca="false">IF($X533="","",INDEX('Per Line'!$A$2:$A$4001,$X533))</f>
        <v/>
      </c>
      <c r="E533" s="21" t="str">
        <f aca="false">IF($X533="","",INDEX('Per Line'!$F$2:$F$4001,$X533))</f>
        <v/>
      </c>
      <c r="F533" s="20" t="str">
        <f aca="false">IF($X533="","",INDEX('Per Line'!$G$2:$G$4001,$X533))</f>
        <v/>
      </c>
      <c r="G533" s="20" t="str">
        <f aca="false">IF($X533="","",INDEX('Per Line'!$I$2:$I$4001,$X533))</f>
        <v/>
      </c>
      <c r="H533" s="20" t="str">
        <f aca="false">IF($X533="","",INDEX('Per Line'!$J$2:$J$4001,$X533))</f>
        <v/>
      </c>
      <c r="I533" s="20" t="str">
        <f aca="false">IF($X533="","",INDEX('Per Line'!$K$2:$K$4001,$X533))</f>
        <v/>
      </c>
      <c r="J533" s="20" t="str">
        <f aca="false">IF($X533="","",INDEX('Per Line'!$L$2:$L$4001,$X533))</f>
        <v/>
      </c>
      <c r="K533" s="20" t="str">
        <f aca="false">IF($X533="","",INDEX('Per Line'!$M$2:$M$4001,$X533))</f>
        <v/>
      </c>
      <c r="L533" s="22" t="str">
        <f aca="false">IF($X533="","",K533*V533/100)</f>
        <v/>
      </c>
      <c r="M533" s="20" t="str">
        <f aca="false">IF($X533="","",INDEX('Per Line'!$Z$2:$Z$4001,$X533))</f>
        <v/>
      </c>
      <c r="N533" s="23" t="str">
        <f aca="false">IF($X533="","",Settings!$C$7)</f>
        <v/>
      </c>
      <c r="O533" s="22" t="str">
        <f aca="false">IF($X533="","",SUMIFS('Per Line'!$Y$2:$Y$4001,'Per Line'!$D$2:$D$4001,$B533,'Per Line'!$AJ$2:$AJ$4001,0))</f>
        <v/>
      </c>
      <c r="P533" s="22" t="str">
        <f aca="false">IF($X533="","",O533*N533)</f>
        <v/>
      </c>
      <c r="Q533" s="23" t="str">
        <f aca="false">IF($X533="","",Settings!$C$6)</f>
        <v/>
      </c>
      <c r="R533" s="22" t="str">
        <f aca="false">IF($X533="","",SUMIFS('Per Line'!$Y$2:$Y$4001,'Per Line'!$D$2:$D$4001,$B533,'Per Line'!$AJ$2:$AJ$4001,1))</f>
        <v/>
      </c>
      <c r="S533" s="22" t="str">
        <f aca="false">IF($X533="","",R533*Q533)</f>
        <v/>
      </c>
      <c r="T533" s="22" t="str">
        <f aca="false">IF($X533="","",S533+P533)</f>
        <v/>
      </c>
      <c r="U533" s="22" t="str">
        <f aca="false">IF($X533="","",V533-T533)</f>
        <v/>
      </c>
      <c r="V533" s="22" t="str">
        <f aca="false">IF($X533="","",O533+R533)</f>
        <v/>
      </c>
      <c r="W533" s="22" t="str">
        <f aca="false">IF($X533="","",U533-L533)</f>
        <v/>
      </c>
      <c r="X533" s="24" t="str">
        <f aca="false">IF(ROWS($X$2:$X533)&lt;=MAX('Per Line'!$AI$2:$AI$4001),MATCH(ROWS($X$2:$X533),'Per Line'!$AI$2:$AI$4001,0),"")</f>
        <v/>
      </c>
    </row>
    <row r="534" customFormat="false" ht="15" hidden="false" customHeight="false" outlineLevel="0" collapsed="false">
      <c r="A534" s="19"/>
      <c r="B534" s="20" t="str">
        <f aca="false">IF($X534="","",INDEX('Per Line'!$D$2:$D$4001,$X534))</f>
        <v/>
      </c>
      <c r="C534" s="20" t="str">
        <f aca="false">IF($X534="","",INDEX('Per Line'!$C$2:$C$4001,$X534))</f>
        <v/>
      </c>
      <c r="D534" s="20" t="str">
        <f aca="false">IF($X534="","",INDEX('Per Line'!$A$2:$A$4001,$X534))</f>
        <v/>
      </c>
      <c r="E534" s="21" t="str">
        <f aca="false">IF($X534="","",INDEX('Per Line'!$F$2:$F$4001,$X534))</f>
        <v/>
      </c>
      <c r="F534" s="20" t="str">
        <f aca="false">IF($X534="","",INDEX('Per Line'!$G$2:$G$4001,$X534))</f>
        <v/>
      </c>
      <c r="G534" s="20" t="str">
        <f aca="false">IF($X534="","",INDEX('Per Line'!$I$2:$I$4001,$X534))</f>
        <v/>
      </c>
      <c r="H534" s="20" t="str">
        <f aca="false">IF($X534="","",INDEX('Per Line'!$J$2:$J$4001,$X534))</f>
        <v/>
      </c>
      <c r="I534" s="20" t="str">
        <f aca="false">IF($X534="","",INDEX('Per Line'!$K$2:$K$4001,$X534))</f>
        <v/>
      </c>
      <c r="J534" s="20" t="str">
        <f aca="false">IF($X534="","",INDEX('Per Line'!$L$2:$L$4001,$X534))</f>
        <v/>
      </c>
      <c r="K534" s="20" t="str">
        <f aca="false">IF($X534="","",INDEX('Per Line'!$M$2:$M$4001,$X534))</f>
        <v/>
      </c>
      <c r="L534" s="22" t="str">
        <f aca="false">IF($X534="","",K534*V534/100)</f>
        <v/>
      </c>
      <c r="M534" s="20" t="str">
        <f aca="false">IF($X534="","",INDEX('Per Line'!$Z$2:$Z$4001,$X534))</f>
        <v/>
      </c>
      <c r="N534" s="23" t="str">
        <f aca="false">IF($X534="","",Settings!$C$7)</f>
        <v/>
      </c>
      <c r="O534" s="22" t="str">
        <f aca="false">IF($X534="","",SUMIFS('Per Line'!$Y$2:$Y$4001,'Per Line'!$D$2:$D$4001,$B534,'Per Line'!$AJ$2:$AJ$4001,0))</f>
        <v/>
      </c>
      <c r="P534" s="22" t="str">
        <f aca="false">IF($X534="","",O534*N534)</f>
        <v/>
      </c>
      <c r="Q534" s="23" t="str">
        <f aca="false">IF($X534="","",Settings!$C$6)</f>
        <v/>
      </c>
      <c r="R534" s="22" t="str">
        <f aca="false">IF($X534="","",SUMIFS('Per Line'!$Y$2:$Y$4001,'Per Line'!$D$2:$D$4001,$B534,'Per Line'!$AJ$2:$AJ$4001,1))</f>
        <v/>
      </c>
      <c r="S534" s="22" t="str">
        <f aca="false">IF($X534="","",R534*Q534)</f>
        <v/>
      </c>
      <c r="T534" s="22" t="str">
        <f aca="false">IF($X534="","",S534+P534)</f>
        <v/>
      </c>
      <c r="U534" s="22" t="str">
        <f aca="false">IF($X534="","",V534-T534)</f>
        <v/>
      </c>
      <c r="V534" s="22" t="str">
        <f aca="false">IF($X534="","",O534+R534)</f>
        <v/>
      </c>
      <c r="W534" s="22" t="str">
        <f aca="false">IF($X534="","",U534-L534)</f>
        <v/>
      </c>
      <c r="X534" s="24" t="str">
        <f aca="false">IF(ROWS($X$2:$X534)&lt;=MAX('Per Line'!$AI$2:$AI$4001),MATCH(ROWS($X$2:$X534),'Per Line'!$AI$2:$AI$4001,0),"")</f>
        <v/>
      </c>
    </row>
    <row r="535" customFormat="false" ht="15" hidden="false" customHeight="false" outlineLevel="0" collapsed="false">
      <c r="A535" s="19"/>
      <c r="B535" s="20" t="str">
        <f aca="false">IF($X535="","",INDEX('Per Line'!$D$2:$D$4001,$X535))</f>
        <v/>
      </c>
      <c r="C535" s="20" t="str">
        <f aca="false">IF($X535="","",INDEX('Per Line'!$C$2:$C$4001,$X535))</f>
        <v/>
      </c>
      <c r="D535" s="20" t="str">
        <f aca="false">IF($X535="","",INDEX('Per Line'!$A$2:$A$4001,$X535))</f>
        <v/>
      </c>
      <c r="E535" s="21" t="str">
        <f aca="false">IF($X535="","",INDEX('Per Line'!$F$2:$F$4001,$X535))</f>
        <v/>
      </c>
      <c r="F535" s="20" t="str">
        <f aca="false">IF($X535="","",INDEX('Per Line'!$G$2:$G$4001,$X535))</f>
        <v/>
      </c>
      <c r="G535" s="20" t="str">
        <f aca="false">IF($X535="","",INDEX('Per Line'!$I$2:$I$4001,$X535))</f>
        <v/>
      </c>
      <c r="H535" s="20" t="str">
        <f aca="false">IF($X535="","",INDEX('Per Line'!$J$2:$J$4001,$X535))</f>
        <v/>
      </c>
      <c r="I535" s="20" t="str">
        <f aca="false">IF($X535="","",INDEX('Per Line'!$K$2:$K$4001,$X535))</f>
        <v/>
      </c>
      <c r="J535" s="20" t="str">
        <f aca="false">IF($X535="","",INDEX('Per Line'!$L$2:$L$4001,$X535))</f>
        <v/>
      </c>
      <c r="K535" s="20" t="str">
        <f aca="false">IF($X535="","",INDEX('Per Line'!$M$2:$M$4001,$X535))</f>
        <v/>
      </c>
      <c r="L535" s="22" t="str">
        <f aca="false">IF($X535="","",K535*V535/100)</f>
        <v/>
      </c>
      <c r="M535" s="20" t="str">
        <f aca="false">IF($X535="","",INDEX('Per Line'!$Z$2:$Z$4001,$X535))</f>
        <v/>
      </c>
      <c r="N535" s="23" t="str">
        <f aca="false">IF($X535="","",Settings!$C$7)</f>
        <v/>
      </c>
      <c r="O535" s="22" t="str">
        <f aca="false">IF($X535="","",SUMIFS('Per Line'!$Y$2:$Y$4001,'Per Line'!$D$2:$D$4001,$B535,'Per Line'!$AJ$2:$AJ$4001,0))</f>
        <v/>
      </c>
      <c r="P535" s="22" t="str">
        <f aca="false">IF($X535="","",O535*N535)</f>
        <v/>
      </c>
      <c r="Q535" s="23" t="str">
        <f aca="false">IF($X535="","",Settings!$C$6)</f>
        <v/>
      </c>
      <c r="R535" s="22" t="str">
        <f aca="false">IF($X535="","",SUMIFS('Per Line'!$Y$2:$Y$4001,'Per Line'!$D$2:$D$4001,$B535,'Per Line'!$AJ$2:$AJ$4001,1))</f>
        <v/>
      </c>
      <c r="S535" s="22" t="str">
        <f aca="false">IF($X535="","",R535*Q535)</f>
        <v/>
      </c>
      <c r="T535" s="22" t="str">
        <f aca="false">IF($X535="","",S535+P535)</f>
        <v/>
      </c>
      <c r="U535" s="22" t="str">
        <f aca="false">IF($X535="","",V535-T535)</f>
        <v/>
      </c>
      <c r="V535" s="22" t="str">
        <f aca="false">IF($X535="","",O535+R535)</f>
        <v/>
      </c>
      <c r="W535" s="22" t="str">
        <f aca="false">IF($X535="","",U535-L535)</f>
        <v/>
      </c>
      <c r="X535" s="24" t="str">
        <f aca="false">IF(ROWS($X$2:$X535)&lt;=MAX('Per Line'!$AI$2:$AI$4001),MATCH(ROWS($X$2:$X535),'Per Line'!$AI$2:$AI$4001,0),"")</f>
        <v/>
      </c>
    </row>
    <row r="536" customFormat="false" ht="15" hidden="false" customHeight="false" outlineLevel="0" collapsed="false">
      <c r="A536" s="19"/>
      <c r="B536" s="20" t="str">
        <f aca="false">IF($X536="","",INDEX('Per Line'!$D$2:$D$4001,$X536))</f>
        <v/>
      </c>
      <c r="C536" s="20" t="str">
        <f aca="false">IF($X536="","",INDEX('Per Line'!$C$2:$C$4001,$X536))</f>
        <v/>
      </c>
      <c r="D536" s="20" t="str">
        <f aca="false">IF($X536="","",INDEX('Per Line'!$A$2:$A$4001,$X536))</f>
        <v/>
      </c>
      <c r="E536" s="21" t="str">
        <f aca="false">IF($X536="","",INDEX('Per Line'!$F$2:$F$4001,$X536))</f>
        <v/>
      </c>
      <c r="F536" s="20" t="str">
        <f aca="false">IF($X536="","",INDEX('Per Line'!$G$2:$G$4001,$X536))</f>
        <v/>
      </c>
      <c r="G536" s="20" t="str">
        <f aca="false">IF($X536="","",INDEX('Per Line'!$I$2:$I$4001,$X536))</f>
        <v/>
      </c>
      <c r="H536" s="20" t="str">
        <f aca="false">IF($X536="","",INDEX('Per Line'!$J$2:$J$4001,$X536))</f>
        <v/>
      </c>
      <c r="I536" s="20" t="str">
        <f aca="false">IF($X536="","",INDEX('Per Line'!$K$2:$K$4001,$X536))</f>
        <v/>
      </c>
      <c r="J536" s="20" t="str">
        <f aca="false">IF($X536="","",INDEX('Per Line'!$L$2:$L$4001,$X536))</f>
        <v/>
      </c>
      <c r="K536" s="20" t="str">
        <f aca="false">IF($X536="","",INDEX('Per Line'!$M$2:$M$4001,$X536))</f>
        <v/>
      </c>
      <c r="L536" s="22" t="str">
        <f aca="false">IF($X536="","",K536*V536/100)</f>
        <v/>
      </c>
      <c r="M536" s="20" t="str">
        <f aca="false">IF($X536="","",INDEX('Per Line'!$Z$2:$Z$4001,$X536))</f>
        <v/>
      </c>
      <c r="N536" s="23" t="str">
        <f aca="false">IF($X536="","",Settings!$C$7)</f>
        <v/>
      </c>
      <c r="O536" s="22" t="str">
        <f aca="false">IF($X536="","",SUMIFS('Per Line'!$Y$2:$Y$4001,'Per Line'!$D$2:$D$4001,$B536,'Per Line'!$AJ$2:$AJ$4001,0))</f>
        <v/>
      </c>
      <c r="P536" s="22" t="str">
        <f aca="false">IF($X536="","",O536*N536)</f>
        <v/>
      </c>
      <c r="Q536" s="23" t="str">
        <f aca="false">IF($X536="","",Settings!$C$6)</f>
        <v/>
      </c>
      <c r="R536" s="22" t="str">
        <f aca="false">IF($X536="","",SUMIFS('Per Line'!$Y$2:$Y$4001,'Per Line'!$D$2:$D$4001,$B536,'Per Line'!$AJ$2:$AJ$4001,1))</f>
        <v/>
      </c>
      <c r="S536" s="22" t="str">
        <f aca="false">IF($X536="","",R536*Q536)</f>
        <v/>
      </c>
      <c r="T536" s="22" t="str">
        <f aca="false">IF($X536="","",S536+P536)</f>
        <v/>
      </c>
      <c r="U536" s="22" t="str">
        <f aca="false">IF($X536="","",V536-T536)</f>
        <v/>
      </c>
      <c r="V536" s="22" t="str">
        <f aca="false">IF($X536="","",O536+R536)</f>
        <v/>
      </c>
      <c r="W536" s="22" t="str">
        <f aca="false">IF($X536="","",U536-L536)</f>
        <v/>
      </c>
      <c r="X536" s="24" t="str">
        <f aca="false">IF(ROWS($X$2:$X536)&lt;=MAX('Per Line'!$AI$2:$AI$4001),MATCH(ROWS($X$2:$X536),'Per Line'!$AI$2:$AI$4001,0),"")</f>
        <v/>
      </c>
    </row>
    <row r="537" customFormat="false" ht="15" hidden="false" customHeight="false" outlineLevel="0" collapsed="false">
      <c r="A537" s="19"/>
      <c r="B537" s="20" t="str">
        <f aca="false">IF($X537="","",INDEX('Per Line'!$D$2:$D$4001,$X537))</f>
        <v/>
      </c>
      <c r="C537" s="20" t="str">
        <f aca="false">IF($X537="","",INDEX('Per Line'!$C$2:$C$4001,$X537))</f>
        <v/>
      </c>
      <c r="D537" s="20" t="str">
        <f aca="false">IF($X537="","",INDEX('Per Line'!$A$2:$A$4001,$X537))</f>
        <v/>
      </c>
      <c r="E537" s="21" t="str">
        <f aca="false">IF($X537="","",INDEX('Per Line'!$F$2:$F$4001,$X537))</f>
        <v/>
      </c>
      <c r="F537" s="20" t="str">
        <f aca="false">IF($X537="","",INDEX('Per Line'!$G$2:$G$4001,$X537))</f>
        <v/>
      </c>
      <c r="G537" s="20" t="str">
        <f aca="false">IF($X537="","",INDEX('Per Line'!$I$2:$I$4001,$X537))</f>
        <v/>
      </c>
      <c r="H537" s="20" t="str">
        <f aca="false">IF($X537="","",INDEX('Per Line'!$J$2:$J$4001,$X537))</f>
        <v/>
      </c>
      <c r="I537" s="20" t="str">
        <f aca="false">IF($X537="","",INDEX('Per Line'!$K$2:$K$4001,$X537))</f>
        <v/>
      </c>
      <c r="J537" s="20" t="str">
        <f aca="false">IF($X537="","",INDEX('Per Line'!$L$2:$L$4001,$X537))</f>
        <v/>
      </c>
      <c r="K537" s="20" t="str">
        <f aca="false">IF($X537="","",INDEX('Per Line'!$M$2:$M$4001,$X537))</f>
        <v/>
      </c>
      <c r="L537" s="22" t="str">
        <f aca="false">IF($X537="","",K537*V537/100)</f>
        <v/>
      </c>
      <c r="M537" s="20" t="str">
        <f aca="false">IF($X537="","",INDEX('Per Line'!$Z$2:$Z$4001,$X537))</f>
        <v/>
      </c>
      <c r="N537" s="23" t="str">
        <f aca="false">IF($X537="","",Settings!$C$7)</f>
        <v/>
      </c>
      <c r="O537" s="22" t="str">
        <f aca="false">IF($X537="","",SUMIFS('Per Line'!$Y$2:$Y$4001,'Per Line'!$D$2:$D$4001,$B537,'Per Line'!$AJ$2:$AJ$4001,0))</f>
        <v/>
      </c>
      <c r="P537" s="22" t="str">
        <f aca="false">IF($X537="","",O537*N537)</f>
        <v/>
      </c>
      <c r="Q537" s="23" t="str">
        <f aca="false">IF($X537="","",Settings!$C$6)</f>
        <v/>
      </c>
      <c r="R537" s="22" t="str">
        <f aca="false">IF($X537="","",SUMIFS('Per Line'!$Y$2:$Y$4001,'Per Line'!$D$2:$D$4001,$B537,'Per Line'!$AJ$2:$AJ$4001,1))</f>
        <v/>
      </c>
      <c r="S537" s="22" t="str">
        <f aca="false">IF($X537="","",R537*Q537)</f>
        <v/>
      </c>
      <c r="T537" s="22" t="str">
        <f aca="false">IF($X537="","",S537+P537)</f>
        <v/>
      </c>
      <c r="U537" s="22" t="str">
        <f aca="false">IF($X537="","",V537-T537)</f>
        <v/>
      </c>
      <c r="V537" s="22" t="str">
        <f aca="false">IF($X537="","",O537+R537)</f>
        <v/>
      </c>
      <c r="W537" s="22" t="str">
        <f aca="false">IF($X537="","",U537-L537)</f>
        <v/>
      </c>
      <c r="X537" s="24" t="str">
        <f aca="false">IF(ROWS($X$2:$X537)&lt;=MAX('Per Line'!$AI$2:$AI$4001),MATCH(ROWS($X$2:$X537),'Per Line'!$AI$2:$AI$4001,0),"")</f>
        <v/>
      </c>
    </row>
    <row r="538" customFormat="false" ht="15" hidden="false" customHeight="false" outlineLevel="0" collapsed="false">
      <c r="A538" s="19"/>
      <c r="B538" s="20" t="str">
        <f aca="false">IF($X538="","",INDEX('Per Line'!$D$2:$D$4001,$X538))</f>
        <v/>
      </c>
      <c r="C538" s="20" t="str">
        <f aca="false">IF($X538="","",INDEX('Per Line'!$C$2:$C$4001,$X538))</f>
        <v/>
      </c>
      <c r="D538" s="20" t="str">
        <f aca="false">IF($X538="","",INDEX('Per Line'!$A$2:$A$4001,$X538))</f>
        <v/>
      </c>
      <c r="E538" s="21" t="str">
        <f aca="false">IF($X538="","",INDEX('Per Line'!$F$2:$F$4001,$X538))</f>
        <v/>
      </c>
      <c r="F538" s="20" t="str">
        <f aca="false">IF($X538="","",INDEX('Per Line'!$G$2:$G$4001,$X538))</f>
        <v/>
      </c>
      <c r="G538" s="20" t="str">
        <f aca="false">IF($X538="","",INDEX('Per Line'!$I$2:$I$4001,$X538))</f>
        <v/>
      </c>
      <c r="H538" s="20" t="str">
        <f aca="false">IF($X538="","",INDEX('Per Line'!$J$2:$J$4001,$X538))</f>
        <v/>
      </c>
      <c r="I538" s="20" t="str">
        <f aca="false">IF($X538="","",INDEX('Per Line'!$K$2:$K$4001,$X538))</f>
        <v/>
      </c>
      <c r="J538" s="20" t="str">
        <f aca="false">IF($X538="","",INDEX('Per Line'!$L$2:$L$4001,$X538))</f>
        <v/>
      </c>
      <c r="K538" s="20" t="str">
        <f aca="false">IF($X538="","",INDEX('Per Line'!$M$2:$M$4001,$X538))</f>
        <v/>
      </c>
      <c r="L538" s="22" t="str">
        <f aca="false">IF($X538="","",K538*V538/100)</f>
        <v/>
      </c>
      <c r="M538" s="20" t="str">
        <f aca="false">IF($X538="","",INDEX('Per Line'!$Z$2:$Z$4001,$X538))</f>
        <v/>
      </c>
      <c r="N538" s="23" t="str">
        <f aca="false">IF($X538="","",Settings!$C$7)</f>
        <v/>
      </c>
      <c r="O538" s="22" t="str">
        <f aca="false">IF($X538="","",SUMIFS('Per Line'!$Y$2:$Y$4001,'Per Line'!$D$2:$D$4001,$B538,'Per Line'!$AJ$2:$AJ$4001,0))</f>
        <v/>
      </c>
      <c r="P538" s="22" t="str">
        <f aca="false">IF($X538="","",O538*N538)</f>
        <v/>
      </c>
      <c r="Q538" s="23" t="str">
        <f aca="false">IF($X538="","",Settings!$C$6)</f>
        <v/>
      </c>
      <c r="R538" s="22" t="str">
        <f aca="false">IF($X538="","",SUMIFS('Per Line'!$Y$2:$Y$4001,'Per Line'!$D$2:$D$4001,$B538,'Per Line'!$AJ$2:$AJ$4001,1))</f>
        <v/>
      </c>
      <c r="S538" s="22" t="str">
        <f aca="false">IF($X538="","",R538*Q538)</f>
        <v/>
      </c>
      <c r="T538" s="22" t="str">
        <f aca="false">IF($X538="","",S538+P538)</f>
        <v/>
      </c>
      <c r="U538" s="22" t="str">
        <f aca="false">IF($X538="","",V538-T538)</f>
        <v/>
      </c>
      <c r="V538" s="22" t="str">
        <f aca="false">IF($X538="","",O538+R538)</f>
        <v/>
      </c>
      <c r="W538" s="22" t="str">
        <f aca="false">IF($X538="","",U538-L538)</f>
        <v/>
      </c>
      <c r="X538" s="24" t="str">
        <f aca="false">IF(ROWS($X$2:$X538)&lt;=MAX('Per Line'!$AI$2:$AI$4001),MATCH(ROWS($X$2:$X538),'Per Line'!$AI$2:$AI$4001,0),"")</f>
        <v/>
      </c>
    </row>
    <row r="539" customFormat="false" ht="15" hidden="false" customHeight="false" outlineLevel="0" collapsed="false">
      <c r="A539" s="19"/>
      <c r="B539" s="20" t="str">
        <f aca="false">IF($X539="","",INDEX('Per Line'!$D$2:$D$4001,$X539))</f>
        <v/>
      </c>
      <c r="C539" s="20" t="str">
        <f aca="false">IF($X539="","",INDEX('Per Line'!$C$2:$C$4001,$X539))</f>
        <v/>
      </c>
      <c r="D539" s="20" t="str">
        <f aca="false">IF($X539="","",INDEX('Per Line'!$A$2:$A$4001,$X539))</f>
        <v/>
      </c>
      <c r="E539" s="21" t="str">
        <f aca="false">IF($X539="","",INDEX('Per Line'!$F$2:$F$4001,$X539))</f>
        <v/>
      </c>
      <c r="F539" s="20" t="str">
        <f aca="false">IF($X539="","",INDEX('Per Line'!$G$2:$G$4001,$X539))</f>
        <v/>
      </c>
      <c r="G539" s="20" t="str">
        <f aca="false">IF($X539="","",INDEX('Per Line'!$I$2:$I$4001,$X539))</f>
        <v/>
      </c>
      <c r="H539" s="20" t="str">
        <f aca="false">IF($X539="","",INDEX('Per Line'!$J$2:$J$4001,$X539))</f>
        <v/>
      </c>
      <c r="I539" s="20" t="str">
        <f aca="false">IF($X539="","",INDEX('Per Line'!$K$2:$K$4001,$X539))</f>
        <v/>
      </c>
      <c r="J539" s="20" t="str">
        <f aca="false">IF($X539="","",INDEX('Per Line'!$L$2:$L$4001,$X539))</f>
        <v/>
      </c>
      <c r="K539" s="20" t="str">
        <f aca="false">IF($X539="","",INDEX('Per Line'!$M$2:$M$4001,$X539))</f>
        <v/>
      </c>
      <c r="L539" s="22" t="str">
        <f aca="false">IF($X539="","",K539*V539/100)</f>
        <v/>
      </c>
      <c r="M539" s="20" t="str">
        <f aca="false">IF($X539="","",INDEX('Per Line'!$Z$2:$Z$4001,$X539))</f>
        <v/>
      </c>
      <c r="N539" s="23" t="str">
        <f aca="false">IF($X539="","",Settings!$C$7)</f>
        <v/>
      </c>
      <c r="O539" s="22" t="str">
        <f aca="false">IF($X539="","",SUMIFS('Per Line'!$Y$2:$Y$4001,'Per Line'!$D$2:$D$4001,$B539,'Per Line'!$AJ$2:$AJ$4001,0))</f>
        <v/>
      </c>
      <c r="P539" s="22" t="str">
        <f aca="false">IF($X539="","",O539*N539)</f>
        <v/>
      </c>
      <c r="Q539" s="23" t="str">
        <f aca="false">IF($X539="","",Settings!$C$6)</f>
        <v/>
      </c>
      <c r="R539" s="22" t="str">
        <f aca="false">IF($X539="","",SUMIFS('Per Line'!$Y$2:$Y$4001,'Per Line'!$D$2:$D$4001,$B539,'Per Line'!$AJ$2:$AJ$4001,1))</f>
        <v/>
      </c>
      <c r="S539" s="22" t="str">
        <f aca="false">IF($X539="","",R539*Q539)</f>
        <v/>
      </c>
      <c r="T539" s="22" t="str">
        <f aca="false">IF($X539="","",S539+P539)</f>
        <v/>
      </c>
      <c r="U539" s="22" t="str">
        <f aca="false">IF($X539="","",V539-T539)</f>
        <v/>
      </c>
      <c r="V539" s="22" t="str">
        <f aca="false">IF($X539="","",O539+R539)</f>
        <v/>
      </c>
      <c r="W539" s="22" t="str">
        <f aca="false">IF($X539="","",U539-L539)</f>
        <v/>
      </c>
      <c r="X539" s="24" t="str">
        <f aca="false">IF(ROWS($X$2:$X539)&lt;=MAX('Per Line'!$AI$2:$AI$4001),MATCH(ROWS($X$2:$X539),'Per Line'!$AI$2:$AI$4001,0),"")</f>
        <v/>
      </c>
    </row>
    <row r="540" customFormat="false" ht="15" hidden="false" customHeight="false" outlineLevel="0" collapsed="false">
      <c r="A540" s="19"/>
      <c r="B540" s="20" t="str">
        <f aca="false">IF($X540="","",INDEX('Per Line'!$D$2:$D$4001,$X540))</f>
        <v/>
      </c>
      <c r="C540" s="20" t="str">
        <f aca="false">IF($X540="","",INDEX('Per Line'!$C$2:$C$4001,$X540))</f>
        <v/>
      </c>
      <c r="D540" s="20" t="str">
        <f aca="false">IF($X540="","",INDEX('Per Line'!$A$2:$A$4001,$X540))</f>
        <v/>
      </c>
      <c r="E540" s="21" t="str">
        <f aca="false">IF($X540="","",INDEX('Per Line'!$F$2:$F$4001,$X540))</f>
        <v/>
      </c>
      <c r="F540" s="20" t="str">
        <f aca="false">IF($X540="","",INDEX('Per Line'!$G$2:$G$4001,$X540))</f>
        <v/>
      </c>
      <c r="G540" s="20" t="str">
        <f aca="false">IF($X540="","",INDEX('Per Line'!$I$2:$I$4001,$X540))</f>
        <v/>
      </c>
      <c r="H540" s="20" t="str">
        <f aca="false">IF($X540="","",INDEX('Per Line'!$J$2:$J$4001,$X540))</f>
        <v/>
      </c>
      <c r="I540" s="20" t="str">
        <f aca="false">IF($X540="","",INDEX('Per Line'!$K$2:$K$4001,$X540))</f>
        <v/>
      </c>
      <c r="J540" s="20" t="str">
        <f aca="false">IF($X540="","",INDEX('Per Line'!$L$2:$L$4001,$X540))</f>
        <v/>
      </c>
      <c r="K540" s="20" t="str">
        <f aca="false">IF($X540="","",INDEX('Per Line'!$M$2:$M$4001,$X540))</f>
        <v/>
      </c>
      <c r="L540" s="22" t="str">
        <f aca="false">IF($X540="","",K540*V540/100)</f>
        <v/>
      </c>
      <c r="M540" s="20" t="str">
        <f aca="false">IF($X540="","",INDEX('Per Line'!$Z$2:$Z$4001,$X540))</f>
        <v/>
      </c>
      <c r="N540" s="23" t="str">
        <f aca="false">IF($X540="","",Settings!$C$7)</f>
        <v/>
      </c>
      <c r="O540" s="22" t="str">
        <f aca="false">IF($X540="","",SUMIFS('Per Line'!$Y$2:$Y$4001,'Per Line'!$D$2:$D$4001,$B540,'Per Line'!$AJ$2:$AJ$4001,0))</f>
        <v/>
      </c>
      <c r="P540" s="22" t="str">
        <f aca="false">IF($X540="","",O540*N540)</f>
        <v/>
      </c>
      <c r="Q540" s="23" t="str">
        <f aca="false">IF($X540="","",Settings!$C$6)</f>
        <v/>
      </c>
      <c r="R540" s="22" t="str">
        <f aca="false">IF($X540="","",SUMIFS('Per Line'!$Y$2:$Y$4001,'Per Line'!$D$2:$D$4001,$B540,'Per Line'!$AJ$2:$AJ$4001,1))</f>
        <v/>
      </c>
      <c r="S540" s="22" t="str">
        <f aca="false">IF($X540="","",R540*Q540)</f>
        <v/>
      </c>
      <c r="T540" s="22" t="str">
        <f aca="false">IF($X540="","",S540+P540)</f>
        <v/>
      </c>
      <c r="U540" s="22" t="str">
        <f aca="false">IF($X540="","",V540-T540)</f>
        <v/>
      </c>
      <c r="V540" s="22" t="str">
        <f aca="false">IF($X540="","",O540+R540)</f>
        <v/>
      </c>
      <c r="W540" s="22" t="str">
        <f aca="false">IF($X540="","",U540-L540)</f>
        <v/>
      </c>
      <c r="X540" s="24" t="str">
        <f aca="false">IF(ROWS($X$2:$X540)&lt;=MAX('Per Line'!$AI$2:$AI$4001),MATCH(ROWS($X$2:$X540),'Per Line'!$AI$2:$AI$4001,0),"")</f>
        <v/>
      </c>
    </row>
    <row r="541" customFormat="false" ht="15" hidden="false" customHeight="false" outlineLevel="0" collapsed="false">
      <c r="A541" s="19"/>
      <c r="B541" s="20" t="str">
        <f aca="false">IF($X541="","",INDEX('Per Line'!$D$2:$D$4001,$X541))</f>
        <v/>
      </c>
      <c r="C541" s="20" t="str">
        <f aca="false">IF($X541="","",INDEX('Per Line'!$C$2:$C$4001,$X541))</f>
        <v/>
      </c>
      <c r="D541" s="20" t="str">
        <f aca="false">IF($X541="","",INDEX('Per Line'!$A$2:$A$4001,$X541))</f>
        <v/>
      </c>
      <c r="E541" s="21" t="str">
        <f aca="false">IF($X541="","",INDEX('Per Line'!$F$2:$F$4001,$X541))</f>
        <v/>
      </c>
      <c r="F541" s="20" t="str">
        <f aca="false">IF($X541="","",INDEX('Per Line'!$G$2:$G$4001,$X541))</f>
        <v/>
      </c>
      <c r="G541" s="20" t="str">
        <f aca="false">IF($X541="","",INDEX('Per Line'!$I$2:$I$4001,$X541))</f>
        <v/>
      </c>
      <c r="H541" s="20" t="str">
        <f aca="false">IF($X541="","",INDEX('Per Line'!$J$2:$J$4001,$X541))</f>
        <v/>
      </c>
      <c r="I541" s="20" t="str">
        <f aca="false">IF($X541="","",INDEX('Per Line'!$K$2:$K$4001,$X541))</f>
        <v/>
      </c>
      <c r="J541" s="20" t="str">
        <f aca="false">IF($X541="","",INDEX('Per Line'!$L$2:$L$4001,$X541))</f>
        <v/>
      </c>
      <c r="K541" s="20" t="str">
        <f aca="false">IF($X541="","",INDEX('Per Line'!$M$2:$M$4001,$X541))</f>
        <v/>
      </c>
      <c r="L541" s="22" t="str">
        <f aca="false">IF($X541="","",K541*V541/100)</f>
        <v/>
      </c>
      <c r="M541" s="20" t="str">
        <f aca="false">IF($X541="","",INDEX('Per Line'!$Z$2:$Z$4001,$X541))</f>
        <v/>
      </c>
      <c r="N541" s="23" t="str">
        <f aca="false">IF($X541="","",Settings!$C$7)</f>
        <v/>
      </c>
      <c r="O541" s="22" t="str">
        <f aca="false">IF($X541="","",SUMIFS('Per Line'!$Y$2:$Y$4001,'Per Line'!$D$2:$D$4001,$B541,'Per Line'!$AJ$2:$AJ$4001,0))</f>
        <v/>
      </c>
      <c r="P541" s="22" t="str">
        <f aca="false">IF($X541="","",O541*N541)</f>
        <v/>
      </c>
      <c r="Q541" s="23" t="str">
        <f aca="false">IF($X541="","",Settings!$C$6)</f>
        <v/>
      </c>
      <c r="R541" s="22" t="str">
        <f aca="false">IF($X541="","",SUMIFS('Per Line'!$Y$2:$Y$4001,'Per Line'!$D$2:$D$4001,$B541,'Per Line'!$AJ$2:$AJ$4001,1))</f>
        <v/>
      </c>
      <c r="S541" s="22" t="str">
        <f aca="false">IF($X541="","",R541*Q541)</f>
        <v/>
      </c>
      <c r="T541" s="22" t="str">
        <f aca="false">IF($X541="","",S541+P541)</f>
        <v/>
      </c>
      <c r="U541" s="22" t="str">
        <f aca="false">IF($X541="","",V541-T541)</f>
        <v/>
      </c>
      <c r="V541" s="22" t="str">
        <f aca="false">IF($X541="","",O541+R541)</f>
        <v/>
      </c>
      <c r="W541" s="22" t="str">
        <f aca="false">IF($X541="","",U541-L541)</f>
        <v/>
      </c>
      <c r="X541" s="24" t="str">
        <f aca="false">IF(ROWS($X$2:$X541)&lt;=MAX('Per Line'!$AI$2:$AI$4001),MATCH(ROWS($X$2:$X541),'Per Line'!$AI$2:$AI$4001,0),"")</f>
        <v/>
      </c>
    </row>
    <row r="542" customFormat="false" ht="15" hidden="false" customHeight="false" outlineLevel="0" collapsed="false">
      <c r="A542" s="19"/>
      <c r="B542" s="20" t="str">
        <f aca="false">IF($X542="","",INDEX('Per Line'!$D$2:$D$4001,$X542))</f>
        <v/>
      </c>
      <c r="C542" s="20" t="str">
        <f aca="false">IF($X542="","",INDEX('Per Line'!$C$2:$C$4001,$X542))</f>
        <v/>
      </c>
      <c r="D542" s="20" t="str">
        <f aca="false">IF($X542="","",INDEX('Per Line'!$A$2:$A$4001,$X542))</f>
        <v/>
      </c>
      <c r="E542" s="21" t="str">
        <f aca="false">IF($X542="","",INDEX('Per Line'!$F$2:$F$4001,$X542))</f>
        <v/>
      </c>
      <c r="F542" s="20" t="str">
        <f aca="false">IF($X542="","",INDEX('Per Line'!$G$2:$G$4001,$X542))</f>
        <v/>
      </c>
      <c r="G542" s="20" t="str">
        <f aca="false">IF($X542="","",INDEX('Per Line'!$I$2:$I$4001,$X542))</f>
        <v/>
      </c>
      <c r="H542" s="20" t="str">
        <f aca="false">IF($X542="","",INDEX('Per Line'!$J$2:$J$4001,$X542))</f>
        <v/>
      </c>
      <c r="I542" s="20" t="str">
        <f aca="false">IF($X542="","",INDEX('Per Line'!$K$2:$K$4001,$X542))</f>
        <v/>
      </c>
      <c r="J542" s="20" t="str">
        <f aca="false">IF($X542="","",INDEX('Per Line'!$L$2:$L$4001,$X542))</f>
        <v/>
      </c>
      <c r="K542" s="20" t="str">
        <f aca="false">IF($X542="","",INDEX('Per Line'!$M$2:$M$4001,$X542))</f>
        <v/>
      </c>
      <c r="L542" s="22" t="str">
        <f aca="false">IF($X542="","",K542*V542/100)</f>
        <v/>
      </c>
      <c r="M542" s="20" t="str">
        <f aca="false">IF($X542="","",INDEX('Per Line'!$Z$2:$Z$4001,$X542))</f>
        <v/>
      </c>
      <c r="N542" s="23" t="str">
        <f aca="false">IF($X542="","",Settings!$C$7)</f>
        <v/>
      </c>
      <c r="O542" s="22" t="str">
        <f aca="false">IF($X542="","",SUMIFS('Per Line'!$Y$2:$Y$4001,'Per Line'!$D$2:$D$4001,$B542,'Per Line'!$AJ$2:$AJ$4001,0))</f>
        <v/>
      </c>
      <c r="P542" s="22" t="str">
        <f aca="false">IF($X542="","",O542*N542)</f>
        <v/>
      </c>
      <c r="Q542" s="23" t="str">
        <f aca="false">IF($X542="","",Settings!$C$6)</f>
        <v/>
      </c>
      <c r="R542" s="22" t="str">
        <f aca="false">IF($X542="","",SUMIFS('Per Line'!$Y$2:$Y$4001,'Per Line'!$D$2:$D$4001,$B542,'Per Line'!$AJ$2:$AJ$4001,1))</f>
        <v/>
      </c>
      <c r="S542" s="22" t="str">
        <f aca="false">IF($X542="","",R542*Q542)</f>
        <v/>
      </c>
      <c r="T542" s="22" t="str">
        <f aca="false">IF($X542="","",S542+P542)</f>
        <v/>
      </c>
      <c r="U542" s="22" t="str">
        <f aca="false">IF($X542="","",V542-T542)</f>
        <v/>
      </c>
      <c r="V542" s="22" t="str">
        <f aca="false">IF($X542="","",O542+R542)</f>
        <v/>
      </c>
      <c r="W542" s="22" t="str">
        <f aca="false">IF($X542="","",U542-L542)</f>
        <v/>
      </c>
      <c r="X542" s="24" t="str">
        <f aca="false">IF(ROWS($X$2:$X542)&lt;=MAX('Per Line'!$AI$2:$AI$4001),MATCH(ROWS($X$2:$X542),'Per Line'!$AI$2:$AI$4001,0),"")</f>
        <v/>
      </c>
    </row>
    <row r="543" customFormat="false" ht="15" hidden="false" customHeight="false" outlineLevel="0" collapsed="false">
      <c r="A543" s="19"/>
      <c r="B543" s="20" t="str">
        <f aca="false">IF($X543="","",INDEX('Per Line'!$D$2:$D$4001,$X543))</f>
        <v/>
      </c>
      <c r="C543" s="20" t="str">
        <f aca="false">IF($X543="","",INDEX('Per Line'!$C$2:$C$4001,$X543))</f>
        <v/>
      </c>
      <c r="D543" s="20" t="str">
        <f aca="false">IF($X543="","",INDEX('Per Line'!$A$2:$A$4001,$X543))</f>
        <v/>
      </c>
      <c r="E543" s="21" t="str">
        <f aca="false">IF($X543="","",INDEX('Per Line'!$F$2:$F$4001,$X543))</f>
        <v/>
      </c>
      <c r="F543" s="20" t="str">
        <f aca="false">IF($X543="","",INDEX('Per Line'!$G$2:$G$4001,$X543))</f>
        <v/>
      </c>
      <c r="G543" s="20" t="str">
        <f aca="false">IF($X543="","",INDEX('Per Line'!$I$2:$I$4001,$X543))</f>
        <v/>
      </c>
      <c r="H543" s="20" t="str">
        <f aca="false">IF($X543="","",INDEX('Per Line'!$J$2:$J$4001,$X543))</f>
        <v/>
      </c>
      <c r="I543" s="20" t="str">
        <f aca="false">IF($X543="","",INDEX('Per Line'!$K$2:$K$4001,$X543))</f>
        <v/>
      </c>
      <c r="J543" s="20" t="str">
        <f aca="false">IF($X543="","",INDEX('Per Line'!$L$2:$L$4001,$X543))</f>
        <v/>
      </c>
      <c r="K543" s="20" t="str">
        <f aca="false">IF($X543="","",INDEX('Per Line'!$M$2:$M$4001,$X543))</f>
        <v/>
      </c>
      <c r="L543" s="22" t="str">
        <f aca="false">IF($X543="","",K543*V543/100)</f>
        <v/>
      </c>
      <c r="M543" s="20" t="str">
        <f aca="false">IF($X543="","",INDEX('Per Line'!$Z$2:$Z$4001,$X543))</f>
        <v/>
      </c>
      <c r="N543" s="23" t="str">
        <f aca="false">IF($X543="","",Settings!$C$7)</f>
        <v/>
      </c>
      <c r="O543" s="22" t="str">
        <f aca="false">IF($X543="","",SUMIFS('Per Line'!$Y$2:$Y$4001,'Per Line'!$D$2:$D$4001,$B543,'Per Line'!$AJ$2:$AJ$4001,0))</f>
        <v/>
      </c>
      <c r="P543" s="22" t="str">
        <f aca="false">IF($X543="","",O543*N543)</f>
        <v/>
      </c>
      <c r="Q543" s="23" t="str">
        <f aca="false">IF($X543="","",Settings!$C$6)</f>
        <v/>
      </c>
      <c r="R543" s="22" t="str">
        <f aca="false">IF($X543="","",SUMIFS('Per Line'!$Y$2:$Y$4001,'Per Line'!$D$2:$D$4001,$B543,'Per Line'!$AJ$2:$AJ$4001,1))</f>
        <v/>
      </c>
      <c r="S543" s="22" t="str">
        <f aca="false">IF($X543="","",R543*Q543)</f>
        <v/>
      </c>
      <c r="T543" s="22" t="str">
        <f aca="false">IF($X543="","",S543+P543)</f>
        <v/>
      </c>
      <c r="U543" s="22" t="str">
        <f aca="false">IF($X543="","",V543-T543)</f>
        <v/>
      </c>
      <c r="V543" s="22" t="str">
        <f aca="false">IF($X543="","",O543+R543)</f>
        <v/>
      </c>
      <c r="W543" s="22" t="str">
        <f aca="false">IF($X543="","",U543-L543)</f>
        <v/>
      </c>
      <c r="X543" s="24" t="str">
        <f aca="false">IF(ROWS($X$2:$X543)&lt;=MAX('Per Line'!$AI$2:$AI$4001),MATCH(ROWS($X$2:$X543),'Per Line'!$AI$2:$AI$4001,0),"")</f>
        <v/>
      </c>
    </row>
    <row r="544" customFormat="false" ht="15" hidden="false" customHeight="false" outlineLevel="0" collapsed="false">
      <c r="A544" s="19"/>
      <c r="B544" s="20" t="str">
        <f aca="false">IF($X544="","",INDEX('Per Line'!$D$2:$D$4001,$X544))</f>
        <v/>
      </c>
      <c r="C544" s="20" t="str">
        <f aca="false">IF($X544="","",INDEX('Per Line'!$C$2:$C$4001,$X544))</f>
        <v/>
      </c>
      <c r="D544" s="20" t="str">
        <f aca="false">IF($X544="","",INDEX('Per Line'!$A$2:$A$4001,$X544))</f>
        <v/>
      </c>
      <c r="E544" s="21" t="str">
        <f aca="false">IF($X544="","",INDEX('Per Line'!$F$2:$F$4001,$X544))</f>
        <v/>
      </c>
      <c r="F544" s="20" t="str">
        <f aca="false">IF($X544="","",INDEX('Per Line'!$G$2:$G$4001,$X544))</f>
        <v/>
      </c>
      <c r="G544" s="20" t="str">
        <f aca="false">IF($X544="","",INDEX('Per Line'!$I$2:$I$4001,$X544))</f>
        <v/>
      </c>
      <c r="H544" s="20" t="str">
        <f aca="false">IF($X544="","",INDEX('Per Line'!$J$2:$J$4001,$X544))</f>
        <v/>
      </c>
      <c r="I544" s="20" t="str">
        <f aca="false">IF($X544="","",INDEX('Per Line'!$K$2:$K$4001,$X544))</f>
        <v/>
      </c>
      <c r="J544" s="20" t="str">
        <f aca="false">IF($X544="","",INDEX('Per Line'!$L$2:$L$4001,$X544))</f>
        <v/>
      </c>
      <c r="K544" s="20" t="str">
        <f aca="false">IF($X544="","",INDEX('Per Line'!$M$2:$M$4001,$X544))</f>
        <v/>
      </c>
      <c r="L544" s="22" t="str">
        <f aca="false">IF($X544="","",K544*V544/100)</f>
        <v/>
      </c>
      <c r="M544" s="20" t="str">
        <f aca="false">IF($X544="","",INDEX('Per Line'!$Z$2:$Z$4001,$X544))</f>
        <v/>
      </c>
      <c r="N544" s="23" t="str">
        <f aca="false">IF($X544="","",Settings!$C$7)</f>
        <v/>
      </c>
      <c r="O544" s="22" t="str">
        <f aca="false">IF($X544="","",SUMIFS('Per Line'!$Y$2:$Y$4001,'Per Line'!$D$2:$D$4001,$B544,'Per Line'!$AJ$2:$AJ$4001,0))</f>
        <v/>
      </c>
      <c r="P544" s="22" t="str">
        <f aca="false">IF($X544="","",O544*N544)</f>
        <v/>
      </c>
      <c r="Q544" s="23" t="str">
        <f aca="false">IF($X544="","",Settings!$C$6)</f>
        <v/>
      </c>
      <c r="R544" s="22" t="str">
        <f aca="false">IF($X544="","",SUMIFS('Per Line'!$Y$2:$Y$4001,'Per Line'!$D$2:$D$4001,$B544,'Per Line'!$AJ$2:$AJ$4001,1))</f>
        <v/>
      </c>
      <c r="S544" s="22" t="str">
        <f aca="false">IF($X544="","",R544*Q544)</f>
        <v/>
      </c>
      <c r="T544" s="22" t="str">
        <f aca="false">IF($X544="","",S544+P544)</f>
        <v/>
      </c>
      <c r="U544" s="22" t="str">
        <f aca="false">IF($X544="","",V544-T544)</f>
        <v/>
      </c>
      <c r="V544" s="22" t="str">
        <f aca="false">IF($X544="","",O544+R544)</f>
        <v/>
      </c>
      <c r="W544" s="22" t="str">
        <f aca="false">IF($X544="","",U544-L544)</f>
        <v/>
      </c>
      <c r="X544" s="24" t="str">
        <f aca="false">IF(ROWS($X$2:$X544)&lt;=MAX('Per Line'!$AI$2:$AI$4001),MATCH(ROWS($X$2:$X544),'Per Line'!$AI$2:$AI$4001,0),"")</f>
        <v/>
      </c>
    </row>
    <row r="545" customFormat="false" ht="15" hidden="false" customHeight="false" outlineLevel="0" collapsed="false">
      <c r="A545" s="19"/>
      <c r="B545" s="20" t="str">
        <f aca="false">IF($X545="","",INDEX('Per Line'!$D$2:$D$4001,$X545))</f>
        <v/>
      </c>
      <c r="C545" s="20" t="str">
        <f aca="false">IF($X545="","",INDEX('Per Line'!$C$2:$C$4001,$X545))</f>
        <v/>
      </c>
      <c r="D545" s="20" t="str">
        <f aca="false">IF($X545="","",INDEX('Per Line'!$A$2:$A$4001,$X545))</f>
        <v/>
      </c>
      <c r="E545" s="21" t="str">
        <f aca="false">IF($X545="","",INDEX('Per Line'!$F$2:$F$4001,$X545))</f>
        <v/>
      </c>
      <c r="F545" s="20" t="str">
        <f aca="false">IF($X545="","",INDEX('Per Line'!$G$2:$G$4001,$X545))</f>
        <v/>
      </c>
      <c r="G545" s="20" t="str">
        <f aca="false">IF($X545="","",INDEX('Per Line'!$I$2:$I$4001,$X545))</f>
        <v/>
      </c>
      <c r="H545" s="20" t="str">
        <f aca="false">IF($X545="","",INDEX('Per Line'!$J$2:$J$4001,$X545))</f>
        <v/>
      </c>
      <c r="I545" s="20" t="str">
        <f aca="false">IF($X545="","",INDEX('Per Line'!$K$2:$K$4001,$X545))</f>
        <v/>
      </c>
      <c r="J545" s="20" t="str">
        <f aca="false">IF($X545="","",INDEX('Per Line'!$L$2:$L$4001,$X545))</f>
        <v/>
      </c>
      <c r="K545" s="20" t="str">
        <f aca="false">IF($X545="","",INDEX('Per Line'!$M$2:$M$4001,$X545))</f>
        <v/>
      </c>
      <c r="L545" s="22" t="str">
        <f aca="false">IF($X545="","",K545*V545/100)</f>
        <v/>
      </c>
      <c r="M545" s="20" t="str">
        <f aca="false">IF($X545="","",INDEX('Per Line'!$Z$2:$Z$4001,$X545))</f>
        <v/>
      </c>
      <c r="N545" s="23" t="str">
        <f aca="false">IF($X545="","",Settings!$C$7)</f>
        <v/>
      </c>
      <c r="O545" s="22" t="str">
        <f aca="false">IF($X545="","",SUMIFS('Per Line'!$Y$2:$Y$4001,'Per Line'!$D$2:$D$4001,$B545,'Per Line'!$AJ$2:$AJ$4001,0))</f>
        <v/>
      </c>
      <c r="P545" s="22" t="str">
        <f aca="false">IF($X545="","",O545*N545)</f>
        <v/>
      </c>
      <c r="Q545" s="23" t="str">
        <f aca="false">IF($X545="","",Settings!$C$6)</f>
        <v/>
      </c>
      <c r="R545" s="22" t="str">
        <f aca="false">IF($X545="","",SUMIFS('Per Line'!$Y$2:$Y$4001,'Per Line'!$D$2:$D$4001,$B545,'Per Line'!$AJ$2:$AJ$4001,1))</f>
        <v/>
      </c>
      <c r="S545" s="22" t="str">
        <f aca="false">IF($X545="","",R545*Q545)</f>
        <v/>
      </c>
      <c r="T545" s="22" t="str">
        <f aca="false">IF($X545="","",S545+P545)</f>
        <v/>
      </c>
      <c r="U545" s="22" t="str">
        <f aca="false">IF($X545="","",V545-T545)</f>
        <v/>
      </c>
      <c r="V545" s="22" t="str">
        <f aca="false">IF($X545="","",O545+R545)</f>
        <v/>
      </c>
      <c r="W545" s="22" t="str">
        <f aca="false">IF($X545="","",U545-L545)</f>
        <v/>
      </c>
      <c r="X545" s="24" t="str">
        <f aca="false">IF(ROWS($X$2:$X545)&lt;=MAX('Per Line'!$AI$2:$AI$4001),MATCH(ROWS($X$2:$X545),'Per Line'!$AI$2:$AI$4001,0),"")</f>
        <v/>
      </c>
    </row>
    <row r="546" customFormat="false" ht="15" hidden="false" customHeight="false" outlineLevel="0" collapsed="false">
      <c r="A546" s="19"/>
      <c r="B546" s="20" t="str">
        <f aca="false">IF($X546="","",INDEX('Per Line'!$D$2:$D$4001,$X546))</f>
        <v/>
      </c>
      <c r="C546" s="20" t="str">
        <f aca="false">IF($X546="","",INDEX('Per Line'!$C$2:$C$4001,$X546))</f>
        <v/>
      </c>
      <c r="D546" s="20" t="str">
        <f aca="false">IF($X546="","",INDEX('Per Line'!$A$2:$A$4001,$X546))</f>
        <v/>
      </c>
      <c r="E546" s="21" t="str">
        <f aca="false">IF($X546="","",INDEX('Per Line'!$F$2:$F$4001,$X546))</f>
        <v/>
      </c>
      <c r="F546" s="20" t="str">
        <f aca="false">IF($X546="","",INDEX('Per Line'!$G$2:$G$4001,$X546))</f>
        <v/>
      </c>
      <c r="G546" s="20" t="str">
        <f aca="false">IF($X546="","",INDEX('Per Line'!$I$2:$I$4001,$X546))</f>
        <v/>
      </c>
      <c r="H546" s="20" t="str">
        <f aca="false">IF($X546="","",INDEX('Per Line'!$J$2:$J$4001,$X546))</f>
        <v/>
      </c>
      <c r="I546" s="20" t="str">
        <f aca="false">IF($X546="","",INDEX('Per Line'!$K$2:$K$4001,$X546))</f>
        <v/>
      </c>
      <c r="J546" s="20" t="str">
        <f aca="false">IF($X546="","",INDEX('Per Line'!$L$2:$L$4001,$X546))</f>
        <v/>
      </c>
      <c r="K546" s="20" t="str">
        <f aca="false">IF($X546="","",INDEX('Per Line'!$M$2:$M$4001,$X546))</f>
        <v/>
      </c>
      <c r="L546" s="22" t="str">
        <f aca="false">IF($X546="","",K546*V546/100)</f>
        <v/>
      </c>
      <c r="M546" s="20" t="str">
        <f aca="false">IF($X546="","",INDEX('Per Line'!$Z$2:$Z$4001,$X546))</f>
        <v/>
      </c>
      <c r="N546" s="23" t="str">
        <f aca="false">IF($X546="","",Settings!$C$7)</f>
        <v/>
      </c>
      <c r="O546" s="22" t="str">
        <f aca="false">IF($X546="","",SUMIFS('Per Line'!$Y$2:$Y$4001,'Per Line'!$D$2:$D$4001,$B546,'Per Line'!$AJ$2:$AJ$4001,0))</f>
        <v/>
      </c>
      <c r="P546" s="22" t="str">
        <f aca="false">IF($X546="","",O546*N546)</f>
        <v/>
      </c>
      <c r="Q546" s="23" t="str">
        <f aca="false">IF($X546="","",Settings!$C$6)</f>
        <v/>
      </c>
      <c r="R546" s="22" t="str">
        <f aca="false">IF($X546="","",SUMIFS('Per Line'!$Y$2:$Y$4001,'Per Line'!$D$2:$D$4001,$B546,'Per Line'!$AJ$2:$AJ$4001,1))</f>
        <v/>
      </c>
      <c r="S546" s="22" t="str">
        <f aca="false">IF($X546="","",R546*Q546)</f>
        <v/>
      </c>
      <c r="T546" s="22" t="str">
        <f aca="false">IF($X546="","",S546+P546)</f>
        <v/>
      </c>
      <c r="U546" s="22" t="str">
        <f aca="false">IF($X546="","",V546-T546)</f>
        <v/>
      </c>
      <c r="V546" s="22" t="str">
        <f aca="false">IF($X546="","",O546+R546)</f>
        <v/>
      </c>
      <c r="W546" s="22" t="str">
        <f aca="false">IF($X546="","",U546-L546)</f>
        <v/>
      </c>
      <c r="X546" s="24" t="str">
        <f aca="false">IF(ROWS($X$2:$X546)&lt;=MAX('Per Line'!$AI$2:$AI$4001),MATCH(ROWS($X$2:$X546),'Per Line'!$AI$2:$AI$4001,0),"")</f>
        <v/>
      </c>
    </row>
    <row r="547" customFormat="false" ht="15" hidden="false" customHeight="false" outlineLevel="0" collapsed="false">
      <c r="A547" s="19"/>
      <c r="B547" s="20" t="str">
        <f aca="false">IF($X547="","",INDEX('Per Line'!$D$2:$D$4001,$X547))</f>
        <v/>
      </c>
      <c r="C547" s="20" t="str">
        <f aca="false">IF($X547="","",INDEX('Per Line'!$C$2:$C$4001,$X547))</f>
        <v/>
      </c>
      <c r="D547" s="20" t="str">
        <f aca="false">IF($X547="","",INDEX('Per Line'!$A$2:$A$4001,$X547))</f>
        <v/>
      </c>
      <c r="E547" s="21" t="str">
        <f aca="false">IF($X547="","",INDEX('Per Line'!$F$2:$F$4001,$X547))</f>
        <v/>
      </c>
      <c r="F547" s="20" t="str">
        <f aca="false">IF($X547="","",INDEX('Per Line'!$G$2:$G$4001,$X547))</f>
        <v/>
      </c>
      <c r="G547" s="20" t="str">
        <f aca="false">IF($X547="","",INDEX('Per Line'!$I$2:$I$4001,$X547))</f>
        <v/>
      </c>
      <c r="H547" s="20" t="str">
        <f aca="false">IF($X547="","",INDEX('Per Line'!$J$2:$J$4001,$X547))</f>
        <v/>
      </c>
      <c r="I547" s="20" t="str">
        <f aca="false">IF($X547="","",INDEX('Per Line'!$K$2:$K$4001,$X547))</f>
        <v/>
      </c>
      <c r="J547" s="20" t="str">
        <f aca="false">IF($X547="","",INDEX('Per Line'!$L$2:$L$4001,$X547))</f>
        <v/>
      </c>
      <c r="K547" s="20" t="str">
        <f aca="false">IF($X547="","",INDEX('Per Line'!$M$2:$M$4001,$X547))</f>
        <v/>
      </c>
      <c r="L547" s="22" t="str">
        <f aca="false">IF($X547="","",K547*V547/100)</f>
        <v/>
      </c>
      <c r="M547" s="20" t="str">
        <f aca="false">IF($X547="","",INDEX('Per Line'!$Z$2:$Z$4001,$X547))</f>
        <v/>
      </c>
      <c r="N547" s="23" t="str">
        <f aca="false">IF($X547="","",Settings!$C$7)</f>
        <v/>
      </c>
      <c r="O547" s="22" t="str">
        <f aca="false">IF($X547="","",SUMIFS('Per Line'!$Y$2:$Y$4001,'Per Line'!$D$2:$D$4001,$B547,'Per Line'!$AJ$2:$AJ$4001,0))</f>
        <v/>
      </c>
      <c r="P547" s="22" t="str">
        <f aca="false">IF($X547="","",O547*N547)</f>
        <v/>
      </c>
      <c r="Q547" s="23" t="str">
        <f aca="false">IF($X547="","",Settings!$C$6)</f>
        <v/>
      </c>
      <c r="R547" s="22" t="str">
        <f aca="false">IF($X547="","",SUMIFS('Per Line'!$Y$2:$Y$4001,'Per Line'!$D$2:$D$4001,$B547,'Per Line'!$AJ$2:$AJ$4001,1))</f>
        <v/>
      </c>
      <c r="S547" s="22" t="str">
        <f aca="false">IF($X547="","",R547*Q547)</f>
        <v/>
      </c>
      <c r="T547" s="22" t="str">
        <f aca="false">IF($X547="","",S547+P547)</f>
        <v/>
      </c>
      <c r="U547" s="22" t="str">
        <f aca="false">IF($X547="","",V547-T547)</f>
        <v/>
      </c>
      <c r="V547" s="22" t="str">
        <f aca="false">IF($X547="","",O547+R547)</f>
        <v/>
      </c>
      <c r="W547" s="22" t="str">
        <f aca="false">IF($X547="","",U547-L547)</f>
        <v/>
      </c>
      <c r="X547" s="24" t="str">
        <f aca="false">IF(ROWS($X$2:$X547)&lt;=MAX('Per Line'!$AI$2:$AI$4001),MATCH(ROWS($X$2:$X547),'Per Line'!$AI$2:$AI$4001,0),"")</f>
        <v/>
      </c>
    </row>
    <row r="548" customFormat="false" ht="15" hidden="false" customHeight="false" outlineLevel="0" collapsed="false">
      <c r="A548" s="19"/>
      <c r="B548" s="20" t="str">
        <f aca="false">IF($X548="","",INDEX('Per Line'!$D$2:$D$4001,$X548))</f>
        <v/>
      </c>
      <c r="C548" s="20" t="str">
        <f aca="false">IF($X548="","",INDEX('Per Line'!$C$2:$C$4001,$X548))</f>
        <v/>
      </c>
      <c r="D548" s="20" t="str">
        <f aca="false">IF($X548="","",INDEX('Per Line'!$A$2:$A$4001,$X548))</f>
        <v/>
      </c>
      <c r="E548" s="21" t="str">
        <f aca="false">IF($X548="","",INDEX('Per Line'!$F$2:$F$4001,$X548))</f>
        <v/>
      </c>
      <c r="F548" s="20" t="str">
        <f aca="false">IF($X548="","",INDEX('Per Line'!$G$2:$G$4001,$X548))</f>
        <v/>
      </c>
      <c r="G548" s="20" t="str">
        <f aca="false">IF($X548="","",INDEX('Per Line'!$I$2:$I$4001,$X548))</f>
        <v/>
      </c>
      <c r="H548" s="20" t="str">
        <f aca="false">IF($X548="","",INDEX('Per Line'!$J$2:$J$4001,$X548))</f>
        <v/>
      </c>
      <c r="I548" s="20" t="str">
        <f aca="false">IF($X548="","",INDEX('Per Line'!$K$2:$K$4001,$X548))</f>
        <v/>
      </c>
      <c r="J548" s="20" t="str">
        <f aca="false">IF($X548="","",INDEX('Per Line'!$L$2:$L$4001,$X548))</f>
        <v/>
      </c>
      <c r="K548" s="20" t="str">
        <f aca="false">IF($X548="","",INDEX('Per Line'!$M$2:$M$4001,$X548))</f>
        <v/>
      </c>
      <c r="L548" s="22" t="str">
        <f aca="false">IF($X548="","",K548*V548/100)</f>
        <v/>
      </c>
      <c r="M548" s="20" t="str">
        <f aca="false">IF($X548="","",INDEX('Per Line'!$Z$2:$Z$4001,$X548))</f>
        <v/>
      </c>
      <c r="N548" s="23" t="str">
        <f aca="false">IF($X548="","",Settings!$C$7)</f>
        <v/>
      </c>
      <c r="O548" s="22" t="str">
        <f aca="false">IF($X548="","",SUMIFS('Per Line'!$Y$2:$Y$4001,'Per Line'!$D$2:$D$4001,$B548,'Per Line'!$AJ$2:$AJ$4001,0))</f>
        <v/>
      </c>
      <c r="P548" s="22" t="str">
        <f aca="false">IF($X548="","",O548*N548)</f>
        <v/>
      </c>
      <c r="Q548" s="23" t="str">
        <f aca="false">IF($X548="","",Settings!$C$6)</f>
        <v/>
      </c>
      <c r="R548" s="22" t="str">
        <f aca="false">IF($X548="","",SUMIFS('Per Line'!$Y$2:$Y$4001,'Per Line'!$D$2:$D$4001,$B548,'Per Line'!$AJ$2:$AJ$4001,1))</f>
        <v/>
      </c>
      <c r="S548" s="22" t="str">
        <f aca="false">IF($X548="","",R548*Q548)</f>
        <v/>
      </c>
      <c r="T548" s="22" t="str">
        <f aca="false">IF($X548="","",S548+P548)</f>
        <v/>
      </c>
      <c r="U548" s="22" t="str">
        <f aca="false">IF($X548="","",V548-T548)</f>
        <v/>
      </c>
      <c r="V548" s="22" t="str">
        <f aca="false">IF($X548="","",O548+R548)</f>
        <v/>
      </c>
      <c r="W548" s="22" t="str">
        <f aca="false">IF($X548="","",U548-L548)</f>
        <v/>
      </c>
      <c r="X548" s="24" t="str">
        <f aca="false">IF(ROWS($X$2:$X548)&lt;=MAX('Per Line'!$AI$2:$AI$4001),MATCH(ROWS($X$2:$X548),'Per Line'!$AI$2:$AI$4001,0),"")</f>
        <v/>
      </c>
    </row>
    <row r="549" customFormat="false" ht="15" hidden="false" customHeight="false" outlineLevel="0" collapsed="false">
      <c r="A549" s="19"/>
      <c r="B549" s="20" t="str">
        <f aca="false">IF($X549="","",INDEX('Per Line'!$D$2:$D$4001,$X549))</f>
        <v/>
      </c>
      <c r="C549" s="20" t="str">
        <f aca="false">IF($X549="","",INDEX('Per Line'!$C$2:$C$4001,$X549))</f>
        <v/>
      </c>
      <c r="D549" s="20" t="str">
        <f aca="false">IF($X549="","",INDEX('Per Line'!$A$2:$A$4001,$X549))</f>
        <v/>
      </c>
      <c r="E549" s="21" t="str">
        <f aca="false">IF($X549="","",INDEX('Per Line'!$F$2:$F$4001,$X549))</f>
        <v/>
      </c>
      <c r="F549" s="20" t="str">
        <f aca="false">IF($X549="","",INDEX('Per Line'!$G$2:$G$4001,$X549))</f>
        <v/>
      </c>
      <c r="G549" s="20" t="str">
        <f aca="false">IF($X549="","",INDEX('Per Line'!$I$2:$I$4001,$X549))</f>
        <v/>
      </c>
      <c r="H549" s="20" t="str">
        <f aca="false">IF($X549="","",INDEX('Per Line'!$J$2:$J$4001,$X549))</f>
        <v/>
      </c>
      <c r="I549" s="20" t="str">
        <f aca="false">IF($X549="","",INDEX('Per Line'!$K$2:$K$4001,$X549))</f>
        <v/>
      </c>
      <c r="J549" s="20" t="str">
        <f aca="false">IF($X549="","",INDEX('Per Line'!$L$2:$L$4001,$X549))</f>
        <v/>
      </c>
      <c r="K549" s="20" t="str">
        <f aca="false">IF($X549="","",INDEX('Per Line'!$M$2:$M$4001,$X549))</f>
        <v/>
      </c>
      <c r="L549" s="22" t="str">
        <f aca="false">IF($X549="","",K549*V549/100)</f>
        <v/>
      </c>
      <c r="M549" s="20" t="str">
        <f aca="false">IF($X549="","",INDEX('Per Line'!$Z$2:$Z$4001,$X549))</f>
        <v/>
      </c>
      <c r="N549" s="23" t="str">
        <f aca="false">IF($X549="","",Settings!$C$7)</f>
        <v/>
      </c>
      <c r="O549" s="22" t="str">
        <f aca="false">IF($X549="","",SUMIFS('Per Line'!$Y$2:$Y$4001,'Per Line'!$D$2:$D$4001,$B549,'Per Line'!$AJ$2:$AJ$4001,0))</f>
        <v/>
      </c>
      <c r="P549" s="22" t="str">
        <f aca="false">IF($X549="","",O549*N549)</f>
        <v/>
      </c>
      <c r="Q549" s="23" t="str">
        <f aca="false">IF($X549="","",Settings!$C$6)</f>
        <v/>
      </c>
      <c r="R549" s="22" t="str">
        <f aca="false">IF($X549="","",SUMIFS('Per Line'!$Y$2:$Y$4001,'Per Line'!$D$2:$D$4001,$B549,'Per Line'!$AJ$2:$AJ$4001,1))</f>
        <v/>
      </c>
      <c r="S549" s="22" t="str">
        <f aca="false">IF($X549="","",R549*Q549)</f>
        <v/>
      </c>
      <c r="T549" s="22" t="str">
        <f aca="false">IF($X549="","",S549+P549)</f>
        <v/>
      </c>
      <c r="U549" s="22" t="str">
        <f aca="false">IF($X549="","",V549-T549)</f>
        <v/>
      </c>
      <c r="V549" s="22" t="str">
        <f aca="false">IF($X549="","",O549+R549)</f>
        <v/>
      </c>
      <c r="W549" s="22" t="str">
        <f aca="false">IF($X549="","",U549-L549)</f>
        <v/>
      </c>
      <c r="X549" s="24" t="str">
        <f aca="false">IF(ROWS($X$2:$X549)&lt;=MAX('Per Line'!$AI$2:$AI$4001),MATCH(ROWS($X$2:$X549),'Per Line'!$AI$2:$AI$4001,0),"")</f>
        <v/>
      </c>
    </row>
    <row r="550" customFormat="false" ht="15" hidden="false" customHeight="false" outlineLevel="0" collapsed="false">
      <c r="A550" s="19"/>
      <c r="B550" s="20" t="str">
        <f aca="false">IF($X550="","",INDEX('Per Line'!$D$2:$D$4001,$X550))</f>
        <v/>
      </c>
      <c r="C550" s="20" t="str">
        <f aca="false">IF($X550="","",INDEX('Per Line'!$C$2:$C$4001,$X550))</f>
        <v/>
      </c>
      <c r="D550" s="20" t="str">
        <f aca="false">IF($X550="","",INDEX('Per Line'!$A$2:$A$4001,$X550))</f>
        <v/>
      </c>
      <c r="E550" s="21" t="str">
        <f aca="false">IF($X550="","",INDEX('Per Line'!$F$2:$F$4001,$X550))</f>
        <v/>
      </c>
      <c r="F550" s="20" t="str">
        <f aca="false">IF($X550="","",INDEX('Per Line'!$G$2:$G$4001,$X550))</f>
        <v/>
      </c>
      <c r="G550" s="20" t="str">
        <f aca="false">IF($X550="","",INDEX('Per Line'!$I$2:$I$4001,$X550))</f>
        <v/>
      </c>
      <c r="H550" s="20" t="str">
        <f aca="false">IF($X550="","",INDEX('Per Line'!$J$2:$J$4001,$X550))</f>
        <v/>
      </c>
      <c r="I550" s="20" t="str">
        <f aca="false">IF($X550="","",INDEX('Per Line'!$K$2:$K$4001,$X550))</f>
        <v/>
      </c>
      <c r="J550" s="20" t="str">
        <f aca="false">IF($X550="","",INDEX('Per Line'!$L$2:$L$4001,$X550))</f>
        <v/>
      </c>
      <c r="K550" s="20" t="str">
        <f aca="false">IF($X550="","",INDEX('Per Line'!$M$2:$M$4001,$X550))</f>
        <v/>
      </c>
      <c r="L550" s="22" t="str">
        <f aca="false">IF($X550="","",K550*V550/100)</f>
        <v/>
      </c>
      <c r="M550" s="20" t="str">
        <f aca="false">IF($X550="","",INDEX('Per Line'!$Z$2:$Z$4001,$X550))</f>
        <v/>
      </c>
      <c r="N550" s="23" t="str">
        <f aca="false">IF($X550="","",Settings!$C$7)</f>
        <v/>
      </c>
      <c r="O550" s="22" t="str">
        <f aca="false">IF($X550="","",SUMIFS('Per Line'!$Y$2:$Y$4001,'Per Line'!$D$2:$D$4001,$B550,'Per Line'!$AJ$2:$AJ$4001,0))</f>
        <v/>
      </c>
      <c r="P550" s="22" t="str">
        <f aca="false">IF($X550="","",O550*N550)</f>
        <v/>
      </c>
      <c r="Q550" s="23" t="str">
        <f aca="false">IF($X550="","",Settings!$C$6)</f>
        <v/>
      </c>
      <c r="R550" s="22" t="str">
        <f aca="false">IF($X550="","",SUMIFS('Per Line'!$Y$2:$Y$4001,'Per Line'!$D$2:$D$4001,$B550,'Per Line'!$AJ$2:$AJ$4001,1))</f>
        <v/>
      </c>
      <c r="S550" s="22" t="str">
        <f aca="false">IF($X550="","",R550*Q550)</f>
        <v/>
      </c>
      <c r="T550" s="22" t="str">
        <f aca="false">IF($X550="","",S550+P550)</f>
        <v/>
      </c>
      <c r="U550" s="22" t="str">
        <f aca="false">IF($X550="","",V550-T550)</f>
        <v/>
      </c>
      <c r="V550" s="22" t="str">
        <f aca="false">IF($X550="","",O550+R550)</f>
        <v/>
      </c>
      <c r="W550" s="22" t="str">
        <f aca="false">IF($X550="","",U550-L550)</f>
        <v/>
      </c>
      <c r="X550" s="24" t="str">
        <f aca="false">IF(ROWS($X$2:$X550)&lt;=MAX('Per Line'!$AI$2:$AI$4001),MATCH(ROWS($X$2:$X550),'Per Line'!$AI$2:$AI$4001,0),"")</f>
        <v/>
      </c>
    </row>
    <row r="551" customFormat="false" ht="15" hidden="false" customHeight="false" outlineLevel="0" collapsed="false">
      <c r="A551" s="19"/>
      <c r="B551" s="20" t="str">
        <f aca="false">IF($X551="","",INDEX('Per Line'!$D$2:$D$4001,$X551))</f>
        <v/>
      </c>
      <c r="C551" s="20" t="str">
        <f aca="false">IF($X551="","",INDEX('Per Line'!$C$2:$C$4001,$X551))</f>
        <v/>
      </c>
      <c r="D551" s="20" t="str">
        <f aca="false">IF($X551="","",INDEX('Per Line'!$A$2:$A$4001,$X551))</f>
        <v/>
      </c>
      <c r="E551" s="21" t="str">
        <f aca="false">IF($X551="","",INDEX('Per Line'!$F$2:$F$4001,$X551))</f>
        <v/>
      </c>
      <c r="F551" s="20" t="str">
        <f aca="false">IF($X551="","",INDEX('Per Line'!$G$2:$G$4001,$X551))</f>
        <v/>
      </c>
      <c r="G551" s="20" t="str">
        <f aca="false">IF($X551="","",INDEX('Per Line'!$I$2:$I$4001,$X551))</f>
        <v/>
      </c>
      <c r="H551" s="20" t="str">
        <f aca="false">IF($X551="","",INDEX('Per Line'!$J$2:$J$4001,$X551))</f>
        <v/>
      </c>
      <c r="I551" s="20" t="str">
        <f aca="false">IF($X551="","",INDEX('Per Line'!$K$2:$K$4001,$X551))</f>
        <v/>
      </c>
      <c r="J551" s="20" t="str">
        <f aca="false">IF($X551="","",INDEX('Per Line'!$L$2:$L$4001,$X551))</f>
        <v/>
      </c>
      <c r="K551" s="20" t="str">
        <f aca="false">IF($X551="","",INDEX('Per Line'!$M$2:$M$4001,$X551))</f>
        <v/>
      </c>
      <c r="L551" s="22" t="str">
        <f aca="false">IF($X551="","",K551*V551/100)</f>
        <v/>
      </c>
      <c r="M551" s="20" t="str">
        <f aca="false">IF($X551="","",INDEX('Per Line'!$Z$2:$Z$4001,$X551))</f>
        <v/>
      </c>
      <c r="N551" s="23" t="str">
        <f aca="false">IF($X551="","",Settings!$C$7)</f>
        <v/>
      </c>
      <c r="O551" s="22" t="str">
        <f aca="false">IF($X551="","",SUMIFS('Per Line'!$Y$2:$Y$4001,'Per Line'!$D$2:$D$4001,$B551,'Per Line'!$AJ$2:$AJ$4001,0))</f>
        <v/>
      </c>
      <c r="P551" s="22" t="str">
        <f aca="false">IF($X551="","",O551*N551)</f>
        <v/>
      </c>
      <c r="Q551" s="23" t="str">
        <f aca="false">IF($X551="","",Settings!$C$6)</f>
        <v/>
      </c>
      <c r="R551" s="22" t="str">
        <f aca="false">IF($X551="","",SUMIFS('Per Line'!$Y$2:$Y$4001,'Per Line'!$D$2:$D$4001,$B551,'Per Line'!$AJ$2:$AJ$4001,1))</f>
        <v/>
      </c>
      <c r="S551" s="22" t="str">
        <f aca="false">IF($X551="","",R551*Q551)</f>
        <v/>
      </c>
      <c r="T551" s="22" t="str">
        <f aca="false">IF($X551="","",S551+P551)</f>
        <v/>
      </c>
      <c r="U551" s="22" t="str">
        <f aca="false">IF($X551="","",V551-T551)</f>
        <v/>
      </c>
      <c r="V551" s="22" t="str">
        <f aca="false">IF($X551="","",O551+R551)</f>
        <v/>
      </c>
      <c r="W551" s="22" t="str">
        <f aca="false">IF($X551="","",U551-L551)</f>
        <v/>
      </c>
      <c r="X551" s="24" t="str">
        <f aca="false">IF(ROWS($X$2:$X551)&lt;=MAX('Per Line'!$AI$2:$AI$4001),MATCH(ROWS($X$2:$X551),'Per Line'!$AI$2:$AI$4001,0),"")</f>
        <v/>
      </c>
    </row>
    <row r="552" customFormat="false" ht="15" hidden="false" customHeight="false" outlineLevel="0" collapsed="false">
      <c r="A552" s="19"/>
      <c r="B552" s="20" t="str">
        <f aca="false">IF($X552="","",INDEX('Per Line'!$D$2:$D$4001,$X552))</f>
        <v/>
      </c>
      <c r="C552" s="20" t="str">
        <f aca="false">IF($X552="","",INDEX('Per Line'!$C$2:$C$4001,$X552))</f>
        <v/>
      </c>
      <c r="D552" s="20" t="str">
        <f aca="false">IF($X552="","",INDEX('Per Line'!$A$2:$A$4001,$X552))</f>
        <v/>
      </c>
      <c r="E552" s="21" t="str">
        <f aca="false">IF($X552="","",INDEX('Per Line'!$F$2:$F$4001,$X552))</f>
        <v/>
      </c>
      <c r="F552" s="20" t="str">
        <f aca="false">IF($X552="","",INDEX('Per Line'!$G$2:$G$4001,$X552))</f>
        <v/>
      </c>
      <c r="G552" s="20" t="str">
        <f aca="false">IF($X552="","",INDEX('Per Line'!$I$2:$I$4001,$X552))</f>
        <v/>
      </c>
      <c r="H552" s="20" t="str">
        <f aca="false">IF($X552="","",INDEX('Per Line'!$J$2:$J$4001,$X552))</f>
        <v/>
      </c>
      <c r="I552" s="20" t="str">
        <f aca="false">IF($X552="","",INDEX('Per Line'!$K$2:$K$4001,$X552))</f>
        <v/>
      </c>
      <c r="J552" s="20" t="str">
        <f aca="false">IF($X552="","",INDEX('Per Line'!$L$2:$L$4001,$X552))</f>
        <v/>
      </c>
      <c r="K552" s="20" t="str">
        <f aca="false">IF($X552="","",INDEX('Per Line'!$M$2:$M$4001,$X552))</f>
        <v/>
      </c>
      <c r="L552" s="22" t="str">
        <f aca="false">IF($X552="","",K552*V552/100)</f>
        <v/>
      </c>
      <c r="M552" s="20" t="str">
        <f aca="false">IF($X552="","",INDEX('Per Line'!$Z$2:$Z$4001,$X552))</f>
        <v/>
      </c>
      <c r="N552" s="23" t="str">
        <f aca="false">IF($X552="","",Settings!$C$7)</f>
        <v/>
      </c>
      <c r="O552" s="22" t="str">
        <f aca="false">IF($X552="","",SUMIFS('Per Line'!$Y$2:$Y$4001,'Per Line'!$D$2:$D$4001,$B552,'Per Line'!$AJ$2:$AJ$4001,0))</f>
        <v/>
      </c>
      <c r="P552" s="22" t="str">
        <f aca="false">IF($X552="","",O552*N552)</f>
        <v/>
      </c>
      <c r="Q552" s="23" t="str">
        <f aca="false">IF($X552="","",Settings!$C$6)</f>
        <v/>
      </c>
      <c r="R552" s="22" t="str">
        <f aca="false">IF($X552="","",SUMIFS('Per Line'!$Y$2:$Y$4001,'Per Line'!$D$2:$D$4001,$B552,'Per Line'!$AJ$2:$AJ$4001,1))</f>
        <v/>
      </c>
      <c r="S552" s="22" t="str">
        <f aca="false">IF($X552="","",R552*Q552)</f>
        <v/>
      </c>
      <c r="T552" s="22" t="str">
        <f aca="false">IF($X552="","",S552+P552)</f>
        <v/>
      </c>
      <c r="U552" s="22" t="str">
        <f aca="false">IF($X552="","",V552-T552)</f>
        <v/>
      </c>
      <c r="V552" s="22" t="str">
        <f aca="false">IF($X552="","",O552+R552)</f>
        <v/>
      </c>
      <c r="W552" s="22" t="str">
        <f aca="false">IF($X552="","",U552-L552)</f>
        <v/>
      </c>
      <c r="X552" s="24" t="str">
        <f aca="false">IF(ROWS($X$2:$X552)&lt;=MAX('Per Line'!$AI$2:$AI$4001),MATCH(ROWS($X$2:$X552),'Per Line'!$AI$2:$AI$4001,0),"")</f>
        <v/>
      </c>
    </row>
    <row r="553" customFormat="false" ht="15" hidden="false" customHeight="false" outlineLevel="0" collapsed="false">
      <c r="A553" s="19"/>
      <c r="B553" s="20" t="str">
        <f aca="false">IF($X553="","",INDEX('Per Line'!$D$2:$D$4001,$X553))</f>
        <v/>
      </c>
      <c r="C553" s="20" t="str">
        <f aca="false">IF($X553="","",INDEX('Per Line'!$C$2:$C$4001,$X553))</f>
        <v/>
      </c>
      <c r="D553" s="20" t="str">
        <f aca="false">IF($X553="","",INDEX('Per Line'!$A$2:$A$4001,$X553))</f>
        <v/>
      </c>
      <c r="E553" s="21" t="str">
        <f aca="false">IF($X553="","",INDEX('Per Line'!$F$2:$F$4001,$X553))</f>
        <v/>
      </c>
      <c r="F553" s="20" t="str">
        <f aca="false">IF($X553="","",INDEX('Per Line'!$G$2:$G$4001,$X553))</f>
        <v/>
      </c>
      <c r="G553" s="20" t="str">
        <f aca="false">IF($X553="","",INDEX('Per Line'!$I$2:$I$4001,$X553))</f>
        <v/>
      </c>
      <c r="H553" s="20" t="str">
        <f aca="false">IF($X553="","",INDEX('Per Line'!$J$2:$J$4001,$X553))</f>
        <v/>
      </c>
      <c r="I553" s="20" t="str">
        <f aca="false">IF($X553="","",INDEX('Per Line'!$K$2:$K$4001,$X553))</f>
        <v/>
      </c>
      <c r="J553" s="20" t="str">
        <f aca="false">IF($X553="","",INDEX('Per Line'!$L$2:$L$4001,$X553))</f>
        <v/>
      </c>
      <c r="K553" s="20" t="str">
        <f aca="false">IF($X553="","",INDEX('Per Line'!$M$2:$M$4001,$X553))</f>
        <v/>
      </c>
      <c r="L553" s="22" t="str">
        <f aca="false">IF($X553="","",K553*V553/100)</f>
        <v/>
      </c>
      <c r="M553" s="20" t="str">
        <f aca="false">IF($X553="","",INDEX('Per Line'!$Z$2:$Z$4001,$X553))</f>
        <v/>
      </c>
      <c r="N553" s="23" t="str">
        <f aca="false">IF($X553="","",Settings!$C$7)</f>
        <v/>
      </c>
      <c r="O553" s="22" t="str">
        <f aca="false">IF($X553="","",SUMIFS('Per Line'!$Y$2:$Y$4001,'Per Line'!$D$2:$D$4001,$B553,'Per Line'!$AJ$2:$AJ$4001,0))</f>
        <v/>
      </c>
      <c r="P553" s="22" t="str">
        <f aca="false">IF($X553="","",O553*N553)</f>
        <v/>
      </c>
      <c r="Q553" s="23" t="str">
        <f aca="false">IF($X553="","",Settings!$C$6)</f>
        <v/>
      </c>
      <c r="R553" s="22" t="str">
        <f aca="false">IF($X553="","",SUMIFS('Per Line'!$Y$2:$Y$4001,'Per Line'!$D$2:$D$4001,$B553,'Per Line'!$AJ$2:$AJ$4001,1))</f>
        <v/>
      </c>
      <c r="S553" s="22" t="str">
        <f aca="false">IF($X553="","",R553*Q553)</f>
        <v/>
      </c>
      <c r="T553" s="22" t="str">
        <f aca="false">IF($X553="","",S553+P553)</f>
        <v/>
      </c>
      <c r="U553" s="22" t="str">
        <f aca="false">IF($X553="","",V553-T553)</f>
        <v/>
      </c>
      <c r="V553" s="22" t="str">
        <f aca="false">IF($X553="","",O553+R553)</f>
        <v/>
      </c>
      <c r="W553" s="22" t="str">
        <f aca="false">IF($X553="","",U553-L553)</f>
        <v/>
      </c>
      <c r="X553" s="24" t="str">
        <f aca="false">IF(ROWS($X$2:$X553)&lt;=MAX('Per Line'!$AI$2:$AI$4001),MATCH(ROWS($X$2:$X553),'Per Line'!$AI$2:$AI$4001,0),"")</f>
        <v/>
      </c>
    </row>
    <row r="554" customFormat="false" ht="15" hidden="false" customHeight="false" outlineLevel="0" collapsed="false">
      <c r="A554" s="19"/>
      <c r="B554" s="20" t="str">
        <f aca="false">IF($X554="","",INDEX('Per Line'!$D$2:$D$4001,$X554))</f>
        <v/>
      </c>
      <c r="C554" s="20" t="str">
        <f aca="false">IF($X554="","",INDEX('Per Line'!$C$2:$C$4001,$X554))</f>
        <v/>
      </c>
      <c r="D554" s="20" t="str">
        <f aca="false">IF($X554="","",INDEX('Per Line'!$A$2:$A$4001,$X554))</f>
        <v/>
      </c>
      <c r="E554" s="21" t="str">
        <f aca="false">IF($X554="","",INDEX('Per Line'!$F$2:$F$4001,$X554))</f>
        <v/>
      </c>
      <c r="F554" s="20" t="str">
        <f aca="false">IF($X554="","",INDEX('Per Line'!$G$2:$G$4001,$X554))</f>
        <v/>
      </c>
      <c r="G554" s="20" t="str">
        <f aca="false">IF($X554="","",INDEX('Per Line'!$I$2:$I$4001,$X554))</f>
        <v/>
      </c>
      <c r="H554" s="20" t="str">
        <f aca="false">IF($X554="","",INDEX('Per Line'!$J$2:$J$4001,$X554))</f>
        <v/>
      </c>
      <c r="I554" s="20" t="str">
        <f aca="false">IF($X554="","",INDEX('Per Line'!$K$2:$K$4001,$X554))</f>
        <v/>
      </c>
      <c r="J554" s="20" t="str">
        <f aca="false">IF($X554="","",INDEX('Per Line'!$L$2:$L$4001,$X554))</f>
        <v/>
      </c>
      <c r="K554" s="20" t="str">
        <f aca="false">IF($X554="","",INDEX('Per Line'!$M$2:$M$4001,$X554))</f>
        <v/>
      </c>
      <c r="L554" s="22" t="str">
        <f aca="false">IF($X554="","",K554*V554/100)</f>
        <v/>
      </c>
      <c r="M554" s="20" t="str">
        <f aca="false">IF($X554="","",INDEX('Per Line'!$Z$2:$Z$4001,$X554))</f>
        <v/>
      </c>
      <c r="N554" s="23" t="str">
        <f aca="false">IF($X554="","",Settings!$C$7)</f>
        <v/>
      </c>
      <c r="O554" s="22" t="str">
        <f aca="false">IF($X554="","",SUMIFS('Per Line'!$Y$2:$Y$4001,'Per Line'!$D$2:$D$4001,$B554,'Per Line'!$AJ$2:$AJ$4001,0))</f>
        <v/>
      </c>
      <c r="P554" s="22" t="str">
        <f aca="false">IF($X554="","",O554*N554)</f>
        <v/>
      </c>
      <c r="Q554" s="23" t="str">
        <f aca="false">IF($X554="","",Settings!$C$6)</f>
        <v/>
      </c>
      <c r="R554" s="22" t="str">
        <f aca="false">IF($X554="","",SUMIFS('Per Line'!$Y$2:$Y$4001,'Per Line'!$D$2:$D$4001,$B554,'Per Line'!$AJ$2:$AJ$4001,1))</f>
        <v/>
      </c>
      <c r="S554" s="22" t="str">
        <f aca="false">IF($X554="","",R554*Q554)</f>
        <v/>
      </c>
      <c r="T554" s="22" t="str">
        <f aca="false">IF($X554="","",S554+P554)</f>
        <v/>
      </c>
      <c r="U554" s="22" t="str">
        <f aca="false">IF($X554="","",V554-T554)</f>
        <v/>
      </c>
      <c r="V554" s="22" t="str">
        <f aca="false">IF($X554="","",O554+R554)</f>
        <v/>
      </c>
      <c r="W554" s="22" t="str">
        <f aca="false">IF($X554="","",U554-L554)</f>
        <v/>
      </c>
      <c r="X554" s="24" t="str">
        <f aca="false">IF(ROWS($X$2:$X554)&lt;=MAX('Per Line'!$AI$2:$AI$4001),MATCH(ROWS($X$2:$X554),'Per Line'!$AI$2:$AI$4001,0),"")</f>
        <v/>
      </c>
    </row>
    <row r="555" customFormat="false" ht="15" hidden="false" customHeight="false" outlineLevel="0" collapsed="false">
      <c r="A555" s="19"/>
      <c r="B555" s="20" t="str">
        <f aca="false">IF($X555="","",INDEX('Per Line'!$D$2:$D$4001,$X555))</f>
        <v/>
      </c>
      <c r="C555" s="20" t="str">
        <f aca="false">IF($X555="","",INDEX('Per Line'!$C$2:$C$4001,$X555))</f>
        <v/>
      </c>
      <c r="D555" s="20" t="str">
        <f aca="false">IF($X555="","",INDEX('Per Line'!$A$2:$A$4001,$X555))</f>
        <v/>
      </c>
      <c r="E555" s="21" t="str">
        <f aca="false">IF($X555="","",INDEX('Per Line'!$F$2:$F$4001,$X555))</f>
        <v/>
      </c>
      <c r="F555" s="20" t="str">
        <f aca="false">IF($X555="","",INDEX('Per Line'!$G$2:$G$4001,$X555))</f>
        <v/>
      </c>
      <c r="G555" s="20" t="str">
        <f aca="false">IF($X555="","",INDEX('Per Line'!$I$2:$I$4001,$X555))</f>
        <v/>
      </c>
      <c r="H555" s="20" t="str">
        <f aca="false">IF($X555="","",INDEX('Per Line'!$J$2:$J$4001,$X555))</f>
        <v/>
      </c>
      <c r="I555" s="20" t="str">
        <f aca="false">IF($X555="","",INDEX('Per Line'!$K$2:$K$4001,$X555))</f>
        <v/>
      </c>
      <c r="J555" s="20" t="str">
        <f aca="false">IF($X555="","",INDEX('Per Line'!$L$2:$L$4001,$X555))</f>
        <v/>
      </c>
      <c r="K555" s="20" t="str">
        <f aca="false">IF($X555="","",INDEX('Per Line'!$M$2:$M$4001,$X555))</f>
        <v/>
      </c>
      <c r="L555" s="22" t="str">
        <f aca="false">IF($X555="","",K555*V555/100)</f>
        <v/>
      </c>
      <c r="M555" s="20" t="str">
        <f aca="false">IF($X555="","",INDEX('Per Line'!$Z$2:$Z$4001,$X555))</f>
        <v/>
      </c>
      <c r="N555" s="23" t="str">
        <f aca="false">IF($X555="","",Settings!$C$7)</f>
        <v/>
      </c>
      <c r="O555" s="22" t="str">
        <f aca="false">IF($X555="","",SUMIFS('Per Line'!$Y$2:$Y$4001,'Per Line'!$D$2:$D$4001,$B555,'Per Line'!$AJ$2:$AJ$4001,0))</f>
        <v/>
      </c>
      <c r="P555" s="22" t="str">
        <f aca="false">IF($X555="","",O555*N555)</f>
        <v/>
      </c>
      <c r="Q555" s="23" t="str">
        <f aca="false">IF($X555="","",Settings!$C$6)</f>
        <v/>
      </c>
      <c r="R555" s="22" t="str">
        <f aca="false">IF($X555="","",SUMIFS('Per Line'!$Y$2:$Y$4001,'Per Line'!$D$2:$D$4001,$B555,'Per Line'!$AJ$2:$AJ$4001,1))</f>
        <v/>
      </c>
      <c r="S555" s="22" t="str">
        <f aca="false">IF($X555="","",R555*Q555)</f>
        <v/>
      </c>
      <c r="T555" s="22" t="str">
        <f aca="false">IF($X555="","",S555+P555)</f>
        <v/>
      </c>
      <c r="U555" s="22" t="str">
        <f aca="false">IF($X555="","",V555-T555)</f>
        <v/>
      </c>
      <c r="V555" s="22" t="str">
        <f aca="false">IF($X555="","",O555+R555)</f>
        <v/>
      </c>
      <c r="W555" s="22" t="str">
        <f aca="false">IF($X555="","",U555-L555)</f>
        <v/>
      </c>
      <c r="X555" s="24" t="str">
        <f aca="false">IF(ROWS($X$2:$X555)&lt;=MAX('Per Line'!$AI$2:$AI$4001),MATCH(ROWS($X$2:$X555),'Per Line'!$AI$2:$AI$4001,0),"")</f>
        <v/>
      </c>
    </row>
    <row r="556" customFormat="false" ht="15" hidden="false" customHeight="false" outlineLevel="0" collapsed="false">
      <c r="A556" s="19"/>
      <c r="B556" s="20" t="str">
        <f aca="false">IF($X556="","",INDEX('Per Line'!$D$2:$D$4001,$X556))</f>
        <v/>
      </c>
      <c r="C556" s="20" t="str">
        <f aca="false">IF($X556="","",INDEX('Per Line'!$C$2:$C$4001,$X556))</f>
        <v/>
      </c>
      <c r="D556" s="20" t="str">
        <f aca="false">IF($X556="","",INDEX('Per Line'!$A$2:$A$4001,$X556))</f>
        <v/>
      </c>
      <c r="E556" s="21" t="str">
        <f aca="false">IF($X556="","",INDEX('Per Line'!$F$2:$F$4001,$X556))</f>
        <v/>
      </c>
      <c r="F556" s="20" t="str">
        <f aca="false">IF($X556="","",INDEX('Per Line'!$G$2:$G$4001,$X556))</f>
        <v/>
      </c>
      <c r="G556" s="20" t="str">
        <f aca="false">IF($X556="","",INDEX('Per Line'!$I$2:$I$4001,$X556))</f>
        <v/>
      </c>
      <c r="H556" s="20" t="str">
        <f aca="false">IF($X556="","",INDEX('Per Line'!$J$2:$J$4001,$X556))</f>
        <v/>
      </c>
      <c r="I556" s="20" t="str">
        <f aca="false">IF($X556="","",INDEX('Per Line'!$K$2:$K$4001,$X556))</f>
        <v/>
      </c>
      <c r="J556" s="20" t="str">
        <f aca="false">IF($X556="","",INDEX('Per Line'!$L$2:$L$4001,$X556))</f>
        <v/>
      </c>
      <c r="K556" s="20" t="str">
        <f aca="false">IF($X556="","",INDEX('Per Line'!$M$2:$M$4001,$X556))</f>
        <v/>
      </c>
      <c r="L556" s="22" t="str">
        <f aca="false">IF($X556="","",K556*V556/100)</f>
        <v/>
      </c>
      <c r="M556" s="20" t="str">
        <f aca="false">IF($X556="","",INDEX('Per Line'!$Z$2:$Z$4001,$X556))</f>
        <v/>
      </c>
      <c r="N556" s="23" t="str">
        <f aca="false">IF($X556="","",Settings!$C$7)</f>
        <v/>
      </c>
      <c r="O556" s="22" t="str">
        <f aca="false">IF($X556="","",SUMIFS('Per Line'!$Y$2:$Y$4001,'Per Line'!$D$2:$D$4001,$B556,'Per Line'!$AJ$2:$AJ$4001,0))</f>
        <v/>
      </c>
      <c r="P556" s="22" t="str">
        <f aca="false">IF($X556="","",O556*N556)</f>
        <v/>
      </c>
      <c r="Q556" s="23" t="str">
        <f aca="false">IF($X556="","",Settings!$C$6)</f>
        <v/>
      </c>
      <c r="R556" s="22" t="str">
        <f aca="false">IF($X556="","",SUMIFS('Per Line'!$Y$2:$Y$4001,'Per Line'!$D$2:$D$4001,$B556,'Per Line'!$AJ$2:$AJ$4001,1))</f>
        <v/>
      </c>
      <c r="S556" s="22" t="str">
        <f aca="false">IF($X556="","",R556*Q556)</f>
        <v/>
      </c>
      <c r="T556" s="22" t="str">
        <f aca="false">IF($X556="","",S556+P556)</f>
        <v/>
      </c>
      <c r="U556" s="22" t="str">
        <f aca="false">IF($X556="","",V556-T556)</f>
        <v/>
      </c>
      <c r="V556" s="22" t="str">
        <f aca="false">IF($X556="","",O556+R556)</f>
        <v/>
      </c>
      <c r="W556" s="22" t="str">
        <f aca="false">IF($X556="","",U556-L556)</f>
        <v/>
      </c>
      <c r="X556" s="24" t="str">
        <f aca="false">IF(ROWS($X$2:$X556)&lt;=MAX('Per Line'!$AI$2:$AI$4001),MATCH(ROWS($X$2:$X556),'Per Line'!$AI$2:$AI$4001,0),"")</f>
        <v/>
      </c>
    </row>
    <row r="557" customFormat="false" ht="15" hidden="false" customHeight="false" outlineLevel="0" collapsed="false">
      <c r="A557" s="19"/>
      <c r="B557" s="20" t="str">
        <f aca="false">IF($X557="","",INDEX('Per Line'!$D$2:$D$4001,$X557))</f>
        <v/>
      </c>
      <c r="C557" s="20" t="str">
        <f aca="false">IF($X557="","",INDEX('Per Line'!$C$2:$C$4001,$X557))</f>
        <v/>
      </c>
      <c r="D557" s="20" t="str">
        <f aca="false">IF($X557="","",INDEX('Per Line'!$A$2:$A$4001,$X557))</f>
        <v/>
      </c>
      <c r="E557" s="21" t="str">
        <f aca="false">IF($X557="","",INDEX('Per Line'!$F$2:$F$4001,$X557))</f>
        <v/>
      </c>
      <c r="F557" s="20" t="str">
        <f aca="false">IF($X557="","",INDEX('Per Line'!$G$2:$G$4001,$X557))</f>
        <v/>
      </c>
      <c r="G557" s="20" t="str">
        <f aca="false">IF($X557="","",INDEX('Per Line'!$I$2:$I$4001,$X557))</f>
        <v/>
      </c>
      <c r="H557" s="20" t="str">
        <f aca="false">IF($X557="","",INDEX('Per Line'!$J$2:$J$4001,$X557))</f>
        <v/>
      </c>
      <c r="I557" s="20" t="str">
        <f aca="false">IF($X557="","",INDEX('Per Line'!$K$2:$K$4001,$X557))</f>
        <v/>
      </c>
      <c r="J557" s="20" t="str">
        <f aca="false">IF($X557="","",INDEX('Per Line'!$L$2:$L$4001,$X557))</f>
        <v/>
      </c>
      <c r="K557" s="20" t="str">
        <f aca="false">IF($X557="","",INDEX('Per Line'!$M$2:$M$4001,$X557))</f>
        <v/>
      </c>
      <c r="L557" s="22" t="str">
        <f aca="false">IF($X557="","",K557*V557/100)</f>
        <v/>
      </c>
      <c r="M557" s="20" t="str">
        <f aca="false">IF($X557="","",INDEX('Per Line'!$Z$2:$Z$4001,$X557))</f>
        <v/>
      </c>
      <c r="N557" s="23" t="str">
        <f aca="false">IF($X557="","",Settings!$C$7)</f>
        <v/>
      </c>
      <c r="O557" s="22" t="str">
        <f aca="false">IF($X557="","",SUMIFS('Per Line'!$Y$2:$Y$4001,'Per Line'!$D$2:$D$4001,$B557,'Per Line'!$AJ$2:$AJ$4001,0))</f>
        <v/>
      </c>
      <c r="P557" s="22" t="str">
        <f aca="false">IF($X557="","",O557*N557)</f>
        <v/>
      </c>
      <c r="Q557" s="23" t="str">
        <f aca="false">IF($X557="","",Settings!$C$6)</f>
        <v/>
      </c>
      <c r="R557" s="22" t="str">
        <f aca="false">IF($X557="","",SUMIFS('Per Line'!$Y$2:$Y$4001,'Per Line'!$D$2:$D$4001,$B557,'Per Line'!$AJ$2:$AJ$4001,1))</f>
        <v/>
      </c>
      <c r="S557" s="22" t="str">
        <f aca="false">IF($X557="","",R557*Q557)</f>
        <v/>
      </c>
      <c r="T557" s="22" t="str">
        <f aca="false">IF($X557="","",S557+P557)</f>
        <v/>
      </c>
      <c r="U557" s="22" t="str">
        <f aca="false">IF($X557="","",V557-T557)</f>
        <v/>
      </c>
      <c r="V557" s="22" t="str">
        <f aca="false">IF($X557="","",O557+R557)</f>
        <v/>
      </c>
      <c r="W557" s="22" t="str">
        <f aca="false">IF($X557="","",U557-L557)</f>
        <v/>
      </c>
      <c r="X557" s="24" t="str">
        <f aca="false">IF(ROWS($X$2:$X557)&lt;=MAX('Per Line'!$AI$2:$AI$4001),MATCH(ROWS($X$2:$X557),'Per Line'!$AI$2:$AI$4001,0),"")</f>
        <v/>
      </c>
    </row>
    <row r="558" customFormat="false" ht="15" hidden="false" customHeight="false" outlineLevel="0" collapsed="false">
      <c r="A558" s="19"/>
      <c r="B558" s="20" t="str">
        <f aca="false">IF($X558="","",INDEX('Per Line'!$D$2:$D$4001,$X558))</f>
        <v/>
      </c>
      <c r="C558" s="20" t="str">
        <f aca="false">IF($X558="","",INDEX('Per Line'!$C$2:$C$4001,$X558))</f>
        <v/>
      </c>
      <c r="D558" s="20" t="str">
        <f aca="false">IF($X558="","",INDEX('Per Line'!$A$2:$A$4001,$X558))</f>
        <v/>
      </c>
      <c r="E558" s="21" t="str">
        <f aca="false">IF($X558="","",INDEX('Per Line'!$F$2:$F$4001,$X558))</f>
        <v/>
      </c>
      <c r="F558" s="20" t="str">
        <f aca="false">IF($X558="","",INDEX('Per Line'!$G$2:$G$4001,$X558))</f>
        <v/>
      </c>
      <c r="G558" s="20" t="str">
        <f aca="false">IF($X558="","",INDEX('Per Line'!$I$2:$I$4001,$X558))</f>
        <v/>
      </c>
      <c r="H558" s="20" t="str">
        <f aca="false">IF($X558="","",INDEX('Per Line'!$J$2:$J$4001,$X558))</f>
        <v/>
      </c>
      <c r="I558" s="20" t="str">
        <f aca="false">IF($X558="","",INDEX('Per Line'!$K$2:$K$4001,$X558))</f>
        <v/>
      </c>
      <c r="J558" s="20" t="str">
        <f aca="false">IF($X558="","",INDEX('Per Line'!$L$2:$L$4001,$X558))</f>
        <v/>
      </c>
      <c r="K558" s="20" t="str">
        <f aca="false">IF($X558="","",INDEX('Per Line'!$M$2:$M$4001,$X558))</f>
        <v/>
      </c>
      <c r="L558" s="22" t="str">
        <f aca="false">IF($X558="","",K558*V558/100)</f>
        <v/>
      </c>
      <c r="M558" s="20" t="str">
        <f aca="false">IF($X558="","",INDEX('Per Line'!$Z$2:$Z$4001,$X558))</f>
        <v/>
      </c>
      <c r="N558" s="23" t="str">
        <f aca="false">IF($X558="","",Settings!$C$7)</f>
        <v/>
      </c>
      <c r="O558" s="22" t="str">
        <f aca="false">IF($X558="","",SUMIFS('Per Line'!$Y$2:$Y$4001,'Per Line'!$D$2:$D$4001,$B558,'Per Line'!$AJ$2:$AJ$4001,0))</f>
        <v/>
      </c>
      <c r="P558" s="22" t="str">
        <f aca="false">IF($X558="","",O558*N558)</f>
        <v/>
      </c>
      <c r="Q558" s="23" t="str">
        <f aca="false">IF($X558="","",Settings!$C$6)</f>
        <v/>
      </c>
      <c r="R558" s="22" t="str">
        <f aca="false">IF($X558="","",SUMIFS('Per Line'!$Y$2:$Y$4001,'Per Line'!$D$2:$D$4001,$B558,'Per Line'!$AJ$2:$AJ$4001,1))</f>
        <v/>
      </c>
      <c r="S558" s="22" t="str">
        <f aca="false">IF($X558="","",R558*Q558)</f>
        <v/>
      </c>
      <c r="T558" s="22" t="str">
        <f aca="false">IF($X558="","",S558+P558)</f>
        <v/>
      </c>
      <c r="U558" s="22" t="str">
        <f aca="false">IF($X558="","",V558-T558)</f>
        <v/>
      </c>
      <c r="V558" s="22" t="str">
        <f aca="false">IF($X558="","",O558+R558)</f>
        <v/>
      </c>
      <c r="W558" s="22" t="str">
        <f aca="false">IF($X558="","",U558-L558)</f>
        <v/>
      </c>
      <c r="X558" s="24" t="str">
        <f aca="false">IF(ROWS($X$2:$X558)&lt;=MAX('Per Line'!$AI$2:$AI$4001),MATCH(ROWS($X$2:$X558),'Per Line'!$AI$2:$AI$4001,0),"")</f>
        <v/>
      </c>
    </row>
    <row r="559" customFormat="false" ht="15" hidden="false" customHeight="false" outlineLevel="0" collapsed="false">
      <c r="A559" s="19"/>
      <c r="B559" s="20" t="str">
        <f aca="false">IF($X559="","",INDEX('Per Line'!$D$2:$D$4001,$X559))</f>
        <v/>
      </c>
      <c r="C559" s="20" t="str">
        <f aca="false">IF($X559="","",INDEX('Per Line'!$C$2:$C$4001,$X559))</f>
        <v/>
      </c>
      <c r="D559" s="20" t="str">
        <f aca="false">IF($X559="","",INDEX('Per Line'!$A$2:$A$4001,$X559))</f>
        <v/>
      </c>
      <c r="E559" s="21" t="str">
        <f aca="false">IF($X559="","",INDEX('Per Line'!$F$2:$F$4001,$X559))</f>
        <v/>
      </c>
      <c r="F559" s="20" t="str">
        <f aca="false">IF($X559="","",INDEX('Per Line'!$G$2:$G$4001,$X559))</f>
        <v/>
      </c>
      <c r="G559" s="20" t="str">
        <f aca="false">IF($X559="","",INDEX('Per Line'!$I$2:$I$4001,$X559))</f>
        <v/>
      </c>
      <c r="H559" s="20" t="str">
        <f aca="false">IF($X559="","",INDEX('Per Line'!$J$2:$J$4001,$X559))</f>
        <v/>
      </c>
      <c r="I559" s="20" t="str">
        <f aca="false">IF($X559="","",INDEX('Per Line'!$K$2:$K$4001,$X559))</f>
        <v/>
      </c>
      <c r="J559" s="20" t="str">
        <f aca="false">IF($X559="","",INDEX('Per Line'!$L$2:$L$4001,$X559))</f>
        <v/>
      </c>
      <c r="K559" s="20" t="str">
        <f aca="false">IF($X559="","",INDEX('Per Line'!$M$2:$M$4001,$X559))</f>
        <v/>
      </c>
      <c r="L559" s="22" t="str">
        <f aca="false">IF($X559="","",K559*V559/100)</f>
        <v/>
      </c>
      <c r="M559" s="20" t="str">
        <f aca="false">IF($X559="","",INDEX('Per Line'!$Z$2:$Z$4001,$X559))</f>
        <v/>
      </c>
      <c r="N559" s="23" t="str">
        <f aca="false">IF($X559="","",Settings!$C$7)</f>
        <v/>
      </c>
      <c r="O559" s="22" t="str">
        <f aca="false">IF($X559="","",SUMIFS('Per Line'!$Y$2:$Y$4001,'Per Line'!$D$2:$D$4001,$B559,'Per Line'!$AJ$2:$AJ$4001,0))</f>
        <v/>
      </c>
      <c r="P559" s="22" t="str">
        <f aca="false">IF($X559="","",O559*N559)</f>
        <v/>
      </c>
      <c r="Q559" s="23" t="str">
        <f aca="false">IF($X559="","",Settings!$C$6)</f>
        <v/>
      </c>
      <c r="R559" s="22" t="str">
        <f aca="false">IF($X559="","",SUMIFS('Per Line'!$Y$2:$Y$4001,'Per Line'!$D$2:$D$4001,$B559,'Per Line'!$AJ$2:$AJ$4001,1))</f>
        <v/>
      </c>
      <c r="S559" s="22" t="str">
        <f aca="false">IF($X559="","",R559*Q559)</f>
        <v/>
      </c>
      <c r="T559" s="22" t="str">
        <f aca="false">IF($X559="","",S559+P559)</f>
        <v/>
      </c>
      <c r="U559" s="22" t="str">
        <f aca="false">IF($X559="","",V559-T559)</f>
        <v/>
      </c>
      <c r="V559" s="22" t="str">
        <f aca="false">IF($X559="","",O559+R559)</f>
        <v/>
      </c>
      <c r="W559" s="22" t="str">
        <f aca="false">IF($X559="","",U559-L559)</f>
        <v/>
      </c>
      <c r="X559" s="24" t="str">
        <f aca="false">IF(ROWS($X$2:$X559)&lt;=MAX('Per Line'!$AI$2:$AI$4001),MATCH(ROWS($X$2:$X559),'Per Line'!$AI$2:$AI$4001,0),"")</f>
        <v/>
      </c>
    </row>
    <row r="560" customFormat="false" ht="15" hidden="false" customHeight="false" outlineLevel="0" collapsed="false">
      <c r="A560" s="19"/>
      <c r="B560" s="20" t="str">
        <f aca="false">IF($X560="","",INDEX('Per Line'!$D$2:$D$4001,$X560))</f>
        <v/>
      </c>
      <c r="C560" s="20" t="str">
        <f aca="false">IF($X560="","",INDEX('Per Line'!$C$2:$C$4001,$X560))</f>
        <v/>
      </c>
      <c r="D560" s="20" t="str">
        <f aca="false">IF($X560="","",INDEX('Per Line'!$A$2:$A$4001,$X560))</f>
        <v/>
      </c>
      <c r="E560" s="21" t="str">
        <f aca="false">IF($X560="","",INDEX('Per Line'!$F$2:$F$4001,$X560))</f>
        <v/>
      </c>
      <c r="F560" s="20" t="str">
        <f aca="false">IF($X560="","",INDEX('Per Line'!$G$2:$G$4001,$X560))</f>
        <v/>
      </c>
      <c r="G560" s="20" t="str">
        <f aca="false">IF($X560="","",INDEX('Per Line'!$I$2:$I$4001,$X560))</f>
        <v/>
      </c>
      <c r="H560" s="20" t="str">
        <f aca="false">IF($X560="","",INDEX('Per Line'!$J$2:$J$4001,$X560))</f>
        <v/>
      </c>
      <c r="I560" s="20" t="str">
        <f aca="false">IF($X560="","",INDEX('Per Line'!$K$2:$K$4001,$X560))</f>
        <v/>
      </c>
      <c r="J560" s="20" t="str">
        <f aca="false">IF($X560="","",INDEX('Per Line'!$L$2:$L$4001,$X560))</f>
        <v/>
      </c>
      <c r="K560" s="20" t="str">
        <f aca="false">IF($X560="","",INDEX('Per Line'!$M$2:$M$4001,$X560))</f>
        <v/>
      </c>
      <c r="L560" s="22" t="str">
        <f aca="false">IF($X560="","",K560*V560/100)</f>
        <v/>
      </c>
      <c r="M560" s="20" t="str">
        <f aca="false">IF($X560="","",INDEX('Per Line'!$Z$2:$Z$4001,$X560))</f>
        <v/>
      </c>
      <c r="N560" s="23" t="str">
        <f aca="false">IF($X560="","",Settings!$C$7)</f>
        <v/>
      </c>
      <c r="O560" s="22" t="str">
        <f aca="false">IF($X560="","",SUMIFS('Per Line'!$Y$2:$Y$4001,'Per Line'!$D$2:$D$4001,$B560,'Per Line'!$AJ$2:$AJ$4001,0))</f>
        <v/>
      </c>
      <c r="P560" s="22" t="str">
        <f aca="false">IF($X560="","",O560*N560)</f>
        <v/>
      </c>
      <c r="Q560" s="23" t="str">
        <f aca="false">IF($X560="","",Settings!$C$6)</f>
        <v/>
      </c>
      <c r="R560" s="22" t="str">
        <f aca="false">IF($X560="","",SUMIFS('Per Line'!$Y$2:$Y$4001,'Per Line'!$D$2:$D$4001,$B560,'Per Line'!$AJ$2:$AJ$4001,1))</f>
        <v/>
      </c>
      <c r="S560" s="22" t="str">
        <f aca="false">IF($X560="","",R560*Q560)</f>
        <v/>
      </c>
      <c r="T560" s="22" t="str">
        <f aca="false">IF($X560="","",S560+P560)</f>
        <v/>
      </c>
      <c r="U560" s="22" t="str">
        <f aca="false">IF($X560="","",V560-T560)</f>
        <v/>
      </c>
      <c r="V560" s="22" t="str">
        <f aca="false">IF($X560="","",O560+R560)</f>
        <v/>
      </c>
      <c r="W560" s="22" t="str">
        <f aca="false">IF($X560="","",U560-L560)</f>
        <v/>
      </c>
      <c r="X560" s="24" t="str">
        <f aca="false">IF(ROWS($X$2:$X560)&lt;=MAX('Per Line'!$AI$2:$AI$4001),MATCH(ROWS($X$2:$X560),'Per Line'!$AI$2:$AI$4001,0),"")</f>
        <v/>
      </c>
    </row>
    <row r="561" customFormat="false" ht="15" hidden="false" customHeight="false" outlineLevel="0" collapsed="false">
      <c r="A561" s="19"/>
      <c r="B561" s="20" t="str">
        <f aca="false">IF($X561="","",INDEX('Per Line'!$D$2:$D$4001,$X561))</f>
        <v/>
      </c>
      <c r="C561" s="20" t="str">
        <f aca="false">IF($X561="","",INDEX('Per Line'!$C$2:$C$4001,$X561))</f>
        <v/>
      </c>
      <c r="D561" s="20" t="str">
        <f aca="false">IF($X561="","",INDEX('Per Line'!$A$2:$A$4001,$X561))</f>
        <v/>
      </c>
      <c r="E561" s="21" t="str">
        <f aca="false">IF($X561="","",INDEX('Per Line'!$F$2:$F$4001,$X561))</f>
        <v/>
      </c>
      <c r="F561" s="20" t="str">
        <f aca="false">IF($X561="","",INDEX('Per Line'!$G$2:$G$4001,$X561))</f>
        <v/>
      </c>
      <c r="G561" s="20" t="str">
        <f aca="false">IF($X561="","",INDEX('Per Line'!$I$2:$I$4001,$X561))</f>
        <v/>
      </c>
      <c r="H561" s="20" t="str">
        <f aca="false">IF($X561="","",INDEX('Per Line'!$J$2:$J$4001,$X561))</f>
        <v/>
      </c>
      <c r="I561" s="20" t="str">
        <f aca="false">IF($X561="","",INDEX('Per Line'!$K$2:$K$4001,$X561))</f>
        <v/>
      </c>
      <c r="J561" s="20" t="str">
        <f aca="false">IF($X561="","",INDEX('Per Line'!$L$2:$L$4001,$X561))</f>
        <v/>
      </c>
      <c r="K561" s="20" t="str">
        <f aca="false">IF($X561="","",INDEX('Per Line'!$M$2:$M$4001,$X561))</f>
        <v/>
      </c>
      <c r="L561" s="22" t="str">
        <f aca="false">IF($X561="","",K561*V561/100)</f>
        <v/>
      </c>
      <c r="M561" s="20" t="str">
        <f aca="false">IF($X561="","",INDEX('Per Line'!$Z$2:$Z$4001,$X561))</f>
        <v/>
      </c>
      <c r="N561" s="23" t="str">
        <f aca="false">IF($X561="","",Settings!$C$7)</f>
        <v/>
      </c>
      <c r="O561" s="22" t="str">
        <f aca="false">IF($X561="","",SUMIFS('Per Line'!$Y$2:$Y$4001,'Per Line'!$D$2:$D$4001,$B561,'Per Line'!$AJ$2:$AJ$4001,0))</f>
        <v/>
      </c>
      <c r="P561" s="22" t="str">
        <f aca="false">IF($X561="","",O561*N561)</f>
        <v/>
      </c>
      <c r="Q561" s="23" t="str">
        <f aca="false">IF($X561="","",Settings!$C$6)</f>
        <v/>
      </c>
      <c r="R561" s="22" t="str">
        <f aca="false">IF($X561="","",SUMIFS('Per Line'!$Y$2:$Y$4001,'Per Line'!$D$2:$D$4001,$B561,'Per Line'!$AJ$2:$AJ$4001,1))</f>
        <v/>
      </c>
      <c r="S561" s="22" t="str">
        <f aca="false">IF($X561="","",R561*Q561)</f>
        <v/>
      </c>
      <c r="T561" s="22" t="str">
        <f aca="false">IF($X561="","",S561+P561)</f>
        <v/>
      </c>
      <c r="U561" s="22" t="str">
        <f aca="false">IF($X561="","",V561-T561)</f>
        <v/>
      </c>
      <c r="V561" s="22" t="str">
        <f aca="false">IF($X561="","",O561+R561)</f>
        <v/>
      </c>
      <c r="W561" s="22" t="str">
        <f aca="false">IF($X561="","",U561-L561)</f>
        <v/>
      </c>
      <c r="X561" s="24" t="str">
        <f aca="false">IF(ROWS($X$2:$X561)&lt;=MAX('Per Line'!$AI$2:$AI$4001),MATCH(ROWS($X$2:$X561),'Per Line'!$AI$2:$AI$4001,0),"")</f>
        <v/>
      </c>
    </row>
    <row r="562" customFormat="false" ht="15" hidden="false" customHeight="false" outlineLevel="0" collapsed="false">
      <c r="A562" s="19"/>
      <c r="B562" s="20" t="str">
        <f aca="false">IF($X562="","",INDEX('Per Line'!$D$2:$D$4001,$X562))</f>
        <v/>
      </c>
      <c r="C562" s="20" t="str">
        <f aca="false">IF($X562="","",INDEX('Per Line'!$C$2:$C$4001,$X562))</f>
        <v/>
      </c>
      <c r="D562" s="20" t="str">
        <f aca="false">IF($X562="","",INDEX('Per Line'!$A$2:$A$4001,$X562))</f>
        <v/>
      </c>
      <c r="E562" s="21" t="str">
        <f aca="false">IF($X562="","",INDEX('Per Line'!$F$2:$F$4001,$X562))</f>
        <v/>
      </c>
      <c r="F562" s="20" t="str">
        <f aca="false">IF($X562="","",INDEX('Per Line'!$G$2:$G$4001,$X562))</f>
        <v/>
      </c>
      <c r="G562" s="20" t="str">
        <f aca="false">IF($X562="","",INDEX('Per Line'!$I$2:$I$4001,$X562))</f>
        <v/>
      </c>
      <c r="H562" s="20" t="str">
        <f aca="false">IF($X562="","",INDEX('Per Line'!$J$2:$J$4001,$X562))</f>
        <v/>
      </c>
      <c r="I562" s="20" t="str">
        <f aca="false">IF($X562="","",INDEX('Per Line'!$K$2:$K$4001,$X562))</f>
        <v/>
      </c>
      <c r="J562" s="20" t="str">
        <f aca="false">IF($X562="","",INDEX('Per Line'!$L$2:$L$4001,$X562))</f>
        <v/>
      </c>
      <c r="K562" s="20" t="str">
        <f aca="false">IF($X562="","",INDEX('Per Line'!$M$2:$M$4001,$X562))</f>
        <v/>
      </c>
      <c r="L562" s="22" t="str">
        <f aca="false">IF($X562="","",K562*V562/100)</f>
        <v/>
      </c>
      <c r="M562" s="20" t="str">
        <f aca="false">IF($X562="","",INDEX('Per Line'!$Z$2:$Z$4001,$X562))</f>
        <v/>
      </c>
      <c r="N562" s="23" t="str">
        <f aca="false">IF($X562="","",Settings!$C$7)</f>
        <v/>
      </c>
      <c r="O562" s="22" t="str">
        <f aca="false">IF($X562="","",SUMIFS('Per Line'!$Y$2:$Y$4001,'Per Line'!$D$2:$D$4001,$B562,'Per Line'!$AJ$2:$AJ$4001,0))</f>
        <v/>
      </c>
      <c r="P562" s="22" t="str">
        <f aca="false">IF($X562="","",O562*N562)</f>
        <v/>
      </c>
      <c r="Q562" s="23" t="str">
        <f aca="false">IF($X562="","",Settings!$C$6)</f>
        <v/>
      </c>
      <c r="R562" s="22" t="str">
        <f aca="false">IF($X562="","",SUMIFS('Per Line'!$Y$2:$Y$4001,'Per Line'!$D$2:$D$4001,$B562,'Per Line'!$AJ$2:$AJ$4001,1))</f>
        <v/>
      </c>
      <c r="S562" s="22" t="str">
        <f aca="false">IF($X562="","",R562*Q562)</f>
        <v/>
      </c>
      <c r="T562" s="22" t="str">
        <f aca="false">IF($X562="","",S562+P562)</f>
        <v/>
      </c>
      <c r="U562" s="22" t="str">
        <f aca="false">IF($X562="","",V562-T562)</f>
        <v/>
      </c>
      <c r="V562" s="22" t="str">
        <f aca="false">IF($X562="","",O562+R562)</f>
        <v/>
      </c>
      <c r="W562" s="22" t="str">
        <f aca="false">IF($X562="","",U562-L562)</f>
        <v/>
      </c>
      <c r="X562" s="24" t="str">
        <f aca="false">IF(ROWS($X$2:$X562)&lt;=MAX('Per Line'!$AI$2:$AI$4001),MATCH(ROWS($X$2:$X562),'Per Line'!$AI$2:$AI$4001,0),"")</f>
        <v/>
      </c>
    </row>
    <row r="563" customFormat="false" ht="15" hidden="false" customHeight="false" outlineLevel="0" collapsed="false">
      <c r="A563" s="19"/>
      <c r="B563" s="20" t="str">
        <f aca="false">IF($X563="","",INDEX('Per Line'!$D$2:$D$4001,$X563))</f>
        <v/>
      </c>
      <c r="C563" s="20" t="str">
        <f aca="false">IF($X563="","",INDEX('Per Line'!$C$2:$C$4001,$X563))</f>
        <v/>
      </c>
      <c r="D563" s="20" t="str">
        <f aca="false">IF($X563="","",INDEX('Per Line'!$A$2:$A$4001,$X563))</f>
        <v/>
      </c>
      <c r="E563" s="21" t="str">
        <f aca="false">IF($X563="","",INDEX('Per Line'!$F$2:$F$4001,$X563))</f>
        <v/>
      </c>
      <c r="F563" s="20" t="str">
        <f aca="false">IF($X563="","",INDEX('Per Line'!$G$2:$G$4001,$X563))</f>
        <v/>
      </c>
      <c r="G563" s="20" t="str">
        <f aca="false">IF($X563="","",INDEX('Per Line'!$I$2:$I$4001,$X563))</f>
        <v/>
      </c>
      <c r="H563" s="20" t="str">
        <f aca="false">IF($X563="","",INDEX('Per Line'!$J$2:$J$4001,$X563))</f>
        <v/>
      </c>
      <c r="I563" s="20" t="str">
        <f aca="false">IF($X563="","",INDEX('Per Line'!$K$2:$K$4001,$X563))</f>
        <v/>
      </c>
      <c r="J563" s="20" t="str">
        <f aca="false">IF($X563="","",INDEX('Per Line'!$L$2:$L$4001,$X563))</f>
        <v/>
      </c>
      <c r="K563" s="20" t="str">
        <f aca="false">IF($X563="","",INDEX('Per Line'!$M$2:$M$4001,$X563))</f>
        <v/>
      </c>
      <c r="L563" s="22" t="str">
        <f aca="false">IF($X563="","",K563*V563/100)</f>
        <v/>
      </c>
      <c r="M563" s="20" t="str">
        <f aca="false">IF($X563="","",INDEX('Per Line'!$Z$2:$Z$4001,$X563))</f>
        <v/>
      </c>
      <c r="N563" s="23" t="str">
        <f aca="false">IF($X563="","",Settings!$C$7)</f>
        <v/>
      </c>
      <c r="O563" s="22" t="str">
        <f aca="false">IF($X563="","",SUMIFS('Per Line'!$Y$2:$Y$4001,'Per Line'!$D$2:$D$4001,$B563,'Per Line'!$AJ$2:$AJ$4001,0))</f>
        <v/>
      </c>
      <c r="P563" s="22" t="str">
        <f aca="false">IF($X563="","",O563*N563)</f>
        <v/>
      </c>
      <c r="Q563" s="23" t="str">
        <f aca="false">IF($X563="","",Settings!$C$6)</f>
        <v/>
      </c>
      <c r="R563" s="22" t="str">
        <f aca="false">IF($X563="","",SUMIFS('Per Line'!$Y$2:$Y$4001,'Per Line'!$D$2:$D$4001,$B563,'Per Line'!$AJ$2:$AJ$4001,1))</f>
        <v/>
      </c>
      <c r="S563" s="22" t="str">
        <f aca="false">IF($X563="","",R563*Q563)</f>
        <v/>
      </c>
      <c r="T563" s="22" t="str">
        <f aca="false">IF($X563="","",S563+P563)</f>
        <v/>
      </c>
      <c r="U563" s="22" t="str">
        <f aca="false">IF($X563="","",V563-T563)</f>
        <v/>
      </c>
      <c r="V563" s="22" t="str">
        <f aca="false">IF($X563="","",O563+R563)</f>
        <v/>
      </c>
      <c r="W563" s="22" t="str">
        <f aca="false">IF($X563="","",U563-L563)</f>
        <v/>
      </c>
      <c r="X563" s="24" t="str">
        <f aca="false">IF(ROWS($X$2:$X563)&lt;=MAX('Per Line'!$AI$2:$AI$4001),MATCH(ROWS($X$2:$X563),'Per Line'!$AI$2:$AI$4001,0),"")</f>
        <v/>
      </c>
    </row>
    <row r="564" customFormat="false" ht="15" hidden="false" customHeight="false" outlineLevel="0" collapsed="false">
      <c r="A564" s="19"/>
      <c r="B564" s="20" t="str">
        <f aca="false">IF($X564="","",INDEX('Per Line'!$D$2:$D$4001,$X564))</f>
        <v/>
      </c>
      <c r="C564" s="20" t="str">
        <f aca="false">IF($X564="","",INDEX('Per Line'!$C$2:$C$4001,$X564))</f>
        <v/>
      </c>
      <c r="D564" s="20" t="str">
        <f aca="false">IF($X564="","",INDEX('Per Line'!$A$2:$A$4001,$X564))</f>
        <v/>
      </c>
      <c r="E564" s="21" t="str">
        <f aca="false">IF($X564="","",INDEX('Per Line'!$F$2:$F$4001,$X564))</f>
        <v/>
      </c>
      <c r="F564" s="20" t="str">
        <f aca="false">IF($X564="","",INDEX('Per Line'!$G$2:$G$4001,$X564))</f>
        <v/>
      </c>
      <c r="G564" s="20" t="str">
        <f aca="false">IF($X564="","",INDEX('Per Line'!$I$2:$I$4001,$X564))</f>
        <v/>
      </c>
      <c r="H564" s="20" t="str">
        <f aca="false">IF($X564="","",INDEX('Per Line'!$J$2:$J$4001,$X564))</f>
        <v/>
      </c>
      <c r="I564" s="20" t="str">
        <f aca="false">IF($X564="","",INDEX('Per Line'!$K$2:$K$4001,$X564))</f>
        <v/>
      </c>
      <c r="J564" s="20" t="str">
        <f aca="false">IF($X564="","",INDEX('Per Line'!$L$2:$L$4001,$X564))</f>
        <v/>
      </c>
      <c r="K564" s="20" t="str">
        <f aca="false">IF($X564="","",INDEX('Per Line'!$M$2:$M$4001,$X564))</f>
        <v/>
      </c>
      <c r="L564" s="22" t="str">
        <f aca="false">IF($X564="","",K564*V564/100)</f>
        <v/>
      </c>
      <c r="M564" s="20" t="str">
        <f aca="false">IF($X564="","",INDEX('Per Line'!$Z$2:$Z$4001,$X564))</f>
        <v/>
      </c>
      <c r="N564" s="23" t="str">
        <f aca="false">IF($X564="","",Settings!$C$7)</f>
        <v/>
      </c>
      <c r="O564" s="22" t="str">
        <f aca="false">IF($X564="","",SUMIFS('Per Line'!$Y$2:$Y$4001,'Per Line'!$D$2:$D$4001,$B564,'Per Line'!$AJ$2:$AJ$4001,0))</f>
        <v/>
      </c>
      <c r="P564" s="22" t="str">
        <f aca="false">IF($X564="","",O564*N564)</f>
        <v/>
      </c>
      <c r="Q564" s="23" t="str">
        <f aca="false">IF($X564="","",Settings!$C$6)</f>
        <v/>
      </c>
      <c r="R564" s="22" t="str">
        <f aca="false">IF($X564="","",SUMIFS('Per Line'!$Y$2:$Y$4001,'Per Line'!$D$2:$D$4001,$B564,'Per Line'!$AJ$2:$AJ$4001,1))</f>
        <v/>
      </c>
      <c r="S564" s="22" t="str">
        <f aca="false">IF($X564="","",R564*Q564)</f>
        <v/>
      </c>
      <c r="T564" s="22" t="str">
        <f aca="false">IF($X564="","",S564+P564)</f>
        <v/>
      </c>
      <c r="U564" s="22" t="str">
        <f aca="false">IF($X564="","",V564-T564)</f>
        <v/>
      </c>
      <c r="V564" s="22" t="str">
        <f aca="false">IF($X564="","",O564+R564)</f>
        <v/>
      </c>
      <c r="W564" s="22" t="str">
        <f aca="false">IF($X564="","",U564-L564)</f>
        <v/>
      </c>
      <c r="X564" s="24" t="str">
        <f aca="false">IF(ROWS($X$2:$X564)&lt;=MAX('Per Line'!$AI$2:$AI$4001),MATCH(ROWS($X$2:$X564),'Per Line'!$AI$2:$AI$4001,0),"")</f>
        <v/>
      </c>
    </row>
    <row r="565" customFormat="false" ht="15" hidden="false" customHeight="false" outlineLevel="0" collapsed="false">
      <c r="A565" s="19"/>
      <c r="B565" s="20" t="str">
        <f aca="false">IF($X565="","",INDEX('Per Line'!$D$2:$D$4001,$X565))</f>
        <v/>
      </c>
      <c r="C565" s="20" t="str">
        <f aca="false">IF($X565="","",INDEX('Per Line'!$C$2:$C$4001,$X565))</f>
        <v/>
      </c>
      <c r="D565" s="20" t="str">
        <f aca="false">IF($X565="","",INDEX('Per Line'!$A$2:$A$4001,$X565))</f>
        <v/>
      </c>
      <c r="E565" s="21" t="str">
        <f aca="false">IF($X565="","",INDEX('Per Line'!$F$2:$F$4001,$X565))</f>
        <v/>
      </c>
      <c r="F565" s="20" t="str">
        <f aca="false">IF($X565="","",INDEX('Per Line'!$G$2:$G$4001,$X565))</f>
        <v/>
      </c>
      <c r="G565" s="20" t="str">
        <f aca="false">IF($X565="","",INDEX('Per Line'!$I$2:$I$4001,$X565))</f>
        <v/>
      </c>
      <c r="H565" s="20" t="str">
        <f aca="false">IF($X565="","",INDEX('Per Line'!$J$2:$J$4001,$X565))</f>
        <v/>
      </c>
      <c r="I565" s="20" t="str">
        <f aca="false">IF($X565="","",INDEX('Per Line'!$K$2:$K$4001,$X565))</f>
        <v/>
      </c>
      <c r="J565" s="20" t="str">
        <f aca="false">IF($X565="","",INDEX('Per Line'!$L$2:$L$4001,$X565))</f>
        <v/>
      </c>
      <c r="K565" s="20" t="str">
        <f aca="false">IF($X565="","",INDEX('Per Line'!$M$2:$M$4001,$X565))</f>
        <v/>
      </c>
      <c r="L565" s="22" t="str">
        <f aca="false">IF($X565="","",K565*V565/100)</f>
        <v/>
      </c>
      <c r="M565" s="20" t="str">
        <f aca="false">IF($X565="","",INDEX('Per Line'!$Z$2:$Z$4001,$X565))</f>
        <v/>
      </c>
      <c r="N565" s="23" t="str">
        <f aca="false">IF($X565="","",Settings!$C$7)</f>
        <v/>
      </c>
      <c r="O565" s="22" t="str">
        <f aca="false">IF($X565="","",SUMIFS('Per Line'!$Y$2:$Y$4001,'Per Line'!$D$2:$D$4001,$B565,'Per Line'!$AJ$2:$AJ$4001,0))</f>
        <v/>
      </c>
      <c r="P565" s="22" t="str">
        <f aca="false">IF($X565="","",O565*N565)</f>
        <v/>
      </c>
      <c r="Q565" s="23" t="str">
        <f aca="false">IF($X565="","",Settings!$C$6)</f>
        <v/>
      </c>
      <c r="R565" s="22" t="str">
        <f aca="false">IF($X565="","",SUMIFS('Per Line'!$Y$2:$Y$4001,'Per Line'!$D$2:$D$4001,$B565,'Per Line'!$AJ$2:$AJ$4001,1))</f>
        <v/>
      </c>
      <c r="S565" s="22" t="str">
        <f aca="false">IF($X565="","",R565*Q565)</f>
        <v/>
      </c>
      <c r="T565" s="22" t="str">
        <f aca="false">IF($X565="","",S565+P565)</f>
        <v/>
      </c>
      <c r="U565" s="22" t="str">
        <f aca="false">IF($X565="","",V565-T565)</f>
        <v/>
      </c>
      <c r="V565" s="22" t="str">
        <f aca="false">IF($X565="","",O565+R565)</f>
        <v/>
      </c>
      <c r="W565" s="22" t="str">
        <f aca="false">IF($X565="","",U565-L565)</f>
        <v/>
      </c>
      <c r="X565" s="24" t="str">
        <f aca="false">IF(ROWS($X$2:$X565)&lt;=MAX('Per Line'!$AI$2:$AI$4001),MATCH(ROWS($X$2:$X565),'Per Line'!$AI$2:$AI$4001,0),"")</f>
        <v/>
      </c>
    </row>
    <row r="566" customFormat="false" ht="15" hidden="false" customHeight="false" outlineLevel="0" collapsed="false">
      <c r="A566" s="19"/>
      <c r="B566" s="20" t="str">
        <f aca="false">IF($X566="","",INDEX('Per Line'!$D$2:$D$4001,$X566))</f>
        <v/>
      </c>
      <c r="C566" s="20" t="str">
        <f aca="false">IF($X566="","",INDEX('Per Line'!$C$2:$C$4001,$X566))</f>
        <v/>
      </c>
      <c r="D566" s="20" t="str">
        <f aca="false">IF($X566="","",INDEX('Per Line'!$A$2:$A$4001,$X566))</f>
        <v/>
      </c>
      <c r="E566" s="21" t="str">
        <f aca="false">IF($X566="","",INDEX('Per Line'!$F$2:$F$4001,$X566))</f>
        <v/>
      </c>
      <c r="F566" s="20" t="str">
        <f aca="false">IF($X566="","",INDEX('Per Line'!$G$2:$G$4001,$X566))</f>
        <v/>
      </c>
      <c r="G566" s="20" t="str">
        <f aca="false">IF($X566="","",INDEX('Per Line'!$I$2:$I$4001,$X566))</f>
        <v/>
      </c>
      <c r="H566" s="20" t="str">
        <f aca="false">IF($X566="","",INDEX('Per Line'!$J$2:$J$4001,$X566))</f>
        <v/>
      </c>
      <c r="I566" s="20" t="str">
        <f aca="false">IF($X566="","",INDEX('Per Line'!$K$2:$K$4001,$X566))</f>
        <v/>
      </c>
      <c r="J566" s="20" t="str">
        <f aca="false">IF($X566="","",INDEX('Per Line'!$L$2:$L$4001,$X566))</f>
        <v/>
      </c>
      <c r="K566" s="20" t="str">
        <f aca="false">IF($X566="","",INDEX('Per Line'!$M$2:$M$4001,$X566))</f>
        <v/>
      </c>
      <c r="L566" s="22" t="str">
        <f aca="false">IF($X566="","",K566*V566/100)</f>
        <v/>
      </c>
      <c r="M566" s="20" t="str">
        <f aca="false">IF($X566="","",INDEX('Per Line'!$Z$2:$Z$4001,$X566))</f>
        <v/>
      </c>
      <c r="N566" s="23" t="str">
        <f aca="false">IF($X566="","",Settings!$C$7)</f>
        <v/>
      </c>
      <c r="O566" s="22" t="str">
        <f aca="false">IF($X566="","",SUMIFS('Per Line'!$Y$2:$Y$4001,'Per Line'!$D$2:$D$4001,$B566,'Per Line'!$AJ$2:$AJ$4001,0))</f>
        <v/>
      </c>
      <c r="P566" s="22" t="str">
        <f aca="false">IF($X566="","",O566*N566)</f>
        <v/>
      </c>
      <c r="Q566" s="23" t="str">
        <f aca="false">IF($X566="","",Settings!$C$6)</f>
        <v/>
      </c>
      <c r="R566" s="22" t="str">
        <f aca="false">IF($X566="","",SUMIFS('Per Line'!$Y$2:$Y$4001,'Per Line'!$D$2:$D$4001,$B566,'Per Line'!$AJ$2:$AJ$4001,1))</f>
        <v/>
      </c>
      <c r="S566" s="22" t="str">
        <f aca="false">IF($X566="","",R566*Q566)</f>
        <v/>
      </c>
      <c r="T566" s="22" t="str">
        <f aca="false">IF($X566="","",S566+P566)</f>
        <v/>
      </c>
      <c r="U566" s="22" t="str">
        <f aca="false">IF($X566="","",V566-T566)</f>
        <v/>
      </c>
      <c r="V566" s="22" t="str">
        <f aca="false">IF($X566="","",O566+R566)</f>
        <v/>
      </c>
      <c r="W566" s="22" t="str">
        <f aca="false">IF($X566="","",U566-L566)</f>
        <v/>
      </c>
      <c r="X566" s="24" t="str">
        <f aca="false">IF(ROWS($X$2:$X566)&lt;=MAX('Per Line'!$AI$2:$AI$4001),MATCH(ROWS($X$2:$X566),'Per Line'!$AI$2:$AI$4001,0),"")</f>
        <v/>
      </c>
    </row>
    <row r="567" customFormat="false" ht="15" hidden="false" customHeight="false" outlineLevel="0" collapsed="false">
      <c r="A567" s="19"/>
      <c r="B567" s="20" t="str">
        <f aca="false">IF($X567="","",INDEX('Per Line'!$D$2:$D$4001,$X567))</f>
        <v/>
      </c>
      <c r="C567" s="20" t="str">
        <f aca="false">IF($X567="","",INDEX('Per Line'!$C$2:$C$4001,$X567))</f>
        <v/>
      </c>
      <c r="D567" s="20" t="str">
        <f aca="false">IF($X567="","",INDEX('Per Line'!$A$2:$A$4001,$X567))</f>
        <v/>
      </c>
      <c r="E567" s="21" t="str">
        <f aca="false">IF($X567="","",INDEX('Per Line'!$F$2:$F$4001,$X567))</f>
        <v/>
      </c>
      <c r="F567" s="20" t="str">
        <f aca="false">IF($X567="","",INDEX('Per Line'!$G$2:$G$4001,$X567))</f>
        <v/>
      </c>
      <c r="G567" s="20" t="str">
        <f aca="false">IF($X567="","",INDEX('Per Line'!$I$2:$I$4001,$X567))</f>
        <v/>
      </c>
      <c r="H567" s="20" t="str">
        <f aca="false">IF($X567="","",INDEX('Per Line'!$J$2:$J$4001,$X567))</f>
        <v/>
      </c>
      <c r="I567" s="20" t="str">
        <f aca="false">IF($X567="","",INDEX('Per Line'!$K$2:$K$4001,$X567))</f>
        <v/>
      </c>
      <c r="J567" s="20" t="str">
        <f aca="false">IF($X567="","",INDEX('Per Line'!$L$2:$L$4001,$X567))</f>
        <v/>
      </c>
      <c r="K567" s="20" t="str">
        <f aca="false">IF($X567="","",INDEX('Per Line'!$M$2:$M$4001,$X567))</f>
        <v/>
      </c>
      <c r="L567" s="22" t="str">
        <f aca="false">IF($X567="","",K567*V567/100)</f>
        <v/>
      </c>
      <c r="M567" s="20" t="str">
        <f aca="false">IF($X567="","",INDEX('Per Line'!$Z$2:$Z$4001,$X567))</f>
        <v/>
      </c>
      <c r="N567" s="23" t="str">
        <f aca="false">IF($X567="","",Settings!$C$7)</f>
        <v/>
      </c>
      <c r="O567" s="22" t="str">
        <f aca="false">IF($X567="","",SUMIFS('Per Line'!$Y$2:$Y$4001,'Per Line'!$D$2:$D$4001,$B567,'Per Line'!$AJ$2:$AJ$4001,0))</f>
        <v/>
      </c>
      <c r="P567" s="22" t="str">
        <f aca="false">IF($X567="","",O567*N567)</f>
        <v/>
      </c>
      <c r="Q567" s="23" t="str">
        <f aca="false">IF($X567="","",Settings!$C$6)</f>
        <v/>
      </c>
      <c r="R567" s="22" t="str">
        <f aca="false">IF($X567="","",SUMIFS('Per Line'!$Y$2:$Y$4001,'Per Line'!$D$2:$D$4001,$B567,'Per Line'!$AJ$2:$AJ$4001,1))</f>
        <v/>
      </c>
      <c r="S567" s="22" t="str">
        <f aca="false">IF($X567="","",R567*Q567)</f>
        <v/>
      </c>
      <c r="T567" s="22" t="str">
        <f aca="false">IF($X567="","",S567+P567)</f>
        <v/>
      </c>
      <c r="U567" s="22" t="str">
        <f aca="false">IF($X567="","",V567-T567)</f>
        <v/>
      </c>
      <c r="V567" s="22" t="str">
        <f aca="false">IF($X567="","",O567+R567)</f>
        <v/>
      </c>
      <c r="W567" s="22" t="str">
        <f aca="false">IF($X567="","",U567-L567)</f>
        <v/>
      </c>
      <c r="X567" s="24" t="str">
        <f aca="false">IF(ROWS($X$2:$X567)&lt;=MAX('Per Line'!$AI$2:$AI$4001),MATCH(ROWS($X$2:$X567),'Per Line'!$AI$2:$AI$4001,0),"")</f>
        <v/>
      </c>
    </row>
    <row r="568" customFormat="false" ht="15" hidden="false" customHeight="false" outlineLevel="0" collapsed="false">
      <c r="A568" s="19"/>
      <c r="B568" s="20" t="str">
        <f aca="false">IF($X568="","",INDEX('Per Line'!$D$2:$D$4001,$X568))</f>
        <v/>
      </c>
      <c r="C568" s="20" t="str">
        <f aca="false">IF($X568="","",INDEX('Per Line'!$C$2:$C$4001,$X568))</f>
        <v/>
      </c>
      <c r="D568" s="20" t="str">
        <f aca="false">IF($X568="","",INDEX('Per Line'!$A$2:$A$4001,$X568))</f>
        <v/>
      </c>
      <c r="E568" s="21" t="str">
        <f aca="false">IF($X568="","",INDEX('Per Line'!$F$2:$F$4001,$X568))</f>
        <v/>
      </c>
      <c r="F568" s="20" t="str">
        <f aca="false">IF($X568="","",INDEX('Per Line'!$G$2:$G$4001,$X568))</f>
        <v/>
      </c>
      <c r="G568" s="20" t="str">
        <f aca="false">IF($X568="","",INDEX('Per Line'!$I$2:$I$4001,$X568))</f>
        <v/>
      </c>
      <c r="H568" s="20" t="str">
        <f aca="false">IF($X568="","",INDEX('Per Line'!$J$2:$J$4001,$X568))</f>
        <v/>
      </c>
      <c r="I568" s="20" t="str">
        <f aca="false">IF($X568="","",INDEX('Per Line'!$K$2:$K$4001,$X568))</f>
        <v/>
      </c>
      <c r="J568" s="20" t="str">
        <f aca="false">IF($X568="","",INDEX('Per Line'!$L$2:$L$4001,$X568))</f>
        <v/>
      </c>
      <c r="K568" s="20" t="str">
        <f aca="false">IF($X568="","",INDEX('Per Line'!$M$2:$M$4001,$X568))</f>
        <v/>
      </c>
      <c r="L568" s="22" t="str">
        <f aca="false">IF($X568="","",K568*V568/100)</f>
        <v/>
      </c>
      <c r="M568" s="20" t="str">
        <f aca="false">IF($X568="","",INDEX('Per Line'!$Z$2:$Z$4001,$X568))</f>
        <v/>
      </c>
      <c r="N568" s="23" t="str">
        <f aca="false">IF($X568="","",Settings!$C$7)</f>
        <v/>
      </c>
      <c r="O568" s="22" t="str">
        <f aca="false">IF($X568="","",SUMIFS('Per Line'!$Y$2:$Y$4001,'Per Line'!$D$2:$D$4001,$B568,'Per Line'!$AJ$2:$AJ$4001,0))</f>
        <v/>
      </c>
      <c r="P568" s="22" t="str">
        <f aca="false">IF($X568="","",O568*N568)</f>
        <v/>
      </c>
      <c r="Q568" s="23" t="str">
        <f aca="false">IF($X568="","",Settings!$C$6)</f>
        <v/>
      </c>
      <c r="R568" s="22" t="str">
        <f aca="false">IF($X568="","",SUMIFS('Per Line'!$Y$2:$Y$4001,'Per Line'!$D$2:$D$4001,$B568,'Per Line'!$AJ$2:$AJ$4001,1))</f>
        <v/>
      </c>
      <c r="S568" s="22" t="str">
        <f aca="false">IF($X568="","",R568*Q568)</f>
        <v/>
      </c>
      <c r="T568" s="22" t="str">
        <f aca="false">IF($X568="","",S568+P568)</f>
        <v/>
      </c>
      <c r="U568" s="22" t="str">
        <f aca="false">IF($X568="","",V568-T568)</f>
        <v/>
      </c>
      <c r="V568" s="22" t="str">
        <f aca="false">IF($X568="","",O568+R568)</f>
        <v/>
      </c>
      <c r="W568" s="22" t="str">
        <f aca="false">IF($X568="","",U568-L568)</f>
        <v/>
      </c>
      <c r="X568" s="24" t="str">
        <f aca="false">IF(ROWS($X$2:$X568)&lt;=MAX('Per Line'!$AI$2:$AI$4001),MATCH(ROWS($X$2:$X568),'Per Line'!$AI$2:$AI$4001,0),"")</f>
        <v/>
      </c>
    </row>
    <row r="569" customFormat="false" ht="15" hidden="false" customHeight="false" outlineLevel="0" collapsed="false">
      <c r="A569" s="19"/>
      <c r="B569" s="20" t="str">
        <f aca="false">IF($X569="","",INDEX('Per Line'!$D$2:$D$4001,$X569))</f>
        <v/>
      </c>
      <c r="C569" s="20" t="str">
        <f aca="false">IF($X569="","",INDEX('Per Line'!$C$2:$C$4001,$X569))</f>
        <v/>
      </c>
      <c r="D569" s="20" t="str">
        <f aca="false">IF($X569="","",INDEX('Per Line'!$A$2:$A$4001,$X569))</f>
        <v/>
      </c>
      <c r="E569" s="21" t="str">
        <f aca="false">IF($X569="","",INDEX('Per Line'!$F$2:$F$4001,$X569))</f>
        <v/>
      </c>
      <c r="F569" s="20" t="str">
        <f aca="false">IF($X569="","",INDEX('Per Line'!$G$2:$G$4001,$X569))</f>
        <v/>
      </c>
      <c r="G569" s="20" t="str">
        <f aca="false">IF($X569="","",INDEX('Per Line'!$I$2:$I$4001,$X569))</f>
        <v/>
      </c>
      <c r="H569" s="20" t="str">
        <f aca="false">IF($X569="","",INDEX('Per Line'!$J$2:$J$4001,$X569))</f>
        <v/>
      </c>
      <c r="I569" s="20" t="str">
        <f aca="false">IF($X569="","",INDEX('Per Line'!$K$2:$K$4001,$X569))</f>
        <v/>
      </c>
      <c r="J569" s="20" t="str">
        <f aca="false">IF($X569="","",INDEX('Per Line'!$L$2:$L$4001,$X569))</f>
        <v/>
      </c>
      <c r="K569" s="20" t="str">
        <f aca="false">IF($X569="","",INDEX('Per Line'!$M$2:$M$4001,$X569))</f>
        <v/>
      </c>
      <c r="L569" s="22" t="str">
        <f aca="false">IF($X569="","",K569*V569/100)</f>
        <v/>
      </c>
      <c r="M569" s="20" t="str">
        <f aca="false">IF($X569="","",INDEX('Per Line'!$Z$2:$Z$4001,$X569))</f>
        <v/>
      </c>
      <c r="N569" s="23" t="str">
        <f aca="false">IF($X569="","",Settings!$C$7)</f>
        <v/>
      </c>
      <c r="O569" s="22" t="str">
        <f aca="false">IF($X569="","",SUMIFS('Per Line'!$Y$2:$Y$4001,'Per Line'!$D$2:$D$4001,$B569,'Per Line'!$AJ$2:$AJ$4001,0))</f>
        <v/>
      </c>
      <c r="P569" s="22" t="str">
        <f aca="false">IF($X569="","",O569*N569)</f>
        <v/>
      </c>
      <c r="Q569" s="23" t="str">
        <f aca="false">IF($X569="","",Settings!$C$6)</f>
        <v/>
      </c>
      <c r="R569" s="22" t="str">
        <f aca="false">IF($X569="","",SUMIFS('Per Line'!$Y$2:$Y$4001,'Per Line'!$D$2:$D$4001,$B569,'Per Line'!$AJ$2:$AJ$4001,1))</f>
        <v/>
      </c>
      <c r="S569" s="22" t="str">
        <f aca="false">IF($X569="","",R569*Q569)</f>
        <v/>
      </c>
      <c r="T569" s="22" t="str">
        <f aca="false">IF($X569="","",S569+P569)</f>
        <v/>
      </c>
      <c r="U569" s="22" t="str">
        <f aca="false">IF($X569="","",V569-T569)</f>
        <v/>
      </c>
      <c r="V569" s="22" t="str">
        <f aca="false">IF($X569="","",O569+R569)</f>
        <v/>
      </c>
      <c r="W569" s="22" t="str">
        <f aca="false">IF($X569="","",U569-L569)</f>
        <v/>
      </c>
      <c r="X569" s="24" t="str">
        <f aca="false">IF(ROWS($X$2:$X569)&lt;=MAX('Per Line'!$AI$2:$AI$4001),MATCH(ROWS($X$2:$X569),'Per Line'!$AI$2:$AI$4001,0),"")</f>
        <v/>
      </c>
    </row>
    <row r="570" customFormat="false" ht="15" hidden="false" customHeight="false" outlineLevel="0" collapsed="false">
      <c r="A570" s="19"/>
      <c r="B570" s="20" t="str">
        <f aca="false">IF($X570="","",INDEX('Per Line'!$D$2:$D$4001,$X570))</f>
        <v/>
      </c>
      <c r="C570" s="20" t="str">
        <f aca="false">IF($X570="","",INDEX('Per Line'!$C$2:$C$4001,$X570))</f>
        <v/>
      </c>
      <c r="D570" s="20" t="str">
        <f aca="false">IF($X570="","",INDEX('Per Line'!$A$2:$A$4001,$X570))</f>
        <v/>
      </c>
      <c r="E570" s="21" t="str">
        <f aca="false">IF($X570="","",INDEX('Per Line'!$F$2:$F$4001,$X570))</f>
        <v/>
      </c>
      <c r="F570" s="20" t="str">
        <f aca="false">IF($X570="","",INDEX('Per Line'!$G$2:$G$4001,$X570))</f>
        <v/>
      </c>
      <c r="G570" s="20" t="str">
        <f aca="false">IF($X570="","",INDEX('Per Line'!$I$2:$I$4001,$X570))</f>
        <v/>
      </c>
      <c r="H570" s="20" t="str">
        <f aca="false">IF($X570="","",INDEX('Per Line'!$J$2:$J$4001,$X570))</f>
        <v/>
      </c>
      <c r="I570" s="20" t="str">
        <f aca="false">IF($X570="","",INDEX('Per Line'!$K$2:$K$4001,$X570))</f>
        <v/>
      </c>
      <c r="J570" s="20" t="str">
        <f aca="false">IF($X570="","",INDEX('Per Line'!$L$2:$L$4001,$X570))</f>
        <v/>
      </c>
      <c r="K570" s="20" t="str">
        <f aca="false">IF($X570="","",INDEX('Per Line'!$M$2:$M$4001,$X570))</f>
        <v/>
      </c>
      <c r="L570" s="22" t="str">
        <f aca="false">IF($X570="","",K570*V570/100)</f>
        <v/>
      </c>
      <c r="M570" s="20" t="str">
        <f aca="false">IF($X570="","",INDEX('Per Line'!$Z$2:$Z$4001,$X570))</f>
        <v/>
      </c>
      <c r="N570" s="23" t="str">
        <f aca="false">IF($X570="","",Settings!$C$7)</f>
        <v/>
      </c>
      <c r="O570" s="22" t="str">
        <f aca="false">IF($X570="","",SUMIFS('Per Line'!$Y$2:$Y$4001,'Per Line'!$D$2:$D$4001,$B570,'Per Line'!$AJ$2:$AJ$4001,0))</f>
        <v/>
      </c>
      <c r="P570" s="22" t="str">
        <f aca="false">IF($X570="","",O570*N570)</f>
        <v/>
      </c>
      <c r="Q570" s="23" t="str">
        <f aca="false">IF($X570="","",Settings!$C$6)</f>
        <v/>
      </c>
      <c r="R570" s="22" t="str">
        <f aca="false">IF($X570="","",SUMIFS('Per Line'!$Y$2:$Y$4001,'Per Line'!$D$2:$D$4001,$B570,'Per Line'!$AJ$2:$AJ$4001,1))</f>
        <v/>
      </c>
      <c r="S570" s="22" t="str">
        <f aca="false">IF($X570="","",R570*Q570)</f>
        <v/>
      </c>
      <c r="T570" s="22" t="str">
        <f aca="false">IF($X570="","",S570+P570)</f>
        <v/>
      </c>
      <c r="U570" s="22" t="str">
        <f aca="false">IF($X570="","",V570-T570)</f>
        <v/>
      </c>
      <c r="V570" s="22" t="str">
        <f aca="false">IF($X570="","",O570+R570)</f>
        <v/>
      </c>
      <c r="W570" s="22" t="str">
        <f aca="false">IF($X570="","",U570-L570)</f>
        <v/>
      </c>
      <c r="X570" s="24" t="str">
        <f aca="false">IF(ROWS($X$2:$X570)&lt;=MAX('Per Line'!$AI$2:$AI$4001),MATCH(ROWS($X$2:$X570),'Per Line'!$AI$2:$AI$4001,0),"")</f>
        <v/>
      </c>
    </row>
    <row r="571" customFormat="false" ht="15" hidden="false" customHeight="false" outlineLevel="0" collapsed="false">
      <c r="A571" s="19"/>
      <c r="B571" s="20" t="str">
        <f aca="false">IF($X571="","",INDEX('Per Line'!$D$2:$D$4001,$X571))</f>
        <v/>
      </c>
      <c r="C571" s="20" t="str">
        <f aca="false">IF($X571="","",INDEX('Per Line'!$C$2:$C$4001,$X571))</f>
        <v/>
      </c>
      <c r="D571" s="20" t="str">
        <f aca="false">IF($X571="","",INDEX('Per Line'!$A$2:$A$4001,$X571))</f>
        <v/>
      </c>
      <c r="E571" s="21" t="str">
        <f aca="false">IF($X571="","",INDEX('Per Line'!$F$2:$F$4001,$X571))</f>
        <v/>
      </c>
      <c r="F571" s="20" t="str">
        <f aca="false">IF($X571="","",INDEX('Per Line'!$G$2:$G$4001,$X571))</f>
        <v/>
      </c>
      <c r="G571" s="20" t="str">
        <f aca="false">IF($X571="","",INDEX('Per Line'!$I$2:$I$4001,$X571))</f>
        <v/>
      </c>
      <c r="H571" s="20" t="str">
        <f aca="false">IF($X571="","",INDEX('Per Line'!$J$2:$J$4001,$X571))</f>
        <v/>
      </c>
      <c r="I571" s="20" t="str">
        <f aca="false">IF($X571="","",INDEX('Per Line'!$K$2:$K$4001,$X571))</f>
        <v/>
      </c>
      <c r="J571" s="20" t="str">
        <f aca="false">IF($X571="","",INDEX('Per Line'!$L$2:$L$4001,$X571))</f>
        <v/>
      </c>
      <c r="K571" s="20" t="str">
        <f aca="false">IF($X571="","",INDEX('Per Line'!$M$2:$M$4001,$X571))</f>
        <v/>
      </c>
      <c r="L571" s="22" t="str">
        <f aca="false">IF($X571="","",K571*V571/100)</f>
        <v/>
      </c>
      <c r="M571" s="20" t="str">
        <f aca="false">IF($X571="","",INDEX('Per Line'!$Z$2:$Z$4001,$X571))</f>
        <v/>
      </c>
      <c r="N571" s="23" t="str">
        <f aca="false">IF($X571="","",Settings!$C$7)</f>
        <v/>
      </c>
      <c r="O571" s="22" t="str">
        <f aca="false">IF($X571="","",SUMIFS('Per Line'!$Y$2:$Y$4001,'Per Line'!$D$2:$D$4001,$B571,'Per Line'!$AJ$2:$AJ$4001,0))</f>
        <v/>
      </c>
      <c r="P571" s="22" t="str">
        <f aca="false">IF($X571="","",O571*N571)</f>
        <v/>
      </c>
      <c r="Q571" s="23" t="str">
        <f aca="false">IF($X571="","",Settings!$C$6)</f>
        <v/>
      </c>
      <c r="R571" s="22" t="str">
        <f aca="false">IF($X571="","",SUMIFS('Per Line'!$Y$2:$Y$4001,'Per Line'!$D$2:$D$4001,$B571,'Per Line'!$AJ$2:$AJ$4001,1))</f>
        <v/>
      </c>
      <c r="S571" s="22" t="str">
        <f aca="false">IF($X571="","",R571*Q571)</f>
        <v/>
      </c>
      <c r="T571" s="22" t="str">
        <f aca="false">IF($X571="","",S571+P571)</f>
        <v/>
      </c>
      <c r="U571" s="22" t="str">
        <f aca="false">IF($X571="","",V571-T571)</f>
        <v/>
      </c>
      <c r="V571" s="22" t="str">
        <f aca="false">IF($X571="","",O571+R571)</f>
        <v/>
      </c>
      <c r="W571" s="22" t="str">
        <f aca="false">IF($X571="","",U571-L571)</f>
        <v/>
      </c>
      <c r="X571" s="24" t="str">
        <f aca="false">IF(ROWS($X$2:$X571)&lt;=MAX('Per Line'!$AI$2:$AI$4001),MATCH(ROWS($X$2:$X571),'Per Line'!$AI$2:$AI$4001,0),"")</f>
        <v/>
      </c>
    </row>
    <row r="572" customFormat="false" ht="15" hidden="false" customHeight="false" outlineLevel="0" collapsed="false">
      <c r="A572" s="19"/>
      <c r="B572" s="20" t="str">
        <f aca="false">IF($X572="","",INDEX('Per Line'!$D$2:$D$4001,$X572))</f>
        <v/>
      </c>
      <c r="C572" s="20" t="str">
        <f aca="false">IF($X572="","",INDEX('Per Line'!$C$2:$C$4001,$X572))</f>
        <v/>
      </c>
      <c r="D572" s="20" t="str">
        <f aca="false">IF($X572="","",INDEX('Per Line'!$A$2:$A$4001,$X572))</f>
        <v/>
      </c>
      <c r="E572" s="21" t="str">
        <f aca="false">IF($X572="","",INDEX('Per Line'!$F$2:$F$4001,$X572))</f>
        <v/>
      </c>
      <c r="F572" s="20" t="str">
        <f aca="false">IF($X572="","",INDEX('Per Line'!$G$2:$G$4001,$X572))</f>
        <v/>
      </c>
      <c r="G572" s="20" t="str">
        <f aca="false">IF($X572="","",INDEX('Per Line'!$I$2:$I$4001,$X572))</f>
        <v/>
      </c>
      <c r="H572" s="20" t="str">
        <f aca="false">IF($X572="","",INDEX('Per Line'!$J$2:$J$4001,$X572))</f>
        <v/>
      </c>
      <c r="I572" s="20" t="str">
        <f aca="false">IF($X572="","",INDEX('Per Line'!$K$2:$K$4001,$X572))</f>
        <v/>
      </c>
      <c r="J572" s="20" t="str">
        <f aca="false">IF($X572="","",INDEX('Per Line'!$L$2:$L$4001,$X572))</f>
        <v/>
      </c>
      <c r="K572" s="20" t="str">
        <f aca="false">IF($X572="","",INDEX('Per Line'!$M$2:$M$4001,$X572))</f>
        <v/>
      </c>
      <c r="L572" s="22" t="str">
        <f aca="false">IF($X572="","",K572*V572/100)</f>
        <v/>
      </c>
      <c r="M572" s="20" t="str">
        <f aca="false">IF($X572="","",INDEX('Per Line'!$Z$2:$Z$4001,$X572))</f>
        <v/>
      </c>
      <c r="N572" s="23" t="str">
        <f aca="false">IF($X572="","",Settings!$C$7)</f>
        <v/>
      </c>
      <c r="O572" s="22" t="str">
        <f aca="false">IF($X572="","",SUMIFS('Per Line'!$Y$2:$Y$4001,'Per Line'!$D$2:$D$4001,$B572,'Per Line'!$AJ$2:$AJ$4001,0))</f>
        <v/>
      </c>
      <c r="P572" s="22" t="str">
        <f aca="false">IF($X572="","",O572*N572)</f>
        <v/>
      </c>
      <c r="Q572" s="23" t="str">
        <f aca="false">IF($X572="","",Settings!$C$6)</f>
        <v/>
      </c>
      <c r="R572" s="22" t="str">
        <f aca="false">IF($X572="","",SUMIFS('Per Line'!$Y$2:$Y$4001,'Per Line'!$D$2:$D$4001,$B572,'Per Line'!$AJ$2:$AJ$4001,1))</f>
        <v/>
      </c>
      <c r="S572" s="22" t="str">
        <f aca="false">IF($X572="","",R572*Q572)</f>
        <v/>
      </c>
      <c r="T572" s="22" t="str">
        <f aca="false">IF($X572="","",S572+P572)</f>
        <v/>
      </c>
      <c r="U572" s="22" t="str">
        <f aca="false">IF($X572="","",V572-T572)</f>
        <v/>
      </c>
      <c r="V572" s="22" t="str">
        <f aca="false">IF($X572="","",O572+R572)</f>
        <v/>
      </c>
      <c r="W572" s="22" t="str">
        <f aca="false">IF($X572="","",U572-L572)</f>
        <v/>
      </c>
      <c r="X572" s="24" t="str">
        <f aca="false">IF(ROWS($X$2:$X572)&lt;=MAX('Per Line'!$AI$2:$AI$4001),MATCH(ROWS($X$2:$X572),'Per Line'!$AI$2:$AI$4001,0),"")</f>
        <v/>
      </c>
    </row>
    <row r="573" customFormat="false" ht="15" hidden="false" customHeight="false" outlineLevel="0" collapsed="false">
      <c r="A573" s="19"/>
      <c r="B573" s="20" t="str">
        <f aca="false">IF($X573="","",INDEX('Per Line'!$D$2:$D$4001,$X573))</f>
        <v/>
      </c>
      <c r="C573" s="20" t="str">
        <f aca="false">IF($X573="","",INDEX('Per Line'!$C$2:$C$4001,$X573))</f>
        <v/>
      </c>
      <c r="D573" s="20" t="str">
        <f aca="false">IF($X573="","",INDEX('Per Line'!$A$2:$A$4001,$X573))</f>
        <v/>
      </c>
      <c r="E573" s="21" t="str">
        <f aca="false">IF($X573="","",INDEX('Per Line'!$F$2:$F$4001,$X573))</f>
        <v/>
      </c>
      <c r="F573" s="20" t="str">
        <f aca="false">IF($X573="","",INDEX('Per Line'!$G$2:$G$4001,$X573))</f>
        <v/>
      </c>
      <c r="G573" s="20" t="str">
        <f aca="false">IF($X573="","",INDEX('Per Line'!$I$2:$I$4001,$X573))</f>
        <v/>
      </c>
      <c r="H573" s="20" t="str">
        <f aca="false">IF($X573="","",INDEX('Per Line'!$J$2:$J$4001,$X573))</f>
        <v/>
      </c>
      <c r="I573" s="20" t="str">
        <f aca="false">IF($X573="","",INDEX('Per Line'!$K$2:$K$4001,$X573))</f>
        <v/>
      </c>
      <c r="J573" s="20" t="str">
        <f aca="false">IF($X573="","",INDEX('Per Line'!$L$2:$L$4001,$X573))</f>
        <v/>
      </c>
      <c r="K573" s="20" t="str">
        <f aca="false">IF($X573="","",INDEX('Per Line'!$M$2:$M$4001,$X573))</f>
        <v/>
      </c>
      <c r="L573" s="22" t="str">
        <f aca="false">IF($X573="","",K573*V573/100)</f>
        <v/>
      </c>
      <c r="M573" s="20" t="str">
        <f aca="false">IF($X573="","",INDEX('Per Line'!$Z$2:$Z$4001,$X573))</f>
        <v/>
      </c>
      <c r="N573" s="23" t="str">
        <f aca="false">IF($X573="","",Settings!$C$7)</f>
        <v/>
      </c>
      <c r="O573" s="22" t="str">
        <f aca="false">IF($X573="","",SUMIFS('Per Line'!$Y$2:$Y$4001,'Per Line'!$D$2:$D$4001,$B573,'Per Line'!$AJ$2:$AJ$4001,0))</f>
        <v/>
      </c>
      <c r="P573" s="22" t="str">
        <f aca="false">IF($X573="","",O573*N573)</f>
        <v/>
      </c>
      <c r="Q573" s="23" t="str">
        <f aca="false">IF($X573="","",Settings!$C$6)</f>
        <v/>
      </c>
      <c r="R573" s="22" t="str">
        <f aca="false">IF($X573="","",SUMIFS('Per Line'!$Y$2:$Y$4001,'Per Line'!$D$2:$D$4001,$B573,'Per Line'!$AJ$2:$AJ$4001,1))</f>
        <v/>
      </c>
      <c r="S573" s="22" t="str">
        <f aca="false">IF($X573="","",R573*Q573)</f>
        <v/>
      </c>
      <c r="T573" s="22" t="str">
        <f aca="false">IF($X573="","",S573+P573)</f>
        <v/>
      </c>
      <c r="U573" s="22" t="str">
        <f aca="false">IF($X573="","",V573-T573)</f>
        <v/>
      </c>
      <c r="V573" s="22" t="str">
        <f aca="false">IF($X573="","",O573+R573)</f>
        <v/>
      </c>
      <c r="W573" s="22" t="str">
        <f aca="false">IF($X573="","",U573-L573)</f>
        <v/>
      </c>
      <c r="X573" s="24" t="str">
        <f aca="false">IF(ROWS($X$2:$X573)&lt;=MAX('Per Line'!$AI$2:$AI$4001),MATCH(ROWS($X$2:$X573),'Per Line'!$AI$2:$AI$4001,0),"")</f>
        <v/>
      </c>
    </row>
    <row r="574" customFormat="false" ht="15" hidden="false" customHeight="false" outlineLevel="0" collapsed="false">
      <c r="A574" s="19"/>
      <c r="B574" s="20" t="str">
        <f aca="false">IF($X574="","",INDEX('Per Line'!$D$2:$D$4001,$X574))</f>
        <v/>
      </c>
      <c r="C574" s="20" t="str">
        <f aca="false">IF($X574="","",INDEX('Per Line'!$C$2:$C$4001,$X574))</f>
        <v/>
      </c>
      <c r="D574" s="20" t="str">
        <f aca="false">IF($X574="","",INDEX('Per Line'!$A$2:$A$4001,$X574))</f>
        <v/>
      </c>
      <c r="E574" s="21" t="str">
        <f aca="false">IF($X574="","",INDEX('Per Line'!$F$2:$F$4001,$X574))</f>
        <v/>
      </c>
      <c r="F574" s="20" t="str">
        <f aca="false">IF($X574="","",INDEX('Per Line'!$G$2:$G$4001,$X574))</f>
        <v/>
      </c>
      <c r="G574" s="20" t="str">
        <f aca="false">IF($X574="","",INDEX('Per Line'!$I$2:$I$4001,$X574))</f>
        <v/>
      </c>
      <c r="H574" s="20" t="str">
        <f aca="false">IF($X574="","",INDEX('Per Line'!$J$2:$J$4001,$X574))</f>
        <v/>
      </c>
      <c r="I574" s="20" t="str">
        <f aca="false">IF($X574="","",INDEX('Per Line'!$K$2:$K$4001,$X574))</f>
        <v/>
      </c>
      <c r="J574" s="20" t="str">
        <f aca="false">IF($X574="","",INDEX('Per Line'!$L$2:$L$4001,$X574))</f>
        <v/>
      </c>
      <c r="K574" s="20" t="str">
        <f aca="false">IF($X574="","",INDEX('Per Line'!$M$2:$M$4001,$X574))</f>
        <v/>
      </c>
      <c r="L574" s="22" t="str">
        <f aca="false">IF($X574="","",K574*V574/100)</f>
        <v/>
      </c>
      <c r="M574" s="20" t="str">
        <f aca="false">IF($X574="","",INDEX('Per Line'!$Z$2:$Z$4001,$X574))</f>
        <v/>
      </c>
      <c r="N574" s="23" t="str">
        <f aca="false">IF($X574="","",Settings!$C$7)</f>
        <v/>
      </c>
      <c r="O574" s="22" t="str">
        <f aca="false">IF($X574="","",SUMIFS('Per Line'!$Y$2:$Y$4001,'Per Line'!$D$2:$D$4001,$B574,'Per Line'!$AJ$2:$AJ$4001,0))</f>
        <v/>
      </c>
      <c r="P574" s="22" t="str">
        <f aca="false">IF($X574="","",O574*N574)</f>
        <v/>
      </c>
      <c r="Q574" s="23" t="str">
        <f aca="false">IF($X574="","",Settings!$C$6)</f>
        <v/>
      </c>
      <c r="R574" s="22" t="str">
        <f aca="false">IF($X574="","",SUMIFS('Per Line'!$Y$2:$Y$4001,'Per Line'!$D$2:$D$4001,$B574,'Per Line'!$AJ$2:$AJ$4001,1))</f>
        <v/>
      </c>
      <c r="S574" s="22" t="str">
        <f aca="false">IF($X574="","",R574*Q574)</f>
        <v/>
      </c>
      <c r="T574" s="22" t="str">
        <f aca="false">IF($X574="","",S574+P574)</f>
        <v/>
      </c>
      <c r="U574" s="22" t="str">
        <f aca="false">IF($X574="","",V574-T574)</f>
        <v/>
      </c>
      <c r="V574" s="22" t="str">
        <f aca="false">IF($X574="","",O574+R574)</f>
        <v/>
      </c>
      <c r="W574" s="22" t="str">
        <f aca="false">IF($X574="","",U574-L574)</f>
        <v/>
      </c>
      <c r="X574" s="24" t="str">
        <f aca="false">IF(ROWS($X$2:$X574)&lt;=MAX('Per Line'!$AI$2:$AI$4001),MATCH(ROWS($X$2:$X574),'Per Line'!$AI$2:$AI$4001,0),"")</f>
        <v/>
      </c>
    </row>
    <row r="575" customFormat="false" ht="15" hidden="false" customHeight="false" outlineLevel="0" collapsed="false">
      <c r="A575" s="19"/>
      <c r="B575" s="20" t="str">
        <f aca="false">IF($X575="","",INDEX('Per Line'!$D$2:$D$4001,$X575))</f>
        <v/>
      </c>
      <c r="C575" s="20" t="str">
        <f aca="false">IF($X575="","",INDEX('Per Line'!$C$2:$C$4001,$X575))</f>
        <v/>
      </c>
      <c r="D575" s="20" t="str">
        <f aca="false">IF($X575="","",INDEX('Per Line'!$A$2:$A$4001,$X575))</f>
        <v/>
      </c>
      <c r="E575" s="21" t="str">
        <f aca="false">IF($X575="","",INDEX('Per Line'!$F$2:$F$4001,$X575))</f>
        <v/>
      </c>
      <c r="F575" s="20" t="str">
        <f aca="false">IF($X575="","",INDEX('Per Line'!$G$2:$G$4001,$X575))</f>
        <v/>
      </c>
      <c r="G575" s="20" t="str">
        <f aca="false">IF($X575="","",INDEX('Per Line'!$I$2:$I$4001,$X575))</f>
        <v/>
      </c>
      <c r="H575" s="20" t="str">
        <f aca="false">IF($X575="","",INDEX('Per Line'!$J$2:$J$4001,$X575))</f>
        <v/>
      </c>
      <c r="I575" s="20" t="str">
        <f aca="false">IF($X575="","",INDEX('Per Line'!$K$2:$K$4001,$X575))</f>
        <v/>
      </c>
      <c r="J575" s="20" t="str">
        <f aca="false">IF($X575="","",INDEX('Per Line'!$L$2:$L$4001,$X575))</f>
        <v/>
      </c>
      <c r="K575" s="20" t="str">
        <f aca="false">IF($X575="","",INDEX('Per Line'!$M$2:$M$4001,$X575))</f>
        <v/>
      </c>
      <c r="L575" s="22" t="str">
        <f aca="false">IF($X575="","",K575*V575/100)</f>
        <v/>
      </c>
      <c r="M575" s="20" t="str">
        <f aca="false">IF($X575="","",INDEX('Per Line'!$Z$2:$Z$4001,$X575))</f>
        <v/>
      </c>
      <c r="N575" s="23" t="str">
        <f aca="false">IF($X575="","",Settings!$C$7)</f>
        <v/>
      </c>
      <c r="O575" s="22" t="str">
        <f aca="false">IF($X575="","",SUMIFS('Per Line'!$Y$2:$Y$4001,'Per Line'!$D$2:$D$4001,$B575,'Per Line'!$AJ$2:$AJ$4001,0))</f>
        <v/>
      </c>
      <c r="P575" s="22" t="str">
        <f aca="false">IF($X575="","",O575*N575)</f>
        <v/>
      </c>
      <c r="Q575" s="23" t="str">
        <f aca="false">IF($X575="","",Settings!$C$6)</f>
        <v/>
      </c>
      <c r="R575" s="22" t="str">
        <f aca="false">IF($X575="","",SUMIFS('Per Line'!$Y$2:$Y$4001,'Per Line'!$D$2:$D$4001,$B575,'Per Line'!$AJ$2:$AJ$4001,1))</f>
        <v/>
      </c>
      <c r="S575" s="22" t="str">
        <f aca="false">IF($X575="","",R575*Q575)</f>
        <v/>
      </c>
      <c r="T575" s="22" t="str">
        <f aca="false">IF($X575="","",S575+P575)</f>
        <v/>
      </c>
      <c r="U575" s="22" t="str">
        <f aca="false">IF($X575="","",V575-T575)</f>
        <v/>
      </c>
      <c r="V575" s="22" t="str">
        <f aca="false">IF($X575="","",O575+R575)</f>
        <v/>
      </c>
      <c r="W575" s="22" t="str">
        <f aca="false">IF($X575="","",U575-L575)</f>
        <v/>
      </c>
      <c r="X575" s="24" t="str">
        <f aca="false">IF(ROWS($X$2:$X575)&lt;=MAX('Per Line'!$AI$2:$AI$4001),MATCH(ROWS($X$2:$X575),'Per Line'!$AI$2:$AI$4001,0),"")</f>
        <v/>
      </c>
    </row>
    <row r="576" customFormat="false" ht="15" hidden="false" customHeight="false" outlineLevel="0" collapsed="false">
      <c r="A576" s="19"/>
      <c r="B576" s="20" t="str">
        <f aca="false">IF($X576="","",INDEX('Per Line'!$D$2:$D$4001,$X576))</f>
        <v/>
      </c>
      <c r="C576" s="20" t="str">
        <f aca="false">IF($X576="","",INDEX('Per Line'!$C$2:$C$4001,$X576))</f>
        <v/>
      </c>
      <c r="D576" s="20" t="str">
        <f aca="false">IF($X576="","",INDEX('Per Line'!$A$2:$A$4001,$X576))</f>
        <v/>
      </c>
      <c r="E576" s="21" t="str">
        <f aca="false">IF($X576="","",INDEX('Per Line'!$F$2:$F$4001,$X576))</f>
        <v/>
      </c>
      <c r="F576" s="20" t="str">
        <f aca="false">IF($X576="","",INDEX('Per Line'!$G$2:$G$4001,$X576))</f>
        <v/>
      </c>
      <c r="G576" s="20" t="str">
        <f aca="false">IF($X576="","",INDEX('Per Line'!$I$2:$I$4001,$X576))</f>
        <v/>
      </c>
      <c r="H576" s="20" t="str">
        <f aca="false">IF($X576="","",INDEX('Per Line'!$J$2:$J$4001,$X576))</f>
        <v/>
      </c>
      <c r="I576" s="20" t="str">
        <f aca="false">IF($X576="","",INDEX('Per Line'!$K$2:$K$4001,$X576))</f>
        <v/>
      </c>
      <c r="J576" s="20" t="str">
        <f aca="false">IF($X576="","",INDEX('Per Line'!$L$2:$L$4001,$X576))</f>
        <v/>
      </c>
      <c r="K576" s="20" t="str">
        <f aca="false">IF($X576="","",INDEX('Per Line'!$M$2:$M$4001,$X576))</f>
        <v/>
      </c>
      <c r="L576" s="22" t="str">
        <f aca="false">IF($X576="","",K576*V576/100)</f>
        <v/>
      </c>
      <c r="M576" s="20" t="str">
        <f aca="false">IF($X576="","",INDEX('Per Line'!$Z$2:$Z$4001,$X576))</f>
        <v/>
      </c>
      <c r="N576" s="23" t="str">
        <f aca="false">IF($X576="","",Settings!$C$7)</f>
        <v/>
      </c>
      <c r="O576" s="22" t="str">
        <f aca="false">IF($X576="","",SUMIFS('Per Line'!$Y$2:$Y$4001,'Per Line'!$D$2:$D$4001,$B576,'Per Line'!$AJ$2:$AJ$4001,0))</f>
        <v/>
      </c>
      <c r="P576" s="22" t="str">
        <f aca="false">IF($X576="","",O576*N576)</f>
        <v/>
      </c>
      <c r="Q576" s="23" t="str">
        <f aca="false">IF($X576="","",Settings!$C$6)</f>
        <v/>
      </c>
      <c r="R576" s="22" t="str">
        <f aca="false">IF($X576="","",SUMIFS('Per Line'!$Y$2:$Y$4001,'Per Line'!$D$2:$D$4001,$B576,'Per Line'!$AJ$2:$AJ$4001,1))</f>
        <v/>
      </c>
      <c r="S576" s="22" t="str">
        <f aca="false">IF($X576="","",R576*Q576)</f>
        <v/>
      </c>
      <c r="T576" s="22" t="str">
        <f aca="false">IF($X576="","",S576+P576)</f>
        <v/>
      </c>
      <c r="U576" s="22" t="str">
        <f aca="false">IF($X576="","",V576-T576)</f>
        <v/>
      </c>
      <c r="V576" s="22" t="str">
        <f aca="false">IF($X576="","",O576+R576)</f>
        <v/>
      </c>
      <c r="W576" s="22" t="str">
        <f aca="false">IF($X576="","",U576-L576)</f>
        <v/>
      </c>
      <c r="X576" s="24" t="str">
        <f aca="false">IF(ROWS($X$2:$X576)&lt;=MAX('Per Line'!$AI$2:$AI$4001),MATCH(ROWS($X$2:$X576),'Per Line'!$AI$2:$AI$4001,0),"")</f>
        <v/>
      </c>
    </row>
    <row r="577" customFormat="false" ht="15" hidden="false" customHeight="false" outlineLevel="0" collapsed="false">
      <c r="A577" s="19"/>
      <c r="B577" s="20" t="str">
        <f aca="false">IF($X577="","",INDEX('Per Line'!$D$2:$D$4001,$X577))</f>
        <v/>
      </c>
      <c r="C577" s="20" t="str">
        <f aca="false">IF($X577="","",INDEX('Per Line'!$C$2:$C$4001,$X577))</f>
        <v/>
      </c>
      <c r="D577" s="20" t="str">
        <f aca="false">IF($X577="","",INDEX('Per Line'!$A$2:$A$4001,$X577))</f>
        <v/>
      </c>
      <c r="E577" s="21" t="str">
        <f aca="false">IF($X577="","",INDEX('Per Line'!$F$2:$F$4001,$X577))</f>
        <v/>
      </c>
      <c r="F577" s="20" t="str">
        <f aca="false">IF($X577="","",INDEX('Per Line'!$G$2:$G$4001,$X577))</f>
        <v/>
      </c>
      <c r="G577" s="20" t="str">
        <f aca="false">IF($X577="","",INDEX('Per Line'!$I$2:$I$4001,$X577))</f>
        <v/>
      </c>
      <c r="H577" s="20" t="str">
        <f aca="false">IF($X577="","",INDEX('Per Line'!$J$2:$J$4001,$X577))</f>
        <v/>
      </c>
      <c r="I577" s="20" t="str">
        <f aca="false">IF($X577="","",INDEX('Per Line'!$K$2:$K$4001,$X577))</f>
        <v/>
      </c>
      <c r="J577" s="20" t="str">
        <f aca="false">IF($X577="","",INDEX('Per Line'!$L$2:$L$4001,$X577))</f>
        <v/>
      </c>
      <c r="K577" s="20" t="str">
        <f aca="false">IF($X577="","",INDEX('Per Line'!$M$2:$M$4001,$X577))</f>
        <v/>
      </c>
      <c r="L577" s="22" t="str">
        <f aca="false">IF($X577="","",K577*V577/100)</f>
        <v/>
      </c>
      <c r="M577" s="20" t="str">
        <f aca="false">IF($X577="","",INDEX('Per Line'!$Z$2:$Z$4001,$X577))</f>
        <v/>
      </c>
      <c r="N577" s="23" t="str">
        <f aca="false">IF($X577="","",Settings!$C$7)</f>
        <v/>
      </c>
      <c r="O577" s="22" t="str">
        <f aca="false">IF($X577="","",SUMIFS('Per Line'!$Y$2:$Y$4001,'Per Line'!$D$2:$D$4001,$B577,'Per Line'!$AJ$2:$AJ$4001,0))</f>
        <v/>
      </c>
      <c r="P577" s="22" t="str">
        <f aca="false">IF($X577="","",O577*N577)</f>
        <v/>
      </c>
      <c r="Q577" s="23" t="str">
        <f aca="false">IF($X577="","",Settings!$C$6)</f>
        <v/>
      </c>
      <c r="R577" s="22" t="str">
        <f aca="false">IF($X577="","",SUMIFS('Per Line'!$Y$2:$Y$4001,'Per Line'!$D$2:$D$4001,$B577,'Per Line'!$AJ$2:$AJ$4001,1))</f>
        <v/>
      </c>
      <c r="S577" s="22" t="str">
        <f aca="false">IF($X577="","",R577*Q577)</f>
        <v/>
      </c>
      <c r="T577" s="22" t="str">
        <f aca="false">IF($X577="","",S577+P577)</f>
        <v/>
      </c>
      <c r="U577" s="22" t="str">
        <f aca="false">IF($X577="","",V577-T577)</f>
        <v/>
      </c>
      <c r="V577" s="22" t="str">
        <f aca="false">IF($X577="","",O577+R577)</f>
        <v/>
      </c>
      <c r="W577" s="22" t="str">
        <f aca="false">IF($X577="","",U577-L577)</f>
        <v/>
      </c>
      <c r="X577" s="24" t="str">
        <f aca="false">IF(ROWS($X$2:$X577)&lt;=MAX('Per Line'!$AI$2:$AI$4001),MATCH(ROWS($X$2:$X577),'Per Line'!$AI$2:$AI$4001,0),"")</f>
        <v/>
      </c>
    </row>
    <row r="578" customFormat="false" ht="15" hidden="false" customHeight="false" outlineLevel="0" collapsed="false">
      <c r="A578" s="19"/>
      <c r="B578" s="20" t="str">
        <f aca="false">IF($X578="","",INDEX('Per Line'!$D$2:$D$4001,$X578))</f>
        <v/>
      </c>
      <c r="C578" s="20" t="str">
        <f aca="false">IF($X578="","",INDEX('Per Line'!$C$2:$C$4001,$X578))</f>
        <v/>
      </c>
      <c r="D578" s="20" t="str">
        <f aca="false">IF($X578="","",INDEX('Per Line'!$A$2:$A$4001,$X578))</f>
        <v/>
      </c>
      <c r="E578" s="21" t="str">
        <f aca="false">IF($X578="","",INDEX('Per Line'!$F$2:$F$4001,$X578))</f>
        <v/>
      </c>
      <c r="F578" s="20" t="str">
        <f aca="false">IF($X578="","",INDEX('Per Line'!$G$2:$G$4001,$X578))</f>
        <v/>
      </c>
      <c r="G578" s="20" t="str">
        <f aca="false">IF($X578="","",INDEX('Per Line'!$I$2:$I$4001,$X578))</f>
        <v/>
      </c>
      <c r="H578" s="20" t="str">
        <f aca="false">IF($X578="","",INDEX('Per Line'!$J$2:$J$4001,$X578))</f>
        <v/>
      </c>
      <c r="I578" s="20" t="str">
        <f aca="false">IF($X578="","",INDEX('Per Line'!$K$2:$K$4001,$X578))</f>
        <v/>
      </c>
      <c r="J578" s="20" t="str">
        <f aca="false">IF($X578="","",INDEX('Per Line'!$L$2:$L$4001,$X578))</f>
        <v/>
      </c>
      <c r="K578" s="20" t="str">
        <f aca="false">IF($X578="","",INDEX('Per Line'!$M$2:$M$4001,$X578))</f>
        <v/>
      </c>
      <c r="L578" s="22" t="str">
        <f aca="false">IF($X578="","",K578*V578/100)</f>
        <v/>
      </c>
      <c r="M578" s="20" t="str">
        <f aca="false">IF($X578="","",INDEX('Per Line'!$Z$2:$Z$4001,$X578))</f>
        <v/>
      </c>
      <c r="N578" s="23" t="str">
        <f aca="false">IF($X578="","",Settings!$C$7)</f>
        <v/>
      </c>
      <c r="O578" s="22" t="str">
        <f aca="false">IF($X578="","",SUMIFS('Per Line'!$Y$2:$Y$4001,'Per Line'!$D$2:$D$4001,$B578,'Per Line'!$AJ$2:$AJ$4001,0))</f>
        <v/>
      </c>
      <c r="P578" s="22" t="str">
        <f aca="false">IF($X578="","",O578*N578)</f>
        <v/>
      </c>
      <c r="Q578" s="23" t="str">
        <f aca="false">IF($X578="","",Settings!$C$6)</f>
        <v/>
      </c>
      <c r="R578" s="22" t="str">
        <f aca="false">IF($X578="","",SUMIFS('Per Line'!$Y$2:$Y$4001,'Per Line'!$D$2:$D$4001,$B578,'Per Line'!$AJ$2:$AJ$4001,1))</f>
        <v/>
      </c>
      <c r="S578" s="22" t="str">
        <f aca="false">IF($X578="","",R578*Q578)</f>
        <v/>
      </c>
      <c r="T578" s="22" t="str">
        <f aca="false">IF($X578="","",S578+P578)</f>
        <v/>
      </c>
      <c r="U578" s="22" t="str">
        <f aca="false">IF($X578="","",V578-T578)</f>
        <v/>
      </c>
      <c r="V578" s="22" t="str">
        <f aca="false">IF($X578="","",O578+R578)</f>
        <v/>
      </c>
      <c r="W578" s="22" t="str">
        <f aca="false">IF($X578="","",U578-L578)</f>
        <v/>
      </c>
      <c r="X578" s="24" t="str">
        <f aca="false">IF(ROWS($X$2:$X578)&lt;=MAX('Per Line'!$AI$2:$AI$4001),MATCH(ROWS($X$2:$X578),'Per Line'!$AI$2:$AI$4001,0),"")</f>
        <v/>
      </c>
    </row>
    <row r="579" customFormat="false" ht="15" hidden="false" customHeight="false" outlineLevel="0" collapsed="false">
      <c r="A579" s="19"/>
      <c r="B579" s="20" t="str">
        <f aca="false">IF($X579="","",INDEX('Per Line'!$D$2:$D$4001,$X579))</f>
        <v/>
      </c>
      <c r="C579" s="20" t="str">
        <f aca="false">IF($X579="","",INDEX('Per Line'!$C$2:$C$4001,$X579))</f>
        <v/>
      </c>
      <c r="D579" s="20" t="str">
        <f aca="false">IF($X579="","",INDEX('Per Line'!$A$2:$A$4001,$X579))</f>
        <v/>
      </c>
      <c r="E579" s="21" t="str">
        <f aca="false">IF($X579="","",INDEX('Per Line'!$F$2:$F$4001,$X579))</f>
        <v/>
      </c>
      <c r="F579" s="20" t="str">
        <f aca="false">IF($X579="","",INDEX('Per Line'!$G$2:$G$4001,$X579))</f>
        <v/>
      </c>
      <c r="G579" s="20" t="str">
        <f aca="false">IF($X579="","",INDEX('Per Line'!$I$2:$I$4001,$X579))</f>
        <v/>
      </c>
      <c r="H579" s="20" t="str">
        <f aca="false">IF($X579="","",INDEX('Per Line'!$J$2:$J$4001,$X579))</f>
        <v/>
      </c>
      <c r="I579" s="20" t="str">
        <f aca="false">IF($X579="","",INDEX('Per Line'!$K$2:$K$4001,$X579))</f>
        <v/>
      </c>
      <c r="J579" s="20" t="str">
        <f aca="false">IF($X579="","",INDEX('Per Line'!$L$2:$L$4001,$X579))</f>
        <v/>
      </c>
      <c r="K579" s="20" t="str">
        <f aca="false">IF($X579="","",INDEX('Per Line'!$M$2:$M$4001,$X579))</f>
        <v/>
      </c>
      <c r="L579" s="22" t="str">
        <f aca="false">IF($X579="","",K579*V579/100)</f>
        <v/>
      </c>
      <c r="M579" s="20" t="str">
        <f aca="false">IF($X579="","",INDEX('Per Line'!$Z$2:$Z$4001,$X579))</f>
        <v/>
      </c>
      <c r="N579" s="23" t="str">
        <f aca="false">IF($X579="","",Settings!$C$7)</f>
        <v/>
      </c>
      <c r="O579" s="22" t="str">
        <f aca="false">IF($X579="","",SUMIFS('Per Line'!$Y$2:$Y$4001,'Per Line'!$D$2:$D$4001,$B579,'Per Line'!$AJ$2:$AJ$4001,0))</f>
        <v/>
      </c>
      <c r="P579" s="22" t="str">
        <f aca="false">IF($X579="","",O579*N579)</f>
        <v/>
      </c>
      <c r="Q579" s="23" t="str">
        <f aca="false">IF($X579="","",Settings!$C$6)</f>
        <v/>
      </c>
      <c r="R579" s="22" t="str">
        <f aca="false">IF($X579="","",SUMIFS('Per Line'!$Y$2:$Y$4001,'Per Line'!$D$2:$D$4001,$B579,'Per Line'!$AJ$2:$AJ$4001,1))</f>
        <v/>
      </c>
      <c r="S579" s="22" t="str">
        <f aca="false">IF($X579="","",R579*Q579)</f>
        <v/>
      </c>
      <c r="T579" s="22" t="str">
        <f aca="false">IF($X579="","",S579+P579)</f>
        <v/>
      </c>
      <c r="U579" s="22" t="str">
        <f aca="false">IF($X579="","",V579-T579)</f>
        <v/>
      </c>
      <c r="V579" s="22" t="str">
        <f aca="false">IF($X579="","",O579+R579)</f>
        <v/>
      </c>
      <c r="W579" s="22" t="str">
        <f aca="false">IF($X579="","",U579-L579)</f>
        <v/>
      </c>
      <c r="X579" s="24" t="str">
        <f aca="false">IF(ROWS($X$2:$X579)&lt;=MAX('Per Line'!$AI$2:$AI$4001),MATCH(ROWS($X$2:$X579),'Per Line'!$AI$2:$AI$4001,0),"")</f>
        <v/>
      </c>
    </row>
    <row r="580" customFormat="false" ht="15" hidden="false" customHeight="false" outlineLevel="0" collapsed="false">
      <c r="A580" s="19"/>
      <c r="B580" s="20" t="str">
        <f aca="false">IF($X580="","",INDEX('Per Line'!$D$2:$D$4001,$X580))</f>
        <v/>
      </c>
      <c r="C580" s="20" t="str">
        <f aca="false">IF($X580="","",INDEX('Per Line'!$C$2:$C$4001,$X580))</f>
        <v/>
      </c>
      <c r="D580" s="20" t="str">
        <f aca="false">IF($X580="","",INDEX('Per Line'!$A$2:$A$4001,$X580))</f>
        <v/>
      </c>
      <c r="E580" s="21" t="str">
        <f aca="false">IF($X580="","",INDEX('Per Line'!$F$2:$F$4001,$X580))</f>
        <v/>
      </c>
      <c r="F580" s="20" t="str">
        <f aca="false">IF($X580="","",INDEX('Per Line'!$G$2:$G$4001,$X580))</f>
        <v/>
      </c>
      <c r="G580" s="20" t="str">
        <f aca="false">IF($X580="","",INDEX('Per Line'!$I$2:$I$4001,$X580))</f>
        <v/>
      </c>
      <c r="H580" s="20" t="str">
        <f aca="false">IF($X580="","",INDEX('Per Line'!$J$2:$J$4001,$X580))</f>
        <v/>
      </c>
      <c r="I580" s="20" t="str">
        <f aca="false">IF($X580="","",INDEX('Per Line'!$K$2:$K$4001,$X580))</f>
        <v/>
      </c>
      <c r="J580" s="20" t="str">
        <f aca="false">IF($X580="","",INDEX('Per Line'!$L$2:$L$4001,$X580))</f>
        <v/>
      </c>
      <c r="K580" s="20" t="str">
        <f aca="false">IF($X580="","",INDEX('Per Line'!$M$2:$M$4001,$X580))</f>
        <v/>
      </c>
      <c r="L580" s="22" t="str">
        <f aca="false">IF($X580="","",K580*V580/100)</f>
        <v/>
      </c>
      <c r="M580" s="20" t="str">
        <f aca="false">IF($X580="","",INDEX('Per Line'!$Z$2:$Z$4001,$X580))</f>
        <v/>
      </c>
      <c r="N580" s="23" t="str">
        <f aca="false">IF($X580="","",Settings!$C$7)</f>
        <v/>
      </c>
      <c r="O580" s="22" t="str">
        <f aca="false">IF($X580="","",SUMIFS('Per Line'!$Y$2:$Y$4001,'Per Line'!$D$2:$D$4001,$B580,'Per Line'!$AJ$2:$AJ$4001,0))</f>
        <v/>
      </c>
      <c r="P580" s="22" t="str">
        <f aca="false">IF($X580="","",O580*N580)</f>
        <v/>
      </c>
      <c r="Q580" s="23" t="str">
        <f aca="false">IF($X580="","",Settings!$C$6)</f>
        <v/>
      </c>
      <c r="R580" s="22" t="str">
        <f aca="false">IF($X580="","",SUMIFS('Per Line'!$Y$2:$Y$4001,'Per Line'!$D$2:$D$4001,$B580,'Per Line'!$AJ$2:$AJ$4001,1))</f>
        <v/>
      </c>
      <c r="S580" s="22" t="str">
        <f aca="false">IF($X580="","",R580*Q580)</f>
        <v/>
      </c>
      <c r="T580" s="22" t="str">
        <f aca="false">IF($X580="","",S580+P580)</f>
        <v/>
      </c>
      <c r="U580" s="22" t="str">
        <f aca="false">IF($X580="","",V580-T580)</f>
        <v/>
      </c>
      <c r="V580" s="22" t="str">
        <f aca="false">IF($X580="","",O580+R580)</f>
        <v/>
      </c>
      <c r="W580" s="22" t="str">
        <f aca="false">IF($X580="","",U580-L580)</f>
        <v/>
      </c>
      <c r="X580" s="24" t="str">
        <f aca="false">IF(ROWS($X$2:$X580)&lt;=MAX('Per Line'!$AI$2:$AI$4001),MATCH(ROWS($X$2:$X580),'Per Line'!$AI$2:$AI$4001,0),"")</f>
        <v/>
      </c>
    </row>
    <row r="581" customFormat="false" ht="15" hidden="false" customHeight="false" outlineLevel="0" collapsed="false">
      <c r="A581" s="19"/>
      <c r="B581" s="20" t="str">
        <f aca="false">IF($X581="","",INDEX('Per Line'!$D$2:$D$4001,$X581))</f>
        <v/>
      </c>
      <c r="C581" s="20" t="str">
        <f aca="false">IF($X581="","",INDEX('Per Line'!$C$2:$C$4001,$X581))</f>
        <v/>
      </c>
      <c r="D581" s="20" t="str">
        <f aca="false">IF($X581="","",INDEX('Per Line'!$A$2:$A$4001,$X581))</f>
        <v/>
      </c>
      <c r="E581" s="21" t="str">
        <f aca="false">IF($X581="","",INDEX('Per Line'!$F$2:$F$4001,$X581))</f>
        <v/>
      </c>
      <c r="F581" s="20" t="str">
        <f aca="false">IF($X581="","",INDEX('Per Line'!$G$2:$G$4001,$X581))</f>
        <v/>
      </c>
      <c r="G581" s="20" t="str">
        <f aca="false">IF($X581="","",INDEX('Per Line'!$I$2:$I$4001,$X581))</f>
        <v/>
      </c>
      <c r="H581" s="20" t="str">
        <f aca="false">IF($X581="","",INDEX('Per Line'!$J$2:$J$4001,$X581))</f>
        <v/>
      </c>
      <c r="I581" s="20" t="str">
        <f aca="false">IF($X581="","",INDEX('Per Line'!$K$2:$K$4001,$X581))</f>
        <v/>
      </c>
      <c r="J581" s="20" t="str">
        <f aca="false">IF($X581="","",INDEX('Per Line'!$L$2:$L$4001,$X581))</f>
        <v/>
      </c>
      <c r="K581" s="20" t="str">
        <f aca="false">IF($X581="","",INDEX('Per Line'!$M$2:$M$4001,$X581))</f>
        <v/>
      </c>
      <c r="L581" s="22" t="str">
        <f aca="false">IF($X581="","",K581*V581/100)</f>
        <v/>
      </c>
      <c r="M581" s="20" t="str">
        <f aca="false">IF($X581="","",INDEX('Per Line'!$Z$2:$Z$4001,$X581))</f>
        <v/>
      </c>
      <c r="N581" s="23" t="str">
        <f aca="false">IF($X581="","",Settings!$C$7)</f>
        <v/>
      </c>
      <c r="O581" s="22" t="str">
        <f aca="false">IF($X581="","",SUMIFS('Per Line'!$Y$2:$Y$4001,'Per Line'!$D$2:$D$4001,$B581,'Per Line'!$AJ$2:$AJ$4001,0))</f>
        <v/>
      </c>
      <c r="P581" s="22" t="str">
        <f aca="false">IF($X581="","",O581*N581)</f>
        <v/>
      </c>
      <c r="Q581" s="23" t="str">
        <f aca="false">IF($X581="","",Settings!$C$6)</f>
        <v/>
      </c>
      <c r="R581" s="22" t="str">
        <f aca="false">IF($X581="","",SUMIFS('Per Line'!$Y$2:$Y$4001,'Per Line'!$D$2:$D$4001,$B581,'Per Line'!$AJ$2:$AJ$4001,1))</f>
        <v/>
      </c>
      <c r="S581" s="22" t="str">
        <f aca="false">IF($X581="","",R581*Q581)</f>
        <v/>
      </c>
      <c r="T581" s="22" t="str">
        <f aca="false">IF($X581="","",S581+P581)</f>
        <v/>
      </c>
      <c r="U581" s="22" t="str">
        <f aca="false">IF($X581="","",V581-T581)</f>
        <v/>
      </c>
      <c r="V581" s="22" t="str">
        <f aca="false">IF($X581="","",O581+R581)</f>
        <v/>
      </c>
      <c r="W581" s="22" t="str">
        <f aca="false">IF($X581="","",U581-L581)</f>
        <v/>
      </c>
      <c r="X581" s="24" t="str">
        <f aca="false">IF(ROWS($X$2:$X581)&lt;=MAX('Per Line'!$AI$2:$AI$4001),MATCH(ROWS($X$2:$X581),'Per Line'!$AI$2:$AI$4001,0),"")</f>
        <v/>
      </c>
    </row>
    <row r="582" customFormat="false" ht="15" hidden="false" customHeight="false" outlineLevel="0" collapsed="false">
      <c r="A582" s="19"/>
      <c r="B582" s="20" t="str">
        <f aca="false">IF($X582="","",INDEX('Per Line'!$D$2:$D$4001,$X582))</f>
        <v/>
      </c>
      <c r="C582" s="20" t="str">
        <f aca="false">IF($X582="","",INDEX('Per Line'!$C$2:$C$4001,$X582))</f>
        <v/>
      </c>
      <c r="D582" s="20" t="str">
        <f aca="false">IF($X582="","",INDEX('Per Line'!$A$2:$A$4001,$X582))</f>
        <v/>
      </c>
      <c r="E582" s="21" t="str">
        <f aca="false">IF($X582="","",INDEX('Per Line'!$F$2:$F$4001,$X582))</f>
        <v/>
      </c>
      <c r="F582" s="20" t="str">
        <f aca="false">IF($X582="","",INDEX('Per Line'!$G$2:$G$4001,$X582))</f>
        <v/>
      </c>
      <c r="G582" s="20" t="str">
        <f aca="false">IF($X582="","",INDEX('Per Line'!$I$2:$I$4001,$X582))</f>
        <v/>
      </c>
      <c r="H582" s="20" t="str">
        <f aca="false">IF($X582="","",INDEX('Per Line'!$J$2:$J$4001,$X582))</f>
        <v/>
      </c>
      <c r="I582" s="20" t="str">
        <f aca="false">IF($X582="","",INDEX('Per Line'!$K$2:$K$4001,$X582))</f>
        <v/>
      </c>
      <c r="J582" s="20" t="str">
        <f aca="false">IF($X582="","",INDEX('Per Line'!$L$2:$L$4001,$X582))</f>
        <v/>
      </c>
      <c r="K582" s="20" t="str">
        <f aca="false">IF($X582="","",INDEX('Per Line'!$M$2:$M$4001,$X582))</f>
        <v/>
      </c>
      <c r="L582" s="22" t="str">
        <f aca="false">IF($X582="","",K582*V582/100)</f>
        <v/>
      </c>
      <c r="M582" s="20" t="str">
        <f aca="false">IF($X582="","",INDEX('Per Line'!$Z$2:$Z$4001,$X582))</f>
        <v/>
      </c>
      <c r="N582" s="23" t="str">
        <f aca="false">IF($X582="","",Settings!$C$7)</f>
        <v/>
      </c>
      <c r="O582" s="22" t="str">
        <f aca="false">IF($X582="","",SUMIFS('Per Line'!$Y$2:$Y$4001,'Per Line'!$D$2:$D$4001,$B582,'Per Line'!$AJ$2:$AJ$4001,0))</f>
        <v/>
      </c>
      <c r="P582" s="22" t="str">
        <f aca="false">IF($X582="","",O582*N582)</f>
        <v/>
      </c>
      <c r="Q582" s="23" t="str">
        <f aca="false">IF($X582="","",Settings!$C$6)</f>
        <v/>
      </c>
      <c r="R582" s="22" t="str">
        <f aca="false">IF($X582="","",SUMIFS('Per Line'!$Y$2:$Y$4001,'Per Line'!$D$2:$D$4001,$B582,'Per Line'!$AJ$2:$AJ$4001,1))</f>
        <v/>
      </c>
      <c r="S582" s="22" t="str">
        <f aca="false">IF($X582="","",R582*Q582)</f>
        <v/>
      </c>
      <c r="T582" s="22" t="str">
        <f aca="false">IF($X582="","",S582+P582)</f>
        <v/>
      </c>
      <c r="U582" s="22" t="str">
        <f aca="false">IF($X582="","",V582-T582)</f>
        <v/>
      </c>
      <c r="V582" s="22" t="str">
        <f aca="false">IF($X582="","",O582+R582)</f>
        <v/>
      </c>
      <c r="W582" s="22" t="str">
        <f aca="false">IF($X582="","",U582-L582)</f>
        <v/>
      </c>
      <c r="X582" s="24" t="str">
        <f aca="false">IF(ROWS($X$2:$X582)&lt;=MAX('Per Line'!$AI$2:$AI$4001),MATCH(ROWS($X$2:$X582),'Per Line'!$AI$2:$AI$4001,0),"")</f>
        <v/>
      </c>
    </row>
    <row r="583" customFormat="false" ht="15" hidden="false" customHeight="false" outlineLevel="0" collapsed="false">
      <c r="A583" s="19"/>
      <c r="B583" s="20" t="str">
        <f aca="false">IF($X583="","",INDEX('Per Line'!$D$2:$D$4001,$X583))</f>
        <v/>
      </c>
      <c r="C583" s="20" t="str">
        <f aca="false">IF($X583="","",INDEX('Per Line'!$C$2:$C$4001,$X583))</f>
        <v/>
      </c>
      <c r="D583" s="20" t="str">
        <f aca="false">IF($X583="","",INDEX('Per Line'!$A$2:$A$4001,$X583))</f>
        <v/>
      </c>
      <c r="E583" s="21" t="str">
        <f aca="false">IF($X583="","",INDEX('Per Line'!$F$2:$F$4001,$X583))</f>
        <v/>
      </c>
      <c r="F583" s="20" t="str">
        <f aca="false">IF($X583="","",INDEX('Per Line'!$G$2:$G$4001,$X583))</f>
        <v/>
      </c>
      <c r="G583" s="20" t="str">
        <f aca="false">IF($X583="","",INDEX('Per Line'!$I$2:$I$4001,$X583))</f>
        <v/>
      </c>
      <c r="H583" s="20" t="str">
        <f aca="false">IF($X583="","",INDEX('Per Line'!$J$2:$J$4001,$X583))</f>
        <v/>
      </c>
      <c r="I583" s="20" t="str">
        <f aca="false">IF($X583="","",INDEX('Per Line'!$K$2:$K$4001,$X583))</f>
        <v/>
      </c>
      <c r="J583" s="20" t="str">
        <f aca="false">IF($X583="","",INDEX('Per Line'!$L$2:$L$4001,$X583))</f>
        <v/>
      </c>
      <c r="K583" s="20" t="str">
        <f aca="false">IF($X583="","",INDEX('Per Line'!$M$2:$M$4001,$X583))</f>
        <v/>
      </c>
      <c r="L583" s="22" t="str">
        <f aca="false">IF($X583="","",K583*V583/100)</f>
        <v/>
      </c>
      <c r="M583" s="20" t="str">
        <f aca="false">IF($X583="","",INDEX('Per Line'!$Z$2:$Z$4001,$X583))</f>
        <v/>
      </c>
      <c r="N583" s="23" t="str">
        <f aca="false">IF($X583="","",Settings!$C$7)</f>
        <v/>
      </c>
      <c r="O583" s="22" t="str">
        <f aca="false">IF($X583="","",SUMIFS('Per Line'!$Y$2:$Y$4001,'Per Line'!$D$2:$D$4001,$B583,'Per Line'!$AJ$2:$AJ$4001,0))</f>
        <v/>
      </c>
      <c r="P583" s="22" t="str">
        <f aca="false">IF($X583="","",O583*N583)</f>
        <v/>
      </c>
      <c r="Q583" s="23" t="str">
        <f aca="false">IF($X583="","",Settings!$C$6)</f>
        <v/>
      </c>
      <c r="R583" s="22" t="str">
        <f aca="false">IF($X583="","",SUMIFS('Per Line'!$Y$2:$Y$4001,'Per Line'!$D$2:$D$4001,$B583,'Per Line'!$AJ$2:$AJ$4001,1))</f>
        <v/>
      </c>
      <c r="S583" s="22" t="str">
        <f aca="false">IF($X583="","",R583*Q583)</f>
        <v/>
      </c>
      <c r="T583" s="22" t="str">
        <f aca="false">IF($X583="","",S583+P583)</f>
        <v/>
      </c>
      <c r="U583" s="22" t="str">
        <f aca="false">IF($X583="","",V583-T583)</f>
        <v/>
      </c>
      <c r="V583" s="22" t="str">
        <f aca="false">IF($X583="","",O583+R583)</f>
        <v/>
      </c>
      <c r="W583" s="22" t="str">
        <f aca="false">IF($X583="","",U583-L583)</f>
        <v/>
      </c>
      <c r="X583" s="24" t="str">
        <f aca="false">IF(ROWS($X$2:$X583)&lt;=MAX('Per Line'!$AI$2:$AI$4001),MATCH(ROWS($X$2:$X583),'Per Line'!$AI$2:$AI$4001,0),"")</f>
        <v/>
      </c>
    </row>
    <row r="584" customFormat="false" ht="15" hidden="false" customHeight="false" outlineLevel="0" collapsed="false">
      <c r="A584" s="19"/>
      <c r="B584" s="20" t="str">
        <f aca="false">IF($X584="","",INDEX('Per Line'!$D$2:$D$4001,$X584))</f>
        <v/>
      </c>
      <c r="C584" s="20" t="str">
        <f aca="false">IF($X584="","",INDEX('Per Line'!$C$2:$C$4001,$X584))</f>
        <v/>
      </c>
      <c r="D584" s="20" t="str">
        <f aca="false">IF($X584="","",INDEX('Per Line'!$A$2:$A$4001,$X584))</f>
        <v/>
      </c>
      <c r="E584" s="21" t="str">
        <f aca="false">IF($X584="","",INDEX('Per Line'!$F$2:$F$4001,$X584))</f>
        <v/>
      </c>
      <c r="F584" s="20" t="str">
        <f aca="false">IF($X584="","",INDEX('Per Line'!$G$2:$G$4001,$X584))</f>
        <v/>
      </c>
      <c r="G584" s="20" t="str">
        <f aca="false">IF($X584="","",INDEX('Per Line'!$I$2:$I$4001,$X584))</f>
        <v/>
      </c>
      <c r="H584" s="20" t="str">
        <f aca="false">IF($X584="","",INDEX('Per Line'!$J$2:$J$4001,$X584))</f>
        <v/>
      </c>
      <c r="I584" s="20" t="str">
        <f aca="false">IF($X584="","",INDEX('Per Line'!$K$2:$K$4001,$X584))</f>
        <v/>
      </c>
      <c r="J584" s="20" t="str">
        <f aca="false">IF($X584="","",INDEX('Per Line'!$L$2:$L$4001,$X584))</f>
        <v/>
      </c>
      <c r="K584" s="20" t="str">
        <f aca="false">IF($X584="","",INDEX('Per Line'!$M$2:$M$4001,$X584))</f>
        <v/>
      </c>
      <c r="L584" s="22" t="str">
        <f aca="false">IF($X584="","",K584*V584/100)</f>
        <v/>
      </c>
      <c r="M584" s="20" t="str">
        <f aca="false">IF($X584="","",INDEX('Per Line'!$Z$2:$Z$4001,$X584))</f>
        <v/>
      </c>
      <c r="N584" s="23" t="str">
        <f aca="false">IF($X584="","",Settings!$C$7)</f>
        <v/>
      </c>
      <c r="O584" s="22" t="str">
        <f aca="false">IF($X584="","",SUMIFS('Per Line'!$Y$2:$Y$4001,'Per Line'!$D$2:$D$4001,$B584,'Per Line'!$AJ$2:$AJ$4001,0))</f>
        <v/>
      </c>
      <c r="P584" s="22" t="str">
        <f aca="false">IF($X584="","",O584*N584)</f>
        <v/>
      </c>
      <c r="Q584" s="23" t="str">
        <f aca="false">IF($X584="","",Settings!$C$6)</f>
        <v/>
      </c>
      <c r="R584" s="22" t="str">
        <f aca="false">IF($X584="","",SUMIFS('Per Line'!$Y$2:$Y$4001,'Per Line'!$D$2:$D$4001,$B584,'Per Line'!$AJ$2:$AJ$4001,1))</f>
        <v/>
      </c>
      <c r="S584" s="22" t="str">
        <f aca="false">IF($X584="","",R584*Q584)</f>
        <v/>
      </c>
      <c r="T584" s="22" t="str">
        <f aca="false">IF($X584="","",S584+P584)</f>
        <v/>
      </c>
      <c r="U584" s="22" t="str">
        <f aca="false">IF($X584="","",V584-T584)</f>
        <v/>
      </c>
      <c r="V584" s="22" t="str">
        <f aca="false">IF($X584="","",O584+R584)</f>
        <v/>
      </c>
      <c r="W584" s="22" t="str">
        <f aca="false">IF($X584="","",U584-L584)</f>
        <v/>
      </c>
      <c r="X584" s="24" t="str">
        <f aca="false">IF(ROWS($X$2:$X584)&lt;=MAX('Per Line'!$AI$2:$AI$4001),MATCH(ROWS($X$2:$X584),'Per Line'!$AI$2:$AI$4001,0),"")</f>
        <v/>
      </c>
    </row>
    <row r="585" customFormat="false" ht="15" hidden="false" customHeight="false" outlineLevel="0" collapsed="false">
      <c r="A585" s="19"/>
      <c r="B585" s="20" t="str">
        <f aca="false">IF($X585="","",INDEX('Per Line'!$D$2:$D$4001,$X585))</f>
        <v/>
      </c>
      <c r="C585" s="20" t="str">
        <f aca="false">IF($X585="","",INDEX('Per Line'!$C$2:$C$4001,$X585))</f>
        <v/>
      </c>
      <c r="D585" s="20" t="str">
        <f aca="false">IF($X585="","",INDEX('Per Line'!$A$2:$A$4001,$X585))</f>
        <v/>
      </c>
      <c r="E585" s="21" t="str">
        <f aca="false">IF($X585="","",INDEX('Per Line'!$F$2:$F$4001,$X585))</f>
        <v/>
      </c>
      <c r="F585" s="20" t="str">
        <f aca="false">IF($X585="","",INDEX('Per Line'!$G$2:$G$4001,$X585))</f>
        <v/>
      </c>
      <c r="G585" s="20" t="str">
        <f aca="false">IF($X585="","",INDEX('Per Line'!$I$2:$I$4001,$X585))</f>
        <v/>
      </c>
      <c r="H585" s="20" t="str">
        <f aca="false">IF($X585="","",INDEX('Per Line'!$J$2:$J$4001,$X585))</f>
        <v/>
      </c>
      <c r="I585" s="20" t="str">
        <f aca="false">IF($X585="","",INDEX('Per Line'!$K$2:$K$4001,$X585))</f>
        <v/>
      </c>
      <c r="J585" s="20" t="str">
        <f aca="false">IF($X585="","",INDEX('Per Line'!$L$2:$L$4001,$X585))</f>
        <v/>
      </c>
      <c r="K585" s="20" t="str">
        <f aca="false">IF($X585="","",INDEX('Per Line'!$M$2:$M$4001,$X585))</f>
        <v/>
      </c>
      <c r="L585" s="22" t="str">
        <f aca="false">IF($X585="","",K585*V585/100)</f>
        <v/>
      </c>
      <c r="M585" s="20" t="str">
        <f aca="false">IF($X585="","",INDEX('Per Line'!$Z$2:$Z$4001,$X585))</f>
        <v/>
      </c>
      <c r="N585" s="23" t="str">
        <f aca="false">IF($X585="","",Settings!$C$7)</f>
        <v/>
      </c>
      <c r="O585" s="22" t="str">
        <f aca="false">IF($X585="","",SUMIFS('Per Line'!$Y$2:$Y$4001,'Per Line'!$D$2:$D$4001,$B585,'Per Line'!$AJ$2:$AJ$4001,0))</f>
        <v/>
      </c>
      <c r="P585" s="22" t="str">
        <f aca="false">IF($X585="","",O585*N585)</f>
        <v/>
      </c>
      <c r="Q585" s="23" t="str">
        <f aca="false">IF($X585="","",Settings!$C$6)</f>
        <v/>
      </c>
      <c r="R585" s="22" t="str">
        <f aca="false">IF($X585="","",SUMIFS('Per Line'!$Y$2:$Y$4001,'Per Line'!$D$2:$D$4001,$B585,'Per Line'!$AJ$2:$AJ$4001,1))</f>
        <v/>
      </c>
      <c r="S585" s="22" t="str">
        <f aca="false">IF($X585="","",R585*Q585)</f>
        <v/>
      </c>
      <c r="T585" s="22" t="str">
        <f aca="false">IF($X585="","",S585+P585)</f>
        <v/>
      </c>
      <c r="U585" s="22" t="str">
        <f aca="false">IF($X585="","",V585-T585)</f>
        <v/>
      </c>
      <c r="V585" s="22" t="str">
        <f aca="false">IF($X585="","",O585+R585)</f>
        <v/>
      </c>
      <c r="W585" s="22" t="str">
        <f aca="false">IF($X585="","",U585-L585)</f>
        <v/>
      </c>
      <c r="X585" s="24" t="str">
        <f aca="false">IF(ROWS($X$2:$X585)&lt;=MAX('Per Line'!$AI$2:$AI$4001),MATCH(ROWS($X$2:$X585),'Per Line'!$AI$2:$AI$4001,0),"")</f>
        <v/>
      </c>
    </row>
    <row r="586" customFormat="false" ht="15" hidden="false" customHeight="false" outlineLevel="0" collapsed="false">
      <c r="A586" s="19"/>
      <c r="B586" s="20" t="str">
        <f aca="false">IF($X586="","",INDEX('Per Line'!$D$2:$D$4001,$X586))</f>
        <v/>
      </c>
      <c r="C586" s="20" t="str">
        <f aca="false">IF($X586="","",INDEX('Per Line'!$C$2:$C$4001,$X586))</f>
        <v/>
      </c>
      <c r="D586" s="20" t="str">
        <f aca="false">IF($X586="","",INDEX('Per Line'!$A$2:$A$4001,$X586))</f>
        <v/>
      </c>
      <c r="E586" s="21" t="str">
        <f aca="false">IF($X586="","",INDEX('Per Line'!$F$2:$F$4001,$X586))</f>
        <v/>
      </c>
      <c r="F586" s="20" t="str">
        <f aca="false">IF($X586="","",INDEX('Per Line'!$G$2:$G$4001,$X586))</f>
        <v/>
      </c>
      <c r="G586" s="20" t="str">
        <f aca="false">IF($X586="","",INDEX('Per Line'!$I$2:$I$4001,$X586))</f>
        <v/>
      </c>
      <c r="H586" s="20" t="str">
        <f aca="false">IF($X586="","",INDEX('Per Line'!$J$2:$J$4001,$X586))</f>
        <v/>
      </c>
      <c r="I586" s="20" t="str">
        <f aca="false">IF($X586="","",INDEX('Per Line'!$K$2:$K$4001,$X586))</f>
        <v/>
      </c>
      <c r="J586" s="20" t="str">
        <f aca="false">IF($X586="","",INDEX('Per Line'!$L$2:$L$4001,$X586))</f>
        <v/>
      </c>
      <c r="K586" s="20" t="str">
        <f aca="false">IF($X586="","",INDEX('Per Line'!$M$2:$M$4001,$X586))</f>
        <v/>
      </c>
      <c r="L586" s="22" t="str">
        <f aca="false">IF($X586="","",K586*V586/100)</f>
        <v/>
      </c>
      <c r="M586" s="20" t="str">
        <f aca="false">IF($X586="","",INDEX('Per Line'!$Z$2:$Z$4001,$X586))</f>
        <v/>
      </c>
      <c r="N586" s="23" t="str">
        <f aca="false">IF($X586="","",Settings!$C$7)</f>
        <v/>
      </c>
      <c r="O586" s="22" t="str">
        <f aca="false">IF($X586="","",SUMIFS('Per Line'!$Y$2:$Y$4001,'Per Line'!$D$2:$D$4001,$B586,'Per Line'!$AJ$2:$AJ$4001,0))</f>
        <v/>
      </c>
      <c r="P586" s="22" t="str">
        <f aca="false">IF($X586="","",O586*N586)</f>
        <v/>
      </c>
      <c r="Q586" s="23" t="str">
        <f aca="false">IF($X586="","",Settings!$C$6)</f>
        <v/>
      </c>
      <c r="R586" s="22" t="str">
        <f aca="false">IF($X586="","",SUMIFS('Per Line'!$Y$2:$Y$4001,'Per Line'!$D$2:$D$4001,$B586,'Per Line'!$AJ$2:$AJ$4001,1))</f>
        <v/>
      </c>
      <c r="S586" s="22" t="str">
        <f aca="false">IF($X586="","",R586*Q586)</f>
        <v/>
      </c>
      <c r="T586" s="22" t="str">
        <f aca="false">IF($X586="","",S586+P586)</f>
        <v/>
      </c>
      <c r="U586" s="22" t="str">
        <f aca="false">IF($X586="","",V586-T586)</f>
        <v/>
      </c>
      <c r="V586" s="22" t="str">
        <f aca="false">IF($X586="","",O586+R586)</f>
        <v/>
      </c>
      <c r="W586" s="22" t="str">
        <f aca="false">IF($X586="","",U586-L586)</f>
        <v/>
      </c>
      <c r="X586" s="24" t="str">
        <f aca="false">IF(ROWS($X$2:$X586)&lt;=MAX('Per Line'!$AI$2:$AI$4001),MATCH(ROWS($X$2:$X586),'Per Line'!$AI$2:$AI$4001,0),"")</f>
        <v/>
      </c>
    </row>
    <row r="587" customFormat="false" ht="15" hidden="false" customHeight="false" outlineLevel="0" collapsed="false">
      <c r="A587" s="19"/>
      <c r="B587" s="20" t="str">
        <f aca="false">IF($X587="","",INDEX('Per Line'!$D$2:$D$4001,$X587))</f>
        <v/>
      </c>
      <c r="C587" s="20" t="str">
        <f aca="false">IF($X587="","",INDEX('Per Line'!$C$2:$C$4001,$X587))</f>
        <v/>
      </c>
      <c r="D587" s="20" t="str">
        <f aca="false">IF($X587="","",INDEX('Per Line'!$A$2:$A$4001,$X587))</f>
        <v/>
      </c>
      <c r="E587" s="21" t="str">
        <f aca="false">IF($X587="","",INDEX('Per Line'!$F$2:$F$4001,$X587))</f>
        <v/>
      </c>
      <c r="F587" s="20" t="str">
        <f aca="false">IF($X587="","",INDEX('Per Line'!$G$2:$G$4001,$X587))</f>
        <v/>
      </c>
      <c r="G587" s="20" t="str">
        <f aca="false">IF($X587="","",INDEX('Per Line'!$I$2:$I$4001,$X587))</f>
        <v/>
      </c>
      <c r="H587" s="20" t="str">
        <f aca="false">IF($X587="","",INDEX('Per Line'!$J$2:$J$4001,$X587))</f>
        <v/>
      </c>
      <c r="I587" s="20" t="str">
        <f aca="false">IF($X587="","",INDEX('Per Line'!$K$2:$K$4001,$X587))</f>
        <v/>
      </c>
      <c r="J587" s="20" t="str">
        <f aca="false">IF($X587="","",INDEX('Per Line'!$L$2:$L$4001,$X587))</f>
        <v/>
      </c>
      <c r="K587" s="20" t="str">
        <f aca="false">IF($X587="","",INDEX('Per Line'!$M$2:$M$4001,$X587))</f>
        <v/>
      </c>
      <c r="L587" s="22" t="str">
        <f aca="false">IF($X587="","",K587*V587/100)</f>
        <v/>
      </c>
      <c r="M587" s="20" t="str">
        <f aca="false">IF($X587="","",INDEX('Per Line'!$Z$2:$Z$4001,$X587))</f>
        <v/>
      </c>
      <c r="N587" s="23" t="str">
        <f aca="false">IF($X587="","",Settings!$C$7)</f>
        <v/>
      </c>
      <c r="O587" s="22" t="str">
        <f aca="false">IF($X587="","",SUMIFS('Per Line'!$Y$2:$Y$4001,'Per Line'!$D$2:$D$4001,$B587,'Per Line'!$AJ$2:$AJ$4001,0))</f>
        <v/>
      </c>
      <c r="P587" s="22" t="str">
        <f aca="false">IF($X587="","",O587*N587)</f>
        <v/>
      </c>
      <c r="Q587" s="23" t="str">
        <f aca="false">IF($X587="","",Settings!$C$6)</f>
        <v/>
      </c>
      <c r="R587" s="22" t="str">
        <f aca="false">IF($X587="","",SUMIFS('Per Line'!$Y$2:$Y$4001,'Per Line'!$D$2:$D$4001,$B587,'Per Line'!$AJ$2:$AJ$4001,1))</f>
        <v/>
      </c>
      <c r="S587" s="22" t="str">
        <f aca="false">IF($X587="","",R587*Q587)</f>
        <v/>
      </c>
      <c r="T587" s="22" t="str">
        <f aca="false">IF($X587="","",S587+P587)</f>
        <v/>
      </c>
      <c r="U587" s="22" t="str">
        <f aca="false">IF($X587="","",V587-T587)</f>
        <v/>
      </c>
      <c r="V587" s="22" t="str">
        <f aca="false">IF($X587="","",O587+R587)</f>
        <v/>
      </c>
      <c r="W587" s="22" t="str">
        <f aca="false">IF($X587="","",U587-L587)</f>
        <v/>
      </c>
      <c r="X587" s="24" t="str">
        <f aca="false">IF(ROWS($X$2:$X587)&lt;=MAX('Per Line'!$AI$2:$AI$4001),MATCH(ROWS($X$2:$X587),'Per Line'!$AI$2:$AI$4001,0),"")</f>
        <v/>
      </c>
    </row>
    <row r="588" customFormat="false" ht="15" hidden="false" customHeight="false" outlineLevel="0" collapsed="false">
      <c r="A588" s="19"/>
      <c r="B588" s="20" t="str">
        <f aca="false">IF($X588="","",INDEX('Per Line'!$D$2:$D$4001,$X588))</f>
        <v/>
      </c>
      <c r="C588" s="20" t="str">
        <f aca="false">IF($X588="","",INDEX('Per Line'!$C$2:$C$4001,$X588))</f>
        <v/>
      </c>
      <c r="D588" s="20" t="str">
        <f aca="false">IF($X588="","",INDEX('Per Line'!$A$2:$A$4001,$X588))</f>
        <v/>
      </c>
      <c r="E588" s="21" t="str">
        <f aca="false">IF($X588="","",INDEX('Per Line'!$F$2:$F$4001,$X588))</f>
        <v/>
      </c>
      <c r="F588" s="20" t="str">
        <f aca="false">IF($X588="","",INDEX('Per Line'!$G$2:$G$4001,$X588))</f>
        <v/>
      </c>
      <c r="G588" s="20" t="str">
        <f aca="false">IF($X588="","",INDEX('Per Line'!$I$2:$I$4001,$X588))</f>
        <v/>
      </c>
      <c r="H588" s="20" t="str">
        <f aca="false">IF($X588="","",INDEX('Per Line'!$J$2:$J$4001,$X588))</f>
        <v/>
      </c>
      <c r="I588" s="20" t="str">
        <f aca="false">IF($X588="","",INDEX('Per Line'!$K$2:$K$4001,$X588))</f>
        <v/>
      </c>
      <c r="J588" s="20" t="str">
        <f aca="false">IF($X588="","",INDEX('Per Line'!$L$2:$L$4001,$X588))</f>
        <v/>
      </c>
      <c r="K588" s="20" t="str">
        <f aca="false">IF($X588="","",INDEX('Per Line'!$M$2:$M$4001,$X588))</f>
        <v/>
      </c>
      <c r="L588" s="22" t="str">
        <f aca="false">IF($X588="","",K588*V588/100)</f>
        <v/>
      </c>
      <c r="M588" s="20" t="str">
        <f aca="false">IF($X588="","",INDEX('Per Line'!$Z$2:$Z$4001,$X588))</f>
        <v/>
      </c>
      <c r="N588" s="23" t="str">
        <f aca="false">IF($X588="","",Settings!$C$7)</f>
        <v/>
      </c>
      <c r="O588" s="22" t="str">
        <f aca="false">IF($X588="","",SUMIFS('Per Line'!$Y$2:$Y$4001,'Per Line'!$D$2:$D$4001,$B588,'Per Line'!$AJ$2:$AJ$4001,0))</f>
        <v/>
      </c>
      <c r="P588" s="22" t="str">
        <f aca="false">IF($X588="","",O588*N588)</f>
        <v/>
      </c>
      <c r="Q588" s="23" t="str">
        <f aca="false">IF($X588="","",Settings!$C$6)</f>
        <v/>
      </c>
      <c r="R588" s="22" t="str">
        <f aca="false">IF($X588="","",SUMIFS('Per Line'!$Y$2:$Y$4001,'Per Line'!$D$2:$D$4001,$B588,'Per Line'!$AJ$2:$AJ$4001,1))</f>
        <v/>
      </c>
      <c r="S588" s="22" t="str">
        <f aca="false">IF($X588="","",R588*Q588)</f>
        <v/>
      </c>
      <c r="T588" s="22" t="str">
        <f aca="false">IF($X588="","",S588+P588)</f>
        <v/>
      </c>
      <c r="U588" s="22" t="str">
        <f aca="false">IF($X588="","",V588-T588)</f>
        <v/>
      </c>
      <c r="V588" s="22" t="str">
        <f aca="false">IF($X588="","",O588+R588)</f>
        <v/>
      </c>
      <c r="W588" s="22" t="str">
        <f aca="false">IF($X588="","",U588-L588)</f>
        <v/>
      </c>
      <c r="X588" s="24" t="str">
        <f aca="false">IF(ROWS($X$2:$X588)&lt;=MAX('Per Line'!$AI$2:$AI$4001),MATCH(ROWS($X$2:$X588),'Per Line'!$AI$2:$AI$4001,0),"")</f>
        <v/>
      </c>
    </row>
    <row r="589" customFormat="false" ht="15" hidden="false" customHeight="false" outlineLevel="0" collapsed="false">
      <c r="A589" s="19"/>
      <c r="B589" s="20" t="str">
        <f aca="false">IF($X589="","",INDEX('Per Line'!$D$2:$D$4001,$X589))</f>
        <v/>
      </c>
      <c r="C589" s="20" t="str">
        <f aca="false">IF($X589="","",INDEX('Per Line'!$C$2:$C$4001,$X589))</f>
        <v/>
      </c>
      <c r="D589" s="20" t="str">
        <f aca="false">IF($X589="","",INDEX('Per Line'!$A$2:$A$4001,$X589))</f>
        <v/>
      </c>
      <c r="E589" s="21" t="str">
        <f aca="false">IF($X589="","",INDEX('Per Line'!$F$2:$F$4001,$X589))</f>
        <v/>
      </c>
      <c r="F589" s="20" t="str">
        <f aca="false">IF($X589="","",INDEX('Per Line'!$G$2:$G$4001,$X589))</f>
        <v/>
      </c>
      <c r="G589" s="20" t="str">
        <f aca="false">IF($X589="","",INDEX('Per Line'!$I$2:$I$4001,$X589))</f>
        <v/>
      </c>
      <c r="H589" s="20" t="str">
        <f aca="false">IF($X589="","",INDEX('Per Line'!$J$2:$J$4001,$X589))</f>
        <v/>
      </c>
      <c r="I589" s="20" t="str">
        <f aca="false">IF($X589="","",INDEX('Per Line'!$K$2:$K$4001,$X589))</f>
        <v/>
      </c>
      <c r="J589" s="20" t="str">
        <f aca="false">IF($X589="","",INDEX('Per Line'!$L$2:$L$4001,$X589))</f>
        <v/>
      </c>
      <c r="K589" s="20" t="str">
        <f aca="false">IF($X589="","",INDEX('Per Line'!$M$2:$M$4001,$X589))</f>
        <v/>
      </c>
      <c r="L589" s="22" t="str">
        <f aca="false">IF($X589="","",K589*V589/100)</f>
        <v/>
      </c>
      <c r="M589" s="20" t="str">
        <f aca="false">IF($X589="","",INDEX('Per Line'!$Z$2:$Z$4001,$X589))</f>
        <v/>
      </c>
      <c r="N589" s="23" t="str">
        <f aca="false">IF($X589="","",Settings!$C$7)</f>
        <v/>
      </c>
      <c r="O589" s="22" t="str">
        <f aca="false">IF($X589="","",SUMIFS('Per Line'!$Y$2:$Y$4001,'Per Line'!$D$2:$D$4001,$B589,'Per Line'!$AJ$2:$AJ$4001,0))</f>
        <v/>
      </c>
      <c r="P589" s="22" t="str">
        <f aca="false">IF($X589="","",O589*N589)</f>
        <v/>
      </c>
      <c r="Q589" s="23" t="str">
        <f aca="false">IF($X589="","",Settings!$C$6)</f>
        <v/>
      </c>
      <c r="R589" s="22" t="str">
        <f aca="false">IF($X589="","",SUMIFS('Per Line'!$Y$2:$Y$4001,'Per Line'!$D$2:$D$4001,$B589,'Per Line'!$AJ$2:$AJ$4001,1))</f>
        <v/>
      </c>
      <c r="S589" s="22" t="str">
        <f aca="false">IF($X589="","",R589*Q589)</f>
        <v/>
      </c>
      <c r="T589" s="22" t="str">
        <f aca="false">IF($X589="","",S589+P589)</f>
        <v/>
      </c>
      <c r="U589" s="22" t="str">
        <f aca="false">IF($X589="","",V589-T589)</f>
        <v/>
      </c>
      <c r="V589" s="22" t="str">
        <f aca="false">IF($X589="","",O589+R589)</f>
        <v/>
      </c>
      <c r="W589" s="22" t="str">
        <f aca="false">IF($X589="","",U589-L589)</f>
        <v/>
      </c>
      <c r="X589" s="24" t="str">
        <f aca="false">IF(ROWS($X$2:$X589)&lt;=MAX('Per Line'!$AI$2:$AI$4001),MATCH(ROWS($X$2:$X589),'Per Line'!$AI$2:$AI$4001,0),"")</f>
        <v/>
      </c>
    </row>
    <row r="590" customFormat="false" ht="15" hidden="false" customHeight="false" outlineLevel="0" collapsed="false">
      <c r="A590" s="19"/>
      <c r="B590" s="20" t="str">
        <f aca="false">IF($X590="","",INDEX('Per Line'!$D$2:$D$4001,$X590))</f>
        <v/>
      </c>
      <c r="C590" s="20" t="str">
        <f aca="false">IF($X590="","",INDEX('Per Line'!$C$2:$C$4001,$X590))</f>
        <v/>
      </c>
      <c r="D590" s="20" t="str">
        <f aca="false">IF($X590="","",INDEX('Per Line'!$A$2:$A$4001,$X590))</f>
        <v/>
      </c>
      <c r="E590" s="21" t="str">
        <f aca="false">IF($X590="","",INDEX('Per Line'!$F$2:$F$4001,$X590))</f>
        <v/>
      </c>
      <c r="F590" s="20" t="str">
        <f aca="false">IF($X590="","",INDEX('Per Line'!$G$2:$G$4001,$X590))</f>
        <v/>
      </c>
      <c r="G590" s="20" t="str">
        <f aca="false">IF($X590="","",INDEX('Per Line'!$I$2:$I$4001,$X590))</f>
        <v/>
      </c>
      <c r="H590" s="20" t="str">
        <f aca="false">IF($X590="","",INDEX('Per Line'!$J$2:$J$4001,$X590))</f>
        <v/>
      </c>
      <c r="I590" s="20" t="str">
        <f aca="false">IF($X590="","",INDEX('Per Line'!$K$2:$K$4001,$X590))</f>
        <v/>
      </c>
      <c r="J590" s="20" t="str">
        <f aca="false">IF($X590="","",INDEX('Per Line'!$L$2:$L$4001,$X590))</f>
        <v/>
      </c>
      <c r="K590" s="20" t="str">
        <f aca="false">IF($X590="","",INDEX('Per Line'!$M$2:$M$4001,$X590))</f>
        <v/>
      </c>
      <c r="L590" s="22" t="str">
        <f aca="false">IF($X590="","",K590*V590/100)</f>
        <v/>
      </c>
      <c r="M590" s="20" t="str">
        <f aca="false">IF($X590="","",INDEX('Per Line'!$Z$2:$Z$4001,$X590))</f>
        <v/>
      </c>
      <c r="N590" s="23" t="str">
        <f aca="false">IF($X590="","",Settings!$C$7)</f>
        <v/>
      </c>
      <c r="O590" s="22" t="str">
        <f aca="false">IF($X590="","",SUMIFS('Per Line'!$Y$2:$Y$4001,'Per Line'!$D$2:$D$4001,$B590,'Per Line'!$AJ$2:$AJ$4001,0))</f>
        <v/>
      </c>
      <c r="P590" s="22" t="str">
        <f aca="false">IF($X590="","",O590*N590)</f>
        <v/>
      </c>
      <c r="Q590" s="23" t="str">
        <f aca="false">IF($X590="","",Settings!$C$6)</f>
        <v/>
      </c>
      <c r="R590" s="22" t="str">
        <f aca="false">IF($X590="","",SUMIFS('Per Line'!$Y$2:$Y$4001,'Per Line'!$D$2:$D$4001,$B590,'Per Line'!$AJ$2:$AJ$4001,1))</f>
        <v/>
      </c>
      <c r="S590" s="22" t="str">
        <f aca="false">IF($X590="","",R590*Q590)</f>
        <v/>
      </c>
      <c r="T590" s="22" t="str">
        <f aca="false">IF($X590="","",S590+P590)</f>
        <v/>
      </c>
      <c r="U590" s="22" t="str">
        <f aca="false">IF($X590="","",V590-T590)</f>
        <v/>
      </c>
      <c r="V590" s="22" t="str">
        <f aca="false">IF($X590="","",O590+R590)</f>
        <v/>
      </c>
      <c r="W590" s="22" t="str">
        <f aca="false">IF($X590="","",U590-L590)</f>
        <v/>
      </c>
      <c r="X590" s="24" t="str">
        <f aca="false">IF(ROWS($X$2:$X590)&lt;=MAX('Per Line'!$AI$2:$AI$4001),MATCH(ROWS($X$2:$X590),'Per Line'!$AI$2:$AI$4001,0),"")</f>
        <v/>
      </c>
    </row>
    <row r="591" customFormat="false" ht="15" hidden="false" customHeight="false" outlineLevel="0" collapsed="false">
      <c r="A591" s="19"/>
      <c r="B591" s="20" t="str">
        <f aca="false">IF($X591="","",INDEX('Per Line'!$D$2:$D$4001,$X591))</f>
        <v/>
      </c>
      <c r="C591" s="20" t="str">
        <f aca="false">IF($X591="","",INDEX('Per Line'!$C$2:$C$4001,$X591))</f>
        <v/>
      </c>
      <c r="D591" s="20" t="str">
        <f aca="false">IF($X591="","",INDEX('Per Line'!$A$2:$A$4001,$X591))</f>
        <v/>
      </c>
      <c r="E591" s="21" t="str">
        <f aca="false">IF($X591="","",INDEX('Per Line'!$F$2:$F$4001,$X591))</f>
        <v/>
      </c>
      <c r="F591" s="20" t="str">
        <f aca="false">IF($X591="","",INDEX('Per Line'!$G$2:$G$4001,$X591))</f>
        <v/>
      </c>
      <c r="G591" s="20" t="str">
        <f aca="false">IF($X591="","",INDEX('Per Line'!$I$2:$I$4001,$X591))</f>
        <v/>
      </c>
      <c r="H591" s="20" t="str">
        <f aca="false">IF($X591="","",INDEX('Per Line'!$J$2:$J$4001,$X591))</f>
        <v/>
      </c>
      <c r="I591" s="20" t="str">
        <f aca="false">IF($X591="","",INDEX('Per Line'!$K$2:$K$4001,$X591))</f>
        <v/>
      </c>
      <c r="J591" s="20" t="str">
        <f aca="false">IF($X591="","",INDEX('Per Line'!$L$2:$L$4001,$X591))</f>
        <v/>
      </c>
      <c r="K591" s="20" t="str">
        <f aca="false">IF($X591="","",INDEX('Per Line'!$M$2:$M$4001,$X591))</f>
        <v/>
      </c>
      <c r="L591" s="22" t="str">
        <f aca="false">IF($X591="","",K591*V591/100)</f>
        <v/>
      </c>
      <c r="M591" s="20" t="str">
        <f aca="false">IF($X591="","",INDEX('Per Line'!$Z$2:$Z$4001,$X591))</f>
        <v/>
      </c>
      <c r="N591" s="23" t="str">
        <f aca="false">IF($X591="","",Settings!$C$7)</f>
        <v/>
      </c>
      <c r="O591" s="22" t="str">
        <f aca="false">IF($X591="","",SUMIFS('Per Line'!$Y$2:$Y$4001,'Per Line'!$D$2:$D$4001,$B591,'Per Line'!$AJ$2:$AJ$4001,0))</f>
        <v/>
      </c>
      <c r="P591" s="22" t="str">
        <f aca="false">IF($X591="","",O591*N591)</f>
        <v/>
      </c>
      <c r="Q591" s="23" t="str">
        <f aca="false">IF($X591="","",Settings!$C$6)</f>
        <v/>
      </c>
      <c r="R591" s="22" t="str">
        <f aca="false">IF($X591="","",SUMIFS('Per Line'!$Y$2:$Y$4001,'Per Line'!$D$2:$D$4001,$B591,'Per Line'!$AJ$2:$AJ$4001,1))</f>
        <v/>
      </c>
      <c r="S591" s="22" t="str">
        <f aca="false">IF($X591="","",R591*Q591)</f>
        <v/>
      </c>
      <c r="T591" s="22" t="str">
        <f aca="false">IF($X591="","",S591+P591)</f>
        <v/>
      </c>
      <c r="U591" s="22" t="str">
        <f aca="false">IF($X591="","",V591-T591)</f>
        <v/>
      </c>
      <c r="V591" s="22" t="str">
        <f aca="false">IF($X591="","",O591+R591)</f>
        <v/>
      </c>
      <c r="W591" s="22" t="str">
        <f aca="false">IF($X591="","",U591-L591)</f>
        <v/>
      </c>
      <c r="X591" s="24" t="str">
        <f aca="false">IF(ROWS($X$2:$X591)&lt;=MAX('Per Line'!$AI$2:$AI$4001),MATCH(ROWS($X$2:$X591),'Per Line'!$AI$2:$AI$4001,0),"")</f>
        <v/>
      </c>
    </row>
    <row r="592" customFormat="false" ht="15" hidden="false" customHeight="false" outlineLevel="0" collapsed="false">
      <c r="A592" s="19"/>
      <c r="B592" s="20" t="str">
        <f aca="false">IF($X592="","",INDEX('Per Line'!$D$2:$D$4001,$X592))</f>
        <v/>
      </c>
      <c r="C592" s="20" t="str">
        <f aca="false">IF($X592="","",INDEX('Per Line'!$C$2:$C$4001,$X592))</f>
        <v/>
      </c>
      <c r="D592" s="20" t="str">
        <f aca="false">IF($X592="","",INDEX('Per Line'!$A$2:$A$4001,$X592))</f>
        <v/>
      </c>
      <c r="E592" s="21" t="str">
        <f aca="false">IF($X592="","",INDEX('Per Line'!$F$2:$F$4001,$X592))</f>
        <v/>
      </c>
      <c r="F592" s="20" t="str">
        <f aca="false">IF($X592="","",INDEX('Per Line'!$G$2:$G$4001,$X592))</f>
        <v/>
      </c>
      <c r="G592" s="20" t="str">
        <f aca="false">IF($X592="","",INDEX('Per Line'!$I$2:$I$4001,$X592))</f>
        <v/>
      </c>
      <c r="H592" s="20" t="str">
        <f aca="false">IF($X592="","",INDEX('Per Line'!$J$2:$J$4001,$X592))</f>
        <v/>
      </c>
      <c r="I592" s="20" t="str">
        <f aca="false">IF($X592="","",INDEX('Per Line'!$K$2:$K$4001,$X592))</f>
        <v/>
      </c>
      <c r="J592" s="20" t="str">
        <f aca="false">IF($X592="","",INDEX('Per Line'!$L$2:$L$4001,$X592))</f>
        <v/>
      </c>
      <c r="K592" s="20" t="str">
        <f aca="false">IF($X592="","",INDEX('Per Line'!$M$2:$M$4001,$X592))</f>
        <v/>
      </c>
      <c r="L592" s="22" t="str">
        <f aca="false">IF($X592="","",K592*V592/100)</f>
        <v/>
      </c>
      <c r="M592" s="20" t="str">
        <f aca="false">IF($X592="","",INDEX('Per Line'!$Z$2:$Z$4001,$X592))</f>
        <v/>
      </c>
      <c r="N592" s="23" t="str">
        <f aca="false">IF($X592="","",Settings!$C$7)</f>
        <v/>
      </c>
      <c r="O592" s="22" t="str">
        <f aca="false">IF($X592="","",SUMIFS('Per Line'!$Y$2:$Y$4001,'Per Line'!$D$2:$D$4001,$B592,'Per Line'!$AJ$2:$AJ$4001,0))</f>
        <v/>
      </c>
      <c r="P592" s="22" t="str">
        <f aca="false">IF($X592="","",O592*N592)</f>
        <v/>
      </c>
      <c r="Q592" s="23" t="str">
        <f aca="false">IF($X592="","",Settings!$C$6)</f>
        <v/>
      </c>
      <c r="R592" s="22" t="str">
        <f aca="false">IF($X592="","",SUMIFS('Per Line'!$Y$2:$Y$4001,'Per Line'!$D$2:$D$4001,$B592,'Per Line'!$AJ$2:$AJ$4001,1))</f>
        <v/>
      </c>
      <c r="S592" s="22" t="str">
        <f aca="false">IF($X592="","",R592*Q592)</f>
        <v/>
      </c>
      <c r="T592" s="22" t="str">
        <f aca="false">IF($X592="","",S592+P592)</f>
        <v/>
      </c>
      <c r="U592" s="22" t="str">
        <f aca="false">IF($X592="","",V592-T592)</f>
        <v/>
      </c>
      <c r="V592" s="22" t="str">
        <f aca="false">IF($X592="","",O592+R592)</f>
        <v/>
      </c>
      <c r="W592" s="22" t="str">
        <f aca="false">IF($X592="","",U592-L592)</f>
        <v/>
      </c>
      <c r="X592" s="24" t="str">
        <f aca="false">IF(ROWS($X$2:$X592)&lt;=MAX('Per Line'!$AI$2:$AI$4001),MATCH(ROWS($X$2:$X592),'Per Line'!$AI$2:$AI$4001,0),"")</f>
        <v/>
      </c>
    </row>
    <row r="593" customFormat="false" ht="15" hidden="false" customHeight="false" outlineLevel="0" collapsed="false">
      <c r="A593" s="19"/>
      <c r="B593" s="20" t="str">
        <f aca="false">IF($X593="","",INDEX('Per Line'!$D$2:$D$4001,$X593))</f>
        <v/>
      </c>
      <c r="C593" s="20" t="str">
        <f aca="false">IF($X593="","",INDEX('Per Line'!$C$2:$C$4001,$X593))</f>
        <v/>
      </c>
      <c r="D593" s="20" t="str">
        <f aca="false">IF($X593="","",INDEX('Per Line'!$A$2:$A$4001,$X593))</f>
        <v/>
      </c>
      <c r="E593" s="21" t="str">
        <f aca="false">IF($X593="","",INDEX('Per Line'!$F$2:$F$4001,$X593))</f>
        <v/>
      </c>
      <c r="F593" s="20" t="str">
        <f aca="false">IF($X593="","",INDEX('Per Line'!$G$2:$G$4001,$X593))</f>
        <v/>
      </c>
      <c r="G593" s="20" t="str">
        <f aca="false">IF($X593="","",INDEX('Per Line'!$I$2:$I$4001,$X593))</f>
        <v/>
      </c>
      <c r="H593" s="20" t="str">
        <f aca="false">IF($X593="","",INDEX('Per Line'!$J$2:$J$4001,$X593))</f>
        <v/>
      </c>
      <c r="I593" s="20" t="str">
        <f aca="false">IF($X593="","",INDEX('Per Line'!$K$2:$K$4001,$X593))</f>
        <v/>
      </c>
      <c r="J593" s="20" t="str">
        <f aca="false">IF($X593="","",INDEX('Per Line'!$L$2:$L$4001,$X593))</f>
        <v/>
      </c>
      <c r="K593" s="20" t="str">
        <f aca="false">IF($X593="","",INDEX('Per Line'!$M$2:$M$4001,$X593))</f>
        <v/>
      </c>
      <c r="L593" s="22" t="str">
        <f aca="false">IF($X593="","",K593*V593/100)</f>
        <v/>
      </c>
      <c r="M593" s="20" t="str">
        <f aca="false">IF($X593="","",INDEX('Per Line'!$Z$2:$Z$4001,$X593))</f>
        <v/>
      </c>
      <c r="N593" s="23" t="str">
        <f aca="false">IF($X593="","",Settings!$C$7)</f>
        <v/>
      </c>
      <c r="O593" s="22" t="str">
        <f aca="false">IF($X593="","",SUMIFS('Per Line'!$Y$2:$Y$4001,'Per Line'!$D$2:$D$4001,$B593,'Per Line'!$AJ$2:$AJ$4001,0))</f>
        <v/>
      </c>
      <c r="P593" s="22" t="str">
        <f aca="false">IF($X593="","",O593*N593)</f>
        <v/>
      </c>
      <c r="Q593" s="23" t="str">
        <f aca="false">IF($X593="","",Settings!$C$6)</f>
        <v/>
      </c>
      <c r="R593" s="22" t="str">
        <f aca="false">IF($X593="","",SUMIFS('Per Line'!$Y$2:$Y$4001,'Per Line'!$D$2:$D$4001,$B593,'Per Line'!$AJ$2:$AJ$4001,1))</f>
        <v/>
      </c>
      <c r="S593" s="22" t="str">
        <f aca="false">IF($X593="","",R593*Q593)</f>
        <v/>
      </c>
      <c r="T593" s="22" t="str">
        <f aca="false">IF($X593="","",S593+P593)</f>
        <v/>
      </c>
      <c r="U593" s="22" t="str">
        <f aca="false">IF($X593="","",V593-T593)</f>
        <v/>
      </c>
      <c r="V593" s="22" t="str">
        <f aca="false">IF($X593="","",O593+R593)</f>
        <v/>
      </c>
      <c r="W593" s="22" t="str">
        <f aca="false">IF($X593="","",U593-L593)</f>
        <v/>
      </c>
      <c r="X593" s="24" t="str">
        <f aca="false">IF(ROWS($X$2:$X593)&lt;=MAX('Per Line'!$AI$2:$AI$4001),MATCH(ROWS($X$2:$X593),'Per Line'!$AI$2:$AI$4001,0),"")</f>
        <v/>
      </c>
    </row>
    <row r="594" customFormat="false" ht="15" hidden="false" customHeight="false" outlineLevel="0" collapsed="false">
      <c r="A594" s="19"/>
      <c r="B594" s="20" t="str">
        <f aca="false">IF($X594="","",INDEX('Per Line'!$D$2:$D$4001,$X594))</f>
        <v/>
      </c>
      <c r="C594" s="20" t="str">
        <f aca="false">IF($X594="","",INDEX('Per Line'!$C$2:$C$4001,$X594))</f>
        <v/>
      </c>
      <c r="D594" s="20" t="str">
        <f aca="false">IF($X594="","",INDEX('Per Line'!$A$2:$A$4001,$X594))</f>
        <v/>
      </c>
      <c r="E594" s="21" t="str">
        <f aca="false">IF($X594="","",INDEX('Per Line'!$F$2:$F$4001,$X594))</f>
        <v/>
      </c>
      <c r="F594" s="20" t="str">
        <f aca="false">IF($X594="","",INDEX('Per Line'!$G$2:$G$4001,$X594))</f>
        <v/>
      </c>
      <c r="G594" s="20" t="str">
        <f aca="false">IF($X594="","",INDEX('Per Line'!$I$2:$I$4001,$X594))</f>
        <v/>
      </c>
      <c r="H594" s="20" t="str">
        <f aca="false">IF($X594="","",INDEX('Per Line'!$J$2:$J$4001,$X594))</f>
        <v/>
      </c>
      <c r="I594" s="20" t="str">
        <f aca="false">IF($X594="","",INDEX('Per Line'!$K$2:$K$4001,$X594))</f>
        <v/>
      </c>
      <c r="J594" s="20" t="str">
        <f aca="false">IF($X594="","",INDEX('Per Line'!$L$2:$L$4001,$X594))</f>
        <v/>
      </c>
      <c r="K594" s="20" t="str">
        <f aca="false">IF($X594="","",INDEX('Per Line'!$M$2:$M$4001,$X594))</f>
        <v/>
      </c>
      <c r="L594" s="22" t="str">
        <f aca="false">IF($X594="","",K594*V594/100)</f>
        <v/>
      </c>
      <c r="M594" s="20" t="str">
        <f aca="false">IF($X594="","",INDEX('Per Line'!$Z$2:$Z$4001,$X594))</f>
        <v/>
      </c>
      <c r="N594" s="23" t="str">
        <f aca="false">IF($X594="","",Settings!$C$7)</f>
        <v/>
      </c>
      <c r="O594" s="22" t="str">
        <f aca="false">IF($X594="","",SUMIFS('Per Line'!$Y$2:$Y$4001,'Per Line'!$D$2:$D$4001,$B594,'Per Line'!$AJ$2:$AJ$4001,0))</f>
        <v/>
      </c>
      <c r="P594" s="22" t="str">
        <f aca="false">IF($X594="","",O594*N594)</f>
        <v/>
      </c>
      <c r="Q594" s="23" t="str">
        <f aca="false">IF($X594="","",Settings!$C$6)</f>
        <v/>
      </c>
      <c r="R594" s="22" t="str">
        <f aca="false">IF($X594="","",SUMIFS('Per Line'!$Y$2:$Y$4001,'Per Line'!$D$2:$D$4001,$B594,'Per Line'!$AJ$2:$AJ$4001,1))</f>
        <v/>
      </c>
      <c r="S594" s="22" t="str">
        <f aca="false">IF($X594="","",R594*Q594)</f>
        <v/>
      </c>
      <c r="T594" s="22" t="str">
        <f aca="false">IF($X594="","",S594+P594)</f>
        <v/>
      </c>
      <c r="U594" s="22" t="str">
        <f aca="false">IF($X594="","",V594-T594)</f>
        <v/>
      </c>
      <c r="V594" s="22" t="str">
        <f aca="false">IF($X594="","",O594+R594)</f>
        <v/>
      </c>
      <c r="W594" s="22" t="str">
        <f aca="false">IF($X594="","",U594-L594)</f>
        <v/>
      </c>
      <c r="X594" s="24" t="str">
        <f aca="false">IF(ROWS($X$2:$X594)&lt;=MAX('Per Line'!$AI$2:$AI$4001),MATCH(ROWS($X$2:$X594),'Per Line'!$AI$2:$AI$4001,0),"")</f>
        <v/>
      </c>
    </row>
    <row r="595" customFormat="false" ht="15" hidden="false" customHeight="false" outlineLevel="0" collapsed="false">
      <c r="A595" s="19"/>
      <c r="B595" s="20" t="str">
        <f aca="false">IF($X595="","",INDEX('Per Line'!$D$2:$D$4001,$X595))</f>
        <v/>
      </c>
      <c r="C595" s="20" t="str">
        <f aca="false">IF($X595="","",INDEX('Per Line'!$C$2:$C$4001,$X595))</f>
        <v/>
      </c>
      <c r="D595" s="20" t="str">
        <f aca="false">IF($X595="","",INDEX('Per Line'!$A$2:$A$4001,$X595))</f>
        <v/>
      </c>
      <c r="E595" s="21" t="str">
        <f aca="false">IF($X595="","",INDEX('Per Line'!$F$2:$F$4001,$X595))</f>
        <v/>
      </c>
      <c r="F595" s="20" t="str">
        <f aca="false">IF($X595="","",INDEX('Per Line'!$G$2:$G$4001,$X595))</f>
        <v/>
      </c>
      <c r="G595" s="20" t="str">
        <f aca="false">IF($X595="","",INDEX('Per Line'!$I$2:$I$4001,$X595))</f>
        <v/>
      </c>
      <c r="H595" s="20" t="str">
        <f aca="false">IF($X595="","",INDEX('Per Line'!$J$2:$J$4001,$X595))</f>
        <v/>
      </c>
      <c r="I595" s="20" t="str">
        <f aca="false">IF($X595="","",INDEX('Per Line'!$K$2:$K$4001,$X595))</f>
        <v/>
      </c>
      <c r="J595" s="20" t="str">
        <f aca="false">IF($X595="","",INDEX('Per Line'!$L$2:$L$4001,$X595))</f>
        <v/>
      </c>
      <c r="K595" s="20" t="str">
        <f aca="false">IF($X595="","",INDEX('Per Line'!$M$2:$M$4001,$X595))</f>
        <v/>
      </c>
      <c r="L595" s="22" t="str">
        <f aca="false">IF($X595="","",K595*V595/100)</f>
        <v/>
      </c>
      <c r="M595" s="20" t="str">
        <f aca="false">IF($X595="","",INDEX('Per Line'!$Z$2:$Z$4001,$X595))</f>
        <v/>
      </c>
      <c r="N595" s="23" t="str">
        <f aca="false">IF($X595="","",Settings!$C$7)</f>
        <v/>
      </c>
      <c r="O595" s="22" t="str">
        <f aca="false">IF($X595="","",SUMIFS('Per Line'!$Y$2:$Y$4001,'Per Line'!$D$2:$D$4001,$B595,'Per Line'!$AJ$2:$AJ$4001,0))</f>
        <v/>
      </c>
      <c r="P595" s="22" t="str">
        <f aca="false">IF($X595="","",O595*N595)</f>
        <v/>
      </c>
      <c r="Q595" s="23" t="str">
        <f aca="false">IF($X595="","",Settings!$C$6)</f>
        <v/>
      </c>
      <c r="R595" s="22" t="str">
        <f aca="false">IF($X595="","",SUMIFS('Per Line'!$Y$2:$Y$4001,'Per Line'!$D$2:$D$4001,$B595,'Per Line'!$AJ$2:$AJ$4001,1))</f>
        <v/>
      </c>
      <c r="S595" s="22" t="str">
        <f aca="false">IF($X595="","",R595*Q595)</f>
        <v/>
      </c>
      <c r="T595" s="22" t="str">
        <f aca="false">IF($X595="","",S595+P595)</f>
        <v/>
      </c>
      <c r="U595" s="22" t="str">
        <f aca="false">IF($X595="","",V595-T595)</f>
        <v/>
      </c>
      <c r="V595" s="22" t="str">
        <f aca="false">IF($X595="","",O595+R595)</f>
        <v/>
      </c>
      <c r="W595" s="22" t="str">
        <f aca="false">IF($X595="","",U595-L595)</f>
        <v/>
      </c>
      <c r="X595" s="24" t="str">
        <f aca="false">IF(ROWS($X$2:$X595)&lt;=MAX('Per Line'!$AI$2:$AI$4001),MATCH(ROWS($X$2:$X595),'Per Line'!$AI$2:$AI$4001,0),"")</f>
        <v/>
      </c>
    </row>
    <row r="596" customFormat="false" ht="15" hidden="false" customHeight="false" outlineLevel="0" collapsed="false">
      <c r="A596" s="19"/>
      <c r="B596" s="20" t="str">
        <f aca="false">IF($X596="","",INDEX('Per Line'!$D$2:$D$4001,$X596))</f>
        <v/>
      </c>
      <c r="C596" s="20" t="str">
        <f aca="false">IF($X596="","",INDEX('Per Line'!$C$2:$C$4001,$X596))</f>
        <v/>
      </c>
      <c r="D596" s="20" t="str">
        <f aca="false">IF($X596="","",INDEX('Per Line'!$A$2:$A$4001,$X596))</f>
        <v/>
      </c>
      <c r="E596" s="21" t="str">
        <f aca="false">IF($X596="","",INDEX('Per Line'!$F$2:$F$4001,$X596))</f>
        <v/>
      </c>
      <c r="F596" s="20" t="str">
        <f aca="false">IF($X596="","",INDEX('Per Line'!$G$2:$G$4001,$X596))</f>
        <v/>
      </c>
      <c r="G596" s="20" t="str">
        <f aca="false">IF($X596="","",INDEX('Per Line'!$I$2:$I$4001,$X596))</f>
        <v/>
      </c>
      <c r="H596" s="20" t="str">
        <f aca="false">IF($X596="","",INDEX('Per Line'!$J$2:$J$4001,$X596))</f>
        <v/>
      </c>
      <c r="I596" s="20" t="str">
        <f aca="false">IF($X596="","",INDEX('Per Line'!$K$2:$K$4001,$X596))</f>
        <v/>
      </c>
      <c r="J596" s="20" t="str">
        <f aca="false">IF($X596="","",INDEX('Per Line'!$L$2:$L$4001,$X596))</f>
        <v/>
      </c>
      <c r="K596" s="20" t="str">
        <f aca="false">IF($X596="","",INDEX('Per Line'!$M$2:$M$4001,$X596))</f>
        <v/>
      </c>
      <c r="L596" s="22" t="str">
        <f aca="false">IF($X596="","",K596*V596/100)</f>
        <v/>
      </c>
      <c r="M596" s="20" t="str">
        <f aca="false">IF($X596="","",INDEX('Per Line'!$Z$2:$Z$4001,$X596))</f>
        <v/>
      </c>
      <c r="N596" s="23" t="str">
        <f aca="false">IF($X596="","",Settings!$C$7)</f>
        <v/>
      </c>
      <c r="O596" s="22" t="str">
        <f aca="false">IF($X596="","",SUMIFS('Per Line'!$Y$2:$Y$4001,'Per Line'!$D$2:$D$4001,$B596,'Per Line'!$AJ$2:$AJ$4001,0))</f>
        <v/>
      </c>
      <c r="P596" s="22" t="str">
        <f aca="false">IF($X596="","",O596*N596)</f>
        <v/>
      </c>
      <c r="Q596" s="23" t="str">
        <f aca="false">IF($X596="","",Settings!$C$6)</f>
        <v/>
      </c>
      <c r="R596" s="22" t="str">
        <f aca="false">IF($X596="","",SUMIFS('Per Line'!$Y$2:$Y$4001,'Per Line'!$D$2:$D$4001,$B596,'Per Line'!$AJ$2:$AJ$4001,1))</f>
        <v/>
      </c>
      <c r="S596" s="22" t="str">
        <f aca="false">IF($X596="","",R596*Q596)</f>
        <v/>
      </c>
      <c r="T596" s="22" t="str">
        <f aca="false">IF($X596="","",S596+P596)</f>
        <v/>
      </c>
      <c r="U596" s="22" t="str">
        <f aca="false">IF($X596="","",V596-T596)</f>
        <v/>
      </c>
      <c r="V596" s="22" t="str">
        <f aca="false">IF($X596="","",O596+R596)</f>
        <v/>
      </c>
      <c r="W596" s="22" t="str">
        <f aca="false">IF($X596="","",U596-L596)</f>
        <v/>
      </c>
      <c r="X596" s="24" t="str">
        <f aca="false">IF(ROWS($X$2:$X596)&lt;=MAX('Per Line'!$AI$2:$AI$4001),MATCH(ROWS($X$2:$X596),'Per Line'!$AI$2:$AI$4001,0),"")</f>
        <v/>
      </c>
    </row>
    <row r="597" customFormat="false" ht="15" hidden="false" customHeight="false" outlineLevel="0" collapsed="false">
      <c r="A597" s="19"/>
      <c r="B597" s="20" t="str">
        <f aca="false">IF($X597="","",INDEX('Per Line'!$D$2:$D$4001,$X597))</f>
        <v/>
      </c>
      <c r="C597" s="20" t="str">
        <f aca="false">IF($X597="","",INDEX('Per Line'!$C$2:$C$4001,$X597))</f>
        <v/>
      </c>
      <c r="D597" s="20" t="str">
        <f aca="false">IF($X597="","",INDEX('Per Line'!$A$2:$A$4001,$X597))</f>
        <v/>
      </c>
      <c r="E597" s="21" t="str">
        <f aca="false">IF($X597="","",INDEX('Per Line'!$F$2:$F$4001,$X597))</f>
        <v/>
      </c>
      <c r="F597" s="20" t="str">
        <f aca="false">IF($X597="","",INDEX('Per Line'!$G$2:$G$4001,$X597))</f>
        <v/>
      </c>
      <c r="G597" s="20" t="str">
        <f aca="false">IF($X597="","",INDEX('Per Line'!$I$2:$I$4001,$X597))</f>
        <v/>
      </c>
      <c r="H597" s="20" t="str">
        <f aca="false">IF($X597="","",INDEX('Per Line'!$J$2:$J$4001,$X597))</f>
        <v/>
      </c>
      <c r="I597" s="20" t="str">
        <f aca="false">IF($X597="","",INDEX('Per Line'!$K$2:$K$4001,$X597))</f>
        <v/>
      </c>
      <c r="J597" s="20" t="str">
        <f aca="false">IF($X597="","",INDEX('Per Line'!$L$2:$L$4001,$X597))</f>
        <v/>
      </c>
      <c r="K597" s="20" t="str">
        <f aca="false">IF($X597="","",INDEX('Per Line'!$M$2:$M$4001,$X597))</f>
        <v/>
      </c>
      <c r="L597" s="22" t="str">
        <f aca="false">IF($X597="","",K597*V597/100)</f>
        <v/>
      </c>
      <c r="M597" s="20" t="str">
        <f aca="false">IF($X597="","",INDEX('Per Line'!$Z$2:$Z$4001,$X597))</f>
        <v/>
      </c>
      <c r="N597" s="23" t="str">
        <f aca="false">IF($X597="","",Settings!$C$7)</f>
        <v/>
      </c>
      <c r="O597" s="22" t="str">
        <f aca="false">IF($X597="","",SUMIFS('Per Line'!$Y$2:$Y$4001,'Per Line'!$D$2:$D$4001,$B597,'Per Line'!$AJ$2:$AJ$4001,0))</f>
        <v/>
      </c>
      <c r="P597" s="22" t="str">
        <f aca="false">IF($X597="","",O597*N597)</f>
        <v/>
      </c>
      <c r="Q597" s="23" t="str">
        <f aca="false">IF($X597="","",Settings!$C$6)</f>
        <v/>
      </c>
      <c r="R597" s="22" t="str">
        <f aca="false">IF($X597="","",SUMIFS('Per Line'!$Y$2:$Y$4001,'Per Line'!$D$2:$D$4001,$B597,'Per Line'!$AJ$2:$AJ$4001,1))</f>
        <v/>
      </c>
      <c r="S597" s="22" t="str">
        <f aca="false">IF($X597="","",R597*Q597)</f>
        <v/>
      </c>
      <c r="T597" s="22" t="str">
        <f aca="false">IF($X597="","",S597+P597)</f>
        <v/>
      </c>
      <c r="U597" s="22" t="str">
        <f aca="false">IF($X597="","",V597-T597)</f>
        <v/>
      </c>
      <c r="V597" s="22" t="str">
        <f aca="false">IF($X597="","",O597+R597)</f>
        <v/>
      </c>
      <c r="W597" s="22" t="str">
        <f aca="false">IF($X597="","",U597-L597)</f>
        <v/>
      </c>
      <c r="X597" s="24" t="str">
        <f aca="false">IF(ROWS($X$2:$X597)&lt;=MAX('Per Line'!$AI$2:$AI$4001),MATCH(ROWS($X$2:$X597),'Per Line'!$AI$2:$AI$4001,0),"")</f>
        <v/>
      </c>
    </row>
    <row r="598" customFormat="false" ht="15" hidden="false" customHeight="false" outlineLevel="0" collapsed="false">
      <c r="A598" s="19"/>
      <c r="B598" s="20" t="str">
        <f aca="false">IF($X598="","",INDEX('Per Line'!$D$2:$D$4001,$X598))</f>
        <v/>
      </c>
      <c r="C598" s="20" t="str">
        <f aca="false">IF($X598="","",INDEX('Per Line'!$C$2:$C$4001,$X598))</f>
        <v/>
      </c>
      <c r="D598" s="20" t="str">
        <f aca="false">IF($X598="","",INDEX('Per Line'!$A$2:$A$4001,$X598))</f>
        <v/>
      </c>
      <c r="E598" s="21" t="str">
        <f aca="false">IF($X598="","",INDEX('Per Line'!$F$2:$F$4001,$X598))</f>
        <v/>
      </c>
      <c r="F598" s="20" t="str">
        <f aca="false">IF($X598="","",INDEX('Per Line'!$G$2:$G$4001,$X598))</f>
        <v/>
      </c>
      <c r="G598" s="20" t="str">
        <f aca="false">IF($X598="","",INDEX('Per Line'!$I$2:$I$4001,$X598))</f>
        <v/>
      </c>
      <c r="H598" s="20" t="str">
        <f aca="false">IF($X598="","",INDEX('Per Line'!$J$2:$J$4001,$X598))</f>
        <v/>
      </c>
      <c r="I598" s="20" t="str">
        <f aca="false">IF($X598="","",INDEX('Per Line'!$K$2:$K$4001,$X598))</f>
        <v/>
      </c>
      <c r="J598" s="20" t="str">
        <f aca="false">IF($X598="","",INDEX('Per Line'!$L$2:$L$4001,$X598))</f>
        <v/>
      </c>
      <c r="K598" s="20" t="str">
        <f aca="false">IF($X598="","",INDEX('Per Line'!$M$2:$M$4001,$X598))</f>
        <v/>
      </c>
      <c r="L598" s="22" t="str">
        <f aca="false">IF($X598="","",K598*V598/100)</f>
        <v/>
      </c>
      <c r="M598" s="20" t="str">
        <f aca="false">IF($X598="","",INDEX('Per Line'!$Z$2:$Z$4001,$X598))</f>
        <v/>
      </c>
      <c r="N598" s="23" t="str">
        <f aca="false">IF($X598="","",Settings!$C$7)</f>
        <v/>
      </c>
      <c r="O598" s="22" t="str">
        <f aca="false">IF($X598="","",SUMIFS('Per Line'!$Y$2:$Y$4001,'Per Line'!$D$2:$D$4001,$B598,'Per Line'!$AJ$2:$AJ$4001,0))</f>
        <v/>
      </c>
      <c r="P598" s="22" t="str">
        <f aca="false">IF($X598="","",O598*N598)</f>
        <v/>
      </c>
      <c r="Q598" s="23" t="str">
        <f aca="false">IF($X598="","",Settings!$C$6)</f>
        <v/>
      </c>
      <c r="R598" s="22" t="str">
        <f aca="false">IF($X598="","",SUMIFS('Per Line'!$Y$2:$Y$4001,'Per Line'!$D$2:$D$4001,$B598,'Per Line'!$AJ$2:$AJ$4001,1))</f>
        <v/>
      </c>
      <c r="S598" s="22" t="str">
        <f aca="false">IF($X598="","",R598*Q598)</f>
        <v/>
      </c>
      <c r="T598" s="22" t="str">
        <f aca="false">IF($X598="","",S598+P598)</f>
        <v/>
      </c>
      <c r="U598" s="22" t="str">
        <f aca="false">IF($X598="","",V598-T598)</f>
        <v/>
      </c>
      <c r="V598" s="22" t="str">
        <f aca="false">IF($X598="","",O598+R598)</f>
        <v/>
      </c>
      <c r="W598" s="22" t="str">
        <f aca="false">IF($X598="","",U598-L598)</f>
        <v/>
      </c>
      <c r="X598" s="24" t="str">
        <f aca="false">IF(ROWS($X$2:$X598)&lt;=MAX('Per Line'!$AI$2:$AI$4001),MATCH(ROWS($X$2:$X598),'Per Line'!$AI$2:$AI$4001,0),"")</f>
        <v/>
      </c>
    </row>
    <row r="599" customFormat="false" ht="15" hidden="false" customHeight="false" outlineLevel="0" collapsed="false">
      <c r="A599" s="19"/>
      <c r="B599" s="20" t="str">
        <f aca="false">IF($X599="","",INDEX('Per Line'!$D$2:$D$4001,$X599))</f>
        <v/>
      </c>
      <c r="C599" s="20" t="str">
        <f aca="false">IF($X599="","",INDEX('Per Line'!$C$2:$C$4001,$X599))</f>
        <v/>
      </c>
      <c r="D599" s="20" t="str">
        <f aca="false">IF($X599="","",INDEX('Per Line'!$A$2:$A$4001,$X599))</f>
        <v/>
      </c>
      <c r="E599" s="21" t="str">
        <f aca="false">IF($X599="","",INDEX('Per Line'!$F$2:$F$4001,$X599))</f>
        <v/>
      </c>
      <c r="F599" s="20" t="str">
        <f aca="false">IF($X599="","",INDEX('Per Line'!$G$2:$G$4001,$X599))</f>
        <v/>
      </c>
      <c r="G599" s="20" t="str">
        <f aca="false">IF($X599="","",INDEX('Per Line'!$I$2:$I$4001,$X599))</f>
        <v/>
      </c>
      <c r="H599" s="20" t="str">
        <f aca="false">IF($X599="","",INDEX('Per Line'!$J$2:$J$4001,$X599))</f>
        <v/>
      </c>
      <c r="I599" s="20" t="str">
        <f aca="false">IF($X599="","",INDEX('Per Line'!$K$2:$K$4001,$X599))</f>
        <v/>
      </c>
      <c r="J599" s="20" t="str">
        <f aca="false">IF($X599="","",INDEX('Per Line'!$L$2:$L$4001,$X599))</f>
        <v/>
      </c>
      <c r="K599" s="20" t="str">
        <f aca="false">IF($X599="","",INDEX('Per Line'!$M$2:$M$4001,$X599))</f>
        <v/>
      </c>
      <c r="L599" s="22" t="str">
        <f aca="false">IF($X599="","",K599*V599/100)</f>
        <v/>
      </c>
      <c r="M599" s="20" t="str">
        <f aca="false">IF($X599="","",INDEX('Per Line'!$Z$2:$Z$4001,$X599))</f>
        <v/>
      </c>
      <c r="N599" s="23" t="str">
        <f aca="false">IF($X599="","",Settings!$C$7)</f>
        <v/>
      </c>
      <c r="O599" s="22" t="str">
        <f aca="false">IF($X599="","",SUMIFS('Per Line'!$Y$2:$Y$4001,'Per Line'!$D$2:$D$4001,$B599,'Per Line'!$AJ$2:$AJ$4001,0))</f>
        <v/>
      </c>
      <c r="P599" s="22" t="str">
        <f aca="false">IF($X599="","",O599*N599)</f>
        <v/>
      </c>
      <c r="Q599" s="23" t="str">
        <f aca="false">IF($X599="","",Settings!$C$6)</f>
        <v/>
      </c>
      <c r="R599" s="22" t="str">
        <f aca="false">IF($X599="","",SUMIFS('Per Line'!$Y$2:$Y$4001,'Per Line'!$D$2:$D$4001,$B599,'Per Line'!$AJ$2:$AJ$4001,1))</f>
        <v/>
      </c>
      <c r="S599" s="22" t="str">
        <f aca="false">IF($X599="","",R599*Q599)</f>
        <v/>
      </c>
      <c r="T599" s="22" t="str">
        <f aca="false">IF($X599="","",S599+P599)</f>
        <v/>
      </c>
      <c r="U599" s="22" t="str">
        <f aca="false">IF($X599="","",V599-T599)</f>
        <v/>
      </c>
      <c r="V599" s="22" t="str">
        <f aca="false">IF($X599="","",O599+R599)</f>
        <v/>
      </c>
      <c r="W599" s="22" t="str">
        <f aca="false">IF($X599="","",U599-L599)</f>
        <v/>
      </c>
      <c r="X599" s="24" t="str">
        <f aca="false">IF(ROWS($X$2:$X599)&lt;=MAX('Per Line'!$AI$2:$AI$4001),MATCH(ROWS($X$2:$X599),'Per Line'!$AI$2:$AI$4001,0),"")</f>
        <v/>
      </c>
    </row>
    <row r="600" customFormat="false" ht="15" hidden="false" customHeight="false" outlineLevel="0" collapsed="false">
      <c r="A600" s="19"/>
      <c r="B600" s="20" t="str">
        <f aca="false">IF($X600="","",INDEX('Per Line'!$D$2:$D$4001,$X600))</f>
        <v/>
      </c>
      <c r="C600" s="20" t="str">
        <f aca="false">IF($X600="","",INDEX('Per Line'!$C$2:$C$4001,$X600))</f>
        <v/>
      </c>
      <c r="D600" s="20" t="str">
        <f aca="false">IF($X600="","",INDEX('Per Line'!$A$2:$A$4001,$X600))</f>
        <v/>
      </c>
      <c r="E600" s="21" t="str">
        <f aca="false">IF($X600="","",INDEX('Per Line'!$F$2:$F$4001,$X600))</f>
        <v/>
      </c>
      <c r="F600" s="20" t="str">
        <f aca="false">IF($X600="","",INDEX('Per Line'!$G$2:$G$4001,$X600))</f>
        <v/>
      </c>
      <c r="G600" s="20" t="str">
        <f aca="false">IF($X600="","",INDEX('Per Line'!$I$2:$I$4001,$X600))</f>
        <v/>
      </c>
      <c r="H600" s="20" t="str">
        <f aca="false">IF($X600="","",INDEX('Per Line'!$J$2:$J$4001,$X600))</f>
        <v/>
      </c>
      <c r="I600" s="20" t="str">
        <f aca="false">IF($X600="","",INDEX('Per Line'!$K$2:$K$4001,$X600))</f>
        <v/>
      </c>
      <c r="J600" s="20" t="str">
        <f aca="false">IF($X600="","",INDEX('Per Line'!$L$2:$L$4001,$X600))</f>
        <v/>
      </c>
      <c r="K600" s="20" t="str">
        <f aca="false">IF($X600="","",INDEX('Per Line'!$M$2:$M$4001,$X600))</f>
        <v/>
      </c>
      <c r="L600" s="22" t="str">
        <f aca="false">IF($X600="","",K600*V600/100)</f>
        <v/>
      </c>
      <c r="M600" s="20" t="str">
        <f aca="false">IF($X600="","",INDEX('Per Line'!$Z$2:$Z$4001,$X600))</f>
        <v/>
      </c>
      <c r="N600" s="23" t="str">
        <f aca="false">IF($X600="","",Settings!$C$7)</f>
        <v/>
      </c>
      <c r="O600" s="22" t="str">
        <f aca="false">IF($X600="","",SUMIFS('Per Line'!$Y$2:$Y$4001,'Per Line'!$D$2:$D$4001,$B600,'Per Line'!$AJ$2:$AJ$4001,0))</f>
        <v/>
      </c>
      <c r="P600" s="22" t="str">
        <f aca="false">IF($X600="","",O600*N600)</f>
        <v/>
      </c>
      <c r="Q600" s="23" t="str">
        <f aca="false">IF($X600="","",Settings!$C$6)</f>
        <v/>
      </c>
      <c r="R600" s="22" t="str">
        <f aca="false">IF($X600="","",SUMIFS('Per Line'!$Y$2:$Y$4001,'Per Line'!$D$2:$D$4001,$B600,'Per Line'!$AJ$2:$AJ$4001,1))</f>
        <v/>
      </c>
      <c r="S600" s="22" t="str">
        <f aca="false">IF($X600="","",R600*Q600)</f>
        <v/>
      </c>
      <c r="T600" s="22" t="str">
        <f aca="false">IF($X600="","",S600+P600)</f>
        <v/>
      </c>
      <c r="U600" s="22" t="str">
        <f aca="false">IF($X600="","",V600-T600)</f>
        <v/>
      </c>
      <c r="V600" s="22" t="str">
        <f aca="false">IF($X600="","",O600+R600)</f>
        <v/>
      </c>
      <c r="W600" s="22" t="str">
        <f aca="false">IF($X600="","",U600-L600)</f>
        <v/>
      </c>
      <c r="X600" s="24" t="str">
        <f aca="false">IF(ROWS($X$2:$X600)&lt;=MAX('Per Line'!$AI$2:$AI$4001),MATCH(ROWS($X$2:$X600),'Per Line'!$AI$2:$AI$4001,0),"")</f>
        <v/>
      </c>
    </row>
    <row r="601" customFormat="false" ht="15" hidden="false" customHeight="false" outlineLevel="0" collapsed="false">
      <c r="A601" s="19"/>
      <c r="B601" s="20" t="str">
        <f aca="false">IF($X601="","",INDEX('Per Line'!$D$2:$D$4001,$X601))</f>
        <v/>
      </c>
      <c r="C601" s="20" t="str">
        <f aca="false">IF($X601="","",INDEX('Per Line'!$C$2:$C$4001,$X601))</f>
        <v/>
      </c>
      <c r="D601" s="20" t="str">
        <f aca="false">IF($X601="","",INDEX('Per Line'!$A$2:$A$4001,$X601))</f>
        <v/>
      </c>
      <c r="E601" s="21" t="str">
        <f aca="false">IF($X601="","",INDEX('Per Line'!$F$2:$F$4001,$X601))</f>
        <v/>
      </c>
      <c r="F601" s="20" t="str">
        <f aca="false">IF($X601="","",INDEX('Per Line'!$G$2:$G$4001,$X601))</f>
        <v/>
      </c>
      <c r="G601" s="20" t="str">
        <f aca="false">IF($X601="","",INDEX('Per Line'!$I$2:$I$4001,$X601))</f>
        <v/>
      </c>
      <c r="H601" s="20" t="str">
        <f aca="false">IF($X601="","",INDEX('Per Line'!$J$2:$J$4001,$X601))</f>
        <v/>
      </c>
      <c r="I601" s="20" t="str">
        <f aca="false">IF($X601="","",INDEX('Per Line'!$K$2:$K$4001,$X601))</f>
        <v/>
      </c>
      <c r="J601" s="20" t="str">
        <f aca="false">IF($X601="","",INDEX('Per Line'!$L$2:$L$4001,$X601))</f>
        <v/>
      </c>
      <c r="K601" s="20" t="str">
        <f aca="false">IF($X601="","",INDEX('Per Line'!$M$2:$M$4001,$X601))</f>
        <v/>
      </c>
      <c r="L601" s="22" t="str">
        <f aca="false">IF($X601="","",K601*V601/100)</f>
        <v/>
      </c>
      <c r="M601" s="20" t="str">
        <f aca="false">IF($X601="","",INDEX('Per Line'!$Z$2:$Z$4001,$X601))</f>
        <v/>
      </c>
      <c r="N601" s="23" t="str">
        <f aca="false">IF($X601="","",Settings!$C$7)</f>
        <v/>
      </c>
      <c r="O601" s="22" t="str">
        <f aca="false">IF($X601="","",SUMIFS('Per Line'!$Y$2:$Y$4001,'Per Line'!$D$2:$D$4001,$B601,'Per Line'!$AJ$2:$AJ$4001,0))</f>
        <v/>
      </c>
      <c r="P601" s="22" t="str">
        <f aca="false">IF($X601="","",O601*N601)</f>
        <v/>
      </c>
      <c r="Q601" s="23" t="str">
        <f aca="false">IF($X601="","",Settings!$C$6)</f>
        <v/>
      </c>
      <c r="R601" s="22" t="str">
        <f aca="false">IF($X601="","",SUMIFS('Per Line'!$Y$2:$Y$4001,'Per Line'!$D$2:$D$4001,$B601,'Per Line'!$AJ$2:$AJ$4001,1))</f>
        <v/>
      </c>
      <c r="S601" s="22" t="str">
        <f aca="false">IF($X601="","",R601*Q601)</f>
        <v/>
      </c>
      <c r="T601" s="22" t="str">
        <f aca="false">IF($X601="","",S601+P601)</f>
        <v/>
      </c>
      <c r="U601" s="22" t="str">
        <f aca="false">IF($X601="","",V601-T601)</f>
        <v/>
      </c>
      <c r="V601" s="22" t="str">
        <f aca="false">IF($X601="","",O601+R601)</f>
        <v/>
      </c>
      <c r="W601" s="22" t="str">
        <f aca="false">IF($X601="","",U601-L601)</f>
        <v/>
      </c>
      <c r="X601" s="24" t="str">
        <f aca="false">IF(ROWS($X$2:$X601)&lt;=MAX('Per Line'!$AI$2:$AI$4001),MATCH(ROWS($X$2:$X601),'Per Line'!$AI$2:$AI$4001,0),"")</f>
        <v/>
      </c>
    </row>
    <row r="602" customFormat="false" ht="15" hidden="false" customHeight="false" outlineLevel="0" collapsed="false">
      <c r="A602" s="19"/>
      <c r="B602" s="20" t="str">
        <f aca="false">IF($X602="","",INDEX('Per Line'!$D$2:$D$4001,$X602))</f>
        <v/>
      </c>
      <c r="C602" s="20" t="str">
        <f aca="false">IF($X602="","",INDEX('Per Line'!$C$2:$C$4001,$X602))</f>
        <v/>
      </c>
      <c r="D602" s="20" t="str">
        <f aca="false">IF($X602="","",INDEX('Per Line'!$A$2:$A$4001,$X602))</f>
        <v/>
      </c>
      <c r="E602" s="21" t="str">
        <f aca="false">IF($X602="","",INDEX('Per Line'!$F$2:$F$4001,$X602))</f>
        <v/>
      </c>
      <c r="F602" s="20" t="str">
        <f aca="false">IF($X602="","",INDEX('Per Line'!$G$2:$G$4001,$X602))</f>
        <v/>
      </c>
      <c r="G602" s="20" t="str">
        <f aca="false">IF($X602="","",INDEX('Per Line'!$I$2:$I$4001,$X602))</f>
        <v/>
      </c>
      <c r="H602" s="20" t="str">
        <f aca="false">IF($X602="","",INDEX('Per Line'!$J$2:$J$4001,$X602))</f>
        <v/>
      </c>
      <c r="I602" s="20" t="str">
        <f aca="false">IF($X602="","",INDEX('Per Line'!$K$2:$K$4001,$X602))</f>
        <v/>
      </c>
      <c r="J602" s="20" t="str">
        <f aca="false">IF($X602="","",INDEX('Per Line'!$L$2:$L$4001,$X602))</f>
        <v/>
      </c>
      <c r="K602" s="20" t="str">
        <f aca="false">IF($X602="","",INDEX('Per Line'!$M$2:$M$4001,$X602))</f>
        <v/>
      </c>
      <c r="L602" s="22" t="str">
        <f aca="false">IF($X602="","",K602*V602/100)</f>
        <v/>
      </c>
      <c r="M602" s="20" t="str">
        <f aca="false">IF($X602="","",INDEX('Per Line'!$Z$2:$Z$4001,$X602))</f>
        <v/>
      </c>
      <c r="N602" s="23" t="str">
        <f aca="false">IF($X602="","",Settings!$C$7)</f>
        <v/>
      </c>
      <c r="O602" s="22" t="str">
        <f aca="false">IF($X602="","",SUMIFS('Per Line'!$Y$2:$Y$4001,'Per Line'!$D$2:$D$4001,$B602,'Per Line'!$AJ$2:$AJ$4001,0))</f>
        <v/>
      </c>
      <c r="P602" s="22" t="str">
        <f aca="false">IF($X602="","",O602*N602)</f>
        <v/>
      </c>
      <c r="Q602" s="23" t="str">
        <f aca="false">IF($X602="","",Settings!$C$6)</f>
        <v/>
      </c>
      <c r="R602" s="22" t="str">
        <f aca="false">IF($X602="","",SUMIFS('Per Line'!$Y$2:$Y$4001,'Per Line'!$D$2:$D$4001,$B602,'Per Line'!$AJ$2:$AJ$4001,1))</f>
        <v/>
      </c>
      <c r="S602" s="22" t="str">
        <f aca="false">IF($X602="","",R602*Q602)</f>
        <v/>
      </c>
      <c r="T602" s="22" t="str">
        <f aca="false">IF($X602="","",S602+P602)</f>
        <v/>
      </c>
      <c r="U602" s="22" t="str">
        <f aca="false">IF($X602="","",V602-T602)</f>
        <v/>
      </c>
      <c r="V602" s="22" t="str">
        <f aca="false">IF($X602="","",O602+R602)</f>
        <v/>
      </c>
      <c r="W602" s="22" t="str">
        <f aca="false">IF($X602="","",U602-L602)</f>
        <v/>
      </c>
      <c r="X602" s="24" t="str">
        <f aca="false">IF(ROWS($X$2:$X602)&lt;=MAX('Per Line'!$AI$2:$AI$4001),MATCH(ROWS($X$2:$X602),'Per Line'!$AI$2:$AI$4001,0),"")</f>
        <v/>
      </c>
    </row>
    <row r="603" customFormat="false" ht="15" hidden="false" customHeight="false" outlineLevel="0" collapsed="false">
      <c r="A603" s="19"/>
      <c r="B603" s="20" t="str">
        <f aca="false">IF($X603="","",INDEX('Per Line'!$D$2:$D$4001,$X603))</f>
        <v/>
      </c>
      <c r="C603" s="20" t="str">
        <f aca="false">IF($X603="","",INDEX('Per Line'!$C$2:$C$4001,$X603))</f>
        <v/>
      </c>
      <c r="D603" s="20" t="str">
        <f aca="false">IF($X603="","",INDEX('Per Line'!$A$2:$A$4001,$X603))</f>
        <v/>
      </c>
      <c r="E603" s="21" t="str">
        <f aca="false">IF($X603="","",INDEX('Per Line'!$F$2:$F$4001,$X603))</f>
        <v/>
      </c>
      <c r="F603" s="20" t="str">
        <f aca="false">IF($X603="","",INDEX('Per Line'!$G$2:$G$4001,$X603))</f>
        <v/>
      </c>
      <c r="G603" s="20" t="str">
        <f aca="false">IF($X603="","",INDEX('Per Line'!$I$2:$I$4001,$X603))</f>
        <v/>
      </c>
      <c r="H603" s="20" t="str">
        <f aca="false">IF($X603="","",INDEX('Per Line'!$J$2:$J$4001,$X603))</f>
        <v/>
      </c>
      <c r="I603" s="20" t="str">
        <f aca="false">IF($X603="","",INDEX('Per Line'!$K$2:$K$4001,$X603))</f>
        <v/>
      </c>
      <c r="J603" s="20" t="str">
        <f aca="false">IF($X603="","",INDEX('Per Line'!$L$2:$L$4001,$X603))</f>
        <v/>
      </c>
      <c r="K603" s="20" t="str">
        <f aca="false">IF($X603="","",INDEX('Per Line'!$M$2:$M$4001,$X603))</f>
        <v/>
      </c>
      <c r="L603" s="22" t="str">
        <f aca="false">IF($X603="","",K603*V603/100)</f>
        <v/>
      </c>
      <c r="M603" s="20" t="str">
        <f aca="false">IF($X603="","",INDEX('Per Line'!$Z$2:$Z$4001,$X603))</f>
        <v/>
      </c>
      <c r="N603" s="23" t="str">
        <f aca="false">IF($X603="","",Settings!$C$7)</f>
        <v/>
      </c>
      <c r="O603" s="22" t="str">
        <f aca="false">IF($X603="","",SUMIFS('Per Line'!$Y$2:$Y$4001,'Per Line'!$D$2:$D$4001,$B603,'Per Line'!$AJ$2:$AJ$4001,0))</f>
        <v/>
      </c>
      <c r="P603" s="22" t="str">
        <f aca="false">IF($X603="","",O603*N603)</f>
        <v/>
      </c>
      <c r="Q603" s="23" t="str">
        <f aca="false">IF($X603="","",Settings!$C$6)</f>
        <v/>
      </c>
      <c r="R603" s="22" t="str">
        <f aca="false">IF($X603="","",SUMIFS('Per Line'!$Y$2:$Y$4001,'Per Line'!$D$2:$D$4001,$B603,'Per Line'!$AJ$2:$AJ$4001,1))</f>
        <v/>
      </c>
      <c r="S603" s="22" t="str">
        <f aca="false">IF($X603="","",R603*Q603)</f>
        <v/>
      </c>
      <c r="T603" s="22" t="str">
        <f aca="false">IF($X603="","",S603+P603)</f>
        <v/>
      </c>
      <c r="U603" s="22" t="str">
        <f aca="false">IF($X603="","",V603-T603)</f>
        <v/>
      </c>
      <c r="V603" s="22" t="str">
        <f aca="false">IF($X603="","",O603+R603)</f>
        <v/>
      </c>
      <c r="W603" s="22" t="str">
        <f aca="false">IF($X603="","",U603-L603)</f>
        <v/>
      </c>
      <c r="X603" s="24" t="str">
        <f aca="false">IF(ROWS($X$2:$X603)&lt;=MAX('Per Line'!$AI$2:$AI$4001),MATCH(ROWS($X$2:$X603),'Per Line'!$AI$2:$AI$4001,0),"")</f>
        <v/>
      </c>
    </row>
    <row r="604" customFormat="false" ht="15" hidden="false" customHeight="false" outlineLevel="0" collapsed="false">
      <c r="A604" s="19"/>
      <c r="B604" s="20" t="str">
        <f aca="false">IF($X604="","",INDEX('Per Line'!$D$2:$D$4001,$X604))</f>
        <v/>
      </c>
      <c r="C604" s="20" t="str">
        <f aca="false">IF($X604="","",INDEX('Per Line'!$C$2:$C$4001,$X604))</f>
        <v/>
      </c>
      <c r="D604" s="20" t="str">
        <f aca="false">IF($X604="","",INDEX('Per Line'!$A$2:$A$4001,$X604))</f>
        <v/>
      </c>
      <c r="E604" s="21" t="str">
        <f aca="false">IF($X604="","",INDEX('Per Line'!$F$2:$F$4001,$X604))</f>
        <v/>
      </c>
      <c r="F604" s="20" t="str">
        <f aca="false">IF($X604="","",INDEX('Per Line'!$G$2:$G$4001,$X604))</f>
        <v/>
      </c>
      <c r="G604" s="20" t="str">
        <f aca="false">IF($X604="","",INDEX('Per Line'!$I$2:$I$4001,$X604))</f>
        <v/>
      </c>
      <c r="H604" s="20" t="str">
        <f aca="false">IF($X604="","",INDEX('Per Line'!$J$2:$J$4001,$X604))</f>
        <v/>
      </c>
      <c r="I604" s="20" t="str">
        <f aca="false">IF($X604="","",INDEX('Per Line'!$K$2:$K$4001,$X604))</f>
        <v/>
      </c>
      <c r="J604" s="20" t="str">
        <f aca="false">IF($X604="","",INDEX('Per Line'!$L$2:$L$4001,$X604))</f>
        <v/>
      </c>
      <c r="K604" s="20" t="str">
        <f aca="false">IF($X604="","",INDEX('Per Line'!$M$2:$M$4001,$X604))</f>
        <v/>
      </c>
      <c r="L604" s="22" t="str">
        <f aca="false">IF($X604="","",K604*V604/100)</f>
        <v/>
      </c>
      <c r="M604" s="20" t="str">
        <f aca="false">IF($X604="","",INDEX('Per Line'!$Z$2:$Z$4001,$X604))</f>
        <v/>
      </c>
      <c r="N604" s="23" t="str">
        <f aca="false">IF($X604="","",Settings!$C$7)</f>
        <v/>
      </c>
      <c r="O604" s="22" t="str">
        <f aca="false">IF($X604="","",SUMIFS('Per Line'!$Y$2:$Y$4001,'Per Line'!$D$2:$D$4001,$B604,'Per Line'!$AJ$2:$AJ$4001,0))</f>
        <v/>
      </c>
      <c r="P604" s="22" t="str">
        <f aca="false">IF($X604="","",O604*N604)</f>
        <v/>
      </c>
      <c r="Q604" s="23" t="str">
        <f aca="false">IF($X604="","",Settings!$C$6)</f>
        <v/>
      </c>
      <c r="R604" s="22" t="str">
        <f aca="false">IF($X604="","",SUMIFS('Per Line'!$Y$2:$Y$4001,'Per Line'!$D$2:$D$4001,$B604,'Per Line'!$AJ$2:$AJ$4001,1))</f>
        <v/>
      </c>
      <c r="S604" s="22" t="str">
        <f aca="false">IF($X604="","",R604*Q604)</f>
        <v/>
      </c>
      <c r="T604" s="22" t="str">
        <f aca="false">IF($X604="","",S604+P604)</f>
        <v/>
      </c>
      <c r="U604" s="22" t="str">
        <f aca="false">IF($X604="","",V604-T604)</f>
        <v/>
      </c>
      <c r="V604" s="22" t="str">
        <f aca="false">IF($X604="","",O604+R604)</f>
        <v/>
      </c>
      <c r="W604" s="22" t="str">
        <f aca="false">IF($X604="","",U604-L604)</f>
        <v/>
      </c>
      <c r="X604" s="24" t="str">
        <f aca="false">IF(ROWS($X$2:$X604)&lt;=MAX('Per Line'!$AI$2:$AI$4001),MATCH(ROWS($X$2:$X604),'Per Line'!$AI$2:$AI$4001,0),"")</f>
        <v/>
      </c>
    </row>
    <row r="605" customFormat="false" ht="15" hidden="false" customHeight="false" outlineLevel="0" collapsed="false">
      <c r="A605" s="19"/>
      <c r="B605" s="20" t="str">
        <f aca="false">IF($X605="","",INDEX('Per Line'!$D$2:$D$4001,$X605))</f>
        <v/>
      </c>
      <c r="C605" s="20" t="str">
        <f aca="false">IF($X605="","",INDEX('Per Line'!$C$2:$C$4001,$X605))</f>
        <v/>
      </c>
      <c r="D605" s="20" t="str">
        <f aca="false">IF($X605="","",INDEX('Per Line'!$A$2:$A$4001,$X605))</f>
        <v/>
      </c>
      <c r="E605" s="21" t="str">
        <f aca="false">IF($X605="","",INDEX('Per Line'!$F$2:$F$4001,$X605))</f>
        <v/>
      </c>
      <c r="F605" s="20" t="str">
        <f aca="false">IF($X605="","",INDEX('Per Line'!$G$2:$G$4001,$X605))</f>
        <v/>
      </c>
      <c r="G605" s="20" t="str">
        <f aca="false">IF($X605="","",INDEX('Per Line'!$I$2:$I$4001,$X605))</f>
        <v/>
      </c>
      <c r="H605" s="20" t="str">
        <f aca="false">IF($X605="","",INDEX('Per Line'!$J$2:$J$4001,$X605))</f>
        <v/>
      </c>
      <c r="I605" s="20" t="str">
        <f aca="false">IF($X605="","",INDEX('Per Line'!$K$2:$K$4001,$X605))</f>
        <v/>
      </c>
      <c r="J605" s="20" t="str">
        <f aca="false">IF($X605="","",INDEX('Per Line'!$L$2:$L$4001,$X605))</f>
        <v/>
      </c>
      <c r="K605" s="20" t="str">
        <f aca="false">IF($X605="","",INDEX('Per Line'!$M$2:$M$4001,$X605))</f>
        <v/>
      </c>
      <c r="L605" s="22" t="str">
        <f aca="false">IF($X605="","",K605*V605/100)</f>
        <v/>
      </c>
      <c r="M605" s="20" t="str">
        <f aca="false">IF($X605="","",INDEX('Per Line'!$Z$2:$Z$4001,$X605))</f>
        <v/>
      </c>
      <c r="N605" s="23" t="str">
        <f aca="false">IF($X605="","",Settings!$C$7)</f>
        <v/>
      </c>
      <c r="O605" s="22" t="str">
        <f aca="false">IF($X605="","",SUMIFS('Per Line'!$Y$2:$Y$4001,'Per Line'!$D$2:$D$4001,$B605,'Per Line'!$AJ$2:$AJ$4001,0))</f>
        <v/>
      </c>
      <c r="P605" s="22" t="str">
        <f aca="false">IF($X605="","",O605*N605)</f>
        <v/>
      </c>
      <c r="Q605" s="23" t="str">
        <f aca="false">IF($X605="","",Settings!$C$6)</f>
        <v/>
      </c>
      <c r="R605" s="22" t="str">
        <f aca="false">IF($X605="","",SUMIFS('Per Line'!$Y$2:$Y$4001,'Per Line'!$D$2:$D$4001,$B605,'Per Line'!$AJ$2:$AJ$4001,1))</f>
        <v/>
      </c>
      <c r="S605" s="22" t="str">
        <f aca="false">IF($X605="","",R605*Q605)</f>
        <v/>
      </c>
      <c r="T605" s="22" t="str">
        <f aca="false">IF($X605="","",S605+P605)</f>
        <v/>
      </c>
      <c r="U605" s="22" t="str">
        <f aca="false">IF($X605="","",V605-T605)</f>
        <v/>
      </c>
      <c r="V605" s="22" t="str">
        <f aca="false">IF($X605="","",O605+R605)</f>
        <v/>
      </c>
      <c r="W605" s="22" t="str">
        <f aca="false">IF($X605="","",U605-L605)</f>
        <v/>
      </c>
      <c r="X605" s="24" t="str">
        <f aca="false">IF(ROWS($X$2:$X605)&lt;=MAX('Per Line'!$AI$2:$AI$4001),MATCH(ROWS($X$2:$X605),'Per Line'!$AI$2:$AI$4001,0),"")</f>
        <v/>
      </c>
    </row>
    <row r="606" customFormat="false" ht="15" hidden="false" customHeight="false" outlineLevel="0" collapsed="false">
      <c r="A606" s="19"/>
      <c r="B606" s="20" t="str">
        <f aca="false">IF($X606="","",INDEX('Per Line'!$D$2:$D$4001,$X606))</f>
        <v/>
      </c>
      <c r="C606" s="20" t="str">
        <f aca="false">IF($X606="","",INDEX('Per Line'!$C$2:$C$4001,$X606))</f>
        <v/>
      </c>
      <c r="D606" s="20" t="str">
        <f aca="false">IF($X606="","",INDEX('Per Line'!$A$2:$A$4001,$X606))</f>
        <v/>
      </c>
      <c r="E606" s="21" t="str">
        <f aca="false">IF($X606="","",INDEX('Per Line'!$F$2:$F$4001,$X606))</f>
        <v/>
      </c>
      <c r="F606" s="20" t="str">
        <f aca="false">IF($X606="","",INDEX('Per Line'!$G$2:$G$4001,$X606))</f>
        <v/>
      </c>
      <c r="G606" s="20" t="str">
        <f aca="false">IF($X606="","",INDEX('Per Line'!$I$2:$I$4001,$X606))</f>
        <v/>
      </c>
      <c r="H606" s="20" t="str">
        <f aca="false">IF($X606="","",INDEX('Per Line'!$J$2:$J$4001,$X606))</f>
        <v/>
      </c>
      <c r="I606" s="20" t="str">
        <f aca="false">IF($X606="","",INDEX('Per Line'!$K$2:$K$4001,$X606))</f>
        <v/>
      </c>
      <c r="J606" s="20" t="str">
        <f aca="false">IF($X606="","",INDEX('Per Line'!$L$2:$L$4001,$X606))</f>
        <v/>
      </c>
      <c r="K606" s="20" t="str">
        <f aca="false">IF($X606="","",INDEX('Per Line'!$M$2:$M$4001,$X606))</f>
        <v/>
      </c>
      <c r="L606" s="22" t="str">
        <f aca="false">IF($X606="","",K606*V606/100)</f>
        <v/>
      </c>
      <c r="M606" s="20" t="str">
        <f aca="false">IF($X606="","",INDEX('Per Line'!$Z$2:$Z$4001,$X606))</f>
        <v/>
      </c>
      <c r="N606" s="23" t="str">
        <f aca="false">IF($X606="","",Settings!$C$7)</f>
        <v/>
      </c>
      <c r="O606" s="22" t="str">
        <f aca="false">IF($X606="","",SUMIFS('Per Line'!$Y$2:$Y$4001,'Per Line'!$D$2:$D$4001,$B606,'Per Line'!$AJ$2:$AJ$4001,0))</f>
        <v/>
      </c>
      <c r="P606" s="22" t="str">
        <f aca="false">IF($X606="","",O606*N606)</f>
        <v/>
      </c>
      <c r="Q606" s="23" t="str">
        <f aca="false">IF($X606="","",Settings!$C$6)</f>
        <v/>
      </c>
      <c r="R606" s="22" t="str">
        <f aca="false">IF($X606="","",SUMIFS('Per Line'!$Y$2:$Y$4001,'Per Line'!$D$2:$D$4001,$B606,'Per Line'!$AJ$2:$AJ$4001,1))</f>
        <v/>
      </c>
      <c r="S606" s="22" t="str">
        <f aca="false">IF($X606="","",R606*Q606)</f>
        <v/>
      </c>
      <c r="T606" s="22" t="str">
        <f aca="false">IF($X606="","",S606+P606)</f>
        <v/>
      </c>
      <c r="U606" s="22" t="str">
        <f aca="false">IF($X606="","",V606-T606)</f>
        <v/>
      </c>
      <c r="V606" s="22" t="str">
        <f aca="false">IF($X606="","",O606+R606)</f>
        <v/>
      </c>
      <c r="W606" s="22" t="str">
        <f aca="false">IF($X606="","",U606-L606)</f>
        <v/>
      </c>
      <c r="X606" s="24" t="str">
        <f aca="false">IF(ROWS($X$2:$X606)&lt;=MAX('Per Line'!$AI$2:$AI$4001),MATCH(ROWS($X$2:$X606),'Per Line'!$AI$2:$AI$4001,0),"")</f>
        <v/>
      </c>
    </row>
    <row r="607" customFormat="false" ht="15" hidden="false" customHeight="false" outlineLevel="0" collapsed="false">
      <c r="A607" s="19"/>
      <c r="B607" s="20" t="str">
        <f aca="false">IF($X607="","",INDEX('Per Line'!$D$2:$D$4001,$X607))</f>
        <v/>
      </c>
      <c r="C607" s="20" t="str">
        <f aca="false">IF($X607="","",INDEX('Per Line'!$C$2:$C$4001,$X607))</f>
        <v/>
      </c>
      <c r="D607" s="20" t="str">
        <f aca="false">IF($X607="","",INDEX('Per Line'!$A$2:$A$4001,$X607))</f>
        <v/>
      </c>
      <c r="E607" s="21" t="str">
        <f aca="false">IF($X607="","",INDEX('Per Line'!$F$2:$F$4001,$X607))</f>
        <v/>
      </c>
      <c r="F607" s="20" t="str">
        <f aca="false">IF($X607="","",INDEX('Per Line'!$G$2:$G$4001,$X607))</f>
        <v/>
      </c>
      <c r="G607" s="20" t="str">
        <f aca="false">IF($X607="","",INDEX('Per Line'!$I$2:$I$4001,$X607))</f>
        <v/>
      </c>
      <c r="H607" s="20" t="str">
        <f aca="false">IF($X607="","",INDEX('Per Line'!$J$2:$J$4001,$X607))</f>
        <v/>
      </c>
      <c r="I607" s="20" t="str">
        <f aca="false">IF($X607="","",INDEX('Per Line'!$K$2:$K$4001,$X607))</f>
        <v/>
      </c>
      <c r="J607" s="20" t="str">
        <f aca="false">IF($X607="","",INDEX('Per Line'!$L$2:$L$4001,$X607))</f>
        <v/>
      </c>
      <c r="K607" s="20" t="str">
        <f aca="false">IF($X607="","",INDEX('Per Line'!$M$2:$M$4001,$X607))</f>
        <v/>
      </c>
      <c r="L607" s="22" t="str">
        <f aca="false">IF($X607="","",K607*V607/100)</f>
        <v/>
      </c>
      <c r="M607" s="20" t="str">
        <f aca="false">IF($X607="","",INDEX('Per Line'!$Z$2:$Z$4001,$X607))</f>
        <v/>
      </c>
      <c r="N607" s="23" t="str">
        <f aca="false">IF($X607="","",Settings!$C$7)</f>
        <v/>
      </c>
      <c r="O607" s="22" t="str">
        <f aca="false">IF($X607="","",SUMIFS('Per Line'!$Y$2:$Y$4001,'Per Line'!$D$2:$D$4001,$B607,'Per Line'!$AJ$2:$AJ$4001,0))</f>
        <v/>
      </c>
      <c r="P607" s="22" t="str">
        <f aca="false">IF($X607="","",O607*N607)</f>
        <v/>
      </c>
      <c r="Q607" s="23" t="str">
        <f aca="false">IF($X607="","",Settings!$C$6)</f>
        <v/>
      </c>
      <c r="R607" s="22" t="str">
        <f aca="false">IF($X607="","",SUMIFS('Per Line'!$Y$2:$Y$4001,'Per Line'!$D$2:$D$4001,$B607,'Per Line'!$AJ$2:$AJ$4001,1))</f>
        <v/>
      </c>
      <c r="S607" s="22" t="str">
        <f aca="false">IF($X607="","",R607*Q607)</f>
        <v/>
      </c>
      <c r="T607" s="22" t="str">
        <f aca="false">IF($X607="","",S607+P607)</f>
        <v/>
      </c>
      <c r="U607" s="22" t="str">
        <f aca="false">IF($X607="","",V607-T607)</f>
        <v/>
      </c>
      <c r="V607" s="22" t="str">
        <f aca="false">IF($X607="","",O607+R607)</f>
        <v/>
      </c>
      <c r="W607" s="22" t="str">
        <f aca="false">IF($X607="","",U607-L607)</f>
        <v/>
      </c>
      <c r="X607" s="24" t="str">
        <f aca="false">IF(ROWS($X$2:$X607)&lt;=MAX('Per Line'!$AI$2:$AI$4001),MATCH(ROWS($X$2:$X607),'Per Line'!$AI$2:$AI$4001,0),"")</f>
        <v/>
      </c>
    </row>
    <row r="608" customFormat="false" ht="15" hidden="false" customHeight="false" outlineLevel="0" collapsed="false">
      <c r="A608" s="19"/>
      <c r="B608" s="20" t="str">
        <f aca="false">IF($X608="","",INDEX('Per Line'!$D$2:$D$4001,$X608))</f>
        <v/>
      </c>
      <c r="C608" s="20" t="str">
        <f aca="false">IF($X608="","",INDEX('Per Line'!$C$2:$C$4001,$X608))</f>
        <v/>
      </c>
      <c r="D608" s="20" t="str">
        <f aca="false">IF($X608="","",INDEX('Per Line'!$A$2:$A$4001,$X608))</f>
        <v/>
      </c>
      <c r="E608" s="21" t="str">
        <f aca="false">IF($X608="","",INDEX('Per Line'!$F$2:$F$4001,$X608))</f>
        <v/>
      </c>
      <c r="F608" s="20" t="str">
        <f aca="false">IF($X608="","",INDEX('Per Line'!$G$2:$G$4001,$X608))</f>
        <v/>
      </c>
      <c r="G608" s="20" t="str">
        <f aca="false">IF($X608="","",INDEX('Per Line'!$I$2:$I$4001,$X608))</f>
        <v/>
      </c>
      <c r="H608" s="20" t="str">
        <f aca="false">IF($X608="","",INDEX('Per Line'!$J$2:$J$4001,$X608))</f>
        <v/>
      </c>
      <c r="I608" s="20" t="str">
        <f aca="false">IF($X608="","",INDEX('Per Line'!$K$2:$K$4001,$X608))</f>
        <v/>
      </c>
      <c r="J608" s="20" t="str">
        <f aca="false">IF($X608="","",INDEX('Per Line'!$L$2:$L$4001,$X608))</f>
        <v/>
      </c>
      <c r="K608" s="20" t="str">
        <f aca="false">IF($X608="","",INDEX('Per Line'!$M$2:$M$4001,$X608))</f>
        <v/>
      </c>
      <c r="L608" s="22" t="str">
        <f aca="false">IF($X608="","",K608*V608/100)</f>
        <v/>
      </c>
      <c r="M608" s="20" t="str">
        <f aca="false">IF($X608="","",INDEX('Per Line'!$Z$2:$Z$4001,$X608))</f>
        <v/>
      </c>
      <c r="N608" s="23" t="str">
        <f aca="false">IF($X608="","",Settings!$C$7)</f>
        <v/>
      </c>
      <c r="O608" s="22" t="str">
        <f aca="false">IF($X608="","",SUMIFS('Per Line'!$Y$2:$Y$4001,'Per Line'!$D$2:$D$4001,$B608,'Per Line'!$AJ$2:$AJ$4001,0))</f>
        <v/>
      </c>
      <c r="P608" s="22" t="str">
        <f aca="false">IF($X608="","",O608*N608)</f>
        <v/>
      </c>
      <c r="Q608" s="23" t="str">
        <f aca="false">IF($X608="","",Settings!$C$6)</f>
        <v/>
      </c>
      <c r="R608" s="22" t="str">
        <f aca="false">IF($X608="","",SUMIFS('Per Line'!$Y$2:$Y$4001,'Per Line'!$D$2:$D$4001,$B608,'Per Line'!$AJ$2:$AJ$4001,1))</f>
        <v/>
      </c>
      <c r="S608" s="22" t="str">
        <f aca="false">IF($X608="","",R608*Q608)</f>
        <v/>
      </c>
      <c r="T608" s="22" t="str">
        <f aca="false">IF($X608="","",S608+P608)</f>
        <v/>
      </c>
      <c r="U608" s="22" t="str">
        <f aca="false">IF($X608="","",V608-T608)</f>
        <v/>
      </c>
      <c r="V608" s="22" t="str">
        <f aca="false">IF($X608="","",O608+R608)</f>
        <v/>
      </c>
      <c r="W608" s="22" t="str">
        <f aca="false">IF($X608="","",U608-L608)</f>
        <v/>
      </c>
      <c r="X608" s="24" t="str">
        <f aca="false">IF(ROWS($X$2:$X608)&lt;=MAX('Per Line'!$AI$2:$AI$4001),MATCH(ROWS($X$2:$X608),'Per Line'!$AI$2:$AI$4001,0),"")</f>
        <v/>
      </c>
    </row>
    <row r="609" customFormat="false" ht="15" hidden="false" customHeight="false" outlineLevel="0" collapsed="false">
      <c r="A609" s="19"/>
      <c r="B609" s="20" t="str">
        <f aca="false">IF($X609="","",INDEX('Per Line'!$D$2:$D$4001,$X609))</f>
        <v/>
      </c>
      <c r="C609" s="20" t="str">
        <f aca="false">IF($X609="","",INDEX('Per Line'!$C$2:$C$4001,$X609))</f>
        <v/>
      </c>
      <c r="D609" s="20" t="str">
        <f aca="false">IF($X609="","",INDEX('Per Line'!$A$2:$A$4001,$X609))</f>
        <v/>
      </c>
      <c r="E609" s="21" t="str">
        <f aca="false">IF($X609="","",INDEX('Per Line'!$F$2:$F$4001,$X609))</f>
        <v/>
      </c>
      <c r="F609" s="20" t="str">
        <f aca="false">IF($X609="","",INDEX('Per Line'!$G$2:$G$4001,$X609))</f>
        <v/>
      </c>
      <c r="G609" s="20" t="str">
        <f aca="false">IF($X609="","",INDEX('Per Line'!$I$2:$I$4001,$X609))</f>
        <v/>
      </c>
      <c r="H609" s="20" t="str">
        <f aca="false">IF($X609="","",INDEX('Per Line'!$J$2:$J$4001,$X609))</f>
        <v/>
      </c>
      <c r="I609" s="20" t="str">
        <f aca="false">IF($X609="","",INDEX('Per Line'!$K$2:$K$4001,$X609))</f>
        <v/>
      </c>
      <c r="J609" s="20" t="str">
        <f aca="false">IF($X609="","",INDEX('Per Line'!$L$2:$L$4001,$X609))</f>
        <v/>
      </c>
      <c r="K609" s="20" t="str">
        <f aca="false">IF($X609="","",INDEX('Per Line'!$M$2:$M$4001,$X609))</f>
        <v/>
      </c>
      <c r="L609" s="22" t="str">
        <f aca="false">IF($X609="","",K609*V609/100)</f>
        <v/>
      </c>
      <c r="M609" s="20" t="str">
        <f aca="false">IF($X609="","",INDEX('Per Line'!$Z$2:$Z$4001,$X609))</f>
        <v/>
      </c>
      <c r="N609" s="23" t="str">
        <f aca="false">IF($X609="","",Settings!$C$7)</f>
        <v/>
      </c>
      <c r="O609" s="22" t="str">
        <f aca="false">IF($X609="","",SUMIFS('Per Line'!$Y$2:$Y$4001,'Per Line'!$D$2:$D$4001,$B609,'Per Line'!$AJ$2:$AJ$4001,0))</f>
        <v/>
      </c>
      <c r="P609" s="22" t="str">
        <f aca="false">IF($X609="","",O609*N609)</f>
        <v/>
      </c>
      <c r="Q609" s="23" t="str">
        <f aca="false">IF($X609="","",Settings!$C$6)</f>
        <v/>
      </c>
      <c r="R609" s="22" t="str">
        <f aca="false">IF($X609="","",SUMIFS('Per Line'!$Y$2:$Y$4001,'Per Line'!$D$2:$D$4001,$B609,'Per Line'!$AJ$2:$AJ$4001,1))</f>
        <v/>
      </c>
      <c r="S609" s="22" t="str">
        <f aca="false">IF($X609="","",R609*Q609)</f>
        <v/>
      </c>
      <c r="T609" s="22" t="str">
        <f aca="false">IF($X609="","",S609+P609)</f>
        <v/>
      </c>
      <c r="U609" s="22" t="str">
        <f aca="false">IF($X609="","",V609-T609)</f>
        <v/>
      </c>
      <c r="V609" s="22" t="str">
        <f aca="false">IF($X609="","",O609+R609)</f>
        <v/>
      </c>
      <c r="W609" s="22" t="str">
        <f aca="false">IF($X609="","",U609-L609)</f>
        <v/>
      </c>
      <c r="X609" s="24" t="str">
        <f aca="false">IF(ROWS($X$2:$X609)&lt;=MAX('Per Line'!$AI$2:$AI$4001),MATCH(ROWS($X$2:$X609),'Per Line'!$AI$2:$AI$4001,0),"")</f>
        <v/>
      </c>
    </row>
    <row r="610" customFormat="false" ht="15" hidden="false" customHeight="false" outlineLevel="0" collapsed="false">
      <c r="A610" s="19"/>
      <c r="B610" s="20" t="str">
        <f aca="false">IF($X610="","",INDEX('Per Line'!$D$2:$D$4001,$X610))</f>
        <v/>
      </c>
      <c r="C610" s="20" t="str">
        <f aca="false">IF($X610="","",INDEX('Per Line'!$C$2:$C$4001,$X610))</f>
        <v/>
      </c>
      <c r="D610" s="20" t="str">
        <f aca="false">IF($X610="","",INDEX('Per Line'!$A$2:$A$4001,$X610))</f>
        <v/>
      </c>
      <c r="E610" s="21" t="str">
        <f aca="false">IF($X610="","",INDEX('Per Line'!$F$2:$F$4001,$X610))</f>
        <v/>
      </c>
      <c r="F610" s="20" t="str">
        <f aca="false">IF($X610="","",INDEX('Per Line'!$G$2:$G$4001,$X610))</f>
        <v/>
      </c>
      <c r="G610" s="20" t="str">
        <f aca="false">IF($X610="","",INDEX('Per Line'!$I$2:$I$4001,$X610))</f>
        <v/>
      </c>
      <c r="H610" s="20" t="str">
        <f aca="false">IF($X610="","",INDEX('Per Line'!$J$2:$J$4001,$X610))</f>
        <v/>
      </c>
      <c r="I610" s="20" t="str">
        <f aca="false">IF($X610="","",INDEX('Per Line'!$K$2:$K$4001,$X610))</f>
        <v/>
      </c>
      <c r="J610" s="20" t="str">
        <f aca="false">IF($X610="","",INDEX('Per Line'!$L$2:$L$4001,$X610))</f>
        <v/>
      </c>
      <c r="K610" s="20" t="str">
        <f aca="false">IF($X610="","",INDEX('Per Line'!$M$2:$M$4001,$X610))</f>
        <v/>
      </c>
      <c r="L610" s="22" t="str">
        <f aca="false">IF($X610="","",K610*V610/100)</f>
        <v/>
      </c>
      <c r="M610" s="20" t="str">
        <f aca="false">IF($X610="","",INDEX('Per Line'!$Z$2:$Z$4001,$X610))</f>
        <v/>
      </c>
      <c r="N610" s="23" t="str">
        <f aca="false">IF($X610="","",Settings!$C$7)</f>
        <v/>
      </c>
      <c r="O610" s="22" t="str">
        <f aca="false">IF($X610="","",SUMIFS('Per Line'!$Y$2:$Y$4001,'Per Line'!$D$2:$D$4001,$B610,'Per Line'!$AJ$2:$AJ$4001,0))</f>
        <v/>
      </c>
      <c r="P610" s="22" t="str">
        <f aca="false">IF($X610="","",O610*N610)</f>
        <v/>
      </c>
      <c r="Q610" s="23" t="str">
        <f aca="false">IF($X610="","",Settings!$C$6)</f>
        <v/>
      </c>
      <c r="R610" s="22" t="str">
        <f aca="false">IF($X610="","",SUMIFS('Per Line'!$Y$2:$Y$4001,'Per Line'!$D$2:$D$4001,$B610,'Per Line'!$AJ$2:$AJ$4001,1))</f>
        <v/>
      </c>
      <c r="S610" s="22" t="str">
        <f aca="false">IF($X610="","",R610*Q610)</f>
        <v/>
      </c>
      <c r="T610" s="22" t="str">
        <f aca="false">IF($X610="","",S610+P610)</f>
        <v/>
      </c>
      <c r="U610" s="22" t="str">
        <f aca="false">IF($X610="","",V610-T610)</f>
        <v/>
      </c>
      <c r="V610" s="22" t="str">
        <f aca="false">IF($X610="","",O610+R610)</f>
        <v/>
      </c>
      <c r="W610" s="22" t="str">
        <f aca="false">IF($X610="","",U610-L610)</f>
        <v/>
      </c>
      <c r="X610" s="24" t="str">
        <f aca="false">IF(ROWS($X$2:$X610)&lt;=MAX('Per Line'!$AI$2:$AI$4001),MATCH(ROWS($X$2:$X610),'Per Line'!$AI$2:$AI$4001,0),"")</f>
        <v/>
      </c>
    </row>
    <row r="611" customFormat="false" ht="15" hidden="false" customHeight="false" outlineLevel="0" collapsed="false">
      <c r="A611" s="19"/>
      <c r="B611" s="20" t="str">
        <f aca="false">IF($X611="","",INDEX('Per Line'!$D$2:$D$4001,$X611))</f>
        <v/>
      </c>
      <c r="C611" s="20" t="str">
        <f aca="false">IF($X611="","",INDEX('Per Line'!$C$2:$C$4001,$X611))</f>
        <v/>
      </c>
      <c r="D611" s="20" t="str">
        <f aca="false">IF($X611="","",INDEX('Per Line'!$A$2:$A$4001,$X611))</f>
        <v/>
      </c>
      <c r="E611" s="21" t="str">
        <f aca="false">IF($X611="","",INDEX('Per Line'!$F$2:$F$4001,$X611))</f>
        <v/>
      </c>
      <c r="F611" s="20" t="str">
        <f aca="false">IF($X611="","",INDEX('Per Line'!$G$2:$G$4001,$X611))</f>
        <v/>
      </c>
      <c r="G611" s="20" t="str">
        <f aca="false">IF($X611="","",INDEX('Per Line'!$I$2:$I$4001,$X611))</f>
        <v/>
      </c>
      <c r="H611" s="20" t="str">
        <f aca="false">IF($X611="","",INDEX('Per Line'!$J$2:$J$4001,$X611))</f>
        <v/>
      </c>
      <c r="I611" s="20" t="str">
        <f aca="false">IF($X611="","",INDEX('Per Line'!$K$2:$K$4001,$X611))</f>
        <v/>
      </c>
      <c r="J611" s="20" t="str">
        <f aca="false">IF($X611="","",INDEX('Per Line'!$L$2:$L$4001,$X611))</f>
        <v/>
      </c>
      <c r="K611" s="20" t="str">
        <f aca="false">IF($X611="","",INDEX('Per Line'!$M$2:$M$4001,$X611))</f>
        <v/>
      </c>
      <c r="L611" s="22" t="str">
        <f aca="false">IF($X611="","",K611*V611/100)</f>
        <v/>
      </c>
      <c r="M611" s="20" t="str">
        <f aca="false">IF($X611="","",INDEX('Per Line'!$Z$2:$Z$4001,$X611))</f>
        <v/>
      </c>
      <c r="N611" s="23" t="str">
        <f aca="false">IF($X611="","",Settings!$C$7)</f>
        <v/>
      </c>
      <c r="O611" s="22" t="str">
        <f aca="false">IF($X611="","",SUMIFS('Per Line'!$Y$2:$Y$4001,'Per Line'!$D$2:$D$4001,$B611,'Per Line'!$AJ$2:$AJ$4001,0))</f>
        <v/>
      </c>
      <c r="P611" s="22" t="str">
        <f aca="false">IF($X611="","",O611*N611)</f>
        <v/>
      </c>
      <c r="Q611" s="23" t="str">
        <f aca="false">IF($X611="","",Settings!$C$6)</f>
        <v/>
      </c>
      <c r="R611" s="22" t="str">
        <f aca="false">IF($X611="","",SUMIFS('Per Line'!$Y$2:$Y$4001,'Per Line'!$D$2:$D$4001,$B611,'Per Line'!$AJ$2:$AJ$4001,1))</f>
        <v/>
      </c>
      <c r="S611" s="22" t="str">
        <f aca="false">IF($X611="","",R611*Q611)</f>
        <v/>
      </c>
      <c r="T611" s="22" t="str">
        <f aca="false">IF($X611="","",S611+P611)</f>
        <v/>
      </c>
      <c r="U611" s="22" t="str">
        <f aca="false">IF($X611="","",V611-T611)</f>
        <v/>
      </c>
      <c r="V611" s="22" t="str">
        <f aca="false">IF($X611="","",O611+R611)</f>
        <v/>
      </c>
      <c r="W611" s="22" t="str">
        <f aca="false">IF($X611="","",U611-L611)</f>
        <v/>
      </c>
      <c r="X611" s="24" t="str">
        <f aca="false">IF(ROWS($X$2:$X611)&lt;=MAX('Per Line'!$AI$2:$AI$4001),MATCH(ROWS($X$2:$X611),'Per Line'!$AI$2:$AI$4001,0),"")</f>
        <v/>
      </c>
    </row>
    <row r="612" customFormat="false" ht="15" hidden="false" customHeight="false" outlineLevel="0" collapsed="false">
      <c r="A612" s="19"/>
      <c r="B612" s="20" t="str">
        <f aca="false">IF($X612="","",INDEX('Per Line'!$D$2:$D$4001,$X612))</f>
        <v/>
      </c>
      <c r="C612" s="20" t="str">
        <f aca="false">IF($X612="","",INDEX('Per Line'!$C$2:$C$4001,$X612))</f>
        <v/>
      </c>
      <c r="D612" s="20" t="str">
        <f aca="false">IF($X612="","",INDEX('Per Line'!$A$2:$A$4001,$X612))</f>
        <v/>
      </c>
      <c r="E612" s="21" t="str">
        <f aca="false">IF($X612="","",INDEX('Per Line'!$F$2:$F$4001,$X612))</f>
        <v/>
      </c>
      <c r="F612" s="20" t="str">
        <f aca="false">IF($X612="","",INDEX('Per Line'!$G$2:$G$4001,$X612))</f>
        <v/>
      </c>
      <c r="G612" s="20" t="str">
        <f aca="false">IF($X612="","",INDEX('Per Line'!$I$2:$I$4001,$X612))</f>
        <v/>
      </c>
      <c r="H612" s="20" t="str">
        <f aca="false">IF($X612="","",INDEX('Per Line'!$J$2:$J$4001,$X612))</f>
        <v/>
      </c>
      <c r="I612" s="20" t="str">
        <f aca="false">IF($X612="","",INDEX('Per Line'!$K$2:$K$4001,$X612))</f>
        <v/>
      </c>
      <c r="J612" s="20" t="str">
        <f aca="false">IF($X612="","",INDEX('Per Line'!$L$2:$L$4001,$X612))</f>
        <v/>
      </c>
      <c r="K612" s="20" t="str">
        <f aca="false">IF($X612="","",INDEX('Per Line'!$M$2:$M$4001,$X612))</f>
        <v/>
      </c>
      <c r="L612" s="22" t="str">
        <f aca="false">IF($X612="","",K612*V612/100)</f>
        <v/>
      </c>
      <c r="M612" s="20" t="str">
        <f aca="false">IF($X612="","",INDEX('Per Line'!$Z$2:$Z$4001,$X612))</f>
        <v/>
      </c>
      <c r="N612" s="23" t="str">
        <f aca="false">IF($X612="","",Settings!$C$7)</f>
        <v/>
      </c>
      <c r="O612" s="22" t="str">
        <f aca="false">IF($X612="","",SUMIFS('Per Line'!$Y$2:$Y$4001,'Per Line'!$D$2:$D$4001,$B612,'Per Line'!$AJ$2:$AJ$4001,0))</f>
        <v/>
      </c>
      <c r="P612" s="22" t="str">
        <f aca="false">IF($X612="","",O612*N612)</f>
        <v/>
      </c>
      <c r="Q612" s="23" t="str">
        <f aca="false">IF($X612="","",Settings!$C$6)</f>
        <v/>
      </c>
      <c r="R612" s="22" t="str">
        <f aca="false">IF($X612="","",SUMIFS('Per Line'!$Y$2:$Y$4001,'Per Line'!$D$2:$D$4001,$B612,'Per Line'!$AJ$2:$AJ$4001,1))</f>
        <v/>
      </c>
      <c r="S612" s="22" t="str">
        <f aca="false">IF($X612="","",R612*Q612)</f>
        <v/>
      </c>
      <c r="T612" s="22" t="str">
        <f aca="false">IF($X612="","",S612+P612)</f>
        <v/>
      </c>
      <c r="U612" s="22" t="str">
        <f aca="false">IF($X612="","",V612-T612)</f>
        <v/>
      </c>
      <c r="V612" s="22" t="str">
        <f aca="false">IF($X612="","",O612+R612)</f>
        <v/>
      </c>
      <c r="W612" s="22" t="str">
        <f aca="false">IF($X612="","",U612-L612)</f>
        <v/>
      </c>
      <c r="X612" s="24" t="str">
        <f aca="false">IF(ROWS($X$2:$X612)&lt;=MAX('Per Line'!$AI$2:$AI$4001),MATCH(ROWS($X$2:$X612),'Per Line'!$AI$2:$AI$4001,0),"")</f>
        <v/>
      </c>
    </row>
    <row r="613" customFormat="false" ht="15" hidden="false" customHeight="false" outlineLevel="0" collapsed="false">
      <c r="A613" s="19"/>
      <c r="B613" s="20" t="str">
        <f aca="false">IF($X613="","",INDEX('Per Line'!$D$2:$D$4001,$X613))</f>
        <v/>
      </c>
      <c r="C613" s="20" t="str">
        <f aca="false">IF($X613="","",INDEX('Per Line'!$C$2:$C$4001,$X613))</f>
        <v/>
      </c>
      <c r="D613" s="20" t="str">
        <f aca="false">IF($X613="","",INDEX('Per Line'!$A$2:$A$4001,$X613))</f>
        <v/>
      </c>
      <c r="E613" s="21" t="str">
        <f aca="false">IF($X613="","",INDEX('Per Line'!$F$2:$F$4001,$X613))</f>
        <v/>
      </c>
      <c r="F613" s="20" t="str">
        <f aca="false">IF($X613="","",INDEX('Per Line'!$G$2:$G$4001,$X613))</f>
        <v/>
      </c>
      <c r="G613" s="20" t="str">
        <f aca="false">IF($X613="","",INDEX('Per Line'!$I$2:$I$4001,$X613))</f>
        <v/>
      </c>
      <c r="H613" s="20" t="str">
        <f aca="false">IF($X613="","",INDEX('Per Line'!$J$2:$J$4001,$X613))</f>
        <v/>
      </c>
      <c r="I613" s="20" t="str">
        <f aca="false">IF($X613="","",INDEX('Per Line'!$K$2:$K$4001,$X613))</f>
        <v/>
      </c>
      <c r="J613" s="20" t="str">
        <f aca="false">IF($X613="","",INDEX('Per Line'!$L$2:$L$4001,$X613))</f>
        <v/>
      </c>
      <c r="K613" s="20" t="str">
        <f aca="false">IF($X613="","",INDEX('Per Line'!$M$2:$M$4001,$X613))</f>
        <v/>
      </c>
      <c r="L613" s="22" t="str">
        <f aca="false">IF($X613="","",K613*V613/100)</f>
        <v/>
      </c>
      <c r="M613" s="20" t="str">
        <f aca="false">IF($X613="","",INDEX('Per Line'!$Z$2:$Z$4001,$X613))</f>
        <v/>
      </c>
      <c r="N613" s="23" t="str">
        <f aca="false">IF($X613="","",Settings!$C$7)</f>
        <v/>
      </c>
      <c r="O613" s="22" t="str">
        <f aca="false">IF($X613="","",SUMIFS('Per Line'!$Y$2:$Y$4001,'Per Line'!$D$2:$D$4001,$B613,'Per Line'!$AJ$2:$AJ$4001,0))</f>
        <v/>
      </c>
      <c r="P613" s="22" t="str">
        <f aca="false">IF($X613="","",O613*N613)</f>
        <v/>
      </c>
      <c r="Q613" s="23" t="str">
        <f aca="false">IF($X613="","",Settings!$C$6)</f>
        <v/>
      </c>
      <c r="R613" s="22" t="str">
        <f aca="false">IF($X613="","",SUMIFS('Per Line'!$Y$2:$Y$4001,'Per Line'!$D$2:$D$4001,$B613,'Per Line'!$AJ$2:$AJ$4001,1))</f>
        <v/>
      </c>
      <c r="S613" s="22" t="str">
        <f aca="false">IF($X613="","",R613*Q613)</f>
        <v/>
      </c>
      <c r="T613" s="22" t="str">
        <f aca="false">IF($X613="","",S613+P613)</f>
        <v/>
      </c>
      <c r="U613" s="22" t="str">
        <f aca="false">IF($X613="","",V613-T613)</f>
        <v/>
      </c>
      <c r="V613" s="22" t="str">
        <f aca="false">IF($X613="","",O613+R613)</f>
        <v/>
      </c>
      <c r="W613" s="22" t="str">
        <f aca="false">IF($X613="","",U613-L613)</f>
        <v/>
      </c>
      <c r="X613" s="24" t="str">
        <f aca="false">IF(ROWS($X$2:$X613)&lt;=MAX('Per Line'!$AI$2:$AI$4001),MATCH(ROWS($X$2:$X613),'Per Line'!$AI$2:$AI$4001,0),"")</f>
        <v/>
      </c>
    </row>
    <row r="614" customFormat="false" ht="15" hidden="false" customHeight="false" outlineLevel="0" collapsed="false">
      <c r="A614" s="19"/>
      <c r="B614" s="20" t="str">
        <f aca="false">IF($X614="","",INDEX('Per Line'!$D$2:$D$4001,$X614))</f>
        <v/>
      </c>
      <c r="C614" s="20" t="str">
        <f aca="false">IF($X614="","",INDEX('Per Line'!$C$2:$C$4001,$X614))</f>
        <v/>
      </c>
      <c r="D614" s="20" t="str">
        <f aca="false">IF($X614="","",INDEX('Per Line'!$A$2:$A$4001,$X614))</f>
        <v/>
      </c>
      <c r="E614" s="21" t="str">
        <f aca="false">IF($X614="","",INDEX('Per Line'!$F$2:$F$4001,$X614))</f>
        <v/>
      </c>
      <c r="F614" s="20" t="str">
        <f aca="false">IF($X614="","",INDEX('Per Line'!$G$2:$G$4001,$X614))</f>
        <v/>
      </c>
      <c r="G614" s="20" t="str">
        <f aca="false">IF($X614="","",INDEX('Per Line'!$I$2:$I$4001,$X614))</f>
        <v/>
      </c>
      <c r="H614" s="20" t="str">
        <f aca="false">IF($X614="","",INDEX('Per Line'!$J$2:$J$4001,$X614))</f>
        <v/>
      </c>
      <c r="I614" s="20" t="str">
        <f aca="false">IF($X614="","",INDEX('Per Line'!$K$2:$K$4001,$X614))</f>
        <v/>
      </c>
      <c r="J614" s="20" t="str">
        <f aca="false">IF($X614="","",INDEX('Per Line'!$L$2:$L$4001,$X614))</f>
        <v/>
      </c>
      <c r="K614" s="20" t="str">
        <f aca="false">IF($X614="","",INDEX('Per Line'!$M$2:$M$4001,$X614))</f>
        <v/>
      </c>
      <c r="L614" s="22" t="str">
        <f aca="false">IF($X614="","",K614*V614/100)</f>
        <v/>
      </c>
      <c r="M614" s="20" t="str">
        <f aca="false">IF($X614="","",INDEX('Per Line'!$Z$2:$Z$4001,$X614))</f>
        <v/>
      </c>
      <c r="N614" s="23" t="str">
        <f aca="false">IF($X614="","",Settings!$C$7)</f>
        <v/>
      </c>
      <c r="O614" s="22" t="str">
        <f aca="false">IF($X614="","",SUMIFS('Per Line'!$Y$2:$Y$4001,'Per Line'!$D$2:$D$4001,$B614,'Per Line'!$AJ$2:$AJ$4001,0))</f>
        <v/>
      </c>
      <c r="P614" s="22" t="str">
        <f aca="false">IF($X614="","",O614*N614)</f>
        <v/>
      </c>
      <c r="Q614" s="23" t="str">
        <f aca="false">IF($X614="","",Settings!$C$6)</f>
        <v/>
      </c>
      <c r="R614" s="22" t="str">
        <f aca="false">IF($X614="","",SUMIFS('Per Line'!$Y$2:$Y$4001,'Per Line'!$D$2:$D$4001,$B614,'Per Line'!$AJ$2:$AJ$4001,1))</f>
        <v/>
      </c>
      <c r="S614" s="22" t="str">
        <f aca="false">IF($X614="","",R614*Q614)</f>
        <v/>
      </c>
      <c r="T614" s="22" t="str">
        <f aca="false">IF($X614="","",S614+P614)</f>
        <v/>
      </c>
      <c r="U614" s="22" t="str">
        <f aca="false">IF($X614="","",V614-T614)</f>
        <v/>
      </c>
      <c r="V614" s="22" t="str">
        <f aca="false">IF($X614="","",O614+R614)</f>
        <v/>
      </c>
      <c r="W614" s="22" t="str">
        <f aca="false">IF($X614="","",U614-L614)</f>
        <v/>
      </c>
      <c r="X614" s="24" t="str">
        <f aca="false">IF(ROWS($X$2:$X614)&lt;=MAX('Per Line'!$AI$2:$AI$4001),MATCH(ROWS($X$2:$X614),'Per Line'!$AI$2:$AI$4001,0),"")</f>
        <v/>
      </c>
    </row>
    <row r="615" customFormat="false" ht="15" hidden="false" customHeight="false" outlineLevel="0" collapsed="false">
      <c r="A615" s="19"/>
      <c r="B615" s="20" t="str">
        <f aca="false">IF($X615="","",INDEX('Per Line'!$D$2:$D$4001,$X615))</f>
        <v/>
      </c>
      <c r="C615" s="20" t="str">
        <f aca="false">IF($X615="","",INDEX('Per Line'!$C$2:$C$4001,$X615))</f>
        <v/>
      </c>
      <c r="D615" s="20" t="str">
        <f aca="false">IF($X615="","",INDEX('Per Line'!$A$2:$A$4001,$X615))</f>
        <v/>
      </c>
      <c r="E615" s="21" t="str">
        <f aca="false">IF($X615="","",INDEX('Per Line'!$F$2:$F$4001,$X615))</f>
        <v/>
      </c>
      <c r="F615" s="20" t="str">
        <f aca="false">IF($X615="","",INDEX('Per Line'!$G$2:$G$4001,$X615))</f>
        <v/>
      </c>
      <c r="G615" s="20" t="str">
        <f aca="false">IF($X615="","",INDEX('Per Line'!$I$2:$I$4001,$X615))</f>
        <v/>
      </c>
      <c r="H615" s="20" t="str">
        <f aca="false">IF($X615="","",INDEX('Per Line'!$J$2:$J$4001,$X615))</f>
        <v/>
      </c>
      <c r="I615" s="20" t="str">
        <f aca="false">IF($X615="","",INDEX('Per Line'!$K$2:$K$4001,$X615))</f>
        <v/>
      </c>
      <c r="J615" s="20" t="str">
        <f aca="false">IF($X615="","",INDEX('Per Line'!$L$2:$L$4001,$X615))</f>
        <v/>
      </c>
      <c r="K615" s="20" t="str">
        <f aca="false">IF($X615="","",INDEX('Per Line'!$M$2:$M$4001,$X615))</f>
        <v/>
      </c>
      <c r="L615" s="22" t="str">
        <f aca="false">IF($X615="","",K615*V615/100)</f>
        <v/>
      </c>
      <c r="M615" s="20" t="str">
        <f aca="false">IF($X615="","",INDEX('Per Line'!$Z$2:$Z$4001,$X615))</f>
        <v/>
      </c>
      <c r="N615" s="23" t="str">
        <f aca="false">IF($X615="","",Settings!$C$7)</f>
        <v/>
      </c>
      <c r="O615" s="22" t="str">
        <f aca="false">IF($X615="","",SUMIFS('Per Line'!$Y$2:$Y$4001,'Per Line'!$D$2:$D$4001,$B615,'Per Line'!$AJ$2:$AJ$4001,0))</f>
        <v/>
      </c>
      <c r="P615" s="22" t="str">
        <f aca="false">IF($X615="","",O615*N615)</f>
        <v/>
      </c>
      <c r="Q615" s="23" t="str">
        <f aca="false">IF($X615="","",Settings!$C$6)</f>
        <v/>
      </c>
      <c r="R615" s="22" t="str">
        <f aca="false">IF($X615="","",SUMIFS('Per Line'!$Y$2:$Y$4001,'Per Line'!$D$2:$D$4001,$B615,'Per Line'!$AJ$2:$AJ$4001,1))</f>
        <v/>
      </c>
      <c r="S615" s="22" t="str">
        <f aca="false">IF($X615="","",R615*Q615)</f>
        <v/>
      </c>
      <c r="T615" s="22" t="str">
        <f aca="false">IF($X615="","",S615+P615)</f>
        <v/>
      </c>
      <c r="U615" s="22" t="str">
        <f aca="false">IF($X615="","",V615-T615)</f>
        <v/>
      </c>
      <c r="V615" s="22" t="str">
        <f aca="false">IF($X615="","",O615+R615)</f>
        <v/>
      </c>
      <c r="W615" s="22" t="str">
        <f aca="false">IF($X615="","",U615-L615)</f>
        <v/>
      </c>
      <c r="X615" s="24" t="str">
        <f aca="false">IF(ROWS($X$2:$X615)&lt;=MAX('Per Line'!$AI$2:$AI$4001),MATCH(ROWS($X$2:$X615),'Per Line'!$AI$2:$AI$4001,0),"")</f>
        <v/>
      </c>
    </row>
    <row r="616" customFormat="false" ht="15" hidden="false" customHeight="false" outlineLevel="0" collapsed="false">
      <c r="A616" s="19"/>
      <c r="B616" s="20" t="str">
        <f aca="false">IF($X616="","",INDEX('Per Line'!$D$2:$D$4001,$X616))</f>
        <v/>
      </c>
      <c r="C616" s="20" t="str">
        <f aca="false">IF($X616="","",INDEX('Per Line'!$C$2:$C$4001,$X616))</f>
        <v/>
      </c>
      <c r="D616" s="20" t="str">
        <f aca="false">IF($X616="","",INDEX('Per Line'!$A$2:$A$4001,$X616))</f>
        <v/>
      </c>
      <c r="E616" s="21" t="str">
        <f aca="false">IF($X616="","",INDEX('Per Line'!$F$2:$F$4001,$X616))</f>
        <v/>
      </c>
      <c r="F616" s="20" t="str">
        <f aca="false">IF($X616="","",INDEX('Per Line'!$G$2:$G$4001,$X616))</f>
        <v/>
      </c>
      <c r="G616" s="20" t="str">
        <f aca="false">IF($X616="","",INDEX('Per Line'!$I$2:$I$4001,$X616))</f>
        <v/>
      </c>
      <c r="H616" s="20" t="str">
        <f aca="false">IF($X616="","",INDEX('Per Line'!$J$2:$J$4001,$X616))</f>
        <v/>
      </c>
      <c r="I616" s="20" t="str">
        <f aca="false">IF($X616="","",INDEX('Per Line'!$K$2:$K$4001,$X616))</f>
        <v/>
      </c>
      <c r="J616" s="20" t="str">
        <f aca="false">IF($X616="","",INDEX('Per Line'!$L$2:$L$4001,$X616))</f>
        <v/>
      </c>
      <c r="K616" s="20" t="str">
        <f aca="false">IF($X616="","",INDEX('Per Line'!$M$2:$M$4001,$X616))</f>
        <v/>
      </c>
      <c r="L616" s="22" t="str">
        <f aca="false">IF($X616="","",K616*V616/100)</f>
        <v/>
      </c>
      <c r="M616" s="20" t="str">
        <f aca="false">IF($X616="","",INDEX('Per Line'!$Z$2:$Z$4001,$X616))</f>
        <v/>
      </c>
      <c r="N616" s="23" t="str">
        <f aca="false">IF($X616="","",Settings!$C$7)</f>
        <v/>
      </c>
      <c r="O616" s="22" t="str">
        <f aca="false">IF($X616="","",SUMIFS('Per Line'!$Y$2:$Y$4001,'Per Line'!$D$2:$D$4001,$B616,'Per Line'!$AJ$2:$AJ$4001,0))</f>
        <v/>
      </c>
      <c r="P616" s="22" t="str">
        <f aca="false">IF($X616="","",O616*N616)</f>
        <v/>
      </c>
      <c r="Q616" s="23" t="str">
        <f aca="false">IF($X616="","",Settings!$C$6)</f>
        <v/>
      </c>
      <c r="R616" s="22" t="str">
        <f aca="false">IF($X616="","",SUMIFS('Per Line'!$Y$2:$Y$4001,'Per Line'!$D$2:$D$4001,$B616,'Per Line'!$AJ$2:$AJ$4001,1))</f>
        <v/>
      </c>
      <c r="S616" s="22" t="str">
        <f aca="false">IF($X616="","",R616*Q616)</f>
        <v/>
      </c>
      <c r="T616" s="22" t="str">
        <f aca="false">IF($X616="","",S616+P616)</f>
        <v/>
      </c>
      <c r="U616" s="22" t="str">
        <f aca="false">IF($X616="","",V616-T616)</f>
        <v/>
      </c>
      <c r="V616" s="22" t="str">
        <f aca="false">IF($X616="","",O616+R616)</f>
        <v/>
      </c>
      <c r="W616" s="22" t="str">
        <f aca="false">IF($X616="","",U616-L616)</f>
        <v/>
      </c>
      <c r="X616" s="24" t="str">
        <f aca="false">IF(ROWS($X$2:$X616)&lt;=MAX('Per Line'!$AI$2:$AI$4001),MATCH(ROWS($X$2:$X616),'Per Line'!$AI$2:$AI$4001,0),"")</f>
        <v/>
      </c>
    </row>
    <row r="617" customFormat="false" ht="15" hidden="false" customHeight="false" outlineLevel="0" collapsed="false">
      <c r="A617" s="19"/>
      <c r="B617" s="20" t="str">
        <f aca="false">IF($X617="","",INDEX('Per Line'!$D$2:$D$4001,$X617))</f>
        <v/>
      </c>
      <c r="C617" s="20" t="str">
        <f aca="false">IF($X617="","",INDEX('Per Line'!$C$2:$C$4001,$X617))</f>
        <v/>
      </c>
      <c r="D617" s="20" t="str">
        <f aca="false">IF($X617="","",INDEX('Per Line'!$A$2:$A$4001,$X617))</f>
        <v/>
      </c>
      <c r="E617" s="21" t="str">
        <f aca="false">IF($X617="","",INDEX('Per Line'!$F$2:$F$4001,$X617))</f>
        <v/>
      </c>
      <c r="F617" s="20" t="str">
        <f aca="false">IF($X617="","",INDEX('Per Line'!$G$2:$G$4001,$X617))</f>
        <v/>
      </c>
      <c r="G617" s="20" t="str">
        <f aca="false">IF($X617="","",INDEX('Per Line'!$I$2:$I$4001,$X617))</f>
        <v/>
      </c>
      <c r="H617" s="20" t="str">
        <f aca="false">IF($X617="","",INDEX('Per Line'!$J$2:$J$4001,$X617))</f>
        <v/>
      </c>
      <c r="I617" s="20" t="str">
        <f aca="false">IF($X617="","",INDEX('Per Line'!$K$2:$K$4001,$X617))</f>
        <v/>
      </c>
      <c r="J617" s="20" t="str">
        <f aca="false">IF($X617="","",INDEX('Per Line'!$L$2:$L$4001,$X617))</f>
        <v/>
      </c>
      <c r="K617" s="20" t="str">
        <f aca="false">IF($X617="","",INDEX('Per Line'!$M$2:$M$4001,$X617))</f>
        <v/>
      </c>
      <c r="L617" s="22" t="str">
        <f aca="false">IF($X617="","",K617*V617/100)</f>
        <v/>
      </c>
      <c r="M617" s="20" t="str">
        <f aca="false">IF($X617="","",INDEX('Per Line'!$Z$2:$Z$4001,$X617))</f>
        <v/>
      </c>
      <c r="N617" s="23" t="str">
        <f aca="false">IF($X617="","",Settings!$C$7)</f>
        <v/>
      </c>
      <c r="O617" s="22" t="str">
        <f aca="false">IF($X617="","",SUMIFS('Per Line'!$Y$2:$Y$4001,'Per Line'!$D$2:$D$4001,$B617,'Per Line'!$AJ$2:$AJ$4001,0))</f>
        <v/>
      </c>
      <c r="P617" s="22" t="str">
        <f aca="false">IF($X617="","",O617*N617)</f>
        <v/>
      </c>
      <c r="Q617" s="23" t="str">
        <f aca="false">IF($X617="","",Settings!$C$6)</f>
        <v/>
      </c>
      <c r="R617" s="22" t="str">
        <f aca="false">IF($X617="","",SUMIFS('Per Line'!$Y$2:$Y$4001,'Per Line'!$D$2:$D$4001,$B617,'Per Line'!$AJ$2:$AJ$4001,1))</f>
        <v/>
      </c>
      <c r="S617" s="22" t="str">
        <f aca="false">IF($X617="","",R617*Q617)</f>
        <v/>
      </c>
      <c r="T617" s="22" t="str">
        <f aca="false">IF($X617="","",S617+P617)</f>
        <v/>
      </c>
      <c r="U617" s="22" t="str">
        <f aca="false">IF($X617="","",V617-T617)</f>
        <v/>
      </c>
      <c r="V617" s="22" t="str">
        <f aca="false">IF($X617="","",O617+R617)</f>
        <v/>
      </c>
      <c r="W617" s="22" t="str">
        <f aca="false">IF($X617="","",U617-L617)</f>
        <v/>
      </c>
      <c r="X617" s="24" t="str">
        <f aca="false">IF(ROWS($X$2:$X617)&lt;=MAX('Per Line'!$AI$2:$AI$4001),MATCH(ROWS($X$2:$X617),'Per Line'!$AI$2:$AI$4001,0),"")</f>
        <v/>
      </c>
    </row>
    <row r="618" customFormat="false" ht="15" hidden="false" customHeight="false" outlineLevel="0" collapsed="false">
      <c r="A618" s="19"/>
      <c r="B618" s="20" t="str">
        <f aca="false">IF($X618="","",INDEX('Per Line'!$D$2:$D$4001,$X618))</f>
        <v/>
      </c>
      <c r="C618" s="20" t="str">
        <f aca="false">IF($X618="","",INDEX('Per Line'!$C$2:$C$4001,$X618))</f>
        <v/>
      </c>
      <c r="D618" s="20" t="str">
        <f aca="false">IF($X618="","",INDEX('Per Line'!$A$2:$A$4001,$X618))</f>
        <v/>
      </c>
      <c r="E618" s="21" t="str">
        <f aca="false">IF($X618="","",INDEX('Per Line'!$F$2:$F$4001,$X618))</f>
        <v/>
      </c>
      <c r="F618" s="20" t="str">
        <f aca="false">IF($X618="","",INDEX('Per Line'!$G$2:$G$4001,$X618))</f>
        <v/>
      </c>
      <c r="G618" s="20" t="str">
        <f aca="false">IF($X618="","",INDEX('Per Line'!$I$2:$I$4001,$X618))</f>
        <v/>
      </c>
      <c r="H618" s="20" t="str">
        <f aca="false">IF($X618="","",INDEX('Per Line'!$J$2:$J$4001,$X618))</f>
        <v/>
      </c>
      <c r="I618" s="20" t="str">
        <f aca="false">IF($X618="","",INDEX('Per Line'!$K$2:$K$4001,$X618))</f>
        <v/>
      </c>
      <c r="J618" s="20" t="str">
        <f aca="false">IF($X618="","",INDEX('Per Line'!$L$2:$L$4001,$X618))</f>
        <v/>
      </c>
      <c r="K618" s="20" t="str">
        <f aca="false">IF($X618="","",INDEX('Per Line'!$M$2:$M$4001,$X618))</f>
        <v/>
      </c>
      <c r="L618" s="22" t="str">
        <f aca="false">IF($X618="","",K618*V618/100)</f>
        <v/>
      </c>
      <c r="M618" s="20" t="str">
        <f aca="false">IF($X618="","",INDEX('Per Line'!$Z$2:$Z$4001,$X618))</f>
        <v/>
      </c>
      <c r="N618" s="23" t="str">
        <f aca="false">IF($X618="","",Settings!$C$7)</f>
        <v/>
      </c>
      <c r="O618" s="22" t="str">
        <f aca="false">IF($X618="","",SUMIFS('Per Line'!$Y$2:$Y$4001,'Per Line'!$D$2:$D$4001,$B618,'Per Line'!$AJ$2:$AJ$4001,0))</f>
        <v/>
      </c>
      <c r="P618" s="22" t="str">
        <f aca="false">IF($X618="","",O618*N618)</f>
        <v/>
      </c>
      <c r="Q618" s="23" t="str">
        <f aca="false">IF($X618="","",Settings!$C$6)</f>
        <v/>
      </c>
      <c r="R618" s="22" t="str">
        <f aca="false">IF($X618="","",SUMIFS('Per Line'!$Y$2:$Y$4001,'Per Line'!$D$2:$D$4001,$B618,'Per Line'!$AJ$2:$AJ$4001,1))</f>
        <v/>
      </c>
      <c r="S618" s="22" t="str">
        <f aca="false">IF($X618="","",R618*Q618)</f>
        <v/>
      </c>
      <c r="T618" s="22" t="str">
        <f aca="false">IF($X618="","",S618+P618)</f>
        <v/>
      </c>
      <c r="U618" s="22" t="str">
        <f aca="false">IF($X618="","",V618-T618)</f>
        <v/>
      </c>
      <c r="V618" s="22" t="str">
        <f aca="false">IF($X618="","",O618+R618)</f>
        <v/>
      </c>
      <c r="W618" s="22" t="str">
        <f aca="false">IF($X618="","",U618-L618)</f>
        <v/>
      </c>
      <c r="X618" s="24" t="str">
        <f aca="false">IF(ROWS($X$2:$X618)&lt;=MAX('Per Line'!$AI$2:$AI$4001),MATCH(ROWS($X$2:$X618),'Per Line'!$AI$2:$AI$4001,0),"")</f>
        <v/>
      </c>
    </row>
    <row r="619" customFormat="false" ht="15" hidden="false" customHeight="false" outlineLevel="0" collapsed="false">
      <c r="A619" s="19"/>
      <c r="B619" s="20" t="str">
        <f aca="false">IF($X619="","",INDEX('Per Line'!$D$2:$D$4001,$X619))</f>
        <v/>
      </c>
      <c r="C619" s="20" t="str">
        <f aca="false">IF($X619="","",INDEX('Per Line'!$C$2:$C$4001,$X619))</f>
        <v/>
      </c>
      <c r="D619" s="20" t="str">
        <f aca="false">IF($X619="","",INDEX('Per Line'!$A$2:$A$4001,$X619))</f>
        <v/>
      </c>
      <c r="E619" s="21" t="str">
        <f aca="false">IF($X619="","",INDEX('Per Line'!$F$2:$F$4001,$X619))</f>
        <v/>
      </c>
      <c r="F619" s="20" t="str">
        <f aca="false">IF($X619="","",INDEX('Per Line'!$G$2:$G$4001,$X619))</f>
        <v/>
      </c>
      <c r="G619" s="20" t="str">
        <f aca="false">IF($X619="","",INDEX('Per Line'!$I$2:$I$4001,$X619))</f>
        <v/>
      </c>
      <c r="H619" s="20" t="str">
        <f aca="false">IF($X619="","",INDEX('Per Line'!$J$2:$J$4001,$X619))</f>
        <v/>
      </c>
      <c r="I619" s="20" t="str">
        <f aca="false">IF($X619="","",INDEX('Per Line'!$K$2:$K$4001,$X619))</f>
        <v/>
      </c>
      <c r="J619" s="20" t="str">
        <f aca="false">IF($X619="","",INDEX('Per Line'!$L$2:$L$4001,$X619))</f>
        <v/>
      </c>
      <c r="K619" s="20" t="str">
        <f aca="false">IF($X619="","",INDEX('Per Line'!$M$2:$M$4001,$X619))</f>
        <v/>
      </c>
      <c r="L619" s="22" t="str">
        <f aca="false">IF($X619="","",K619*V619/100)</f>
        <v/>
      </c>
      <c r="M619" s="20" t="str">
        <f aca="false">IF($X619="","",INDEX('Per Line'!$Z$2:$Z$4001,$X619))</f>
        <v/>
      </c>
      <c r="N619" s="23" t="str">
        <f aca="false">IF($X619="","",Settings!$C$7)</f>
        <v/>
      </c>
      <c r="O619" s="22" t="str">
        <f aca="false">IF($X619="","",SUMIFS('Per Line'!$Y$2:$Y$4001,'Per Line'!$D$2:$D$4001,$B619,'Per Line'!$AJ$2:$AJ$4001,0))</f>
        <v/>
      </c>
      <c r="P619" s="22" t="str">
        <f aca="false">IF($X619="","",O619*N619)</f>
        <v/>
      </c>
      <c r="Q619" s="23" t="str">
        <f aca="false">IF($X619="","",Settings!$C$6)</f>
        <v/>
      </c>
      <c r="R619" s="22" t="str">
        <f aca="false">IF($X619="","",SUMIFS('Per Line'!$Y$2:$Y$4001,'Per Line'!$D$2:$D$4001,$B619,'Per Line'!$AJ$2:$AJ$4001,1))</f>
        <v/>
      </c>
      <c r="S619" s="22" t="str">
        <f aca="false">IF($X619="","",R619*Q619)</f>
        <v/>
      </c>
      <c r="T619" s="22" t="str">
        <f aca="false">IF($X619="","",S619+P619)</f>
        <v/>
      </c>
      <c r="U619" s="22" t="str">
        <f aca="false">IF($X619="","",V619-T619)</f>
        <v/>
      </c>
      <c r="V619" s="22" t="str">
        <f aca="false">IF($X619="","",O619+R619)</f>
        <v/>
      </c>
      <c r="W619" s="22" t="str">
        <f aca="false">IF($X619="","",U619-L619)</f>
        <v/>
      </c>
      <c r="X619" s="24" t="str">
        <f aca="false">IF(ROWS($X$2:$X619)&lt;=MAX('Per Line'!$AI$2:$AI$4001),MATCH(ROWS($X$2:$X619),'Per Line'!$AI$2:$AI$4001,0),"")</f>
        <v/>
      </c>
    </row>
    <row r="620" customFormat="false" ht="15" hidden="false" customHeight="false" outlineLevel="0" collapsed="false">
      <c r="A620" s="19"/>
      <c r="B620" s="20" t="str">
        <f aca="false">IF($X620="","",INDEX('Per Line'!$D$2:$D$4001,$X620))</f>
        <v/>
      </c>
      <c r="C620" s="20" t="str">
        <f aca="false">IF($X620="","",INDEX('Per Line'!$C$2:$C$4001,$X620))</f>
        <v/>
      </c>
      <c r="D620" s="20" t="str">
        <f aca="false">IF($X620="","",INDEX('Per Line'!$A$2:$A$4001,$X620))</f>
        <v/>
      </c>
      <c r="E620" s="21" t="str">
        <f aca="false">IF($X620="","",INDEX('Per Line'!$F$2:$F$4001,$X620))</f>
        <v/>
      </c>
      <c r="F620" s="20" t="str">
        <f aca="false">IF($X620="","",INDEX('Per Line'!$G$2:$G$4001,$X620))</f>
        <v/>
      </c>
      <c r="G620" s="20" t="str">
        <f aca="false">IF($X620="","",INDEX('Per Line'!$I$2:$I$4001,$X620))</f>
        <v/>
      </c>
      <c r="H620" s="20" t="str">
        <f aca="false">IF($X620="","",INDEX('Per Line'!$J$2:$J$4001,$X620))</f>
        <v/>
      </c>
      <c r="I620" s="20" t="str">
        <f aca="false">IF($X620="","",INDEX('Per Line'!$K$2:$K$4001,$X620))</f>
        <v/>
      </c>
      <c r="J620" s="20" t="str">
        <f aca="false">IF($X620="","",INDEX('Per Line'!$L$2:$L$4001,$X620))</f>
        <v/>
      </c>
      <c r="K620" s="20" t="str">
        <f aca="false">IF($X620="","",INDEX('Per Line'!$M$2:$M$4001,$X620))</f>
        <v/>
      </c>
      <c r="L620" s="22" t="str">
        <f aca="false">IF($X620="","",K620*V620/100)</f>
        <v/>
      </c>
      <c r="M620" s="20" t="str">
        <f aca="false">IF($X620="","",INDEX('Per Line'!$Z$2:$Z$4001,$X620))</f>
        <v/>
      </c>
      <c r="N620" s="23" t="str">
        <f aca="false">IF($X620="","",Settings!$C$7)</f>
        <v/>
      </c>
      <c r="O620" s="22" t="str">
        <f aca="false">IF($X620="","",SUMIFS('Per Line'!$Y$2:$Y$4001,'Per Line'!$D$2:$D$4001,$B620,'Per Line'!$AJ$2:$AJ$4001,0))</f>
        <v/>
      </c>
      <c r="P620" s="22" t="str">
        <f aca="false">IF($X620="","",O620*N620)</f>
        <v/>
      </c>
      <c r="Q620" s="23" t="str">
        <f aca="false">IF($X620="","",Settings!$C$6)</f>
        <v/>
      </c>
      <c r="R620" s="22" t="str">
        <f aca="false">IF($X620="","",SUMIFS('Per Line'!$Y$2:$Y$4001,'Per Line'!$D$2:$D$4001,$B620,'Per Line'!$AJ$2:$AJ$4001,1))</f>
        <v/>
      </c>
      <c r="S620" s="22" t="str">
        <f aca="false">IF($X620="","",R620*Q620)</f>
        <v/>
      </c>
      <c r="T620" s="22" t="str">
        <f aca="false">IF($X620="","",S620+P620)</f>
        <v/>
      </c>
      <c r="U620" s="22" t="str">
        <f aca="false">IF($X620="","",V620-T620)</f>
        <v/>
      </c>
      <c r="V620" s="22" t="str">
        <f aca="false">IF($X620="","",O620+R620)</f>
        <v/>
      </c>
      <c r="W620" s="22" t="str">
        <f aca="false">IF($X620="","",U620-L620)</f>
        <v/>
      </c>
      <c r="X620" s="24" t="str">
        <f aca="false">IF(ROWS($X$2:$X620)&lt;=MAX('Per Line'!$AI$2:$AI$4001),MATCH(ROWS($X$2:$X620),'Per Line'!$AI$2:$AI$4001,0),"")</f>
        <v/>
      </c>
    </row>
    <row r="621" customFormat="false" ht="15" hidden="false" customHeight="false" outlineLevel="0" collapsed="false">
      <c r="A621" s="19"/>
      <c r="B621" s="20" t="str">
        <f aca="false">IF($X621="","",INDEX('Per Line'!$D$2:$D$4001,$X621))</f>
        <v/>
      </c>
      <c r="C621" s="20" t="str">
        <f aca="false">IF($X621="","",INDEX('Per Line'!$C$2:$C$4001,$X621))</f>
        <v/>
      </c>
      <c r="D621" s="20" t="str">
        <f aca="false">IF($X621="","",INDEX('Per Line'!$A$2:$A$4001,$X621))</f>
        <v/>
      </c>
      <c r="E621" s="21" t="str">
        <f aca="false">IF($X621="","",INDEX('Per Line'!$F$2:$F$4001,$X621))</f>
        <v/>
      </c>
      <c r="F621" s="20" t="str">
        <f aca="false">IF($X621="","",INDEX('Per Line'!$G$2:$G$4001,$X621))</f>
        <v/>
      </c>
      <c r="G621" s="20" t="str">
        <f aca="false">IF($X621="","",INDEX('Per Line'!$I$2:$I$4001,$X621))</f>
        <v/>
      </c>
      <c r="H621" s="20" t="str">
        <f aca="false">IF($X621="","",INDEX('Per Line'!$J$2:$J$4001,$X621))</f>
        <v/>
      </c>
      <c r="I621" s="20" t="str">
        <f aca="false">IF($X621="","",INDEX('Per Line'!$K$2:$K$4001,$X621))</f>
        <v/>
      </c>
      <c r="J621" s="20" t="str">
        <f aca="false">IF($X621="","",INDEX('Per Line'!$L$2:$L$4001,$X621))</f>
        <v/>
      </c>
      <c r="K621" s="20" t="str">
        <f aca="false">IF($X621="","",INDEX('Per Line'!$M$2:$M$4001,$X621))</f>
        <v/>
      </c>
      <c r="L621" s="22" t="str">
        <f aca="false">IF($X621="","",K621*V621/100)</f>
        <v/>
      </c>
      <c r="M621" s="20" t="str">
        <f aca="false">IF($X621="","",INDEX('Per Line'!$Z$2:$Z$4001,$X621))</f>
        <v/>
      </c>
      <c r="N621" s="23" t="str">
        <f aca="false">IF($X621="","",Settings!$C$7)</f>
        <v/>
      </c>
      <c r="O621" s="22" t="str">
        <f aca="false">IF($X621="","",SUMIFS('Per Line'!$Y$2:$Y$4001,'Per Line'!$D$2:$D$4001,$B621,'Per Line'!$AJ$2:$AJ$4001,0))</f>
        <v/>
      </c>
      <c r="P621" s="22" t="str">
        <f aca="false">IF($X621="","",O621*N621)</f>
        <v/>
      </c>
      <c r="Q621" s="23" t="str">
        <f aca="false">IF($X621="","",Settings!$C$6)</f>
        <v/>
      </c>
      <c r="R621" s="22" t="str">
        <f aca="false">IF($X621="","",SUMIFS('Per Line'!$Y$2:$Y$4001,'Per Line'!$D$2:$D$4001,$B621,'Per Line'!$AJ$2:$AJ$4001,1))</f>
        <v/>
      </c>
      <c r="S621" s="22" t="str">
        <f aca="false">IF($X621="","",R621*Q621)</f>
        <v/>
      </c>
      <c r="T621" s="22" t="str">
        <f aca="false">IF($X621="","",S621+P621)</f>
        <v/>
      </c>
      <c r="U621" s="22" t="str">
        <f aca="false">IF($X621="","",V621-T621)</f>
        <v/>
      </c>
      <c r="V621" s="22" t="str">
        <f aca="false">IF($X621="","",O621+R621)</f>
        <v/>
      </c>
      <c r="W621" s="22" t="str">
        <f aca="false">IF($X621="","",U621-L621)</f>
        <v/>
      </c>
      <c r="X621" s="24" t="str">
        <f aca="false">IF(ROWS($X$2:$X621)&lt;=MAX('Per Line'!$AI$2:$AI$4001),MATCH(ROWS($X$2:$X621),'Per Line'!$AI$2:$AI$4001,0),"")</f>
        <v/>
      </c>
    </row>
    <row r="622" customFormat="false" ht="15" hidden="false" customHeight="false" outlineLevel="0" collapsed="false">
      <c r="A622" s="19"/>
      <c r="B622" s="20" t="str">
        <f aca="false">IF($X622="","",INDEX('Per Line'!$D$2:$D$4001,$X622))</f>
        <v/>
      </c>
      <c r="C622" s="20" t="str">
        <f aca="false">IF($X622="","",INDEX('Per Line'!$C$2:$C$4001,$X622))</f>
        <v/>
      </c>
      <c r="D622" s="20" t="str">
        <f aca="false">IF($X622="","",INDEX('Per Line'!$A$2:$A$4001,$X622))</f>
        <v/>
      </c>
      <c r="E622" s="21" t="str">
        <f aca="false">IF($X622="","",INDEX('Per Line'!$F$2:$F$4001,$X622))</f>
        <v/>
      </c>
      <c r="F622" s="20" t="str">
        <f aca="false">IF($X622="","",INDEX('Per Line'!$G$2:$G$4001,$X622))</f>
        <v/>
      </c>
      <c r="G622" s="20" t="str">
        <f aca="false">IF($X622="","",INDEX('Per Line'!$I$2:$I$4001,$X622))</f>
        <v/>
      </c>
      <c r="H622" s="20" t="str">
        <f aca="false">IF($X622="","",INDEX('Per Line'!$J$2:$J$4001,$X622))</f>
        <v/>
      </c>
      <c r="I622" s="20" t="str">
        <f aca="false">IF($X622="","",INDEX('Per Line'!$K$2:$K$4001,$X622))</f>
        <v/>
      </c>
      <c r="J622" s="20" t="str">
        <f aca="false">IF($X622="","",INDEX('Per Line'!$L$2:$L$4001,$X622))</f>
        <v/>
      </c>
      <c r="K622" s="20" t="str">
        <f aca="false">IF($X622="","",INDEX('Per Line'!$M$2:$M$4001,$X622))</f>
        <v/>
      </c>
      <c r="L622" s="22" t="str">
        <f aca="false">IF($X622="","",K622*V622/100)</f>
        <v/>
      </c>
      <c r="M622" s="20" t="str">
        <f aca="false">IF($X622="","",INDEX('Per Line'!$Z$2:$Z$4001,$X622))</f>
        <v/>
      </c>
      <c r="N622" s="23" t="str">
        <f aca="false">IF($X622="","",Settings!$C$7)</f>
        <v/>
      </c>
      <c r="O622" s="22" t="str">
        <f aca="false">IF($X622="","",SUMIFS('Per Line'!$Y$2:$Y$4001,'Per Line'!$D$2:$D$4001,$B622,'Per Line'!$AJ$2:$AJ$4001,0))</f>
        <v/>
      </c>
      <c r="P622" s="22" t="str">
        <f aca="false">IF($X622="","",O622*N622)</f>
        <v/>
      </c>
      <c r="Q622" s="23" t="str">
        <f aca="false">IF($X622="","",Settings!$C$6)</f>
        <v/>
      </c>
      <c r="R622" s="22" t="str">
        <f aca="false">IF($X622="","",SUMIFS('Per Line'!$Y$2:$Y$4001,'Per Line'!$D$2:$D$4001,$B622,'Per Line'!$AJ$2:$AJ$4001,1))</f>
        <v/>
      </c>
      <c r="S622" s="22" t="str">
        <f aca="false">IF($X622="","",R622*Q622)</f>
        <v/>
      </c>
      <c r="T622" s="22" t="str">
        <f aca="false">IF($X622="","",S622+P622)</f>
        <v/>
      </c>
      <c r="U622" s="22" t="str">
        <f aca="false">IF($X622="","",V622-T622)</f>
        <v/>
      </c>
      <c r="V622" s="22" t="str">
        <f aca="false">IF($X622="","",O622+R622)</f>
        <v/>
      </c>
      <c r="W622" s="22" t="str">
        <f aca="false">IF($X622="","",U622-L622)</f>
        <v/>
      </c>
      <c r="X622" s="24" t="str">
        <f aca="false">IF(ROWS($X$2:$X622)&lt;=MAX('Per Line'!$AI$2:$AI$4001),MATCH(ROWS($X$2:$X622),'Per Line'!$AI$2:$AI$4001,0),"")</f>
        <v/>
      </c>
    </row>
    <row r="623" customFormat="false" ht="15" hidden="false" customHeight="false" outlineLevel="0" collapsed="false">
      <c r="A623" s="19"/>
      <c r="B623" s="20" t="str">
        <f aca="false">IF($X623="","",INDEX('Per Line'!$D$2:$D$4001,$X623))</f>
        <v/>
      </c>
      <c r="C623" s="20" t="str">
        <f aca="false">IF($X623="","",INDEX('Per Line'!$C$2:$C$4001,$X623))</f>
        <v/>
      </c>
      <c r="D623" s="20" t="str">
        <f aca="false">IF($X623="","",INDEX('Per Line'!$A$2:$A$4001,$X623))</f>
        <v/>
      </c>
      <c r="E623" s="21" t="str">
        <f aca="false">IF($X623="","",INDEX('Per Line'!$F$2:$F$4001,$X623))</f>
        <v/>
      </c>
      <c r="F623" s="20" t="str">
        <f aca="false">IF($X623="","",INDEX('Per Line'!$G$2:$G$4001,$X623))</f>
        <v/>
      </c>
      <c r="G623" s="20" t="str">
        <f aca="false">IF($X623="","",INDEX('Per Line'!$I$2:$I$4001,$X623))</f>
        <v/>
      </c>
      <c r="H623" s="20" t="str">
        <f aca="false">IF($X623="","",INDEX('Per Line'!$J$2:$J$4001,$X623))</f>
        <v/>
      </c>
      <c r="I623" s="20" t="str">
        <f aca="false">IF($X623="","",INDEX('Per Line'!$K$2:$K$4001,$X623))</f>
        <v/>
      </c>
      <c r="J623" s="20" t="str">
        <f aca="false">IF($X623="","",INDEX('Per Line'!$L$2:$L$4001,$X623))</f>
        <v/>
      </c>
      <c r="K623" s="20" t="str">
        <f aca="false">IF($X623="","",INDEX('Per Line'!$M$2:$M$4001,$X623))</f>
        <v/>
      </c>
      <c r="L623" s="22" t="str">
        <f aca="false">IF($X623="","",K623*V623/100)</f>
        <v/>
      </c>
      <c r="M623" s="20" t="str">
        <f aca="false">IF($X623="","",INDEX('Per Line'!$Z$2:$Z$4001,$X623))</f>
        <v/>
      </c>
      <c r="N623" s="23" t="str">
        <f aca="false">IF($X623="","",Settings!$C$7)</f>
        <v/>
      </c>
      <c r="O623" s="22" t="str">
        <f aca="false">IF($X623="","",SUMIFS('Per Line'!$Y$2:$Y$4001,'Per Line'!$D$2:$D$4001,$B623,'Per Line'!$AJ$2:$AJ$4001,0))</f>
        <v/>
      </c>
      <c r="P623" s="22" t="str">
        <f aca="false">IF($X623="","",O623*N623)</f>
        <v/>
      </c>
      <c r="Q623" s="23" t="str">
        <f aca="false">IF($X623="","",Settings!$C$6)</f>
        <v/>
      </c>
      <c r="R623" s="22" t="str">
        <f aca="false">IF($X623="","",SUMIFS('Per Line'!$Y$2:$Y$4001,'Per Line'!$D$2:$D$4001,$B623,'Per Line'!$AJ$2:$AJ$4001,1))</f>
        <v/>
      </c>
      <c r="S623" s="22" t="str">
        <f aca="false">IF($X623="","",R623*Q623)</f>
        <v/>
      </c>
      <c r="T623" s="22" t="str">
        <f aca="false">IF($X623="","",S623+P623)</f>
        <v/>
      </c>
      <c r="U623" s="22" t="str">
        <f aca="false">IF($X623="","",V623-T623)</f>
        <v/>
      </c>
      <c r="V623" s="22" t="str">
        <f aca="false">IF($X623="","",O623+R623)</f>
        <v/>
      </c>
      <c r="W623" s="22" t="str">
        <f aca="false">IF($X623="","",U623-L623)</f>
        <v/>
      </c>
      <c r="X623" s="24" t="str">
        <f aca="false">IF(ROWS($X$2:$X623)&lt;=MAX('Per Line'!$AI$2:$AI$4001),MATCH(ROWS($X$2:$X623),'Per Line'!$AI$2:$AI$4001,0),"")</f>
        <v/>
      </c>
    </row>
    <row r="624" customFormat="false" ht="15" hidden="false" customHeight="false" outlineLevel="0" collapsed="false">
      <c r="A624" s="19"/>
      <c r="B624" s="20" t="str">
        <f aca="false">IF($X624="","",INDEX('Per Line'!$D$2:$D$4001,$X624))</f>
        <v/>
      </c>
      <c r="C624" s="20" t="str">
        <f aca="false">IF($X624="","",INDEX('Per Line'!$C$2:$C$4001,$X624))</f>
        <v/>
      </c>
      <c r="D624" s="20" t="str">
        <f aca="false">IF($X624="","",INDEX('Per Line'!$A$2:$A$4001,$X624))</f>
        <v/>
      </c>
      <c r="E624" s="21" t="str">
        <f aca="false">IF($X624="","",INDEX('Per Line'!$F$2:$F$4001,$X624))</f>
        <v/>
      </c>
      <c r="F624" s="20" t="str">
        <f aca="false">IF($X624="","",INDEX('Per Line'!$G$2:$G$4001,$X624))</f>
        <v/>
      </c>
      <c r="G624" s="20" t="str">
        <f aca="false">IF($X624="","",INDEX('Per Line'!$I$2:$I$4001,$X624))</f>
        <v/>
      </c>
      <c r="H624" s="20" t="str">
        <f aca="false">IF($X624="","",INDEX('Per Line'!$J$2:$J$4001,$X624))</f>
        <v/>
      </c>
      <c r="I624" s="20" t="str">
        <f aca="false">IF($X624="","",INDEX('Per Line'!$K$2:$K$4001,$X624))</f>
        <v/>
      </c>
      <c r="J624" s="20" t="str">
        <f aca="false">IF($X624="","",INDEX('Per Line'!$L$2:$L$4001,$X624))</f>
        <v/>
      </c>
      <c r="K624" s="20" t="str">
        <f aca="false">IF($X624="","",INDEX('Per Line'!$M$2:$M$4001,$X624))</f>
        <v/>
      </c>
      <c r="L624" s="22" t="str">
        <f aca="false">IF($X624="","",K624*V624/100)</f>
        <v/>
      </c>
      <c r="M624" s="20" t="str">
        <f aca="false">IF($X624="","",INDEX('Per Line'!$Z$2:$Z$4001,$X624))</f>
        <v/>
      </c>
      <c r="N624" s="23" t="str">
        <f aca="false">IF($X624="","",Settings!$C$7)</f>
        <v/>
      </c>
      <c r="O624" s="22" t="str">
        <f aca="false">IF($X624="","",SUMIFS('Per Line'!$Y$2:$Y$4001,'Per Line'!$D$2:$D$4001,$B624,'Per Line'!$AJ$2:$AJ$4001,0))</f>
        <v/>
      </c>
      <c r="P624" s="22" t="str">
        <f aca="false">IF($X624="","",O624*N624)</f>
        <v/>
      </c>
      <c r="Q624" s="23" t="str">
        <f aca="false">IF($X624="","",Settings!$C$6)</f>
        <v/>
      </c>
      <c r="R624" s="22" t="str">
        <f aca="false">IF($X624="","",SUMIFS('Per Line'!$Y$2:$Y$4001,'Per Line'!$D$2:$D$4001,$B624,'Per Line'!$AJ$2:$AJ$4001,1))</f>
        <v/>
      </c>
      <c r="S624" s="22" t="str">
        <f aca="false">IF($X624="","",R624*Q624)</f>
        <v/>
      </c>
      <c r="T624" s="22" t="str">
        <f aca="false">IF($X624="","",S624+P624)</f>
        <v/>
      </c>
      <c r="U624" s="22" t="str">
        <f aca="false">IF($X624="","",V624-T624)</f>
        <v/>
      </c>
      <c r="V624" s="22" t="str">
        <f aca="false">IF($X624="","",O624+R624)</f>
        <v/>
      </c>
      <c r="W624" s="22" t="str">
        <f aca="false">IF($X624="","",U624-L624)</f>
        <v/>
      </c>
      <c r="X624" s="24" t="str">
        <f aca="false">IF(ROWS($X$2:$X624)&lt;=MAX('Per Line'!$AI$2:$AI$4001),MATCH(ROWS($X$2:$X624),'Per Line'!$AI$2:$AI$4001,0),"")</f>
        <v/>
      </c>
    </row>
    <row r="625" customFormat="false" ht="15" hidden="false" customHeight="false" outlineLevel="0" collapsed="false">
      <c r="A625" s="19"/>
      <c r="B625" s="20" t="str">
        <f aca="false">IF($X625="","",INDEX('Per Line'!$D$2:$D$4001,$X625))</f>
        <v/>
      </c>
      <c r="C625" s="20" t="str">
        <f aca="false">IF($X625="","",INDEX('Per Line'!$C$2:$C$4001,$X625))</f>
        <v/>
      </c>
      <c r="D625" s="20" t="str">
        <f aca="false">IF($X625="","",INDEX('Per Line'!$A$2:$A$4001,$X625))</f>
        <v/>
      </c>
      <c r="E625" s="21" t="str">
        <f aca="false">IF($X625="","",INDEX('Per Line'!$F$2:$F$4001,$X625))</f>
        <v/>
      </c>
      <c r="F625" s="20" t="str">
        <f aca="false">IF($X625="","",INDEX('Per Line'!$G$2:$G$4001,$X625))</f>
        <v/>
      </c>
      <c r="G625" s="20" t="str">
        <f aca="false">IF($X625="","",INDEX('Per Line'!$I$2:$I$4001,$X625))</f>
        <v/>
      </c>
      <c r="H625" s="20" t="str">
        <f aca="false">IF($X625="","",INDEX('Per Line'!$J$2:$J$4001,$X625))</f>
        <v/>
      </c>
      <c r="I625" s="20" t="str">
        <f aca="false">IF($X625="","",INDEX('Per Line'!$K$2:$K$4001,$X625))</f>
        <v/>
      </c>
      <c r="J625" s="20" t="str">
        <f aca="false">IF($X625="","",INDEX('Per Line'!$L$2:$L$4001,$X625))</f>
        <v/>
      </c>
      <c r="K625" s="20" t="str">
        <f aca="false">IF($X625="","",INDEX('Per Line'!$M$2:$M$4001,$X625))</f>
        <v/>
      </c>
      <c r="L625" s="22" t="str">
        <f aca="false">IF($X625="","",K625*V625/100)</f>
        <v/>
      </c>
      <c r="M625" s="20" t="str">
        <f aca="false">IF($X625="","",INDEX('Per Line'!$Z$2:$Z$4001,$X625))</f>
        <v/>
      </c>
      <c r="N625" s="23" t="str">
        <f aca="false">IF($X625="","",Settings!$C$7)</f>
        <v/>
      </c>
      <c r="O625" s="22" t="str">
        <f aca="false">IF($X625="","",SUMIFS('Per Line'!$Y$2:$Y$4001,'Per Line'!$D$2:$D$4001,$B625,'Per Line'!$AJ$2:$AJ$4001,0))</f>
        <v/>
      </c>
      <c r="P625" s="22" t="str">
        <f aca="false">IF($X625="","",O625*N625)</f>
        <v/>
      </c>
      <c r="Q625" s="23" t="str">
        <f aca="false">IF($X625="","",Settings!$C$6)</f>
        <v/>
      </c>
      <c r="R625" s="22" t="str">
        <f aca="false">IF($X625="","",SUMIFS('Per Line'!$Y$2:$Y$4001,'Per Line'!$D$2:$D$4001,$B625,'Per Line'!$AJ$2:$AJ$4001,1))</f>
        <v/>
      </c>
      <c r="S625" s="22" t="str">
        <f aca="false">IF($X625="","",R625*Q625)</f>
        <v/>
      </c>
      <c r="T625" s="22" t="str">
        <f aca="false">IF($X625="","",S625+P625)</f>
        <v/>
      </c>
      <c r="U625" s="22" t="str">
        <f aca="false">IF($X625="","",V625-T625)</f>
        <v/>
      </c>
      <c r="V625" s="22" t="str">
        <f aca="false">IF($X625="","",O625+R625)</f>
        <v/>
      </c>
      <c r="W625" s="22" t="str">
        <f aca="false">IF($X625="","",U625-L625)</f>
        <v/>
      </c>
      <c r="X625" s="24" t="str">
        <f aca="false">IF(ROWS($X$2:$X625)&lt;=MAX('Per Line'!$AI$2:$AI$4001),MATCH(ROWS($X$2:$X625),'Per Line'!$AI$2:$AI$4001,0),"")</f>
        <v/>
      </c>
    </row>
    <row r="626" customFormat="false" ht="15" hidden="false" customHeight="false" outlineLevel="0" collapsed="false">
      <c r="A626" s="19"/>
      <c r="B626" s="20" t="str">
        <f aca="false">IF($X626="","",INDEX('Per Line'!$D$2:$D$4001,$X626))</f>
        <v/>
      </c>
      <c r="C626" s="20" t="str">
        <f aca="false">IF($X626="","",INDEX('Per Line'!$C$2:$C$4001,$X626))</f>
        <v/>
      </c>
      <c r="D626" s="20" t="str">
        <f aca="false">IF($X626="","",INDEX('Per Line'!$A$2:$A$4001,$X626))</f>
        <v/>
      </c>
      <c r="E626" s="21" t="str">
        <f aca="false">IF($X626="","",INDEX('Per Line'!$F$2:$F$4001,$X626))</f>
        <v/>
      </c>
      <c r="F626" s="20" t="str">
        <f aca="false">IF($X626="","",INDEX('Per Line'!$G$2:$G$4001,$X626))</f>
        <v/>
      </c>
      <c r="G626" s="20" t="str">
        <f aca="false">IF($X626="","",INDEX('Per Line'!$I$2:$I$4001,$X626))</f>
        <v/>
      </c>
      <c r="H626" s="20" t="str">
        <f aca="false">IF($X626="","",INDEX('Per Line'!$J$2:$J$4001,$X626))</f>
        <v/>
      </c>
      <c r="I626" s="20" t="str">
        <f aca="false">IF($X626="","",INDEX('Per Line'!$K$2:$K$4001,$X626))</f>
        <v/>
      </c>
      <c r="J626" s="20" t="str">
        <f aca="false">IF($X626="","",INDEX('Per Line'!$L$2:$L$4001,$X626))</f>
        <v/>
      </c>
      <c r="K626" s="20" t="str">
        <f aca="false">IF($X626="","",INDEX('Per Line'!$M$2:$M$4001,$X626))</f>
        <v/>
      </c>
      <c r="L626" s="22" t="str">
        <f aca="false">IF($X626="","",K626*V626/100)</f>
        <v/>
      </c>
      <c r="M626" s="20" t="str">
        <f aca="false">IF($X626="","",INDEX('Per Line'!$Z$2:$Z$4001,$X626))</f>
        <v/>
      </c>
      <c r="N626" s="23" t="str">
        <f aca="false">IF($X626="","",Settings!$C$7)</f>
        <v/>
      </c>
      <c r="O626" s="22" t="str">
        <f aca="false">IF($X626="","",SUMIFS('Per Line'!$Y$2:$Y$4001,'Per Line'!$D$2:$D$4001,$B626,'Per Line'!$AJ$2:$AJ$4001,0))</f>
        <v/>
      </c>
      <c r="P626" s="22" t="str">
        <f aca="false">IF($X626="","",O626*N626)</f>
        <v/>
      </c>
      <c r="Q626" s="23" t="str">
        <f aca="false">IF($X626="","",Settings!$C$6)</f>
        <v/>
      </c>
      <c r="R626" s="22" t="str">
        <f aca="false">IF($X626="","",SUMIFS('Per Line'!$Y$2:$Y$4001,'Per Line'!$D$2:$D$4001,$B626,'Per Line'!$AJ$2:$AJ$4001,1))</f>
        <v/>
      </c>
      <c r="S626" s="22" t="str">
        <f aca="false">IF($X626="","",R626*Q626)</f>
        <v/>
      </c>
      <c r="T626" s="22" t="str">
        <f aca="false">IF($X626="","",S626+P626)</f>
        <v/>
      </c>
      <c r="U626" s="22" t="str">
        <f aca="false">IF($X626="","",V626-T626)</f>
        <v/>
      </c>
      <c r="V626" s="22" t="str">
        <f aca="false">IF($X626="","",O626+R626)</f>
        <v/>
      </c>
      <c r="W626" s="22" t="str">
        <f aca="false">IF($X626="","",U626-L626)</f>
        <v/>
      </c>
      <c r="X626" s="24" t="str">
        <f aca="false">IF(ROWS($X$2:$X626)&lt;=MAX('Per Line'!$AI$2:$AI$4001),MATCH(ROWS($X$2:$X626),'Per Line'!$AI$2:$AI$4001,0),"")</f>
        <v/>
      </c>
    </row>
    <row r="627" customFormat="false" ht="15" hidden="false" customHeight="false" outlineLevel="0" collapsed="false">
      <c r="A627" s="19"/>
      <c r="B627" s="20" t="str">
        <f aca="false">IF($X627="","",INDEX('Per Line'!$D$2:$D$4001,$X627))</f>
        <v/>
      </c>
      <c r="C627" s="20" t="str">
        <f aca="false">IF($X627="","",INDEX('Per Line'!$C$2:$C$4001,$X627))</f>
        <v/>
      </c>
      <c r="D627" s="20" t="str">
        <f aca="false">IF($X627="","",INDEX('Per Line'!$A$2:$A$4001,$X627))</f>
        <v/>
      </c>
      <c r="E627" s="21" t="str">
        <f aca="false">IF($X627="","",INDEX('Per Line'!$F$2:$F$4001,$X627))</f>
        <v/>
      </c>
      <c r="F627" s="20" t="str">
        <f aca="false">IF($X627="","",INDEX('Per Line'!$G$2:$G$4001,$X627))</f>
        <v/>
      </c>
      <c r="G627" s="20" t="str">
        <f aca="false">IF($X627="","",INDEX('Per Line'!$I$2:$I$4001,$X627))</f>
        <v/>
      </c>
      <c r="H627" s="20" t="str">
        <f aca="false">IF($X627="","",INDEX('Per Line'!$J$2:$J$4001,$X627))</f>
        <v/>
      </c>
      <c r="I627" s="20" t="str">
        <f aca="false">IF($X627="","",INDEX('Per Line'!$K$2:$K$4001,$X627))</f>
        <v/>
      </c>
      <c r="J627" s="20" t="str">
        <f aca="false">IF($X627="","",INDEX('Per Line'!$L$2:$L$4001,$X627))</f>
        <v/>
      </c>
      <c r="K627" s="20" t="str">
        <f aca="false">IF($X627="","",INDEX('Per Line'!$M$2:$M$4001,$X627))</f>
        <v/>
      </c>
      <c r="L627" s="22" t="str">
        <f aca="false">IF($X627="","",K627*V627/100)</f>
        <v/>
      </c>
      <c r="M627" s="20" t="str">
        <f aca="false">IF($X627="","",INDEX('Per Line'!$Z$2:$Z$4001,$X627))</f>
        <v/>
      </c>
      <c r="N627" s="23" t="str">
        <f aca="false">IF($X627="","",Settings!$C$7)</f>
        <v/>
      </c>
      <c r="O627" s="22" t="str">
        <f aca="false">IF($X627="","",SUMIFS('Per Line'!$Y$2:$Y$4001,'Per Line'!$D$2:$D$4001,$B627,'Per Line'!$AJ$2:$AJ$4001,0))</f>
        <v/>
      </c>
      <c r="P627" s="22" t="str">
        <f aca="false">IF($X627="","",O627*N627)</f>
        <v/>
      </c>
      <c r="Q627" s="23" t="str">
        <f aca="false">IF($X627="","",Settings!$C$6)</f>
        <v/>
      </c>
      <c r="R627" s="22" t="str">
        <f aca="false">IF($X627="","",SUMIFS('Per Line'!$Y$2:$Y$4001,'Per Line'!$D$2:$D$4001,$B627,'Per Line'!$AJ$2:$AJ$4001,1))</f>
        <v/>
      </c>
      <c r="S627" s="22" t="str">
        <f aca="false">IF($X627="","",R627*Q627)</f>
        <v/>
      </c>
      <c r="T627" s="22" t="str">
        <f aca="false">IF($X627="","",S627+P627)</f>
        <v/>
      </c>
      <c r="U627" s="22" t="str">
        <f aca="false">IF($X627="","",V627-T627)</f>
        <v/>
      </c>
      <c r="V627" s="22" t="str">
        <f aca="false">IF($X627="","",O627+R627)</f>
        <v/>
      </c>
      <c r="W627" s="22" t="str">
        <f aca="false">IF($X627="","",U627-L627)</f>
        <v/>
      </c>
      <c r="X627" s="24" t="str">
        <f aca="false">IF(ROWS($X$2:$X627)&lt;=MAX('Per Line'!$AI$2:$AI$4001),MATCH(ROWS($X$2:$X627),'Per Line'!$AI$2:$AI$4001,0),"")</f>
        <v/>
      </c>
    </row>
    <row r="628" customFormat="false" ht="15" hidden="false" customHeight="false" outlineLevel="0" collapsed="false">
      <c r="A628" s="19"/>
      <c r="B628" s="20" t="str">
        <f aca="false">IF($X628="","",INDEX('Per Line'!$D$2:$D$4001,$X628))</f>
        <v/>
      </c>
      <c r="C628" s="20" t="str">
        <f aca="false">IF($X628="","",INDEX('Per Line'!$C$2:$C$4001,$X628))</f>
        <v/>
      </c>
      <c r="D628" s="20" t="str">
        <f aca="false">IF($X628="","",INDEX('Per Line'!$A$2:$A$4001,$X628))</f>
        <v/>
      </c>
      <c r="E628" s="21" t="str">
        <f aca="false">IF($X628="","",INDEX('Per Line'!$F$2:$F$4001,$X628))</f>
        <v/>
      </c>
      <c r="F628" s="20" t="str">
        <f aca="false">IF($X628="","",INDEX('Per Line'!$G$2:$G$4001,$X628))</f>
        <v/>
      </c>
      <c r="G628" s="20" t="str">
        <f aca="false">IF($X628="","",INDEX('Per Line'!$I$2:$I$4001,$X628))</f>
        <v/>
      </c>
      <c r="H628" s="20" t="str">
        <f aca="false">IF($X628="","",INDEX('Per Line'!$J$2:$J$4001,$X628))</f>
        <v/>
      </c>
      <c r="I628" s="20" t="str">
        <f aca="false">IF($X628="","",INDEX('Per Line'!$K$2:$K$4001,$X628))</f>
        <v/>
      </c>
      <c r="J628" s="20" t="str">
        <f aca="false">IF($X628="","",INDEX('Per Line'!$L$2:$L$4001,$X628))</f>
        <v/>
      </c>
      <c r="K628" s="20" t="str">
        <f aca="false">IF($X628="","",INDEX('Per Line'!$M$2:$M$4001,$X628))</f>
        <v/>
      </c>
      <c r="L628" s="22" t="str">
        <f aca="false">IF($X628="","",K628*V628/100)</f>
        <v/>
      </c>
      <c r="M628" s="20" t="str">
        <f aca="false">IF($X628="","",INDEX('Per Line'!$Z$2:$Z$4001,$X628))</f>
        <v/>
      </c>
      <c r="N628" s="23" t="str">
        <f aca="false">IF($X628="","",Settings!$C$7)</f>
        <v/>
      </c>
      <c r="O628" s="22" t="str">
        <f aca="false">IF($X628="","",SUMIFS('Per Line'!$Y$2:$Y$4001,'Per Line'!$D$2:$D$4001,$B628,'Per Line'!$AJ$2:$AJ$4001,0))</f>
        <v/>
      </c>
      <c r="P628" s="22" t="str">
        <f aca="false">IF($X628="","",O628*N628)</f>
        <v/>
      </c>
      <c r="Q628" s="23" t="str">
        <f aca="false">IF($X628="","",Settings!$C$6)</f>
        <v/>
      </c>
      <c r="R628" s="22" t="str">
        <f aca="false">IF($X628="","",SUMIFS('Per Line'!$Y$2:$Y$4001,'Per Line'!$D$2:$D$4001,$B628,'Per Line'!$AJ$2:$AJ$4001,1))</f>
        <v/>
      </c>
      <c r="S628" s="22" t="str">
        <f aca="false">IF($X628="","",R628*Q628)</f>
        <v/>
      </c>
      <c r="T628" s="22" t="str">
        <f aca="false">IF($X628="","",S628+P628)</f>
        <v/>
      </c>
      <c r="U628" s="22" t="str">
        <f aca="false">IF($X628="","",V628-T628)</f>
        <v/>
      </c>
      <c r="V628" s="22" t="str">
        <f aca="false">IF($X628="","",O628+R628)</f>
        <v/>
      </c>
      <c r="W628" s="22" t="str">
        <f aca="false">IF($X628="","",U628-L628)</f>
        <v/>
      </c>
      <c r="X628" s="24" t="str">
        <f aca="false">IF(ROWS($X$2:$X628)&lt;=MAX('Per Line'!$AI$2:$AI$4001),MATCH(ROWS($X$2:$X628),'Per Line'!$AI$2:$AI$4001,0),"")</f>
        <v/>
      </c>
    </row>
    <row r="629" customFormat="false" ht="15" hidden="false" customHeight="false" outlineLevel="0" collapsed="false">
      <c r="A629" s="19"/>
      <c r="B629" s="20" t="str">
        <f aca="false">IF($X629="","",INDEX('Per Line'!$D$2:$D$4001,$X629))</f>
        <v/>
      </c>
      <c r="C629" s="20" t="str">
        <f aca="false">IF($X629="","",INDEX('Per Line'!$C$2:$C$4001,$X629))</f>
        <v/>
      </c>
      <c r="D629" s="20" t="str">
        <f aca="false">IF($X629="","",INDEX('Per Line'!$A$2:$A$4001,$X629))</f>
        <v/>
      </c>
      <c r="E629" s="21" t="str">
        <f aca="false">IF($X629="","",INDEX('Per Line'!$F$2:$F$4001,$X629))</f>
        <v/>
      </c>
      <c r="F629" s="20" t="str">
        <f aca="false">IF($X629="","",INDEX('Per Line'!$G$2:$G$4001,$X629))</f>
        <v/>
      </c>
      <c r="G629" s="20" t="str">
        <f aca="false">IF($X629="","",INDEX('Per Line'!$I$2:$I$4001,$X629))</f>
        <v/>
      </c>
      <c r="H629" s="20" t="str">
        <f aca="false">IF($X629="","",INDEX('Per Line'!$J$2:$J$4001,$X629))</f>
        <v/>
      </c>
      <c r="I629" s="20" t="str">
        <f aca="false">IF($X629="","",INDEX('Per Line'!$K$2:$K$4001,$X629))</f>
        <v/>
      </c>
      <c r="J629" s="20" t="str">
        <f aca="false">IF($X629="","",INDEX('Per Line'!$L$2:$L$4001,$X629))</f>
        <v/>
      </c>
      <c r="K629" s="20" t="str">
        <f aca="false">IF($X629="","",INDEX('Per Line'!$M$2:$M$4001,$X629))</f>
        <v/>
      </c>
      <c r="L629" s="22" t="str">
        <f aca="false">IF($X629="","",K629*V629/100)</f>
        <v/>
      </c>
      <c r="M629" s="20" t="str">
        <f aca="false">IF($X629="","",INDEX('Per Line'!$Z$2:$Z$4001,$X629))</f>
        <v/>
      </c>
      <c r="N629" s="23" t="str">
        <f aca="false">IF($X629="","",Settings!$C$7)</f>
        <v/>
      </c>
      <c r="O629" s="22" t="str">
        <f aca="false">IF($X629="","",SUMIFS('Per Line'!$Y$2:$Y$4001,'Per Line'!$D$2:$D$4001,$B629,'Per Line'!$AJ$2:$AJ$4001,0))</f>
        <v/>
      </c>
      <c r="P629" s="22" t="str">
        <f aca="false">IF($X629="","",O629*N629)</f>
        <v/>
      </c>
      <c r="Q629" s="23" t="str">
        <f aca="false">IF($X629="","",Settings!$C$6)</f>
        <v/>
      </c>
      <c r="R629" s="22" t="str">
        <f aca="false">IF($X629="","",SUMIFS('Per Line'!$Y$2:$Y$4001,'Per Line'!$D$2:$D$4001,$B629,'Per Line'!$AJ$2:$AJ$4001,1))</f>
        <v/>
      </c>
      <c r="S629" s="22" t="str">
        <f aca="false">IF($X629="","",R629*Q629)</f>
        <v/>
      </c>
      <c r="T629" s="22" t="str">
        <f aca="false">IF($X629="","",S629+P629)</f>
        <v/>
      </c>
      <c r="U629" s="22" t="str">
        <f aca="false">IF($X629="","",V629-T629)</f>
        <v/>
      </c>
      <c r="V629" s="22" t="str">
        <f aca="false">IF($X629="","",O629+R629)</f>
        <v/>
      </c>
      <c r="W629" s="22" t="str">
        <f aca="false">IF($X629="","",U629-L629)</f>
        <v/>
      </c>
      <c r="X629" s="24" t="str">
        <f aca="false">IF(ROWS($X$2:$X629)&lt;=MAX('Per Line'!$AI$2:$AI$4001),MATCH(ROWS($X$2:$X629),'Per Line'!$AI$2:$AI$4001,0),"")</f>
        <v/>
      </c>
    </row>
    <row r="630" customFormat="false" ht="15" hidden="false" customHeight="false" outlineLevel="0" collapsed="false">
      <c r="A630" s="19"/>
      <c r="B630" s="20" t="str">
        <f aca="false">IF($X630="","",INDEX('Per Line'!$D$2:$D$4001,$X630))</f>
        <v/>
      </c>
      <c r="C630" s="20" t="str">
        <f aca="false">IF($X630="","",INDEX('Per Line'!$C$2:$C$4001,$X630))</f>
        <v/>
      </c>
      <c r="D630" s="20" t="str">
        <f aca="false">IF($X630="","",INDEX('Per Line'!$A$2:$A$4001,$X630))</f>
        <v/>
      </c>
      <c r="E630" s="21" t="str">
        <f aca="false">IF($X630="","",INDEX('Per Line'!$F$2:$F$4001,$X630))</f>
        <v/>
      </c>
      <c r="F630" s="20" t="str">
        <f aca="false">IF($X630="","",INDEX('Per Line'!$G$2:$G$4001,$X630))</f>
        <v/>
      </c>
      <c r="G630" s="20" t="str">
        <f aca="false">IF($X630="","",INDEX('Per Line'!$I$2:$I$4001,$X630))</f>
        <v/>
      </c>
      <c r="H630" s="20" t="str">
        <f aca="false">IF($X630="","",INDEX('Per Line'!$J$2:$J$4001,$X630))</f>
        <v/>
      </c>
      <c r="I630" s="20" t="str">
        <f aca="false">IF($X630="","",INDEX('Per Line'!$K$2:$K$4001,$X630))</f>
        <v/>
      </c>
      <c r="J630" s="20" t="str">
        <f aca="false">IF($X630="","",INDEX('Per Line'!$L$2:$L$4001,$X630))</f>
        <v/>
      </c>
      <c r="K630" s="20" t="str">
        <f aca="false">IF($X630="","",INDEX('Per Line'!$M$2:$M$4001,$X630))</f>
        <v/>
      </c>
      <c r="L630" s="22" t="str">
        <f aca="false">IF($X630="","",K630*V630/100)</f>
        <v/>
      </c>
      <c r="M630" s="20" t="str">
        <f aca="false">IF($X630="","",INDEX('Per Line'!$Z$2:$Z$4001,$X630))</f>
        <v/>
      </c>
      <c r="N630" s="23" t="str">
        <f aca="false">IF($X630="","",Settings!$C$7)</f>
        <v/>
      </c>
      <c r="O630" s="22" t="str">
        <f aca="false">IF($X630="","",SUMIFS('Per Line'!$Y$2:$Y$4001,'Per Line'!$D$2:$D$4001,$B630,'Per Line'!$AJ$2:$AJ$4001,0))</f>
        <v/>
      </c>
      <c r="P630" s="22" t="str">
        <f aca="false">IF($X630="","",O630*N630)</f>
        <v/>
      </c>
      <c r="Q630" s="23" t="str">
        <f aca="false">IF($X630="","",Settings!$C$6)</f>
        <v/>
      </c>
      <c r="R630" s="22" t="str">
        <f aca="false">IF($X630="","",SUMIFS('Per Line'!$Y$2:$Y$4001,'Per Line'!$D$2:$D$4001,$B630,'Per Line'!$AJ$2:$AJ$4001,1))</f>
        <v/>
      </c>
      <c r="S630" s="22" t="str">
        <f aca="false">IF($X630="","",R630*Q630)</f>
        <v/>
      </c>
      <c r="T630" s="22" t="str">
        <f aca="false">IF($X630="","",S630+P630)</f>
        <v/>
      </c>
      <c r="U630" s="22" t="str">
        <f aca="false">IF($X630="","",V630-T630)</f>
        <v/>
      </c>
      <c r="V630" s="22" t="str">
        <f aca="false">IF($X630="","",O630+R630)</f>
        <v/>
      </c>
      <c r="W630" s="22" t="str">
        <f aca="false">IF($X630="","",U630-L630)</f>
        <v/>
      </c>
      <c r="X630" s="24" t="str">
        <f aca="false">IF(ROWS($X$2:$X630)&lt;=MAX('Per Line'!$AI$2:$AI$4001),MATCH(ROWS($X$2:$X630),'Per Line'!$AI$2:$AI$4001,0),"")</f>
        <v/>
      </c>
    </row>
    <row r="631" customFormat="false" ht="15" hidden="false" customHeight="false" outlineLevel="0" collapsed="false">
      <c r="A631" s="19"/>
      <c r="B631" s="20" t="str">
        <f aca="false">IF($X631="","",INDEX('Per Line'!$D$2:$D$4001,$X631))</f>
        <v/>
      </c>
      <c r="C631" s="20" t="str">
        <f aca="false">IF($X631="","",INDEX('Per Line'!$C$2:$C$4001,$X631))</f>
        <v/>
      </c>
      <c r="D631" s="20" t="str">
        <f aca="false">IF($X631="","",INDEX('Per Line'!$A$2:$A$4001,$X631))</f>
        <v/>
      </c>
      <c r="E631" s="21" t="str">
        <f aca="false">IF($X631="","",INDEX('Per Line'!$F$2:$F$4001,$X631))</f>
        <v/>
      </c>
      <c r="F631" s="20" t="str">
        <f aca="false">IF($X631="","",INDEX('Per Line'!$G$2:$G$4001,$X631))</f>
        <v/>
      </c>
      <c r="G631" s="20" t="str">
        <f aca="false">IF($X631="","",INDEX('Per Line'!$I$2:$I$4001,$X631))</f>
        <v/>
      </c>
      <c r="H631" s="20" t="str">
        <f aca="false">IF($X631="","",INDEX('Per Line'!$J$2:$J$4001,$X631))</f>
        <v/>
      </c>
      <c r="I631" s="20" t="str">
        <f aca="false">IF($X631="","",INDEX('Per Line'!$K$2:$K$4001,$X631))</f>
        <v/>
      </c>
      <c r="J631" s="20" t="str">
        <f aca="false">IF($X631="","",INDEX('Per Line'!$L$2:$L$4001,$X631))</f>
        <v/>
      </c>
      <c r="K631" s="20" t="str">
        <f aca="false">IF($X631="","",INDEX('Per Line'!$M$2:$M$4001,$X631))</f>
        <v/>
      </c>
      <c r="L631" s="22" t="str">
        <f aca="false">IF($X631="","",K631*V631/100)</f>
        <v/>
      </c>
      <c r="M631" s="20" t="str">
        <f aca="false">IF($X631="","",INDEX('Per Line'!$Z$2:$Z$4001,$X631))</f>
        <v/>
      </c>
      <c r="N631" s="23" t="str">
        <f aca="false">IF($X631="","",Settings!$C$7)</f>
        <v/>
      </c>
      <c r="O631" s="22" t="str">
        <f aca="false">IF($X631="","",SUMIFS('Per Line'!$Y$2:$Y$4001,'Per Line'!$D$2:$D$4001,$B631,'Per Line'!$AJ$2:$AJ$4001,0))</f>
        <v/>
      </c>
      <c r="P631" s="22" t="str">
        <f aca="false">IF($X631="","",O631*N631)</f>
        <v/>
      </c>
      <c r="Q631" s="23" t="str">
        <f aca="false">IF($X631="","",Settings!$C$6)</f>
        <v/>
      </c>
      <c r="R631" s="22" t="str">
        <f aca="false">IF($X631="","",SUMIFS('Per Line'!$Y$2:$Y$4001,'Per Line'!$D$2:$D$4001,$B631,'Per Line'!$AJ$2:$AJ$4001,1))</f>
        <v/>
      </c>
      <c r="S631" s="22" t="str">
        <f aca="false">IF($X631="","",R631*Q631)</f>
        <v/>
      </c>
      <c r="T631" s="22" t="str">
        <f aca="false">IF($X631="","",S631+P631)</f>
        <v/>
      </c>
      <c r="U631" s="22" t="str">
        <f aca="false">IF($X631="","",V631-T631)</f>
        <v/>
      </c>
      <c r="V631" s="22" t="str">
        <f aca="false">IF($X631="","",O631+R631)</f>
        <v/>
      </c>
      <c r="W631" s="22" t="str">
        <f aca="false">IF($X631="","",U631-L631)</f>
        <v/>
      </c>
      <c r="X631" s="24" t="str">
        <f aca="false">IF(ROWS($X$2:$X631)&lt;=MAX('Per Line'!$AI$2:$AI$4001),MATCH(ROWS($X$2:$X631),'Per Line'!$AI$2:$AI$4001,0),"")</f>
        <v/>
      </c>
    </row>
    <row r="632" customFormat="false" ht="15" hidden="false" customHeight="false" outlineLevel="0" collapsed="false">
      <c r="A632" s="19"/>
      <c r="B632" s="20" t="str">
        <f aca="false">IF($X632="","",INDEX('Per Line'!$D$2:$D$4001,$X632))</f>
        <v/>
      </c>
      <c r="C632" s="20" t="str">
        <f aca="false">IF($X632="","",INDEX('Per Line'!$C$2:$C$4001,$X632))</f>
        <v/>
      </c>
      <c r="D632" s="20" t="str">
        <f aca="false">IF($X632="","",INDEX('Per Line'!$A$2:$A$4001,$X632))</f>
        <v/>
      </c>
      <c r="E632" s="21" t="str">
        <f aca="false">IF($X632="","",INDEX('Per Line'!$F$2:$F$4001,$X632))</f>
        <v/>
      </c>
      <c r="F632" s="20" t="str">
        <f aca="false">IF($X632="","",INDEX('Per Line'!$G$2:$G$4001,$X632))</f>
        <v/>
      </c>
      <c r="G632" s="20" t="str">
        <f aca="false">IF($X632="","",INDEX('Per Line'!$I$2:$I$4001,$X632))</f>
        <v/>
      </c>
      <c r="H632" s="20" t="str">
        <f aca="false">IF($X632="","",INDEX('Per Line'!$J$2:$J$4001,$X632))</f>
        <v/>
      </c>
      <c r="I632" s="20" t="str">
        <f aca="false">IF($X632="","",INDEX('Per Line'!$K$2:$K$4001,$X632))</f>
        <v/>
      </c>
      <c r="J632" s="20" t="str">
        <f aca="false">IF($X632="","",INDEX('Per Line'!$L$2:$L$4001,$X632))</f>
        <v/>
      </c>
      <c r="K632" s="20" t="str">
        <f aca="false">IF($X632="","",INDEX('Per Line'!$M$2:$M$4001,$X632))</f>
        <v/>
      </c>
      <c r="L632" s="22" t="str">
        <f aca="false">IF($X632="","",K632*V632/100)</f>
        <v/>
      </c>
      <c r="M632" s="20" t="str">
        <f aca="false">IF($X632="","",INDEX('Per Line'!$Z$2:$Z$4001,$X632))</f>
        <v/>
      </c>
      <c r="N632" s="23" t="str">
        <f aca="false">IF($X632="","",Settings!$C$7)</f>
        <v/>
      </c>
      <c r="O632" s="22" t="str">
        <f aca="false">IF($X632="","",SUMIFS('Per Line'!$Y$2:$Y$4001,'Per Line'!$D$2:$D$4001,$B632,'Per Line'!$AJ$2:$AJ$4001,0))</f>
        <v/>
      </c>
      <c r="P632" s="22" t="str">
        <f aca="false">IF($X632="","",O632*N632)</f>
        <v/>
      </c>
      <c r="Q632" s="23" t="str">
        <f aca="false">IF($X632="","",Settings!$C$6)</f>
        <v/>
      </c>
      <c r="R632" s="22" t="str">
        <f aca="false">IF($X632="","",SUMIFS('Per Line'!$Y$2:$Y$4001,'Per Line'!$D$2:$D$4001,$B632,'Per Line'!$AJ$2:$AJ$4001,1))</f>
        <v/>
      </c>
      <c r="S632" s="22" t="str">
        <f aca="false">IF($X632="","",R632*Q632)</f>
        <v/>
      </c>
      <c r="T632" s="22" t="str">
        <f aca="false">IF($X632="","",S632+P632)</f>
        <v/>
      </c>
      <c r="U632" s="22" t="str">
        <f aca="false">IF($X632="","",V632-T632)</f>
        <v/>
      </c>
      <c r="V632" s="22" t="str">
        <f aca="false">IF($X632="","",O632+R632)</f>
        <v/>
      </c>
      <c r="W632" s="22" t="str">
        <f aca="false">IF($X632="","",U632-L632)</f>
        <v/>
      </c>
      <c r="X632" s="24" t="str">
        <f aca="false">IF(ROWS($X$2:$X632)&lt;=MAX('Per Line'!$AI$2:$AI$4001),MATCH(ROWS($X$2:$X632),'Per Line'!$AI$2:$AI$4001,0),"")</f>
        <v/>
      </c>
    </row>
    <row r="633" customFormat="false" ht="15" hidden="false" customHeight="false" outlineLevel="0" collapsed="false">
      <c r="A633" s="19"/>
      <c r="B633" s="20" t="str">
        <f aca="false">IF($X633="","",INDEX('Per Line'!$D$2:$D$4001,$X633))</f>
        <v/>
      </c>
      <c r="C633" s="20" t="str">
        <f aca="false">IF($X633="","",INDEX('Per Line'!$C$2:$C$4001,$X633))</f>
        <v/>
      </c>
      <c r="D633" s="20" t="str">
        <f aca="false">IF($X633="","",INDEX('Per Line'!$A$2:$A$4001,$X633))</f>
        <v/>
      </c>
      <c r="E633" s="21" t="str">
        <f aca="false">IF($X633="","",INDEX('Per Line'!$F$2:$F$4001,$X633))</f>
        <v/>
      </c>
      <c r="F633" s="20" t="str">
        <f aca="false">IF($X633="","",INDEX('Per Line'!$G$2:$G$4001,$X633))</f>
        <v/>
      </c>
      <c r="G633" s="20" t="str">
        <f aca="false">IF($X633="","",INDEX('Per Line'!$I$2:$I$4001,$X633))</f>
        <v/>
      </c>
      <c r="H633" s="20" t="str">
        <f aca="false">IF($X633="","",INDEX('Per Line'!$J$2:$J$4001,$X633))</f>
        <v/>
      </c>
      <c r="I633" s="20" t="str">
        <f aca="false">IF($X633="","",INDEX('Per Line'!$K$2:$K$4001,$X633))</f>
        <v/>
      </c>
      <c r="J633" s="20" t="str">
        <f aca="false">IF($X633="","",INDEX('Per Line'!$L$2:$L$4001,$X633))</f>
        <v/>
      </c>
      <c r="K633" s="20" t="str">
        <f aca="false">IF($X633="","",INDEX('Per Line'!$M$2:$M$4001,$X633))</f>
        <v/>
      </c>
      <c r="L633" s="22" t="str">
        <f aca="false">IF($X633="","",K633*V633/100)</f>
        <v/>
      </c>
      <c r="M633" s="20" t="str">
        <f aca="false">IF($X633="","",INDEX('Per Line'!$Z$2:$Z$4001,$X633))</f>
        <v/>
      </c>
      <c r="N633" s="23" t="str">
        <f aca="false">IF($X633="","",Settings!$C$7)</f>
        <v/>
      </c>
      <c r="O633" s="22" t="str">
        <f aca="false">IF($X633="","",SUMIFS('Per Line'!$Y$2:$Y$4001,'Per Line'!$D$2:$D$4001,$B633,'Per Line'!$AJ$2:$AJ$4001,0))</f>
        <v/>
      </c>
      <c r="P633" s="22" t="str">
        <f aca="false">IF($X633="","",O633*N633)</f>
        <v/>
      </c>
      <c r="Q633" s="23" t="str">
        <f aca="false">IF($X633="","",Settings!$C$6)</f>
        <v/>
      </c>
      <c r="R633" s="22" t="str">
        <f aca="false">IF($X633="","",SUMIFS('Per Line'!$Y$2:$Y$4001,'Per Line'!$D$2:$D$4001,$B633,'Per Line'!$AJ$2:$AJ$4001,1))</f>
        <v/>
      </c>
      <c r="S633" s="22" t="str">
        <f aca="false">IF($X633="","",R633*Q633)</f>
        <v/>
      </c>
      <c r="T633" s="22" t="str">
        <f aca="false">IF($X633="","",S633+P633)</f>
        <v/>
      </c>
      <c r="U633" s="22" t="str">
        <f aca="false">IF($X633="","",V633-T633)</f>
        <v/>
      </c>
      <c r="V633" s="22" t="str">
        <f aca="false">IF($X633="","",O633+R633)</f>
        <v/>
      </c>
      <c r="W633" s="22" t="str">
        <f aca="false">IF($X633="","",U633-L633)</f>
        <v/>
      </c>
      <c r="X633" s="24" t="str">
        <f aca="false">IF(ROWS($X$2:$X633)&lt;=MAX('Per Line'!$AI$2:$AI$4001),MATCH(ROWS($X$2:$X633),'Per Line'!$AI$2:$AI$4001,0),"")</f>
        <v/>
      </c>
    </row>
    <row r="634" customFormat="false" ht="15" hidden="false" customHeight="false" outlineLevel="0" collapsed="false">
      <c r="A634" s="19"/>
      <c r="B634" s="20" t="str">
        <f aca="false">IF($X634="","",INDEX('Per Line'!$D$2:$D$4001,$X634))</f>
        <v/>
      </c>
      <c r="C634" s="20" t="str">
        <f aca="false">IF($X634="","",INDEX('Per Line'!$C$2:$C$4001,$X634))</f>
        <v/>
      </c>
      <c r="D634" s="20" t="str">
        <f aca="false">IF($X634="","",INDEX('Per Line'!$A$2:$A$4001,$X634))</f>
        <v/>
      </c>
      <c r="E634" s="21" t="str">
        <f aca="false">IF($X634="","",INDEX('Per Line'!$F$2:$F$4001,$X634))</f>
        <v/>
      </c>
      <c r="F634" s="20" t="str">
        <f aca="false">IF($X634="","",INDEX('Per Line'!$G$2:$G$4001,$X634))</f>
        <v/>
      </c>
      <c r="G634" s="20" t="str">
        <f aca="false">IF($X634="","",INDEX('Per Line'!$I$2:$I$4001,$X634))</f>
        <v/>
      </c>
      <c r="H634" s="20" t="str">
        <f aca="false">IF($X634="","",INDEX('Per Line'!$J$2:$J$4001,$X634))</f>
        <v/>
      </c>
      <c r="I634" s="20" t="str">
        <f aca="false">IF($X634="","",INDEX('Per Line'!$K$2:$K$4001,$X634))</f>
        <v/>
      </c>
      <c r="J634" s="20" t="str">
        <f aca="false">IF($X634="","",INDEX('Per Line'!$L$2:$L$4001,$X634))</f>
        <v/>
      </c>
      <c r="K634" s="20" t="str">
        <f aca="false">IF($X634="","",INDEX('Per Line'!$M$2:$M$4001,$X634))</f>
        <v/>
      </c>
      <c r="L634" s="22" t="str">
        <f aca="false">IF($X634="","",K634*V634/100)</f>
        <v/>
      </c>
      <c r="M634" s="20" t="str">
        <f aca="false">IF($X634="","",INDEX('Per Line'!$Z$2:$Z$4001,$X634))</f>
        <v/>
      </c>
      <c r="N634" s="23" t="str">
        <f aca="false">IF($X634="","",Settings!$C$7)</f>
        <v/>
      </c>
      <c r="O634" s="22" t="str">
        <f aca="false">IF($X634="","",SUMIFS('Per Line'!$Y$2:$Y$4001,'Per Line'!$D$2:$D$4001,$B634,'Per Line'!$AJ$2:$AJ$4001,0))</f>
        <v/>
      </c>
      <c r="P634" s="22" t="str">
        <f aca="false">IF($X634="","",O634*N634)</f>
        <v/>
      </c>
      <c r="Q634" s="23" t="str">
        <f aca="false">IF($X634="","",Settings!$C$6)</f>
        <v/>
      </c>
      <c r="R634" s="22" t="str">
        <f aca="false">IF($X634="","",SUMIFS('Per Line'!$Y$2:$Y$4001,'Per Line'!$D$2:$D$4001,$B634,'Per Line'!$AJ$2:$AJ$4001,1))</f>
        <v/>
      </c>
      <c r="S634" s="22" t="str">
        <f aca="false">IF($X634="","",R634*Q634)</f>
        <v/>
      </c>
      <c r="T634" s="22" t="str">
        <f aca="false">IF($X634="","",S634+P634)</f>
        <v/>
      </c>
      <c r="U634" s="22" t="str">
        <f aca="false">IF($X634="","",V634-T634)</f>
        <v/>
      </c>
      <c r="V634" s="22" t="str">
        <f aca="false">IF($X634="","",O634+R634)</f>
        <v/>
      </c>
      <c r="W634" s="22" t="str">
        <f aca="false">IF($X634="","",U634-L634)</f>
        <v/>
      </c>
      <c r="X634" s="24" t="str">
        <f aca="false">IF(ROWS($X$2:$X634)&lt;=MAX('Per Line'!$AI$2:$AI$4001),MATCH(ROWS($X$2:$X634),'Per Line'!$AI$2:$AI$4001,0),"")</f>
        <v/>
      </c>
    </row>
    <row r="635" customFormat="false" ht="15" hidden="false" customHeight="false" outlineLevel="0" collapsed="false">
      <c r="A635" s="19"/>
      <c r="B635" s="20" t="str">
        <f aca="false">IF($X635="","",INDEX('Per Line'!$D$2:$D$4001,$X635))</f>
        <v/>
      </c>
      <c r="C635" s="20" t="str">
        <f aca="false">IF($X635="","",INDEX('Per Line'!$C$2:$C$4001,$X635))</f>
        <v/>
      </c>
      <c r="D635" s="20" t="str">
        <f aca="false">IF($X635="","",INDEX('Per Line'!$A$2:$A$4001,$X635))</f>
        <v/>
      </c>
      <c r="E635" s="21" t="str">
        <f aca="false">IF($X635="","",INDEX('Per Line'!$F$2:$F$4001,$X635))</f>
        <v/>
      </c>
      <c r="F635" s="20" t="str">
        <f aca="false">IF($X635="","",INDEX('Per Line'!$G$2:$G$4001,$X635))</f>
        <v/>
      </c>
      <c r="G635" s="20" t="str">
        <f aca="false">IF($X635="","",INDEX('Per Line'!$I$2:$I$4001,$X635))</f>
        <v/>
      </c>
      <c r="H635" s="20" t="str">
        <f aca="false">IF($X635="","",INDEX('Per Line'!$J$2:$J$4001,$X635))</f>
        <v/>
      </c>
      <c r="I635" s="20" t="str">
        <f aca="false">IF($X635="","",INDEX('Per Line'!$K$2:$K$4001,$X635))</f>
        <v/>
      </c>
      <c r="J635" s="20" t="str">
        <f aca="false">IF($X635="","",INDEX('Per Line'!$L$2:$L$4001,$X635))</f>
        <v/>
      </c>
      <c r="K635" s="20" t="str">
        <f aca="false">IF($X635="","",INDEX('Per Line'!$M$2:$M$4001,$X635))</f>
        <v/>
      </c>
      <c r="L635" s="22" t="str">
        <f aca="false">IF($X635="","",K635*V635/100)</f>
        <v/>
      </c>
      <c r="M635" s="20" t="str">
        <f aca="false">IF($X635="","",INDEX('Per Line'!$Z$2:$Z$4001,$X635))</f>
        <v/>
      </c>
      <c r="N635" s="23" t="str">
        <f aca="false">IF($X635="","",Settings!$C$7)</f>
        <v/>
      </c>
      <c r="O635" s="22" t="str">
        <f aca="false">IF($X635="","",SUMIFS('Per Line'!$Y$2:$Y$4001,'Per Line'!$D$2:$D$4001,$B635,'Per Line'!$AJ$2:$AJ$4001,0))</f>
        <v/>
      </c>
      <c r="P635" s="22" t="str">
        <f aca="false">IF($X635="","",O635*N635)</f>
        <v/>
      </c>
      <c r="Q635" s="23" t="str">
        <f aca="false">IF($X635="","",Settings!$C$6)</f>
        <v/>
      </c>
      <c r="R635" s="22" t="str">
        <f aca="false">IF($X635="","",SUMIFS('Per Line'!$Y$2:$Y$4001,'Per Line'!$D$2:$D$4001,$B635,'Per Line'!$AJ$2:$AJ$4001,1))</f>
        <v/>
      </c>
      <c r="S635" s="22" t="str">
        <f aca="false">IF($X635="","",R635*Q635)</f>
        <v/>
      </c>
      <c r="T635" s="22" t="str">
        <f aca="false">IF($X635="","",S635+P635)</f>
        <v/>
      </c>
      <c r="U635" s="22" t="str">
        <f aca="false">IF($X635="","",V635-T635)</f>
        <v/>
      </c>
      <c r="V635" s="22" t="str">
        <f aca="false">IF($X635="","",O635+R635)</f>
        <v/>
      </c>
      <c r="W635" s="22" t="str">
        <f aca="false">IF($X635="","",U635-L635)</f>
        <v/>
      </c>
      <c r="X635" s="24" t="str">
        <f aca="false">IF(ROWS($X$2:$X635)&lt;=MAX('Per Line'!$AI$2:$AI$4001),MATCH(ROWS($X$2:$X635),'Per Line'!$AI$2:$AI$4001,0),"")</f>
        <v/>
      </c>
    </row>
    <row r="636" customFormat="false" ht="15" hidden="false" customHeight="false" outlineLevel="0" collapsed="false">
      <c r="A636" s="19"/>
      <c r="B636" s="20" t="str">
        <f aca="false">IF($X636="","",INDEX('Per Line'!$D$2:$D$4001,$X636))</f>
        <v/>
      </c>
      <c r="C636" s="20" t="str">
        <f aca="false">IF($X636="","",INDEX('Per Line'!$C$2:$C$4001,$X636))</f>
        <v/>
      </c>
      <c r="D636" s="20" t="str">
        <f aca="false">IF($X636="","",INDEX('Per Line'!$A$2:$A$4001,$X636))</f>
        <v/>
      </c>
      <c r="E636" s="21" t="str">
        <f aca="false">IF($X636="","",INDEX('Per Line'!$F$2:$F$4001,$X636))</f>
        <v/>
      </c>
      <c r="F636" s="20" t="str">
        <f aca="false">IF($X636="","",INDEX('Per Line'!$G$2:$G$4001,$X636))</f>
        <v/>
      </c>
      <c r="G636" s="20" t="str">
        <f aca="false">IF($X636="","",INDEX('Per Line'!$I$2:$I$4001,$X636))</f>
        <v/>
      </c>
      <c r="H636" s="20" t="str">
        <f aca="false">IF($X636="","",INDEX('Per Line'!$J$2:$J$4001,$X636))</f>
        <v/>
      </c>
      <c r="I636" s="20" t="str">
        <f aca="false">IF($X636="","",INDEX('Per Line'!$K$2:$K$4001,$X636))</f>
        <v/>
      </c>
      <c r="J636" s="20" t="str">
        <f aca="false">IF($X636="","",INDEX('Per Line'!$L$2:$L$4001,$X636))</f>
        <v/>
      </c>
      <c r="K636" s="20" t="str">
        <f aca="false">IF($X636="","",INDEX('Per Line'!$M$2:$M$4001,$X636))</f>
        <v/>
      </c>
      <c r="L636" s="22" t="str">
        <f aca="false">IF($X636="","",K636*V636/100)</f>
        <v/>
      </c>
      <c r="M636" s="20" t="str">
        <f aca="false">IF($X636="","",INDEX('Per Line'!$Z$2:$Z$4001,$X636))</f>
        <v/>
      </c>
      <c r="N636" s="23" t="str">
        <f aca="false">IF($X636="","",Settings!$C$7)</f>
        <v/>
      </c>
      <c r="O636" s="22" t="str">
        <f aca="false">IF($X636="","",SUMIFS('Per Line'!$Y$2:$Y$4001,'Per Line'!$D$2:$D$4001,$B636,'Per Line'!$AJ$2:$AJ$4001,0))</f>
        <v/>
      </c>
      <c r="P636" s="22" t="str">
        <f aca="false">IF($X636="","",O636*N636)</f>
        <v/>
      </c>
      <c r="Q636" s="23" t="str">
        <f aca="false">IF($X636="","",Settings!$C$6)</f>
        <v/>
      </c>
      <c r="R636" s="22" t="str">
        <f aca="false">IF($X636="","",SUMIFS('Per Line'!$Y$2:$Y$4001,'Per Line'!$D$2:$D$4001,$B636,'Per Line'!$AJ$2:$AJ$4001,1))</f>
        <v/>
      </c>
      <c r="S636" s="22" t="str">
        <f aca="false">IF($X636="","",R636*Q636)</f>
        <v/>
      </c>
      <c r="T636" s="22" t="str">
        <f aca="false">IF($X636="","",S636+P636)</f>
        <v/>
      </c>
      <c r="U636" s="22" t="str">
        <f aca="false">IF($X636="","",V636-T636)</f>
        <v/>
      </c>
      <c r="V636" s="22" t="str">
        <f aca="false">IF($X636="","",O636+R636)</f>
        <v/>
      </c>
      <c r="W636" s="22" t="str">
        <f aca="false">IF($X636="","",U636-L636)</f>
        <v/>
      </c>
      <c r="X636" s="24" t="str">
        <f aca="false">IF(ROWS($X$2:$X636)&lt;=MAX('Per Line'!$AI$2:$AI$4001),MATCH(ROWS($X$2:$X636),'Per Line'!$AI$2:$AI$4001,0),"")</f>
        <v/>
      </c>
    </row>
    <row r="637" customFormat="false" ht="15" hidden="false" customHeight="false" outlineLevel="0" collapsed="false">
      <c r="A637" s="19"/>
      <c r="B637" s="20" t="str">
        <f aca="false">IF($X637="","",INDEX('Per Line'!$D$2:$D$4001,$X637))</f>
        <v/>
      </c>
      <c r="C637" s="20" t="str">
        <f aca="false">IF($X637="","",INDEX('Per Line'!$C$2:$C$4001,$X637))</f>
        <v/>
      </c>
      <c r="D637" s="20" t="str">
        <f aca="false">IF($X637="","",INDEX('Per Line'!$A$2:$A$4001,$X637))</f>
        <v/>
      </c>
      <c r="E637" s="21" t="str">
        <f aca="false">IF($X637="","",INDEX('Per Line'!$F$2:$F$4001,$X637))</f>
        <v/>
      </c>
      <c r="F637" s="20" t="str">
        <f aca="false">IF($X637="","",INDEX('Per Line'!$G$2:$G$4001,$X637))</f>
        <v/>
      </c>
      <c r="G637" s="20" t="str">
        <f aca="false">IF($X637="","",INDEX('Per Line'!$I$2:$I$4001,$X637))</f>
        <v/>
      </c>
      <c r="H637" s="20" t="str">
        <f aca="false">IF($X637="","",INDEX('Per Line'!$J$2:$J$4001,$X637))</f>
        <v/>
      </c>
      <c r="I637" s="20" t="str">
        <f aca="false">IF($X637="","",INDEX('Per Line'!$K$2:$K$4001,$X637))</f>
        <v/>
      </c>
      <c r="J637" s="20" t="str">
        <f aca="false">IF($X637="","",INDEX('Per Line'!$L$2:$L$4001,$X637))</f>
        <v/>
      </c>
      <c r="K637" s="20" t="str">
        <f aca="false">IF($X637="","",INDEX('Per Line'!$M$2:$M$4001,$X637))</f>
        <v/>
      </c>
      <c r="L637" s="22" t="str">
        <f aca="false">IF($X637="","",K637*V637/100)</f>
        <v/>
      </c>
      <c r="M637" s="20" t="str">
        <f aca="false">IF($X637="","",INDEX('Per Line'!$Z$2:$Z$4001,$X637))</f>
        <v/>
      </c>
      <c r="N637" s="23" t="str">
        <f aca="false">IF($X637="","",Settings!$C$7)</f>
        <v/>
      </c>
      <c r="O637" s="22" t="str">
        <f aca="false">IF($X637="","",SUMIFS('Per Line'!$Y$2:$Y$4001,'Per Line'!$D$2:$D$4001,$B637,'Per Line'!$AJ$2:$AJ$4001,0))</f>
        <v/>
      </c>
      <c r="P637" s="22" t="str">
        <f aca="false">IF($X637="","",O637*N637)</f>
        <v/>
      </c>
      <c r="Q637" s="23" t="str">
        <f aca="false">IF($X637="","",Settings!$C$6)</f>
        <v/>
      </c>
      <c r="R637" s="22" t="str">
        <f aca="false">IF($X637="","",SUMIFS('Per Line'!$Y$2:$Y$4001,'Per Line'!$D$2:$D$4001,$B637,'Per Line'!$AJ$2:$AJ$4001,1))</f>
        <v/>
      </c>
      <c r="S637" s="22" t="str">
        <f aca="false">IF($X637="","",R637*Q637)</f>
        <v/>
      </c>
      <c r="T637" s="22" t="str">
        <f aca="false">IF($X637="","",S637+P637)</f>
        <v/>
      </c>
      <c r="U637" s="22" t="str">
        <f aca="false">IF($X637="","",V637-T637)</f>
        <v/>
      </c>
      <c r="V637" s="22" t="str">
        <f aca="false">IF($X637="","",O637+R637)</f>
        <v/>
      </c>
      <c r="W637" s="22" t="str">
        <f aca="false">IF($X637="","",U637-L637)</f>
        <v/>
      </c>
      <c r="X637" s="24" t="str">
        <f aca="false">IF(ROWS($X$2:$X637)&lt;=MAX('Per Line'!$AI$2:$AI$4001),MATCH(ROWS($X$2:$X637),'Per Line'!$AI$2:$AI$4001,0),"")</f>
        <v/>
      </c>
    </row>
    <row r="638" customFormat="false" ht="15" hidden="false" customHeight="false" outlineLevel="0" collapsed="false">
      <c r="A638" s="19"/>
      <c r="B638" s="20" t="str">
        <f aca="false">IF($X638="","",INDEX('Per Line'!$D$2:$D$4001,$X638))</f>
        <v/>
      </c>
      <c r="C638" s="20" t="str">
        <f aca="false">IF($X638="","",INDEX('Per Line'!$C$2:$C$4001,$X638))</f>
        <v/>
      </c>
      <c r="D638" s="20" t="str">
        <f aca="false">IF($X638="","",INDEX('Per Line'!$A$2:$A$4001,$X638))</f>
        <v/>
      </c>
      <c r="E638" s="21" t="str">
        <f aca="false">IF($X638="","",INDEX('Per Line'!$F$2:$F$4001,$X638))</f>
        <v/>
      </c>
      <c r="F638" s="20" t="str">
        <f aca="false">IF($X638="","",INDEX('Per Line'!$G$2:$G$4001,$X638))</f>
        <v/>
      </c>
      <c r="G638" s="20" t="str">
        <f aca="false">IF($X638="","",INDEX('Per Line'!$I$2:$I$4001,$X638))</f>
        <v/>
      </c>
      <c r="H638" s="20" t="str">
        <f aca="false">IF($X638="","",INDEX('Per Line'!$J$2:$J$4001,$X638))</f>
        <v/>
      </c>
      <c r="I638" s="20" t="str">
        <f aca="false">IF($X638="","",INDEX('Per Line'!$K$2:$K$4001,$X638))</f>
        <v/>
      </c>
      <c r="J638" s="20" t="str">
        <f aca="false">IF($X638="","",INDEX('Per Line'!$L$2:$L$4001,$X638))</f>
        <v/>
      </c>
      <c r="K638" s="20" t="str">
        <f aca="false">IF($X638="","",INDEX('Per Line'!$M$2:$M$4001,$X638))</f>
        <v/>
      </c>
      <c r="L638" s="22" t="str">
        <f aca="false">IF($X638="","",K638*V638/100)</f>
        <v/>
      </c>
      <c r="M638" s="20" t="str">
        <f aca="false">IF($X638="","",INDEX('Per Line'!$Z$2:$Z$4001,$X638))</f>
        <v/>
      </c>
      <c r="N638" s="23" t="str">
        <f aca="false">IF($X638="","",Settings!$C$7)</f>
        <v/>
      </c>
      <c r="O638" s="22" t="str">
        <f aca="false">IF($X638="","",SUMIFS('Per Line'!$Y$2:$Y$4001,'Per Line'!$D$2:$D$4001,$B638,'Per Line'!$AJ$2:$AJ$4001,0))</f>
        <v/>
      </c>
      <c r="P638" s="22" t="str">
        <f aca="false">IF($X638="","",O638*N638)</f>
        <v/>
      </c>
      <c r="Q638" s="23" t="str">
        <f aca="false">IF($X638="","",Settings!$C$6)</f>
        <v/>
      </c>
      <c r="R638" s="22" t="str">
        <f aca="false">IF($X638="","",SUMIFS('Per Line'!$Y$2:$Y$4001,'Per Line'!$D$2:$D$4001,$B638,'Per Line'!$AJ$2:$AJ$4001,1))</f>
        <v/>
      </c>
      <c r="S638" s="22" t="str">
        <f aca="false">IF($X638="","",R638*Q638)</f>
        <v/>
      </c>
      <c r="T638" s="22" t="str">
        <f aca="false">IF($X638="","",S638+P638)</f>
        <v/>
      </c>
      <c r="U638" s="22" t="str">
        <f aca="false">IF($X638="","",V638-T638)</f>
        <v/>
      </c>
      <c r="V638" s="22" t="str">
        <f aca="false">IF($X638="","",O638+R638)</f>
        <v/>
      </c>
      <c r="W638" s="22" t="str">
        <f aca="false">IF($X638="","",U638-L638)</f>
        <v/>
      </c>
      <c r="X638" s="24" t="str">
        <f aca="false">IF(ROWS($X$2:$X638)&lt;=MAX('Per Line'!$AI$2:$AI$4001),MATCH(ROWS($X$2:$X638),'Per Line'!$AI$2:$AI$4001,0),"")</f>
        <v/>
      </c>
    </row>
    <row r="639" customFormat="false" ht="15" hidden="false" customHeight="false" outlineLevel="0" collapsed="false">
      <c r="A639" s="19"/>
      <c r="B639" s="20" t="str">
        <f aca="false">IF($X639="","",INDEX('Per Line'!$D$2:$D$4001,$X639))</f>
        <v/>
      </c>
      <c r="C639" s="20" t="str">
        <f aca="false">IF($X639="","",INDEX('Per Line'!$C$2:$C$4001,$X639))</f>
        <v/>
      </c>
      <c r="D639" s="20" t="str">
        <f aca="false">IF($X639="","",INDEX('Per Line'!$A$2:$A$4001,$X639))</f>
        <v/>
      </c>
      <c r="E639" s="21" t="str">
        <f aca="false">IF($X639="","",INDEX('Per Line'!$F$2:$F$4001,$X639))</f>
        <v/>
      </c>
      <c r="F639" s="20" t="str">
        <f aca="false">IF($X639="","",INDEX('Per Line'!$G$2:$G$4001,$X639))</f>
        <v/>
      </c>
      <c r="G639" s="20" t="str">
        <f aca="false">IF($X639="","",INDEX('Per Line'!$I$2:$I$4001,$X639))</f>
        <v/>
      </c>
      <c r="H639" s="20" t="str">
        <f aca="false">IF($X639="","",INDEX('Per Line'!$J$2:$J$4001,$X639))</f>
        <v/>
      </c>
      <c r="I639" s="20" t="str">
        <f aca="false">IF($X639="","",INDEX('Per Line'!$K$2:$K$4001,$X639))</f>
        <v/>
      </c>
      <c r="J639" s="20" t="str">
        <f aca="false">IF($X639="","",INDEX('Per Line'!$L$2:$L$4001,$X639))</f>
        <v/>
      </c>
      <c r="K639" s="20" t="str">
        <f aca="false">IF($X639="","",INDEX('Per Line'!$M$2:$M$4001,$X639))</f>
        <v/>
      </c>
      <c r="L639" s="22" t="str">
        <f aca="false">IF($X639="","",K639*V639/100)</f>
        <v/>
      </c>
      <c r="M639" s="20" t="str">
        <f aca="false">IF($X639="","",INDEX('Per Line'!$Z$2:$Z$4001,$X639))</f>
        <v/>
      </c>
      <c r="N639" s="23" t="str">
        <f aca="false">IF($X639="","",Settings!$C$7)</f>
        <v/>
      </c>
      <c r="O639" s="22" t="str">
        <f aca="false">IF($X639="","",SUMIFS('Per Line'!$Y$2:$Y$4001,'Per Line'!$D$2:$D$4001,$B639,'Per Line'!$AJ$2:$AJ$4001,0))</f>
        <v/>
      </c>
      <c r="P639" s="22" t="str">
        <f aca="false">IF($X639="","",O639*N639)</f>
        <v/>
      </c>
      <c r="Q639" s="23" t="str">
        <f aca="false">IF($X639="","",Settings!$C$6)</f>
        <v/>
      </c>
      <c r="R639" s="22" t="str">
        <f aca="false">IF($X639="","",SUMIFS('Per Line'!$Y$2:$Y$4001,'Per Line'!$D$2:$D$4001,$B639,'Per Line'!$AJ$2:$AJ$4001,1))</f>
        <v/>
      </c>
      <c r="S639" s="22" t="str">
        <f aca="false">IF($X639="","",R639*Q639)</f>
        <v/>
      </c>
      <c r="T639" s="22" t="str">
        <f aca="false">IF($X639="","",S639+P639)</f>
        <v/>
      </c>
      <c r="U639" s="22" t="str">
        <f aca="false">IF($X639="","",V639-T639)</f>
        <v/>
      </c>
      <c r="V639" s="22" t="str">
        <f aca="false">IF($X639="","",O639+R639)</f>
        <v/>
      </c>
      <c r="W639" s="22" t="str">
        <f aca="false">IF($X639="","",U639-L639)</f>
        <v/>
      </c>
      <c r="X639" s="24" t="str">
        <f aca="false">IF(ROWS($X$2:$X639)&lt;=MAX('Per Line'!$AI$2:$AI$4001),MATCH(ROWS($X$2:$X639),'Per Line'!$AI$2:$AI$4001,0),"")</f>
        <v/>
      </c>
    </row>
    <row r="640" customFormat="false" ht="15" hidden="false" customHeight="false" outlineLevel="0" collapsed="false">
      <c r="A640" s="19"/>
      <c r="B640" s="20" t="str">
        <f aca="false">IF($X640="","",INDEX('Per Line'!$D$2:$D$4001,$X640))</f>
        <v/>
      </c>
      <c r="C640" s="20" t="str">
        <f aca="false">IF($X640="","",INDEX('Per Line'!$C$2:$C$4001,$X640))</f>
        <v/>
      </c>
      <c r="D640" s="20" t="str">
        <f aca="false">IF($X640="","",INDEX('Per Line'!$A$2:$A$4001,$X640))</f>
        <v/>
      </c>
      <c r="E640" s="21" t="str">
        <f aca="false">IF($X640="","",INDEX('Per Line'!$F$2:$F$4001,$X640))</f>
        <v/>
      </c>
      <c r="F640" s="20" t="str">
        <f aca="false">IF($X640="","",INDEX('Per Line'!$G$2:$G$4001,$X640))</f>
        <v/>
      </c>
      <c r="G640" s="20" t="str">
        <f aca="false">IF($X640="","",INDEX('Per Line'!$I$2:$I$4001,$X640))</f>
        <v/>
      </c>
      <c r="H640" s="20" t="str">
        <f aca="false">IF($X640="","",INDEX('Per Line'!$J$2:$J$4001,$X640))</f>
        <v/>
      </c>
      <c r="I640" s="20" t="str">
        <f aca="false">IF($X640="","",INDEX('Per Line'!$K$2:$K$4001,$X640))</f>
        <v/>
      </c>
      <c r="J640" s="20" t="str">
        <f aca="false">IF($X640="","",INDEX('Per Line'!$L$2:$L$4001,$X640))</f>
        <v/>
      </c>
      <c r="K640" s="20" t="str">
        <f aca="false">IF($X640="","",INDEX('Per Line'!$M$2:$M$4001,$X640))</f>
        <v/>
      </c>
      <c r="L640" s="22" t="str">
        <f aca="false">IF($X640="","",K640*V640/100)</f>
        <v/>
      </c>
      <c r="M640" s="20" t="str">
        <f aca="false">IF($X640="","",INDEX('Per Line'!$Z$2:$Z$4001,$X640))</f>
        <v/>
      </c>
      <c r="N640" s="23" t="str">
        <f aca="false">IF($X640="","",Settings!$C$7)</f>
        <v/>
      </c>
      <c r="O640" s="22" t="str">
        <f aca="false">IF($X640="","",SUMIFS('Per Line'!$Y$2:$Y$4001,'Per Line'!$D$2:$D$4001,$B640,'Per Line'!$AJ$2:$AJ$4001,0))</f>
        <v/>
      </c>
      <c r="P640" s="22" t="str">
        <f aca="false">IF($X640="","",O640*N640)</f>
        <v/>
      </c>
      <c r="Q640" s="23" t="str">
        <f aca="false">IF($X640="","",Settings!$C$6)</f>
        <v/>
      </c>
      <c r="R640" s="22" t="str">
        <f aca="false">IF($X640="","",SUMIFS('Per Line'!$Y$2:$Y$4001,'Per Line'!$D$2:$D$4001,$B640,'Per Line'!$AJ$2:$AJ$4001,1))</f>
        <v/>
      </c>
      <c r="S640" s="22" t="str">
        <f aca="false">IF($X640="","",R640*Q640)</f>
        <v/>
      </c>
      <c r="T640" s="22" t="str">
        <f aca="false">IF($X640="","",S640+P640)</f>
        <v/>
      </c>
      <c r="U640" s="22" t="str">
        <f aca="false">IF($X640="","",V640-T640)</f>
        <v/>
      </c>
      <c r="V640" s="22" t="str">
        <f aca="false">IF($X640="","",O640+R640)</f>
        <v/>
      </c>
      <c r="W640" s="22" t="str">
        <f aca="false">IF($X640="","",U640-L640)</f>
        <v/>
      </c>
      <c r="X640" s="24" t="str">
        <f aca="false">IF(ROWS($X$2:$X640)&lt;=MAX('Per Line'!$AI$2:$AI$4001),MATCH(ROWS($X$2:$X640),'Per Line'!$AI$2:$AI$4001,0),"")</f>
        <v/>
      </c>
    </row>
    <row r="641" customFormat="false" ht="15" hidden="false" customHeight="false" outlineLevel="0" collapsed="false">
      <c r="A641" s="19"/>
      <c r="B641" s="20" t="str">
        <f aca="false">IF($X641="","",INDEX('Per Line'!$D$2:$D$4001,$X641))</f>
        <v/>
      </c>
      <c r="C641" s="20" t="str">
        <f aca="false">IF($X641="","",INDEX('Per Line'!$C$2:$C$4001,$X641))</f>
        <v/>
      </c>
      <c r="D641" s="20" t="str">
        <f aca="false">IF($X641="","",INDEX('Per Line'!$A$2:$A$4001,$X641))</f>
        <v/>
      </c>
      <c r="E641" s="21" t="str">
        <f aca="false">IF($X641="","",INDEX('Per Line'!$F$2:$F$4001,$X641))</f>
        <v/>
      </c>
      <c r="F641" s="20" t="str">
        <f aca="false">IF($X641="","",INDEX('Per Line'!$G$2:$G$4001,$X641))</f>
        <v/>
      </c>
      <c r="G641" s="20" t="str">
        <f aca="false">IF($X641="","",INDEX('Per Line'!$I$2:$I$4001,$X641))</f>
        <v/>
      </c>
      <c r="H641" s="20" t="str">
        <f aca="false">IF($X641="","",INDEX('Per Line'!$J$2:$J$4001,$X641))</f>
        <v/>
      </c>
      <c r="I641" s="20" t="str">
        <f aca="false">IF($X641="","",INDEX('Per Line'!$K$2:$K$4001,$X641))</f>
        <v/>
      </c>
      <c r="J641" s="20" t="str">
        <f aca="false">IF($X641="","",INDEX('Per Line'!$L$2:$L$4001,$X641))</f>
        <v/>
      </c>
      <c r="K641" s="20" t="str">
        <f aca="false">IF($X641="","",INDEX('Per Line'!$M$2:$M$4001,$X641))</f>
        <v/>
      </c>
      <c r="L641" s="22" t="str">
        <f aca="false">IF($X641="","",K641*V641/100)</f>
        <v/>
      </c>
      <c r="M641" s="20" t="str">
        <f aca="false">IF($X641="","",INDEX('Per Line'!$Z$2:$Z$4001,$X641))</f>
        <v/>
      </c>
      <c r="N641" s="23" t="str">
        <f aca="false">IF($X641="","",Settings!$C$7)</f>
        <v/>
      </c>
      <c r="O641" s="22" t="str">
        <f aca="false">IF($X641="","",SUMIFS('Per Line'!$Y$2:$Y$4001,'Per Line'!$D$2:$D$4001,$B641,'Per Line'!$AJ$2:$AJ$4001,0))</f>
        <v/>
      </c>
      <c r="P641" s="22" t="str">
        <f aca="false">IF($X641="","",O641*N641)</f>
        <v/>
      </c>
      <c r="Q641" s="23" t="str">
        <f aca="false">IF($X641="","",Settings!$C$6)</f>
        <v/>
      </c>
      <c r="R641" s="22" t="str">
        <f aca="false">IF($X641="","",SUMIFS('Per Line'!$Y$2:$Y$4001,'Per Line'!$D$2:$D$4001,$B641,'Per Line'!$AJ$2:$AJ$4001,1))</f>
        <v/>
      </c>
      <c r="S641" s="22" t="str">
        <f aca="false">IF($X641="","",R641*Q641)</f>
        <v/>
      </c>
      <c r="T641" s="22" t="str">
        <f aca="false">IF($X641="","",S641+P641)</f>
        <v/>
      </c>
      <c r="U641" s="22" t="str">
        <f aca="false">IF($X641="","",V641-T641)</f>
        <v/>
      </c>
      <c r="V641" s="22" t="str">
        <f aca="false">IF($X641="","",O641+R641)</f>
        <v/>
      </c>
      <c r="W641" s="22" t="str">
        <f aca="false">IF($X641="","",U641-L641)</f>
        <v/>
      </c>
      <c r="X641" s="24" t="str">
        <f aca="false">IF(ROWS($X$2:$X641)&lt;=MAX('Per Line'!$AI$2:$AI$4001),MATCH(ROWS($X$2:$X641),'Per Line'!$AI$2:$AI$4001,0),"")</f>
        <v/>
      </c>
    </row>
    <row r="642" customFormat="false" ht="15" hidden="false" customHeight="false" outlineLevel="0" collapsed="false">
      <c r="A642" s="19"/>
      <c r="B642" s="20" t="str">
        <f aca="false">IF($X642="","",INDEX('Per Line'!$D$2:$D$4001,$X642))</f>
        <v/>
      </c>
      <c r="C642" s="20" t="str">
        <f aca="false">IF($X642="","",INDEX('Per Line'!$C$2:$C$4001,$X642))</f>
        <v/>
      </c>
      <c r="D642" s="20" t="str">
        <f aca="false">IF($X642="","",INDEX('Per Line'!$A$2:$A$4001,$X642))</f>
        <v/>
      </c>
      <c r="E642" s="21" t="str">
        <f aca="false">IF($X642="","",INDEX('Per Line'!$F$2:$F$4001,$X642))</f>
        <v/>
      </c>
      <c r="F642" s="20" t="str">
        <f aca="false">IF($X642="","",INDEX('Per Line'!$G$2:$G$4001,$X642))</f>
        <v/>
      </c>
      <c r="G642" s="20" t="str">
        <f aca="false">IF($X642="","",INDEX('Per Line'!$I$2:$I$4001,$X642))</f>
        <v/>
      </c>
      <c r="H642" s="20" t="str">
        <f aca="false">IF($X642="","",INDEX('Per Line'!$J$2:$J$4001,$X642))</f>
        <v/>
      </c>
      <c r="I642" s="20" t="str">
        <f aca="false">IF($X642="","",INDEX('Per Line'!$K$2:$K$4001,$X642))</f>
        <v/>
      </c>
      <c r="J642" s="20" t="str">
        <f aca="false">IF($X642="","",INDEX('Per Line'!$L$2:$L$4001,$X642))</f>
        <v/>
      </c>
      <c r="K642" s="20" t="str">
        <f aca="false">IF($X642="","",INDEX('Per Line'!$M$2:$M$4001,$X642))</f>
        <v/>
      </c>
      <c r="L642" s="22" t="str">
        <f aca="false">IF($X642="","",K642*V642/100)</f>
        <v/>
      </c>
      <c r="M642" s="20" t="str">
        <f aca="false">IF($X642="","",INDEX('Per Line'!$Z$2:$Z$4001,$X642))</f>
        <v/>
      </c>
      <c r="N642" s="23" t="str">
        <f aca="false">IF($X642="","",Settings!$C$7)</f>
        <v/>
      </c>
      <c r="O642" s="22" t="str">
        <f aca="false">IF($X642="","",SUMIFS('Per Line'!$Y$2:$Y$4001,'Per Line'!$D$2:$D$4001,$B642,'Per Line'!$AJ$2:$AJ$4001,0))</f>
        <v/>
      </c>
      <c r="P642" s="22" t="str">
        <f aca="false">IF($X642="","",O642*N642)</f>
        <v/>
      </c>
      <c r="Q642" s="23" t="str">
        <f aca="false">IF($X642="","",Settings!$C$6)</f>
        <v/>
      </c>
      <c r="R642" s="22" t="str">
        <f aca="false">IF($X642="","",SUMIFS('Per Line'!$Y$2:$Y$4001,'Per Line'!$D$2:$D$4001,$B642,'Per Line'!$AJ$2:$AJ$4001,1))</f>
        <v/>
      </c>
      <c r="S642" s="22" t="str">
        <f aca="false">IF($X642="","",R642*Q642)</f>
        <v/>
      </c>
      <c r="T642" s="22" t="str">
        <f aca="false">IF($X642="","",S642+P642)</f>
        <v/>
      </c>
      <c r="U642" s="22" t="str">
        <f aca="false">IF($X642="","",V642-T642)</f>
        <v/>
      </c>
      <c r="V642" s="22" t="str">
        <f aca="false">IF($X642="","",O642+R642)</f>
        <v/>
      </c>
      <c r="W642" s="22" t="str">
        <f aca="false">IF($X642="","",U642-L642)</f>
        <v/>
      </c>
      <c r="X642" s="24" t="str">
        <f aca="false">IF(ROWS($X$2:$X642)&lt;=MAX('Per Line'!$AI$2:$AI$4001),MATCH(ROWS($X$2:$X642),'Per Line'!$AI$2:$AI$4001,0),"")</f>
        <v/>
      </c>
    </row>
    <row r="643" customFormat="false" ht="15" hidden="false" customHeight="false" outlineLevel="0" collapsed="false">
      <c r="A643" s="19"/>
      <c r="B643" s="20" t="str">
        <f aca="false">IF($X643="","",INDEX('Per Line'!$D$2:$D$4001,$X643))</f>
        <v/>
      </c>
      <c r="C643" s="20" t="str">
        <f aca="false">IF($X643="","",INDEX('Per Line'!$C$2:$C$4001,$X643))</f>
        <v/>
      </c>
      <c r="D643" s="20" t="str">
        <f aca="false">IF($X643="","",INDEX('Per Line'!$A$2:$A$4001,$X643))</f>
        <v/>
      </c>
      <c r="E643" s="21" t="str">
        <f aca="false">IF($X643="","",INDEX('Per Line'!$F$2:$F$4001,$X643))</f>
        <v/>
      </c>
      <c r="F643" s="20" t="str">
        <f aca="false">IF($X643="","",INDEX('Per Line'!$G$2:$G$4001,$X643))</f>
        <v/>
      </c>
      <c r="G643" s="20" t="str">
        <f aca="false">IF($X643="","",INDEX('Per Line'!$I$2:$I$4001,$X643))</f>
        <v/>
      </c>
      <c r="H643" s="20" t="str">
        <f aca="false">IF($X643="","",INDEX('Per Line'!$J$2:$J$4001,$X643))</f>
        <v/>
      </c>
      <c r="I643" s="20" t="str">
        <f aca="false">IF($X643="","",INDEX('Per Line'!$K$2:$K$4001,$X643))</f>
        <v/>
      </c>
      <c r="J643" s="20" t="str">
        <f aca="false">IF($X643="","",INDEX('Per Line'!$L$2:$L$4001,$X643))</f>
        <v/>
      </c>
      <c r="K643" s="20" t="str">
        <f aca="false">IF($X643="","",INDEX('Per Line'!$M$2:$M$4001,$X643))</f>
        <v/>
      </c>
      <c r="L643" s="22" t="str">
        <f aca="false">IF($X643="","",K643*V643/100)</f>
        <v/>
      </c>
      <c r="M643" s="20" t="str">
        <f aca="false">IF($X643="","",INDEX('Per Line'!$Z$2:$Z$4001,$X643))</f>
        <v/>
      </c>
      <c r="N643" s="23" t="str">
        <f aca="false">IF($X643="","",Settings!$C$7)</f>
        <v/>
      </c>
      <c r="O643" s="22" t="str">
        <f aca="false">IF($X643="","",SUMIFS('Per Line'!$Y$2:$Y$4001,'Per Line'!$D$2:$D$4001,$B643,'Per Line'!$AJ$2:$AJ$4001,0))</f>
        <v/>
      </c>
      <c r="P643" s="22" t="str">
        <f aca="false">IF($X643="","",O643*N643)</f>
        <v/>
      </c>
      <c r="Q643" s="23" t="str">
        <f aca="false">IF($X643="","",Settings!$C$6)</f>
        <v/>
      </c>
      <c r="R643" s="22" t="str">
        <f aca="false">IF($X643="","",SUMIFS('Per Line'!$Y$2:$Y$4001,'Per Line'!$D$2:$D$4001,$B643,'Per Line'!$AJ$2:$AJ$4001,1))</f>
        <v/>
      </c>
      <c r="S643" s="22" t="str">
        <f aca="false">IF($X643="","",R643*Q643)</f>
        <v/>
      </c>
      <c r="T643" s="22" t="str">
        <f aca="false">IF($X643="","",S643+P643)</f>
        <v/>
      </c>
      <c r="U643" s="22" t="str">
        <f aca="false">IF($X643="","",V643-T643)</f>
        <v/>
      </c>
      <c r="V643" s="22" t="str">
        <f aca="false">IF($X643="","",O643+R643)</f>
        <v/>
      </c>
      <c r="W643" s="22" t="str">
        <f aca="false">IF($X643="","",U643-L643)</f>
        <v/>
      </c>
      <c r="X643" s="24" t="str">
        <f aca="false">IF(ROWS($X$2:$X643)&lt;=MAX('Per Line'!$AI$2:$AI$4001),MATCH(ROWS($X$2:$X643),'Per Line'!$AI$2:$AI$4001,0),"")</f>
        <v/>
      </c>
    </row>
    <row r="644" customFormat="false" ht="15" hidden="false" customHeight="false" outlineLevel="0" collapsed="false">
      <c r="A644" s="19"/>
      <c r="B644" s="20" t="str">
        <f aca="false">IF($X644="","",INDEX('Per Line'!$D$2:$D$4001,$X644))</f>
        <v/>
      </c>
      <c r="C644" s="20" t="str">
        <f aca="false">IF($X644="","",INDEX('Per Line'!$C$2:$C$4001,$X644))</f>
        <v/>
      </c>
      <c r="D644" s="20" t="str">
        <f aca="false">IF($X644="","",INDEX('Per Line'!$A$2:$A$4001,$X644))</f>
        <v/>
      </c>
      <c r="E644" s="21" t="str">
        <f aca="false">IF($X644="","",INDEX('Per Line'!$F$2:$F$4001,$X644))</f>
        <v/>
      </c>
      <c r="F644" s="20" t="str">
        <f aca="false">IF($X644="","",INDEX('Per Line'!$G$2:$G$4001,$X644))</f>
        <v/>
      </c>
      <c r="G644" s="20" t="str">
        <f aca="false">IF($X644="","",INDEX('Per Line'!$I$2:$I$4001,$X644))</f>
        <v/>
      </c>
      <c r="H644" s="20" t="str">
        <f aca="false">IF($X644="","",INDEX('Per Line'!$J$2:$J$4001,$X644))</f>
        <v/>
      </c>
      <c r="I644" s="20" t="str">
        <f aca="false">IF($X644="","",INDEX('Per Line'!$K$2:$K$4001,$X644))</f>
        <v/>
      </c>
      <c r="J644" s="20" t="str">
        <f aca="false">IF($X644="","",INDEX('Per Line'!$L$2:$L$4001,$X644))</f>
        <v/>
      </c>
      <c r="K644" s="20" t="str">
        <f aca="false">IF($X644="","",INDEX('Per Line'!$M$2:$M$4001,$X644))</f>
        <v/>
      </c>
      <c r="L644" s="22" t="str">
        <f aca="false">IF($X644="","",K644*V644/100)</f>
        <v/>
      </c>
      <c r="M644" s="20" t="str">
        <f aca="false">IF($X644="","",INDEX('Per Line'!$Z$2:$Z$4001,$X644))</f>
        <v/>
      </c>
      <c r="N644" s="23" t="str">
        <f aca="false">IF($X644="","",Settings!$C$7)</f>
        <v/>
      </c>
      <c r="O644" s="22" t="str">
        <f aca="false">IF($X644="","",SUMIFS('Per Line'!$Y$2:$Y$4001,'Per Line'!$D$2:$D$4001,$B644,'Per Line'!$AJ$2:$AJ$4001,0))</f>
        <v/>
      </c>
      <c r="P644" s="22" t="str">
        <f aca="false">IF($X644="","",O644*N644)</f>
        <v/>
      </c>
      <c r="Q644" s="23" t="str">
        <f aca="false">IF($X644="","",Settings!$C$6)</f>
        <v/>
      </c>
      <c r="R644" s="22" t="str">
        <f aca="false">IF($X644="","",SUMIFS('Per Line'!$Y$2:$Y$4001,'Per Line'!$D$2:$D$4001,$B644,'Per Line'!$AJ$2:$AJ$4001,1))</f>
        <v/>
      </c>
      <c r="S644" s="22" t="str">
        <f aca="false">IF($X644="","",R644*Q644)</f>
        <v/>
      </c>
      <c r="T644" s="22" t="str">
        <f aca="false">IF($X644="","",S644+P644)</f>
        <v/>
      </c>
      <c r="U644" s="22" t="str">
        <f aca="false">IF($X644="","",V644-T644)</f>
        <v/>
      </c>
      <c r="V644" s="22" t="str">
        <f aca="false">IF($X644="","",O644+R644)</f>
        <v/>
      </c>
      <c r="W644" s="22" t="str">
        <f aca="false">IF($X644="","",U644-L644)</f>
        <v/>
      </c>
      <c r="X644" s="24" t="str">
        <f aca="false">IF(ROWS($X$2:$X644)&lt;=MAX('Per Line'!$AI$2:$AI$4001),MATCH(ROWS($X$2:$X644),'Per Line'!$AI$2:$AI$4001,0),"")</f>
        <v/>
      </c>
    </row>
    <row r="645" customFormat="false" ht="15" hidden="false" customHeight="false" outlineLevel="0" collapsed="false">
      <c r="A645" s="19"/>
      <c r="B645" s="20" t="str">
        <f aca="false">IF($X645="","",INDEX('Per Line'!$D$2:$D$4001,$X645))</f>
        <v/>
      </c>
      <c r="C645" s="20" t="str">
        <f aca="false">IF($X645="","",INDEX('Per Line'!$C$2:$C$4001,$X645))</f>
        <v/>
      </c>
      <c r="D645" s="20" t="str">
        <f aca="false">IF($X645="","",INDEX('Per Line'!$A$2:$A$4001,$X645))</f>
        <v/>
      </c>
      <c r="E645" s="21" t="str">
        <f aca="false">IF($X645="","",INDEX('Per Line'!$F$2:$F$4001,$X645))</f>
        <v/>
      </c>
      <c r="F645" s="20" t="str">
        <f aca="false">IF($X645="","",INDEX('Per Line'!$G$2:$G$4001,$X645))</f>
        <v/>
      </c>
      <c r="G645" s="20" t="str">
        <f aca="false">IF($X645="","",INDEX('Per Line'!$I$2:$I$4001,$X645))</f>
        <v/>
      </c>
      <c r="H645" s="20" t="str">
        <f aca="false">IF($X645="","",INDEX('Per Line'!$J$2:$J$4001,$X645))</f>
        <v/>
      </c>
      <c r="I645" s="20" t="str">
        <f aca="false">IF($X645="","",INDEX('Per Line'!$K$2:$K$4001,$X645))</f>
        <v/>
      </c>
      <c r="J645" s="20" t="str">
        <f aca="false">IF($X645="","",INDEX('Per Line'!$L$2:$L$4001,$X645))</f>
        <v/>
      </c>
      <c r="K645" s="20" t="str">
        <f aca="false">IF($X645="","",INDEX('Per Line'!$M$2:$M$4001,$X645))</f>
        <v/>
      </c>
      <c r="L645" s="22" t="str">
        <f aca="false">IF($X645="","",K645*V645/100)</f>
        <v/>
      </c>
      <c r="M645" s="20" t="str">
        <f aca="false">IF($X645="","",INDEX('Per Line'!$Z$2:$Z$4001,$X645))</f>
        <v/>
      </c>
      <c r="N645" s="23" t="str">
        <f aca="false">IF($X645="","",Settings!$C$7)</f>
        <v/>
      </c>
      <c r="O645" s="22" t="str">
        <f aca="false">IF($X645="","",SUMIFS('Per Line'!$Y$2:$Y$4001,'Per Line'!$D$2:$D$4001,$B645,'Per Line'!$AJ$2:$AJ$4001,0))</f>
        <v/>
      </c>
      <c r="P645" s="22" t="str">
        <f aca="false">IF($X645="","",O645*N645)</f>
        <v/>
      </c>
      <c r="Q645" s="23" t="str">
        <f aca="false">IF($X645="","",Settings!$C$6)</f>
        <v/>
      </c>
      <c r="R645" s="22" t="str">
        <f aca="false">IF($X645="","",SUMIFS('Per Line'!$Y$2:$Y$4001,'Per Line'!$D$2:$D$4001,$B645,'Per Line'!$AJ$2:$AJ$4001,1))</f>
        <v/>
      </c>
      <c r="S645" s="22" t="str">
        <f aca="false">IF($X645="","",R645*Q645)</f>
        <v/>
      </c>
      <c r="T645" s="22" t="str">
        <f aca="false">IF($X645="","",S645+P645)</f>
        <v/>
      </c>
      <c r="U645" s="22" t="str">
        <f aca="false">IF($X645="","",V645-T645)</f>
        <v/>
      </c>
      <c r="V645" s="22" t="str">
        <f aca="false">IF($X645="","",O645+R645)</f>
        <v/>
      </c>
      <c r="W645" s="22" t="str">
        <f aca="false">IF($X645="","",U645-L645)</f>
        <v/>
      </c>
      <c r="X645" s="24" t="str">
        <f aca="false">IF(ROWS($X$2:$X645)&lt;=MAX('Per Line'!$AI$2:$AI$4001),MATCH(ROWS($X$2:$X645),'Per Line'!$AI$2:$AI$4001,0),"")</f>
        <v/>
      </c>
    </row>
    <row r="646" customFormat="false" ht="15" hidden="false" customHeight="false" outlineLevel="0" collapsed="false">
      <c r="A646" s="19"/>
      <c r="B646" s="20" t="str">
        <f aca="false">IF($X646="","",INDEX('Per Line'!$D$2:$D$4001,$X646))</f>
        <v/>
      </c>
      <c r="C646" s="20" t="str">
        <f aca="false">IF($X646="","",INDEX('Per Line'!$C$2:$C$4001,$X646))</f>
        <v/>
      </c>
      <c r="D646" s="20" t="str">
        <f aca="false">IF($X646="","",INDEX('Per Line'!$A$2:$A$4001,$X646))</f>
        <v/>
      </c>
      <c r="E646" s="21" t="str">
        <f aca="false">IF($X646="","",INDEX('Per Line'!$F$2:$F$4001,$X646))</f>
        <v/>
      </c>
      <c r="F646" s="20" t="str">
        <f aca="false">IF($X646="","",INDEX('Per Line'!$G$2:$G$4001,$X646))</f>
        <v/>
      </c>
      <c r="G646" s="20" t="str">
        <f aca="false">IF($X646="","",INDEX('Per Line'!$I$2:$I$4001,$X646))</f>
        <v/>
      </c>
      <c r="H646" s="20" t="str">
        <f aca="false">IF($X646="","",INDEX('Per Line'!$J$2:$J$4001,$X646))</f>
        <v/>
      </c>
      <c r="I646" s="20" t="str">
        <f aca="false">IF($X646="","",INDEX('Per Line'!$K$2:$K$4001,$X646))</f>
        <v/>
      </c>
      <c r="J646" s="20" t="str">
        <f aca="false">IF($X646="","",INDEX('Per Line'!$L$2:$L$4001,$X646))</f>
        <v/>
      </c>
      <c r="K646" s="20" t="str">
        <f aca="false">IF($X646="","",INDEX('Per Line'!$M$2:$M$4001,$X646))</f>
        <v/>
      </c>
      <c r="L646" s="22" t="str">
        <f aca="false">IF($X646="","",K646*V646/100)</f>
        <v/>
      </c>
      <c r="M646" s="20" t="str">
        <f aca="false">IF($X646="","",INDEX('Per Line'!$Z$2:$Z$4001,$X646))</f>
        <v/>
      </c>
      <c r="N646" s="23" t="str">
        <f aca="false">IF($X646="","",Settings!$C$7)</f>
        <v/>
      </c>
      <c r="O646" s="22" t="str">
        <f aca="false">IF($X646="","",SUMIFS('Per Line'!$Y$2:$Y$4001,'Per Line'!$D$2:$D$4001,$B646,'Per Line'!$AJ$2:$AJ$4001,0))</f>
        <v/>
      </c>
      <c r="P646" s="22" t="str">
        <f aca="false">IF($X646="","",O646*N646)</f>
        <v/>
      </c>
      <c r="Q646" s="23" t="str">
        <f aca="false">IF($X646="","",Settings!$C$6)</f>
        <v/>
      </c>
      <c r="R646" s="22" t="str">
        <f aca="false">IF($X646="","",SUMIFS('Per Line'!$Y$2:$Y$4001,'Per Line'!$D$2:$D$4001,$B646,'Per Line'!$AJ$2:$AJ$4001,1))</f>
        <v/>
      </c>
      <c r="S646" s="22" t="str">
        <f aca="false">IF($X646="","",R646*Q646)</f>
        <v/>
      </c>
      <c r="T646" s="22" t="str">
        <f aca="false">IF($X646="","",S646+P646)</f>
        <v/>
      </c>
      <c r="U646" s="22" t="str">
        <f aca="false">IF($X646="","",V646-T646)</f>
        <v/>
      </c>
      <c r="V646" s="22" t="str">
        <f aca="false">IF($X646="","",O646+R646)</f>
        <v/>
      </c>
      <c r="W646" s="22" t="str">
        <f aca="false">IF($X646="","",U646-L646)</f>
        <v/>
      </c>
      <c r="X646" s="24" t="str">
        <f aca="false">IF(ROWS($X$2:$X646)&lt;=MAX('Per Line'!$AI$2:$AI$4001),MATCH(ROWS($X$2:$X646),'Per Line'!$AI$2:$AI$4001,0),"")</f>
        <v/>
      </c>
    </row>
    <row r="647" customFormat="false" ht="15" hidden="false" customHeight="false" outlineLevel="0" collapsed="false">
      <c r="A647" s="19"/>
      <c r="B647" s="20" t="str">
        <f aca="false">IF($X647="","",INDEX('Per Line'!$D$2:$D$4001,$X647))</f>
        <v/>
      </c>
      <c r="C647" s="20" t="str">
        <f aca="false">IF($X647="","",INDEX('Per Line'!$C$2:$C$4001,$X647))</f>
        <v/>
      </c>
      <c r="D647" s="20" t="str">
        <f aca="false">IF($X647="","",INDEX('Per Line'!$A$2:$A$4001,$X647))</f>
        <v/>
      </c>
      <c r="E647" s="21" t="str">
        <f aca="false">IF($X647="","",INDEX('Per Line'!$F$2:$F$4001,$X647))</f>
        <v/>
      </c>
      <c r="F647" s="20" t="str">
        <f aca="false">IF($X647="","",INDEX('Per Line'!$G$2:$G$4001,$X647))</f>
        <v/>
      </c>
      <c r="G647" s="20" t="str">
        <f aca="false">IF($X647="","",INDEX('Per Line'!$I$2:$I$4001,$X647))</f>
        <v/>
      </c>
      <c r="H647" s="20" t="str">
        <f aca="false">IF($X647="","",INDEX('Per Line'!$J$2:$J$4001,$X647))</f>
        <v/>
      </c>
      <c r="I647" s="20" t="str">
        <f aca="false">IF($X647="","",INDEX('Per Line'!$K$2:$K$4001,$X647))</f>
        <v/>
      </c>
      <c r="J647" s="20" t="str">
        <f aca="false">IF($X647="","",INDEX('Per Line'!$L$2:$L$4001,$X647))</f>
        <v/>
      </c>
      <c r="K647" s="20" t="str">
        <f aca="false">IF($X647="","",INDEX('Per Line'!$M$2:$M$4001,$X647))</f>
        <v/>
      </c>
      <c r="L647" s="22" t="str">
        <f aca="false">IF($X647="","",K647*V647/100)</f>
        <v/>
      </c>
      <c r="M647" s="20" t="str">
        <f aca="false">IF($X647="","",INDEX('Per Line'!$Z$2:$Z$4001,$X647))</f>
        <v/>
      </c>
      <c r="N647" s="23" t="str">
        <f aca="false">IF($X647="","",Settings!$C$7)</f>
        <v/>
      </c>
      <c r="O647" s="22" t="str">
        <f aca="false">IF($X647="","",SUMIFS('Per Line'!$Y$2:$Y$4001,'Per Line'!$D$2:$D$4001,$B647,'Per Line'!$AJ$2:$AJ$4001,0))</f>
        <v/>
      </c>
      <c r="P647" s="22" t="str">
        <f aca="false">IF($X647="","",O647*N647)</f>
        <v/>
      </c>
      <c r="Q647" s="23" t="str">
        <f aca="false">IF($X647="","",Settings!$C$6)</f>
        <v/>
      </c>
      <c r="R647" s="22" t="str">
        <f aca="false">IF($X647="","",SUMIFS('Per Line'!$Y$2:$Y$4001,'Per Line'!$D$2:$D$4001,$B647,'Per Line'!$AJ$2:$AJ$4001,1))</f>
        <v/>
      </c>
      <c r="S647" s="22" t="str">
        <f aca="false">IF($X647="","",R647*Q647)</f>
        <v/>
      </c>
      <c r="T647" s="22" t="str">
        <f aca="false">IF($X647="","",S647+P647)</f>
        <v/>
      </c>
      <c r="U647" s="22" t="str">
        <f aca="false">IF($X647="","",V647-T647)</f>
        <v/>
      </c>
      <c r="V647" s="22" t="str">
        <f aca="false">IF($X647="","",O647+R647)</f>
        <v/>
      </c>
      <c r="W647" s="22" t="str">
        <f aca="false">IF($X647="","",U647-L647)</f>
        <v/>
      </c>
      <c r="X647" s="24" t="str">
        <f aca="false">IF(ROWS($X$2:$X647)&lt;=MAX('Per Line'!$AI$2:$AI$4001),MATCH(ROWS($X$2:$X647),'Per Line'!$AI$2:$AI$4001,0),"")</f>
        <v/>
      </c>
    </row>
    <row r="648" customFormat="false" ht="15" hidden="false" customHeight="false" outlineLevel="0" collapsed="false">
      <c r="A648" s="19"/>
      <c r="B648" s="20" t="str">
        <f aca="false">IF($X648="","",INDEX('Per Line'!$D$2:$D$4001,$X648))</f>
        <v/>
      </c>
      <c r="C648" s="20" t="str">
        <f aca="false">IF($X648="","",INDEX('Per Line'!$C$2:$C$4001,$X648))</f>
        <v/>
      </c>
      <c r="D648" s="20" t="str">
        <f aca="false">IF($X648="","",INDEX('Per Line'!$A$2:$A$4001,$X648))</f>
        <v/>
      </c>
      <c r="E648" s="21" t="str">
        <f aca="false">IF($X648="","",INDEX('Per Line'!$F$2:$F$4001,$X648))</f>
        <v/>
      </c>
      <c r="F648" s="20" t="str">
        <f aca="false">IF($X648="","",INDEX('Per Line'!$G$2:$G$4001,$X648))</f>
        <v/>
      </c>
      <c r="G648" s="20" t="str">
        <f aca="false">IF($X648="","",INDEX('Per Line'!$I$2:$I$4001,$X648))</f>
        <v/>
      </c>
      <c r="H648" s="20" t="str">
        <f aca="false">IF($X648="","",INDEX('Per Line'!$J$2:$J$4001,$X648))</f>
        <v/>
      </c>
      <c r="I648" s="20" t="str">
        <f aca="false">IF($X648="","",INDEX('Per Line'!$K$2:$K$4001,$X648))</f>
        <v/>
      </c>
      <c r="J648" s="20" t="str">
        <f aca="false">IF($X648="","",INDEX('Per Line'!$L$2:$L$4001,$X648))</f>
        <v/>
      </c>
      <c r="K648" s="20" t="str">
        <f aca="false">IF($X648="","",INDEX('Per Line'!$M$2:$M$4001,$X648))</f>
        <v/>
      </c>
      <c r="L648" s="22" t="str">
        <f aca="false">IF($X648="","",K648*V648/100)</f>
        <v/>
      </c>
      <c r="M648" s="20" t="str">
        <f aca="false">IF($X648="","",INDEX('Per Line'!$Z$2:$Z$4001,$X648))</f>
        <v/>
      </c>
      <c r="N648" s="23" t="str">
        <f aca="false">IF($X648="","",Settings!$C$7)</f>
        <v/>
      </c>
      <c r="O648" s="22" t="str">
        <f aca="false">IF($X648="","",SUMIFS('Per Line'!$Y$2:$Y$4001,'Per Line'!$D$2:$D$4001,$B648,'Per Line'!$AJ$2:$AJ$4001,0))</f>
        <v/>
      </c>
      <c r="P648" s="22" t="str">
        <f aca="false">IF($X648="","",O648*N648)</f>
        <v/>
      </c>
      <c r="Q648" s="23" t="str">
        <f aca="false">IF($X648="","",Settings!$C$6)</f>
        <v/>
      </c>
      <c r="R648" s="22" t="str">
        <f aca="false">IF($X648="","",SUMIFS('Per Line'!$Y$2:$Y$4001,'Per Line'!$D$2:$D$4001,$B648,'Per Line'!$AJ$2:$AJ$4001,1))</f>
        <v/>
      </c>
      <c r="S648" s="22" t="str">
        <f aca="false">IF($X648="","",R648*Q648)</f>
        <v/>
      </c>
      <c r="T648" s="22" t="str">
        <f aca="false">IF($X648="","",S648+P648)</f>
        <v/>
      </c>
      <c r="U648" s="22" t="str">
        <f aca="false">IF($X648="","",V648-T648)</f>
        <v/>
      </c>
      <c r="V648" s="22" t="str">
        <f aca="false">IF($X648="","",O648+R648)</f>
        <v/>
      </c>
      <c r="W648" s="22" t="str">
        <f aca="false">IF($X648="","",U648-L648)</f>
        <v/>
      </c>
      <c r="X648" s="24" t="str">
        <f aca="false">IF(ROWS($X$2:$X648)&lt;=MAX('Per Line'!$AI$2:$AI$4001),MATCH(ROWS($X$2:$X648),'Per Line'!$AI$2:$AI$4001,0),"")</f>
        <v/>
      </c>
    </row>
    <row r="649" customFormat="false" ht="15" hidden="false" customHeight="false" outlineLevel="0" collapsed="false">
      <c r="A649" s="19"/>
      <c r="B649" s="20" t="str">
        <f aca="false">IF($X649="","",INDEX('Per Line'!$D$2:$D$4001,$X649))</f>
        <v/>
      </c>
      <c r="C649" s="20" t="str">
        <f aca="false">IF($X649="","",INDEX('Per Line'!$C$2:$C$4001,$X649))</f>
        <v/>
      </c>
      <c r="D649" s="20" t="str">
        <f aca="false">IF($X649="","",INDEX('Per Line'!$A$2:$A$4001,$X649))</f>
        <v/>
      </c>
      <c r="E649" s="21" t="str">
        <f aca="false">IF($X649="","",INDEX('Per Line'!$F$2:$F$4001,$X649))</f>
        <v/>
      </c>
      <c r="F649" s="20" t="str">
        <f aca="false">IF($X649="","",INDEX('Per Line'!$G$2:$G$4001,$X649))</f>
        <v/>
      </c>
      <c r="G649" s="20" t="str">
        <f aca="false">IF($X649="","",INDEX('Per Line'!$I$2:$I$4001,$X649))</f>
        <v/>
      </c>
      <c r="H649" s="20" t="str">
        <f aca="false">IF($X649="","",INDEX('Per Line'!$J$2:$J$4001,$X649))</f>
        <v/>
      </c>
      <c r="I649" s="20" t="str">
        <f aca="false">IF($X649="","",INDEX('Per Line'!$K$2:$K$4001,$X649))</f>
        <v/>
      </c>
      <c r="J649" s="20" t="str">
        <f aca="false">IF($X649="","",INDEX('Per Line'!$L$2:$L$4001,$X649))</f>
        <v/>
      </c>
      <c r="K649" s="20" t="str">
        <f aca="false">IF($X649="","",INDEX('Per Line'!$M$2:$M$4001,$X649))</f>
        <v/>
      </c>
      <c r="L649" s="22" t="str">
        <f aca="false">IF($X649="","",K649*V649/100)</f>
        <v/>
      </c>
      <c r="M649" s="20" t="str">
        <f aca="false">IF($X649="","",INDEX('Per Line'!$Z$2:$Z$4001,$X649))</f>
        <v/>
      </c>
      <c r="N649" s="23" t="str">
        <f aca="false">IF($X649="","",Settings!$C$7)</f>
        <v/>
      </c>
      <c r="O649" s="22" t="str">
        <f aca="false">IF($X649="","",SUMIFS('Per Line'!$Y$2:$Y$4001,'Per Line'!$D$2:$D$4001,$B649,'Per Line'!$AJ$2:$AJ$4001,0))</f>
        <v/>
      </c>
      <c r="P649" s="22" t="str">
        <f aca="false">IF($X649="","",O649*N649)</f>
        <v/>
      </c>
      <c r="Q649" s="23" t="str">
        <f aca="false">IF($X649="","",Settings!$C$6)</f>
        <v/>
      </c>
      <c r="R649" s="22" t="str">
        <f aca="false">IF($X649="","",SUMIFS('Per Line'!$Y$2:$Y$4001,'Per Line'!$D$2:$D$4001,$B649,'Per Line'!$AJ$2:$AJ$4001,1))</f>
        <v/>
      </c>
      <c r="S649" s="22" t="str">
        <f aca="false">IF($X649="","",R649*Q649)</f>
        <v/>
      </c>
      <c r="T649" s="22" t="str">
        <f aca="false">IF($X649="","",S649+P649)</f>
        <v/>
      </c>
      <c r="U649" s="22" t="str">
        <f aca="false">IF($X649="","",V649-T649)</f>
        <v/>
      </c>
      <c r="V649" s="22" t="str">
        <f aca="false">IF($X649="","",O649+R649)</f>
        <v/>
      </c>
      <c r="W649" s="22" t="str">
        <f aca="false">IF($X649="","",U649-L649)</f>
        <v/>
      </c>
      <c r="X649" s="24" t="str">
        <f aca="false">IF(ROWS($X$2:$X649)&lt;=MAX('Per Line'!$AI$2:$AI$4001),MATCH(ROWS($X$2:$X649),'Per Line'!$AI$2:$AI$4001,0),"")</f>
        <v/>
      </c>
    </row>
    <row r="650" customFormat="false" ht="15" hidden="false" customHeight="false" outlineLevel="0" collapsed="false">
      <c r="A650" s="19"/>
      <c r="B650" s="20" t="str">
        <f aca="false">IF($X650="","",INDEX('Per Line'!$D$2:$D$4001,$X650))</f>
        <v/>
      </c>
      <c r="C650" s="20" t="str">
        <f aca="false">IF($X650="","",INDEX('Per Line'!$C$2:$C$4001,$X650))</f>
        <v/>
      </c>
      <c r="D650" s="20" t="str">
        <f aca="false">IF($X650="","",INDEX('Per Line'!$A$2:$A$4001,$X650))</f>
        <v/>
      </c>
      <c r="E650" s="21" t="str">
        <f aca="false">IF($X650="","",INDEX('Per Line'!$F$2:$F$4001,$X650))</f>
        <v/>
      </c>
      <c r="F650" s="20" t="str">
        <f aca="false">IF($X650="","",INDEX('Per Line'!$G$2:$G$4001,$X650))</f>
        <v/>
      </c>
      <c r="G650" s="20" t="str">
        <f aca="false">IF($X650="","",INDEX('Per Line'!$I$2:$I$4001,$X650))</f>
        <v/>
      </c>
      <c r="H650" s="20" t="str">
        <f aca="false">IF($X650="","",INDEX('Per Line'!$J$2:$J$4001,$X650))</f>
        <v/>
      </c>
      <c r="I650" s="20" t="str">
        <f aca="false">IF($X650="","",INDEX('Per Line'!$K$2:$K$4001,$X650))</f>
        <v/>
      </c>
      <c r="J650" s="20" t="str">
        <f aca="false">IF($X650="","",INDEX('Per Line'!$L$2:$L$4001,$X650))</f>
        <v/>
      </c>
      <c r="K650" s="20" t="str">
        <f aca="false">IF($X650="","",INDEX('Per Line'!$M$2:$M$4001,$X650))</f>
        <v/>
      </c>
      <c r="L650" s="22" t="str">
        <f aca="false">IF($X650="","",K650*V650/100)</f>
        <v/>
      </c>
      <c r="M650" s="20" t="str">
        <f aca="false">IF($X650="","",INDEX('Per Line'!$Z$2:$Z$4001,$X650))</f>
        <v/>
      </c>
      <c r="N650" s="23" t="str">
        <f aca="false">IF($X650="","",Settings!$C$7)</f>
        <v/>
      </c>
      <c r="O650" s="22" t="str">
        <f aca="false">IF($X650="","",SUMIFS('Per Line'!$Y$2:$Y$4001,'Per Line'!$D$2:$D$4001,$B650,'Per Line'!$AJ$2:$AJ$4001,0))</f>
        <v/>
      </c>
      <c r="P650" s="22" t="str">
        <f aca="false">IF($X650="","",O650*N650)</f>
        <v/>
      </c>
      <c r="Q650" s="23" t="str">
        <f aca="false">IF($X650="","",Settings!$C$6)</f>
        <v/>
      </c>
      <c r="R650" s="22" t="str">
        <f aca="false">IF($X650="","",SUMIFS('Per Line'!$Y$2:$Y$4001,'Per Line'!$D$2:$D$4001,$B650,'Per Line'!$AJ$2:$AJ$4001,1))</f>
        <v/>
      </c>
      <c r="S650" s="22" t="str">
        <f aca="false">IF($X650="","",R650*Q650)</f>
        <v/>
      </c>
      <c r="T650" s="22" t="str">
        <f aca="false">IF($X650="","",S650+P650)</f>
        <v/>
      </c>
      <c r="U650" s="22" t="str">
        <f aca="false">IF($X650="","",V650-T650)</f>
        <v/>
      </c>
      <c r="V650" s="22" t="str">
        <f aca="false">IF($X650="","",O650+R650)</f>
        <v/>
      </c>
      <c r="W650" s="22" t="str">
        <f aca="false">IF($X650="","",U650-L650)</f>
        <v/>
      </c>
      <c r="X650" s="24" t="str">
        <f aca="false">IF(ROWS($X$2:$X650)&lt;=MAX('Per Line'!$AI$2:$AI$4001),MATCH(ROWS($X$2:$X650),'Per Line'!$AI$2:$AI$4001,0),"")</f>
        <v/>
      </c>
    </row>
    <row r="651" customFormat="false" ht="15" hidden="false" customHeight="false" outlineLevel="0" collapsed="false">
      <c r="A651" s="19"/>
      <c r="B651" s="20" t="str">
        <f aca="false">IF($X651="","",INDEX('Per Line'!$D$2:$D$4001,$X651))</f>
        <v/>
      </c>
      <c r="C651" s="20" t="str">
        <f aca="false">IF($X651="","",INDEX('Per Line'!$C$2:$C$4001,$X651))</f>
        <v/>
      </c>
      <c r="D651" s="20" t="str">
        <f aca="false">IF($X651="","",INDEX('Per Line'!$A$2:$A$4001,$X651))</f>
        <v/>
      </c>
      <c r="E651" s="21" t="str">
        <f aca="false">IF($X651="","",INDEX('Per Line'!$F$2:$F$4001,$X651))</f>
        <v/>
      </c>
      <c r="F651" s="20" t="str">
        <f aca="false">IF($X651="","",INDEX('Per Line'!$G$2:$G$4001,$X651))</f>
        <v/>
      </c>
      <c r="G651" s="20" t="str">
        <f aca="false">IF($X651="","",INDEX('Per Line'!$I$2:$I$4001,$X651))</f>
        <v/>
      </c>
      <c r="H651" s="20" t="str">
        <f aca="false">IF($X651="","",INDEX('Per Line'!$J$2:$J$4001,$X651))</f>
        <v/>
      </c>
      <c r="I651" s="20" t="str">
        <f aca="false">IF($X651="","",INDEX('Per Line'!$K$2:$K$4001,$X651))</f>
        <v/>
      </c>
      <c r="J651" s="20" t="str">
        <f aca="false">IF($X651="","",INDEX('Per Line'!$L$2:$L$4001,$X651))</f>
        <v/>
      </c>
      <c r="K651" s="20" t="str">
        <f aca="false">IF($X651="","",INDEX('Per Line'!$M$2:$M$4001,$X651))</f>
        <v/>
      </c>
      <c r="L651" s="22" t="str">
        <f aca="false">IF($X651="","",K651*V651/100)</f>
        <v/>
      </c>
      <c r="M651" s="20" t="str">
        <f aca="false">IF($X651="","",INDEX('Per Line'!$Z$2:$Z$4001,$X651))</f>
        <v/>
      </c>
      <c r="N651" s="23" t="str">
        <f aca="false">IF($X651="","",Settings!$C$7)</f>
        <v/>
      </c>
      <c r="O651" s="22" t="str">
        <f aca="false">IF($X651="","",SUMIFS('Per Line'!$Y$2:$Y$4001,'Per Line'!$D$2:$D$4001,$B651,'Per Line'!$AJ$2:$AJ$4001,0))</f>
        <v/>
      </c>
      <c r="P651" s="22" t="str">
        <f aca="false">IF($X651="","",O651*N651)</f>
        <v/>
      </c>
      <c r="Q651" s="23" t="str">
        <f aca="false">IF($X651="","",Settings!$C$6)</f>
        <v/>
      </c>
      <c r="R651" s="22" t="str">
        <f aca="false">IF($X651="","",SUMIFS('Per Line'!$Y$2:$Y$4001,'Per Line'!$D$2:$D$4001,$B651,'Per Line'!$AJ$2:$AJ$4001,1))</f>
        <v/>
      </c>
      <c r="S651" s="22" t="str">
        <f aca="false">IF($X651="","",R651*Q651)</f>
        <v/>
      </c>
      <c r="T651" s="22" t="str">
        <f aca="false">IF($X651="","",S651+P651)</f>
        <v/>
      </c>
      <c r="U651" s="22" t="str">
        <f aca="false">IF($X651="","",V651-T651)</f>
        <v/>
      </c>
      <c r="V651" s="22" t="str">
        <f aca="false">IF($X651="","",O651+R651)</f>
        <v/>
      </c>
      <c r="W651" s="22" t="str">
        <f aca="false">IF($X651="","",U651-L651)</f>
        <v/>
      </c>
      <c r="X651" s="24" t="str">
        <f aca="false">IF(ROWS($X$2:$X651)&lt;=MAX('Per Line'!$AI$2:$AI$4001),MATCH(ROWS($X$2:$X651),'Per Line'!$AI$2:$AI$4001,0),"")</f>
        <v/>
      </c>
    </row>
    <row r="652" customFormat="false" ht="15" hidden="false" customHeight="false" outlineLevel="0" collapsed="false">
      <c r="A652" s="19"/>
      <c r="B652" s="20" t="str">
        <f aca="false">IF($X652="","",INDEX('Per Line'!$D$2:$D$4001,$X652))</f>
        <v/>
      </c>
      <c r="C652" s="20" t="str">
        <f aca="false">IF($X652="","",INDEX('Per Line'!$C$2:$C$4001,$X652))</f>
        <v/>
      </c>
      <c r="D652" s="20" t="str">
        <f aca="false">IF($X652="","",INDEX('Per Line'!$A$2:$A$4001,$X652))</f>
        <v/>
      </c>
      <c r="E652" s="21" t="str">
        <f aca="false">IF($X652="","",INDEX('Per Line'!$F$2:$F$4001,$X652))</f>
        <v/>
      </c>
      <c r="F652" s="20" t="str">
        <f aca="false">IF($X652="","",INDEX('Per Line'!$G$2:$G$4001,$X652))</f>
        <v/>
      </c>
      <c r="G652" s="20" t="str">
        <f aca="false">IF($X652="","",INDEX('Per Line'!$I$2:$I$4001,$X652))</f>
        <v/>
      </c>
      <c r="H652" s="20" t="str">
        <f aca="false">IF($X652="","",INDEX('Per Line'!$J$2:$J$4001,$X652))</f>
        <v/>
      </c>
      <c r="I652" s="20" t="str">
        <f aca="false">IF($X652="","",INDEX('Per Line'!$K$2:$K$4001,$X652))</f>
        <v/>
      </c>
      <c r="J652" s="20" t="str">
        <f aca="false">IF($X652="","",INDEX('Per Line'!$L$2:$L$4001,$X652))</f>
        <v/>
      </c>
      <c r="K652" s="20" t="str">
        <f aca="false">IF($X652="","",INDEX('Per Line'!$M$2:$M$4001,$X652))</f>
        <v/>
      </c>
      <c r="L652" s="22" t="str">
        <f aca="false">IF($X652="","",K652*V652/100)</f>
        <v/>
      </c>
      <c r="M652" s="20" t="str">
        <f aca="false">IF($X652="","",INDEX('Per Line'!$Z$2:$Z$4001,$X652))</f>
        <v/>
      </c>
      <c r="N652" s="23" t="str">
        <f aca="false">IF($X652="","",Settings!$C$7)</f>
        <v/>
      </c>
      <c r="O652" s="22" t="str">
        <f aca="false">IF($X652="","",SUMIFS('Per Line'!$Y$2:$Y$4001,'Per Line'!$D$2:$D$4001,$B652,'Per Line'!$AJ$2:$AJ$4001,0))</f>
        <v/>
      </c>
      <c r="P652" s="22" t="str">
        <f aca="false">IF($X652="","",O652*N652)</f>
        <v/>
      </c>
      <c r="Q652" s="23" t="str">
        <f aca="false">IF($X652="","",Settings!$C$6)</f>
        <v/>
      </c>
      <c r="R652" s="22" t="str">
        <f aca="false">IF($X652="","",SUMIFS('Per Line'!$Y$2:$Y$4001,'Per Line'!$D$2:$D$4001,$B652,'Per Line'!$AJ$2:$AJ$4001,1))</f>
        <v/>
      </c>
      <c r="S652" s="22" t="str">
        <f aca="false">IF($X652="","",R652*Q652)</f>
        <v/>
      </c>
      <c r="T652" s="22" t="str">
        <f aca="false">IF($X652="","",S652+P652)</f>
        <v/>
      </c>
      <c r="U652" s="22" t="str">
        <f aca="false">IF($X652="","",V652-T652)</f>
        <v/>
      </c>
      <c r="V652" s="22" t="str">
        <f aca="false">IF($X652="","",O652+R652)</f>
        <v/>
      </c>
      <c r="W652" s="22" t="str">
        <f aca="false">IF($X652="","",U652-L652)</f>
        <v/>
      </c>
      <c r="X652" s="24" t="str">
        <f aca="false">IF(ROWS($X$2:$X652)&lt;=MAX('Per Line'!$AI$2:$AI$4001),MATCH(ROWS($X$2:$X652),'Per Line'!$AI$2:$AI$4001,0),"")</f>
        <v/>
      </c>
    </row>
    <row r="653" customFormat="false" ht="15" hidden="false" customHeight="false" outlineLevel="0" collapsed="false">
      <c r="A653" s="19"/>
      <c r="B653" s="20" t="str">
        <f aca="false">IF($X653="","",INDEX('Per Line'!$D$2:$D$4001,$X653))</f>
        <v/>
      </c>
      <c r="C653" s="20" t="str">
        <f aca="false">IF($X653="","",INDEX('Per Line'!$C$2:$C$4001,$X653))</f>
        <v/>
      </c>
      <c r="D653" s="20" t="str">
        <f aca="false">IF($X653="","",INDEX('Per Line'!$A$2:$A$4001,$X653))</f>
        <v/>
      </c>
      <c r="E653" s="21" t="str">
        <f aca="false">IF($X653="","",INDEX('Per Line'!$F$2:$F$4001,$X653))</f>
        <v/>
      </c>
      <c r="F653" s="20" t="str">
        <f aca="false">IF($X653="","",INDEX('Per Line'!$G$2:$G$4001,$X653))</f>
        <v/>
      </c>
      <c r="G653" s="20" t="str">
        <f aca="false">IF($X653="","",INDEX('Per Line'!$I$2:$I$4001,$X653))</f>
        <v/>
      </c>
      <c r="H653" s="20" t="str">
        <f aca="false">IF($X653="","",INDEX('Per Line'!$J$2:$J$4001,$X653))</f>
        <v/>
      </c>
      <c r="I653" s="20" t="str">
        <f aca="false">IF($X653="","",INDEX('Per Line'!$K$2:$K$4001,$X653))</f>
        <v/>
      </c>
      <c r="J653" s="20" t="str">
        <f aca="false">IF($X653="","",INDEX('Per Line'!$L$2:$L$4001,$X653))</f>
        <v/>
      </c>
      <c r="K653" s="20" t="str">
        <f aca="false">IF($X653="","",INDEX('Per Line'!$M$2:$M$4001,$X653))</f>
        <v/>
      </c>
      <c r="L653" s="22" t="str">
        <f aca="false">IF($X653="","",K653*V653/100)</f>
        <v/>
      </c>
      <c r="M653" s="20" t="str">
        <f aca="false">IF($X653="","",INDEX('Per Line'!$Z$2:$Z$4001,$X653))</f>
        <v/>
      </c>
      <c r="N653" s="23" t="str">
        <f aca="false">IF($X653="","",Settings!$C$7)</f>
        <v/>
      </c>
      <c r="O653" s="22" t="str">
        <f aca="false">IF($X653="","",SUMIFS('Per Line'!$Y$2:$Y$4001,'Per Line'!$D$2:$D$4001,$B653,'Per Line'!$AJ$2:$AJ$4001,0))</f>
        <v/>
      </c>
      <c r="P653" s="22" t="str">
        <f aca="false">IF($X653="","",O653*N653)</f>
        <v/>
      </c>
      <c r="Q653" s="23" t="str">
        <f aca="false">IF($X653="","",Settings!$C$6)</f>
        <v/>
      </c>
      <c r="R653" s="22" t="str">
        <f aca="false">IF($X653="","",SUMIFS('Per Line'!$Y$2:$Y$4001,'Per Line'!$D$2:$D$4001,$B653,'Per Line'!$AJ$2:$AJ$4001,1))</f>
        <v/>
      </c>
      <c r="S653" s="22" t="str">
        <f aca="false">IF($X653="","",R653*Q653)</f>
        <v/>
      </c>
      <c r="T653" s="22" t="str">
        <f aca="false">IF($X653="","",S653+P653)</f>
        <v/>
      </c>
      <c r="U653" s="22" t="str">
        <f aca="false">IF($X653="","",V653-T653)</f>
        <v/>
      </c>
      <c r="V653" s="22" t="str">
        <f aca="false">IF($X653="","",O653+R653)</f>
        <v/>
      </c>
      <c r="W653" s="22" t="str">
        <f aca="false">IF($X653="","",U653-L653)</f>
        <v/>
      </c>
      <c r="X653" s="24" t="str">
        <f aca="false">IF(ROWS($X$2:$X653)&lt;=MAX('Per Line'!$AI$2:$AI$4001),MATCH(ROWS($X$2:$X653),'Per Line'!$AI$2:$AI$4001,0),"")</f>
        <v/>
      </c>
    </row>
    <row r="654" customFormat="false" ht="15" hidden="false" customHeight="false" outlineLevel="0" collapsed="false">
      <c r="A654" s="19"/>
      <c r="B654" s="20" t="str">
        <f aca="false">IF($X654="","",INDEX('Per Line'!$D$2:$D$4001,$X654))</f>
        <v/>
      </c>
      <c r="C654" s="20" t="str">
        <f aca="false">IF($X654="","",INDEX('Per Line'!$C$2:$C$4001,$X654))</f>
        <v/>
      </c>
      <c r="D654" s="20" t="str">
        <f aca="false">IF($X654="","",INDEX('Per Line'!$A$2:$A$4001,$X654))</f>
        <v/>
      </c>
      <c r="E654" s="21" t="str">
        <f aca="false">IF($X654="","",INDEX('Per Line'!$F$2:$F$4001,$X654))</f>
        <v/>
      </c>
      <c r="F654" s="20" t="str">
        <f aca="false">IF($X654="","",INDEX('Per Line'!$G$2:$G$4001,$X654))</f>
        <v/>
      </c>
      <c r="G654" s="20" t="str">
        <f aca="false">IF($X654="","",INDEX('Per Line'!$I$2:$I$4001,$X654))</f>
        <v/>
      </c>
      <c r="H654" s="20" t="str">
        <f aca="false">IF($X654="","",INDEX('Per Line'!$J$2:$J$4001,$X654))</f>
        <v/>
      </c>
      <c r="I654" s="20" t="str">
        <f aca="false">IF($X654="","",INDEX('Per Line'!$K$2:$K$4001,$X654))</f>
        <v/>
      </c>
      <c r="J654" s="20" t="str">
        <f aca="false">IF($X654="","",INDEX('Per Line'!$L$2:$L$4001,$X654))</f>
        <v/>
      </c>
      <c r="K654" s="20" t="str">
        <f aca="false">IF($X654="","",INDEX('Per Line'!$M$2:$M$4001,$X654))</f>
        <v/>
      </c>
      <c r="L654" s="22" t="str">
        <f aca="false">IF($X654="","",K654*V654/100)</f>
        <v/>
      </c>
      <c r="M654" s="20" t="str">
        <f aca="false">IF($X654="","",INDEX('Per Line'!$Z$2:$Z$4001,$X654))</f>
        <v/>
      </c>
      <c r="N654" s="23" t="str">
        <f aca="false">IF($X654="","",Settings!$C$7)</f>
        <v/>
      </c>
      <c r="O654" s="22" t="str">
        <f aca="false">IF($X654="","",SUMIFS('Per Line'!$Y$2:$Y$4001,'Per Line'!$D$2:$D$4001,$B654,'Per Line'!$AJ$2:$AJ$4001,0))</f>
        <v/>
      </c>
      <c r="P654" s="22" t="str">
        <f aca="false">IF($X654="","",O654*N654)</f>
        <v/>
      </c>
      <c r="Q654" s="23" t="str">
        <f aca="false">IF($X654="","",Settings!$C$6)</f>
        <v/>
      </c>
      <c r="R654" s="22" t="str">
        <f aca="false">IF($X654="","",SUMIFS('Per Line'!$Y$2:$Y$4001,'Per Line'!$D$2:$D$4001,$B654,'Per Line'!$AJ$2:$AJ$4001,1))</f>
        <v/>
      </c>
      <c r="S654" s="22" t="str">
        <f aca="false">IF($X654="","",R654*Q654)</f>
        <v/>
      </c>
      <c r="T654" s="22" t="str">
        <f aca="false">IF($X654="","",S654+P654)</f>
        <v/>
      </c>
      <c r="U654" s="22" t="str">
        <f aca="false">IF($X654="","",V654-T654)</f>
        <v/>
      </c>
      <c r="V654" s="22" t="str">
        <f aca="false">IF($X654="","",O654+R654)</f>
        <v/>
      </c>
      <c r="W654" s="22" t="str">
        <f aca="false">IF($X654="","",U654-L654)</f>
        <v/>
      </c>
      <c r="X654" s="24" t="str">
        <f aca="false">IF(ROWS($X$2:$X654)&lt;=MAX('Per Line'!$AI$2:$AI$4001),MATCH(ROWS($X$2:$X654),'Per Line'!$AI$2:$AI$4001,0),"")</f>
        <v/>
      </c>
    </row>
    <row r="655" customFormat="false" ht="15" hidden="false" customHeight="false" outlineLevel="0" collapsed="false">
      <c r="A655" s="19"/>
      <c r="B655" s="20" t="str">
        <f aca="false">IF($X655="","",INDEX('Per Line'!$D$2:$D$4001,$X655))</f>
        <v/>
      </c>
      <c r="C655" s="20" t="str">
        <f aca="false">IF($X655="","",INDEX('Per Line'!$C$2:$C$4001,$X655))</f>
        <v/>
      </c>
      <c r="D655" s="20" t="str">
        <f aca="false">IF($X655="","",INDEX('Per Line'!$A$2:$A$4001,$X655))</f>
        <v/>
      </c>
      <c r="E655" s="21" t="str">
        <f aca="false">IF($X655="","",INDEX('Per Line'!$F$2:$F$4001,$X655))</f>
        <v/>
      </c>
      <c r="F655" s="20" t="str">
        <f aca="false">IF($X655="","",INDEX('Per Line'!$G$2:$G$4001,$X655))</f>
        <v/>
      </c>
      <c r="G655" s="20" t="str">
        <f aca="false">IF($X655="","",INDEX('Per Line'!$I$2:$I$4001,$X655))</f>
        <v/>
      </c>
      <c r="H655" s="20" t="str">
        <f aca="false">IF($X655="","",INDEX('Per Line'!$J$2:$J$4001,$X655))</f>
        <v/>
      </c>
      <c r="I655" s="20" t="str">
        <f aca="false">IF($X655="","",INDEX('Per Line'!$K$2:$K$4001,$X655))</f>
        <v/>
      </c>
      <c r="J655" s="20" t="str">
        <f aca="false">IF($X655="","",INDEX('Per Line'!$L$2:$L$4001,$X655))</f>
        <v/>
      </c>
      <c r="K655" s="20" t="str">
        <f aca="false">IF($X655="","",INDEX('Per Line'!$M$2:$M$4001,$X655))</f>
        <v/>
      </c>
      <c r="L655" s="22" t="str">
        <f aca="false">IF($X655="","",K655*V655/100)</f>
        <v/>
      </c>
      <c r="M655" s="20" t="str">
        <f aca="false">IF($X655="","",INDEX('Per Line'!$Z$2:$Z$4001,$X655))</f>
        <v/>
      </c>
      <c r="N655" s="23" t="str">
        <f aca="false">IF($X655="","",Settings!$C$7)</f>
        <v/>
      </c>
      <c r="O655" s="22" t="str">
        <f aca="false">IF($X655="","",SUMIFS('Per Line'!$Y$2:$Y$4001,'Per Line'!$D$2:$D$4001,$B655,'Per Line'!$AJ$2:$AJ$4001,0))</f>
        <v/>
      </c>
      <c r="P655" s="22" t="str">
        <f aca="false">IF($X655="","",O655*N655)</f>
        <v/>
      </c>
      <c r="Q655" s="23" t="str">
        <f aca="false">IF($X655="","",Settings!$C$6)</f>
        <v/>
      </c>
      <c r="R655" s="22" t="str">
        <f aca="false">IF($X655="","",SUMIFS('Per Line'!$Y$2:$Y$4001,'Per Line'!$D$2:$D$4001,$B655,'Per Line'!$AJ$2:$AJ$4001,1))</f>
        <v/>
      </c>
      <c r="S655" s="22" t="str">
        <f aca="false">IF($X655="","",R655*Q655)</f>
        <v/>
      </c>
      <c r="T655" s="22" t="str">
        <f aca="false">IF($X655="","",S655+P655)</f>
        <v/>
      </c>
      <c r="U655" s="22" t="str">
        <f aca="false">IF($X655="","",V655-T655)</f>
        <v/>
      </c>
      <c r="V655" s="22" t="str">
        <f aca="false">IF($X655="","",O655+R655)</f>
        <v/>
      </c>
      <c r="W655" s="22" t="str">
        <f aca="false">IF($X655="","",U655-L655)</f>
        <v/>
      </c>
      <c r="X655" s="24" t="str">
        <f aca="false">IF(ROWS($X$2:$X655)&lt;=MAX('Per Line'!$AI$2:$AI$4001),MATCH(ROWS($X$2:$X655),'Per Line'!$AI$2:$AI$4001,0),"")</f>
        <v/>
      </c>
    </row>
    <row r="656" customFormat="false" ht="15" hidden="false" customHeight="false" outlineLevel="0" collapsed="false">
      <c r="A656" s="19"/>
      <c r="B656" s="20" t="str">
        <f aca="false">IF($X656="","",INDEX('Per Line'!$D$2:$D$4001,$X656))</f>
        <v/>
      </c>
      <c r="C656" s="20" t="str">
        <f aca="false">IF($X656="","",INDEX('Per Line'!$C$2:$C$4001,$X656))</f>
        <v/>
      </c>
      <c r="D656" s="20" t="str">
        <f aca="false">IF($X656="","",INDEX('Per Line'!$A$2:$A$4001,$X656))</f>
        <v/>
      </c>
      <c r="E656" s="21" t="str">
        <f aca="false">IF($X656="","",INDEX('Per Line'!$F$2:$F$4001,$X656))</f>
        <v/>
      </c>
      <c r="F656" s="20" t="str">
        <f aca="false">IF($X656="","",INDEX('Per Line'!$G$2:$G$4001,$X656))</f>
        <v/>
      </c>
      <c r="G656" s="20" t="str">
        <f aca="false">IF($X656="","",INDEX('Per Line'!$I$2:$I$4001,$X656))</f>
        <v/>
      </c>
      <c r="H656" s="20" t="str">
        <f aca="false">IF($X656="","",INDEX('Per Line'!$J$2:$J$4001,$X656))</f>
        <v/>
      </c>
      <c r="I656" s="20" t="str">
        <f aca="false">IF($X656="","",INDEX('Per Line'!$K$2:$K$4001,$X656))</f>
        <v/>
      </c>
      <c r="J656" s="20" t="str">
        <f aca="false">IF($X656="","",INDEX('Per Line'!$L$2:$L$4001,$X656))</f>
        <v/>
      </c>
      <c r="K656" s="20" t="str">
        <f aca="false">IF($X656="","",INDEX('Per Line'!$M$2:$M$4001,$X656))</f>
        <v/>
      </c>
      <c r="L656" s="22" t="str">
        <f aca="false">IF($X656="","",K656*V656/100)</f>
        <v/>
      </c>
      <c r="M656" s="20" t="str">
        <f aca="false">IF($X656="","",INDEX('Per Line'!$Z$2:$Z$4001,$X656))</f>
        <v/>
      </c>
      <c r="N656" s="23" t="str">
        <f aca="false">IF($X656="","",Settings!$C$7)</f>
        <v/>
      </c>
      <c r="O656" s="22" t="str">
        <f aca="false">IF($X656="","",SUMIFS('Per Line'!$Y$2:$Y$4001,'Per Line'!$D$2:$D$4001,$B656,'Per Line'!$AJ$2:$AJ$4001,0))</f>
        <v/>
      </c>
      <c r="P656" s="22" t="str">
        <f aca="false">IF($X656="","",O656*N656)</f>
        <v/>
      </c>
      <c r="Q656" s="23" t="str">
        <f aca="false">IF($X656="","",Settings!$C$6)</f>
        <v/>
      </c>
      <c r="R656" s="22" t="str">
        <f aca="false">IF($X656="","",SUMIFS('Per Line'!$Y$2:$Y$4001,'Per Line'!$D$2:$D$4001,$B656,'Per Line'!$AJ$2:$AJ$4001,1))</f>
        <v/>
      </c>
      <c r="S656" s="22" t="str">
        <f aca="false">IF($X656="","",R656*Q656)</f>
        <v/>
      </c>
      <c r="T656" s="22" t="str">
        <f aca="false">IF($X656="","",S656+P656)</f>
        <v/>
      </c>
      <c r="U656" s="22" t="str">
        <f aca="false">IF($X656="","",V656-T656)</f>
        <v/>
      </c>
      <c r="V656" s="22" t="str">
        <f aca="false">IF($X656="","",O656+R656)</f>
        <v/>
      </c>
      <c r="W656" s="22" t="str">
        <f aca="false">IF($X656="","",U656-L656)</f>
        <v/>
      </c>
      <c r="X656" s="24" t="str">
        <f aca="false">IF(ROWS($X$2:$X656)&lt;=MAX('Per Line'!$AI$2:$AI$4001),MATCH(ROWS($X$2:$X656),'Per Line'!$AI$2:$AI$4001,0),"")</f>
        <v/>
      </c>
    </row>
    <row r="657" customFormat="false" ht="15" hidden="false" customHeight="false" outlineLevel="0" collapsed="false">
      <c r="A657" s="19"/>
      <c r="B657" s="20" t="str">
        <f aca="false">IF($X657="","",INDEX('Per Line'!$D$2:$D$4001,$X657))</f>
        <v/>
      </c>
      <c r="C657" s="20" t="str">
        <f aca="false">IF($X657="","",INDEX('Per Line'!$C$2:$C$4001,$X657))</f>
        <v/>
      </c>
      <c r="D657" s="20" t="str">
        <f aca="false">IF($X657="","",INDEX('Per Line'!$A$2:$A$4001,$X657))</f>
        <v/>
      </c>
      <c r="E657" s="21" t="str">
        <f aca="false">IF($X657="","",INDEX('Per Line'!$F$2:$F$4001,$X657))</f>
        <v/>
      </c>
      <c r="F657" s="20" t="str">
        <f aca="false">IF($X657="","",INDEX('Per Line'!$G$2:$G$4001,$X657))</f>
        <v/>
      </c>
      <c r="G657" s="20" t="str">
        <f aca="false">IF($X657="","",INDEX('Per Line'!$I$2:$I$4001,$X657))</f>
        <v/>
      </c>
      <c r="H657" s="20" t="str">
        <f aca="false">IF($X657="","",INDEX('Per Line'!$J$2:$J$4001,$X657))</f>
        <v/>
      </c>
      <c r="I657" s="20" t="str">
        <f aca="false">IF($X657="","",INDEX('Per Line'!$K$2:$K$4001,$X657))</f>
        <v/>
      </c>
      <c r="J657" s="20" t="str">
        <f aca="false">IF($X657="","",INDEX('Per Line'!$L$2:$L$4001,$X657))</f>
        <v/>
      </c>
      <c r="K657" s="20" t="str">
        <f aca="false">IF($X657="","",INDEX('Per Line'!$M$2:$M$4001,$X657))</f>
        <v/>
      </c>
      <c r="L657" s="22" t="str">
        <f aca="false">IF($X657="","",K657*V657/100)</f>
        <v/>
      </c>
      <c r="M657" s="20" t="str">
        <f aca="false">IF($X657="","",INDEX('Per Line'!$Z$2:$Z$4001,$X657))</f>
        <v/>
      </c>
      <c r="N657" s="23" t="str">
        <f aca="false">IF($X657="","",Settings!$C$7)</f>
        <v/>
      </c>
      <c r="O657" s="22" t="str">
        <f aca="false">IF($X657="","",SUMIFS('Per Line'!$Y$2:$Y$4001,'Per Line'!$D$2:$D$4001,$B657,'Per Line'!$AJ$2:$AJ$4001,0))</f>
        <v/>
      </c>
      <c r="P657" s="22" t="str">
        <f aca="false">IF($X657="","",O657*N657)</f>
        <v/>
      </c>
      <c r="Q657" s="23" t="str">
        <f aca="false">IF($X657="","",Settings!$C$6)</f>
        <v/>
      </c>
      <c r="R657" s="22" t="str">
        <f aca="false">IF($X657="","",SUMIFS('Per Line'!$Y$2:$Y$4001,'Per Line'!$D$2:$D$4001,$B657,'Per Line'!$AJ$2:$AJ$4001,1))</f>
        <v/>
      </c>
      <c r="S657" s="22" t="str">
        <f aca="false">IF($X657="","",R657*Q657)</f>
        <v/>
      </c>
      <c r="T657" s="22" t="str">
        <f aca="false">IF($X657="","",S657+P657)</f>
        <v/>
      </c>
      <c r="U657" s="22" t="str">
        <f aca="false">IF($X657="","",V657-T657)</f>
        <v/>
      </c>
      <c r="V657" s="22" t="str">
        <f aca="false">IF($X657="","",O657+R657)</f>
        <v/>
      </c>
      <c r="W657" s="22" t="str">
        <f aca="false">IF($X657="","",U657-L657)</f>
        <v/>
      </c>
      <c r="X657" s="24" t="str">
        <f aca="false">IF(ROWS($X$2:$X657)&lt;=MAX('Per Line'!$AI$2:$AI$4001),MATCH(ROWS($X$2:$X657),'Per Line'!$AI$2:$AI$4001,0),"")</f>
        <v/>
      </c>
    </row>
    <row r="658" customFormat="false" ht="15" hidden="false" customHeight="false" outlineLevel="0" collapsed="false">
      <c r="A658" s="19"/>
      <c r="B658" s="20" t="str">
        <f aca="false">IF($X658="","",INDEX('Per Line'!$D$2:$D$4001,$X658))</f>
        <v/>
      </c>
      <c r="C658" s="20" t="str">
        <f aca="false">IF($X658="","",INDEX('Per Line'!$C$2:$C$4001,$X658))</f>
        <v/>
      </c>
      <c r="D658" s="20" t="str">
        <f aca="false">IF($X658="","",INDEX('Per Line'!$A$2:$A$4001,$X658))</f>
        <v/>
      </c>
      <c r="E658" s="21" t="str">
        <f aca="false">IF($X658="","",INDEX('Per Line'!$F$2:$F$4001,$X658))</f>
        <v/>
      </c>
      <c r="F658" s="20" t="str">
        <f aca="false">IF($X658="","",INDEX('Per Line'!$G$2:$G$4001,$X658))</f>
        <v/>
      </c>
      <c r="G658" s="20" t="str">
        <f aca="false">IF($X658="","",INDEX('Per Line'!$I$2:$I$4001,$X658))</f>
        <v/>
      </c>
      <c r="H658" s="20" t="str">
        <f aca="false">IF($X658="","",INDEX('Per Line'!$J$2:$J$4001,$X658))</f>
        <v/>
      </c>
      <c r="I658" s="20" t="str">
        <f aca="false">IF($X658="","",INDEX('Per Line'!$K$2:$K$4001,$X658))</f>
        <v/>
      </c>
      <c r="J658" s="20" t="str">
        <f aca="false">IF($X658="","",INDEX('Per Line'!$L$2:$L$4001,$X658))</f>
        <v/>
      </c>
      <c r="K658" s="20" t="str">
        <f aca="false">IF($X658="","",INDEX('Per Line'!$M$2:$M$4001,$X658))</f>
        <v/>
      </c>
      <c r="L658" s="22" t="str">
        <f aca="false">IF($X658="","",K658*V658/100)</f>
        <v/>
      </c>
      <c r="M658" s="20" t="str">
        <f aca="false">IF($X658="","",INDEX('Per Line'!$Z$2:$Z$4001,$X658))</f>
        <v/>
      </c>
      <c r="N658" s="23" t="str">
        <f aca="false">IF($X658="","",Settings!$C$7)</f>
        <v/>
      </c>
      <c r="O658" s="22" t="str">
        <f aca="false">IF($X658="","",SUMIFS('Per Line'!$Y$2:$Y$4001,'Per Line'!$D$2:$D$4001,$B658,'Per Line'!$AJ$2:$AJ$4001,0))</f>
        <v/>
      </c>
      <c r="P658" s="22" t="str">
        <f aca="false">IF($X658="","",O658*N658)</f>
        <v/>
      </c>
      <c r="Q658" s="23" t="str">
        <f aca="false">IF($X658="","",Settings!$C$6)</f>
        <v/>
      </c>
      <c r="R658" s="22" t="str">
        <f aca="false">IF($X658="","",SUMIFS('Per Line'!$Y$2:$Y$4001,'Per Line'!$D$2:$D$4001,$B658,'Per Line'!$AJ$2:$AJ$4001,1))</f>
        <v/>
      </c>
      <c r="S658" s="22" t="str">
        <f aca="false">IF($X658="","",R658*Q658)</f>
        <v/>
      </c>
      <c r="T658" s="22" t="str">
        <f aca="false">IF($X658="","",S658+P658)</f>
        <v/>
      </c>
      <c r="U658" s="22" t="str">
        <f aca="false">IF($X658="","",V658-T658)</f>
        <v/>
      </c>
      <c r="V658" s="22" t="str">
        <f aca="false">IF($X658="","",O658+R658)</f>
        <v/>
      </c>
      <c r="W658" s="22" t="str">
        <f aca="false">IF($X658="","",U658-L658)</f>
        <v/>
      </c>
      <c r="X658" s="24" t="str">
        <f aca="false">IF(ROWS($X$2:$X658)&lt;=MAX('Per Line'!$AI$2:$AI$4001),MATCH(ROWS($X$2:$X658),'Per Line'!$AI$2:$AI$4001,0),"")</f>
        <v/>
      </c>
    </row>
    <row r="659" customFormat="false" ht="15" hidden="false" customHeight="false" outlineLevel="0" collapsed="false">
      <c r="A659" s="19"/>
      <c r="B659" s="20" t="str">
        <f aca="false">IF($X659="","",INDEX('Per Line'!$D$2:$D$4001,$X659))</f>
        <v/>
      </c>
      <c r="C659" s="20" t="str">
        <f aca="false">IF($X659="","",INDEX('Per Line'!$C$2:$C$4001,$X659))</f>
        <v/>
      </c>
      <c r="D659" s="20" t="str">
        <f aca="false">IF($X659="","",INDEX('Per Line'!$A$2:$A$4001,$X659))</f>
        <v/>
      </c>
      <c r="E659" s="21" t="str">
        <f aca="false">IF($X659="","",INDEX('Per Line'!$F$2:$F$4001,$X659))</f>
        <v/>
      </c>
      <c r="F659" s="20" t="str">
        <f aca="false">IF($X659="","",INDEX('Per Line'!$G$2:$G$4001,$X659))</f>
        <v/>
      </c>
      <c r="G659" s="20" t="str">
        <f aca="false">IF($X659="","",INDEX('Per Line'!$I$2:$I$4001,$X659))</f>
        <v/>
      </c>
      <c r="H659" s="20" t="str">
        <f aca="false">IF($X659="","",INDEX('Per Line'!$J$2:$J$4001,$X659))</f>
        <v/>
      </c>
      <c r="I659" s="20" t="str">
        <f aca="false">IF($X659="","",INDEX('Per Line'!$K$2:$K$4001,$X659))</f>
        <v/>
      </c>
      <c r="J659" s="20" t="str">
        <f aca="false">IF($X659="","",INDEX('Per Line'!$L$2:$L$4001,$X659))</f>
        <v/>
      </c>
      <c r="K659" s="20" t="str">
        <f aca="false">IF($X659="","",INDEX('Per Line'!$M$2:$M$4001,$X659))</f>
        <v/>
      </c>
      <c r="L659" s="22" t="str">
        <f aca="false">IF($X659="","",K659*V659/100)</f>
        <v/>
      </c>
      <c r="M659" s="20" t="str">
        <f aca="false">IF($X659="","",INDEX('Per Line'!$Z$2:$Z$4001,$X659))</f>
        <v/>
      </c>
      <c r="N659" s="23" t="str">
        <f aca="false">IF($X659="","",Settings!$C$7)</f>
        <v/>
      </c>
      <c r="O659" s="22" t="str">
        <f aca="false">IF($X659="","",SUMIFS('Per Line'!$Y$2:$Y$4001,'Per Line'!$D$2:$D$4001,$B659,'Per Line'!$AJ$2:$AJ$4001,0))</f>
        <v/>
      </c>
      <c r="P659" s="22" t="str">
        <f aca="false">IF($X659="","",O659*N659)</f>
        <v/>
      </c>
      <c r="Q659" s="23" t="str">
        <f aca="false">IF($X659="","",Settings!$C$6)</f>
        <v/>
      </c>
      <c r="R659" s="22" t="str">
        <f aca="false">IF($X659="","",SUMIFS('Per Line'!$Y$2:$Y$4001,'Per Line'!$D$2:$D$4001,$B659,'Per Line'!$AJ$2:$AJ$4001,1))</f>
        <v/>
      </c>
      <c r="S659" s="22" t="str">
        <f aca="false">IF($X659="","",R659*Q659)</f>
        <v/>
      </c>
      <c r="T659" s="22" t="str">
        <f aca="false">IF($X659="","",S659+P659)</f>
        <v/>
      </c>
      <c r="U659" s="22" t="str">
        <f aca="false">IF($X659="","",V659-T659)</f>
        <v/>
      </c>
      <c r="V659" s="22" t="str">
        <f aca="false">IF($X659="","",O659+R659)</f>
        <v/>
      </c>
      <c r="W659" s="22" t="str">
        <f aca="false">IF($X659="","",U659-L659)</f>
        <v/>
      </c>
      <c r="X659" s="24" t="str">
        <f aca="false">IF(ROWS($X$2:$X659)&lt;=MAX('Per Line'!$AI$2:$AI$4001),MATCH(ROWS($X$2:$X659),'Per Line'!$AI$2:$AI$4001,0),"")</f>
        <v/>
      </c>
    </row>
    <row r="660" customFormat="false" ht="15" hidden="false" customHeight="false" outlineLevel="0" collapsed="false">
      <c r="A660" s="19"/>
      <c r="B660" s="20" t="str">
        <f aca="false">IF($X660="","",INDEX('Per Line'!$D$2:$D$4001,$X660))</f>
        <v/>
      </c>
      <c r="C660" s="20" t="str">
        <f aca="false">IF($X660="","",INDEX('Per Line'!$C$2:$C$4001,$X660))</f>
        <v/>
      </c>
      <c r="D660" s="20" t="str">
        <f aca="false">IF($X660="","",INDEX('Per Line'!$A$2:$A$4001,$X660))</f>
        <v/>
      </c>
      <c r="E660" s="21" t="str">
        <f aca="false">IF($X660="","",INDEX('Per Line'!$F$2:$F$4001,$X660))</f>
        <v/>
      </c>
      <c r="F660" s="20" t="str">
        <f aca="false">IF($X660="","",INDEX('Per Line'!$G$2:$G$4001,$X660))</f>
        <v/>
      </c>
      <c r="G660" s="20" t="str">
        <f aca="false">IF($X660="","",INDEX('Per Line'!$I$2:$I$4001,$X660))</f>
        <v/>
      </c>
      <c r="H660" s="20" t="str">
        <f aca="false">IF($X660="","",INDEX('Per Line'!$J$2:$J$4001,$X660))</f>
        <v/>
      </c>
      <c r="I660" s="20" t="str">
        <f aca="false">IF($X660="","",INDEX('Per Line'!$K$2:$K$4001,$X660))</f>
        <v/>
      </c>
      <c r="J660" s="20" t="str">
        <f aca="false">IF($X660="","",INDEX('Per Line'!$L$2:$L$4001,$X660))</f>
        <v/>
      </c>
      <c r="K660" s="20" t="str">
        <f aca="false">IF($X660="","",INDEX('Per Line'!$M$2:$M$4001,$X660))</f>
        <v/>
      </c>
      <c r="L660" s="22" t="str">
        <f aca="false">IF($X660="","",K660*V660/100)</f>
        <v/>
      </c>
      <c r="M660" s="20" t="str">
        <f aca="false">IF($X660="","",INDEX('Per Line'!$Z$2:$Z$4001,$X660))</f>
        <v/>
      </c>
      <c r="N660" s="23" t="str">
        <f aca="false">IF($X660="","",Settings!$C$7)</f>
        <v/>
      </c>
      <c r="O660" s="22" t="str">
        <f aca="false">IF($X660="","",SUMIFS('Per Line'!$Y$2:$Y$4001,'Per Line'!$D$2:$D$4001,$B660,'Per Line'!$AJ$2:$AJ$4001,0))</f>
        <v/>
      </c>
      <c r="P660" s="22" t="str">
        <f aca="false">IF($X660="","",O660*N660)</f>
        <v/>
      </c>
      <c r="Q660" s="23" t="str">
        <f aca="false">IF($X660="","",Settings!$C$6)</f>
        <v/>
      </c>
      <c r="R660" s="22" t="str">
        <f aca="false">IF($X660="","",SUMIFS('Per Line'!$Y$2:$Y$4001,'Per Line'!$D$2:$D$4001,$B660,'Per Line'!$AJ$2:$AJ$4001,1))</f>
        <v/>
      </c>
      <c r="S660" s="22" t="str">
        <f aca="false">IF($X660="","",R660*Q660)</f>
        <v/>
      </c>
      <c r="T660" s="22" t="str">
        <f aca="false">IF($X660="","",S660+P660)</f>
        <v/>
      </c>
      <c r="U660" s="22" t="str">
        <f aca="false">IF($X660="","",V660-T660)</f>
        <v/>
      </c>
      <c r="V660" s="22" t="str">
        <f aca="false">IF($X660="","",O660+R660)</f>
        <v/>
      </c>
      <c r="W660" s="22" t="str">
        <f aca="false">IF($X660="","",U660-L660)</f>
        <v/>
      </c>
      <c r="X660" s="24" t="str">
        <f aca="false">IF(ROWS($X$2:$X660)&lt;=MAX('Per Line'!$AI$2:$AI$4001),MATCH(ROWS($X$2:$X660),'Per Line'!$AI$2:$AI$4001,0),"")</f>
        <v/>
      </c>
    </row>
    <row r="661" customFormat="false" ht="15" hidden="false" customHeight="false" outlineLevel="0" collapsed="false">
      <c r="A661" s="19"/>
      <c r="B661" s="20" t="str">
        <f aca="false">IF($X661="","",INDEX('Per Line'!$D$2:$D$4001,$X661))</f>
        <v/>
      </c>
      <c r="C661" s="20" t="str">
        <f aca="false">IF($X661="","",INDEX('Per Line'!$C$2:$C$4001,$X661))</f>
        <v/>
      </c>
      <c r="D661" s="20" t="str">
        <f aca="false">IF($X661="","",INDEX('Per Line'!$A$2:$A$4001,$X661))</f>
        <v/>
      </c>
      <c r="E661" s="21" t="str">
        <f aca="false">IF($X661="","",INDEX('Per Line'!$F$2:$F$4001,$X661))</f>
        <v/>
      </c>
      <c r="F661" s="20" t="str">
        <f aca="false">IF($X661="","",INDEX('Per Line'!$G$2:$G$4001,$X661))</f>
        <v/>
      </c>
      <c r="G661" s="20" t="str">
        <f aca="false">IF($X661="","",INDEX('Per Line'!$I$2:$I$4001,$X661))</f>
        <v/>
      </c>
      <c r="H661" s="20" t="str">
        <f aca="false">IF($X661="","",INDEX('Per Line'!$J$2:$J$4001,$X661))</f>
        <v/>
      </c>
      <c r="I661" s="20" t="str">
        <f aca="false">IF($X661="","",INDEX('Per Line'!$K$2:$K$4001,$X661))</f>
        <v/>
      </c>
      <c r="J661" s="20" t="str">
        <f aca="false">IF($X661="","",INDEX('Per Line'!$L$2:$L$4001,$X661))</f>
        <v/>
      </c>
      <c r="K661" s="20" t="str">
        <f aca="false">IF($X661="","",INDEX('Per Line'!$M$2:$M$4001,$X661))</f>
        <v/>
      </c>
      <c r="L661" s="22" t="str">
        <f aca="false">IF($X661="","",K661*V661/100)</f>
        <v/>
      </c>
      <c r="M661" s="20" t="str">
        <f aca="false">IF($X661="","",INDEX('Per Line'!$Z$2:$Z$4001,$X661))</f>
        <v/>
      </c>
      <c r="N661" s="23" t="str">
        <f aca="false">IF($X661="","",Settings!$C$7)</f>
        <v/>
      </c>
      <c r="O661" s="22" t="str">
        <f aca="false">IF($X661="","",SUMIFS('Per Line'!$Y$2:$Y$4001,'Per Line'!$D$2:$D$4001,$B661,'Per Line'!$AJ$2:$AJ$4001,0))</f>
        <v/>
      </c>
      <c r="P661" s="22" t="str">
        <f aca="false">IF($X661="","",O661*N661)</f>
        <v/>
      </c>
      <c r="Q661" s="23" t="str">
        <f aca="false">IF($X661="","",Settings!$C$6)</f>
        <v/>
      </c>
      <c r="R661" s="22" t="str">
        <f aca="false">IF($X661="","",SUMIFS('Per Line'!$Y$2:$Y$4001,'Per Line'!$D$2:$D$4001,$B661,'Per Line'!$AJ$2:$AJ$4001,1))</f>
        <v/>
      </c>
      <c r="S661" s="22" t="str">
        <f aca="false">IF($X661="","",R661*Q661)</f>
        <v/>
      </c>
      <c r="T661" s="22" t="str">
        <f aca="false">IF($X661="","",S661+P661)</f>
        <v/>
      </c>
      <c r="U661" s="22" t="str">
        <f aca="false">IF($X661="","",V661-T661)</f>
        <v/>
      </c>
      <c r="V661" s="22" t="str">
        <f aca="false">IF($X661="","",O661+R661)</f>
        <v/>
      </c>
      <c r="W661" s="22" t="str">
        <f aca="false">IF($X661="","",U661-L661)</f>
        <v/>
      </c>
      <c r="X661" s="24" t="str">
        <f aca="false">IF(ROWS($X$2:$X661)&lt;=MAX('Per Line'!$AI$2:$AI$4001),MATCH(ROWS($X$2:$X661),'Per Line'!$AI$2:$AI$4001,0),"")</f>
        <v/>
      </c>
    </row>
    <row r="662" customFormat="false" ht="15" hidden="false" customHeight="false" outlineLevel="0" collapsed="false">
      <c r="A662" s="19"/>
      <c r="B662" s="20" t="str">
        <f aca="false">IF($X662="","",INDEX('Per Line'!$D$2:$D$4001,$X662))</f>
        <v/>
      </c>
      <c r="C662" s="20" t="str">
        <f aca="false">IF($X662="","",INDEX('Per Line'!$C$2:$C$4001,$X662))</f>
        <v/>
      </c>
      <c r="D662" s="20" t="str">
        <f aca="false">IF($X662="","",INDEX('Per Line'!$A$2:$A$4001,$X662))</f>
        <v/>
      </c>
      <c r="E662" s="21" t="str">
        <f aca="false">IF($X662="","",INDEX('Per Line'!$F$2:$F$4001,$X662))</f>
        <v/>
      </c>
      <c r="F662" s="20" t="str">
        <f aca="false">IF($X662="","",INDEX('Per Line'!$G$2:$G$4001,$X662))</f>
        <v/>
      </c>
      <c r="G662" s="20" t="str">
        <f aca="false">IF($X662="","",INDEX('Per Line'!$I$2:$I$4001,$X662))</f>
        <v/>
      </c>
      <c r="H662" s="20" t="str">
        <f aca="false">IF($X662="","",INDEX('Per Line'!$J$2:$J$4001,$X662))</f>
        <v/>
      </c>
      <c r="I662" s="20" t="str">
        <f aca="false">IF($X662="","",INDEX('Per Line'!$K$2:$K$4001,$X662))</f>
        <v/>
      </c>
      <c r="J662" s="20" t="str">
        <f aca="false">IF($X662="","",INDEX('Per Line'!$L$2:$L$4001,$X662))</f>
        <v/>
      </c>
      <c r="K662" s="20" t="str">
        <f aca="false">IF($X662="","",INDEX('Per Line'!$M$2:$M$4001,$X662))</f>
        <v/>
      </c>
      <c r="L662" s="22" t="str">
        <f aca="false">IF($X662="","",K662*V662/100)</f>
        <v/>
      </c>
      <c r="M662" s="20" t="str">
        <f aca="false">IF($X662="","",INDEX('Per Line'!$Z$2:$Z$4001,$X662))</f>
        <v/>
      </c>
      <c r="N662" s="23" t="str">
        <f aca="false">IF($X662="","",Settings!$C$7)</f>
        <v/>
      </c>
      <c r="O662" s="22" t="str">
        <f aca="false">IF($X662="","",SUMIFS('Per Line'!$Y$2:$Y$4001,'Per Line'!$D$2:$D$4001,$B662,'Per Line'!$AJ$2:$AJ$4001,0))</f>
        <v/>
      </c>
      <c r="P662" s="22" t="str">
        <f aca="false">IF($X662="","",O662*N662)</f>
        <v/>
      </c>
      <c r="Q662" s="23" t="str">
        <f aca="false">IF($X662="","",Settings!$C$6)</f>
        <v/>
      </c>
      <c r="R662" s="22" t="str">
        <f aca="false">IF($X662="","",SUMIFS('Per Line'!$Y$2:$Y$4001,'Per Line'!$D$2:$D$4001,$B662,'Per Line'!$AJ$2:$AJ$4001,1))</f>
        <v/>
      </c>
      <c r="S662" s="22" t="str">
        <f aca="false">IF($X662="","",R662*Q662)</f>
        <v/>
      </c>
      <c r="T662" s="22" t="str">
        <f aca="false">IF($X662="","",S662+P662)</f>
        <v/>
      </c>
      <c r="U662" s="22" t="str">
        <f aca="false">IF($X662="","",V662-T662)</f>
        <v/>
      </c>
      <c r="V662" s="22" t="str">
        <f aca="false">IF($X662="","",O662+R662)</f>
        <v/>
      </c>
      <c r="W662" s="22" t="str">
        <f aca="false">IF($X662="","",U662-L662)</f>
        <v/>
      </c>
      <c r="X662" s="24" t="str">
        <f aca="false">IF(ROWS($X$2:$X662)&lt;=MAX('Per Line'!$AI$2:$AI$4001),MATCH(ROWS($X$2:$X662),'Per Line'!$AI$2:$AI$4001,0),"")</f>
        <v/>
      </c>
    </row>
    <row r="663" customFormat="false" ht="15" hidden="false" customHeight="false" outlineLevel="0" collapsed="false">
      <c r="A663" s="19"/>
      <c r="B663" s="20" t="str">
        <f aca="false">IF($X663="","",INDEX('Per Line'!$D$2:$D$4001,$X663))</f>
        <v/>
      </c>
      <c r="C663" s="20" t="str">
        <f aca="false">IF($X663="","",INDEX('Per Line'!$C$2:$C$4001,$X663))</f>
        <v/>
      </c>
      <c r="D663" s="20" t="str">
        <f aca="false">IF($X663="","",INDEX('Per Line'!$A$2:$A$4001,$X663))</f>
        <v/>
      </c>
      <c r="E663" s="21" t="str">
        <f aca="false">IF($X663="","",INDEX('Per Line'!$F$2:$F$4001,$X663))</f>
        <v/>
      </c>
      <c r="F663" s="20" t="str">
        <f aca="false">IF($X663="","",INDEX('Per Line'!$G$2:$G$4001,$X663))</f>
        <v/>
      </c>
      <c r="G663" s="20" t="str">
        <f aca="false">IF($X663="","",INDEX('Per Line'!$I$2:$I$4001,$X663))</f>
        <v/>
      </c>
      <c r="H663" s="20" t="str">
        <f aca="false">IF($X663="","",INDEX('Per Line'!$J$2:$J$4001,$X663))</f>
        <v/>
      </c>
      <c r="I663" s="20" t="str">
        <f aca="false">IF($X663="","",INDEX('Per Line'!$K$2:$K$4001,$X663))</f>
        <v/>
      </c>
      <c r="J663" s="20" t="str">
        <f aca="false">IF($X663="","",INDEX('Per Line'!$L$2:$L$4001,$X663))</f>
        <v/>
      </c>
      <c r="K663" s="20" t="str">
        <f aca="false">IF($X663="","",INDEX('Per Line'!$M$2:$M$4001,$X663))</f>
        <v/>
      </c>
      <c r="L663" s="22" t="str">
        <f aca="false">IF($X663="","",K663*V663/100)</f>
        <v/>
      </c>
      <c r="M663" s="20" t="str">
        <f aca="false">IF($X663="","",INDEX('Per Line'!$Z$2:$Z$4001,$X663))</f>
        <v/>
      </c>
      <c r="N663" s="23" t="str">
        <f aca="false">IF($X663="","",Settings!$C$7)</f>
        <v/>
      </c>
      <c r="O663" s="22" t="str">
        <f aca="false">IF($X663="","",SUMIFS('Per Line'!$Y$2:$Y$4001,'Per Line'!$D$2:$D$4001,$B663,'Per Line'!$AJ$2:$AJ$4001,0))</f>
        <v/>
      </c>
      <c r="P663" s="22" t="str">
        <f aca="false">IF($X663="","",O663*N663)</f>
        <v/>
      </c>
      <c r="Q663" s="23" t="str">
        <f aca="false">IF($X663="","",Settings!$C$6)</f>
        <v/>
      </c>
      <c r="R663" s="22" t="str">
        <f aca="false">IF($X663="","",SUMIFS('Per Line'!$Y$2:$Y$4001,'Per Line'!$D$2:$D$4001,$B663,'Per Line'!$AJ$2:$AJ$4001,1))</f>
        <v/>
      </c>
      <c r="S663" s="22" t="str">
        <f aca="false">IF($X663="","",R663*Q663)</f>
        <v/>
      </c>
      <c r="T663" s="22" t="str">
        <f aca="false">IF($X663="","",S663+P663)</f>
        <v/>
      </c>
      <c r="U663" s="22" t="str">
        <f aca="false">IF($X663="","",V663-T663)</f>
        <v/>
      </c>
      <c r="V663" s="22" t="str">
        <f aca="false">IF($X663="","",O663+R663)</f>
        <v/>
      </c>
      <c r="W663" s="22" t="str">
        <f aca="false">IF($X663="","",U663-L663)</f>
        <v/>
      </c>
      <c r="X663" s="24" t="str">
        <f aca="false">IF(ROWS($X$2:$X663)&lt;=MAX('Per Line'!$AI$2:$AI$4001),MATCH(ROWS($X$2:$X663),'Per Line'!$AI$2:$AI$4001,0),"")</f>
        <v/>
      </c>
    </row>
    <row r="664" customFormat="false" ht="15" hidden="false" customHeight="false" outlineLevel="0" collapsed="false">
      <c r="A664" s="19"/>
      <c r="B664" s="20" t="str">
        <f aca="false">IF($X664="","",INDEX('Per Line'!$D$2:$D$4001,$X664))</f>
        <v/>
      </c>
      <c r="C664" s="20" t="str">
        <f aca="false">IF($X664="","",INDEX('Per Line'!$C$2:$C$4001,$X664))</f>
        <v/>
      </c>
      <c r="D664" s="20" t="str">
        <f aca="false">IF($X664="","",INDEX('Per Line'!$A$2:$A$4001,$X664))</f>
        <v/>
      </c>
      <c r="E664" s="21" t="str">
        <f aca="false">IF($X664="","",INDEX('Per Line'!$F$2:$F$4001,$X664))</f>
        <v/>
      </c>
      <c r="F664" s="20" t="str">
        <f aca="false">IF($X664="","",INDEX('Per Line'!$G$2:$G$4001,$X664))</f>
        <v/>
      </c>
      <c r="G664" s="20" t="str">
        <f aca="false">IF($X664="","",INDEX('Per Line'!$I$2:$I$4001,$X664))</f>
        <v/>
      </c>
      <c r="H664" s="20" t="str">
        <f aca="false">IF($X664="","",INDEX('Per Line'!$J$2:$J$4001,$X664))</f>
        <v/>
      </c>
      <c r="I664" s="20" t="str">
        <f aca="false">IF($X664="","",INDEX('Per Line'!$K$2:$K$4001,$X664))</f>
        <v/>
      </c>
      <c r="J664" s="20" t="str">
        <f aca="false">IF($X664="","",INDEX('Per Line'!$L$2:$L$4001,$X664))</f>
        <v/>
      </c>
      <c r="K664" s="20" t="str">
        <f aca="false">IF($X664="","",INDEX('Per Line'!$M$2:$M$4001,$X664))</f>
        <v/>
      </c>
      <c r="L664" s="22" t="str">
        <f aca="false">IF($X664="","",K664*V664/100)</f>
        <v/>
      </c>
      <c r="M664" s="20" t="str">
        <f aca="false">IF($X664="","",INDEX('Per Line'!$Z$2:$Z$4001,$X664))</f>
        <v/>
      </c>
      <c r="N664" s="23" t="str">
        <f aca="false">IF($X664="","",Settings!$C$7)</f>
        <v/>
      </c>
      <c r="O664" s="22" t="str">
        <f aca="false">IF($X664="","",SUMIFS('Per Line'!$Y$2:$Y$4001,'Per Line'!$D$2:$D$4001,$B664,'Per Line'!$AJ$2:$AJ$4001,0))</f>
        <v/>
      </c>
      <c r="P664" s="22" t="str">
        <f aca="false">IF($X664="","",O664*N664)</f>
        <v/>
      </c>
      <c r="Q664" s="23" t="str">
        <f aca="false">IF($X664="","",Settings!$C$6)</f>
        <v/>
      </c>
      <c r="R664" s="22" t="str">
        <f aca="false">IF($X664="","",SUMIFS('Per Line'!$Y$2:$Y$4001,'Per Line'!$D$2:$D$4001,$B664,'Per Line'!$AJ$2:$AJ$4001,1))</f>
        <v/>
      </c>
      <c r="S664" s="22" t="str">
        <f aca="false">IF($X664="","",R664*Q664)</f>
        <v/>
      </c>
      <c r="T664" s="22" t="str">
        <f aca="false">IF($X664="","",S664+P664)</f>
        <v/>
      </c>
      <c r="U664" s="22" t="str">
        <f aca="false">IF($X664="","",V664-T664)</f>
        <v/>
      </c>
      <c r="V664" s="22" t="str">
        <f aca="false">IF($X664="","",O664+R664)</f>
        <v/>
      </c>
      <c r="W664" s="22" t="str">
        <f aca="false">IF($X664="","",U664-L664)</f>
        <v/>
      </c>
      <c r="X664" s="24" t="str">
        <f aca="false">IF(ROWS($X$2:$X664)&lt;=MAX('Per Line'!$AI$2:$AI$4001),MATCH(ROWS($X$2:$X664),'Per Line'!$AI$2:$AI$4001,0),"")</f>
        <v/>
      </c>
    </row>
    <row r="665" customFormat="false" ht="15" hidden="false" customHeight="false" outlineLevel="0" collapsed="false">
      <c r="A665" s="19"/>
      <c r="B665" s="20" t="str">
        <f aca="false">IF($X665="","",INDEX('Per Line'!$D$2:$D$4001,$X665))</f>
        <v/>
      </c>
      <c r="C665" s="20" t="str">
        <f aca="false">IF($X665="","",INDEX('Per Line'!$C$2:$C$4001,$X665))</f>
        <v/>
      </c>
      <c r="D665" s="20" t="str">
        <f aca="false">IF($X665="","",INDEX('Per Line'!$A$2:$A$4001,$X665))</f>
        <v/>
      </c>
      <c r="E665" s="21" t="str">
        <f aca="false">IF($X665="","",INDEX('Per Line'!$F$2:$F$4001,$X665))</f>
        <v/>
      </c>
      <c r="F665" s="20" t="str">
        <f aca="false">IF($X665="","",INDEX('Per Line'!$G$2:$G$4001,$X665))</f>
        <v/>
      </c>
      <c r="G665" s="20" t="str">
        <f aca="false">IF($X665="","",INDEX('Per Line'!$I$2:$I$4001,$X665))</f>
        <v/>
      </c>
      <c r="H665" s="20" t="str">
        <f aca="false">IF($X665="","",INDEX('Per Line'!$J$2:$J$4001,$X665))</f>
        <v/>
      </c>
      <c r="I665" s="20" t="str">
        <f aca="false">IF($X665="","",INDEX('Per Line'!$K$2:$K$4001,$X665))</f>
        <v/>
      </c>
      <c r="J665" s="20" t="str">
        <f aca="false">IF($X665="","",INDEX('Per Line'!$L$2:$L$4001,$X665))</f>
        <v/>
      </c>
      <c r="K665" s="20" t="str">
        <f aca="false">IF($X665="","",INDEX('Per Line'!$M$2:$M$4001,$X665))</f>
        <v/>
      </c>
      <c r="L665" s="22" t="str">
        <f aca="false">IF($X665="","",K665*V665/100)</f>
        <v/>
      </c>
      <c r="M665" s="20" t="str">
        <f aca="false">IF($X665="","",INDEX('Per Line'!$Z$2:$Z$4001,$X665))</f>
        <v/>
      </c>
      <c r="N665" s="23" t="str">
        <f aca="false">IF($X665="","",Settings!$C$7)</f>
        <v/>
      </c>
      <c r="O665" s="22" t="str">
        <f aca="false">IF($X665="","",SUMIFS('Per Line'!$Y$2:$Y$4001,'Per Line'!$D$2:$D$4001,$B665,'Per Line'!$AJ$2:$AJ$4001,0))</f>
        <v/>
      </c>
      <c r="P665" s="22" t="str">
        <f aca="false">IF($X665="","",O665*N665)</f>
        <v/>
      </c>
      <c r="Q665" s="23" t="str">
        <f aca="false">IF($X665="","",Settings!$C$6)</f>
        <v/>
      </c>
      <c r="R665" s="22" t="str">
        <f aca="false">IF($X665="","",SUMIFS('Per Line'!$Y$2:$Y$4001,'Per Line'!$D$2:$D$4001,$B665,'Per Line'!$AJ$2:$AJ$4001,1))</f>
        <v/>
      </c>
      <c r="S665" s="22" t="str">
        <f aca="false">IF($X665="","",R665*Q665)</f>
        <v/>
      </c>
      <c r="T665" s="22" t="str">
        <f aca="false">IF($X665="","",S665+P665)</f>
        <v/>
      </c>
      <c r="U665" s="22" t="str">
        <f aca="false">IF($X665="","",V665-T665)</f>
        <v/>
      </c>
      <c r="V665" s="22" t="str">
        <f aca="false">IF($X665="","",O665+R665)</f>
        <v/>
      </c>
      <c r="W665" s="22" t="str">
        <f aca="false">IF($X665="","",U665-L665)</f>
        <v/>
      </c>
      <c r="X665" s="24" t="str">
        <f aca="false">IF(ROWS($X$2:$X665)&lt;=MAX('Per Line'!$AI$2:$AI$4001),MATCH(ROWS($X$2:$X665),'Per Line'!$AI$2:$AI$4001,0),"")</f>
        <v/>
      </c>
    </row>
    <row r="666" customFormat="false" ht="15" hidden="false" customHeight="false" outlineLevel="0" collapsed="false">
      <c r="A666" s="19"/>
      <c r="B666" s="20" t="str">
        <f aca="false">IF($X666="","",INDEX('Per Line'!$D$2:$D$4001,$X666))</f>
        <v/>
      </c>
      <c r="C666" s="20" t="str">
        <f aca="false">IF($X666="","",INDEX('Per Line'!$C$2:$C$4001,$X666))</f>
        <v/>
      </c>
      <c r="D666" s="20" t="str">
        <f aca="false">IF($X666="","",INDEX('Per Line'!$A$2:$A$4001,$X666))</f>
        <v/>
      </c>
      <c r="E666" s="21" t="str">
        <f aca="false">IF($X666="","",INDEX('Per Line'!$F$2:$F$4001,$X666))</f>
        <v/>
      </c>
      <c r="F666" s="20" t="str">
        <f aca="false">IF($X666="","",INDEX('Per Line'!$G$2:$G$4001,$X666))</f>
        <v/>
      </c>
      <c r="G666" s="20" t="str">
        <f aca="false">IF($X666="","",INDEX('Per Line'!$I$2:$I$4001,$X666))</f>
        <v/>
      </c>
      <c r="H666" s="20" t="str">
        <f aca="false">IF($X666="","",INDEX('Per Line'!$J$2:$J$4001,$X666))</f>
        <v/>
      </c>
      <c r="I666" s="20" t="str">
        <f aca="false">IF($X666="","",INDEX('Per Line'!$K$2:$K$4001,$X666))</f>
        <v/>
      </c>
      <c r="J666" s="20" t="str">
        <f aca="false">IF($X666="","",INDEX('Per Line'!$L$2:$L$4001,$X666))</f>
        <v/>
      </c>
      <c r="K666" s="20" t="str">
        <f aca="false">IF($X666="","",INDEX('Per Line'!$M$2:$M$4001,$X666))</f>
        <v/>
      </c>
      <c r="L666" s="22" t="str">
        <f aca="false">IF($X666="","",K666*V666/100)</f>
        <v/>
      </c>
      <c r="M666" s="20" t="str">
        <f aca="false">IF($X666="","",INDEX('Per Line'!$Z$2:$Z$4001,$X666))</f>
        <v/>
      </c>
      <c r="N666" s="23" t="str">
        <f aca="false">IF($X666="","",Settings!$C$7)</f>
        <v/>
      </c>
      <c r="O666" s="22" t="str">
        <f aca="false">IF($X666="","",SUMIFS('Per Line'!$Y$2:$Y$4001,'Per Line'!$D$2:$D$4001,$B666,'Per Line'!$AJ$2:$AJ$4001,0))</f>
        <v/>
      </c>
      <c r="P666" s="22" t="str">
        <f aca="false">IF($X666="","",O666*N666)</f>
        <v/>
      </c>
      <c r="Q666" s="23" t="str">
        <f aca="false">IF($X666="","",Settings!$C$6)</f>
        <v/>
      </c>
      <c r="R666" s="22" t="str">
        <f aca="false">IF($X666="","",SUMIFS('Per Line'!$Y$2:$Y$4001,'Per Line'!$D$2:$D$4001,$B666,'Per Line'!$AJ$2:$AJ$4001,1))</f>
        <v/>
      </c>
      <c r="S666" s="22" t="str">
        <f aca="false">IF($X666="","",R666*Q666)</f>
        <v/>
      </c>
      <c r="T666" s="22" t="str">
        <f aca="false">IF($X666="","",S666+P666)</f>
        <v/>
      </c>
      <c r="U666" s="22" t="str">
        <f aca="false">IF($X666="","",V666-T666)</f>
        <v/>
      </c>
      <c r="V666" s="22" t="str">
        <f aca="false">IF($X666="","",O666+R666)</f>
        <v/>
      </c>
      <c r="W666" s="22" t="str">
        <f aca="false">IF($X666="","",U666-L666)</f>
        <v/>
      </c>
      <c r="X666" s="24" t="str">
        <f aca="false">IF(ROWS($X$2:$X666)&lt;=MAX('Per Line'!$AI$2:$AI$4001),MATCH(ROWS($X$2:$X666),'Per Line'!$AI$2:$AI$4001,0),"")</f>
        <v/>
      </c>
    </row>
    <row r="667" customFormat="false" ht="15" hidden="false" customHeight="false" outlineLevel="0" collapsed="false">
      <c r="A667" s="19"/>
      <c r="B667" s="20" t="str">
        <f aca="false">IF($X667="","",INDEX('Per Line'!$D$2:$D$4001,$X667))</f>
        <v/>
      </c>
      <c r="C667" s="20" t="str">
        <f aca="false">IF($X667="","",INDEX('Per Line'!$C$2:$C$4001,$X667))</f>
        <v/>
      </c>
      <c r="D667" s="20" t="str">
        <f aca="false">IF($X667="","",INDEX('Per Line'!$A$2:$A$4001,$X667))</f>
        <v/>
      </c>
      <c r="E667" s="21" t="str">
        <f aca="false">IF($X667="","",INDEX('Per Line'!$F$2:$F$4001,$X667))</f>
        <v/>
      </c>
      <c r="F667" s="20" t="str">
        <f aca="false">IF($X667="","",INDEX('Per Line'!$G$2:$G$4001,$X667))</f>
        <v/>
      </c>
      <c r="G667" s="20" t="str">
        <f aca="false">IF($X667="","",INDEX('Per Line'!$I$2:$I$4001,$X667))</f>
        <v/>
      </c>
      <c r="H667" s="20" t="str">
        <f aca="false">IF($X667="","",INDEX('Per Line'!$J$2:$J$4001,$X667))</f>
        <v/>
      </c>
      <c r="I667" s="20" t="str">
        <f aca="false">IF($X667="","",INDEX('Per Line'!$K$2:$K$4001,$X667))</f>
        <v/>
      </c>
      <c r="J667" s="20" t="str">
        <f aca="false">IF($X667="","",INDEX('Per Line'!$L$2:$L$4001,$X667))</f>
        <v/>
      </c>
      <c r="K667" s="20" t="str">
        <f aca="false">IF($X667="","",INDEX('Per Line'!$M$2:$M$4001,$X667))</f>
        <v/>
      </c>
      <c r="L667" s="22" t="str">
        <f aca="false">IF($X667="","",K667*V667/100)</f>
        <v/>
      </c>
      <c r="M667" s="20" t="str">
        <f aca="false">IF($X667="","",INDEX('Per Line'!$Z$2:$Z$4001,$X667))</f>
        <v/>
      </c>
      <c r="N667" s="23" t="str">
        <f aca="false">IF($X667="","",Settings!$C$7)</f>
        <v/>
      </c>
      <c r="O667" s="22" t="str">
        <f aca="false">IF($X667="","",SUMIFS('Per Line'!$Y$2:$Y$4001,'Per Line'!$D$2:$D$4001,$B667,'Per Line'!$AJ$2:$AJ$4001,0))</f>
        <v/>
      </c>
      <c r="P667" s="22" t="str">
        <f aca="false">IF($X667="","",O667*N667)</f>
        <v/>
      </c>
      <c r="Q667" s="23" t="str">
        <f aca="false">IF($X667="","",Settings!$C$6)</f>
        <v/>
      </c>
      <c r="R667" s="22" t="str">
        <f aca="false">IF($X667="","",SUMIFS('Per Line'!$Y$2:$Y$4001,'Per Line'!$D$2:$D$4001,$B667,'Per Line'!$AJ$2:$AJ$4001,1))</f>
        <v/>
      </c>
      <c r="S667" s="22" t="str">
        <f aca="false">IF($X667="","",R667*Q667)</f>
        <v/>
      </c>
      <c r="T667" s="22" t="str">
        <f aca="false">IF($X667="","",S667+P667)</f>
        <v/>
      </c>
      <c r="U667" s="22" t="str">
        <f aca="false">IF($X667="","",V667-T667)</f>
        <v/>
      </c>
      <c r="V667" s="22" t="str">
        <f aca="false">IF($X667="","",O667+R667)</f>
        <v/>
      </c>
      <c r="W667" s="22" t="str">
        <f aca="false">IF($X667="","",U667-L667)</f>
        <v/>
      </c>
      <c r="X667" s="24" t="str">
        <f aca="false">IF(ROWS($X$2:$X667)&lt;=MAX('Per Line'!$AI$2:$AI$4001),MATCH(ROWS($X$2:$X667),'Per Line'!$AI$2:$AI$4001,0),"")</f>
        <v/>
      </c>
    </row>
    <row r="668" customFormat="false" ht="15" hidden="false" customHeight="false" outlineLevel="0" collapsed="false">
      <c r="A668" s="19"/>
      <c r="B668" s="20" t="str">
        <f aca="false">IF($X668="","",INDEX('Per Line'!$D$2:$D$4001,$X668))</f>
        <v/>
      </c>
      <c r="C668" s="20" t="str">
        <f aca="false">IF($X668="","",INDEX('Per Line'!$C$2:$C$4001,$X668))</f>
        <v/>
      </c>
      <c r="D668" s="20" t="str">
        <f aca="false">IF($X668="","",INDEX('Per Line'!$A$2:$A$4001,$X668))</f>
        <v/>
      </c>
      <c r="E668" s="21" t="str">
        <f aca="false">IF($X668="","",INDEX('Per Line'!$F$2:$F$4001,$X668))</f>
        <v/>
      </c>
      <c r="F668" s="20" t="str">
        <f aca="false">IF($X668="","",INDEX('Per Line'!$G$2:$G$4001,$X668))</f>
        <v/>
      </c>
      <c r="G668" s="20" t="str">
        <f aca="false">IF($X668="","",INDEX('Per Line'!$I$2:$I$4001,$X668))</f>
        <v/>
      </c>
      <c r="H668" s="20" t="str">
        <f aca="false">IF($X668="","",INDEX('Per Line'!$J$2:$J$4001,$X668))</f>
        <v/>
      </c>
      <c r="I668" s="20" t="str">
        <f aca="false">IF($X668="","",INDEX('Per Line'!$K$2:$K$4001,$X668))</f>
        <v/>
      </c>
      <c r="J668" s="20" t="str">
        <f aca="false">IF($X668="","",INDEX('Per Line'!$L$2:$L$4001,$X668))</f>
        <v/>
      </c>
      <c r="K668" s="20" t="str">
        <f aca="false">IF($X668="","",INDEX('Per Line'!$M$2:$M$4001,$X668))</f>
        <v/>
      </c>
      <c r="L668" s="22" t="str">
        <f aca="false">IF($X668="","",K668*V668/100)</f>
        <v/>
      </c>
      <c r="M668" s="20" t="str">
        <f aca="false">IF($X668="","",INDEX('Per Line'!$Z$2:$Z$4001,$X668))</f>
        <v/>
      </c>
      <c r="N668" s="23" t="str">
        <f aca="false">IF($X668="","",Settings!$C$7)</f>
        <v/>
      </c>
      <c r="O668" s="22" t="str">
        <f aca="false">IF($X668="","",SUMIFS('Per Line'!$Y$2:$Y$4001,'Per Line'!$D$2:$D$4001,$B668,'Per Line'!$AJ$2:$AJ$4001,0))</f>
        <v/>
      </c>
      <c r="P668" s="22" t="str">
        <f aca="false">IF($X668="","",O668*N668)</f>
        <v/>
      </c>
      <c r="Q668" s="23" t="str">
        <f aca="false">IF($X668="","",Settings!$C$6)</f>
        <v/>
      </c>
      <c r="R668" s="22" t="str">
        <f aca="false">IF($X668="","",SUMIFS('Per Line'!$Y$2:$Y$4001,'Per Line'!$D$2:$D$4001,$B668,'Per Line'!$AJ$2:$AJ$4001,1))</f>
        <v/>
      </c>
      <c r="S668" s="22" t="str">
        <f aca="false">IF($X668="","",R668*Q668)</f>
        <v/>
      </c>
      <c r="T668" s="22" t="str">
        <f aca="false">IF($X668="","",S668+P668)</f>
        <v/>
      </c>
      <c r="U668" s="22" t="str">
        <f aca="false">IF($X668="","",V668-T668)</f>
        <v/>
      </c>
      <c r="V668" s="22" t="str">
        <f aca="false">IF($X668="","",O668+R668)</f>
        <v/>
      </c>
      <c r="W668" s="22" t="str">
        <f aca="false">IF($X668="","",U668-L668)</f>
        <v/>
      </c>
      <c r="X668" s="24" t="str">
        <f aca="false">IF(ROWS($X$2:$X668)&lt;=MAX('Per Line'!$AI$2:$AI$4001),MATCH(ROWS($X$2:$X668),'Per Line'!$AI$2:$AI$4001,0),"")</f>
        <v/>
      </c>
    </row>
    <row r="669" customFormat="false" ht="15" hidden="false" customHeight="false" outlineLevel="0" collapsed="false">
      <c r="A669" s="19"/>
      <c r="B669" s="20" t="str">
        <f aca="false">IF($X669="","",INDEX('Per Line'!$D$2:$D$4001,$X669))</f>
        <v/>
      </c>
      <c r="C669" s="20" t="str">
        <f aca="false">IF($X669="","",INDEX('Per Line'!$C$2:$C$4001,$X669))</f>
        <v/>
      </c>
      <c r="D669" s="20" t="str">
        <f aca="false">IF($X669="","",INDEX('Per Line'!$A$2:$A$4001,$X669))</f>
        <v/>
      </c>
      <c r="E669" s="21" t="str">
        <f aca="false">IF($X669="","",INDEX('Per Line'!$F$2:$F$4001,$X669))</f>
        <v/>
      </c>
      <c r="F669" s="20" t="str">
        <f aca="false">IF($X669="","",INDEX('Per Line'!$G$2:$G$4001,$X669))</f>
        <v/>
      </c>
      <c r="G669" s="20" t="str">
        <f aca="false">IF($X669="","",INDEX('Per Line'!$I$2:$I$4001,$X669))</f>
        <v/>
      </c>
      <c r="H669" s="20" t="str">
        <f aca="false">IF($X669="","",INDEX('Per Line'!$J$2:$J$4001,$X669))</f>
        <v/>
      </c>
      <c r="I669" s="20" t="str">
        <f aca="false">IF($X669="","",INDEX('Per Line'!$K$2:$K$4001,$X669))</f>
        <v/>
      </c>
      <c r="J669" s="20" t="str">
        <f aca="false">IF($X669="","",INDEX('Per Line'!$L$2:$L$4001,$X669))</f>
        <v/>
      </c>
      <c r="K669" s="20" t="str">
        <f aca="false">IF($X669="","",INDEX('Per Line'!$M$2:$M$4001,$X669))</f>
        <v/>
      </c>
      <c r="L669" s="22" t="str">
        <f aca="false">IF($X669="","",K669*V669/100)</f>
        <v/>
      </c>
      <c r="M669" s="20" t="str">
        <f aca="false">IF($X669="","",INDEX('Per Line'!$Z$2:$Z$4001,$X669))</f>
        <v/>
      </c>
      <c r="N669" s="23" t="str">
        <f aca="false">IF($X669="","",Settings!$C$7)</f>
        <v/>
      </c>
      <c r="O669" s="22" t="str">
        <f aca="false">IF($X669="","",SUMIFS('Per Line'!$Y$2:$Y$4001,'Per Line'!$D$2:$D$4001,$B669,'Per Line'!$AJ$2:$AJ$4001,0))</f>
        <v/>
      </c>
      <c r="P669" s="22" t="str">
        <f aca="false">IF($X669="","",O669*N669)</f>
        <v/>
      </c>
      <c r="Q669" s="23" t="str">
        <f aca="false">IF($X669="","",Settings!$C$6)</f>
        <v/>
      </c>
      <c r="R669" s="22" t="str">
        <f aca="false">IF($X669="","",SUMIFS('Per Line'!$Y$2:$Y$4001,'Per Line'!$D$2:$D$4001,$B669,'Per Line'!$AJ$2:$AJ$4001,1))</f>
        <v/>
      </c>
      <c r="S669" s="22" t="str">
        <f aca="false">IF($X669="","",R669*Q669)</f>
        <v/>
      </c>
      <c r="T669" s="22" t="str">
        <f aca="false">IF($X669="","",S669+P669)</f>
        <v/>
      </c>
      <c r="U669" s="22" t="str">
        <f aca="false">IF($X669="","",V669-T669)</f>
        <v/>
      </c>
      <c r="V669" s="22" t="str">
        <f aca="false">IF($X669="","",O669+R669)</f>
        <v/>
      </c>
      <c r="W669" s="22" t="str">
        <f aca="false">IF($X669="","",U669-L669)</f>
        <v/>
      </c>
      <c r="X669" s="24" t="str">
        <f aca="false">IF(ROWS($X$2:$X669)&lt;=MAX('Per Line'!$AI$2:$AI$4001),MATCH(ROWS($X$2:$X669),'Per Line'!$AI$2:$AI$4001,0),"")</f>
        <v/>
      </c>
    </row>
    <row r="670" customFormat="false" ht="15" hidden="false" customHeight="false" outlineLevel="0" collapsed="false">
      <c r="A670" s="19"/>
      <c r="B670" s="20" t="str">
        <f aca="false">IF($X670="","",INDEX('Per Line'!$D$2:$D$4001,$X670))</f>
        <v/>
      </c>
      <c r="C670" s="20" t="str">
        <f aca="false">IF($X670="","",INDEX('Per Line'!$C$2:$C$4001,$X670))</f>
        <v/>
      </c>
      <c r="D670" s="20" t="str">
        <f aca="false">IF($X670="","",INDEX('Per Line'!$A$2:$A$4001,$X670))</f>
        <v/>
      </c>
      <c r="E670" s="21" t="str">
        <f aca="false">IF($X670="","",INDEX('Per Line'!$F$2:$F$4001,$X670))</f>
        <v/>
      </c>
      <c r="F670" s="20" t="str">
        <f aca="false">IF($X670="","",INDEX('Per Line'!$G$2:$G$4001,$X670))</f>
        <v/>
      </c>
      <c r="G670" s="20" t="str">
        <f aca="false">IF($X670="","",INDEX('Per Line'!$I$2:$I$4001,$X670))</f>
        <v/>
      </c>
      <c r="H670" s="20" t="str">
        <f aca="false">IF($X670="","",INDEX('Per Line'!$J$2:$J$4001,$X670))</f>
        <v/>
      </c>
      <c r="I670" s="20" t="str">
        <f aca="false">IF($X670="","",INDEX('Per Line'!$K$2:$K$4001,$X670))</f>
        <v/>
      </c>
      <c r="J670" s="20" t="str">
        <f aca="false">IF($X670="","",INDEX('Per Line'!$L$2:$L$4001,$X670))</f>
        <v/>
      </c>
      <c r="K670" s="20" t="str">
        <f aca="false">IF($X670="","",INDEX('Per Line'!$M$2:$M$4001,$X670))</f>
        <v/>
      </c>
      <c r="L670" s="22" t="str">
        <f aca="false">IF($X670="","",K670*V670/100)</f>
        <v/>
      </c>
      <c r="M670" s="20" t="str">
        <f aca="false">IF($X670="","",INDEX('Per Line'!$Z$2:$Z$4001,$X670))</f>
        <v/>
      </c>
      <c r="N670" s="23" t="str">
        <f aca="false">IF($X670="","",Settings!$C$7)</f>
        <v/>
      </c>
      <c r="O670" s="22" t="str">
        <f aca="false">IF($X670="","",SUMIFS('Per Line'!$Y$2:$Y$4001,'Per Line'!$D$2:$D$4001,$B670,'Per Line'!$AJ$2:$AJ$4001,0))</f>
        <v/>
      </c>
      <c r="P670" s="22" t="str">
        <f aca="false">IF($X670="","",O670*N670)</f>
        <v/>
      </c>
      <c r="Q670" s="23" t="str">
        <f aca="false">IF($X670="","",Settings!$C$6)</f>
        <v/>
      </c>
      <c r="R670" s="22" t="str">
        <f aca="false">IF($X670="","",SUMIFS('Per Line'!$Y$2:$Y$4001,'Per Line'!$D$2:$D$4001,$B670,'Per Line'!$AJ$2:$AJ$4001,1))</f>
        <v/>
      </c>
      <c r="S670" s="22" t="str">
        <f aca="false">IF($X670="","",R670*Q670)</f>
        <v/>
      </c>
      <c r="T670" s="22" t="str">
        <f aca="false">IF($X670="","",S670+P670)</f>
        <v/>
      </c>
      <c r="U670" s="22" t="str">
        <f aca="false">IF($X670="","",V670-T670)</f>
        <v/>
      </c>
      <c r="V670" s="22" t="str">
        <f aca="false">IF($X670="","",O670+R670)</f>
        <v/>
      </c>
      <c r="W670" s="22" t="str">
        <f aca="false">IF($X670="","",U670-L670)</f>
        <v/>
      </c>
      <c r="X670" s="24" t="str">
        <f aca="false">IF(ROWS($X$2:$X670)&lt;=MAX('Per Line'!$AI$2:$AI$4001),MATCH(ROWS($X$2:$X670),'Per Line'!$AI$2:$AI$4001,0),"")</f>
        <v/>
      </c>
    </row>
    <row r="671" customFormat="false" ht="15" hidden="false" customHeight="false" outlineLevel="0" collapsed="false">
      <c r="A671" s="19"/>
      <c r="B671" s="20" t="str">
        <f aca="false">IF($X671="","",INDEX('Per Line'!$D$2:$D$4001,$X671))</f>
        <v/>
      </c>
      <c r="C671" s="20" t="str">
        <f aca="false">IF($X671="","",INDEX('Per Line'!$C$2:$C$4001,$X671))</f>
        <v/>
      </c>
      <c r="D671" s="20" t="str">
        <f aca="false">IF($X671="","",INDEX('Per Line'!$A$2:$A$4001,$X671))</f>
        <v/>
      </c>
      <c r="E671" s="21" t="str">
        <f aca="false">IF($X671="","",INDEX('Per Line'!$F$2:$F$4001,$X671))</f>
        <v/>
      </c>
      <c r="F671" s="20" t="str">
        <f aca="false">IF($X671="","",INDEX('Per Line'!$G$2:$G$4001,$X671))</f>
        <v/>
      </c>
      <c r="G671" s="20" t="str">
        <f aca="false">IF($X671="","",INDEX('Per Line'!$I$2:$I$4001,$X671))</f>
        <v/>
      </c>
      <c r="H671" s="20" t="str">
        <f aca="false">IF($X671="","",INDEX('Per Line'!$J$2:$J$4001,$X671))</f>
        <v/>
      </c>
      <c r="I671" s="20" t="str">
        <f aca="false">IF($X671="","",INDEX('Per Line'!$K$2:$K$4001,$X671))</f>
        <v/>
      </c>
      <c r="J671" s="20" t="str">
        <f aca="false">IF($X671="","",INDEX('Per Line'!$L$2:$L$4001,$X671))</f>
        <v/>
      </c>
      <c r="K671" s="20" t="str">
        <f aca="false">IF($X671="","",INDEX('Per Line'!$M$2:$M$4001,$X671))</f>
        <v/>
      </c>
      <c r="L671" s="22" t="str">
        <f aca="false">IF($X671="","",K671*V671/100)</f>
        <v/>
      </c>
      <c r="M671" s="20" t="str">
        <f aca="false">IF($X671="","",INDEX('Per Line'!$Z$2:$Z$4001,$X671))</f>
        <v/>
      </c>
      <c r="N671" s="23" t="str">
        <f aca="false">IF($X671="","",Settings!$C$7)</f>
        <v/>
      </c>
      <c r="O671" s="22" t="str">
        <f aca="false">IF($X671="","",SUMIFS('Per Line'!$Y$2:$Y$4001,'Per Line'!$D$2:$D$4001,$B671,'Per Line'!$AJ$2:$AJ$4001,0))</f>
        <v/>
      </c>
      <c r="P671" s="22" t="str">
        <f aca="false">IF($X671="","",O671*N671)</f>
        <v/>
      </c>
      <c r="Q671" s="23" t="str">
        <f aca="false">IF($X671="","",Settings!$C$6)</f>
        <v/>
      </c>
      <c r="R671" s="22" t="str">
        <f aca="false">IF($X671="","",SUMIFS('Per Line'!$Y$2:$Y$4001,'Per Line'!$D$2:$D$4001,$B671,'Per Line'!$AJ$2:$AJ$4001,1))</f>
        <v/>
      </c>
      <c r="S671" s="22" t="str">
        <f aca="false">IF($X671="","",R671*Q671)</f>
        <v/>
      </c>
      <c r="T671" s="22" t="str">
        <f aca="false">IF($X671="","",S671+P671)</f>
        <v/>
      </c>
      <c r="U671" s="22" t="str">
        <f aca="false">IF($X671="","",V671-T671)</f>
        <v/>
      </c>
      <c r="V671" s="22" t="str">
        <f aca="false">IF($X671="","",O671+R671)</f>
        <v/>
      </c>
      <c r="W671" s="22" t="str">
        <f aca="false">IF($X671="","",U671-L671)</f>
        <v/>
      </c>
      <c r="X671" s="24" t="str">
        <f aca="false">IF(ROWS($X$2:$X671)&lt;=MAX('Per Line'!$AI$2:$AI$4001),MATCH(ROWS($X$2:$X671),'Per Line'!$AI$2:$AI$4001,0),"")</f>
        <v/>
      </c>
    </row>
    <row r="672" customFormat="false" ht="15" hidden="false" customHeight="false" outlineLevel="0" collapsed="false">
      <c r="A672" s="19"/>
      <c r="B672" s="20" t="str">
        <f aca="false">IF($X672="","",INDEX('Per Line'!$D$2:$D$4001,$X672))</f>
        <v/>
      </c>
      <c r="C672" s="20" t="str">
        <f aca="false">IF($X672="","",INDEX('Per Line'!$C$2:$C$4001,$X672))</f>
        <v/>
      </c>
      <c r="D672" s="20" t="str">
        <f aca="false">IF($X672="","",INDEX('Per Line'!$A$2:$A$4001,$X672))</f>
        <v/>
      </c>
      <c r="E672" s="21" t="str">
        <f aca="false">IF($X672="","",INDEX('Per Line'!$F$2:$F$4001,$X672))</f>
        <v/>
      </c>
      <c r="F672" s="20" t="str">
        <f aca="false">IF($X672="","",INDEX('Per Line'!$G$2:$G$4001,$X672))</f>
        <v/>
      </c>
      <c r="G672" s="20" t="str">
        <f aca="false">IF($X672="","",INDEX('Per Line'!$I$2:$I$4001,$X672))</f>
        <v/>
      </c>
      <c r="H672" s="20" t="str">
        <f aca="false">IF($X672="","",INDEX('Per Line'!$J$2:$J$4001,$X672))</f>
        <v/>
      </c>
      <c r="I672" s="20" t="str">
        <f aca="false">IF($X672="","",INDEX('Per Line'!$K$2:$K$4001,$X672))</f>
        <v/>
      </c>
      <c r="J672" s="20" t="str">
        <f aca="false">IF($X672="","",INDEX('Per Line'!$L$2:$L$4001,$X672))</f>
        <v/>
      </c>
      <c r="K672" s="20" t="str">
        <f aca="false">IF($X672="","",INDEX('Per Line'!$M$2:$M$4001,$X672))</f>
        <v/>
      </c>
      <c r="L672" s="22" t="str">
        <f aca="false">IF($X672="","",K672*V672/100)</f>
        <v/>
      </c>
      <c r="M672" s="20" t="str">
        <f aca="false">IF($X672="","",INDEX('Per Line'!$Z$2:$Z$4001,$X672))</f>
        <v/>
      </c>
      <c r="N672" s="23" t="str">
        <f aca="false">IF($X672="","",Settings!$C$7)</f>
        <v/>
      </c>
      <c r="O672" s="22" t="str">
        <f aca="false">IF($X672="","",SUMIFS('Per Line'!$Y$2:$Y$4001,'Per Line'!$D$2:$D$4001,$B672,'Per Line'!$AJ$2:$AJ$4001,0))</f>
        <v/>
      </c>
      <c r="P672" s="22" t="str">
        <f aca="false">IF($X672="","",O672*N672)</f>
        <v/>
      </c>
      <c r="Q672" s="23" t="str">
        <f aca="false">IF($X672="","",Settings!$C$6)</f>
        <v/>
      </c>
      <c r="R672" s="22" t="str">
        <f aca="false">IF($X672="","",SUMIFS('Per Line'!$Y$2:$Y$4001,'Per Line'!$D$2:$D$4001,$B672,'Per Line'!$AJ$2:$AJ$4001,1))</f>
        <v/>
      </c>
      <c r="S672" s="22" t="str">
        <f aca="false">IF($X672="","",R672*Q672)</f>
        <v/>
      </c>
      <c r="T672" s="22" t="str">
        <f aca="false">IF($X672="","",S672+P672)</f>
        <v/>
      </c>
      <c r="U672" s="22" t="str">
        <f aca="false">IF($X672="","",V672-T672)</f>
        <v/>
      </c>
      <c r="V672" s="22" t="str">
        <f aca="false">IF($X672="","",O672+R672)</f>
        <v/>
      </c>
      <c r="W672" s="22" t="str">
        <f aca="false">IF($X672="","",U672-L672)</f>
        <v/>
      </c>
      <c r="X672" s="24" t="str">
        <f aca="false">IF(ROWS($X$2:$X672)&lt;=MAX('Per Line'!$AI$2:$AI$4001),MATCH(ROWS($X$2:$X672),'Per Line'!$AI$2:$AI$4001,0),"")</f>
        <v/>
      </c>
    </row>
    <row r="673" customFormat="false" ht="15" hidden="false" customHeight="false" outlineLevel="0" collapsed="false">
      <c r="A673" s="19"/>
      <c r="B673" s="20" t="str">
        <f aca="false">IF($X673="","",INDEX('Per Line'!$D$2:$D$4001,$X673))</f>
        <v/>
      </c>
      <c r="C673" s="20" t="str">
        <f aca="false">IF($X673="","",INDEX('Per Line'!$C$2:$C$4001,$X673))</f>
        <v/>
      </c>
      <c r="D673" s="20" t="str">
        <f aca="false">IF($X673="","",INDEX('Per Line'!$A$2:$A$4001,$X673))</f>
        <v/>
      </c>
      <c r="E673" s="21" t="str">
        <f aca="false">IF($X673="","",INDEX('Per Line'!$F$2:$F$4001,$X673))</f>
        <v/>
      </c>
      <c r="F673" s="20" t="str">
        <f aca="false">IF($X673="","",INDEX('Per Line'!$G$2:$G$4001,$X673))</f>
        <v/>
      </c>
      <c r="G673" s="20" t="str">
        <f aca="false">IF($X673="","",INDEX('Per Line'!$I$2:$I$4001,$X673))</f>
        <v/>
      </c>
      <c r="H673" s="20" t="str">
        <f aca="false">IF($X673="","",INDEX('Per Line'!$J$2:$J$4001,$X673))</f>
        <v/>
      </c>
      <c r="I673" s="20" t="str">
        <f aca="false">IF($X673="","",INDEX('Per Line'!$K$2:$K$4001,$X673))</f>
        <v/>
      </c>
      <c r="J673" s="20" t="str">
        <f aca="false">IF($X673="","",INDEX('Per Line'!$L$2:$L$4001,$X673))</f>
        <v/>
      </c>
      <c r="K673" s="20" t="str">
        <f aca="false">IF($X673="","",INDEX('Per Line'!$M$2:$M$4001,$X673))</f>
        <v/>
      </c>
      <c r="L673" s="22" t="str">
        <f aca="false">IF($X673="","",K673*V673/100)</f>
        <v/>
      </c>
      <c r="M673" s="20" t="str">
        <f aca="false">IF($X673="","",INDEX('Per Line'!$Z$2:$Z$4001,$X673))</f>
        <v/>
      </c>
      <c r="N673" s="23" t="str">
        <f aca="false">IF($X673="","",Settings!$C$7)</f>
        <v/>
      </c>
      <c r="O673" s="22" t="str">
        <f aca="false">IF($X673="","",SUMIFS('Per Line'!$Y$2:$Y$4001,'Per Line'!$D$2:$D$4001,$B673,'Per Line'!$AJ$2:$AJ$4001,0))</f>
        <v/>
      </c>
      <c r="P673" s="22" t="str">
        <f aca="false">IF($X673="","",O673*N673)</f>
        <v/>
      </c>
      <c r="Q673" s="23" t="str">
        <f aca="false">IF($X673="","",Settings!$C$6)</f>
        <v/>
      </c>
      <c r="R673" s="22" t="str">
        <f aca="false">IF($X673="","",SUMIFS('Per Line'!$Y$2:$Y$4001,'Per Line'!$D$2:$D$4001,$B673,'Per Line'!$AJ$2:$AJ$4001,1))</f>
        <v/>
      </c>
      <c r="S673" s="22" t="str">
        <f aca="false">IF($X673="","",R673*Q673)</f>
        <v/>
      </c>
      <c r="T673" s="22" t="str">
        <f aca="false">IF($X673="","",S673+P673)</f>
        <v/>
      </c>
      <c r="U673" s="22" t="str">
        <f aca="false">IF($X673="","",V673-T673)</f>
        <v/>
      </c>
      <c r="V673" s="22" t="str">
        <f aca="false">IF($X673="","",O673+R673)</f>
        <v/>
      </c>
      <c r="W673" s="22" t="str">
        <f aca="false">IF($X673="","",U673-L673)</f>
        <v/>
      </c>
      <c r="X673" s="24" t="str">
        <f aca="false">IF(ROWS($X$2:$X673)&lt;=MAX('Per Line'!$AI$2:$AI$4001),MATCH(ROWS($X$2:$X673),'Per Line'!$AI$2:$AI$4001,0),"")</f>
        <v/>
      </c>
    </row>
    <row r="674" customFormat="false" ht="15" hidden="false" customHeight="false" outlineLevel="0" collapsed="false">
      <c r="A674" s="19"/>
      <c r="B674" s="20" t="str">
        <f aca="false">IF($X674="","",INDEX('Per Line'!$D$2:$D$4001,$X674))</f>
        <v/>
      </c>
      <c r="C674" s="20" t="str">
        <f aca="false">IF($X674="","",INDEX('Per Line'!$C$2:$C$4001,$X674))</f>
        <v/>
      </c>
      <c r="D674" s="20" t="str">
        <f aca="false">IF($X674="","",INDEX('Per Line'!$A$2:$A$4001,$X674))</f>
        <v/>
      </c>
      <c r="E674" s="21" t="str">
        <f aca="false">IF($X674="","",INDEX('Per Line'!$F$2:$F$4001,$X674))</f>
        <v/>
      </c>
      <c r="F674" s="20" t="str">
        <f aca="false">IF($X674="","",INDEX('Per Line'!$G$2:$G$4001,$X674))</f>
        <v/>
      </c>
      <c r="G674" s="20" t="str">
        <f aca="false">IF($X674="","",INDEX('Per Line'!$I$2:$I$4001,$X674))</f>
        <v/>
      </c>
      <c r="H674" s="20" t="str">
        <f aca="false">IF($X674="","",INDEX('Per Line'!$J$2:$J$4001,$X674))</f>
        <v/>
      </c>
      <c r="I674" s="20" t="str">
        <f aca="false">IF($X674="","",INDEX('Per Line'!$K$2:$K$4001,$X674))</f>
        <v/>
      </c>
      <c r="J674" s="20" t="str">
        <f aca="false">IF($X674="","",INDEX('Per Line'!$L$2:$L$4001,$X674))</f>
        <v/>
      </c>
      <c r="K674" s="20" t="str">
        <f aca="false">IF($X674="","",INDEX('Per Line'!$M$2:$M$4001,$X674))</f>
        <v/>
      </c>
      <c r="L674" s="22" t="str">
        <f aca="false">IF($X674="","",K674*V674/100)</f>
        <v/>
      </c>
      <c r="M674" s="20" t="str">
        <f aca="false">IF($X674="","",INDEX('Per Line'!$Z$2:$Z$4001,$X674))</f>
        <v/>
      </c>
      <c r="N674" s="23" t="str">
        <f aca="false">IF($X674="","",Settings!$C$7)</f>
        <v/>
      </c>
      <c r="O674" s="22" t="str">
        <f aca="false">IF($X674="","",SUMIFS('Per Line'!$Y$2:$Y$4001,'Per Line'!$D$2:$D$4001,$B674,'Per Line'!$AJ$2:$AJ$4001,0))</f>
        <v/>
      </c>
      <c r="P674" s="22" t="str">
        <f aca="false">IF($X674="","",O674*N674)</f>
        <v/>
      </c>
      <c r="Q674" s="23" t="str">
        <f aca="false">IF($X674="","",Settings!$C$6)</f>
        <v/>
      </c>
      <c r="R674" s="22" t="str">
        <f aca="false">IF($X674="","",SUMIFS('Per Line'!$Y$2:$Y$4001,'Per Line'!$D$2:$D$4001,$B674,'Per Line'!$AJ$2:$AJ$4001,1))</f>
        <v/>
      </c>
      <c r="S674" s="22" t="str">
        <f aca="false">IF($X674="","",R674*Q674)</f>
        <v/>
      </c>
      <c r="T674" s="22" t="str">
        <f aca="false">IF($X674="","",S674+P674)</f>
        <v/>
      </c>
      <c r="U674" s="22" t="str">
        <f aca="false">IF($X674="","",V674-T674)</f>
        <v/>
      </c>
      <c r="V674" s="22" t="str">
        <f aca="false">IF($X674="","",O674+R674)</f>
        <v/>
      </c>
      <c r="W674" s="22" t="str">
        <f aca="false">IF($X674="","",U674-L674)</f>
        <v/>
      </c>
      <c r="X674" s="24" t="str">
        <f aca="false">IF(ROWS($X$2:$X674)&lt;=MAX('Per Line'!$AI$2:$AI$4001),MATCH(ROWS($X$2:$X674),'Per Line'!$AI$2:$AI$4001,0),"")</f>
        <v/>
      </c>
    </row>
    <row r="675" customFormat="false" ht="15" hidden="false" customHeight="false" outlineLevel="0" collapsed="false">
      <c r="A675" s="19"/>
      <c r="B675" s="20" t="str">
        <f aca="false">IF($X675="","",INDEX('Per Line'!$D$2:$D$4001,$X675))</f>
        <v/>
      </c>
      <c r="C675" s="20" t="str">
        <f aca="false">IF($X675="","",INDEX('Per Line'!$C$2:$C$4001,$X675))</f>
        <v/>
      </c>
      <c r="D675" s="20" t="str">
        <f aca="false">IF($X675="","",INDEX('Per Line'!$A$2:$A$4001,$X675))</f>
        <v/>
      </c>
      <c r="E675" s="21" t="str">
        <f aca="false">IF($X675="","",INDEX('Per Line'!$F$2:$F$4001,$X675))</f>
        <v/>
      </c>
      <c r="F675" s="20" t="str">
        <f aca="false">IF($X675="","",INDEX('Per Line'!$G$2:$G$4001,$X675))</f>
        <v/>
      </c>
      <c r="G675" s="20" t="str">
        <f aca="false">IF($X675="","",INDEX('Per Line'!$I$2:$I$4001,$X675))</f>
        <v/>
      </c>
      <c r="H675" s="20" t="str">
        <f aca="false">IF($X675="","",INDEX('Per Line'!$J$2:$J$4001,$X675))</f>
        <v/>
      </c>
      <c r="I675" s="20" t="str">
        <f aca="false">IF($X675="","",INDEX('Per Line'!$K$2:$K$4001,$X675))</f>
        <v/>
      </c>
      <c r="J675" s="20" t="str">
        <f aca="false">IF($X675="","",INDEX('Per Line'!$L$2:$L$4001,$X675))</f>
        <v/>
      </c>
      <c r="K675" s="20" t="str">
        <f aca="false">IF($X675="","",INDEX('Per Line'!$M$2:$M$4001,$X675))</f>
        <v/>
      </c>
      <c r="L675" s="22" t="str">
        <f aca="false">IF($X675="","",K675*V675/100)</f>
        <v/>
      </c>
      <c r="M675" s="20" t="str">
        <f aca="false">IF($X675="","",INDEX('Per Line'!$Z$2:$Z$4001,$X675))</f>
        <v/>
      </c>
      <c r="N675" s="23" t="str">
        <f aca="false">IF($X675="","",Settings!$C$7)</f>
        <v/>
      </c>
      <c r="O675" s="22" t="str">
        <f aca="false">IF($X675="","",SUMIFS('Per Line'!$Y$2:$Y$4001,'Per Line'!$D$2:$D$4001,$B675,'Per Line'!$AJ$2:$AJ$4001,0))</f>
        <v/>
      </c>
      <c r="P675" s="22" t="str">
        <f aca="false">IF($X675="","",O675*N675)</f>
        <v/>
      </c>
      <c r="Q675" s="23" t="str">
        <f aca="false">IF($X675="","",Settings!$C$6)</f>
        <v/>
      </c>
      <c r="R675" s="22" t="str">
        <f aca="false">IF($X675="","",SUMIFS('Per Line'!$Y$2:$Y$4001,'Per Line'!$D$2:$D$4001,$B675,'Per Line'!$AJ$2:$AJ$4001,1))</f>
        <v/>
      </c>
      <c r="S675" s="22" t="str">
        <f aca="false">IF($X675="","",R675*Q675)</f>
        <v/>
      </c>
      <c r="T675" s="22" t="str">
        <f aca="false">IF($X675="","",S675+P675)</f>
        <v/>
      </c>
      <c r="U675" s="22" t="str">
        <f aca="false">IF($X675="","",V675-T675)</f>
        <v/>
      </c>
      <c r="V675" s="22" t="str">
        <f aca="false">IF($X675="","",O675+R675)</f>
        <v/>
      </c>
      <c r="W675" s="22" t="str">
        <f aca="false">IF($X675="","",U675-L675)</f>
        <v/>
      </c>
      <c r="X675" s="24" t="str">
        <f aca="false">IF(ROWS($X$2:$X675)&lt;=MAX('Per Line'!$AI$2:$AI$4001),MATCH(ROWS($X$2:$X675),'Per Line'!$AI$2:$AI$4001,0),"")</f>
        <v/>
      </c>
    </row>
    <row r="676" customFormat="false" ht="15" hidden="false" customHeight="false" outlineLevel="0" collapsed="false">
      <c r="A676" s="19"/>
      <c r="B676" s="20" t="str">
        <f aca="false">IF($X676="","",INDEX('Per Line'!$D$2:$D$4001,$X676))</f>
        <v/>
      </c>
      <c r="C676" s="20" t="str">
        <f aca="false">IF($X676="","",INDEX('Per Line'!$C$2:$C$4001,$X676))</f>
        <v/>
      </c>
      <c r="D676" s="20" t="str">
        <f aca="false">IF($X676="","",INDEX('Per Line'!$A$2:$A$4001,$X676))</f>
        <v/>
      </c>
      <c r="E676" s="21" t="str">
        <f aca="false">IF($X676="","",INDEX('Per Line'!$F$2:$F$4001,$X676))</f>
        <v/>
      </c>
      <c r="F676" s="20" t="str">
        <f aca="false">IF($X676="","",INDEX('Per Line'!$G$2:$G$4001,$X676))</f>
        <v/>
      </c>
      <c r="G676" s="20" t="str">
        <f aca="false">IF($X676="","",INDEX('Per Line'!$I$2:$I$4001,$X676))</f>
        <v/>
      </c>
      <c r="H676" s="20" t="str">
        <f aca="false">IF($X676="","",INDEX('Per Line'!$J$2:$J$4001,$X676))</f>
        <v/>
      </c>
      <c r="I676" s="20" t="str">
        <f aca="false">IF($X676="","",INDEX('Per Line'!$K$2:$K$4001,$X676))</f>
        <v/>
      </c>
      <c r="J676" s="20" t="str">
        <f aca="false">IF($X676="","",INDEX('Per Line'!$L$2:$L$4001,$X676))</f>
        <v/>
      </c>
      <c r="K676" s="20" t="str">
        <f aca="false">IF($X676="","",INDEX('Per Line'!$M$2:$M$4001,$X676))</f>
        <v/>
      </c>
      <c r="L676" s="22" t="str">
        <f aca="false">IF($X676="","",K676*V676/100)</f>
        <v/>
      </c>
      <c r="M676" s="20" t="str">
        <f aca="false">IF($X676="","",INDEX('Per Line'!$Z$2:$Z$4001,$X676))</f>
        <v/>
      </c>
      <c r="N676" s="23" t="str">
        <f aca="false">IF($X676="","",Settings!$C$7)</f>
        <v/>
      </c>
      <c r="O676" s="22" t="str">
        <f aca="false">IF($X676="","",SUMIFS('Per Line'!$Y$2:$Y$4001,'Per Line'!$D$2:$D$4001,$B676,'Per Line'!$AJ$2:$AJ$4001,0))</f>
        <v/>
      </c>
      <c r="P676" s="22" t="str">
        <f aca="false">IF($X676="","",O676*N676)</f>
        <v/>
      </c>
      <c r="Q676" s="23" t="str">
        <f aca="false">IF($X676="","",Settings!$C$6)</f>
        <v/>
      </c>
      <c r="R676" s="22" t="str">
        <f aca="false">IF($X676="","",SUMIFS('Per Line'!$Y$2:$Y$4001,'Per Line'!$D$2:$D$4001,$B676,'Per Line'!$AJ$2:$AJ$4001,1))</f>
        <v/>
      </c>
      <c r="S676" s="22" t="str">
        <f aca="false">IF($X676="","",R676*Q676)</f>
        <v/>
      </c>
      <c r="T676" s="22" t="str">
        <f aca="false">IF($X676="","",S676+P676)</f>
        <v/>
      </c>
      <c r="U676" s="22" t="str">
        <f aca="false">IF($X676="","",V676-T676)</f>
        <v/>
      </c>
      <c r="V676" s="22" t="str">
        <f aca="false">IF($X676="","",O676+R676)</f>
        <v/>
      </c>
      <c r="W676" s="22" t="str">
        <f aca="false">IF($X676="","",U676-L676)</f>
        <v/>
      </c>
      <c r="X676" s="24" t="str">
        <f aca="false">IF(ROWS($X$2:$X676)&lt;=MAX('Per Line'!$AI$2:$AI$4001),MATCH(ROWS($X$2:$X676),'Per Line'!$AI$2:$AI$4001,0),"")</f>
        <v/>
      </c>
    </row>
    <row r="677" customFormat="false" ht="15" hidden="false" customHeight="false" outlineLevel="0" collapsed="false">
      <c r="A677" s="19"/>
      <c r="B677" s="20" t="str">
        <f aca="false">IF($X677="","",INDEX('Per Line'!$D$2:$D$4001,$X677))</f>
        <v/>
      </c>
      <c r="C677" s="20" t="str">
        <f aca="false">IF($X677="","",INDEX('Per Line'!$C$2:$C$4001,$X677))</f>
        <v/>
      </c>
      <c r="D677" s="20" t="str">
        <f aca="false">IF($X677="","",INDEX('Per Line'!$A$2:$A$4001,$X677))</f>
        <v/>
      </c>
      <c r="E677" s="21" t="str">
        <f aca="false">IF($X677="","",INDEX('Per Line'!$F$2:$F$4001,$X677))</f>
        <v/>
      </c>
      <c r="F677" s="20" t="str">
        <f aca="false">IF($X677="","",INDEX('Per Line'!$G$2:$G$4001,$X677))</f>
        <v/>
      </c>
      <c r="G677" s="20" t="str">
        <f aca="false">IF($X677="","",INDEX('Per Line'!$I$2:$I$4001,$X677))</f>
        <v/>
      </c>
      <c r="H677" s="20" t="str">
        <f aca="false">IF($X677="","",INDEX('Per Line'!$J$2:$J$4001,$X677))</f>
        <v/>
      </c>
      <c r="I677" s="20" t="str">
        <f aca="false">IF($X677="","",INDEX('Per Line'!$K$2:$K$4001,$X677))</f>
        <v/>
      </c>
      <c r="J677" s="20" t="str">
        <f aca="false">IF($X677="","",INDEX('Per Line'!$L$2:$L$4001,$X677))</f>
        <v/>
      </c>
      <c r="K677" s="20" t="str">
        <f aca="false">IF($X677="","",INDEX('Per Line'!$M$2:$M$4001,$X677))</f>
        <v/>
      </c>
      <c r="L677" s="22" t="str">
        <f aca="false">IF($X677="","",K677*V677/100)</f>
        <v/>
      </c>
      <c r="M677" s="20" t="str">
        <f aca="false">IF($X677="","",INDEX('Per Line'!$Z$2:$Z$4001,$X677))</f>
        <v/>
      </c>
      <c r="N677" s="23" t="str">
        <f aca="false">IF($X677="","",Settings!$C$7)</f>
        <v/>
      </c>
      <c r="O677" s="22" t="str">
        <f aca="false">IF($X677="","",SUMIFS('Per Line'!$Y$2:$Y$4001,'Per Line'!$D$2:$D$4001,$B677,'Per Line'!$AJ$2:$AJ$4001,0))</f>
        <v/>
      </c>
      <c r="P677" s="22" t="str">
        <f aca="false">IF($X677="","",O677*N677)</f>
        <v/>
      </c>
      <c r="Q677" s="23" t="str">
        <f aca="false">IF($X677="","",Settings!$C$6)</f>
        <v/>
      </c>
      <c r="R677" s="22" t="str">
        <f aca="false">IF($X677="","",SUMIFS('Per Line'!$Y$2:$Y$4001,'Per Line'!$D$2:$D$4001,$B677,'Per Line'!$AJ$2:$AJ$4001,1))</f>
        <v/>
      </c>
      <c r="S677" s="22" t="str">
        <f aca="false">IF($X677="","",R677*Q677)</f>
        <v/>
      </c>
      <c r="T677" s="22" t="str">
        <f aca="false">IF($X677="","",S677+P677)</f>
        <v/>
      </c>
      <c r="U677" s="22" t="str">
        <f aca="false">IF($X677="","",V677-T677)</f>
        <v/>
      </c>
      <c r="V677" s="22" t="str">
        <f aca="false">IF($X677="","",O677+R677)</f>
        <v/>
      </c>
      <c r="W677" s="22" t="str">
        <f aca="false">IF($X677="","",U677-L677)</f>
        <v/>
      </c>
      <c r="X677" s="24" t="str">
        <f aca="false">IF(ROWS($X$2:$X677)&lt;=MAX('Per Line'!$AI$2:$AI$4001),MATCH(ROWS($X$2:$X677),'Per Line'!$AI$2:$AI$4001,0),"")</f>
        <v/>
      </c>
    </row>
    <row r="678" customFormat="false" ht="15" hidden="false" customHeight="false" outlineLevel="0" collapsed="false">
      <c r="A678" s="19"/>
      <c r="B678" s="20" t="str">
        <f aca="false">IF($X678="","",INDEX('Per Line'!$D$2:$D$4001,$X678))</f>
        <v/>
      </c>
      <c r="C678" s="20" t="str">
        <f aca="false">IF($X678="","",INDEX('Per Line'!$C$2:$C$4001,$X678))</f>
        <v/>
      </c>
      <c r="D678" s="20" t="str">
        <f aca="false">IF($X678="","",INDEX('Per Line'!$A$2:$A$4001,$X678))</f>
        <v/>
      </c>
      <c r="E678" s="21" t="str">
        <f aca="false">IF($X678="","",INDEX('Per Line'!$F$2:$F$4001,$X678))</f>
        <v/>
      </c>
      <c r="F678" s="20" t="str">
        <f aca="false">IF($X678="","",INDEX('Per Line'!$G$2:$G$4001,$X678))</f>
        <v/>
      </c>
      <c r="G678" s="20" t="str">
        <f aca="false">IF($X678="","",INDEX('Per Line'!$I$2:$I$4001,$X678))</f>
        <v/>
      </c>
      <c r="H678" s="20" t="str">
        <f aca="false">IF($X678="","",INDEX('Per Line'!$J$2:$J$4001,$X678))</f>
        <v/>
      </c>
      <c r="I678" s="20" t="str">
        <f aca="false">IF($X678="","",INDEX('Per Line'!$K$2:$K$4001,$X678))</f>
        <v/>
      </c>
      <c r="J678" s="20" t="str">
        <f aca="false">IF($X678="","",INDEX('Per Line'!$L$2:$L$4001,$X678))</f>
        <v/>
      </c>
      <c r="K678" s="20" t="str">
        <f aca="false">IF($X678="","",INDEX('Per Line'!$M$2:$M$4001,$X678))</f>
        <v/>
      </c>
      <c r="L678" s="22" t="str">
        <f aca="false">IF($X678="","",K678*V678/100)</f>
        <v/>
      </c>
      <c r="M678" s="20" t="str">
        <f aca="false">IF($X678="","",INDEX('Per Line'!$Z$2:$Z$4001,$X678))</f>
        <v/>
      </c>
      <c r="N678" s="23" t="str">
        <f aca="false">IF($X678="","",Settings!$C$7)</f>
        <v/>
      </c>
      <c r="O678" s="22" t="str">
        <f aca="false">IF($X678="","",SUMIFS('Per Line'!$Y$2:$Y$4001,'Per Line'!$D$2:$D$4001,$B678,'Per Line'!$AJ$2:$AJ$4001,0))</f>
        <v/>
      </c>
      <c r="P678" s="22" t="str">
        <f aca="false">IF($X678="","",O678*N678)</f>
        <v/>
      </c>
      <c r="Q678" s="23" t="str">
        <f aca="false">IF($X678="","",Settings!$C$6)</f>
        <v/>
      </c>
      <c r="R678" s="22" t="str">
        <f aca="false">IF($X678="","",SUMIFS('Per Line'!$Y$2:$Y$4001,'Per Line'!$D$2:$D$4001,$B678,'Per Line'!$AJ$2:$AJ$4001,1))</f>
        <v/>
      </c>
      <c r="S678" s="22" t="str">
        <f aca="false">IF($X678="","",R678*Q678)</f>
        <v/>
      </c>
      <c r="T678" s="22" t="str">
        <f aca="false">IF($X678="","",S678+P678)</f>
        <v/>
      </c>
      <c r="U678" s="22" t="str">
        <f aca="false">IF($X678="","",V678-T678)</f>
        <v/>
      </c>
      <c r="V678" s="22" t="str">
        <f aca="false">IF($X678="","",O678+R678)</f>
        <v/>
      </c>
      <c r="W678" s="22" t="str">
        <f aca="false">IF($X678="","",U678-L678)</f>
        <v/>
      </c>
      <c r="X678" s="24" t="str">
        <f aca="false">IF(ROWS($X$2:$X678)&lt;=MAX('Per Line'!$AI$2:$AI$4001),MATCH(ROWS($X$2:$X678),'Per Line'!$AI$2:$AI$4001,0),"")</f>
        <v/>
      </c>
    </row>
    <row r="679" customFormat="false" ht="15" hidden="false" customHeight="false" outlineLevel="0" collapsed="false">
      <c r="A679" s="19"/>
      <c r="B679" s="20" t="str">
        <f aca="false">IF($X679="","",INDEX('Per Line'!$D$2:$D$4001,$X679))</f>
        <v/>
      </c>
      <c r="C679" s="20" t="str">
        <f aca="false">IF($X679="","",INDEX('Per Line'!$C$2:$C$4001,$X679))</f>
        <v/>
      </c>
      <c r="D679" s="20" t="str">
        <f aca="false">IF($X679="","",INDEX('Per Line'!$A$2:$A$4001,$X679))</f>
        <v/>
      </c>
      <c r="E679" s="21" t="str">
        <f aca="false">IF($X679="","",INDEX('Per Line'!$F$2:$F$4001,$X679))</f>
        <v/>
      </c>
      <c r="F679" s="20" t="str">
        <f aca="false">IF($X679="","",INDEX('Per Line'!$G$2:$G$4001,$X679))</f>
        <v/>
      </c>
      <c r="G679" s="20" t="str">
        <f aca="false">IF($X679="","",INDEX('Per Line'!$I$2:$I$4001,$X679))</f>
        <v/>
      </c>
      <c r="H679" s="20" t="str">
        <f aca="false">IF($X679="","",INDEX('Per Line'!$J$2:$J$4001,$X679))</f>
        <v/>
      </c>
      <c r="I679" s="20" t="str">
        <f aca="false">IF($X679="","",INDEX('Per Line'!$K$2:$K$4001,$X679))</f>
        <v/>
      </c>
      <c r="J679" s="20" t="str">
        <f aca="false">IF($X679="","",INDEX('Per Line'!$L$2:$L$4001,$X679))</f>
        <v/>
      </c>
      <c r="K679" s="20" t="str">
        <f aca="false">IF($X679="","",INDEX('Per Line'!$M$2:$M$4001,$X679))</f>
        <v/>
      </c>
      <c r="L679" s="22" t="str">
        <f aca="false">IF($X679="","",K679*V679/100)</f>
        <v/>
      </c>
      <c r="M679" s="20" t="str">
        <f aca="false">IF($X679="","",INDEX('Per Line'!$Z$2:$Z$4001,$X679))</f>
        <v/>
      </c>
      <c r="N679" s="23" t="str">
        <f aca="false">IF($X679="","",Settings!$C$7)</f>
        <v/>
      </c>
      <c r="O679" s="22" t="str">
        <f aca="false">IF($X679="","",SUMIFS('Per Line'!$Y$2:$Y$4001,'Per Line'!$D$2:$D$4001,$B679,'Per Line'!$AJ$2:$AJ$4001,0))</f>
        <v/>
      </c>
      <c r="P679" s="22" t="str">
        <f aca="false">IF($X679="","",O679*N679)</f>
        <v/>
      </c>
      <c r="Q679" s="23" t="str">
        <f aca="false">IF($X679="","",Settings!$C$6)</f>
        <v/>
      </c>
      <c r="R679" s="22" t="str">
        <f aca="false">IF($X679="","",SUMIFS('Per Line'!$Y$2:$Y$4001,'Per Line'!$D$2:$D$4001,$B679,'Per Line'!$AJ$2:$AJ$4001,1))</f>
        <v/>
      </c>
      <c r="S679" s="22" t="str">
        <f aca="false">IF($X679="","",R679*Q679)</f>
        <v/>
      </c>
      <c r="T679" s="22" t="str">
        <f aca="false">IF($X679="","",S679+P679)</f>
        <v/>
      </c>
      <c r="U679" s="22" t="str">
        <f aca="false">IF($X679="","",V679-T679)</f>
        <v/>
      </c>
      <c r="V679" s="22" t="str">
        <f aca="false">IF($X679="","",O679+R679)</f>
        <v/>
      </c>
      <c r="W679" s="22" t="str">
        <f aca="false">IF($X679="","",U679-L679)</f>
        <v/>
      </c>
      <c r="X679" s="24" t="str">
        <f aca="false">IF(ROWS($X$2:$X679)&lt;=MAX('Per Line'!$AI$2:$AI$4001),MATCH(ROWS($X$2:$X679),'Per Line'!$AI$2:$AI$4001,0),"")</f>
        <v/>
      </c>
    </row>
    <row r="680" customFormat="false" ht="15" hidden="false" customHeight="false" outlineLevel="0" collapsed="false">
      <c r="A680" s="19"/>
      <c r="B680" s="20" t="str">
        <f aca="false">IF($X680="","",INDEX('Per Line'!$D$2:$D$4001,$X680))</f>
        <v/>
      </c>
      <c r="C680" s="20" t="str">
        <f aca="false">IF($X680="","",INDEX('Per Line'!$C$2:$C$4001,$X680))</f>
        <v/>
      </c>
      <c r="D680" s="20" t="str">
        <f aca="false">IF($X680="","",INDEX('Per Line'!$A$2:$A$4001,$X680))</f>
        <v/>
      </c>
      <c r="E680" s="21" t="str">
        <f aca="false">IF($X680="","",INDEX('Per Line'!$F$2:$F$4001,$X680))</f>
        <v/>
      </c>
      <c r="F680" s="20" t="str">
        <f aca="false">IF($X680="","",INDEX('Per Line'!$G$2:$G$4001,$X680))</f>
        <v/>
      </c>
      <c r="G680" s="20" t="str">
        <f aca="false">IF($X680="","",INDEX('Per Line'!$I$2:$I$4001,$X680))</f>
        <v/>
      </c>
      <c r="H680" s="20" t="str">
        <f aca="false">IF($X680="","",INDEX('Per Line'!$J$2:$J$4001,$X680))</f>
        <v/>
      </c>
      <c r="I680" s="20" t="str">
        <f aca="false">IF($X680="","",INDEX('Per Line'!$K$2:$K$4001,$X680))</f>
        <v/>
      </c>
      <c r="J680" s="20" t="str">
        <f aca="false">IF($X680="","",INDEX('Per Line'!$L$2:$L$4001,$X680))</f>
        <v/>
      </c>
      <c r="K680" s="20" t="str">
        <f aca="false">IF($X680="","",INDEX('Per Line'!$M$2:$M$4001,$X680))</f>
        <v/>
      </c>
      <c r="L680" s="22" t="str">
        <f aca="false">IF($X680="","",K680*V680/100)</f>
        <v/>
      </c>
      <c r="M680" s="20" t="str">
        <f aca="false">IF($X680="","",INDEX('Per Line'!$Z$2:$Z$4001,$X680))</f>
        <v/>
      </c>
      <c r="N680" s="23" t="str">
        <f aca="false">IF($X680="","",Settings!$C$7)</f>
        <v/>
      </c>
      <c r="O680" s="22" t="str">
        <f aca="false">IF($X680="","",SUMIFS('Per Line'!$Y$2:$Y$4001,'Per Line'!$D$2:$D$4001,$B680,'Per Line'!$AJ$2:$AJ$4001,0))</f>
        <v/>
      </c>
      <c r="P680" s="22" t="str">
        <f aca="false">IF($X680="","",O680*N680)</f>
        <v/>
      </c>
      <c r="Q680" s="23" t="str">
        <f aca="false">IF($X680="","",Settings!$C$6)</f>
        <v/>
      </c>
      <c r="R680" s="22" t="str">
        <f aca="false">IF($X680="","",SUMIFS('Per Line'!$Y$2:$Y$4001,'Per Line'!$D$2:$D$4001,$B680,'Per Line'!$AJ$2:$AJ$4001,1))</f>
        <v/>
      </c>
      <c r="S680" s="22" t="str">
        <f aca="false">IF($X680="","",R680*Q680)</f>
        <v/>
      </c>
      <c r="T680" s="22" t="str">
        <f aca="false">IF($X680="","",S680+P680)</f>
        <v/>
      </c>
      <c r="U680" s="22" t="str">
        <f aca="false">IF($X680="","",V680-T680)</f>
        <v/>
      </c>
      <c r="V680" s="22" t="str">
        <f aca="false">IF($X680="","",O680+R680)</f>
        <v/>
      </c>
      <c r="W680" s="22" t="str">
        <f aca="false">IF($X680="","",U680-L680)</f>
        <v/>
      </c>
      <c r="X680" s="24" t="str">
        <f aca="false">IF(ROWS($X$2:$X680)&lt;=MAX('Per Line'!$AI$2:$AI$4001),MATCH(ROWS($X$2:$X680),'Per Line'!$AI$2:$AI$4001,0),"")</f>
        <v/>
      </c>
    </row>
    <row r="681" customFormat="false" ht="15" hidden="false" customHeight="false" outlineLevel="0" collapsed="false">
      <c r="A681" s="19"/>
      <c r="B681" s="20" t="str">
        <f aca="false">IF($X681="","",INDEX('Per Line'!$D$2:$D$4001,$X681))</f>
        <v/>
      </c>
      <c r="C681" s="20" t="str">
        <f aca="false">IF($X681="","",INDEX('Per Line'!$C$2:$C$4001,$X681))</f>
        <v/>
      </c>
      <c r="D681" s="20" t="str">
        <f aca="false">IF($X681="","",INDEX('Per Line'!$A$2:$A$4001,$X681))</f>
        <v/>
      </c>
      <c r="E681" s="21" t="str">
        <f aca="false">IF($X681="","",INDEX('Per Line'!$F$2:$F$4001,$X681))</f>
        <v/>
      </c>
      <c r="F681" s="20" t="str">
        <f aca="false">IF($X681="","",INDEX('Per Line'!$G$2:$G$4001,$X681))</f>
        <v/>
      </c>
      <c r="G681" s="20" t="str">
        <f aca="false">IF($X681="","",INDEX('Per Line'!$I$2:$I$4001,$X681))</f>
        <v/>
      </c>
      <c r="H681" s="20" t="str">
        <f aca="false">IF($X681="","",INDEX('Per Line'!$J$2:$J$4001,$X681))</f>
        <v/>
      </c>
      <c r="I681" s="20" t="str">
        <f aca="false">IF($X681="","",INDEX('Per Line'!$K$2:$K$4001,$X681))</f>
        <v/>
      </c>
      <c r="J681" s="20" t="str">
        <f aca="false">IF($X681="","",INDEX('Per Line'!$L$2:$L$4001,$X681))</f>
        <v/>
      </c>
      <c r="K681" s="20" t="str">
        <f aca="false">IF($X681="","",INDEX('Per Line'!$M$2:$M$4001,$X681))</f>
        <v/>
      </c>
      <c r="L681" s="22" t="str">
        <f aca="false">IF($X681="","",K681*V681/100)</f>
        <v/>
      </c>
      <c r="M681" s="20" t="str">
        <f aca="false">IF($X681="","",INDEX('Per Line'!$Z$2:$Z$4001,$X681))</f>
        <v/>
      </c>
      <c r="N681" s="23" t="str">
        <f aca="false">IF($X681="","",Settings!$C$7)</f>
        <v/>
      </c>
      <c r="O681" s="22" t="str">
        <f aca="false">IF($X681="","",SUMIFS('Per Line'!$Y$2:$Y$4001,'Per Line'!$D$2:$D$4001,$B681,'Per Line'!$AJ$2:$AJ$4001,0))</f>
        <v/>
      </c>
      <c r="P681" s="22" t="str">
        <f aca="false">IF($X681="","",O681*N681)</f>
        <v/>
      </c>
      <c r="Q681" s="23" t="str">
        <f aca="false">IF($X681="","",Settings!$C$6)</f>
        <v/>
      </c>
      <c r="R681" s="22" t="str">
        <f aca="false">IF($X681="","",SUMIFS('Per Line'!$Y$2:$Y$4001,'Per Line'!$D$2:$D$4001,$B681,'Per Line'!$AJ$2:$AJ$4001,1))</f>
        <v/>
      </c>
      <c r="S681" s="22" t="str">
        <f aca="false">IF($X681="","",R681*Q681)</f>
        <v/>
      </c>
      <c r="T681" s="22" t="str">
        <f aca="false">IF($X681="","",S681+P681)</f>
        <v/>
      </c>
      <c r="U681" s="22" t="str">
        <f aca="false">IF($X681="","",V681-T681)</f>
        <v/>
      </c>
      <c r="V681" s="22" t="str">
        <f aca="false">IF($X681="","",O681+R681)</f>
        <v/>
      </c>
      <c r="W681" s="22" t="str">
        <f aca="false">IF($X681="","",U681-L681)</f>
        <v/>
      </c>
      <c r="X681" s="24" t="str">
        <f aca="false">IF(ROWS($X$2:$X681)&lt;=MAX('Per Line'!$AI$2:$AI$4001),MATCH(ROWS($X$2:$X681),'Per Line'!$AI$2:$AI$4001,0),"")</f>
        <v/>
      </c>
    </row>
    <row r="682" customFormat="false" ht="15" hidden="false" customHeight="false" outlineLevel="0" collapsed="false">
      <c r="A682" s="19"/>
      <c r="B682" s="20" t="str">
        <f aca="false">IF($X682="","",INDEX('Per Line'!$D$2:$D$4001,$X682))</f>
        <v/>
      </c>
      <c r="C682" s="20" t="str">
        <f aca="false">IF($X682="","",INDEX('Per Line'!$C$2:$C$4001,$X682))</f>
        <v/>
      </c>
      <c r="D682" s="20" t="str">
        <f aca="false">IF($X682="","",INDEX('Per Line'!$A$2:$A$4001,$X682))</f>
        <v/>
      </c>
      <c r="E682" s="21" t="str">
        <f aca="false">IF($X682="","",INDEX('Per Line'!$F$2:$F$4001,$X682))</f>
        <v/>
      </c>
      <c r="F682" s="20" t="str">
        <f aca="false">IF($X682="","",INDEX('Per Line'!$G$2:$G$4001,$X682))</f>
        <v/>
      </c>
      <c r="G682" s="20" t="str">
        <f aca="false">IF($X682="","",INDEX('Per Line'!$I$2:$I$4001,$X682))</f>
        <v/>
      </c>
      <c r="H682" s="20" t="str">
        <f aca="false">IF($X682="","",INDEX('Per Line'!$J$2:$J$4001,$X682))</f>
        <v/>
      </c>
      <c r="I682" s="20" t="str">
        <f aca="false">IF($X682="","",INDEX('Per Line'!$K$2:$K$4001,$X682))</f>
        <v/>
      </c>
      <c r="J682" s="20" t="str">
        <f aca="false">IF($X682="","",INDEX('Per Line'!$L$2:$L$4001,$X682))</f>
        <v/>
      </c>
      <c r="K682" s="20" t="str">
        <f aca="false">IF($X682="","",INDEX('Per Line'!$M$2:$M$4001,$X682))</f>
        <v/>
      </c>
      <c r="L682" s="22" t="str">
        <f aca="false">IF($X682="","",K682*V682/100)</f>
        <v/>
      </c>
      <c r="M682" s="20" t="str">
        <f aca="false">IF($X682="","",INDEX('Per Line'!$Z$2:$Z$4001,$X682))</f>
        <v/>
      </c>
      <c r="N682" s="23" t="str">
        <f aca="false">IF($X682="","",Settings!$C$7)</f>
        <v/>
      </c>
      <c r="O682" s="22" t="str">
        <f aca="false">IF($X682="","",SUMIFS('Per Line'!$Y$2:$Y$4001,'Per Line'!$D$2:$D$4001,$B682,'Per Line'!$AJ$2:$AJ$4001,0))</f>
        <v/>
      </c>
      <c r="P682" s="22" t="str">
        <f aca="false">IF($X682="","",O682*N682)</f>
        <v/>
      </c>
      <c r="Q682" s="23" t="str">
        <f aca="false">IF($X682="","",Settings!$C$6)</f>
        <v/>
      </c>
      <c r="R682" s="22" t="str">
        <f aca="false">IF($X682="","",SUMIFS('Per Line'!$Y$2:$Y$4001,'Per Line'!$D$2:$D$4001,$B682,'Per Line'!$AJ$2:$AJ$4001,1))</f>
        <v/>
      </c>
      <c r="S682" s="22" t="str">
        <f aca="false">IF($X682="","",R682*Q682)</f>
        <v/>
      </c>
      <c r="T682" s="22" t="str">
        <f aca="false">IF($X682="","",S682+P682)</f>
        <v/>
      </c>
      <c r="U682" s="22" t="str">
        <f aca="false">IF($X682="","",V682-T682)</f>
        <v/>
      </c>
      <c r="V682" s="22" t="str">
        <f aca="false">IF($X682="","",O682+R682)</f>
        <v/>
      </c>
      <c r="W682" s="22" t="str">
        <f aca="false">IF($X682="","",U682-L682)</f>
        <v/>
      </c>
      <c r="X682" s="24" t="str">
        <f aca="false">IF(ROWS($X$2:$X682)&lt;=MAX('Per Line'!$AI$2:$AI$4001),MATCH(ROWS($X$2:$X682),'Per Line'!$AI$2:$AI$4001,0),"")</f>
        <v/>
      </c>
    </row>
    <row r="683" customFormat="false" ht="15" hidden="false" customHeight="false" outlineLevel="0" collapsed="false">
      <c r="A683" s="19"/>
      <c r="B683" s="20" t="str">
        <f aca="false">IF($X683="","",INDEX('Per Line'!$D$2:$D$4001,$X683))</f>
        <v/>
      </c>
      <c r="C683" s="20" t="str">
        <f aca="false">IF($X683="","",INDEX('Per Line'!$C$2:$C$4001,$X683))</f>
        <v/>
      </c>
      <c r="D683" s="20" t="str">
        <f aca="false">IF($X683="","",INDEX('Per Line'!$A$2:$A$4001,$X683))</f>
        <v/>
      </c>
      <c r="E683" s="21" t="str">
        <f aca="false">IF($X683="","",INDEX('Per Line'!$F$2:$F$4001,$X683))</f>
        <v/>
      </c>
      <c r="F683" s="20" t="str">
        <f aca="false">IF($X683="","",INDEX('Per Line'!$G$2:$G$4001,$X683))</f>
        <v/>
      </c>
      <c r="G683" s="20" t="str">
        <f aca="false">IF($X683="","",INDEX('Per Line'!$I$2:$I$4001,$X683))</f>
        <v/>
      </c>
      <c r="H683" s="20" t="str">
        <f aca="false">IF($X683="","",INDEX('Per Line'!$J$2:$J$4001,$X683))</f>
        <v/>
      </c>
      <c r="I683" s="20" t="str">
        <f aca="false">IF($X683="","",INDEX('Per Line'!$K$2:$K$4001,$X683))</f>
        <v/>
      </c>
      <c r="J683" s="20" t="str">
        <f aca="false">IF($X683="","",INDEX('Per Line'!$L$2:$L$4001,$X683))</f>
        <v/>
      </c>
      <c r="K683" s="20" t="str">
        <f aca="false">IF($X683="","",INDEX('Per Line'!$M$2:$M$4001,$X683))</f>
        <v/>
      </c>
      <c r="L683" s="22" t="str">
        <f aca="false">IF($X683="","",K683*V683/100)</f>
        <v/>
      </c>
      <c r="M683" s="20" t="str">
        <f aca="false">IF($X683="","",INDEX('Per Line'!$Z$2:$Z$4001,$X683))</f>
        <v/>
      </c>
      <c r="N683" s="23" t="str">
        <f aca="false">IF($X683="","",Settings!$C$7)</f>
        <v/>
      </c>
      <c r="O683" s="22" t="str">
        <f aca="false">IF($X683="","",SUMIFS('Per Line'!$Y$2:$Y$4001,'Per Line'!$D$2:$D$4001,$B683,'Per Line'!$AJ$2:$AJ$4001,0))</f>
        <v/>
      </c>
      <c r="P683" s="22" t="str">
        <f aca="false">IF($X683="","",O683*N683)</f>
        <v/>
      </c>
      <c r="Q683" s="23" t="str">
        <f aca="false">IF($X683="","",Settings!$C$6)</f>
        <v/>
      </c>
      <c r="R683" s="22" t="str">
        <f aca="false">IF($X683="","",SUMIFS('Per Line'!$Y$2:$Y$4001,'Per Line'!$D$2:$D$4001,$B683,'Per Line'!$AJ$2:$AJ$4001,1))</f>
        <v/>
      </c>
      <c r="S683" s="22" t="str">
        <f aca="false">IF($X683="","",R683*Q683)</f>
        <v/>
      </c>
      <c r="T683" s="22" t="str">
        <f aca="false">IF($X683="","",S683+P683)</f>
        <v/>
      </c>
      <c r="U683" s="22" t="str">
        <f aca="false">IF($X683="","",V683-T683)</f>
        <v/>
      </c>
      <c r="V683" s="22" t="str">
        <f aca="false">IF($X683="","",O683+R683)</f>
        <v/>
      </c>
      <c r="W683" s="22" t="str">
        <f aca="false">IF($X683="","",U683-L683)</f>
        <v/>
      </c>
      <c r="X683" s="24" t="str">
        <f aca="false">IF(ROWS($X$2:$X683)&lt;=MAX('Per Line'!$AI$2:$AI$4001),MATCH(ROWS($X$2:$X683),'Per Line'!$AI$2:$AI$4001,0),"")</f>
        <v/>
      </c>
    </row>
    <row r="684" customFormat="false" ht="15" hidden="false" customHeight="false" outlineLevel="0" collapsed="false">
      <c r="A684" s="19"/>
      <c r="B684" s="20" t="str">
        <f aca="false">IF($X684="","",INDEX('Per Line'!$D$2:$D$4001,$X684))</f>
        <v/>
      </c>
      <c r="C684" s="20" t="str">
        <f aca="false">IF($X684="","",INDEX('Per Line'!$C$2:$C$4001,$X684))</f>
        <v/>
      </c>
      <c r="D684" s="20" t="str">
        <f aca="false">IF($X684="","",INDEX('Per Line'!$A$2:$A$4001,$X684))</f>
        <v/>
      </c>
      <c r="E684" s="21" t="str">
        <f aca="false">IF($X684="","",INDEX('Per Line'!$F$2:$F$4001,$X684))</f>
        <v/>
      </c>
      <c r="F684" s="20" t="str">
        <f aca="false">IF($X684="","",INDEX('Per Line'!$G$2:$G$4001,$X684))</f>
        <v/>
      </c>
      <c r="G684" s="20" t="str">
        <f aca="false">IF($X684="","",INDEX('Per Line'!$I$2:$I$4001,$X684))</f>
        <v/>
      </c>
      <c r="H684" s="20" t="str">
        <f aca="false">IF($X684="","",INDEX('Per Line'!$J$2:$J$4001,$X684))</f>
        <v/>
      </c>
      <c r="I684" s="20" t="str">
        <f aca="false">IF($X684="","",INDEX('Per Line'!$K$2:$K$4001,$X684))</f>
        <v/>
      </c>
      <c r="J684" s="20" t="str">
        <f aca="false">IF($X684="","",INDEX('Per Line'!$L$2:$L$4001,$X684))</f>
        <v/>
      </c>
      <c r="K684" s="20" t="str">
        <f aca="false">IF($X684="","",INDEX('Per Line'!$M$2:$M$4001,$X684))</f>
        <v/>
      </c>
      <c r="L684" s="22" t="str">
        <f aca="false">IF($X684="","",K684*V684/100)</f>
        <v/>
      </c>
      <c r="M684" s="20" t="str">
        <f aca="false">IF($X684="","",INDEX('Per Line'!$Z$2:$Z$4001,$X684))</f>
        <v/>
      </c>
      <c r="N684" s="23" t="str">
        <f aca="false">IF($X684="","",Settings!$C$7)</f>
        <v/>
      </c>
      <c r="O684" s="22" t="str">
        <f aca="false">IF($X684="","",SUMIFS('Per Line'!$Y$2:$Y$4001,'Per Line'!$D$2:$D$4001,$B684,'Per Line'!$AJ$2:$AJ$4001,0))</f>
        <v/>
      </c>
      <c r="P684" s="22" t="str">
        <f aca="false">IF($X684="","",O684*N684)</f>
        <v/>
      </c>
      <c r="Q684" s="23" t="str">
        <f aca="false">IF($X684="","",Settings!$C$6)</f>
        <v/>
      </c>
      <c r="R684" s="22" t="str">
        <f aca="false">IF($X684="","",SUMIFS('Per Line'!$Y$2:$Y$4001,'Per Line'!$D$2:$D$4001,$B684,'Per Line'!$AJ$2:$AJ$4001,1))</f>
        <v/>
      </c>
      <c r="S684" s="22" t="str">
        <f aca="false">IF($X684="","",R684*Q684)</f>
        <v/>
      </c>
      <c r="T684" s="22" t="str">
        <f aca="false">IF($X684="","",S684+P684)</f>
        <v/>
      </c>
      <c r="U684" s="22" t="str">
        <f aca="false">IF($X684="","",V684-T684)</f>
        <v/>
      </c>
      <c r="V684" s="22" t="str">
        <f aca="false">IF($X684="","",O684+R684)</f>
        <v/>
      </c>
      <c r="W684" s="22" t="str">
        <f aca="false">IF($X684="","",U684-L684)</f>
        <v/>
      </c>
      <c r="X684" s="24" t="str">
        <f aca="false">IF(ROWS($X$2:$X684)&lt;=MAX('Per Line'!$AI$2:$AI$4001),MATCH(ROWS($X$2:$X684),'Per Line'!$AI$2:$AI$4001,0),"")</f>
        <v/>
      </c>
    </row>
    <row r="685" customFormat="false" ht="15" hidden="false" customHeight="false" outlineLevel="0" collapsed="false">
      <c r="A685" s="19"/>
      <c r="B685" s="20" t="str">
        <f aca="false">IF($X685="","",INDEX('Per Line'!$D$2:$D$4001,$X685))</f>
        <v/>
      </c>
      <c r="C685" s="20" t="str">
        <f aca="false">IF($X685="","",INDEX('Per Line'!$C$2:$C$4001,$X685))</f>
        <v/>
      </c>
      <c r="D685" s="20" t="str">
        <f aca="false">IF($X685="","",INDEX('Per Line'!$A$2:$A$4001,$X685))</f>
        <v/>
      </c>
      <c r="E685" s="21" t="str">
        <f aca="false">IF($X685="","",INDEX('Per Line'!$F$2:$F$4001,$X685))</f>
        <v/>
      </c>
      <c r="F685" s="20" t="str">
        <f aca="false">IF($X685="","",INDEX('Per Line'!$G$2:$G$4001,$X685))</f>
        <v/>
      </c>
      <c r="G685" s="20" t="str">
        <f aca="false">IF($X685="","",INDEX('Per Line'!$I$2:$I$4001,$X685))</f>
        <v/>
      </c>
      <c r="H685" s="20" t="str">
        <f aca="false">IF($X685="","",INDEX('Per Line'!$J$2:$J$4001,$X685))</f>
        <v/>
      </c>
      <c r="I685" s="20" t="str">
        <f aca="false">IF($X685="","",INDEX('Per Line'!$K$2:$K$4001,$X685))</f>
        <v/>
      </c>
      <c r="J685" s="20" t="str">
        <f aca="false">IF($X685="","",INDEX('Per Line'!$L$2:$L$4001,$X685))</f>
        <v/>
      </c>
      <c r="K685" s="20" t="str">
        <f aca="false">IF($X685="","",INDEX('Per Line'!$M$2:$M$4001,$X685))</f>
        <v/>
      </c>
      <c r="L685" s="22" t="str">
        <f aca="false">IF($X685="","",K685*V685/100)</f>
        <v/>
      </c>
      <c r="M685" s="20" t="str">
        <f aca="false">IF($X685="","",INDEX('Per Line'!$Z$2:$Z$4001,$X685))</f>
        <v/>
      </c>
      <c r="N685" s="23" t="str">
        <f aca="false">IF($X685="","",Settings!$C$7)</f>
        <v/>
      </c>
      <c r="O685" s="22" t="str">
        <f aca="false">IF($X685="","",SUMIFS('Per Line'!$Y$2:$Y$4001,'Per Line'!$D$2:$D$4001,$B685,'Per Line'!$AJ$2:$AJ$4001,0))</f>
        <v/>
      </c>
      <c r="P685" s="22" t="str">
        <f aca="false">IF($X685="","",O685*N685)</f>
        <v/>
      </c>
      <c r="Q685" s="23" t="str">
        <f aca="false">IF($X685="","",Settings!$C$6)</f>
        <v/>
      </c>
      <c r="R685" s="22" t="str">
        <f aca="false">IF($X685="","",SUMIFS('Per Line'!$Y$2:$Y$4001,'Per Line'!$D$2:$D$4001,$B685,'Per Line'!$AJ$2:$AJ$4001,1))</f>
        <v/>
      </c>
      <c r="S685" s="22" t="str">
        <f aca="false">IF($X685="","",R685*Q685)</f>
        <v/>
      </c>
      <c r="T685" s="22" t="str">
        <f aca="false">IF($X685="","",S685+P685)</f>
        <v/>
      </c>
      <c r="U685" s="22" t="str">
        <f aca="false">IF($X685="","",V685-T685)</f>
        <v/>
      </c>
      <c r="V685" s="22" t="str">
        <f aca="false">IF($X685="","",O685+R685)</f>
        <v/>
      </c>
      <c r="W685" s="22" t="str">
        <f aca="false">IF($X685="","",U685-L685)</f>
        <v/>
      </c>
      <c r="X685" s="24" t="str">
        <f aca="false">IF(ROWS($X$2:$X685)&lt;=MAX('Per Line'!$AI$2:$AI$4001),MATCH(ROWS($X$2:$X685),'Per Line'!$AI$2:$AI$4001,0),"")</f>
        <v/>
      </c>
    </row>
    <row r="686" customFormat="false" ht="15" hidden="false" customHeight="false" outlineLevel="0" collapsed="false">
      <c r="A686" s="19"/>
      <c r="B686" s="20" t="str">
        <f aca="false">IF($X686="","",INDEX('Per Line'!$D$2:$D$4001,$X686))</f>
        <v/>
      </c>
      <c r="C686" s="20" t="str">
        <f aca="false">IF($X686="","",INDEX('Per Line'!$C$2:$C$4001,$X686))</f>
        <v/>
      </c>
      <c r="D686" s="20" t="str">
        <f aca="false">IF($X686="","",INDEX('Per Line'!$A$2:$A$4001,$X686))</f>
        <v/>
      </c>
      <c r="E686" s="21" t="str">
        <f aca="false">IF($X686="","",INDEX('Per Line'!$F$2:$F$4001,$X686))</f>
        <v/>
      </c>
      <c r="F686" s="20" t="str">
        <f aca="false">IF($X686="","",INDEX('Per Line'!$G$2:$G$4001,$X686))</f>
        <v/>
      </c>
      <c r="G686" s="20" t="str">
        <f aca="false">IF($X686="","",INDEX('Per Line'!$I$2:$I$4001,$X686))</f>
        <v/>
      </c>
      <c r="H686" s="20" t="str">
        <f aca="false">IF($X686="","",INDEX('Per Line'!$J$2:$J$4001,$X686))</f>
        <v/>
      </c>
      <c r="I686" s="20" t="str">
        <f aca="false">IF($X686="","",INDEX('Per Line'!$K$2:$K$4001,$X686))</f>
        <v/>
      </c>
      <c r="J686" s="20" t="str">
        <f aca="false">IF($X686="","",INDEX('Per Line'!$L$2:$L$4001,$X686))</f>
        <v/>
      </c>
      <c r="K686" s="20" t="str">
        <f aca="false">IF($X686="","",INDEX('Per Line'!$M$2:$M$4001,$X686))</f>
        <v/>
      </c>
      <c r="L686" s="22" t="str">
        <f aca="false">IF($X686="","",K686*V686/100)</f>
        <v/>
      </c>
      <c r="M686" s="20" t="str">
        <f aca="false">IF($X686="","",INDEX('Per Line'!$Z$2:$Z$4001,$X686))</f>
        <v/>
      </c>
      <c r="N686" s="23" t="str">
        <f aca="false">IF($X686="","",Settings!$C$7)</f>
        <v/>
      </c>
      <c r="O686" s="22" t="str">
        <f aca="false">IF($X686="","",SUMIFS('Per Line'!$Y$2:$Y$4001,'Per Line'!$D$2:$D$4001,$B686,'Per Line'!$AJ$2:$AJ$4001,0))</f>
        <v/>
      </c>
      <c r="P686" s="22" t="str">
        <f aca="false">IF($X686="","",O686*N686)</f>
        <v/>
      </c>
      <c r="Q686" s="23" t="str">
        <f aca="false">IF($X686="","",Settings!$C$6)</f>
        <v/>
      </c>
      <c r="R686" s="22" t="str">
        <f aca="false">IF($X686="","",SUMIFS('Per Line'!$Y$2:$Y$4001,'Per Line'!$D$2:$D$4001,$B686,'Per Line'!$AJ$2:$AJ$4001,1))</f>
        <v/>
      </c>
      <c r="S686" s="22" t="str">
        <f aca="false">IF($X686="","",R686*Q686)</f>
        <v/>
      </c>
      <c r="T686" s="22" t="str">
        <f aca="false">IF($X686="","",S686+P686)</f>
        <v/>
      </c>
      <c r="U686" s="22" t="str">
        <f aca="false">IF($X686="","",V686-T686)</f>
        <v/>
      </c>
      <c r="V686" s="22" t="str">
        <f aca="false">IF($X686="","",O686+R686)</f>
        <v/>
      </c>
      <c r="W686" s="22" t="str">
        <f aca="false">IF($X686="","",U686-L686)</f>
        <v/>
      </c>
      <c r="X686" s="24" t="str">
        <f aca="false">IF(ROWS($X$2:$X686)&lt;=MAX('Per Line'!$AI$2:$AI$4001),MATCH(ROWS($X$2:$X686),'Per Line'!$AI$2:$AI$4001,0),"")</f>
        <v/>
      </c>
    </row>
    <row r="687" customFormat="false" ht="15" hidden="false" customHeight="false" outlineLevel="0" collapsed="false">
      <c r="A687" s="19"/>
      <c r="B687" s="20" t="str">
        <f aca="false">IF($X687="","",INDEX('Per Line'!$D$2:$D$4001,$X687))</f>
        <v/>
      </c>
      <c r="C687" s="20" t="str">
        <f aca="false">IF($X687="","",INDEX('Per Line'!$C$2:$C$4001,$X687))</f>
        <v/>
      </c>
      <c r="D687" s="20" t="str">
        <f aca="false">IF($X687="","",INDEX('Per Line'!$A$2:$A$4001,$X687))</f>
        <v/>
      </c>
      <c r="E687" s="21" t="str">
        <f aca="false">IF($X687="","",INDEX('Per Line'!$F$2:$F$4001,$X687))</f>
        <v/>
      </c>
      <c r="F687" s="20" t="str">
        <f aca="false">IF($X687="","",INDEX('Per Line'!$G$2:$G$4001,$X687))</f>
        <v/>
      </c>
      <c r="G687" s="20" t="str">
        <f aca="false">IF($X687="","",INDEX('Per Line'!$I$2:$I$4001,$X687))</f>
        <v/>
      </c>
      <c r="H687" s="20" t="str">
        <f aca="false">IF($X687="","",INDEX('Per Line'!$J$2:$J$4001,$X687))</f>
        <v/>
      </c>
      <c r="I687" s="20" t="str">
        <f aca="false">IF($X687="","",INDEX('Per Line'!$K$2:$K$4001,$X687))</f>
        <v/>
      </c>
      <c r="J687" s="20" t="str">
        <f aca="false">IF($X687="","",INDEX('Per Line'!$L$2:$L$4001,$X687))</f>
        <v/>
      </c>
      <c r="K687" s="20" t="str">
        <f aca="false">IF($X687="","",INDEX('Per Line'!$M$2:$M$4001,$X687))</f>
        <v/>
      </c>
      <c r="L687" s="22" t="str">
        <f aca="false">IF($X687="","",K687*V687/100)</f>
        <v/>
      </c>
      <c r="M687" s="20" t="str">
        <f aca="false">IF($X687="","",INDEX('Per Line'!$Z$2:$Z$4001,$X687))</f>
        <v/>
      </c>
      <c r="N687" s="23" t="str">
        <f aca="false">IF($X687="","",Settings!$C$7)</f>
        <v/>
      </c>
      <c r="O687" s="22" t="str">
        <f aca="false">IF($X687="","",SUMIFS('Per Line'!$Y$2:$Y$4001,'Per Line'!$D$2:$D$4001,$B687,'Per Line'!$AJ$2:$AJ$4001,0))</f>
        <v/>
      </c>
      <c r="P687" s="22" t="str">
        <f aca="false">IF($X687="","",O687*N687)</f>
        <v/>
      </c>
      <c r="Q687" s="23" t="str">
        <f aca="false">IF($X687="","",Settings!$C$6)</f>
        <v/>
      </c>
      <c r="R687" s="22" t="str">
        <f aca="false">IF($X687="","",SUMIFS('Per Line'!$Y$2:$Y$4001,'Per Line'!$D$2:$D$4001,$B687,'Per Line'!$AJ$2:$AJ$4001,1))</f>
        <v/>
      </c>
      <c r="S687" s="22" t="str">
        <f aca="false">IF($X687="","",R687*Q687)</f>
        <v/>
      </c>
      <c r="T687" s="22" t="str">
        <f aca="false">IF($X687="","",S687+P687)</f>
        <v/>
      </c>
      <c r="U687" s="22" t="str">
        <f aca="false">IF($X687="","",V687-T687)</f>
        <v/>
      </c>
      <c r="V687" s="22" t="str">
        <f aca="false">IF($X687="","",O687+R687)</f>
        <v/>
      </c>
      <c r="W687" s="22" t="str">
        <f aca="false">IF($X687="","",U687-L687)</f>
        <v/>
      </c>
      <c r="X687" s="24" t="str">
        <f aca="false">IF(ROWS($X$2:$X687)&lt;=MAX('Per Line'!$AI$2:$AI$4001),MATCH(ROWS($X$2:$X687),'Per Line'!$AI$2:$AI$4001,0),"")</f>
        <v/>
      </c>
    </row>
    <row r="688" customFormat="false" ht="15" hidden="false" customHeight="false" outlineLevel="0" collapsed="false">
      <c r="A688" s="19"/>
      <c r="B688" s="20" t="str">
        <f aca="false">IF($X688="","",INDEX('Per Line'!$D$2:$D$4001,$X688))</f>
        <v/>
      </c>
      <c r="C688" s="20" t="str">
        <f aca="false">IF($X688="","",INDEX('Per Line'!$C$2:$C$4001,$X688))</f>
        <v/>
      </c>
      <c r="D688" s="20" t="str">
        <f aca="false">IF($X688="","",INDEX('Per Line'!$A$2:$A$4001,$X688))</f>
        <v/>
      </c>
      <c r="E688" s="21" t="str">
        <f aca="false">IF($X688="","",INDEX('Per Line'!$F$2:$F$4001,$X688))</f>
        <v/>
      </c>
      <c r="F688" s="20" t="str">
        <f aca="false">IF($X688="","",INDEX('Per Line'!$G$2:$G$4001,$X688))</f>
        <v/>
      </c>
      <c r="G688" s="20" t="str">
        <f aca="false">IF($X688="","",INDEX('Per Line'!$I$2:$I$4001,$X688))</f>
        <v/>
      </c>
      <c r="H688" s="20" t="str">
        <f aca="false">IF($X688="","",INDEX('Per Line'!$J$2:$J$4001,$X688))</f>
        <v/>
      </c>
      <c r="I688" s="20" t="str">
        <f aca="false">IF($X688="","",INDEX('Per Line'!$K$2:$K$4001,$X688))</f>
        <v/>
      </c>
      <c r="J688" s="20" t="str">
        <f aca="false">IF($X688="","",INDEX('Per Line'!$L$2:$L$4001,$X688))</f>
        <v/>
      </c>
      <c r="K688" s="20" t="str">
        <f aca="false">IF($X688="","",INDEX('Per Line'!$M$2:$M$4001,$X688))</f>
        <v/>
      </c>
      <c r="L688" s="22" t="str">
        <f aca="false">IF($X688="","",K688*V688/100)</f>
        <v/>
      </c>
      <c r="M688" s="20" t="str">
        <f aca="false">IF($X688="","",INDEX('Per Line'!$Z$2:$Z$4001,$X688))</f>
        <v/>
      </c>
      <c r="N688" s="23" t="str">
        <f aca="false">IF($X688="","",Settings!$C$7)</f>
        <v/>
      </c>
      <c r="O688" s="22" t="str">
        <f aca="false">IF($X688="","",SUMIFS('Per Line'!$Y$2:$Y$4001,'Per Line'!$D$2:$D$4001,$B688,'Per Line'!$AJ$2:$AJ$4001,0))</f>
        <v/>
      </c>
      <c r="P688" s="22" t="str">
        <f aca="false">IF($X688="","",O688*N688)</f>
        <v/>
      </c>
      <c r="Q688" s="23" t="str">
        <f aca="false">IF($X688="","",Settings!$C$6)</f>
        <v/>
      </c>
      <c r="R688" s="22" t="str">
        <f aca="false">IF($X688="","",SUMIFS('Per Line'!$Y$2:$Y$4001,'Per Line'!$D$2:$D$4001,$B688,'Per Line'!$AJ$2:$AJ$4001,1))</f>
        <v/>
      </c>
      <c r="S688" s="22" t="str">
        <f aca="false">IF($X688="","",R688*Q688)</f>
        <v/>
      </c>
      <c r="T688" s="22" t="str">
        <f aca="false">IF($X688="","",S688+P688)</f>
        <v/>
      </c>
      <c r="U688" s="22" t="str">
        <f aca="false">IF($X688="","",V688-T688)</f>
        <v/>
      </c>
      <c r="V688" s="22" t="str">
        <f aca="false">IF($X688="","",O688+R688)</f>
        <v/>
      </c>
      <c r="W688" s="22" t="str">
        <f aca="false">IF($X688="","",U688-L688)</f>
        <v/>
      </c>
      <c r="X688" s="24" t="str">
        <f aca="false">IF(ROWS($X$2:$X688)&lt;=MAX('Per Line'!$AI$2:$AI$4001),MATCH(ROWS($X$2:$X688),'Per Line'!$AI$2:$AI$4001,0),"")</f>
        <v/>
      </c>
    </row>
    <row r="689" customFormat="false" ht="15" hidden="false" customHeight="false" outlineLevel="0" collapsed="false">
      <c r="A689" s="19"/>
      <c r="B689" s="20" t="str">
        <f aca="false">IF($X689="","",INDEX('Per Line'!$D$2:$D$4001,$X689))</f>
        <v/>
      </c>
      <c r="C689" s="20" t="str">
        <f aca="false">IF($X689="","",INDEX('Per Line'!$C$2:$C$4001,$X689))</f>
        <v/>
      </c>
      <c r="D689" s="20" t="str">
        <f aca="false">IF($X689="","",INDEX('Per Line'!$A$2:$A$4001,$X689))</f>
        <v/>
      </c>
      <c r="E689" s="21" t="str">
        <f aca="false">IF($X689="","",INDEX('Per Line'!$F$2:$F$4001,$X689))</f>
        <v/>
      </c>
      <c r="F689" s="20" t="str">
        <f aca="false">IF($X689="","",INDEX('Per Line'!$G$2:$G$4001,$X689))</f>
        <v/>
      </c>
      <c r="G689" s="20" t="str">
        <f aca="false">IF($X689="","",INDEX('Per Line'!$I$2:$I$4001,$X689))</f>
        <v/>
      </c>
      <c r="H689" s="20" t="str">
        <f aca="false">IF($X689="","",INDEX('Per Line'!$J$2:$J$4001,$X689))</f>
        <v/>
      </c>
      <c r="I689" s="20" t="str">
        <f aca="false">IF($X689="","",INDEX('Per Line'!$K$2:$K$4001,$X689))</f>
        <v/>
      </c>
      <c r="J689" s="20" t="str">
        <f aca="false">IF($X689="","",INDEX('Per Line'!$L$2:$L$4001,$X689))</f>
        <v/>
      </c>
      <c r="K689" s="20" t="str">
        <f aca="false">IF($X689="","",INDEX('Per Line'!$M$2:$M$4001,$X689))</f>
        <v/>
      </c>
      <c r="L689" s="22" t="str">
        <f aca="false">IF($X689="","",K689*V689/100)</f>
        <v/>
      </c>
      <c r="M689" s="20" t="str">
        <f aca="false">IF($X689="","",INDEX('Per Line'!$Z$2:$Z$4001,$X689))</f>
        <v/>
      </c>
      <c r="N689" s="23" t="str">
        <f aca="false">IF($X689="","",Settings!$C$7)</f>
        <v/>
      </c>
      <c r="O689" s="22" t="str">
        <f aca="false">IF($X689="","",SUMIFS('Per Line'!$Y$2:$Y$4001,'Per Line'!$D$2:$D$4001,$B689,'Per Line'!$AJ$2:$AJ$4001,0))</f>
        <v/>
      </c>
      <c r="P689" s="22" t="str">
        <f aca="false">IF($X689="","",O689*N689)</f>
        <v/>
      </c>
      <c r="Q689" s="23" t="str">
        <f aca="false">IF($X689="","",Settings!$C$6)</f>
        <v/>
      </c>
      <c r="R689" s="22" t="str">
        <f aca="false">IF($X689="","",SUMIFS('Per Line'!$Y$2:$Y$4001,'Per Line'!$D$2:$D$4001,$B689,'Per Line'!$AJ$2:$AJ$4001,1))</f>
        <v/>
      </c>
      <c r="S689" s="22" t="str">
        <f aca="false">IF($X689="","",R689*Q689)</f>
        <v/>
      </c>
      <c r="T689" s="22" t="str">
        <f aca="false">IF($X689="","",S689+P689)</f>
        <v/>
      </c>
      <c r="U689" s="22" t="str">
        <f aca="false">IF($X689="","",V689-T689)</f>
        <v/>
      </c>
      <c r="V689" s="22" t="str">
        <f aca="false">IF($X689="","",O689+R689)</f>
        <v/>
      </c>
      <c r="W689" s="22" t="str">
        <f aca="false">IF($X689="","",U689-L689)</f>
        <v/>
      </c>
      <c r="X689" s="24" t="str">
        <f aca="false">IF(ROWS($X$2:$X689)&lt;=MAX('Per Line'!$AI$2:$AI$4001),MATCH(ROWS($X$2:$X689),'Per Line'!$AI$2:$AI$4001,0),"")</f>
        <v/>
      </c>
    </row>
    <row r="690" customFormat="false" ht="15" hidden="false" customHeight="false" outlineLevel="0" collapsed="false">
      <c r="A690" s="19"/>
      <c r="B690" s="20" t="str">
        <f aca="false">IF($X690="","",INDEX('Per Line'!$D$2:$D$4001,$X690))</f>
        <v/>
      </c>
      <c r="C690" s="20" t="str">
        <f aca="false">IF($X690="","",INDEX('Per Line'!$C$2:$C$4001,$X690))</f>
        <v/>
      </c>
      <c r="D690" s="20" t="str">
        <f aca="false">IF($X690="","",INDEX('Per Line'!$A$2:$A$4001,$X690))</f>
        <v/>
      </c>
      <c r="E690" s="21" t="str">
        <f aca="false">IF($X690="","",INDEX('Per Line'!$F$2:$F$4001,$X690))</f>
        <v/>
      </c>
      <c r="F690" s="20" t="str">
        <f aca="false">IF($X690="","",INDEX('Per Line'!$G$2:$G$4001,$X690))</f>
        <v/>
      </c>
      <c r="G690" s="20" t="str">
        <f aca="false">IF($X690="","",INDEX('Per Line'!$I$2:$I$4001,$X690))</f>
        <v/>
      </c>
      <c r="H690" s="20" t="str">
        <f aca="false">IF($X690="","",INDEX('Per Line'!$J$2:$J$4001,$X690))</f>
        <v/>
      </c>
      <c r="I690" s="20" t="str">
        <f aca="false">IF($X690="","",INDEX('Per Line'!$K$2:$K$4001,$X690))</f>
        <v/>
      </c>
      <c r="J690" s="20" t="str">
        <f aca="false">IF($X690="","",INDEX('Per Line'!$L$2:$L$4001,$X690))</f>
        <v/>
      </c>
      <c r="K690" s="20" t="str">
        <f aca="false">IF($X690="","",INDEX('Per Line'!$M$2:$M$4001,$X690))</f>
        <v/>
      </c>
      <c r="L690" s="22" t="str">
        <f aca="false">IF($X690="","",K690*V690/100)</f>
        <v/>
      </c>
      <c r="M690" s="20" t="str">
        <f aca="false">IF($X690="","",INDEX('Per Line'!$Z$2:$Z$4001,$X690))</f>
        <v/>
      </c>
      <c r="N690" s="23" t="str">
        <f aca="false">IF($X690="","",Settings!$C$7)</f>
        <v/>
      </c>
      <c r="O690" s="22" t="str">
        <f aca="false">IF($X690="","",SUMIFS('Per Line'!$Y$2:$Y$4001,'Per Line'!$D$2:$D$4001,$B690,'Per Line'!$AJ$2:$AJ$4001,0))</f>
        <v/>
      </c>
      <c r="P690" s="22" t="str">
        <f aca="false">IF($X690="","",O690*N690)</f>
        <v/>
      </c>
      <c r="Q690" s="23" t="str">
        <f aca="false">IF($X690="","",Settings!$C$6)</f>
        <v/>
      </c>
      <c r="R690" s="22" t="str">
        <f aca="false">IF($X690="","",SUMIFS('Per Line'!$Y$2:$Y$4001,'Per Line'!$D$2:$D$4001,$B690,'Per Line'!$AJ$2:$AJ$4001,1))</f>
        <v/>
      </c>
      <c r="S690" s="22" t="str">
        <f aca="false">IF($X690="","",R690*Q690)</f>
        <v/>
      </c>
      <c r="T690" s="22" t="str">
        <f aca="false">IF($X690="","",S690+P690)</f>
        <v/>
      </c>
      <c r="U690" s="22" t="str">
        <f aca="false">IF($X690="","",V690-T690)</f>
        <v/>
      </c>
      <c r="V690" s="22" t="str">
        <f aca="false">IF($X690="","",O690+R690)</f>
        <v/>
      </c>
      <c r="W690" s="22" t="str">
        <f aca="false">IF($X690="","",U690-L690)</f>
        <v/>
      </c>
      <c r="X690" s="24" t="str">
        <f aca="false">IF(ROWS($X$2:$X690)&lt;=MAX('Per Line'!$AI$2:$AI$4001),MATCH(ROWS($X$2:$X690),'Per Line'!$AI$2:$AI$4001,0),"")</f>
        <v/>
      </c>
    </row>
    <row r="691" customFormat="false" ht="15" hidden="false" customHeight="false" outlineLevel="0" collapsed="false">
      <c r="A691" s="19"/>
      <c r="B691" s="20" t="str">
        <f aca="false">IF($X691="","",INDEX('Per Line'!$D$2:$D$4001,$X691))</f>
        <v/>
      </c>
      <c r="C691" s="20" t="str">
        <f aca="false">IF($X691="","",INDEX('Per Line'!$C$2:$C$4001,$X691))</f>
        <v/>
      </c>
      <c r="D691" s="20" t="str">
        <f aca="false">IF($X691="","",INDEX('Per Line'!$A$2:$A$4001,$X691))</f>
        <v/>
      </c>
      <c r="E691" s="21" t="str">
        <f aca="false">IF($X691="","",INDEX('Per Line'!$F$2:$F$4001,$X691))</f>
        <v/>
      </c>
      <c r="F691" s="20" t="str">
        <f aca="false">IF($X691="","",INDEX('Per Line'!$G$2:$G$4001,$X691))</f>
        <v/>
      </c>
      <c r="G691" s="20" t="str">
        <f aca="false">IF($X691="","",INDEX('Per Line'!$I$2:$I$4001,$X691))</f>
        <v/>
      </c>
      <c r="H691" s="20" t="str">
        <f aca="false">IF($X691="","",INDEX('Per Line'!$J$2:$J$4001,$X691))</f>
        <v/>
      </c>
      <c r="I691" s="20" t="str">
        <f aca="false">IF($X691="","",INDEX('Per Line'!$K$2:$K$4001,$X691))</f>
        <v/>
      </c>
      <c r="J691" s="20" t="str">
        <f aca="false">IF($X691="","",INDEX('Per Line'!$L$2:$L$4001,$X691))</f>
        <v/>
      </c>
      <c r="K691" s="20" t="str">
        <f aca="false">IF($X691="","",INDEX('Per Line'!$M$2:$M$4001,$X691))</f>
        <v/>
      </c>
      <c r="L691" s="22" t="str">
        <f aca="false">IF($X691="","",K691*V691/100)</f>
        <v/>
      </c>
      <c r="M691" s="20" t="str">
        <f aca="false">IF($X691="","",INDEX('Per Line'!$Z$2:$Z$4001,$X691))</f>
        <v/>
      </c>
      <c r="N691" s="23" t="str">
        <f aca="false">IF($X691="","",Settings!$C$7)</f>
        <v/>
      </c>
      <c r="O691" s="22" t="str">
        <f aca="false">IF($X691="","",SUMIFS('Per Line'!$Y$2:$Y$4001,'Per Line'!$D$2:$D$4001,$B691,'Per Line'!$AJ$2:$AJ$4001,0))</f>
        <v/>
      </c>
      <c r="P691" s="22" t="str">
        <f aca="false">IF($X691="","",O691*N691)</f>
        <v/>
      </c>
      <c r="Q691" s="23" t="str">
        <f aca="false">IF($X691="","",Settings!$C$6)</f>
        <v/>
      </c>
      <c r="R691" s="22" t="str">
        <f aca="false">IF($X691="","",SUMIFS('Per Line'!$Y$2:$Y$4001,'Per Line'!$D$2:$D$4001,$B691,'Per Line'!$AJ$2:$AJ$4001,1))</f>
        <v/>
      </c>
      <c r="S691" s="22" t="str">
        <f aca="false">IF($X691="","",R691*Q691)</f>
        <v/>
      </c>
      <c r="T691" s="22" t="str">
        <f aca="false">IF($X691="","",S691+P691)</f>
        <v/>
      </c>
      <c r="U691" s="22" t="str">
        <f aca="false">IF($X691="","",V691-T691)</f>
        <v/>
      </c>
      <c r="V691" s="22" t="str">
        <f aca="false">IF($X691="","",O691+R691)</f>
        <v/>
      </c>
      <c r="W691" s="22" t="str">
        <f aca="false">IF($X691="","",U691-L691)</f>
        <v/>
      </c>
      <c r="X691" s="24" t="str">
        <f aca="false">IF(ROWS($X$2:$X691)&lt;=MAX('Per Line'!$AI$2:$AI$4001),MATCH(ROWS($X$2:$X691),'Per Line'!$AI$2:$AI$4001,0),"")</f>
        <v/>
      </c>
    </row>
    <row r="692" customFormat="false" ht="15" hidden="false" customHeight="false" outlineLevel="0" collapsed="false">
      <c r="A692" s="19"/>
      <c r="B692" s="20" t="str">
        <f aca="false">IF($X692="","",INDEX('Per Line'!$D$2:$D$4001,$X692))</f>
        <v/>
      </c>
      <c r="C692" s="20" t="str">
        <f aca="false">IF($X692="","",INDEX('Per Line'!$C$2:$C$4001,$X692))</f>
        <v/>
      </c>
      <c r="D692" s="20" t="str">
        <f aca="false">IF($X692="","",INDEX('Per Line'!$A$2:$A$4001,$X692))</f>
        <v/>
      </c>
      <c r="E692" s="21" t="str">
        <f aca="false">IF($X692="","",INDEX('Per Line'!$F$2:$F$4001,$X692))</f>
        <v/>
      </c>
      <c r="F692" s="20" t="str">
        <f aca="false">IF($X692="","",INDEX('Per Line'!$G$2:$G$4001,$X692))</f>
        <v/>
      </c>
      <c r="G692" s="20" t="str">
        <f aca="false">IF($X692="","",INDEX('Per Line'!$I$2:$I$4001,$X692))</f>
        <v/>
      </c>
      <c r="H692" s="20" t="str">
        <f aca="false">IF($X692="","",INDEX('Per Line'!$J$2:$J$4001,$X692))</f>
        <v/>
      </c>
      <c r="I692" s="20" t="str">
        <f aca="false">IF($X692="","",INDEX('Per Line'!$K$2:$K$4001,$X692))</f>
        <v/>
      </c>
      <c r="J692" s="20" t="str">
        <f aca="false">IF($X692="","",INDEX('Per Line'!$L$2:$L$4001,$X692))</f>
        <v/>
      </c>
      <c r="K692" s="20" t="str">
        <f aca="false">IF($X692="","",INDEX('Per Line'!$M$2:$M$4001,$X692))</f>
        <v/>
      </c>
      <c r="L692" s="22" t="str">
        <f aca="false">IF($X692="","",K692*V692/100)</f>
        <v/>
      </c>
      <c r="M692" s="20" t="str">
        <f aca="false">IF($X692="","",INDEX('Per Line'!$Z$2:$Z$4001,$X692))</f>
        <v/>
      </c>
      <c r="N692" s="23" t="str">
        <f aca="false">IF($X692="","",Settings!$C$7)</f>
        <v/>
      </c>
      <c r="O692" s="22" t="str">
        <f aca="false">IF($X692="","",SUMIFS('Per Line'!$Y$2:$Y$4001,'Per Line'!$D$2:$D$4001,$B692,'Per Line'!$AJ$2:$AJ$4001,0))</f>
        <v/>
      </c>
      <c r="P692" s="22" t="str">
        <f aca="false">IF($X692="","",O692*N692)</f>
        <v/>
      </c>
      <c r="Q692" s="23" t="str">
        <f aca="false">IF($X692="","",Settings!$C$6)</f>
        <v/>
      </c>
      <c r="R692" s="22" t="str">
        <f aca="false">IF($X692="","",SUMIFS('Per Line'!$Y$2:$Y$4001,'Per Line'!$D$2:$D$4001,$B692,'Per Line'!$AJ$2:$AJ$4001,1))</f>
        <v/>
      </c>
      <c r="S692" s="22" t="str">
        <f aca="false">IF($X692="","",R692*Q692)</f>
        <v/>
      </c>
      <c r="T692" s="22" t="str">
        <f aca="false">IF($X692="","",S692+P692)</f>
        <v/>
      </c>
      <c r="U692" s="22" t="str">
        <f aca="false">IF($X692="","",V692-T692)</f>
        <v/>
      </c>
      <c r="V692" s="22" t="str">
        <f aca="false">IF($X692="","",O692+R692)</f>
        <v/>
      </c>
      <c r="W692" s="22" t="str">
        <f aca="false">IF($X692="","",U692-L692)</f>
        <v/>
      </c>
      <c r="X692" s="24" t="str">
        <f aca="false">IF(ROWS($X$2:$X692)&lt;=MAX('Per Line'!$AI$2:$AI$4001),MATCH(ROWS($X$2:$X692),'Per Line'!$AI$2:$AI$4001,0),"")</f>
        <v/>
      </c>
    </row>
    <row r="693" customFormat="false" ht="15" hidden="false" customHeight="false" outlineLevel="0" collapsed="false">
      <c r="A693" s="19"/>
      <c r="B693" s="20" t="str">
        <f aca="false">IF($X693="","",INDEX('Per Line'!$D$2:$D$4001,$X693))</f>
        <v/>
      </c>
      <c r="C693" s="20" t="str">
        <f aca="false">IF($X693="","",INDEX('Per Line'!$C$2:$C$4001,$X693))</f>
        <v/>
      </c>
      <c r="D693" s="20" t="str">
        <f aca="false">IF($X693="","",INDEX('Per Line'!$A$2:$A$4001,$X693))</f>
        <v/>
      </c>
      <c r="E693" s="21" t="str">
        <f aca="false">IF($X693="","",INDEX('Per Line'!$F$2:$F$4001,$X693))</f>
        <v/>
      </c>
      <c r="F693" s="20" t="str">
        <f aca="false">IF($X693="","",INDEX('Per Line'!$G$2:$G$4001,$X693))</f>
        <v/>
      </c>
      <c r="G693" s="20" t="str">
        <f aca="false">IF($X693="","",INDEX('Per Line'!$I$2:$I$4001,$X693))</f>
        <v/>
      </c>
      <c r="H693" s="20" t="str">
        <f aca="false">IF($X693="","",INDEX('Per Line'!$J$2:$J$4001,$X693))</f>
        <v/>
      </c>
      <c r="I693" s="20" t="str">
        <f aca="false">IF($X693="","",INDEX('Per Line'!$K$2:$K$4001,$X693))</f>
        <v/>
      </c>
      <c r="J693" s="20" t="str">
        <f aca="false">IF($X693="","",INDEX('Per Line'!$L$2:$L$4001,$X693))</f>
        <v/>
      </c>
      <c r="K693" s="20" t="str">
        <f aca="false">IF($X693="","",INDEX('Per Line'!$M$2:$M$4001,$X693))</f>
        <v/>
      </c>
      <c r="L693" s="22" t="str">
        <f aca="false">IF($X693="","",K693*V693/100)</f>
        <v/>
      </c>
      <c r="M693" s="20" t="str">
        <f aca="false">IF($X693="","",INDEX('Per Line'!$Z$2:$Z$4001,$X693))</f>
        <v/>
      </c>
      <c r="N693" s="23" t="str">
        <f aca="false">IF($X693="","",Settings!$C$7)</f>
        <v/>
      </c>
      <c r="O693" s="22" t="str">
        <f aca="false">IF($X693="","",SUMIFS('Per Line'!$Y$2:$Y$4001,'Per Line'!$D$2:$D$4001,$B693,'Per Line'!$AJ$2:$AJ$4001,0))</f>
        <v/>
      </c>
      <c r="P693" s="22" t="str">
        <f aca="false">IF($X693="","",O693*N693)</f>
        <v/>
      </c>
      <c r="Q693" s="23" t="str">
        <f aca="false">IF($X693="","",Settings!$C$6)</f>
        <v/>
      </c>
      <c r="R693" s="22" t="str">
        <f aca="false">IF($X693="","",SUMIFS('Per Line'!$Y$2:$Y$4001,'Per Line'!$D$2:$D$4001,$B693,'Per Line'!$AJ$2:$AJ$4001,1))</f>
        <v/>
      </c>
      <c r="S693" s="22" t="str">
        <f aca="false">IF($X693="","",R693*Q693)</f>
        <v/>
      </c>
      <c r="T693" s="22" t="str">
        <f aca="false">IF($X693="","",S693+P693)</f>
        <v/>
      </c>
      <c r="U693" s="22" t="str">
        <f aca="false">IF($X693="","",V693-T693)</f>
        <v/>
      </c>
      <c r="V693" s="22" t="str">
        <f aca="false">IF($X693="","",O693+R693)</f>
        <v/>
      </c>
      <c r="W693" s="22" t="str">
        <f aca="false">IF($X693="","",U693-L693)</f>
        <v/>
      </c>
      <c r="X693" s="24" t="str">
        <f aca="false">IF(ROWS($X$2:$X693)&lt;=MAX('Per Line'!$AI$2:$AI$4001),MATCH(ROWS($X$2:$X693),'Per Line'!$AI$2:$AI$4001,0),"")</f>
        <v/>
      </c>
    </row>
    <row r="694" customFormat="false" ht="15" hidden="false" customHeight="false" outlineLevel="0" collapsed="false">
      <c r="A694" s="19"/>
      <c r="B694" s="20" t="str">
        <f aca="false">IF($X694="","",INDEX('Per Line'!$D$2:$D$4001,$X694))</f>
        <v/>
      </c>
      <c r="C694" s="20" t="str">
        <f aca="false">IF($X694="","",INDEX('Per Line'!$C$2:$C$4001,$X694))</f>
        <v/>
      </c>
      <c r="D694" s="20" t="str">
        <f aca="false">IF($X694="","",INDEX('Per Line'!$A$2:$A$4001,$X694))</f>
        <v/>
      </c>
      <c r="E694" s="21" t="str">
        <f aca="false">IF($X694="","",INDEX('Per Line'!$F$2:$F$4001,$X694))</f>
        <v/>
      </c>
      <c r="F694" s="20" t="str">
        <f aca="false">IF($X694="","",INDEX('Per Line'!$G$2:$G$4001,$X694))</f>
        <v/>
      </c>
      <c r="G694" s="20" t="str">
        <f aca="false">IF($X694="","",INDEX('Per Line'!$I$2:$I$4001,$X694))</f>
        <v/>
      </c>
      <c r="H694" s="20" t="str">
        <f aca="false">IF($X694="","",INDEX('Per Line'!$J$2:$J$4001,$X694))</f>
        <v/>
      </c>
      <c r="I694" s="20" t="str">
        <f aca="false">IF($X694="","",INDEX('Per Line'!$K$2:$K$4001,$X694))</f>
        <v/>
      </c>
      <c r="J694" s="20" t="str">
        <f aca="false">IF($X694="","",INDEX('Per Line'!$L$2:$L$4001,$X694))</f>
        <v/>
      </c>
      <c r="K694" s="20" t="str">
        <f aca="false">IF($X694="","",INDEX('Per Line'!$M$2:$M$4001,$X694))</f>
        <v/>
      </c>
      <c r="L694" s="22" t="str">
        <f aca="false">IF($X694="","",K694*V694/100)</f>
        <v/>
      </c>
      <c r="M694" s="20" t="str">
        <f aca="false">IF($X694="","",INDEX('Per Line'!$Z$2:$Z$4001,$X694))</f>
        <v/>
      </c>
      <c r="N694" s="23" t="str">
        <f aca="false">IF($X694="","",Settings!$C$7)</f>
        <v/>
      </c>
      <c r="O694" s="22" t="str">
        <f aca="false">IF($X694="","",SUMIFS('Per Line'!$Y$2:$Y$4001,'Per Line'!$D$2:$D$4001,$B694,'Per Line'!$AJ$2:$AJ$4001,0))</f>
        <v/>
      </c>
      <c r="P694" s="22" t="str">
        <f aca="false">IF($X694="","",O694*N694)</f>
        <v/>
      </c>
      <c r="Q694" s="23" t="str">
        <f aca="false">IF($X694="","",Settings!$C$6)</f>
        <v/>
      </c>
      <c r="R694" s="22" t="str">
        <f aca="false">IF($X694="","",SUMIFS('Per Line'!$Y$2:$Y$4001,'Per Line'!$D$2:$D$4001,$B694,'Per Line'!$AJ$2:$AJ$4001,1))</f>
        <v/>
      </c>
      <c r="S694" s="22" t="str">
        <f aca="false">IF($X694="","",R694*Q694)</f>
        <v/>
      </c>
      <c r="T694" s="22" t="str">
        <f aca="false">IF($X694="","",S694+P694)</f>
        <v/>
      </c>
      <c r="U694" s="22" t="str">
        <f aca="false">IF($X694="","",V694-T694)</f>
        <v/>
      </c>
      <c r="V694" s="22" t="str">
        <f aca="false">IF($X694="","",O694+R694)</f>
        <v/>
      </c>
      <c r="W694" s="22" t="str">
        <f aca="false">IF($X694="","",U694-L694)</f>
        <v/>
      </c>
      <c r="X694" s="24" t="str">
        <f aca="false">IF(ROWS($X$2:$X694)&lt;=MAX('Per Line'!$AI$2:$AI$4001),MATCH(ROWS($X$2:$X694),'Per Line'!$AI$2:$AI$4001,0),"")</f>
        <v/>
      </c>
    </row>
    <row r="695" customFormat="false" ht="15" hidden="false" customHeight="false" outlineLevel="0" collapsed="false">
      <c r="A695" s="19"/>
      <c r="B695" s="20" t="str">
        <f aca="false">IF($X695="","",INDEX('Per Line'!$D$2:$D$4001,$X695))</f>
        <v/>
      </c>
      <c r="C695" s="20" t="str">
        <f aca="false">IF($X695="","",INDEX('Per Line'!$C$2:$C$4001,$X695))</f>
        <v/>
      </c>
      <c r="D695" s="20" t="str">
        <f aca="false">IF($X695="","",INDEX('Per Line'!$A$2:$A$4001,$X695))</f>
        <v/>
      </c>
      <c r="E695" s="21" t="str">
        <f aca="false">IF($X695="","",INDEX('Per Line'!$F$2:$F$4001,$X695))</f>
        <v/>
      </c>
      <c r="F695" s="20" t="str">
        <f aca="false">IF($X695="","",INDEX('Per Line'!$G$2:$G$4001,$X695))</f>
        <v/>
      </c>
      <c r="G695" s="20" t="str">
        <f aca="false">IF($X695="","",INDEX('Per Line'!$I$2:$I$4001,$X695))</f>
        <v/>
      </c>
      <c r="H695" s="20" t="str">
        <f aca="false">IF($X695="","",INDEX('Per Line'!$J$2:$J$4001,$X695))</f>
        <v/>
      </c>
      <c r="I695" s="20" t="str">
        <f aca="false">IF($X695="","",INDEX('Per Line'!$K$2:$K$4001,$X695))</f>
        <v/>
      </c>
      <c r="J695" s="20" t="str">
        <f aca="false">IF($X695="","",INDEX('Per Line'!$L$2:$L$4001,$X695))</f>
        <v/>
      </c>
      <c r="K695" s="20" t="str">
        <f aca="false">IF($X695="","",INDEX('Per Line'!$M$2:$M$4001,$X695))</f>
        <v/>
      </c>
      <c r="L695" s="22" t="str">
        <f aca="false">IF($X695="","",K695*V695/100)</f>
        <v/>
      </c>
      <c r="M695" s="20" t="str">
        <f aca="false">IF($X695="","",INDEX('Per Line'!$Z$2:$Z$4001,$X695))</f>
        <v/>
      </c>
      <c r="N695" s="23" t="str">
        <f aca="false">IF($X695="","",Settings!$C$7)</f>
        <v/>
      </c>
      <c r="O695" s="22" t="str">
        <f aca="false">IF($X695="","",SUMIFS('Per Line'!$Y$2:$Y$4001,'Per Line'!$D$2:$D$4001,$B695,'Per Line'!$AJ$2:$AJ$4001,0))</f>
        <v/>
      </c>
      <c r="P695" s="22" t="str">
        <f aca="false">IF($X695="","",O695*N695)</f>
        <v/>
      </c>
      <c r="Q695" s="23" t="str">
        <f aca="false">IF($X695="","",Settings!$C$6)</f>
        <v/>
      </c>
      <c r="R695" s="22" t="str">
        <f aca="false">IF($X695="","",SUMIFS('Per Line'!$Y$2:$Y$4001,'Per Line'!$D$2:$D$4001,$B695,'Per Line'!$AJ$2:$AJ$4001,1))</f>
        <v/>
      </c>
      <c r="S695" s="22" t="str">
        <f aca="false">IF($X695="","",R695*Q695)</f>
        <v/>
      </c>
      <c r="T695" s="22" t="str">
        <f aca="false">IF($X695="","",S695+P695)</f>
        <v/>
      </c>
      <c r="U695" s="22" t="str">
        <f aca="false">IF($X695="","",V695-T695)</f>
        <v/>
      </c>
      <c r="V695" s="22" t="str">
        <f aca="false">IF($X695="","",O695+R695)</f>
        <v/>
      </c>
      <c r="W695" s="22" t="str">
        <f aca="false">IF($X695="","",U695-L695)</f>
        <v/>
      </c>
      <c r="X695" s="24" t="str">
        <f aca="false">IF(ROWS($X$2:$X695)&lt;=MAX('Per Line'!$AI$2:$AI$4001),MATCH(ROWS($X$2:$X695),'Per Line'!$AI$2:$AI$4001,0),"")</f>
        <v/>
      </c>
    </row>
    <row r="696" customFormat="false" ht="15" hidden="false" customHeight="false" outlineLevel="0" collapsed="false">
      <c r="A696" s="19"/>
      <c r="B696" s="20" t="str">
        <f aca="false">IF($X696="","",INDEX('Per Line'!$D$2:$D$4001,$X696))</f>
        <v/>
      </c>
      <c r="C696" s="20" t="str">
        <f aca="false">IF($X696="","",INDEX('Per Line'!$C$2:$C$4001,$X696))</f>
        <v/>
      </c>
      <c r="D696" s="20" t="str">
        <f aca="false">IF($X696="","",INDEX('Per Line'!$A$2:$A$4001,$X696))</f>
        <v/>
      </c>
      <c r="E696" s="21" t="str">
        <f aca="false">IF($X696="","",INDEX('Per Line'!$F$2:$F$4001,$X696))</f>
        <v/>
      </c>
      <c r="F696" s="20" t="str">
        <f aca="false">IF($X696="","",INDEX('Per Line'!$G$2:$G$4001,$X696))</f>
        <v/>
      </c>
      <c r="G696" s="20" t="str">
        <f aca="false">IF($X696="","",INDEX('Per Line'!$I$2:$I$4001,$X696))</f>
        <v/>
      </c>
      <c r="H696" s="20" t="str">
        <f aca="false">IF($X696="","",INDEX('Per Line'!$J$2:$J$4001,$X696))</f>
        <v/>
      </c>
      <c r="I696" s="20" t="str">
        <f aca="false">IF($X696="","",INDEX('Per Line'!$K$2:$K$4001,$X696))</f>
        <v/>
      </c>
      <c r="J696" s="20" t="str">
        <f aca="false">IF($X696="","",INDEX('Per Line'!$L$2:$L$4001,$X696))</f>
        <v/>
      </c>
      <c r="K696" s="20" t="str">
        <f aca="false">IF($X696="","",INDEX('Per Line'!$M$2:$M$4001,$X696))</f>
        <v/>
      </c>
      <c r="L696" s="22" t="str">
        <f aca="false">IF($X696="","",K696*V696/100)</f>
        <v/>
      </c>
      <c r="M696" s="20" t="str">
        <f aca="false">IF($X696="","",INDEX('Per Line'!$Z$2:$Z$4001,$X696))</f>
        <v/>
      </c>
      <c r="N696" s="23" t="str">
        <f aca="false">IF($X696="","",Settings!$C$7)</f>
        <v/>
      </c>
      <c r="O696" s="22" t="str">
        <f aca="false">IF($X696="","",SUMIFS('Per Line'!$Y$2:$Y$4001,'Per Line'!$D$2:$D$4001,$B696,'Per Line'!$AJ$2:$AJ$4001,0))</f>
        <v/>
      </c>
      <c r="P696" s="22" t="str">
        <f aca="false">IF($X696="","",O696*N696)</f>
        <v/>
      </c>
      <c r="Q696" s="23" t="str">
        <f aca="false">IF($X696="","",Settings!$C$6)</f>
        <v/>
      </c>
      <c r="R696" s="22" t="str">
        <f aca="false">IF($X696="","",SUMIFS('Per Line'!$Y$2:$Y$4001,'Per Line'!$D$2:$D$4001,$B696,'Per Line'!$AJ$2:$AJ$4001,1))</f>
        <v/>
      </c>
      <c r="S696" s="22" t="str">
        <f aca="false">IF($X696="","",R696*Q696)</f>
        <v/>
      </c>
      <c r="T696" s="22" t="str">
        <f aca="false">IF($X696="","",S696+P696)</f>
        <v/>
      </c>
      <c r="U696" s="22" t="str">
        <f aca="false">IF($X696="","",V696-T696)</f>
        <v/>
      </c>
      <c r="V696" s="22" t="str">
        <f aca="false">IF($X696="","",O696+R696)</f>
        <v/>
      </c>
      <c r="W696" s="22" t="str">
        <f aca="false">IF($X696="","",U696-L696)</f>
        <v/>
      </c>
      <c r="X696" s="24" t="str">
        <f aca="false">IF(ROWS($X$2:$X696)&lt;=MAX('Per Line'!$AI$2:$AI$4001),MATCH(ROWS($X$2:$X696),'Per Line'!$AI$2:$AI$4001,0),"")</f>
        <v/>
      </c>
    </row>
    <row r="697" customFormat="false" ht="15" hidden="false" customHeight="false" outlineLevel="0" collapsed="false">
      <c r="A697" s="19"/>
      <c r="B697" s="20" t="str">
        <f aca="false">IF($X697="","",INDEX('Per Line'!$D$2:$D$4001,$X697))</f>
        <v/>
      </c>
      <c r="C697" s="20" t="str">
        <f aca="false">IF($X697="","",INDEX('Per Line'!$C$2:$C$4001,$X697))</f>
        <v/>
      </c>
      <c r="D697" s="20" t="str">
        <f aca="false">IF($X697="","",INDEX('Per Line'!$A$2:$A$4001,$X697))</f>
        <v/>
      </c>
      <c r="E697" s="21" t="str">
        <f aca="false">IF($X697="","",INDEX('Per Line'!$F$2:$F$4001,$X697))</f>
        <v/>
      </c>
      <c r="F697" s="20" t="str">
        <f aca="false">IF($X697="","",INDEX('Per Line'!$G$2:$G$4001,$X697))</f>
        <v/>
      </c>
      <c r="G697" s="20" t="str">
        <f aca="false">IF($X697="","",INDEX('Per Line'!$I$2:$I$4001,$X697))</f>
        <v/>
      </c>
      <c r="H697" s="20" t="str">
        <f aca="false">IF($X697="","",INDEX('Per Line'!$J$2:$J$4001,$X697))</f>
        <v/>
      </c>
      <c r="I697" s="20" t="str">
        <f aca="false">IF($X697="","",INDEX('Per Line'!$K$2:$K$4001,$X697))</f>
        <v/>
      </c>
      <c r="J697" s="20" t="str">
        <f aca="false">IF($X697="","",INDEX('Per Line'!$L$2:$L$4001,$X697))</f>
        <v/>
      </c>
      <c r="K697" s="20" t="str">
        <f aca="false">IF($X697="","",INDEX('Per Line'!$M$2:$M$4001,$X697))</f>
        <v/>
      </c>
      <c r="L697" s="22" t="str">
        <f aca="false">IF($X697="","",K697*V697/100)</f>
        <v/>
      </c>
      <c r="M697" s="20" t="str">
        <f aca="false">IF($X697="","",INDEX('Per Line'!$Z$2:$Z$4001,$X697))</f>
        <v/>
      </c>
      <c r="N697" s="23" t="str">
        <f aca="false">IF($X697="","",Settings!$C$7)</f>
        <v/>
      </c>
      <c r="O697" s="22" t="str">
        <f aca="false">IF($X697="","",SUMIFS('Per Line'!$Y$2:$Y$4001,'Per Line'!$D$2:$D$4001,$B697,'Per Line'!$AJ$2:$AJ$4001,0))</f>
        <v/>
      </c>
      <c r="P697" s="22" t="str">
        <f aca="false">IF($X697="","",O697*N697)</f>
        <v/>
      </c>
      <c r="Q697" s="23" t="str">
        <f aca="false">IF($X697="","",Settings!$C$6)</f>
        <v/>
      </c>
      <c r="R697" s="22" t="str">
        <f aca="false">IF($X697="","",SUMIFS('Per Line'!$Y$2:$Y$4001,'Per Line'!$D$2:$D$4001,$B697,'Per Line'!$AJ$2:$AJ$4001,1))</f>
        <v/>
      </c>
      <c r="S697" s="22" t="str">
        <f aca="false">IF($X697="","",R697*Q697)</f>
        <v/>
      </c>
      <c r="T697" s="22" t="str">
        <f aca="false">IF($X697="","",S697+P697)</f>
        <v/>
      </c>
      <c r="U697" s="22" t="str">
        <f aca="false">IF($X697="","",V697-T697)</f>
        <v/>
      </c>
      <c r="V697" s="22" t="str">
        <f aca="false">IF($X697="","",O697+R697)</f>
        <v/>
      </c>
      <c r="W697" s="22" t="str">
        <f aca="false">IF($X697="","",U697-L697)</f>
        <v/>
      </c>
      <c r="X697" s="24" t="str">
        <f aca="false">IF(ROWS($X$2:$X697)&lt;=MAX('Per Line'!$AI$2:$AI$4001),MATCH(ROWS($X$2:$X697),'Per Line'!$AI$2:$AI$4001,0),"")</f>
        <v/>
      </c>
    </row>
    <row r="698" customFormat="false" ht="15" hidden="false" customHeight="false" outlineLevel="0" collapsed="false">
      <c r="A698" s="19"/>
      <c r="B698" s="20" t="str">
        <f aca="false">IF($X698="","",INDEX('Per Line'!$D$2:$D$4001,$X698))</f>
        <v/>
      </c>
      <c r="C698" s="20" t="str">
        <f aca="false">IF($X698="","",INDEX('Per Line'!$C$2:$C$4001,$X698))</f>
        <v/>
      </c>
      <c r="D698" s="20" t="str">
        <f aca="false">IF($X698="","",INDEX('Per Line'!$A$2:$A$4001,$X698))</f>
        <v/>
      </c>
      <c r="E698" s="21" t="str">
        <f aca="false">IF($X698="","",INDEX('Per Line'!$F$2:$F$4001,$X698))</f>
        <v/>
      </c>
      <c r="F698" s="20" t="str">
        <f aca="false">IF($X698="","",INDEX('Per Line'!$G$2:$G$4001,$X698))</f>
        <v/>
      </c>
      <c r="G698" s="20" t="str">
        <f aca="false">IF($X698="","",INDEX('Per Line'!$I$2:$I$4001,$X698))</f>
        <v/>
      </c>
      <c r="H698" s="20" t="str">
        <f aca="false">IF($X698="","",INDEX('Per Line'!$J$2:$J$4001,$X698))</f>
        <v/>
      </c>
      <c r="I698" s="20" t="str">
        <f aca="false">IF($X698="","",INDEX('Per Line'!$K$2:$K$4001,$X698))</f>
        <v/>
      </c>
      <c r="J698" s="20" t="str">
        <f aca="false">IF($X698="","",INDEX('Per Line'!$L$2:$L$4001,$X698))</f>
        <v/>
      </c>
      <c r="K698" s="20" t="str">
        <f aca="false">IF($X698="","",INDEX('Per Line'!$M$2:$M$4001,$X698))</f>
        <v/>
      </c>
      <c r="L698" s="22" t="str">
        <f aca="false">IF($X698="","",K698*V698/100)</f>
        <v/>
      </c>
      <c r="M698" s="20" t="str">
        <f aca="false">IF($X698="","",INDEX('Per Line'!$Z$2:$Z$4001,$X698))</f>
        <v/>
      </c>
      <c r="N698" s="23" t="str">
        <f aca="false">IF($X698="","",Settings!$C$7)</f>
        <v/>
      </c>
      <c r="O698" s="22" t="str">
        <f aca="false">IF($X698="","",SUMIFS('Per Line'!$Y$2:$Y$4001,'Per Line'!$D$2:$D$4001,$B698,'Per Line'!$AJ$2:$AJ$4001,0))</f>
        <v/>
      </c>
      <c r="P698" s="22" t="str">
        <f aca="false">IF($X698="","",O698*N698)</f>
        <v/>
      </c>
      <c r="Q698" s="23" t="str">
        <f aca="false">IF($X698="","",Settings!$C$6)</f>
        <v/>
      </c>
      <c r="R698" s="22" t="str">
        <f aca="false">IF($X698="","",SUMIFS('Per Line'!$Y$2:$Y$4001,'Per Line'!$D$2:$D$4001,$B698,'Per Line'!$AJ$2:$AJ$4001,1))</f>
        <v/>
      </c>
      <c r="S698" s="22" t="str">
        <f aca="false">IF($X698="","",R698*Q698)</f>
        <v/>
      </c>
      <c r="T698" s="22" t="str">
        <f aca="false">IF($X698="","",S698+P698)</f>
        <v/>
      </c>
      <c r="U698" s="22" t="str">
        <f aca="false">IF($X698="","",V698-T698)</f>
        <v/>
      </c>
      <c r="V698" s="22" t="str">
        <f aca="false">IF($X698="","",O698+R698)</f>
        <v/>
      </c>
      <c r="W698" s="22" t="str">
        <f aca="false">IF($X698="","",U698-L698)</f>
        <v/>
      </c>
      <c r="X698" s="24" t="str">
        <f aca="false">IF(ROWS($X$2:$X698)&lt;=MAX('Per Line'!$AI$2:$AI$4001),MATCH(ROWS($X$2:$X698),'Per Line'!$AI$2:$AI$4001,0),"")</f>
        <v/>
      </c>
    </row>
    <row r="699" customFormat="false" ht="15" hidden="false" customHeight="false" outlineLevel="0" collapsed="false">
      <c r="A699" s="19"/>
      <c r="B699" s="20" t="str">
        <f aca="false">IF($X699="","",INDEX('Per Line'!$D$2:$D$4001,$X699))</f>
        <v/>
      </c>
      <c r="C699" s="20" t="str">
        <f aca="false">IF($X699="","",INDEX('Per Line'!$C$2:$C$4001,$X699))</f>
        <v/>
      </c>
      <c r="D699" s="20" t="str">
        <f aca="false">IF($X699="","",INDEX('Per Line'!$A$2:$A$4001,$X699))</f>
        <v/>
      </c>
      <c r="E699" s="21" t="str">
        <f aca="false">IF($X699="","",INDEX('Per Line'!$F$2:$F$4001,$X699))</f>
        <v/>
      </c>
      <c r="F699" s="20" t="str">
        <f aca="false">IF($X699="","",INDEX('Per Line'!$G$2:$G$4001,$X699))</f>
        <v/>
      </c>
      <c r="G699" s="20" t="str">
        <f aca="false">IF($X699="","",INDEX('Per Line'!$I$2:$I$4001,$X699))</f>
        <v/>
      </c>
      <c r="H699" s="20" t="str">
        <f aca="false">IF($X699="","",INDEX('Per Line'!$J$2:$J$4001,$X699))</f>
        <v/>
      </c>
      <c r="I699" s="20" t="str">
        <f aca="false">IF($X699="","",INDEX('Per Line'!$K$2:$K$4001,$X699))</f>
        <v/>
      </c>
      <c r="J699" s="20" t="str">
        <f aca="false">IF($X699="","",INDEX('Per Line'!$L$2:$L$4001,$X699))</f>
        <v/>
      </c>
      <c r="K699" s="20" t="str">
        <f aca="false">IF($X699="","",INDEX('Per Line'!$M$2:$M$4001,$X699))</f>
        <v/>
      </c>
      <c r="L699" s="22" t="str">
        <f aca="false">IF($X699="","",K699*V699/100)</f>
        <v/>
      </c>
      <c r="M699" s="20" t="str">
        <f aca="false">IF($X699="","",INDEX('Per Line'!$Z$2:$Z$4001,$X699))</f>
        <v/>
      </c>
      <c r="N699" s="23" t="str">
        <f aca="false">IF($X699="","",Settings!$C$7)</f>
        <v/>
      </c>
      <c r="O699" s="22" t="str">
        <f aca="false">IF($X699="","",SUMIFS('Per Line'!$Y$2:$Y$4001,'Per Line'!$D$2:$D$4001,$B699,'Per Line'!$AJ$2:$AJ$4001,0))</f>
        <v/>
      </c>
      <c r="P699" s="22" t="str">
        <f aca="false">IF($X699="","",O699*N699)</f>
        <v/>
      </c>
      <c r="Q699" s="23" t="str">
        <f aca="false">IF($X699="","",Settings!$C$6)</f>
        <v/>
      </c>
      <c r="R699" s="22" t="str">
        <f aca="false">IF($X699="","",SUMIFS('Per Line'!$Y$2:$Y$4001,'Per Line'!$D$2:$D$4001,$B699,'Per Line'!$AJ$2:$AJ$4001,1))</f>
        <v/>
      </c>
      <c r="S699" s="22" t="str">
        <f aca="false">IF($X699="","",R699*Q699)</f>
        <v/>
      </c>
      <c r="T699" s="22" t="str">
        <f aca="false">IF($X699="","",S699+P699)</f>
        <v/>
      </c>
      <c r="U699" s="22" t="str">
        <f aca="false">IF($X699="","",V699-T699)</f>
        <v/>
      </c>
      <c r="V699" s="22" t="str">
        <f aca="false">IF($X699="","",O699+R699)</f>
        <v/>
      </c>
      <c r="W699" s="22" t="str">
        <f aca="false">IF($X699="","",U699-L699)</f>
        <v/>
      </c>
      <c r="X699" s="24" t="str">
        <f aca="false">IF(ROWS($X$2:$X699)&lt;=MAX('Per Line'!$AI$2:$AI$4001),MATCH(ROWS($X$2:$X699),'Per Line'!$AI$2:$AI$4001,0),"")</f>
        <v/>
      </c>
    </row>
    <row r="700" customFormat="false" ht="15" hidden="false" customHeight="false" outlineLevel="0" collapsed="false">
      <c r="A700" s="19"/>
      <c r="B700" s="20" t="str">
        <f aca="false">IF($X700="","",INDEX('Per Line'!$D$2:$D$4001,$X700))</f>
        <v/>
      </c>
      <c r="C700" s="20" t="str">
        <f aca="false">IF($X700="","",INDEX('Per Line'!$C$2:$C$4001,$X700))</f>
        <v/>
      </c>
      <c r="D700" s="20" t="str">
        <f aca="false">IF($X700="","",INDEX('Per Line'!$A$2:$A$4001,$X700))</f>
        <v/>
      </c>
      <c r="E700" s="21" t="str">
        <f aca="false">IF($X700="","",INDEX('Per Line'!$F$2:$F$4001,$X700))</f>
        <v/>
      </c>
      <c r="F700" s="20" t="str">
        <f aca="false">IF($X700="","",INDEX('Per Line'!$G$2:$G$4001,$X700))</f>
        <v/>
      </c>
      <c r="G700" s="20" t="str">
        <f aca="false">IF($X700="","",INDEX('Per Line'!$I$2:$I$4001,$X700))</f>
        <v/>
      </c>
      <c r="H700" s="20" t="str">
        <f aca="false">IF($X700="","",INDEX('Per Line'!$J$2:$J$4001,$X700))</f>
        <v/>
      </c>
      <c r="I700" s="20" t="str">
        <f aca="false">IF($X700="","",INDEX('Per Line'!$K$2:$K$4001,$X700))</f>
        <v/>
      </c>
      <c r="J700" s="20" t="str">
        <f aca="false">IF($X700="","",INDEX('Per Line'!$L$2:$L$4001,$X700))</f>
        <v/>
      </c>
      <c r="K700" s="20" t="str">
        <f aca="false">IF($X700="","",INDEX('Per Line'!$M$2:$M$4001,$X700))</f>
        <v/>
      </c>
      <c r="L700" s="22" t="str">
        <f aca="false">IF($X700="","",K700*V700/100)</f>
        <v/>
      </c>
      <c r="M700" s="20" t="str">
        <f aca="false">IF($X700="","",INDEX('Per Line'!$Z$2:$Z$4001,$X700))</f>
        <v/>
      </c>
      <c r="N700" s="23" t="str">
        <f aca="false">IF($X700="","",Settings!$C$7)</f>
        <v/>
      </c>
      <c r="O700" s="22" t="str">
        <f aca="false">IF($X700="","",SUMIFS('Per Line'!$Y$2:$Y$4001,'Per Line'!$D$2:$D$4001,$B700,'Per Line'!$AJ$2:$AJ$4001,0))</f>
        <v/>
      </c>
      <c r="P700" s="22" t="str">
        <f aca="false">IF($X700="","",O700*N700)</f>
        <v/>
      </c>
      <c r="Q700" s="23" t="str">
        <f aca="false">IF($X700="","",Settings!$C$6)</f>
        <v/>
      </c>
      <c r="R700" s="22" t="str">
        <f aca="false">IF($X700="","",SUMIFS('Per Line'!$Y$2:$Y$4001,'Per Line'!$D$2:$D$4001,$B700,'Per Line'!$AJ$2:$AJ$4001,1))</f>
        <v/>
      </c>
      <c r="S700" s="22" t="str">
        <f aca="false">IF($X700="","",R700*Q700)</f>
        <v/>
      </c>
      <c r="T700" s="22" t="str">
        <f aca="false">IF($X700="","",S700+P700)</f>
        <v/>
      </c>
      <c r="U700" s="22" t="str">
        <f aca="false">IF($X700="","",V700-T700)</f>
        <v/>
      </c>
      <c r="V700" s="22" t="str">
        <f aca="false">IF($X700="","",O700+R700)</f>
        <v/>
      </c>
      <c r="W700" s="22" t="str">
        <f aca="false">IF($X700="","",U700-L700)</f>
        <v/>
      </c>
      <c r="X700" s="24" t="str">
        <f aca="false">IF(ROWS($X$2:$X700)&lt;=MAX('Per Line'!$AI$2:$AI$4001),MATCH(ROWS($X$2:$X700),'Per Line'!$AI$2:$AI$4001,0),"")</f>
        <v/>
      </c>
    </row>
    <row r="701" customFormat="false" ht="15" hidden="false" customHeight="false" outlineLevel="0" collapsed="false">
      <c r="A701" s="19"/>
      <c r="B701" s="20" t="str">
        <f aca="false">IF($X701="","",INDEX('Per Line'!$D$2:$D$4001,$X701))</f>
        <v/>
      </c>
      <c r="C701" s="20" t="str">
        <f aca="false">IF($X701="","",INDEX('Per Line'!$C$2:$C$4001,$X701))</f>
        <v/>
      </c>
      <c r="D701" s="20" t="str">
        <f aca="false">IF($X701="","",INDEX('Per Line'!$A$2:$A$4001,$X701))</f>
        <v/>
      </c>
      <c r="E701" s="21" t="str">
        <f aca="false">IF($X701="","",INDEX('Per Line'!$F$2:$F$4001,$X701))</f>
        <v/>
      </c>
      <c r="F701" s="20" t="str">
        <f aca="false">IF($X701="","",INDEX('Per Line'!$G$2:$G$4001,$X701))</f>
        <v/>
      </c>
      <c r="G701" s="20" t="str">
        <f aca="false">IF($X701="","",INDEX('Per Line'!$I$2:$I$4001,$X701))</f>
        <v/>
      </c>
      <c r="H701" s="20" t="str">
        <f aca="false">IF($X701="","",INDEX('Per Line'!$J$2:$J$4001,$X701))</f>
        <v/>
      </c>
      <c r="I701" s="20" t="str">
        <f aca="false">IF($X701="","",INDEX('Per Line'!$K$2:$K$4001,$X701))</f>
        <v/>
      </c>
      <c r="J701" s="20" t="str">
        <f aca="false">IF($X701="","",INDEX('Per Line'!$L$2:$L$4001,$X701))</f>
        <v/>
      </c>
      <c r="K701" s="20" t="str">
        <f aca="false">IF($X701="","",INDEX('Per Line'!$M$2:$M$4001,$X701))</f>
        <v/>
      </c>
      <c r="L701" s="22" t="str">
        <f aca="false">IF($X701="","",K701*V701/100)</f>
        <v/>
      </c>
      <c r="M701" s="20" t="str">
        <f aca="false">IF($X701="","",INDEX('Per Line'!$Z$2:$Z$4001,$X701))</f>
        <v/>
      </c>
      <c r="N701" s="23" t="str">
        <f aca="false">IF($X701="","",Settings!$C$7)</f>
        <v/>
      </c>
      <c r="O701" s="22" t="str">
        <f aca="false">IF($X701="","",SUMIFS('Per Line'!$Y$2:$Y$4001,'Per Line'!$D$2:$D$4001,$B701,'Per Line'!$AJ$2:$AJ$4001,0))</f>
        <v/>
      </c>
      <c r="P701" s="22" t="str">
        <f aca="false">IF($X701="","",O701*N701)</f>
        <v/>
      </c>
      <c r="Q701" s="23" t="str">
        <f aca="false">IF($X701="","",Settings!$C$6)</f>
        <v/>
      </c>
      <c r="R701" s="22" t="str">
        <f aca="false">IF($X701="","",SUMIFS('Per Line'!$Y$2:$Y$4001,'Per Line'!$D$2:$D$4001,$B701,'Per Line'!$AJ$2:$AJ$4001,1))</f>
        <v/>
      </c>
      <c r="S701" s="22" t="str">
        <f aca="false">IF($X701="","",R701*Q701)</f>
        <v/>
      </c>
      <c r="T701" s="22" t="str">
        <f aca="false">IF($X701="","",S701+P701)</f>
        <v/>
      </c>
      <c r="U701" s="22" t="str">
        <f aca="false">IF($X701="","",V701-T701)</f>
        <v/>
      </c>
      <c r="V701" s="22" t="str">
        <f aca="false">IF($X701="","",O701+R701)</f>
        <v/>
      </c>
      <c r="W701" s="22" t="str">
        <f aca="false">IF($X701="","",U701-L701)</f>
        <v/>
      </c>
      <c r="X701" s="24" t="str">
        <f aca="false">IF(ROWS($X$2:$X701)&lt;=MAX('Per Line'!$AI$2:$AI$4001),MATCH(ROWS($X$2:$X701),'Per Line'!$AI$2:$AI$4001,0),"")</f>
        <v/>
      </c>
    </row>
    <row r="702" customFormat="false" ht="15" hidden="false" customHeight="false" outlineLevel="0" collapsed="false">
      <c r="A702" s="19"/>
      <c r="B702" s="20" t="str">
        <f aca="false">IF($X702="","",INDEX('Per Line'!$D$2:$D$4001,$X702))</f>
        <v/>
      </c>
      <c r="C702" s="20" t="str">
        <f aca="false">IF($X702="","",INDEX('Per Line'!$C$2:$C$4001,$X702))</f>
        <v/>
      </c>
      <c r="D702" s="20" t="str">
        <f aca="false">IF($X702="","",INDEX('Per Line'!$A$2:$A$4001,$X702))</f>
        <v/>
      </c>
      <c r="E702" s="21" t="str">
        <f aca="false">IF($X702="","",INDEX('Per Line'!$F$2:$F$4001,$X702))</f>
        <v/>
      </c>
      <c r="F702" s="20" t="str">
        <f aca="false">IF($X702="","",INDEX('Per Line'!$G$2:$G$4001,$X702))</f>
        <v/>
      </c>
      <c r="G702" s="20" t="str">
        <f aca="false">IF($X702="","",INDEX('Per Line'!$I$2:$I$4001,$X702))</f>
        <v/>
      </c>
      <c r="H702" s="20" t="str">
        <f aca="false">IF($X702="","",INDEX('Per Line'!$J$2:$J$4001,$X702))</f>
        <v/>
      </c>
      <c r="I702" s="20" t="str">
        <f aca="false">IF($X702="","",INDEX('Per Line'!$K$2:$K$4001,$X702))</f>
        <v/>
      </c>
      <c r="J702" s="20" t="str">
        <f aca="false">IF($X702="","",INDEX('Per Line'!$L$2:$L$4001,$X702))</f>
        <v/>
      </c>
      <c r="K702" s="20" t="str">
        <f aca="false">IF($X702="","",INDEX('Per Line'!$M$2:$M$4001,$X702))</f>
        <v/>
      </c>
      <c r="L702" s="22" t="str">
        <f aca="false">IF($X702="","",K702*V702/100)</f>
        <v/>
      </c>
      <c r="M702" s="20" t="str">
        <f aca="false">IF($X702="","",INDEX('Per Line'!$Z$2:$Z$4001,$X702))</f>
        <v/>
      </c>
      <c r="N702" s="23" t="str">
        <f aca="false">IF($X702="","",Settings!$C$7)</f>
        <v/>
      </c>
      <c r="O702" s="22" t="str">
        <f aca="false">IF($X702="","",SUMIFS('Per Line'!$Y$2:$Y$4001,'Per Line'!$D$2:$D$4001,$B702,'Per Line'!$AJ$2:$AJ$4001,0))</f>
        <v/>
      </c>
      <c r="P702" s="22" t="str">
        <f aca="false">IF($X702="","",O702*N702)</f>
        <v/>
      </c>
      <c r="Q702" s="23" t="str">
        <f aca="false">IF($X702="","",Settings!$C$6)</f>
        <v/>
      </c>
      <c r="R702" s="22" t="str">
        <f aca="false">IF($X702="","",SUMIFS('Per Line'!$Y$2:$Y$4001,'Per Line'!$D$2:$D$4001,$B702,'Per Line'!$AJ$2:$AJ$4001,1))</f>
        <v/>
      </c>
      <c r="S702" s="22" t="str">
        <f aca="false">IF($X702="","",R702*Q702)</f>
        <v/>
      </c>
      <c r="T702" s="22" t="str">
        <f aca="false">IF($X702="","",S702+P702)</f>
        <v/>
      </c>
      <c r="U702" s="22" t="str">
        <f aca="false">IF($X702="","",V702-T702)</f>
        <v/>
      </c>
      <c r="V702" s="22" t="str">
        <f aca="false">IF($X702="","",O702+R702)</f>
        <v/>
      </c>
      <c r="W702" s="22" t="str">
        <f aca="false">IF($X702="","",U702-L702)</f>
        <v/>
      </c>
      <c r="X702" s="24" t="str">
        <f aca="false">IF(ROWS($X$2:$X702)&lt;=MAX('Per Line'!$AI$2:$AI$4001),MATCH(ROWS($X$2:$X702),'Per Line'!$AI$2:$AI$4001,0),"")</f>
        <v/>
      </c>
    </row>
    <row r="703" customFormat="false" ht="15" hidden="false" customHeight="false" outlineLevel="0" collapsed="false">
      <c r="A703" s="19"/>
      <c r="B703" s="20" t="str">
        <f aca="false">IF($X703="","",INDEX('Per Line'!$D$2:$D$4001,$X703))</f>
        <v/>
      </c>
      <c r="C703" s="20" t="str">
        <f aca="false">IF($X703="","",INDEX('Per Line'!$C$2:$C$4001,$X703))</f>
        <v/>
      </c>
      <c r="D703" s="20" t="str">
        <f aca="false">IF($X703="","",INDEX('Per Line'!$A$2:$A$4001,$X703))</f>
        <v/>
      </c>
      <c r="E703" s="21" t="str">
        <f aca="false">IF($X703="","",INDEX('Per Line'!$F$2:$F$4001,$X703))</f>
        <v/>
      </c>
      <c r="F703" s="20" t="str">
        <f aca="false">IF($X703="","",INDEX('Per Line'!$G$2:$G$4001,$X703))</f>
        <v/>
      </c>
      <c r="G703" s="20" t="str">
        <f aca="false">IF($X703="","",INDEX('Per Line'!$I$2:$I$4001,$X703))</f>
        <v/>
      </c>
      <c r="H703" s="20" t="str">
        <f aca="false">IF($X703="","",INDEX('Per Line'!$J$2:$J$4001,$X703))</f>
        <v/>
      </c>
      <c r="I703" s="20" t="str">
        <f aca="false">IF($X703="","",INDEX('Per Line'!$K$2:$K$4001,$X703))</f>
        <v/>
      </c>
      <c r="J703" s="20" t="str">
        <f aca="false">IF($X703="","",INDEX('Per Line'!$L$2:$L$4001,$X703))</f>
        <v/>
      </c>
      <c r="K703" s="20" t="str">
        <f aca="false">IF($X703="","",INDEX('Per Line'!$M$2:$M$4001,$X703))</f>
        <v/>
      </c>
      <c r="L703" s="22" t="str">
        <f aca="false">IF($X703="","",K703*V703/100)</f>
        <v/>
      </c>
      <c r="M703" s="20" t="str">
        <f aca="false">IF($X703="","",INDEX('Per Line'!$Z$2:$Z$4001,$X703))</f>
        <v/>
      </c>
      <c r="N703" s="23" t="str">
        <f aca="false">IF($X703="","",Settings!$C$7)</f>
        <v/>
      </c>
      <c r="O703" s="22" t="str">
        <f aca="false">IF($X703="","",SUMIFS('Per Line'!$Y$2:$Y$4001,'Per Line'!$D$2:$D$4001,$B703,'Per Line'!$AJ$2:$AJ$4001,0))</f>
        <v/>
      </c>
      <c r="P703" s="22" t="str">
        <f aca="false">IF($X703="","",O703*N703)</f>
        <v/>
      </c>
      <c r="Q703" s="23" t="str">
        <f aca="false">IF($X703="","",Settings!$C$6)</f>
        <v/>
      </c>
      <c r="R703" s="22" t="str">
        <f aca="false">IF($X703="","",SUMIFS('Per Line'!$Y$2:$Y$4001,'Per Line'!$D$2:$D$4001,$B703,'Per Line'!$AJ$2:$AJ$4001,1))</f>
        <v/>
      </c>
      <c r="S703" s="22" t="str">
        <f aca="false">IF($X703="","",R703*Q703)</f>
        <v/>
      </c>
      <c r="T703" s="22" t="str">
        <f aca="false">IF($X703="","",S703+P703)</f>
        <v/>
      </c>
      <c r="U703" s="22" t="str">
        <f aca="false">IF($X703="","",V703-T703)</f>
        <v/>
      </c>
      <c r="V703" s="22" t="str">
        <f aca="false">IF($X703="","",O703+R703)</f>
        <v/>
      </c>
      <c r="W703" s="22" t="str">
        <f aca="false">IF($X703="","",U703-L703)</f>
        <v/>
      </c>
      <c r="X703" s="24" t="str">
        <f aca="false">IF(ROWS($X$2:$X703)&lt;=MAX('Per Line'!$AI$2:$AI$4001),MATCH(ROWS($X$2:$X703),'Per Line'!$AI$2:$AI$4001,0),"")</f>
        <v/>
      </c>
    </row>
    <row r="704" customFormat="false" ht="15" hidden="false" customHeight="false" outlineLevel="0" collapsed="false">
      <c r="A704" s="19"/>
      <c r="B704" s="20" t="str">
        <f aca="false">IF($X704="","",INDEX('Per Line'!$D$2:$D$4001,$X704))</f>
        <v/>
      </c>
      <c r="C704" s="20" t="str">
        <f aca="false">IF($X704="","",INDEX('Per Line'!$C$2:$C$4001,$X704))</f>
        <v/>
      </c>
      <c r="D704" s="20" t="str">
        <f aca="false">IF($X704="","",INDEX('Per Line'!$A$2:$A$4001,$X704))</f>
        <v/>
      </c>
      <c r="E704" s="21" t="str">
        <f aca="false">IF($X704="","",INDEX('Per Line'!$F$2:$F$4001,$X704))</f>
        <v/>
      </c>
      <c r="F704" s="20" t="str">
        <f aca="false">IF($X704="","",INDEX('Per Line'!$G$2:$G$4001,$X704))</f>
        <v/>
      </c>
      <c r="G704" s="20" t="str">
        <f aca="false">IF($X704="","",INDEX('Per Line'!$I$2:$I$4001,$X704))</f>
        <v/>
      </c>
      <c r="H704" s="20" t="str">
        <f aca="false">IF($X704="","",INDEX('Per Line'!$J$2:$J$4001,$X704))</f>
        <v/>
      </c>
      <c r="I704" s="20" t="str">
        <f aca="false">IF($X704="","",INDEX('Per Line'!$K$2:$K$4001,$X704))</f>
        <v/>
      </c>
      <c r="J704" s="20" t="str">
        <f aca="false">IF($X704="","",INDEX('Per Line'!$L$2:$L$4001,$X704))</f>
        <v/>
      </c>
      <c r="K704" s="20" t="str">
        <f aca="false">IF($X704="","",INDEX('Per Line'!$M$2:$M$4001,$X704))</f>
        <v/>
      </c>
      <c r="L704" s="22" t="str">
        <f aca="false">IF($X704="","",K704*V704/100)</f>
        <v/>
      </c>
      <c r="M704" s="20" t="str">
        <f aca="false">IF($X704="","",INDEX('Per Line'!$Z$2:$Z$4001,$X704))</f>
        <v/>
      </c>
      <c r="N704" s="23" t="str">
        <f aca="false">IF($X704="","",Settings!$C$7)</f>
        <v/>
      </c>
      <c r="O704" s="22" t="str">
        <f aca="false">IF($X704="","",SUMIFS('Per Line'!$Y$2:$Y$4001,'Per Line'!$D$2:$D$4001,$B704,'Per Line'!$AJ$2:$AJ$4001,0))</f>
        <v/>
      </c>
      <c r="P704" s="22" t="str">
        <f aca="false">IF($X704="","",O704*N704)</f>
        <v/>
      </c>
      <c r="Q704" s="23" t="str">
        <f aca="false">IF($X704="","",Settings!$C$6)</f>
        <v/>
      </c>
      <c r="R704" s="22" t="str">
        <f aca="false">IF($X704="","",SUMIFS('Per Line'!$Y$2:$Y$4001,'Per Line'!$D$2:$D$4001,$B704,'Per Line'!$AJ$2:$AJ$4001,1))</f>
        <v/>
      </c>
      <c r="S704" s="22" t="str">
        <f aca="false">IF($X704="","",R704*Q704)</f>
        <v/>
      </c>
      <c r="T704" s="22" t="str">
        <f aca="false">IF($X704="","",S704+P704)</f>
        <v/>
      </c>
      <c r="U704" s="22" t="str">
        <f aca="false">IF($X704="","",V704-T704)</f>
        <v/>
      </c>
      <c r="V704" s="22" t="str">
        <f aca="false">IF($X704="","",O704+R704)</f>
        <v/>
      </c>
      <c r="W704" s="22" t="str">
        <f aca="false">IF($X704="","",U704-L704)</f>
        <v/>
      </c>
      <c r="X704" s="24" t="str">
        <f aca="false">IF(ROWS($X$2:$X704)&lt;=MAX('Per Line'!$AI$2:$AI$4001),MATCH(ROWS($X$2:$X704),'Per Line'!$AI$2:$AI$4001,0),"")</f>
        <v/>
      </c>
    </row>
    <row r="705" customFormat="false" ht="15" hidden="false" customHeight="false" outlineLevel="0" collapsed="false">
      <c r="A705" s="19"/>
      <c r="B705" s="20" t="str">
        <f aca="false">IF($X705="","",INDEX('Per Line'!$D$2:$D$4001,$X705))</f>
        <v/>
      </c>
      <c r="C705" s="20" t="str">
        <f aca="false">IF($X705="","",INDEX('Per Line'!$C$2:$C$4001,$X705))</f>
        <v/>
      </c>
      <c r="D705" s="20" t="str">
        <f aca="false">IF($X705="","",INDEX('Per Line'!$A$2:$A$4001,$X705))</f>
        <v/>
      </c>
      <c r="E705" s="21" t="str">
        <f aca="false">IF($X705="","",INDEX('Per Line'!$F$2:$F$4001,$X705))</f>
        <v/>
      </c>
      <c r="F705" s="20" t="str">
        <f aca="false">IF($X705="","",INDEX('Per Line'!$G$2:$G$4001,$X705))</f>
        <v/>
      </c>
      <c r="G705" s="20" t="str">
        <f aca="false">IF($X705="","",INDEX('Per Line'!$I$2:$I$4001,$X705))</f>
        <v/>
      </c>
      <c r="H705" s="20" t="str">
        <f aca="false">IF($X705="","",INDEX('Per Line'!$J$2:$J$4001,$X705))</f>
        <v/>
      </c>
      <c r="I705" s="20" t="str">
        <f aca="false">IF($X705="","",INDEX('Per Line'!$K$2:$K$4001,$X705))</f>
        <v/>
      </c>
      <c r="J705" s="20" t="str">
        <f aca="false">IF($X705="","",INDEX('Per Line'!$L$2:$L$4001,$X705))</f>
        <v/>
      </c>
      <c r="K705" s="20" t="str">
        <f aca="false">IF($X705="","",INDEX('Per Line'!$M$2:$M$4001,$X705))</f>
        <v/>
      </c>
      <c r="L705" s="22" t="str">
        <f aca="false">IF($X705="","",K705*V705/100)</f>
        <v/>
      </c>
      <c r="M705" s="20" t="str">
        <f aca="false">IF($X705="","",INDEX('Per Line'!$Z$2:$Z$4001,$X705))</f>
        <v/>
      </c>
      <c r="N705" s="23" t="str">
        <f aca="false">IF($X705="","",Settings!$C$7)</f>
        <v/>
      </c>
      <c r="O705" s="22" t="str">
        <f aca="false">IF($X705="","",SUMIFS('Per Line'!$Y$2:$Y$4001,'Per Line'!$D$2:$D$4001,$B705,'Per Line'!$AJ$2:$AJ$4001,0))</f>
        <v/>
      </c>
      <c r="P705" s="22" t="str">
        <f aca="false">IF($X705="","",O705*N705)</f>
        <v/>
      </c>
      <c r="Q705" s="23" t="str">
        <f aca="false">IF($X705="","",Settings!$C$6)</f>
        <v/>
      </c>
      <c r="R705" s="22" t="str">
        <f aca="false">IF($X705="","",SUMIFS('Per Line'!$Y$2:$Y$4001,'Per Line'!$D$2:$D$4001,$B705,'Per Line'!$AJ$2:$AJ$4001,1))</f>
        <v/>
      </c>
      <c r="S705" s="22" t="str">
        <f aca="false">IF($X705="","",R705*Q705)</f>
        <v/>
      </c>
      <c r="T705" s="22" t="str">
        <f aca="false">IF($X705="","",S705+P705)</f>
        <v/>
      </c>
      <c r="U705" s="22" t="str">
        <f aca="false">IF($X705="","",V705-T705)</f>
        <v/>
      </c>
      <c r="V705" s="22" t="str">
        <f aca="false">IF($X705="","",O705+R705)</f>
        <v/>
      </c>
      <c r="W705" s="22" t="str">
        <f aca="false">IF($X705="","",U705-L705)</f>
        <v/>
      </c>
      <c r="X705" s="24" t="str">
        <f aca="false">IF(ROWS($X$2:$X705)&lt;=MAX('Per Line'!$AI$2:$AI$4001),MATCH(ROWS($X$2:$X705),'Per Line'!$AI$2:$AI$4001,0),"")</f>
        <v/>
      </c>
    </row>
    <row r="706" customFormat="false" ht="15" hidden="false" customHeight="false" outlineLevel="0" collapsed="false">
      <c r="A706" s="19"/>
      <c r="B706" s="20" t="str">
        <f aca="false">IF($X706="","",INDEX('Per Line'!$D$2:$D$4001,$X706))</f>
        <v/>
      </c>
      <c r="C706" s="20" t="str">
        <f aca="false">IF($X706="","",INDEX('Per Line'!$C$2:$C$4001,$X706))</f>
        <v/>
      </c>
      <c r="D706" s="20" t="str">
        <f aca="false">IF($X706="","",INDEX('Per Line'!$A$2:$A$4001,$X706))</f>
        <v/>
      </c>
      <c r="E706" s="21" t="str">
        <f aca="false">IF($X706="","",INDEX('Per Line'!$F$2:$F$4001,$X706))</f>
        <v/>
      </c>
      <c r="F706" s="20" t="str">
        <f aca="false">IF($X706="","",INDEX('Per Line'!$G$2:$G$4001,$X706))</f>
        <v/>
      </c>
      <c r="G706" s="20" t="str">
        <f aca="false">IF($X706="","",INDEX('Per Line'!$I$2:$I$4001,$X706))</f>
        <v/>
      </c>
      <c r="H706" s="20" t="str">
        <f aca="false">IF($X706="","",INDEX('Per Line'!$J$2:$J$4001,$X706))</f>
        <v/>
      </c>
      <c r="I706" s="20" t="str">
        <f aca="false">IF($X706="","",INDEX('Per Line'!$K$2:$K$4001,$X706))</f>
        <v/>
      </c>
      <c r="J706" s="20" t="str">
        <f aca="false">IF($X706="","",INDEX('Per Line'!$L$2:$L$4001,$X706))</f>
        <v/>
      </c>
      <c r="K706" s="20" t="str">
        <f aca="false">IF($X706="","",INDEX('Per Line'!$M$2:$M$4001,$X706))</f>
        <v/>
      </c>
      <c r="L706" s="22" t="str">
        <f aca="false">IF($X706="","",K706*V706/100)</f>
        <v/>
      </c>
      <c r="M706" s="20" t="str">
        <f aca="false">IF($X706="","",INDEX('Per Line'!$Z$2:$Z$4001,$X706))</f>
        <v/>
      </c>
      <c r="N706" s="23" t="str">
        <f aca="false">IF($X706="","",Settings!$C$7)</f>
        <v/>
      </c>
      <c r="O706" s="22" t="str">
        <f aca="false">IF($X706="","",SUMIFS('Per Line'!$Y$2:$Y$4001,'Per Line'!$D$2:$D$4001,$B706,'Per Line'!$AJ$2:$AJ$4001,0))</f>
        <v/>
      </c>
      <c r="P706" s="22" t="str">
        <f aca="false">IF($X706="","",O706*N706)</f>
        <v/>
      </c>
      <c r="Q706" s="23" t="str">
        <f aca="false">IF($X706="","",Settings!$C$6)</f>
        <v/>
      </c>
      <c r="R706" s="22" t="str">
        <f aca="false">IF($X706="","",SUMIFS('Per Line'!$Y$2:$Y$4001,'Per Line'!$D$2:$D$4001,$B706,'Per Line'!$AJ$2:$AJ$4001,1))</f>
        <v/>
      </c>
      <c r="S706" s="22" t="str">
        <f aca="false">IF($X706="","",R706*Q706)</f>
        <v/>
      </c>
      <c r="T706" s="22" t="str">
        <f aca="false">IF($X706="","",S706+P706)</f>
        <v/>
      </c>
      <c r="U706" s="22" t="str">
        <f aca="false">IF($X706="","",V706-T706)</f>
        <v/>
      </c>
      <c r="V706" s="22" t="str">
        <f aca="false">IF($X706="","",O706+R706)</f>
        <v/>
      </c>
      <c r="W706" s="22" t="str">
        <f aca="false">IF($X706="","",U706-L706)</f>
        <v/>
      </c>
      <c r="X706" s="24" t="str">
        <f aca="false">IF(ROWS($X$2:$X706)&lt;=MAX('Per Line'!$AI$2:$AI$4001),MATCH(ROWS($X$2:$X706),'Per Line'!$AI$2:$AI$4001,0),"")</f>
        <v/>
      </c>
    </row>
    <row r="707" customFormat="false" ht="15" hidden="false" customHeight="false" outlineLevel="0" collapsed="false">
      <c r="A707" s="19"/>
      <c r="B707" s="20" t="str">
        <f aca="false">IF($X707="","",INDEX('Per Line'!$D$2:$D$4001,$X707))</f>
        <v/>
      </c>
      <c r="C707" s="20" t="str">
        <f aca="false">IF($X707="","",INDEX('Per Line'!$C$2:$C$4001,$X707))</f>
        <v/>
      </c>
      <c r="D707" s="20" t="str">
        <f aca="false">IF($X707="","",INDEX('Per Line'!$A$2:$A$4001,$X707))</f>
        <v/>
      </c>
      <c r="E707" s="21" t="str">
        <f aca="false">IF($X707="","",INDEX('Per Line'!$F$2:$F$4001,$X707))</f>
        <v/>
      </c>
      <c r="F707" s="20" t="str">
        <f aca="false">IF($X707="","",INDEX('Per Line'!$G$2:$G$4001,$X707))</f>
        <v/>
      </c>
      <c r="G707" s="20" t="str">
        <f aca="false">IF($X707="","",INDEX('Per Line'!$I$2:$I$4001,$X707))</f>
        <v/>
      </c>
      <c r="H707" s="20" t="str">
        <f aca="false">IF($X707="","",INDEX('Per Line'!$J$2:$J$4001,$X707))</f>
        <v/>
      </c>
      <c r="I707" s="20" t="str">
        <f aca="false">IF($X707="","",INDEX('Per Line'!$K$2:$K$4001,$X707))</f>
        <v/>
      </c>
      <c r="J707" s="20" t="str">
        <f aca="false">IF($X707="","",INDEX('Per Line'!$L$2:$L$4001,$X707))</f>
        <v/>
      </c>
      <c r="K707" s="20" t="str">
        <f aca="false">IF($X707="","",INDEX('Per Line'!$M$2:$M$4001,$X707))</f>
        <v/>
      </c>
      <c r="L707" s="22" t="str">
        <f aca="false">IF($X707="","",K707*V707/100)</f>
        <v/>
      </c>
      <c r="M707" s="20" t="str">
        <f aca="false">IF($X707="","",INDEX('Per Line'!$Z$2:$Z$4001,$X707))</f>
        <v/>
      </c>
      <c r="N707" s="23" t="str">
        <f aca="false">IF($X707="","",Settings!$C$7)</f>
        <v/>
      </c>
      <c r="O707" s="22" t="str">
        <f aca="false">IF($X707="","",SUMIFS('Per Line'!$Y$2:$Y$4001,'Per Line'!$D$2:$D$4001,$B707,'Per Line'!$AJ$2:$AJ$4001,0))</f>
        <v/>
      </c>
      <c r="P707" s="22" t="str">
        <f aca="false">IF($X707="","",O707*N707)</f>
        <v/>
      </c>
      <c r="Q707" s="23" t="str">
        <f aca="false">IF($X707="","",Settings!$C$6)</f>
        <v/>
      </c>
      <c r="R707" s="22" t="str">
        <f aca="false">IF($X707="","",SUMIFS('Per Line'!$Y$2:$Y$4001,'Per Line'!$D$2:$D$4001,$B707,'Per Line'!$AJ$2:$AJ$4001,1))</f>
        <v/>
      </c>
      <c r="S707" s="22" t="str">
        <f aca="false">IF($X707="","",R707*Q707)</f>
        <v/>
      </c>
      <c r="T707" s="22" t="str">
        <f aca="false">IF($X707="","",S707+P707)</f>
        <v/>
      </c>
      <c r="U707" s="22" t="str">
        <f aca="false">IF($X707="","",V707-T707)</f>
        <v/>
      </c>
      <c r="V707" s="22" t="str">
        <f aca="false">IF($X707="","",O707+R707)</f>
        <v/>
      </c>
      <c r="W707" s="22" t="str">
        <f aca="false">IF($X707="","",U707-L707)</f>
        <v/>
      </c>
      <c r="X707" s="24" t="str">
        <f aca="false">IF(ROWS($X$2:$X707)&lt;=MAX('Per Line'!$AI$2:$AI$4001),MATCH(ROWS($X$2:$X707),'Per Line'!$AI$2:$AI$4001,0),"")</f>
        <v/>
      </c>
    </row>
    <row r="708" customFormat="false" ht="15" hidden="false" customHeight="false" outlineLevel="0" collapsed="false">
      <c r="A708" s="19"/>
      <c r="B708" s="20" t="str">
        <f aca="false">IF($X708="","",INDEX('Per Line'!$D$2:$D$4001,$X708))</f>
        <v/>
      </c>
      <c r="C708" s="20" t="str">
        <f aca="false">IF($X708="","",INDEX('Per Line'!$C$2:$C$4001,$X708))</f>
        <v/>
      </c>
      <c r="D708" s="20" t="str">
        <f aca="false">IF($X708="","",INDEX('Per Line'!$A$2:$A$4001,$X708))</f>
        <v/>
      </c>
      <c r="E708" s="21" t="str">
        <f aca="false">IF($X708="","",INDEX('Per Line'!$F$2:$F$4001,$X708))</f>
        <v/>
      </c>
      <c r="F708" s="20" t="str">
        <f aca="false">IF($X708="","",INDEX('Per Line'!$G$2:$G$4001,$X708))</f>
        <v/>
      </c>
      <c r="G708" s="20" t="str">
        <f aca="false">IF($X708="","",INDEX('Per Line'!$I$2:$I$4001,$X708))</f>
        <v/>
      </c>
      <c r="H708" s="20" t="str">
        <f aca="false">IF($X708="","",INDEX('Per Line'!$J$2:$J$4001,$X708))</f>
        <v/>
      </c>
      <c r="I708" s="20" t="str">
        <f aca="false">IF($X708="","",INDEX('Per Line'!$K$2:$K$4001,$X708))</f>
        <v/>
      </c>
      <c r="J708" s="20" t="str">
        <f aca="false">IF($X708="","",INDEX('Per Line'!$L$2:$L$4001,$X708))</f>
        <v/>
      </c>
      <c r="K708" s="20" t="str">
        <f aca="false">IF($X708="","",INDEX('Per Line'!$M$2:$M$4001,$X708))</f>
        <v/>
      </c>
      <c r="L708" s="22" t="str">
        <f aca="false">IF($X708="","",K708*V708/100)</f>
        <v/>
      </c>
      <c r="M708" s="20" t="str">
        <f aca="false">IF($X708="","",INDEX('Per Line'!$Z$2:$Z$4001,$X708))</f>
        <v/>
      </c>
      <c r="N708" s="23" t="str">
        <f aca="false">IF($X708="","",Settings!$C$7)</f>
        <v/>
      </c>
      <c r="O708" s="22" t="str">
        <f aca="false">IF($X708="","",SUMIFS('Per Line'!$Y$2:$Y$4001,'Per Line'!$D$2:$D$4001,$B708,'Per Line'!$AJ$2:$AJ$4001,0))</f>
        <v/>
      </c>
      <c r="P708" s="22" t="str">
        <f aca="false">IF($X708="","",O708*N708)</f>
        <v/>
      </c>
      <c r="Q708" s="23" t="str">
        <f aca="false">IF($X708="","",Settings!$C$6)</f>
        <v/>
      </c>
      <c r="R708" s="22" t="str">
        <f aca="false">IF($X708="","",SUMIFS('Per Line'!$Y$2:$Y$4001,'Per Line'!$D$2:$D$4001,$B708,'Per Line'!$AJ$2:$AJ$4001,1))</f>
        <v/>
      </c>
      <c r="S708" s="22" t="str">
        <f aca="false">IF($X708="","",R708*Q708)</f>
        <v/>
      </c>
      <c r="T708" s="22" t="str">
        <f aca="false">IF($X708="","",S708+P708)</f>
        <v/>
      </c>
      <c r="U708" s="22" t="str">
        <f aca="false">IF($X708="","",V708-T708)</f>
        <v/>
      </c>
      <c r="V708" s="22" t="str">
        <f aca="false">IF($X708="","",O708+R708)</f>
        <v/>
      </c>
      <c r="W708" s="22" t="str">
        <f aca="false">IF($X708="","",U708-L708)</f>
        <v/>
      </c>
      <c r="X708" s="24" t="str">
        <f aca="false">IF(ROWS($X$2:$X708)&lt;=MAX('Per Line'!$AI$2:$AI$4001),MATCH(ROWS($X$2:$X708),'Per Line'!$AI$2:$AI$4001,0),"")</f>
        <v/>
      </c>
    </row>
    <row r="709" customFormat="false" ht="15" hidden="false" customHeight="false" outlineLevel="0" collapsed="false">
      <c r="A709" s="19"/>
      <c r="B709" s="20" t="str">
        <f aca="false">IF($X709="","",INDEX('Per Line'!$D$2:$D$4001,$X709))</f>
        <v/>
      </c>
      <c r="C709" s="20" t="str">
        <f aca="false">IF($X709="","",INDEX('Per Line'!$C$2:$C$4001,$X709))</f>
        <v/>
      </c>
      <c r="D709" s="20" t="str">
        <f aca="false">IF($X709="","",INDEX('Per Line'!$A$2:$A$4001,$X709))</f>
        <v/>
      </c>
      <c r="E709" s="21" t="str">
        <f aca="false">IF($X709="","",INDEX('Per Line'!$F$2:$F$4001,$X709))</f>
        <v/>
      </c>
      <c r="F709" s="20" t="str">
        <f aca="false">IF($X709="","",INDEX('Per Line'!$G$2:$G$4001,$X709))</f>
        <v/>
      </c>
      <c r="G709" s="20" t="str">
        <f aca="false">IF($X709="","",INDEX('Per Line'!$I$2:$I$4001,$X709))</f>
        <v/>
      </c>
      <c r="H709" s="20" t="str">
        <f aca="false">IF($X709="","",INDEX('Per Line'!$J$2:$J$4001,$X709))</f>
        <v/>
      </c>
      <c r="I709" s="20" t="str">
        <f aca="false">IF($X709="","",INDEX('Per Line'!$K$2:$K$4001,$X709))</f>
        <v/>
      </c>
      <c r="J709" s="20" t="str">
        <f aca="false">IF($X709="","",INDEX('Per Line'!$L$2:$L$4001,$X709))</f>
        <v/>
      </c>
      <c r="K709" s="20" t="str">
        <f aca="false">IF($X709="","",INDEX('Per Line'!$M$2:$M$4001,$X709))</f>
        <v/>
      </c>
      <c r="L709" s="22" t="str">
        <f aca="false">IF($X709="","",K709*V709/100)</f>
        <v/>
      </c>
      <c r="M709" s="20" t="str">
        <f aca="false">IF($X709="","",INDEX('Per Line'!$Z$2:$Z$4001,$X709))</f>
        <v/>
      </c>
      <c r="N709" s="23" t="str">
        <f aca="false">IF($X709="","",Settings!$C$7)</f>
        <v/>
      </c>
      <c r="O709" s="22" t="str">
        <f aca="false">IF($X709="","",SUMIFS('Per Line'!$Y$2:$Y$4001,'Per Line'!$D$2:$D$4001,$B709,'Per Line'!$AJ$2:$AJ$4001,0))</f>
        <v/>
      </c>
      <c r="P709" s="22" t="str">
        <f aca="false">IF($X709="","",O709*N709)</f>
        <v/>
      </c>
      <c r="Q709" s="23" t="str">
        <f aca="false">IF($X709="","",Settings!$C$6)</f>
        <v/>
      </c>
      <c r="R709" s="22" t="str">
        <f aca="false">IF($X709="","",SUMIFS('Per Line'!$Y$2:$Y$4001,'Per Line'!$D$2:$D$4001,$B709,'Per Line'!$AJ$2:$AJ$4001,1))</f>
        <v/>
      </c>
      <c r="S709" s="22" t="str">
        <f aca="false">IF($X709="","",R709*Q709)</f>
        <v/>
      </c>
      <c r="T709" s="22" t="str">
        <f aca="false">IF($X709="","",S709+P709)</f>
        <v/>
      </c>
      <c r="U709" s="22" t="str">
        <f aca="false">IF($X709="","",V709-T709)</f>
        <v/>
      </c>
      <c r="V709" s="22" t="str">
        <f aca="false">IF($X709="","",O709+R709)</f>
        <v/>
      </c>
      <c r="W709" s="22" t="str">
        <f aca="false">IF($X709="","",U709-L709)</f>
        <v/>
      </c>
      <c r="X709" s="24" t="str">
        <f aca="false">IF(ROWS($X$2:$X709)&lt;=MAX('Per Line'!$AI$2:$AI$4001),MATCH(ROWS($X$2:$X709),'Per Line'!$AI$2:$AI$4001,0),"")</f>
        <v/>
      </c>
    </row>
    <row r="710" customFormat="false" ht="15" hidden="false" customHeight="false" outlineLevel="0" collapsed="false">
      <c r="A710" s="19"/>
      <c r="B710" s="20" t="str">
        <f aca="false">IF($X710="","",INDEX('Per Line'!$D$2:$D$4001,$X710))</f>
        <v/>
      </c>
      <c r="C710" s="20" t="str">
        <f aca="false">IF($X710="","",INDEX('Per Line'!$C$2:$C$4001,$X710))</f>
        <v/>
      </c>
      <c r="D710" s="20" t="str">
        <f aca="false">IF($X710="","",INDEX('Per Line'!$A$2:$A$4001,$X710))</f>
        <v/>
      </c>
      <c r="E710" s="21" t="str">
        <f aca="false">IF($X710="","",INDEX('Per Line'!$F$2:$F$4001,$X710))</f>
        <v/>
      </c>
      <c r="F710" s="20" t="str">
        <f aca="false">IF($X710="","",INDEX('Per Line'!$G$2:$G$4001,$X710))</f>
        <v/>
      </c>
      <c r="G710" s="20" t="str">
        <f aca="false">IF($X710="","",INDEX('Per Line'!$I$2:$I$4001,$X710))</f>
        <v/>
      </c>
      <c r="H710" s="20" t="str">
        <f aca="false">IF($X710="","",INDEX('Per Line'!$J$2:$J$4001,$X710))</f>
        <v/>
      </c>
      <c r="I710" s="20" t="str">
        <f aca="false">IF($X710="","",INDEX('Per Line'!$K$2:$K$4001,$X710))</f>
        <v/>
      </c>
      <c r="J710" s="20" t="str">
        <f aca="false">IF($X710="","",INDEX('Per Line'!$L$2:$L$4001,$X710))</f>
        <v/>
      </c>
      <c r="K710" s="20" t="str">
        <f aca="false">IF($X710="","",INDEX('Per Line'!$M$2:$M$4001,$X710))</f>
        <v/>
      </c>
      <c r="L710" s="22" t="str">
        <f aca="false">IF($X710="","",K710*V710/100)</f>
        <v/>
      </c>
      <c r="M710" s="20" t="str">
        <f aca="false">IF($X710="","",INDEX('Per Line'!$Z$2:$Z$4001,$X710))</f>
        <v/>
      </c>
      <c r="N710" s="23" t="str">
        <f aca="false">IF($X710="","",Settings!$C$7)</f>
        <v/>
      </c>
      <c r="O710" s="22" t="str">
        <f aca="false">IF($X710="","",SUMIFS('Per Line'!$Y$2:$Y$4001,'Per Line'!$D$2:$D$4001,$B710,'Per Line'!$AJ$2:$AJ$4001,0))</f>
        <v/>
      </c>
      <c r="P710" s="22" t="str">
        <f aca="false">IF($X710="","",O710*N710)</f>
        <v/>
      </c>
      <c r="Q710" s="23" t="str">
        <f aca="false">IF($X710="","",Settings!$C$6)</f>
        <v/>
      </c>
      <c r="R710" s="22" t="str">
        <f aca="false">IF($X710="","",SUMIFS('Per Line'!$Y$2:$Y$4001,'Per Line'!$D$2:$D$4001,$B710,'Per Line'!$AJ$2:$AJ$4001,1))</f>
        <v/>
      </c>
      <c r="S710" s="22" t="str">
        <f aca="false">IF($X710="","",R710*Q710)</f>
        <v/>
      </c>
      <c r="T710" s="22" t="str">
        <f aca="false">IF($X710="","",S710+P710)</f>
        <v/>
      </c>
      <c r="U710" s="22" t="str">
        <f aca="false">IF($X710="","",V710-T710)</f>
        <v/>
      </c>
      <c r="V710" s="22" t="str">
        <f aca="false">IF($X710="","",O710+R710)</f>
        <v/>
      </c>
      <c r="W710" s="22" t="str">
        <f aca="false">IF($X710="","",U710-L710)</f>
        <v/>
      </c>
      <c r="X710" s="24" t="str">
        <f aca="false">IF(ROWS($X$2:$X710)&lt;=MAX('Per Line'!$AI$2:$AI$4001),MATCH(ROWS($X$2:$X710),'Per Line'!$AI$2:$AI$4001,0),"")</f>
        <v/>
      </c>
    </row>
    <row r="711" customFormat="false" ht="15" hidden="false" customHeight="false" outlineLevel="0" collapsed="false">
      <c r="A711" s="19"/>
      <c r="B711" s="20" t="str">
        <f aca="false">IF($X711="","",INDEX('Per Line'!$D$2:$D$4001,$X711))</f>
        <v/>
      </c>
      <c r="C711" s="20" t="str">
        <f aca="false">IF($X711="","",INDEX('Per Line'!$C$2:$C$4001,$X711))</f>
        <v/>
      </c>
      <c r="D711" s="20" t="str">
        <f aca="false">IF($X711="","",INDEX('Per Line'!$A$2:$A$4001,$X711))</f>
        <v/>
      </c>
      <c r="E711" s="21" t="str">
        <f aca="false">IF($X711="","",INDEX('Per Line'!$F$2:$F$4001,$X711))</f>
        <v/>
      </c>
      <c r="F711" s="20" t="str">
        <f aca="false">IF($X711="","",INDEX('Per Line'!$G$2:$G$4001,$X711))</f>
        <v/>
      </c>
      <c r="G711" s="20" t="str">
        <f aca="false">IF($X711="","",INDEX('Per Line'!$I$2:$I$4001,$X711))</f>
        <v/>
      </c>
      <c r="H711" s="20" t="str">
        <f aca="false">IF($X711="","",INDEX('Per Line'!$J$2:$J$4001,$X711))</f>
        <v/>
      </c>
      <c r="I711" s="20" t="str">
        <f aca="false">IF($X711="","",INDEX('Per Line'!$K$2:$K$4001,$X711))</f>
        <v/>
      </c>
      <c r="J711" s="20" t="str">
        <f aca="false">IF($X711="","",INDEX('Per Line'!$L$2:$L$4001,$X711))</f>
        <v/>
      </c>
      <c r="K711" s="20" t="str">
        <f aca="false">IF($X711="","",INDEX('Per Line'!$M$2:$M$4001,$X711))</f>
        <v/>
      </c>
      <c r="L711" s="22" t="str">
        <f aca="false">IF($X711="","",K711*V711/100)</f>
        <v/>
      </c>
      <c r="M711" s="20" t="str">
        <f aca="false">IF($X711="","",INDEX('Per Line'!$Z$2:$Z$4001,$X711))</f>
        <v/>
      </c>
      <c r="N711" s="23" t="str">
        <f aca="false">IF($X711="","",Settings!$C$7)</f>
        <v/>
      </c>
      <c r="O711" s="22" t="str">
        <f aca="false">IF($X711="","",SUMIFS('Per Line'!$Y$2:$Y$4001,'Per Line'!$D$2:$D$4001,$B711,'Per Line'!$AJ$2:$AJ$4001,0))</f>
        <v/>
      </c>
      <c r="P711" s="22" t="str">
        <f aca="false">IF($X711="","",O711*N711)</f>
        <v/>
      </c>
      <c r="Q711" s="23" t="str">
        <f aca="false">IF($X711="","",Settings!$C$6)</f>
        <v/>
      </c>
      <c r="R711" s="22" t="str">
        <f aca="false">IF($X711="","",SUMIFS('Per Line'!$Y$2:$Y$4001,'Per Line'!$D$2:$D$4001,$B711,'Per Line'!$AJ$2:$AJ$4001,1))</f>
        <v/>
      </c>
      <c r="S711" s="22" t="str">
        <f aca="false">IF($X711="","",R711*Q711)</f>
        <v/>
      </c>
      <c r="T711" s="22" t="str">
        <f aca="false">IF($X711="","",S711+P711)</f>
        <v/>
      </c>
      <c r="U711" s="22" t="str">
        <f aca="false">IF($X711="","",V711-T711)</f>
        <v/>
      </c>
      <c r="V711" s="22" t="str">
        <f aca="false">IF($X711="","",O711+R711)</f>
        <v/>
      </c>
      <c r="W711" s="22" t="str">
        <f aca="false">IF($X711="","",U711-L711)</f>
        <v/>
      </c>
      <c r="X711" s="24" t="str">
        <f aca="false">IF(ROWS($X$2:$X711)&lt;=MAX('Per Line'!$AI$2:$AI$4001),MATCH(ROWS($X$2:$X711),'Per Line'!$AI$2:$AI$4001,0),"")</f>
        <v/>
      </c>
    </row>
    <row r="712" customFormat="false" ht="15" hidden="false" customHeight="false" outlineLevel="0" collapsed="false">
      <c r="A712" s="19"/>
      <c r="B712" s="20" t="str">
        <f aca="false">IF($X712="","",INDEX('Per Line'!$D$2:$D$4001,$X712))</f>
        <v/>
      </c>
      <c r="C712" s="20" t="str">
        <f aca="false">IF($X712="","",INDEX('Per Line'!$C$2:$C$4001,$X712))</f>
        <v/>
      </c>
      <c r="D712" s="20" t="str">
        <f aca="false">IF($X712="","",INDEX('Per Line'!$A$2:$A$4001,$X712))</f>
        <v/>
      </c>
      <c r="E712" s="21" t="str">
        <f aca="false">IF($X712="","",INDEX('Per Line'!$F$2:$F$4001,$X712))</f>
        <v/>
      </c>
      <c r="F712" s="20" t="str">
        <f aca="false">IF($X712="","",INDEX('Per Line'!$G$2:$G$4001,$X712))</f>
        <v/>
      </c>
      <c r="G712" s="20" t="str">
        <f aca="false">IF($X712="","",INDEX('Per Line'!$I$2:$I$4001,$X712))</f>
        <v/>
      </c>
      <c r="H712" s="20" t="str">
        <f aca="false">IF($X712="","",INDEX('Per Line'!$J$2:$J$4001,$X712))</f>
        <v/>
      </c>
      <c r="I712" s="20" t="str">
        <f aca="false">IF($X712="","",INDEX('Per Line'!$K$2:$K$4001,$X712))</f>
        <v/>
      </c>
      <c r="J712" s="20" t="str">
        <f aca="false">IF($X712="","",INDEX('Per Line'!$L$2:$L$4001,$X712))</f>
        <v/>
      </c>
      <c r="K712" s="20" t="str">
        <f aca="false">IF($X712="","",INDEX('Per Line'!$M$2:$M$4001,$X712))</f>
        <v/>
      </c>
      <c r="L712" s="22" t="str">
        <f aca="false">IF($X712="","",K712*V712/100)</f>
        <v/>
      </c>
      <c r="M712" s="20" t="str">
        <f aca="false">IF($X712="","",INDEX('Per Line'!$Z$2:$Z$4001,$X712))</f>
        <v/>
      </c>
      <c r="N712" s="23" t="str">
        <f aca="false">IF($X712="","",Settings!$C$7)</f>
        <v/>
      </c>
      <c r="O712" s="22" t="str">
        <f aca="false">IF($X712="","",SUMIFS('Per Line'!$Y$2:$Y$4001,'Per Line'!$D$2:$D$4001,$B712,'Per Line'!$AJ$2:$AJ$4001,0))</f>
        <v/>
      </c>
      <c r="P712" s="22" t="str">
        <f aca="false">IF($X712="","",O712*N712)</f>
        <v/>
      </c>
      <c r="Q712" s="23" t="str">
        <f aca="false">IF($X712="","",Settings!$C$6)</f>
        <v/>
      </c>
      <c r="R712" s="22" t="str">
        <f aca="false">IF($X712="","",SUMIFS('Per Line'!$Y$2:$Y$4001,'Per Line'!$D$2:$D$4001,$B712,'Per Line'!$AJ$2:$AJ$4001,1))</f>
        <v/>
      </c>
      <c r="S712" s="22" t="str">
        <f aca="false">IF($X712="","",R712*Q712)</f>
        <v/>
      </c>
      <c r="T712" s="22" t="str">
        <f aca="false">IF($X712="","",S712+P712)</f>
        <v/>
      </c>
      <c r="U712" s="22" t="str">
        <f aca="false">IF($X712="","",V712-T712)</f>
        <v/>
      </c>
      <c r="V712" s="22" t="str">
        <f aca="false">IF($X712="","",O712+R712)</f>
        <v/>
      </c>
      <c r="W712" s="22" t="str">
        <f aca="false">IF($X712="","",U712-L712)</f>
        <v/>
      </c>
      <c r="X712" s="24" t="str">
        <f aca="false">IF(ROWS($X$2:$X712)&lt;=MAX('Per Line'!$AI$2:$AI$4001),MATCH(ROWS($X$2:$X712),'Per Line'!$AI$2:$AI$4001,0),"")</f>
        <v/>
      </c>
    </row>
    <row r="713" customFormat="false" ht="15" hidden="false" customHeight="false" outlineLevel="0" collapsed="false">
      <c r="A713" s="19"/>
      <c r="B713" s="20" t="str">
        <f aca="false">IF($X713="","",INDEX('Per Line'!$D$2:$D$4001,$X713))</f>
        <v/>
      </c>
      <c r="C713" s="20" t="str">
        <f aca="false">IF($X713="","",INDEX('Per Line'!$C$2:$C$4001,$X713))</f>
        <v/>
      </c>
      <c r="D713" s="20" t="str">
        <f aca="false">IF($X713="","",INDEX('Per Line'!$A$2:$A$4001,$X713))</f>
        <v/>
      </c>
      <c r="E713" s="21" t="str">
        <f aca="false">IF($X713="","",INDEX('Per Line'!$F$2:$F$4001,$X713))</f>
        <v/>
      </c>
      <c r="F713" s="20" t="str">
        <f aca="false">IF($X713="","",INDEX('Per Line'!$G$2:$G$4001,$X713))</f>
        <v/>
      </c>
      <c r="G713" s="20" t="str">
        <f aca="false">IF($X713="","",INDEX('Per Line'!$I$2:$I$4001,$X713))</f>
        <v/>
      </c>
      <c r="H713" s="20" t="str">
        <f aca="false">IF($X713="","",INDEX('Per Line'!$J$2:$J$4001,$X713))</f>
        <v/>
      </c>
      <c r="I713" s="20" t="str">
        <f aca="false">IF($X713="","",INDEX('Per Line'!$K$2:$K$4001,$X713))</f>
        <v/>
      </c>
      <c r="J713" s="20" t="str">
        <f aca="false">IF($X713="","",INDEX('Per Line'!$L$2:$L$4001,$X713))</f>
        <v/>
      </c>
      <c r="K713" s="20" t="str">
        <f aca="false">IF($X713="","",INDEX('Per Line'!$M$2:$M$4001,$X713))</f>
        <v/>
      </c>
      <c r="L713" s="22" t="str">
        <f aca="false">IF($X713="","",K713*V713/100)</f>
        <v/>
      </c>
      <c r="M713" s="20" t="str">
        <f aca="false">IF($X713="","",INDEX('Per Line'!$Z$2:$Z$4001,$X713))</f>
        <v/>
      </c>
      <c r="N713" s="23" t="str">
        <f aca="false">IF($X713="","",Settings!$C$7)</f>
        <v/>
      </c>
      <c r="O713" s="22" t="str">
        <f aca="false">IF($X713="","",SUMIFS('Per Line'!$Y$2:$Y$4001,'Per Line'!$D$2:$D$4001,$B713,'Per Line'!$AJ$2:$AJ$4001,0))</f>
        <v/>
      </c>
      <c r="P713" s="22" t="str">
        <f aca="false">IF($X713="","",O713*N713)</f>
        <v/>
      </c>
      <c r="Q713" s="23" t="str">
        <f aca="false">IF($X713="","",Settings!$C$6)</f>
        <v/>
      </c>
      <c r="R713" s="22" t="str">
        <f aca="false">IF($X713="","",SUMIFS('Per Line'!$Y$2:$Y$4001,'Per Line'!$D$2:$D$4001,$B713,'Per Line'!$AJ$2:$AJ$4001,1))</f>
        <v/>
      </c>
      <c r="S713" s="22" t="str">
        <f aca="false">IF($X713="","",R713*Q713)</f>
        <v/>
      </c>
      <c r="T713" s="22" t="str">
        <f aca="false">IF($X713="","",S713+P713)</f>
        <v/>
      </c>
      <c r="U713" s="22" t="str">
        <f aca="false">IF($X713="","",V713-T713)</f>
        <v/>
      </c>
      <c r="V713" s="22" t="str">
        <f aca="false">IF($X713="","",O713+R713)</f>
        <v/>
      </c>
      <c r="W713" s="22" t="str">
        <f aca="false">IF($X713="","",U713-L713)</f>
        <v/>
      </c>
      <c r="X713" s="24" t="str">
        <f aca="false">IF(ROWS($X$2:$X713)&lt;=MAX('Per Line'!$AI$2:$AI$4001),MATCH(ROWS($X$2:$X713),'Per Line'!$AI$2:$AI$4001,0),"")</f>
        <v/>
      </c>
    </row>
    <row r="714" customFormat="false" ht="15" hidden="false" customHeight="false" outlineLevel="0" collapsed="false">
      <c r="A714" s="19"/>
      <c r="B714" s="20" t="str">
        <f aca="false">IF($X714="","",INDEX('Per Line'!$D$2:$D$4001,$X714))</f>
        <v/>
      </c>
      <c r="C714" s="20" t="str">
        <f aca="false">IF($X714="","",INDEX('Per Line'!$C$2:$C$4001,$X714))</f>
        <v/>
      </c>
      <c r="D714" s="20" t="str">
        <f aca="false">IF($X714="","",INDEX('Per Line'!$A$2:$A$4001,$X714))</f>
        <v/>
      </c>
      <c r="E714" s="21" t="str">
        <f aca="false">IF($X714="","",INDEX('Per Line'!$F$2:$F$4001,$X714))</f>
        <v/>
      </c>
      <c r="F714" s="20" t="str">
        <f aca="false">IF($X714="","",INDEX('Per Line'!$G$2:$G$4001,$X714))</f>
        <v/>
      </c>
      <c r="G714" s="20" t="str">
        <f aca="false">IF($X714="","",INDEX('Per Line'!$I$2:$I$4001,$X714))</f>
        <v/>
      </c>
      <c r="H714" s="20" t="str">
        <f aca="false">IF($X714="","",INDEX('Per Line'!$J$2:$J$4001,$X714))</f>
        <v/>
      </c>
      <c r="I714" s="20" t="str">
        <f aca="false">IF($X714="","",INDEX('Per Line'!$K$2:$K$4001,$X714))</f>
        <v/>
      </c>
      <c r="J714" s="20" t="str">
        <f aca="false">IF($X714="","",INDEX('Per Line'!$L$2:$L$4001,$X714))</f>
        <v/>
      </c>
      <c r="K714" s="20" t="str">
        <f aca="false">IF($X714="","",INDEX('Per Line'!$M$2:$M$4001,$X714))</f>
        <v/>
      </c>
      <c r="L714" s="22" t="str">
        <f aca="false">IF($X714="","",K714*V714/100)</f>
        <v/>
      </c>
      <c r="M714" s="20" t="str">
        <f aca="false">IF($X714="","",INDEX('Per Line'!$Z$2:$Z$4001,$X714))</f>
        <v/>
      </c>
      <c r="N714" s="23" t="str">
        <f aca="false">IF($X714="","",Settings!$C$7)</f>
        <v/>
      </c>
      <c r="O714" s="22" t="str">
        <f aca="false">IF($X714="","",SUMIFS('Per Line'!$Y$2:$Y$4001,'Per Line'!$D$2:$D$4001,$B714,'Per Line'!$AJ$2:$AJ$4001,0))</f>
        <v/>
      </c>
      <c r="P714" s="22" t="str">
        <f aca="false">IF($X714="","",O714*N714)</f>
        <v/>
      </c>
      <c r="Q714" s="23" t="str">
        <f aca="false">IF($X714="","",Settings!$C$6)</f>
        <v/>
      </c>
      <c r="R714" s="22" t="str">
        <f aca="false">IF($X714="","",SUMIFS('Per Line'!$Y$2:$Y$4001,'Per Line'!$D$2:$D$4001,$B714,'Per Line'!$AJ$2:$AJ$4001,1))</f>
        <v/>
      </c>
      <c r="S714" s="22" t="str">
        <f aca="false">IF($X714="","",R714*Q714)</f>
        <v/>
      </c>
      <c r="T714" s="22" t="str">
        <f aca="false">IF($X714="","",S714+P714)</f>
        <v/>
      </c>
      <c r="U714" s="22" t="str">
        <f aca="false">IF($X714="","",V714-T714)</f>
        <v/>
      </c>
      <c r="V714" s="22" t="str">
        <f aca="false">IF($X714="","",O714+R714)</f>
        <v/>
      </c>
      <c r="W714" s="22" t="str">
        <f aca="false">IF($X714="","",U714-L714)</f>
        <v/>
      </c>
      <c r="X714" s="24" t="str">
        <f aca="false">IF(ROWS($X$2:$X714)&lt;=MAX('Per Line'!$AI$2:$AI$4001),MATCH(ROWS($X$2:$X714),'Per Line'!$AI$2:$AI$4001,0),"")</f>
        <v/>
      </c>
    </row>
    <row r="715" customFormat="false" ht="15" hidden="false" customHeight="false" outlineLevel="0" collapsed="false">
      <c r="A715" s="19"/>
      <c r="B715" s="20" t="str">
        <f aca="false">IF($X715="","",INDEX('Per Line'!$D$2:$D$4001,$X715))</f>
        <v/>
      </c>
      <c r="C715" s="20" t="str">
        <f aca="false">IF($X715="","",INDEX('Per Line'!$C$2:$C$4001,$X715))</f>
        <v/>
      </c>
      <c r="D715" s="20" t="str">
        <f aca="false">IF($X715="","",INDEX('Per Line'!$A$2:$A$4001,$X715))</f>
        <v/>
      </c>
      <c r="E715" s="21" t="str">
        <f aca="false">IF($X715="","",INDEX('Per Line'!$F$2:$F$4001,$X715))</f>
        <v/>
      </c>
      <c r="F715" s="20" t="str">
        <f aca="false">IF($X715="","",INDEX('Per Line'!$G$2:$G$4001,$X715))</f>
        <v/>
      </c>
      <c r="G715" s="20" t="str">
        <f aca="false">IF($X715="","",INDEX('Per Line'!$I$2:$I$4001,$X715))</f>
        <v/>
      </c>
      <c r="H715" s="20" t="str">
        <f aca="false">IF($X715="","",INDEX('Per Line'!$J$2:$J$4001,$X715))</f>
        <v/>
      </c>
      <c r="I715" s="20" t="str">
        <f aca="false">IF($X715="","",INDEX('Per Line'!$K$2:$K$4001,$X715))</f>
        <v/>
      </c>
      <c r="J715" s="20" t="str">
        <f aca="false">IF($X715="","",INDEX('Per Line'!$L$2:$L$4001,$X715))</f>
        <v/>
      </c>
      <c r="K715" s="20" t="str">
        <f aca="false">IF($X715="","",INDEX('Per Line'!$M$2:$M$4001,$X715))</f>
        <v/>
      </c>
      <c r="L715" s="22" t="str">
        <f aca="false">IF($X715="","",K715*V715/100)</f>
        <v/>
      </c>
      <c r="M715" s="20" t="str">
        <f aca="false">IF($X715="","",INDEX('Per Line'!$Z$2:$Z$4001,$X715))</f>
        <v/>
      </c>
      <c r="N715" s="23" t="str">
        <f aca="false">IF($X715="","",Settings!$C$7)</f>
        <v/>
      </c>
      <c r="O715" s="22" t="str">
        <f aca="false">IF($X715="","",SUMIFS('Per Line'!$Y$2:$Y$4001,'Per Line'!$D$2:$D$4001,$B715,'Per Line'!$AJ$2:$AJ$4001,0))</f>
        <v/>
      </c>
      <c r="P715" s="22" t="str">
        <f aca="false">IF($X715="","",O715*N715)</f>
        <v/>
      </c>
      <c r="Q715" s="23" t="str">
        <f aca="false">IF($X715="","",Settings!$C$6)</f>
        <v/>
      </c>
      <c r="R715" s="22" t="str">
        <f aca="false">IF($X715="","",SUMIFS('Per Line'!$Y$2:$Y$4001,'Per Line'!$D$2:$D$4001,$B715,'Per Line'!$AJ$2:$AJ$4001,1))</f>
        <v/>
      </c>
      <c r="S715" s="22" t="str">
        <f aca="false">IF($X715="","",R715*Q715)</f>
        <v/>
      </c>
      <c r="T715" s="22" t="str">
        <f aca="false">IF($X715="","",S715+P715)</f>
        <v/>
      </c>
      <c r="U715" s="22" t="str">
        <f aca="false">IF($X715="","",V715-T715)</f>
        <v/>
      </c>
      <c r="V715" s="22" t="str">
        <f aca="false">IF($X715="","",O715+R715)</f>
        <v/>
      </c>
      <c r="W715" s="22" t="str">
        <f aca="false">IF($X715="","",U715-L715)</f>
        <v/>
      </c>
      <c r="X715" s="24" t="str">
        <f aca="false">IF(ROWS($X$2:$X715)&lt;=MAX('Per Line'!$AI$2:$AI$4001),MATCH(ROWS($X$2:$X715),'Per Line'!$AI$2:$AI$4001,0),"")</f>
        <v/>
      </c>
    </row>
    <row r="716" customFormat="false" ht="15" hidden="false" customHeight="false" outlineLevel="0" collapsed="false">
      <c r="A716" s="19"/>
      <c r="B716" s="20" t="str">
        <f aca="false">IF($X716="","",INDEX('Per Line'!$D$2:$D$4001,$X716))</f>
        <v/>
      </c>
      <c r="C716" s="20" t="str">
        <f aca="false">IF($X716="","",INDEX('Per Line'!$C$2:$C$4001,$X716))</f>
        <v/>
      </c>
      <c r="D716" s="20" t="str">
        <f aca="false">IF($X716="","",INDEX('Per Line'!$A$2:$A$4001,$X716))</f>
        <v/>
      </c>
      <c r="E716" s="21" t="str">
        <f aca="false">IF($X716="","",INDEX('Per Line'!$F$2:$F$4001,$X716))</f>
        <v/>
      </c>
      <c r="F716" s="20" t="str">
        <f aca="false">IF($X716="","",INDEX('Per Line'!$G$2:$G$4001,$X716))</f>
        <v/>
      </c>
      <c r="G716" s="20" t="str">
        <f aca="false">IF($X716="","",INDEX('Per Line'!$I$2:$I$4001,$X716))</f>
        <v/>
      </c>
      <c r="H716" s="20" t="str">
        <f aca="false">IF($X716="","",INDEX('Per Line'!$J$2:$J$4001,$X716))</f>
        <v/>
      </c>
      <c r="I716" s="20" t="str">
        <f aca="false">IF($X716="","",INDEX('Per Line'!$K$2:$K$4001,$X716))</f>
        <v/>
      </c>
      <c r="J716" s="20" t="str">
        <f aca="false">IF($X716="","",INDEX('Per Line'!$L$2:$L$4001,$X716))</f>
        <v/>
      </c>
      <c r="K716" s="20" t="str">
        <f aca="false">IF($X716="","",INDEX('Per Line'!$M$2:$M$4001,$X716))</f>
        <v/>
      </c>
      <c r="L716" s="22" t="str">
        <f aca="false">IF($X716="","",K716*V716/100)</f>
        <v/>
      </c>
      <c r="M716" s="20" t="str">
        <f aca="false">IF($X716="","",INDEX('Per Line'!$Z$2:$Z$4001,$X716))</f>
        <v/>
      </c>
      <c r="N716" s="23" t="str">
        <f aca="false">IF($X716="","",Settings!$C$7)</f>
        <v/>
      </c>
      <c r="O716" s="22" t="str">
        <f aca="false">IF($X716="","",SUMIFS('Per Line'!$Y$2:$Y$4001,'Per Line'!$D$2:$D$4001,$B716,'Per Line'!$AJ$2:$AJ$4001,0))</f>
        <v/>
      </c>
      <c r="P716" s="22" t="str">
        <f aca="false">IF($X716="","",O716*N716)</f>
        <v/>
      </c>
      <c r="Q716" s="23" t="str">
        <f aca="false">IF($X716="","",Settings!$C$6)</f>
        <v/>
      </c>
      <c r="R716" s="22" t="str">
        <f aca="false">IF($X716="","",SUMIFS('Per Line'!$Y$2:$Y$4001,'Per Line'!$D$2:$D$4001,$B716,'Per Line'!$AJ$2:$AJ$4001,1))</f>
        <v/>
      </c>
      <c r="S716" s="22" t="str">
        <f aca="false">IF($X716="","",R716*Q716)</f>
        <v/>
      </c>
      <c r="T716" s="22" t="str">
        <f aca="false">IF($X716="","",S716+P716)</f>
        <v/>
      </c>
      <c r="U716" s="22" t="str">
        <f aca="false">IF($X716="","",V716-T716)</f>
        <v/>
      </c>
      <c r="V716" s="22" t="str">
        <f aca="false">IF($X716="","",O716+R716)</f>
        <v/>
      </c>
      <c r="W716" s="22" t="str">
        <f aca="false">IF($X716="","",U716-L716)</f>
        <v/>
      </c>
      <c r="X716" s="24" t="str">
        <f aca="false">IF(ROWS($X$2:$X716)&lt;=MAX('Per Line'!$AI$2:$AI$4001),MATCH(ROWS($X$2:$X716),'Per Line'!$AI$2:$AI$4001,0),"")</f>
        <v/>
      </c>
    </row>
    <row r="717" customFormat="false" ht="15" hidden="false" customHeight="false" outlineLevel="0" collapsed="false">
      <c r="A717" s="19"/>
      <c r="B717" s="20" t="str">
        <f aca="false">IF($X717="","",INDEX('Per Line'!$D$2:$D$4001,$X717))</f>
        <v/>
      </c>
      <c r="C717" s="20" t="str">
        <f aca="false">IF($X717="","",INDEX('Per Line'!$C$2:$C$4001,$X717))</f>
        <v/>
      </c>
      <c r="D717" s="20" t="str">
        <f aca="false">IF($X717="","",INDEX('Per Line'!$A$2:$A$4001,$X717))</f>
        <v/>
      </c>
      <c r="E717" s="21" t="str">
        <f aca="false">IF($X717="","",INDEX('Per Line'!$F$2:$F$4001,$X717))</f>
        <v/>
      </c>
      <c r="F717" s="20" t="str">
        <f aca="false">IF($X717="","",INDEX('Per Line'!$G$2:$G$4001,$X717))</f>
        <v/>
      </c>
      <c r="G717" s="20" t="str">
        <f aca="false">IF($X717="","",INDEX('Per Line'!$I$2:$I$4001,$X717))</f>
        <v/>
      </c>
      <c r="H717" s="20" t="str">
        <f aca="false">IF($X717="","",INDEX('Per Line'!$J$2:$J$4001,$X717))</f>
        <v/>
      </c>
      <c r="I717" s="20" t="str">
        <f aca="false">IF($X717="","",INDEX('Per Line'!$K$2:$K$4001,$X717))</f>
        <v/>
      </c>
      <c r="J717" s="20" t="str">
        <f aca="false">IF($X717="","",INDEX('Per Line'!$L$2:$L$4001,$X717))</f>
        <v/>
      </c>
      <c r="K717" s="20" t="str">
        <f aca="false">IF($X717="","",INDEX('Per Line'!$M$2:$M$4001,$X717))</f>
        <v/>
      </c>
      <c r="L717" s="22" t="str">
        <f aca="false">IF($X717="","",K717*V717/100)</f>
        <v/>
      </c>
      <c r="M717" s="20" t="str">
        <f aca="false">IF($X717="","",INDEX('Per Line'!$Z$2:$Z$4001,$X717))</f>
        <v/>
      </c>
      <c r="N717" s="23" t="str">
        <f aca="false">IF($X717="","",Settings!$C$7)</f>
        <v/>
      </c>
      <c r="O717" s="22" t="str">
        <f aca="false">IF($X717="","",SUMIFS('Per Line'!$Y$2:$Y$4001,'Per Line'!$D$2:$D$4001,$B717,'Per Line'!$AJ$2:$AJ$4001,0))</f>
        <v/>
      </c>
      <c r="P717" s="22" t="str">
        <f aca="false">IF($X717="","",O717*N717)</f>
        <v/>
      </c>
      <c r="Q717" s="23" t="str">
        <f aca="false">IF($X717="","",Settings!$C$6)</f>
        <v/>
      </c>
      <c r="R717" s="22" t="str">
        <f aca="false">IF($X717="","",SUMIFS('Per Line'!$Y$2:$Y$4001,'Per Line'!$D$2:$D$4001,$B717,'Per Line'!$AJ$2:$AJ$4001,1))</f>
        <v/>
      </c>
      <c r="S717" s="22" t="str">
        <f aca="false">IF($X717="","",R717*Q717)</f>
        <v/>
      </c>
      <c r="T717" s="22" t="str">
        <f aca="false">IF($X717="","",S717+P717)</f>
        <v/>
      </c>
      <c r="U717" s="22" t="str">
        <f aca="false">IF($X717="","",V717-T717)</f>
        <v/>
      </c>
      <c r="V717" s="22" t="str">
        <f aca="false">IF($X717="","",O717+R717)</f>
        <v/>
      </c>
      <c r="W717" s="22" t="str">
        <f aca="false">IF($X717="","",U717-L717)</f>
        <v/>
      </c>
      <c r="X717" s="24" t="str">
        <f aca="false">IF(ROWS($X$2:$X717)&lt;=MAX('Per Line'!$AI$2:$AI$4001),MATCH(ROWS($X$2:$X717),'Per Line'!$AI$2:$AI$4001,0),"")</f>
        <v/>
      </c>
    </row>
    <row r="718" customFormat="false" ht="15" hidden="false" customHeight="false" outlineLevel="0" collapsed="false">
      <c r="A718" s="19"/>
      <c r="B718" s="20" t="str">
        <f aca="false">IF($X718="","",INDEX('Per Line'!$D$2:$D$4001,$X718))</f>
        <v/>
      </c>
      <c r="C718" s="20" t="str">
        <f aca="false">IF($X718="","",INDEX('Per Line'!$C$2:$C$4001,$X718))</f>
        <v/>
      </c>
      <c r="D718" s="20" t="str">
        <f aca="false">IF($X718="","",INDEX('Per Line'!$A$2:$A$4001,$X718))</f>
        <v/>
      </c>
      <c r="E718" s="21" t="str">
        <f aca="false">IF($X718="","",INDEX('Per Line'!$F$2:$F$4001,$X718))</f>
        <v/>
      </c>
      <c r="F718" s="20" t="str">
        <f aca="false">IF($X718="","",INDEX('Per Line'!$G$2:$G$4001,$X718))</f>
        <v/>
      </c>
      <c r="G718" s="20" t="str">
        <f aca="false">IF($X718="","",INDEX('Per Line'!$I$2:$I$4001,$X718))</f>
        <v/>
      </c>
      <c r="H718" s="20" t="str">
        <f aca="false">IF($X718="","",INDEX('Per Line'!$J$2:$J$4001,$X718))</f>
        <v/>
      </c>
      <c r="I718" s="20" t="str">
        <f aca="false">IF($X718="","",INDEX('Per Line'!$K$2:$K$4001,$X718))</f>
        <v/>
      </c>
      <c r="J718" s="20" t="str">
        <f aca="false">IF($X718="","",INDEX('Per Line'!$L$2:$L$4001,$X718))</f>
        <v/>
      </c>
      <c r="K718" s="20" t="str">
        <f aca="false">IF($X718="","",INDEX('Per Line'!$M$2:$M$4001,$X718))</f>
        <v/>
      </c>
      <c r="L718" s="22" t="str">
        <f aca="false">IF($X718="","",K718*V718/100)</f>
        <v/>
      </c>
      <c r="M718" s="20" t="str">
        <f aca="false">IF($X718="","",INDEX('Per Line'!$Z$2:$Z$4001,$X718))</f>
        <v/>
      </c>
      <c r="N718" s="23" t="str">
        <f aca="false">IF($X718="","",Settings!$C$7)</f>
        <v/>
      </c>
      <c r="O718" s="22" t="str">
        <f aca="false">IF($X718="","",SUMIFS('Per Line'!$Y$2:$Y$4001,'Per Line'!$D$2:$D$4001,$B718,'Per Line'!$AJ$2:$AJ$4001,0))</f>
        <v/>
      </c>
      <c r="P718" s="22" t="str">
        <f aca="false">IF($X718="","",O718*N718)</f>
        <v/>
      </c>
      <c r="Q718" s="23" t="str">
        <f aca="false">IF($X718="","",Settings!$C$6)</f>
        <v/>
      </c>
      <c r="R718" s="22" t="str">
        <f aca="false">IF($X718="","",SUMIFS('Per Line'!$Y$2:$Y$4001,'Per Line'!$D$2:$D$4001,$B718,'Per Line'!$AJ$2:$AJ$4001,1))</f>
        <v/>
      </c>
      <c r="S718" s="22" t="str">
        <f aca="false">IF($X718="","",R718*Q718)</f>
        <v/>
      </c>
      <c r="T718" s="22" t="str">
        <f aca="false">IF($X718="","",S718+P718)</f>
        <v/>
      </c>
      <c r="U718" s="22" t="str">
        <f aca="false">IF($X718="","",V718-T718)</f>
        <v/>
      </c>
      <c r="V718" s="22" t="str">
        <f aca="false">IF($X718="","",O718+R718)</f>
        <v/>
      </c>
      <c r="W718" s="22" t="str">
        <f aca="false">IF($X718="","",U718-L718)</f>
        <v/>
      </c>
      <c r="X718" s="24" t="str">
        <f aca="false">IF(ROWS($X$2:$X718)&lt;=MAX('Per Line'!$AI$2:$AI$4001),MATCH(ROWS($X$2:$X718),'Per Line'!$AI$2:$AI$4001,0),"")</f>
        <v/>
      </c>
    </row>
    <row r="719" customFormat="false" ht="15" hidden="false" customHeight="false" outlineLevel="0" collapsed="false">
      <c r="A719" s="19"/>
      <c r="B719" s="20" t="str">
        <f aca="false">IF($X719="","",INDEX('Per Line'!$D$2:$D$4001,$X719))</f>
        <v/>
      </c>
      <c r="C719" s="20" t="str">
        <f aca="false">IF($X719="","",INDEX('Per Line'!$C$2:$C$4001,$X719))</f>
        <v/>
      </c>
      <c r="D719" s="20" t="str">
        <f aca="false">IF($X719="","",INDEX('Per Line'!$A$2:$A$4001,$X719))</f>
        <v/>
      </c>
      <c r="E719" s="21" t="str">
        <f aca="false">IF($X719="","",INDEX('Per Line'!$F$2:$F$4001,$X719))</f>
        <v/>
      </c>
      <c r="F719" s="20" t="str">
        <f aca="false">IF($X719="","",INDEX('Per Line'!$G$2:$G$4001,$X719))</f>
        <v/>
      </c>
      <c r="G719" s="20" t="str">
        <f aca="false">IF($X719="","",INDEX('Per Line'!$I$2:$I$4001,$X719))</f>
        <v/>
      </c>
      <c r="H719" s="20" t="str">
        <f aca="false">IF($X719="","",INDEX('Per Line'!$J$2:$J$4001,$X719))</f>
        <v/>
      </c>
      <c r="I719" s="20" t="str">
        <f aca="false">IF($X719="","",INDEX('Per Line'!$K$2:$K$4001,$X719))</f>
        <v/>
      </c>
      <c r="J719" s="20" t="str">
        <f aca="false">IF($X719="","",INDEX('Per Line'!$L$2:$L$4001,$X719))</f>
        <v/>
      </c>
      <c r="K719" s="20" t="str">
        <f aca="false">IF($X719="","",INDEX('Per Line'!$M$2:$M$4001,$X719))</f>
        <v/>
      </c>
      <c r="L719" s="22" t="str">
        <f aca="false">IF($X719="","",K719*V719/100)</f>
        <v/>
      </c>
      <c r="M719" s="20" t="str">
        <f aca="false">IF($X719="","",INDEX('Per Line'!$Z$2:$Z$4001,$X719))</f>
        <v/>
      </c>
      <c r="N719" s="23" t="str">
        <f aca="false">IF($X719="","",Settings!$C$7)</f>
        <v/>
      </c>
      <c r="O719" s="22" t="str">
        <f aca="false">IF($X719="","",SUMIFS('Per Line'!$Y$2:$Y$4001,'Per Line'!$D$2:$D$4001,$B719,'Per Line'!$AJ$2:$AJ$4001,0))</f>
        <v/>
      </c>
      <c r="P719" s="22" t="str">
        <f aca="false">IF($X719="","",O719*N719)</f>
        <v/>
      </c>
      <c r="Q719" s="23" t="str">
        <f aca="false">IF($X719="","",Settings!$C$6)</f>
        <v/>
      </c>
      <c r="R719" s="22" t="str">
        <f aca="false">IF($X719="","",SUMIFS('Per Line'!$Y$2:$Y$4001,'Per Line'!$D$2:$D$4001,$B719,'Per Line'!$AJ$2:$AJ$4001,1))</f>
        <v/>
      </c>
      <c r="S719" s="22" t="str">
        <f aca="false">IF($X719="","",R719*Q719)</f>
        <v/>
      </c>
      <c r="T719" s="22" t="str">
        <f aca="false">IF($X719="","",S719+P719)</f>
        <v/>
      </c>
      <c r="U719" s="22" t="str">
        <f aca="false">IF($X719="","",V719-T719)</f>
        <v/>
      </c>
      <c r="V719" s="22" t="str">
        <f aca="false">IF($X719="","",O719+R719)</f>
        <v/>
      </c>
      <c r="W719" s="22" t="str">
        <f aca="false">IF($X719="","",U719-L719)</f>
        <v/>
      </c>
      <c r="X719" s="24" t="str">
        <f aca="false">IF(ROWS($X$2:$X719)&lt;=MAX('Per Line'!$AI$2:$AI$4001),MATCH(ROWS($X$2:$X719),'Per Line'!$AI$2:$AI$4001,0),"")</f>
        <v/>
      </c>
    </row>
    <row r="720" customFormat="false" ht="15" hidden="false" customHeight="false" outlineLevel="0" collapsed="false">
      <c r="A720" s="19"/>
      <c r="B720" s="20" t="str">
        <f aca="false">IF($X720="","",INDEX('Per Line'!$D$2:$D$4001,$X720))</f>
        <v/>
      </c>
      <c r="C720" s="20" t="str">
        <f aca="false">IF($X720="","",INDEX('Per Line'!$C$2:$C$4001,$X720))</f>
        <v/>
      </c>
      <c r="D720" s="20" t="str">
        <f aca="false">IF($X720="","",INDEX('Per Line'!$A$2:$A$4001,$X720))</f>
        <v/>
      </c>
      <c r="E720" s="21" t="str">
        <f aca="false">IF($X720="","",INDEX('Per Line'!$F$2:$F$4001,$X720))</f>
        <v/>
      </c>
      <c r="F720" s="20" t="str">
        <f aca="false">IF($X720="","",INDEX('Per Line'!$G$2:$G$4001,$X720))</f>
        <v/>
      </c>
      <c r="G720" s="20" t="str">
        <f aca="false">IF($X720="","",INDEX('Per Line'!$I$2:$I$4001,$X720))</f>
        <v/>
      </c>
      <c r="H720" s="20" t="str">
        <f aca="false">IF($X720="","",INDEX('Per Line'!$J$2:$J$4001,$X720))</f>
        <v/>
      </c>
      <c r="I720" s="20" t="str">
        <f aca="false">IF($X720="","",INDEX('Per Line'!$K$2:$K$4001,$X720))</f>
        <v/>
      </c>
      <c r="J720" s="20" t="str">
        <f aca="false">IF($X720="","",INDEX('Per Line'!$L$2:$L$4001,$X720))</f>
        <v/>
      </c>
      <c r="K720" s="20" t="str">
        <f aca="false">IF($X720="","",INDEX('Per Line'!$M$2:$M$4001,$X720))</f>
        <v/>
      </c>
      <c r="L720" s="22" t="str">
        <f aca="false">IF($X720="","",K720*V720/100)</f>
        <v/>
      </c>
      <c r="M720" s="20" t="str">
        <f aca="false">IF($X720="","",INDEX('Per Line'!$Z$2:$Z$4001,$X720))</f>
        <v/>
      </c>
      <c r="N720" s="23" t="str">
        <f aca="false">IF($X720="","",Settings!$C$7)</f>
        <v/>
      </c>
      <c r="O720" s="22" t="str">
        <f aca="false">IF($X720="","",SUMIFS('Per Line'!$Y$2:$Y$4001,'Per Line'!$D$2:$D$4001,$B720,'Per Line'!$AJ$2:$AJ$4001,0))</f>
        <v/>
      </c>
      <c r="P720" s="22" t="str">
        <f aca="false">IF($X720="","",O720*N720)</f>
        <v/>
      </c>
      <c r="Q720" s="23" t="str">
        <f aca="false">IF($X720="","",Settings!$C$6)</f>
        <v/>
      </c>
      <c r="R720" s="22" t="str">
        <f aca="false">IF($X720="","",SUMIFS('Per Line'!$Y$2:$Y$4001,'Per Line'!$D$2:$D$4001,$B720,'Per Line'!$AJ$2:$AJ$4001,1))</f>
        <v/>
      </c>
      <c r="S720" s="22" t="str">
        <f aca="false">IF($X720="","",R720*Q720)</f>
        <v/>
      </c>
      <c r="T720" s="22" t="str">
        <f aca="false">IF($X720="","",S720+P720)</f>
        <v/>
      </c>
      <c r="U720" s="22" t="str">
        <f aca="false">IF($X720="","",V720-T720)</f>
        <v/>
      </c>
      <c r="V720" s="22" t="str">
        <f aca="false">IF($X720="","",O720+R720)</f>
        <v/>
      </c>
      <c r="W720" s="22" t="str">
        <f aca="false">IF($X720="","",U720-L720)</f>
        <v/>
      </c>
      <c r="X720" s="24" t="str">
        <f aca="false">IF(ROWS($X$2:$X720)&lt;=MAX('Per Line'!$AI$2:$AI$4001),MATCH(ROWS($X$2:$X720),'Per Line'!$AI$2:$AI$4001,0),"")</f>
        <v/>
      </c>
    </row>
    <row r="721" customFormat="false" ht="15" hidden="false" customHeight="false" outlineLevel="0" collapsed="false">
      <c r="A721" s="19"/>
      <c r="B721" s="20" t="str">
        <f aca="false">IF($X721="","",INDEX('Per Line'!$D$2:$D$4001,$X721))</f>
        <v/>
      </c>
      <c r="C721" s="20" t="str">
        <f aca="false">IF($X721="","",INDEX('Per Line'!$C$2:$C$4001,$X721))</f>
        <v/>
      </c>
      <c r="D721" s="20" t="str">
        <f aca="false">IF($X721="","",INDEX('Per Line'!$A$2:$A$4001,$X721))</f>
        <v/>
      </c>
      <c r="E721" s="21" t="str">
        <f aca="false">IF($X721="","",INDEX('Per Line'!$F$2:$F$4001,$X721))</f>
        <v/>
      </c>
      <c r="F721" s="20" t="str">
        <f aca="false">IF($X721="","",INDEX('Per Line'!$G$2:$G$4001,$X721))</f>
        <v/>
      </c>
      <c r="G721" s="20" t="str">
        <f aca="false">IF($X721="","",INDEX('Per Line'!$I$2:$I$4001,$X721))</f>
        <v/>
      </c>
      <c r="H721" s="20" t="str">
        <f aca="false">IF($X721="","",INDEX('Per Line'!$J$2:$J$4001,$X721))</f>
        <v/>
      </c>
      <c r="I721" s="20" t="str">
        <f aca="false">IF($X721="","",INDEX('Per Line'!$K$2:$K$4001,$X721))</f>
        <v/>
      </c>
      <c r="J721" s="20" t="str">
        <f aca="false">IF($X721="","",INDEX('Per Line'!$L$2:$L$4001,$X721))</f>
        <v/>
      </c>
      <c r="K721" s="20" t="str">
        <f aca="false">IF($X721="","",INDEX('Per Line'!$M$2:$M$4001,$X721))</f>
        <v/>
      </c>
      <c r="L721" s="22" t="str">
        <f aca="false">IF($X721="","",K721*V721/100)</f>
        <v/>
      </c>
      <c r="M721" s="20" t="str">
        <f aca="false">IF($X721="","",INDEX('Per Line'!$Z$2:$Z$4001,$X721))</f>
        <v/>
      </c>
      <c r="N721" s="23" t="str">
        <f aca="false">IF($X721="","",Settings!$C$7)</f>
        <v/>
      </c>
      <c r="O721" s="22" t="str">
        <f aca="false">IF($X721="","",SUMIFS('Per Line'!$Y$2:$Y$4001,'Per Line'!$D$2:$D$4001,$B721,'Per Line'!$AJ$2:$AJ$4001,0))</f>
        <v/>
      </c>
      <c r="P721" s="22" t="str">
        <f aca="false">IF($X721="","",O721*N721)</f>
        <v/>
      </c>
      <c r="Q721" s="23" t="str">
        <f aca="false">IF($X721="","",Settings!$C$6)</f>
        <v/>
      </c>
      <c r="R721" s="22" t="str">
        <f aca="false">IF($X721="","",SUMIFS('Per Line'!$Y$2:$Y$4001,'Per Line'!$D$2:$D$4001,$B721,'Per Line'!$AJ$2:$AJ$4001,1))</f>
        <v/>
      </c>
      <c r="S721" s="22" t="str">
        <f aca="false">IF($X721="","",R721*Q721)</f>
        <v/>
      </c>
      <c r="T721" s="22" t="str">
        <f aca="false">IF($X721="","",S721+P721)</f>
        <v/>
      </c>
      <c r="U721" s="22" t="str">
        <f aca="false">IF($X721="","",V721-T721)</f>
        <v/>
      </c>
      <c r="V721" s="22" t="str">
        <f aca="false">IF($X721="","",O721+R721)</f>
        <v/>
      </c>
      <c r="W721" s="22" t="str">
        <f aca="false">IF($X721="","",U721-L721)</f>
        <v/>
      </c>
      <c r="X721" s="24" t="str">
        <f aca="false">IF(ROWS($X$2:$X721)&lt;=MAX('Per Line'!$AI$2:$AI$4001),MATCH(ROWS($X$2:$X721),'Per Line'!$AI$2:$AI$4001,0),"")</f>
        <v/>
      </c>
    </row>
    <row r="722" customFormat="false" ht="15" hidden="false" customHeight="false" outlineLevel="0" collapsed="false">
      <c r="A722" s="19"/>
      <c r="B722" s="20" t="str">
        <f aca="false">IF($X722="","",INDEX('Per Line'!$D$2:$D$4001,$X722))</f>
        <v/>
      </c>
      <c r="C722" s="20" t="str">
        <f aca="false">IF($X722="","",INDEX('Per Line'!$C$2:$C$4001,$X722))</f>
        <v/>
      </c>
      <c r="D722" s="20" t="str">
        <f aca="false">IF($X722="","",INDEX('Per Line'!$A$2:$A$4001,$X722))</f>
        <v/>
      </c>
      <c r="E722" s="21" t="str">
        <f aca="false">IF($X722="","",INDEX('Per Line'!$F$2:$F$4001,$X722))</f>
        <v/>
      </c>
      <c r="F722" s="20" t="str">
        <f aca="false">IF($X722="","",INDEX('Per Line'!$G$2:$G$4001,$X722))</f>
        <v/>
      </c>
      <c r="G722" s="20" t="str">
        <f aca="false">IF($X722="","",INDEX('Per Line'!$I$2:$I$4001,$X722))</f>
        <v/>
      </c>
      <c r="H722" s="20" t="str">
        <f aca="false">IF($X722="","",INDEX('Per Line'!$J$2:$J$4001,$X722))</f>
        <v/>
      </c>
      <c r="I722" s="20" t="str">
        <f aca="false">IF($X722="","",INDEX('Per Line'!$K$2:$K$4001,$X722))</f>
        <v/>
      </c>
      <c r="J722" s="20" t="str">
        <f aca="false">IF($X722="","",INDEX('Per Line'!$L$2:$L$4001,$X722))</f>
        <v/>
      </c>
      <c r="K722" s="20" t="str">
        <f aca="false">IF($X722="","",INDEX('Per Line'!$M$2:$M$4001,$X722))</f>
        <v/>
      </c>
      <c r="L722" s="22" t="str">
        <f aca="false">IF($X722="","",K722*V722/100)</f>
        <v/>
      </c>
      <c r="M722" s="20" t="str">
        <f aca="false">IF($X722="","",INDEX('Per Line'!$Z$2:$Z$4001,$X722))</f>
        <v/>
      </c>
      <c r="N722" s="23" t="str">
        <f aca="false">IF($X722="","",Settings!$C$7)</f>
        <v/>
      </c>
      <c r="O722" s="22" t="str">
        <f aca="false">IF($X722="","",SUMIFS('Per Line'!$Y$2:$Y$4001,'Per Line'!$D$2:$D$4001,$B722,'Per Line'!$AJ$2:$AJ$4001,0))</f>
        <v/>
      </c>
      <c r="P722" s="22" t="str">
        <f aca="false">IF($X722="","",O722*N722)</f>
        <v/>
      </c>
      <c r="Q722" s="23" t="str">
        <f aca="false">IF($X722="","",Settings!$C$6)</f>
        <v/>
      </c>
      <c r="R722" s="22" t="str">
        <f aca="false">IF($X722="","",SUMIFS('Per Line'!$Y$2:$Y$4001,'Per Line'!$D$2:$D$4001,$B722,'Per Line'!$AJ$2:$AJ$4001,1))</f>
        <v/>
      </c>
      <c r="S722" s="22" t="str">
        <f aca="false">IF($X722="","",R722*Q722)</f>
        <v/>
      </c>
      <c r="T722" s="22" t="str">
        <f aca="false">IF($X722="","",S722+P722)</f>
        <v/>
      </c>
      <c r="U722" s="22" t="str">
        <f aca="false">IF($X722="","",V722-T722)</f>
        <v/>
      </c>
      <c r="V722" s="22" t="str">
        <f aca="false">IF($X722="","",O722+R722)</f>
        <v/>
      </c>
      <c r="W722" s="22" t="str">
        <f aca="false">IF($X722="","",U722-L722)</f>
        <v/>
      </c>
      <c r="X722" s="24" t="str">
        <f aca="false">IF(ROWS($X$2:$X722)&lt;=MAX('Per Line'!$AI$2:$AI$4001),MATCH(ROWS($X$2:$X722),'Per Line'!$AI$2:$AI$4001,0),"")</f>
        <v/>
      </c>
    </row>
    <row r="723" customFormat="false" ht="15" hidden="false" customHeight="false" outlineLevel="0" collapsed="false">
      <c r="A723" s="19"/>
      <c r="B723" s="20" t="str">
        <f aca="false">IF($X723="","",INDEX('Per Line'!$D$2:$D$4001,$X723))</f>
        <v/>
      </c>
      <c r="C723" s="20" t="str">
        <f aca="false">IF($X723="","",INDEX('Per Line'!$C$2:$C$4001,$X723))</f>
        <v/>
      </c>
      <c r="D723" s="20" t="str">
        <f aca="false">IF($X723="","",INDEX('Per Line'!$A$2:$A$4001,$X723))</f>
        <v/>
      </c>
      <c r="E723" s="21" t="str">
        <f aca="false">IF($X723="","",INDEX('Per Line'!$F$2:$F$4001,$X723))</f>
        <v/>
      </c>
      <c r="F723" s="20" t="str">
        <f aca="false">IF($X723="","",INDEX('Per Line'!$G$2:$G$4001,$X723))</f>
        <v/>
      </c>
      <c r="G723" s="20" t="str">
        <f aca="false">IF($X723="","",INDEX('Per Line'!$I$2:$I$4001,$X723))</f>
        <v/>
      </c>
      <c r="H723" s="20" t="str">
        <f aca="false">IF($X723="","",INDEX('Per Line'!$J$2:$J$4001,$X723))</f>
        <v/>
      </c>
      <c r="I723" s="20" t="str">
        <f aca="false">IF($X723="","",INDEX('Per Line'!$K$2:$K$4001,$X723))</f>
        <v/>
      </c>
      <c r="J723" s="20" t="str">
        <f aca="false">IF($X723="","",INDEX('Per Line'!$L$2:$L$4001,$X723))</f>
        <v/>
      </c>
      <c r="K723" s="20" t="str">
        <f aca="false">IF($X723="","",INDEX('Per Line'!$M$2:$M$4001,$X723))</f>
        <v/>
      </c>
      <c r="L723" s="22" t="str">
        <f aca="false">IF($X723="","",K723*V723/100)</f>
        <v/>
      </c>
      <c r="M723" s="20" t="str">
        <f aca="false">IF($X723="","",INDEX('Per Line'!$Z$2:$Z$4001,$X723))</f>
        <v/>
      </c>
      <c r="N723" s="23" t="str">
        <f aca="false">IF($X723="","",Settings!$C$7)</f>
        <v/>
      </c>
      <c r="O723" s="22" t="str">
        <f aca="false">IF($X723="","",SUMIFS('Per Line'!$Y$2:$Y$4001,'Per Line'!$D$2:$D$4001,$B723,'Per Line'!$AJ$2:$AJ$4001,0))</f>
        <v/>
      </c>
      <c r="P723" s="22" t="str">
        <f aca="false">IF($X723="","",O723*N723)</f>
        <v/>
      </c>
      <c r="Q723" s="23" t="str">
        <f aca="false">IF($X723="","",Settings!$C$6)</f>
        <v/>
      </c>
      <c r="R723" s="22" t="str">
        <f aca="false">IF($X723="","",SUMIFS('Per Line'!$Y$2:$Y$4001,'Per Line'!$D$2:$D$4001,$B723,'Per Line'!$AJ$2:$AJ$4001,1))</f>
        <v/>
      </c>
      <c r="S723" s="22" t="str">
        <f aca="false">IF($X723="","",R723*Q723)</f>
        <v/>
      </c>
      <c r="T723" s="22" t="str">
        <f aca="false">IF($X723="","",S723+P723)</f>
        <v/>
      </c>
      <c r="U723" s="22" t="str">
        <f aca="false">IF($X723="","",V723-T723)</f>
        <v/>
      </c>
      <c r="V723" s="22" t="str">
        <f aca="false">IF($X723="","",O723+R723)</f>
        <v/>
      </c>
      <c r="W723" s="22" t="str">
        <f aca="false">IF($X723="","",U723-L723)</f>
        <v/>
      </c>
      <c r="X723" s="24" t="str">
        <f aca="false">IF(ROWS($X$2:$X723)&lt;=MAX('Per Line'!$AI$2:$AI$4001),MATCH(ROWS($X$2:$X723),'Per Line'!$AI$2:$AI$4001,0),"")</f>
        <v/>
      </c>
    </row>
    <row r="724" customFormat="false" ht="15" hidden="false" customHeight="false" outlineLevel="0" collapsed="false">
      <c r="A724" s="19"/>
      <c r="B724" s="20" t="str">
        <f aca="false">IF($X724="","",INDEX('Per Line'!$D$2:$D$4001,$X724))</f>
        <v/>
      </c>
      <c r="C724" s="20" t="str">
        <f aca="false">IF($X724="","",INDEX('Per Line'!$C$2:$C$4001,$X724))</f>
        <v/>
      </c>
      <c r="D724" s="20" t="str">
        <f aca="false">IF($X724="","",INDEX('Per Line'!$A$2:$A$4001,$X724))</f>
        <v/>
      </c>
      <c r="E724" s="21" t="str">
        <f aca="false">IF($X724="","",INDEX('Per Line'!$F$2:$F$4001,$X724))</f>
        <v/>
      </c>
      <c r="F724" s="20" t="str">
        <f aca="false">IF($X724="","",INDEX('Per Line'!$G$2:$G$4001,$X724))</f>
        <v/>
      </c>
      <c r="G724" s="20" t="str">
        <f aca="false">IF($X724="","",INDEX('Per Line'!$I$2:$I$4001,$X724))</f>
        <v/>
      </c>
      <c r="H724" s="20" t="str">
        <f aca="false">IF($X724="","",INDEX('Per Line'!$J$2:$J$4001,$X724))</f>
        <v/>
      </c>
      <c r="I724" s="20" t="str">
        <f aca="false">IF($X724="","",INDEX('Per Line'!$K$2:$K$4001,$X724))</f>
        <v/>
      </c>
      <c r="J724" s="20" t="str">
        <f aca="false">IF($X724="","",INDEX('Per Line'!$L$2:$L$4001,$X724))</f>
        <v/>
      </c>
      <c r="K724" s="20" t="str">
        <f aca="false">IF($X724="","",INDEX('Per Line'!$M$2:$M$4001,$X724))</f>
        <v/>
      </c>
      <c r="L724" s="22" t="str">
        <f aca="false">IF($X724="","",K724*V724/100)</f>
        <v/>
      </c>
      <c r="M724" s="20" t="str">
        <f aca="false">IF($X724="","",INDEX('Per Line'!$Z$2:$Z$4001,$X724))</f>
        <v/>
      </c>
      <c r="N724" s="23" t="str">
        <f aca="false">IF($X724="","",Settings!$C$7)</f>
        <v/>
      </c>
      <c r="O724" s="22" t="str">
        <f aca="false">IF($X724="","",SUMIFS('Per Line'!$Y$2:$Y$4001,'Per Line'!$D$2:$D$4001,$B724,'Per Line'!$AJ$2:$AJ$4001,0))</f>
        <v/>
      </c>
      <c r="P724" s="22" t="str">
        <f aca="false">IF($X724="","",O724*N724)</f>
        <v/>
      </c>
      <c r="Q724" s="23" t="str">
        <f aca="false">IF($X724="","",Settings!$C$6)</f>
        <v/>
      </c>
      <c r="R724" s="22" t="str">
        <f aca="false">IF($X724="","",SUMIFS('Per Line'!$Y$2:$Y$4001,'Per Line'!$D$2:$D$4001,$B724,'Per Line'!$AJ$2:$AJ$4001,1))</f>
        <v/>
      </c>
      <c r="S724" s="22" t="str">
        <f aca="false">IF($X724="","",R724*Q724)</f>
        <v/>
      </c>
      <c r="T724" s="22" t="str">
        <f aca="false">IF($X724="","",S724+P724)</f>
        <v/>
      </c>
      <c r="U724" s="22" t="str">
        <f aca="false">IF($X724="","",V724-T724)</f>
        <v/>
      </c>
      <c r="V724" s="22" t="str">
        <f aca="false">IF($X724="","",O724+R724)</f>
        <v/>
      </c>
      <c r="W724" s="22" t="str">
        <f aca="false">IF($X724="","",U724-L724)</f>
        <v/>
      </c>
      <c r="X724" s="24" t="str">
        <f aca="false">IF(ROWS($X$2:$X724)&lt;=MAX('Per Line'!$AI$2:$AI$4001),MATCH(ROWS($X$2:$X724),'Per Line'!$AI$2:$AI$4001,0),"")</f>
        <v/>
      </c>
    </row>
    <row r="725" customFormat="false" ht="15" hidden="false" customHeight="false" outlineLevel="0" collapsed="false">
      <c r="A725" s="19"/>
      <c r="B725" s="20" t="str">
        <f aca="false">IF($X725="","",INDEX('Per Line'!$D$2:$D$4001,$X725))</f>
        <v/>
      </c>
      <c r="C725" s="20" t="str">
        <f aca="false">IF($X725="","",INDEX('Per Line'!$C$2:$C$4001,$X725))</f>
        <v/>
      </c>
      <c r="D725" s="20" t="str">
        <f aca="false">IF($X725="","",INDEX('Per Line'!$A$2:$A$4001,$X725))</f>
        <v/>
      </c>
      <c r="E725" s="21" t="str">
        <f aca="false">IF($X725="","",INDEX('Per Line'!$F$2:$F$4001,$X725))</f>
        <v/>
      </c>
      <c r="F725" s="20" t="str">
        <f aca="false">IF($X725="","",INDEX('Per Line'!$G$2:$G$4001,$X725))</f>
        <v/>
      </c>
      <c r="G725" s="20" t="str">
        <f aca="false">IF($X725="","",INDEX('Per Line'!$I$2:$I$4001,$X725))</f>
        <v/>
      </c>
      <c r="H725" s="20" t="str">
        <f aca="false">IF($X725="","",INDEX('Per Line'!$J$2:$J$4001,$X725))</f>
        <v/>
      </c>
      <c r="I725" s="20" t="str">
        <f aca="false">IF($X725="","",INDEX('Per Line'!$K$2:$K$4001,$X725))</f>
        <v/>
      </c>
      <c r="J725" s="20" t="str">
        <f aca="false">IF($X725="","",INDEX('Per Line'!$L$2:$L$4001,$X725))</f>
        <v/>
      </c>
      <c r="K725" s="20" t="str">
        <f aca="false">IF($X725="","",INDEX('Per Line'!$M$2:$M$4001,$X725))</f>
        <v/>
      </c>
      <c r="L725" s="22" t="str">
        <f aca="false">IF($X725="","",K725*V725/100)</f>
        <v/>
      </c>
      <c r="M725" s="20" t="str">
        <f aca="false">IF($X725="","",INDEX('Per Line'!$Z$2:$Z$4001,$X725))</f>
        <v/>
      </c>
      <c r="N725" s="23" t="str">
        <f aca="false">IF($X725="","",Settings!$C$7)</f>
        <v/>
      </c>
      <c r="O725" s="22" t="str">
        <f aca="false">IF($X725="","",SUMIFS('Per Line'!$Y$2:$Y$4001,'Per Line'!$D$2:$D$4001,$B725,'Per Line'!$AJ$2:$AJ$4001,0))</f>
        <v/>
      </c>
      <c r="P725" s="22" t="str">
        <f aca="false">IF($X725="","",O725*N725)</f>
        <v/>
      </c>
      <c r="Q725" s="23" t="str">
        <f aca="false">IF($X725="","",Settings!$C$6)</f>
        <v/>
      </c>
      <c r="R725" s="22" t="str">
        <f aca="false">IF($X725="","",SUMIFS('Per Line'!$Y$2:$Y$4001,'Per Line'!$D$2:$D$4001,$B725,'Per Line'!$AJ$2:$AJ$4001,1))</f>
        <v/>
      </c>
      <c r="S725" s="22" t="str">
        <f aca="false">IF($X725="","",R725*Q725)</f>
        <v/>
      </c>
      <c r="T725" s="22" t="str">
        <f aca="false">IF($X725="","",S725+P725)</f>
        <v/>
      </c>
      <c r="U725" s="22" t="str">
        <f aca="false">IF($X725="","",V725-T725)</f>
        <v/>
      </c>
      <c r="V725" s="22" t="str">
        <f aca="false">IF($X725="","",O725+R725)</f>
        <v/>
      </c>
      <c r="W725" s="22" t="str">
        <f aca="false">IF($X725="","",U725-L725)</f>
        <v/>
      </c>
      <c r="X725" s="24" t="str">
        <f aca="false">IF(ROWS($X$2:$X725)&lt;=MAX('Per Line'!$AI$2:$AI$4001),MATCH(ROWS($X$2:$X725),'Per Line'!$AI$2:$AI$4001,0),"")</f>
        <v/>
      </c>
    </row>
    <row r="726" customFormat="false" ht="15" hidden="false" customHeight="false" outlineLevel="0" collapsed="false">
      <c r="A726" s="19"/>
      <c r="B726" s="20" t="str">
        <f aca="false">IF($X726="","",INDEX('Per Line'!$D$2:$D$4001,$X726))</f>
        <v/>
      </c>
      <c r="C726" s="20" t="str">
        <f aca="false">IF($X726="","",INDEX('Per Line'!$C$2:$C$4001,$X726))</f>
        <v/>
      </c>
      <c r="D726" s="20" t="str">
        <f aca="false">IF($X726="","",INDEX('Per Line'!$A$2:$A$4001,$X726))</f>
        <v/>
      </c>
      <c r="E726" s="21" t="str">
        <f aca="false">IF($X726="","",INDEX('Per Line'!$F$2:$F$4001,$X726))</f>
        <v/>
      </c>
      <c r="F726" s="20" t="str">
        <f aca="false">IF($X726="","",INDEX('Per Line'!$G$2:$G$4001,$X726))</f>
        <v/>
      </c>
      <c r="G726" s="20" t="str">
        <f aca="false">IF($X726="","",INDEX('Per Line'!$I$2:$I$4001,$X726))</f>
        <v/>
      </c>
      <c r="H726" s="20" t="str">
        <f aca="false">IF($X726="","",INDEX('Per Line'!$J$2:$J$4001,$X726))</f>
        <v/>
      </c>
      <c r="I726" s="20" t="str">
        <f aca="false">IF($X726="","",INDEX('Per Line'!$K$2:$K$4001,$X726))</f>
        <v/>
      </c>
      <c r="J726" s="20" t="str">
        <f aca="false">IF($X726="","",INDEX('Per Line'!$L$2:$L$4001,$X726))</f>
        <v/>
      </c>
      <c r="K726" s="20" t="str">
        <f aca="false">IF($X726="","",INDEX('Per Line'!$M$2:$M$4001,$X726))</f>
        <v/>
      </c>
      <c r="L726" s="22" t="str">
        <f aca="false">IF($X726="","",K726*V726/100)</f>
        <v/>
      </c>
      <c r="M726" s="20" t="str">
        <f aca="false">IF($X726="","",INDEX('Per Line'!$Z$2:$Z$4001,$X726))</f>
        <v/>
      </c>
      <c r="N726" s="23" t="str">
        <f aca="false">IF($X726="","",Settings!$C$7)</f>
        <v/>
      </c>
      <c r="O726" s="22" t="str">
        <f aca="false">IF($X726="","",SUMIFS('Per Line'!$Y$2:$Y$4001,'Per Line'!$D$2:$D$4001,$B726,'Per Line'!$AJ$2:$AJ$4001,0))</f>
        <v/>
      </c>
      <c r="P726" s="22" t="str">
        <f aca="false">IF($X726="","",O726*N726)</f>
        <v/>
      </c>
      <c r="Q726" s="23" t="str">
        <f aca="false">IF($X726="","",Settings!$C$6)</f>
        <v/>
      </c>
      <c r="R726" s="22" t="str">
        <f aca="false">IF($X726="","",SUMIFS('Per Line'!$Y$2:$Y$4001,'Per Line'!$D$2:$D$4001,$B726,'Per Line'!$AJ$2:$AJ$4001,1))</f>
        <v/>
      </c>
      <c r="S726" s="22" t="str">
        <f aca="false">IF($X726="","",R726*Q726)</f>
        <v/>
      </c>
      <c r="T726" s="22" t="str">
        <f aca="false">IF($X726="","",S726+P726)</f>
        <v/>
      </c>
      <c r="U726" s="22" t="str">
        <f aca="false">IF($X726="","",V726-T726)</f>
        <v/>
      </c>
      <c r="V726" s="22" t="str">
        <f aca="false">IF($X726="","",O726+R726)</f>
        <v/>
      </c>
      <c r="W726" s="22" t="str">
        <f aca="false">IF($X726="","",U726-L726)</f>
        <v/>
      </c>
      <c r="X726" s="24" t="str">
        <f aca="false">IF(ROWS($X$2:$X726)&lt;=MAX('Per Line'!$AI$2:$AI$4001),MATCH(ROWS($X$2:$X726),'Per Line'!$AI$2:$AI$4001,0),"")</f>
        <v/>
      </c>
    </row>
    <row r="727" customFormat="false" ht="15" hidden="false" customHeight="false" outlineLevel="0" collapsed="false">
      <c r="A727" s="19"/>
      <c r="B727" s="20" t="str">
        <f aca="false">IF($X727="","",INDEX('Per Line'!$D$2:$D$4001,$X727))</f>
        <v/>
      </c>
      <c r="C727" s="20" t="str">
        <f aca="false">IF($X727="","",INDEX('Per Line'!$C$2:$C$4001,$X727))</f>
        <v/>
      </c>
      <c r="D727" s="20" t="str">
        <f aca="false">IF($X727="","",INDEX('Per Line'!$A$2:$A$4001,$X727))</f>
        <v/>
      </c>
      <c r="E727" s="21" t="str">
        <f aca="false">IF($X727="","",INDEX('Per Line'!$F$2:$F$4001,$X727))</f>
        <v/>
      </c>
      <c r="F727" s="20" t="str">
        <f aca="false">IF($X727="","",INDEX('Per Line'!$G$2:$G$4001,$X727))</f>
        <v/>
      </c>
      <c r="G727" s="20" t="str">
        <f aca="false">IF($X727="","",INDEX('Per Line'!$I$2:$I$4001,$X727))</f>
        <v/>
      </c>
      <c r="H727" s="20" t="str">
        <f aca="false">IF($X727="","",INDEX('Per Line'!$J$2:$J$4001,$X727))</f>
        <v/>
      </c>
      <c r="I727" s="20" t="str">
        <f aca="false">IF($X727="","",INDEX('Per Line'!$K$2:$K$4001,$X727))</f>
        <v/>
      </c>
      <c r="J727" s="20" t="str">
        <f aca="false">IF($X727="","",INDEX('Per Line'!$L$2:$L$4001,$X727))</f>
        <v/>
      </c>
      <c r="K727" s="20" t="str">
        <f aca="false">IF($X727="","",INDEX('Per Line'!$M$2:$M$4001,$X727))</f>
        <v/>
      </c>
      <c r="L727" s="22" t="str">
        <f aca="false">IF($X727="","",K727*V727/100)</f>
        <v/>
      </c>
      <c r="M727" s="20" t="str">
        <f aca="false">IF($X727="","",INDEX('Per Line'!$Z$2:$Z$4001,$X727))</f>
        <v/>
      </c>
      <c r="N727" s="23" t="str">
        <f aca="false">IF($X727="","",Settings!$C$7)</f>
        <v/>
      </c>
      <c r="O727" s="22" t="str">
        <f aca="false">IF($X727="","",SUMIFS('Per Line'!$Y$2:$Y$4001,'Per Line'!$D$2:$D$4001,$B727,'Per Line'!$AJ$2:$AJ$4001,0))</f>
        <v/>
      </c>
      <c r="P727" s="22" t="str">
        <f aca="false">IF($X727="","",O727*N727)</f>
        <v/>
      </c>
      <c r="Q727" s="23" t="str">
        <f aca="false">IF($X727="","",Settings!$C$6)</f>
        <v/>
      </c>
      <c r="R727" s="22" t="str">
        <f aca="false">IF($X727="","",SUMIFS('Per Line'!$Y$2:$Y$4001,'Per Line'!$D$2:$D$4001,$B727,'Per Line'!$AJ$2:$AJ$4001,1))</f>
        <v/>
      </c>
      <c r="S727" s="22" t="str">
        <f aca="false">IF($X727="","",R727*Q727)</f>
        <v/>
      </c>
      <c r="T727" s="22" t="str">
        <f aca="false">IF($X727="","",S727+P727)</f>
        <v/>
      </c>
      <c r="U727" s="22" t="str">
        <f aca="false">IF($X727="","",V727-T727)</f>
        <v/>
      </c>
      <c r="V727" s="22" t="str">
        <f aca="false">IF($X727="","",O727+R727)</f>
        <v/>
      </c>
      <c r="W727" s="22" t="str">
        <f aca="false">IF($X727="","",U727-L727)</f>
        <v/>
      </c>
      <c r="X727" s="24" t="str">
        <f aca="false">IF(ROWS($X$2:$X727)&lt;=MAX('Per Line'!$AI$2:$AI$4001),MATCH(ROWS($X$2:$X727),'Per Line'!$AI$2:$AI$4001,0),"")</f>
        <v/>
      </c>
    </row>
    <row r="728" customFormat="false" ht="15" hidden="false" customHeight="false" outlineLevel="0" collapsed="false">
      <c r="A728" s="19"/>
      <c r="B728" s="20" t="str">
        <f aca="false">IF($X728="","",INDEX('Per Line'!$D$2:$D$4001,$X728))</f>
        <v/>
      </c>
      <c r="C728" s="20" t="str">
        <f aca="false">IF($X728="","",INDEX('Per Line'!$C$2:$C$4001,$X728))</f>
        <v/>
      </c>
      <c r="D728" s="20" t="str">
        <f aca="false">IF($X728="","",INDEX('Per Line'!$A$2:$A$4001,$X728))</f>
        <v/>
      </c>
      <c r="E728" s="21" t="str">
        <f aca="false">IF($X728="","",INDEX('Per Line'!$F$2:$F$4001,$X728))</f>
        <v/>
      </c>
      <c r="F728" s="20" t="str">
        <f aca="false">IF($X728="","",INDEX('Per Line'!$G$2:$G$4001,$X728))</f>
        <v/>
      </c>
      <c r="G728" s="20" t="str">
        <f aca="false">IF($X728="","",INDEX('Per Line'!$I$2:$I$4001,$X728))</f>
        <v/>
      </c>
      <c r="H728" s="20" t="str">
        <f aca="false">IF($X728="","",INDEX('Per Line'!$J$2:$J$4001,$X728))</f>
        <v/>
      </c>
      <c r="I728" s="20" t="str">
        <f aca="false">IF($X728="","",INDEX('Per Line'!$K$2:$K$4001,$X728))</f>
        <v/>
      </c>
      <c r="J728" s="20" t="str">
        <f aca="false">IF($X728="","",INDEX('Per Line'!$L$2:$L$4001,$X728))</f>
        <v/>
      </c>
      <c r="K728" s="20" t="str">
        <f aca="false">IF($X728="","",INDEX('Per Line'!$M$2:$M$4001,$X728))</f>
        <v/>
      </c>
      <c r="L728" s="22" t="str">
        <f aca="false">IF($X728="","",K728*V728/100)</f>
        <v/>
      </c>
      <c r="M728" s="20" t="str">
        <f aca="false">IF($X728="","",INDEX('Per Line'!$Z$2:$Z$4001,$X728))</f>
        <v/>
      </c>
      <c r="N728" s="23" t="str">
        <f aca="false">IF($X728="","",Settings!$C$7)</f>
        <v/>
      </c>
      <c r="O728" s="22" t="str">
        <f aca="false">IF($X728="","",SUMIFS('Per Line'!$Y$2:$Y$4001,'Per Line'!$D$2:$D$4001,$B728,'Per Line'!$AJ$2:$AJ$4001,0))</f>
        <v/>
      </c>
      <c r="P728" s="22" t="str">
        <f aca="false">IF($X728="","",O728*N728)</f>
        <v/>
      </c>
      <c r="Q728" s="23" t="str">
        <f aca="false">IF($X728="","",Settings!$C$6)</f>
        <v/>
      </c>
      <c r="R728" s="22" t="str">
        <f aca="false">IF($X728="","",SUMIFS('Per Line'!$Y$2:$Y$4001,'Per Line'!$D$2:$D$4001,$B728,'Per Line'!$AJ$2:$AJ$4001,1))</f>
        <v/>
      </c>
      <c r="S728" s="22" t="str">
        <f aca="false">IF($X728="","",R728*Q728)</f>
        <v/>
      </c>
      <c r="T728" s="22" t="str">
        <f aca="false">IF($X728="","",S728+P728)</f>
        <v/>
      </c>
      <c r="U728" s="22" t="str">
        <f aca="false">IF($X728="","",V728-T728)</f>
        <v/>
      </c>
      <c r="V728" s="22" t="str">
        <f aca="false">IF($X728="","",O728+R728)</f>
        <v/>
      </c>
      <c r="W728" s="22" t="str">
        <f aca="false">IF($X728="","",U728-L728)</f>
        <v/>
      </c>
      <c r="X728" s="24" t="str">
        <f aca="false">IF(ROWS($X$2:$X728)&lt;=MAX('Per Line'!$AI$2:$AI$4001),MATCH(ROWS($X$2:$X728),'Per Line'!$AI$2:$AI$4001,0),"")</f>
        <v/>
      </c>
    </row>
    <row r="729" customFormat="false" ht="15" hidden="false" customHeight="false" outlineLevel="0" collapsed="false">
      <c r="A729" s="19"/>
      <c r="B729" s="20" t="str">
        <f aca="false">IF($X729="","",INDEX('Per Line'!$D$2:$D$4001,$X729))</f>
        <v/>
      </c>
      <c r="C729" s="20" t="str">
        <f aca="false">IF($X729="","",INDEX('Per Line'!$C$2:$C$4001,$X729))</f>
        <v/>
      </c>
      <c r="D729" s="20" t="str">
        <f aca="false">IF($X729="","",INDEX('Per Line'!$A$2:$A$4001,$X729))</f>
        <v/>
      </c>
      <c r="E729" s="21" t="str">
        <f aca="false">IF($X729="","",INDEX('Per Line'!$F$2:$F$4001,$X729))</f>
        <v/>
      </c>
      <c r="F729" s="20" t="str">
        <f aca="false">IF($X729="","",INDEX('Per Line'!$G$2:$G$4001,$X729))</f>
        <v/>
      </c>
      <c r="G729" s="20" t="str">
        <f aca="false">IF($X729="","",INDEX('Per Line'!$I$2:$I$4001,$X729))</f>
        <v/>
      </c>
      <c r="H729" s="20" t="str">
        <f aca="false">IF($X729="","",INDEX('Per Line'!$J$2:$J$4001,$X729))</f>
        <v/>
      </c>
      <c r="I729" s="20" t="str">
        <f aca="false">IF($X729="","",INDEX('Per Line'!$K$2:$K$4001,$X729))</f>
        <v/>
      </c>
      <c r="J729" s="20" t="str">
        <f aca="false">IF($X729="","",INDEX('Per Line'!$L$2:$L$4001,$X729))</f>
        <v/>
      </c>
      <c r="K729" s="20" t="str">
        <f aca="false">IF($X729="","",INDEX('Per Line'!$M$2:$M$4001,$X729))</f>
        <v/>
      </c>
      <c r="L729" s="22" t="str">
        <f aca="false">IF($X729="","",K729*V729/100)</f>
        <v/>
      </c>
      <c r="M729" s="20" t="str">
        <f aca="false">IF($X729="","",INDEX('Per Line'!$Z$2:$Z$4001,$X729))</f>
        <v/>
      </c>
      <c r="N729" s="23" t="str">
        <f aca="false">IF($X729="","",Settings!$C$7)</f>
        <v/>
      </c>
      <c r="O729" s="22" t="str">
        <f aca="false">IF($X729="","",SUMIFS('Per Line'!$Y$2:$Y$4001,'Per Line'!$D$2:$D$4001,$B729,'Per Line'!$AJ$2:$AJ$4001,0))</f>
        <v/>
      </c>
      <c r="P729" s="22" t="str">
        <f aca="false">IF($X729="","",O729*N729)</f>
        <v/>
      </c>
      <c r="Q729" s="23" t="str">
        <f aca="false">IF($X729="","",Settings!$C$6)</f>
        <v/>
      </c>
      <c r="R729" s="22" t="str">
        <f aca="false">IF($X729="","",SUMIFS('Per Line'!$Y$2:$Y$4001,'Per Line'!$D$2:$D$4001,$B729,'Per Line'!$AJ$2:$AJ$4001,1))</f>
        <v/>
      </c>
      <c r="S729" s="22" t="str">
        <f aca="false">IF($X729="","",R729*Q729)</f>
        <v/>
      </c>
      <c r="T729" s="22" t="str">
        <f aca="false">IF($X729="","",S729+P729)</f>
        <v/>
      </c>
      <c r="U729" s="22" t="str">
        <f aca="false">IF($X729="","",V729-T729)</f>
        <v/>
      </c>
      <c r="V729" s="22" t="str">
        <f aca="false">IF($X729="","",O729+R729)</f>
        <v/>
      </c>
      <c r="W729" s="22" t="str">
        <f aca="false">IF($X729="","",U729-L729)</f>
        <v/>
      </c>
      <c r="X729" s="24" t="str">
        <f aca="false">IF(ROWS($X$2:$X729)&lt;=MAX('Per Line'!$AI$2:$AI$4001),MATCH(ROWS($X$2:$X729),'Per Line'!$AI$2:$AI$4001,0),"")</f>
        <v/>
      </c>
    </row>
    <row r="730" customFormat="false" ht="15" hidden="false" customHeight="false" outlineLevel="0" collapsed="false">
      <c r="A730" s="19"/>
      <c r="B730" s="20" t="str">
        <f aca="false">IF($X730="","",INDEX('Per Line'!$D$2:$D$4001,$X730))</f>
        <v/>
      </c>
      <c r="C730" s="20" t="str">
        <f aca="false">IF($X730="","",INDEX('Per Line'!$C$2:$C$4001,$X730))</f>
        <v/>
      </c>
      <c r="D730" s="20" t="str">
        <f aca="false">IF($X730="","",INDEX('Per Line'!$A$2:$A$4001,$X730))</f>
        <v/>
      </c>
      <c r="E730" s="21" t="str">
        <f aca="false">IF($X730="","",INDEX('Per Line'!$F$2:$F$4001,$X730))</f>
        <v/>
      </c>
      <c r="F730" s="20" t="str">
        <f aca="false">IF($X730="","",INDEX('Per Line'!$G$2:$G$4001,$X730))</f>
        <v/>
      </c>
      <c r="G730" s="20" t="str">
        <f aca="false">IF($X730="","",INDEX('Per Line'!$I$2:$I$4001,$X730))</f>
        <v/>
      </c>
      <c r="H730" s="20" t="str">
        <f aca="false">IF($X730="","",INDEX('Per Line'!$J$2:$J$4001,$X730))</f>
        <v/>
      </c>
      <c r="I730" s="20" t="str">
        <f aca="false">IF($X730="","",INDEX('Per Line'!$K$2:$K$4001,$X730))</f>
        <v/>
      </c>
      <c r="J730" s="20" t="str">
        <f aca="false">IF($X730="","",INDEX('Per Line'!$L$2:$L$4001,$X730))</f>
        <v/>
      </c>
      <c r="K730" s="20" t="str">
        <f aca="false">IF($X730="","",INDEX('Per Line'!$M$2:$M$4001,$X730))</f>
        <v/>
      </c>
      <c r="L730" s="22" t="str">
        <f aca="false">IF($X730="","",K730*V730/100)</f>
        <v/>
      </c>
      <c r="M730" s="20" t="str">
        <f aca="false">IF($X730="","",INDEX('Per Line'!$Z$2:$Z$4001,$X730))</f>
        <v/>
      </c>
      <c r="N730" s="23" t="str">
        <f aca="false">IF($X730="","",Settings!$C$7)</f>
        <v/>
      </c>
      <c r="O730" s="22" t="str">
        <f aca="false">IF($X730="","",SUMIFS('Per Line'!$Y$2:$Y$4001,'Per Line'!$D$2:$D$4001,$B730,'Per Line'!$AJ$2:$AJ$4001,0))</f>
        <v/>
      </c>
      <c r="P730" s="22" t="str">
        <f aca="false">IF($X730="","",O730*N730)</f>
        <v/>
      </c>
      <c r="Q730" s="23" t="str">
        <f aca="false">IF($X730="","",Settings!$C$6)</f>
        <v/>
      </c>
      <c r="R730" s="22" t="str">
        <f aca="false">IF($X730="","",SUMIFS('Per Line'!$Y$2:$Y$4001,'Per Line'!$D$2:$D$4001,$B730,'Per Line'!$AJ$2:$AJ$4001,1))</f>
        <v/>
      </c>
      <c r="S730" s="22" t="str">
        <f aca="false">IF($X730="","",R730*Q730)</f>
        <v/>
      </c>
      <c r="T730" s="22" t="str">
        <f aca="false">IF($X730="","",S730+P730)</f>
        <v/>
      </c>
      <c r="U730" s="22" t="str">
        <f aca="false">IF($X730="","",V730-T730)</f>
        <v/>
      </c>
      <c r="V730" s="22" t="str">
        <f aca="false">IF($X730="","",O730+R730)</f>
        <v/>
      </c>
      <c r="W730" s="22" t="str">
        <f aca="false">IF($X730="","",U730-L730)</f>
        <v/>
      </c>
      <c r="X730" s="24" t="str">
        <f aca="false">IF(ROWS($X$2:$X730)&lt;=MAX('Per Line'!$AI$2:$AI$4001),MATCH(ROWS($X$2:$X730),'Per Line'!$AI$2:$AI$4001,0),"")</f>
        <v/>
      </c>
    </row>
    <row r="731" customFormat="false" ht="15" hidden="false" customHeight="false" outlineLevel="0" collapsed="false">
      <c r="A731" s="19"/>
      <c r="B731" s="20" t="str">
        <f aca="false">IF($X731="","",INDEX('Per Line'!$D$2:$D$4001,$X731))</f>
        <v/>
      </c>
      <c r="C731" s="20" t="str">
        <f aca="false">IF($X731="","",INDEX('Per Line'!$C$2:$C$4001,$X731))</f>
        <v/>
      </c>
      <c r="D731" s="20" t="str">
        <f aca="false">IF($X731="","",INDEX('Per Line'!$A$2:$A$4001,$X731))</f>
        <v/>
      </c>
      <c r="E731" s="21" t="str">
        <f aca="false">IF($X731="","",INDEX('Per Line'!$F$2:$F$4001,$X731))</f>
        <v/>
      </c>
      <c r="F731" s="20" t="str">
        <f aca="false">IF($X731="","",INDEX('Per Line'!$G$2:$G$4001,$X731))</f>
        <v/>
      </c>
      <c r="G731" s="20" t="str">
        <f aca="false">IF($X731="","",INDEX('Per Line'!$I$2:$I$4001,$X731))</f>
        <v/>
      </c>
      <c r="H731" s="20" t="str">
        <f aca="false">IF($X731="","",INDEX('Per Line'!$J$2:$J$4001,$X731))</f>
        <v/>
      </c>
      <c r="I731" s="20" t="str">
        <f aca="false">IF($X731="","",INDEX('Per Line'!$K$2:$K$4001,$X731))</f>
        <v/>
      </c>
      <c r="J731" s="20" t="str">
        <f aca="false">IF($X731="","",INDEX('Per Line'!$L$2:$L$4001,$X731))</f>
        <v/>
      </c>
      <c r="K731" s="20" t="str">
        <f aca="false">IF($X731="","",INDEX('Per Line'!$M$2:$M$4001,$X731))</f>
        <v/>
      </c>
      <c r="L731" s="22" t="str">
        <f aca="false">IF($X731="","",K731*V731/100)</f>
        <v/>
      </c>
      <c r="M731" s="20" t="str">
        <f aca="false">IF($X731="","",INDEX('Per Line'!$Z$2:$Z$4001,$X731))</f>
        <v/>
      </c>
      <c r="N731" s="23" t="str">
        <f aca="false">IF($X731="","",Settings!$C$7)</f>
        <v/>
      </c>
      <c r="O731" s="22" t="str">
        <f aca="false">IF($X731="","",SUMIFS('Per Line'!$Y$2:$Y$4001,'Per Line'!$D$2:$D$4001,$B731,'Per Line'!$AJ$2:$AJ$4001,0))</f>
        <v/>
      </c>
      <c r="P731" s="22" t="str">
        <f aca="false">IF($X731="","",O731*N731)</f>
        <v/>
      </c>
      <c r="Q731" s="23" t="str">
        <f aca="false">IF($X731="","",Settings!$C$6)</f>
        <v/>
      </c>
      <c r="R731" s="22" t="str">
        <f aca="false">IF($X731="","",SUMIFS('Per Line'!$Y$2:$Y$4001,'Per Line'!$D$2:$D$4001,$B731,'Per Line'!$AJ$2:$AJ$4001,1))</f>
        <v/>
      </c>
      <c r="S731" s="22" t="str">
        <f aca="false">IF($X731="","",R731*Q731)</f>
        <v/>
      </c>
      <c r="T731" s="22" t="str">
        <f aca="false">IF($X731="","",S731+P731)</f>
        <v/>
      </c>
      <c r="U731" s="22" t="str">
        <f aca="false">IF($X731="","",V731-T731)</f>
        <v/>
      </c>
      <c r="V731" s="22" t="str">
        <f aca="false">IF($X731="","",O731+R731)</f>
        <v/>
      </c>
      <c r="W731" s="22" t="str">
        <f aca="false">IF($X731="","",U731-L731)</f>
        <v/>
      </c>
      <c r="X731" s="24" t="str">
        <f aca="false">IF(ROWS($X$2:$X731)&lt;=MAX('Per Line'!$AI$2:$AI$4001),MATCH(ROWS($X$2:$X731),'Per Line'!$AI$2:$AI$4001,0),"")</f>
        <v/>
      </c>
    </row>
    <row r="732" customFormat="false" ht="15" hidden="false" customHeight="false" outlineLevel="0" collapsed="false">
      <c r="A732" s="19"/>
      <c r="B732" s="20" t="str">
        <f aca="false">IF($X732="","",INDEX('Per Line'!$D$2:$D$4001,$X732))</f>
        <v/>
      </c>
      <c r="C732" s="20" t="str">
        <f aca="false">IF($X732="","",INDEX('Per Line'!$C$2:$C$4001,$X732))</f>
        <v/>
      </c>
      <c r="D732" s="20" t="str">
        <f aca="false">IF($X732="","",INDEX('Per Line'!$A$2:$A$4001,$X732))</f>
        <v/>
      </c>
      <c r="E732" s="21" t="str">
        <f aca="false">IF($X732="","",INDEX('Per Line'!$F$2:$F$4001,$X732))</f>
        <v/>
      </c>
      <c r="F732" s="20" t="str">
        <f aca="false">IF($X732="","",INDEX('Per Line'!$G$2:$G$4001,$X732))</f>
        <v/>
      </c>
      <c r="G732" s="20" t="str">
        <f aca="false">IF($X732="","",INDEX('Per Line'!$I$2:$I$4001,$X732))</f>
        <v/>
      </c>
      <c r="H732" s="20" t="str">
        <f aca="false">IF($X732="","",INDEX('Per Line'!$J$2:$J$4001,$X732))</f>
        <v/>
      </c>
      <c r="I732" s="20" t="str">
        <f aca="false">IF($X732="","",INDEX('Per Line'!$K$2:$K$4001,$X732))</f>
        <v/>
      </c>
      <c r="J732" s="20" t="str">
        <f aca="false">IF($X732="","",INDEX('Per Line'!$L$2:$L$4001,$X732))</f>
        <v/>
      </c>
      <c r="K732" s="20" t="str">
        <f aca="false">IF($X732="","",INDEX('Per Line'!$M$2:$M$4001,$X732))</f>
        <v/>
      </c>
      <c r="L732" s="22" t="str">
        <f aca="false">IF($X732="","",K732*V732/100)</f>
        <v/>
      </c>
      <c r="M732" s="20" t="str">
        <f aca="false">IF($X732="","",INDEX('Per Line'!$Z$2:$Z$4001,$X732))</f>
        <v/>
      </c>
      <c r="N732" s="23" t="str">
        <f aca="false">IF($X732="","",Settings!$C$7)</f>
        <v/>
      </c>
      <c r="O732" s="22" t="str">
        <f aca="false">IF($X732="","",SUMIFS('Per Line'!$Y$2:$Y$4001,'Per Line'!$D$2:$D$4001,$B732,'Per Line'!$AJ$2:$AJ$4001,0))</f>
        <v/>
      </c>
      <c r="P732" s="22" t="str">
        <f aca="false">IF($X732="","",O732*N732)</f>
        <v/>
      </c>
      <c r="Q732" s="23" t="str">
        <f aca="false">IF($X732="","",Settings!$C$6)</f>
        <v/>
      </c>
      <c r="R732" s="22" t="str">
        <f aca="false">IF($X732="","",SUMIFS('Per Line'!$Y$2:$Y$4001,'Per Line'!$D$2:$D$4001,$B732,'Per Line'!$AJ$2:$AJ$4001,1))</f>
        <v/>
      </c>
      <c r="S732" s="22" t="str">
        <f aca="false">IF($X732="","",R732*Q732)</f>
        <v/>
      </c>
      <c r="T732" s="22" t="str">
        <f aca="false">IF($X732="","",S732+P732)</f>
        <v/>
      </c>
      <c r="U732" s="22" t="str">
        <f aca="false">IF($X732="","",V732-T732)</f>
        <v/>
      </c>
      <c r="V732" s="22" t="str">
        <f aca="false">IF($X732="","",O732+R732)</f>
        <v/>
      </c>
      <c r="W732" s="22" t="str">
        <f aca="false">IF($X732="","",U732-L732)</f>
        <v/>
      </c>
      <c r="X732" s="24" t="str">
        <f aca="false">IF(ROWS($X$2:$X732)&lt;=MAX('Per Line'!$AI$2:$AI$4001),MATCH(ROWS($X$2:$X732),'Per Line'!$AI$2:$AI$4001,0),"")</f>
        <v/>
      </c>
    </row>
    <row r="733" customFormat="false" ht="15" hidden="false" customHeight="false" outlineLevel="0" collapsed="false">
      <c r="A733" s="19"/>
      <c r="B733" s="20" t="str">
        <f aca="false">IF($X733="","",INDEX('Per Line'!$D$2:$D$4001,$X733))</f>
        <v/>
      </c>
      <c r="C733" s="20" t="str">
        <f aca="false">IF($X733="","",INDEX('Per Line'!$C$2:$C$4001,$X733))</f>
        <v/>
      </c>
      <c r="D733" s="20" t="str">
        <f aca="false">IF($X733="","",INDEX('Per Line'!$A$2:$A$4001,$X733))</f>
        <v/>
      </c>
      <c r="E733" s="21" t="str">
        <f aca="false">IF($X733="","",INDEX('Per Line'!$F$2:$F$4001,$X733))</f>
        <v/>
      </c>
      <c r="F733" s="20" t="str">
        <f aca="false">IF($X733="","",INDEX('Per Line'!$G$2:$G$4001,$X733))</f>
        <v/>
      </c>
      <c r="G733" s="20" t="str">
        <f aca="false">IF($X733="","",INDEX('Per Line'!$I$2:$I$4001,$X733))</f>
        <v/>
      </c>
      <c r="H733" s="20" t="str">
        <f aca="false">IF($X733="","",INDEX('Per Line'!$J$2:$J$4001,$X733))</f>
        <v/>
      </c>
      <c r="I733" s="20" t="str">
        <f aca="false">IF($X733="","",INDEX('Per Line'!$K$2:$K$4001,$X733))</f>
        <v/>
      </c>
      <c r="J733" s="20" t="str">
        <f aca="false">IF($X733="","",INDEX('Per Line'!$L$2:$L$4001,$X733))</f>
        <v/>
      </c>
      <c r="K733" s="20" t="str">
        <f aca="false">IF($X733="","",INDEX('Per Line'!$M$2:$M$4001,$X733))</f>
        <v/>
      </c>
      <c r="L733" s="22" t="str">
        <f aca="false">IF($X733="","",K733*V733/100)</f>
        <v/>
      </c>
      <c r="M733" s="20" t="str">
        <f aca="false">IF($X733="","",INDEX('Per Line'!$Z$2:$Z$4001,$X733))</f>
        <v/>
      </c>
      <c r="N733" s="23" t="str">
        <f aca="false">IF($X733="","",Settings!$C$7)</f>
        <v/>
      </c>
      <c r="O733" s="22" t="str">
        <f aca="false">IF($X733="","",SUMIFS('Per Line'!$Y$2:$Y$4001,'Per Line'!$D$2:$D$4001,$B733,'Per Line'!$AJ$2:$AJ$4001,0))</f>
        <v/>
      </c>
      <c r="P733" s="22" t="str">
        <f aca="false">IF($X733="","",O733*N733)</f>
        <v/>
      </c>
      <c r="Q733" s="23" t="str">
        <f aca="false">IF($X733="","",Settings!$C$6)</f>
        <v/>
      </c>
      <c r="R733" s="22" t="str">
        <f aca="false">IF($X733="","",SUMIFS('Per Line'!$Y$2:$Y$4001,'Per Line'!$D$2:$D$4001,$B733,'Per Line'!$AJ$2:$AJ$4001,1))</f>
        <v/>
      </c>
      <c r="S733" s="22" t="str">
        <f aca="false">IF($X733="","",R733*Q733)</f>
        <v/>
      </c>
      <c r="T733" s="22" t="str">
        <f aca="false">IF($X733="","",S733+P733)</f>
        <v/>
      </c>
      <c r="U733" s="22" t="str">
        <f aca="false">IF($X733="","",V733-T733)</f>
        <v/>
      </c>
      <c r="V733" s="22" t="str">
        <f aca="false">IF($X733="","",O733+R733)</f>
        <v/>
      </c>
      <c r="W733" s="22" t="str">
        <f aca="false">IF($X733="","",U733-L733)</f>
        <v/>
      </c>
      <c r="X733" s="24" t="str">
        <f aca="false">IF(ROWS($X$2:$X733)&lt;=MAX('Per Line'!$AI$2:$AI$4001),MATCH(ROWS($X$2:$X733),'Per Line'!$AI$2:$AI$4001,0),"")</f>
        <v/>
      </c>
    </row>
    <row r="734" customFormat="false" ht="15" hidden="false" customHeight="false" outlineLevel="0" collapsed="false">
      <c r="A734" s="19"/>
      <c r="B734" s="20" t="str">
        <f aca="false">IF($X734="","",INDEX('Per Line'!$D$2:$D$4001,$X734))</f>
        <v/>
      </c>
      <c r="C734" s="20" t="str">
        <f aca="false">IF($X734="","",INDEX('Per Line'!$C$2:$C$4001,$X734))</f>
        <v/>
      </c>
      <c r="D734" s="20" t="str">
        <f aca="false">IF($X734="","",INDEX('Per Line'!$A$2:$A$4001,$X734))</f>
        <v/>
      </c>
      <c r="E734" s="21" t="str">
        <f aca="false">IF($X734="","",INDEX('Per Line'!$F$2:$F$4001,$X734))</f>
        <v/>
      </c>
      <c r="F734" s="20" t="str">
        <f aca="false">IF($X734="","",INDEX('Per Line'!$G$2:$G$4001,$X734))</f>
        <v/>
      </c>
      <c r="G734" s="20" t="str">
        <f aca="false">IF($X734="","",INDEX('Per Line'!$I$2:$I$4001,$X734))</f>
        <v/>
      </c>
      <c r="H734" s="20" t="str">
        <f aca="false">IF($X734="","",INDEX('Per Line'!$J$2:$J$4001,$X734))</f>
        <v/>
      </c>
      <c r="I734" s="20" t="str">
        <f aca="false">IF($X734="","",INDEX('Per Line'!$K$2:$K$4001,$X734))</f>
        <v/>
      </c>
      <c r="J734" s="20" t="str">
        <f aca="false">IF($X734="","",INDEX('Per Line'!$L$2:$L$4001,$X734))</f>
        <v/>
      </c>
      <c r="K734" s="20" t="str">
        <f aca="false">IF($X734="","",INDEX('Per Line'!$M$2:$M$4001,$X734))</f>
        <v/>
      </c>
      <c r="L734" s="22" t="str">
        <f aca="false">IF($X734="","",K734*V734/100)</f>
        <v/>
      </c>
      <c r="M734" s="20" t="str">
        <f aca="false">IF($X734="","",INDEX('Per Line'!$Z$2:$Z$4001,$X734))</f>
        <v/>
      </c>
      <c r="N734" s="23" t="str">
        <f aca="false">IF($X734="","",Settings!$C$7)</f>
        <v/>
      </c>
      <c r="O734" s="22" t="str">
        <f aca="false">IF($X734="","",SUMIFS('Per Line'!$Y$2:$Y$4001,'Per Line'!$D$2:$D$4001,$B734,'Per Line'!$AJ$2:$AJ$4001,0))</f>
        <v/>
      </c>
      <c r="P734" s="22" t="str">
        <f aca="false">IF($X734="","",O734*N734)</f>
        <v/>
      </c>
      <c r="Q734" s="23" t="str">
        <f aca="false">IF($X734="","",Settings!$C$6)</f>
        <v/>
      </c>
      <c r="R734" s="22" t="str">
        <f aca="false">IF($X734="","",SUMIFS('Per Line'!$Y$2:$Y$4001,'Per Line'!$D$2:$D$4001,$B734,'Per Line'!$AJ$2:$AJ$4001,1))</f>
        <v/>
      </c>
      <c r="S734" s="22" t="str">
        <f aca="false">IF($X734="","",R734*Q734)</f>
        <v/>
      </c>
      <c r="T734" s="22" t="str">
        <f aca="false">IF($X734="","",S734+P734)</f>
        <v/>
      </c>
      <c r="U734" s="22" t="str">
        <f aca="false">IF($X734="","",V734-T734)</f>
        <v/>
      </c>
      <c r="V734" s="22" t="str">
        <f aca="false">IF($X734="","",O734+R734)</f>
        <v/>
      </c>
      <c r="W734" s="22" t="str">
        <f aca="false">IF($X734="","",U734-L734)</f>
        <v/>
      </c>
      <c r="X734" s="24" t="str">
        <f aca="false">IF(ROWS($X$2:$X734)&lt;=MAX('Per Line'!$AI$2:$AI$4001),MATCH(ROWS($X$2:$X734),'Per Line'!$AI$2:$AI$4001,0),"")</f>
        <v/>
      </c>
    </row>
    <row r="735" customFormat="false" ht="15" hidden="false" customHeight="false" outlineLevel="0" collapsed="false">
      <c r="A735" s="19"/>
      <c r="B735" s="20" t="str">
        <f aca="false">IF($X735="","",INDEX('Per Line'!$D$2:$D$4001,$X735))</f>
        <v/>
      </c>
      <c r="C735" s="20" t="str">
        <f aca="false">IF($X735="","",INDEX('Per Line'!$C$2:$C$4001,$X735))</f>
        <v/>
      </c>
      <c r="D735" s="20" t="str">
        <f aca="false">IF($X735="","",INDEX('Per Line'!$A$2:$A$4001,$X735))</f>
        <v/>
      </c>
      <c r="E735" s="21" t="str">
        <f aca="false">IF($X735="","",INDEX('Per Line'!$F$2:$F$4001,$X735))</f>
        <v/>
      </c>
      <c r="F735" s="20" t="str">
        <f aca="false">IF($X735="","",INDEX('Per Line'!$G$2:$G$4001,$X735))</f>
        <v/>
      </c>
      <c r="G735" s="20" t="str">
        <f aca="false">IF($X735="","",INDEX('Per Line'!$I$2:$I$4001,$X735))</f>
        <v/>
      </c>
      <c r="H735" s="20" t="str">
        <f aca="false">IF($X735="","",INDEX('Per Line'!$J$2:$J$4001,$X735))</f>
        <v/>
      </c>
      <c r="I735" s="20" t="str">
        <f aca="false">IF($X735="","",INDEX('Per Line'!$K$2:$K$4001,$X735))</f>
        <v/>
      </c>
      <c r="J735" s="20" t="str">
        <f aca="false">IF($X735="","",INDEX('Per Line'!$L$2:$L$4001,$X735))</f>
        <v/>
      </c>
      <c r="K735" s="20" t="str">
        <f aca="false">IF($X735="","",INDEX('Per Line'!$M$2:$M$4001,$X735))</f>
        <v/>
      </c>
      <c r="L735" s="22" t="str">
        <f aca="false">IF($X735="","",K735*V735/100)</f>
        <v/>
      </c>
      <c r="M735" s="20" t="str">
        <f aca="false">IF($X735="","",INDEX('Per Line'!$Z$2:$Z$4001,$X735))</f>
        <v/>
      </c>
      <c r="N735" s="23" t="str">
        <f aca="false">IF($X735="","",Settings!$C$7)</f>
        <v/>
      </c>
      <c r="O735" s="22" t="str">
        <f aca="false">IF($X735="","",SUMIFS('Per Line'!$Y$2:$Y$4001,'Per Line'!$D$2:$D$4001,$B735,'Per Line'!$AJ$2:$AJ$4001,0))</f>
        <v/>
      </c>
      <c r="P735" s="22" t="str">
        <f aca="false">IF($X735="","",O735*N735)</f>
        <v/>
      </c>
      <c r="Q735" s="23" t="str">
        <f aca="false">IF($X735="","",Settings!$C$6)</f>
        <v/>
      </c>
      <c r="R735" s="22" t="str">
        <f aca="false">IF($X735="","",SUMIFS('Per Line'!$Y$2:$Y$4001,'Per Line'!$D$2:$D$4001,$B735,'Per Line'!$AJ$2:$AJ$4001,1))</f>
        <v/>
      </c>
      <c r="S735" s="22" t="str">
        <f aca="false">IF($X735="","",R735*Q735)</f>
        <v/>
      </c>
      <c r="T735" s="22" t="str">
        <f aca="false">IF($X735="","",S735+P735)</f>
        <v/>
      </c>
      <c r="U735" s="22" t="str">
        <f aca="false">IF($X735="","",V735-T735)</f>
        <v/>
      </c>
      <c r="V735" s="22" t="str">
        <f aca="false">IF($X735="","",O735+R735)</f>
        <v/>
      </c>
      <c r="W735" s="22" t="str">
        <f aca="false">IF($X735="","",U735-L735)</f>
        <v/>
      </c>
      <c r="X735" s="24" t="str">
        <f aca="false">IF(ROWS($X$2:$X735)&lt;=MAX('Per Line'!$AI$2:$AI$4001),MATCH(ROWS($X$2:$X735),'Per Line'!$AI$2:$AI$4001,0),"")</f>
        <v/>
      </c>
    </row>
    <row r="736" customFormat="false" ht="15" hidden="false" customHeight="false" outlineLevel="0" collapsed="false">
      <c r="A736" s="19"/>
      <c r="B736" s="20" t="str">
        <f aca="false">IF($X736="","",INDEX('Per Line'!$D$2:$D$4001,$X736))</f>
        <v/>
      </c>
      <c r="C736" s="20" t="str">
        <f aca="false">IF($X736="","",INDEX('Per Line'!$C$2:$C$4001,$X736))</f>
        <v/>
      </c>
      <c r="D736" s="20" t="str">
        <f aca="false">IF($X736="","",INDEX('Per Line'!$A$2:$A$4001,$X736))</f>
        <v/>
      </c>
      <c r="E736" s="21" t="str">
        <f aca="false">IF($X736="","",INDEX('Per Line'!$F$2:$F$4001,$X736))</f>
        <v/>
      </c>
      <c r="F736" s="20" t="str">
        <f aca="false">IF($X736="","",INDEX('Per Line'!$G$2:$G$4001,$X736))</f>
        <v/>
      </c>
      <c r="G736" s="20" t="str">
        <f aca="false">IF($X736="","",INDEX('Per Line'!$I$2:$I$4001,$X736))</f>
        <v/>
      </c>
      <c r="H736" s="20" t="str">
        <f aca="false">IF($X736="","",INDEX('Per Line'!$J$2:$J$4001,$X736))</f>
        <v/>
      </c>
      <c r="I736" s="20" t="str">
        <f aca="false">IF($X736="","",INDEX('Per Line'!$K$2:$K$4001,$X736))</f>
        <v/>
      </c>
      <c r="J736" s="20" t="str">
        <f aca="false">IF($X736="","",INDEX('Per Line'!$L$2:$L$4001,$X736))</f>
        <v/>
      </c>
      <c r="K736" s="20" t="str">
        <f aca="false">IF($X736="","",INDEX('Per Line'!$M$2:$M$4001,$X736))</f>
        <v/>
      </c>
      <c r="L736" s="22" t="str">
        <f aca="false">IF($X736="","",K736*V736/100)</f>
        <v/>
      </c>
      <c r="M736" s="20" t="str">
        <f aca="false">IF($X736="","",INDEX('Per Line'!$Z$2:$Z$4001,$X736))</f>
        <v/>
      </c>
      <c r="N736" s="23" t="str">
        <f aca="false">IF($X736="","",Settings!$C$7)</f>
        <v/>
      </c>
      <c r="O736" s="22" t="str">
        <f aca="false">IF($X736="","",SUMIFS('Per Line'!$Y$2:$Y$4001,'Per Line'!$D$2:$D$4001,$B736,'Per Line'!$AJ$2:$AJ$4001,0))</f>
        <v/>
      </c>
      <c r="P736" s="22" t="str">
        <f aca="false">IF($X736="","",O736*N736)</f>
        <v/>
      </c>
      <c r="Q736" s="23" t="str">
        <f aca="false">IF($X736="","",Settings!$C$6)</f>
        <v/>
      </c>
      <c r="R736" s="22" t="str">
        <f aca="false">IF($X736="","",SUMIFS('Per Line'!$Y$2:$Y$4001,'Per Line'!$D$2:$D$4001,$B736,'Per Line'!$AJ$2:$AJ$4001,1))</f>
        <v/>
      </c>
      <c r="S736" s="22" t="str">
        <f aca="false">IF($X736="","",R736*Q736)</f>
        <v/>
      </c>
      <c r="T736" s="22" t="str">
        <f aca="false">IF($X736="","",S736+P736)</f>
        <v/>
      </c>
      <c r="U736" s="22" t="str">
        <f aca="false">IF($X736="","",V736-T736)</f>
        <v/>
      </c>
      <c r="V736" s="22" t="str">
        <f aca="false">IF($X736="","",O736+R736)</f>
        <v/>
      </c>
      <c r="W736" s="22" t="str">
        <f aca="false">IF($X736="","",U736-L736)</f>
        <v/>
      </c>
      <c r="X736" s="24" t="str">
        <f aca="false">IF(ROWS($X$2:$X736)&lt;=MAX('Per Line'!$AI$2:$AI$4001),MATCH(ROWS($X$2:$X736),'Per Line'!$AI$2:$AI$4001,0),"")</f>
        <v/>
      </c>
    </row>
    <row r="737" customFormat="false" ht="15" hidden="false" customHeight="false" outlineLevel="0" collapsed="false">
      <c r="A737" s="19"/>
      <c r="B737" s="20" t="str">
        <f aca="false">IF($X737="","",INDEX('Per Line'!$D$2:$D$4001,$X737))</f>
        <v/>
      </c>
      <c r="C737" s="20" t="str">
        <f aca="false">IF($X737="","",INDEX('Per Line'!$C$2:$C$4001,$X737))</f>
        <v/>
      </c>
      <c r="D737" s="20" t="str">
        <f aca="false">IF($X737="","",INDEX('Per Line'!$A$2:$A$4001,$X737))</f>
        <v/>
      </c>
      <c r="E737" s="21" t="str">
        <f aca="false">IF($X737="","",INDEX('Per Line'!$F$2:$F$4001,$X737))</f>
        <v/>
      </c>
      <c r="F737" s="20" t="str">
        <f aca="false">IF($X737="","",INDEX('Per Line'!$G$2:$G$4001,$X737))</f>
        <v/>
      </c>
      <c r="G737" s="20" t="str">
        <f aca="false">IF($X737="","",INDEX('Per Line'!$I$2:$I$4001,$X737))</f>
        <v/>
      </c>
      <c r="H737" s="20" t="str">
        <f aca="false">IF($X737="","",INDEX('Per Line'!$J$2:$J$4001,$X737))</f>
        <v/>
      </c>
      <c r="I737" s="20" t="str">
        <f aca="false">IF($X737="","",INDEX('Per Line'!$K$2:$K$4001,$X737))</f>
        <v/>
      </c>
      <c r="J737" s="20" t="str">
        <f aca="false">IF($X737="","",INDEX('Per Line'!$L$2:$L$4001,$X737))</f>
        <v/>
      </c>
      <c r="K737" s="20" t="str">
        <f aca="false">IF($X737="","",INDEX('Per Line'!$M$2:$M$4001,$X737))</f>
        <v/>
      </c>
      <c r="L737" s="22" t="str">
        <f aca="false">IF($X737="","",K737*V737/100)</f>
        <v/>
      </c>
      <c r="M737" s="20" t="str">
        <f aca="false">IF($X737="","",INDEX('Per Line'!$Z$2:$Z$4001,$X737))</f>
        <v/>
      </c>
      <c r="N737" s="23" t="str">
        <f aca="false">IF($X737="","",Settings!$C$7)</f>
        <v/>
      </c>
      <c r="O737" s="22" t="str">
        <f aca="false">IF($X737="","",SUMIFS('Per Line'!$Y$2:$Y$4001,'Per Line'!$D$2:$D$4001,$B737,'Per Line'!$AJ$2:$AJ$4001,0))</f>
        <v/>
      </c>
      <c r="P737" s="22" t="str">
        <f aca="false">IF($X737="","",O737*N737)</f>
        <v/>
      </c>
      <c r="Q737" s="23" t="str">
        <f aca="false">IF($X737="","",Settings!$C$6)</f>
        <v/>
      </c>
      <c r="R737" s="22" t="str">
        <f aca="false">IF($X737="","",SUMIFS('Per Line'!$Y$2:$Y$4001,'Per Line'!$D$2:$D$4001,$B737,'Per Line'!$AJ$2:$AJ$4001,1))</f>
        <v/>
      </c>
      <c r="S737" s="22" t="str">
        <f aca="false">IF($X737="","",R737*Q737)</f>
        <v/>
      </c>
      <c r="T737" s="22" t="str">
        <f aca="false">IF($X737="","",S737+P737)</f>
        <v/>
      </c>
      <c r="U737" s="22" t="str">
        <f aca="false">IF($X737="","",V737-T737)</f>
        <v/>
      </c>
      <c r="V737" s="22" t="str">
        <f aca="false">IF($X737="","",O737+R737)</f>
        <v/>
      </c>
      <c r="W737" s="22" t="str">
        <f aca="false">IF($X737="","",U737-L737)</f>
        <v/>
      </c>
      <c r="X737" s="24" t="str">
        <f aca="false">IF(ROWS($X$2:$X737)&lt;=MAX('Per Line'!$AI$2:$AI$4001),MATCH(ROWS($X$2:$X737),'Per Line'!$AI$2:$AI$4001,0),"")</f>
        <v/>
      </c>
    </row>
    <row r="738" customFormat="false" ht="15" hidden="false" customHeight="false" outlineLevel="0" collapsed="false">
      <c r="A738" s="19"/>
      <c r="B738" s="20" t="str">
        <f aca="false">IF($X738="","",INDEX('Per Line'!$D$2:$D$4001,$X738))</f>
        <v/>
      </c>
      <c r="C738" s="20" t="str">
        <f aca="false">IF($X738="","",INDEX('Per Line'!$C$2:$C$4001,$X738))</f>
        <v/>
      </c>
      <c r="D738" s="20" t="str">
        <f aca="false">IF($X738="","",INDEX('Per Line'!$A$2:$A$4001,$X738))</f>
        <v/>
      </c>
      <c r="E738" s="21" t="str">
        <f aca="false">IF($X738="","",INDEX('Per Line'!$F$2:$F$4001,$X738))</f>
        <v/>
      </c>
      <c r="F738" s="20" t="str">
        <f aca="false">IF($X738="","",INDEX('Per Line'!$G$2:$G$4001,$X738))</f>
        <v/>
      </c>
      <c r="G738" s="20" t="str">
        <f aca="false">IF($X738="","",INDEX('Per Line'!$I$2:$I$4001,$X738))</f>
        <v/>
      </c>
      <c r="H738" s="20" t="str">
        <f aca="false">IF($X738="","",INDEX('Per Line'!$J$2:$J$4001,$X738))</f>
        <v/>
      </c>
      <c r="I738" s="20" t="str">
        <f aca="false">IF($X738="","",INDEX('Per Line'!$K$2:$K$4001,$X738))</f>
        <v/>
      </c>
      <c r="J738" s="20" t="str">
        <f aca="false">IF($X738="","",INDEX('Per Line'!$L$2:$L$4001,$X738))</f>
        <v/>
      </c>
      <c r="K738" s="20" t="str">
        <f aca="false">IF($X738="","",INDEX('Per Line'!$M$2:$M$4001,$X738))</f>
        <v/>
      </c>
      <c r="L738" s="22" t="str">
        <f aca="false">IF($X738="","",K738*V738/100)</f>
        <v/>
      </c>
      <c r="M738" s="20" t="str">
        <f aca="false">IF($X738="","",INDEX('Per Line'!$Z$2:$Z$4001,$X738))</f>
        <v/>
      </c>
      <c r="N738" s="23" t="str">
        <f aca="false">IF($X738="","",Settings!$C$7)</f>
        <v/>
      </c>
      <c r="O738" s="22" t="str">
        <f aca="false">IF($X738="","",SUMIFS('Per Line'!$Y$2:$Y$4001,'Per Line'!$D$2:$D$4001,$B738,'Per Line'!$AJ$2:$AJ$4001,0))</f>
        <v/>
      </c>
      <c r="P738" s="22" t="str">
        <f aca="false">IF($X738="","",O738*N738)</f>
        <v/>
      </c>
      <c r="Q738" s="23" t="str">
        <f aca="false">IF($X738="","",Settings!$C$6)</f>
        <v/>
      </c>
      <c r="R738" s="22" t="str">
        <f aca="false">IF($X738="","",SUMIFS('Per Line'!$Y$2:$Y$4001,'Per Line'!$D$2:$D$4001,$B738,'Per Line'!$AJ$2:$AJ$4001,1))</f>
        <v/>
      </c>
      <c r="S738" s="22" t="str">
        <f aca="false">IF($X738="","",R738*Q738)</f>
        <v/>
      </c>
      <c r="T738" s="22" t="str">
        <f aca="false">IF($X738="","",S738+P738)</f>
        <v/>
      </c>
      <c r="U738" s="22" t="str">
        <f aca="false">IF($X738="","",V738-T738)</f>
        <v/>
      </c>
      <c r="V738" s="22" t="str">
        <f aca="false">IF($X738="","",O738+R738)</f>
        <v/>
      </c>
      <c r="W738" s="22" t="str">
        <f aca="false">IF($X738="","",U738-L738)</f>
        <v/>
      </c>
      <c r="X738" s="24" t="str">
        <f aca="false">IF(ROWS($X$2:$X738)&lt;=MAX('Per Line'!$AI$2:$AI$4001),MATCH(ROWS($X$2:$X738),'Per Line'!$AI$2:$AI$4001,0),"")</f>
        <v/>
      </c>
    </row>
    <row r="739" customFormat="false" ht="15" hidden="false" customHeight="false" outlineLevel="0" collapsed="false">
      <c r="A739" s="19"/>
      <c r="B739" s="20" t="str">
        <f aca="false">IF($X739="","",INDEX('Per Line'!$D$2:$D$4001,$X739))</f>
        <v/>
      </c>
      <c r="C739" s="20" t="str">
        <f aca="false">IF($X739="","",INDEX('Per Line'!$C$2:$C$4001,$X739))</f>
        <v/>
      </c>
      <c r="D739" s="20" t="str">
        <f aca="false">IF($X739="","",INDEX('Per Line'!$A$2:$A$4001,$X739))</f>
        <v/>
      </c>
      <c r="E739" s="21" t="str">
        <f aca="false">IF($X739="","",INDEX('Per Line'!$F$2:$F$4001,$X739))</f>
        <v/>
      </c>
      <c r="F739" s="20" t="str">
        <f aca="false">IF($X739="","",INDEX('Per Line'!$G$2:$G$4001,$X739))</f>
        <v/>
      </c>
      <c r="G739" s="20" t="str">
        <f aca="false">IF($X739="","",INDEX('Per Line'!$I$2:$I$4001,$X739))</f>
        <v/>
      </c>
      <c r="H739" s="20" t="str">
        <f aca="false">IF($X739="","",INDEX('Per Line'!$J$2:$J$4001,$X739))</f>
        <v/>
      </c>
      <c r="I739" s="20" t="str">
        <f aca="false">IF($X739="","",INDEX('Per Line'!$K$2:$K$4001,$X739))</f>
        <v/>
      </c>
      <c r="J739" s="20" t="str">
        <f aca="false">IF($X739="","",INDEX('Per Line'!$L$2:$L$4001,$X739))</f>
        <v/>
      </c>
      <c r="K739" s="20" t="str">
        <f aca="false">IF($X739="","",INDEX('Per Line'!$M$2:$M$4001,$X739))</f>
        <v/>
      </c>
      <c r="L739" s="22" t="str">
        <f aca="false">IF($X739="","",K739*V739/100)</f>
        <v/>
      </c>
      <c r="M739" s="20" t="str">
        <f aca="false">IF($X739="","",INDEX('Per Line'!$Z$2:$Z$4001,$X739))</f>
        <v/>
      </c>
      <c r="N739" s="23" t="str">
        <f aca="false">IF($X739="","",Settings!$C$7)</f>
        <v/>
      </c>
      <c r="O739" s="22" t="str">
        <f aca="false">IF($X739="","",SUMIFS('Per Line'!$Y$2:$Y$4001,'Per Line'!$D$2:$D$4001,$B739,'Per Line'!$AJ$2:$AJ$4001,0))</f>
        <v/>
      </c>
      <c r="P739" s="22" t="str">
        <f aca="false">IF($X739="","",O739*N739)</f>
        <v/>
      </c>
      <c r="Q739" s="23" t="str">
        <f aca="false">IF($X739="","",Settings!$C$6)</f>
        <v/>
      </c>
      <c r="R739" s="22" t="str">
        <f aca="false">IF($X739="","",SUMIFS('Per Line'!$Y$2:$Y$4001,'Per Line'!$D$2:$D$4001,$B739,'Per Line'!$AJ$2:$AJ$4001,1))</f>
        <v/>
      </c>
      <c r="S739" s="22" t="str">
        <f aca="false">IF($X739="","",R739*Q739)</f>
        <v/>
      </c>
      <c r="T739" s="22" t="str">
        <f aca="false">IF($X739="","",S739+P739)</f>
        <v/>
      </c>
      <c r="U739" s="22" t="str">
        <f aca="false">IF($X739="","",V739-T739)</f>
        <v/>
      </c>
      <c r="V739" s="22" t="str">
        <f aca="false">IF($X739="","",O739+R739)</f>
        <v/>
      </c>
      <c r="W739" s="22" t="str">
        <f aca="false">IF($X739="","",U739-L739)</f>
        <v/>
      </c>
      <c r="X739" s="24" t="str">
        <f aca="false">IF(ROWS($X$2:$X739)&lt;=MAX('Per Line'!$AI$2:$AI$4001),MATCH(ROWS($X$2:$X739),'Per Line'!$AI$2:$AI$4001,0),"")</f>
        <v/>
      </c>
    </row>
    <row r="740" customFormat="false" ht="15" hidden="false" customHeight="false" outlineLevel="0" collapsed="false">
      <c r="A740" s="19"/>
      <c r="B740" s="20" t="str">
        <f aca="false">IF($X740="","",INDEX('Per Line'!$D$2:$D$4001,$X740))</f>
        <v/>
      </c>
      <c r="C740" s="20" t="str">
        <f aca="false">IF($X740="","",INDEX('Per Line'!$C$2:$C$4001,$X740))</f>
        <v/>
      </c>
      <c r="D740" s="20" t="str">
        <f aca="false">IF($X740="","",INDEX('Per Line'!$A$2:$A$4001,$X740))</f>
        <v/>
      </c>
      <c r="E740" s="21" t="str">
        <f aca="false">IF($X740="","",INDEX('Per Line'!$F$2:$F$4001,$X740))</f>
        <v/>
      </c>
      <c r="F740" s="20" t="str">
        <f aca="false">IF($X740="","",INDEX('Per Line'!$G$2:$G$4001,$X740))</f>
        <v/>
      </c>
      <c r="G740" s="20" t="str">
        <f aca="false">IF($X740="","",INDEX('Per Line'!$I$2:$I$4001,$X740))</f>
        <v/>
      </c>
      <c r="H740" s="20" t="str">
        <f aca="false">IF($X740="","",INDEX('Per Line'!$J$2:$J$4001,$X740))</f>
        <v/>
      </c>
      <c r="I740" s="20" t="str">
        <f aca="false">IF($X740="","",INDEX('Per Line'!$K$2:$K$4001,$X740))</f>
        <v/>
      </c>
      <c r="J740" s="20" t="str">
        <f aca="false">IF($X740="","",INDEX('Per Line'!$L$2:$L$4001,$X740))</f>
        <v/>
      </c>
      <c r="K740" s="20" t="str">
        <f aca="false">IF($X740="","",INDEX('Per Line'!$M$2:$M$4001,$X740))</f>
        <v/>
      </c>
      <c r="L740" s="22" t="str">
        <f aca="false">IF($X740="","",K740*V740/100)</f>
        <v/>
      </c>
      <c r="M740" s="20" t="str">
        <f aca="false">IF($X740="","",INDEX('Per Line'!$Z$2:$Z$4001,$X740))</f>
        <v/>
      </c>
      <c r="N740" s="23" t="str">
        <f aca="false">IF($X740="","",Settings!$C$7)</f>
        <v/>
      </c>
      <c r="O740" s="22" t="str">
        <f aca="false">IF($X740="","",SUMIFS('Per Line'!$Y$2:$Y$4001,'Per Line'!$D$2:$D$4001,$B740,'Per Line'!$AJ$2:$AJ$4001,0))</f>
        <v/>
      </c>
      <c r="P740" s="22" t="str">
        <f aca="false">IF($X740="","",O740*N740)</f>
        <v/>
      </c>
      <c r="Q740" s="23" t="str">
        <f aca="false">IF($X740="","",Settings!$C$6)</f>
        <v/>
      </c>
      <c r="R740" s="22" t="str">
        <f aca="false">IF($X740="","",SUMIFS('Per Line'!$Y$2:$Y$4001,'Per Line'!$D$2:$D$4001,$B740,'Per Line'!$AJ$2:$AJ$4001,1))</f>
        <v/>
      </c>
      <c r="S740" s="22" t="str">
        <f aca="false">IF($X740="","",R740*Q740)</f>
        <v/>
      </c>
      <c r="T740" s="22" t="str">
        <f aca="false">IF($X740="","",S740+P740)</f>
        <v/>
      </c>
      <c r="U740" s="22" t="str">
        <f aca="false">IF($X740="","",V740-T740)</f>
        <v/>
      </c>
      <c r="V740" s="22" t="str">
        <f aca="false">IF($X740="","",O740+R740)</f>
        <v/>
      </c>
      <c r="W740" s="22" t="str">
        <f aca="false">IF($X740="","",U740-L740)</f>
        <v/>
      </c>
      <c r="X740" s="24" t="str">
        <f aca="false">IF(ROWS($X$2:$X740)&lt;=MAX('Per Line'!$AI$2:$AI$4001),MATCH(ROWS($X$2:$X740),'Per Line'!$AI$2:$AI$4001,0),"")</f>
        <v/>
      </c>
    </row>
    <row r="741" customFormat="false" ht="15" hidden="false" customHeight="false" outlineLevel="0" collapsed="false">
      <c r="A741" s="19"/>
      <c r="B741" s="20" t="str">
        <f aca="false">IF($X741="","",INDEX('Per Line'!$D$2:$D$4001,$X741))</f>
        <v/>
      </c>
      <c r="C741" s="20" t="str">
        <f aca="false">IF($X741="","",INDEX('Per Line'!$C$2:$C$4001,$X741))</f>
        <v/>
      </c>
      <c r="D741" s="20" t="str">
        <f aca="false">IF($X741="","",INDEX('Per Line'!$A$2:$A$4001,$X741))</f>
        <v/>
      </c>
      <c r="E741" s="21" t="str">
        <f aca="false">IF($X741="","",INDEX('Per Line'!$F$2:$F$4001,$X741))</f>
        <v/>
      </c>
      <c r="F741" s="20" t="str">
        <f aca="false">IF($X741="","",INDEX('Per Line'!$G$2:$G$4001,$X741))</f>
        <v/>
      </c>
      <c r="G741" s="20" t="str">
        <f aca="false">IF($X741="","",INDEX('Per Line'!$I$2:$I$4001,$X741))</f>
        <v/>
      </c>
      <c r="H741" s="20" t="str">
        <f aca="false">IF($X741="","",INDEX('Per Line'!$J$2:$J$4001,$X741))</f>
        <v/>
      </c>
      <c r="I741" s="20" t="str">
        <f aca="false">IF($X741="","",INDEX('Per Line'!$K$2:$K$4001,$X741))</f>
        <v/>
      </c>
      <c r="J741" s="20" t="str">
        <f aca="false">IF($X741="","",INDEX('Per Line'!$L$2:$L$4001,$X741))</f>
        <v/>
      </c>
      <c r="K741" s="20" t="str">
        <f aca="false">IF($X741="","",INDEX('Per Line'!$M$2:$M$4001,$X741))</f>
        <v/>
      </c>
      <c r="L741" s="22" t="str">
        <f aca="false">IF($X741="","",K741*V741/100)</f>
        <v/>
      </c>
      <c r="M741" s="20" t="str">
        <f aca="false">IF($X741="","",INDEX('Per Line'!$Z$2:$Z$4001,$X741))</f>
        <v/>
      </c>
      <c r="N741" s="23" t="str">
        <f aca="false">IF($X741="","",Settings!$C$7)</f>
        <v/>
      </c>
      <c r="O741" s="22" t="str">
        <f aca="false">IF($X741="","",SUMIFS('Per Line'!$Y$2:$Y$4001,'Per Line'!$D$2:$D$4001,$B741,'Per Line'!$AJ$2:$AJ$4001,0))</f>
        <v/>
      </c>
      <c r="P741" s="22" t="str">
        <f aca="false">IF($X741="","",O741*N741)</f>
        <v/>
      </c>
      <c r="Q741" s="23" t="str">
        <f aca="false">IF($X741="","",Settings!$C$6)</f>
        <v/>
      </c>
      <c r="R741" s="22" t="str">
        <f aca="false">IF($X741="","",SUMIFS('Per Line'!$Y$2:$Y$4001,'Per Line'!$D$2:$D$4001,$B741,'Per Line'!$AJ$2:$AJ$4001,1))</f>
        <v/>
      </c>
      <c r="S741" s="22" t="str">
        <f aca="false">IF($X741="","",R741*Q741)</f>
        <v/>
      </c>
      <c r="T741" s="22" t="str">
        <f aca="false">IF($X741="","",S741+P741)</f>
        <v/>
      </c>
      <c r="U741" s="22" t="str">
        <f aca="false">IF($X741="","",V741-T741)</f>
        <v/>
      </c>
      <c r="V741" s="22" t="str">
        <f aca="false">IF($X741="","",O741+R741)</f>
        <v/>
      </c>
      <c r="W741" s="22" t="str">
        <f aca="false">IF($X741="","",U741-L741)</f>
        <v/>
      </c>
      <c r="X741" s="24" t="str">
        <f aca="false">IF(ROWS($X$2:$X741)&lt;=MAX('Per Line'!$AI$2:$AI$4001),MATCH(ROWS($X$2:$X741),'Per Line'!$AI$2:$AI$4001,0),"")</f>
        <v/>
      </c>
    </row>
    <row r="742" customFormat="false" ht="15" hidden="false" customHeight="false" outlineLevel="0" collapsed="false">
      <c r="A742" s="19"/>
      <c r="B742" s="20" t="str">
        <f aca="false">IF($X742="","",INDEX('Per Line'!$D$2:$D$4001,$X742))</f>
        <v/>
      </c>
      <c r="C742" s="20" t="str">
        <f aca="false">IF($X742="","",INDEX('Per Line'!$C$2:$C$4001,$X742))</f>
        <v/>
      </c>
      <c r="D742" s="20" t="str">
        <f aca="false">IF($X742="","",INDEX('Per Line'!$A$2:$A$4001,$X742))</f>
        <v/>
      </c>
      <c r="E742" s="21" t="str">
        <f aca="false">IF($X742="","",INDEX('Per Line'!$F$2:$F$4001,$X742))</f>
        <v/>
      </c>
      <c r="F742" s="20" t="str">
        <f aca="false">IF($X742="","",INDEX('Per Line'!$G$2:$G$4001,$X742))</f>
        <v/>
      </c>
      <c r="G742" s="20" t="str">
        <f aca="false">IF($X742="","",INDEX('Per Line'!$I$2:$I$4001,$X742))</f>
        <v/>
      </c>
      <c r="H742" s="20" t="str">
        <f aca="false">IF($X742="","",INDEX('Per Line'!$J$2:$J$4001,$X742))</f>
        <v/>
      </c>
      <c r="I742" s="20" t="str">
        <f aca="false">IF($X742="","",INDEX('Per Line'!$K$2:$K$4001,$X742))</f>
        <v/>
      </c>
      <c r="J742" s="20" t="str">
        <f aca="false">IF($X742="","",INDEX('Per Line'!$L$2:$L$4001,$X742))</f>
        <v/>
      </c>
      <c r="K742" s="20" t="str">
        <f aca="false">IF($X742="","",INDEX('Per Line'!$M$2:$M$4001,$X742))</f>
        <v/>
      </c>
      <c r="L742" s="22" t="str">
        <f aca="false">IF($X742="","",K742*V742/100)</f>
        <v/>
      </c>
      <c r="M742" s="20" t="str">
        <f aca="false">IF($X742="","",INDEX('Per Line'!$Z$2:$Z$4001,$X742))</f>
        <v/>
      </c>
      <c r="N742" s="23" t="str">
        <f aca="false">IF($X742="","",Settings!$C$7)</f>
        <v/>
      </c>
      <c r="O742" s="22" t="str">
        <f aca="false">IF($X742="","",SUMIFS('Per Line'!$Y$2:$Y$4001,'Per Line'!$D$2:$D$4001,$B742,'Per Line'!$AJ$2:$AJ$4001,0))</f>
        <v/>
      </c>
      <c r="P742" s="22" t="str">
        <f aca="false">IF($X742="","",O742*N742)</f>
        <v/>
      </c>
      <c r="Q742" s="23" t="str">
        <f aca="false">IF($X742="","",Settings!$C$6)</f>
        <v/>
      </c>
      <c r="R742" s="22" t="str">
        <f aca="false">IF($X742="","",SUMIFS('Per Line'!$Y$2:$Y$4001,'Per Line'!$D$2:$D$4001,$B742,'Per Line'!$AJ$2:$AJ$4001,1))</f>
        <v/>
      </c>
      <c r="S742" s="22" t="str">
        <f aca="false">IF($X742="","",R742*Q742)</f>
        <v/>
      </c>
      <c r="T742" s="22" t="str">
        <f aca="false">IF($X742="","",S742+P742)</f>
        <v/>
      </c>
      <c r="U742" s="22" t="str">
        <f aca="false">IF($X742="","",V742-T742)</f>
        <v/>
      </c>
      <c r="V742" s="22" t="str">
        <f aca="false">IF($X742="","",O742+R742)</f>
        <v/>
      </c>
      <c r="W742" s="22" t="str">
        <f aca="false">IF($X742="","",U742-L742)</f>
        <v/>
      </c>
      <c r="X742" s="24" t="str">
        <f aca="false">IF(ROWS($X$2:$X742)&lt;=MAX('Per Line'!$AI$2:$AI$4001),MATCH(ROWS($X$2:$X742),'Per Line'!$AI$2:$AI$4001,0),"")</f>
        <v/>
      </c>
    </row>
    <row r="743" customFormat="false" ht="15" hidden="false" customHeight="false" outlineLevel="0" collapsed="false">
      <c r="A743" s="19"/>
      <c r="B743" s="20" t="str">
        <f aca="false">IF($X743="","",INDEX('Per Line'!$D$2:$D$4001,$X743))</f>
        <v/>
      </c>
      <c r="C743" s="20" t="str">
        <f aca="false">IF($X743="","",INDEX('Per Line'!$C$2:$C$4001,$X743))</f>
        <v/>
      </c>
      <c r="D743" s="20" t="str">
        <f aca="false">IF($X743="","",INDEX('Per Line'!$A$2:$A$4001,$X743))</f>
        <v/>
      </c>
      <c r="E743" s="21" t="str">
        <f aca="false">IF($X743="","",INDEX('Per Line'!$F$2:$F$4001,$X743))</f>
        <v/>
      </c>
      <c r="F743" s="20" t="str">
        <f aca="false">IF($X743="","",INDEX('Per Line'!$G$2:$G$4001,$X743))</f>
        <v/>
      </c>
      <c r="G743" s="20" t="str">
        <f aca="false">IF($X743="","",INDEX('Per Line'!$I$2:$I$4001,$X743))</f>
        <v/>
      </c>
      <c r="H743" s="20" t="str">
        <f aca="false">IF($X743="","",INDEX('Per Line'!$J$2:$J$4001,$X743))</f>
        <v/>
      </c>
      <c r="I743" s="20" t="str">
        <f aca="false">IF($X743="","",INDEX('Per Line'!$K$2:$K$4001,$X743))</f>
        <v/>
      </c>
      <c r="J743" s="20" t="str">
        <f aca="false">IF($X743="","",INDEX('Per Line'!$L$2:$L$4001,$X743))</f>
        <v/>
      </c>
      <c r="K743" s="20" t="str">
        <f aca="false">IF($X743="","",INDEX('Per Line'!$M$2:$M$4001,$X743))</f>
        <v/>
      </c>
      <c r="L743" s="22" t="str">
        <f aca="false">IF($X743="","",K743*V743/100)</f>
        <v/>
      </c>
      <c r="M743" s="20" t="str">
        <f aca="false">IF($X743="","",INDEX('Per Line'!$Z$2:$Z$4001,$X743))</f>
        <v/>
      </c>
      <c r="N743" s="23" t="str">
        <f aca="false">IF($X743="","",Settings!$C$7)</f>
        <v/>
      </c>
      <c r="O743" s="22" t="str">
        <f aca="false">IF($X743="","",SUMIFS('Per Line'!$Y$2:$Y$4001,'Per Line'!$D$2:$D$4001,$B743,'Per Line'!$AJ$2:$AJ$4001,0))</f>
        <v/>
      </c>
      <c r="P743" s="22" t="str">
        <f aca="false">IF($X743="","",O743*N743)</f>
        <v/>
      </c>
      <c r="Q743" s="23" t="str">
        <f aca="false">IF($X743="","",Settings!$C$6)</f>
        <v/>
      </c>
      <c r="R743" s="22" t="str">
        <f aca="false">IF($X743="","",SUMIFS('Per Line'!$Y$2:$Y$4001,'Per Line'!$D$2:$D$4001,$B743,'Per Line'!$AJ$2:$AJ$4001,1))</f>
        <v/>
      </c>
      <c r="S743" s="22" t="str">
        <f aca="false">IF($X743="","",R743*Q743)</f>
        <v/>
      </c>
      <c r="T743" s="22" t="str">
        <f aca="false">IF($X743="","",S743+P743)</f>
        <v/>
      </c>
      <c r="U743" s="22" t="str">
        <f aca="false">IF($X743="","",V743-T743)</f>
        <v/>
      </c>
      <c r="V743" s="22" t="str">
        <f aca="false">IF($X743="","",O743+R743)</f>
        <v/>
      </c>
      <c r="W743" s="22" t="str">
        <f aca="false">IF($X743="","",U743-L743)</f>
        <v/>
      </c>
      <c r="X743" s="24" t="str">
        <f aca="false">IF(ROWS($X$2:$X743)&lt;=MAX('Per Line'!$AI$2:$AI$4001),MATCH(ROWS($X$2:$X743),'Per Line'!$AI$2:$AI$4001,0),"")</f>
        <v/>
      </c>
    </row>
    <row r="744" customFormat="false" ht="15" hidden="false" customHeight="false" outlineLevel="0" collapsed="false">
      <c r="A744" s="19"/>
      <c r="B744" s="20" t="str">
        <f aca="false">IF($X744="","",INDEX('Per Line'!$D$2:$D$4001,$X744))</f>
        <v/>
      </c>
      <c r="C744" s="20" t="str">
        <f aca="false">IF($X744="","",INDEX('Per Line'!$C$2:$C$4001,$X744))</f>
        <v/>
      </c>
      <c r="D744" s="20" t="str">
        <f aca="false">IF($X744="","",INDEX('Per Line'!$A$2:$A$4001,$X744))</f>
        <v/>
      </c>
      <c r="E744" s="21" t="str">
        <f aca="false">IF($X744="","",INDEX('Per Line'!$F$2:$F$4001,$X744))</f>
        <v/>
      </c>
      <c r="F744" s="20" t="str">
        <f aca="false">IF($X744="","",INDEX('Per Line'!$G$2:$G$4001,$X744))</f>
        <v/>
      </c>
      <c r="G744" s="20" t="str">
        <f aca="false">IF($X744="","",INDEX('Per Line'!$I$2:$I$4001,$X744))</f>
        <v/>
      </c>
      <c r="H744" s="20" t="str">
        <f aca="false">IF($X744="","",INDEX('Per Line'!$J$2:$J$4001,$X744))</f>
        <v/>
      </c>
      <c r="I744" s="20" t="str">
        <f aca="false">IF($X744="","",INDEX('Per Line'!$K$2:$K$4001,$X744))</f>
        <v/>
      </c>
      <c r="J744" s="20" t="str">
        <f aca="false">IF($X744="","",INDEX('Per Line'!$L$2:$L$4001,$X744))</f>
        <v/>
      </c>
      <c r="K744" s="20" t="str">
        <f aca="false">IF($X744="","",INDEX('Per Line'!$M$2:$M$4001,$X744))</f>
        <v/>
      </c>
      <c r="L744" s="22" t="str">
        <f aca="false">IF($X744="","",K744*V744/100)</f>
        <v/>
      </c>
      <c r="M744" s="20" t="str">
        <f aca="false">IF($X744="","",INDEX('Per Line'!$Z$2:$Z$4001,$X744))</f>
        <v/>
      </c>
      <c r="N744" s="23" t="str">
        <f aca="false">IF($X744="","",Settings!$C$7)</f>
        <v/>
      </c>
      <c r="O744" s="22" t="str">
        <f aca="false">IF($X744="","",SUMIFS('Per Line'!$Y$2:$Y$4001,'Per Line'!$D$2:$D$4001,$B744,'Per Line'!$AJ$2:$AJ$4001,0))</f>
        <v/>
      </c>
      <c r="P744" s="22" t="str">
        <f aca="false">IF($X744="","",O744*N744)</f>
        <v/>
      </c>
      <c r="Q744" s="23" t="str">
        <f aca="false">IF($X744="","",Settings!$C$6)</f>
        <v/>
      </c>
      <c r="R744" s="22" t="str">
        <f aca="false">IF($X744="","",SUMIFS('Per Line'!$Y$2:$Y$4001,'Per Line'!$D$2:$D$4001,$B744,'Per Line'!$AJ$2:$AJ$4001,1))</f>
        <v/>
      </c>
      <c r="S744" s="22" t="str">
        <f aca="false">IF($X744="","",R744*Q744)</f>
        <v/>
      </c>
      <c r="T744" s="22" t="str">
        <f aca="false">IF($X744="","",S744+P744)</f>
        <v/>
      </c>
      <c r="U744" s="22" t="str">
        <f aca="false">IF($X744="","",V744-T744)</f>
        <v/>
      </c>
      <c r="V744" s="22" t="str">
        <f aca="false">IF($X744="","",O744+R744)</f>
        <v/>
      </c>
      <c r="W744" s="22" t="str">
        <f aca="false">IF($X744="","",U744-L744)</f>
        <v/>
      </c>
      <c r="X744" s="24" t="str">
        <f aca="false">IF(ROWS($X$2:$X744)&lt;=MAX('Per Line'!$AI$2:$AI$4001),MATCH(ROWS($X$2:$X744),'Per Line'!$AI$2:$AI$4001,0),"")</f>
        <v/>
      </c>
    </row>
    <row r="745" customFormat="false" ht="15" hidden="false" customHeight="false" outlineLevel="0" collapsed="false">
      <c r="A745" s="19"/>
      <c r="B745" s="20" t="str">
        <f aca="false">IF($X745="","",INDEX('Per Line'!$D$2:$D$4001,$X745))</f>
        <v/>
      </c>
      <c r="C745" s="20" t="str">
        <f aca="false">IF($X745="","",INDEX('Per Line'!$C$2:$C$4001,$X745))</f>
        <v/>
      </c>
      <c r="D745" s="20" t="str">
        <f aca="false">IF($X745="","",INDEX('Per Line'!$A$2:$A$4001,$X745))</f>
        <v/>
      </c>
      <c r="E745" s="21" t="str">
        <f aca="false">IF($X745="","",INDEX('Per Line'!$F$2:$F$4001,$X745))</f>
        <v/>
      </c>
      <c r="F745" s="20" t="str">
        <f aca="false">IF($X745="","",INDEX('Per Line'!$G$2:$G$4001,$X745))</f>
        <v/>
      </c>
      <c r="G745" s="20" t="str">
        <f aca="false">IF($X745="","",INDEX('Per Line'!$I$2:$I$4001,$X745))</f>
        <v/>
      </c>
      <c r="H745" s="20" t="str">
        <f aca="false">IF($X745="","",INDEX('Per Line'!$J$2:$J$4001,$X745))</f>
        <v/>
      </c>
      <c r="I745" s="20" t="str">
        <f aca="false">IF($X745="","",INDEX('Per Line'!$K$2:$K$4001,$X745))</f>
        <v/>
      </c>
      <c r="J745" s="20" t="str">
        <f aca="false">IF($X745="","",INDEX('Per Line'!$L$2:$L$4001,$X745))</f>
        <v/>
      </c>
      <c r="K745" s="20" t="str">
        <f aca="false">IF($X745="","",INDEX('Per Line'!$M$2:$M$4001,$X745))</f>
        <v/>
      </c>
      <c r="L745" s="22" t="str">
        <f aca="false">IF($X745="","",K745*V745/100)</f>
        <v/>
      </c>
      <c r="M745" s="20" t="str">
        <f aca="false">IF($X745="","",INDEX('Per Line'!$Z$2:$Z$4001,$X745))</f>
        <v/>
      </c>
      <c r="N745" s="23" t="str">
        <f aca="false">IF($X745="","",Settings!$C$7)</f>
        <v/>
      </c>
      <c r="O745" s="22" t="str">
        <f aca="false">IF($X745="","",SUMIFS('Per Line'!$Y$2:$Y$4001,'Per Line'!$D$2:$D$4001,$B745,'Per Line'!$AJ$2:$AJ$4001,0))</f>
        <v/>
      </c>
      <c r="P745" s="22" t="str">
        <f aca="false">IF($X745="","",O745*N745)</f>
        <v/>
      </c>
      <c r="Q745" s="23" t="str">
        <f aca="false">IF($X745="","",Settings!$C$6)</f>
        <v/>
      </c>
      <c r="R745" s="22" t="str">
        <f aca="false">IF($X745="","",SUMIFS('Per Line'!$Y$2:$Y$4001,'Per Line'!$D$2:$D$4001,$B745,'Per Line'!$AJ$2:$AJ$4001,1))</f>
        <v/>
      </c>
      <c r="S745" s="22" t="str">
        <f aca="false">IF($X745="","",R745*Q745)</f>
        <v/>
      </c>
      <c r="T745" s="22" t="str">
        <f aca="false">IF($X745="","",S745+P745)</f>
        <v/>
      </c>
      <c r="U745" s="22" t="str">
        <f aca="false">IF($X745="","",V745-T745)</f>
        <v/>
      </c>
      <c r="V745" s="22" t="str">
        <f aca="false">IF($X745="","",O745+R745)</f>
        <v/>
      </c>
      <c r="W745" s="22" t="str">
        <f aca="false">IF($X745="","",U745-L745)</f>
        <v/>
      </c>
      <c r="X745" s="24" t="str">
        <f aca="false">IF(ROWS($X$2:$X745)&lt;=MAX('Per Line'!$AI$2:$AI$4001),MATCH(ROWS($X$2:$X745),'Per Line'!$AI$2:$AI$4001,0),"")</f>
        <v/>
      </c>
    </row>
    <row r="746" customFormat="false" ht="15" hidden="false" customHeight="false" outlineLevel="0" collapsed="false">
      <c r="A746" s="19"/>
      <c r="B746" s="20" t="str">
        <f aca="false">IF($X746="","",INDEX('Per Line'!$D$2:$D$4001,$X746))</f>
        <v/>
      </c>
      <c r="C746" s="20" t="str">
        <f aca="false">IF($X746="","",INDEX('Per Line'!$C$2:$C$4001,$X746))</f>
        <v/>
      </c>
      <c r="D746" s="20" t="str">
        <f aca="false">IF($X746="","",INDEX('Per Line'!$A$2:$A$4001,$X746))</f>
        <v/>
      </c>
      <c r="E746" s="21" t="str">
        <f aca="false">IF($X746="","",INDEX('Per Line'!$F$2:$F$4001,$X746))</f>
        <v/>
      </c>
      <c r="F746" s="20" t="str">
        <f aca="false">IF($X746="","",INDEX('Per Line'!$G$2:$G$4001,$X746))</f>
        <v/>
      </c>
      <c r="G746" s="20" t="str">
        <f aca="false">IF($X746="","",INDEX('Per Line'!$I$2:$I$4001,$X746))</f>
        <v/>
      </c>
      <c r="H746" s="20" t="str">
        <f aca="false">IF($X746="","",INDEX('Per Line'!$J$2:$J$4001,$X746))</f>
        <v/>
      </c>
      <c r="I746" s="20" t="str">
        <f aca="false">IF($X746="","",INDEX('Per Line'!$K$2:$K$4001,$X746))</f>
        <v/>
      </c>
      <c r="J746" s="20" t="str">
        <f aca="false">IF($X746="","",INDEX('Per Line'!$L$2:$L$4001,$X746))</f>
        <v/>
      </c>
      <c r="K746" s="20" t="str">
        <f aca="false">IF($X746="","",INDEX('Per Line'!$M$2:$M$4001,$X746))</f>
        <v/>
      </c>
      <c r="L746" s="22" t="str">
        <f aca="false">IF($X746="","",K746*V746/100)</f>
        <v/>
      </c>
      <c r="M746" s="20" t="str">
        <f aca="false">IF($X746="","",INDEX('Per Line'!$Z$2:$Z$4001,$X746))</f>
        <v/>
      </c>
      <c r="N746" s="23" t="str">
        <f aca="false">IF($X746="","",Settings!$C$7)</f>
        <v/>
      </c>
      <c r="O746" s="22" t="str">
        <f aca="false">IF($X746="","",SUMIFS('Per Line'!$Y$2:$Y$4001,'Per Line'!$D$2:$D$4001,$B746,'Per Line'!$AJ$2:$AJ$4001,0))</f>
        <v/>
      </c>
      <c r="P746" s="22" t="str">
        <f aca="false">IF($X746="","",O746*N746)</f>
        <v/>
      </c>
      <c r="Q746" s="23" t="str">
        <f aca="false">IF($X746="","",Settings!$C$6)</f>
        <v/>
      </c>
      <c r="R746" s="22" t="str">
        <f aca="false">IF($X746="","",SUMIFS('Per Line'!$Y$2:$Y$4001,'Per Line'!$D$2:$D$4001,$B746,'Per Line'!$AJ$2:$AJ$4001,1))</f>
        <v/>
      </c>
      <c r="S746" s="22" t="str">
        <f aca="false">IF($X746="","",R746*Q746)</f>
        <v/>
      </c>
      <c r="T746" s="22" t="str">
        <f aca="false">IF($X746="","",S746+P746)</f>
        <v/>
      </c>
      <c r="U746" s="22" t="str">
        <f aca="false">IF($X746="","",V746-T746)</f>
        <v/>
      </c>
      <c r="V746" s="22" t="str">
        <f aca="false">IF($X746="","",O746+R746)</f>
        <v/>
      </c>
      <c r="W746" s="22" t="str">
        <f aca="false">IF($X746="","",U746-L746)</f>
        <v/>
      </c>
      <c r="X746" s="24" t="str">
        <f aca="false">IF(ROWS($X$2:$X746)&lt;=MAX('Per Line'!$AI$2:$AI$4001),MATCH(ROWS($X$2:$X746),'Per Line'!$AI$2:$AI$4001,0),"")</f>
        <v/>
      </c>
    </row>
    <row r="747" customFormat="false" ht="15" hidden="false" customHeight="false" outlineLevel="0" collapsed="false">
      <c r="A747" s="19"/>
      <c r="B747" s="20" t="str">
        <f aca="false">IF($X747="","",INDEX('Per Line'!$D$2:$D$4001,$X747))</f>
        <v/>
      </c>
      <c r="C747" s="20" t="str">
        <f aca="false">IF($X747="","",INDEX('Per Line'!$C$2:$C$4001,$X747))</f>
        <v/>
      </c>
      <c r="D747" s="20" t="str">
        <f aca="false">IF($X747="","",INDEX('Per Line'!$A$2:$A$4001,$X747))</f>
        <v/>
      </c>
      <c r="E747" s="21" t="str">
        <f aca="false">IF($X747="","",INDEX('Per Line'!$F$2:$F$4001,$X747))</f>
        <v/>
      </c>
      <c r="F747" s="20" t="str">
        <f aca="false">IF($X747="","",INDEX('Per Line'!$G$2:$G$4001,$X747))</f>
        <v/>
      </c>
      <c r="G747" s="20" t="str">
        <f aca="false">IF($X747="","",INDEX('Per Line'!$I$2:$I$4001,$X747))</f>
        <v/>
      </c>
      <c r="H747" s="20" t="str">
        <f aca="false">IF($X747="","",INDEX('Per Line'!$J$2:$J$4001,$X747))</f>
        <v/>
      </c>
      <c r="I747" s="20" t="str">
        <f aca="false">IF($X747="","",INDEX('Per Line'!$K$2:$K$4001,$X747))</f>
        <v/>
      </c>
      <c r="J747" s="20" t="str">
        <f aca="false">IF($X747="","",INDEX('Per Line'!$L$2:$L$4001,$X747))</f>
        <v/>
      </c>
      <c r="K747" s="20" t="str">
        <f aca="false">IF($X747="","",INDEX('Per Line'!$M$2:$M$4001,$X747))</f>
        <v/>
      </c>
      <c r="L747" s="22" t="str">
        <f aca="false">IF($X747="","",K747*V747/100)</f>
        <v/>
      </c>
      <c r="M747" s="20" t="str">
        <f aca="false">IF($X747="","",INDEX('Per Line'!$Z$2:$Z$4001,$X747))</f>
        <v/>
      </c>
      <c r="N747" s="23" t="str">
        <f aca="false">IF($X747="","",Settings!$C$7)</f>
        <v/>
      </c>
      <c r="O747" s="22" t="str">
        <f aca="false">IF($X747="","",SUMIFS('Per Line'!$Y$2:$Y$4001,'Per Line'!$D$2:$D$4001,$B747,'Per Line'!$AJ$2:$AJ$4001,0))</f>
        <v/>
      </c>
      <c r="P747" s="22" t="str">
        <f aca="false">IF($X747="","",O747*N747)</f>
        <v/>
      </c>
      <c r="Q747" s="23" t="str">
        <f aca="false">IF($X747="","",Settings!$C$6)</f>
        <v/>
      </c>
      <c r="R747" s="22" t="str">
        <f aca="false">IF($X747="","",SUMIFS('Per Line'!$Y$2:$Y$4001,'Per Line'!$D$2:$D$4001,$B747,'Per Line'!$AJ$2:$AJ$4001,1))</f>
        <v/>
      </c>
      <c r="S747" s="22" t="str">
        <f aca="false">IF($X747="","",R747*Q747)</f>
        <v/>
      </c>
      <c r="T747" s="22" t="str">
        <f aca="false">IF($X747="","",S747+P747)</f>
        <v/>
      </c>
      <c r="U747" s="22" t="str">
        <f aca="false">IF($X747="","",V747-T747)</f>
        <v/>
      </c>
      <c r="V747" s="22" t="str">
        <f aca="false">IF($X747="","",O747+R747)</f>
        <v/>
      </c>
      <c r="W747" s="22" t="str">
        <f aca="false">IF($X747="","",U747-L747)</f>
        <v/>
      </c>
      <c r="X747" s="24" t="str">
        <f aca="false">IF(ROWS($X$2:$X747)&lt;=MAX('Per Line'!$AI$2:$AI$4001),MATCH(ROWS($X$2:$X747),'Per Line'!$AI$2:$AI$4001,0),"")</f>
        <v/>
      </c>
    </row>
    <row r="748" customFormat="false" ht="15" hidden="false" customHeight="false" outlineLevel="0" collapsed="false">
      <c r="A748" s="19"/>
      <c r="B748" s="20" t="str">
        <f aca="false">IF($X748="","",INDEX('Per Line'!$D$2:$D$4001,$X748))</f>
        <v/>
      </c>
      <c r="C748" s="20" t="str">
        <f aca="false">IF($X748="","",INDEX('Per Line'!$C$2:$C$4001,$X748))</f>
        <v/>
      </c>
      <c r="D748" s="20" t="str">
        <f aca="false">IF($X748="","",INDEX('Per Line'!$A$2:$A$4001,$X748))</f>
        <v/>
      </c>
      <c r="E748" s="21" t="str">
        <f aca="false">IF($X748="","",INDEX('Per Line'!$F$2:$F$4001,$X748))</f>
        <v/>
      </c>
      <c r="F748" s="20" t="str">
        <f aca="false">IF($X748="","",INDEX('Per Line'!$G$2:$G$4001,$X748))</f>
        <v/>
      </c>
      <c r="G748" s="20" t="str">
        <f aca="false">IF($X748="","",INDEX('Per Line'!$I$2:$I$4001,$X748))</f>
        <v/>
      </c>
      <c r="H748" s="20" t="str">
        <f aca="false">IF($X748="","",INDEX('Per Line'!$J$2:$J$4001,$X748))</f>
        <v/>
      </c>
      <c r="I748" s="20" t="str">
        <f aca="false">IF($X748="","",INDEX('Per Line'!$K$2:$K$4001,$X748))</f>
        <v/>
      </c>
      <c r="J748" s="20" t="str">
        <f aca="false">IF($X748="","",INDEX('Per Line'!$L$2:$L$4001,$X748))</f>
        <v/>
      </c>
      <c r="K748" s="20" t="str">
        <f aca="false">IF($X748="","",INDEX('Per Line'!$M$2:$M$4001,$X748))</f>
        <v/>
      </c>
      <c r="L748" s="22" t="str">
        <f aca="false">IF($X748="","",K748*V748/100)</f>
        <v/>
      </c>
      <c r="M748" s="20" t="str">
        <f aca="false">IF($X748="","",INDEX('Per Line'!$Z$2:$Z$4001,$X748))</f>
        <v/>
      </c>
      <c r="N748" s="23" t="str">
        <f aca="false">IF($X748="","",Settings!$C$7)</f>
        <v/>
      </c>
      <c r="O748" s="22" t="str">
        <f aca="false">IF($X748="","",SUMIFS('Per Line'!$Y$2:$Y$4001,'Per Line'!$D$2:$D$4001,$B748,'Per Line'!$AJ$2:$AJ$4001,0))</f>
        <v/>
      </c>
      <c r="P748" s="22" t="str">
        <f aca="false">IF($X748="","",O748*N748)</f>
        <v/>
      </c>
      <c r="Q748" s="23" t="str">
        <f aca="false">IF($X748="","",Settings!$C$6)</f>
        <v/>
      </c>
      <c r="R748" s="22" t="str">
        <f aca="false">IF($X748="","",SUMIFS('Per Line'!$Y$2:$Y$4001,'Per Line'!$D$2:$D$4001,$B748,'Per Line'!$AJ$2:$AJ$4001,1))</f>
        <v/>
      </c>
      <c r="S748" s="22" t="str">
        <f aca="false">IF($X748="","",R748*Q748)</f>
        <v/>
      </c>
      <c r="T748" s="22" t="str">
        <f aca="false">IF($X748="","",S748+P748)</f>
        <v/>
      </c>
      <c r="U748" s="22" t="str">
        <f aca="false">IF($X748="","",V748-T748)</f>
        <v/>
      </c>
      <c r="V748" s="22" t="str">
        <f aca="false">IF($X748="","",O748+R748)</f>
        <v/>
      </c>
      <c r="W748" s="22" t="str">
        <f aca="false">IF($X748="","",U748-L748)</f>
        <v/>
      </c>
      <c r="X748" s="24" t="str">
        <f aca="false">IF(ROWS($X$2:$X748)&lt;=MAX('Per Line'!$AI$2:$AI$4001),MATCH(ROWS($X$2:$X748),'Per Line'!$AI$2:$AI$4001,0),"")</f>
        <v/>
      </c>
    </row>
    <row r="749" customFormat="false" ht="15" hidden="false" customHeight="false" outlineLevel="0" collapsed="false">
      <c r="A749" s="19"/>
      <c r="B749" s="20" t="str">
        <f aca="false">IF($X749="","",INDEX('Per Line'!$D$2:$D$4001,$X749))</f>
        <v/>
      </c>
      <c r="C749" s="20" t="str">
        <f aca="false">IF($X749="","",INDEX('Per Line'!$C$2:$C$4001,$X749))</f>
        <v/>
      </c>
      <c r="D749" s="20" t="str">
        <f aca="false">IF($X749="","",INDEX('Per Line'!$A$2:$A$4001,$X749))</f>
        <v/>
      </c>
      <c r="E749" s="21" t="str">
        <f aca="false">IF($X749="","",INDEX('Per Line'!$F$2:$F$4001,$X749))</f>
        <v/>
      </c>
      <c r="F749" s="20" t="str">
        <f aca="false">IF($X749="","",INDEX('Per Line'!$G$2:$G$4001,$X749))</f>
        <v/>
      </c>
      <c r="G749" s="20" t="str">
        <f aca="false">IF($X749="","",INDEX('Per Line'!$I$2:$I$4001,$X749))</f>
        <v/>
      </c>
      <c r="H749" s="20" t="str">
        <f aca="false">IF($X749="","",INDEX('Per Line'!$J$2:$J$4001,$X749))</f>
        <v/>
      </c>
      <c r="I749" s="20" t="str">
        <f aca="false">IF($X749="","",INDEX('Per Line'!$K$2:$K$4001,$X749))</f>
        <v/>
      </c>
      <c r="J749" s="20" t="str">
        <f aca="false">IF($X749="","",INDEX('Per Line'!$L$2:$L$4001,$X749))</f>
        <v/>
      </c>
      <c r="K749" s="20" t="str">
        <f aca="false">IF($X749="","",INDEX('Per Line'!$M$2:$M$4001,$X749))</f>
        <v/>
      </c>
      <c r="L749" s="22" t="str">
        <f aca="false">IF($X749="","",K749*V749/100)</f>
        <v/>
      </c>
      <c r="M749" s="20" t="str">
        <f aca="false">IF($X749="","",INDEX('Per Line'!$Z$2:$Z$4001,$X749))</f>
        <v/>
      </c>
      <c r="N749" s="23" t="str">
        <f aca="false">IF($X749="","",Settings!$C$7)</f>
        <v/>
      </c>
      <c r="O749" s="22" t="str">
        <f aca="false">IF($X749="","",SUMIFS('Per Line'!$Y$2:$Y$4001,'Per Line'!$D$2:$D$4001,$B749,'Per Line'!$AJ$2:$AJ$4001,0))</f>
        <v/>
      </c>
      <c r="P749" s="22" t="str">
        <f aca="false">IF($X749="","",O749*N749)</f>
        <v/>
      </c>
      <c r="Q749" s="23" t="str">
        <f aca="false">IF($X749="","",Settings!$C$6)</f>
        <v/>
      </c>
      <c r="R749" s="22" t="str">
        <f aca="false">IF($X749="","",SUMIFS('Per Line'!$Y$2:$Y$4001,'Per Line'!$D$2:$D$4001,$B749,'Per Line'!$AJ$2:$AJ$4001,1))</f>
        <v/>
      </c>
      <c r="S749" s="22" t="str">
        <f aca="false">IF($X749="","",R749*Q749)</f>
        <v/>
      </c>
      <c r="T749" s="22" t="str">
        <f aca="false">IF($X749="","",S749+P749)</f>
        <v/>
      </c>
      <c r="U749" s="22" t="str">
        <f aca="false">IF($X749="","",V749-T749)</f>
        <v/>
      </c>
      <c r="V749" s="22" t="str">
        <f aca="false">IF($X749="","",O749+R749)</f>
        <v/>
      </c>
      <c r="W749" s="22" t="str">
        <f aca="false">IF($X749="","",U749-L749)</f>
        <v/>
      </c>
      <c r="X749" s="24" t="str">
        <f aca="false">IF(ROWS($X$2:$X749)&lt;=MAX('Per Line'!$AI$2:$AI$4001),MATCH(ROWS($X$2:$X749),'Per Line'!$AI$2:$AI$4001,0),"")</f>
        <v/>
      </c>
    </row>
    <row r="750" customFormat="false" ht="15" hidden="false" customHeight="false" outlineLevel="0" collapsed="false">
      <c r="A750" s="19"/>
      <c r="B750" s="20" t="str">
        <f aca="false">IF($X750="","",INDEX('Per Line'!$D$2:$D$4001,$X750))</f>
        <v/>
      </c>
      <c r="C750" s="20" t="str">
        <f aca="false">IF($X750="","",INDEX('Per Line'!$C$2:$C$4001,$X750))</f>
        <v/>
      </c>
      <c r="D750" s="20" t="str">
        <f aca="false">IF($X750="","",INDEX('Per Line'!$A$2:$A$4001,$X750))</f>
        <v/>
      </c>
      <c r="E750" s="21" t="str">
        <f aca="false">IF($X750="","",INDEX('Per Line'!$F$2:$F$4001,$X750))</f>
        <v/>
      </c>
      <c r="F750" s="20" t="str">
        <f aca="false">IF($X750="","",INDEX('Per Line'!$G$2:$G$4001,$X750))</f>
        <v/>
      </c>
      <c r="G750" s="20" t="str">
        <f aca="false">IF($X750="","",INDEX('Per Line'!$I$2:$I$4001,$X750))</f>
        <v/>
      </c>
      <c r="H750" s="20" t="str">
        <f aca="false">IF($X750="","",INDEX('Per Line'!$J$2:$J$4001,$X750))</f>
        <v/>
      </c>
      <c r="I750" s="20" t="str">
        <f aca="false">IF($X750="","",INDEX('Per Line'!$K$2:$K$4001,$X750))</f>
        <v/>
      </c>
      <c r="J750" s="20" t="str">
        <f aca="false">IF($X750="","",INDEX('Per Line'!$L$2:$L$4001,$X750))</f>
        <v/>
      </c>
      <c r="K750" s="20" t="str">
        <f aca="false">IF($X750="","",INDEX('Per Line'!$M$2:$M$4001,$X750))</f>
        <v/>
      </c>
      <c r="L750" s="22" t="str">
        <f aca="false">IF($X750="","",K750*V750/100)</f>
        <v/>
      </c>
      <c r="M750" s="20" t="str">
        <f aca="false">IF($X750="","",INDEX('Per Line'!$Z$2:$Z$4001,$X750))</f>
        <v/>
      </c>
      <c r="N750" s="23" t="str">
        <f aca="false">IF($X750="","",Settings!$C$7)</f>
        <v/>
      </c>
      <c r="O750" s="22" t="str">
        <f aca="false">IF($X750="","",SUMIFS('Per Line'!$Y$2:$Y$4001,'Per Line'!$D$2:$D$4001,$B750,'Per Line'!$AJ$2:$AJ$4001,0))</f>
        <v/>
      </c>
      <c r="P750" s="22" t="str">
        <f aca="false">IF($X750="","",O750*N750)</f>
        <v/>
      </c>
      <c r="Q750" s="23" t="str">
        <f aca="false">IF($X750="","",Settings!$C$6)</f>
        <v/>
      </c>
      <c r="R750" s="22" t="str">
        <f aca="false">IF($X750="","",SUMIFS('Per Line'!$Y$2:$Y$4001,'Per Line'!$D$2:$D$4001,$B750,'Per Line'!$AJ$2:$AJ$4001,1))</f>
        <v/>
      </c>
      <c r="S750" s="22" t="str">
        <f aca="false">IF($X750="","",R750*Q750)</f>
        <v/>
      </c>
      <c r="T750" s="22" t="str">
        <f aca="false">IF($X750="","",S750+P750)</f>
        <v/>
      </c>
      <c r="U750" s="22" t="str">
        <f aca="false">IF($X750="","",V750-T750)</f>
        <v/>
      </c>
      <c r="V750" s="22" t="str">
        <f aca="false">IF($X750="","",O750+R750)</f>
        <v/>
      </c>
      <c r="W750" s="22" t="str">
        <f aca="false">IF($X750="","",U750-L750)</f>
        <v/>
      </c>
      <c r="X750" s="24" t="str">
        <f aca="false">IF(ROWS($X$2:$X750)&lt;=MAX('Per Line'!$AI$2:$AI$4001),MATCH(ROWS($X$2:$X750),'Per Line'!$AI$2:$AI$4001,0),"")</f>
        <v/>
      </c>
    </row>
    <row r="751" customFormat="false" ht="15" hidden="false" customHeight="false" outlineLevel="0" collapsed="false">
      <c r="A751" s="19"/>
      <c r="B751" s="20" t="str">
        <f aca="false">IF($X751="","",INDEX('Per Line'!$D$2:$D$4001,$X751))</f>
        <v/>
      </c>
      <c r="C751" s="20" t="str">
        <f aca="false">IF($X751="","",INDEX('Per Line'!$C$2:$C$4001,$X751))</f>
        <v/>
      </c>
      <c r="D751" s="20" t="str">
        <f aca="false">IF($X751="","",INDEX('Per Line'!$A$2:$A$4001,$X751))</f>
        <v/>
      </c>
      <c r="E751" s="21" t="str">
        <f aca="false">IF($X751="","",INDEX('Per Line'!$F$2:$F$4001,$X751))</f>
        <v/>
      </c>
      <c r="F751" s="20" t="str">
        <f aca="false">IF($X751="","",INDEX('Per Line'!$G$2:$G$4001,$X751))</f>
        <v/>
      </c>
      <c r="G751" s="20" t="str">
        <f aca="false">IF($X751="","",INDEX('Per Line'!$I$2:$I$4001,$X751))</f>
        <v/>
      </c>
      <c r="H751" s="20" t="str">
        <f aca="false">IF($X751="","",INDEX('Per Line'!$J$2:$J$4001,$X751))</f>
        <v/>
      </c>
      <c r="I751" s="20" t="str">
        <f aca="false">IF($X751="","",INDEX('Per Line'!$K$2:$K$4001,$X751))</f>
        <v/>
      </c>
      <c r="J751" s="20" t="str">
        <f aca="false">IF($X751="","",INDEX('Per Line'!$L$2:$L$4001,$X751))</f>
        <v/>
      </c>
      <c r="K751" s="20" t="str">
        <f aca="false">IF($X751="","",INDEX('Per Line'!$M$2:$M$4001,$X751))</f>
        <v/>
      </c>
      <c r="L751" s="22" t="str">
        <f aca="false">IF($X751="","",K751*V751/100)</f>
        <v/>
      </c>
      <c r="M751" s="20" t="str">
        <f aca="false">IF($X751="","",INDEX('Per Line'!$Z$2:$Z$4001,$X751))</f>
        <v/>
      </c>
      <c r="N751" s="23" t="str">
        <f aca="false">IF($X751="","",Settings!$C$7)</f>
        <v/>
      </c>
      <c r="O751" s="22" t="str">
        <f aca="false">IF($X751="","",SUMIFS('Per Line'!$Y$2:$Y$4001,'Per Line'!$D$2:$D$4001,$B751,'Per Line'!$AJ$2:$AJ$4001,0))</f>
        <v/>
      </c>
      <c r="P751" s="22" t="str">
        <f aca="false">IF($X751="","",O751*N751)</f>
        <v/>
      </c>
      <c r="Q751" s="23" t="str">
        <f aca="false">IF($X751="","",Settings!$C$6)</f>
        <v/>
      </c>
      <c r="R751" s="22" t="str">
        <f aca="false">IF($X751="","",SUMIFS('Per Line'!$Y$2:$Y$4001,'Per Line'!$D$2:$D$4001,$B751,'Per Line'!$AJ$2:$AJ$4001,1))</f>
        <v/>
      </c>
      <c r="S751" s="22" t="str">
        <f aca="false">IF($X751="","",R751*Q751)</f>
        <v/>
      </c>
      <c r="T751" s="22" t="str">
        <f aca="false">IF($X751="","",S751+P751)</f>
        <v/>
      </c>
      <c r="U751" s="22" t="str">
        <f aca="false">IF($X751="","",V751-T751)</f>
        <v/>
      </c>
      <c r="V751" s="22" t="str">
        <f aca="false">IF($X751="","",O751+R751)</f>
        <v/>
      </c>
      <c r="W751" s="22" t="str">
        <f aca="false">IF($X751="","",U751-L751)</f>
        <v/>
      </c>
      <c r="X751" s="24" t="str">
        <f aca="false">IF(ROWS($X$2:$X751)&lt;=MAX('Per Line'!$AI$2:$AI$4001),MATCH(ROWS($X$2:$X751),'Per Line'!$AI$2:$AI$4001,0),"")</f>
        <v/>
      </c>
    </row>
    <row r="752" customFormat="false" ht="15" hidden="false" customHeight="false" outlineLevel="0" collapsed="false">
      <c r="A752" s="19"/>
      <c r="B752" s="20" t="str">
        <f aca="false">IF($X752="","",INDEX('Per Line'!$D$2:$D$4001,$X752))</f>
        <v/>
      </c>
      <c r="C752" s="20" t="str">
        <f aca="false">IF($X752="","",INDEX('Per Line'!$C$2:$C$4001,$X752))</f>
        <v/>
      </c>
      <c r="D752" s="20" t="str">
        <f aca="false">IF($X752="","",INDEX('Per Line'!$A$2:$A$4001,$X752))</f>
        <v/>
      </c>
      <c r="E752" s="21" t="str">
        <f aca="false">IF($X752="","",INDEX('Per Line'!$F$2:$F$4001,$X752))</f>
        <v/>
      </c>
      <c r="F752" s="20" t="str">
        <f aca="false">IF($X752="","",INDEX('Per Line'!$G$2:$G$4001,$X752))</f>
        <v/>
      </c>
      <c r="G752" s="20" t="str">
        <f aca="false">IF($X752="","",INDEX('Per Line'!$I$2:$I$4001,$X752))</f>
        <v/>
      </c>
      <c r="H752" s="20" t="str">
        <f aca="false">IF($X752="","",INDEX('Per Line'!$J$2:$J$4001,$X752))</f>
        <v/>
      </c>
      <c r="I752" s="20" t="str">
        <f aca="false">IF($X752="","",INDEX('Per Line'!$K$2:$K$4001,$X752))</f>
        <v/>
      </c>
      <c r="J752" s="20" t="str">
        <f aca="false">IF($X752="","",INDEX('Per Line'!$L$2:$L$4001,$X752))</f>
        <v/>
      </c>
      <c r="K752" s="20" t="str">
        <f aca="false">IF($X752="","",INDEX('Per Line'!$M$2:$M$4001,$X752))</f>
        <v/>
      </c>
      <c r="L752" s="22" t="str">
        <f aca="false">IF($X752="","",K752*V752/100)</f>
        <v/>
      </c>
      <c r="M752" s="20" t="str">
        <f aca="false">IF($X752="","",INDEX('Per Line'!$Z$2:$Z$4001,$X752))</f>
        <v/>
      </c>
      <c r="N752" s="23" t="str">
        <f aca="false">IF($X752="","",Settings!$C$7)</f>
        <v/>
      </c>
      <c r="O752" s="22" t="str">
        <f aca="false">IF($X752="","",SUMIFS('Per Line'!$Y$2:$Y$4001,'Per Line'!$D$2:$D$4001,$B752,'Per Line'!$AJ$2:$AJ$4001,0))</f>
        <v/>
      </c>
      <c r="P752" s="22" t="str">
        <f aca="false">IF($X752="","",O752*N752)</f>
        <v/>
      </c>
      <c r="Q752" s="23" t="str">
        <f aca="false">IF($X752="","",Settings!$C$6)</f>
        <v/>
      </c>
      <c r="R752" s="22" t="str">
        <f aca="false">IF($X752="","",SUMIFS('Per Line'!$Y$2:$Y$4001,'Per Line'!$D$2:$D$4001,$B752,'Per Line'!$AJ$2:$AJ$4001,1))</f>
        <v/>
      </c>
      <c r="S752" s="22" t="str">
        <f aca="false">IF($X752="","",R752*Q752)</f>
        <v/>
      </c>
      <c r="T752" s="22" t="str">
        <f aca="false">IF($X752="","",S752+P752)</f>
        <v/>
      </c>
      <c r="U752" s="22" t="str">
        <f aca="false">IF($X752="","",V752-T752)</f>
        <v/>
      </c>
      <c r="V752" s="22" t="str">
        <f aca="false">IF($X752="","",O752+R752)</f>
        <v/>
      </c>
      <c r="W752" s="22" t="str">
        <f aca="false">IF($X752="","",U752-L752)</f>
        <v/>
      </c>
      <c r="X752" s="24" t="str">
        <f aca="false">IF(ROWS($X$2:$X752)&lt;=MAX('Per Line'!$AI$2:$AI$4001),MATCH(ROWS($X$2:$X752),'Per Line'!$AI$2:$AI$4001,0),"")</f>
        <v/>
      </c>
    </row>
    <row r="753" customFormat="false" ht="15" hidden="false" customHeight="false" outlineLevel="0" collapsed="false">
      <c r="A753" s="19"/>
      <c r="B753" s="20" t="str">
        <f aca="false">IF($X753="","",INDEX('Per Line'!$D$2:$D$4001,$X753))</f>
        <v/>
      </c>
      <c r="C753" s="20" t="str">
        <f aca="false">IF($X753="","",INDEX('Per Line'!$C$2:$C$4001,$X753))</f>
        <v/>
      </c>
      <c r="D753" s="20" t="str">
        <f aca="false">IF($X753="","",INDEX('Per Line'!$A$2:$A$4001,$X753))</f>
        <v/>
      </c>
      <c r="E753" s="21" t="str">
        <f aca="false">IF($X753="","",INDEX('Per Line'!$F$2:$F$4001,$X753))</f>
        <v/>
      </c>
      <c r="F753" s="20" t="str">
        <f aca="false">IF($X753="","",INDEX('Per Line'!$G$2:$G$4001,$X753))</f>
        <v/>
      </c>
      <c r="G753" s="20" t="str">
        <f aca="false">IF($X753="","",INDEX('Per Line'!$I$2:$I$4001,$X753))</f>
        <v/>
      </c>
      <c r="H753" s="20" t="str">
        <f aca="false">IF($X753="","",INDEX('Per Line'!$J$2:$J$4001,$X753))</f>
        <v/>
      </c>
      <c r="I753" s="20" t="str">
        <f aca="false">IF($X753="","",INDEX('Per Line'!$K$2:$K$4001,$X753))</f>
        <v/>
      </c>
      <c r="J753" s="20" t="str">
        <f aca="false">IF($X753="","",INDEX('Per Line'!$L$2:$L$4001,$X753))</f>
        <v/>
      </c>
      <c r="K753" s="20" t="str">
        <f aca="false">IF($X753="","",INDEX('Per Line'!$M$2:$M$4001,$X753))</f>
        <v/>
      </c>
      <c r="L753" s="22" t="str">
        <f aca="false">IF($X753="","",K753*V753/100)</f>
        <v/>
      </c>
      <c r="M753" s="20" t="str">
        <f aca="false">IF($X753="","",INDEX('Per Line'!$Z$2:$Z$4001,$X753))</f>
        <v/>
      </c>
      <c r="N753" s="23" t="str">
        <f aca="false">IF($X753="","",Settings!$C$7)</f>
        <v/>
      </c>
      <c r="O753" s="22" t="str">
        <f aca="false">IF($X753="","",SUMIFS('Per Line'!$Y$2:$Y$4001,'Per Line'!$D$2:$D$4001,$B753,'Per Line'!$AJ$2:$AJ$4001,0))</f>
        <v/>
      </c>
      <c r="P753" s="22" t="str">
        <f aca="false">IF($X753="","",O753*N753)</f>
        <v/>
      </c>
      <c r="Q753" s="23" t="str">
        <f aca="false">IF($X753="","",Settings!$C$6)</f>
        <v/>
      </c>
      <c r="R753" s="22" t="str">
        <f aca="false">IF($X753="","",SUMIFS('Per Line'!$Y$2:$Y$4001,'Per Line'!$D$2:$D$4001,$B753,'Per Line'!$AJ$2:$AJ$4001,1))</f>
        <v/>
      </c>
      <c r="S753" s="22" t="str">
        <f aca="false">IF($X753="","",R753*Q753)</f>
        <v/>
      </c>
      <c r="T753" s="22" t="str">
        <f aca="false">IF($X753="","",S753+P753)</f>
        <v/>
      </c>
      <c r="U753" s="22" t="str">
        <f aca="false">IF($X753="","",V753-T753)</f>
        <v/>
      </c>
      <c r="V753" s="22" t="str">
        <f aca="false">IF($X753="","",O753+R753)</f>
        <v/>
      </c>
      <c r="W753" s="22" t="str">
        <f aca="false">IF($X753="","",U753-L753)</f>
        <v/>
      </c>
      <c r="X753" s="24" t="str">
        <f aca="false">IF(ROWS($X$2:$X753)&lt;=MAX('Per Line'!$AI$2:$AI$4001),MATCH(ROWS($X$2:$X753),'Per Line'!$AI$2:$AI$4001,0),"")</f>
        <v/>
      </c>
    </row>
    <row r="754" customFormat="false" ht="15" hidden="false" customHeight="false" outlineLevel="0" collapsed="false">
      <c r="A754" s="19"/>
      <c r="B754" s="20" t="str">
        <f aca="false">IF($X754="","",INDEX('Per Line'!$D$2:$D$4001,$X754))</f>
        <v/>
      </c>
      <c r="C754" s="20" t="str">
        <f aca="false">IF($X754="","",INDEX('Per Line'!$C$2:$C$4001,$X754))</f>
        <v/>
      </c>
      <c r="D754" s="20" t="str">
        <f aca="false">IF($X754="","",INDEX('Per Line'!$A$2:$A$4001,$X754))</f>
        <v/>
      </c>
      <c r="E754" s="21" t="str">
        <f aca="false">IF($X754="","",INDEX('Per Line'!$F$2:$F$4001,$X754))</f>
        <v/>
      </c>
      <c r="F754" s="20" t="str">
        <f aca="false">IF($X754="","",INDEX('Per Line'!$G$2:$G$4001,$X754))</f>
        <v/>
      </c>
      <c r="G754" s="20" t="str">
        <f aca="false">IF($X754="","",INDEX('Per Line'!$I$2:$I$4001,$X754))</f>
        <v/>
      </c>
      <c r="H754" s="20" t="str">
        <f aca="false">IF($X754="","",INDEX('Per Line'!$J$2:$J$4001,$X754))</f>
        <v/>
      </c>
      <c r="I754" s="20" t="str">
        <f aca="false">IF($X754="","",INDEX('Per Line'!$K$2:$K$4001,$X754))</f>
        <v/>
      </c>
      <c r="J754" s="20" t="str">
        <f aca="false">IF($X754="","",INDEX('Per Line'!$L$2:$L$4001,$X754))</f>
        <v/>
      </c>
      <c r="K754" s="20" t="str">
        <f aca="false">IF($X754="","",INDEX('Per Line'!$M$2:$M$4001,$X754))</f>
        <v/>
      </c>
      <c r="L754" s="22" t="str">
        <f aca="false">IF($X754="","",K754*V754/100)</f>
        <v/>
      </c>
      <c r="M754" s="20" t="str">
        <f aca="false">IF($X754="","",INDEX('Per Line'!$Z$2:$Z$4001,$X754))</f>
        <v/>
      </c>
      <c r="N754" s="23" t="str">
        <f aca="false">IF($X754="","",Settings!$C$7)</f>
        <v/>
      </c>
      <c r="O754" s="22" t="str">
        <f aca="false">IF($X754="","",SUMIFS('Per Line'!$Y$2:$Y$4001,'Per Line'!$D$2:$D$4001,$B754,'Per Line'!$AJ$2:$AJ$4001,0))</f>
        <v/>
      </c>
      <c r="P754" s="22" t="str">
        <f aca="false">IF($X754="","",O754*N754)</f>
        <v/>
      </c>
      <c r="Q754" s="23" t="str">
        <f aca="false">IF($X754="","",Settings!$C$6)</f>
        <v/>
      </c>
      <c r="R754" s="22" t="str">
        <f aca="false">IF($X754="","",SUMIFS('Per Line'!$Y$2:$Y$4001,'Per Line'!$D$2:$D$4001,$B754,'Per Line'!$AJ$2:$AJ$4001,1))</f>
        <v/>
      </c>
      <c r="S754" s="22" t="str">
        <f aca="false">IF($X754="","",R754*Q754)</f>
        <v/>
      </c>
      <c r="T754" s="22" t="str">
        <f aca="false">IF($X754="","",S754+P754)</f>
        <v/>
      </c>
      <c r="U754" s="22" t="str">
        <f aca="false">IF($X754="","",V754-T754)</f>
        <v/>
      </c>
      <c r="V754" s="22" t="str">
        <f aca="false">IF($X754="","",O754+R754)</f>
        <v/>
      </c>
      <c r="W754" s="22" t="str">
        <f aca="false">IF($X754="","",U754-L754)</f>
        <v/>
      </c>
      <c r="X754" s="24" t="str">
        <f aca="false">IF(ROWS($X$2:$X754)&lt;=MAX('Per Line'!$AI$2:$AI$4001),MATCH(ROWS($X$2:$X754),'Per Line'!$AI$2:$AI$4001,0),"")</f>
        <v/>
      </c>
    </row>
    <row r="755" customFormat="false" ht="15" hidden="false" customHeight="false" outlineLevel="0" collapsed="false">
      <c r="A755" s="19"/>
      <c r="B755" s="20" t="str">
        <f aca="false">IF($X755="","",INDEX('Per Line'!$D$2:$D$4001,$X755))</f>
        <v/>
      </c>
      <c r="C755" s="20" t="str">
        <f aca="false">IF($X755="","",INDEX('Per Line'!$C$2:$C$4001,$X755))</f>
        <v/>
      </c>
      <c r="D755" s="20" t="str">
        <f aca="false">IF($X755="","",INDEX('Per Line'!$A$2:$A$4001,$X755))</f>
        <v/>
      </c>
      <c r="E755" s="21" t="str">
        <f aca="false">IF($X755="","",INDEX('Per Line'!$F$2:$F$4001,$X755))</f>
        <v/>
      </c>
      <c r="F755" s="20" t="str">
        <f aca="false">IF($X755="","",INDEX('Per Line'!$G$2:$G$4001,$X755))</f>
        <v/>
      </c>
      <c r="G755" s="20" t="str">
        <f aca="false">IF($X755="","",INDEX('Per Line'!$I$2:$I$4001,$X755))</f>
        <v/>
      </c>
      <c r="H755" s="20" t="str">
        <f aca="false">IF($X755="","",INDEX('Per Line'!$J$2:$J$4001,$X755))</f>
        <v/>
      </c>
      <c r="I755" s="20" t="str">
        <f aca="false">IF($X755="","",INDEX('Per Line'!$K$2:$K$4001,$X755))</f>
        <v/>
      </c>
      <c r="J755" s="20" t="str">
        <f aca="false">IF($X755="","",INDEX('Per Line'!$L$2:$L$4001,$X755))</f>
        <v/>
      </c>
      <c r="K755" s="20" t="str">
        <f aca="false">IF($X755="","",INDEX('Per Line'!$M$2:$M$4001,$X755))</f>
        <v/>
      </c>
      <c r="L755" s="22" t="str">
        <f aca="false">IF($X755="","",K755*V755/100)</f>
        <v/>
      </c>
      <c r="M755" s="20" t="str">
        <f aca="false">IF($X755="","",INDEX('Per Line'!$Z$2:$Z$4001,$X755))</f>
        <v/>
      </c>
      <c r="N755" s="23" t="str">
        <f aca="false">IF($X755="","",Settings!$C$7)</f>
        <v/>
      </c>
      <c r="O755" s="22" t="str">
        <f aca="false">IF($X755="","",SUMIFS('Per Line'!$Y$2:$Y$4001,'Per Line'!$D$2:$D$4001,$B755,'Per Line'!$AJ$2:$AJ$4001,0))</f>
        <v/>
      </c>
      <c r="P755" s="22" t="str">
        <f aca="false">IF($X755="","",O755*N755)</f>
        <v/>
      </c>
      <c r="Q755" s="23" t="str">
        <f aca="false">IF($X755="","",Settings!$C$6)</f>
        <v/>
      </c>
      <c r="R755" s="22" t="str">
        <f aca="false">IF($X755="","",SUMIFS('Per Line'!$Y$2:$Y$4001,'Per Line'!$D$2:$D$4001,$B755,'Per Line'!$AJ$2:$AJ$4001,1))</f>
        <v/>
      </c>
      <c r="S755" s="22" t="str">
        <f aca="false">IF($X755="","",R755*Q755)</f>
        <v/>
      </c>
      <c r="T755" s="22" t="str">
        <f aca="false">IF($X755="","",S755+P755)</f>
        <v/>
      </c>
      <c r="U755" s="22" t="str">
        <f aca="false">IF($X755="","",V755-T755)</f>
        <v/>
      </c>
      <c r="V755" s="22" t="str">
        <f aca="false">IF($X755="","",O755+R755)</f>
        <v/>
      </c>
      <c r="W755" s="22" t="str">
        <f aca="false">IF($X755="","",U755-L755)</f>
        <v/>
      </c>
      <c r="X755" s="24" t="str">
        <f aca="false">IF(ROWS($X$2:$X755)&lt;=MAX('Per Line'!$AI$2:$AI$4001),MATCH(ROWS($X$2:$X755),'Per Line'!$AI$2:$AI$4001,0),"")</f>
        <v/>
      </c>
    </row>
    <row r="756" customFormat="false" ht="15" hidden="false" customHeight="false" outlineLevel="0" collapsed="false">
      <c r="A756" s="19"/>
      <c r="B756" s="20" t="str">
        <f aca="false">IF($X756="","",INDEX('Per Line'!$D$2:$D$4001,$X756))</f>
        <v/>
      </c>
      <c r="C756" s="20" t="str">
        <f aca="false">IF($X756="","",INDEX('Per Line'!$C$2:$C$4001,$X756))</f>
        <v/>
      </c>
      <c r="D756" s="20" t="str">
        <f aca="false">IF($X756="","",INDEX('Per Line'!$A$2:$A$4001,$X756))</f>
        <v/>
      </c>
      <c r="E756" s="21" t="str">
        <f aca="false">IF($X756="","",INDEX('Per Line'!$F$2:$F$4001,$X756))</f>
        <v/>
      </c>
      <c r="F756" s="20" t="str">
        <f aca="false">IF($X756="","",INDEX('Per Line'!$G$2:$G$4001,$X756))</f>
        <v/>
      </c>
      <c r="G756" s="20" t="str">
        <f aca="false">IF($X756="","",INDEX('Per Line'!$I$2:$I$4001,$X756))</f>
        <v/>
      </c>
      <c r="H756" s="20" t="str">
        <f aca="false">IF($X756="","",INDEX('Per Line'!$J$2:$J$4001,$X756))</f>
        <v/>
      </c>
      <c r="I756" s="20" t="str">
        <f aca="false">IF($X756="","",INDEX('Per Line'!$K$2:$K$4001,$X756))</f>
        <v/>
      </c>
      <c r="J756" s="20" t="str">
        <f aca="false">IF($X756="","",INDEX('Per Line'!$L$2:$L$4001,$X756))</f>
        <v/>
      </c>
      <c r="K756" s="20" t="str">
        <f aca="false">IF($X756="","",INDEX('Per Line'!$M$2:$M$4001,$X756))</f>
        <v/>
      </c>
      <c r="L756" s="22" t="str">
        <f aca="false">IF($X756="","",K756*V756/100)</f>
        <v/>
      </c>
      <c r="M756" s="20" t="str">
        <f aca="false">IF($X756="","",INDEX('Per Line'!$Z$2:$Z$4001,$X756))</f>
        <v/>
      </c>
      <c r="N756" s="23" t="str">
        <f aca="false">IF($X756="","",Settings!$C$7)</f>
        <v/>
      </c>
      <c r="O756" s="22" t="str">
        <f aca="false">IF($X756="","",SUMIFS('Per Line'!$Y$2:$Y$4001,'Per Line'!$D$2:$D$4001,$B756,'Per Line'!$AJ$2:$AJ$4001,0))</f>
        <v/>
      </c>
      <c r="P756" s="22" t="str">
        <f aca="false">IF($X756="","",O756*N756)</f>
        <v/>
      </c>
      <c r="Q756" s="23" t="str">
        <f aca="false">IF($X756="","",Settings!$C$6)</f>
        <v/>
      </c>
      <c r="R756" s="22" t="str">
        <f aca="false">IF($X756="","",SUMIFS('Per Line'!$Y$2:$Y$4001,'Per Line'!$D$2:$D$4001,$B756,'Per Line'!$AJ$2:$AJ$4001,1))</f>
        <v/>
      </c>
      <c r="S756" s="22" t="str">
        <f aca="false">IF($X756="","",R756*Q756)</f>
        <v/>
      </c>
      <c r="T756" s="22" t="str">
        <f aca="false">IF($X756="","",S756+P756)</f>
        <v/>
      </c>
      <c r="U756" s="22" t="str">
        <f aca="false">IF($X756="","",V756-T756)</f>
        <v/>
      </c>
      <c r="V756" s="22" t="str">
        <f aca="false">IF($X756="","",O756+R756)</f>
        <v/>
      </c>
      <c r="W756" s="22" t="str">
        <f aca="false">IF($X756="","",U756-L756)</f>
        <v/>
      </c>
      <c r="X756" s="24" t="str">
        <f aca="false">IF(ROWS($X$2:$X756)&lt;=MAX('Per Line'!$AI$2:$AI$4001),MATCH(ROWS($X$2:$X756),'Per Line'!$AI$2:$AI$4001,0),"")</f>
        <v/>
      </c>
    </row>
    <row r="757" customFormat="false" ht="15" hidden="false" customHeight="false" outlineLevel="0" collapsed="false">
      <c r="A757" s="19"/>
      <c r="B757" s="20" t="str">
        <f aca="false">IF($X757="","",INDEX('Per Line'!$D$2:$D$4001,$X757))</f>
        <v/>
      </c>
      <c r="C757" s="20" t="str">
        <f aca="false">IF($X757="","",INDEX('Per Line'!$C$2:$C$4001,$X757))</f>
        <v/>
      </c>
      <c r="D757" s="20" t="str">
        <f aca="false">IF($X757="","",INDEX('Per Line'!$A$2:$A$4001,$X757))</f>
        <v/>
      </c>
      <c r="E757" s="21" t="str">
        <f aca="false">IF($X757="","",INDEX('Per Line'!$F$2:$F$4001,$X757))</f>
        <v/>
      </c>
      <c r="F757" s="20" t="str">
        <f aca="false">IF($X757="","",INDEX('Per Line'!$G$2:$G$4001,$X757))</f>
        <v/>
      </c>
      <c r="G757" s="20" t="str">
        <f aca="false">IF($X757="","",INDEX('Per Line'!$I$2:$I$4001,$X757))</f>
        <v/>
      </c>
      <c r="H757" s="20" t="str">
        <f aca="false">IF($X757="","",INDEX('Per Line'!$J$2:$J$4001,$X757))</f>
        <v/>
      </c>
      <c r="I757" s="20" t="str">
        <f aca="false">IF($X757="","",INDEX('Per Line'!$K$2:$K$4001,$X757))</f>
        <v/>
      </c>
      <c r="J757" s="20" t="str">
        <f aca="false">IF($X757="","",INDEX('Per Line'!$L$2:$L$4001,$X757))</f>
        <v/>
      </c>
      <c r="K757" s="20" t="str">
        <f aca="false">IF($X757="","",INDEX('Per Line'!$M$2:$M$4001,$X757))</f>
        <v/>
      </c>
      <c r="L757" s="22" t="str">
        <f aca="false">IF($X757="","",K757*V757/100)</f>
        <v/>
      </c>
      <c r="M757" s="20" t="str">
        <f aca="false">IF($X757="","",INDEX('Per Line'!$Z$2:$Z$4001,$X757))</f>
        <v/>
      </c>
      <c r="N757" s="23" t="str">
        <f aca="false">IF($X757="","",Settings!$C$7)</f>
        <v/>
      </c>
      <c r="O757" s="22" t="str">
        <f aca="false">IF($X757="","",SUMIFS('Per Line'!$Y$2:$Y$4001,'Per Line'!$D$2:$D$4001,$B757,'Per Line'!$AJ$2:$AJ$4001,0))</f>
        <v/>
      </c>
      <c r="P757" s="22" t="str">
        <f aca="false">IF($X757="","",O757*N757)</f>
        <v/>
      </c>
      <c r="Q757" s="23" t="str">
        <f aca="false">IF($X757="","",Settings!$C$6)</f>
        <v/>
      </c>
      <c r="R757" s="22" t="str">
        <f aca="false">IF($X757="","",SUMIFS('Per Line'!$Y$2:$Y$4001,'Per Line'!$D$2:$D$4001,$B757,'Per Line'!$AJ$2:$AJ$4001,1))</f>
        <v/>
      </c>
      <c r="S757" s="22" t="str">
        <f aca="false">IF($X757="","",R757*Q757)</f>
        <v/>
      </c>
      <c r="T757" s="22" t="str">
        <f aca="false">IF($X757="","",S757+P757)</f>
        <v/>
      </c>
      <c r="U757" s="22" t="str">
        <f aca="false">IF($X757="","",V757-T757)</f>
        <v/>
      </c>
      <c r="V757" s="22" t="str">
        <f aca="false">IF($X757="","",O757+R757)</f>
        <v/>
      </c>
      <c r="W757" s="22" t="str">
        <f aca="false">IF($X757="","",U757-L757)</f>
        <v/>
      </c>
      <c r="X757" s="24" t="str">
        <f aca="false">IF(ROWS($X$2:$X757)&lt;=MAX('Per Line'!$AI$2:$AI$4001),MATCH(ROWS($X$2:$X757),'Per Line'!$AI$2:$AI$4001,0),"")</f>
        <v/>
      </c>
    </row>
    <row r="758" customFormat="false" ht="15" hidden="false" customHeight="false" outlineLevel="0" collapsed="false">
      <c r="A758" s="19"/>
      <c r="B758" s="20" t="str">
        <f aca="false">IF($X758="","",INDEX('Per Line'!$D$2:$D$4001,$X758))</f>
        <v/>
      </c>
      <c r="C758" s="20" t="str">
        <f aca="false">IF($X758="","",INDEX('Per Line'!$C$2:$C$4001,$X758))</f>
        <v/>
      </c>
      <c r="D758" s="20" t="str">
        <f aca="false">IF($X758="","",INDEX('Per Line'!$A$2:$A$4001,$X758))</f>
        <v/>
      </c>
      <c r="E758" s="21" t="str">
        <f aca="false">IF($X758="","",INDEX('Per Line'!$F$2:$F$4001,$X758))</f>
        <v/>
      </c>
      <c r="F758" s="20" t="str">
        <f aca="false">IF($X758="","",INDEX('Per Line'!$G$2:$G$4001,$X758))</f>
        <v/>
      </c>
      <c r="G758" s="20" t="str">
        <f aca="false">IF($X758="","",INDEX('Per Line'!$I$2:$I$4001,$X758))</f>
        <v/>
      </c>
      <c r="H758" s="20" t="str">
        <f aca="false">IF($X758="","",INDEX('Per Line'!$J$2:$J$4001,$X758))</f>
        <v/>
      </c>
      <c r="I758" s="20" t="str">
        <f aca="false">IF($X758="","",INDEX('Per Line'!$K$2:$K$4001,$X758))</f>
        <v/>
      </c>
      <c r="J758" s="20" t="str">
        <f aca="false">IF($X758="","",INDEX('Per Line'!$L$2:$L$4001,$X758))</f>
        <v/>
      </c>
      <c r="K758" s="20" t="str">
        <f aca="false">IF($X758="","",INDEX('Per Line'!$M$2:$M$4001,$X758))</f>
        <v/>
      </c>
      <c r="L758" s="22" t="str">
        <f aca="false">IF($X758="","",K758*V758/100)</f>
        <v/>
      </c>
      <c r="M758" s="20" t="str">
        <f aca="false">IF($X758="","",INDEX('Per Line'!$Z$2:$Z$4001,$X758))</f>
        <v/>
      </c>
      <c r="N758" s="23" t="str">
        <f aca="false">IF($X758="","",Settings!$C$7)</f>
        <v/>
      </c>
      <c r="O758" s="22" t="str">
        <f aca="false">IF($X758="","",SUMIFS('Per Line'!$Y$2:$Y$4001,'Per Line'!$D$2:$D$4001,$B758,'Per Line'!$AJ$2:$AJ$4001,0))</f>
        <v/>
      </c>
      <c r="P758" s="22" t="str">
        <f aca="false">IF($X758="","",O758*N758)</f>
        <v/>
      </c>
      <c r="Q758" s="23" t="str">
        <f aca="false">IF($X758="","",Settings!$C$6)</f>
        <v/>
      </c>
      <c r="R758" s="22" t="str">
        <f aca="false">IF($X758="","",SUMIFS('Per Line'!$Y$2:$Y$4001,'Per Line'!$D$2:$D$4001,$B758,'Per Line'!$AJ$2:$AJ$4001,1))</f>
        <v/>
      </c>
      <c r="S758" s="22" t="str">
        <f aca="false">IF($X758="","",R758*Q758)</f>
        <v/>
      </c>
      <c r="T758" s="22" t="str">
        <f aca="false">IF($X758="","",S758+P758)</f>
        <v/>
      </c>
      <c r="U758" s="22" t="str">
        <f aca="false">IF($X758="","",V758-T758)</f>
        <v/>
      </c>
      <c r="V758" s="22" t="str">
        <f aca="false">IF($X758="","",O758+R758)</f>
        <v/>
      </c>
      <c r="W758" s="22" t="str">
        <f aca="false">IF($X758="","",U758-L758)</f>
        <v/>
      </c>
      <c r="X758" s="24" t="str">
        <f aca="false">IF(ROWS($X$2:$X758)&lt;=MAX('Per Line'!$AI$2:$AI$4001),MATCH(ROWS($X$2:$X758),'Per Line'!$AI$2:$AI$4001,0),"")</f>
        <v/>
      </c>
    </row>
    <row r="759" customFormat="false" ht="15" hidden="false" customHeight="false" outlineLevel="0" collapsed="false">
      <c r="A759" s="19"/>
      <c r="B759" s="20" t="str">
        <f aca="false">IF($X759="","",INDEX('Per Line'!$D$2:$D$4001,$X759))</f>
        <v/>
      </c>
      <c r="C759" s="20" t="str">
        <f aca="false">IF($X759="","",INDEX('Per Line'!$C$2:$C$4001,$X759))</f>
        <v/>
      </c>
      <c r="D759" s="20" t="str">
        <f aca="false">IF($X759="","",INDEX('Per Line'!$A$2:$A$4001,$X759))</f>
        <v/>
      </c>
      <c r="E759" s="21" t="str">
        <f aca="false">IF($X759="","",INDEX('Per Line'!$F$2:$F$4001,$X759))</f>
        <v/>
      </c>
      <c r="F759" s="20" t="str">
        <f aca="false">IF($X759="","",INDEX('Per Line'!$G$2:$G$4001,$X759))</f>
        <v/>
      </c>
      <c r="G759" s="20" t="str">
        <f aca="false">IF($X759="","",INDEX('Per Line'!$I$2:$I$4001,$X759))</f>
        <v/>
      </c>
      <c r="H759" s="20" t="str">
        <f aca="false">IF($X759="","",INDEX('Per Line'!$J$2:$J$4001,$X759))</f>
        <v/>
      </c>
      <c r="I759" s="20" t="str">
        <f aca="false">IF($X759="","",INDEX('Per Line'!$K$2:$K$4001,$X759))</f>
        <v/>
      </c>
      <c r="J759" s="20" t="str">
        <f aca="false">IF($X759="","",INDEX('Per Line'!$L$2:$L$4001,$X759))</f>
        <v/>
      </c>
      <c r="K759" s="20" t="str">
        <f aca="false">IF($X759="","",INDEX('Per Line'!$M$2:$M$4001,$X759))</f>
        <v/>
      </c>
      <c r="L759" s="22" t="str">
        <f aca="false">IF($X759="","",K759*V759/100)</f>
        <v/>
      </c>
      <c r="M759" s="20" t="str">
        <f aca="false">IF($X759="","",INDEX('Per Line'!$Z$2:$Z$4001,$X759))</f>
        <v/>
      </c>
      <c r="N759" s="23" t="str">
        <f aca="false">IF($X759="","",Settings!$C$7)</f>
        <v/>
      </c>
      <c r="O759" s="22" t="str">
        <f aca="false">IF($X759="","",SUMIFS('Per Line'!$Y$2:$Y$4001,'Per Line'!$D$2:$D$4001,$B759,'Per Line'!$AJ$2:$AJ$4001,0))</f>
        <v/>
      </c>
      <c r="P759" s="22" t="str">
        <f aca="false">IF($X759="","",O759*N759)</f>
        <v/>
      </c>
      <c r="Q759" s="23" t="str">
        <f aca="false">IF($X759="","",Settings!$C$6)</f>
        <v/>
      </c>
      <c r="R759" s="22" t="str">
        <f aca="false">IF($X759="","",SUMIFS('Per Line'!$Y$2:$Y$4001,'Per Line'!$D$2:$D$4001,$B759,'Per Line'!$AJ$2:$AJ$4001,1))</f>
        <v/>
      </c>
      <c r="S759" s="22" t="str">
        <f aca="false">IF($X759="","",R759*Q759)</f>
        <v/>
      </c>
      <c r="T759" s="22" t="str">
        <f aca="false">IF($X759="","",S759+P759)</f>
        <v/>
      </c>
      <c r="U759" s="22" t="str">
        <f aca="false">IF($X759="","",V759-T759)</f>
        <v/>
      </c>
      <c r="V759" s="22" t="str">
        <f aca="false">IF($X759="","",O759+R759)</f>
        <v/>
      </c>
      <c r="W759" s="22" t="str">
        <f aca="false">IF($X759="","",U759-L759)</f>
        <v/>
      </c>
      <c r="X759" s="24" t="str">
        <f aca="false">IF(ROWS($X$2:$X759)&lt;=MAX('Per Line'!$AI$2:$AI$4001),MATCH(ROWS($X$2:$X759),'Per Line'!$AI$2:$AI$4001,0),"")</f>
        <v/>
      </c>
    </row>
    <row r="760" customFormat="false" ht="15" hidden="false" customHeight="false" outlineLevel="0" collapsed="false">
      <c r="A760" s="19"/>
      <c r="B760" s="20" t="str">
        <f aca="false">IF($X760="","",INDEX('Per Line'!$D$2:$D$4001,$X760))</f>
        <v/>
      </c>
      <c r="C760" s="20" t="str">
        <f aca="false">IF($X760="","",INDEX('Per Line'!$C$2:$C$4001,$X760))</f>
        <v/>
      </c>
      <c r="D760" s="20" t="str">
        <f aca="false">IF($X760="","",INDEX('Per Line'!$A$2:$A$4001,$X760))</f>
        <v/>
      </c>
      <c r="E760" s="21" t="str">
        <f aca="false">IF($X760="","",INDEX('Per Line'!$F$2:$F$4001,$X760))</f>
        <v/>
      </c>
      <c r="F760" s="20" t="str">
        <f aca="false">IF($X760="","",INDEX('Per Line'!$G$2:$G$4001,$X760))</f>
        <v/>
      </c>
      <c r="G760" s="20" t="str">
        <f aca="false">IF($X760="","",INDEX('Per Line'!$I$2:$I$4001,$X760))</f>
        <v/>
      </c>
      <c r="H760" s="20" t="str">
        <f aca="false">IF($X760="","",INDEX('Per Line'!$J$2:$J$4001,$X760))</f>
        <v/>
      </c>
      <c r="I760" s="20" t="str">
        <f aca="false">IF($X760="","",INDEX('Per Line'!$K$2:$K$4001,$X760))</f>
        <v/>
      </c>
      <c r="J760" s="20" t="str">
        <f aca="false">IF($X760="","",INDEX('Per Line'!$L$2:$L$4001,$X760))</f>
        <v/>
      </c>
      <c r="K760" s="20" t="str">
        <f aca="false">IF($X760="","",INDEX('Per Line'!$M$2:$M$4001,$X760))</f>
        <v/>
      </c>
      <c r="L760" s="22" t="str">
        <f aca="false">IF($X760="","",K760*V760/100)</f>
        <v/>
      </c>
      <c r="M760" s="20" t="str">
        <f aca="false">IF($X760="","",INDEX('Per Line'!$Z$2:$Z$4001,$X760))</f>
        <v/>
      </c>
      <c r="N760" s="23" t="str">
        <f aca="false">IF($X760="","",Settings!$C$7)</f>
        <v/>
      </c>
      <c r="O760" s="22" t="str">
        <f aca="false">IF($X760="","",SUMIFS('Per Line'!$Y$2:$Y$4001,'Per Line'!$D$2:$D$4001,$B760,'Per Line'!$AJ$2:$AJ$4001,0))</f>
        <v/>
      </c>
      <c r="P760" s="22" t="str">
        <f aca="false">IF($X760="","",O760*N760)</f>
        <v/>
      </c>
      <c r="Q760" s="23" t="str">
        <f aca="false">IF($X760="","",Settings!$C$6)</f>
        <v/>
      </c>
      <c r="R760" s="22" t="str">
        <f aca="false">IF($X760="","",SUMIFS('Per Line'!$Y$2:$Y$4001,'Per Line'!$D$2:$D$4001,$B760,'Per Line'!$AJ$2:$AJ$4001,1))</f>
        <v/>
      </c>
      <c r="S760" s="22" t="str">
        <f aca="false">IF($X760="","",R760*Q760)</f>
        <v/>
      </c>
      <c r="T760" s="22" t="str">
        <f aca="false">IF($X760="","",S760+P760)</f>
        <v/>
      </c>
      <c r="U760" s="22" t="str">
        <f aca="false">IF($X760="","",V760-T760)</f>
        <v/>
      </c>
      <c r="V760" s="22" t="str">
        <f aca="false">IF($X760="","",O760+R760)</f>
        <v/>
      </c>
      <c r="W760" s="22" t="str">
        <f aca="false">IF($X760="","",U760-L760)</f>
        <v/>
      </c>
      <c r="X760" s="24" t="str">
        <f aca="false">IF(ROWS($X$2:$X760)&lt;=MAX('Per Line'!$AI$2:$AI$4001),MATCH(ROWS($X$2:$X760),'Per Line'!$AI$2:$AI$4001,0),"")</f>
        <v/>
      </c>
    </row>
    <row r="761" customFormat="false" ht="15" hidden="false" customHeight="false" outlineLevel="0" collapsed="false">
      <c r="A761" s="19"/>
      <c r="B761" s="20" t="str">
        <f aca="false">IF($X761="","",INDEX('Per Line'!$D$2:$D$4001,$X761))</f>
        <v/>
      </c>
      <c r="C761" s="20" t="str">
        <f aca="false">IF($X761="","",INDEX('Per Line'!$C$2:$C$4001,$X761))</f>
        <v/>
      </c>
      <c r="D761" s="20" t="str">
        <f aca="false">IF($X761="","",INDEX('Per Line'!$A$2:$A$4001,$X761))</f>
        <v/>
      </c>
      <c r="E761" s="21" t="str">
        <f aca="false">IF($X761="","",INDEX('Per Line'!$F$2:$F$4001,$X761))</f>
        <v/>
      </c>
      <c r="F761" s="20" t="str">
        <f aca="false">IF($X761="","",INDEX('Per Line'!$G$2:$G$4001,$X761))</f>
        <v/>
      </c>
      <c r="G761" s="20" t="str">
        <f aca="false">IF($X761="","",INDEX('Per Line'!$I$2:$I$4001,$X761))</f>
        <v/>
      </c>
      <c r="H761" s="20" t="str">
        <f aca="false">IF($X761="","",INDEX('Per Line'!$J$2:$J$4001,$X761))</f>
        <v/>
      </c>
      <c r="I761" s="20" t="str">
        <f aca="false">IF($X761="","",INDEX('Per Line'!$K$2:$K$4001,$X761))</f>
        <v/>
      </c>
      <c r="J761" s="20" t="str">
        <f aca="false">IF($X761="","",INDEX('Per Line'!$L$2:$L$4001,$X761))</f>
        <v/>
      </c>
      <c r="K761" s="20" t="str">
        <f aca="false">IF($X761="","",INDEX('Per Line'!$M$2:$M$4001,$X761))</f>
        <v/>
      </c>
      <c r="L761" s="22" t="str">
        <f aca="false">IF($X761="","",K761*V761/100)</f>
        <v/>
      </c>
      <c r="M761" s="20" t="str">
        <f aca="false">IF($X761="","",INDEX('Per Line'!$Z$2:$Z$4001,$X761))</f>
        <v/>
      </c>
      <c r="N761" s="23" t="str">
        <f aca="false">IF($X761="","",Settings!$C$7)</f>
        <v/>
      </c>
      <c r="O761" s="22" t="str">
        <f aca="false">IF($X761="","",SUMIFS('Per Line'!$Y$2:$Y$4001,'Per Line'!$D$2:$D$4001,$B761,'Per Line'!$AJ$2:$AJ$4001,0))</f>
        <v/>
      </c>
      <c r="P761" s="22" t="str">
        <f aca="false">IF($X761="","",O761*N761)</f>
        <v/>
      </c>
      <c r="Q761" s="23" t="str">
        <f aca="false">IF($X761="","",Settings!$C$6)</f>
        <v/>
      </c>
      <c r="R761" s="22" t="str">
        <f aca="false">IF($X761="","",SUMIFS('Per Line'!$Y$2:$Y$4001,'Per Line'!$D$2:$D$4001,$B761,'Per Line'!$AJ$2:$AJ$4001,1))</f>
        <v/>
      </c>
      <c r="S761" s="22" t="str">
        <f aca="false">IF($X761="","",R761*Q761)</f>
        <v/>
      </c>
      <c r="T761" s="22" t="str">
        <f aca="false">IF($X761="","",S761+P761)</f>
        <v/>
      </c>
      <c r="U761" s="22" t="str">
        <f aca="false">IF($X761="","",V761-T761)</f>
        <v/>
      </c>
      <c r="V761" s="22" t="str">
        <f aca="false">IF($X761="","",O761+R761)</f>
        <v/>
      </c>
      <c r="W761" s="22" t="str">
        <f aca="false">IF($X761="","",U761-L761)</f>
        <v/>
      </c>
      <c r="X761" s="24" t="str">
        <f aca="false">IF(ROWS($X$2:$X761)&lt;=MAX('Per Line'!$AI$2:$AI$4001),MATCH(ROWS($X$2:$X761),'Per Line'!$AI$2:$AI$4001,0),"")</f>
        <v/>
      </c>
    </row>
    <row r="762" customFormat="false" ht="15" hidden="false" customHeight="false" outlineLevel="0" collapsed="false">
      <c r="A762" s="19"/>
      <c r="B762" s="20" t="str">
        <f aca="false">IF($X762="","",INDEX('Per Line'!$D$2:$D$4001,$X762))</f>
        <v/>
      </c>
      <c r="C762" s="20" t="str">
        <f aca="false">IF($X762="","",INDEX('Per Line'!$C$2:$C$4001,$X762))</f>
        <v/>
      </c>
      <c r="D762" s="20" t="str">
        <f aca="false">IF($X762="","",INDEX('Per Line'!$A$2:$A$4001,$X762))</f>
        <v/>
      </c>
      <c r="E762" s="21" t="str">
        <f aca="false">IF($X762="","",INDEX('Per Line'!$F$2:$F$4001,$X762))</f>
        <v/>
      </c>
      <c r="F762" s="20" t="str">
        <f aca="false">IF($X762="","",INDEX('Per Line'!$G$2:$G$4001,$X762))</f>
        <v/>
      </c>
      <c r="G762" s="20" t="str">
        <f aca="false">IF($X762="","",INDEX('Per Line'!$I$2:$I$4001,$X762))</f>
        <v/>
      </c>
      <c r="H762" s="20" t="str">
        <f aca="false">IF($X762="","",INDEX('Per Line'!$J$2:$J$4001,$X762))</f>
        <v/>
      </c>
      <c r="I762" s="20" t="str">
        <f aca="false">IF($X762="","",INDEX('Per Line'!$K$2:$K$4001,$X762))</f>
        <v/>
      </c>
      <c r="J762" s="20" t="str">
        <f aca="false">IF($X762="","",INDEX('Per Line'!$L$2:$L$4001,$X762))</f>
        <v/>
      </c>
      <c r="K762" s="20" t="str">
        <f aca="false">IF($X762="","",INDEX('Per Line'!$M$2:$M$4001,$X762))</f>
        <v/>
      </c>
      <c r="L762" s="22" t="str">
        <f aca="false">IF($X762="","",K762*V762/100)</f>
        <v/>
      </c>
      <c r="M762" s="20" t="str">
        <f aca="false">IF($X762="","",INDEX('Per Line'!$Z$2:$Z$4001,$X762))</f>
        <v/>
      </c>
      <c r="N762" s="23" t="str">
        <f aca="false">IF($X762="","",Settings!$C$7)</f>
        <v/>
      </c>
      <c r="O762" s="22" t="str">
        <f aca="false">IF($X762="","",SUMIFS('Per Line'!$Y$2:$Y$4001,'Per Line'!$D$2:$D$4001,$B762,'Per Line'!$AJ$2:$AJ$4001,0))</f>
        <v/>
      </c>
      <c r="P762" s="22" t="str">
        <f aca="false">IF($X762="","",O762*N762)</f>
        <v/>
      </c>
      <c r="Q762" s="23" t="str">
        <f aca="false">IF($X762="","",Settings!$C$6)</f>
        <v/>
      </c>
      <c r="R762" s="22" t="str">
        <f aca="false">IF($X762="","",SUMIFS('Per Line'!$Y$2:$Y$4001,'Per Line'!$D$2:$D$4001,$B762,'Per Line'!$AJ$2:$AJ$4001,1))</f>
        <v/>
      </c>
      <c r="S762" s="22" t="str">
        <f aca="false">IF($X762="","",R762*Q762)</f>
        <v/>
      </c>
      <c r="T762" s="22" t="str">
        <f aca="false">IF($X762="","",S762+P762)</f>
        <v/>
      </c>
      <c r="U762" s="22" t="str">
        <f aca="false">IF($X762="","",V762-T762)</f>
        <v/>
      </c>
      <c r="V762" s="22" t="str">
        <f aca="false">IF($X762="","",O762+R762)</f>
        <v/>
      </c>
      <c r="W762" s="22" t="str">
        <f aca="false">IF($X762="","",U762-L762)</f>
        <v/>
      </c>
      <c r="X762" s="24" t="str">
        <f aca="false">IF(ROWS($X$2:$X762)&lt;=MAX('Per Line'!$AI$2:$AI$4001),MATCH(ROWS($X$2:$X762),'Per Line'!$AI$2:$AI$4001,0),"")</f>
        <v/>
      </c>
    </row>
    <row r="763" customFormat="false" ht="15" hidden="false" customHeight="false" outlineLevel="0" collapsed="false">
      <c r="A763" s="19"/>
      <c r="B763" s="20" t="str">
        <f aca="false">IF($X763="","",INDEX('Per Line'!$D$2:$D$4001,$X763))</f>
        <v/>
      </c>
      <c r="C763" s="20" t="str">
        <f aca="false">IF($X763="","",INDEX('Per Line'!$C$2:$C$4001,$X763))</f>
        <v/>
      </c>
      <c r="D763" s="20" t="str">
        <f aca="false">IF($X763="","",INDEX('Per Line'!$A$2:$A$4001,$X763))</f>
        <v/>
      </c>
      <c r="E763" s="21" t="str">
        <f aca="false">IF($X763="","",INDEX('Per Line'!$F$2:$F$4001,$X763))</f>
        <v/>
      </c>
      <c r="F763" s="20" t="str">
        <f aca="false">IF($X763="","",INDEX('Per Line'!$G$2:$G$4001,$X763))</f>
        <v/>
      </c>
      <c r="G763" s="20" t="str">
        <f aca="false">IF($X763="","",INDEX('Per Line'!$I$2:$I$4001,$X763))</f>
        <v/>
      </c>
      <c r="H763" s="20" t="str">
        <f aca="false">IF($X763="","",INDEX('Per Line'!$J$2:$J$4001,$X763))</f>
        <v/>
      </c>
      <c r="I763" s="20" t="str">
        <f aca="false">IF($X763="","",INDEX('Per Line'!$K$2:$K$4001,$X763))</f>
        <v/>
      </c>
      <c r="J763" s="20" t="str">
        <f aca="false">IF($X763="","",INDEX('Per Line'!$L$2:$L$4001,$X763))</f>
        <v/>
      </c>
      <c r="K763" s="20" t="str">
        <f aca="false">IF($X763="","",INDEX('Per Line'!$M$2:$M$4001,$X763))</f>
        <v/>
      </c>
      <c r="L763" s="22" t="str">
        <f aca="false">IF($X763="","",K763*V763/100)</f>
        <v/>
      </c>
      <c r="M763" s="20" t="str">
        <f aca="false">IF($X763="","",INDEX('Per Line'!$Z$2:$Z$4001,$X763))</f>
        <v/>
      </c>
      <c r="N763" s="23" t="str">
        <f aca="false">IF($X763="","",Settings!$C$7)</f>
        <v/>
      </c>
      <c r="O763" s="22" t="str">
        <f aca="false">IF($X763="","",SUMIFS('Per Line'!$Y$2:$Y$4001,'Per Line'!$D$2:$D$4001,$B763,'Per Line'!$AJ$2:$AJ$4001,0))</f>
        <v/>
      </c>
      <c r="P763" s="22" t="str">
        <f aca="false">IF($X763="","",O763*N763)</f>
        <v/>
      </c>
      <c r="Q763" s="23" t="str">
        <f aca="false">IF($X763="","",Settings!$C$6)</f>
        <v/>
      </c>
      <c r="R763" s="22" t="str">
        <f aca="false">IF($X763="","",SUMIFS('Per Line'!$Y$2:$Y$4001,'Per Line'!$D$2:$D$4001,$B763,'Per Line'!$AJ$2:$AJ$4001,1))</f>
        <v/>
      </c>
      <c r="S763" s="22" t="str">
        <f aca="false">IF($X763="","",R763*Q763)</f>
        <v/>
      </c>
      <c r="T763" s="22" t="str">
        <f aca="false">IF($X763="","",S763+P763)</f>
        <v/>
      </c>
      <c r="U763" s="22" t="str">
        <f aca="false">IF($X763="","",V763-T763)</f>
        <v/>
      </c>
      <c r="V763" s="22" t="str">
        <f aca="false">IF($X763="","",O763+R763)</f>
        <v/>
      </c>
      <c r="W763" s="22" t="str">
        <f aca="false">IF($X763="","",U763-L763)</f>
        <v/>
      </c>
      <c r="X763" s="24" t="str">
        <f aca="false">IF(ROWS($X$2:$X763)&lt;=MAX('Per Line'!$AI$2:$AI$4001),MATCH(ROWS($X$2:$X763),'Per Line'!$AI$2:$AI$4001,0),"")</f>
        <v/>
      </c>
    </row>
    <row r="764" customFormat="false" ht="15" hidden="false" customHeight="false" outlineLevel="0" collapsed="false">
      <c r="A764" s="19"/>
      <c r="B764" s="20" t="str">
        <f aca="false">IF($X764="","",INDEX('Per Line'!$D$2:$D$4001,$X764))</f>
        <v/>
      </c>
      <c r="C764" s="20" t="str">
        <f aca="false">IF($X764="","",INDEX('Per Line'!$C$2:$C$4001,$X764))</f>
        <v/>
      </c>
      <c r="D764" s="20" t="str">
        <f aca="false">IF($X764="","",INDEX('Per Line'!$A$2:$A$4001,$X764))</f>
        <v/>
      </c>
      <c r="E764" s="21" t="str">
        <f aca="false">IF($X764="","",INDEX('Per Line'!$F$2:$F$4001,$X764))</f>
        <v/>
      </c>
      <c r="F764" s="20" t="str">
        <f aca="false">IF($X764="","",INDEX('Per Line'!$G$2:$G$4001,$X764))</f>
        <v/>
      </c>
      <c r="G764" s="20" t="str">
        <f aca="false">IF($X764="","",INDEX('Per Line'!$I$2:$I$4001,$X764))</f>
        <v/>
      </c>
      <c r="H764" s="20" t="str">
        <f aca="false">IF($X764="","",INDEX('Per Line'!$J$2:$J$4001,$X764))</f>
        <v/>
      </c>
      <c r="I764" s="20" t="str">
        <f aca="false">IF($X764="","",INDEX('Per Line'!$K$2:$K$4001,$X764))</f>
        <v/>
      </c>
      <c r="J764" s="20" t="str">
        <f aca="false">IF($X764="","",INDEX('Per Line'!$L$2:$L$4001,$X764))</f>
        <v/>
      </c>
      <c r="K764" s="20" t="str">
        <f aca="false">IF($X764="","",INDEX('Per Line'!$M$2:$M$4001,$X764))</f>
        <v/>
      </c>
      <c r="L764" s="22" t="str">
        <f aca="false">IF($X764="","",K764*V764/100)</f>
        <v/>
      </c>
      <c r="M764" s="20" t="str">
        <f aca="false">IF($X764="","",INDEX('Per Line'!$Z$2:$Z$4001,$X764))</f>
        <v/>
      </c>
      <c r="N764" s="23" t="str">
        <f aca="false">IF($X764="","",Settings!$C$7)</f>
        <v/>
      </c>
      <c r="O764" s="22" t="str">
        <f aca="false">IF($X764="","",SUMIFS('Per Line'!$Y$2:$Y$4001,'Per Line'!$D$2:$D$4001,$B764,'Per Line'!$AJ$2:$AJ$4001,0))</f>
        <v/>
      </c>
      <c r="P764" s="22" t="str">
        <f aca="false">IF($X764="","",O764*N764)</f>
        <v/>
      </c>
      <c r="Q764" s="23" t="str">
        <f aca="false">IF($X764="","",Settings!$C$6)</f>
        <v/>
      </c>
      <c r="R764" s="22" t="str">
        <f aca="false">IF($X764="","",SUMIFS('Per Line'!$Y$2:$Y$4001,'Per Line'!$D$2:$D$4001,$B764,'Per Line'!$AJ$2:$AJ$4001,1))</f>
        <v/>
      </c>
      <c r="S764" s="22" t="str">
        <f aca="false">IF($X764="","",R764*Q764)</f>
        <v/>
      </c>
      <c r="T764" s="22" t="str">
        <f aca="false">IF($X764="","",S764+P764)</f>
        <v/>
      </c>
      <c r="U764" s="22" t="str">
        <f aca="false">IF($X764="","",V764-T764)</f>
        <v/>
      </c>
      <c r="V764" s="22" t="str">
        <f aca="false">IF($X764="","",O764+R764)</f>
        <v/>
      </c>
      <c r="W764" s="22" t="str">
        <f aca="false">IF($X764="","",U764-L764)</f>
        <v/>
      </c>
      <c r="X764" s="24" t="str">
        <f aca="false">IF(ROWS($X$2:$X764)&lt;=MAX('Per Line'!$AI$2:$AI$4001),MATCH(ROWS($X$2:$X764),'Per Line'!$AI$2:$AI$4001,0),"")</f>
        <v/>
      </c>
    </row>
    <row r="765" customFormat="false" ht="15" hidden="false" customHeight="false" outlineLevel="0" collapsed="false">
      <c r="A765" s="19"/>
      <c r="B765" s="20" t="str">
        <f aca="false">IF($X765="","",INDEX('Per Line'!$D$2:$D$4001,$X765))</f>
        <v/>
      </c>
      <c r="C765" s="20" t="str">
        <f aca="false">IF($X765="","",INDEX('Per Line'!$C$2:$C$4001,$X765))</f>
        <v/>
      </c>
      <c r="D765" s="20" t="str">
        <f aca="false">IF($X765="","",INDEX('Per Line'!$A$2:$A$4001,$X765))</f>
        <v/>
      </c>
      <c r="E765" s="21" t="str">
        <f aca="false">IF($X765="","",INDEX('Per Line'!$F$2:$F$4001,$X765))</f>
        <v/>
      </c>
      <c r="F765" s="20" t="str">
        <f aca="false">IF($X765="","",INDEX('Per Line'!$G$2:$G$4001,$X765))</f>
        <v/>
      </c>
      <c r="G765" s="20" t="str">
        <f aca="false">IF($X765="","",INDEX('Per Line'!$I$2:$I$4001,$X765))</f>
        <v/>
      </c>
      <c r="H765" s="20" t="str">
        <f aca="false">IF($X765="","",INDEX('Per Line'!$J$2:$J$4001,$X765))</f>
        <v/>
      </c>
      <c r="I765" s="20" t="str">
        <f aca="false">IF($X765="","",INDEX('Per Line'!$K$2:$K$4001,$X765))</f>
        <v/>
      </c>
      <c r="J765" s="20" t="str">
        <f aca="false">IF($X765="","",INDEX('Per Line'!$L$2:$L$4001,$X765))</f>
        <v/>
      </c>
      <c r="K765" s="20" t="str">
        <f aca="false">IF($X765="","",INDEX('Per Line'!$M$2:$M$4001,$X765))</f>
        <v/>
      </c>
      <c r="L765" s="22" t="str">
        <f aca="false">IF($X765="","",K765*V765/100)</f>
        <v/>
      </c>
      <c r="M765" s="20" t="str">
        <f aca="false">IF($X765="","",INDEX('Per Line'!$Z$2:$Z$4001,$X765))</f>
        <v/>
      </c>
      <c r="N765" s="23" t="str">
        <f aca="false">IF($X765="","",Settings!$C$7)</f>
        <v/>
      </c>
      <c r="O765" s="22" t="str">
        <f aca="false">IF($X765="","",SUMIFS('Per Line'!$Y$2:$Y$4001,'Per Line'!$D$2:$D$4001,$B765,'Per Line'!$AJ$2:$AJ$4001,0))</f>
        <v/>
      </c>
      <c r="P765" s="22" t="str">
        <f aca="false">IF($X765="","",O765*N765)</f>
        <v/>
      </c>
      <c r="Q765" s="23" t="str">
        <f aca="false">IF($X765="","",Settings!$C$6)</f>
        <v/>
      </c>
      <c r="R765" s="22" t="str">
        <f aca="false">IF($X765="","",SUMIFS('Per Line'!$Y$2:$Y$4001,'Per Line'!$D$2:$D$4001,$B765,'Per Line'!$AJ$2:$AJ$4001,1))</f>
        <v/>
      </c>
      <c r="S765" s="22" t="str">
        <f aca="false">IF($X765="","",R765*Q765)</f>
        <v/>
      </c>
      <c r="T765" s="22" t="str">
        <f aca="false">IF($X765="","",S765+P765)</f>
        <v/>
      </c>
      <c r="U765" s="22" t="str">
        <f aca="false">IF($X765="","",V765-T765)</f>
        <v/>
      </c>
      <c r="V765" s="22" t="str">
        <f aca="false">IF($X765="","",O765+R765)</f>
        <v/>
      </c>
      <c r="W765" s="22" t="str">
        <f aca="false">IF($X765="","",U765-L765)</f>
        <v/>
      </c>
      <c r="X765" s="24" t="str">
        <f aca="false">IF(ROWS($X$2:$X765)&lt;=MAX('Per Line'!$AI$2:$AI$4001),MATCH(ROWS($X$2:$X765),'Per Line'!$AI$2:$AI$4001,0),"")</f>
        <v/>
      </c>
    </row>
    <row r="766" customFormat="false" ht="15" hidden="false" customHeight="false" outlineLevel="0" collapsed="false">
      <c r="A766" s="19"/>
      <c r="B766" s="20" t="str">
        <f aca="false">IF($X766="","",INDEX('Per Line'!$D$2:$D$4001,$X766))</f>
        <v/>
      </c>
      <c r="C766" s="20" t="str">
        <f aca="false">IF($X766="","",INDEX('Per Line'!$C$2:$C$4001,$X766))</f>
        <v/>
      </c>
      <c r="D766" s="20" t="str">
        <f aca="false">IF($X766="","",INDEX('Per Line'!$A$2:$A$4001,$X766))</f>
        <v/>
      </c>
      <c r="E766" s="21" t="str">
        <f aca="false">IF($X766="","",INDEX('Per Line'!$F$2:$F$4001,$X766))</f>
        <v/>
      </c>
      <c r="F766" s="20" t="str">
        <f aca="false">IF($X766="","",INDEX('Per Line'!$G$2:$G$4001,$X766))</f>
        <v/>
      </c>
      <c r="G766" s="20" t="str">
        <f aca="false">IF($X766="","",INDEX('Per Line'!$I$2:$I$4001,$X766))</f>
        <v/>
      </c>
      <c r="H766" s="20" t="str">
        <f aca="false">IF($X766="","",INDEX('Per Line'!$J$2:$J$4001,$X766))</f>
        <v/>
      </c>
      <c r="I766" s="20" t="str">
        <f aca="false">IF($X766="","",INDEX('Per Line'!$K$2:$K$4001,$X766))</f>
        <v/>
      </c>
      <c r="J766" s="20" t="str">
        <f aca="false">IF($X766="","",INDEX('Per Line'!$L$2:$L$4001,$X766))</f>
        <v/>
      </c>
      <c r="K766" s="20" t="str">
        <f aca="false">IF($X766="","",INDEX('Per Line'!$M$2:$M$4001,$X766))</f>
        <v/>
      </c>
      <c r="L766" s="22" t="str">
        <f aca="false">IF($X766="","",K766*V766/100)</f>
        <v/>
      </c>
      <c r="M766" s="20" t="str">
        <f aca="false">IF($X766="","",INDEX('Per Line'!$Z$2:$Z$4001,$X766))</f>
        <v/>
      </c>
      <c r="N766" s="23" t="str">
        <f aca="false">IF($X766="","",Settings!$C$7)</f>
        <v/>
      </c>
      <c r="O766" s="22" t="str">
        <f aca="false">IF($X766="","",SUMIFS('Per Line'!$Y$2:$Y$4001,'Per Line'!$D$2:$D$4001,$B766,'Per Line'!$AJ$2:$AJ$4001,0))</f>
        <v/>
      </c>
      <c r="P766" s="22" t="str">
        <f aca="false">IF($X766="","",O766*N766)</f>
        <v/>
      </c>
      <c r="Q766" s="23" t="str">
        <f aca="false">IF($X766="","",Settings!$C$6)</f>
        <v/>
      </c>
      <c r="R766" s="22" t="str">
        <f aca="false">IF($X766="","",SUMIFS('Per Line'!$Y$2:$Y$4001,'Per Line'!$D$2:$D$4001,$B766,'Per Line'!$AJ$2:$AJ$4001,1))</f>
        <v/>
      </c>
      <c r="S766" s="22" t="str">
        <f aca="false">IF($X766="","",R766*Q766)</f>
        <v/>
      </c>
      <c r="T766" s="22" t="str">
        <f aca="false">IF($X766="","",S766+P766)</f>
        <v/>
      </c>
      <c r="U766" s="22" t="str">
        <f aca="false">IF($X766="","",V766-T766)</f>
        <v/>
      </c>
      <c r="V766" s="22" t="str">
        <f aca="false">IF($X766="","",O766+R766)</f>
        <v/>
      </c>
      <c r="W766" s="22" t="str">
        <f aca="false">IF($X766="","",U766-L766)</f>
        <v/>
      </c>
      <c r="X766" s="24" t="str">
        <f aca="false">IF(ROWS($X$2:$X766)&lt;=MAX('Per Line'!$AI$2:$AI$4001),MATCH(ROWS($X$2:$X766),'Per Line'!$AI$2:$AI$4001,0),"")</f>
        <v/>
      </c>
    </row>
    <row r="767" customFormat="false" ht="15" hidden="false" customHeight="false" outlineLevel="0" collapsed="false">
      <c r="A767" s="19"/>
      <c r="B767" s="20" t="str">
        <f aca="false">IF($X767="","",INDEX('Per Line'!$D$2:$D$4001,$X767))</f>
        <v/>
      </c>
      <c r="C767" s="20" t="str">
        <f aca="false">IF($X767="","",INDEX('Per Line'!$C$2:$C$4001,$X767))</f>
        <v/>
      </c>
      <c r="D767" s="20" t="str">
        <f aca="false">IF($X767="","",INDEX('Per Line'!$A$2:$A$4001,$X767))</f>
        <v/>
      </c>
      <c r="E767" s="21" t="str">
        <f aca="false">IF($X767="","",INDEX('Per Line'!$F$2:$F$4001,$X767))</f>
        <v/>
      </c>
      <c r="F767" s="20" t="str">
        <f aca="false">IF($X767="","",INDEX('Per Line'!$G$2:$G$4001,$X767))</f>
        <v/>
      </c>
      <c r="G767" s="20" t="str">
        <f aca="false">IF($X767="","",INDEX('Per Line'!$I$2:$I$4001,$X767))</f>
        <v/>
      </c>
      <c r="H767" s="20" t="str">
        <f aca="false">IF($X767="","",INDEX('Per Line'!$J$2:$J$4001,$X767))</f>
        <v/>
      </c>
      <c r="I767" s="20" t="str">
        <f aca="false">IF($X767="","",INDEX('Per Line'!$K$2:$K$4001,$X767))</f>
        <v/>
      </c>
      <c r="J767" s="20" t="str">
        <f aca="false">IF($X767="","",INDEX('Per Line'!$L$2:$L$4001,$X767))</f>
        <v/>
      </c>
      <c r="K767" s="20" t="str">
        <f aca="false">IF($X767="","",INDEX('Per Line'!$M$2:$M$4001,$X767))</f>
        <v/>
      </c>
      <c r="L767" s="22" t="str">
        <f aca="false">IF($X767="","",K767*V767/100)</f>
        <v/>
      </c>
      <c r="M767" s="20" t="str">
        <f aca="false">IF($X767="","",INDEX('Per Line'!$Z$2:$Z$4001,$X767))</f>
        <v/>
      </c>
      <c r="N767" s="23" t="str">
        <f aca="false">IF($X767="","",Settings!$C$7)</f>
        <v/>
      </c>
      <c r="O767" s="22" t="str">
        <f aca="false">IF($X767="","",SUMIFS('Per Line'!$Y$2:$Y$4001,'Per Line'!$D$2:$D$4001,$B767,'Per Line'!$AJ$2:$AJ$4001,0))</f>
        <v/>
      </c>
      <c r="P767" s="22" t="str">
        <f aca="false">IF($X767="","",O767*N767)</f>
        <v/>
      </c>
      <c r="Q767" s="23" t="str">
        <f aca="false">IF($X767="","",Settings!$C$6)</f>
        <v/>
      </c>
      <c r="R767" s="22" t="str">
        <f aca="false">IF($X767="","",SUMIFS('Per Line'!$Y$2:$Y$4001,'Per Line'!$D$2:$D$4001,$B767,'Per Line'!$AJ$2:$AJ$4001,1))</f>
        <v/>
      </c>
      <c r="S767" s="22" t="str">
        <f aca="false">IF($X767="","",R767*Q767)</f>
        <v/>
      </c>
      <c r="T767" s="22" t="str">
        <f aca="false">IF($X767="","",S767+P767)</f>
        <v/>
      </c>
      <c r="U767" s="22" t="str">
        <f aca="false">IF($X767="","",V767-T767)</f>
        <v/>
      </c>
      <c r="V767" s="22" t="str">
        <f aca="false">IF($X767="","",O767+R767)</f>
        <v/>
      </c>
      <c r="W767" s="22" t="str">
        <f aca="false">IF($X767="","",U767-L767)</f>
        <v/>
      </c>
      <c r="X767" s="24" t="str">
        <f aca="false">IF(ROWS($X$2:$X767)&lt;=MAX('Per Line'!$AI$2:$AI$4001),MATCH(ROWS($X$2:$X767),'Per Line'!$AI$2:$AI$4001,0),"")</f>
        <v/>
      </c>
    </row>
    <row r="768" customFormat="false" ht="15" hidden="false" customHeight="false" outlineLevel="0" collapsed="false">
      <c r="A768" s="19"/>
      <c r="B768" s="20" t="str">
        <f aca="false">IF($X768="","",INDEX('Per Line'!$D$2:$D$4001,$X768))</f>
        <v/>
      </c>
      <c r="C768" s="20" t="str">
        <f aca="false">IF($X768="","",INDEX('Per Line'!$C$2:$C$4001,$X768))</f>
        <v/>
      </c>
      <c r="D768" s="20" t="str">
        <f aca="false">IF($X768="","",INDEX('Per Line'!$A$2:$A$4001,$X768))</f>
        <v/>
      </c>
      <c r="E768" s="21" t="str">
        <f aca="false">IF($X768="","",INDEX('Per Line'!$F$2:$F$4001,$X768))</f>
        <v/>
      </c>
      <c r="F768" s="20" t="str">
        <f aca="false">IF($X768="","",INDEX('Per Line'!$G$2:$G$4001,$X768))</f>
        <v/>
      </c>
      <c r="G768" s="20" t="str">
        <f aca="false">IF($X768="","",INDEX('Per Line'!$I$2:$I$4001,$X768))</f>
        <v/>
      </c>
      <c r="H768" s="20" t="str">
        <f aca="false">IF($X768="","",INDEX('Per Line'!$J$2:$J$4001,$X768))</f>
        <v/>
      </c>
      <c r="I768" s="20" t="str">
        <f aca="false">IF($X768="","",INDEX('Per Line'!$K$2:$K$4001,$X768))</f>
        <v/>
      </c>
      <c r="J768" s="20" t="str">
        <f aca="false">IF($X768="","",INDEX('Per Line'!$L$2:$L$4001,$X768))</f>
        <v/>
      </c>
      <c r="K768" s="20" t="str">
        <f aca="false">IF($X768="","",INDEX('Per Line'!$M$2:$M$4001,$X768))</f>
        <v/>
      </c>
      <c r="L768" s="22" t="str">
        <f aca="false">IF($X768="","",K768*V768/100)</f>
        <v/>
      </c>
      <c r="M768" s="20" t="str">
        <f aca="false">IF($X768="","",INDEX('Per Line'!$Z$2:$Z$4001,$X768))</f>
        <v/>
      </c>
      <c r="N768" s="23" t="str">
        <f aca="false">IF($X768="","",Settings!$C$7)</f>
        <v/>
      </c>
      <c r="O768" s="22" t="str">
        <f aca="false">IF($X768="","",SUMIFS('Per Line'!$Y$2:$Y$4001,'Per Line'!$D$2:$D$4001,$B768,'Per Line'!$AJ$2:$AJ$4001,0))</f>
        <v/>
      </c>
      <c r="P768" s="22" t="str">
        <f aca="false">IF($X768="","",O768*N768)</f>
        <v/>
      </c>
      <c r="Q768" s="23" t="str">
        <f aca="false">IF($X768="","",Settings!$C$6)</f>
        <v/>
      </c>
      <c r="R768" s="22" t="str">
        <f aca="false">IF($X768="","",SUMIFS('Per Line'!$Y$2:$Y$4001,'Per Line'!$D$2:$D$4001,$B768,'Per Line'!$AJ$2:$AJ$4001,1))</f>
        <v/>
      </c>
      <c r="S768" s="22" t="str">
        <f aca="false">IF($X768="","",R768*Q768)</f>
        <v/>
      </c>
      <c r="T768" s="22" t="str">
        <f aca="false">IF($X768="","",S768+P768)</f>
        <v/>
      </c>
      <c r="U768" s="22" t="str">
        <f aca="false">IF($X768="","",V768-T768)</f>
        <v/>
      </c>
      <c r="V768" s="22" t="str">
        <f aca="false">IF($X768="","",O768+R768)</f>
        <v/>
      </c>
      <c r="W768" s="22" t="str">
        <f aca="false">IF($X768="","",U768-L768)</f>
        <v/>
      </c>
      <c r="X768" s="24" t="str">
        <f aca="false">IF(ROWS($X$2:$X768)&lt;=MAX('Per Line'!$AI$2:$AI$4001),MATCH(ROWS($X$2:$X768),'Per Line'!$AI$2:$AI$4001,0),"")</f>
        <v/>
      </c>
    </row>
    <row r="769" customFormat="false" ht="15" hidden="false" customHeight="false" outlineLevel="0" collapsed="false">
      <c r="A769" s="19"/>
      <c r="B769" s="20" t="str">
        <f aca="false">IF($X769="","",INDEX('Per Line'!$D$2:$D$4001,$X769))</f>
        <v/>
      </c>
      <c r="C769" s="20" t="str">
        <f aca="false">IF($X769="","",INDEX('Per Line'!$C$2:$C$4001,$X769))</f>
        <v/>
      </c>
      <c r="D769" s="20" t="str">
        <f aca="false">IF($X769="","",INDEX('Per Line'!$A$2:$A$4001,$X769))</f>
        <v/>
      </c>
      <c r="E769" s="21" t="str">
        <f aca="false">IF($X769="","",INDEX('Per Line'!$F$2:$F$4001,$X769))</f>
        <v/>
      </c>
      <c r="F769" s="20" t="str">
        <f aca="false">IF($X769="","",INDEX('Per Line'!$G$2:$G$4001,$X769))</f>
        <v/>
      </c>
      <c r="G769" s="20" t="str">
        <f aca="false">IF($X769="","",INDEX('Per Line'!$I$2:$I$4001,$X769))</f>
        <v/>
      </c>
      <c r="H769" s="20" t="str">
        <f aca="false">IF($X769="","",INDEX('Per Line'!$J$2:$J$4001,$X769))</f>
        <v/>
      </c>
      <c r="I769" s="20" t="str">
        <f aca="false">IF($X769="","",INDEX('Per Line'!$K$2:$K$4001,$X769))</f>
        <v/>
      </c>
      <c r="J769" s="20" t="str">
        <f aca="false">IF($X769="","",INDEX('Per Line'!$L$2:$L$4001,$X769))</f>
        <v/>
      </c>
      <c r="K769" s="20" t="str">
        <f aca="false">IF($X769="","",INDEX('Per Line'!$M$2:$M$4001,$X769))</f>
        <v/>
      </c>
      <c r="L769" s="22" t="str">
        <f aca="false">IF($X769="","",K769*V769/100)</f>
        <v/>
      </c>
      <c r="M769" s="20" t="str">
        <f aca="false">IF($X769="","",INDEX('Per Line'!$Z$2:$Z$4001,$X769))</f>
        <v/>
      </c>
      <c r="N769" s="23" t="str">
        <f aca="false">IF($X769="","",Settings!$C$7)</f>
        <v/>
      </c>
      <c r="O769" s="22" t="str">
        <f aca="false">IF($X769="","",SUMIFS('Per Line'!$Y$2:$Y$4001,'Per Line'!$D$2:$D$4001,$B769,'Per Line'!$AJ$2:$AJ$4001,0))</f>
        <v/>
      </c>
      <c r="P769" s="22" t="str">
        <f aca="false">IF($X769="","",O769*N769)</f>
        <v/>
      </c>
      <c r="Q769" s="23" t="str">
        <f aca="false">IF($X769="","",Settings!$C$6)</f>
        <v/>
      </c>
      <c r="R769" s="22" t="str">
        <f aca="false">IF($X769="","",SUMIFS('Per Line'!$Y$2:$Y$4001,'Per Line'!$D$2:$D$4001,$B769,'Per Line'!$AJ$2:$AJ$4001,1))</f>
        <v/>
      </c>
      <c r="S769" s="22" t="str">
        <f aca="false">IF($X769="","",R769*Q769)</f>
        <v/>
      </c>
      <c r="T769" s="22" t="str">
        <f aca="false">IF($X769="","",S769+P769)</f>
        <v/>
      </c>
      <c r="U769" s="22" t="str">
        <f aca="false">IF($X769="","",V769-T769)</f>
        <v/>
      </c>
      <c r="V769" s="22" t="str">
        <f aca="false">IF($X769="","",O769+R769)</f>
        <v/>
      </c>
      <c r="W769" s="22" t="str">
        <f aca="false">IF($X769="","",U769-L769)</f>
        <v/>
      </c>
      <c r="X769" s="24" t="str">
        <f aca="false">IF(ROWS($X$2:$X769)&lt;=MAX('Per Line'!$AI$2:$AI$4001),MATCH(ROWS($X$2:$X769),'Per Line'!$AI$2:$AI$4001,0),"")</f>
        <v/>
      </c>
    </row>
    <row r="770" customFormat="false" ht="15" hidden="false" customHeight="false" outlineLevel="0" collapsed="false">
      <c r="A770" s="19"/>
      <c r="B770" s="20" t="str">
        <f aca="false">IF($X770="","",INDEX('Per Line'!$D$2:$D$4001,$X770))</f>
        <v/>
      </c>
      <c r="C770" s="20" t="str">
        <f aca="false">IF($X770="","",INDEX('Per Line'!$C$2:$C$4001,$X770))</f>
        <v/>
      </c>
      <c r="D770" s="20" t="str">
        <f aca="false">IF($X770="","",INDEX('Per Line'!$A$2:$A$4001,$X770))</f>
        <v/>
      </c>
      <c r="E770" s="21" t="str">
        <f aca="false">IF($X770="","",INDEX('Per Line'!$F$2:$F$4001,$X770))</f>
        <v/>
      </c>
      <c r="F770" s="20" t="str">
        <f aca="false">IF($X770="","",INDEX('Per Line'!$G$2:$G$4001,$X770))</f>
        <v/>
      </c>
      <c r="G770" s="20" t="str">
        <f aca="false">IF($X770="","",INDEX('Per Line'!$I$2:$I$4001,$X770))</f>
        <v/>
      </c>
      <c r="H770" s="20" t="str">
        <f aca="false">IF($X770="","",INDEX('Per Line'!$J$2:$J$4001,$X770))</f>
        <v/>
      </c>
      <c r="I770" s="20" t="str">
        <f aca="false">IF($X770="","",INDEX('Per Line'!$K$2:$K$4001,$X770))</f>
        <v/>
      </c>
      <c r="J770" s="20" t="str">
        <f aca="false">IF($X770="","",INDEX('Per Line'!$L$2:$L$4001,$X770))</f>
        <v/>
      </c>
      <c r="K770" s="20" t="str">
        <f aca="false">IF($X770="","",INDEX('Per Line'!$M$2:$M$4001,$X770))</f>
        <v/>
      </c>
      <c r="L770" s="22" t="str">
        <f aca="false">IF($X770="","",K770*V770/100)</f>
        <v/>
      </c>
      <c r="M770" s="20" t="str">
        <f aca="false">IF($X770="","",INDEX('Per Line'!$Z$2:$Z$4001,$X770))</f>
        <v/>
      </c>
      <c r="N770" s="23" t="str">
        <f aca="false">IF($X770="","",Settings!$C$7)</f>
        <v/>
      </c>
      <c r="O770" s="22" t="str">
        <f aca="false">IF($X770="","",SUMIFS('Per Line'!$Y$2:$Y$4001,'Per Line'!$D$2:$D$4001,$B770,'Per Line'!$AJ$2:$AJ$4001,0))</f>
        <v/>
      </c>
      <c r="P770" s="22" t="str">
        <f aca="false">IF($X770="","",O770*N770)</f>
        <v/>
      </c>
      <c r="Q770" s="23" t="str">
        <f aca="false">IF($X770="","",Settings!$C$6)</f>
        <v/>
      </c>
      <c r="R770" s="22" t="str">
        <f aca="false">IF($X770="","",SUMIFS('Per Line'!$Y$2:$Y$4001,'Per Line'!$D$2:$D$4001,$B770,'Per Line'!$AJ$2:$AJ$4001,1))</f>
        <v/>
      </c>
      <c r="S770" s="22" t="str">
        <f aca="false">IF($X770="","",R770*Q770)</f>
        <v/>
      </c>
      <c r="T770" s="22" t="str">
        <f aca="false">IF($X770="","",S770+P770)</f>
        <v/>
      </c>
      <c r="U770" s="22" t="str">
        <f aca="false">IF($X770="","",V770-T770)</f>
        <v/>
      </c>
      <c r="V770" s="22" t="str">
        <f aca="false">IF($X770="","",O770+R770)</f>
        <v/>
      </c>
      <c r="W770" s="22" t="str">
        <f aca="false">IF($X770="","",U770-L770)</f>
        <v/>
      </c>
      <c r="X770" s="24" t="str">
        <f aca="false">IF(ROWS($X$2:$X770)&lt;=MAX('Per Line'!$AI$2:$AI$4001),MATCH(ROWS($X$2:$X770),'Per Line'!$AI$2:$AI$4001,0),"")</f>
        <v/>
      </c>
    </row>
    <row r="771" customFormat="false" ht="15" hidden="false" customHeight="false" outlineLevel="0" collapsed="false">
      <c r="A771" s="19"/>
      <c r="B771" s="20" t="str">
        <f aca="false">IF($X771="","",INDEX('Per Line'!$D$2:$D$4001,$X771))</f>
        <v/>
      </c>
      <c r="C771" s="20" t="str">
        <f aca="false">IF($X771="","",INDEX('Per Line'!$C$2:$C$4001,$X771))</f>
        <v/>
      </c>
      <c r="D771" s="20" t="str">
        <f aca="false">IF($X771="","",INDEX('Per Line'!$A$2:$A$4001,$X771))</f>
        <v/>
      </c>
      <c r="E771" s="21" t="str">
        <f aca="false">IF($X771="","",INDEX('Per Line'!$F$2:$F$4001,$X771))</f>
        <v/>
      </c>
      <c r="F771" s="20" t="str">
        <f aca="false">IF($X771="","",INDEX('Per Line'!$G$2:$G$4001,$X771))</f>
        <v/>
      </c>
      <c r="G771" s="20" t="str">
        <f aca="false">IF($X771="","",INDEX('Per Line'!$I$2:$I$4001,$X771))</f>
        <v/>
      </c>
      <c r="H771" s="20" t="str">
        <f aca="false">IF($X771="","",INDEX('Per Line'!$J$2:$J$4001,$X771))</f>
        <v/>
      </c>
      <c r="I771" s="20" t="str">
        <f aca="false">IF($X771="","",INDEX('Per Line'!$K$2:$K$4001,$X771))</f>
        <v/>
      </c>
      <c r="J771" s="20" t="str">
        <f aca="false">IF($X771="","",INDEX('Per Line'!$L$2:$L$4001,$X771))</f>
        <v/>
      </c>
      <c r="K771" s="20" t="str">
        <f aca="false">IF($X771="","",INDEX('Per Line'!$M$2:$M$4001,$X771))</f>
        <v/>
      </c>
      <c r="L771" s="22" t="str">
        <f aca="false">IF($X771="","",K771*V771/100)</f>
        <v/>
      </c>
      <c r="M771" s="20" t="str">
        <f aca="false">IF($X771="","",INDEX('Per Line'!$Z$2:$Z$4001,$X771))</f>
        <v/>
      </c>
      <c r="N771" s="23" t="str">
        <f aca="false">IF($X771="","",Settings!$C$7)</f>
        <v/>
      </c>
      <c r="O771" s="22" t="str">
        <f aca="false">IF($X771="","",SUMIFS('Per Line'!$Y$2:$Y$4001,'Per Line'!$D$2:$D$4001,$B771,'Per Line'!$AJ$2:$AJ$4001,0))</f>
        <v/>
      </c>
      <c r="P771" s="22" t="str">
        <f aca="false">IF($X771="","",O771*N771)</f>
        <v/>
      </c>
      <c r="Q771" s="23" t="str">
        <f aca="false">IF($X771="","",Settings!$C$6)</f>
        <v/>
      </c>
      <c r="R771" s="22" t="str">
        <f aca="false">IF($X771="","",SUMIFS('Per Line'!$Y$2:$Y$4001,'Per Line'!$D$2:$D$4001,$B771,'Per Line'!$AJ$2:$AJ$4001,1))</f>
        <v/>
      </c>
      <c r="S771" s="22" t="str">
        <f aca="false">IF($X771="","",R771*Q771)</f>
        <v/>
      </c>
      <c r="T771" s="22" t="str">
        <f aca="false">IF($X771="","",S771+P771)</f>
        <v/>
      </c>
      <c r="U771" s="22" t="str">
        <f aca="false">IF($X771="","",V771-T771)</f>
        <v/>
      </c>
      <c r="V771" s="22" t="str">
        <f aca="false">IF($X771="","",O771+R771)</f>
        <v/>
      </c>
      <c r="W771" s="22" t="str">
        <f aca="false">IF($X771="","",U771-L771)</f>
        <v/>
      </c>
      <c r="X771" s="24" t="str">
        <f aca="false">IF(ROWS($X$2:$X771)&lt;=MAX('Per Line'!$AI$2:$AI$4001),MATCH(ROWS($X$2:$X771),'Per Line'!$AI$2:$AI$4001,0),"")</f>
        <v/>
      </c>
    </row>
    <row r="772" customFormat="false" ht="15" hidden="false" customHeight="false" outlineLevel="0" collapsed="false">
      <c r="A772" s="19"/>
      <c r="B772" s="20" t="str">
        <f aca="false">IF($X772="","",INDEX('Per Line'!$D$2:$D$4001,$X772))</f>
        <v/>
      </c>
      <c r="C772" s="20" t="str">
        <f aca="false">IF($X772="","",INDEX('Per Line'!$C$2:$C$4001,$X772))</f>
        <v/>
      </c>
      <c r="D772" s="20" t="str">
        <f aca="false">IF($X772="","",INDEX('Per Line'!$A$2:$A$4001,$X772))</f>
        <v/>
      </c>
      <c r="E772" s="21" t="str">
        <f aca="false">IF($X772="","",INDEX('Per Line'!$F$2:$F$4001,$X772))</f>
        <v/>
      </c>
      <c r="F772" s="20" t="str">
        <f aca="false">IF($X772="","",INDEX('Per Line'!$G$2:$G$4001,$X772))</f>
        <v/>
      </c>
      <c r="G772" s="20" t="str">
        <f aca="false">IF($X772="","",INDEX('Per Line'!$I$2:$I$4001,$X772))</f>
        <v/>
      </c>
      <c r="H772" s="20" t="str">
        <f aca="false">IF($X772="","",INDEX('Per Line'!$J$2:$J$4001,$X772))</f>
        <v/>
      </c>
      <c r="I772" s="20" t="str">
        <f aca="false">IF($X772="","",INDEX('Per Line'!$K$2:$K$4001,$X772))</f>
        <v/>
      </c>
      <c r="J772" s="20" t="str">
        <f aca="false">IF($X772="","",INDEX('Per Line'!$L$2:$L$4001,$X772))</f>
        <v/>
      </c>
      <c r="K772" s="20" t="str">
        <f aca="false">IF($X772="","",INDEX('Per Line'!$M$2:$M$4001,$X772))</f>
        <v/>
      </c>
      <c r="L772" s="22" t="str">
        <f aca="false">IF($X772="","",K772*V772/100)</f>
        <v/>
      </c>
      <c r="M772" s="20" t="str">
        <f aca="false">IF($X772="","",INDEX('Per Line'!$Z$2:$Z$4001,$X772))</f>
        <v/>
      </c>
      <c r="N772" s="23" t="str">
        <f aca="false">IF($X772="","",Settings!$C$7)</f>
        <v/>
      </c>
      <c r="O772" s="22" t="str">
        <f aca="false">IF($X772="","",SUMIFS('Per Line'!$Y$2:$Y$4001,'Per Line'!$D$2:$D$4001,$B772,'Per Line'!$AJ$2:$AJ$4001,0))</f>
        <v/>
      </c>
      <c r="P772" s="22" t="str">
        <f aca="false">IF($X772="","",O772*N772)</f>
        <v/>
      </c>
      <c r="Q772" s="23" t="str">
        <f aca="false">IF($X772="","",Settings!$C$6)</f>
        <v/>
      </c>
      <c r="R772" s="22" t="str">
        <f aca="false">IF($X772="","",SUMIFS('Per Line'!$Y$2:$Y$4001,'Per Line'!$D$2:$D$4001,$B772,'Per Line'!$AJ$2:$AJ$4001,1))</f>
        <v/>
      </c>
      <c r="S772" s="22" t="str">
        <f aca="false">IF($X772="","",R772*Q772)</f>
        <v/>
      </c>
      <c r="T772" s="22" t="str">
        <f aca="false">IF($X772="","",S772+P772)</f>
        <v/>
      </c>
      <c r="U772" s="22" t="str">
        <f aca="false">IF($X772="","",V772-T772)</f>
        <v/>
      </c>
      <c r="V772" s="22" t="str">
        <f aca="false">IF($X772="","",O772+R772)</f>
        <v/>
      </c>
      <c r="W772" s="22" t="str">
        <f aca="false">IF($X772="","",U772-L772)</f>
        <v/>
      </c>
      <c r="X772" s="24" t="str">
        <f aca="false">IF(ROWS($X$2:$X772)&lt;=MAX('Per Line'!$AI$2:$AI$4001),MATCH(ROWS($X$2:$X772),'Per Line'!$AI$2:$AI$4001,0),"")</f>
        <v/>
      </c>
    </row>
    <row r="773" customFormat="false" ht="15" hidden="false" customHeight="false" outlineLevel="0" collapsed="false">
      <c r="A773" s="19"/>
      <c r="B773" s="20" t="str">
        <f aca="false">IF($X773="","",INDEX('Per Line'!$D$2:$D$4001,$X773))</f>
        <v/>
      </c>
      <c r="C773" s="20" t="str">
        <f aca="false">IF($X773="","",INDEX('Per Line'!$C$2:$C$4001,$X773))</f>
        <v/>
      </c>
      <c r="D773" s="20" t="str">
        <f aca="false">IF($X773="","",INDEX('Per Line'!$A$2:$A$4001,$X773))</f>
        <v/>
      </c>
      <c r="E773" s="21" t="str">
        <f aca="false">IF($X773="","",INDEX('Per Line'!$F$2:$F$4001,$X773))</f>
        <v/>
      </c>
      <c r="F773" s="20" t="str">
        <f aca="false">IF($X773="","",INDEX('Per Line'!$G$2:$G$4001,$X773))</f>
        <v/>
      </c>
      <c r="G773" s="20" t="str">
        <f aca="false">IF($X773="","",INDEX('Per Line'!$I$2:$I$4001,$X773))</f>
        <v/>
      </c>
      <c r="H773" s="20" t="str">
        <f aca="false">IF($X773="","",INDEX('Per Line'!$J$2:$J$4001,$X773))</f>
        <v/>
      </c>
      <c r="I773" s="20" t="str">
        <f aca="false">IF($X773="","",INDEX('Per Line'!$K$2:$K$4001,$X773))</f>
        <v/>
      </c>
      <c r="J773" s="20" t="str">
        <f aca="false">IF($X773="","",INDEX('Per Line'!$L$2:$L$4001,$X773))</f>
        <v/>
      </c>
      <c r="K773" s="20" t="str">
        <f aca="false">IF($X773="","",INDEX('Per Line'!$M$2:$M$4001,$X773))</f>
        <v/>
      </c>
      <c r="L773" s="22" t="str">
        <f aca="false">IF($X773="","",K773*V773/100)</f>
        <v/>
      </c>
      <c r="M773" s="20" t="str">
        <f aca="false">IF($X773="","",INDEX('Per Line'!$Z$2:$Z$4001,$X773))</f>
        <v/>
      </c>
      <c r="N773" s="23" t="str">
        <f aca="false">IF($X773="","",Settings!$C$7)</f>
        <v/>
      </c>
      <c r="O773" s="22" t="str">
        <f aca="false">IF($X773="","",SUMIFS('Per Line'!$Y$2:$Y$4001,'Per Line'!$D$2:$D$4001,$B773,'Per Line'!$AJ$2:$AJ$4001,0))</f>
        <v/>
      </c>
      <c r="P773" s="22" t="str">
        <f aca="false">IF($X773="","",O773*N773)</f>
        <v/>
      </c>
      <c r="Q773" s="23" t="str">
        <f aca="false">IF($X773="","",Settings!$C$6)</f>
        <v/>
      </c>
      <c r="R773" s="22" t="str">
        <f aca="false">IF($X773="","",SUMIFS('Per Line'!$Y$2:$Y$4001,'Per Line'!$D$2:$D$4001,$B773,'Per Line'!$AJ$2:$AJ$4001,1))</f>
        <v/>
      </c>
      <c r="S773" s="22" t="str">
        <f aca="false">IF($X773="","",R773*Q773)</f>
        <v/>
      </c>
      <c r="T773" s="22" t="str">
        <f aca="false">IF($X773="","",S773+P773)</f>
        <v/>
      </c>
      <c r="U773" s="22" t="str">
        <f aca="false">IF($X773="","",V773-T773)</f>
        <v/>
      </c>
      <c r="V773" s="22" t="str">
        <f aca="false">IF($X773="","",O773+R773)</f>
        <v/>
      </c>
      <c r="W773" s="22" t="str">
        <f aca="false">IF($X773="","",U773-L773)</f>
        <v/>
      </c>
      <c r="X773" s="24" t="str">
        <f aca="false">IF(ROWS($X$2:$X773)&lt;=MAX('Per Line'!$AI$2:$AI$4001),MATCH(ROWS($X$2:$X773),'Per Line'!$AI$2:$AI$4001,0),"")</f>
        <v/>
      </c>
    </row>
    <row r="774" customFormat="false" ht="15" hidden="false" customHeight="false" outlineLevel="0" collapsed="false">
      <c r="A774" s="19"/>
      <c r="B774" s="20" t="str">
        <f aca="false">IF($X774="","",INDEX('Per Line'!$D$2:$D$4001,$X774))</f>
        <v/>
      </c>
      <c r="C774" s="20" t="str">
        <f aca="false">IF($X774="","",INDEX('Per Line'!$C$2:$C$4001,$X774))</f>
        <v/>
      </c>
      <c r="D774" s="20" t="str">
        <f aca="false">IF($X774="","",INDEX('Per Line'!$A$2:$A$4001,$X774))</f>
        <v/>
      </c>
      <c r="E774" s="21" t="str">
        <f aca="false">IF($X774="","",INDEX('Per Line'!$F$2:$F$4001,$X774))</f>
        <v/>
      </c>
      <c r="F774" s="20" t="str">
        <f aca="false">IF($X774="","",INDEX('Per Line'!$G$2:$G$4001,$X774))</f>
        <v/>
      </c>
      <c r="G774" s="20" t="str">
        <f aca="false">IF($X774="","",INDEX('Per Line'!$I$2:$I$4001,$X774))</f>
        <v/>
      </c>
      <c r="H774" s="20" t="str">
        <f aca="false">IF($X774="","",INDEX('Per Line'!$J$2:$J$4001,$X774))</f>
        <v/>
      </c>
      <c r="I774" s="20" t="str">
        <f aca="false">IF($X774="","",INDEX('Per Line'!$K$2:$K$4001,$X774))</f>
        <v/>
      </c>
      <c r="J774" s="20" t="str">
        <f aca="false">IF($X774="","",INDEX('Per Line'!$L$2:$L$4001,$X774))</f>
        <v/>
      </c>
      <c r="K774" s="20" t="str">
        <f aca="false">IF($X774="","",INDEX('Per Line'!$M$2:$M$4001,$X774))</f>
        <v/>
      </c>
      <c r="L774" s="22" t="str">
        <f aca="false">IF($X774="","",K774*V774/100)</f>
        <v/>
      </c>
      <c r="M774" s="20" t="str">
        <f aca="false">IF($X774="","",INDEX('Per Line'!$Z$2:$Z$4001,$X774))</f>
        <v/>
      </c>
      <c r="N774" s="23" t="str">
        <f aca="false">IF($X774="","",Settings!$C$7)</f>
        <v/>
      </c>
      <c r="O774" s="22" t="str">
        <f aca="false">IF($X774="","",SUMIFS('Per Line'!$Y$2:$Y$4001,'Per Line'!$D$2:$D$4001,$B774,'Per Line'!$AJ$2:$AJ$4001,0))</f>
        <v/>
      </c>
      <c r="P774" s="22" t="str">
        <f aca="false">IF($X774="","",O774*N774)</f>
        <v/>
      </c>
      <c r="Q774" s="23" t="str">
        <f aca="false">IF($X774="","",Settings!$C$6)</f>
        <v/>
      </c>
      <c r="R774" s="22" t="str">
        <f aca="false">IF($X774="","",SUMIFS('Per Line'!$Y$2:$Y$4001,'Per Line'!$D$2:$D$4001,$B774,'Per Line'!$AJ$2:$AJ$4001,1))</f>
        <v/>
      </c>
      <c r="S774" s="22" t="str">
        <f aca="false">IF($X774="","",R774*Q774)</f>
        <v/>
      </c>
      <c r="T774" s="22" t="str">
        <f aca="false">IF($X774="","",S774+P774)</f>
        <v/>
      </c>
      <c r="U774" s="22" t="str">
        <f aca="false">IF($X774="","",V774-T774)</f>
        <v/>
      </c>
      <c r="V774" s="22" t="str">
        <f aca="false">IF($X774="","",O774+R774)</f>
        <v/>
      </c>
      <c r="W774" s="22" t="str">
        <f aca="false">IF($X774="","",U774-L774)</f>
        <v/>
      </c>
      <c r="X774" s="24" t="str">
        <f aca="false">IF(ROWS($X$2:$X774)&lt;=MAX('Per Line'!$AI$2:$AI$4001),MATCH(ROWS($X$2:$X774),'Per Line'!$AI$2:$AI$4001,0),"")</f>
        <v/>
      </c>
    </row>
    <row r="775" customFormat="false" ht="15" hidden="false" customHeight="false" outlineLevel="0" collapsed="false">
      <c r="A775" s="19"/>
      <c r="B775" s="20" t="str">
        <f aca="false">IF($X775="","",INDEX('Per Line'!$D$2:$D$4001,$X775))</f>
        <v/>
      </c>
      <c r="C775" s="20" t="str">
        <f aca="false">IF($X775="","",INDEX('Per Line'!$C$2:$C$4001,$X775))</f>
        <v/>
      </c>
      <c r="D775" s="20" t="str">
        <f aca="false">IF($X775="","",INDEX('Per Line'!$A$2:$A$4001,$X775))</f>
        <v/>
      </c>
      <c r="E775" s="21" t="str">
        <f aca="false">IF($X775="","",INDEX('Per Line'!$F$2:$F$4001,$X775))</f>
        <v/>
      </c>
      <c r="F775" s="20" t="str">
        <f aca="false">IF($X775="","",INDEX('Per Line'!$G$2:$G$4001,$X775))</f>
        <v/>
      </c>
      <c r="G775" s="20" t="str">
        <f aca="false">IF($X775="","",INDEX('Per Line'!$I$2:$I$4001,$X775))</f>
        <v/>
      </c>
      <c r="H775" s="20" t="str">
        <f aca="false">IF($X775="","",INDEX('Per Line'!$J$2:$J$4001,$X775))</f>
        <v/>
      </c>
      <c r="I775" s="20" t="str">
        <f aca="false">IF($X775="","",INDEX('Per Line'!$K$2:$K$4001,$X775))</f>
        <v/>
      </c>
      <c r="J775" s="20" t="str">
        <f aca="false">IF($X775="","",INDEX('Per Line'!$L$2:$L$4001,$X775))</f>
        <v/>
      </c>
      <c r="K775" s="20" t="str">
        <f aca="false">IF($X775="","",INDEX('Per Line'!$M$2:$M$4001,$X775))</f>
        <v/>
      </c>
      <c r="L775" s="22" t="str">
        <f aca="false">IF($X775="","",K775*V775/100)</f>
        <v/>
      </c>
      <c r="M775" s="20" t="str">
        <f aca="false">IF($X775="","",INDEX('Per Line'!$Z$2:$Z$4001,$X775))</f>
        <v/>
      </c>
      <c r="N775" s="23" t="str">
        <f aca="false">IF($X775="","",Settings!$C$7)</f>
        <v/>
      </c>
      <c r="O775" s="22" t="str">
        <f aca="false">IF($X775="","",SUMIFS('Per Line'!$Y$2:$Y$4001,'Per Line'!$D$2:$D$4001,$B775,'Per Line'!$AJ$2:$AJ$4001,0))</f>
        <v/>
      </c>
      <c r="P775" s="22" t="str">
        <f aca="false">IF($X775="","",O775*N775)</f>
        <v/>
      </c>
      <c r="Q775" s="23" t="str">
        <f aca="false">IF($X775="","",Settings!$C$6)</f>
        <v/>
      </c>
      <c r="R775" s="22" t="str">
        <f aca="false">IF($X775="","",SUMIFS('Per Line'!$Y$2:$Y$4001,'Per Line'!$D$2:$D$4001,$B775,'Per Line'!$AJ$2:$AJ$4001,1))</f>
        <v/>
      </c>
      <c r="S775" s="22" t="str">
        <f aca="false">IF($X775="","",R775*Q775)</f>
        <v/>
      </c>
      <c r="T775" s="22" t="str">
        <f aca="false">IF($X775="","",S775+P775)</f>
        <v/>
      </c>
      <c r="U775" s="22" t="str">
        <f aca="false">IF($X775="","",V775-T775)</f>
        <v/>
      </c>
      <c r="V775" s="22" t="str">
        <f aca="false">IF($X775="","",O775+R775)</f>
        <v/>
      </c>
      <c r="W775" s="22" t="str">
        <f aca="false">IF($X775="","",U775-L775)</f>
        <v/>
      </c>
      <c r="X775" s="24" t="str">
        <f aca="false">IF(ROWS($X$2:$X775)&lt;=MAX('Per Line'!$AI$2:$AI$4001),MATCH(ROWS($X$2:$X775),'Per Line'!$AI$2:$AI$4001,0),"")</f>
        <v/>
      </c>
    </row>
    <row r="776" customFormat="false" ht="15" hidden="false" customHeight="false" outlineLevel="0" collapsed="false">
      <c r="A776" s="19"/>
      <c r="B776" s="20" t="str">
        <f aca="false">IF($X776="","",INDEX('Per Line'!$D$2:$D$4001,$X776))</f>
        <v/>
      </c>
      <c r="C776" s="20" t="str">
        <f aca="false">IF($X776="","",INDEX('Per Line'!$C$2:$C$4001,$X776))</f>
        <v/>
      </c>
      <c r="D776" s="20" t="str">
        <f aca="false">IF($X776="","",INDEX('Per Line'!$A$2:$A$4001,$X776))</f>
        <v/>
      </c>
      <c r="E776" s="21" t="str">
        <f aca="false">IF($X776="","",INDEX('Per Line'!$F$2:$F$4001,$X776))</f>
        <v/>
      </c>
      <c r="F776" s="20" t="str">
        <f aca="false">IF($X776="","",INDEX('Per Line'!$G$2:$G$4001,$X776))</f>
        <v/>
      </c>
      <c r="G776" s="20" t="str">
        <f aca="false">IF($X776="","",INDEX('Per Line'!$I$2:$I$4001,$X776))</f>
        <v/>
      </c>
      <c r="H776" s="20" t="str">
        <f aca="false">IF($X776="","",INDEX('Per Line'!$J$2:$J$4001,$X776))</f>
        <v/>
      </c>
      <c r="I776" s="20" t="str">
        <f aca="false">IF($X776="","",INDEX('Per Line'!$K$2:$K$4001,$X776))</f>
        <v/>
      </c>
      <c r="J776" s="20" t="str">
        <f aca="false">IF($X776="","",INDEX('Per Line'!$L$2:$L$4001,$X776))</f>
        <v/>
      </c>
      <c r="K776" s="20" t="str">
        <f aca="false">IF($X776="","",INDEX('Per Line'!$M$2:$M$4001,$X776))</f>
        <v/>
      </c>
      <c r="L776" s="22" t="str">
        <f aca="false">IF($X776="","",K776*V776/100)</f>
        <v/>
      </c>
      <c r="M776" s="20" t="str">
        <f aca="false">IF($X776="","",INDEX('Per Line'!$Z$2:$Z$4001,$X776))</f>
        <v/>
      </c>
      <c r="N776" s="23" t="str">
        <f aca="false">IF($X776="","",Settings!$C$7)</f>
        <v/>
      </c>
      <c r="O776" s="22" t="str">
        <f aca="false">IF($X776="","",SUMIFS('Per Line'!$Y$2:$Y$4001,'Per Line'!$D$2:$D$4001,$B776,'Per Line'!$AJ$2:$AJ$4001,0))</f>
        <v/>
      </c>
      <c r="P776" s="22" t="str">
        <f aca="false">IF($X776="","",O776*N776)</f>
        <v/>
      </c>
      <c r="Q776" s="23" t="str">
        <f aca="false">IF($X776="","",Settings!$C$6)</f>
        <v/>
      </c>
      <c r="R776" s="22" t="str">
        <f aca="false">IF($X776="","",SUMIFS('Per Line'!$Y$2:$Y$4001,'Per Line'!$D$2:$D$4001,$B776,'Per Line'!$AJ$2:$AJ$4001,1))</f>
        <v/>
      </c>
      <c r="S776" s="22" t="str">
        <f aca="false">IF($X776="","",R776*Q776)</f>
        <v/>
      </c>
      <c r="T776" s="22" t="str">
        <f aca="false">IF($X776="","",S776+P776)</f>
        <v/>
      </c>
      <c r="U776" s="22" t="str">
        <f aca="false">IF($X776="","",V776-T776)</f>
        <v/>
      </c>
      <c r="V776" s="22" t="str">
        <f aca="false">IF($X776="","",O776+R776)</f>
        <v/>
      </c>
      <c r="W776" s="22" t="str">
        <f aca="false">IF($X776="","",U776-L776)</f>
        <v/>
      </c>
      <c r="X776" s="24" t="str">
        <f aca="false">IF(ROWS($X$2:$X776)&lt;=MAX('Per Line'!$AI$2:$AI$4001),MATCH(ROWS($X$2:$X776),'Per Line'!$AI$2:$AI$4001,0),"")</f>
        <v/>
      </c>
    </row>
    <row r="777" customFormat="false" ht="15" hidden="false" customHeight="false" outlineLevel="0" collapsed="false">
      <c r="A777" s="19"/>
      <c r="B777" s="20" t="str">
        <f aca="false">IF($X777="","",INDEX('Per Line'!$D$2:$D$4001,$X777))</f>
        <v/>
      </c>
      <c r="C777" s="20" t="str">
        <f aca="false">IF($X777="","",INDEX('Per Line'!$C$2:$C$4001,$X777))</f>
        <v/>
      </c>
      <c r="D777" s="20" t="str">
        <f aca="false">IF($X777="","",INDEX('Per Line'!$A$2:$A$4001,$X777))</f>
        <v/>
      </c>
      <c r="E777" s="21" t="str">
        <f aca="false">IF($X777="","",INDEX('Per Line'!$F$2:$F$4001,$X777))</f>
        <v/>
      </c>
      <c r="F777" s="20" t="str">
        <f aca="false">IF($X777="","",INDEX('Per Line'!$G$2:$G$4001,$X777))</f>
        <v/>
      </c>
      <c r="G777" s="20" t="str">
        <f aca="false">IF($X777="","",INDEX('Per Line'!$I$2:$I$4001,$X777))</f>
        <v/>
      </c>
      <c r="H777" s="20" t="str">
        <f aca="false">IF($X777="","",INDEX('Per Line'!$J$2:$J$4001,$X777))</f>
        <v/>
      </c>
      <c r="I777" s="20" t="str">
        <f aca="false">IF($X777="","",INDEX('Per Line'!$K$2:$K$4001,$X777))</f>
        <v/>
      </c>
      <c r="J777" s="20" t="str">
        <f aca="false">IF($X777="","",INDEX('Per Line'!$L$2:$L$4001,$X777))</f>
        <v/>
      </c>
      <c r="K777" s="20" t="str">
        <f aca="false">IF($X777="","",INDEX('Per Line'!$M$2:$M$4001,$X777))</f>
        <v/>
      </c>
      <c r="L777" s="22" t="str">
        <f aca="false">IF($X777="","",K777*V777/100)</f>
        <v/>
      </c>
      <c r="M777" s="20" t="str">
        <f aca="false">IF($X777="","",INDEX('Per Line'!$Z$2:$Z$4001,$X777))</f>
        <v/>
      </c>
      <c r="N777" s="23" t="str">
        <f aca="false">IF($X777="","",Settings!$C$7)</f>
        <v/>
      </c>
      <c r="O777" s="22" t="str">
        <f aca="false">IF($X777="","",SUMIFS('Per Line'!$Y$2:$Y$4001,'Per Line'!$D$2:$D$4001,$B777,'Per Line'!$AJ$2:$AJ$4001,0))</f>
        <v/>
      </c>
      <c r="P777" s="22" t="str">
        <f aca="false">IF($X777="","",O777*N777)</f>
        <v/>
      </c>
      <c r="Q777" s="23" t="str">
        <f aca="false">IF($X777="","",Settings!$C$6)</f>
        <v/>
      </c>
      <c r="R777" s="22" t="str">
        <f aca="false">IF($X777="","",SUMIFS('Per Line'!$Y$2:$Y$4001,'Per Line'!$D$2:$D$4001,$B777,'Per Line'!$AJ$2:$AJ$4001,1))</f>
        <v/>
      </c>
      <c r="S777" s="22" t="str">
        <f aca="false">IF($X777="","",R777*Q777)</f>
        <v/>
      </c>
      <c r="T777" s="22" t="str">
        <f aca="false">IF($X777="","",S777+P777)</f>
        <v/>
      </c>
      <c r="U777" s="22" t="str">
        <f aca="false">IF($X777="","",V777-T777)</f>
        <v/>
      </c>
      <c r="V777" s="22" t="str">
        <f aca="false">IF($X777="","",O777+R777)</f>
        <v/>
      </c>
      <c r="W777" s="22" t="str">
        <f aca="false">IF($X777="","",U777-L777)</f>
        <v/>
      </c>
      <c r="X777" s="24" t="str">
        <f aca="false">IF(ROWS($X$2:$X777)&lt;=MAX('Per Line'!$AI$2:$AI$4001),MATCH(ROWS($X$2:$X777),'Per Line'!$AI$2:$AI$4001,0),"")</f>
        <v/>
      </c>
    </row>
    <row r="778" customFormat="false" ht="15" hidden="false" customHeight="false" outlineLevel="0" collapsed="false">
      <c r="A778" s="19"/>
      <c r="B778" s="20" t="str">
        <f aca="false">IF($X778="","",INDEX('Per Line'!$D$2:$D$4001,$X778))</f>
        <v/>
      </c>
      <c r="C778" s="20" t="str">
        <f aca="false">IF($X778="","",INDEX('Per Line'!$C$2:$C$4001,$X778))</f>
        <v/>
      </c>
      <c r="D778" s="20" t="str">
        <f aca="false">IF($X778="","",INDEX('Per Line'!$A$2:$A$4001,$X778))</f>
        <v/>
      </c>
      <c r="E778" s="21" t="str">
        <f aca="false">IF($X778="","",INDEX('Per Line'!$F$2:$F$4001,$X778))</f>
        <v/>
      </c>
      <c r="F778" s="20" t="str">
        <f aca="false">IF($X778="","",INDEX('Per Line'!$G$2:$G$4001,$X778))</f>
        <v/>
      </c>
      <c r="G778" s="20" t="str">
        <f aca="false">IF($X778="","",INDEX('Per Line'!$I$2:$I$4001,$X778))</f>
        <v/>
      </c>
      <c r="H778" s="20" t="str">
        <f aca="false">IF($X778="","",INDEX('Per Line'!$J$2:$J$4001,$X778))</f>
        <v/>
      </c>
      <c r="I778" s="20" t="str">
        <f aca="false">IF($X778="","",INDEX('Per Line'!$K$2:$K$4001,$X778))</f>
        <v/>
      </c>
      <c r="J778" s="20" t="str">
        <f aca="false">IF($X778="","",INDEX('Per Line'!$L$2:$L$4001,$X778))</f>
        <v/>
      </c>
      <c r="K778" s="20" t="str">
        <f aca="false">IF($X778="","",INDEX('Per Line'!$M$2:$M$4001,$X778))</f>
        <v/>
      </c>
      <c r="L778" s="22" t="str">
        <f aca="false">IF($X778="","",K778*V778/100)</f>
        <v/>
      </c>
      <c r="M778" s="20" t="str">
        <f aca="false">IF($X778="","",INDEX('Per Line'!$Z$2:$Z$4001,$X778))</f>
        <v/>
      </c>
      <c r="N778" s="23" t="str">
        <f aca="false">IF($X778="","",Settings!$C$7)</f>
        <v/>
      </c>
      <c r="O778" s="22" t="str">
        <f aca="false">IF($X778="","",SUMIFS('Per Line'!$Y$2:$Y$4001,'Per Line'!$D$2:$D$4001,$B778,'Per Line'!$AJ$2:$AJ$4001,0))</f>
        <v/>
      </c>
      <c r="P778" s="22" t="str">
        <f aca="false">IF($X778="","",O778*N778)</f>
        <v/>
      </c>
      <c r="Q778" s="23" t="str">
        <f aca="false">IF($X778="","",Settings!$C$6)</f>
        <v/>
      </c>
      <c r="R778" s="22" t="str">
        <f aca="false">IF($X778="","",SUMIFS('Per Line'!$Y$2:$Y$4001,'Per Line'!$D$2:$D$4001,$B778,'Per Line'!$AJ$2:$AJ$4001,1))</f>
        <v/>
      </c>
      <c r="S778" s="22" t="str">
        <f aca="false">IF($X778="","",R778*Q778)</f>
        <v/>
      </c>
      <c r="T778" s="22" t="str">
        <f aca="false">IF($X778="","",S778+P778)</f>
        <v/>
      </c>
      <c r="U778" s="22" t="str">
        <f aca="false">IF($X778="","",V778-T778)</f>
        <v/>
      </c>
      <c r="V778" s="22" t="str">
        <f aca="false">IF($X778="","",O778+R778)</f>
        <v/>
      </c>
      <c r="W778" s="22" t="str">
        <f aca="false">IF($X778="","",U778-L778)</f>
        <v/>
      </c>
      <c r="X778" s="24" t="str">
        <f aca="false">IF(ROWS($X$2:$X778)&lt;=MAX('Per Line'!$AI$2:$AI$4001),MATCH(ROWS($X$2:$X778),'Per Line'!$AI$2:$AI$4001,0),"")</f>
        <v/>
      </c>
    </row>
    <row r="779" customFormat="false" ht="15" hidden="false" customHeight="false" outlineLevel="0" collapsed="false">
      <c r="A779" s="19"/>
      <c r="B779" s="20" t="str">
        <f aca="false">IF($X779="","",INDEX('Per Line'!$D$2:$D$4001,$X779))</f>
        <v/>
      </c>
      <c r="C779" s="20" t="str">
        <f aca="false">IF($X779="","",INDEX('Per Line'!$C$2:$C$4001,$X779))</f>
        <v/>
      </c>
      <c r="D779" s="20" t="str">
        <f aca="false">IF($X779="","",INDEX('Per Line'!$A$2:$A$4001,$X779))</f>
        <v/>
      </c>
      <c r="E779" s="21" t="str">
        <f aca="false">IF($X779="","",INDEX('Per Line'!$F$2:$F$4001,$X779))</f>
        <v/>
      </c>
      <c r="F779" s="20" t="str">
        <f aca="false">IF($X779="","",INDEX('Per Line'!$G$2:$G$4001,$X779))</f>
        <v/>
      </c>
      <c r="G779" s="20" t="str">
        <f aca="false">IF($X779="","",INDEX('Per Line'!$I$2:$I$4001,$X779))</f>
        <v/>
      </c>
      <c r="H779" s="20" t="str">
        <f aca="false">IF($X779="","",INDEX('Per Line'!$J$2:$J$4001,$X779))</f>
        <v/>
      </c>
      <c r="I779" s="20" t="str">
        <f aca="false">IF($X779="","",INDEX('Per Line'!$K$2:$K$4001,$X779))</f>
        <v/>
      </c>
      <c r="J779" s="20" t="str">
        <f aca="false">IF($X779="","",INDEX('Per Line'!$L$2:$L$4001,$X779))</f>
        <v/>
      </c>
      <c r="K779" s="20" t="str">
        <f aca="false">IF($X779="","",INDEX('Per Line'!$M$2:$M$4001,$X779))</f>
        <v/>
      </c>
      <c r="L779" s="22" t="str">
        <f aca="false">IF($X779="","",K779*V779/100)</f>
        <v/>
      </c>
      <c r="M779" s="20" t="str">
        <f aca="false">IF($X779="","",INDEX('Per Line'!$Z$2:$Z$4001,$X779))</f>
        <v/>
      </c>
      <c r="N779" s="23" t="str">
        <f aca="false">IF($X779="","",Settings!$C$7)</f>
        <v/>
      </c>
      <c r="O779" s="22" t="str">
        <f aca="false">IF($X779="","",SUMIFS('Per Line'!$Y$2:$Y$4001,'Per Line'!$D$2:$D$4001,$B779,'Per Line'!$AJ$2:$AJ$4001,0))</f>
        <v/>
      </c>
      <c r="P779" s="22" t="str">
        <f aca="false">IF($X779="","",O779*N779)</f>
        <v/>
      </c>
      <c r="Q779" s="23" t="str">
        <f aca="false">IF($X779="","",Settings!$C$6)</f>
        <v/>
      </c>
      <c r="R779" s="22" t="str">
        <f aca="false">IF($X779="","",SUMIFS('Per Line'!$Y$2:$Y$4001,'Per Line'!$D$2:$D$4001,$B779,'Per Line'!$AJ$2:$AJ$4001,1))</f>
        <v/>
      </c>
      <c r="S779" s="22" t="str">
        <f aca="false">IF($X779="","",R779*Q779)</f>
        <v/>
      </c>
      <c r="T779" s="22" t="str">
        <f aca="false">IF($X779="","",S779+P779)</f>
        <v/>
      </c>
      <c r="U779" s="22" t="str">
        <f aca="false">IF($X779="","",V779-T779)</f>
        <v/>
      </c>
      <c r="V779" s="22" t="str">
        <f aca="false">IF($X779="","",O779+R779)</f>
        <v/>
      </c>
      <c r="W779" s="22" t="str">
        <f aca="false">IF($X779="","",U779-L779)</f>
        <v/>
      </c>
      <c r="X779" s="24" t="str">
        <f aca="false">IF(ROWS($X$2:$X779)&lt;=MAX('Per Line'!$AI$2:$AI$4001),MATCH(ROWS($X$2:$X779),'Per Line'!$AI$2:$AI$4001,0),"")</f>
        <v/>
      </c>
    </row>
    <row r="780" customFormat="false" ht="15" hidden="false" customHeight="false" outlineLevel="0" collapsed="false">
      <c r="A780" s="19"/>
      <c r="B780" s="20" t="str">
        <f aca="false">IF($X780="","",INDEX('Per Line'!$D$2:$D$4001,$X780))</f>
        <v/>
      </c>
      <c r="C780" s="20" t="str">
        <f aca="false">IF($X780="","",INDEX('Per Line'!$C$2:$C$4001,$X780))</f>
        <v/>
      </c>
      <c r="D780" s="20" t="str">
        <f aca="false">IF($X780="","",INDEX('Per Line'!$A$2:$A$4001,$X780))</f>
        <v/>
      </c>
      <c r="E780" s="21" t="str">
        <f aca="false">IF($X780="","",INDEX('Per Line'!$F$2:$F$4001,$X780))</f>
        <v/>
      </c>
      <c r="F780" s="20" t="str">
        <f aca="false">IF($X780="","",INDEX('Per Line'!$G$2:$G$4001,$X780))</f>
        <v/>
      </c>
      <c r="G780" s="20" t="str">
        <f aca="false">IF($X780="","",INDEX('Per Line'!$I$2:$I$4001,$X780))</f>
        <v/>
      </c>
      <c r="H780" s="20" t="str">
        <f aca="false">IF($X780="","",INDEX('Per Line'!$J$2:$J$4001,$X780))</f>
        <v/>
      </c>
      <c r="I780" s="20" t="str">
        <f aca="false">IF($X780="","",INDEX('Per Line'!$K$2:$K$4001,$X780))</f>
        <v/>
      </c>
      <c r="J780" s="20" t="str">
        <f aca="false">IF($X780="","",INDEX('Per Line'!$L$2:$L$4001,$X780))</f>
        <v/>
      </c>
      <c r="K780" s="20" t="str">
        <f aca="false">IF($X780="","",INDEX('Per Line'!$M$2:$M$4001,$X780))</f>
        <v/>
      </c>
      <c r="L780" s="22" t="str">
        <f aca="false">IF($X780="","",K780*V780/100)</f>
        <v/>
      </c>
      <c r="M780" s="20" t="str">
        <f aca="false">IF($X780="","",INDEX('Per Line'!$Z$2:$Z$4001,$X780))</f>
        <v/>
      </c>
      <c r="N780" s="23" t="str">
        <f aca="false">IF($X780="","",Settings!$C$7)</f>
        <v/>
      </c>
      <c r="O780" s="22" t="str">
        <f aca="false">IF($X780="","",SUMIFS('Per Line'!$Y$2:$Y$4001,'Per Line'!$D$2:$D$4001,$B780,'Per Line'!$AJ$2:$AJ$4001,0))</f>
        <v/>
      </c>
      <c r="P780" s="22" t="str">
        <f aca="false">IF($X780="","",O780*N780)</f>
        <v/>
      </c>
      <c r="Q780" s="23" t="str">
        <f aca="false">IF($X780="","",Settings!$C$6)</f>
        <v/>
      </c>
      <c r="R780" s="22" t="str">
        <f aca="false">IF($X780="","",SUMIFS('Per Line'!$Y$2:$Y$4001,'Per Line'!$D$2:$D$4001,$B780,'Per Line'!$AJ$2:$AJ$4001,1))</f>
        <v/>
      </c>
      <c r="S780" s="22" t="str">
        <f aca="false">IF($X780="","",R780*Q780)</f>
        <v/>
      </c>
      <c r="T780" s="22" t="str">
        <f aca="false">IF($X780="","",S780+P780)</f>
        <v/>
      </c>
      <c r="U780" s="22" t="str">
        <f aca="false">IF($X780="","",V780-T780)</f>
        <v/>
      </c>
      <c r="V780" s="22" t="str">
        <f aca="false">IF($X780="","",O780+R780)</f>
        <v/>
      </c>
      <c r="W780" s="22" t="str">
        <f aca="false">IF($X780="","",U780-L780)</f>
        <v/>
      </c>
      <c r="X780" s="24" t="str">
        <f aca="false">IF(ROWS($X$2:$X780)&lt;=MAX('Per Line'!$AI$2:$AI$4001),MATCH(ROWS($X$2:$X780),'Per Line'!$AI$2:$AI$4001,0),"")</f>
        <v/>
      </c>
    </row>
    <row r="781" customFormat="false" ht="15" hidden="false" customHeight="false" outlineLevel="0" collapsed="false">
      <c r="A781" s="19"/>
      <c r="B781" s="20" t="str">
        <f aca="false">IF($X781="","",INDEX('Per Line'!$D$2:$D$4001,$X781))</f>
        <v/>
      </c>
      <c r="C781" s="20" t="str">
        <f aca="false">IF($X781="","",INDEX('Per Line'!$C$2:$C$4001,$X781))</f>
        <v/>
      </c>
      <c r="D781" s="20" t="str">
        <f aca="false">IF($X781="","",INDEX('Per Line'!$A$2:$A$4001,$X781))</f>
        <v/>
      </c>
      <c r="E781" s="21" t="str">
        <f aca="false">IF($X781="","",INDEX('Per Line'!$F$2:$F$4001,$X781))</f>
        <v/>
      </c>
      <c r="F781" s="20" t="str">
        <f aca="false">IF($X781="","",INDEX('Per Line'!$G$2:$G$4001,$X781))</f>
        <v/>
      </c>
      <c r="G781" s="20" t="str">
        <f aca="false">IF($X781="","",INDEX('Per Line'!$I$2:$I$4001,$X781))</f>
        <v/>
      </c>
      <c r="H781" s="20" t="str">
        <f aca="false">IF($X781="","",INDEX('Per Line'!$J$2:$J$4001,$X781))</f>
        <v/>
      </c>
      <c r="I781" s="20" t="str">
        <f aca="false">IF($X781="","",INDEX('Per Line'!$K$2:$K$4001,$X781))</f>
        <v/>
      </c>
      <c r="J781" s="20" t="str">
        <f aca="false">IF($X781="","",INDEX('Per Line'!$L$2:$L$4001,$X781))</f>
        <v/>
      </c>
      <c r="K781" s="20" t="str">
        <f aca="false">IF($X781="","",INDEX('Per Line'!$M$2:$M$4001,$X781))</f>
        <v/>
      </c>
      <c r="L781" s="22" t="str">
        <f aca="false">IF($X781="","",K781*V781/100)</f>
        <v/>
      </c>
      <c r="M781" s="20" t="str">
        <f aca="false">IF($X781="","",INDEX('Per Line'!$Z$2:$Z$4001,$X781))</f>
        <v/>
      </c>
      <c r="N781" s="23" t="str">
        <f aca="false">IF($X781="","",Settings!$C$7)</f>
        <v/>
      </c>
      <c r="O781" s="22" t="str">
        <f aca="false">IF($X781="","",SUMIFS('Per Line'!$Y$2:$Y$4001,'Per Line'!$D$2:$D$4001,$B781,'Per Line'!$AJ$2:$AJ$4001,0))</f>
        <v/>
      </c>
      <c r="P781" s="22" t="str">
        <f aca="false">IF($X781="","",O781*N781)</f>
        <v/>
      </c>
      <c r="Q781" s="23" t="str">
        <f aca="false">IF($X781="","",Settings!$C$6)</f>
        <v/>
      </c>
      <c r="R781" s="22" t="str">
        <f aca="false">IF($X781="","",SUMIFS('Per Line'!$Y$2:$Y$4001,'Per Line'!$D$2:$D$4001,$B781,'Per Line'!$AJ$2:$AJ$4001,1))</f>
        <v/>
      </c>
      <c r="S781" s="22" t="str">
        <f aca="false">IF($X781="","",R781*Q781)</f>
        <v/>
      </c>
      <c r="T781" s="22" t="str">
        <f aca="false">IF($X781="","",S781+P781)</f>
        <v/>
      </c>
      <c r="U781" s="22" t="str">
        <f aca="false">IF($X781="","",V781-T781)</f>
        <v/>
      </c>
      <c r="V781" s="22" t="str">
        <f aca="false">IF($X781="","",O781+R781)</f>
        <v/>
      </c>
      <c r="W781" s="22" t="str">
        <f aca="false">IF($X781="","",U781-L781)</f>
        <v/>
      </c>
      <c r="X781" s="24" t="str">
        <f aca="false">IF(ROWS($X$2:$X781)&lt;=MAX('Per Line'!$AI$2:$AI$4001),MATCH(ROWS($X$2:$X781),'Per Line'!$AI$2:$AI$4001,0),"")</f>
        <v/>
      </c>
    </row>
    <row r="782" customFormat="false" ht="15" hidden="false" customHeight="false" outlineLevel="0" collapsed="false">
      <c r="A782" s="19"/>
      <c r="B782" s="20" t="str">
        <f aca="false">IF($X782="","",INDEX('Per Line'!$D$2:$D$4001,$X782))</f>
        <v/>
      </c>
      <c r="C782" s="20" t="str">
        <f aca="false">IF($X782="","",INDEX('Per Line'!$C$2:$C$4001,$X782))</f>
        <v/>
      </c>
      <c r="D782" s="20" t="str">
        <f aca="false">IF($X782="","",INDEX('Per Line'!$A$2:$A$4001,$X782))</f>
        <v/>
      </c>
      <c r="E782" s="21" t="str">
        <f aca="false">IF($X782="","",INDEX('Per Line'!$F$2:$F$4001,$X782))</f>
        <v/>
      </c>
      <c r="F782" s="20" t="str">
        <f aca="false">IF($X782="","",INDEX('Per Line'!$G$2:$G$4001,$X782))</f>
        <v/>
      </c>
      <c r="G782" s="20" t="str">
        <f aca="false">IF($X782="","",INDEX('Per Line'!$I$2:$I$4001,$X782))</f>
        <v/>
      </c>
      <c r="H782" s="20" t="str">
        <f aca="false">IF($X782="","",INDEX('Per Line'!$J$2:$J$4001,$X782))</f>
        <v/>
      </c>
      <c r="I782" s="20" t="str">
        <f aca="false">IF($X782="","",INDEX('Per Line'!$K$2:$K$4001,$X782))</f>
        <v/>
      </c>
      <c r="J782" s="20" t="str">
        <f aca="false">IF($X782="","",INDEX('Per Line'!$L$2:$L$4001,$X782))</f>
        <v/>
      </c>
      <c r="K782" s="20" t="str">
        <f aca="false">IF($X782="","",INDEX('Per Line'!$M$2:$M$4001,$X782))</f>
        <v/>
      </c>
      <c r="L782" s="22" t="str">
        <f aca="false">IF($X782="","",K782*V782/100)</f>
        <v/>
      </c>
      <c r="M782" s="20" t="str">
        <f aca="false">IF($X782="","",INDEX('Per Line'!$Z$2:$Z$4001,$X782))</f>
        <v/>
      </c>
      <c r="N782" s="23" t="str">
        <f aca="false">IF($X782="","",Settings!$C$7)</f>
        <v/>
      </c>
      <c r="O782" s="22" t="str">
        <f aca="false">IF($X782="","",SUMIFS('Per Line'!$Y$2:$Y$4001,'Per Line'!$D$2:$D$4001,$B782,'Per Line'!$AJ$2:$AJ$4001,0))</f>
        <v/>
      </c>
      <c r="P782" s="22" t="str">
        <f aca="false">IF($X782="","",O782*N782)</f>
        <v/>
      </c>
      <c r="Q782" s="23" t="str">
        <f aca="false">IF($X782="","",Settings!$C$6)</f>
        <v/>
      </c>
      <c r="R782" s="22" t="str">
        <f aca="false">IF($X782="","",SUMIFS('Per Line'!$Y$2:$Y$4001,'Per Line'!$D$2:$D$4001,$B782,'Per Line'!$AJ$2:$AJ$4001,1))</f>
        <v/>
      </c>
      <c r="S782" s="22" t="str">
        <f aca="false">IF($X782="","",R782*Q782)</f>
        <v/>
      </c>
      <c r="T782" s="22" t="str">
        <f aca="false">IF($X782="","",S782+P782)</f>
        <v/>
      </c>
      <c r="U782" s="22" t="str">
        <f aca="false">IF($X782="","",V782-T782)</f>
        <v/>
      </c>
      <c r="V782" s="22" t="str">
        <f aca="false">IF($X782="","",O782+R782)</f>
        <v/>
      </c>
      <c r="W782" s="22" t="str">
        <f aca="false">IF($X782="","",U782-L782)</f>
        <v/>
      </c>
      <c r="X782" s="24" t="str">
        <f aca="false">IF(ROWS($X$2:$X782)&lt;=MAX('Per Line'!$AI$2:$AI$4001),MATCH(ROWS($X$2:$X782),'Per Line'!$AI$2:$AI$4001,0),"")</f>
        <v/>
      </c>
    </row>
    <row r="783" customFormat="false" ht="15" hidden="false" customHeight="false" outlineLevel="0" collapsed="false">
      <c r="A783" s="19"/>
      <c r="B783" s="20" t="str">
        <f aca="false">IF($X783="","",INDEX('Per Line'!$D$2:$D$4001,$X783))</f>
        <v/>
      </c>
      <c r="C783" s="20" t="str">
        <f aca="false">IF($X783="","",INDEX('Per Line'!$C$2:$C$4001,$X783))</f>
        <v/>
      </c>
      <c r="D783" s="20" t="str">
        <f aca="false">IF($X783="","",INDEX('Per Line'!$A$2:$A$4001,$X783))</f>
        <v/>
      </c>
      <c r="E783" s="21" t="str">
        <f aca="false">IF($X783="","",INDEX('Per Line'!$F$2:$F$4001,$X783))</f>
        <v/>
      </c>
      <c r="F783" s="20" t="str">
        <f aca="false">IF($X783="","",INDEX('Per Line'!$G$2:$G$4001,$X783))</f>
        <v/>
      </c>
      <c r="G783" s="20" t="str">
        <f aca="false">IF($X783="","",INDEX('Per Line'!$I$2:$I$4001,$X783))</f>
        <v/>
      </c>
      <c r="H783" s="20" t="str">
        <f aca="false">IF($X783="","",INDEX('Per Line'!$J$2:$J$4001,$X783))</f>
        <v/>
      </c>
      <c r="I783" s="20" t="str">
        <f aca="false">IF($X783="","",INDEX('Per Line'!$K$2:$K$4001,$X783))</f>
        <v/>
      </c>
      <c r="J783" s="20" t="str">
        <f aca="false">IF($X783="","",INDEX('Per Line'!$L$2:$L$4001,$X783))</f>
        <v/>
      </c>
      <c r="K783" s="20" t="str">
        <f aca="false">IF($X783="","",INDEX('Per Line'!$M$2:$M$4001,$X783))</f>
        <v/>
      </c>
      <c r="L783" s="22" t="str">
        <f aca="false">IF($X783="","",K783*V783/100)</f>
        <v/>
      </c>
      <c r="M783" s="20" t="str">
        <f aca="false">IF($X783="","",INDEX('Per Line'!$Z$2:$Z$4001,$X783))</f>
        <v/>
      </c>
      <c r="N783" s="23" t="str">
        <f aca="false">IF($X783="","",Settings!$C$7)</f>
        <v/>
      </c>
      <c r="O783" s="22" t="str">
        <f aca="false">IF($X783="","",SUMIFS('Per Line'!$Y$2:$Y$4001,'Per Line'!$D$2:$D$4001,$B783,'Per Line'!$AJ$2:$AJ$4001,0))</f>
        <v/>
      </c>
      <c r="P783" s="22" t="str">
        <f aca="false">IF($X783="","",O783*N783)</f>
        <v/>
      </c>
      <c r="Q783" s="23" t="str">
        <f aca="false">IF($X783="","",Settings!$C$6)</f>
        <v/>
      </c>
      <c r="R783" s="22" t="str">
        <f aca="false">IF($X783="","",SUMIFS('Per Line'!$Y$2:$Y$4001,'Per Line'!$D$2:$D$4001,$B783,'Per Line'!$AJ$2:$AJ$4001,1))</f>
        <v/>
      </c>
      <c r="S783" s="22" t="str">
        <f aca="false">IF($X783="","",R783*Q783)</f>
        <v/>
      </c>
      <c r="T783" s="22" t="str">
        <f aca="false">IF($X783="","",S783+P783)</f>
        <v/>
      </c>
      <c r="U783" s="22" t="str">
        <f aca="false">IF($X783="","",V783-T783)</f>
        <v/>
      </c>
      <c r="V783" s="22" t="str">
        <f aca="false">IF($X783="","",O783+R783)</f>
        <v/>
      </c>
      <c r="W783" s="22" t="str">
        <f aca="false">IF($X783="","",U783-L783)</f>
        <v/>
      </c>
      <c r="X783" s="24" t="str">
        <f aca="false">IF(ROWS($X$2:$X783)&lt;=MAX('Per Line'!$AI$2:$AI$4001),MATCH(ROWS($X$2:$X783),'Per Line'!$AI$2:$AI$4001,0),"")</f>
        <v/>
      </c>
    </row>
    <row r="784" customFormat="false" ht="15" hidden="false" customHeight="false" outlineLevel="0" collapsed="false">
      <c r="A784" s="19"/>
      <c r="B784" s="20" t="str">
        <f aca="false">IF($X784="","",INDEX('Per Line'!$D$2:$D$4001,$X784))</f>
        <v/>
      </c>
      <c r="C784" s="20" t="str">
        <f aca="false">IF($X784="","",INDEX('Per Line'!$C$2:$C$4001,$X784))</f>
        <v/>
      </c>
      <c r="D784" s="20" t="str">
        <f aca="false">IF($X784="","",INDEX('Per Line'!$A$2:$A$4001,$X784))</f>
        <v/>
      </c>
      <c r="E784" s="21" t="str">
        <f aca="false">IF($X784="","",INDEX('Per Line'!$F$2:$F$4001,$X784))</f>
        <v/>
      </c>
      <c r="F784" s="20" t="str">
        <f aca="false">IF($X784="","",INDEX('Per Line'!$G$2:$G$4001,$X784))</f>
        <v/>
      </c>
      <c r="G784" s="20" t="str">
        <f aca="false">IF($X784="","",INDEX('Per Line'!$I$2:$I$4001,$X784))</f>
        <v/>
      </c>
      <c r="H784" s="20" t="str">
        <f aca="false">IF($X784="","",INDEX('Per Line'!$J$2:$J$4001,$X784))</f>
        <v/>
      </c>
      <c r="I784" s="20" t="str">
        <f aca="false">IF($X784="","",INDEX('Per Line'!$K$2:$K$4001,$X784))</f>
        <v/>
      </c>
      <c r="J784" s="20" t="str">
        <f aca="false">IF($X784="","",INDEX('Per Line'!$L$2:$L$4001,$X784))</f>
        <v/>
      </c>
      <c r="K784" s="20" t="str">
        <f aca="false">IF($X784="","",INDEX('Per Line'!$M$2:$M$4001,$X784))</f>
        <v/>
      </c>
      <c r="L784" s="22" t="str">
        <f aca="false">IF($X784="","",K784*V784/100)</f>
        <v/>
      </c>
      <c r="M784" s="20" t="str">
        <f aca="false">IF($X784="","",INDEX('Per Line'!$Z$2:$Z$4001,$X784))</f>
        <v/>
      </c>
      <c r="N784" s="23" t="str">
        <f aca="false">IF($X784="","",Settings!$C$7)</f>
        <v/>
      </c>
      <c r="O784" s="22" t="str">
        <f aca="false">IF($X784="","",SUMIFS('Per Line'!$Y$2:$Y$4001,'Per Line'!$D$2:$D$4001,$B784,'Per Line'!$AJ$2:$AJ$4001,0))</f>
        <v/>
      </c>
      <c r="P784" s="22" t="str">
        <f aca="false">IF($X784="","",O784*N784)</f>
        <v/>
      </c>
      <c r="Q784" s="23" t="str">
        <f aca="false">IF($X784="","",Settings!$C$6)</f>
        <v/>
      </c>
      <c r="R784" s="22" t="str">
        <f aca="false">IF($X784="","",SUMIFS('Per Line'!$Y$2:$Y$4001,'Per Line'!$D$2:$D$4001,$B784,'Per Line'!$AJ$2:$AJ$4001,1))</f>
        <v/>
      </c>
      <c r="S784" s="22" t="str">
        <f aca="false">IF($X784="","",R784*Q784)</f>
        <v/>
      </c>
      <c r="T784" s="22" t="str">
        <f aca="false">IF($X784="","",S784+P784)</f>
        <v/>
      </c>
      <c r="U784" s="22" t="str">
        <f aca="false">IF($X784="","",V784-T784)</f>
        <v/>
      </c>
      <c r="V784" s="22" t="str">
        <f aca="false">IF($X784="","",O784+R784)</f>
        <v/>
      </c>
      <c r="W784" s="22" t="str">
        <f aca="false">IF($X784="","",U784-L784)</f>
        <v/>
      </c>
      <c r="X784" s="24" t="str">
        <f aca="false">IF(ROWS($X$2:$X784)&lt;=MAX('Per Line'!$AI$2:$AI$4001),MATCH(ROWS($X$2:$X784),'Per Line'!$AI$2:$AI$4001,0),"")</f>
        <v/>
      </c>
    </row>
    <row r="785" customFormat="false" ht="15" hidden="false" customHeight="false" outlineLevel="0" collapsed="false">
      <c r="A785" s="19"/>
      <c r="B785" s="20" t="str">
        <f aca="false">IF($X785="","",INDEX('Per Line'!$D$2:$D$4001,$X785))</f>
        <v/>
      </c>
      <c r="C785" s="20" t="str">
        <f aca="false">IF($X785="","",INDEX('Per Line'!$C$2:$C$4001,$X785))</f>
        <v/>
      </c>
      <c r="D785" s="20" t="str">
        <f aca="false">IF($X785="","",INDEX('Per Line'!$A$2:$A$4001,$X785))</f>
        <v/>
      </c>
      <c r="E785" s="21" t="str">
        <f aca="false">IF($X785="","",INDEX('Per Line'!$F$2:$F$4001,$X785))</f>
        <v/>
      </c>
      <c r="F785" s="20" t="str">
        <f aca="false">IF($X785="","",INDEX('Per Line'!$G$2:$G$4001,$X785))</f>
        <v/>
      </c>
      <c r="G785" s="20" t="str">
        <f aca="false">IF($X785="","",INDEX('Per Line'!$I$2:$I$4001,$X785))</f>
        <v/>
      </c>
      <c r="H785" s="20" t="str">
        <f aca="false">IF($X785="","",INDEX('Per Line'!$J$2:$J$4001,$X785))</f>
        <v/>
      </c>
      <c r="I785" s="20" t="str">
        <f aca="false">IF($X785="","",INDEX('Per Line'!$K$2:$K$4001,$X785))</f>
        <v/>
      </c>
      <c r="J785" s="20" t="str">
        <f aca="false">IF($X785="","",INDEX('Per Line'!$L$2:$L$4001,$X785))</f>
        <v/>
      </c>
      <c r="K785" s="20" t="str">
        <f aca="false">IF($X785="","",INDEX('Per Line'!$M$2:$M$4001,$X785))</f>
        <v/>
      </c>
      <c r="L785" s="22" t="str">
        <f aca="false">IF($X785="","",K785*V785/100)</f>
        <v/>
      </c>
      <c r="M785" s="20" t="str">
        <f aca="false">IF($X785="","",INDEX('Per Line'!$Z$2:$Z$4001,$X785))</f>
        <v/>
      </c>
      <c r="N785" s="23" t="str">
        <f aca="false">IF($X785="","",Settings!$C$7)</f>
        <v/>
      </c>
      <c r="O785" s="22" t="str">
        <f aca="false">IF($X785="","",SUMIFS('Per Line'!$Y$2:$Y$4001,'Per Line'!$D$2:$D$4001,$B785,'Per Line'!$AJ$2:$AJ$4001,0))</f>
        <v/>
      </c>
      <c r="P785" s="22" t="str">
        <f aca="false">IF($X785="","",O785*N785)</f>
        <v/>
      </c>
      <c r="Q785" s="23" t="str">
        <f aca="false">IF($X785="","",Settings!$C$6)</f>
        <v/>
      </c>
      <c r="R785" s="22" t="str">
        <f aca="false">IF($X785="","",SUMIFS('Per Line'!$Y$2:$Y$4001,'Per Line'!$D$2:$D$4001,$B785,'Per Line'!$AJ$2:$AJ$4001,1))</f>
        <v/>
      </c>
      <c r="S785" s="22" t="str">
        <f aca="false">IF($X785="","",R785*Q785)</f>
        <v/>
      </c>
      <c r="T785" s="22" t="str">
        <f aca="false">IF($X785="","",S785+P785)</f>
        <v/>
      </c>
      <c r="U785" s="22" t="str">
        <f aca="false">IF($X785="","",V785-T785)</f>
        <v/>
      </c>
      <c r="V785" s="22" t="str">
        <f aca="false">IF($X785="","",O785+R785)</f>
        <v/>
      </c>
      <c r="W785" s="22" t="str">
        <f aca="false">IF($X785="","",U785-L785)</f>
        <v/>
      </c>
      <c r="X785" s="24" t="str">
        <f aca="false">IF(ROWS($X$2:$X785)&lt;=MAX('Per Line'!$AI$2:$AI$4001),MATCH(ROWS($X$2:$X785),'Per Line'!$AI$2:$AI$4001,0),"")</f>
        <v/>
      </c>
    </row>
    <row r="786" customFormat="false" ht="15" hidden="false" customHeight="false" outlineLevel="0" collapsed="false">
      <c r="A786" s="19"/>
      <c r="B786" s="20" t="str">
        <f aca="false">IF($X786="","",INDEX('Per Line'!$D$2:$D$4001,$X786))</f>
        <v/>
      </c>
      <c r="C786" s="20" t="str">
        <f aca="false">IF($X786="","",INDEX('Per Line'!$C$2:$C$4001,$X786))</f>
        <v/>
      </c>
      <c r="D786" s="20" t="str">
        <f aca="false">IF($X786="","",INDEX('Per Line'!$A$2:$A$4001,$X786))</f>
        <v/>
      </c>
      <c r="E786" s="21" t="str">
        <f aca="false">IF($X786="","",INDEX('Per Line'!$F$2:$F$4001,$X786))</f>
        <v/>
      </c>
      <c r="F786" s="20" t="str">
        <f aca="false">IF($X786="","",INDEX('Per Line'!$G$2:$G$4001,$X786))</f>
        <v/>
      </c>
      <c r="G786" s="20" t="str">
        <f aca="false">IF($X786="","",INDEX('Per Line'!$I$2:$I$4001,$X786))</f>
        <v/>
      </c>
      <c r="H786" s="20" t="str">
        <f aca="false">IF($X786="","",INDEX('Per Line'!$J$2:$J$4001,$X786))</f>
        <v/>
      </c>
      <c r="I786" s="20" t="str">
        <f aca="false">IF($X786="","",INDEX('Per Line'!$K$2:$K$4001,$X786))</f>
        <v/>
      </c>
      <c r="J786" s="20" t="str">
        <f aca="false">IF($X786="","",INDEX('Per Line'!$L$2:$L$4001,$X786))</f>
        <v/>
      </c>
      <c r="K786" s="20" t="str">
        <f aca="false">IF($X786="","",INDEX('Per Line'!$M$2:$M$4001,$X786))</f>
        <v/>
      </c>
      <c r="L786" s="22" t="str">
        <f aca="false">IF($X786="","",K786*V786/100)</f>
        <v/>
      </c>
      <c r="M786" s="20" t="str">
        <f aca="false">IF($X786="","",INDEX('Per Line'!$Z$2:$Z$4001,$X786))</f>
        <v/>
      </c>
      <c r="N786" s="23" t="str">
        <f aca="false">IF($X786="","",Settings!$C$7)</f>
        <v/>
      </c>
      <c r="O786" s="22" t="str">
        <f aca="false">IF($X786="","",SUMIFS('Per Line'!$Y$2:$Y$4001,'Per Line'!$D$2:$D$4001,$B786,'Per Line'!$AJ$2:$AJ$4001,0))</f>
        <v/>
      </c>
      <c r="P786" s="22" t="str">
        <f aca="false">IF($X786="","",O786*N786)</f>
        <v/>
      </c>
      <c r="Q786" s="23" t="str">
        <f aca="false">IF($X786="","",Settings!$C$6)</f>
        <v/>
      </c>
      <c r="R786" s="22" t="str">
        <f aca="false">IF($X786="","",SUMIFS('Per Line'!$Y$2:$Y$4001,'Per Line'!$D$2:$D$4001,$B786,'Per Line'!$AJ$2:$AJ$4001,1))</f>
        <v/>
      </c>
      <c r="S786" s="22" t="str">
        <f aca="false">IF($X786="","",R786*Q786)</f>
        <v/>
      </c>
      <c r="T786" s="22" t="str">
        <f aca="false">IF($X786="","",S786+P786)</f>
        <v/>
      </c>
      <c r="U786" s="22" t="str">
        <f aca="false">IF($X786="","",V786-T786)</f>
        <v/>
      </c>
      <c r="V786" s="22" t="str">
        <f aca="false">IF($X786="","",O786+R786)</f>
        <v/>
      </c>
      <c r="W786" s="22" t="str">
        <f aca="false">IF($X786="","",U786-L786)</f>
        <v/>
      </c>
      <c r="X786" s="24" t="str">
        <f aca="false">IF(ROWS($X$2:$X786)&lt;=MAX('Per Line'!$AI$2:$AI$4001),MATCH(ROWS($X$2:$X786),'Per Line'!$AI$2:$AI$4001,0),"")</f>
        <v/>
      </c>
    </row>
    <row r="787" customFormat="false" ht="15" hidden="false" customHeight="false" outlineLevel="0" collapsed="false">
      <c r="A787" s="19"/>
      <c r="B787" s="20" t="str">
        <f aca="false">IF($X787="","",INDEX('Per Line'!$D$2:$D$4001,$X787))</f>
        <v/>
      </c>
      <c r="C787" s="20" t="str">
        <f aca="false">IF($X787="","",INDEX('Per Line'!$C$2:$C$4001,$X787))</f>
        <v/>
      </c>
      <c r="D787" s="20" t="str">
        <f aca="false">IF($X787="","",INDEX('Per Line'!$A$2:$A$4001,$X787))</f>
        <v/>
      </c>
      <c r="E787" s="21" t="str">
        <f aca="false">IF($X787="","",INDEX('Per Line'!$F$2:$F$4001,$X787))</f>
        <v/>
      </c>
      <c r="F787" s="20" t="str">
        <f aca="false">IF($X787="","",INDEX('Per Line'!$G$2:$G$4001,$X787))</f>
        <v/>
      </c>
      <c r="G787" s="20" t="str">
        <f aca="false">IF($X787="","",INDEX('Per Line'!$I$2:$I$4001,$X787))</f>
        <v/>
      </c>
      <c r="H787" s="20" t="str">
        <f aca="false">IF($X787="","",INDEX('Per Line'!$J$2:$J$4001,$X787))</f>
        <v/>
      </c>
      <c r="I787" s="20" t="str">
        <f aca="false">IF($X787="","",INDEX('Per Line'!$K$2:$K$4001,$X787))</f>
        <v/>
      </c>
      <c r="J787" s="20" t="str">
        <f aca="false">IF($X787="","",INDEX('Per Line'!$L$2:$L$4001,$X787))</f>
        <v/>
      </c>
      <c r="K787" s="20" t="str">
        <f aca="false">IF($X787="","",INDEX('Per Line'!$M$2:$M$4001,$X787))</f>
        <v/>
      </c>
      <c r="L787" s="22" t="str">
        <f aca="false">IF($X787="","",K787*V787/100)</f>
        <v/>
      </c>
      <c r="M787" s="20" t="str">
        <f aca="false">IF($X787="","",INDEX('Per Line'!$Z$2:$Z$4001,$X787))</f>
        <v/>
      </c>
      <c r="N787" s="23" t="str">
        <f aca="false">IF($X787="","",Settings!$C$7)</f>
        <v/>
      </c>
      <c r="O787" s="22" t="str">
        <f aca="false">IF($X787="","",SUMIFS('Per Line'!$Y$2:$Y$4001,'Per Line'!$D$2:$D$4001,$B787,'Per Line'!$AJ$2:$AJ$4001,0))</f>
        <v/>
      </c>
      <c r="P787" s="22" t="str">
        <f aca="false">IF($X787="","",O787*N787)</f>
        <v/>
      </c>
      <c r="Q787" s="23" t="str">
        <f aca="false">IF($X787="","",Settings!$C$6)</f>
        <v/>
      </c>
      <c r="R787" s="22" t="str">
        <f aca="false">IF($X787="","",SUMIFS('Per Line'!$Y$2:$Y$4001,'Per Line'!$D$2:$D$4001,$B787,'Per Line'!$AJ$2:$AJ$4001,1))</f>
        <v/>
      </c>
      <c r="S787" s="22" t="str">
        <f aca="false">IF($X787="","",R787*Q787)</f>
        <v/>
      </c>
      <c r="T787" s="22" t="str">
        <f aca="false">IF($X787="","",S787+P787)</f>
        <v/>
      </c>
      <c r="U787" s="22" t="str">
        <f aca="false">IF($X787="","",V787-T787)</f>
        <v/>
      </c>
      <c r="V787" s="22" t="str">
        <f aca="false">IF($X787="","",O787+R787)</f>
        <v/>
      </c>
      <c r="W787" s="22" t="str">
        <f aca="false">IF($X787="","",U787-L787)</f>
        <v/>
      </c>
      <c r="X787" s="24" t="str">
        <f aca="false">IF(ROWS($X$2:$X787)&lt;=MAX('Per Line'!$AI$2:$AI$4001),MATCH(ROWS($X$2:$X787),'Per Line'!$AI$2:$AI$4001,0),"")</f>
        <v/>
      </c>
    </row>
    <row r="788" customFormat="false" ht="15" hidden="false" customHeight="false" outlineLevel="0" collapsed="false">
      <c r="A788" s="19"/>
      <c r="B788" s="20" t="str">
        <f aca="false">IF($X788="","",INDEX('Per Line'!$D$2:$D$4001,$X788))</f>
        <v/>
      </c>
      <c r="C788" s="20" t="str">
        <f aca="false">IF($X788="","",INDEX('Per Line'!$C$2:$C$4001,$X788))</f>
        <v/>
      </c>
      <c r="D788" s="20" t="str">
        <f aca="false">IF($X788="","",INDEX('Per Line'!$A$2:$A$4001,$X788))</f>
        <v/>
      </c>
      <c r="E788" s="21" t="str">
        <f aca="false">IF($X788="","",INDEX('Per Line'!$F$2:$F$4001,$X788))</f>
        <v/>
      </c>
      <c r="F788" s="20" t="str">
        <f aca="false">IF($X788="","",INDEX('Per Line'!$G$2:$G$4001,$X788))</f>
        <v/>
      </c>
      <c r="G788" s="20" t="str">
        <f aca="false">IF($X788="","",INDEX('Per Line'!$I$2:$I$4001,$X788))</f>
        <v/>
      </c>
      <c r="H788" s="20" t="str">
        <f aca="false">IF($X788="","",INDEX('Per Line'!$J$2:$J$4001,$X788))</f>
        <v/>
      </c>
      <c r="I788" s="20" t="str">
        <f aca="false">IF($X788="","",INDEX('Per Line'!$K$2:$K$4001,$X788))</f>
        <v/>
      </c>
      <c r="J788" s="20" t="str">
        <f aca="false">IF($X788="","",INDEX('Per Line'!$L$2:$L$4001,$X788))</f>
        <v/>
      </c>
      <c r="K788" s="20" t="str">
        <f aca="false">IF($X788="","",INDEX('Per Line'!$M$2:$M$4001,$X788))</f>
        <v/>
      </c>
      <c r="L788" s="22" t="str">
        <f aca="false">IF($X788="","",K788*V788/100)</f>
        <v/>
      </c>
      <c r="M788" s="20" t="str">
        <f aca="false">IF($X788="","",INDEX('Per Line'!$Z$2:$Z$4001,$X788))</f>
        <v/>
      </c>
      <c r="N788" s="23" t="str">
        <f aca="false">IF($X788="","",Settings!$C$7)</f>
        <v/>
      </c>
      <c r="O788" s="22" t="str">
        <f aca="false">IF($X788="","",SUMIFS('Per Line'!$Y$2:$Y$4001,'Per Line'!$D$2:$D$4001,$B788,'Per Line'!$AJ$2:$AJ$4001,0))</f>
        <v/>
      </c>
      <c r="P788" s="22" t="str">
        <f aca="false">IF($X788="","",O788*N788)</f>
        <v/>
      </c>
      <c r="Q788" s="23" t="str">
        <f aca="false">IF($X788="","",Settings!$C$6)</f>
        <v/>
      </c>
      <c r="R788" s="22" t="str">
        <f aca="false">IF($X788="","",SUMIFS('Per Line'!$Y$2:$Y$4001,'Per Line'!$D$2:$D$4001,$B788,'Per Line'!$AJ$2:$AJ$4001,1))</f>
        <v/>
      </c>
      <c r="S788" s="22" t="str">
        <f aca="false">IF($X788="","",R788*Q788)</f>
        <v/>
      </c>
      <c r="T788" s="22" t="str">
        <f aca="false">IF($X788="","",S788+P788)</f>
        <v/>
      </c>
      <c r="U788" s="22" t="str">
        <f aca="false">IF($X788="","",V788-T788)</f>
        <v/>
      </c>
      <c r="V788" s="22" t="str">
        <f aca="false">IF($X788="","",O788+R788)</f>
        <v/>
      </c>
      <c r="W788" s="22" t="str">
        <f aca="false">IF($X788="","",U788-L788)</f>
        <v/>
      </c>
      <c r="X788" s="24" t="str">
        <f aca="false">IF(ROWS($X$2:$X788)&lt;=MAX('Per Line'!$AI$2:$AI$4001),MATCH(ROWS($X$2:$X788),'Per Line'!$AI$2:$AI$4001,0),"")</f>
        <v/>
      </c>
    </row>
    <row r="789" customFormat="false" ht="15" hidden="false" customHeight="false" outlineLevel="0" collapsed="false">
      <c r="A789" s="19"/>
      <c r="B789" s="20" t="str">
        <f aca="false">IF($X789="","",INDEX('Per Line'!$D$2:$D$4001,$X789))</f>
        <v/>
      </c>
      <c r="C789" s="20" t="str">
        <f aca="false">IF($X789="","",INDEX('Per Line'!$C$2:$C$4001,$X789))</f>
        <v/>
      </c>
      <c r="D789" s="20" t="str">
        <f aca="false">IF($X789="","",INDEX('Per Line'!$A$2:$A$4001,$X789))</f>
        <v/>
      </c>
      <c r="E789" s="21" t="str">
        <f aca="false">IF($X789="","",INDEX('Per Line'!$F$2:$F$4001,$X789))</f>
        <v/>
      </c>
      <c r="F789" s="20" t="str">
        <f aca="false">IF($X789="","",INDEX('Per Line'!$G$2:$G$4001,$X789))</f>
        <v/>
      </c>
      <c r="G789" s="20" t="str">
        <f aca="false">IF($X789="","",INDEX('Per Line'!$I$2:$I$4001,$X789))</f>
        <v/>
      </c>
      <c r="H789" s="20" t="str">
        <f aca="false">IF($X789="","",INDEX('Per Line'!$J$2:$J$4001,$X789))</f>
        <v/>
      </c>
      <c r="I789" s="20" t="str">
        <f aca="false">IF($X789="","",INDEX('Per Line'!$K$2:$K$4001,$X789))</f>
        <v/>
      </c>
      <c r="J789" s="20" t="str">
        <f aca="false">IF($X789="","",INDEX('Per Line'!$L$2:$L$4001,$X789))</f>
        <v/>
      </c>
      <c r="K789" s="20" t="str">
        <f aca="false">IF($X789="","",INDEX('Per Line'!$M$2:$M$4001,$X789))</f>
        <v/>
      </c>
      <c r="L789" s="22" t="str">
        <f aca="false">IF($X789="","",K789*V789/100)</f>
        <v/>
      </c>
      <c r="M789" s="20" t="str">
        <f aca="false">IF($X789="","",INDEX('Per Line'!$Z$2:$Z$4001,$X789))</f>
        <v/>
      </c>
      <c r="N789" s="23" t="str">
        <f aca="false">IF($X789="","",Settings!$C$7)</f>
        <v/>
      </c>
      <c r="O789" s="22" t="str">
        <f aca="false">IF($X789="","",SUMIFS('Per Line'!$Y$2:$Y$4001,'Per Line'!$D$2:$D$4001,$B789,'Per Line'!$AJ$2:$AJ$4001,0))</f>
        <v/>
      </c>
      <c r="P789" s="22" t="str">
        <f aca="false">IF($X789="","",O789*N789)</f>
        <v/>
      </c>
      <c r="Q789" s="23" t="str">
        <f aca="false">IF($X789="","",Settings!$C$6)</f>
        <v/>
      </c>
      <c r="R789" s="22" t="str">
        <f aca="false">IF($X789="","",SUMIFS('Per Line'!$Y$2:$Y$4001,'Per Line'!$D$2:$D$4001,$B789,'Per Line'!$AJ$2:$AJ$4001,1))</f>
        <v/>
      </c>
      <c r="S789" s="22" t="str">
        <f aca="false">IF($X789="","",R789*Q789)</f>
        <v/>
      </c>
      <c r="T789" s="22" t="str">
        <f aca="false">IF($X789="","",S789+P789)</f>
        <v/>
      </c>
      <c r="U789" s="22" t="str">
        <f aca="false">IF($X789="","",V789-T789)</f>
        <v/>
      </c>
      <c r="V789" s="22" t="str">
        <f aca="false">IF($X789="","",O789+R789)</f>
        <v/>
      </c>
      <c r="W789" s="22" t="str">
        <f aca="false">IF($X789="","",U789-L789)</f>
        <v/>
      </c>
      <c r="X789" s="24" t="str">
        <f aca="false">IF(ROWS($X$2:$X789)&lt;=MAX('Per Line'!$AI$2:$AI$4001),MATCH(ROWS($X$2:$X789),'Per Line'!$AI$2:$AI$4001,0),"")</f>
        <v/>
      </c>
    </row>
    <row r="790" customFormat="false" ht="15" hidden="false" customHeight="false" outlineLevel="0" collapsed="false">
      <c r="A790" s="19"/>
      <c r="B790" s="20" t="str">
        <f aca="false">IF($X790="","",INDEX('Per Line'!$D$2:$D$4001,$X790))</f>
        <v/>
      </c>
      <c r="C790" s="20" t="str">
        <f aca="false">IF($X790="","",INDEX('Per Line'!$C$2:$C$4001,$X790))</f>
        <v/>
      </c>
      <c r="D790" s="20" t="str">
        <f aca="false">IF($X790="","",INDEX('Per Line'!$A$2:$A$4001,$X790))</f>
        <v/>
      </c>
      <c r="E790" s="21" t="str">
        <f aca="false">IF($X790="","",INDEX('Per Line'!$F$2:$F$4001,$X790))</f>
        <v/>
      </c>
      <c r="F790" s="20" t="str">
        <f aca="false">IF($X790="","",INDEX('Per Line'!$G$2:$G$4001,$X790))</f>
        <v/>
      </c>
      <c r="G790" s="20" t="str">
        <f aca="false">IF($X790="","",INDEX('Per Line'!$I$2:$I$4001,$X790))</f>
        <v/>
      </c>
      <c r="H790" s="20" t="str">
        <f aca="false">IF($X790="","",INDEX('Per Line'!$J$2:$J$4001,$X790))</f>
        <v/>
      </c>
      <c r="I790" s="20" t="str">
        <f aca="false">IF($X790="","",INDEX('Per Line'!$K$2:$K$4001,$X790))</f>
        <v/>
      </c>
      <c r="J790" s="20" t="str">
        <f aca="false">IF($X790="","",INDEX('Per Line'!$L$2:$L$4001,$X790))</f>
        <v/>
      </c>
      <c r="K790" s="20" t="str">
        <f aca="false">IF($X790="","",INDEX('Per Line'!$M$2:$M$4001,$X790))</f>
        <v/>
      </c>
      <c r="L790" s="22" t="str">
        <f aca="false">IF($X790="","",K790*V790/100)</f>
        <v/>
      </c>
      <c r="M790" s="20" t="str">
        <f aca="false">IF($X790="","",INDEX('Per Line'!$Z$2:$Z$4001,$X790))</f>
        <v/>
      </c>
      <c r="N790" s="23" t="str">
        <f aca="false">IF($X790="","",Settings!$C$7)</f>
        <v/>
      </c>
      <c r="O790" s="22" t="str">
        <f aca="false">IF($X790="","",SUMIFS('Per Line'!$Y$2:$Y$4001,'Per Line'!$D$2:$D$4001,$B790,'Per Line'!$AJ$2:$AJ$4001,0))</f>
        <v/>
      </c>
      <c r="P790" s="22" t="str">
        <f aca="false">IF($X790="","",O790*N790)</f>
        <v/>
      </c>
      <c r="Q790" s="23" t="str">
        <f aca="false">IF($X790="","",Settings!$C$6)</f>
        <v/>
      </c>
      <c r="R790" s="22" t="str">
        <f aca="false">IF($X790="","",SUMIFS('Per Line'!$Y$2:$Y$4001,'Per Line'!$D$2:$D$4001,$B790,'Per Line'!$AJ$2:$AJ$4001,1))</f>
        <v/>
      </c>
      <c r="S790" s="22" t="str">
        <f aca="false">IF($X790="","",R790*Q790)</f>
        <v/>
      </c>
      <c r="T790" s="22" t="str">
        <f aca="false">IF($X790="","",S790+P790)</f>
        <v/>
      </c>
      <c r="U790" s="22" t="str">
        <f aca="false">IF($X790="","",V790-T790)</f>
        <v/>
      </c>
      <c r="V790" s="22" t="str">
        <f aca="false">IF($X790="","",O790+R790)</f>
        <v/>
      </c>
      <c r="W790" s="22" t="str">
        <f aca="false">IF($X790="","",U790-L790)</f>
        <v/>
      </c>
      <c r="X790" s="24" t="str">
        <f aca="false">IF(ROWS($X$2:$X790)&lt;=MAX('Per Line'!$AI$2:$AI$4001),MATCH(ROWS($X$2:$X790),'Per Line'!$AI$2:$AI$4001,0),"")</f>
        <v/>
      </c>
    </row>
    <row r="791" customFormat="false" ht="15" hidden="false" customHeight="false" outlineLevel="0" collapsed="false">
      <c r="A791" s="19"/>
      <c r="B791" s="20" t="str">
        <f aca="false">IF($X791="","",INDEX('Per Line'!$D$2:$D$4001,$X791))</f>
        <v/>
      </c>
      <c r="C791" s="20" t="str">
        <f aca="false">IF($X791="","",INDEX('Per Line'!$C$2:$C$4001,$X791))</f>
        <v/>
      </c>
      <c r="D791" s="20" t="str">
        <f aca="false">IF($X791="","",INDEX('Per Line'!$A$2:$A$4001,$X791))</f>
        <v/>
      </c>
      <c r="E791" s="21" t="str">
        <f aca="false">IF($X791="","",INDEX('Per Line'!$F$2:$F$4001,$X791))</f>
        <v/>
      </c>
      <c r="F791" s="20" t="str">
        <f aca="false">IF($X791="","",INDEX('Per Line'!$G$2:$G$4001,$X791))</f>
        <v/>
      </c>
      <c r="G791" s="20" t="str">
        <f aca="false">IF($X791="","",INDEX('Per Line'!$I$2:$I$4001,$X791))</f>
        <v/>
      </c>
      <c r="H791" s="20" t="str">
        <f aca="false">IF($X791="","",INDEX('Per Line'!$J$2:$J$4001,$X791))</f>
        <v/>
      </c>
      <c r="I791" s="20" t="str">
        <f aca="false">IF($X791="","",INDEX('Per Line'!$K$2:$K$4001,$X791))</f>
        <v/>
      </c>
      <c r="J791" s="20" t="str">
        <f aca="false">IF($X791="","",INDEX('Per Line'!$L$2:$L$4001,$X791))</f>
        <v/>
      </c>
      <c r="K791" s="20" t="str">
        <f aca="false">IF($X791="","",INDEX('Per Line'!$M$2:$M$4001,$X791))</f>
        <v/>
      </c>
      <c r="L791" s="22" t="str">
        <f aca="false">IF($X791="","",K791*V791/100)</f>
        <v/>
      </c>
      <c r="M791" s="20" t="str">
        <f aca="false">IF($X791="","",INDEX('Per Line'!$Z$2:$Z$4001,$X791))</f>
        <v/>
      </c>
      <c r="N791" s="23" t="str">
        <f aca="false">IF($X791="","",Settings!$C$7)</f>
        <v/>
      </c>
      <c r="O791" s="22" t="str">
        <f aca="false">IF($X791="","",SUMIFS('Per Line'!$Y$2:$Y$4001,'Per Line'!$D$2:$D$4001,$B791,'Per Line'!$AJ$2:$AJ$4001,0))</f>
        <v/>
      </c>
      <c r="P791" s="22" t="str">
        <f aca="false">IF($X791="","",O791*N791)</f>
        <v/>
      </c>
      <c r="Q791" s="23" t="str">
        <f aca="false">IF($X791="","",Settings!$C$6)</f>
        <v/>
      </c>
      <c r="R791" s="22" t="str">
        <f aca="false">IF($X791="","",SUMIFS('Per Line'!$Y$2:$Y$4001,'Per Line'!$D$2:$D$4001,$B791,'Per Line'!$AJ$2:$AJ$4001,1))</f>
        <v/>
      </c>
      <c r="S791" s="22" t="str">
        <f aca="false">IF($X791="","",R791*Q791)</f>
        <v/>
      </c>
      <c r="T791" s="22" t="str">
        <f aca="false">IF($X791="","",S791+P791)</f>
        <v/>
      </c>
      <c r="U791" s="22" t="str">
        <f aca="false">IF($X791="","",V791-T791)</f>
        <v/>
      </c>
      <c r="V791" s="22" t="str">
        <f aca="false">IF($X791="","",O791+R791)</f>
        <v/>
      </c>
      <c r="W791" s="22" t="str">
        <f aca="false">IF($X791="","",U791-L791)</f>
        <v/>
      </c>
      <c r="X791" s="24" t="str">
        <f aca="false">IF(ROWS($X$2:$X791)&lt;=MAX('Per Line'!$AI$2:$AI$4001),MATCH(ROWS($X$2:$X791),'Per Line'!$AI$2:$AI$4001,0),"")</f>
        <v/>
      </c>
    </row>
    <row r="792" customFormat="false" ht="15" hidden="false" customHeight="false" outlineLevel="0" collapsed="false">
      <c r="A792" s="19"/>
      <c r="B792" s="20" t="str">
        <f aca="false">IF($X792="","",INDEX('Per Line'!$D$2:$D$4001,$X792))</f>
        <v/>
      </c>
      <c r="C792" s="20" t="str">
        <f aca="false">IF($X792="","",INDEX('Per Line'!$C$2:$C$4001,$X792))</f>
        <v/>
      </c>
      <c r="D792" s="20" t="str">
        <f aca="false">IF($X792="","",INDEX('Per Line'!$A$2:$A$4001,$X792))</f>
        <v/>
      </c>
      <c r="E792" s="21" t="str">
        <f aca="false">IF($X792="","",INDEX('Per Line'!$F$2:$F$4001,$X792))</f>
        <v/>
      </c>
      <c r="F792" s="20" t="str">
        <f aca="false">IF($X792="","",INDEX('Per Line'!$G$2:$G$4001,$X792))</f>
        <v/>
      </c>
      <c r="G792" s="20" t="str">
        <f aca="false">IF($X792="","",INDEX('Per Line'!$I$2:$I$4001,$X792))</f>
        <v/>
      </c>
      <c r="H792" s="20" t="str">
        <f aca="false">IF($X792="","",INDEX('Per Line'!$J$2:$J$4001,$X792))</f>
        <v/>
      </c>
      <c r="I792" s="20" t="str">
        <f aca="false">IF($X792="","",INDEX('Per Line'!$K$2:$K$4001,$X792))</f>
        <v/>
      </c>
      <c r="J792" s="20" t="str">
        <f aca="false">IF($X792="","",INDEX('Per Line'!$L$2:$L$4001,$X792))</f>
        <v/>
      </c>
      <c r="K792" s="20" t="str">
        <f aca="false">IF($X792="","",INDEX('Per Line'!$M$2:$M$4001,$X792))</f>
        <v/>
      </c>
      <c r="L792" s="22" t="str">
        <f aca="false">IF($X792="","",K792*V792/100)</f>
        <v/>
      </c>
      <c r="M792" s="20" t="str">
        <f aca="false">IF($X792="","",INDEX('Per Line'!$Z$2:$Z$4001,$X792))</f>
        <v/>
      </c>
      <c r="N792" s="23" t="str">
        <f aca="false">IF($X792="","",Settings!$C$7)</f>
        <v/>
      </c>
      <c r="O792" s="22" t="str">
        <f aca="false">IF($X792="","",SUMIFS('Per Line'!$Y$2:$Y$4001,'Per Line'!$D$2:$D$4001,$B792,'Per Line'!$AJ$2:$AJ$4001,0))</f>
        <v/>
      </c>
      <c r="P792" s="22" t="str">
        <f aca="false">IF($X792="","",O792*N792)</f>
        <v/>
      </c>
      <c r="Q792" s="23" t="str">
        <f aca="false">IF($X792="","",Settings!$C$6)</f>
        <v/>
      </c>
      <c r="R792" s="22" t="str">
        <f aca="false">IF($X792="","",SUMIFS('Per Line'!$Y$2:$Y$4001,'Per Line'!$D$2:$D$4001,$B792,'Per Line'!$AJ$2:$AJ$4001,1))</f>
        <v/>
      </c>
      <c r="S792" s="22" t="str">
        <f aca="false">IF($X792="","",R792*Q792)</f>
        <v/>
      </c>
      <c r="T792" s="22" t="str">
        <f aca="false">IF($X792="","",S792+P792)</f>
        <v/>
      </c>
      <c r="U792" s="22" t="str">
        <f aca="false">IF($X792="","",V792-T792)</f>
        <v/>
      </c>
      <c r="V792" s="22" t="str">
        <f aca="false">IF($X792="","",O792+R792)</f>
        <v/>
      </c>
      <c r="W792" s="22" t="str">
        <f aca="false">IF($X792="","",U792-L792)</f>
        <v/>
      </c>
      <c r="X792" s="24" t="str">
        <f aca="false">IF(ROWS($X$2:$X792)&lt;=MAX('Per Line'!$AI$2:$AI$4001),MATCH(ROWS($X$2:$X792),'Per Line'!$AI$2:$AI$4001,0),"")</f>
        <v/>
      </c>
    </row>
    <row r="793" customFormat="false" ht="15" hidden="false" customHeight="false" outlineLevel="0" collapsed="false">
      <c r="A793" s="19"/>
      <c r="B793" s="20" t="str">
        <f aca="false">IF($X793="","",INDEX('Per Line'!$D$2:$D$4001,$X793))</f>
        <v/>
      </c>
      <c r="C793" s="20" t="str">
        <f aca="false">IF($X793="","",INDEX('Per Line'!$C$2:$C$4001,$X793))</f>
        <v/>
      </c>
      <c r="D793" s="20" t="str">
        <f aca="false">IF($X793="","",INDEX('Per Line'!$A$2:$A$4001,$X793))</f>
        <v/>
      </c>
      <c r="E793" s="21" t="str">
        <f aca="false">IF($X793="","",INDEX('Per Line'!$F$2:$F$4001,$X793))</f>
        <v/>
      </c>
      <c r="F793" s="20" t="str">
        <f aca="false">IF($X793="","",INDEX('Per Line'!$G$2:$G$4001,$X793))</f>
        <v/>
      </c>
      <c r="G793" s="20" t="str">
        <f aca="false">IF($X793="","",INDEX('Per Line'!$I$2:$I$4001,$X793))</f>
        <v/>
      </c>
      <c r="H793" s="20" t="str">
        <f aca="false">IF($X793="","",INDEX('Per Line'!$J$2:$J$4001,$X793))</f>
        <v/>
      </c>
      <c r="I793" s="20" t="str">
        <f aca="false">IF($X793="","",INDEX('Per Line'!$K$2:$K$4001,$X793))</f>
        <v/>
      </c>
      <c r="J793" s="20" t="str">
        <f aca="false">IF($X793="","",INDEX('Per Line'!$L$2:$L$4001,$X793))</f>
        <v/>
      </c>
      <c r="K793" s="20" t="str">
        <f aca="false">IF($X793="","",INDEX('Per Line'!$M$2:$M$4001,$X793))</f>
        <v/>
      </c>
      <c r="L793" s="22" t="str">
        <f aca="false">IF($X793="","",K793*V793/100)</f>
        <v/>
      </c>
      <c r="M793" s="20" t="str">
        <f aca="false">IF($X793="","",INDEX('Per Line'!$Z$2:$Z$4001,$X793))</f>
        <v/>
      </c>
      <c r="N793" s="23" t="str">
        <f aca="false">IF($X793="","",Settings!$C$7)</f>
        <v/>
      </c>
      <c r="O793" s="22" t="str">
        <f aca="false">IF($X793="","",SUMIFS('Per Line'!$Y$2:$Y$4001,'Per Line'!$D$2:$D$4001,$B793,'Per Line'!$AJ$2:$AJ$4001,0))</f>
        <v/>
      </c>
      <c r="P793" s="22" t="str">
        <f aca="false">IF($X793="","",O793*N793)</f>
        <v/>
      </c>
      <c r="Q793" s="23" t="str">
        <f aca="false">IF($X793="","",Settings!$C$6)</f>
        <v/>
      </c>
      <c r="R793" s="22" t="str">
        <f aca="false">IF($X793="","",SUMIFS('Per Line'!$Y$2:$Y$4001,'Per Line'!$D$2:$D$4001,$B793,'Per Line'!$AJ$2:$AJ$4001,1))</f>
        <v/>
      </c>
      <c r="S793" s="22" t="str">
        <f aca="false">IF($X793="","",R793*Q793)</f>
        <v/>
      </c>
      <c r="T793" s="22" t="str">
        <f aca="false">IF($X793="","",S793+P793)</f>
        <v/>
      </c>
      <c r="U793" s="22" t="str">
        <f aca="false">IF($X793="","",V793-T793)</f>
        <v/>
      </c>
      <c r="V793" s="22" t="str">
        <f aca="false">IF($X793="","",O793+R793)</f>
        <v/>
      </c>
      <c r="W793" s="22" t="str">
        <f aca="false">IF($X793="","",U793-L793)</f>
        <v/>
      </c>
      <c r="X793" s="24" t="str">
        <f aca="false">IF(ROWS($X$2:$X793)&lt;=MAX('Per Line'!$AI$2:$AI$4001),MATCH(ROWS($X$2:$X793),'Per Line'!$AI$2:$AI$4001,0),"")</f>
        <v/>
      </c>
    </row>
    <row r="794" customFormat="false" ht="15" hidden="false" customHeight="false" outlineLevel="0" collapsed="false">
      <c r="A794" s="19"/>
      <c r="B794" s="20" t="str">
        <f aca="false">IF($X794="","",INDEX('Per Line'!$D$2:$D$4001,$X794))</f>
        <v/>
      </c>
      <c r="C794" s="20" t="str">
        <f aca="false">IF($X794="","",INDEX('Per Line'!$C$2:$C$4001,$X794))</f>
        <v/>
      </c>
      <c r="D794" s="20" t="str">
        <f aca="false">IF($X794="","",INDEX('Per Line'!$A$2:$A$4001,$X794))</f>
        <v/>
      </c>
      <c r="E794" s="21" t="str">
        <f aca="false">IF($X794="","",INDEX('Per Line'!$F$2:$F$4001,$X794))</f>
        <v/>
      </c>
      <c r="F794" s="20" t="str">
        <f aca="false">IF($X794="","",INDEX('Per Line'!$G$2:$G$4001,$X794))</f>
        <v/>
      </c>
      <c r="G794" s="20" t="str">
        <f aca="false">IF($X794="","",INDEX('Per Line'!$I$2:$I$4001,$X794))</f>
        <v/>
      </c>
      <c r="H794" s="20" t="str">
        <f aca="false">IF($X794="","",INDEX('Per Line'!$J$2:$J$4001,$X794))</f>
        <v/>
      </c>
      <c r="I794" s="20" t="str">
        <f aca="false">IF($X794="","",INDEX('Per Line'!$K$2:$K$4001,$X794))</f>
        <v/>
      </c>
      <c r="J794" s="20" t="str">
        <f aca="false">IF($X794="","",INDEX('Per Line'!$L$2:$L$4001,$X794))</f>
        <v/>
      </c>
      <c r="K794" s="20" t="str">
        <f aca="false">IF($X794="","",INDEX('Per Line'!$M$2:$M$4001,$X794))</f>
        <v/>
      </c>
      <c r="L794" s="22" t="str">
        <f aca="false">IF($X794="","",K794*V794/100)</f>
        <v/>
      </c>
      <c r="M794" s="20" t="str">
        <f aca="false">IF($X794="","",INDEX('Per Line'!$Z$2:$Z$4001,$X794))</f>
        <v/>
      </c>
      <c r="N794" s="23" t="str">
        <f aca="false">IF($X794="","",Settings!$C$7)</f>
        <v/>
      </c>
      <c r="O794" s="22" t="str">
        <f aca="false">IF($X794="","",SUMIFS('Per Line'!$Y$2:$Y$4001,'Per Line'!$D$2:$D$4001,$B794,'Per Line'!$AJ$2:$AJ$4001,0))</f>
        <v/>
      </c>
      <c r="P794" s="22" t="str">
        <f aca="false">IF($X794="","",O794*N794)</f>
        <v/>
      </c>
      <c r="Q794" s="23" t="str">
        <f aca="false">IF($X794="","",Settings!$C$6)</f>
        <v/>
      </c>
      <c r="R794" s="22" t="str">
        <f aca="false">IF($X794="","",SUMIFS('Per Line'!$Y$2:$Y$4001,'Per Line'!$D$2:$D$4001,$B794,'Per Line'!$AJ$2:$AJ$4001,1))</f>
        <v/>
      </c>
      <c r="S794" s="22" t="str">
        <f aca="false">IF($X794="","",R794*Q794)</f>
        <v/>
      </c>
      <c r="T794" s="22" t="str">
        <f aca="false">IF($X794="","",S794+P794)</f>
        <v/>
      </c>
      <c r="U794" s="22" t="str">
        <f aca="false">IF($X794="","",V794-T794)</f>
        <v/>
      </c>
      <c r="V794" s="22" t="str">
        <f aca="false">IF($X794="","",O794+R794)</f>
        <v/>
      </c>
      <c r="W794" s="22" t="str">
        <f aca="false">IF($X794="","",U794-L794)</f>
        <v/>
      </c>
      <c r="X794" s="24" t="str">
        <f aca="false">IF(ROWS($X$2:$X794)&lt;=MAX('Per Line'!$AI$2:$AI$4001),MATCH(ROWS($X$2:$X794),'Per Line'!$AI$2:$AI$4001,0),"")</f>
        <v/>
      </c>
    </row>
    <row r="795" customFormat="false" ht="15" hidden="false" customHeight="false" outlineLevel="0" collapsed="false">
      <c r="A795" s="19"/>
      <c r="B795" s="20" t="str">
        <f aca="false">IF($X795="","",INDEX('Per Line'!$D$2:$D$4001,$X795))</f>
        <v/>
      </c>
      <c r="C795" s="20" t="str">
        <f aca="false">IF($X795="","",INDEX('Per Line'!$C$2:$C$4001,$X795))</f>
        <v/>
      </c>
      <c r="D795" s="20" t="str">
        <f aca="false">IF($X795="","",INDEX('Per Line'!$A$2:$A$4001,$X795))</f>
        <v/>
      </c>
      <c r="E795" s="21" t="str">
        <f aca="false">IF($X795="","",INDEX('Per Line'!$F$2:$F$4001,$X795))</f>
        <v/>
      </c>
      <c r="F795" s="20" t="str">
        <f aca="false">IF($X795="","",INDEX('Per Line'!$G$2:$G$4001,$X795))</f>
        <v/>
      </c>
      <c r="G795" s="20" t="str">
        <f aca="false">IF($X795="","",INDEX('Per Line'!$I$2:$I$4001,$X795))</f>
        <v/>
      </c>
      <c r="H795" s="20" t="str">
        <f aca="false">IF($X795="","",INDEX('Per Line'!$J$2:$J$4001,$X795))</f>
        <v/>
      </c>
      <c r="I795" s="20" t="str">
        <f aca="false">IF($X795="","",INDEX('Per Line'!$K$2:$K$4001,$X795))</f>
        <v/>
      </c>
      <c r="J795" s="20" t="str">
        <f aca="false">IF($X795="","",INDEX('Per Line'!$L$2:$L$4001,$X795))</f>
        <v/>
      </c>
      <c r="K795" s="20" t="str">
        <f aca="false">IF($X795="","",INDEX('Per Line'!$M$2:$M$4001,$X795))</f>
        <v/>
      </c>
      <c r="L795" s="22" t="str">
        <f aca="false">IF($X795="","",K795*V795/100)</f>
        <v/>
      </c>
      <c r="M795" s="20" t="str">
        <f aca="false">IF($X795="","",INDEX('Per Line'!$Z$2:$Z$4001,$X795))</f>
        <v/>
      </c>
      <c r="N795" s="23" t="str">
        <f aca="false">IF($X795="","",Settings!$C$7)</f>
        <v/>
      </c>
      <c r="O795" s="22" t="str">
        <f aca="false">IF($X795="","",SUMIFS('Per Line'!$Y$2:$Y$4001,'Per Line'!$D$2:$D$4001,$B795,'Per Line'!$AJ$2:$AJ$4001,0))</f>
        <v/>
      </c>
      <c r="P795" s="22" t="str">
        <f aca="false">IF($X795="","",O795*N795)</f>
        <v/>
      </c>
      <c r="Q795" s="23" t="str">
        <f aca="false">IF($X795="","",Settings!$C$6)</f>
        <v/>
      </c>
      <c r="R795" s="22" t="str">
        <f aca="false">IF($X795="","",SUMIFS('Per Line'!$Y$2:$Y$4001,'Per Line'!$D$2:$D$4001,$B795,'Per Line'!$AJ$2:$AJ$4001,1))</f>
        <v/>
      </c>
      <c r="S795" s="22" t="str">
        <f aca="false">IF($X795="","",R795*Q795)</f>
        <v/>
      </c>
      <c r="T795" s="22" t="str">
        <f aca="false">IF($X795="","",S795+P795)</f>
        <v/>
      </c>
      <c r="U795" s="22" t="str">
        <f aca="false">IF($X795="","",V795-T795)</f>
        <v/>
      </c>
      <c r="V795" s="22" t="str">
        <f aca="false">IF($X795="","",O795+R795)</f>
        <v/>
      </c>
      <c r="W795" s="22" t="str">
        <f aca="false">IF($X795="","",U795-L795)</f>
        <v/>
      </c>
      <c r="X795" s="24" t="str">
        <f aca="false">IF(ROWS($X$2:$X795)&lt;=MAX('Per Line'!$AI$2:$AI$4001),MATCH(ROWS($X$2:$X795),'Per Line'!$AI$2:$AI$4001,0),"")</f>
        <v/>
      </c>
    </row>
    <row r="796" customFormat="false" ht="15" hidden="false" customHeight="false" outlineLevel="0" collapsed="false">
      <c r="A796" s="19"/>
      <c r="B796" s="20" t="str">
        <f aca="false">IF($X796="","",INDEX('Per Line'!$D$2:$D$4001,$X796))</f>
        <v/>
      </c>
      <c r="C796" s="20" t="str">
        <f aca="false">IF($X796="","",INDEX('Per Line'!$C$2:$C$4001,$X796))</f>
        <v/>
      </c>
      <c r="D796" s="20" t="str">
        <f aca="false">IF($X796="","",INDEX('Per Line'!$A$2:$A$4001,$X796))</f>
        <v/>
      </c>
      <c r="E796" s="21" t="str">
        <f aca="false">IF($X796="","",INDEX('Per Line'!$F$2:$F$4001,$X796))</f>
        <v/>
      </c>
      <c r="F796" s="20" t="str">
        <f aca="false">IF($X796="","",INDEX('Per Line'!$G$2:$G$4001,$X796))</f>
        <v/>
      </c>
      <c r="G796" s="20" t="str">
        <f aca="false">IF($X796="","",INDEX('Per Line'!$I$2:$I$4001,$X796))</f>
        <v/>
      </c>
      <c r="H796" s="20" t="str">
        <f aca="false">IF($X796="","",INDEX('Per Line'!$J$2:$J$4001,$X796))</f>
        <v/>
      </c>
      <c r="I796" s="20" t="str">
        <f aca="false">IF($X796="","",INDEX('Per Line'!$K$2:$K$4001,$X796))</f>
        <v/>
      </c>
      <c r="J796" s="20" t="str">
        <f aca="false">IF($X796="","",INDEX('Per Line'!$L$2:$L$4001,$X796))</f>
        <v/>
      </c>
      <c r="K796" s="20" t="str">
        <f aca="false">IF($X796="","",INDEX('Per Line'!$M$2:$M$4001,$X796))</f>
        <v/>
      </c>
      <c r="L796" s="22" t="str">
        <f aca="false">IF($X796="","",K796*V796/100)</f>
        <v/>
      </c>
      <c r="M796" s="20" t="str">
        <f aca="false">IF($X796="","",INDEX('Per Line'!$Z$2:$Z$4001,$X796))</f>
        <v/>
      </c>
      <c r="N796" s="23" t="str">
        <f aca="false">IF($X796="","",Settings!$C$7)</f>
        <v/>
      </c>
      <c r="O796" s="22" t="str">
        <f aca="false">IF($X796="","",SUMIFS('Per Line'!$Y$2:$Y$4001,'Per Line'!$D$2:$D$4001,$B796,'Per Line'!$AJ$2:$AJ$4001,0))</f>
        <v/>
      </c>
      <c r="P796" s="22" t="str">
        <f aca="false">IF($X796="","",O796*N796)</f>
        <v/>
      </c>
      <c r="Q796" s="23" t="str">
        <f aca="false">IF($X796="","",Settings!$C$6)</f>
        <v/>
      </c>
      <c r="R796" s="22" t="str">
        <f aca="false">IF($X796="","",SUMIFS('Per Line'!$Y$2:$Y$4001,'Per Line'!$D$2:$D$4001,$B796,'Per Line'!$AJ$2:$AJ$4001,1))</f>
        <v/>
      </c>
      <c r="S796" s="22" t="str">
        <f aca="false">IF($X796="","",R796*Q796)</f>
        <v/>
      </c>
      <c r="T796" s="22" t="str">
        <f aca="false">IF($X796="","",S796+P796)</f>
        <v/>
      </c>
      <c r="U796" s="22" t="str">
        <f aca="false">IF($X796="","",V796-T796)</f>
        <v/>
      </c>
      <c r="V796" s="22" t="str">
        <f aca="false">IF($X796="","",O796+R796)</f>
        <v/>
      </c>
      <c r="W796" s="22" t="str">
        <f aca="false">IF($X796="","",U796-L796)</f>
        <v/>
      </c>
      <c r="X796" s="24" t="str">
        <f aca="false">IF(ROWS($X$2:$X796)&lt;=MAX('Per Line'!$AI$2:$AI$4001),MATCH(ROWS($X$2:$X796),'Per Line'!$AI$2:$AI$4001,0),"")</f>
        <v/>
      </c>
    </row>
    <row r="797" customFormat="false" ht="15" hidden="false" customHeight="false" outlineLevel="0" collapsed="false">
      <c r="A797" s="19"/>
      <c r="B797" s="20" t="str">
        <f aca="false">IF($X797="","",INDEX('Per Line'!$D$2:$D$4001,$X797))</f>
        <v/>
      </c>
      <c r="C797" s="20" t="str">
        <f aca="false">IF($X797="","",INDEX('Per Line'!$C$2:$C$4001,$X797))</f>
        <v/>
      </c>
      <c r="D797" s="20" t="str">
        <f aca="false">IF($X797="","",INDEX('Per Line'!$A$2:$A$4001,$X797))</f>
        <v/>
      </c>
      <c r="E797" s="21" t="str">
        <f aca="false">IF($X797="","",INDEX('Per Line'!$F$2:$F$4001,$X797))</f>
        <v/>
      </c>
      <c r="F797" s="20" t="str">
        <f aca="false">IF($X797="","",INDEX('Per Line'!$G$2:$G$4001,$X797))</f>
        <v/>
      </c>
      <c r="G797" s="20" t="str">
        <f aca="false">IF($X797="","",INDEX('Per Line'!$I$2:$I$4001,$X797))</f>
        <v/>
      </c>
      <c r="H797" s="20" t="str">
        <f aca="false">IF($X797="","",INDEX('Per Line'!$J$2:$J$4001,$X797))</f>
        <v/>
      </c>
      <c r="I797" s="20" t="str">
        <f aca="false">IF($X797="","",INDEX('Per Line'!$K$2:$K$4001,$X797))</f>
        <v/>
      </c>
      <c r="J797" s="20" t="str">
        <f aca="false">IF($X797="","",INDEX('Per Line'!$L$2:$L$4001,$X797))</f>
        <v/>
      </c>
      <c r="K797" s="20" t="str">
        <f aca="false">IF($X797="","",INDEX('Per Line'!$M$2:$M$4001,$X797))</f>
        <v/>
      </c>
      <c r="L797" s="22" t="str">
        <f aca="false">IF($X797="","",K797*V797/100)</f>
        <v/>
      </c>
      <c r="M797" s="20" t="str">
        <f aca="false">IF($X797="","",INDEX('Per Line'!$Z$2:$Z$4001,$X797))</f>
        <v/>
      </c>
      <c r="N797" s="23" t="str">
        <f aca="false">IF($X797="","",Settings!$C$7)</f>
        <v/>
      </c>
      <c r="O797" s="22" t="str">
        <f aca="false">IF($X797="","",SUMIFS('Per Line'!$Y$2:$Y$4001,'Per Line'!$D$2:$D$4001,$B797,'Per Line'!$AJ$2:$AJ$4001,0))</f>
        <v/>
      </c>
      <c r="P797" s="22" t="str">
        <f aca="false">IF($X797="","",O797*N797)</f>
        <v/>
      </c>
      <c r="Q797" s="23" t="str">
        <f aca="false">IF($X797="","",Settings!$C$6)</f>
        <v/>
      </c>
      <c r="R797" s="22" t="str">
        <f aca="false">IF($X797="","",SUMIFS('Per Line'!$Y$2:$Y$4001,'Per Line'!$D$2:$D$4001,$B797,'Per Line'!$AJ$2:$AJ$4001,1))</f>
        <v/>
      </c>
      <c r="S797" s="22" t="str">
        <f aca="false">IF($X797="","",R797*Q797)</f>
        <v/>
      </c>
      <c r="T797" s="22" t="str">
        <f aca="false">IF($X797="","",S797+P797)</f>
        <v/>
      </c>
      <c r="U797" s="22" t="str">
        <f aca="false">IF($X797="","",V797-T797)</f>
        <v/>
      </c>
      <c r="V797" s="22" t="str">
        <f aca="false">IF($X797="","",O797+R797)</f>
        <v/>
      </c>
      <c r="W797" s="22" t="str">
        <f aca="false">IF($X797="","",U797-L797)</f>
        <v/>
      </c>
      <c r="X797" s="24" t="str">
        <f aca="false">IF(ROWS($X$2:$X797)&lt;=MAX('Per Line'!$AI$2:$AI$4001),MATCH(ROWS($X$2:$X797),'Per Line'!$AI$2:$AI$4001,0),"")</f>
        <v/>
      </c>
    </row>
    <row r="798" customFormat="false" ht="15" hidden="false" customHeight="false" outlineLevel="0" collapsed="false">
      <c r="A798" s="19"/>
      <c r="B798" s="20" t="str">
        <f aca="false">IF($X798="","",INDEX('Per Line'!$D$2:$D$4001,$X798))</f>
        <v/>
      </c>
      <c r="C798" s="20" t="str">
        <f aca="false">IF($X798="","",INDEX('Per Line'!$C$2:$C$4001,$X798))</f>
        <v/>
      </c>
      <c r="D798" s="20" t="str">
        <f aca="false">IF($X798="","",INDEX('Per Line'!$A$2:$A$4001,$X798))</f>
        <v/>
      </c>
      <c r="E798" s="21" t="str">
        <f aca="false">IF($X798="","",INDEX('Per Line'!$F$2:$F$4001,$X798))</f>
        <v/>
      </c>
      <c r="F798" s="20" t="str">
        <f aca="false">IF($X798="","",INDEX('Per Line'!$G$2:$G$4001,$X798))</f>
        <v/>
      </c>
      <c r="G798" s="20" t="str">
        <f aca="false">IF($X798="","",INDEX('Per Line'!$I$2:$I$4001,$X798))</f>
        <v/>
      </c>
      <c r="H798" s="20" t="str">
        <f aca="false">IF($X798="","",INDEX('Per Line'!$J$2:$J$4001,$X798))</f>
        <v/>
      </c>
      <c r="I798" s="20" t="str">
        <f aca="false">IF($X798="","",INDEX('Per Line'!$K$2:$K$4001,$X798))</f>
        <v/>
      </c>
      <c r="J798" s="20" t="str">
        <f aca="false">IF($X798="","",INDEX('Per Line'!$L$2:$L$4001,$X798))</f>
        <v/>
      </c>
      <c r="K798" s="20" t="str">
        <f aca="false">IF($X798="","",INDEX('Per Line'!$M$2:$M$4001,$X798))</f>
        <v/>
      </c>
      <c r="L798" s="22" t="str">
        <f aca="false">IF($X798="","",K798*V798/100)</f>
        <v/>
      </c>
      <c r="M798" s="20" t="str">
        <f aca="false">IF($X798="","",INDEX('Per Line'!$Z$2:$Z$4001,$X798))</f>
        <v/>
      </c>
      <c r="N798" s="23" t="str">
        <f aca="false">IF($X798="","",Settings!$C$7)</f>
        <v/>
      </c>
      <c r="O798" s="22" t="str">
        <f aca="false">IF($X798="","",SUMIFS('Per Line'!$Y$2:$Y$4001,'Per Line'!$D$2:$D$4001,$B798,'Per Line'!$AJ$2:$AJ$4001,0))</f>
        <v/>
      </c>
      <c r="P798" s="22" t="str">
        <f aca="false">IF($X798="","",O798*N798)</f>
        <v/>
      </c>
      <c r="Q798" s="23" t="str">
        <f aca="false">IF($X798="","",Settings!$C$6)</f>
        <v/>
      </c>
      <c r="R798" s="22" t="str">
        <f aca="false">IF($X798="","",SUMIFS('Per Line'!$Y$2:$Y$4001,'Per Line'!$D$2:$D$4001,$B798,'Per Line'!$AJ$2:$AJ$4001,1))</f>
        <v/>
      </c>
      <c r="S798" s="22" t="str">
        <f aca="false">IF($X798="","",R798*Q798)</f>
        <v/>
      </c>
      <c r="T798" s="22" t="str">
        <f aca="false">IF($X798="","",S798+P798)</f>
        <v/>
      </c>
      <c r="U798" s="22" t="str">
        <f aca="false">IF($X798="","",V798-T798)</f>
        <v/>
      </c>
      <c r="V798" s="22" t="str">
        <f aca="false">IF($X798="","",O798+R798)</f>
        <v/>
      </c>
      <c r="W798" s="22" t="str">
        <f aca="false">IF($X798="","",U798-L798)</f>
        <v/>
      </c>
      <c r="X798" s="24" t="str">
        <f aca="false">IF(ROWS($X$2:$X798)&lt;=MAX('Per Line'!$AI$2:$AI$4001),MATCH(ROWS($X$2:$X798),'Per Line'!$AI$2:$AI$4001,0),"")</f>
        <v/>
      </c>
    </row>
    <row r="799" customFormat="false" ht="15" hidden="false" customHeight="false" outlineLevel="0" collapsed="false">
      <c r="A799" s="19"/>
      <c r="B799" s="20" t="str">
        <f aca="false">IF($X799="","",INDEX('Per Line'!$D$2:$D$4001,$X799))</f>
        <v/>
      </c>
      <c r="C799" s="20" t="str">
        <f aca="false">IF($X799="","",INDEX('Per Line'!$C$2:$C$4001,$X799))</f>
        <v/>
      </c>
      <c r="D799" s="20" t="str">
        <f aca="false">IF($X799="","",INDEX('Per Line'!$A$2:$A$4001,$X799))</f>
        <v/>
      </c>
      <c r="E799" s="21" t="str">
        <f aca="false">IF($X799="","",INDEX('Per Line'!$F$2:$F$4001,$X799))</f>
        <v/>
      </c>
      <c r="F799" s="20" t="str">
        <f aca="false">IF($X799="","",INDEX('Per Line'!$G$2:$G$4001,$X799))</f>
        <v/>
      </c>
      <c r="G799" s="20" t="str">
        <f aca="false">IF($X799="","",INDEX('Per Line'!$I$2:$I$4001,$X799))</f>
        <v/>
      </c>
      <c r="H799" s="20" t="str">
        <f aca="false">IF($X799="","",INDEX('Per Line'!$J$2:$J$4001,$X799))</f>
        <v/>
      </c>
      <c r="I799" s="20" t="str">
        <f aca="false">IF($X799="","",INDEX('Per Line'!$K$2:$K$4001,$X799))</f>
        <v/>
      </c>
      <c r="J799" s="20" t="str">
        <f aca="false">IF($X799="","",INDEX('Per Line'!$L$2:$L$4001,$X799))</f>
        <v/>
      </c>
      <c r="K799" s="20" t="str">
        <f aca="false">IF($X799="","",INDEX('Per Line'!$M$2:$M$4001,$X799))</f>
        <v/>
      </c>
      <c r="L799" s="22" t="str">
        <f aca="false">IF($X799="","",K799*V799/100)</f>
        <v/>
      </c>
      <c r="M799" s="20" t="str">
        <f aca="false">IF($X799="","",INDEX('Per Line'!$Z$2:$Z$4001,$X799))</f>
        <v/>
      </c>
      <c r="N799" s="23" t="str">
        <f aca="false">IF($X799="","",Settings!$C$7)</f>
        <v/>
      </c>
      <c r="O799" s="22" t="str">
        <f aca="false">IF($X799="","",SUMIFS('Per Line'!$Y$2:$Y$4001,'Per Line'!$D$2:$D$4001,$B799,'Per Line'!$AJ$2:$AJ$4001,0))</f>
        <v/>
      </c>
      <c r="P799" s="22" t="str">
        <f aca="false">IF($X799="","",O799*N799)</f>
        <v/>
      </c>
      <c r="Q799" s="23" t="str">
        <f aca="false">IF($X799="","",Settings!$C$6)</f>
        <v/>
      </c>
      <c r="R799" s="22" t="str">
        <f aca="false">IF($X799="","",SUMIFS('Per Line'!$Y$2:$Y$4001,'Per Line'!$D$2:$D$4001,$B799,'Per Line'!$AJ$2:$AJ$4001,1))</f>
        <v/>
      </c>
      <c r="S799" s="22" t="str">
        <f aca="false">IF($X799="","",R799*Q799)</f>
        <v/>
      </c>
      <c r="T799" s="22" t="str">
        <f aca="false">IF($X799="","",S799+P799)</f>
        <v/>
      </c>
      <c r="U799" s="22" t="str">
        <f aca="false">IF($X799="","",V799-T799)</f>
        <v/>
      </c>
      <c r="V799" s="22" t="str">
        <f aca="false">IF($X799="","",O799+R799)</f>
        <v/>
      </c>
      <c r="W799" s="22" t="str">
        <f aca="false">IF($X799="","",U799-L799)</f>
        <v/>
      </c>
      <c r="X799" s="24" t="str">
        <f aca="false">IF(ROWS($X$2:$X799)&lt;=MAX('Per Line'!$AI$2:$AI$4001),MATCH(ROWS($X$2:$X799),'Per Line'!$AI$2:$AI$4001,0),"")</f>
        <v/>
      </c>
    </row>
    <row r="800" customFormat="false" ht="15" hidden="false" customHeight="false" outlineLevel="0" collapsed="false">
      <c r="A800" s="19"/>
      <c r="B800" s="20" t="str">
        <f aca="false">IF($X800="","",INDEX('Per Line'!$D$2:$D$4001,$X800))</f>
        <v/>
      </c>
      <c r="C800" s="20" t="str">
        <f aca="false">IF($X800="","",INDEX('Per Line'!$C$2:$C$4001,$X800))</f>
        <v/>
      </c>
      <c r="D800" s="20" t="str">
        <f aca="false">IF($X800="","",INDEX('Per Line'!$A$2:$A$4001,$X800))</f>
        <v/>
      </c>
      <c r="E800" s="21" t="str">
        <f aca="false">IF($X800="","",INDEX('Per Line'!$F$2:$F$4001,$X800))</f>
        <v/>
      </c>
      <c r="F800" s="20" t="str">
        <f aca="false">IF($X800="","",INDEX('Per Line'!$G$2:$G$4001,$X800))</f>
        <v/>
      </c>
      <c r="G800" s="20" t="str">
        <f aca="false">IF($X800="","",INDEX('Per Line'!$I$2:$I$4001,$X800))</f>
        <v/>
      </c>
      <c r="H800" s="20" t="str">
        <f aca="false">IF($X800="","",INDEX('Per Line'!$J$2:$J$4001,$X800))</f>
        <v/>
      </c>
      <c r="I800" s="20" t="str">
        <f aca="false">IF($X800="","",INDEX('Per Line'!$K$2:$K$4001,$X800))</f>
        <v/>
      </c>
      <c r="J800" s="20" t="str">
        <f aca="false">IF($X800="","",INDEX('Per Line'!$L$2:$L$4001,$X800))</f>
        <v/>
      </c>
      <c r="K800" s="20" t="str">
        <f aca="false">IF($X800="","",INDEX('Per Line'!$M$2:$M$4001,$X800))</f>
        <v/>
      </c>
      <c r="L800" s="22" t="str">
        <f aca="false">IF($X800="","",K800*V800/100)</f>
        <v/>
      </c>
      <c r="M800" s="20" t="str">
        <f aca="false">IF($X800="","",INDEX('Per Line'!$Z$2:$Z$4001,$X800))</f>
        <v/>
      </c>
      <c r="N800" s="23" t="str">
        <f aca="false">IF($X800="","",Settings!$C$7)</f>
        <v/>
      </c>
      <c r="O800" s="22" t="str">
        <f aca="false">IF($X800="","",SUMIFS('Per Line'!$Y$2:$Y$4001,'Per Line'!$D$2:$D$4001,$B800,'Per Line'!$AJ$2:$AJ$4001,0))</f>
        <v/>
      </c>
      <c r="P800" s="22" t="str">
        <f aca="false">IF($X800="","",O800*N800)</f>
        <v/>
      </c>
      <c r="Q800" s="23" t="str">
        <f aca="false">IF($X800="","",Settings!$C$6)</f>
        <v/>
      </c>
      <c r="R800" s="22" t="str">
        <f aca="false">IF($X800="","",SUMIFS('Per Line'!$Y$2:$Y$4001,'Per Line'!$D$2:$D$4001,$B800,'Per Line'!$AJ$2:$AJ$4001,1))</f>
        <v/>
      </c>
      <c r="S800" s="22" t="str">
        <f aca="false">IF($X800="","",R800*Q800)</f>
        <v/>
      </c>
      <c r="T800" s="22" t="str">
        <f aca="false">IF($X800="","",S800+P800)</f>
        <v/>
      </c>
      <c r="U800" s="22" t="str">
        <f aca="false">IF($X800="","",V800-T800)</f>
        <v/>
      </c>
      <c r="V800" s="22" t="str">
        <f aca="false">IF($X800="","",O800+R800)</f>
        <v/>
      </c>
      <c r="W800" s="22" t="str">
        <f aca="false">IF($X800="","",U800-L800)</f>
        <v/>
      </c>
      <c r="X800" s="24" t="str">
        <f aca="false">IF(ROWS($X$2:$X800)&lt;=MAX('Per Line'!$AI$2:$AI$4001),MATCH(ROWS($X$2:$X800),'Per Line'!$AI$2:$AI$4001,0),"")</f>
        <v/>
      </c>
    </row>
    <row r="801" customFormat="false" ht="15" hidden="false" customHeight="false" outlineLevel="0" collapsed="false">
      <c r="A801" s="19"/>
      <c r="B801" s="20" t="str">
        <f aca="false">IF($X801="","",INDEX('Per Line'!$D$2:$D$4001,$X801))</f>
        <v/>
      </c>
      <c r="C801" s="20" t="str">
        <f aca="false">IF($X801="","",INDEX('Per Line'!$C$2:$C$4001,$X801))</f>
        <v/>
      </c>
      <c r="D801" s="20" t="str">
        <f aca="false">IF($X801="","",INDEX('Per Line'!$A$2:$A$4001,$X801))</f>
        <v/>
      </c>
      <c r="E801" s="21" t="str">
        <f aca="false">IF($X801="","",INDEX('Per Line'!$F$2:$F$4001,$X801))</f>
        <v/>
      </c>
      <c r="F801" s="20" t="str">
        <f aca="false">IF($X801="","",INDEX('Per Line'!$G$2:$G$4001,$X801))</f>
        <v/>
      </c>
      <c r="G801" s="20" t="str">
        <f aca="false">IF($X801="","",INDEX('Per Line'!$I$2:$I$4001,$X801))</f>
        <v/>
      </c>
      <c r="H801" s="20" t="str">
        <f aca="false">IF($X801="","",INDEX('Per Line'!$J$2:$J$4001,$X801))</f>
        <v/>
      </c>
      <c r="I801" s="20" t="str">
        <f aca="false">IF($X801="","",INDEX('Per Line'!$K$2:$K$4001,$X801))</f>
        <v/>
      </c>
      <c r="J801" s="20" t="str">
        <f aca="false">IF($X801="","",INDEX('Per Line'!$L$2:$L$4001,$X801))</f>
        <v/>
      </c>
      <c r="K801" s="20" t="str">
        <f aca="false">IF($X801="","",INDEX('Per Line'!$M$2:$M$4001,$X801))</f>
        <v/>
      </c>
      <c r="L801" s="22" t="str">
        <f aca="false">IF($X801="","",K801*V801/100)</f>
        <v/>
      </c>
      <c r="M801" s="20" t="str">
        <f aca="false">IF($X801="","",INDEX('Per Line'!$Z$2:$Z$4001,$X801))</f>
        <v/>
      </c>
      <c r="N801" s="23" t="str">
        <f aca="false">IF($X801="","",Settings!$C$7)</f>
        <v/>
      </c>
      <c r="O801" s="22" t="str">
        <f aca="false">IF($X801="","",SUMIFS('Per Line'!$Y$2:$Y$4001,'Per Line'!$D$2:$D$4001,$B801,'Per Line'!$AJ$2:$AJ$4001,0))</f>
        <v/>
      </c>
      <c r="P801" s="22" t="str">
        <f aca="false">IF($X801="","",O801*N801)</f>
        <v/>
      </c>
      <c r="Q801" s="23" t="str">
        <f aca="false">IF($X801="","",Settings!$C$6)</f>
        <v/>
      </c>
      <c r="R801" s="22" t="str">
        <f aca="false">IF($X801="","",SUMIFS('Per Line'!$Y$2:$Y$4001,'Per Line'!$D$2:$D$4001,$B801,'Per Line'!$AJ$2:$AJ$4001,1))</f>
        <v/>
      </c>
      <c r="S801" s="22" t="str">
        <f aca="false">IF($X801="","",R801*Q801)</f>
        <v/>
      </c>
      <c r="T801" s="22" t="str">
        <f aca="false">IF($X801="","",S801+P801)</f>
        <v/>
      </c>
      <c r="U801" s="22" t="str">
        <f aca="false">IF($X801="","",V801-T801)</f>
        <v/>
      </c>
      <c r="V801" s="22" t="str">
        <f aca="false">IF($X801="","",O801+R801)</f>
        <v/>
      </c>
      <c r="W801" s="22" t="str">
        <f aca="false">IF($X801="","",U801-L801)</f>
        <v/>
      </c>
      <c r="X801" s="24" t="str">
        <f aca="false">IF(ROWS($X$2:$X801)&lt;=MAX('Per Line'!$AI$2:$AI$4001),MATCH(ROWS($X$2:$X801),'Per Line'!$AI$2:$AI$4001,0),"")</f>
        <v/>
      </c>
    </row>
    <row r="802" customFormat="false" ht="15" hidden="false" customHeight="false" outlineLevel="0" collapsed="false">
      <c r="A802" s="19"/>
      <c r="B802" s="20" t="str">
        <f aca="false">IF($X802="","",INDEX('Per Line'!$D$2:$D$4001,$X802))</f>
        <v/>
      </c>
      <c r="C802" s="20" t="str">
        <f aca="false">IF($X802="","",INDEX('Per Line'!$C$2:$C$4001,$X802))</f>
        <v/>
      </c>
      <c r="D802" s="20" t="str">
        <f aca="false">IF($X802="","",INDEX('Per Line'!$A$2:$A$4001,$X802))</f>
        <v/>
      </c>
      <c r="E802" s="21" t="str">
        <f aca="false">IF($X802="","",INDEX('Per Line'!$F$2:$F$4001,$X802))</f>
        <v/>
      </c>
      <c r="F802" s="20" t="str">
        <f aca="false">IF($X802="","",INDEX('Per Line'!$G$2:$G$4001,$X802))</f>
        <v/>
      </c>
      <c r="G802" s="20" t="str">
        <f aca="false">IF($X802="","",INDEX('Per Line'!$I$2:$I$4001,$X802))</f>
        <v/>
      </c>
      <c r="H802" s="20" t="str">
        <f aca="false">IF($X802="","",INDEX('Per Line'!$J$2:$J$4001,$X802))</f>
        <v/>
      </c>
      <c r="I802" s="20" t="str">
        <f aca="false">IF($X802="","",INDEX('Per Line'!$K$2:$K$4001,$X802))</f>
        <v/>
      </c>
      <c r="J802" s="20" t="str">
        <f aca="false">IF($X802="","",INDEX('Per Line'!$L$2:$L$4001,$X802))</f>
        <v/>
      </c>
      <c r="K802" s="20" t="str">
        <f aca="false">IF($X802="","",INDEX('Per Line'!$M$2:$M$4001,$X802))</f>
        <v/>
      </c>
      <c r="L802" s="22" t="str">
        <f aca="false">IF($X802="","",K802*V802/100)</f>
        <v/>
      </c>
      <c r="M802" s="20" t="str">
        <f aca="false">IF($X802="","",INDEX('Per Line'!$Z$2:$Z$4001,$X802))</f>
        <v/>
      </c>
      <c r="N802" s="23" t="str">
        <f aca="false">IF($X802="","",Settings!$C$7)</f>
        <v/>
      </c>
      <c r="O802" s="22" t="str">
        <f aca="false">IF($X802="","",SUMIFS('Per Line'!$Y$2:$Y$4001,'Per Line'!$D$2:$D$4001,$B802,'Per Line'!$AJ$2:$AJ$4001,0))</f>
        <v/>
      </c>
      <c r="P802" s="22" t="str">
        <f aca="false">IF($X802="","",O802*N802)</f>
        <v/>
      </c>
      <c r="Q802" s="23" t="str">
        <f aca="false">IF($X802="","",Settings!$C$6)</f>
        <v/>
      </c>
      <c r="R802" s="22" t="str">
        <f aca="false">IF($X802="","",SUMIFS('Per Line'!$Y$2:$Y$4001,'Per Line'!$D$2:$D$4001,$B802,'Per Line'!$AJ$2:$AJ$4001,1))</f>
        <v/>
      </c>
      <c r="S802" s="22" t="str">
        <f aca="false">IF($X802="","",R802*Q802)</f>
        <v/>
      </c>
      <c r="T802" s="22" t="str">
        <f aca="false">IF($X802="","",S802+P802)</f>
        <v/>
      </c>
      <c r="U802" s="22" t="str">
        <f aca="false">IF($X802="","",V802-T802)</f>
        <v/>
      </c>
      <c r="V802" s="22" t="str">
        <f aca="false">IF($X802="","",O802+R802)</f>
        <v/>
      </c>
      <c r="W802" s="22" t="str">
        <f aca="false">IF($X802="","",U802-L802)</f>
        <v/>
      </c>
      <c r="X802" s="24" t="str">
        <f aca="false">IF(ROWS($X$2:$X802)&lt;=MAX('Per Line'!$AI$2:$AI$4001),MATCH(ROWS($X$2:$X802),'Per Line'!$AI$2:$AI$4001,0),"")</f>
        <v/>
      </c>
    </row>
    <row r="803" customFormat="false" ht="15" hidden="false" customHeight="false" outlineLevel="0" collapsed="false">
      <c r="A803" s="19"/>
      <c r="B803" s="20" t="str">
        <f aca="false">IF($X803="","",INDEX('Per Line'!$D$2:$D$4001,$X803))</f>
        <v/>
      </c>
      <c r="C803" s="20" t="str">
        <f aca="false">IF($X803="","",INDEX('Per Line'!$C$2:$C$4001,$X803))</f>
        <v/>
      </c>
      <c r="D803" s="20" t="str">
        <f aca="false">IF($X803="","",INDEX('Per Line'!$A$2:$A$4001,$X803))</f>
        <v/>
      </c>
      <c r="E803" s="21" t="str">
        <f aca="false">IF($X803="","",INDEX('Per Line'!$F$2:$F$4001,$X803))</f>
        <v/>
      </c>
      <c r="F803" s="20" t="str">
        <f aca="false">IF($X803="","",INDEX('Per Line'!$G$2:$G$4001,$X803))</f>
        <v/>
      </c>
      <c r="G803" s="20" t="str">
        <f aca="false">IF($X803="","",INDEX('Per Line'!$I$2:$I$4001,$X803))</f>
        <v/>
      </c>
      <c r="H803" s="20" t="str">
        <f aca="false">IF($X803="","",INDEX('Per Line'!$J$2:$J$4001,$X803))</f>
        <v/>
      </c>
      <c r="I803" s="20" t="str">
        <f aca="false">IF($X803="","",INDEX('Per Line'!$K$2:$K$4001,$X803))</f>
        <v/>
      </c>
      <c r="J803" s="20" t="str">
        <f aca="false">IF($X803="","",INDEX('Per Line'!$L$2:$L$4001,$X803))</f>
        <v/>
      </c>
      <c r="K803" s="20" t="str">
        <f aca="false">IF($X803="","",INDEX('Per Line'!$M$2:$M$4001,$X803))</f>
        <v/>
      </c>
      <c r="L803" s="22" t="str">
        <f aca="false">IF($X803="","",K803*V803/100)</f>
        <v/>
      </c>
      <c r="M803" s="20" t="str">
        <f aca="false">IF($X803="","",INDEX('Per Line'!$Z$2:$Z$4001,$X803))</f>
        <v/>
      </c>
      <c r="N803" s="23" t="str">
        <f aca="false">IF($X803="","",Settings!$C$7)</f>
        <v/>
      </c>
      <c r="O803" s="22" t="str">
        <f aca="false">IF($X803="","",SUMIFS('Per Line'!$Y$2:$Y$4001,'Per Line'!$D$2:$D$4001,$B803,'Per Line'!$AJ$2:$AJ$4001,0))</f>
        <v/>
      </c>
      <c r="P803" s="22" t="str">
        <f aca="false">IF($X803="","",O803*N803)</f>
        <v/>
      </c>
      <c r="Q803" s="23" t="str">
        <f aca="false">IF($X803="","",Settings!$C$6)</f>
        <v/>
      </c>
      <c r="R803" s="22" t="str">
        <f aca="false">IF($X803="","",SUMIFS('Per Line'!$Y$2:$Y$4001,'Per Line'!$D$2:$D$4001,$B803,'Per Line'!$AJ$2:$AJ$4001,1))</f>
        <v/>
      </c>
      <c r="S803" s="22" t="str">
        <f aca="false">IF($X803="","",R803*Q803)</f>
        <v/>
      </c>
      <c r="T803" s="22" t="str">
        <f aca="false">IF($X803="","",S803+P803)</f>
        <v/>
      </c>
      <c r="U803" s="22" t="str">
        <f aca="false">IF($X803="","",V803-T803)</f>
        <v/>
      </c>
      <c r="V803" s="22" t="str">
        <f aca="false">IF($X803="","",O803+R803)</f>
        <v/>
      </c>
      <c r="W803" s="22" t="str">
        <f aca="false">IF($X803="","",U803-L803)</f>
        <v/>
      </c>
      <c r="X803" s="24" t="str">
        <f aca="false">IF(ROWS($X$2:$X803)&lt;=MAX('Per Line'!$AI$2:$AI$4001),MATCH(ROWS($X$2:$X803),'Per Line'!$AI$2:$AI$4001,0),"")</f>
        <v/>
      </c>
    </row>
    <row r="804" customFormat="false" ht="15" hidden="false" customHeight="false" outlineLevel="0" collapsed="false">
      <c r="A804" s="19"/>
      <c r="B804" s="20" t="str">
        <f aca="false">IF($X804="","",INDEX('Per Line'!$D$2:$D$4001,$X804))</f>
        <v/>
      </c>
      <c r="C804" s="20" t="str">
        <f aca="false">IF($X804="","",INDEX('Per Line'!$C$2:$C$4001,$X804))</f>
        <v/>
      </c>
      <c r="D804" s="20" t="str">
        <f aca="false">IF($X804="","",INDEX('Per Line'!$A$2:$A$4001,$X804))</f>
        <v/>
      </c>
      <c r="E804" s="21" t="str">
        <f aca="false">IF($X804="","",INDEX('Per Line'!$F$2:$F$4001,$X804))</f>
        <v/>
      </c>
      <c r="F804" s="20" t="str">
        <f aca="false">IF($X804="","",INDEX('Per Line'!$G$2:$G$4001,$X804))</f>
        <v/>
      </c>
      <c r="G804" s="20" t="str">
        <f aca="false">IF($X804="","",INDEX('Per Line'!$I$2:$I$4001,$X804))</f>
        <v/>
      </c>
      <c r="H804" s="20" t="str">
        <f aca="false">IF($X804="","",INDEX('Per Line'!$J$2:$J$4001,$X804))</f>
        <v/>
      </c>
      <c r="I804" s="20" t="str">
        <f aca="false">IF($X804="","",INDEX('Per Line'!$K$2:$K$4001,$X804))</f>
        <v/>
      </c>
      <c r="J804" s="20" t="str">
        <f aca="false">IF($X804="","",INDEX('Per Line'!$L$2:$L$4001,$X804))</f>
        <v/>
      </c>
      <c r="K804" s="20" t="str">
        <f aca="false">IF($X804="","",INDEX('Per Line'!$M$2:$M$4001,$X804))</f>
        <v/>
      </c>
      <c r="L804" s="22" t="str">
        <f aca="false">IF($X804="","",K804*V804/100)</f>
        <v/>
      </c>
      <c r="M804" s="20" t="str">
        <f aca="false">IF($X804="","",INDEX('Per Line'!$Z$2:$Z$4001,$X804))</f>
        <v/>
      </c>
      <c r="N804" s="23" t="str">
        <f aca="false">IF($X804="","",Settings!$C$7)</f>
        <v/>
      </c>
      <c r="O804" s="22" t="str">
        <f aca="false">IF($X804="","",SUMIFS('Per Line'!$Y$2:$Y$4001,'Per Line'!$D$2:$D$4001,$B804,'Per Line'!$AJ$2:$AJ$4001,0))</f>
        <v/>
      </c>
      <c r="P804" s="22" t="str">
        <f aca="false">IF($X804="","",O804*N804)</f>
        <v/>
      </c>
      <c r="Q804" s="23" t="str">
        <f aca="false">IF($X804="","",Settings!$C$6)</f>
        <v/>
      </c>
      <c r="R804" s="22" t="str">
        <f aca="false">IF($X804="","",SUMIFS('Per Line'!$Y$2:$Y$4001,'Per Line'!$D$2:$D$4001,$B804,'Per Line'!$AJ$2:$AJ$4001,1))</f>
        <v/>
      </c>
      <c r="S804" s="22" t="str">
        <f aca="false">IF($X804="","",R804*Q804)</f>
        <v/>
      </c>
      <c r="T804" s="22" t="str">
        <f aca="false">IF($X804="","",S804+P804)</f>
        <v/>
      </c>
      <c r="U804" s="22" t="str">
        <f aca="false">IF($X804="","",V804-T804)</f>
        <v/>
      </c>
      <c r="V804" s="22" t="str">
        <f aca="false">IF($X804="","",O804+R804)</f>
        <v/>
      </c>
      <c r="W804" s="22" t="str">
        <f aca="false">IF($X804="","",U804-L804)</f>
        <v/>
      </c>
      <c r="X804" s="24" t="str">
        <f aca="false">IF(ROWS($X$2:$X804)&lt;=MAX('Per Line'!$AI$2:$AI$4001),MATCH(ROWS($X$2:$X804),'Per Line'!$AI$2:$AI$4001,0),"")</f>
        <v/>
      </c>
    </row>
    <row r="805" customFormat="false" ht="15" hidden="false" customHeight="false" outlineLevel="0" collapsed="false">
      <c r="A805" s="19"/>
      <c r="B805" s="20" t="str">
        <f aca="false">IF($X805="","",INDEX('Per Line'!$D$2:$D$4001,$X805))</f>
        <v/>
      </c>
      <c r="C805" s="20" t="str">
        <f aca="false">IF($X805="","",INDEX('Per Line'!$C$2:$C$4001,$X805))</f>
        <v/>
      </c>
      <c r="D805" s="20" t="str">
        <f aca="false">IF($X805="","",INDEX('Per Line'!$A$2:$A$4001,$X805))</f>
        <v/>
      </c>
      <c r="E805" s="21" t="str">
        <f aca="false">IF($X805="","",INDEX('Per Line'!$F$2:$F$4001,$X805))</f>
        <v/>
      </c>
      <c r="F805" s="20" t="str">
        <f aca="false">IF($X805="","",INDEX('Per Line'!$G$2:$G$4001,$X805))</f>
        <v/>
      </c>
      <c r="G805" s="20" t="str">
        <f aca="false">IF($X805="","",INDEX('Per Line'!$I$2:$I$4001,$X805))</f>
        <v/>
      </c>
      <c r="H805" s="20" t="str">
        <f aca="false">IF($X805="","",INDEX('Per Line'!$J$2:$J$4001,$X805))</f>
        <v/>
      </c>
      <c r="I805" s="20" t="str">
        <f aca="false">IF($X805="","",INDEX('Per Line'!$K$2:$K$4001,$X805))</f>
        <v/>
      </c>
      <c r="J805" s="20" t="str">
        <f aca="false">IF($X805="","",INDEX('Per Line'!$L$2:$L$4001,$X805))</f>
        <v/>
      </c>
      <c r="K805" s="20" t="str">
        <f aca="false">IF($X805="","",INDEX('Per Line'!$M$2:$M$4001,$X805))</f>
        <v/>
      </c>
      <c r="L805" s="22" t="str">
        <f aca="false">IF($X805="","",K805*V805/100)</f>
        <v/>
      </c>
      <c r="M805" s="20" t="str">
        <f aca="false">IF($X805="","",INDEX('Per Line'!$Z$2:$Z$4001,$X805))</f>
        <v/>
      </c>
      <c r="N805" s="23" t="str">
        <f aca="false">IF($X805="","",Settings!$C$7)</f>
        <v/>
      </c>
      <c r="O805" s="22" t="str">
        <f aca="false">IF($X805="","",SUMIFS('Per Line'!$Y$2:$Y$4001,'Per Line'!$D$2:$D$4001,$B805,'Per Line'!$AJ$2:$AJ$4001,0))</f>
        <v/>
      </c>
      <c r="P805" s="22" t="str">
        <f aca="false">IF($X805="","",O805*N805)</f>
        <v/>
      </c>
      <c r="Q805" s="23" t="str">
        <f aca="false">IF($X805="","",Settings!$C$6)</f>
        <v/>
      </c>
      <c r="R805" s="22" t="str">
        <f aca="false">IF($X805="","",SUMIFS('Per Line'!$Y$2:$Y$4001,'Per Line'!$D$2:$D$4001,$B805,'Per Line'!$AJ$2:$AJ$4001,1))</f>
        <v/>
      </c>
      <c r="S805" s="22" t="str">
        <f aca="false">IF($X805="","",R805*Q805)</f>
        <v/>
      </c>
      <c r="T805" s="22" t="str">
        <f aca="false">IF($X805="","",S805+P805)</f>
        <v/>
      </c>
      <c r="U805" s="22" t="str">
        <f aca="false">IF($X805="","",V805-T805)</f>
        <v/>
      </c>
      <c r="V805" s="22" t="str">
        <f aca="false">IF($X805="","",O805+R805)</f>
        <v/>
      </c>
      <c r="W805" s="22" t="str">
        <f aca="false">IF($X805="","",U805-L805)</f>
        <v/>
      </c>
      <c r="X805" s="24" t="str">
        <f aca="false">IF(ROWS($X$2:$X805)&lt;=MAX('Per Line'!$AI$2:$AI$4001),MATCH(ROWS($X$2:$X805),'Per Line'!$AI$2:$AI$4001,0),"")</f>
        <v/>
      </c>
    </row>
    <row r="806" customFormat="false" ht="15" hidden="false" customHeight="false" outlineLevel="0" collapsed="false">
      <c r="A806" s="19"/>
      <c r="B806" s="20" t="str">
        <f aca="false">IF($X806="","",INDEX('Per Line'!$D$2:$D$4001,$X806))</f>
        <v/>
      </c>
      <c r="C806" s="20" t="str">
        <f aca="false">IF($X806="","",INDEX('Per Line'!$C$2:$C$4001,$X806))</f>
        <v/>
      </c>
      <c r="D806" s="20" t="str">
        <f aca="false">IF($X806="","",INDEX('Per Line'!$A$2:$A$4001,$X806))</f>
        <v/>
      </c>
      <c r="E806" s="21" t="str">
        <f aca="false">IF($X806="","",INDEX('Per Line'!$F$2:$F$4001,$X806))</f>
        <v/>
      </c>
      <c r="F806" s="20" t="str">
        <f aca="false">IF($X806="","",INDEX('Per Line'!$G$2:$G$4001,$X806))</f>
        <v/>
      </c>
      <c r="G806" s="20" t="str">
        <f aca="false">IF($X806="","",INDEX('Per Line'!$I$2:$I$4001,$X806))</f>
        <v/>
      </c>
      <c r="H806" s="20" t="str">
        <f aca="false">IF($X806="","",INDEX('Per Line'!$J$2:$J$4001,$X806))</f>
        <v/>
      </c>
      <c r="I806" s="20" t="str">
        <f aca="false">IF($X806="","",INDEX('Per Line'!$K$2:$K$4001,$X806))</f>
        <v/>
      </c>
      <c r="J806" s="20" t="str">
        <f aca="false">IF($X806="","",INDEX('Per Line'!$L$2:$L$4001,$X806))</f>
        <v/>
      </c>
      <c r="K806" s="20" t="str">
        <f aca="false">IF($X806="","",INDEX('Per Line'!$M$2:$M$4001,$X806))</f>
        <v/>
      </c>
      <c r="L806" s="22" t="str">
        <f aca="false">IF($X806="","",K806*V806/100)</f>
        <v/>
      </c>
      <c r="M806" s="20" t="str">
        <f aca="false">IF($X806="","",INDEX('Per Line'!$Z$2:$Z$4001,$X806))</f>
        <v/>
      </c>
      <c r="N806" s="23" t="str">
        <f aca="false">IF($X806="","",Settings!$C$7)</f>
        <v/>
      </c>
      <c r="O806" s="22" t="str">
        <f aca="false">IF($X806="","",SUMIFS('Per Line'!$Y$2:$Y$4001,'Per Line'!$D$2:$D$4001,$B806,'Per Line'!$AJ$2:$AJ$4001,0))</f>
        <v/>
      </c>
      <c r="P806" s="22" t="str">
        <f aca="false">IF($X806="","",O806*N806)</f>
        <v/>
      </c>
      <c r="Q806" s="23" t="str">
        <f aca="false">IF($X806="","",Settings!$C$6)</f>
        <v/>
      </c>
      <c r="R806" s="22" t="str">
        <f aca="false">IF($X806="","",SUMIFS('Per Line'!$Y$2:$Y$4001,'Per Line'!$D$2:$D$4001,$B806,'Per Line'!$AJ$2:$AJ$4001,1))</f>
        <v/>
      </c>
      <c r="S806" s="22" t="str">
        <f aca="false">IF($X806="","",R806*Q806)</f>
        <v/>
      </c>
      <c r="T806" s="22" t="str">
        <f aca="false">IF($X806="","",S806+P806)</f>
        <v/>
      </c>
      <c r="U806" s="22" t="str">
        <f aca="false">IF($X806="","",V806-T806)</f>
        <v/>
      </c>
      <c r="V806" s="22" t="str">
        <f aca="false">IF($X806="","",O806+R806)</f>
        <v/>
      </c>
      <c r="W806" s="22" t="str">
        <f aca="false">IF($X806="","",U806-L806)</f>
        <v/>
      </c>
      <c r="X806" s="24" t="str">
        <f aca="false">IF(ROWS($X$2:$X806)&lt;=MAX('Per Line'!$AI$2:$AI$4001),MATCH(ROWS($X$2:$X806),'Per Line'!$AI$2:$AI$4001,0),"")</f>
        <v/>
      </c>
    </row>
    <row r="807" customFormat="false" ht="15" hidden="false" customHeight="false" outlineLevel="0" collapsed="false">
      <c r="A807" s="19"/>
      <c r="B807" s="20" t="str">
        <f aca="false">IF($X807="","",INDEX('Per Line'!$D$2:$D$4001,$X807))</f>
        <v/>
      </c>
      <c r="C807" s="20" t="str">
        <f aca="false">IF($X807="","",INDEX('Per Line'!$C$2:$C$4001,$X807))</f>
        <v/>
      </c>
      <c r="D807" s="20" t="str">
        <f aca="false">IF($X807="","",INDEX('Per Line'!$A$2:$A$4001,$X807))</f>
        <v/>
      </c>
      <c r="E807" s="21" t="str">
        <f aca="false">IF($X807="","",INDEX('Per Line'!$F$2:$F$4001,$X807))</f>
        <v/>
      </c>
      <c r="F807" s="20" t="str">
        <f aca="false">IF($X807="","",INDEX('Per Line'!$G$2:$G$4001,$X807))</f>
        <v/>
      </c>
      <c r="G807" s="20" t="str">
        <f aca="false">IF($X807="","",INDEX('Per Line'!$I$2:$I$4001,$X807))</f>
        <v/>
      </c>
      <c r="H807" s="20" t="str">
        <f aca="false">IF($X807="","",INDEX('Per Line'!$J$2:$J$4001,$X807))</f>
        <v/>
      </c>
      <c r="I807" s="20" t="str">
        <f aca="false">IF($X807="","",INDEX('Per Line'!$K$2:$K$4001,$X807))</f>
        <v/>
      </c>
      <c r="J807" s="20" t="str">
        <f aca="false">IF($X807="","",INDEX('Per Line'!$L$2:$L$4001,$X807))</f>
        <v/>
      </c>
      <c r="K807" s="20" t="str">
        <f aca="false">IF($X807="","",INDEX('Per Line'!$M$2:$M$4001,$X807))</f>
        <v/>
      </c>
      <c r="L807" s="22" t="str">
        <f aca="false">IF($X807="","",K807*V807/100)</f>
        <v/>
      </c>
      <c r="M807" s="20" t="str">
        <f aca="false">IF($X807="","",INDEX('Per Line'!$Z$2:$Z$4001,$X807))</f>
        <v/>
      </c>
      <c r="N807" s="23" t="str">
        <f aca="false">IF($X807="","",Settings!$C$7)</f>
        <v/>
      </c>
      <c r="O807" s="22" t="str">
        <f aca="false">IF($X807="","",SUMIFS('Per Line'!$Y$2:$Y$4001,'Per Line'!$D$2:$D$4001,$B807,'Per Line'!$AJ$2:$AJ$4001,0))</f>
        <v/>
      </c>
      <c r="P807" s="22" t="str">
        <f aca="false">IF($X807="","",O807*N807)</f>
        <v/>
      </c>
      <c r="Q807" s="23" t="str">
        <f aca="false">IF($X807="","",Settings!$C$6)</f>
        <v/>
      </c>
      <c r="R807" s="22" t="str">
        <f aca="false">IF($X807="","",SUMIFS('Per Line'!$Y$2:$Y$4001,'Per Line'!$D$2:$D$4001,$B807,'Per Line'!$AJ$2:$AJ$4001,1))</f>
        <v/>
      </c>
      <c r="S807" s="22" t="str">
        <f aca="false">IF($X807="","",R807*Q807)</f>
        <v/>
      </c>
      <c r="T807" s="22" t="str">
        <f aca="false">IF($X807="","",S807+P807)</f>
        <v/>
      </c>
      <c r="U807" s="22" t="str">
        <f aca="false">IF($X807="","",V807-T807)</f>
        <v/>
      </c>
      <c r="V807" s="22" t="str">
        <f aca="false">IF($X807="","",O807+R807)</f>
        <v/>
      </c>
      <c r="W807" s="22" t="str">
        <f aca="false">IF($X807="","",U807-L807)</f>
        <v/>
      </c>
      <c r="X807" s="24" t="str">
        <f aca="false">IF(ROWS($X$2:$X807)&lt;=MAX('Per Line'!$AI$2:$AI$4001),MATCH(ROWS($X$2:$X807),'Per Line'!$AI$2:$AI$4001,0),"")</f>
        <v/>
      </c>
    </row>
    <row r="808" customFormat="false" ht="15" hidden="false" customHeight="false" outlineLevel="0" collapsed="false">
      <c r="A808" s="19"/>
      <c r="B808" s="20" t="str">
        <f aca="false">IF($X808="","",INDEX('Per Line'!$D$2:$D$4001,$X808))</f>
        <v/>
      </c>
      <c r="C808" s="20" t="str">
        <f aca="false">IF($X808="","",INDEX('Per Line'!$C$2:$C$4001,$X808))</f>
        <v/>
      </c>
      <c r="D808" s="20" t="str">
        <f aca="false">IF($X808="","",INDEX('Per Line'!$A$2:$A$4001,$X808))</f>
        <v/>
      </c>
      <c r="E808" s="21" t="str">
        <f aca="false">IF($X808="","",INDEX('Per Line'!$F$2:$F$4001,$X808))</f>
        <v/>
      </c>
      <c r="F808" s="20" t="str">
        <f aca="false">IF($X808="","",INDEX('Per Line'!$G$2:$G$4001,$X808))</f>
        <v/>
      </c>
      <c r="G808" s="20" t="str">
        <f aca="false">IF($X808="","",INDEX('Per Line'!$I$2:$I$4001,$X808))</f>
        <v/>
      </c>
      <c r="H808" s="20" t="str">
        <f aca="false">IF($X808="","",INDEX('Per Line'!$J$2:$J$4001,$X808))</f>
        <v/>
      </c>
      <c r="I808" s="20" t="str">
        <f aca="false">IF($X808="","",INDEX('Per Line'!$K$2:$K$4001,$X808))</f>
        <v/>
      </c>
      <c r="J808" s="20" t="str">
        <f aca="false">IF($X808="","",INDEX('Per Line'!$L$2:$L$4001,$X808))</f>
        <v/>
      </c>
      <c r="K808" s="20" t="str">
        <f aca="false">IF($X808="","",INDEX('Per Line'!$M$2:$M$4001,$X808))</f>
        <v/>
      </c>
      <c r="L808" s="22" t="str">
        <f aca="false">IF($X808="","",K808*V808/100)</f>
        <v/>
      </c>
      <c r="M808" s="20" t="str">
        <f aca="false">IF($X808="","",INDEX('Per Line'!$Z$2:$Z$4001,$X808))</f>
        <v/>
      </c>
      <c r="N808" s="23" t="str">
        <f aca="false">IF($X808="","",Settings!$C$7)</f>
        <v/>
      </c>
      <c r="O808" s="22" t="str">
        <f aca="false">IF($X808="","",SUMIFS('Per Line'!$Y$2:$Y$4001,'Per Line'!$D$2:$D$4001,$B808,'Per Line'!$AJ$2:$AJ$4001,0))</f>
        <v/>
      </c>
      <c r="P808" s="22" t="str">
        <f aca="false">IF($X808="","",O808*N808)</f>
        <v/>
      </c>
      <c r="Q808" s="23" t="str">
        <f aca="false">IF($X808="","",Settings!$C$6)</f>
        <v/>
      </c>
      <c r="R808" s="22" t="str">
        <f aca="false">IF($X808="","",SUMIFS('Per Line'!$Y$2:$Y$4001,'Per Line'!$D$2:$D$4001,$B808,'Per Line'!$AJ$2:$AJ$4001,1))</f>
        <v/>
      </c>
      <c r="S808" s="22" t="str">
        <f aca="false">IF($X808="","",R808*Q808)</f>
        <v/>
      </c>
      <c r="T808" s="22" t="str">
        <f aca="false">IF($X808="","",S808+P808)</f>
        <v/>
      </c>
      <c r="U808" s="22" t="str">
        <f aca="false">IF($X808="","",V808-T808)</f>
        <v/>
      </c>
      <c r="V808" s="22" t="str">
        <f aca="false">IF($X808="","",O808+R808)</f>
        <v/>
      </c>
      <c r="W808" s="22" t="str">
        <f aca="false">IF($X808="","",U808-L808)</f>
        <v/>
      </c>
      <c r="X808" s="24" t="str">
        <f aca="false">IF(ROWS($X$2:$X808)&lt;=MAX('Per Line'!$AI$2:$AI$4001),MATCH(ROWS($X$2:$X808),'Per Line'!$AI$2:$AI$4001,0),"")</f>
        <v/>
      </c>
    </row>
    <row r="809" customFormat="false" ht="15" hidden="false" customHeight="false" outlineLevel="0" collapsed="false">
      <c r="A809" s="19"/>
      <c r="B809" s="20" t="str">
        <f aca="false">IF($X809="","",INDEX('Per Line'!$D$2:$D$4001,$X809))</f>
        <v/>
      </c>
      <c r="C809" s="20" t="str">
        <f aca="false">IF($X809="","",INDEX('Per Line'!$C$2:$C$4001,$X809))</f>
        <v/>
      </c>
      <c r="D809" s="20" t="str">
        <f aca="false">IF($X809="","",INDEX('Per Line'!$A$2:$A$4001,$X809))</f>
        <v/>
      </c>
      <c r="E809" s="21" t="str">
        <f aca="false">IF($X809="","",INDEX('Per Line'!$F$2:$F$4001,$X809))</f>
        <v/>
      </c>
      <c r="F809" s="20" t="str">
        <f aca="false">IF($X809="","",INDEX('Per Line'!$G$2:$G$4001,$X809))</f>
        <v/>
      </c>
      <c r="G809" s="20" t="str">
        <f aca="false">IF($X809="","",INDEX('Per Line'!$I$2:$I$4001,$X809))</f>
        <v/>
      </c>
      <c r="H809" s="20" t="str">
        <f aca="false">IF($X809="","",INDEX('Per Line'!$J$2:$J$4001,$X809))</f>
        <v/>
      </c>
      <c r="I809" s="20" t="str">
        <f aca="false">IF($X809="","",INDEX('Per Line'!$K$2:$K$4001,$X809))</f>
        <v/>
      </c>
      <c r="J809" s="20" t="str">
        <f aca="false">IF($X809="","",INDEX('Per Line'!$L$2:$L$4001,$X809))</f>
        <v/>
      </c>
      <c r="K809" s="20" t="str">
        <f aca="false">IF($X809="","",INDEX('Per Line'!$M$2:$M$4001,$X809))</f>
        <v/>
      </c>
      <c r="L809" s="22" t="str">
        <f aca="false">IF($X809="","",K809*V809/100)</f>
        <v/>
      </c>
      <c r="M809" s="20" t="str">
        <f aca="false">IF($X809="","",INDEX('Per Line'!$Z$2:$Z$4001,$X809))</f>
        <v/>
      </c>
      <c r="N809" s="23" t="str">
        <f aca="false">IF($X809="","",Settings!$C$7)</f>
        <v/>
      </c>
      <c r="O809" s="22" t="str">
        <f aca="false">IF($X809="","",SUMIFS('Per Line'!$Y$2:$Y$4001,'Per Line'!$D$2:$D$4001,$B809,'Per Line'!$AJ$2:$AJ$4001,0))</f>
        <v/>
      </c>
      <c r="P809" s="22" t="str">
        <f aca="false">IF($X809="","",O809*N809)</f>
        <v/>
      </c>
      <c r="Q809" s="23" t="str">
        <f aca="false">IF($X809="","",Settings!$C$6)</f>
        <v/>
      </c>
      <c r="R809" s="22" t="str">
        <f aca="false">IF($X809="","",SUMIFS('Per Line'!$Y$2:$Y$4001,'Per Line'!$D$2:$D$4001,$B809,'Per Line'!$AJ$2:$AJ$4001,1))</f>
        <v/>
      </c>
      <c r="S809" s="22" t="str">
        <f aca="false">IF($X809="","",R809*Q809)</f>
        <v/>
      </c>
      <c r="T809" s="22" t="str">
        <f aca="false">IF($X809="","",S809+P809)</f>
        <v/>
      </c>
      <c r="U809" s="22" t="str">
        <f aca="false">IF($X809="","",V809-T809)</f>
        <v/>
      </c>
      <c r="V809" s="22" t="str">
        <f aca="false">IF($X809="","",O809+R809)</f>
        <v/>
      </c>
      <c r="W809" s="22" t="str">
        <f aca="false">IF($X809="","",U809-L809)</f>
        <v/>
      </c>
      <c r="X809" s="24" t="str">
        <f aca="false">IF(ROWS($X$2:$X809)&lt;=MAX('Per Line'!$AI$2:$AI$4001),MATCH(ROWS($X$2:$X809),'Per Line'!$AI$2:$AI$4001,0),"")</f>
        <v/>
      </c>
    </row>
    <row r="810" customFormat="false" ht="15" hidden="false" customHeight="false" outlineLevel="0" collapsed="false">
      <c r="A810" s="19"/>
      <c r="B810" s="20" t="str">
        <f aca="false">IF($X810="","",INDEX('Per Line'!$D$2:$D$4001,$X810))</f>
        <v/>
      </c>
      <c r="C810" s="20" t="str">
        <f aca="false">IF($X810="","",INDEX('Per Line'!$C$2:$C$4001,$X810))</f>
        <v/>
      </c>
      <c r="D810" s="20" t="str">
        <f aca="false">IF($X810="","",INDEX('Per Line'!$A$2:$A$4001,$X810))</f>
        <v/>
      </c>
      <c r="E810" s="21" t="str">
        <f aca="false">IF($X810="","",INDEX('Per Line'!$F$2:$F$4001,$X810))</f>
        <v/>
      </c>
      <c r="F810" s="20" t="str">
        <f aca="false">IF($X810="","",INDEX('Per Line'!$G$2:$G$4001,$X810))</f>
        <v/>
      </c>
      <c r="G810" s="20" t="str">
        <f aca="false">IF($X810="","",INDEX('Per Line'!$I$2:$I$4001,$X810))</f>
        <v/>
      </c>
      <c r="H810" s="20" t="str">
        <f aca="false">IF($X810="","",INDEX('Per Line'!$J$2:$J$4001,$X810))</f>
        <v/>
      </c>
      <c r="I810" s="20" t="str">
        <f aca="false">IF($X810="","",INDEX('Per Line'!$K$2:$K$4001,$X810))</f>
        <v/>
      </c>
      <c r="J810" s="20" t="str">
        <f aca="false">IF($X810="","",INDEX('Per Line'!$L$2:$L$4001,$X810))</f>
        <v/>
      </c>
      <c r="K810" s="20" t="str">
        <f aca="false">IF($X810="","",INDEX('Per Line'!$M$2:$M$4001,$X810))</f>
        <v/>
      </c>
      <c r="L810" s="22" t="str">
        <f aca="false">IF($X810="","",K810*V810/100)</f>
        <v/>
      </c>
      <c r="M810" s="20" t="str">
        <f aca="false">IF($X810="","",INDEX('Per Line'!$Z$2:$Z$4001,$X810))</f>
        <v/>
      </c>
      <c r="N810" s="23" t="str">
        <f aca="false">IF($X810="","",Settings!$C$7)</f>
        <v/>
      </c>
      <c r="O810" s="22" t="str">
        <f aca="false">IF($X810="","",SUMIFS('Per Line'!$Y$2:$Y$4001,'Per Line'!$D$2:$D$4001,$B810,'Per Line'!$AJ$2:$AJ$4001,0))</f>
        <v/>
      </c>
      <c r="P810" s="22" t="str">
        <f aca="false">IF($X810="","",O810*N810)</f>
        <v/>
      </c>
      <c r="Q810" s="23" t="str">
        <f aca="false">IF($X810="","",Settings!$C$6)</f>
        <v/>
      </c>
      <c r="R810" s="22" t="str">
        <f aca="false">IF($X810="","",SUMIFS('Per Line'!$Y$2:$Y$4001,'Per Line'!$D$2:$D$4001,$B810,'Per Line'!$AJ$2:$AJ$4001,1))</f>
        <v/>
      </c>
      <c r="S810" s="22" t="str">
        <f aca="false">IF($X810="","",R810*Q810)</f>
        <v/>
      </c>
      <c r="T810" s="22" t="str">
        <f aca="false">IF($X810="","",S810+P810)</f>
        <v/>
      </c>
      <c r="U810" s="22" t="str">
        <f aca="false">IF($X810="","",V810-T810)</f>
        <v/>
      </c>
      <c r="V810" s="22" t="str">
        <f aca="false">IF($X810="","",O810+R810)</f>
        <v/>
      </c>
      <c r="W810" s="22" t="str">
        <f aca="false">IF($X810="","",U810-L810)</f>
        <v/>
      </c>
      <c r="X810" s="24" t="str">
        <f aca="false">IF(ROWS($X$2:$X810)&lt;=MAX('Per Line'!$AI$2:$AI$4001),MATCH(ROWS($X$2:$X810),'Per Line'!$AI$2:$AI$4001,0),"")</f>
        <v/>
      </c>
    </row>
    <row r="811" customFormat="false" ht="15" hidden="false" customHeight="false" outlineLevel="0" collapsed="false">
      <c r="A811" s="19"/>
      <c r="B811" s="20" t="str">
        <f aca="false">IF($X811="","",INDEX('Per Line'!$D$2:$D$4001,$X811))</f>
        <v/>
      </c>
      <c r="C811" s="20" t="str">
        <f aca="false">IF($X811="","",INDEX('Per Line'!$C$2:$C$4001,$X811))</f>
        <v/>
      </c>
      <c r="D811" s="20" t="str">
        <f aca="false">IF($X811="","",INDEX('Per Line'!$A$2:$A$4001,$X811))</f>
        <v/>
      </c>
      <c r="E811" s="21" t="str">
        <f aca="false">IF($X811="","",INDEX('Per Line'!$F$2:$F$4001,$X811))</f>
        <v/>
      </c>
      <c r="F811" s="20" t="str">
        <f aca="false">IF($X811="","",INDEX('Per Line'!$G$2:$G$4001,$X811))</f>
        <v/>
      </c>
      <c r="G811" s="20" t="str">
        <f aca="false">IF($X811="","",INDEX('Per Line'!$I$2:$I$4001,$X811))</f>
        <v/>
      </c>
      <c r="H811" s="20" t="str">
        <f aca="false">IF($X811="","",INDEX('Per Line'!$J$2:$J$4001,$X811))</f>
        <v/>
      </c>
      <c r="I811" s="20" t="str">
        <f aca="false">IF($X811="","",INDEX('Per Line'!$K$2:$K$4001,$X811))</f>
        <v/>
      </c>
      <c r="J811" s="20" t="str">
        <f aca="false">IF($X811="","",INDEX('Per Line'!$L$2:$L$4001,$X811))</f>
        <v/>
      </c>
      <c r="K811" s="20" t="str">
        <f aca="false">IF($X811="","",INDEX('Per Line'!$M$2:$M$4001,$X811))</f>
        <v/>
      </c>
      <c r="L811" s="22" t="str">
        <f aca="false">IF($X811="","",K811*V811/100)</f>
        <v/>
      </c>
      <c r="M811" s="20" t="str">
        <f aca="false">IF($X811="","",INDEX('Per Line'!$Z$2:$Z$4001,$X811))</f>
        <v/>
      </c>
      <c r="N811" s="23" t="str">
        <f aca="false">IF($X811="","",Settings!$C$7)</f>
        <v/>
      </c>
      <c r="O811" s="22" t="str">
        <f aca="false">IF($X811="","",SUMIFS('Per Line'!$Y$2:$Y$4001,'Per Line'!$D$2:$D$4001,$B811,'Per Line'!$AJ$2:$AJ$4001,0))</f>
        <v/>
      </c>
      <c r="P811" s="22" t="str">
        <f aca="false">IF($X811="","",O811*N811)</f>
        <v/>
      </c>
      <c r="Q811" s="23" t="str">
        <f aca="false">IF($X811="","",Settings!$C$6)</f>
        <v/>
      </c>
      <c r="R811" s="22" t="str">
        <f aca="false">IF($X811="","",SUMIFS('Per Line'!$Y$2:$Y$4001,'Per Line'!$D$2:$D$4001,$B811,'Per Line'!$AJ$2:$AJ$4001,1))</f>
        <v/>
      </c>
      <c r="S811" s="22" t="str">
        <f aca="false">IF($X811="","",R811*Q811)</f>
        <v/>
      </c>
      <c r="T811" s="22" t="str">
        <f aca="false">IF($X811="","",S811+P811)</f>
        <v/>
      </c>
      <c r="U811" s="22" t="str">
        <f aca="false">IF($X811="","",V811-T811)</f>
        <v/>
      </c>
      <c r="V811" s="22" t="str">
        <f aca="false">IF($X811="","",O811+R811)</f>
        <v/>
      </c>
      <c r="W811" s="22" t="str">
        <f aca="false">IF($X811="","",U811-L811)</f>
        <v/>
      </c>
      <c r="X811" s="24" t="str">
        <f aca="false">IF(ROWS($X$2:$X811)&lt;=MAX('Per Line'!$AI$2:$AI$4001),MATCH(ROWS($X$2:$X811),'Per Line'!$AI$2:$AI$4001,0),"")</f>
        <v/>
      </c>
    </row>
    <row r="812" customFormat="false" ht="15" hidden="false" customHeight="false" outlineLevel="0" collapsed="false">
      <c r="A812" s="19"/>
      <c r="B812" s="20" t="str">
        <f aca="false">IF($X812="","",INDEX('Per Line'!$D$2:$D$4001,$X812))</f>
        <v/>
      </c>
      <c r="C812" s="20" t="str">
        <f aca="false">IF($X812="","",INDEX('Per Line'!$C$2:$C$4001,$X812))</f>
        <v/>
      </c>
      <c r="D812" s="20" t="str">
        <f aca="false">IF($X812="","",INDEX('Per Line'!$A$2:$A$4001,$X812))</f>
        <v/>
      </c>
      <c r="E812" s="21" t="str">
        <f aca="false">IF($X812="","",INDEX('Per Line'!$F$2:$F$4001,$X812))</f>
        <v/>
      </c>
      <c r="F812" s="20" t="str">
        <f aca="false">IF($X812="","",INDEX('Per Line'!$G$2:$G$4001,$X812))</f>
        <v/>
      </c>
      <c r="G812" s="20" t="str">
        <f aca="false">IF($X812="","",INDEX('Per Line'!$I$2:$I$4001,$X812))</f>
        <v/>
      </c>
      <c r="H812" s="20" t="str">
        <f aca="false">IF($X812="","",INDEX('Per Line'!$J$2:$J$4001,$X812))</f>
        <v/>
      </c>
      <c r="I812" s="20" t="str">
        <f aca="false">IF($X812="","",INDEX('Per Line'!$K$2:$K$4001,$X812))</f>
        <v/>
      </c>
      <c r="J812" s="20" t="str">
        <f aca="false">IF($X812="","",INDEX('Per Line'!$L$2:$L$4001,$X812))</f>
        <v/>
      </c>
      <c r="K812" s="20" t="str">
        <f aca="false">IF($X812="","",INDEX('Per Line'!$M$2:$M$4001,$X812))</f>
        <v/>
      </c>
      <c r="L812" s="22" t="str">
        <f aca="false">IF($X812="","",K812*V812/100)</f>
        <v/>
      </c>
      <c r="M812" s="20" t="str">
        <f aca="false">IF($X812="","",INDEX('Per Line'!$Z$2:$Z$4001,$X812))</f>
        <v/>
      </c>
      <c r="N812" s="23" t="str">
        <f aca="false">IF($X812="","",Settings!$C$7)</f>
        <v/>
      </c>
      <c r="O812" s="22" t="str">
        <f aca="false">IF($X812="","",SUMIFS('Per Line'!$Y$2:$Y$4001,'Per Line'!$D$2:$D$4001,$B812,'Per Line'!$AJ$2:$AJ$4001,0))</f>
        <v/>
      </c>
      <c r="P812" s="22" t="str">
        <f aca="false">IF($X812="","",O812*N812)</f>
        <v/>
      </c>
      <c r="Q812" s="23" t="str">
        <f aca="false">IF($X812="","",Settings!$C$6)</f>
        <v/>
      </c>
      <c r="R812" s="22" t="str">
        <f aca="false">IF($X812="","",SUMIFS('Per Line'!$Y$2:$Y$4001,'Per Line'!$D$2:$D$4001,$B812,'Per Line'!$AJ$2:$AJ$4001,1))</f>
        <v/>
      </c>
      <c r="S812" s="22" t="str">
        <f aca="false">IF($X812="","",R812*Q812)</f>
        <v/>
      </c>
      <c r="T812" s="22" t="str">
        <f aca="false">IF($X812="","",S812+P812)</f>
        <v/>
      </c>
      <c r="U812" s="22" t="str">
        <f aca="false">IF($X812="","",V812-T812)</f>
        <v/>
      </c>
      <c r="V812" s="22" t="str">
        <f aca="false">IF($X812="","",O812+R812)</f>
        <v/>
      </c>
      <c r="W812" s="22" t="str">
        <f aca="false">IF($X812="","",U812-L812)</f>
        <v/>
      </c>
      <c r="X812" s="24" t="str">
        <f aca="false">IF(ROWS($X$2:$X812)&lt;=MAX('Per Line'!$AI$2:$AI$4001),MATCH(ROWS($X$2:$X812),'Per Line'!$AI$2:$AI$4001,0),"")</f>
        <v/>
      </c>
    </row>
    <row r="813" customFormat="false" ht="15" hidden="false" customHeight="false" outlineLevel="0" collapsed="false">
      <c r="A813" s="19"/>
      <c r="B813" s="20" t="str">
        <f aca="false">IF($X813="","",INDEX('Per Line'!$D$2:$D$4001,$X813))</f>
        <v/>
      </c>
      <c r="C813" s="20" t="str">
        <f aca="false">IF($X813="","",INDEX('Per Line'!$C$2:$C$4001,$X813))</f>
        <v/>
      </c>
      <c r="D813" s="20" t="str">
        <f aca="false">IF($X813="","",INDEX('Per Line'!$A$2:$A$4001,$X813))</f>
        <v/>
      </c>
      <c r="E813" s="21" t="str">
        <f aca="false">IF($X813="","",INDEX('Per Line'!$F$2:$F$4001,$X813))</f>
        <v/>
      </c>
      <c r="F813" s="20" t="str">
        <f aca="false">IF($X813="","",INDEX('Per Line'!$G$2:$G$4001,$X813))</f>
        <v/>
      </c>
      <c r="G813" s="20" t="str">
        <f aca="false">IF($X813="","",INDEX('Per Line'!$I$2:$I$4001,$X813))</f>
        <v/>
      </c>
      <c r="H813" s="20" t="str">
        <f aca="false">IF($X813="","",INDEX('Per Line'!$J$2:$J$4001,$X813))</f>
        <v/>
      </c>
      <c r="I813" s="20" t="str">
        <f aca="false">IF($X813="","",INDEX('Per Line'!$K$2:$K$4001,$X813))</f>
        <v/>
      </c>
      <c r="J813" s="20" t="str">
        <f aca="false">IF($X813="","",INDEX('Per Line'!$L$2:$L$4001,$X813))</f>
        <v/>
      </c>
      <c r="K813" s="20" t="str">
        <f aca="false">IF($X813="","",INDEX('Per Line'!$M$2:$M$4001,$X813))</f>
        <v/>
      </c>
      <c r="L813" s="22" t="str">
        <f aca="false">IF($X813="","",K813*V813/100)</f>
        <v/>
      </c>
      <c r="M813" s="20" t="str">
        <f aca="false">IF($X813="","",INDEX('Per Line'!$Z$2:$Z$4001,$X813))</f>
        <v/>
      </c>
      <c r="N813" s="23" t="str">
        <f aca="false">IF($X813="","",Settings!$C$7)</f>
        <v/>
      </c>
      <c r="O813" s="22" t="str">
        <f aca="false">IF($X813="","",SUMIFS('Per Line'!$Y$2:$Y$4001,'Per Line'!$D$2:$D$4001,$B813,'Per Line'!$AJ$2:$AJ$4001,0))</f>
        <v/>
      </c>
      <c r="P813" s="22" t="str">
        <f aca="false">IF($X813="","",O813*N813)</f>
        <v/>
      </c>
      <c r="Q813" s="23" t="str">
        <f aca="false">IF($X813="","",Settings!$C$6)</f>
        <v/>
      </c>
      <c r="R813" s="22" t="str">
        <f aca="false">IF($X813="","",SUMIFS('Per Line'!$Y$2:$Y$4001,'Per Line'!$D$2:$D$4001,$B813,'Per Line'!$AJ$2:$AJ$4001,1))</f>
        <v/>
      </c>
      <c r="S813" s="22" t="str">
        <f aca="false">IF($X813="","",R813*Q813)</f>
        <v/>
      </c>
      <c r="T813" s="22" t="str">
        <f aca="false">IF($X813="","",S813+P813)</f>
        <v/>
      </c>
      <c r="U813" s="22" t="str">
        <f aca="false">IF($X813="","",V813-T813)</f>
        <v/>
      </c>
      <c r="V813" s="22" t="str">
        <f aca="false">IF($X813="","",O813+R813)</f>
        <v/>
      </c>
      <c r="W813" s="22" t="str">
        <f aca="false">IF($X813="","",U813-L813)</f>
        <v/>
      </c>
      <c r="X813" s="24" t="str">
        <f aca="false">IF(ROWS($X$2:$X813)&lt;=MAX('Per Line'!$AI$2:$AI$4001),MATCH(ROWS($X$2:$X813),'Per Line'!$AI$2:$AI$4001,0),"")</f>
        <v/>
      </c>
    </row>
    <row r="814" customFormat="false" ht="15" hidden="false" customHeight="false" outlineLevel="0" collapsed="false">
      <c r="A814" s="19"/>
      <c r="B814" s="20" t="str">
        <f aca="false">IF($X814="","",INDEX('Per Line'!$D$2:$D$4001,$X814))</f>
        <v/>
      </c>
      <c r="C814" s="20" t="str">
        <f aca="false">IF($X814="","",INDEX('Per Line'!$C$2:$C$4001,$X814))</f>
        <v/>
      </c>
      <c r="D814" s="20" t="str">
        <f aca="false">IF($X814="","",INDEX('Per Line'!$A$2:$A$4001,$X814))</f>
        <v/>
      </c>
      <c r="E814" s="21" t="str">
        <f aca="false">IF($X814="","",INDEX('Per Line'!$F$2:$F$4001,$X814))</f>
        <v/>
      </c>
      <c r="F814" s="20" t="str">
        <f aca="false">IF($X814="","",INDEX('Per Line'!$G$2:$G$4001,$X814))</f>
        <v/>
      </c>
      <c r="G814" s="20" t="str">
        <f aca="false">IF($X814="","",INDEX('Per Line'!$I$2:$I$4001,$X814))</f>
        <v/>
      </c>
      <c r="H814" s="20" t="str">
        <f aca="false">IF($X814="","",INDEX('Per Line'!$J$2:$J$4001,$X814))</f>
        <v/>
      </c>
      <c r="I814" s="20" t="str">
        <f aca="false">IF($X814="","",INDEX('Per Line'!$K$2:$K$4001,$X814))</f>
        <v/>
      </c>
      <c r="J814" s="20" t="str">
        <f aca="false">IF($X814="","",INDEX('Per Line'!$L$2:$L$4001,$X814))</f>
        <v/>
      </c>
      <c r="K814" s="20" t="str">
        <f aca="false">IF($X814="","",INDEX('Per Line'!$M$2:$M$4001,$X814))</f>
        <v/>
      </c>
      <c r="L814" s="22" t="str">
        <f aca="false">IF($X814="","",K814*V814/100)</f>
        <v/>
      </c>
      <c r="M814" s="20" t="str">
        <f aca="false">IF($X814="","",INDEX('Per Line'!$Z$2:$Z$4001,$X814))</f>
        <v/>
      </c>
      <c r="N814" s="23" t="str">
        <f aca="false">IF($X814="","",Settings!$C$7)</f>
        <v/>
      </c>
      <c r="O814" s="22" t="str">
        <f aca="false">IF($X814="","",SUMIFS('Per Line'!$Y$2:$Y$4001,'Per Line'!$D$2:$D$4001,$B814,'Per Line'!$AJ$2:$AJ$4001,0))</f>
        <v/>
      </c>
      <c r="P814" s="22" t="str">
        <f aca="false">IF($X814="","",O814*N814)</f>
        <v/>
      </c>
      <c r="Q814" s="23" t="str">
        <f aca="false">IF($X814="","",Settings!$C$6)</f>
        <v/>
      </c>
      <c r="R814" s="22" t="str">
        <f aca="false">IF($X814="","",SUMIFS('Per Line'!$Y$2:$Y$4001,'Per Line'!$D$2:$D$4001,$B814,'Per Line'!$AJ$2:$AJ$4001,1))</f>
        <v/>
      </c>
      <c r="S814" s="22" t="str">
        <f aca="false">IF($X814="","",R814*Q814)</f>
        <v/>
      </c>
      <c r="T814" s="22" t="str">
        <f aca="false">IF($X814="","",S814+P814)</f>
        <v/>
      </c>
      <c r="U814" s="22" t="str">
        <f aca="false">IF($X814="","",V814-T814)</f>
        <v/>
      </c>
      <c r="V814" s="22" t="str">
        <f aca="false">IF($X814="","",O814+R814)</f>
        <v/>
      </c>
      <c r="W814" s="22" t="str">
        <f aca="false">IF($X814="","",U814-L814)</f>
        <v/>
      </c>
      <c r="X814" s="24" t="str">
        <f aca="false">IF(ROWS($X$2:$X814)&lt;=MAX('Per Line'!$AI$2:$AI$4001),MATCH(ROWS($X$2:$X814),'Per Line'!$AI$2:$AI$4001,0),"")</f>
        <v/>
      </c>
    </row>
    <row r="815" customFormat="false" ht="15" hidden="false" customHeight="false" outlineLevel="0" collapsed="false">
      <c r="A815" s="19"/>
      <c r="B815" s="20" t="str">
        <f aca="false">IF($X815="","",INDEX('Per Line'!$D$2:$D$4001,$X815))</f>
        <v/>
      </c>
      <c r="C815" s="20" t="str">
        <f aca="false">IF($X815="","",INDEX('Per Line'!$C$2:$C$4001,$X815))</f>
        <v/>
      </c>
      <c r="D815" s="20" t="str">
        <f aca="false">IF($X815="","",INDEX('Per Line'!$A$2:$A$4001,$X815))</f>
        <v/>
      </c>
      <c r="E815" s="21" t="str">
        <f aca="false">IF($X815="","",INDEX('Per Line'!$F$2:$F$4001,$X815))</f>
        <v/>
      </c>
      <c r="F815" s="20" t="str">
        <f aca="false">IF($X815="","",INDEX('Per Line'!$G$2:$G$4001,$X815))</f>
        <v/>
      </c>
      <c r="G815" s="20" t="str">
        <f aca="false">IF($X815="","",INDEX('Per Line'!$I$2:$I$4001,$X815))</f>
        <v/>
      </c>
      <c r="H815" s="20" t="str">
        <f aca="false">IF($X815="","",INDEX('Per Line'!$J$2:$J$4001,$X815))</f>
        <v/>
      </c>
      <c r="I815" s="20" t="str">
        <f aca="false">IF($X815="","",INDEX('Per Line'!$K$2:$K$4001,$X815))</f>
        <v/>
      </c>
      <c r="J815" s="20" t="str">
        <f aca="false">IF($X815="","",INDEX('Per Line'!$L$2:$L$4001,$X815))</f>
        <v/>
      </c>
      <c r="K815" s="20" t="str">
        <f aca="false">IF($X815="","",INDEX('Per Line'!$M$2:$M$4001,$X815))</f>
        <v/>
      </c>
      <c r="L815" s="22" t="str">
        <f aca="false">IF($X815="","",K815*V815/100)</f>
        <v/>
      </c>
      <c r="M815" s="20" t="str">
        <f aca="false">IF($X815="","",INDEX('Per Line'!$Z$2:$Z$4001,$X815))</f>
        <v/>
      </c>
      <c r="N815" s="23" t="str">
        <f aca="false">IF($X815="","",Settings!$C$7)</f>
        <v/>
      </c>
      <c r="O815" s="22" t="str">
        <f aca="false">IF($X815="","",SUMIFS('Per Line'!$Y$2:$Y$4001,'Per Line'!$D$2:$D$4001,$B815,'Per Line'!$AJ$2:$AJ$4001,0))</f>
        <v/>
      </c>
      <c r="P815" s="22" t="str">
        <f aca="false">IF($X815="","",O815*N815)</f>
        <v/>
      </c>
      <c r="Q815" s="23" t="str">
        <f aca="false">IF($X815="","",Settings!$C$6)</f>
        <v/>
      </c>
      <c r="R815" s="22" t="str">
        <f aca="false">IF($X815="","",SUMIFS('Per Line'!$Y$2:$Y$4001,'Per Line'!$D$2:$D$4001,$B815,'Per Line'!$AJ$2:$AJ$4001,1))</f>
        <v/>
      </c>
      <c r="S815" s="22" t="str">
        <f aca="false">IF($X815="","",R815*Q815)</f>
        <v/>
      </c>
      <c r="T815" s="22" t="str">
        <f aca="false">IF($X815="","",S815+P815)</f>
        <v/>
      </c>
      <c r="U815" s="22" t="str">
        <f aca="false">IF($X815="","",V815-T815)</f>
        <v/>
      </c>
      <c r="V815" s="22" t="str">
        <f aca="false">IF($X815="","",O815+R815)</f>
        <v/>
      </c>
      <c r="W815" s="22" t="str">
        <f aca="false">IF($X815="","",U815-L815)</f>
        <v/>
      </c>
      <c r="X815" s="24" t="str">
        <f aca="false">IF(ROWS($X$2:$X815)&lt;=MAX('Per Line'!$AI$2:$AI$4001),MATCH(ROWS($X$2:$X815),'Per Line'!$AI$2:$AI$4001,0),"")</f>
        <v/>
      </c>
    </row>
    <row r="816" customFormat="false" ht="15" hidden="false" customHeight="false" outlineLevel="0" collapsed="false">
      <c r="A816" s="19"/>
      <c r="B816" s="20" t="str">
        <f aca="false">IF($X816="","",INDEX('Per Line'!$D$2:$D$4001,$X816))</f>
        <v/>
      </c>
      <c r="C816" s="20" t="str">
        <f aca="false">IF($X816="","",INDEX('Per Line'!$C$2:$C$4001,$X816))</f>
        <v/>
      </c>
      <c r="D816" s="20" t="str">
        <f aca="false">IF($X816="","",INDEX('Per Line'!$A$2:$A$4001,$X816))</f>
        <v/>
      </c>
      <c r="E816" s="21" t="str">
        <f aca="false">IF($X816="","",INDEX('Per Line'!$F$2:$F$4001,$X816))</f>
        <v/>
      </c>
      <c r="F816" s="20" t="str">
        <f aca="false">IF($X816="","",INDEX('Per Line'!$G$2:$G$4001,$X816))</f>
        <v/>
      </c>
      <c r="G816" s="20" t="str">
        <f aca="false">IF($X816="","",INDEX('Per Line'!$I$2:$I$4001,$X816))</f>
        <v/>
      </c>
      <c r="H816" s="20" t="str">
        <f aca="false">IF($X816="","",INDEX('Per Line'!$J$2:$J$4001,$X816))</f>
        <v/>
      </c>
      <c r="I816" s="20" t="str">
        <f aca="false">IF($X816="","",INDEX('Per Line'!$K$2:$K$4001,$X816))</f>
        <v/>
      </c>
      <c r="J816" s="20" t="str">
        <f aca="false">IF($X816="","",INDEX('Per Line'!$L$2:$L$4001,$X816))</f>
        <v/>
      </c>
      <c r="K816" s="20" t="str">
        <f aca="false">IF($X816="","",INDEX('Per Line'!$M$2:$M$4001,$X816))</f>
        <v/>
      </c>
      <c r="L816" s="22" t="str">
        <f aca="false">IF($X816="","",K816*V816/100)</f>
        <v/>
      </c>
      <c r="M816" s="20" t="str">
        <f aca="false">IF($X816="","",INDEX('Per Line'!$Z$2:$Z$4001,$X816))</f>
        <v/>
      </c>
      <c r="N816" s="23" t="str">
        <f aca="false">IF($X816="","",Settings!$C$7)</f>
        <v/>
      </c>
      <c r="O816" s="22" t="str">
        <f aca="false">IF($X816="","",SUMIFS('Per Line'!$Y$2:$Y$4001,'Per Line'!$D$2:$D$4001,$B816,'Per Line'!$AJ$2:$AJ$4001,0))</f>
        <v/>
      </c>
      <c r="P816" s="22" t="str">
        <f aca="false">IF($X816="","",O816*N816)</f>
        <v/>
      </c>
      <c r="Q816" s="23" t="str">
        <f aca="false">IF($X816="","",Settings!$C$6)</f>
        <v/>
      </c>
      <c r="R816" s="22" t="str">
        <f aca="false">IF($X816="","",SUMIFS('Per Line'!$Y$2:$Y$4001,'Per Line'!$D$2:$D$4001,$B816,'Per Line'!$AJ$2:$AJ$4001,1))</f>
        <v/>
      </c>
      <c r="S816" s="22" t="str">
        <f aca="false">IF($X816="","",R816*Q816)</f>
        <v/>
      </c>
      <c r="T816" s="22" t="str">
        <f aca="false">IF($X816="","",S816+P816)</f>
        <v/>
      </c>
      <c r="U816" s="22" t="str">
        <f aca="false">IF($X816="","",V816-T816)</f>
        <v/>
      </c>
      <c r="V816" s="22" t="str">
        <f aca="false">IF($X816="","",O816+R816)</f>
        <v/>
      </c>
      <c r="W816" s="22" t="str">
        <f aca="false">IF($X816="","",U816-L816)</f>
        <v/>
      </c>
      <c r="X816" s="24" t="str">
        <f aca="false">IF(ROWS($X$2:$X816)&lt;=MAX('Per Line'!$AI$2:$AI$4001),MATCH(ROWS($X$2:$X816),'Per Line'!$AI$2:$AI$4001,0),"")</f>
        <v/>
      </c>
    </row>
    <row r="817" customFormat="false" ht="15" hidden="false" customHeight="false" outlineLevel="0" collapsed="false">
      <c r="A817" s="19"/>
      <c r="B817" s="20" t="str">
        <f aca="false">IF($X817="","",INDEX('Per Line'!$D$2:$D$4001,$X817))</f>
        <v/>
      </c>
      <c r="C817" s="20" t="str">
        <f aca="false">IF($X817="","",INDEX('Per Line'!$C$2:$C$4001,$X817))</f>
        <v/>
      </c>
      <c r="D817" s="20" t="str">
        <f aca="false">IF($X817="","",INDEX('Per Line'!$A$2:$A$4001,$X817))</f>
        <v/>
      </c>
      <c r="E817" s="21" t="str">
        <f aca="false">IF($X817="","",INDEX('Per Line'!$F$2:$F$4001,$X817))</f>
        <v/>
      </c>
      <c r="F817" s="20" t="str">
        <f aca="false">IF($X817="","",INDEX('Per Line'!$G$2:$G$4001,$X817))</f>
        <v/>
      </c>
      <c r="G817" s="20" t="str">
        <f aca="false">IF($X817="","",INDEX('Per Line'!$I$2:$I$4001,$X817))</f>
        <v/>
      </c>
      <c r="H817" s="20" t="str">
        <f aca="false">IF($X817="","",INDEX('Per Line'!$J$2:$J$4001,$X817))</f>
        <v/>
      </c>
      <c r="I817" s="20" t="str">
        <f aca="false">IF($X817="","",INDEX('Per Line'!$K$2:$K$4001,$X817))</f>
        <v/>
      </c>
      <c r="J817" s="20" t="str">
        <f aca="false">IF($X817="","",INDEX('Per Line'!$L$2:$L$4001,$X817))</f>
        <v/>
      </c>
      <c r="K817" s="20" t="str">
        <f aca="false">IF($X817="","",INDEX('Per Line'!$M$2:$M$4001,$X817))</f>
        <v/>
      </c>
      <c r="L817" s="22" t="str">
        <f aca="false">IF($X817="","",K817*V817/100)</f>
        <v/>
      </c>
      <c r="M817" s="20" t="str">
        <f aca="false">IF($X817="","",INDEX('Per Line'!$Z$2:$Z$4001,$X817))</f>
        <v/>
      </c>
      <c r="N817" s="23" t="str">
        <f aca="false">IF($X817="","",Settings!$C$7)</f>
        <v/>
      </c>
      <c r="O817" s="22" t="str">
        <f aca="false">IF($X817="","",SUMIFS('Per Line'!$Y$2:$Y$4001,'Per Line'!$D$2:$D$4001,$B817,'Per Line'!$AJ$2:$AJ$4001,0))</f>
        <v/>
      </c>
      <c r="P817" s="22" t="str">
        <f aca="false">IF($X817="","",O817*N817)</f>
        <v/>
      </c>
      <c r="Q817" s="23" t="str">
        <f aca="false">IF($X817="","",Settings!$C$6)</f>
        <v/>
      </c>
      <c r="R817" s="22" t="str">
        <f aca="false">IF($X817="","",SUMIFS('Per Line'!$Y$2:$Y$4001,'Per Line'!$D$2:$D$4001,$B817,'Per Line'!$AJ$2:$AJ$4001,1))</f>
        <v/>
      </c>
      <c r="S817" s="22" t="str">
        <f aca="false">IF($X817="","",R817*Q817)</f>
        <v/>
      </c>
      <c r="T817" s="22" t="str">
        <f aca="false">IF($X817="","",S817+P817)</f>
        <v/>
      </c>
      <c r="U817" s="22" t="str">
        <f aca="false">IF($X817="","",V817-T817)</f>
        <v/>
      </c>
      <c r="V817" s="22" t="str">
        <f aca="false">IF($X817="","",O817+R817)</f>
        <v/>
      </c>
      <c r="W817" s="22" t="str">
        <f aca="false">IF($X817="","",U817-L817)</f>
        <v/>
      </c>
      <c r="X817" s="24" t="str">
        <f aca="false">IF(ROWS($X$2:$X817)&lt;=MAX('Per Line'!$AI$2:$AI$4001),MATCH(ROWS($X$2:$X817),'Per Line'!$AI$2:$AI$4001,0),"")</f>
        <v/>
      </c>
    </row>
    <row r="818" customFormat="false" ht="15" hidden="false" customHeight="false" outlineLevel="0" collapsed="false">
      <c r="A818" s="19"/>
      <c r="B818" s="20" t="str">
        <f aca="false">IF($X818="","",INDEX('Per Line'!$D$2:$D$4001,$X818))</f>
        <v/>
      </c>
      <c r="C818" s="20" t="str">
        <f aca="false">IF($X818="","",INDEX('Per Line'!$C$2:$C$4001,$X818))</f>
        <v/>
      </c>
      <c r="D818" s="20" t="str">
        <f aca="false">IF($X818="","",INDEX('Per Line'!$A$2:$A$4001,$X818))</f>
        <v/>
      </c>
      <c r="E818" s="21" t="str">
        <f aca="false">IF($X818="","",INDEX('Per Line'!$F$2:$F$4001,$X818))</f>
        <v/>
      </c>
      <c r="F818" s="20" t="str">
        <f aca="false">IF($X818="","",INDEX('Per Line'!$G$2:$G$4001,$X818))</f>
        <v/>
      </c>
      <c r="G818" s="20" t="str">
        <f aca="false">IF($X818="","",INDEX('Per Line'!$I$2:$I$4001,$X818))</f>
        <v/>
      </c>
      <c r="H818" s="20" t="str">
        <f aca="false">IF($X818="","",INDEX('Per Line'!$J$2:$J$4001,$X818))</f>
        <v/>
      </c>
      <c r="I818" s="20" t="str">
        <f aca="false">IF($X818="","",INDEX('Per Line'!$K$2:$K$4001,$X818))</f>
        <v/>
      </c>
      <c r="J818" s="20" t="str">
        <f aca="false">IF($X818="","",INDEX('Per Line'!$L$2:$L$4001,$X818))</f>
        <v/>
      </c>
      <c r="K818" s="20" t="str">
        <f aca="false">IF($X818="","",INDEX('Per Line'!$M$2:$M$4001,$X818))</f>
        <v/>
      </c>
      <c r="L818" s="22" t="str">
        <f aca="false">IF($X818="","",K818*V818/100)</f>
        <v/>
      </c>
      <c r="M818" s="20" t="str">
        <f aca="false">IF($X818="","",INDEX('Per Line'!$Z$2:$Z$4001,$X818))</f>
        <v/>
      </c>
      <c r="N818" s="23" t="str">
        <f aca="false">IF($X818="","",Settings!$C$7)</f>
        <v/>
      </c>
      <c r="O818" s="22" t="str">
        <f aca="false">IF($X818="","",SUMIFS('Per Line'!$Y$2:$Y$4001,'Per Line'!$D$2:$D$4001,$B818,'Per Line'!$AJ$2:$AJ$4001,0))</f>
        <v/>
      </c>
      <c r="P818" s="22" t="str">
        <f aca="false">IF($X818="","",O818*N818)</f>
        <v/>
      </c>
      <c r="Q818" s="23" t="str">
        <f aca="false">IF($X818="","",Settings!$C$6)</f>
        <v/>
      </c>
      <c r="R818" s="22" t="str">
        <f aca="false">IF($X818="","",SUMIFS('Per Line'!$Y$2:$Y$4001,'Per Line'!$D$2:$D$4001,$B818,'Per Line'!$AJ$2:$AJ$4001,1))</f>
        <v/>
      </c>
      <c r="S818" s="22" t="str">
        <f aca="false">IF($X818="","",R818*Q818)</f>
        <v/>
      </c>
      <c r="T818" s="22" t="str">
        <f aca="false">IF($X818="","",S818+P818)</f>
        <v/>
      </c>
      <c r="U818" s="22" t="str">
        <f aca="false">IF($X818="","",V818-T818)</f>
        <v/>
      </c>
      <c r="V818" s="22" t="str">
        <f aca="false">IF($X818="","",O818+R818)</f>
        <v/>
      </c>
      <c r="W818" s="22" t="str">
        <f aca="false">IF($X818="","",U818-L818)</f>
        <v/>
      </c>
      <c r="X818" s="24" t="str">
        <f aca="false">IF(ROWS($X$2:$X818)&lt;=MAX('Per Line'!$AI$2:$AI$4001),MATCH(ROWS($X$2:$X818),'Per Line'!$AI$2:$AI$4001,0),"")</f>
        <v/>
      </c>
    </row>
    <row r="819" customFormat="false" ht="15" hidden="false" customHeight="false" outlineLevel="0" collapsed="false">
      <c r="A819" s="19"/>
      <c r="B819" s="20" t="str">
        <f aca="false">IF($X819="","",INDEX('Per Line'!$D$2:$D$4001,$X819))</f>
        <v/>
      </c>
      <c r="C819" s="20" t="str">
        <f aca="false">IF($X819="","",INDEX('Per Line'!$C$2:$C$4001,$X819))</f>
        <v/>
      </c>
      <c r="D819" s="20" t="str">
        <f aca="false">IF($X819="","",INDEX('Per Line'!$A$2:$A$4001,$X819))</f>
        <v/>
      </c>
      <c r="E819" s="21" t="str">
        <f aca="false">IF($X819="","",INDEX('Per Line'!$F$2:$F$4001,$X819))</f>
        <v/>
      </c>
      <c r="F819" s="20" t="str">
        <f aca="false">IF($X819="","",INDEX('Per Line'!$G$2:$G$4001,$X819))</f>
        <v/>
      </c>
      <c r="G819" s="20" t="str">
        <f aca="false">IF($X819="","",INDEX('Per Line'!$I$2:$I$4001,$X819))</f>
        <v/>
      </c>
      <c r="H819" s="20" t="str">
        <f aca="false">IF($X819="","",INDEX('Per Line'!$J$2:$J$4001,$X819))</f>
        <v/>
      </c>
      <c r="I819" s="20" t="str">
        <f aca="false">IF($X819="","",INDEX('Per Line'!$K$2:$K$4001,$X819))</f>
        <v/>
      </c>
      <c r="J819" s="20" t="str">
        <f aca="false">IF($X819="","",INDEX('Per Line'!$L$2:$L$4001,$X819))</f>
        <v/>
      </c>
      <c r="K819" s="20" t="str">
        <f aca="false">IF($X819="","",INDEX('Per Line'!$M$2:$M$4001,$X819))</f>
        <v/>
      </c>
      <c r="L819" s="22" t="str">
        <f aca="false">IF($X819="","",K819*V819/100)</f>
        <v/>
      </c>
      <c r="M819" s="20" t="str">
        <f aca="false">IF($X819="","",INDEX('Per Line'!$Z$2:$Z$4001,$X819))</f>
        <v/>
      </c>
      <c r="N819" s="23" t="str">
        <f aca="false">IF($X819="","",Settings!$C$7)</f>
        <v/>
      </c>
      <c r="O819" s="22" t="str">
        <f aca="false">IF($X819="","",SUMIFS('Per Line'!$Y$2:$Y$4001,'Per Line'!$D$2:$D$4001,$B819,'Per Line'!$AJ$2:$AJ$4001,0))</f>
        <v/>
      </c>
      <c r="P819" s="22" t="str">
        <f aca="false">IF($X819="","",O819*N819)</f>
        <v/>
      </c>
      <c r="Q819" s="23" t="str">
        <f aca="false">IF($X819="","",Settings!$C$6)</f>
        <v/>
      </c>
      <c r="R819" s="22" t="str">
        <f aca="false">IF($X819="","",SUMIFS('Per Line'!$Y$2:$Y$4001,'Per Line'!$D$2:$D$4001,$B819,'Per Line'!$AJ$2:$AJ$4001,1))</f>
        <v/>
      </c>
      <c r="S819" s="22" t="str">
        <f aca="false">IF($X819="","",R819*Q819)</f>
        <v/>
      </c>
      <c r="T819" s="22" t="str">
        <f aca="false">IF($X819="","",S819+P819)</f>
        <v/>
      </c>
      <c r="U819" s="22" t="str">
        <f aca="false">IF($X819="","",V819-T819)</f>
        <v/>
      </c>
      <c r="V819" s="22" t="str">
        <f aca="false">IF($X819="","",O819+R819)</f>
        <v/>
      </c>
      <c r="W819" s="22" t="str">
        <f aca="false">IF($X819="","",U819-L819)</f>
        <v/>
      </c>
      <c r="X819" s="24" t="str">
        <f aca="false">IF(ROWS($X$2:$X819)&lt;=MAX('Per Line'!$AI$2:$AI$4001),MATCH(ROWS($X$2:$X819),'Per Line'!$AI$2:$AI$4001,0),"")</f>
        <v/>
      </c>
    </row>
    <row r="820" customFormat="false" ht="15" hidden="false" customHeight="false" outlineLevel="0" collapsed="false">
      <c r="A820" s="19"/>
      <c r="B820" s="20" t="str">
        <f aca="false">IF($X820="","",INDEX('Per Line'!$D$2:$D$4001,$X820))</f>
        <v/>
      </c>
      <c r="C820" s="20" t="str">
        <f aca="false">IF($X820="","",INDEX('Per Line'!$C$2:$C$4001,$X820))</f>
        <v/>
      </c>
      <c r="D820" s="20" t="str">
        <f aca="false">IF($X820="","",INDEX('Per Line'!$A$2:$A$4001,$X820))</f>
        <v/>
      </c>
      <c r="E820" s="21" t="str">
        <f aca="false">IF($X820="","",INDEX('Per Line'!$F$2:$F$4001,$X820))</f>
        <v/>
      </c>
      <c r="F820" s="20" t="str">
        <f aca="false">IF($X820="","",INDEX('Per Line'!$G$2:$G$4001,$X820))</f>
        <v/>
      </c>
      <c r="G820" s="20" t="str">
        <f aca="false">IF($X820="","",INDEX('Per Line'!$I$2:$I$4001,$X820))</f>
        <v/>
      </c>
      <c r="H820" s="20" t="str">
        <f aca="false">IF($X820="","",INDEX('Per Line'!$J$2:$J$4001,$X820))</f>
        <v/>
      </c>
      <c r="I820" s="20" t="str">
        <f aca="false">IF($X820="","",INDEX('Per Line'!$K$2:$K$4001,$X820))</f>
        <v/>
      </c>
      <c r="J820" s="20" t="str">
        <f aca="false">IF($X820="","",INDEX('Per Line'!$L$2:$L$4001,$X820))</f>
        <v/>
      </c>
      <c r="K820" s="20" t="str">
        <f aca="false">IF($X820="","",INDEX('Per Line'!$M$2:$M$4001,$X820))</f>
        <v/>
      </c>
      <c r="L820" s="22" t="str">
        <f aca="false">IF($X820="","",K820*V820/100)</f>
        <v/>
      </c>
      <c r="M820" s="20" t="str">
        <f aca="false">IF($X820="","",INDEX('Per Line'!$Z$2:$Z$4001,$X820))</f>
        <v/>
      </c>
      <c r="N820" s="23" t="str">
        <f aca="false">IF($X820="","",Settings!$C$7)</f>
        <v/>
      </c>
      <c r="O820" s="22" t="str">
        <f aca="false">IF($X820="","",SUMIFS('Per Line'!$Y$2:$Y$4001,'Per Line'!$D$2:$D$4001,$B820,'Per Line'!$AJ$2:$AJ$4001,0))</f>
        <v/>
      </c>
      <c r="P820" s="22" t="str">
        <f aca="false">IF($X820="","",O820*N820)</f>
        <v/>
      </c>
      <c r="Q820" s="23" t="str">
        <f aca="false">IF($X820="","",Settings!$C$6)</f>
        <v/>
      </c>
      <c r="R820" s="22" t="str">
        <f aca="false">IF($X820="","",SUMIFS('Per Line'!$Y$2:$Y$4001,'Per Line'!$D$2:$D$4001,$B820,'Per Line'!$AJ$2:$AJ$4001,1))</f>
        <v/>
      </c>
      <c r="S820" s="22" t="str">
        <f aca="false">IF($X820="","",R820*Q820)</f>
        <v/>
      </c>
      <c r="T820" s="22" t="str">
        <f aca="false">IF($X820="","",S820+P820)</f>
        <v/>
      </c>
      <c r="U820" s="22" t="str">
        <f aca="false">IF($X820="","",V820-T820)</f>
        <v/>
      </c>
      <c r="V820" s="22" t="str">
        <f aca="false">IF($X820="","",O820+R820)</f>
        <v/>
      </c>
      <c r="W820" s="22" t="str">
        <f aca="false">IF($X820="","",U820-L820)</f>
        <v/>
      </c>
      <c r="X820" s="24" t="str">
        <f aca="false">IF(ROWS($X$2:$X820)&lt;=MAX('Per Line'!$AI$2:$AI$4001),MATCH(ROWS($X$2:$X820),'Per Line'!$AI$2:$AI$4001,0),"")</f>
        <v/>
      </c>
    </row>
    <row r="821" customFormat="false" ht="15" hidden="false" customHeight="false" outlineLevel="0" collapsed="false">
      <c r="A821" s="19"/>
      <c r="B821" s="20" t="str">
        <f aca="false">IF($X821="","",INDEX('Per Line'!$D$2:$D$4001,$X821))</f>
        <v/>
      </c>
      <c r="C821" s="20" t="str">
        <f aca="false">IF($X821="","",INDEX('Per Line'!$C$2:$C$4001,$X821))</f>
        <v/>
      </c>
      <c r="D821" s="20" t="str">
        <f aca="false">IF($X821="","",INDEX('Per Line'!$A$2:$A$4001,$X821))</f>
        <v/>
      </c>
      <c r="E821" s="21" t="str">
        <f aca="false">IF($X821="","",INDEX('Per Line'!$F$2:$F$4001,$X821))</f>
        <v/>
      </c>
      <c r="F821" s="20" t="str">
        <f aca="false">IF($X821="","",INDEX('Per Line'!$G$2:$G$4001,$X821))</f>
        <v/>
      </c>
      <c r="G821" s="20" t="str">
        <f aca="false">IF($X821="","",INDEX('Per Line'!$I$2:$I$4001,$X821))</f>
        <v/>
      </c>
      <c r="H821" s="20" t="str">
        <f aca="false">IF($X821="","",INDEX('Per Line'!$J$2:$J$4001,$X821))</f>
        <v/>
      </c>
      <c r="I821" s="20" t="str">
        <f aca="false">IF($X821="","",INDEX('Per Line'!$K$2:$K$4001,$X821))</f>
        <v/>
      </c>
      <c r="J821" s="20" t="str">
        <f aca="false">IF($X821="","",INDEX('Per Line'!$L$2:$L$4001,$X821))</f>
        <v/>
      </c>
      <c r="K821" s="20" t="str">
        <f aca="false">IF($X821="","",INDEX('Per Line'!$M$2:$M$4001,$X821))</f>
        <v/>
      </c>
      <c r="L821" s="22" t="str">
        <f aca="false">IF($X821="","",K821*V821/100)</f>
        <v/>
      </c>
      <c r="M821" s="20" t="str">
        <f aca="false">IF($X821="","",INDEX('Per Line'!$Z$2:$Z$4001,$X821))</f>
        <v/>
      </c>
      <c r="N821" s="23" t="str">
        <f aca="false">IF($X821="","",Settings!$C$7)</f>
        <v/>
      </c>
      <c r="O821" s="22" t="str">
        <f aca="false">IF($X821="","",SUMIFS('Per Line'!$Y$2:$Y$4001,'Per Line'!$D$2:$D$4001,$B821,'Per Line'!$AJ$2:$AJ$4001,0))</f>
        <v/>
      </c>
      <c r="P821" s="22" t="str">
        <f aca="false">IF($X821="","",O821*N821)</f>
        <v/>
      </c>
      <c r="Q821" s="23" t="str">
        <f aca="false">IF($X821="","",Settings!$C$6)</f>
        <v/>
      </c>
      <c r="R821" s="22" t="str">
        <f aca="false">IF($X821="","",SUMIFS('Per Line'!$Y$2:$Y$4001,'Per Line'!$D$2:$D$4001,$B821,'Per Line'!$AJ$2:$AJ$4001,1))</f>
        <v/>
      </c>
      <c r="S821" s="22" t="str">
        <f aca="false">IF($X821="","",R821*Q821)</f>
        <v/>
      </c>
      <c r="T821" s="22" t="str">
        <f aca="false">IF($X821="","",S821+P821)</f>
        <v/>
      </c>
      <c r="U821" s="22" t="str">
        <f aca="false">IF($X821="","",V821-T821)</f>
        <v/>
      </c>
      <c r="V821" s="22" t="str">
        <f aca="false">IF($X821="","",O821+R821)</f>
        <v/>
      </c>
      <c r="W821" s="22" t="str">
        <f aca="false">IF($X821="","",U821-L821)</f>
        <v/>
      </c>
      <c r="X821" s="24" t="str">
        <f aca="false">IF(ROWS($X$2:$X821)&lt;=MAX('Per Line'!$AI$2:$AI$4001),MATCH(ROWS($X$2:$X821),'Per Line'!$AI$2:$AI$4001,0),"")</f>
        <v/>
      </c>
    </row>
    <row r="822" customFormat="false" ht="15" hidden="false" customHeight="false" outlineLevel="0" collapsed="false">
      <c r="A822" s="19"/>
      <c r="B822" s="20" t="str">
        <f aca="false">IF($X822="","",INDEX('Per Line'!$D$2:$D$4001,$X822))</f>
        <v/>
      </c>
      <c r="C822" s="20" t="str">
        <f aca="false">IF($X822="","",INDEX('Per Line'!$C$2:$C$4001,$X822))</f>
        <v/>
      </c>
      <c r="D822" s="20" t="str">
        <f aca="false">IF($X822="","",INDEX('Per Line'!$A$2:$A$4001,$X822))</f>
        <v/>
      </c>
      <c r="E822" s="21" t="str">
        <f aca="false">IF($X822="","",INDEX('Per Line'!$F$2:$F$4001,$X822))</f>
        <v/>
      </c>
      <c r="F822" s="20" t="str">
        <f aca="false">IF($X822="","",INDEX('Per Line'!$G$2:$G$4001,$X822))</f>
        <v/>
      </c>
      <c r="G822" s="20" t="str">
        <f aca="false">IF($X822="","",INDEX('Per Line'!$I$2:$I$4001,$X822))</f>
        <v/>
      </c>
      <c r="H822" s="20" t="str">
        <f aca="false">IF($X822="","",INDEX('Per Line'!$J$2:$J$4001,$X822))</f>
        <v/>
      </c>
      <c r="I822" s="20" t="str">
        <f aca="false">IF($X822="","",INDEX('Per Line'!$K$2:$K$4001,$X822))</f>
        <v/>
      </c>
      <c r="J822" s="20" t="str">
        <f aca="false">IF($X822="","",INDEX('Per Line'!$L$2:$L$4001,$X822))</f>
        <v/>
      </c>
      <c r="K822" s="20" t="str">
        <f aca="false">IF($X822="","",INDEX('Per Line'!$M$2:$M$4001,$X822))</f>
        <v/>
      </c>
      <c r="L822" s="22" t="str">
        <f aca="false">IF($X822="","",K822*V822/100)</f>
        <v/>
      </c>
      <c r="M822" s="20" t="str">
        <f aca="false">IF($X822="","",INDEX('Per Line'!$Z$2:$Z$4001,$X822))</f>
        <v/>
      </c>
      <c r="N822" s="23" t="str">
        <f aca="false">IF($X822="","",Settings!$C$7)</f>
        <v/>
      </c>
      <c r="O822" s="22" t="str">
        <f aca="false">IF($X822="","",SUMIFS('Per Line'!$Y$2:$Y$4001,'Per Line'!$D$2:$D$4001,$B822,'Per Line'!$AJ$2:$AJ$4001,0))</f>
        <v/>
      </c>
      <c r="P822" s="22" t="str">
        <f aca="false">IF($X822="","",O822*N822)</f>
        <v/>
      </c>
      <c r="Q822" s="23" t="str">
        <f aca="false">IF($X822="","",Settings!$C$6)</f>
        <v/>
      </c>
      <c r="R822" s="22" t="str">
        <f aca="false">IF($X822="","",SUMIFS('Per Line'!$Y$2:$Y$4001,'Per Line'!$D$2:$D$4001,$B822,'Per Line'!$AJ$2:$AJ$4001,1))</f>
        <v/>
      </c>
      <c r="S822" s="22" t="str">
        <f aca="false">IF($X822="","",R822*Q822)</f>
        <v/>
      </c>
      <c r="T822" s="22" t="str">
        <f aca="false">IF($X822="","",S822+P822)</f>
        <v/>
      </c>
      <c r="U822" s="22" t="str">
        <f aca="false">IF($X822="","",V822-T822)</f>
        <v/>
      </c>
      <c r="V822" s="22" t="str">
        <f aca="false">IF($X822="","",O822+R822)</f>
        <v/>
      </c>
      <c r="W822" s="22" t="str">
        <f aca="false">IF($X822="","",U822-L822)</f>
        <v/>
      </c>
      <c r="X822" s="24" t="str">
        <f aca="false">IF(ROWS($X$2:$X822)&lt;=MAX('Per Line'!$AI$2:$AI$4001),MATCH(ROWS($X$2:$X822),'Per Line'!$AI$2:$AI$4001,0),"")</f>
        <v/>
      </c>
    </row>
    <row r="823" customFormat="false" ht="15" hidden="false" customHeight="false" outlineLevel="0" collapsed="false">
      <c r="A823" s="19"/>
      <c r="B823" s="20" t="str">
        <f aca="false">IF($X823="","",INDEX('Per Line'!$D$2:$D$4001,$X823))</f>
        <v/>
      </c>
      <c r="C823" s="20" t="str">
        <f aca="false">IF($X823="","",INDEX('Per Line'!$C$2:$C$4001,$X823))</f>
        <v/>
      </c>
      <c r="D823" s="20" t="str">
        <f aca="false">IF($X823="","",INDEX('Per Line'!$A$2:$A$4001,$X823))</f>
        <v/>
      </c>
      <c r="E823" s="21" t="str">
        <f aca="false">IF($X823="","",INDEX('Per Line'!$F$2:$F$4001,$X823))</f>
        <v/>
      </c>
      <c r="F823" s="20" t="str">
        <f aca="false">IF($X823="","",INDEX('Per Line'!$G$2:$G$4001,$X823))</f>
        <v/>
      </c>
      <c r="G823" s="20" t="str">
        <f aca="false">IF($X823="","",INDEX('Per Line'!$I$2:$I$4001,$X823))</f>
        <v/>
      </c>
      <c r="H823" s="20" t="str">
        <f aca="false">IF($X823="","",INDEX('Per Line'!$J$2:$J$4001,$X823))</f>
        <v/>
      </c>
      <c r="I823" s="20" t="str">
        <f aca="false">IF($X823="","",INDEX('Per Line'!$K$2:$K$4001,$X823))</f>
        <v/>
      </c>
      <c r="J823" s="20" t="str">
        <f aca="false">IF($X823="","",INDEX('Per Line'!$L$2:$L$4001,$X823))</f>
        <v/>
      </c>
      <c r="K823" s="20" t="str">
        <f aca="false">IF($X823="","",INDEX('Per Line'!$M$2:$M$4001,$X823))</f>
        <v/>
      </c>
      <c r="L823" s="22" t="str">
        <f aca="false">IF($X823="","",K823*V823/100)</f>
        <v/>
      </c>
      <c r="M823" s="20" t="str">
        <f aca="false">IF($X823="","",INDEX('Per Line'!$Z$2:$Z$4001,$X823))</f>
        <v/>
      </c>
      <c r="N823" s="23" t="str">
        <f aca="false">IF($X823="","",Settings!$C$7)</f>
        <v/>
      </c>
      <c r="O823" s="22" t="str">
        <f aca="false">IF($X823="","",SUMIFS('Per Line'!$Y$2:$Y$4001,'Per Line'!$D$2:$D$4001,$B823,'Per Line'!$AJ$2:$AJ$4001,0))</f>
        <v/>
      </c>
      <c r="P823" s="22" t="str">
        <f aca="false">IF($X823="","",O823*N823)</f>
        <v/>
      </c>
      <c r="Q823" s="23" t="str">
        <f aca="false">IF($X823="","",Settings!$C$6)</f>
        <v/>
      </c>
      <c r="R823" s="22" t="str">
        <f aca="false">IF($X823="","",SUMIFS('Per Line'!$Y$2:$Y$4001,'Per Line'!$D$2:$D$4001,$B823,'Per Line'!$AJ$2:$AJ$4001,1))</f>
        <v/>
      </c>
      <c r="S823" s="22" t="str">
        <f aca="false">IF($X823="","",R823*Q823)</f>
        <v/>
      </c>
      <c r="T823" s="22" t="str">
        <f aca="false">IF($X823="","",S823+P823)</f>
        <v/>
      </c>
      <c r="U823" s="22" t="str">
        <f aca="false">IF($X823="","",V823-T823)</f>
        <v/>
      </c>
      <c r="V823" s="22" t="str">
        <f aca="false">IF($X823="","",O823+R823)</f>
        <v/>
      </c>
      <c r="W823" s="22" t="str">
        <f aca="false">IF($X823="","",U823-L823)</f>
        <v/>
      </c>
      <c r="X823" s="24" t="str">
        <f aca="false">IF(ROWS($X$2:$X823)&lt;=MAX('Per Line'!$AI$2:$AI$4001),MATCH(ROWS($X$2:$X823),'Per Line'!$AI$2:$AI$4001,0),"")</f>
        <v/>
      </c>
    </row>
    <row r="824" customFormat="false" ht="15" hidden="false" customHeight="false" outlineLevel="0" collapsed="false">
      <c r="A824" s="19"/>
      <c r="B824" s="20" t="str">
        <f aca="false">IF($X824="","",INDEX('Per Line'!$D$2:$D$4001,$X824))</f>
        <v/>
      </c>
      <c r="C824" s="20" t="str">
        <f aca="false">IF($X824="","",INDEX('Per Line'!$C$2:$C$4001,$X824))</f>
        <v/>
      </c>
      <c r="D824" s="20" t="str">
        <f aca="false">IF($X824="","",INDEX('Per Line'!$A$2:$A$4001,$X824))</f>
        <v/>
      </c>
      <c r="E824" s="21" t="str">
        <f aca="false">IF($X824="","",INDEX('Per Line'!$F$2:$F$4001,$X824))</f>
        <v/>
      </c>
      <c r="F824" s="20" t="str">
        <f aca="false">IF($X824="","",INDEX('Per Line'!$G$2:$G$4001,$X824))</f>
        <v/>
      </c>
      <c r="G824" s="20" t="str">
        <f aca="false">IF($X824="","",INDEX('Per Line'!$I$2:$I$4001,$X824))</f>
        <v/>
      </c>
      <c r="H824" s="20" t="str">
        <f aca="false">IF($X824="","",INDEX('Per Line'!$J$2:$J$4001,$X824))</f>
        <v/>
      </c>
      <c r="I824" s="20" t="str">
        <f aca="false">IF($X824="","",INDEX('Per Line'!$K$2:$K$4001,$X824))</f>
        <v/>
      </c>
      <c r="J824" s="20" t="str">
        <f aca="false">IF($X824="","",INDEX('Per Line'!$L$2:$L$4001,$X824))</f>
        <v/>
      </c>
      <c r="K824" s="20" t="str">
        <f aca="false">IF($X824="","",INDEX('Per Line'!$M$2:$M$4001,$X824))</f>
        <v/>
      </c>
      <c r="L824" s="22" t="str">
        <f aca="false">IF($X824="","",K824*V824/100)</f>
        <v/>
      </c>
      <c r="M824" s="20" t="str">
        <f aca="false">IF($X824="","",INDEX('Per Line'!$Z$2:$Z$4001,$X824))</f>
        <v/>
      </c>
      <c r="N824" s="23" t="str">
        <f aca="false">IF($X824="","",Settings!$C$7)</f>
        <v/>
      </c>
      <c r="O824" s="22" t="str">
        <f aca="false">IF($X824="","",SUMIFS('Per Line'!$Y$2:$Y$4001,'Per Line'!$D$2:$D$4001,$B824,'Per Line'!$AJ$2:$AJ$4001,0))</f>
        <v/>
      </c>
      <c r="P824" s="22" t="str">
        <f aca="false">IF($X824="","",O824*N824)</f>
        <v/>
      </c>
      <c r="Q824" s="23" t="str">
        <f aca="false">IF($X824="","",Settings!$C$6)</f>
        <v/>
      </c>
      <c r="R824" s="22" t="str">
        <f aca="false">IF($X824="","",SUMIFS('Per Line'!$Y$2:$Y$4001,'Per Line'!$D$2:$D$4001,$B824,'Per Line'!$AJ$2:$AJ$4001,1))</f>
        <v/>
      </c>
      <c r="S824" s="22" t="str">
        <f aca="false">IF($X824="","",R824*Q824)</f>
        <v/>
      </c>
      <c r="T824" s="22" t="str">
        <f aca="false">IF($X824="","",S824+P824)</f>
        <v/>
      </c>
      <c r="U824" s="22" t="str">
        <f aca="false">IF($X824="","",V824-T824)</f>
        <v/>
      </c>
      <c r="V824" s="22" t="str">
        <f aca="false">IF($X824="","",O824+R824)</f>
        <v/>
      </c>
      <c r="W824" s="22" t="str">
        <f aca="false">IF($X824="","",U824-L824)</f>
        <v/>
      </c>
      <c r="X824" s="24" t="str">
        <f aca="false">IF(ROWS($X$2:$X824)&lt;=MAX('Per Line'!$AI$2:$AI$4001),MATCH(ROWS($X$2:$X824),'Per Line'!$AI$2:$AI$4001,0),"")</f>
        <v/>
      </c>
    </row>
    <row r="825" customFormat="false" ht="15" hidden="false" customHeight="false" outlineLevel="0" collapsed="false">
      <c r="A825" s="19"/>
      <c r="B825" s="20" t="str">
        <f aca="false">IF($X825="","",INDEX('Per Line'!$D$2:$D$4001,$X825))</f>
        <v/>
      </c>
      <c r="C825" s="20" t="str">
        <f aca="false">IF($X825="","",INDEX('Per Line'!$C$2:$C$4001,$X825))</f>
        <v/>
      </c>
      <c r="D825" s="20" t="str">
        <f aca="false">IF($X825="","",INDEX('Per Line'!$A$2:$A$4001,$X825))</f>
        <v/>
      </c>
      <c r="E825" s="21" t="str">
        <f aca="false">IF($X825="","",INDEX('Per Line'!$F$2:$F$4001,$X825))</f>
        <v/>
      </c>
      <c r="F825" s="20" t="str">
        <f aca="false">IF($X825="","",INDEX('Per Line'!$G$2:$G$4001,$X825))</f>
        <v/>
      </c>
      <c r="G825" s="20" t="str">
        <f aca="false">IF($X825="","",INDEX('Per Line'!$I$2:$I$4001,$X825))</f>
        <v/>
      </c>
      <c r="H825" s="20" t="str">
        <f aca="false">IF($X825="","",INDEX('Per Line'!$J$2:$J$4001,$X825))</f>
        <v/>
      </c>
      <c r="I825" s="20" t="str">
        <f aca="false">IF($X825="","",INDEX('Per Line'!$K$2:$K$4001,$X825))</f>
        <v/>
      </c>
      <c r="J825" s="20" t="str">
        <f aca="false">IF($X825="","",INDEX('Per Line'!$L$2:$L$4001,$X825))</f>
        <v/>
      </c>
      <c r="K825" s="20" t="str">
        <f aca="false">IF($X825="","",INDEX('Per Line'!$M$2:$M$4001,$X825))</f>
        <v/>
      </c>
      <c r="L825" s="22" t="str">
        <f aca="false">IF($X825="","",K825*V825/100)</f>
        <v/>
      </c>
      <c r="M825" s="20" t="str">
        <f aca="false">IF($X825="","",INDEX('Per Line'!$Z$2:$Z$4001,$X825))</f>
        <v/>
      </c>
      <c r="N825" s="23" t="str">
        <f aca="false">IF($X825="","",Settings!$C$7)</f>
        <v/>
      </c>
      <c r="O825" s="22" t="str">
        <f aca="false">IF($X825="","",SUMIFS('Per Line'!$Y$2:$Y$4001,'Per Line'!$D$2:$D$4001,$B825,'Per Line'!$AJ$2:$AJ$4001,0))</f>
        <v/>
      </c>
      <c r="P825" s="22" t="str">
        <f aca="false">IF($X825="","",O825*N825)</f>
        <v/>
      </c>
      <c r="Q825" s="23" t="str">
        <f aca="false">IF($X825="","",Settings!$C$6)</f>
        <v/>
      </c>
      <c r="R825" s="22" t="str">
        <f aca="false">IF($X825="","",SUMIFS('Per Line'!$Y$2:$Y$4001,'Per Line'!$D$2:$D$4001,$B825,'Per Line'!$AJ$2:$AJ$4001,1))</f>
        <v/>
      </c>
      <c r="S825" s="22" t="str">
        <f aca="false">IF($X825="","",R825*Q825)</f>
        <v/>
      </c>
      <c r="T825" s="22" t="str">
        <f aca="false">IF($X825="","",S825+P825)</f>
        <v/>
      </c>
      <c r="U825" s="22" t="str">
        <f aca="false">IF($X825="","",V825-T825)</f>
        <v/>
      </c>
      <c r="V825" s="22" t="str">
        <f aca="false">IF($X825="","",O825+R825)</f>
        <v/>
      </c>
      <c r="W825" s="22" t="str">
        <f aca="false">IF($X825="","",U825-L825)</f>
        <v/>
      </c>
      <c r="X825" s="24" t="str">
        <f aca="false">IF(ROWS($X$2:$X825)&lt;=MAX('Per Line'!$AI$2:$AI$4001),MATCH(ROWS($X$2:$X825),'Per Line'!$AI$2:$AI$4001,0),"")</f>
        <v/>
      </c>
    </row>
    <row r="826" customFormat="false" ht="15" hidden="false" customHeight="false" outlineLevel="0" collapsed="false">
      <c r="A826" s="19"/>
      <c r="B826" s="20" t="str">
        <f aca="false">IF($X826="","",INDEX('Per Line'!$D$2:$D$4001,$X826))</f>
        <v/>
      </c>
      <c r="C826" s="20" t="str">
        <f aca="false">IF($X826="","",INDEX('Per Line'!$C$2:$C$4001,$X826))</f>
        <v/>
      </c>
      <c r="D826" s="20" t="str">
        <f aca="false">IF($X826="","",INDEX('Per Line'!$A$2:$A$4001,$X826))</f>
        <v/>
      </c>
      <c r="E826" s="21" t="str">
        <f aca="false">IF($X826="","",INDEX('Per Line'!$F$2:$F$4001,$X826))</f>
        <v/>
      </c>
      <c r="F826" s="20" t="str">
        <f aca="false">IF($X826="","",INDEX('Per Line'!$G$2:$G$4001,$X826))</f>
        <v/>
      </c>
      <c r="G826" s="20" t="str">
        <f aca="false">IF($X826="","",INDEX('Per Line'!$I$2:$I$4001,$X826))</f>
        <v/>
      </c>
      <c r="H826" s="20" t="str">
        <f aca="false">IF($X826="","",INDEX('Per Line'!$J$2:$J$4001,$X826))</f>
        <v/>
      </c>
      <c r="I826" s="20" t="str">
        <f aca="false">IF($X826="","",INDEX('Per Line'!$K$2:$K$4001,$X826))</f>
        <v/>
      </c>
      <c r="J826" s="20" t="str">
        <f aca="false">IF($X826="","",INDEX('Per Line'!$L$2:$L$4001,$X826))</f>
        <v/>
      </c>
      <c r="K826" s="20" t="str">
        <f aca="false">IF($X826="","",INDEX('Per Line'!$M$2:$M$4001,$X826))</f>
        <v/>
      </c>
      <c r="L826" s="22" t="str">
        <f aca="false">IF($X826="","",K826*V826/100)</f>
        <v/>
      </c>
      <c r="M826" s="20" t="str">
        <f aca="false">IF($X826="","",INDEX('Per Line'!$Z$2:$Z$4001,$X826))</f>
        <v/>
      </c>
      <c r="N826" s="23" t="str">
        <f aca="false">IF($X826="","",Settings!$C$7)</f>
        <v/>
      </c>
      <c r="O826" s="22" t="str">
        <f aca="false">IF($X826="","",SUMIFS('Per Line'!$Y$2:$Y$4001,'Per Line'!$D$2:$D$4001,$B826,'Per Line'!$AJ$2:$AJ$4001,0))</f>
        <v/>
      </c>
      <c r="P826" s="22" t="str">
        <f aca="false">IF($X826="","",O826*N826)</f>
        <v/>
      </c>
      <c r="Q826" s="23" t="str">
        <f aca="false">IF($X826="","",Settings!$C$6)</f>
        <v/>
      </c>
      <c r="R826" s="22" t="str">
        <f aca="false">IF($X826="","",SUMIFS('Per Line'!$Y$2:$Y$4001,'Per Line'!$D$2:$D$4001,$B826,'Per Line'!$AJ$2:$AJ$4001,1))</f>
        <v/>
      </c>
      <c r="S826" s="22" t="str">
        <f aca="false">IF($X826="","",R826*Q826)</f>
        <v/>
      </c>
      <c r="T826" s="22" t="str">
        <f aca="false">IF($X826="","",S826+P826)</f>
        <v/>
      </c>
      <c r="U826" s="22" t="str">
        <f aca="false">IF($X826="","",V826-T826)</f>
        <v/>
      </c>
      <c r="V826" s="22" t="str">
        <f aca="false">IF($X826="","",O826+R826)</f>
        <v/>
      </c>
      <c r="W826" s="22" t="str">
        <f aca="false">IF($X826="","",U826-L826)</f>
        <v/>
      </c>
      <c r="X826" s="24" t="str">
        <f aca="false">IF(ROWS($X$2:$X826)&lt;=MAX('Per Line'!$AI$2:$AI$4001),MATCH(ROWS($X$2:$X826),'Per Line'!$AI$2:$AI$4001,0),"")</f>
        <v/>
      </c>
    </row>
    <row r="827" customFormat="false" ht="15" hidden="false" customHeight="false" outlineLevel="0" collapsed="false">
      <c r="A827" s="19"/>
      <c r="B827" s="20" t="str">
        <f aca="false">IF($X827="","",INDEX('Per Line'!$D$2:$D$4001,$X827))</f>
        <v/>
      </c>
      <c r="C827" s="20" t="str">
        <f aca="false">IF($X827="","",INDEX('Per Line'!$C$2:$C$4001,$X827))</f>
        <v/>
      </c>
      <c r="D827" s="20" t="str">
        <f aca="false">IF($X827="","",INDEX('Per Line'!$A$2:$A$4001,$X827))</f>
        <v/>
      </c>
      <c r="E827" s="21" t="str">
        <f aca="false">IF($X827="","",INDEX('Per Line'!$F$2:$F$4001,$X827))</f>
        <v/>
      </c>
      <c r="F827" s="20" t="str">
        <f aca="false">IF($X827="","",INDEX('Per Line'!$G$2:$G$4001,$X827))</f>
        <v/>
      </c>
      <c r="G827" s="20" t="str">
        <f aca="false">IF($X827="","",INDEX('Per Line'!$I$2:$I$4001,$X827))</f>
        <v/>
      </c>
      <c r="H827" s="20" t="str">
        <f aca="false">IF($X827="","",INDEX('Per Line'!$J$2:$J$4001,$X827))</f>
        <v/>
      </c>
      <c r="I827" s="20" t="str">
        <f aca="false">IF($X827="","",INDEX('Per Line'!$K$2:$K$4001,$X827))</f>
        <v/>
      </c>
      <c r="J827" s="20" t="str">
        <f aca="false">IF($X827="","",INDEX('Per Line'!$L$2:$L$4001,$X827))</f>
        <v/>
      </c>
      <c r="K827" s="20" t="str">
        <f aca="false">IF($X827="","",INDEX('Per Line'!$M$2:$M$4001,$X827))</f>
        <v/>
      </c>
      <c r="L827" s="22" t="str">
        <f aca="false">IF($X827="","",K827*V827/100)</f>
        <v/>
      </c>
      <c r="M827" s="20" t="str">
        <f aca="false">IF($X827="","",INDEX('Per Line'!$Z$2:$Z$4001,$X827))</f>
        <v/>
      </c>
      <c r="N827" s="23" t="str">
        <f aca="false">IF($X827="","",Settings!$C$7)</f>
        <v/>
      </c>
      <c r="O827" s="22" t="str">
        <f aca="false">IF($X827="","",SUMIFS('Per Line'!$Y$2:$Y$4001,'Per Line'!$D$2:$D$4001,$B827,'Per Line'!$AJ$2:$AJ$4001,0))</f>
        <v/>
      </c>
      <c r="P827" s="22" t="str">
        <f aca="false">IF($X827="","",O827*N827)</f>
        <v/>
      </c>
      <c r="Q827" s="23" t="str">
        <f aca="false">IF($X827="","",Settings!$C$6)</f>
        <v/>
      </c>
      <c r="R827" s="22" t="str">
        <f aca="false">IF($X827="","",SUMIFS('Per Line'!$Y$2:$Y$4001,'Per Line'!$D$2:$D$4001,$B827,'Per Line'!$AJ$2:$AJ$4001,1))</f>
        <v/>
      </c>
      <c r="S827" s="22" t="str">
        <f aca="false">IF($X827="","",R827*Q827)</f>
        <v/>
      </c>
      <c r="T827" s="22" t="str">
        <f aca="false">IF($X827="","",S827+P827)</f>
        <v/>
      </c>
      <c r="U827" s="22" t="str">
        <f aca="false">IF($X827="","",V827-T827)</f>
        <v/>
      </c>
      <c r="V827" s="22" t="str">
        <f aca="false">IF($X827="","",O827+R827)</f>
        <v/>
      </c>
      <c r="W827" s="22" t="str">
        <f aca="false">IF($X827="","",U827-L827)</f>
        <v/>
      </c>
      <c r="X827" s="24" t="str">
        <f aca="false">IF(ROWS($X$2:$X827)&lt;=MAX('Per Line'!$AI$2:$AI$4001),MATCH(ROWS($X$2:$X827),'Per Line'!$AI$2:$AI$4001,0),"")</f>
        <v/>
      </c>
    </row>
    <row r="828" customFormat="false" ht="15" hidden="false" customHeight="false" outlineLevel="0" collapsed="false">
      <c r="A828" s="19"/>
      <c r="B828" s="20" t="str">
        <f aca="false">IF($X828="","",INDEX('Per Line'!$D$2:$D$4001,$X828))</f>
        <v/>
      </c>
      <c r="C828" s="20" t="str">
        <f aca="false">IF($X828="","",INDEX('Per Line'!$C$2:$C$4001,$X828))</f>
        <v/>
      </c>
      <c r="D828" s="20" t="str">
        <f aca="false">IF($X828="","",INDEX('Per Line'!$A$2:$A$4001,$X828))</f>
        <v/>
      </c>
      <c r="E828" s="21" t="str">
        <f aca="false">IF($X828="","",INDEX('Per Line'!$F$2:$F$4001,$X828))</f>
        <v/>
      </c>
      <c r="F828" s="20" t="str">
        <f aca="false">IF($X828="","",INDEX('Per Line'!$G$2:$G$4001,$X828))</f>
        <v/>
      </c>
      <c r="G828" s="20" t="str">
        <f aca="false">IF($X828="","",INDEX('Per Line'!$I$2:$I$4001,$X828))</f>
        <v/>
      </c>
      <c r="H828" s="20" t="str">
        <f aca="false">IF($X828="","",INDEX('Per Line'!$J$2:$J$4001,$X828))</f>
        <v/>
      </c>
      <c r="I828" s="20" t="str">
        <f aca="false">IF($X828="","",INDEX('Per Line'!$K$2:$K$4001,$X828))</f>
        <v/>
      </c>
      <c r="J828" s="20" t="str">
        <f aca="false">IF($X828="","",INDEX('Per Line'!$L$2:$L$4001,$X828))</f>
        <v/>
      </c>
      <c r="K828" s="20" t="str">
        <f aca="false">IF($X828="","",INDEX('Per Line'!$M$2:$M$4001,$X828))</f>
        <v/>
      </c>
      <c r="L828" s="22" t="str">
        <f aca="false">IF($X828="","",K828*V828/100)</f>
        <v/>
      </c>
      <c r="M828" s="20" t="str">
        <f aca="false">IF($X828="","",INDEX('Per Line'!$Z$2:$Z$4001,$X828))</f>
        <v/>
      </c>
      <c r="N828" s="23" t="str">
        <f aca="false">IF($X828="","",Settings!$C$7)</f>
        <v/>
      </c>
      <c r="O828" s="22" t="str">
        <f aca="false">IF($X828="","",SUMIFS('Per Line'!$Y$2:$Y$4001,'Per Line'!$D$2:$D$4001,$B828,'Per Line'!$AJ$2:$AJ$4001,0))</f>
        <v/>
      </c>
      <c r="P828" s="22" t="str">
        <f aca="false">IF($X828="","",O828*N828)</f>
        <v/>
      </c>
      <c r="Q828" s="23" t="str">
        <f aca="false">IF($X828="","",Settings!$C$6)</f>
        <v/>
      </c>
      <c r="R828" s="22" t="str">
        <f aca="false">IF($X828="","",SUMIFS('Per Line'!$Y$2:$Y$4001,'Per Line'!$D$2:$D$4001,$B828,'Per Line'!$AJ$2:$AJ$4001,1))</f>
        <v/>
      </c>
      <c r="S828" s="22" t="str">
        <f aca="false">IF($X828="","",R828*Q828)</f>
        <v/>
      </c>
      <c r="T828" s="22" t="str">
        <f aca="false">IF($X828="","",S828+P828)</f>
        <v/>
      </c>
      <c r="U828" s="22" t="str">
        <f aca="false">IF($X828="","",V828-T828)</f>
        <v/>
      </c>
      <c r="V828" s="22" t="str">
        <f aca="false">IF($X828="","",O828+R828)</f>
        <v/>
      </c>
      <c r="W828" s="22" t="str">
        <f aca="false">IF($X828="","",U828-L828)</f>
        <v/>
      </c>
      <c r="X828" s="24" t="str">
        <f aca="false">IF(ROWS($X$2:$X828)&lt;=MAX('Per Line'!$AI$2:$AI$4001),MATCH(ROWS($X$2:$X828),'Per Line'!$AI$2:$AI$4001,0),"")</f>
        <v/>
      </c>
    </row>
    <row r="829" customFormat="false" ht="15" hidden="false" customHeight="false" outlineLevel="0" collapsed="false">
      <c r="A829" s="19"/>
      <c r="B829" s="20" t="str">
        <f aca="false">IF($X829="","",INDEX('Per Line'!$D$2:$D$4001,$X829))</f>
        <v/>
      </c>
      <c r="C829" s="20" t="str">
        <f aca="false">IF($X829="","",INDEX('Per Line'!$C$2:$C$4001,$X829))</f>
        <v/>
      </c>
      <c r="D829" s="20" t="str">
        <f aca="false">IF($X829="","",INDEX('Per Line'!$A$2:$A$4001,$X829))</f>
        <v/>
      </c>
      <c r="E829" s="21" t="str">
        <f aca="false">IF($X829="","",INDEX('Per Line'!$F$2:$F$4001,$X829))</f>
        <v/>
      </c>
      <c r="F829" s="20" t="str">
        <f aca="false">IF($X829="","",INDEX('Per Line'!$G$2:$G$4001,$X829))</f>
        <v/>
      </c>
      <c r="G829" s="20" t="str">
        <f aca="false">IF($X829="","",INDEX('Per Line'!$I$2:$I$4001,$X829))</f>
        <v/>
      </c>
      <c r="H829" s="20" t="str">
        <f aca="false">IF($X829="","",INDEX('Per Line'!$J$2:$J$4001,$X829))</f>
        <v/>
      </c>
      <c r="I829" s="20" t="str">
        <f aca="false">IF($X829="","",INDEX('Per Line'!$K$2:$K$4001,$X829))</f>
        <v/>
      </c>
      <c r="J829" s="20" t="str">
        <f aca="false">IF($X829="","",INDEX('Per Line'!$L$2:$L$4001,$X829))</f>
        <v/>
      </c>
      <c r="K829" s="20" t="str">
        <f aca="false">IF($X829="","",INDEX('Per Line'!$M$2:$M$4001,$X829))</f>
        <v/>
      </c>
      <c r="L829" s="22" t="str">
        <f aca="false">IF($X829="","",K829*V829/100)</f>
        <v/>
      </c>
      <c r="M829" s="20" t="str">
        <f aca="false">IF($X829="","",INDEX('Per Line'!$Z$2:$Z$4001,$X829))</f>
        <v/>
      </c>
      <c r="N829" s="23" t="str">
        <f aca="false">IF($X829="","",Settings!$C$7)</f>
        <v/>
      </c>
      <c r="O829" s="22" t="str">
        <f aca="false">IF($X829="","",SUMIFS('Per Line'!$Y$2:$Y$4001,'Per Line'!$D$2:$D$4001,$B829,'Per Line'!$AJ$2:$AJ$4001,0))</f>
        <v/>
      </c>
      <c r="P829" s="22" t="str">
        <f aca="false">IF($X829="","",O829*N829)</f>
        <v/>
      </c>
      <c r="Q829" s="23" t="str">
        <f aca="false">IF($X829="","",Settings!$C$6)</f>
        <v/>
      </c>
      <c r="R829" s="22" t="str">
        <f aca="false">IF($X829="","",SUMIFS('Per Line'!$Y$2:$Y$4001,'Per Line'!$D$2:$D$4001,$B829,'Per Line'!$AJ$2:$AJ$4001,1))</f>
        <v/>
      </c>
      <c r="S829" s="22" t="str">
        <f aca="false">IF($X829="","",R829*Q829)</f>
        <v/>
      </c>
      <c r="T829" s="22" t="str">
        <f aca="false">IF($X829="","",S829+P829)</f>
        <v/>
      </c>
      <c r="U829" s="22" t="str">
        <f aca="false">IF($X829="","",V829-T829)</f>
        <v/>
      </c>
      <c r="V829" s="22" t="str">
        <f aca="false">IF($X829="","",O829+R829)</f>
        <v/>
      </c>
      <c r="W829" s="22" t="str">
        <f aca="false">IF($X829="","",U829-L829)</f>
        <v/>
      </c>
      <c r="X829" s="24" t="str">
        <f aca="false">IF(ROWS($X$2:$X829)&lt;=MAX('Per Line'!$AI$2:$AI$4001),MATCH(ROWS($X$2:$X829),'Per Line'!$AI$2:$AI$4001,0),"")</f>
        <v/>
      </c>
    </row>
    <row r="830" customFormat="false" ht="15" hidden="false" customHeight="false" outlineLevel="0" collapsed="false">
      <c r="A830" s="19"/>
      <c r="B830" s="20" t="str">
        <f aca="false">IF($X830="","",INDEX('Per Line'!$D$2:$D$4001,$X830))</f>
        <v/>
      </c>
      <c r="C830" s="20" t="str">
        <f aca="false">IF($X830="","",INDEX('Per Line'!$C$2:$C$4001,$X830))</f>
        <v/>
      </c>
      <c r="D830" s="20" t="str">
        <f aca="false">IF($X830="","",INDEX('Per Line'!$A$2:$A$4001,$X830))</f>
        <v/>
      </c>
      <c r="E830" s="21" t="str">
        <f aca="false">IF($X830="","",INDEX('Per Line'!$F$2:$F$4001,$X830))</f>
        <v/>
      </c>
      <c r="F830" s="20" t="str">
        <f aca="false">IF($X830="","",INDEX('Per Line'!$G$2:$G$4001,$X830))</f>
        <v/>
      </c>
      <c r="G830" s="20" t="str">
        <f aca="false">IF($X830="","",INDEX('Per Line'!$I$2:$I$4001,$X830))</f>
        <v/>
      </c>
      <c r="H830" s="20" t="str">
        <f aca="false">IF($X830="","",INDEX('Per Line'!$J$2:$J$4001,$X830))</f>
        <v/>
      </c>
      <c r="I830" s="20" t="str">
        <f aca="false">IF($X830="","",INDEX('Per Line'!$K$2:$K$4001,$X830))</f>
        <v/>
      </c>
      <c r="J830" s="20" t="str">
        <f aca="false">IF($X830="","",INDEX('Per Line'!$L$2:$L$4001,$X830))</f>
        <v/>
      </c>
      <c r="K830" s="20" t="str">
        <f aca="false">IF($X830="","",INDEX('Per Line'!$M$2:$M$4001,$X830))</f>
        <v/>
      </c>
      <c r="L830" s="22" t="str">
        <f aca="false">IF($X830="","",K830*V830/100)</f>
        <v/>
      </c>
      <c r="M830" s="20" t="str">
        <f aca="false">IF($X830="","",INDEX('Per Line'!$Z$2:$Z$4001,$X830))</f>
        <v/>
      </c>
      <c r="N830" s="23" t="str">
        <f aca="false">IF($X830="","",Settings!$C$7)</f>
        <v/>
      </c>
      <c r="O830" s="22" t="str">
        <f aca="false">IF($X830="","",SUMIFS('Per Line'!$Y$2:$Y$4001,'Per Line'!$D$2:$D$4001,$B830,'Per Line'!$AJ$2:$AJ$4001,0))</f>
        <v/>
      </c>
      <c r="P830" s="22" t="str">
        <f aca="false">IF($X830="","",O830*N830)</f>
        <v/>
      </c>
      <c r="Q830" s="23" t="str">
        <f aca="false">IF($X830="","",Settings!$C$6)</f>
        <v/>
      </c>
      <c r="R830" s="22" t="str">
        <f aca="false">IF($X830="","",SUMIFS('Per Line'!$Y$2:$Y$4001,'Per Line'!$D$2:$D$4001,$B830,'Per Line'!$AJ$2:$AJ$4001,1))</f>
        <v/>
      </c>
      <c r="S830" s="22" t="str">
        <f aca="false">IF($X830="","",R830*Q830)</f>
        <v/>
      </c>
      <c r="T830" s="22" t="str">
        <f aca="false">IF($X830="","",S830+P830)</f>
        <v/>
      </c>
      <c r="U830" s="22" t="str">
        <f aca="false">IF($X830="","",V830-T830)</f>
        <v/>
      </c>
      <c r="V830" s="22" t="str">
        <f aca="false">IF($X830="","",O830+R830)</f>
        <v/>
      </c>
      <c r="W830" s="22" t="str">
        <f aca="false">IF($X830="","",U830-L830)</f>
        <v/>
      </c>
      <c r="X830" s="24" t="str">
        <f aca="false">IF(ROWS($X$2:$X830)&lt;=MAX('Per Line'!$AI$2:$AI$4001),MATCH(ROWS($X$2:$X830),'Per Line'!$AI$2:$AI$4001,0),"")</f>
        <v/>
      </c>
    </row>
    <row r="831" customFormat="false" ht="15" hidden="false" customHeight="false" outlineLevel="0" collapsed="false">
      <c r="A831" s="19"/>
      <c r="B831" s="20" t="str">
        <f aca="false">IF($X831="","",INDEX('Per Line'!$D$2:$D$4001,$X831))</f>
        <v/>
      </c>
      <c r="C831" s="20" t="str">
        <f aca="false">IF($X831="","",INDEX('Per Line'!$C$2:$C$4001,$X831))</f>
        <v/>
      </c>
      <c r="D831" s="20" t="str">
        <f aca="false">IF($X831="","",INDEX('Per Line'!$A$2:$A$4001,$X831))</f>
        <v/>
      </c>
      <c r="E831" s="21" t="str">
        <f aca="false">IF($X831="","",INDEX('Per Line'!$F$2:$F$4001,$X831))</f>
        <v/>
      </c>
      <c r="F831" s="20" t="str">
        <f aca="false">IF($X831="","",INDEX('Per Line'!$G$2:$G$4001,$X831))</f>
        <v/>
      </c>
      <c r="G831" s="20" t="str">
        <f aca="false">IF($X831="","",INDEX('Per Line'!$I$2:$I$4001,$X831))</f>
        <v/>
      </c>
      <c r="H831" s="20" t="str">
        <f aca="false">IF($X831="","",INDEX('Per Line'!$J$2:$J$4001,$X831))</f>
        <v/>
      </c>
      <c r="I831" s="20" t="str">
        <f aca="false">IF($X831="","",INDEX('Per Line'!$K$2:$K$4001,$X831))</f>
        <v/>
      </c>
      <c r="J831" s="20" t="str">
        <f aca="false">IF($X831="","",INDEX('Per Line'!$L$2:$L$4001,$X831))</f>
        <v/>
      </c>
      <c r="K831" s="20" t="str">
        <f aca="false">IF($X831="","",INDEX('Per Line'!$M$2:$M$4001,$X831))</f>
        <v/>
      </c>
      <c r="L831" s="22" t="str">
        <f aca="false">IF($X831="","",K831*V831/100)</f>
        <v/>
      </c>
      <c r="M831" s="20" t="str">
        <f aca="false">IF($X831="","",INDEX('Per Line'!$Z$2:$Z$4001,$X831))</f>
        <v/>
      </c>
      <c r="N831" s="23" t="str">
        <f aca="false">IF($X831="","",Settings!$C$7)</f>
        <v/>
      </c>
      <c r="O831" s="22" t="str">
        <f aca="false">IF($X831="","",SUMIFS('Per Line'!$Y$2:$Y$4001,'Per Line'!$D$2:$D$4001,$B831,'Per Line'!$AJ$2:$AJ$4001,0))</f>
        <v/>
      </c>
      <c r="P831" s="22" t="str">
        <f aca="false">IF($X831="","",O831*N831)</f>
        <v/>
      </c>
      <c r="Q831" s="23" t="str">
        <f aca="false">IF($X831="","",Settings!$C$6)</f>
        <v/>
      </c>
      <c r="R831" s="22" t="str">
        <f aca="false">IF($X831="","",SUMIFS('Per Line'!$Y$2:$Y$4001,'Per Line'!$D$2:$D$4001,$B831,'Per Line'!$AJ$2:$AJ$4001,1))</f>
        <v/>
      </c>
      <c r="S831" s="22" t="str">
        <f aca="false">IF($X831="","",R831*Q831)</f>
        <v/>
      </c>
      <c r="T831" s="22" t="str">
        <f aca="false">IF($X831="","",S831+P831)</f>
        <v/>
      </c>
      <c r="U831" s="22" t="str">
        <f aca="false">IF($X831="","",V831-T831)</f>
        <v/>
      </c>
      <c r="V831" s="22" t="str">
        <f aca="false">IF($X831="","",O831+R831)</f>
        <v/>
      </c>
      <c r="W831" s="22" t="str">
        <f aca="false">IF($X831="","",U831-L831)</f>
        <v/>
      </c>
      <c r="X831" s="24" t="str">
        <f aca="false">IF(ROWS($X$2:$X831)&lt;=MAX('Per Line'!$AI$2:$AI$4001),MATCH(ROWS($X$2:$X831),'Per Line'!$AI$2:$AI$4001,0),"")</f>
        <v/>
      </c>
    </row>
    <row r="832" customFormat="false" ht="15" hidden="false" customHeight="false" outlineLevel="0" collapsed="false">
      <c r="A832" s="19"/>
      <c r="B832" s="20" t="str">
        <f aca="false">IF($X832="","",INDEX('Per Line'!$D$2:$D$4001,$X832))</f>
        <v/>
      </c>
      <c r="C832" s="20" t="str">
        <f aca="false">IF($X832="","",INDEX('Per Line'!$C$2:$C$4001,$X832))</f>
        <v/>
      </c>
      <c r="D832" s="20" t="str">
        <f aca="false">IF($X832="","",INDEX('Per Line'!$A$2:$A$4001,$X832))</f>
        <v/>
      </c>
      <c r="E832" s="21" t="str">
        <f aca="false">IF($X832="","",INDEX('Per Line'!$F$2:$F$4001,$X832))</f>
        <v/>
      </c>
      <c r="F832" s="20" t="str">
        <f aca="false">IF($X832="","",INDEX('Per Line'!$G$2:$G$4001,$X832))</f>
        <v/>
      </c>
      <c r="G832" s="20" t="str">
        <f aca="false">IF($X832="","",INDEX('Per Line'!$I$2:$I$4001,$X832))</f>
        <v/>
      </c>
      <c r="H832" s="20" t="str">
        <f aca="false">IF($X832="","",INDEX('Per Line'!$J$2:$J$4001,$X832))</f>
        <v/>
      </c>
      <c r="I832" s="20" t="str">
        <f aca="false">IF($X832="","",INDEX('Per Line'!$K$2:$K$4001,$X832))</f>
        <v/>
      </c>
      <c r="J832" s="20" t="str">
        <f aca="false">IF($X832="","",INDEX('Per Line'!$L$2:$L$4001,$X832))</f>
        <v/>
      </c>
      <c r="K832" s="20" t="str">
        <f aca="false">IF($X832="","",INDEX('Per Line'!$M$2:$M$4001,$X832))</f>
        <v/>
      </c>
      <c r="L832" s="22" t="str">
        <f aca="false">IF($X832="","",K832*V832/100)</f>
        <v/>
      </c>
      <c r="M832" s="20" t="str">
        <f aca="false">IF($X832="","",INDEX('Per Line'!$Z$2:$Z$4001,$X832))</f>
        <v/>
      </c>
      <c r="N832" s="23" t="str">
        <f aca="false">IF($X832="","",Settings!$C$7)</f>
        <v/>
      </c>
      <c r="O832" s="22" t="str">
        <f aca="false">IF($X832="","",SUMIFS('Per Line'!$Y$2:$Y$4001,'Per Line'!$D$2:$D$4001,$B832,'Per Line'!$AJ$2:$AJ$4001,0))</f>
        <v/>
      </c>
      <c r="P832" s="22" t="str">
        <f aca="false">IF($X832="","",O832*N832)</f>
        <v/>
      </c>
      <c r="Q832" s="23" t="str">
        <f aca="false">IF($X832="","",Settings!$C$6)</f>
        <v/>
      </c>
      <c r="R832" s="22" t="str">
        <f aca="false">IF($X832="","",SUMIFS('Per Line'!$Y$2:$Y$4001,'Per Line'!$D$2:$D$4001,$B832,'Per Line'!$AJ$2:$AJ$4001,1))</f>
        <v/>
      </c>
      <c r="S832" s="22" t="str">
        <f aca="false">IF($X832="","",R832*Q832)</f>
        <v/>
      </c>
      <c r="T832" s="22" t="str">
        <f aca="false">IF($X832="","",S832+P832)</f>
        <v/>
      </c>
      <c r="U832" s="22" t="str">
        <f aca="false">IF($X832="","",V832-T832)</f>
        <v/>
      </c>
      <c r="V832" s="22" t="str">
        <f aca="false">IF($X832="","",O832+R832)</f>
        <v/>
      </c>
      <c r="W832" s="22" t="str">
        <f aca="false">IF($X832="","",U832-L832)</f>
        <v/>
      </c>
      <c r="X832" s="24" t="str">
        <f aca="false">IF(ROWS($X$2:$X832)&lt;=MAX('Per Line'!$AI$2:$AI$4001),MATCH(ROWS($X$2:$X832),'Per Line'!$AI$2:$AI$4001,0),"")</f>
        <v/>
      </c>
    </row>
    <row r="833" customFormat="false" ht="15" hidden="false" customHeight="false" outlineLevel="0" collapsed="false">
      <c r="A833" s="19"/>
      <c r="B833" s="20" t="str">
        <f aca="false">IF($X833="","",INDEX('Per Line'!$D$2:$D$4001,$X833))</f>
        <v/>
      </c>
      <c r="C833" s="20" t="str">
        <f aca="false">IF($X833="","",INDEX('Per Line'!$C$2:$C$4001,$X833))</f>
        <v/>
      </c>
      <c r="D833" s="20" t="str">
        <f aca="false">IF($X833="","",INDEX('Per Line'!$A$2:$A$4001,$X833))</f>
        <v/>
      </c>
      <c r="E833" s="21" t="str">
        <f aca="false">IF($X833="","",INDEX('Per Line'!$F$2:$F$4001,$X833))</f>
        <v/>
      </c>
      <c r="F833" s="20" t="str">
        <f aca="false">IF($X833="","",INDEX('Per Line'!$G$2:$G$4001,$X833))</f>
        <v/>
      </c>
      <c r="G833" s="20" t="str">
        <f aca="false">IF($X833="","",INDEX('Per Line'!$I$2:$I$4001,$X833))</f>
        <v/>
      </c>
      <c r="H833" s="20" t="str">
        <f aca="false">IF($X833="","",INDEX('Per Line'!$J$2:$J$4001,$X833))</f>
        <v/>
      </c>
      <c r="I833" s="20" t="str">
        <f aca="false">IF($X833="","",INDEX('Per Line'!$K$2:$K$4001,$X833))</f>
        <v/>
      </c>
      <c r="J833" s="20" t="str">
        <f aca="false">IF($X833="","",INDEX('Per Line'!$L$2:$L$4001,$X833))</f>
        <v/>
      </c>
      <c r="K833" s="20" t="str">
        <f aca="false">IF($X833="","",INDEX('Per Line'!$M$2:$M$4001,$X833))</f>
        <v/>
      </c>
      <c r="L833" s="22" t="str">
        <f aca="false">IF($X833="","",K833*V833/100)</f>
        <v/>
      </c>
      <c r="M833" s="20" t="str">
        <f aca="false">IF($X833="","",INDEX('Per Line'!$Z$2:$Z$4001,$X833))</f>
        <v/>
      </c>
      <c r="N833" s="23" t="str">
        <f aca="false">IF($X833="","",Settings!$C$7)</f>
        <v/>
      </c>
      <c r="O833" s="22" t="str">
        <f aca="false">IF($X833="","",SUMIFS('Per Line'!$Y$2:$Y$4001,'Per Line'!$D$2:$D$4001,$B833,'Per Line'!$AJ$2:$AJ$4001,0))</f>
        <v/>
      </c>
      <c r="P833" s="22" t="str">
        <f aca="false">IF($X833="","",O833*N833)</f>
        <v/>
      </c>
      <c r="Q833" s="23" t="str">
        <f aca="false">IF($X833="","",Settings!$C$6)</f>
        <v/>
      </c>
      <c r="R833" s="22" t="str">
        <f aca="false">IF($X833="","",SUMIFS('Per Line'!$Y$2:$Y$4001,'Per Line'!$D$2:$D$4001,$B833,'Per Line'!$AJ$2:$AJ$4001,1))</f>
        <v/>
      </c>
      <c r="S833" s="22" t="str">
        <f aca="false">IF($X833="","",R833*Q833)</f>
        <v/>
      </c>
      <c r="T833" s="22" t="str">
        <f aca="false">IF($X833="","",S833+P833)</f>
        <v/>
      </c>
      <c r="U833" s="22" t="str">
        <f aca="false">IF($X833="","",V833-T833)</f>
        <v/>
      </c>
      <c r="V833" s="22" t="str">
        <f aca="false">IF($X833="","",O833+R833)</f>
        <v/>
      </c>
      <c r="W833" s="22" t="str">
        <f aca="false">IF($X833="","",U833-L833)</f>
        <v/>
      </c>
      <c r="X833" s="24" t="str">
        <f aca="false">IF(ROWS($X$2:$X833)&lt;=MAX('Per Line'!$AI$2:$AI$4001),MATCH(ROWS($X$2:$X833),'Per Line'!$AI$2:$AI$4001,0),"")</f>
        <v/>
      </c>
    </row>
    <row r="834" customFormat="false" ht="15" hidden="false" customHeight="false" outlineLevel="0" collapsed="false">
      <c r="A834" s="19"/>
      <c r="B834" s="20" t="str">
        <f aca="false">IF($X834="","",INDEX('Per Line'!$D$2:$D$4001,$X834))</f>
        <v/>
      </c>
      <c r="C834" s="20" t="str">
        <f aca="false">IF($X834="","",INDEX('Per Line'!$C$2:$C$4001,$X834))</f>
        <v/>
      </c>
      <c r="D834" s="20" t="str">
        <f aca="false">IF($X834="","",INDEX('Per Line'!$A$2:$A$4001,$X834))</f>
        <v/>
      </c>
      <c r="E834" s="21" t="str">
        <f aca="false">IF($X834="","",INDEX('Per Line'!$F$2:$F$4001,$X834))</f>
        <v/>
      </c>
      <c r="F834" s="20" t="str">
        <f aca="false">IF($X834="","",INDEX('Per Line'!$G$2:$G$4001,$X834))</f>
        <v/>
      </c>
      <c r="G834" s="20" t="str">
        <f aca="false">IF($X834="","",INDEX('Per Line'!$I$2:$I$4001,$X834))</f>
        <v/>
      </c>
      <c r="H834" s="20" t="str">
        <f aca="false">IF($X834="","",INDEX('Per Line'!$J$2:$J$4001,$X834))</f>
        <v/>
      </c>
      <c r="I834" s="20" t="str">
        <f aca="false">IF($X834="","",INDEX('Per Line'!$K$2:$K$4001,$X834))</f>
        <v/>
      </c>
      <c r="J834" s="20" t="str">
        <f aca="false">IF($X834="","",INDEX('Per Line'!$L$2:$L$4001,$X834))</f>
        <v/>
      </c>
      <c r="K834" s="20" t="str">
        <f aca="false">IF($X834="","",INDEX('Per Line'!$M$2:$M$4001,$X834))</f>
        <v/>
      </c>
      <c r="L834" s="22" t="str">
        <f aca="false">IF($X834="","",K834*V834/100)</f>
        <v/>
      </c>
      <c r="M834" s="20" t="str">
        <f aca="false">IF($X834="","",INDEX('Per Line'!$Z$2:$Z$4001,$X834))</f>
        <v/>
      </c>
      <c r="N834" s="23" t="str">
        <f aca="false">IF($X834="","",Settings!$C$7)</f>
        <v/>
      </c>
      <c r="O834" s="22" t="str">
        <f aca="false">IF($X834="","",SUMIFS('Per Line'!$Y$2:$Y$4001,'Per Line'!$D$2:$D$4001,$B834,'Per Line'!$AJ$2:$AJ$4001,0))</f>
        <v/>
      </c>
      <c r="P834" s="22" t="str">
        <f aca="false">IF($X834="","",O834*N834)</f>
        <v/>
      </c>
      <c r="Q834" s="23" t="str">
        <f aca="false">IF($X834="","",Settings!$C$6)</f>
        <v/>
      </c>
      <c r="R834" s="22" t="str">
        <f aca="false">IF($X834="","",SUMIFS('Per Line'!$Y$2:$Y$4001,'Per Line'!$D$2:$D$4001,$B834,'Per Line'!$AJ$2:$AJ$4001,1))</f>
        <v/>
      </c>
      <c r="S834" s="22" t="str">
        <f aca="false">IF($X834="","",R834*Q834)</f>
        <v/>
      </c>
      <c r="T834" s="22" t="str">
        <f aca="false">IF($X834="","",S834+P834)</f>
        <v/>
      </c>
      <c r="U834" s="22" t="str">
        <f aca="false">IF($X834="","",V834-T834)</f>
        <v/>
      </c>
      <c r="V834" s="22" t="str">
        <f aca="false">IF($X834="","",O834+R834)</f>
        <v/>
      </c>
      <c r="W834" s="22" t="str">
        <f aca="false">IF($X834="","",U834-L834)</f>
        <v/>
      </c>
      <c r="X834" s="24" t="str">
        <f aca="false">IF(ROWS($X$2:$X834)&lt;=MAX('Per Line'!$AI$2:$AI$4001),MATCH(ROWS($X$2:$X834),'Per Line'!$AI$2:$AI$4001,0),"")</f>
        <v/>
      </c>
    </row>
    <row r="835" customFormat="false" ht="15" hidden="false" customHeight="false" outlineLevel="0" collapsed="false">
      <c r="A835" s="19"/>
      <c r="B835" s="20" t="str">
        <f aca="false">IF($X835="","",INDEX('Per Line'!$D$2:$D$4001,$X835))</f>
        <v/>
      </c>
      <c r="C835" s="20" t="str">
        <f aca="false">IF($X835="","",INDEX('Per Line'!$C$2:$C$4001,$X835))</f>
        <v/>
      </c>
      <c r="D835" s="20" t="str">
        <f aca="false">IF($X835="","",INDEX('Per Line'!$A$2:$A$4001,$X835))</f>
        <v/>
      </c>
      <c r="E835" s="21" t="str">
        <f aca="false">IF($X835="","",INDEX('Per Line'!$F$2:$F$4001,$X835))</f>
        <v/>
      </c>
      <c r="F835" s="20" t="str">
        <f aca="false">IF($X835="","",INDEX('Per Line'!$G$2:$G$4001,$X835))</f>
        <v/>
      </c>
      <c r="G835" s="20" t="str">
        <f aca="false">IF($X835="","",INDEX('Per Line'!$I$2:$I$4001,$X835))</f>
        <v/>
      </c>
      <c r="H835" s="20" t="str">
        <f aca="false">IF($X835="","",INDEX('Per Line'!$J$2:$J$4001,$X835))</f>
        <v/>
      </c>
      <c r="I835" s="20" t="str">
        <f aca="false">IF($X835="","",INDEX('Per Line'!$K$2:$K$4001,$X835))</f>
        <v/>
      </c>
      <c r="J835" s="20" t="str">
        <f aca="false">IF($X835="","",INDEX('Per Line'!$L$2:$L$4001,$X835))</f>
        <v/>
      </c>
      <c r="K835" s="20" t="str">
        <f aca="false">IF($X835="","",INDEX('Per Line'!$M$2:$M$4001,$X835))</f>
        <v/>
      </c>
      <c r="L835" s="22" t="str">
        <f aca="false">IF($X835="","",K835*V835/100)</f>
        <v/>
      </c>
      <c r="M835" s="20" t="str">
        <f aca="false">IF($X835="","",INDEX('Per Line'!$Z$2:$Z$4001,$X835))</f>
        <v/>
      </c>
      <c r="N835" s="23" t="str">
        <f aca="false">IF($X835="","",Settings!$C$7)</f>
        <v/>
      </c>
      <c r="O835" s="22" t="str">
        <f aca="false">IF($X835="","",SUMIFS('Per Line'!$Y$2:$Y$4001,'Per Line'!$D$2:$D$4001,$B835,'Per Line'!$AJ$2:$AJ$4001,0))</f>
        <v/>
      </c>
      <c r="P835" s="22" t="str">
        <f aca="false">IF($X835="","",O835*N835)</f>
        <v/>
      </c>
      <c r="Q835" s="23" t="str">
        <f aca="false">IF($X835="","",Settings!$C$6)</f>
        <v/>
      </c>
      <c r="R835" s="22" t="str">
        <f aca="false">IF($X835="","",SUMIFS('Per Line'!$Y$2:$Y$4001,'Per Line'!$D$2:$D$4001,$B835,'Per Line'!$AJ$2:$AJ$4001,1))</f>
        <v/>
      </c>
      <c r="S835" s="22" t="str">
        <f aca="false">IF($X835="","",R835*Q835)</f>
        <v/>
      </c>
      <c r="T835" s="22" t="str">
        <f aca="false">IF($X835="","",S835+P835)</f>
        <v/>
      </c>
      <c r="U835" s="22" t="str">
        <f aca="false">IF($X835="","",V835-T835)</f>
        <v/>
      </c>
      <c r="V835" s="22" t="str">
        <f aca="false">IF($X835="","",O835+R835)</f>
        <v/>
      </c>
      <c r="W835" s="22" t="str">
        <f aca="false">IF($X835="","",U835-L835)</f>
        <v/>
      </c>
      <c r="X835" s="24" t="str">
        <f aca="false">IF(ROWS($X$2:$X835)&lt;=MAX('Per Line'!$AI$2:$AI$4001),MATCH(ROWS($X$2:$X835),'Per Line'!$AI$2:$AI$4001,0),"")</f>
        <v/>
      </c>
    </row>
    <row r="836" customFormat="false" ht="15" hidden="false" customHeight="false" outlineLevel="0" collapsed="false">
      <c r="A836" s="19"/>
      <c r="B836" s="20" t="str">
        <f aca="false">IF($X836="","",INDEX('Per Line'!$D$2:$D$4001,$X836))</f>
        <v/>
      </c>
      <c r="C836" s="20" t="str">
        <f aca="false">IF($X836="","",INDEX('Per Line'!$C$2:$C$4001,$X836))</f>
        <v/>
      </c>
      <c r="D836" s="20" t="str">
        <f aca="false">IF($X836="","",INDEX('Per Line'!$A$2:$A$4001,$X836))</f>
        <v/>
      </c>
      <c r="E836" s="21" t="str">
        <f aca="false">IF($X836="","",INDEX('Per Line'!$F$2:$F$4001,$X836))</f>
        <v/>
      </c>
      <c r="F836" s="20" t="str">
        <f aca="false">IF($X836="","",INDEX('Per Line'!$G$2:$G$4001,$X836))</f>
        <v/>
      </c>
      <c r="G836" s="20" t="str">
        <f aca="false">IF($X836="","",INDEX('Per Line'!$I$2:$I$4001,$X836))</f>
        <v/>
      </c>
      <c r="H836" s="20" t="str">
        <f aca="false">IF($X836="","",INDEX('Per Line'!$J$2:$J$4001,$X836))</f>
        <v/>
      </c>
      <c r="I836" s="20" t="str">
        <f aca="false">IF($X836="","",INDEX('Per Line'!$K$2:$K$4001,$X836))</f>
        <v/>
      </c>
      <c r="J836" s="20" t="str">
        <f aca="false">IF($X836="","",INDEX('Per Line'!$L$2:$L$4001,$X836))</f>
        <v/>
      </c>
      <c r="K836" s="20" t="str">
        <f aca="false">IF($X836="","",INDEX('Per Line'!$M$2:$M$4001,$X836))</f>
        <v/>
      </c>
      <c r="L836" s="22" t="str">
        <f aca="false">IF($X836="","",K836*V836/100)</f>
        <v/>
      </c>
      <c r="M836" s="20" t="str">
        <f aca="false">IF($X836="","",INDEX('Per Line'!$Z$2:$Z$4001,$X836))</f>
        <v/>
      </c>
      <c r="N836" s="23" t="str">
        <f aca="false">IF($X836="","",Settings!$C$7)</f>
        <v/>
      </c>
      <c r="O836" s="22" t="str">
        <f aca="false">IF($X836="","",SUMIFS('Per Line'!$Y$2:$Y$4001,'Per Line'!$D$2:$D$4001,$B836,'Per Line'!$AJ$2:$AJ$4001,0))</f>
        <v/>
      </c>
      <c r="P836" s="22" t="str">
        <f aca="false">IF($X836="","",O836*N836)</f>
        <v/>
      </c>
      <c r="Q836" s="23" t="str">
        <f aca="false">IF($X836="","",Settings!$C$6)</f>
        <v/>
      </c>
      <c r="R836" s="22" t="str">
        <f aca="false">IF($X836="","",SUMIFS('Per Line'!$Y$2:$Y$4001,'Per Line'!$D$2:$D$4001,$B836,'Per Line'!$AJ$2:$AJ$4001,1))</f>
        <v/>
      </c>
      <c r="S836" s="22" t="str">
        <f aca="false">IF($X836="","",R836*Q836)</f>
        <v/>
      </c>
      <c r="T836" s="22" t="str">
        <f aca="false">IF($X836="","",S836+P836)</f>
        <v/>
      </c>
      <c r="U836" s="22" t="str">
        <f aca="false">IF($X836="","",V836-T836)</f>
        <v/>
      </c>
      <c r="V836" s="22" t="str">
        <f aca="false">IF($X836="","",O836+R836)</f>
        <v/>
      </c>
      <c r="W836" s="22" t="str">
        <f aca="false">IF($X836="","",U836-L836)</f>
        <v/>
      </c>
      <c r="X836" s="24" t="str">
        <f aca="false">IF(ROWS($X$2:$X836)&lt;=MAX('Per Line'!$AI$2:$AI$4001),MATCH(ROWS($X$2:$X836),'Per Line'!$AI$2:$AI$4001,0),"")</f>
        <v/>
      </c>
    </row>
    <row r="837" customFormat="false" ht="15" hidden="false" customHeight="false" outlineLevel="0" collapsed="false">
      <c r="A837" s="19"/>
      <c r="B837" s="20" t="str">
        <f aca="false">IF($X837="","",INDEX('Per Line'!$D$2:$D$4001,$X837))</f>
        <v/>
      </c>
      <c r="C837" s="20" t="str">
        <f aca="false">IF($X837="","",INDEX('Per Line'!$C$2:$C$4001,$X837))</f>
        <v/>
      </c>
      <c r="D837" s="20" t="str">
        <f aca="false">IF($X837="","",INDEX('Per Line'!$A$2:$A$4001,$X837))</f>
        <v/>
      </c>
      <c r="E837" s="21" t="str">
        <f aca="false">IF($X837="","",INDEX('Per Line'!$F$2:$F$4001,$X837))</f>
        <v/>
      </c>
      <c r="F837" s="20" t="str">
        <f aca="false">IF($X837="","",INDEX('Per Line'!$G$2:$G$4001,$X837))</f>
        <v/>
      </c>
      <c r="G837" s="20" t="str">
        <f aca="false">IF($X837="","",INDEX('Per Line'!$I$2:$I$4001,$X837))</f>
        <v/>
      </c>
      <c r="H837" s="20" t="str">
        <f aca="false">IF($X837="","",INDEX('Per Line'!$J$2:$J$4001,$X837))</f>
        <v/>
      </c>
      <c r="I837" s="20" t="str">
        <f aca="false">IF($X837="","",INDEX('Per Line'!$K$2:$K$4001,$X837))</f>
        <v/>
      </c>
      <c r="J837" s="20" t="str">
        <f aca="false">IF($X837="","",INDEX('Per Line'!$L$2:$L$4001,$X837))</f>
        <v/>
      </c>
      <c r="K837" s="20" t="str">
        <f aca="false">IF($X837="","",INDEX('Per Line'!$M$2:$M$4001,$X837))</f>
        <v/>
      </c>
      <c r="L837" s="22" t="str">
        <f aca="false">IF($X837="","",K837*V837/100)</f>
        <v/>
      </c>
      <c r="M837" s="20" t="str">
        <f aca="false">IF($X837="","",INDEX('Per Line'!$Z$2:$Z$4001,$X837))</f>
        <v/>
      </c>
      <c r="N837" s="23" t="str">
        <f aca="false">IF($X837="","",Settings!$C$7)</f>
        <v/>
      </c>
      <c r="O837" s="22" t="str">
        <f aca="false">IF($X837="","",SUMIFS('Per Line'!$Y$2:$Y$4001,'Per Line'!$D$2:$D$4001,$B837,'Per Line'!$AJ$2:$AJ$4001,0))</f>
        <v/>
      </c>
      <c r="P837" s="22" t="str">
        <f aca="false">IF($X837="","",O837*N837)</f>
        <v/>
      </c>
      <c r="Q837" s="23" t="str">
        <f aca="false">IF($X837="","",Settings!$C$6)</f>
        <v/>
      </c>
      <c r="R837" s="22" t="str">
        <f aca="false">IF($X837="","",SUMIFS('Per Line'!$Y$2:$Y$4001,'Per Line'!$D$2:$D$4001,$B837,'Per Line'!$AJ$2:$AJ$4001,1))</f>
        <v/>
      </c>
      <c r="S837" s="22" t="str">
        <f aca="false">IF($X837="","",R837*Q837)</f>
        <v/>
      </c>
      <c r="T837" s="22" t="str">
        <f aca="false">IF($X837="","",S837+P837)</f>
        <v/>
      </c>
      <c r="U837" s="22" t="str">
        <f aca="false">IF($X837="","",V837-T837)</f>
        <v/>
      </c>
      <c r="V837" s="22" t="str">
        <f aca="false">IF($X837="","",O837+R837)</f>
        <v/>
      </c>
      <c r="W837" s="22" t="str">
        <f aca="false">IF($X837="","",U837-L837)</f>
        <v/>
      </c>
      <c r="X837" s="24" t="str">
        <f aca="false">IF(ROWS($X$2:$X837)&lt;=MAX('Per Line'!$AI$2:$AI$4001),MATCH(ROWS($X$2:$X837),'Per Line'!$AI$2:$AI$4001,0),"")</f>
        <v/>
      </c>
    </row>
    <row r="838" customFormat="false" ht="15" hidden="false" customHeight="false" outlineLevel="0" collapsed="false">
      <c r="A838" s="19"/>
      <c r="B838" s="20" t="str">
        <f aca="false">IF($X838="","",INDEX('Per Line'!$D$2:$D$4001,$X838))</f>
        <v/>
      </c>
      <c r="C838" s="20" t="str">
        <f aca="false">IF($X838="","",INDEX('Per Line'!$C$2:$C$4001,$X838))</f>
        <v/>
      </c>
      <c r="D838" s="20" t="str">
        <f aca="false">IF($X838="","",INDEX('Per Line'!$A$2:$A$4001,$X838))</f>
        <v/>
      </c>
      <c r="E838" s="21" t="str">
        <f aca="false">IF($X838="","",INDEX('Per Line'!$F$2:$F$4001,$X838))</f>
        <v/>
      </c>
      <c r="F838" s="20" t="str">
        <f aca="false">IF($X838="","",INDEX('Per Line'!$G$2:$G$4001,$X838))</f>
        <v/>
      </c>
      <c r="G838" s="20" t="str">
        <f aca="false">IF($X838="","",INDEX('Per Line'!$I$2:$I$4001,$X838))</f>
        <v/>
      </c>
      <c r="H838" s="20" t="str">
        <f aca="false">IF($X838="","",INDEX('Per Line'!$J$2:$J$4001,$X838))</f>
        <v/>
      </c>
      <c r="I838" s="20" t="str">
        <f aca="false">IF($X838="","",INDEX('Per Line'!$K$2:$K$4001,$X838))</f>
        <v/>
      </c>
      <c r="J838" s="20" t="str">
        <f aca="false">IF($X838="","",INDEX('Per Line'!$L$2:$L$4001,$X838))</f>
        <v/>
      </c>
      <c r="K838" s="20" t="str">
        <f aca="false">IF($X838="","",INDEX('Per Line'!$M$2:$M$4001,$X838))</f>
        <v/>
      </c>
      <c r="L838" s="22" t="str">
        <f aca="false">IF($X838="","",K838*V838/100)</f>
        <v/>
      </c>
      <c r="M838" s="20" t="str">
        <f aca="false">IF($X838="","",INDEX('Per Line'!$Z$2:$Z$4001,$X838))</f>
        <v/>
      </c>
      <c r="N838" s="23" t="str">
        <f aca="false">IF($X838="","",Settings!$C$7)</f>
        <v/>
      </c>
      <c r="O838" s="22" t="str">
        <f aca="false">IF($X838="","",SUMIFS('Per Line'!$Y$2:$Y$4001,'Per Line'!$D$2:$D$4001,$B838,'Per Line'!$AJ$2:$AJ$4001,0))</f>
        <v/>
      </c>
      <c r="P838" s="22" t="str">
        <f aca="false">IF($X838="","",O838*N838)</f>
        <v/>
      </c>
      <c r="Q838" s="23" t="str">
        <f aca="false">IF($X838="","",Settings!$C$6)</f>
        <v/>
      </c>
      <c r="R838" s="22" t="str">
        <f aca="false">IF($X838="","",SUMIFS('Per Line'!$Y$2:$Y$4001,'Per Line'!$D$2:$D$4001,$B838,'Per Line'!$AJ$2:$AJ$4001,1))</f>
        <v/>
      </c>
      <c r="S838" s="22" t="str">
        <f aca="false">IF($X838="","",R838*Q838)</f>
        <v/>
      </c>
      <c r="T838" s="22" t="str">
        <f aca="false">IF($X838="","",S838+P838)</f>
        <v/>
      </c>
      <c r="U838" s="22" t="str">
        <f aca="false">IF($X838="","",V838-T838)</f>
        <v/>
      </c>
      <c r="V838" s="22" t="str">
        <f aca="false">IF($X838="","",O838+R838)</f>
        <v/>
      </c>
      <c r="W838" s="22" t="str">
        <f aca="false">IF($X838="","",U838-L838)</f>
        <v/>
      </c>
      <c r="X838" s="24" t="str">
        <f aca="false">IF(ROWS($X$2:$X838)&lt;=MAX('Per Line'!$AI$2:$AI$4001),MATCH(ROWS($X$2:$X838),'Per Line'!$AI$2:$AI$4001,0),"")</f>
        <v/>
      </c>
    </row>
    <row r="839" customFormat="false" ht="15" hidden="false" customHeight="false" outlineLevel="0" collapsed="false">
      <c r="A839" s="19"/>
      <c r="B839" s="20" t="str">
        <f aca="false">IF($X839="","",INDEX('Per Line'!$D$2:$D$4001,$X839))</f>
        <v/>
      </c>
      <c r="C839" s="20" t="str">
        <f aca="false">IF($X839="","",INDEX('Per Line'!$C$2:$C$4001,$X839))</f>
        <v/>
      </c>
      <c r="D839" s="20" t="str">
        <f aca="false">IF($X839="","",INDEX('Per Line'!$A$2:$A$4001,$X839))</f>
        <v/>
      </c>
      <c r="E839" s="21" t="str">
        <f aca="false">IF($X839="","",INDEX('Per Line'!$F$2:$F$4001,$X839))</f>
        <v/>
      </c>
      <c r="F839" s="20" t="str">
        <f aca="false">IF($X839="","",INDEX('Per Line'!$G$2:$G$4001,$X839))</f>
        <v/>
      </c>
      <c r="G839" s="20" t="str">
        <f aca="false">IF($X839="","",INDEX('Per Line'!$I$2:$I$4001,$X839))</f>
        <v/>
      </c>
      <c r="H839" s="20" t="str">
        <f aca="false">IF($X839="","",INDEX('Per Line'!$J$2:$J$4001,$X839))</f>
        <v/>
      </c>
      <c r="I839" s="20" t="str">
        <f aca="false">IF($X839="","",INDEX('Per Line'!$K$2:$K$4001,$X839))</f>
        <v/>
      </c>
      <c r="J839" s="20" t="str">
        <f aca="false">IF($X839="","",INDEX('Per Line'!$L$2:$L$4001,$X839))</f>
        <v/>
      </c>
      <c r="K839" s="20" t="str">
        <f aca="false">IF($X839="","",INDEX('Per Line'!$M$2:$M$4001,$X839))</f>
        <v/>
      </c>
      <c r="L839" s="22" t="str">
        <f aca="false">IF($X839="","",K839*V839/100)</f>
        <v/>
      </c>
      <c r="M839" s="20" t="str">
        <f aca="false">IF($X839="","",INDEX('Per Line'!$Z$2:$Z$4001,$X839))</f>
        <v/>
      </c>
      <c r="N839" s="23" t="str">
        <f aca="false">IF($X839="","",Settings!$C$7)</f>
        <v/>
      </c>
      <c r="O839" s="22" t="str">
        <f aca="false">IF($X839="","",SUMIFS('Per Line'!$Y$2:$Y$4001,'Per Line'!$D$2:$D$4001,$B839,'Per Line'!$AJ$2:$AJ$4001,0))</f>
        <v/>
      </c>
      <c r="P839" s="22" t="str">
        <f aca="false">IF($X839="","",O839*N839)</f>
        <v/>
      </c>
      <c r="Q839" s="23" t="str">
        <f aca="false">IF($X839="","",Settings!$C$6)</f>
        <v/>
      </c>
      <c r="R839" s="22" t="str">
        <f aca="false">IF($X839="","",SUMIFS('Per Line'!$Y$2:$Y$4001,'Per Line'!$D$2:$D$4001,$B839,'Per Line'!$AJ$2:$AJ$4001,1))</f>
        <v/>
      </c>
      <c r="S839" s="22" t="str">
        <f aca="false">IF($X839="","",R839*Q839)</f>
        <v/>
      </c>
      <c r="T839" s="22" t="str">
        <f aca="false">IF($X839="","",S839+P839)</f>
        <v/>
      </c>
      <c r="U839" s="22" t="str">
        <f aca="false">IF($X839="","",V839-T839)</f>
        <v/>
      </c>
      <c r="V839" s="22" t="str">
        <f aca="false">IF($X839="","",O839+R839)</f>
        <v/>
      </c>
      <c r="W839" s="22" t="str">
        <f aca="false">IF($X839="","",U839-L839)</f>
        <v/>
      </c>
      <c r="X839" s="24" t="str">
        <f aca="false">IF(ROWS($X$2:$X839)&lt;=MAX('Per Line'!$AI$2:$AI$4001),MATCH(ROWS($X$2:$X839),'Per Line'!$AI$2:$AI$4001,0),"")</f>
        <v/>
      </c>
    </row>
    <row r="840" customFormat="false" ht="15" hidden="false" customHeight="false" outlineLevel="0" collapsed="false">
      <c r="A840" s="19"/>
      <c r="B840" s="20" t="str">
        <f aca="false">IF($X840="","",INDEX('Per Line'!$D$2:$D$4001,$X840))</f>
        <v/>
      </c>
      <c r="C840" s="20" t="str">
        <f aca="false">IF($X840="","",INDEX('Per Line'!$C$2:$C$4001,$X840))</f>
        <v/>
      </c>
      <c r="D840" s="20" t="str">
        <f aca="false">IF($X840="","",INDEX('Per Line'!$A$2:$A$4001,$X840))</f>
        <v/>
      </c>
      <c r="E840" s="21" t="str">
        <f aca="false">IF($X840="","",INDEX('Per Line'!$F$2:$F$4001,$X840))</f>
        <v/>
      </c>
      <c r="F840" s="20" t="str">
        <f aca="false">IF($X840="","",INDEX('Per Line'!$G$2:$G$4001,$X840))</f>
        <v/>
      </c>
      <c r="G840" s="20" t="str">
        <f aca="false">IF($X840="","",INDEX('Per Line'!$I$2:$I$4001,$X840))</f>
        <v/>
      </c>
      <c r="H840" s="20" t="str">
        <f aca="false">IF($X840="","",INDEX('Per Line'!$J$2:$J$4001,$X840))</f>
        <v/>
      </c>
      <c r="I840" s="20" t="str">
        <f aca="false">IF($X840="","",INDEX('Per Line'!$K$2:$K$4001,$X840))</f>
        <v/>
      </c>
      <c r="J840" s="20" t="str">
        <f aca="false">IF($X840="","",INDEX('Per Line'!$L$2:$L$4001,$X840))</f>
        <v/>
      </c>
      <c r="K840" s="20" t="str">
        <f aca="false">IF($X840="","",INDEX('Per Line'!$M$2:$M$4001,$X840))</f>
        <v/>
      </c>
      <c r="L840" s="22" t="str">
        <f aca="false">IF($X840="","",K840*V840/100)</f>
        <v/>
      </c>
      <c r="M840" s="20" t="str">
        <f aca="false">IF($X840="","",INDEX('Per Line'!$Z$2:$Z$4001,$X840))</f>
        <v/>
      </c>
      <c r="N840" s="23" t="str">
        <f aca="false">IF($X840="","",Settings!$C$7)</f>
        <v/>
      </c>
      <c r="O840" s="22" t="str">
        <f aca="false">IF($X840="","",SUMIFS('Per Line'!$Y$2:$Y$4001,'Per Line'!$D$2:$D$4001,$B840,'Per Line'!$AJ$2:$AJ$4001,0))</f>
        <v/>
      </c>
      <c r="P840" s="22" t="str">
        <f aca="false">IF($X840="","",O840*N840)</f>
        <v/>
      </c>
      <c r="Q840" s="23" t="str">
        <f aca="false">IF($X840="","",Settings!$C$6)</f>
        <v/>
      </c>
      <c r="R840" s="22" t="str">
        <f aca="false">IF($X840="","",SUMIFS('Per Line'!$Y$2:$Y$4001,'Per Line'!$D$2:$D$4001,$B840,'Per Line'!$AJ$2:$AJ$4001,1))</f>
        <v/>
      </c>
      <c r="S840" s="22" t="str">
        <f aca="false">IF($X840="","",R840*Q840)</f>
        <v/>
      </c>
      <c r="T840" s="22" t="str">
        <f aca="false">IF($X840="","",S840+P840)</f>
        <v/>
      </c>
      <c r="U840" s="22" t="str">
        <f aca="false">IF($X840="","",V840-T840)</f>
        <v/>
      </c>
      <c r="V840" s="22" t="str">
        <f aca="false">IF($X840="","",O840+R840)</f>
        <v/>
      </c>
      <c r="W840" s="22" t="str">
        <f aca="false">IF($X840="","",U840-L840)</f>
        <v/>
      </c>
      <c r="X840" s="24" t="str">
        <f aca="false">IF(ROWS($X$2:$X840)&lt;=MAX('Per Line'!$AI$2:$AI$4001),MATCH(ROWS($X$2:$X840),'Per Line'!$AI$2:$AI$4001,0),"")</f>
        <v/>
      </c>
    </row>
    <row r="841" customFormat="false" ht="15" hidden="false" customHeight="false" outlineLevel="0" collapsed="false">
      <c r="A841" s="19"/>
      <c r="B841" s="20" t="str">
        <f aca="false">IF($X841="","",INDEX('Per Line'!$D$2:$D$4001,$X841))</f>
        <v/>
      </c>
      <c r="C841" s="20" t="str">
        <f aca="false">IF($X841="","",INDEX('Per Line'!$C$2:$C$4001,$X841))</f>
        <v/>
      </c>
      <c r="D841" s="20" t="str">
        <f aca="false">IF($X841="","",INDEX('Per Line'!$A$2:$A$4001,$X841))</f>
        <v/>
      </c>
      <c r="E841" s="21" t="str">
        <f aca="false">IF($X841="","",INDEX('Per Line'!$F$2:$F$4001,$X841))</f>
        <v/>
      </c>
      <c r="F841" s="20" t="str">
        <f aca="false">IF($X841="","",INDEX('Per Line'!$G$2:$G$4001,$X841))</f>
        <v/>
      </c>
      <c r="G841" s="20" t="str">
        <f aca="false">IF($X841="","",INDEX('Per Line'!$I$2:$I$4001,$X841))</f>
        <v/>
      </c>
      <c r="H841" s="20" t="str">
        <f aca="false">IF($X841="","",INDEX('Per Line'!$J$2:$J$4001,$X841))</f>
        <v/>
      </c>
      <c r="I841" s="20" t="str">
        <f aca="false">IF($X841="","",INDEX('Per Line'!$K$2:$K$4001,$X841))</f>
        <v/>
      </c>
      <c r="J841" s="20" t="str">
        <f aca="false">IF($X841="","",INDEX('Per Line'!$L$2:$L$4001,$X841))</f>
        <v/>
      </c>
      <c r="K841" s="20" t="str">
        <f aca="false">IF($X841="","",INDEX('Per Line'!$M$2:$M$4001,$X841))</f>
        <v/>
      </c>
      <c r="L841" s="22" t="str">
        <f aca="false">IF($X841="","",K841*V841/100)</f>
        <v/>
      </c>
      <c r="M841" s="20" t="str">
        <f aca="false">IF($X841="","",INDEX('Per Line'!$Z$2:$Z$4001,$X841))</f>
        <v/>
      </c>
      <c r="N841" s="23" t="str">
        <f aca="false">IF($X841="","",Settings!$C$7)</f>
        <v/>
      </c>
      <c r="O841" s="22" t="str">
        <f aca="false">IF($X841="","",SUMIFS('Per Line'!$Y$2:$Y$4001,'Per Line'!$D$2:$D$4001,$B841,'Per Line'!$AJ$2:$AJ$4001,0))</f>
        <v/>
      </c>
      <c r="P841" s="22" t="str">
        <f aca="false">IF($X841="","",O841*N841)</f>
        <v/>
      </c>
      <c r="Q841" s="23" t="str">
        <f aca="false">IF($X841="","",Settings!$C$6)</f>
        <v/>
      </c>
      <c r="R841" s="22" t="str">
        <f aca="false">IF($X841="","",SUMIFS('Per Line'!$Y$2:$Y$4001,'Per Line'!$D$2:$D$4001,$B841,'Per Line'!$AJ$2:$AJ$4001,1))</f>
        <v/>
      </c>
      <c r="S841" s="22" t="str">
        <f aca="false">IF($X841="","",R841*Q841)</f>
        <v/>
      </c>
      <c r="T841" s="22" t="str">
        <f aca="false">IF($X841="","",S841+P841)</f>
        <v/>
      </c>
      <c r="U841" s="22" t="str">
        <f aca="false">IF($X841="","",V841-T841)</f>
        <v/>
      </c>
      <c r="V841" s="22" t="str">
        <f aca="false">IF($X841="","",O841+R841)</f>
        <v/>
      </c>
      <c r="W841" s="22" t="str">
        <f aca="false">IF($X841="","",U841-L841)</f>
        <v/>
      </c>
      <c r="X841" s="24" t="str">
        <f aca="false">IF(ROWS($X$2:$X841)&lt;=MAX('Per Line'!$AI$2:$AI$4001),MATCH(ROWS($X$2:$X841),'Per Line'!$AI$2:$AI$4001,0),"")</f>
        <v/>
      </c>
    </row>
    <row r="842" customFormat="false" ht="15" hidden="false" customHeight="false" outlineLevel="0" collapsed="false">
      <c r="A842" s="19"/>
      <c r="B842" s="20" t="str">
        <f aca="false">IF($X842="","",INDEX('Per Line'!$D$2:$D$4001,$X842))</f>
        <v/>
      </c>
      <c r="C842" s="20" t="str">
        <f aca="false">IF($X842="","",INDEX('Per Line'!$C$2:$C$4001,$X842))</f>
        <v/>
      </c>
      <c r="D842" s="20" t="str">
        <f aca="false">IF($X842="","",INDEX('Per Line'!$A$2:$A$4001,$X842))</f>
        <v/>
      </c>
      <c r="E842" s="21" t="str">
        <f aca="false">IF($X842="","",INDEX('Per Line'!$F$2:$F$4001,$X842))</f>
        <v/>
      </c>
      <c r="F842" s="20" t="str">
        <f aca="false">IF($X842="","",INDEX('Per Line'!$G$2:$G$4001,$X842))</f>
        <v/>
      </c>
      <c r="G842" s="20" t="str">
        <f aca="false">IF($X842="","",INDEX('Per Line'!$I$2:$I$4001,$X842))</f>
        <v/>
      </c>
      <c r="H842" s="20" t="str">
        <f aca="false">IF($X842="","",INDEX('Per Line'!$J$2:$J$4001,$X842))</f>
        <v/>
      </c>
      <c r="I842" s="20" t="str">
        <f aca="false">IF($X842="","",INDEX('Per Line'!$K$2:$K$4001,$X842))</f>
        <v/>
      </c>
      <c r="J842" s="20" t="str">
        <f aca="false">IF($X842="","",INDEX('Per Line'!$L$2:$L$4001,$X842))</f>
        <v/>
      </c>
      <c r="K842" s="20" t="str">
        <f aca="false">IF($X842="","",INDEX('Per Line'!$M$2:$M$4001,$X842))</f>
        <v/>
      </c>
      <c r="L842" s="22" t="str">
        <f aca="false">IF($X842="","",K842*V842/100)</f>
        <v/>
      </c>
      <c r="M842" s="20" t="str">
        <f aca="false">IF($X842="","",INDEX('Per Line'!$Z$2:$Z$4001,$X842))</f>
        <v/>
      </c>
      <c r="N842" s="23" t="str">
        <f aca="false">IF($X842="","",Settings!$C$7)</f>
        <v/>
      </c>
      <c r="O842" s="22" t="str">
        <f aca="false">IF($X842="","",SUMIFS('Per Line'!$Y$2:$Y$4001,'Per Line'!$D$2:$D$4001,$B842,'Per Line'!$AJ$2:$AJ$4001,0))</f>
        <v/>
      </c>
      <c r="P842" s="22" t="str">
        <f aca="false">IF($X842="","",O842*N842)</f>
        <v/>
      </c>
      <c r="Q842" s="23" t="str">
        <f aca="false">IF($X842="","",Settings!$C$6)</f>
        <v/>
      </c>
      <c r="R842" s="22" t="str">
        <f aca="false">IF($X842="","",SUMIFS('Per Line'!$Y$2:$Y$4001,'Per Line'!$D$2:$D$4001,$B842,'Per Line'!$AJ$2:$AJ$4001,1))</f>
        <v/>
      </c>
      <c r="S842" s="22" t="str">
        <f aca="false">IF($X842="","",R842*Q842)</f>
        <v/>
      </c>
      <c r="T842" s="22" t="str">
        <f aca="false">IF($X842="","",S842+P842)</f>
        <v/>
      </c>
      <c r="U842" s="22" t="str">
        <f aca="false">IF($X842="","",V842-T842)</f>
        <v/>
      </c>
      <c r="V842" s="22" t="str">
        <f aca="false">IF($X842="","",O842+R842)</f>
        <v/>
      </c>
      <c r="W842" s="22" t="str">
        <f aca="false">IF($X842="","",U842-L842)</f>
        <v/>
      </c>
      <c r="X842" s="24" t="str">
        <f aca="false">IF(ROWS($X$2:$X842)&lt;=MAX('Per Line'!$AI$2:$AI$4001),MATCH(ROWS($X$2:$X842),'Per Line'!$AI$2:$AI$4001,0),"")</f>
        <v/>
      </c>
    </row>
    <row r="843" customFormat="false" ht="15" hidden="false" customHeight="false" outlineLevel="0" collapsed="false">
      <c r="A843" s="19"/>
      <c r="B843" s="20" t="str">
        <f aca="false">IF($X843="","",INDEX('Per Line'!$D$2:$D$4001,$X843))</f>
        <v/>
      </c>
      <c r="C843" s="20" t="str">
        <f aca="false">IF($X843="","",INDEX('Per Line'!$C$2:$C$4001,$X843))</f>
        <v/>
      </c>
      <c r="D843" s="20" t="str">
        <f aca="false">IF($X843="","",INDEX('Per Line'!$A$2:$A$4001,$X843))</f>
        <v/>
      </c>
      <c r="E843" s="21" t="str">
        <f aca="false">IF($X843="","",INDEX('Per Line'!$F$2:$F$4001,$X843))</f>
        <v/>
      </c>
      <c r="F843" s="20" t="str">
        <f aca="false">IF($X843="","",INDEX('Per Line'!$G$2:$G$4001,$X843))</f>
        <v/>
      </c>
      <c r="G843" s="20" t="str">
        <f aca="false">IF($X843="","",INDEX('Per Line'!$I$2:$I$4001,$X843))</f>
        <v/>
      </c>
      <c r="H843" s="20" t="str">
        <f aca="false">IF($X843="","",INDEX('Per Line'!$J$2:$J$4001,$X843))</f>
        <v/>
      </c>
      <c r="I843" s="20" t="str">
        <f aca="false">IF($X843="","",INDEX('Per Line'!$K$2:$K$4001,$X843))</f>
        <v/>
      </c>
      <c r="J843" s="20" t="str">
        <f aca="false">IF($X843="","",INDEX('Per Line'!$L$2:$L$4001,$X843))</f>
        <v/>
      </c>
      <c r="K843" s="20" t="str">
        <f aca="false">IF($X843="","",INDEX('Per Line'!$M$2:$M$4001,$X843))</f>
        <v/>
      </c>
      <c r="L843" s="22" t="str">
        <f aca="false">IF($X843="","",K843*V843/100)</f>
        <v/>
      </c>
      <c r="M843" s="20" t="str">
        <f aca="false">IF($X843="","",INDEX('Per Line'!$Z$2:$Z$4001,$X843))</f>
        <v/>
      </c>
      <c r="N843" s="23" t="str">
        <f aca="false">IF($X843="","",Settings!$C$7)</f>
        <v/>
      </c>
      <c r="O843" s="22" t="str">
        <f aca="false">IF($X843="","",SUMIFS('Per Line'!$Y$2:$Y$4001,'Per Line'!$D$2:$D$4001,$B843,'Per Line'!$AJ$2:$AJ$4001,0))</f>
        <v/>
      </c>
      <c r="P843" s="22" t="str">
        <f aca="false">IF($X843="","",O843*N843)</f>
        <v/>
      </c>
      <c r="Q843" s="23" t="str">
        <f aca="false">IF($X843="","",Settings!$C$6)</f>
        <v/>
      </c>
      <c r="R843" s="22" t="str">
        <f aca="false">IF($X843="","",SUMIFS('Per Line'!$Y$2:$Y$4001,'Per Line'!$D$2:$D$4001,$B843,'Per Line'!$AJ$2:$AJ$4001,1))</f>
        <v/>
      </c>
      <c r="S843" s="22" t="str">
        <f aca="false">IF($X843="","",R843*Q843)</f>
        <v/>
      </c>
      <c r="T843" s="22" t="str">
        <f aca="false">IF($X843="","",S843+P843)</f>
        <v/>
      </c>
      <c r="U843" s="22" t="str">
        <f aca="false">IF($X843="","",V843-T843)</f>
        <v/>
      </c>
      <c r="V843" s="22" t="str">
        <f aca="false">IF($X843="","",O843+R843)</f>
        <v/>
      </c>
      <c r="W843" s="22" t="str">
        <f aca="false">IF($X843="","",U843-L843)</f>
        <v/>
      </c>
      <c r="X843" s="24" t="str">
        <f aca="false">IF(ROWS($X$2:$X843)&lt;=MAX('Per Line'!$AI$2:$AI$4001),MATCH(ROWS($X$2:$X843),'Per Line'!$AI$2:$AI$4001,0),"")</f>
        <v/>
      </c>
    </row>
    <row r="844" customFormat="false" ht="15" hidden="false" customHeight="false" outlineLevel="0" collapsed="false">
      <c r="A844" s="19"/>
      <c r="B844" s="20" t="str">
        <f aca="false">IF($X844="","",INDEX('Per Line'!$D$2:$D$4001,$X844))</f>
        <v/>
      </c>
      <c r="C844" s="20" t="str">
        <f aca="false">IF($X844="","",INDEX('Per Line'!$C$2:$C$4001,$X844))</f>
        <v/>
      </c>
      <c r="D844" s="20" t="str">
        <f aca="false">IF($X844="","",INDEX('Per Line'!$A$2:$A$4001,$X844))</f>
        <v/>
      </c>
      <c r="E844" s="21" t="str">
        <f aca="false">IF($X844="","",INDEX('Per Line'!$F$2:$F$4001,$X844))</f>
        <v/>
      </c>
      <c r="F844" s="20" t="str">
        <f aca="false">IF($X844="","",INDEX('Per Line'!$G$2:$G$4001,$X844))</f>
        <v/>
      </c>
      <c r="G844" s="20" t="str">
        <f aca="false">IF($X844="","",INDEX('Per Line'!$I$2:$I$4001,$X844))</f>
        <v/>
      </c>
      <c r="H844" s="20" t="str">
        <f aca="false">IF($X844="","",INDEX('Per Line'!$J$2:$J$4001,$X844))</f>
        <v/>
      </c>
      <c r="I844" s="20" t="str">
        <f aca="false">IF($X844="","",INDEX('Per Line'!$K$2:$K$4001,$X844))</f>
        <v/>
      </c>
      <c r="J844" s="20" t="str">
        <f aca="false">IF($X844="","",INDEX('Per Line'!$L$2:$L$4001,$X844))</f>
        <v/>
      </c>
      <c r="K844" s="20" t="str">
        <f aca="false">IF($X844="","",INDEX('Per Line'!$M$2:$M$4001,$X844))</f>
        <v/>
      </c>
      <c r="L844" s="22" t="str">
        <f aca="false">IF($X844="","",K844*V844/100)</f>
        <v/>
      </c>
      <c r="M844" s="20" t="str">
        <f aca="false">IF($X844="","",INDEX('Per Line'!$Z$2:$Z$4001,$X844))</f>
        <v/>
      </c>
      <c r="N844" s="23" t="str">
        <f aca="false">IF($X844="","",Settings!$C$7)</f>
        <v/>
      </c>
      <c r="O844" s="22" t="str">
        <f aca="false">IF($X844="","",SUMIFS('Per Line'!$Y$2:$Y$4001,'Per Line'!$D$2:$D$4001,$B844,'Per Line'!$AJ$2:$AJ$4001,0))</f>
        <v/>
      </c>
      <c r="P844" s="22" t="str">
        <f aca="false">IF($X844="","",O844*N844)</f>
        <v/>
      </c>
      <c r="Q844" s="23" t="str">
        <f aca="false">IF($X844="","",Settings!$C$6)</f>
        <v/>
      </c>
      <c r="R844" s="22" t="str">
        <f aca="false">IF($X844="","",SUMIFS('Per Line'!$Y$2:$Y$4001,'Per Line'!$D$2:$D$4001,$B844,'Per Line'!$AJ$2:$AJ$4001,1))</f>
        <v/>
      </c>
      <c r="S844" s="22" t="str">
        <f aca="false">IF($X844="","",R844*Q844)</f>
        <v/>
      </c>
      <c r="T844" s="22" t="str">
        <f aca="false">IF($X844="","",S844+P844)</f>
        <v/>
      </c>
      <c r="U844" s="22" t="str">
        <f aca="false">IF($X844="","",V844-T844)</f>
        <v/>
      </c>
      <c r="V844" s="22" t="str">
        <f aca="false">IF($X844="","",O844+R844)</f>
        <v/>
      </c>
      <c r="W844" s="22" t="str">
        <f aca="false">IF($X844="","",U844-L844)</f>
        <v/>
      </c>
      <c r="X844" s="24" t="str">
        <f aca="false">IF(ROWS($X$2:$X844)&lt;=MAX('Per Line'!$AI$2:$AI$4001),MATCH(ROWS($X$2:$X844),'Per Line'!$AI$2:$AI$4001,0),"")</f>
        <v/>
      </c>
    </row>
    <row r="845" customFormat="false" ht="15" hidden="false" customHeight="false" outlineLevel="0" collapsed="false">
      <c r="A845" s="19"/>
      <c r="B845" s="20" t="str">
        <f aca="false">IF($X845="","",INDEX('Per Line'!$D$2:$D$4001,$X845))</f>
        <v/>
      </c>
      <c r="C845" s="20" t="str">
        <f aca="false">IF($X845="","",INDEX('Per Line'!$C$2:$C$4001,$X845))</f>
        <v/>
      </c>
      <c r="D845" s="20" t="str">
        <f aca="false">IF($X845="","",INDEX('Per Line'!$A$2:$A$4001,$X845))</f>
        <v/>
      </c>
      <c r="E845" s="21" t="str">
        <f aca="false">IF($X845="","",INDEX('Per Line'!$F$2:$F$4001,$X845))</f>
        <v/>
      </c>
      <c r="F845" s="20" t="str">
        <f aca="false">IF($X845="","",INDEX('Per Line'!$G$2:$G$4001,$X845))</f>
        <v/>
      </c>
      <c r="G845" s="20" t="str">
        <f aca="false">IF($X845="","",INDEX('Per Line'!$I$2:$I$4001,$X845))</f>
        <v/>
      </c>
      <c r="H845" s="20" t="str">
        <f aca="false">IF($X845="","",INDEX('Per Line'!$J$2:$J$4001,$X845))</f>
        <v/>
      </c>
      <c r="I845" s="20" t="str">
        <f aca="false">IF($X845="","",INDEX('Per Line'!$K$2:$K$4001,$X845))</f>
        <v/>
      </c>
      <c r="J845" s="20" t="str">
        <f aca="false">IF($X845="","",INDEX('Per Line'!$L$2:$L$4001,$X845))</f>
        <v/>
      </c>
      <c r="K845" s="20" t="str">
        <f aca="false">IF($X845="","",INDEX('Per Line'!$M$2:$M$4001,$X845))</f>
        <v/>
      </c>
      <c r="L845" s="22" t="str">
        <f aca="false">IF($X845="","",K845*V845/100)</f>
        <v/>
      </c>
      <c r="M845" s="20" t="str">
        <f aca="false">IF($X845="","",INDEX('Per Line'!$Z$2:$Z$4001,$X845))</f>
        <v/>
      </c>
      <c r="N845" s="23" t="str">
        <f aca="false">IF($X845="","",Settings!$C$7)</f>
        <v/>
      </c>
      <c r="O845" s="22" t="str">
        <f aca="false">IF($X845="","",SUMIFS('Per Line'!$Y$2:$Y$4001,'Per Line'!$D$2:$D$4001,$B845,'Per Line'!$AJ$2:$AJ$4001,0))</f>
        <v/>
      </c>
      <c r="P845" s="22" t="str">
        <f aca="false">IF($X845="","",O845*N845)</f>
        <v/>
      </c>
      <c r="Q845" s="23" t="str">
        <f aca="false">IF($X845="","",Settings!$C$6)</f>
        <v/>
      </c>
      <c r="R845" s="22" t="str">
        <f aca="false">IF($X845="","",SUMIFS('Per Line'!$Y$2:$Y$4001,'Per Line'!$D$2:$D$4001,$B845,'Per Line'!$AJ$2:$AJ$4001,1))</f>
        <v/>
      </c>
      <c r="S845" s="22" t="str">
        <f aca="false">IF($X845="","",R845*Q845)</f>
        <v/>
      </c>
      <c r="T845" s="22" t="str">
        <f aca="false">IF($X845="","",S845+P845)</f>
        <v/>
      </c>
      <c r="U845" s="22" t="str">
        <f aca="false">IF($X845="","",V845-T845)</f>
        <v/>
      </c>
      <c r="V845" s="22" t="str">
        <f aca="false">IF($X845="","",O845+R845)</f>
        <v/>
      </c>
      <c r="W845" s="22" t="str">
        <f aca="false">IF($X845="","",U845-L845)</f>
        <v/>
      </c>
      <c r="X845" s="24" t="str">
        <f aca="false">IF(ROWS($X$2:$X845)&lt;=MAX('Per Line'!$AI$2:$AI$4001),MATCH(ROWS($X$2:$X845),'Per Line'!$AI$2:$AI$4001,0),"")</f>
        <v/>
      </c>
    </row>
    <row r="846" customFormat="false" ht="15" hidden="false" customHeight="false" outlineLevel="0" collapsed="false">
      <c r="A846" s="19"/>
      <c r="B846" s="20" t="str">
        <f aca="false">IF($X846="","",INDEX('Per Line'!$D$2:$D$4001,$X846))</f>
        <v/>
      </c>
      <c r="C846" s="20" t="str">
        <f aca="false">IF($X846="","",INDEX('Per Line'!$C$2:$C$4001,$X846))</f>
        <v/>
      </c>
      <c r="D846" s="20" t="str">
        <f aca="false">IF($X846="","",INDEX('Per Line'!$A$2:$A$4001,$X846))</f>
        <v/>
      </c>
      <c r="E846" s="21" t="str">
        <f aca="false">IF($X846="","",INDEX('Per Line'!$F$2:$F$4001,$X846))</f>
        <v/>
      </c>
      <c r="F846" s="20" t="str">
        <f aca="false">IF($X846="","",INDEX('Per Line'!$G$2:$G$4001,$X846))</f>
        <v/>
      </c>
      <c r="G846" s="20" t="str">
        <f aca="false">IF($X846="","",INDEX('Per Line'!$I$2:$I$4001,$X846))</f>
        <v/>
      </c>
      <c r="H846" s="20" t="str">
        <f aca="false">IF($X846="","",INDEX('Per Line'!$J$2:$J$4001,$X846))</f>
        <v/>
      </c>
      <c r="I846" s="20" t="str">
        <f aca="false">IF($X846="","",INDEX('Per Line'!$K$2:$K$4001,$X846))</f>
        <v/>
      </c>
      <c r="J846" s="20" t="str">
        <f aca="false">IF($X846="","",INDEX('Per Line'!$L$2:$L$4001,$X846))</f>
        <v/>
      </c>
      <c r="K846" s="20" t="str">
        <f aca="false">IF($X846="","",INDEX('Per Line'!$M$2:$M$4001,$X846))</f>
        <v/>
      </c>
      <c r="L846" s="22" t="str">
        <f aca="false">IF($X846="","",K846*V846/100)</f>
        <v/>
      </c>
      <c r="M846" s="20" t="str">
        <f aca="false">IF($X846="","",INDEX('Per Line'!$Z$2:$Z$4001,$X846))</f>
        <v/>
      </c>
      <c r="N846" s="23" t="str">
        <f aca="false">IF($X846="","",Settings!$C$7)</f>
        <v/>
      </c>
      <c r="O846" s="22" t="str">
        <f aca="false">IF($X846="","",SUMIFS('Per Line'!$Y$2:$Y$4001,'Per Line'!$D$2:$D$4001,$B846,'Per Line'!$AJ$2:$AJ$4001,0))</f>
        <v/>
      </c>
      <c r="P846" s="22" t="str">
        <f aca="false">IF($X846="","",O846*N846)</f>
        <v/>
      </c>
      <c r="Q846" s="23" t="str">
        <f aca="false">IF($X846="","",Settings!$C$6)</f>
        <v/>
      </c>
      <c r="R846" s="22" t="str">
        <f aca="false">IF($X846="","",SUMIFS('Per Line'!$Y$2:$Y$4001,'Per Line'!$D$2:$D$4001,$B846,'Per Line'!$AJ$2:$AJ$4001,1))</f>
        <v/>
      </c>
      <c r="S846" s="22" t="str">
        <f aca="false">IF($X846="","",R846*Q846)</f>
        <v/>
      </c>
      <c r="T846" s="22" t="str">
        <f aca="false">IF($X846="","",S846+P846)</f>
        <v/>
      </c>
      <c r="U846" s="22" t="str">
        <f aca="false">IF($X846="","",V846-T846)</f>
        <v/>
      </c>
      <c r="V846" s="22" t="str">
        <f aca="false">IF($X846="","",O846+R846)</f>
        <v/>
      </c>
      <c r="W846" s="22" t="str">
        <f aca="false">IF($X846="","",U846-L846)</f>
        <v/>
      </c>
      <c r="X846" s="24" t="str">
        <f aca="false">IF(ROWS($X$2:$X846)&lt;=MAX('Per Line'!$AI$2:$AI$4001),MATCH(ROWS($X$2:$X846),'Per Line'!$AI$2:$AI$4001,0),"")</f>
        <v/>
      </c>
    </row>
    <row r="847" customFormat="false" ht="15" hidden="false" customHeight="false" outlineLevel="0" collapsed="false">
      <c r="A847" s="19"/>
      <c r="B847" s="20" t="str">
        <f aca="false">IF($X847="","",INDEX('Per Line'!$D$2:$D$4001,$X847))</f>
        <v/>
      </c>
      <c r="C847" s="20" t="str">
        <f aca="false">IF($X847="","",INDEX('Per Line'!$C$2:$C$4001,$X847))</f>
        <v/>
      </c>
      <c r="D847" s="20" t="str">
        <f aca="false">IF($X847="","",INDEX('Per Line'!$A$2:$A$4001,$X847))</f>
        <v/>
      </c>
      <c r="E847" s="21" t="str">
        <f aca="false">IF($X847="","",INDEX('Per Line'!$F$2:$F$4001,$X847))</f>
        <v/>
      </c>
      <c r="F847" s="20" t="str">
        <f aca="false">IF($X847="","",INDEX('Per Line'!$G$2:$G$4001,$X847))</f>
        <v/>
      </c>
      <c r="G847" s="20" t="str">
        <f aca="false">IF($X847="","",INDEX('Per Line'!$I$2:$I$4001,$X847))</f>
        <v/>
      </c>
      <c r="H847" s="20" t="str">
        <f aca="false">IF($X847="","",INDEX('Per Line'!$J$2:$J$4001,$X847))</f>
        <v/>
      </c>
      <c r="I847" s="20" t="str">
        <f aca="false">IF($X847="","",INDEX('Per Line'!$K$2:$K$4001,$X847))</f>
        <v/>
      </c>
      <c r="J847" s="20" t="str">
        <f aca="false">IF($X847="","",INDEX('Per Line'!$L$2:$L$4001,$X847))</f>
        <v/>
      </c>
      <c r="K847" s="20" t="str">
        <f aca="false">IF($X847="","",INDEX('Per Line'!$M$2:$M$4001,$X847))</f>
        <v/>
      </c>
      <c r="L847" s="22" t="str">
        <f aca="false">IF($X847="","",K847*V847/100)</f>
        <v/>
      </c>
      <c r="M847" s="20" t="str">
        <f aca="false">IF($X847="","",INDEX('Per Line'!$Z$2:$Z$4001,$X847))</f>
        <v/>
      </c>
      <c r="N847" s="23" t="str">
        <f aca="false">IF($X847="","",Settings!$C$7)</f>
        <v/>
      </c>
      <c r="O847" s="22" t="str">
        <f aca="false">IF($X847="","",SUMIFS('Per Line'!$Y$2:$Y$4001,'Per Line'!$D$2:$D$4001,$B847,'Per Line'!$AJ$2:$AJ$4001,0))</f>
        <v/>
      </c>
      <c r="P847" s="22" t="str">
        <f aca="false">IF($X847="","",O847*N847)</f>
        <v/>
      </c>
      <c r="Q847" s="23" t="str">
        <f aca="false">IF($X847="","",Settings!$C$6)</f>
        <v/>
      </c>
      <c r="R847" s="22" t="str">
        <f aca="false">IF($X847="","",SUMIFS('Per Line'!$Y$2:$Y$4001,'Per Line'!$D$2:$D$4001,$B847,'Per Line'!$AJ$2:$AJ$4001,1))</f>
        <v/>
      </c>
      <c r="S847" s="22" t="str">
        <f aca="false">IF($X847="","",R847*Q847)</f>
        <v/>
      </c>
      <c r="T847" s="22" t="str">
        <f aca="false">IF($X847="","",S847+P847)</f>
        <v/>
      </c>
      <c r="U847" s="22" t="str">
        <f aca="false">IF($X847="","",V847-T847)</f>
        <v/>
      </c>
      <c r="V847" s="22" t="str">
        <f aca="false">IF($X847="","",O847+R847)</f>
        <v/>
      </c>
      <c r="W847" s="22" t="str">
        <f aca="false">IF($X847="","",U847-L847)</f>
        <v/>
      </c>
      <c r="X847" s="24" t="str">
        <f aca="false">IF(ROWS($X$2:$X847)&lt;=MAX('Per Line'!$AI$2:$AI$4001),MATCH(ROWS($X$2:$X847),'Per Line'!$AI$2:$AI$4001,0),"")</f>
        <v/>
      </c>
    </row>
    <row r="848" customFormat="false" ht="15" hidden="false" customHeight="false" outlineLevel="0" collapsed="false">
      <c r="A848" s="19"/>
      <c r="B848" s="20" t="str">
        <f aca="false">IF($X848="","",INDEX('Per Line'!$D$2:$D$4001,$X848))</f>
        <v/>
      </c>
      <c r="C848" s="20" t="str">
        <f aca="false">IF($X848="","",INDEX('Per Line'!$C$2:$C$4001,$X848))</f>
        <v/>
      </c>
      <c r="D848" s="20" t="str">
        <f aca="false">IF($X848="","",INDEX('Per Line'!$A$2:$A$4001,$X848))</f>
        <v/>
      </c>
      <c r="E848" s="21" t="str">
        <f aca="false">IF($X848="","",INDEX('Per Line'!$F$2:$F$4001,$X848))</f>
        <v/>
      </c>
      <c r="F848" s="20" t="str">
        <f aca="false">IF($X848="","",INDEX('Per Line'!$G$2:$G$4001,$X848))</f>
        <v/>
      </c>
      <c r="G848" s="20" t="str">
        <f aca="false">IF($X848="","",INDEX('Per Line'!$I$2:$I$4001,$X848))</f>
        <v/>
      </c>
      <c r="H848" s="20" t="str">
        <f aca="false">IF($X848="","",INDEX('Per Line'!$J$2:$J$4001,$X848))</f>
        <v/>
      </c>
      <c r="I848" s="20" t="str">
        <f aca="false">IF($X848="","",INDEX('Per Line'!$K$2:$K$4001,$X848))</f>
        <v/>
      </c>
      <c r="J848" s="20" t="str">
        <f aca="false">IF($X848="","",INDEX('Per Line'!$L$2:$L$4001,$X848))</f>
        <v/>
      </c>
      <c r="K848" s="20" t="str">
        <f aca="false">IF($X848="","",INDEX('Per Line'!$M$2:$M$4001,$X848))</f>
        <v/>
      </c>
      <c r="L848" s="22" t="str">
        <f aca="false">IF($X848="","",K848*V848/100)</f>
        <v/>
      </c>
      <c r="M848" s="20" t="str">
        <f aca="false">IF($X848="","",INDEX('Per Line'!$Z$2:$Z$4001,$X848))</f>
        <v/>
      </c>
      <c r="N848" s="23" t="str">
        <f aca="false">IF($X848="","",Settings!$C$7)</f>
        <v/>
      </c>
      <c r="O848" s="22" t="str">
        <f aca="false">IF($X848="","",SUMIFS('Per Line'!$Y$2:$Y$4001,'Per Line'!$D$2:$D$4001,$B848,'Per Line'!$AJ$2:$AJ$4001,0))</f>
        <v/>
      </c>
      <c r="P848" s="22" t="str">
        <f aca="false">IF($X848="","",O848*N848)</f>
        <v/>
      </c>
      <c r="Q848" s="23" t="str">
        <f aca="false">IF($X848="","",Settings!$C$6)</f>
        <v/>
      </c>
      <c r="R848" s="22" t="str">
        <f aca="false">IF($X848="","",SUMIFS('Per Line'!$Y$2:$Y$4001,'Per Line'!$D$2:$D$4001,$B848,'Per Line'!$AJ$2:$AJ$4001,1))</f>
        <v/>
      </c>
      <c r="S848" s="22" t="str">
        <f aca="false">IF($X848="","",R848*Q848)</f>
        <v/>
      </c>
      <c r="T848" s="22" t="str">
        <f aca="false">IF($X848="","",S848+P848)</f>
        <v/>
      </c>
      <c r="U848" s="22" t="str">
        <f aca="false">IF($X848="","",V848-T848)</f>
        <v/>
      </c>
      <c r="V848" s="22" t="str">
        <f aca="false">IF($X848="","",O848+R848)</f>
        <v/>
      </c>
      <c r="W848" s="22" t="str">
        <f aca="false">IF($X848="","",U848-L848)</f>
        <v/>
      </c>
      <c r="X848" s="24" t="str">
        <f aca="false">IF(ROWS($X$2:$X848)&lt;=MAX('Per Line'!$AI$2:$AI$4001),MATCH(ROWS($X$2:$X848),'Per Line'!$AI$2:$AI$4001,0),"")</f>
        <v/>
      </c>
    </row>
    <row r="849" customFormat="false" ht="15" hidden="false" customHeight="false" outlineLevel="0" collapsed="false">
      <c r="A849" s="19"/>
      <c r="B849" s="20" t="str">
        <f aca="false">IF($X849="","",INDEX('Per Line'!$D$2:$D$4001,$X849))</f>
        <v/>
      </c>
      <c r="C849" s="20" t="str">
        <f aca="false">IF($X849="","",INDEX('Per Line'!$C$2:$C$4001,$X849))</f>
        <v/>
      </c>
      <c r="D849" s="20" t="str">
        <f aca="false">IF($X849="","",INDEX('Per Line'!$A$2:$A$4001,$X849))</f>
        <v/>
      </c>
      <c r="E849" s="21" t="str">
        <f aca="false">IF($X849="","",INDEX('Per Line'!$F$2:$F$4001,$X849))</f>
        <v/>
      </c>
      <c r="F849" s="20" t="str">
        <f aca="false">IF($X849="","",INDEX('Per Line'!$G$2:$G$4001,$X849))</f>
        <v/>
      </c>
      <c r="G849" s="20" t="str">
        <f aca="false">IF($X849="","",INDEX('Per Line'!$I$2:$I$4001,$X849))</f>
        <v/>
      </c>
      <c r="H849" s="20" t="str">
        <f aca="false">IF($X849="","",INDEX('Per Line'!$J$2:$J$4001,$X849))</f>
        <v/>
      </c>
      <c r="I849" s="20" t="str">
        <f aca="false">IF($X849="","",INDEX('Per Line'!$K$2:$K$4001,$X849))</f>
        <v/>
      </c>
      <c r="J849" s="20" t="str">
        <f aca="false">IF($X849="","",INDEX('Per Line'!$L$2:$L$4001,$X849))</f>
        <v/>
      </c>
      <c r="K849" s="20" t="str">
        <f aca="false">IF($X849="","",INDEX('Per Line'!$M$2:$M$4001,$X849))</f>
        <v/>
      </c>
      <c r="L849" s="22" t="str">
        <f aca="false">IF($X849="","",K849*V849/100)</f>
        <v/>
      </c>
      <c r="M849" s="20" t="str">
        <f aca="false">IF($X849="","",INDEX('Per Line'!$Z$2:$Z$4001,$X849))</f>
        <v/>
      </c>
      <c r="N849" s="23" t="str">
        <f aca="false">IF($X849="","",Settings!$C$7)</f>
        <v/>
      </c>
      <c r="O849" s="22" t="str">
        <f aca="false">IF($X849="","",SUMIFS('Per Line'!$Y$2:$Y$4001,'Per Line'!$D$2:$D$4001,$B849,'Per Line'!$AJ$2:$AJ$4001,0))</f>
        <v/>
      </c>
      <c r="P849" s="22" t="str">
        <f aca="false">IF($X849="","",O849*N849)</f>
        <v/>
      </c>
      <c r="Q849" s="23" t="str">
        <f aca="false">IF($X849="","",Settings!$C$6)</f>
        <v/>
      </c>
      <c r="R849" s="22" t="str">
        <f aca="false">IF($X849="","",SUMIFS('Per Line'!$Y$2:$Y$4001,'Per Line'!$D$2:$D$4001,$B849,'Per Line'!$AJ$2:$AJ$4001,1))</f>
        <v/>
      </c>
      <c r="S849" s="22" t="str">
        <f aca="false">IF($X849="","",R849*Q849)</f>
        <v/>
      </c>
      <c r="T849" s="22" t="str">
        <f aca="false">IF($X849="","",S849+P849)</f>
        <v/>
      </c>
      <c r="U849" s="22" t="str">
        <f aca="false">IF($X849="","",V849-T849)</f>
        <v/>
      </c>
      <c r="V849" s="22" t="str">
        <f aca="false">IF($X849="","",O849+R849)</f>
        <v/>
      </c>
      <c r="W849" s="22" t="str">
        <f aca="false">IF($X849="","",U849-L849)</f>
        <v/>
      </c>
      <c r="X849" s="24" t="str">
        <f aca="false">IF(ROWS($X$2:$X849)&lt;=MAX('Per Line'!$AI$2:$AI$4001),MATCH(ROWS($X$2:$X849),'Per Line'!$AI$2:$AI$4001,0),"")</f>
        <v/>
      </c>
    </row>
    <row r="850" customFormat="false" ht="15" hidden="false" customHeight="false" outlineLevel="0" collapsed="false">
      <c r="A850" s="19"/>
      <c r="B850" s="20" t="str">
        <f aca="false">IF($X850="","",INDEX('Per Line'!$D$2:$D$4001,$X850))</f>
        <v/>
      </c>
      <c r="C850" s="20" t="str">
        <f aca="false">IF($X850="","",INDEX('Per Line'!$C$2:$C$4001,$X850))</f>
        <v/>
      </c>
      <c r="D850" s="20" t="str">
        <f aca="false">IF($X850="","",INDEX('Per Line'!$A$2:$A$4001,$X850))</f>
        <v/>
      </c>
      <c r="E850" s="21" t="str">
        <f aca="false">IF($X850="","",INDEX('Per Line'!$F$2:$F$4001,$X850))</f>
        <v/>
      </c>
      <c r="F850" s="20" t="str">
        <f aca="false">IF($X850="","",INDEX('Per Line'!$G$2:$G$4001,$X850))</f>
        <v/>
      </c>
      <c r="G850" s="20" t="str">
        <f aca="false">IF($X850="","",INDEX('Per Line'!$I$2:$I$4001,$X850))</f>
        <v/>
      </c>
      <c r="H850" s="20" t="str">
        <f aca="false">IF($X850="","",INDEX('Per Line'!$J$2:$J$4001,$X850))</f>
        <v/>
      </c>
      <c r="I850" s="20" t="str">
        <f aca="false">IF($X850="","",INDEX('Per Line'!$K$2:$K$4001,$X850))</f>
        <v/>
      </c>
      <c r="J850" s="20" t="str">
        <f aca="false">IF($X850="","",INDEX('Per Line'!$L$2:$L$4001,$X850))</f>
        <v/>
      </c>
      <c r="K850" s="20" t="str">
        <f aca="false">IF($X850="","",INDEX('Per Line'!$M$2:$M$4001,$X850))</f>
        <v/>
      </c>
      <c r="L850" s="22" t="str">
        <f aca="false">IF($X850="","",K850*V850/100)</f>
        <v/>
      </c>
      <c r="M850" s="20" t="str">
        <f aca="false">IF($X850="","",INDEX('Per Line'!$Z$2:$Z$4001,$X850))</f>
        <v/>
      </c>
      <c r="N850" s="23" t="str">
        <f aca="false">IF($X850="","",Settings!$C$7)</f>
        <v/>
      </c>
      <c r="O850" s="22" t="str">
        <f aca="false">IF($X850="","",SUMIFS('Per Line'!$Y$2:$Y$4001,'Per Line'!$D$2:$D$4001,$B850,'Per Line'!$AJ$2:$AJ$4001,0))</f>
        <v/>
      </c>
      <c r="P850" s="22" t="str">
        <f aca="false">IF($X850="","",O850*N850)</f>
        <v/>
      </c>
      <c r="Q850" s="23" t="str">
        <f aca="false">IF($X850="","",Settings!$C$6)</f>
        <v/>
      </c>
      <c r="R850" s="22" t="str">
        <f aca="false">IF($X850="","",SUMIFS('Per Line'!$Y$2:$Y$4001,'Per Line'!$D$2:$D$4001,$B850,'Per Line'!$AJ$2:$AJ$4001,1))</f>
        <v/>
      </c>
      <c r="S850" s="22" t="str">
        <f aca="false">IF($X850="","",R850*Q850)</f>
        <v/>
      </c>
      <c r="T850" s="22" t="str">
        <f aca="false">IF($X850="","",S850+P850)</f>
        <v/>
      </c>
      <c r="U850" s="22" t="str">
        <f aca="false">IF($X850="","",V850-T850)</f>
        <v/>
      </c>
      <c r="V850" s="22" t="str">
        <f aca="false">IF($X850="","",O850+R850)</f>
        <v/>
      </c>
      <c r="W850" s="22" t="str">
        <f aca="false">IF($X850="","",U850-L850)</f>
        <v/>
      </c>
      <c r="X850" s="24" t="str">
        <f aca="false">IF(ROWS($X$2:$X850)&lt;=MAX('Per Line'!$AI$2:$AI$4001),MATCH(ROWS($X$2:$X850),'Per Line'!$AI$2:$AI$4001,0),"")</f>
        <v/>
      </c>
    </row>
    <row r="851" customFormat="false" ht="15" hidden="false" customHeight="false" outlineLevel="0" collapsed="false">
      <c r="A851" s="19"/>
      <c r="B851" s="20" t="str">
        <f aca="false">IF($X851="","",INDEX('Per Line'!$D$2:$D$4001,$X851))</f>
        <v/>
      </c>
      <c r="C851" s="20" t="str">
        <f aca="false">IF($X851="","",INDEX('Per Line'!$C$2:$C$4001,$X851))</f>
        <v/>
      </c>
      <c r="D851" s="20" t="str">
        <f aca="false">IF($X851="","",INDEX('Per Line'!$A$2:$A$4001,$X851))</f>
        <v/>
      </c>
      <c r="E851" s="21" t="str">
        <f aca="false">IF($X851="","",INDEX('Per Line'!$F$2:$F$4001,$X851))</f>
        <v/>
      </c>
      <c r="F851" s="20" t="str">
        <f aca="false">IF($X851="","",INDEX('Per Line'!$G$2:$G$4001,$X851))</f>
        <v/>
      </c>
      <c r="G851" s="20" t="str">
        <f aca="false">IF($X851="","",INDEX('Per Line'!$I$2:$I$4001,$X851))</f>
        <v/>
      </c>
      <c r="H851" s="20" t="str">
        <f aca="false">IF($X851="","",INDEX('Per Line'!$J$2:$J$4001,$X851))</f>
        <v/>
      </c>
      <c r="I851" s="20" t="str">
        <f aca="false">IF($X851="","",INDEX('Per Line'!$K$2:$K$4001,$X851))</f>
        <v/>
      </c>
      <c r="J851" s="20" t="str">
        <f aca="false">IF($X851="","",INDEX('Per Line'!$L$2:$L$4001,$X851))</f>
        <v/>
      </c>
      <c r="K851" s="20" t="str">
        <f aca="false">IF($X851="","",INDEX('Per Line'!$M$2:$M$4001,$X851))</f>
        <v/>
      </c>
      <c r="L851" s="22" t="str">
        <f aca="false">IF($X851="","",K851*V851/100)</f>
        <v/>
      </c>
      <c r="M851" s="20" t="str">
        <f aca="false">IF($X851="","",INDEX('Per Line'!$Z$2:$Z$4001,$X851))</f>
        <v/>
      </c>
      <c r="N851" s="23" t="str">
        <f aca="false">IF($X851="","",Settings!$C$7)</f>
        <v/>
      </c>
      <c r="O851" s="22" t="str">
        <f aca="false">IF($X851="","",SUMIFS('Per Line'!$Y$2:$Y$4001,'Per Line'!$D$2:$D$4001,$B851,'Per Line'!$AJ$2:$AJ$4001,0))</f>
        <v/>
      </c>
      <c r="P851" s="22" t="str">
        <f aca="false">IF($X851="","",O851*N851)</f>
        <v/>
      </c>
      <c r="Q851" s="23" t="str">
        <f aca="false">IF($X851="","",Settings!$C$6)</f>
        <v/>
      </c>
      <c r="R851" s="22" t="str">
        <f aca="false">IF($X851="","",SUMIFS('Per Line'!$Y$2:$Y$4001,'Per Line'!$D$2:$D$4001,$B851,'Per Line'!$AJ$2:$AJ$4001,1))</f>
        <v/>
      </c>
      <c r="S851" s="22" t="str">
        <f aca="false">IF($X851="","",R851*Q851)</f>
        <v/>
      </c>
      <c r="T851" s="22" t="str">
        <f aca="false">IF($X851="","",S851+P851)</f>
        <v/>
      </c>
      <c r="U851" s="22" t="str">
        <f aca="false">IF($X851="","",V851-T851)</f>
        <v/>
      </c>
      <c r="V851" s="22" t="str">
        <f aca="false">IF($X851="","",O851+R851)</f>
        <v/>
      </c>
      <c r="W851" s="22" t="str">
        <f aca="false">IF($X851="","",U851-L851)</f>
        <v/>
      </c>
      <c r="X851" s="24" t="str">
        <f aca="false">IF(ROWS($X$2:$X851)&lt;=MAX('Per Line'!$AI$2:$AI$4001),MATCH(ROWS($X$2:$X851),'Per Line'!$AI$2:$AI$4001,0),"")</f>
        <v/>
      </c>
    </row>
    <row r="852" customFormat="false" ht="15" hidden="false" customHeight="false" outlineLevel="0" collapsed="false">
      <c r="A852" s="19"/>
      <c r="B852" s="20" t="str">
        <f aca="false">IF($X852="","",INDEX('Per Line'!$D$2:$D$4001,$X852))</f>
        <v/>
      </c>
      <c r="C852" s="20" t="str">
        <f aca="false">IF($X852="","",INDEX('Per Line'!$C$2:$C$4001,$X852))</f>
        <v/>
      </c>
      <c r="D852" s="20" t="str">
        <f aca="false">IF($X852="","",INDEX('Per Line'!$A$2:$A$4001,$X852))</f>
        <v/>
      </c>
      <c r="E852" s="21" t="str">
        <f aca="false">IF($X852="","",INDEX('Per Line'!$F$2:$F$4001,$X852))</f>
        <v/>
      </c>
      <c r="F852" s="20" t="str">
        <f aca="false">IF($X852="","",INDEX('Per Line'!$G$2:$G$4001,$X852))</f>
        <v/>
      </c>
      <c r="G852" s="20" t="str">
        <f aca="false">IF($X852="","",INDEX('Per Line'!$I$2:$I$4001,$X852))</f>
        <v/>
      </c>
      <c r="H852" s="20" t="str">
        <f aca="false">IF($X852="","",INDEX('Per Line'!$J$2:$J$4001,$X852))</f>
        <v/>
      </c>
      <c r="I852" s="20" t="str">
        <f aca="false">IF($X852="","",INDEX('Per Line'!$K$2:$K$4001,$X852))</f>
        <v/>
      </c>
      <c r="J852" s="20" t="str">
        <f aca="false">IF($X852="","",INDEX('Per Line'!$L$2:$L$4001,$X852))</f>
        <v/>
      </c>
      <c r="K852" s="20" t="str">
        <f aca="false">IF($X852="","",INDEX('Per Line'!$M$2:$M$4001,$X852))</f>
        <v/>
      </c>
      <c r="L852" s="22" t="str">
        <f aca="false">IF($X852="","",K852*V852/100)</f>
        <v/>
      </c>
      <c r="M852" s="20" t="str">
        <f aca="false">IF($X852="","",INDEX('Per Line'!$Z$2:$Z$4001,$X852))</f>
        <v/>
      </c>
      <c r="N852" s="23" t="str">
        <f aca="false">IF($X852="","",Settings!$C$7)</f>
        <v/>
      </c>
      <c r="O852" s="22" t="str">
        <f aca="false">IF($X852="","",SUMIFS('Per Line'!$Y$2:$Y$4001,'Per Line'!$D$2:$D$4001,$B852,'Per Line'!$AJ$2:$AJ$4001,0))</f>
        <v/>
      </c>
      <c r="P852" s="22" t="str">
        <f aca="false">IF($X852="","",O852*N852)</f>
        <v/>
      </c>
      <c r="Q852" s="23" t="str">
        <f aca="false">IF($X852="","",Settings!$C$6)</f>
        <v/>
      </c>
      <c r="R852" s="22" t="str">
        <f aca="false">IF($X852="","",SUMIFS('Per Line'!$Y$2:$Y$4001,'Per Line'!$D$2:$D$4001,$B852,'Per Line'!$AJ$2:$AJ$4001,1))</f>
        <v/>
      </c>
      <c r="S852" s="22" t="str">
        <f aca="false">IF($X852="","",R852*Q852)</f>
        <v/>
      </c>
      <c r="T852" s="22" t="str">
        <f aca="false">IF($X852="","",S852+P852)</f>
        <v/>
      </c>
      <c r="U852" s="22" t="str">
        <f aca="false">IF($X852="","",V852-T852)</f>
        <v/>
      </c>
      <c r="V852" s="22" t="str">
        <f aca="false">IF($X852="","",O852+R852)</f>
        <v/>
      </c>
      <c r="W852" s="22" t="str">
        <f aca="false">IF($X852="","",U852-L852)</f>
        <v/>
      </c>
      <c r="X852" s="24" t="str">
        <f aca="false">IF(ROWS($X$2:$X852)&lt;=MAX('Per Line'!$AI$2:$AI$4001),MATCH(ROWS($X$2:$X852),'Per Line'!$AI$2:$AI$4001,0),"")</f>
        <v/>
      </c>
    </row>
    <row r="853" customFormat="false" ht="15" hidden="false" customHeight="false" outlineLevel="0" collapsed="false">
      <c r="A853" s="19"/>
      <c r="B853" s="20" t="str">
        <f aca="false">IF($X853="","",INDEX('Per Line'!$D$2:$D$4001,$X853))</f>
        <v/>
      </c>
      <c r="C853" s="20" t="str">
        <f aca="false">IF($X853="","",INDEX('Per Line'!$C$2:$C$4001,$X853))</f>
        <v/>
      </c>
      <c r="D853" s="20" t="str">
        <f aca="false">IF($X853="","",INDEX('Per Line'!$A$2:$A$4001,$X853))</f>
        <v/>
      </c>
      <c r="E853" s="21" t="str">
        <f aca="false">IF($X853="","",INDEX('Per Line'!$F$2:$F$4001,$X853))</f>
        <v/>
      </c>
      <c r="F853" s="20" t="str">
        <f aca="false">IF($X853="","",INDEX('Per Line'!$G$2:$G$4001,$X853))</f>
        <v/>
      </c>
      <c r="G853" s="20" t="str">
        <f aca="false">IF($X853="","",INDEX('Per Line'!$I$2:$I$4001,$X853))</f>
        <v/>
      </c>
      <c r="H853" s="20" t="str">
        <f aca="false">IF($X853="","",INDEX('Per Line'!$J$2:$J$4001,$X853))</f>
        <v/>
      </c>
      <c r="I853" s="20" t="str">
        <f aca="false">IF($X853="","",INDEX('Per Line'!$K$2:$K$4001,$X853))</f>
        <v/>
      </c>
      <c r="J853" s="20" t="str">
        <f aca="false">IF($X853="","",INDEX('Per Line'!$L$2:$L$4001,$X853))</f>
        <v/>
      </c>
      <c r="K853" s="20" t="str">
        <f aca="false">IF($X853="","",INDEX('Per Line'!$M$2:$M$4001,$X853))</f>
        <v/>
      </c>
      <c r="L853" s="22" t="str">
        <f aca="false">IF($X853="","",K853*V853/100)</f>
        <v/>
      </c>
      <c r="M853" s="20" t="str">
        <f aca="false">IF($X853="","",INDEX('Per Line'!$Z$2:$Z$4001,$X853))</f>
        <v/>
      </c>
      <c r="N853" s="23" t="str">
        <f aca="false">IF($X853="","",Settings!$C$7)</f>
        <v/>
      </c>
      <c r="O853" s="22" t="str">
        <f aca="false">IF($X853="","",SUMIFS('Per Line'!$Y$2:$Y$4001,'Per Line'!$D$2:$D$4001,$B853,'Per Line'!$AJ$2:$AJ$4001,0))</f>
        <v/>
      </c>
      <c r="P853" s="22" t="str">
        <f aca="false">IF($X853="","",O853*N853)</f>
        <v/>
      </c>
      <c r="Q853" s="23" t="str">
        <f aca="false">IF($X853="","",Settings!$C$6)</f>
        <v/>
      </c>
      <c r="R853" s="22" t="str">
        <f aca="false">IF($X853="","",SUMIFS('Per Line'!$Y$2:$Y$4001,'Per Line'!$D$2:$D$4001,$B853,'Per Line'!$AJ$2:$AJ$4001,1))</f>
        <v/>
      </c>
      <c r="S853" s="22" t="str">
        <f aca="false">IF($X853="","",R853*Q853)</f>
        <v/>
      </c>
      <c r="T853" s="22" t="str">
        <f aca="false">IF($X853="","",S853+P853)</f>
        <v/>
      </c>
      <c r="U853" s="22" t="str">
        <f aca="false">IF($X853="","",V853-T853)</f>
        <v/>
      </c>
      <c r="V853" s="22" t="str">
        <f aca="false">IF($X853="","",O853+R853)</f>
        <v/>
      </c>
      <c r="W853" s="22" t="str">
        <f aca="false">IF($X853="","",U853-L853)</f>
        <v/>
      </c>
      <c r="X853" s="24" t="str">
        <f aca="false">IF(ROWS($X$2:$X853)&lt;=MAX('Per Line'!$AI$2:$AI$4001),MATCH(ROWS($X$2:$X853),'Per Line'!$AI$2:$AI$4001,0),"")</f>
        <v/>
      </c>
    </row>
    <row r="854" customFormat="false" ht="15" hidden="false" customHeight="false" outlineLevel="0" collapsed="false">
      <c r="A854" s="19"/>
      <c r="B854" s="20" t="str">
        <f aca="false">IF($X854="","",INDEX('Per Line'!$D$2:$D$4001,$X854))</f>
        <v/>
      </c>
      <c r="C854" s="20" t="str">
        <f aca="false">IF($X854="","",INDEX('Per Line'!$C$2:$C$4001,$X854))</f>
        <v/>
      </c>
      <c r="D854" s="20" t="str">
        <f aca="false">IF($X854="","",INDEX('Per Line'!$A$2:$A$4001,$X854))</f>
        <v/>
      </c>
      <c r="E854" s="21" t="str">
        <f aca="false">IF($X854="","",INDEX('Per Line'!$F$2:$F$4001,$X854))</f>
        <v/>
      </c>
      <c r="F854" s="20" t="str">
        <f aca="false">IF($X854="","",INDEX('Per Line'!$G$2:$G$4001,$X854))</f>
        <v/>
      </c>
      <c r="G854" s="20" t="str">
        <f aca="false">IF($X854="","",INDEX('Per Line'!$I$2:$I$4001,$X854))</f>
        <v/>
      </c>
      <c r="H854" s="20" t="str">
        <f aca="false">IF($X854="","",INDEX('Per Line'!$J$2:$J$4001,$X854))</f>
        <v/>
      </c>
      <c r="I854" s="20" t="str">
        <f aca="false">IF($X854="","",INDEX('Per Line'!$K$2:$K$4001,$X854))</f>
        <v/>
      </c>
      <c r="J854" s="20" t="str">
        <f aca="false">IF($X854="","",INDEX('Per Line'!$L$2:$L$4001,$X854))</f>
        <v/>
      </c>
      <c r="K854" s="20" t="str">
        <f aca="false">IF($X854="","",INDEX('Per Line'!$M$2:$M$4001,$X854))</f>
        <v/>
      </c>
      <c r="L854" s="22" t="str">
        <f aca="false">IF($X854="","",K854*V854/100)</f>
        <v/>
      </c>
      <c r="M854" s="20" t="str">
        <f aca="false">IF($X854="","",INDEX('Per Line'!$Z$2:$Z$4001,$X854))</f>
        <v/>
      </c>
      <c r="N854" s="23" t="str">
        <f aca="false">IF($X854="","",Settings!$C$7)</f>
        <v/>
      </c>
      <c r="O854" s="22" t="str">
        <f aca="false">IF($X854="","",SUMIFS('Per Line'!$Y$2:$Y$4001,'Per Line'!$D$2:$D$4001,$B854,'Per Line'!$AJ$2:$AJ$4001,0))</f>
        <v/>
      </c>
      <c r="P854" s="22" t="str">
        <f aca="false">IF($X854="","",O854*N854)</f>
        <v/>
      </c>
      <c r="Q854" s="23" t="str">
        <f aca="false">IF($X854="","",Settings!$C$6)</f>
        <v/>
      </c>
      <c r="R854" s="22" t="str">
        <f aca="false">IF($X854="","",SUMIFS('Per Line'!$Y$2:$Y$4001,'Per Line'!$D$2:$D$4001,$B854,'Per Line'!$AJ$2:$AJ$4001,1))</f>
        <v/>
      </c>
      <c r="S854" s="22" t="str">
        <f aca="false">IF($X854="","",R854*Q854)</f>
        <v/>
      </c>
      <c r="T854" s="22" t="str">
        <f aca="false">IF($X854="","",S854+P854)</f>
        <v/>
      </c>
      <c r="U854" s="22" t="str">
        <f aca="false">IF($X854="","",V854-T854)</f>
        <v/>
      </c>
      <c r="V854" s="22" t="str">
        <f aca="false">IF($X854="","",O854+R854)</f>
        <v/>
      </c>
      <c r="W854" s="22" t="str">
        <f aca="false">IF($X854="","",U854-L854)</f>
        <v/>
      </c>
      <c r="X854" s="24" t="str">
        <f aca="false">IF(ROWS($X$2:$X854)&lt;=MAX('Per Line'!$AI$2:$AI$4001),MATCH(ROWS($X$2:$X854),'Per Line'!$AI$2:$AI$4001,0),"")</f>
        <v/>
      </c>
    </row>
    <row r="855" customFormat="false" ht="15" hidden="false" customHeight="false" outlineLevel="0" collapsed="false">
      <c r="A855" s="19"/>
      <c r="B855" s="20" t="str">
        <f aca="false">IF($X855="","",INDEX('Per Line'!$D$2:$D$4001,$X855))</f>
        <v/>
      </c>
      <c r="C855" s="20" t="str">
        <f aca="false">IF($X855="","",INDEX('Per Line'!$C$2:$C$4001,$X855))</f>
        <v/>
      </c>
      <c r="D855" s="20" t="str">
        <f aca="false">IF($X855="","",INDEX('Per Line'!$A$2:$A$4001,$X855))</f>
        <v/>
      </c>
      <c r="E855" s="21" t="str">
        <f aca="false">IF($X855="","",INDEX('Per Line'!$F$2:$F$4001,$X855))</f>
        <v/>
      </c>
      <c r="F855" s="20" t="str">
        <f aca="false">IF($X855="","",INDEX('Per Line'!$G$2:$G$4001,$X855))</f>
        <v/>
      </c>
      <c r="G855" s="20" t="str">
        <f aca="false">IF($X855="","",INDEX('Per Line'!$I$2:$I$4001,$X855))</f>
        <v/>
      </c>
      <c r="H855" s="20" t="str">
        <f aca="false">IF($X855="","",INDEX('Per Line'!$J$2:$J$4001,$X855))</f>
        <v/>
      </c>
      <c r="I855" s="20" t="str">
        <f aca="false">IF($X855="","",INDEX('Per Line'!$K$2:$K$4001,$X855))</f>
        <v/>
      </c>
      <c r="J855" s="20" t="str">
        <f aca="false">IF($X855="","",INDEX('Per Line'!$L$2:$L$4001,$X855))</f>
        <v/>
      </c>
      <c r="K855" s="20" t="str">
        <f aca="false">IF($X855="","",INDEX('Per Line'!$M$2:$M$4001,$X855))</f>
        <v/>
      </c>
      <c r="L855" s="22" t="str">
        <f aca="false">IF($X855="","",K855*V855/100)</f>
        <v/>
      </c>
      <c r="M855" s="20" t="str">
        <f aca="false">IF($X855="","",INDEX('Per Line'!$Z$2:$Z$4001,$X855))</f>
        <v/>
      </c>
      <c r="N855" s="23" t="str">
        <f aca="false">IF($X855="","",Settings!$C$7)</f>
        <v/>
      </c>
      <c r="O855" s="22" t="str">
        <f aca="false">IF($X855="","",SUMIFS('Per Line'!$Y$2:$Y$4001,'Per Line'!$D$2:$D$4001,$B855,'Per Line'!$AJ$2:$AJ$4001,0))</f>
        <v/>
      </c>
      <c r="P855" s="22" t="str">
        <f aca="false">IF($X855="","",O855*N855)</f>
        <v/>
      </c>
      <c r="Q855" s="23" t="str">
        <f aca="false">IF($X855="","",Settings!$C$6)</f>
        <v/>
      </c>
      <c r="R855" s="22" t="str">
        <f aca="false">IF($X855="","",SUMIFS('Per Line'!$Y$2:$Y$4001,'Per Line'!$D$2:$D$4001,$B855,'Per Line'!$AJ$2:$AJ$4001,1))</f>
        <v/>
      </c>
      <c r="S855" s="22" t="str">
        <f aca="false">IF($X855="","",R855*Q855)</f>
        <v/>
      </c>
      <c r="T855" s="22" t="str">
        <f aca="false">IF($X855="","",S855+P855)</f>
        <v/>
      </c>
      <c r="U855" s="22" t="str">
        <f aca="false">IF($X855="","",V855-T855)</f>
        <v/>
      </c>
      <c r="V855" s="22" t="str">
        <f aca="false">IF($X855="","",O855+R855)</f>
        <v/>
      </c>
      <c r="W855" s="22" t="str">
        <f aca="false">IF($X855="","",U855-L855)</f>
        <v/>
      </c>
      <c r="X855" s="24" t="str">
        <f aca="false">IF(ROWS($X$2:$X855)&lt;=MAX('Per Line'!$AI$2:$AI$4001),MATCH(ROWS($X$2:$X855),'Per Line'!$AI$2:$AI$4001,0),"")</f>
        <v/>
      </c>
    </row>
    <row r="856" customFormat="false" ht="15" hidden="false" customHeight="false" outlineLevel="0" collapsed="false">
      <c r="A856" s="19"/>
      <c r="B856" s="20" t="str">
        <f aca="false">IF($X856="","",INDEX('Per Line'!$D$2:$D$4001,$X856))</f>
        <v/>
      </c>
      <c r="C856" s="20" t="str">
        <f aca="false">IF($X856="","",INDEX('Per Line'!$C$2:$C$4001,$X856))</f>
        <v/>
      </c>
      <c r="D856" s="20" t="str">
        <f aca="false">IF($X856="","",INDEX('Per Line'!$A$2:$A$4001,$X856))</f>
        <v/>
      </c>
      <c r="E856" s="21" t="str">
        <f aca="false">IF($X856="","",INDEX('Per Line'!$F$2:$F$4001,$X856))</f>
        <v/>
      </c>
      <c r="F856" s="20" t="str">
        <f aca="false">IF($X856="","",INDEX('Per Line'!$G$2:$G$4001,$X856))</f>
        <v/>
      </c>
      <c r="G856" s="20" t="str">
        <f aca="false">IF($X856="","",INDEX('Per Line'!$I$2:$I$4001,$X856))</f>
        <v/>
      </c>
      <c r="H856" s="20" t="str">
        <f aca="false">IF($X856="","",INDEX('Per Line'!$J$2:$J$4001,$X856))</f>
        <v/>
      </c>
      <c r="I856" s="20" t="str">
        <f aca="false">IF($X856="","",INDEX('Per Line'!$K$2:$K$4001,$X856))</f>
        <v/>
      </c>
      <c r="J856" s="20" t="str">
        <f aca="false">IF($X856="","",INDEX('Per Line'!$L$2:$L$4001,$X856))</f>
        <v/>
      </c>
      <c r="K856" s="20" t="str">
        <f aca="false">IF($X856="","",INDEX('Per Line'!$M$2:$M$4001,$X856))</f>
        <v/>
      </c>
      <c r="L856" s="22" t="str">
        <f aca="false">IF($X856="","",K856*V856/100)</f>
        <v/>
      </c>
      <c r="M856" s="20" t="str">
        <f aca="false">IF($X856="","",INDEX('Per Line'!$Z$2:$Z$4001,$X856))</f>
        <v/>
      </c>
      <c r="N856" s="23" t="str">
        <f aca="false">IF($X856="","",Settings!$C$7)</f>
        <v/>
      </c>
      <c r="O856" s="22" t="str">
        <f aca="false">IF($X856="","",SUMIFS('Per Line'!$Y$2:$Y$4001,'Per Line'!$D$2:$D$4001,$B856,'Per Line'!$AJ$2:$AJ$4001,0))</f>
        <v/>
      </c>
      <c r="P856" s="22" t="str">
        <f aca="false">IF($X856="","",O856*N856)</f>
        <v/>
      </c>
      <c r="Q856" s="23" t="str">
        <f aca="false">IF($X856="","",Settings!$C$6)</f>
        <v/>
      </c>
      <c r="R856" s="22" t="str">
        <f aca="false">IF($X856="","",SUMIFS('Per Line'!$Y$2:$Y$4001,'Per Line'!$D$2:$D$4001,$B856,'Per Line'!$AJ$2:$AJ$4001,1))</f>
        <v/>
      </c>
      <c r="S856" s="22" t="str">
        <f aca="false">IF($X856="","",R856*Q856)</f>
        <v/>
      </c>
      <c r="T856" s="22" t="str">
        <f aca="false">IF($X856="","",S856+P856)</f>
        <v/>
      </c>
      <c r="U856" s="22" t="str">
        <f aca="false">IF($X856="","",V856-T856)</f>
        <v/>
      </c>
      <c r="V856" s="22" t="str">
        <f aca="false">IF($X856="","",O856+R856)</f>
        <v/>
      </c>
      <c r="W856" s="22" t="str">
        <f aca="false">IF($X856="","",U856-L856)</f>
        <v/>
      </c>
      <c r="X856" s="24" t="str">
        <f aca="false">IF(ROWS($X$2:$X856)&lt;=MAX('Per Line'!$AI$2:$AI$4001),MATCH(ROWS($X$2:$X856),'Per Line'!$AI$2:$AI$4001,0),"")</f>
        <v/>
      </c>
    </row>
    <row r="857" customFormat="false" ht="15" hidden="false" customHeight="false" outlineLevel="0" collapsed="false">
      <c r="A857" s="19"/>
      <c r="B857" s="20" t="str">
        <f aca="false">IF($X857="","",INDEX('Per Line'!$D$2:$D$4001,$X857))</f>
        <v/>
      </c>
      <c r="C857" s="20" t="str">
        <f aca="false">IF($X857="","",INDEX('Per Line'!$C$2:$C$4001,$X857))</f>
        <v/>
      </c>
      <c r="D857" s="20" t="str">
        <f aca="false">IF($X857="","",INDEX('Per Line'!$A$2:$A$4001,$X857))</f>
        <v/>
      </c>
      <c r="E857" s="21" t="str">
        <f aca="false">IF($X857="","",INDEX('Per Line'!$F$2:$F$4001,$X857))</f>
        <v/>
      </c>
      <c r="F857" s="20" t="str">
        <f aca="false">IF($X857="","",INDEX('Per Line'!$G$2:$G$4001,$X857))</f>
        <v/>
      </c>
      <c r="G857" s="20" t="str">
        <f aca="false">IF($X857="","",INDEX('Per Line'!$I$2:$I$4001,$X857))</f>
        <v/>
      </c>
      <c r="H857" s="20" t="str">
        <f aca="false">IF($X857="","",INDEX('Per Line'!$J$2:$J$4001,$X857))</f>
        <v/>
      </c>
      <c r="I857" s="20" t="str">
        <f aca="false">IF($X857="","",INDEX('Per Line'!$K$2:$K$4001,$X857))</f>
        <v/>
      </c>
      <c r="J857" s="20" t="str">
        <f aca="false">IF($X857="","",INDEX('Per Line'!$L$2:$L$4001,$X857))</f>
        <v/>
      </c>
      <c r="K857" s="20" t="str">
        <f aca="false">IF($X857="","",INDEX('Per Line'!$M$2:$M$4001,$X857))</f>
        <v/>
      </c>
      <c r="L857" s="22" t="str">
        <f aca="false">IF($X857="","",K857*V857/100)</f>
        <v/>
      </c>
      <c r="M857" s="20" t="str">
        <f aca="false">IF($X857="","",INDEX('Per Line'!$Z$2:$Z$4001,$X857))</f>
        <v/>
      </c>
      <c r="N857" s="23" t="str">
        <f aca="false">IF($X857="","",Settings!$C$7)</f>
        <v/>
      </c>
      <c r="O857" s="22" t="str">
        <f aca="false">IF($X857="","",SUMIFS('Per Line'!$Y$2:$Y$4001,'Per Line'!$D$2:$D$4001,$B857,'Per Line'!$AJ$2:$AJ$4001,0))</f>
        <v/>
      </c>
      <c r="P857" s="22" t="str">
        <f aca="false">IF($X857="","",O857*N857)</f>
        <v/>
      </c>
      <c r="Q857" s="23" t="str">
        <f aca="false">IF($X857="","",Settings!$C$6)</f>
        <v/>
      </c>
      <c r="R857" s="22" t="str">
        <f aca="false">IF($X857="","",SUMIFS('Per Line'!$Y$2:$Y$4001,'Per Line'!$D$2:$D$4001,$B857,'Per Line'!$AJ$2:$AJ$4001,1))</f>
        <v/>
      </c>
      <c r="S857" s="22" t="str">
        <f aca="false">IF($X857="","",R857*Q857)</f>
        <v/>
      </c>
      <c r="T857" s="22" t="str">
        <f aca="false">IF($X857="","",S857+P857)</f>
        <v/>
      </c>
      <c r="U857" s="22" t="str">
        <f aca="false">IF($X857="","",V857-T857)</f>
        <v/>
      </c>
      <c r="V857" s="22" t="str">
        <f aca="false">IF($X857="","",O857+R857)</f>
        <v/>
      </c>
      <c r="W857" s="22" t="str">
        <f aca="false">IF($X857="","",U857-L857)</f>
        <v/>
      </c>
      <c r="X857" s="24" t="str">
        <f aca="false">IF(ROWS($X$2:$X857)&lt;=MAX('Per Line'!$AI$2:$AI$4001),MATCH(ROWS($X$2:$X857),'Per Line'!$AI$2:$AI$4001,0),"")</f>
        <v/>
      </c>
    </row>
    <row r="858" customFormat="false" ht="15" hidden="false" customHeight="false" outlineLevel="0" collapsed="false">
      <c r="A858" s="19"/>
      <c r="B858" s="20" t="str">
        <f aca="false">IF($X858="","",INDEX('Per Line'!$D$2:$D$4001,$X858))</f>
        <v/>
      </c>
      <c r="C858" s="20" t="str">
        <f aca="false">IF($X858="","",INDEX('Per Line'!$C$2:$C$4001,$X858))</f>
        <v/>
      </c>
      <c r="D858" s="20" t="str">
        <f aca="false">IF($X858="","",INDEX('Per Line'!$A$2:$A$4001,$X858))</f>
        <v/>
      </c>
      <c r="E858" s="21" t="str">
        <f aca="false">IF($X858="","",INDEX('Per Line'!$F$2:$F$4001,$X858))</f>
        <v/>
      </c>
      <c r="F858" s="20" t="str">
        <f aca="false">IF($X858="","",INDEX('Per Line'!$G$2:$G$4001,$X858))</f>
        <v/>
      </c>
      <c r="G858" s="20" t="str">
        <f aca="false">IF($X858="","",INDEX('Per Line'!$I$2:$I$4001,$X858))</f>
        <v/>
      </c>
      <c r="H858" s="20" t="str">
        <f aca="false">IF($X858="","",INDEX('Per Line'!$J$2:$J$4001,$X858))</f>
        <v/>
      </c>
      <c r="I858" s="20" t="str">
        <f aca="false">IF($X858="","",INDEX('Per Line'!$K$2:$K$4001,$X858))</f>
        <v/>
      </c>
      <c r="J858" s="20" t="str">
        <f aca="false">IF($X858="","",INDEX('Per Line'!$L$2:$L$4001,$X858))</f>
        <v/>
      </c>
      <c r="K858" s="20" t="str">
        <f aca="false">IF($X858="","",INDEX('Per Line'!$M$2:$M$4001,$X858))</f>
        <v/>
      </c>
      <c r="L858" s="22" t="str">
        <f aca="false">IF($X858="","",K858*V858/100)</f>
        <v/>
      </c>
      <c r="M858" s="20" t="str">
        <f aca="false">IF($X858="","",INDEX('Per Line'!$Z$2:$Z$4001,$X858))</f>
        <v/>
      </c>
      <c r="N858" s="23" t="str">
        <f aca="false">IF($X858="","",Settings!$C$7)</f>
        <v/>
      </c>
      <c r="O858" s="22" t="str">
        <f aca="false">IF($X858="","",SUMIFS('Per Line'!$Y$2:$Y$4001,'Per Line'!$D$2:$D$4001,$B858,'Per Line'!$AJ$2:$AJ$4001,0))</f>
        <v/>
      </c>
      <c r="P858" s="22" t="str">
        <f aca="false">IF($X858="","",O858*N858)</f>
        <v/>
      </c>
      <c r="Q858" s="23" t="str">
        <f aca="false">IF($X858="","",Settings!$C$6)</f>
        <v/>
      </c>
      <c r="R858" s="22" t="str">
        <f aca="false">IF($X858="","",SUMIFS('Per Line'!$Y$2:$Y$4001,'Per Line'!$D$2:$D$4001,$B858,'Per Line'!$AJ$2:$AJ$4001,1))</f>
        <v/>
      </c>
      <c r="S858" s="22" t="str">
        <f aca="false">IF($X858="","",R858*Q858)</f>
        <v/>
      </c>
      <c r="T858" s="22" t="str">
        <f aca="false">IF($X858="","",S858+P858)</f>
        <v/>
      </c>
      <c r="U858" s="22" t="str">
        <f aca="false">IF($X858="","",V858-T858)</f>
        <v/>
      </c>
      <c r="V858" s="22" t="str">
        <f aca="false">IF($X858="","",O858+R858)</f>
        <v/>
      </c>
      <c r="W858" s="22" t="str">
        <f aca="false">IF($X858="","",U858-L858)</f>
        <v/>
      </c>
      <c r="X858" s="24" t="str">
        <f aca="false">IF(ROWS($X$2:$X858)&lt;=MAX('Per Line'!$AI$2:$AI$4001),MATCH(ROWS($X$2:$X858),'Per Line'!$AI$2:$AI$4001,0),"")</f>
        <v/>
      </c>
    </row>
    <row r="859" customFormat="false" ht="15" hidden="false" customHeight="false" outlineLevel="0" collapsed="false">
      <c r="A859" s="19"/>
      <c r="B859" s="20" t="str">
        <f aca="false">IF($X859="","",INDEX('Per Line'!$D$2:$D$4001,$X859))</f>
        <v/>
      </c>
      <c r="C859" s="20" t="str">
        <f aca="false">IF($X859="","",INDEX('Per Line'!$C$2:$C$4001,$X859))</f>
        <v/>
      </c>
      <c r="D859" s="20" t="str">
        <f aca="false">IF($X859="","",INDEX('Per Line'!$A$2:$A$4001,$X859))</f>
        <v/>
      </c>
      <c r="E859" s="21" t="str">
        <f aca="false">IF($X859="","",INDEX('Per Line'!$F$2:$F$4001,$X859))</f>
        <v/>
      </c>
      <c r="F859" s="20" t="str">
        <f aca="false">IF($X859="","",INDEX('Per Line'!$G$2:$G$4001,$X859))</f>
        <v/>
      </c>
      <c r="G859" s="20" t="str">
        <f aca="false">IF($X859="","",INDEX('Per Line'!$I$2:$I$4001,$X859))</f>
        <v/>
      </c>
      <c r="H859" s="20" t="str">
        <f aca="false">IF($X859="","",INDEX('Per Line'!$J$2:$J$4001,$X859))</f>
        <v/>
      </c>
      <c r="I859" s="20" t="str">
        <f aca="false">IF($X859="","",INDEX('Per Line'!$K$2:$K$4001,$X859))</f>
        <v/>
      </c>
      <c r="J859" s="20" t="str">
        <f aca="false">IF($X859="","",INDEX('Per Line'!$L$2:$L$4001,$X859))</f>
        <v/>
      </c>
      <c r="K859" s="20" t="str">
        <f aca="false">IF($X859="","",INDEX('Per Line'!$M$2:$M$4001,$X859))</f>
        <v/>
      </c>
      <c r="L859" s="22" t="str">
        <f aca="false">IF($X859="","",K859*V859/100)</f>
        <v/>
      </c>
      <c r="M859" s="20" t="str">
        <f aca="false">IF($X859="","",INDEX('Per Line'!$Z$2:$Z$4001,$X859))</f>
        <v/>
      </c>
      <c r="N859" s="23" t="str">
        <f aca="false">IF($X859="","",Settings!$C$7)</f>
        <v/>
      </c>
      <c r="O859" s="22" t="str">
        <f aca="false">IF($X859="","",SUMIFS('Per Line'!$Y$2:$Y$4001,'Per Line'!$D$2:$D$4001,$B859,'Per Line'!$AJ$2:$AJ$4001,0))</f>
        <v/>
      </c>
      <c r="P859" s="22" t="str">
        <f aca="false">IF($X859="","",O859*N859)</f>
        <v/>
      </c>
      <c r="Q859" s="23" t="str">
        <f aca="false">IF($X859="","",Settings!$C$6)</f>
        <v/>
      </c>
      <c r="R859" s="22" t="str">
        <f aca="false">IF($X859="","",SUMIFS('Per Line'!$Y$2:$Y$4001,'Per Line'!$D$2:$D$4001,$B859,'Per Line'!$AJ$2:$AJ$4001,1))</f>
        <v/>
      </c>
      <c r="S859" s="22" t="str">
        <f aca="false">IF($X859="","",R859*Q859)</f>
        <v/>
      </c>
      <c r="T859" s="22" t="str">
        <f aca="false">IF($X859="","",S859+P859)</f>
        <v/>
      </c>
      <c r="U859" s="22" t="str">
        <f aca="false">IF($X859="","",V859-T859)</f>
        <v/>
      </c>
      <c r="V859" s="22" t="str">
        <f aca="false">IF($X859="","",O859+R859)</f>
        <v/>
      </c>
      <c r="W859" s="22" t="str">
        <f aca="false">IF($X859="","",U859-L859)</f>
        <v/>
      </c>
      <c r="X859" s="24" t="str">
        <f aca="false">IF(ROWS($X$2:$X859)&lt;=MAX('Per Line'!$AI$2:$AI$4001),MATCH(ROWS($X$2:$X859),'Per Line'!$AI$2:$AI$4001,0),"")</f>
        <v/>
      </c>
    </row>
    <row r="860" customFormat="false" ht="15" hidden="false" customHeight="false" outlineLevel="0" collapsed="false">
      <c r="A860" s="19"/>
      <c r="B860" s="20" t="str">
        <f aca="false">IF($X860="","",INDEX('Per Line'!$D$2:$D$4001,$X860))</f>
        <v/>
      </c>
      <c r="C860" s="20" t="str">
        <f aca="false">IF($X860="","",INDEX('Per Line'!$C$2:$C$4001,$X860))</f>
        <v/>
      </c>
      <c r="D860" s="20" t="str">
        <f aca="false">IF($X860="","",INDEX('Per Line'!$A$2:$A$4001,$X860))</f>
        <v/>
      </c>
      <c r="E860" s="21" t="str">
        <f aca="false">IF($X860="","",INDEX('Per Line'!$F$2:$F$4001,$X860))</f>
        <v/>
      </c>
      <c r="F860" s="20" t="str">
        <f aca="false">IF($X860="","",INDEX('Per Line'!$G$2:$G$4001,$X860))</f>
        <v/>
      </c>
      <c r="G860" s="20" t="str">
        <f aca="false">IF($X860="","",INDEX('Per Line'!$I$2:$I$4001,$X860))</f>
        <v/>
      </c>
      <c r="H860" s="20" t="str">
        <f aca="false">IF($X860="","",INDEX('Per Line'!$J$2:$J$4001,$X860))</f>
        <v/>
      </c>
      <c r="I860" s="20" t="str">
        <f aca="false">IF($X860="","",INDEX('Per Line'!$K$2:$K$4001,$X860))</f>
        <v/>
      </c>
      <c r="J860" s="20" t="str">
        <f aca="false">IF($X860="","",INDEX('Per Line'!$L$2:$L$4001,$X860))</f>
        <v/>
      </c>
      <c r="K860" s="20" t="str">
        <f aca="false">IF($X860="","",INDEX('Per Line'!$M$2:$M$4001,$X860))</f>
        <v/>
      </c>
      <c r="L860" s="22" t="str">
        <f aca="false">IF($X860="","",K860*V860/100)</f>
        <v/>
      </c>
      <c r="M860" s="20" t="str">
        <f aca="false">IF($X860="","",INDEX('Per Line'!$Z$2:$Z$4001,$X860))</f>
        <v/>
      </c>
      <c r="N860" s="23" t="str">
        <f aca="false">IF($X860="","",Settings!$C$7)</f>
        <v/>
      </c>
      <c r="O860" s="22" t="str">
        <f aca="false">IF($X860="","",SUMIFS('Per Line'!$Y$2:$Y$4001,'Per Line'!$D$2:$D$4001,$B860,'Per Line'!$AJ$2:$AJ$4001,0))</f>
        <v/>
      </c>
      <c r="P860" s="22" t="str">
        <f aca="false">IF($X860="","",O860*N860)</f>
        <v/>
      </c>
      <c r="Q860" s="23" t="str">
        <f aca="false">IF($X860="","",Settings!$C$6)</f>
        <v/>
      </c>
      <c r="R860" s="22" t="str">
        <f aca="false">IF($X860="","",SUMIFS('Per Line'!$Y$2:$Y$4001,'Per Line'!$D$2:$D$4001,$B860,'Per Line'!$AJ$2:$AJ$4001,1))</f>
        <v/>
      </c>
      <c r="S860" s="22" t="str">
        <f aca="false">IF($X860="","",R860*Q860)</f>
        <v/>
      </c>
      <c r="T860" s="22" t="str">
        <f aca="false">IF($X860="","",S860+P860)</f>
        <v/>
      </c>
      <c r="U860" s="22" t="str">
        <f aca="false">IF($X860="","",V860-T860)</f>
        <v/>
      </c>
      <c r="V860" s="22" t="str">
        <f aca="false">IF($X860="","",O860+R860)</f>
        <v/>
      </c>
      <c r="W860" s="22" t="str">
        <f aca="false">IF($X860="","",U860-L860)</f>
        <v/>
      </c>
      <c r="X860" s="24" t="str">
        <f aca="false">IF(ROWS($X$2:$X860)&lt;=MAX('Per Line'!$AI$2:$AI$4001),MATCH(ROWS($X$2:$X860),'Per Line'!$AI$2:$AI$4001,0),"")</f>
        <v/>
      </c>
    </row>
    <row r="861" customFormat="false" ht="15" hidden="false" customHeight="false" outlineLevel="0" collapsed="false">
      <c r="A861" s="19"/>
      <c r="B861" s="20" t="str">
        <f aca="false">IF($X861="","",INDEX('Per Line'!$D$2:$D$4001,$X861))</f>
        <v/>
      </c>
      <c r="C861" s="20" t="str">
        <f aca="false">IF($X861="","",INDEX('Per Line'!$C$2:$C$4001,$X861))</f>
        <v/>
      </c>
      <c r="D861" s="20" t="str">
        <f aca="false">IF($X861="","",INDEX('Per Line'!$A$2:$A$4001,$X861))</f>
        <v/>
      </c>
      <c r="E861" s="21" t="str">
        <f aca="false">IF($X861="","",INDEX('Per Line'!$F$2:$F$4001,$X861))</f>
        <v/>
      </c>
      <c r="F861" s="20" t="str">
    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<f aca="false">IF($X861="","",INDEX('Per Line'!$J$2:$J$4001,$X861))</f>
        <v/>
      </c>
      <c r="I861" s="20" t="str">
        <f aca="false">IF($X861="","",INDEX('Per Line'!$K$2:$K$4001,$X861))</f>
        <v/>
      </c>
      <c r="J861" s="20" t="str">
        <f aca="false">IF($X861="","",INDEX('Per Line'!$L$2:$L$4001,$X861))</f>
        <v/>
      </c>
      <c r="K861" s="20" t="str">
        <f aca="false">IF($X861="","",INDEX('Per Line'!$M$2:$M$4001,$X861))</f>
        <v/>
      </c>
      <c r="L861" s="22" t="str">
        <f aca="false">IF($X861="","",K861*V861/100)</f>
        <v/>
      </c>
      <c r="M861" s="20" t="str">
        <f aca="false">IF($X861="","",INDEX('Per Line'!$Z$2:$Z$4001,$X861))</f>
        <v/>
      </c>
      <c r="N861" s="23" t="str">
        <f aca="false">IF($X861="","",Settings!$C$7)</f>
        <v/>
      </c>
      <c r="O861" s="22" t="str">
        <f aca="false">IF($X861="","",SUMIFS('Per Line'!$Y$2:$Y$4001,'Per Line'!$D$2:$D$4001,$B861,'Per Line'!$AJ$2:$AJ$4001,0))</f>
        <v/>
      </c>
      <c r="P861" s="22" t="str">
        <f aca="false">IF($X861="","",O861*N861)</f>
        <v/>
      </c>
      <c r="Q861" s="23" t="str">
        <f aca="false">IF($X861="","",Settings!$C$6)</f>
        <v/>
      </c>
      <c r="R861" s="22" t="str">
        <f aca="false">IF($X861="","",SUMIFS('Per Line'!$Y$2:$Y$4001,'Per Line'!$D$2:$D$4001,$B861,'Per Line'!$AJ$2:$AJ$4001,1))</f>
        <v/>
      </c>
      <c r="S861" s="22" t="str">
        <f aca="false">IF($X861="","",R861*Q861)</f>
        <v/>
      </c>
      <c r="T861" s="22" t="str">
        <f aca="false">IF($X861="","",S861+P861)</f>
        <v/>
      </c>
      <c r="U861" s="22" t="str">
        <f aca="false">IF($X861="","",V861-T861)</f>
        <v/>
      </c>
      <c r="V861" s="22" t="str">
        <f aca="false">IF($X861="","",O861+R861)</f>
        <v/>
      </c>
      <c r="W861" s="22" t="str">
        <f aca="false">IF($X861="","",U861-L861)</f>
        <v/>
      </c>
      <c r="X861" s="24" t="str">
        <f aca="false">IF(ROWS($X$2:$X861)&lt;=MAX('Per Line'!$AI$2:$AI$4001),MATCH(ROWS($X$2:$X861),'Per Line'!$AI$2:$AI$4001,0),"")</f>
        <v/>
      </c>
    </row>
    <row r="862" customFormat="false" ht="15" hidden="false" customHeight="false" outlineLevel="0" collapsed="false">
      <c r="A862" s="19"/>
      <c r="B862" s="20" t="str">
        <f aca="false">IF($X862="","",INDEX('Per Line'!$D$2:$D$4001,$X862))</f>
        <v/>
      </c>
      <c r="C862" s="20" t="str">
        <f aca="false">IF($X862="","",INDEX('Per Line'!$C$2:$C$4001,$X862))</f>
        <v/>
      </c>
      <c r="D862" s="20" t="str">
        <f aca="false">IF($X862="","",INDEX('Per Line'!$A$2:$A$4001,$X862))</f>
        <v/>
      </c>
      <c r="E862" s="21" t="str">
        <f aca="false">IF($X862="","",INDEX('Per Line'!$F$2:$F$4001,$X862))</f>
        <v/>
      </c>
      <c r="F862" s="20" t="str">
        <f aca="false">IF($X862="","",INDEX('Per Line'!$G$2:$G$4001,$X862))</f>
        <v/>
      </c>
      <c r="G862" s="20" t="str">
        <f aca="false">IF($X862="","",INDEX('Per Line'!$I$2:$I$4001,$X862))</f>
        <v/>
      </c>
      <c r="H862" s="20" t="str">
        <f aca="false">IF($X862="","",INDEX('Per Line'!$J$2:$J$4001,$X862))</f>
        <v/>
      </c>
      <c r="I862" s="20" t="str">
        <f aca="false">IF($X862="","",INDEX('Per Line'!$K$2:$K$4001,$X862))</f>
        <v/>
      </c>
      <c r="J862" s="20" t="str">
        <f aca="false">IF($X862="","",INDEX('Per Line'!$L$2:$L$4001,$X862))</f>
        <v/>
      </c>
      <c r="K862" s="20" t="str">
        <f aca="false">IF($X862="","",INDEX('Per Line'!$M$2:$M$4001,$X862))</f>
        <v/>
      </c>
      <c r="L862" s="22" t="str">
        <f aca="false">IF($X862="","",K862*V862/100)</f>
        <v/>
      </c>
      <c r="M862" s="20" t="str">
        <f aca="false">IF($X862="","",INDEX('Per Line'!$Z$2:$Z$4001,$X862))</f>
        <v/>
      </c>
      <c r="N862" s="23" t="str">
        <f aca="false">IF($X862="","",Settings!$C$7)</f>
        <v/>
      </c>
      <c r="O862" s="22" t="str">
        <f aca="false">IF($X862="","",SUMIFS('Per Line'!$Y$2:$Y$4001,'Per Line'!$D$2:$D$4001,$B862,'Per Line'!$AJ$2:$AJ$4001,0))</f>
        <v/>
      </c>
      <c r="P862" s="22" t="str">
        <f aca="false">IF($X862="","",O862*N862)</f>
        <v/>
      </c>
      <c r="Q862" s="23" t="str">
        <f aca="false">IF($X862="","",Settings!$C$6)</f>
        <v/>
      </c>
      <c r="R862" s="22" t="str">
        <f aca="false">IF($X862="","",SUMIFS('Per Line'!$Y$2:$Y$4001,'Per Line'!$D$2:$D$4001,$B862,'Per Line'!$AJ$2:$AJ$4001,1))</f>
        <v/>
      </c>
      <c r="S862" s="22" t="str">
        <f aca="false">IF($X862="","",R862*Q862)</f>
        <v/>
      </c>
      <c r="T862" s="22" t="str">
        <f aca="false">IF($X862="","",S862+P862)</f>
        <v/>
      </c>
      <c r="U862" s="22" t="str">
        <f aca="false">IF($X862="","",V862-T862)</f>
        <v/>
      </c>
      <c r="V862" s="22" t="str">
        <f aca="false">IF($X862="","",O862+R862)</f>
        <v/>
      </c>
      <c r="W862" s="22" t="str">
        <f aca="false">IF($X862="","",U862-L862)</f>
        <v/>
      </c>
      <c r="X862" s="24" t="str">
        <f aca="false">IF(ROWS($X$2:$X862)&lt;=MAX('Per Line'!$AI$2:$AI$4001),MATCH(ROWS($X$2:$X862),'Per Line'!$AI$2:$AI$4001,0),"")</f>
        <v/>
      </c>
    </row>
    <row r="863" customFormat="false" ht="15" hidden="false" customHeight="false" outlineLevel="0" collapsed="false">
      <c r="A863" s="19"/>
      <c r="B863" s="20" t="str">
        <f aca="false">IF($X863="","",INDEX('Per Line'!$D$2:$D$4001,$X863))</f>
        <v/>
      </c>
      <c r="C863" s="20" t="str">
        <f aca="false">IF($X863="","",INDEX('Per Line'!$C$2:$C$4001,$X863))</f>
        <v/>
      </c>
      <c r="D863" s="20" t="str">
        <f aca="false">IF($X863="","",INDEX('Per Line'!$A$2:$A$4001,$X863))</f>
        <v/>
      </c>
      <c r="E863" s="21" t="str">
        <f aca="false">IF($X863="","",INDEX('Per Line'!$F$2:$F$4001,$X863))</f>
        <v/>
      </c>
      <c r="F863" s="20" t="str">
        <f aca="false">IF($X863="","",INDEX('Per Line'!$G$2:$G$4001,$X863))</f>
        <v/>
      </c>
      <c r="G863" s="20" t="str">
        <f aca="false">IF($X863="","",INDEX('Per Line'!$I$2:$I$4001,$X863))</f>
        <v/>
      </c>
      <c r="H863" s="20" t="str">
        <f aca="false">IF($X863="","",INDEX('Per Line'!$J$2:$J$4001,$X863))</f>
        <v/>
      </c>
      <c r="I863" s="20" t="str">
        <f aca="false">IF($X863="","",INDEX('Per Line'!$K$2:$K$4001,$X863))</f>
        <v/>
      </c>
      <c r="J863" s="20" t="str">
        <f aca="false">IF($X863="","",INDEX('Per Line'!$L$2:$L$4001,$X863))</f>
        <v/>
      </c>
      <c r="K863" s="20" t="str">
        <f aca="false">IF($X863="","",INDEX('Per Line'!$M$2:$M$4001,$X863))</f>
        <v/>
      </c>
      <c r="L863" s="22" t="str">
        <f aca="false">IF($X863="","",K863*V863/100)</f>
        <v/>
      </c>
      <c r="M863" s="20" t="str">
        <f aca="false">IF($X863="","",INDEX('Per Line'!$Z$2:$Z$4001,$X863))</f>
        <v/>
      </c>
      <c r="N863" s="23" t="str">
        <f aca="false">IF($X863="","",Settings!$C$7)</f>
        <v/>
      </c>
      <c r="O863" s="22" t="str">
        <f aca="false">IF($X863="","",SUMIFS('Per Line'!$Y$2:$Y$4001,'Per Line'!$D$2:$D$4001,$B863,'Per Line'!$AJ$2:$AJ$4001,0))</f>
        <v/>
      </c>
      <c r="P863" s="22" t="str">
        <f aca="false">IF($X863="","",O863*N863)</f>
        <v/>
      </c>
      <c r="Q863" s="23" t="str">
        <f aca="false">IF($X863="","",Settings!$C$6)</f>
        <v/>
      </c>
      <c r="R863" s="22" t="str">
        <f aca="false">IF($X863="","",SUMIFS('Per Line'!$Y$2:$Y$4001,'Per Line'!$D$2:$D$4001,$B863,'Per Line'!$AJ$2:$AJ$4001,1))</f>
        <v/>
      </c>
      <c r="S863" s="22" t="str">
        <f aca="false">IF($X863="","",R863*Q863)</f>
        <v/>
      </c>
      <c r="T863" s="22" t="str">
        <f aca="false">IF($X863="","",S863+P863)</f>
        <v/>
      </c>
      <c r="U863" s="22" t="str">
        <f aca="false">IF($X863="","",V863-T863)</f>
        <v/>
      </c>
      <c r="V863" s="22" t="str">
        <f aca="false">IF($X863="","",O863+R863)</f>
        <v/>
      </c>
      <c r="W863" s="22" t="str">
        <f aca="false">IF($X863="","",U863-L863)</f>
        <v/>
      </c>
      <c r="X863" s="24" t="str">
        <f aca="false">IF(ROWS($X$2:$X863)&lt;=MAX('Per Line'!$AI$2:$AI$4001),MATCH(ROWS($X$2:$X863),'Per Line'!$AI$2:$AI$4001,0),"")</f>
        <v/>
      </c>
    </row>
    <row r="864" customFormat="false" ht="15" hidden="false" customHeight="false" outlineLevel="0" collapsed="false">
      <c r="A864" s="19"/>
      <c r="B864" s="20" t="str">
        <f aca="false">IF($X864="","",INDEX('Per Line'!$D$2:$D$4001,$X864))</f>
        <v/>
      </c>
      <c r="C864" s="20" t="str">
        <f aca="false">IF($X864="","",INDEX('Per Line'!$C$2:$C$4001,$X864))</f>
        <v/>
      </c>
      <c r="D864" s="20" t="str">
        <f aca="false">IF($X864="","",INDEX('Per Line'!$A$2:$A$4001,$X864))</f>
        <v/>
      </c>
      <c r="E864" s="21" t="str">
        <f aca="false">IF($X864="","",INDEX('Per Line'!$F$2:$F$4001,$X864))</f>
        <v/>
      </c>
      <c r="F864" s="20" t="str">
        <f aca="false">IF($X864="","",INDEX('Per Line'!$G$2:$G$4001,$X864))</f>
        <v/>
      </c>
      <c r="G864" s="20" t="str">
        <f aca="false">IF($X864="","",INDEX('Per Line'!$I$2:$I$4001,$X864))</f>
        <v/>
      </c>
      <c r="H864" s="20" t="str">
        <f aca="false">IF($X864="","",INDEX('Per Line'!$J$2:$J$4001,$X864))</f>
        <v/>
      </c>
      <c r="I864" s="20" t="str">
        <f aca="false">IF($X864="","",INDEX('Per Line'!$K$2:$K$4001,$X864))</f>
        <v/>
      </c>
      <c r="J864" s="20" t="str">
        <f aca="false">IF($X864="","",INDEX('Per Line'!$L$2:$L$4001,$X864))</f>
        <v/>
      </c>
      <c r="K864" s="20" t="str">
        <f aca="false">IF($X864="","",INDEX('Per Line'!$M$2:$M$4001,$X864))</f>
        <v/>
      </c>
      <c r="L864" s="22" t="str">
        <f aca="false">IF($X864="","",K864*V864/100)</f>
        <v/>
      </c>
      <c r="M864" s="20" t="str">
        <f aca="false">IF($X864="","",INDEX('Per Line'!$Z$2:$Z$4001,$X864))</f>
        <v/>
      </c>
      <c r="N864" s="23" t="str">
        <f aca="false">IF($X864="","",Settings!$C$7)</f>
        <v/>
      </c>
      <c r="O864" s="22" t="str">
        <f aca="false">IF($X864="","",SUMIFS('Per Line'!$Y$2:$Y$4001,'Per Line'!$D$2:$D$4001,$B864,'Per Line'!$AJ$2:$AJ$4001,0))</f>
        <v/>
      </c>
      <c r="P864" s="22" t="str">
        <f aca="false">IF($X864="","",O864*N864)</f>
        <v/>
      </c>
      <c r="Q864" s="23" t="str">
        <f aca="false">IF($X864="","",Settings!$C$6)</f>
        <v/>
      </c>
      <c r="R864" s="22" t="str">
        <f aca="false">IF($X864="","",SUMIFS('Per Line'!$Y$2:$Y$4001,'Per Line'!$D$2:$D$4001,$B864,'Per Line'!$AJ$2:$AJ$4001,1))</f>
        <v/>
      </c>
      <c r="S864" s="22" t="str">
        <f aca="false">IF($X864="","",R864*Q864)</f>
        <v/>
      </c>
      <c r="T864" s="22" t="str">
        <f aca="false">IF($X864="","",S864+P864)</f>
        <v/>
      </c>
      <c r="U864" s="22" t="str">
        <f aca="false">IF($X864="","",V864-T864)</f>
        <v/>
      </c>
      <c r="V864" s="22" t="str">
        <f aca="false">IF($X864="","",O864+R864)</f>
        <v/>
      </c>
      <c r="W864" s="22" t="str">
        <f aca="false">IF($X864="","",U864-L864)</f>
        <v/>
      </c>
      <c r="X864" s="24" t="str">
        <f aca="false">IF(ROWS($X$2:$X864)&lt;=MAX('Per Line'!$AI$2:$AI$4001),MATCH(ROWS($X$2:$X864),'Per Line'!$AI$2:$AI$4001,0),"")</f>
        <v/>
      </c>
    </row>
    <row r="865" customFormat="false" ht="15" hidden="false" customHeight="false" outlineLevel="0" collapsed="false">
      <c r="A865" s="19"/>
      <c r="B865" s="20" t="str">
        <f aca="false">IF($X865="","",INDEX('Per Line'!$D$2:$D$4001,$X865))</f>
        <v/>
      </c>
      <c r="C865" s="20" t="str">
        <f aca="false">IF($X865="","",INDEX('Per Line'!$C$2:$C$4001,$X865))</f>
        <v/>
      </c>
      <c r="D865" s="20" t="str">
        <f aca="false">IF($X865="","",INDEX('Per Line'!$A$2:$A$4001,$X865))</f>
        <v/>
      </c>
      <c r="E865" s="21" t="str">
        <f aca="false">IF($X865="","",INDEX('Per Line'!$F$2:$F$4001,$X865))</f>
        <v/>
      </c>
      <c r="F865" s="20" t="str">
        <f aca="false">IF($X865="","",INDEX('Per Line'!$G$2:$G$4001,$X865))</f>
        <v/>
      </c>
      <c r="G865" s="20" t="str">
        <f aca="false">IF($X865="","",INDEX('Per Line'!$I$2:$I$4001,$X865))</f>
        <v/>
      </c>
      <c r="H865" s="20" t="str">
        <f aca="false">IF($X865="","",INDEX('Per Line'!$J$2:$J$4001,$X865))</f>
        <v/>
      </c>
      <c r="I865" s="20" t="str">
        <f aca="false">IF($X865="","",INDEX('Per Line'!$K$2:$K$4001,$X865))</f>
        <v/>
      </c>
      <c r="J865" s="20" t="str">
        <f aca="false">IF($X865="","",INDEX('Per Line'!$L$2:$L$4001,$X865))</f>
        <v/>
      </c>
      <c r="K865" s="20" t="str">
        <f aca="false">IF($X865="","",INDEX('Per Line'!$M$2:$M$4001,$X865))</f>
        <v/>
      </c>
      <c r="L865" s="22" t="str">
        <f aca="false">IF($X865="","",K865*V865/100)</f>
        <v/>
      </c>
      <c r="M865" s="20" t="str">
        <f aca="false">IF($X865="","",INDEX('Per Line'!$Z$2:$Z$4001,$X865))</f>
        <v/>
      </c>
      <c r="N865" s="23" t="str">
        <f aca="false">IF($X865="","",Settings!$C$7)</f>
        <v/>
      </c>
      <c r="O865" s="22" t="str">
        <f aca="false">IF($X865="","",SUMIFS('Per Line'!$Y$2:$Y$4001,'Per Line'!$D$2:$D$4001,$B865,'Per Line'!$AJ$2:$AJ$4001,0))</f>
        <v/>
      </c>
      <c r="P865" s="22" t="str">
        <f aca="false">IF($X865="","",O865*N865)</f>
        <v/>
      </c>
      <c r="Q865" s="23" t="str">
        <f aca="false">IF($X865="","",Settings!$C$6)</f>
        <v/>
      </c>
      <c r="R865" s="22" t="str">
        <f aca="false">IF($X865="","",SUMIFS('Per Line'!$Y$2:$Y$4001,'Per Line'!$D$2:$D$4001,$B865,'Per Line'!$AJ$2:$AJ$4001,1))</f>
        <v/>
      </c>
      <c r="S865" s="22" t="str">
        <f aca="false">IF($X865="","",R865*Q865)</f>
        <v/>
      </c>
      <c r="T865" s="22" t="str">
        <f aca="false">IF($X865="","",S865+P865)</f>
        <v/>
      </c>
      <c r="U865" s="22" t="str">
        <f aca="false">IF($X865="","",V865-T865)</f>
        <v/>
      </c>
      <c r="V865" s="22" t="str">
        <f aca="false">IF($X865="","",O865+R865)</f>
        <v/>
      </c>
      <c r="W865" s="22" t="str">
        <f aca="false">IF($X865="","",U865-L865)</f>
        <v/>
      </c>
      <c r="X865" s="24" t="str">
        <f aca="false">IF(ROWS($X$2:$X865)&lt;=MAX('Per Line'!$AI$2:$AI$4001),MATCH(ROWS($X$2:$X865),'Per Line'!$AI$2:$AI$4001,0),"")</f>
        <v/>
      </c>
    </row>
    <row r="866" customFormat="false" ht="15" hidden="false" customHeight="false" outlineLevel="0" collapsed="false">
      <c r="A866" s="19"/>
      <c r="B866" s="20" t="str">
        <f aca="false">IF($X866="","",INDEX('Per Line'!$D$2:$D$4001,$X866))</f>
        <v/>
      </c>
      <c r="C866" s="20" t="str">
        <f aca="false">IF($X866="","",INDEX('Per Line'!$C$2:$C$4001,$X866))</f>
        <v/>
      </c>
      <c r="D866" s="20" t="str">
        <f aca="false">IF($X866="","",INDEX('Per Line'!$A$2:$A$4001,$X866))</f>
        <v/>
      </c>
      <c r="E866" s="21" t="str">
        <f aca="false">IF($X866="","",INDEX('Per Line'!$F$2:$F$4001,$X866))</f>
        <v/>
      </c>
      <c r="F866" s="20" t="str">
        <f aca="false">IF($X866="","",INDEX('Per Line'!$G$2:$G$4001,$X866))</f>
        <v/>
      </c>
      <c r="G866" s="20" t="str">
        <f aca="false">IF($X866="","",INDEX('Per Line'!$I$2:$I$4001,$X866))</f>
        <v/>
      </c>
      <c r="H866" s="20" t="str">
        <f aca="false">IF($X866="","",INDEX('Per Line'!$J$2:$J$4001,$X866))</f>
        <v/>
      </c>
      <c r="I866" s="20" t="str">
        <f aca="false">IF($X866="","",INDEX('Per Line'!$K$2:$K$4001,$X866))</f>
        <v/>
      </c>
      <c r="J866" s="20" t="str">
        <f aca="false">IF($X866="","",INDEX('Per Line'!$L$2:$L$4001,$X866))</f>
        <v/>
      </c>
      <c r="K866" s="20" t="str">
        <f aca="false">IF($X866="","",INDEX('Per Line'!$M$2:$M$4001,$X866))</f>
        <v/>
      </c>
      <c r="L866" s="22" t="str">
        <f aca="false">IF($X866="","",K866*V866/100)</f>
        <v/>
      </c>
      <c r="M866" s="20" t="str">
        <f aca="false">IF($X866="","",INDEX('Per Line'!$Z$2:$Z$4001,$X866))</f>
        <v/>
      </c>
      <c r="N866" s="23" t="str">
        <f aca="false">IF($X866="","",Settings!$C$7)</f>
        <v/>
      </c>
      <c r="O866" s="22" t="str">
        <f aca="false">IF($X866="","",SUMIFS('Per Line'!$Y$2:$Y$4001,'Per Line'!$D$2:$D$4001,$B866,'Per Line'!$AJ$2:$AJ$4001,0))</f>
        <v/>
      </c>
      <c r="P866" s="22" t="str">
        <f aca="false">IF($X866="","",O866*N866)</f>
        <v/>
      </c>
      <c r="Q866" s="23" t="str">
        <f aca="false">IF($X866="","",Settings!$C$6)</f>
        <v/>
      </c>
      <c r="R866" s="22" t="str">
        <f aca="false">IF($X866="","",SUMIFS('Per Line'!$Y$2:$Y$4001,'Per Line'!$D$2:$D$4001,$B866,'Per Line'!$AJ$2:$AJ$4001,1))</f>
        <v/>
      </c>
      <c r="S866" s="22" t="str">
        <f aca="false">IF($X866="","",R866*Q866)</f>
        <v/>
      </c>
      <c r="T866" s="22" t="str">
        <f aca="false">IF($X866="","",S866+P866)</f>
        <v/>
      </c>
      <c r="U866" s="22" t="str">
        <f aca="false">IF($X866="","",V866-T866)</f>
        <v/>
      </c>
      <c r="V866" s="22" t="str">
        <f aca="false">IF($X866="","",O866+R866)</f>
        <v/>
      </c>
      <c r="W866" s="22" t="str">
        <f aca="false">IF($X866="","",U866-L866)</f>
        <v/>
      </c>
      <c r="X866" s="24" t="str">
        <f aca="false">IF(ROWS($X$2:$X866)&lt;=MAX('Per Line'!$AI$2:$AI$4001),MATCH(ROWS($X$2:$X866),'Per Line'!$AI$2:$AI$4001,0),"")</f>
        <v/>
      </c>
    </row>
    <row r="867" customFormat="false" ht="15" hidden="false" customHeight="false" outlineLevel="0" collapsed="false">
      <c r="A867" s="19"/>
      <c r="B867" s="20" t="str">
        <f aca="false">IF($X867="","",INDEX('Per Line'!$D$2:$D$4001,$X867))</f>
        <v/>
      </c>
      <c r="C867" s="20" t="str">
        <f aca="false">IF($X867="","",INDEX('Per Line'!$C$2:$C$4001,$X867))</f>
        <v/>
      </c>
      <c r="D867" s="20" t="str">
        <f aca="false">IF($X867="","",INDEX('Per Line'!$A$2:$A$4001,$X867))</f>
        <v/>
      </c>
      <c r="E867" s="21" t="str">
        <f aca="false">IF($X867="","",INDEX('Per Line'!$F$2:$F$4001,$X867))</f>
        <v/>
      </c>
      <c r="F867" s="20" t="str">
        <f aca="false">IF($X867="","",INDEX('Per Line'!$G$2:$G$4001,$X867))</f>
        <v/>
      </c>
      <c r="G867" s="20" t="str">
        <f aca="false">IF($X867="","",INDEX('Per Line'!$I$2:$I$4001,$X867))</f>
        <v/>
      </c>
      <c r="H867" s="20" t="str">
        <f aca="false">IF($X867="","",INDEX('Per Line'!$J$2:$J$4001,$X867))</f>
        <v/>
      </c>
      <c r="I867" s="20" t="str">
        <f aca="false">IF($X867="","",INDEX('Per Line'!$K$2:$K$4001,$X867))</f>
        <v/>
      </c>
      <c r="J867" s="20" t="str">
        <f aca="false">IF($X867="","",INDEX('Per Line'!$L$2:$L$4001,$X867))</f>
        <v/>
      </c>
      <c r="K867" s="20" t="str">
        <f aca="false">IF($X867="","",INDEX('Per Line'!$M$2:$M$4001,$X867))</f>
        <v/>
      </c>
      <c r="L867" s="22" t="str">
        <f aca="false">IF($X867="","",K867*V867/100)</f>
        <v/>
      </c>
      <c r="M867" s="20" t="str">
        <f aca="false">IF($X867="","",INDEX('Per Line'!$Z$2:$Z$4001,$X867))</f>
        <v/>
      </c>
      <c r="N867" s="23" t="str">
        <f aca="false">IF($X867="","",Settings!$C$7)</f>
        <v/>
      </c>
      <c r="O867" s="22" t="str">
        <f aca="false">IF($X867="","",SUMIFS('Per Line'!$Y$2:$Y$4001,'Per Line'!$D$2:$D$4001,$B867,'Per Line'!$AJ$2:$AJ$4001,0))</f>
        <v/>
      </c>
      <c r="P867" s="22" t="str">
        <f aca="false">IF($X867="","",O867*N867)</f>
        <v/>
      </c>
      <c r="Q867" s="23" t="str">
        <f aca="false">IF($X867="","",Settings!$C$6)</f>
        <v/>
      </c>
      <c r="R867" s="22" t="str">
        <f aca="false">IF($X867="","",SUMIFS('Per Line'!$Y$2:$Y$4001,'Per Line'!$D$2:$D$4001,$B867,'Per Line'!$AJ$2:$AJ$4001,1))</f>
        <v/>
      </c>
      <c r="S867" s="22" t="str">
        <f aca="false">IF($X867="","",R867*Q867)</f>
        <v/>
      </c>
      <c r="T867" s="22" t="str">
        <f aca="false">IF($X867="","",S867+P867)</f>
        <v/>
      </c>
      <c r="U867" s="22" t="str">
        <f aca="false">IF($X867="","",V867-T867)</f>
        <v/>
      </c>
      <c r="V867" s="22" t="str">
        <f aca="false">IF($X867="","",O867+R867)</f>
        <v/>
      </c>
      <c r="W867" s="22" t="str">
        <f aca="false">IF($X867="","",U867-L867)</f>
        <v/>
      </c>
      <c r="X867" s="24" t="str">
        <f aca="false">IF(ROWS($X$2:$X867)&lt;=MAX('Per Line'!$AI$2:$AI$4001),MATCH(ROWS($X$2:$X867),'Per Line'!$AI$2:$AI$4001,0),"")</f>
        <v/>
      </c>
    </row>
    <row r="868" customFormat="false" ht="15" hidden="false" customHeight="false" outlineLevel="0" collapsed="false">
      <c r="A868" s="19"/>
      <c r="B868" s="20" t="str">
        <f aca="false">IF($X868="","",INDEX('Per Line'!$D$2:$D$4001,$X868))</f>
        <v/>
      </c>
      <c r="C868" s="20" t="str">
        <f aca="false">IF($X868="","",INDEX('Per Line'!$C$2:$C$4001,$X868))</f>
        <v/>
      </c>
      <c r="D868" s="20" t="str">
        <f aca="false">IF($X868="","",INDEX('Per Line'!$A$2:$A$4001,$X868))</f>
        <v/>
      </c>
      <c r="E868" s="21" t="str">
        <f aca="false">IF($X868="","",INDEX('Per Line'!$F$2:$F$4001,$X868))</f>
        <v/>
      </c>
      <c r="F868" s="20" t="str">
        <f aca="false">IF($X868="","",INDEX('Per Line'!$G$2:$G$4001,$X868))</f>
        <v/>
      </c>
      <c r="G868" s="20" t="str">
        <f aca="false">IF($X868="","",INDEX('Per Line'!$I$2:$I$4001,$X868))</f>
        <v/>
      </c>
      <c r="H868" s="20" t="str">
        <f aca="false">IF($X868="","",INDEX('Per Line'!$J$2:$J$4001,$X868))</f>
        <v/>
      </c>
      <c r="I868" s="20" t="str">
        <f aca="false">IF($X868="","",INDEX('Per Line'!$K$2:$K$4001,$X868))</f>
        <v/>
      </c>
      <c r="J868" s="20" t="str">
        <f aca="false">IF($X868="","",INDEX('Per Line'!$L$2:$L$4001,$X868))</f>
        <v/>
      </c>
      <c r="K868" s="20" t="str">
        <f aca="false">IF($X868="","",INDEX('Per Line'!$M$2:$M$4001,$X868))</f>
        <v/>
      </c>
      <c r="L868" s="22" t="str">
        <f aca="false">IF($X868="","",K868*V868/100)</f>
        <v/>
      </c>
      <c r="M868" s="20" t="str">
        <f aca="false">IF($X868="","",INDEX('Per Line'!$Z$2:$Z$4001,$X868))</f>
        <v/>
      </c>
      <c r="N868" s="23" t="str">
        <f aca="false">IF($X868="","",Settings!$C$7)</f>
        <v/>
      </c>
      <c r="O868" s="22" t="str">
        <f aca="false">IF($X868="","",SUMIFS('Per Line'!$Y$2:$Y$4001,'Per Line'!$D$2:$D$4001,$B868,'Per Line'!$AJ$2:$AJ$4001,0))</f>
        <v/>
      </c>
      <c r="P868" s="22" t="str">
        <f aca="false">IF($X868="","",O868*N868)</f>
        <v/>
      </c>
      <c r="Q868" s="23" t="str">
        <f aca="false">IF($X868="","",Settings!$C$6)</f>
        <v/>
      </c>
      <c r="R868" s="22" t="str">
        <f aca="false">IF($X868="","",SUMIFS('Per Line'!$Y$2:$Y$4001,'Per Line'!$D$2:$D$4001,$B868,'Per Line'!$AJ$2:$AJ$4001,1))</f>
        <v/>
      </c>
      <c r="S868" s="22" t="str">
        <f aca="false">IF($X868="","",R868*Q868)</f>
        <v/>
      </c>
      <c r="T868" s="22" t="str">
        <f aca="false">IF($X868="","",S868+P868)</f>
        <v/>
      </c>
      <c r="U868" s="22" t="str">
        <f aca="false">IF($X868="","",V868-T868)</f>
        <v/>
      </c>
      <c r="V868" s="22" t="str">
        <f aca="false">IF($X868="","",O868+R868)</f>
        <v/>
      </c>
      <c r="W868" s="22" t="str">
        <f aca="false">IF($X868="","",U868-L868)</f>
        <v/>
      </c>
      <c r="X868" s="24" t="str">
        <f aca="false">IF(ROWS($X$2:$X868)&lt;=MAX('Per Line'!$AI$2:$AI$4001),MATCH(ROWS($X$2:$X868),'Per Line'!$AI$2:$AI$4001,0),"")</f>
        <v/>
      </c>
    </row>
    <row r="869" customFormat="false" ht="15" hidden="false" customHeight="false" outlineLevel="0" collapsed="false">
      <c r="A869" s="19"/>
      <c r="B869" s="20" t="str">
        <f aca="false">IF($X869="","",INDEX('Per Line'!$D$2:$D$4001,$X869))</f>
        <v/>
      </c>
      <c r="C869" s="20" t="str">
        <f aca="false">IF($X869="","",INDEX('Per Line'!$C$2:$C$4001,$X869))</f>
        <v/>
      </c>
      <c r="D869" s="20" t="str">
        <f aca="false">IF($X869="","",INDEX('Per Line'!$A$2:$A$4001,$X869))</f>
        <v/>
      </c>
      <c r="E869" s="21" t="str">
        <f aca="false">IF($X869="","",INDEX('Per Line'!$F$2:$F$4001,$X869))</f>
        <v/>
      </c>
      <c r="F869" s="20" t="str">
        <f aca="false">IF($X869="","",INDEX('Per Line'!$G$2:$G$4001,$X869))</f>
        <v/>
      </c>
      <c r="G869" s="20" t="str">
        <f aca="false">IF($X869="","",INDEX('Per Line'!$I$2:$I$4001,$X869))</f>
        <v/>
      </c>
      <c r="H869" s="20" t="str">
        <f aca="false">IF($X869="","",INDEX('Per Line'!$J$2:$J$4001,$X869))</f>
        <v/>
      </c>
      <c r="I869" s="20" t="str">
        <f aca="false">IF($X869="","",INDEX('Per Line'!$K$2:$K$4001,$X869))</f>
        <v/>
      </c>
      <c r="J869" s="20" t="str">
        <f aca="false">IF($X869="","",INDEX('Per Line'!$L$2:$L$4001,$X869))</f>
        <v/>
      </c>
      <c r="K869" s="20" t="str">
        <f aca="false">IF($X869="","",INDEX('Per Line'!$M$2:$M$4001,$X869))</f>
        <v/>
      </c>
      <c r="L869" s="22" t="str">
        <f aca="false">IF($X869="","",K869*V869/100)</f>
        <v/>
      </c>
      <c r="M869" s="20" t="str">
        <f aca="false">IF($X869="","",INDEX('Per Line'!$Z$2:$Z$4001,$X869))</f>
        <v/>
      </c>
      <c r="N869" s="23" t="str">
        <f aca="false">IF($X869="","",Settings!$C$7)</f>
        <v/>
      </c>
      <c r="O869" s="22" t="str">
        <f aca="false">IF($X869="","",SUMIFS('Per Line'!$Y$2:$Y$4001,'Per Line'!$D$2:$D$4001,$B869,'Per Line'!$AJ$2:$AJ$4001,0))</f>
        <v/>
      </c>
      <c r="P869" s="22" t="str">
        <f aca="false">IF($X869="","",O869*N869)</f>
        <v/>
      </c>
      <c r="Q869" s="23" t="str">
        <f aca="false">IF($X869="","",Settings!$C$6)</f>
        <v/>
      </c>
      <c r="R869" s="22" t="str">
        <f aca="false">IF($X869="","",SUMIFS('Per Line'!$Y$2:$Y$4001,'Per Line'!$D$2:$D$4001,$B869,'Per Line'!$AJ$2:$AJ$4001,1))</f>
        <v/>
      </c>
      <c r="S869" s="22" t="str">
        <f aca="false">IF($X869="","",R869*Q869)</f>
        <v/>
      </c>
      <c r="T869" s="22" t="str">
        <f aca="false">IF($X869="","",S869+P869)</f>
        <v/>
      </c>
      <c r="U869" s="22" t="str">
        <f aca="false">IF($X869="","",V869-T869)</f>
        <v/>
      </c>
      <c r="V869" s="22" t="str">
        <f aca="false">IF($X869="","",O869+R869)</f>
        <v/>
      </c>
      <c r="W869" s="22" t="str">
        <f aca="false">IF($X869="","",U869-L869)</f>
        <v/>
      </c>
      <c r="X869" s="24" t="str">
        <f aca="false">IF(ROWS($X$2:$X869)&lt;=MAX('Per Line'!$AI$2:$AI$4001),MATCH(ROWS($X$2:$X869),'Per Line'!$AI$2:$AI$4001,0),"")</f>
        <v/>
      </c>
    </row>
    <row r="870" customFormat="false" ht="15" hidden="false" customHeight="false" outlineLevel="0" collapsed="false">
      <c r="A870" s="19"/>
      <c r="B870" s="20" t="str">
        <f aca="false">IF($X870="","",INDEX('Per Line'!$D$2:$D$4001,$X870))</f>
        <v/>
      </c>
      <c r="C870" s="20" t="str">
        <f aca="false">IF($X870="","",INDEX('Per Line'!$C$2:$C$4001,$X870))</f>
        <v/>
      </c>
      <c r="D870" s="20" t="str">
        <f aca="false">IF($X870="","",INDEX('Per Line'!$A$2:$A$4001,$X870))</f>
        <v/>
      </c>
      <c r="E870" s="21" t="str">
        <f aca="false">IF($X870="","",INDEX('Per Line'!$F$2:$F$4001,$X870))</f>
        <v/>
      </c>
      <c r="F870" s="20" t="str">
        <f aca="false">IF($X870="","",INDEX('Per Line'!$G$2:$G$4001,$X870))</f>
        <v/>
      </c>
      <c r="G870" s="20" t="str">
        <f aca="false">IF($X870="","",INDEX('Per Line'!$I$2:$I$4001,$X870))</f>
        <v/>
      </c>
      <c r="H870" s="20" t="str">
        <f aca="false">IF($X870="","",INDEX('Per Line'!$J$2:$J$4001,$X870))</f>
        <v/>
      </c>
      <c r="I870" s="20" t="str">
        <f aca="false">IF($X870="","",INDEX('Per Line'!$K$2:$K$4001,$X870))</f>
        <v/>
      </c>
      <c r="J870" s="20" t="str">
        <f aca="false">IF($X870="","",INDEX('Per Line'!$L$2:$L$4001,$X870))</f>
        <v/>
      </c>
      <c r="K870" s="20" t="str">
        <f aca="false">IF($X870="","",INDEX('Per Line'!$M$2:$M$4001,$X870))</f>
        <v/>
      </c>
      <c r="L870" s="22" t="str">
        <f aca="false">IF($X870="","",K870*V870/100)</f>
        <v/>
      </c>
      <c r="M870" s="20" t="str">
        <f aca="false">IF($X870="","",INDEX('Per Line'!$Z$2:$Z$4001,$X870))</f>
        <v/>
      </c>
      <c r="N870" s="23" t="str">
        <f aca="false">IF($X870="","",Settings!$C$7)</f>
        <v/>
      </c>
      <c r="O870" s="22" t="str">
        <f aca="false">IF($X870="","",SUMIFS('Per Line'!$Y$2:$Y$4001,'Per Line'!$D$2:$D$4001,$B870,'Per Line'!$AJ$2:$AJ$4001,0))</f>
        <v/>
      </c>
      <c r="P870" s="22" t="str">
        <f aca="false">IF($X870="","",O870*N870)</f>
        <v/>
      </c>
      <c r="Q870" s="23" t="str">
        <f aca="false">IF($X870="","",Settings!$C$6)</f>
        <v/>
      </c>
      <c r="R870" s="22" t="str">
        <f aca="false">IF($X870="","",SUMIFS('Per Line'!$Y$2:$Y$4001,'Per Line'!$D$2:$D$4001,$B870,'Per Line'!$AJ$2:$AJ$4001,1))</f>
        <v/>
      </c>
      <c r="S870" s="22" t="str">
        <f aca="false">IF($X870="","",R870*Q870)</f>
        <v/>
      </c>
      <c r="T870" s="22" t="str">
        <f aca="false">IF($X870="","",S870+P870)</f>
        <v/>
      </c>
      <c r="U870" s="22" t="str">
        <f aca="false">IF($X870="","",V870-T870)</f>
        <v/>
      </c>
      <c r="V870" s="22" t="str">
        <f aca="false">IF($X870="","",O870+R870)</f>
        <v/>
      </c>
      <c r="W870" s="22" t="str">
        <f aca="false">IF($X870="","",U870-L870)</f>
        <v/>
      </c>
      <c r="X870" s="24" t="str">
        <f aca="false">IF(ROWS($X$2:$X870)&lt;=MAX('Per Line'!$AI$2:$AI$4001),MATCH(ROWS($X$2:$X870),'Per Line'!$AI$2:$AI$4001,0),"")</f>
        <v/>
      </c>
    </row>
    <row r="871" customFormat="false" ht="15" hidden="false" customHeight="false" outlineLevel="0" collapsed="false">
      <c r="A871" s="19"/>
      <c r="B871" s="20" t="str">
        <f aca="false">IF($X871="","",INDEX('Per Line'!$D$2:$D$4001,$X871))</f>
        <v/>
      </c>
      <c r="C871" s="20" t="str">
        <f aca="false">IF($X871="","",INDEX('Per Line'!$C$2:$C$4001,$X871))</f>
        <v/>
      </c>
      <c r="D871" s="20" t="str">
        <f aca="false">IF($X871="","",INDEX('Per Line'!$A$2:$A$4001,$X871))</f>
        <v/>
      </c>
      <c r="E871" s="21" t="str">
        <f aca="false">IF($X871="","",INDEX('Per Line'!$F$2:$F$4001,$X871))</f>
        <v/>
      </c>
      <c r="F871" s="20" t="str">
        <f aca="false">IF($X871="","",INDEX('Per Line'!$G$2:$G$4001,$X871))</f>
        <v/>
      </c>
      <c r="G871" s="20" t="str">
        <f aca="false">IF($X871="","",INDEX('Per Line'!$I$2:$I$4001,$X871))</f>
        <v/>
      </c>
      <c r="H871" s="20" t="str">
        <f aca="false">IF($X871="","",INDEX('Per Line'!$J$2:$J$4001,$X871))</f>
        <v/>
      </c>
      <c r="I871" s="20" t="str">
        <f aca="false">IF($X871="","",INDEX('Per Line'!$K$2:$K$4001,$X871))</f>
        <v/>
      </c>
      <c r="J871" s="20" t="str">
        <f aca="false">IF($X871="","",INDEX('Per Line'!$L$2:$L$4001,$X871))</f>
        <v/>
      </c>
      <c r="K871" s="20" t="str">
        <f aca="false">IF($X871="","",INDEX('Per Line'!$M$2:$M$4001,$X871))</f>
        <v/>
      </c>
      <c r="L871" s="22" t="str">
        <f aca="false">IF($X871="","",K871*V871/100)</f>
        <v/>
      </c>
      <c r="M871" s="20" t="str">
        <f aca="false">IF($X871="","",INDEX('Per Line'!$Z$2:$Z$4001,$X871))</f>
        <v/>
      </c>
      <c r="N871" s="23" t="str">
        <f aca="false">IF($X871="","",Settings!$C$7)</f>
        <v/>
      </c>
      <c r="O871" s="22" t="str">
        <f aca="false">IF($X871="","",SUMIFS('Per Line'!$Y$2:$Y$4001,'Per Line'!$D$2:$D$4001,$B871,'Per Line'!$AJ$2:$AJ$4001,0))</f>
        <v/>
      </c>
      <c r="P871" s="22" t="str">
        <f aca="false">IF($X871="","",O871*N871)</f>
        <v/>
      </c>
      <c r="Q871" s="23" t="str">
        <f aca="false">IF($X871="","",Settings!$C$6)</f>
        <v/>
      </c>
      <c r="R871" s="22" t="str">
        <f aca="false">IF($X871="","",SUMIFS('Per Line'!$Y$2:$Y$4001,'Per Line'!$D$2:$D$4001,$B871,'Per Line'!$AJ$2:$AJ$4001,1))</f>
        <v/>
      </c>
      <c r="S871" s="22" t="str">
        <f aca="false">IF($X871="","",R871*Q871)</f>
        <v/>
      </c>
      <c r="T871" s="22" t="str">
        <f aca="false">IF($X871="","",S871+P871)</f>
        <v/>
      </c>
      <c r="U871" s="22" t="str">
        <f aca="false">IF($X871="","",V871-T871)</f>
        <v/>
      </c>
      <c r="V871" s="22" t="str">
        <f aca="false">IF($X871="","",O871+R871)</f>
        <v/>
      </c>
      <c r="W871" s="22" t="str">
        <f aca="false">IF($X871="","",U871-L871)</f>
        <v/>
      </c>
      <c r="X871" s="24" t="str">
        <f aca="false">IF(ROWS($X$2:$X871)&lt;=MAX('Per Line'!$AI$2:$AI$4001),MATCH(ROWS($X$2:$X871),'Per Line'!$AI$2:$AI$4001,0),"")</f>
        <v/>
      </c>
    </row>
    <row r="872" customFormat="false" ht="15" hidden="false" customHeight="false" outlineLevel="0" collapsed="false">
      <c r="A872" s="19"/>
      <c r="B872" s="20" t="str">
        <f aca="false">IF($X872="","",INDEX('Per Line'!$D$2:$D$4001,$X872))</f>
        <v/>
      </c>
      <c r="C872" s="20" t="str">
        <f aca="false">IF($X872="","",INDEX('Per Line'!$C$2:$C$4001,$X872))</f>
        <v/>
      </c>
      <c r="D872" s="20" t="str">
        <f aca="false">IF($X872="","",INDEX('Per Line'!$A$2:$A$4001,$X872))</f>
        <v/>
      </c>
      <c r="E872" s="21" t="str">
        <f aca="false">IF($X872="","",INDEX('Per Line'!$F$2:$F$4001,$X872))</f>
        <v/>
      </c>
      <c r="F872" s="20" t="str">
        <f aca="false">IF($X872="","",INDEX('Per Line'!$G$2:$G$4001,$X872))</f>
        <v/>
      </c>
      <c r="G872" s="20" t="str">
        <f aca="false">IF($X872="","",INDEX('Per Line'!$I$2:$I$4001,$X872))</f>
        <v/>
      </c>
      <c r="H872" s="20" t="str">
        <f aca="false">IF($X872="","",INDEX('Per Line'!$J$2:$J$4001,$X872))</f>
        <v/>
      </c>
      <c r="I872" s="20" t="str">
        <f aca="false">IF($X872="","",INDEX('Per Line'!$K$2:$K$4001,$X872))</f>
        <v/>
      </c>
      <c r="J872" s="20" t="str">
        <f aca="false">IF($X872="","",INDEX('Per Line'!$L$2:$L$4001,$X872))</f>
        <v/>
      </c>
      <c r="K872" s="20" t="str">
        <f aca="false">IF($X872="","",INDEX('Per Line'!$M$2:$M$4001,$X872))</f>
        <v/>
      </c>
      <c r="L872" s="22" t="str">
        <f aca="false">IF($X872="","",K872*V872/100)</f>
        <v/>
      </c>
      <c r="M872" s="20" t="str">
        <f aca="false">IF($X872="","",INDEX('Per Line'!$Z$2:$Z$4001,$X872))</f>
        <v/>
      </c>
      <c r="N872" s="23" t="str">
        <f aca="false">IF($X872="","",Settings!$C$7)</f>
        <v/>
      </c>
      <c r="O872" s="22" t="str">
        <f aca="false">IF($X872="","",SUMIFS('Per Line'!$Y$2:$Y$4001,'Per Line'!$D$2:$D$4001,$B872,'Per Line'!$AJ$2:$AJ$4001,0))</f>
        <v/>
      </c>
      <c r="P872" s="22" t="str">
        <f aca="false">IF($X872="","",O872*N872)</f>
        <v/>
      </c>
      <c r="Q872" s="23" t="str">
        <f aca="false">IF($X872="","",Settings!$C$6)</f>
        <v/>
      </c>
      <c r="R872" s="22" t="str">
        <f aca="false">IF($X872="","",SUMIFS('Per Line'!$Y$2:$Y$4001,'Per Line'!$D$2:$D$4001,$B872,'Per Line'!$AJ$2:$AJ$4001,1))</f>
        <v/>
      </c>
      <c r="S872" s="22" t="str">
        <f aca="false">IF($X872="","",R872*Q872)</f>
        <v/>
      </c>
      <c r="T872" s="22" t="str">
        <f aca="false">IF($X872="","",S872+P872)</f>
        <v/>
      </c>
      <c r="U872" s="22" t="str">
        <f aca="false">IF($X872="","",V872-T872)</f>
        <v/>
      </c>
      <c r="V872" s="22" t="str">
        <f aca="false">IF($X872="","",O872+R872)</f>
        <v/>
      </c>
      <c r="W872" s="22" t="str">
        <f aca="false">IF($X872="","",U872-L872)</f>
        <v/>
      </c>
      <c r="X872" s="24" t="str">
        <f aca="false">IF(ROWS($X$2:$X872)&lt;=MAX('Per Line'!$AI$2:$AI$4001),MATCH(ROWS($X$2:$X872),'Per Line'!$AI$2:$AI$4001,0),"")</f>
        <v/>
      </c>
    </row>
    <row r="873" customFormat="false" ht="15" hidden="false" customHeight="false" outlineLevel="0" collapsed="false">
      <c r="A873" s="19"/>
      <c r="B873" s="20" t="str">
        <f aca="false">IF($X873="","",INDEX('Per Line'!$D$2:$D$4001,$X873))</f>
        <v/>
      </c>
      <c r="C873" s="20" t="str">
        <f aca="false">IF($X873="","",INDEX('Per Line'!$C$2:$C$4001,$X873))</f>
        <v/>
      </c>
      <c r="D873" s="20" t="str">
        <f aca="false">IF($X873="","",INDEX('Per Line'!$A$2:$A$4001,$X873))</f>
        <v/>
      </c>
      <c r="E873" s="21" t="str">
        <f aca="false">IF($X873="","",INDEX('Per Line'!$F$2:$F$4001,$X873))</f>
        <v/>
      </c>
      <c r="F873" s="20" t="str">
        <f aca="false">IF($X873="","",INDEX('Per Line'!$G$2:$G$4001,$X873))</f>
        <v/>
      </c>
      <c r="G873" s="20" t="str">
        <f aca="false">IF($X873="","",INDEX('Per Line'!$I$2:$I$4001,$X873))</f>
        <v/>
      </c>
      <c r="H873" s="20" t="str">
        <f aca="false">IF($X873="","",INDEX('Per Line'!$J$2:$J$4001,$X873))</f>
        <v/>
      </c>
      <c r="I873" s="20" t="str">
        <f aca="false">IF($X873="","",INDEX('Per Line'!$K$2:$K$4001,$X873))</f>
        <v/>
      </c>
      <c r="J873" s="20" t="str">
        <f aca="false">IF($X873="","",INDEX('Per Line'!$L$2:$L$4001,$X873))</f>
        <v/>
      </c>
      <c r="K873" s="20" t="str">
        <f aca="false">IF($X873="","",INDEX('Per Line'!$M$2:$M$4001,$X873))</f>
        <v/>
      </c>
      <c r="L873" s="22" t="str">
        <f aca="false">IF($X873="","",K873*V873/100)</f>
        <v/>
      </c>
      <c r="M873" s="20" t="str">
        <f aca="false">IF($X873="","",INDEX('Per Line'!$Z$2:$Z$4001,$X873))</f>
        <v/>
      </c>
      <c r="N873" s="23" t="str">
        <f aca="false">IF($X873="","",Settings!$C$7)</f>
        <v/>
      </c>
      <c r="O873" s="22" t="str">
        <f aca="false">IF($X873="","",SUMIFS('Per Line'!$Y$2:$Y$4001,'Per Line'!$D$2:$D$4001,$B873,'Per Line'!$AJ$2:$AJ$4001,0))</f>
        <v/>
      </c>
      <c r="P873" s="22" t="str">
        <f aca="false">IF($X873="","",O873*N873)</f>
        <v/>
      </c>
      <c r="Q873" s="23" t="str">
        <f aca="false">IF($X873="","",Settings!$C$6)</f>
        <v/>
      </c>
      <c r="R873" s="22" t="str">
        <f aca="false">IF($X873="","",SUMIFS('Per Line'!$Y$2:$Y$4001,'Per Line'!$D$2:$D$4001,$B873,'Per Line'!$AJ$2:$AJ$4001,1))</f>
        <v/>
      </c>
      <c r="S873" s="22" t="str">
        <f aca="false">IF($X873="","",R873*Q873)</f>
        <v/>
      </c>
      <c r="T873" s="22" t="str">
        <f aca="false">IF($X873="","",S873+P873)</f>
        <v/>
      </c>
      <c r="U873" s="22" t="str">
        <f aca="false">IF($X873="","",V873-T873)</f>
        <v/>
      </c>
      <c r="V873" s="22" t="str">
        <f aca="false">IF($X873="","",O873+R873)</f>
        <v/>
      </c>
      <c r="W873" s="22" t="str">
        <f aca="false">IF($X873="","",U873-L873)</f>
        <v/>
      </c>
      <c r="X873" s="24" t="str">
        <f aca="false">IF(ROWS($X$2:$X873)&lt;=MAX('Per Line'!$AI$2:$AI$4001),MATCH(ROWS($X$2:$X873),'Per Line'!$AI$2:$AI$4001,0),"")</f>
        <v/>
      </c>
    </row>
    <row r="874" customFormat="false" ht="15" hidden="false" customHeight="false" outlineLevel="0" collapsed="false">
      <c r="A874" s="19"/>
      <c r="B874" s="20" t="str">
        <f aca="false">IF($X874="","",INDEX('Per Line'!$D$2:$D$4001,$X874))</f>
        <v/>
      </c>
      <c r="C874" s="20" t="str">
        <f aca="false">IF($X874="","",INDEX('Per Line'!$C$2:$C$4001,$X874))</f>
        <v/>
      </c>
      <c r="D874" s="20" t="str">
        <f aca="false">IF($X874="","",INDEX('Per Line'!$A$2:$A$4001,$X874))</f>
        <v/>
      </c>
      <c r="E874" s="21" t="str">
        <f aca="false">IF($X874="","",INDEX('Per Line'!$F$2:$F$4001,$X874))</f>
        <v/>
      </c>
      <c r="F874" s="20" t="str">
        <f aca="false">IF($X874="","",INDEX('Per Line'!$G$2:$G$4001,$X874))</f>
        <v/>
      </c>
      <c r="G874" s="20" t="str">
        <f aca="false">IF($X874="","",INDEX('Per Line'!$I$2:$I$4001,$X874))</f>
        <v/>
      </c>
      <c r="H874" s="20" t="str">
        <f aca="false">IF($X874="","",INDEX('Per Line'!$J$2:$J$4001,$X874))</f>
        <v/>
      </c>
      <c r="I874" s="20" t="str">
        <f aca="false">IF($X874="","",INDEX('Per Line'!$K$2:$K$4001,$X874))</f>
        <v/>
      </c>
      <c r="J874" s="20" t="str">
        <f aca="false">IF($X874="","",INDEX('Per Line'!$L$2:$L$4001,$X874))</f>
        <v/>
      </c>
      <c r="K874" s="20" t="str">
        <f aca="false">IF($X874="","",INDEX('Per Line'!$M$2:$M$4001,$X874))</f>
        <v/>
      </c>
      <c r="L874" s="22" t="str">
        <f aca="false">IF($X874="","",K874*V874/100)</f>
        <v/>
      </c>
      <c r="M874" s="20" t="str">
        <f aca="false">IF($X874="","",INDEX('Per Line'!$Z$2:$Z$4001,$X874))</f>
        <v/>
      </c>
      <c r="N874" s="23" t="str">
        <f aca="false">IF($X874="","",Settings!$C$7)</f>
        <v/>
      </c>
      <c r="O874" s="22" t="str">
        <f aca="false">IF($X874="","",SUMIFS('Per Line'!$Y$2:$Y$4001,'Per Line'!$D$2:$D$4001,$B874,'Per Line'!$AJ$2:$AJ$4001,0))</f>
        <v/>
      </c>
      <c r="P874" s="22" t="str">
        <f aca="false">IF($X874="","",O874*N874)</f>
        <v/>
      </c>
      <c r="Q874" s="23" t="str">
        <f aca="false">IF($X874="","",Settings!$C$6)</f>
        <v/>
      </c>
      <c r="R874" s="22" t="str">
        <f aca="false">IF($X874="","",SUMIFS('Per Line'!$Y$2:$Y$4001,'Per Line'!$D$2:$D$4001,$B874,'Per Line'!$AJ$2:$AJ$4001,1))</f>
        <v/>
      </c>
      <c r="S874" s="22" t="str">
        <f aca="false">IF($X874="","",R874*Q874)</f>
        <v/>
      </c>
      <c r="T874" s="22" t="str">
        <f aca="false">IF($X874="","",S874+P874)</f>
        <v/>
      </c>
      <c r="U874" s="22" t="str">
        <f aca="false">IF($X874="","",V874-T874)</f>
        <v/>
      </c>
      <c r="V874" s="22" t="str">
        <f aca="false">IF($X874="","",O874+R874)</f>
        <v/>
      </c>
      <c r="W874" s="22" t="str">
        <f aca="false">IF($X874="","",U874-L874)</f>
        <v/>
      </c>
      <c r="X874" s="24" t="str">
        <f aca="false">IF(ROWS($X$2:$X874)&lt;=MAX('Per Line'!$AI$2:$AI$4001),MATCH(ROWS($X$2:$X874),'Per Line'!$AI$2:$AI$4001,0),"")</f>
        <v/>
      </c>
    </row>
    <row r="875" customFormat="false" ht="15" hidden="false" customHeight="false" outlineLevel="0" collapsed="false">
      <c r="A875" s="19"/>
      <c r="B875" s="20" t="str">
        <f aca="false">IF($X875="","",INDEX('Per Line'!$D$2:$D$4001,$X875))</f>
        <v/>
      </c>
      <c r="C875" s="20" t="str">
        <f aca="false">IF($X875="","",INDEX('Per Line'!$C$2:$C$4001,$X875))</f>
        <v/>
      </c>
      <c r="D875" s="20" t="str">
        <f aca="false">IF($X875="","",INDEX('Per Line'!$A$2:$A$4001,$X875))</f>
        <v/>
      </c>
      <c r="E875" s="21" t="str">
        <f aca="false">IF($X875="","",INDEX('Per Line'!$F$2:$F$4001,$X875))</f>
        <v/>
      </c>
      <c r="F875" s="20" t="str">
        <f aca="false">IF($X875="","",INDEX('Per Line'!$G$2:$G$4001,$X875))</f>
        <v/>
      </c>
      <c r="G875" s="20" t="str">
        <f aca="false">IF($X875="","",INDEX('Per Line'!$I$2:$I$4001,$X875))</f>
        <v/>
      </c>
      <c r="H875" s="20" t="str">
        <f aca="false">IF($X875="","",INDEX('Per Line'!$J$2:$J$4001,$X875))</f>
        <v/>
      </c>
      <c r="I875" s="20" t="str">
        <f aca="false">IF($X875="","",INDEX('Per Line'!$K$2:$K$4001,$X875))</f>
        <v/>
      </c>
      <c r="J875" s="20" t="str">
        <f aca="false">IF($X875="","",INDEX('Per Line'!$L$2:$L$4001,$X875))</f>
        <v/>
      </c>
      <c r="K875" s="20" t="str">
        <f aca="false">IF($X875="","",INDEX('Per Line'!$M$2:$M$4001,$X875))</f>
        <v/>
      </c>
      <c r="L875" s="22" t="str">
        <f aca="false">IF($X875="","",K875*V875/100)</f>
        <v/>
      </c>
      <c r="M875" s="20" t="str">
        <f aca="false">IF($X875="","",INDEX('Per Line'!$Z$2:$Z$4001,$X875))</f>
        <v/>
      </c>
      <c r="N875" s="23" t="str">
        <f aca="false">IF($X875="","",Settings!$C$7)</f>
        <v/>
      </c>
      <c r="O875" s="22" t="str">
        <f aca="false">IF($X875="","",SUMIFS('Per Line'!$Y$2:$Y$4001,'Per Line'!$D$2:$D$4001,$B875,'Per Line'!$AJ$2:$AJ$4001,0))</f>
        <v/>
      </c>
      <c r="P875" s="22" t="str">
        <f aca="false">IF($X875="","",O875*N875)</f>
        <v/>
      </c>
      <c r="Q875" s="23" t="str">
        <f aca="false">IF($X875="","",Settings!$C$6)</f>
        <v/>
      </c>
      <c r="R875" s="22" t="str">
        <f aca="false">IF($X875="","",SUMIFS('Per Line'!$Y$2:$Y$4001,'Per Line'!$D$2:$D$4001,$B875,'Per Line'!$AJ$2:$AJ$4001,1))</f>
        <v/>
      </c>
      <c r="S875" s="22" t="str">
        <f aca="false">IF($X875="","",R875*Q875)</f>
        <v/>
      </c>
      <c r="T875" s="22" t="str">
        <f aca="false">IF($X875="","",S875+P875)</f>
        <v/>
      </c>
      <c r="U875" s="22" t="str">
        <f aca="false">IF($X875="","",V875-T875)</f>
        <v/>
      </c>
      <c r="V875" s="22" t="str">
        <f aca="false">IF($X875="","",O875+R875)</f>
        <v/>
      </c>
      <c r="W875" s="22" t="str">
        <f aca="false">IF($X875="","",U875-L875)</f>
        <v/>
      </c>
      <c r="X875" s="24" t="str">
        <f aca="false">IF(ROWS($X$2:$X875)&lt;=MAX('Per Line'!$AI$2:$AI$4001),MATCH(ROWS($X$2:$X875),'Per Line'!$AI$2:$AI$4001,0),"")</f>
        <v/>
      </c>
    </row>
    <row r="876" customFormat="false" ht="15" hidden="false" customHeight="false" outlineLevel="0" collapsed="false">
      <c r="A876" s="19"/>
      <c r="B876" s="20" t="str">
        <f aca="false">IF($X876="","",INDEX('Per Line'!$D$2:$D$4001,$X876))</f>
        <v/>
      </c>
      <c r="C876" s="20" t="str">
        <f aca="false">IF($X876="","",INDEX('Per Line'!$C$2:$C$4001,$X876))</f>
        <v/>
      </c>
      <c r="D876" s="20" t="str">
        <f aca="false">IF($X876="","",INDEX('Per Line'!$A$2:$A$4001,$X876))</f>
        <v/>
      </c>
      <c r="E876" s="21" t="str">
        <f aca="false">IF($X876="","",INDEX('Per Line'!$F$2:$F$4001,$X876))</f>
        <v/>
      </c>
      <c r="F876" s="20" t="str">
        <f aca="false">IF($X876="","",INDEX('Per Line'!$G$2:$G$4001,$X876))</f>
        <v/>
      </c>
      <c r="G876" s="20" t="str">
        <f aca="false">IF($X876="","",INDEX('Per Line'!$I$2:$I$4001,$X876))</f>
        <v/>
      </c>
      <c r="H876" s="20" t="str">
        <f aca="false">IF($X876="","",INDEX('Per Line'!$J$2:$J$4001,$X876))</f>
        <v/>
      </c>
      <c r="I876" s="20" t="str">
        <f aca="false">IF($X876="","",INDEX('Per Line'!$K$2:$K$4001,$X876))</f>
        <v/>
      </c>
      <c r="J876" s="20" t="str">
        <f aca="false">IF($X876="","",INDEX('Per Line'!$L$2:$L$4001,$X876))</f>
        <v/>
      </c>
      <c r="K876" s="20" t="str">
        <f aca="false">IF($X876="","",INDEX('Per Line'!$M$2:$M$4001,$X876))</f>
        <v/>
      </c>
      <c r="L876" s="22" t="str">
        <f aca="false">IF($X876="","",K876*V876/100)</f>
        <v/>
      </c>
      <c r="M876" s="20" t="str">
        <f aca="false">IF($X876="","",INDEX('Per Line'!$Z$2:$Z$4001,$X876))</f>
        <v/>
      </c>
      <c r="N876" s="23" t="str">
        <f aca="false">IF($X876="","",Settings!$C$7)</f>
        <v/>
      </c>
      <c r="O876" s="22" t="str">
        <f aca="false">IF($X876="","",SUMIFS('Per Line'!$Y$2:$Y$4001,'Per Line'!$D$2:$D$4001,$B876,'Per Line'!$AJ$2:$AJ$4001,0))</f>
        <v/>
      </c>
      <c r="P876" s="22" t="str">
        <f aca="false">IF($X876="","",O876*N876)</f>
        <v/>
      </c>
      <c r="Q876" s="23" t="str">
        <f aca="false">IF($X876="","",Settings!$C$6)</f>
        <v/>
      </c>
      <c r="R876" s="22" t="str">
        <f aca="false">IF($X876="","",SUMIFS('Per Line'!$Y$2:$Y$4001,'Per Line'!$D$2:$D$4001,$B876,'Per Line'!$AJ$2:$AJ$4001,1))</f>
        <v/>
      </c>
      <c r="S876" s="22" t="str">
        <f aca="false">IF($X876="","",R876*Q876)</f>
        <v/>
      </c>
      <c r="T876" s="22" t="str">
        <f aca="false">IF($X876="","",S876+P876)</f>
        <v/>
      </c>
      <c r="U876" s="22" t="str">
        <f aca="false">IF($X876="","",V876-T876)</f>
        <v/>
      </c>
      <c r="V876" s="22" t="str">
        <f aca="false">IF($X876="","",O876+R876)</f>
        <v/>
      </c>
      <c r="W876" s="22" t="str">
        <f aca="false">IF($X876="","",U876-L876)</f>
        <v/>
      </c>
      <c r="X876" s="24" t="str">
        <f aca="false">IF(ROWS($X$2:$X876)&lt;=MAX('Per Line'!$AI$2:$AI$4001),MATCH(ROWS($X$2:$X876),'Per Line'!$AI$2:$AI$4001,0),"")</f>
        <v/>
      </c>
    </row>
    <row r="877" customFormat="false" ht="15" hidden="false" customHeight="false" outlineLevel="0" collapsed="false">
      <c r="A877" s="19"/>
      <c r="B877" s="20" t="str">
        <f aca="false">IF($X877="","",INDEX('Per Line'!$D$2:$D$4001,$X877))</f>
        <v/>
      </c>
      <c r="C877" s="20" t="str">
        <f aca="false">IF($X877="","",INDEX('Per Line'!$C$2:$C$4001,$X877))</f>
        <v/>
      </c>
      <c r="D877" s="20" t="str">
        <f aca="false">IF($X877="","",INDEX('Per Line'!$A$2:$A$4001,$X877))</f>
        <v/>
      </c>
      <c r="E877" s="21" t="str">
        <f aca="false">IF($X877="","",INDEX('Per Line'!$F$2:$F$4001,$X877))</f>
        <v/>
      </c>
      <c r="F877" s="20" t="str">
        <f aca="false">IF($X877="","",INDEX('Per Line'!$G$2:$G$4001,$X877))</f>
        <v/>
      </c>
      <c r="G877" s="20" t="str">
        <f aca="false">IF($X877="","",INDEX('Per Line'!$I$2:$I$4001,$X877))</f>
        <v/>
      </c>
      <c r="H877" s="20" t="str">
        <f aca="false">IF($X877="","",INDEX('Per Line'!$J$2:$J$4001,$X877))</f>
        <v/>
      </c>
      <c r="I877" s="20" t="str">
        <f aca="false">IF($X877="","",INDEX('Per Line'!$K$2:$K$4001,$X877))</f>
        <v/>
      </c>
      <c r="J877" s="20" t="str">
        <f aca="false">IF($X877="","",INDEX('Per Line'!$L$2:$L$4001,$X877))</f>
        <v/>
      </c>
      <c r="K877" s="20" t="str">
        <f aca="false">IF($X877="","",INDEX('Per Line'!$M$2:$M$4001,$X877))</f>
        <v/>
      </c>
      <c r="L877" s="22" t="str">
        <f aca="false">IF($X877="","",K877*V877/100)</f>
        <v/>
      </c>
      <c r="M877" s="20" t="str">
        <f aca="false">IF($X877="","",INDEX('Per Line'!$Z$2:$Z$4001,$X877))</f>
        <v/>
      </c>
      <c r="N877" s="23" t="str">
        <f aca="false">IF($X877="","",Settings!$C$7)</f>
        <v/>
      </c>
      <c r="O877" s="22" t="str">
        <f aca="false">IF($X877="","",SUMIFS('Per Line'!$Y$2:$Y$4001,'Per Line'!$D$2:$D$4001,$B877,'Per Line'!$AJ$2:$AJ$4001,0))</f>
        <v/>
      </c>
      <c r="P877" s="22" t="str">
        <f aca="false">IF($X877="","",O877*N877)</f>
        <v/>
      </c>
      <c r="Q877" s="23" t="str">
        <f aca="false">IF($X877="","",Settings!$C$6)</f>
        <v/>
      </c>
      <c r="R877" s="22" t="str">
        <f aca="false">IF($X877="","",SUMIFS('Per Line'!$Y$2:$Y$4001,'Per Line'!$D$2:$D$4001,$B877,'Per Line'!$AJ$2:$AJ$4001,1))</f>
        <v/>
      </c>
      <c r="S877" s="22" t="str">
        <f aca="false">IF($X877="","",R877*Q877)</f>
        <v/>
      </c>
      <c r="T877" s="22" t="str">
        <f aca="false">IF($X877="","",S877+P877)</f>
        <v/>
      </c>
      <c r="U877" s="22" t="str">
        <f aca="false">IF($X877="","",V877-T877)</f>
        <v/>
      </c>
      <c r="V877" s="22" t="str">
        <f aca="false">IF($X877="","",O877+R877)</f>
        <v/>
      </c>
      <c r="W877" s="22" t="str">
        <f aca="false">IF($X877="","",U877-L877)</f>
        <v/>
      </c>
      <c r="X877" s="24" t="str">
        <f aca="false">IF(ROWS($X$2:$X877)&lt;=MAX('Per Line'!$AI$2:$AI$4001),MATCH(ROWS($X$2:$X877),'Per Line'!$AI$2:$AI$4001,0),"")</f>
        <v/>
      </c>
    </row>
    <row r="878" customFormat="false" ht="15" hidden="false" customHeight="false" outlineLevel="0" collapsed="false">
      <c r="A878" s="19"/>
      <c r="B878" s="20" t="str">
        <f aca="false">IF($X878="","",INDEX('Per Line'!$D$2:$D$4001,$X878))</f>
        <v/>
      </c>
      <c r="C878" s="20" t="str">
        <f aca="false">IF($X878="","",INDEX('Per Line'!$C$2:$C$4001,$X878))</f>
        <v/>
      </c>
      <c r="D878" s="20" t="str">
        <f aca="false">IF($X878="","",INDEX('Per Line'!$A$2:$A$4001,$X878))</f>
        <v/>
      </c>
      <c r="E878" s="21" t="str">
        <f aca="false">IF($X878="","",INDEX('Per Line'!$F$2:$F$4001,$X878))</f>
        <v/>
      </c>
      <c r="F878" s="20" t="str">
        <f aca="false">IF($X878="","",INDEX('Per Line'!$G$2:$G$4001,$X878))</f>
        <v/>
      </c>
      <c r="G878" s="20" t="str">
        <f aca="false">IF($X878="","",INDEX('Per Line'!$I$2:$I$4001,$X878))</f>
        <v/>
      </c>
      <c r="H878" s="20" t="str">
        <f aca="false">IF($X878="","",INDEX('Per Line'!$J$2:$J$4001,$X878))</f>
        <v/>
      </c>
      <c r="I878" s="20" t="str">
        <f aca="false">IF($X878="","",INDEX('Per Line'!$K$2:$K$4001,$X878))</f>
        <v/>
      </c>
      <c r="J878" s="20" t="str">
        <f aca="false">IF($X878="","",INDEX('Per Line'!$L$2:$L$4001,$X878))</f>
        <v/>
      </c>
      <c r="K878" s="20" t="str">
        <f aca="false">IF($X878="","",INDEX('Per Line'!$M$2:$M$4001,$X878))</f>
        <v/>
      </c>
      <c r="L878" s="22" t="str">
        <f aca="false">IF($X878="","",K878*V878/100)</f>
        <v/>
      </c>
      <c r="M878" s="20" t="str">
        <f aca="false">IF($X878="","",INDEX('Per Line'!$Z$2:$Z$4001,$X878))</f>
        <v/>
      </c>
      <c r="N878" s="23" t="str">
        <f aca="false">IF($X878="","",Settings!$C$7)</f>
        <v/>
      </c>
      <c r="O878" s="22" t="str">
        <f aca="false">IF($X878="","",SUMIFS('Per Line'!$Y$2:$Y$4001,'Per Line'!$D$2:$D$4001,$B878,'Per Line'!$AJ$2:$AJ$4001,0))</f>
        <v/>
      </c>
      <c r="P878" s="22" t="str">
        <f aca="false">IF($X878="","",O878*N878)</f>
        <v/>
      </c>
      <c r="Q878" s="23" t="str">
        <f aca="false">IF($X878="","",Settings!$C$6)</f>
        <v/>
      </c>
      <c r="R878" s="22" t="str">
        <f aca="false">IF($X878="","",SUMIFS('Per Line'!$Y$2:$Y$4001,'Per Line'!$D$2:$D$4001,$B878,'Per Line'!$AJ$2:$AJ$4001,1))</f>
        <v/>
      </c>
      <c r="S878" s="22" t="str">
        <f aca="false">IF($X878="","",R878*Q878)</f>
        <v/>
      </c>
      <c r="T878" s="22" t="str">
        <f aca="false">IF($X878="","",S878+P878)</f>
        <v/>
      </c>
      <c r="U878" s="22" t="str">
        <f aca="false">IF($X878="","",V878-T878)</f>
        <v/>
      </c>
      <c r="V878" s="22" t="str">
        <f aca="false">IF($X878="","",O878+R878)</f>
        <v/>
      </c>
      <c r="W878" s="22" t="str">
        <f aca="false">IF($X878="","",U878-L878)</f>
        <v/>
      </c>
      <c r="X878" s="24" t="str">
        <f aca="false">IF(ROWS($X$2:$X878)&lt;=MAX('Per Line'!$AI$2:$AI$4001),MATCH(ROWS($X$2:$X878),'Per Line'!$AI$2:$AI$4001,0),"")</f>
        <v/>
      </c>
    </row>
    <row r="879" customFormat="false" ht="15" hidden="false" customHeight="false" outlineLevel="0" collapsed="false">
      <c r="A879" s="19"/>
      <c r="B879" s="20" t="str">
        <f aca="false">IF($X879="","",INDEX('Per Line'!$D$2:$D$4001,$X879))</f>
        <v/>
      </c>
      <c r="C879" s="20" t="str">
        <f aca="false">IF($X879="","",INDEX('Per Line'!$C$2:$C$4001,$X879))</f>
        <v/>
      </c>
      <c r="D879" s="20" t="str">
        <f aca="false">IF($X879="","",INDEX('Per Line'!$A$2:$A$4001,$X879))</f>
        <v/>
      </c>
      <c r="E879" s="21" t="str">
        <f aca="false">IF($X879="","",INDEX('Per Line'!$F$2:$F$4001,$X879))</f>
        <v/>
      </c>
      <c r="F879" s="20" t="str">
        <f aca="false">IF($X879="","",INDEX('Per Line'!$G$2:$G$4001,$X879))</f>
        <v/>
      </c>
      <c r="G879" s="20" t="str">
        <f aca="false">IF($X879="","",INDEX('Per Line'!$I$2:$I$4001,$X879))</f>
        <v/>
      </c>
      <c r="H879" s="20" t="str">
        <f aca="false">IF($X879="","",INDEX('Per Line'!$J$2:$J$4001,$X879))</f>
        <v/>
      </c>
      <c r="I879" s="20" t="str">
        <f aca="false">IF($X879="","",INDEX('Per Line'!$K$2:$K$4001,$X879))</f>
        <v/>
      </c>
      <c r="J879" s="20" t="str">
        <f aca="false">IF($X879="","",INDEX('Per Line'!$L$2:$L$4001,$X879))</f>
        <v/>
      </c>
      <c r="K879" s="20" t="str">
        <f aca="false">IF($X879="","",INDEX('Per Line'!$M$2:$M$4001,$X879))</f>
        <v/>
      </c>
      <c r="L879" s="22" t="str">
        <f aca="false">IF($X879="","",K879*V879/100)</f>
        <v/>
      </c>
      <c r="M879" s="20" t="str">
        <f aca="false">IF($X879="","",INDEX('Per Line'!$Z$2:$Z$4001,$X879))</f>
        <v/>
      </c>
      <c r="N879" s="23" t="str">
        <f aca="false">IF($X879="","",Settings!$C$7)</f>
        <v/>
      </c>
      <c r="O879" s="22" t="str">
        <f aca="false">IF($X879="","",SUMIFS('Per Line'!$Y$2:$Y$4001,'Per Line'!$D$2:$D$4001,$B879,'Per Line'!$AJ$2:$AJ$4001,0))</f>
        <v/>
      </c>
      <c r="P879" s="22" t="str">
        <f aca="false">IF($X879="","",O879*N879)</f>
        <v/>
      </c>
      <c r="Q879" s="23" t="str">
        <f aca="false">IF($X879="","",Settings!$C$6)</f>
        <v/>
      </c>
      <c r="R879" s="22" t="str">
        <f aca="false">IF($X879="","",SUMIFS('Per Line'!$Y$2:$Y$4001,'Per Line'!$D$2:$D$4001,$B879,'Per Line'!$AJ$2:$AJ$4001,1))</f>
        <v/>
      </c>
      <c r="S879" s="22" t="str">
        <f aca="false">IF($X879="","",R879*Q879)</f>
        <v/>
      </c>
      <c r="T879" s="22" t="str">
        <f aca="false">IF($X879="","",S879+P879)</f>
        <v/>
      </c>
      <c r="U879" s="22" t="str">
        <f aca="false">IF($X879="","",V879-T879)</f>
        <v/>
      </c>
      <c r="V879" s="22" t="str">
        <f aca="false">IF($X879="","",O879+R879)</f>
        <v/>
      </c>
      <c r="W879" s="22" t="str">
        <f aca="false">IF($X879="","",U879-L879)</f>
        <v/>
      </c>
      <c r="X879" s="24" t="str">
        <f aca="false">IF(ROWS($X$2:$X879)&lt;=MAX('Per Line'!$AI$2:$AI$4001),MATCH(ROWS($X$2:$X879),'Per Line'!$AI$2:$AI$4001,0),"")</f>
        <v/>
      </c>
    </row>
    <row r="880" customFormat="false" ht="15" hidden="false" customHeight="false" outlineLevel="0" collapsed="false">
      <c r="A880" s="19"/>
      <c r="B880" s="20" t="str">
        <f aca="false">IF($X880="","",INDEX('Per Line'!$D$2:$D$4001,$X880))</f>
        <v/>
      </c>
      <c r="C880" s="20" t="str">
        <f aca="false">IF($X880="","",INDEX('Per Line'!$C$2:$C$4001,$X880))</f>
        <v/>
      </c>
      <c r="D880" s="20" t="str">
        <f aca="false">IF($X880="","",INDEX('Per Line'!$A$2:$A$4001,$X880))</f>
        <v/>
      </c>
      <c r="E880" s="21" t="str">
        <f aca="false">IF($X880="","",INDEX('Per Line'!$F$2:$F$4001,$X880))</f>
        <v/>
      </c>
      <c r="F880" s="20" t="str">
        <f aca="false">IF($X880="","",INDEX('Per Line'!$G$2:$G$4001,$X880))</f>
        <v/>
      </c>
      <c r="G880" s="20" t="str">
        <f aca="false">IF($X880="","",INDEX('Per Line'!$I$2:$I$4001,$X880))</f>
        <v/>
      </c>
      <c r="H880" s="20" t="str">
        <f aca="false">IF($X880="","",INDEX('Per Line'!$J$2:$J$4001,$X880))</f>
        <v/>
      </c>
      <c r="I880" s="20" t="str">
        <f aca="false">IF($X880="","",INDEX('Per Line'!$K$2:$K$4001,$X880))</f>
        <v/>
      </c>
      <c r="J880" s="20" t="str">
        <f aca="false">IF($X880="","",INDEX('Per Line'!$L$2:$L$4001,$X880))</f>
        <v/>
      </c>
      <c r="K880" s="20" t="str">
        <f aca="false">IF($X880="","",INDEX('Per Line'!$M$2:$M$4001,$X880))</f>
        <v/>
      </c>
      <c r="L880" s="22" t="str">
        <f aca="false">IF($X880="","",K880*V880/100)</f>
        <v/>
      </c>
      <c r="M880" s="20" t="str">
        <f aca="false">IF($X880="","",INDEX('Per Line'!$Z$2:$Z$4001,$X880))</f>
        <v/>
      </c>
      <c r="N880" s="23" t="str">
        <f aca="false">IF($X880="","",Settings!$C$7)</f>
        <v/>
      </c>
      <c r="O880" s="22" t="str">
        <f aca="false">IF($X880="","",SUMIFS('Per Line'!$Y$2:$Y$4001,'Per Line'!$D$2:$D$4001,$B880,'Per Line'!$AJ$2:$AJ$4001,0))</f>
        <v/>
      </c>
      <c r="P880" s="22" t="str">
        <f aca="false">IF($X880="","",O880*N880)</f>
        <v/>
      </c>
      <c r="Q880" s="23" t="str">
        <f aca="false">IF($X880="","",Settings!$C$6)</f>
        <v/>
      </c>
      <c r="R880" s="22" t="str">
        <f aca="false">IF($X880="","",SUMIFS('Per Line'!$Y$2:$Y$4001,'Per Line'!$D$2:$D$4001,$B880,'Per Line'!$AJ$2:$AJ$4001,1))</f>
        <v/>
      </c>
      <c r="S880" s="22" t="str">
        <f aca="false">IF($X880="","",R880*Q880)</f>
        <v/>
      </c>
      <c r="T880" s="22" t="str">
        <f aca="false">IF($X880="","",S880+P880)</f>
        <v/>
      </c>
      <c r="U880" s="22" t="str">
        <f aca="false">IF($X880="","",V880-T880)</f>
        <v/>
      </c>
      <c r="V880" s="22" t="str">
        <f aca="false">IF($X880="","",O880+R880)</f>
        <v/>
      </c>
      <c r="W880" s="22" t="str">
        <f aca="false">IF($X880="","",U880-L880)</f>
        <v/>
      </c>
      <c r="X880" s="24" t="str">
        <f aca="false">IF(ROWS($X$2:$X880)&lt;=MAX('Per Line'!$AI$2:$AI$4001),MATCH(ROWS($X$2:$X880),'Per Line'!$AI$2:$AI$4001,0),"")</f>
        <v/>
      </c>
    </row>
    <row r="881" customFormat="false" ht="15" hidden="false" customHeight="false" outlineLevel="0" collapsed="false">
      <c r="A881" s="19"/>
      <c r="B881" s="20" t="str">
        <f aca="false">IF($X881="","",INDEX('Per Line'!$D$2:$D$4001,$X881))</f>
        <v/>
      </c>
      <c r="C881" s="20" t="str">
        <f aca="false">IF($X881="","",INDEX('Per Line'!$C$2:$C$4001,$X881))</f>
        <v/>
      </c>
      <c r="D881" s="20" t="str">
        <f aca="false">IF($X881="","",INDEX('Per Line'!$A$2:$A$4001,$X881))</f>
        <v/>
      </c>
      <c r="E881" s="21" t="str">
        <f aca="false">IF($X881="","",INDEX('Per Line'!$F$2:$F$4001,$X881))</f>
        <v/>
      </c>
      <c r="F881" s="20" t="str">
        <f aca="false">IF($X881="","",INDEX('Per Line'!$G$2:$G$4001,$X881))</f>
        <v/>
      </c>
      <c r="G881" s="20" t="str">
        <f aca="false">IF($X881="","",INDEX('Per Line'!$I$2:$I$4001,$X881))</f>
        <v/>
      </c>
      <c r="H881" s="20" t="str">
        <f aca="false">IF($X881="","",INDEX('Per Line'!$J$2:$J$4001,$X881))</f>
        <v/>
      </c>
      <c r="I881" s="20" t="str">
        <f aca="false">IF($X881="","",INDEX('Per Line'!$K$2:$K$4001,$X881))</f>
        <v/>
      </c>
      <c r="J881" s="20" t="str">
        <f aca="false">IF($X881="","",INDEX('Per Line'!$L$2:$L$4001,$X881))</f>
        <v/>
      </c>
      <c r="K881" s="20" t="str">
        <f aca="false">IF($X881="","",INDEX('Per Line'!$M$2:$M$4001,$X881))</f>
        <v/>
      </c>
      <c r="L881" s="22" t="str">
        <f aca="false">IF($X881="","",K881*V881/100)</f>
        <v/>
      </c>
      <c r="M881" s="20" t="str">
        <f aca="false">IF($X881="","",INDEX('Per Line'!$Z$2:$Z$4001,$X881))</f>
        <v/>
      </c>
      <c r="N881" s="23" t="str">
        <f aca="false">IF($X881="","",Settings!$C$7)</f>
        <v/>
      </c>
      <c r="O881" s="22" t="str">
        <f aca="false">IF($X881="","",SUMIFS('Per Line'!$Y$2:$Y$4001,'Per Line'!$D$2:$D$4001,$B881,'Per Line'!$AJ$2:$AJ$4001,0))</f>
        <v/>
      </c>
      <c r="P881" s="22" t="str">
        <f aca="false">IF($X881="","",O881*N881)</f>
        <v/>
      </c>
      <c r="Q881" s="23" t="str">
        <f aca="false">IF($X881="","",Settings!$C$6)</f>
        <v/>
      </c>
      <c r="R881" s="22" t="str">
        <f aca="false">IF($X881="","",SUMIFS('Per Line'!$Y$2:$Y$4001,'Per Line'!$D$2:$D$4001,$B881,'Per Line'!$AJ$2:$AJ$4001,1))</f>
        <v/>
      </c>
      <c r="S881" s="22" t="str">
        <f aca="false">IF($X881="","",R881*Q881)</f>
        <v/>
      </c>
      <c r="T881" s="22" t="str">
        <f aca="false">IF($X881="","",S881+P881)</f>
        <v/>
      </c>
      <c r="U881" s="22" t="str">
        <f aca="false">IF($X881="","",V881-T881)</f>
        <v/>
      </c>
      <c r="V881" s="22" t="str">
        <f aca="false">IF($X881="","",O881+R881)</f>
        <v/>
      </c>
      <c r="W881" s="22" t="str">
        <f aca="false">IF($X881="","",U881-L881)</f>
        <v/>
      </c>
      <c r="X881" s="24" t="str">
        <f aca="false">IF(ROWS($X$2:$X881)&lt;=MAX('Per Line'!$AI$2:$AI$4001),MATCH(ROWS($X$2:$X881),'Per Line'!$AI$2:$AI$4001,0),"")</f>
        <v/>
      </c>
    </row>
    <row r="882" customFormat="false" ht="15" hidden="false" customHeight="false" outlineLevel="0" collapsed="false">
      <c r="A882" s="19"/>
      <c r="B882" s="20" t="str">
        <f aca="false">IF($X882="","",INDEX('Per Line'!$D$2:$D$4001,$X882))</f>
        <v/>
      </c>
      <c r="C882" s="20" t="str">
        <f aca="false">IF($X882="","",INDEX('Per Line'!$C$2:$C$4001,$X882))</f>
        <v/>
      </c>
      <c r="D882" s="20" t="str">
        <f aca="false">IF($X882="","",INDEX('Per Line'!$A$2:$A$4001,$X882))</f>
        <v/>
      </c>
      <c r="E882" s="21" t="str">
        <f aca="false">IF($X882="","",INDEX('Per Line'!$F$2:$F$4001,$X882))</f>
        <v/>
      </c>
      <c r="F882" s="20" t="str">
        <f aca="false">IF($X882="","",INDEX('Per Line'!$G$2:$G$4001,$X882))</f>
        <v/>
      </c>
      <c r="G882" s="20" t="str">
        <f aca="false">IF($X882="","",INDEX('Per Line'!$I$2:$I$4001,$X882))</f>
        <v/>
      </c>
      <c r="H882" s="20" t="str">
        <f aca="false">IF($X882="","",INDEX('Per Line'!$J$2:$J$4001,$X882))</f>
        <v/>
      </c>
      <c r="I882" s="20" t="str">
        <f aca="false">IF($X882="","",INDEX('Per Line'!$K$2:$K$4001,$X882))</f>
        <v/>
      </c>
      <c r="J882" s="20" t="str">
        <f aca="false">IF($X882="","",INDEX('Per Line'!$L$2:$L$4001,$X882))</f>
        <v/>
      </c>
      <c r="K882" s="20" t="str">
        <f aca="false">IF($X882="","",INDEX('Per Line'!$M$2:$M$4001,$X882))</f>
        <v/>
      </c>
      <c r="L882" s="22" t="str">
        <f aca="false">IF($X882="","",K882*V882/100)</f>
        <v/>
      </c>
      <c r="M882" s="20" t="str">
        <f aca="false">IF($X882="","",INDEX('Per Line'!$Z$2:$Z$4001,$X882))</f>
        <v/>
      </c>
      <c r="N882" s="23" t="str">
        <f aca="false">IF($X882="","",Settings!$C$7)</f>
        <v/>
      </c>
      <c r="O882" s="22" t="str">
        <f aca="false">IF($X882="","",SUMIFS('Per Line'!$Y$2:$Y$4001,'Per Line'!$D$2:$D$4001,$B882,'Per Line'!$AJ$2:$AJ$4001,0))</f>
        <v/>
      </c>
      <c r="P882" s="22" t="str">
        <f aca="false">IF($X882="","",O882*N882)</f>
        <v/>
      </c>
      <c r="Q882" s="23" t="str">
        <f aca="false">IF($X882="","",Settings!$C$6)</f>
        <v/>
      </c>
      <c r="R882" s="22" t="str">
        <f aca="false">IF($X882="","",SUMIFS('Per Line'!$Y$2:$Y$4001,'Per Line'!$D$2:$D$4001,$B882,'Per Line'!$AJ$2:$AJ$4001,1))</f>
        <v/>
      </c>
      <c r="S882" s="22" t="str">
        <f aca="false">IF($X882="","",R882*Q882)</f>
        <v/>
      </c>
      <c r="T882" s="22" t="str">
        <f aca="false">IF($X882="","",S882+P882)</f>
        <v/>
      </c>
      <c r="U882" s="22" t="str">
        <f aca="false">IF($X882="","",V882-T882)</f>
        <v/>
      </c>
      <c r="V882" s="22" t="str">
        <f aca="false">IF($X882="","",O882+R882)</f>
        <v/>
      </c>
      <c r="W882" s="22" t="str">
        <f aca="false">IF($X882="","",U882-L882)</f>
        <v/>
      </c>
      <c r="X882" s="24" t="str">
        <f aca="false">IF(ROWS($X$2:$X882)&lt;=MAX('Per Line'!$AI$2:$AI$4001),MATCH(ROWS($X$2:$X882),'Per Line'!$AI$2:$AI$4001,0),"")</f>
        <v/>
      </c>
    </row>
    <row r="883" customFormat="false" ht="15" hidden="false" customHeight="false" outlineLevel="0" collapsed="false">
      <c r="A883" s="19"/>
      <c r="B883" s="20" t="str">
        <f aca="false">IF($X883="","",INDEX('Per Line'!$D$2:$D$4001,$X883))</f>
        <v/>
      </c>
      <c r="C883" s="20" t="str">
        <f aca="false">IF($X883="","",INDEX('Per Line'!$C$2:$C$4001,$X883))</f>
        <v/>
      </c>
      <c r="D883" s="20" t="str">
        <f aca="false">IF($X883="","",INDEX('Per Line'!$A$2:$A$4001,$X883))</f>
        <v/>
      </c>
      <c r="E883" s="21" t="str">
        <f aca="false">IF($X883="","",INDEX('Per Line'!$F$2:$F$4001,$X883))</f>
        <v/>
      </c>
      <c r="F883" s="20" t="str">
        <f aca="false">IF($X883="","",INDEX('Per Line'!$G$2:$G$4001,$X883))</f>
        <v/>
      </c>
      <c r="G883" s="20" t="str">
        <f aca="false">IF($X883="","",INDEX('Per Line'!$I$2:$I$4001,$X883))</f>
        <v/>
      </c>
      <c r="H883" s="20" t="str">
        <f aca="false">IF($X883="","",INDEX('Per Line'!$J$2:$J$4001,$X883))</f>
        <v/>
      </c>
      <c r="I883" s="20" t="str">
        <f aca="false">IF($X883="","",INDEX('Per Line'!$K$2:$K$4001,$X883))</f>
        <v/>
      </c>
      <c r="J883" s="20" t="str">
        <f aca="false">IF($X883="","",INDEX('Per Line'!$L$2:$L$4001,$X883))</f>
        <v/>
      </c>
      <c r="K883" s="20" t="str">
        <f aca="false">IF($X883="","",INDEX('Per Line'!$M$2:$M$4001,$X883))</f>
        <v/>
      </c>
      <c r="L883" s="22" t="str">
        <f aca="false">IF($X883="","",K883*V883/100)</f>
        <v/>
      </c>
      <c r="M883" s="20" t="str">
        <f aca="false">IF($X883="","",INDEX('Per Line'!$Z$2:$Z$4001,$X883))</f>
        <v/>
      </c>
      <c r="N883" s="23" t="str">
        <f aca="false">IF($X883="","",Settings!$C$7)</f>
        <v/>
      </c>
      <c r="O883" s="22" t="str">
        <f aca="false">IF($X883="","",SUMIFS('Per Line'!$Y$2:$Y$4001,'Per Line'!$D$2:$D$4001,$B883,'Per Line'!$AJ$2:$AJ$4001,0))</f>
        <v/>
      </c>
      <c r="P883" s="22" t="str">
        <f aca="false">IF($X883="","",O883*N883)</f>
        <v/>
      </c>
      <c r="Q883" s="23" t="str">
        <f aca="false">IF($X883="","",Settings!$C$6)</f>
        <v/>
      </c>
      <c r="R883" s="22" t="str">
        <f aca="false">IF($X883="","",SUMIFS('Per Line'!$Y$2:$Y$4001,'Per Line'!$D$2:$D$4001,$B883,'Per Line'!$AJ$2:$AJ$4001,1))</f>
        <v/>
      </c>
      <c r="S883" s="22" t="str">
        <f aca="false">IF($X883="","",R883*Q883)</f>
        <v/>
      </c>
      <c r="T883" s="22" t="str">
        <f aca="false">IF($X883="","",S883+P883)</f>
        <v/>
      </c>
      <c r="U883" s="22" t="str">
        <f aca="false">IF($X883="","",V883-T883)</f>
        <v/>
      </c>
      <c r="V883" s="22" t="str">
        <f aca="false">IF($X883="","",O883+R883)</f>
        <v/>
      </c>
      <c r="W883" s="22" t="str">
        <f aca="false">IF($X883="","",U883-L883)</f>
        <v/>
      </c>
      <c r="X883" s="24" t="str">
        <f aca="false">IF(ROWS($X$2:$X883)&lt;=MAX('Per Line'!$AI$2:$AI$4001),MATCH(ROWS($X$2:$X883),'Per Line'!$AI$2:$AI$4001,0),"")</f>
        <v/>
      </c>
    </row>
    <row r="884" customFormat="false" ht="15" hidden="false" customHeight="false" outlineLevel="0" collapsed="false">
      <c r="A884" s="19"/>
      <c r="B884" s="20" t="str">
        <f aca="false">IF($X884="","",INDEX('Per Line'!$D$2:$D$4001,$X884))</f>
        <v/>
      </c>
      <c r="C884" s="20" t="str">
        <f aca="false">IF($X884="","",INDEX('Per Line'!$C$2:$C$4001,$X884))</f>
        <v/>
      </c>
      <c r="D884" s="20" t="str">
        <f aca="false">IF($X884="","",INDEX('Per Line'!$A$2:$A$4001,$X884))</f>
        <v/>
      </c>
      <c r="E884" s="21" t="str">
        <f aca="false">IF($X884="","",INDEX('Per Line'!$F$2:$F$4001,$X884))</f>
        <v/>
      </c>
      <c r="F884" s="20" t="str">
        <f aca="false">IF($X884="","",INDEX('Per Line'!$G$2:$G$4001,$X884))</f>
        <v/>
      </c>
      <c r="G884" s="20" t="str">
        <f aca="false">IF($X884="","",INDEX('Per Line'!$I$2:$I$4001,$X884))</f>
        <v/>
      </c>
      <c r="H884" s="20" t="str">
        <f aca="false">IF($X884="","",INDEX('Per Line'!$J$2:$J$4001,$X884))</f>
        <v/>
      </c>
      <c r="I884" s="20" t="str">
        <f aca="false">IF($X884="","",INDEX('Per Line'!$K$2:$K$4001,$X884))</f>
        <v/>
      </c>
      <c r="J884" s="20" t="str">
        <f aca="false">IF($X884="","",INDEX('Per Line'!$L$2:$L$4001,$X884))</f>
        <v/>
      </c>
      <c r="K884" s="20" t="str">
        <f aca="false">IF($X884="","",INDEX('Per Line'!$M$2:$M$4001,$X884))</f>
        <v/>
      </c>
      <c r="L884" s="22" t="str">
        <f aca="false">IF($X884="","",K884*V884/100)</f>
        <v/>
      </c>
      <c r="M884" s="20" t="str">
        <f aca="false">IF($X884="","",INDEX('Per Line'!$Z$2:$Z$4001,$X884))</f>
        <v/>
      </c>
      <c r="N884" s="23" t="str">
        <f aca="false">IF($X884="","",Settings!$C$7)</f>
        <v/>
      </c>
      <c r="O884" s="22" t="str">
        <f aca="false">IF($X884="","",SUMIFS('Per Line'!$Y$2:$Y$4001,'Per Line'!$D$2:$D$4001,$B884,'Per Line'!$AJ$2:$AJ$4001,0))</f>
        <v/>
      </c>
      <c r="P884" s="22" t="str">
        <f aca="false">IF($X884="","",O884*N884)</f>
        <v/>
      </c>
      <c r="Q884" s="23" t="str">
        <f aca="false">IF($X884="","",Settings!$C$6)</f>
        <v/>
      </c>
      <c r="R884" s="22" t="str">
        <f aca="false">IF($X884="","",SUMIFS('Per Line'!$Y$2:$Y$4001,'Per Line'!$D$2:$D$4001,$B884,'Per Line'!$AJ$2:$AJ$4001,1))</f>
        <v/>
      </c>
      <c r="S884" s="22" t="str">
        <f aca="false">IF($X884="","",R884*Q884)</f>
        <v/>
      </c>
      <c r="T884" s="22" t="str">
        <f aca="false">IF($X884="","",S884+P884)</f>
        <v/>
      </c>
      <c r="U884" s="22" t="str">
        <f aca="false">IF($X884="","",V884-T884)</f>
        <v/>
      </c>
      <c r="V884" s="22" t="str">
        <f aca="false">IF($X884="","",O884+R884)</f>
        <v/>
      </c>
      <c r="W884" s="22" t="str">
        <f aca="false">IF($X884="","",U884-L884)</f>
        <v/>
      </c>
      <c r="X884" s="24" t="str">
        <f aca="false">IF(ROWS($X$2:$X884)&lt;=MAX('Per Line'!$AI$2:$AI$4001),MATCH(ROWS($X$2:$X884),'Per Line'!$AI$2:$AI$4001,0),"")</f>
        <v/>
      </c>
    </row>
    <row r="885" customFormat="false" ht="15" hidden="false" customHeight="false" outlineLevel="0" collapsed="false">
      <c r="A885" s="19"/>
      <c r="B885" s="20" t="str">
        <f aca="false">IF($X885="","",INDEX('Per Line'!$D$2:$D$4001,$X885))</f>
        <v/>
      </c>
      <c r="C885" s="20" t="str">
        <f aca="false">IF($X885="","",INDEX('Per Line'!$C$2:$C$4001,$X885))</f>
        <v/>
      </c>
      <c r="D885" s="20" t="str">
        <f aca="false">IF($X885="","",INDEX('Per Line'!$A$2:$A$4001,$X885))</f>
        <v/>
      </c>
      <c r="E885" s="21" t="str">
        <f aca="false">IF($X885="","",INDEX('Per Line'!$F$2:$F$4001,$X885))</f>
        <v/>
      </c>
      <c r="F885" s="20" t="str">
        <f aca="false">IF($X885="","",INDEX('Per Line'!$G$2:$G$4001,$X885))</f>
        <v/>
      </c>
      <c r="G885" s="20" t="str">
        <f aca="false">IF($X885="","",INDEX('Per Line'!$I$2:$I$4001,$X885))</f>
        <v/>
      </c>
      <c r="H885" s="20" t="str">
        <f aca="false">IF($X885="","",INDEX('Per Line'!$J$2:$J$4001,$X885))</f>
        <v/>
      </c>
      <c r="I885" s="20" t="str">
        <f aca="false">IF($X885="","",INDEX('Per Line'!$K$2:$K$4001,$X885))</f>
        <v/>
      </c>
      <c r="J885" s="20" t="str">
        <f aca="false">IF($X885="","",INDEX('Per Line'!$L$2:$L$4001,$X885))</f>
        <v/>
      </c>
      <c r="K885" s="20" t="str">
        <f aca="false">IF($X885="","",INDEX('Per Line'!$M$2:$M$4001,$X885))</f>
        <v/>
      </c>
      <c r="L885" s="22" t="str">
        <f aca="false">IF($X885="","",K885*V885/100)</f>
        <v/>
      </c>
      <c r="M885" s="20" t="str">
        <f aca="false">IF($X885="","",INDEX('Per Line'!$Z$2:$Z$4001,$X885))</f>
        <v/>
      </c>
      <c r="N885" s="23" t="str">
        <f aca="false">IF($X885="","",Settings!$C$7)</f>
        <v/>
      </c>
      <c r="O885" s="22" t="str">
        <f aca="false">IF($X885="","",SUMIFS('Per Line'!$Y$2:$Y$4001,'Per Line'!$D$2:$D$4001,$B885,'Per Line'!$AJ$2:$AJ$4001,0))</f>
        <v/>
      </c>
      <c r="P885" s="22" t="str">
        <f aca="false">IF($X885="","",O885*N885)</f>
        <v/>
      </c>
      <c r="Q885" s="23" t="str">
        <f aca="false">IF($X885="","",Settings!$C$6)</f>
        <v/>
      </c>
      <c r="R885" s="22" t="str">
        <f aca="false">IF($X885="","",SUMIFS('Per Line'!$Y$2:$Y$4001,'Per Line'!$D$2:$D$4001,$B885,'Per Line'!$AJ$2:$AJ$4001,1))</f>
        <v/>
      </c>
      <c r="S885" s="22" t="str">
        <f aca="false">IF($X885="","",R885*Q885)</f>
        <v/>
      </c>
      <c r="T885" s="22" t="str">
        <f aca="false">IF($X885="","",S885+P885)</f>
        <v/>
      </c>
      <c r="U885" s="22" t="str">
        <f aca="false">IF($X885="","",V885-T885)</f>
        <v/>
      </c>
      <c r="V885" s="22" t="str">
        <f aca="false">IF($X885="","",O885+R885)</f>
        <v/>
      </c>
      <c r="W885" s="22" t="str">
        <f aca="false">IF($X885="","",U885-L885)</f>
        <v/>
      </c>
      <c r="X885" s="24" t="str">
        <f aca="false">IF(ROWS($X$2:$X885)&lt;=MAX('Per Line'!$AI$2:$AI$4001),MATCH(ROWS($X$2:$X885),'Per Line'!$AI$2:$AI$4001,0),"")</f>
        <v/>
      </c>
    </row>
    <row r="886" customFormat="false" ht="15" hidden="false" customHeight="false" outlineLevel="0" collapsed="false">
      <c r="A886" s="19"/>
      <c r="B886" s="20" t="str">
        <f aca="false">IF($X886="","",INDEX('Per Line'!$D$2:$D$4001,$X886))</f>
        <v/>
      </c>
      <c r="C886" s="20" t="str">
        <f aca="false">IF($X886="","",INDEX('Per Line'!$C$2:$C$4001,$X886))</f>
        <v/>
      </c>
      <c r="D886" s="20" t="str">
        <f aca="false">IF($X886="","",INDEX('Per Line'!$A$2:$A$4001,$X886))</f>
        <v/>
      </c>
      <c r="E886" s="21" t="str">
        <f aca="false">IF($X886="","",INDEX('Per Line'!$F$2:$F$4001,$X886))</f>
        <v/>
      </c>
      <c r="F886" s="20" t="str">
        <f aca="false">IF($X886="","",INDEX('Per Line'!$G$2:$G$4001,$X886))</f>
        <v/>
      </c>
      <c r="G886" s="20" t="str">
        <f aca="false">IF($X886="","",INDEX('Per Line'!$I$2:$I$4001,$X886))</f>
        <v/>
      </c>
      <c r="H886" s="20" t="str">
        <f aca="false">IF($X886="","",INDEX('Per Line'!$J$2:$J$4001,$X886))</f>
        <v/>
      </c>
      <c r="I886" s="20" t="str">
        <f aca="false">IF($X886="","",INDEX('Per Line'!$K$2:$K$4001,$X886))</f>
        <v/>
      </c>
      <c r="J886" s="20" t="str">
        <f aca="false">IF($X886="","",INDEX('Per Line'!$L$2:$L$4001,$X886))</f>
        <v/>
      </c>
      <c r="K886" s="20" t="str">
        <f aca="false">IF($X886="","",INDEX('Per Line'!$M$2:$M$4001,$X886))</f>
        <v/>
      </c>
      <c r="L886" s="22" t="str">
        <f aca="false">IF($X886="","",K886*V886/100)</f>
        <v/>
      </c>
      <c r="M886" s="20" t="str">
        <f aca="false">IF($X886="","",INDEX('Per Line'!$Z$2:$Z$4001,$X886))</f>
        <v/>
      </c>
      <c r="N886" s="23" t="str">
        <f aca="false">IF($X886="","",Settings!$C$7)</f>
        <v/>
      </c>
      <c r="O886" s="22" t="str">
        <f aca="false">IF($X886="","",SUMIFS('Per Line'!$Y$2:$Y$4001,'Per Line'!$D$2:$D$4001,$B886,'Per Line'!$AJ$2:$AJ$4001,0))</f>
        <v/>
      </c>
      <c r="P886" s="22" t="str">
        <f aca="false">IF($X886="","",O886*N886)</f>
        <v/>
      </c>
      <c r="Q886" s="23" t="str">
        <f aca="false">IF($X886="","",Settings!$C$6)</f>
        <v/>
      </c>
      <c r="R886" s="22" t="str">
        <f aca="false">IF($X886="","",SUMIFS('Per Line'!$Y$2:$Y$4001,'Per Line'!$D$2:$D$4001,$B886,'Per Line'!$AJ$2:$AJ$4001,1))</f>
        <v/>
      </c>
      <c r="S886" s="22" t="str">
        <f aca="false">IF($X886="","",R886*Q886)</f>
        <v/>
      </c>
      <c r="T886" s="22" t="str">
        <f aca="false">IF($X886="","",S886+P886)</f>
        <v/>
      </c>
      <c r="U886" s="22" t="str">
        <f aca="false">IF($X886="","",V886-T886)</f>
        <v/>
      </c>
      <c r="V886" s="22" t="str">
        <f aca="false">IF($X886="","",O886+R886)</f>
        <v/>
      </c>
      <c r="W886" s="22" t="str">
        <f aca="false">IF($X886="","",U886-L886)</f>
        <v/>
      </c>
      <c r="X886" s="24" t="str">
        <f aca="false">IF(ROWS($X$2:$X886)&lt;=MAX('Per Line'!$AI$2:$AI$4001),MATCH(ROWS($X$2:$X886),'Per Line'!$AI$2:$AI$4001,0),"")</f>
        <v/>
      </c>
    </row>
    <row r="887" customFormat="false" ht="15" hidden="false" customHeight="false" outlineLevel="0" collapsed="false">
      <c r="A887" s="19"/>
      <c r="B887" s="20" t="str">
        <f aca="false">IF($X887="","",INDEX('Per Line'!$D$2:$D$4001,$X887))</f>
        <v/>
      </c>
      <c r="C887" s="20" t="str">
        <f aca="false">IF($X887="","",INDEX('Per Line'!$C$2:$C$4001,$X887))</f>
        <v/>
      </c>
      <c r="D887" s="20" t="str">
        <f aca="false">IF($X887="","",INDEX('Per Line'!$A$2:$A$4001,$X887))</f>
        <v/>
      </c>
      <c r="E887" s="21" t="str">
        <f aca="false">IF($X887="","",INDEX('Per Line'!$F$2:$F$4001,$X887))</f>
        <v/>
      </c>
      <c r="F887" s="20" t="str">
        <f aca="false">IF($X887="","",INDEX('Per Line'!$G$2:$G$4001,$X887))</f>
        <v/>
      </c>
      <c r="G887" s="20" t="str">
        <f aca="false">IF($X887="","",INDEX('Per Line'!$I$2:$I$4001,$X887))</f>
        <v/>
      </c>
      <c r="H887" s="20" t="str">
        <f aca="false">IF($X887="","",INDEX('Per Line'!$J$2:$J$4001,$X887))</f>
        <v/>
      </c>
      <c r="I887" s="20" t="str">
        <f aca="false">IF($X887="","",INDEX('Per Line'!$K$2:$K$4001,$X887))</f>
        <v/>
      </c>
      <c r="J887" s="20" t="str">
        <f aca="false">IF($X887="","",INDEX('Per Line'!$L$2:$L$4001,$X887))</f>
        <v/>
      </c>
      <c r="K887" s="20" t="str">
        <f aca="false">IF($X887="","",INDEX('Per Line'!$M$2:$M$4001,$X887))</f>
        <v/>
      </c>
      <c r="L887" s="22" t="str">
        <f aca="false">IF($X887="","",K887*V887/100)</f>
        <v/>
      </c>
      <c r="M887" s="20" t="str">
        <f aca="false">IF($X887="","",INDEX('Per Line'!$Z$2:$Z$4001,$X887))</f>
        <v/>
      </c>
      <c r="N887" s="23" t="str">
        <f aca="false">IF($X887="","",Settings!$C$7)</f>
        <v/>
      </c>
      <c r="O887" s="22" t="str">
        <f aca="false">IF($X887="","",SUMIFS('Per Line'!$Y$2:$Y$4001,'Per Line'!$D$2:$D$4001,$B887,'Per Line'!$AJ$2:$AJ$4001,0))</f>
        <v/>
      </c>
      <c r="P887" s="22" t="str">
        <f aca="false">IF($X887="","",O887*N887)</f>
        <v/>
      </c>
      <c r="Q887" s="23" t="str">
        <f aca="false">IF($X887="","",Settings!$C$6)</f>
        <v/>
      </c>
      <c r="R887" s="22" t="str">
        <f aca="false">IF($X887="","",SUMIFS('Per Line'!$Y$2:$Y$4001,'Per Line'!$D$2:$D$4001,$B887,'Per Line'!$AJ$2:$AJ$4001,1))</f>
        <v/>
      </c>
      <c r="S887" s="22" t="str">
        <f aca="false">IF($X887="","",R887*Q887)</f>
        <v/>
      </c>
      <c r="T887" s="22" t="str">
        <f aca="false">IF($X887="","",S887+P887)</f>
        <v/>
      </c>
      <c r="U887" s="22" t="str">
        <f aca="false">IF($X887="","",V887-T887)</f>
        <v/>
      </c>
      <c r="V887" s="22" t="str">
        <f aca="false">IF($X887="","",O887+R887)</f>
        <v/>
      </c>
      <c r="W887" s="22" t="str">
        <f aca="false">IF($X887="","",U887-L887)</f>
        <v/>
      </c>
      <c r="X887" s="24" t="str">
        <f aca="false">IF(ROWS($X$2:$X887)&lt;=MAX('Per Line'!$AI$2:$AI$4001),MATCH(ROWS($X$2:$X887),'Per Line'!$AI$2:$AI$4001,0),"")</f>
        <v/>
      </c>
    </row>
    <row r="888" customFormat="false" ht="15" hidden="false" customHeight="false" outlineLevel="0" collapsed="false">
      <c r="A888" s="19"/>
      <c r="B888" s="20" t="str">
        <f aca="false">IF($X888="","",INDEX('Per Line'!$D$2:$D$4001,$X888))</f>
        <v/>
      </c>
      <c r="C888" s="20" t="str">
        <f aca="false">IF($X888="","",INDEX('Per Line'!$C$2:$C$4001,$X888))</f>
        <v/>
      </c>
      <c r="D888" s="20" t="str">
        <f aca="false">IF($X888="","",INDEX('Per Line'!$A$2:$A$4001,$X888))</f>
        <v/>
      </c>
      <c r="E888" s="21" t="str">
        <f aca="false">IF($X888="","",INDEX('Per Line'!$F$2:$F$4001,$X888))</f>
        <v/>
      </c>
      <c r="F888" s="20" t="str">
        <f aca="false">IF($X888="","",INDEX('Per Line'!$G$2:$G$4001,$X888))</f>
        <v/>
      </c>
      <c r="G888" s="20" t="str">
        <f aca="false">IF($X888="","",INDEX('Per Line'!$I$2:$I$4001,$X888))</f>
        <v/>
      </c>
      <c r="H888" s="20" t="str">
        <f aca="false">IF($X888="","",INDEX('Per Line'!$J$2:$J$4001,$X888))</f>
        <v/>
      </c>
      <c r="I888" s="20" t="str">
        <f aca="false">IF($X888="","",INDEX('Per Line'!$K$2:$K$4001,$X888))</f>
        <v/>
      </c>
      <c r="J888" s="20" t="str">
        <f aca="false">IF($X888="","",INDEX('Per Line'!$L$2:$L$4001,$X888))</f>
        <v/>
      </c>
      <c r="K888" s="20" t="str">
        <f aca="false">IF($X888="","",INDEX('Per Line'!$M$2:$M$4001,$X888))</f>
        <v/>
      </c>
      <c r="L888" s="22" t="str">
        <f aca="false">IF($X888="","",K888*V888/100)</f>
        <v/>
      </c>
      <c r="M888" s="20" t="str">
        <f aca="false">IF($X888="","",INDEX('Per Line'!$Z$2:$Z$4001,$X888))</f>
        <v/>
      </c>
      <c r="N888" s="23" t="str">
        <f aca="false">IF($X888="","",Settings!$C$7)</f>
        <v/>
      </c>
      <c r="O888" s="22" t="str">
        <f aca="false">IF($X888="","",SUMIFS('Per Line'!$Y$2:$Y$4001,'Per Line'!$D$2:$D$4001,$B888,'Per Line'!$AJ$2:$AJ$4001,0))</f>
        <v/>
      </c>
      <c r="P888" s="22" t="str">
        <f aca="false">IF($X888="","",O888*N888)</f>
        <v/>
      </c>
      <c r="Q888" s="23" t="str">
        <f aca="false">IF($X888="","",Settings!$C$6)</f>
        <v/>
      </c>
      <c r="R888" s="22" t="str">
        <f aca="false">IF($X888="","",SUMIFS('Per Line'!$Y$2:$Y$4001,'Per Line'!$D$2:$D$4001,$B888,'Per Line'!$AJ$2:$AJ$4001,1))</f>
        <v/>
      </c>
      <c r="S888" s="22" t="str">
        <f aca="false">IF($X888="","",R888*Q888)</f>
        <v/>
      </c>
      <c r="T888" s="22" t="str">
        <f aca="false">IF($X888="","",S888+P888)</f>
        <v/>
      </c>
      <c r="U888" s="22" t="str">
        <f aca="false">IF($X888="","",V888-T888)</f>
        <v/>
      </c>
      <c r="V888" s="22" t="str">
        <f aca="false">IF($X888="","",O888+R888)</f>
        <v/>
      </c>
      <c r="W888" s="22" t="str">
        <f aca="false">IF($X888="","",U888-L888)</f>
        <v/>
      </c>
      <c r="X888" s="24" t="str">
        <f aca="false">IF(ROWS($X$2:$X888)&lt;=MAX('Per Line'!$AI$2:$AI$4001),MATCH(ROWS($X$2:$X888),'Per Line'!$AI$2:$AI$4001,0),"")</f>
        <v/>
      </c>
    </row>
    <row r="889" customFormat="false" ht="15" hidden="false" customHeight="false" outlineLevel="0" collapsed="false">
      <c r="A889" s="19"/>
      <c r="B889" s="20" t="str">
        <f aca="false">IF($X889="","",INDEX('Per Line'!$D$2:$D$4001,$X889))</f>
        <v/>
      </c>
      <c r="C889" s="20" t="str">
        <f aca="false">IF($X889="","",INDEX('Per Line'!$C$2:$C$4001,$X889))</f>
        <v/>
      </c>
      <c r="D889" s="20" t="str">
        <f aca="false">IF($X889="","",INDEX('Per Line'!$A$2:$A$4001,$X889))</f>
        <v/>
      </c>
      <c r="E889" s="21" t="str">
        <f aca="false">IF($X889="","",INDEX('Per Line'!$F$2:$F$4001,$X889))</f>
        <v/>
      </c>
      <c r="F889" s="20" t="str">
        <f aca="false">IF($X889="","",INDEX('Per Line'!$G$2:$G$4001,$X889))</f>
        <v/>
      </c>
      <c r="G889" s="20" t="str">
        <f aca="false">IF($X889="","",INDEX('Per Line'!$I$2:$I$4001,$X889))</f>
        <v/>
      </c>
      <c r="H889" s="20" t="str">
        <f aca="false">IF($X889="","",INDEX('Per Line'!$J$2:$J$4001,$X889))</f>
        <v/>
      </c>
      <c r="I889" s="20" t="str">
        <f aca="false">IF($X889="","",INDEX('Per Line'!$K$2:$K$4001,$X889))</f>
        <v/>
      </c>
      <c r="J889" s="20" t="str">
        <f aca="false">IF($X889="","",INDEX('Per Line'!$L$2:$L$4001,$X889))</f>
        <v/>
      </c>
      <c r="K889" s="20" t="str">
        <f aca="false">IF($X889="","",INDEX('Per Line'!$M$2:$M$4001,$X889))</f>
        <v/>
      </c>
      <c r="L889" s="22" t="str">
        <f aca="false">IF($X889="","",K889*V889/100)</f>
        <v/>
      </c>
      <c r="M889" s="20" t="str">
        <f aca="false">IF($X889="","",INDEX('Per Line'!$Z$2:$Z$4001,$X889))</f>
        <v/>
      </c>
      <c r="N889" s="23" t="str">
        <f aca="false">IF($X889="","",Settings!$C$7)</f>
        <v/>
      </c>
      <c r="O889" s="22" t="str">
        <f aca="false">IF($X889="","",SUMIFS('Per Line'!$Y$2:$Y$4001,'Per Line'!$D$2:$D$4001,$B889,'Per Line'!$AJ$2:$AJ$4001,0))</f>
        <v/>
      </c>
      <c r="P889" s="22" t="str">
        <f aca="false">IF($X889="","",O889*N889)</f>
        <v/>
      </c>
      <c r="Q889" s="23" t="str">
        <f aca="false">IF($X889="","",Settings!$C$6)</f>
        <v/>
      </c>
      <c r="R889" s="22" t="str">
        <f aca="false">IF($X889="","",SUMIFS('Per Line'!$Y$2:$Y$4001,'Per Line'!$D$2:$D$4001,$B889,'Per Line'!$AJ$2:$AJ$4001,1))</f>
        <v/>
      </c>
      <c r="S889" s="22" t="str">
        <f aca="false">IF($X889="","",R889*Q889)</f>
        <v/>
      </c>
      <c r="T889" s="22" t="str">
        <f aca="false">IF($X889="","",S889+P889)</f>
        <v/>
      </c>
      <c r="U889" s="22" t="str">
        <f aca="false">IF($X889="","",V889-T889)</f>
        <v/>
      </c>
      <c r="V889" s="22" t="str">
        <f aca="false">IF($X889="","",O889+R889)</f>
        <v/>
      </c>
      <c r="W889" s="22" t="str">
        <f aca="false">IF($X889="","",U889-L889)</f>
        <v/>
      </c>
      <c r="X889" s="24" t="str">
        <f aca="false">IF(ROWS($X$2:$X889)&lt;=MAX('Per Line'!$AI$2:$AI$4001),MATCH(ROWS($X$2:$X889),'Per Line'!$AI$2:$AI$4001,0),"")</f>
        <v/>
      </c>
    </row>
    <row r="890" customFormat="false" ht="15" hidden="false" customHeight="false" outlineLevel="0" collapsed="false">
      <c r="A890" s="19"/>
      <c r="B890" s="20" t="str">
        <f aca="false">IF($X890="","",INDEX('Per Line'!$D$2:$D$4001,$X890))</f>
        <v/>
      </c>
      <c r="C890" s="20" t="str">
        <f aca="false">IF($X890="","",INDEX('Per Line'!$C$2:$C$4001,$X890))</f>
        <v/>
      </c>
      <c r="D890" s="20" t="str">
        <f aca="false">IF($X890="","",INDEX('Per Line'!$A$2:$A$4001,$X890))</f>
        <v/>
      </c>
      <c r="E890" s="21" t="str">
        <f aca="false">IF($X890="","",INDEX('Per Line'!$F$2:$F$4001,$X890))</f>
        <v/>
      </c>
      <c r="F890" s="20" t="str">
        <f aca="false">IF($X890="","",INDEX('Per Line'!$G$2:$G$4001,$X890))</f>
        <v/>
      </c>
      <c r="G890" s="20" t="str">
        <f aca="false">IF($X890="","",INDEX('Per Line'!$I$2:$I$4001,$X890))</f>
        <v/>
      </c>
      <c r="H890" s="20" t="str">
        <f aca="false">IF($X890="","",INDEX('Per Line'!$J$2:$J$4001,$X890))</f>
        <v/>
      </c>
      <c r="I890" s="20" t="str">
        <f aca="false">IF($X890="","",INDEX('Per Line'!$K$2:$K$4001,$X890))</f>
        <v/>
      </c>
      <c r="J890" s="20" t="str">
        <f aca="false">IF($X890="","",INDEX('Per Line'!$L$2:$L$4001,$X890))</f>
        <v/>
      </c>
      <c r="K890" s="20" t="str">
        <f aca="false">IF($X890="","",INDEX('Per Line'!$M$2:$M$4001,$X890))</f>
        <v/>
      </c>
      <c r="L890" s="22" t="str">
        <f aca="false">IF($X890="","",K890*V890/100)</f>
        <v/>
      </c>
      <c r="M890" s="20" t="str">
        <f aca="false">IF($X890="","",INDEX('Per Line'!$Z$2:$Z$4001,$X890))</f>
        <v/>
      </c>
      <c r="N890" s="23" t="str">
        <f aca="false">IF($X890="","",Settings!$C$7)</f>
        <v/>
      </c>
      <c r="O890" s="22" t="str">
        <f aca="false">IF($X890="","",SUMIFS('Per Line'!$Y$2:$Y$4001,'Per Line'!$D$2:$D$4001,$B890,'Per Line'!$AJ$2:$AJ$4001,0))</f>
        <v/>
      </c>
      <c r="P890" s="22" t="str">
        <f aca="false">IF($X890="","",O890*N890)</f>
        <v/>
      </c>
      <c r="Q890" s="23" t="str">
        <f aca="false">IF($X890="","",Settings!$C$6)</f>
        <v/>
      </c>
      <c r="R890" s="22" t="str">
        <f aca="false">IF($X890="","",SUMIFS('Per Line'!$Y$2:$Y$4001,'Per Line'!$D$2:$D$4001,$B890,'Per Line'!$AJ$2:$AJ$4001,1))</f>
        <v/>
      </c>
      <c r="S890" s="22" t="str">
        <f aca="false">IF($X890="","",R890*Q890)</f>
        <v/>
      </c>
      <c r="T890" s="22" t="str">
        <f aca="false">IF($X890="","",S890+P890)</f>
        <v/>
      </c>
      <c r="U890" s="22" t="str">
        <f aca="false">IF($X890="","",V890-T890)</f>
        <v/>
      </c>
      <c r="V890" s="22" t="str">
        <f aca="false">IF($X890="","",O890+R890)</f>
        <v/>
      </c>
      <c r="W890" s="22" t="str">
        <f aca="false">IF($X890="","",U890-L890)</f>
        <v/>
      </c>
      <c r="X890" s="24" t="str">
        <f aca="false">IF(ROWS($X$2:$X890)&lt;=MAX('Per Line'!$AI$2:$AI$4001),MATCH(ROWS($X$2:$X890),'Per Line'!$AI$2:$AI$4001,0),"")</f>
        <v/>
      </c>
    </row>
    <row r="891" customFormat="false" ht="15" hidden="false" customHeight="false" outlineLevel="0" collapsed="false">
      <c r="A891" s="19"/>
      <c r="B891" s="20" t="str">
        <f aca="false">IF($X891="","",INDEX('Per Line'!$D$2:$D$4001,$X891))</f>
        <v/>
      </c>
      <c r="C891" s="20" t="str">
        <f aca="false">IF($X891="","",INDEX('Per Line'!$C$2:$C$4001,$X891))</f>
        <v/>
      </c>
      <c r="D891" s="20" t="str">
        <f aca="false">IF($X891="","",INDEX('Per Line'!$A$2:$A$4001,$X891))</f>
        <v/>
      </c>
      <c r="E891" s="21" t="str">
        <f aca="false">IF($X891="","",INDEX('Per Line'!$F$2:$F$4001,$X891))</f>
        <v/>
      </c>
      <c r="F891" s="20" t="str">
        <f aca="false">IF($X891="","",INDEX('Per Line'!$G$2:$G$4001,$X891))</f>
        <v/>
      </c>
      <c r="G891" s="20" t="str">
        <f aca="false">IF($X891="","",INDEX('Per Line'!$I$2:$I$4001,$X891))</f>
        <v/>
      </c>
      <c r="H891" s="20" t="str">
        <f aca="false">IF($X891="","",INDEX('Per Line'!$J$2:$J$4001,$X891))</f>
        <v/>
      </c>
      <c r="I891" s="20" t="str">
        <f aca="false">IF($X891="","",INDEX('Per Line'!$K$2:$K$4001,$X891))</f>
        <v/>
      </c>
      <c r="J891" s="20" t="str">
        <f aca="false">IF($X891="","",INDEX('Per Line'!$L$2:$L$4001,$X891))</f>
        <v/>
      </c>
      <c r="K891" s="20" t="str">
        <f aca="false">IF($X891="","",INDEX('Per Line'!$M$2:$M$4001,$X891))</f>
        <v/>
      </c>
      <c r="L891" s="22" t="str">
        <f aca="false">IF($X891="","",K891*V891/100)</f>
        <v/>
      </c>
      <c r="M891" s="20" t="str">
        <f aca="false">IF($X891="","",INDEX('Per Line'!$Z$2:$Z$4001,$X891))</f>
        <v/>
      </c>
      <c r="N891" s="23" t="str">
        <f aca="false">IF($X891="","",Settings!$C$7)</f>
        <v/>
      </c>
      <c r="O891" s="22" t="str">
        <f aca="false">IF($X891="","",SUMIFS('Per Line'!$Y$2:$Y$4001,'Per Line'!$D$2:$D$4001,$B891,'Per Line'!$AJ$2:$AJ$4001,0))</f>
        <v/>
      </c>
      <c r="P891" s="22" t="str">
        <f aca="false">IF($X891="","",O891*N891)</f>
        <v/>
      </c>
      <c r="Q891" s="23" t="str">
        <f aca="false">IF($X891="","",Settings!$C$6)</f>
        <v/>
      </c>
      <c r="R891" s="22" t="str">
        <f aca="false">IF($X891="","",SUMIFS('Per Line'!$Y$2:$Y$4001,'Per Line'!$D$2:$D$4001,$B891,'Per Line'!$AJ$2:$AJ$4001,1))</f>
        <v/>
      </c>
      <c r="S891" s="22" t="str">
        <f aca="false">IF($X891="","",R891*Q891)</f>
        <v/>
      </c>
      <c r="T891" s="22" t="str">
        <f aca="false">IF($X891="","",S891+P891)</f>
        <v/>
      </c>
      <c r="U891" s="22" t="str">
        <f aca="false">IF($X891="","",V891-T891)</f>
        <v/>
      </c>
      <c r="V891" s="22" t="str">
        <f aca="false">IF($X891="","",O891+R891)</f>
        <v/>
      </c>
      <c r="W891" s="22" t="str">
        <f aca="false">IF($X891="","",U891-L891)</f>
        <v/>
      </c>
      <c r="X891" s="24" t="str">
        <f aca="false">IF(ROWS($X$2:$X891)&lt;=MAX('Per Line'!$AI$2:$AI$4001),MATCH(ROWS($X$2:$X891),'Per Line'!$AI$2:$AI$4001,0),"")</f>
        <v/>
      </c>
    </row>
    <row r="892" customFormat="false" ht="15" hidden="false" customHeight="false" outlineLevel="0" collapsed="false">
      <c r="A892" s="19"/>
      <c r="B892" s="20" t="str">
        <f aca="false">IF($X892="","",INDEX('Per Line'!$D$2:$D$4001,$X892))</f>
        <v/>
      </c>
      <c r="C892" s="20" t="str">
        <f aca="false">IF($X892="","",INDEX('Per Line'!$C$2:$C$4001,$X892))</f>
        <v/>
      </c>
      <c r="D892" s="20" t="str">
        <f aca="false">IF($X892="","",INDEX('Per Line'!$A$2:$A$4001,$X892))</f>
        <v/>
      </c>
      <c r="E892" s="21" t="str">
        <f aca="false">IF($X892="","",INDEX('Per Line'!$F$2:$F$4001,$X892))</f>
        <v/>
      </c>
      <c r="F892" s="20" t="str">
        <f aca="false">IF($X892="","",INDEX('Per Line'!$G$2:$G$4001,$X892))</f>
        <v/>
      </c>
      <c r="G892" s="20" t="str">
        <f aca="false">IF($X892="","",INDEX('Per Line'!$I$2:$I$4001,$X892))</f>
        <v/>
      </c>
      <c r="H892" s="20" t="str">
        <f aca="false">IF($X892="","",INDEX('Per Line'!$J$2:$J$4001,$X892))</f>
        <v/>
      </c>
      <c r="I892" s="20" t="str">
        <f aca="false">IF($X892="","",INDEX('Per Line'!$K$2:$K$4001,$X892))</f>
        <v/>
      </c>
      <c r="J892" s="20" t="str">
        <f aca="false">IF($X892="","",INDEX('Per Line'!$L$2:$L$4001,$X892))</f>
        <v/>
      </c>
      <c r="K892" s="20" t="str">
        <f aca="false">IF($X892="","",INDEX('Per Line'!$M$2:$M$4001,$X892))</f>
        <v/>
      </c>
      <c r="L892" s="22" t="str">
        <f aca="false">IF($X892="","",K892*V892/100)</f>
        <v/>
      </c>
      <c r="M892" s="20" t="str">
        <f aca="false">IF($X892="","",INDEX('Per Line'!$Z$2:$Z$4001,$X892))</f>
        <v/>
      </c>
      <c r="N892" s="23" t="str">
        <f aca="false">IF($X892="","",Settings!$C$7)</f>
        <v/>
      </c>
      <c r="O892" s="22" t="str">
        <f aca="false">IF($X892="","",SUMIFS('Per Line'!$Y$2:$Y$4001,'Per Line'!$D$2:$D$4001,$B892,'Per Line'!$AJ$2:$AJ$4001,0))</f>
        <v/>
      </c>
      <c r="P892" s="22" t="str">
        <f aca="false">IF($X892="","",O892*N892)</f>
        <v/>
      </c>
      <c r="Q892" s="23" t="str">
        <f aca="false">IF($X892="","",Settings!$C$6)</f>
        <v/>
      </c>
      <c r="R892" s="22" t="str">
        <f aca="false">IF($X892="","",SUMIFS('Per Line'!$Y$2:$Y$4001,'Per Line'!$D$2:$D$4001,$B892,'Per Line'!$AJ$2:$AJ$4001,1))</f>
        <v/>
      </c>
      <c r="S892" s="22" t="str">
        <f aca="false">IF($X892="","",R892*Q892)</f>
        <v/>
      </c>
      <c r="T892" s="22" t="str">
        <f aca="false">IF($X892="","",S892+P892)</f>
        <v/>
      </c>
      <c r="U892" s="22" t="str">
        <f aca="false">IF($X892="","",V892-T892)</f>
        <v/>
      </c>
      <c r="V892" s="22" t="str">
        <f aca="false">IF($X892="","",O892+R892)</f>
        <v/>
      </c>
      <c r="W892" s="22" t="str">
        <f aca="false">IF($X892="","",U892-L892)</f>
        <v/>
      </c>
      <c r="X892" s="24" t="str">
        <f aca="false">IF(ROWS($X$2:$X892)&lt;=MAX('Per Line'!$AI$2:$AI$4001),MATCH(ROWS($X$2:$X892),'Per Line'!$AI$2:$AI$4001,0),"")</f>
        <v/>
      </c>
    </row>
    <row r="893" customFormat="false" ht="15" hidden="false" customHeight="false" outlineLevel="0" collapsed="false">
      <c r="A893" s="19"/>
      <c r="B893" s="20" t="str">
        <f aca="false">IF($X893="","",INDEX('Per Line'!$D$2:$D$4001,$X893))</f>
        <v/>
      </c>
      <c r="C893" s="20" t="str">
        <f aca="false">IF($X893="","",INDEX('Per Line'!$C$2:$C$4001,$X893))</f>
        <v/>
      </c>
      <c r="D893" s="20" t="str">
        <f aca="false">IF($X893="","",INDEX('Per Line'!$A$2:$A$4001,$X893))</f>
        <v/>
      </c>
      <c r="E893" s="21" t="str">
        <f aca="false">IF($X893="","",INDEX('Per Line'!$F$2:$F$4001,$X893))</f>
        <v/>
      </c>
      <c r="F893" s="20" t="str">
        <f aca="false">IF($X893="","",INDEX('Per Line'!$G$2:$G$4001,$X893))</f>
        <v/>
      </c>
      <c r="G893" s="20" t="str">
        <f aca="false">IF($X893="","",INDEX('Per Line'!$I$2:$I$4001,$X893))</f>
        <v/>
      </c>
      <c r="H893" s="20" t="str">
        <f aca="false">IF($X893="","",INDEX('Per Line'!$J$2:$J$4001,$X893))</f>
        <v/>
      </c>
      <c r="I893" s="20" t="str">
        <f aca="false">IF($X893="","",INDEX('Per Line'!$K$2:$K$4001,$X893))</f>
        <v/>
      </c>
      <c r="J893" s="20" t="str">
        <f aca="false">IF($X893="","",INDEX('Per Line'!$L$2:$L$4001,$X893))</f>
        <v/>
      </c>
      <c r="K893" s="20" t="str">
        <f aca="false">IF($X893="","",INDEX('Per Line'!$M$2:$M$4001,$X893))</f>
        <v/>
      </c>
      <c r="L893" s="22" t="str">
        <f aca="false">IF($X893="","",K893*V893/100)</f>
        <v/>
      </c>
      <c r="M893" s="20" t="str">
        <f aca="false">IF($X893="","",INDEX('Per Line'!$Z$2:$Z$4001,$X893))</f>
        <v/>
      </c>
      <c r="N893" s="23" t="str">
        <f aca="false">IF($X893="","",Settings!$C$7)</f>
        <v/>
      </c>
      <c r="O893" s="22" t="str">
        <f aca="false">IF($X893="","",SUMIFS('Per Line'!$Y$2:$Y$4001,'Per Line'!$D$2:$D$4001,$B893,'Per Line'!$AJ$2:$AJ$4001,0))</f>
        <v/>
      </c>
      <c r="P893" s="22" t="str">
        <f aca="false">IF($X893="","",O893*N893)</f>
        <v/>
      </c>
      <c r="Q893" s="23" t="str">
        <f aca="false">IF($X893="","",Settings!$C$6)</f>
        <v/>
      </c>
      <c r="R893" s="22" t="str">
        <f aca="false">IF($X893="","",SUMIFS('Per Line'!$Y$2:$Y$4001,'Per Line'!$D$2:$D$4001,$B893,'Per Line'!$AJ$2:$AJ$4001,1))</f>
        <v/>
      </c>
      <c r="S893" s="22" t="str">
        <f aca="false">IF($X893="","",R893*Q893)</f>
        <v/>
      </c>
      <c r="T893" s="22" t="str">
        <f aca="false">IF($X893="","",S893+P893)</f>
        <v/>
      </c>
      <c r="U893" s="22" t="str">
        <f aca="false">IF($X893="","",V893-T893)</f>
        <v/>
      </c>
      <c r="V893" s="22" t="str">
        <f aca="false">IF($X893="","",O893+R893)</f>
        <v/>
      </c>
      <c r="W893" s="22" t="str">
        <f aca="false">IF($X893="","",U893-L893)</f>
        <v/>
      </c>
      <c r="X893" s="24" t="str">
        <f aca="false">IF(ROWS($X$2:$X893)&lt;=MAX('Per Line'!$AI$2:$AI$4001),MATCH(ROWS($X$2:$X893),'Per Line'!$AI$2:$AI$4001,0),"")</f>
        <v/>
      </c>
    </row>
    <row r="894" customFormat="false" ht="15" hidden="false" customHeight="false" outlineLevel="0" collapsed="false">
      <c r="A894" s="19"/>
      <c r="B894" s="20" t="str">
        <f aca="false">IF($X894="","",INDEX('Per Line'!$D$2:$D$4001,$X894))</f>
        <v/>
      </c>
      <c r="C894" s="20" t="str">
        <f aca="false">IF($X894="","",INDEX('Per Line'!$C$2:$C$4001,$X894))</f>
        <v/>
      </c>
      <c r="D894" s="20" t="str">
        <f aca="false">IF($X894="","",INDEX('Per Line'!$A$2:$A$4001,$X894))</f>
        <v/>
      </c>
      <c r="E894" s="21" t="str">
        <f aca="false">IF($X894="","",INDEX('Per Line'!$F$2:$F$4001,$X894))</f>
        <v/>
      </c>
      <c r="F894" s="20" t="str">
        <f aca="false">IF($X894="","",INDEX('Per Line'!$G$2:$G$4001,$X894))</f>
        <v/>
      </c>
      <c r="G894" s="20" t="str">
        <f aca="false">IF($X894="","",INDEX('Per Line'!$I$2:$I$4001,$X894))</f>
        <v/>
      </c>
      <c r="H894" s="20" t="str">
        <f aca="false">IF($X894="","",INDEX('Per Line'!$J$2:$J$4001,$X894))</f>
        <v/>
      </c>
      <c r="I894" s="20" t="str">
        <f aca="false">IF($X894="","",INDEX('Per Line'!$K$2:$K$4001,$X894))</f>
        <v/>
      </c>
      <c r="J894" s="20" t="str">
        <f aca="false">IF($X894="","",INDEX('Per Line'!$L$2:$L$4001,$X894))</f>
        <v/>
      </c>
      <c r="K894" s="20" t="str">
        <f aca="false">IF($X894="","",INDEX('Per Line'!$M$2:$M$4001,$X894))</f>
        <v/>
      </c>
      <c r="L894" s="22" t="str">
        <f aca="false">IF($X894="","",K894*V894/100)</f>
        <v/>
      </c>
      <c r="M894" s="20" t="str">
        <f aca="false">IF($X894="","",INDEX('Per Line'!$Z$2:$Z$4001,$X894))</f>
        <v/>
      </c>
      <c r="N894" s="23" t="str">
        <f aca="false">IF($X894="","",Settings!$C$7)</f>
        <v/>
      </c>
      <c r="O894" s="22" t="str">
        <f aca="false">IF($X894="","",SUMIFS('Per Line'!$Y$2:$Y$4001,'Per Line'!$D$2:$D$4001,$B894,'Per Line'!$AJ$2:$AJ$4001,0))</f>
        <v/>
      </c>
      <c r="P894" s="22" t="str">
        <f aca="false">IF($X894="","",O894*N894)</f>
        <v/>
      </c>
      <c r="Q894" s="23" t="str">
        <f aca="false">IF($X894="","",Settings!$C$6)</f>
        <v/>
      </c>
      <c r="R894" s="22" t="str">
        <f aca="false">IF($X894="","",SUMIFS('Per Line'!$Y$2:$Y$4001,'Per Line'!$D$2:$D$4001,$B894,'Per Line'!$AJ$2:$AJ$4001,1))</f>
        <v/>
      </c>
      <c r="S894" s="22" t="str">
        <f aca="false">IF($X894="","",R894*Q894)</f>
        <v/>
      </c>
      <c r="T894" s="22" t="str">
        <f aca="false">IF($X894="","",S894+P894)</f>
        <v/>
      </c>
      <c r="U894" s="22" t="str">
        <f aca="false">IF($X894="","",V894-T894)</f>
        <v/>
      </c>
      <c r="V894" s="22" t="str">
        <f aca="false">IF($X894="","",O894+R894)</f>
        <v/>
      </c>
      <c r="W894" s="22" t="str">
        <f aca="false">IF($X894="","",U894-L894)</f>
        <v/>
      </c>
      <c r="X894" s="24" t="str">
        <f aca="false">IF(ROWS($X$2:$X894)&lt;=MAX('Per Line'!$AI$2:$AI$4001),MATCH(ROWS($X$2:$X894),'Per Line'!$AI$2:$AI$4001,0),"")</f>
        <v/>
      </c>
    </row>
    <row r="895" customFormat="false" ht="15" hidden="false" customHeight="false" outlineLevel="0" collapsed="false">
      <c r="A895" s="19"/>
      <c r="B895" s="20" t="str">
        <f aca="false">IF($X895="","",INDEX('Per Line'!$D$2:$D$4001,$X895))</f>
        <v/>
      </c>
      <c r="C895" s="20" t="str">
        <f aca="false">IF($X895="","",INDEX('Per Line'!$C$2:$C$4001,$X895))</f>
        <v/>
      </c>
      <c r="D895" s="20" t="str">
        <f aca="false">IF($X895="","",INDEX('Per Line'!$A$2:$A$4001,$X895))</f>
        <v/>
      </c>
      <c r="E895" s="21" t="str">
        <f aca="false">IF($X895="","",INDEX('Per Line'!$F$2:$F$4001,$X895))</f>
        <v/>
      </c>
      <c r="F895" s="20" t="str">
        <f aca="false">IF($X895="","",INDEX('Per Line'!$G$2:$G$4001,$X895))</f>
        <v/>
      </c>
      <c r="G895" s="20" t="str">
        <f aca="false">IF($X895="","",INDEX('Per Line'!$I$2:$I$4001,$X895))</f>
        <v/>
      </c>
      <c r="H895" s="20" t="str">
        <f aca="false">IF($X895="","",INDEX('Per Line'!$J$2:$J$4001,$X895))</f>
        <v/>
      </c>
      <c r="I895" s="20" t="str">
        <f aca="false">IF($X895="","",INDEX('Per Line'!$K$2:$K$4001,$X895))</f>
        <v/>
      </c>
      <c r="J895" s="20" t="str">
        <f aca="false">IF($X895="","",INDEX('Per Line'!$L$2:$L$4001,$X895))</f>
        <v/>
      </c>
      <c r="K895" s="20" t="str">
        <f aca="false">IF($X895="","",INDEX('Per Line'!$M$2:$M$4001,$X895))</f>
        <v/>
      </c>
      <c r="L895" s="22" t="str">
        <f aca="false">IF($X895="","",K895*V895/100)</f>
        <v/>
      </c>
      <c r="M895" s="20" t="str">
        <f aca="false">IF($X895="","",INDEX('Per Line'!$Z$2:$Z$4001,$X895))</f>
        <v/>
      </c>
      <c r="N895" s="23" t="str">
        <f aca="false">IF($X895="","",Settings!$C$7)</f>
        <v/>
      </c>
      <c r="O895" s="22" t="str">
        <f aca="false">IF($X895="","",SUMIFS('Per Line'!$Y$2:$Y$4001,'Per Line'!$D$2:$D$4001,$B895,'Per Line'!$AJ$2:$AJ$4001,0))</f>
        <v/>
      </c>
      <c r="P895" s="22" t="str">
        <f aca="false">IF($X895="","",O895*N895)</f>
        <v/>
      </c>
      <c r="Q895" s="23" t="str">
        <f aca="false">IF($X895="","",Settings!$C$6)</f>
        <v/>
      </c>
      <c r="R895" s="22" t="str">
        <f aca="false">IF($X895="","",SUMIFS('Per Line'!$Y$2:$Y$4001,'Per Line'!$D$2:$D$4001,$B895,'Per Line'!$AJ$2:$AJ$4001,1))</f>
        <v/>
      </c>
      <c r="S895" s="22" t="str">
        <f aca="false">IF($X895="","",R895*Q895)</f>
        <v/>
      </c>
      <c r="T895" s="22" t="str">
        <f aca="false">IF($X895="","",S895+P895)</f>
        <v/>
      </c>
      <c r="U895" s="22" t="str">
        <f aca="false">IF($X895="","",V895-T895)</f>
        <v/>
      </c>
      <c r="V895" s="22" t="str">
        <f aca="false">IF($X895="","",O895+R895)</f>
        <v/>
      </c>
      <c r="W895" s="22" t="str">
        <f aca="false">IF($X895="","",U895-L895)</f>
        <v/>
      </c>
      <c r="X895" s="24" t="str">
        <f aca="false">IF(ROWS($X$2:$X895)&lt;=MAX('Per Line'!$AI$2:$AI$4001),MATCH(ROWS($X$2:$X895),'Per Line'!$AI$2:$AI$4001,0),"")</f>
        <v/>
      </c>
    </row>
    <row r="896" customFormat="false" ht="15" hidden="false" customHeight="false" outlineLevel="0" collapsed="false">
      <c r="A896" s="19"/>
      <c r="B896" s="20" t="str">
        <f aca="false">IF($X896="","",INDEX('Per Line'!$D$2:$D$4001,$X896))</f>
        <v/>
      </c>
      <c r="C896" s="20" t="str">
        <f aca="false">IF($X896="","",INDEX('Per Line'!$C$2:$C$4001,$X896))</f>
        <v/>
      </c>
      <c r="D896" s="20" t="str">
        <f aca="false">IF($X896="","",INDEX('Per Line'!$A$2:$A$4001,$X896))</f>
        <v/>
      </c>
      <c r="E896" s="21" t="str">
        <f aca="false">IF($X896="","",INDEX('Per Line'!$F$2:$F$4001,$X896))</f>
        <v/>
      </c>
      <c r="F896" s="20" t="str">
        <f aca="false">IF($X896="","",INDEX('Per Line'!$G$2:$G$4001,$X896))</f>
        <v/>
      </c>
      <c r="G896" s="20" t="str">
        <f aca="false">IF($X896="","",INDEX('Per Line'!$I$2:$I$4001,$X896))</f>
        <v/>
      </c>
      <c r="H896" s="20" t="str">
        <f aca="false">IF($X896="","",INDEX('Per Line'!$J$2:$J$4001,$X896))</f>
        <v/>
      </c>
      <c r="I896" s="20" t="str">
        <f aca="false">IF($X896="","",INDEX('Per Line'!$K$2:$K$4001,$X896))</f>
        <v/>
      </c>
      <c r="J896" s="20" t="str">
        <f aca="false">IF($X896="","",INDEX('Per Line'!$L$2:$L$4001,$X896))</f>
        <v/>
      </c>
      <c r="K896" s="20" t="str">
        <f aca="false">IF($X896="","",INDEX('Per Line'!$M$2:$M$4001,$X896))</f>
        <v/>
      </c>
      <c r="L896" s="22" t="str">
        <f aca="false">IF($X896="","",K896*V896/100)</f>
        <v/>
      </c>
      <c r="M896" s="20" t="str">
        <f aca="false">IF($X896="","",INDEX('Per Line'!$Z$2:$Z$4001,$X896))</f>
        <v/>
      </c>
      <c r="N896" s="23" t="str">
        <f aca="false">IF($X896="","",Settings!$C$7)</f>
        <v/>
      </c>
      <c r="O896" s="22" t="str">
        <f aca="false">IF($X896="","",SUMIFS('Per Line'!$Y$2:$Y$4001,'Per Line'!$D$2:$D$4001,$B896,'Per Line'!$AJ$2:$AJ$4001,0))</f>
        <v/>
      </c>
      <c r="P896" s="22" t="str">
        <f aca="false">IF($X896="","",O896*N896)</f>
        <v/>
      </c>
      <c r="Q896" s="23" t="str">
        <f aca="false">IF($X896="","",Settings!$C$6)</f>
        <v/>
      </c>
      <c r="R896" s="22" t="str">
        <f aca="false">IF($X896="","",SUMIFS('Per Line'!$Y$2:$Y$4001,'Per Line'!$D$2:$D$4001,$B896,'Per Line'!$AJ$2:$AJ$4001,1))</f>
        <v/>
      </c>
      <c r="S896" s="22" t="str">
        <f aca="false">IF($X896="","",R896*Q896)</f>
        <v/>
      </c>
      <c r="T896" s="22" t="str">
        <f aca="false">IF($X896="","",S896+P896)</f>
        <v/>
      </c>
      <c r="U896" s="22" t="str">
        <f aca="false">IF($X896="","",V896-T896)</f>
        <v/>
      </c>
      <c r="V896" s="22" t="str">
        <f aca="false">IF($X896="","",O896+R896)</f>
        <v/>
      </c>
      <c r="W896" s="22" t="str">
        <f aca="false">IF($X896="","",U896-L896)</f>
        <v/>
      </c>
      <c r="X896" s="24" t="str">
        <f aca="false">IF(ROWS($X$2:$X896)&lt;=MAX('Per Line'!$AI$2:$AI$4001),MATCH(ROWS($X$2:$X896),'Per Line'!$AI$2:$AI$4001,0),"")</f>
        <v/>
      </c>
    </row>
    <row r="897" customFormat="false" ht="15" hidden="false" customHeight="false" outlineLevel="0" collapsed="false">
      <c r="A897" s="19"/>
      <c r="B897" s="20" t="str">
        <f aca="false">IF($X897="","",INDEX('Per Line'!$D$2:$D$4001,$X897))</f>
        <v/>
      </c>
      <c r="C897" s="20" t="str">
        <f aca="false">IF($X897="","",INDEX('Per Line'!$C$2:$C$4001,$X897))</f>
        <v/>
      </c>
      <c r="D897" s="20" t="str">
        <f aca="false">IF($X897="","",INDEX('Per Line'!$A$2:$A$4001,$X897))</f>
        <v/>
      </c>
      <c r="E897" s="21" t="str">
        <f aca="false">IF($X897="","",INDEX('Per Line'!$F$2:$F$4001,$X897))</f>
        <v/>
      </c>
      <c r="F897" s="20" t="str">
        <f aca="false">IF($X897="","",INDEX('Per Line'!$G$2:$G$4001,$X897))</f>
        <v/>
      </c>
      <c r="G897" s="20" t="str">
        <f aca="false">IF($X897="","",INDEX('Per Line'!$I$2:$I$4001,$X897))</f>
        <v/>
      </c>
      <c r="H897" s="20" t="str">
        <f aca="false">IF($X897="","",INDEX('Per Line'!$J$2:$J$4001,$X897))</f>
        <v/>
      </c>
      <c r="I897" s="20" t="str">
        <f aca="false">IF($X897="","",INDEX('Per Line'!$K$2:$K$4001,$X897))</f>
        <v/>
      </c>
      <c r="J897" s="20" t="str">
        <f aca="false">IF($X897="","",INDEX('Per Line'!$L$2:$L$4001,$X897))</f>
        <v/>
      </c>
      <c r="K897" s="20" t="str">
        <f aca="false">IF($X897="","",INDEX('Per Line'!$M$2:$M$4001,$X897))</f>
        <v/>
      </c>
      <c r="L897" s="22" t="str">
        <f aca="false">IF($X897="","",K897*V897/100)</f>
        <v/>
      </c>
      <c r="M897" s="20" t="str">
        <f aca="false">IF($X897="","",INDEX('Per Line'!$Z$2:$Z$4001,$X897))</f>
        <v/>
      </c>
      <c r="N897" s="23" t="str">
        <f aca="false">IF($X897="","",Settings!$C$7)</f>
        <v/>
      </c>
      <c r="O897" s="22" t="str">
        <f aca="false">IF($X897="","",SUMIFS('Per Line'!$Y$2:$Y$4001,'Per Line'!$D$2:$D$4001,$B897,'Per Line'!$AJ$2:$AJ$4001,0))</f>
        <v/>
      </c>
      <c r="P897" s="22" t="str">
        <f aca="false">IF($X897="","",O897*N897)</f>
        <v/>
      </c>
      <c r="Q897" s="23" t="str">
        <f aca="false">IF($X897="","",Settings!$C$6)</f>
        <v/>
      </c>
      <c r="R897" s="22" t="str">
        <f aca="false">IF($X897="","",SUMIFS('Per Line'!$Y$2:$Y$4001,'Per Line'!$D$2:$D$4001,$B897,'Per Line'!$AJ$2:$AJ$4001,1))</f>
        <v/>
      </c>
      <c r="S897" s="22" t="str">
        <f aca="false">IF($X897="","",R897*Q897)</f>
        <v/>
      </c>
      <c r="T897" s="22" t="str">
        <f aca="false">IF($X897="","",S897+P897)</f>
        <v/>
      </c>
      <c r="U897" s="22" t="str">
        <f aca="false">IF($X897="","",V897-T897)</f>
        <v/>
      </c>
      <c r="V897" s="22" t="str">
        <f aca="false">IF($X897="","",O897+R897)</f>
        <v/>
      </c>
      <c r="W897" s="22" t="str">
        <f aca="false">IF($X897="","",U897-L897)</f>
        <v/>
      </c>
      <c r="X897" s="24" t="str">
        <f aca="false">IF(ROWS($X$2:$X897)&lt;=MAX('Per Line'!$AI$2:$AI$4001),MATCH(ROWS($X$2:$X897),'Per Line'!$AI$2:$AI$4001,0),"")</f>
        <v/>
      </c>
    </row>
    <row r="898" customFormat="false" ht="15" hidden="false" customHeight="false" outlineLevel="0" collapsed="false">
      <c r="A898" s="19"/>
      <c r="B898" s="20" t="str">
        <f aca="false">IF($X898="","",INDEX('Per Line'!$D$2:$D$4001,$X898))</f>
        <v/>
      </c>
      <c r="C898" s="20" t="str">
        <f aca="false">IF($X898="","",INDEX('Per Line'!$C$2:$C$4001,$X898))</f>
        <v/>
      </c>
      <c r="D898" s="20" t="str">
        <f aca="false">IF($X898="","",INDEX('Per Line'!$A$2:$A$4001,$X898))</f>
        <v/>
      </c>
      <c r="E898" s="21" t="str">
        <f aca="false">IF($X898="","",INDEX('Per Line'!$F$2:$F$4001,$X898))</f>
        <v/>
      </c>
      <c r="F898" s="20" t="str">
        <f aca="false">IF($X898="","",INDEX('Per Line'!$G$2:$G$4001,$X898))</f>
        <v/>
      </c>
      <c r="G898" s="20" t="str">
        <f aca="false">IF($X898="","",INDEX('Per Line'!$I$2:$I$4001,$X898))</f>
        <v/>
      </c>
      <c r="H898" s="20" t="str">
        <f aca="false">IF($X898="","",INDEX('Per Line'!$J$2:$J$4001,$X898))</f>
        <v/>
      </c>
      <c r="I898" s="20" t="str">
        <f aca="false">IF($X898="","",INDEX('Per Line'!$K$2:$K$4001,$X898))</f>
        <v/>
      </c>
      <c r="J898" s="20" t="str">
        <f aca="false">IF($X898="","",INDEX('Per Line'!$L$2:$L$4001,$X898))</f>
        <v/>
      </c>
      <c r="K898" s="20" t="str">
        <f aca="false">IF($X898="","",INDEX('Per Line'!$M$2:$M$4001,$X898))</f>
        <v/>
      </c>
      <c r="L898" s="22" t="str">
        <f aca="false">IF($X898="","",K898*V898/100)</f>
        <v/>
      </c>
      <c r="M898" s="20" t="str">
        <f aca="false">IF($X898="","",INDEX('Per Line'!$Z$2:$Z$4001,$X898))</f>
        <v/>
      </c>
      <c r="N898" s="23" t="str">
        <f aca="false">IF($X898="","",Settings!$C$7)</f>
        <v/>
      </c>
      <c r="O898" s="22" t="str">
        <f aca="false">IF($X898="","",SUMIFS('Per Line'!$Y$2:$Y$4001,'Per Line'!$D$2:$D$4001,$B898,'Per Line'!$AJ$2:$AJ$4001,0))</f>
        <v/>
      </c>
      <c r="P898" s="22" t="str">
        <f aca="false">IF($X898="","",O898*N898)</f>
        <v/>
      </c>
      <c r="Q898" s="23" t="str">
        <f aca="false">IF($X898="","",Settings!$C$6)</f>
        <v/>
      </c>
      <c r="R898" s="22" t="str">
        <f aca="false">IF($X898="","",SUMIFS('Per Line'!$Y$2:$Y$4001,'Per Line'!$D$2:$D$4001,$B898,'Per Line'!$AJ$2:$AJ$4001,1))</f>
        <v/>
      </c>
      <c r="S898" s="22" t="str">
        <f aca="false">IF($X898="","",R898*Q898)</f>
        <v/>
      </c>
      <c r="T898" s="22" t="str">
        <f aca="false">IF($X898="","",S898+P898)</f>
        <v/>
      </c>
      <c r="U898" s="22" t="str">
        <f aca="false">IF($X898="","",V898-T898)</f>
        <v/>
      </c>
      <c r="V898" s="22" t="str">
        <f aca="false">IF($X898="","",O898+R898)</f>
        <v/>
      </c>
      <c r="W898" s="22" t="str">
        <f aca="false">IF($X898="","",U898-L898)</f>
        <v/>
      </c>
      <c r="X898" s="24" t="str">
        <f aca="false">IF(ROWS($X$2:$X898)&lt;=MAX('Per Line'!$AI$2:$AI$4001),MATCH(ROWS($X$2:$X898),'Per Line'!$AI$2:$AI$4001,0),"")</f>
        <v/>
      </c>
    </row>
    <row r="899" customFormat="false" ht="15" hidden="false" customHeight="false" outlineLevel="0" collapsed="false">
      <c r="A899" s="19"/>
      <c r="B899" s="20" t="str">
        <f aca="false">IF($X899="","",INDEX('Per Line'!$D$2:$D$4001,$X899))</f>
        <v/>
      </c>
      <c r="C899" s="20" t="str">
        <f aca="false">IF($X899="","",INDEX('Per Line'!$C$2:$C$4001,$X899))</f>
        <v/>
      </c>
      <c r="D899" s="20" t="str">
        <f aca="false">IF($X899="","",INDEX('Per Line'!$A$2:$A$4001,$X899))</f>
        <v/>
      </c>
      <c r="E899" s="21" t="str">
        <f aca="false">IF($X899="","",INDEX('Per Line'!$F$2:$F$4001,$X899))</f>
        <v/>
      </c>
      <c r="F899" s="20" t="str">
        <f aca="false">IF($X899="","",INDEX('Per Line'!$G$2:$G$4001,$X899))</f>
        <v/>
      </c>
      <c r="G899" s="20" t="str">
        <f aca="false">IF($X899="","",INDEX('Per Line'!$I$2:$I$4001,$X899))</f>
        <v/>
      </c>
      <c r="H899" s="20" t="str">
        <f aca="false">IF($X899="","",INDEX('Per Line'!$J$2:$J$4001,$X899))</f>
        <v/>
      </c>
      <c r="I899" s="20" t="str">
        <f aca="false">IF($X899="","",INDEX('Per Line'!$K$2:$K$4001,$X899))</f>
        <v/>
      </c>
      <c r="J899" s="20" t="str">
        <f aca="false">IF($X899="","",INDEX('Per Line'!$L$2:$L$4001,$X899))</f>
        <v/>
      </c>
      <c r="K899" s="20" t="str">
        <f aca="false">IF($X899="","",INDEX('Per Line'!$M$2:$M$4001,$X899))</f>
        <v/>
      </c>
      <c r="L899" s="22" t="str">
        <f aca="false">IF($X899="","",K899*V899/100)</f>
        <v/>
      </c>
      <c r="M899" s="20" t="str">
        <f aca="false">IF($X899="","",INDEX('Per Line'!$Z$2:$Z$4001,$X899))</f>
        <v/>
      </c>
      <c r="N899" s="23" t="str">
        <f aca="false">IF($X899="","",Settings!$C$7)</f>
        <v/>
      </c>
      <c r="O899" s="22" t="str">
        <f aca="false">IF($X899="","",SUMIFS('Per Line'!$Y$2:$Y$4001,'Per Line'!$D$2:$D$4001,$B899,'Per Line'!$AJ$2:$AJ$4001,0))</f>
        <v/>
      </c>
      <c r="P899" s="22" t="str">
        <f aca="false">IF($X899="","",O899*N899)</f>
        <v/>
      </c>
      <c r="Q899" s="23" t="str">
        <f aca="false">IF($X899="","",Settings!$C$6)</f>
        <v/>
      </c>
      <c r="R899" s="22" t="str">
        <f aca="false">IF($X899="","",SUMIFS('Per Line'!$Y$2:$Y$4001,'Per Line'!$D$2:$D$4001,$B899,'Per Line'!$AJ$2:$AJ$4001,1))</f>
        <v/>
      </c>
      <c r="S899" s="22" t="str">
        <f aca="false">IF($X899="","",R899*Q899)</f>
        <v/>
      </c>
      <c r="T899" s="22" t="str">
        <f aca="false">IF($X899="","",S899+P899)</f>
        <v/>
      </c>
      <c r="U899" s="22" t="str">
        <f aca="false">IF($X899="","",V899-T899)</f>
        <v/>
      </c>
      <c r="V899" s="22" t="str">
        <f aca="false">IF($X899="","",O899+R899)</f>
        <v/>
      </c>
      <c r="W899" s="22" t="str">
        <f aca="false">IF($X899="","",U899-L899)</f>
        <v/>
      </c>
      <c r="X899" s="24" t="str">
        <f aca="false">IF(ROWS($X$2:$X899)&lt;=MAX('Per Line'!$AI$2:$AI$4001),MATCH(ROWS($X$2:$X899),'Per Line'!$AI$2:$AI$4001,0),"")</f>
        <v/>
      </c>
    </row>
    <row r="900" customFormat="false" ht="15" hidden="false" customHeight="false" outlineLevel="0" collapsed="false">
      <c r="A900" s="19"/>
      <c r="B900" s="20" t="str">
        <f aca="false">IF($X900="","",INDEX('Per Line'!$D$2:$D$4001,$X900))</f>
        <v/>
      </c>
      <c r="C900" s="20" t="str">
        <f aca="false">IF($X900="","",INDEX('Per Line'!$C$2:$C$4001,$X900))</f>
        <v/>
      </c>
      <c r="D900" s="20" t="str">
        <f aca="false">IF($X900="","",INDEX('Per Line'!$A$2:$A$4001,$X900))</f>
        <v/>
      </c>
      <c r="E900" s="21" t="str">
        <f aca="false">IF($X900="","",INDEX('Per Line'!$F$2:$F$4001,$X900))</f>
        <v/>
      </c>
      <c r="F900" s="20" t="str">
        <f aca="false">IF($X900="","",INDEX('Per Line'!$G$2:$G$4001,$X900))</f>
        <v/>
      </c>
      <c r="G900" s="20" t="str">
        <f aca="false">IF($X900="","",INDEX('Per Line'!$I$2:$I$4001,$X900))</f>
        <v/>
      </c>
      <c r="H900" s="20" t="str">
        <f aca="false">IF($X900="","",INDEX('Per Line'!$J$2:$J$4001,$X900))</f>
        <v/>
      </c>
      <c r="I900" s="20" t="str">
        <f aca="false">IF($X900="","",INDEX('Per Line'!$K$2:$K$4001,$X900))</f>
        <v/>
      </c>
      <c r="J900" s="20" t="str">
        <f aca="false">IF($X900="","",INDEX('Per Line'!$L$2:$L$4001,$X900))</f>
        <v/>
      </c>
      <c r="K900" s="20" t="str">
        <f aca="false">IF($X900="","",INDEX('Per Line'!$M$2:$M$4001,$X900))</f>
        <v/>
      </c>
      <c r="L900" s="22" t="str">
        <f aca="false">IF($X900="","",K900*V900/100)</f>
        <v/>
      </c>
      <c r="M900" s="20" t="str">
        <f aca="false">IF($X900="","",INDEX('Per Line'!$Z$2:$Z$4001,$X900))</f>
        <v/>
      </c>
      <c r="N900" s="23" t="str">
        <f aca="false">IF($X900="","",Settings!$C$7)</f>
        <v/>
      </c>
      <c r="O900" s="22" t="str">
        <f aca="false">IF($X900="","",SUMIFS('Per Line'!$Y$2:$Y$4001,'Per Line'!$D$2:$D$4001,$B900,'Per Line'!$AJ$2:$AJ$4001,0))</f>
        <v/>
      </c>
      <c r="P900" s="22" t="str">
        <f aca="false">IF($X900="","",O900*N900)</f>
        <v/>
      </c>
      <c r="Q900" s="23" t="str">
        <f aca="false">IF($X900="","",Settings!$C$6)</f>
        <v/>
      </c>
      <c r="R900" s="22" t="str">
        <f aca="false">IF($X900="","",SUMIFS('Per Line'!$Y$2:$Y$4001,'Per Line'!$D$2:$D$4001,$B900,'Per Line'!$AJ$2:$AJ$4001,1))</f>
        <v/>
      </c>
      <c r="S900" s="22" t="str">
        <f aca="false">IF($X900="","",R900*Q900)</f>
        <v/>
      </c>
      <c r="T900" s="22" t="str">
        <f aca="false">IF($X900="","",S900+P900)</f>
        <v/>
      </c>
      <c r="U900" s="22" t="str">
        <f aca="false">IF($X900="","",V900-T900)</f>
        <v/>
      </c>
      <c r="V900" s="22" t="str">
        <f aca="false">IF($X900="","",O900+R900)</f>
        <v/>
      </c>
      <c r="W900" s="22" t="str">
        <f aca="false">IF($X900="","",U900-L900)</f>
        <v/>
      </c>
      <c r="X900" s="24" t="str">
        <f aca="false">IF(ROWS($X$2:$X900)&lt;=MAX('Per Line'!$AI$2:$AI$4001),MATCH(ROWS($X$2:$X900),'Per Line'!$AI$2:$AI$4001,0),"")</f>
        <v/>
      </c>
    </row>
    <row r="901" customFormat="false" ht="15" hidden="false" customHeight="false" outlineLevel="0" collapsed="false">
      <c r="A901" s="19"/>
      <c r="B901" s="20" t="str">
        <f aca="false">IF($X901="","",INDEX('Per Line'!$D$2:$D$4001,$X901))</f>
        <v/>
      </c>
      <c r="C901" s="20" t="str">
        <f aca="false">IF($X901="","",INDEX('Per Line'!$C$2:$C$4001,$X901))</f>
        <v/>
      </c>
      <c r="D901" s="20" t="str">
        <f aca="false">IF($X901="","",INDEX('Per Line'!$A$2:$A$4001,$X901))</f>
        <v/>
      </c>
      <c r="E901" s="21" t="str">
        <f aca="false">IF($X901="","",INDEX('Per Line'!$F$2:$F$4001,$X901))</f>
        <v/>
      </c>
      <c r="F901" s="20" t="str">
        <f aca="false">IF($X901="","",INDEX('Per Line'!$G$2:$G$4001,$X901))</f>
        <v/>
      </c>
      <c r="G901" s="20" t="str">
        <f aca="false">IF($X901="","",INDEX('Per Line'!$I$2:$I$4001,$X901))</f>
        <v/>
      </c>
      <c r="H901" s="20" t="str">
        <f aca="false">IF($X901="","",INDEX('Per Line'!$J$2:$J$4001,$X901))</f>
        <v/>
      </c>
      <c r="I901" s="20" t="str">
        <f aca="false">IF($X901="","",INDEX('Per Line'!$K$2:$K$4001,$X901))</f>
        <v/>
      </c>
      <c r="J901" s="20" t="str">
        <f aca="false">IF($X901="","",INDEX('Per Line'!$L$2:$L$4001,$X901))</f>
        <v/>
      </c>
      <c r="K901" s="20" t="str">
        <f aca="false">IF($X901="","",INDEX('Per Line'!$M$2:$M$4001,$X901))</f>
        <v/>
      </c>
      <c r="L901" s="22" t="str">
        <f aca="false">IF($X901="","",K901*V901/100)</f>
        <v/>
      </c>
      <c r="M901" s="20" t="str">
        <f aca="false">IF($X901="","",INDEX('Per Line'!$Z$2:$Z$4001,$X901))</f>
        <v/>
      </c>
      <c r="N901" s="23" t="str">
        <f aca="false">IF($X901="","",Settings!$C$7)</f>
        <v/>
      </c>
      <c r="O901" s="22" t="str">
        <f aca="false">IF($X901="","",SUMIFS('Per Line'!$Y$2:$Y$4001,'Per Line'!$D$2:$D$4001,$B901,'Per Line'!$AJ$2:$AJ$4001,0))</f>
        <v/>
      </c>
      <c r="P901" s="22" t="str">
        <f aca="false">IF($X901="","",O901*N901)</f>
        <v/>
      </c>
      <c r="Q901" s="23" t="str">
        <f aca="false">IF($X901="","",Settings!$C$6)</f>
        <v/>
      </c>
      <c r="R901" s="22" t="str">
        <f aca="false">IF($X901="","",SUMIFS('Per Line'!$Y$2:$Y$4001,'Per Line'!$D$2:$D$4001,$B901,'Per Line'!$AJ$2:$AJ$4001,1))</f>
        <v/>
      </c>
      <c r="S901" s="22" t="str">
        <f aca="false">IF($X901="","",R901*Q901)</f>
        <v/>
      </c>
      <c r="T901" s="22" t="str">
        <f aca="false">IF($X901="","",S901+P901)</f>
        <v/>
      </c>
      <c r="U901" s="22" t="str">
        <f aca="false">IF($X901="","",V901-T901)</f>
        <v/>
      </c>
      <c r="V901" s="22" t="str">
        <f aca="false">IF($X901="","",O901+R901)</f>
        <v/>
      </c>
      <c r="W901" s="22" t="str">
        <f aca="false">IF($X901="","",U901-L901)</f>
        <v/>
      </c>
      <c r="X901" s="24" t="str">
        <f aca="false">IF(ROWS($X$2:$X901)&lt;=MAX('Per Line'!$AI$2:$AI$4001),MATCH(ROWS($X$2:$X901),'Per Line'!$AI$2:$AI$4001,0),"")</f>
        <v/>
      </c>
    </row>
    <row r="902" customFormat="false" ht="15" hidden="false" customHeight="false" outlineLevel="0" collapsed="false">
      <c r="A902" s="19"/>
      <c r="B902" s="20" t="str">
        <f aca="false">IF($X902="","",INDEX('Per Line'!$D$2:$D$4001,$X902))</f>
        <v/>
      </c>
      <c r="C902" s="20" t="str">
        <f aca="false">IF($X902="","",INDEX('Per Line'!$C$2:$C$4001,$X902))</f>
        <v/>
      </c>
      <c r="D902" s="20" t="str">
        <f aca="false">IF($X902="","",INDEX('Per Line'!$A$2:$A$4001,$X902))</f>
        <v/>
      </c>
      <c r="E902" s="21" t="str">
        <f aca="false">IF($X902="","",INDEX('Per Line'!$F$2:$F$4001,$X902))</f>
        <v/>
      </c>
      <c r="F902" s="20" t="str">
        <f aca="false">IF($X902="","",INDEX('Per Line'!$G$2:$G$4001,$X902))</f>
        <v/>
      </c>
      <c r="G902" s="20" t="str">
        <f aca="false">IF($X902="","",INDEX('Per Line'!$I$2:$I$4001,$X902))</f>
        <v/>
      </c>
      <c r="H902" s="20" t="str">
        <f aca="false">IF($X902="","",INDEX('Per Line'!$J$2:$J$4001,$X902))</f>
        <v/>
      </c>
      <c r="I902" s="20" t="str">
        <f aca="false">IF($X902="","",INDEX('Per Line'!$K$2:$K$4001,$X902))</f>
        <v/>
      </c>
      <c r="J902" s="20" t="str">
        <f aca="false">IF($X902="","",INDEX('Per Line'!$L$2:$L$4001,$X902))</f>
        <v/>
      </c>
      <c r="K902" s="20" t="str">
        <f aca="false">IF($X902="","",INDEX('Per Line'!$M$2:$M$4001,$X902))</f>
        <v/>
      </c>
      <c r="L902" s="22" t="str">
        <f aca="false">IF($X902="","",K902*V902/100)</f>
        <v/>
      </c>
      <c r="M902" s="20" t="str">
        <f aca="false">IF($X902="","",INDEX('Per Line'!$Z$2:$Z$4001,$X902))</f>
        <v/>
      </c>
      <c r="N902" s="23" t="str">
        <f aca="false">IF($X902="","",Settings!$C$7)</f>
        <v/>
      </c>
      <c r="O902" s="22" t="str">
        <f aca="false">IF($X902="","",SUMIFS('Per Line'!$Y$2:$Y$4001,'Per Line'!$D$2:$D$4001,$B902,'Per Line'!$AJ$2:$AJ$4001,0))</f>
        <v/>
      </c>
      <c r="P902" s="22" t="str">
        <f aca="false">IF($X902="","",O902*N902)</f>
        <v/>
      </c>
      <c r="Q902" s="23" t="str">
        <f aca="false">IF($X902="","",Settings!$C$6)</f>
        <v/>
      </c>
      <c r="R902" s="22" t="str">
        <f aca="false">IF($X902="","",SUMIFS('Per Line'!$Y$2:$Y$4001,'Per Line'!$D$2:$D$4001,$B902,'Per Line'!$AJ$2:$AJ$4001,1))</f>
        <v/>
      </c>
      <c r="S902" s="22" t="str">
        <f aca="false">IF($X902="","",R902*Q902)</f>
        <v/>
      </c>
      <c r="T902" s="22" t="str">
        <f aca="false">IF($X902="","",S902+P902)</f>
        <v/>
      </c>
      <c r="U902" s="22" t="str">
        <f aca="false">IF($X902="","",V902-T902)</f>
        <v/>
      </c>
      <c r="V902" s="22" t="str">
        <f aca="false">IF($X902="","",O902+R902)</f>
        <v/>
      </c>
      <c r="W902" s="22" t="str">
        <f aca="false">IF($X902="","",U902-L902)</f>
        <v/>
      </c>
      <c r="X902" s="24" t="str">
        <f aca="false">IF(ROWS($X$2:$X902)&lt;=MAX('Per Line'!$AI$2:$AI$4001),MATCH(ROWS($X$2:$X902),'Per Line'!$AI$2:$AI$4001,0),"")</f>
        <v/>
      </c>
    </row>
    <row r="903" customFormat="false" ht="15" hidden="false" customHeight="false" outlineLevel="0" collapsed="false">
      <c r="A903" s="19"/>
      <c r="B903" s="20" t="str">
        <f aca="false">IF($X903="","",INDEX('Per Line'!$D$2:$D$4001,$X903))</f>
        <v/>
      </c>
      <c r="C903" s="20" t="str">
        <f aca="false">IF($X903="","",INDEX('Per Line'!$C$2:$C$4001,$X903))</f>
        <v/>
      </c>
      <c r="D903" s="20" t="str">
        <f aca="false">IF($X903="","",INDEX('Per Line'!$A$2:$A$4001,$X903))</f>
        <v/>
      </c>
      <c r="E903" s="21" t="str">
        <f aca="false">IF($X903="","",INDEX('Per Line'!$F$2:$F$4001,$X903))</f>
        <v/>
      </c>
      <c r="F903" s="20" t="str">
        <f aca="false">IF($X903="","",INDEX('Per Line'!$G$2:$G$4001,$X903))</f>
        <v/>
      </c>
      <c r="G903" s="20" t="str">
        <f aca="false">IF($X903="","",INDEX('Per Line'!$I$2:$I$4001,$X903))</f>
        <v/>
      </c>
      <c r="H903" s="20" t="str">
        <f aca="false">IF($X903="","",INDEX('Per Line'!$J$2:$J$4001,$X903))</f>
        <v/>
      </c>
      <c r="I903" s="20" t="str">
        <f aca="false">IF($X903="","",INDEX('Per Line'!$K$2:$K$4001,$X903))</f>
        <v/>
      </c>
      <c r="J903" s="20" t="str">
        <f aca="false">IF($X903="","",INDEX('Per Line'!$L$2:$L$4001,$X903))</f>
        <v/>
      </c>
      <c r="K903" s="20" t="str">
        <f aca="false">IF($X903="","",INDEX('Per Line'!$M$2:$M$4001,$X903))</f>
        <v/>
      </c>
      <c r="L903" s="22" t="str">
        <f aca="false">IF($X903="","",K903*V903/100)</f>
        <v/>
      </c>
      <c r="M903" s="20" t="str">
        <f aca="false">IF($X903="","",INDEX('Per Line'!$Z$2:$Z$4001,$X903))</f>
        <v/>
      </c>
      <c r="N903" s="23" t="str">
        <f aca="false">IF($X903="","",Settings!$C$7)</f>
        <v/>
      </c>
      <c r="O903" s="22" t="str">
        <f aca="false">IF($X903="","",SUMIFS('Per Line'!$Y$2:$Y$4001,'Per Line'!$D$2:$D$4001,$B903,'Per Line'!$AJ$2:$AJ$4001,0))</f>
        <v/>
      </c>
      <c r="P903" s="22" t="str">
        <f aca="false">IF($X903="","",O903*N903)</f>
        <v/>
      </c>
      <c r="Q903" s="23" t="str">
        <f aca="false">IF($X903="","",Settings!$C$6)</f>
        <v/>
      </c>
      <c r="R903" s="22" t="str">
        <f aca="false">IF($X903="","",SUMIFS('Per Line'!$Y$2:$Y$4001,'Per Line'!$D$2:$D$4001,$B903,'Per Line'!$AJ$2:$AJ$4001,1))</f>
        <v/>
      </c>
      <c r="S903" s="22" t="str">
        <f aca="false">IF($X903="","",R903*Q903)</f>
        <v/>
      </c>
      <c r="T903" s="22" t="str">
        <f aca="false">IF($X903="","",S903+P903)</f>
        <v/>
      </c>
      <c r="U903" s="22" t="str">
        <f aca="false">IF($X903="","",V903-T903)</f>
        <v/>
      </c>
      <c r="V903" s="22" t="str">
        <f aca="false">IF($X903="","",O903+R903)</f>
        <v/>
      </c>
      <c r="W903" s="22" t="str">
        <f aca="false">IF($X903="","",U903-L903)</f>
        <v/>
      </c>
      <c r="X903" s="24" t="str">
        <f aca="false">IF(ROWS($X$2:$X903)&lt;=MAX('Per Line'!$AI$2:$AI$4001),MATCH(ROWS($X$2:$X903),'Per Line'!$AI$2:$AI$4001,0),"")</f>
        <v/>
      </c>
    </row>
    <row r="904" customFormat="false" ht="15" hidden="false" customHeight="false" outlineLevel="0" collapsed="false">
      <c r="A904" s="19"/>
      <c r="B904" s="20" t="str">
        <f aca="false">IF($X904="","",INDEX('Per Line'!$D$2:$D$4001,$X904))</f>
        <v/>
      </c>
      <c r="C904" s="20" t="str">
        <f aca="false">IF($X904="","",INDEX('Per Line'!$C$2:$C$4001,$X904))</f>
        <v/>
      </c>
      <c r="D904" s="20" t="str">
        <f aca="false">IF($X904="","",INDEX('Per Line'!$A$2:$A$4001,$X904))</f>
        <v/>
      </c>
      <c r="E904" s="21" t="str">
        <f aca="false">IF($X904="","",INDEX('Per Line'!$F$2:$F$4001,$X904))</f>
        <v/>
      </c>
      <c r="F904" s="20" t="str">
        <f aca="false">IF($X904="","",INDEX('Per Line'!$G$2:$G$4001,$X904))</f>
        <v/>
      </c>
      <c r="G904" s="20" t="str">
        <f aca="false">IF($X904="","",INDEX('Per Line'!$I$2:$I$4001,$X904))</f>
        <v/>
      </c>
      <c r="H904" s="20" t="str">
        <f aca="false">IF($X904="","",INDEX('Per Line'!$J$2:$J$4001,$X904))</f>
        <v/>
      </c>
      <c r="I904" s="20" t="str">
        <f aca="false">IF($X904="","",INDEX('Per Line'!$K$2:$K$4001,$X904))</f>
        <v/>
      </c>
      <c r="J904" s="20" t="str">
        <f aca="false">IF($X904="","",INDEX('Per Line'!$L$2:$L$4001,$X904))</f>
        <v/>
      </c>
      <c r="K904" s="20" t="str">
        <f aca="false">IF($X904="","",INDEX('Per Line'!$M$2:$M$4001,$X904))</f>
        <v/>
      </c>
      <c r="L904" s="22" t="str">
        <f aca="false">IF($X904="","",K904*V904/100)</f>
        <v/>
      </c>
      <c r="M904" s="20" t="str">
        <f aca="false">IF($X904="","",INDEX('Per Line'!$Z$2:$Z$4001,$X904))</f>
        <v/>
      </c>
      <c r="N904" s="23" t="str">
        <f aca="false">IF($X904="","",Settings!$C$7)</f>
        <v/>
      </c>
      <c r="O904" s="22" t="str">
        <f aca="false">IF($X904="","",SUMIFS('Per Line'!$Y$2:$Y$4001,'Per Line'!$D$2:$D$4001,$B904,'Per Line'!$AJ$2:$AJ$4001,0))</f>
        <v/>
      </c>
      <c r="P904" s="22" t="str">
        <f aca="false">IF($X904="","",O904*N904)</f>
        <v/>
      </c>
      <c r="Q904" s="23" t="str">
        <f aca="false">IF($X904="","",Settings!$C$6)</f>
        <v/>
      </c>
      <c r="R904" s="22" t="str">
        <f aca="false">IF($X904="","",SUMIFS('Per Line'!$Y$2:$Y$4001,'Per Line'!$D$2:$D$4001,$B904,'Per Line'!$AJ$2:$AJ$4001,1))</f>
        <v/>
      </c>
      <c r="S904" s="22" t="str">
        <f aca="false">IF($X904="","",R904*Q904)</f>
        <v/>
      </c>
      <c r="T904" s="22" t="str">
        <f aca="false">IF($X904="","",S904+P904)</f>
        <v/>
      </c>
      <c r="U904" s="22" t="str">
        <f aca="false">IF($X904="","",V904-T904)</f>
        <v/>
      </c>
      <c r="V904" s="22" t="str">
        <f aca="false">IF($X904="","",O904+R904)</f>
        <v/>
      </c>
      <c r="W904" s="22" t="str">
        <f aca="false">IF($X904="","",U904-L904)</f>
        <v/>
      </c>
      <c r="X904" s="24" t="str">
        <f aca="false">IF(ROWS($X$2:$X904)&lt;=MAX('Per Line'!$AI$2:$AI$4001),MATCH(ROWS($X$2:$X904),'Per Line'!$AI$2:$AI$4001,0),"")</f>
        <v/>
      </c>
    </row>
    <row r="905" customFormat="false" ht="15" hidden="false" customHeight="false" outlineLevel="0" collapsed="false">
      <c r="A905" s="19"/>
      <c r="B905" s="20" t="str">
        <f aca="false">IF($X905="","",INDEX('Per Line'!$D$2:$D$4001,$X905))</f>
        <v/>
      </c>
      <c r="C905" s="20" t="str">
        <f aca="false">IF($X905="","",INDEX('Per Line'!$C$2:$C$4001,$X905))</f>
        <v/>
      </c>
      <c r="D905" s="20" t="str">
        <f aca="false">IF($X905="","",INDEX('Per Line'!$A$2:$A$4001,$X905))</f>
        <v/>
      </c>
      <c r="E905" s="21" t="str">
        <f aca="false">IF($X905="","",INDEX('Per Line'!$F$2:$F$4001,$X905))</f>
        <v/>
      </c>
      <c r="F905" s="20" t="str">
        <f aca="false">IF($X905="","",INDEX('Per Line'!$G$2:$G$4001,$X905))</f>
        <v/>
      </c>
      <c r="G905" s="20" t="str">
        <f aca="false">IF($X905="","",INDEX('Per Line'!$I$2:$I$4001,$X905))</f>
        <v/>
      </c>
      <c r="H905" s="20" t="str">
        <f aca="false">IF($X905="","",INDEX('Per Line'!$J$2:$J$4001,$X905))</f>
        <v/>
      </c>
      <c r="I905" s="20" t="str">
        <f aca="false">IF($X905="","",INDEX('Per Line'!$K$2:$K$4001,$X905))</f>
        <v/>
      </c>
      <c r="J905" s="20" t="str">
        <f aca="false">IF($X905="","",INDEX('Per Line'!$L$2:$L$4001,$X905))</f>
        <v/>
      </c>
      <c r="K905" s="20" t="str">
        <f aca="false">IF($X905="","",INDEX('Per Line'!$M$2:$M$4001,$X905))</f>
        <v/>
      </c>
      <c r="L905" s="22" t="str">
        <f aca="false">IF($X905="","",K905*V905/100)</f>
        <v/>
      </c>
      <c r="M905" s="20" t="str">
        <f aca="false">IF($X905="","",INDEX('Per Line'!$Z$2:$Z$4001,$X905))</f>
        <v/>
      </c>
      <c r="N905" s="23" t="str">
        <f aca="false">IF($X905="","",Settings!$C$7)</f>
        <v/>
      </c>
      <c r="O905" s="22" t="str">
        <f aca="false">IF($X905="","",SUMIFS('Per Line'!$Y$2:$Y$4001,'Per Line'!$D$2:$D$4001,$B905,'Per Line'!$AJ$2:$AJ$4001,0))</f>
        <v/>
      </c>
      <c r="P905" s="22" t="str">
        <f aca="false">IF($X905="","",O905*N905)</f>
        <v/>
      </c>
      <c r="Q905" s="23" t="str">
        <f aca="false">IF($X905="","",Settings!$C$6)</f>
        <v/>
      </c>
      <c r="R905" s="22" t="str">
        <f aca="false">IF($X905="","",SUMIFS('Per Line'!$Y$2:$Y$4001,'Per Line'!$D$2:$D$4001,$B905,'Per Line'!$AJ$2:$AJ$4001,1))</f>
        <v/>
      </c>
      <c r="S905" s="22" t="str">
        <f aca="false">IF($X905="","",R905*Q905)</f>
        <v/>
      </c>
      <c r="T905" s="22" t="str">
        <f aca="false">IF($X905="","",S905+P905)</f>
        <v/>
      </c>
      <c r="U905" s="22" t="str">
        <f aca="false">IF($X905="","",V905-T905)</f>
        <v/>
      </c>
      <c r="V905" s="22" t="str">
        <f aca="false">IF($X905="","",O905+R905)</f>
        <v/>
      </c>
      <c r="W905" s="22" t="str">
        <f aca="false">IF($X905="","",U905-L905)</f>
        <v/>
      </c>
      <c r="X905" s="24" t="str">
        <f aca="false">IF(ROWS($X$2:$X905)&lt;=MAX('Per Line'!$AI$2:$AI$4001),MATCH(ROWS($X$2:$X905),'Per Line'!$AI$2:$AI$4001,0),"")</f>
        <v/>
      </c>
    </row>
    <row r="906" customFormat="false" ht="15" hidden="false" customHeight="false" outlineLevel="0" collapsed="false">
      <c r="A906" s="19"/>
      <c r="B906" s="20" t="str">
        <f aca="false">IF($X906="","",INDEX('Per Line'!$D$2:$D$4001,$X906))</f>
        <v/>
      </c>
      <c r="C906" s="20" t="str">
        <f aca="false">IF($X906="","",INDEX('Per Line'!$C$2:$C$4001,$X906))</f>
        <v/>
      </c>
      <c r="D906" s="20" t="str">
        <f aca="false">IF($X906="","",INDEX('Per Line'!$A$2:$A$4001,$X906))</f>
        <v/>
      </c>
      <c r="E906" s="21" t="str">
        <f aca="false">IF($X906="","",INDEX('Per Line'!$F$2:$F$4001,$X906))</f>
        <v/>
      </c>
      <c r="F906" s="20" t="str">
        <f aca="false">IF($X906="","",INDEX('Per Line'!$G$2:$G$4001,$X906))</f>
        <v/>
      </c>
      <c r="G906" s="20" t="str">
        <f aca="false">IF($X906="","",INDEX('Per Line'!$I$2:$I$4001,$X906))</f>
        <v/>
      </c>
      <c r="H906" s="20" t="str">
        <f aca="false">IF($X906="","",INDEX('Per Line'!$J$2:$J$4001,$X906))</f>
        <v/>
      </c>
      <c r="I906" s="20" t="str">
        <f aca="false">IF($X906="","",INDEX('Per Line'!$K$2:$K$4001,$X906))</f>
        <v/>
      </c>
      <c r="J906" s="20" t="str">
        <f aca="false">IF($X906="","",INDEX('Per Line'!$L$2:$L$4001,$X906))</f>
        <v/>
      </c>
      <c r="K906" s="20" t="str">
        <f aca="false">IF($X906="","",INDEX('Per Line'!$M$2:$M$4001,$X906))</f>
        <v/>
      </c>
      <c r="L906" s="22" t="str">
        <f aca="false">IF($X906="","",K906*V906/100)</f>
        <v/>
      </c>
      <c r="M906" s="20" t="str">
        <f aca="false">IF($X906="","",INDEX('Per Line'!$Z$2:$Z$4001,$X906))</f>
        <v/>
      </c>
      <c r="N906" s="23" t="str">
        <f aca="false">IF($X906="","",Settings!$C$7)</f>
        <v/>
      </c>
      <c r="O906" s="22" t="str">
        <f aca="false">IF($X906="","",SUMIFS('Per Line'!$Y$2:$Y$4001,'Per Line'!$D$2:$D$4001,$B906,'Per Line'!$AJ$2:$AJ$4001,0))</f>
        <v/>
      </c>
      <c r="P906" s="22" t="str">
        <f aca="false">IF($X906="","",O906*N906)</f>
        <v/>
      </c>
      <c r="Q906" s="23" t="str">
        <f aca="false">IF($X906="","",Settings!$C$6)</f>
        <v/>
      </c>
      <c r="R906" s="22" t="str">
        <f aca="false">IF($X906="","",SUMIFS('Per Line'!$Y$2:$Y$4001,'Per Line'!$D$2:$D$4001,$B906,'Per Line'!$AJ$2:$AJ$4001,1))</f>
        <v/>
      </c>
      <c r="S906" s="22" t="str">
        <f aca="false">IF($X906="","",R906*Q906)</f>
        <v/>
      </c>
      <c r="T906" s="22" t="str">
        <f aca="false">IF($X906="","",S906+P906)</f>
        <v/>
      </c>
      <c r="U906" s="22" t="str">
        <f aca="false">IF($X906="","",V906-T906)</f>
        <v/>
      </c>
      <c r="V906" s="22" t="str">
        <f aca="false">IF($X906="","",O906+R906)</f>
        <v/>
      </c>
      <c r="W906" s="22" t="str">
        <f aca="false">IF($X906="","",U906-L906)</f>
        <v/>
      </c>
      <c r="X906" s="24" t="str">
        <f aca="false">IF(ROWS($X$2:$X906)&lt;=MAX('Per Line'!$AI$2:$AI$4001),MATCH(ROWS($X$2:$X906),'Per Line'!$AI$2:$AI$4001,0),"")</f>
        <v/>
      </c>
    </row>
    <row r="907" customFormat="false" ht="15" hidden="false" customHeight="false" outlineLevel="0" collapsed="false">
      <c r="A907" s="19"/>
      <c r="B907" s="20" t="str">
        <f aca="false">IF($X907="","",INDEX('Per Line'!$D$2:$D$4001,$X907))</f>
        <v/>
      </c>
      <c r="C907" s="20" t="str">
        <f aca="false">IF($X907="","",INDEX('Per Line'!$C$2:$C$4001,$X907))</f>
        <v/>
      </c>
      <c r="D907" s="20" t="str">
        <f aca="false">IF($X907="","",INDEX('Per Line'!$A$2:$A$4001,$X907))</f>
        <v/>
      </c>
      <c r="E907" s="21" t="str">
        <f aca="false">IF($X907="","",INDEX('Per Line'!$F$2:$F$4001,$X907))</f>
        <v/>
      </c>
      <c r="F907" s="20" t="str">
        <f aca="false">IF($X907="","",INDEX('Per Line'!$G$2:$G$4001,$X907))</f>
        <v/>
      </c>
      <c r="G907" s="20" t="str">
        <f aca="false">IF($X907="","",INDEX('Per Line'!$I$2:$I$4001,$X907))</f>
        <v/>
      </c>
      <c r="H907" s="20" t="str">
        <f aca="false">IF($X907="","",INDEX('Per Line'!$J$2:$J$4001,$X907))</f>
        <v/>
      </c>
      <c r="I907" s="20" t="str">
        <f aca="false">IF($X907="","",INDEX('Per Line'!$K$2:$K$4001,$X907))</f>
        <v/>
      </c>
      <c r="J907" s="20" t="str">
        <f aca="false">IF($X907="","",INDEX('Per Line'!$L$2:$L$4001,$X907))</f>
        <v/>
      </c>
      <c r="K907" s="20" t="str">
        <f aca="false">IF($X907="","",INDEX('Per Line'!$M$2:$M$4001,$X907))</f>
        <v/>
      </c>
      <c r="L907" s="22" t="str">
        <f aca="false">IF($X907="","",K907*V907/100)</f>
        <v/>
      </c>
      <c r="M907" s="20" t="str">
        <f aca="false">IF($X907="","",INDEX('Per Line'!$Z$2:$Z$4001,$X907))</f>
        <v/>
      </c>
      <c r="N907" s="23" t="str">
        <f aca="false">IF($X907="","",Settings!$C$7)</f>
        <v/>
      </c>
      <c r="O907" s="22" t="str">
        <f aca="false">IF($X907="","",SUMIFS('Per Line'!$Y$2:$Y$4001,'Per Line'!$D$2:$D$4001,$B907,'Per Line'!$AJ$2:$AJ$4001,0))</f>
        <v/>
      </c>
      <c r="P907" s="22" t="str">
        <f aca="false">IF($X907="","",O907*N907)</f>
        <v/>
      </c>
      <c r="Q907" s="23" t="str">
        <f aca="false">IF($X907="","",Settings!$C$6)</f>
        <v/>
      </c>
      <c r="R907" s="22" t="str">
        <f aca="false">IF($X907="","",SUMIFS('Per Line'!$Y$2:$Y$4001,'Per Line'!$D$2:$D$4001,$B907,'Per Line'!$AJ$2:$AJ$4001,1))</f>
        <v/>
      </c>
      <c r="S907" s="22" t="str">
        <f aca="false">IF($X907="","",R907*Q907)</f>
        <v/>
      </c>
      <c r="T907" s="22" t="str">
        <f aca="false">IF($X907="","",S907+P907)</f>
        <v/>
      </c>
      <c r="U907" s="22" t="str">
        <f aca="false">IF($X907="","",V907-T907)</f>
        <v/>
      </c>
      <c r="V907" s="22" t="str">
        <f aca="false">IF($X907="","",O907+R907)</f>
        <v/>
      </c>
      <c r="W907" s="22" t="str">
        <f aca="false">IF($X907="","",U907-L907)</f>
        <v/>
      </c>
      <c r="X907" s="24" t="str">
        <f aca="false">IF(ROWS($X$2:$X907)&lt;=MAX('Per Line'!$AI$2:$AI$4001),MATCH(ROWS($X$2:$X907),'Per Line'!$AI$2:$AI$4001,0),"")</f>
        <v/>
      </c>
    </row>
    <row r="908" customFormat="false" ht="15" hidden="false" customHeight="false" outlineLevel="0" collapsed="false">
      <c r="A908" s="19"/>
      <c r="B908" s="20" t="str">
        <f aca="false">IF($X908="","",INDEX('Per Line'!$D$2:$D$4001,$X908))</f>
        <v/>
      </c>
      <c r="C908" s="20" t="str">
        <f aca="false">IF($X908="","",INDEX('Per Line'!$C$2:$C$4001,$X908))</f>
        <v/>
      </c>
      <c r="D908" s="20" t="str">
        <f aca="false">IF($X908="","",INDEX('Per Line'!$A$2:$A$4001,$X908))</f>
        <v/>
      </c>
      <c r="E908" s="21" t="str">
        <f aca="false">IF($X908="","",INDEX('Per Line'!$F$2:$F$4001,$X908))</f>
        <v/>
      </c>
      <c r="F908" s="20" t="str">
        <f aca="false">IF($X908="","",INDEX('Per Line'!$G$2:$G$4001,$X908))</f>
        <v/>
      </c>
      <c r="G908" s="20" t="str">
        <f aca="false">IF($X908="","",INDEX('Per Line'!$I$2:$I$4001,$X908))</f>
        <v/>
      </c>
      <c r="H908" s="20" t="str">
        <f aca="false">IF($X908="","",INDEX('Per Line'!$J$2:$J$4001,$X908))</f>
        <v/>
      </c>
      <c r="I908" s="20" t="str">
        <f aca="false">IF($X908="","",INDEX('Per Line'!$K$2:$K$4001,$X908))</f>
        <v/>
      </c>
      <c r="J908" s="20" t="str">
        <f aca="false">IF($X908="","",INDEX('Per Line'!$L$2:$L$4001,$X908))</f>
        <v/>
      </c>
      <c r="K908" s="20" t="str">
        <f aca="false">IF($X908="","",INDEX('Per Line'!$M$2:$M$4001,$X908))</f>
        <v/>
      </c>
      <c r="L908" s="22" t="str">
        <f aca="false">IF($X908="","",K908*V908/100)</f>
        <v/>
      </c>
      <c r="M908" s="20" t="str">
        <f aca="false">IF($X908="","",INDEX('Per Line'!$Z$2:$Z$4001,$X908))</f>
        <v/>
      </c>
      <c r="N908" s="23" t="str">
        <f aca="false">IF($X908="","",Settings!$C$7)</f>
        <v/>
      </c>
      <c r="O908" s="22" t="str">
        <f aca="false">IF($X908="","",SUMIFS('Per Line'!$Y$2:$Y$4001,'Per Line'!$D$2:$D$4001,$B908,'Per Line'!$AJ$2:$AJ$4001,0))</f>
        <v/>
      </c>
      <c r="P908" s="22" t="str">
        <f aca="false">IF($X908="","",O908*N908)</f>
        <v/>
      </c>
      <c r="Q908" s="23" t="str">
        <f aca="false">IF($X908="","",Settings!$C$6)</f>
        <v/>
      </c>
      <c r="R908" s="22" t="str">
        <f aca="false">IF($X908="","",SUMIFS('Per Line'!$Y$2:$Y$4001,'Per Line'!$D$2:$D$4001,$B908,'Per Line'!$AJ$2:$AJ$4001,1))</f>
        <v/>
      </c>
      <c r="S908" s="22" t="str">
        <f aca="false">IF($X908="","",R908*Q908)</f>
        <v/>
      </c>
      <c r="T908" s="22" t="str">
        <f aca="false">IF($X908="","",S908+P908)</f>
        <v/>
      </c>
      <c r="U908" s="22" t="str">
        <f aca="false">IF($X908="","",V908-T908)</f>
        <v/>
      </c>
      <c r="V908" s="22" t="str">
        <f aca="false">IF($X908="","",O908+R908)</f>
        <v/>
      </c>
      <c r="W908" s="22" t="str">
        <f aca="false">IF($X908="","",U908-L908)</f>
        <v/>
      </c>
      <c r="X908" s="24" t="str">
        <f aca="false">IF(ROWS($X$2:$X908)&lt;=MAX('Per Line'!$AI$2:$AI$4001),MATCH(ROWS($X$2:$X908),'Per Line'!$AI$2:$AI$4001,0),"")</f>
        <v/>
      </c>
    </row>
    <row r="909" customFormat="false" ht="15" hidden="false" customHeight="false" outlineLevel="0" collapsed="false">
      <c r="A909" s="19"/>
      <c r="B909" s="20" t="str">
        <f aca="false">IF($X909="","",INDEX('Per Line'!$D$2:$D$4001,$X909))</f>
        <v/>
      </c>
      <c r="C909" s="20" t="str">
        <f aca="false">IF($X909="","",INDEX('Per Line'!$C$2:$C$4001,$X909))</f>
        <v/>
      </c>
      <c r="D909" s="20" t="str">
        <f aca="false">IF($X909="","",INDEX('Per Line'!$A$2:$A$4001,$X909))</f>
        <v/>
      </c>
      <c r="E909" s="21" t="str">
        <f aca="false">IF($X909="","",INDEX('Per Line'!$F$2:$F$4001,$X909))</f>
        <v/>
      </c>
      <c r="F909" s="20" t="str">
        <f aca="false">IF($X909="","",INDEX('Per Line'!$G$2:$G$4001,$X909))</f>
        <v/>
      </c>
      <c r="G909" s="20" t="str">
        <f aca="false">IF($X909="","",INDEX('Per Line'!$I$2:$I$4001,$X909))</f>
        <v/>
      </c>
      <c r="H909" s="20" t="str">
        <f aca="false">IF($X909="","",INDEX('Per Line'!$J$2:$J$4001,$X909))</f>
        <v/>
      </c>
      <c r="I909" s="20" t="str">
        <f aca="false">IF($X909="","",INDEX('Per Line'!$K$2:$K$4001,$X909))</f>
        <v/>
      </c>
      <c r="J909" s="20" t="str">
        <f aca="false">IF($X909="","",INDEX('Per Line'!$L$2:$L$4001,$X909))</f>
        <v/>
      </c>
      <c r="K909" s="20" t="str">
        <f aca="false">IF($X909="","",INDEX('Per Line'!$M$2:$M$4001,$X909))</f>
        <v/>
      </c>
      <c r="L909" s="22" t="str">
        <f aca="false">IF($X909="","",K909*V909/100)</f>
        <v/>
      </c>
      <c r="M909" s="20" t="str">
        <f aca="false">IF($X909="","",INDEX('Per Line'!$Z$2:$Z$4001,$X909))</f>
        <v/>
      </c>
      <c r="N909" s="23" t="str">
        <f aca="false">IF($X909="","",Settings!$C$7)</f>
        <v/>
      </c>
      <c r="O909" s="22" t="str">
        <f aca="false">IF($X909="","",SUMIFS('Per Line'!$Y$2:$Y$4001,'Per Line'!$D$2:$D$4001,$B909,'Per Line'!$AJ$2:$AJ$4001,0))</f>
        <v/>
      </c>
      <c r="P909" s="22" t="str">
        <f aca="false">IF($X909="","",O909*N909)</f>
        <v/>
      </c>
      <c r="Q909" s="23" t="str">
        <f aca="false">IF($X909="","",Settings!$C$6)</f>
        <v/>
      </c>
      <c r="R909" s="22" t="str">
        <f aca="false">IF($X909="","",SUMIFS('Per Line'!$Y$2:$Y$4001,'Per Line'!$D$2:$D$4001,$B909,'Per Line'!$AJ$2:$AJ$4001,1))</f>
        <v/>
      </c>
      <c r="S909" s="22" t="str">
        <f aca="false">IF($X909="","",R909*Q909)</f>
        <v/>
      </c>
      <c r="T909" s="22" t="str">
        <f aca="false">IF($X909="","",S909+P909)</f>
        <v/>
      </c>
      <c r="U909" s="22" t="str">
        <f aca="false">IF($X909="","",V909-T909)</f>
        <v/>
      </c>
      <c r="V909" s="22" t="str">
        <f aca="false">IF($X909="","",O909+R909)</f>
        <v/>
      </c>
      <c r="W909" s="22" t="str">
        <f aca="false">IF($X909="","",U909-L909)</f>
        <v/>
      </c>
      <c r="X909" s="24" t="str">
        <f aca="false">IF(ROWS($X$2:$X909)&lt;=MAX('Per Line'!$AI$2:$AI$4001),MATCH(ROWS($X$2:$X909),'Per Line'!$AI$2:$AI$4001,0),"")</f>
        <v/>
      </c>
    </row>
    <row r="910" customFormat="false" ht="15" hidden="false" customHeight="false" outlineLevel="0" collapsed="false">
      <c r="A910" s="19"/>
      <c r="B910" s="20" t="str">
        <f aca="false">IF($X910="","",INDEX('Per Line'!$D$2:$D$4001,$X910))</f>
        <v/>
      </c>
      <c r="C910" s="20" t="str">
        <f aca="false">IF($X910="","",INDEX('Per Line'!$C$2:$C$4001,$X910))</f>
        <v/>
      </c>
      <c r="D910" s="20" t="str">
        <f aca="false">IF($X910="","",INDEX('Per Line'!$A$2:$A$4001,$X910))</f>
        <v/>
      </c>
      <c r="E910" s="21" t="str">
        <f aca="false">IF($X910="","",INDEX('Per Line'!$F$2:$F$4001,$X910))</f>
        <v/>
      </c>
      <c r="F910" s="20" t="str">
        <f aca="false">IF($X910="","",INDEX('Per Line'!$G$2:$G$4001,$X910))</f>
        <v/>
      </c>
      <c r="G910" s="20" t="str">
        <f aca="false">IF($X910="","",INDEX('Per Line'!$I$2:$I$4001,$X910))</f>
        <v/>
      </c>
      <c r="H910" s="20" t="str">
        <f aca="false">IF($X910="","",INDEX('Per Line'!$J$2:$J$4001,$X910))</f>
        <v/>
      </c>
      <c r="I910" s="20" t="str">
        <f aca="false">IF($X910="","",INDEX('Per Line'!$K$2:$K$4001,$X910))</f>
        <v/>
      </c>
      <c r="J910" s="20" t="str">
        <f aca="false">IF($X910="","",INDEX('Per Line'!$L$2:$L$4001,$X910))</f>
        <v/>
      </c>
      <c r="K910" s="20" t="str">
        <f aca="false">IF($X910="","",INDEX('Per Line'!$M$2:$M$4001,$X910))</f>
        <v/>
      </c>
      <c r="L910" s="22" t="str">
        <f aca="false">IF($X910="","",K910*V910/100)</f>
        <v/>
      </c>
      <c r="M910" s="20" t="str">
        <f aca="false">IF($X910="","",INDEX('Per Line'!$Z$2:$Z$4001,$X910))</f>
        <v/>
      </c>
      <c r="N910" s="23" t="str">
        <f aca="false">IF($X910="","",Settings!$C$7)</f>
        <v/>
      </c>
      <c r="O910" s="22" t="str">
        <f aca="false">IF($X910="","",SUMIFS('Per Line'!$Y$2:$Y$4001,'Per Line'!$D$2:$D$4001,$B910,'Per Line'!$AJ$2:$AJ$4001,0))</f>
        <v/>
      </c>
      <c r="P910" s="22" t="str">
        <f aca="false">IF($X910="","",O910*N910)</f>
        <v/>
      </c>
      <c r="Q910" s="23" t="str">
        <f aca="false">IF($X910="","",Settings!$C$6)</f>
        <v/>
      </c>
      <c r="R910" s="22" t="str">
        <f aca="false">IF($X910="","",SUMIFS('Per Line'!$Y$2:$Y$4001,'Per Line'!$D$2:$D$4001,$B910,'Per Line'!$AJ$2:$AJ$4001,1))</f>
        <v/>
      </c>
      <c r="S910" s="22" t="str">
        <f aca="false">IF($X910="","",R910*Q910)</f>
        <v/>
      </c>
      <c r="T910" s="22" t="str">
        <f aca="false">IF($X910="","",S910+P910)</f>
        <v/>
      </c>
      <c r="U910" s="22" t="str">
        <f aca="false">IF($X910="","",V910-T910)</f>
        <v/>
      </c>
      <c r="V910" s="22" t="str">
        <f aca="false">IF($X910="","",O910+R910)</f>
        <v/>
      </c>
      <c r="W910" s="22" t="str">
        <f aca="false">IF($X910="","",U910-L910)</f>
        <v/>
      </c>
      <c r="X910" s="24" t="str">
        <f aca="false">IF(ROWS($X$2:$X910)&lt;=MAX('Per Line'!$AI$2:$AI$4001),MATCH(ROWS($X$2:$X910),'Per Line'!$AI$2:$AI$4001,0),"")</f>
        <v/>
      </c>
    </row>
    <row r="911" customFormat="false" ht="15" hidden="false" customHeight="false" outlineLevel="0" collapsed="false">
      <c r="A911" s="19"/>
      <c r="B911" s="20" t="str">
        <f aca="false">IF($X911="","",INDEX('Per Line'!$D$2:$D$4001,$X911))</f>
        <v/>
      </c>
      <c r="C911" s="20" t="str">
        <f aca="false">IF($X911="","",INDEX('Per Line'!$C$2:$C$4001,$X911))</f>
        <v/>
      </c>
      <c r="D911" s="20" t="str">
        <f aca="false">IF($X911="","",INDEX('Per Line'!$A$2:$A$4001,$X911))</f>
        <v/>
      </c>
      <c r="E911" s="21" t="str">
        <f aca="false">IF($X911="","",INDEX('Per Line'!$F$2:$F$4001,$X911))</f>
        <v/>
      </c>
      <c r="F911" s="20" t="str">
        <f aca="false">IF($X911="","",INDEX('Per Line'!$G$2:$G$4001,$X911))</f>
        <v/>
      </c>
      <c r="G911" s="20" t="str">
        <f aca="false">IF($X911="","",INDEX('Per Line'!$I$2:$I$4001,$X911))</f>
        <v/>
      </c>
      <c r="H911" s="20" t="str">
        <f aca="false">IF($X911="","",INDEX('Per Line'!$J$2:$J$4001,$X911))</f>
        <v/>
      </c>
      <c r="I911" s="20" t="str">
        <f aca="false">IF($X911="","",INDEX('Per Line'!$K$2:$K$4001,$X911))</f>
        <v/>
      </c>
      <c r="J911" s="20" t="str">
        <f aca="false">IF($X911="","",INDEX('Per Line'!$L$2:$L$4001,$X911))</f>
        <v/>
      </c>
      <c r="K911" s="20" t="str">
        <f aca="false">IF($X911="","",INDEX('Per Line'!$M$2:$M$4001,$X911))</f>
        <v/>
      </c>
      <c r="L911" s="22" t="str">
        <f aca="false">IF($X911="","",K911*V911/100)</f>
        <v/>
      </c>
      <c r="M911" s="20" t="str">
        <f aca="false">IF($X911="","",INDEX('Per Line'!$Z$2:$Z$4001,$X911))</f>
        <v/>
      </c>
      <c r="N911" s="23" t="str">
        <f aca="false">IF($X911="","",Settings!$C$7)</f>
        <v/>
      </c>
      <c r="O911" s="22" t="str">
        <f aca="false">IF($X911="","",SUMIFS('Per Line'!$Y$2:$Y$4001,'Per Line'!$D$2:$D$4001,$B911,'Per Line'!$AJ$2:$AJ$4001,0))</f>
        <v/>
      </c>
      <c r="P911" s="22" t="str">
        <f aca="false">IF($X911="","",O911*N911)</f>
        <v/>
      </c>
      <c r="Q911" s="23" t="str">
        <f aca="false">IF($X911="","",Settings!$C$6)</f>
        <v/>
      </c>
      <c r="R911" s="22" t="str">
        <f aca="false">IF($X911="","",SUMIFS('Per Line'!$Y$2:$Y$4001,'Per Line'!$D$2:$D$4001,$B911,'Per Line'!$AJ$2:$AJ$4001,1))</f>
        <v/>
      </c>
      <c r="S911" s="22" t="str">
        <f aca="false">IF($X911="","",R911*Q911)</f>
        <v/>
      </c>
      <c r="T911" s="22" t="str">
        <f aca="false">IF($X911="","",S911+P911)</f>
        <v/>
      </c>
      <c r="U911" s="22" t="str">
        <f aca="false">IF($X911="","",V911-T911)</f>
        <v/>
      </c>
      <c r="V911" s="22" t="str">
        <f aca="false">IF($X911="","",O911+R911)</f>
        <v/>
      </c>
      <c r="W911" s="22" t="str">
        <f aca="false">IF($X911="","",U911-L911)</f>
        <v/>
      </c>
      <c r="X911" s="24" t="str">
        <f aca="false">IF(ROWS($X$2:$X911)&lt;=MAX('Per Line'!$AI$2:$AI$4001),MATCH(ROWS($X$2:$X911),'Per Line'!$AI$2:$AI$4001,0),"")</f>
        <v/>
      </c>
    </row>
    <row r="912" customFormat="false" ht="15" hidden="false" customHeight="false" outlineLevel="0" collapsed="false">
      <c r="A912" s="19"/>
      <c r="B912" s="20" t="str">
        <f aca="false">IF($X912="","",INDEX('Per Line'!$D$2:$D$4001,$X912))</f>
        <v/>
      </c>
      <c r="C912" s="20" t="str">
        <f aca="false">IF($X912="","",INDEX('Per Line'!$C$2:$C$4001,$X912))</f>
        <v/>
      </c>
      <c r="D912" s="20" t="str">
        <f aca="false">IF($X912="","",INDEX('Per Line'!$A$2:$A$4001,$X912))</f>
        <v/>
      </c>
      <c r="E912" s="21" t="str">
        <f aca="false">IF($X912="","",INDEX('Per Line'!$F$2:$F$4001,$X912))</f>
        <v/>
      </c>
      <c r="F912" s="20" t="str">
        <f aca="false">IF($X912="","",INDEX('Per Line'!$G$2:$G$4001,$X912))</f>
        <v/>
      </c>
      <c r="G912" s="20" t="str">
        <f aca="false">IF($X912="","",INDEX('Per Line'!$I$2:$I$4001,$X912))</f>
        <v/>
      </c>
      <c r="H912" s="20" t="str">
        <f aca="false">IF($X912="","",INDEX('Per Line'!$J$2:$J$4001,$X912))</f>
        <v/>
      </c>
      <c r="I912" s="20" t="str">
        <f aca="false">IF($X912="","",INDEX('Per Line'!$K$2:$K$4001,$X912))</f>
        <v/>
      </c>
      <c r="J912" s="20" t="str">
        <f aca="false">IF($X912="","",INDEX('Per Line'!$L$2:$L$4001,$X912))</f>
        <v/>
      </c>
      <c r="K912" s="20" t="str">
        <f aca="false">IF($X912="","",INDEX('Per Line'!$M$2:$M$4001,$X912))</f>
        <v/>
      </c>
      <c r="L912" s="22" t="str">
        <f aca="false">IF($X912="","",K912*V912/100)</f>
        <v/>
      </c>
      <c r="M912" s="20" t="str">
        <f aca="false">IF($X912="","",INDEX('Per Line'!$Z$2:$Z$4001,$X912))</f>
        <v/>
      </c>
      <c r="N912" s="23" t="str">
        <f aca="false">IF($X912="","",Settings!$C$7)</f>
        <v/>
      </c>
      <c r="O912" s="22" t="str">
        <f aca="false">IF($X912="","",SUMIFS('Per Line'!$Y$2:$Y$4001,'Per Line'!$D$2:$D$4001,$B912,'Per Line'!$AJ$2:$AJ$4001,0))</f>
        <v/>
      </c>
      <c r="P912" s="22" t="str">
        <f aca="false">IF($X912="","",O912*N912)</f>
        <v/>
      </c>
      <c r="Q912" s="23" t="str">
        <f aca="false">IF($X912="","",Settings!$C$6)</f>
        <v/>
      </c>
      <c r="R912" s="22" t="str">
        <f aca="false">IF($X912="","",SUMIFS('Per Line'!$Y$2:$Y$4001,'Per Line'!$D$2:$D$4001,$B912,'Per Line'!$AJ$2:$AJ$4001,1))</f>
        <v/>
      </c>
      <c r="S912" s="22" t="str">
        <f aca="false">IF($X912="","",R912*Q912)</f>
        <v/>
      </c>
      <c r="T912" s="22" t="str">
        <f aca="false">IF($X912="","",S912+P912)</f>
        <v/>
      </c>
      <c r="U912" s="22" t="str">
        <f aca="false">IF($X912="","",V912-T912)</f>
        <v/>
      </c>
      <c r="V912" s="22" t="str">
        <f aca="false">IF($X912="","",O912+R912)</f>
        <v/>
      </c>
      <c r="W912" s="22" t="str">
        <f aca="false">IF($X912="","",U912-L912)</f>
        <v/>
      </c>
      <c r="X912" s="24" t="str">
        <f aca="false">IF(ROWS($X$2:$X912)&lt;=MAX('Per Line'!$AI$2:$AI$4001),MATCH(ROWS($X$2:$X912),'Per Line'!$AI$2:$AI$4001,0),"")</f>
        <v/>
      </c>
    </row>
    <row r="913" customFormat="false" ht="15" hidden="false" customHeight="false" outlineLevel="0" collapsed="false">
      <c r="A913" s="19"/>
      <c r="B913" s="20" t="str">
        <f aca="false">IF($X913="","",INDEX('Per Line'!$D$2:$D$4001,$X913))</f>
        <v/>
      </c>
      <c r="C913" s="20" t="str">
        <f aca="false">IF($X913="","",INDEX('Per Line'!$C$2:$C$4001,$X913))</f>
        <v/>
      </c>
      <c r="D913" s="20" t="str">
        <f aca="false">IF($X913="","",INDEX('Per Line'!$A$2:$A$4001,$X913))</f>
        <v/>
      </c>
      <c r="E913" s="21" t="str">
        <f aca="false">IF($X913="","",INDEX('Per Line'!$F$2:$F$4001,$X913))</f>
        <v/>
      </c>
      <c r="F913" s="20" t="str">
        <f aca="false">IF($X913="","",INDEX('Per Line'!$G$2:$G$4001,$X913))</f>
        <v/>
      </c>
      <c r="G913" s="20" t="str">
        <f aca="false">IF($X913="","",INDEX('Per Line'!$I$2:$I$4001,$X913))</f>
        <v/>
      </c>
      <c r="H913" s="20" t="str">
        <f aca="false">IF($X913="","",INDEX('Per Line'!$J$2:$J$4001,$X913))</f>
        <v/>
      </c>
      <c r="I913" s="20" t="str">
        <f aca="false">IF($X913="","",INDEX('Per Line'!$K$2:$K$4001,$X913))</f>
        <v/>
      </c>
      <c r="J913" s="20" t="str">
        <f aca="false">IF($X913="","",INDEX('Per Line'!$L$2:$L$4001,$X913))</f>
        <v/>
      </c>
      <c r="K913" s="20" t="str">
        <f aca="false">IF($X913="","",INDEX('Per Line'!$M$2:$M$4001,$X913))</f>
        <v/>
      </c>
      <c r="L913" s="22" t="str">
        <f aca="false">IF($X913="","",K913*V913/100)</f>
        <v/>
      </c>
      <c r="M913" s="20" t="str">
        <f aca="false">IF($X913="","",INDEX('Per Line'!$Z$2:$Z$4001,$X913))</f>
        <v/>
      </c>
      <c r="N913" s="23" t="str">
        <f aca="false">IF($X913="","",Settings!$C$7)</f>
        <v/>
      </c>
      <c r="O913" s="22" t="str">
        <f aca="false">IF($X913="","",SUMIFS('Per Line'!$Y$2:$Y$4001,'Per Line'!$D$2:$D$4001,$B913,'Per Line'!$AJ$2:$AJ$4001,0))</f>
        <v/>
      </c>
      <c r="P913" s="22" t="str">
        <f aca="false">IF($X913="","",O913*N913)</f>
        <v/>
      </c>
      <c r="Q913" s="23" t="str">
        <f aca="false">IF($X913="","",Settings!$C$6)</f>
        <v/>
      </c>
      <c r="R913" s="22" t="str">
        <f aca="false">IF($X913="","",SUMIFS('Per Line'!$Y$2:$Y$4001,'Per Line'!$D$2:$D$4001,$B913,'Per Line'!$AJ$2:$AJ$4001,1))</f>
        <v/>
      </c>
      <c r="S913" s="22" t="str">
        <f aca="false">IF($X913="","",R913*Q913)</f>
        <v/>
      </c>
      <c r="T913" s="22" t="str">
        <f aca="false">IF($X913="","",S913+P913)</f>
        <v/>
      </c>
      <c r="U913" s="22" t="str">
        <f aca="false">IF($X913="","",V913-T913)</f>
        <v/>
      </c>
      <c r="V913" s="22" t="str">
        <f aca="false">IF($X913="","",O913+R913)</f>
        <v/>
      </c>
      <c r="W913" s="22" t="str">
        <f aca="false">IF($X913="","",U913-L913)</f>
        <v/>
      </c>
      <c r="X913" s="24" t="str">
        <f aca="false">IF(ROWS($X$2:$X913)&lt;=MAX('Per Line'!$AI$2:$AI$4001),MATCH(ROWS($X$2:$X913),'Per Line'!$AI$2:$AI$4001,0),"")</f>
        <v/>
      </c>
    </row>
    <row r="914" customFormat="false" ht="15" hidden="false" customHeight="false" outlineLevel="0" collapsed="false">
      <c r="A914" s="19"/>
      <c r="B914" s="20" t="str">
        <f aca="false">IF($X914="","",INDEX('Per Line'!$D$2:$D$4001,$X914))</f>
        <v/>
      </c>
      <c r="C914" s="20" t="str">
        <f aca="false">IF($X914="","",INDEX('Per Line'!$C$2:$C$4001,$X914))</f>
        <v/>
      </c>
      <c r="D914" s="20" t="str">
        <f aca="false">IF($X914="","",INDEX('Per Line'!$A$2:$A$4001,$X914))</f>
        <v/>
      </c>
      <c r="E914" s="21" t="str">
        <f aca="false">IF($X914="","",INDEX('Per Line'!$F$2:$F$4001,$X914))</f>
        <v/>
      </c>
      <c r="F914" s="20" t="str">
        <f aca="false">IF($X914="","",INDEX('Per Line'!$G$2:$G$4001,$X914))</f>
        <v/>
      </c>
      <c r="G914" s="20" t="str">
        <f aca="false">IF($X914="","",INDEX('Per Line'!$I$2:$I$4001,$X914))</f>
        <v/>
      </c>
      <c r="H914" s="20" t="str">
        <f aca="false">IF($X914="","",INDEX('Per Line'!$J$2:$J$4001,$X914))</f>
        <v/>
      </c>
      <c r="I914" s="20" t="str">
        <f aca="false">IF($X914="","",INDEX('Per Line'!$K$2:$K$4001,$X914))</f>
        <v/>
      </c>
      <c r="J914" s="20" t="str">
        <f aca="false">IF($X914="","",INDEX('Per Line'!$L$2:$L$4001,$X914))</f>
        <v/>
      </c>
      <c r="K914" s="20" t="str">
        <f aca="false">IF($X914="","",INDEX('Per Line'!$M$2:$M$4001,$X914))</f>
        <v/>
      </c>
      <c r="L914" s="22" t="str">
        <f aca="false">IF($X914="","",K914*V914/100)</f>
        <v/>
      </c>
      <c r="M914" s="20" t="str">
        <f aca="false">IF($X914="","",INDEX('Per Line'!$Z$2:$Z$4001,$X914))</f>
        <v/>
      </c>
      <c r="N914" s="23" t="str">
        <f aca="false">IF($X914="","",Settings!$C$7)</f>
        <v/>
      </c>
      <c r="O914" s="22" t="str">
        <f aca="false">IF($X914="","",SUMIFS('Per Line'!$Y$2:$Y$4001,'Per Line'!$D$2:$D$4001,$B914,'Per Line'!$AJ$2:$AJ$4001,0))</f>
        <v/>
      </c>
      <c r="P914" s="22" t="str">
        <f aca="false">IF($X914="","",O914*N914)</f>
        <v/>
      </c>
      <c r="Q914" s="23" t="str">
        <f aca="false">IF($X914="","",Settings!$C$6)</f>
        <v/>
      </c>
      <c r="R914" s="22" t="str">
        <f aca="false">IF($X914="","",SUMIFS('Per Line'!$Y$2:$Y$4001,'Per Line'!$D$2:$D$4001,$B914,'Per Line'!$AJ$2:$AJ$4001,1))</f>
        <v/>
      </c>
      <c r="S914" s="22" t="str">
        <f aca="false">IF($X914="","",R914*Q914)</f>
        <v/>
      </c>
      <c r="T914" s="22" t="str">
        <f aca="false">IF($X914="","",S914+P914)</f>
        <v/>
      </c>
      <c r="U914" s="22" t="str">
        <f aca="false">IF($X914="","",V914-T914)</f>
        <v/>
      </c>
      <c r="V914" s="22" t="str">
        <f aca="false">IF($X914="","",O914+R914)</f>
        <v/>
      </c>
      <c r="W914" s="22" t="str">
        <f aca="false">IF($X914="","",U914-L914)</f>
        <v/>
      </c>
      <c r="X914" s="24" t="str">
        <f aca="false">IF(ROWS($X$2:$X914)&lt;=MAX('Per Line'!$AI$2:$AI$4001),MATCH(ROWS($X$2:$X914),'Per Line'!$AI$2:$AI$4001,0),"")</f>
        <v/>
      </c>
    </row>
    <row r="915" customFormat="false" ht="15" hidden="false" customHeight="false" outlineLevel="0" collapsed="false">
      <c r="A915" s="19"/>
      <c r="B915" s="20" t="str">
        <f aca="false">IF($X915="","",INDEX('Per Line'!$D$2:$D$4001,$X915))</f>
        <v/>
      </c>
      <c r="C915" s="20" t="str">
        <f aca="false">IF($X915="","",INDEX('Per Line'!$C$2:$C$4001,$X915))</f>
        <v/>
      </c>
      <c r="D915" s="20" t="str">
        <f aca="false">IF($X915="","",INDEX('Per Line'!$A$2:$A$4001,$X915))</f>
        <v/>
      </c>
      <c r="E915" s="21" t="str">
        <f aca="false">IF($X915="","",INDEX('Per Line'!$F$2:$F$4001,$X915))</f>
        <v/>
      </c>
      <c r="F915" s="20" t="str">
        <f aca="false">IF($X915="","",INDEX('Per Line'!$G$2:$G$4001,$X915))</f>
        <v/>
      </c>
      <c r="G915" s="20" t="str">
        <f aca="false">IF($X915="","",INDEX('Per Line'!$I$2:$I$4001,$X915))</f>
        <v/>
      </c>
      <c r="H915" s="20" t="str">
        <f aca="false">IF($X915="","",INDEX('Per Line'!$J$2:$J$4001,$X915))</f>
        <v/>
      </c>
      <c r="I915" s="20" t="str">
        <f aca="false">IF($X915="","",INDEX('Per Line'!$K$2:$K$4001,$X915))</f>
        <v/>
      </c>
      <c r="J915" s="20" t="str">
        <f aca="false">IF($X915="","",INDEX('Per Line'!$L$2:$L$4001,$X915))</f>
        <v/>
      </c>
      <c r="K915" s="20" t="str">
        <f aca="false">IF($X915="","",INDEX('Per Line'!$M$2:$M$4001,$X915))</f>
        <v/>
      </c>
      <c r="L915" s="22" t="str">
        <f aca="false">IF($X915="","",K915*V915/100)</f>
        <v/>
      </c>
      <c r="M915" s="20" t="str">
        <f aca="false">IF($X915="","",INDEX('Per Line'!$Z$2:$Z$4001,$X915))</f>
        <v/>
      </c>
      <c r="N915" s="23" t="str">
        <f aca="false">IF($X915="","",Settings!$C$7)</f>
        <v/>
      </c>
      <c r="O915" s="22" t="str">
        <f aca="false">IF($X915="","",SUMIFS('Per Line'!$Y$2:$Y$4001,'Per Line'!$D$2:$D$4001,$B915,'Per Line'!$AJ$2:$AJ$4001,0))</f>
        <v/>
      </c>
      <c r="P915" s="22" t="str">
        <f aca="false">IF($X915="","",O915*N915)</f>
        <v/>
      </c>
      <c r="Q915" s="23" t="str">
        <f aca="false">IF($X915="","",Settings!$C$6)</f>
        <v/>
      </c>
      <c r="R915" s="22" t="str">
        <f aca="false">IF($X915="","",SUMIFS('Per Line'!$Y$2:$Y$4001,'Per Line'!$D$2:$D$4001,$B915,'Per Line'!$AJ$2:$AJ$4001,1))</f>
        <v/>
      </c>
      <c r="S915" s="22" t="str">
        <f aca="false">IF($X915="","",R915*Q915)</f>
        <v/>
      </c>
      <c r="T915" s="22" t="str">
        <f aca="false">IF($X915="","",S915+P915)</f>
        <v/>
      </c>
      <c r="U915" s="22" t="str">
        <f aca="false">IF($X915="","",V915-T915)</f>
        <v/>
      </c>
      <c r="V915" s="22" t="str">
        <f aca="false">IF($X915="","",O915+R915)</f>
        <v/>
      </c>
      <c r="W915" s="22" t="str">
        <f aca="false">IF($X915="","",U915-L915)</f>
        <v/>
      </c>
      <c r="X915" s="24" t="str">
        <f aca="false">IF(ROWS($X$2:$X915)&lt;=MAX('Per Line'!$AI$2:$AI$4001),MATCH(ROWS($X$2:$X915),'Per Line'!$AI$2:$AI$4001,0),"")</f>
        <v/>
      </c>
    </row>
    <row r="916" customFormat="false" ht="15" hidden="false" customHeight="false" outlineLevel="0" collapsed="false">
      <c r="A916" s="19"/>
      <c r="B916" s="20" t="str">
        <f aca="false">IF($X916="","",INDEX('Per Line'!$D$2:$D$4001,$X916))</f>
        <v/>
      </c>
      <c r="C916" s="20" t="str">
        <f aca="false">IF($X916="","",INDEX('Per Line'!$C$2:$C$4001,$X916))</f>
        <v/>
      </c>
      <c r="D916" s="20" t="str">
        <f aca="false">IF($X916="","",INDEX('Per Line'!$A$2:$A$4001,$X916))</f>
        <v/>
      </c>
      <c r="E916" s="21" t="str">
        <f aca="false">IF($X916="","",INDEX('Per Line'!$F$2:$F$4001,$X916))</f>
        <v/>
      </c>
      <c r="F916" s="20" t="str">
        <f aca="false">IF($X916="","",INDEX('Per Line'!$G$2:$G$4001,$X916))</f>
        <v/>
      </c>
      <c r="G916" s="20" t="str">
        <f aca="false">IF($X916="","",INDEX('Per Line'!$I$2:$I$4001,$X916))</f>
        <v/>
      </c>
      <c r="H916" s="20" t="str">
        <f aca="false">IF($X916="","",INDEX('Per Line'!$J$2:$J$4001,$X916))</f>
        <v/>
      </c>
      <c r="I916" s="20" t="str">
        <f aca="false">IF($X916="","",INDEX('Per Line'!$K$2:$K$4001,$X916))</f>
        <v/>
      </c>
      <c r="J916" s="20" t="str">
        <f aca="false">IF($X916="","",INDEX('Per Line'!$L$2:$L$4001,$X916))</f>
        <v/>
      </c>
      <c r="K916" s="20" t="str">
        <f aca="false">IF($X916="","",INDEX('Per Line'!$M$2:$M$4001,$X916))</f>
        <v/>
      </c>
      <c r="L916" s="22" t="str">
        <f aca="false">IF($X916="","",K916*V916/100)</f>
        <v/>
      </c>
      <c r="M916" s="20" t="str">
        <f aca="false">IF($X916="","",INDEX('Per Line'!$Z$2:$Z$4001,$X916))</f>
        <v/>
      </c>
      <c r="N916" s="23" t="str">
        <f aca="false">IF($X916="","",Settings!$C$7)</f>
        <v/>
      </c>
      <c r="O916" s="22" t="str">
        <f aca="false">IF($X916="","",SUMIFS('Per Line'!$Y$2:$Y$4001,'Per Line'!$D$2:$D$4001,$B916,'Per Line'!$AJ$2:$AJ$4001,0))</f>
        <v/>
      </c>
      <c r="P916" s="22" t="str">
        <f aca="false">IF($X916="","",O916*N916)</f>
        <v/>
      </c>
      <c r="Q916" s="23" t="str">
        <f aca="false">IF($X916="","",Settings!$C$6)</f>
        <v/>
      </c>
      <c r="R916" s="22" t="str">
        <f aca="false">IF($X916="","",SUMIFS('Per Line'!$Y$2:$Y$4001,'Per Line'!$D$2:$D$4001,$B916,'Per Line'!$AJ$2:$AJ$4001,1))</f>
        <v/>
      </c>
      <c r="S916" s="22" t="str">
        <f aca="false">IF($X916="","",R916*Q916)</f>
        <v/>
      </c>
      <c r="T916" s="22" t="str">
        <f aca="false">IF($X916="","",S916+P916)</f>
        <v/>
      </c>
      <c r="U916" s="22" t="str">
        <f aca="false">IF($X916="","",V916-T916)</f>
        <v/>
      </c>
      <c r="V916" s="22" t="str">
        <f aca="false">IF($X916="","",O916+R916)</f>
        <v/>
      </c>
      <c r="W916" s="22" t="str">
        <f aca="false">IF($X916="","",U916-L916)</f>
        <v/>
      </c>
      <c r="X916" s="24" t="str">
        <f aca="false">IF(ROWS($X$2:$X916)&lt;=MAX('Per Line'!$AI$2:$AI$4001),MATCH(ROWS($X$2:$X916),'Per Line'!$AI$2:$AI$4001,0),"")</f>
        <v/>
      </c>
    </row>
    <row r="917" customFormat="false" ht="15" hidden="false" customHeight="false" outlineLevel="0" collapsed="false">
      <c r="A917" s="19"/>
      <c r="B917" s="20" t="str">
        <f aca="false">IF($X917="","",INDEX('Per Line'!$D$2:$D$4001,$X917))</f>
        <v/>
      </c>
      <c r="C917" s="20" t="str">
        <f aca="false">IF($X917="","",INDEX('Per Line'!$C$2:$C$4001,$X917))</f>
        <v/>
      </c>
      <c r="D917" s="20" t="str">
        <f aca="false">IF($X917="","",INDEX('Per Line'!$A$2:$A$4001,$X917))</f>
        <v/>
      </c>
      <c r="E917" s="21" t="str">
        <f aca="false">IF($X917="","",INDEX('Per Line'!$F$2:$F$4001,$X917))</f>
        <v/>
      </c>
      <c r="F917" s="20" t="str">
        <f aca="false">IF($X917="","",INDEX('Per Line'!$G$2:$G$4001,$X917))</f>
        <v/>
      </c>
      <c r="G917" s="20" t="str">
        <f aca="false">IF($X917="","",INDEX('Per Line'!$I$2:$I$4001,$X917))</f>
        <v/>
      </c>
      <c r="H917" s="20" t="str">
        <f aca="false">IF($X917="","",INDEX('Per Line'!$J$2:$J$4001,$X917))</f>
        <v/>
      </c>
      <c r="I917" s="20" t="str">
        <f aca="false">IF($X917="","",INDEX('Per Line'!$K$2:$K$4001,$X917))</f>
        <v/>
      </c>
      <c r="J917" s="20" t="str">
        <f aca="false">IF($X917="","",INDEX('Per Line'!$L$2:$L$4001,$X917))</f>
        <v/>
      </c>
      <c r="K917" s="20" t="str">
        <f aca="false">IF($X917="","",INDEX('Per Line'!$M$2:$M$4001,$X917))</f>
        <v/>
      </c>
      <c r="L917" s="22" t="str">
        <f aca="false">IF($X917="","",K917*V917/100)</f>
        <v/>
      </c>
      <c r="M917" s="20" t="str">
        <f aca="false">IF($X917="","",INDEX('Per Line'!$Z$2:$Z$4001,$X917))</f>
        <v/>
      </c>
      <c r="N917" s="23" t="str">
        <f aca="false">IF($X917="","",Settings!$C$7)</f>
        <v/>
      </c>
      <c r="O917" s="22" t="str">
        <f aca="false">IF($X917="","",SUMIFS('Per Line'!$Y$2:$Y$4001,'Per Line'!$D$2:$D$4001,$B917,'Per Line'!$AJ$2:$AJ$4001,0))</f>
        <v/>
      </c>
      <c r="P917" s="22" t="str">
        <f aca="false">IF($X917="","",O917*N917)</f>
        <v/>
      </c>
      <c r="Q917" s="23" t="str">
        <f aca="false">IF($X917="","",Settings!$C$6)</f>
        <v/>
      </c>
      <c r="R917" s="22" t="str">
        <f aca="false">IF($X917="","",SUMIFS('Per Line'!$Y$2:$Y$4001,'Per Line'!$D$2:$D$4001,$B917,'Per Line'!$AJ$2:$AJ$4001,1))</f>
        <v/>
      </c>
      <c r="S917" s="22" t="str">
        <f aca="false">IF($X917="","",R917*Q917)</f>
        <v/>
      </c>
      <c r="T917" s="22" t="str">
        <f aca="false">IF($X917="","",S917+P917)</f>
        <v/>
      </c>
      <c r="U917" s="22" t="str">
        <f aca="false">IF($X917="","",V917-T917)</f>
        <v/>
      </c>
      <c r="V917" s="22" t="str">
        <f aca="false">IF($X917="","",O917+R917)</f>
        <v/>
      </c>
      <c r="W917" s="22" t="str">
        <f aca="false">IF($X917="","",U917-L917)</f>
        <v/>
      </c>
      <c r="X917" s="24" t="str">
        <f aca="false">IF(ROWS($X$2:$X917)&lt;=MAX('Per Line'!$AI$2:$AI$4001),MATCH(ROWS($X$2:$X917),'Per Line'!$AI$2:$AI$4001,0),"")</f>
        <v/>
      </c>
    </row>
    <row r="918" customFormat="false" ht="15" hidden="false" customHeight="false" outlineLevel="0" collapsed="false">
      <c r="A918" s="19"/>
      <c r="B918" s="20" t="str">
        <f aca="false">IF($X918="","",INDEX('Per Line'!$D$2:$D$4001,$X918))</f>
        <v/>
      </c>
      <c r="C918" s="20" t="str">
        <f aca="false">IF($X918="","",INDEX('Per Line'!$C$2:$C$4001,$X918))</f>
        <v/>
      </c>
      <c r="D918" s="20" t="str">
        <f aca="false">IF($X918="","",INDEX('Per Line'!$A$2:$A$4001,$X918))</f>
        <v/>
      </c>
      <c r="E918" s="21" t="str">
        <f aca="false">IF($X918="","",INDEX('Per Line'!$F$2:$F$4001,$X918))</f>
        <v/>
      </c>
      <c r="F918" s="20" t="str">
        <f aca="false">IF($X918="","",INDEX('Per Line'!$G$2:$G$4001,$X918))</f>
        <v/>
      </c>
      <c r="G918" s="20" t="str">
        <f aca="false">IF($X918="","",INDEX('Per Line'!$I$2:$I$4001,$X918))</f>
        <v/>
      </c>
      <c r="H918" s="20" t="str">
        <f aca="false">IF($X918="","",INDEX('Per Line'!$J$2:$J$4001,$X918))</f>
        <v/>
      </c>
      <c r="I918" s="20" t="str">
        <f aca="false">IF($X918="","",INDEX('Per Line'!$K$2:$K$4001,$X918))</f>
        <v/>
      </c>
      <c r="J918" s="20" t="str">
        <f aca="false">IF($X918="","",INDEX('Per Line'!$L$2:$L$4001,$X918))</f>
        <v/>
      </c>
      <c r="K918" s="20" t="str">
        <f aca="false">IF($X918="","",INDEX('Per Line'!$M$2:$M$4001,$X918))</f>
        <v/>
      </c>
      <c r="L918" s="22" t="str">
        <f aca="false">IF($X918="","",K918*V918/100)</f>
        <v/>
      </c>
      <c r="M918" s="20" t="str">
        <f aca="false">IF($X918="","",INDEX('Per Line'!$Z$2:$Z$4001,$X918))</f>
        <v/>
      </c>
      <c r="N918" s="23" t="str">
        <f aca="false">IF($X918="","",Settings!$C$7)</f>
        <v/>
      </c>
      <c r="O918" s="22" t="str">
        <f aca="false">IF($X918="","",SUMIFS('Per Line'!$Y$2:$Y$4001,'Per Line'!$D$2:$D$4001,$B918,'Per Line'!$AJ$2:$AJ$4001,0))</f>
        <v/>
      </c>
      <c r="P918" s="22" t="str">
        <f aca="false">IF($X918="","",O918*N918)</f>
        <v/>
      </c>
      <c r="Q918" s="23" t="str">
        <f aca="false">IF($X918="","",Settings!$C$6)</f>
        <v/>
      </c>
      <c r="R918" s="22" t="str">
        <f aca="false">IF($X918="","",SUMIFS('Per Line'!$Y$2:$Y$4001,'Per Line'!$D$2:$D$4001,$B918,'Per Line'!$AJ$2:$AJ$4001,1))</f>
        <v/>
      </c>
      <c r="S918" s="22" t="str">
        <f aca="false">IF($X918="","",R918*Q918)</f>
        <v/>
      </c>
      <c r="T918" s="22" t="str">
        <f aca="false">IF($X918="","",S918+P918)</f>
        <v/>
      </c>
      <c r="U918" s="22" t="str">
        <f aca="false">IF($X918="","",V918-T918)</f>
        <v/>
      </c>
      <c r="V918" s="22" t="str">
        <f aca="false">IF($X918="","",O918+R918)</f>
        <v/>
      </c>
      <c r="W918" s="22" t="str">
        <f aca="false">IF($X918="","",U918-L918)</f>
        <v/>
      </c>
      <c r="X918" s="24" t="str">
        <f aca="false">IF(ROWS($X$2:$X918)&lt;=MAX('Per Line'!$AI$2:$AI$4001),MATCH(ROWS($X$2:$X918),'Per Line'!$AI$2:$AI$4001,0),"")</f>
        <v/>
      </c>
    </row>
    <row r="919" customFormat="false" ht="15" hidden="false" customHeight="false" outlineLevel="0" collapsed="false">
      <c r="A919" s="19"/>
      <c r="B919" s="20" t="str">
        <f aca="false">IF($X919="","",INDEX('Per Line'!$D$2:$D$4001,$X919))</f>
        <v/>
      </c>
      <c r="C919" s="20" t="str">
        <f aca="false">IF($X919="","",INDEX('Per Line'!$C$2:$C$4001,$X919))</f>
        <v/>
      </c>
      <c r="D919" s="20" t="str">
        <f aca="false">IF($X919="","",INDEX('Per Line'!$A$2:$A$4001,$X919))</f>
        <v/>
      </c>
      <c r="E919" s="21" t="str">
        <f aca="false">IF($X919="","",INDEX('Per Line'!$F$2:$F$4001,$X919))</f>
        <v/>
      </c>
      <c r="F919" s="20" t="str">
        <f aca="false">IF($X919="","",INDEX('Per Line'!$G$2:$G$4001,$X919))</f>
        <v/>
      </c>
      <c r="G919" s="20" t="str">
        <f aca="false">IF($X919="","",INDEX('Per Line'!$I$2:$I$4001,$X919))</f>
        <v/>
      </c>
      <c r="H919" s="20" t="str">
        <f aca="false">IF($X919="","",INDEX('Per Line'!$J$2:$J$4001,$X919))</f>
        <v/>
      </c>
      <c r="I919" s="20" t="str">
        <f aca="false">IF($X919="","",INDEX('Per Line'!$K$2:$K$4001,$X919))</f>
        <v/>
      </c>
      <c r="J919" s="20" t="str">
        <f aca="false">IF($X919="","",INDEX('Per Line'!$L$2:$L$4001,$X919))</f>
        <v/>
      </c>
      <c r="K919" s="20" t="str">
        <f aca="false">IF($X919="","",INDEX('Per Line'!$M$2:$M$4001,$X919))</f>
        <v/>
      </c>
      <c r="L919" s="22" t="str">
        <f aca="false">IF($X919="","",K919*V919/100)</f>
        <v/>
      </c>
      <c r="M919" s="20" t="str">
        <f aca="false">IF($X919="","",INDEX('Per Line'!$Z$2:$Z$4001,$X919))</f>
        <v/>
      </c>
      <c r="N919" s="23" t="str">
        <f aca="false">IF($X919="","",Settings!$C$7)</f>
        <v/>
      </c>
      <c r="O919" s="22" t="str">
        <f aca="false">IF($X919="","",SUMIFS('Per Line'!$Y$2:$Y$4001,'Per Line'!$D$2:$D$4001,$B919,'Per Line'!$AJ$2:$AJ$4001,0))</f>
        <v/>
      </c>
      <c r="P919" s="22" t="str">
        <f aca="false">IF($X919="","",O919*N919)</f>
        <v/>
      </c>
      <c r="Q919" s="23" t="str">
        <f aca="false">IF($X919="","",Settings!$C$6)</f>
        <v/>
      </c>
      <c r="R919" s="22" t="str">
        <f aca="false">IF($X919="","",SUMIFS('Per Line'!$Y$2:$Y$4001,'Per Line'!$D$2:$D$4001,$B919,'Per Line'!$AJ$2:$AJ$4001,1))</f>
        <v/>
      </c>
      <c r="S919" s="22" t="str">
        <f aca="false">IF($X919="","",R919*Q919)</f>
        <v/>
      </c>
      <c r="T919" s="22" t="str">
        <f aca="false">IF($X919="","",S919+P919)</f>
        <v/>
      </c>
      <c r="U919" s="22" t="str">
        <f aca="false">IF($X919="","",V919-T919)</f>
        <v/>
      </c>
      <c r="V919" s="22" t="str">
        <f aca="false">IF($X919="","",O919+R919)</f>
        <v/>
      </c>
      <c r="W919" s="22" t="str">
        <f aca="false">IF($X919="","",U919-L919)</f>
        <v/>
      </c>
      <c r="X919" s="24" t="str">
        <f aca="false">IF(ROWS($X$2:$X919)&lt;=MAX('Per Line'!$AI$2:$AI$4001),MATCH(ROWS($X$2:$X919),'Per Line'!$AI$2:$AI$4001,0),"")</f>
        <v/>
      </c>
    </row>
    <row r="920" customFormat="false" ht="15" hidden="false" customHeight="false" outlineLevel="0" collapsed="false">
      <c r="A920" s="19"/>
      <c r="B920" s="20" t="str">
        <f aca="false">IF($X920="","",INDEX('Per Line'!$D$2:$D$4001,$X920))</f>
        <v/>
      </c>
      <c r="C920" s="20" t="str">
        <f aca="false">IF($X920="","",INDEX('Per Line'!$C$2:$C$4001,$X920))</f>
        <v/>
      </c>
      <c r="D920" s="20" t="str">
        <f aca="false">IF($X920="","",INDEX('Per Line'!$A$2:$A$4001,$X920))</f>
        <v/>
      </c>
      <c r="E920" s="21" t="str">
        <f aca="false">IF($X920="","",INDEX('Per Line'!$F$2:$F$4001,$X920))</f>
        <v/>
      </c>
      <c r="F920" s="20" t="str">
        <f aca="false">IF($X920="","",INDEX('Per Line'!$G$2:$G$4001,$X920))</f>
        <v/>
      </c>
      <c r="G920" s="20" t="str">
        <f aca="false">IF($X920="","",INDEX('Per Line'!$I$2:$I$4001,$X920))</f>
        <v/>
      </c>
      <c r="H920" s="20" t="str">
        <f aca="false">IF($X920="","",INDEX('Per Line'!$J$2:$J$4001,$X920))</f>
        <v/>
      </c>
      <c r="I920" s="20" t="str">
        <f aca="false">IF($X920="","",INDEX('Per Line'!$K$2:$K$4001,$X920))</f>
        <v/>
      </c>
      <c r="J920" s="20" t="str">
        <f aca="false">IF($X920="","",INDEX('Per Line'!$L$2:$L$4001,$X920))</f>
        <v/>
      </c>
      <c r="K920" s="20" t="str">
        <f aca="false">IF($X920="","",INDEX('Per Line'!$M$2:$M$4001,$X920))</f>
        <v/>
      </c>
      <c r="L920" s="22" t="str">
        <f aca="false">IF($X920="","",K920*V920/100)</f>
        <v/>
      </c>
      <c r="M920" s="20" t="str">
        <f aca="false">IF($X920="","",INDEX('Per Line'!$Z$2:$Z$4001,$X920))</f>
        <v/>
      </c>
      <c r="N920" s="23" t="str">
        <f aca="false">IF($X920="","",Settings!$C$7)</f>
        <v/>
      </c>
      <c r="O920" s="22" t="str">
        <f aca="false">IF($X920="","",SUMIFS('Per Line'!$Y$2:$Y$4001,'Per Line'!$D$2:$D$4001,$B920,'Per Line'!$AJ$2:$AJ$4001,0))</f>
        <v/>
      </c>
      <c r="P920" s="22" t="str">
        <f aca="false">IF($X920="","",O920*N920)</f>
        <v/>
      </c>
      <c r="Q920" s="23" t="str">
        <f aca="false">IF($X920="","",Settings!$C$6)</f>
        <v/>
      </c>
      <c r="R920" s="22" t="str">
        <f aca="false">IF($X920="","",SUMIFS('Per Line'!$Y$2:$Y$4001,'Per Line'!$D$2:$D$4001,$B920,'Per Line'!$AJ$2:$AJ$4001,1))</f>
        <v/>
      </c>
      <c r="S920" s="22" t="str">
        <f aca="false">IF($X920="","",R920*Q920)</f>
        <v/>
      </c>
      <c r="T920" s="22" t="str">
        <f aca="false">IF($X920="","",S920+P920)</f>
        <v/>
      </c>
      <c r="U920" s="22" t="str">
        <f aca="false">IF($X920="","",V920-T920)</f>
        <v/>
      </c>
      <c r="V920" s="22" t="str">
        <f aca="false">IF($X920="","",O920+R920)</f>
        <v/>
      </c>
      <c r="W920" s="22" t="str">
        <f aca="false">IF($X920="","",U920-L920)</f>
        <v/>
      </c>
      <c r="X920" s="24" t="str">
        <f aca="false">IF(ROWS($X$2:$X920)&lt;=MAX('Per Line'!$AI$2:$AI$4001),MATCH(ROWS($X$2:$X920),'Per Line'!$AI$2:$AI$4001,0),"")</f>
        <v/>
      </c>
    </row>
    <row r="921" customFormat="false" ht="15" hidden="false" customHeight="false" outlineLevel="0" collapsed="false">
      <c r="A921" s="19"/>
      <c r="B921" s="20" t="str">
        <f aca="false">IF($X921="","",INDEX('Per Line'!$D$2:$D$4001,$X921))</f>
        <v/>
      </c>
      <c r="C921" s="20" t="str">
        <f aca="false">IF($X921="","",INDEX('Per Line'!$C$2:$C$4001,$X921))</f>
        <v/>
      </c>
      <c r="D921" s="20" t="str">
        <f aca="false">IF($X921="","",INDEX('Per Line'!$A$2:$A$4001,$X921))</f>
        <v/>
      </c>
      <c r="E921" s="21" t="str">
        <f aca="false">IF($X921="","",INDEX('Per Line'!$F$2:$F$4001,$X921))</f>
        <v/>
      </c>
      <c r="F921" s="20" t="str">
        <f aca="false">IF($X921="","",INDEX('Per Line'!$G$2:$G$4001,$X921))</f>
        <v/>
      </c>
      <c r="G921" s="20" t="str">
        <f aca="false">IF($X921="","",INDEX('Per Line'!$I$2:$I$4001,$X921))</f>
        <v/>
      </c>
      <c r="H921" s="20" t="str">
        <f aca="false">IF($X921="","",INDEX('Per Line'!$J$2:$J$4001,$X921))</f>
        <v/>
      </c>
      <c r="I921" s="20" t="str">
        <f aca="false">IF($X921="","",INDEX('Per Line'!$K$2:$K$4001,$X921))</f>
        <v/>
      </c>
      <c r="J921" s="20" t="str">
        <f aca="false">IF($X921="","",INDEX('Per Line'!$L$2:$L$4001,$X921))</f>
        <v/>
      </c>
      <c r="K921" s="20" t="str">
        <f aca="false">IF($X921="","",INDEX('Per Line'!$M$2:$M$4001,$X921))</f>
        <v/>
      </c>
      <c r="L921" s="22" t="str">
        <f aca="false">IF($X921="","",K921*V921/100)</f>
        <v/>
      </c>
      <c r="M921" s="20" t="str">
        <f aca="false">IF($X921="","",INDEX('Per Line'!$Z$2:$Z$4001,$X921))</f>
        <v/>
      </c>
      <c r="N921" s="23" t="str">
        <f aca="false">IF($X921="","",Settings!$C$7)</f>
        <v/>
      </c>
      <c r="O921" s="22" t="str">
        <f aca="false">IF($X921="","",SUMIFS('Per Line'!$Y$2:$Y$4001,'Per Line'!$D$2:$D$4001,$B921,'Per Line'!$AJ$2:$AJ$4001,0))</f>
        <v/>
      </c>
      <c r="P921" s="22" t="str">
        <f aca="false">IF($X921="","",O921*N921)</f>
        <v/>
      </c>
      <c r="Q921" s="23" t="str">
        <f aca="false">IF($X921="","",Settings!$C$6)</f>
        <v/>
      </c>
      <c r="R921" s="22" t="str">
        <f aca="false">IF($X921="","",SUMIFS('Per Line'!$Y$2:$Y$4001,'Per Line'!$D$2:$D$4001,$B921,'Per Line'!$AJ$2:$AJ$4001,1))</f>
        <v/>
      </c>
      <c r="S921" s="22" t="str">
        <f aca="false">IF($X921="","",R921*Q921)</f>
        <v/>
      </c>
      <c r="T921" s="22" t="str">
        <f aca="false">IF($X921="","",S921+P921)</f>
        <v/>
      </c>
      <c r="U921" s="22" t="str">
        <f aca="false">IF($X921="","",V921-T921)</f>
        <v/>
      </c>
      <c r="V921" s="22" t="str">
        <f aca="false">IF($X921="","",O921+R921)</f>
        <v/>
      </c>
      <c r="W921" s="22" t="str">
        <f aca="false">IF($X921="","",U921-L921)</f>
        <v/>
      </c>
      <c r="X921" s="24" t="str">
        <f aca="false">IF(ROWS($X$2:$X921)&lt;=MAX('Per Line'!$AI$2:$AI$4001),MATCH(ROWS($X$2:$X921),'Per Line'!$AI$2:$AI$4001,0),"")</f>
        <v/>
      </c>
    </row>
    <row r="922" customFormat="false" ht="15" hidden="false" customHeight="false" outlineLevel="0" collapsed="false">
      <c r="A922" s="19"/>
      <c r="B922" s="20" t="str">
        <f aca="false">IF($X922="","",INDEX('Per Line'!$D$2:$D$4001,$X922))</f>
        <v/>
      </c>
      <c r="C922" s="20" t="str">
        <f aca="false">IF($X922="","",INDEX('Per Line'!$C$2:$C$4001,$X922))</f>
        <v/>
      </c>
      <c r="D922" s="20" t="str">
        <f aca="false">IF($X922="","",INDEX('Per Line'!$A$2:$A$4001,$X922))</f>
        <v/>
      </c>
      <c r="E922" s="21" t="str">
        <f aca="false">IF($X922="","",INDEX('Per Line'!$F$2:$F$4001,$X922))</f>
        <v/>
      </c>
      <c r="F922" s="20" t="str">
        <f aca="false">IF($X922="","",INDEX('Per Line'!$G$2:$G$4001,$X922))</f>
        <v/>
      </c>
      <c r="G922" s="20" t="str">
        <f aca="false">IF($X922="","",INDEX('Per Line'!$I$2:$I$4001,$X922))</f>
        <v/>
      </c>
      <c r="H922" s="20" t="str">
        <f aca="false">IF($X922="","",INDEX('Per Line'!$J$2:$J$4001,$X922))</f>
        <v/>
      </c>
      <c r="I922" s="20" t="str">
        <f aca="false">IF($X922="","",INDEX('Per Line'!$K$2:$K$4001,$X922))</f>
        <v/>
      </c>
      <c r="J922" s="20" t="str">
        <f aca="false">IF($X922="","",INDEX('Per Line'!$L$2:$L$4001,$X922))</f>
        <v/>
      </c>
      <c r="K922" s="20" t="str">
        <f aca="false">IF($X922="","",INDEX('Per Line'!$M$2:$M$4001,$X922))</f>
        <v/>
      </c>
      <c r="L922" s="22" t="str">
        <f aca="false">IF($X922="","",K922*V922/100)</f>
        <v/>
      </c>
      <c r="M922" s="20" t="str">
        <f aca="false">IF($X922="","",INDEX('Per Line'!$Z$2:$Z$4001,$X922))</f>
        <v/>
      </c>
      <c r="N922" s="23" t="str">
        <f aca="false">IF($X922="","",Settings!$C$7)</f>
        <v/>
      </c>
      <c r="O922" s="22" t="str">
        <f aca="false">IF($X922="","",SUMIFS('Per Line'!$Y$2:$Y$4001,'Per Line'!$D$2:$D$4001,$B922,'Per Line'!$AJ$2:$AJ$4001,0))</f>
        <v/>
      </c>
      <c r="P922" s="22" t="str">
        <f aca="false">IF($X922="","",O922*N922)</f>
        <v/>
      </c>
      <c r="Q922" s="23" t="str">
        <f aca="false">IF($X922="","",Settings!$C$6)</f>
        <v/>
      </c>
      <c r="R922" s="22" t="str">
        <f aca="false">IF($X922="","",SUMIFS('Per Line'!$Y$2:$Y$4001,'Per Line'!$D$2:$D$4001,$B922,'Per Line'!$AJ$2:$AJ$4001,1))</f>
        <v/>
      </c>
      <c r="S922" s="22" t="str">
        <f aca="false">IF($X922="","",R922*Q922)</f>
        <v/>
      </c>
      <c r="T922" s="22" t="str">
        <f aca="false">IF($X922="","",S922+P922)</f>
        <v/>
      </c>
      <c r="U922" s="22" t="str">
        <f aca="false">IF($X922="","",V922-T922)</f>
        <v/>
      </c>
      <c r="V922" s="22" t="str">
        <f aca="false">IF($X922="","",O922+R922)</f>
        <v/>
      </c>
      <c r="W922" s="22" t="str">
        <f aca="false">IF($X922="","",U922-L922)</f>
        <v/>
      </c>
      <c r="X922" s="24" t="str">
        <f aca="false">IF(ROWS($X$2:$X922)&lt;=MAX('Per Line'!$AI$2:$AI$4001),MATCH(ROWS($X$2:$X922),'Per Line'!$AI$2:$AI$4001,0),"")</f>
        <v/>
      </c>
    </row>
    <row r="923" customFormat="false" ht="15" hidden="false" customHeight="false" outlineLevel="0" collapsed="false">
      <c r="A923" s="19"/>
      <c r="B923" s="20" t="str">
        <f aca="false">IF($X923="","",INDEX('Per Line'!$D$2:$D$4001,$X923))</f>
        <v/>
      </c>
      <c r="C923" s="20" t="str">
        <f aca="false">IF($X923="","",INDEX('Per Line'!$C$2:$C$4001,$X923))</f>
        <v/>
      </c>
      <c r="D923" s="20" t="str">
        <f aca="false">IF($X923="","",INDEX('Per Line'!$A$2:$A$4001,$X923))</f>
        <v/>
      </c>
      <c r="E923" s="21" t="str">
        <f aca="false">IF($X923="","",INDEX('Per Line'!$F$2:$F$4001,$X923))</f>
        <v/>
      </c>
      <c r="F923" s="20" t="str">
        <f aca="false">IF($X923="","",INDEX('Per Line'!$G$2:$G$4001,$X923))</f>
        <v/>
      </c>
      <c r="G923" s="20" t="str">
        <f aca="false">IF($X923="","",INDEX('Per Line'!$I$2:$I$4001,$X923))</f>
        <v/>
      </c>
      <c r="H923" s="20" t="str">
        <f aca="false">IF($X923="","",INDEX('Per Line'!$J$2:$J$4001,$X923))</f>
        <v/>
      </c>
      <c r="I923" s="20" t="str">
        <f aca="false">IF($X923="","",INDEX('Per Line'!$K$2:$K$4001,$X923))</f>
        <v/>
      </c>
      <c r="J923" s="20" t="str">
        <f aca="false">IF($X923="","",INDEX('Per Line'!$L$2:$L$4001,$X923))</f>
        <v/>
      </c>
      <c r="K923" s="20" t="str">
        <f aca="false">IF($X923="","",INDEX('Per Line'!$M$2:$M$4001,$X923))</f>
        <v/>
      </c>
      <c r="L923" s="22" t="str">
        <f aca="false">IF($X923="","",K923*V923/100)</f>
        <v/>
      </c>
      <c r="M923" s="20" t="str">
        <f aca="false">IF($X923="","",INDEX('Per Line'!$Z$2:$Z$4001,$X923))</f>
        <v/>
      </c>
      <c r="N923" s="23" t="str">
        <f aca="false">IF($X923="","",Settings!$C$7)</f>
        <v/>
      </c>
      <c r="O923" s="22" t="str">
        <f aca="false">IF($X923="","",SUMIFS('Per Line'!$Y$2:$Y$4001,'Per Line'!$D$2:$D$4001,$B923,'Per Line'!$AJ$2:$AJ$4001,0))</f>
        <v/>
      </c>
      <c r="P923" s="22" t="str">
        <f aca="false">IF($X923="","",O923*N923)</f>
        <v/>
      </c>
      <c r="Q923" s="23" t="str">
        <f aca="false">IF($X923="","",Settings!$C$6)</f>
        <v/>
      </c>
      <c r="R923" s="22" t="str">
        <f aca="false">IF($X923="","",SUMIFS('Per Line'!$Y$2:$Y$4001,'Per Line'!$D$2:$D$4001,$B923,'Per Line'!$AJ$2:$AJ$4001,1))</f>
        <v/>
      </c>
      <c r="S923" s="22" t="str">
        <f aca="false">IF($X923="","",R923*Q923)</f>
        <v/>
      </c>
      <c r="T923" s="22" t="str">
        <f aca="false">IF($X923="","",S923+P923)</f>
        <v/>
      </c>
      <c r="U923" s="22" t="str">
        <f aca="false">IF($X923="","",V923-T923)</f>
        <v/>
      </c>
      <c r="V923" s="22" t="str">
        <f aca="false">IF($X923="","",O923+R923)</f>
        <v/>
      </c>
      <c r="W923" s="22" t="str">
        <f aca="false">IF($X923="","",U923-L923)</f>
        <v/>
      </c>
      <c r="X923" s="24" t="str">
        <f aca="false">IF(ROWS($X$2:$X923)&lt;=MAX('Per Line'!$AI$2:$AI$4001),MATCH(ROWS($X$2:$X923),'Per Line'!$AI$2:$AI$4001,0),"")</f>
        <v/>
      </c>
    </row>
    <row r="924" customFormat="false" ht="15" hidden="false" customHeight="false" outlineLevel="0" collapsed="false">
      <c r="A924" s="19"/>
      <c r="B924" s="20" t="str">
        <f aca="false">IF($X924="","",INDEX('Per Line'!$D$2:$D$4001,$X924))</f>
        <v/>
      </c>
      <c r="C924" s="20" t="str">
        <f aca="false">IF($X924="","",INDEX('Per Line'!$C$2:$C$4001,$X924))</f>
        <v/>
      </c>
      <c r="D924" s="20" t="str">
        <f aca="false">IF($X924="","",INDEX('Per Line'!$A$2:$A$4001,$X924))</f>
        <v/>
      </c>
      <c r="E924" s="21" t="str">
        <f aca="false">IF($X924="","",INDEX('Per Line'!$F$2:$F$4001,$X924))</f>
        <v/>
      </c>
      <c r="F924" s="20" t="str">
        <f aca="false">IF($X924="","",INDEX('Per Line'!$G$2:$G$4001,$X924))</f>
        <v/>
      </c>
      <c r="G924" s="20" t="str">
        <f aca="false">IF($X924="","",INDEX('Per Line'!$I$2:$I$4001,$X924))</f>
        <v/>
      </c>
      <c r="H924" s="20" t="str">
        <f aca="false">IF($X924="","",INDEX('Per Line'!$J$2:$J$4001,$X924))</f>
        <v/>
      </c>
      <c r="I924" s="20" t="str">
        <f aca="false">IF($X924="","",INDEX('Per Line'!$K$2:$K$4001,$X924))</f>
        <v/>
      </c>
      <c r="J924" s="20" t="str">
        <f aca="false">IF($X924="","",INDEX('Per Line'!$L$2:$L$4001,$X924))</f>
        <v/>
      </c>
      <c r="K924" s="20" t="str">
        <f aca="false">IF($X924="","",INDEX('Per Line'!$M$2:$M$4001,$X924))</f>
        <v/>
      </c>
      <c r="L924" s="22" t="str">
        <f aca="false">IF($X924="","",K924*V924/100)</f>
        <v/>
      </c>
      <c r="M924" s="20" t="str">
        <f aca="false">IF($X924="","",INDEX('Per Line'!$Z$2:$Z$4001,$X924))</f>
        <v/>
      </c>
      <c r="N924" s="23" t="str">
        <f aca="false">IF($X924="","",Settings!$C$7)</f>
        <v/>
      </c>
      <c r="O924" s="22" t="str">
        <f aca="false">IF($X924="","",SUMIFS('Per Line'!$Y$2:$Y$4001,'Per Line'!$D$2:$D$4001,$B924,'Per Line'!$AJ$2:$AJ$4001,0))</f>
        <v/>
      </c>
      <c r="P924" s="22" t="str">
        <f aca="false">IF($X924="","",O924*N924)</f>
        <v/>
      </c>
      <c r="Q924" s="23" t="str">
        <f aca="false">IF($X924="","",Settings!$C$6)</f>
        <v/>
      </c>
      <c r="R924" s="22" t="str">
        <f aca="false">IF($X924="","",SUMIFS('Per Line'!$Y$2:$Y$4001,'Per Line'!$D$2:$D$4001,$B924,'Per Line'!$AJ$2:$AJ$4001,1))</f>
        <v/>
      </c>
      <c r="S924" s="22" t="str">
        <f aca="false">IF($X924="","",R924*Q924)</f>
        <v/>
      </c>
      <c r="T924" s="22" t="str">
        <f aca="false">IF($X924="","",S924+P924)</f>
        <v/>
      </c>
      <c r="U924" s="22" t="str">
        <f aca="false">IF($X924="","",V924-T924)</f>
        <v/>
      </c>
      <c r="V924" s="22" t="str">
        <f aca="false">IF($X924="","",O924+R924)</f>
        <v/>
      </c>
      <c r="W924" s="22" t="str">
        <f aca="false">IF($X924="","",U924-L924)</f>
        <v/>
      </c>
      <c r="X924" s="24" t="str">
        <f aca="false">IF(ROWS($X$2:$X924)&lt;=MAX('Per Line'!$AI$2:$AI$4001),MATCH(ROWS($X$2:$X924),'Per Line'!$AI$2:$AI$4001,0),"")</f>
        <v/>
      </c>
    </row>
    <row r="925" customFormat="false" ht="15" hidden="false" customHeight="false" outlineLevel="0" collapsed="false">
      <c r="A925" s="19"/>
      <c r="B925" s="20" t="str">
        <f aca="false">IF($X925="","",INDEX('Per Line'!$D$2:$D$4001,$X925))</f>
        <v/>
      </c>
      <c r="C925" s="20" t="str">
        <f aca="false">IF($X925="","",INDEX('Per Line'!$C$2:$C$4001,$X925))</f>
        <v/>
      </c>
      <c r="D925" s="20" t="str">
        <f aca="false">IF($X925="","",INDEX('Per Line'!$A$2:$A$4001,$X925))</f>
        <v/>
      </c>
      <c r="E925" s="21" t="str">
        <f aca="false">IF($X925="","",INDEX('Per Line'!$F$2:$F$4001,$X925))</f>
        <v/>
      </c>
      <c r="F925" s="20" t="str">
        <f aca="false">IF($X925="","",INDEX('Per Line'!$G$2:$G$4001,$X925))</f>
        <v/>
      </c>
      <c r="G925" s="20" t="str">
        <f aca="false">IF($X925="","",INDEX('Per Line'!$I$2:$I$4001,$X925))</f>
        <v/>
      </c>
      <c r="H925" s="20" t="str">
        <f aca="false">IF($X925="","",INDEX('Per Line'!$J$2:$J$4001,$X925))</f>
        <v/>
      </c>
      <c r="I925" s="20" t="str">
        <f aca="false">IF($X925="","",INDEX('Per Line'!$K$2:$K$4001,$X925))</f>
        <v/>
      </c>
      <c r="J925" s="20" t="str">
        <f aca="false">IF($X925="","",INDEX('Per Line'!$L$2:$L$4001,$X925))</f>
        <v/>
      </c>
      <c r="K925" s="20" t="str">
        <f aca="false">IF($X925="","",INDEX('Per Line'!$M$2:$M$4001,$X925))</f>
        <v/>
      </c>
      <c r="L925" s="22" t="str">
        <f aca="false">IF($X925="","",K925*V925/100)</f>
        <v/>
      </c>
      <c r="M925" s="20" t="str">
        <f aca="false">IF($X925="","",INDEX('Per Line'!$Z$2:$Z$4001,$X925))</f>
        <v/>
      </c>
      <c r="N925" s="23" t="str">
        <f aca="false">IF($X925="","",Settings!$C$7)</f>
        <v/>
      </c>
      <c r="O925" s="22" t="str">
        <f aca="false">IF($X925="","",SUMIFS('Per Line'!$Y$2:$Y$4001,'Per Line'!$D$2:$D$4001,$B925,'Per Line'!$AJ$2:$AJ$4001,0))</f>
        <v/>
      </c>
      <c r="P925" s="22" t="str">
        <f aca="false">IF($X925="","",O925*N925)</f>
        <v/>
      </c>
      <c r="Q925" s="23" t="str">
        <f aca="false">IF($X925="","",Settings!$C$6)</f>
        <v/>
      </c>
      <c r="R925" s="22" t="str">
        <f aca="false">IF($X925="","",SUMIFS('Per Line'!$Y$2:$Y$4001,'Per Line'!$D$2:$D$4001,$B925,'Per Line'!$AJ$2:$AJ$4001,1))</f>
        <v/>
      </c>
      <c r="S925" s="22" t="str">
        <f aca="false">IF($X925="","",R925*Q925)</f>
        <v/>
      </c>
      <c r="T925" s="22" t="str">
        <f aca="false">IF($X925="","",S925+P925)</f>
        <v/>
      </c>
      <c r="U925" s="22" t="str">
        <f aca="false">IF($X925="","",V925-T925)</f>
        <v/>
      </c>
      <c r="V925" s="22" t="str">
        <f aca="false">IF($X925="","",O925+R925)</f>
        <v/>
      </c>
      <c r="W925" s="22" t="str">
        <f aca="false">IF($X925="","",U925-L925)</f>
        <v/>
      </c>
      <c r="X925" s="24" t="str">
        <f aca="false">IF(ROWS($X$2:$X925)&lt;=MAX('Per Line'!$AI$2:$AI$4001),MATCH(ROWS($X$2:$X925),'Per Line'!$AI$2:$AI$4001,0),"")</f>
        <v/>
      </c>
    </row>
    <row r="926" customFormat="false" ht="15" hidden="false" customHeight="false" outlineLevel="0" collapsed="false">
      <c r="A926" s="19"/>
      <c r="B926" s="20" t="str">
        <f aca="false">IF($X926="","",INDEX('Per Line'!$D$2:$D$4001,$X926))</f>
        <v/>
      </c>
      <c r="C926" s="20" t="str">
        <f aca="false">IF($X926="","",INDEX('Per Line'!$C$2:$C$4001,$X926))</f>
        <v/>
      </c>
      <c r="D926" s="20" t="str">
        <f aca="false">IF($X926="","",INDEX('Per Line'!$A$2:$A$4001,$X926))</f>
        <v/>
      </c>
      <c r="E926" s="21" t="str">
        <f aca="false">IF($X926="","",INDEX('Per Line'!$F$2:$F$4001,$X926))</f>
        <v/>
      </c>
      <c r="F926" s="20" t="str">
        <f aca="false">IF($X926="","",INDEX('Per Line'!$G$2:$G$4001,$X926))</f>
        <v/>
      </c>
      <c r="G926" s="20" t="str">
        <f aca="false">IF($X926="","",INDEX('Per Line'!$I$2:$I$4001,$X926))</f>
        <v/>
      </c>
      <c r="H926" s="20" t="str">
        <f aca="false">IF($X926="","",INDEX('Per Line'!$J$2:$J$4001,$X926))</f>
        <v/>
      </c>
      <c r="I926" s="20" t="str">
        <f aca="false">IF($X926="","",INDEX('Per Line'!$K$2:$K$4001,$X926))</f>
        <v/>
      </c>
      <c r="J926" s="20" t="str">
        <f aca="false">IF($X926="","",INDEX('Per Line'!$L$2:$L$4001,$X926))</f>
        <v/>
      </c>
      <c r="K926" s="20" t="str">
        <f aca="false">IF($X926="","",INDEX('Per Line'!$M$2:$M$4001,$X926))</f>
        <v/>
      </c>
      <c r="L926" s="22" t="str">
        <f aca="false">IF($X926="","",K926*V926/100)</f>
        <v/>
      </c>
      <c r="M926" s="20" t="str">
        <f aca="false">IF($X926="","",INDEX('Per Line'!$Z$2:$Z$4001,$X926))</f>
        <v/>
      </c>
      <c r="N926" s="23" t="str">
        <f aca="false">IF($X926="","",Settings!$C$7)</f>
        <v/>
      </c>
      <c r="O926" s="22" t="str">
        <f aca="false">IF($X926="","",SUMIFS('Per Line'!$Y$2:$Y$4001,'Per Line'!$D$2:$D$4001,$B926,'Per Line'!$AJ$2:$AJ$4001,0))</f>
        <v/>
      </c>
      <c r="P926" s="22" t="str">
        <f aca="false">IF($X926="","",O926*N926)</f>
        <v/>
      </c>
      <c r="Q926" s="23" t="str">
        <f aca="false">IF($X926="","",Settings!$C$6)</f>
        <v/>
      </c>
      <c r="R926" s="22" t="str">
        <f aca="false">IF($X926="","",SUMIFS('Per Line'!$Y$2:$Y$4001,'Per Line'!$D$2:$D$4001,$B926,'Per Line'!$AJ$2:$AJ$4001,1))</f>
        <v/>
      </c>
      <c r="S926" s="22" t="str">
        <f aca="false">IF($X926="","",R926*Q926)</f>
        <v/>
      </c>
      <c r="T926" s="22" t="str">
        <f aca="false">IF($X926="","",S926+P926)</f>
        <v/>
      </c>
      <c r="U926" s="22" t="str">
        <f aca="false">IF($X926="","",V926-T926)</f>
        <v/>
      </c>
      <c r="V926" s="22" t="str">
        <f aca="false">IF($X926="","",O926+R926)</f>
        <v/>
      </c>
      <c r="W926" s="22" t="str">
        <f aca="false">IF($X926="","",U926-L926)</f>
        <v/>
      </c>
      <c r="X926" s="24" t="str">
        <f aca="false">IF(ROWS($X$2:$X926)&lt;=MAX('Per Line'!$AI$2:$AI$4001),MATCH(ROWS($X$2:$X926),'Per Line'!$AI$2:$AI$4001,0),"")</f>
        <v/>
      </c>
    </row>
    <row r="927" customFormat="false" ht="15" hidden="false" customHeight="false" outlineLevel="0" collapsed="false">
      <c r="A927" s="19"/>
      <c r="B927" s="20" t="str">
        <f aca="false">IF($X927="","",INDEX('Per Line'!$D$2:$D$4001,$X927))</f>
        <v/>
      </c>
      <c r="C927" s="20" t="str">
        <f aca="false">IF($X927="","",INDEX('Per Line'!$C$2:$C$4001,$X927))</f>
        <v/>
      </c>
      <c r="D927" s="20" t="str">
        <f aca="false">IF($X927="","",INDEX('Per Line'!$A$2:$A$4001,$X927))</f>
        <v/>
      </c>
      <c r="E927" s="21" t="str">
        <f aca="false">IF($X927="","",INDEX('Per Line'!$F$2:$F$4001,$X927))</f>
        <v/>
      </c>
      <c r="F927" s="20" t="str">
        <f aca="false">IF($X927="","",INDEX('Per Line'!$G$2:$G$4001,$X927))</f>
        <v/>
      </c>
      <c r="G927" s="20" t="str">
        <f aca="false">IF($X927="","",INDEX('Per Line'!$I$2:$I$4001,$X927))</f>
        <v/>
      </c>
      <c r="H927" s="20" t="str">
        <f aca="false">IF($X927="","",INDEX('Per Line'!$J$2:$J$4001,$X927))</f>
        <v/>
      </c>
      <c r="I927" s="20" t="str">
        <f aca="false">IF($X927="","",INDEX('Per Line'!$K$2:$K$4001,$X927))</f>
        <v/>
      </c>
      <c r="J927" s="20" t="str">
        <f aca="false">IF($X927="","",INDEX('Per Line'!$L$2:$L$4001,$X927))</f>
        <v/>
      </c>
      <c r="K927" s="20" t="str">
        <f aca="false">IF($X927="","",INDEX('Per Line'!$M$2:$M$4001,$X927))</f>
        <v/>
      </c>
      <c r="L927" s="22" t="str">
        <f aca="false">IF($X927="","",K927*V927/100)</f>
        <v/>
      </c>
      <c r="M927" s="20" t="str">
        <f aca="false">IF($X927="","",INDEX('Per Line'!$Z$2:$Z$4001,$X927))</f>
        <v/>
      </c>
      <c r="N927" s="23" t="str">
        <f aca="false">IF($X927="","",Settings!$C$7)</f>
        <v/>
      </c>
      <c r="O927" s="22" t="str">
        <f aca="false">IF($X927="","",SUMIFS('Per Line'!$Y$2:$Y$4001,'Per Line'!$D$2:$D$4001,$B927,'Per Line'!$AJ$2:$AJ$4001,0))</f>
        <v/>
      </c>
      <c r="P927" s="22" t="str">
        <f aca="false">IF($X927="","",O927*N927)</f>
        <v/>
      </c>
      <c r="Q927" s="23" t="str">
        <f aca="false">IF($X927="","",Settings!$C$6)</f>
        <v/>
      </c>
      <c r="R927" s="22" t="str">
        <f aca="false">IF($X927="","",SUMIFS('Per Line'!$Y$2:$Y$4001,'Per Line'!$D$2:$D$4001,$B927,'Per Line'!$AJ$2:$AJ$4001,1))</f>
        <v/>
      </c>
      <c r="S927" s="22" t="str">
        <f aca="false">IF($X927="","",R927*Q927)</f>
        <v/>
      </c>
      <c r="T927" s="22" t="str">
        <f aca="false">IF($X927="","",S927+P927)</f>
        <v/>
      </c>
      <c r="U927" s="22" t="str">
        <f aca="false">IF($X927="","",V927-T927)</f>
        <v/>
      </c>
      <c r="V927" s="22" t="str">
        <f aca="false">IF($X927="","",O927+R927)</f>
        <v/>
      </c>
      <c r="W927" s="22" t="str">
        <f aca="false">IF($X927="","",U927-L927)</f>
        <v/>
      </c>
      <c r="X927" s="24" t="str">
        <f aca="false">IF(ROWS($X$2:$X927)&lt;=MAX('Per Line'!$AI$2:$AI$4001),MATCH(ROWS($X$2:$X927),'Per Line'!$AI$2:$AI$4001,0),"")</f>
        <v/>
      </c>
    </row>
    <row r="928" customFormat="false" ht="15" hidden="false" customHeight="false" outlineLevel="0" collapsed="false">
      <c r="A928" s="19"/>
      <c r="B928" s="20" t="str">
        <f aca="false">IF($X928="","",INDEX('Per Line'!$D$2:$D$4001,$X928))</f>
        <v/>
      </c>
      <c r="C928" s="20" t="str">
        <f aca="false">IF($X928="","",INDEX('Per Line'!$C$2:$C$4001,$X928))</f>
        <v/>
      </c>
      <c r="D928" s="20" t="str">
        <f aca="false">IF($X928="","",INDEX('Per Line'!$A$2:$A$4001,$X928))</f>
        <v/>
      </c>
      <c r="E928" s="21" t="str">
        <f aca="false">IF($X928="","",INDEX('Per Line'!$F$2:$F$4001,$X928))</f>
        <v/>
      </c>
      <c r="F928" s="20" t="str">
        <f aca="false">IF($X928="","",INDEX('Per Line'!$G$2:$G$4001,$X928))</f>
        <v/>
      </c>
      <c r="G928" s="20" t="str">
        <f aca="false">IF($X928="","",INDEX('Per Line'!$I$2:$I$4001,$X928))</f>
        <v/>
      </c>
      <c r="H928" s="20" t="str">
        <f aca="false">IF($X928="","",INDEX('Per Line'!$J$2:$J$4001,$X928))</f>
        <v/>
      </c>
      <c r="I928" s="20" t="str">
        <f aca="false">IF($X928="","",INDEX('Per Line'!$K$2:$K$4001,$X928))</f>
        <v/>
      </c>
      <c r="J928" s="20" t="str">
        <f aca="false">IF($X928="","",INDEX('Per Line'!$L$2:$L$4001,$X928))</f>
        <v/>
      </c>
      <c r="K928" s="20" t="str">
        <f aca="false">IF($X928="","",INDEX('Per Line'!$M$2:$M$4001,$X928))</f>
        <v/>
      </c>
      <c r="L928" s="22" t="str">
        <f aca="false">IF($X928="","",K928*V928/100)</f>
        <v/>
      </c>
      <c r="M928" s="20" t="str">
        <f aca="false">IF($X928="","",INDEX('Per Line'!$Z$2:$Z$4001,$X928))</f>
        <v/>
      </c>
      <c r="N928" s="23" t="str">
        <f aca="false">IF($X928="","",Settings!$C$7)</f>
        <v/>
      </c>
      <c r="O928" s="22" t="str">
        <f aca="false">IF($X928="","",SUMIFS('Per Line'!$Y$2:$Y$4001,'Per Line'!$D$2:$D$4001,$B928,'Per Line'!$AJ$2:$AJ$4001,0))</f>
        <v/>
      </c>
      <c r="P928" s="22" t="str">
        <f aca="false">IF($X928="","",O928*N928)</f>
        <v/>
      </c>
      <c r="Q928" s="23" t="str">
        <f aca="false">IF($X928="","",Settings!$C$6)</f>
        <v/>
      </c>
      <c r="R928" s="22" t="str">
        <f aca="false">IF($X928="","",SUMIFS('Per Line'!$Y$2:$Y$4001,'Per Line'!$D$2:$D$4001,$B928,'Per Line'!$AJ$2:$AJ$4001,1))</f>
        <v/>
      </c>
      <c r="S928" s="22" t="str">
        <f aca="false">IF($X928="","",R928*Q928)</f>
        <v/>
      </c>
      <c r="T928" s="22" t="str">
        <f aca="false">IF($X928="","",S928+P928)</f>
        <v/>
      </c>
      <c r="U928" s="22" t="str">
        <f aca="false">IF($X928="","",V928-T928)</f>
        <v/>
      </c>
      <c r="V928" s="22" t="str">
        <f aca="false">IF($X928="","",O928+R928)</f>
        <v/>
      </c>
      <c r="W928" s="22" t="str">
        <f aca="false">IF($X928="","",U928-L928)</f>
        <v/>
      </c>
      <c r="X928" s="24" t="str">
        <f aca="false">IF(ROWS($X$2:$X928)&lt;=MAX('Per Line'!$AI$2:$AI$4001),MATCH(ROWS($X$2:$X928),'Per Line'!$AI$2:$AI$4001,0),"")</f>
        <v/>
      </c>
    </row>
    <row r="929" customFormat="false" ht="15" hidden="false" customHeight="false" outlineLevel="0" collapsed="false">
      <c r="A929" s="19"/>
      <c r="B929" s="20" t="str">
        <f aca="false">IF($X929="","",INDEX('Per Line'!$D$2:$D$4001,$X929))</f>
        <v/>
      </c>
      <c r="C929" s="20" t="str">
        <f aca="false">IF($X929="","",INDEX('Per Line'!$C$2:$C$4001,$X929))</f>
        <v/>
      </c>
      <c r="D929" s="20" t="str">
        <f aca="false">IF($X929="","",INDEX('Per Line'!$A$2:$A$4001,$X929))</f>
        <v/>
      </c>
      <c r="E929" s="21" t="str">
        <f aca="false">IF($X929="","",INDEX('Per Line'!$F$2:$F$4001,$X929))</f>
        <v/>
      </c>
      <c r="F929" s="20" t="str">
        <f aca="false">IF($X929="","",INDEX('Per Line'!$G$2:$G$4001,$X929))</f>
        <v/>
      </c>
      <c r="G929" s="20" t="str">
        <f aca="false">IF($X929="","",INDEX('Per Line'!$I$2:$I$4001,$X929))</f>
        <v/>
      </c>
      <c r="H929" s="20" t="str">
        <f aca="false">IF($X929="","",INDEX('Per Line'!$J$2:$J$4001,$X929))</f>
        <v/>
      </c>
      <c r="I929" s="20" t="str">
        <f aca="false">IF($X929="","",INDEX('Per Line'!$K$2:$K$4001,$X929))</f>
        <v/>
      </c>
      <c r="J929" s="20" t="str">
        <f aca="false">IF($X929="","",INDEX('Per Line'!$L$2:$L$4001,$X929))</f>
        <v/>
      </c>
      <c r="K929" s="20" t="str">
        <f aca="false">IF($X929="","",INDEX('Per Line'!$M$2:$M$4001,$X929))</f>
        <v/>
      </c>
      <c r="L929" s="22" t="str">
        <f aca="false">IF($X929="","",K929*V929/100)</f>
        <v/>
      </c>
      <c r="M929" s="20" t="str">
        <f aca="false">IF($X929="","",INDEX('Per Line'!$Z$2:$Z$4001,$X929))</f>
        <v/>
      </c>
      <c r="N929" s="23" t="str">
        <f aca="false">IF($X929="","",Settings!$C$7)</f>
        <v/>
      </c>
      <c r="O929" s="22" t="str">
        <f aca="false">IF($X929="","",SUMIFS('Per Line'!$Y$2:$Y$4001,'Per Line'!$D$2:$D$4001,$B929,'Per Line'!$AJ$2:$AJ$4001,0))</f>
        <v/>
      </c>
      <c r="P929" s="22" t="str">
        <f aca="false">IF($X929="","",O929*N929)</f>
        <v/>
      </c>
      <c r="Q929" s="23" t="str">
        <f aca="false">IF($X929="","",Settings!$C$6)</f>
        <v/>
      </c>
      <c r="R929" s="22" t="str">
        <f aca="false">IF($X929="","",SUMIFS('Per Line'!$Y$2:$Y$4001,'Per Line'!$D$2:$D$4001,$B929,'Per Line'!$AJ$2:$AJ$4001,1))</f>
        <v/>
      </c>
      <c r="S929" s="22" t="str">
        <f aca="false">IF($X929="","",R929*Q929)</f>
        <v/>
      </c>
      <c r="T929" s="22" t="str">
        <f aca="false">IF($X929="","",S929+P929)</f>
        <v/>
      </c>
      <c r="U929" s="22" t="str">
        <f aca="false">IF($X929="","",V929-T929)</f>
        <v/>
      </c>
      <c r="V929" s="22" t="str">
        <f aca="false">IF($X929="","",O929+R929)</f>
        <v/>
      </c>
      <c r="W929" s="22" t="str">
        <f aca="false">IF($X929="","",U929-L929)</f>
        <v/>
      </c>
      <c r="X929" s="24" t="str">
        <f aca="false">IF(ROWS($X$2:$X929)&lt;=MAX('Per Line'!$AI$2:$AI$4001),MATCH(ROWS($X$2:$X929),'Per Line'!$AI$2:$AI$4001,0),"")</f>
        <v/>
      </c>
    </row>
    <row r="930" customFormat="false" ht="15" hidden="false" customHeight="false" outlineLevel="0" collapsed="false">
      <c r="A930" s="19"/>
      <c r="B930" s="20" t="str">
        <f aca="false">IF($X930="","",INDEX('Per Line'!$D$2:$D$4001,$X930))</f>
        <v/>
      </c>
      <c r="C930" s="20" t="str">
        <f aca="false">IF($X930="","",INDEX('Per Line'!$C$2:$C$4001,$X930))</f>
        <v/>
      </c>
      <c r="D930" s="20" t="str">
        <f aca="false">IF($X930="","",INDEX('Per Line'!$A$2:$A$4001,$X930))</f>
        <v/>
      </c>
      <c r="E930" s="21" t="str">
        <f aca="false">IF($X930="","",INDEX('Per Line'!$F$2:$F$4001,$X930))</f>
        <v/>
      </c>
      <c r="F930" s="20" t="str">
        <f aca="false">IF($X930="","",INDEX('Per Line'!$G$2:$G$4001,$X930))</f>
        <v/>
      </c>
      <c r="G930" s="20" t="str">
        <f aca="false">IF($X930="","",INDEX('Per Line'!$I$2:$I$4001,$X930))</f>
        <v/>
      </c>
      <c r="H930" s="20" t="str">
        <f aca="false">IF($X930="","",INDEX('Per Line'!$J$2:$J$4001,$X930))</f>
        <v/>
      </c>
      <c r="I930" s="20" t="str">
        <f aca="false">IF($X930="","",INDEX('Per Line'!$K$2:$K$4001,$X930))</f>
        <v/>
      </c>
      <c r="J930" s="20" t="str">
        <f aca="false">IF($X930="","",INDEX('Per Line'!$L$2:$L$4001,$X930))</f>
        <v/>
      </c>
      <c r="K930" s="20" t="str">
        <f aca="false">IF($X930="","",INDEX('Per Line'!$M$2:$M$4001,$X930))</f>
        <v/>
      </c>
      <c r="L930" s="22" t="str">
        <f aca="false">IF($X930="","",K930*V930/100)</f>
        <v/>
      </c>
      <c r="M930" s="20" t="str">
        <f aca="false">IF($X930="","",INDEX('Per Line'!$Z$2:$Z$4001,$X930))</f>
        <v/>
      </c>
      <c r="N930" s="23" t="str">
        <f aca="false">IF($X930="","",Settings!$C$7)</f>
        <v/>
      </c>
      <c r="O930" s="22" t="str">
        <f aca="false">IF($X930="","",SUMIFS('Per Line'!$Y$2:$Y$4001,'Per Line'!$D$2:$D$4001,$B930,'Per Line'!$AJ$2:$AJ$4001,0))</f>
        <v/>
      </c>
      <c r="P930" s="22" t="str">
        <f aca="false">IF($X930="","",O930*N930)</f>
        <v/>
      </c>
      <c r="Q930" s="23" t="str">
        <f aca="false">IF($X930="","",Settings!$C$6)</f>
        <v/>
      </c>
      <c r="R930" s="22" t="str">
        <f aca="false">IF($X930="","",SUMIFS('Per Line'!$Y$2:$Y$4001,'Per Line'!$D$2:$D$4001,$B930,'Per Line'!$AJ$2:$AJ$4001,1))</f>
        <v/>
      </c>
      <c r="S930" s="22" t="str">
        <f aca="false">IF($X930="","",R930*Q930)</f>
        <v/>
      </c>
      <c r="T930" s="22" t="str">
        <f aca="false">IF($X930="","",S930+P930)</f>
        <v/>
      </c>
      <c r="U930" s="22" t="str">
        <f aca="false">IF($X930="","",V930-T930)</f>
        <v/>
      </c>
      <c r="V930" s="22" t="str">
        <f aca="false">IF($X930="","",O930+R930)</f>
        <v/>
      </c>
      <c r="W930" s="22" t="str">
        <f aca="false">IF($X930="","",U930-L930)</f>
        <v/>
      </c>
      <c r="X930" s="24" t="str">
        <f aca="false">IF(ROWS($X$2:$X930)&lt;=MAX('Per Line'!$AI$2:$AI$4001),MATCH(ROWS($X$2:$X930),'Per Line'!$AI$2:$AI$4001,0),"")</f>
        <v/>
      </c>
    </row>
    <row r="931" customFormat="false" ht="15" hidden="false" customHeight="false" outlineLevel="0" collapsed="false">
      <c r="A931" s="19"/>
      <c r="B931" s="20" t="str">
        <f aca="false">IF($X931="","",INDEX('Per Line'!$D$2:$D$4001,$X931))</f>
        <v/>
      </c>
      <c r="C931" s="20" t="str">
        <f aca="false">IF($X931="","",INDEX('Per Line'!$C$2:$C$4001,$X931))</f>
        <v/>
      </c>
      <c r="D931" s="20" t="str">
        <f aca="false">IF($X931="","",INDEX('Per Line'!$A$2:$A$4001,$X931))</f>
        <v/>
      </c>
      <c r="E931" s="21" t="str">
        <f aca="false">IF($X931="","",INDEX('Per Line'!$F$2:$F$4001,$X931))</f>
        <v/>
      </c>
      <c r="F931" s="20" t="str">
        <f aca="false">IF($X931="","",INDEX('Per Line'!$G$2:$G$4001,$X931))</f>
        <v/>
      </c>
      <c r="G931" s="20" t="str">
        <f aca="false">IF($X931="","",INDEX('Per Line'!$I$2:$I$4001,$X931))</f>
        <v/>
      </c>
      <c r="H931" s="20" t="str">
        <f aca="false">IF($X931="","",INDEX('Per Line'!$J$2:$J$4001,$X931))</f>
        <v/>
      </c>
      <c r="I931" s="20" t="str">
        <f aca="false">IF($X931="","",INDEX('Per Line'!$K$2:$K$4001,$X931))</f>
        <v/>
      </c>
      <c r="J931" s="20" t="str">
        <f aca="false">IF($X931="","",INDEX('Per Line'!$L$2:$L$4001,$X931))</f>
        <v/>
      </c>
      <c r="K931" s="20" t="str">
        <f aca="false">IF($X931="","",INDEX('Per Line'!$M$2:$M$4001,$X931))</f>
        <v/>
      </c>
      <c r="L931" s="22" t="str">
        <f aca="false">IF($X931="","",K931*V931/100)</f>
        <v/>
      </c>
      <c r="M931" s="20" t="str">
        <f aca="false">IF($X931="","",INDEX('Per Line'!$Z$2:$Z$4001,$X931))</f>
        <v/>
      </c>
      <c r="N931" s="23" t="str">
        <f aca="false">IF($X931="","",Settings!$C$7)</f>
        <v/>
      </c>
      <c r="O931" s="22" t="str">
        <f aca="false">IF($X931="","",SUMIFS('Per Line'!$Y$2:$Y$4001,'Per Line'!$D$2:$D$4001,$B931,'Per Line'!$AJ$2:$AJ$4001,0))</f>
        <v/>
      </c>
      <c r="P931" s="22" t="str">
        <f aca="false">IF($X931="","",O931*N931)</f>
        <v/>
      </c>
      <c r="Q931" s="23" t="str">
        <f aca="false">IF($X931="","",Settings!$C$6)</f>
        <v/>
      </c>
      <c r="R931" s="22" t="str">
        <f aca="false">IF($X931="","",SUMIFS('Per Line'!$Y$2:$Y$4001,'Per Line'!$D$2:$D$4001,$B931,'Per Line'!$AJ$2:$AJ$4001,1))</f>
        <v/>
      </c>
      <c r="S931" s="22" t="str">
        <f aca="false">IF($X931="","",R931*Q931)</f>
        <v/>
      </c>
      <c r="T931" s="22" t="str">
        <f aca="false">IF($X931="","",S931+P931)</f>
        <v/>
      </c>
      <c r="U931" s="22" t="str">
        <f aca="false">IF($X931="","",V931-T931)</f>
        <v/>
      </c>
      <c r="V931" s="22" t="str">
        <f aca="false">IF($X931="","",O931+R931)</f>
        <v/>
      </c>
      <c r="W931" s="22" t="str">
        <f aca="false">IF($X931="","",U931-L931)</f>
        <v/>
      </c>
      <c r="X931" s="24" t="str">
        <f aca="false">IF(ROWS($X$2:$X931)&lt;=MAX('Per Line'!$AI$2:$AI$4001),MATCH(ROWS($X$2:$X931),'Per Line'!$AI$2:$AI$4001,0),"")</f>
        <v/>
      </c>
    </row>
    <row r="932" customFormat="false" ht="15" hidden="false" customHeight="false" outlineLevel="0" collapsed="false">
      <c r="A932" s="19"/>
      <c r="B932" s="20" t="str">
        <f aca="false">IF($X932="","",INDEX('Per Line'!$D$2:$D$4001,$X932))</f>
        <v/>
      </c>
      <c r="C932" s="20" t="str">
        <f aca="false">IF($X932="","",INDEX('Per Line'!$C$2:$C$4001,$X932))</f>
        <v/>
      </c>
      <c r="D932" s="20" t="str">
        <f aca="false">IF($X932="","",INDEX('Per Line'!$A$2:$A$4001,$X932))</f>
        <v/>
      </c>
      <c r="E932" s="21" t="str">
        <f aca="false">IF($X932="","",INDEX('Per Line'!$F$2:$F$4001,$X932))</f>
        <v/>
      </c>
      <c r="F932" s="20" t="str">
        <f aca="false">IF($X932="","",INDEX('Per Line'!$G$2:$G$4001,$X932))</f>
        <v/>
      </c>
      <c r="G932" s="20" t="str">
        <f aca="false">IF($X932="","",INDEX('Per Line'!$I$2:$I$4001,$X932))</f>
        <v/>
      </c>
      <c r="H932" s="20" t="str">
        <f aca="false">IF($X932="","",INDEX('Per Line'!$J$2:$J$4001,$X932))</f>
        <v/>
      </c>
      <c r="I932" s="20" t="str">
        <f aca="false">IF($X932="","",INDEX('Per Line'!$K$2:$K$4001,$X932))</f>
        <v/>
      </c>
      <c r="J932" s="20" t="str">
        <f aca="false">IF($X932="","",INDEX('Per Line'!$L$2:$L$4001,$X932))</f>
        <v/>
      </c>
      <c r="K932" s="20" t="str">
        <f aca="false">IF($X932="","",INDEX('Per Line'!$M$2:$M$4001,$X932))</f>
        <v/>
      </c>
      <c r="L932" s="22" t="str">
        <f aca="false">IF($X932="","",K932*V932/100)</f>
        <v/>
      </c>
      <c r="M932" s="20" t="str">
        <f aca="false">IF($X932="","",INDEX('Per Line'!$Z$2:$Z$4001,$X932))</f>
        <v/>
      </c>
      <c r="N932" s="23" t="str">
        <f aca="false">IF($X932="","",Settings!$C$7)</f>
        <v/>
      </c>
      <c r="O932" s="22" t="str">
        <f aca="false">IF($X932="","",SUMIFS('Per Line'!$Y$2:$Y$4001,'Per Line'!$D$2:$D$4001,$B932,'Per Line'!$AJ$2:$AJ$4001,0))</f>
        <v/>
      </c>
      <c r="P932" s="22" t="str">
        <f aca="false">IF($X932="","",O932*N932)</f>
        <v/>
      </c>
      <c r="Q932" s="23" t="str">
        <f aca="false">IF($X932="","",Settings!$C$6)</f>
        <v/>
      </c>
      <c r="R932" s="22" t="str">
        <f aca="false">IF($X932="","",SUMIFS('Per Line'!$Y$2:$Y$4001,'Per Line'!$D$2:$D$4001,$B932,'Per Line'!$AJ$2:$AJ$4001,1))</f>
        <v/>
      </c>
      <c r="S932" s="22" t="str">
        <f aca="false">IF($X932="","",R932*Q932)</f>
        <v/>
      </c>
      <c r="T932" s="22" t="str">
        <f aca="false">IF($X932="","",S932+P932)</f>
        <v/>
      </c>
      <c r="U932" s="22" t="str">
        <f aca="false">IF($X932="","",V932-T932)</f>
        <v/>
      </c>
      <c r="V932" s="22" t="str">
        <f aca="false">IF($X932="","",O932+R932)</f>
        <v/>
      </c>
      <c r="W932" s="22" t="str">
        <f aca="false">IF($X932="","",U932-L932)</f>
        <v/>
      </c>
      <c r="X932" s="24" t="str">
        <f aca="false">IF(ROWS($X$2:$X932)&lt;=MAX('Per Line'!$AI$2:$AI$4001),MATCH(ROWS($X$2:$X932),'Per Line'!$AI$2:$AI$4001,0),"")</f>
        <v/>
      </c>
    </row>
    <row r="933" customFormat="false" ht="15" hidden="false" customHeight="false" outlineLevel="0" collapsed="false">
      <c r="A933" s="19"/>
      <c r="B933" s="20" t="str">
        <f aca="false">IF($X933="","",INDEX('Per Line'!$D$2:$D$4001,$X933))</f>
        <v/>
      </c>
      <c r="C933" s="20" t="str">
        <f aca="false">IF($X933="","",INDEX('Per Line'!$C$2:$C$4001,$X933))</f>
        <v/>
      </c>
      <c r="D933" s="20" t="str">
        <f aca="false">IF($X933="","",INDEX('Per Line'!$A$2:$A$4001,$X933))</f>
        <v/>
      </c>
      <c r="E933" s="21" t="str">
        <f aca="false">IF($X933="","",INDEX('Per Line'!$F$2:$F$4001,$X933))</f>
        <v/>
      </c>
      <c r="F933" s="20" t="str">
        <f aca="false">IF($X933="","",INDEX('Per Line'!$G$2:$G$4001,$X933))</f>
        <v/>
      </c>
      <c r="G933" s="20" t="str">
        <f aca="false">IF($X933="","",INDEX('Per Line'!$I$2:$I$4001,$X933))</f>
        <v/>
      </c>
      <c r="H933" s="20" t="str">
        <f aca="false">IF($X933="","",INDEX('Per Line'!$J$2:$J$4001,$X933))</f>
        <v/>
      </c>
      <c r="I933" s="20" t="str">
        <f aca="false">IF($X933="","",INDEX('Per Line'!$K$2:$K$4001,$X933))</f>
        <v/>
      </c>
      <c r="J933" s="20" t="str">
        <f aca="false">IF($X933="","",INDEX('Per Line'!$L$2:$L$4001,$X933))</f>
        <v/>
      </c>
      <c r="K933" s="20" t="str">
        <f aca="false">IF($X933="","",INDEX('Per Line'!$M$2:$M$4001,$X933))</f>
        <v/>
      </c>
      <c r="L933" s="22" t="str">
        <f aca="false">IF($X933="","",K933*V933/100)</f>
        <v/>
      </c>
      <c r="M933" s="20" t="str">
        <f aca="false">IF($X933="","",INDEX('Per Line'!$Z$2:$Z$4001,$X933))</f>
        <v/>
      </c>
      <c r="N933" s="23" t="str">
        <f aca="false">IF($X933="","",Settings!$C$7)</f>
        <v/>
      </c>
      <c r="O933" s="22" t="str">
        <f aca="false">IF($X933="","",SUMIFS('Per Line'!$Y$2:$Y$4001,'Per Line'!$D$2:$D$4001,$B933,'Per Line'!$AJ$2:$AJ$4001,0))</f>
        <v/>
      </c>
      <c r="P933" s="22" t="str">
        <f aca="false">IF($X933="","",O933*N933)</f>
        <v/>
      </c>
      <c r="Q933" s="23" t="str">
        <f aca="false">IF($X933="","",Settings!$C$6)</f>
        <v/>
      </c>
      <c r="R933" s="22" t="str">
        <f aca="false">IF($X933="","",SUMIFS('Per Line'!$Y$2:$Y$4001,'Per Line'!$D$2:$D$4001,$B933,'Per Line'!$AJ$2:$AJ$4001,1))</f>
        <v/>
      </c>
      <c r="S933" s="22" t="str">
        <f aca="false">IF($X933="","",R933*Q933)</f>
        <v/>
      </c>
      <c r="T933" s="22" t="str">
        <f aca="false">IF($X933="","",S933+P933)</f>
        <v/>
      </c>
      <c r="U933" s="22" t="str">
        <f aca="false">IF($X933="","",V933-T933)</f>
        <v/>
      </c>
      <c r="V933" s="22" t="str">
        <f aca="false">IF($X933="","",O933+R933)</f>
        <v/>
      </c>
      <c r="W933" s="22" t="str">
        <f aca="false">IF($X933="","",U933-L933)</f>
        <v/>
      </c>
      <c r="X933" s="24" t="str">
        <f aca="false">IF(ROWS($X$2:$X933)&lt;=MAX('Per Line'!$AI$2:$AI$4001),MATCH(ROWS($X$2:$X933),'Per Line'!$AI$2:$AI$4001,0),"")</f>
        <v/>
      </c>
    </row>
    <row r="934" customFormat="false" ht="15" hidden="false" customHeight="false" outlineLevel="0" collapsed="false">
      <c r="A934" s="19"/>
      <c r="B934" s="20" t="str">
        <f aca="false">IF($X934="","",INDEX('Per Line'!$D$2:$D$4001,$X934))</f>
        <v/>
      </c>
      <c r="C934" s="20" t="str">
        <f aca="false">IF($X934="","",INDEX('Per Line'!$C$2:$C$4001,$X934))</f>
        <v/>
      </c>
      <c r="D934" s="20" t="str">
        <f aca="false">IF($X934="","",INDEX('Per Line'!$A$2:$A$4001,$X934))</f>
        <v/>
      </c>
      <c r="E934" s="21" t="str">
        <f aca="false">IF($X934="","",INDEX('Per Line'!$F$2:$F$4001,$X934))</f>
        <v/>
      </c>
      <c r="F934" s="20" t="str">
        <f aca="false">IF($X934="","",INDEX('Per Line'!$G$2:$G$4001,$X934))</f>
        <v/>
      </c>
      <c r="G934" s="20" t="str">
        <f aca="false">IF($X934="","",INDEX('Per Line'!$I$2:$I$4001,$X934))</f>
        <v/>
      </c>
      <c r="H934" s="20" t="str">
        <f aca="false">IF($X934="","",INDEX('Per Line'!$J$2:$J$4001,$X934))</f>
        <v/>
      </c>
      <c r="I934" s="20" t="str">
        <f aca="false">IF($X934="","",INDEX('Per Line'!$K$2:$K$4001,$X934))</f>
        <v/>
      </c>
      <c r="J934" s="20" t="str">
        <f aca="false">IF($X934="","",INDEX('Per Line'!$L$2:$L$4001,$X934))</f>
        <v/>
      </c>
      <c r="K934" s="20" t="str">
        <f aca="false">IF($X934="","",INDEX('Per Line'!$M$2:$M$4001,$X934))</f>
        <v/>
      </c>
      <c r="L934" s="22" t="str">
        <f aca="false">IF($X934="","",K934*V934/100)</f>
        <v/>
      </c>
      <c r="M934" s="20" t="str">
        <f aca="false">IF($X934="","",INDEX('Per Line'!$Z$2:$Z$4001,$X934))</f>
        <v/>
      </c>
      <c r="N934" s="23" t="str">
        <f aca="false">IF($X934="","",Settings!$C$7)</f>
        <v/>
      </c>
      <c r="O934" s="22" t="str">
        <f aca="false">IF($X934="","",SUMIFS('Per Line'!$Y$2:$Y$4001,'Per Line'!$D$2:$D$4001,$B934,'Per Line'!$AJ$2:$AJ$4001,0))</f>
        <v/>
      </c>
      <c r="P934" s="22" t="str">
        <f aca="false">IF($X934="","",O934*N934)</f>
        <v/>
      </c>
      <c r="Q934" s="23" t="str">
        <f aca="false">IF($X934="","",Settings!$C$6)</f>
        <v/>
      </c>
      <c r="R934" s="22" t="str">
        <f aca="false">IF($X934="","",SUMIFS('Per Line'!$Y$2:$Y$4001,'Per Line'!$D$2:$D$4001,$B934,'Per Line'!$AJ$2:$AJ$4001,1))</f>
        <v/>
      </c>
      <c r="S934" s="22" t="str">
        <f aca="false">IF($X934="","",R934*Q934)</f>
        <v/>
      </c>
      <c r="T934" s="22" t="str">
        <f aca="false">IF($X934="","",S934+P934)</f>
        <v/>
      </c>
      <c r="U934" s="22" t="str">
        <f aca="false">IF($X934="","",V934-T934)</f>
        <v/>
      </c>
      <c r="V934" s="22" t="str">
        <f aca="false">IF($X934="","",O934+R934)</f>
        <v/>
      </c>
      <c r="W934" s="22" t="str">
        <f aca="false">IF($X934="","",U934-L934)</f>
        <v/>
      </c>
      <c r="X934" s="24" t="str">
        <f aca="false">IF(ROWS($X$2:$X934)&lt;=MAX('Per Line'!$AI$2:$AI$4001),MATCH(ROWS($X$2:$X934),'Per Line'!$AI$2:$AI$4001,0),"")</f>
        <v/>
      </c>
    </row>
    <row r="935" customFormat="false" ht="15" hidden="false" customHeight="false" outlineLevel="0" collapsed="false">
      <c r="A935" s="19"/>
      <c r="B935" s="20" t="str">
        <f aca="false">IF($X935="","",INDEX('Per Line'!$D$2:$D$4001,$X935))</f>
        <v/>
      </c>
      <c r="C935" s="20" t="str">
        <f aca="false">IF($X935="","",INDEX('Per Line'!$C$2:$C$4001,$X935))</f>
        <v/>
      </c>
      <c r="D935" s="20" t="str">
        <f aca="false">IF($X935="","",INDEX('Per Line'!$A$2:$A$4001,$X935))</f>
        <v/>
      </c>
      <c r="E935" s="21" t="str">
        <f aca="false">IF($X935="","",INDEX('Per Line'!$F$2:$F$4001,$X935))</f>
        <v/>
      </c>
      <c r="F935" s="20" t="str">
        <f aca="false">IF($X935="","",INDEX('Per Line'!$G$2:$G$4001,$X935))</f>
        <v/>
      </c>
      <c r="G935" s="20" t="str">
        <f aca="false">IF($X935="","",INDEX('Per Line'!$I$2:$I$4001,$X935))</f>
        <v/>
      </c>
      <c r="H935" s="20" t="str">
        <f aca="false">IF($X935="","",INDEX('Per Line'!$J$2:$J$4001,$X935))</f>
        <v/>
      </c>
      <c r="I935" s="20" t="str">
        <f aca="false">IF($X935="","",INDEX('Per Line'!$K$2:$K$4001,$X935))</f>
        <v/>
      </c>
      <c r="J935" s="20" t="str">
        <f aca="false">IF($X935="","",INDEX('Per Line'!$L$2:$L$4001,$X935))</f>
        <v/>
      </c>
      <c r="K935" s="20" t="str">
        <f aca="false">IF($X935="","",INDEX('Per Line'!$M$2:$M$4001,$X935))</f>
        <v/>
      </c>
      <c r="L935" s="22" t="str">
        <f aca="false">IF($X935="","",K935*V935/100)</f>
        <v/>
      </c>
      <c r="M935" s="20" t="str">
        <f aca="false">IF($X935="","",INDEX('Per Line'!$Z$2:$Z$4001,$X935))</f>
        <v/>
      </c>
      <c r="N935" s="23" t="str">
        <f aca="false">IF($X935="","",Settings!$C$7)</f>
        <v/>
      </c>
      <c r="O935" s="22" t="str">
        <f aca="false">IF($X935="","",SUMIFS('Per Line'!$Y$2:$Y$4001,'Per Line'!$D$2:$D$4001,$B935,'Per Line'!$AJ$2:$AJ$4001,0))</f>
        <v/>
      </c>
      <c r="P935" s="22" t="str">
        <f aca="false">IF($X935="","",O935*N935)</f>
        <v/>
      </c>
      <c r="Q935" s="23" t="str">
        <f aca="false">IF($X935="","",Settings!$C$6)</f>
        <v/>
      </c>
      <c r="R935" s="22" t="str">
        <f aca="false">IF($X935="","",SUMIFS('Per Line'!$Y$2:$Y$4001,'Per Line'!$D$2:$D$4001,$B935,'Per Line'!$AJ$2:$AJ$4001,1))</f>
        <v/>
      </c>
      <c r="S935" s="22" t="str">
        <f aca="false">IF($X935="","",R935*Q935)</f>
        <v/>
      </c>
      <c r="T935" s="22" t="str">
        <f aca="false">IF($X935="","",S935+P935)</f>
        <v/>
      </c>
      <c r="U935" s="22" t="str">
        <f aca="false">IF($X935="","",V935-T935)</f>
        <v/>
      </c>
      <c r="V935" s="22" t="str">
        <f aca="false">IF($X935="","",O935+R935)</f>
        <v/>
      </c>
      <c r="W935" s="22" t="str">
        <f aca="false">IF($X935="","",U935-L935)</f>
        <v/>
      </c>
      <c r="X935" s="24" t="str">
        <f aca="false">IF(ROWS($X$2:$X935)&lt;=MAX('Per Line'!$AI$2:$AI$4001),MATCH(ROWS($X$2:$X935),'Per Line'!$AI$2:$AI$4001,0),"")</f>
        <v/>
      </c>
    </row>
    <row r="936" customFormat="false" ht="15" hidden="false" customHeight="false" outlineLevel="0" collapsed="false">
      <c r="A936" s="19"/>
      <c r="B936" s="20" t="str">
        <f aca="false">IF($X936="","",INDEX('Per Line'!$D$2:$D$4001,$X936))</f>
        <v/>
      </c>
      <c r="C936" s="20" t="str">
        <f aca="false">IF($X936="","",INDEX('Per Line'!$C$2:$C$4001,$X936))</f>
        <v/>
      </c>
      <c r="D936" s="20" t="str">
        <f aca="false">IF($X936="","",INDEX('Per Line'!$A$2:$A$4001,$X936))</f>
        <v/>
      </c>
      <c r="E936" s="21" t="str">
        <f aca="false">IF($X936="","",INDEX('Per Line'!$F$2:$F$4001,$X936))</f>
        <v/>
      </c>
      <c r="F936" s="20" t="str">
        <f aca="false">IF($X936="","",INDEX('Per Line'!$G$2:$G$4001,$X936))</f>
        <v/>
      </c>
      <c r="G936" s="20" t="str">
        <f aca="false">IF($X936="","",INDEX('Per Line'!$I$2:$I$4001,$X936))</f>
        <v/>
      </c>
      <c r="H936" s="20" t="str">
        <f aca="false">IF($X936="","",INDEX('Per Line'!$J$2:$J$4001,$X936))</f>
        <v/>
      </c>
      <c r="I936" s="20" t="str">
        <f aca="false">IF($X936="","",INDEX('Per Line'!$K$2:$K$4001,$X936))</f>
        <v/>
      </c>
      <c r="J936" s="20" t="str">
        <f aca="false">IF($X936="","",INDEX('Per Line'!$L$2:$L$4001,$X936))</f>
        <v/>
      </c>
      <c r="K936" s="20" t="str">
        <f aca="false">IF($X936="","",INDEX('Per Line'!$M$2:$M$4001,$X936))</f>
        <v/>
      </c>
      <c r="L936" s="22" t="str">
        <f aca="false">IF($X936="","",K936*V936/100)</f>
        <v/>
      </c>
      <c r="M936" s="20" t="str">
        <f aca="false">IF($X936="","",INDEX('Per Line'!$Z$2:$Z$4001,$X936))</f>
        <v/>
      </c>
      <c r="N936" s="23" t="str">
        <f aca="false">IF($X936="","",Settings!$C$7)</f>
        <v/>
      </c>
      <c r="O936" s="22" t="str">
        <f aca="false">IF($X936="","",SUMIFS('Per Line'!$Y$2:$Y$4001,'Per Line'!$D$2:$D$4001,$B936,'Per Line'!$AJ$2:$AJ$4001,0))</f>
        <v/>
      </c>
      <c r="P936" s="22" t="str">
        <f aca="false">IF($X936="","",O936*N936)</f>
        <v/>
      </c>
      <c r="Q936" s="23" t="str">
        <f aca="false">IF($X936="","",Settings!$C$6)</f>
        <v/>
      </c>
      <c r="R936" s="22" t="str">
        <f aca="false">IF($X936="","",SUMIFS('Per Line'!$Y$2:$Y$4001,'Per Line'!$D$2:$D$4001,$B936,'Per Line'!$AJ$2:$AJ$4001,1))</f>
        <v/>
      </c>
      <c r="S936" s="22" t="str">
        <f aca="false">IF($X936="","",R936*Q936)</f>
        <v/>
      </c>
      <c r="T936" s="22" t="str">
        <f aca="false">IF($X936="","",S936+P936)</f>
        <v/>
      </c>
      <c r="U936" s="22" t="str">
        <f aca="false">IF($X936="","",V936-T936)</f>
        <v/>
      </c>
      <c r="V936" s="22" t="str">
        <f aca="false">IF($X936="","",O936+R936)</f>
        <v/>
      </c>
      <c r="W936" s="22" t="str">
        <f aca="false">IF($X936="","",U936-L936)</f>
        <v/>
      </c>
      <c r="X936" s="24" t="str">
        <f aca="false">IF(ROWS($X$2:$X936)&lt;=MAX('Per Line'!$AI$2:$AI$4001),MATCH(ROWS($X$2:$X936),'Per Line'!$AI$2:$AI$4001,0),"")</f>
        <v/>
      </c>
    </row>
    <row r="937" customFormat="false" ht="15" hidden="false" customHeight="false" outlineLevel="0" collapsed="false">
      <c r="A937" s="19"/>
      <c r="B937" s="20" t="str">
        <f aca="false">IF($X937="","",INDEX('Per Line'!$D$2:$D$4001,$X937))</f>
        <v/>
      </c>
      <c r="C937" s="20" t="str">
        <f aca="false">IF($X937="","",INDEX('Per Line'!$C$2:$C$4001,$X937))</f>
        <v/>
      </c>
      <c r="D937" s="20" t="str">
        <f aca="false">IF($X937="","",INDEX('Per Line'!$A$2:$A$4001,$X937))</f>
        <v/>
      </c>
      <c r="E937" s="21" t="str">
        <f aca="false">IF($X937="","",INDEX('Per Line'!$F$2:$F$4001,$X937))</f>
        <v/>
      </c>
      <c r="F937" s="20" t="str">
        <f aca="false">IF($X937="","",INDEX('Per Line'!$G$2:$G$4001,$X937))</f>
        <v/>
      </c>
      <c r="G937" s="20" t="str">
        <f aca="false">IF($X937="","",INDEX('Per Line'!$I$2:$I$4001,$X937))</f>
        <v/>
      </c>
      <c r="H937" s="20" t="str">
        <f aca="false">IF($X937="","",INDEX('Per Line'!$J$2:$J$4001,$X937))</f>
        <v/>
      </c>
      <c r="I937" s="20" t="str">
        <f aca="false">IF($X937="","",INDEX('Per Line'!$K$2:$K$4001,$X937))</f>
        <v/>
      </c>
      <c r="J937" s="20" t="str">
        <f aca="false">IF($X937="","",INDEX('Per Line'!$L$2:$L$4001,$X937))</f>
        <v/>
      </c>
      <c r="K937" s="20" t="str">
        <f aca="false">IF($X937="","",INDEX('Per Line'!$M$2:$M$4001,$X937))</f>
        <v/>
      </c>
      <c r="L937" s="22" t="str">
        <f aca="false">IF($X937="","",K937*V937/100)</f>
        <v/>
      </c>
      <c r="M937" s="20" t="str">
        <f aca="false">IF($X937="","",INDEX('Per Line'!$Z$2:$Z$4001,$X937))</f>
        <v/>
      </c>
      <c r="N937" s="23" t="str">
        <f aca="false">IF($X937="","",Settings!$C$7)</f>
        <v/>
      </c>
      <c r="O937" s="22" t="str">
        <f aca="false">IF($X937="","",SUMIFS('Per Line'!$Y$2:$Y$4001,'Per Line'!$D$2:$D$4001,$B937,'Per Line'!$AJ$2:$AJ$4001,0))</f>
        <v/>
      </c>
      <c r="P937" s="22" t="str">
        <f aca="false">IF($X937="","",O937*N937)</f>
        <v/>
      </c>
      <c r="Q937" s="23" t="str">
        <f aca="false">IF($X937="","",Settings!$C$6)</f>
        <v/>
      </c>
      <c r="R937" s="22" t="str">
        <f aca="false">IF($X937="","",SUMIFS('Per Line'!$Y$2:$Y$4001,'Per Line'!$D$2:$D$4001,$B937,'Per Line'!$AJ$2:$AJ$4001,1))</f>
        <v/>
      </c>
      <c r="S937" s="22" t="str">
        <f aca="false">IF($X937="","",R937*Q937)</f>
        <v/>
      </c>
      <c r="T937" s="22" t="str">
        <f aca="false">IF($X937="","",S937+P937)</f>
        <v/>
      </c>
      <c r="U937" s="22" t="str">
        <f aca="false">IF($X937="","",V937-T937)</f>
        <v/>
      </c>
      <c r="V937" s="22" t="str">
        <f aca="false">IF($X937="","",O937+R937)</f>
        <v/>
      </c>
      <c r="W937" s="22" t="str">
        <f aca="false">IF($X937="","",U937-L937)</f>
        <v/>
      </c>
      <c r="X937" s="24" t="str">
        <f aca="false">IF(ROWS($X$2:$X937)&lt;=MAX('Per Line'!$AI$2:$AI$4001),MATCH(ROWS($X$2:$X937),'Per Line'!$AI$2:$AI$4001,0),"")</f>
        <v/>
      </c>
    </row>
    <row r="938" customFormat="false" ht="15" hidden="false" customHeight="false" outlineLevel="0" collapsed="false">
      <c r="A938" s="19"/>
      <c r="B938" s="20" t="str">
        <f aca="false">IF($X938="","",INDEX('Per Line'!$D$2:$D$4001,$X938))</f>
        <v/>
      </c>
      <c r="C938" s="20" t="str">
        <f aca="false">IF($X938="","",INDEX('Per Line'!$C$2:$C$4001,$X938))</f>
        <v/>
      </c>
      <c r="D938" s="20" t="str">
        <f aca="false">IF($X938="","",INDEX('Per Line'!$A$2:$A$4001,$X938))</f>
        <v/>
      </c>
      <c r="E938" s="21" t="str">
        <f aca="false">IF($X938="","",INDEX('Per Line'!$F$2:$F$4001,$X938))</f>
        <v/>
      </c>
      <c r="F938" s="20" t="str">
        <f aca="false">IF($X938="","",INDEX('Per Line'!$G$2:$G$4001,$X938))</f>
        <v/>
      </c>
      <c r="G938" s="20" t="str">
        <f aca="false">IF($X938="","",INDEX('Per Line'!$I$2:$I$4001,$X938))</f>
        <v/>
      </c>
      <c r="H938" s="20" t="str">
        <f aca="false">IF($X938="","",INDEX('Per Line'!$J$2:$J$4001,$X938))</f>
        <v/>
      </c>
      <c r="I938" s="20" t="str">
        <f aca="false">IF($X938="","",INDEX('Per Line'!$K$2:$K$4001,$X938))</f>
        <v/>
      </c>
      <c r="J938" s="20" t="str">
        <f aca="false">IF($X938="","",INDEX('Per Line'!$L$2:$L$4001,$X938))</f>
        <v/>
      </c>
      <c r="K938" s="20" t="str">
        <f aca="false">IF($X938="","",INDEX('Per Line'!$M$2:$M$4001,$X938))</f>
        <v/>
      </c>
      <c r="L938" s="22" t="str">
        <f aca="false">IF($X938="","",K938*V938/100)</f>
        <v/>
      </c>
      <c r="M938" s="20" t="str">
        <f aca="false">IF($X938="","",INDEX('Per Line'!$Z$2:$Z$4001,$X938))</f>
        <v/>
      </c>
      <c r="N938" s="23" t="str">
        <f aca="false">IF($X938="","",Settings!$C$7)</f>
        <v/>
      </c>
      <c r="O938" s="22" t="str">
        <f aca="false">IF($X938="","",SUMIFS('Per Line'!$Y$2:$Y$4001,'Per Line'!$D$2:$D$4001,$B938,'Per Line'!$AJ$2:$AJ$4001,0))</f>
        <v/>
      </c>
      <c r="P938" s="22" t="str">
        <f aca="false">IF($X938="","",O938*N938)</f>
        <v/>
      </c>
      <c r="Q938" s="23" t="str">
        <f aca="false">IF($X938="","",Settings!$C$6)</f>
        <v/>
      </c>
      <c r="R938" s="22" t="str">
        <f aca="false">IF($X938="","",SUMIFS('Per Line'!$Y$2:$Y$4001,'Per Line'!$D$2:$D$4001,$B938,'Per Line'!$AJ$2:$AJ$4001,1))</f>
        <v/>
      </c>
      <c r="S938" s="22" t="str">
        <f aca="false">IF($X938="","",R938*Q938)</f>
        <v/>
      </c>
      <c r="T938" s="22" t="str">
        <f aca="false">IF($X938="","",S938+P938)</f>
        <v/>
      </c>
      <c r="U938" s="22" t="str">
        <f aca="false">IF($X938="","",V938-T938)</f>
        <v/>
      </c>
      <c r="V938" s="22" t="str">
        <f aca="false">IF($X938="","",O938+R938)</f>
        <v/>
      </c>
      <c r="W938" s="22" t="str">
        <f aca="false">IF($X938="","",U938-L938)</f>
        <v/>
      </c>
      <c r="X938" s="24" t="str">
        <f aca="false">IF(ROWS($X$2:$X938)&lt;=MAX('Per Line'!$AI$2:$AI$4001),MATCH(ROWS($X$2:$X938),'Per Line'!$AI$2:$AI$4001,0),"")</f>
        <v/>
      </c>
    </row>
    <row r="939" customFormat="false" ht="15" hidden="false" customHeight="false" outlineLevel="0" collapsed="false">
      <c r="A939" s="19"/>
      <c r="B939" s="20" t="str">
        <f aca="false">IF($X939="","",INDEX('Per Line'!$D$2:$D$4001,$X939))</f>
        <v/>
      </c>
      <c r="C939" s="20" t="str">
        <f aca="false">IF($X939="","",INDEX('Per Line'!$C$2:$C$4001,$X939))</f>
        <v/>
      </c>
      <c r="D939" s="20" t="str">
        <f aca="false">IF($X939="","",INDEX('Per Line'!$A$2:$A$4001,$X939))</f>
        <v/>
      </c>
      <c r="E939" s="21" t="str">
        <f aca="false">IF($X939="","",INDEX('Per Line'!$F$2:$F$4001,$X939))</f>
        <v/>
      </c>
      <c r="F939" s="20" t="str">
        <f aca="false">IF($X939="","",INDEX('Per Line'!$G$2:$G$4001,$X939))</f>
        <v/>
      </c>
      <c r="G939" s="20" t="str">
        <f aca="false">IF($X939="","",INDEX('Per Line'!$I$2:$I$4001,$X939))</f>
        <v/>
      </c>
      <c r="H939" s="20" t="str">
        <f aca="false">IF($X939="","",INDEX('Per Line'!$J$2:$J$4001,$X939))</f>
        <v/>
      </c>
      <c r="I939" s="20" t="str">
        <f aca="false">IF($X939="","",INDEX('Per Line'!$K$2:$K$4001,$X939))</f>
        <v/>
      </c>
      <c r="J939" s="20" t="str">
        <f aca="false">IF($X939="","",INDEX('Per Line'!$L$2:$L$4001,$X939))</f>
        <v/>
      </c>
      <c r="K939" s="20" t="str">
        <f aca="false">IF($X939="","",INDEX('Per Line'!$M$2:$M$4001,$X939))</f>
        <v/>
      </c>
      <c r="L939" s="22" t="str">
        <f aca="false">IF($X939="","",K939*V939/100)</f>
        <v/>
      </c>
      <c r="M939" s="20" t="str">
        <f aca="false">IF($X939="","",INDEX('Per Line'!$Z$2:$Z$4001,$X939))</f>
        <v/>
      </c>
      <c r="N939" s="23" t="str">
        <f aca="false">IF($X939="","",Settings!$C$7)</f>
        <v/>
      </c>
      <c r="O939" s="22" t="str">
        <f aca="false">IF($X939="","",SUMIFS('Per Line'!$Y$2:$Y$4001,'Per Line'!$D$2:$D$4001,$B939,'Per Line'!$AJ$2:$AJ$4001,0))</f>
        <v/>
      </c>
      <c r="P939" s="22" t="str">
        <f aca="false">IF($X939="","",O939*N939)</f>
        <v/>
      </c>
      <c r="Q939" s="23" t="str">
        <f aca="false">IF($X939="","",Settings!$C$6)</f>
        <v/>
      </c>
      <c r="R939" s="22" t="str">
        <f aca="false">IF($X939="","",SUMIFS('Per Line'!$Y$2:$Y$4001,'Per Line'!$D$2:$D$4001,$B939,'Per Line'!$AJ$2:$AJ$4001,1))</f>
        <v/>
      </c>
      <c r="S939" s="22" t="str">
        <f aca="false">IF($X939="","",R939*Q939)</f>
        <v/>
      </c>
      <c r="T939" s="22" t="str">
        <f aca="false">IF($X939="","",S939+P939)</f>
        <v/>
      </c>
      <c r="U939" s="22" t="str">
        <f aca="false">IF($X939="","",V939-T939)</f>
        <v/>
      </c>
      <c r="V939" s="22" t="str">
        <f aca="false">IF($X939="","",O939+R939)</f>
        <v/>
      </c>
      <c r="W939" s="22" t="str">
        <f aca="false">IF($X939="","",U939-L939)</f>
        <v/>
      </c>
      <c r="X939" s="24" t="str">
        <f aca="false">IF(ROWS($X$2:$X939)&lt;=MAX('Per Line'!$AI$2:$AI$4001),MATCH(ROWS($X$2:$X939),'Per Line'!$AI$2:$AI$4001,0),"")</f>
        <v/>
      </c>
    </row>
    <row r="940" customFormat="false" ht="15" hidden="false" customHeight="false" outlineLevel="0" collapsed="false">
      <c r="A940" s="19"/>
      <c r="B940" s="20" t="str">
        <f aca="false">IF($X940="","",INDEX('Per Line'!$D$2:$D$4001,$X940))</f>
        <v/>
      </c>
      <c r="C940" s="20" t="str">
        <f aca="false">IF($X940="","",INDEX('Per Line'!$C$2:$C$4001,$X940))</f>
        <v/>
      </c>
      <c r="D940" s="20" t="str">
        <f aca="false">IF($X940="","",INDEX('Per Line'!$A$2:$A$4001,$X940))</f>
        <v/>
      </c>
      <c r="E940" s="21" t="str">
        <f aca="false">IF($X940="","",INDEX('Per Line'!$F$2:$F$4001,$X940))</f>
        <v/>
      </c>
      <c r="F940" s="20" t="str">
        <f aca="false">IF($X940="","",INDEX('Per Line'!$G$2:$G$4001,$X940))</f>
        <v/>
      </c>
      <c r="G940" s="20" t="str">
        <f aca="false">IF($X940="","",INDEX('Per Line'!$I$2:$I$4001,$X940))</f>
        <v/>
      </c>
      <c r="H940" s="20" t="str">
        <f aca="false">IF($X940="","",INDEX('Per Line'!$J$2:$J$4001,$X940))</f>
        <v/>
      </c>
      <c r="I940" s="20" t="str">
        <f aca="false">IF($X940="","",INDEX('Per Line'!$K$2:$K$4001,$X940))</f>
        <v/>
      </c>
      <c r="J940" s="20" t="str">
        <f aca="false">IF($X940="","",INDEX('Per Line'!$L$2:$L$4001,$X940))</f>
        <v/>
      </c>
      <c r="K940" s="20" t="str">
        <f aca="false">IF($X940="","",INDEX('Per Line'!$M$2:$M$4001,$X940))</f>
        <v/>
      </c>
      <c r="L940" s="22" t="str">
        <f aca="false">IF($X940="","",K940*V940/100)</f>
        <v/>
      </c>
      <c r="M940" s="20" t="str">
        <f aca="false">IF($X940="","",INDEX('Per Line'!$Z$2:$Z$4001,$X940))</f>
        <v/>
      </c>
      <c r="N940" s="23" t="str">
        <f aca="false">IF($X940="","",Settings!$C$7)</f>
        <v/>
      </c>
      <c r="O940" s="22" t="str">
        <f aca="false">IF($X940="","",SUMIFS('Per Line'!$Y$2:$Y$4001,'Per Line'!$D$2:$D$4001,$B940,'Per Line'!$AJ$2:$AJ$4001,0))</f>
        <v/>
      </c>
      <c r="P940" s="22" t="str">
        <f aca="false">IF($X940="","",O940*N940)</f>
        <v/>
      </c>
      <c r="Q940" s="23" t="str">
        <f aca="false">IF($X940="","",Settings!$C$6)</f>
        <v/>
      </c>
      <c r="R940" s="22" t="str">
        <f aca="false">IF($X940="","",SUMIFS('Per Line'!$Y$2:$Y$4001,'Per Line'!$D$2:$D$4001,$B940,'Per Line'!$AJ$2:$AJ$4001,1))</f>
        <v/>
      </c>
      <c r="S940" s="22" t="str">
        <f aca="false">IF($X940="","",R940*Q940)</f>
        <v/>
      </c>
      <c r="T940" s="22" t="str">
        <f aca="false">IF($X940="","",S940+P940)</f>
        <v/>
      </c>
      <c r="U940" s="22" t="str">
        <f aca="false">IF($X940="","",V940-T940)</f>
        <v/>
      </c>
      <c r="V940" s="22" t="str">
        <f aca="false">IF($X940="","",O940+R940)</f>
        <v/>
      </c>
      <c r="W940" s="22" t="str">
        <f aca="false">IF($X940="","",U940-L940)</f>
        <v/>
      </c>
      <c r="X940" s="24" t="str">
        <f aca="false">IF(ROWS($X$2:$X940)&lt;=MAX('Per Line'!$AI$2:$AI$4001),MATCH(ROWS($X$2:$X940),'Per Line'!$AI$2:$AI$4001,0),"")</f>
        <v/>
      </c>
    </row>
    <row r="941" customFormat="false" ht="15" hidden="false" customHeight="false" outlineLevel="0" collapsed="false">
      <c r="A941" s="19"/>
      <c r="B941" s="20" t="str">
        <f aca="false">IF($X941="","",INDEX('Per Line'!$D$2:$D$4001,$X941))</f>
        <v/>
      </c>
      <c r="C941" s="20" t="str">
        <f aca="false">IF($X941="","",INDEX('Per Line'!$C$2:$C$4001,$X941))</f>
        <v/>
      </c>
      <c r="D941" s="20" t="str">
        <f aca="false">IF($X941="","",INDEX('Per Line'!$A$2:$A$4001,$X941))</f>
        <v/>
      </c>
      <c r="E941" s="21" t="str">
        <f aca="false">IF($X941="","",INDEX('Per Line'!$F$2:$F$4001,$X941))</f>
        <v/>
      </c>
      <c r="F941" s="20" t="str">
        <f aca="false">IF($X941="","",INDEX('Per Line'!$G$2:$G$4001,$X941))</f>
        <v/>
      </c>
      <c r="G941" s="20" t="str">
        <f aca="false">IF($X941="","",INDEX('Per Line'!$I$2:$I$4001,$X941))</f>
        <v/>
      </c>
      <c r="H941" s="20" t="str">
        <f aca="false">IF($X941="","",INDEX('Per Line'!$J$2:$J$4001,$X941))</f>
        <v/>
      </c>
      <c r="I941" s="20" t="str">
        <f aca="false">IF($X941="","",INDEX('Per Line'!$K$2:$K$4001,$X941))</f>
        <v/>
      </c>
      <c r="J941" s="20" t="str">
        <f aca="false">IF($X941="","",INDEX('Per Line'!$L$2:$L$4001,$X941))</f>
        <v/>
      </c>
      <c r="K941" s="20" t="str">
        <f aca="false">IF($X941="","",INDEX('Per Line'!$M$2:$M$4001,$X941))</f>
        <v/>
      </c>
      <c r="L941" s="22" t="str">
        <f aca="false">IF($X941="","",K941*V941/100)</f>
        <v/>
      </c>
      <c r="M941" s="20" t="str">
        <f aca="false">IF($X941="","",INDEX('Per Line'!$Z$2:$Z$4001,$X941))</f>
        <v/>
      </c>
      <c r="N941" s="23" t="str">
        <f aca="false">IF($X941="","",Settings!$C$7)</f>
        <v/>
      </c>
      <c r="O941" s="22" t="str">
        <f aca="false">IF($X941="","",SUMIFS('Per Line'!$Y$2:$Y$4001,'Per Line'!$D$2:$D$4001,$B941,'Per Line'!$AJ$2:$AJ$4001,0))</f>
        <v/>
      </c>
      <c r="P941" s="22" t="str">
        <f aca="false">IF($X941="","",O941*N941)</f>
        <v/>
      </c>
      <c r="Q941" s="23" t="str">
        <f aca="false">IF($X941="","",Settings!$C$6)</f>
        <v/>
      </c>
      <c r="R941" s="22" t="str">
        <f aca="false">IF($X941="","",SUMIFS('Per Line'!$Y$2:$Y$4001,'Per Line'!$D$2:$D$4001,$B941,'Per Line'!$AJ$2:$AJ$4001,1))</f>
        <v/>
      </c>
      <c r="S941" s="22" t="str">
        <f aca="false">IF($X941="","",R941*Q941)</f>
        <v/>
      </c>
      <c r="T941" s="22" t="str">
        <f aca="false">IF($X941="","",S941+P941)</f>
        <v/>
      </c>
      <c r="U941" s="22" t="str">
        <f aca="false">IF($X941="","",V941-T941)</f>
        <v/>
      </c>
      <c r="V941" s="22" t="str">
        <f aca="false">IF($X941="","",O941+R941)</f>
        <v/>
      </c>
      <c r="W941" s="22" t="str">
        <f aca="false">IF($X941="","",U941-L941)</f>
        <v/>
      </c>
      <c r="X941" s="24" t="str">
        <f aca="false">IF(ROWS($X$2:$X941)&lt;=MAX('Per Line'!$AI$2:$AI$4001),MATCH(ROWS($X$2:$X941),'Per Line'!$AI$2:$AI$4001,0),"")</f>
        <v/>
      </c>
    </row>
    <row r="942" customFormat="false" ht="15" hidden="false" customHeight="false" outlineLevel="0" collapsed="false">
      <c r="A942" s="19"/>
      <c r="B942" s="20" t="str">
        <f aca="false">IF($X942="","",INDEX('Per Line'!$D$2:$D$4001,$X942))</f>
        <v/>
      </c>
      <c r="C942" s="20" t="str">
        <f aca="false">IF($X942="","",INDEX('Per Line'!$C$2:$C$4001,$X942))</f>
        <v/>
      </c>
      <c r="D942" s="20" t="str">
        <f aca="false">IF($X942="","",INDEX('Per Line'!$A$2:$A$4001,$X942))</f>
        <v/>
      </c>
      <c r="E942" s="21" t="str">
        <f aca="false">IF($X942="","",INDEX('Per Line'!$F$2:$F$4001,$X942))</f>
        <v/>
      </c>
      <c r="F942" s="20" t="str">
        <f aca="false">IF($X942="","",INDEX('Per Line'!$G$2:$G$4001,$X942))</f>
        <v/>
      </c>
      <c r="G942" s="20" t="str">
        <f aca="false">IF($X942="","",INDEX('Per Line'!$I$2:$I$4001,$X942))</f>
        <v/>
      </c>
      <c r="H942" s="20" t="str">
        <f aca="false">IF($X942="","",INDEX('Per Line'!$J$2:$J$4001,$X942))</f>
        <v/>
      </c>
      <c r="I942" s="20" t="str">
        <f aca="false">IF($X942="","",INDEX('Per Line'!$K$2:$K$4001,$X942))</f>
        <v/>
      </c>
      <c r="J942" s="20" t="str">
        <f aca="false">IF($X942="","",INDEX('Per Line'!$L$2:$L$4001,$X942))</f>
        <v/>
      </c>
      <c r="K942" s="20" t="str">
        <f aca="false">IF($X942="","",INDEX('Per Line'!$M$2:$M$4001,$X942))</f>
        <v/>
      </c>
      <c r="L942" s="22" t="str">
        <f aca="false">IF($X942="","",K942*V942/100)</f>
        <v/>
      </c>
      <c r="M942" s="20" t="str">
        <f aca="false">IF($X942="","",INDEX('Per Line'!$Z$2:$Z$4001,$X942))</f>
        <v/>
      </c>
      <c r="N942" s="23" t="str">
        <f aca="false">IF($X942="","",Settings!$C$7)</f>
        <v/>
      </c>
      <c r="O942" s="22" t="str">
        <f aca="false">IF($X942="","",SUMIFS('Per Line'!$Y$2:$Y$4001,'Per Line'!$D$2:$D$4001,$B942,'Per Line'!$AJ$2:$AJ$4001,0))</f>
        <v/>
      </c>
      <c r="P942" s="22" t="str">
        <f aca="false">IF($X942="","",O942*N942)</f>
        <v/>
      </c>
      <c r="Q942" s="23" t="str">
        <f aca="false">IF($X942="","",Settings!$C$6)</f>
        <v/>
      </c>
      <c r="R942" s="22" t="str">
        <f aca="false">IF($X942="","",SUMIFS('Per Line'!$Y$2:$Y$4001,'Per Line'!$D$2:$D$4001,$B942,'Per Line'!$AJ$2:$AJ$4001,1))</f>
        <v/>
      </c>
      <c r="S942" s="22" t="str">
        <f aca="false">IF($X942="","",R942*Q942)</f>
        <v/>
      </c>
      <c r="T942" s="22" t="str">
        <f aca="false">IF($X942="","",S942+P942)</f>
        <v/>
      </c>
      <c r="U942" s="22" t="str">
        <f aca="false">IF($X942="","",V942-T942)</f>
        <v/>
      </c>
      <c r="V942" s="22" t="str">
        <f aca="false">IF($X942="","",O942+R942)</f>
        <v/>
      </c>
      <c r="W942" s="22" t="str">
        <f aca="false">IF($X942="","",U942-L942)</f>
        <v/>
      </c>
      <c r="X942" s="24" t="str">
        <f aca="false">IF(ROWS($X$2:$X942)&lt;=MAX('Per Line'!$AI$2:$AI$4001),MATCH(ROWS($X$2:$X942),'Per Line'!$AI$2:$AI$4001,0),"")</f>
        <v/>
      </c>
    </row>
    <row r="943" customFormat="false" ht="15" hidden="false" customHeight="false" outlineLevel="0" collapsed="false">
      <c r="A943" s="19"/>
      <c r="B943" s="20" t="str">
        <f aca="false">IF($X943="","",INDEX('Per Line'!$D$2:$D$4001,$X943))</f>
        <v/>
      </c>
      <c r="C943" s="20" t="str">
        <f aca="false">IF($X943="","",INDEX('Per Line'!$C$2:$C$4001,$X943))</f>
        <v/>
      </c>
      <c r="D943" s="20" t="str">
        <f aca="false">IF($X943="","",INDEX('Per Line'!$A$2:$A$4001,$X943))</f>
        <v/>
      </c>
      <c r="E943" s="21" t="str">
        <f aca="false">IF($X943="","",INDEX('Per Line'!$F$2:$F$4001,$X943))</f>
        <v/>
      </c>
      <c r="F943" s="20" t="str">
        <f aca="false">IF($X943="","",INDEX('Per Line'!$G$2:$G$4001,$X943))</f>
        <v/>
      </c>
      <c r="G943" s="20" t="str">
        <f aca="false">IF($X943="","",INDEX('Per Line'!$I$2:$I$4001,$X943))</f>
        <v/>
      </c>
      <c r="H943" s="20" t="str">
        <f aca="false">IF($X943="","",INDEX('Per Line'!$J$2:$J$4001,$X943))</f>
        <v/>
      </c>
      <c r="I943" s="20" t="str">
        <f aca="false">IF($X943="","",INDEX('Per Line'!$K$2:$K$4001,$X943))</f>
        <v/>
      </c>
      <c r="J943" s="20" t="str">
        <f aca="false">IF($X943="","",INDEX('Per Line'!$L$2:$L$4001,$X943))</f>
        <v/>
      </c>
      <c r="K943" s="20" t="str">
        <f aca="false">IF($X943="","",INDEX('Per Line'!$M$2:$M$4001,$X943))</f>
        <v/>
      </c>
      <c r="L943" s="22" t="str">
        <f aca="false">IF($X943="","",K943*V943/100)</f>
        <v/>
      </c>
      <c r="M943" s="20" t="str">
        <f aca="false">IF($X943="","",INDEX('Per Line'!$Z$2:$Z$4001,$X943))</f>
        <v/>
      </c>
      <c r="N943" s="23" t="str">
        <f aca="false">IF($X943="","",Settings!$C$7)</f>
        <v/>
      </c>
      <c r="O943" s="22" t="str">
        <f aca="false">IF($X943="","",SUMIFS('Per Line'!$Y$2:$Y$4001,'Per Line'!$D$2:$D$4001,$B943,'Per Line'!$AJ$2:$AJ$4001,0))</f>
        <v/>
      </c>
      <c r="P943" s="22" t="str">
        <f aca="false">IF($X943="","",O943*N943)</f>
        <v/>
      </c>
      <c r="Q943" s="23" t="str">
        <f aca="false">IF($X943="","",Settings!$C$6)</f>
        <v/>
      </c>
      <c r="R943" s="22" t="str">
        <f aca="false">IF($X943="","",SUMIFS('Per Line'!$Y$2:$Y$4001,'Per Line'!$D$2:$D$4001,$B943,'Per Line'!$AJ$2:$AJ$4001,1))</f>
        <v/>
      </c>
      <c r="S943" s="22" t="str">
        <f aca="false">IF($X943="","",R943*Q943)</f>
        <v/>
      </c>
      <c r="T943" s="22" t="str">
        <f aca="false">IF($X943="","",S943+P943)</f>
        <v/>
      </c>
      <c r="U943" s="22" t="str">
        <f aca="false">IF($X943="","",V943-T943)</f>
        <v/>
      </c>
      <c r="V943" s="22" t="str">
        <f aca="false">IF($X943="","",O943+R943)</f>
        <v/>
      </c>
      <c r="W943" s="22" t="str">
        <f aca="false">IF($X943="","",U943-L943)</f>
        <v/>
      </c>
      <c r="X943" s="24" t="str">
        <f aca="false">IF(ROWS($X$2:$X943)&lt;=MAX('Per Line'!$AI$2:$AI$4001),MATCH(ROWS($X$2:$X943),'Per Line'!$AI$2:$AI$4001,0),"")</f>
        <v/>
      </c>
    </row>
    <row r="944" customFormat="false" ht="15" hidden="false" customHeight="false" outlineLevel="0" collapsed="false">
      <c r="A944" s="19"/>
      <c r="B944" s="20" t="str">
        <f aca="false">IF($X944="","",INDEX('Per Line'!$D$2:$D$4001,$X944))</f>
        <v/>
      </c>
      <c r="C944" s="20" t="str">
        <f aca="false">IF($X944="","",INDEX('Per Line'!$C$2:$C$4001,$X944))</f>
        <v/>
      </c>
      <c r="D944" s="20" t="str">
        <f aca="false">IF($X944="","",INDEX('Per Line'!$A$2:$A$4001,$X944))</f>
        <v/>
      </c>
      <c r="E944" s="21" t="str">
        <f aca="false">IF($X944="","",INDEX('Per Line'!$F$2:$F$4001,$X944))</f>
        <v/>
      </c>
      <c r="F944" s="20" t="str">
        <f aca="false">IF($X944="","",INDEX('Per Line'!$G$2:$G$4001,$X944))</f>
        <v/>
      </c>
      <c r="G944" s="20" t="str">
        <f aca="false">IF($X944="","",INDEX('Per Line'!$I$2:$I$4001,$X944))</f>
        <v/>
      </c>
      <c r="H944" s="20" t="str">
        <f aca="false">IF($X944="","",INDEX('Per Line'!$J$2:$J$4001,$X944))</f>
        <v/>
      </c>
      <c r="I944" s="20" t="str">
        <f aca="false">IF($X944="","",INDEX('Per Line'!$K$2:$K$4001,$X944))</f>
        <v/>
      </c>
      <c r="J944" s="20" t="str">
        <f aca="false">IF($X944="","",INDEX('Per Line'!$L$2:$L$4001,$X944))</f>
        <v/>
      </c>
      <c r="K944" s="20" t="str">
        <f aca="false">IF($X944="","",INDEX('Per Line'!$M$2:$M$4001,$X944))</f>
        <v/>
      </c>
      <c r="L944" s="22" t="str">
        <f aca="false">IF($X944="","",K944*V944/100)</f>
        <v/>
      </c>
      <c r="M944" s="20" t="str">
        <f aca="false">IF($X944="","",INDEX('Per Line'!$Z$2:$Z$4001,$X944))</f>
        <v/>
      </c>
      <c r="N944" s="23" t="str">
        <f aca="false">IF($X944="","",Settings!$C$7)</f>
        <v/>
      </c>
      <c r="O944" s="22" t="str">
        <f aca="false">IF($X944="","",SUMIFS('Per Line'!$Y$2:$Y$4001,'Per Line'!$D$2:$D$4001,$B944,'Per Line'!$AJ$2:$AJ$4001,0))</f>
        <v/>
      </c>
      <c r="P944" s="22" t="str">
        <f aca="false">IF($X944="","",O944*N944)</f>
        <v/>
      </c>
      <c r="Q944" s="23" t="str">
        <f aca="false">IF($X944="","",Settings!$C$6)</f>
        <v/>
      </c>
      <c r="R944" s="22" t="str">
        <f aca="false">IF($X944="","",SUMIFS('Per Line'!$Y$2:$Y$4001,'Per Line'!$D$2:$D$4001,$B944,'Per Line'!$AJ$2:$AJ$4001,1))</f>
        <v/>
      </c>
      <c r="S944" s="22" t="str">
        <f aca="false">IF($X944="","",R944*Q944)</f>
        <v/>
      </c>
      <c r="T944" s="22" t="str">
        <f aca="false">IF($X944="","",S944+P944)</f>
        <v/>
      </c>
      <c r="U944" s="22" t="str">
        <f aca="false">IF($X944="","",V944-T944)</f>
        <v/>
      </c>
      <c r="V944" s="22" t="str">
        <f aca="false">IF($X944="","",O944+R944)</f>
        <v/>
      </c>
      <c r="W944" s="22" t="str">
        <f aca="false">IF($X944="","",U944-L944)</f>
        <v/>
      </c>
      <c r="X944" s="24" t="str">
        <f aca="false">IF(ROWS($X$2:$X944)&lt;=MAX('Per Line'!$AI$2:$AI$4001),MATCH(ROWS($X$2:$X944),'Per Line'!$AI$2:$AI$4001,0),"")</f>
        <v/>
      </c>
    </row>
    <row r="945" customFormat="false" ht="15" hidden="false" customHeight="false" outlineLevel="0" collapsed="false">
      <c r="A945" s="19"/>
      <c r="B945" s="20" t="str">
        <f aca="false">IF($X945="","",INDEX('Per Line'!$D$2:$D$4001,$X945))</f>
        <v/>
      </c>
      <c r="C945" s="20" t="str">
        <f aca="false">IF($X945="","",INDEX('Per Line'!$C$2:$C$4001,$X945))</f>
        <v/>
      </c>
      <c r="D945" s="20" t="str">
        <f aca="false">IF($X945="","",INDEX('Per Line'!$A$2:$A$4001,$X945))</f>
        <v/>
      </c>
      <c r="E945" s="21" t="str">
        <f aca="false">IF($X945="","",INDEX('Per Line'!$F$2:$F$4001,$X945))</f>
        <v/>
      </c>
      <c r="F945" s="20" t="str">
        <f aca="false">IF($X945="","",INDEX('Per Line'!$G$2:$G$4001,$X945))</f>
        <v/>
      </c>
      <c r="G945" s="20" t="str">
        <f aca="false">IF($X945="","",INDEX('Per Line'!$I$2:$I$4001,$X945))</f>
        <v/>
      </c>
      <c r="H945" s="20" t="str">
        <f aca="false">IF($X945="","",INDEX('Per Line'!$J$2:$J$4001,$X945))</f>
        <v/>
      </c>
      <c r="I945" s="20" t="str">
        <f aca="false">IF($X945="","",INDEX('Per Line'!$K$2:$K$4001,$X945))</f>
        <v/>
      </c>
      <c r="J945" s="20" t="str">
        <f aca="false">IF($X945="","",INDEX('Per Line'!$L$2:$L$4001,$X945))</f>
        <v/>
      </c>
      <c r="K945" s="20" t="str">
        <f aca="false">IF($X945="","",INDEX('Per Line'!$M$2:$M$4001,$X945))</f>
        <v/>
      </c>
      <c r="L945" s="22" t="str">
        <f aca="false">IF($X945="","",K945*V945/100)</f>
        <v/>
      </c>
      <c r="M945" s="20" t="str">
        <f aca="false">IF($X945="","",INDEX('Per Line'!$Z$2:$Z$4001,$X945))</f>
        <v/>
      </c>
      <c r="N945" s="23" t="str">
        <f aca="false">IF($X945="","",Settings!$C$7)</f>
        <v/>
      </c>
      <c r="O945" s="22" t="str">
        <f aca="false">IF($X945="","",SUMIFS('Per Line'!$Y$2:$Y$4001,'Per Line'!$D$2:$D$4001,$B945,'Per Line'!$AJ$2:$AJ$4001,0))</f>
        <v/>
      </c>
      <c r="P945" s="22" t="str">
        <f aca="false">IF($X945="","",O945*N945)</f>
        <v/>
      </c>
      <c r="Q945" s="23" t="str">
        <f aca="false">IF($X945="","",Settings!$C$6)</f>
        <v/>
      </c>
      <c r="R945" s="22" t="str">
        <f aca="false">IF($X945="","",SUMIFS('Per Line'!$Y$2:$Y$4001,'Per Line'!$D$2:$D$4001,$B945,'Per Line'!$AJ$2:$AJ$4001,1))</f>
        <v/>
      </c>
      <c r="S945" s="22" t="str">
        <f aca="false">IF($X945="","",R945*Q945)</f>
        <v/>
      </c>
      <c r="T945" s="22" t="str">
        <f aca="false">IF($X945="","",S945+P945)</f>
        <v/>
      </c>
      <c r="U945" s="22" t="str">
        <f aca="false">IF($X945="","",V945-T945)</f>
        <v/>
      </c>
      <c r="V945" s="22" t="str">
        <f aca="false">IF($X945="","",O945+R945)</f>
        <v/>
      </c>
      <c r="W945" s="22" t="str">
        <f aca="false">IF($X945="","",U945-L945)</f>
        <v/>
      </c>
      <c r="X945" s="24" t="str">
        <f aca="false">IF(ROWS($X$2:$X945)&lt;=MAX('Per Line'!$AI$2:$AI$4001),MATCH(ROWS($X$2:$X945),'Per Line'!$AI$2:$AI$4001,0),"")</f>
        <v/>
      </c>
    </row>
    <row r="946" customFormat="false" ht="15" hidden="false" customHeight="false" outlineLevel="0" collapsed="false">
      <c r="A946" s="19"/>
      <c r="B946" s="20" t="str">
        <f aca="false">IF($X946="","",INDEX('Per Line'!$D$2:$D$4001,$X946))</f>
        <v/>
      </c>
      <c r="C946" s="20" t="str">
        <f aca="false">IF($X946="","",INDEX('Per Line'!$C$2:$C$4001,$X946))</f>
        <v/>
      </c>
      <c r="D946" s="20" t="str">
        <f aca="false">IF($X946="","",INDEX('Per Line'!$A$2:$A$4001,$X946))</f>
        <v/>
      </c>
      <c r="E946" s="21" t="str">
        <f aca="false">IF($X946="","",INDEX('Per Line'!$F$2:$F$4001,$X946))</f>
        <v/>
      </c>
      <c r="F946" s="20" t="str">
        <f aca="false">IF($X946="","",INDEX('Per Line'!$G$2:$G$4001,$X946))</f>
        <v/>
      </c>
      <c r="G946" s="20" t="str">
        <f aca="false">IF($X946="","",INDEX('Per Line'!$I$2:$I$4001,$X946))</f>
        <v/>
      </c>
      <c r="H946" s="20" t="str">
        <f aca="false">IF($X946="","",INDEX('Per Line'!$J$2:$J$4001,$X946))</f>
        <v/>
      </c>
      <c r="I946" s="20" t="str">
        <f aca="false">IF($X946="","",INDEX('Per Line'!$K$2:$K$4001,$X946))</f>
        <v/>
      </c>
      <c r="J946" s="20" t="str">
        <f aca="false">IF($X946="","",INDEX('Per Line'!$L$2:$L$4001,$X946))</f>
        <v/>
      </c>
      <c r="K946" s="20" t="str">
        <f aca="false">IF($X946="","",INDEX('Per Line'!$M$2:$M$4001,$X946))</f>
        <v/>
      </c>
      <c r="L946" s="22" t="str">
        <f aca="false">IF($X946="","",K946*V946/100)</f>
        <v/>
      </c>
      <c r="M946" s="20" t="str">
        <f aca="false">IF($X946="","",INDEX('Per Line'!$Z$2:$Z$4001,$X946))</f>
        <v/>
      </c>
      <c r="N946" s="23" t="str">
        <f aca="false">IF($X946="","",Settings!$C$7)</f>
        <v/>
      </c>
      <c r="O946" s="22" t="str">
        <f aca="false">IF($X946="","",SUMIFS('Per Line'!$Y$2:$Y$4001,'Per Line'!$D$2:$D$4001,$B946,'Per Line'!$AJ$2:$AJ$4001,0))</f>
        <v/>
      </c>
      <c r="P946" s="22" t="str">
        <f aca="false">IF($X946="","",O946*N946)</f>
        <v/>
      </c>
      <c r="Q946" s="23" t="str">
        <f aca="false">IF($X946="","",Settings!$C$6)</f>
        <v/>
      </c>
      <c r="R946" s="22" t="str">
        <f aca="false">IF($X946="","",SUMIFS('Per Line'!$Y$2:$Y$4001,'Per Line'!$D$2:$D$4001,$B946,'Per Line'!$AJ$2:$AJ$4001,1))</f>
        <v/>
      </c>
      <c r="S946" s="22" t="str">
        <f aca="false">IF($X946="","",R946*Q946)</f>
        <v/>
      </c>
      <c r="T946" s="22" t="str">
        <f aca="false">IF($X946="","",S946+P946)</f>
        <v/>
      </c>
      <c r="U946" s="22" t="str">
        <f aca="false">IF($X946="","",V946-T946)</f>
        <v/>
      </c>
      <c r="V946" s="22" t="str">
        <f aca="false">IF($X946="","",O946+R946)</f>
        <v/>
      </c>
      <c r="W946" s="22" t="str">
        <f aca="false">IF($X946="","",U946-L946)</f>
        <v/>
      </c>
      <c r="X946" s="24" t="str">
        <f aca="false">IF(ROWS($X$2:$X946)&lt;=MAX('Per Line'!$AI$2:$AI$4001),MATCH(ROWS($X$2:$X946),'Per Line'!$AI$2:$AI$4001,0),"")</f>
        <v/>
      </c>
    </row>
    <row r="947" customFormat="false" ht="15" hidden="false" customHeight="false" outlineLevel="0" collapsed="false">
      <c r="A947" s="19"/>
      <c r="B947" s="20" t="str">
        <f aca="false">IF($X947="","",INDEX('Per Line'!$D$2:$D$4001,$X947))</f>
        <v/>
      </c>
      <c r="C947" s="20" t="str">
        <f aca="false">IF($X947="","",INDEX('Per Line'!$C$2:$C$4001,$X947))</f>
        <v/>
      </c>
      <c r="D947" s="20" t="str">
        <f aca="false">IF($X947="","",INDEX('Per Line'!$A$2:$A$4001,$X947))</f>
        <v/>
      </c>
      <c r="E947" s="21" t="str">
        <f aca="false">IF($X947="","",INDEX('Per Line'!$F$2:$F$4001,$X947))</f>
        <v/>
      </c>
      <c r="F947" s="20" t="str">
        <f aca="false">IF($X947="","",INDEX('Per Line'!$G$2:$G$4001,$X947))</f>
        <v/>
      </c>
      <c r="G947" s="20" t="str">
        <f aca="false">IF($X947="","",INDEX('Per Line'!$I$2:$I$4001,$X947))</f>
        <v/>
      </c>
      <c r="H947" s="20" t="str">
        <f aca="false">IF($X947="","",INDEX('Per Line'!$J$2:$J$4001,$X947))</f>
        <v/>
      </c>
      <c r="I947" s="20" t="str">
        <f aca="false">IF($X947="","",INDEX('Per Line'!$K$2:$K$4001,$X947))</f>
        <v/>
      </c>
      <c r="J947" s="20" t="str">
        <f aca="false">IF($X947="","",INDEX('Per Line'!$L$2:$L$4001,$X947))</f>
        <v/>
      </c>
      <c r="K947" s="20" t="str">
        <f aca="false">IF($X947="","",INDEX('Per Line'!$M$2:$M$4001,$X947))</f>
        <v/>
      </c>
      <c r="L947" s="22" t="str">
        <f aca="false">IF($X947="","",K947*V947/100)</f>
        <v/>
      </c>
      <c r="M947" s="20" t="str">
        <f aca="false">IF($X947="","",INDEX('Per Line'!$Z$2:$Z$4001,$X947))</f>
        <v/>
      </c>
      <c r="N947" s="23" t="str">
        <f aca="false">IF($X947="","",Settings!$C$7)</f>
        <v/>
      </c>
      <c r="O947" s="22" t="str">
        <f aca="false">IF($X947="","",SUMIFS('Per Line'!$Y$2:$Y$4001,'Per Line'!$D$2:$D$4001,$B947,'Per Line'!$AJ$2:$AJ$4001,0))</f>
        <v/>
      </c>
      <c r="P947" s="22" t="str">
        <f aca="false">IF($X947="","",O947*N947)</f>
        <v/>
      </c>
      <c r="Q947" s="23" t="str">
        <f aca="false">IF($X947="","",Settings!$C$6)</f>
        <v/>
      </c>
      <c r="R947" s="22" t="str">
        <f aca="false">IF($X947="","",SUMIFS('Per Line'!$Y$2:$Y$4001,'Per Line'!$D$2:$D$4001,$B947,'Per Line'!$AJ$2:$AJ$4001,1))</f>
        <v/>
      </c>
      <c r="S947" s="22" t="str">
        <f aca="false">IF($X947="","",R947*Q947)</f>
        <v/>
      </c>
      <c r="T947" s="22" t="str">
        <f aca="false">IF($X947="","",S947+P947)</f>
        <v/>
      </c>
      <c r="U947" s="22" t="str">
        <f aca="false">IF($X947="","",V947-T947)</f>
        <v/>
      </c>
      <c r="V947" s="22" t="str">
        <f aca="false">IF($X947="","",O947+R947)</f>
        <v/>
      </c>
      <c r="W947" s="22" t="str">
        <f aca="false">IF($X947="","",U947-L947)</f>
        <v/>
      </c>
      <c r="X947" s="24" t="str">
        <f aca="false">IF(ROWS($X$2:$X947)&lt;=MAX('Per Line'!$AI$2:$AI$4001),MATCH(ROWS($X$2:$X947),'Per Line'!$AI$2:$AI$4001,0),"")</f>
        <v/>
      </c>
    </row>
    <row r="948" customFormat="false" ht="15" hidden="false" customHeight="false" outlineLevel="0" collapsed="false">
      <c r="A948" s="19"/>
      <c r="B948" s="20" t="str">
        <f aca="false">IF($X948="","",INDEX('Per Line'!$D$2:$D$4001,$X948))</f>
        <v/>
      </c>
      <c r="C948" s="20" t="str">
        <f aca="false">IF($X948="","",INDEX('Per Line'!$C$2:$C$4001,$X948))</f>
        <v/>
      </c>
      <c r="D948" s="20" t="str">
        <f aca="false">IF($X948="","",INDEX('Per Line'!$A$2:$A$4001,$X948))</f>
        <v/>
      </c>
      <c r="E948" s="21" t="str">
        <f aca="false">IF($X948="","",INDEX('Per Line'!$F$2:$F$4001,$X948))</f>
        <v/>
      </c>
      <c r="F948" s="20" t="str">
        <f aca="false">IF($X948="","",INDEX('Per Line'!$G$2:$G$4001,$X948))</f>
        <v/>
      </c>
      <c r="G948" s="20" t="str">
        <f aca="false">IF($X948="","",INDEX('Per Line'!$I$2:$I$4001,$X948))</f>
        <v/>
      </c>
      <c r="H948" s="20" t="str">
        <f aca="false">IF($X948="","",INDEX('Per Line'!$J$2:$J$4001,$X948))</f>
        <v/>
      </c>
      <c r="I948" s="20" t="str">
        <f aca="false">IF($X948="","",INDEX('Per Line'!$K$2:$K$4001,$X948))</f>
        <v/>
      </c>
      <c r="J948" s="20" t="str">
        <f aca="false">IF($X948="","",INDEX('Per Line'!$L$2:$L$4001,$X948))</f>
        <v/>
      </c>
      <c r="K948" s="20" t="str">
        <f aca="false">IF($X948="","",INDEX('Per Line'!$M$2:$M$4001,$X948))</f>
        <v/>
      </c>
      <c r="L948" s="22" t="str">
        <f aca="false">IF($X948="","",K948*V948/100)</f>
        <v/>
      </c>
      <c r="M948" s="20" t="str">
        <f aca="false">IF($X948="","",INDEX('Per Line'!$Z$2:$Z$4001,$X948))</f>
        <v/>
      </c>
      <c r="N948" s="23" t="str">
        <f aca="false">IF($X948="","",Settings!$C$7)</f>
        <v/>
      </c>
      <c r="O948" s="22" t="str">
        <f aca="false">IF($X948="","",SUMIFS('Per Line'!$Y$2:$Y$4001,'Per Line'!$D$2:$D$4001,$B948,'Per Line'!$AJ$2:$AJ$4001,0))</f>
        <v/>
      </c>
      <c r="P948" s="22" t="str">
        <f aca="false">IF($X948="","",O948*N948)</f>
        <v/>
      </c>
      <c r="Q948" s="23" t="str">
        <f aca="false">IF($X948="","",Settings!$C$6)</f>
        <v/>
      </c>
      <c r="R948" s="22" t="str">
        <f aca="false">IF($X948="","",SUMIFS('Per Line'!$Y$2:$Y$4001,'Per Line'!$D$2:$D$4001,$B948,'Per Line'!$AJ$2:$AJ$4001,1))</f>
        <v/>
      </c>
      <c r="S948" s="22" t="str">
        <f aca="false">IF($X948="","",R948*Q948)</f>
        <v/>
      </c>
      <c r="T948" s="22" t="str">
        <f aca="false">IF($X948="","",S948+P948)</f>
        <v/>
      </c>
      <c r="U948" s="22" t="str">
        <f aca="false">IF($X948="","",V948-T948)</f>
        <v/>
      </c>
      <c r="V948" s="22" t="str">
        <f aca="false">IF($X948="","",O948+R948)</f>
        <v/>
      </c>
      <c r="W948" s="22" t="str">
        <f aca="false">IF($X948="","",U948-L948)</f>
        <v/>
      </c>
      <c r="X948" s="24" t="str">
        <f aca="false">IF(ROWS($X$2:$X948)&lt;=MAX('Per Line'!$AI$2:$AI$4001),MATCH(ROWS($X$2:$X948),'Per Line'!$AI$2:$AI$4001,0),"")</f>
        <v/>
      </c>
    </row>
    <row r="949" customFormat="false" ht="15" hidden="false" customHeight="false" outlineLevel="0" collapsed="false">
      <c r="A949" s="19"/>
      <c r="B949" s="20" t="str">
        <f aca="false">IF($X949="","",INDEX('Per Line'!$D$2:$D$4001,$X949))</f>
        <v/>
      </c>
      <c r="C949" s="20" t="str">
        <f aca="false">IF($X949="","",INDEX('Per Line'!$C$2:$C$4001,$X949))</f>
        <v/>
      </c>
      <c r="D949" s="20" t="str">
        <f aca="false">IF($X949="","",INDEX('Per Line'!$A$2:$A$4001,$X949))</f>
        <v/>
      </c>
      <c r="E949" s="21" t="str">
        <f aca="false">IF($X949="","",INDEX('Per Line'!$F$2:$F$4001,$X949))</f>
        <v/>
      </c>
      <c r="F949" s="20" t="str">
        <f aca="false">IF($X949="","",INDEX('Per Line'!$G$2:$G$4001,$X949))</f>
        <v/>
      </c>
      <c r="G949" s="20" t="str">
        <f aca="false">IF($X949="","",INDEX('Per Line'!$I$2:$I$4001,$X949))</f>
        <v/>
      </c>
      <c r="H949" s="20" t="str">
        <f aca="false">IF($X949="","",INDEX('Per Line'!$J$2:$J$4001,$X949))</f>
        <v/>
      </c>
      <c r="I949" s="20" t="str">
        <f aca="false">IF($X949="","",INDEX('Per Line'!$K$2:$K$4001,$X949))</f>
        <v/>
      </c>
      <c r="J949" s="20" t="str">
        <f aca="false">IF($X949="","",INDEX('Per Line'!$L$2:$L$4001,$X949))</f>
        <v/>
      </c>
      <c r="K949" s="20" t="str">
        <f aca="false">IF($X949="","",INDEX('Per Line'!$M$2:$M$4001,$X949))</f>
        <v/>
      </c>
      <c r="L949" s="22" t="str">
        <f aca="false">IF($X949="","",K949*V949/100)</f>
        <v/>
      </c>
      <c r="M949" s="20" t="str">
        <f aca="false">IF($X949="","",INDEX('Per Line'!$Z$2:$Z$4001,$X949))</f>
        <v/>
      </c>
      <c r="N949" s="23" t="str">
        <f aca="false">IF($X949="","",Settings!$C$7)</f>
        <v/>
      </c>
      <c r="O949" s="22" t="str">
        <f aca="false">IF($X949="","",SUMIFS('Per Line'!$Y$2:$Y$4001,'Per Line'!$D$2:$D$4001,$B949,'Per Line'!$AJ$2:$AJ$4001,0))</f>
        <v/>
      </c>
      <c r="P949" s="22" t="str">
        <f aca="false">IF($X949="","",O949*N949)</f>
        <v/>
      </c>
      <c r="Q949" s="23" t="str">
        <f aca="false">IF($X949="","",Settings!$C$6)</f>
        <v/>
      </c>
      <c r="R949" s="22" t="str">
        <f aca="false">IF($X949="","",SUMIFS('Per Line'!$Y$2:$Y$4001,'Per Line'!$D$2:$D$4001,$B949,'Per Line'!$AJ$2:$AJ$4001,1))</f>
        <v/>
      </c>
      <c r="S949" s="22" t="str">
        <f aca="false">IF($X949="","",R949*Q949)</f>
        <v/>
      </c>
      <c r="T949" s="22" t="str">
        <f aca="false">IF($X949="","",S949+P949)</f>
        <v/>
      </c>
      <c r="U949" s="22" t="str">
        <f aca="false">IF($X949="","",V949-T949)</f>
        <v/>
      </c>
      <c r="V949" s="22" t="str">
        <f aca="false">IF($X949="","",O949+R949)</f>
        <v/>
      </c>
      <c r="W949" s="22" t="str">
        <f aca="false">IF($X949="","",U949-L949)</f>
        <v/>
      </c>
      <c r="X949" s="24" t="str">
        <f aca="false">IF(ROWS($X$2:$X949)&lt;=MAX('Per Line'!$AI$2:$AI$4001),MATCH(ROWS($X$2:$X949),'Per Line'!$AI$2:$AI$4001,0),"")</f>
        <v/>
      </c>
    </row>
    <row r="950" customFormat="false" ht="15" hidden="false" customHeight="false" outlineLevel="0" collapsed="false">
      <c r="A950" s="19"/>
      <c r="B950" s="20" t="str">
        <f aca="false">IF($X950="","",INDEX('Per Line'!$D$2:$D$4001,$X950))</f>
        <v/>
      </c>
      <c r="C950" s="20" t="str">
        <f aca="false">IF($X950="","",INDEX('Per Line'!$C$2:$C$4001,$X950))</f>
        <v/>
      </c>
      <c r="D950" s="20" t="str">
        <f aca="false">IF($X950="","",INDEX('Per Line'!$A$2:$A$4001,$X950))</f>
        <v/>
      </c>
      <c r="E950" s="21" t="str">
        <f aca="false">IF($X950="","",INDEX('Per Line'!$F$2:$F$4001,$X950))</f>
        <v/>
      </c>
      <c r="F950" s="20" t="str">
        <f aca="false">IF($X950="","",INDEX('Per Line'!$G$2:$G$4001,$X950))</f>
        <v/>
      </c>
      <c r="G950" s="20" t="str">
        <f aca="false">IF($X950="","",INDEX('Per Line'!$I$2:$I$4001,$X950))</f>
        <v/>
      </c>
      <c r="H950" s="20" t="str">
        <f aca="false">IF($X950="","",INDEX('Per Line'!$J$2:$J$4001,$X950))</f>
        <v/>
      </c>
      <c r="I950" s="20" t="str">
        <f aca="false">IF($X950="","",INDEX('Per Line'!$K$2:$K$4001,$X950))</f>
        <v/>
      </c>
      <c r="J950" s="20" t="str">
        <f aca="false">IF($X950="","",INDEX('Per Line'!$L$2:$L$4001,$X950))</f>
        <v/>
      </c>
      <c r="K950" s="20" t="str">
        <f aca="false">IF($X950="","",INDEX('Per Line'!$M$2:$M$4001,$X950))</f>
        <v/>
      </c>
      <c r="L950" s="22" t="str">
        <f aca="false">IF($X950="","",K950*V950/100)</f>
        <v/>
      </c>
      <c r="M950" s="20" t="str">
        <f aca="false">IF($X950="","",INDEX('Per Line'!$Z$2:$Z$4001,$X950))</f>
        <v/>
      </c>
      <c r="N950" s="23" t="str">
        <f aca="false">IF($X950="","",Settings!$C$7)</f>
        <v/>
      </c>
      <c r="O950" s="22" t="str">
        <f aca="false">IF($X950="","",SUMIFS('Per Line'!$Y$2:$Y$4001,'Per Line'!$D$2:$D$4001,$B950,'Per Line'!$AJ$2:$AJ$4001,0))</f>
        <v/>
      </c>
      <c r="P950" s="22" t="str">
        <f aca="false">IF($X950="","",O950*N950)</f>
        <v/>
      </c>
      <c r="Q950" s="23" t="str">
        <f aca="false">IF($X950="","",Settings!$C$6)</f>
        <v/>
      </c>
      <c r="R950" s="22" t="str">
        <f aca="false">IF($X950="","",SUMIFS('Per Line'!$Y$2:$Y$4001,'Per Line'!$D$2:$D$4001,$B950,'Per Line'!$AJ$2:$AJ$4001,1))</f>
        <v/>
      </c>
      <c r="S950" s="22" t="str">
        <f aca="false">IF($X950="","",R950*Q950)</f>
        <v/>
      </c>
      <c r="T950" s="22" t="str">
        <f aca="false">IF($X950="","",S950+P950)</f>
        <v/>
      </c>
      <c r="U950" s="22" t="str">
        <f aca="false">IF($X950="","",V950-T950)</f>
        <v/>
      </c>
      <c r="V950" s="22" t="str">
        <f aca="false">IF($X950="","",O950+R950)</f>
        <v/>
      </c>
      <c r="W950" s="22" t="str">
        <f aca="false">IF($X950="","",U950-L950)</f>
        <v/>
      </c>
      <c r="X950" s="24" t="str">
        <f aca="false">IF(ROWS($X$2:$X950)&lt;=MAX('Per Line'!$AI$2:$AI$4001),MATCH(ROWS($X$2:$X950),'Per Line'!$AI$2:$AI$4001,0),"")</f>
        <v/>
      </c>
    </row>
    <row r="951" customFormat="false" ht="15" hidden="false" customHeight="false" outlineLevel="0" collapsed="false">
      <c r="A951" s="19"/>
      <c r="B951" s="20" t="str">
        <f aca="false">IF($X951="","",INDEX('Per Line'!$D$2:$D$4001,$X951))</f>
        <v/>
      </c>
      <c r="C951" s="20" t="str">
        <f aca="false">IF($X951="","",INDEX('Per Line'!$C$2:$C$4001,$X951))</f>
        <v/>
      </c>
      <c r="D951" s="20" t="str">
        <f aca="false">IF($X951="","",INDEX('Per Line'!$A$2:$A$4001,$X951))</f>
        <v/>
      </c>
      <c r="E951" s="21" t="str">
        <f aca="false">IF($X951="","",INDEX('Per Line'!$F$2:$F$4001,$X951))</f>
        <v/>
      </c>
      <c r="F951" s="20" t="str">
        <f aca="false">IF($X951="","",INDEX('Per Line'!$G$2:$G$4001,$X951))</f>
        <v/>
      </c>
      <c r="G951" s="20" t="str">
        <f aca="false">IF($X951="","",INDEX('Per Line'!$I$2:$I$4001,$X951))</f>
        <v/>
      </c>
      <c r="H951" s="20" t="str">
        <f aca="false">IF($X951="","",INDEX('Per Line'!$J$2:$J$4001,$X951))</f>
        <v/>
      </c>
      <c r="I951" s="20" t="str">
        <f aca="false">IF($X951="","",INDEX('Per Line'!$K$2:$K$4001,$X951))</f>
        <v/>
      </c>
      <c r="J951" s="20" t="str">
        <f aca="false">IF($X951="","",INDEX('Per Line'!$L$2:$L$4001,$X951))</f>
        <v/>
      </c>
      <c r="K951" s="20" t="str">
        <f aca="false">IF($X951="","",INDEX('Per Line'!$M$2:$M$4001,$X951))</f>
        <v/>
      </c>
      <c r="L951" s="22" t="str">
        <f aca="false">IF($X951="","",K951*V951/100)</f>
        <v/>
      </c>
      <c r="M951" s="20" t="str">
        <f aca="false">IF($X951="","",INDEX('Per Line'!$Z$2:$Z$4001,$X951))</f>
        <v/>
      </c>
      <c r="N951" s="23" t="str">
        <f aca="false">IF($X951="","",Settings!$C$7)</f>
        <v/>
      </c>
      <c r="O951" s="22" t="str">
        <f aca="false">IF($X951="","",SUMIFS('Per Line'!$Y$2:$Y$4001,'Per Line'!$D$2:$D$4001,$B951,'Per Line'!$AJ$2:$AJ$4001,0))</f>
        <v/>
      </c>
      <c r="P951" s="22" t="str">
        <f aca="false">IF($X951="","",O951*N951)</f>
        <v/>
      </c>
      <c r="Q951" s="23" t="str">
        <f aca="false">IF($X951="","",Settings!$C$6)</f>
        <v/>
      </c>
      <c r="R951" s="22" t="str">
        <f aca="false">IF($X951="","",SUMIFS('Per Line'!$Y$2:$Y$4001,'Per Line'!$D$2:$D$4001,$B951,'Per Line'!$AJ$2:$AJ$4001,1))</f>
        <v/>
      </c>
      <c r="S951" s="22" t="str">
        <f aca="false">IF($X951="","",R951*Q951)</f>
        <v/>
      </c>
      <c r="T951" s="22" t="str">
        <f aca="false">IF($X951="","",S951+P951)</f>
        <v/>
      </c>
      <c r="U951" s="22" t="str">
        <f aca="false">IF($X951="","",V951-T951)</f>
        <v/>
      </c>
      <c r="V951" s="22" t="str">
        <f aca="false">IF($X951="","",O951+R951)</f>
        <v/>
      </c>
      <c r="W951" s="22" t="str">
        <f aca="false">IF($X951="","",U951-L951)</f>
        <v/>
      </c>
      <c r="X951" s="24" t="str">
        <f aca="false">IF(ROWS($X$2:$X951)&lt;=MAX('Per Line'!$AI$2:$AI$4001),MATCH(ROWS($X$2:$X951),'Per Line'!$AI$2:$AI$4001,0),"")</f>
        <v/>
      </c>
    </row>
    <row r="952" customFormat="false" ht="15" hidden="false" customHeight="false" outlineLevel="0" collapsed="false">
      <c r="A952" s="19"/>
      <c r="B952" s="20" t="str">
        <f aca="false">IF($X952="","",INDEX('Per Line'!$D$2:$D$4001,$X952))</f>
        <v/>
      </c>
      <c r="C952" s="20" t="str">
        <f aca="false">IF($X952="","",INDEX('Per Line'!$C$2:$C$4001,$X952))</f>
        <v/>
      </c>
      <c r="D952" s="20" t="str">
        <f aca="false">IF($X952="","",INDEX('Per Line'!$A$2:$A$4001,$X952))</f>
        <v/>
      </c>
      <c r="E952" s="21" t="str">
        <f aca="false">IF($X952="","",INDEX('Per Line'!$F$2:$F$4001,$X952))</f>
        <v/>
      </c>
      <c r="F952" s="20" t="str">
        <f aca="false">IF($X952="","",INDEX('Per Line'!$G$2:$G$4001,$X952))</f>
        <v/>
      </c>
      <c r="G952" s="20" t="str">
        <f aca="false">IF($X952="","",INDEX('Per Line'!$I$2:$I$4001,$X952))</f>
        <v/>
      </c>
      <c r="H952" s="20" t="str">
        <f aca="false">IF($X952="","",INDEX('Per Line'!$J$2:$J$4001,$X952))</f>
        <v/>
      </c>
      <c r="I952" s="20" t="str">
        <f aca="false">IF($X952="","",INDEX('Per Line'!$K$2:$K$4001,$X952))</f>
        <v/>
      </c>
      <c r="J952" s="20" t="str">
        <f aca="false">IF($X952="","",INDEX('Per Line'!$L$2:$L$4001,$X952))</f>
        <v/>
      </c>
      <c r="K952" s="20" t="str">
        <f aca="false">IF($X952="","",INDEX('Per Line'!$M$2:$M$4001,$X952))</f>
        <v/>
      </c>
      <c r="L952" s="22" t="str">
        <f aca="false">IF($X952="","",K952*V952/100)</f>
        <v/>
      </c>
      <c r="M952" s="20" t="str">
        <f aca="false">IF($X952="","",INDEX('Per Line'!$Z$2:$Z$4001,$X952))</f>
        <v/>
      </c>
      <c r="N952" s="23" t="str">
        <f aca="false">IF($X952="","",Settings!$C$7)</f>
        <v/>
      </c>
      <c r="O952" s="22" t="str">
        <f aca="false">IF($X952="","",SUMIFS('Per Line'!$Y$2:$Y$4001,'Per Line'!$D$2:$D$4001,$B952,'Per Line'!$AJ$2:$AJ$4001,0))</f>
        <v/>
      </c>
      <c r="P952" s="22" t="str">
        <f aca="false">IF($X952="","",O952*N952)</f>
        <v/>
      </c>
      <c r="Q952" s="23" t="str">
        <f aca="false">IF($X952="","",Settings!$C$6)</f>
        <v/>
      </c>
      <c r="R952" s="22" t="str">
        <f aca="false">IF($X952="","",SUMIFS('Per Line'!$Y$2:$Y$4001,'Per Line'!$D$2:$D$4001,$B952,'Per Line'!$AJ$2:$AJ$4001,1))</f>
        <v/>
      </c>
      <c r="S952" s="22" t="str">
        <f aca="false">IF($X952="","",R952*Q952)</f>
        <v/>
      </c>
      <c r="T952" s="22" t="str">
        <f aca="false">IF($X952="","",S952+P952)</f>
        <v/>
      </c>
      <c r="U952" s="22" t="str">
        <f aca="false">IF($X952="","",V952-T952)</f>
        <v/>
      </c>
      <c r="V952" s="22" t="str">
        <f aca="false">IF($X952="","",O952+R952)</f>
        <v/>
      </c>
      <c r="W952" s="22" t="str">
        <f aca="false">IF($X952="","",U952-L952)</f>
        <v/>
      </c>
      <c r="X952" s="24" t="str">
        <f aca="false">IF(ROWS($X$2:$X952)&lt;=MAX('Per Line'!$AI$2:$AI$4001),MATCH(ROWS($X$2:$X952),'Per Line'!$AI$2:$AI$4001,0),"")</f>
        <v/>
      </c>
    </row>
    <row r="953" customFormat="false" ht="15" hidden="false" customHeight="false" outlineLevel="0" collapsed="false">
      <c r="A953" s="19"/>
      <c r="B953" s="20" t="str">
        <f aca="false">IF($X953="","",INDEX('Per Line'!$D$2:$D$4001,$X953))</f>
        <v/>
      </c>
      <c r="C953" s="20" t="str">
        <f aca="false">IF($X953="","",INDEX('Per Line'!$C$2:$C$4001,$X953))</f>
        <v/>
      </c>
      <c r="D953" s="20" t="str">
        <f aca="false">IF($X953="","",INDEX('Per Line'!$A$2:$A$4001,$X953))</f>
        <v/>
      </c>
      <c r="E953" s="21" t="str">
        <f aca="false">IF($X953="","",INDEX('Per Line'!$F$2:$F$4001,$X953))</f>
        <v/>
      </c>
      <c r="F953" s="20" t="str">
        <f aca="false">IF($X953="","",INDEX('Per Line'!$G$2:$G$4001,$X953))</f>
        <v/>
      </c>
      <c r="G953" s="20" t="str">
        <f aca="false">IF($X953="","",INDEX('Per Line'!$I$2:$I$4001,$X953))</f>
        <v/>
      </c>
      <c r="H953" s="20" t="str">
        <f aca="false">IF($X953="","",INDEX('Per Line'!$J$2:$J$4001,$X953))</f>
        <v/>
      </c>
      <c r="I953" s="20" t="str">
        <f aca="false">IF($X953="","",INDEX('Per Line'!$K$2:$K$4001,$X953))</f>
        <v/>
      </c>
      <c r="J953" s="20" t="str">
        <f aca="false">IF($X953="","",INDEX('Per Line'!$L$2:$L$4001,$X953))</f>
        <v/>
      </c>
      <c r="K953" s="20" t="str">
        <f aca="false">IF($X953="","",INDEX('Per Line'!$M$2:$M$4001,$X953))</f>
        <v/>
      </c>
      <c r="L953" s="22" t="str">
        <f aca="false">IF($X953="","",K953*V953/100)</f>
        <v/>
      </c>
      <c r="M953" s="20" t="str">
        <f aca="false">IF($X953="","",INDEX('Per Line'!$Z$2:$Z$4001,$X953))</f>
        <v/>
      </c>
      <c r="N953" s="23" t="str">
        <f aca="false">IF($X953="","",Settings!$C$7)</f>
        <v/>
      </c>
      <c r="O953" s="22" t="str">
        <f aca="false">IF($X953="","",SUMIFS('Per Line'!$Y$2:$Y$4001,'Per Line'!$D$2:$D$4001,$B953,'Per Line'!$AJ$2:$AJ$4001,0))</f>
        <v/>
      </c>
      <c r="P953" s="22" t="str">
        <f aca="false">IF($X953="","",O953*N953)</f>
        <v/>
      </c>
      <c r="Q953" s="23" t="str">
        <f aca="false">IF($X953="","",Settings!$C$6)</f>
        <v/>
      </c>
      <c r="R953" s="22" t="str">
        <f aca="false">IF($X953="","",SUMIFS('Per Line'!$Y$2:$Y$4001,'Per Line'!$D$2:$D$4001,$B953,'Per Line'!$AJ$2:$AJ$4001,1))</f>
        <v/>
      </c>
      <c r="S953" s="22" t="str">
        <f aca="false">IF($X953="","",R953*Q953)</f>
        <v/>
      </c>
      <c r="T953" s="22" t="str">
        <f aca="false">IF($X953="","",S953+P953)</f>
        <v/>
      </c>
      <c r="U953" s="22" t="str">
        <f aca="false">IF($X953="","",V953-T953)</f>
        <v/>
      </c>
      <c r="V953" s="22" t="str">
        <f aca="false">IF($X953="","",O953+R953)</f>
        <v/>
      </c>
      <c r="W953" s="22" t="str">
        <f aca="false">IF($X953="","",U953-L953)</f>
        <v/>
      </c>
      <c r="X953" s="24" t="str">
        <f aca="false">IF(ROWS($X$2:$X953)&lt;=MAX('Per Line'!$AI$2:$AI$4001),MATCH(ROWS($X$2:$X953),'Per Line'!$AI$2:$AI$4001,0),"")</f>
        <v/>
      </c>
    </row>
    <row r="954" customFormat="false" ht="15" hidden="false" customHeight="false" outlineLevel="0" collapsed="false">
      <c r="A954" s="19"/>
      <c r="B954" s="20" t="str">
        <f aca="false">IF($X954="","",INDEX('Per Line'!$D$2:$D$4001,$X954))</f>
        <v/>
      </c>
      <c r="C954" s="20" t="str">
        <f aca="false">IF($X954="","",INDEX('Per Line'!$C$2:$C$4001,$X954))</f>
        <v/>
      </c>
      <c r="D954" s="20" t="str">
        <f aca="false">IF($X954="","",INDEX('Per Line'!$A$2:$A$4001,$X954))</f>
        <v/>
      </c>
      <c r="E954" s="21" t="str">
        <f aca="false">IF($X954="","",INDEX('Per Line'!$F$2:$F$4001,$X954))</f>
        <v/>
      </c>
      <c r="F954" s="20" t="str">
        <f aca="false">IF($X954="","",INDEX('Per Line'!$G$2:$G$4001,$X954))</f>
        <v/>
      </c>
      <c r="G954" s="20" t="str">
        <f aca="false">IF($X954="","",INDEX('Per Line'!$I$2:$I$4001,$X954))</f>
        <v/>
      </c>
      <c r="H954" s="20" t="str">
        <f aca="false">IF($X954="","",INDEX('Per Line'!$J$2:$J$4001,$X954))</f>
        <v/>
      </c>
      <c r="I954" s="20" t="str">
        <f aca="false">IF($X954="","",INDEX('Per Line'!$K$2:$K$4001,$X954))</f>
        <v/>
      </c>
      <c r="J954" s="20" t="str">
        <f aca="false">IF($X954="","",INDEX('Per Line'!$L$2:$L$4001,$X954))</f>
        <v/>
      </c>
      <c r="K954" s="20" t="str">
        <f aca="false">IF($X954="","",INDEX('Per Line'!$M$2:$M$4001,$X954))</f>
        <v/>
      </c>
      <c r="L954" s="22" t="str">
        <f aca="false">IF($X954="","",K954*V954/100)</f>
        <v/>
      </c>
      <c r="M954" s="20" t="str">
        <f aca="false">IF($X954="","",INDEX('Per Line'!$Z$2:$Z$4001,$X954))</f>
        <v/>
      </c>
      <c r="N954" s="23" t="str">
        <f aca="false">IF($X954="","",Settings!$C$7)</f>
        <v/>
      </c>
      <c r="O954" s="22" t="str">
        <f aca="false">IF($X954="","",SUMIFS('Per Line'!$Y$2:$Y$4001,'Per Line'!$D$2:$D$4001,$B954,'Per Line'!$AJ$2:$AJ$4001,0))</f>
        <v/>
      </c>
      <c r="P954" s="22" t="str">
        <f aca="false">IF($X954="","",O954*N954)</f>
        <v/>
      </c>
      <c r="Q954" s="23" t="str">
        <f aca="false">IF($X954="","",Settings!$C$6)</f>
        <v/>
      </c>
      <c r="R954" s="22" t="str">
        <f aca="false">IF($X954="","",SUMIFS('Per Line'!$Y$2:$Y$4001,'Per Line'!$D$2:$D$4001,$B954,'Per Line'!$AJ$2:$AJ$4001,1))</f>
        <v/>
      </c>
      <c r="S954" s="22" t="str">
        <f aca="false">IF($X954="","",R954*Q954)</f>
        <v/>
      </c>
      <c r="T954" s="22" t="str">
        <f aca="false">IF($X954="","",S954+P954)</f>
        <v/>
      </c>
      <c r="U954" s="22" t="str">
        <f aca="false">IF($X954="","",V954-T954)</f>
        <v/>
      </c>
      <c r="V954" s="22" t="str">
        <f aca="false">IF($X954="","",O954+R954)</f>
        <v/>
      </c>
      <c r="W954" s="22" t="str">
        <f aca="false">IF($X954="","",U954-L954)</f>
        <v/>
      </c>
      <c r="X954" s="24" t="str">
        <f aca="false">IF(ROWS($X$2:$X954)&lt;=MAX('Per Line'!$AI$2:$AI$4001),MATCH(ROWS($X$2:$X954),'Per Line'!$AI$2:$AI$4001,0),"")</f>
        <v/>
      </c>
    </row>
    <row r="955" customFormat="false" ht="15" hidden="false" customHeight="false" outlineLevel="0" collapsed="false">
      <c r="A955" s="19"/>
      <c r="B955" s="20" t="str">
        <f aca="false">IF($X955="","",INDEX('Per Line'!$D$2:$D$4001,$X955))</f>
        <v/>
      </c>
      <c r="C955" s="20" t="str">
        <f aca="false">IF($X955="","",INDEX('Per Line'!$C$2:$C$4001,$X955))</f>
        <v/>
      </c>
      <c r="D955" s="20" t="str">
        <f aca="false">IF($X955="","",INDEX('Per Line'!$A$2:$A$4001,$X955))</f>
        <v/>
      </c>
      <c r="E955" s="21" t="str">
        <f aca="false">IF($X955="","",INDEX('Per Line'!$F$2:$F$4001,$X955))</f>
        <v/>
      </c>
      <c r="F955" s="20" t="str">
        <f aca="false">IF($X955="","",INDEX('Per Line'!$G$2:$G$4001,$X955))</f>
        <v/>
      </c>
      <c r="G955" s="20" t="str">
        <f aca="false">IF($X955="","",INDEX('Per Line'!$I$2:$I$4001,$X955))</f>
        <v/>
      </c>
      <c r="H955" s="20" t="str">
        <f aca="false">IF($X955="","",INDEX('Per Line'!$J$2:$J$4001,$X955))</f>
        <v/>
      </c>
      <c r="I955" s="20" t="str">
        <f aca="false">IF($X955="","",INDEX('Per Line'!$K$2:$K$4001,$X955))</f>
        <v/>
      </c>
      <c r="J955" s="20" t="str">
        <f aca="false">IF($X955="","",INDEX('Per Line'!$L$2:$L$4001,$X955))</f>
        <v/>
      </c>
      <c r="K955" s="20" t="str">
        <f aca="false">IF($X955="","",INDEX('Per Line'!$M$2:$M$4001,$X955))</f>
        <v/>
      </c>
      <c r="L955" s="22" t="str">
        <f aca="false">IF($X955="","",K955*V955/100)</f>
        <v/>
      </c>
      <c r="M955" s="20" t="str">
        <f aca="false">IF($X955="","",INDEX('Per Line'!$Z$2:$Z$4001,$X955))</f>
        <v/>
      </c>
      <c r="N955" s="23" t="str">
        <f aca="false">IF($X955="","",Settings!$C$7)</f>
        <v/>
      </c>
      <c r="O955" s="22" t="str">
        <f aca="false">IF($X955="","",SUMIFS('Per Line'!$Y$2:$Y$4001,'Per Line'!$D$2:$D$4001,$B955,'Per Line'!$AJ$2:$AJ$4001,0))</f>
        <v/>
      </c>
      <c r="P955" s="22" t="str">
        <f aca="false">IF($X955="","",O955*N955)</f>
        <v/>
      </c>
      <c r="Q955" s="23" t="str">
        <f aca="false">IF($X955="","",Settings!$C$6)</f>
        <v/>
      </c>
      <c r="R955" s="22" t="str">
        <f aca="false">IF($X955="","",SUMIFS('Per Line'!$Y$2:$Y$4001,'Per Line'!$D$2:$D$4001,$B955,'Per Line'!$AJ$2:$AJ$4001,1))</f>
        <v/>
      </c>
      <c r="S955" s="22" t="str">
        <f aca="false">IF($X955="","",R955*Q955)</f>
        <v/>
      </c>
      <c r="T955" s="22" t="str">
        <f aca="false">IF($X955="","",S955+P955)</f>
        <v/>
      </c>
      <c r="U955" s="22" t="str">
        <f aca="false">IF($X955="","",V955-T955)</f>
        <v/>
      </c>
      <c r="V955" s="22" t="str">
        <f aca="false">IF($X955="","",O955+R955)</f>
        <v/>
      </c>
      <c r="W955" s="22" t="str">
        <f aca="false">IF($X955="","",U955-L955)</f>
        <v/>
      </c>
      <c r="X955" s="24" t="str">
        <f aca="false">IF(ROWS($X$2:$X955)&lt;=MAX('Per Line'!$AI$2:$AI$4001),MATCH(ROWS($X$2:$X955),'Per Line'!$AI$2:$AI$4001,0),"")</f>
        <v/>
      </c>
    </row>
    <row r="956" customFormat="false" ht="15" hidden="false" customHeight="false" outlineLevel="0" collapsed="false">
      <c r="A956" s="19"/>
      <c r="B956" s="20" t="str">
        <f aca="false">IF($X956="","",INDEX('Per Line'!$D$2:$D$4001,$X956))</f>
        <v/>
      </c>
      <c r="C956" s="20" t="str">
        <f aca="false">IF($X956="","",INDEX('Per Line'!$C$2:$C$4001,$X956))</f>
        <v/>
      </c>
      <c r="D956" s="20" t="str">
        <f aca="false">IF($X956="","",INDEX('Per Line'!$A$2:$A$4001,$X956))</f>
        <v/>
      </c>
      <c r="E956" s="21" t="str">
        <f aca="false">IF($X956="","",INDEX('Per Line'!$F$2:$F$4001,$X956))</f>
        <v/>
      </c>
      <c r="F956" s="20" t="str">
        <f aca="false">IF($X956="","",INDEX('Per Line'!$G$2:$G$4001,$X956))</f>
        <v/>
      </c>
      <c r="G956" s="20" t="str">
        <f aca="false">IF($X956="","",INDEX('Per Line'!$I$2:$I$4001,$X956))</f>
        <v/>
      </c>
      <c r="H956" s="20" t="str">
        <f aca="false">IF($X956="","",INDEX('Per Line'!$J$2:$J$4001,$X956))</f>
        <v/>
      </c>
      <c r="I956" s="20" t="str">
        <f aca="false">IF($X956="","",INDEX('Per Line'!$K$2:$K$4001,$X956))</f>
        <v/>
      </c>
      <c r="J956" s="20" t="str">
        <f aca="false">IF($X956="","",INDEX('Per Line'!$L$2:$L$4001,$X956))</f>
        <v/>
      </c>
      <c r="K956" s="20" t="str">
        <f aca="false">IF($X956="","",INDEX('Per Line'!$M$2:$M$4001,$X956))</f>
        <v/>
      </c>
      <c r="L956" s="22" t="str">
        <f aca="false">IF($X956="","",K956*V956/100)</f>
        <v/>
      </c>
      <c r="M956" s="20" t="str">
        <f aca="false">IF($X956="","",INDEX('Per Line'!$Z$2:$Z$4001,$X956))</f>
        <v/>
      </c>
      <c r="N956" s="23" t="str">
        <f aca="false">IF($X956="","",Settings!$C$7)</f>
        <v/>
      </c>
      <c r="O956" s="22" t="str">
        <f aca="false">IF($X956="","",SUMIFS('Per Line'!$Y$2:$Y$4001,'Per Line'!$D$2:$D$4001,$B956,'Per Line'!$AJ$2:$AJ$4001,0))</f>
        <v/>
      </c>
      <c r="P956" s="22" t="str">
        <f aca="false">IF($X956="","",O956*N956)</f>
        <v/>
      </c>
      <c r="Q956" s="23" t="str">
        <f aca="false">IF($X956="","",Settings!$C$6)</f>
        <v/>
      </c>
      <c r="R956" s="22" t="str">
        <f aca="false">IF($X956="","",SUMIFS('Per Line'!$Y$2:$Y$4001,'Per Line'!$D$2:$D$4001,$B956,'Per Line'!$AJ$2:$AJ$4001,1))</f>
        <v/>
      </c>
      <c r="S956" s="22" t="str">
        <f aca="false">IF($X956="","",R956*Q956)</f>
        <v/>
      </c>
      <c r="T956" s="22" t="str">
        <f aca="false">IF($X956="","",S956+P956)</f>
        <v/>
      </c>
      <c r="U956" s="22" t="str">
        <f aca="false">IF($X956="","",V956-T956)</f>
        <v/>
      </c>
      <c r="V956" s="22" t="str">
        <f aca="false">IF($X956="","",O956+R956)</f>
        <v/>
      </c>
      <c r="W956" s="22" t="str">
        <f aca="false">IF($X956="","",U956-L956)</f>
        <v/>
      </c>
      <c r="X956" s="24" t="str">
        <f aca="false">IF(ROWS($X$2:$X956)&lt;=MAX('Per Line'!$AI$2:$AI$4001),MATCH(ROWS($X$2:$X956),'Per Line'!$AI$2:$AI$4001,0),"")</f>
        <v/>
      </c>
    </row>
    <row r="957" customFormat="false" ht="15" hidden="false" customHeight="false" outlineLevel="0" collapsed="false">
      <c r="A957" s="19"/>
      <c r="B957" s="20" t="str">
        <f aca="false">IF($X957="","",INDEX('Per Line'!$D$2:$D$4001,$X957))</f>
        <v/>
      </c>
      <c r="C957" s="20" t="str">
        <f aca="false">IF($X957="","",INDEX('Per Line'!$C$2:$C$4001,$X957))</f>
        <v/>
      </c>
      <c r="D957" s="20" t="str">
        <f aca="false">IF($X957="","",INDEX('Per Line'!$A$2:$A$4001,$X957))</f>
        <v/>
      </c>
      <c r="E957" s="21" t="str">
        <f aca="false">IF($X957="","",INDEX('Per Line'!$F$2:$F$4001,$X957))</f>
        <v/>
      </c>
      <c r="F957" s="20" t="str">
        <f aca="false">IF($X957="","",INDEX('Per Line'!$G$2:$G$4001,$X957))</f>
        <v/>
      </c>
      <c r="G957" s="20" t="str">
        <f aca="false">IF($X957="","",INDEX('Per Line'!$I$2:$I$4001,$X957))</f>
        <v/>
      </c>
      <c r="H957" s="20" t="str">
        <f aca="false">IF($X957="","",INDEX('Per Line'!$J$2:$J$4001,$X957))</f>
        <v/>
      </c>
      <c r="I957" s="20" t="str">
        <f aca="false">IF($X957="","",INDEX('Per Line'!$K$2:$K$4001,$X957))</f>
        <v/>
      </c>
      <c r="J957" s="20" t="str">
        <f aca="false">IF($X957="","",INDEX('Per Line'!$L$2:$L$4001,$X957))</f>
        <v/>
      </c>
      <c r="K957" s="20" t="str">
        <f aca="false">IF($X957="","",INDEX('Per Line'!$M$2:$M$4001,$X957))</f>
        <v/>
      </c>
      <c r="L957" s="22" t="str">
        <f aca="false">IF($X957="","",K957*V957/100)</f>
        <v/>
      </c>
      <c r="M957" s="20" t="str">
        <f aca="false">IF($X957="","",INDEX('Per Line'!$Z$2:$Z$4001,$X957))</f>
        <v/>
      </c>
      <c r="N957" s="23" t="str">
        <f aca="false">IF($X957="","",Settings!$C$7)</f>
        <v/>
      </c>
      <c r="O957" s="22" t="str">
        <f aca="false">IF($X957="","",SUMIFS('Per Line'!$Y$2:$Y$4001,'Per Line'!$D$2:$D$4001,$B957,'Per Line'!$AJ$2:$AJ$4001,0))</f>
        <v/>
      </c>
      <c r="P957" s="22" t="str">
        <f aca="false">IF($X957="","",O957*N957)</f>
        <v/>
      </c>
      <c r="Q957" s="23" t="str">
        <f aca="false">IF($X957="","",Settings!$C$6)</f>
        <v/>
      </c>
      <c r="R957" s="22" t="str">
        <f aca="false">IF($X957="","",SUMIFS('Per Line'!$Y$2:$Y$4001,'Per Line'!$D$2:$D$4001,$B957,'Per Line'!$AJ$2:$AJ$4001,1))</f>
        <v/>
      </c>
      <c r="S957" s="22" t="str">
        <f aca="false">IF($X957="","",R957*Q957)</f>
        <v/>
      </c>
      <c r="T957" s="22" t="str">
        <f aca="false">IF($X957="","",S957+P957)</f>
        <v/>
      </c>
      <c r="U957" s="22" t="str">
        <f aca="false">IF($X957="","",V957-T957)</f>
        <v/>
      </c>
      <c r="V957" s="22" t="str">
        <f aca="false">IF($X957="","",O957+R957)</f>
        <v/>
      </c>
      <c r="W957" s="22" t="str">
        <f aca="false">IF($X957="","",U957-L957)</f>
        <v/>
      </c>
      <c r="X957" s="24" t="str">
        <f aca="false">IF(ROWS($X$2:$X957)&lt;=MAX('Per Line'!$AI$2:$AI$4001),MATCH(ROWS($X$2:$X957),'Per Line'!$AI$2:$AI$4001,0),"")</f>
        <v/>
      </c>
    </row>
    <row r="958" customFormat="false" ht="15" hidden="false" customHeight="false" outlineLevel="0" collapsed="false">
      <c r="A958" s="19"/>
      <c r="B958" s="20" t="str">
        <f aca="false">IF($X958="","",INDEX('Per Line'!$D$2:$D$4001,$X958))</f>
        <v/>
      </c>
      <c r="C958" s="20" t="str">
        <f aca="false">IF($X958="","",INDEX('Per Line'!$C$2:$C$4001,$X958))</f>
        <v/>
      </c>
      <c r="D958" s="20" t="str">
        <f aca="false">IF($X958="","",INDEX('Per Line'!$A$2:$A$4001,$X958))</f>
        <v/>
      </c>
      <c r="E958" s="21" t="str">
        <f aca="false">IF($X958="","",INDEX('Per Line'!$F$2:$F$4001,$X958))</f>
        <v/>
      </c>
      <c r="F958" s="20" t="str">
        <f aca="false">IF($X958="","",INDEX('Per Line'!$G$2:$G$4001,$X958))</f>
        <v/>
      </c>
      <c r="G958" s="20" t="str">
        <f aca="false">IF($X958="","",INDEX('Per Line'!$I$2:$I$4001,$X958))</f>
        <v/>
      </c>
      <c r="H958" s="20" t="str">
        <f aca="false">IF($X958="","",INDEX('Per Line'!$J$2:$J$4001,$X958))</f>
        <v/>
      </c>
      <c r="I958" s="20" t="str">
        <f aca="false">IF($X958="","",INDEX('Per Line'!$K$2:$K$4001,$X958))</f>
        <v/>
      </c>
      <c r="J958" s="20" t="str">
        <f aca="false">IF($X958="","",INDEX('Per Line'!$L$2:$L$4001,$X958))</f>
        <v/>
      </c>
      <c r="K958" s="20" t="str">
        <f aca="false">IF($X958="","",INDEX('Per Line'!$M$2:$M$4001,$X958))</f>
        <v/>
      </c>
      <c r="L958" s="22" t="str">
        <f aca="false">IF($X958="","",K958*V958/100)</f>
        <v/>
      </c>
      <c r="M958" s="20" t="str">
        <f aca="false">IF($X958="","",INDEX('Per Line'!$Z$2:$Z$4001,$X958))</f>
        <v/>
      </c>
      <c r="N958" s="23" t="str">
        <f aca="false">IF($X958="","",Settings!$C$7)</f>
        <v/>
      </c>
      <c r="O958" s="22" t="str">
        <f aca="false">IF($X958="","",SUMIFS('Per Line'!$Y$2:$Y$4001,'Per Line'!$D$2:$D$4001,$B958,'Per Line'!$AJ$2:$AJ$4001,0))</f>
        <v/>
      </c>
      <c r="P958" s="22" t="str">
        <f aca="false">IF($X958="","",O958*N958)</f>
        <v/>
      </c>
      <c r="Q958" s="23" t="str">
        <f aca="false">IF($X958="","",Settings!$C$6)</f>
        <v/>
      </c>
      <c r="R958" s="22" t="str">
        <f aca="false">IF($X958="","",SUMIFS('Per Line'!$Y$2:$Y$4001,'Per Line'!$D$2:$D$4001,$B958,'Per Line'!$AJ$2:$AJ$4001,1))</f>
        <v/>
      </c>
      <c r="S958" s="22" t="str">
        <f aca="false">IF($X958="","",R958*Q958)</f>
        <v/>
      </c>
      <c r="T958" s="22" t="str">
        <f aca="false">IF($X958="","",S958+P958)</f>
        <v/>
      </c>
      <c r="U958" s="22" t="str">
        <f aca="false">IF($X958="","",V958-T958)</f>
        <v/>
      </c>
      <c r="V958" s="22" t="str">
        <f aca="false">IF($X958="","",O958+R958)</f>
        <v/>
      </c>
      <c r="W958" s="22" t="str">
        <f aca="false">IF($X958="","",U958-L958)</f>
        <v/>
      </c>
      <c r="X958" s="24" t="str">
        <f aca="false">IF(ROWS($X$2:$X958)&lt;=MAX('Per Line'!$AI$2:$AI$4001),MATCH(ROWS($X$2:$X958),'Per Line'!$AI$2:$AI$4001,0),"")</f>
        <v/>
      </c>
    </row>
    <row r="959" customFormat="false" ht="15" hidden="false" customHeight="false" outlineLevel="0" collapsed="false">
      <c r="A959" s="19"/>
      <c r="B959" s="20" t="str">
        <f aca="false">IF($X959="","",INDEX('Per Line'!$D$2:$D$4001,$X959))</f>
        <v/>
      </c>
      <c r="C959" s="20" t="str">
        <f aca="false">IF($X959="","",INDEX('Per Line'!$C$2:$C$4001,$X959))</f>
        <v/>
      </c>
      <c r="D959" s="20" t="str">
        <f aca="false">IF($X959="","",INDEX('Per Line'!$A$2:$A$4001,$X959))</f>
        <v/>
      </c>
      <c r="E959" s="21" t="str">
        <f aca="false">IF($X959="","",INDEX('Per Line'!$F$2:$F$4001,$X959))</f>
        <v/>
      </c>
      <c r="F959" s="20" t="str">
        <f aca="false">IF($X959="","",INDEX('Per Line'!$G$2:$G$4001,$X959))</f>
        <v/>
      </c>
      <c r="G959" s="20" t="str">
        <f aca="false">IF($X959="","",INDEX('Per Line'!$I$2:$I$4001,$X959))</f>
        <v/>
      </c>
      <c r="H959" s="20" t="str">
        <f aca="false">IF($X959="","",INDEX('Per Line'!$J$2:$J$4001,$X959))</f>
        <v/>
      </c>
      <c r="I959" s="20" t="str">
        <f aca="false">IF($X959="","",INDEX('Per Line'!$K$2:$K$4001,$X959))</f>
        <v/>
      </c>
      <c r="J959" s="20" t="str">
        <f aca="false">IF($X959="","",INDEX('Per Line'!$L$2:$L$4001,$X959))</f>
        <v/>
      </c>
      <c r="K959" s="20" t="str">
        <f aca="false">IF($X959="","",INDEX('Per Line'!$M$2:$M$4001,$X959))</f>
        <v/>
      </c>
      <c r="L959" s="22" t="str">
        <f aca="false">IF($X959="","",K959*V959/100)</f>
        <v/>
      </c>
      <c r="M959" s="20" t="str">
        <f aca="false">IF($X959="","",INDEX('Per Line'!$Z$2:$Z$4001,$X959))</f>
        <v/>
      </c>
      <c r="N959" s="23" t="str">
        <f aca="false">IF($X959="","",Settings!$C$7)</f>
        <v/>
      </c>
      <c r="O959" s="22" t="str">
        <f aca="false">IF($X959="","",SUMIFS('Per Line'!$Y$2:$Y$4001,'Per Line'!$D$2:$D$4001,$B959,'Per Line'!$AJ$2:$AJ$4001,0))</f>
        <v/>
      </c>
      <c r="P959" s="22" t="str">
        <f aca="false">IF($X959="","",O959*N959)</f>
        <v/>
      </c>
      <c r="Q959" s="23" t="str">
        <f aca="false">IF($X959="","",Settings!$C$6)</f>
        <v/>
      </c>
      <c r="R959" s="22" t="str">
        <f aca="false">IF($X959="","",SUMIFS('Per Line'!$Y$2:$Y$4001,'Per Line'!$D$2:$D$4001,$B959,'Per Line'!$AJ$2:$AJ$4001,1))</f>
        <v/>
      </c>
      <c r="S959" s="22" t="str">
        <f aca="false">IF($X959="","",R959*Q959)</f>
        <v/>
      </c>
      <c r="T959" s="22" t="str">
        <f aca="false">IF($X959="","",S959+P959)</f>
        <v/>
      </c>
      <c r="U959" s="22" t="str">
        <f aca="false">IF($X959="","",V959-T959)</f>
        <v/>
      </c>
      <c r="V959" s="22" t="str">
        <f aca="false">IF($X959="","",O959+R959)</f>
        <v/>
      </c>
      <c r="W959" s="22" t="str">
        <f aca="false">IF($X959="","",U959-L959)</f>
        <v/>
      </c>
      <c r="X959" s="24" t="str">
        <f aca="false">IF(ROWS($X$2:$X959)&lt;=MAX('Per Line'!$AI$2:$AI$4001),MATCH(ROWS($X$2:$X959),'Per Line'!$AI$2:$AI$4001,0),"")</f>
        <v/>
      </c>
    </row>
    <row r="960" customFormat="false" ht="15" hidden="false" customHeight="false" outlineLevel="0" collapsed="false">
      <c r="A960" s="19"/>
      <c r="B960" s="20" t="str">
        <f aca="false">IF($X960="","",INDEX('Per Line'!$D$2:$D$4001,$X960))</f>
        <v/>
      </c>
      <c r="C960" s="20" t="str">
        <f aca="false">IF($X960="","",INDEX('Per Line'!$C$2:$C$4001,$X960))</f>
        <v/>
      </c>
      <c r="D960" s="20" t="str">
        <f aca="false">IF($X960="","",INDEX('Per Line'!$A$2:$A$4001,$X960))</f>
        <v/>
      </c>
      <c r="E960" s="21" t="str">
        <f aca="false">IF($X960="","",INDEX('Per Line'!$F$2:$F$4001,$X960))</f>
        <v/>
      </c>
      <c r="F960" s="20" t="str">
        <f aca="false">IF($X960="","",INDEX('Per Line'!$G$2:$G$4001,$X960))</f>
        <v/>
      </c>
      <c r="G960" s="20" t="str">
        <f aca="false">IF($X960="","",INDEX('Per Line'!$I$2:$I$4001,$X960))</f>
        <v/>
      </c>
      <c r="H960" s="20" t="str">
        <f aca="false">IF($X960="","",INDEX('Per Line'!$J$2:$J$4001,$X960))</f>
        <v/>
      </c>
      <c r="I960" s="20" t="str">
        <f aca="false">IF($X960="","",INDEX('Per Line'!$K$2:$K$4001,$X960))</f>
        <v/>
      </c>
      <c r="J960" s="20" t="str">
        <f aca="false">IF($X960="","",INDEX('Per Line'!$L$2:$L$4001,$X960))</f>
        <v/>
      </c>
      <c r="K960" s="20" t="str">
        <f aca="false">IF($X960="","",INDEX('Per Line'!$M$2:$M$4001,$X960))</f>
        <v/>
      </c>
      <c r="L960" s="22" t="str">
        <f aca="false">IF($X960="","",K960*V960/100)</f>
        <v/>
      </c>
      <c r="M960" s="20" t="str">
        <f aca="false">IF($X960="","",INDEX('Per Line'!$Z$2:$Z$4001,$X960))</f>
        <v/>
      </c>
      <c r="N960" s="23" t="str">
        <f aca="false">IF($X960="","",Settings!$C$7)</f>
        <v/>
      </c>
      <c r="O960" s="22" t="str">
        <f aca="false">IF($X960="","",SUMIFS('Per Line'!$Y$2:$Y$4001,'Per Line'!$D$2:$D$4001,$B960,'Per Line'!$AJ$2:$AJ$4001,0))</f>
        <v/>
      </c>
      <c r="P960" s="22" t="str">
        <f aca="false">IF($X960="","",O960*N960)</f>
        <v/>
      </c>
      <c r="Q960" s="23" t="str">
        <f aca="false">IF($X960="","",Settings!$C$6)</f>
        <v/>
      </c>
      <c r="R960" s="22" t="str">
        <f aca="false">IF($X960="","",SUMIFS('Per Line'!$Y$2:$Y$4001,'Per Line'!$D$2:$D$4001,$B960,'Per Line'!$AJ$2:$AJ$4001,1))</f>
        <v/>
      </c>
      <c r="S960" s="22" t="str">
        <f aca="false">IF($X960="","",R960*Q960)</f>
        <v/>
      </c>
      <c r="T960" s="22" t="str">
        <f aca="false">IF($X960="","",S960+P960)</f>
        <v/>
      </c>
      <c r="U960" s="22" t="str">
        <f aca="false">IF($X960="","",V960-T960)</f>
        <v/>
      </c>
      <c r="V960" s="22" t="str">
        <f aca="false">IF($X960="","",O960+R960)</f>
        <v/>
      </c>
      <c r="W960" s="22" t="str">
        <f aca="false">IF($X960="","",U960-L960)</f>
        <v/>
      </c>
      <c r="X960" s="24" t="str">
        <f aca="false">IF(ROWS($X$2:$X960)&lt;=MAX('Per Line'!$AI$2:$AI$4001),MATCH(ROWS($X$2:$X960),'Per Line'!$AI$2:$AI$4001,0),"")</f>
        <v/>
      </c>
    </row>
    <row r="961" customFormat="false" ht="15" hidden="false" customHeight="false" outlineLevel="0" collapsed="false">
      <c r="A961" s="19"/>
      <c r="B961" s="20" t="str">
        <f aca="false">IF($X961="","",INDEX('Per Line'!$D$2:$D$4001,$X961))</f>
        <v/>
      </c>
      <c r="C961" s="20" t="str">
        <f aca="false">IF($X961="","",INDEX('Per Line'!$C$2:$C$4001,$X961))</f>
        <v/>
      </c>
      <c r="D961" s="20" t="str">
        <f aca="false">IF($X961="","",INDEX('Per Line'!$A$2:$A$4001,$X961))</f>
        <v/>
      </c>
      <c r="E961" s="21" t="str">
        <f aca="false">IF($X961="","",INDEX('Per Line'!$F$2:$F$4001,$X961))</f>
        <v/>
      </c>
      <c r="F961" s="20" t="str">
        <f aca="false">IF($X961="","",INDEX('Per Line'!$G$2:$G$4001,$X961))</f>
        <v/>
      </c>
      <c r="G961" s="20" t="str">
        <f aca="false">IF($X961="","",INDEX('Per Line'!$I$2:$I$4001,$X961))</f>
        <v/>
      </c>
      <c r="H961" s="20" t="str">
        <f aca="false">IF($X961="","",INDEX('Per Line'!$J$2:$J$4001,$X961))</f>
        <v/>
      </c>
      <c r="I961" s="20" t="str">
        <f aca="false">IF($X961="","",INDEX('Per Line'!$K$2:$K$4001,$X961))</f>
        <v/>
      </c>
      <c r="J961" s="20" t="str">
        <f aca="false">IF($X961="","",INDEX('Per Line'!$L$2:$L$4001,$X961))</f>
        <v/>
      </c>
      <c r="K961" s="20" t="str">
        <f aca="false">IF($X961="","",INDEX('Per Line'!$M$2:$M$4001,$X961))</f>
        <v/>
      </c>
      <c r="L961" s="22" t="str">
        <f aca="false">IF($X961="","",K961*V961/100)</f>
        <v/>
      </c>
      <c r="M961" s="20" t="str">
        <f aca="false">IF($X961="","",INDEX('Per Line'!$Z$2:$Z$4001,$X961))</f>
        <v/>
      </c>
      <c r="N961" s="23" t="str">
        <f aca="false">IF($X961="","",Settings!$C$7)</f>
        <v/>
      </c>
      <c r="O961" s="22" t="str">
        <f aca="false">IF($X961="","",SUMIFS('Per Line'!$Y$2:$Y$4001,'Per Line'!$D$2:$D$4001,$B961,'Per Line'!$AJ$2:$AJ$4001,0))</f>
        <v/>
      </c>
      <c r="P961" s="22" t="str">
        <f aca="false">IF($X961="","",O961*N961)</f>
        <v/>
      </c>
      <c r="Q961" s="23" t="str">
        <f aca="false">IF($X961="","",Settings!$C$6)</f>
        <v/>
      </c>
      <c r="R961" s="22" t="str">
        <f aca="false">IF($X961="","",SUMIFS('Per Line'!$Y$2:$Y$4001,'Per Line'!$D$2:$D$4001,$B961,'Per Line'!$AJ$2:$AJ$4001,1))</f>
        <v/>
      </c>
      <c r="S961" s="22" t="str">
        <f aca="false">IF($X961="","",R961*Q961)</f>
        <v/>
      </c>
      <c r="T961" s="22" t="str">
        <f aca="false">IF($X961="","",S961+P961)</f>
        <v/>
      </c>
      <c r="U961" s="22" t="str">
        <f aca="false">IF($X961="","",V961-T961)</f>
        <v/>
      </c>
      <c r="V961" s="22" t="str">
        <f aca="false">IF($X961="","",O961+R961)</f>
        <v/>
      </c>
      <c r="W961" s="22" t="str">
        <f aca="false">IF($X961="","",U961-L961)</f>
        <v/>
      </c>
      <c r="X961" s="24" t="str">
        <f aca="false">IF(ROWS($X$2:$X961)&lt;=MAX('Per Line'!$AI$2:$AI$4001),MATCH(ROWS($X$2:$X961),'Per Line'!$AI$2:$AI$4001,0),"")</f>
        <v/>
      </c>
    </row>
    <row r="962" customFormat="false" ht="15" hidden="false" customHeight="false" outlineLevel="0" collapsed="false">
      <c r="A962" s="19"/>
      <c r="B962" s="20" t="str">
        <f aca="false">IF($X962="","",INDEX('Per Line'!$D$2:$D$4001,$X962))</f>
        <v/>
      </c>
      <c r="C962" s="20" t="str">
        <f aca="false">IF($X962="","",INDEX('Per Line'!$C$2:$C$4001,$X962))</f>
        <v/>
      </c>
      <c r="D962" s="20" t="str">
        <f aca="false">IF($X962="","",INDEX('Per Line'!$A$2:$A$4001,$X962))</f>
        <v/>
      </c>
      <c r="E962" s="21" t="str">
        <f aca="false">IF($X962="","",INDEX('Per Line'!$F$2:$F$4001,$X962))</f>
        <v/>
      </c>
      <c r="F962" s="20" t="str">
        <f aca="false">IF($X962="","",INDEX('Per Line'!$G$2:$G$4001,$X962))</f>
        <v/>
      </c>
      <c r="G962" s="20" t="str">
        <f aca="false">IF($X962="","",INDEX('Per Line'!$I$2:$I$4001,$X962))</f>
        <v/>
      </c>
      <c r="H962" s="20" t="str">
        <f aca="false">IF($X962="","",INDEX('Per Line'!$J$2:$J$4001,$X962))</f>
        <v/>
      </c>
      <c r="I962" s="20" t="str">
        <f aca="false">IF($X962="","",INDEX('Per Line'!$K$2:$K$4001,$X962))</f>
        <v/>
      </c>
      <c r="J962" s="20" t="str">
        <f aca="false">IF($X962="","",INDEX('Per Line'!$L$2:$L$4001,$X962))</f>
        <v/>
      </c>
      <c r="K962" s="20" t="str">
        <f aca="false">IF($X962="","",INDEX('Per Line'!$M$2:$M$4001,$X962))</f>
        <v/>
      </c>
      <c r="L962" s="22" t="str">
        <f aca="false">IF($X962="","",K962*V962/100)</f>
        <v/>
      </c>
      <c r="M962" s="20" t="str">
        <f aca="false">IF($X962="","",INDEX('Per Line'!$Z$2:$Z$4001,$X962))</f>
        <v/>
      </c>
      <c r="N962" s="23" t="str">
        <f aca="false">IF($X962="","",Settings!$C$7)</f>
        <v/>
      </c>
      <c r="O962" s="22" t="str">
        <f aca="false">IF($X962="","",SUMIFS('Per Line'!$Y$2:$Y$4001,'Per Line'!$D$2:$D$4001,$B962,'Per Line'!$AJ$2:$AJ$4001,0))</f>
        <v/>
      </c>
      <c r="P962" s="22" t="str">
        <f aca="false">IF($X962="","",O962*N962)</f>
        <v/>
      </c>
      <c r="Q962" s="23" t="str">
        <f aca="false">IF($X962="","",Settings!$C$6)</f>
        <v/>
      </c>
      <c r="R962" s="22" t="str">
        <f aca="false">IF($X962="","",SUMIFS('Per Line'!$Y$2:$Y$4001,'Per Line'!$D$2:$D$4001,$B962,'Per Line'!$AJ$2:$AJ$4001,1))</f>
        <v/>
      </c>
      <c r="S962" s="22" t="str">
        <f aca="false">IF($X962="","",R962*Q962)</f>
        <v/>
      </c>
      <c r="T962" s="22" t="str">
        <f aca="false">IF($X962="","",S962+P962)</f>
        <v/>
      </c>
      <c r="U962" s="22" t="str">
        <f aca="false">IF($X962="","",V962-T962)</f>
        <v/>
      </c>
      <c r="V962" s="22" t="str">
        <f aca="false">IF($X962="","",O962+R962)</f>
        <v/>
      </c>
      <c r="W962" s="22" t="str">
        <f aca="false">IF($X962="","",U962-L962)</f>
        <v/>
      </c>
      <c r="X962" s="24" t="str">
        <f aca="false">IF(ROWS($X$2:$X962)&lt;=MAX('Per Line'!$AI$2:$AI$4001),MATCH(ROWS($X$2:$X962),'Per Line'!$AI$2:$AI$4001,0),"")</f>
        <v/>
      </c>
    </row>
    <row r="963" customFormat="false" ht="15" hidden="false" customHeight="false" outlineLevel="0" collapsed="false">
      <c r="A963" s="19"/>
      <c r="B963" s="20" t="str">
        <f aca="false">IF($X963="","",INDEX('Per Line'!$D$2:$D$4001,$X963))</f>
        <v/>
      </c>
      <c r="C963" s="20" t="str">
        <f aca="false">IF($X963="","",INDEX('Per Line'!$C$2:$C$4001,$X963))</f>
        <v/>
      </c>
      <c r="D963" s="20" t="str">
        <f aca="false">IF($X963="","",INDEX('Per Line'!$A$2:$A$4001,$X963))</f>
        <v/>
      </c>
      <c r="E963" s="21" t="str">
        <f aca="false">IF($X963="","",INDEX('Per Line'!$F$2:$F$4001,$X963))</f>
        <v/>
      </c>
      <c r="F963" s="20" t="str">
        <f aca="false">IF($X963="","",INDEX('Per Line'!$G$2:$G$4001,$X963))</f>
        <v/>
      </c>
      <c r="G963" s="20" t="str">
        <f aca="false">IF($X963="","",INDEX('Per Line'!$I$2:$I$4001,$X963))</f>
        <v/>
      </c>
      <c r="H963" s="20" t="str">
        <f aca="false">IF($X963="","",INDEX('Per Line'!$J$2:$J$4001,$X963))</f>
        <v/>
      </c>
      <c r="I963" s="20" t="str">
        <f aca="false">IF($X963="","",INDEX('Per Line'!$K$2:$K$4001,$X963))</f>
        <v/>
      </c>
      <c r="J963" s="20" t="str">
        <f aca="false">IF($X963="","",INDEX('Per Line'!$L$2:$L$4001,$X963))</f>
        <v/>
      </c>
      <c r="K963" s="20" t="str">
        <f aca="false">IF($X963="","",INDEX('Per Line'!$M$2:$M$4001,$X963))</f>
        <v/>
      </c>
      <c r="L963" s="22" t="str">
        <f aca="false">IF($X963="","",K963*V963/100)</f>
        <v/>
      </c>
      <c r="M963" s="20" t="str">
        <f aca="false">IF($X963="","",INDEX('Per Line'!$Z$2:$Z$4001,$X963))</f>
        <v/>
      </c>
      <c r="N963" s="23" t="str">
        <f aca="false">IF($X963="","",Settings!$C$7)</f>
        <v/>
      </c>
      <c r="O963" s="22" t="str">
        <f aca="false">IF($X963="","",SUMIFS('Per Line'!$Y$2:$Y$4001,'Per Line'!$D$2:$D$4001,$B963,'Per Line'!$AJ$2:$AJ$4001,0))</f>
        <v/>
      </c>
      <c r="P963" s="22" t="str">
        <f aca="false">IF($X963="","",O963*N963)</f>
        <v/>
      </c>
      <c r="Q963" s="23" t="str">
        <f aca="false">IF($X963="","",Settings!$C$6)</f>
        <v/>
      </c>
      <c r="R963" s="22" t="str">
        <f aca="false">IF($X963="","",SUMIFS('Per Line'!$Y$2:$Y$4001,'Per Line'!$D$2:$D$4001,$B963,'Per Line'!$AJ$2:$AJ$4001,1))</f>
        <v/>
      </c>
      <c r="S963" s="22" t="str">
        <f aca="false">IF($X963="","",R963*Q963)</f>
        <v/>
      </c>
      <c r="T963" s="22" t="str">
        <f aca="false">IF($X963="","",S963+P963)</f>
        <v/>
      </c>
      <c r="U963" s="22" t="str">
        <f aca="false">IF($X963="","",V963-T963)</f>
        <v/>
      </c>
      <c r="V963" s="22" t="str">
        <f aca="false">IF($X963="","",O963+R963)</f>
        <v/>
      </c>
      <c r="W963" s="22" t="str">
        <f aca="false">IF($X963="","",U963-L963)</f>
        <v/>
      </c>
      <c r="X963" s="24" t="str">
        <f aca="false">IF(ROWS($X$2:$X963)&lt;=MAX('Per Line'!$AI$2:$AI$4001),MATCH(ROWS($X$2:$X963),'Per Line'!$AI$2:$AI$4001,0),"")</f>
        <v/>
      </c>
    </row>
    <row r="964" customFormat="false" ht="15" hidden="false" customHeight="false" outlineLevel="0" collapsed="false">
      <c r="A964" s="19"/>
      <c r="B964" s="20" t="str">
        <f aca="false">IF($X964="","",INDEX('Per Line'!$D$2:$D$4001,$X964))</f>
        <v/>
      </c>
      <c r="C964" s="20" t="str">
        <f aca="false">IF($X964="","",INDEX('Per Line'!$C$2:$C$4001,$X964))</f>
        <v/>
      </c>
      <c r="D964" s="20" t="str">
        <f aca="false">IF($X964="","",INDEX('Per Line'!$A$2:$A$4001,$X964))</f>
        <v/>
      </c>
      <c r="E964" s="21" t="str">
        <f aca="false">IF($X964="","",INDEX('Per Line'!$F$2:$F$4001,$X964))</f>
        <v/>
      </c>
      <c r="F964" s="20" t="str">
        <f aca="false">IF($X964="","",INDEX('Per Line'!$G$2:$G$4001,$X964))</f>
        <v/>
      </c>
      <c r="G964" s="20" t="str">
        <f aca="false">IF($X964="","",INDEX('Per Line'!$I$2:$I$4001,$X964))</f>
        <v/>
      </c>
      <c r="H964" s="20" t="str">
        <f aca="false">IF($X964="","",INDEX('Per Line'!$J$2:$J$4001,$X964))</f>
        <v/>
      </c>
      <c r="I964" s="20" t="str">
        <f aca="false">IF($X964="","",INDEX('Per Line'!$K$2:$K$4001,$X964))</f>
        <v/>
      </c>
      <c r="J964" s="20" t="str">
        <f aca="false">IF($X964="","",INDEX('Per Line'!$L$2:$L$4001,$X964))</f>
        <v/>
      </c>
      <c r="K964" s="20" t="str">
        <f aca="false">IF($X964="","",INDEX('Per Line'!$M$2:$M$4001,$X964))</f>
        <v/>
      </c>
      <c r="L964" s="22" t="str">
        <f aca="false">IF($X964="","",K964*V964/100)</f>
        <v/>
      </c>
      <c r="M964" s="20" t="str">
        <f aca="false">IF($X964="","",INDEX('Per Line'!$Z$2:$Z$4001,$X964))</f>
        <v/>
      </c>
      <c r="N964" s="23" t="str">
        <f aca="false">IF($X964="","",Settings!$C$7)</f>
        <v/>
      </c>
      <c r="O964" s="22" t="str">
        <f aca="false">IF($X964="","",SUMIFS('Per Line'!$Y$2:$Y$4001,'Per Line'!$D$2:$D$4001,$B964,'Per Line'!$AJ$2:$AJ$4001,0))</f>
        <v/>
      </c>
      <c r="P964" s="22" t="str">
        <f aca="false">IF($X964="","",O964*N964)</f>
        <v/>
      </c>
      <c r="Q964" s="23" t="str">
        <f aca="false">IF($X964="","",Settings!$C$6)</f>
        <v/>
      </c>
      <c r="R964" s="22" t="str">
        <f aca="false">IF($X964="","",SUMIFS('Per Line'!$Y$2:$Y$4001,'Per Line'!$D$2:$D$4001,$B964,'Per Line'!$AJ$2:$AJ$4001,1))</f>
        <v/>
      </c>
      <c r="S964" s="22" t="str">
        <f aca="false">IF($X964="","",R964*Q964)</f>
        <v/>
      </c>
      <c r="T964" s="22" t="str">
        <f aca="false">IF($X964="","",S964+P964)</f>
        <v/>
      </c>
      <c r="U964" s="22" t="str">
        <f aca="false">IF($X964="","",V964-T964)</f>
        <v/>
      </c>
      <c r="V964" s="22" t="str">
        <f aca="false">IF($X964="","",O964+R964)</f>
        <v/>
      </c>
      <c r="W964" s="22" t="str">
        <f aca="false">IF($X964="","",U964-L964)</f>
        <v/>
      </c>
      <c r="X964" s="24" t="str">
        <f aca="false">IF(ROWS($X$2:$X964)&lt;=MAX('Per Line'!$AI$2:$AI$4001),MATCH(ROWS($X$2:$X964),'Per Line'!$AI$2:$AI$4001,0),"")</f>
        <v/>
      </c>
    </row>
    <row r="965" customFormat="false" ht="15" hidden="false" customHeight="false" outlineLevel="0" collapsed="false">
      <c r="A965" s="19"/>
      <c r="B965" s="20" t="str">
        <f aca="false">IF($X965="","",INDEX('Per Line'!$D$2:$D$4001,$X965))</f>
        <v/>
      </c>
      <c r="C965" s="20" t="str">
        <f aca="false">IF($X965="","",INDEX('Per Line'!$C$2:$C$4001,$X965))</f>
        <v/>
      </c>
      <c r="D965" s="20" t="str">
        <f aca="false">IF($X965="","",INDEX('Per Line'!$A$2:$A$4001,$X965))</f>
        <v/>
      </c>
      <c r="E965" s="21" t="str">
        <f aca="false">IF($X965="","",INDEX('Per Line'!$F$2:$F$4001,$X965))</f>
        <v/>
      </c>
      <c r="F965" s="20" t="str">
        <f aca="false">IF($X965="","",INDEX('Per Line'!$G$2:$G$4001,$X965))</f>
        <v/>
      </c>
      <c r="G965" s="20" t="str">
        <f aca="false">IF($X965="","",INDEX('Per Line'!$I$2:$I$4001,$X965))</f>
        <v/>
      </c>
      <c r="H965" s="20" t="str">
        <f aca="false">IF($X965="","",INDEX('Per Line'!$J$2:$J$4001,$X965))</f>
        <v/>
      </c>
      <c r="I965" s="20" t="str">
        <f aca="false">IF($X965="","",INDEX('Per Line'!$K$2:$K$4001,$X965))</f>
        <v/>
      </c>
      <c r="J965" s="20" t="str">
        <f aca="false">IF($X965="","",INDEX('Per Line'!$L$2:$L$4001,$X965))</f>
        <v/>
      </c>
      <c r="K965" s="20" t="str">
        <f aca="false">IF($X965="","",INDEX('Per Line'!$M$2:$M$4001,$X965))</f>
        <v/>
      </c>
      <c r="L965" s="22" t="str">
        <f aca="false">IF($X965="","",K965*V965/100)</f>
        <v/>
      </c>
      <c r="M965" s="20" t="str">
        <f aca="false">IF($X965="","",INDEX('Per Line'!$Z$2:$Z$4001,$X965))</f>
        <v/>
      </c>
      <c r="N965" s="23" t="str">
        <f aca="false">IF($X965="","",Settings!$C$7)</f>
        <v/>
      </c>
      <c r="O965" s="22" t="str">
        <f aca="false">IF($X965="","",SUMIFS('Per Line'!$Y$2:$Y$4001,'Per Line'!$D$2:$D$4001,$B965,'Per Line'!$AJ$2:$AJ$4001,0))</f>
        <v/>
      </c>
      <c r="P965" s="22" t="str">
        <f aca="false">IF($X965="","",O965*N965)</f>
        <v/>
      </c>
      <c r="Q965" s="23" t="str">
        <f aca="false">IF($X965="","",Settings!$C$6)</f>
        <v/>
      </c>
      <c r="R965" s="22" t="str">
        <f aca="false">IF($X965="","",SUMIFS('Per Line'!$Y$2:$Y$4001,'Per Line'!$D$2:$D$4001,$B965,'Per Line'!$AJ$2:$AJ$4001,1))</f>
        <v/>
      </c>
      <c r="S965" s="22" t="str">
        <f aca="false">IF($X965="","",R965*Q965)</f>
        <v/>
      </c>
      <c r="T965" s="22" t="str">
        <f aca="false">IF($X965="","",S965+P965)</f>
        <v/>
      </c>
      <c r="U965" s="22" t="str">
        <f aca="false">IF($X965="","",V965-T965)</f>
        <v/>
      </c>
      <c r="V965" s="22" t="str">
        <f aca="false">IF($X965="","",O965+R965)</f>
        <v/>
      </c>
      <c r="W965" s="22" t="str">
        <f aca="false">IF($X965="","",U965-L965)</f>
        <v/>
      </c>
      <c r="X965" s="24" t="str">
        <f aca="false">IF(ROWS($X$2:$X965)&lt;=MAX('Per Line'!$AI$2:$AI$4001),MATCH(ROWS($X$2:$X965),'Per Line'!$AI$2:$AI$4001,0),"")</f>
        <v/>
      </c>
    </row>
    <row r="966" customFormat="false" ht="15" hidden="false" customHeight="false" outlineLevel="0" collapsed="false">
      <c r="A966" s="19"/>
      <c r="B966" s="20" t="str">
        <f aca="false">IF($X966="","",INDEX('Per Line'!$D$2:$D$4001,$X966))</f>
        <v/>
      </c>
      <c r="C966" s="20" t="str">
        <f aca="false">IF($X966="","",INDEX('Per Line'!$C$2:$C$4001,$X966))</f>
        <v/>
      </c>
      <c r="D966" s="20" t="str">
        <f aca="false">IF($X966="","",INDEX('Per Line'!$A$2:$A$4001,$X966))</f>
        <v/>
      </c>
      <c r="E966" s="21" t="str">
        <f aca="false">IF($X966="","",INDEX('Per Line'!$F$2:$F$4001,$X966))</f>
        <v/>
      </c>
      <c r="F966" s="20" t="str">
        <f aca="false">IF($X966="","",INDEX('Per Line'!$G$2:$G$4001,$X966))</f>
        <v/>
      </c>
      <c r="G966" s="20" t="str">
        <f aca="false">IF($X966="","",INDEX('Per Line'!$I$2:$I$4001,$X966))</f>
        <v/>
      </c>
      <c r="H966" s="20" t="str">
        <f aca="false">IF($X966="","",INDEX('Per Line'!$J$2:$J$4001,$X966))</f>
        <v/>
      </c>
      <c r="I966" s="20" t="str">
        <f aca="false">IF($X966="","",INDEX('Per Line'!$K$2:$K$4001,$X966))</f>
        <v/>
      </c>
      <c r="J966" s="20" t="str">
        <f aca="false">IF($X966="","",INDEX('Per Line'!$L$2:$L$4001,$X966))</f>
        <v/>
      </c>
      <c r="K966" s="20" t="str">
        <f aca="false">IF($X966="","",INDEX('Per Line'!$M$2:$M$4001,$X966))</f>
        <v/>
      </c>
      <c r="L966" s="22" t="str">
        <f aca="false">IF($X966="","",K966*V966/100)</f>
        <v/>
      </c>
      <c r="M966" s="20" t="str">
        <f aca="false">IF($X966="","",INDEX('Per Line'!$Z$2:$Z$4001,$X966))</f>
        <v/>
      </c>
      <c r="N966" s="23" t="str">
        <f aca="false">IF($X966="","",Settings!$C$7)</f>
        <v/>
      </c>
      <c r="O966" s="22" t="str">
        <f aca="false">IF($X966="","",SUMIFS('Per Line'!$Y$2:$Y$4001,'Per Line'!$D$2:$D$4001,$B966,'Per Line'!$AJ$2:$AJ$4001,0))</f>
        <v/>
      </c>
      <c r="P966" s="22" t="str">
        <f aca="false">IF($X966="","",O966*N966)</f>
        <v/>
      </c>
      <c r="Q966" s="23" t="str">
        <f aca="false">IF($X966="","",Settings!$C$6)</f>
        <v/>
      </c>
      <c r="R966" s="22" t="str">
        <f aca="false">IF($X966="","",SUMIFS('Per Line'!$Y$2:$Y$4001,'Per Line'!$D$2:$D$4001,$B966,'Per Line'!$AJ$2:$AJ$4001,1))</f>
        <v/>
      </c>
      <c r="S966" s="22" t="str">
        <f aca="false">IF($X966="","",R966*Q966)</f>
        <v/>
      </c>
      <c r="T966" s="22" t="str">
        <f aca="false">IF($X966="","",S966+P966)</f>
        <v/>
      </c>
      <c r="U966" s="22" t="str">
        <f aca="false">IF($X966="","",V966-T966)</f>
        <v/>
      </c>
      <c r="V966" s="22" t="str">
        <f aca="false">IF($X966="","",O966+R966)</f>
        <v/>
      </c>
      <c r="W966" s="22" t="str">
        <f aca="false">IF($X966="","",U966-L966)</f>
        <v/>
      </c>
      <c r="X966" s="24" t="str">
        <f aca="false">IF(ROWS($X$2:$X966)&lt;=MAX('Per Line'!$AI$2:$AI$4001),MATCH(ROWS($X$2:$X966),'Per Line'!$AI$2:$AI$4001,0),"")</f>
        <v/>
      </c>
    </row>
    <row r="967" customFormat="false" ht="15" hidden="false" customHeight="false" outlineLevel="0" collapsed="false">
      <c r="A967" s="19"/>
      <c r="B967" s="20" t="str">
        <f aca="false">IF($X967="","",INDEX('Per Line'!$D$2:$D$4001,$X967))</f>
        <v/>
      </c>
      <c r="C967" s="20" t="str">
        <f aca="false">IF($X967="","",INDEX('Per Line'!$C$2:$C$4001,$X967))</f>
        <v/>
      </c>
      <c r="D967" s="20" t="str">
        <f aca="false">IF($X967="","",INDEX('Per Line'!$A$2:$A$4001,$X967))</f>
        <v/>
      </c>
      <c r="E967" s="21" t="str">
        <f aca="false">IF($X967="","",INDEX('Per Line'!$F$2:$F$4001,$X967))</f>
        <v/>
      </c>
      <c r="F967" s="20" t="str">
        <f aca="false">IF($X967="","",INDEX('Per Line'!$G$2:$G$4001,$X967))</f>
        <v/>
      </c>
      <c r="G967" s="20" t="str">
        <f aca="false">IF($X967="","",INDEX('Per Line'!$I$2:$I$4001,$X967))</f>
        <v/>
      </c>
      <c r="H967" s="20" t="str">
        <f aca="false">IF($X967="","",INDEX('Per Line'!$J$2:$J$4001,$X967))</f>
        <v/>
      </c>
      <c r="I967" s="20" t="str">
        <f aca="false">IF($X967="","",INDEX('Per Line'!$K$2:$K$4001,$X967))</f>
        <v/>
      </c>
      <c r="J967" s="20" t="str">
        <f aca="false">IF($X967="","",INDEX('Per Line'!$L$2:$L$4001,$X967))</f>
        <v/>
      </c>
      <c r="K967" s="20" t="str">
        <f aca="false">IF($X967="","",INDEX('Per Line'!$M$2:$M$4001,$X967))</f>
        <v/>
      </c>
      <c r="L967" s="22" t="str">
        <f aca="false">IF($X967="","",K967*V967/100)</f>
        <v/>
      </c>
      <c r="M967" s="20" t="str">
        <f aca="false">IF($X967="","",INDEX('Per Line'!$Z$2:$Z$4001,$X967))</f>
        <v/>
      </c>
      <c r="N967" s="23" t="str">
        <f aca="false">IF($X967="","",Settings!$C$7)</f>
        <v/>
      </c>
      <c r="O967" s="22" t="str">
        <f aca="false">IF($X967="","",SUMIFS('Per Line'!$Y$2:$Y$4001,'Per Line'!$D$2:$D$4001,$B967,'Per Line'!$AJ$2:$AJ$4001,0))</f>
        <v/>
      </c>
      <c r="P967" s="22" t="str">
        <f aca="false">IF($X967="","",O967*N967)</f>
        <v/>
      </c>
      <c r="Q967" s="23" t="str">
        <f aca="false">IF($X967="","",Settings!$C$6)</f>
        <v/>
      </c>
      <c r="R967" s="22" t="str">
        <f aca="false">IF($X967="","",SUMIFS('Per Line'!$Y$2:$Y$4001,'Per Line'!$D$2:$D$4001,$B967,'Per Line'!$AJ$2:$AJ$4001,1))</f>
        <v/>
      </c>
      <c r="S967" s="22" t="str">
        <f aca="false">IF($X967="","",R967*Q967)</f>
        <v/>
      </c>
      <c r="T967" s="22" t="str">
        <f aca="false">IF($X967="","",S967+P967)</f>
        <v/>
      </c>
      <c r="U967" s="22" t="str">
        <f aca="false">IF($X967="","",V967-T967)</f>
        <v/>
      </c>
      <c r="V967" s="22" t="str">
        <f aca="false">IF($X967="","",O967+R967)</f>
        <v/>
      </c>
      <c r="W967" s="22" t="str">
        <f aca="false">IF($X967="","",U967-L967)</f>
        <v/>
      </c>
      <c r="X967" s="24" t="str">
        <f aca="false">IF(ROWS($X$2:$X967)&lt;=MAX('Per Line'!$AI$2:$AI$4001),MATCH(ROWS($X$2:$X967),'Per Line'!$AI$2:$AI$4001,0),"")</f>
        <v/>
      </c>
    </row>
    <row r="968" customFormat="false" ht="15" hidden="false" customHeight="false" outlineLevel="0" collapsed="false">
      <c r="A968" s="19"/>
      <c r="B968" s="20" t="str">
        <f aca="false">IF($X968="","",INDEX('Per Line'!$D$2:$D$4001,$X968))</f>
        <v/>
      </c>
      <c r="C968" s="20" t="str">
        <f aca="false">IF($X968="","",INDEX('Per Line'!$C$2:$C$4001,$X968))</f>
        <v/>
      </c>
      <c r="D968" s="20" t="str">
        <f aca="false">IF($X968="","",INDEX('Per Line'!$A$2:$A$4001,$X968))</f>
        <v/>
      </c>
      <c r="E968" s="21" t="str">
        <f aca="false">IF($X968="","",INDEX('Per Line'!$F$2:$F$4001,$X968))</f>
        <v/>
      </c>
      <c r="F968" s="20" t="str">
        <f aca="false">IF($X968="","",INDEX('Per Line'!$G$2:$G$4001,$X968))</f>
        <v/>
      </c>
      <c r="G968" s="20" t="str">
        <f aca="false">IF($X968="","",INDEX('Per Line'!$I$2:$I$4001,$X968))</f>
        <v/>
      </c>
      <c r="H968" s="20" t="str">
        <f aca="false">IF($X968="","",INDEX('Per Line'!$J$2:$J$4001,$X968))</f>
        <v/>
      </c>
      <c r="I968" s="20" t="str">
        <f aca="false">IF($X968="","",INDEX('Per Line'!$K$2:$K$4001,$X968))</f>
        <v/>
      </c>
      <c r="J968" s="20" t="str">
        <f aca="false">IF($X968="","",INDEX('Per Line'!$L$2:$L$4001,$X968))</f>
        <v/>
      </c>
      <c r="K968" s="20" t="str">
        <f aca="false">IF($X968="","",INDEX('Per Line'!$M$2:$M$4001,$X968))</f>
        <v/>
      </c>
      <c r="L968" s="22" t="str">
        <f aca="false">IF($X968="","",K968*V968/100)</f>
        <v/>
      </c>
      <c r="M968" s="20" t="str">
        <f aca="false">IF($X968="","",INDEX('Per Line'!$Z$2:$Z$4001,$X968))</f>
        <v/>
      </c>
      <c r="N968" s="23" t="str">
        <f aca="false">IF($X968="","",Settings!$C$7)</f>
        <v/>
      </c>
      <c r="O968" s="22" t="str">
        <f aca="false">IF($X968="","",SUMIFS('Per Line'!$Y$2:$Y$4001,'Per Line'!$D$2:$D$4001,$B968,'Per Line'!$AJ$2:$AJ$4001,0))</f>
        <v/>
      </c>
      <c r="P968" s="22" t="str">
        <f aca="false">IF($X968="","",O968*N968)</f>
        <v/>
      </c>
      <c r="Q968" s="23" t="str">
        <f aca="false">IF($X968="","",Settings!$C$6)</f>
        <v/>
      </c>
      <c r="R968" s="22" t="str">
        <f aca="false">IF($X968="","",SUMIFS('Per Line'!$Y$2:$Y$4001,'Per Line'!$D$2:$D$4001,$B968,'Per Line'!$AJ$2:$AJ$4001,1))</f>
        <v/>
      </c>
      <c r="S968" s="22" t="str">
        <f aca="false">IF($X968="","",R968*Q968)</f>
        <v/>
      </c>
      <c r="T968" s="22" t="str">
        <f aca="false">IF($X968="","",S968+P968)</f>
        <v/>
      </c>
      <c r="U968" s="22" t="str">
        <f aca="false">IF($X968="","",V968-T968)</f>
        <v/>
      </c>
      <c r="V968" s="22" t="str">
        <f aca="false">IF($X968="","",O968+R968)</f>
        <v/>
      </c>
      <c r="W968" s="22" t="str">
        <f aca="false">IF($X968="","",U968-L968)</f>
        <v/>
      </c>
      <c r="X968" s="24" t="str">
        <f aca="false">IF(ROWS($X$2:$X968)&lt;=MAX('Per Line'!$AI$2:$AI$4001),MATCH(ROWS($X$2:$X968),'Per Line'!$AI$2:$AI$4001,0),"")</f>
        <v/>
      </c>
    </row>
    <row r="969" customFormat="false" ht="15" hidden="false" customHeight="false" outlineLevel="0" collapsed="false">
      <c r="A969" s="19"/>
      <c r="B969" s="20" t="str">
        <f aca="false">IF($X969="","",INDEX('Per Line'!$D$2:$D$4001,$X969))</f>
        <v/>
      </c>
      <c r="C969" s="20" t="str">
        <f aca="false">IF($X969="","",INDEX('Per Line'!$C$2:$C$4001,$X969))</f>
        <v/>
      </c>
      <c r="D969" s="20" t="str">
        <f aca="false">IF($X969="","",INDEX('Per Line'!$A$2:$A$4001,$X969))</f>
        <v/>
      </c>
      <c r="E969" s="21" t="str">
        <f aca="false">IF($X969="","",INDEX('Per Line'!$F$2:$F$4001,$X969))</f>
        <v/>
      </c>
      <c r="F969" s="20" t="str">
        <f aca="false">IF($X969="","",INDEX('Per Line'!$G$2:$G$4001,$X969))</f>
        <v/>
      </c>
      <c r="G969" s="20" t="str">
        <f aca="false">IF($X969="","",INDEX('Per Line'!$I$2:$I$4001,$X969))</f>
        <v/>
      </c>
      <c r="H969" s="20" t="str">
        <f aca="false">IF($X969="","",INDEX('Per Line'!$J$2:$J$4001,$X969))</f>
        <v/>
      </c>
      <c r="I969" s="20" t="str">
        <f aca="false">IF($X969="","",INDEX('Per Line'!$K$2:$K$4001,$X969))</f>
        <v/>
      </c>
      <c r="J969" s="20" t="str">
        <f aca="false">IF($X969="","",INDEX('Per Line'!$L$2:$L$4001,$X969))</f>
        <v/>
      </c>
      <c r="K969" s="20" t="str">
        <f aca="false">IF($X969="","",INDEX('Per Line'!$M$2:$M$4001,$X969))</f>
        <v/>
      </c>
      <c r="L969" s="22" t="str">
        <f aca="false">IF($X969="","",K969*V969/100)</f>
        <v/>
      </c>
      <c r="M969" s="20" t="str">
        <f aca="false">IF($X969="","",INDEX('Per Line'!$Z$2:$Z$4001,$X969))</f>
        <v/>
      </c>
      <c r="N969" s="23" t="str">
        <f aca="false">IF($X969="","",Settings!$C$7)</f>
        <v/>
      </c>
      <c r="O969" s="22" t="str">
        <f aca="false">IF($X969="","",SUMIFS('Per Line'!$Y$2:$Y$4001,'Per Line'!$D$2:$D$4001,$B969,'Per Line'!$AJ$2:$AJ$4001,0))</f>
        <v/>
      </c>
      <c r="P969" s="22" t="str">
        <f aca="false">IF($X969="","",O969*N969)</f>
        <v/>
      </c>
      <c r="Q969" s="23" t="str">
        <f aca="false">IF($X969="","",Settings!$C$6)</f>
        <v/>
      </c>
      <c r="R969" s="22" t="str">
        <f aca="false">IF($X969="","",SUMIFS('Per Line'!$Y$2:$Y$4001,'Per Line'!$D$2:$D$4001,$B969,'Per Line'!$AJ$2:$AJ$4001,1))</f>
        <v/>
      </c>
      <c r="S969" s="22" t="str">
        <f aca="false">IF($X969="","",R969*Q969)</f>
        <v/>
      </c>
      <c r="T969" s="22" t="str">
        <f aca="false">IF($X969="","",S969+P969)</f>
        <v/>
      </c>
      <c r="U969" s="22" t="str">
        <f aca="false">IF($X969="","",V969-T969)</f>
        <v/>
      </c>
      <c r="V969" s="22" t="str">
        <f aca="false">IF($X969="","",O969+R969)</f>
        <v/>
      </c>
      <c r="W969" s="22" t="str">
        <f aca="false">IF($X969="","",U969-L969)</f>
        <v/>
      </c>
      <c r="X969" s="24" t="str">
        <f aca="false">IF(ROWS($X$2:$X969)&lt;=MAX('Per Line'!$AI$2:$AI$4001),MATCH(ROWS($X$2:$X969),'Per Line'!$AI$2:$AI$4001,0),"")</f>
        <v/>
      </c>
    </row>
    <row r="970" customFormat="false" ht="15" hidden="false" customHeight="false" outlineLevel="0" collapsed="false">
      <c r="A970" s="19"/>
      <c r="B970" s="20" t="str">
        <f aca="false">IF($X970="","",INDEX('Per Line'!$D$2:$D$4001,$X970))</f>
        <v/>
      </c>
      <c r="C970" s="20" t="str">
        <f aca="false">IF($X970="","",INDEX('Per Line'!$C$2:$C$4001,$X970))</f>
        <v/>
      </c>
      <c r="D970" s="20" t="str">
        <f aca="false">IF($X970="","",INDEX('Per Line'!$A$2:$A$4001,$X970))</f>
        <v/>
      </c>
      <c r="E970" s="21" t="str">
        <f aca="false">IF($X970="","",INDEX('Per Line'!$F$2:$F$4001,$X970))</f>
        <v/>
      </c>
      <c r="F970" s="20" t="str">
        <f aca="false">IF($X970="","",INDEX('Per Line'!$G$2:$G$4001,$X970))</f>
        <v/>
      </c>
      <c r="G970" s="20" t="str">
        <f aca="false">IF($X970="","",INDEX('Per Line'!$I$2:$I$4001,$X970))</f>
        <v/>
      </c>
      <c r="H970" s="20" t="str">
        <f aca="false">IF($X970="","",INDEX('Per Line'!$J$2:$J$4001,$X970))</f>
        <v/>
      </c>
      <c r="I970" s="20" t="str">
        <f aca="false">IF($X970="","",INDEX('Per Line'!$K$2:$K$4001,$X970))</f>
        <v/>
      </c>
      <c r="J970" s="20" t="str">
        <f aca="false">IF($X970="","",INDEX('Per Line'!$L$2:$L$4001,$X970))</f>
        <v/>
      </c>
      <c r="K970" s="20" t="str">
        <f aca="false">IF($X970="","",INDEX('Per Line'!$M$2:$M$4001,$X970))</f>
        <v/>
      </c>
      <c r="L970" s="22" t="str">
        <f aca="false">IF($X970="","",K970*V970/100)</f>
        <v/>
      </c>
      <c r="M970" s="20" t="str">
        <f aca="false">IF($X970="","",INDEX('Per Line'!$Z$2:$Z$4001,$X970))</f>
        <v/>
      </c>
      <c r="N970" s="23" t="str">
        <f aca="false">IF($X970="","",Settings!$C$7)</f>
        <v/>
      </c>
      <c r="O970" s="22" t="str">
        <f aca="false">IF($X970="","",SUMIFS('Per Line'!$Y$2:$Y$4001,'Per Line'!$D$2:$D$4001,$B970,'Per Line'!$AJ$2:$AJ$4001,0))</f>
        <v/>
      </c>
      <c r="P970" s="22" t="str">
        <f aca="false">IF($X970="","",O970*N970)</f>
        <v/>
      </c>
      <c r="Q970" s="23" t="str">
        <f aca="false">IF($X970="","",Settings!$C$6)</f>
        <v/>
      </c>
      <c r="R970" s="22" t="str">
        <f aca="false">IF($X970="","",SUMIFS('Per Line'!$Y$2:$Y$4001,'Per Line'!$D$2:$D$4001,$B970,'Per Line'!$AJ$2:$AJ$4001,1))</f>
        <v/>
      </c>
      <c r="S970" s="22" t="str">
        <f aca="false">IF($X970="","",R970*Q970)</f>
        <v/>
      </c>
      <c r="T970" s="22" t="str">
        <f aca="false">IF($X970="","",S970+P970)</f>
        <v/>
      </c>
      <c r="U970" s="22" t="str">
        <f aca="false">IF($X970="","",V970-T970)</f>
        <v/>
      </c>
      <c r="V970" s="22" t="str">
        <f aca="false">IF($X970="","",O970+R970)</f>
        <v/>
      </c>
      <c r="W970" s="22" t="str">
        <f aca="false">IF($X970="","",U970-L970)</f>
        <v/>
      </c>
      <c r="X970" s="24" t="str">
        <f aca="false">IF(ROWS($X$2:$X970)&lt;=MAX('Per Line'!$AI$2:$AI$4001),MATCH(ROWS($X$2:$X970),'Per Line'!$AI$2:$AI$4001,0),"")</f>
        <v/>
      </c>
    </row>
    <row r="971" customFormat="false" ht="15" hidden="false" customHeight="false" outlineLevel="0" collapsed="false">
      <c r="A971" s="19"/>
      <c r="B971" s="20" t="str">
        <f aca="false">IF($X971="","",INDEX('Per Line'!$D$2:$D$4001,$X971))</f>
        <v/>
      </c>
      <c r="C971" s="20" t="str">
        <f aca="false">IF($X971="","",INDEX('Per Line'!$C$2:$C$4001,$X971))</f>
        <v/>
      </c>
      <c r="D971" s="20" t="str">
        <f aca="false">IF($X971="","",INDEX('Per Line'!$A$2:$A$4001,$X971))</f>
        <v/>
      </c>
      <c r="E971" s="21" t="str">
        <f aca="false">IF($X971="","",INDEX('Per Line'!$F$2:$F$4001,$X971))</f>
        <v/>
      </c>
      <c r="F971" s="20" t="str">
        <f aca="false">IF($X971="","",INDEX('Per Line'!$G$2:$G$4001,$X971))</f>
        <v/>
      </c>
      <c r="G971" s="20" t="str">
        <f aca="false">IF($X971="","",INDEX('Per Line'!$I$2:$I$4001,$X971))</f>
        <v/>
      </c>
      <c r="H971" s="20" t="str">
        <f aca="false">IF($X971="","",INDEX('Per Line'!$J$2:$J$4001,$X971))</f>
        <v/>
      </c>
      <c r="I971" s="20" t="str">
        <f aca="false">IF($X971="","",INDEX('Per Line'!$K$2:$K$4001,$X971))</f>
        <v/>
      </c>
      <c r="J971" s="20" t="str">
        <f aca="false">IF($X971="","",INDEX('Per Line'!$L$2:$L$4001,$X971))</f>
        <v/>
      </c>
      <c r="K971" s="20" t="str">
        <f aca="false">IF($X971="","",INDEX('Per Line'!$M$2:$M$4001,$X971))</f>
        <v/>
      </c>
      <c r="L971" s="22" t="str">
        <f aca="false">IF($X971="","",K971*V971/100)</f>
        <v/>
      </c>
      <c r="M971" s="20" t="str">
        <f aca="false">IF($X971="","",INDEX('Per Line'!$Z$2:$Z$4001,$X971))</f>
        <v/>
      </c>
      <c r="N971" s="23" t="str">
        <f aca="false">IF($X971="","",Settings!$C$7)</f>
        <v/>
      </c>
      <c r="O971" s="22" t="str">
        <f aca="false">IF($X971="","",SUMIFS('Per Line'!$Y$2:$Y$4001,'Per Line'!$D$2:$D$4001,$B971,'Per Line'!$AJ$2:$AJ$4001,0))</f>
        <v/>
      </c>
      <c r="P971" s="22" t="str">
        <f aca="false">IF($X971="","",O971*N971)</f>
        <v/>
      </c>
      <c r="Q971" s="23" t="str">
        <f aca="false">IF($X971="","",Settings!$C$6)</f>
        <v/>
      </c>
      <c r="R971" s="22" t="str">
        <f aca="false">IF($X971="","",SUMIFS('Per Line'!$Y$2:$Y$4001,'Per Line'!$D$2:$D$4001,$B971,'Per Line'!$AJ$2:$AJ$4001,1))</f>
        <v/>
      </c>
      <c r="S971" s="22" t="str">
        <f aca="false">IF($X971="","",R971*Q971)</f>
        <v/>
      </c>
      <c r="T971" s="22" t="str">
        <f aca="false">IF($X971="","",S971+P971)</f>
        <v/>
      </c>
      <c r="U971" s="22" t="str">
        <f aca="false">IF($X971="","",V971-T971)</f>
        <v/>
      </c>
      <c r="V971" s="22" t="str">
        <f aca="false">IF($X971="","",O971+R971)</f>
        <v/>
      </c>
      <c r="W971" s="22" t="str">
        <f aca="false">IF($X971="","",U971-L971)</f>
        <v/>
      </c>
      <c r="X971" s="24" t="str">
        <f aca="false">IF(ROWS($X$2:$X971)&lt;=MAX('Per Line'!$AI$2:$AI$4001),MATCH(ROWS($X$2:$X971),'Per Line'!$AI$2:$AI$4001,0),"")</f>
        <v/>
      </c>
    </row>
    <row r="972" customFormat="false" ht="15" hidden="false" customHeight="false" outlineLevel="0" collapsed="false">
      <c r="A972" s="19"/>
      <c r="B972" s="20" t="str">
        <f aca="false">IF($X972="","",INDEX('Per Line'!$D$2:$D$4001,$X972))</f>
        <v/>
      </c>
      <c r="C972" s="20" t="str">
        <f aca="false">IF($X972="","",INDEX('Per Line'!$C$2:$C$4001,$X972))</f>
        <v/>
      </c>
      <c r="D972" s="20" t="str">
        <f aca="false">IF($X972="","",INDEX('Per Line'!$A$2:$A$4001,$X972))</f>
        <v/>
      </c>
      <c r="E972" s="21" t="str">
        <f aca="false">IF($X972="","",INDEX('Per Line'!$F$2:$F$4001,$X972))</f>
        <v/>
      </c>
      <c r="F972" s="20" t="str">
        <f aca="false">IF($X972="","",INDEX('Per Line'!$G$2:$G$4001,$X972))</f>
        <v/>
      </c>
      <c r="G972" s="20" t="str">
        <f aca="false">IF($X972="","",INDEX('Per Line'!$I$2:$I$4001,$X972))</f>
        <v/>
      </c>
      <c r="H972" s="20" t="str">
        <f aca="false">IF($X972="","",INDEX('Per Line'!$J$2:$J$4001,$X972))</f>
        <v/>
      </c>
      <c r="I972" s="20" t="str">
        <f aca="false">IF($X972="","",INDEX('Per Line'!$K$2:$K$4001,$X972))</f>
        <v/>
      </c>
      <c r="J972" s="20" t="str">
        <f aca="false">IF($X972="","",INDEX('Per Line'!$L$2:$L$4001,$X972))</f>
        <v/>
      </c>
      <c r="K972" s="20" t="str">
        <f aca="false">IF($X972="","",INDEX('Per Line'!$M$2:$M$4001,$X972))</f>
        <v/>
      </c>
      <c r="L972" s="22" t="str">
        <f aca="false">IF($X972="","",K972*V972/100)</f>
        <v/>
      </c>
      <c r="M972" s="20" t="str">
        <f aca="false">IF($X972="","",INDEX('Per Line'!$Z$2:$Z$4001,$X972))</f>
        <v/>
      </c>
      <c r="N972" s="23" t="str">
        <f aca="false">IF($X972="","",Settings!$C$7)</f>
        <v/>
      </c>
      <c r="O972" s="22" t="str">
        <f aca="false">IF($X972="","",SUMIFS('Per Line'!$Y$2:$Y$4001,'Per Line'!$D$2:$D$4001,$B972,'Per Line'!$AJ$2:$AJ$4001,0))</f>
        <v/>
      </c>
      <c r="P972" s="22" t="str">
        <f aca="false">IF($X972="","",O972*N972)</f>
        <v/>
      </c>
      <c r="Q972" s="23" t="str">
        <f aca="false">IF($X972="","",Settings!$C$6)</f>
        <v/>
      </c>
      <c r="R972" s="22" t="str">
        <f aca="false">IF($X972="","",SUMIFS('Per Line'!$Y$2:$Y$4001,'Per Line'!$D$2:$D$4001,$B972,'Per Line'!$AJ$2:$AJ$4001,1))</f>
        <v/>
      </c>
      <c r="S972" s="22" t="str">
        <f aca="false">IF($X972="","",R972*Q972)</f>
        <v/>
      </c>
      <c r="T972" s="22" t="str">
        <f aca="false">IF($X972="","",S972+P972)</f>
        <v/>
      </c>
      <c r="U972" s="22" t="str">
        <f aca="false">IF($X972="","",V972-T972)</f>
        <v/>
      </c>
      <c r="V972" s="22" t="str">
        <f aca="false">IF($X972="","",O972+R972)</f>
        <v/>
      </c>
      <c r="W972" s="22" t="str">
        <f aca="false">IF($X972="","",U972-L972)</f>
        <v/>
      </c>
      <c r="X972" s="24" t="str">
        <f aca="false">IF(ROWS($X$2:$X972)&lt;=MAX('Per Line'!$AI$2:$AI$4001),MATCH(ROWS($X$2:$X972),'Per Line'!$AI$2:$AI$4001,0),"")</f>
        <v/>
      </c>
    </row>
    <row r="973" customFormat="false" ht="15" hidden="false" customHeight="false" outlineLevel="0" collapsed="false">
      <c r="A973" s="19"/>
      <c r="B973" s="20" t="str">
        <f aca="false">IF($X973="","",INDEX('Per Line'!$D$2:$D$4001,$X973))</f>
        <v/>
      </c>
      <c r="C973" s="20" t="str">
        <f aca="false">IF($X973="","",INDEX('Per Line'!$C$2:$C$4001,$X973))</f>
        <v/>
      </c>
      <c r="D973" s="20" t="str">
        <f aca="false">IF($X973="","",INDEX('Per Line'!$A$2:$A$4001,$X973))</f>
        <v/>
      </c>
      <c r="E973" s="21" t="str">
        <f aca="false">IF($X973="","",INDEX('Per Line'!$F$2:$F$4001,$X973))</f>
        <v/>
      </c>
      <c r="F973" s="20" t="str">
        <f aca="false">IF($X973="","",INDEX('Per Line'!$G$2:$G$4001,$X973))</f>
        <v/>
      </c>
      <c r="G973" s="20" t="str">
        <f aca="false">IF($X973="","",INDEX('Per Line'!$I$2:$I$4001,$X973))</f>
        <v/>
      </c>
      <c r="H973" s="20" t="str">
        <f aca="false">IF($X973="","",INDEX('Per Line'!$J$2:$J$4001,$X973))</f>
        <v/>
      </c>
      <c r="I973" s="20" t="str">
        <f aca="false">IF($X973="","",INDEX('Per Line'!$K$2:$K$4001,$X973))</f>
        <v/>
      </c>
      <c r="J973" s="20" t="str">
        <f aca="false">IF($X973="","",INDEX('Per Line'!$L$2:$L$4001,$X973))</f>
        <v/>
      </c>
      <c r="K973" s="20" t="str">
        <f aca="false">IF($X973="","",INDEX('Per Line'!$M$2:$M$4001,$X973))</f>
        <v/>
      </c>
      <c r="L973" s="22" t="str">
        <f aca="false">IF($X973="","",K973*V973/100)</f>
        <v/>
      </c>
      <c r="M973" s="20" t="str">
        <f aca="false">IF($X973="","",INDEX('Per Line'!$Z$2:$Z$4001,$X973))</f>
        <v/>
      </c>
      <c r="N973" s="23" t="str">
        <f aca="false">IF($X973="","",Settings!$C$7)</f>
        <v/>
      </c>
      <c r="O973" s="22" t="str">
        <f aca="false">IF($X973="","",SUMIFS('Per Line'!$Y$2:$Y$4001,'Per Line'!$D$2:$D$4001,$B973,'Per Line'!$AJ$2:$AJ$4001,0))</f>
        <v/>
      </c>
      <c r="P973" s="22" t="str">
        <f aca="false">IF($X973="","",O973*N973)</f>
        <v/>
      </c>
      <c r="Q973" s="23" t="str">
        <f aca="false">IF($X973="","",Settings!$C$6)</f>
        <v/>
      </c>
      <c r="R973" s="22" t="str">
        <f aca="false">IF($X973="","",SUMIFS('Per Line'!$Y$2:$Y$4001,'Per Line'!$D$2:$D$4001,$B973,'Per Line'!$AJ$2:$AJ$4001,1))</f>
        <v/>
      </c>
      <c r="S973" s="22" t="str">
        <f aca="false">IF($X973="","",R973*Q973)</f>
        <v/>
      </c>
      <c r="T973" s="22" t="str">
        <f aca="false">IF($X973="","",S973+P973)</f>
        <v/>
      </c>
      <c r="U973" s="22" t="str">
        <f aca="false">IF($X973="","",V973-T973)</f>
        <v/>
      </c>
      <c r="V973" s="22" t="str">
        <f aca="false">IF($X973="","",O973+R973)</f>
        <v/>
      </c>
      <c r="W973" s="22" t="str">
        <f aca="false">IF($X973="","",U973-L973)</f>
        <v/>
      </c>
      <c r="X973" s="24" t="str">
        <f aca="false">IF(ROWS($X$2:$X973)&lt;=MAX('Per Line'!$AI$2:$AI$4001),MATCH(ROWS($X$2:$X973),'Per Line'!$AI$2:$AI$4001,0),"")</f>
        <v/>
      </c>
    </row>
    <row r="974" customFormat="false" ht="15" hidden="false" customHeight="false" outlineLevel="0" collapsed="false">
      <c r="A974" s="19"/>
      <c r="B974" s="20" t="str">
        <f aca="false">IF($X974="","",INDEX('Per Line'!$D$2:$D$4001,$X974))</f>
        <v/>
      </c>
      <c r="C974" s="20" t="str">
        <f aca="false">IF($X974="","",INDEX('Per Line'!$C$2:$C$4001,$X974))</f>
        <v/>
      </c>
      <c r="D974" s="20" t="str">
        <f aca="false">IF($X974="","",INDEX('Per Line'!$A$2:$A$4001,$X974))</f>
        <v/>
      </c>
      <c r="E974" s="21" t="str">
        <f aca="false">IF($X974="","",INDEX('Per Line'!$F$2:$F$4001,$X974))</f>
        <v/>
      </c>
      <c r="F974" s="20" t="str">
        <f aca="false">IF($X974="","",INDEX('Per Line'!$G$2:$G$4001,$X974))</f>
        <v/>
      </c>
      <c r="G974" s="20" t="str">
        <f aca="false">IF($X974="","",INDEX('Per Line'!$I$2:$I$4001,$X974))</f>
        <v/>
      </c>
      <c r="H974" s="20" t="str">
        <f aca="false">IF($X974="","",INDEX('Per Line'!$J$2:$J$4001,$X974))</f>
        <v/>
      </c>
      <c r="I974" s="20" t="str">
        <f aca="false">IF($X974="","",INDEX('Per Line'!$K$2:$K$4001,$X974))</f>
        <v/>
      </c>
      <c r="J974" s="20" t="str">
        <f aca="false">IF($X974="","",INDEX('Per Line'!$L$2:$L$4001,$X974))</f>
        <v/>
      </c>
      <c r="K974" s="20" t="str">
        <f aca="false">IF($X974="","",INDEX('Per Line'!$M$2:$M$4001,$X974))</f>
        <v/>
      </c>
      <c r="L974" s="22" t="str">
        <f aca="false">IF($X974="","",K974*V974/100)</f>
        <v/>
      </c>
      <c r="M974" s="20" t="str">
        <f aca="false">IF($X974="","",INDEX('Per Line'!$Z$2:$Z$4001,$X974))</f>
        <v/>
      </c>
      <c r="N974" s="23" t="str">
        <f aca="false">IF($X974="","",Settings!$C$7)</f>
        <v/>
      </c>
      <c r="O974" s="22" t="str">
        <f aca="false">IF($X974="","",SUMIFS('Per Line'!$Y$2:$Y$4001,'Per Line'!$D$2:$D$4001,$B974,'Per Line'!$AJ$2:$AJ$4001,0))</f>
        <v/>
      </c>
      <c r="P974" s="22" t="str">
        <f aca="false">IF($X974="","",O974*N974)</f>
        <v/>
      </c>
      <c r="Q974" s="23" t="str">
        <f aca="false">IF($X974="","",Settings!$C$6)</f>
        <v/>
      </c>
      <c r="R974" s="22" t="str">
        <f aca="false">IF($X974="","",SUMIFS('Per Line'!$Y$2:$Y$4001,'Per Line'!$D$2:$D$4001,$B974,'Per Line'!$AJ$2:$AJ$4001,1))</f>
        <v/>
      </c>
      <c r="S974" s="22" t="str">
        <f aca="false">IF($X974="","",R974*Q974)</f>
        <v/>
      </c>
      <c r="T974" s="22" t="str">
        <f aca="false">IF($X974="","",S974+P974)</f>
        <v/>
      </c>
      <c r="U974" s="22" t="str">
        <f aca="false">IF($X974="","",V974-T974)</f>
        <v/>
      </c>
      <c r="V974" s="22" t="str">
        <f aca="false">IF($X974="","",O974+R974)</f>
        <v/>
      </c>
      <c r="W974" s="22" t="str">
        <f aca="false">IF($X974="","",U974-L974)</f>
        <v/>
      </c>
      <c r="X974" s="24" t="str">
        <f aca="false">IF(ROWS($X$2:$X974)&lt;=MAX('Per Line'!$AI$2:$AI$4001),MATCH(ROWS($X$2:$X974),'Per Line'!$AI$2:$AI$4001,0),"")</f>
        <v/>
      </c>
    </row>
    <row r="975" customFormat="false" ht="15" hidden="false" customHeight="false" outlineLevel="0" collapsed="false">
      <c r="A975" s="19"/>
      <c r="B975" s="20" t="str">
        <f aca="false">IF($X975="","",INDEX('Per Line'!$D$2:$D$4001,$X975))</f>
        <v/>
      </c>
      <c r="C975" s="20" t="str">
        <f aca="false">IF($X975="","",INDEX('Per Line'!$C$2:$C$4001,$X975))</f>
        <v/>
      </c>
      <c r="D975" s="20" t="str">
        <f aca="false">IF($X975="","",INDEX('Per Line'!$A$2:$A$4001,$X975))</f>
        <v/>
      </c>
      <c r="E975" s="21" t="str">
        <f aca="false">IF($X975="","",INDEX('Per Line'!$F$2:$F$4001,$X975))</f>
        <v/>
      </c>
      <c r="F975" s="20" t="str">
        <f aca="false">IF($X975="","",INDEX('Per Line'!$G$2:$G$4001,$X975))</f>
        <v/>
      </c>
      <c r="G975" s="20" t="str">
        <f aca="false">IF($X975="","",INDEX('Per Line'!$I$2:$I$4001,$X975))</f>
        <v/>
      </c>
      <c r="H975" s="20" t="str">
        <f aca="false">IF($X975="","",INDEX('Per Line'!$J$2:$J$4001,$X975))</f>
        <v/>
      </c>
      <c r="I975" s="20" t="str">
        <f aca="false">IF($X975="","",INDEX('Per Line'!$K$2:$K$4001,$X975))</f>
        <v/>
      </c>
      <c r="J975" s="20" t="str">
        <f aca="false">IF($X975="","",INDEX('Per Line'!$L$2:$L$4001,$X975))</f>
        <v/>
      </c>
      <c r="K975" s="20" t="str">
        <f aca="false">IF($X975="","",INDEX('Per Line'!$M$2:$M$4001,$X975))</f>
        <v/>
      </c>
      <c r="L975" s="22" t="str">
        <f aca="false">IF($X975="","",K975*V975/100)</f>
        <v/>
      </c>
      <c r="M975" s="20" t="str">
        <f aca="false">IF($X975="","",INDEX('Per Line'!$Z$2:$Z$4001,$X975))</f>
        <v/>
      </c>
      <c r="N975" s="23" t="str">
        <f aca="false">IF($X975="","",Settings!$C$7)</f>
        <v/>
      </c>
      <c r="O975" s="22" t="str">
        <f aca="false">IF($X975="","",SUMIFS('Per Line'!$Y$2:$Y$4001,'Per Line'!$D$2:$D$4001,$B975,'Per Line'!$AJ$2:$AJ$4001,0))</f>
        <v/>
      </c>
      <c r="P975" s="22" t="str">
        <f aca="false">IF($X975="","",O975*N975)</f>
        <v/>
      </c>
      <c r="Q975" s="23" t="str">
        <f aca="false">IF($X975="","",Settings!$C$6)</f>
        <v/>
      </c>
      <c r="R975" s="22" t="str">
        <f aca="false">IF($X975="","",SUMIFS('Per Line'!$Y$2:$Y$4001,'Per Line'!$D$2:$D$4001,$B975,'Per Line'!$AJ$2:$AJ$4001,1))</f>
        <v/>
      </c>
      <c r="S975" s="22" t="str">
        <f aca="false">IF($X975="","",R975*Q975)</f>
        <v/>
      </c>
      <c r="T975" s="22" t="str">
        <f aca="false">IF($X975="","",S975+P975)</f>
        <v/>
      </c>
      <c r="U975" s="22" t="str">
        <f aca="false">IF($X975="","",V975-T975)</f>
        <v/>
      </c>
      <c r="V975" s="22" t="str">
        <f aca="false">IF($X975="","",O975+R975)</f>
        <v/>
      </c>
      <c r="W975" s="22" t="str">
        <f aca="false">IF($X975="","",U975-L975)</f>
        <v/>
      </c>
      <c r="X975" s="24" t="str">
        <f aca="false">IF(ROWS($X$2:$X975)&lt;=MAX('Per Line'!$AI$2:$AI$4001),MATCH(ROWS($X$2:$X975),'Per Line'!$AI$2:$AI$4001,0),"")</f>
        <v/>
      </c>
    </row>
    <row r="976" customFormat="false" ht="15" hidden="false" customHeight="false" outlineLevel="0" collapsed="false">
      <c r="A976" s="19"/>
      <c r="B976" s="20" t="str">
        <f aca="false">IF($X976="","",INDEX('Per Line'!$D$2:$D$4001,$X976))</f>
        <v/>
      </c>
      <c r="C976" s="20" t="str">
        <f aca="false">IF($X976="","",INDEX('Per Line'!$C$2:$C$4001,$X976))</f>
        <v/>
      </c>
      <c r="D976" s="20" t="str">
        <f aca="false">IF($X976="","",INDEX('Per Line'!$A$2:$A$4001,$X976))</f>
        <v/>
      </c>
      <c r="E976" s="21" t="str">
        <f aca="false">IF($X976="","",INDEX('Per Line'!$F$2:$F$4001,$X976))</f>
        <v/>
      </c>
      <c r="F976" s="20" t="str">
        <f aca="false">IF($X976="","",INDEX('Per Line'!$G$2:$G$4001,$X976))</f>
        <v/>
      </c>
      <c r="G976" s="20" t="str">
        <f aca="false">IF($X976="","",INDEX('Per Line'!$I$2:$I$4001,$X976))</f>
        <v/>
      </c>
      <c r="H976" s="20" t="str">
        <f aca="false">IF($X976="","",INDEX('Per Line'!$J$2:$J$4001,$X976))</f>
        <v/>
      </c>
      <c r="I976" s="20" t="str">
        <f aca="false">IF($X976="","",INDEX('Per Line'!$K$2:$K$4001,$X976))</f>
        <v/>
      </c>
      <c r="J976" s="20" t="str">
        <f aca="false">IF($X976="","",INDEX('Per Line'!$L$2:$L$4001,$X976))</f>
        <v/>
      </c>
      <c r="K976" s="20" t="str">
        <f aca="false">IF($X976="","",INDEX('Per Line'!$M$2:$M$4001,$X976))</f>
        <v/>
      </c>
      <c r="L976" s="22" t="str">
        <f aca="false">IF($X976="","",K976*V976/100)</f>
        <v/>
      </c>
      <c r="M976" s="20" t="str">
        <f aca="false">IF($X976="","",INDEX('Per Line'!$Z$2:$Z$4001,$X976))</f>
        <v/>
      </c>
      <c r="N976" s="23" t="str">
        <f aca="false">IF($X976="","",Settings!$C$7)</f>
        <v/>
      </c>
      <c r="O976" s="22" t="str">
        <f aca="false">IF($X976="","",SUMIFS('Per Line'!$Y$2:$Y$4001,'Per Line'!$D$2:$D$4001,$B976,'Per Line'!$AJ$2:$AJ$4001,0))</f>
        <v/>
      </c>
      <c r="P976" s="22" t="str">
        <f aca="false">IF($X976="","",O976*N976)</f>
        <v/>
      </c>
      <c r="Q976" s="23" t="str">
        <f aca="false">IF($X976="","",Settings!$C$6)</f>
        <v/>
      </c>
      <c r="R976" s="22" t="str">
        <f aca="false">IF($X976="","",SUMIFS('Per Line'!$Y$2:$Y$4001,'Per Line'!$D$2:$D$4001,$B976,'Per Line'!$AJ$2:$AJ$4001,1))</f>
        <v/>
      </c>
      <c r="S976" s="22" t="str">
        <f aca="false">IF($X976="","",R976*Q976)</f>
        <v/>
      </c>
      <c r="T976" s="22" t="str">
        <f aca="false">IF($X976="","",S976+P976)</f>
        <v/>
      </c>
      <c r="U976" s="22" t="str">
        <f aca="false">IF($X976="","",V976-T976)</f>
        <v/>
      </c>
      <c r="V976" s="22" t="str">
        <f aca="false">IF($X976="","",O976+R976)</f>
        <v/>
      </c>
      <c r="W976" s="22" t="str">
        <f aca="false">IF($X976="","",U976-L976)</f>
        <v/>
      </c>
      <c r="X976" s="24" t="str">
        <f aca="false">IF(ROWS($X$2:$X976)&lt;=MAX('Per Line'!$AI$2:$AI$4001),MATCH(ROWS($X$2:$X976),'Per Line'!$AI$2:$AI$4001,0),"")</f>
        <v/>
      </c>
    </row>
    <row r="977" customFormat="false" ht="15" hidden="false" customHeight="false" outlineLevel="0" collapsed="false">
      <c r="A977" s="19"/>
      <c r="B977" s="20" t="str">
        <f aca="false">IF($X977="","",INDEX('Per Line'!$D$2:$D$4001,$X977))</f>
        <v/>
      </c>
      <c r="C977" s="20" t="str">
        <f aca="false">IF($X977="","",INDEX('Per Line'!$C$2:$C$4001,$X977))</f>
        <v/>
      </c>
      <c r="D977" s="20" t="str">
        <f aca="false">IF($X977="","",INDEX('Per Line'!$A$2:$A$4001,$X977))</f>
        <v/>
      </c>
      <c r="E977" s="21" t="str">
        <f aca="false">IF($X977="","",INDEX('Per Line'!$F$2:$F$4001,$X977))</f>
        <v/>
      </c>
      <c r="F977" s="20" t="str">
        <f aca="false">IF($X977="","",INDEX('Per Line'!$G$2:$G$4001,$X977))</f>
        <v/>
      </c>
      <c r="G977" s="20" t="str">
        <f aca="false">IF($X977="","",INDEX('Per Line'!$I$2:$I$4001,$X977))</f>
        <v/>
      </c>
      <c r="H977" s="20" t="str">
        <f aca="false">IF($X977="","",INDEX('Per Line'!$J$2:$J$4001,$X977))</f>
        <v/>
      </c>
      <c r="I977" s="20" t="str">
        <f aca="false">IF($X977="","",INDEX('Per Line'!$K$2:$K$4001,$X977))</f>
        <v/>
      </c>
      <c r="J977" s="20" t="str">
        <f aca="false">IF($X977="","",INDEX('Per Line'!$L$2:$L$4001,$X977))</f>
        <v/>
      </c>
      <c r="K977" s="20" t="str">
        <f aca="false">IF($X977="","",INDEX('Per Line'!$M$2:$M$4001,$X977))</f>
        <v/>
      </c>
      <c r="L977" s="22" t="str">
        <f aca="false">IF($X977="","",K977*V977/100)</f>
        <v/>
      </c>
      <c r="M977" s="20" t="str">
        <f aca="false">IF($X977="","",INDEX('Per Line'!$Z$2:$Z$4001,$X977))</f>
        <v/>
      </c>
      <c r="N977" s="23" t="str">
        <f aca="false">IF($X977="","",Settings!$C$7)</f>
        <v/>
      </c>
      <c r="O977" s="22" t="str">
        <f aca="false">IF($X977="","",SUMIFS('Per Line'!$Y$2:$Y$4001,'Per Line'!$D$2:$D$4001,$B977,'Per Line'!$AJ$2:$AJ$4001,0))</f>
        <v/>
      </c>
      <c r="P977" s="22" t="str">
        <f aca="false">IF($X977="","",O977*N977)</f>
        <v/>
      </c>
      <c r="Q977" s="23" t="str">
        <f aca="false">IF($X977="","",Settings!$C$6)</f>
        <v/>
      </c>
      <c r="R977" s="22" t="str">
        <f aca="false">IF($X977="","",SUMIFS('Per Line'!$Y$2:$Y$4001,'Per Line'!$D$2:$D$4001,$B977,'Per Line'!$AJ$2:$AJ$4001,1))</f>
        <v/>
      </c>
      <c r="S977" s="22" t="str">
        <f aca="false">IF($X977="","",R977*Q977)</f>
        <v/>
      </c>
      <c r="T977" s="22" t="str">
        <f aca="false">IF($X977="","",S977+P977)</f>
        <v/>
      </c>
      <c r="U977" s="22" t="str">
        <f aca="false">IF($X977="","",V977-T977)</f>
        <v/>
      </c>
      <c r="V977" s="22" t="str">
        <f aca="false">IF($X977="","",O977+R977)</f>
        <v/>
      </c>
      <c r="W977" s="22" t="str">
        <f aca="false">IF($X977="","",U977-L977)</f>
        <v/>
      </c>
      <c r="X977" s="24" t="str">
        <f aca="false">IF(ROWS($X$2:$X977)&lt;=MAX('Per Line'!$AI$2:$AI$4001),MATCH(ROWS($X$2:$X977),'Per Line'!$AI$2:$AI$4001,0),"")</f>
        <v/>
      </c>
    </row>
    <row r="978" customFormat="false" ht="15" hidden="false" customHeight="false" outlineLevel="0" collapsed="false">
      <c r="A978" s="19"/>
      <c r="B978" s="20" t="str">
        <f aca="false">IF($X978="","",INDEX('Per Line'!$D$2:$D$4001,$X978))</f>
        <v/>
      </c>
      <c r="C978" s="20" t="str">
        <f aca="false">IF($X978="","",INDEX('Per Line'!$C$2:$C$4001,$X978))</f>
        <v/>
      </c>
      <c r="D978" s="20" t="str">
        <f aca="false">IF($X978="","",INDEX('Per Line'!$A$2:$A$4001,$X978))</f>
        <v/>
      </c>
      <c r="E978" s="21" t="str">
        <f aca="false">IF($X978="","",INDEX('Per Line'!$F$2:$F$4001,$X978))</f>
        <v/>
      </c>
      <c r="F978" s="20" t="str">
        <f aca="false">IF($X978="","",INDEX('Per Line'!$G$2:$G$4001,$X978))</f>
        <v/>
      </c>
      <c r="G978" s="20" t="str">
        <f aca="false">IF($X978="","",INDEX('Per Line'!$I$2:$I$4001,$X978))</f>
        <v/>
      </c>
      <c r="H978" s="20" t="str">
        <f aca="false">IF($X978="","",INDEX('Per Line'!$J$2:$J$4001,$X978))</f>
        <v/>
      </c>
      <c r="I978" s="20" t="str">
        <f aca="false">IF($X978="","",INDEX('Per Line'!$K$2:$K$4001,$X978))</f>
        <v/>
      </c>
      <c r="J978" s="20" t="str">
        <f aca="false">IF($X978="","",INDEX('Per Line'!$L$2:$L$4001,$X978))</f>
        <v/>
      </c>
      <c r="K978" s="20" t="str">
        <f aca="false">IF($X978="","",INDEX('Per Line'!$M$2:$M$4001,$X978))</f>
        <v/>
      </c>
      <c r="L978" s="22" t="str">
        <f aca="false">IF($X978="","",K978*V978/100)</f>
        <v/>
      </c>
      <c r="M978" s="20" t="str">
        <f aca="false">IF($X978="","",INDEX('Per Line'!$Z$2:$Z$4001,$X978))</f>
        <v/>
      </c>
      <c r="N978" s="23" t="str">
        <f aca="false">IF($X978="","",Settings!$C$7)</f>
        <v/>
      </c>
      <c r="O978" s="22" t="str">
        <f aca="false">IF($X978="","",SUMIFS('Per Line'!$Y$2:$Y$4001,'Per Line'!$D$2:$D$4001,$B978,'Per Line'!$AJ$2:$AJ$4001,0))</f>
        <v/>
      </c>
      <c r="P978" s="22" t="str">
        <f aca="false">IF($X978="","",O978*N978)</f>
        <v/>
      </c>
      <c r="Q978" s="23" t="str">
        <f aca="false">IF($X978="","",Settings!$C$6)</f>
        <v/>
      </c>
      <c r="R978" s="22" t="str">
        <f aca="false">IF($X978="","",SUMIFS('Per Line'!$Y$2:$Y$4001,'Per Line'!$D$2:$D$4001,$B978,'Per Line'!$AJ$2:$AJ$4001,1))</f>
        <v/>
      </c>
      <c r="S978" s="22" t="str">
        <f aca="false">IF($X978="","",R978*Q978)</f>
        <v/>
      </c>
      <c r="T978" s="22" t="str">
        <f aca="false">IF($X978="","",S978+P978)</f>
        <v/>
      </c>
      <c r="U978" s="22" t="str">
        <f aca="false">IF($X978="","",V978-T978)</f>
        <v/>
      </c>
      <c r="V978" s="22" t="str">
        <f aca="false">IF($X978="","",O978+R978)</f>
        <v/>
      </c>
      <c r="W978" s="22" t="str">
        <f aca="false">IF($X978="","",U978-L978)</f>
        <v/>
      </c>
      <c r="X978" s="24" t="str">
        <f aca="false">IF(ROWS($X$2:$X978)&lt;=MAX('Per Line'!$AI$2:$AI$4001),MATCH(ROWS($X$2:$X978),'Per Line'!$AI$2:$AI$4001,0),"")</f>
        <v/>
      </c>
    </row>
    <row r="979" customFormat="false" ht="15" hidden="false" customHeight="false" outlineLevel="0" collapsed="false">
      <c r="A979" s="19"/>
      <c r="B979" s="20" t="str">
        <f aca="false">IF($X979="","",INDEX('Per Line'!$D$2:$D$4001,$X979))</f>
        <v/>
      </c>
      <c r="C979" s="20" t="str">
        <f aca="false">IF($X979="","",INDEX('Per Line'!$C$2:$C$4001,$X979))</f>
        <v/>
      </c>
      <c r="D979" s="20" t="str">
        <f aca="false">IF($X979="","",INDEX('Per Line'!$A$2:$A$4001,$X979))</f>
        <v/>
      </c>
      <c r="E979" s="21" t="str">
        <f aca="false">IF($X979="","",INDEX('Per Line'!$F$2:$F$4001,$X979))</f>
        <v/>
      </c>
      <c r="F979" s="20" t="str">
        <f aca="false">IF($X979="","",INDEX('Per Line'!$G$2:$G$4001,$X979))</f>
        <v/>
      </c>
      <c r="G979" s="20" t="str">
        <f aca="false">IF($X979="","",INDEX('Per Line'!$I$2:$I$4001,$X979))</f>
        <v/>
      </c>
      <c r="H979" s="20" t="str">
        <f aca="false">IF($X979="","",INDEX('Per Line'!$J$2:$J$4001,$X979))</f>
        <v/>
      </c>
      <c r="I979" s="20" t="str">
        <f aca="false">IF($X979="","",INDEX('Per Line'!$K$2:$K$4001,$X979))</f>
        <v/>
      </c>
      <c r="J979" s="20" t="str">
        <f aca="false">IF($X979="","",INDEX('Per Line'!$L$2:$L$4001,$X979))</f>
        <v/>
      </c>
      <c r="K979" s="20" t="str">
        <f aca="false">IF($X979="","",INDEX('Per Line'!$M$2:$M$4001,$X979))</f>
        <v/>
      </c>
      <c r="L979" s="22" t="str">
        <f aca="false">IF($X979="","",K979*V979/100)</f>
        <v/>
      </c>
      <c r="M979" s="20" t="str">
        <f aca="false">IF($X979="","",INDEX('Per Line'!$Z$2:$Z$4001,$X979))</f>
        <v/>
      </c>
      <c r="N979" s="23" t="str">
        <f aca="false">IF($X979="","",Settings!$C$7)</f>
        <v/>
      </c>
      <c r="O979" s="22" t="str">
        <f aca="false">IF($X979="","",SUMIFS('Per Line'!$Y$2:$Y$4001,'Per Line'!$D$2:$D$4001,$B979,'Per Line'!$AJ$2:$AJ$4001,0))</f>
        <v/>
      </c>
      <c r="P979" s="22" t="str">
        <f aca="false">IF($X979="","",O979*N979)</f>
        <v/>
      </c>
      <c r="Q979" s="23" t="str">
        <f aca="false">IF($X979="","",Settings!$C$6)</f>
        <v/>
      </c>
      <c r="R979" s="22" t="str">
        <f aca="false">IF($X979="","",SUMIFS('Per Line'!$Y$2:$Y$4001,'Per Line'!$D$2:$D$4001,$B979,'Per Line'!$AJ$2:$AJ$4001,1))</f>
        <v/>
      </c>
      <c r="S979" s="22" t="str">
        <f aca="false">IF($X979="","",R979*Q979)</f>
        <v/>
      </c>
      <c r="T979" s="22" t="str">
        <f aca="false">IF($X979="","",S979+P979)</f>
        <v/>
      </c>
      <c r="U979" s="22" t="str">
        <f aca="false">IF($X979="","",V979-T979)</f>
        <v/>
      </c>
      <c r="V979" s="22" t="str">
        <f aca="false">IF($X979="","",O979+R979)</f>
        <v/>
      </c>
      <c r="W979" s="22" t="str">
        <f aca="false">IF($X979="","",U979-L979)</f>
        <v/>
      </c>
      <c r="X979" s="24" t="str">
        <f aca="false">IF(ROWS($X$2:$X979)&lt;=MAX('Per Line'!$AI$2:$AI$4001),MATCH(ROWS($X$2:$X979),'Per Line'!$AI$2:$AI$4001,0),"")</f>
        <v/>
      </c>
    </row>
    <row r="980" customFormat="false" ht="15" hidden="false" customHeight="false" outlineLevel="0" collapsed="false">
      <c r="A980" s="19"/>
      <c r="B980" s="20" t="str">
        <f aca="false">IF($X980="","",INDEX('Per Line'!$D$2:$D$4001,$X980))</f>
        <v/>
      </c>
      <c r="C980" s="20" t="str">
        <f aca="false">IF($X980="","",INDEX('Per Line'!$C$2:$C$4001,$X980))</f>
        <v/>
      </c>
      <c r="D980" s="20" t="str">
        <f aca="false">IF($X980="","",INDEX('Per Line'!$A$2:$A$4001,$X980))</f>
        <v/>
      </c>
      <c r="E980" s="21" t="str">
        <f aca="false">IF($X980="","",INDEX('Per Line'!$F$2:$F$4001,$X980))</f>
        <v/>
      </c>
      <c r="F980" s="20" t="str">
        <f aca="false">IF($X980="","",INDEX('Per Line'!$G$2:$G$4001,$X980))</f>
        <v/>
      </c>
      <c r="G980" s="20" t="str">
        <f aca="false">IF($X980="","",INDEX('Per Line'!$I$2:$I$4001,$X980))</f>
        <v/>
      </c>
      <c r="H980" s="20" t="str">
        <f aca="false">IF($X980="","",INDEX('Per Line'!$J$2:$J$4001,$X980))</f>
        <v/>
      </c>
      <c r="I980" s="20" t="str">
        <f aca="false">IF($X980="","",INDEX('Per Line'!$K$2:$K$4001,$X980))</f>
        <v/>
      </c>
      <c r="J980" s="20" t="str">
        <f aca="false">IF($X980="","",INDEX('Per Line'!$L$2:$L$4001,$X980))</f>
        <v/>
      </c>
      <c r="K980" s="20" t="str">
        <f aca="false">IF($X980="","",INDEX('Per Line'!$M$2:$M$4001,$X980))</f>
        <v/>
      </c>
      <c r="L980" s="22" t="str">
        <f aca="false">IF($X980="","",K980*V980/100)</f>
        <v/>
      </c>
      <c r="M980" s="20" t="str">
        <f aca="false">IF($X980="","",INDEX('Per Line'!$Z$2:$Z$4001,$X980))</f>
        <v/>
      </c>
      <c r="N980" s="23" t="str">
        <f aca="false">IF($X980="","",Settings!$C$7)</f>
        <v/>
      </c>
      <c r="O980" s="22" t="str">
        <f aca="false">IF($X980="","",SUMIFS('Per Line'!$Y$2:$Y$4001,'Per Line'!$D$2:$D$4001,$B980,'Per Line'!$AJ$2:$AJ$4001,0))</f>
        <v/>
      </c>
      <c r="P980" s="22" t="str">
        <f aca="false">IF($X980="","",O980*N980)</f>
        <v/>
      </c>
      <c r="Q980" s="23" t="str">
        <f aca="false">IF($X980="","",Settings!$C$6)</f>
        <v/>
      </c>
      <c r="R980" s="22" t="str">
        <f aca="false">IF($X980="","",SUMIFS('Per Line'!$Y$2:$Y$4001,'Per Line'!$D$2:$D$4001,$B980,'Per Line'!$AJ$2:$AJ$4001,1))</f>
        <v/>
      </c>
      <c r="S980" s="22" t="str">
        <f aca="false">IF($X980="","",R980*Q980)</f>
        <v/>
      </c>
      <c r="T980" s="22" t="str">
        <f aca="false">IF($X980="","",S980+P980)</f>
        <v/>
      </c>
      <c r="U980" s="22" t="str">
        <f aca="false">IF($X980="","",V980-T980)</f>
        <v/>
      </c>
      <c r="V980" s="22" t="str">
        <f aca="false">IF($X980="","",O980+R980)</f>
        <v/>
      </c>
      <c r="W980" s="22" t="str">
        <f aca="false">IF($X980="","",U980-L980)</f>
        <v/>
      </c>
      <c r="X980" s="24" t="str">
        <f aca="false">IF(ROWS($X$2:$X980)&lt;=MAX('Per Line'!$AI$2:$AI$4001),MATCH(ROWS($X$2:$X980),'Per Line'!$AI$2:$AI$4001,0),"")</f>
        <v/>
      </c>
    </row>
    <row r="981" customFormat="false" ht="15" hidden="false" customHeight="false" outlineLevel="0" collapsed="false">
      <c r="A981" s="19"/>
      <c r="B981" s="20" t="str">
        <f aca="false">IF($X981="","",INDEX('Per Line'!$D$2:$D$4001,$X981))</f>
        <v/>
      </c>
      <c r="C981" s="20" t="str">
        <f aca="false">IF($X981="","",INDEX('Per Line'!$C$2:$C$4001,$X981))</f>
        <v/>
      </c>
      <c r="D981" s="20" t="str">
        <f aca="false">IF($X981="","",INDEX('Per Line'!$A$2:$A$4001,$X981))</f>
        <v/>
      </c>
      <c r="E981" s="21" t="str">
        <f aca="false">IF($X981="","",INDEX('Per Line'!$F$2:$F$4001,$X981))</f>
        <v/>
      </c>
      <c r="F981" s="20" t="str">
        <f aca="false">IF($X981="","",INDEX('Per Line'!$G$2:$G$4001,$X981))</f>
        <v/>
      </c>
      <c r="G981" s="20" t="str">
        <f aca="false">IF($X981="","",INDEX('Per Line'!$I$2:$I$4001,$X981))</f>
        <v/>
      </c>
      <c r="H981" s="20" t="str">
        <f aca="false">IF($X981="","",INDEX('Per Line'!$J$2:$J$4001,$X981))</f>
        <v/>
      </c>
      <c r="I981" s="20" t="str">
        <f aca="false">IF($X981="","",INDEX('Per Line'!$K$2:$K$4001,$X981))</f>
        <v/>
      </c>
      <c r="J981" s="20" t="str">
        <f aca="false">IF($X981="","",INDEX('Per Line'!$L$2:$L$4001,$X981))</f>
        <v/>
      </c>
      <c r="K981" s="20" t="str">
        <f aca="false">IF($X981="","",INDEX('Per Line'!$M$2:$M$4001,$X981))</f>
        <v/>
      </c>
      <c r="L981" s="22" t="str">
        <f aca="false">IF($X981="","",K981*V981/100)</f>
        <v/>
      </c>
      <c r="M981" s="20" t="str">
        <f aca="false">IF($X981="","",INDEX('Per Line'!$Z$2:$Z$4001,$X981))</f>
        <v/>
      </c>
      <c r="N981" s="23" t="str">
        <f aca="false">IF($X981="","",Settings!$C$7)</f>
        <v/>
      </c>
      <c r="O981" s="22" t="str">
        <f aca="false">IF($X981="","",SUMIFS('Per Line'!$Y$2:$Y$4001,'Per Line'!$D$2:$D$4001,$B981,'Per Line'!$AJ$2:$AJ$4001,0))</f>
        <v/>
      </c>
      <c r="P981" s="22" t="str">
        <f aca="false">IF($X981="","",O981*N981)</f>
        <v/>
      </c>
      <c r="Q981" s="23" t="str">
        <f aca="false">IF($X981="","",Settings!$C$6)</f>
        <v/>
      </c>
      <c r="R981" s="22" t="str">
        <f aca="false">IF($X981="","",SUMIFS('Per Line'!$Y$2:$Y$4001,'Per Line'!$D$2:$D$4001,$B981,'Per Line'!$AJ$2:$AJ$4001,1))</f>
        <v/>
      </c>
      <c r="S981" s="22" t="str">
        <f aca="false">IF($X981="","",R981*Q981)</f>
        <v/>
      </c>
      <c r="T981" s="22" t="str">
        <f aca="false">IF($X981="","",S981+P981)</f>
        <v/>
      </c>
      <c r="U981" s="22" t="str">
        <f aca="false">IF($X981="","",V981-T981)</f>
        <v/>
      </c>
      <c r="V981" s="22" t="str">
        <f aca="false">IF($X981="","",O981+R981)</f>
        <v/>
      </c>
      <c r="W981" s="22" t="str">
        <f aca="false">IF($X981="","",U981-L981)</f>
        <v/>
      </c>
      <c r="X981" s="24" t="str">
        <f aca="false">IF(ROWS($X$2:$X981)&lt;=MAX('Per Line'!$AI$2:$AI$4001),MATCH(ROWS($X$2:$X981),'Per Line'!$AI$2:$AI$4001,0),"")</f>
        <v/>
      </c>
    </row>
    <row r="982" customFormat="false" ht="15" hidden="false" customHeight="false" outlineLevel="0" collapsed="false">
      <c r="A982" s="19"/>
      <c r="B982" s="20" t="str">
        <f aca="false">IF($X982="","",INDEX('Per Line'!$D$2:$D$4001,$X982))</f>
        <v/>
      </c>
      <c r="C982" s="20" t="str">
        <f aca="false">IF($X982="","",INDEX('Per Line'!$C$2:$C$4001,$X982))</f>
        <v/>
      </c>
      <c r="D982" s="20" t="str">
        <f aca="false">IF($X982="","",INDEX('Per Line'!$A$2:$A$4001,$X982))</f>
        <v/>
      </c>
      <c r="E982" s="21" t="str">
        <f aca="false">IF($X982="","",INDEX('Per Line'!$F$2:$F$4001,$X982))</f>
        <v/>
      </c>
      <c r="F982" s="20" t="str">
        <f aca="false">IF($X982="","",INDEX('Per Line'!$G$2:$G$4001,$X982))</f>
        <v/>
      </c>
      <c r="G982" s="20" t="str">
        <f aca="false">IF($X982="","",INDEX('Per Line'!$I$2:$I$4001,$X982))</f>
        <v/>
      </c>
      <c r="H982" s="20" t="str">
        <f aca="false">IF($X982="","",INDEX('Per Line'!$J$2:$J$4001,$X982))</f>
        <v/>
      </c>
      <c r="I982" s="20" t="str">
        <f aca="false">IF($X982="","",INDEX('Per Line'!$K$2:$K$4001,$X982))</f>
        <v/>
      </c>
      <c r="J982" s="20" t="str">
        <f aca="false">IF($X982="","",INDEX('Per Line'!$L$2:$L$4001,$X982))</f>
        <v/>
      </c>
      <c r="K982" s="20" t="str">
        <f aca="false">IF($X982="","",INDEX('Per Line'!$M$2:$M$4001,$X982))</f>
        <v/>
      </c>
      <c r="L982" s="22" t="str">
        <f aca="false">IF($X982="","",K982*V982/100)</f>
        <v/>
      </c>
      <c r="M982" s="20" t="str">
        <f aca="false">IF($X982="","",INDEX('Per Line'!$Z$2:$Z$4001,$X982))</f>
        <v/>
      </c>
      <c r="N982" s="23" t="str">
        <f aca="false">IF($X982="","",Settings!$C$7)</f>
        <v/>
      </c>
      <c r="O982" s="22" t="str">
        <f aca="false">IF($X982="","",SUMIFS('Per Line'!$Y$2:$Y$4001,'Per Line'!$D$2:$D$4001,$B982,'Per Line'!$AJ$2:$AJ$4001,0))</f>
        <v/>
      </c>
      <c r="P982" s="22" t="str">
        <f aca="false">IF($X982="","",O982*N982)</f>
        <v/>
      </c>
      <c r="Q982" s="23" t="str">
        <f aca="false">IF($X982="","",Settings!$C$6)</f>
        <v/>
      </c>
      <c r="R982" s="22" t="str">
        <f aca="false">IF($X982="","",SUMIFS('Per Line'!$Y$2:$Y$4001,'Per Line'!$D$2:$D$4001,$B982,'Per Line'!$AJ$2:$AJ$4001,1))</f>
        <v/>
      </c>
      <c r="S982" s="22" t="str">
        <f aca="false">IF($X982="","",R982*Q982)</f>
        <v/>
      </c>
      <c r="T982" s="22" t="str">
        <f aca="false">IF($X982="","",S982+P982)</f>
        <v/>
      </c>
      <c r="U982" s="22" t="str">
        <f aca="false">IF($X982="","",V982-T982)</f>
        <v/>
      </c>
      <c r="V982" s="22" t="str">
        <f aca="false">IF($X982="","",O982+R982)</f>
        <v/>
      </c>
      <c r="W982" s="22" t="str">
        <f aca="false">IF($X982="","",U982-L982)</f>
        <v/>
      </c>
      <c r="X982" s="24" t="str">
        <f aca="false">IF(ROWS($X$2:$X982)&lt;=MAX('Per Line'!$AI$2:$AI$4001),MATCH(ROWS($X$2:$X982),'Per Line'!$AI$2:$AI$4001,0),"")</f>
        <v/>
      </c>
    </row>
    <row r="983" customFormat="false" ht="15" hidden="false" customHeight="false" outlineLevel="0" collapsed="false">
      <c r="A983" s="19"/>
      <c r="B983" s="20" t="str">
        <f aca="false">IF($X983="","",INDEX('Per Line'!$D$2:$D$4001,$X983))</f>
        <v/>
      </c>
      <c r="C983" s="20" t="str">
        <f aca="false">IF($X983="","",INDEX('Per Line'!$C$2:$C$4001,$X983))</f>
        <v/>
      </c>
      <c r="D983" s="20" t="str">
        <f aca="false">IF($X983="","",INDEX('Per Line'!$A$2:$A$4001,$X983))</f>
        <v/>
      </c>
      <c r="E983" s="21" t="str">
        <f aca="false">IF($X983="","",INDEX('Per Line'!$F$2:$F$4001,$X983))</f>
        <v/>
      </c>
      <c r="F983" s="20" t="str">
        <f aca="false">IF($X983="","",INDEX('Per Line'!$G$2:$G$4001,$X983))</f>
        <v/>
      </c>
      <c r="G983" s="20" t="str">
        <f aca="false">IF($X983="","",INDEX('Per Line'!$I$2:$I$4001,$X983))</f>
        <v/>
      </c>
      <c r="H983" s="20" t="str">
        <f aca="false">IF($X983="","",INDEX('Per Line'!$J$2:$J$4001,$X983))</f>
        <v/>
      </c>
      <c r="I983" s="20" t="str">
        <f aca="false">IF($X983="","",INDEX('Per Line'!$K$2:$K$4001,$X983))</f>
        <v/>
      </c>
      <c r="J983" s="20" t="str">
        <f aca="false">IF($X983="","",INDEX('Per Line'!$L$2:$L$4001,$X983))</f>
        <v/>
      </c>
      <c r="K983" s="20" t="str">
        <f aca="false">IF($X983="","",INDEX('Per Line'!$M$2:$M$4001,$X983))</f>
        <v/>
      </c>
      <c r="L983" s="22" t="str">
        <f aca="false">IF($X983="","",K983*V983/100)</f>
        <v/>
      </c>
      <c r="M983" s="20" t="str">
        <f aca="false">IF($X983="","",INDEX('Per Line'!$Z$2:$Z$4001,$X983))</f>
        <v/>
      </c>
      <c r="N983" s="23" t="str">
        <f aca="false">IF($X983="","",Settings!$C$7)</f>
        <v/>
      </c>
      <c r="O983" s="22" t="str">
        <f aca="false">IF($X983="","",SUMIFS('Per Line'!$Y$2:$Y$4001,'Per Line'!$D$2:$D$4001,$B983,'Per Line'!$AJ$2:$AJ$4001,0))</f>
        <v/>
      </c>
      <c r="P983" s="22" t="str">
        <f aca="false">IF($X983="","",O983*N983)</f>
        <v/>
      </c>
      <c r="Q983" s="23" t="str">
        <f aca="false">IF($X983="","",Settings!$C$6)</f>
        <v/>
      </c>
      <c r="R983" s="22" t="str">
        <f aca="false">IF($X983="","",SUMIFS('Per Line'!$Y$2:$Y$4001,'Per Line'!$D$2:$D$4001,$B983,'Per Line'!$AJ$2:$AJ$4001,1))</f>
        <v/>
      </c>
      <c r="S983" s="22" t="str">
        <f aca="false">IF($X983="","",R983*Q983)</f>
        <v/>
      </c>
      <c r="T983" s="22" t="str">
        <f aca="false">IF($X983="","",S983+P983)</f>
        <v/>
      </c>
      <c r="U983" s="22" t="str">
        <f aca="false">IF($X983="","",V983-T983)</f>
        <v/>
      </c>
      <c r="V983" s="22" t="str">
        <f aca="false">IF($X983="","",O983+R983)</f>
        <v/>
      </c>
      <c r="W983" s="22" t="str">
        <f aca="false">IF($X983="","",U983-L983)</f>
        <v/>
      </c>
      <c r="X983" s="24" t="str">
        <f aca="false">IF(ROWS($X$2:$X983)&lt;=MAX('Per Line'!$AI$2:$AI$4001),MATCH(ROWS($X$2:$X983),'Per Line'!$AI$2:$AI$4001,0),"")</f>
        <v/>
      </c>
    </row>
    <row r="984" customFormat="false" ht="15" hidden="false" customHeight="false" outlineLevel="0" collapsed="false">
      <c r="A984" s="19"/>
      <c r="B984" s="20" t="str">
        <f aca="false">IF($X984="","",INDEX('Per Line'!$D$2:$D$4001,$X984))</f>
        <v/>
      </c>
      <c r="C984" s="20" t="str">
        <f aca="false">IF($X984="","",INDEX('Per Line'!$C$2:$C$4001,$X984))</f>
        <v/>
      </c>
      <c r="D984" s="20" t="str">
        <f aca="false">IF($X984="","",INDEX('Per Line'!$A$2:$A$4001,$X984))</f>
        <v/>
      </c>
      <c r="E984" s="21" t="str">
        <f aca="false">IF($X984="","",INDEX('Per Line'!$F$2:$F$4001,$X984))</f>
        <v/>
      </c>
      <c r="F984" s="20" t="str">
        <f aca="false">IF($X984="","",INDEX('Per Line'!$G$2:$G$4001,$X984))</f>
        <v/>
      </c>
      <c r="G984" s="20" t="str">
        <f aca="false">IF($X984="","",INDEX('Per Line'!$I$2:$I$4001,$X984))</f>
        <v/>
      </c>
      <c r="H984" s="20" t="str">
        <f aca="false">IF($X984="","",INDEX('Per Line'!$J$2:$J$4001,$X984))</f>
        <v/>
      </c>
      <c r="I984" s="20" t="str">
        <f aca="false">IF($X984="","",INDEX('Per Line'!$K$2:$K$4001,$X984))</f>
        <v/>
      </c>
      <c r="J984" s="20" t="str">
        <f aca="false">IF($X984="","",INDEX('Per Line'!$L$2:$L$4001,$X984))</f>
        <v/>
      </c>
      <c r="K984" s="20" t="str">
        <f aca="false">IF($X984="","",INDEX('Per Line'!$M$2:$M$4001,$X984))</f>
        <v/>
      </c>
      <c r="L984" s="22" t="str">
        <f aca="false">IF($X984="","",K984*V984/100)</f>
        <v/>
      </c>
      <c r="M984" s="20" t="str">
        <f aca="false">IF($X984="","",INDEX('Per Line'!$Z$2:$Z$4001,$X984))</f>
        <v/>
      </c>
      <c r="N984" s="23" t="str">
        <f aca="false">IF($X984="","",Settings!$C$7)</f>
        <v/>
      </c>
      <c r="O984" s="22" t="str">
        <f aca="false">IF($X984="","",SUMIFS('Per Line'!$Y$2:$Y$4001,'Per Line'!$D$2:$D$4001,$B984,'Per Line'!$AJ$2:$AJ$4001,0))</f>
        <v/>
      </c>
      <c r="P984" s="22" t="str">
        <f aca="false">IF($X984="","",O984*N984)</f>
        <v/>
      </c>
      <c r="Q984" s="23" t="str">
        <f aca="false">IF($X984="","",Settings!$C$6)</f>
        <v/>
      </c>
      <c r="R984" s="22" t="str">
        <f aca="false">IF($X984="","",SUMIFS('Per Line'!$Y$2:$Y$4001,'Per Line'!$D$2:$D$4001,$B984,'Per Line'!$AJ$2:$AJ$4001,1))</f>
        <v/>
      </c>
      <c r="S984" s="22" t="str">
        <f aca="false">IF($X984="","",R984*Q984)</f>
        <v/>
      </c>
      <c r="T984" s="22" t="str">
        <f aca="false">IF($X984="","",S984+P984)</f>
        <v/>
      </c>
      <c r="U984" s="22" t="str">
        <f aca="false">IF($X984="","",V984-T984)</f>
        <v/>
      </c>
      <c r="V984" s="22" t="str">
        <f aca="false">IF($X984="","",O984+R984)</f>
        <v/>
      </c>
      <c r="W984" s="22" t="str">
        <f aca="false">IF($X984="","",U984-L984)</f>
        <v/>
      </c>
      <c r="X984" s="24" t="str">
        <f aca="false">IF(ROWS($X$2:$X984)&lt;=MAX('Per Line'!$AI$2:$AI$4001),MATCH(ROWS($X$2:$X984),'Per Line'!$AI$2:$AI$4001,0),"")</f>
        <v/>
      </c>
    </row>
    <row r="985" customFormat="false" ht="15" hidden="false" customHeight="false" outlineLevel="0" collapsed="false">
      <c r="A985" s="19"/>
      <c r="B985" s="20" t="str">
        <f aca="false">IF($X985="","",INDEX('Per Line'!$D$2:$D$4001,$X985))</f>
        <v/>
      </c>
      <c r="C985" s="20" t="str">
        <f aca="false">IF($X985="","",INDEX('Per Line'!$C$2:$C$4001,$X985))</f>
        <v/>
      </c>
      <c r="D985" s="20" t="str">
        <f aca="false">IF($X985="","",INDEX('Per Line'!$A$2:$A$4001,$X985))</f>
        <v/>
      </c>
      <c r="E985" s="21" t="str">
        <f aca="false">IF($X985="","",INDEX('Per Line'!$F$2:$F$4001,$X985))</f>
        <v/>
      </c>
      <c r="F985" s="20" t="str">
        <f aca="false">IF($X985="","",INDEX('Per Line'!$G$2:$G$4001,$X985))</f>
        <v/>
      </c>
      <c r="G985" s="20" t="str">
        <f aca="false">IF($X985="","",INDEX('Per Line'!$I$2:$I$4001,$X985))</f>
        <v/>
      </c>
      <c r="H985" s="20" t="str">
        <f aca="false">IF($X985="","",INDEX('Per Line'!$J$2:$J$4001,$X985))</f>
        <v/>
      </c>
      <c r="I985" s="20" t="str">
        <f aca="false">IF($X985="","",INDEX('Per Line'!$K$2:$K$4001,$X985))</f>
        <v/>
      </c>
      <c r="J985" s="20" t="str">
        <f aca="false">IF($X985="","",INDEX('Per Line'!$L$2:$L$4001,$X985))</f>
        <v/>
      </c>
      <c r="K985" s="20" t="str">
        <f aca="false">IF($X985="","",INDEX('Per Line'!$M$2:$M$4001,$X985))</f>
        <v/>
      </c>
      <c r="L985" s="22" t="str">
        <f aca="false">IF($X985="","",K985*V985/100)</f>
        <v/>
      </c>
      <c r="M985" s="20" t="str">
        <f aca="false">IF($X985="","",INDEX('Per Line'!$Z$2:$Z$4001,$X985))</f>
        <v/>
      </c>
      <c r="N985" s="23" t="str">
        <f aca="false">IF($X985="","",Settings!$C$7)</f>
        <v/>
      </c>
      <c r="O985" s="22" t="str">
        <f aca="false">IF($X985="","",SUMIFS('Per Line'!$Y$2:$Y$4001,'Per Line'!$D$2:$D$4001,$B985,'Per Line'!$AJ$2:$AJ$4001,0))</f>
        <v/>
      </c>
      <c r="P985" s="22" t="str">
        <f aca="false">IF($X985="","",O985*N985)</f>
        <v/>
      </c>
      <c r="Q985" s="23" t="str">
        <f aca="false">IF($X985="","",Settings!$C$6)</f>
        <v/>
      </c>
      <c r="R985" s="22" t="str">
        <f aca="false">IF($X985="","",SUMIFS('Per Line'!$Y$2:$Y$4001,'Per Line'!$D$2:$D$4001,$B985,'Per Line'!$AJ$2:$AJ$4001,1))</f>
        <v/>
      </c>
      <c r="S985" s="22" t="str">
        <f aca="false">IF($X985="","",R985*Q985)</f>
        <v/>
      </c>
      <c r="T985" s="22" t="str">
        <f aca="false">IF($X985="","",S985+P985)</f>
        <v/>
      </c>
      <c r="U985" s="22" t="str">
        <f aca="false">IF($X985="","",V985-T985)</f>
        <v/>
      </c>
      <c r="V985" s="22" t="str">
        <f aca="false">IF($X985="","",O985+R985)</f>
        <v/>
      </c>
      <c r="W985" s="22" t="str">
        <f aca="false">IF($X985="","",U985-L985)</f>
        <v/>
      </c>
      <c r="X985" s="24" t="str">
        <f aca="false">IF(ROWS($X$2:$X985)&lt;=MAX('Per Line'!$AI$2:$AI$4001),MATCH(ROWS($X$2:$X985),'Per Line'!$AI$2:$AI$4001,0),"")</f>
        <v/>
      </c>
    </row>
    <row r="986" customFormat="false" ht="15" hidden="false" customHeight="false" outlineLevel="0" collapsed="false">
      <c r="A986" s="19"/>
      <c r="B986" s="20" t="str">
        <f aca="false">IF($X986="","",INDEX('Per Line'!$D$2:$D$4001,$X986))</f>
        <v/>
      </c>
      <c r="C986" s="20" t="str">
        <f aca="false">IF($X986="","",INDEX('Per Line'!$C$2:$C$4001,$X986))</f>
        <v/>
      </c>
      <c r="D986" s="20" t="str">
        <f aca="false">IF($X986="","",INDEX('Per Line'!$A$2:$A$4001,$X986))</f>
        <v/>
      </c>
      <c r="E986" s="21" t="str">
        <f aca="false">IF($X986="","",INDEX('Per Line'!$F$2:$F$4001,$X986))</f>
        <v/>
      </c>
      <c r="F986" s="20" t="str">
        <f aca="false">IF($X986="","",INDEX('Per Line'!$G$2:$G$4001,$X986))</f>
        <v/>
      </c>
      <c r="G986" s="20" t="str">
        <f aca="false">IF($X986="","",INDEX('Per Line'!$I$2:$I$4001,$X986))</f>
        <v/>
      </c>
      <c r="H986" s="20" t="str">
        <f aca="false">IF($X986="","",INDEX('Per Line'!$J$2:$J$4001,$X986))</f>
        <v/>
      </c>
      <c r="I986" s="20" t="str">
        <f aca="false">IF($X986="","",INDEX('Per Line'!$K$2:$K$4001,$X986))</f>
        <v/>
      </c>
      <c r="J986" s="20" t="str">
        <f aca="false">IF($X986="","",INDEX('Per Line'!$L$2:$L$4001,$X986))</f>
        <v/>
      </c>
      <c r="K986" s="20" t="str">
        <f aca="false">IF($X986="","",INDEX('Per Line'!$M$2:$M$4001,$X986))</f>
        <v/>
      </c>
      <c r="L986" s="22" t="str">
        <f aca="false">IF($X986="","",K986*V986/100)</f>
        <v/>
      </c>
      <c r="M986" s="20" t="str">
        <f aca="false">IF($X986="","",INDEX('Per Line'!$Z$2:$Z$4001,$X986))</f>
        <v/>
      </c>
      <c r="N986" s="23" t="str">
        <f aca="false">IF($X986="","",Settings!$C$7)</f>
        <v/>
      </c>
      <c r="O986" s="22" t="str">
        <f aca="false">IF($X986="","",SUMIFS('Per Line'!$Y$2:$Y$4001,'Per Line'!$D$2:$D$4001,$B986,'Per Line'!$AJ$2:$AJ$4001,0))</f>
        <v/>
      </c>
      <c r="P986" s="22" t="str">
        <f aca="false">IF($X986="","",O986*N986)</f>
        <v/>
      </c>
      <c r="Q986" s="23" t="str">
        <f aca="false">IF($X986="","",Settings!$C$6)</f>
        <v/>
      </c>
      <c r="R986" s="22" t="str">
        <f aca="false">IF($X986="","",SUMIFS('Per Line'!$Y$2:$Y$4001,'Per Line'!$D$2:$D$4001,$B986,'Per Line'!$AJ$2:$AJ$4001,1))</f>
        <v/>
      </c>
      <c r="S986" s="22" t="str">
        <f aca="false">IF($X986="","",R986*Q986)</f>
        <v/>
      </c>
      <c r="T986" s="22" t="str">
        <f aca="false">IF($X986="","",S986+P986)</f>
        <v/>
      </c>
      <c r="U986" s="22" t="str">
        <f aca="false">IF($X986="","",V986-T986)</f>
        <v/>
      </c>
      <c r="V986" s="22" t="str">
        <f aca="false">IF($X986="","",O986+R986)</f>
        <v/>
      </c>
      <c r="W986" s="22" t="str">
        <f aca="false">IF($X986="","",U986-L986)</f>
        <v/>
      </c>
      <c r="X986" s="24" t="str">
        <f aca="false">IF(ROWS($X$2:$X986)&lt;=MAX('Per Line'!$AI$2:$AI$4001),MATCH(ROWS($X$2:$X986),'Per Line'!$AI$2:$AI$4001,0),"")</f>
        <v/>
      </c>
    </row>
    <row r="987" customFormat="false" ht="15" hidden="false" customHeight="false" outlineLevel="0" collapsed="false">
      <c r="A987" s="19"/>
      <c r="B987" s="20" t="str">
        <f aca="false">IF($X987="","",INDEX('Per Line'!$D$2:$D$4001,$X987))</f>
        <v/>
      </c>
      <c r="C987" s="20" t="str">
        <f aca="false">IF($X987="","",INDEX('Per Line'!$C$2:$C$4001,$X987))</f>
        <v/>
      </c>
      <c r="D987" s="20" t="str">
        <f aca="false">IF($X987="","",INDEX('Per Line'!$A$2:$A$4001,$X987))</f>
        <v/>
      </c>
      <c r="E987" s="21" t="str">
        <f aca="false">IF($X987="","",INDEX('Per Line'!$F$2:$F$4001,$X987))</f>
        <v/>
      </c>
      <c r="F987" s="20" t="str">
        <f aca="false">IF($X987="","",INDEX('Per Line'!$G$2:$G$4001,$X987))</f>
        <v/>
      </c>
      <c r="G987" s="20" t="str">
        <f aca="false">IF($X987="","",INDEX('Per Line'!$I$2:$I$4001,$X987))</f>
        <v/>
      </c>
      <c r="H987" s="20" t="str">
        <f aca="false">IF($X987="","",INDEX('Per Line'!$J$2:$J$4001,$X987))</f>
        <v/>
      </c>
      <c r="I987" s="20" t="str">
        <f aca="false">IF($X987="","",INDEX('Per Line'!$K$2:$K$4001,$X987))</f>
        <v/>
      </c>
      <c r="J987" s="20" t="str">
        <f aca="false">IF($X987="","",INDEX('Per Line'!$L$2:$L$4001,$X987))</f>
        <v/>
      </c>
      <c r="K987" s="20" t="str">
        <f aca="false">IF($X987="","",INDEX('Per Line'!$M$2:$M$4001,$X987))</f>
        <v/>
      </c>
      <c r="L987" s="22" t="str">
        <f aca="false">IF($X987="","",K987*V987/100)</f>
        <v/>
      </c>
      <c r="M987" s="20" t="str">
        <f aca="false">IF($X987="","",INDEX('Per Line'!$Z$2:$Z$4001,$X987))</f>
        <v/>
      </c>
      <c r="N987" s="23" t="str">
        <f aca="false">IF($X987="","",Settings!$C$7)</f>
        <v/>
      </c>
      <c r="O987" s="22" t="str">
        <f aca="false">IF($X987="","",SUMIFS('Per Line'!$Y$2:$Y$4001,'Per Line'!$D$2:$D$4001,$B987,'Per Line'!$AJ$2:$AJ$4001,0))</f>
        <v/>
      </c>
      <c r="P987" s="22" t="str">
        <f aca="false">IF($X987="","",O987*N987)</f>
        <v/>
      </c>
      <c r="Q987" s="23" t="str">
        <f aca="false">IF($X987="","",Settings!$C$6)</f>
        <v/>
      </c>
      <c r="R987" s="22" t="str">
        <f aca="false">IF($X987="","",SUMIFS('Per Line'!$Y$2:$Y$4001,'Per Line'!$D$2:$D$4001,$B987,'Per Line'!$AJ$2:$AJ$4001,1))</f>
        <v/>
      </c>
      <c r="S987" s="22" t="str">
        <f aca="false">IF($X987="","",R987*Q987)</f>
        <v/>
      </c>
      <c r="T987" s="22" t="str">
        <f aca="false">IF($X987="","",S987+P987)</f>
        <v/>
      </c>
      <c r="U987" s="22" t="str">
        <f aca="false">IF($X987="","",V987-T987)</f>
        <v/>
      </c>
      <c r="V987" s="22" t="str">
        <f aca="false">IF($X987="","",O987+R987)</f>
        <v/>
      </c>
      <c r="W987" s="22" t="str">
        <f aca="false">IF($X987="","",U987-L987)</f>
        <v/>
      </c>
      <c r="X987" s="24" t="str">
        <f aca="false">IF(ROWS($X$2:$X987)&lt;=MAX('Per Line'!$AI$2:$AI$4001),MATCH(ROWS($X$2:$X987),'Per Line'!$AI$2:$AI$4001,0),"")</f>
        <v/>
      </c>
    </row>
    <row r="988" customFormat="false" ht="15" hidden="false" customHeight="false" outlineLevel="0" collapsed="false">
      <c r="A988" s="19"/>
      <c r="B988" s="20" t="str">
        <f aca="false">IF($X988="","",INDEX('Per Line'!$D$2:$D$4001,$X988))</f>
        <v/>
      </c>
      <c r="C988" s="20" t="str">
        <f aca="false">IF($X988="","",INDEX('Per Line'!$C$2:$C$4001,$X988))</f>
        <v/>
      </c>
      <c r="D988" s="20" t="str">
        <f aca="false">IF($X988="","",INDEX('Per Line'!$A$2:$A$4001,$X988))</f>
        <v/>
      </c>
      <c r="E988" s="21" t="str">
        <f aca="false">IF($X988="","",INDEX('Per Line'!$F$2:$F$4001,$X988))</f>
        <v/>
      </c>
      <c r="F988" s="20" t="str">
        <f aca="false">IF($X988="","",INDEX('Per Line'!$G$2:$G$4001,$X988))</f>
        <v/>
      </c>
      <c r="G988" s="20" t="str">
        <f aca="false">IF($X988="","",INDEX('Per Line'!$I$2:$I$4001,$X988))</f>
        <v/>
      </c>
      <c r="H988" s="20" t="str">
        <f aca="false">IF($X988="","",INDEX('Per Line'!$J$2:$J$4001,$X988))</f>
        <v/>
      </c>
      <c r="I988" s="20" t="str">
        <f aca="false">IF($X988="","",INDEX('Per Line'!$K$2:$K$4001,$X988))</f>
        <v/>
      </c>
      <c r="J988" s="20" t="str">
        <f aca="false">IF($X988="","",INDEX('Per Line'!$L$2:$L$4001,$X988))</f>
        <v/>
      </c>
      <c r="K988" s="20" t="str">
        <f aca="false">IF($X988="","",INDEX('Per Line'!$M$2:$M$4001,$X988))</f>
        <v/>
      </c>
      <c r="L988" s="22" t="str">
        <f aca="false">IF($X988="","",K988*V988/100)</f>
        <v/>
      </c>
      <c r="M988" s="20" t="str">
        <f aca="false">IF($X988="","",INDEX('Per Line'!$Z$2:$Z$4001,$X988))</f>
        <v/>
      </c>
      <c r="N988" s="23" t="str">
        <f aca="false">IF($X988="","",Settings!$C$7)</f>
        <v/>
      </c>
      <c r="O988" s="22" t="str">
        <f aca="false">IF($X988="","",SUMIFS('Per Line'!$Y$2:$Y$4001,'Per Line'!$D$2:$D$4001,$B988,'Per Line'!$AJ$2:$AJ$4001,0))</f>
        <v/>
      </c>
      <c r="P988" s="22" t="str">
        <f aca="false">IF($X988="","",O988*N988)</f>
        <v/>
      </c>
      <c r="Q988" s="23" t="str">
        <f aca="false">IF($X988="","",Settings!$C$6)</f>
        <v/>
      </c>
      <c r="R988" s="22" t="str">
        <f aca="false">IF($X988="","",SUMIFS('Per Line'!$Y$2:$Y$4001,'Per Line'!$D$2:$D$4001,$B988,'Per Line'!$AJ$2:$AJ$4001,1))</f>
        <v/>
      </c>
      <c r="S988" s="22" t="str">
        <f aca="false">IF($X988="","",R988*Q988)</f>
        <v/>
      </c>
      <c r="T988" s="22" t="str">
        <f aca="false">IF($X988="","",S988+P988)</f>
        <v/>
      </c>
      <c r="U988" s="22" t="str">
        <f aca="false">IF($X988="","",V988-T988)</f>
        <v/>
      </c>
      <c r="V988" s="22" t="str">
        <f aca="false">IF($X988="","",O988+R988)</f>
        <v/>
      </c>
      <c r="W988" s="22" t="str">
        <f aca="false">IF($X988="","",U988-L988)</f>
        <v/>
      </c>
      <c r="X988" s="24" t="str">
        <f aca="false">IF(ROWS($X$2:$X988)&lt;=MAX('Per Line'!$AI$2:$AI$4001),MATCH(ROWS($X$2:$X988),'Per Line'!$AI$2:$AI$4001,0),"")</f>
        <v/>
      </c>
    </row>
    <row r="989" customFormat="false" ht="15" hidden="false" customHeight="false" outlineLevel="0" collapsed="false">
      <c r="A989" s="19"/>
      <c r="B989" s="20" t="str">
        <f aca="false">IF($X989="","",INDEX('Per Line'!$D$2:$D$4001,$X989))</f>
        <v/>
      </c>
      <c r="C989" s="20" t="str">
        <f aca="false">IF($X989="","",INDEX('Per Line'!$C$2:$C$4001,$X989))</f>
        <v/>
      </c>
      <c r="D989" s="20" t="str">
        <f aca="false">IF($X989="","",INDEX('Per Line'!$A$2:$A$4001,$X989))</f>
        <v/>
      </c>
      <c r="E989" s="21" t="str">
        <f aca="false">IF($X989="","",INDEX('Per Line'!$F$2:$F$4001,$X989))</f>
        <v/>
      </c>
      <c r="F989" s="20" t="str">
        <f aca="false">IF($X989="","",INDEX('Per Line'!$G$2:$G$4001,$X989))</f>
        <v/>
      </c>
      <c r="G989" s="20" t="str">
        <f aca="false">IF($X989="","",INDEX('Per Line'!$I$2:$I$4001,$X989))</f>
        <v/>
      </c>
      <c r="H989" s="20" t="str">
        <f aca="false">IF($X989="","",INDEX('Per Line'!$J$2:$J$4001,$X989))</f>
        <v/>
      </c>
      <c r="I989" s="20" t="str">
        <f aca="false">IF($X989="","",INDEX('Per Line'!$K$2:$K$4001,$X989))</f>
        <v/>
      </c>
      <c r="J989" s="20" t="str">
        <f aca="false">IF($X989="","",INDEX('Per Line'!$L$2:$L$4001,$X989))</f>
        <v/>
      </c>
      <c r="K989" s="20" t="str">
        <f aca="false">IF($X989="","",INDEX('Per Line'!$M$2:$M$4001,$X989))</f>
        <v/>
      </c>
      <c r="L989" s="22" t="str">
        <f aca="false">IF($X989="","",K989*V989/100)</f>
        <v/>
      </c>
      <c r="M989" s="20" t="str">
        <f aca="false">IF($X989="","",INDEX('Per Line'!$Z$2:$Z$4001,$X989))</f>
        <v/>
      </c>
      <c r="N989" s="23" t="str">
        <f aca="false">IF($X989="","",Settings!$C$7)</f>
        <v/>
      </c>
      <c r="O989" s="22" t="str">
        <f aca="false">IF($X989="","",SUMIFS('Per Line'!$Y$2:$Y$4001,'Per Line'!$D$2:$D$4001,$B989,'Per Line'!$AJ$2:$AJ$4001,0))</f>
        <v/>
      </c>
      <c r="P989" s="22" t="str">
        <f aca="false">IF($X989="","",O989*N989)</f>
        <v/>
      </c>
      <c r="Q989" s="23" t="str">
        <f aca="false">IF($X989="","",Settings!$C$6)</f>
        <v/>
      </c>
      <c r="R989" s="22" t="str">
        <f aca="false">IF($X989="","",SUMIFS('Per Line'!$Y$2:$Y$4001,'Per Line'!$D$2:$D$4001,$B989,'Per Line'!$AJ$2:$AJ$4001,1))</f>
        <v/>
      </c>
      <c r="S989" s="22" t="str">
        <f aca="false">IF($X989="","",R989*Q989)</f>
        <v/>
      </c>
      <c r="T989" s="22" t="str">
        <f aca="false">IF($X989="","",S989+P989)</f>
        <v/>
      </c>
      <c r="U989" s="22" t="str">
        <f aca="false">IF($X989="","",V989-T989)</f>
        <v/>
      </c>
      <c r="V989" s="22" t="str">
        <f aca="false">IF($X989="","",O989+R989)</f>
        <v/>
      </c>
      <c r="W989" s="22" t="str">
        <f aca="false">IF($X989="","",U989-L989)</f>
        <v/>
      </c>
      <c r="X989" s="24" t="str">
        <f aca="false">IF(ROWS($X$2:$X989)&lt;=MAX('Per Line'!$AI$2:$AI$4001),MATCH(ROWS($X$2:$X989),'Per Line'!$AI$2:$AI$4001,0),"")</f>
        <v/>
      </c>
    </row>
    <row r="990" customFormat="false" ht="15" hidden="false" customHeight="false" outlineLevel="0" collapsed="false">
      <c r="A990" s="19"/>
      <c r="B990" s="20" t="str">
        <f aca="false">IF($X990="","",INDEX('Per Line'!$D$2:$D$4001,$X990))</f>
        <v/>
      </c>
      <c r="C990" s="20" t="str">
        <f aca="false">IF($X990="","",INDEX('Per Line'!$C$2:$C$4001,$X990))</f>
        <v/>
      </c>
      <c r="D990" s="20" t="str">
        <f aca="false">IF($X990="","",INDEX('Per Line'!$A$2:$A$4001,$X990))</f>
        <v/>
      </c>
      <c r="E990" s="21" t="str">
        <f aca="false">IF($X990="","",INDEX('Per Line'!$F$2:$F$4001,$X990))</f>
        <v/>
      </c>
      <c r="F990" s="20" t="str">
        <f aca="false">IF($X990="","",INDEX('Per Line'!$G$2:$G$4001,$X990))</f>
        <v/>
      </c>
      <c r="G990" s="20" t="str">
        <f aca="false">IF($X990="","",INDEX('Per Line'!$I$2:$I$4001,$X990))</f>
        <v/>
      </c>
      <c r="H990" s="20" t="str">
        <f aca="false">IF($X990="","",INDEX('Per Line'!$J$2:$J$4001,$X990))</f>
        <v/>
      </c>
      <c r="I990" s="20" t="str">
        <f aca="false">IF($X990="","",INDEX('Per Line'!$K$2:$K$4001,$X990))</f>
        <v/>
      </c>
      <c r="J990" s="20" t="str">
        <f aca="false">IF($X990="","",INDEX('Per Line'!$L$2:$L$4001,$X990))</f>
        <v/>
      </c>
      <c r="K990" s="20" t="str">
        <f aca="false">IF($X990="","",INDEX('Per Line'!$M$2:$M$4001,$X990))</f>
        <v/>
      </c>
      <c r="L990" s="22" t="str">
        <f aca="false">IF($X990="","",K990*V990/100)</f>
        <v/>
      </c>
      <c r="M990" s="20" t="str">
        <f aca="false">IF($X990="","",INDEX('Per Line'!$Z$2:$Z$4001,$X990))</f>
        <v/>
      </c>
      <c r="N990" s="23" t="str">
        <f aca="false">IF($X990="","",Settings!$C$7)</f>
        <v/>
      </c>
      <c r="O990" s="22" t="str">
        <f aca="false">IF($X990="","",SUMIFS('Per Line'!$Y$2:$Y$4001,'Per Line'!$D$2:$D$4001,$B990,'Per Line'!$AJ$2:$AJ$4001,0))</f>
        <v/>
      </c>
      <c r="P990" s="22" t="str">
        <f aca="false">IF($X990="","",O990*N990)</f>
        <v/>
      </c>
      <c r="Q990" s="23" t="str">
        <f aca="false">IF($X990="","",Settings!$C$6)</f>
        <v/>
      </c>
      <c r="R990" s="22" t="str">
        <f aca="false">IF($X990="","",SUMIFS('Per Line'!$Y$2:$Y$4001,'Per Line'!$D$2:$D$4001,$B990,'Per Line'!$AJ$2:$AJ$4001,1))</f>
        <v/>
      </c>
      <c r="S990" s="22" t="str">
        <f aca="false">IF($X990="","",R990*Q990)</f>
        <v/>
      </c>
      <c r="T990" s="22" t="str">
        <f aca="false">IF($X990="","",S990+P990)</f>
        <v/>
      </c>
      <c r="U990" s="22" t="str">
        <f aca="false">IF($X990="","",V990-T990)</f>
        <v/>
      </c>
      <c r="V990" s="22" t="str">
        <f aca="false">IF($X990="","",O990+R990)</f>
        <v/>
      </c>
      <c r="W990" s="22" t="str">
        <f aca="false">IF($X990="","",U990-L990)</f>
        <v/>
      </c>
      <c r="X990" s="24" t="str">
        <f aca="false">IF(ROWS($X$2:$X990)&lt;=MAX('Per Line'!$AI$2:$AI$4001),MATCH(ROWS($X$2:$X990),'Per Line'!$AI$2:$AI$4001,0),"")</f>
        <v/>
      </c>
    </row>
    <row r="991" customFormat="false" ht="15" hidden="false" customHeight="false" outlineLevel="0" collapsed="false">
      <c r="A991" s="19"/>
      <c r="B991" s="20" t="str">
        <f aca="false">IF($X991="","",INDEX('Per Line'!$D$2:$D$4001,$X991))</f>
        <v/>
      </c>
      <c r="C991" s="20" t="str">
        <f aca="false">IF($X991="","",INDEX('Per Line'!$C$2:$C$4001,$X991))</f>
        <v/>
      </c>
      <c r="D991" s="20" t="str">
        <f aca="false">IF($X991="","",INDEX('Per Line'!$A$2:$A$4001,$X991))</f>
        <v/>
      </c>
      <c r="E991" s="21" t="str">
        <f aca="false">IF($X991="","",INDEX('Per Line'!$F$2:$F$4001,$X991))</f>
        <v/>
      </c>
      <c r="F991" s="20" t="str">
        <f aca="false">IF($X991="","",INDEX('Per Line'!$G$2:$G$4001,$X991))</f>
        <v/>
      </c>
      <c r="G991" s="20" t="str">
        <f aca="false">IF($X991="","",INDEX('Per Line'!$I$2:$I$4001,$X991))</f>
        <v/>
      </c>
      <c r="H991" s="20" t="str">
        <f aca="false">IF($X991="","",INDEX('Per Line'!$J$2:$J$4001,$X991))</f>
        <v/>
      </c>
      <c r="I991" s="20" t="str">
        <f aca="false">IF($X991="","",INDEX('Per Line'!$K$2:$K$4001,$X991))</f>
        <v/>
      </c>
      <c r="J991" s="20" t="str">
        <f aca="false">IF($X991="","",INDEX('Per Line'!$L$2:$L$4001,$X991))</f>
        <v/>
      </c>
      <c r="K991" s="20" t="str">
        <f aca="false">IF($X991="","",INDEX('Per Line'!$M$2:$M$4001,$X991))</f>
        <v/>
      </c>
      <c r="L991" s="22" t="str">
        <f aca="false">IF($X991="","",K991*V991/100)</f>
        <v/>
      </c>
      <c r="M991" s="20" t="str">
        <f aca="false">IF($X991="","",INDEX('Per Line'!$Z$2:$Z$4001,$X991))</f>
        <v/>
      </c>
      <c r="N991" s="23" t="str">
        <f aca="false">IF($X991="","",Settings!$C$7)</f>
        <v/>
      </c>
      <c r="O991" s="22" t="str">
        <f aca="false">IF($X991="","",SUMIFS('Per Line'!$Y$2:$Y$4001,'Per Line'!$D$2:$D$4001,$B991,'Per Line'!$AJ$2:$AJ$4001,0))</f>
        <v/>
      </c>
      <c r="P991" s="22" t="str">
        <f aca="false">IF($X991="","",O991*N991)</f>
        <v/>
      </c>
      <c r="Q991" s="23" t="str">
        <f aca="false">IF($X991="","",Settings!$C$6)</f>
        <v/>
      </c>
      <c r="R991" s="22" t="str">
        <f aca="false">IF($X991="","",SUMIFS('Per Line'!$Y$2:$Y$4001,'Per Line'!$D$2:$D$4001,$B991,'Per Line'!$AJ$2:$AJ$4001,1))</f>
        <v/>
      </c>
      <c r="S991" s="22" t="str">
        <f aca="false">IF($X991="","",R991*Q991)</f>
        <v/>
      </c>
      <c r="T991" s="22" t="str">
        <f aca="false">IF($X991="","",S991+P991)</f>
        <v/>
      </c>
      <c r="U991" s="22" t="str">
        <f aca="false">IF($X991="","",V991-T991)</f>
        <v/>
      </c>
      <c r="V991" s="22" t="str">
        <f aca="false">IF($X991="","",O991+R991)</f>
        <v/>
      </c>
      <c r="W991" s="22" t="str">
        <f aca="false">IF($X991="","",U991-L991)</f>
        <v/>
      </c>
      <c r="X991" s="24" t="str">
        <f aca="false">IF(ROWS($X$2:$X991)&lt;=MAX('Per Line'!$AI$2:$AI$4001),MATCH(ROWS($X$2:$X991),'Per Line'!$AI$2:$AI$4001,0),"")</f>
        <v/>
      </c>
    </row>
    <row r="992" customFormat="false" ht="15" hidden="false" customHeight="false" outlineLevel="0" collapsed="false">
      <c r="A992" s="19"/>
      <c r="B992" s="20" t="str">
        <f aca="false">IF($X992="","",INDEX('Per Line'!$D$2:$D$4001,$X992))</f>
        <v/>
      </c>
      <c r="C992" s="20" t="str">
        <f aca="false">IF($X992="","",INDEX('Per Line'!$C$2:$C$4001,$X992))</f>
        <v/>
      </c>
      <c r="D992" s="20" t="str">
        <f aca="false">IF($X992="","",INDEX('Per Line'!$A$2:$A$4001,$X992))</f>
        <v/>
      </c>
      <c r="E992" s="21" t="str">
        <f aca="false">IF($X992="","",INDEX('Per Line'!$F$2:$F$4001,$X992))</f>
        <v/>
      </c>
      <c r="F992" s="20" t="str">
        <f aca="false">IF($X992="","",INDEX('Per Line'!$G$2:$G$4001,$X992))</f>
        <v/>
      </c>
      <c r="G992" s="20" t="str">
        <f aca="false">IF($X992="","",INDEX('Per Line'!$I$2:$I$4001,$X992))</f>
        <v/>
      </c>
      <c r="H992" s="20" t="str">
        <f aca="false">IF($X992="","",INDEX('Per Line'!$J$2:$J$4001,$X992))</f>
        <v/>
      </c>
      <c r="I992" s="20" t="str">
        <f aca="false">IF($X992="","",INDEX('Per Line'!$K$2:$K$4001,$X992))</f>
        <v/>
      </c>
      <c r="J992" s="20" t="str">
        <f aca="false">IF($X992="","",INDEX('Per Line'!$L$2:$L$4001,$X992))</f>
        <v/>
      </c>
      <c r="K992" s="20" t="str">
        <f aca="false">IF($X992="","",INDEX('Per Line'!$M$2:$M$4001,$X992))</f>
        <v/>
      </c>
      <c r="L992" s="22" t="str">
        <f aca="false">IF($X992="","",K992*V992/100)</f>
        <v/>
      </c>
      <c r="M992" s="20" t="str">
        <f aca="false">IF($X992="","",INDEX('Per Line'!$Z$2:$Z$4001,$X992))</f>
        <v/>
      </c>
      <c r="N992" s="23" t="str">
        <f aca="false">IF($X992="","",Settings!$C$7)</f>
        <v/>
      </c>
      <c r="O992" s="22" t="str">
        <f aca="false">IF($X992="","",SUMIFS('Per Line'!$Y$2:$Y$4001,'Per Line'!$D$2:$D$4001,$B992,'Per Line'!$AJ$2:$AJ$4001,0))</f>
        <v/>
      </c>
      <c r="P992" s="22" t="str">
        <f aca="false">IF($X992="","",O992*N992)</f>
        <v/>
      </c>
      <c r="Q992" s="23" t="str">
        <f aca="false">IF($X992="","",Settings!$C$6)</f>
        <v/>
      </c>
      <c r="R992" s="22" t="str">
        <f aca="false">IF($X992="","",SUMIFS('Per Line'!$Y$2:$Y$4001,'Per Line'!$D$2:$D$4001,$B992,'Per Line'!$AJ$2:$AJ$4001,1))</f>
        <v/>
      </c>
      <c r="S992" s="22" t="str">
        <f aca="false">IF($X992="","",R992*Q992)</f>
        <v/>
      </c>
      <c r="T992" s="22" t="str">
        <f aca="false">IF($X992="","",S992+P992)</f>
        <v/>
      </c>
      <c r="U992" s="22" t="str">
        <f aca="false">IF($X992="","",V992-T992)</f>
        <v/>
      </c>
      <c r="V992" s="22" t="str">
        <f aca="false">IF($X992="","",O992+R992)</f>
        <v/>
      </c>
      <c r="W992" s="22" t="str">
        <f aca="false">IF($X992="","",U992-L992)</f>
        <v/>
      </c>
      <c r="X992" s="24" t="str">
        <f aca="false">IF(ROWS($X$2:$X992)&lt;=MAX('Per Line'!$AI$2:$AI$4001),MATCH(ROWS($X$2:$X992),'Per Line'!$AI$2:$AI$4001,0),"")</f>
        <v/>
      </c>
    </row>
    <row r="993" customFormat="false" ht="15" hidden="false" customHeight="false" outlineLevel="0" collapsed="false">
      <c r="A993" s="19"/>
      <c r="B993" s="20" t="str">
        <f aca="false">IF($X993="","",INDEX('Per Line'!$D$2:$D$4001,$X993))</f>
        <v/>
      </c>
      <c r="C993" s="20" t="str">
        <f aca="false">IF($X993="","",INDEX('Per Line'!$C$2:$C$4001,$X993))</f>
        <v/>
      </c>
      <c r="D993" s="20" t="str">
        <f aca="false">IF($X993="","",INDEX('Per Line'!$A$2:$A$4001,$X993))</f>
        <v/>
      </c>
      <c r="E993" s="21" t="str">
        <f aca="false">IF($X993="","",INDEX('Per Line'!$F$2:$F$4001,$X993))</f>
        <v/>
      </c>
      <c r="F993" s="20" t="str">
        <f aca="false">IF($X993="","",INDEX('Per Line'!$G$2:$G$4001,$X993))</f>
        <v/>
      </c>
      <c r="G993" s="20" t="str">
        <f aca="false">IF($X993="","",INDEX('Per Line'!$I$2:$I$4001,$X993))</f>
        <v/>
      </c>
      <c r="H993" s="20" t="str">
        <f aca="false">IF($X993="","",INDEX('Per Line'!$J$2:$J$4001,$X993))</f>
        <v/>
      </c>
      <c r="I993" s="20" t="str">
        <f aca="false">IF($X993="","",INDEX('Per Line'!$K$2:$K$4001,$X993))</f>
        <v/>
      </c>
      <c r="J993" s="20" t="str">
        <f aca="false">IF($X993="","",INDEX('Per Line'!$L$2:$L$4001,$X993))</f>
        <v/>
      </c>
      <c r="K993" s="20" t="str">
        <f aca="false">IF($X993="","",INDEX('Per Line'!$M$2:$M$4001,$X993))</f>
        <v/>
      </c>
      <c r="L993" s="22" t="str">
        <f aca="false">IF($X993="","",K993*V993/100)</f>
        <v/>
      </c>
      <c r="M993" s="20" t="str">
        <f aca="false">IF($X993="","",INDEX('Per Line'!$Z$2:$Z$4001,$X993))</f>
        <v/>
      </c>
      <c r="N993" s="23" t="str">
        <f aca="false">IF($X993="","",Settings!$C$7)</f>
        <v/>
      </c>
      <c r="O993" s="22" t="str">
        <f aca="false">IF($X993="","",SUMIFS('Per Line'!$Y$2:$Y$4001,'Per Line'!$D$2:$D$4001,$B993,'Per Line'!$AJ$2:$AJ$4001,0))</f>
        <v/>
      </c>
      <c r="P993" s="22" t="str">
        <f aca="false">IF($X993="","",O993*N993)</f>
        <v/>
      </c>
      <c r="Q993" s="23" t="str">
        <f aca="false">IF($X993="","",Settings!$C$6)</f>
        <v/>
      </c>
      <c r="R993" s="22" t="str">
        <f aca="false">IF($X993="","",SUMIFS('Per Line'!$Y$2:$Y$4001,'Per Line'!$D$2:$D$4001,$B993,'Per Line'!$AJ$2:$AJ$4001,1))</f>
        <v/>
      </c>
      <c r="S993" s="22" t="str">
        <f aca="false">IF($X993="","",R993*Q993)</f>
        <v/>
      </c>
      <c r="T993" s="22" t="str">
        <f aca="false">IF($X993="","",S993+P993)</f>
        <v/>
      </c>
      <c r="U993" s="22" t="str">
        <f aca="false">IF($X993="","",V993-T993)</f>
        <v/>
      </c>
      <c r="V993" s="22" t="str">
        <f aca="false">IF($X993="","",O993+R993)</f>
        <v/>
      </c>
      <c r="W993" s="22" t="str">
        <f aca="false">IF($X993="","",U993-L993)</f>
        <v/>
      </c>
      <c r="X993" s="24" t="str">
        <f aca="false">IF(ROWS($X$2:$X993)&lt;=MAX('Per Line'!$AI$2:$AI$4001),MATCH(ROWS($X$2:$X993),'Per Line'!$AI$2:$AI$4001,0),"")</f>
        <v/>
      </c>
    </row>
    <row r="994" customFormat="false" ht="15" hidden="false" customHeight="false" outlineLevel="0" collapsed="false">
      <c r="A994" s="19"/>
      <c r="B994" s="20" t="str">
        <f aca="false">IF($X994="","",INDEX('Per Line'!$D$2:$D$4001,$X994))</f>
        <v/>
      </c>
      <c r="C994" s="20" t="str">
        <f aca="false">IF($X994="","",INDEX('Per Line'!$C$2:$C$4001,$X994))</f>
        <v/>
      </c>
      <c r="D994" s="20" t="str">
        <f aca="false">IF($X994="","",INDEX('Per Line'!$A$2:$A$4001,$X994))</f>
        <v/>
      </c>
      <c r="E994" s="21" t="str">
        <f aca="false">IF($X994="","",INDEX('Per Line'!$F$2:$F$4001,$X994))</f>
        <v/>
      </c>
      <c r="F994" s="20" t="str">
        <f aca="false">IF($X994="","",INDEX('Per Line'!$G$2:$G$4001,$X994))</f>
        <v/>
      </c>
      <c r="G994" s="20" t="str">
        <f aca="false">IF($X994="","",INDEX('Per Line'!$I$2:$I$4001,$X994))</f>
        <v/>
      </c>
      <c r="H994" s="20" t="str">
        <f aca="false">IF($X994="","",INDEX('Per Line'!$J$2:$J$4001,$X994))</f>
        <v/>
      </c>
      <c r="I994" s="20" t="str">
        <f aca="false">IF($X994="","",INDEX('Per Line'!$K$2:$K$4001,$X994))</f>
        <v/>
      </c>
      <c r="J994" s="20" t="str">
        <f aca="false">IF($X994="","",INDEX('Per Line'!$L$2:$L$4001,$X994))</f>
        <v/>
      </c>
      <c r="K994" s="20" t="str">
        <f aca="false">IF($X994="","",INDEX('Per Line'!$M$2:$M$4001,$X994))</f>
        <v/>
      </c>
      <c r="L994" s="22" t="str">
        <f aca="false">IF($X994="","",K994*V994/100)</f>
        <v/>
      </c>
      <c r="M994" s="20" t="str">
        <f aca="false">IF($X994="","",INDEX('Per Line'!$Z$2:$Z$4001,$X994))</f>
        <v/>
      </c>
      <c r="N994" s="23" t="str">
        <f aca="false">IF($X994="","",Settings!$C$7)</f>
        <v/>
      </c>
      <c r="O994" s="22" t="str">
        <f aca="false">IF($X994="","",SUMIFS('Per Line'!$Y$2:$Y$4001,'Per Line'!$D$2:$D$4001,$B994,'Per Line'!$AJ$2:$AJ$4001,0))</f>
        <v/>
      </c>
      <c r="P994" s="22" t="str">
        <f aca="false">IF($X994="","",O994*N994)</f>
        <v/>
      </c>
      <c r="Q994" s="23" t="str">
        <f aca="false">IF($X994="","",Settings!$C$6)</f>
        <v/>
      </c>
      <c r="R994" s="22" t="str">
        <f aca="false">IF($X994="","",SUMIFS('Per Line'!$Y$2:$Y$4001,'Per Line'!$D$2:$D$4001,$B994,'Per Line'!$AJ$2:$AJ$4001,1))</f>
        <v/>
      </c>
      <c r="S994" s="22" t="str">
        <f aca="false">IF($X994="","",R994*Q994)</f>
        <v/>
      </c>
      <c r="T994" s="22" t="str">
        <f aca="false">IF($X994="","",S994+P994)</f>
        <v/>
      </c>
      <c r="U994" s="22" t="str">
        <f aca="false">IF($X994="","",V994-T994)</f>
        <v/>
      </c>
      <c r="V994" s="22" t="str">
        <f aca="false">IF($X994="","",O994+R994)</f>
        <v/>
      </c>
      <c r="W994" s="22" t="str">
        <f aca="false">IF($X994="","",U994-L994)</f>
        <v/>
      </c>
      <c r="X994" s="24" t="str">
        <f aca="false">IF(ROWS($X$2:$X994)&lt;=MAX('Per Line'!$AI$2:$AI$4001),MATCH(ROWS($X$2:$X994),'Per Line'!$AI$2:$AI$4001,0),"")</f>
        <v/>
      </c>
    </row>
    <row r="995" customFormat="false" ht="15" hidden="false" customHeight="false" outlineLevel="0" collapsed="false">
      <c r="A995" s="19"/>
      <c r="B995" s="20" t="str">
        <f aca="false">IF($X995="","",INDEX('Per Line'!$D$2:$D$4001,$X995))</f>
        <v/>
      </c>
      <c r="C995" s="20" t="str">
        <f aca="false">IF($X995="","",INDEX('Per Line'!$C$2:$C$4001,$X995))</f>
        <v/>
      </c>
      <c r="D995" s="20" t="str">
        <f aca="false">IF($X995="","",INDEX('Per Line'!$A$2:$A$4001,$X995))</f>
        <v/>
      </c>
      <c r="E995" s="21" t="str">
        <f aca="false">IF($X995="","",INDEX('Per Line'!$F$2:$F$4001,$X995))</f>
        <v/>
      </c>
      <c r="F995" s="20" t="str">
        <f aca="false">IF($X995="","",INDEX('Per Line'!$G$2:$G$4001,$X995))</f>
        <v/>
      </c>
      <c r="G995" s="20" t="str">
        <f aca="false">IF($X995="","",INDEX('Per Line'!$I$2:$I$4001,$X995))</f>
        <v/>
      </c>
      <c r="H995" s="20" t="str">
        <f aca="false">IF($X995="","",INDEX('Per Line'!$J$2:$J$4001,$X995))</f>
        <v/>
      </c>
      <c r="I995" s="20" t="str">
        <f aca="false">IF($X995="","",INDEX('Per Line'!$K$2:$K$4001,$X995))</f>
        <v/>
      </c>
      <c r="J995" s="20" t="str">
        <f aca="false">IF($X995="","",INDEX('Per Line'!$L$2:$L$4001,$X995))</f>
        <v/>
      </c>
      <c r="K995" s="20" t="str">
        <f aca="false">IF($X995="","",INDEX('Per Line'!$M$2:$M$4001,$X995))</f>
        <v/>
      </c>
      <c r="L995" s="22" t="str">
        <f aca="false">IF($X995="","",K995*V995/100)</f>
        <v/>
      </c>
      <c r="M995" s="20" t="str">
        <f aca="false">IF($X995="","",INDEX('Per Line'!$Z$2:$Z$4001,$X995))</f>
        <v/>
      </c>
      <c r="N995" s="23" t="str">
        <f aca="false">IF($X995="","",Settings!$C$7)</f>
        <v/>
      </c>
      <c r="O995" s="22" t="str">
        <f aca="false">IF($X995="","",SUMIFS('Per Line'!$Y$2:$Y$4001,'Per Line'!$D$2:$D$4001,$B995,'Per Line'!$AJ$2:$AJ$4001,0))</f>
        <v/>
      </c>
      <c r="P995" s="22" t="str">
        <f aca="false">IF($X995="","",O995*N995)</f>
        <v/>
      </c>
      <c r="Q995" s="23" t="str">
        <f aca="false">IF($X995="","",Settings!$C$6)</f>
        <v/>
      </c>
      <c r="R995" s="22" t="str">
        <f aca="false">IF($X995="","",SUMIFS('Per Line'!$Y$2:$Y$4001,'Per Line'!$D$2:$D$4001,$B995,'Per Line'!$AJ$2:$AJ$4001,1))</f>
        <v/>
      </c>
      <c r="S995" s="22" t="str">
        <f aca="false">IF($X995="","",R995*Q995)</f>
        <v/>
      </c>
      <c r="T995" s="22" t="str">
        <f aca="false">IF($X995="","",S995+P995)</f>
        <v/>
      </c>
      <c r="U995" s="22" t="str">
        <f aca="false">IF($X995="","",V995-T995)</f>
        <v/>
      </c>
      <c r="V995" s="22" t="str">
        <f aca="false">IF($X995="","",O995+R995)</f>
        <v/>
      </c>
      <c r="W995" s="22" t="str">
        <f aca="false">IF($X995="","",U995-L995)</f>
        <v/>
      </c>
      <c r="X995" s="24" t="str">
        <f aca="false">IF(ROWS($X$2:$X995)&lt;=MAX('Per Line'!$AI$2:$AI$4001),MATCH(ROWS($X$2:$X995),'Per Line'!$AI$2:$AI$4001,0),"")</f>
        <v/>
      </c>
    </row>
    <row r="996" customFormat="false" ht="15" hidden="false" customHeight="false" outlineLevel="0" collapsed="false">
      <c r="A996" s="19"/>
      <c r="B996" s="20" t="str">
        <f aca="false">IF($X996="","",INDEX('Per Line'!$D$2:$D$4001,$X996))</f>
        <v/>
      </c>
      <c r="C996" s="20" t="str">
        <f aca="false">IF($X996="","",INDEX('Per Line'!$C$2:$C$4001,$X996))</f>
        <v/>
      </c>
      <c r="D996" s="20" t="str">
        <f aca="false">IF($X996="","",INDEX('Per Line'!$A$2:$A$4001,$X996))</f>
        <v/>
      </c>
      <c r="E996" s="21" t="str">
        <f aca="false">IF($X996="","",INDEX('Per Line'!$F$2:$F$4001,$X996))</f>
        <v/>
      </c>
      <c r="F996" s="20" t="str">
        <f aca="false">IF($X996="","",INDEX('Per Line'!$G$2:$G$4001,$X996))</f>
        <v/>
      </c>
      <c r="G996" s="20" t="str">
        <f aca="false">IF($X996="","",INDEX('Per Line'!$I$2:$I$4001,$X996))</f>
        <v/>
      </c>
      <c r="H996" s="20" t="str">
        <f aca="false">IF($X996="","",INDEX('Per Line'!$J$2:$J$4001,$X996))</f>
        <v/>
      </c>
      <c r="I996" s="20" t="str">
        <f aca="false">IF($X996="","",INDEX('Per Line'!$K$2:$K$4001,$X996))</f>
        <v/>
      </c>
      <c r="J996" s="20" t="str">
        <f aca="false">IF($X996="","",INDEX('Per Line'!$L$2:$L$4001,$X996))</f>
        <v/>
      </c>
      <c r="K996" s="20" t="str">
        <f aca="false">IF($X996="","",INDEX('Per Line'!$M$2:$M$4001,$X996))</f>
        <v/>
      </c>
      <c r="L996" s="22" t="str">
        <f aca="false">IF($X996="","",K996*V996/100)</f>
        <v/>
      </c>
      <c r="M996" s="20" t="str">
        <f aca="false">IF($X996="","",INDEX('Per Line'!$Z$2:$Z$4001,$X996))</f>
        <v/>
      </c>
      <c r="N996" s="23" t="str">
        <f aca="false">IF($X996="","",Settings!$C$7)</f>
        <v/>
      </c>
      <c r="O996" s="22" t="str">
        <f aca="false">IF($X996="","",SUMIFS('Per Line'!$Y$2:$Y$4001,'Per Line'!$D$2:$D$4001,$B996,'Per Line'!$AJ$2:$AJ$4001,0))</f>
        <v/>
      </c>
      <c r="P996" s="22" t="str">
        <f aca="false">IF($X996="","",O996*N996)</f>
        <v/>
      </c>
      <c r="Q996" s="23" t="str">
        <f aca="false">IF($X996="","",Settings!$C$6)</f>
        <v/>
      </c>
      <c r="R996" s="22" t="str">
        <f aca="false">IF($X996="","",SUMIFS('Per Line'!$Y$2:$Y$4001,'Per Line'!$D$2:$D$4001,$B996,'Per Line'!$AJ$2:$AJ$4001,1))</f>
        <v/>
      </c>
      <c r="S996" s="22" t="str">
        <f aca="false">IF($X996="","",R996*Q996)</f>
        <v/>
      </c>
      <c r="T996" s="22" t="str">
        <f aca="false">IF($X996="","",S996+P996)</f>
        <v/>
      </c>
      <c r="U996" s="22" t="str">
        <f aca="false">IF($X996="","",V996-T996)</f>
        <v/>
      </c>
      <c r="V996" s="22" t="str">
        <f aca="false">IF($X996="","",O996+R996)</f>
        <v/>
      </c>
      <c r="W996" s="22" t="str">
        <f aca="false">IF($X996="","",U996-L996)</f>
        <v/>
      </c>
      <c r="X996" s="24" t="str">
        <f aca="false">IF(ROWS($X$2:$X996)&lt;=MAX('Per Line'!$AI$2:$AI$4001),MATCH(ROWS($X$2:$X996),'Per Line'!$AI$2:$AI$4001,0),"")</f>
        <v/>
      </c>
    </row>
    <row r="997" customFormat="false" ht="15" hidden="false" customHeight="false" outlineLevel="0" collapsed="false">
      <c r="A997" s="19"/>
      <c r="B997" s="20" t="str">
        <f aca="false">IF($X997="","",INDEX('Per Line'!$D$2:$D$4001,$X997))</f>
        <v/>
      </c>
      <c r="C997" s="20" t="str">
        <f aca="false">IF($X997="","",INDEX('Per Line'!$C$2:$C$4001,$X997))</f>
        <v/>
      </c>
      <c r="D997" s="20" t="str">
        <f aca="false">IF($X997="","",INDEX('Per Line'!$A$2:$A$4001,$X997))</f>
        <v/>
      </c>
      <c r="E997" s="21" t="str">
        <f aca="false">IF($X997="","",INDEX('Per Line'!$F$2:$F$4001,$X997))</f>
        <v/>
      </c>
      <c r="F997" s="20" t="str">
        <f aca="false">IF($X997="","",INDEX('Per Line'!$G$2:$G$4001,$X997))</f>
        <v/>
      </c>
      <c r="G997" s="20" t="str">
        <f aca="false">IF($X997="","",INDEX('Per Line'!$I$2:$I$4001,$X997))</f>
        <v/>
      </c>
      <c r="H997" s="20" t="str">
        <f aca="false">IF($X997="","",INDEX('Per Line'!$J$2:$J$4001,$X997))</f>
        <v/>
      </c>
      <c r="I997" s="20" t="str">
        <f aca="false">IF($X997="","",INDEX('Per Line'!$K$2:$K$4001,$X997))</f>
        <v/>
      </c>
      <c r="J997" s="20" t="str">
        <f aca="false">IF($X997="","",INDEX('Per Line'!$L$2:$L$4001,$X997))</f>
        <v/>
      </c>
      <c r="K997" s="20" t="str">
        <f aca="false">IF($X997="","",INDEX('Per Line'!$M$2:$M$4001,$X997))</f>
        <v/>
      </c>
      <c r="L997" s="22" t="str">
        <f aca="false">IF($X997="","",K997*V997/100)</f>
        <v/>
      </c>
      <c r="M997" s="20" t="str">
        <f aca="false">IF($X997="","",INDEX('Per Line'!$Z$2:$Z$4001,$X997))</f>
        <v/>
      </c>
      <c r="N997" s="23" t="str">
        <f aca="false">IF($X997="","",Settings!$C$7)</f>
        <v/>
      </c>
      <c r="O997" s="22" t="str">
        <f aca="false">IF($X997="","",SUMIFS('Per Line'!$Y$2:$Y$4001,'Per Line'!$D$2:$D$4001,$B997,'Per Line'!$AJ$2:$AJ$4001,0))</f>
        <v/>
      </c>
      <c r="P997" s="22" t="str">
        <f aca="false">IF($X997="","",O997*N997)</f>
        <v/>
      </c>
      <c r="Q997" s="23" t="str">
        <f aca="false">IF($X997="","",Settings!$C$6)</f>
        <v/>
      </c>
      <c r="R997" s="22" t="str">
        <f aca="false">IF($X997="","",SUMIFS('Per Line'!$Y$2:$Y$4001,'Per Line'!$D$2:$D$4001,$B997,'Per Line'!$AJ$2:$AJ$4001,1))</f>
        <v/>
      </c>
      <c r="S997" s="22" t="str">
        <f aca="false">IF($X997="","",R997*Q997)</f>
        <v/>
      </c>
      <c r="T997" s="22" t="str">
        <f aca="false">IF($X997="","",S997+P997)</f>
        <v/>
      </c>
      <c r="U997" s="22" t="str">
        <f aca="false">IF($X997="","",V997-T997)</f>
        <v/>
      </c>
      <c r="V997" s="22" t="str">
        <f aca="false">IF($X997="","",O997+R997)</f>
        <v/>
      </c>
      <c r="W997" s="22" t="str">
        <f aca="false">IF($X997="","",U997-L997)</f>
        <v/>
      </c>
      <c r="X997" s="24" t="str">
        <f aca="false">IF(ROWS($X$2:$X997)&lt;=MAX('Per Line'!$AI$2:$AI$4001),MATCH(ROWS($X$2:$X997),'Per Line'!$AI$2:$AI$4001,0),"")</f>
        <v/>
      </c>
    </row>
    <row r="998" customFormat="false" ht="15" hidden="false" customHeight="false" outlineLevel="0" collapsed="false">
      <c r="A998" s="19"/>
      <c r="B998" s="20" t="str">
        <f aca="false">IF($X998="","",INDEX('Per Line'!$D$2:$D$4001,$X998))</f>
        <v/>
      </c>
      <c r="C998" s="20" t="str">
        <f aca="false">IF($X998="","",INDEX('Per Line'!$C$2:$C$4001,$X998))</f>
        <v/>
      </c>
      <c r="D998" s="20" t="str">
        <f aca="false">IF($X998="","",INDEX('Per Line'!$A$2:$A$4001,$X998))</f>
        <v/>
      </c>
      <c r="E998" s="21" t="str">
        <f aca="false">IF($X998="","",INDEX('Per Line'!$F$2:$F$4001,$X998))</f>
        <v/>
      </c>
      <c r="F998" s="20" t="str">
        <f aca="false">IF($X998="","",INDEX('Per Line'!$G$2:$G$4001,$X998))</f>
        <v/>
      </c>
      <c r="G998" s="20" t="str">
        <f aca="false">IF($X998="","",INDEX('Per Line'!$I$2:$I$4001,$X998))</f>
        <v/>
      </c>
      <c r="H998" s="20" t="str">
        <f aca="false">IF($X998="","",INDEX('Per Line'!$J$2:$J$4001,$X998))</f>
        <v/>
      </c>
      <c r="I998" s="20" t="str">
        <f aca="false">IF($X998="","",INDEX('Per Line'!$K$2:$K$4001,$X998))</f>
        <v/>
      </c>
      <c r="J998" s="20" t="str">
        <f aca="false">IF($X998="","",INDEX('Per Line'!$L$2:$L$4001,$X998))</f>
        <v/>
      </c>
      <c r="K998" s="20" t="str">
        <f aca="false">IF($X998="","",INDEX('Per Line'!$M$2:$M$4001,$X998))</f>
        <v/>
      </c>
      <c r="L998" s="22" t="str">
        <f aca="false">IF($X998="","",K998*V998/100)</f>
        <v/>
      </c>
      <c r="M998" s="20" t="str">
        <f aca="false">IF($X998="","",INDEX('Per Line'!$Z$2:$Z$4001,$X998))</f>
        <v/>
      </c>
      <c r="N998" s="23" t="str">
        <f aca="false">IF($X998="","",Settings!$C$7)</f>
        <v/>
      </c>
      <c r="O998" s="22" t="str">
        <f aca="false">IF($X998="","",SUMIFS('Per Line'!$Y$2:$Y$4001,'Per Line'!$D$2:$D$4001,$B998,'Per Line'!$AJ$2:$AJ$4001,0))</f>
        <v/>
      </c>
      <c r="P998" s="22" t="str">
        <f aca="false">IF($X998="","",O998*N998)</f>
        <v/>
      </c>
      <c r="Q998" s="23" t="str">
        <f aca="false">IF($X998="","",Settings!$C$6)</f>
        <v/>
      </c>
      <c r="R998" s="22" t="str">
        <f aca="false">IF($X998="","",SUMIFS('Per Line'!$Y$2:$Y$4001,'Per Line'!$D$2:$D$4001,$B998,'Per Line'!$AJ$2:$AJ$4001,1))</f>
        <v/>
      </c>
      <c r="S998" s="22" t="str">
        <f aca="false">IF($X998="","",R998*Q998)</f>
        <v/>
      </c>
      <c r="T998" s="22" t="str">
        <f aca="false">IF($X998="","",S998+P998)</f>
        <v/>
      </c>
      <c r="U998" s="22" t="str">
        <f aca="false">IF($X998="","",V998-T998)</f>
        <v/>
      </c>
      <c r="V998" s="22" t="str">
        <f aca="false">IF($X998="","",O998+R998)</f>
        <v/>
      </c>
      <c r="W998" s="22" t="str">
        <f aca="false">IF($X998="","",U998-L998)</f>
        <v/>
      </c>
      <c r="X998" s="24" t="str">
        <f aca="false">IF(ROWS($X$2:$X998)&lt;=MAX('Per Line'!$AI$2:$AI$4001),MATCH(ROWS($X$2:$X998),'Per Line'!$AI$2:$AI$4001,0),"")</f>
        <v/>
      </c>
    </row>
    <row r="999" customFormat="false" ht="15" hidden="false" customHeight="false" outlineLevel="0" collapsed="false">
      <c r="A999" s="19"/>
      <c r="B999" s="20" t="str">
        <f aca="false">IF($X999="","",INDEX('Per Line'!$D$2:$D$4001,$X999))</f>
        <v/>
      </c>
      <c r="C999" s="20" t="str">
        <f aca="false">IF($X999="","",INDEX('Per Line'!$C$2:$C$4001,$X999))</f>
        <v/>
      </c>
      <c r="D999" s="20" t="str">
        <f aca="false">IF($X999="","",INDEX('Per Line'!$A$2:$A$4001,$X999))</f>
        <v/>
      </c>
      <c r="E999" s="21" t="str">
        <f aca="false">IF($X999="","",INDEX('Per Line'!$F$2:$F$4001,$X999))</f>
        <v/>
      </c>
      <c r="F999" s="20" t="str">
        <f aca="false">IF($X999="","",INDEX('Per Line'!$G$2:$G$4001,$X999))</f>
        <v/>
      </c>
      <c r="G999" s="20" t="str">
        <f aca="false">IF($X999="","",INDEX('Per Line'!$I$2:$I$4001,$X999))</f>
        <v/>
      </c>
      <c r="H999" s="20" t="str">
        <f aca="false">IF($X999="","",INDEX('Per Line'!$J$2:$J$4001,$X999))</f>
        <v/>
      </c>
      <c r="I999" s="20" t="str">
        <f aca="false">IF($X999="","",INDEX('Per Line'!$K$2:$K$4001,$X999))</f>
        <v/>
      </c>
      <c r="J999" s="20" t="str">
        <f aca="false">IF($X999="","",INDEX('Per Line'!$L$2:$L$4001,$X999))</f>
        <v/>
      </c>
      <c r="K999" s="20" t="str">
        <f aca="false">IF($X999="","",INDEX('Per Line'!$M$2:$M$4001,$X999))</f>
        <v/>
      </c>
      <c r="L999" s="22" t="str">
        <f aca="false">IF($X999="","",K999*V999/100)</f>
        <v/>
      </c>
      <c r="M999" s="20" t="str">
        <f aca="false">IF($X999="","",INDEX('Per Line'!$Z$2:$Z$4001,$X999))</f>
        <v/>
      </c>
      <c r="N999" s="23" t="str">
        <f aca="false">IF($X999="","",Settings!$C$7)</f>
        <v/>
      </c>
      <c r="O999" s="22" t="str">
        <f aca="false">IF($X999="","",SUMIFS('Per Line'!$Y$2:$Y$4001,'Per Line'!$D$2:$D$4001,$B999,'Per Line'!$AJ$2:$AJ$4001,0))</f>
        <v/>
      </c>
      <c r="P999" s="22" t="str">
        <f aca="false">IF($X999="","",O999*N999)</f>
        <v/>
      </c>
      <c r="Q999" s="23" t="str">
        <f aca="false">IF($X999="","",Settings!$C$6)</f>
        <v/>
      </c>
      <c r="R999" s="22" t="str">
        <f aca="false">IF($X999="","",SUMIFS('Per Line'!$Y$2:$Y$4001,'Per Line'!$D$2:$D$4001,$B999,'Per Line'!$AJ$2:$AJ$4001,1))</f>
        <v/>
      </c>
      <c r="S999" s="22" t="str">
        <f aca="false">IF($X999="","",R999*Q999)</f>
        <v/>
      </c>
      <c r="T999" s="22" t="str">
        <f aca="false">IF($X999="","",S999+P999)</f>
        <v/>
      </c>
      <c r="U999" s="22" t="str">
        <f aca="false">IF($X999="","",V999-T999)</f>
        <v/>
      </c>
      <c r="V999" s="22" t="str">
        <f aca="false">IF($X999="","",O999+R999)</f>
        <v/>
      </c>
      <c r="W999" s="22" t="str">
        <f aca="false">IF($X999="","",U999-L999)</f>
        <v/>
      </c>
      <c r="X999" s="24" t="str">
        <f aca="false">IF(ROWS($X$2:$X999)&lt;=MAX('Per Line'!$AI$2:$AI$4001),MATCH(ROWS($X$2:$X999),'Per Line'!$AI$2:$AI$4001,0),"")</f>
        <v/>
      </c>
    </row>
    <row r="1000" customFormat="false" ht="15" hidden="false" customHeight="false" outlineLevel="0" collapsed="false">
      <c r="A1000" s="19"/>
      <c r="B1000" s="20" t="str">
        <f aca="false">IF($X1000="","",INDEX('Per Line'!$D$2:$D$4001,$X1000))</f>
        <v/>
      </c>
      <c r="C1000" s="20" t="str">
        <f aca="false">IF($X1000="","",INDEX('Per Line'!$C$2:$C$4001,$X1000))</f>
        <v/>
      </c>
      <c r="D1000" s="20" t="str">
        <f aca="false">IF($X1000="","",INDEX('Per Line'!$A$2:$A$4001,$X1000))</f>
        <v/>
      </c>
      <c r="E1000" s="21" t="str">
        <f aca="false">IF($X1000="","",INDEX('Per Line'!$F$2:$F$4001,$X1000))</f>
        <v/>
      </c>
      <c r="F1000" s="20" t="str">
        <f aca="false">IF($X1000="","",INDEX('Per Line'!$G$2:$G$4001,$X1000))</f>
        <v/>
      </c>
      <c r="G1000" s="20" t="str">
        <f aca="false">IF($X1000="","",INDEX('Per Line'!$I$2:$I$4001,$X1000))</f>
        <v/>
      </c>
      <c r="H1000" s="20" t="str">
        <f aca="false">IF($X1000="","",INDEX('Per Line'!$J$2:$J$4001,$X1000))</f>
        <v/>
      </c>
      <c r="I1000" s="20" t="str">
        <f aca="false">IF($X1000="","",INDEX('Per Line'!$K$2:$K$4001,$X1000))</f>
        <v/>
      </c>
      <c r="J1000" s="20" t="str">
        <f aca="false">IF($X1000="","",INDEX('Per Line'!$L$2:$L$4001,$X1000))</f>
        <v/>
      </c>
      <c r="K1000" s="20" t="str">
        <f aca="false">IF($X1000="","",INDEX('Per Line'!$M$2:$M$4001,$X1000))</f>
        <v/>
      </c>
      <c r="L1000" s="22" t="str">
        <f aca="false">IF($X1000="","",K1000*V1000/100)</f>
        <v/>
      </c>
      <c r="M1000" s="20" t="str">
        <f aca="false">IF($X1000="","",INDEX('Per Line'!$Z$2:$Z$4001,$X1000))</f>
        <v/>
      </c>
      <c r="N1000" s="23" t="str">
        <f aca="false">IF($X1000="","",Settings!$C$7)</f>
        <v/>
      </c>
      <c r="O1000" s="22" t="str">
        <f aca="false">IF($X1000="","",SUMIFS('Per Line'!$Y$2:$Y$4001,'Per Line'!$D$2:$D$4001,$B1000,'Per Line'!$AJ$2:$AJ$4001,0))</f>
        <v/>
      </c>
      <c r="P1000" s="22" t="str">
        <f aca="false">IF($X1000="","",O1000*N1000)</f>
        <v/>
      </c>
      <c r="Q1000" s="23" t="str">
        <f aca="false">IF($X1000="","",Settings!$C$6)</f>
        <v/>
      </c>
      <c r="R1000" s="22" t="str">
        <f aca="false">IF($X1000="","",SUMIFS('Per Line'!$Y$2:$Y$4001,'Per Line'!$D$2:$D$4001,$B1000,'Per Line'!$AJ$2:$AJ$4001,1))</f>
        <v/>
      </c>
      <c r="S1000" s="22" t="str">
        <f aca="false">IF($X1000="","",R1000*Q1000)</f>
        <v/>
      </c>
      <c r="T1000" s="22" t="str">
        <f aca="false">IF($X1000="","",S1000+P1000)</f>
        <v/>
      </c>
      <c r="U1000" s="22" t="str">
        <f aca="false">IF($X1000="","",V1000-T1000)</f>
        <v/>
      </c>
      <c r="V1000" s="22" t="str">
        <f aca="false">IF($X1000="","",O1000+R1000)</f>
        <v/>
      </c>
      <c r="W1000" s="22" t="str">
        <f aca="false">IF($X1000="","",U1000-L1000)</f>
        <v/>
      </c>
      <c r="X1000" s="24" t="str">
        <f aca="false">IF(ROWS($X$2:$X1000)&lt;=MAX('Per Line'!$AI$2:$AI$4001),MATCH(ROWS($X$2:$X1000),'Per Line'!$AI$2:$AI$4001,0),"")</f>
        <v/>
      </c>
    </row>
    <row r="1001" customFormat="false" ht="15" hidden="false" customHeight="false" outlineLevel="0" collapsed="false">
      <c r="A1001" s="19"/>
      <c r="B1001" s="20" t="str">
        <f aca="false">IF($X1001="","",INDEX('Per Line'!$D$2:$D$4001,$X1001))</f>
        <v/>
      </c>
      <c r="C1001" s="20" t="str">
        <f aca="false">IF($X1001="","",INDEX('Per Line'!$C$2:$C$4001,$X1001))</f>
        <v/>
      </c>
      <c r="D1001" s="20" t="str">
        <f aca="false">IF($X1001="","",INDEX('Per Line'!$A$2:$A$4001,$X1001))</f>
        <v/>
      </c>
      <c r="E1001" s="21" t="str">
        <f aca="false">IF($X1001="","",INDEX('Per Line'!$F$2:$F$4001,$X1001))</f>
        <v/>
      </c>
      <c r="F1001" s="20" t="str">
        <f aca="false">IF($X1001="","",INDEX('Per Line'!$G$2:$G$4001,$X1001))</f>
        <v/>
      </c>
      <c r="G1001" s="20" t="str">
        <f aca="false">IF($X1001="","",INDEX('Per Line'!$I$2:$I$4001,$X1001))</f>
        <v/>
      </c>
      <c r="H1001" s="20" t="str">
        <f aca="false">IF($X1001="","",INDEX('Per Line'!$J$2:$J$4001,$X1001))</f>
        <v/>
      </c>
      <c r="I1001" s="20" t="str">
        <f aca="false">IF($X1001="","",INDEX('Per Line'!$K$2:$K$4001,$X1001))</f>
        <v/>
      </c>
      <c r="J1001" s="20" t="str">
        <f aca="false">IF($X1001="","",INDEX('Per Line'!$L$2:$L$4001,$X1001))</f>
        <v/>
      </c>
      <c r="K1001" s="20" t="str">
        <f aca="false">IF($X1001="","",INDEX('Per Line'!$M$2:$M$4001,$X1001))</f>
        <v/>
      </c>
      <c r="L1001" s="22" t="str">
        <f aca="false">IF($X1001="","",K1001*V1001/100)</f>
        <v/>
      </c>
      <c r="M1001" s="20" t="str">
        <f aca="false">IF($X1001="","",INDEX('Per Line'!$Z$2:$Z$4001,$X1001))</f>
        <v/>
      </c>
      <c r="N1001" s="23" t="str">
        <f aca="false">IF($X1001="","",Settings!$C$7)</f>
        <v/>
      </c>
      <c r="O1001" s="22" t="str">
        <f aca="false">IF($X1001="","",SUMIFS('Per Line'!$Y$2:$Y$4001,'Per Line'!$D$2:$D$4001,$B1001,'Per Line'!$AJ$2:$AJ$4001,0))</f>
        <v/>
      </c>
      <c r="P1001" s="22" t="str">
        <f aca="false">IF($X1001="","",O1001*N1001)</f>
        <v/>
      </c>
      <c r="Q1001" s="23" t="str">
        <f aca="false">IF($X1001="","",Settings!$C$6)</f>
        <v/>
      </c>
      <c r="R1001" s="22" t="str">
        <f aca="false">IF($X1001="","",SUMIFS('Per Line'!$Y$2:$Y$4001,'Per Line'!$D$2:$D$4001,$B1001,'Per Line'!$AJ$2:$AJ$4001,1))</f>
        <v/>
      </c>
      <c r="S1001" s="22" t="str">
        <f aca="false">IF($X1001="","",R1001*Q1001)</f>
        <v/>
      </c>
      <c r="T1001" s="22" t="str">
        <f aca="false">IF($X1001="","",S1001+P1001)</f>
        <v/>
      </c>
      <c r="U1001" s="22" t="str">
        <f aca="false">IF($X1001="","",V1001-T1001)</f>
        <v/>
      </c>
      <c r="V1001" s="22" t="str">
        <f aca="false">IF($X1001="","",O1001+R1001)</f>
        <v/>
      </c>
      <c r="W1001" s="22" t="str">
        <f aca="false">IF($X1001="","",U1001-L1001)</f>
        <v/>
      </c>
      <c r="X1001" s="24" t="str">
        <f aca="false">IF(ROWS($X$2:$X1001)&lt;=MAX('Per Line'!$AI$2:$AI$4001),MATCH(ROWS($X$2:$X1001),'Per Line'!$AI$2:$AI$4001,0),"")</f>
        <v/>
      </c>
    </row>
    <row r="1002" customFormat="false" ht="15" hidden="false" customHeight="false" outlineLevel="0" collapsed="false">
      <c r="A1002" s="19"/>
      <c r="B1002" s="20" t="str">
        <f aca="false">IF($X1002="","",INDEX('Per Line'!$D$2:$D$4001,$X1002))</f>
        <v/>
      </c>
      <c r="C1002" s="20" t="str">
        <f aca="false">IF($X1002="","",INDEX('Per Line'!$C$2:$C$4001,$X1002))</f>
        <v/>
      </c>
      <c r="D1002" s="20" t="str">
        <f aca="false">IF($X1002="","",INDEX('Per Line'!$A$2:$A$4001,$X1002))</f>
        <v/>
      </c>
      <c r="E1002" s="21" t="str">
        <f aca="false">IF($X1002="","",INDEX('Per Line'!$F$2:$F$4001,$X1002))</f>
        <v/>
      </c>
      <c r="F1002" s="20" t="str">
        <f aca="false">IF($X1002="","",INDEX('Per Line'!$G$2:$G$4001,$X1002))</f>
        <v/>
      </c>
      <c r="G1002" s="20" t="str">
        <f aca="false">IF($X1002="","",INDEX('Per Line'!$I$2:$I$4001,$X1002))</f>
        <v/>
      </c>
      <c r="H1002" s="20" t="str">
        <f aca="false">IF($X1002="","",INDEX('Per Line'!$J$2:$J$4001,$X1002))</f>
        <v/>
      </c>
      <c r="I1002" s="20" t="str">
        <f aca="false">IF($X1002="","",INDEX('Per Line'!$K$2:$K$4001,$X1002))</f>
        <v/>
      </c>
      <c r="J1002" s="20" t="str">
        <f aca="false">IF($X1002="","",INDEX('Per Line'!$L$2:$L$4001,$X1002))</f>
        <v/>
      </c>
      <c r="K1002" s="20" t="str">
        <f aca="false">IF($X1002="","",INDEX('Per Line'!$M$2:$M$4001,$X1002))</f>
        <v/>
      </c>
      <c r="L1002" s="22" t="str">
        <f aca="false">IF($X1002="","",K1002*V1002/100)</f>
        <v/>
      </c>
      <c r="M1002" s="20" t="str">
        <f aca="false">IF($X1002="","",INDEX('Per Line'!$Z$2:$Z$4001,$X1002))</f>
        <v/>
      </c>
      <c r="N1002" s="23" t="str">
        <f aca="false">IF($X1002="","",Settings!$C$7)</f>
        <v/>
      </c>
      <c r="O1002" s="22" t="str">
        <f aca="false">IF($X1002="","",SUMIFS('Per Line'!$Y$2:$Y$4001,'Per Line'!$D$2:$D$4001,$B1002,'Per Line'!$AJ$2:$AJ$4001,0))</f>
        <v/>
      </c>
      <c r="P1002" s="22" t="str">
        <f aca="false">IF($X1002="","",O1002*N1002)</f>
        <v/>
      </c>
      <c r="Q1002" s="23" t="str">
        <f aca="false">IF($X1002="","",Settings!$C$6)</f>
        <v/>
      </c>
      <c r="R1002" s="22" t="str">
        <f aca="false">IF($X1002="","",SUMIFS('Per Line'!$Y$2:$Y$4001,'Per Line'!$D$2:$D$4001,$B1002,'Per Line'!$AJ$2:$AJ$4001,1))</f>
        <v/>
      </c>
      <c r="S1002" s="22" t="str">
        <f aca="false">IF($X1002="","",R1002*Q1002)</f>
        <v/>
      </c>
      <c r="T1002" s="22" t="str">
        <f aca="false">IF($X1002="","",S1002+P1002)</f>
        <v/>
      </c>
      <c r="U1002" s="22" t="str">
        <f aca="false">IF($X1002="","",V1002-T1002)</f>
        <v/>
      </c>
      <c r="V1002" s="22" t="str">
        <f aca="false">IF($X1002="","",O1002+R1002)</f>
        <v/>
      </c>
      <c r="W1002" s="22" t="str">
        <f aca="false">IF($X1002="","",U1002-L1002)</f>
        <v/>
      </c>
      <c r="X1002" s="24" t="str">
        <f aca="false">IF(ROWS($X$2:$X1002)&lt;=MAX('Per Line'!$AI$2:$AI$4001),MATCH(ROWS($X$2:$X1002),'Per Line'!$AI$2:$AI$4001,0),"")</f>
        <v/>
      </c>
    </row>
    <row r="1003" customFormat="false" ht="15" hidden="false" customHeight="false" outlineLevel="0" collapsed="false">
      <c r="A1003" s="19"/>
      <c r="B1003" s="20" t="str">
        <f aca="false">IF($X1003="","",INDEX('Per Line'!$D$2:$D$4001,$X1003))</f>
        <v/>
      </c>
      <c r="C1003" s="20" t="str">
        <f aca="false">IF($X1003="","",INDEX('Per Line'!$C$2:$C$4001,$X1003))</f>
        <v/>
      </c>
      <c r="D1003" s="20" t="str">
        <f aca="false">IF($X1003="","",INDEX('Per Line'!$A$2:$A$4001,$X1003))</f>
        <v/>
      </c>
      <c r="E1003" s="21" t="str">
        <f aca="false">IF($X1003="","",INDEX('Per Line'!$F$2:$F$4001,$X1003))</f>
        <v/>
      </c>
      <c r="F1003" s="20" t="str">
        <f aca="false">IF($X1003="","",INDEX('Per Line'!$G$2:$G$4001,$X1003))</f>
        <v/>
      </c>
      <c r="G1003" s="20" t="str">
        <f aca="false">IF($X1003="","",INDEX('Per Line'!$I$2:$I$4001,$X1003))</f>
        <v/>
      </c>
      <c r="H1003" s="20" t="str">
        <f aca="false">IF($X1003="","",INDEX('Per Line'!$J$2:$J$4001,$X1003))</f>
        <v/>
      </c>
      <c r="I1003" s="20" t="str">
        <f aca="false">IF($X1003="","",INDEX('Per Line'!$K$2:$K$4001,$X1003))</f>
        <v/>
      </c>
      <c r="J1003" s="20" t="str">
        <f aca="false">IF($X1003="","",INDEX('Per Line'!$L$2:$L$4001,$X1003))</f>
        <v/>
      </c>
      <c r="K1003" s="20" t="str">
        <f aca="false">IF($X1003="","",INDEX('Per Line'!$M$2:$M$4001,$X1003))</f>
        <v/>
      </c>
      <c r="L1003" s="22" t="str">
        <f aca="false">IF($X1003="","",K1003*V1003/100)</f>
        <v/>
      </c>
      <c r="M1003" s="20" t="str">
        <f aca="false">IF($X1003="","",INDEX('Per Line'!$Z$2:$Z$4001,$X1003))</f>
        <v/>
      </c>
      <c r="N1003" s="23" t="str">
        <f aca="false">IF($X1003="","",Settings!$C$7)</f>
        <v/>
      </c>
      <c r="O1003" s="22" t="str">
        <f aca="false">IF($X1003="","",SUMIFS('Per Line'!$Y$2:$Y$4001,'Per Line'!$D$2:$D$4001,$B1003,'Per Line'!$AJ$2:$AJ$4001,0))</f>
        <v/>
      </c>
      <c r="P1003" s="22" t="str">
        <f aca="false">IF($X1003="","",O1003*N1003)</f>
        <v/>
      </c>
      <c r="Q1003" s="23" t="str">
        <f aca="false">IF($X1003="","",Settings!$C$6)</f>
        <v/>
      </c>
      <c r="R1003" s="22" t="str">
        <f aca="false">IF($X1003="","",SUMIFS('Per Line'!$Y$2:$Y$4001,'Per Line'!$D$2:$D$4001,$B1003,'Per Line'!$AJ$2:$AJ$4001,1))</f>
        <v/>
      </c>
      <c r="S1003" s="22" t="str">
        <f aca="false">IF($X1003="","",R1003*Q1003)</f>
        <v/>
      </c>
      <c r="T1003" s="22" t="str">
        <f aca="false">IF($X1003="","",S1003+P1003)</f>
        <v/>
      </c>
      <c r="U1003" s="22" t="str">
        <f aca="false">IF($X1003="","",V1003-T1003)</f>
        <v/>
      </c>
      <c r="V1003" s="22" t="str">
        <f aca="false">IF($X1003="","",O1003+R1003)</f>
        <v/>
      </c>
      <c r="W1003" s="22" t="str">
        <f aca="false">IF($X1003="","",U1003-L1003)</f>
        <v/>
      </c>
      <c r="X1003" s="24" t="str">
        <f aca="false">IF(ROWS($X$2:$X1003)&lt;=MAX('Per Line'!$AI$2:$AI$4001),MATCH(ROWS($X$2:$X1003),'Per Line'!$AI$2:$AI$4001,0),"")</f>
        <v/>
      </c>
    </row>
    <row r="1004" customFormat="false" ht="15" hidden="false" customHeight="false" outlineLevel="0" collapsed="false">
      <c r="A1004" s="19"/>
      <c r="B1004" s="20" t="str">
        <f aca="false">IF($X1004="","",INDEX('Per Line'!$D$2:$D$4001,$X1004))</f>
        <v/>
      </c>
      <c r="C1004" s="20" t="str">
        <f aca="false">IF($X1004="","",INDEX('Per Line'!$C$2:$C$4001,$X1004))</f>
        <v/>
      </c>
      <c r="D1004" s="20" t="str">
        <f aca="false">IF($X1004="","",INDEX('Per Line'!$A$2:$A$4001,$X1004))</f>
        <v/>
      </c>
      <c r="E1004" s="21" t="str">
        <f aca="false">IF($X1004="","",INDEX('Per Line'!$F$2:$F$4001,$X1004))</f>
        <v/>
      </c>
      <c r="F1004" s="20" t="str">
        <f aca="false">IF($X1004="","",INDEX('Per Line'!$G$2:$G$4001,$X1004))</f>
        <v/>
      </c>
      <c r="G1004" s="20" t="str">
        <f aca="false">IF($X1004="","",INDEX('Per Line'!$I$2:$I$4001,$X1004))</f>
        <v/>
      </c>
      <c r="H1004" s="20" t="str">
        <f aca="false">IF($X1004="","",INDEX('Per Line'!$J$2:$J$4001,$X1004))</f>
        <v/>
      </c>
      <c r="I1004" s="20" t="str">
        <f aca="false">IF($X1004="","",INDEX('Per Line'!$K$2:$K$4001,$X1004))</f>
        <v/>
      </c>
      <c r="J1004" s="20" t="str">
        <f aca="false">IF($X1004="","",INDEX('Per Line'!$L$2:$L$4001,$X1004))</f>
        <v/>
      </c>
      <c r="K1004" s="20" t="str">
        <f aca="false">IF($X1004="","",INDEX('Per Line'!$M$2:$M$4001,$X1004))</f>
        <v/>
      </c>
      <c r="L1004" s="22" t="str">
        <f aca="false">IF($X1004="","",K1004*V1004/100)</f>
        <v/>
      </c>
      <c r="M1004" s="20" t="str">
        <f aca="false">IF($X1004="","",INDEX('Per Line'!$Z$2:$Z$4001,$X1004))</f>
        <v/>
      </c>
      <c r="N1004" s="23" t="str">
        <f aca="false">IF($X1004="","",Settings!$C$7)</f>
        <v/>
      </c>
      <c r="O1004" s="22" t="str">
        <f aca="false">IF($X1004="","",SUMIFS('Per Line'!$Y$2:$Y$4001,'Per Line'!$D$2:$D$4001,$B1004,'Per Line'!$AJ$2:$AJ$4001,0))</f>
        <v/>
      </c>
      <c r="P1004" s="22" t="str">
        <f aca="false">IF($X1004="","",O1004*N1004)</f>
        <v/>
      </c>
      <c r="Q1004" s="23" t="str">
        <f aca="false">IF($X1004="","",Settings!$C$6)</f>
        <v/>
      </c>
      <c r="R1004" s="22" t="str">
        <f aca="false">IF($X1004="","",SUMIFS('Per Line'!$Y$2:$Y$4001,'Per Line'!$D$2:$D$4001,$B1004,'Per Line'!$AJ$2:$AJ$4001,1))</f>
        <v/>
      </c>
      <c r="S1004" s="22" t="str">
        <f aca="false">IF($X1004="","",R1004*Q1004)</f>
        <v/>
      </c>
      <c r="T1004" s="22" t="str">
        <f aca="false">IF($X1004="","",S1004+P1004)</f>
        <v/>
      </c>
      <c r="U1004" s="22" t="str">
        <f aca="false">IF($X1004="","",V1004-T1004)</f>
        <v/>
      </c>
      <c r="V1004" s="22" t="str">
        <f aca="false">IF($X1004="","",O1004+R1004)</f>
        <v/>
      </c>
      <c r="W1004" s="22" t="str">
        <f aca="false">IF($X1004="","",U1004-L1004)</f>
        <v/>
      </c>
      <c r="X1004" s="24" t="str">
        <f aca="false">IF(ROWS($X$2:$X1004)&lt;=MAX('Per Line'!$AI$2:$AI$4001),MATCH(ROWS($X$2:$X1004),'Per Line'!$AI$2:$AI$4001,0),"")</f>
        <v/>
      </c>
    </row>
    <row r="1005" customFormat="false" ht="15" hidden="false" customHeight="false" outlineLevel="0" collapsed="false">
      <c r="A1005" s="19"/>
      <c r="B1005" s="20" t="str">
        <f aca="false">IF($X1005="","",INDEX('Per Line'!$D$2:$D$4001,$X1005))</f>
        <v/>
      </c>
      <c r="C1005" s="20" t="str">
        <f aca="false">IF($X1005="","",INDEX('Per Line'!$C$2:$C$4001,$X1005))</f>
        <v/>
      </c>
      <c r="D1005" s="20" t="str">
        <f aca="false">IF($X1005="","",INDEX('Per Line'!$A$2:$A$4001,$X1005))</f>
        <v/>
      </c>
      <c r="E1005" s="21" t="str">
        <f aca="false">IF($X1005="","",INDEX('Per Line'!$F$2:$F$4001,$X1005))</f>
        <v/>
      </c>
      <c r="F1005" s="20" t="str">
        <f aca="false">IF($X1005="","",INDEX('Per Line'!$G$2:$G$4001,$X1005))</f>
        <v/>
      </c>
      <c r="G1005" s="20" t="str">
        <f aca="false">IF($X1005="","",INDEX('Per Line'!$I$2:$I$4001,$X1005))</f>
        <v/>
      </c>
      <c r="H1005" s="20" t="str">
        <f aca="false">IF($X1005="","",INDEX('Per Line'!$J$2:$J$4001,$X1005))</f>
        <v/>
      </c>
      <c r="I1005" s="20" t="str">
        <f aca="false">IF($X1005="","",INDEX('Per Line'!$K$2:$K$4001,$X1005))</f>
        <v/>
      </c>
      <c r="J1005" s="20" t="str">
        <f aca="false">IF($X1005="","",INDEX('Per Line'!$L$2:$L$4001,$X1005))</f>
        <v/>
      </c>
      <c r="K1005" s="20" t="str">
        <f aca="false">IF($X1005="","",INDEX('Per Line'!$M$2:$M$4001,$X1005))</f>
        <v/>
      </c>
      <c r="L1005" s="22" t="str">
        <f aca="false">IF($X1005="","",K1005*V1005/100)</f>
        <v/>
      </c>
      <c r="M1005" s="20" t="str">
        <f aca="false">IF($X1005="","",INDEX('Per Line'!$Z$2:$Z$4001,$X1005))</f>
        <v/>
      </c>
      <c r="N1005" s="23" t="str">
        <f aca="false">IF($X1005="","",Settings!$C$7)</f>
        <v/>
      </c>
      <c r="O1005" s="22" t="str">
        <f aca="false">IF($X1005="","",SUMIFS('Per Line'!$Y$2:$Y$4001,'Per Line'!$D$2:$D$4001,$B1005,'Per Line'!$AJ$2:$AJ$4001,0))</f>
        <v/>
      </c>
      <c r="P1005" s="22" t="str">
        <f aca="false">IF($X1005="","",O1005*N1005)</f>
        <v/>
      </c>
      <c r="Q1005" s="23" t="str">
        <f aca="false">IF($X1005="","",Settings!$C$6)</f>
        <v/>
      </c>
      <c r="R1005" s="22" t="str">
        <f aca="false">IF($X1005="","",SUMIFS('Per Line'!$Y$2:$Y$4001,'Per Line'!$D$2:$D$4001,$B1005,'Per Line'!$AJ$2:$AJ$4001,1))</f>
        <v/>
      </c>
      <c r="S1005" s="22" t="str">
        <f aca="false">IF($X1005="","",R1005*Q1005)</f>
        <v/>
      </c>
      <c r="T1005" s="22" t="str">
        <f aca="false">IF($X1005="","",S1005+P1005)</f>
        <v/>
      </c>
      <c r="U1005" s="22" t="str">
        <f aca="false">IF($X1005="","",V1005-T1005)</f>
        <v/>
      </c>
      <c r="V1005" s="22" t="str">
        <f aca="false">IF($X1005="","",O1005+R1005)</f>
        <v/>
      </c>
      <c r="W1005" s="22" t="str">
        <f aca="false">IF($X1005="","",U1005-L1005)</f>
        <v/>
      </c>
      <c r="X1005" s="24" t="str">
        <f aca="false">IF(ROWS($X$2:$X1005)&lt;=MAX('Per Line'!$AI$2:$AI$4001),MATCH(ROWS($X$2:$X1005),'Per Line'!$AI$2:$AI$4001,0),"")</f>
        <v/>
      </c>
    </row>
    <row r="1006" customFormat="false" ht="15" hidden="false" customHeight="false" outlineLevel="0" collapsed="false">
      <c r="A1006" s="19"/>
      <c r="B1006" s="20" t="str">
        <f aca="false">IF($X1006="","",INDEX('Per Line'!$D$2:$D$4001,$X1006))</f>
        <v/>
      </c>
      <c r="C1006" s="20" t="str">
        <f aca="false">IF($X1006="","",INDEX('Per Line'!$C$2:$C$4001,$X1006))</f>
        <v/>
      </c>
      <c r="D1006" s="20" t="str">
        <f aca="false">IF($X1006="","",INDEX('Per Line'!$A$2:$A$4001,$X1006))</f>
        <v/>
      </c>
      <c r="E1006" s="21" t="str">
        <f aca="false">IF($X1006="","",INDEX('Per Line'!$F$2:$F$4001,$X1006))</f>
        <v/>
      </c>
      <c r="F1006" s="20" t="str">
        <f aca="false">IF($X1006="","",INDEX('Per Line'!$G$2:$G$4001,$X1006))</f>
        <v/>
      </c>
      <c r="G1006" s="20" t="str">
        <f aca="false">IF($X1006="","",INDEX('Per Line'!$I$2:$I$4001,$X1006))</f>
        <v/>
      </c>
      <c r="H1006" s="20" t="str">
        <f aca="false">IF($X1006="","",INDEX('Per Line'!$J$2:$J$4001,$X1006))</f>
        <v/>
      </c>
      <c r="I1006" s="20" t="str">
        <f aca="false">IF($X1006="","",INDEX('Per Line'!$K$2:$K$4001,$X1006))</f>
        <v/>
      </c>
      <c r="J1006" s="20" t="str">
        <f aca="false">IF($X1006="","",INDEX('Per Line'!$L$2:$L$4001,$X1006))</f>
        <v/>
      </c>
      <c r="K1006" s="20" t="str">
        <f aca="false">IF($X1006="","",INDEX('Per Line'!$M$2:$M$4001,$X1006))</f>
        <v/>
      </c>
      <c r="L1006" s="22" t="str">
        <f aca="false">IF($X1006="","",K1006*V1006/100)</f>
        <v/>
      </c>
      <c r="M1006" s="20" t="str">
        <f aca="false">IF($X1006="","",INDEX('Per Line'!$Z$2:$Z$4001,$X1006))</f>
        <v/>
      </c>
      <c r="N1006" s="23" t="str">
        <f aca="false">IF($X1006="","",Settings!$C$7)</f>
        <v/>
      </c>
      <c r="O1006" s="22" t="str">
        <f aca="false">IF($X1006="","",SUMIFS('Per Line'!$Y$2:$Y$4001,'Per Line'!$D$2:$D$4001,$B1006,'Per Line'!$AJ$2:$AJ$4001,0))</f>
        <v/>
      </c>
      <c r="P1006" s="22" t="str">
        <f aca="false">IF($X1006="","",O1006*N1006)</f>
        <v/>
      </c>
      <c r="Q1006" s="23" t="str">
        <f aca="false">IF($X1006="","",Settings!$C$6)</f>
        <v/>
      </c>
      <c r="R1006" s="22" t="str">
        <f aca="false">IF($X1006="","",SUMIFS('Per Line'!$Y$2:$Y$4001,'Per Line'!$D$2:$D$4001,$B1006,'Per Line'!$AJ$2:$AJ$4001,1))</f>
        <v/>
      </c>
      <c r="S1006" s="22" t="str">
        <f aca="false">IF($X1006="","",R1006*Q1006)</f>
        <v/>
      </c>
      <c r="T1006" s="22" t="str">
        <f aca="false">IF($X1006="","",S1006+P1006)</f>
        <v/>
      </c>
      <c r="U1006" s="22" t="str">
        <f aca="false">IF($X1006="","",V1006-T1006)</f>
        <v/>
      </c>
      <c r="V1006" s="22" t="str">
        <f aca="false">IF($X1006="","",O1006+R1006)</f>
        <v/>
      </c>
      <c r="W1006" s="22" t="str">
        <f aca="false">IF($X1006="","",U1006-L1006)</f>
        <v/>
      </c>
      <c r="X1006" s="24" t="str">
        <f aca="false">IF(ROWS($X$2:$X1006)&lt;=MAX('Per Line'!$AI$2:$AI$4001),MATCH(ROWS($X$2:$X1006),'Per Line'!$AI$2:$AI$4001,0),"")</f>
        <v/>
      </c>
    </row>
    <row r="1007" customFormat="false" ht="15" hidden="false" customHeight="false" outlineLevel="0" collapsed="false">
      <c r="A1007" s="19"/>
      <c r="B1007" s="20" t="str">
        <f aca="false">IF($X1007="","",INDEX('Per Line'!$D$2:$D$4001,$X1007))</f>
        <v/>
      </c>
      <c r="C1007" s="20" t="str">
        <f aca="false">IF($X1007="","",INDEX('Per Line'!$C$2:$C$4001,$X1007))</f>
        <v/>
      </c>
      <c r="D1007" s="20" t="str">
        <f aca="false">IF($X1007="","",INDEX('Per Line'!$A$2:$A$4001,$X1007))</f>
        <v/>
      </c>
      <c r="E1007" s="21" t="str">
        <f aca="false">IF($X1007="","",INDEX('Per Line'!$F$2:$F$4001,$X1007))</f>
        <v/>
      </c>
      <c r="F1007" s="20" t="str">
        <f aca="false">IF($X1007="","",INDEX('Per Line'!$G$2:$G$4001,$X1007))</f>
        <v/>
      </c>
      <c r="G1007" s="20" t="str">
        <f aca="false">IF($X1007="","",INDEX('Per Line'!$I$2:$I$4001,$X1007))</f>
        <v/>
      </c>
      <c r="H1007" s="20" t="str">
        <f aca="false">IF($X1007="","",INDEX('Per Line'!$J$2:$J$4001,$X1007))</f>
        <v/>
      </c>
      <c r="I1007" s="20" t="str">
        <f aca="false">IF($X1007="","",INDEX('Per Line'!$K$2:$K$4001,$X1007))</f>
        <v/>
      </c>
      <c r="J1007" s="20" t="str">
        <f aca="false">IF($X1007="","",INDEX('Per Line'!$L$2:$L$4001,$X1007))</f>
        <v/>
      </c>
      <c r="K1007" s="20" t="str">
        <f aca="false">IF($X1007="","",INDEX('Per Line'!$M$2:$M$4001,$X1007))</f>
        <v/>
      </c>
      <c r="L1007" s="22" t="str">
        <f aca="false">IF($X1007="","",K1007*V1007/100)</f>
        <v/>
      </c>
      <c r="M1007" s="20" t="str">
        <f aca="false">IF($X1007="","",INDEX('Per Line'!$Z$2:$Z$4001,$X1007))</f>
        <v/>
      </c>
      <c r="N1007" s="23" t="str">
        <f aca="false">IF($X1007="","",Settings!$C$7)</f>
        <v/>
      </c>
      <c r="O1007" s="22" t="str">
        <f aca="false">IF($X1007="","",SUMIFS('Per Line'!$Y$2:$Y$4001,'Per Line'!$D$2:$D$4001,$B1007,'Per Line'!$AJ$2:$AJ$4001,0))</f>
        <v/>
      </c>
      <c r="P1007" s="22" t="str">
        <f aca="false">IF($X1007="","",O1007*N1007)</f>
        <v/>
      </c>
      <c r="Q1007" s="23" t="str">
        <f aca="false">IF($X1007="","",Settings!$C$6)</f>
        <v/>
      </c>
      <c r="R1007" s="22" t="str">
        <f aca="false">IF($X1007="","",SUMIFS('Per Line'!$Y$2:$Y$4001,'Per Line'!$D$2:$D$4001,$B1007,'Per Line'!$AJ$2:$AJ$4001,1))</f>
        <v/>
      </c>
      <c r="S1007" s="22" t="str">
        <f aca="false">IF($X1007="","",R1007*Q1007)</f>
        <v/>
      </c>
      <c r="T1007" s="22" t="str">
        <f aca="false">IF($X1007="","",S1007+P1007)</f>
        <v/>
      </c>
      <c r="U1007" s="22" t="str">
        <f aca="false">IF($X1007="","",V1007-T1007)</f>
        <v/>
      </c>
      <c r="V1007" s="22" t="str">
        <f aca="false">IF($X1007="","",O1007+R1007)</f>
        <v/>
      </c>
      <c r="W1007" s="22" t="str">
        <f aca="false">IF($X1007="","",U1007-L1007)</f>
        <v/>
      </c>
      <c r="X1007" s="24" t="str">
        <f aca="false">IF(ROWS($X$2:$X1007)&lt;=MAX('Per Line'!$AI$2:$AI$4001),MATCH(ROWS($X$2:$X1007),'Per Line'!$AI$2:$AI$4001,0),"")</f>
        <v/>
      </c>
    </row>
    <row r="1008" customFormat="false" ht="15" hidden="false" customHeight="false" outlineLevel="0" collapsed="false">
      <c r="A1008" s="19"/>
      <c r="B1008" s="20" t="str">
        <f aca="false">IF($X1008="","",INDEX('Per Line'!$D$2:$D$4001,$X1008))</f>
        <v/>
      </c>
      <c r="C1008" s="20" t="str">
        <f aca="false">IF($X1008="","",INDEX('Per Line'!$C$2:$C$4001,$X1008))</f>
        <v/>
      </c>
      <c r="D1008" s="20" t="str">
        <f aca="false">IF($X1008="","",INDEX('Per Line'!$A$2:$A$4001,$X1008))</f>
        <v/>
      </c>
      <c r="E1008" s="21" t="str">
        <f aca="false">IF($X1008="","",INDEX('Per Line'!$F$2:$F$4001,$X1008))</f>
        <v/>
      </c>
      <c r="F1008" s="20" t="str">
        <f aca="false">IF($X1008="","",INDEX('Per Line'!$G$2:$G$4001,$X1008))</f>
        <v/>
      </c>
      <c r="G1008" s="20" t="str">
        <f aca="false">IF($X1008="","",INDEX('Per Line'!$I$2:$I$4001,$X1008))</f>
        <v/>
      </c>
      <c r="H1008" s="20" t="str">
        <f aca="false">IF($X1008="","",INDEX('Per Line'!$J$2:$J$4001,$X1008))</f>
        <v/>
      </c>
      <c r="I1008" s="20" t="str">
        <f aca="false">IF($X1008="","",INDEX('Per Line'!$K$2:$K$4001,$X1008))</f>
        <v/>
      </c>
      <c r="J1008" s="20" t="str">
        <f aca="false">IF($X1008="","",INDEX('Per Line'!$L$2:$L$4001,$X1008))</f>
        <v/>
      </c>
      <c r="K1008" s="20" t="str">
        <f aca="false">IF($X1008="","",INDEX('Per Line'!$M$2:$M$4001,$X1008))</f>
        <v/>
      </c>
      <c r="L1008" s="22" t="str">
        <f aca="false">IF($X1008="","",K1008*V1008/100)</f>
        <v/>
      </c>
      <c r="M1008" s="20" t="str">
        <f aca="false">IF($X1008="","",INDEX('Per Line'!$Z$2:$Z$4001,$X1008))</f>
        <v/>
      </c>
      <c r="N1008" s="23" t="str">
        <f aca="false">IF($X1008="","",Settings!$C$7)</f>
        <v/>
      </c>
      <c r="O1008" s="22" t="str">
        <f aca="false">IF($X1008="","",SUMIFS('Per Line'!$Y$2:$Y$4001,'Per Line'!$D$2:$D$4001,$B1008,'Per Line'!$AJ$2:$AJ$4001,0))</f>
        <v/>
      </c>
      <c r="P1008" s="22" t="str">
        <f aca="false">IF($X1008="","",O1008*N1008)</f>
        <v/>
      </c>
      <c r="Q1008" s="23" t="str">
        <f aca="false">IF($X1008="","",Settings!$C$6)</f>
        <v/>
      </c>
      <c r="R1008" s="22" t="str">
        <f aca="false">IF($X1008="","",SUMIFS('Per Line'!$Y$2:$Y$4001,'Per Line'!$D$2:$D$4001,$B1008,'Per Line'!$AJ$2:$AJ$4001,1))</f>
        <v/>
      </c>
      <c r="S1008" s="22" t="str">
        <f aca="false">IF($X1008="","",R1008*Q1008)</f>
        <v/>
      </c>
      <c r="T1008" s="22" t="str">
        <f aca="false">IF($X1008="","",S1008+P1008)</f>
        <v/>
      </c>
      <c r="U1008" s="22" t="str">
        <f aca="false">IF($X1008="","",V1008-T1008)</f>
        <v/>
      </c>
      <c r="V1008" s="22" t="str">
        <f aca="false">IF($X1008="","",O1008+R1008)</f>
        <v/>
      </c>
      <c r="W1008" s="22" t="str">
        <f aca="false">IF($X1008="","",U1008-L1008)</f>
        <v/>
      </c>
      <c r="X1008" s="24" t="str">
        <f aca="false">IF(ROWS($X$2:$X1008)&lt;=MAX('Per Line'!$AI$2:$AI$4001),MATCH(ROWS($X$2:$X1008),'Per Line'!$AI$2:$AI$4001,0),"")</f>
        <v/>
      </c>
    </row>
    <row r="1009" customFormat="false" ht="15" hidden="false" customHeight="false" outlineLevel="0" collapsed="false">
      <c r="A1009" s="19"/>
      <c r="B1009" s="20" t="str">
        <f aca="false">IF($X1009="","",INDEX('Per Line'!$D$2:$D$4001,$X1009))</f>
        <v/>
      </c>
      <c r="C1009" s="20" t="str">
        <f aca="false">IF($X1009="","",INDEX('Per Line'!$C$2:$C$4001,$X1009))</f>
        <v/>
      </c>
      <c r="D1009" s="20" t="str">
        <f aca="false">IF($X1009="","",INDEX('Per Line'!$A$2:$A$4001,$X1009))</f>
        <v/>
      </c>
      <c r="E1009" s="21" t="str">
        <f aca="false">IF($X1009="","",INDEX('Per Line'!$F$2:$F$4001,$X1009))</f>
        <v/>
      </c>
      <c r="F1009" s="20" t="str">
        <f aca="false">IF($X1009="","",INDEX('Per Line'!$G$2:$G$4001,$X1009))</f>
        <v/>
      </c>
      <c r="G1009" s="20" t="str">
        <f aca="false">IF($X1009="","",INDEX('Per Line'!$I$2:$I$4001,$X1009))</f>
        <v/>
      </c>
      <c r="H1009" s="20" t="str">
        <f aca="false">IF($X1009="","",INDEX('Per Line'!$J$2:$J$4001,$X1009))</f>
        <v/>
      </c>
      <c r="I1009" s="20" t="str">
        <f aca="false">IF($X1009="","",INDEX('Per Line'!$K$2:$K$4001,$X1009))</f>
        <v/>
      </c>
      <c r="J1009" s="20" t="str">
        <f aca="false">IF($X1009="","",INDEX('Per Line'!$L$2:$L$4001,$X1009))</f>
        <v/>
      </c>
      <c r="K1009" s="20" t="str">
        <f aca="false">IF($X1009="","",INDEX('Per Line'!$M$2:$M$4001,$X1009))</f>
        <v/>
      </c>
      <c r="L1009" s="22" t="str">
        <f aca="false">IF($X1009="","",K1009*V1009/100)</f>
        <v/>
      </c>
      <c r="M1009" s="20" t="str">
        <f aca="false">IF($X1009="","",INDEX('Per Line'!$Z$2:$Z$4001,$X1009))</f>
        <v/>
      </c>
      <c r="N1009" s="23" t="str">
        <f aca="false">IF($X1009="","",Settings!$C$7)</f>
        <v/>
      </c>
      <c r="O1009" s="22" t="str">
        <f aca="false">IF($X1009="","",SUMIFS('Per Line'!$Y$2:$Y$4001,'Per Line'!$D$2:$D$4001,$B1009,'Per Line'!$AJ$2:$AJ$4001,0))</f>
        <v/>
      </c>
      <c r="P1009" s="22" t="str">
        <f aca="false">IF($X1009="","",O1009*N1009)</f>
        <v/>
      </c>
      <c r="Q1009" s="23" t="str">
        <f aca="false">IF($X1009="","",Settings!$C$6)</f>
        <v/>
      </c>
      <c r="R1009" s="22" t="str">
        <f aca="false">IF($X1009="","",SUMIFS('Per Line'!$Y$2:$Y$4001,'Per Line'!$D$2:$D$4001,$B1009,'Per Line'!$AJ$2:$AJ$4001,1))</f>
        <v/>
      </c>
      <c r="S1009" s="22" t="str">
        <f aca="false">IF($X1009="","",R1009*Q1009)</f>
        <v/>
      </c>
      <c r="T1009" s="22" t="str">
        <f aca="false">IF($X1009="","",S1009+P1009)</f>
        <v/>
      </c>
      <c r="U1009" s="22" t="str">
        <f aca="false">IF($X1009="","",V1009-T1009)</f>
        <v/>
      </c>
      <c r="V1009" s="22" t="str">
        <f aca="false">IF($X1009="","",O1009+R1009)</f>
        <v/>
      </c>
      <c r="W1009" s="22" t="str">
        <f aca="false">IF($X1009="","",U1009-L1009)</f>
        <v/>
      </c>
      <c r="X1009" s="24" t="str">
        <f aca="false">IF(ROWS($X$2:$X1009)&lt;=MAX('Per Line'!$AI$2:$AI$4001),MATCH(ROWS($X$2:$X1009),'Per Line'!$AI$2:$AI$4001,0),"")</f>
        <v/>
      </c>
    </row>
    <row r="1010" customFormat="false" ht="15" hidden="false" customHeight="false" outlineLevel="0" collapsed="false">
      <c r="A1010" s="19"/>
      <c r="B1010" s="20" t="str">
        <f aca="false">IF($X1010="","",INDEX('Per Line'!$D$2:$D$4001,$X1010))</f>
        <v/>
      </c>
      <c r="C1010" s="20" t="str">
        <f aca="false">IF($X1010="","",INDEX('Per Line'!$C$2:$C$4001,$X1010))</f>
        <v/>
      </c>
      <c r="D1010" s="20" t="str">
        <f aca="false">IF($X1010="","",INDEX('Per Line'!$A$2:$A$4001,$X1010))</f>
        <v/>
      </c>
      <c r="E1010" s="21" t="str">
        <f aca="false">IF($X1010="","",INDEX('Per Line'!$F$2:$F$4001,$X1010))</f>
        <v/>
      </c>
      <c r="F1010" s="20" t="str">
        <f aca="false">IF($X1010="","",INDEX('Per Line'!$G$2:$G$4001,$X1010))</f>
        <v/>
      </c>
      <c r="G1010" s="20" t="str">
        <f aca="false">IF($X1010="","",INDEX('Per Line'!$I$2:$I$4001,$X1010))</f>
        <v/>
      </c>
      <c r="H1010" s="20" t="str">
        <f aca="false">IF($X1010="","",INDEX('Per Line'!$J$2:$J$4001,$X1010))</f>
        <v/>
      </c>
      <c r="I1010" s="20" t="str">
        <f aca="false">IF($X1010="","",INDEX('Per Line'!$K$2:$K$4001,$X1010))</f>
        <v/>
      </c>
      <c r="J1010" s="20" t="str">
        <f aca="false">IF($X1010="","",INDEX('Per Line'!$L$2:$L$4001,$X1010))</f>
        <v/>
      </c>
      <c r="K1010" s="20" t="str">
        <f aca="false">IF($X1010="","",INDEX('Per Line'!$M$2:$M$4001,$X1010))</f>
        <v/>
      </c>
      <c r="L1010" s="22" t="str">
        <f aca="false">IF($X1010="","",K1010*V1010/100)</f>
        <v/>
      </c>
      <c r="M1010" s="20" t="str">
        <f aca="false">IF($X1010="","",INDEX('Per Line'!$Z$2:$Z$4001,$X1010))</f>
        <v/>
      </c>
      <c r="N1010" s="23" t="str">
        <f aca="false">IF($X1010="","",Settings!$C$7)</f>
        <v/>
      </c>
      <c r="O1010" s="22" t="str">
        <f aca="false">IF($X1010="","",SUMIFS('Per Line'!$Y$2:$Y$4001,'Per Line'!$D$2:$D$4001,$B1010,'Per Line'!$AJ$2:$AJ$4001,0))</f>
        <v/>
      </c>
      <c r="P1010" s="22" t="str">
        <f aca="false">IF($X1010="","",O1010*N1010)</f>
        <v/>
      </c>
      <c r="Q1010" s="23" t="str">
        <f aca="false">IF($X1010="","",Settings!$C$6)</f>
        <v/>
      </c>
      <c r="R1010" s="22" t="str">
        <f aca="false">IF($X1010="","",SUMIFS('Per Line'!$Y$2:$Y$4001,'Per Line'!$D$2:$D$4001,$B1010,'Per Line'!$AJ$2:$AJ$4001,1))</f>
        <v/>
      </c>
      <c r="S1010" s="22" t="str">
        <f aca="false">IF($X1010="","",R1010*Q1010)</f>
        <v/>
      </c>
      <c r="T1010" s="22" t="str">
        <f aca="false">IF($X1010="","",S1010+P1010)</f>
        <v/>
      </c>
      <c r="U1010" s="22" t="str">
        <f aca="false">IF($X1010="","",V1010-T1010)</f>
        <v/>
      </c>
      <c r="V1010" s="22" t="str">
        <f aca="false">IF($X1010="","",O1010+R1010)</f>
        <v/>
      </c>
      <c r="W1010" s="22" t="str">
        <f aca="false">IF($X1010="","",U1010-L1010)</f>
        <v/>
      </c>
      <c r="X1010" s="24" t="str">
        <f aca="false">IF(ROWS($X$2:$X1010)&lt;=MAX('Per Line'!$AI$2:$AI$4001),MATCH(ROWS($X$2:$X1010),'Per Line'!$AI$2:$AI$4001,0),"")</f>
        <v/>
      </c>
    </row>
    <row r="1011" customFormat="false" ht="15" hidden="false" customHeight="false" outlineLevel="0" collapsed="false">
      <c r="A1011" s="19"/>
      <c r="B1011" s="20" t="str">
        <f aca="false">IF($X1011="","",INDEX('Per Line'!$D$2:$D$4001,$X1011))</f>
        <v/>
      </c>
      <c r="C1011" s="20" t="str">
        <f aca="false">IF($X1011="","",INDEX('Per Line'!$C$2:$C$4001,$X1011))</f>
        <v/>
      </c>
      <c r="D1011" s="20" t="str">
        <f aca="false">IF($X1011="","",INDEX('Per Line'!$A$2:$A$4001,$X1011))</f>
        <v/>
      </c>
      <c r="E1011" s="21" t="str">
        <f aca="false">IF($X1011="","",INDEX('Per Line'!$F$2:$F$4001,$X1011))</f>
        <v/>
      </c>
      <c r="F1011" s="20" t="str">
        <f aca="false">IF($X1011="","",INDEX('Per Line'!$G$2:$G$4001,$X1011))</f>
        <v/>
      </c>
      <c r="G1011" s="20" t="str">
        <f aca="false">IF($X1011="","",INDEX('Per Line'!$I$2:$I$4001,$X1011))</f>
        <v/>
      </c>
      <c r="H1011" s="20" t="str">
        <f aca="false">IF($X1011="","",INDEX('Per Line'!$J$2:$J$4001,$X1011))</f>
        <v/>
      </c>
      <c r="I1011" s="20" t="str">
        <f aca="false">IF($X1011="","",INDEX('Per Line'!$K$2:$K$4001,$X1011))</f>
        <v/>
      </c>
      <c r="J1011" s="20" t="str">
        <f aca="false">IF($X1011="","",INDEX('Per Line'!$L$2:$L$4001,$X1011))</f>
        <v/>
      </c>
      <c r="K1011" s="20" t="str">
        <f aca="false">IF($X1011="","",INDEX('Per Line'!$M$2:$M$4001,$X1011))</f>
        <v/>
      </c>
      <c r="L1011" s="22" t="str">
        <f aca="false">IF($X1011="","",K1011*V1011/100)</f>
        <v/>
      </c>
      <c r="M1011" s="20" t="str">
        <f aca="false">IF($X1011="","",INDEX('Per Line'!$Z$2:$Z$4001,$X1011))</f>
        <v/>
      </c>
      <c r="N1011" s="23" t="str">
        <f aca="false">IF($X1011="","",Settings!$C$7)</f>
        <v/>
      </c>
      <c r="O1011" s="22" t="str">
        <f aca="false">IF($X1011="","",SUMIFS('Per Line'!$Y$2:$Y$4001,'Per Line'!$D$2:$D$4001,$B1011,'Per Line'!$AJ$2:$AJ$4001,0))</f>
        <v/>
      </c>
      <c r="P1011" s="22" t="str">
        <f aca="false">IF($X1011="","",O1011*N1011)</f>
        <v/>
      </c>
      <c r="Q1011" s="23" t="str">
        <f aca="false">IF($X1011="","",Settings!$C$6)</f>
        <v/>
      </c>
      <c r="R1011" s="22" t="str">
        <f aca="false">IF($X1011="","",SUMIFS('Per Line'!$Y$2:$Y$4001,'Per Line'!$D$2:$D$4001,$B1011,'Per Line'!$AJ$2:$AJ$4001,1))</f>
        <v/>
      </c>
      <c r="S1011" s="22" t="str">
        <f aca="false">IF($X1011="","",R1011*Q1011)</f>
        <v/>
      </c>
      <c r="T1011" s="22" t="str">
        <f aca="false">IF($X1011="","",S1011+P1011)</f>
        <v/>
      </c>
      <c r="U1011" s="22" t="str">
        <f aca="false">IF($X1011="","",V1011-T1011)</f>
        <v/>
      </c>
      <c r="V1011" s="22" t="str">
        <f aca="false">IF($X1011="","",O1011+R1011)</f>
        <v/>
      </c>
      <c r="W1011" s="22" t="str">
        <f aca="false">IF($X1011="","",U1011-L1011)</f>
        <v/>
      </c>
      <c r="X1011" s="24" t="str">
        <f aca="false">IF(ROWS($X$2:$X1011)&lt;=MAX('Per Line'!$AI$2:$AI$4001),MATCH(ROWS($X$2:$X1011),'Per Line'!$AI$2:$AI$4001,0),"")</f>
        <v/>
      </c>
    </row>
    <row r="1012" customFormat="false" ht="15" hidden="false" customHeight="false" outlineLevel="0" collapsed="false">
      <c r="A1012" s="19"/>
      <c r="B1012" s="20" t="str">
        <f aca="false">IF($X1012="","",INDEX('Per Line'!$D$2:$D$4001,$X1012))</f>
        <v/>
      </c>
      <c r="C1012" s="20" t="str">
        <f aca="false">IF($X1012="","",INDEX('Per Line'!$C$2:$C$4001,$X1012))</f>
        <v/>
      </c>
      <c r="D1012" s="20" t="str">
        <f aca="false">IF($X1012="","",INDEX('Per Line'!$A$2:$A$4001,$X1012))</f>
        <v/>
      </c>
      <c r="E1012" s="21" t="str">
        <f aca="false">IF($X1012="","",INDEX('Per Line'!$F$2:$F$4001,$X1012))</f>
        <v/>
      </c>
      <c r="F1012" s="20" t="str">
        <f aca="false">IF($X1012="","",INDEX('Per Line'!$G$2:$G$4001,$X1012))</f>
        <v/>
      </c>
      <c r="G1012" s="20" t="str">
        <f aca="false">IF($X1012="","",INDEX('Per Line'!$I$2:$I$4001,$X1012))</f>
        <v/>
      </c>
      <c r="H1012" s="20" t="str">
        <f aca="false">IF($X1012="","",INDEX('Per Line'!$J$2:$J$4001,$X1012))</f>
        <v/>
      </c>
      <c r="I1012" s="20" t="str">
        <f aca="false">IF($X1012="","",INDEX('Per Line'!$K$2:$K$4001,$X1012))</f>
        <v/>
      </c>
      <c r="J1012" s="20" t="str">
        <f aca="false">IF($X1012="","",INDEX('Per Line'!$L$2:$L$4001,$X1012))</f>
        <v/>
      </c>
      <c r="K1012" s="20" t="str">
        <f aca="false">IF($X1012="","",INDEX('Per Line'!$M$2:$M$4001,$X1012))</f>
        <v/>
      </c>
      <c r="L1012" s="22" t="str">
        <f aca="false">IF($X1012="","",K1012*V1012/100)</f>
        <v/>
      </c>
      <c r="M1012" s="20" t="str">
        <f aca="false">IF($X1012="","",INDEX('Per Line'!$Z$2:$Z$4001,$X1012))</f>
        <v/>
      </c>
      <c r="N1012" s="23" t="str">
        <f aca="false">IF($X1012="","",Settings!$C$7)</f>
        <v/>
      </c>
      <c r="O1012" s="22" t="str">
        <f aca="false">IF($X1012="","",SUMIFS('Per Line'!$Y$2:$Y$4001,'Per Line'!$D$2:$D$4001,$B1012,'Per Line'!$AJ$2:$AJ$4001,0))</f>
        <v/>
      </c>
      <c r="P1012" s="22" t="str">
        <f aca="false">IF($X1012="","",O1012*N1012)</f>
        <v/>
      </c>
      <c r="Q1012" s="23" t="str">
        <f aca="false">IF($X1012="","",Settings!$C$6)</f>
        <v/>
      </c>
      <c r="R1012" s="22" t="str">
        <f aca="false">IF($X1012="","",SUMIFS('Per Line'!$Y$2:$Y$4001,'Per Line'!$D$2:$D$4001,$B1012,'Per Line'!$AJ$2:$AJ$4001,1))</f>
        <v/>
      </c>
      <c r="S1012" s="22" t="str">
        <f aca="false">IF($X1012="","",R1012*Q1012)</f>
        <v/>
      </c>
      <c r="T1012" s="22" t="str">
        <f aca="false">IF($X1012="","",S1012+P1012)</f>
        <v/>
      </c>
      <c r="U1012" s="22" t="str">
        <f aca="false">IF($X1012="","",V1012-T1012)</f>
        <v/>
      </c>
      <c r="V1012" s="22" t="str">
        <f aca="false">IF($X1012="","",O1012+R1012)</f>
        <v/>
      </c>
      <c r="W1012" s="22" t="str">
        <f aca="false">IF($X1012="","",U1012-L1012)</f>
        <v/>
      </c>
      <c r="X1012" s="24" t="str">
        <f aca="false">IF(ROWS($X$2:$X1012)&lt;=MAX('Per Line'!$AI$2:$AI$4001),MATCH(ROWS($X$2:$X1012),'Per Line'!$AI$2:$AI$4001,0),"")</f>
        <v/>
      </c>
    </row>
    <row r="1013" customFormat="false" ht="15" hidden="false" customHeight="false" outlineLevel="0" collapsed="false">
      <c r="A1013" s="19"/>
      <c r="B1013" s="20" t="str">
        <f aca="false">IF($X1013="","",INDEX('Per Line'!$D$2:$D$4001,$X1013))</f>
        <v/>
      </c>
      <c r="C1013" s="20" t="str">
        <f aca="false">IF($X1013="","",INDEX('Per Line'!$C$2:$C$4001,$X1013))</f>
        <v/>
      </c>
      <c r="D1013" s="20" t="str">
        <f aca="false">IF($X1013="","",INDEX('Per Line'!$A$2:$A$4001,$X1013))</f>
        <v/>
      </c>
      <c r="E1013" s="21" t="str">
        <f aca="false">IF($X1013="","",INDEX('Per Line'!$F$2:$F$4001,$X1013))</f>
        <v/>
      </c>
      <c r="F1013" s="20" t="str">
        <f aca="false">IF($X1013="","",INDEX('Per Line'!$G$2:$G$4001,$X1013))</f>
        <v/>
      </c>
      <c r="G1013" s="20" t="str">
        <f aca="false">IF($X1013="","",INDEX('Per Line'!$I$2:$I$4001,$X1013))</f>
        <v/>
      </c>
      <c r="H1013" s="20" t="str">
        <f aca="false">IF($X1013="","",INDEX('Per Line'!$J$2:$J$4001,$X1013))</f>
        <v/>
      </c>
      <c r="I1013" s="20" t="str">
        <f aca="false">IF($X1013="","",INDEX('Per Line'!$K$2:$K$4001,$X1013))</f>
        <v/>
      </c>
      <c r="J1013" s="20" t="str">
        <f aca="false">IF($X1013="","",INDEX('Per Line'!$L$2:$L$4001,$X1013))</f>
        <v/>
      </c>
      <c r="K1013" s="20" t="str">
        <f aca="false">IF($X1013="","",INDEX('Per Line'!$M$2:$M$4001,$X1013))</f>
        <v/>
      </c>
      <c r="L1013" s="22" t="str">
        <f aca="false">IF($X1013="","",K1013*V1013/100)</f>
        <v/>
      </c>
      <c r="M1013" s="20" t="str">
        <f aca="false">IF($X1013="","",INDEX('Per Line'!$Z$2:$Z$4001,$X1013))</f>
        <v/>
      </c>
      <c r="N1013" s="23" t="str">
        <f aca="false">IF($X1013="","",Settings!$C$7)</f>
        <v/>
      </c>
      <c r="O1013" s="22" t="str">
        <f aca="false">IF($X1013="","",SUMIFS('Per Line'!$Y$2:$Y$4001,'Per Line'!$D$2:$D$4001,$B1013,'Per Line'!$AJ$2:$AJ$4001,0))</f>
        <v/>
      </c>
      <c r="P1013" s="22" t="str">
        <f aca="false">IF($X1013="","",O1013*N1013)</f>
        <v/>
      </c>
      <c r="Q1013" s="23" t="str">
        <f aca="false">IF($X1013="","",Settings!$C$6)</f>
        <v/>
      </c>
      <c r="R1013" s="22" t="str">
        <f aca="false">IF($X1013="","",SUMIFS('Per Line'!$Y$2:$Y$4001,'Per Line'!$D$2:$D$4001,$B1013,'Per Line'!$AJ$2:$AJ$4001,1))</f>
        <v/>
      </c>
      <c r="S1013" s="22" t="str">
        <f aca="false">IF($X1013="","",R1013*Q1013)</f>
        <v/>
      </c>
      <c r="T1013" s="22" t="str">
        <f aca="false">IF($X1013="","",S1013+P1013)</f>
        <v/>
      </c>
      <c r="U1013" s="22" t="str">
        <f aca="false">IF($X1013="","",V1013-T1013)</f>
        <v/>
      </c>
      <c r="V1013" s="22" t="str">
        <f aca="false">IF($X1013="","",O1013+R1013)</f>
        <v/>
      </c>
      <c r="W1013" s="22" t="str">
        <f aca="false">IF($X1013="","",U1013-L1013)</f>
        <v/>
      </c>
      <c r="X1013" s="24" t="str">
        <f aca="false">IF(ROWS($X$2:$X1013)&lt;=MAX('Per Line'!$AI$2:$AI$4001),MATCH(ROWS($X$2:$X1013),'Per Line'!$AI$2:$AI$4001,0),"")</f>
        <v/>
      </c>
    </row>
    <row r="1014" customFormat="false" ht="15" hidden="false" customHeight="false" outlineLevel="0" collapsed="false">
      <c r="A1014" s="19"/>
      <c r="B1014" s="20" t="str">
        <f aca="false">IF($X1014="","",INDEX('Per Line'!$D$2:$D$4001,$X1014))</f>
        <v/>
      </c>
      <c r="C1014" s="20" t="str">
        <f aca="false">IF($X1014="","",INDEX('Per Line'!$C$2:$C$4001,$X1014))</f>
        <v/>
      </c>
      <c r="D1014" s="20" t="str">
        <f aca="false">IF($X1014="","",INDEX('Per Line'!$A$2:$A$4001,$X1014))</f>
        <v/>
      </c>
      <c r="E1014" s="21" t="str">
        <f aca="false">IF($X1014="","",INDEX('Per Line'!$F$2:$F$4001,$X1014))</f>
        <v/>
      </c>
      <c r="F1014" s="20" t="str">
        <f aca="false">IF($X1014="","",INDEX('Per Line'!$G$2:$G$4001,$X1014))</f>
        <v/>
      </c>
      <c r="G1014" s="20" t="str">
        <f aca="false">IF($X1014="","",INDEX('Per Line'!$I$2:$I$4001,$X1014))</f>
        <v/>
      </c>
      <c r="H1014" s="20" t="str">
        <f aca="false">IF($X1014="","",INDEX('Per Line'!$J$2:$J$4001,$X1014))</f>
        <v/>
      </c>
      <c r="I1014" s="20" t="str">
        <f aca="false">IF($X1014="","",INDEX('Per Line'!$K$2:$K$4001,$X1014))</f>
        <v/>
      </c>
      <c r="J1014" s="20" t="str">
        <f aca="false">IF($X1014="","",INDEX('Per Line'!$L$2:$L$4001,$X1014))</f>
        <v/>
      </c>
      <c r="K1014" s="20" t="str">
        <f aca="false">IF($X1014="","",INDEX('Per Line'!$M$2:$M$4001,$X1014))</f>
        <v/>
      </c>
      <c r="L1014" s="22" t="str">
        <f aca="false">IF($X1014="","",K1014*V1014/100)</f>
        <v/>
      </c>
      <c r="M1014" s="20" t="str">
        <f aca="false">IF($X1014="","",INDEX('Per Line'!$Z$2:$Z$4001,$X1014))</f>
        <v/>
      </c>
      <c r="N1014" s="23" t="str">
        <f aca="false">IF($X1014="","",Settings!$C$7)</f>
        <v/>
      </c>
      <c r="O1014" s="22" t="str">
        <f aca="false">IF($X1014="","",SUMIFS('Per Line'!$Y$2:$Y$4001,'Per Line'!$D$2:$D$4001,$B1014,'Per Line'!$AJ$2:$AJ$4001,0))</f>
        <v/>
      </c>
      <c r="P1014" s="22" t="str">
        <f aca="false">IF($X1014="","",O1014*N1014)</f>
        <v/>
      </c>
      <c r="Q1014" s="23" t="str">
        <f aca="false">IF($X1014="","",Settings!$C$6)</f>
        <v/>
      </c>
      <c r="R1014" s="22" t="str">
        <f aca="false">IF($X1014="","",SUMIFS('Per Line'!$Y$2:$Y$4001,'Per Line'!$D$2:$D$4001,$B1014,'Per Line'!$AJ$2:$AJ$4001,1))</f>
        <v/>
      </c>
      <c r="S1014" s="22" t="str">
        <f aca="false">IF($X1014="","",R1014*Q1014)</f>
        <v/>
      </c>
      <c r="T1014" s="22" t="str">
        <f aca="false">IF($X1014="","",S1014+P1014)</f>
        <v/>
      </c>
      <c r="U1014" s="22" t="str">
        <f aca="false">IF($X1014="","",V1014-T1014)</f>
        <v/>
      </c>
      <c r="V1014" s="22" t="str">
        <f aca="false">IF($X1014="","",O1014+R1014)</f>
        <v/>
      </c>
      <c r="W1014" s="22" t="str">
        <f aca="false">IF($X1014="","",U1014-L1014)</f>
        <v/>
      </c>
      <c r="X1014" s="24" t="str">
        <f aca="false">IF(ROWS($X$2:$X1014)&lt;=MAX('Per Line'!$AI$2:$AI$4001),MATCH(ROWS($X$2:$X1014),'Per Line'!$AI$2:$AI$4001,0),"")</f>
        <v/>
      </c>
    </row>
    <row r="1015" customFormat="false" ht="15" hidden="false" customHeight="false" outlineLevel="0" collapsed="false">
      <c r="A1015" s="19"/>
      <c r="B1015" s="20" t="str">
        <f aca="false">IF($X1015="","",INDEX('Per Line'!$D$2:$D$4001,$X1015))</f>
        <v/>
      </c>
      <c r="C1015" s="20" t="str">
        <f aca="false">IF($X1015="","",INDEX('Per Line'!$C$2:$C$4001,$X1015))</f>
        <v/>
      </c>
      <c r="D1015" s="20" t="str">
        <f aca="false">IF($X1015="","",INDEX('Per Line'!$A$2:$A$4001,$X1015))</f>
        <v/>
      </c>
      <c r="E1015" s="21" t="str">
        <f aca="false">IF($X1015="","",INDEX('Per Line'!$F$2:$F$4001,$X1015))</f>
        <v/>
      </c>
      <c r="F1015" s="20" t="str">
        <f aca="false">IF($X1015="","",INDEX('Per Line'!$G$2:$G$4001,$X1015))</f>
        <v/>
      </c>
      <c r="G1015" s="20" t="str">
        <f aca="false">IF($X1015="","",INDEX('Per Line'!$I$2:$I$4001,$X1015))</f>
        <v/>
      </c>
      <c r="H1015" s="20" t="str">
        <f aca="false">IF($X1015="","",INDEX('Per Line'!$J$2:$J$4001,$X1015))</f>
        <v/>
      </c>
      <c r="I1015" s="20" t="str">
        <f aca="false">IF($X1015="","",INDEX('Per Line'!$K$2:$K$4001,$X1015))</f>
        <v/>
      </c>
      <c r="J1015" s="20" t="str">
        <f aca="false">IF($X1015="","",INDEX('Per Line'!$L$2:$L$4001,$X1015))</f>
        <v/>
      </c>
      <c r="K1015" s="20" t="str">
        <f aca="false">IF($X1015="","",INDEX('Per Line'!$M$2:$M$4001,$X1015))</f>
        <v/>
      </c>
      <c r="L1015" s="22" t="str">
        <f aca="false">IF($X1015="","",K1015*V1015/100)</f>
        <v/>
      </c>
      <c r="M1015" s="20" t="str">
        <f aca="false">IF($X1015="","",INDEX('Per Line'!$Z$2:$Z$4001,$X1015))</f>
        <v/>
      </c>
      <c r="N1015" s="23" t="str">
        <f aca="false">IF($X1015="","",Settings!$C$7)</f>
        <v/>
      </c>
      <c r="O1015" s="22" t="str">
        <f aca="false">IF($X1015="","",SUMIFS('Per Line'!$Y$2:$Y$4001,'Per Line'!$D$2:$D$4001,$B1015,'Per Line'!$AJ$2:$AJ$4001,0))</f>
        <v/>
      </c>
      <c r="P1015" s="22" t="str">
        <f aca="false">IF($X1015="","",O1015*N1015)</f>
        <v/>
      </c>
      <c r="Q1015" s="23" t="str">
        <f aca="false">IF($X1015="","",Settings!$C$6)</f>
        <v/>
      </c>
      <c r="R1015" s="22" t="str">
        <f aca="false">IF($X1015="","",SUMIFS('Per Line'!$Y$2:$Y$4001,'Per Line'!$D$2:$D$4001,$B1015,'Per Line'!$AJ$2:$AJ$4001,1))</f>
        <v/>
      </c>
      <c r="S1015" s="22" t="str">
        <f aca="false">IF($X1015="","",R1015*Q1015)</f>
        <v/>
      </c>
      <c r="T1015" s="22" t="str">
        <f aca="false">IF($X1015="","",S1015+P1015)</f>
        <v/>
      </c>
      <c r="U1015" s="22" t="str">
        <f aca="false">IF($X1015="","",V1015-T1015)</f>
        <v/>
      </c>
      <c r="V1015" s="22" t="str">
        <f aca="false">IF($X1015="","",O1015+R1015)</f>
        <v/>
      </c>
      <c r="W1015" s="22" t="str">
        <f aca="false">IF($X1015="","",U1015-L1015)</f>
        <v/>
      </c>
      <c r="X1015" s="24" t="str">
        <f aca="false">IF(ROWS($X$2:$X1015)&lt;=MAX('Per Line'!$AI$2:$AI$4001),MATCH(ROWS($X$2:$X1015),'Per Line'!$AI$2:$AI$4001,0),"")</f>
        <v/>
      </c>
    </row>
    <row r="1016" customFormat="false" ht="15" hidden="false" customHeight="false" outlineLevel="0" collapsed="false">
      <c r="A1016" s="19"/>
      <c r="B1016" s="20" t="str">
        <f aca="false">IF($X1016="","",INDEX('Per Line'!$D$2:$D$4001,$X1016))</f>
        <v/>
      </c>
      <c r="C1016" s="20" t="str">
        <f aca="false">IF($X1016="","",INDEX('Per Line'!$C$2:$C$4001,$X1016))</f>
        <v/>
      </c>
      <c r="D1016" s="20" t="str">
        <f aca="false">IF($X1016="","",INDEX('Per Line'!$A$2:$A$4001,$X1016))</f>
        <v/>
      </c>
      <c r="E1016" s="21" t="str">
        <f aca="false">IF($X1016="","",INDEX('Per Line'!$F$2:$F$4001,$X1016))</f>
        <v/>
      </c>
      <c r="F1016" s="20" t="str">
        <f aca="false">IF($X1016="","",INDEX('Per Line'!$G$2:$G$4001,$X1016))</f>
        <v/>
      </c>
      <c r="G1016" s="20" t="str">
        <f aca="false">IF($X1016="","",INDEX('Per Line'!$I$2:$I$4001,$X1016))</f>
        <v/>
      </c>
      <c r="H1016" s="20" t="str">
        <f aca="false">IF($X1016="","",INDEX('Per Line'!$J$2:$J$4001,$X1016))</f>
        <v/>
      </c>
      <c r="I1016" s="20" t="str">
        <f aca="false">IF($X1016="","",INDEX('Per Line'!$K$2:$K$4001,$X1016))</f>
        <v/>
      </c>
      <c r="J1016" s="20" t="str">
        <f aca="false">IF($X1016="","",INDEX('Per Line'!$L$2:$L$4001,$X1016))</f>
        <v/>
      </c>
      <c r="K1016" s="20" t="str">
        <f aca="false">IF($X1016="","",INDEX('Per Line'!$M$2:$M$4001,$X1016))</f>
        <v/>
      </c>
      <c r="L1016" s="22" t="str">
        <f aca="false">IF($X1016="","",K1016*V1016/100)</f>
        <v/>
      </c>
      <c r="M1016" s="20" t="str">
        <f aca="false">IF($X1016="","",INDEX('Per Line'!$Z$2:$Z$4001,$X1016))</f>
        <v/>
      </c>
      <c r="N1016" s="23" t="str">
        <f aca="false">IF($X1016="","",Settings!$C$7)</f>
        <v/>
      </c>
      <c r="O1016" s="22" t="str">
        <f aca="false">IF($X1016="","",SUMIFS('Per Line'!$Y$2:$Y$4001,'Per Line'!$D$2:$D$4001,$B1016,'Per Line'!$AJ$2:$AJ$4001,0))</f>
        <v/>
      </c>
      <c r="P1016" s="22" t="str">
        <f aca="false">IF($X1016="","",O1016*N1016)</f>
        <v/>
      </c>
      <c r="Q1016" s="23" t="str">
        <f aca="false">IF($X1016="","",Settings!$C$6)</f>
        <v/>
      </c>
      <c r="R1016" s="22" t="str">
        <f aca="false">IF($X1016="","",SUMIFS('Per Line'!$Y$2:$Y$4001,'Per Line'!$D$2:$D$4001,$B1016,'Per Line'!$AJ$2:$AJ$4001,1))</f>
        <v/>
      </c>
      <c r="S1016" s="22" t="str">
        <f aca="false">IF($X1016="","",R1016*Q1016)</f>
        <v/>
      </c>
      <c r="T1016" s="22" t="str">
        <f aca="false">IF($X1016="","",S1016+P1016)</f>
        <v/>
      </c>
      <c r="U1016" s="22" t="str">
        <f aca="false">IF($X1016="","",V1016-T1016)</f>
        <v/>
      </c>
      <c r="V1016" s="22" t="str">
        <f aca="false">IF($X1016="","",O1016+R1016)</f>
        <v/>
      </c>
      <c r="W1016" s="22" t="str">
        <f aca="false">IF($X1016="","",U1016-L1016)</f>
        <v/>
      </c>
      <c r="X1016" s="24" t="str">
        <f aca="false">IF(ROWS($X$2:$X1016)&lt;=MAX('Per Line'!$AI$2:$AI$4001),MATCH(ROWS($X$2:$X1016),'Per Line'!$AI$2:$AI$4001,0),"")</f>
        <v/>
      </c>
    </row>
    <row r="1017" customFormat="false" ht="15" hidden="false" customHeight="false" outlineLevel="0" collapsed="false">
      <c r="A1017" s="19"/>
      <c r="B1017" s="20" t="str">
        <f aca="false">IF($X1017="","",INDEX('Per Line'!$D$2:$D$4001,$X1017))</f>
        <v/>
      </c>
      <c r="C1017" s="20" t="str">
        <f aca="false">IF($X1017="","",INDEX('Per Line'!$C$2:$C$4001,$X1017))</f>
        <v/>
      </c>
      <c r="D1017" s="20" t="str">
        <f aca="false">IF($X1017="","",INDEX('Per Line'!$A$2:$A$4001,$X1017))</f>
        <v/>
      </c>
      <c r="E1017" s="21" t="str">
        <f aca="false">IF($X1017="","",INDEX('Per Line'!$F$2:$F$4001,$X1017))</f>
        <v/>
      </c>
      <c r="F1017" s="20" t="str">
        <f aca="false">IF($X1017="","",INDEX('Per Line'!$G$2:$G$4001,$X1017))</f>
        <v/>
      </c>
      <c r="G1017" s="20" t="str">
        <f aca="false">IF($X1017="","",INDEX('Per Line'!$I$2:$I$4001,$X1017))</f>
        <v/>
      </c>
      <c r="H1017" s="20" t="str">
        <f aca="false">IF($X1017="","",INDEX('Per Line'!$J$2:$J$4001,$X1017))</f>
        <v/>
      </c>
      <c r="I1017" s="20" t="str">
        <f aca="false">IF($X1017="","",INDEX('Per Line'!$K$2:$K$4001,$X1017))</f>
        <v/>
      </c>
      <c r="J1017" s="20" t="str">
        <f aca="false">IF($X1017="","",INDEX('Per Line'!$L$2:$L$4001,$X1017))</f>
        <v/>
      </c>
      <c r="K1017" s="20" t="str">
        <f aca="false">IF($X1017="","",INDEX('Per Line'!$M$2:$M$4001,$X1017))</f>
        <v/>
      </c>
      <c r="L1017" s="22" t="str">
        <f aca="false">IF($X1017="","",K1017*V1017/100)</f>
        <v/>
      </c>
      <c r="M1017" s="20" t="str">
        <f aca="false">IF($X1017="","",INDEX('Per Line'!$Z$2:$Z$4001,$X1017))</f>
        <v/>
      </c>
      <c r="N1017" s="23" t="str">
        <f aca="false">IF($X1017="","",Settings!$C$7)</f>
        <v/>
      </c>
      <c r="O1017" s="22" t="str">
        <f aca="false">IF($X1017="","",SUMIFS('Per Line'!$Y$2:$Y$4001,'Per Line'!$D$2:$D$4001,$B1017,'Per Line'!$AJ$2:$AJ$4001,0))</f>
        <v/>
      </c>
      <c r="P1017" s="22" t="str">
        <f aca="false">IF($X1017="","",O1017*N1017)</f>
        <v/>
      </c>
      <c r="Q1017" s="23" t="str">
        <f aca="false">IF($X1017="","",Settings!$C$6)</f>
        <v/>
      </c>
      <c r="R1017" s="22" t="str">
        <f aca="false">IF($X1017="","",SUMIFS('Per Line'!$Y$2:$Y$4001,'Per Line'!$D$2:$D$4001,$B1017,'Per Line'!$AJ$2:$AJ$4001,1))</f>
        <v/>
      </c>
      <c r="S1017" s="22" t="str">
        <f aca="false">IF($X1017="","",R1017*Q1017)</f>
        <v/>
      </c>
      <c r="T1017" s="22" t="str">
        <f aca="false">IF($X1017="","",S1017+P1017)</f>
        <v/>
      </c>
      <c r="U1017" s="22" t="str">
        <f aca="false">IF($X1017="","",V1017-T1017)</f>
        <v/>
      </c>
      <c r="V1017" s="22" t="str">
        <f aca="false">IF($X1017="","",O1017+R1017)</f>
        <v/>
      </c>
      <c r="W1017" s="22" t="str">
        <f aca="false">IF($X1017="","",U1017-L1017)</f>
        <v/>
      </c>
      <c r="X1017" s="24" t="str">
        <f aca="false">IF(ROWS($X$2:$X1017)&lt;=MAX('Per Line'!$AI$2:$AI$4001),MATCH(ROWS($X$2:$X1017),'Per Line'!$AI$2:$AI$4001,0),"")</f>
        <v/>
      </c>
    </row>
    <row r="1018" customFormat="false" ht="15" hidden="false" customHeight="false" outlineLevel="0" collapsed="false">
      <c r="A1018" s="19"/>
      <c r="B1018" s="20" t="str">
        <f aca="false">IF($X1018="","",INDEX('Per Line'!$D$2:$D$4001,$X1018))</f>
        <v/>
      </c>
      <c r="C1018" s="20" t="str">
        <f aca="false">IF($X1018="","",INDEX('Per Line'!$C$2:$C$4001,$X1018))</f>
        <v/>
      </c>
      <c r="D1018" s="20" t="str">
        <f aca="false">IF($X1018="","",INDEX('Per Line'!$A$2:$A$4001,$X1018))</f>
        <v/>
      </c>
      <c r="E1018" s="21" t="str">
        <f aca="false">IF($X1018="","",INDEX('Per Line'!$F$2:$F$4001,$X1018))</f>
        <v/>
      </c>
      <c r="F1018" s="20" t="str">
        <f aca="false">IF($X1018="","",INDEX('Per Line'!$G$2:$G$4001,$X1018))</f>
        <v/>
      </c>
      <c r="G1018" s="20" t="str">
        <f aca="false">IF($X1018="","",INDEX('Per Line'!$I$2:$I$4001,$X1018))</f>
        <v/>
      </c>
      <c r="H1018" s="20" t="str">
        <f aca="false">IF($X1018="","",INDEX('Per Line'!$J$2:$J$4001,$X1018))</f>
        <v/>
      </c>
      <c r="I1018" s="20" t="str">
        <f aca="false">IF($X1018="","",INDEX('Per Line'!$K$2:$K$4001,$X1018))</f>
        <v/>
      </c>
      <c r="J1018" s="20" t="str">
        <f aca="false">IF($X1018="","",INDEX('Per Line'!$L$2:$L$4001,$X1018))</f>
        <v/>
      </c>
      <c r="K1018" s="20" t="str">
        <f aca="false">IF($X1018="","",INDEX('Per Line'!$M$2:$M$4001,$X1018))</f>
        <v/>
      </c>
      <c r="L1018" s="22" t="str">
        <f aca="false">IF($X1018="","",K1018*V1018/100)</f>
        <v/>
      </c>
      <c r="M1018" s="20" t="str">
        <f aca="false">IF($X1018="","",INDEX('Per Line'!$Z$2:$Z$4001,$X1018))</f>
        <v/>
      </c>
      <c r="N1018" s="23" t="str">
        <f aca="false">IF($X1018="","",Settings!$C$7)</f>
        <v/>
      </c>
      <c r="O1018" s="22" t="str">
        <f aca="false">IF($X1018="","",SUMIFS('Per Line'!$Y$2:$Y$4001,'Per Line'!$D$2:$D$4001,$B1018,'Per Line'!$AJ$2:$AJ$4001,0))</f>
        <v/>
      </c>
      <c r="P1018" s="22" t="str">
        <f aca="false">IF($X1018="","",O1018*N1018)</f>
        <v/>
      </c>
      <c r="Q1018" s="23" t="str">
        <f aca="false">IF($X1018="","",Settings!$C$6)</f>
        <v/>
      </c>
      <c r="R1018" s="22" t="str">
        <f aca="false">IF($X1018="","",SUMIFS('Per Line'!$Y$2:$Y$4001,'Per Line'!$D$2:$D$4001,$B1018,'Per Line'!$AJ$2:$AJ$4001,1))</f>
        <v/>
      </c>
      <c r="S1018" s="22" t="str">
        <f aca="false">IF($X1018="","",R1018*Q1018)</f>
        <v/>
      </c>
      <c r="T1018" s="22" t="str">
        <f aca="false">IF($X1018="","",S1018+P1018)</f>
        <v/>
      </c>
      <c r="U1018" s="22" t="str">
        <f aca="false">IF($X1018="","",V1018-T1018)</f>
        <v/>
      </c>
      <c r="V1018" s="22" t="str">
        <f aca="false">IF($X1018="","",O1018+R1018)</f>
        <v/>
      </c>
      <c r="W1018" s="22" t="str">
        <f aca="false">IF($X1018="","",U1018-L1018)</f>
        <v/>
      </c>
      <c r="X1018" s="24" t="str">
        <f aca="false">IF(ROWS($X$2:$X1018)&lt;=MAX('Per Line'!$AI$2:$AI$4001),MATCH(ROWS($X$2:$X1018),'Per Line'!$AI$2:$AI$4001,0),"")</f>
        <v/>
      </c>
    </row>
    <row r="1019" customFormat="false" ht="15" hidden="false" customHeight="false" outlineLevel="0" collapsed="false">
      <c r="A1019" s="19"/>
      <c r="B1019" s="20" t="str">
        <f aca="false">IF($X1019="","",INDEX('Per Line'!$D$2:$D$4001,$X1019))</f>
        <v/>
      </c>
      <c r="C1019" s="20" t="str">
        <f aca="false">IF($X1019="","",INDEX('Per Line'!$C$2:$C$4001,$X1019))</f>
        <v/>
      </c>
      <c r="D1019" s="20" t="str">
        <f aca="false">IF($X1019="","",INDEX('Per Line'!$A$2:$A$4001,$X1019))</f>
        <v/>
      </c>
      <c r="E1019" s="21" t="str">
        <f aca="false">IF($X1019="","",INDEX('Per Line'!$F$2:$F$4001,$X1019))</f>
        <v/>
      </c>
      <c r="F1019" s="20" t="str">
        <f aca="false">IF($X1019="","",INDEX('Per Line'!$G$2:$G$4001,$X1019))</f>
        <v/>
      </c>
      <c r="G1019" s="20" t="str">
        <f aca="false">IF($X1019="","",INDEX('Per Line'!$I$2:$I$4001,$X1019))</f>
        <v/>
      </c>
      <c r="H1019" s="20" t="str">
        <f aca="false">IF($X1019="","",INDEX('Per Line'!$J$2:$J$4001,$X1019))</f>
        <v/>
      </c>
      <c r="I1019" s="20" t="str">
        <f aca="false">IF($X1019="","",INDEX('Per Line'!$K$2:$K$4001,$X1019))</f>
        <v/>
      </c>
      <c r="J1019" s="20" t="str">
        <f aca="false">IF($X1019="","",INDEX('Per Line'!$L$2:$L$4001,$X1019))</f>
        <v/>
      </c>
      <c r="K1019" s="20" t="str">
        <f aca="false">IF($X1019="","",INDEX('Per Line'!$M$2:$M$4001,$X1019))</f>
        <v/>
      </c>
      <c r="L1019" s="22" t="str">
        <f aca="false">IF($X1019="","",K1019*V1019/100)</f>
        <v/>
      </c>
      <c r="M1019" s="20" t="str">
        <f aca="false">IF($X1019="","",INDEX('Per Line'!$Z$2:$Z$4001,$X1019))</f>
        <v/>
      </c>
      <c r="N1019" s="23" t="str">
        <f aca="false">IF($X1019="","",Settings!$C$7)</f>
        <v/>
      </c>
      <c r="O1019" s="22" t="str">
        <f aca="false">IF($X1019="","",SUMIFS('Per Line'!$Y$2:$Y$4001,'Per Line'!$D$2:$D$4001,$B1019,'Per Line'!$AJ$2:$AJ$4001,0))</f>
        <v/>
      </c>
      <c r="P1019" s="22" t="str">
        <f aca="false">IF($X1019="","",O1019*N1019)</f>
        <v/>
      </c>
      <c r="Q1019" s="23" t="str">
        <f aca="false">IF($X1019="","",Settings!$C$6)</f>
        <v/>
      </c>
      <c r="R1019" s="22" t="str">
        <f aca="false">IF($X1019="","",SUMIFS('Per Line'!$Y$2:$Y$4001,'Per Line'!$D$2:$D$4001,$B1019,'Per Line'!$AJ$2:$AJ$4001,1))</f>
        <v/>
      </c>
      <c r="S1019" s="22" t="str">
        <f aca="false">IF($X1019="","",R1019*Q1019)</f>
        <v/>
      </c>
      <c r="T1019" s="22" t="str">
        <f aca="false">IF($X1019="","",S1019+P1019)</f>
        <v/>
      </c>
      <c r="U1019" s="22" t="str">
        <f aca="false">IF($X1019="","",V1019-T1019)</f>
        <v/>
      </c>
      <c r="V1019" s="22" t="str">
        <f aca="false">IF($X1019="","",O1019+R1019)</f>
        <v/>
      </c>
      <c r="W1019" s="22" t="str">
        <f aca="false">IF($X1019="","",U1019-L1019)</f>
        <v/>
      </c>
      <c r="X1019" s="24" t="str">
        <f aca="false">IF(ROWS($X$2:$X1019)&lt;=MAX('Per Line'!$AI$2:$AI$4001),MATCH(ROWS($X$2:$X1019),'Per Line'!$AI$2:$AI$4001,0),"")</f>
        <v/>
      </c>
    </row>
    <row r="1020" customFormat="false" ht="15" hidden="false" customHeight="false" outlineLevel="0" collapsed="false">
      <c r="A1020" s="19"/>
      <c r="B1020" s="20" t="str">
        <f aca="false">IF($X1020="","",INDEX('Per Line'!$D$2:$D$4001,$X1020))</f>
        <v/>
      </c>
      <c r="C1020" s="20" t="str">
        <f aca="false">IF($X1020="","",INDEX('Per Line'!$C$2:$C$4001,$X1020))</f>
        <v/>
      </c>
      <c r="D1020" s="20" t="str">
        <f aca="false">IF($X1020="","",INDEX('Per Line'!$A$2:$A$4001,$X1020))</f>
        <v/>
      </c>
      <c r="E1020" s="21" t="str">
        <f aca="false">IF($X1020="","",INDEX('Per Line'!$F$2:$F$4001,$X1020))</f>
        <v/>
      </c>
      <c r="F1020" s="20" t="str">
        <f aca="false">IF($X1020="","",INDEX('Per Line'!$G$2:$G$4001,$X1020))</f>
        <v/>
      </c>
      <c r="G1020" s="20" t="str">
        <f aca="false">IF($X1020="","",INDEX('Per Line'!$I$2:$I$4001,$X1020))</f>
        <v/>
      </c>
      <c r="H1020" s="20" t="str">
        <f aca="false">IF($X1020="","",INDEX('Per Line'!$J$2:$J$4001,$X1020))</f>
        <v/>
      </c>
      <c r="I1020" s="20" t="str">
        <f aca="false">IF($X1020="","",INDEX('Per Line'!$K$2:$K$4001,$X1020))</f>
        <v/>
      </c>
      <c r="J1020" s="20" t="str">
        <f aca="false">IF($X1020="","",INDEX('Per Line'!$L$2:$L$4001,$X1020))</f>
        <v/>
      </c>
      <c r="K1020" s="20" t="str">
        <f aca="false">IF($X1020="","",INDEX('Per Line'!$M$2:$M$4001,$X1020))</f>
        <v/>
      </c>
      <c r="L1020" s="22" t="str">
        <f aca="false">IF($X1020="","",K1020*V1020/100)</f>
        <v/>
      </c>
      <c r="M1020" s="20" t="str">
        <f aca="false">IF($X1020="","",INDEX('Per Line'!$Z$2:$Z$4001,$X1020))</f>
        <v/>
      </c>
      <c r="N1020" s="23" t="str">
        <f aca="false">IF($X1020="","",Settings!$C$7)</f>
        <v/>
      </c>
      <c r="O1020" s="22" t="str">
        <f aca="false">IF($X1020="","",SUMIFS('Per Line'!$Y$2:$Y$4001,'Per Line'!$D$2:$D$4001,$B1020,'Per Line'!$AJ$2:$AJ$4001,0))</f>
        <v/>
      </c>
      <c r="P1020" s="22" t="str">
        <f aca="false">IF($X1020="","",O1020*N1020)</f>
        <v/>
      </c>
      <c r="Q1020" s="23" t="str">
        <f aca="false">IF($X1020="","",Settings!$C$6)</f>
        <v/>
      </c>
      <c r="R1020" s="22" t="str">
        <f aca="false">IF($X1020="","",SUMIFS('Per Line'!$Y$2:$Y$4001,'Per Line'!$D$2:$D$4001,$B1020,'Per Line'!$AJ$2:$AJ$4001,1))</f>
        <v/>
      </c>
      <c r="S1020" s="22" t="str">
        <f aca="false">IF($X1020="","",R1020*Q1020)</f>
        <v/>
      </c>
      <c r="T1020" s="22" t="str">
        <f aca="false">IF($X1020="","",S1020+P1020)</f>
        <v/>
      </c>
      <c r="U1020" s="22" t="str">
        <f aca="false">IF($X1020="","",V1020-T1020)</f>
        <v/>
      </c>
      <c r="V1020" s="22" t="str">
        <f aca="false">IF($X1020="","",O1020+R1020)</f>
        <v/>
      </c>
      <c r="W1020" s="22" t="str">
        <f aca="false">IF($X1020="","",U1020-L1020)</f>
        <v/>
      </c>
      <c r="X1020" s="24" t="str">
        <f aca="false">IF(ROWS($X$2:$X1020)&lt;=MAX('Per Line'!$AI$2:$AI$4001),MATCH(ROWS($X$2:$X1020),'Per Line'!$AI$2:$AI$4001,0),"")</f>
        <v/>
      </c>
    </row>
    <row r="1021" customFormat="false" ht="15" hidden="false" customHeight="false" outlineLevel="0" collapsed="false">
      <c r="A1021" s="19"/>
      <c r="B1021" s="20" t="str">
        <f aca="false">IF($X1021="","",INDEX('Per Line'!$D$2:$D$4001,$X1021))</f>
        <v/>
      </c>
      <c r="C1021" s="20" t="str">
        <f aca="false">IF($X1021="","",INDEX('Per Line'!$C$2:$C$4001,$X1021))</f>
        <v/>
      </c>
      <c r="D1021" s="20" t="str">
        <f aca="false">IF($X1021="","",INDEX('Per Line'!$A$2:$A$4001,$X1021))</f>
        <v/>
      </c>
      <c r="E1021" s="21" t="str">
        <f aca="false">IF($X1021="","",INDEX('Per Line'!$F$2:$F$4001,$X1021))</f>
        <v/>
      </c>
      <c r="F1021" s="20" t="str">
        <f aca="false">IF($X1021="","",INDEX('Per Line'!$G$2:$G$4001,$X1021))</f>
        <v/>
      </c>
      <c r="G1021" s="20" t="str">
        <f aca="false">IF($X1021="","",INDEX('Per Line'!$I$2:$I$4001,$X1021))</f>
        <v/>
      </c>
      <c r="H1021" s="20" t="str">
        <f aca="false">IF($X1021="","",INDEX('Per Line'!$J$2:$J$4001,$X1021))</f>
        <v/>
      </c>
      <c r="I1021" s="20" t="str">
        <f aca="false">IF($X1021="","",INDEX('Per Line'!$K$2:$K$4001,$X1021))</f>
        <v/>
      </c>
      <c r="J1021" s="20" t="str">
        <f aca="false">IF($X1021="","",INDEX('Per Line'!$L$2:$L$4001,$X1021))</f>
        <v/>
      </c>
      <c r="K1021" s="20" t="str">
        <f aca="false">IF($X1021="","",INDEX('Per Line'!$M$2:$M$4001,$X1021))</f>
        <v/>
      </c>
      <c r="L1021" s="22" t="str">
        <f aca="false">IF($X1021="","",K1021*V1021/100)</f>
        <v/>
      </c>
      <c r="M1021" s="20" t="str">
        <f aca="false">IF($X1021="","",INDEX('Per Line'!$Z$2:$Z$4001,$X1021))</f>
        <v/>
      </c>
      <c r="N1021" s="23" t="str">
        <f aca="false">IF($X1021="","",Settings!$C$7)</f>
        <v/>
      </c>
      <c r="O1021" s="22" t="str">
        <f aca="false">IF($X1021="","",SUMIFS('Per Line'!$Y$2:$Y$4001,'Per Line'!$D$2:$D$4001,$B1021,'Per Line'!$AJ$2:$AJ$4001,0))</f>
        <v/>
      </c>
      <c r="P1021" s="22" t="str">
        <f aca="false">IF($X1021="","",O1021*N1021)</f>
        <v/>
      </c>
      <c r="Q1021" s="23" t="str">
        <f aca="false">IF($X1021="","",Settings!$C$6)</f>
        <v/>
      </c>
      <c r="R1021" s="22" t="str">
        <f aca="false">IF($X1021="","",SUMIFS('Per Line'!$Y$2:$Y$4001,'Per Line'!$D$2:$D$4001,$B1021,'Per Line'!$AJ$2:$AJ$4001,1))</f>
        <v/>
      </c>
      <c r="S1021" s="22" t="str">
        <f aca="false">IF($X1021="","",R1021*Q1021)</f>
        <v/>
      </c>
      <c r="T1021" s="22" t="str">
        <f aca="false">IF($X1021="","",S1021+P1021)</f>
        <v/>
      </c>
      <c r="U1021" s="22" t="str">
        <f aca="false">IF($X1021="","",V1021-T1021)</f>
        <v/>
      </c>
      <c r="V1021" s="22" t="str">
        <f aca="false">IF($X1021="","",O1021+R1021)</f>
        <v/>
      </c>
      <c r="W1021" s="22" t="str">
        <f aca="false">IF($X1021="","",U1021-L1021)</f>
        <v/>
      </c>
      <c r="X1021" s="24" t="str">
        <f aca="false">IF(ROWS($X$2:$X1021)&lt;=MAX('Per Line'!$AI$2:$AI$4001),MATCH(ROWS($X$2:$X1021),'Per Line'!$AI$2:$AI$4001,0),"")</f>
        <v/>
      </c>
    </row>
    <row r="1022" customFormat="false" ht="15" hidden="false" customHeight="false" outlineLevel="0" collapsed="false">
      <c r="A1022" s="19"/>
      <c r="B1022" s="20" t="str">
        <f aca="false">IF($X1022="","",INDEX('Per Line'!$D$2:$D$4001,$X1022))</f>
        <v/>
      </c>
      <c r="C1022" s="20" t="str">
        <f aca="false">IF($X1022="","",INDEX('Per Line'!$C$2:$C$4001,$X1022))</f>
        <v/>
      </c>
      <c r="D1022" s="20" t="str">
        <f aca="false">IF($X1022="","",INDEX('Per Line'!$A$2:$A$4001,$X1022))</f>
        <v/>
      </c>
      <c r="E1022" s="21" t="str">
        <f aca="false">IF($X1022="","",INDEX('Per Line'!$F$2:$F$4001,$X1022))</f>
        <v/>
      </c>
      <c r="F1022" s="20" t="str">
        <f aca="false">IF($X1022="","",INDEX('Per Line'!$G$2:$G$4001,$X1022))</f>
        <v/>
      </c>
      <c r="G1022" s="20" t="str">
        <f aca="false">IF($X1022="","",INDEX('Per Line'!$I$2:$I$4001,$X1022))</f>
        <v/>
      </c>
      <c r="H1022" s="20" t="str">
        <f aca="false">IF($X1022="","",INDEX('Per Line'!$J$2:$J$4001,$X1022))</f>
        <v/>
      </c>
      <c r="I1022" s="20" t="str">
        <f aca="false">IF($X1022="","",INDEX('Per Line'!$K$2:$K$4001,$X1022))</f>
        <v/>
      </c>
      <c r="J1022" s="20" t="str">
        <f aca="false">IF($X1022="","",INDEX('Per Line'!$L$2:$L$4001,$X1022))</f>
        <v/>
      </c>
      <c r="K1022" s="20" t="str">
        <f aca="false">IF($X1022="","",INDEX('Per Line'!$M$2:$M$4001,$X1022))</f>
        <v/>
      </c>
      <c r="L1022" s="22" t="str">
        <f aca="false">IF($X1022="","",K1022*V1022/100)</f>
        <v/>
      </c>
      <c r="M1022" s="20" t="str">
        <f aca="false">IF($X1022="","",INDEX('Per Line'!$Z$2:$Z$4001,$X1022))</f>
        <v/>
      </c>
      <c r="N1022" s="23" t="str">
        <f aca="false">IF($X1022="","",Settings!$C$7)</f>
        <v/>
      </c>
      <c r="O1022" s="22" t="str">
        <f aca="false">IF($X1022="","",SUMIFS('Per Line'!$Y$2:$Y$4001,'Per Line'!$D$2:$D$4001,$B1022,'Per Line'!$AJ$2:$AJ$4001,0))</f>
        <v/>
      </c>
      <c r="P1022" s="22" t="str">
        <f aca="false">IF($X1022="","",O1022*N1022)</f>
        <v/>
      </c>
      <c r="Q1022" s="23" t="str">
        <f aca="false">IF($X1022="","",Settings!$C$6)</f>
        <v/>
      </c>
      <c r="R1022" s="22" t="str">
        <f aca="false">IF($X1022="","",SUMIFS('Per Line'!$Y$2:$Y$4001,'Per Line'!$D$2:$D$4001,$B1022,'Per Line'!$AJ$2:$AJ$4001,1))</f>
        <v/>
      </c>
      <c r="S1022" s="22" t="str">
        <f aca="false">IF($X1022="","",R1022*Q1022)</f>
        <v/>
      </c>
      <c r="T1022" s="22" t="str">
        <f aca="false">IF($X1022="","",S1022+P1022)</f>
        <v/>
      </c>
      <c r="U1022" s="22" t="str">
        <f aca="false">IF($X1022="","",V1022-T1022)</f>
        <v/>
      </c>
      <c r="V1022" s="22" t="str">
        <f aca="false">IF($X1022="","",O1022+R1022)</f>
        <v/>
      </c>
      <c r="W1022" s="22" t="str">
        <f aca="false">IF($X1022="","",U1022-L1022)</f>
        <v/>
      </c>
      <c r="X1022" s="24" t="str">
        <f aca="false">IF(ROWS($X$2:$X1022)&lt;=MAX('Per Line'!$AI$2:$AI$4001),MATCH(ROWS($X$2:$X1022),'Per Line'!$AI$2:$AI$4001,0),"")</f>
        <v/>
      </c>
    </row>
    <row r="1023" customFormat="false" ht="15" hidden="false" customHeight="false" outlineLevel="0" collapsed="false">
      <c r="A1023" s="19"/>
      <c r="B1023" s="20" t="str">
        <f aca="false">IF($X1023="","",INDEX('Per Line'!$D$2:$D$4001,$X1023))</f>
        <v/>
      </c>
      <c r="C1023" s="20" t="str">
        <f aca="false">IF($X1023="","",INDEX('Per Line'!$C$2:$C$4001,$X1023))</f>
        <v/>
      </c>
      <c r="D1023" s="20" t="str">
        <f aca="false">IF($X1023="","",INDEX('Per Line'!$A$2:$A$4001,$X1023))</f>
        <v/>
      </c>
      <c r="E1023" s="21" t="str">
        <f aca="false">IF($X1023="","",INDEX('Per Line'!$F$2:$F$4001,$X1023))</f>
        <v/>
      </c>
      <c r="F1023" s="20" t="str">
        <f aca="false">IF($X1023="","",INDEX('Per Line'!$G$2:$G$4001,$X1023))</f>
        <v/>
      </c>
      <c r="G1023" s="20" t="str">
        <f aca="false">IF($X1023="","",INDEX('Per Line'!$I$2:$I$4001,$X1023))</f>
        <v/>
      </c>
      <c r="H1023" s="20" t="str">
        <f aca="false">IF($X1023="","",INDEX('Per Line'!$J$2:$J$4001,$X1023))</f>
        <v/>
      </c>
      <c r="I1023" s="20" t="str">
        <f aca="false">IF($X1023="","",INDEX('Per Line'!$K$2:$K$4001,$X1023))</f>
        <v/>
      </c>
      <c r="J1023" s="20" t="str">
        <f aca="false">IF($X1023="","",INDEX('Per Line'!$L$2:$L$4001,$X1023))</f>
        <v/>
      </c>
      <c r="K1023" s="20" t="str">
        <f aca="false">IF($X1023="","",INDEX('Per Line'!$M$2:$M$4001,$X1023))</f>
        <v/>
      </c>
      <c r="L1023" s="22" t="str">
        <f aca="false">IF($X1023="","",K1023*V1023/100)</f>
        <v/>
      </c>
      <c r="M1023" s="20" t="str">
        <f aca="false">IF($X1023="","",INDEX('Per Line'!$Z$2:$Z$4001,$X1023))</f>
        <v/>
      </c>
      <c r="N1023" s="23" t="str">
        <f aca="false">IF($X1023="","",Settings!$C$7)</f>
        <v/>
      </c>
      <c r="O1023" s="22" t="str">
        <f aca="false">IF($X1023="","",SUMIFS('Per Line'!$Y$2:$Y$4001,'Per Line'!$D$2:$D$4001,$B1023,'Per Line'!$AJ$2:$AJ$4001,0))</f>
        <v/>
      </c>
      <c r="P1023" s="22" t="str">
        <f aca="false">IF($X1023="","",O1023*N1023)</f>
        <v/>
      </c>
      <c r="Q1023" s="23" t="str">
        <f aca="false">IF($X1023="","",Settings!$C$6)</f>
        <v/>
      </c>
      <c r="R1023" s="22" t="str">
        <f aca="false">IF($X1023="","",SUMIFS('Per Line'!$Y$2:$Y$4001,'Per Line'!$D$2:$D$4001,$B1023,'Per Line'!$AJ$2:$AJ$4001,1))</f>
        <v/>
      </c>
      <c r="S1023" s="22" t="str">
        <f aca="false">IF($X1023="","",R1023*Q1023)</f>
        <v/>
      </c>
      <c r="T1023" s="22" t="str">
        <f aca="false">IF($X1023="","",S1023+P1023)</f>
        <v/>
      </c>
      <c r="U1023" s="22" t="str">
        <f aca="false">IF($X1023="","",V1023-T1023)</f>
        <v/>
      </c>
      <c r="V1023" s="22" t="str">
        <f aca="false">IF($X1023="","",O1023+R1023)</f>
        <v/>
      </c>
      <c r="W1023" s="22" t="str">
        <f aca="false">IF($X1023="","",U1023-L1023)</f>
        <v/>
      </c>
      <c r="X1023" s="24" t="str">
        <f aca="false">IF(ROWS($X$2:$X1023)&lt;=MAX('Per Line'!$AI$2:$AI$4001),MATCH(ROWS($X$2:$X1023),'Per Line'!$AI$2:$AI$4001,0),"")</f>
        <v/>
      </c>
    </row>
    <row r="1024" customFormat="false" ht="15" hidden="false" customHeight="false" outlineLevel="0" collapsed="false">
      <c r="A1024" s="19"/>
      <c r="B1024" s="20" t="str">
        <f aca="false">IF($X1024="","",INDEX('Per Line'!$D$2:$D$4001,$X1024))</f>
        <v/>
      </c>
      <c r="C1024" s="20" t="str">
        <f aca="false">IF($X1024="","",INDEX('Per Line'!$C$2:$C$4001,$X1024))</f>
        <v/>
      </c>
      <c r="D1024" s="20" t="str">
        <f aca="false">IF($X1024="","",INDEX('Per Line'!$A$2:$A$4001,$X1024))</f>
        <v/>
      </c>
      <c r="E1024" s="21" t="str">
        <f aca="false">IF($X1024="","",INDEX('Per Line'!$F$2:$F$4001,$X1024))</f>
        <v/>
      </c>
      <c r="F1024" s="20" t="str">
        <f aca="false">IF($X1024="","",INDEX('Per Line'!$G$2:$G$4001,$X1024))</f>
        <v/>
      </c>
      <c r="G1024" s="20" t="str">
        <f aca="false">IF($X1024="","",INDEX('Per Line'!$I$2:$I$4001,$X1024))</f>
        <v/>
      </c>
      <c r="H1024" s="20" t="str">
        <f aca="false">IF($X1024="","",INDEX('Per Line'!$J$2:$J$4001,$X1024))</f>
        <v/>
      </c>
      <c r="I1024" s="20" t="str">
        <f aca="false">IF($X1024="","",INDEX('Per Line'!$K$2:$K$4001,$X1024))</f>
        <v/>
      </c>
      <c r="J1024" s="20" t="str">
        <f aca="false">IF($X1024="","",INDEX('Per Line'!$L$2:$L$4001,$X1024))</f>
        <v/>
      </c>
      <c r="K1024" s="20" t="str">
        <f aca="false">IF($X1024="","",INDEX('Per Line'!$M$2:$M$4001,$X1024))</f>
        <v/>
      </c>
      <c r="L1024" s="22" t="str">
        <f aca="false">IF($X1024="","",K1024*V1024/100)</f>
        <v/>
      </c>
      <c r="M1024" s="20" t="str">
        <f aca="false">IF($X1024="","",INDEX('Per Line'!$Z$2:$Z$4001,$X1024))</f>
        <v/>
      </c>
      <c r="N1024" s="23" t="str">
        <f aca="false">IF($X1024="","",Settings!$C$7)</f>
        <v/>
      </c>
      <c r="O1024" s="22" t="str">
        <f aca="false">IF($X1024="","",SUMIFS('Per Line'!$Y$2:$Y$4001,'Per Line'!$D$2:$D$4001,$B1024,'Per Line'!$AJ$2:$AJ$4001,0))</f>
        <v/>
      </c>
      <c r="P1024" s="22" t="str">
        <f aca="false">IF($X1024="","",O1024*N1024)</f>
        <v/>
      </c>
      <c r="Q1024" s="23" t="str">
        <f aca="false">IF($X1024="","",Settings!$C$6)</f>
        <v/>
      </c>
      <c r="R1024" s="22" t="str">
        <f aca="false">IF($X1024="","",SUMIFS('Per Line'!$Y$2:$Y$4001,'Per Line'!$D$2:$D$4001,$B1024,'Per Line'!$AJ$2:$AJ$4001,1))</f>
        <v/>
      </c>
      <c r="S1024" s="22" t="str">
        <f aca="false">IF($X1024="","",R1024*Q1024)</f>
        <v/>
      </c>
      <c r="T1024" s="22" t="str">
        <f aca="false">IF($X1024="","",S1024+P1024)</f>
        <v/>
      </c>
      <c r="U1024" s="22" t="str">
        <f aca="false">IF($X1024="","",V1024-T1024)</f>
        <v/>
      </c>
      <c r="V1024" s="22" t="str">
        <f aca="false">IF($X1024="","",O1024+R1024)</f>
        <v/>
      </c>
      <c r="W1024" s="22" t="str">
        <f aca="false">IF($X1024="","",U1024-L1024)</f>
        <v/>
      </c>
      <c r="X1024" s="24" t="str">
        <f aca="false">IF(ROWS($X$2:$X1024)&lt;=MAX('Per Line'!$AI$2:$AI$4001),MATCH(ROWS($X$2:$X1024),'Per Line'!$AI$2:$AI$4001,0),"")</f>
        <v/>
      </c>
    </row>
    <row r="1025" customFormat="false" ht="15" hidden="false" customHeight="false" outlineLevel="0" collapsed="false">
      <c r="A1025" s="19"/>
      <c r="B1025" s="20" t="str">
        <f aca="false">IF($X1025="","",INDEX('Per Line'!$D$2:$D$4001,$X1025))</f>
        <v/>
      </c>
      <c r="C1025" s="20" t="str">
        <f aca="false">IF($X1025="","",INDEX('Per Line'!$C$2:$C$4001,$X1025))</f>
        <v/>
      </c>
      <c r="D1025" s="20" t="str">
        <f aca="false">IF($X1025="","",INDEX('Per Line'!$A$2:$A$4001,$X1025))</f>
        <v/>
      </c>
      <c r="E1025" s="21" t="str">
        <f aca="false">IF($X1025="","",INDEX('Per Line'!$F$2:$F$4001,$X1025))</f>
        <v/>
      </c>
      <c r="F1025" s="20" t="str">
        <f aca="false">IF($X1025="","",INDEX('Per Line'!$G$2:$G$4001,$X1025))</f>
        <v/>
      </c>
      <c r="G1025" s="20" t="str">
        <f aca="false">IF($X1025="","",INDEX('Per Line'!$I$2:$I$4001,$X1025))</f>
        <v/>
      </c>
      <c r="H1025" s="20" t="str">
        <f aca="false">IF($X1025="","",INDEX('Per Line'!$J$2:$J$4001,$X1025))</f>
        <v/>
      </c>
      <c r="I1025" s="20" t="str">
        <f aca="false">IF($X1025="","",INDEX('Per Line'!$K$2:$K$4001,$X1025))</f>
        <v/>
      </c>
      <c r="J1025" s="20" t="str">
        <f aca="false">IF($X1025="","",INDEX('Per Line'!$L$2:$L$4001,$X1025))</f>
        <v/>
      </c>
      <c r="K1025" s="20" t="str">
        <f aca="false">IF($X1025="","",INDEX('Per Line'!$M$2:$M$4001,$X1025))</f>
        <v/>
      </c>
      <c r="L1025" s="22" t="str">
        <f aca="false">IF($X1025="","",K1025*V1025/100)</f>
        <v/>
      </c>
      <c r="M1025" s="20" t="str">
        <f aca="false">IF($X1025="","",INDEX('Per Line'!$Z$2:$Z$4001,$X1025))</f>
        <v/>
      </c>
      <c r="N1025" s="23" t="str">
        <f aca="false">IF($X1025="","",Settings!$C$7)</f>
        <v/>
      </c>
      <c r="O1025" s="22" t="str">
        <f aca="false">IF($X1025="","",SUMIFS('Per Line'!$Y$2:$Y$4001,'Per Line'!$D$2:$D$4001,$B1025,'Per Line'!$AJ$2:$AJ$4001,0))</f>
        <v/>
      </c>
      <c r="P1025" s="22" t="str">
        <f aca="false">IF($X1025="","",O1025*N1025)</f>
        <v/>
      </c>
      <c r="Q1025" s="23" t="str">
        <f aca="false">IF($X1025="","",Settings!$C$6)</f>
        <v/>
      </c>
      <c r="R1025" s="22" t="str">
        <f aca="false">IF($X1025="","",SUMIFS('Per Line'!$Y$2:$Y$4001,'Per Line'!$D$2:$D$4001,$B1025,'Per Line'!$AJ$2:$AJ$4001,1))</f>
        <v/>
      </c>
      <c r="S1025" s="22" t="str">
        <f aca="false">IF($X1025="","",R1025*Q1025)</f>
        <v/>
      </c>
      <c r="T1025" s="22" t="str">
        <f aca="false">IF($X1025="","",S1025+P1025)</f>
        <v/>
      </c>
      <c r="U1025" s="22" t="str">
        <f aca="false">IF($X1025="","",V1025-T1025)</f>
        <v/>
      </c>
      <c r="V1025" s="22" t="str">
        <f aca="false">IF($X1025="","",O1025+R1025)</f>
        <v/>
      </c>
      <c r="W1025" s="22" t="str">
        <f aca="false">IF($X1025="","",U1025-L1025)</f>
        <v/>
      </c>
      <c r="X1025" s="24" t="str">
        <f aca="false">IF(ROWS($X$2:$X1025)&lt;=MAX('Per Line'!$AI$2:$AI$4001),MATCH(ROWS($X$2:$X1025),'Per Line'!$AI$2:$AI$4001,0),"")</f>
        <v/>
      </c>
    </row>
    <row r="1026" customFormat="false" ht="15" hidden="false" customHeight="false" outlineLevel="0" collapsed="false">
      <c r="A1026" s="19"/>
      <c r="B1026" s="20" t="str">
        <f aca="false">IF($X1026="","",INDEX('Per Line'!$D$2:$D$4001,$X1026))</f>
        <v/>
      </c>
      <c r="C1026" s="20" t="str">
        <f aca="false">IF($X1026="","",INDEX('Per Line'!$C$2:$C$4001,$X1026))</f>
        <v/>
      </c>
      <c r="D1026" s="20" t="str">
        <f aca="false">IF($X1026="","",INDEX('Per Line'!$A$2:$A$4001,$X1026))</f>
        <v/>
      </c>
      <c r="E1026" s="21" t="str">
        <f aca="false">IF($X1026="","",INDEX('Per Line'!$F$2:$F$4001,$X1026))</f>
        <v/>
      </c>
      <c r="F1026" s="20" t="str">
        <f aca="false">IF($X1026="","",INDEX('Per Line'!$G$2:$G$4001,$X1026))</f>
        <v/>
      </c>
      <c r="G1026" s="20" t="str">
        <f aca="false">IF($X1026="","",INDEX('Per Line'!$I$2:$I$4001,$X1026))</f>
        <v/>
      </c>
      <c r="H1026" s="20" t="str">
        <f aca="false">IF($X1026="","",INDEX('Per Line'!$J$2:$J$4001,$X1026))</f>
        <v/>
      </c>
      <c r="I1026" s="20" t="str">
        <f aca="false">IF($X1026="","",INDEX('Per Line'!$K$2:$K$4001,$X1026))</f>
        <v/>
      </c>
      <c r="J1026" s="20" t="str">
        <f aca="false">IF($X1026="","",INDEX('Per Line'!$L$2:$L$4001,$X1026))</f>
        <v/>
      </c>
      <c r="K1026" s="20" t="str">
        <f aca="false">IF($X1026="","",INDEX('Per Line'!$M$2:$M$4001,$X1026))</f>
        <v/>
      </c>
      <c r="L1026" s="22" t="str">
        <f aca="false">IF($X1026="","",K1026*V1026/100)</f>
        <v/>
      </c>
      <c r="M1026" s="20" t="str">
        <f aca="false">IF($X1026="","",INDEX('Per Line'!$Z$2:$Z$4001,$X1026))</f>
        <v/>
      </c>
      <c r="N1026" s="23" t="str">
        <f aca="false">IF($X1026="","",Settings!$C$7)</f>
        <v/>
      </c>
      <c r="O1026" s="22" t="str">
        <f aca="false">IF($X1026="","",SUMIFS('Per Line'!$Y$2:$Y$4001,'Per Line'!$D$2:$D$4001,$B1026,'Per Line'!$AJ$2:$AJ$4001,0))</f>
        <v/>
      </c>
      <c r="P1026" s="22" t="str">
        <f aca="false">IF($X1026="","",O1026*N1026)</f>
        <v/>
      </c>
      <c r="Q1026" s="23" t="str">
        <f aca="false">IF($X1026="","",Settings!$C$6)</f>
        <v/>
      </c>
      <c r="R1026" s="22" t="str">
        <f aca="false">IF($X1026="","",SUMIFS('Per Line'!$Y$2:$Y$4001,'Per Line'!$D$2:$D$4001,$B1026,'Per Line'!$AJ$2:$AJ$4001,1))</f>
        <v/>
      </c>
      <c r="S1026" s="22" t="str">
        <f aca="false">IF($X1026="","",R1026*Q1026)</f>
        <v/>
      </c>
      <c r="T1026" s="22" t="str">
        <f aca="false">IF($X1026="","",S1026+P1026)</f>
        <v/>
      </c>
      <c r="U1026" s="22" t="str">
        <f aca="false">IF($X1026="","",V1026-T1026)</f>
        <v/>
      </c>
      <c r="V1026" s="22" t="str">
        <f aca="false">IF($X1026="","",O1026+R1026)</f>
        <v/>
      </c>
      <c r="W1026" s="22" t="str">
        <f aca="false">IF($X1026="","",U1026-L1026)</f>
        <v/>
      </c>
      <c r="X1026" s="24" t="str">
        <f aca="false">IF(ROWS($X$2:$X1026)&lt;=MAX('Per Line'!$AI$2:$AI$4001),MATCH(ROWS($X$2:$X1026),'Per Line'!$AI$2:$AI$4001,0),"")</f>
        <v/>
      </c>
    </row>
    <row r="1027" customFormat="false" ht="15" hidden="false" customHeight="false" outlineLevel="0" collapsed="false">
      <c r="A1027" s="19"/>
      <c r="B1027" s="20" t="str">
        <f aca="false">IF($X1027="","",INDEX('Per Line'!$D$2:$D$4001,$X1027))</f>
        <v/>
      </c>
      <c r="C1027" s="20" t="str">
        <f aca="false">IF($X1027="","",INDEX('Per Line'!$C$2:$C$4001,$X1027))</f>
        <v/>
      </c>
      <c r="D1027" s="20" t="str">
        <f aca="false">IF($X1027="","",INDEX('Per Line'!$A$2:$A$4001,$X1027))</f>
        <v/>
      </c>
      <c r="E1027" s="21" t="str">
        <f aca="false">IF($X1027="","",INDEX('Per Line'!$F$2:$F$4001,$X1027))</f>
        <v/>
      </c>
      <c r="F1027" s="20" t="str">
        <f aca="false">IF($X1027="","",INDEX('Per Line'!$G$2:$G$4001,$X1027))</f>
        <v/>
      </c>
      <c r="G1027" s="20" t="str">
        <f aca="false">IF($X1027="","",INDEX('Per Line'!$I$2:$I$4001,$X1027))</f>
        <v/>
      </c>
      <c r="H1027" s="20" t="str">
        <f aca="false">IF($X1027="","",INDEX('Per Line'!$J$2:$J$4001,$X1027))</f>
        <v/>
      </c>
      <c r="I1027" s="20" t="str">
        <f aca="false">IF($X1027="","",INDEX('Per Line'!$K$2:$K$4001,$X1027))</f>
        <v/>
      </c>
      <c r="J1027" s="20" t="str">
        <f aca="false">IF($X1027="","",INDEX('Per Line'!$L$2:$L$4001,$X1027))</f>
        <v/>
      </c>
      <c r="K1027" s="20" t="str">
        <f aca="false">IF($X1027="","",INDEX('Per Line'!$M$2:$M$4001,$X1027))</f>
        <v/>
      </c>
      <c r="L1027" s="22" t="str">
        <f aca="false">IF($X1027="","",K1027*V1027/100)</f>
        <v/>
      </c>
      <c r="M1027" s="20" t="str">
        <f aca="false">IF($X1027="","",INDEX('Per Line'!$Z$2:$Z$4001,$X1027))</f>
        <v/>
      </c>
      <c r="N1027" s="23" t="str">
        <f aca="false">IF($X1027="","",Settings!$C$7)</f>
        <v/>
      </c>
      <c r="O1027" s="22" t="str">
        <f aca="false">IF($X1027="","",SUMIFS('Per Line'!$Y$2:$Y$4001,'Per Line'!$D$2:$D$4001,$B1027,'Per Line'!$AJ$2:$AJ$4001,0))</f>
        <v/>
      </c>
      <c r="P1027" s="22" t="str">
        <f aca="false">IF($X1027="","",O1027*N1027)</f>
        <v/>
      </c>
      <c r="Q1027" s="23" t="str">
        <f aca="false">IF($X1027="","",Settings!$C$6)</f>
        <v/>
      </c>
      <c r="R1027" s="22" t="str">
        <f aca="false">IF($X1027="","",SUMIFS('Per Line'!$Y$2:$Y$4001,'Per Line'!$D$2:$D$4001,$B1027,'Per Line'!$AJ$2:$AJ$4001,1))</f>
        <v/>
      </c>
      <c r="S1027" s="22" t="str">
        <f aca="false">IF($X1027="","",R1027*Q1027)</f>
        <v/>
      </c>
      <c r="T1027" s="22" t="str">
        <f aca="false">IF($X1027="","",S1027+P1027)</f>
        <v/>
      </c>
      <c r="U1027" s="22" t="str">
        <f aca="false">IF($X1027="","",V1027-T1027)</f>
        <v/>
      </c>
      <c r="V1027" s="22" t="str">
        <f aca="false">IF($X1027="","",O1027+R1027)</f>
        <v/>
      </c>
      <c r="W1027" s="22" t="str">
        <f aca="false">IF($X1027="","",U1027-L1027)</f>
        <v/>
      </c>
      <c r="X1027" s="24" t="str">
        <f aca="false">IF(ROWS($X$2:$X1027)&lt;=MAX('Per Line'!$AI$2:$AI$4001),MATCH(ROWS($X$2:$X1027),'Per Line'!$AI$2:$AI$4001,0),"")</f>
        <v/>
      </c>
    </row>
    <row r="1028" customFormat="false" ht="15" hidden="false" customHeight="false" outlineLevel="0" collapsed="false">
      <c r="A1028" s="19"/>
      <c r="B1028" s="20" t="str">
        <f aca="false">IF($X1028="","",INDEX('Per Line'!$D$2:$D$4001,$X1028))</f>
        <v/>
      </c>
      <c r="C1028" s="20" t="str">
        <f aca="false">IF($X1028="","",INDEX('Per Line'!$C$2:$C$4001,$X1028))</f>
        <v/>
      </c>
      <c r="D1028" s="20" t="str">
        <f aca="false">IF($X1028="","",INDEX('Per Line'!$A$2:$A$4001,$X1028))</f>
        <v/>
      </c>
      <c r="E1028" s="21" t="str">
        <f aca="false">IF($X1028="","",INDEX('Per Line'!$F$2:$F$4001,$X1028))</f>
        <v/>
      </c>
      <c r="F1028" s="20" t="str">
        <f aca="false">IF($X1028="","",INDEX('Per Line'!$G$2:$G$4001,$X1028))</f>
        <v/>
      </c>
      <c r="G1028" s="20" t="str">
        <f aca="false">IF($X1028="","",INDEX('Per Line'!$I$2:$I$4001,$X1028))</f>
        <v/>
      </c>
      <c r="H1028" s="20" t="str">
        <f aca="false">IF($X1028="","",INDEX('Per Line'!$J$2:$J$4001,$X1028))</f>
        <v/>
      </c>
      <c r="I1028" s="20" t="str">
        <f aca="false">IF($X1028="","",INDEX('Per Line'!$K$2:$K$4001,$X1028))</f>
        <v/>
      </c>
      <c r="J1028" s="20" t="str">
        <f aca="false">IF($X1028="","",INDEX('Per Line'!$L$2:$L$4001,$X1028))</f>
        <v/>
      </c>
      <c r="K1028" s="20" t="str">
        <f aca="false">IF($X1028="","",INDEX('Per Line'!$M$2:$M$4001,$X1028))</f>
        <v/>
      </c>
      <c r="L1028" s="22" t="str">
        <f aca="false">IF($X1028="","",K1028*V1028/100)</f>
        <v/>
      </c>
      <c r="M1028" s="20" t="str">
        <f aca="false">IF($X1028="","",INDEX('Per Line'!$Z$2:$Z$4001,$X1028))</f>
        <v/>
      </c>
      <c r="N1028" s="23" t="str">
        <f aca="false">IF($X1028="","",Settings!$C$7)</f>
        <v/>
      </c>
      <c r="O1028" s="22" t="str">
        <f aca="false">IF($X1028="","",SUMIFS('Per Line'!$Y$2:$Y$4001,'Per Line'!$D$2:$D$4001,$B1028,'Per Line'!$AJ$2:$AJ$4001,0))</f>
        <v/>
      </c>
      <c r="P1028" s="22" t="str">
        <f aca="false">IF($X1028="","",O1028*N1028)</f>
        <v/>
      </c>
      <c r="Q1028" s="23" t="str">
        <f aca="false">IF($X1028="","",Settings!$C$6)</f>
        <v/>
      </c>
      <c r="R1028" s="22" t="str">
        <f aca="false">IF($X1028="","",SUMIFS('Per Line'!$Y$2:$Y$4001,'Per Line'!$D$2:$D$4001,$B1028,'Per Line'!$AJ$2:$AJ$4001,1))</f>
        <v/>
      </c>
      <c r="S1028" s="22" t="str">
        <f aca="false">IF($X1028="","",R1028*Q1028)</f>
        <v/>
      </c>
      <c r="T1028" s="22" t="str">
        <f aca="false">IF($X1028="","",S1028+P1028)</f>
        <v/>
      </c>
      <c r="U1028" s="22" t="str">
        <f aca="false">IF($X1028="","",V1028-T1028)</f>
        <v/>
      </c>
      <c r="V1028" s="22" t="str">
        <f aca="false">IF($X1028="","",O1028+R1028)</f>
        <v/>
      </c>
      <c r="W1028" s="22" t="str">
        <f aca="false">IF($X1028="","",U1028-L1028)</f>
        <v/>
      </c>
      <c r="X1028" s="24" t="str">
        <f aca="false">IF(ROWS($X$2:$X1028)&lt;=MAX('Per Line'!$AI$2:$AI$4001),MATCH(ROWS($X$2:$X1028),'Per Line'!$AI$2:$AI$4001,0),"")</f>
        <v/>
      </c>
    </row>
    <row r="1029" customFormat="false" ht="15" hidden="false" customHeight="false" outlineLevel="0" collapsed="false">
      <c r="A1029" s="19"/>
      <c r="B1029" s="20" t="str">
        <f aca="false">IF($X1029="","",INDEX('Per Line'!$D$2:$D$4001,$X1029))</f>
        <v/>
      </c>
      <c r="C1029" s="20" t="str">
        <f aca="false">IF($X1029="","",INDEX('Per Line'!$C$2:$C$4001,$X1029))</f>
        <v/>
      </c>
      <c r="D1029" s="20" t="str">
        <f aca="false">IF($X1029="","",INDEX('Per Line'!$A$2:$A$4001,$X1029))</f>
        <v/>
      </c>
      <c r="E1029" s="21" t="str">
        <f aca="false">IF($X1029="","",INDEX('Per Line'!$F$2:$F$4001,$X1029))</f>
        <v/>
      </c>
      <c r="F1029" s="20" t="str">
        <f aca="false">IF($X1029="","",INDEX('Per Line'!$G$2:$G$4001,$X1029))</f>
        <v/>
      </c>
      <c r="G1029" s="20" t="str">
        <f aca="false">IF($X1029="","",INDEX('Per Line'!$I$2:$I$4001,$X1029))</f>
        <v/>
      </c>
      <c r="H1029" s="20" t="str">
        <f aca="false">IF($X1029="","",INDEX('Per Line'!$J$2:$J$4001,$X1029))</f>
        <v/>
      </c>
      <c r="I1029" s="20" t="str">
        <f aca="false">IF($X1029="","",INDEX('Per Line'!$K$2:$K$4001,$X1029))</f>
        <v/>
      </c>
      <c r="J1029" s="20" t="str">
        <f aca="false">IF($X1029="","",INDEX('Per Line'!$L$2:$L$4001,$X1029))</f>
        <v/>
      </c>
      <c r="K1029" s="20" t="str">
        <f aca="false">IF($X1029="","",INDEX('Per Line'!$M$2:$M$4001,$X1029))</f>
        <v/>
      </c>
      <c r="L1029" s="22" t="str">
        <f aca="false">IF($X1029="","",K1029*V1029/100)</f>
        <v/>
      </c>
      <c r="M1029" s="20" t="str">
        <f aca="false">IF($X1029="","",INDEX('Per Line'!$Z$2:$Z$4001,$X1029))</f>
        <v/>
      </c>
      <c r="N1029" s="23" t="str">
        <f aca="false">IF($X1029="","",Settings!$C$7)</f>
        <v/>
      </c>
      <c r="O1029" s="22" t="str">
        <f aca="false">IF($X1029="","",SUMIFS('Per Line'!$Y$2:$Y$4001,'Per Line'!$D$2:$D$4001,$B1029,'Per Line'!$AJ$2:$AJ$4001,0))</f>
        <v/>
      </c>
      <c r="P1029" s="22" t="str">
        <f aca="false">IF($X1029="","",O1029*N1029)</f>
        <v/>
      </c>
      <c r="Q1029" s="23" t="str">
        <f aca="false">IF($X1029="","",Settings!$C$6)</f>
        <v/>
      </c>
      <c r="R1029" s="22" t="str">
        <f aca="false">IF($X1029="","",SUMIFS('Per Line'!$Y$2:$Y$4001,'Per Line'!$D$2:$D$4001,$B1029,'Per Line'!$AJ$2:$AJ$4001,1))</f>
        <v/>
      </c>
      <c r="S1029" s="22" t="str">
        <f aca="false">IF($X1029="","",R1029*Q1029)</f>
        <v/>
      </c>
      <c r="T1029" s="22" t="str">
        <f aca="false">IF($X1029="","",S1029+P1029)</f>
        <v/>
      </c>
      <c r="U1029" s="22" t="str">
        <f aca="false">IF($X1029="","",V1029-T1029)</f>
        <v/>
      </c>
      <c r="V1029" s="22" t="str">
        <f aca="false">IF($X1029="","",O1029+R1029)</f>
        <v/>
      </c>
      <c r="W1029" s="22" t="str">
        <f aca="false">IF($X1029="","",U1029-L1029)</f>
        <v/>
      </c>
      <c r="X1029" s="24" t="str">
        <f aca="false">IF(ROWS($X$2:$X1029)&lt;=MAX('Per Line'!$AI$2:$AI$4001),MATCH(ROWS($X$2:$X1029),'Per Line'!$AI$2:$AI$4001,0),"")</f>
        <v/>
      </c>
    </row>
    <row r="1030" customFormat="false" ht="15" hidden="false" customHeight="false" outlineLevel="0" collapsed="false">
      <c r="A1030" s="19"/>
      <c r="B1030" s="20" t="str">
        <f aca="false">IF($X1030="","",INDEX('Per Line'!$D$2:$D$4001,$X1030))</f>
        <v/>
      </c>
      <c r="C1030" s="20" t="str">
        <f aca="false">IF($X1030="","",INDEX('Per Line'!$C$2:$C$4001,$X1030))</f>
        <v/>
      </c>
      <c r="D1030" s="20" t="str">
        <f aca="false">IF($X1030="","",INDEX('Per Line'!$A$2:$A$4001,$X1030))</f>
        <v/>
      </c>
      <c r="E1030" s="21" t="str">
        <f aca="false">IF($X1030="","",INDEX('Per Line'!$F$2:$F$4001,$X1030))</f>
        <v/>
      </c>
      <c r="F1030" s="20" t="str">
        <f aca="false">IF($X1030="","",INDEX('Per Line'!$G$2:$G$4001,$X1030))</f>
        <v/>
      </c>
      <c r="G1030" s="20" t="str">
        <f aca="false">IF($X1030="","",INDEX('Per Line'!$I$2:$I$4001,$X1030))</f>
        <v/>
      </c>
      <c r="H1030" s="20" t="str">
        <f aca="false">IF($X1030="","",INDEX('Per Line'!$J$2:$J$4001,$X1030))</f>
        <v/>
      </c>
      <c r="I1030" s="20" t="str">
        <f aca="false">IF($X1030="","",INDEX('Per Line'!$K$2:$K$4001,$X1030))</f>
        <v/>
      </c>
      <c r="J1030" s="20" t="str">
        <f aca="false">IF($X1030="","",INDEX('Per Line'!$L$2:$L$4001,$X1030))</f>
        <v/>
      </c>
      <c r="K1030" s="20" t="str">
        <f aca="false">IF($X1030="","",INDEX('Per Line'!$M$2:$M$4001,$X1030))</f>
        <v/>
      </c>
      <c r="L1030" s="22" t="str">
        <f aca="false">IF($X1030="","",K1030*V1030/100)</f>
        <v/>
      </c>
      <c r="M1030" s="20" t="str">
        <f aca="false">IF($X1030="","",INDEX('Per Line'!$Z$2:$Z$4001,$X1030))</f>
        <v/>
      </c>
      <c r="N1030" s="23" t="str">
        <f aca="false">IF($X1030="","",Settings!$C$7)</f>
        <v/>
      </c>
      <c r="O1030" s="22" t="str">
        <f aca="false">IF($X1030="","",SUMIFS('Per Line'!$Y$2:$Y$4001,'Per Line'!$D$2:$D$4001,$B1030,'Per Line'!$AJ$2:$AJ$4001,0))</f>
        <v/>
      </c>
      <c r="P1030" s="22" t="str">
        <f aca="false">IF($X1030="","",O1030*N1030)</f>
        <v/>
      </c>
      <c r="Q1030" s="23" t="str">
        <f aca="false">IF($X1030="","",Settings!$C$6)</f>
        <v/>
      </c>
      <c r="R1030" s="22" t="str">
        <f aca="false">IF($X1030="","",SUMIFS('Per Line'!$Y$2:$Y$4001,'Per Line'!$D$2:$D$4001,$B1030,'Per Line'!$AJ$2:$AJ$4001,1))</f>
        <v/>
      </c>
      <c r="S1030" s="22" t="str">
        <f aca="false">IF($X1030="","",R1030*Q1030)</f>
        <v/>
      </c>
      <c r="T1030" s="22" t="str">
        <f aca="false">IF($X1030="","",S1030+P1030)</f>
        <v/>
      </c>
      <c r="U1030" s="22" t="str">
        <f aca="false">IF($X1030="","",V1030-T1030)</f>
        <v/>
      </c>
      <c r="V1030" s="22" t="str">
        <f aca="false">IF($X1030="","",O1030+R1030)</f>
        <v/>
      </c>
      <c r="W1030" s="22" t="str">
        <f aca="false">IF($X1030="","",U1030-L1030)</f>
        <v/>
      </c>
      <c r="X1030" s="24" t="str">
        <f aca="false">IF(ROWS($X$2:$X1030)&lt;=MAX('Per Line'!$AI$2:$AI$4001),MATCH(ROWS($X$2:$X1030),'Per Line'!$AI$2:$AI$4001,0),"")</f>
        <v/>
      </c>
    </row>
    <row r="1031" customFormat="false" ht="15" hidden="false" customHeight="false" outlineLevel="0" collapsed="false">
      <c r="A1031" s="19"/>
      <c r="B1031" s="20" t="str">
        <f aca="false">IF($X1031="","",INDEX('Per Line'!$D$2:$D$4001,$X1031))</f>
        <v/>
      </c>
      <c r="C1031" s="20" t="str">
        <f aca="false">IF($X1031="","",INDEX('Per Line'!$C$2:$C$4001,$X1031))</f>
        <v/>
      </c>
      <c r="D1031" s="20" t="str">
        <f aca="false">IF($X1031="","",INDEX('Per Line'!$A$2:$A$4001,$X1031))</f>
        <v/>
      </c>
      <c r="E1031" s="21" t="str">
        <f aca="false">IF($X1031="","",INDEX('Per Line'!$F$2:$F$4001,$X1031))</f>
        <v/>
      </c>
      <c r="F1031" s="20" t="str">
        <f aca="false">IF($X1031="","",INDEX('Per Line'!$G$2:$G$4001,$X1031))</f>
        <v/>
      </c>
      <c r="G1031" s="20" t="str">
        <f aca="false">IF($X1031="","",INDEX('Per Line'!$I$2:$I$4001,$X1031))</f>
        <v/>
      </c>
      <c r="H1031" s="20" t="str">
        <f aca="false">IF($X1031="","",INDEX('Per Line'!$J$2:$J$4001,$X1031))</f>
        <v/>
      </c>
      <c r="I1031" s="20" t="str">
        <f aca="false">IF($X1031="","",INDEX('Per Line'!$K$2:$K$4001,$X1031))</f>
        <v/>
      </c>
      <c r="J1031" s="20" t="str">
        <f aca="false">IF($X1031="","",INDEX('Per Line'!$L$2:$L$4001,$X1031))</f>
        <v/>
      </c>
      <c r="K1031" s="20" t="str">
        <f aca="false">IF($X1031="","",INDEX('Per Line'!$M$2:$M$4001,$X1031))</f>
        <v/>
      </c>
      <c r="L1031" s="22" t="str">
        <f aca="false">IF($X1031="","",K1031*V1031/100)</f>
        <v/>
      </c>
      <c r="M1031" s="20" t="str">
        <f aca="false">IF($X1031="","",INDEX('Per Line'!$Z$2:$Z$4001,$X1031))</f>
        <v/>
      </c>
      <c r="N1031" s="23" t="str">
        <f aca="false">IF($X1031="","",Settings!$C$7)</f>
        <v/>
      </c>
      <c r="O1031" s="22" t="str">
        <f aca="false">IF($X1031="","",SUMIFS('Per Line'!$Y$2:$Y$4001,'Per Line'!$D$2:$D$4001,$B1031,'Per Line'!$AJ$2:$AJ$4001,0))</f>
        <v/>
      </c>
      <c r="P1031" s="22" t="str">
        <f aca="false">IF($X1031="","",O1031*N1031)</f>
        <v/>
      </c>
      <c r="Q1031" s="23" t="str">
        <f aca="false">IF($X1031="","",Settings!$C$6)</f>
        <v/>
      </c>
      <c r="R1031" s="22" t="str">
        <f aca="false">IF($X1031="","",SUMIFS('Per Line'!$Y$2:$Y$4001,'Per Line'!$D$2:$D$4001,$B1031,'Per Line'!$AJ$2:$AJ$4001,1))</f>
        <v/>
      </c>
      <c r="S1031" s="22" t="str">
        <f aca="false">IF($X1031="","",R1031*Q1031)</f>
        <v/>
      </c>
      <c r="T1031" s="22" t="str">
        <f aca="false">IF($X1031="","",S1031+P1031)</f>
        <v/>
      </c>
      <c r="U1031" s="22" t="str">
        <f aca="false">IF($X1031="","",V1031-T1031)</f>
        <v/>
      </c>
      <c r="V1031" s="22" t="str">
        <f aca="false">IF($X1031="","",O1031+R1031)</f>
        <v/>
      </c>
      <c r="W1031" s="22" t="str">
        <f aca="false">IF($X1031="","",U1031-L1031)</f>
        <v/>
      </c>
      <c r="X1031" s="24" t="str">
        <f aca="false">IF(ROWS($X$2:$X1031)&lt;=MAX('Per Line'!$AI$2:$AI$4001),MATCH(ROWS($X$2:$X1031),'Per Line'!$AI$2:$AI$4001,0),"")</f>
        <v/>
      </c>
    </row>
    <row r="1032" customFormat="false" ht="15" hidden="false" customHeight="false" outlineLevel="0" collapsed="false">
      <c r="A1032" s="19"/>
      <c r="B1032" s="20" t="str">
        <f aca="false">IF($X1032="","",INDEX('Per Line'!$D$2:$D$4001,$X1032))</f>
        <v/>
      </c>
      <c r="C1032" s="20" t="str">
        <f aca="false">IF($X1032="","",INDEX('Per Line'!$C$2:$C$4001,$X1032))</f>
        <v/>
      </c>
      <c r="D1032" s="20" t="str">
        <f aca="false">IF($X1032="","",INDEX('Per Line'!$A$2:$A$4001,$X1032))</f>
        <v/>
      </c>
      <c r="E1032" s="21" t="str">
        <f aca="false">IF($X1032="","",INDEX('Per Line'!$F$2:$F$4001,$X1032))</f>
        <v/>
      </c>
      <c r="F1032" s="20" t="str">
        <f aca="false">IF($X1032="","",INDEX('Per Line'!$G$2:$G$4001,$X1032))</f>
        <v/>
      </c>
      <c r="G1032" s="20" t="str">
        <f aca="false">IF($X1032="","",INDEX('Per Line'!$I$2:$I$4001,$X1032))</f>
        <v/>
      </c>
      <c r="H1032" s="20" t="str">
        <f aca="false">IF($X1032="","",INDEX('Per Line'!$J$2:$J$4001,$X1032))</f>
        <v/>
      </c>
      <c r="I1032" s="20" t="str">
        <f aca="false">IF($X1032="","",INDEX('Per Line'!$K$2:$K$4001,$X1032))</f>
        <v/>
      </c>
      <c r="J1032" s="20" t="str">
        <f aca="false">IF($X1032="","",INDEX('Per Line'!$L$2:$L$4001,$X1032))</f>
        <v/>
      </c>
      <c r="K1032" s="20" t="str">
        <f aca="false">IF($X1032="","",INDEX('Per Line'!$M$2:$M$4001,$X1032))</f>
        <v/>
      </c>
      <c r="L1032" s="22" t="str">
        <f aca="false">IF($X1032="","",K1032*V1032/100)</f>
        <v/>
      </c>
      <c r="M1032" s="20" t="str">
        <f aca="false">IF($X1032="","",INDEX('Per Line'!$Z$2:$Z$4001,$X1032))</f>
        <v/>
      </c>
      <c r="N1032" s="23" t="str">
        <f aca="false">IF($X1032="","",Settings!$C$7)</f>
        <v/>
      </c>
      <c r="O1032" s="22" t="str">
        <f aca="false">IF($X1032="","",SUMIFS('Per Line'!$Y$2:$Y$4001,'Per Line'!$D$2:$D$4001,$B1032,'Per Line'!$AJ$2:$AJ$4001,0))</f>
        <v/>
      </c>
      <c r="P1032" s="22" t="str">
        <f aca="false">IF($X1032="","",O1032*N1032)</f>
        <v/>
      </c>
      <c r="Q1032" s="23" t="str">
        <f aca="false">IF($X1032="","",Settings!$C$6)</f>
        <v/>
      </c>
      <c r="R1032" s="22" t="str">
        <f aca="false">IF($X1032="","",SUMIFS('Per Line'!$Y$2:$Y$4001,'Per Line'!$D$2:$D$4001,$B1032,'Per Line'!$AJ$2:$AJ$4001,1))</f>
        <v/>
      </c>
      <c r="S1032" s="22" t="str">
        <f aca="false">IF($X1032="","",R1032*Q1032)</f>
        <v/>
      </c>
      <c r="T1032" s="22" t="str">
        <f aca="false">IF($X1032="","",S1032+P1032)</f>
        <v/>
      </c>
      <c r="U1032" s="22" t="str">
        <f aca="false">IF($X1032="","",V1032-T1032)</f>
        <v/>
      </c>
      <c r="V1032" s="22" t="str">
        <f aca="false">IF($X1032="","",O1032+R1032)</f>
        <v/>
      </c>
      <c r="W1032" s="22" t="str">
        <f aca="false">IF($X1032="","",U1032-L1032)</f>
        <v/>
      </c>
      <c r="X1032" s="24" t="str">
        <f aca="false">IF(ROWS($X$2:$X1032)&lt;=MAX('Per Line'!$AI$2:$AI$4001),MATCH(ROWS($X$2:$X1032),'Per Line'!$AI$2:$AI$4001,0),"")</f>
        <v/>
      </c>
    </row>
    <row r="1033" customFormat="false" ht="15" hidden="false" customHeight="false" outlineLevel="0" collapsed="false">
      <c r="A1033" s="19"/>
      <c r="B1033" s="20" t="str">
        <f aca="false">IF($X1033="","",INDEX('Per Line'!$D$2:$D$4001,$X1033))</f>
        <v/>
      </c>
      <c r="C1033" s="20" t="str">
        <f aca="false">IF($X1033="","",INDEX('Per Line'!$C$2:$C$4001,$X1033))</f>
        <v/>
      </c>
      <c r="D1033" s="20" t="str">
        <f aca="false">IF($X1033="","",INDEX('Per Line'!$A$2:$A$4001,$X1033))</f>
        <v/>
      </c>
      <c r="E1033" s="21" t="str">
        <f aca="false">IF($X1033="","",INDEX('Per Line'!$F$2:$F$4001,$X1033))</f>
        <v/>
      </c>
      <c r="F1033" s="20" t="str">
        <f aca="false">IF($X1033="","",INDEX('Per Line'!$G$2:$G$4001,$X1033))</f>
        <v/>
      </c>
      <c r="G1033" s="20" t="str">
        <f aca="false">IF($X1033="","",INDEX('Per Line'!$I$2:$I$4001,$X1033))</f>
        <v/>
      </c>
      <c r="H1033" s="20" t="str">
        <f aca="false">IF($X1033="","",INDEX('Per Line'!$J$2:$J$4001,$X1033))</f>
        <v/>
      </c>
      <c r="I1033" s="20" t="str">
        <f aca="false">IF($X1033="","",INDEX('Per Line'!$K$2:$K$4001,$X1033))</f>
        <v/>
      </c>
      <c r="J1033" s="20" t="str">
        <f aca="false">IF($X1033="","",INDEX('Per Line'!$L$2:$L$4001,$X1033))</f>
        <v/>
      </c>
      <c r="K1033" s="20" t="str">
        <f aca="false">IF($X1033="","",INDEX('Per Line'!$M$2:$M$4001,$X1033))</f>
        <v/>
      </c>
      <c r="L1033" s="22" t="str">
        <f aca="false">IF($X1033="","",K1033*V1033/100)</f>
        <v/>
      </c>
      <c r="M1033" s="20" t="str">
        <f aca="false">IF($X1033="","",INDEX('Per Line'!$Z$2:$Z$4001,$X1033))</f>
        <v/>
      </c>
      <c r="N1033" s="23" t="str">
        <f aca="false">IF($X1033="","",Settings!$C$7)</f>
        <v/>
      </c>
      <c r="O1033" s="22" t="str">
        <f aca="false">IF($X1033="","",SUMIFS('Per Line'!$Y$2:$Y$4001,'Per Line'!$D$2:$D$4001,$B1033,'Per Line'!$AJ$2:$AJ$4001,0))</f>
        <v/>
      </c>
      <c r="P1033" s="22" t="str">
        <f aca="false">IF($X1033="","",O1033*N1033)</f>
        <v/>
      </c>
      <c r="Q1033" s="23" t="str">
        <f aca="false">IF($X1033="","",Settings!$C$6)</f>
        <v/>
      </c>
      <c r="R1033" s="22" t="str">
        <f aca="false">IF($X1033="","",SUMIFS('Per Line'!$Y$2:$Y$4001,'Per Line'!$D$2:$D$4001,$B1033,'Per Line'!$AJ$2:$AJ$4001,1))</f>
        <v/>
      </c>
      <c r="S1033" s="22" t="str">
        <f aca="false">IF($X1033="","",R1033*Q1033)</f>
        <v/>
      </c>
      <c r="T1033" s="22" t="str">
        <f aca="false">IF($X1033="","",S1033+P1033)</f>
        <v/>
      </c>
      <c r="U1033" s="22" t="str">
        <f aca="false">IF($X1033="","",V1033-T1033)</f>
        <v/>
      </c>
      <c r="V1033" s="22" t="str">
        <f aca="false">IF($X1033="","",O1033+R1033)</f>
        <v/>
      </c>
      <c r="W1033" s="22" t="str">
        <f aca="false">IF($X1033="","",U1033-L1033)</f>
        <v/>
      </c>
      <c r="X1033" s="24" t="str">
        <f aca="false">IF(ROWS($X$2:$X1033)&lt;=MAX('Per Line'!$AI$2:$AI$4001),MATCH(ROWS($X$2:$X1033),'Per Line'!$AI$2:$AI$4001,0),"")</f>
        <v/>
      </c>
    </row>
    <row r="1034" customFormat="false" ht="15" hidden="false" customHeight="false" outlineLevel="0" collapsed="false">
      <c r="A1034" s="19"/>
      <c r="B1034" s="20" t="str">
        <f aca="false">IF($X1034="","",INDEX('Per Line'!$D$2:$D$4001,$X1034))</f>
        <v/>
      </c>
      <c r="C1034" s="20" t="str">
        <f aca="false">IF($X1034="","",INDEX('Per Line'!$C$2:$C$4001,$X1034))</f>
        <v/>
      </c>
      <c r="D1034" s="20" t="str">
        <f aca="false">IF($X1034="","",INDEX('Per Line'!$A$2:$A$4001,$X1034))</f>
        <v/>
      </c>
      <c r="E1034" s="21" t="str">
        <f aca="false">IF($X1034="","",INDEX('Per Line'!$F$2:$F$4001,$X1034))</f>
        <v/>
      </c>
      <c r="F1034" s="20" t="str">
        <f aca="false">IF($X1034="","",INDEX('Per Line'!$G$2:$G$4001,$X1034))</f>
        <v/>
      </c>
      <c r="G1034" s="20" t="str">
        <f aca="false">IF($X1034="","",INDEX('Per Line'!$I$2:$I$4001,$X1034))</f>
        <v/>
      </c>
      <c r="H1034" s="20" t="str">
        <f aca="false">IF($X1034="","",INDEX('Per Line'!$J$2:$J$4001,$X1034))</f>
        <v/>
      </c>
      <c r="I1034" s="20" t="str">
        <f aca="false">IF($X1034="","",INDEX('Per Line'!$K$2:$K$4001,$X1034))</f>
        <v/>
      </c>
      <c r="J1034" s="20" t="str">
        <f aca="false">IF($X1034="","",INDEX('Per Line'!$L$2:$L$4001,$X1034))</f>
        <v/>
      </c>
      <c r="K1034" s="20" t="str">
        <f aca="false">IF($X1034="","",INDEX('Per Line'!$M$2:$M$4001,$X1034))</f>
        <v/>
      </c>
      <c r="L1034" s="22" t="str">
        <f aca="false">IF($X1034="","",K1034*V1034/100)</f>
        <v/>
      </c>
      <c r="M1034" s="20" t="str">
        <f aca="false">IF($X1034="","",INDEX('Per Line'!$Z$2:$Z$4001,$X1034))</f>
        <v/>
      </c>
      <c r="N1034" s="23" t="str">
        <f aca="false">IF($X1034="","",Settings!$C$7)</f>
        <v/>
      </c>
      <c r="O1034" s="22" t="str">
        <f aca="false">IF($X1034="","",SUMIFS('Per Line'!$Y$2:$Y$4001,'Per Line'!$D$2:$D$4001,$B1034,'Per Line'!$AJ$2:$AJ$4001,0))</f>
        <v/>
      </c>
      <c r="P1034" s="22" t="str">
        <f aca="false">IF($X1034="","",O1034*N1034)</f>
        <v/>
      </c>
      <c r="Q1034" s="23" t="str">
        <f aca="false">IF($X1034="","",Settings!$C$6)</f>
        <v/>
      </c>
      <c r="R1034" s="22" t="str">
        <f aca="false">IF($X1034="","",SUMIFS('Per Line'!$Y$2:$Y$4001,'Per Line'!$D$2:$D$4001,$B1034,'Per Line'!$AJ$2:$AJ$4001,1))</f>
        <v/>
      </c>
      <c r="S1034" s="22" t="str">
        <f aca="false">IF($X1034="","",R1034*Q1034)</f>
        <v/>
      </c>
      <c r="T1034" s="22" t="str">
        <f aca="false">IF($X1034="","",S1034+P1034)</f>
        <v/>
      </c>
      <c r="U1034" s="22" t="str">
        <f aca="false">IF($X1034="","",V1034-T1034)</f>
        <v/>
      </c>
      <c r="V1034" s="22" t="str">
        <f aca="false">IF($X1034="","",O1034+R1034)</f>
        <v/>
      </c>
      <c r="W1034" s="22" t="str">
        <f aca="false">IF($X1034="","",U1034-L1034)</f>
        <v/>
      </c>
      <c r="X1034" s="24" t="str">
        <f aca="false">IF(ROWS($X$2:$X1034)&lt;=MAX('Per Line'!$AI$2:$AI$4001),MATCH(ROWS($X$2:$X1034),'Per Line'!$AI$2:$AI$4001,0),"")</f>
        <v/>
      </c>
    </row>
    <row r="1035" customFormat="false" ht="15" hidden="false" customHeight="false" outlineLevel="0" collapsed="false">
      <c r="A1035" s="19"/>
      <c r="B1035" s="20" t="str">
        <f aca="false">IF($X1035="","",INDEX('Per Line'!$D$2:$D$4001,$X1035))</f>
        <v/>
      </c>
      <c r="C1035" s="20" t="str">
        <f aca="false">IF($X1035="","",INDEX('Per Line'!$C$2:$C$4001,$X1035))</f>
        <v/>
      </c>
      <c r="D1035" s="20" t="str">
        <f aca="false">IF($X1035="","",INDEX('Per Line'!$A$2:$A$4001,$X1035))</f>
        <v/>
      </c>
      <c r="E1035" s="21" t="str">
        <f aca="false">IF($X1035="","",INDEX('Per Line'!$F$2:$F$4001,$X1035))</f>
        <v/>
      </c>
      <c r="F1035" s="20" t="str">
        <f aca="false">IF($X1035="","",INDEX('Per Line'!$G$2:$G$4001,$X1035))</f>
        <v/>
      </c>
      <c r="G1035" s="20" t="str">
        <f aca="false">IF($X1035="","",INDEX('Per Line'!$I$2:$I$4001,$X1035))</f>
        <v/>
      </c>
      <c r="H1035" s="20" t="str">
        <f aca="false">IF($X1035="","",INDEX('Per Line'!$J$2:$J$4001,$X1035))</f>
        <v/>
      </c>
      <c r="I1035" s="20" t="str">
        <f aca="false">IF($X1035="","",INDEX('Per Line'!$K$2:$K$4001,$X1035))</f>
        <v/>
      </c>
      <c r="J1035" s="20" t="str">
        <f aca="false">IF($X1035="","",INDEX('Per Line'!$L$2:$L$4001,$X1035))</f>
        <v/>
      </c>
      <c r="K1035" s="20" t="str">
        <f aca="false">IF($X1035="","",INDEX('Per Line'!$M$2:$M$4001,$X1035))</f>
        <v/>
      </c>
      <c r="L1035" s="22" t="str">
        <f aca="false">IF($X1035="","",K1035*V1035/100)</f>
        <v/>
      </c>
      <c r="M1035" s="20" t="str">
        <f aca="false">IF($X1035="","",INDEX('Per Line'!$Z$2:$Z$4001,$X1035))</f>
        <v/>
      </c>
      <c r="N1035" s="23" t="str">
        <f aca="false">IF($X1035="","",Settings!$C$7)</f>
        <v/>
      </c>
      <c r="O1035" s="22" t="str">
        <f aca="false">IF($X1035="","",SUMIFS('Per Line'!$Y$2:$Y$4001,'Per Line'!$D$2:$D$4001,$B1035,'Per Line'!$AJ$2:$AJ$4001,0))</f>
        <v/>
      </c>
      <c r="P1035" s="22" t="str">
        <f aca="false">IF($X1035="","",O1035*N1035)</f>
        <v/>
      </c>
      <c r="Q1035" s="23" t="str">
        <f aca="false">IF($X1035="","",Settings!$C$6)</f>
        <v/>
      </c>
      <c r="R1035" s="22" t="str">
        <f aca="false">IF($X1035="","",SUMIFS('Per Line'!$Y$2:$Y$4001,'Per Line'!$D$2:$D$4001,$B1035,'Per Line'!$AJ$2:$AJ$4001,1))</f>
        <v/>
      </c>
      <c r="S1035" s="22" t="str">
        <f aca="false">IF($X1035="","",R1035*Q1035)</f>
        <v/>
      </c>
      <c r="T1035" s="22" t="str">
        <f aca="false">IF($X1035="","",S1035+P1035)</f>
        <v/>
      </c>
      <c r="U1035" s="22" t="str">
        <f aca="false">IF($X1035="","",V1035-T1035)</f>
        <v/>
      </c>
      <c r="V1035" s="22" t="str">
        <f aca="false">IF($X1035="","",O1035+R1035)</f>
        <v/>
      </c>
      <c r="W1035" s="22" t="str">
        <f aca="false">IF($X1035="","",U1035-L1035)</f>
        <v/>
      </c>
      <c r="X1035" s="24" t="str">
        <f aca="false">IF(ROWS($X$2:$X1035)&lt;=MAX('Per Line'!$AI$2:$AI$4001),MATCH(ROWS($X$2:$X1035),'Per Line'!$AI$2:$AI$4001,0),"")</f>
        <v/>
      </c>
    </row>
    <row r="1036" customFormat="false" ht="15" hidden="false" customHeight="false" outlineLevel="0" collapsed="false">
      <c r="A1036" s="19"/>
      <c r="B1036" s="20" t="str">
        <f aca="false">IF($X1036="","",INDEX('Per Line'!$D$2:$D$4001,$X1036))</f>
        <v/>
      </c>
      <c r="C1036" s="20" t="str">
        <f aca="false">IF($X1036="","",INDEX('Per Line'!$C$2:$C$4001,$X1036))</f>
        <v/>
      </c>
      <c r="D1036" s="20" t="str">
        <f aca="false">IF($X1036="","",INDEX('Per Line'!$A$2:$A$4001,$X1036))</f>
        <v/>
      </c>
      <c r="E1036" s="21" t="str">
        <f aca="false">IF($X1036="","",INDEX('Per Line'!$F$2:$F$4001,$X1036))</f>
        <v/>
      </c>
      <c r="F1036" s="20" t="str">
        <f aca="false">IF($X1036="","",INDEX('Per Line'!$G$2:$G$4001,$X1036))</f>
        <v/>
      </c>
      <c r="G1036" s="20" t="str">
        <f aca="false">IF($X1036="","",INDEX('Per Line'!$I$2:$I$4001,$X1036))</f>
        <v/>
      </c>
      <c r="H1036" s="20" t="str">
        <f aca="false">IF($X1036="","",INDEX('Per Line'!$J$2:$J$4001,$X1036))</f>
        <v/>
      </c>
      <c r="I1036" s="20" t="str">
        <f aca="false">IF($X1036="","",INDEX('Per Line'!$K$2:$K$4001,$X1036))</f>
        <v/>
      </c>
      <c r="J1036" s="20" t="str">
        <f aca="false">IF($X1036="","",INDEX('Per Line'!$L$2:$L$4001,$X1036))</f>
        <v/>
      </c>
      <c r="K1036" s="20" t="str">
        <f aca="false">IF($X1036="","",INDEX('Per Line'!$M$2:$M$4001,$X1036))</f>
        <v/>
      </c>
      <c r="L1036" s="22" t="str">
        <f aca="false">IF($X1036="","",K1036*V1036/100)</f>
        <v/>
      </c>
      <c r="M1036" s="20" t="str">
        <f aca="false">IF($X1036="","",INDEX('Per Line'!$Z$2:$Z$4001,$X1036))</f>
        <v/>
      </c>
      <c r="N1036" s="23" t="str">
        <f aca="false">IF($X1036="","",Settings!$C$7)</f>
        <v/>
      </c>
      <c r="O1036" s="22" t="str">
        <f aca="false">IF($X1036="","",SUMIFS('Per Line'!$Y$2:$Y$4001,'Per Line'!$D$2:$D$4001,$B1036,'Per Line'!$AJ$2:$AJ$4001,0))</f>
        <v/>
      </c>
      <c r="P1036" s="22" t="str">
        <f aca="false">IF($X1036="","",O1036*N1036)</f>
        <v/>
      </c>
      <c r="Q1036" s="23" t="str">
        <f aca="false">IF($X1036="","",Settings!$C$6)</f>
        <v/>
      </c>
      <c r="R1036" s="22" t="str">
        <f aca="false">IF($X1036="","",SUMIFS('Per Line'!$Y$2:$Y$4001,'Per Line'!$D$2:$D$4001,$B1036,'Per Line'!$AJ$2:$AJ$4001,1))</f>
        <v/>
      </c>
      <c r="S1036" s="22" t="str">
        <f aca="false">IF($X1036="","",R1036*Q1036)</f>
        <v/>
      </c>
      <c r="T1036" s="22" t="str">
        <f aca="false">IF($X1036="","",S1036+P1036)</f>
        <v/>
      </c>
      <c r="U1036" s="22" t="str">
        <f aca="false">IF($X1036="","",V1036-T1036)</f>
        <v/>
      </c>
      <c r="V1036" s="22" t="str">
        <f aca="false">IF($X1036="","",O1036+R1036)</f>
        <v/>
      </c>
      <c r="W1036" s="22" t="str">
        <f aca="false">IF($X1036="","",U1036-L1036)</f>
        <v/>
      </c>
      <c r="X1036" s="24" t="str">
        <f aca="false">IF(ROWS($X$2:$X1036)&lt;=MAX('Per Line'!$AI$2:$AI$4001),MATCH(ROWS($X$2:$X1036),'Per Line'!$AI$2:$AI$4001,0),"")</f>
        <v/>
      </c>
    </row>
    <row r="1037" customFormat="false" ht="15" hidden="false" customHeight="false" outlineLevel="0" collapsed="false">
      <c r="A1037" s="19"/>
      <c r="B1037" s="20" t="str">
        <f aca="false">IF($X1037="","",INDEX('Per Line'!$D$2:$D$4001,$X1037))</f>
        <v/>
      </c>
      <c r="C1037" s="20" t="str">
        <f aca="false">IF($X1037="","",INDEX('Per Line'!$C$2:$C$4001,$X1037))</f>
        <v/>
      </c>
      <c r="D1037" s="20" t="str">
        <f aca="false">IF($X1037="","",INDEX('Per Line'!$A$2:$A$4001,$X1037))</f>
        <v/>
      </c>
      <c r="E1037" s="21" t="str">
        <f aca="false">IF($X1037="","",INDEX('Per Line'!$F$2:$F$4001,$X1037))</f>
        <v/>
      </c>
      <c r="F1037" s="20" t="str">
        <f aca="false">IF($X1037="","",INDEX('Per Line'!$G$2:$G$4001,$X1037))</f>
        <v/>
      </c>
      <c r="G1037" s="20" t="str">
        <f aca="false">IF($X1037="","",INDEX('Per Line'!$I$2:$I$4001,$X1037))</f>
        <v/>
      </c>
      <c r="H1037" s="20" t="str">
        <f aca="false">IF($X1037="","",INDEX('Per Line'!$J$2:$J$4001,$X1037))</f>
        <v/>
      </c>
      <c r="I1037" s="20" t="str">
        <f aca="false">IF($X1037="","",INDEX('Per Line'!$K$2:$K$4001,$X1037))</f>
        <v/>
      </c>
      <c r="J1037" s="20" t="str">
        <f aca="false">IF($X1037="","",INDEX('Per Line'!$L$2:$L$4001,$X1037))</f>
        <v/>
      </c>
      <c r="K1037" s="20" t="str">
        <f aca="false">IF($X1037="","",INDEX('Per Line'!$M$2:$M$4001,$X1037))</f>
        <v/>
      </c>
      <c r="L1037" s="22" t="str">
        <f aca="false">IF($X1037="","",K1037*V1037/100)</f>
        <v/>
      </c>
      <c r="M1037" s="20" t="str">
        <f aca="false">IF($X1037="","",INDEX('Per Line'!$Z$2:$Z$4001,$X1037))</f>
        <v/>
      </c>
      <c r="N1037" s="23" t="str">
        <f aca="false">IF($X1037="","",Settings!$C$7)</f>
        <v/>
      </c>
      <c r="O1037" s="22" t="str">
        <f aca="false">IF($X1037="","",SUMIFS('Per Line'!$Y$2:$Y$4001,'Per Line'!$D$2:$D$4001,$B1037,'Per Line'!$AJ$2:$AJ$4001,0))</f>
        <v/>
      </c>
      <c r="P1037" s="22" t="str">
        <f aca="false">IF($X1037="","",O1037*N1037)</f>
        <v/>
      </c>
      <c r="Q1037" s="23" t="str">
        <f aca="false">IF($X1037="","",Settings!$C$6)</f>
        <v/>
      </c>
      <c r="R1037" s="22" t="str">
        <f aca="false">IF($X1037="","",SUMIFS('Per Line'!$Y$2:$Y$4001,'Per Line'!$D$2:$D$4001,$B1037,'Per Line'!$AJ$2:$AJ$4001,1))</f>
        <v/>
      </c>
      <c r="S1037" s="22" t="str">
        <f aca="false">IF($X1037="","",R1037*Q1037)</f>
        <v/>
      </c>
      <c r="T1037" s="22" t="str">
        <f aca="false">IF($X1037="","",S1037+P1037)</f>
        <v/>
      </c>
      <c r="U1037" s="22" t="str">
        <f aca="false">IF($X1037="","",V1037-T1037)</f>
        <v/>
      </c>
      <c r="V1037" s="22" t="str">
        <f aca="false">IF($X1037="","",O1037+R1037)</f>
        <v/>
      </c>
      <c r="W1037" s="22" t="str">
        <f aca="false">IF($X1037="","",U1037-L1037)</f>
        <v/>
      </c>
      <c r="X1037" s="24" t="str">
        <f aca="false">IF(ROWS($X$2:$X1037)&lt;=MAX('Per Line'!$AI$2:$AI$4001),MATCH(ROWS($X$2:$X1037),'Per Line'!$AI$2:$AI$4001,0),"")</f>
        <v/>
      </c>
    </row>
    <row r="1038" customFormat="false" ht="15" hidden="false" customHeight="false" outlineLevel="0" collapsed="false">
      <c r="A1038" s="19"/>
      <c r="B1038" s="20" t="str">
        <f aca="false">IF($X1038="","",INDEX('Per Line'!$D$2:$D$4001,$X1038))</f>
        <v/>
      </c>
      <c r="C1038" s="20" t="str">
        <f aca="false">IF($X1038="","",INDEX('Per Line'!$C$2:$C$4001,$X1038))</f>
        <v/>
      </c>
      <c r="D1038" s="20" t="str">
        <f aca="false">IF($X1038="","",INDEX('Per Line'!$A$2:$A$4001,$X1038))</f>
        <v/>
      </c>
      <c r="E1038" s="21" t="str">
        <f aca="false">IF($X1038="","",INDEX('Per Line'!$F$2:$F$4001,$X1038))</f>
        <v/>
      </c>
      <c r="F1038" s="20" t="str">
        <f aca="false">IF($X1038="","",INDEX('Per Line'!$G$2:$G$4001,$X1038))</f>
        <v/>
      </c>
      <c r="G1038" s="20" t="str">
        <f aca="false">IF($X1038="","",INDEX('Per Line'!$I$2:$I$4001,$X1038))</f>
        <v/>
      </c>
      <c r="H1038" s="20" t="str">
        <f aca="false">IF($X1038="","",INDEX('Per Line'!$J$2:$J$4001,$X1038))</f>
        <v/>
      </c>
      <c r="I1038" s="20" t="str">
        <f aca="false">IF($X1038="","",INDEX('Per Line'!$K$2:$K$4001,$X1038))</f>
        <v/>
      </c>
      <c r="J1038" s="20" t="str">
        <f aca="false">IF($X1038="","",INDEX('Per Line'!$L$2:$L$4001,$X1038))</f>
        <v/>
      </c>
      <c r="K1038" s="20" t="str">
        <f aca="false">IF($X1038="","",INDEX('Per Line'!$M$2:$M$4001,$X1038))</f>
        <v/>
      </c>
      <c r="L1038" s="22" t="str">
        <f aca="false">IF($X1038="","",K1038*V1038/100)</f>
        <v/>
      </c>
      <c r="M1038" s="20" t="str">
        <f aca="false">IF($X1038="","",INDEX('Per Line'!$Z$2:$Z$4001,$X1038))</f>
        <v/>
      </c>
      <c r="N1038" s="23" t="str">
        <f aca="false">IF($X1038="","",Settings!$C$7)</f>
        <v/>
      </c>
      <c r="O1038" s="22" t="str">
        <f aca="false">IF($X1038="","",SUMIFS('Per Line'!$Y$2:$Y$4001,'Per Line'!$D$2:$D$4001,$B1038,'Per Line'!$AJ$2:$AJ$4001,0))</f>
        <v/>
      </c>
      <c r="P1038" s="22" t="str">
        <f aca="false">IF($X1038="","",O1038*N1038)</f>
        <v/>
      </c>
      <c r="Q1038" s="23" t="str">
        <f aca="false">IF($X1038="","",Settings!$C$6)</f>
        <v/>
      </c>
      <c r="R1038" s="22" t="str">
        <f aca="false">IF($X1038="","",SUMIFS('Per Line'!$Y$2:$Y$4001,'Per Line'!$D$2:$D$4001,$B1038,'Per Line'!$AJ$2:$AJ$4001,1))</f>
        <v/>
      </c>
      <c r="S1038" s="22" t="str">
        <f aca="false">IF($X1038="","",R1038*Q1038)</f>
        <v/>
      </c>
      <c r="T1038" s="22" t="str">
        <f aca="false">IF($X1038="","",S1038+P1038)</f>
        <v/>
      </c>
      <c r="U1038" s="22" t="str">
        <f aca="false">IF($X1038="","",V1038-T1038)</f>
        <v/>
      </c>
      <c r="V1038" s="22" t="str">
        <f aca="false">IF($X1038="","",O1038+R1038)</f>
        <v/>
      </c>
      <c r="W1038" s="22" t="str">
        <f aca="false">IF($X1038="","",U1038-L1038)</f>
        <v/>
      </c>
      <c r="X1038" s="24" t="str">
        <f aca="false">IF(ROWS($X$2:$X1038)&lt;=MAX('Per Line'!$AI$2:$AI$4001),MATCH(ROWS($X$2:$X1038),'Per Line'!$AI$2:$AI$4001,0),"")</f>
        <v/>
      </c>
    </row>
    <row r="1039" customFormat="false" ht="15" hidden="false" customHeight="false" outlineLevel="0" collapsed="false">
      <c r="A1039" s="19"/>
      <c r="B1039" s="20" t="str">
        <f aca="false">IF($X1039="","",INDEX('Per Line'!$D$2:$D$4001,$X1039))</f>
        <v/>
      </c>
      <c r="C1039" s="20" t="str">
        <f aca="false">IF($X1039="","",INDEX('Per Line'!$C$2:$C$4001,$X1039))</f>
        <v/>
      </c>
      <c r="D1039" s="20" t="str">
        <f aca="false">IF($X1039="","",INDEX('Per Line'!$A$2:$A$4001,$X1039))</f>
        <v/>
      </c>
      <c r="E1039" s="21" t="str">
        <f aca="false">IF($X1039="","",INDEX('Per Line'!$F$2:$F$4001,$X1039))</f>
        <v/>
      </c>
      <c r="F1039" s="20" t="str">
        <f aca="false">IF($X1039="","",INDEX('Per Line'!$G$2:$G$4001,$X1039))</f>
        <v/>
      </c>
      <c r="G1039" s="20" t="str">
        <f aca="false">IF($X1039="","",INDEX('Per Line'!$I$2:$I$4001,$X1039))</f>
        <v/>
      </c>
      <c r="H1039" s="20" t="str">
        <f aca="false">IF($X1039="","",INDEX('Per Line'!$J$2:$J$4001,$X1039))</f>
        <v/>
      </c>
      <c r="I1039" s="20" t="str">
        <f aca="false">IF($X1039="","",INDEX('Per Line'!$K$2:$K$4001,$X1039))</f>
        <v/>
      </c>
      <c r="J1039" s="20" t="str">
        <f aca="false">IF($X1039="","",INDEX('Per Line'!$L$2:$L$4001,$X1039))</f>
        <v/>
      </c>
      <c r="K1039" s="20" t="str">
        <f aca="false">IF($X1039="","",INDEX('Per Line'!$M$2:$M$4001,$X1039))</f>
        <v/>
      </c>
      <c r="L1039" s="22" t="str">
        <f aca="false">IF($X1039="","",K1039*V1039/100)</f>
        <v/>
      </c>
      <c r="M1039" s="20" t="str">
        <f aca="false">IF($X1039="","",INDEX('Per Line'!$Z$2:$Z$4001,$X1039))</f>
        <v/>
      </c>
      <c r="N1039" s="23" t="str">
        <f aca="false">IF($X1039="","",Settings!$C$7)</f>
        <v/>
      </c>
      <c r="O1039" s="22" t="str">
        <f aca="false">IF($X1039="","",SUMIFS('Per Line'!$Y$2:$Y$4001,'Per Line'!$D$2:$D$4001,$B1039,'Per Line'!$AJ$2:$AJ$4001,0))</f>
        <v/>
      </c>
      <c r="P1039" s="22" t="str">
        <f aca="false">IF($X1039="","",O1039*N1039)</f>
        <v/>
      </c>
      <c r="Q1039" s="23" t="str">
        <f aca="false">IF($X1039="","",Settings!$C$6)</f>
        <v/>
      </c>
      <c r="R1039" s="22" t="str">
        <f aca="false">IF($X1039="","",SUMIFS('Per Line'!$Y$2:$Y$4001,'Per Line'!$D$2:$D$4001,$B1039,'Per Line'!$AJ$2:$AJ$4001,1))</f>
        <v/>
      </c>
      <c r="S1039" s="22" t="str">
        <f aca="false">IF($X1039="","",R1039*Q1039)</f>
        <v/>
      </c>
      <c r="T1039" s="22" t="str">
        <f aca="false">IF($X1039="","",S1039+P1039)</f>
        <v/>
      </c>
      <c r="U1039" s="22" t="str">
        <f aca="false">IF($X1039="","",V1039-T1039)</f>
        <v/>
      </c>
      <c r="V1039" s="22" t="str">
        <f aca="false">IF($X1039="","",O1039+R1039)</f>
        <v/>
      </c>
      <c r="W1039" s="22" t="str">
        <f aca="false">IF($X1039="","",U1039-L1039)</f>
        <v/>
      </c>
      <c r="X1039" s="24" t="str">
        <f aca="false">IF(ROWS($X$2:$X1039)&lt;=MAX('Per Line'!$AI$2:$AI$4001),MATCH(ROWS($X$2:$X1039),'Per Line'!$AI$2:$AI$4001,0),"")</f>
        <v/>
      </c>
    </row>
    <row r="1040" customFormat="false" ht="15" hidden="false" customHeight="false" outlineLevel="0" collapsed="false">
      <c r="A1040" s="19"/>
      <c r="B1040" s="20" t="str">
        <f aca="false">IF($X1040="","",INDEX('Per Line'!$D$2:$D$4001,$X1040))</f>
        <v/>
      </c>
      <c r="C1040" s="20" t="str">
        <f aca="false">IF($X1040="","",INDEX('Per Line'!$C$2:$C$4001,$X1040))</f>
        <v/>
      </c>
      <c r="D1040" s="20" t="str">
        <f aca="false">IF($X1040="","",INDEX('Per Line'!$A$2:$A$4001,$X1040))</f>
        <v/>
      </c>
      <c r="E1040" s="21" t="str">
        <f aca="false">IF($X1040="","",INDEX('Per Line'!$F$2:$F$4001,$X1040))</f>
        <v/>
      </c>
      <c r="F1040" s="20" t="str">
        <f aca="false">IF($X1040="","",INDEX('Per Line'!$G$2:$G$4001,$X1040))</f>
        <v/>
      </c>
      <c r="G1040" s="20" t="str">
        <f aca="false">IF($X1040="","",INDEX('Per Line'!$I$2:$I$4001,$X1040))</f>
        <v/>
      </c>
      <c r="H1040" s="20" t="str">
        <f aca="false">IF($X1040="","",INDEX('Per Line'!$J$2:$J$4001,$X1040))</f>
        <v/>
      </c>
      <c r="I1040" s="20" t="str">
        <f aca="false">IF($X1040="","",INDEX('Per Line'!$K$2:$K$4001,$X1040))</f>
        <v/>
      </c>
      <c r="J1040" s="20" t="str">
        <f aca="false">IF($X1040="","",INDEX('Per Line'!$L$2:$L$4001,$X1040))</f>
        <v/>
      </c>
      <c r="K1040" s="20" t="str">
        <f aca="false">IF($X1040="","",INDEX('Per Line'!$M$2:$M$4001,$X1040))</f>
        <v/>
      </c>
      <c r="L1040" s="22" t="str">
        <f aca="false">IF($X1040="","",K1040*V1040/100)</f>
        <v/>
      </c>
      <c r="M1040" s="20" t="str">
        <f aca="false">IF($X1040="","",INDEX('Per Line'!$Z$2:$Z$4001,$X1040))</f>
        <v/>
      </c>
      <c r="N1040" s="23" t="str">
        <f aca="false">IF($X1040="","",Settings!$C$7)</f>
        <v/>
      </c>
      <c r="O1040" s="22" t="str">
        <f aca="false">IF($X1040="","",SUMIFS('Per Line'!$Y$2:$Y$4001,'Per Line'!$D$2:$D$4001,$B1040,'Per Line'!$AJ$2:$AJ$4001,0))</f>
        <v/>
      </c>
      <c r="P1040" s="22" t="str">
        <f aca="false">IF($X1040="","",O1040*N1040)</f>
        <v/>
      </c>
      <c r="Q1040" s="23" t="str">
        <f aca="false">IF($X1040="","",Settings!$C$6)</f>
        <v/>
      </c>
      <c r="R1040" s="22" t="str">
        <f aca="false">IF($X1040="","",SUMIFS('Per Line'!$Y$2:$Y$4001,'Per Line'!$D$2:$D$4001,$B1040,'Per Line'!$AJ$2:$AJ$4001,1))</f>
        <v/>
      </c>
      <c r="S1040" s="22" t="str">
        <f aca="false">IF($X1040="","",R1040*Q1040)</f>
        <v/>
      </c>
      <c r="T1040" s="22" t="str">
        <f aca="false">IF($X1040="","",S1040+P1040)</f>
        <v/>
      </c>
      <c r="U1040" s="22" t="str">
        <f aca="false">IF($X1040="","",V1040-T1040)</f>
        <v/>
      </c>
      <c r="V1040" s="22" t="str">
        <f aca="false">IF($X1040="","",O1040+R1040)</f>
        <v/>
      </c>
      <c r="W1040" s="22" t="str">
        <f aca="false">IF($X1040="","",U1040-L1040)</f>
        <v/>
      </c>
      <c r="X1040" s="24" t="str">
        <f aca="false">IF(ROWS($X$2:$X1040)&lt;=MAX('Per Line'!$AI$2:$AI$4001),MATCH(ROWS($X$2:$X1040),'Per Line'!$AI$2:$AI$4001,0),"")</f>
        <v/>
      </c>
    </row>
    <row r="1041" customFormat="false" ht="15" hidden="false" customHeight="false" outlineLevel="0" collapsed="false">
      <c r="A1041" s="19"/>
      <c r="B1041" s="20" t="str">
        <f aca="false">IF($X1041="","",INDEX('Per Line'!$D$2:$D$4001,$X1041))</f>
        <v/>
      </c>
      <c r="C1041" s="20" t="str">
        <f aca="false">IF($X1041="","",INDEX('Per Line'!$C$2:$C$4001,$X1041))</f>
        <v/>
      </c>
      <c r="D1041" s="20" t="str">
        <f aca="false">IF($X1041="","",INDEX('Per Line'!$A$2:$A$4001,$X1041))</f>
        <v/>
      </c>
      <c r="E1041" s="21" t="str">
        <f aca="false">IF($X1041="","",INDEX('Per Line'!$F$2:$F$4001,$X1041))</f>
        <v/>
      </c>
      <c r="F1041" s="20" t="str">
        <f aca="false">IF($X1041="","",INDEX('Per Line'!$G$2:$G$4001,$X1041))</f>
        <v/>
      </c>
      <c r="G1041" s="20" t="str">
        <f aca="false">IF($X1041="","",INDEX('Per Line'!$I$2:$I$4001,$X1041))</f>
        <v/>
      </c>
      <c r="H1041" s="20" t="str">
        <f aca="false">IF($X1041="","",INDEX('Per Line'!$J$2:$J$4001,$X1041))</f>
        <v/>
      </c>
      <c r="I1041" s="20" t="str">
        <f aca="false">IF($X1041="","",INDEX('Per Line'!$K$2:$K$4001,$X1041))</f>
        <v/>
      </c>
      <c r="J1041" s="20" t="str">
        <f aca="false">IF($X1041="","",INDEX('Per Line'!$L$2:$L$4001,$X1041))</f>
        <v/>
      </c>
      <c r="K1041" s="20" t="str">
        <f aca="false">IF($X1041="","",INDEX('Per Line'!$M$2:$M$4001,$X1041))</f>
        <v/>
      </c>
      <c r="L1041" s="22" t="str">
        <f aca="false">IF($X1041="","",K1041*V1041/100)</f>
        <v/>
      </c>
      <c r="M1041" s="20" t="str">
        <f aca="false">IF($X1041="","",INDEX('Per Line'!$Z$2:$Z$4001,$X1041))</f>
        <v/>
      </c>
      <c r="N1041" s="23" t="str">
        <f aca="false">IF($X1041="","",Settings!$C$7)</f>
        <v/>
      </c>
      <c r="O1041" s="22" t="str">
        <f aca="false">IF($X1041="","",SUMIFS('Per Line'!$Y$2:$Y$4001,'Per Line'!$D$2:$D$4001,$B1041,'Per Line'!$AJ$2:$AJ$4001,0))</f>
        <v/>
      </c>
      <c r="P1041" s="22" t="str">
        <f aca="false">IF($X1041="","",O1041*N1041)</f>
        <v/>
      </c>
      <c r="Q1041" s="23" t="str">
        <f aca="false">IF($X1041="","",Settings!$C$6)</f>
        <v/>
      </c>
      <c r="R1041" s="22" t="str">
        <f aca="false">IF($X1041="","",SUMIFS('Per Line'!$Y$2:$Y$4001,'Per Line'!$D$2:$D$4001,$B1041,'Per Line'!$AJ$2:$AJ$4001,1))</f>
        <v/>
      </c>
      <c r="S1041" s="22" t="str">
        <f aca="false">IF($X1041="","",R1041*Q1041)</f>
        <v/>
      </c>
      <c r="T1041" s="22" t="str">
        <f aca="false">IF($X1041="","",S1041+P1041)</f>
        <v/>
      </c>
      <c r="U1041" s="22" t="str">
        <f aca="false">IF($X1041="","",V1041-T1041)</f>
        <v/>
      </c>
      <c r="V1041" s="22" t="str">
        <f aca="false">IF($X1041="","",O1041+R1041)</f>
        <v/>
      </c>
      <c r="W1041" s="22" t="str">
        <f aca="false">IF($X1041="","",U1041-L1041)</f>
        <v/>
      </c>
      <c r="X1041" s="24" t="str">
        <f aca="false">IF(ROWS($X$2:$X1041)&lt;=MAX('Per Line'!$AI$2:$AI$4001),MATCH(ROWS($X$2:$X1041),'Per Line'!$AI$2:$AI$4001,0),"")</f>
        <v/>
      </c>
    </row>
    <row r="1042" customFormat="false" ht="15" hidden="false" customHeight="false" outlineLevel="0" collapsed="false">
      <c r="A1042" s="19"/>
      <c r="B1042" s="20" t="str">
        <f aca="false">IF($X1042="","",INDEX('Per Line'!$D$2:$D$4001,$X1042))</f>
        <v/>
      </c>
      <c r="C1042" s="20" t="str">
        <f aca="false">IF($X1042="","",INDEX('Per Line'!$C$2:$C$4001,$X1042))</f>
        <v/>
      </c>
      <c r="D1042" s="20" t="str">
        <f aca="false">IF($X1042="","",INDEX('Per Line'!$A$2:$A$4001,$X1042))</f>
        <v/>
      </c>
      <c r="E1042" s="21" t="str">
        <f aca="false">IF($X1042="","",INDEX('Per Line'!$F$2:$F$4001,$X1042))</f>
        <v/>
      </c>
      <c r="F1042" s="20" t="str">
        <f aca="false">IF($X1042="","",INDEX('Per Line'!$G$2:$G$4001,$X1042))</f>
        <v/>
      </c>
      <c r="G1042" s="20" t="str">
        <f aca="false">IF($X1042="","",INDEX('Per Line'!$I$2:$I$4001,$X1042))</f>
        <v/>
      </c>
      <c r="H1042" s="20" t="str">
        <f aca="false">IF($X1042="","",INDEX('Per Line'!$J$2:$J$4001,$X1042))</f>
        <v/>
      </c>
      <c r="I1042" s="20" t="str">
        <f aca="false">IF($X1042="","",INDEX('Per Line'!$K$2:$K$4001,$X1042))</f>
        <v/>
      </c>
      <c r="J1042" s="20" t="str">
        <f aca="false">IF($X1042="","",INDEX('Per Line'!$L$2:$L$4001,$X1042))</f>
        <v/>
      </c>
      <c r="K1042" s="20" t="str">
        <f aca="false">IF($X1042="","",INDEX('Per Line'!$M$2:$M$4001,$X1042))</f>
        <v/>
      </c>
      <c r="L1042" s="22" t="str">
        <f aca="false">IF($X1042="","",K1042*V1042/100)</f>
        <v/>
      </c>
      <c r="M1042" s="20" t="str">
        <f aca="false">IF($X1042="","",INDEX('Per Line'!$Z$2:$Z$4001,$X1042))</f>
        <v/>
      </c>
      <c r="N1042" s="23" t="str">
        <f aca="false">IF($X1042="","",Settings!$C$7)</f>
        <v/>
      </c>
      <c r="O1042" s="22" t="str">
        <f aca="false">IF($X1042="","",SUMIFS('Per Line'!$Y$2:$Y$4001,'Per Line'!$D$2:$D$4001,$B1042,'Per Line'!$AJ$2:$AJ$4001,0))</f>
        <v/>
      </c>
      <c r="P1042" s="22" t="str">
        <f aca="false">IF($X1042="","",O1042*N1042)</f>
        <v/>
      </c>
      <c r="Q1042" s="23" t="str">
        <f aca="false">IF($X1042="","",Settings!$C$6)</f>
        <v/>
      </c>
      <c r="R1042" s="22" t="str">
        <f aca="false">IF($X1042="","",SUMIFS('Per Line'!$Y$2:$Y$4001,'Per Line'!$D$2:$D$4001,$B1042,'Per Line'!$AJ$2:$AJ$4001,1))</f>
        <v/>
      </c>
      <c r="S1042" s="22" t="str">
        <f aca="false">IF($X1042="","",R1042*Q1042)</f>
        <v/>
      </c>
      <c r="T1042" s="22" t="str">
        <f aca="false">IF($X1042="","",S1042+P1042)</f>
        <v/>
      </c>
      <c r="U1042" s="22" t="str">
        <f aca="false">IF($X1042="","",V1042-T1042)</f>
        <v/>
      </c>
      <c r="V1042" s="22" t="str">
        <f aca="false">IF($X1042="","",O1042+R1042)</f>
        <v/>
      </c>
      <c r="W1042" s="22" t="str">
        <f aca="false">IF($X1042="","",U1042-L1042)</f>
        <v/>
      </c>
      <c r="X1042" s="24" t="str">
        <f aca="false">IF(ROWS($X$2:$X1042)&lt;=MAX('Per Line'!$AI$2:$AI$4001),MATCH(ROWS($X$2:$X1042),'Per Line'!$AI$2:$AI$4001,0),"")</f>
        <v/>
      </c>
    </row>
    <row r="1043" customFormat="false" ht="15" hidden="false" customHeight="false" outlineLevel="0" collapsed="false">
      <c r="A1043" s="19"/>
      <c r="B1043" s="20" t="str">
        <f aca="false">IF($X1043="","",INDEX('Per Line'!$D$2:$D$4001,$X1043))</f>
        <v/>
      </c>
      <c r="C1043" s="20" t="str">
        <f aca="false">IF($X1043="","",INDEX('Per Line'!$C$2:$C$4001,$X1043))</f>
        <v/>
      </c>
      <c r="D1043" s="20" t="str">
        <f aca="false">IF($X1043="","",INDEX('Per Line'!$A$2:$A$4001,$X1043))</f>
        <v/>
      </c>
      <c r="E1043" s="21" t="str">
        <f aca="false">IF($X1043="","",INDEX('Per Line'!$F$2:$F$4001,$X1043))</f>
        <v/>
      </c>
      <c r="F1043" s="20" t="str">
        <f aca="false">IF($X1043="","",INDEX('Per Line'!$G$2:$G$4001,$X1043))</f>
        <v/>
      </c>
      <c r="G1043" s="20" t="str">
        <f aca="false">IF($X1043="","",INDEX('Per Line'!$I$2:$I$4001,$X1043))</f>
        <v/>
      </c>
      <c r="H1043" s="20" t="str">
        <f aca="false">IF($X1043="","",INDEX('Per Line'!$J$2:$J$4001,$X1043))</f>
        <v/>
      </c>
      <c r="I1043" s="20" t="str">
        <f aca="false">IF($X1043="","",INDEX('Per Line'!$K$2:$K$4001,$X1043))</f>
        <v/>
      </c>
      <c r="J1043" s="20" t="str">
        <f aca="false">IF($X1043="","",INDEX('Per Line'!$L$2:$L$4001,$X1043))</f>
        <v/>
      </c>
      <c r="K1043" s="20" t="str">
        <f aca="false">IF($X1043="","",INDEX('Per Line'!$M$2:$M$4001,$X1043))</f>
        <v/>
      </c>
      <c r="L1043" s="22" t="str">
        <f aca="false">IF($X1043="","",K1043*V1043/100)</f>
        <v/>
      </c>
      <c r="M1043" s="20" t="str">
        <f aca="false">IF($X1043="","",INDEX('Per Line'!$Z$2:$Z$4001,$X1043))</f>
        <v/>
      </c>
      <c r="N1043" s="23" t="str">
        <f aca="false">IF($X1043="","",Settings!$C$7)</f>
        <v/>
      </c>
      <c r="O1043" s="22" t="str">
        <f aca="false">IF($X1043="","",SUMIFS('Per Line'!$Y$2:$Y$4001,'Per Line'!$D$2:$D$4001,$B1043,'Per Line'!$AJ$2:$AJ$4001,0))</f>
        <v/>
      </c>
      <c r="P1043" s="22" t="str">
        <f aca="false">IF($X1043="","",O1043*N1043)</f>
        <v/>
      </c>
      <c r="Q1043" s="23" t="str">
        <f aca="false">IF($X1043="","",Settings!$C$6)</f>
        <v/>
      </c>
      <c r="R1043" s="22" t="str">
        <f aca="false">IF($X1043="","",SUMIFS('Per Line'!$Y$2:$Y$4001,'Per Line'!$D$2:$D$4001,$B1043,'Per Line'!$AJ$2:$AJ$4001,1))</f>
        <v/>
      </c>
      <c r="S1043" s="22" t="str">
        <f aca="false">IF($X1043="","",R1043*Q1043)</f>
        <v/>
      </c>
      <c r="T1043" s="22" t="str">
        <f aca="false">IF($X1043="","",S1043+P1043)</f>
        <v/>
      </c>
      <c r="U1043" s="22" t="str">
        <f aca="false">IF($X1043="","",V1043-T1043)</f>
        <v/>
      </c>
      <c r="V1043" s="22" t="str">
        <f aca="false">IF($X1043="","",O1043+R1043)</f>
        <v/>
      </c>
      <c r="W1043" s="22" t="str">
        <f aca="false">IF($X1043="","",U1043-L1043)</f>
        <v/>
      </c>
      <c r="X1043" s="24" t="str">
        <f aca="false">IF(ROWS($X$2:$X1043)&lt;=MAX('Per Line'!$AI$2:$AI$4001),MATCH(ROWS($X$2:$X1043),'Per Line'!$AI$2:$AI$4001,0),"")</f>
        <v/>
      </c>
    </row>
    <row r="1044" customFormat="false" ht="15" hidden="false" customHeight="false" outlineLevel="0" collapsed="false">
      <c r="A1044" s="19"/>
      <c r="B1044" s="20" t="str">
        <f aca="false">IF($X1044="","",INDEX('Per Line'!$D$2:$D$4001,$X1044))</f>
        <v/>
      </c>
      <c r="C1044" s="20" t="str">
        <f aca="false">IF($X1044="","",INDEX('Per Line'!$C$2:$C$4001,$X1044))</f>
        <v/>
      </c>
      <c r="D1044" s="20" t="str">
        <f aca="false">IF($X1044="","",INDEX('Per Line'!$A$2:$A$4001,$X1044))</f>
        <v/>
      </c>
      <c r="E1044" s="21" t="str">
        <f aca="false">IF($X1044="","",INDEX('Per Line'!$F$2:$F$4001,$X1044))</f>
        <v/>
      </c>
      <c r="F1044" s="20" t="str">
        <f aca="false">IF($X1044="","",INDEX('Per Line'!$G$2:$G$4001,$X1044))</f>
        <v/>
      </c>
      <c r="G1044" s="20" t="str">
        <f aca="false">IF($X1044="","",INDEX('Per Line'!$I$2:$I$4001,$X1044))</f>
        <v/>
      </c>
      <c r="H1044" s="20" t="str">
        <f aca="false">IF($X1044="","",INDEX('Per Line'!$J$2:$J$4001,$X1044))</f>
        <v/>
      </c>
      <c r="I1044" s="20" t="str">
        <f aca="false">IF($X1044="","",INDEX('Per Line'!$K$2:$K$4001,$X1044))</f>
        <v/>
      </c>
      <c r="J1044" s="20" t="str">
        <f aca="false">IF($X1044="","",INDEX('Per Line'!$L$2:$L$4001,$X1044))</f>
        <v/>
      </c>
      <c r="K1044" s="20" t="str">
        <f aca="false">IF($X1044="","",INDEX('Per Line'!$M$2:$M$4001,$X1044))</f>
        <v/>
      </c>
      <c r="L1044" s="22" t="str">
        <f aca="false">IF($X1044="","",K1044*V1044/100)</f>
        <v/>
      </c>
      <c r="M1044" s="20" t="str">
        <f aca="false">IF($X1044="","",INDEX('Per Line'!$Z$2:$Z$4001,$X1044))</f>
        <v/>
      </c>
      <c r="N1044" s="23" t="str">
        <f aca="false">IF($X1044="","",Settings!$C$7)</f>
        <v/>
      </c>
      <c r="O1044" s="22" t="str">
        <f aca="false">IF($X1044="","",SUMIFS('Per Line'!$Y$2:$Y$4001,'Per Line'!$D$2:$D$4001,$B1044,'Per Line'!$AJ$2:$AJ$4001,0))</f>
        <v/>
      </c>
      <c r="P1044" s="22" t="str">
        <f aca="false">IF($X1044="","",O1044*N1044)</f>
        <v/>
      </c>
      <c r="Q1044" s="23" t="str">
        <f aca="false">IF($X1044="","",Settings!$C$6)</f>
        <v/>
      </c>
      <c r="R1044" s="22" t="str">
        <f aca="false">IF($X1044="","",SUMIFS('Per Line'!$Y$2:$Y$4001,'Per Line'!$D$2:$D$4001,$B1044,'Per Line'!$AJ$2:$AJ$4001,1))</f>
        <v/>
      </c>
      <c r="S1044" s="22" t="str">
        <f aca="false">IF($X1044="","",R1044*Q1044)</f>
        <v/>
      </c>
      <c r="T1044" s="22" t="str">
        <f aca="false">IF($X1044="","",S1044+P1044)</f>
        <v/>
      </c>
      <c r="U1044" s="22" t="str">
        <f aca="false">IF($X1044="","",V1044-T1044)</f>
        <v/>
      </c>
      <c r="V1044" s="22" t="str">
        <f aca="false">IF($X1044="","",O1044+R1044)</f>
        <v/>
      </c>
      <c r="W1044" s="22" t="str">
        <f aca="false">IF($X1044="","",U1044-L1044)</f>
        <v/>
      </c>
      <c r="X1044" s="24" t="str">
        <f aca="false">IF(ROWS($X$2:$X1044)&lt;=MAX('Per Line'!$AI$2:$AI$4001),MATCH(ROWS($X$2:$X1044),'Per Line'!$AI$2:$AI$4001,0),"")</f>
        <v/>
      </c>
    </row>
    <row r="1045" customFormat="false" ht="15" hidden="false" customHeight="false" outlineLevel="0" collapsed="false">
      <c r="A1045" s="19"/>
      <c r="B1045" s="20" t="str">
        <f aca="false">IF($X1045="","",INDEX('Per Line'!$D$2:$D$4001,$X1045))</f>
        <v/>
      </c>
      <c r="C1045" s="20" t="str">
        <f aca="false">IF($X1045="","",INDEX('Per Line'!$C$2:$C$4001,$X1045))</f>
        <v/>
      </c>
      <c r="D1045" s="20" t="str">
        <f aca="false">IF($X1045="","",INDEX('Per Line'!$A$2:$A$4001,$X1045))</f>
        <v/>
      </c>
      <c r="E1045" s="21" t="str">
        <f aca="false">IF($X1045="","",INDEX('Per Line'!$F$2:$F$4001,$X1045))</f>
        <v/>
      </c>
      <c r="F1045" s="20" t="str">
        <f aca="false">IF($X1045="","",INDEX('Per Line'!$G$2:$G$4001,$X1045))</f>
        <v/>
      </c>
      <c r="G1045" s="20" t="str">
        <f aca="false">IF($X1045="","",INDEX('Per Line'!$I$2:$I$4001,$X1045))</f>
        <v/>
      </c>
      <c r="H1045" s="20" t="str">
        <f aca="false">IF($X1045="","",INDEX('Per Line'!$J$2:$J$4001,$X1045))</f>
        <v/>
      </c>
      <c r="I1045" s="20" t="str">
        <f aca="false">IF($X1045="","",INDEX('Per Line'!$K$2:$K$4001,$X1045))</f>
        <v/>
      </c>
      <c r="J1045" s="20" t="str">
        <f aca="false">IF($X1045="","",INDEX('Per Line'!$L$2:$L$4001,$X1045))</f>
        <v/>
      </c>
      <c r="K1045" s="20" t="str">
        <f aca="false">IF($X1045="","",INDEX('Per Line'!$M$2:$M$4001,$X1045))</f>
        <v/>
      </c>
      <c r="L1045" s="22" t="str">
        <f aca="false">IF($X1045="","",K1045*V1045/100)</f>
        <v/>
      </c>
      <c r="M1045" s="20" t="str">
        <f aca="false">IF($X1045="","",INDEX('Per Line'!$Z$2:$Z$4001,$X1045))</f>
        <v/>
      </c>
      <c r="N1045" s="23" t="str">
        <f aca="false">IF($X1045="","",Settings!$C$7)</f>
        <v/>
      </c>
      <c r="O1045" s="22" t="str">
        <f aca="false">IF($X1045="","",SUMIFS('Per Line'!$Y$2:$Y$4001,'Per Line'!$D$2:$D$4001,$B1045,'Per Line'!$AJ$2:$AJ$4001,0))</f>
        <v/>
      </c>
      <c r="P1045" s="22" t="str">
        <f aca="false">IF($X1045="","",O1045*N1045)</f>
        <v/>
      </c>
      <c r="Q1045" s="23" t="str">
        <f aca="false">IF($X1045="","",Settings!$C$6)</f>
        <v/>
      </c>
      <c r="R1045" s="22" t="str">
        <f aca="false">IF($X1045="","",SUMIFS('Per Line'!$Y$2:$Y$4001,'Per Line'!$D$2:$D$4001,$B1045,'Per Line'!$AJ$2:$AJ$4001,1))</f>
        <v/>
      </c>
      <c r="S1045" s="22" t="str">
        <f aca="false">IF($X1045="","",R1045*Q1045)</f>
        <v/>
      </c>
      <c r="T1045" s="22" t="str">
        <f aca="false">IF($X1045="","",S1045+P1045)</f>
        <v/>
      </c>
      <c r="U1045" s="22" t="str">
        <f aca="false">IF($X1045="","",V1045-T1045)</f>
        <v/>
      </c>
      <c r="V1045" s="22" t="str">
        <f aca="false">IF($X1045="","",O1045+R1045)</f>
        <v/>
      </c>
      <c r="W1045" s="22" t="str">
        <f aca="false">IF($X1045="","",U1045-L1045)</f>
        <v/>
      </c>
      <c r="X1045" s="24" t="str">
        <f aca="false">IF(ROWS($X$2:$X1045)&lt;=MAX('Per Line'!$AI$2:$AI$4001),MATCH(ROWS($X$2:$X1045),'Per Line'!$AI$2:$AI$4001,0),"")</f>
        <v/>
      </c>
    </row>
    <row r="1046" customFormat="false" ht="15" hidden="false" customHeight="false" outlineLevel="0" collapsed="false">
      <c r="A1046" s="19"/>
      <c r="B1046" s="20" t="str">
        <f aca="false">IF($X1046="","",INDEX('Per Line'!$D$2:$D$4001,$X1046))</f>
        <v/>
      </c>
      <c r="C1046" s="20" t="str">
        <f aca="false">IF($X1046="","",INDEX('Per Line'!$C$2:$C$4001,$X1046))</f>
        <v/>
      </c>
      <c r="D1046" s="20" t="str">
        <f aca="false">IF($X1046="","",INDEX('Per Line'!$A$2:$A$4001,$X1046))</f>
        <v/>
      </c>
      <c r="E1046" s="21" t="str">
        <f aca="false">IF($X1046="","",INDEX('Per Line'!$F$2:$F$4001,$X1046))</f>
        <v/>
      </c>
      <c r="F1046" s="20" t="str">
        <f aca="false">IF($X1046="","",INDEX('Per Line'!$G$2:$G$4001,$X1046))</f>
        <v/>
      </c>
      <c r="G1046" s="20" t="str">
        <f aca="false">IF($X1046="","",INDEX('Per Line'!$I$2:$I$4001,$X1046))</f>
        <v/>
      </c>
      <c r="H1046" s="20" t="str">
        <f aca="false">IF($X1046="","",INDEX('Per Line'!$J$2:$J$4001,$X1046))</f>
        <v/>
      </c>
      <c r="I1046" s="20" t="str">
        <f aca="false">IF($X1046="","",INDEX('Per Line'!$K$2:$K$4001,$X1046))</f>
        <v/>
      </c>
      <c r="J1046" s="20" t="str">
        <f aca="false">IF($X1046="","",INDEX('Per Line'!$L$2:$L$4001,$X1046))</f>
        <v/>
      </c>
      <c r="K1046" s="20" t="str">
        <f aca="false">IF($X1046="","",INDEX('Per Line'!$M$2:$M$4001,$X1046))</f>
        <v/>
      </c>
      <c r="L1046" s="22" t="str">
        <f aca="false">IF($X1046="","",K1046*V1046/100)</f>
        <v/>
      </c>
      <c r="M1046" s="20" t="str">
        <f aca="false">IF($X1046="","",INDEX('Per Line'!$Z$2:$Z$4001,$X1046))</f>
        <v/>
      </c>
      <c r="N1046" s="23" t="str">
        <f aca="false">IF($X1046="","",Settings!$C$7)</f>
        <v/>
      </c>
      <c r="O1046" s="22" t="str">
        <f aca="false">IF($X1046="","",SUMIFS('Per Line'!$Y$2:$Y$4001,'Per Line'!$D$2:$D$4001,$B1046,'Per Line'!$AJ$2:$AJ$4001,0))</f>
        <v/>
      </c>
      <c r="P1046" s="22" t="str">
        <f aca="false">IF($X1046="","",O1046*N1046)</f>
        <v/>
      </c>
      <c r="Q1046" s="23" t="str">
        <f aca="false">IF($X1046="","",Settings!$C$6)</f>
        <v/>
      </c>
      <c r="R1046" s="22" t="str">
        <f aca="false">IF($X1046="","",SUMIFS('Per Line'!$Y$2:$Y$4001,'Per Line'!$D$2:$D$4001,$B1046,'Per Line'!$AJ$2:$AJ$4001,1))</f>
        <v/>
      </c>
      <c r="S1046" s="22" t="str">
        <f aca="false">IF($X1046="","",R1046*Q1046)</f>
        <v/>
      </c>
      <c r="T1046" s="22" t="str">
        <f aca="false">IF($X1046="","",S1046+P1046)</f>
        <v/>
      </c>
      <c r="U1046" s="22" t="str">
        <f aca="false">IF($X1046="","",V1046-T1046)</f>
        <v/>
      </c>
      <c r="V1046" s="22" t="str">
        <f aca="false">IF($X1046="","",O1046+R1046)</f>
        <v/>
      </c>
      <c r="W1046" s="22" t="str">
        <f aca="false">IF($X1046="","",U1046-L1046)</f>
        <v/>
      </c>
      <c r="X1046" s="24" t="str">
        <f aca="false">IF(ROWS($X$2:$X1046)&lt;=MAX('Per Line'!$AI$2:$AI$4001),MATCH(ROWS($X$2:$X1046),'Per Line'!$AI$2:$AI$4001,0),"")</f>
        <v/>
      </c>
    </row>
    <row r="1047" customFormat="false" ht="15" hidden="false" customHeight="false" outlineLevel="0" collapsed="false">
      <c r="A1047" s="19"/>
      <c r="B1047" s="20" t="str">
        <f aca="false">IF($X1047="","",INDEX('Per Line'!$D$2:$D$4001,$X1047))</f>
        <v/>
      </c>
      <c r="C1047" s="20" t="str">
        <f aca="false">IF($X1047="","",INDEX('Per Line'!$C$2:$C$4001,$X1047))</f>
        <v/>
      </c>
      <c r="D1047" s="20" t="str">
        <f aca="false">IF($X1047="","",INDEX('Per Line'!$A$2:$A$4001,$X1047))</f>
        <v/>
      </c>
      <c r="E1047" s="21" t="str">
        <f aca="false">IF($X1047="","",INDEX('Per Line'!$F$2:$F$4001,$X1047))</f>
        <v/>
      </c>
      <c r="F1047" s="20" t="str">
        <f aca="false">IF($X1047="","",INDEX('Per Line'!$G$2:$G$4001,$X1047))</f>
        <v/>
      </c>
      <c r="G1047" s="20" t="str">
        <f aca="false">IF($X1047="","",INDEX('Per Line'!$I$2:$I$4001,$X1047))</f>
        <v/>
      </c>
      <c r="H1047" s="20" t="str">
        <f aca="false">IF($X1047="","",INDEX('Per Line'!$J$2:$J$4001,$X1047))</f>
        <v/>
      </c>
      <c r="I1047" s="20" t="str">
        <f aca="false">IF($X1047="","",INDEX('Per Line'!$K$2:$K$4001,$X1047))</f>
        <v/>
      </c>
      <c r="J1047" s="20" t="str">
        <f aca="false">IF($X1047="","",INDEX('Per Line'!$L$2:$L$4001,$X1047))</f>
        <v/>
      </c>
      <c r="K1047" s="20" t="str">
        <f aca="false">IF($X1047="","",INDEX('Per Line'!$M$2:$M$4001,$X1047))</f>
        <v/>
      </c>
      <c r="L1047" s="22" t="str">
        <f aca="false">IF($X1047="","",K1047*V1047/100)</f>
        <v/>
      </c>
      <c r="M1047" s="20" t="str">
        <f aca="false">IF($X1047="","",INDEX('Per Line'!$Z$2:$Z$4001,$X1047))</f>
        <v/>
      </c>
      <c r="N1047" s="23" t="str">
        <f aca="false">IF($X1047="","",Settings!$C$7)</f>
        <v/>
      </c>
      <c r="O1047" s="22" t="str">
        <f aca="false">IF($X1047="","",SUMIFS('Per Line'!$Y$2:$Y$4001,'Per Line'!$D$2:$D$4001,$B1047,'Per Line'!$AJ$2:$AJ$4001,0))</f>
        <v/>
      </c>
      <c r="P1047" s="22" t="str">
        <f aca="false">IF($X1047="","",O1047*N1047)</f>
        <v/>
      </c>
      <c r="Q1047" s="23" t="str">
        <f aca="false">IF($X1047="","",Settings!$C$6)</f>
        <v/>
      </c>
      <c r="R1047" s="22" t="str">
        <f aca="false">IF($X1047="","",SUMIFS('Per Line'!$Y$2:$Y$4001,'Per Line'!$D$2:$D$4001,$B1047,'Per Line'!$AJ$2:$AJ$4001,1))</f>
        <v/>
      </c>
      <c r="S1047" s="22" t="str">
        <f aca="false">IF($X1047="","",R1047*Q1047)</f>
        <v/>
      </c>
      <c r="T1047" s="22" t="str">
        <f aca="false">IF($X1047="","",S1047+P1047)</f>
        <v/>
      </c>
      <c r="U1047" s="22" t="str">
        <f aca="false">IF($X1047="","",V1047-T1047)</f>
        <v/>
      </c>
      <c r="V1047" s="22" t="str">
        <f aca="false">IF($X1047="","",O1047+R1047)</f>
        <v/>
      </c>
      <c r="W1047" s="22" t="str">
        <f aca="false">IF($X1047="","",U1047-L1047)</f>
        <v/>
      </c>
      <c r="X1047" s="24" t="str">
        <f aca="false">IF(ROWS($X$2:$X1047)&lt;=MAX('Per Line'!$AI$2:$AI$4001),MATCH(ROWS($X$2:$X1047),'Per Line'!$AI$2:$AI$4001,0),"")</f>
        <v/>
      </c>
    </row>
    <row r="1048" customFormat="false" ht="15" hidden="false" customHeight="false" outlineLevel="0" collapsed="false">
      <c r="A1048" s="19"/>
      <c r="B1048" s="20" t="str">
        <f aca="false">IF($X1048="","",INDEX('Per Line'!$D$2:$D$4001,$X1048))</f>
        <v/>
      </c>
      <c r="C1048" s="20" t="str">
        <f aca="false">IF($X1048="","",INDEX('Per Line'!$C$2:$C$4001,$X1048))</f>
        <v/>
      </c>
      <c r="D1048" s="20" t="str">
        <f aca="false">IF($X1048="","",INDEX('Per Line'!$A$2:$A$4001,$X1048))</f>
        <v/>
      </c>
      <c r="E1048" s="21" t="str">
        <f aca="false">IF($X1048="","",INDEX('Per Line'!$F$2:$F$4001,$X1048))</f>
        <v/>
      </c>
      <c r="F1048" s="20" t="str">
        <f aca="false">IF($X1048="","",INDEX('Per Line'!$G$2:$G$4001,$X1048))</f>
        <v/>
      </c>
      <c r="G1048" s="20" t="str">
        <f aca="false">IF($X1048="","",INDEX('Per Line'!$I$2:$I$4001,$X1048))</f>
        <v/>
      </c>
      <c r="H1048" s="20" t="str">
        <f aca="false">IF($X1048="","",INDEX('Per Line'!$J$2:$J$4001,$X1048))</f>
        <v/>
      </c>
      <c r="I1048" s="20" t="str">
        <f aca="false">IF($X1048="","",INDEX('Per Line'!$K$2:$K$4001,$X1048))</f>
        <v/>
      </c>
      <c r="J1048" s="20" t="str">
        <f aca="false">IF($X1048="","",INDEX('Per Line'!$L$2:$L$4001,$X1048))</f>
        <v/>
      </c>
      <c r="K1048" s="20" t="str">
        <f aca="false">IF($X1048="","",INDEX('Per Line'!$M$2:$M$4001,$X1048))</f>
        <v/>
      </c>
      <c r="L1048" s="22" t="str">
        <f aca="false">IF($X1048="","",K1048*V1048/100)</f>
        <v/>
      </c>
      <c r="M1048" s="20" t="str">
        <f aca="false">IF($X1048="","",INDEX('Per Line'!$Z$2:$Z$4001,$X1048))</f>
        <v/>
      </c>
      <c r="N1048" s="23" t="str">
        <f aca="false">IF($X1048="","",Settings!$C$7)</f>
        <v/>
      </c>
      <c r="O1048" s="22" t="str">
        <f aca="false">IF($X1048="","",SUMIFS('Per Line'!$Y$2:$Y$4001,'Per Line'!$D$2:$D$4001,$B1048,'Per Line'!$AJ$2:$AJ$4001,0))</f>
        <v/>
      </c>
      <c r="P1048" s="22" t="str">
        <f aca="false">IF($X1048="","",O1048*N1048)</f>
        <v/>
      </c>
      <c r="Q1048" s="23" t="str">
        <f aca="false">IF($X1048="","",Settings!$C$6)</f>
        <v/>
      </c>
      <c r="R1048" s="22" t="str">
        <f aca="false">IF($X1048="","",SUMIFS('Per Line'!$Y$2:$Y$4001,'Per Line'!$D$2:$D$4001,$B1048,'Per Line'!$AJ$2:$AJ$4001,1))</f>
        <v/>
      </c>
      <c r="S1048" s="22" t="str">
        <f aca="false">IF($X1048="","",R1048*Q1048)</f>
        <v/>
      </c>
      <c r="T1048" s="22" t="str">
        <f aca="false">IF($X1048="","",S1048+P1048)</f>
        <v/>
      </c>
      <c r="U1048" s="22" t="str">
        <f aca="false">IF($X1048="","",V1048-T1048)</f>
        <v/>
      </c>
      <c r="V1048" s="22" t="str">
        <f aca="false">IF($X1048="","",O1048+R1048)</f>
        <v/>
      </c>
      <c r="W1048" s="22" t="str">
        <f aca="false">IF($X1048="","",U1048-L1048)</f>
        <v/>
      </c>
      <c r="X1048" s="24" t="str">
        <f aca="false">IF(ROWS($X$2:$X1048)&lt;=MAX('Per Line'!$AI$2:$AI$4001),MATCH(ROWS($X$2:$X1048),'Per Line'!$AI$2:$AI$4001,0),"")</f>
        <v/>
      </c>
    </row>
    <row r="1049" customFormat="false" ht="15" hidden="false" customHeight="false" outlineLevel="0" collapsed="false">
      <c r="A1049" s="19"/>
      <c r="B1049" s="20" t="str">
        <f aca="false">IF($X1049="","",INDEX('Per Line'!$D$2:$D$4001,$X1049))</f>
        <v/>
      </c>
      <c r="C1049" s="20" t="str">
        <f aca="false">IF($X1049="","",INDEX('Per Line'!$C$2:$C$4001,$X1049))</f>
        <v/>
      </c>
      <c r="D1049" s="20" t="str">
        <f aca="false">IF($X1049="","",INDEX('Per Line'!$A$2:$A$4001,$X1049))</f>
        <v/>
      </c>
      <c r="E1049" s="21" t="str">
        <f aca="false">IF($X1049="","",INDEX('Per Line'!$F$2:$F$4001,$X1049))</f>
        <v/>
      </c>
      <c r="F1049" s="20" t="str">
        <f aca="false">IF($X1049="","",INDEX('Per Line'!$G$2:$G$4001,$X1049))</f>
        <v/>
      </c>
      <c r="G1049" s="20" t="str">
        <f aca="false">IF($X1049="","",INDEX('Per Line'!$I$2:$I$4001,$X1049))</f>
        <v/>
      </c>
      <c r="H1049" s="20" t="str">
        <f aca="false">IF($X1049="","",INDEX('Per Line'!$J$2:$J$4001,$X1049))</f>
        <v/>
      </c>
      <c r="I1049" s="20" t="str">
        <f aca="false">IF($X1049="","",INDEX('Per Line'!$K$2:$K$4001,$X1049))</f>
        <v/>
      </c>
      <c r="J1049" s="20" t="str">
        <f aca="false">IF($X1049="","",INDEX('Per Line'!$L$2:$L$4001,$X1049))</f>
        <v/>
      </c>
      <c r="K1049" s="20" t="str">
        <f aca="false">IF($X1049="","",INDEX('Per Line'!$M$2:$M$4001,$X1049))</f>
        <v/>
      </c>
      <c r="L1049" s="22" t="str">
        <f aca="false">IF($X1049="","",K1049*V1049/100)</f>
        <v/>
      </c>
      <c r="M1049" s="20" t="str">
        <f aca="false">IF($X1049="","",INDEX('Per Line'!$Z$2:$Z$4001,$X1049))</f>
        <v/>
      </c>
      <c r="N1049" s="23" t="str">
        <f aca="false">IF($X1049="","",Settings!$C$7)</f>
        <v/>
      </c>
      <c r="O1049" s="22" t="str">
        <f aca="false">IF($X1049="","",SUMIFS('Per Line'!$Y$2:$Y$4001,'Per Line'!$D$2:$D$4001,$B1049,'Per Line'!$AJ$2:$AJ$4001,0))</f>
        <v/>
      </c>
      <c r="P1049" s="22" t="str">
        <f aca="false">IF($X1049="","",O1049*N1049)</f>
        <v/>
      </c>
      <c r="Q1049" s="23" t="str">
        <f aca="false">IF($X1049="","",Settings!$C$6)</f>
        <v/>
      </c>
      <c r="R1049" s="22" t="str">
        <f aca="false">IF($X1049="","",SUMIFS('Per Line'!$Y$2:$Y$4001,'Per Line'!$D$2:$D$4001,$B1049,'Per Line'!$AJ$2:$AJ$4001,1))</f>
        <v/>
      </c>
      <c r="S1049" s="22" t="str">
        <f aca="false">IF($X1049="","",R1049*Q1049)</f>
        <v/>
      </c>
      <c r="T1049" s="22" t="str">
        <f aca="false">IF($X1049="","",S1049+P1049)</f>
        <v/>
      </c>
      <c r="U1049" s="22" t="str">
        <f aca="false">IF($X1049="","",V1049-T1049)</f>
        <v/>
      </c>
      <c r="V1049" s="22" t="str">
        <f aca="false">IF($X1049="","",O1049+R1049)</f>
        <v/>
      </c>
      <c r="W1049" s="22" t="str">
        <f aca="false">IF($X1049="","",U1049-L1049)</f>
        <v/>
      </c>
      <c r="X1049" s="24" t="str">
        <f aca="false">IF(ROWS($X$2:$X1049)&lt;=MAX('Per Line'!$AI$2:$AI$4001),MATCH(ROWS($X$2:$X1049),'Per Line'!$AI$2:$AI$4001,0),"")</f>
        <v/>
      </c>
    </row>
    <row r="1050" customFormat="false" ht="15" hidden="false" customHeight="false" outlineLevel="0" collapsed="false">
      <c r="A1050" s="19"/>
      <c r="B1050" s="20" t="str">
        <f aca="false">IF($X1050="","",INDEX('Per Line'!$D$2:$D$4001,$X1050))</f>
        <v/>
      </c>
      <c r="C1050" s="20" t="str">
        <f aca="false">IF($X1050="","",INDEX('Per Line'!$C$2:$C$4001,$X1050))</f>
        <v/>
      </c>
      <c r="D1050" s="20" t="str">
        <f aca="false">IF($X1050="","",INDEX('Per Line'!$A$2:$A$4001,$X1050))</f>
        <v/>
      </c>
      <c r="E1050" s="21" t="str">
        <f aca="false">IF($X1050="","",INDEX('Per Line'!$F$2:$F$4001,$X1050))</f>
        <v/>
      </c>
      <c r="F1050" s="20" t="str">
        <f aca="false">IF($X1050="","",INDEX('Per Line'!$G$2:$G$4001,$X1050))</f>
        <v/>
      </c>
      <c r="G1050" s="20" t="str">
        <f aca="false">IF($X1050="","",INDEX('Per Line'!$I$2:$I$4001,$X1050))</f>
        <v/>
      </c>
      <c r="H1050" s="20" t="str">
        <f aca="false">IF($X1050="","",INDEX('Per Line'!$J$2:$J$4001,$X1050))</f>
        <v/>
      </c>
      <c r="I1050" s="20" t="str">
        <f aca="false">IF($X1050="","",INDEX('Per Line'!$K$2:$K$4001,$X1050))</f>
        <v/>
      </c>
      <c r="J1050" s="20" t="str">
        <f aca="false">IF($X1050="","",INDEX('Per Line'!$L$2:$L$4001,$X1050))</f>
        <v/>
      </c>
      <c r="K1050" s="20" t="str">
        <f aca="false">IF($X1050="","",INDEX('Per Line'!$M$2:$M$4001,$X1050))</f>
        <v/>
      </c>
      <c r="L1050" s="22" t="str">
        <f aca="false">IF($X1050="","",K1050*V1050/100)</f>
        <v/>
      </c>
      <c r="M1050" s="20" t="str">
        <f aca="false">IF($X1050="","",INDEX('Per Line'!$Z$2:$Z$4001,$X1050))</f>
        <v/>
      </c>
      <c r="N1050" s="23" t="str">
        <f aca="false">IF($X1050="","",Settings!$C$7)</f>
        <v/>
      </c>
      <c r="O1050" s="22" t="str">
        <f aca="false">IF($X1050="","",SUMIFS('Per Line'!$Y$2:$Y$4001,'Per Line'!$D$2:$D$4001,$B1050,'Per Line'!$AJ$2:$AJ$4001,0))</f>
        <v/>
      </c>
      <c r="P1050" s="22" t="str">
        <f aca="false">IF($X1050="","",O1050*N1050)</f>
        <v/>
      </c>
      <c r="Q1050" s="23" t="str">
        <f aca="false">IF($X1050="","",Settings!$C$6)</f>
        <v/>
      </c>
      <c r="R1050" s="22" t="str">
        <f aca="false">IF($X1050="","",SUMIFS('Per Line'!$Y$2:$Y$4001,'Per Line'!$D$2:$D$4001,$B1050,'Per Line'!$AJ$2:$AJ$4001,1))</f>
        <v/>
      </c>
      <c r="S1050" s="22" t="str">
        <f aca="false">IF($X1050="","",R1050*Q1050)</f>
        <v/>
      </c>
      <c r="T1050" s="22" t="str">
        <f aca="false">IF($X1050="","",S1050+P1050)</f>
        <v/>
      </c>
      <c r="U1050" s="22" t="str">
        <f aca="false">IF($X1050="","",V1050-T1050)</f>
        <v/>
      </c>
      <c r="V1050" s="22" t="str">
        <f aca="false">IF($X1050="","",O1050+R1050)</f>
        <v/>
      </c>
      <c r="W1050" s="22" t="str">
        <f aca="false">IF($X1050="","",U1050-L1050)</f>
        <v/>
      </c>
      <c r="X1050" s="24" t="str">
        <f aca="false">IF(ROWS($X$2:$X1050)&lt;=MAX('Per Line'!$AI$2:$AI$4001),MATCH(ROWS($X$2:$X1050),'Per Line'!$AI$2:$AI$4001,0),"")</f>
        <v/>
      </c>
    </row>
    <row r="1051" customFormat="false" ht="15" hidden="false" customHeight="false" outlineLevel="0" collapsed="false">
      <c r="A1051" s="19"/>
      <c r="B1051" s="20" t="str">
        <f aca="false">IF($X1051="","",INDEX('Per Line'!$D$2:$D$4001,$X1051))</f>
        <v/>
      </c>
      <c r="C1051" s="20" t="str">
        <f aca="false">IF($X1051="","",INDEX('Per Line'!$C$2:$C$4001,$X1051))</f>
        <v/>
      </c>
      <c r="D1051" s="20" t="str">
        <f aca="false">IF($X1051="","",INDEX('Per Line'!$A$2:$A$4001,$X1051))</f>
        <v/>
      </c>
      <c r="E1051" s="21" t="str">
        <f aca="false">IF($X1051="","",INDEX('Per Line'!$F$2:$F$4001,$X1051))</f>
        <v/>
      </c>
      <c r="F1051" s="20" t="str">
        <f aca="false">IF($X1051="","",INDEX('Per Line'!$G$2:$G$4001,$X1051))</f>
        <v/>
      </c>
      <c r="G1051" s="20" t="str">
        <f aca="false">IF($X1051="","",INDEX('Per Line'!$I$2:$I$4001,$X1051))</f>
        <v/>
      </c>
      <c r="H1051" s="20" t="str">
        <f aca="false">IF($X1051="","",INDEX('Per Line'!$J$2:$J$4001,$X1051))</f>
        <v/>
      </c>
      <c r="I1051" s="20" t="str">
        <f aca="false">IF($X1051="","",INDEX('Per Line'!$K$2:$K$4001,$X1051))</f>
        <v/>
      </c>
      <c r="J1051" s="20" t="str">
        <f aca="false">IF($X1051="","",INDEX('Per Line'!$L$2:$L$4001,$X1051))</f>
        <v/>
      </c>
      <c r="K1051" s="20" t="str">
        <f aca="false">IF($X1051="","",INDEX('Per Line'!$M$2:$M$4001,$X1051))</f>
        <v/>
      </c>
      <c r="L1051" s="22" t="str">
        <f aca="false">IF($X1051="","",K1051*V1051/100)</f>
        <v/>
      </c>
      <c r="M1051" s="20" t="str">
        <f aca="false">IF($X1051="","",INDEX('Per Line'!$Z$2:$Z$4001,$X1051))</f>
        <v/>
      </c>
      <c r="N1051" s="23" t="str">
        <f aca="false">IF($X1051="","",Settings!$C$7)</f>
        <v/>
      </c>
      <c r="O1051" s="22" t="str">
        <f aca="false">IF($X1051="","",SUMIFS('Per Line'!$Y$2:$Y$4001,'Per Line'!$D$2:$D$4001,$B1051,'Per Line'!$AJ$2:$AJ$4001,0))</f>
        <v/>
      </c>
      <c r="P1051" s="22" t="str">
        <f aca="false">IF($X1051="","",O1051*N1051)</f>
        <v/>
      </c>
      <c r="Q1051" s="23" t="str">
        <f aca="false">IF($X1051="","",Settings!$C$6)</f>
        <v/>
      </c>
      <c r="R1051" s="22" t="str">
        <f aca="false">IF($X1051="","",SUMIFS('Per Line'!$Y$2:$Y$4001,'Per Line'!$D$2:$D$4001,$B1051,'Per Line'!$AJ$2:$AJ$4001,1))</f>
        <v/>
      </c>
      <c r="S1051" s="22" t="str">
        <f aca="false">IF($X1051="","",R1051*Q1051)</f>
        <v/>
      </c>
      <c r="T1051" s="22" t="str">
        <f aca="false">IF($X1051="","",S1051+P1051)</f>
        <v/>
      </c>
      <c r="U1051" s="22" t="str">
        <f aca="false">IF($X1051="","",V1051-T1051)</f>
        <v/>
      </c>
      <c r="V1051" s="22" t="str">
        <f aca="false">IF($X1051="","",O1051+R1051)</f>
        <v/>
      </c>
      <c r="W1051" s="22" t="str">
        <f aca="false">IF($X1051="","",U1051-L1051)</f>
        <v/>
      </c>
      <c r="X1051" s="24" t="str">
        <f aca="false">IF(ROWS($X$2:$X1051)&lt;=MAX('Per Line'!$AI$2:$AI$4001),MATCH(ROWS($X$2:$X1051),'Per Line'!$AI$2:$AI$4001,0),"")</f>
        <v/>
      </c>
    </row>
    <row r="1052" customFormat="false" ht="15" hidden="false" customHeight="false" outlineLevel="0" collapsed="false">
      <c r="A1052" s="19"/>
      <c r="B1052" s="20" t="str">
        <f aca="false">IF($X1052="","",INDEX('Per Line'!$D$2:$D$4001,$X1052))</f>
        <v/>
      </c>
      <c r="C1052" s="20" t="str">
        <f aca="false">IF($X1052="","",INDEX('Per Line'!$C$2:$C$4001,$X1052))</f>
        <v/>
      </c>
      <c r="D1052" s="20" t="str">
        <f aca="false">IF($X1052="","",INDEX('Per Line'!$A$2:$A$4001,$X1052))</f>
        <v/>
      </c>
      <c r="E1052" s="21" t="str">
        <f aca="false">IF($X1052="","",INDEX('Per Line'!$F$2:$F$4001,$X1052))</f>
        <v/>
      </c>
      <c r="F1052" s="20" t="str">
        <f aca="false">IF($X1052="","",INDEX('Per Line'!$G$2:$G$4001,$X1052))</f>
        <v/>
      </c>
      <c r="G1052" s="20" t="str">
        <f aca="false">IF($X1052="","",INDEX('Per Line'!$I$2:$I$4001,$X1052))</f>
        <v/>
      </c>
      <c r="H1052" s="20" t="str">
        <f aca="false">IF($X1052="","",INDEX('Per Line'!$J$2:$J$4001,$X1052))</f>
        <v/>
      </c>
      <c r="I1052" s="20" t="str">
        <f aca="false">IF($X1052="","",INDEX('Per Line'!$K$2:$K$4001,$X1052))</f>
        <v/>
      </c>
      <c r="J1052" s="20" t="str">
        <f aca="false">IF($X1052="","",INDEX('Per Line'!$L$2:$L$4001,$X1052))</f>
        <v/>
      </c>
      <c r="K1052" s="20" t="str">
        <f aca="false">IF($X1052="","",INDEX('Per Line'!$M$2:$M$4001,$X1052))</f>
        <v/>
      </c>
      <c r="L1052" s="22" t="str">
        <f aca="false">IF($X1052="","",K1052*V1052/100)</f>
        <v/>
      </c>
      <c r="M1052" s="20" t="str">
        <f aca="false">IF($X1052="","",INDEX('Per Line'!$Z$2:$Z$4001,$X1052))</f>
        <v/>
      </c>
      <c r="N1052" s="23" t="str">
        <f aca="false">IF($X1052="","",Settings!$C$7)</f>
        <v/>
      </c>
      <c r="O1052" s="22" t="str">
        <f aca="false">IF($X1052="","",SUMIFS('Per Line'!$Y$2:$Y$4001,'Per Line'!$D$2:$D$4001,$B1052,'Per Line'!$AJ$2:$AJ$4001,0))</f>
        <v/>
      </c>
      <c r="P1052" s="22" t="str">
        <f aca="false">IF($X1052="","",O1052*N1052)</f>
        <v/>
      </c>
      <c r="Q1052" s="23" t="str">
        <f aca="false">IF($X1052="","",Settings!$C$6)</f>
        <v/>
      </c>
      <c r="R1052" s="22" t="str">
        <f aca="false">IF($X1052="","",SUMIFS('Per Line'!$Y$2:$Y$4001,'Per Line'!$D$2:$D$4001,$B1052,'Per Line'!$AJ$2:$AJ$4001,1))</f>
        <v/>
      </c>
      <c r="S1052" s="22" t="str">
        <f aca="false">IF($X1052="","",R1052*Q1052)</f>
        <v/>
      </c>
      <c r="T1052" s="22" t="str">
        <f aca="false">IF($X1052="","",S1052+P1052)</f>
        <v/>
      </c>
      <c r="U1052" s="22" t="str">
        <f aca="false">IF($X1052="","",V1052-T1052)</f>
        <v/>
      </c>
      <c r="V1052" s="22" t="str">
        <f aca="false">IF($X1052="","",O1052+R1052)</f>
        <v/>
      </c>
      <c r="W1052" s="22" t="str">
        <f aca="false">IF($X1052="","",U1052-L1052)</f>
        <v/>
      </c>
      <c r="X1052" s="24" t="str">
        <f aca="false">IF(ROWS($X$2:$X1052)&lt;=MAX('Per Line'!$AI$2:$AI$4001),MATCH(ROWS($X$2:$X1052),'Per Line'!$AI$2:$AI$4001,0),"")</f>
        <v/>
      </c>
    </row>
    <row r="1053" customFormat="false" ht="15" hidden="false" customHeight="false" outlineLevel="0" collapsed="false">
      <c r="A1053" s="19"/>
      <c r="B1053" s="20" t="str">
        <f aca="false">IF($X1053="","",INDEX('Per Line'!$D$2:$D$4001,$X1053))</f>
        <v/>
      </c>
      <c r="C1053" s="20" t="str">
        <f aca="false">IF($X1053="","",INDEX('Per Line'!$C$2:$C$4001,$X1053))</f>
        <v/>
      </c>
      <c r="D1053" s="20" t="str">
        <f aca="false">IF($X1053="","",INDEX('Per Line'!$A$2:$A$4001,$X1053))</f>
        <v/>
      </c>
      <c r="E1053" s="21" t="str">
        <f aca="false">IF($X1053="","",INDEX('Per Line'!$F$2:$F$4001,$X1053))</f>
        <v/>
      </c>
      <c r="F1053" s="20" t="str">
        <f aca="false">IF($X1053="","",INDEX('Per Line'!$G$2:$G$4001,$X1053))</f>
        <v/>
      </c>
      <c r="G1053" s="20" t="str">
        <f aca="false">IF($X1053="","",INDEX('Per Line'!$I$2:$I$4001,$X1053))</f>
        <v/>
      </c>
      <c r="H1053" s="20" t="str">
        <f aca="false">IF($X1053="","",INDEX('Per Line'!$J$2:$J$4001,$X1053))</f>
        <v/>
      </c>
      <c r="I1053" s="20" t="str">
        <f aca="false">IF($X1053="","",INDEX('Per Line'!$K$2:$K$4001,$X1053))</f>
        <v/>
      </c>
      <c r="J1053" s="20" t="str">
        <f aca="false">IF($X1053="","",INDEX('Per Line'!$L$2:$L$4001,$X1053))</f>
        <v/>
      </c>
      <c r="K1053" s="20" t="str">
        <f aca="false">IF($X1053="","",INDEX('Per Line'!$M$2:$M$4001,$X1053))</f>
        <v/>
      </c>
      <c r="L1053" s="22" t="str">
        <f aca="false">IF($X1053="","",K1053*V1053/100)</f>
        <v/>
      </c>
      <c r="M1053" s="20" t="str">
        <f aca="false">IF($X1053="","",INDEX('Per Line'!$Z$2:$Z$4001,$X1053))</f>
        <v/>
      </c>
      <c r="N1053" s="23" t="str">
        <f aca="false">IF($X1053="","",Settings!$C$7)</f>
        <v/>
      </c>
      <c r="O1053" s="22" t="str">
        <f aca="false">IF($X1053="","",SUMIFS('Per Line'!$Y$2:$Y$4001,'Per Line'!$D$2:$D$4001,$B1053,'Per Line'!$AJ$2:$AJ$4001,0))</f>
        <v/>
      </c>
      <c r="P1053" s="22" t="str">
        <f aca="false">IF($X1053="","",O1053*N1053)</f>
        <v/>
      </c>
      <c r="Q1053" s="23" t="str">
        <f aca="false">IF($X1053="","",Settings!$C$6)</f>
        <v/>
      </c>
      <c r="R1053" s="22" t="str">
        <f aca="false">IF($X1053="","",SUMIFS('Per Line'!$Y$2:$Y$4001,'Per Line'!$D$2:$D$4001,$B1053,'Per Line'!$AJ$2:$AJ$4001,1))</f>
        <v/>
      </c>
      <c r="S1053" s="22" t="str">
        <f aca="false">IF($X1053="","",R1053*Q1053)</f>
        <v/>
      </c>
      <c r="T1053" s="22" t="str">
        <f aca="false">IF($X1053="","",S1053+P1053)</f>
        <v/>
      </c>
      <c r="U1053" s="22" t="str">
        <f aca="false">IF($X1053="","",V1053-T1053)</f>
        <v/>
      </c>
      <c r="V1053" s="22" t="str">
        <f aca="false">IF($X1053="","",O1053+R1053)</f>
        <v/>
      </c>
      <c r="W1053" s="22" t="str">
        <f aca="false">IF($X1053="","",U1053-L1053)</f>
        <v/>
      </c>
      <c r="X1053" s="24" t="str">
        <f aca="false">IF(ROWS($X$2:$X1053)&lt;=MAX('Per Line'!$AI$2:$AI$4001),MATCH(ROWS($X$2:$X1053),'Per Line'!$AI$2:$AI$4001,0),"")</f>
        <v/>
      </c>
    </row>
    <row r="1054" customFormat="false" ht="15" hidden="false" customHeight="false" outlineLevel="0" collapsed="false">
      <c r="A1054" s="19"/>
      <c r="B1054" s="20" t="str">
        <f aca="false">IF($X1054="","",INDEX('Per Line'!$D$2:$D$4001,$X1054))</f>
        <v/>
      </c>
      <c r="C1054" s="20" t="str">
        <f aca="false">IF($X1054="","",INDEX('Per Line'!$C$2:$C$4001,$X1054))</f>
        <v/>
      </c>
      <c r="D1054" s="20" t="str">
        <f aca="false">IF($X1054="","",INDEX('Per Line'!$A$2:$A$4001,$X1054))</f>
        <v/>
      </c>
      <c r="E1054" s="21" t="str">
        <f aca="false">IF($X1054="","",INDEX('Per Line'!$F$2:$F$4001,$X1054))</f>
        <v/>
      </c>
      <c r="F1054" s="20" t="str">
        <f aca="false">IF($X1054="","",INDEX('Per Line'!$G$2:$G$4001,$X1054))</f>
        <v/>
      </c>
      <c r="G1054" s="20" t="str">
        <f aca="false">IF($X1054="","",INDEX('Per Line'!$I$2:$I$4001,$X1054))</f>
        <v/>
      </c>
      <c r="H1054" s="20" t="str">
        <f aca="false">IF($X1054="","",INDEX('Per Line'!$J$2:$J$4001,$X1054))</f>
        <v/>
      </c>
      <c r="I1054" s="20" t="str">
        <f aca="false">IF($X1054="","",INDEX('Per Line'!$K$2:$K$4001,$X1054))</f>
        <v/>
      </c>
      <c r="J1054" s="20" t="str">
        <f aca="false">IF($X1054="","",INDEX('Per Line'!$L$2:$L$4001,$X1054))</f>
        <v/>
      </c>
      <c r="K1054" s="20" t="str">
        <f aca="false">IF($X1054="","",INDEX('Per Line'!$M$2:$M$4001,$X1054))</f>
        <v/>
      </c>
      <c r="L1054" s="22" t="str">
        <f aca="false">IF($X1054="","",K1054*V1054/100)</f>
        <v/>
      </c>
      <c r="M1054" s="20" t="str">
        <f aca="false">IF($X1054="","",INDEX('Per Line'!$Z$2:$Z$4001,$X1054))</f>
        <v/>
      </c>
      <c r="N1054" s="23" t="str">
        <f aca="false">IF($X1054="","",Settings!$C$7)</f>
        <v/>
      </c>
      <c r="O1054" s="22" t="str">
        <f aca="false">IF($X1054="","",SUMIFS('Per Line'!$Y$2:$Y$4001,'Per Line'!$D$2:$D$4001,$B1054,'Per Line'!$AJ$2:$AJ$4001,0))</f>
        <v/>
      </c>
      <c r="P1054" s="22" t="str">
        <f aca="false">IF($X1054="","",O1054*N1054)</f>
        <v/>
      </c>
      <c r="Q1054" s="23" t="str">
        <f aca="false">IF($X1054="","",Settings!$C$6)</f>
        <v/>
      </c>
      <c r="R1054" s="22" t="str">
        <f aca="false">IF($X1054="","",SUMIFS('Per Line'!$Y$2:$Y$4001,'Per Line'!$D$2:$D$4001,$B1054,'Per Line'!$AJ$2:$AJ$4001,1))</f>
        <v/>
      </c>
      <c r="S1054" s="22" t="str">
        <f aca="false">IF($X1054="","",R1054*Q1054)</f>
        <v/>
      </c>
      <c r="T1054" s="22" t="str">
        <f aca="false">IF($X1054="","",S1054+P1054)</f>
        <v/>
      </c>
      <c r="U1054" s="22" t="str">
        <f aca="false">IF($X1054="","",V1054-T1054)</f>
        <v/>
      </c>
      <c r="V1054" s="22" t="str">
        <f aca="false">IF($X1054="","",O1054+R1054)</f>
        <v/>
      </c>
      <c r="W1054" s="22" t="str">
        <f aca="false">IF($X1054="","",U1054-L1054)</f>
        <v/>
      </c>
      <c r="X1054" s="24" t="str">
        <f aca="false">IF(ROWS($X$2:$X1054)&lt;=MAX('Per Line'!$AI$2:$AI$4001),MATCH(ROWS($X$2:$X1054),'Per Line'!$AI$2:$AI$4001,0),"")</f>
        <v/>
      </c>
    </row>
    <row r="1055" customFormat="false" ht="15" hidden="false" customHeight="false" outlineLevel="0" collapsed="false">
      <c r="A1055" s="19"/>
      <c r="B1055" s="20" t="str">
        <f aca="false">IF($X1055="","",INDEX('Per Line'!$D$2:$D$4001,$X1055))</f>
        <v/>
      </c>
      <c r="C1055" s="20" t="str">
        <f aca="false">IF($X1055="","",INDEX('Per Line'!$C$2:$C$4001,$X1055))</f>
        <v/>
      </c>
      <c r="D1055" s="20" t="str">
        <f aca="false">IF($X1055="","",INDEX('Per Line'!$A$2:$A$4001,$X1055))</f>
        <v/>
      </c>
      <c r="E1055" s="21" t="str">
        <f aca="false">IF($X1055="","",INDEX('Per Line'!$F$2:$F$4001,$X1055))</f>
        <v/>
      </c>
      <c r="F1055" s="20" t="str">
        <f aca="false">IF($X1055="","",INDEX('Per Line'!$G$2:$G$4001,$X1055))</f>
        <v/>
      </c>
      <c r="G1055" s="20" t="str">
        <f aca="false">IF($X1055="","",INDEX('Per Line'!$I$2:$I$4001,$X1055))</f>
        <v/>
      </c>
      <c r="H1055" s="20" t="str">
        <f aca="false">IF($X1055="","",INDEX('Per Line'!$J$2:$J$4001,$X1055))</f>
        <v/>
      </c>
      <c r="I1055" s="20" t="str">
        <f aca="false">IF($X1055="","",INDEX('Per Line'!$K$2:$K$4001,$X1055))</f>
        <v/>
      </c>
      <c r="J1055" s="20" t="str">
        <f aca="false">IF($X1055="","",INDEX('Per Line'!$L$2:$L$4001,$X1055))</f>
        <v/>
      </c>
      <c r="K1055" s="20" t="str">
        <f aca="false">IF($X1055="","",INDEX('Per Line'!$M$2:$M$4001,$X1055))</f>
        <v/>
      </c>
      <c r="L1055" s="22" t="str">
        <f aca="false">IF($X1055="","",K1055*V1055/100)</f>
        <v/>
      </c>
      <c r="M1055" s="20" t="str">
        <f aca="false">IF($X1055="","",INDEX('Per Line'!$Z$2:$Z$4001,$X1055))</f>
        <v/>
      </c>
      <c r="N1055" s="23" t="str">
        <f aca="false">IF($X1055="","",Settings!$C$7)</f>
        <v/>
      </c>
      <c r="O1055" s="22" t="str">
        <f aca="false">IF($X1055="","",SUMIFS('Per Line'!$Y$2:$Y$4001,'Per Line'!$D$2:$D$4001,$B1055,'Per Line'!$AJ$2:$AJ$4001,0))</f>
        <v/>
      </c>
      <c r="P1055" s="22" t="str">
        <f aca="false">IF($X1055="","",O1055*N1055)</f>
        <v/>
      </c>
      <c r="Q1055" s="23" t="str">
        <f aca="false">IF($X1055="","",Settings!$C$6)</f>
        <v/>
      </c>
      <c r="R1055" s="22" t="str">
        <f aca="false">IF($X1055="","",SUMIFS('Per Line'!$Y$2:$Y$4001,'Per Line'!$D$2:$D$4001,$B1055,'Per Line'!$AJ$2:$AJ$4001,1))</f>
        <v/>
      </c>
      <c r="S1055" s="22" t="str">
        <f aca="false">IF($X1055="","",R1055*Q1055)</f>
        <v/>
      </c>
      <c r="T1055" s="22" t="str">
        <f aca="false">IF($X1055="","",S1055+P1055)</f>
        <v/>
      </c>
      <c r="U1055" s="22" t="str">
        <f aca="false">IF($X1055="","",V1055-T1055)</f>
        <v/>
      </c>
      <c r="V1055" s="22" t="str">
        <f aca="false">IF($X1055="","",O1055+R1055)</f>
        <v/>
      </c>
      <c r="W1055" s="22" t="str">
        <f aca="false">IF($X1055="","",U1055-L1055)</f>
        <v/>
      </c>
      <c r="X1055" s="24" t="str">
        <f aca="false">IF(ROWS($X$2:$X1055)&lt;=MAX('Per Line'!$AI$2:$AI$4001),MATCH(ROWS($X$2:$X1055),'Per Line'!$AI$2:$AI$4001,0),"")</f>
        <v/>
      </c>
    </row>
    <row r="1056" customFormat="false" ht="15" hidden="false" customHeight="false" outlineLevel="0" collapsed="false">
      <c r="A1056" s="19"/>
      <c r="B1056" s="20" t="str">
        <f aca="false">IF($X1056="","",INDEX('Per Line'!$D$2:$D$4001,$X1056))</f>
        <v/>
      </c>
      <c r="C1056" s="20" t="str">
        <f aca="false">IF($X1056="","",INDEX('Per Line'!$C$2:$C$4001,$X1056))</f>
        <v/>
      </c>
      <c r="D1056" s="20" t="str">
        <f aca="false">IF($X1056="","",INDEX('Per Line'!$A$2:$A$4001,$X1056))</f>
        <v/>
      </c>
      <c r="E1056" s="21" t="str">
        <f aca="false">IF($X1056="","",INDEX('Per Line'!$F$2:$F$4001,$X1056))</f>
        <v/>
      </c>
      <c r="F1056" s="20" t="str">
        <f aca="false">IF($X1056="","",INDEX('Per Line'!$G$2:$G$4001,$X1056))</f>
        <v/>
      </c>
      <c r="G1056" s="20" t="str">
        <f aca="false">IF($X1056="","",INDEX('Per Line'!$I$2:$I$4001,$X1056))</f>
        <v/>
      </c>
      <c r="H1056" s="20" t="str">
        <f aca="false">IF($X1056="","",INDEX('Per Line'!$J$2:$J$4001,$X1056))</f>
        <v/>
      </c>
      <c r="I1056" s="20" t="str">
        <f aca="false">IF($X1056="","",INDEX('Per Line'!$K$2:$K$4001,$X1056))</f>
        <v/>
      </c>
      <c r="J1056" s="20" t="str">
        <f aca="false">IF($X1056="","",INDEX('Per Line'!$L$2:$L$4001,$X1056))</f>
        <v/>
      </c>
      <c r="K1056" s="20" t="str">
        <f aca="false">IF($X1056="","",INDEX('Per Line'!$M$2:$M$4001,$X1056))</f>
        <v/>
      </c>
      <c r="L1056" s="22" t="str">
        <f aca="false">IF($X1056="","",K1056*V1056/100)</f>
        <v/>
      </c>
      <c r="M1056" s="20" t="str">
        <f aca="false">IF($X1056="","",INDEX('Per Line'!$Z$2:$Z$4001,$X1056))</f>
        <v/>
      </c>
      <c r="N1056" s="23" t="str">
        <f aca="false">IF($X1056="","",Settings!$C$7)</f>
        <v/>
      </c>
      <c r="O1056" s="22" t="str">
        <f aca="false">IF($X1056="","",SUMIFS('Per Line'!$Y$2:$Y$4001,'Per Line'!$D$2:$D$4001,$B1056,'Per Line'!$AJ$2:$AJ$4001,0))</f>
        <v/>
      </c>
      <c r="P1056" s="22" t="str">
        <f aca="false">IF($X1056="","",O1056*N1056)</f>
        <v/>
      </c>
      <c r="Q1056" s="23" t="str">
        <f aca="false">IF($X1056="","",Settings!$C$6)</f>
        <v/>
      </c>
      <c r="R1056" s="22" t="str">
        <f aca="false">IF($X1056="","",SUMIFS('Per Line'!$Y$2:$Y$4001,'Per Line'!$D$2:$D$4001,$B1056,'Per Line'!$AJ$2:$AJ$4001,1))</f>
        <v/>
      </c>
      <c r="S1056" s="22" t="str">
        <f aca="false">IF($X1056="","",R1056*Q1056)</f>
        <v/>
      </c>
      <c r="T1056" s="22" t="str">
        <f aca="false">IF($X1056="","",S1056+P1056)</f>
        <v/>
      </c>
      <c r="U1056" s="22" t="str">
        <f aca="false">IF($X1056="","",V1056-T1056)</f>
        <v/>
      </c>
      <c r="V1056" s="22" t="str">
        <f aca="false">IF($X1056="","",O1056+R1056)</f>
        <v/>
      </c>
      <c r="W1056" s="22" t="str">
        <f aca="false">IF($X1056="","",U1056-L1056)</f>
        <v/>
      </c>
      <c r="X1056" s="24" t="str">
        <f aca="false">IF(ROWS($X$2:$X1056)&lt;=MAX('Per Line'!$AI$2:$AI$4001),MATCH(ROWS($X$2:$X1056),'Per Line'!$AI$2:$AI$4001,0),"")</f>
        <v/>
      </c>
    </row>
    <row r="1057" customFormat="false" ht="15" hidden="false" customHeight="false" outlineLevel="0" collapsed="false">
      <c r="A1057" s="19"/>
      <c r="B1057" s="20" t="str">
        <f aca="false">IF($X1057="","",INDEX('Per Line'!$D$2:$D$4001,$X1057))</f>
        <v/>
      </c>
      <c r="C1057" s="20" t="str">
        <f aca="false">IF($X1057="","",INDEX('Per Line'!$C$2:$C$4001,$X1057))</f>
        <v/>
      </c>
      <c r="D1057" s="20" t="str">
        <f aca="false">IF($X1057="","",INDEX('Per Line'!$A$2:$A$4001,$X1057))</f>
        <v/>
      </c>
      <c r="E1057" s="21" t="str">
        <f aca="false">IF($X1057="","",INDEX('Per Line'!$F$2:$F$4001,$X1057))</f>
        <v/>
      </c>
      <c r="F1057" s="20" t="str">
        <f aca="false">IF($X1057="","",INDEX('Per Line'!$G$2:$G$4001,$X1057))</f>
        <v/>
      </c>
      <c r="G1057" s="20" t="str">
        <f aca="false">IF($X1057="","",INDEX('Per Line'!$I$2:$I$4001,$X1057))</f>
        <v/>
      </c>
      <c r="H1057" s="20" t="str">
        <f aca="false">IF($X1057="","",INDEX('Per Line'!$J$2:$J$4001,$X1057))</f>
        <v/>
      </c>
      <c r="I1057" s="20" t="str">
        <f aca="false">IF($X1057="","",INDEX('Per Line'!$K$2:$K$4001,$X1057))</f>
        <v/>
      </c>
      <c r="J1057" s="20" t="str">
        <f aca="false">IF($X1057="","",INDEX('Per Line'!$L$2:$L$4001,$X1057))</f>
        <v/>
      </c>
      <c r="K1057" s="20" t="str">
        <f aca="false">IF($X1057="","",INDEX('Per Line'!$M$2:$M$4001,$X1057))</f>
        <v/>
      </c>
      <c r="L1057" s="22" t="str">
        <f aca="false">IF($X1057="","",K1057*V1057/100)</f>
        <v/>
      </c>
      <c r="M1057" s="20" t="str">
        <f aca="false">IF($X1057="","",INDEX('Per Line'!$Z$2:$Z$4001,$X1057))</f>
        <v/>
      </c>
      <c r="N1057" s="23" t="str">
        <f aca="false">IF($X1057="","",Settings!$C$7)</f>
        <v/>
      </c>
      <c r="O1057" s="22" t="str">
        <f aca="false">IF($X1057="","",SUMIFS('Per Line'!$Y$2:$Y$4001,'Per Line'!$D$2:$D$4001,$B1057,'Per Line'!$AJ$2:$AJ$4001,0))</f>
        <v/>
      </c>
      <c r="P1057" s="22" t="str">
        <f aca="false">IF($X1057="","",O1057*N1057)</f>
        <v/>
      </c>
      <c r="Q1057" s="23" t="str">
        <f aca="false">IF($X1057="","",Settings!$C$6)</f>
        <v/>
      </c>
      <c r="R1057" s="22" t="str">
        <f aca="false">IF($X1057="","",SUMIFS('Per Line'!$Y$2:$Y$4001,'Per Line'!$D$2:$D$4001,$B1057,'Per Line'!$AJ$2:$AJ$4001,1))</f>
        <v/>
      </c>
      <c r="S1057" s="22" t="str">
        <f aca="false">IF($X1057="","",R1057*Q1057)</f>
        <v/>
      </c>
      <c r="T1057" s="22" t="str">
        <f aca="false">IF($X1057="","",S1057+P1057)</f>
        <v/>
      </c>
      <c r="U1057" s="22" t="str">
        <f aca="false">IF($X1057="","",V1057-T1057)</f>
        <v/>
      </c>
      <c r="V1057" s="22" t="str">
        <f aca="false">IF($X1057="","",O1057+R1057)</f>
        <v/>
      </c>
      <c r="W1057" s="22" t="str">
        <f aca="false">IF($X1057="","",U1057-L1057)</f>
        <v/>
      </c>
      <c r="X1057" s="24" t="str">
        <f aca="false">IF(ROWS($X$2:$X1057)&lt;=MAX('Per Line'!$AI$2:$AI$4001),MATCH(ROWS($X$2:$X1057),'Per Line'!$AI$2:$AI$4001,0),"")</f>
        <v/>
      </c>
    </row>
    <row r="1058" customFormat="false" ht="15" hidden="false" customHeight="false" outlineLevel="0" collapsed="false">
      <c r="A1058" s="19"/>
      <c r="B1058" s="20" t="str">
        <f aca="false">IF($X1058="","",INDEX('Per Line'!$D$2:$D$4001,$X1058))</f>
        <v/>
      </c>
      <c r="C1058" s="20" t="str">
        <f aca="false">IF($X1058="","",INDEX('Per Line'!$C$2:$C$4001,$X1058))</f>
        <v/>
      </c>
      <c r="D1058" s="20" t="str">
        <f aca="false">IF($X1058="","",INDEX('Per Line'!$A$2:$A$4001,$X1058))</f>
        <v/>
      </c>
      <c r="E1058" s="21" t="str">
        <f aca="false">IF($X1058="","",INDEX('Per Line'!$F$2:$F$4001,$X1058))</f>
        <v/>
      </c>
      <c r="F1058" s="20" t="str">
        <f aca="false">IF($X1058="","",INDEX('Per Line'!$G$2:$G$4001,$X1058))</f>
        <v/>
      </c>
      <c r="G1058" s="20" t="str">
        <f aca="false">IF($X1058="","",INDEX('Per Line'!$I$2:$I$4001,$X1058))</f>
        <v/>
      </c>
      <c r="H1058" s="20" t="str">
        <f aca="false">IF($X1058="","",INDEX('Per Line'!$J$2:$J$4001,$X1058))</f>
        <v/>
      </c>
      <c r="I1058" s="20" t="str">
        <f aca="false">IF($X1058="","",INDEX('Per Line'!$K$2:$K$4001,$X1058))</f>
        <v/>
      </c>
      <c r="J1058" s="20" t="str">
        <f aca="false">IF($X1058="","",INDEX('Per Line'!$L$2:$L$4001,$X1058))</f>
        <v/>
      </c>
      <c r="K1058" s="20" t="str">
        <f aca="false">IF($X1058="","",INDEX('Per Line'!$M$2:$M$4001,$X1058))</f>
        <v/>
      </c>
      <c r="L1058" s="22" t="str">
        <f aca="false">IF($X1058="","",K1058*V1058/100)</f>
        <v/>
      </c>
      <c r="M1058" s="20" t="str">
        <f aca="false">IF($X1058="","",INDEX('Per Line'!$Z$2:$Z$4001,$X1058))</f>
        <v/>
      </c>
      <c r="N1058" s="23" t="str">
        <f aca="false">IF($X1058="","",Settings!$C$7)</f>
        <v/>
      </c>
      <c r="O1058" s="22" t="str">
        <f aca="false">IF($X1058="","",SUMIFS('Per Line'!$Y$2:$Y$4001,'Per Line'!$D$2:$D$4001,$B1058,'Per Line'!$AJ$2:$AJ$4001,0))</f>
        <v/>
      </c>
      <c r="P1058" s="22" t="str">
        <f aca="false">IF($X1058="","",O1058*N1058)</f>
        <v/>
      </c>
      <c r="Q1058" s="23" t="str">
        <f aca="false">IF($X1058="","",Settings!$C$6)</f>
        <v/>
      </c>
      <c r="R1058" s="22" t="str">
        <f aca="false">IF($X1058="","",SUMIFS('Per Line'!$Y$2:$Y$4001,'Per Line'!$D$2:$D$4001,$B1058,'Per Line'!$AJ$2:$AJ$4001,1))</f>
        <v/>
      </c>
      <c r="S1058" s="22" t="str">
        <f aca="false">IF($X1058="","",R1058*Q1058)</f>
        <v/>
      </c>
      <c r="T1058" s="22" t="str">
        <f aca="false">IF($X1058="","",S1058+P1058)</f>
        <v/>
      </c>
      <c r="U1058" s="22" t="str">
        <f aca="false">IF($X1058="","",V1058-T1058)</f>
        <v/>
      </c>
      <c r="V1058" s="22" t="str">
        <f aca="false">IF($X1058="","",O1058+R1058)</f>
        <v/>
      </c>
      <c r="W1058" s="22" t="str">
        <f aca="false">IF($X1058="","",U1058-L1058)</f>
        <v/>
      </c>
      <c r="X1058" s="24" t="str">
        <f aca="false">IF(ROWS($X$2:$X1058)&lt;=MAX('Per Line'!$AI$2:$AI$4001),MATCH(ROWS($X$2:$X1058),'Per Line'!$AI$2:$AI$4001,0),"")</f>
        <v/>
      </c>
    </row>
    <row r="1059" customFormat="false" ht="15" hidden="false" customHeight="false" outlineLevel="0" collapsed="false">
      <c r="A1059" s="19"/>
      <c r="B1059" s="20" t="str">
        <f aca="false">IF($X1059="","",INDEX('Per Line'!$D$2:$D$4001,$X1059))</f>
        <v/>
      </c>
      <c r="C1059" s="20" t="str">
        <f aca="false">IF($X1059="","",INDEX('Per Line'!$C$2:$C$4001,$X1059))</f>
        <v/>
      </c>
      <c r="D1059" s="20" t="str">
        <f aca="false">IF($X1059="","",INDEX('Per Line'!$A$2:$A$4001,$X1059))</f>
        <v/>
      </c>
      <c r="E1059" s="21" t="str">
        <f aca="false">IF($X1059="","",INDEX('Per Line'!$F$2:$F$4001,$X1059))</f>
        <v/>
      </c>
      <c r="F1059" s="20" t="str">
        <f aca="false">IF($X1059="","",INDEX('Per Line'!$G$2:$G$4001,$X1059))</f>
        <v/>
      </c>
      <c r="G1059" s="20" t="str">
        <f aca="false">IF($X1059="","",INDEX('Per Line'!$I$2:$I$4001,$X1059))</f>
        <v/>
      </c>
      <c r="H1059" s="20" t="str">
        <f aca="false">IF($X1059="","",INDEX('Per Line'!$J$2:$J$4001,$X1059))</f>
        <v/>
      </c>
      <c r="I1059" s="20" t="str">
        <f aca="false">IF($X1059="","",INDEX('Per Line'!$K$2:$K$4001,$X1059))</f>
        <v/>
      </c>
      <c r="J1059" s="20" t="str">
        <f aca="false">IF($X1059="","",INDEX('Per Line'!$L$2:$L$4001,$X1059))</f>
        <v/>
      </c>
      <c r="K1059" s="20" t="str">
        <f aca="false">IF($X1059="","",INDEX('Per Line'!$M$2:$M$4001,$X1059))</f>
        <v/>
      </c>
      <c r="L1059" s="22" t="str">
        <f aca="false">IF($X1059="","",K1059*V1059/100)</f>
        <v/>
      </c>
      <c r="M1059" s="20" t="str">
        <f aca="false">IF($X1059="","",INDEX('Per Line'!$Z$2:$Z$4001,$X1059))</f>
        <v/>
      </c>
      <c r="N1059" s="23" t="str">
        <f aca="false">IF($X1059="","",Settings!$C$7)</f>
        <v/>
      </c>
      <c r="O1059" s="22" t="str">
        <f aca="false">IF($X1059="","",SUMIFS('Per Line'!$Y$2:$Y$4001,'Per Line'!$D$2:$D$4001,$B1059,'Per Line'!$AJ$2:$AJ$4001,0))</f>
        <v/>
      </c>
      <c r="P1059" s="22" t="str">
        <f aca="false">IF($X1059="","",O1059*N1059)</f>
        <v/>
      </c>
      <c r="Q1059" s="23" t="str">
        <f aca="false">IF($X1059="","",Settings!$C$6)</f>
        <v/>
      </c>
      <c r="R1059" s="22" t="str">
        <f aca="false">IF($X1059="","",SUMIFS('Per Line'!$Y$2:$Y$4001,'Per Line'!$D$2:$D$4001,$B1059,'Per Line'!$AJ$2:$AJ$4001,1))</f>
        <v/>
      </c>
      <c r="S1059" s="22" t="str">
        <f aca="false">IF($X1059="","",R1059*Q1059)</f>
        <v/>
      </c>
      <c r="T1059" s="22" t="str">
        <f aca="false">IF($X1059="","",S1059+P1059)</f>
        <v/>
      </c>
      <c r="U1059" s="22" t="str">
        <f aca="false">IF($X1059="","",V1059-T1059)</f>
        <v/>
      </c>
      <c r="V1059" s="22" t="str">
        <f aca="false">IF($X1059="","",O1059+R1059)</f>
        <v/>
      </c>
      <c r="W1059" s="22" t="str">
        <f aca="false">IF($X1059="","",U1059-L1059)</f>
        <v/>
      </c>
      <c r="X1059" s="24" t="str">
        <f aca="false">IF(ROWS($X$2:$X1059)&lt;=MAX('Per Line'!$AI$2:$AI$4001),MATCH(ROWS($X$2:$X1059),'Per Line'!$AI$2:$AI$4001,0),"")</f>
        <v/>
      </c>
    </row>
    <row r="1060" customFormat="false" ht="15" hidden="false" customHeight="false" outlineLevel="0" collapsed="false">
      <c r="A1060" s="19"/>
      <c r="B1060" s="20" t="str">
        <f aca="false">IF($X1060="","",INDEX('Per Line'!$D$2:$D$4001,$X1060))</f>
        <v/>
      </c>
      <c r="C1060" s="20" t="str">
        <f aca="false">IF($X1060="","",INDEX('Per Line'!$C$2:$C$4001,$X1060))</f>
        <v/>
      </c>
      <c r="D1060" s="20" t="str">
        <f aca="false">IF($X1060="","",INDEX('Per Line'!$A$2:$A$4001,$X1060))</f>
        <v/>
      </c>
      <c r="E1060" s="21" t="str">
        <f aca="false">IF($X1060="","",INDEX('Per Line'!$F$2:$F$4001,$X1060))</f>
        <v/>
      </c>
      <c r="F1060" s="20" t="str">
        <f aca="false">IF($X1060="","",INDEX('Per Line'!$G$2:$G$4001,$X1060))</f>
        <v/>
      </c>
      <c r="G1060" s="20" t="str">
        <f aca="false">IF($X1060="","",INDEX('Per Line'!$I$2:$I$4001,$X1060))</f>
        <v/>
      </c>
      <c r="H1060" s="20" t="str">
        <f aca="false">IF($X1060="","",INDEX('Per Line'!$J$2:$J$4001,$X1060))</f>
        <v/>
      </c>
      <c r="I1060" s="20" t="str">
        <f aca="false">IF($X1060="","",INDEX('Per Line'!$K$2:$K$4001,$X1060))</f>
        <v/>
      </c>
      <c r="J1060" s="20" t="str">
        <f aca="false">IF($X1060="","",INDEX('Per Line'!$L$2:$L$4001,$X1060))</f>
        <v/>
      </c>
      <c r="K1060" s="20" t="str">
        <f aca="false">IF($X1060="","",INDEX('Per Line'!$M$2:$M$4001,$X1060))</f>
        <v/>
      </c>
      <c r="L1060" s="22" t="str">
        <f aca="false">IF($X1060="","",K1060*V1060/100)</f>
        <v/>
      </c>
      <c r="M1060" s="20" t="str">
        <f aca="false">IF($X1060="","",INDEX('Per Line'!$Z$2:$Z$4001,$X1060))</f>
        <v/>
      </c>
      <c r="N1060" s="23" t="str">
        <f aca="false">IF($X1060="","",Settings!$C$7)</f>
        <v/>
      </c>
      <c r="O1060" s="22" t="str">
        <f aca="false">IF($X1060="","",SUMIFS('Per Line'!$Y$2:$Y$4001,'Per Line'!$D$2:$D$4001,$B1060,'Per Line'!$AJ$2:$AJ$4001,0))</f>
        <v/>
      </c>
      <c r="P1060" s="22" t="str">
        <f aca="false">IF($X1060="","",O1060*N1060)</f>
        <v/>
      </c>
      <c r="Q1060" s="23" t="str">
        <f aca="false">IF($X1060="","",Settings!$C$6)</f>
        <v/>
      </c>
      <c r="R1060" s="22" t="str">
        <f aca="false">IF($X1060="","",SUMIFS('Per Line'!$Y$2:$Y$4001,'Per Line'!$D$2:$D$4001,$B1060,'Per Line'!$AJ$2:$AJ$4001,1))</f>
        <v/>
      </c>
      <c r="S1060" s="22" t="str">
        <f aca="false">IF($X1060="","",R1060*Q1060)</f>
        <v/>
      </c>
      <c r="T1060" s="22" t="str">
        <f aca="false">IF($X1060="","",S1060+P1060)</f>
        <v/>
      </c>
      <c r="U1060" s="22" t="str">
        <f aca="false">IF($X1060="","",V1060-T1060)</f>
        <v/>
      </c>
      <c r="V1060" s="22" t="str">
        <f aca="false">IF($X1060="","",O1060+R1060)</f>
        <v/>
      </c>
      <c r="W1060" s="22" t="str">
        <f aca="false">IF($X1060="","",U1060-L1060)</f>
        <v/>
      </c>
      <c r="X1060" s="24" t="str">
        <f aca="false">IF(ROWS($X$2:$X1060)&lt;=MAX('Per Line'!$AI$2:$AI$4001),MATCH(ROWS($X$2:$X1060),'Per Line'!$AI$2:$AI$4001,0),"")</f>
        <v/>
      </c>
    </row>
    <row r="1061" customFormat="false" ht="15" hidden="false" customHeight="false" outlineLevel="0" collapsed="false">
      <c r="A1061" s="19"/>
      <c r="B1061" s="20" t="str">
        <f aca="false">IF($X1061="","",INDEX('Per Line'!$D$2:$D$4001,$X1061))</f>
        <v/>
      </c>
      <c r="C1061" s="20" t="str">
        <f aca="false">IF($X1061="","",INDEX('Per Line'!$C$2:$C$4001,$X1061))</f>
        <v/>
      </c>
      <c r="D1061" s="20" t="str">
        <f aca="false">IF($X1061="","",INDEX('Per Line'!$A$2:$A$4001,$X1061))</f>
        <v/>
      </c>
      <c r="E1061" s="21" t="str">
        <f aca="false">IF($X1061="","",INDEX('Per Line'!$F$2:$F$4001,$X1061))</f>
        <v/>
      </c>
      <c r="F1061" s="20" t="str">
        <f aca="false">IF($X1061="","",INDEX('Per Line'!$G$2:$G$4001,$X1061))</f>
        <v/>
      </c>
      <c r="G1061" s="20" t="str">
        <f aca="false">IF($X1061="","",INDEX('Per Line'!$I$2:$I$4001,$X1061))</f>
        <v/>
      </c>
      <c r="H1061" s="20" t="str">
        <f aca="false">IF($X1061="","",INDEX('Per Line'!$J$2:$J$4001,$X1061))</f>
        <v/>
      </c>
      <c r="I1061" s="20" t="str">
        <f aca="false">IF($X1061="","",INDEX('Per Line'!$K$2:$K$4001,$X1061))</f>
        <v/>
      </c>
      <c r="J1061" s="20" t="str">
        <f aca="false">IF($X1061="","",INDEX('Per Line'!$L$2:$L$4001,$X1061))</f>
        <v/>
      </c>
      <c r="K1061" s="20" t="str">
        <f aca="false">IF($X1061="","",INDEX('Per Line'!$M$2:$M$4001,$X1061))</f>
        <v/>
      </c>
      <c r="L1061" s="22" t="str">
        <f aca="false">IF($X1061="","",K1061*V1061/100)</f>
        <v/>
      </c>
      <c r="M1061" s="20" t="str">
        <f aca="false">IF($X1061="","",INDEX('Per Line'!$Z$2:$Z$4001,$X1061))</f>
        <v/>
      </c>
      <c r="N1061" s="23" t="str">
        <f aca="false">IF($X1061="","",Settings!$C$7)</f>
        <v/>
      </c>
      <c r="O1061" s="22" t="str">
        <f aca="false">IF($X1061="","",SUMIFS('Per Line'!$Y$2:$Y$4001,'Per Line'!$D$2:$D$4001,$B1061,'Per Line'!$AJ$2:$AJ$4001,0))</f>
        <v/>
      </c>
      <c r="P1061" s="22" t="str">
        <f aca="false">IF($X1061="","",O1061*N1061)</f>
        <v/>
      </c>
      <c r="Q1061" s="23" t="str">
        <f aca="false">IF($X1061="","",Settings!$C$6)</f>
        <v/>
      </c>
      <c r="R1061" s="22" t="str">
        <f aca="false">IF($X1061="","",SUMIFS('Per Line'!$Y$2:$Y$4001,'Per Line'!$D$2:$D$4001,$B1061,'Per Line'!$AJ$2:$AJ$4001,1))</f>
        <v/>
      </c>
      <c r="S1061" s="22" t="str">
        <f aca="false">IF($X1061="","",R1061*Q1061)</f>
        <v/>
      </c>
      <c r="T1061" s="22" t="str">
        <f aca="false">IF($X1061="","",S1061+P1061)</f>
        <v/>
      </c>
      <c r="U1061" s="22" t="str">
        <f aca="false">IF($X1061="","",V1061-T1061)</f>
        <v/>
      </c>
      <c r="V1061" s="22" t="str">
        <f aca="false">IF($X1061="","",O1061+R1061)</f>
        <v/>
      </c>
      <c r="W1061" s="22" t="str">
        <f aca="false">IF($X1061="","",U1061-L1061)</f>
        <v/>
      </c>
      <c r="X1061" s="24" t="str">
        <f aca="false">IF(ROWS($X$2:$X1061)&lt;=MAX('Per Line'!$AI$2:$AI$4001),MATCH(ROWS($X$2:$X1061),'Per Line'!$AI$2:$AI$4001,0),"")</f>
        <v/>
      </c>
    </row>
    <row r="1062" customFormat="false" ht="15" hidden="false" customHeight="false" outlineLevel="0" collapsed="false">
      <c r="A1062" s="19"/>
      <c r="B1062" s="20" t="str">
        <f aca="false">IF($X1062="","",INDEX('Per Line'!$D$2:$D$4001,$X1062))</f>
        <v/>
      </c>
      <c r="C1062" s="20" t="str">
        <f aca="false">IF($X1062="","",INDEX('Per Line'!$C$2:$C$4001,$X1062))</f>
        <v/>
      </c>
      <c r="D1062" s="20" t="str">
        <f aca="false">IF($X1062="","",INDEX('Per Line'!$A$2:$A$4001,$X1062))</f>
        <v/>
      </c>
      <c r="E1062" s="21" t="str">
        <f aca="false">IF($X1062="","",INDEX('Per Line'!$F$2:$F$4001,$X1062))</f>
        <v/>
      </c>
      <c r="F1062" s="20" t="str">
        <f aca="false">IF($X1062="","",INDEX('Per Line'!$G$2:$G$4001,$X1062))</f>
        <v/>
      </c>
      <c r="G1062" s="20" t="str">
        <f aca="false">IF($X1062="","",INDEX('Per Line'!$I$2:$I$4001,$X1062))</f>
        <v/>
      </c>
      <c r="H1062" s="20" t="str">
        <f aca="false">IF($X1062="","",INDEX('Per Line'!$J$2:$J$4001,$X1062))</f>
        <v/>
      </c>
      <c r="I1062" s="20" t="str">
        <f aca="false">IF($X1062="","",INDEX('Per Line'!$K$2:$K$4001,$X1062))</f>
        <v/>
      </c>
      <c r="J1062" s="20" t="str">
        <f aca="false">IF($X1062="","",INDEX('Per Line'!$L$2:$L$4001,$X1062))</f>
        <v/>
      </c>
      <c r="K1062" s="20" t="str">
        <f aca="false">IF($X1062="","",INDEX('Per Line'!$M$2:$M$4001,$X1062))</f>
        <v/>
      </c>
      <c r="L1062" s="22" t="str">
        <f aca="false">IF($X1062="","",K1062*V1062/100)</f>
        <v/>
      </c>
      <c r="M1062" s="20" t="str">
        <f aca="false">IF($X1062="","",INDEX('Per Line'!$Z$2:$Z$4001,$X1062))</f>
        <v/>
      </c>
      <c r="N1062" s="23" t="str">
        <f aca="false">IF($X1062="","",Settings!$C$7)</f>
        <v/>
      </c>
      <c r="O1062" s="22" t="str">
        <f aca="false">IF($X1062="","",SUMIFS('Per Line'!$Y$2:$Y$4001,'Per Line'!$D$2:$D$4001,$B1062,'Per Line'!$AJ$2:$AJ$4001,0))</f>
        <v/>
      </c>
      <c r="P1062" s="22" t="str">
        <f aca="false">IF($X1062="","",O1062*N1062)</f>
        <v/>
      </c>
      <c r="Q1062" s="23" t="str">
        <f aca="false">IF($X1062="","",Settings!$C$6)</f>
        <v/>
      </c>
      <c r="R1062" s="22" t="str">
        <f aca="false">IF($X1062="","",SUMIFS('Per Line'!$Y$2:$Y$4001,'Per Line'!$D$2:$D$4001,$B1062,'Per Line'!$AJ$2:$AJ$4001,1))</f>
        <v/>
      </c>
      <c r="S1062" s="22" t="str">
        <f aca="false">IF($X1062="","",R1062*Q1062)</f>
        <v/>
      </c>
      <c r="T1062" s="22" t="str">
        <f aca="false">IF($X1062="","",S1062+P1062)</f>
        <v/>
      </c>
      <c r="U1062" s="22" t="str">
        <f aca="false">IF($X1062="","",V1062-T1062)</f>
        <v/>
      </c>
      <c r="V1062" s="22" t="str">
        <f aca="false">IF($X1062="","",O1062+R1062)</f>
        <v/>
      </c>
      <c r="W1062" s="22" t="str">
        <f aca="false">IF($X1062="","",U1062-L1062)</f>
        <v/>
      </c>
      <c r="X1062" s="24" t="str">
        <f aca="false">IF(ROWS($X$2:$X1062)&lt;=MAX('Per Line'!$AI$2:$AI$4001),MATCH(ROWS($X$2:$X1062),'Per Line'!$AI$2:$AI$4001,0),"")</f>
        <v/>
      </c>
    </row>
    <row r="1063" customFormat="false" ht="15" hidden="false" customHeight="false" outlineLevel="0" collapsed="false">
      <c r="A1063" s="19"/>
      <c r="B1063" s="20" t="str">
        <f aca="false">IF($X1063="","",INDEX('Per Line'!$D$2:$D$4001,$X1063))</f>
        <v/>
      </c>
      <c r="C1063" s="20" t="str">
        <f aca="false">IF($X1063="","",INDEX('Per Line'!$C$2:$C$4001,$X1063))</f>
        <v/>
      </c>
      <c r="D1063" s="20" t="str">
        <f aca="false">IF($X1063="","",INDEX('Per Line'!$A$2:$A$4001,$X1063))</f>
        <v/>
      </c>
      <c r="E1063" s="21" t="str">
        <f aca="false">IF($X1063="","",INDEX('Per Line'!$F$2:$F$4001,$X1063))</f>
        <v/>
      </c>
      <c r="F1063" s="20" t="str">
        <f aca="false">IF($X1063="","",INDEX('Per Line'!$G$2:$G$4001,$X1063))</f>
        <v/>
      </c>
      <c r="G1063" s="20" t="str">
        <f aca="false">IF($X1063="","",INDEX('Per Line'!$I$2:$I$4001,$X1063))</f>
        <v/>
      </c>
      <c r="H1063" s="20" t="str">
        <f aca="false">IF($X1063="","",INDEX('Per Line'!$J$2:$J$4001,$X1063))</f>
        <v/>
      </c>
      <c r="I1063" s="20" t="str">
        <f aca="false">IF($X1063="","",INDEX('Per Line'!$K$2:$K$4001,$X1063))</f>
        <v/>
      </c>
      <c r="J1063" s="20" t="str">
        <f aca="false">IF($X1063="","",INDEX('Per Line'!$L$2:$L$4001,$X1063))</f>
        <v/>
      </c>
      <c r="K1063" s="20" t="str">
        <f aca="false">IF($X1063="","",INDEX('Per Line'!$M$2:$M$4001,$X1063))</f>
        <v/>
      </c>
      <c r="L1063" s="22" t="str">
        <f aca="false">IF($X1063="","",K1063*V1063/100)</f>
        <v/>
      </c>
      <c r="M1063" s="20" t="str">
        <f aca="false">IF($X1063="","",INDEX('Per Line'!$Z$2:$Z$4001,$X1063))</f>
        <v/>
      </c>
      <c r="N1063" s="23" t="str">
        <f aca="false">IF($X1063="","",Settings!$C$7)</f>
        <v/>
      </c>
      <c r="O1063" s="22" t="str">
        <f aca="false">IF($X1063="","",SUMIFS('Per Line'!$Y$2:$Y$4001,'Per Line'!$D$2:$D$4001,$B1063,'Per Line'!$AJ$2:$AJ$4001,0))</f>
        <v/>
      </c>
      <c r="P1063" s="22" t="str">
        <f aca="false">IF($X1063="","",O1063*N1063)</f>
        <v/>
      </c>
      <c r="Q1063" s="23" t="str">
        <f aca="false">IF($X1063="","",Settings!$C$6)</f>
        <v/>
      </c>
      <c r="R1063" s="22" t="str">
        <f aca="false">IF($X1063="","",SUMIFS('Per Line'!$Y$2:$Y$4001,'Per Line'!$D$2:$D$4001,$B1063,'Per Line'!$AJ$2:$AJ$4001,1))</f>
        <v/>
      </c>
      <c r="S1063" s="22" t="str">
        <f aca="false">IF($X1063="","",R1063*Q1063)</f>
        <v/>
      </c>
      <c r="T1063" s="22" t="str">
        <f aca="false">IF($X1063="","",S1063+P1063)</f>
        <v/>
      </c>
      <c r="U1063" s="22" t="str">
        <f aca="false">IF($X1063="","",V1063-T1063)</f>
        <v/>
      </c>
      <c r="V1063" s="22" t="str">
        <f aca="false">IF($X1063="","",O1063+R1063)</f>
        <v/>
      </c>
      <c r="W1063" s="22" t="str">
        <f aca="false">IF($X1063="","",U1063-L1063)</f>
        <v/>
      </c>
      <c r="X1063" s="24" t="str">
        <f aca="false">IF(ROWS($X$2:$X1063)&lt;=MAX('Per Line'!$AI$2:$AI$4001),MATCH(ROWS($X$2:$X1063),'Per Line'!$AI$2:$AI$4001,0),"")</f>
        <v/>
      </c>
    </row>
    <row r="1064" customFormat="false" ht="15" hidden="false" customHeight="false" outlineLevel="0" collapsed="false">
      <c r="A1064" s="19"/>
      <c r="B1064" s="20" t="str">
        <f aca="false">IF($X1064="","",INDEX('Per Line'!$D$2:$D$4001,$X1064))</f>
        <v/>
      </c>
      <c r="C1064" s="20" t="str">
        <f aca="false">IF($X1064="","",INDEX('Per Line'!$C$2:$C$4001,$X1064))</f>
        <v/>
      </c>
      <c r="D1064" s="20" t="str">
        <f aca="false">IF($X1064="","",INDEX('Per Line'!$A$2:$A$4001,$X1064))</f>
        <v/>
      </c>
      <c r="E1064" s="21" t="str">
        <f aca="false">IF($X1064="","",INDEX('Per Line'!$F$2:$F$4001,$X1064))</f>
        <v/>
      </c>
      <c r="F1064" s="20" t="str">
        <f aca="false">IF($X1064="","",INDEX('Per Line'!$G$2:$G$4001,$X1064))</f>
        <v/>
      </c>
      <c r="G1064" s="20" t="str">
        <f aca="false">IF($X1064="","",INDEX('Per Line'!$I$2:$I$4001,$X1064))</f>
        <v/>
      </c>
      <c r="H1064" s="20" t="str">
        <f aca="false">IF($X1064="","",INDEX('Per Line'!$J$2:$J$4001,$X1064))</f>
        <v/>
      </c>
      <c r="I1064" s="20" t="str">
        <f aca="false">IF($X1064="","",INDEX('Per Line'!$K$2:$K$4001,$X1064))</f>
        <v/>
      </c>
      <c r="J1064" s="20" t="str">
        <f aca="false">IF($X1064="","",INDEX('Per Line'!$L$2:$L$4001,$X1064))</f>
        <v/>
      </c>
      <c r="K1064" s="20" t="str">
        <f aca="false">IF($X1064="","",INDEX('Per Line'!$M$2:$M$4001,$X1064))</f>
        <v/>
      </c>
      <c r="L1064" s="22" t="str">
        <f aca="false">IF($X1064="","",K1064*V1064/100)</f>
        <v/>
      </c>
      <c r="M1064" s="20" t="str">
        <f aca="false">IF($X1064="","",INDEX('Per Line'!$Z$2:$Z$4001,$X1064))</f>
        <v/>
      </c>
      <c r="N1064" s="23" t="str">
        <f aca="false">IF($X1064="","",Settings!$C$7)</f>
        <v/>
      </c>
      <c r="O1064" s="22" t="str">
        <f aca="false">IF($X1064="","",SUMIFS('Per Line'!$Y$2:$Y$4001,'Per Line'!$D$2:$D$4001,$B1064,'Per Line'!$AJ$2:$AJ$4001,0))</f>
        <v/>
      </c>
      <c r="P1064" s="22" t="str">
        <f aca="false">IF($X1064="","",O1064*N1064)</f>
        <v/>
      </c>
      <c r="Q1064" s="23" t="str">
        <f aca="false">IF($X1064="","",Settings!$C$6)</f>
        <v/>
      </c>
      <c r="R1064" s="22" t="str">
        <f aca="false">IF($X1064="","",SUMIFS('Per Line'!$Y$2:$Y$4001,'Per Line'!$D$2:$D$4001,$B1064,'Per Line'!$AJ$2:$AJ$4001,1))</f>
        <v/>
      </c>
      <c r="S1064" s="22" t="str">
        <f aca="false">IF($X1064="","",R1064*Q1064)</f>
        <v/>
      </c>
      <c r="T1064" s="22" t="str">
        <f aca="false">IF($X1064="","",S1064+P1064)</f>
        <v/>
      </c>
      <c r="U1064" s="22" t="str">
        <f aca="false">IF($X1064="","",V1064-T1064)</f>
        <v/>
      </c>
      <c r="V1064" s="22" t="str">
        <f aca="false">IF($X1064="","",O1064+R1064)</f>
        <v/>
      </c>
      <c r="W1064" s="22" t="str">
        <f aca="false">IF($X1064="","",U1064-L1064)</f>
        <v/>
      </c>
      <c r="X1064" s="24" t="str">
        <f aca="false">IF(ROWS($X$2:$X1064)&lt;=MAX('Per Line'!$AI$2:$AI$4001),MATCH(ROWS($X$2:$X1064),'Per Line'!$AI$2:$AI$4001,0),"")</f>
        <v/>
      </c>
    </row>
    <row r="1065" customFormat="false" ht="15" hidden="false" customHeight="false" outlineLevel="0" collapsed="false">
      <c r="A1065" s="19"/>
      <c r="B1065" s="20" t="str">
        <f aca="false">IF($X1065="","",INDEX('Per Line'!$D$2:$D$4001,$X1065))</f>
        <v/>
      </c>
      <c r="C1065" s="20" t="str">
        <f aca="false">IF($X1065="","",INDEX('Per Line'!$C$2:$C$4001,$X1065))</f>
        <v/>
      </c>
      <c r="D1065" s="20" t="str">
        <f aca="false">IF($X1065="","",INDEX('Per Line'!$A$2:$A$4001,$X1065))</f>
        <v/>
      </c>
      <c r="E1065" s="21" t="str">
        <f aca="false">IF($X1065="","",INDEX('Per Line'!$F$2:$F$4001,$X1065))</f>
        <v/>
      </c>
      <c r="F1065" s="20" t="str">
        <f aca="false">IF($X1065="","",INDEX('Per Line'!$G$2:$G$4001,$X1065))</f>
        <v/>
      </c>
      <c r="G1065" s="20" t="str">
        <f aca="false">IF($X1065="","",INDEX('Per Line'!$I$2:$I$4001,$X1065))</f>
        <v/>
      </c>
      <c r="H1065" s="20" t="str">
        <f aca="false">IF($X1065="","",INDEX('Per Line'!$J$2:$J$4001,$X1065))</f>
        <v/>
      </c>
      <c r="I1065" s="20" t="str">
        <f aca="false">IF($X1065="","",INDEX('Per Line'!$K$2:$K$4001,$X1065))</f>
        <v/>
      </c>
      <c r="J1065" s="20" t="str">
        <f aca="false">IF($X1065="","",INDEX('Per Line'!$L$2:$L$4001,$X1065))</f>
        <v/>
      </c>
      <c r="K1065" s="20" t="str">
        <f aca="false">IF($X1065="","",INDEX('Per Line'!$M$2:$M$4001,$X1065))</f>
        <v/>
      </c>
      <c r="L1065" s="22" t="str">
        <f aca="false">IF($X1065="","",K1065*V1065/100)</f>
        <v/>
      </c>
      <c r="M1065" s="20" t="str">
        <f aca="false">IF($X1065="","",INDEX('Per Line'!$Z$2:$Z$4001,$X1065))</f>
        <v/>
      </c>
      <c r="N1065" s="23" t="str">
        <f aca="false">IF($X1065="","",Settings!$C$7)</f>
        <v/>
      </c>
      <c r="O1065" s="22" t="str">
        <f aca="false">IF($X1065="","",SUMIFS('Per Line'!$Y$2:$Y$4001,'Per Line'!$D$2:$D$4001,$B1065,'Per Line'!$AJ$2:$AJ$4001,0))</f>
        <v/>
      </c>
      <c r="P1065" s="22" t="str">
        <f aca="false">IF($X1065="","",O1065*N1065)</f>
        <v/>
      </c>
      <c r="Q1065" s="23" t="str">
        <f aca="false">IF($X1065="","",Settings!$C$6)</f>
        <v/>
      </c>
      <c r="R1065" s="22" t="str">
        <f aca="false">IF($X1065="","",SUMIFS('Per Line'!$Y$2:$Y$4001,'Per Line'!$D$2:$D$4001,$B1065,'Per Line'!$AJ$2:$AJ$4001,1))</f>
        <v/>
      </c>
      <c r="S1065" s="22" t="str">
        <f aca="false">IF($X1065="","",R1065*Q1065)</f>
        <v/>
      </c>
      <c r="T1065" s="22" t="str">
        <f aca="false">IF($X1065="","",S1065+P1065)</f>
        <v/>
      </c>
      <c r="U1065" s="22" t="str">
        <f aca="false">IF($X1065="","",V1065-T1065)</f>
        <v/>
      </c>
      <c r="V1065" s="22" t="str">
        <f aca="false">IF($X1065="","",O1065+R1065)</f>
        <v/>
      </c>
      <c r="W1065" s="22" t="str">
        <f aca="false">IF($X1065="","",U1065-L1065)</f>
        <v/>
      </c>
      <c r="X1065" s="24" t="str">
        <f aca="false">IF(ROWS($X$2:$X1065)&lt;=MAX('Per Line'!$AI$2:$AI$4001),MATCH(ROWS($X$2:$X1065),'Per Line'!$AI$2:$AI$4001,0),"")</f>
        <v/>
      </c>
    </row>
    <row r="1066" customFormat="false" ht="15" hidden="false" customHeight="false" outlineLevel="0" collapsed="false">
      <c r="A1066" s="19"/>
      <c r="B1066" s="20" t="str">
        <f aca="false">IF($X1066="","",INDEX('Per Line'!$D$2:$D$4001,$X1066))</f>
        <v/>
      </c>
      <c r="C1066" s="20" t="str">
        <f aca="false">IF($X1066="","",INDEX('Per Line'!$C$2:$C$4001,$X1066))</f>
        <v/>
      </c>
      <c r="D1066" s="20" t="str">
        <f aca="false">IF($X1066="","",INDEX('Per Line'!$A$2:$A$4001,$X1066))</f>
        <v/>
      </c>
      <c r="E1066" s="21" t="str">
        <f aca="false">IF($X1066="","",INDEX('Per Line'!$F$2:$F$4001,$X1066))</f>
        <v/>
      </c>
      <c r="F1066" s="20" t="str">
        <f aca="false">IF($X1066="","",INDEX('Per Line'!$G$2:$G$4001,$X1066))</f>
        <v/>
      </c>
      <c r="G1066" s="20" t="str">
        <f aca="false">IF($X1066="","",INDEX('Per Line'!$I$2:$I$4001,$X1066))</f>
        <v/>
      </c>
      <c r="H1066" s="20" t="str">
        <f aca="false">IF($X1066="","",INDEX('Per Line'!$J$2:$J$4001,$X1066))</f>
        <v/>
      </c>
      <c r="I1066" s="20" t="str">
        <f aca="false">IF($X1066="","",INDEX('Per Line'!$K$2:$K$4001,$X1066))</f>
        <v/>
      </c>
      <c r="J1066" s="20" t="str">
        <f aca="false">IF($X1066="","",INDEX('Per Line'!$L$2:$L$4001,$X1066))</f>
        <v/>
      </c>
      <c r="K1066" s="20" t="str">
        <f aca="false">IF($X1066="","",INDEX('Per Line'!$M$2:$M$4001,$X1066))</f>
        <v/>
      </c>
      <c r="L1066" s="22" t="str">
        <f aca="false">IF($X1066="","",K1066*V1066/100)</f>
        <v/>
      </c>
      <c r="M1066" s="20" t="str">
        <f aca="false">IF($X1066="","",INDEX('Per Line'!$Z$2:$Z$4001,$X1066))</f>
        <v/>
      </c>
      <c r="N1066" s="23" t="str">
        <f aca="false">IF($X1066="","",Settings!$C$7)</f>
        <v/>
      </c>
      <c r="O1066" s="22" t="str">
        <f aca="false">IF($X1066="","",SUMIFS('Per Line'!$Y$2:$Y$4001,'Per Line'!$D$2:$D$4001,$B1066,'Per Line'!$AJ$2:$AJ$4001,0))</f>
        <v/>
      </c>
      <c r="P1066" s="22" t="str">
        <f aca="false">IF($X1066="","",O1066*N1066)</f>
        <v/>
      </c>
      <c r="Q1066" s="23" t="str">
        <f aca="false">IF($X1066="","",Settings!$C$6)</f>
        <v/>
      </c>
      <c r="R1066" s="22" t="str">
        <f aca="false">IF($X1066="","",SUMIFS('Per Line'!$Y$2:$Y$4001,'Per Line'!$D$2:$D$4001,$B1066,'Per Line'!$AJ$2:$AJ$4001,1))</f>
        <v/>
      </c>
      <c r="S1066" s="22" t="str">
        <f aca="false">IF($X1066="","",R1066*Q1066)</f>
        <v/>
      </c>
      <c r="T1066" s="22" t="str">
        <f aca="false">IF($X1066="","",S1066+P1066)</f>
        <v/>
      </c>
      <c r="U1066" s="22" t="str">
        <f aca="false">IF($X1066="","",V1066-T1066)</f>
        <v/>
      </c>
      <c r="V1066" s="22" t="str">
        <f aca="false">IF($X1066="","",O1066+R1066)</f>
        <v/>
      </c>
      <c r="W1066" s="22" t="str">
        <f aca="false">IF($X1066="","",U1066-L1066)</f>
        <v/>
      </c>
      <c r="X1066" s="24" t="str">
        <f aca="false">IF(ROWS($X$2:$X1066)&lt;=MAX('Per Line'!$AI$2:$AI$4001),MATCH(ROWS($X$2:$X1066),'Per Line'!$AI$2:$AI$4001,0),"")</f>
        <v/>
      </c>
    </row>
    <row r="1067" customFormat="false" ht="15" hidden="false" customHeight="false" outlineLevel="0" collapsed="false">
      <c r="A1067" s="19"/>
      <c r="B1067" s="20" t="str">
        <f aca="false">IF($X1067="","",INDEX('Per Line'!$D$2:$D$4001,$X1067))</f>
        <v/>
      </c>
      <c r="C1067" s="20" t="str">
        <f aca="false">IF($X1067="","",INDEX('Per Line'!$C$2:$C$4001,$X1067))</f>
        <v/>
      </c>
      <c r="D1067" s="20" t="str">
        <f aca="false">IF($X1067="","",INDEX('Per Line'!$A$2:$A$4001,$X1067))</f>
        <v/>
      </c>
      <c r="E1067" s="21" t="str">
        <f aca="false">IF($X1067="","",INDEX('Per Line'!$F$2:$F$4001,$X1067))</f>
        <v/>
      </c>
      <c r="F1067" s="20" t="str">
        <f aca="false">IF($X1067="","",INDEX('Per Line'!$G$2:$G$4001,$X1067))</f>
        <v/>
      </c>
      <c r="G1067" s="20" t="str">
        <f aca="false">IF($X1067="","",INDEX('Per Line'!$I$2:$I$4001,$X1067))</f>
        <v/>
      </c>
      <c r="H1067" s="20" t="str">
        <f aca="false">IF($X1067="","",INDEX('Per Line'!$J$2:$J$4001,$X1067))</f>
        <v/>
      </c>
      <c r="I1067" s="20" t="str">
        <f aca="false">IF($X1067="","",INDEX('Per Line'!$K$2:$K$4001,$X1067))</f>
        <v/>
      </c>
      <c r="J1067" s="20" t="str">
        <f aca="false">IF($X1067="","",INDEX('Per Line'!$L$2:$L$4001,$X1067))</f>
        <v/>
      </c>
      <c r="K1067" s="20" t="str">
        <f aca="false">IF($X1067="","",INDEX('Per Line'!$M$2:$M$4001,$X1067))</f>
        <v/>
      </c>
      <c r="L1067" s="22" t="str">
        <f aca="false">IF($X1067="","",K1067*V1067/100)</f>
        <v/>
      </c>
      <c r="M1067" s="20" t="str">
        <f aca="false">IF($X1067="","",INDEX('Per Line'!$Z$2:$Z$4001,$X1067))</f>
        <v/>
      </c>
      <c r="N1067" s="23" t="str">
        <f aca="false">IF($X1067="","",Settings!$C$7)</f>
        <v/>
      </c>
      <c r="O1067" s="22" t="str">
        <f aca="false">IF($X1067="","",SUMIFS('Per Line'!$Y$2:$Y$4001,'Per Line'!$D$2:$D$4001,$B1067,'Per Line'!$AJ$2:$AJ$4001,0))</f>
        <v/>
      </c>
      <c r="P1067" s="22" t="str">
        <f aca="false">IF($X1067="","",O1067*N1067)</f>
        <v/>
      </c>
      <c r="Q1067" s="23" t="str">
        <f aca="false">IF($X1067="","",Settings!$C$6)</f>
        <v/>
      </c>
      <c r="R1067" s="22" t="str">
        <f aca="false">IF($X1067="","",SUMIFS('Per Line'!$Y$2:$Y$4001,'Per Line'!$D$2:$D$4001,$B1067,'Per Line'!$AJ$2:$AJ$4001,1))</f>
        <v/>
      </c>
      <c r="S1067" s="22" t="str">
        <f aca="false">IF($X1067="","",R1067*Q1067)</f>
        <v/>
      </c>
      <c r="T1067" s="22" t="str">
        <f aca="false">IF($X1067="","",S1067+P1067)</f>
        <v/>
      </c>
      <c r="U1067" s="22" t="str">
        <f aca="false">IF($X1067="","",V1067-T1067)</f>
        <v/>
      </c>
      <c r="V1067" s="22" t="str">
        <f aca="false">IF($X1067="","",O1067+R1067)</f>
        <v/>
      </c>
      <c r="W1067" s="22" t="str">
        <f aca="false">IF($X1067="","",U1067-L1067)</f>
        <v/>
      </c>
      <c r="X1067" s="24" t="str">
        <f aca="false">IF(ROWS($X$2:$X1067)&lt;=MAX('Per Line'!$AI$2:$AI$4001),MATCH(ROWS($X$2:$X1067),'Per Line'!$AI$2:$AI$4001,0),"")</f>
        <v/>
      </c>
    </row>
    <row r="1068" customFormat="false" ht="15" hidden="false" customHeight="false" outlineLevel="0" collapsed="false">
      <c r="A1068" s="19"/>
      <c r="B1068" s="20" t="str">
        <f aca="false">IF($X1068="","",INDEX('Per Line'!$D$2:$D$4001,$X1068))</f>
        <v/>
      </c>
      <c r="C1068" s="20" t="str">
        <f aca="false">IF($X1068="","",INDEX('Per Line'!$C$2:$C$4001,$X1068))</f>
        <v/>
      </c>
      <c r="D1068" s="20" t="str">
        <f aca="false">IF($X1068="","",INDEX('Per Line'!$A$2:$A$4001,$X1068))</f>
        <v/>
      </c>
      <c r="E1068" s="21" t="str">
        <f aca="false">IF($X1068="","",INDEX('Per Line'!$F$2:$F$4001,$X1068))</f>
        <v/>
      </c>
      <c r="F1068" s="20" t="str">
        <f aca="false">IF($X1068="","",INDEX('Per Line'!$G$2:$G$4001,$X1068))</f>
        <v/>
      </c>
      <c r="G1068" s="20" t="str">
        <f aca="false">IF($X1068="","",INDEX('Per Line'!$I$2:$I$4001,$X1068))</f>
        <v/>
      </c>
      <c r="H1068" s="20" t="str">
        <f aca="false">IF($X1068="","",INDEX('Per Line'!$J$2:$J$4001,$X1068))</f>
        <v/>
      </c>
      <c r="I1068" s="20" t="str">
        <f aca="false">IF($X1068="","",INDEX('Per Line'!$K$2:$K$4001,$X1068))</f>
        <v/>
      </c>
      <c r="J1068" s="20" t="str">
        <f aca="false">IF($X1068="","",INDEX('Per Line'!$L$2:$L$4001,$X1068))</f>
        <v/>
      </c>
      <c r="K1068" s="20" t="str">
        <f aca="false">IF($X1068="","",INDEX('Per Line'!$M$2:$M$4001,$X1068))</f>
        <v/>
      </c>
      <c r="L1068" s="22" t="str">
        <f aca="false">IF($X1068="","",K1068*V1068/100)</f>
        <v/>
      </c>
      <c r="M1068" s="20" t="str">
        <f aca="false">IF($X1068="","",INDEX('Per Line'!$Z$2:$Z$4001,$X1068))</f>
        <v/>
      </c>
      <c r="N1068" s="23" t="str">
        <f aca="false">IF($X1068="","",Settings!$C$7)</f>
        <v/>
      </c>
      <c r="O1068" s="22" t="str">
        <f aca="false">IF($X1068="","",SUMIFS('Per Line'!$Y$2:$Y$4001,'Per Line'!$D$2:$D$4001,$B1068,'Per Line'!$AJ$2:$AJ$4001,0))</f>
        <v/>
      </c>
      <c r="P1068" s="22" t="str">
        <f aca="false">IF($X1068="","",O1068*N1068)</f>
        <v/>
      </c>
      <c r="Q1068" s="23" t="str">
        <f aca="false">IF($X1068="","",Settings!$C$6)</f>
        <v/>
      </c>
      <c r="R1068" s="22" t="str">
        <f aca="false">IF($X1068="","",SUMIFS('Per Line'!$Y$2:$Y$4001,'Per Line'!$D$2:$D$4001,$B1068,'Per Line'!$AJ$2:$AJ$4001,1))</f>
        <v/>
      </c>
      <c r="S1068" s="22" t="str">
        <f aca="false">IF($X1068="","",R1068*Q1068)</f>
        <v/>
      </c>
      <c r="T1068" s="22" t="str">
        <f aca="false">IF($X1068="","",S1068+P1068)</f>
        <v/>
      </c>
      <c r="U1068" s="22" t="str">
        <f aca="false">IF($X1068="","",V1068-T1068)</f>
        <v/>
      </c>
      <c r="V1068" s="22" t="str">
        <f aca="false">IF($X1068="","",O1068+R1068)</f>
        <v/>
      </c>
      <c r="W1068" s="22" t="str">
        <f aca="false">IF($X1068="","",U1068-L1068)</f>
        <v/>
      </c>
      <c r="X1068" s="24" t="str">
        <f aca="false">IF(ROWS($X$2:$X1068)&lt;=MAX('Per Line'!$AI$2:$AI$4001),MATCH(ROWS($X$2:$X1068),'Per Line'!$AI$2:$AI$4001,0),"")</f>
        <v/>
      </c>
    </row>
    <row r="1069" customFormat="false" ht="15" hidden="false" customHeight="false" outlineLevel="0" collapsed="false">
      <c r="A1069" s="19"/>
      <c r="B1069" s="20" t="str">
        <f aca="false">IF($X1069="","",INDEX('Per Line'!$D$2:$D$4001,$X1069))</f>
        <v/>
      </c>
      <c r="C1069" s="20" t="str">
        <f aca="false">IF($X1069="","",INDEX('Per Line'!$C$2:$C$4001,$X1069))</f>
        <v/>
      </c>
      <c r="D1069" s="20" t="str">
        <f aca="false">IF($X1069="","",INDEX('Per Line'!$A$2:$A$4001,$X1069))</f>
        <v/>
      </c>
      <c r="E1069" s="21" t="str">
        <f aca="false">IF($X1069="","",INDEX('Per Line'!$F$2:$F$4001,$X1069))</f>
        <v/>
      </c>
      <c r="F1069" s="20" t="str">
        <f aca="false">IF($X1069="","",INDEX('Per Line'!$G$2:$G$4001,$X1069))</f>
        <v/>
      </c>
      <c r="G1069" s="20" t="str">
        <f aca="false">IF($X1069="","",INDEX('Per Line'!$I$2:$I$4001,$X1069))</f>
        <v/>
      </c>
      <c r="H1069" s="20" t="str">
        <f aca="false">IF($X1069="","",INDEX('Per Line'!$J$2:$J$4001,$X1069))</f>
        <v/>
      </c>
      <c r="I1069" s="20" t="str">
        <f aca="false">IF($X1069="","",INDEX('Per Line'!$K$2:$K$4001,$X1069))</f>
        <v/>
      </c>
      <c r="J1069" s="20" t="str">
        <f aca="false">IF($X1069="","",INDEX('Per Line'!$L$2:$L$4001,$X1069))</f>
        <v/>
      </c>
      <c r="K1069" s="20" t="str">
        <f aca="false">IF($X1069="","",INDEX('Per Line'!$M$2:$M$4001,$X1069))</f>
        <v/>
      </c>
      <c r="L1069" s="22" t="str">
        <f aca="false">IF($X1069="","",K1069*V1069/100)</f>
        <v/>
      </c>
      <c r="M1069" s="20" t="str">
        <f aca="false">IF($X1069="","",INDEX('Per Line'!$Z$2:$Z$4001,$X1069))</f>
        <v/>
      </c>
      <c r="N1069" s="23" t="str">
        <f aca="false">IF($X1069="","",Settings!$C$7)</f>
        <v/>
      </c>
      <c r="O1069" s="22" t="str">
        <f aca="false">IF($X1069="","",SUMIFS('Per Line'!$Y$2:$Y$4001,'Per Line'!$D$2:$D$4001,$B1069,'Per Line'!$AJ$2:$AJ$4001,0))</f>
        <v/>
      </c>
      <c r="P1069" s="22" t="str">
        <f aca="false">IF($X1069="","",O1069*N1069)</f>
        <v/>
      </c>
      <c r="Q1069" s="23" t="str">
        <f aca="false">IF($X1069="","",Settings!$C$6)</f>
        <v/>
      </c>
      <c r="R1069" s="22" t="str">
        <f aca="false">IF($X1069="","",SUMIFS('Per Line'!$Y$2:$Y$4001,'Per Line'!$D$2:$D$4001,$B1069,'Per Line'!$AJ$2:$AJ$4001,1))</f>
        <v/>
      </c>
      <c r="S1069" s="22" t="str">
        <f aca="false">IF($X1069="","",R1069*Q1069)</f>
        <v/>
      </c>
      <c r="T1069" s="22" t="str">
        <f aca="false">IF($X1069="","",S1069+P1069)</f>
        <v/>
      </c>
      <c r="U1069" s="22" t="str">
        <f aca="false">IF($X1069="","",V1069-T1069)</f>
        <v/>
      </c>
      <c r="V1069" s="22" t="str">
        <f aca="false">IF($X1069="","",O1069+R1069)</f>
        <v/>
      </c>
      <c r="W1069" s="22" t="str">
        <f aca="false">IF($X1069="","",U1069-L1069)</f>
        <v/>
      </c>
      <c r="X1069" s="24" t="str">
        <f aca="false">IF(ROWS($X$2:$X1069)&lt;=MAX('Per Line'!$AI$2:$AI$4001),MATCH(ROWS($X$2:$X1069),'Per Line'!$AI$2:$AI$4001,0),"")</f>
        <v/>
      </c>
    </row>
    <row r="1070" customFormat="false" ht="15" hidden="false" customHeight="false" outlineLevel="0" collapsed="false">
      <c r="A1070" s="19"/>
      <c r="B1070" s="20" t="str">
        <f aca="false">IF($X1070="","",INDEX('Per Line'!$D$2:$D$4001,$X1070))</f>
        <v/>
      </c>
      <c r="C1070" s="20" t="str">
        <f aca="false">IF($X1070="","",INDEX('Per Line'!$C$2:$C$4001,$X1070))</f>
        <v/>
      </c>
      <c r="D1070" s="20" t="str">
        <f aca="false">IF($X1070="","",INDEX('Per Line'!$A$2:$A$4001,$X1070))</f>
        <v/>
      </c>
      <c r="E1070" s="21" t="str">
        <f aca="false">IF($X1070="","",INDEX('Per Line'!$F$2:$F$4001,$X1070))</f>
        <v/>
      </c>
      <c r="F1070" s="20" t="str">
        <f aca="false">IF($X1070="","",INDEX('Per Line'!$G$2:$G$4001,$X1070))</f>
        <v/>
      </c>
      <c r="G1070" s="20" t="str">
        <f aca="false">IF($X1070="","",INDEX('Per Line'!$I$2:$I$4001,$X1070))</f>
        <v/>
      </c>
      <c r="H1070" s="20" t="str">
        <f aca="false">IF($X1070="","",INDEX('Per Line'!$J$2:$J$4001,$X1070))</f>
        <v/>
      </c>
      <c r="I1070" s="20" t="str">
        <f aca="false">IF($X1070="","",INDEX('Per Line'!$K$2:$K$4001,$X1070))</f>
        <v/>
      </c>
      <c r="J1070" s="20" t="str">
        <f aca="false">IF($X1070="","",INDEX('Per Line'!$L$2:$L$4001,$X1070))</f>
        <v/>
      </c>
      <c r="K1070" s="20" t="str">
        <f aca="false">IF($X1070="","",INDEX('Per Line'!$M$2:$M$4001,$X1070))</f>
        <v/>
      </c>
      <c r="L1070" s="22" t="str">
        <f aca="false">IF($X1070="","",K1070*V1070/100)</f>
        <v/>
      </c>
      <c r="M1070" s="20" t="str">
        <f aca="false">IF($X1070="","",INDEX('Per Line'!$Z$2:$Z$4001,$X1070))</f>
        <v/>
      </c>
      <c r="N1070" s="23" t="str">
        <f aca="false">IF($X1070="","",Settings!$C$7)</f>
        <v/>
      </c>
      <c r="O1070" s="22" t="str">
        <f aca="false">IF($X1070="","",SUMIFS('Per Line'!$Y$2:$Y$4001,'Per Line'!$D$2:$D$4001,$B1070,'Per Line'!$AJ$2:$AJ$4001,0))</f>
        <v/>
      </c>
      <c r="P1070" s="22" t="str">
        <f aca="false">IF($X1070="","",O1070*N1070)</f>
        <v/>
      </c>
      <c r="Q1070" s="23" t="str">
        <f aca="false">IF($X1070="","",Settings!$C$6)</f>
        <v/>
      </c>
      <c r="R1070" s="22" t="str">
        <f aca="false">IF($X1070="","",SUMIFS('Per Line'!$Y$2:$Y$4001,'Per Line'!$D$2:$D$4001,$B1070,'Per Line'!$AJ$2:$AJ$4001,1))</f>
        <v/>
      </c>
      <c r="S1070" s="22" t="str">
        <f aca="false">IF($X1070="","",R1070*Q1070)</f>
        <v/>
      </c>
      <c r="T1070" s="22" t="str">
        <f aca="false">IF($X1070="","",S1070+P1070)</f>
        <v/>
      </c>
      <c r="U1070" s="22" t="str">
        <f aca="false">IF($X1070="","",V1070-T1070)</f>
        <v/>
      </c>
      <c r="V1070" s="22" t="str">
        <f aca="false">IF($X1070="","",O1070+R1070)</f>
        <v/>
      </c>
      <c r="W1070" s="22" t="str">
        <f aca="false">IF($X1070="","",U1070-L1070)</f>
        <v/>
      </c>
      <c r="X1070" s="24" t="str">
        <f aca="false">IF(ROWS($X$2:$X1070)&lt;=MAX('Per Line'!$AI$2:$AI$4001),MATCH(ROWS($X$2:$X1070),'Per Line'!$AI$2:$AI$4001,0),"")</f>
        <v/>
      </c>
    </row>
    <row r="1071" customFormat="false" ht="15" hidden="false" customHeight="false" outlineLevel="0" collapsed="false">
      <c r="A1071" s="19"/>
      <c r="B1071" s="20" t="str">
        <f aca="false">IF($X1071="","",INDEX('Per Line'!$D$2:$D$4001,$X1071))</f>
        <v/>
      </c>
      <c r="C1071" s="20" t="str">
        <f aca="false">IF($X1071="","",INDEX('Per Line'!$C$2:$C$4001,$X1071))</f>
        <v/>
      </c>
      <c r="D1071" s="20" t="str">
        <f aca="false">IF($X1071="","",INDEX('Per Line'!$A$2:$A$4001,$X1071))</f>
        <v/>
      </c>
      <c r="E1071" s="21" t="str">
        <f aca="false">IF($X1071="","",INDEX('Per Line'!$F$2:$F$4001,$X1071))</f>
        <v/>
      </c>
      <c r="F1071" s="20" t="str">
        <f aca="false">IF($X1071="","",INDEX('Per Line'!$G$2:$G$4001,$X1071))</f>
        <v/>
      </c>
      <c r="G1071" s="20" t="str">
        <f aca="false">IF($X1071="","",INDEX('Per Line'!$I$2:$I$4001,$X1071))</f>
        <v/>
      </c>
      <c r="H1071" s="20" t="str">
        <f aca="false">IF($X1071="","",INDEX('Per Line'!$J$2:$J$4001,$X1071))</f>
        <v/>
      </c>
      <c r="I1071" s="20" t="str">
        <f aca="false">IF($X1071="","",INDEX('Per Line'!$K$2:$K$4001,$X1071))</f>
        <v/>
      </c>
      <c r="J1071" s="20" t="str">
        <f aca="false">IF($X1071="","",INDEX('Per Line'!$L$2:$L$4001,$X1071))</f>
        <v/>
      </c>
      <c r="K1071" s="20" t="str">
        <f aca="false">IF($X1071="","",INDEX('Per Line'!$M$2:$M$4001,$X1071))</f>
        <v/>
      </c>
      <c r="L1071" s="22" t="str">
        <f aca="false">IF($X1071="","",K1071*V1071/100)</f>
        <v/>
      </c>
      <c r="M1071" s="20" t="str">
        <f aca="false">IF($X1071="","",INDEX('Per Line'!$Z$2:$Z$4001,$X1071))</f>
        <v/>
      </c>
      <c r="N1071" s="23" t="str">
        <f aca="false">IF($X1071="","",Settings!$C$7)</f>
        <v/>
      </c>
      <c r="O1071" s="22" t="str">
        <f aca="false">IF($X1071="","",SUMIFS('Per Line'!$Y$2:$Y$4001,'Per Line'!$D$2:$D$4001,$B1071,'Per Line'!$AJ$2:$AJ$4001,0))</f>
        <v/>
      </c>
      <c r="P1071" s="22" t="str">
        <f aca="false">IF($X1071="","",O1071*N1071)</f>
        <v/>
      </c>
      <c r="Q1071" s="23" t="str">
        <f aca="false">IF($X1071="","",Settings!$C$6)</f>
        <v/>
      </c>
      <c r="R1071" s="22" t="str">
        <f aca="false">IF($X1071="","",SUMIFS('Per Line'!$Y$2:$Y$4001,'Per Line'!$D$2:$D$4001,$B1071,'Per Line'!$AJ$2:$AJ$4001,1))</f>
        <v/>
      </c>
      <c r="S1071" s="22" t="str">
        <f aca="false">IF($X1071="","",R1071*Q1071)</f>
        <v/>
      </c>
      <c r="T1071" s="22" t="str">
        <f aca="false">IF($X1071="","",S1071+P1071)</f>
        <v/>
      </c>
      <c r="U1071" s="22" t="str">
        <f aca="false">IF($X1071="","",V1071-T1071)</f>
        <v/>
      </c>
      <c r="V1071" s="22" t="str">
        <f aca="false">IF($X1071="","",O1071+R1071)</f>
        <v/>
      </c>
      <c r="W1071" s="22" t="str">
        <f aca="false">IF($X1071="","",U1071-L1071)</f>
        <v/>
      </c>
      <c r="X1071" s="24" t="str">
        <f aca="false">IF(ROWS($X$2:$X1071)&lt;=MAX('Per Line'!$AI$2:$AI$4001),MATCH(ROWS($X$2:$X1071),'Per Line'!$AI$2:$AI$4001,0),"")</f>
        <v/>
      </c>
    </row>
    <row r="1072" customFormat="false" ht="15" hidden="false" customHeight="false" outlineLevel="0" collapsed="false">
      <c r="A1072" s="19"/>
      <c r="B1072" s="20" t="str">
        <f aca="false">IF($X1072="","",INDEX('Per Line'!$D$2:$D$4001,$X1072))</f>
        <v/>
      </c>
      <c r="C1072" s="20" t="str">
        <f aca="false">IF($X1072="","",INDEX('Per Line'!$C$2:$C$4001,$X1072))</f>
        <v/>
      </c>
      <c r="D1072" s="20" t="str">
        <f aca="false">IF($X1072="","",INDEX('Per Line'!$A$2:$A$4001,$X1072))</f>
        <v/>
      </c>
      <c r="E1072" s="21" t="str">
        <f aca="false">IF($X1072="","",INDEX('Per Line'!$F$2:$F$4001,$X1072))</f>
        <v/>
      </c>
      <c r="F1072" s="20" t="str">
        <f aca="false">IF($X1072="","",INDEX('Per Line'!$G$2:$G$4001,$X1072))</f>
        <v/>
      </c>
      <c r="G1072" s="20" t="str">
        <f aca="false">IF($X1072="","",INDEX('Per Line'!$I$2:$I$4001,$X1072))</f>
        <v/>
      </c>
      <c r="H1072" s="20" t="str">
        <f aca="false">IF($X1072="","",INDEX('Per Line'!$J$2:$J$4001,$X1072))</f>
        <v/>
      </c>
      <c r="I1072" s="20" t="str">
        <f aca="false">IF($X1072="","",INDEX('Per Line'!$K$2:$K$4001,$X1072))</f>
        <v/>
      </c>
      <c r="J1072" s="20" t="str">
        <f aca="false">IF($X1072="","",INDEX('Per Line'!$L$2:$L$4001,$X1072))</f>
        <v/>
      </c>
      <c r="K1072" s="20" t="str">
        <f aca="false">IF($X1072="","",INDEX('Per Line'!$M$2:$M$4001,$X1072))</f>
        <v/>
      </c>
      <c r="L1072" s="22" t="str">
        <f aca="false">IF($X1072="","",K1072*V1072/100)</f>
        <v/>
      </c>
      <c r="M1072" s="20" t="str">
        <f aca="false">IF($X1072="","",INDEX('Per Line'!$Z$2:$Z$4001,$X1072))</f>
        <v/>
      </c>
      <c r="N1072" s="23" t="str">
        <f aca="false">IF($X1072="","",Settings!$C$7)</f>
        <v/>
      </c>
      <c r="O1072" s="22" t="str">
        <f aca="false">IF($X1072="","",SUMIFS('Per Line'!$Y$2:$Y$4001,'Per Line'!$D$2:$D$4001,$B1072,'Per Line'!$AJ$2:$AJ$4001,0))</f>
        <v/>
      </c>
      <c r="P1072" s="22" t="str">
        <f aca="false">IF($X1072="","",O1072*N1072)</f>
        <v/>
      </c>
      <c r="Q1072" s="23" t="str">
        <f aca="false">IF($X1072="","",Settings!$C$6)</f>
        <v/>
      </c>
      <c r="R1072" s="22" t="str">
        <f aca="false">IF($X1072="","",SUMIFS('Per Line'!$Y$2:$Y$4001,'Per Line'!$D$2:$D$4001,$B1072,'Per Line'!$AJ$2:$AJ$4001,1))</f>
        <v/>
      </c>
      <c r="S1072" s="22" t="str">
        <f aca="false">IF($X1072="","",R1072*Q1072)</f>
        <v/>
      </c>
      <c r="T1072" s="22" t="str">
        <f aca="false">IF($X1072="","",S1072+P1072)</f>
        <v/>
      </c>
      <c r="U1072" s="22" t="str">
        <f aca="false">IF($X1072="","",V1072-T1072)</f>
        <v/>
      </c>
      <c r="V1072" s="22" t="str">
        <f aca="false">IF($X1072="","",O1072+R1072)</f>
        <v/>
      </c>
      <c r="W1072" s="22" t="str">
        <f aca="false">IF($X1072="","",U1072-L1072)</f>
        <v/>
      </c>
      <c r="X1072" s="24" t="str">
        <f aca="false">IF(ROWS($X$2:$X1072)&lt;=MAX('Per Line'!$AI$2:$AI$4001),MATCH(ROWS($X$2:$X1072),'Per Line'!$AI$2:$AI$4001,0),"")</f>
        <v/>
      </c>
    </row>
    <row r="1073" customFormat="false" ht="15" hidden="false" customHeight="false" outlineLevel="0" collapsed="false">
      <c r="A1073" s="19"/>
      <c r="B1073" s="20" t="str">
        <f aca="false">IF($X1073="","",INDEX('Per Line'!$D$2:$D$4001,$X1073))</f>
        <v/>
      </c>
      <c r="C1073" s="20" t="str">
        <f aca="false">IF($X1073="","",INDEX('Per Line'!$C$2:$C$4001,$X1073))</f>
        <v/>
      </c>
      <c r="D1073" s="20" t="str">
        <f aca="false">IF($X1073="","",INDEX('Per Line'!$A$2:$A$4001,$X1073))</f>
        <v/>
      </c>
      <c r="E1073" s="21" t="str">
        <f aca="false">IF($X1073="","",INDEX('Per Line'!$F$2:$F$4001,$X1073))</f>
        <v/>
      </c>
      <c r="F1073" s="20" t="str">
        <f aca="false">IF($X1073="","",INDEX('Per Line'!$G$2:$G$4001,$X1073))</f>
        <v/>
      </c>
      <c r="G1073" s="20" t="str">
        <f aca="false">IF($X1073="","",INDEX('Per Line'!$I$2:$I$4001,$X1073))</f>
        <v/>
      </c>
      <c r="H1073" s="20" t="str">
        <f aca="false">IF($X1073="","",INDEX('Per Line'!$J$2:$J$4001,$X1073))</f>
        <v/>
      </c>
      <c r="I1073" s="20" t="str">
        <f aca="false">IF($X1073="","",INDEX('Per Line'!$K$2:$K$4001,$X1073))</f>
        <v/>
      </c>
      <c r="J1073" s="20" t="str">
        <f aca="false">IF($X1073="","",INDEX('Per Line'!$L$2:$L$4001,$X1073))</f>
        <v/>
      </c>
      <c r="K1073" s="20" t="str">
        <f aca="false">IF($X1073="","",INDEX('Per Line'!$M$2:$M$4001,$X1073))</f>
        <v/>
      </c>
      <c r="L1073" s="22" t="str">
        <f aca="false">IF($X1073="","",K1073*V1073/100)</f>
        <v/>
      </c>
      <c r="M1073" s="20" t="str">
        <f aca="false">IF($X1073="","",INDEX('Per Line'!$Z$2:$Z$4001,$X1073))</f>
        <v/>
      </c>
      <c r="N1073" s="23" t="str">
        <f aca="false">IF($X1073="","",Settings!$C$7)</f>
        <v/>
      </c>
      <c r="O1073" s="22" t="str">
        <f aca="false">IF($X1073="","",SUMIFS('Per Line'!$Y$2:$Y$4001,'Per Line'!$D$2:$D$4001,$B1073,'Per Line'!$AJ$2:$AJ$4001,0))</f>
        <v/>
      </c>
      <c r="P1073" s="22" t="str">
        <f aca="false">IF($X1073="","",O1073*N1073)</f>
        <v/>
      </c>
      <c r="Q1073" s="23" t="str">
        <f aca="false">IF($X1073="","",Settings!$C$6)</f>
        <v/>
      </c>
      <c r="R1073" s="22" t="str">
        <f aca="false">IF($X1073="","",SUMIFS('Per Line'!$Y$2:$Y$4001,'Per Line'!$D$2:$D$4001,$B1073,'Per Line'!$AJ$2:$AJ$4001,1))</f>
        <v/>
      </c>
      <c r="S1073" s="22" t="str">
        <f aca="false">IF($X1073="","",R1073*Q1073)</f>
        <v/>
      </c>
      <c r="T1073" s="22" t="str">
        <f aca="false">IF($X1073="","",S1073+P1073)</f>
        <v/>
      </c>
      <c r="U1073" s="22" t="str">
        <f aca="false">IF($X1073="","",V1073-T1073)</f>
        <v/>
      </c>
      <c r="V1073" s="22" t="str">
        <f aca="false">IF($X1073="","",O1073+R1073)</f>
        <v/>
      </c>
      <c r="W1073" s="22" t="str">
        <f aca="false">IF($X1073="","",U1073-L1073)</f>
        <v/>
      </c>
      <c r="X1073" s="24" t="str">
        <f aca="false">IF(ROWS($X$2:$X1073)&lt;=MAX('Per Line'!$AI$2:$AI$4001),MATCH(ROWS($X$2:$X1073),'Per Line'!$AI$2:$AI$4001,0),"")</f>
        <v/>
      </c>
    </row>
    <row r="1074" customFormat="false" ht="15" hidden="false" customHeight="false" outlineLevel="0" collapsed="false">
      <c r="A1074" s="19"/>
      <c r="B1074" s="20" t="str">
        <f aca="false">IF($X1074="","",INDEX('Per Line'!$D$2:$D$4001,$X1074))</f>
        <v/>
      </c>
      <c r="C1074" s="20" t="str">
        <f aca="false">IF($X1074="","",INDEX('Per Line'!$C$2:$C$4001,$X1074))</f>
        <v/>
      </c>
      <c r="D1074" s="20" t="str">
        <f aca="false">IF($X1074="","",INDEX('Per Line'!$A$2:$A$4001,$X1074))</f>
        <v/>
      </c>
      <c r="E1074" s="21" t="str">
        <f aca="false">IF($X1074="","",INDEX('Per Line'!$F$2:$F$4001,$X1074))</f>
        <v/>
      </c>
      <c r="F1074" s="20" t="str">
        <f aca="false">IF($X1074="","",INDEX('Per Line'!$G$2:$G$4001,$X1074))</f>
        <v/>
      </c>
      <c r="G1074" s="20" t="str">
        <f aca="false">IF($X1074="","",INDEX('Per Line'!$I$2:$I$4001,$X1074))</f>
        <v/>
      </c>
      <c r="H1074" s="20" t="str">
        <f aca="false">IF($X1074="","",INDEX('Per Line'!$J$2:$J$4001,$X1074))</f>
        <v/>
      </c>
      <c r="I1074" s="20" t="str">
        <f aca="false">IF($X1074="","",INDEX('Per Line'!$K$2:$K$4001,$X1074))</f>
        <v/>
      </c>
      <c r="J1074" s="20" t="str">
        <f aca="false">IF($X1074="","",INDEX('Per Line'!$L$2:$L$4001,$X1074))</f>
        <v/>
      </c>
      <c r="K1074" s="20" t="str">
        <f aca="false">IF($X1074="","",INDEX('Per Line'!$M$2:$M$4001,$X1074))</f>
        <v/>
      </c>
      <c r="L1074" s="22" t="str">
        <f aca="false">IF($X1074="","",K1074*V1074/100)</f>
        <v/>
      </c>
      <c r="M1074" s="20" t="str">
        <f aca="false">IF($X1074="","",INDEX('Per Line'!$Z$2:$Z$4001,$X1074))</f>
        <v/>
      </c>
      <c r="N1074" s="23" t="str">
        <f aca="false">IF($X1074="","",Settings!$C$7)</f>
        <v/>
      </c>
      <c r="O1074" s="22" t="str">
        <f aca="false">IF($X1074="","",SUMIFS('Per Line'!$Y$2:$Y$4001,'Per Line'!$D$2:$D$4001,$B1074,'Per Line'!$AJ$2:$AJ$4001,0))</f>
        <v/>
      </c>
      <c r="P1074" s="22" t="str">
        <f aca="false">IF($X1074="","",O1074*N1074)</f>
        <v/>
      </c>
      <c r="Q1074" s="23" t="str">
        <f aca="false">IF($X1074="","",Settings!$C$6)</f>
        <v/>
      </c>
      <c r="R1074" s="22" t="str">
        <f aca="false">IF($X1074="","",SUMIFS('Per Line'!$Y$2:$Y$4001,'Per Line'!$D$2:$D$4001,$B1074,'Per Line'!$AJ$2:$AJ$4001,1))</f>
        <v/>
      </c>
      <c r="S1074" s="22" t="str">
        <f aca="false">IF($X1074="","",R1074*Q1074)</f>
        <v/>
      </c>
      <c r="T1074" s="22" t="str">
        <f aca="false">IF($X1074="","",S1074+P1074)</f>
        <v/>
      </c>
      <c r="U1074" s="22" t="str">
        <f aca="false">IF($X1074="","",V1074-T1074)</f>
        <v/>
      </c>
      <c r="V1074" s="22" t="str">
        <f aca="false">IF($X1074="","",O1074+R1074)</f>
        <v/>
      </c>
      <c r="W1074" s="22" t="str">
        <f aca="false">IF($X1074="","",U1074-L1074)</f>
        <v/>
      </c>
      <c r="X1074" s="24" t="str">
        <f aca="false">IF(ROWS($X$2:$X1074)&lt;=MAX('Per Line'!$AI$2:$AI$4001),MATCH(ROWS($X$2:$X1074),'Per Line'!$AI$2:$AI$4001,0),"")</f>
        <v/>
      </c>
    </row>
    <row r="1075" customFormat="false" ht="15" hidden="false" customHeight="false" outlineLevel="0" collapsed="false">
      <c r="A1075" s="19"/>
      <c r="B1075" s="20" t="str">
        <f aca="false">IF($X1075="","",INDEX('Per Line'!$D$2:$D$4001,$X1075))</f>
        <v/>
      </c>
      <c r="C1075" s="20" t="str">
        <f aca="false">IF($X1075="","",INDEX('Per Line'!$C$2:$C$4001,$X1075))</f>
        <v/>
      </c>
      <c r="D1075" s="20" t="str">
        <f aca="false">IF($X1075="","",INDEX('Per Line'!$A$2:$A$4001,$X1075))</f>
        <v/>
      </c>
      <c r="E1075" s="21" t="str">
        <f aca="false">IF($X1075="","",INDEX('Per Line'!$F$2:$F$4001,$X1075))</f>
        <v/>
      </c>
      <c r="F1075" s="20" t="str">
        <f aca="false">IF($X1075="","",INDEX('Per Line'!$G$2:$G$4001,$X1075))</f>
        <v/>
      </c>
      <c r="G1075" s="20" t="str">
        <f aca="false">IF($X1075="","",INDEX('Per Line'!$I$2:$I$4001,$X1075))</f>
        <v/>
      </c>
      <c r="H1075" s="20" t="str">
        <f aca="false">IF($X1075="","",INDEX('Per Line'!$J$2:$J$4001,$X1075))</f>
        <v/>
      </c>
      <c r="I1075" s="20" t="str">
        <f aca="false">IF($X1075="","",INDEX('Per Line'!$K$2:$K$4001,$X1075))</f>
        <v/>
      </c>
      <c r="J1075" s="20" t="str">
        <f aca="false">IF($X1075="","",INDEX('Per Line'!$L$2:$L$4001,$X1075))</f>
        <v/>
      </c>
      <c r="K1075" s="20" t="str">
        <f aca="false">IF($X1075="","",INDEX('Per Line'!$M$2:$M$4001,$X1075))</f>
        <v/>
      </c>
      <c r="L1075" s="22" t="str">
        <f aca="false">IF($X1075="","",K1075*V1075/100)</f>
        <v/>
      </c>
      <c r="M1075" s="20" t="str">
        <f aca="false">IF($X1075="","",INDEX('Per Line'!$Z$2:$Z$4001,$X1075))</f>
        <v/>
      </c>
      <c r="N1075" s="23" t="str">
        <f aca="false">IF($X1075="","",Settings!$C$7)</f>
        <v/>
      </c>
      <c r="O1075" s="22" t="str">
        <f aca="false">IF($X1075="","",SUMIFS('Per Line'!$Y$2:$Y$4001,'Per Line'!$D$2:$D$4001,$B1075,'Per Line'!$AJ$2:$AJ$4001,0))</f>
        <v/>
      </c>
      <c r="P1075" s="22" t="str">
        <f aca="false">IF($X1075="","",O1075*N1075)</f>
        <v/>
      </c>
      <c r="Q1075" s="23" t="str">
        <f aca="false">IF($X1075="","",Settings!$C$6)</f>
        <v/>
      </c>
      <c r="R1075" s="22" t="str">
        <f aca="false">IF($X1075="","",SUMIFS('Per Line'!$Y$2:$Y$4001,'Per Line'!$D$2:$D$4001,$B1075,'Per Line'!$AJ$2:$AJ$4001,1))</f>
        <v/>
      </c>
      <c r="S1075" s="22" t="str">
        <f aca="false">IF($X1075="","",R1075*Q1075)</f>
        <v/>
      </c>
      <c r="T1075" s="22" t="str">
        <f aca="false">IF($X1075="","",S1075+P1075)</f>
        <v/>
      </c>
      <c r="U1075" s="22" t="str">
        <f aca="false">IF($X1075="","",V1075-T1075)</f>
        <v/>
      </c>
      <c r="V1075" s="22" t="str">
        <f aca="false">IF($X1075="","",O1075+R1075)</f>
        <v/>
      </c>
      <c r="W1075" s="22" t="str">
        <f aca="false">IF($X1075="","",U1075-L1075)</f>
        <v/>
      </c>
      <c r="X1075" s="24" t="str">
        <f aca="false">IF(ROWS($X$2:$X1075)&lt;=MAX('Per Line'!$AI$2:$AI$4001),MATCH(ROWS($X$2:$X1075),'Per Line'!$AI$2:$AI$4001,0),"")</f>
        <v/>
      </c>
    </row>
    <row r="1076" customFormat="false" ht="15" hidden="false" customHeight="false" outlineLevel="0" collapsed="false">
      <c r="A1076" s="19"/>
      <c r="B1076" s="20" t="str">
        <f aca="false">IF($X1076="","",INDEX('Per Line'!$D$2:$D$4001,$X1076))</f>
        <v/>
      </c>
      <c r="C1076" s="20" t="str">
        <f aca="false">IF($X1076="","",INDEX('Per Line'!$C$2:$C$4001,$X1076))</f>
        <v/>
      </c>
      <c r="D1076" s="20" t="str">
        <f aca="false">IF($X1076="","",INDEX('Per Line'!$A$2:$A$4001,$X1076))</f>
        <v/>
      </c>
      <c r="E1076" s="21" t="str">
        <f aca="false">IF($X1076="","",INDEX('Per Line'!$F$2:$F$4001,$X1076))</f>
        <v/>
      </c>
      <c r="F1076" s="20" t="str">
        <f aca="false">IF($X1076="","",INDEX('Per Line'!$G$2:$G$4001,$X1076))</f>
        <v/>
      </c>
      <c r="G1076" s="20" t="str">
        <f aca="false">IF($X1076="","",INDEX('Per Line'!$I$2:$I$4001,$X1076))</f>
        <v/>
      </c>
      <c r="H1076" s="20" t="str">
        <f aca="false">IF($X1076="","",INDEX('Per Line'!$J$2:$J$4001,$X1076))</f>
        <v/>
      </c>
      <c r="I1076" s="20" t="str">
        <f aca="false">IF($X1076="","",INDEX('Per Line'!$K$2:$K$4001,$X1076))</f>
        <v/>
      </c>
      <c r="J1076" s="20" t="str">
        <f aca="false">IF($X1076="","",INDEX('Per Line'!$L$2:$L$4001,$X1076))</f>
        <v/>
      </c>
      <c r="K1076" s="20" t="str">
        <f aca="false">IF($X1076="","",INDEX('Per Line'!$M$2:$M$4001,$X1076))</f>
        <v/>
      </c>
      <c r="L1076" s="22" t="str">
        <f aca="false">IF($X1076="","",K1076*V1076/100)</f>
        <v/>
      </c>
      <c r="M1076" s="20" t="str">
        <f aca="false">IF($X1076="","",INDEX('Per Line'!$Z$2:$Z$4001,$X1076))</f>
        <v/>
      </c>
      <c r="N1076" s="23" t="str">
        <f aca="false">IF($X1076="","",Settings!$C$7)</f>
        <v/>
      </c>
      <c r="O1076" s="22" t="str">
        <f aca="false">IF($X1076="","",SUMIFS('Per Line'!$Y$2:$Y$4001,'Per Line'!$D$2:$D$4001,$B1076,'Per Line'!$AJ$2:$AJ$4001,0))</f>
        <v/>
      </c>
      <c r="P1076" s="22" t="str">
        <f aca="false">IF($X1076="","",O1076*N1076)</f>
        <v/>
      </c>
      <c r="Q1076" s="23" t="str">
        <f aca="false">IF($X1076="","",Settings!$C$6)</f>
        <v/>
      </c>
      <c r="R1076" s="22" t="str">
        <f aca="false">IF($X1076="","",SUMIFS('Per Line'!$Y$2:$Y$4001,'Per Line'!$D$2:$D$4001,$B1076,'Per Line'!$AJ$2:$AJ$4001,1))</f>
        <v/>
      </c>
      <c r="S1076" s="22" t="str">
        <f aca="false">IF($X1076="","",R1076*Q1076)</f>
        <v/>
      </c>
      <c r="T1076" s="22" t="str">
        <f aca="false">IF($X1076="","",S1076+P1076)</f>
        <v/>
      </c>
      <c r="U1076" s="22" t="str">
        <f aca="false">IF($X1076="","",V1076-T1076)</f>
        <v/>
      </c>
      <c r="V1076" s="22" t="str">
        <f aca="false">IF($X1076="","",O1076+R1076)</f>
        <v/>
      </c>
      <c r="W1076" s="22" t="str">
        <f aca="false">IF($X1076="","",U1076-L1076)</f>
        <v/>
      </c>
      <c r="X1076" s="24" t="str">
        <f aca="false">IF(ROWS($X$2:$X1076)&lt;=MAX('Per Line'!$AI$2:$AI$4001),MATCH(ROWS($X$2:$X1076),'Per Line'!$AI$2:$AI$4001,0),"")</f>
        <v/>
      </c>
    </row>
    <row r="1077" customFormat="false" ht="15" hidden="false" customHeight="false" outlineLevel="0" collapsed="false">
      <c r="A1077" s="19"/>
      <c r="B1077" s="20" t="str">
        <f aca="false">IF($X1077="","",INDEX('Per Line'!$D$2:$D$4001,$X1077))</f>
        <v/>
      </c>
      <c r="C1077" s="20" t="str">
        <f aca="false">IF($X1077="","",INDEX('Per Line'!$C$2:$C$4001,$X1077))</f>
        <v/>
      </c>
      <c r="D1077" s="20" t="str">
        <f aca="false">IF($X1077="","",INDEX('Per Line'!$A$2:$A$4001,$X1077))</f>
        <v/>
      </c>
      <c r="E1077" s="21" t="str">
        <f aca="false">IF($X1077="","",INDEX('Per Line'!$F$2:$F$4001,$X1077))</f>
        <v/>
      </c>
      <c r="F1077" s="20" t="str">
        <f aca="false">IF($X1077="","",INDEX('Per Line'!$G$2:$G$4001,$X1077))</f>
        <v/>
      </c>
      <c r="G1077" s="20" t="str">
        <f aca="false">IF($X1077="","",INDEX('Per Line'!$I$2:$I$4001,$X1077))</f>
        <v/>
      </c>
      <c r="H1077" s="20" t="str">
        <f aca="false">IF($X1077="","",INDEX('Per Line'!$J$2:$J$4001,$X1077))</f>
        <v/>
      </c>
      <c r="I1077" s="20" t="str">
        <f aca="false">IF($X1077="","",INDEX('Per Line'!$K$2:$K$4001,$X1077))</f>
        <v/>
      </c>
      <c r="J1077" s="20" t="str">
        <f aca="false">IF($X1077="","",INDEX('Per Line'!$L$2:$L$4001,$X1077))</f>
        <v/>
      </c>
      <c r="K1077" s="20" t="str">
        <f aca="false">IF($X1077="","",INDEX('Per Line'!$M$2:$M$4001,$X1077))</f>
        <v/>
      </c>
      <c r="L1077" s="22" t="str">
        <f aca="false">IF($X1077="","",K1077*V1077/100)</f>
        <v/>
      </c>
      <c r="M1077" s="20" t="str">
        <f aca="false">IF($X1077="","",INDEX('Per Line'!$Z$2:$Z$4001,$X1077))</f>
        <v/>
      </c>
      <c r="N1077" s="23" t="str">
        <f aca="false">IF($X1077="","",Settings!$C$7)</f>
        <v/>
      </c>
      <c r="O1077" s="22" t="str">
        <f aca="false">IF($X1077="","",SUMIFS('Per Line'!$Y$2:$Y$4001,'Per Line'!$D$2:$D$4001,$B1077,'Per Line'!$AJ$2:$AJ$4001,0))</f>
        <v/>
      </c>
      <c r="P1077" s="22" t="str">
        <f aca="false">IF($X1077="","",O1077*N1077)</f>
        <v/>
      </c>
      <c r="Q1077" s="23" t="str">
        <f aca="false">IF($X1077="","",Settings!$C$6)</f>
        <v/>
      </c>
      <c r="R1077" s="22" t="str">
        <f aca="false">IF($X1077="","",SUMIFS('Per Line'!$Y$2:$Y$4001,'Per Line'!$D$2:$D$4001,$B1077,'Per Line'!$AJ$2:$AJ$4001,1))</f>
        <v/>
      </c>
      <c r="S1077" s="22" t="str">
        <f aca="false">IF($X1077="","",R1077*Q1077)</f>
        <v/>
      </c>
      <c r="T1077" s="22" t="str">
        <f aca="false">IF($X1077="","",S1077+P1077)</f>
        <v/>
      </c>
      <c r="U1077" s="22" t="str">
        <f aca="false">IF($X1077="","",V1077-T1077)</f>
        <v/>
      </c>
      <c r="V1077" s="22" t="str">
        <f aca="false">IF($X1077="","",O1077+R1077)</f>
        <v/>
      </c>
      <c r="W1077" s="22" t="str">
        <f aca="false">IF($X1077="","",U1077-L1077)</f>
        <v/>
      </c>
      <c r="X1077" s="24" t="str">
        <f aca="false">IF(ROWS($X$2:$X1077)&lt;=MAX('Per Line'!$AI$2:$AI$4001),MATCH(ROWS($X$2:$X1077),'Per Line'!$AI$2:$AI$4001,0),"")</f>
        <v/>
      </c>
    </row>
    <row r="1078" customFormat="false" ht="15" hidden="false" customHeight="false" outlineLevel="0" collapsed="false">
      <c r="A1078" s="19"/>
      <c r="B1078" s="20" t="str">
        <f aca="false">IF($X1078="","",INDEX('Per Line'!$D$2:$D$4001,$X1078))</f>
        <v/>
      </c>
      <c r="C1078" s="20" t="str">
        <f aca="false">IF($X1078="","",INDEX('Per Line'!$C$2:$C$4001,$X1078))</f>
        <v/>
      </c>
      <c r="D1078" s="20" t="str">
        <f aca="false">IF($X1078="","",INDEX('Per Line'!$A$2:$A$4001,$X1078))</f>
        <v/>
      </c>
      <c r="E1078" s="21" t="str">
        <f aca="false">IF($X1078="","",INDEX('Per Line'!$F$2:$F$4001,$X1078))</f>
        <v/>
      </c>
      <c r="F1078" s="20" t="str">
        <f aca="false">IF($X1078="","",INDEX('Per Line'!$G$2:$G$4001,$X1078))</f>
        <v/>
      </c>
      <c r="G1078" s="20" t="str">
        <f aca="false">IF($X1078="","",INDEX('Per Line'!$I$2:$I$4001,$X1078))</f>
        <v/>
      </c>
      <c r="H1078" s="20" t="str">
        <f aca="false">IF($X1078="","",INDEX('Per Line'!$J$2:$J$4001,$X1078))</f>
        <v/>
      </c>
      <c r="I1078" s="20" t="str">
        <f aca="false">IF($X1078="","",INDEX('Per Line'!$K$2:$K$4001,$X1078))</f>
        <v/>
      </c>
      <c r="J1078" s="20" t="str">
        <f aca="false">IF($X1078="","",INDEX('Per Line'!$L$2:$L$4001,$X1078))</f>
        <v/>
      </c>
      <c r="K1078" s="20" t="str">
        <f aca="false">IF($X1078="","",INDEX('Per Line'!$M$2:$M$4001,$X1078))</f>
        <v/>
      </c>
      <c r="L1078" s="22" t="str">
        <f aca="false">IF($X1078="","",K1078*V1078/100)</f>
        <v/>
      </c>
      <c r="M1078" s="20" t="str">
        <f aca="false">IF($X1078="","",INDEX('Per Line'!$Z$2:$Z$4001,$X1078))</f>
        <v/>
      </c>
      <c r="N1078" s="23" t="str">
        <f aca="false">IF($X1078="","",Settings!$C$7)</f>
        <v/>
      </c>
      <c r="O1078" s="22" t="str">
        <f aca="false">IF($X1078="","",SUMIFS('Per Line'!$Y$2:$Y$4001,'Per Line'!$D$2:$D$4001,$B1078,'Per Line'!$AJ$2:$AJ$4001,0))</f>
        <v/>
      </c>
      <c r="P1078" s="22" t="str">
        <f aca="false">IF($X1078="","",O1078*N1078)</f>
        <v/>
      </c>
      <c r="Q1078" s="23" t="str">
        <f aca="false">IF($X1078="","",Settings!$C$6)</f>
        <v/>
      </c>
      <c r="R1078" s="22" t="str">
        <f aca="false">IF($X1078="","",SUMIFS('Per Line'!$Y$2:$Y$4001,'Per Line'!$D$2:$D$4001,$B1078,'Per Line'!$AJ$2:$AJ$4001,1))</f>
        <v/>
      </c>
      <c r="S1078" s="22" t="str">
        <f aca="false">IF($X1078="","",R1078*Q1078)</f>
        <v/>
      </c>
      <c r="T1078" s="22" t="str">
        <f aca="false">IF($X1078="","",S1078+P1078)</f>
        <v/>
      </c>
      <c r="U1078" s="22" t="str">
        <f aca="false">IF($X1078="","",V1078-T1078)</f>
        <v/>
      </c>
      <c r="V1078" s="22" t="str">
        <f aca="false">IF($X1078="","",O1078+R1078)</f>
        <v/>
      </c>
      <c r="W1078" s="22" t="str">
        <f aca="false">IF($X1078="","",U1078-L1078)</f>
        <v/>
      </c>
      <c r="X1078" s="24" t="str">
        <f aca="false">IF(ROWS($X$2:$X1078)&lt;=MAX('Per Line'!$AI$2:$AI$4001),MATCH(ROWS($X$2:$X1078),'Per Line'!$AI$2:$AI$4001,0),"")</f>
        <v/>
      </c>
    </row>
    <row r="1079" customFormat="false" ht="15" hidden="false" customHeight="false" outlineLevel="0" collapsed="false">
      <c r="A1079" s="19"/>
      <c r="B1079" s="20" t="str">
        <f aca="false">IF($X1079="","",INDEX('Per Line'!$D$2:$D$4001,$X1079))</f>
        <v/>
      </c>
      <c r="C1079" s="20" t="str">
        <f aca="false">IF($X1079="","",INDEX('Per Line'!$C$2:$C$4001,$X1079))</f>
        <v/>
      </c>
      <c r="D1079" s="20" t="str">
        <f aca="false">IF($X1079="","",INDEX('Per Line'!$A$2:$A$4001,$X1079))</f>
        <v/>
      </c>
      <c r="E1079" s="21" t="str">
        <f aca="false">IF($X1079="","",INDEX('Per Line'!$F$2:$F$4001,$X1079))</f>
        <v/>
      </c>
      <c r="F1079" s="20" t="str">
        <f aca="false">IF($X1079="","",INDEX('Per Line'!$G$2:$G$4001,$X1079))</f>
        <v/>
      </c>
      <c r="G1079" s="20" t="str">
        <f aca="false">IF($X1079="","",INDEX('Per Line'!$I$2:$I$4001,$X1079))</f>
        <v/>
      </c>
      <c r="H1079" s="20" t="str">
        <f aca="false">IF($X1079="","",INDEX('Per Line'!$J$2:$J$4001,$X1079))</f>
        <v/>
      </c>
      <c r="I1079" s="20" t="str">
        <f aca="false">IF($X1079="","",INDEX('Per Line'!$K$2:$K$4001,$X1079))</f>
        <v/>
      </c>
      <c r="J1079" s="20" t="str">
        <f aca="false">IF($X1079="","",INDEX('Per Line'!$L$2:$L$4001,$X1079))</f>
        <v/>
      </c>
      <c r="K1079" s="20" t="str">
        <f aca="false">IF($X1079="","",INDEX('Per Line'!$M$2:$M$4001,$X1079))</f>
        <v/>
      </c>
      <c r="L1079" s="22" t="str">
        <f aca="false">IF($X1079="","",K1079*V1079/100)</f>
        <v/>
      </c>
      <c r="M1079" s="20" t="str">
        <f aca="false">IF($X1079="","",INDEX('Per Line'!$Z$2:$Z$4001,$X1079))</f>
        <v/>
      </c>
      <c r="N1079" s="23" t="str">
        <f aca="false">IF($X1079="","",Settings!$C$7)</f>
        <v/>
      </c>
      <c r="O1079" s="22" t="str">
        <f aca="false">IF($X1079="","",SUMIFS('Per Line'!$Y$2:$Y$4001,'Per Line'!$D$2:$D$4001,$B1079,'Per Line'!$AJ$2:$AJ$4001,0))</f>
        <v/>
      </c>
      <c r="P1079" s="22" t="str">
        <f aca="false">IF($X1079="","",O1079*N1079)</f>
        <v/>
      </c>
      <c r="Q1079" s="23" t="str">
        <f aca="false">IF($X1079="","",Settings!$C$6)</f>
        <v/>
      </c>
      <c r="R1079" s="22" t="str">
        <f aca="false">IF($X1079="","",SUMIFS('Per Line'!$Y$2:$Y$4001,'Per Line'!$D$2:$D$4001,$B1079,'Per Line'!$AJ$2:$AJ$4001,1))</f>
        <v/>
      </c>
      <c r="S1079" s="22" t="str">
        <f aca="false">IF($X1079="","",R1079*Q1079)</f>
        <v/>
      </c>
      <c r="T1079" s="22" t="str">
        <f aca="false">IF($X1079="","",S1079+P1079)</f>
        <v/>
      </c>
      <c r="U1079" s="22" t="str">
        <f aca="false">IF($X1079="","",V1079-T1079)</f>
        <v/>
      </c>
      <c r="V1079" s="22" t="str">
        <f aca="false">IF($X1079="","",O1079+R1079)</f>
        <v/>
      </c>
      <c r="W1079" s="22" t="str">
        <f aca="false">IF($X1079="","",U1079-L1079)</f>
        <v/>
      </c>
      <c r="X1079" s="24" t="str">
        <f aca="false">IF(ROWS($X$2:$X1079)&lt;=MAX('Per Line'!$AI$2:$AI$4001),MATCH(ROWS($X$2:$X1079),'Per Line'!$AI$2:$AI$4001,0),"")</f>
        <v/>
      </c>
    </row>
    <row r="1080" customFormat="false" ht="15" hidden="false" customHeight="false" outlineLevel="0" collapsed="false">
      <c r="A1080" s="19"/>
      <c r="B1080" s="20" t="str">
        <f aca="false">IF($X1080="","",INDEX('Per Line'!$D$2:$D$4001,$X1080))</f>
        <v/>
      </c>
      <c r="C1080" s="20" t="str">
        <f aca="false">IF($X1080="","",INDEX('Per Line'!$C$2:$C$4001,$X1080))</f>
        <v/>
      </c>
      <c r="D1080" s="20" t="str">
        <f aca="false">IF($X1080="","",INDEX('Per Line'!$A$2:$A$4001,$X1080))</f>
        <v/>
      </c>
      <c r="E1080" s="21" t="str">
        <f aca="false">IF($X1080="","",INDEX('Per Line'!$F$2:$F$4001,$X1080))</f>
        <v/>
      </c>
      <c r="F1080" s="20" t="str">
        <f aca="false">IF($X1080="","",INDEX('Per Line'!$G$2:$G$4001,$X1080))</f>
        <v/>
      </c>
      <c r="G1080" s="20" t="str">
        <f aca="false">IF($X1080="","",INDEX('Per Line'!$I$2:$I$4001,$X1080))</f>
        <v/>
      </c>
      <c r="H1080" s="20" t="str">
        <f aca="false">IF($X1080="","",INDEX('Per Line'!$J$2:$J$4001,$X1080))</f>
        <v/>
      </c>
      <c r="I1080" s="20" t="str">
        <f aca="false">IF($X1080="","",INDEX('Per Line'!$K$2:$K$4001,$X1080))</f>
        <v/>
      </c>
      <c r="J1080" s="20" t="str">
        <f aca="false">IF($X1080="","",INDEX('Per Line'!$L$2:$L$4001,$X1080))</f>
        <v/>
      </c>
      <c r="K1080" s="20" t="str">
        <f aca="false">IF($X1080="","",INDEX('Per Line'!$M$2:$M$4001,$X1080))</f>
        <v/>
      </c>
      <c r="L1080" s="22" t="str">
        <f aca="false">IF($X1080="","",K1080*V1080/100)</f>
        <v/>
      </c>
      <c r="M1080" s="20" t="str">
        <f aca="false">IF($X1080="","",INDEX('Per Line'!$Z$2:$Z$4001,$X1080))</f>
        <v/>
      </c>
      <c r="N1080" s="23" t="str">
        <f aca="false">IF($X1080="","",Settings!$C$7)</f>
        <v/>
      </c>
      <c r="O1080" s="22" t="str">
        <f aca="false">IF($X1080="","",SUMIFS('Per Line'!$Y$2:$Y$4001,'Per Line'!$D$2:$D$4001,$B1080,'Per Line'!$AJ$2:$AJ$4001,0))</f>
        <v/>
      </c>
      <c r="P1080" s="22" t="str">
        <f aca="false">IF($X1080="","",O1080*N1080)</f>
        <v/>
      </c>
      <c r="Q1080" s="23" t="str">
        <f aca="false">IF($X1080="","",Settings!$C$6)</f>
        <v/>
      </c>
      <c r="R1080" s="22" t="str">
        <f aca="false">IF($X1080="","",SUMIFS('Per Line'!$Y$2:$Y$4001,'Per Line'!$D$2:$D$4001,$B1080,'Per Line'!$AJ$2:$AJ$4001,1))</f>
        <v/>
      </c>
      <c r="S1080" s="22" t="str">
        <f aca="false">IF($X1080="","",R1080*Q1080)</f>
        <v/>
      </c>
      <c r="T1080" s="22" t="str">
        <f aca="false">IF($X1080="","",S1080+P1080)</f>
        <v/>
      </c>
      <c r="U1080" s="22" t="str">
        <f aca="false">IF($X1080="","",V1080-T1080)</f>
        <v/>
      </c>
      <c r="V1080" s="22" t="str">
        <f aca="false">IF($X1080="","",O1080+R1080)</f>
        <v/>
      </c>
      <c r="W1080" s="22" t="str">
        <f aca="false">IF($X1080="","",U1080-L1080)</f>
        <v/>
      </c>
      <c r="X1080" s="24" t="str">
        <f aca="false">IF(ROWS($X$2:$X1080)&lt;=MAX('Per Line'!$AI$2:$AI$4001),MATCH(ROWS($X$2:$X1080),'Per Line'!$AI$2:$AI$4001,0),"")</f>
        <v/>
      </c>
    </row>
    <row r="1081" customFormat="false" ht="15" hidden="false" customHeight="false" outlineLevel="0" collapsed="false">
      <c r="A1081" s="19"/>
      <c r="B1081" s="20" t="str">
        <f aca="false">IF($X1081="","",INDEX('Per Line'!$D$2:$D$4001,$X1081))</f>
        <v/>
      </c>
      <c r="C1081" s="20" t="str">
        <f aca="false">IF($X1081="","",INDEX('Per Line'!$C$2:$C$4001,$X1081))</f>
        <v/>
      </c>
      <c r="D1081" s="20" t="str">
        <f aca="false">IF($X1081="","",INDEX('Per Line'!$A$2:$A$4001,$X1081))</f>
        <v/>
      </c>
      <c r="E1081" s="21" t="str">
        <f aca="false">IF($X1081="","",INDEX('Per Line'!$F$2:$F$4001,$X1081))</f>
        <v/>
      </c>
      <c r="F1081" s="20" t="str">
        <f aca="false">IF($X1081="","",INDEX('Per Line'!$G$2:$G$4001,$X1081))</f>
        <v/>
      </c>
      <c r="G1081" s="20" t="str">
        <f aca="false">IF($X1081="","",INDEX('Per Line'!$I$2:$I$4001,$X1081))</f>
        <v/>
      </c>
      <c r="H1081" s="20" t="str">
        <f aca="false">IF($X1081="","",INDEX('Per Line'!$J$2:$J$4001,$X1081))</f>
        <v/>
      </c>
      <c r="I1081" s="20" t="str">
        <f aca="false">IF($X1081="","",INDEX('Per Line'!$K$2:$K$4001,$X1081))</f>
        <v/>
      </c>
      <c r="J1081" s="20" t="str">
        <f aca="false">IF($X1081="","",INDEX('Per Line'!$L$2:$L$4001,$X1081))</f>
        <v/>
      </c>
      <c r="K1081" s="20" t="str">
        <f aca="false">IF($X1081="","",INDEX('Per Line'!$M$2:$M$4001,$X1081))</f>
        <v/>
      </c>
      <c r="L1081" s="22" t="str">
        <f aca="false">IF($X1081="","",K1081*V1081/100)</f>
        <v/>
      </c>
      <c r="M1081" s="20" t="str">
        <f aca="false">IF($X1081="","",INDEX('Per Line'!$Z$2:$Z$4001,$X1081))</f>
        <v/>
      </c>
      <c r="N1081" s="23" t="str">
        <f aca="false">IF($X1081="","",Settings!$C$7)</f>
        <v/>
      </c>
      <c r="O1081" s="22" t="str">
        <f aca="false">IF($X1081="","",SUMIFS('Per Line'!$Y$2:$Y$4001,'Per Line'!$D$2:$D$4001,$B1081,'Per Line'!$AJ$2:$AJ$4001,0))</f>
        <v/>
      </c>
      <c r="P1081" s="22" t="str">
        <f aca="false">IF($X1081="","",O1081*N1081)</f>
        <v/>
      </c>
      <c r="Q1081" s="23" t="str">
        <f aca="false">IF($X1081="","",Settings!$C$6)</f>
        <v/>
      </c>
      <c r="R1081" s="22" t="str">
        <f aca="false">IF($X1081="","",SUMIFS('Per Line'!$Y$2:$Y$4001,'Per Line'!$D$2:$D$4001,$B1081,'Per Line'!$AJ$2:$AJ$4001,1))</f>
        <v/>
      </c>
      <c r="S1081" s="22" t="str">
        <f aca="false">IF($X1081="","",R1081*Q1081)</f>
        <v/>
      </c>
      <c r="T1081" s="22" t="str">
        <f aca="false">IF($X1081="","",S1081+P1081)</f>
        <v/>
      </c>
      <c r="U1081" s="22" t="str">
        <f aca="false">IF($X1081="","",V1081-T1081)</f>
        <v/>
      </c>
      <c r="V1081" s="22" t="str">
        <f aca="false">IF($X1081="","",O1081+R1081)</f>
        <v/>
      </c>
      <c r="W1081" s="22" t="str">
        <f aca="false">IF($X1081="","",U1081-L1081)</f>
        <v/>
      </c>
      <c r="X1081" s="24" t="str">
        <f aca="false">IF(ROWS($X$2:$X1081)&lt;=MAX('Per Line'!$AI$2:$AI$4001),MATCH(ROWS($X$2:$X1081),'Per Line'!$AI$2:$AI$4001,0),"")</f>
        <v/>
      </c>
    </row>
    <row r="1082" customFormat="false" ht="15" hidden="false" customHeight="false" outlineLevel="0" collapsed="false">
      <c r="A1082" s="19"/>
      <c r="B1082" s="20" t="str">
        <f aca="false">IF($X1082="","",INDEX('Per Line'!$D$2:$D$4001,$X1082))</f>
        <v/>
      </c>
      <c r="C1082" s="20" t="str">
        <f aca="false">IF($X1082="","",INDEX('Per Line'!$C$2:$C$4001,$X1082))</f>
        <v/>
      </c>
      <c r="D1082" s="20" t="str">
        <f aca="false">IF($X1082="","",INDEX('Per Line'!$A$2:$A$4001,$X1082))</f>
        <v/>
      </c>
      <c r="E1082" s="21" t="str">
        <f aca="false">IF($X1082="","",INDEX('Per Line'!$F$2:$F$4001,$X1082))</f>
        <v/>
      </c>
      <c r="F1082" s="20" t="str">
        <f aca="false">IF($X1082="","",INDEX('Per Line'!$G$2:$G$4001,$X1082))</f>
        <v/>
      </c>
      <c r="G1082" s="20" t="str">
        <f aca="false">IF($X1082="","",INDEX('Per Line'!$I$2:$I$4001,$X1082))</f>
        <v/>
      </c>
      <c r="H1082" s="20" t="str">
        <f aca="false">IF($X1082="","",INDEX('Per Line'!$J$2:$J$4001,$X1082))</f>
        <v/>
      </c>
      <c r="I1082" s="20" t="str">
        <f aca="false">IF($X1082="","",INDEX('Per Line'!$K$2:$K$4001,$X1082))</f>
        <v/>
      </c>
      <c r="J1082" s="20" t="str">
        <f aca="false">IF($X1082="","",INDEX('Per Line'!$L$2:$L$4001,$X1082))</f>
        <v/>
      </c>
      <c r="K1082" s="20" t="str">
        <f aca="false">IF($X1082="","",INDEX('Per Line'!$M$2:$M$4001,$X1082))</f>
        <v/>
      </c>
      <c r="L1082" s="22" t="str">
        <f aca="false">IF($X1082="","",K1082*V1082/100)</f>
        <v/>
      </c>
      <c r="M1082" s="20" t="str">
        <f aca="false">IF($X1082="","",INDEX('Per Line'!$Z$2:$Z$4001,$X1082))</f>
        <v/>
      </c>
      <c r="N1082" s="23" t="str">
        <f aca="false">IF($X1082="","",Settings!$C$7)</f>
        <v/>
      </c>
      <c r="O1082" s="22" t="str">
        <f aca="false">IF($X1082="","",SUMIFS('Per Line'!$Y$2:$Y$4001,'Per Line'!$D$2:$D$4001,$B1082,'Per Line'!$AJ$2:$AJ$4001,0))</f>
        <v/>
      </c>
      <c r="P1082" s="22" t="str">
        <f aca="false">IF($X1082="","",O1082*N1082)</f>
        <v/>
      </c>
      <c r="Q1082" s="23" t="str">
        <f aca="false">IF($X1082="","",Settings!$C$6)</f>
        <v/>
      </c>
      <c r="R1082" s="22" t="str">
        <f aca="false">IF($X1082="","",SUMIFS('Per Line'!$Y$2:$Y$4001,'Per Line'!$D$2:$D$4001,$B1082,'Per Line'!$AJ$2:$AJ$4001,1))</f>
        <v/>
      </c>
      <c r="S1082" s="22" t="str">
        <f aca="false">IF($X1082="","",R1082*Q1082)</f>
        <v/>
      </c>
      <c r="T1082" s="22" t="str">
        <f aca="false">IF($X1082="","",S1082+P1082)</f>
        <v/>
      </c>
      <c r="U1082" s="22" t="str">
        <f aca="false">IF($X1082="","",V1082-T1082)</f>
        <v/>
      </c>
      <c r="V1082" s="22" t="str">
        <f aca="false">IF($X1082="","",O1082+R1082)</f>
        <v/>
      </c>
      <c r="W1082" s="22" t="str">
        <f aca="false">IF($X1082="","",U1082-L1082)</f>
        <v/>
      </c>
      <c r="X1082" s="24" t="str">
        <f aca="false">IF(ROWS($X$2:$X1082)&lt;=MAX('Per Line'!$AI$2:$AI$4001),MATCH(ROWS($X$2:$X1082),'Per Line'!$AI$2:$AI$4001,0),"")</f>
        <v/>
      </c>
    </row>
    <row r="1083" customFormat="false" ht="15" hidden="false" customHeight="false" outlineLevel="0" collapsed="false">
      <c r="A1083" s="19"/>
      <c r="B1083" s="20" t="str">
        <f aca="false">IF($X1083="","",INDEX('Per Line'!$D$2:$D$4001,$X1083))</f>
        <v/>
      </c>
      <c r="C1083" s="20" t="str">
        <f aca="false">IF($X1083="","",INDEX('Per Line'!$C$2:$C$4001,$X1083))</f>
        <v/>
      </c>
      <c r="D1083" s="20" t="str">
        <f aca="false">IF($X1083="","",INDEX('Per Line'!$A$2:$A$4001,$X1083))</f>
        <v/>
      </c>
      <c r="E1083" s="21" t="str">
        <f aca="false">IF($X1083="","",INDEX('Per Line'!$F$2:$F$4001,$X1083))</f>
        <v/>
      </c>
      <c r="F1083" s="20" t="str">
        <f aca="false">IF($X1083="","",INDEX('Per Line'!$G$2:$G$4001,$X1083))</f>
        <v/>
      </c>
      <c r="G1083" s="20" t="str">
        <f aca="false">IF($X1083="","",INDEX('Per Line'!$I$2:$I$4001,$X1083))</f>
        <v/>
      </c>
      <c r="H1083" s="20" t="str">
        <f aca="false">IF($X1083="","",INDEX('Per Line'!$J$2:$J$4001,$X1083))</f>
        <v/>
      </c>
      <c r="I1083" s="20" t="str">
        <f aca="false">IF($X1083="","",INDEX('Per Line'!$K$2:$K$4001,$X1083))</f>
        <v/>
      </c>
      <c r="J1083" s="20" t="str">
        <f aca="false">IF($X1083="","",INDEX('Per Line'!$L$2:$L$4001,$X1083))</f>
        <v/>
      </c>
      <c r="K1083" s="20" t="str">
        <f aca="false">IF($X1083="","",INDEX('Per Line'!$M$2:$M$4001,$X1083))</f>
        <v/>
      </c>
      <c r="L1083" s="22" t="str">
        <f aca="false">IF($X1083="","",K1083*V1083/100)</f>
        <v/>
      </c>
      <c r="M1083" s="20" t="str">
        <f aca="false">IF($X1083="","",INDEX('Per Line'!$Z$2:$Z$4001,$X1083))</f>
        <v/>
      </c>
      <c r="N1083" s="23" t="str">
        <f aca="false">IF($X1083="","",Settings!$C$7)</f>
        <v/>
      </c>
      <c r="O1083" s="22" t="str">
        <f aca="false">IF($X1083="","",SUMIFS('Per Line'!$Y$2:$Y$4001,'Per Line'!$D$2:$D$4001,$B1083,'Per Line'!$AJ$2:$AJ$4001,0))</f>
        <v/>
      </c>
      <c r="P1083" s="22" t="str">
        <f aca="false">IF($X1083="","",O1083*N1083)</f>
        <v/>
      </c>
      <c r="Q1083" s="23" t="str">
        <f aca="false">IF($X1083="","",Settings!$C$6)</f>
        <v/>
      </c>
      <c r="R1083" s="22" t="str">
        <f aca="false">IF($X1083="","",SUMIFS('Per Line'!$Y$2:$Y$4001,'Per Line'!$D$2:$D$4001,$B1083,'Per Line'!$AJ$2:$AJ$4001,1))</f>
        <v/>
      </c>
      <c r="S1083" s="22" t="str">
        <f aca="false">IF($X1083="","",R1083*Q1083)</f>
        <v/>
      </c>
      <c r="T1083" s="22" t="str">
        <f aca="false">IF($X1083="","",S1083+P1083)</f>
        <v/>
      </c>
      <c r="U1083" s="22" t="str">
        <f aca="false">IF($X1083="","",V1083-T1083)</f>
        <v/>
      </c>
      <c r="V1083" s="22" t="str">
        <f aca="false">IF($X1083="","",O1083+R1083)</f>
        <v/>
      </c>
      <c r="W1083" s="22" t="str">
        <f aca="false">IF($X1083="","",U1083-L1083)</f>
        <v/>
      </c>
      <c r="X1083" s="24" t="str">
        <f aca="false">IF(ROWS($X$2:$X1083)&lt;=MAX('Per Line'!$AI$2:$AI$4001),MATCH(ROWS($X$2:$X1083),'Per Line'!$AI$2:$AI$4001,0),"")</f>
        <v/>
      </c>
    </row>
    <row r="1084" customFormat="false" ht="15" hidden="false" customHeight="false" outlineLevel="0" collapsed="false">
      <c r="A1084" s="19"/>
      <c r="B1084" s="20" t="str">
        <f aca="false">IF($X1084="","",INDEX('Per Line'!$D$2:$D$4001,$X1084))</f>
        <v/>
      </c>
      <c r="C1084" s="20" t="str">
        <f aca="false">IF($X1084="","",INDEX('Per Line'!$C$2:$C$4001,$X1084))</f>
        <v/>
      </c>
      <c r="D1084" s="20" t="str">
        <f aca="false">IF($X1084="","",INDEX('Per Line'!$A$2:$A$4001,$X1084))</f>
        <v/>
      </c>
      <c r="E1084" s="21" t="str">
        <f aca="false">IF($X1084="","",INDEX('Per Line'!$F$2:$F$4001,$X1084))</f>
        <v/>
      </c>
      <c r="F1084" s="20" t="str">
        <f aca="false">IF($X1084="","",INDEX('Per Line'!$G$2:$G$4001,$X1084))</f>
        <v/>
      </c>
      <c r="G1084" s="20" t="str">
        <f aca="false">IF($X1084="","",INDEX('Per Line'!$I$2:$I$4001,$X1084))</f>
        <v/>
      </c>
      <c r="H1084" s="20" t="str">
        <f aca="false">IF($X1084="","",INDEX('Per Line'!$J$2:$J$4001,$X1084))</f>
        <v/>
      </c>
      <c r="I1084" s="20" t="str">
        <f aca="false">IF($X1084="","",INDEX('Per Line'!$K$2:$K$4001,$X1084))</f>
        <v/>
      </c>
      <c r="J1084" s="20" t="str">
        <f aca="false">IF($X1084="","",INDEX('Per Line'!$L$2:$L$4001,$X1084))</f>
        <v/>
      </c>
      <c r="K1084" s="20" t="str">
        <f aca="false">IF($X1084="","",INDEX('Per Line'!$M$2:$M$4001,$X1084))</f>
        <v/>
      </c>
      <c r="L1084" s="22" t="str">
        <f aca="false">IF($X1084="","",K1084*V1084/100)</f>
        <v/>
      </c>
      <c r="M1084" s="20" t="str">
        <f aca="false">IF($X1084="","",INDEX('Per Line'!$Z$2:$Z$4001,$X1084))</f>
        <v/>
      </c>
      <c r="N1084" s="23" t="str">
        <f aca="false">IF($X1084="","",Settings!$C$7)</f>
        <v/>
      </c>
      <c r="O1084" s="22" t="str">
        <f aca="false">IF($X1084="","",SUMIFS('Per Line'!$Y$2:$Y$4001,'Per Line'!$D$2:$D$4001,$B1084,'Per Line'!$AJ$2:$AJ$4001,0))</f>
        <v/>
      </c>
      <c r="P1084" s="22" t="str">
        <f aca="false">IF($X1084="","",O1084*N1084)</f>
        <v/>
      </c>
      <c r="Q1084" s="23" t="str">
        <f aca="false">IF($X1084="","",Settings!$C$6)</f>
        <v/>
      </c>
      <c r="R1084" s="22" t="str">
        <f aca="false">IF($X1084="","",SUMIFS('Per Line'!$Y$2:$Y$4001,'Per Line'!$D$2:$D$4001,$B1084,'Per Line'!$AJ$2:$AJ$4001,1))</f>
        <v/>
      </c>
      <c r="S1084" s="22" t="str">
        <f aca="false">IF($X1084="","",R1084*Q1084)</f>
        <v/>
      </c>
      <c r="T1084" s="22" t="str">
        <f aca="false">IF($X1084="","",S1084+P1084)</f>
        <v/>
      </c>
      <c r="U1084" s="22" t="str">
        <f aca="false">IF($X1084="","",V1084-T1084)</f>
        <v/>
      </c>
      <c r="V1084" s="22" t="str">
        <f aca="false">IF($X1084="","",O1084+R1084)</f>
        <v/>
      </c>
      <c r="W1084" s="22" t="str">
        <f aca="false">IF($X1084="","",U1084-L1084)</f>
        <v/>
      </c>
      <c r="X1084" s="24" t="str">
        <f aca="false">IF(ROWS($X$2:$X1084)&lt;=MAX('Per Line'!$AI$2:$AI$4001),MATCH(ROWS($X$2:$X1084),'Per Line'!$AI$2:$AI$4001,0),"")</f>
        <v/>
      </c>
    </row>
    <row r="1085" customFormat="false" ht="15" hidden="false" customHeight="false" outlineLevel="0" collapsed="false">
      <c r="A1085" s="19"/>
      <c r="B1085" s="20" t="str">
        <f aca="false">IF($X1085="","",INDEX('Per Line'!$D$2:$D$4001,$X1085))</f>
        <v/>
      </c>
      <c r="C1085" s="20" t="str">
        <f aca="false">IF($X1085="","",INDEX('Per Line'!$C$2:$C$4001,$X1085))</f>
        <v/>
      </c>
      <c r="D1085" s="20" t="str">
        <f aca="false">IF($X1085="","",INDEX('Per Line'!$A$2:$A$4001,$X1085))</f>
        <v/>
      </c>
      <c r="E1085" s="21" t="str">
        <f aca="false">IF($X1085="","",INDEX('Per Line'!$F$2:$F$4001,$X1085))</f>
        <v/>
      </c>
      <c r="F1085" s="20" t="str">
        <f aca="false">IF($X1085="","",INDEX('Per Line'!$G$2:$G$4001,$X1085))</f>
        <v/>
      </c>
      <c r="G1085" s="20" t="str">
        <f aca="false">IF($X1085="","",INDEX('Per Line'!$I$2:$I$4001,$X1085))</f>
        <v/>
      </c>
      <c r="H1085" s="20" t="str">
        <f aca="false">IF($X1085="","",INDEX('Per Line'!$J$2:$J$4001,$X1085))</f>
        <v/>
      </c>
      <c r="I1085" s="20" t="str">
        <f aca="false">IF($X1085="","",INDEX('Per Line'!$K$2:$K$4001,$X1085))</f>
        <v/>
      </c>
      <c r="J1085" s="20" t="str">
        <f aca="false">IF($X1085="","",INDEX('Per Line'!$L$2:$L$4001,$X1085))</f>
        <v/>
      </c>
      <c r="K1085" s="20" t="str">
        <f aca="false">IF($X1085="","",INDEX('Per Line'!$M$2:$M$4001,$X1085))</f>
        <v/>
      </c>
      <c r="L1085" s="22" t="str">
        <f aca="false">IF($X1085="","",K1085*V1085/100)</f>
        <v/>
      </c>
      <c r="M1085" s="20" t="str">
        <f aca="false">IF($X1085="","",INDEX('Per Line'!$Z$2:$Z$4001,$X1085))</f>
        <v/>
      </c>
      <c r="N1085" s="23" t="str">
        <f aca="false">IF($X1085="","",Settings!$C$7)</f>
        <v/>
      </c>
      <c r="O1085" s="22" t="str">
        <f aca="false">IF($X1085="","",SUMIFS('Per Line'!$Y$2:$Y$4001,'Per Line'!$D$2:$D$4001,$B1085,'Per Line'!$AJ$2:$AJ$4001,0))</f>
        <v/>
      </c>
      <c r="P1085" s="22" t="str">
        <f aca="false">IF($X1085="","",O1085*N1085)</f>
        <v/>
      </c>
      <c r="Q1085" s="23" t="str">
        <f aca="false">IF($X1085="","",Settings!$C$6)</f>
        <v/>
      </c>
      <c r="R1085" s="22" t="str">
        <f aca="false">IF($X1085="","",SUMIFS('Per Line'!$Y$2:$Y$4001,'Per Line'!$D$2:$D$4001,$B1085,'Per Line'!$AJ$2:$AJ$4001,1))</f>
        <v/>
      </c>
      <c r="S1085" s="22" t="str">
        <f aca="false">IF($X1085="","",R1085*Q1085)</f>
        <v/>
      </c>
      <c r="T1085" s="22" t="str">
        <f aca="false">IF($X1085="","",S1085+P1085)</f>
        <v/>
      </c>
      <c r="U1085" s="22" t="str">
        <f aca="false">IF($X1085="","",V1085-T1085)</f>
        <v/>
      </c>
      <c r="V1085" s="22" t="str">
        <f aca="false">IF($X1085="","",O1085+R1085)</f>
        <v/>
      </c>
      <c r="W1085" s="22" t="str">
        <f aca="false">IF($X1085="","",U1085-L1085)</f>
        <v/>
      </c>
      <c r="X1085" s="24" t="str">
        <f aca="false">IF(ROWS($X$2:$X1085)&lt;=MAX('Per Line'!$AI$2:$AI$4001),MATCH(ROWS($X$2:$X1085),'Per Line'!$AI$2:$AI$4001,0),"")</f>
        <v/>
      </c>
    </row>
    <row r="1086" customFormat="false" ht="15" hidden="false" customHeight="false" outlineLevel="0" collapsed="false">
      <c r="A1086" s="19"/>
      <c r="B1086" s="20" t="str">
        <f aca="false">IF($X1086="","",INDEX('Per Line'!$D$2:$D$4001,$X1086))</f>
        <v/>
      </c>
      <c r="C1086" s="20" t="str">
        <f aca="false">IF($X1086="","",INDEX('Per Line'!$C$2:$C$4001,$X1086))</f>
        <v/>
      </c>
      <c r="D1086" s="20" t="str">
        <f aca="false">IF($X1086="","",INDEX('Per Line'!$A$2:$A$4001,$X1086))</f>
        <v/>
      </c>
      <c r="E1086" s="21" t="str">
        <f aca="false">IF($X1086="","",INDEX('Per Line'!$F$2:$F$4001,$X1086))</f>
        <v/>
      </c>
      <c r="F1086" s="20" t="str">
        <f aca="false">IF($X1086="","",INDEX('Per Line'!$G$2:$G$4001,$X1086))</f>
        <v/>
      </c>
      <c r="G1086" s="20" t="str">
        <f aca="false">IF($X1086="","",INDEX('Per Line'!$I$2:$I$4001,$X1086))</f>
        <v/>
      </c>
      <c r="H1086" s="20" t="str">
        <f aca="false">IF($X1086="","",INDEX('Per Line'!$J$2:$J$4001,$X1086))</f>
        <v/>
      </c>
      <c r="I1086" s="20" t="str">
        <f aca="false">IF($X1086="","",INDEX('Per Line'!$K$2:$K$4001,$X1086))</f>
        <v/>
      </c>
      <c r="J1086" s="20" t="str">
        <f aca="false">IF($X1086="","",INDEX('Per Line'!$L$2:$L$4001,$X1086))</f>
        <v/>
      </c>
      <c r="K1086" s="20" t="str">
        <f aca="false">IF($X1086="","",INDEX('Per Line'!$M$2:$M$4001,$X1086))</f>
        <v/>
      </c>
      <c r="L1086" s="22" t="str">
        <f aca="false">IF($X1086="","",K1086*V1086/100)</f>
        <v/>
      </c>
      <c r="M1086" s="20" t="str">
        <f aca="false">IF($X1086="","",INDEX('Per Line'!$Z$2:$Z$4001,$X1086))</f>
        <v/>
      </c>
      <c r="N1086" s="23" t="str">
        <f aca="false">IF($X1086="","",Settings!$C$7)</f>
        <v/>
      </c>
      <c r="O1086" s="22" t="str">
        <f aca="false">IF($X1086="","",SUMIFS('Per Line'!$Y$2:$Y$4001,'Per Line'!$D$2:$D$4001,$B1086,'Per Line'!$AJ$2:$AJ$4001,0))</f>
        <v/>
      </c>
      <c r="P1086" s="22" t="str">
        <f aca="false">IF($X1086="","",O1086*N1086)</f>
        <v/>
      </c>
      <c r="Q1086" s="23" t="str">
        <f aca="false">IF($X1086="","",Settings!$C$6)</f>
        <v/>
      </c>
      <c r="R1086" s="22" t="str">
        <f aca="false">IF($X1086="","",SUMIFS('Per Line'!$Y$2:$Y$4001,'Per Line'!$D$2:$D$4001,$B1086,'Per Line'!$AJ$2:$AJ$4001,1))</f>
        <v/>
      </c>
      <c r="S1086" s="22" t="str">
        <f aca="false">IF($X1086="","",R1086*Q1086)</f>
        <v/>
      </c>
      <c r="T1086" s="22" t="str">
        <f aca="false">IF($X1086="","",S1086+P1086)</f>
        <v/>
      </c>
      <c r="U1086" s="22" t="str">
        <f aca="false">IF($X1086="","",V1086-T1086)</f>
        <v/>
      </c>
      <c r="V1086" s="22" t="str">
        <f aca="false">IF($X1086="","",O1086+R1086)</f>
        <v/>
      </c>
      <c r="W1086" s="22" t="str">
        <f aca="false">IF($X1086="","",U1086-L1086)</f>
        <v/>
      </c>
      <c r="X1086" s="24" t="str">
        <f aca="false">IF(ROWS($X$2:$X1086)&lt;=MAX('Per Line'!$AI$2:$AI$4001),MATCH(ROWS($X$2:$X1086),'Per Line'!$AI$2:$AI$4001,0),"")</f>
        <v/>
      </c>
    </row>
    <row r="1087" customFormat="false" ht="15" hidden="false" customHeight="false" outlineLevel="0" collapsed="false">
      <c r="A1087" s="19"/>
      <c r="B1087" s="20" t="str">
        <f aca="false">IF($X1087="","",INDEX('Per Line'!$D$2:$D$4001,$X1087))</f>
        <v/>
      </c>
      <c r="C1087" s="20" t="str">
        <f aca="false">IF($X1087="","",INDEX('Per Line'!$C$2:$C$4001,$X1087))</f>
        <v/>
      </c>
      <c r="D1087" s="20" t="str">
        <f aca="false">IF($X1087="","",INDEX('Per Line'!$A$2:$A$4001,$X1087))</f>
        <v/>
      </c>
      <c r="E1087" s="21" t="str">
        <f aca="false">IF($X1087="","",INDEX('Per Line'!$F$2:$F$4001,$X1087))</f>
        <v/>
      </c>
      <c r="F1087" s="20" t="str">
        <f aca="false">IF($X1087="","",INDEX('Per Line'!$G$2:$G$4001,$X1087))</f>
        <v/>
      </c>
      <c r="G1087" s="20" t="str">
        <f aca="false">IF($X1087="","",INDEX('Per Line'!$I$2:$I$4001,$X1087))</f>
        <v/>
      </c>
      <c r="H1087" s="20" t="str">
        <f aca="false">IF($X1087="","",INDEX('Per Line'!$J$2:$J$4001,$X1087))</f>
        <v/>
      </c>
      <c r="I1087" s="20" t="str">
        <f aca="false">IF($X1087="","",INDEX('Per Line'!$K$2:$K$4001,$X1087))</f>
        <v/>
      </c>
      <c r="J1087" s="20" t="str">
        <f aca="false">IF($X1087="","",INDEX('Per Line'!$L$2:$L$4001,$X1087))</f>
        <v/>
      </c>
      <c r="K1087" s="20" t="str">
        <f aca="false">IF($X1087="","",INDEX('Per Line'!$M$2:$M$4001,$X1087))</f>
        <v/>
      </c>
      <c r="L1087" s="22" t="str">
        <f aca="false">IF($X1087="","",K1087*V1087/100)</f>
        <v/>
      </c>
      <c r="M1087" s="20" t="str">
        <f aca="false">IF($X1087="","",INDEX('Per Line'!$Z$2:$Z$4001,$X1087))</f>
        <v/>
      </c>
      <c r="N1087" s="23" t="str">
        <f aca="false">IF($X1087="","",Settings!$C$7)</f>
        <v/>
      </c>
      <c r="O1087" s="22" t="str">
        <f aca="false">IF($X1087="","",SUMIFS('Per Line'!$Y$2:$Y$4001,'Per Line'!$D$2:$D$4001,$B1087,'Per Line'!$AJ$2:$AJ$4001,0))</f>
        <v/>
      </c>
      <c r="P1087" s="22" t="str">
        <f aca="false">IF($X1087="","",O1087*N1087)</f>
        <v/>
      </c>
      <c r="Q1087" s="23" t="str">
        <f aca="false">IF($X1087="","",Settings!$C$6)</f>
        <v/>
      </c>
      <c r="R1087" s="22" t="str">
        <f aca="false">IF($X1087="","",SUMIFS('Per Line'!$Y$2:$Y$4001,'Per Line'!$D$2:$D$4001,$B1087,'Per Line'!$AJ$2:$AJ$4001,1))</f>
        <v/>
      </c>
      <c r="S1087" s="22" t="str">
        <f aca="false">IF($X1087="","",R1087*Q1087)</f>
        <v/>
      </c>
      <c r="T1087" s="22" t="str">
        <f aca="false">IF($X1087="","",S1087+P1087)</f>
        <v/>
      </c>
      <c r="U1087" s="22" t="str">
        <f aca="false">IF($X1087="","",V1087-T1087)</f>
        <v/>
      </c>
      <c r="V1087" s="22" t="str">
        <f aca="false">IF($X1087="","",O1087+R1087)</f>
        <v/>
      </c>
      <c r="W1087" s="22" t="str">
        <f aca="false">IF($X1087="","",U1087-L1087)</f>
        <v/>
      </c>
      <c r="X1087" s="24" t="str">
        <f aca="false">IF(ROWS($X$2:$X1087)&lt;=MAX('Per Line'!$AI$2:$AI$4001),MATCH(ROWS($X$2:$X1087),'Per Line'!$AI$2:$AI$4001,0),"")</f>
        <v/>
      </c>
    </row>
    <row r="1088" customFormat="false" ht="15" hidden="false" customHeight="false" outlineLevel="0" collapsed="false">
      <c r="A1088" s="19"/>
      <c r="B1088" s="20" t="str">
        <f aca="false">IF($X1088="","",INDEX('Per Line'!$D$2:$D$4001,$X1088))</f>
        <v/>
      </c>
      <c r="C1088" s="20" t="str">
        <f aca="false">IF($X1088="","",INDEX('Per Line'!$C$2:$C$4001,$X1088))</f>
        <v/>
      </c>
      <c r="D1088" s="20" t="str">
        <f aca="false">IF($X1088="","",INDEX('Per Line'!$A$2:$A$4001,$X1088))</f>
        <v/>
      </c>
      <c r="E1088" s="21" t="str">
        <f aca="false">IF($X1088="","",INDEX('Per Line'!$F$2:$F$4001,$X1088))</f>
        <v/>
      </c>
      <c r="F1088" s="20" t="str">
        <f aca="false">IF($X1088="","",INDEX('Per Line'!$G$2:$G$4001,$X1088))</f>
        <v/>
      </c>
      <c r="G1088" s="20" t="str">
        <f aca="false">IF($X1088="","",INDEX('Per Line'!$I$2:$I$4001,$X1088))</f>
        <v/>
      </c>
      <c r="H1088" s="20" t="str">
        <f aca="false">IF($X1088="","",INDEX('Per Line'!$J$2:$J$4001,$X1088))</f>
        <v/>
      </c>
      <c r="I1088" s="20" t="str">
        <f aca="false">IF($X1088="","",INDEX('Per Line'!$K$2:$K$4001,$X1088))</f>
        <v/>
      </c>
      <c r="J1088" s="20" t="str">
        <f aca="false">IF($X1088="","",INDEX('Per Line'!$L$2:$L$4001,$X1088))</f>
        <v/>
      </c>
      <c r="K1088" s="20" t="str">
        <f aca="false">IF($X1088="","",INDEX('Per Line'!$M$2:$M$4001,$X1088))</f>
        <v/>
      </c>
      <c r="L1088" s="22" t="str">
        <f aca="false">IF($X1088="","",K1088*V1088/100)</f>
        <v/>
      </c>
      <c r="M1088" s="20" t="str">
        <f aca="false">IF($X1088="","",INDEX('Per Line'!$Z$2:$Z$4001,$X1088))</f>
        <v/>
      </c>
      <c r="N1088" s="23" t="str">
        <f aca="false">IF($X1088="","",Settings!$C$7)</f>
        <v/>
      </c>
      <c r="O1088" s="22" t="str">
        <f aca="false">IF($X1088="","",SUMIFS('Per Line'!$Y$2:$Y$4001,'Per Line'!$D$2:$D$4001,$B1088,'Per Line'!$AJ$2:$AJ$4001,0))</f>
        <v/>
      </c>
      <c r="P1088" s="22" t="str">
        <f aca="false">IF($X1088="","",O1088*N1088)</f>
        <v/>
      </c>
      <c r="Q1088" s="23" t="str">
        <f aca="false">IF($X1088="","",Settings!$C$6)</f>
        <v/>
      </c>
      <c r="R1088" s="22" t="str">
        <f aca="false">IF($X1088="","",SUMIFS('Per Line'!$Y$2:$Y$4001,'Per Line'!$D$2:$D$4001,$B1088,'Per Line'!$AJ$2:$AJ$4001,1))</f>
        <v/>
      </c>
      <c r="S1088" s="22" t="str">
        <f aca="false">IF($X1088="","",R1088*Q1088)</f>
        <v/>
      </c>
      <c r="T1088" s="22" t="str">
        <f aca="false">IF($X1088="","",S1088+P1088)</f>
        <v/>
      </c>
      <c r="U1088" s="22" t="str">
        <f aca="false">IF($X1088="","",V1088-T1088)</f>
        <v/>
      </c>
      <c r="V1088" s="22" t="str">
        <f aca="false">IF($X1088="","",O1088+R1088)</f>
        <v/>
      </c>
      <c r="W1088" s="22" t="str">
        <f aca="false">IF($X1088="","",U1088-L1088)</f>
        <v/>
      </c>
      <c r="X1088" s="24" t="str">
        <f aca="false">IF(ROWS($X$2:$X1088)&lt;=MAX('Per Line'!$AI$2:$AI$4001),MATCH(ROWS($X$2:$X1088),'Per Line'!$AI$2:$AI$4001,0),"")</f>
        <v/>
      </c>
    </row>
    <row r="1089" customFormat="false" ht="15" hidden="false" customHeight="false" outlineLevel="0" collapsed="false">
      <c r="A1089" s="19"/>
      <c r="B1089" s="20" t="str">
        <f aca="false">IF($X1089="","",INDEX('Per Line'!$D$2:$D$4001,$X1089))</f>
        <v/>
      </c>
      <c r="C1089" s="20" t="str">
        <f aca="false">IF($X1089="","",INDEX('Per Line'!$C$2:$C$4001,$X1089))</f>
        <v/>
      </c>
      <c r="D1089" s="20" t="str">
        <f aca="false">IF($X1089="","",INDEX('Per Line'!$A$2:$A$4001,$X1089))</f>
        <v/>
      </c>
      <c r="E1089" s="21" t="str">
        <f aca="false">IF($X1089="","",INDEX('Per Line'!$F$2:$F$4001,$X1089))</f>
        <v/>
      </c>
      <c r="F1089" s="20" t="str">
        <f aca="false">IF($X1089="","",INDEX('Per Line'!$G$2:$G$4001,$X1089))</f>
        <v/>
      </c>
      <c r="G1089" s="20" t="str">
        <f aca="false">IF($X1089="","",INDEX('Per Line'!$I$2:$I$4001,$X1089))</f>
        <v/>
      </c>
      <c r="H1089" s="20" t="str">
        <f aca="false">IF($X1089="","",INDEX('Per Line'!$J$2:$J$4001,$X1089))</f>
        <v/>
      </c>
      <c r="I1089" s="20" t="str">
        <f aca="false">IF($X1089="","",INDEX('Per Line'!$K$2:$K$4001,$X1089))</f>
        <v/>
      </c>
      <c r="J1089" s="20" t="str">
        <f aca="false">IF($X1089="","",INDEX('Per Line'!$L$2:$L$4001,$X1089))</f>
        <v/>
      </c>
      <c r="K1089" s="20" t="str">
        <f aca="false">IF($X1089="","",INDEX('Per Line'!$M$2:$M$4001,$X1089))</f>
        <v/>
      </c>
      <c r="L1089" s="22" t="str">
        <f aca="false">IF($X1089="","",K1089*V1089/100)</f>
        <v/>
      </c>
      <c r="M1089" s="20" t="str">
        <f aca="false">IF($X1089="","",INDEX('Per Line'!$Z$2:$Z$4001,$X1089))</f>
        <v/>
      </c>
      <c r="N1089" s="23" t="str">
        <f aca="false">IF($X1089="","",Settings!$C$7)</f>
        <v/>
      </c>
      <c r="O1089" s="22" t="str">
        <f aca="false">IF($X1089="","",SUMIFS('Per Line'!$Y$2:$Y$4001,'Per Line'!$D$2:$D$4001,$B1089,'Per Line'!$AJ$2:$AJ$4001,0))</f>
        <v/>
      </c>
      <c r="P1089" s="22" t="str">
        <f aca="false">IF($X1089="","",O1089*N1089)</f>
        <v/>
      </c>
      <c r="Q1089" s="23" t="str">
        <f aca="false">IF($X1089="","",Settings!$C$6)</f>
        <v/>
      </c>
      <c r="R1089" s="22" t="str">
        <f aca="false">IF($X1089="","",SUMIFS('Per Line'!$Y$2:$Y$4001,'Per Line'!$D$2:$D$4001,$B1089,'Per Line'!$AJ$2:$AJ$4001,1))</f>
        <v/>
      </c>
      <c r="S1089" s="22" t="str">
        <f aca="false">IF($X1089="","",R1089*Q1089)</f>
        <v/>
      </c>
      <c r="T1089" s="22" t="str">
        <f aca="false">IF($X1089="","",S1089+P1089)</f>
        <v/>
      </c>
      <c r="U1089" s="22" t="str">
        <f aca="false">IF($X1089="","",V1089-T1089)</f>
        <v/>
      </c>
      <c r="V1089" s="22" t="str">
        <f aca="false">IF($X1089="","",O1089+R1089)</f>
        <v/>
      </c>
      <c r="W1089" s="22" t="str">
        <f aca="false">IF($X1089="","",U1089-L1089)</f>
        <v/>
      </c>
      <c r="X1089" s="24" t="str">
        <f aca="false">IF(ROWS($X$2:$X1089)&lt;=MAX('Per Line'!$AI$2:$AI$4001),MATCH(ROWS($X$2:$X1089),'Per Line'!$AI$2:$AI$4001,0),"")</f>
        <v/>
      </c>
    </row>
    <row r="1090" customFormat="false" ht="15" hidden="false" customHeight="false" outlineLevel="0" collapsed="false">
      <c r="A1090" s="19"/>
      <c r="B1090" s="20" t="str">
        <f aca="false">IF($X1090="","",INDEX('Per Line'!$D$2:$D$4001,$X1090))</f>
        <v/>
      </c>
      <c r="C1090" s="20" t="str">
        <f aca="false">IF($X1090="","",INDEX('Per Line'!$C$2:$C$4001,$X1090))</f>
        <v/>
      </c>
      <c r="D1090" s="20" t="str">
        <f aca="false">IF($X1090="","",INDEX('Per Line'!$A$2:$A$4001,$X1090))</f>
        <v/>
      </c>
      <c r="E1090" s="21" t="str">
        <f aca="false">IF($X1090="","",INDEX('Per Line'!$F$2:$F$4001,$X1090))</f>
        <v/>
      </c>
      <c r="F1090" s="20" t="str">
        <f aca="false">IF($X1090="","",INDEX('Per Line'!$G$2:$G$4001,$X1090))</f>
        <v/>
      </c>
      <c r="G1090" s="20" t="str">
        <f aca="false">IF($X1090="","",INDEX('Per Line'!$I$2:$I$4001,$X1090))</f>
        <v/>
      </c>
      <c r="H1090" s="20" t="str">
        <f aca="false">IF($X1090="","",INDEX('Per Line'!$J$2:$J$4001,$X1090))</f>
        <v/>
      </c>
      <c r="I1090" s="20" t="str">
        <f aca="false">IF($X1090="","",INDEX('Per Line'!$K$2:$K$4001,$X1090))</f>
        <v/>
      </c>
      <c r="J1090" s="20" t="str">
        <f aca="false">IF($X1090="","",INDEX('Per Line'!$L$2:$L$4001,$X1090))</f>
        <v/>
      </c>
      <c r="K1090" s="20" t="str">
        <f aca="false">IF($X1090="","",INDEX('Per Line'!$M$2:$M$4001,$X1090))</f>
        <v/>
      </c>
      <c r="L1090" s="22" t="str">
        <f aca="false">IF($X1090="","",K1090*V1090/100)</f>
        <v/>
      </c>
      <c r="M1090" s="20" t="str">
        <f aca="false">IF($X1090="","",INDEX('Per Line'!$Z$2:$Z$4001,$X1090))</f>
        <v/>
      </c>
      <c r="N1090" s="23" t="str">
        <f aca="false">IF($X1090="","",Settings!$C$7)</f>
        <v/>
      </c>
      <c r="O1090" s="22" t="str">
        <f aca="false">IF($X1090="","",SUMIFS('Per Line'!$Y$2:$Y$4001,'Per Line'!$D$2:$D$4001,$B1090,'Per Line'!$AJ$2:$AJ$4001,0))</f>
        <v/>
      </c>
      <c r="P1090" s="22" t="str">
        <f aca="false">IF($X1090="","",O1090*N1090)</f>
        <v/>
      </c>
      <c r="Q1090" s="23" t="str">
        <f aca="false">IF($X1090="","",Settings!$C$6)</f>
        <v/>
      </c>
      <c r="R1090" s="22" t="str">
        <f aca="false">IF($X1090="","",SUMIFS('Per Line'!$Y$2:$Y$4001,'Per Line'!$D$2:$D$4001,$B1090,'Per Line'!$AJ$2:$AJ$4001,1))</f>
        <v/>
      </c>
      <c r="S1090" s="22" t="str">
        <f aca="false">IF($X1090="","",R1090*Q1090)</f>
        <v/>
      </c>
      <c r="T1090" s="22" t="str">
        <f aca="false">IF($X1090="","",S1090+P1090)</f>
        <v/>
      </c>
      <c r="U1090" s="22" t="str">
        <f aca="false">IF($X1090="","",V1090-T1090)</f>
        <v/>
      </c>
      <c r="V1090" s="22" t="str">
        <f aca="false">IF($X1090="","",O1090+R1090)</f>
        <v/>
      </c>
      <c r="W1090" s="22" t="str">
        <f aca="false">IF($X1090="","",U1090-L1090)</f>
        <v/>
      </c>
      <c r="X1090" s="24" t="str">
        <f aca="false">IF(ROWS($X$2:$X1090)&lt;=MAX('Per Line'!$AI$2:$AI$4001),MATCH(ROWS($X$2:$X1090),'Per Line'!$AI$2:$AI$4001,0),"")</f>
        <v/>
      </c>
    </row>
    <row r="1091" customFormat="false" ht="15" hidden="false" customHeight="false" outlineLevel="0" collapsed="false">
      <c r="A1091" s="19"/>
      <c r="B1091" s="20" t="str">
        <f aca="false">IF($X1091="","",INDEX('Per Line'!$D$2:$D$4001,$X1091))</f>
        <v/>
      </c>
      <c r="C1091" s="20" t="str">
        <f aca="false">IF($X1091="","",INDEX('Per Line'!$C$2:$C$4001,$X1091))</f>
        <v/>
      </c>
      <c r="D1091" s="20" t="str">
        <f aca="false">IF($X1091="","",INDEX('Per Line'!$A$2:$A$4001,$X1091))</f>
        <v/>
      </c>
      <c r="E1091" s="21" t="str">
        <f aca="false">IF($X1091="","",INDEX('Per Line'!$F$2:$F$4001,$X1091))</f>
        <v/>
      </c>
      <c r="F1091" s="20" t="str">
        <f aca="false">IF($X1091="","",INDEX('Per Line'!$G$2:$G$4001,$X1091))</f>
        <v/>
      </c>
      <c r="G1091" s="20" t="str">
        <f aca="false">IF($X1091="","",INDEX('Per Line'!$I$2:$I$4001,$X1091))</f>
        <v/>
      </c>
      <c r="H1091" s="20" t="str">
        <f aca="false">IF($X1091="","",INDEX('Per Line'!$J$2:$J$4001,$X1091))</f>
        <v/>
      </c>
      <c r="I1091" s="20" t="str">
        <f aca="false">IF($X1091="","",INDEX('Per Line'!$K$2:$K$4001,$X1091))</f>
        <v/>
      </c>
      <c r="J1091" s="20" t="str">
        <f aca="false">IF($X1091="","",INDEX('Per Line'!$L$2:$L$4001,$X1091))</f>
        <v/>
      </c>
      <c r="K1091" s="20" t="str">
        <f aca="false">IF($X1091="","",INDEX('Per Line'!$M$2:$M$4001,$X1091))</f>
        <v/>
      </c>
      <c r="L1091" s="22" t="str">
        <f aca="false">IF($X1091="","",K1091*V1091/100)</f>
        <v/>
      </c>
      <c r="M1091" s="20" t="str">
        <f aca="false">IF($X1091="","",INDEX('Per Line'!$Z$2:$Z$4001,$X1091))</f>
        <v/>
      </c>
      <c r="N1091" s="23" t="str">
        <f aca="false">IF($X1091="","",Settings!$C$7)</f>
        <v/>
      </c>
      <c r="O1091" s="22" t="str">
        <f aca="false">IF($X1091="","",SUMIFS('Per Line'!$Y$2:$Y$4001,'Per Line'!$D$2:$D$4001,$B1091,'Per Line'!$AJ$2:$AJ$4001,0))</f>
        <v/>
      </c>
      <c r="P1091" s="22" t="str">
        <f aca="false">IF($X1091="","",O1091*N1091)</f>
        <v/>
      </c>
      <c r="Q1091" s="23" t="str">
        <f aca="false">IF($X1091="","",Settings!$C$6)</f>
        <v/>
      </c>
      <c r="R1091" s="22" t="str">
        <f aca="false">IF($X1091="","",SUMIFS('Per Line'!$Y$2:$Y$4001,'Per Line'!$D$2:$D$4001,$B1091,'Per Line'!$AJ$2:$AJ$4001,1))</f>
        <v/>
      </c>
      <c r="S1091" s="22" t="str">
        <f aca="false">IF($X1091="","",R1091*Q1091)</f>
        <v/>
      </c>
      <c r="T1091" s="22" t="str">
        <f aca="false">IF($X1091="","",S1091+P1091)</f>
        <v/>
      </c>
      <c r="U1091" s="22" t="str">
        <f aca="false">IF($X1091="","",V1091-T1091)</f>
        <v/>
      </c>
      <c r="V1091" s="22" t="str">
        <f aca="false">IF($X1091="","",O1091+R1091)</f>
        <v/>
      </c>
      <c r="W1091" s="22" t="str">
        <f aca="false">IF($X1091="","",U1091-L1091)</f>
        <v/>
      </c>
      <c r="X1091" s="24" t="str">
        <f aca="false">IF(ROWS($X$2:$X1091)&lt;=MAX('Per Line'!$AI$2:$AI$4001),MATCH(ROWS($X$2:$X1091),'Per Line'!$AI$2:$AI$4001,0),"")</f>
        <v/>
      </c>
    </row>
    <row r="1092" customFormat="false" ht="15" hidden="false" customHeight="false" outlineLevel="0" collapsed="false">
      <c r="A1092" s="19"/>
      <c r="B1092" s="20" t="str">
        <f aca="false">IF($X1092="","",INDEX('Per Line'!$D$2:$D$4001,$X1092))</f>
        <v/>
      </c>
      <c r="C1092" s="20" t="str">
        <f aca="false">IF($X1092="","",INDEX('Per Line'!$C$2:$C$4001,$X1092))</f>
        <v/>
      </c>
      <c r="D1092" s="20" t="str">
        <f aca="false">IF($X1092="","",INDEX('Per Line'!$A$2:$A$4001,$X1092))</f>
        <v/>
      </c>
      <c r="E1092" s="21" t="str">
        <f aca="false">IF($X1092="","",INDEX('Per Line'!$F$2:$F$4001,$X1092))</f>
        <v/>
      </c>
      <c r="F1092" s="20" t="str">
        <f aca="false">IF($X1092="","",INDEX('Per Line'!$G$2:$G$4001,$X1092))</f>
        <v/>
      </c>
      <c r="G1092" s="20" t="str">
        <f aca="false">IF($X1092="","",INDEX('Per Line'!$I$2:$I$4001,$X1092))</f>
        <v/>
      </c>
      <c r="H1092" s="20" t="str">
        <f aca="false">IF($X1092="","",INDEX('Per Line'!$J$2:$J$4001,$X1092))</f>
        <v/>
      </c>
      <c r="I1092" s="20" t="str">
        <f aca="false">IF($X1092="","",INDEX('Per Line'!$K$2:$K$4001,$X1092))</f>
        <v/>
      </c>
      <c r="J1092" s="20" t="str">
        <f aca="false">IF($X1092="","",INDEX('Per Line'!$L$2:$L$4001,$X1092))</f>
        <v/>
      </c>
      <c r="K1092" s="20" t="str">
        <f aca="false">IF($X1092="","",INDEX('Per Line'!$M$2:$M$4001,$X1092))</f>
        <v/>
      </c>
      <c r="L1092" s="22" t="str">
        <f aca="false">IF($X1092="","",K1092*V1092/100)</f>
        <v/>
      </c>
      <c r="M1092" s="20" t="str">
        <f aca="false">IF($X1092="","",INDEX('Per Line'!$Z$2:$Z$4001,$X1092))</f>
        <v/>
      </c>
      <c r="N1092" s="23" t="str">
        <f aca="false">IF($X1092="","",Settings!$C$7)</f>
        <v/>
      </c>
      <c r="O1092" s="22" t="str">
        <f aca="false">IF($X1092="","",SUMIFS('Per Line'!$Y$2:$Y$4001,'Per Line'!$D$2:$D$4001,$B1092,'Per Line'!$AJ$2:$AJ$4001,0))</f>
        <v/>
      </c>
      <c r="P1092" s="22" t="str">
        <f aca="false">IF($X1092="","",O1092*N1092)</f>
        <v/>
      </c>
      <c r="Q1092" s="23" t="str">
        <f aca="false">IF($X1092="","",Settings!$C$6)</f>
        <v/>
      </c>
      <c r="R1092" s="22" t="str">
        <f aca="false">IF($X1092="","",SUMIFS('Per Line'!$Y$2:$Y$4001,'Per Line'!$D$2:$D$4001,$B1092,'Per Line'!$AJ$2:$AJ$4001,1))</f>
        <v/>
      </c>
      <c r="S1092" s="22" t="str">
        <f aca="false">IF($X1092="","",R1092*Q1092)</f>
        <v/>
      </c>
      <c r="T1092" s="22" t="str">
        <f aca="false">IF($X1092="","",S1092+P1092)</f>
        <v/>
      </c>
      <c r="U1092" s="22" t="str">
        <f aca="false">IF($X1092="","",V1092-T1092)</f>
        <v/>
      </c>
      <c r="V1092" s="22" t="str">
        <f aca="false">IF($X1092="","",O1092+R1092)</f>
        <v/>
      </c>
      <c r="W1092" s="22" t="str">
        <f aca="false">IF($X1092="","",U1092-L1092)</f>
        <v/>
      </c>
      <c r="X1092" s="24" t="str">
        <f aca="false">IF(ROWS($X$2:$X1092)&lt;=MAX('Per Line'!$AI$2:$AI$4001),MATCH(ROWS($X$2:$X1092),'Per Line'!$AI$2:$AI$4001,0),"")</f>
        <v/>
      </c>
    </row>
    <row r="1093" customFormat="false" ht="15" hidden="false" customHeight="false" outlineLevel="0" collapsed="false">
      <c r="A1093" s="19"/>
      <c r="B1093" s="20" t="str">
        <f aca="false">IF($X1093="","",INDEX('Per Line'!$D$2:$D$4001,$X1093))</f>
        <v/>
      </c>
      <c r="C1093" s="20" t="str">
        <f aca="false">IF($X1093="","",INDEX('Per Line'!$C$2:$C$4001,$X1093))</f>
        <v/>
      </c>
      <c r="D1093" s="20" t="str">
        <f aca="false">IF($X1093="","",INDEX('Per Line'!$A$2:$A$4001,$X1093))</f>
        <v/>
      </c>
      <c r="E1093" s="21" t="str">
        <f aca="false">IF($X1093="","",INDEX('Per Line'!$F$2:$F$4001,$X1093))</f>
        <v/>
      </c>
      <c r="F1093" s="20" t="str">
        <f aca="false">IF($X1093="","",INDEX('Per Line'!$G$2:$G$4001,$X1093))</f>
        <v/>
      </c>
      <c r="G1093" s="20" t="str">
        <f aca="false">IF($X1093="","",INDEX('Per Line'!$I$2:$I$4001,$X1093))</f>
        <v/>
      </c>
      <c r="H1093" s="20" t="str">
        <f aca="false">IF($X1093="","",INDEX('Per Line'!$J$2:$J$4001,$X1093))</f>
        <v/>
      </c>
      <c r="I1093" s="20" t="str">
        <f aca="false">IF($X1093="","",INDEX('Per Line'!$K$2:$K$4001,$X1093))</f>
        <v/>
      </c>
      <c r="J1093" s="20" t="str">
        <f aca="false">IF($X1093="","",INDEX('Per Line'!$L$2:$L$4001,$X1093))</f>
        <v/>
      </c>
      <c r="K1093" s="20" t="str">
        <f aca="false">IF($X1093="","",INDEX('Per Line'!$M$2:$M$4001,$X1093))</f>
        <v/>
      </c>
      <c r="L1093" s="22" t="str">
        <f aca="false">IF($X1093="","",K1093*V1093/100)</f>
        <v/>
      </c>
      <c r="M1093" s="20" t="str">
        <f aca="false">IF($X1093="","",INDEX('Per Line'!$Z$2:$Z$4001,$X1093))</f>
        <v/>
      </c>
      <c r="N1093" s="23" t="str">
        <f aca="false">IF($X1093="","",Settings!$C$7)</f>
        <v/>
      </c>
      <c r="O1093" s="22" t="str">
        <f aca="false">IF($X1093="","",SUMIFS('Per Line'!$Y$2:$Y$4001,'Per Line'!$D$2:$D$4001,$B1093,'Per Line'!$AJ$2:$AJ$4001,0))</f>
        <v/>
      </c>
      <c r="P1093" s="22" t="str">
        <f aca="false">IF($X1093="","",O1093*N1093)</f>
        <v/>
      </c>
      <c r="Q1093" s="23" t="str">
        <f aca="false">IF($X1093="","",Settings!$C$6)</f>
        <v/>
      </c>
      <c r="R1093" s="22" t="str">
        <f aca="false">IF($X1093="","",SUMIFS('Per Line'!$Y$2:$Y$4001,'Per Line'!$D$2:$D$4001,$B1093,'Per Line'!$AJ$2:$AJ$4001,1))</f>
        <v/>
      </c>
      <c r="S1093" s="22" t="str">
        <f aca="false">IF($X1093="","",R1093*Q1093)</f>
        <v/>
      </c>
      <c r="T1093" s="22" t="str">
        <f aca="false">IF($X1093="","",S1093+P1093)</f>
        <v/>
      </c>
      <c r="U1093" s="22" t="str">
        <f aca="false">IF($X1093="","",V1093-T1093)</f>
        <v/>
      </c>
      <c r="V1093" s="22" t="str">
        <f aca="false">IF($X1093="","",O1093+R1093)</f>
        <v/>
      </c>
      <c r="W1093" s="22" t="str">
        <f aca="false">IF($X1093="","",U1093-L1093)</f>
        <v/>
      </c>
      <c r="X1093" s="24" t="str">
        <f aca="false">IF(ROWS($X$2:$X1093)&lt;=MAX('Per Line'!$AI$2:$AI$4001),MATCH(ROWS($X$2:$X1093),'Per Line'!$AI$2:$AI$4001,0),"")</f>
        <v/>
      </c>
    </row>
    <row r="1094" customFormat="false" ht="15" hidden="false" customHeight="false" outlineLevel="0" collapsed="false">
      <c r="A1094" s="19"/>
      <c r="B1094" s="20" t="str">
        <f aca="false">IF($X1094="","",INDEX('Per Line'!$D$2:$D$4001,$X1094))</f>
        <v/>
      </c>
      <c r="C1094" s="20" t="str">
        <f aca="false">IF($X1094="","",INDEX('Per Line'!$C$2:$C$4001,$X1094))</f>
        <v/>
      </c>
      <c r="D1094" s="20" t="str">
        <f aca="false">IF($X1094="","",INDEX('Per Line'!$A$2:$A$4001,$X1094))</f>
        <v/>
      </c>
      <c r="E1094" s="21" t="str">
        <f aca="false">IF($X1094="","",INDEX('Per Line'!$F$2:$F$4001,$X1094))</f>
        <v/>
      </c>
      <c r="F1094" s="20" t="str">
        <f aca="false">IF($X1094="","",INDEX('Per Line'!$G$2:$G$4001,$X1094))</f>
        <v/>
      </c>
      <c r="G1094" s="20" t="str">
        <f aca="false">IF($X1094="","",INDEX('Per Line'!$I$2:$I$4001,$X1094))</f>
        <v/>
      </c>
      <c r="H1094" s="20" t="str">
        <f aca="false">IF($X1094="","",INDEX('Per Line'!$J$2:$J$4001,$X1094))</f>
        <v/>
      </c>
      <c r="I1094" s="20" t="str">
        <f aca="false">IF($X1094="","",INDEX('Per Line'!$K$2:$K$4001,$X1094))</f>
        <v/>
      </c>
      <c r="J1094" s="20" t="str">
        <f aca="false">IF($X1094="","",INDEX('Per Line'!$L$2:$L$4001,$X1094))</f>
        <v/>
      </c>
      <c r="K1094" s="20" t="str">
        <f aca="false">IF($X1094="","",INDEX('Per Line'!$M$2:$M$4001,$X1094))</f>
        <v/>
      </c>
      <c r="L1094" s="22" t="str">
        <f aca="false">IF($X1094="","",K1094*V1094/100)</f>
        <v/>
      </c>
      <c r="M1094" s="20" t="str">
        <f aca="false">IF($X1094="","",INDEX('Per Line'!$Z$2:$Z$4001,$X1094))</f>
        <v/>
      </c>
      <c r="N1094" s="23" t="str">
        <f aca="false">IF($X1094="","",Settings!$C$7)</f>
        <v/>
      </c>
      <c r="O1094" s="22" t="str">
        <f aca="false">IF($X1094="","",SUMIFS('Per Line'!$Y$2:$Y$4001,'Per Line'!$D$2:$D$4001,$B1094,'Per Line'!$AJ$2:$AJ$4001,0))</f>
        <v/>
      </c>
      <c r="P1094" s="22" t="str">
        <f aca="false">IF($X1094="","",O1094*N1094)</f>
        <v/>
      </c>
      <c r="Q1094" s="23" t="str">
        <f aca="false">IF($X1094="","",Settings!$C$6)</f>
        <v/>
      </c>
      <c r="R1094" s="22" t="str">
        <f aca="false">IF($X1094="","",SUMIFS('Per Line'!$Y$2:$Y$4001,'Per Line'!$D$2:$D$4001,$B1094,'Per Line'!$AJ$2:$AJ$4001,1))</f>
        <v/>
      </c>
      <c r="S1094" s="22" t="str">
        <f aca="false">IF($X1094="","",R1094*Q1094)</f>
        <v/>
      </c>
      <c r="T1094" s="22" t="str">
        <f aca="false">IF($X1094="","",S1094+P1094)</f>
        <v/>
      </c>
      <c r="U1094" s="22" t="str">
        <f aca="false">IF($X1094="","",V1094-T1094)</f>
        <v/>
      </c>
      <c r="V1094" s="22" t="str">
        <f aca="false">IF($X1094="","",O1094+R1094)</f>
        <v/>
      </c>
      <c r="W1094" s="22" t="str">
        <f aca="false">IF($X1094="","",U1094-L1094)</f>
        <v/>
      </c>
      <c r="X1094" s="24" t="str">
        <f aca="false">IF(ROWS($X$2:$X1094)&lt;=MAX('Per Line'!$AI$2:$AI$4001),MATCH(ROWS($X$2:$X1094),'Per Line'!$AI$2:$AI$4001,0),"")</f>
        <v/>
      </c>
    </row>
    <row r="1095" customFormat="false" ht="15" hidden="false" customHeight="false" outlineLevel="0" collapsed="false">
      <c r="A1095" s="19"/>
      <c r="B1095" s="20" t="str">
        <f aca="false">IF($X1095="","",INDEX('Per Line'!$D$2:$D$4001,$X1095))</f>
        <v/>
      </c>
      <c r="C1095" s="20" t="str">
        <f aca="false">IF($X1095="","",INDEX('Per Line'!$C$2:$C$4001,$X1095))</f>
        <v/>
      </c>
      <c r="D1095" s="20" t="str">
        <f aca="false">IF($X1095="","",INDEX('Per Line'!$A$2:$A$4001,$X1095))</f>
        <v/>
      </c>
      <c r="E1095" s="21" t="str">
        <f aca="false">IF($X1095="","",INDEX('Per Line'!$F$2:$F$4001,$X1095))</f>
        <v/>
      </c>
      <c r="F1095" s="20" t="str">
        <f aca="false">IF($X1095="","",INDEX('Per Line'!$G$2:$G$4001,$X1095))</f>
        <v/>
      </c>
      <c r="G1095" s="20" t="str">
        <f aca="false">IF($X1095="","",INDEX('Per Line'!$I$2:$I$4001,$X1095))</f>
        <v/>
      </c>
      <c r="H1095" s="20" t="str">
        <f aca="false">IF($X1095="","",INDEX('Per Line'!$J$2:$J$4001,$X1095))</f>
        <v/>
      </c>
      <c r="I1095" s="20" t="str">
        <f aca="false">IF($X1095="","",INDEX('Per Line'!$K$2:$K$4001,$X1095))</f>
        <v/>
      </c>
      <c r="J1095" s="20" t="str">
        <f aca="false">IF($X1095="","",INDEX('Per Line'!$L$2:$L$4001,$X1095))</f>
        <v/>
      </c>
      <c r="K1095" s="20" t="str">
        <f aca="false">IF($X1095="","",INDEX('Per Line'!$M$2:$M$4001,$X1095))</f>
        <v/>
      </c>
      <c r="L1095" s="22" t="str">
        <f aca="false">IF($X1095="","",K1095*V1095/100)</f>
        <v/>
      </c>
      <c r="M1095" s="20" t="str">
        <f aca="false">IF($X1095="","",INDEX('Per Line'!$Z$2:$Z$4001,$X1095))</f>
        <v/>
      </c>
      <c r="N1095" s="23" t="str">
        <f aca="false">IF($X1095="","",Settings!$C$7)</f>
        <v/>
      </c>
      <c r="O1095" s="22" t="str">
        <f aca="false">IF($X1095="","",SUMIFS('Per Line'!$Y$2:$Y$4001,'Per Line'!$D$2:$D$4001,$B1095,'Per Line'!$AJ$2:$AJ$4001,0))</f>
        <v/>
      </c>
      <c r="P1095" s="22" t="str">
        <f aca="false">IF($X1095="","",O1095*N1095)</f>
        <v/>
      </c>
      <c r="Q1095" s="23" t="str">
        <f aca="false">IF($X1095="","",Settings!$C$6)</f>
        <v/>
      </c>
      <c r="R1095" s="22" t="str">
        <f aca="false">IF($X1095="","",SUMIFS('Per Line'!$Y$2:$Y$4001,'Per Line'!$D$2:$D$4001,$B1095,'Per Line'!$AJ$2:$AJ$4001,1))</f>
        <v/>
      </c>
      <c r="S1095" s="22" t="str">
        <f aca="false">IF($X1095="","",R1095*Q1095)</f>
        <v/>
      </c>
      <c r="T1095" s="22" t="str">
        <f aca="false">IF($X1095="","",S1095+P1095)</f>
        <v/>
      </c>
      <c r="U1095" s="22" t="str">
        <f aca="false">IF($X1095="","",V1095-T1095)</f>
        <v/>
      </c>
      <c r="V1095" s="22" t="str">
        <f aca="false">IF($X1095="","",O1095+R1095)</f>
        <v/>
      </c>
      <c r="W1095" s="22" t="str">
        <f aca="false">IF($X1095="","",U1095-L1095)</f>
        <v/>
      </c>
      <c r="X1095" s="24" t="str">
        <f aca="false">IF(ROWS($X$2:$X1095)&lt;=MAX('Per Line'!$AI$2:$AI$4001),MATCH(ROWS($X$2:$X1095),'Per Line'!$AI$2:$AI$4001,0),"")</f>
        <v/>
      </c>
    </row>
    <row r="1096" customFormat="false" ht="15" hidden="false" customHeight="false" outlineLevel="0" collapsed="false">
      <c r="A1096" s="19"/>
      <c r="B1096" s="20" t="str">
        <f aca="false">IF($X1096="","",INDEX('Per Line'!$D$2:$D$4001,$X1096))</f>
        <v/>
      </c>
      <c r="C1096" s="20" t="str">
        <f aca="false">IF($X1096="","",INDEX('Per Line'!$C$2:$C$4001,$X1096))</f>
        <v/>
      </c>
      <c r="D1096" s="20" t="str">
        <f aca="false">IF($X1096="","",INDEX('Per Line'!$A$2:$A$4001,$X1096))</f>
        <v/>
      </c>
      <c r="E1096" s="21" t="str">
        <f aca="false">IF($X1096="","",INDEX('Per Line'!$F$2:$F$4001,$X1096))</f>
        <v/>
      </c>
      <c r="F1096" s="20" t="str">
        <f aca="false">IF($X1096="","",INDEX('Per Line'!$G$2:$G$4001,$X1096))</f>
        <v/>
      </c>
      <c r="G1096" s="20" t="str">
        <f aca="false">IF($X1096="","",INDEX('Per Line'!$I$2:$I$4001,$X1096))</f>
        <v/>
      </c>
      <c r="H1096" s="20" t="str">
        <f aca="false">IF($X1096="","",INDEX('Per Line'!$J$2:$J$4001,$X1096))</f>
        <v/>
      </c>
      <c r="I1096" s="20" t="str">
        <f aca="false">IF($X1096="","",INDEX('Per Line'!$K$2:$K$4001,$X1096))</f>
        <v/>
      </c>
      <c r="J1096" s="20" t="str">
        <f aca="false">IF($X1096="","",INDEX('Per Line'!$L$2:$L$4001,$X1096))</f>
        <v/>
      </c>
      <c r="K1096" s="20" t="str">
        <f aca="false">IF($X1096="","",INDEX('Per Line'!$M$2:$M$4001,$X1096))</f>
        <v/>
      </c>
      <c r="L1096" s="22" t="str">
        <f aca="false">IF($X1096="","",K1096*V1096/100)</f>
        <v/>
      </c>
      <c r="M1096" s="20" t="str">
        <f aca="false">IF($X1096="","",INDEX('Per Line'!$Z$2:$Z$4001,$X1096))</f>
        <v/>
      </c>
      <c r="N1096" s="23" t="str">
        <f aca="false">IF($X1096="","",Settings!$C$7)</f>
        <v/>
      </c>
      <c r="O1096" s="22" t="str">
        <f aca="false">IF($X1096="","",SUMIFS('Per Line'!$Y$2:$Y$4001,'Per Line'!$D$2:$D$4001,$B1096,'Per Line'!$AJ$2:$AJ$4001,0))</f>
        <v/>
      </c>
      <c r="P1096" s="22" t="str">
        <f aca="false">IF($X1096="","",O1096*N1096)</f>
        <v/>
      </c>
      <c r="Q1096" s="23" t="str">
        <f aca="false">IF($X1096="","",Settings!$C$6)</f>
        <v/>
      </c>
      <c r="R1096" s="22" t="str">
        <f aca="false">IF($X1096="","",SUMIFS('Per Line'!$Y$2:$Y$4001,'Per Line'!$D$2:$D$4001,$B1096,'Per Line'!$AJ$2:$AJ$4001,1))</f>
        <v/>
      </c>
      <c r="S1096" s="22" t="str">
        <f aca="false">IF($X1096="","",R1096*Q1096)</f>
        <v/>
      </c>
      <c r="T1096" s="22" t="str">
        <f aca="false">IF($X1096="","",S1096+P1096)</f>
        <v/>
      </c>
      <c r="U1096" s="22" t="str">
        <f aca="false">IF($X1096="","",V1096-T1096)</f>
        <v/>
      </c>
      <c r="V1096" s="22" t="str">
        <f aca="false">IF($X1096="","",O1096+R1096)</f>
        <v/>
      </c>
      <c r="W1096" s="22" t="str">
        <f aca="false">IF($X1096="","",U1096-L1096)</f>
        <v/>
      </c>
      <c r="X1096" s="24" t="str">
        <f aca="false">IF(ROWS($X$2:$X1096)&lt;=MAX('Per Line'!$AI$2:$AI$4001),MATCH(ROWS($X$2:$X1096),'Per Line'!$AI$2:$AI$4001,0),"")</f>
        <v/>
      </c>
    </row>
    <row r="1097" customFormat="false" ht="15" hidden="false" customHeight="false" outlineLevel="0" collapsed="false">
      <c r="A1097" s="19"/>
      <c r="B1097" s="20" t="str">
        <f aca="false">IF($X1097="","",INDEX('Per Line'!$D$2:$D$4001,$X1097))</f>
        <v/>
      </c>
      <c r="C1097" s="20" t="str">
        <f aca="false">IF($X1097="","",INDEX('Per Line'!$C$2:$C$4001,$X1097))</f>
        <v/>
      </c>
      <c r="D1097" s="20" t="str">
        <f aca="false">IF($X1097="","",INDEX('Per Line'!$A$2:$A$4001,$X1097))</f>
        <v/>
      </c>
      <c r="E1097" s="21" t="str">
        <f aca="false">IF($X1097="","",INDEX('Per Line'!$F$2:$F$4001,$X1097))</f>
        <v/>
      </c>
      <c r="F1097" s="20" t="str">
        <f aca="false">IF($X1097="","",INDEX('Per Line'!$G$2:$G$4001,$X1097))</f>
        <v/>
      </c>
      <c r="G1097" s="20" t="str">
        <f aca="false">IF($X1097="","",INDEX('Per Line'!$I$2:$I$4001,$X1097))</f>
        <v/>
      </c>
      <c r="H1097" s="20" t="str">
        <f aca="false">IF($X1097="","",INDEX('Per Line'!$J$2:$J$4001,$X1097))</f>
        <v/>
      </c>
      <c r="I1097" s="20" t="str">
        <f aca="false">IF($X1097="","",INDEX('Per Line'!$K$2:$K$4001,$X1097))</f>
        <v/>
      </c>
      <c r="J1097" s="20" t="str">
        <f aca="false">IF($X1097="","",INDEX('Per Line'!$L$2:$L$4001,$X1097))</f>
        <v/>
      </c>
      <c r="K1097" s="20" t="str">
        <f aca="false">IF($X1097="","",INDEX('Per Line'!$M$2:$M$4001,$X1097))</f>
        <v/>
      </c>
      <c r="L1097" s="22" t="str">
        <f aca="false">IF($X1097="","",K1097*V1097/100)</f>
        <v/>
      </c>
      <c r="M1097" s="20" t="str">
        <f aca="false">IF($X1097="","",INDEX('Per Line'!$Z$2:$Z$4001,$X1097))</f>
        <v/>
      </c>
      <c r="N1097" s="23" t="str">
        <f aca="false">IF($X1097="","",Settings!$C$7)</f>
        <v/>
      </c>
      <c r="O1097" s="22" t="str">
        <f aca="false">IF($X1097="","",SUMIFS('Per Line'!$Y$2:$Y$4001,'Per Line'!$D$2:$D$4001,$B1097,'Per Line'!$AJ$2:$AJ$4001,0))</f>
        <v/>
      </c>
      <c r="P1097" s="22" t="str">
        <f aca="false">IF($X1097="","",O1097*N1097)</f>
        <v/>
      </c>
      <c r="Q1097" s="23" t="str">
        <f aca="false">IF($X1097="","",Settings!$C$6)</f>
        <v/>
      </c>
      <c r="R1097" s="22" t="str">
        <f aca="false">IF($X1097="","",SUMIFS('Per Line'!$Y$2:$Y$4001,'Per Line'!$D$2:$D$4001,$B1097,'Per Line'!$AJ$2:$AJ$4001,1))</f>
        <v/>
      </c>
      <c r="S1097" s="22" t="str">
        <f aca="false">IF($X1097="","",R1097*Q1097)</f>
        <v/>
      </c>
      <c r="T1097" s="22" t="str">
        <f aca="false">IF($X1097="","",S1097+P1097)</f>
        <v/>
      </c>
      <c r="U1097" s="22" t="str">
        <f aca="false">IF($X1097="","",V1097-T1097)</f>
        <v/>
      </c>
      <c r="V1097" s="22" t="str">
        <f aca="false">IF($X1097="","",O1097+R1097)</f>
        <v/>
      </c>
      <c r="W1097" s="22" t="str">
        <f aca="false">IF($X1097="","",U1097-L1097)</f>
        <v/>
      </c>
      <c r="X1097" s="24" t="str">
        <f aca="false">IF(ROWS($X$2:$X1097)&lt;=MAX('Per Line'!$AI$2:$AI$4001),MATCH(ROWS($X$2:$X1097),'Per Line'!$AI$2:$AI$4001,0),"")</f>
        <v/>
      </c>
    </row>
    <row r="1098" customFormat="false" ht="15" hidden="false" customHeight="false" outlineLevel="0" collapsed="false">
      <c r="A1098" s="19"/>
      <c r="B1098" s="20" t="str">
        <f aca="false">IF($X1098="","",INDEX('Per Line'!$D$2:$D$4001,$X1098))</f>
        <v/>
      </c>
      <c r="C1098" s="20" t="str">
        <f aca="false">IF($X1098="","",INDEX('Per Line'!$C$2:$C$4001,$X1098))</f>
        <v/>
      </c>
      <c r="D1098" s="20" t="str">
        <f aca="false">IF($X1098="","",INDEX('Per Line'!$A$2:$A$4001,$X1098))</f>
        <v/>
      </c>
      <c r="E1098" s="21" t="str">
        <f aca="false">IF($X1098="","",INDEX('Per Line'!$F$2:$F$4001,$X1098))</f>
        <v/>
      </c>
      <c r="F1098" s="20" t="str">
        <f aca="false">IF($X1098="","",INDEX('Per Line'!$G$2:$G$4001,$X1098))</f>
        <v/>
      </c>
      <c r="G1098" s="20" t="str">
        <f aca="false">IF($X1098="","",INDEX('Per Line'!$I$2:$I$4001,$X1098))</f>
        <v/>
      </c>
      <c r="H1098" s="20" t="str">
        <f aca="false">IF($X1098="","",INDEX('Per Line'!$J$2:$J$4001,$X1098))</f>
        <v/>
      </c>
      <c r="I1098" s="20" t="str">
        <f aca="false">IF($X1098="","",INDEX('Per Line'!$K$2:$K$4001,$X1098))</f>
        <v/>
      </c>
      <c r="J1098" s="20" t="str">
        <f aca="false">IF($X1098="","",INDEX('Per Line'!$L$2:$L$4001,$X1098))</f>
        <v/>
      </c>
      <c r="K1098" s="20" t="str">
        <f aca="false">IF($X1098="","",INDEX('Per Line'!$M$2:$M$4001,$X1098))</f>
        <v/>
      </c>
      <c r="L1098" s="22" t="str">
        <f aca="false">IF($X1098="","",K1098*V1098/100)</f>
        <v/>
      </c>
      <c r="M1098" s="20" t="str">
        <f aca="false">IF($X1098="","",INDEX('Per Line'!$Z$2:$Z$4001,$X1098))</f>
        <v/>
      </c>
      <c r="N1098" s="23" t="str">
        <f aca="false">IF($X1098="","",Settings!$C$7)</f>
        <v/>
      </c>
      <c r="O1098" s="22" t="str">
        <f aca="false">IF($X1098="","",SUMIFS('Per Line'!$Y$2:$Y$4001,'Per Line'!$D$2:$D$4001,$B1098,'Per Line'!$AJ$2:$AJ$4001,0))</f>
        <v/>
      </c>
      <c r="P1098" s="22" t="str">
        <f aca="false">IF($X1098="","",O1098*N1098)</f>
        <v/>
      </c>
      <c r="Q1098" s="23" t="str">
        <f aca="false">IF($X1098="","",Settings!$C$6)</f>
        <v/>
      </c>
      <c r="R1098" s="22" t="str">
        <f aca="false">IF($X1098="","",SUMIFS('Per Line'!$Y$2:$Y$4001,'Per Line'!$D$2:$D$4001,$B1098,'Per Line'!$AJ$2:$AJ$4001,1))</f>
        <v/>
      </c>
      <c r="S1098" s="22" t="str">
        <f aca="false">IF($X1098="","",R1098*Q1098)</f>
        <v/>
      </c>
      <c r="T1098" s="22" t="str">
        <f aca="false">IF($X1098="","",S1098+P1098)</f>
        <v/>
      </c>
      <c r="U1098" s="22" t="str">
        <f aca="false">IF($X1098="","",V1098-T1098)</f>
        <v/>
      </c>
      <c r="V1098" s="22" t="str">
        <f aca="false">IF($X1098="","",O1098+R1098)</f>
        <v/>
      </c>
      <c r="W1098" s="22" t="str">
        <f aca="false">IF($X1098="","",U1098-L1098)</f>
        <v/>
      </c>
      <c r="X1098" s="24" t="str">
        <f aca="false">IF(ROWS($X$2:$X1098)&lt;=MAX('Per Line'!$AI$2:$AI$4001),MATCH(ROWS($X$2:$X1098),'Per Line'!$AI$2:$AI$4001,0),"")</f>
        <v/>
      </c>
    </row>
    <row r="1099" customFormat="false" ht="15" hidden="false" customHeight="false" outlineLevel="0" collapsed="false">
      <c r="A1099" s="19"/>
      <c r="B1099" s="20" t="str">
        <f aca="false">IF($X1099="","",INDEX('Per Line'!$D$2:$D$4001,$X1099))</f>
        <v/>
      </c>
      <c r="C1099" s="20" t="str">
        <f aca="false">IF($X1099="","",INDEX('Per Line'!$C$2:$C$4001,$X1099))</f>
        <v/>
      </c>
      <c r="D1099" s="20" t="str">
        <f aca="false">IF($X1099="","",INDEX('Per Line'!$A$2:$A$4001,$X1099))</f>
        <v/>
      </c>
      <c r="E1099" s="21" t="str">
        <f aca="false">IF($X1099="","",INDEX('Per Line'!$F$2:$F$4001,$X1099))</f>
        <v/>
      </c>
      <c r="F1099" s="20" t="str">
        <f aca="false">IF($X1099="","",INDEX('Per Line'!$G$2:$G$4001,$X1099))</f>
        <v/>
      </c>
      <c r="G1099" s="20" t="str">
        <f aca="false">IF($X1099="","",INDEX('Per Line'!$I$2:$I$4001,$X1099))</f>
        <v/>
      </c>
      <c r="H1099" s="20" t="str">
        <f aca="false">IF($X1099="","",INDEX('Per Line'!$J$2:$J$4001,$X1099))</f>
        <v/>
      </c>
      <c r="I1099" s="20" t="str">
        <f aca="false">IF($X1099="","",INDEX('Per Line'!$K$2:$K$4001,$X1099))</f>
        <v/>
      </c>
      <c r="J1099" s="20" t="str">
        <f aca="false">IF($X1099="","",INDEX('Per Line'!$L$2:$L$4001,$X1099))</f>
        <v/>
      </c>
      <c r="K1099" s="20" t="str">
        <f aca="false">IF($X1099="","",INDEX('Per Line'!$M$2:$M$4001,$X1099))</f>
        <v/>
      </c>
      <c r="L1099" s="22" t="str">
        <f aca="false">IF($X1099="","",K1099*V1099/100)</f>
        <v/>
      </c>
      <c r="M1099" s="20" t="str">
        <f aca="false">IF($X1099="","",INDEX('Per Line'!$Z$2:$Z$4001,$X1099))</f>
        <v/>
      </c>
      <c r="N1099" s="23" t="str">
        <f aca="false">IF($X1099="","",Settings!$C$7)</f>
        <v/>
      </c>
      <c r="O1099" s="22" t="str">
        <f aca="false">IF($X1099="","",SUMIFS('Per Line'!$Y$2:$Y$4001,'Per Line'!$D$2:$D$4001,$B1099,'Per Line'!$AJ$2:$AJ$4001,0))</f>
        <v/>
      </c>
      <c r="P1099" s="22" t="str">
        <f aca="false">IF($X1099="","",O1099*N1099)</f>
        <v/>
      </c>
      <c r="Q1099" s="23" t="str">
        <f aca="false">IF($X1099="","",Settings!$C$6)</f>
        <v/>
      </c>
      <c r="R1099" s="22" t="str">
        <f aca="false">IF($X1099="","",SUMIFS('Per Line'!$Y$2:$Y$4001,'Per Line'!$D$2:$D$4001,$B1099,'Per Line'!$AJ$2:$AJ$4001,1))</f>
        <v/>
      </c>
      <c r="S1099" s="22" t="str">
        <f aca="false">IF($X1099="","",R1099*Q1099)</f>
        <v/>
      </c>
      <c r="T1099" s="22" t="str">
        <f aca="false">IF($X1099="","",S1099+P1099)</f>
        <v/>
      </c>
      <c r="U1099" s="22" t="str">
        <f aca="false">IF($X1099="","",V1099-T1099)</f>
        <v/>
      </c>
      <c r="V1099" s="22" t="str">
        <f aca="false">IF($X1099="","",O1099+R1099)</f>
        <v/>
      </c>
      <c r="W1099" s="22" t="str">
        <f aca="false">IF($X1099="","",U1099-L1099)</f>
        <v/>
      </c>
      <c r="X1099" s="24" t="str">
        <f aca="false">IF(ROWS($X$2:$X1099)&lt;=MAX('Per Line'!$AI$2:$AI$4001),MATCH(ROWS($X$2:$X1099),'Per Line'!$AI$2:$AI$4001,0),"")</f>
        <v/>
      </c>
    </row>
    <row r="1100" customFormat="false" ht="15" hidden="false" customHeight="false" outlineLevel="0" collapsed="false">
      <c r="A1100" s="19"/>
      <c r="B1100" s="20" t="str">
        <f aca="false">IF($X1100="","",INDEX('Per Line'!$D$2:$D$4001,$X1100))</f>
        <v/>
      </c>
      <c r="C1100" s="20" t="str">
        <f aca="false">IF($X1100="","",INDEX('Per Line'!$C$2:$C$4001,$X1100))</f>
        <v/>
      </c>
      <c r="D1100" s="20" t="str">
        <f aca="false">IF($X1100="","",INDEX('Per Line'!$A$2:$A$4001,$X1100))</f>
        <v/>
      </c>
      <c r="E1100" s="21" t="str">
        <f aca="false">IF($X1100="","",INDEX('Per Line'!$F$2:$F$4001,$X1100))</f>
        <v/>
      </c>
      <c r="F1100" s="20" t="str">
        <f aca="false">IF($X1100="","",INDEX('Per Line'!$G$2:$G$4001,$X1100))</f>
        <v/>
      </c>
      <c r="G1100" s="20" t="str">
        <f aca="false">IF($X1100="","",INDEX('Per Line'!$I$2:$I$4001,$X1100))</f>
        <v/>
      </c>
      <c r="H1100" s="20" t="str">
        <f aca="false">IF($X1100="","",INDEX('Per Line'!$J$2:$J$4001,$X1100))</f>
        <v/>
      </c>
      <c r="I1100" s="20" t="str">
        <f aca="false">IF($X1100="","",INDEX('Per Line'!$K$2:$K$4001,$X1100))</f>
        <v/>
      </c>
      <c r="J1100" s="20" t="str">
        <f aca="false">IF($X1100="","",INDEX('Per Line'!$L$2:$L$4001,$X1100))</f>
        <v/>
      </c>
      <c r="K1100" s="20" t="str">
        <f aca="false">IF($X1100="","",INDEX('Per Line'!$M$2:$M$4001,$X1100))</f>
        <v/>
      </c>
      <c r="L1100" s="22" t="str">
        <f aca="false">IF($X1100="","",K1100*V1100/100)</f>
        <v/>
      </c>
      <c r="M1100" s="20" t="str">
        <f aca="false">IF($X1100="","",INDEX('Per Line'!$Z$2:$Z$4001,$X1100))</f>
        <v/>
      </c>
      <c r="N1100" s="23" t="str">
        <f aca="false">IF($X1100="","",Settings!$C$7)</f>
        <v/>
      </c>
      <c r="O1100" s="22" t="str">
        <f aca="false">IF($X1100="","",SUMIFS('Per Line'!$Y$2:$Y$4001,'Per Line'!$D$2:$D$4001,$B1100,'Per Line'!$AJ$2:$AJ$4001,0))</f>
        <v/>
      </c>
      <c r="P1100" s="22" t="str">
        <f aca="false">IF($X1100="","",O1100*N1100)</f>
        <v/>
      </c>
      <c r="Q1100" s="23" t="str">
        <f aca="false">IF($X1100="","",Settings!$C$6)</f>
        <v/>
      </c>
      <c r="R1100" s="22" t="str">
        <f aca="false">IF($X1100="","",SUMIFS('Per Line'!$Y$2:$Y$4001,'Per Line'!$D$2:$D$4001,$B1100,'Per Line'!$AJ$2:$AJ$4001,1))</f>
        <v/>
      </c>
      <c r="S1100" s="22" t="str">
        <f aca="false">IF($X1100="","",R1100*Q1100)</f>
        <v/>
      </c>
      <c r="T1100" s="22" t="str">
        <f aca="false">IF($X1100="","",S1100+P1100)</f>
        <v/>
      </c>
      <c r="U1100" s="22" t="str">
        <f aca="false">IF($X1100="","",V1100-T1100)</f>
        <v/>
      </c>
      <c r="V1100" s="22" t="str">
        <f aca="false">IF($X1100="","",O1100+R1100)</f>
        <v/>
      </c>
      <c r="W1100" s="22" t="str">
        <f aca="false">IF($X1100="","",U1100-L1100)</f>
        <v/>
      </c>
      <c r="X1100" s="24" t="str">
        <f aca="false">IF(ROWS($X$2:$X1100)&lt;=MAX('Per Line'!$AI$2:$AI$4001),MATCH(ROWS($X$2:$X1100),'Per Line'!$AI$2:$AI$4001,0),"")</f>
        <v/>
      </c>
    </row>
    <row r="1101" customFormat="false" ht="15" hidden="false" customHeight="false" outlineLevel="0" collapsed="false">
      <c r="A1101" s="19"/>
      <c r="B1101" s="20" t="str">
        <f aca="false">IF($X1101="","",INDEX('Per Line'!$D$2:$D$4001,$X1101))</f>
        <v/>
      </c>
      <c r="C1101" s="20" t="str">
        <f aca="false">IF($X1101="","",INDEX('Per Line'!$C$2:$C$4001,$X1101))</f>
        <v/>
      </c>
      <c r="D1101" s="20" t="str">
        <f aca="false">IF($X1101="","",INDEX('Per Line'!$A$2:$A$4001,$X1101))</f>
        <v/>
      </c>
      <c r="E1101" s="21" t="str">
        <f aca="false">IF($X1101="","",INDEX('Per Line'!$F$2:$F$4001,$X1101))</f>
        <v/>
      </c>
      <c r="F1101" s="20" t="str">
        <f aca="false">IF($X1101="","",INDEX('Per Line'!$G$2:$G$4001,$X1101))</f>
        <v/>
      </c>
      <c r="G1101" s="20" t="str">
        <f aca="false">IF($X1101="","",INDEX('Per Line'!$I$2:$I$4001,$X1101))</f>
        <v/>
      </c>
      <c r="H1101" s="20" t="str">
        <f aca="false">IF($X1101="","",INDEX('Per Line'!$J$2:$J$4001,$X1101))</f>
        <v/>
      </c>
      <c r="I1101" s="20" t="str">
        <f aca="false">IF($X1101="","",INDEX('Per Line'!$K$2:$K$4001,$X1101))</f>
        <v/>
      </c>
      <c r="J1101" s="20" t="str">
        <f aca="false">IF($X1101="","",INDEX('Per Line'!$L$2:$L$4001,$X1101))</f>
        <v/>
      </c>
      <c r="K1101" s="20" t="str">
        <f aca="false">IF($X1101="","",INDEX('Per Line'!$M$2:$M$4001,$X1101))</f>
        <v/>
      </c>
      <c r="L1101" s="22" t="str">
        <f aca="false">IF($X1101="","",K1101*V1101/100)</f>
        <v/>
      </c>
      <c r="M1101" s="20" t="str">
        <f aca="false">IF($X1101="","",INDEX('Per Line'!$Z$2:$Z$4001,$X1101))</f>
        <v/>
      </c>
      <c r="N1101" s="23" t="str">
        <f aca="false">IF($X1101="","",Settings!$C$7)</f>
        <v/>
      </c>
      <c r="O1101" s="22" t="str">
        <f aca="false">IF($X1101="","",SUMIFS('Per Line'!$Y$2:$Y$4001,'Per Line'!$D$2:$D$4001,$B1101,'Per Line'!$AJ$2:$AJ$4001,0))</f>
        <v/>
      </c>
      <c r="P1101" s="22" t="str">
        <f aca="false">IF($X1101="","",O1101*N1101)</f>
        <v/>
      </c>
      <c r="Q1101" s="23" t="str">
        <f aca="false">IF($X1101="","",Settings!$C$6)</f>
        <v/>
      </c>
      <c r="R1101" s="22" t="str">
        <f aca="false">IF($X1101="","",SUMIFS('Per Line'!$Y$2:$Y$4001,'Per Line'!$D$2:$D$4001,$B1101,'Per Line'!$AJ$2:$AJ$4001,1))</f>
        <v/>
      </c>
      <c r="S1101" s="22" t="str">
        <f aca="false">IF($X1101="","",R1101*Q1101)</f>
        <v/>
      </c>
      <c r="T1101" s="22" t="str">
        <f aca="false">IF($X1101="","",S1101+P1101)</f>
        <v/>
      </c>
      <c r="U1101" s="22" t="str">
        <f aca="false">IF($X1101="","",V1101-T1101)</f>
        <v/>
      </c>
      <c r="V1101" s="22" t="str">
        <f aca="false">IF($X1101="","",O1101+R1101)</f>
        <v/>
      </c>
      <c r="W1101" s="22" t="str">
        <f aca="false">IF($X1101="","",U1101-L1101)</f>
        <v/>
      </c>
      <c r="X1101" s="24" t="str">
        <f aca="false">IF(ROWS($X$2:$X1101)&lt;=MAX('Per Line'!$AI$2:$AI$4001),MATCH(ROWS($X$2:$X1101),'Per Line'!$AI$2:$AI$4001,0),"")</f>
        <v/>
      </c>
    </row>
    <row r="1102" customFormat="false" ht="15" hidden="false" customHeight="false" outlineLevel="0" collapsed="false">
      <c r="A1102" s="19"/>
      <c r="B1102" s="20" t="str">
        <f aca="false">IF($X1102="","",INDEX('Per Line'!$D$2:$D$4001,$X1102))</f>
        <v/>
      </c>
      <c r="C1102" s="20" t="str">
        <f aca="false">IF($X1102="","",INDEX('Per Line'!$C$2:$C$4001,$X1102))</f>
        <v/>
      </c>
      <c r="D1102" s="20" t="str">
        <f aca="false">IF($X1102="","",INDEX('Per Line'!$A$2:$A$4001,$X1102))</f>
        <v/>
      </c>
      <c r="E1102" s="21" t="str">
        <f aca="false">IF($X1102="","",INDEX('Per Line'!$F$2:$F$4001,$X1102))</f>
        <v/>
      </c>
      <c r="F1102" s="20" t="str">
        <f aca="false">IF($X1102="","",INDEX('Per Line'!$G$2:$G$4001,$X1102))</f>
        <v/>
      </c>
      <c r="G1102" s="20" t="str">
        <f aca="false">IF($X1102="","",INDEX('Per Line'!$I$2:$I$4001,$X1102))</f>
        <v/>
      </c>
      <c r="H1102" s="20" t="str">
        <f aca="false">IF($X1102="","",INDEX('Per Line'!$J$2:$J$4001,$X1102))</f>
        <v/>
      </c>
      <c r="I1102" s="20" t="str">
        <f aca="false">IF($X1102="","",INDEX('Per Line'!$K$2:$K$4001,$X1102))</f>
        <v/>
      </c>
      <c r="J1102" s="20" t="str">
        <f aca="false">IF($X1102="","",INDEX('Per Line'!$L$2:$L$4001,$X1102))</f>
        <v/>
      </c>
      <c r="K1102" s="20" t="str">
        <f aca="false">IF($X1102="","",INDEX('Per Line'!$M$2:$M$4001,$X1102))</f>
        <v/>
      </c>
      <c r="L1102" s="22" t="str">
        <f aca="false">IF($X1102="","",K1102*V1102/100)</f>
        <v/>
      </c>
      <c r="M1102" s="20" t="str">
        <f aca="false">IF($X1102="","",INDEX('Per Line'!$Z$2:$Z$4001,$X1102))</f>
        <v/>
      </c>
      <c r="N1102" s="23" t="str">
        <f aca="false">IF($X1102="","",Settings!$C$7)</f>
        <v/>
      </c>
      <c r="O1102" s="22" t="str">
        <f aca="false">IF($X1102="","",SUMIFS('Per Line'!$Y$2:$Y$4001,'Per Line'!$D$2:$D$4001,$B1102,'Per Line'!$AJ$2:$AJ$4001,0))</f>
        <v/>
      </c>
      <c r="P1102" s="22" t="str">
        <f aca="false">IF($X1102="","",O1102*N1102)</f>
        <v/>
      </c>
      <c r="Q1102" s="23" t="str">
        <f aca="false">IF($X1102="","",Settings!$C$6)</f>
        <v/>
      </c>
      <c r="R1102" s="22" t="str">
        <f aca="false">IF($X1102="","",SUMIFS('Per Line'!$Y$2:$Y$4001,'Per Line'!$D$2:$D$4001,$B1102,'Per Line'!$AJ$2:$AJ$4001,1))</f>
        <v/>
      </c>
      <c r="S1102" s="22" t="str">
        <f aca="false">IF($X1102="","",R1102*Q1102)</f>
        <v/>
      </c>
      <c r="T1102" s="22" t="str">
        <f aca="false">IF($X1102="","",S1102+P1102)</f>
        <v/>
      </c>
      <c r="U1102" s="22" t="str">
        <f aca="false">IF($X1102="","",V1102-T1102)</f>
        <v/>
      </c>
      <c r="V1102" s="22" t="str">
        <f aca="false">IF($X1102="","",O1102+R1102)</f>
        <v/>
      </c>
      <c r="W1102" s="22" t="str">
        <f aca="false">IF($X1102="","",U1102-L1102)</f>
        <v/>
      </c>
      <c r="X1102" s="24" t="str">
        <f aca="false">IF(ROWS($X$2:$X1102)&lt;=MAX('Per Line'!$AI$2:$AI$4001),MATCH(ROWS($X$2:$X1102),'Per Line'!$AI$2:$AI$4001,0),"")</f>
        <v/>
      </c>
    </row>
    <row r="1103" customFormat="false" ht="15" hidden="false" customHeight="false" outlineLevel="0" collapsed="false">
      <c r="A1103" s="19"/>
      <c r="B1103" s="20" t="str">
        <f aca="false">IF($X1103="","",INDEX('Per Line'!$D$2:$D$4001,$X1103))</f>
        <v/>
      </c>
      <c r="C1103" s="20" t="str">
        <f aca="false">IF($X1103="","",INDEX('Per Line'!$C$2:$C$4001,$X1103))</f>
        <v/>
      </c>
      <c r="D1103" s="20" t="str">
        <f aca="false">IF($X1103="","",INDEX('Per Line'!$A$2:$A$4001,$X1103))</f>
        <v/>
      </c>
      <c r="E1103" s="21" t="str">
        <f aca="false">IF($X1103="","",INDEX('Per Line'!$F$2:$F$4001,$X1103))</f>
        <v/>
      </c>
      <c r="F1103" s="20" t="str">
        <f aca="false">IF($X1103="","",INDEX('Per Line'!$G$2:$G$4001,$X1103))</f>
        <v/>
      </c>
      <c r="G1103" s="20" t="str">
        <f aca="false">IF($X1103="","",INDEX('Per Line'!$I$2:$I$4001,$X1103))</f>
        <v/>
      </c>
      <c r="H1103" s="20" t="str">
        <f aca="false">IF($X1103="","",INDEX('Per Line'!$J$2:$J$4001,$X1103))</f>
        <v/>
      </c>
      <c r="I1103" s="20" t="str">
        <f aca="false">IF($X1103="","",INDEX('Per Line'!$K$2:$K$4001,$X1103))</f>
        <v/>
      </c>
      <c r="J1103" s="20" t="str">
        <f aca="false">IF($X1103="","",INDEX('Per Line'!$L$2:$L$4001,$X1103))</f>
        <v/>
      </c>
      <c r="K1103" s="20" t="str">
        <f aca="false">IF($X1103="","",INDEX('Per Line'!$M$2:$M$4001,$X1103))</f>
        <v/>
      </c>
      <c r="L1103" s="22" t="str">
        <f aca="false">IF($X1103="","",K1103*V1103/100)</f>
        <v/>
      </c>
      <c r="M1103" s="20" t="str">
        <f aca="false">IF($X1103="","",INDEX('Per Line'!$Z$2:$Z$4001,$X1103))</f>
        <v/>
      </c>
      <c r="N1103" s="23" t="str">
        <f aca="false">IF($X1103="","",Settings!$C$7)</f>
        <v/>
      </c>
      <c r="O1103" s="22" t="str">
        <f aca="false">IF($X1103="","",SUMIFS('Per Line'!$Y$2:$Y$4001,'Per Line'!$D$2:$D$4001,$B1103,'Per Line'!$AJ$2:$AJ$4001,0))</f>
        <v/>
      </c>
      <c r="P1103" s="22" t="str">
        <f aca="false">IF($X1103="","",O1103*N1103)</f>
        <v/>
      </c>
      <c r="Q1103" s="23" t="str">
        <f aca="false">IF($X1103="","",Settings!$C$6)</f>
        <v/>
      </c>
      <c r="R1103" s="22" t="str">
        <f aca="false">IF($X1103="","",SUMIFS('Per Line'!$Y$2:$Y$4001,'Per Line'!$D$2:$D$4001,$B1103,'Per Line'!$AJ$2:$AJ$4001,1))</f>
        <v/>
      </c>
      <c r="S1103" s="22" t="str">
        <f aca="false">IF($X1103="","",R1103*Q1103)</f>
        <v/>
      </c>
      <c r="T1103" s="22" t="str">
        <f aca="false">IF($X1103="","",S1103+P1103)</f>
        <v/>
      </c>
      <c r="U1103" s="22" t="str">
        <f aca="false">IF($X1103="","",V1103-T1103)</f>
        <v/>
      </c>
      <c r="V1103" s="22" t="str">
        <f aca="false">IF($X1103="","",O1103+R1103)</f>
        <v/>
      </c>
      <c r="W1103" s="22" t="str">
        <f aca="false">IF($X1103="","",U1103-L1103)</f>
        <v/>
      </c>
      <c r="X1103" s="24" t="str">
        <f aca="false">IF(ROWS($X$2:$X1103)&lt;=MAX('Per Line'!$AI$2:$AI$4001),MATCH(ROWS($X$2:$X1103),'Per Line'!$AI$2:$AI$4001,0),"")</f>
        <v/>
      </c>
    </row>
    <row r="1104" customFormat="false" ht="15" hidden="false" customHeight="false" outlineLevel="0" collapsed="false">
      <c r="A1104" s="19"/>
      <c r="B1104" s="20" t="str">
        <f aca="false">IF($X1104="","",INDEX('Per Line'!$D$2:$D$4001,$X1104))</f>
        <v/>
      </c>
      <c r="C1104" s="20" t="str">
        <f aca="false">IF($X1104="","",INDEX('Per Line'!$C$2:$C$4001,$X1104))</f>
        <v/>
      </c>
      <c r="D1104" s="20" t="str">
        <f aca="false">IF($X1104="","",INDEX('Per Line'!$A$2:$A$4001,$X1104))</f>
        <v/>
      </c>
      <c r="E1104" s="21" t="str">
        <f aca="false">IF($X1104="","",INDEX('Per Line'!$F$2:$F$4001,$X1104))</f>
        <v/>
      </c>
      <c r="F1104" s="20" t="str">
        <f aca="false">IF($X1104="","",INDEX('Per Line'!$G$2:$G$4001,$X1104))</f>
        <v/>
      </c>
      <c r="G1104" s="20" t="str">
        <f aca="false">IF($X1104="","",INDEX('Per Line'!$I$2:$I$4001,$X1104))</f>
        <v/>
      </c>
      <c r="H1104" s="20" t="str">
        <f aca="false">IF($X1104="","",INDEX('Per Line'!$J$2:$J$4001,$X1104))</f>
        <v/>
      </c>
      <c r="I1104" s="20" t="str">
        <f aca="false">IF($X1104="","",INDEX('Per Line'!$K$2:$K$4001,$X1104))</f>
        <v/>
      </c>
      <c r="J1104" s="20" t="str">
        <f aca="false">IF($X1104="","",INDEX('Per Line'!$L$2:$L$4001,$X1104))</f>
        <v/>
      </c>
      <c r="K1104" s="20" t="str">
        <f aca="false">IF($X1104="","",INDEX('Per Line'!$M$2:$M$4001,$X1104))</f>
        <v/>
      </c>
      <c r="L1104" s="22" t="str">
        <f aca="false">IF($X1104="","",K1104*V1104/100)</f>
        <v/>
      </c>
      <c r="M1104" s="20" t="str">
        <f aca="false">IF($X1104="","",INDEX('Per Line'!$Z$2:$Z$4001,$X1104))</f>
        <v/>
      </c>
      <c r="N1104" s="23" t="str">
        <f aca="false">IF($X1104="","",Settings!$C$7)</f>
        <v/>
      </c>
      <c r="O1104" s="22" t="str">
        <f aca="false">IF($X1104="","",SUMIFS('Per Line'!$Y$2:$Y$4001,'Per Line'!$D$2:$D$4001,$B1104,'Per Line'!$AJ$2:$AJ$4001,0))</f>
        <v/>
      </c>
      <c r="P1104" s="22" t="str">
        <f aca="false">IF($X1104="","",O1104*N1104)</f>
        <v/>
      </c>
      <c r="Q1104" s="23" t="str">
        <f aca="false">IF($X1104="","",Settings!$C$6)</f>
        <v/>
      </c>
      <c r="R1104" s="22" t="str">
        <f aca="false">IF($X1104="","",SUMIFS('Per Line'!$Y$2:$Y$4001,'Per Line'!$D$2:$D$4001,$B1104,'Per Line'!$AJ$2:$AJ$4001,1))</f>
        <v/>
      </c>
      <c r="S1104" s="22" t="str">
        <f aca="false">IF($X1104="","",R1104*Q1104)</f>
        <v/>
      </c>
      <c r="T1104" s="22" t="str">
        <f aca="false">IF($X1104="","",S1104+P1104)</f>
        <v/>
      </c>
      <c r="U1104" s="22" t="str">
        <f aca="false">IF($X1104="","",V1104-T1104)</f>
        <v/>
      </c>
      <c r="V1104" s="22" t="str">
        <f aca="false">IF($X1104="","",O1104+R1104)</f>
        <v/>
      </c>
      <c r="W1104" s="22" t="str">
        <f aca="false">IF($X1104="","",U1104-L1104)</f>
        <v/>
      </c>
      <c r="X1104" s="24" t="str">
        <f aca="false">IF(ROWS($X$2:$X1104)&lt;=MAX('Per Line'!$AI$2:$AI$4001),MATCH(ROWS($X$2:$X1104),'Per Line'!$AI$2:$AI$4001,0),"")</f>
        <v/>
      </c>
    </row>
    <row r="1105" customFormat="false" ht="15" hidden="false" customHeight="false" outlineLevel="0" collapsed="false">
      <c r="A1105" s="19"/>
      <c r="B1105" s="20" t="str">
        <f aca="false">IF($X1105="","",INDEX('Per Line'!$D$2:$D$4001,$X1105))</f>
        <v/>
      </c>
      <c r="C1105" s="20" t="str">
        <f aca="false">IF($X1105="","",INDEX('Per Line'!$C$2:$C$4001,$X1105))</f>
        <v/>
      </c>
      <c r="D1105" s="20" t="str">
        <f aca="false">IF($X1105="","",INDEX('Per Line'!$A$2:$A$4001,$X1105))</f>
        <v/>
      </c>
      <c r="E1105" s="21" t="str">
        <f aca="false">IF($X1105="","",INDEX('Per Line'!$F$2:$F$4001,$X1105))</f>
        <v/>
      </c>
      <c r="F1105" s="20" t="str">
        <f aca="false">IF($X1105="","",INDEX('Per Line'!$G$2:$G$4001,$X1105))</f>
        <v/>
      </c>
      <c r="G1105" s="20" t="str">
        <f aca="false">IF($X1105="","",INDEX('Per Line'!$I$2:$I$4001,$X1105))</f>
        <v/>
      </c>
      <c r="H1105" s="20" t="str">
        <f aca="false">IF($X1105="","",INDEX('Per Line'!$J$2:$J$4001,$X1105))</f>
        <v/>
      </c>
      <c r="I1105" s="20" t="str">
        <f aca="false">IF($X1105="","",INDEX('Per Line'!$K$2:$K$4001,$X1105))</f>
        <v/>
      </c>
      <c r="J1105" s="20" t="str">
        <f aca="false">IF($X1105="","",INDEX('Per Line'!$L$2:$L$4001,$X1105))</f>
        <v/>
      </c>
      <c r="K1105" s="20" t="str">
        <f aca="false">IF($X1105="","",INDEX('Per Line'!$M$2:$M$4001,$X1105))</f>
        <v/>
      </c>
      <c r="L1105" s="22" t="str">
        <f aca="false">IF($X1105="","",K1105*V1105/100)</f>
        <v/>
      </c>
      <c r="M1105" s="20" t="str">
        <f aca="false">IF($X1105="","",INDEX('Per Line'!$Z$2:$Z$4001,$X1105))</f>
        <v/>
      </c>
      <c r="N1105" s="23" t="str">
        <f aca="false">IF($X1105="","",Settings!$C$7)</f>
        <v/>
      </c>
      <c r="O1105" s="22" t="str">
        <f aca="false">IF($X1105="","",SUMIFS('Per Line'!$Y$2:$Y$4001,'Per Line'!$D$2:$D$4001,$B1105,'Per Line'!$AJ$2:$AJ$4001,0))</f>
        <v/>
      </c>
      <c r="P1105" s="22" t="str">
        <f aca="false">IF($X1105="","",O1105*N1105)</f>
        <v/>
      </c>
      <c r="Q1105" s="23" t="str">
        <f aca="false">IF($X1105="","",Settings!$C$6)</f>
        <v/>
      </c>
      <c r="R1105" s="22" t="str">
        <f aca="false">IF($X1105="","",SUMIFS('Per Line'!$Y$2:$Y$4001,'Per Line'!$D$2:$D$4001,$B1105,'Per Line'!$AJ$2:$AJ$4001,1))</f>
        <v/>
      </c>
      <c r="S1105" s="22" t="str">
        <f aca="false">IF($X1105="","",R1105*Q1105)</f>
        <v/>
      </c>
      <c r="T1105" s="22" t="str">
        <f aca="false">IF($X1105="","",S1105+P1105)</f>
        <v/>
      </c>
      <c r="U1105" s="22" t="str">
        <f aca="false">IF($X1105="","",V1105-T1105)</f>
        <v/>
      </c>
      <c r="V1105" s="22" t="str">
        <f aca="false">IF($X1105="","",O1105+R1105)</f>
        <v/>
      </c>
      <c r="W1105" s="22" t="str">
        <f aca="false">IF($X1105="","",U1105-L1105)</f>
        <v/>
      </c>
      <c r="X1105" s="24" t="str">
        <f aca="false">IF(ROWS($X$2:$X1105)&lt;=MAX('Per Line'!$AI$2:$AI$4001),MATCH(ROWS($X$2:$X1105),'Per Line'!$AI$2:$AI$4001,0),"")</f>
        <v/>
      </c>
    </row>
    <row r="1106" customFormat="false" ht="15" hidden="false" customHeight="false" outlineLevel="0" collapsed="false">
      <c r="A1106" s="19"/>
      <c r="B1106" s="20" t="str">
        <f aca="false">IF($X1106="","",INDEX('Per Line'!$D$2:$D$4001,$X1106))</f>
        <v/>
      </c>
      <c r="C1106" s="20" t="str">
        <f aca="false">IF($X1106="","",INDEX('Per Line'!$C$2:$C$4001,$X1106))</f>
        <v/>
      </c>
      <c r="D1106" s="20" t="str">
        <f aca="false">IF($X1106="","",INDEX('Per Line'!$A$2:$A$4001,$X1106))</f>
        <v/>
      </c>
      <c r="E1106" s="21" t="str">
        <f aca="false">IF($X1106="","",INDEX('Per Line'!$F$2:$F$4001,$X1106))</f>
        <v/>
      </c>
      <c r="F1106" s="20" t="str">
        <f aca="false">IF($X1106="","",INDEX('Per Line'!$G$2:$G$4001,$X1106))</f>
        <v/>
      </c>
      <c r="G1106" s="20" t="str">
        <f aca="false">IF($X1106="","",INDEX('Per Line'!$I$2:$I$4001,$X1106))</f>
        <v/>
      </c>
      <c r="H1106" s="20" t="str">
        <f aca="false">IF($X1106="","",INDEX('Per Line'!$J$2:$J$4001,$X1106))</f>
        <v/>
      </c>
      <c r="I1106" s="20" t="str">
        <f aca="false">IF($X1106="","",INDEX('Per Line'!$K$2:$K$4001,$X1106))</f>
        <v/>
      </c>
      <c r="J1106" s="20" t="str">
        <f aca="false">IF($X1106="","",INDEX('Per Line'!$L$2:$L$4001,$X1106))</f>
        <v/>
      </c>
      <c r="K1106" s="20" t="str">
        <f aca="false">IF($X1106="","",INDEX('Per Line'!$M$2:$M$4001,$X1106))</f>
        <v/>
      </c>
      <c r="L1106" s="22" t="str">
        <f aca="false">IF($X1106="","",K1106*V1106/100)</f>
        <v/>
      </c>
      <c r="M1106" s="20" t="str">
        <f aca="false">IF($X1106="","",INDEX('Per Line'!$Z$2:$Z$4001,$X1106))</f>
        <v/>
      </c>
      <c r="N1106" s="23" t="str">
        <f aca="false">IF($X1106="","",Settings!$C$7)</f>
        <v/>
      </c>
      <c r="O1106" s="22" t="str">
        <f aca="false">IF($X1106="","",SUMIFS('Per Line'!$Y$2:$Y$4001,'Per Line'!$D$2:$D$4001,$B1106,'Per Line'!$AJ$2:$AJ$4001,0))</f>
        <v/>
      </c>
      <c r="P1106" s="22" t="str">
        <f aca="false">IF($X1106="","",O1106*N1106)</f>
        <v/>
      </c>
      <c r="Q1106" s="23" t="str">
        <f aca="false">IF($X1106="","",Settings!$C$6)</f>
        <v/>
      </c>
      <c r="R1106" s="22" t="str">
        <f aca="false">IF($X1106="","",SUMIFS('Per Line'!$Y$2:$Y$4001,'Per Line'!$D$2:$D$4001,$B1106,'Per Line'!$AJ$2:$AJ$4001,1))</f>
        <v/>
      </c>
      <c r="S1106" s="22" t="str">
        <f aca="false">IF($X1106="","",R1106*Q1106)</f>
        <v/>
      </c>
      <c r="T1106" s="22" t="str">
        <f aca="false">IF($X1106="","",S1106+P1106)</f>
        <v/>
      </c>
      <c r="U1106" s="22" t="str">
        <f aca="false">IF($X1106="","",V1106-T1106)</f>
        <v/>
      </c>
      <c r="V1106" s="22" t="str">
        <f aca="false">IF($X1106="","",O1106+R1106)</f>
        <v/>
      </c>
      <c r="W1106" s="22" t="str">
        <f aca="false">IF($X1106="","",U1106-L1106)</f>
        <v/>
      </c>
      <c r="X1106" s="24" t="str">
        <f aca="false">IF(ROWS($X$2:$X1106)&lt;=MAX('Per Line'!$AI$2:$AI$4001),MATCH(ROWS($X$2:$X1106),'Per Line'!$AI$2:$AI$4001,0),"")</f>
        <v/>
      </c>
    </row>
    <row r="1107" customFormat="false" ht="15" hidden="false" customHeight="false" outlineLevel="0" collapsed="false">
      <c r="A1107" s="19"/>
      <c r="B1107" s="20" t="str">
        <f aca="false">IF($X1107="","",INDEX('Per Line'!$D$2:$D$4001,$X1107))</f>
        <v/>
      </c>
      <c r="C1107" s="20" t="str">
        <f aca="false">IF($X1107="","",INDEX('Per Line'!$C$2:$C$4001,$X1107))</f>
        <v/>
      </c>
      <c r="D1107" s="20" t="str">
        <f aca="false">IF($X1107="","",INDEX('Per Line'!$A$2:$A$4001,$X1107))</f>
        <v/>
      </c>
      <c r="E1107" s="21" t="str">
        <f aca="false">IF($X1107="","",INDEX('Per Line'!$F$2:$F$4001,$X1107))</f>
        <v/>
      </c>
      <c r="F1107" s="20" t="str">
        <f aca="false">IF($X1107="","",INDEX('Per Line'!$G$2:$G$4001,$X1107))</f>
        <v/>
      </c>
      <c r="G1107" s="20" t="str">
        <f aca="false">IF($X1107="","",INDEX('Per Line'!$I$2:$I$4001,$X1107))</f>
        <v/>
      </c>
      <c r="H1107" s="20" t="str">
        <f aca="false">IF($X1107="","",INDEX('Per Line'!$J$2:$J$4001,$X1107))</f>
        <v/>
      </c>
      <c r="I1107" s="20" t="str">
        <f aca="false">IF($X1107="","",INDEX('Per Line'!$K$2:$K$4001,$X1107))</f>
        <v/>
      </c>
      <c r="J1107" s="20" t="str">
        <f aca="false">IF($X1107="","",INDEX('Per Line'!$L$2:$L$4001,$X1107))</f>
        <v/>
      </c>
      <c r="K1107" s="20" t="str">
        <f aca="false">IF($X1107="","",INDEX('Per Line'!$M$2:$M$4001,$X1107))</f>
        <v/>
      </c>
      <c r="L1107" s="22" t="str">
        <f aca="false">IF($X1107="","",K1107*V1107/100)</f>
        <v/>
      </c>
      <c r="M1107" s="20" t="str">
        <f aca="false">IF($X1107="","",INDEX('Per Line'!$Z$2:$Z$4001,$X1107))</f>
        <v/>
      </c>
      <c r="N1107" s="23" t="str">
        <f aca="false">IF($X1107="","",Settings!$C$7)</f>
        <v/>
      </c>
      <c r="O1107" s="22" t="str">
        <f aca="false">IF($X1107="","",SUMIFS('Per Line'!$Y$2:$Y$4001,'Per Line'!$D$2:$D$4001,$B1107,'Per Line'!$AJ$2:$AJ$4001,0))</f>
        <v/>
      </c>
      <c r="P1107" s="22" t="str">
        <f aca="false">IF($X1107="","",O1107*N1107)</f>
        <v/>
      </c>
      <c r="Q1107" s="23" t="str">
        <f aca="false">IF($X1107="","",Settings!$C$6)</f>
        <v/>
      </c>
      <c r="R1107" s="22" t="str">
        <f aca="false">IF($X1107="","",SUMIFS('Per Line'!$Y$2:$Y$4001,'Per Line'!$D$2:$D$4001,$B1107,'Per Line'!$AJ$2:$AJ$4001,1))</f>
        <v/>
      </c>
      <c r="S1107" s="22" t="str">
        <f aca="false">IF($X1107="","",R1107*Q1107)</f>
        <v/>
      </c>
      <c r="T1107" s="22" t="str">
        <f aca="false">IF($X1107="","",S1107+P1107)</f>
        <v/>
      </c>
      <c r="U1107" s="22" t="str">
        <f aca="false">IF($X1107="","",V1107-T1107)</f>
        <v/>
      </c>
      <c r="V1107" s="22" t="str">
        <f aca="false">IF($X1107="","",O1107+R1107)</f>
        <v/>
      </c>
      <c r="W1107" s="22" t="str">
        <f aca="false">IF($X1107="","",U1107-L1107)</f>
        <v/>
      </c>
      <c r="X1107" s="24" t="str">
        <f aca="false">IF(ROWS($X$2:$X1107)&lt;=MAX('Per Line'!$AI$2:$AI$4001),MATCH(ROWS($X$2:$X1107),'Per Line'!$AI$2:$AI$4001,0),"")</f>
        <v/>
      </c>
    </row>
    <row r="1108" customFormat="false" ht="15" hidden="false" customHeight="false" outlineLevel="0" collapsed="false">
      <c r="A1108" s="19"/>
      <c r="B1108" s="20" t="str">
        <f aca="false">IF($X1108="","",INDEX('Per Line'!$D$2:$D$4001,$X1108))</f>
        <v/>
      </c>
      <c r="C1108" s="20" t="str">
        <f aca="false">IF($X1108="","",INDEX('Per Line'!$C$2:$C$4001,$X1108))</f>
        <v/>
      </c>
      <c r="D1108" s="20" t="str">
        <f aca="false">IF($X1108="","",INDEX('Per Line'!$A$2:$A$4001,$X1108))</f>
        <v/>
      </c>
      <c r="E1108" s="21" t="str">
        <f aca="false">IF($X1108="","",INDEX('Per Line'!$F$2:$F$4001,$X1108))</f>
        <v/>
      </c>
      <c r="F1108" s="20" t="str">
        <f aca="false">IF($X1108="","",INDEX('Per Line'!$G$2:$G$4001,$X1108))</f>
        <v/>
      </c>
      <c r="G1108" s="20" t="str">
        <f aca="false">IF($X1108="","",INDEX('Per Line'!$I$2:$I$4001,$X1108))</f>
        <v/>
      </c>
      <c r="H1108" s="20" t="str">
        <f aca="false">IF($X1108="","",INDEX('Per Line'!$J$2:$J$4001,$X1108))</f>
        <v/>
      </c>
      <c r="I1108" s="20" t="str">
        <f aca="false">IF($X1108="","",INDEX('Per Line'!$K$2:$K$4001,$X1108))</f>
        <v/>
      </c>
      <c r="J1108" s="20" t="str">
        <f aca="false">IF($X1108="","",INDEX('Per Line'!$L$2:$L$4001,$X1108))</f>
        <v/>
      </c>
      <c r="K1108" s="20" t="str">
        <f aca="false">IF($X1108="","",INDEX('Per Line'!$M$2:$M$4001,$X1108))</f>
        <v/>
      </c>
      <c r="L1108" s="22" t="str">
        <f aca="false">IF($X1108="","",K1108*V1108/100)</f>
        <v/>
      </c>
      <c r="M1108" s="20" t="str">
        <f aca="false">IF($X1108="","",INDEX('Per Line'!$Z$2:$Z$4001,$X1108))</f>
        <v/>
      </c>
      <c r="N1108" s="23" t="str">
        <f aca="false">IF($X1108="","",Settings!$C$7)</f>
        <v/>
      </c>
      <c r="O1108" s="22" t="str">
        <f aca="false">IF($X1108="","",SUMIFS('Per Line'!$Y$2:$Y$4001,'Per Line'!$D$2:$D$4001,$B1108,'Per Line'!$AJ$2:$AJ$4001,0))</f>
        <v/>
      </c>
      <c r="P1108" s="22" t="str">
        <f aca="false">IF($X1108="","",O1108*N1108)</f>
        <v/>
      </c>
      <c r="Q1108" s="23" t="str">
        <f aca="false">IF($X1108="","",Settings!$C$6)</f>
        <v/>
      </c>
      <c r="R1108" s="22" t="str">
        <f aca="false">IF($X1108="","",SUMIFS('Per Line'!$Y$2:$Y$4001,'Per Line'!$D$2:$D$4001,$B1108,'Per Line'!$AJ$2:$AJ$4001,1))</f>
        <v/>
      </c>
      <c r="S1108" s="22" t="str">
        <f aca="false">IF($X1108="","",R1108*Q1108)</f>
        <v/>
      </c>
      <c r="T1108" s="22" t="str">
        <f aca="false">IF($X1108="","",S1108+P1108)</f>
        <v/>
      </c>
      <c r="U1108" s="22" t="str">
        <f aca="false">IF($X1108="","",V1108-T1108)</f>
        <v/>
      </c>
      <c r="V1108" s="22" t="str">
        <f aca="false">IF($X1108="","",O1108+R1108)</f>
        <v/>
      </c>
      <c r="W1108" s="22" t="str">
        <f aca="false">IF($X1108="","",U1108-L1108)</f>
        <v/>
      </c>
      <c r="X1108" s="24" t="str">
        <f aca="false">IF(ROWS($X$2:$X1108)&lt;=MAX('Per Line'!$AI$2:$AI$4001),MATCH(ROWS($X$2:$X1108),'Per Line'!$AI$2:$AI$4001,0),"")</f>
        <v/>
      </c>
    </row>
    <row r="1109" customFormat="false" ht="15" hidden="false" customHeight="false" outlineLevel="0" collapsed="false">
      <c r="A1109" s="19"/>
      <c r="B1109" s="20" t="str">
        <f aca="false">IF($X1109="","",INDEX('Per Line'!$D$2:$D$4001,$X1109))</f>
        <v/>
      </c>
      <c r="C1109" s="20" t="str">
        <f aca="false">IF($X1109="","",INDEX('Per Line'!$C$2:$C$4001,$X1109))</f>
        <v/>
      </c>
      <c r="D1109" s="20" t="str">
        <f aca="false">IF($X1109="","",INDEX('Per Line'!$A$2:$A$4001,$X1109))</f>
        <v/>
      </c>
      <c r="E1109" s="21" t="str">
        <f aca="false">IF($X1109="","",INDEX('Per Line'!$F$2:$F$4001,$X1109))</f>
        <v/>
      </c>
      <c r="F1109" s="20" t="str">
        <f aca="false">IF($X1109="","",INDEX('Per Line'!$G$2:$G$4001,$X1109))</f>
        <v/>
      </c>
      <c r="G1109" s="20" t="str">
        <f aca="false">IF($X1109="","",INDEX('Per Line'!$I$2:$I$4001,$X1109))</f>
        <v/>
      </c>
      <c r="H1109" s="20" t="str">
        <f aca="false">IF($X1109="","",INDEX('Per Line'!$J$2:$J$4001,$X1109))</f>
        <v/>
      </c>
      <c r="I1109" s="20" t="str">
        <f aca="false">IF($X1109="","",INDEX('Per Line'!$K$2:$K$4001,$X1109))</f>
        <v/>
      </c>
      <c r="J1109" s="20" t="str">
        <f aca="false">IF($X1109="","",INDEX('Per Line'!$L$2:$L$4001,$X1109))</f>
        <v/>
      </c>
      <c r="K1109" s="20" t="str">
        <f aca="false">IF($X1109="","",INDEX('Per Line'!$M$2:$M$4001,$X1109))</f>
        <v/>
      </c>
      <c r="L1109" s="22" t="str">
        <f aca="false">IF($X1109="","",K1109*V1109/100)</f>
        <v/>
      </c>
      <c r="M1109" s="20" t="str">
        <f aca="false">IF($X1109="","",INDEX('Per Line'!$Z$2:$Z$4001,$X1109))</f>
        <v/>
      </c>
      <c r="N1109" s="23" t="str">
        <f aca="false">IF($X1109="","",Settings!$C$7)</f>
        <v/>
      </c>
      <c r="O1109" s="22" t="str">
        <f aca="false">IF($X1109="","",SUMIFS('Per Line'!$Y$2:$Y$4001,'Per Line'!$D$2:$D$4001,$B1109,'Per Line'!$AJ$2:$AJ$4001,0))</f>
        <v/>
      </c>
      <c r="P1109" s="22" t="str">
        <f aca="false">IF($X1109="","",O1109*N1109)</f>
        <v/>
      </c>
      <c r="Q1109" s="23" t="str">
        <f aca="false">IF($X1109="","",Settings!$C$6)</f>
        <v/>
      </c>
      <c r="R1109" s="22" t="str">
        <f aca="false">IF($X1109="","",SUMIFS('Per Line'!$Y$2:$Y$4001,'Per Line'!$D$2:$D$4001,$B1109,'Per Line'!$AJ$2:$AJ$4001,1))</f>
        <v/>
      </c>
      <c r="S1109" s="22" t="str">
        <f aca="false">IF($X1109="","",R1109*Q1109)</f>
        <v/>
      </c>
      <c r="T1109" s="22" t="str">
        <f aca="false">IF($X1109="","",S1109+P1109)</f>
        <v/>
      </c>
      <c r="U1109" s="22" t="str">
        <f aca="false">IF($X1109="","",V1109-T1109)</f>
        <v/>
      </c>
      <c r="V1109" s="22" t="str">
        <f aca="false">IF($X1109="","",O1109+R1109)</f>
        <v/>
      </c>
      <c r="W1109" s="22" t="str">
        <f aca="false">IF($X1109="","",U1109-L1109)</f>
        <v/>
      </c>
      <c r="X1109" s="24" t="str">
        <f aca="false">IF(ROWS($X$2:$X1109)&lt;=MAX('Per Line'!$AI$2:$AI$4001),MATCH(ROWS($X$2:$X1109),'Per Line'!$AI$2:$AI$4001,0),"")</f>
        <v/>
      </c>
    </row>
    <row r="1110" customFormat="false" ht="15" hidden="false" customHeight="false" outlineLevel="0" collapsed="false">
      <c r="A1110" s="19"/>
      <c r="B1110" s="20" t="str">
        <f aca="false">IF($X1110="","",INDEX('Per Line'!$D$2:$D$4001,$X1110))</f>
        <v/>
      </c>
      <c r="C1110" s="20" t="str">
        <f aca="false">IF($X1110="","",INDEX('Per Line'!$C$2:$C$4001,$X1110))</f>
        <v/>
      </c>
      <c r="D1110" s="20" t="str">
        <f aca="false">IF($X1110="","",INDEX('Per Line'!$A$2:$A$4001,$X1110))</f>
        <v/>
      </c>
      <c r="E1110" s="21" t="str">
        <f aca="false">IF($X1110="","",INDEX('Per Line'!$F$2:$F$4001,$X1110))</f>
        <v/>
      </c>
      <c r="F1110" s="20" t="str">
        <f aca="false">IF($X1110="","",INDEX('Per Line'!$G$2:$G$4001,$X1110))</f>
        <v/>
      </c>
      <c r="G1110" s="20" t="str">
        <f aca="false">IF($X1110="","",INDEX('Per Line'!$I$2:$I$4001,$X1110))</f>
        <v/>
      </c>
      <c r="H1110" s="20" t="str">
        <f aca="false">IF($X1110="","",INDEX('Per Line'!$J$2:$J$4001,$X1110))</f>
        <v/>
      </c>
      <c r="I1110" s="20" t="str">
        <f aca="false">IF($X1110="","",INDEX('Per Line'!$K$2:$K$4001,$X1110))</f>
        <v/>
      </c>
      <c r="J1110" s="20" t="str">
        <f aca="false">IF($X1110="","",INDEX('Per Line'!$L$2:$L$4001,$X1110))</f>
        <v/>
      </c>
      <c r="K1110" s="20" t="str">
        <f aca="false">IF($X1110="","",INDEX('Per Line'!$M$2:$M$4001,$X1110))</f>
        <v/>
      </c>
      <c r="L1110" s="22" t="str">
        <f aca="false">IF($X1110="","",K1110*V1110/100)</f>
        <v/>
      </c>
      <c r="M1110" s="20" t="str">
        <f aca="false">IF($X1110="","",INDEX('Per Line'!$Z$2:$Z$4001,$X1110))</f>
        <v/>
      </c>
      <c r="N1110" s="23" t="str">
        <f aca="false">IF($X1110="","",Settings!$C$7)</f>
        <v/>
      </c>
      <c r="O1110" s="22" t="str">
        <f aca="false">IF($X1110="","",SUMIFS('Per Line'!$Y$2:$Y$4001,'Per Line'!$D$2:$D$4001,$B1110,'Per Line'!$AJ$2:$AJ$4001,0))</f>
        <v/>
      </c>
      <c r="P1110" s="22" t="str">
        <f aca="false">IF($X1110="","",O1110*N1110)</f>
        <v/>
      </c>
      <c r="Q1110" s="23" t="str">
        <f aca="false">IF($X1110="","",Settings!$C$6)</f>
        <v/>
      </c>
      <c r="R1110" s="22" t="str">
        <f aca="false">IF($X1110="","",SUMIFS('Per Line'!$Y$2:$Y$4001,'Per Line'!$D$2:$D$4001,$B1110,'Per Line'!$AJ$2:$AJ$4001,1))</f>
        <v/>
      </c>
      <c r="S1110" s="22" t="str">
        <f aca="false">IF($X1110="","",R1110*Q1110)</f>
        <v/>
      </c>
      <c r="T1110" s="22" t="str">
        <f aca="false">IF($X1110="","",S1110+P1110)</f>
        <v/>
      </c>
      <c r="U1110" s="22" t="str">
        <f aca="false">IF($X1110="","",V1110-T1110)</f>
        <v/>
      </c>
      <c r="V1110" s="22" t="str">
        <f aca="false">IF($X1110="","",O1110+R1110)</f>
        <v/>
      </c>
      <c r="W1110" s="22" t="str">
        <f aca="false">IF($X1110="","",U1110-L1110)</f>
        <v/>
      </c>
      <c r="X1110" s="24" t="str">
        <f aca="false">IF(ROWS($X$2:$X1110)&lt;=MAX('Per Line'!$AI$2:$AI$4001),MATCH(ROWS($X$2:$X1110),'Per Line'!$AI$2:$AI$4001,0),"")</f>
        <v/>
      </c>
    </row>
    <row r="1111" customFormat="false" ht="15" hidden="false" customHeight="false" outlineLevel="0" collapsed="false">
      <c r="A1111" s="19"/>
      <c r="B1111" s="20" t="str">
        <f aca="false">IF($X1111="","",INDEX('Per Line'!$D$2:$D$4001,$X1111))</f>
        <v/>
      </c>
      <c r="C1111" s="20" t="str">
        <f aca="false">IF($X1111="","",INDEX('Per Line'!$C$2:$C$4001,$X1111))</f>
        <v/>
      </c>
      <c r="D1111" s="20" t="str">
        <f aca="false">IF($X1111="","",INDEX('Per Line'!$A$2:$A$4001,$X1111))</f>
        <v/>
      </c>
      <c r="E1111" s="21" t="str">
        <f aca="false">IF($X1111="","",INDEX('Per Line'!$F$2:$F$4001,$X1111))</f>
        <v/>
      </c>
      <c r="F1111" s="20" t="str">
        <f aca="false">IF($X1111="","",INDEX('Per Line'!$G$2:$G$4001,$X1111))</f>
        <v/>
      </c>
      <c r="G1111" s="20" t="str">
        <f aca="false">IF($X1111="","",INDEX('Per Line'!$I$2:$I$4001,$X1111))</f>
        <v/>
      </c>
      <c r="H1111" s="20" t="str">
        <f aca="false">IF($X1111="","",INDEX('Per Line'!$J$2:$J$4001,$X1111))</f>
        <v/>
      </c>
      <c r="I1111" s="20" t="str">
        <f aca="false">IF($X1111="","",INDEX('Per Line'!$K$2:$K$4001,$X1111))</f>
        <v/>
      </c>
      <c r="J1111" s="20" t="str">
        <f aca="false">IF($X1111="","",INDEX('Per Line'!$L$2:$L$4001,$X1111))</f>
        <v/>
      </c>
      <c r="K1111" s="20" t="str">
        <f aca="false">IF($X1111="","",INDEX('Per Line'!$M$2:$M$4001,$X1111))</f>
        <v/>
      </c>
      <c r="L1111" s="22" t="str">
        <f aca="false">IF($X1111="","",K1111*V1111/100)</f>
        <v/>
      </c>
      <c r="M1111" s="20" t="str">
        <f aca="false">IF($X1111="","",INDEX('Per Line'!$Z$2:$Z$4001,$X1111))</f>
        <v/>
      </c>
      <c r="N1111" s="23" t="str">
        <f aca="false">IF($X1111="","",Settings!$C$7)</f>
        <v/>
      </c>
      <c r="O1111" s="22" t="str">
        <f aca="false">IF($X1111="","",SUMIFS('Per Line'!$Y$2:$Y$4001,'Per Line'!$D$2:$D$4001,$B1111,'Per Line'!$AJ$2:$AJ$4001,0))</f>
        <v/>
      </c>
      <c r="P1111" s="22" t="str">
        <f aca="false">IF($X1111="","",O1111*N1111)</f>
        <v/>
      </c>
      <c r="Q1111" s="23" t="str">
        <f aca="false">IF($X1111="","",Settings!$C$6)</f>
        <v/>
      </c>
      <c r="R1111" s="22" t="str">
        <f aca="false">IF($X1111="","",SUMIFS('Per Line'!$Y$2:$Y$4001,'Per Line'!$D$2:$D$4001,$B1111,'Per Line'!$AJ$2:$AJ$4001,1))</f>
        <v/>
      </c>
      <c r="S1111" s="22" t="str">
        <f aca="false">IF($X1111="","",R1111*Q1111)</f>
        <v/>
      </c>
      <c r="T1111" s="22" t="str">
        <f aca="false">IF($X1111="","",S1111+P1111)</f>
        <v/>
      </c>
      <c r="U1111" s="22" t="str">
        <f aca="false">IF($X1111="","",V1111-T1111)</f>
        <v/>
      </c>
      <c r="V1111" s="22" t="str">
        <f aca="false">IF($X1111="","",O1111+R1111)</f>
        <v/>
      </c>
      <c r="W1111" s="22" t="str">
        <f aca="false">IF($X1111="","",U1111-L1111)</f>
        <v/>
      </c>
      <c r="X1111" s="24" t="str">
        <f aca="false">IF(ROWS($X$2:$X1111)&lt;=MAX('Per Line'!$AI$2:$AI$4001),MATCH(ROWS($X$2:$X1111),'Per Line'!$AI$2:$AI$4001,0),"")</f>
        <v/>
      </c>
    </row>
    <row r="1112" customFormat="false" ht="15" hidden="false" customHeight="false" outlineLevel="0" collapsed="false">
      <c r="A1112" s="19"/>
      <c r="B1112" s="20" t="str">
        <f aca="false">IF($X1112="","",INDEX('Per Line'!$D$2:$D$4001,$X1112))</f>
        <v/>
      </c>
      <c r="C1112" s="20" t="str">
        <f aca="false">IF($X1112="","",INDEX('Per Line'!$C$2:$C$4001,$X1112))</f>
        <v/>
      </c>
      <c r="D1112" s="20" t="str">
        <f aca="false">IF($X1112="","",INDEX('Per Line'!$A$2:$A$4001,$X1112))</f>
        <v/>
      </c>
      <c r="E1112" s="21" t="str">
        <f aca="false">IF($X1112="","",INDEX('Per Line'!$F$2:$F$4001,$X1112))</f>
        <v/>
      </c>
      <c r="F1112" s="20" t="str">
        <f aca="false">IF($X1112="","",INDEX('Per Line'!$G$2:$G$4001,$X1112))</f>
        <v/>
      </c>
      <c r="G1112" s="20" t="str">
        <f aca="false">IF($X1112="","",INDEX('Per Line'!$I$2:$I$4001,$X1112))</f>
        <v/>
      </c>
      <c r="H1112" s="20" t="str">
        <f aca="false">IF($X1112="","",INDEX('Per Line'!$J$2:$J$4001,$X1112))</f>
        <v/>
      </c>
      <c r="I1112" s="20" t="str">
        <f aca="false">IF($X1112="","",INDEX('Per Line'!$K$2:$K$4001,$X1112))</f>
        <v/>
      </c>
      <c r="J1112" s="20" t="str">
        <f aca="false">IF($X1112="","",INDEX('Per Line'!$L$2:$L$4001,$X1112))</f>
        <v/>
      </c>
      <c r="K1112" s="20" t="str">
        <f aca="false">IF($X1112="","",INDEX('Per Line'!$M$2:$M$4001,$X1112))</f>
        <v/>
      </c>
      <c r="L1112" s="22" t="str">
        <f aca="false">IF($X1112="","",K1112*V1112/100)</f>
        <v/>
      </c>
      <c r="M1112" s="20" t="str">
        <f aca="false">IF($X1112="","",INDEX('Per Line'!$Z$2:$Z$4001,$X1112))</f>
        <v/>
      </c>
      <c r="N1112" s="23" t="str">
        <f aca="false">IF($X1112="","",Settings!$C$7)</f>
        <v/>
      </c>
      <c r="O1112" s="22" t="str">
        <f aca="false">IF($X1112="","",SUMIFS('Per Line'!$Y$2:$Y$4001,'Per Line'!$D$2:$D$4001,$B1112,'Per Line'!$AJ$2:$AJ$4001,0))</f>
        <v/>
      </c>
      <c r="P1112" s="22" t="str">
        <f aca="false">IF($X1112="","",O1112*N1112)</f>
        <v/>
      </c>
      <c r="Q1112" s="23" t="str">
        <f aca="false">IF($X1112="","",Settings!$C$6)</f>
        <v/>
      </c>
      <c r="R1112" s="22" t="str">
        <f aca="false">IF($X1112="","",SUMIFS('Per Line'!$Y$2:$Y$4001,'Per Line'!$D$2:$D$4001,$B1112,'Per Line'!$AJ$2:$AJ$4001,1))</f>
        <v/>
      </c>
      <c r="S1112" s="22" t="str">
        <f aca="false">IF($X1112="","",R1112*Q1112)</f>
        <v/>
      </c>
      <c r="T1112" s="22" t="str">
        <f aca="false">IF($X1112="","",S1112+P1112)</f>
        <v/>
      </c>
      <c r="U1112" s="22" t="str">
        <f aca="false">IF($X1112="","",V1112-T1112)</f>
        <v/>
      </c>
      <c r="V1112" s="22" t="str">
        <f aca="false">IF($X1112="","",O1112+R1112)</f>
        <v/>
      </c>
      <c r="W1112" s="22" t="str">
        <f aca="false">IF($X1112="","",U1112-L1112)</f>
        <v/>
      </c>
      <c r="X1112" s="24" t="str">
        <f aca="false">IF(ROWS($X$2:$X1112)&lt;=MAX('Per Line'!$AI$2:$AI$4001),MATCH(ROWS($X$2:$X1112),'Per Line'!$AI$2:$AI$4001,0),"")</f>
        <v/>
      </c>
    </row>
    <row r="1113" customFormat="false" ht="15" hidden="false" customHeight="false" outlineLevel="0" collapsed="false">
      <c r="A1113" s="19"/>
      <c r="B1113" s="20" t="str">
        <f aca="false">IF($X1113="","",INDEX('Per Line'!$D$2:$D$4001,$X1113))</f>
        <v/>
      </c>
      <c r="C1113" s="20" t="str">
        <f aca="false">IF($X1113="","",INDEX('Per Line'!$C$2:$C$4001,$X1113))</f>
        <v/>
      </c>
      <c r="D1113" s="20" t="str">
        <f aca="false">IF($X1113="","",INDEX('Per Line'!$A$2:$A$4001,$X1113))</f>
        <v/>
      </c>
      <c r="E1113" s="21" t="str">
        <f aca="false">IF($X1113="","",INDEX('Per Line'!$F$2:$F$4001,$X1113))</f>
        <v/>
      </c>
      <c r="F1113" s="20" t="str">
        <f aca="false">IF($X1113="","",INDEX('Per Line'!$G$2:$G$4001,$X1113))</f>
        <v/>
      </c>
      <c r="G1113" s="20" t="str">
        <f aca="false">IF($X1113="","",INDEX('Per Line'!$I$2:$I$4001,$X1113))</f>
        <v/>
      </c>
      <c r="H1113" s="20" t="str">
        <f aca="false">IF($X1113="","",INDEX('Per Line'!$J$2:$J$4001,$X1113))</f>
        <v/>
      </c>
      <c r="I1113" s="20" t="str">
        <f aca="false">IF($X1113="","",INDEX('Per Line'!$K$2:$K$4001,$X1113))</f>
        <v/>
      </c>
      <c r="J1113" s="20" t="str">
        <f aca="false">IF($X1113="","",INDEX('Per Line'!$L$2:$L$4001,$X1113))</f>
        <v/>
      </c>
      <c r="K1113" s="20" t="str">
        <f aca="false">IF($X1113="","",INDEX('Per Line'!$M$2:$M$4001,$X1113))</f>
        <v/>
      </c>
      <c r="L1113" s="22" t="str">
        <f aca="false">IF($X1113="","",K1113*V1113/100)</f>
        <v/>
      </c>
      <c r="M1113" s="20" t="str">
        <f aca="false">IF($X1113="","",INDEX('Per Line'!$Z$2:$Z$4001,$X1113))</f>
        <v/>
      </c>
      <c r="N1113" s="23" t="str">
        <f aca="false">IF($X1113="","",Settings!$C$7)</f>
        <v/>
      </c>
      <c r="O1113" s="22" t="str">
        <f aca="false">IF($X1113="","",SUMIFS('Per Line'!$Y$2:$Y$4001,'Per Line'!$D$2:$D$4001,$B1113,'Per Line'!$AJ$2:$AJ$4001,0))</f>
        <v/>
      </c>
      <c r="P1113" s="22" t="str">
        <f aca="false">IF($X1113="","",O1113*N1113)</f>
        <v/>
      </c>
      <c r="Q1113" s="23" t="str">
        <f aca="false">IF($X1113="","",Settings!$C$6)</f>
        <v/>
      </c>
      <c r="R1113" s="22" t="str">
        <f aca="false">IF($X1113="","",SUMIFS('Per Line'!$Y$2:$Y$4001,'Per Line'!$D$2:$D$4001,$B1113,'Per Line'!$AJ$2:$AJ$4001,1))</f>
        <v/>
      </c>
      <c r="S1113" s="22" t="str">
        <f aca="false">IF($X1113="","",R1113*Q1113)</f>
        <v/>
      </c>
      <c r="T1113" s="22" t="str">
        <f aca="false">IF($X1113="","",S1113+P1113)</f>
        <v/>
      </c>
      <c r="U1113" s="22" t="str">
        <f aca="false">IF($X1113="","",V1113-T1113)</f>
        <v/>
      </c>
      <c r="V1113" s="22" t="str">
        <f aca="false">IF($X1113="","",O1113+R1113)</f>
        <v/>
      </c>
      <c r="W1113" s="22" t="str">
        <f aca="false">IF($X1113="","",U1113-L1113)</f>
        <v/>
      </c>
      <c r="X1113" s="24" t="str">
        <f aca="false">IF(ROWS($X$2:$X1113)&lt;=MAX('Per Line'!$AI$2:$AI$4001),MATCH(ROWS($X$2:$X1113),'Per Line'!$AI$2:$AI$4001,0),"")</f>
        <v/>
      </c>
    </row>
    <row r="1114" customFormat="false" ht="15" hidden="false" customHeight="false" outlineLevel="0" collapsed="false">
      <c r="A1114" s="19"/>
      <c r="B1114" s="20" t="str">
        <f aca="false">IF($X1114="","",INDEX('Per Line'!$D$2:$D$4001,$X1114))</f>
        <v/>
      </c>
      <c r="C1114" s="20" t="str">
        <f aca="false">IF($X1114="","",INDEX('Per Line'!$C$2:$C$4001,$X1114))</f>
        <v/>
      </c>
      <c r="D1114" s="20" t="str">
        <f aca="false">IF($X1114="","",INDEX('Per Line'!$A$2:$A$4001,$X1114))</f>
        <v/>
      </c>
      <c r="E1114" s="21" t="str">
        <f aca="false">IF($X1114="","",INDEX('Per Line'!$F$2:$F$4001,$X1114))</f>
        <v/>
      </c>
      <c r="F1114" s="20" t="str">
        <f aca="false">IF($X1114="","",INDEX('Per Line'!$G$2:$G$4001,$X1114))</f>
        <v/>
      </c>
      <c r="G1114" s="20" t="str">
        <f aca="false">IF($X1114="","",INDEX('Per Line'!$I$2:$I$4001,$X1114))</f>
        <v/>
      </c>
      <c r="H1114" s="20" t="str">
        <f aca="false">IF($X1114="","",INDEX('Per Line'!$J$2:$J$4001,$X1114))</f>
        <v/>
      </c>
      <c r="I1114" s="20" t="str">
        <f aca="false">IF($X1114="","",INDEX('Per Line'!$K$2:$K$4001,$X1114))</f>
        <v/>
      </c>
      <c r="J1114" s="20" t="str">
        <f aca="false">IF($X1114="","",INDEX('Per Line'!$L$2:$L$4001,$X1114))</f>
        <v/>
      </c>
      <c r="K1114" s="20" t="str">
        <f aca="false">IF($X1114="","",INDEX('Per Line'!$M$2:$M$4001,$X1114))</f>
        <v/>
      </c>
      <c r="L1114" s="22" t="str">
        <f aca="false">IF($X1114="","",K1114*V1114/100)</f>
        <v/>
      </c>
      <c r="M1114" s="20" t="str">
        <f aca="false">IF($X1114="","",INDEX('Per Line'!$Z$2:$Z$4001,$X1114))</f>
        <v/>
      </c>
      <c r="N1114" s="23" t="str">
        <f aca="false">IF($X1114="","",Settings!$C$7)</f>
        <v/>
      </c>
      <c r="O1114" s="22" t="str">
        <f aca="false">IF($X1114="","",SUMIFS('Per Line'!$Y$2:$Y$4001,'Per Line'!$D$2:$D$4001,$B1114,'Per Line'!$AJ$2:$AJ$4001,0))</f>
        <v/>
      </c>
      <c r="P1114" s="22" t="str">
        <f aca="false">IF($X1114="","",O1114*N1114)</f>
        <v/>
      </c>
      <c r="Q1114" s="23" t="str">
        <f aca="false">IF($X1114="","",Settings!$C$6)</f>
        <v/>
      </c>
      <c r="R1114" s="22" t="str">
        <f aca="false">IF($X1114="","",SUMIFS('Per Line'!$Y$2:$Y$4001,'Per Line'!$D$2:$D$4001,$B1114,'Per Line'!$AJ$2:$AJ$4001,1))</f>
        <v/>
      </c>
      <c r="S1114" s="22" t="str">
        <f aca="false">IF($X1114="","",R1114*Q1114)</f>
        <v/>
      </c>
      <c r="T1114" s="22" t="str">
        <f aca="false">IF($X1114="","",S1114+P1114)</f>
        <v/>
      </c>
      <c r="U1114" s="22" t="str">
        <f aca="false">IF($X1114="","",V1114-T1114)</f>
        <v/>
      </c>
      <c r="V1114" s="22" t="str">
        <f aca="false">IF($X1114="","",O1114+R1114)</f>
        <v/>
      </c>
      <c r="W1114" s="22" t="str">
        <f aca="false">IF($X1114="","",U1114-L1114)</f>
        <v/>
      </c>
      <c r="X1114" s="24" t="str">
        <f aca="false">IF(ROWS($X$2:$X1114)&lt;=MAX('Per Line'!$AI$2:$AI$4001),MATCH(ROWS($X$2:$X1114),'Per Line'!$AI$2:$AI$4001,0),"")</f>
        <v/>
      </c>
    </row>
    <row r="1115" customFormat="false" ht="15" hidden="false" customHeight="false" outlineLevel="0" collapsed="false">
      <c r="A1115" s="19"/>
      <c r="B1115" s="20" t="str">
        <f aca="false">IF($X1115="","",INDEX('Per Line'!$D$2:$D$4001,$X1115))</f>
        <v/>
      </c>
      <c r="C1115" s="20" t="str">
        <f aca="false">IF($X1115="","",INDEX('Per Line'!$C$2:$C$4001,$X1115))</f>
        <v/>
      </c>
      <c r="D1115" s="20" t="str">
        <f aca="false">IF($X1115="","",INDEX('Per Line'!$A$2:$A$4001,$X1115))</f>
        <v/>
      </c>
      <c r="E1115" s="21" t="str">
        <f aca="false">IF($X1115="","",INDEX('Per Line'!$F$2:$F$4001,$X1115))</f>
        <v/>
      </c>
      <c r="F1115" s="20" t="str">
        <f aca="false">IF($X1115="","",INDEX('Per Line'!$G$2:$G$4001,$X1115))</f>
        <v/>
      </c>
      <c r="G1115" s="20" t="str">
        <f aca="false">IF($X1115="","",INDEX('Per Line'!$I$2:$I$4001,$X1115))</f>
        <v/>
      </c>
      <c r="H1115" s="20" t="str">
        <f aca="false">IF($X1115="","",INDEX('Per Line'!$J$2:$J$4001,$X1115))</f>
        <v/>
      </c>
      <c r="I1115" s="20" t="str">
        <f aca="false">IF($X1115="","",INDEX('Per Line'!$K$2:$K$4001,$X1115))</f>
        <v/>
      </c>
      <c r="J1115" s="20" t="str">
        <f aca="false">IF($X1115="","",INDEX('Per Line'!$L$2:$L$4001,$X1115))</f>
        <v/>
      </c>
      <c r="K1115" s="20" t="str">
        <f aca="false">IF($X1115="","",INDEX('Per Line'!$M$2:$M$4001,$X1115))</f>
        <v/>
      </c>
      <c r="L1115" s="22" t="str">
        <f aca="false">IF($X1115="","",K1115*V1115/100)</f>
        <v/>
      </c>
      <c r="M1115" s="20" t="str">
        <f aca="false">IF($X1115="","",INDEX('Per Line'!$Z$2:$Z$4001,$X1115))</f>
        <v/>
      </c>
      <c r="N1115" s="23" t="str">
        <f aca="false">IF($X1115="","",Settings!$C$7)</f>
        <v/>
      </c>
      <c r="O1115" s="22" t="str">
        <f aca="false">IF($X1115="","",SUMIFS('Per Line'!$Y$2:$Y$4001,'Per Line'!$D$2:$D$4001,$B1115,'Per Line'!$AJ$2:$AJ$4001,0))</f>
        <v/>
      </c>
      <c r="P1115" s="22" t="str">
        <f aca="false">IF($X1115="","",O1115*N1115)</f>
        <v/>
      </c>
      <c r="Q1115" s="23" t="str">
        <f aca="false">IF($X1115="","",Settings!$C$6)</f>
        <v/>
      </c>
      <c r="R1115" s="22" t="str">
        <f aca="false">IF($X1115="","",SUMIFS('Per Line'!$Y$2:$Y$4001,'Per Line'!$D$2:$D$4001,$B1115,'Per Line'!$AJ$2:$AJ$4001,1))</f>
        <v/>
      </c>
      <c r="S1115" s="22" t="str">
        <f aca="false">IF($X1115="","",R1115*Q1115)</f>
        <v/>
      </c>
      <c r="T1115" s="22" t="str">
        <f aca="false">IF($X1115="","",S1115+P1115)</f>
        <v/>
      </c>
      <c r="U1115" s="22" t="str">
        <f aca="false">IF($X1115="","",V1115-T1115)</f>
        <v/>
      </c>
      <c r="V1115" s="22" t="str">
        <f aca="false">IF($X1115="","",O1115+R1115)</f>
        <v/>
      </c>
      <c r="W1115" s="22" t="str">
        <f aca="false">IF($X1115="","",U1115-L1115)</f>
        <v/>
      </c>
      <c r="X1115" s="24" t="str">
        <f aca="false">IF(ROWS($X$2:$X1115)&lt;=MAX('Per Line'!$AI$2:$AI$4001),MATCH(ROWS($X$2:$X1115),'Per Line'!$AI$2:$AI$4001,0),"")</f>
        <v/>
      </c>
    </row>
    <row r="1116" customFormat="false" ht="15" hidden="false" customHeight="false" outlineLevel="0" collapsed="false">
      <c r="A1116" s="19"/>
      <c r="B1116" s="20" t="str">
        <f aca="false">IF($X1116="","",INDEX('Per Line'!$D$2:$D$4001,$X1116))</f>
        <v/>
      </c>
      <c r="C1116" s="20" t="str">
        <f aca="false">IF($X1116="","",INDEX('Per Line'!$C$2:$C$4001,$X1116))</f>
        <v/>
      </c>
      <c r="D1116" s="20" t="str">
        <f aca="false">IF($X1116="","",INDEX('Per Line'!$A$2:$A$4001,$X1116))</f>
        <v/>
      </c>
      <c r="E1116" s="21" t="str">
        <f aca="false">IF($X1116="","",INDEX('Per Line'!$F$2:$F$4001,$X1116))</f>
        <v/>
      </c>
      <c r="F1116" s="20" t="str">
        <f aca="false">IF($X1116="","",INDEX('Per Line'!$G$2:$G$4001,$X1116))</f>
        <v/>
      </c>
      <c r="G1116" s="20" t="str">
        <f aca="false">IF($X1116="","",INDEX('Per Line'!$I$2:$I$4001,$X1116))</f>
        <v/>
      </c>
      <c r="H1116" s="20" t="str">
        <f aca="false">IF($X1116="","",INDEX('Per Line'!$J$2:$J$4001,$X1116))</f>
        <v/>
      </c>
      <c r="I1116" s="20" t="str">
        <f aca="false">IF($X1116="","",INDEX('Per Line'!$K$2:$K$4001,$X1116))</f>
        <v/>
      </c>
      <c r="J1116" s="20" t="str">
        <f aca="false">IF($X1116="","",INDEX('Per Line'!$L$2:$L$4001,$X1116))</f>
        <v/>
      </c>
      <c r="K1116" s="20" t="str">
        <f aca="false">IF($X1116="","",INDEX('Per Line'!$M$2:$M$4001,$X1116))</f>
        <v/>
      </c>
      <c r="L1116" s="22" t="str">
        <f aca="false">IF($X1116="","",K1116*V1116/100)</f>
        <v/>
      </c>
      <c r="M1116" s="20" t="str">
        <f aca="false">IF($X1116="","",INDEX('Per Line'!$Z$2:$Z$4001,$X1116))</f>
        <v/>
      </c>
      <c r="N1116" s="23" t="str">
        <f aca="false">IF($X1116="","",Settings!$C$7)</f>
        <v/>
      </c>
      <c r="O1116" s="22" t="str">
        <f aca="false">IF($X1116="","",SUMIFS('Per Line'!$Y$2:$Y$4001,'Per Line'!$D$2:$D$4001,$B1116,'Per Line'!$AJ$2:$AJ$4001,0))</f>
        <v/>
      </c>
      <c r="P1116" s="22" t="str">
        <f aca="false">IF($X1116="","",O1116*N1116)</f>
        <v/>
      </c>
      <c r="Q1116" s="23" t="str">
        <f aca="false">IF($X1116="","",Settings!$C$6)</f>
        <v/>
      </c>
      <c r="R1116" s="22" t="str">
        <f aca="false">IF($X1116="","",SUMIFS('Per Line'!$Y$2:$Y$4001,'Per Line'!$D$2:$D$4001,$B1116,'Per Line'!$AJ$2:$AJ$4001,1))</f>
        <v/>
      </c>
      <c r="S1116" s="22" t="str">
        <f aca="false">IF($X1116="","",R1116*Q1116)</f>
        <v/>
      </c>
      <c r="T1116" s="22" t="str">
        <f aca="false">IF($X1116="","",S1116+P1116)</f>
        <v/>
      </c>
      <c r="U1116" s="22" t="str">
        <f aca="false">IF($X1116="","",V1116-T1116)</f>
        <v/>
      </c>
      <c r="V1116" s="22" t="str">
        <f aca="false">IF($X1116="","",O1116+R1116)</f>
        <v/>
      </c>
      <c r="W1116" s="22" t="str">
        <f aca="false">IF($X1116="","",U1116-L1116)</f>
        <v/>
      </c>
      <c r="X1116" s="24" t="str">
        <f aca="false">IF(ROWS($X$2:$X1116)&lt;=MAX('Per Line'!$AI$2:$AI$4001),MATCH(ROWS($X$2:$X1116),'Per Line'!$AI$2:$AI$4001,0),"")</f>
        <v/>
      </c>
    </row>
    <row r="1117" customFormat="false" ht="15" hidden="false" customHeight="false" outlineLevel="0" collapsed="false">
      <c r="A1117" s="19"/>
      <c r="B1117" s="20" t="str">
        <f aca="false">IF($X1117="","",INDEX('Per Line'!$D$2:$D$4001,$X1117))</f>
        <v/>
      </c>
      <c r="C1117" s="20" t="str">
        <f aca="false">IF($X1117="","",INDEX('Per Line'!$C$2:$C$4001,$X1117))</f>
        <v/>
      </c>
      <c r="D1117" s="20" t="str">
        <f aca="false">IF($X1117="","",INDEX('Per Line'!$A$2:$A$4001,$X1117))</f>
        <v/>
      </c>
      <c r="E1117" s="21" t="str">
        <f aca="false">IF($X1117="","",INDEX('Per Line'!$F$2:$F$4001,$X1117))</f>
        <v/>
      </c>
      <c r="F1117" s="20" t="str">
        <f aca="false">IF($X1117="","",INDEX('Per Line'!$G$2:$G$4001,$X1117))</f>
        <v/>
      </c>
      <c r="G1117" s="20" t="str">
        <f aca="false">IF($X1117="","",INDEX('Per Line'!$I$2:$I$4001,$X1117))</f>
        <v/>
      </c>
      <c r="H1117" s="20" t="str">
        <f aca="false">IF($X1117="","",INDEX('Per Line'!$J$2:$J$4001,$X1117))</f>
        <v/>
      </c>
      <c r="I1117" s="20" t="str">
        <f aca="false">IF($X1117="","",INDEX('Per Line'!$K$2:$K$4001,$X1117))</f>
        <v/>
      </c>
      <c r="J1117" s="20" t="str">
        <f aca="false">IF($X1117="","",INDEX('Per Line'!$L$2:$L$4001,$X1117))</f>
        <v/>
      </c>
      <c r="K1117" s="20" t="str">
        <f aca="false">IF($X1117="","",INDEX('Per Line'!$M$2:$M$4001,$X1117))</f>
        <v/>
      </c>
      <c r="L1117" s="22" t="str">
        <f aca="false">IF($X1117="","",K1117*V1117/100)</f>
        <v/>
      </c>
      <c r="M1117" s="20" t="str">
        <f aca="false">IF($X1117="","",INDEX('Per Line'!$Z$2:$Z$4001,$X1117))</f>
        <v/>
      </c>
      <c r="N1117" s="23" t="str">
        <f aca="false">IF($X1117="","",Settings!$C$7)</f>
        <v/>
      </c>
      <c r="O1117" s="22" t="str">
        <f aca="false">IF($X1117="","",SUMIFS('Per Line'!$Y$2:$Y$4001,'Per Line'!$D$2:$D$4001,$B1117,'Per Line'!$AJ$2:$AJ$4001,0))</f>
        <v/>
      </c>
      <c r="P1117" s="22" t="str">
        <f aca="false">IF($X1117="","",O1117*N1117)</f>
        <v/>
      </c>
      <c r="Q1117" s="23" t="str">
        <f aca="false">IF($X1117="","",Settings!$C$6)</f>
        <v/>
      </c>
      <c r="R1117" s="22" t="str">
        <f aca="false">IF($X1117="","",SUMIFS('Per Line'!$Y$2:$Y$4001,'Per Line'!$D$2:$D$4001,$B1117,'Per Line'!$AJ$2:$AJ$4001,1))</f>
        <v/>
      </c>
      <c r="S1117" s="22" t="str">
        <f aca="false">IF($X1117="","",R1117*Q1117)</f>
        <v/>
      </c>
      <c r="T1117" s="22" t="str">
        <f aca="false">IF($X1117="","",S1117+P1117)</f>
        <v/>
      </c>
      <c r="U1117" s="22" t="str">
        <f aca="false">IF($X1117="","",V1117-T1117)</f>
        <v/>
      </c>
      <c r="V1117" s="22" t="str">
        <f aca="false">IF($X1117="","",O1117+R1117)</f>
        <v/>
      </c>
      <c r="W1117" s="22" t="str">
        <f aca="false">IF($X1117="","",U1117-L1117)</f>
        <v/>
      </c>
      <c r="X1117" s="24" t="str">
        <f aca="false">IF(ROWS($X$2:$X1117)&lt;=MAX('Per Line'!$AI$2:$AI$4001),MATCH(ROWS($X$2:$X1117),'Per Line'!$AI$2:$AI$4001,0),"")</f>
        <v/>
      </c>
    </row>
    <row r="1118" customFormat="false" ht="15" hidden="false" customHeight="false" outlineLevel="0" collapsed="false">
      <c r="A1118" s="19"/>
      <c r="B1118" s="20" t="str">
        <f aca="false">IF($X1118="","",INDEX('Per Line'!$D$2:$D$4001,$X1118))</f>
        <v/>
      </c>
      <c r="C1118" s="20" t="str">
        <f aca="false">IF($X1118="","",INDEX('Per Line'!$C$2:$C$4001,$X1118))</f>
        <v/>
      </c>
      <c r="D1118" s="20" t="str">
        <f aca="false">IF($X1118="","",INDEX('Per Line'!$A$2:$A$4001,$X1118))</f>
        <v/>
      </c>
      <c r="E1118" s="21" t="str">
        <f aca="false">IF($X1118="","",INDEX('Per Line'!$F$2:$F$4001,$X1118))</f>
        <v/>
      </c>
      <c r="F1118" s="20" t="str">
        <f aca="false">IF($X1118="","",INDEX('Per Line'!$G$2:$G$4001,$X1118))</f>
        <v/>
      </c>
      <c r="G1118" s="20" t="str">
        <f aca="false">IF($X1118="","",INDEX('Per Line'!$I$2:$I$4001,$X1118))</f>
        <v/>
      </c>
      <c r="H1118" s="20" t="str">
        <f aca="false">IF($X1118="","",INDEX('Per Line'!$J$2:$J$4001,$X1118))</f>
        <v/>
      </c>
      <c r="I1118" s="20" t="str">
        <f aca="false">IF($X1118="","",INDEX('Per Line'!$K$2:$K$4001,$X1118))</f>
        <v/>
      </c>
      <c r="J1118" s="20" t="str">
        <f aca="false">IF($X1118="","",INDEX('Per Line'!$L$2:$L$4001,$X1118))</f>
        <v/>
      </c>
      <c r="K1118" s="20" t="str">
        <f aca="false">IF($X1118="","",INDEX('Per Line'!$M$2:$M$4001,$X1118))</f>
        <v/>
      </c>
      <c r="L1118" s="22" t="str">
        <f aca="false">IF($X1118="","",K1118*V1118/100)</f>
        <v/>
      </c>
      <c r="M1118" s="20" t="str">
        <f aca="false">IF($X1118="","",INDEX('Per Line'!$Z$2:$Z$4001,$X1118))</f>
        <v/>
      </c>
      <c r="N1118" s="23" t="str">
        <f aca="false">IF($X1118="","",Settings!$C$7)</f>
        <v/>
      </c>
      <c r="O1118" s="22" t="str">
        <f aca="false">IF($X1118="","",SUMIFS('Per Line'!$Y$2:$Y$4001,'Per Line'!$D$2:$D$4001,$B1118,'Per Line'!$AJ$2:$AJ$4001,0))</f>
        <v/>
      </c>
      <c r="P1118" s="22" t="str">
        <f aca="false">IF($X1118="","",O1118*N1118)</f>
        <v/>
      </c>
      <c r="Q1118" s="23" t="str">
        <f aca="false">IF($X1118="","",Settings!$C$6)</f>
        <v/>
      </c>
      <c r="R1118" s="22" t="str">
        <f aca="false">IF($X1118="","",SUMIFS('Per Line'!$Y$2:$Y$4001,'Per Line'!$D$2:$D$4001,$B1118,'Per Line'!$AJ$2:$AJ$4001,1))</f>
        <v/>
      </c>
      <c r="S1118" s="22" t="str">
        <f aca="false">IF($X1118="","",R1118*Q1118)</f>
        <v/>
      </c>
      <c r="T1118" s="22" t="str">
        <f aca="false">IF($X1118="","",S1118+P1118)</f>
        <v/>
      </c>
      <c r="U1118" s="22" t="str">
        <f aca="false">IF($X1118="","",V1118-T1118)</f>
        <v/>
      </c>
      <c r="V1118" s="22" t="str">
        <f aca="false">IF($X1118="","",O1118+R1118)</f>
        <v/>
      </c>
      <c r="W1118" s="22" t="str">
        <f aca="false">IF($X1118="","",U1118-L1118)</f>
        <v/>
      </c>
      <c r="X1118" s="24" t="str">
        <f aca="false">IF(ROWS($X$2:$X1118)&lt;=MAX('Per Line'!$AI$2:$AI$4001),MATCH(ROWS($X$2:$X1118),'Per Line'!$AI$2:$AI$4001,0),"")</f>
        <v/>
      </c>
    </row>
    <row r="1119" customFormat="false" ht="15" hidden="false" customHeight="false" outlineLevel="0" collapsed="false">
      <c r="A1119" s="19"/>
      <c r="B1119" s="20" t="str">
        <f aca="false">IF($X1119="","",INDEX('Per Line'!$D$2:$D$4001,$X1119))</f>
        <v/>
      </c>
      <c r="C1119" s="20" t="str">
        <f aca="false">IF($X1119="","",INDEX('Per Line'!$C$2:$C$4001,$X1119))</f>
        <v/>
      </c>
      <c r="D1119" s="20" t="str">
        <f aca="false">IF($X1119="","",INDEX('Per Line'!$A$2:$A$4001,$X1119))</f>
        <v/>
      </c>
      <c r="E1119" s="21" t="str">
        <f aca="false">IF($X1119="","",INDEX('Per Line'!$F$2:$F$4001,$X1119))</f>
        <v/>
      </c>
      <c r="F1119" s="20" t="str">
        <f aca="false">IF($X1119="","",INDEX('Per Line'!$G$2:$G$4001,$X1119))</f>
        <v/>
      </c>
      <c r="G1119" s="20" t="str">
        <f aca="false">IF($X1119="","",INDEX('Per Line'!$I$2:$I$4001,$X1119))</f>
        <v/>
      </c>
      <c r="H1119" s="20" t="str">
        <f aca="false">IF($X1119="","",INDEX('Per Line'!$J$2:$J$4001,$X1119))</f>
        <v/>
      </c>
      <c r="I1119" s="20" t="str">
        <f aca="false">IF($X1119="","",INDEX('Per Line'!$K$2:$K$4001,$X1119))</f>
        <v/>
      </c>
      <c r="J1119" s="20" t="str">
        <f aca="false">IF($X1119="","",INDEX('Per Line'!$L$2:$L$4001,$X1119))</f>
        <v/>
      </c>
      <c r="K1119" s="20" t="str">
        <f aca="false">IF($X1119="","",INDEX('Per Line'!$M$2:$M$4001,$X1119))</f>
        <v/>
      </c>
      <c r="L1119" s="22" t="str">
        <f aca="false">IF($X1119="","",K1119*V1119/100)</f>
        <v/>
      </c>
      <c r="M1119" s="20" t="str">
        <f aca="false">IF($X1119="","",INDEX('Per Line'!$Z$2:$Z$4001,$X1119))</f>
        <v/>
      </c>
      <c r="N1119" s="23" t="str">
        <f aca="false">IF($X1119="","",Settings!$C$7)</f>
        <v/>
      </c>
      <c r="O1119" s="22" t="str">
        <f aca="false">IF($X1119="","",SUMIFS('Per Line'!$Y$2:$Y$4001,'Per Line'!$D$2:$D$4001,$B1119,'Per Line'!$AJ$2:$AJ$4001,0))</f>
        <v/>
      </c>
      <c r="P1119" s="22" t="str">
        <f aca="false">IF($X1119="","",O1119*N1119)</f>
        <v/>
      </c>
      <c r="Q1119" s="23" t="str">
        <f aca="false">IF($X1119="","",Settings!$C$6)</f>
        <v/>
      </c>
      <c r="R1119" s="22" t="str">
        <f aca="false">IF($X1119="","",SUMIFS('Per Line'!$Y$2:$Y$4001,'Per Line'!$D$2:$D$4001,$B1119,'Per Line'!$AJ$2:$AJ$4001,1))</f>
        <v/>
      </c>
      <c r="S1119" s="22" t="str">
        <f aca="false">IF($X1119="","",R1119*Q1119)</f>
        <v/>
      </c>
      <c r="T1119" s="22" t="str">
        <f aca="false">IF($X1119="","",S1119+P1119)</f>
        <v/>
      </c>
      <c r="U1119" s="22" t="str">
        <f aca="false">IF($X1119="","",V1119-T1119)</f>
        <v/>
      </c>
      <c r="V1119" s="22" t="str">
        <f aca="false">IF($X1119="","",O1119+R1119)</f>
        <v/>
      </c>
      <c r="W1119" s="22" t="str">
        <f aca="false">IF($X1119="","",U1119-L1119)</f>
        <v/>
      </c>
      <c r="X1119" s="24" t="str">
        <f aca="false">IF(ROWS($X$2:$X1119)&lt;=MAX('Per Line'!$AI$2:$AI$4001),MATCH(ROWS($X$2:$X1119),'Per Line'!$AI$2:$AI$4001,0),"")</f>
        <v/>
      </c>
    </row>
    <row r="1120" customFormat="false" ht="15" hidden="false" customHeight="false" outlineLevel="0" collapsed="false">
      <c r="A1120" s="19"/>
      <c r="B1120" s="20" t="str">
        <f aca="false">IF($X1120="","",INDEX('Per Line'!$D$2:$D$4001,$X1120))</f>
        <v/>
      </c>
      <c r="C1120" s="20" t="str">
        <f aca="false">IF($X1120="","",INDEX('Per Line'!$C$2:$C$4001,$X1120))</f>
        <v/>
      </c>
      <c r="D1120" s="20" t="str">
        <f aca="false">IF($X1120="","",INDEX('Per Line'!$A$2:$A$4001,$X1120))</f>
        <v/>
      </c>
      <c r="E1120" s="21" t="str">
        <f aca="false">IF($X1120="","",INDEX('Per Line'!$F$2:$F$4001,$X1120))</f>
        <v/>
      </c>
      <c r="F1120" s="20" t="str">
        <f aca="false">IF($X1120="","",INDEX('Per Line'!$G$2:$G$4001,$X1120))</f>
        <v/>
      </c>
      <c r="G1120" s="20" t="str">
        <f aca="false">IF($X1120="","",INDEX('Per Line'!$I$2:$I$4001,$X1120))</f>
        <v/>
      </c>
      <c r="H1120" s="20" t="str">
        <f aca="false">IF($X1120="","",INDEX('Per Line'!$J$2:$J$4001,$X1120))</f>
        <v/>
      </c>
      <c r="I1120" s="20" t="str">
        <f aca="false">IF($X1120="","",INDEX('Per Line'!$K$2:$K$4001,$X1120))</f>
        <v/>
      </c>
      <c r="J1120" s="20" t="str">
        <f aca="false">IF($X1120="","",INDEX('Per Line'!$L$2:$L$4001,$X1120))</f>
        <v/>
      </c>
      <c r="K1120" s="20" t="str">
        <f aca="false">IF($X1120="","",INDEX('Per Line'!$M$2:$M$4001,$X1120))</f>
        <v/>
      </c>
      <c r="L1120" s="22" t="str">
        <f aca="false">IF($X1120="","",K1120*V1120/100)</f>
        <v/>
      </c>
      <c r="M1120" s="20" t="str">
        <f aca="false">IF($X1120="","",INDEX('Per Line'!$Z$2:$Z$4001,$X1120))</f>
        <v/>
      </c>
      <c r="N1120" s="23" t="str">
        <f aca="false">IF($X1120="","",Settings!$C$7)</f>
        <v/>
      </c>
      <c r="O1120" s="22" t="str">
        <f aca="false">IF($X1120="","",SUMIFS('Per Line'!$Y$2:$Y$4001,'Per Line'!$D$2:$D$4001,$B1120,'Per Line'!$AJ$2:$AJ$4001,0))</f>
        <v/>
      </c>
      <c r="P1120" s="22" t="str">
        <f aca="false">IF($X1120="","",O1120*N1120)</f>
        <v/>
      </c>
      <c r="Q1120" s="23" t="str">
        <f aca="false">IF($X1120="","",Settings!$C$6)</f>
        <v/>
      </c>
      <c r="R1120" s="22" t="str">
        <f aca="false">IF($X1120="","",SUMIFS('Per Line'!$Y$2:$Y$4001,'Per Line'!$D$2:$D$4001,$B1120,'Per Line'!$AJ$2:$AJ$4001,1))</f>
        <v/>
      </c>
      <c r="S1120" s="22" t="str">
        <f aca="false">IF($X1120="","",R1120*Q1120)</f>
        <v/>
      </c>
      <c r="T1120" s="22" t="str">
        <f aca="false">IF($X1120="","",S1120+P1120)</f>
        <v/>
      </c>
      <c r="U1120" s="22" t="str">
        <f aca="false">IF($X1120="","",V1120-T1120)</f>
        <v/>
      </c>
      <c r="V1120" s="22" t="str">
        <f aca="false">IF($X1120="","",O1120+R1120)</f>
        <v/>
      </c>
      <c r="W1120" s="22" t="str">
        <f aca="false">IF($X1120="","",U1120-L1120)</f>
        <v/>
      </c>
      <c r="X1120" s="24" t="str">
        <f aca="false">IF(ROWS($X$2:$X1120)&lt;=MAX('Per Line'!$AI$2:$AI$4001),MATCH(ROWS($X$2:$X1120),'Per Line'!$AI$2:$AI$4001,0),"")</f>
        <v/>
      </c>
    </row>
    <row r="1121" customFormat="false" ht="15" hidden="false" customHeight="false" outlineLevel="0" collapsed="false">
      <c r="A1121" s="19"/>
      <c r="B1121" s="20" t="str">
        <f aca="false">IF($X1121="","",INDEX('Per Line'!$D$2:$D$4001,$X1121))</f>
        <v/>
      </c>
      <c r="C1121" s="20" t="str">
        <f aca="false">IF($X1121="","",INDEX('Per Line'!$C$2:$C$4001,$X1121))</f>
        <v/>
      </c>
      <c r="D1121" s="20" t="str">
        <f aca="false">IF($X1121="","",INDEX('Per Line'!$A$2:$A$4001,$X1121))</f>
        <v/>
      </c>
      <c r="E1121" s="21" t="str">
        <f aca="false">IF($X1121="","",INDEX('Per Line'!$F$2:$F$4001,$X1121))</f>
        <v/>
      </c>
      <c r="F1121" s="20" t="str">
        <f aca="false">IF($X1121="","",INDEX('Per Line'!$G$2:$G$4001,$X1121))</f>
        <v/>
      </c>
      <c r="G1121" s="20" t="str">
        <f aca="false">IF($X1121="","",INDEX('Per Line'!$I$2:$I$4001,$X1121))</f>
        <v/>
      </c>
      <c r="H1121" s="20" t="str">
        <f aca="false">IF($X1121="","",INDEX('Per Line'!$J$2:$J$4001,$X1121))</f>
        <v/>
      </c>
      <c r="I1121" s="20" t="str">
        <f aca="false">IF($X1121="","",INDEX('Per Line'!$K$2:$K$4001,$X1121))</f>
        <v/>
      </c>
      <c r="J1121" s="20" t="str">
        <f aca="false">IF($X1121="","",INDEX('Per Line'!$L$2:$L$4001,$X1121))</f>
        <v/>
      </c>
      <c r="K1121" s="20" t="str">
        <f aca="false">IF($X1121="","",INDEX('Per Line'!$M$2:$M$4001,$X1121))</f>
        <v/>
      </c>
      <c r="L1121" s="22" t="str">
        <f aca="false">IF($X1121="","",K1121*V1121/100)</f>
        <v/>
      </c>
      <c r="M1121" s="20" t="str">
        <f aca="false">IF($X1121="","",INDEX('Per Line'!$Z$2:$Z$4001,$X1121))</f>
        <v/>
      </c>
      <c r="N1121" s="23" t="str">
        <f aca="false">IF($X1121="","",Settings!$C$7)</f>
        <v/>
      </c>
      <c r="O1121" s="22" t="str">
        <f aca="false">IF($X1121="","",SUMIFS('Per Line'!$Y$2:$Y$4001,'Per Line'!$D$2:$D$4001,$B1121,'Per Line'!$AJ$2:$AJ$4001,0))</f>
        <v/>
      </c>
      <c r="P1121" s="22" t="str">
        <f aca="false">IF($X1121="","",O1121*N1121)</f>
        <v/>
      </c>
      <c r="Q1121" s="23" t="str">
        <f aca="false">IF($X1121="","",Settings!$C$6)</f>
        <v/>
      </c>
      <c r="R1121" s="22" t="str">
        <f aca="false">IF($X1121="","",SUMIFS('Per Line'!$Y$2:$Y$4001,'Per Line'!$D$2:$D$4001,$B1121,'Per Line'!$AJ$2:$AJ$4001,1))</f>
        <v/>
      </c>
      <c r="S1121" s="22" t="str">
        <f aca="false">IF($X1121="","",R1121*Q1121)</f>
        <v/>
      </c>
      <c r="T1121" s="22" t="str">
        <f aca="false">IF($X1121="","",S1121+P1121)</f>
        <v/>
      </c>
      <c r="U1121" s="22" t="str">
        <f aca="false">IF($X1121="","",V1121-T1121)</f>
        <v/>
      </c>
      <c r="V1121" s="22" t="str">
        <f aca="false">IF($X1121="","",O1121+R1121)</f>
        <v/>
      </c>
      <c r="W1121" s="22" t="str">
        <f aca="false">IF($X1121="","",U1121-L1121)</f>
        <v/>
      </c>
      <c r="X1121" s="24" t="str">
        <f aca="false">IF(ROWS($X$2:$X1121)&lt;=MAX('Per Line'!$AI$2:$AI$4001),MATCH(ROWS($X$2:$X1121),'Per Line'!$AI$2:$AI$4001,0),"")</f>
        <v/>
      </c>
    </row>
    <row r="1122" customFormat="false" ht="15" hidden="false" customHeight="false" outlineLevel="0" collapsed="false">
      <c r="A1122" s="19"/>
      <c r="B1122" s="20" t="str">
        <f aca="false">IF($X1122="","",INDEX('Per Line'!$D$2:$D$4001,$X1122))</f>
        <v/>
      </c>
      <c r="C1122" s="20" t="str">
        <f aca="false">IF($X1122="","",INDEX('Per Line'!$C$2:$C$4001,$X1122))</f>
        <v/>
      </c>
      <c r="D1122" s="20" t="str">
        <f aca="false">IF($X1122="","",INDEX('Per Line'!$A$2:$A$4001,$X1122))</f>
        <v/>
      </c>
      <c r="E1122" s="21" t="str">
        <f aca="false">IF($X1122="","",INDEX('Per Line'!$F$2:$F$4001,$X1122))</f>
        <v/>
      </c>
      <c r="F1122" s="20" t="str">
        <f aca="false">IF($X1122="","",INDEX('Per Line'!$G$2:$G$4001,$X1122))</f>
        <v/>
      </c>
      <c r="G1122" s="20" t="str">
        <f aca="false">IF($X1122="","",INDEX('Per Line'!$I$2:$I$4001,$X1122))</f>
        <v/>
      </c>
      <c r="H1122" s="20" t="str">
        <f aca="false">IF($X1122="","",INDEX('Per Line'!$J$2:$J$4001,$X1122))</f>
        <v/>
      </c>
      <c r="I1122" s="20" t="str">
        <f aca="false">IF($X1122="","",INDEX('Per Line'!$K$2:$K$4001,$X1122))</f>
        <v/>
      </c>
      <c r="J1122" s="20" t="str">
        <f aca="false">IF($X1122="","",INDEX('Per Line'!$L$2:$L$4001,$X1122))</f>
        <v/>
      </c>
      <c r="K1122" s="20" t="str">
        <f aca="false">IF($X1122="","",INDEX('Per Line'!$M$2:$M$4001,$X1122))</f>
        <v/>
      </c>
      <c r="L1122" s="22" t="str">
        <f aca="false">IF($X1122="","",K1122*V1122/100)</f>
        <v/>
      </c>
      <c r="M1122" s="20" t="str">
        <f aca="false">IF($X1122="","",INDEX('Per Line'!$Z$2:$Z$4001,$X1122))</f>
        <v/>
      </c>
      <c r="N1122" s="23" t="str">
        <f aca="false">IF($X1122="","",Settings!$C$7)</f>
        <v/>
      </c>
      <c r="O1122" s="22" t="str">
        <f aca="false">IF($X1122="","",SUMIFS('Per Line'!$Y$2:$Y$4001,'Per Line'!$D$2:$D$4001,$B1122,'Per Line'!$AJ$2:$AJ$4001,0))</f>
        <v/>
      </c>
      <c r="P1122" s="22" t="str">
        <f aca="false">IF($X1122="","",O1122*N1122)</f>
        <v/>
      </c>
      <c r="Q1122" s="23" t="str">
        <f aca="false">IF($X1122="","",Settings!$C$6)</f>
        <v/>
      </c>
      <c r="R1122" s="22" t="str">
        <f aca="false">IF($X1122="","",SUMIFS('Per Line'!$Y$2:$Y$4001,'Per Line'!$D$2:$D$4001,$B1122,'Per Line'!$AJ$2:$AJ$4001,1))</f>
        <v/>
      </c>
      <c r="S1122" s="22" t="str">
        <f aca="false">IF($X1122="","",R1122*Q1122)</f>
        <v/>
      </c>
      <c r="T1122" s="22" t="str">
        <f aca="false">IF($X1122="","",S1122+P1122)</f>
        <v/>
      </c>
      <c r="U1122" s="22" t="str">
        <f aca="false">IF($X1122="","",V1122-T1122)</f>
        <v/>
      </c>
      <c r="V1122" s="22" t="str">
        <f aca="false">IF($X1122="","",O1122+R1122)</f>
        <v/>
      </c>
      <c r="W1122" s="22" t="str">
        <f aca="false">IF($X1122="","",U1122-L1122)</f>
        <v/>
      </c>
      <c r="X1122" s="24" t="str">
        <f aca="false">IF(ROWS($X$2:$X1122)&lt;=MAX('Per Line'!$AI$2:$AI$4001),MATCH(ROWS($X$2:$X1122),'Per Line'!$AI$2:$AI$4001,0),"")</f>
        <v/>
      </c>
    </row>
    <row r="1123" customFormat="false" ht="15" hidden="false" customHeight="false" outlineLevel="0" collapsed="false">
      <c r="A1123" s="19"/>
      <c r="B1123" s="20" t="str">
        <f aca="false">IF($X1123="","",INDEX('Per Line'!$D$2:$D$4001,$X1123))</f>
        <v/>
      </c>
      <c r="C1123" s="20" t="str">
        <f aca="false">IF($X1123="","",INDEX('Per Line'!$C$2:$C$4001,$X1123))</f>
        <v/>
      </c>
      <c r="D1123" s="20" t="str">
        <f aca="false">IF($X1123="","",INDEX('Per Line'!$A$2:$A$4001,$X1123))</f>
        <v/>
      </c>
      <c r="E1123" s="21" t="str">
        <f aca="false">IF($X1123="","",INDEX('Per Line'!$F$2:$F$4001,$X1123))</f>
        <v/>
      </c>
      <c r="F1123" s="20" t="str">
        <f aca="false">IF($X1123="","",INDEX('Per Line'!$G$2:$G$4001,$X1123))</f>
        <v/>
      </c>
      <c r="G1123" s="20" t="str">
        <f aca="false">IF($X1123="","",INDEX('Per Line'!$I$2:$I$4001,$X1123))</f>
        <v/>
      </c>
      <c r="H1123" s="20" t="str">
        <f aca="false">IF($X1123="","",INDEX('Per Line'!$J$2:$J$4001,$X1123))</f>
        <v/>
      </c>
      <c r="I1123" s="20" t="str">
        <f aca="false">IF($X1123="","",INDEX('Per Line'!$K$2:$K$4001,$X1123))</f>
        <v/>
      </c>
      <c r="J1123" s="20" t="str">
        <f aca="false">IF($X1123="","",INDEX('Per Line'!$L$2:$L$4001,$X1123))</f>
        <v/>
      </c>
      <c r="K1123" s="20" t="str">
        <f aca="false">IF($X1123="","",INDEX('Per Line'!$M$2:$M$4001,$X1123))</f>
        <v/>
      </c>
      <c r="L1123" s="22" t="str">
        <f aca="false">IF($X1123="","",K1123*V1123/100)</f>
        <v/>
      </c>
      <c r="M1123" s="20" t="str">
        <f aca="false">IF($X1123="","",INDEX('Per Line'!$Z$2:$Z$4001,$X1123))</f>
        <v/>
      </c>
      <c r="N1123" s="23" t="str">
        <f aca="false">IF($X1123="","",Settings!$C$7)</f>
        <v/>
      </c>
      <c r="O1123" s="22" t="str">
        <f aca="false">IF($X1123="","",SUMIFS('Per Line'!$Y$2:$Y$4001,'Per Line'!$D$2:$D$4001,$B1123,'Per Line'!$AJ$2:$AJ$4001,0))</f>
        <v/>
      </c>
      <c r="P1123" s="22" t="str">
        <f aca="false">IF($X1123="","",O1123*N1123)</f>
        <v/>
      </c>
      <c r="Q1123" s="23" t="str">
        <f aca="false">IF($X1123="","",Settings!$C$6)</f>
        <v/>
      </c>
      <c r="R1123" s="22" t="str">
        <f aca="false">IF($X1123="","",SUMIFS('Per Line'!$Y$2:$Y$4001,'Per Line'!$D$2:$D$4001,$B1123,'Per Line'!$AJ$2:$AJ$4001,1))</f>
        <v/>
      </c>
      <c r="S1123" s="22" t="str">
        <f aca="false">IF($X1123="","",R1123*Q1123)</f>
        <v/>
      </c>
      <c r="T1123" s="22" t="str">
        <f aca="false">IF($X1123="","",S1123+P1123)</f>
        <v/>
      </c>
      <c r="U1123" s="22" t="str">
        <f aca="false">IF($X1123="","",V1123-T1123)</f>
        <v/>
      </c>
      <c r="V1123" s="22" t="str">
        <f aca="false">IF($X1123="","",O1123+R1123)</f>
        <v/>
      </c>
      <c r="W1123" s="22" t="str">
        <f aca="false">IF($X1123="","",U1123-L1123)</f>
        <v/>
      </c>
      <c r="X1123" s="24" t="str">
        <f aca="false">IF(ROWS($X$2:$X1123)&lt;=MAX('Per Line'!$AI$2:$AI$4001),MATCH(ROWS($X$2:$X1123),'Per Line'!$AI$2:$AI$4001,0),"")</f>
        <v/>
      </c>
    </row>
    <row r="1124" customFormat="false" ht="15" hidden="false" customHeight="false" outlineLevel="0" collapsed="false">
      <c r="A1124" s="19"/>
      <c r="B1124" s="20" t="str">
        <f aca="false">IF($X1124="","",INDEX('Per Line'!$D$2:$D$4001,$X1124))</f>
        <v/>
      </c>
      <c r="C1124" s="20" t="str">
        <f aca="false">IF($X1124="","",INDEX('Per Line'!$C$2:$C$4001,$X1124))</f>
        <v/>
      </c>
      <c r="D1124" s="20" t="str">
        <f aca="false">IF($X1124="","",INDEX('Per Line'!$A$2:$A$4001,$X1124))</f>
        <v/>
      </c>
      <c r="E1124" s="21" t="str">
        <f aca="false">IF($X1124="","",INDEX('Per Line'!$F$2:$F$4001,$X1124))</f>
        <v/>
      </c>
      <c r="F1124" s="20" t="str">
        <f aca="false">IF($X1124="","",INDEX('Per Line'!$G$2:$G$4001,$X1124))</f>
        <v/>
      </c>
      <c r="G1124" s="20" t="str">
        <f aca="false">IF($X1124="","",INDEX('Per Line'!$I$2:$I$4001,$X1124))</f>
        <v/>
      </c>
      <c r="H1124" s="20" t="str">
        <f aca="false">IF($X1124="","",INDEX('Per Line'!$J$2:$J$4001,$X1124))</f>
        <v/>
      </c>
      <c r="I1124" s="20" t="str">
        <f aca="false">IF($X1124="","",INDEX('Per Line'!$K$2:$K$4001,$X1124))</f>
        <v/>
      </c>
      <c r="J1124" s="20" t="str">
        <f aca="false">IF($X1124="","",INDEX('Per Line'!$L$2:$L$4001,$X1124))</f>
        <v/>
      </c>
      <c r="K1124" s="20" t="str">
        <f aca="false">IF($X1124="","",INDEX('Per Line'!$M$2:$M$4001,$X1124))</f>
        <v/>
      </c>
      <c r="L1124" s="22" t="str">
        <f aca="false">IF($X1124="","",K1124*V1124/100)</f>
        <v/>
      </c>
      <c r="M1124" s="20" t="str">
        <f aca="false">IF($X1124="","",INDEX('Per Line'!$Z$2:$Z$4001,$X1124))</f>
        <v/>
      </c>
      <c r="N1124" s="23" t="str">
        <f aca="false">IF($X1124="","",Settings!$C$7)</f>
        <v/>
      </c>
      <c r="O1124" s="22" t="str">
        <f aca="false">IF($X1124="","",SUMIFS('Per Line'!$Y$2:$Y$4001,'Per Line'!$D$2:$D$4001,$B1124,'Per Line'!$AJ$2:$AJ$4001,0))</f>
        <v/>
      </c>
      <c r="P1124" s="22" t="str">
        <f aca="false">IF($X1124="","",O1124*N1124)</f>
        <v/>
      </c>
      <c r="Q1124" s="23" t="str">
        <f aca="false">IF($X1124="","",Settings!$C$6)</f>
        <v/>
      </c>
      <c r="R1124" s="22" t="str">
        <f aca="false">IF($X1124="","",SUMIFS('Per Line'!$Y$2:$Y$4001,'Per Line'!$D$2:$D$4001,$B1124,'Per Line'!$AJ$2:$AJ$4001,1))</f>
        <v/>
      </c>
      <c r="S1124" s="22" t="str">
        <f aca="false">IF($X1124="","",R1124*Q1124)</f>
        <v/>
      </c>
      <c r="T1124" s="22" t="str">
        <f aca="false">IF($X1124="","",S1124+P1124)</f>
        <v/>
      </c>
      <c r="U1124" s="22" t="str">
        <f aca="false">IF($X1124="","",V1124-T1124)</f>
        <v/>
      </c>
      <c r="V1124" s="22" t="str">
        <f aca="false">IF($X1124="","",O1124+R1124)</f>
        <v/>
      </c>
      <c r="W1124" s="22" t="str">
        <f aca="false">IF($X1124="","",U1124-L1124)</f>
        <v/>
      </c>
      <c r="X1124" s="24" t="str">
        <f aca="false">IF(ROWS($X$2:$X1124)&lt;=MAX('Per Line'!$AI$2:$AI$4001),MATCH(ROWS($X$2:$X1124),'Per Line'!$AI$2:$AI$4001,0),"")</f>
        <v/>
      </c>
    </row>
    <row r="1125" customFormat="false" ht="15" hidden="false" customHeight="false" outlineLevel="0" collapsed="false">
      <c r="A1125" s="19"/>
      <c r="B1125" s="20" t="str">
        <f aca="false">IF($X1125="","",INDEX('Per Line'!$D$2:$D$4001,$X1125))</f>
        <v/>
      </c>
      <c r="C1125" s="20" t="str">
        <f aca="false">IF($X1125="","",INDEX('Per Line'!$C$2:$C$4001,$X1125))</f>
        <v/>
      </c>
      <c r="D1125" s="20" t="str">
        <f aca="false">IF($X1125="","",INDEX('Per Line'!$A$2:$A$4001,$X1125))</f>
        <v/>
      </c>
      <c r="E1125" s="21" t="str">
        <f aca="false">IF($X1125="","",INDEX('Per Line'!$F$2:$F$4001,$X1125))</f>
        <v/>
      </c>
      <c r="F1125" s="20" t="str">
        <f aca="false">IF($X1125="","",INDEX('Per Line'!$G$2:$G$4001,$X1125))</f>
        <v/>
      </c>
      <c r="G1125" s="20" t="str">
        <f aca="false">IF($X1125="","",INDEX('Per Line'!$I$2:$I$4001,$X1125))</f>
        <v/>
      </c>
      <c r="H1125" s="20" t="str">
        <f aca="false">IF($X1125="","",INDEX('Per Line'!$J$2:$J$4001,$X1125))</f>
        <v/>
      </c>
      <c r="I1125" s="20" t="str">
        <f aca="false">IF($X1125="","",INDEX('Per Line'!$K$2:$K$4001,$X1125))</f>
        <v/>
      </c>
      <c r="J1125" s="20" t="str">
        <f aca="false">IF($X1125="","",INDEX('Per Line'!$L$2:$L$4001,$X1125))</f>
        <v/>
      </c>
      <c r="K1125" s="20" t="str">
        <f aca="false">IF($X1125="","",INDEX('Per Line'!$M$2:$M$4001,$X1125))</f>
        <v/>
      </c>
      <c r="L1125" s="22" t="str">
        <f aca="false">IF($X1125="","",K1125*V1125/100)</f>
        <v/>
      </c>
      <c r="M1125" s="20" t="str">
        <f aca="false">IF($X1125="","",INDEX('Per Line'!$Z$2:$Z$4001,$X1125))</f>
        <v/>
      </c>
      <c r="N1125" s="23" t="str">
        <f aca="false">IF($X1125="","",Settings!$C$7)</f>
        <v/>
      </c>
      <c r="O1125" s="22" t="str">
        <f aca="false">IF($X1125="","",SUMIFS('Per Line'!$Y$2:$Y$4001,'Per Line'!$D$2:$D$4001,$B1125,'Per Line'!$AJ$2:$AJ$4001,0))</f>
        <v/>
      </c>
      <c r="P1125" s="22" t="str">
        <f aca="false">IF($X1125="","",O1125*N1125)</f>
        <v/>
      </c>
      <c r="Q1125" s="23" t="str">
        <f aca="false">IF($X1125="","",Settings!$C$6)</f>
        <v/>
      </c>
      <c r="R1125" s="22" t="str">
        <f aca="false">IF($X1125="","",SUMIFS('Per Line'!$Y$2:$Y$4001,'Per Line'!$D$2:$D$4001,$B1125,'Per Line'!$AJ$2:$AJ$4001,1))</f>
        <v/>
      </c>
      <c r="S1125" s="22" t="str">
        <f aca="false">IF($X1125="","",R1125*Q1125)</f>
        <v/>
      </c>
      <c r="T1125" s="22" t="str">
        <f aca="false">IF($X1125="","",S1125+P1125)</f>
        <v/>
      </c>
      <c r="U1125" s="22" t="str">
        <f aca="false">IF($X1125="","",V1125-T1125)</f>
        <v/>
      </c>
      <c r="V1125" s="22" t="str">
        <f aca="false">IF($X1125="","",O1125+R1125)</f>
        <v/>
      </c>
      <c r="W1125" s="22" t="str">
        <f aca="false">IF($X1125="","",U1125-L1125)</f>
        <v/>
      </c>
      <c r="X1125" s="24" t="str">
        <f aca="false">IF(ROWS($X$2:$X1125)&lt;=MAX('Per Line'!$AI$2:$AI$4001),MATCH(ROWS($X$2:$X1125),'Per Line'!$AI$2:$AI$4001,0),"")</f>
        <v/>
      </c>
    </row>
    <row r="1126" customFormat="false" ht="15" hidden="false" customHeight="false" outlineLevel="0" collapsed="false">
      <c r="A1126" s="19"/>
      <c r="B1126" s="20" t="str">
        <f aca="false">IF($X1126="","",INDEX('Per Line'!$D$2:$D$4001,$X1126))</f>
        <v/>
      </c>
      <c r="C1126" s="20" t="str">
        <f aca="false">IF($X1126="","",INDEX('Per Line'!$C$2:$C$4001,$X1126))</f>
        <v/>
      </c>
      <c r="D1126" s="20" t="str">
        <f aca="false">IF($X1126="","",INDEX('Per Line'!$A$2:$A$4001,$X1126))</f>
        <v/>
      </c>
      <c r="E1126" s="21" t="str">
        <f aca="false">IF($X1126="","",INDEX('Per Line'!$F$2:$F$4001,$X1126))</f>
        <v/>
      </c>
      <c r="F1126" s="20" t="str">
        <f aca="false">IF($X1126="","",INDEX('Per Line'!$G$2:$G$4001,$X1126))</f>
        <v/>
      </c>
      <c r="G1126" s="20" t="str">
        <f aca="false">IF($X1126="","",INDEX('Per Line'!$I$2:$I$4001,$X1126))</f>
        <v/>
      </c>
      <c r="H1126" s="20" t="str">
        <f aca="false">IF($X1126="","",INDEX('Per Line'!$J$2:$J$4001,$X1126))</f>
        <v/>
      </c>
      <c r="I1126" s="20" t="str">
        <f aca="false">IF($X1126="","",INDEX('Per Line'!$K$2:$K$4001,$X1126))</f>
        <v/>
      </c>
      <c r="J1126" s="20" t="str">
        <f aca="false">IF($X1126="","",INDEX('Per Line'!$L$2:$L$4001,$X1126))</f>
        <v/>
      </c>
      <c r="K1126" s="20" t="str">
        <f aca="false">IF($X1126="","",INDEX('Per Line'!$M$2:$M$4001,$X1126))</f>
        <v/>
      </c>
      <c r="L1126" s="22" t="str">
        <f aca="false">IF($X1126="","",K1126*V1126/100)</f>
        <v/>
      </c>
      <c r="M1126" s="20" t="str">
        <f aca="false">IF($X1126="","",INDEX('Per Line'!$Z$2:$Z$4001,$X1126))</f>
        <v/>
      </c>
      <c r="N1126" s="23" t="str">
        <f aca="false">IF($X1126="","",Settings!$C$7)</f>
        <v/>
      </c>
      <c r="O1126" s="22" t="str">
        <f aca="false">IF($X1126="","",SUMIFS('Per Line'!$Y$2:$Y$4001,'Per Line'!$D$2:$D$4001,$B1126,'Per Line'!$AJ$2:$AJ$4001,0))</f>
        <v/>
      </c>
      <c r="P1126" s="22" t="str">
        <f aca="false">IF($X1126="","",O1126*N1126)</f>
        <v/>
      </c>
      <c r="Q1126" s="23" t="str">
        <f aca="false">IF($X1126="","",Settings!$C$6)</f>
        <v/>
      </c>
      <c r="R1126" s="22" t="str">
        <f aca="false">IF($X1126="","",SUMIFS('Per Line'!$Y$2:$Y$4001,'Per Line'!$D$2:$D$4001,$B1126,'Per Line'!$AJ$2:$AJ$4001,1))</f>
        <v/>
      </c>
      <c r="S1126" s="22" t="str">
        <f aca="false">IF($X1126="","",R1126*Q1126)</f>
        <v/>
      </c>
      <c r="T1126" s="22" t="str">
        <f aca="false">IF($X1126="","",S1126+P1126)</f>
        <v/>
      </c>
      <c r="U1126" s="22" t="str">
        <f aca="false">IF($X1126="","",V1126-T1126)</f>
        <v/>
      </c>
      <c r="V1126" s="22" t="str">
        <f aca="false">IF($X1126="","",O1126+R1126)</f>
        <v/>
      </c>
      <c r="W1126" s="22" t="str">
        <f aca="false">IF($X1126="","",U1126-L1126)</f>
        <v/>
      </c>
      <c r="X1126" s="24" t="str">
        <f aca="false">IF(ROWS($X$2:$X1126)&lt;=MAX('Per Line'!$AI$2:$AI$4001),MATCH(ROWS($X$2:$X1126),'Per Line'!$AI$2:$AI$4001,0),"")</f>
        <v/>
      </c>
    </row>
    <row r="1127" customFormat="false" ht="15" hidden="false" customHeight="false" outlineLevel="0" collapsed="false">
      <c r="A1127" s="19"/>
      <c r="B1127" s="20" t="str">
        <f aca="false">IF($X1127="","",INDEX('Per Line'!$D$2:$D$4001,$X1127))</f>
        <v/>
      </c>
      <c r="C1127" s="20" t="str">
        <f aca="false">IF($X1127="","",INDEX('Per Line'!$C$2:$C$4001,$X1127))</f>
        <v/>
      </c>
      <c r="D1127" s="20" t="str">
        <f aca="false">IF($X1127="","",INDEX('Per Line'!$A$2:$A$4001,$X1127))</f>
        <v/>
      </c>
      <c r="E1127" s="21" t="str">
        <f aca="false">IF($X1127="","",INDEX('Per Line'!$F$2:$F$4001,$X1127))</f>
        <v/>
      </c>
      <c r="F1127" s="20" t="str">
        <f aca="false">IF($X1127="","",INDEX('Per Line'!$G$2:$G$4001,$X1127))</f>
        <v/>
      </c>
      <c r="G1127" s="20" t="str">
        <f aca="false">IF($X1127="","",INDEX('Per Line'!$I$2:$I$4001,$X1127))</f>
        <v/>
      </c>
      <c r="H1127" s="20" t="str">
        <f aca="false">IF($X1127="","",INDEX('Per Line'!$J$2:$J$4001,$X1127))</f>
        <v/>
      </c>
      <c r="I1127" s="20" t="str">
        <f aca="false">IF($X1127="","",INDEX('Per Line'!$K$2:$K$4001,$X1127))</f>
        <v/>
      </c>
      <c r="J1127" s="20" t="str">
        <f aca="false">IF($X1127="","",INDEX('Per Line'!$L$2:$L$4001,$X1127))</f>
        <v/>
      </c>
      <c r="K1127" s="20" t="str">
        <f aca="false">IF($X1127="","",INDEX('Per Line'!$M$2:$M$4001,$X1127))</f>
        <v/>
      </c>
      <c r="L1127" s="22" t="str">
        <f aca="false">IF($X1127="","",K1127*V1127/100)</f>
        <v/>
      </c>
      <c r="M1127" s="20" t="str">
        <f aca="false">IF($X1127="","",INDEX('Per Line'!$Z$2:$Z$4001,$X1127))</f>
        <v/>
      </c>
      <c r="N1127" s="23" t="str">
        <f aca="false">IF($X1127="","",Settings!$C$7)</f>
        <v/>
      </c>
      <c r="O1127" s="22" t="str">
        <f aca="false">IF($X1127="","",SUMIFS('Per Line'!$Y$2:$Y$4001,'Per Line'!$D$2:$D$4001,$B1127,'Per Line'!$AJ$2:$AJ$4001,0))</f>
        <v/>
      </c>
      <c r="P1127" s="22" t="str">
        <f aca="false">IF($X1127="","",O1127*N1127)</f>
        <v/>
      </c>
      <c r="Q1127" s="23" t="str">
        <f aca="false">IF($X1127="","",Settings!$C$6)</f>
        <v/>
      </c>
      <c r="R1127" s="22" t="str">
        <f aca="false">IF($X1127="","",SUMIFS('Per Line'!$Y$2:$Y$4001,'Per Line'!$D$2:$D$4001,$B1127,'Per Line'!$AJ$2:$AJ$4001,1))</f>
        <v/>
      </c>
      <c r="S1127" s="22" t="str">
        <f aca="false">IF($X1127="","",R1127*Q1127)</f>
        <v/>
      </c>
      <c r="T1127" s="22" t="str">
        <f aca="false">IF($X1127="","",S1127+P1127)</f>
        <v/>
      </c>
      <c r="U1127" s="22" t="str">
        <f aca="false">IF($X1127="","",V1127-T1127)</f>
        <v/>
      </c>
      <c r="V1127" s="22" t="str">
        <f aca="false">IF($X1127="","",O1127+R1127)</f>
        <v/>
      </c>
      <c r="W1127" s="22" t="str">
        <f aca="false">IF($X1127="","",U1127-L1127)</f>
        <v/>
      </c>
      <c r="X1127" s="24" t="str">
        <f aca="false">IF(ROWS($X$2:$X1127)&lt;=MAX('Per Line'!$AI$2:$AI$4001),MATCH(ROWS($X$2:$X1127),'Per Line'!$AI$2:$AI$4001,0),"")</f>
        <v/>
      </c>
    </row>
    <row r="1128" customFormat="false" ht="15" hidden="false" customHeight="false" outlineLevel="0" collapsed="false">
      <c r="A1128" s="19"/>
      <c r="B1128" s="20" t="str">
        <f aca="false">IF($X1128="","",INDEX('Per Line'!$D$2:$D$4001,$X1128))</f>
        <v/>
      </c>
      <c r="C1128" s="20" t="str">
        <f aca="false">IF($X1128="","",INDEX('Per Line'!$C$2:$C$4001,$X1128))</f>
        <v/>
      </c>
      <c r="D1128" s="20" t="str">
        <f aca="false">IF($X1128="","",INDEX('Per Line'!$A$2:$A$4001,$X1128))</f>
        <v/>
      </c>
      <c r="E1128" s="21" t="str">
        <f aca="false">IF($X1128="","",INDEX('Per Line'!$F$2:$F$4001,$X1128))</f>
        <v/>
      </c>
      <c r="F1128" s="20" t="str">
        <f aca="false">IF($X1128="","",INDEX('Per Line'!$G$2:$G$4001,$X1128))</f>
        <v/>
      </c>
      <c r="G1128" s="20" t="str">
        <f aca="false">IF($X1128="","",INDEX('Per Line'!$I$2:$I$4001,$X1128))</f>
        <v/>
      </c>
      <c r="H1128" s="20" t="str">
        <f aca="false">IF($X1128="","",INDEX('Per Line'!$J$2:$J$4001,$X1128))</f>
        <v/>
      </c>
      <c r="I1128" s="20" t="str">
        <f aca="false">IF($X1128="","",INDEX('Per Line'!$K$2:$K$4001,$X1128))</f>
        <v/>
      </c>
      <c r="J1128" s="20" t="str">
        <f aca="false">IF($X1128="","",INDEX('Per Line'!$L$2:$L$4001,$X1128))</f>
        <v/>
      </c>
      <c r="K1128" s="20" t="str">
        <f aca="false">IF($X1128="","",INDEX('Per Line'!$M$2:$M$4001,$X1128))</f>
        <v/>
      </c>
      <c r="L1128" s="22" t="str">
        <f aca="false">IF($X1128="","",K1128*V1128/100)</f>
        <v/>
      </c>
      <c r="M1128" s="20" t="str">
        <f aca="false">IF($X1128="","",INDEX('Per Line'!$Z$2:$Z$4001,$X1128))</f>
        <v/>
      </c>
      <c r="N1128" s="23" t="str">
        <f aca="false">IF($X1128="","",Settings!$C$7)</f>
        <v/>
      </c>
      <c r="O1128" s="22" t="str">
        <f aca="false">IF($X1128="","",SUMIFS('Per Line'!$Y$2:$Y$4001,'Per Line'!$D$2:$D$4001,$B1128,'Per Line'!$AJ$2:$AJ$4001,0))</f>
        <v/>
      </c>
      <c r="P1128" s="22" t="str">
        <f aca="false">IF($X1128="","",O1128*N1128)</f>
        <v/>
      </c>
      <c r="Q1128" s="23" t="str">
        <f aca="false">IF($X1128="","",Settings!$C$6)</f>
        <v/>
      </c>
      <c r="R1128" s="22" t="str">
        <f aca="false">IF($X1128="","",SUMIFS('Per Line'!$Y$2:$Y$4001,'Per Line'!$D$2:$D$4001,$B1128,'Per Line'!$AJ$2:$AJ$4001,1))</f>
        <v/>
      </c>
      <c r="S1128" s="22" t="str">
        <f aca="false">IF($X1128="","",R1128*Q1128)</f>
        <v/>
      </c>
      <c r="T1128" s="22" t="str">
        <f aca="false">IF($X1128="","",S1128+P1128)</f>
        <v/>
      </c>
      <c r="U1128" s="22" t="str">
        <f aca="false">IF($X1128="","",V1128-T1128)</f>
        <v/>
      </c>
      <c r="V1128" s="22" t="str">
        <f aca="false">IF($X1128="","",O1128+R1128)</f>
        <v/>
      </c>
      <c r="W1128" s="22" t="str">
        <f aca="false">IF($X1128="","",U1128-L1128)</f>
        <v/>
      </c>
      <c r="X1128" s="24" t="str">
        <f aca="false">IF(ROWS($X$2:$X1128)&lt;=MAX('Per Line'!$AI$2:$AI$4001),MATCH(ROWS($X$2:$X1128),'Per Line'!$AI$2:$AI$4001,0),"")</f>
        <v/>
      </c>
    </row>
    <row r="1129" customFormat="false" ht="15" hidden="false" customHeight="false" outlineLevel="0" collapsed="false">
      <c r="A1129" s="19"/>
      <c r="B1129" s="20" t="str">
        <f aca="false">IF($X1129="","",INDEX('Per Line'!$D$2:$D$4001,$X1129))</f>
        <v/>
      </c>
      <c r="C1129" s="20" t="str">
        <f aca="false">IF($X1129="","",INDEX('Per Line'!$C$2:$C$4001,$X1129))</f>
        <v/>
      </c>
      <c r="D1129" s="20" t="str">
        <f aca="false">IF($X1129="","",INDEX('Per Line'!$A$2:$A$4001,$X1129))</f>
        <v/>
      </c>
      <c r="E1129" s="21" t="str">
        <f aca="false">IF($X1129="","",INDEX('Per Line'!$F$2:$F$4001,$X1129))</f>
        <v/>
      </c>
      <c r="F1129" s="20" t="str">
        <f aca="false">IF($X1129="","",INDEX('Per Line'!$G$2:$G$4001,$X1129))</f>
        <v/>
      </c>
      <c r="G1129" s="20" t="str">
        <f aca="false">IF($X1129="","",INDEX('Per Line'!$I$2:$I$4001,$X1129))</f>
        <v/>
      </c>
      <c r="H1129" s="20" t="str">
        <f aca="false">IF($X1129="","",INDEX('Per Line'!$J$2:$J$4001,$X1129))</f>
        <v/>
      </c>
      <c r="I1129" s="20" t="str">
        <f aca="false">IF($X1129="","",INDEX('Per Line'!$K$2:$K$4001,$X1129))</f>
        <v/>
      </c>
      <c r="J1129" s="20" t="str">
        <f aca="false">IF($X1129="","",INDEX('Per Line'!$L$2:$L$4001,$X1129))</f>
        <v/>
      </c>
      <c r="K1129" s="20" t="str">
        <f aca="false">IF($X1129="","",INDEX('Per Line'!$M$2:$M$4001,$X1129))</f>
        <v/>
      </c>
      <c r="L1129" s="22" t="str">
        <f aca="false">IF($X1129="","",K1129*V1129/100)</f>
        <v/>
      </c>
      <c r="M1129" s="20" t="str">
        <f aca="false">IF($X1129="","",INDEX('Per Line'!$Z$2:$Z$4001,$X1129))</f>
        <v/>
      </c>
      <c r="N1129" s="23" t="str">
        <f aca="false">IF($X1129="","",Settings!$C$7)</f>
        <v/>
      </c>
      <c r="O1129" s="22" t="str">
        <f aca="false">IF($X1129="","",SUMIFS('Per Line'!$Y$2:$Y$4001,'Per Line'!$D$2:$D$4001,$B1129,'Per Line'!$AJ$2:$AJ$4001,0))</f>
        <v/>
      </c>
      <c r="P1129" s="22" t="str">
        <f aca="false">IF($X1129="","",O1129*N1129)</f>
        <v/>
      </c>
      <c r="Q1129" s="23" t="str">
        <f aca="false">IF($X1129="","",Settings!$C$6)</f>
        <v/>
      </c>
      <c r="R1129" s="22" t="str">
        <f aca="false">IF($X1129="","",SUMIFS('Per Line'!$Y$2:$Y$4001,'Per Line'!$D$2:$D$4001,$B1129,'Per Line'!$AJ$2:$AJ$4001,1))</f>
        <v/>
      </c>
      <c r="S1129" s="22" t="str">
        <f aca="false">IF($X1129="","",R1129*Q1129)</f>
        <v/>
      </c>
      <c r="T1129" s="22" t="str">
        <f aca="false">IF($X1129="","",S1129+P1129)</f>
        <v/>
      </c>
      <c r="U1129" s="22" t="str">
        <f aca="false">IF($X1129="","",V1129-T1129)</f>
        <v/>
      </c>
      <c r="V1129" s="22" t="str">
        <f aca="false">IF($X1129="","",O1129+R1129)</f>
        <v/>
      </c>
      <c r="W1129" s="22" t="str">
        <f aca="false">IF($X1129="","",U1129-L1129)</f>
        <v/>
      </c>
      <c r="X1129" s="24" t="str">
        <f aca="false">IF(ROWS($X$2:$X1129)&lt;=MAX('Per Line'!$AI$2:$AI$4001),MATCH(ROWS($X$2:$X1129),'Per Line'!$AI$2:$AI$4001,0),"")</f>
        <v/>
      </c>
    </row>
    <row r="1130" customFormat="false" ht="15" hidden="false" customHeight="false" outlineLevel="0" collapsed="false">
      <c r="A1130" s="19"/>
      <c r="B1130" s="20" t="str">
        <f aca="false">IF($X1130="","",INDEX('Per Line'!$D$2:$D$4001,$X1130))</f>
        <v/>
      </c>
      <c r="C1130" s="20" t="str">
        <f aca="false">IF($X1130="","",INDEX('Per Line'!$C$2:$C$4001,$X1130))</f>
        <v/>
      </c>
      <c r="D1130" s="20" t="str">
        <f aca="false">IF($X1130="","",INDEX('Per Line'!$A$2:$A$4001,$X1130))</f>
        <v/>
      </c>
      <c r="E1130" s="21" t="str">
        <f aca="false">IF($X1130="","",INDEX('Per Line'!$F$2:$F$4001,$X1130))</f>
        <v/>
      </c>
      <c r="F1130" s="20" t="str">
        <f aca="false">IF($X1130="","",INDEX('Per Line'!$G$2:$G$4001,$X1130))</f>
        <v/>
      </c>
      <c r="G1130" s="20" t="str">
        <f aca="false">IF($X1130="","",INDEX('Per Line'!$I$2:$I$4001,$X1130))</f>
        <v/>
      </c>
      <c r="H1130" s="20" t="str">
        <f aca="false">IF($X1130="","",INDEX('Per Line'!$J$2:$J$4001,$X1130))</f>
        <v/>
      </c>
      <c r="I1130" s="20" t="str">
        <f aca="false">IF($X1130="","",INDEX('Per Line'!$K$2:$K$4001,$X1130))</f>
        <v/>
      </c>
      <c r="J1130" s="20" t="str">
        <f aca="false">IF($X1130="","",INDEX('Per Line'!$L$2:$L$4001,$X1130))</f>
        <v/>
      </c>
      <c r="K1130" s="20" t="str">
        <f aca="false">IF($X1130="","",INDEX('Per Line'!$M$2:$M$4001,$X1130))</f>
        <v/>
      </c>
      <c r="L1130" s="22" t="str">
        <f aca="false">IF($X1130="","",K1130*V1130/100)</f>
        <v/>
      </c>
      <c r="M1130" s="20" t="str">
        <f aca="false">IF($X1130="","",INDEX('Per Line'!$Z$2:$Z$4001,$X1130))</f>
        <v/>
      </c>
      <c r="N1130" s="23" t="str">
        <f aca="false">IF($X1130="","",Settings!$C$7)</f>
        <v/>
      </c>
      <c r="O1130" s="22" t="str">
        <f aca="false">IF($X1130="","",SUMIFS('Per Line'!$Y$2:$Y$4001,'Per Line'!$D$2:$D$4001,$B1130,'Per Line'!$AJ$2:$AJ$4001,0))</f>
        <v/>
      </c>
      <c r="P1130" s="22" t="str">
        <f aca="false">IF($X1130="","",O1130*N1130)</f>
        <v/>
      </c>
      <c r="Q1130" s="23" t="str">
        <f aca="false">IF($X1130="","",Settings!$C$6)</f>
        <v/>
      </c>
      <c r="R1130" s="22" t="str">
        <f aca="false">IF($X1130="","",SUMIFS('Per Line'!$Y$2:$Y$4001,'Per Line'!$D$2:$D$4001,$B1130,'Per Line'!$AJ$2:$AJ$4001,1))</f>
        <v/>
      </c>
      <c r="S1130" s="22" t="str">
        <f aca="false">IF($X1130="","",R1130*Q1130)</f>
        <v/>
      </c>
      <c r="T1130" s="22" t="str">
        <f aca="false">IF($X1130="","",S1130+P1130)</f>
        <v/>
      </c>
      <c r="U1130" s="22" t="str">
        <f aca="false">IF($X1130="","",V1130-T1130)</f>
        <v/>
      </c>
      <c r="V1130" s="22" t="str">
        <f aca="false">IF($X1130="","",O1130+R1130)</f>
        <v/>
      </c>
      <c r="W1130" s="22" t="str">
        <f aca="false">IF($X1130="","",U1130-L1130)</f>
        <v/>
      </c>
      <c r="X1130" s="24" t="str">
        <f aca="false">IF(ROWS($X$2:$X1130)&lt;=MAX('Per Line'!$AI$2:$AI$4001),MATCH(ROWS($X$2:$X1130),'Per Line'!$AI$2:$AI$4001,0),"")</f>
        <v/>
      </c>
    </row>
    <row r="1131" customFormat="false" ht="15" hidden="false" customHeight="false" outlineLevel="0" collapsed="false">
      <c r="A1131" s="19"/>
      <c r="B1131" s="20" t="str">
        <f aca="false">IF($X1131="","",INDEX('Per Line'!$D$2:$D$4001,$X1131))</f>
        <v/>
      </c>
      <c r="C1131" s="20" t="str">
        <f aca="false">IF($X1131="","",INDEX('Per Line'!$C$2:$C$4001,$X1131))</f>
        <v/>
      </c>
      <c r="D1131" s="20" t="str">
        <f aca="false">IF($X1131="","",INDEX('Per Line'!$A$2:$A$4001,$X1131))</f>
        <v/>
      </c>
      <c r="E1131" s="21" t="str">
        <f aca="false">IF($X1131="","",INDEX('Per Line'!$F$2:$F$4001,$X1131))</f>
        <v/>
      </c>
      <c r="F1131" s="20" t="str">
        <f aca="false">IF($X1131="","",INDEX('Per Line'!$G$2:$G$4001,$X1131))</f>
        <v/>
      </c>
      <c r="G1131" s="20" t="str">
        <f aca="false">IF($X1131="","",INDEX('Per Line'!$I$2:$I$4001,$X1131))</f>
        <v/>
      </c>
      <c r="H1131" s="20" t="str">
        <f aca="false">IF($X1131="","",INDEX('Per Line'!$J$2:$J$4001,$X1131))</f>
        <v/>
      </c>
      <c r="I1131" s="20" t="str">
        <f aca="false">IF($X1131="","",INDEX('Per Line'!$K$2:$K$4001,$X1131))</f>
        <v/>
      </c>
      <c r="J1131" s="20" t="str">
        <f aca="false">IF($X1131="","",INDEX('Per Line'!$L$2:$L$4001,$X1131))</f>
        <v/>
      </c>
      <c r="K1131" s="20" t="str">
        <f aca="false">IF($X1131="","",INDEX('Per Line'!$M$2:$M$4001,$X1131))</f>
        <v/>
      </c>
      <c r="L1131" s="22" t="str">
        <f aca="false">IF($X1131="","",K1131*V1131/100)</f>
        <v/>
      </c>
      <c r="M1131" s="20" t="str">
        <f aca="false">IF($X1131="","",INDEX('Per Line'!$Z$2:$Z$4001,$X1131))</f>
        <v/>
      </c>
      <c r="N1131" s="23" t="str">
        <f aca="false">IF($X1131="","",Settings!$C$7)</f>
        <v/>
      </c>
      <c r="O1131" s="22" t="str">
        <f aca="false">IF($X1131="","",SUMIFS('Per Line'!$Y$2:$Y$4001,'Per Line'!$D$2:$D$4001,$B1131,'Per Line'!$AJ$2:$AJ$4001,0))</f>
        <v/>
      </c>
      <c r="P1131" s="22" t="str">
        <f aca="false">IF($X1131="","",O1131*N1131)</f>
        <v/>
      </c>
      <c r="Q1131" s="23" t="str">
        <f aca="false">IF($X1131="","",Settings!$C$6)</f>
        <v/>
      </c>
      <c r="R1131" s="22" t="str">
        <f aca="false">IF($X1131="","",SUMIFS('Per Line'!$Y$2:$Y$4001,'Per Line'!$D$2:$D$4001,$B1131,'Per Line'!$AJ$2:$AJ$4001,1))</f>
        <v/>
      </c>
      <c r="S1131" s="22" t="str">
        <f aca="false">IF($X1131="","",R1131*Q1131)</f>
        <v/>
      </c>
      <c r="T1131" s="22" t="str">
        <f aca="false">IF($X1131="","",S1131+P1131)</f>
        <v/>
      </c>
      <c r="U1131" s="22" t="str">
        <f aca="false">IF($X1131="","",V1131-T1131)</f>
        <v/>
      </c>
      <c r="V1131" s="22" t="str">
        <f aca="false">IF($X1131="","",O1131+R1131)</f>
        <v/>
      </c>
      <c r="W1131" s="22" t="str">
        <f aca="false">IF($X1131="","",U1131-L1131)</f>
        <v/>
      </c>
      <c r="X1131" s="24" t="str">
        <f aca="false">IF(ROWS($X$2:$X1131)&lt;=MAX('Per Line'!$AI$2:$AI$4001),MATCH(ROWS($X$2:$X1131),'Per Line'!$AI$2:$AI$4001,0),"")</f>
        <v/>
      </c>
    </row>
    <row r="1132" customFormat="false" ht="15" hidden="false" customHeight="false" outlineLevel="0" collapsed="false">
      <c r="A1132" s="19"/>
      <c r="B1132" s="20" t="str">
        <f aca="false">IF($X1132="","",INDEX('Per Line'!$D$2:$D$4001,$X1132))</f>
        <v/>
      </c>
      <c r="C1132" s="20" t="str">
        <f aca="false">IF($X1132="","",INDEX('Per Line'!$C$2:$C$4001,$X1132))</f>
        <v/>
      </c>
      <c r="D1132" s="20" t="str">
        <f aca="false">IF($X1132="","",INDEX('Per Line'!$A$2:$A$4001,$X1132))</f>
        <v/>
      </c>
      <c r="E1132" s="21" t="str">
        <f aca="false">IF($X1132="","",INDEX('Per Line'!$F$2:$F$4001,$X1132))</f>
        <v/>
      </c>
      <c r="F1132" s="20" t="str">
        <f aca="false">IF($X1132="","",INDEX('Per Line'!$G$2:$G$4001,$X1132))</f>
        <v/>
      </c>
      <c r="G1132" s="20" t="str">
        <f aca="false">IF($X1132="","",INDEX('Per Line'!$I$2:$I$4001,$X1132))</f>
        <v/>
      </c>
      <c r="H1132" s="20" t="str">
        <f aca="false">IF($X1132="","",INDEX('Per Line'!$J$2:$J$4001,$X1132))</f>
        <v/>
      </c>
      <c r="I1132" s="20" t="str">
        <f aca="false">IF($X1132="","",INDEX('Per Line'!$K$2:$K$4001,$X1132))</f>
        <v/>
      </c>
      <c r="J1132" s="20" t="str">
        <f aca="false">IF($X1132="","",INDEX('Per Line'!$L$2:$L$4001,$X1132))</f>
        <v/>
      </c>
      <c r="K1132" s="20" t="str">
        <f aca="false">IF($X1132="","",INDEX('Per Line'!$M$2:$M$4001,$X1132))</f>
        <v/>
      </c>
      <c r="L1132" s="22" t="str">
        <f aca="false">IF($X1132="","",K1132*V1132/100)</f>
        <v/>
      </c>
      <c r="M1132" s="20" t="str">
        <f aca="false">IF($X1132="","",INDEX('Per Line'!$Z$2:$Z$4001,$X1132))</f>
        <v/>
      </c>
      <c r="N1132" s="23" t="str">
        <f aca="false">IF($X1132="","",Settings!$C$7)</f>
        <v/>
      </c>
      <c r="O1132" s="22" t="str">
        <f aca="false">IF($X1132="","",SUMIFS('Per Line'!$Y$2:$Y$4001,'Per Line'!$D$2:$D$4001,$B1132,'Per Line'!$AJ$2:$AJ$4001,0))</f>
        <v/>
      </c>
      <c r="P1132" s="22" t="str">
        <f aca="false">IF($X1132="","",O1132*N1132)</f>
        <v/>
      </c>
      <c r="Q1132" s="23" t="str">
        <f aca="false">IF($X1132="","",Settings!$C$6)</f>
        <v/>
      </c>
      <c r="R1132" s="22" t="str">
        <f aca="false">IF($X1132="","",SUMIFS('Per Line'!$Y$2:$Y$4001,'Per Line'!$D$2:$D$4001,$B1132,'Per Line'!$AJ$2:$AJ$4001,1))</f>
        <v/>
      </c>
      <c r="S1132" s="22" t="str">
        <f aca="false">IF($X1132="","",R1132*Q1132)</f>
        <v/>
      </c>
      <c r="T1132" s="22" t="str">
        <f aca="false">IF($X1132="","",S1132+P1132)</f>
        <v/>
      </c>
      <c r="U1132" s="22" t="str">
        <f aca="false">IF($X1132="","",V1132-T1132)</f>
        <v/>
      </c>
      <c r="V1132" s="22" t="str">
        <f aca="false">IF($X1132="","",O1132+R1132)</f>
        <v/>
      </c>
      <c r="W1132" s="22" t="str">
        <f aca="false">IF($X1132="","",U1132-L1132)</f>
        <v/>
      </c>
      <c r="X1132" s="24" t="str">
        <f aca="false">IF(ROWS($X$2:$X1132)&lt;=MAX('Per Line'!$AI$2:$AI$4001),MATCH(ROWS($X$2:$X1132),'Per Line'!$AI$2:$AI$4001,0),"")</f>
        <v/>
      </c>
    </row>
    <row r="1133" customFormat="false" ht="15" hidden="false" customHeight="false" outlineLevel="0" collapsed="false">
      <c r="A1133" s="19"/>
      <c r="B1133" s="20" t="str">
        <f aca="false">IF($X1133="","",INDEX('Per Line'!$D$2:$D$4001,$X1133))</f>
        <v/>
      </c>
      <c r="C1133" s="20" t="str">
        <f aca="false">IF($X1133="","",INDEX('Per Line'!$C$2:$C$4001,$X1133))</f>
        <v/>
      </c>
      <c r="D1133" s="20" t="str">
        <f aca="false">IF($X1133="","",INDEX('Per Line'!$A$2:$A$4001,$X1133))</f>
        <v/>
      </c>
      <c r="E1133" s="21" t="str">
        <f aca="false">IF($X1133="","",INDEX('Per Line'!$F$2:$F$4001,$X1133))</f>
        <v/>
      </c>
      <c r="F1133" s="20" t="str">
        <f aca="false">IF($X1133="","",INDEX('Per Line'!$G$2:$G$4001,$X1133))</f>
        <v/>
      </c>
      <c r="G1133" s="20" t="str">
        <f aca="false">IF($X1133="","",INDEX('Per Line'!$I$2:$I$4001,$X1133))</f>
        <v/>
      </c>
      <c r="H1133" s="20" t="str">
        <f aca="false">IF($X1133="","",INDEX('Per Line'!$J$2:$J$4001,$X1133))</f>
        <v/>
      </c>
      <c r="I1133" s="20" t="str">
        <f aca="false">IF($X1133="","",INDEX('Per Line'!$K$2:$K$4001,$X1133))</f>
        <v/>
      </c>
      <c r="J1133" s="20" t="str">
        <f aca="false">IF($X1133="","",INDEX('Per Line'!$L$2:$L$4001,$X1133))</f>
        <v/>
      </c>
      <c r="K1133" s="20" t="str">
        <f aca="false">IF($X1133="","",INDEX('Per Line'!$M$2:$M$4001,$X1133))</f>
        <v/>
      </c>
      <c r="L1133" s="22" t="str">
        <f aca="false">IF($X1133="","",K1133*V1133/100)</f>
        <v/>
      </c>
      <c r="M1133" s="20" t="str">
        <f aca="false">IF($X1133="","",INDEX('Per Line'!$Z$2:$Z$4001,$X1133))</f>
        <v/>
      </c>
      <c r="N1133" s="23" t="str">
        <f aca="false">IF($X1133="","",Settings!$C$7)</f>
        <v/>
      </c>
      <c r="O1133" s="22" t="str">
        <f aca="false">IF($X1133="","",SUMIFS('Per Line'!$Y$2:$Y$4001,'Per Line'!$D$2:$D$4001,$B1133,'Per Line'!$AJ$2:$AJ$4001,0))</f>
        <v/>
      </c>
      <c r="P1133" s="22" t="str">
        <f aca="false">IF($X1133="","",O1133*N1133)</f>
        <v/>
      </c>
      <c r="Q1133" s="23" t="str">
        <f aca="false">IF($X1133="","",Settings!$C$6)</f>
        <v/>
      </c>
      <c r="R1133" s="22" t="str">
        <f aca="false">IF($X1133="","",SUMIFS('Per Line'!$Y$2:$Y$4001,'Per Line'!$D$2:$D$4001,$B1133,'Per Line'!$AJ$2:$AJ$4001,1))</f>
        <v/>
      </c>
      <c r="S1133" s="22" t="str">
        <f aca="false">IF($X1133="","",R1133*Q1133)</f>
        <v/>
      </c>
      <c r="T1133" s="22" t="str">
        <f aca="false">IF($X1133="","",S1133+P1133)</f>
        <v/>
      </c>
      <c r="U1133" s="22" t="str">
        <f aca="false">IF($X1133="","",V1133-T1133)</f>
        <v/>
      </c>
      <c r="V1133" s="22" t="str">
        <f aca="false">IF($X1133="","",O1133+R1133)</f>
        <v/>
      </c>
      <c r="W1133" s="22" t="str">
        <f aca="false">IF($X1133="","",U1133-L1133)</f>
        <v/>
      </c>
      <c r="X1133" s="24" t="str">
        <f aca="false">IF(ROWS($X$2:$X1133)&lt;=MAX('Per Line'!$AI$2:$AI$4001),MATCH(ROWS($X$2:$X1133),'Per Line'!$AI$2:$AI$4001,0),"")</f>
        <v/>
      </c>
    </row>
    <row r="1134" customFormat="false" ht="15" hidden="false" customHeight="false" outlineLevel="0" collapsed="false">
      <c r="A1134" s="19"/>
      <c r="B1134" s="20" t="str">
        <f aca="false">IF($X1134="","",INDEX('Per Line'!$D$2:$D$4001,$X1134))</f>
        <v/>
      </c>
      <c r="C1134" s="20" t="str">
        <f aca="false">IF($X1134="","",INDEX('Per Line'!$C$2:$C$4001,$X1134))</f>
        <v/>
      </c>
      <c r="D1134" s="20" t="str">
        <f aca="false">IF($X1134="","",INDEX('Per Line'!$A$2:$A$4001,$X1134))</f>
        <v/>
      </c>
      <c r="E1134" s="21" t="str">
        <f aca="false">IF($X1134="","",INDEX('Per Line'!$F$2:$F$4001,$X1134))</f>
        <v/>
      </c>
      <c r="F1134" s="20" t="str">
        <f aca="false">IF($X1134="","",INDEX('Per Line'!$G$2:$G$4001,$X1134))</f>
        <v/>
      </c>
      <c r="G1134" s="20" t="str">
        <f aca="false">IF($X1134="","",INDEX('Per Line'!$I$2:$I$4001,$X1134))</f>
        <v/>
      </c>
      <c r="H1134" s="20" t="str">
        <f aca="false">IF($X1134="","",INDEX('Per Line'!$J$2:$J$4001,$X1134))</f>
        <v/>
      </c>
      <c r="I1134" s="20" t="str">
        <f aca="false">IF($X1134="","",INDEX('Per Line'!$K$2:$K$4001,$X1134))</f>
        <v/>
      </c>
      <c r="J1134" s="20" t="str">
        <f aca="false">IF($X1134="","",INDEX('Per Line'!$L$2:$L$4001,$X1134))</f>
        <v/>
      </c>
      <c r="K1134" s="20" t="str">
        <f aca="false">IF($X1134="","",INDEX('Per Line'!$M$2:$M$4001,$X1134))</f>
        <v/>
      </c>
      <c r="L1134" s="22" t="str">
        <f aca="false">IF($X1134="","",K1134*V1134/100)</f>
        <v/>
      </c>
      <c r="M1134" s="20" t="str">
        <f aca="false">IF($X1134="","",INDEX('Per Line'!$Z$2:$Z$4001,$X1134))</f>
        <v/>
      </c>
      <c r="N1134" s="23" t="str">
        <f aca="false">IF($X1134="","",Settings!$C$7)</f>
        <v/>
      </c>
      <c r="O1134" s="22" t="str">
        <f aca="false">IF($X1134="","",SUMIFS('Per Line'!$Y$2:$Y$4001,'Per Line'!$D$2:$D$4001,$B1134,'Per Line'!$AJ$2:$AJ$4001,0))</f>
        <v/>
      </c>
      <c r="P1134" s="22" t="str">
        <f aca="false">IF($X1134="","",O1134*N1134)</f>
        <v/>
      </c>
      <c r="Q1134" s="23" t="str">
        <f aca="false">IF($X1134="","",Settings!$C$6)</f>
        <v/>
      </c>
      <c r="R1134" s="22" t="str">
        <f aca="false">IF($X1134="","",SUMIFS('Per Line'!$Y$2:$Y$4001,'Per Line'!$D$2:$D$4001,$B1134,'Per Line'!$AJ$2:$AJ$4001,1))</f>
        <v/>
      </c>
      <c r="S1134" s="22" t="str">
        <f aca="false">IF($X1134="","",R1134*Q1134)</f>
        <v/>
      </c>
      <c r="T1134" s="22" t="str">
        <f aca="false">IF($X1134="","",S1134+P1134)</f>
        <v/>
      </c>
      <c r="U1134" s="22" t="str">
        <f aca="false">IF($X1134="","",V1134-T1134)</f>
        <v/>
      </c>
      <c r="V1134" s="22" t="str">
        <f aca="false">IF($X1134="","",O1134+R1134)</f>
        <v/>
      </c>
      <c r="W1134" s="22" t="str">
        <f aca="false">IF($X1134="","",U1134-L1134)</f>
        <v/>
      </c>
      <c r="X1134" s="24" t="str">
        <f aca="false">IF(ROWS($X$2:$X1134)&lt;=MAX('Per Line'!$AI$2:$AI$4001),MATCH(ROWS($X$2:$X1134),'Per Line'!$AI$2:$AI$4001,0),"")</f>
        <v/>
      </c>
    </row>
    <row r="1135" customFormat="false" ht="15" hidden="false" customHeight="false" outlineLevel="0" collapsed="false">
      <c r="A1135" s="19"/>
      <c r="B1135" s="20" t="str">
        <f aca="false">IF($X1135="","",INDEX('Per Line'!$D$2:$D$4001,$X1135))</f>
        <v/>
      </c>
      <c r="C1135" s="20" t="str">
        <f aca="false">IF($X1135="","",INDEX('Per Line'!$C$2:$C$4001,$X1135))</f>
        <v/>
      </c>
      <c r="D1135" s="20" t="str">
        <f aca="false">IF($X1135="","",INDEX('Per Line'!$A$2:$A$4001,$X1135))</f>
        <v/>
      </c>
      <c r="E1135" s="21" t="str">
        <f aca="false">IF($X1135="","",INDEX('Per Line'!$F$2:$F$4001,$X1135))</f>
        <v/>
      </c>
      <c r="F1135" s="20" t="str">
        <f aca="false">IF($X1135="","",INDEX('Per Line'!$G$2:$G$4001,$X1135))</f>
        <v/>
      </c>
      <c r="G1135" s="20" t="str">
        <f aca="false">IF($X1135="","",INDEX('Per Line'!$I$2:$I$4001,$X1135))</f>
        <v/>
      </c>
      <c r="H1135" s="20" t="str">
        <f aca="false">IF($X1135="","",INDEX('Per Line'!$J$2:$J$4001,$X1135))</f>
        <v/>
      </c>
      <c r="I1135" s="20" t="str">
        <f aca="false">IF($X1135="","",INDEX('Per Line'!$K$2:$K$4001,$X1135))</f>
        <v/>
      </c>
      <c r="J1135" s="20" t="str">
        <f aca="false">IF($X1135="","",INDEX('Per Line'!$L$2:$L$4001,$X1135))</f>
        <v/>
      </c>
      <c r="K1135" s="20" t="str">
        <f aca="false">IF($X1135="","",INDEX('Per Line'!$M$2:$M$4001,$X1135))</f>
        <v/>
      </c>
      <c r="L1135" s="22" t="str">
        <f aca="false">IF($X1135="","",K1135*V1135/100)</f>
        <v/>
      </c>
      <c r="M1135" s="20" t="str">
        <f aca="false">IF($X1135="","",INDEX('Per Line'!$Z$2:$Z$4001,$X1135))</f>
        <v/>
      </c>
      <c r="N1135" s="23" t="str">
        <f aca="false">IF($X1135="","",Settings!$C$7)</f>
        <v/>
      </c>
      <c r="O1135" s="22" t="str">
        <f aca="false">IF($X1135="","",SUMIFS('Per Line'!$Y$2:$Y$4001,'Per Line'!$D$2:$D$4001,$B1135,'Per Line'!$AJ$2:$AJ$4001,0))</f>
        <v/>
      </c>
      <c r="P1135" s="22" t="str">
        <f aca="false">IF($X1135="","",O1135*N1135)</f>
        <v/>
      </c>
      <c r="Q1135" s="23" t="str">
        <f aca="false">IF($X1135="","",Settings!$C$6)</f>
        <v/>
      </c>
      <c r="R1135" s="22" t="str">
        <f aca="false">IF($X1135="","",SUMIFS('Per Line'!$Y$2:$Y$4001,'Per Line'!$D$2:$D$4001,$B1135,'Per Line'!$AJ$2:$AJ$4001,1))</f>
        <v/>
      </c>
      <c r="S1135" s="22" t="str">
        <f aca="false">IF($X1135="","",R1135*Q1135)</f>
        <v/>
      </c>
      <c r="T1135" s="22" t="str">
        <f aca="false">IF($X1135="","",S1135+P1135)</f>
        <v/>
      </c>
      <c r="U1135" s="22" t="str">
        <f aca="false">IF($X1135="","",V1135-T1135)</f>
        <v/>
      </c>
      <c r="V1135" s="22" t="str">
        <f aca="false">IF($X1135="","",O1135+R1135)</f>
        <v/>
      </c>
      <c r="W1135" s="22" t="str">
        <f aca="false">IF($X1135="","",U1135-L1135)</f>
        <v/>
      </c>
      <c r="X1135" s="24" t="str">
        <f aca="false">IF(ROWS($X$2:$X1135)&lt;=MAX('Per Line'!$AI$2:$AI$4001),MATCH(ROWS($X$2:$X1135),'Per Line'!$AI$2:$AI$4001,0),"")</f>
        <v/>
      </c>
    </row>
    <row r="1136" customFormat="false" ht="15" hidden="false" customHeight="false" outlineLevel="0" collapsed="false">
      <c r="A1136" s="19"/>
      <c r="B1136" s="20" t="str">
        <f aca="false">IF($X1136="","",INDEX('Per Line'!$D$2:$D$4001,$X1136))</f>
        <v/>
      </c>
      <c r="C1136" s="20" t="str">
        <f aca="false">IF($X1136="","",INDEX('Per Line'!$C$2:$C$4001,$X1136))</f>
        <v/>
      </c>
      <c r="D1136" s="20" t="str">
        <f aca="false">IF($X1136="","",INDEX('Per Line'!$A$2:$A$4001,$X1136))</f>
        <v/>
      </c>
      <c r="E1136" s="21" t="str">
        <f aca="false">IF($X1136="","",INDEX('Per Line'!$F$2:$F$4001,$X1136))</f>
        <v/>
      </c>
      <c r="F1136" s="20" t="str">
        <f aca="false">IF($X1136="","",INDEX('Per Line'!$G$2:$G$4001,$X1136))</f>
        <v/>
      </c>
      <c r="G1136" s="20" t="str">
        <f aca="false">IF($X1136="","",INDEX('Per Line'!$I$2:$I$4001,$X1136))</f>
        <v/>
      </c>
      <c r="H1136" s="20" t="str">
        <f aca="false">IF($X1136="","",INDEX('Per Line'!$J$2:$J$4001,$X1136))</f>
        <v/>
      </c>
      <c r="I1136" s="20" t="str">
        <f aca="false">IF($X1136="","",INDEX('Per Line'!$K$2:$K$4001,$X1136))</f>
        <v/>
      </c>
      <c r="J1136" s="20" t="str">
        <f aca="false">IF($X1136="","",INDEX('Per Line'!$L$2:$L$4001,$X1136))</f>
        <v/>
      </c>
      <c r="K1136" s="20" t="str">
        <f aca="false">IF($X1136="","",INDEX('Per Line'!$M$2:$M$4001,$X1136))</f>
        <v/>
      </c>
      <c r="L1136" s="22" t="str">
        <f aca="false">IF($X1136="","",K1136*V1136/100)</f>
        <v/>
      </c>
      <c r="M1136" s="20" t="str">
        <f aca="false">IF($X1136="","",INDEX('Per Line'!$Z$2:$Z$4001,$X1136))</f>
        <v/>
      </c>
      <c r="N1136" s="23" t="str">
        <f aca="false">IF($X1136="","",Settings!$C$7)</f>
        <v/>
      </c>
      <c r="O1136" s="22" t="str">
        <f aca="false">IF($X1136="","",SUMIFS('Per Line'!$Y$2:$Y$4001,'Per Line'!$D$2:$D$4001,$B1136,'Per Line'!$AJ$2:$AJ$4001,0))</f>
        <v/>
      </c>
      <c r="P1136" s="22" t="str">
        <f aca="false">IF($X1136="","",O1136*N1136)</f>
        <v/>
      </c>
      <c r="Q1136" s="23" t="str">
        <f aca="false">IF($X1136="","",Settings!$C$6)</f>
        <v/>
      </c>
      <c r="R1136" s="22" t="str">
        <f aca="false">IF($X1136="","",SUMIFS('Per Line'!$Y$2:$Y$4001,'Per Line'!$D$2:$D$4001,$B1136,'Per Line'!$AJ$2:$AJ$4001,1))</f>
        <v/>
      </c>
      <c r="S1136" s="22" t="str">
        <f aca="false">IF($X1136="","",R1136*Q1136)</f>
        <v/>
      </c>
      <c r="T1136" s="22" t="str">
        <f aca="false">IF($X1136="","",S1136+P1136)</f>
        <v/>
      </c>
      <c r="U1136" s="22" t="str">
        <f aca="false">IF($X1136="","",V1136-T1136)</f>
        <v/>
      </c>
      <c r="V1136" s="22" t="str">
        <f aca="false">IF($X1136="","",O1136+R1136)</f>
        <v/>
      </c>
      <c r="W1136" s="22" t="str">
        <f aca="false">IF($X1136="","",U1136-L1136)</f>
        <v/>
      </c>
      <c r="X1136" s="24" t="str">
        <f aca="false">IF(ROWS($X$2:$X1136)&lt;=MAX('Per Line'!$AI$2:$AI$4001),MATCH(ROWS($X$2:$X1136),'Per Line'!$AI$2:$AI$4001,0),"")</f>
        <v/>
      </c>
    </row>
    <row r="1137" customFormat="false" ht="15" hidden="false" customHeight="false" outlineLevel="0" collapsed="false">
      <c r="A1137" s="19"/>
      <c r="B1137" s="20" t="str">
        <f aca="false">IF($X1137="","",INDEX('Per Line'!$D$2:$D$4001,$X1137))</f>
        <v/>
      </c>
      <c r="C1137" s="20" t="str">
        <f aca="false">IF($X1137="","",INDEX('Per Line'!$C$2:$C$4001,$X1137))</f>
        <v/>
      </c>
      <c r="D1137" s="20" t="str">
        <f aca="false">IF($X1137="","",INDEX('Per Line'!$A$2:$A$4001,$X1137))</f>
        <v/>
      </c>
      <c r="E1137" s="21" t="str">
        <f aca="false">IF($X1137="","",INDEX('Per Line'!$F$2:$F$4001,$X1137))</f>
        <v/>
      </c>
      <c r="F1137" s="20" t="str">
        <f aca="false">IF($X1137="","",INDEX('Per Line'!$G$2:$G$4001,$X1137))</f>
        <v/>
      </c>
      <c r="G1137" s="20" t="str">
        <f aca="false">IF($X1137="","",INDEX('Per Line'!$I$2:$I$4001,$X1137))</f>
        <v/>
      </c>
      <c r="H1137" s="20" t="str">
        <f aca="false">IF($X1137="","",INDEX('Per Line'!$J$2:$J$4001,$X1137))</f>
        <v/>
      </c>
      <c r="I1137" s="20" t="str">
        <f aca="false">IF($X1137="","",INDEX('Per Line'!$K$2:$K$4001,$X1137))</f>
        <v/>
      </c>
      <c r="J1137" s="20" t="str">
        <f aca="false">IF($X1137="","",INDEX('Per Line'!$L$2:$L$4001,$X1137))</f>
        <v/>
      </c>
      <c r="K1137" s="20" t="str">
        <f aca="false">IF($X1137="","",INDEX('Per Line'!$M$2:$M$4001,$X1137))</f>
        <v/>
      </c>
      <c r="L1137" s="22" t="str">
        <f aca="false">IF($X1137="","",K1137*V1137/100)</f>
        <v/>
      </c>
      <c r="M1137" s="20" t="str">
        <f aca="false">IF($X1137="","",INDEX('Per Line'!$Z$2:$Z$4001,$X1137))</f>
        <v/>
      </c>
      <c r="N1137" s="23" t="str">
        <f aca="false">IF($X1137="","",Settings!$C$7)</f>
        <v/>
      </c>
      <c r="O1137" s="22" t="str">
        <f aca="false">IF($X1137="","",SUMIFS('Per Line'!$Y$2:$Y$4001,'Per Line'!$D$2:$D$4001,$B1137,'Per Line'!$AJ$2:$AJ$4001,0))</f>
        <v/>
      </c>
      <c r="P1137" s="22" t="str">
        <f aca="false">IF($X1137="","",O1137*N1137)</f>
        <v/>
      </c>
      <c r="Q1137" s="23" t="str">
        <f aca="false">IF($X1137="","",Settings!$C$6)</f>
        <v/>
      </c>
      <c r="R1137" s="22" t="str">
        <f aca="false">IF($X1137="","",SUMIFS('Per Line'!$Y$2:$Y$4001,'Per Line'!$D$2:$D$4001,$B1137,'Per Line'!$AJ$2:$AJ$4001,1))</f>
        <v/>
      </c>
      <c r="S1137" s="22" t="str">
        <f aca="false">IF($X1137="","",R1137*Q1137)</f>
        <v/>
      </c>
      <c r="T1137" s="22" t="str">
        <f aca="false">IF($X1137="","",S1137+P1137)</f>
        <v/>
      </c>
      <c r="U1137" s="22" t="str">
        <f aca="false">IF($X1137="","",V1137-T1137)</f>
        <v/>
      </c>
      <c r="V1137" s="22" t="str">
        <f aca="false">IF($X1137="","",O1137+R1137)</f>
        <v/>
      </c>
      <c r="W1137" s="22" t="str">
        <f aca="false">IF($X1137="","",U1137-L1137)</f>
        <v/>
      </c>
      <c r="X1137" s="24" t="str">
        <f aca="false">IF(ROWS($X$2:$X1137)&lt;=MAX('Per Line'!$AI$2:$AI$4001),MATCH(ROWS($X$2:$X1137),'Per Line'!$AI$2:$AI$4001,0),"")</f>
        <v/>
      </c>
    </row>
    <row r="1138" customFormat="false" ht="15" hidden="false" customHeight="false" outlineLevel="0" collapsed="false">
      <c r="A1138" s="19"/>
      <c r="B1138" s="20" t="str">
        <f aca="false">IF($X1138="","",INDEX('Per Line'!$D$2:$D$4001,$X1138))</f>
        <v/>
      </c>
      <c r="C1138" s="20" t="str">
        <f aca="false">IF($X1138="","",INDEX('Per Line'!$C$2:$C$4001,$X1138))</f>
        <v/>
      </c>
      <c r="D1138" s="20" t="str">
        <f aca="false">IF($X1138="","",INDEX('Per Line'!$A$2:$A$4001,$X1138))</f>
        <v/>
      </c>
      <c r="E1138" s="21" t="str">
        <f aca="false">IF($X1138="","",INDEX('Per Line'!$F$2:$F$4001,$X1138))</f>
        <v/>
      </c>
      <c r="F1138" s="20" t="str">
        <f aca="false">IF($X1138="","",INDEX('Per Line'!$G$2:$G$4001,$X1138))</f>
        <v/>
      </c>
      <c r="G1138" s="20" t="str">
        <f aca="false">IF($X1138="","",INDEX('Per Line'!$I$2:$I$4001,$X1138))</f>
        <v/>
      </c>
      <c r="H1138" s="20" t="str">
        <f aca="false">IF($X1138="","",INDEX('Per Line'!$J$2:$J$4001,$X1138))</f>
        <v/>
      </c>
      <c r="I1138" s="20" t="str">
        <f aca="false">IF($X1138="","",INDEX('Per Line'!$K$2:$K$4001,$X1138))</f>
        <v/>
      </c>
      <c r="J1138" s="20" t="str">
        <f aca="false">IF($X1138="","",INDEX('Per Line'!$L$2:$L$4001,$X1138))</f>
        <v/>
      </c>
      <c r="K1138" s="20" t="str">
        <f aca="false">IF($X1138="","",INDEX('Per Line'!$M$2:$M$4001,$X1138))</f>
        <v/>
      </c>
      <c r="L1138" s="22" t="str">
        <f aca="false">IF($X1138="","",K1138*V1138/100)</f>
        <v/>
      </c>
      <c r="M1138" s="20" t="str">
        <f aca="false">IF($X1138="","",INDEX('Per Line'!$Z$2:$Z$4001,$X1138))</f>
        <v/>
      </c>
      <c r="N1138" s="23" t="str">
        <f aca="false">IF($X1138="","",Settings!$C$7)</f>
        <v/>
      </c>
      <c r="O1138" s="22" t="str">
        <f aca="false">IF($X1138="","",SUMIFS('Per Line'!$Y$2:$Y$4001,'Per Line'!$D$2:$D$4001,$B1138,'Per Line'!$AJ$2:$AJ$4001,0))</f>
        <v/>
      </c>
      <c r="P1138" s="22" t="str">
        <f aca="false">IF($X1138="","",O1138*N1138)</f>
        <v/>
      </c>
      <c r="Q1138" s="23" t="str">
        <f aca="false">IF($X1138="","",Settings!$C$6)</f>
        <v/>
      </c>
      <c r="R1138" s="22" t="str">
        <f aca="false">IF($X1138="","",SUMIFS('Per Line'!$Y$2:$Y$4001,'Per Line'!$D$2:$D$4001,$B1138,'Per Line'!$AJ$2:$AJ$4001,1))</f>
        <v/>
      </c>
      <c r="S1138" s="22" t="str">
        <f aca="false">IF($X1138="","",R1138*Q1138)</f>
        <v/>
      </c>
      <c r="T1138" s="22" t="str">
        <f aca="false">IF($X1138="","",S1138+P1138)</f>
        <v/>
      </c>
      <c r="U1138" s="22" t="str">
        <f aca="false">IF($X1138="","",V1138-T1138)</f>
        <v/>
      </c>
      <c r="V1138" s="22" t="str">
        <f aca="false">IF($X1138="","",O1138+R1138)</f>
        <v/>
      </c>
      <c r="W1138" s="22" t="str">
        <f aca="false">IF($X1138="","",U1138-L1138)</f>
        <v/>
      </c>
      <c r="X1138" s="24" t="str">
        <f aca="false">IF(ROWS($X$2:$X1138)&lt;=MAX('Per Line'!$AI$2:$AI$4001),MATCH(ROWS($X$2:$X1138),'Per Line'!$AI$2:$AI$4001,0),"")</f>
        <v/>
      </c>
    </row>
    <row r="1139" customFormat="false" ht="15" hidden="false" customHeight="false" outlineLevel="0" collapsed="false">
      <c r="A1139" s="19"/>
      <c r="B1139" s="20" t="str">
        <f aca="false">IF($X1139="","",INDEX('Per Line'!$D$2:$D$4001,$X1139))</f>
        <v/>
      </c>
      <c r="C1139" s="20" t="str">
        <f aca="false">IF($X1139="","",INDEX('Per Line'!$C$2:$C$4001,$X1139))</f>
        <v/>
      </c>
      <c r="D1139" s="20" t="str">
        <f aca="false">IF($X1139="","",INDEX('Per Line'!$A$2:$A$4001,$X1139))</f>
        <v/>
      </c>
      <c r="E1139" s="21" t="str">
        <f aca="false">IF($X1139="","",INDEX('Per Line'!$F$2:$F$4001,$X1139))</f>
        <v/>
      </c>
      <c r="F1139" s="20" t="str">
        <f aca="false">IF($X1139="","",INDEX('Per Line'!$G$2:$G$4001,$X1139))</f>
        <v/>
      </c>
      <c r="G1139" s="20" t="str">
        <f aca="false">IF($X1139="","",INDEX('Per Line'!$I$2:$I$4001,$X1139))</f>
        <v/>
      </c>
      <c r="H1139" s="20" t="str">
        <f aca="false">IF($X1139="","",INDEX('Per Line'!$J$2:$J$4001,$X1139))</f>
        <v/>
      </c>
      <c r="I1139" s="20" t="str">
        <f aca="false">IF($X1139="","",INDEX('Per Line'!$K$2:$K$4001,$X1139))</f>
        <v/>
      </c>
      <c r="J1139" s="20" t="str">
        <f aca="false">IF($X1139="","",INDEX('Per Line'!$L$2:$L$4001,$X1139))</f>
        <v/>
      </c>
      <c r="K1139" s="20" t="str">
        <f aca="false">IF($X1139="","",INDEX('Per Line'!$M$2:$M$4001,$X1139))</f>
        <v/>
      </c>
      <c r="L1139" s="22" t="str">
        <f aca="false">IF($X1139="","",K1139*V1139/100)</f>
        <v/>
      </c>
      <c r="M1139" s="20" t="str">
        <f aca="false">IF($X1139="","",INDEX('Per Line'!$Z$2:$Z$4001,$X1139))</f>
        <v/>
      </c>
      <c r="N1139" s="23" t="str">
        <f aca="false">IF($X1139="","",Settings!$C$7)</f>
        <v/>
      </c>
      <c r="O1139" s="22" t="str">
        <f aca="false">IF($X1139="","",SUMIFS('Per Line'!$Y$2:$Y$4001,'Per Line'!$D$2:$D$4001,$B1139,'Per Line'!$AJ$2:$AJ$4001,0))</f>
        <v/>
      </c>
      <c r="P1139" s="22" t="str">
        <f aca="false">IF($X1139="","",O1139*N1139)</f>
        <v/>
      </c>
      <c r="Q1139" s="23" t="str">
        <f aca="false">IF($X1139="","",Settings!$C$6)</f>
        <v/>
      </c>
      <c r="R1139" s="22" t="str">
        <f aca="false">IF($X1139="","",SUMIFS('Per Line'!$Y$2:$Y$4001,'Per Line'!$D$2:$D$4001,$B1139,'Per Line'!$AJ$2:$AJ$4001,1))</f>
        <v/>
      </c>
      <c r="S1139" s="22" t="str">
        <f aca="false">IF($X1139="","",R1139*Q1139)</f>
        <v/>
      </c>
      <c r="T1139" s="22" t="str">
        <f aca="false">IF($X1139="","",S1139+P1139)</f>
        <v/>
      </c>
      <c r="U1139" s="22" t="str">
        <f aca="false">IF($X1139="","",V1139-T1139)</f>
        <v/>
      </c>
      <c r="V1139" s="22" t="str">
        <f aca="false">IF($X1139="","",O1139+R1139)</f>
        <v/>
      </c>
      <c r="W1139" s="22" t="str">
        <f aca="false">IF($X1139="","",U1139-L1139)</f>
        <v/>
      </c>
      <c r="X1139" s="24" t="str">
        <f aca="false">IF(ROWS($X$2:$X1139)&lt;=MAX('Per Line'!$AI$2:$AI$4001),MATCH(ROWS($X$2:$X1139),'Per Line'!$AI$2:$AI$4001,0),"")</f>
        <v/>
      </c>
    </row>
    <row r="1140" customFormat="false" ht="15" hidden="false" customHeight="false" outlineLevel="0" collapsed="false">
      <c r="A1140" s="19"/>
      <c r="B1140" s="20" t="str">
        <f aca="false">IF($X1140="","",INDEX('Per Line'!$D$2:$D$4001,$X1140))</f>
        <v/>
      </c>
      <c r="C1140" s="20" t="str">
        <f aca="false">IF($X1140="","",INDEX('Per Line'!$C$2:$C$4001,$X1140))</f>
        <v/>
      </c>
      <c r="D1140" s="20" t="str">
        <f aca="false">IF($X1140="","",INDEX('Per Line'!$A$2:$A$4001,$X1140))</f>
        <v/>
      </c>
      <c r="E1140" s="21" t="str">
        <f aca="false">IF($X1140="","",INDEX('Per Line'!$F$2:$F$4001,$X1140))</f>
        <v/>
      </c>
      <c r="F1140" s="20" t="str">
        <f aca="false">IF($X1140="","",INDEX('Per Line'!$G$2:$G$4001,$X1140))</f>
        <v/>
      </c>
      <c r="G1140" s="20" t="str">
        <f aca="false">IF($X1140="","",INDEX('Per Line'!$I$2:$I$4001,$X1140))</f>
        <v/>
      </c>
      <c r="H1140" s="20" t="str">
        <f aca="false">IF($X1140="","",INDEX('Per Line'!$J$2:$J$4001,$X1140))</f>
        <v/>
      </c>
      <c r="I1140" s="20" t="str">
        <f aca="false">IF($X1140="","",INDEX('Per Line'!$K$2:$K$4001,$X1140))</f>
        <v/>
      </c>
      <c r="J1140" s="20" t="str">
        <f aca="false">IF($X1140="","",INDEX('Per Line'!$L$2:$L$4001,$X1140))</f>
        <v/>
      </c>
      <c r="K1140" s="20" t="str">
        <f aca="false">IF($X1140="","",INDEX('Per Line'!$M$2:$M$4001,$X1140))</f>
        <v/>
      </c>
      <c r="L1140" s="22" t="str">
        <f aca="false">IF($X1140="","",K1140*V1140/100)</f>
        <v/>
      </c>
      <c r="M1140" s="20" t="str">
        <f aca="false">IF($X1140="","",INDEX('Per Line'!$Z$2:$Z$4001,$X1140))</f>
        <v/>
      </c>
      <c r="N1140" s="23" t="str">
        <f aca="false">IF($X1140="","",Settings!$C$7)</f>
        <v/>
      </c>
      <c r="O1140" s="22" t="str">
        <f aca="false">IF($X1140="","",SUMIFS('Per Line'!$Y$2:$Y$4001,'Per Line'!$D$2:$D$4001,$B1140,'Per Line'!$AJ$2:$AJ$4001,0))</f>
        <v/>
      </c>
      <c r="P1140" s="22" t="str">
        <f aca="false">IF($X1140="","",O1140*N1140)</f>
        <v/>
      </c>
      <c r="Q1140" s="23" t="str">
        <f aca="false">IF($X1140="","",Settings!$C$6)</f>
        <v/>
      </c>
      <c r="R1140" s="22" t="str">
        <f aca="false">IF($X1140="","",SUMIFS('Per Line'!$Y$2:$Y$4001,'Per Line'!$D$2:$D$4001,$B1140,'Per Line'!$AJ$2:$AJ$4001,1))</f>
        <v/>
      </c>
      <c r="S1140" s="22" t="str">
        <f aca="false">IF($X1140="","",R1140*Q1140)</f>
        <v/>
      </c>
      <c r="T1140" s="22" t="str">
        <f aca="false">IF($X1140="","",S1140+P1140)</f>
        <v/>
      </c>
      <c r="U1140" s="22" t="str">
        <f aca="false">IF($X1140="","",V1140-T1140)</f>
        <v/>
      </c>
      <c r="V1140" s="22" t="str">
        <f aca="false">IF($X1140="","",O1140+R1140)</f>
        <v/>
      </c>
      <c r="W1140" s="22" t="str">
        <f aca="false">IF($X1140="","",U1140-L1140)</f>
        <v/>
      </c>
      <c r="X1140" s="24" t="str">
        <f aca="false">IF(ROWS($X$2:$X1140)&lt;=MAX('Per Line'!$AI$2:$AI$4001),MATCH(ROWS($X$2:$X1140),'Per Line'!$AI$2:$AI$4001,0),"")</f>
        <v/>
      </c>
    </row>
    <row r="1141" customFormat="false" ht="15" hidden="false" customHeight="false" outlineLevel="0" collapsed="false">
      <c r="A1141" s="19"/>
      <c r="B1141" s="20" t="str">
        <f aca="false">IF($X1141="","",INDEX('Per Line'!$D$2:$D$4001,$X1141))</f>
        <v/>
      </c>
      <c r="C1141" s="20" t="str">
        <f aca="false">IF($X1141="","",INDEX('Per Line'!$C$2:$C$4001,$X1141))</f>
        <v/>
      </c>
      <c r="D1141" s="20" t="str">
        <f aca="false">IF($X1141="","",INDEX('Per Line'!$A$2:$A$4001,$X1141))</f>
        <v/>
      </c>
      <c r="E1141" s="21" t="str">
        <f aca="false">IF($X1141="","",INDEX('Per Line'!$F$2:$F$4001,$X1141))</f>
        <v/>
      </c>
      <c r="F1141" s="20" t="str">
        <f aca="false">IF($X1141="","",INDEX('Per Line'!$G$2:$G$4001,$X1141))</f>
        <v/>
      </c>
      <c r="G1141" s="20" t="str">
        <f aca="false">IF($X1141="","",INDEX('Per Line'!$I$2:$I$4001,$X1141))</f>
        <v/>
      </c>
      <c r="H1141" s="20" t="str">
        <f aca="false">IF($X1141="","",INDEX('Per Line'!$J$2:$J$4001,$X1141))</f>
        <v/>
      </c>
      <c r="I1141" s="20" t="str">
        <f aca="false">IF($X1141="","",INDEX('Per Line'!$K$2:$K$4001,$X1141))</f>
        <v/>
      </c>
      <c r="J1141" s="20" t="str">
        <f aca="false">IF($X1141="","",INDEX('Per Line'!$L$2:$L$4001,$X1141))</f>
        <v/>
      </c>
      <c r="K1141" s="20" t="str">
        <f aca="false">IF($X1141="","",INDEX('Per Line'!$M$2:$M$4001,$X1141))</f>
        <v/>
      </c>
      <c r="L1141" s="22" t="str">
        <f aca="false">IF($X1141="","",K1141*V1141/100)</f>
        <v/>
      </c>
      <c r="M1141" s="20" t="str">
        <f aca="false">IF($X1141="","",INDEX('Per Line'!$Z$2:$Z$4001,$X1141))</f>
        <v/>
      </c>
      <c r="N1141" s="23" t="str">
        <f aca="false">IF($X1141="","",Settings!$C$7)</f>
        <v/>
      </c>
      <c r="O1141" s="22" t="str">
        <f aca="false">IF($X1141="","",SUMIFS('Per Line'!$Y$2:$Y$4001,'Per Line'!$D$2:$D$4001,$B1141,'Per Line'!$AJ$2:$AJ$4001,0))</f>
        <v/>
      </c>
      <c r="P1141" s="22" t="str">
        <f aca="false">IF($X1141="","",O1141*N1141)</f>
        <v/>
      </c>
      <c r="Q1141" s="23" t="str">
        <f aca="false">IF($X1141="","",Settings!$C$6)</f>
        <v/>
      </c>
      <c r="R1141" s="22" t="str">
        <f aca="false">IF($X1141="","",SUMIFS('Per Line'!$Y$2:$Y$4001,'Per Line'!$D$2:$D$4001,$B1141,'Per Line'!$AJ$2:$AJ$4001,1))</f>
        <v/>
      </c>
      <c r="S1141" s="22" t="str">
        <f aca="false">IF($X1141="","",R1141*Q1141)</f>
        <v/>
      </c>
      <c r="T1141" s="22" t="str">
        <f aca="false">IF($X1141="","",S1141+P1141)</f>
        <v/>
      </c>
      <c r="U1141" s="22" t="str">
        <f aca="false">IF($X1141="","",V1141-T1141)</f>
        <v/>
      </c>
      <c r="V1141" s="22" t="str">
        <f aca="false">IF($X1141="","",O1141+R1141)</f>
        <v/>
      </c>
      <c r="W1141" s="22" t="str">
        <f aca="false">IF($X1141="","",U1141-L1141)</f>
        <v/>
      </c>
      <c r="X1141" s="24" t="str">
        <f aca="false">IF(ROWS($X$2:$X1141)&lt;=MAX('Per Line'!$AI$2:$AI$4001),MATCH(ROWS($X$2:$X1141),'Per Line'!$AI$2:$AI$4001,0),"")</f>
        <v/>
      </c>
    </row>
    <row r="1142" customFormat="false" ht="15" hidden="false" customHeight="false" outlineLevel="0" collapsed="false">
      <c r="A1142" s="19"/>
      <c r="B1142" s="20" t="str">
        <f aca="false">IF($X1142="","",INDEX('Per Line'!$D$2:$D$4001,$X1142))</f>
        <v/>
      </c>
      <c r="C1142" s="20" t="str">
        <f aca="false">IF($X1142="","",INDEX('Per Line'!$C$2:$C$4001,$X1142))</f>
        <v/>
      </c>
      <c r="D1142" s="20" t="str">
        <f aca="false">IF($X1142="","",INDEX('Per Line'!$A$2:$A$4001,$X1142))</f>
        <v/>
      </c>
      <c r="E1142" s="21" t="str">
        <f aca="false">IF($X1142="","",INDEX('Per Line'!$F$2:$F$4001,$X1142))</f>
        <v/>
      </c>
      <c r="F1142" s="20" t="str">
        <f aca="false">IF($X1142="","",INDEX('Per Line'!$G$2:$G$4001,$X1142))</f>
        <v/>
      </c>
      <c r="G1142" s="20" t="str">
        <f aca="false">IF($X1142="","",INDEX('Per Line'!$I$2:$I$4001,$X1142))</f>
        <v/>
      </c>
      <c r="H1142" s="20" t="str">
        <f aca="false">IF($X1142="","",INDEX('Per Line'!$J$2:$J$4001,$X1142))</f>
        <v/>
      </c>
      <c r="I1142" s="20" t="str">
        <f aca="false">IF($X1142="","",INDEX('Per Line'!$K$2:$K$4001,$X1142))</f>
        <v/>
      </c>
      <c r="J1142" s="20" t="str">
        <f aca="false">IF($X1142="","",INDEX('Per Line'!$L$2:$L$4001,$X1142))</f>
        <v/>
      </c>
      <c r="K1142" s="20" t="str">
        <f aca="false">IF($X1142="","",INDEX('Per Line'!$M$2:$M$4001,$X1142))</f>
        <v/>
      </c>
      <c r="L1142" s="22" t="str">
        <f aca="false">IF($X1142="","",K1142*V1142/100)</f>
        <v/>
      </c>
      <c r="M1142" s="20" t="str">
        <f aca="false">IF($X1142="","",INDEX('Per Line'!$Z$2:$Z$4001,$X1142))</f>
        <v/>
      </c>
      <c r="N1142" s="23" t="str">
        <f aca="false">IF($X1142="","",Settings!$C$7)</f>
        <v/>
      </c>
      <c r="O1142" s="22" t="str">
        <f aca="false">IF($X1142="","",SUMIFS('Per Line'!$Y$2:$Y$4001,'Per Line'!$D$2:$D$4001,$B1142,'Per Line'!$AJ$2:$AJ$4001,0))</f>
        <v/>
      </c>
      <c r="P1142" s="22" t="str">
        <f aca="false">IF($X1142="","",O1142*N1142)</f>
        <v/>
      </c>
      <c r="Q1142" s="23" t="str">
        <f aca="false">IF($X1142="","",Settings!$C$6)</f>
        <v/>
      </c>
      <c r="R1142" s="22" t="str">
        <f aca="false">IF($X1142="","",SUMIFS('Per Line'!$Y$2:$Y$4001,'Per Line'!$D$2:$D$4001,$B1142,'Per Line'!$AJ$2:$AJ$4001,1))</f>
        <v/>
      </c>
      <c r="S1142" s="22" t="str">
        <f aca="false">IF($X1142="","",R1142*Q1142)</f>
        <v/>
      </c>
      <c r="T1142" s="22" t="str">
        <f aca="false">IF($X1142="","",S1142+P1142)</f>
        <v/>
      </c>
      <c r="U1142" s="22" t="str">
        <f aca="false">IF($X1142="","",V1142-T1142)</f>
        <v/>
      </c>
      <c r="V1142" s="22" t="str">
        <f aca="false">IF($X1142="","",O1142+R1142)</f>
        <v/>
      </c>
      <c r="W1142" s="22" t="str">
        <f aca="false">IF($X1142="","",U1142-L1142)</f>
        <v/>
      </c>
      <c r="X1142" s="24" t="str">
        <f aca="false">IF(ROWS($X$2:$X1142)&lt;=MAX('Per Line'!$AI$2:$AI$4001),MATCH(ROWS($X$2:$X1142),'Per Line'!$AI$2:$AI$4001,0),"")</f>
        <v/>
      </c>
    </row>
    <row r="1143" customFormat="false" ht="15" hidden="false" customHeight="false" outlineLevel="0" collapsed="false">
      <c r="A1143" s="19"/>
      <c r="B1143" s="20" t="str">
        <f aca="false">IF($X1143="","",INDEX('Per Line'!$D$2:$D$4001,$X1143))</f>
        <v/>
      </c>
      <c r="C1143" s="20" t="str">
        <f aca="false">IF($X1143="","",INDEX('Per Line'!$C$2:$C$4001,$X1143))</f>
        <v/>
      </c>
      <c r="D1143" s="20" t="str">
        <f aca="false">IF($X1143="","",INDEX('Per Line'!$A$2:$A$4001,$X1143))</f>
        <v/>
      </c>
      <c r="E1143" s="21" t="str">
        <f aca="false">IF($X1143="","",INDEX('Per Line'!$F$2:$F$4001,$X1143))</f>
        <v/>
      </c>
      <c r="F1143" s="20" t="str">
        <f aca="false">IF($X1143="","",INDEX('Per Line'!$G$2:$G$4001,$X1143))</f>
        <v/>
      </c>
      <c r="G1143" s="20" t="str">
        <f aca="false">IF($X1143="","",INDEX('Per Line'!$I$2:$I$4001,$X1143))</f>
        <v/>
      </c>
      <c r="H1143" s="20" t="str">
        <f aca="false">IF($X1143="","",INDEX('Per Line'!$J$2:$J$4001,$X1143))</f>
        <v/>
      </c>
      <c r="I1143" s="20" t="str">
        <f aca="false">IF($X1143="","",INDEX('Per Line'!$K$2:$K$4001,$X1143))</f>
        <v/>
      </c>
      <c r="J1143" s="20" t="str">
        <f aca="false">IF($X1143="","",INDEX('Per Line'!$L$2:$L$4001,$X1143))</f>
        <v/>
      </c>
      <c r="K1143" s="20" t="str">
        <f aca="false">IF($X1143="","",INDEX('Per Line'!$M$2:$M$4001,$X1143))</f>
        <v/>
      </c>
      <c r="L1143" s="22" t="str">
        <f aca="false">IF($X1143="","",K1143*V1143/100)</f>
        <v/>
      </c>
      <c r="M1143" s="20" t="str">
        <f aca="false">IF($X1143="","",INDEX('Per Line'!$Z$2:$Z$4001,$X1143))</f>
        <v/>
      </c>
      <c r="N1143" s="23" t="str">
        <f aca="false">IF($X1143="","",Settings!$C$7)</f>
        <v/>
      </c>
      <c r="O1143" s="22" t="str">
        <f aca="false">IF($X1143="","",SUMIFS('Per Line'!$Y$2:$Y$4001,'Per Line'!$D$2:$D$4001,$B1143,'Per Line'!$AJ$2:$AJ$4001,0))</f>
        <v/>
      </c>
      <c r="P1143" s="22" t="str">
        <f aca="false">IF($X1143="","",O1143*N1143)</f>
        <v/>
      </c>
      <c r="Q1143" s="23" t="str">
        <f aca="false">IF($X1143="","",Settings!$C$6)</f>
        <v/>
      </c>
      <c r="R1143" s="22" t="str">
        <f aca="false">IF($X1143="","",SUMIFS('Per Line'!$Y$2:$Y$4001,'Per Line'!$D$2:$D$4001,$B1143,'Per Line'!$AJ$2:$AJ$4001,1))</f>
        <v/>
      </c>
      <c r="S1143" s="22" t="str">
        <f aca="false">IF($X1143="","",R1143*Q1143)</f>
        <v/>
      </c>
      <c r="T1143" s="22" t="str">
        <f aca="false">IF($X1143="","",S1143+P1143)</f>
        <v/>
      </c>
      <c r="U1143" s="22" t="str">
        <f aca="false">IF($X1143="","",V1143-T1143)</f>
        <v/>
      </c>
      <c r="V1143" s="22" t="str">
        <f aca="false">IF($X1143="","",O1143+R1143)</f>
        <v/>
      </c>
      <c r="W1143" s="22" t="str">
        <f aca="false">IF($X1143="","",U1143-L1143)</f>
        <v/>
      </c>
      <c r="X1143" s="24" t="str">
        <f aca="false">IF(ROWS($X$2:$X1143)&lt;=MAX('Per Line'!$AI$2:$AI$4001),MATCH(ROWS($X$2:$X1143),'Per Line'!$AI$2:$AI$4001,0),"")</f>
        <v/>
      </c>
    </row>
    <row r="1144" customFormat="false" ht="15" hidden="false" customHeight="false" outlineLevel="0" collapsed="false">
      <c r="A1144" s="19"/>
      <c r="B1144" s="20" t="str">
        <f aca="false">IF($X1144="","",INDEX('Per Line'!$D$2:$D$4001,$X1144))</f>
        <v/>
      </c>
      <c r="C1144" s="20" t="str">
        <f aca="false">IF($X1144="","",INDEX('Per Line'!$C$2:$C$4001,$X1144))</f>
        <v/>
      </c>
      <c r="D1144" s="20" t="str">
        <f aca="false">IF($X1144="","",INDEX('Per Line'!$A$2:$A$4001,$X1144))</f>
        <v/>
      </c>
      <c r="E1144" s="21" t="str">
        <f aca="false">IF($X1144="","",INDEX('Per Line'!$F$2:$F$4001,$X1144))</f>
        <v/>
      </c>
      <c r="F1144" s="20" t="str">
        <f aca="false">IF($X1144="","",INDEX('Per Line'!$G$2:$G$4001,$X1144))</f>
        <v/>
      </c>
      <c r="G1144" s="20" t="str">
        <f aca="false">IF($X1144="","",INDEX('Per Line'!$I$2:$I$4001,$X1144))</f>
        <v/>
      </c>
      <c r="H1144" s="20" t="str">
        <f aca="false">IF($X1144="","",INDEX('Per Line'!$J$2:$J$4001,$X1144))</f>
        <v/>
      </c>
      <c r="I1144" s="20" t="str">
        <f aca="false">IF($X1144="","",INDEX('Per Line'!$K$2:$K$4001,$X1144))</f>
        <v/>
      </c>
      <c r="J1144" s="20" t="str">
        <f aca="false">IF($X1144="","",INDEX('Per Line'!$L$2:$L$4001,$X1144))</f>
        <v/>
      </c>
      <c r="K1144" s="20" t="str">
        <f aca="false">IF($X1144="","",INDEX('Per Line'!$M$2:$M$4001,$X1144))</f>
        <v/>
      </c>
      <c r="L1144" s="22" t="str">
        <f aca="false">IF($X1144="","",K1144*V1144/100)</f>
        <v/>
      </c>
      <c r="M1144" s="20" t="str">
        <f aca="false">IF($X1144="","",INDEX('Per Line'!$Z$2:$Z$4001,$X1144))</f>
        <v/>
      </c>
      <c r="N1144" s="23" t="str">
        <f aca="false">IF($X1144="","",Settings!$C$7)</f>
        <v/>
      </c>
      <c r="O1144" s="22" t="str">
        <f aca="false">IF($X1144="","",SUMIFS('Per Line'!$Y$2:$Y$4001,'Per Line'!$D$2:$D$4001,$B1144,'Per Line'!$AJ$2:$AJ$4001,0))</f>
        <v/>
      </c>
      <c r="P1144" s="22" t="str">
        <f aca="false">IF($X1144="","",O1144*N1144)</f>
        <v/>
      </c>
      <c r="Q1144" s="23" t="str">
        <f aca="false">IF($X1144="","",Settings!$C$6)</f>
        <v/>
      </c>
      <c r="R1144" s="22" t="str">
        <f aca="false">IF($X1144="","",SUMIFS('Per Line'!$Y$2:$Y$4001,'Per Line'!$D$2:$D$4001,$B1144,'Per Line'!$AJ$2:$AJ$4001,1))</f>
        <v/>
      </c>
      <c r="S1144" s="22" t="str">
        <f aca="false">IF($X1144="","",R1144*Q1144)</f>
        <v/>
      </c>
      <c r="T1144" s="22" t="str">
        <f aca="false">IF($X1144="","",S1144+P1144)</f>
        <v/>
      </c>
      <c r="U1144" s="22" t="str">
        <f aca="false">IF($X1144="","",V1144-T1144)</f>
        <v/>
      </c>
      <c r="V1144" s="22" t="str">
        <f aca="false">IF($X1144="","",O1144+R1144)</f>
        <v/>
      </c>
      <c r="W1144" s="22" t="str">
        <f aca="false">IF($X1144="","",U1144-L1144)</f>
        <v/>
      </c>
      <c r="X1144" s="24" t="str">
        <f aca="false">IF(ROWS($X$2:$X1144)&lt;=MAX('Per Line'!$AI$2:$AI$4001),MATCH(ROWS($X$2:$X1144),'Per Line'!$AI$2:$AI$4001,0),"")</f>
        <v/>
      </c>
    </row>
    <row r="1145" customFormat="false" ht="15" hidden="false" customHeight="false" outlineLevel="0" collapsed="false">
      <c r="A1145" s="19"/>
      <c r="B1145" s="20" t="str">
        <f aca="false">IF($X1145="","",INDEX('Per Line'!$D$2:$D$4001,$X1145))</f>
        <v/>
      </c>
      <c r="C1145" s="20" t="str">
        <f aca="false">IF($X1145="","",INDEX('Per Line'!$C$2:$C$4001,$X1145))</f>
        <v/>
      </c>
      <c r="D1145" s="20" t="str">
        <f aca="false">IF($X1145="","",INDEX('Per Line'!$A$2:$A$4001,$X1145))</f>
        <v/>
      </c>
      <c r="E1145" s="21" t="str">
        <f aca="false">IF($X1145="","",INDEX('Per Line'!$F$2:$F$4001,$X1145))</f>
        <v/>
      </c>
      <c r="F1145" s="20" t="str">
        <f aca="false">IF($X1145="","",INDEX('Per Line'!$G$2:$G$4001,$X1145))</f>
        <v/>
      </c>
      <c r="G1145" s="20" t="str">
        <f aca="false">IF($X1145="","",INDEX('Per Line'!$I$2:$I$4001,$X1145))</f>
        <v/>
      </c>
      <c r="H1145" s="20" t="str">
        <f aca="false">IF($X1145="","",INDEX('Per Line'!$J$2:$J$4001,$X1145))</f>
        <v/>
      </c>
      <c r="I1145" s="20" t="str">
        <f aca="false">IF($X1145="","",INDEX('Per Line'!$K$2:$K$4001,$X1145))</f>
        <v/>
      </c>
      <c r="J1145" s="20" t="str">
        <f aca="false">IF($X1145="","",INDEX('Per Line'!$L$2:$L$4001,$X1145))</f>
        <v/>
      </c>
      <c r="K1145" s="20" t="str">
        <f aca="false">IF($X1145="","",INDEX('Per Line'!$M$2:$M$4001,$X1145))</f>
        <v/>
      </c>
      <c r="L1145" s="22" t="str">
        <f aca="false">IF($X1145="","",K1145*V1145/100)</f>
        <v/>
      </c>
      <c r="M1145" s="20" t="str">
        <f aca="false">IF($X1145="","",INDEX('Per Line'!$Z$2:$Z$4001,$X1145))</f>
        <v/>
      </c>
      <c r="N1145" s="23" t="str">
        <f aca="false">IF($X1145="","",Settings!$C$7)</f>
        <v/>
      </c>
      <c r="O1145" s="22" t="str">
        <f aca="false">IF($X1145="","",SUMIFS('Per Line'!$Y$2:$Y$4001,'Per Line'!$D$2:$D$4001,$B1145,'Per Line'!$AJ$2:$AJ$4001,0))</f>
        <v/>
      </c>
      <c r="P1145" s="22" t="str">
        <f aca="false">IF($X1145="","",O1145*N1145)</f>
        <v/>
      </c>
      <c r="Q1145" s="23" t="str">
        <f aca="false">IF($X1145="","",Settings!$C$6)</f>
        <v/>
      </c>
      <c r="R1145" s="22" t="str">
        <f aca="false">IF($X1145="","",SUMIFS('Per Line'!$Y$2:$Y$4001,'Per Line'!$D$2:$D$4001,$B1145,'Per Line'!$AJ$2:$AJ$4001,1))</f>
        <v/>
      </c>
      <c r="S1145" s="22" t="str">
        <f aca="false">IF($X1145="","",R1145*Q1145)</f>
        <v/>
      </c>
      <c r="T1145" s="22" t="str">
        <f aca="false">IF($X1145="","",S1145+P1145)</f>
        <v/>
      </c>
      <c r="U1145" s="22" t="str">
        <f aca="false">IF($X1145="","",V1145-T1145)</f>
        <v/>
      </c>
      <c r="V1145" s="22" t="str">
        <f aca="false">IF($X1145="","",O1145+R1145)</f>
        <v/>
      </c>
      <c r="W1145" s="22" t="str">
        <f aca="false">IF($X1145="","",U1145-L1145)</f>
        <v/>
      </c>
      <c r="X1145" s="24" t="str">
        <f aca="false">IF(ROWS($X$2:$X1145)&lt;=MAX('Per Line'!$AI$2:$AI$4001),MATCH(ROWS($X$2:$X1145),'Per Line'!$AI$2:$AI$4001,0),"")</f>
        <v/>
      </c>
    </row>
    <row r="1146" customFormat="false" ht="15" hidden="false" customHeight="false" outlineLevel="0" collapsed="false">
      <c r="A1146" s="19"/>
      <c r="B1146" s="20" t="str">
        <f aca="false">IF($X1146="","",INDEX('Per Line'!$D$2:$D$4001,$X1146))</f>
        <v/>
      </c>
      <c r="C1146" s="20" t="str">
        <f aca="false">IF($X1146="","",INDEX('Per Line'!$C$2:$C$4001,$X1146))</f>
        <v/>
      </c>
      <c r="D1146" s="20" t="str">
        <f aca="false">IF($X1146="","",INDEX('Per Line'!$A$2:$A$4001,$X1146))</f>
        <v/>
      </c>
      <c r="E1146" s="21" t="str">
        <f aca="false">IF($X1146="","",INDEX('Per Line'!$F$2:$F$4001,$X1146))</f>
        <v/>
      </c>
      <c r="F1146" s="20" t="str">
        <f aca="false">IF($X1146="","",INDEX('Per Line'!$G$2:$G$4001,$X1146))</f>
        <v/>
      </c>
      <c r="G1146" s="20" t="str">
        <f aca="false">IF($X1146="","",INDEX('Per Line'!$I$2:$I$4001,$X1146))</f>
        <v/>
      </c>
      <c r="H1146" s="20" t="str">
        <f aca="false">IF($X1146="","",INDEX('Per Line'!$J$2:$J$4001,$X1146))</f>
        <v/>
      </c>
      <c r="I1146" s="20" t="str">
        <f aca="false">IF($X1146="","",INDEX('Per Line'!$K$2:$K$4001,$X1146))</f>
        <v/>
      </c>
      <c r="J1146" s="20" t="str">
        <f aca="false">IF($X1146="","",INDEX('Per Line'!$L$2:$L$4001,$X1146))</f>
        <v/>
      </c>
      <c r="K1146" s="20" t="str">
        <f aca="false">IF($X1146="","",INDEX('Per Line'!$M$2:$M$4001,$X1146))</f>
        <v/>
      </c>
      <c r="L1146" s="22" t="str">
        <f aca="false">IF($X1146="","",K1146*V1146/100)</f>
        <v/>
      </c>
      <c r="M1146" s="20" t="str">
        <f aca="false">IF($X1146="","",INDEX('Per Line'!$Z$2:$Z$4001,$X1146))</f>
        <v/>
      </c>
      <c r="N1146" s="23" t="str">
        <f aca="false">IF($X1146="","",Settings!$C$7)</f>
        <v/>
      </c>
      <c r="O1146" s="22" t="str">
        <f aca="false">IF($X1146="","",SUMIFS('Per Line'!$Y$2:$Y$4001,'Per Line'!$D$2:$D$4001,$B1146,'Per Line'!$AJ$2:$AJ$4001,0))</f>
        <v/>
      </c>
      <c r="P1146" s="22" t="str">
        <f aca="false">IF($X1146="","",O1146*N1146)</f>
        <v/>
      </c>
      <c r="Q1146" s="23" t="str">
        <f aca="false">IF($X1146="","",Settings!$C$6)</f>
        <v/>
      </c>
      <c r="R1146" s="22" t="str">
        <f aca="false">IF($X1146="","",SUMIFS('Per Line'!$Y$2:$Y$4001,'Per Line'!$D$2:$D$4001,$B1146,'Per Line'!$AJ$2:$AJ$4001,1))</f>
        <v/>
      </c>
      <c r="S1146" s="22" t="str">
        <f aca="false">IF($X1146="","",R1146*Q1146)</f>
        <v/>
      </c>
      <c r="T1146" s="22" t="str">
        <f aca="false">IF($X1146="","",S1146+P1146)</f>
        <v/>
      </c>
      <c r="U1146" s="22" t="str">
        <f aca="false">IF($X1146="","",V1146-T1146)</f>
        <v/>
      </c>
      <c r="V1146" s="22" t="str">
        <f aca="false">IF($X1146="","",O1146+R1146)</f>
        <v/>
      </c>
      <c r="W1146" s="22" t="str">
        <f aca="false">IF($X1146="","",U1146-L1146)</f>
        <v/>
      </c>
      <c r="X1146" s="24" t="str">
        <f aca="false">IF(ROWS($X$2:$X1146)&lt;=MAX('Per Line'!$AI$2:$AI$4001),MATCH(ROWS($X$2:$X1146),'Per Line'!$AI$2:$AI$4001,0),"")</f>
        <v/>
      </c>
    </row>
    <row r="1147" customFormat="false" ht="15" hidden="false" customHeight="false" outlineLevel="0" collapsed="false">
      <c r="A1147" s="19"/>
      <c r="B1147" s="20" t="str">
        <f aca="false">IF($X1147="","",INDEX('Per Line'!$D$2:$D$4001,$X1147))</f>
        <v/>
      </c>
      <c r="C1147" s="20" t="str">
        <f aca="false">IF($X1147="","",INDEX('Per Line'!$C$2:$C$4001,$X1147))</f>
        <v/>
      </c>
      <c r="D1147" s="20" t="str">
        <f aca="false">IF($X1147="","",INDEX('Per Line'!$A$2:$A$4001,$X1147))</f>
        <v/>
      </c>
      <c r="E1147" s="21" t="str">
        <f aca="false">IF($X1147="","",INDEX('Per Line'!$F$2:$F$4001,$X1147))</f>
        <v/>
      </c>
      <c r="F1147" s="20" t="str">
        <f aca="false">IF($X1147="","",INDEX('Per Line'!$G$2:$G$4001,$X1147))</f>
        <v/>
      </c>
      <c r="G1147" s="20" t="str">
        <f aca="false">IF($X1147="","",INDEX('Per Line'!$I$2:$I$4001,$X1147))</f>
        <v/>
      </c>
      <c r="H1147" s="20" t="str">
        <f aca="false">IF($X1147="","",INDEX('Per Line'!$J$2:$J$4001,$X1147))</f>
        <v/>
      </c>
      <c r="I1147" s="20" t="str">
        <f aca="false">IF($X1147="","",INDEX('Per Line'!$K$2:$K$4001,$X1147))</f>
        <v/>
      </c>
      <c r="J1147" s="20" t="str">
        <f aca="false">IF($X1147="","",INDEX('Per Line'!$L$2:$L$4001,$X1147))</f>
        <v/>
      </c>
      <c r="K1147" s="20" t="str">
        <f aca="false">IF($X1147="","",INDEX('Per Line'!$M$2:$M$4001,$X1147))</f>
        <v/>
      </c>
      <c r="L1147" s="22" t="str">
        <f aca="false">IF($X1147="","",K1147*V1147/100)</f>
        <v/>
      </c>
      <c r="M1147" s="20" t="str">
        <f aca="false">IF($X1147="","",INDEX('Per Line'!$Z$2:$Z$4001,$X1147))</f>
        <v/>
      </c>
      <c r="N1147" s="23" t="str">
        <f aca="false">IF($X1147="","",Settings!$C$7)</f>
        <v/>
      </c>
      <c r="O1147" s="22" t="str">
        <f aca="false">IF($X1147="","",SUMIFS('Per Line'!$Y$2:$Y$4001,'Per Line'!$D$2:$D$4001,$B1147,'Per Line'!$AJ$2:$AJ$4001,0))</f>
        <v/>
      </c>
      <c r="P1147" s="22" t="str">
        <f aca="false">IF($X1147="","",O1147*N1147)</f>
        <v/>
      </c>
      <c r="Q1147" s="23" t="str">
        <f aca="false">IF($X1147="","",Settings!$C$6)</f>
        <v/>
      </c>
      <c r="R1147" s="22" t="str">
        <f aca="false">IF($X1147="","",SUMIFS('Per Line'!$Y$2:$Y$4001,'Per Line'!$D$2:$D$4001,$B1147,'Per Line'!$AJ$2:$AJ$4001,1))</f>
        <v/>
      </c>
      <c r="S1147" s="22" t="str">
        <f aca="false">IF($X1147="","",R1147*Q1147)</f>
        <v/>
      </c>
      <c r="T1147" s="22" t="str">
        <f aca="false">IF($X1147="","",S1147+P1147)</f>
        <v/>
      </c>
      <c r="U1147" s="22" t="str">
        <f aca="false">IF($X1147="","",V1147-T1147)</f>
        <v/>
      </c>
      <c r="V1147" s="22" t="str">
        <f aca="false">IF($X1147="","",O1147+R1147)</f>
        <v/>
      </c>
      <c r="W1147" s="22" t="str">
        <f aca="false">IF($X1147="","",U1147-L1147)</f>
        <v/>
      </c>
      <c r="X1147" s="24" t="str">
        <f aca="false">IF(ROWS($X$2:$X1147)&lt;=MAX('Per Line'!$AI$2:$AI$4001),MATCH(ROWS($X$2:$X1147),'Per Line'!$AI$2:$AI$4001,0),"")</f>
        <v/>
      </c>
    </row>
    <row r="1148" customFormat="false" ht="15" hidden="false" customHeight="false" outlineLevel="0" collapsed="false">
      <c r="A1148" s="19"/>
      <c r="B1148" s="20" t="str">
        <f aca="false">IF($X1148="","",INDEX('Per Line'!$D$2:$D$4001,$X1148))</f>
        <v/>
      </c>
      <c r="C1148" s="20" t="str">
        <f aca="false">IF($X1148="","",INDEX('Per Line'!$C$2:$C$4001,$X1148))</f>
        <v/>
      </c>
      <c r="D1148" s="20" t="str">
        <f aca="false">IF($X1148="","",INDEX('Per Line'!$A$2:$A$4001,$X1148))</f>
        <v/>
      </c>
      <c r="E1148" s="21" t="str">
        <f aca="false">IF($X1148="","",INDEX('Per Line'!$F$2:$F$4001,$X1148))</f>
        <v/>
      </c>
      <c r="F1148" s="20" t="str">
        <f aca="false">IF($X1148="","",INDEX('Per Line'!$G$2:$G$4001,$X1148))</f>
        <v/>
      </c>
      <c r="G1148" s="20" t="str">
        <f aca="false">IF($X1148="","",INDEX('Per Line'!$I$2:$I$4001,$X1148))</f>
        <v/>
      </c>
      <c r="H1148" s="20" t="str">
        <f aca="false">IF($X1148="","",INDEX('Per Line'!$J$2:$J$4001,$X1148))</f>
        <v/>
      </c>
      <c r="I1148" s="20" t="str">
        <f aca="false">IF($X1148="","",INDEX('Per Line'!$K$2:$K$4001,$X1148))</f>
        <v/>
      </c>
      <c r="J1148" s="20" t="str">
        <f aca="false">IF($X1148="","",INDEX('Per Line'!$L$2:$L$4001,$X1148))</f>
        <v/>
      </c>
      <c r="K1148" s="20" t="str">
        <f aca="false">IF($X1148="","",INDEX('Per Line'!$M$2:$M$4001,$X1148))</f>
        <v/>
      </c>
      <c r="L1148" s="22" t="str">
        <f aca="false">IF($X1148="","",K1148*V1148/100)</f>
        <v/>
      </c>
      <c r="M1148" s="20" t="str">
        <f aca="false">IF($X1148="","",INDEX('Per Line'!$Z$2:$Z$4001,$X1148))</f>
        <v/>
      </c>
      <c r="N1148" s="23" t="str">
        <f aca="false">IF($X1148="","",Settings!$C$7)</f>
        <v/>
      </c>
      <c r="O1148" s="22" t="str">
        <f aca="false">IF($X1148="","",SUMIFS('Per Line'!$Y$2:$Y$4001,'Per Line'!$D$2:$D$4001,$B1148,'Per Line'!$AJ$2:$AJ$4001,0))</f>
        <v/>
      </c>
      <c r="P1148" s="22" t="str">
        <f aca="false">IF($X1148="","",O1148*N1148)</f>
        <v/>
      </c>
      <c r="Q1148" s="23" t="str">
        <f aca="false">IF($X1148="","",Settings!$C$6)</f>
        <v/>
      </c>
      <c r="R1148" s="22" t="str">
        <f aca="false">IF($X1148="","",SUMIFS('Per Line'!$Y$2:$Y$4001,'Per Line'!$D$2:$D$4001,$B1148,'Per Line'!$AJ$2:$AJ$4001,1))</f>
        <v/>
      </c>
      <c r="S1148" s="22" t="str">
        <f aca="false">IF($X1148="","",R1148*Q1148)</f>
        <v/>
      </c>
      <c r="T1148" s="22" t="str">
        <f aca="false">IF($X1148="","",S1148+P1148)</f>
        <v/>
      </c>
      <c r="U1148" s="22" t="str">
        <f aca="false">IF($X1148="","",V1148-T1148)</f>
        <v/>
      </c>
      <c r="V1148" s="22" t="str">
        <f aca="false">IF($X1148="","",O1148+R1148)</f>
        <v/>
      </c>
      <c r="W1148" s="22" t="str">
        <f aca="false">IF($X1148="","",U1148-L1148)</f>
        <v/>
      </c>
      <c r="X1148" s="24" t="str">
        <f aca="false">IF(ROWS($X$2:$X1148)&lt;=MAX('Per Line'!$AI$2:$AI$4001),MATCH(ROWS($X$2:$X1148),'Per Line'!$AI$2:$AI$4001,0),"")</f>
        <v/>
      </c>
    </row>
    <row r="1149" customFormat="false" ht="15" hidden="false" customHeight="false" outlineLevel="0" collapsed="false">
      <c r="A1149" s="19"/>
      <c r="B1149" s="20" t="str">
        <f aca="false">IF($X1149="","",INDEX('Per Line'!$D$2:$D$4001,$X1149))</f>
        <v/>
      </c>
      <c r="C1149" s="20" t="str">
        <f aca="false">IF($X1149="","",INDEX('Per Line'!$C$2:$C$4001,$X1149))</f>
        <v/>
      </c>
      <c r="D1149" s="20" t="str">
        <f aca="false">IF($X1149="","",INDEX('Per Line'!$A$2:$A$4001,$X1149))</f>
        <v/>
      </c>
      <c r="E1149" s="21" t="str">
        <f aca="false">IF($X1149="","",INDEX('Per Line'!$F$2:$F$4001,$X1149))</f>
        <v/>
      </c>
      <c r="F1149" s="20" t="str">
        <f aca="false">IF($X1149="","",INDEX('Per Line'!$G$2:$G$4001,$X1149))</f>
        <v/>
      </c>
      <c r="G1149" s="20" t="str">
        <f aca="false">IF($X1149="","",INDEX('Per Line'!$I$2:$I$4001,$X1149))</f>
        <v/>
      </c>
      <c r="H1149" s="20" t="str">
        <f aca="false">IF($X1149="","",INDEX('Per Line'!$J$2:$J$4001,$X1149))</f>
        <v/>
      </c>
      <c r="I1149" s="20" t="str">
        <f aca="false">IF($X1149="","",INDEX('Per Line'!$K$2:$K$4001,$X1149))</f>
        <v/>
      </c>
      <c r="J1149" s="20" t="str">
        <f aca="false">IF($X1149="","",INDEX('Per Line'!$L$2:$L$4001,$X1149))</f>
        <v/>
      </c>
      <c r="K1149" s="20" t="str">
        <f aca="false">IF($X1149="","",INDEX('Per Line'!$M$2:$M$4001,$X1149))</f>
        <v/>
      </c>
      <c r="L1149" s="22" t="str">
        <f aca="false">IF($X1149="","",K1149*V1149/100)</f>
        <v/>
      </c>
      <c r="M1149" s="20" t="str">
        <f aca="false">IF($X1149="","",INDEX('Per Line'!$Z$2:$Z$4001,$X1149))</f>
        <v/>
      </c>
      <c r="N1149" s="23" t="str">
        <f aca="false">IF($X1149="","",Settings!$C$7)</f>
        <v/>
      </c>
      <c r="O1149" s="22" t="str">
        <f aca="false">IF($X1149="","",SUMIFS('Per Line'!$Y$2:$Y$4001,'Per Line'!$D$2:$D$4001,$B1149,'Per Line'!$AJ$2:$AJ$4001,0))</f>
        <v/>
      </c>
      <c r="P1149" s="22" t="str">
        <f aca="false">IF($X1149="","",O1149*N1149)</f>
        <v/>
      </c>
      <c r="Q1149" s="23" t="str">
        <f aca="false">IF($X1149="","",Settings!$C$6)</f>
        <v/>
      </c>
      <c r="R1149" s="22" t="str">
        <f aca="false">IF($X1149="","",SUMIFS('Per Line'!$Y$2:$Y$4001,'Per Line'!$D$2:$D$4001,$B1149,'Per Line'!$AJ$2:$AJ$4001,1))</f>
        <v/>
      </c>
      <c r="S1149" s="22" t="str">
        <f aca="false">IF($X1149="","",R1149*Q1149)</f>
        <v/>
      </c>
      <c r="T1149" s="22" t="str">
        <f aca="false">IF($X1149="","",S1149+P1149)</f>
        <v/>
      </c>
      <c r="U1149" s="22" t="str">
        <f aca="false">IF($X1149="","",V1149-T1149)</f>
        <v/>
      </c>
      <c r="V1149" s="22" t="str">
        <f aca="false">IF($X1149="","",O1149+R1149)</f>
        <v/>
      </c>
      <c r="W1149" s="22" t="str">
        <f aca="false">IF($X1149="","",U1149-L1149)</f>
        <v/>
      </c>
      <c r="X1149" s="24" t="str">
        <f aca="false">IF(ROWS($X$2:$X1149)&lt;=MAX('Per Line'!$AI$2:$AI$4001),MATCH(ROWS($X$2:$X1149),'Per Line'!$AI$2:$AI$4001,0),"")</f>
        <v/>
      </c>
    </row>
    <row r="1150" customFormat="false" ht="15" hidden="false" customHeight="false" outlineLevel="0" collapsed="false">
      <c r="A1150" s="19"/>
      <c r="B1150" s="20" t="str">
        <f aca="false">IF($X1150="","",INDEX('Per Line'!$D$2:$D$4001,$X1150))</f>
        <v/>
      </c>
      <c r="C1150" s="20" t="str">
        <f aca="false">IF($X1150="","",INDEX('Per Line'!$C$2:$C$4001,$X1150))</f>
        <v/>
      </c>
      <c r="D1150" s="20" t="str">
        <f aca="false">IF($X1150="","",INDEX('Per Line'!$A$2:$A$4001,$X1150))</f>
        <v/>
      </c>
      <c r="E1150" s="21" t="str">
        <f aca="false">IF($X1150="","",INDEX('Per Line'!$F$2:$F$4001,$X1150))</f>
        <v/>
      </c>
      <c r="F1150" s="20" t="str">
        <f aca="false">IF($X1150="","",INDEX('Per Line'!$G$2:$G$4001,$X1150))</f>
        <v/>
      </c>
      <c r="G1150" s="20" t="str">
        <f aca="false">IF($X1150="","",INDEX('Per Line'!$I$2:$I$4001,$X1150))</f>
        <v/>
      </c>
      <c r="H1150" s="20" t="str">
        <f aca="false">IF($X1150="","",INDEX('Per Line'!$J$2:$J$4001,$X1150))</f>
        <v/>
      </c>
      <c r="I1150" s="20" t="str">
        <f aca="false">IF($X1150="","",INDEX('Per Line'!$K$2:$K$4001,$X1150))</f>
        <v/>
      </c>
      <c r="J1150" s="20" t="str">
        <f aca="false">IF($X1150="","",INDEX('Per Line'!$L$2:$L$4001,$X1150))</f>
        <v/>
      </c>
      <c r="K1150" s="20" t="str">
        <f aca="false">IF($X1150="","",INDEX('Per Line'!$M$2:$M$4001,$X1150))</f>
        <v/>
      </c>
      <c r="L1150" s="22" t="str">
        <f aca="false">IF($X1150="","",K1150*V1150/100)</f>
        <v/>
      </c>
      <c r="M1150" s="20" t="str">
        <f aca="false">IF($X1150="","",INDEX('Per Line'!$Z$2:$Z$4001,$X1150))</f>
        <v/>
      </c>
      <c r="N1150" s="23" t="str">
        <f aca="false">IF($X1150="","",Settings!$C$7)</f>
        <v/>
      </c>
      <c r="O1150" s="22" t="str">
        <f aca="false">IF($X1150="","",SUMIFS('Per Line'!$Y$2:$Y$4001,'Per Line'!$D$2:$D$4001,$B1150,'Per Line'!$AJ$2:$AJ$4001,0))</f>
        <v/>
      </c>
      <c r="P1150" s="22" t="str">
        <f aca="false">IF($X1150="","",O1150*N1150)</f>
        <v/>
      </c>
      <c r="Q1150" s="23" t="str">
        <f aca="false">IF($X1150="","",Settings!$C$6)</f>
        <v/>
      </c>
      <c r="R1150" s="22" t="str">
        <f aca="false">IF($X1150="","",SUMIFS('Per Line'!$Y$2:$Y$4001,'Per Line'!$D$2:$D$4001,$B1150,'Per Line'!$AJ$2:$AJ$4001,1))</f>
        <v/>
      </c>
      <c r="S1150" s="22" t="str">
        <f aca="false">IF($X1150="","",R1150*Q1150)</f>
        <v/>
      </c>
      <c r="T1150" s="22" t="str">
        <f aca="false">IF($X1150="","",S1150+P1150)</f>
        <v/>
      </c>
      <c r="U1150" s="22" t="str">
        <f aca="false">IF($X1150="","",V1150-T1150)</f>
        <v/>
      </c>
      <c r="V1150" s="22" t="str">
        <f aca="false">IF($X1150="","",O1150+R1150)</f>
        <v/>
      </c>
      <c r="W1150" s="22" t="str">
        <f aca="false">IF($X1150="","",U1150-L1150)</f>
        <v/>
      </c>
      <c r="X1150" s="24" t="str">
        <f aca="false">IF(ROWS($X$2:$X1150)&lt;=MAX('Per Line'!$AI$2:$AI$4001),MATCH(ROWS($X$2:$X1150),'Per Line'!$AI$2:$AI$4001,0),"")</f>
        <v/>
      </c>
    </row>
    <row r="1151" customFormat="false" ht="15" hidden="false" customHeight="false" outlineLevel="0" collapsed="false">
      <c r="A1151" s="19"/>
      <c r="B1151" s="20" t="str">
        <f aca="false">IF($X1151="","",INDEX('Per Line'!$D$2:$D$4001,$X1151))</f>
        <v/>
      </c>
      <c r="C1151" s="20" t="str">
        <f aca="false">IF($X1151="","",INDEX('Per Line'!$C$2:$C$4001,$X1151))</f>
        <v/>
      </c>
      <c r="D1151" s="20" t="str">
        <f aca="false">IF($X1151="","",INDEX('Per Line'!$A$2:$A$4001,$X1151))</f>
        <v/>
      </c>
      <c r="E1151" s="21" t="str">
        <f aca="false">IF($X1151="","",INDEX('Per Line'!$F$2:$F$4001,$X1151))</f>
        <v/>
      </c>
      <c r="F1151" s="20" t="str">
        <f aca="false">IF($X1151="","",INDEX('Per Line'!$G$2:$G$4001,$X1151))</f>
        <v/>
      </c>
      <c r="G1151" s="20" t="str">
        <f aca="false">IF($X1151="","",INDEX('Per Line'!$I$2:$I$4001,$X1151))</f>
        <v/>
      </c>
      <c r="H1151" s="20" t="str">
        <f aca="false">IF($X1151="","",INDEX('Per Line'!$J$2:$J$4001,$X1151))</f>
        <v/>
      </c>
      <c r="I1151" s="20" t="str">
        <f aca="false">IF($X1151="","",INDEX('Per Line'!$K$2:$K$4001,$X1151))</f>
        <v/>
      </c>
      <c r="J1151" s="20" t="str">
        <f aca="false">IF($X1151="","",INDEX('Per Line'!$L$2:$L$4001,$X1151))</f>
        <v/>
      </c>
      <c r="K1151" s="20" t="str">
        <f aca="false">IF($X1151="","",INDEX('Per Line'!$M$2:$M$4001,$X1151))</f>
        <v/>
      </c>
      <c r="L1151" s="22" t="str">
        <f aca="false">IF($X1151="","",K1151*V1151/100)</f>
        <v/>
      </c>
      <c r="M1151" s="20" t="str">
        <f aca="false">IF($X1151="","",INDEX('Per Line'!$Z$2:$Z$4001,$X1151))</f>
        <v/>
      </c>
      <c r="N1151" s="23" t="str">
        <f aca="false">IF($X1151="","",Settings!$C$7)</f>
        <v/>
      </c>
      <c r="O1151" s="22" t="str">
        <f aca="false">IF($X1151="","",SUMIFS('Per Line'!$Y$2:$Y$4001,'Per Line'!$D$2:$D$4001,$B1151,'Per Line'!$AJ$2:$AJ$4001,0))</f>
        <v/>
      </c>
      <c r="P1151" s="22" t="str">
        <f aca="false">IF($X1151="","",O1151*N1151)</f>
        <v/>
      </c>
      <c r="Q1151" s="23" t="str">
        <f aca="false">IF($X1151="","",Settings!$C$6)</f>
        <v/>
      </c>
      <c r="R1151" s="22" t="str">
        <f aca="false">IF($X1151="","",SUMIFS('Per Line'!$Y$2:$Y$4001,'Per Line'!$D$2:$D$4001,$B1151,'Per Line'!$AJ$2:$AJ$4001,1))</f>
        <v/>
      </c>
      <c r="S1151" s="22" t="str">
        <f aca="false">IF($X1151="","",R1151*Q1151)</f>
        <v/>
      </c>
      <c r="T1151" s="22" t="str">
        <f aca="false">IF($X1151="","",S1151+P1151)</f>
        <v/>
      </c>
      <c r="U1151" s="22" t="str">
        <f aca="false">IF($X1151="","",V1151-T1151)</f>
        <v/>
      </c>
      <c r="V1151" s="22" t="str">
        <f aca="false">IF($X1151="","",O1151+R1151)</f>
        <v/>
      </c>
      <c r="W1151" s="22" t="str">
        <f aca="false">IF($X1151="","",U1151-L1151)</f>
        <v/>
      </c>
      <c r="X1151" s="24" t="str">
        <f aca="false">IF(ROWS($X$2:$X1151)&lt;=MAX('Per Line'!$AI$2:$AI$4001),MATCH(ROWS($X$2:$X1151),'Per Line'!$AI$2:$AI$4001,0),"")</f>
        <v/>
      </c>
    </row>
    <row r="1152" customFormat="false" ht="15" hidden="false" customHeight="false" outlineLevel="0" collapsed="false">
      <c r="A1152" s="19"/>
      <c r="B1152" s="20" t="str">
        <f aca="false">IF($X1152="","",INDEX('Per Line'!$D$2:$D$4001,$X1152))</f>
        <v/>
      </c>
      <c r="C1152" s="20" t="str">
        <f aca="false">IF($X1152="","",INDEX('Per Line'!$C$2:$C$4001,$X1152))</f>
        <v/>
      </c>
      <c r="D1152" s="20" t="str">
        <f aca="false">IF($X1152="","",INDEX('Per Line'!$A$2:$A$4001,$X1152))</f>
        <v/>
      </c>
      <c r="E1152" s="21" t="str">
        <f aca="false">IF($X1152="","",INDEX('Per Line'!$F$2:$F$4001,$X1152))</f>
        <v/>
      </c>
      <c r="F1152" s="20" t="str">
        <f aca="false">IF($X1152="","",INDEX('Per Line'!$G$2:$G$4001,$X1152))</f>
        <v/>
      </c>
      <c r="G1152" s="20" t="str">
        <f aca="false">IF($X1152="","",INDEX('Per Line'!$I$2:$I$4001,$X1152))</f>
        <v/>
      </c>
      <c r="H1152" s="20" t="str">
        <f aca="false">IF($X1152="","",INDEX('Per Line'!$J$2:$J$4001,$X1152))</f>
        <v/>
      </c>
      <c r="I1152" s="20" t="str">
        <f aca="false">IF($X1152="","",INDEX('Per Line'!$K$2:$K$4001,$X1152))</f>
        <v/>
      </c>
      <c r="J1152" s="20" t="str">
        <f aca="false">IF($X1152="","",INDEX('Per Line'!$L$2:$L$4001,$X1152))</f>
        <v/>
      </c>
      <c r="K1152" s="20" t="str">
        <f aca="false">IF($X1152="","",INDEX('Per Line'!$M$2:$M$4001,$X1152))</f>
        <v/>
      </c>
      <c r="L1152" s="22" t="str">
        <f aca="false">IF($X1152="","",K1152*V1152/100)</f>
        <v/>
      </c>
      <c r="M1152" s="20" t="str">
        <f aca="false">IF($X1152="","",INDEX('Per Line'!$Z$2:$Z$4001,$X1152))</f>
        <v/>
      </c>
      <c r="N1152" s="23" t="str">
        <f aca="false">IF($X1152="","",Settings!$C$7)</f>
        <v/>
      </c>
      <c r="O1152" s="22" t="str">
        <f aca="false">IF($X1152="","",SUMIFS('Per Line'!$Y$2:$Y$4001,'Per Line'!$D$2:$D$4001,$B1152,'Per Line'!$AJ$2:$AJ$4001,0))</f>
        <v/>
      </c>
      <c r="P1152" s="22" t="str">
        <f aca="false">IF($X1152="","",O1152*N1152)</f>
        <v/>
      </c>
      <c r="Q1152" s="23" t="str">
        <f aca="false">IF($X1152="","",Settings!$C$6)</f>
        <v/>
      </c>
      <c r="R1152" s="22" t="str">
        <f aca="false">IF($X1152="","",SUMIFS('Per Line'!$Y$2:$Y$4001,'Per Line'!$D$2:$D$4001,$B1152,'Per Line'!$AJ$2:$AJ$4001,1))</f>
        <v/>
      </c>
      <c r="S1152" s="22" t="str">
        <f aca="false">IF($X1152="","",R1152*Q1152)</f>
        <v/>
      </c>
      <c r="T1152" s="22" t="str">
        <f aca="false">IF($X1152="","",S1152+P1152)</f>
        <v/>
      </c>
      <c r="U1152" s="22" t="str">
        <f aca="false">IF($X1152="","",V1152-T1152)</f>
        <v/>
      </c>
      <c r="V1152" s="22" t="str">
        <f aca="false">IF($X1152="","",O1152+R1152)</f>
        <v/>
      </c>
      <c r="W1152" s="22" t="str">
        <f aca="false">IF($X1152="","",U1152-L1152)</f>
        <v/>
      </c>
      <c r="X1152" s="24" t="str">
        <f aca="false">IF(ROWS($X$2:$X1152)&lt;=MAX('Per Line'!$AI$2:$AI$4001),MATCH(ROWS($X$2:$X1152),'Per Line'!$AI$2:$AI$4001,0),"")</f>
        <v/>
      </c>
    </row>
    <row r="1153" customFormat="false" ht="15" hidden="false" customHeight="false" outlineLevel="0" collapsed="false">
      <c r="A1153" s="19"/>
      <c r="B1153" s="20" t="str">
        <f aca="false">IF($X1153="","",INDEX('Per Line'!$D$2:$D$4001,$X1153))</f>
        <v/>
      </c>
      <c r="C1153" s="20" t="str">
        <f aca="false">IF($X1153="","",INDEX('Per Line'!$C$2:$C$4001,$X1153))</f>
        <v/>
      </c>
      <c r="D1153" s="20" t="str">
        <f aca="false">IF($X1153="","",INDEX('Per Line'!$A$2:$A$4001,$X1153))</f>
        <v/>
      </c>
      <c r="E1153" s="21" t="str">
        <f aca="false">IF($X1153="","",INDEX('Per Line'!$F$2:$F$4001,$X1153))</f>
        <v/>
      </c>
      <c r="F1153" s="20" t="str">
        <f aca="false">IF($X1153="","",INDEX('Per Line'!$G$2:$G$4001,$X1153))</f>
        <v/>
      </c>
      <c r="G1153" s="20" t="str">
        <f aca="false">IF($X1153="","",INDEX('Per Line'!$I$2:$I$4001,$X1153))</f>
        <v/>
      </c>
      <c r="H1153" s="20" t="str">
        <f aca="false">IF($X1153="","",INDEX('Per Line'!$J$2:$J$4001,$X1153))</f>
        <v/>
      </c>
      <c r="I1153" s="20" t="str">
        <f aca="false">IF($X1153="","",INDEX('Per Line'!$K$2:$K$4001,$X1153))</f>
        <v/>
      </c>
      <c r="J1153" s="20" t="str">
        <f aca="false">IF($X1153="","",INDEX('Per Line'!$L$2:$L$4001,$X1153))</f>
        <v/>
      </c>
      <c r="K1153" s="20" t="str">
        <f aca="false">IF($X1153="","",INDEX('Per Line'!$M$2:$M$4001,$X1153))</f>
        <v/>
      </c>
      <c r="L1153" s="22" t="str">
        <f aca="false">IF($X1153="","",K1153*V1153/100)</f>
        <v/>
      </c>
      <c r="M1153" s="20" t="str">
        <f aca="false">IF($X1153="","",INDEX('Per Line'!$Z$2:$Z$4001,$X1153))</f>
        <v/>
      </c>
      <c r="N1153" s="23" t="str">
        <f aca="false">IF($X1153="","",Settings!$C$7)</f>
        <v/>
      </c>
      <c r="O1153" s="22" t="str">
        <f aca="false">IF($X1153="","",SUMIFS('Per Line'!$Y$2:$Y$4001,'Per Line'!$D$2:$D$4001,$B1153,'Per Line'!$AJ$2:$AJ$4001,0))</f>
        <v/>
      </c>
      <c r="P1153" s="22" t="str">
        <f aca="false">IF($X1153="","",O1153*N1153)</f>
        <v/>
      </c>
      <c r="Q1153" s="23" t="str">
        <f aca="false">IF($X1153="","",Settings!$C$6)</f>
        <v/>
      </c>
      <c r="R1153" s="22" t="str">
        <f aca="false">IF($X1153="","",SUMIFS('Per Line'!$Y$2:$Y$4001,'Per Line'!$D$2:$D$4001,$B1153,'Per Line'!$AJ$2:$AJ$4001,1))</f>
        <v/>
      </c>
      <c r="S1153" s="22" t="str">
        <f aca="false">IF($X1153="","",R1153*Q1153)</f>
        <v/>
      </c>
      <c r="T1153" s="22" t="str">
        <f aca="false">IF($X1153="","",S1153+P1153)</f>
        <v/>
      </c>
      <c r="U1153" s="22" t="str">
        <f aca="false">IF($X1153="","",V1153-T1153)</f>
        <v/>
      </c>
      <c r="V1153" s="22" t="str">
        <f aca="false">IF($X1153="","",O1153+R1153)</f>
        <v/>
      </c>
      <c r="W1153" s="22" t="str">
        <f aca="false">IF($X1153="","",U1153-L1153)</f>
        <v/>
      </c>
      <c r="X1153" s="24" t="str">
        <f aca="false">IF(ROWS($X$2:$X1153)&lt;=MAX('Per Line'!$AI$2:$AI$4001),MATCH(ROWS($X$2:$X1153),'Per Line'!$AI$2:$AI$4001,0),"")</f>
        <v/>
      </c>
    </row>
    <row r="1154" customFormat="false" ht="15" hidden="false" customHeight="false" outlineLevel="0" collapsed="false">
      <c r="A1154" s="19"/>
      <c r="B1154" s="20" t="str">
        <f aca="false">IF($X1154="","",INDEX('Per Line'!$D$2:$D$4001,$X1154))</f>
        <v/>
      </c>
      <c r="C1154" s="20" t="str">
        <f aca="false">IF($X1154="","",INDEX('Per Line'!$C$2:$C$4001,$X1154))</f>
        <v/>
      </c>
      <c r="D1154" s="20" t="str">
        <f aca="false">IF($X1154="","",INDEX('Per Line'!$A$2:$A$4001,$X1154))</f>
        <v/>
      </c>
      <c r="E1154" s="21" t="str">
        <f aca="false">IF($X1154="","",INDEX('Per Line'!$F$2:$F$4001,$X1154))</f>
        <v/>
      </c>
      <c r="F1154" s="20" t="str">
        <f aca="false">IF($X1154="","",INDEX('Per Line'!$G$2:$G$4001,$X1154))</f>
        <v/>
      </c>
      <c r="G1154" s="20" t="str">
        <f aca="false">IF($X1154="","",INDEX('Per Line'!$I$2:$I$4001,$X1154))</f>
        <v/>
      </c>
      <c r="H1154" s="20" t="str">
        <f aca="false">IF($X1154="","",INDEX('Per Line'!$J$2:$J$4001,$X1154))</f>
        <v/>
      </c>
      <c r="I1154" s="20" t="str">
        <f aca="false">IF($X1154="","",INDEX('Per Line'!$K$2:$K$4001,$X1154))</f>
        <v/>
      </c>
      <c r="J1154" s="20" t="str">
        <f aca="false">IF($X1154="","",INDEX('Per Line'!$L$2:$L$4001,$X1154))</f>
        <v/>
      </c>
      <c r="K1154" s="20" t="str">
        <f aca="false">IF($X1154="","",INDEX('Per Line'!$M$2:$M$4001,$X1154))</f>
        <v/>
      </c>
      <c r="L1154" s="22" t="str">
        <f aca="false">IF($X1154="","",K1154*V1154/100)</f>
        <v/>
      </c>
      <c r="M1154" s="20" t="str">
        <f aca="false">IF($X1154="","",INDEX('Per Line'!$Z$2:$Z$4001,$X1154))</f>
        <v/>
      </c>
      <c r="N1154" s="23" t="str">
        <f aca="false">IF($X1154="","",Settings!$C$7)</f>
        <v/>
      </c>
      <c r="O1154" s="22" t="str">
        <f aca="false">IF($X1154="","",SUMIFS('Per Line'!$Y$2:$Y$4001,'Per Line'!$D$2:$D$4001,$B1154,'Per Line'!$AJ$2:$AJ$4001,0))</f>
        <v/>
      </c>
      <c r="P1154" s="22" t="str">
        <f aca="false">IF($X1154="","",O1154*N1154)</f>
        <v/>
      </c>
      <c r="Q1154" s="23" t="str">
        <f aca="false">IF($X1154="","",Settings!$C$6)</f>
        <v/>
      </c>
      <c r="R1154" s="22" t="str">
        <f aca="false">IF($X1154="","",SUMIFS('Per Line'!$Y$2:$Y$4001,'Per Line'!$D$2:$D$4001,$B1154,'Per Line'!$AJ$2:$AJ$4001,1))</f>
        <v/>
      </c>
      <c r="S1154" s="22" t="str">
        <f aca="false">IF($X1154="","",R1154*Q1154)</f>
        <v/>
      </c>
      <c r="T1154" s="22" t="str">
        <f aca="false">IF($X1154="","",S1154+P1154)</f>
        <v/>
      </c>
      <c r="U1154" s="22" t="str">
        <f aca="false">IF($X1154="","",V1154-T1154)</f>
        <v/>
      </c>
      <c r="V1154" s="22" t="str">
        <f aca="false">IF($X1154="","",O1154+R1154)</f>
        <v/>
      </c>
      <c r="W1154" s="22" t="str">
        <f aca="false">IF($X1154="","",U1154-L1154)</f>
        <v/>
      </c>
      <c r="X1154" s="24" t="str">
        <f aca="false">IF(ROWS($X$2:$X1154)&lt;=MAX('Per Line'!$AI$2:$AI$4001),MATCH(ROWS($X$2:$X1154),'Per Line'!$AI$2:$AI$4001,0),"")</f>
        <v/>
      </c>
    </row>
    <row r="1155" customFormat="false" ht="15" hidden="false" customHeight="false" outlineLevel="0" collapsed="false">
      <c r="A1155" s="19"/>
      <c r="B1155" s="20" t="str">
        <f aca="false">IF($X1155="","",INDEX('Per Line'!$D$2:$D$4001,$X1155))</f>
        <v/>
      </c>
      <c r="C1155" s="20" t="str">
        <f aca="false">IF($X1155="","",INDEX('Per Line'!$C$2:$C$4001,$X1155))</f>
        <v/>
      </c>
      <c r="D1155" s="20" t="str">
        <f aca="false">IF($X1155="","",INDEX('Per Line'!$A$2:$A$4001,$X1155))</f>
        <v/>
      </c>
      <c r="E1155" s="21" t="str">
        <f aca="false">IF($X1155="","",INDEX('Per Line'!$F$2:$F$4001,$X1155))</f>
        <v/>
      </c>
      <c r="F1155" s="20" t="str">
        <f aca="false">IF($X1155="","",INDEX('Per Line'!$G$2:$G$4001,$X1155))</f>
        <v/>
      </c>
      <c r="G1155" s="20" t="str">
        <f aca="false">IF($X1155="","",INDEX('Per Line'!$I$2:$I$4001,$X1155))</f>
        <v/>
      </c>
      <c r="H1155" s="20" t="str">
        <f aca="false">IF($X1155="","",INDEX('Per Line'!$J$2:$J$4001,$X1155))</f>
        <v/>
      </c>
      <c r="I1155" s="20" t="str">
        <f aca="false">IF($X1155="","",INDEX('Per Line'!$K$2:$K$4001,$X1155))</f>
        <v/>
      </c>
      <c r="J1155" s="20" t="str">
        <f aca="false">IF($X1155="","",INDEX('Per Line'!$L$2:$L$4001,$X1155))</f>
        <v/>
      </c>
      <c r="K1155" s="20" t="str">
        <f aca="false">IF($X1155="","",INDEX('Per Line'!$M$2:$M$4001,$X1155))</f>
        <v/>
      </c>
      <c r="L1155" s="22" t="str">
        <f aca="false">IF($X1155="","",K1155*V1155/100)</f>
        <v/>
      </c>
      <c r="M1155" s="20" t="str">
        <f aca="false">IF($X1155="","",INDEX('Per Line'!$Z$2:$Z$4001,$X1155))</f>
        <v/>
      </c>
      <c r="N1155" s="23" t="str">
        <f aca="false">IF($X1155="","",Settings!$C$7)</f>
        <v/>
      </c>
      <c r="O1155" s="22" t="str">
        <f aca="false">IF($X1155="","",SUMIFS('Per Line'!$Y$2:$Y$4001,'Per Line'!$D$2:$D$4001,$B1155,'Per Line'!$AJ$2:$AJ$4001,0))</f>
        <v/>
      </c>
      <c r="P1155" s="22" t="str">
        <f aca="false">IF($X1155="","",O1155*N1155)</f>
        <v/>
      </c>
      <c r="Q1155" s="23" t="str">
        <f aca="false">IF($X1155="","",Settings!$C$6)</f>
        <v/>
      </c>
      <c r="R1155" s="22" t="str">
        <f aca="false">IF($X1155="","",SUMIFS('Per Line'!$Y$2:$Y$4001,'Per Line'!$D$2:$D$4001,$B1155,'Per Line'!$AJ$2:$AJ$4001,1))</f>
        <v/>
      </c>
      <c r="S1155" s="22" t="str">
        <f aca="false">IF($X1155="","",R1155*Q1155)</f>
        <v/>
      </c>
      <c r="T1155" s="22" t="str">
        <f aca="false">IF($X1155="","",S1155+P1155)</f>
        <v/>
      </c>
      <c r="U1155" s="22" t="str">
        <f aca="false">IF($X1155="","",V1155-T1155)</f>
        <v/>
      </c>
      <c r="V1155" s="22" t="str">
        <f aca="false">IF($X1155="","",O1155+R1155)</f>
        <v/>
      </c>
      <c r="W1155" s="22" t="str">
        <f aca="false">IF($X1155="","",U1155-L1155)</f>
        <v/>
      </c>
      <c r="X1155" s="24" t="str">
        <f aca="false">IF(ROWS($X$2:$X1155)&lt;=MAX('Per Line'!$AI$2:$AI$4001),MATCH(ROWS($X$2:$X1155),'Per Line'!$AI$2:$AI$4001,0),"")</f>
        <v/>
      </c>
    </row>
    <row r="1156" customFormat="false" ht="15" hidden="false" customHeight="false" outlineLevel="0" collapsed="false">
      <c r="A1156" s="19"/>
      <c r="B1156" s="20" t="str">
        <f aca="false">IF($X1156="","",INDEX('Per Line'!$D$2:$D$4001,$X1156))</f>
        <v/>
      </c>
      <c r="C1156" s="20" t="str">
        <f aca="false">IF($X1156="","",INDEX('Per Line'!$C$2:$C$4001,$X1156))</f>
        <v/>
      </c>
      <c r="D1156" s="20" t="str">
        <f aca="false">IF($X1156="","",INDEX('Per Line'!$A$2:$A$4001,$X1156))</f>
        <v/>
      </c>
      <c r="E1156" s="21" t="str">
        <f aca="false">IF($X1156="","",INDEX('Per Line'!$F$2:$F$4001,$X1156))</f>
        <v/>
      </c>
      <c r="F1156" s="20" t="str">
        <f aca="false">IF($X1156="","",INDEX('Per Line'!$G$2:$G$4001,$X1156))</f>
        <v/>
      </c>
      <c r="G1156" s="20" t="str">
        <f aca="false">IF($X1156="","",INDEX('Per Line'!$I$2:$I$4001,$X1156))</f>
        <v/>
      </c>
      <c r="H1156" s="20" t="str">
        <f aca="false">IF($X1156="","",INDEX('Per Line'!$J$2:$J$4001,$X1156))</f>
        <v/>
      </c>
      <c r="I1156" s="20" t="str">
        <f aca="false">IF($X1156="","",INDEX('Per Line'!$K$2:$K$4001,$X1156))</f>
        <v/>
      </c>
      <c r="J1156" s="20" t="str">
        <f aca="false">IF($X1156="","",INDEX('Per Line'!$L$2:$L$4001,$X1156))</f>
        <v/>
      </c>
      <c r="K1156" s="20" t="str">
        <f aca="false">IF($X1156="","",INDEX('Per Line'!$M$2:$M$4001,$X1156))</f>
        <v/>
      </c>
      <c r="L1156" s="22" t="str">
        <f aca="false">IF($X1156="","",K1156*V1156/100)</f>
        <v/>
      </c>
      <c r="M1156" s="20" t="str">
        <f aca="false">IF($X1156="","",INDEX('Per Line'!$Z$2:$Z$4001,$X1156))</f>
        <v/>
      </c>
      <c r="N1156" s="23" t="str">
        <f aca="false">IF($X1156="","",Settings!$C$7)</f>
        <v/>
      </c>
      <c r="O1156" s="22" t="str">
        <f aca="false">IF($X1156="","",SUMIFS('Per Line'!$Y$2:$Y$4001,'Per Line'!$D$2:$D$4001,$B1156,'Per Line'!$AJ$2:$AJ$4001,0))</f>
        <v/>
      </c>
      <c r="P1156" s="22" t="str">
        <f aca="false">IF($X1156="","",O1156*N1156)</f>
        <v/>
      </c>
      <c r="Q1156" s="23" t="str">
        <f aca="false">IF($X1156="","",Settings!$C$6)</f>
        <v/>
      </c>
      <c r="R1156" s="22" t="str">
        <f aca="false">IF($X1156="","",SUMIFS('Per Line'!$Y$2:$Y$4001,'Per Line'!$D$2:$D$4001,$B1156,'Per Line'!$AJ$2:$AJ$4001,1))</f>
        <v/>
      </c>
      <c r="S1156" s="22" t="str">
        <f aca="false">IF($X1156="","",R1156*Q1156)</f>
        <v/>
      </c>
      <c r="T1156" s="22" t="str">
        <f aca="false">IF($X1156="","",S1156+P1156)</f>
        <v/>
      </c>
      <c r="U1156" s="22" t="str">
        <f aca="false">IF($X1156="","",V1156-T1156)</f>
        <v/>
      </c>
      <c r="V1156" s="22" t="str">
        <f aca="false">IF($X1156="","",O1156+R1156)</f>
        <v/>
      </c>
      <c r="W1156" s="22" t="str">
        <f aca="false">IF($X1156="","",U1156-L1156)</f>
        <v/>
      </c>
      <c r="X1156" s="24" t="str">
        <f aca="false">IF(ROWS($X$2:$X1156)&lt;=MAX('Per Line'!$AI$2:$AI$4001),MATCH(ROWS($X$2:$X1156),'Per Line'!$AI$2:$AI$4001,0),"")</f>
        <v/>
      </c>
    </row>
    <row r="1157" customFormat="false" ht="15" hidden="false" customHeight="false" outlineLevel="0" collapsed="false">
      <c r="A1157" s="19"/>
      <c r="B1157" s="20" t="str">
        <f aca="false">IF($X1157="","",INDEX('Per Line'!$D$2:$D$4001,$X1157))</f>
        <v/>
      </c>
      <c r="C1157" s="20" t="str">
        <f aca="false">IF($X1157="","",INDEX('Per Line'!$C$2:$C$4001,$X1157))</f>
        <v/>
      </c>
      <c r="D1157" s="20" t="str">
        <f aca="false">IF($X1157="","",INDEX('Per Line'!$A$2:$A$4001,$X1157))</f>
        <v/>
      </c>
      <c r="E1157" s="21" t="str">
        <f aca="false">IF($X1157="","",INDEX('Per Line'!$F$2:$F$4001,$X1157))</f>
        <v/>
      </c>
      <c r="F1157" s="20" t="str">
        <f aca="false">IF($X1157="","",INDEX('Per Line'!$G$2:$G$4001,$X1157))</f>
        <v/>
      </c>
      <c r="G1157" s="20" t="str">
        <f aca="false">IF($X1157="","",INDEX('Per Line'!$I$2:$I$4001,$X1157))</f>
        <v/>
      </c>
      <c r="H1157" s="20" t="str">
        <f aca="false">IF($X1157="","",INDEX('Per Line'!$J$2:$J$4001,$X1157))</f>
        <v/>
      </c>
      <c r="I1157" s="20" t="str">
        <f aca="false">IF($X1157="","",INDEX('Per Line'!$K$2:$K$4001,$X1157))</f>
        <v/>
      </c>
      <c r="J1157" s="20" t="str">
        <f aca="false">IF($X1157="","",INDEX('Per Line'!$L$2:$L$4001,$X1157))</f>
        <v/>
      </c>
      <c r="K1157" s="20" t="str">
        <f aca="false">IF($X1157="","",INDEX('Per Line'!$M$2:$M$4001,$X1157))</f>
        <v/>
      </c>
      <c r="L1157" s="22" t="str">
        <f aca="false">IF($X1157="","",K1157*V1157/100)</f>
        <v/>
      </c>
      <c r="M1157" s="20" t="str">
        <f aca="false">IF($X1157="","",INDEX('Per Line'!$Z$2:$Z$4001,$X1157))</f>
        <v/>
      </c>
      <c r="N1157" s="23" t="str">
        <f aca="false">IF($X1157="","",Settings!$C$7)</f>
        <v/>
      </c>
      <c r="O1157" s="22" t="str">
        <f aca="false">IF($X1157="","",SUMIFS('Per Line'!$Y$2:$Y$4001,'Per Line'!$D$2:$D$4001,$B1157,'Per Line'!$AJ$2:$AJ$4001,0))</f>
        <v/>
      </c>
      <c r="P1157" s="22" t="str">
        <f aca="false">IF($X1157="","",O1157*N1157)</f>
        <v/>
      </c>
      <c r="Q1157" s="23" t="str">
        <f aca="false">IF($X1157="","",Settings!$C$6)</f>
        <v/>
      </c>
      <c r="R1157" s="22" t="str">
        <f aca="false">IF($X1157="","",SUMIFS('Per Line'!$Y$2:$Y$4001,'Per Line'!$D$2:$D$4001,$B1157,'Per Line'!$AJ$2:$AJ$4001,1))</f>
        <v/>
      </c>
      <c r="S1157" s="22" t="str">
        <f aca="false">IF($X1157="","",R1157*Q1157)</f>
        <v/>
      </c>
      <c r="T1157" s="22" t="str">
        <f aca="false">IF($X1157="","",S1157+P1157)</f>
        <v/>
      </c>
      <c r="U1157" s="22" t="str">
        <f aca="false">IF($X1157="","",V1157-T1157)</f>
        <v/>
      </c>
      <c r="V1157" s="22" t="str">
        <f aca="false">IF($X1157="","",O1157+R1157)</f>
        <v/>
      </c>
      <c r="W1157" s="22" t="str">
        <f aca="false">IF($X1157="","",U1157-L1157)</f>
        <v/>
      </c>
      <c r="X1157" s="24" t="str">
        <f aca="false">IF(ROWS($X$2:$X1157)&lt;=MAX('Per Line'!$AI$2:$AI$4001),MATCH(ROWS($X$2:$X1157),'Per Line'!$AI$2:$AI$4001,0),"")</f>
        <v/>
      </c>
    </row>
    <row r="1158" customFormat="false" ht="15" hidden="false" customHeight="false" outlineLevel="0" collapsed="false">
      <c r="A1158" s="19"/>
      <c r="B1158" s="20" t="str">
        <f aca="false">IF($X1158="","",INDEX('Per Line'!$D$2:$D$4001,$X1158))</f>
        <v/>
      </c>
      <c r="C1158" s="20" t="str">
        <f aca="false">IF($X1158="","",INDEX('Per Line'!$C$2:$C$4001,$X1158))</f>
        <v/>
      </c>
      <c r="D1158" s="20" t="str">
        <f aca="false">IF($X1158="","",INDEX('Per Line'!$A$2:$A$4001,$X1158))</f>
        <v/>
      </c>
      <c r="E1158" s="21" t="str">
        <f aca="false">IF($X1158="","",INDEX('Per Line'!$F$2:$F$4001,$X1158))</f>
        <v/>
      </c>
      <c r="F1158" s="20" t="str">
        <f aca="false">IF($X1158="","",INDEX('Per Line'!$G$2:$G$4001,$X1158))</f>
        <v/>
      </c>
      <c r="G1158" s="20" t="str">
        <f aca="false">IF($X1158="","",INDEX('Per Line'!$I$2:$I$4001,$X1158))</f>
        <v/>
      </c>
      <c r="H1158" s="20" t="str">
        <f aca="false">IF($X1158="","",INDEX('Per Line'!$J$2:$J$4001,$X1158))</f>
        <v/>
      </c>
      <c r="I1158" s="20" t="str">
        <f aca="false">IF($X1158="","",INDEX('Per Line'!$K$2:$K$4001,$X1158))</f>
        <v/>
      </c>
      <c r="J1158" s="20" t="str">
        <f aca="false">IF($X1158="","",INDEX('Per Line'!$L$2:$L$4001,$X1158))</f>
        <v/>
      </c>
      <c r="K1158" s="20" t="str">
        <f aca="false">IF($X1158="","",INDEX('Per Line'!$M$2:$M$4001,$X1158))</f>
        <v/>
      </c>
      <c r="L1158" s="22" t="str">
        <f aca="false">IF($X1158="","",K1158*V1158/100)</f>
        <v/>
      </c>
      <c r="M1158" s="20" t="str">
        <f aca="false">IF($X1158="","",INDEX('Per Line'!$Z$2:$Z$4001,$X1158))</f>
        <v/>
      </c>
      <c r="N1158" s="23" t="str">
        <f aca="false">IF($X1158="","",Settings!$C$7)</f>
        <v/>
      </c>
      <c r="O1158" s="22" t="str">
        <f aca="false">IF($X1158="","",SUMIFS('Per Line'!$Y$2:$Y$4001,'Per Line'!$D$2:$D$4001,$B1158,'Per Line'!$AJ$2:$AJ$4001,0))</f>
        <v/>
      </c>
      <c r="P1158" s="22" t="str">
        <f aca="false">IF($X1158="","",O1158*N1158)</f>
        <v/>
      </c>
      <c r="Q1158" s="23" t="str">
        <f aca="false">IF($X1158="","",Settings!$C$6)</f>
        <v/>
      </c>
      <c r="R1158" s="22" t="str">
        <f aca="false">IF($X1158="","",SUMIFS('Per Line'!$Y$2:$Y$4001,'Per Line'!$D$2:$D$4001,$B1158,'Per Line'!$AJ$2:$AJ$4001,1))</f>
        <v/>
      </c>
      <c r="S1158" s="22" t="str">
        <f aca="false">IF($X1158="","",R1158*Q1158)</f>
        <v/>
      </c>
      <c r="T1158" s="22" t="str">
        <f aca="false">IF($X1158="","",S1158+P1158)</f>
        <v/>
      </c>
      <c r="U1158" s="22" t="str">
        <f aca="false">IF($X1158="","",V1158-T1158)</f>
        <v/>
      </c>
      <c r="V1158" s="22" t="str">
        <f aca="false">IF($X1158="","",O1158+R1158)</f>
        <v/>
      </c>
      <c r="W1158" s="22" t="str">
        <f aca="false">IF($X1158="","",U1158-L1158)</f>
        <v/>
      </c>
      <c r="X1158" s="24" t="str">
        <f aca="false">IF(ROWS($X$2:$X1158)&lt;=MAX('Per Line'!$AI$2:$AI$4001),MATCH(ROWS($X$2:$X1158),'Per Line'!$AI$2:$AI$4001,0),"")</f>
        <v/>
      </c>
    </row>
    <row r="1159" customFormat="false" ht="15" hidden="false" customHeight="false" outlineLevel="0" collapsed="false">
      <c r="A1159" s="19"/>
      <c r="B1159" s="20" t="str">
        <f aca="false">IF($X1159="","",INDEX('Per Line'!$D$2:$D$4001,$X1159))</f>
        <v/>
      </c>
      <c r="C1159" s="20" t="str">
        <f aca="false">IF($X1159="","",INDEX('Per Line'!$C$2:$C$4001,$X1159))</f>
        <v/>
      </c>
      <c r="D1159" s="20" t="str">
        <f aca="false">IF($X1159="","",INDEX('Per Line'!$A$2:$A$4001,$X1159))</f>
        <v/>
      </c>
      <c r="E1159" s="21" t="str">
        <f aca="false">IF($X1159="","",INDEX('Per Line'!$F$2:$F$4001,$X1159))</f>
        <v/>
      </c>
      <c r="F1159" s="20" t="str">
        <f aca="false">IF($X1159="","",INDEX('Per Line'!$G$2:$G$4001,$X1159))</f>
        <v/>
      </c>
      <c r="G1159" s="20" t="str">
        <f aca="false">IF($X1159="","",INDEX('Per Line'!$I$2:$I$4001,$X1159))</f>
        <v/>
      </c>
      <c r="H1159" s="20" t="str">
        <f aca="false">IF($X1159="","",INDEX('Per Line'!$J$2:$J$4001,$X1159))</f>
        <v/>
      </c>
      <c r="I1159" s="20" t="str">
        <f aca="false">IF($X1159="","",INDEX('Per Line'!$K$2:$K$4001,$X1159))</f>
        <v/>
      </c>
      <c r="J1159" s="20" t="str">
        <f aca="false">IF($X1159="","",INDEX('Per Line'!$L$2:$L$4001,$X1159))</f>
        <v/>
      </c>
      <c r="K1159" s="20" t="str">
        <f aca="false">IF($X1159="","",INDEX('Per Line'!$M$2:$M$4001,$X1159))</f>
        <v/>
      </c>
      <c r="L1159" s="22" t="str">
        <f aca="false">IF($X1159="","",K1159*V1159/100)</f>
        <v/>
      </c>
      <c r="M1159" s="20" t="str">
        <f aca="false">IF($X1159="","",INDEX('Per Line'!$Z$2:$Z$4001,$X1159))</f>
        <v/>
      </c>
      <c r="N1159" s="23" t="str">
        <f aca="false">IF($X1159="","",Settings!$C$7)</f>
        <v/>
      </c>
      <c r="O1159" s="22" t="str">
        <f aca="false">IF($X1159="","",SUMIFS('Per Line'!$Y$2:$Y$4001,'Per Line'!$D$2:$D$4001,$B1159,'Per Line'!$AJ$2:$AJ$4001,0))</f>
        <v/>
      </c>
      <c r="P1159" s="22" t="str">
        <f aca="false">IF($X1159="","",O1159*N1159)</f>
        <v/>
      </c>
      <c r="Q1159" s="23" t="str">
        <f aca="false">IF($X1159="","",Settings!$C$6)</f>
        <v/>
      </c>
      <c r="R1159" s="22" t="str">
        <f aca="false">IF($X1159="","",SUMIFS('Per Line'!$Y$2:$Y$4001,'Per Line'!$D$2:$D$4001,$B1159,'Per Line'!$AJ$2:$AJ$4001,1))</f>
        <v/>
      </c>
      <c r="S1159" s="22" t="str">
        <f aca="false">IF($X1159="","",R1159*Q1159)</f>
        <v/>
      </c>
      <c r="T1159" s="22" t="str">
        <f aca="false">IF($X1159="","",S1159+P1159)</f>
        <v/>
      </c>
      <c r="U1159" s="22" t="str">
        <f aca="false">IF($X1159="","",V1159-T1159)</f>
        <v/>
      </c>
      <c r="V1159" s="22" t="str">
        <f aca="false">IF($X1159="","",O1159+R1159)</f>
        <v/>
      </c>
      <c r="W1159" s="22" t="str">
        <f aca="false">IF($X1159="","",U1159-L1159)</f>
        <v/>
      </c>
      <c r="X1159" s="24" t="str">
        <f aca="false">IF(ROWS($X$2:$X1159)&lt;=MAX('Per Line'!$AI$2:$AI$4001),MATCH(ROWS($X$2:$X1159),'Per Line'!$AI$2:$AI$4001,0),"")</f>
        <v/>
      </c>
    </row>
    <row r="1160" customFormat="false" ht="15" hidden="false" customHeight="false" outlineLevel="0" collapsed="false">
      <c r="A1160" s="19"/>
      <c r="B1160" s="20" t="str">
        <f aca="false">IF($X1160="","",INDEX('Per Line'!$D$2:$D$4001,$X1160))</f>
        <v/>
      </c>
      <c r="C1160" s="20" t="str">
        <f aca="false">IF($X1160="","",INDEX('Per Line'!$C$2:$C$4001,$X1160))</f>
        <v/>
      </c>
      <c r="D1160" s="20" t="str">
        <f aca="false">IF($X1160="","",INDEX('Per Line'!$A$2:$A$4001,$X1160))</f>
        <v/>
      </c>
      <c r="E1160" s="21" t="str">
        <f aca="false">IF($X1160="","",INDEX('Per Line'!$F$2:$F$4001,$X1160))</f>
        <v/>
      </c>
      <c r="F1160" s="20" t="str">
        <f aca="false">IF($X1160="","",INDEX('Per Line'!$G$2:$G$4001,$X1160))</f>
        <v/>
      </c>
      <c r="G1160" s="20" t="str">
        <f aca="false">IF($X1160="","",INDEX('Per Line'!$I$2:$I$4001,$X1160))</f>
        <v/>
      </c>
      <c r="H1160" s="20" t="str">
        <f aca="false">IF($X1160="","",INDEX('Per Line'!$J$2:$J$4001,$X1160))</f>
        <v/>
      </c>
      <c r="I1160" s="20" t="str">
        <f aca="false">IF($X1160="","",INDEX('Per Line'!$K$2:$K$4001,$X1160))</f>
        <v/>
      </c>
      <c r="J1160" s="20" t="str">
        <f aca="false">IF($X1160="","",INDEX('Per Line'!$L$2:$L$4001,$X1160))</f>
        <v/>
      </c>
      <c r="K1160" s="20" t="str">
        <f aca="false">IF($X1160="","",INDEX('Per Line'!$M$2:$M$4001,$X1160))</f>
        <v/>
      </c>
      <c r="L1160" s="22" t="str">
        <f aca="false">IF($X1160="","",K1160*V1160/100)</f>
        <v/>
      </c>
      <c r="M1160" s="20" t="str">
        <f aca="false">IF($X1160="","",INDEX('Per Line'!$Z$2:$Z$4001,$X1160))</f>
        <v/>
      </c>
      <c r="N1160" s="23" t="str">
        <f aca="false">IF($X1160="","",Settings!$C$7)</f>
        <v/>
      </c>
      <c r="O1160" s="22" t="str">
        <f aca="false">IF($X1160="","",SUMIFS('Per Line'!$Y$2:$Y$4001,'Per Line'!$D$2:$D$4001,$B1160,'Per Line'!$AJ$2:$AJ$4001,0))</f>
        <v/>
      </c>
      <c r="P1160" s="22" t="str">
        <f aca="false">IF($X1160="","",O1160*N1160)</f>
        <v/>
      </c>
      <c r="Q1160" s="23" t="str">
        <f aca="false">IF($X1160="","",Settings!$C$6)</f>
        <v/>
      </c>
      <c r="R1160" s="22" t="str">
        <f aca="false">IF($X1160="","",SUMIFS('Per Line'!$Y$2:$Y$4001,'Per Line'!$D$2:$D$4001,$B1160,'Per Line'!$AJ$2:$AJ$4001,1))</f>
        <v/>
      </c>
      <c r="S1160" s="22" t="str">
        <f aca="false">IF($X1160="","",R1160*Q1160)</f>
        <v/>
      </c>
      <c r="T1160" s="22" t="str">
        <f aca="false">IF($X1160="","",S1160+P1160)</f>
        <v/>
      </c>
      <c r="U1160" s="22" t="str">
        <f aca="false">IF($X1160="","",V1160-T1160)</f>
        <v/>
      </c>
      <c r="V1160" s="22" t="str">
        <f aca="false">IF($X1160="","",O1160+R1160)</f>
        <v/>
      </c>
      <c r="W1160" s="22" t="str">
        <f aca="false">IF($X1160="","",U1160-L1160)</f>
        <v/>
      </c>
      <c r="X1160" s="24" t="str">
        <f aca="false">IF(ROWS($X$2:$X1160)&lt;=MAX('Per Line'!$AI$2:$AI$4001),MATCH(ROWS($X$2:$X1160),'Per Line'!$AI$2:$AI$4001,0),"")</f>
        <v/>
      </c>
    </row>
    <row r="1161" customFormat="false" ht="15" hidden="false" customHeight="false" outlineLevel="0" collapsed="false">
      <c r="A1161" s="19"/>
      <c r="B1161" s="20" t="str">
        <f aca="false">IF($X1161="","",INDEX('Per Line'!$D$2:$D$4001,$X1161))</f>
        <v/>
      </c>
      <c r="C1161" s="20" t="str">
        <f aca="false">IF($X1161="","",INDEX('Per Line'!$C$2:$C$4001,$X1161))</f>
        <v/>
      </c>
      <c r="D1161" s="20" t="str">
        <f aca="false">IF($X1161="","",INDEX('Per Line'!$A$2:$A$4001,$X1161))</f>
        <v/>
      </c>
      <c r="E1161" s="21" t="str">
        <f aca="false">IF($X1161="","",INDEX('Per Line'!$F$2:$F$4001,$X1161))</f>
        <v/>
      </c>
      <c r="F1161" s="20" t="str">
        <f aca="false">IF($X1161="","",INDEX('Per Line'!$G$2:$G$4001,$X1161))</f>
        <v/>
      </c>
      <c r="G1161" s="20" t="str">
        <f aca="false">IF($X1161="","",INDEX('Per Line'!$I$2:$I$4001,$X1161))</f>
        <v/>
      </c>
      <c r="H1161" s="20" t="str">
        <f aca="false">IF($X1161="","",INDEX('Per Line'!$J$2:$J$4001,$X1161))</f>
        <v/>
      </c>
      <c r="I1161" s="20" t="str">
        <f aca="false">IF($X1161="","",INDEX('Per Line'!$K$2:$K$4001,$X1161))</f>
        <v/>
      </c>
      <c r="J1161" s="20" t="str">
        <f aca="false">IF($X1161="","",INDEX('Per Line'!$L$2:$L$4001,$X1161))</f>
        <v/>
      </c>
      <c r="K1161" s="20" t="str">
        <f aca="false">IF($X1161="","",INDEX('Per Line'!$M$2:$M$4001,$X1161))</f>
        <v/>
      </c>
      <c r="L1161" s="22" t="str">
        <f aca="false">IF($X1161="","",K1161*V1161/100)</f>
        <v/>
      </c>
      <c r="M1161" s="20" t="str">
        <f aca="false">IF($X1161="","",INDEX('Per Line'!$Z$2:$Z$4001,$X1161))</f>
        <v/>
      </c>
      <c r="N1161" s="23" t="str">
        <f aca="false">IF($X1161="","",Settings!$C$7)</f>
        <v/>
      </c>
      <c r="O1161" s="22" t="str">
        <f aca="false">IF($X1161="","",SUMIFS('Per Line'!$Y$2:$Y$4001,'Per Line'!$D$2:$D$4001,$B1161,'Per Line'!$AJ$2:$AJ$4001,0))</f>
        <v/>
      </c>
      <c r="P1161" s="22" t="str">
        <f aca="false">IF($X1161="","",O1161*N1161)</f>
        <v/>
      </c>
      <c r="Q1161" s="23" t="str">
        <f aca="false">IF($X1161="","",Settings!$C$6)</f>
        <v/>
      </c>
      <c r="R1161" s="22" t="str">
        <f aca="false">IF($X1161="","",SUMIFS('Per Line'!$Y$2:$Y$4001,'Per Line'!$D$2:$D$4001,$B1161,'Per Line'!$AJ$2:$AJ$4001,1))</f>
        <v/>
      </c>
      <c r="S1161" s="22" t="str">
        <f aca="false">IF($X1161="","",R1161*Q1161)</f>
        <v/>
      </c>
      <c r="T1161" s="22" t="str">
        <f aca="false">IF($X1161="","",S1161+P1161)</f>
        <v/>
      </c>
      <c r="U1161" s="22" t="str">
        <f aca="false">IF($X1161="","",V1161-T1161)</f>
        <v/>
      </c>
      <c r="V1161" s="22" t="str">
        <f aca="false">IF($X1161="","",O1161+R1161)</f>
        <v/>
      </c>
      <c r="W1161" s="22" t="str">
        <f aca="false">IF($X1161="","",U1161-L1161)</f>
        <v/>
      </c>
      <c r="X1161" s="24" t="str">
        <f aca="false">IF(ROWS($X$2:$X1161)&lt;=MAX('Per Line'!$AI$2:$AI$4001),MATCH(ROWS($X$2:$X1161),'Per Line'!$AI$2:$AI$4001,0),"")</f>
        <v/>
      </c>
    </row>
    <row r="1162" customFormat="false" ht="15" hidden="false" customHeight="false" outlineLevel="0" collapsed="false">
      <c r="A1162" s="19"/>
      <c r="B1162" s="20" t="str">
        <f aca="false">IF($X1162="","",INDEX('Per Line'!$D$2:$D$4001,$X1162))</f>
        <v/>
      </c>
      <c r="C1162" s="20" t="str">
        <f aca="false">IF($X1162="","",INDEX('Per Line'!$C$2:$C$4001,$X1162))</f>
        <v/>
      </c>
      <c r="D1162" s="20" t="str">
        <f aca="false">IF($X1162="","",INDEX('Per Line'!$A$2:$A$4001,$X1162))</f>
        <v/>
      </c>
      <c r="E1162" s="21" t="str">
        <f aca="false">IF($X1162="","",INDEX('Per Line'!$F$2:$F$4001,$X1162))</f>
        <v/>
      </c>
      <c r="F1162" s="20" t="str">
        <f aca="false">IF($X1162="","",INDEX('Per Line'!$G$2:$G$4001,$X1162))</f>
        <v/>
      </c>
      <c r="G1162" s="20" t="str">
        <f aca="false">IF($X1162="","",INDEX('Per Line'!$I$2:$I$4001,$X1162))</f>
        <v/>
      </c>
      <c r="H1162" s="20" t="str">
        <f aca="false">IF($X1162="","",INDEX('Per Line'!$J$2:$J$4001,$X1162))</f>
        <v/>
      </c>
      <c r="I1162" s="20" t="str">
        <f aca="false">IF($X1162="","",INDEX('Per Line'!$K$2:$K$4001,$X1162))</f>
        <v/>
      </c>
      <c r="J1162" s="20" t="str">
        <f aca="false">IF($X1162="","",INDEX('Per Line'!$L$2:$L$4001,$X1162))</f>
        <v/>
      </c>
      <c r="K1162" s="20" t="str">
        <f aca="false">IF($X1162="","",INDEX('Per Line'!$M$2:$M$4001,$X1162))</f>
        <v/>
      </c>
      <c r="L1162" s="22" t="str">
        <f aca="false">IF($X1162="","",K1162*V1162/100)</f>
        <v/>
      </c>
      <c r="M1162" s="20" t="str">
        <f aca="false">IF($X1162="","",INDEX('Per Line'!$Z$2:$Z$4001,$X1162))</f>
        <v/>
      </c>
      <c r="N1162" s="23" t="str">
        <f aca="false">IF($X1162="","",Settings!$C$7)</f>
        <v/>
      </c>
      <c r="O1162" s="22" t="str">
        <f aca="false">IF($X1162="","",SUMIFS('Per Line'!$Y$2:$Y$4001,'Per Line'!$D$2:$D$4001,$B1162,'Per Line'!$AJ$2:$AJ$4001,0))</f>
        <v/>
      </c>
      <c r="P1162" s="22" t="str">
        <f aca="false">IF($X1162="","",O1162*N1162)</f>
        <v/>
      </c>
      <c r="Q1162" s="23" t="str">
        <f aca="false">IF($X1162="","",Settings!$C$6)</f>
        <v/>
      </c>
      <c r="R1162" s="22" t="str">
        <f aca="false">IF($X1162="","",SUMIFS('Per Line'!$Y$2:$Y$4001,'Per Line'!$D$2:$D$4001,$B1162,'Per Line'!$AJ$2:$AJ$4001,1))</f>
        <v/>
      </c>
      <c r="S1162" s="22" t="str">
        <f aca="false">IF($X1162="","",R1162*Q1162)</f>
        <v/>
      </c>
      <c r="T1162" s="22" t="str">
        <f aca="false">IF($X1162="","",S1162+P1162)</f>
        <v/>
      </c>
      <c r="U1162" s="22" t="str">
        <f aca="false">IF($X1162="","",V1162-T1162)</f>
        <v/>
      </c>
      <c r="V1162" s="22" t="str">
        <f aca="false">IF($X1162="","",O1162+R1162)</f>
        <v/>
      </c>
      <c r="W1162" s="22" t="str">
        <f aca="false">IF($X1162="","",U1162-L1162)</f>
        <v/>
      </c>
      <c r="X1162" s="24" t="str">
        <f aca="false">IF(ROWS($X$2:$X1162)&lt;=MAX('Per Line'!$AI$2:$AI$4001),MATCH(ROWS($X$2:$X1162),'Per Line'!$AI$2:$AI$4001,0),"")</f>
        <v/>
      </c>
    </row>
    <row r="1163" customFormat="false" ht="15" hidden="false" customHeight="false" outlineLevel="0" collapsed="false">
      <c r="A1163" s="19"/>
      <c r="B1163" s="20" t="str">
        <f aca="false">IF($X1163="","",INDEX('Per Line'!$D$2:$D$4001,$X1163))</f>
        <v/>
      </c>
      <c r="C1163" s="20" t="str">
        <f aca="false">IF($X1163="","",INDEX('Per Line'!$C$2:$C$4001,$X1163))</f>
        <v/>
      </c>
      <c r="D1163" s="20" t="str">
        <f aca="false">IF($X1163="","",INDEX('Per Line'!$A$2:$A$4001,$X1163))</f>
        <v/>
      </c>
      <c r="E1163" s="21" t="str">
        <f aca="false">IF($X1163="","",INDEX('Per Line'!$F$2:$F$4001,$X1163))</f>
        <v/>
      </c>
      <c r="F1163" s="20" t="str">
        <f aca="false">IF($X1163="","",INDEX('Per Line'!$G$2:$G$4001,$X1163))</f>
        <v/>
      </c>
      <c r="G1163" s="20" t="str">
        <f aca="false">IF($X1163="","",INDEX('Per Line'!$I$2:$I$4001,$X1163))</f>
        <v/>
      </c>
      <c r="H1163" s="20" t="str">
        <f aca="false">IF($X1163="","",INDEX('Per Line'!$J$2:$J$4001,$X1163))</f>
        <v/>
      </c>
      <c r="I1163" s="20" t="str">
        <f aca="false">IF($X1163="","",INDEX('Per Line'!$K$2:$K$4001,$X1163))</f>
        <v/>
      </c>
      <c r="J1163" s="20" t="str">
        <f aca="false">IF($X1163="","",INDEX('Per Line'!$L$2:$L$4001,$X1163))</f>
        <v/>
      </c>
      <c r="K1163" s="20" t="str">
        <f aca="false">IF($X1163="","",INDEX('Per Line'!$M$2:$M$4001,$X1163))</f>
        <v/>
      </c>
      <c r="L1163" s="22" t="str">
        <f aca="false">IF($X1163="","",K1163*V1163/100)</f>
        <v/>
      </c>
      <c r="M1163" s="20" t="str">
        <f aca="false">IF($X1163="","",INDEX('Per Line'!$Z$2:$Z$4001,$X1163))</f>
        <v/>
      </c>
      <c r="N1163" s="23" t="str">
        <f aca="false">IF($X1163="","",Settings!$C$7)</f>
        <v/>
      </c>
      <c r="O1163" s="22" t="str">
        <f aca="false">IF($X1163="","",SUMIFS('Per Line'!$Y$2:$Y$4001,'Per Line'!$D$2:$D$4001,$B1163,'Per Line'!$AJ$2:$AJ$4001,0))</f>
        <v/>
      </c>
      <c r="P1163" s="22" t="str">
        <f aca="false">IF($X1163="","",O1163*N1163)</f>
        <v/>
      </c>
      <c r="Q1163" s="23" t="str">
        <f aca="false">IF($X1163="","",Settings!$C$6)</f>
        <v/>
      </c>
      <c r="R1163" s="22" t="str">
        <f aca="false">IF($X1163="","",SUMIFS('Per Line'!$Y$2:$Y$4001,'Per Line'!$D$2:$D$4001,$B1163,'Per Line'!$AJ$2:$AJ$4001,1))</f>
        <v/>
      </c>
      <c r="S1163" s="22" t="str">
        <f aca="false">IF($X1163="","",R1163*Q1163)</f>
        <v/>
      </c>
      <c r="T1163" s="22" t="str">
        <f aca="false">IF($X1163="","",S1163+P1163)</f>
        <v/>
      </c>
      <c r="U1163" s="22" t="str">
        <f aca="false">IF($X1163="","",V1163-T1163)</f>
        <v/>
      </c>
      <c r="V1163" s="22" t="str">
        <f aca="false">IF($X1163="","",O1163+R1163)</f>
        <v/>
      </c>
      <c r="W1163" s="22" t="str">
        <f aca="false">IF($X1163="","",U1163-L1163)</f>
        <v/>
      </c>
      <c r="X1163" s="24" t="str">
        <f aca="false">IF(ROWS($X$2:$X1163)&lt;=MAX('Per Line'!$AI$2:$AI$4001),MATCH(ROWS($X$2:$X1163),'Per Line'!$AI$2:$AI$4001,0),"")</f>
        <v/>
      </c>
    </row>
    <row r="1164" customFormat="false" ht="15" hidden="false" customHeight="false" outlineLevel="0" collapsed="false">
      <c r="A1164" s="19"/>
      <c r="B1164" s="20" t="str">
        <f aca="false">IF($X1164="","",INDEX('Per Line'!$D$2:$D$4001,$X1164))</f>
        <v/>
      </c>
      <c r="C1164" s="20" t="str">
        <f aca="false">IF($X1164="","",INDEX('Per Line'!$C$2:$C$4001,$X1164))</f>
        <v/>
      </c>
      <c r="D1164" s="20" t="str">
        <f aca="false">IF($X1164="","",INDEX('Per Line'!$A$2:$A$4001,$X1164))</f>
        <v/>
      </c>
      <c r="E1164" s="21" t="str">
        <f aca="false">IF($X1164="","",INDEX('Per Line'!$F$2:$F$4001,$X1164))</f>
        <v/>
      </c>
      <c r="F1164" s="20" t="str">
        <f aca="false">IF($X1164="","",INDEX('Per Line'!$G$2:$G$4001,$X1164))</f>
        <v/>
      </c>
      <c r="G1164" s="20" t="str">
        <f aca="false">IF($X1164="","",INDEX('Per Line'!$I$2:$I$4001,$X1164))</f>
        <v/>
      </c>
      <c r="H1164" s="20" t="str">
        <f aca="false">IF($X1164="","",INDEX('Per Line'!$J$2:$J$4001,$X1164))</f>
        <v/>
      </c>
      <c r="I1164" s="20" t="str">
        <f aca="false">IF($X1164="","",INDEX('Per Line'!$K$2:$K$4001,$X1164))</f>
        <v/>
      </c>
      <c r="J1164" s="20" t="str">
        <f aca="false">IF($X1164="","",INDEX('Per Line'!$L$2:$L$4001,$X1164))</f>
        <v/>
      </c>
      <c r="K1164" s="20" t="str">
        <f aca="false">IF($X1164="","",INDEX('Per Line'!$M$2:$M$4001,$X1164))</f>
        <v/>
      </c>
      <c r="L1164" s="22" t="str">
        <f aca="false">IF($X1164="","",K1164*V1164/100)</f>
        <v/>
      </c>
      <c r="M1164" s="20" t="str">
        <f aca="false">IF($X1164="","",INDEX('Per Line'!$Z$2:$Z$4001,$X1164))</f>
        <v/>
      </c>
      <c r="N1164" s="23" t="str">
        <f aca="false">IF($X1164="","",Settings!$C$7)</f>
        <v/>
      </c>
      <c r="O1164" s="22" t="str">
        <f aca="false">IF($X1164="","",SUMIFS('Per Line'!$Y$2:$Y$4001,'Per Line'!$D$2:$D$4001,$B1164,'Per Line'!$AJ$2:$AJ$4001,0))</f>
        <v/>
      </c>
      <c r="P1164" s="22" t="str">
        <f aca="false">IF($X1164="","",O1164*N1164)</f>
        <v/>
      </c>
      <c r="Q1164" s="23" t="str">
        <f aca="false">IF($X1164="","",Settings!$C$6)</f>
        <v/>
      </c>
      <c r="R1164" s="22" t="str">
        <f aca="false">IF($X1164="","",SUMIFS('Per Line'!$Y$2:$Y$4001,'Per Line'!$D$2:$D$4001,$B1164,'Per Line'!$AJ$2:$AJ$4001,1))</f>
        <v/>
      </c>
      <c r="S1164" s="22" t="str">
        <f aca="false">IF($X1164="","",R1164*Q1164)</f>
        <v/>
      </c>
      <c r="T1164" s="22" t="str">
        <f aca="false">IF($X1164="","",S1164+P1164)</f>
        <v/>
      </c>
      <c r="U1164" s="22" t="str">
        <f aca="false">IF($X1164="","",V1164-T1164)</f>
        <v/>
      </c>
      <c r="V1164" s="22" t="str">
        <f aca="false">IF($X1164="","",O1164+R1164)</f>
        <v/>
      </c>
      <c r="W1164" s="22" t="str">
        <f aca="false">IF($X1164="","",U1164-L1164)</f>
        <v/>
      </c>
      <c r="X1164" s="24" t="str">
        <f aca="false">IF(ROWS($X$2:$X1164)&lt;=MAX('Per Line'!$AI$2:$AI$4001),MATCH(ROWS($X$2:$X1164),'Per Line'!$AI$2:$AI$4001,0),"")</f>
        <v/>
      </c>
    </row>
    <row r="1165" customFormat="false" ht="15" hidden="false" customHeight="false" outlineLevel="0" collapsed="false">
      <c r="A1165" s="19"/>
      <c r="B1165" s="20" t="str">
        <f aca="false">IF($X1165="","",INDEX('Per Line'!$D$2:$D$4001,$X1165))</f>
        <v/>
      </c>
      <c r="C1165" s="20" t="str">
        <f aca="false">IF($X1165="","",INDEX('Per Line'!$C$2:$C$4001,$X1165))</f>
        <v/>
      </c>
      <c r="D1165" s="20" t="str">
        <f aca="false">IF($X1165="","",INDEX('Per Line'!$A$2:$A$4001,$X1165))</f>
        <v/>
      </c>
      <c r="E1165" s="21" t="str">
        <f aca="false">IF($X1165="","",INDEX('Per Line'!$F$2:$F$4001,$X1165))</f>
        <v/>
      </c>
      <c r="F1165" s="20" t="str">
        <f aca="false">IF($X1165="","",INDEX('Per Line'!$G$2:$G$4001,$X1165))</f>
        <v/>
      </c>
      <c r="G1165" s="20" t="str">
        <f aca="false">IF($X1165="","",INDEX('Per Line'!$I$2:$I$4001,$X1165))</f>
        <v/>
      </c>
      <c r="H1165" s="20" t="str">
        <f aca="false">IF($X1165="","",INDEX('Per Line'!$J$2:$J$4001,$X1165))</f>
        <v/>
      </c>
      <c r="I1165" s="20" t="str">
        <f aca="false">IF($X1165="","",INDEX('Per Line'!$K$2:$K$4001,$X1165))</f>
        <v/>
      </c>
      <c r="J1165" s="20" t="str">
        <f aca="false">IF($X1165="","",INDEX('Per Line'!$L$2:$L$4001,$X1165))</f>
        <v/>
      </c>
      <c r="K1165" s="20" t="str">
        <f aca="false">IF($X1165="","",INDEX('Per Line'!$M$2:$M$4001,$X1165))</f>
        <v/>
      </c>
      <c r="L1165" s="22" t="str">
        <f aca="false">IF($X1165="","",K1165*V1165/100)</f>
        <v/>
      </c>
      <c r="M1165" s="20" t="str">
        <f aca="false">IF($X1165="","",INDEX('Per Line'!$Z$2:$Z$4001,$X1165))</f>
        <v/>
      </c>
      <c r="N1165" s="23" t="str">
        <f aca="false">IF($X1165="","",Settings!$C$7)</f>
        <v/>
      </c>
      <c r="O1165" s="22" t="str">
        <f aca="false">IF($X1165="","",SUMIFS('Per Line'!$Y$2:$Y$4001,'Per Line'!$D$2:$D$4001,$B1165,'Per Line'!$AJ$2:$AJ$4001,0))</f>
        <v/>
      </c>
      <c r="P1165" s="22" t="str">
        <f aca="false">IF($X1165="","",O1165*N1165)</f>
        <v/>
      </c>
      <c r="Q1165" s="23" t="str">
        <f aca="false">IF($X1165="","",Settings!$C$6)</f>
        <v/>
      </c>
      <c r="R1165" s="22" t="str">
        <f aca="false">IF($X1165="","",SUMIFS('Per Line'!$Y$2:$Y$4001,'Per Line'!$D$2:$D$4001,$B1165,'Per Line'!$AJ$2:$AJ$4001,1))</f>
        <v/>
      </c>
      <c r="S1165" s="22" t="str">
        <f aca="false">IF($X1165="","",R1165*Q1165)</f>
        <v/>
      </c>
      <c r="T1165" s="22" t="str">
        <f aca="false">IF($X1165="","",S1165+P1165)</f>
        <v/>
      </c>
      <c r="U1165" s="22" t="str">
        <f aca="false">IF($X1165="","",V1165-T1165)</f>
        <v/>
      </c>
      <c r="V1165" s="22" t="str">
        <f aca="false">IF($X1165="","",O1165+R1165)</f>
        <v/>
      </c>
      <c r="W1165" s="22" t="str">
        <f aca="false">IF($X1165="","",U1165-L1165)</f>
        <v/>
      </c>
      <c r="X1165" s="24" t="str">
        <f aca="false">IF(ROWS($X$2:$X1165)&lt;=MAX('Per Line'!$AI$2:$AI$4001),MATCH(ROWS($X$2:$X1165),'Per Line'!$AI$2:$AI$4001,0),"")</f>
        <v/>
      </c>
    </row>
    <row r="1166" customFormat="false" ht="15" hidden="false" customHeight="false" outlineLevel="0" collapsed="false">
      <c r="A1166" s="19"/>
      <c r="B1166" s="20" t="str">
        <f aca="false">IF($X1166="","",INDEX('Per Line'!$D$2:$D$4001,$X1166))</f>
        <v/>
      </c>
      <c r="C1166" s="20" t="str">
        <f aca="false">IF($X1166="","",INDEX('Per Line'!$C$2:$C$4001,$X1166))</f>
        <v/>
      </c>
      <c r="D1166" s="20" t="str">
        <f aca="false">IF($X1166="","",INDEX('Per Line'!$A$2:$A$4001,$X1166))</f>
        <v/>
      </c>
      <c r="E1166" s="21" t="str">
        <f aca="false">IF($X1166="","",INDEX('Per Line'!$F$2:$F$4001,$X1166))</f>
        <v/>
      </c>
      <c r="F1166" s="20" t="str">
        <f aca="false">IF($X1166="","",INDEX('Per Line'!$G$2:$G$4001,$X1166))</f>
        <v/>
      </c>
      <c r="G1166" s="20" t="str">
        <f aca="false">IF($X1166="","",INDEX('Per Line'!$I$2:$I$4001,$X1166))</f>
        <v/>
      </c>
      <c r="H1166" s="20" t="str">
        <f aca="false">IF($X1166="","",INDEX('Per Line'!$J$2:$J$4001,$X1166))</f>
        <v/>
      </c>
      <c r="I1166" s="20" t="str">
        <f aca="false">IF($X1166="","",INDEX('Per Line'!$K$2:$K$4001,$X1166))</f>
        <v/>
      </c>
      <c r="J1166" s="20" t="str">
        <f aca="false">IF($X1166="","",INDEX('Per Line'!$L$2:$L$4001,$X1166))</f>
        <v/>
      </c>
      <c r="K1166" s="20" t="str">
        <f aca="false">IF($X1166="","",INDEX('Per Line'!$M$2:$M$4001,$X1166))</f>
        <v/>
      </c>
      <c r="L1166" s="22" t="str">
        <f aca="false">IF($X1166="","",K1166*V1166/100)</f>
        <v/>
      </c>
      <c r="M1166" s="20" t="str">
        <f aca="false">IF($X1166="","",INDEX('Per Line'!$Z$2:$Z$4001,$X1166))</f>
        <v/>
      </c>
      <c r="N1166" s="23" t="str">
        <f aca="false">IF($X1166="","",Settings!$C$7)</f>
        <v/>
      </c>
      <c r="O1166" s="22" t="str">
        <f aca="false">IF($X1166="","",SUMIFS('Per Line'!$Y$2:$Y$4001,'Per Line'!$D$2:$D$4001,$B1166,'Per Line'!$AJ$2:$AJ$4001,0))</f>
        <v/>
      </c>
      <c r="P1166" s="22" t="str">
        <f aca="false">IF($X1166="","",O1166*N1166)</f>
        <v/>
      </c>
      <c r="Q1166" s="23" t="str">
        <f aca="false">IF($X1166="","",Settings!$C$6)</f>
        <v/>
      </c>
      <c r="R1166" s="22" t="str">
        <f aca="false">IF($X1166="","",SUMIFS('Per Line'!$Y$2:$Y$4001,'Per Line'!$D$2:$D$4001,$B1166,'Per Line'!$AJ$2:$AJ$4001,1))</f>
        <v/>
      </c>
      <c r="S1166" s="22" t="str">
        <f aca="false">IF($X1166="","",R1166*Q1166)</f>
        <v/>
      </c>
      <c r="T1166" s="22" t="str">
        <f aca="false">IF($X1166="","",S1166+P1166)</f>
        <v/>
      </c>
      <c r="U1166" s="22" t="str">
        <f aca="false">IF($X1166="","",V1166-T1166)</f>
        <v/>
      </c>
      <c r="V1166" s="22" t="str">
        <f aca="false">IF($X1166="","",O1166+R1166)</f>
        <v/>
      </c>
      <c r="W1166" s="22" t="str">
        <f aca="false">IF($X1166="","",U1166-L1166)</f>
        <v/>
      </c>
      <c r="X1166" s="24" t="str">
        <f aca="false">IF(ROWS($X$2:$X1166)&lt;=MAX('Per Line'!$AI$2:$AI$4001),MATCH(ROWS($X$2:$X1166),'Per Line'!$AI$2:$AI$4001,0),"")</f>
        <v/>
      </c>
    </row>
    <row r="1167" customFormat="false" ht="15" hidden="false" customHeight="false" outlineLevel="0" collapsed="false">
      <c r="A1167" s="19"/>
      <c r="B1167" s="20" t="str">
        <f aca="false">IF($X1167="","",INDEX('Per Line'!$D$2:$D$4001,$X1167))</f>
        <v/>
      </c>
      <c r="C1167" s="20" t="str">
        <f aca="false">IF($X1167="","",INDEX('Per Line'!$C$2:$C$4001,$X1167))</f>
        <v/>
      </c>
      <c r="D1167" s="20" t="str">
        <f aca="false">IF($X1167="","",INDEX('Per Line'!$A$2:$A$4001,$X1167))</f>
        <v/>
      </c>
      <c r="E1167" s="21" t="str">
        <f aca="false">IF($X1167="","",INDEX('Per Line'!$F$2:$F$4001,$X1167))</f>
        <v/>
      </c>
      <c r="F1167" s="20" t="str">
        <f aca="false">IF($X1167="","",INDEX('Per Line'!$G$2:$G$4001,$X1167))</f>
        <v/>
      </c>
      <c r="G1167" s="20" t="str">
        <f aca="false">IF($X1167="","",INDEX('Per Line'!$I$2:$I$4001,$X1167))</f>
        <v/>
      </c>
      <c r="H1167" s="20" t="str">
        <f aca="false">IF($X1167="","",INDEX('Per Line'!$J$2:$J$4001,$X1167))</f>
        <v/>
      </c>
      <c r="I1167" s="20" t="str">
        <f aca="false">IF($X1167="","",INDEX('Per Line'!$K$2:$K$4001,$X1167))</f>
        <v/>
      </c>
      <c r="J1167" s="20" t="str">
        <f aca="false">IF($X1167="","",INDEX('Per Line'!$L$2:$L$4001,$X1167))</f>
        <v/>
      </c>
      <c r="K1167" s="20" t="str">
        <f aca="false">IF($X1167="","",INDEX('Per Line'!$M$2:$M$4001,$X1167))</f>
        <v/>
      </c>
      <c r="L1167" s="22" t="str">
        <f aca="false">IF($X1167="","",K1167*V1167/100)</f>
        <v/>
      </c>
      <c r="M1167" s="20" t="str">
        <f aca="false">IF($X1167="","",INDEX('Per Line'!$Z$2:$Z$4001,$X1167))</f>
        <v/>
      </c>
      <c r="N1167" s="23" t="str">
        <f aca="false">IF($X1167="","",Settings!$C$7)</f>
        <v/>
      </c>
      <c r="O1167" s="22" t="str">
        <f aca="false">IF($X1167="","",SUMIFS('Per Line'!$Y$2:$Y$4001,'Per Line'!$D$2:$D$4001,$B1167,'Per Line'!$AJ$2:$AJ$4001,0))</f>
        <v/>
      </c>
      <c r="P1167" s="22" t="str">
        <f aca="false">IF($X1167="","",O1167*N1167)</f>
        <v/>
      </c>
      <c r="Q1167" s="23" t="str">
        <f aca="false">IF($X1167="","",Settings!$C$6)</f>
        <v/>
      </c>
      <c r="R1167" s="22" t="str">
        <f aca="false">IF($X1167="","",SUMIFS('Per Line'!$Y$2:$Y$4001,'Per Line'!$D$2:$D$4001,$B1167,'Per Line'!$AJ$2:$AJ$4001,1))</f>
        <v/>
      </c>
      <c r="S1167" s="22" t="str">
        <f aca="false">IF($X1167="","",R1167*Q1167)</f>
        <v/>
      </c>
      <c r="T1167" s="22" t="str">
        <f aca="false">IF($X1167="","",S1167+P1167)</f>
        <v/>
      </c>
      <c r="U1167" s="22" t="str">
        <f aca="false">IF($X1167="","",V1167-T1167)</f>
        <v/>
      </c>
      <c r="V1167" s="22" t="str">
        <f aca="false">IF($X1167="","",O1167+R1167)</f>
        <v/>
      </c>
      <c r="W1167" s="22" t="str">
        <f aca="false">IF($X1167="","",U1167-L1167)</f>
        <v/>
      </c>
      <c r="X1167" s="24" t="str">
        <f aca="false">IF(ROWS($X$2:$X1167)&lt;=MAX('Per Line'!$AI$2:$AI$4001),MATCH(ROWS($X$2:$X1167),'Per Line'!$AI$2:$AI$4001,0),"")</f>
        <v/>
      </c>
    </row>
    <row r="1168" customFormat="false" ht="15" hidden="false" customHeight="false" outlineLevel="0" collapsed="false">
      <c r="A1168" s="19"/>
      <c r="B1168" s="20" t="str">
        <f aca="false">IF($X1168="","",INDEX('Per Line'!$D$2:$D$4001,$X1168))</f>
        <v/>
      </c>
      <c r="C1168" s="20" t="str">
        <f aca="false">IF($X1168="","",INDEX('Per Line'!$C$2:$C$4001,$X1168))</f>
        <v/>
      </c>
      <c r="D1168" s="20" t="str">
        <f aca="false">IF($X1168="","",INDEX('Per Line'!$A$2:$A$4001,$X1168))</f>
        <v/>
      </c>
      <c r="E1168" s="21" t="str">
        <f aca="false">IF($X1168="","",INDEX('Per Line'!$F$2:$F$4001,$X1168))</f>
        <v/>
      </c>
      <c r="F1168" s="20" t="str">
        <f aca="false">IF($X1168="","",INDEX('Per Line'!$G$2:$G$4001,$X1168))</f>
        <v/>
      </c>
      <c r="G1168" s="20" t="str">
        <f aca="false">IF($X1168="","",INDEX('Per Line'!$I$2:$I$4001,$X1168))</f>
        <v/>
      </c>
      <c r="H1168" s="20" t="str">
        <f aca="false">IF($X1168="","",INDEX('Per Line'!$J$2:$J$4001,$X1168))</f>
        <v/>
      </c>
      <c r="I1168" s="20" t="str">
        <f aca="false">IF($X1168="","",INDEX('Per Line'!$K$2:$K$4001,$X1168))</f>
        <v/>
      </c>
      <c r="J1168" s="20" t="str">
        <f aca="false">IF($X1168="","",INDEX('Per Line'!$L$2:$L$4001,$X1168))</f>
        <v/>
      </c>
      <c r="K1168" s="20" t="str">
        <f aca="false">IF($X1168="","",INDEX('Per Line'!$M$2:$M$4001,$X1168))</f>
        <v/>
      </c>
      <c r="L1168" s="22" t="str">
        <f aca="false">IF($X1168="","",K1168*V1168/100)</f>
        <v/>
      </c>
      <c r="M1168" s="20" t="str">
        <f aca="false">IF($X1168="","",INDEX('Per Line'!$Z$2:$Z$4001,$X1168))</f>
        <v/>
      </c>
      <c r="N1168" s="23" t="str">
        <f aca="false">IF($X1168="","",Settings!$C$7)</f>
        <v/>
      </c>
      <c r="O1168" s="22" t="str">
        <f aca="false">IF($X1168="","",SUMIFS('Per Line'!$Y$2:$Y$4001,'Per Line'!$D$2:$D$4001,$B1168,'Per Line'!$AJ$2:$AJ$4001,0))</f>
        <v/>
      </c>
      <c r="P1168" s="22" t="str">
        <f aca="false">IF($X1168="","",O1168*N1168)</f>
        <v/>
      </c>
      <c r="Q1168" s="23" t="str">
        <f aca="false">IF($X1168="","",Settings!$C$6)</f>
        <v/>
      </c>
      <c r="R1168" s="22" t="str">
        <f aca="false">IF($X1168="","",SUMIFS('Per Line'!$Y$2:$Y$4001,'Per Line'!$D$2:$D$4001,$B1168,'Per Line'!$AJ$2:$AJ$4001,1))</f>
        <v/>
      </c>
      <c r="S1168" s="22" t="str">
        <f aca="false">IF($X1168="","",R1168*Q1168)</f>
        <v/>
      </c>
      <c r="T1168" s="22" t="str">
        <f aca="false">IF($X1168="","",S1168+P1168)</f>
        <v/>
      </c>
      <c r="U1168" s="22" t="str">
        <f aca="false">IF($X1168="","",V1168-T1168)</f>
        <v/>
      </c>
      <c r="V1168" s="22" t="str">
        <f aca="false">IF($X1168="","",O1168+R1168)</f>
        <v/>
      </c>
      <c r="W1168" s="22" t="str">
        <f aca="false">IF($X1168="","",U1168-L1168)</f>
        <v/>
      </c>
      <c r="X1168" s="24" t="str">
        <f aca="false">IF(ROWS($X$2:$X1168)&lt;=MAX('Per Line'!$AI$2:$AI$4001),MATCH(ROWS($X$2:$X1168),'Per Line'!$AI$2:$AI$4001,0),"")</f>
        <v/>
      </c>
    </row>
    <row r="1169" customFormat="false" ht="15" hidden="false" customHeight="false" outlineLevel="0" collapsed="false">
      <c r="A1169" s="19"/>
      <c r="B1169" s="20" t="str">
        <f aca="false">IF($X1169="","",INDEX('Per Line'!$D$2:$D$4001,$X1169))</f>
        <v/>
      </c>
      <c r="C1169" s="20" t="str">
        <f aca="false">IF($X1169="","",INDEX('Per Line'!$C$2:$C$4001,$X1169))</f>
        <v/>
      </c>
      <c r="D1169" s="20" t="str">
        <f aca="false">IF($X1169="","",INDEX('Per Line'!$A$2:$A$4001,$X1169))</f>
        <v/>
      </c>
      <c r="E1169" s="21" t="str">
        <f aca="false">IF($X1169="","",INDEX('Per Line'!$F$2:$F$4001,$X1169))</f>
        <v/>
      </c>
      <c r="F1169" s="20" t="str">
        <f aca="false">IF($X1169="","",INDEX('Per Line'!$G$2:$G$4001,$X1169))</f>
        <v/>
      </c>
      <c r="G1169" s="20" t="str">
        <f aca="false">IF($X1169="","",INDEX('Per Line'!$I$2:$I$4001,$X1169))</f>
        <v/>
      </c>
      <c r="H1169" s="20" t="str">
        <f aca="false">IF($X1169="","",INDEX('Per Line'!$J$2:$J$4001,$X1169))</f>
        <v/>
      </c>
      <c r="I1169" s="20" t="str">
        <f aca="false">IF($X1169="","",INDEX('Per Line'!$K$2:$K$4001,$X1169))</f>
        <v/>
      </c>
      <c r="J1169" s="20" t="str">
        <f aca="false">IF($X1169="","",INDEX('Per Line'!$L$2:$L$4001,$X1169))</f>
        <v/>
      </c>
      <c r="K1169" s="20" t="str">
        <f aca="false">IF($X1169="","",INDEX('Per Line'!$M$2:$M$4001,$X1169))</f>
        <v/>
      </c>
      <c r="L1169" s="22" t="str">
        <f aca="false">IF($X1169="","",K1169*V1169/100)</f>
        <v/>
      </c>
      <c r="M1169" s="20" t="str">
        <f aca="false">IF($X1169="","",INDEX('Per Line'!$Z$2:$Z$4001,$X1169))</f>
        <v/>
      </c>
      <c r="N1169" s="23" t="str">
        <f aca="false">IF($X1169="","",Settings!$C$7)</f>
        <v/>
      </c>
      <c r="O1169" s="22" t="str">
        <f aca="false">IF($X1169="","",SUMIFS('Per Line'!$Y$2:$Y$4001,'Per Line'!$D$2:$D$4001,$B1169,'Per Line'!$AJ$2:$AJ$4001,0))</f>
        <v/>
      </c>
      <c r="P1169" s="22" t="str">
        <f aca="false">IF($X1169="","",O1169*N1169)</f>
        <v/>
      </c>
      <c r="Q1169" s="23" t="str">
        <f aca="false">IF($X1169="","",Settings!$C$6)</f>
        <v/>
      </c>
      <c r="R1169" s="22" t="str">
        <f aca="false">IF($X1169="","",SUMIFS('Per Line'!$Y$2:$Y$4001,'Per Line'!$D$2:$D$4001,$B1169,'Per Line'!$AJ$2:$AJ$4001,1))</f>
        <v/>
      </c>
      <c r="S1169" s="22" t="str">
        <f aca="false">IF($X1169="","",R1169*Q1169)</f>
        <v/>
      </c>
      <c r="T1169" s="22" t="str">
        <f aca="false">IF($X1169="","",S1169+P1169)</f>
        <v/>
      </c>
      <c r="U1169" s="22" t="str">
        <f aca="false">IF($X1169="","",V1169-T1169)</f>
        <v/>
      </c>
      <c r="V1169" s="22" t="str">
        <f aca="false">IF($X1169="","",O1169+R1169)</f>
        <v/>
      </c>
      <c r="W1169" s="22" t="str">
        <f aca="false">IF($X1169="","",U1169-L1169)</f>
        <v/>
      </c>
      <c r="X1169" s="24" t="str">
        <f aca="false">IF(ROWS($X$2:$X1169)&lt;=MAX('Per Line'!$AI$2:$AI$4001),MATCH(ROWS($X$2:$X1169),'Per Line'!$AI$2:$AI$4001,0),"")</f>
        <v/>
      </c>
    </row>
    <row r="1170" customFormat="false" ht="15" hidden="false" customHeight="false" outlineLevel="0" collapsed="false">
      <c r="A1170" s="19"/>
      <c r="B1170" s="20" t="str">
        <f aca="false">IF($X1170="","",INDEX('Per Line'!$D$2:$D$4001,$X1170))</f>
        <v/>
      </c>
      <c r="C1170" s="20" t="str">
        <f aca="false">IF($X1170="","",INDEX('Per Line'!$C$2:$C$4001,$X1170))</f>
        <v/>
      </c>
      <c r="D1170" s="20" t="str">
        <f aca="false">IF($X1170="","",INDEX('Per Line'!$A$2:$A$4001,$X1170))</f>
        <v/>
      </c>
      <c r="E1170" s="21" t="str">
        <f aca="false">IF($X1170="","",INDEX('Per Line'!$F$2:$F$4001,$X1170))</f>
        <v/>
      </c>
      <c r="F1170" s="20" t="str">
        <f aca="false">IF($X1170="","",INDEX('Per Line'!$G$2:$G$4001,$X1170))</f>
        <v/>
      </c>
      <c r="G1170" s="20" t="str">
        <f aca="false">IF($X1170="","",INDEX('Per Line'!$I$2:$I$4001,$X1170))</f>
        <v/>
      </c>
      <c r="H1170" s="20" t="str">
        <f aca="false">IF($X1170="","",INDEX('Per Line'!$J$2:$J$4001,$X1170))</f>
        <v/>
      </c>
      <c r="I1170" s="20" t="str">
        <f aca="false">IF($X1170="","",INDEX('Per Line'!$K$2:$K$4001,$X1170))</f>
        <v/>
      </c>
      <c r="J1170" s="20" t="str">
        <f aca="false">IF($X1170="","",INDEX('Per Line'!$L$2:$L$4001,$X1170))</f>
        <v/>
      </c>
      <c r="K1170" s="20" t="str">
        <f aca="false">IF($X1170="","",INDEX('Per Line'!$M$2:$M$4001,$X1170))</f>
        <v/>
      </c>
      <c r="L1170" s="22" t="str">
        <f aca="false">IF($X1170="","",K1170*V1170/100)</f>
        <v/>
      </c>
      <c r="M1170" s="20" t="str">
        <f aca="false">IF($X1170="","",INDEX('Per Line'!$Z$2:$Z$4001,$X1170))</f>
        <v/>
      </c>
      <c r="N1170" s="23" t="str">
        <f aca="false">IF($X1170="","",Settings!$C$7)</f>
        <v/>
      </c>
      <c r="O1170" s="22" t="str">
        <f aca="false">IF($X1170="","",SUMIFS('Per Line'!$Y$2:$Y$4001,'Per Line'!$D$2:$D$4001,$B1170,'Per Line'!$AJ$2:$AJ$4001,0))</f>
        <v/>
      </c>
      <c r="P1170" s="22" t="str">
        <f aca="false">IF($X1170="","",O1170*N1170)</f>
        <v/>
      </c>
      <c r="Q1170" s="23" t="str">
        <f aca="false">IF($X1170="","",Settings!$C$6)</f>
        <v/>
      </c>
      <c r="R1170" s="22" t="str">
        <f aca="false">IF($X1170="","",SUMIFS('Per Line'!$Y$2:$Y$4001,'Per Line'!$D$2:$D$4001,$B1170,'Per Line'!$AJ$2:$AJ$4001,1))</f>
        <v/>
      </c>
      <c r="S1170" s="22" t="str">
        <f aca="false">IF($X1170="","",R1170*Q1170)</f>
        <v/>
      </c>
      <c r="T1170" s="22" t="str">
        <f aca="false">IF($X1170="","",S1170+P1170)</f>
        <v/>
      </c>
      <c r="U1170" s="22" t="str">
        <f aca="false">IF($X1170="","",V1170-T1170)</f>
        <v/>
      </c>
      <c r="V1170" s="22" t="str">
        <f aca="false">IF($X1170="","",O1170+R1170)</f>
        <v/>
      </c>
      <c r="W1170" s="22" t="str">
        <f aca="false">IF($X1170="","",U1170-L1170)</f>
        <v/>
      </c>
      <c r="X1170" s="24" t="str">
        <f aca="false">IF(ROWS($X$2:$X1170)&lt;=MAX('Per Line'!$AI$2:$AI$4001),MATCH(ROWS($X$2:$X1170),'Per Line'!$AI$2:$AI$4001,0),"")</f>
        <v/>
      </c>
    </row>
    <row r="1171" customFormat="false" ht="15" hidden="false" customHeight="false" outlineLevel="0" collapsed="false">
      <c r="A1171" s="19"/>
      <c r="B1171" s="20" t="str">
        <f aca="false">IF($X1171="","",INDEX('Per Line'!$D$2:$D$4001,$X1171))</f>
        <v/>
      </c>
      <c r="C1171" s="20" t="str">
        <f aca="false">IF($X1171="","",INDEX('Per Line'!$C$2:$C$4001,$X1171))</f>
        <v/>
      </c>
      <c r="D1171" s="20" t="str">
        <f aca="false">IF($X1171="","",INDEX('Per Line'!$A$2:$A$4001,$X1171))</f>
        <v/>
      </c>
      <c r="E1171" s="21" t="str">
        <f aca="false">IF($X1171="","",INDEX('Per Line'!$F$2:$F$4001,$X1171))</f>
        <v/>
      </c>
      <c r="F1171" s="20" t="str">
        <f aca="false">IF($X1171="","",INDEX('Per Line'!$G$2:$G$4001,$X1171))</f>
        <v/>
      </c>
      <c r="G1171" s="20" t="str">
        <f aca="false">IF($X1171="","",INDEX('Per Line'!$I$2:$I$4001,$X1171))</f>
        <v/>
      </c>
      <c r="H1171" s="20" t="str">
        <f aca="false">IF($X1171="","",INDEX('Per Line'!$J$2:$J$4001,$X1171))</f>
        <v/>
      </c>
      <c r="I1171" s="20" t="str">
        <f aca="false">IF($X1171="","",INDEX('Per Line'!$K$2:$K$4001,$X1171))</f>
        <v/>
      </c>
      <c r="J1171" s="20" t="str">
        <f aca="false">IF($X1171="","",INDEX('Per Line'!$L$2:$L$4001,$X1171))</f>
        <v/>
      </c>
      <c r="K1171" s="20" t="str">
        <f aca="false">IF($X1171="","",INDEX('Per Line'!$M$2:$M$4001,$X1171))</f>
        <v/>
      </c>
      <c r="L1171" s="22" t="str">
        <f aca="false">IF($X1171="","",K1171*V1171/100)</f>
        <v/>
      </c>
      <c r="M1171" s="20" t="str">
        <f aca="false">IF($X1171="","",INDEX('Per Line'!$Z$2:$Z$4001,$X1171))</f>
        <v/>
      </c>
      <c r="N1171" s="23" t="str">
        <f aca="false">IF($X1171="","",Settings!$C$7)</f>
        <v/>
      </c>
      <c r="O1171" s="22" t="str">
        <f aca="false">IF($X1171="","",SUMIFS('Per Line'!$Y$2:$Y$4001,'Per Line'!$D$2:$D$4001,$B1171,'Per Line'!$AJ$2:$AJ$4001,0))</f>
        <v/>
      </c>
      <c r="P1171" s="22" t="str">
        <f aca="false">IF($X1171="","",O1171*N1171)</f>
        <v/>
      </c>
      <c r="Q1171" s="23" t="str">
        <f aca="false">IF($X1171="","",Settings!$C$6)</f>
        <v/>
      </c>
      <c r="R1171" s="22" t="str">
        <f aca="false">IF($X1171="","",SUMIFS('Per Line'!$Y$2:$Y$4001,'Per Line'!$D$2:$D$4001,$B1171,'Per Line'!$AJ$2:$AJ$4001,1))</f>
        <v/>
      </c>
      <c r="S1171" s="22" t="str">
        <f aca="false">IF($X1171="","",R1171*Q1171)</f>
        <v/>
      </c>
      <c r="T1171" s="22" t="str">
        <f aca="false">IF($X1171="","",S1171+P1171)</f>
        <v/>
      </c>
      <c r="U1171" s="22" t="str">
        <f aca="false">IF($X1171="","",V1171-T1171)</f>
        <v/>
      </c>
      <c r="V1171" s="22" t="str">
        <f aca="false">IF($X1171="","",O1171+R1171)</f>
        <v/>
      </c>
      <c r="W1171" s="22" t="str">
        <f aca="false">IF($X1171="","",U1171-L1171)</f>
        <v/>
      </c>
      <c r="X1171" s="24" t="str">
        <f aca="false">IF(ROWS($X$2:$X1171)&lt;=MAX('Per Line'!$AI$2:$AI$4001),MATCH(ROWS($X$2:$X1171),'Per Line'!$AI$2:$AI$4001,0),"")</f>
        <v/>
      </c>
    </row>
    <row r="1172" customFormat="false" ht="15" hidden="false" customHeight="false" outlineLevel="0" collapsed="false">
      <c r="A1172" s="19"/>
      <c r="B1172" s="20" t="str">
        <f aca="false">IF($X1172="","",INDEX('Per Line'!$D$2:$D$4001,$X1172))</f>
        <v/>
      </c>
      <c r="C1172" s="20" t="str">
        <f aca="false">IF($X1172="","",INDEX('Per Line'!$C$2:$C$4001,$X1172))</f>
        <v/>
      </c>
      <c r="D1172" s="20" t="str">
        <f aca="false">IF($X1172="","",INDEX('Per Line'!$A$2:$A$4001,$X1172))</f>
        <v/>
      </c>
      <c r="E1172" s="21" t="str">
        <f aca="false">IF($X1172="","",INDEX('Per Line'!$F$2:$F$4001,$X1172))</f>
        <v/>
      </c>
      <c r="F1172" s="20" t="str">
        <f aca="false">IF($X1172="","",INDEX('Per Line'!$G$2:$G$4001,$X1172))</f>
        <v/>
      </c>
      <c r="G1172" s="20" t="str">
        <f aca="false">IF($X1172="","",INDEX('Per Line'!$I$2:$I$4001,$X1172))</f>
        <v/>
      </c>
      <c r="H1172" s="20" t="str">
        <f aca="false">IF($X1172="","",INDEX('Per Line'!$J$2:$J$4001,$X1172))</f>
        <v/>
      </c>
      <c r="I1172" s="20" t="str">
        <f aca="false">IF($X1172="","",INDEX('Per Line'!$K$2:$K$4001,$X1172))</f>
        <v/>
      </c>
      <c r="J1172" s="20" t="str">
        <f aca="false">IF($X1172="","",INDEX('Per Line'!$L$2:$L$4001,$X1172))</f>
        <v/>
      </c>
      <c r="K1172" s="20" t="str">
        <f aca="false">IF($X1172="","",INDEX('Per Line'!$M$2:$M$4001,$X1172))</f>
        <v/>
      </c>
      <c r="L1172" s="22" t="str">
        <f aca="false">IF($X1172="","",K1172*V1172/100)</f>
        <v/>
      </c>
      <c r="M1172" s="20" t="str">
        <f aca="false">IF($X1172="","",INDEX('Per Line'!$Z$2:$Z$4001,$X1172))</f>
        <v/>
      </c>
      <c r="N1172" s="23" t="str">
        <f aca="false">IF($X1172="","",Settings!$C$7)</f>
        <v/>
      </c>
      <c r="O1172" s="22" t="str">
        <f aca="false">IF($X1172="","",SUMIFS('Per Line'!$Y$2:$Y$4001,'Per Line'!$D$2:$D$4001,$B1172,'Per Line'!$AJ$2:$AJ$4001,0))</f>
        <v/>
      </c>
      <c r="P1172" s="22" t="str">
        <f aca="false">IF($X1172="","",O1172*N1172)</f>
        <v/>
      </c>
      <c r="Q1172" s="23" t="str">
        <f aca="false">IF($X1172="","",Settings!$C$6)</f>
        <v/>
      </c>
      <c r="R1172" s="22" t="str">
        <f aca="false">IF($X1172="","",SUMIFS('Per Line'!$Y$2:$Y$4001,'Per Line'!$D$2:$D$4001,$B1172,'Per Line'!$AJ$2:$AJ$4001,1))</f>
        <v/>
      </c>
      <c r="S1172" s="22" t="str">
        <f aca="false">IF($X1172="","",R1172*Q1172)</f>
        <v/>
      </c>
      <c r="T1172" s="22" t="str">
        <f aca="false">IF($X1172="","",S1172+P1172)</f>
        <v/>
      </c>
      <c r="U1172" s="22" t="str">
        <f aca="false">IF($X1172="","",V1172-T1172)</f>
        <v/>
      </c>
      <c r="V1172" s="22" t="str">
        <f aca="false">IF($X1172="","",O1172+R1172)</f>
        <v/>
      </c>
      <c r="W1172" s="22" t="str">
        <f aca="false">IF($X1172="","",U1172-L1172)</f>
        <v/>
      </c>
      <c r="X1172" s="24" t="str">
        <f aca="false">IF(ROWS($X$2:$X1172)&lt;=MAX('Per Line'!$AI$2:$AI$4001),MATCH(ROWS($X$2:$X1172),'Per Line'!$AI$2:$AI$4001,0),"")</f>
        <v/>
      </c>
    </row>
    <row r="1173" customFormat="false" ht="15" hidden="false" customHeight="false" outlineLevel="0" collapsed="false">
      <c r="A1173" s="19"/>
      <c r="B1173" s="20" t="str">
        <f aca="false">IF($X1173="","",INDEX('Per Line'!$D$2:$D$4001,$X1173))</f>
        <v/>
      </c>
      <c r="C1173" s="20" t="str">
        <f aca="false">IF($X1173="","",INDEX('Per Line'!$C$2:$C$4001,$X1173))</f>
        <v/>
      </c>
      <c r="D1173" s="20" t="str">
        <f aca="false">IF($X1173="","",INDEX('Per Line'!$A$2:$A$4001,$X1173))</f>
        <v/>
      </c>
      <c r="E1173" s="21" t="str">
        <f aca="false">IF($X1173="","",INDEX('Per Line'!$F$2:$F$4001,$X1173))</f>
        <v/>
      </c>
      <c r="F1173" s="20" t="str">
        <f aca="false">IF($X1173="","",INDEX('Per Line'!$G$2:$G$4001,$X1173))</f>
        <v/>
      </c>
      <c r="G1173" s="20" t="str">
        <f aca="false">IF($X1173="","",INDEX('Per Line'!$I$2:$I$4001,$X1173))</f>
        <v/>
      </c>
      <c r="H1173" s="20" t="str">
        <f aca="false">IF($X1173="","",INDEX('Per Line'!$J$2:$J$4001,$X1173))</f>
        <v/>
      </c>
      <c r="I1173" s="20" t="str">
        <f aca="false">IF($X1173="","",INDEX('Per Line'!$K$2:$K$4001,$X1173))</f>
        <v/>
      </c>
      <c r="J1173" s="20" t="str">
        <f aca="false">IF($X1173="","",INDEX('Per Line'!$L$2:$L$4001,$X1173))</f>
        <v/>
      </c>
      <c r="K1173" s="20" t="str">
        <f aca="false">IF($X1173="","",INDEX('Per Line'!$M$2:$M$4001,$X1173))</f>
        <v/>
      </c>
      <c r="L1173" s="22" t="str">
        <f aca="false">IF($X1173="","",K1173*V1173/100)</f>
        <v/>
      </c>
      <c r="M1173" s="20" t="str">
        <f aca="false">IF($X1173="","",INDEX('Per Line'!$Z$2:$Z$4001,$X1173))</f>
        <v/>
      </c>
      <c r="N1173" s="23" t="str">
        <f aca="false">IF($X1173="","",Settings!$C$7)</f>
        <v/>
      </c>
      <c r="O1173" s="22" t="str">
        <f aca="false">IF($X1173="","",SUMIFS('Per Line'!$Y$2:$Y$4001,'Per Line'!$D$2:$D$4001,$B1173,'Per Line'!$AJ$2:$AJ$4001,0))</f>
        <v/>
      </c>
      <c r="P1173" s="22" t="str">
        <f aca="false">IF($X1173="","",O1173*N1173)</f>
        <v/>
      </c>
      <c r="Q1173" s="23" t="str">
        <f aca="false">IF($X1173="","",Settings!$C$6)</f>
        <v/>
      </c>
      <c r="R1173" s="22" t="str">
        <f aca="false">IF($X1173="","",SUMIFS('Per Line'!$Y$2:$Y$4001,'Per Line'!$D$2:$D$4001,$B1173,'Per Line'!$AJ$2:$AJ$4001,1))</f>
        <v/>
      </c>
      <c r="S1173" s="22" t="str">
        <f aca="false">IF($X1173="","",R1173*Q1173)</f>
        <v/>
      </c>
      <c r="T1173" s="22" t="str">
        <f aca="false">IF($X1173="","",S1173+P1173)</f>
        <v/>
      </c>
      <c r="U1173" s="22" t="str">
        <f aca="false">IF($X1173="","",V1173-T1173)</f>
        <v/>
      </c>
      <c r="V1173" s="22" t="str">
        <f aca="false">IF($X1173="","",O1173+R1173)</f>
        <v/>
      </c>
      <c r="W1173" s="22" t="str">
        <f aca="false">IF($X1173="","",U1173-L1173)</f>
        <v/>
      </c>
      <c r="X1173" s="24" t="str">
        <f aca="false">IF(ROWS($X$2:$X1173)&lt;=MAX('Per Line'!$AI$2:$AI$4001),MATCH(ROWS($X$2:$X1173),'Per Line'!$AI$2:$AI$4001,0),"")</f>
        <v/>
      </c>
    </row>
    <row r="1174" customFormat="false" ht="15" hidden="false" customHeight="false" outlineLevel="0" collapsed="false">
      <c r="A1174" s="19"/>
      <c r="B1174" s="20" t="str">
        <f aca="false">IF($X1174="","",INDEX('Per Line'!$D$2:$D$4001,$X1174))</f>
        <v/>
      </c>
      <c r="C1174" s="20" t="str">
        <f aca="false">IF($X1174="","",INDEX('Per Line'!$C$2:$C$4001,$X1174))</f>
        <v/>
      </c>
      <c r="D1174" s="20" t="str">
        <f aca="false">IF($X1174="","",INDEX('Per Line'!$A$2:$A$4001,$X1174))</f>
        <v/>
      </c>
      <c r="E1174" s="21" t="str">
        <f aca="false">IF($X1174="","",INDEX('Per Line'!$F$2:$F$4001,$X1174))</f>
        <v/>
      </c>
      <c r="F1174" s="20" t="str">
        <f aca="false">IF($X1174="","",INDEX('Per Line'!$G$2:$G$4001,$X1174))</f>
        <v/>
      </c>
      <c r="G1174" s="20" t="str">
        <f aca="false">IF($X1174="","",INDEX('Per Line'!$I$2:$I$4001,$X1174))</f>
        <v/>
      </c>
      <c r="H1174" s="20" t="str">
        <f aca="false">IF($X1174="","",INDEX('Per Line'!$J$2:$J$4001,$X1174))</f>
        <v/>
      </c>
      <c r="I1174" s="20" t="str">
        <f aca="false">IF($X1174="","",INDEX('Per Line'!$K$2:$K$4001,$X1174))</f>
        <v/>
      </c>
      <c r="J1174" s="20" t="str">
        <f aca="false">IF($X1174="","",INDEX('Per Line'!$L$2:$L$4001,$X1174))</f>
        <v/>
      </c>
      <c r="K1174" s="20" t="str">
        <f aca="false">IF($X1174="","",INDEX('Per Line'!$M$2:$M$4001,$X1174))</f>
        <v/>
      </c>
      <c r="L1174" s="22" t="str">
        <f aca="false">IF($X1174="","",K1174*V1174/100)</f>
        <v/>
      </c>
      <c r="M1174" s="20" t="str">
        <f aca="false">IF($X1174="","",INDEX('Per Line'!$Z$2:$Z$4001,$X1174))</f>
        <v/>
      </c>
      <c r="N1174" s="23" t="str">
        <f aca="false">IF($X1174="","",Settings!$C$7)</f>
        <v/>
      </c>
      <c r="O1174" s="22" t="str">
        <f aca="false">IF($X1174="","",SUMIFS('Per Line'!$Y$2:$Y$4001,'Per Line'!$D$2:$D$4001,$B1174,'Per Line'!$AJ$2:$AJ$4001,0))</f>
        <v/>
      </c>
      <c r="P1174" s="22" t="str">
        <f aca="false">IF($X1174="","",O1174*N1174)</f>
        <v/>
      </c>
      <c r="Q1174" s="23" t="str">
        <f aca="false">IF($X1174="","",Settings!$C$6)</f>
        <v/>
      </c>
      <c r="R1174" s="22" t="str">
        <f aca="false">IF($X1174="","",SUMIFS('Per Line'!$Y$2:$Y$4001,'Per Line'!$D$2:$D$4001,$B1174,'Per Line'!$AJ$2:$AJ$4001,1))</f>
        <v/>
      </c>
      <c r="S1174" s="22" t="str">
        <f aca="false">IF($X1174="","",R1174*Q1174)</f>
        <v/>
      </c>
      <c r="T1174" s="22" t="str">
        <f aca="false">IF($X1174="","",S1174+P1174)</f>
        <v/>
      </c>
      <c r="U1174" s="22" t="str">
        <f aca="false">IF($X1174="","",V1174-T1174)</f>
        <v/>
      </c>
      <c r="V1174" s="22" t="str">
        <f aca="false">IF($X1174="","",O1174+R1174)</f>
        <v/>
      </c>
      <c r="W1174" s="22" t="str">
        <f aca="false">IF($X1174="","",U1174-L1174)</f>
        <v/>
      </c>
      <c r="X1174" s="24" t="str">
        <f aca="false">IF(ROWS($X$2:$X1174)&lt;=MAX('Per Line'!$AI$2:$AI$4001),MATCH(ROWS($X$2:$X1174),'Per Line'!$AI$2:$AI$4001,0),"")</f>
        <v/>
      </c>
    </row>
    <row r="1175" customFormat="false" ht="15" hidden="false" customHeight="false" outlineLevel="0" collapsed="false">
      <c r="A1175" s="19"/>
      <c r="B1175" s="20" t="str">
        <f aca="false">IF($X1175="","",INDEX('Per Line'!$D$2:$D$4001,$X1175))</f>
        <v/>
      </c>
      <c r="C1175" s="20" t="str">
        <f aca="false">IF($X1175="","",INDEX('Per Line'!$C$2:$C$4001,$X1175))</f>
        <v/>
      </c>
      <c r="D1175" s="20" t="str">
        <f aca="false">IF($X1175="","",INDEX('Per Line'!$A$2:$A$4001,$X1175))</f>
        <v/>
      </c>
      <c r="E1175" s="21" t="str">
        <f aca="false">IF($X1175="","",INDEX('Per Line'!$F$2:$F$4001,$X1175))</f>
        <v/>
      </c>
      <c r="F1175" s="20" t="str">
        <f aca="false">IF($X1175="","",INDEX('Per Line'!$G$2:$G$4001,$X1175))</f>
        <v/>
      </c>
      <c r="G1175" s="20" t="str">
        <f aca="false">IF($X1175="","",INDEX('Per Line'!$I$2:$I$4001,$X1175))</f>
        <v/>
      </c>
      <c r="H1175" s="20" t="str">
        <f aca="false">IF($X1175="","",INDEX('Per Line'!$J$2:$J$4001,$X1175))</f>
        <v/>
      </c>
      <c r="I1175" s="20" t="str">
        <f aca="false">IF($X1175="","",INDEX('Per Line'!$K$2:$K$4001,$X1175))</f>
        <v/>
      </c>
      <c r="J1175" s="20" t="str">
        <f aca="false">IF($X1175="","",INDEX('Per Line'!$L$2:$L$4001,$X1175))</f>
        <v/>
      </c>
      <c r="K1175" s="20" t="str">
        <f aca="false">IF($X1175="","",INDEX('Per Line'!$M$2:$M$4001,$X1175))</f>
        <v/>
      </c>
      <c r="L1175" s="22" t="str">
        <f aca="false">IF($X1175="","",K1175*V1175/100)</f>
        <v/>
      </c>
      <c r="M1175" s="20" t="str">
        <f aca="false">IF($X1175="","",INDEX('Per Line'!$Z$2:$Z$4001,$X1175))</f>
        <v/>
      </c>
      <c r="N1175" s="23" t="str">
        <f aca="false">IF($X1175="","",Settings!$C$7)</f>
        <v/>
      </c>
      <c r="O1175" s="22" t="str">
        <f aca="false">IF($X1175="","",SUMIFS('Per Line'!$Y$2:$Y$4001,'Per Line'!$D$2:$D$4001,$B1175,'Per Line'!$AJ$2:$AJ$4001,0))</f>
        <v/>
      </c>
      <c r="P1175" s="22" t="str">
        <f aca="false">IF($X1175="","",O1175*N1175)</f>
        <v/>
      </c>
      <c r="Q1175" s="23" t="str">
        <f aca="false">IF($X1175="","",Settings!$C$6)</f>
        <v/>
      </c>
      <c r="R1175" s="22" t="str">
        <f aca="false">IF($X1175="","",SUMIFS('Per Line'!$Y$2:$Y$4001,'Per Line'!$D$2:$D$4001,$B1175,'Per Line'!$AJ$2:$AJ$4001,1))</f>
        <v/>
      </c>
      <c r="S1175" s="22" t="str">
        <f aca="false">IF($X1175="","",R1175*Q1175)</f>
        <v/>
      </c>
      <c r="T1175" s="22" t="str">
        <f aca="false">IF($X1175="","",S1175+P1175)</f>
        <v/>
      </c>
      <c r="U1175" s="22" t="str">
        <f aca="false">IF($X1175="","",V1175-T1175)</f>
        <v/>
      </c>
      <c r="V1175" s="22" t="str">
        <f aca="false">IF($X1175="","",O1175+R1175)</f>
        <v/>
      </c>
      <c r="W1175" s="22" t="str">
        <f aca="false">IF($X1175="","",U1175-L1175)</f>
        <v/>
      </c>
      <c r="X1175" s="24" t="str">
        <f aca="false">IF(ROWS($X$2:$X1175)&lt;=MAX('Per Line'!$AI$2:$AI$4001),MATCH(ROWS($X$2:$X1175),'Per Line'!$AI$2:$AI$4001,0),"")</f>
        <v/>
      </c>
    </row>
    <row r="1176" customFormat="false" ht="15" hidden="false" customHeight="false" outlineLevel="0" collapsed="false">
      <c r="A1176" s="19"/>
      <c r="B1176" s="20" t="str">
        <f aca="false">IF($X1176="","",INDEX('Per Line'!$D$2:$D$4001,$X1176))</f>
        <v/>
      </c>
      <c r="C1176" s="20" t="str">
        <f aca="false">IF($X1176="","",INDEX('Per Line'!$C$2:$C$4001,$X1176))</f>
        <v/>
      </c>
      <c r="D1176" s="20" t="str">
        <f aca="false">IF($X1176="","",INDEX('Per Line'!$A$2:$A$4001,$X1176))</f>
        <v/>
      </c>
      <c r="E1176" s="21" t="str">
        <f aca="false">IF($X1176="","",INDEX('Per Line'!$F$2:$F$4001,$X1176))</f>
        <v/>
      </c>
      <c r="F1176" s="20" t="str">
        <f aca="false">IF($X1176="","",INDEX('Per Line'!$G$2:$G$4001,$X1176))</f>
        <v/>
      </c>
      <c r="G1176" s="20" t="str">
        <f aca="false">IF($X1176="","",INDEX('Per Line'!$I$2:$I$4001,$X1176))</f>
        <v/>
      </c>
      <c r="H1176" s="20" t="str">
        <f aca="false">IF($X1176="","",INDEX('Per Line'!$J$2:$J$4001,$X1176))</f>
        <v/>
      </c>
      <c r="I1176" s="20" t="str">
        <f aca="false">IF($X1176="","",INDEX('Per Line'!$K$2:$K$4001,$X1176))</f>
        <v/>
      </c>
      <c r="J1176" s="20" t="str">
        <f aca="false">IF($X1176="","",INDEX('Per Line'!$L$2:$L$4001,$X1176))</f>
        <v/>
      </c>
      <c r="K1176" s="20" t="str">
        <f aca="false">IF($X1176="","",INDEX('Per Line'!$M$2:$M$4001,$X1176))</f>
        <v/>
      </c>
      <c r="L1176" s="22" t="str">
        <f aca="false">IF($X1176="","",K1176*V1176/100)</f>
        <v/>
      </c>
      <c r="M1176" s="20" t="str">
        <f aca="false">IF($X1176="","",INDEX('Per Line'!$Z$2:$Z$4001,$X1176))</f>
        <v/>
      </c>
      <c r="N1176" s="23" t="str">
        <f aca="false">IF($X1176="","",Settings!$C$7)</f>
        <v/>
      </c>
      <c r="O1176" s="22" t="str">
        <f aca="false">IF($X1176="","",SUMIFS('Per Line'!$Y$2:$Y$4001,'Per Line'!$D$2:$D$4001,$B1176,'Per Line'!$AJ$2:$AJ$4001,0))</f>
        <v/>
      </c>
      <c r="P1176" s="22" t="str">
        <f aca="false">IF($X1176="","",O1176*N1176)</f>
        <v/>
      </c>
      <c r="Q1176" s="23" t="str">
        <f aca="false">IF($X1176="","",Settings!$C$6)</f>
        <v/>
      </c>
      <c r="R1176" s="22" t="str">
        <f aca="false">IF($X1176="","",SUMIFS('Per Line'!$Y$2:$Y$4001,'Per Line'!$D$2:$D$4001,$B1176,'Per Line'!$AJ$2:$AJ$4001,1))</f>
        <v/>
      </c>
      <c r="S1176" s="22" t="str">
        <f aca="false">IF($X1176="","",R1176*Q1176)</f>
        <v/>
      </c>
      <c r="T1176" s="22" t="str">
        <f aca="false">IF($X1176="","",S1176+P1176)</f>
        <v/>
      </c>
      <c r="U1176" s="22" t="str">
        <f aca="false">IF($X1176="","",V1176-T1176)</f>
        <v/>
      </c>
      <c r="V1176" s="22" t="str">
        <f aca="false">IF($X1176="","",O1176+R1176)</f>
        <v/>
      </c>
      <c r="W1176" s="22" t="str">
        <f aca="false">IF($X1176="","",U1176-L1176)</f>
        <v/>
      </c>
      <c r="X1176" s="24" t="str">
        <f aca="false">IF(ROWS($X$2:$X1176)&lt;=MAX('Per Line'!$AI$2:$AI$4001),MATCH(ROWS($X$2:$X1176),'Per Line'!$AI$2:$AI$4001,0),"")</f>
        <v/>
      </c>
    </row>
    <row r="1177" customFormat="false" ht="15" hidden="false" customHeight="false" outlineLevel="0" collapsed="false">
      <c r="A1177" s="19"/>
      <c r="B1177" s="20" t="str">
        <f aca="false">IF($X1177="","",INDEX('Per Line'!$D$2:$D$4001,$X1177))</f>
        <v/>
      </c>
      <c r="C1177" s="20" t="str">
        <f aca="false">IF($X1177="","",INDEX('Per Line'!$C$2:$C$4001,$X1177))</f>
        <v/>
      </c>
      <c r="D1177" s="20" t="str">
        <f aca="false">IF($X1177="","",INDEX('Per Line'!$A$2:$A$4001,$X1177))</f>
        <v/>
      </c>
      <c r="E1177" s="21" t="str">
        <f aca="false">IF($X1177="","",INDEX('Per Line'!$F$2:$F$4001,$X1177))</f>
        <v/>
      </c>
      <c r="F1177" s="20" t="str">
        <f aca="false">IF($X1177="","",INDEX('Per Line'!$G$2:$G$4001,$X1177))</f>
        <v/>
      </c>
      <c r="G1177" s="20" t="str">
        <f aca="false">IF($X1177="","",INDEX('Per Line'!$I$2:$I$4001,$X1177))</f>
        <v/>
      </c>
      <c r="H1177" s="20" t="str">
        <f aca="false">IF($X1177="","",INDEX('Per Line'!$J$2:$J$4001,$X1177))</f>
        <v/>
      </c>
      <c r="I1177" s="20" t="str">
        <f aca="false">IF($X1177="","",INDEX('Per Line'!$K$2:$K$4001,$X1177))</f>
        <v/>
      </c>
      <c r="J1177" s="20" t="str">
        <f aca="false">IF($X1177="","",INDEX('Per Line'!$L$2:$L$4001,$X1177))</f>
        <v/>
      </c>
      <c r="K1177" s="20" t="str">
        <f aca="false">IF($X1177="","",INDEX('Per Line'!$M$2:$M$4001,$X1177))</f>
        <v/>
      </c>
      <c r="L1177" s="22" t="str">
        <f aca="false">IF($X1177="","",K1177*V1177/100)</f>
        <v/>
      </c>
      <c r="M1177" s="20" t="str">
        <f aca="false">IF($X1177="","",INDEX('Per Line'!$Z$2:$Z$4001,$X1177))</f>
        <v/>
      </c>
      <c r="N1177" s="23" t="str">
        <f aca="false">IF($X1177="","",Settings!$C$7)</f>
        <v/>
      </c>
      <c r="O1177" s="22" t="str">
        <f aca="false">IF($X1177="","",SUMIFS('Per Line'!$Y$2:$Y$4001,'Per Line'!$D$2:$D$4001,$B1177,'Per Line'!$AJ$2:$AJ$4001,0))</f>
        <v/>
      </c>
      <c r="P1177" s="22" t="str">
        <f aca="false">IF($X1177="","",O1177*N1177)</f>
        <v/>
      </c>
      <c r="Q1177" s="23" t="str">
        <f aca="false">IF($X1177="","",Settings!$C$6)</f>
        <v/>
      </c>
      <c r="R1177" s="22" t="str">
        <f aca="false">IF($X1177="","",SUMIFS('Per Line'!$Y$2:$Y$4001,'Per Line'!$D$2:$D$4001,$B1177,'Per Line'!$AJ$2:$AJ$4001,1))</f>
        <v/>
      </c>
      <c r="S1177" s="22" t="str">
        <f aca="false">IF($X1177="","",R1177*Q1177)</f>
        <v/>
      </c>
      <c r="T1177" s="22" t="str">
        <f aca="false">IF($X1177="","",S1177+P1177)</f>
        <v/>
      </c>
      <c r="U1177" s="22" t="str">
        <f aca="false">IF($X1177="","",V1177-T1177)</f>
        <v/>
      </c>
      <c r="V1177" s="22" t="str">
        <f aca="false">IF($X1177="","",O1177+R1177)</f>
        <v/>
      </c>
      <c r="W1177" s="22" t="str">
        <f aca="false">IF($X1177="","",U1177-L1177)</f>
        <v/>
      </c>
      <c r="X1177" s="24" t="str">
        <f aca="false">IF(ROWS($X$2:$X1177)&lt;=MAX('Per Line'!$AI$2:$AI$4001),MATCH(ROWS($X$2:$X1177),'Per Line'!$AI$2:$AI$4001,0),"")</f>
        <v/>
      </c>
    </row>
    <row r="1178" customFormat="false" ht="15" hidden="false" customHeight="false" outlineLevel="0" collapsed="false">
      <c r="A1178" s="19"/>
      <c r="B1178" s="20" t="str">
        <f aca="false">IF($X1178="","",INDEX('Per Line'!$D$2:$D$4001,$X1178))</f>
        <v/>
      </c>
      <c r="C1178" s="20" t="str">
        <f aca="false">IF($X1178="","",INDEX('Per Line'!$C$2:$C$4001,$X1178))</f>
        <v/>
      </c>
      <c r="D1178" s="20" t="str">
        <f aca="false">IF($X1178="","",INDEX('Per Line'!$A$2:$A$4001,$X1178))</f>
        <v/>
      </c>
      <c r="E1178" s="21" t="str">
        <f aca="false">IF($X1178="","",INDEX('Per Line'!$F$2:$F$4001,$X1178))</f>
        <v/>
      </c>
      <c r="F1178" s="20" t="str">
        <f aca="false">IF($X1178="","",INDEX('Per Line'!$G$2:$G$4001,$X1178))</f>
        <v/>
      </c>
      <c r="G1178" s="20" t="str">
        <f aca="false">IF($X1178="","",INDEX('Per Line'!$I$2:$I$4001,$X1178))</f>
        <v/>
      </c>
      <c r="H1178" s="20" t="str">
        <f aca="false">IF($X1178="","",INDEX('Per Line'!$J$2:$J$4001,$X1178))</f>
        <v/>
      </c>
      <c r="I1178" s="20" t="str">
        <f aca="false">IF($X1178="","",INDEX('Per Line'!$K$2:$K$4001,$X1178))</f>
        <v/>
      </c>
      <c r="J1178" s="20" t="str">
        <f aca="false">IF($X1178="","",INDEX('Per Line'!$L$2:$L$4001,$X1178))</f>
        <v/>
      </c>
      <c r="K1178" s="20" t="str">
        <f aca="false">IF($X1178="","",INDEX('Per Line'!$M$2:$M$4001,$X1178))</f>
        <v/>
      </c>
      <c r="L1178" s="22" t="str">
        <f aca="false">IF($X1178="","",K1178*V1178/100)</f>
        <v/>
      </c>
      <c r="M1178" s="20" t="str">
        <f aca="false">IF($X1178="","",INDEX('Per Line'!$Z$2:$Z$4001,$X1178))</f>
        <v/>
      </c>
      <c r="N1178" s="23" t="str">
        <f aca="false">IF($X1178="","",Settings!$C$7)</f>
        <v/>
      </c>
      <c r="O1178" s="22" t="str">
        <f aca="false">IF($X1178="","",SUMIFS('Per Line'!$Y$2:$Y$4001,'Per Line'!$D$2:$D$4001,$B1178,'Per Line'!$AJ$2:$AJ$4001,0))</f>
        <v/>
      </c>
      <c r="P1178" s="22" t="str">
        <f aca="false">IF($X1178="","",O1178*N1178)</f>
        <v/>
      </c>
      <c r="Q1178" s="23" t="str">
        <f aca="false">IF($X1178="","",Settings!$C$6)</f>
        <v/>
      </c>
      <c r="R1178" s="22" t="str">
        <f aca="false">IF($X1178="","",SUMIFS('Per Line'!$Y$2:$Y$4001,'Per Line'!$D$2:$D$4001,$B1178,'Per Line'!$AJ$2:$AJ$4001,1))</f>
        <v/>
      </c>
      <c r="S1178" s="22" t="str">
        <f aca="false">IF($X1178="","",R1178*Q1178)</f>
        <v/>
      </c>
      <c r="T1178" s="22" t="str">
        <f aca="false">IF($X1178="","",S1178+P1178)</f>
        <v/>
      </c>
      <c r="U1178" s="22" t="str">
        <f aca="false">IF($X1178="","",V1178-T1178)</f>
        <v/>
      </c>
      <c r="V1178" s="22" t="str">
        <f aca="false">IF($X1178="","",O1178+R1178)</f>
        <v/>
      </c>
      <c r="W1178" s="22" t="str">
        <f aca="false">IF($X1178="","",U1178-L1178)</f>
        <v/>
      </c>
      <c r="X1178" s="24" t="str">
        <f aca="false">IF(ROWS($X$2:$X1178)&lt;=MAX('Per Line'!$AI$2:$AI$4001),MATCH(ROWS($X$2:$X1178),'Per Line'!$AI$2:$AI$4001,0),"")</f>
        <v/>
      </c>
    </row>
    <row r="1179" customFormat="false" ht="15" hidden="false" customHeight="false" outlineLevel="0" collapsed="false">
      <c r="A1179" s="19"/>
      <c r="B1179" s="20" t="str">
        <f aca="false">IF($X1179="","",INDEX('Per Line'!$D$2:$D$4001,$X1179))</f>
        <v/>
      </c>
      <c r="C1179" s="20" t="str">
        <f aca="false">IF($X1179="","",INDEX('Per Line'!$C$2:$C$4001,$X1179))</f>
        <v/>
      </c>
      <c r="D1179" s="20" t="str">
        <f aca="false">IF($X1179="","",INDEX('Per Line'!$A$2:$A$4001,$X1179))</f>
        <v/>
      </c>
      <c r="E1179" s="21" t="str">
        <f aca="false">IF($X1179="","",INDEX('Per Line'!$F$2:$F$4001,$X1179))</f>
        <v/>
      </c>
      <c r="F1179" s="20" t="str">
        <f aca="false">IF($X1179="","",INDEX('Per Line'!$G$2:$G$4001,$X1179))</f>
        <v/>
      </c>
      <c r="G1179" s="20" t="str">
        <f aca="false">IF($X1179="","",INDEX('Per Line'!$I$2:$I$4001,$X1179))</f>
        <v/>
      </c>
      <c r="H1179" s="20" t="str">
        <f aca="false">IF($X1179="","",INDEX('Per Line'!$J$2:$J$4001,$X1179))</f>
        <v/>
      </c>
      <c r="I1179" s="20" t="str">
        <f aca="false">IF($X1179="","",INDEX('Per Line'!$K$2:$K$4001,$X1179))</f>
        <v/>
      </c>
      <c r="J1179" s="20" t="str">
        <f aca="false">IF($X1179="","",INDEX('Per Line'!$L$2:$L$4001,$X1179))</f>
        <v/>
      </c>
      <c r="K1179" s="20" t="str">
        <f aca="false">IF($X1179="","",INDEX('Per Line'!$M$2:$M$4001,$X1179))</f>
        <v/>
      </c>
      <c r="L1179" s="22" t="str">
        <f aca="false">IF($X1179="","",K1179*V1179/100)</f>
        <v/>
      </c>
      <c r="M1179" s="20" t="str">
        <f aca="false">IF($X1179="","",INDEX('Per Line'!$Z$2:$Z$4001,$X1179))</f>
        <v/>
      </c>
      <c r="N1179" s="23" t="str">
        <f aca="false">IF($X1179="","",Settings!$C$7)</f>
        <v/>
      </c>
      <c r="O1179" s="22" t="str">
        <f aca="false">IF($X1179="","",SUMIFS('Per Line'!$Y$2:$Y$4001,'Per Line'!$D$2:$D$4001,$B1179,'Per Line'!$AJ$2:$AJ$4001,0))</f>
        <v/>
      </c>
      <c r="P1179" s="22" t="str">
        <f aca="false">IF($X1179="","",O1179*N1179)</f>
        <v/>
      </c>
      <c r="Q1179" s="23" t="str">
        <f aca="false">IF($X1179="","",Settings!$C$6)</f>
        <v/>
      </c>
      <c r="R1179" s="22" t="str">
        <f aca="false">IF($X1179="","",SUMIFS('Per Line'!$Y$2:$Y$4001,'Per Line'!$D$2:$D$4001,$B1179,'Per Line'!$AJ$2:$AJ$4001,1))</f>
        <v/>
      </c>
      <c r="S1179" s="22" t="str">
        <f aca="false">IF($X1179="","",R1179*Q1179)</f>
        <v/>
      </c>
      <c r="T1179" s="22" t="str">
        <f aca="false">IF($X1179="","",S1179+P1179)</f>
        <v/>
      </c>
      <c r="U1179" s="22" t="str">
        <f aca="false">IF($X1179="","",V1179-T1179)</f>
        <v/>
      </c>
      <c r="V1179" s="22" t="str">
        <f aca="false">IF($X1179="","",O1179+R1179)</f>
        <v/>
      </c>
      <c r="W1179" s="22" t="str">
        <f aca="false">IF($X1179="","",U1179-L1179)</f>
        <v/>
      </c>
      <c r="X1179" s="24" t="str">
        <f aca="false">IF(ROWS($X$2:$X1179)&lt;=MAX('Per Line'!$AI$2:$AI$4001),MATCH(ROWS($X$2:$X1179),'Per Line'!$AI$2:$AI$4001,0),"")</f>
        <v/>
      </c>
    </row>
    <row r="1180" customFormat="false" ht="15" hidden="false" customHeight="false" outlineLevel="0" collapsed="false">
      <c r="A1180" s="19"/>
      <c r="B1180" s="20" t="str">
        <f aca="false">IF($X1180="","",INDEX('Per Line'!$D$2:$D$4001,$X1180))</f>
        <v/>
      </c>
      <c r="C1180" s="20" t="str">
        <f aca="false">IF($X1180="","",INDEX('Per Line'!$C$2:$C$4001,$X1180))</f>
        <v/>
      </c>
      <c r="D1180" s="20" t="str">
        <f aca="false">IF($X1180="","",INDEX('Per Line'!$A$2:$A$4001,$X1180))</f>
        <v/>
      </c>
      <c r="E1180" s="21" t="str">
        <f aca="false">IF($X1180="","",INDEX('Per Line'!$F$2:$F$4001,$X1180))</f>
        <v/>
      </c>
      <c r="F1180" s="20" t="str">
        <f aca="false">IF($X1180="","",INDEX('Per Line'!$G$2:$G$4001,$X1180))</f>
        <v/>
      </c>
      <c r="G1180" s="20" t="str">
        <f aca="false">IF($X1180="","",INDEX('Per Line'!$I$2:$I$4001,$X1180))</f>
        <v/>
      </c>
      <c r="H1180" s="20" t="str">
        <f aca="false">IF($X1180="","",INDEX('Per Line'!$J$2:$J$4001,$X1180))</f>
        <v/>
      </c>
      <c r="I1180" s="20" t="str">
        <f aca="false">IF($X1180="","",INDEX('Per Line'!$K$2:$K$4001,$X1180))</f>
        <v/>
      </c>
      <c r="J1180" s="20" t="str">
        <f aca="false">IF($X1180="","",INDEX('Per Line'!$L$2:$L$4001,$X1180))</f>
        <v/>
      </c>
      <c r="K1180" s="20" t="str">
        <f aca="false">IF($X1180="","",INDEX('Per Line'!$M$2:$M$4001,$X1180))</f>
        <v/>
      </c>
      <c r="L1180" s="22" t="str">
        <f aca="false">IF($X1180="","",K1180*V1180/100)</f>
        <v/>
      </c>
      <c r="M1180" s="20" t="str">
        <f aca="false">IF($X1180="","",INDEX('Per Line'!$Z$2:$Z$4001,$X1180))</f>
        <v/>
      </c>
      <c r="N1180" s="23" t="str">
        <f aca="false">IF($X1180="","",Settings!$C$7)</f>
        <v/>
      </c>
      <c r="O1180" s="22" t="str">
        <f aca="false">IF($X1180="","",SUMIFS('Per Line'!$Y$2:$Y$4001,'Per Line'!$D$2:$D$4001,$B1180,'Per Line'!$AJ$2:$AJ$4001,0))</f>
        <v/>
      </c>
      <c r="P1180" s="22" t="str">
        <f aca="false">IF($X1180="","",O1180*N1180)</f>
        <v/>
      </c>
      <c r="Q1180" s="23" t="str">
        <f aca="false">IF($X1180="","",Settings!$C$6)</f>
        <v/>
      </c>
      <c r="R1180" s="22" t="str">
        <f aca="false">IF($X1180="","",SUMIFS('Per Line'!$Y$2:$Y$4001,'Per Line'!$D$2:$D$4001,$B1180,'Per Line'!$AJ$2:$AJ$4001,1))</f>
        <v/>
      </c>
      <c r="S1180" s="22" t="str">
        <f aca="false">IF($X1180="","",R1180*Q1180)</f>
        <v/>
      </c>
      <c r="T1180" s="22" t="str">
        <f aca="false">IF($X1180="","",S1180+P1180)</f>
        <v/>
      </c>
      <c r="U1180" s="22" t="str">
        <f aca="false">IF($X1180="","",V1180-T1180)</f>
        <v/>
      </c>
      <c r="V1180" s="22" t="str">
        <f aca="false">IF($X1180="","",O1180+R1180)</f>
        <v/>
      </c>
      <c r="W1180" s="22" t="str">
        <f aca="false">IF($X1180="","",U1180-L1180)</f>
        <v/>
      </c>
      <c r="X1180" s="24" t="str">
        <f aca="false">IF(ROWS($X$2:$X1180)&lt;=MAX('Per Line'!$AI$2:$AI$4001),MATCH(ROWS($X$2:$X1180),'Per Line'!$AI$2:$AI$4001,0),"")</f>
        <v/>
      </c>
    </row>
    <row r="1181" customFormat="false" ht="15" hidden="false" customHeight="false" outlineLevel="0" collapsed="false">
      <c r="A1181" s="19"/>
      <c r="B1181" s="20" t="str">
        <f aca="false">IF($X1181="","",INDEX('Per Line'!$D$2:$D$4001,$X1181))</f>
        <v/>
      </c>
      <c r="C1181" s="20" t="str">
        <f aca="false">IF($X1181="","",INDEX('Per Line'!$C$2:$C$4001,$X1181))</f>
        <v/>
      </c>
      <c r="D1181" s="20" t="str">
        <f aca="false">IF($X1181="","",INDEX('Per Line'!$A$2:$A$4001,$X1181))</f>
        <v/>
      </c>
      <c r="E1181" s="21" t="str">
        <f aca="false">IF($X1181="","",INDEX('Per Line'!$F$2:$F$4001,$X1181))</f>
        <v/>
      </c>
      <c r="F1181" s="20" t="str">
        <f aca="false">IF($X1181="","",INDEX('Per Line'!$G$2:$G$4001,$X1181))</f>
        <v/>
      </c>
      <c r="G1181" s="20" t="str">
        <f aca="false">IF($X1181="","",INDEX('Per Line'!$I$2:$I$4001,$X1181))</f>
        <v/>
      </c>
      <c r="H1181" s="20" t="str">
        <f aca="false">IF($X1181="","",INDEX('Per Line'!$J$2:$J$4001,$X1181))</f>
        <v/>
      </c>
      <c r="I1181" s="20" t="str">
        <f aca="false">IF($X1181="","",INDEX('Per Line'!$K$2:$K$4001,$X1181))</f>
        <v/>
      </c>
      <c r="J1181" s="20" t="str">
        <f aca="false">IF($X1181="","",INDEX('Per Line'!$L$2:$L$4001,$X1181))</f>
        <v/>
      </c>
      <c r="K1181" s="20" t="str">
        <f aca="false">IF($X1181="","",INDEX('Per Line'!$M$2:$M$4001,$X1181))</f>
        <v/>
      </c>
      <c r="L1181" s="22" t="str">
        <f aca="false">IF($X1181="","",K1181*V1181/100)</f>
        <v/>
      </c>
      <c r="M1181" s="20" t="str">
        <f aca="false">IF($X1181="","",INDEX('Per Line'!$Z$2:$Z$4001,$X1181))</f>
        <v/>
      </c>
      <c r="N1181" s="23" t="str">
        <f aca="false">IF($X1181="","",Settings!$C$7)</f>
        <v/>
      </c>
      <c r="O1181" s="22" t="str">
        <f aca="false">IF($X1181="","",SUMIFS('Per Line'!$Y$2:$Y$4001,'Per Line'!$D$2:$D$4001,$B1181,'Per Line'!$AJ$2:$AJ$4001,0))</f>
        <v/>
      </c>
      <c r="P1181" s="22" t="str">
        <f aca="false">IF($X1181="","",O1181*N1181)</f>
        <v/>
      </c>
      <c r="Q1181" s="23" t="str">
        <f aca="false">IF($X1181="","",Settings!$C$6)</f>
        <v/>
      </c>
      <c r="R1181" s="22" t="str">
        <f aca="false">IF($X1181="","",SUMIFS('Per Line'!$Y$2:$Y$4001,'Per Line'!$D$2:$D$4001,$B1181,'Per Line'!$AJ$2:$AJ$4001,1))</f>
        <v/>
      </c>
      <c r="S1181" s="22" t="str">
        <f aca="false">IF($X1181="","",R1181*Q1181)</f>
        <v/>
      </c>
      <c r="T1181" s="22" t="str">
        <f aca="false">IF($X1181="","",S1181+P1181)</f>
        <v/>
      </c>
      <c r="U1181" s="22" t="str">
        <f aca="false">IF($X1181="","",V1181-T1181)</f>
        <v/>
      </c>
      <c r="V1181" s="22" t="str">
        <f aca="false">IF($X1181="","",O1181+R1181)</f>
        <v/>
      </c>
      <c r="W1181" s="22" t="str">
        <f aca="false">IF($X1181="","",U1181-L1181)</f>
        <v/>
      </c>
      <c r="X1181" s="24" t="str">
        <f aca="false">IF(ROWS($X$2:$X1181)&lt;=MAX('Per Line'!$AI$2:$AI$4001),MATCH(ROWS($X$2:$X1181),'Per Line'!$AI$2:$AI$4001,0),"")</f>
        <v/>
      </c>
    </row>
    <row r="1182" customFormat="false" ht="15" hidden="false" customHeight="false" outlineLevel="0" collapsed="false">
      <c r="A1182" s="19"/>
      <c r="B1182" s="20" t="str">
        <f aca="false">IF($X1182="","",INDEX('Per Line'!$D$2:$D$4001,$X1182))</f>
        <v/>
      </c>
      <c r="C1182" s="20" t="str">
        <f aca="false">IF($X1182="","",INDEX('Per Line'!$C$2:$C$4001,$X1182))</f>
        <v/>
      </c>
      <c r="D1182" s="20" t="str">
        <f aca="false">IF($X1182="","",INDEX('Per Line'!$A$2:$A$4001,$X1182))</f>
        <v/>
      </c>
      <c r="E1182" s="21" t="str">
        <f aca="false">IF($X1182="","",INDEX('Per Line'!$F$2:$F$4001,$X1182))</f>
        <v/>
      </c>
      <c r="F1182" s="20" t="str">
        <f aca="false">IF($X1182="","",INDEX('Per Line'!$G$2:$G$4001,$X1182))</f>
        <v/>
      </c>
      <c r="G1182" s="20" t="str">
        <f aca="false">IF($X1182="","",INDEX('Per Line'!$I$2:$I$4001,$X1182))</f>
        <v/>
      </c>
      <c r="H1182" s="20" t="str">
        <f aca="false">IF($X1182="","",INDEX('Per Line'!$J$2:$J$4001,$X1182))</f>
        <v/>
      </c>
      <c r="I1182" s="20" t="str">
        <f aca="false">IF($X1182="","",INDEX('Per Line'!$K$2:$K$4001,$X1182))</f>
        <v/>
      </c>
      <c r="J1182" s="20" t="str">
        <f aca="false">IF($X1182="","",INDEX('Per Line'!$L$2:$L$4001,$X1182))</f>
        <v/>
      </c>
      <c r="K1182" s="20" t="str">
        <f aca="false">IF($X1182="","",INDEX('Per Line'!$M$2:$M$4001,$X1182))</f>
        <v/>
      </c>
      <c r="L1182" s="22" t="str">
        <f aca="false">IF($X1182="","",K1182*V1182/100)</f>
        <v/>
      </c>
      <c r="M1182" s="20" t="str">
        <f aca="false">IF($X1182="","",INDEX('Per Line'!$Z$2:$Z$4001,$X1182))</f>
        <v/>
      </c>
      <c r="N1182" s="23" t="str">
        <f aca="false">IF($X1182="","",Settings!$C$7)</f>
        <v/>
      </c>
      <c r="O1182" s="22" t="str">
        <f aca="false">IF($X1182="","",SUMIFS('Per Line'!$Y$2:$Y$4001,'Per Line'!$D$2:$D$4001,$B1182,'Per Line'!$AJ$2:$AJ$4001,0))</f>
        <v/>
      </c>
      <c r="P1182" s="22" t="str">
        <f aca="false">IF($X1182="","",O1182*N1182)</f>
        <v/>
      </c>
      <c r="Q1182" s="23" t="str">
        <f aca="false">IF($X1182="","",Settings!$C$6)</f>
        <v/>
      </c>
      <c r="R1182" s="22" t="str">
        <f aca="false">IF($X1182="","",SUMIFS('Per Line'!$Y$2:$Y$4001,'Per Line'!$D$2:$D$4001,$B1182,'Per Line'!$AJ$2:$AJ$4001,1))</f>
        <v/>
      </c>
      <c r="S1182" s="22" t="str">
        <f aca="false">IF($X1182="","",R1182*Q1182)</f>
        <v/>
      </c>
      <c r="T1182" s="22" t="str">
        <f aca="false">IF($X1182="","",S1182+P1182)</f>
        <v/>
      </c>
      <c r="U1182" s="22" t="str">
        <f aca="false">IF($X1182="","",V1182-T1182)</f>
        <v/>
      </c>
      <c r="V1182" s="22" t="str">
        <f aca="false">IF($X1182="","",O1182+R1182)</f>
        <v/>
      </c>
      <c r="W1182" s="22" t="str">
        <f aca="false">IF($X1182="","",U1182-L1182)</f>
        <v/>
      </c>
      <c r="X1182" s="24" t="str">
        <f aca="false">IF(ROWS($X$2:$X1182)&lt;=MAX('Per Line'!$AI$2:$AI$4001),MATCH(ROWS($X$2:$X1182),'Per Line'!$AI$2:$AI$4001,0),"")</f>
        <v/>
      </c>
    </row>
    <row r="1183" customFormat="false" ht="15" hidden="false" customHeight="false" outlineLevel="0" collapsed="false">
      <c r="A1183" s="19"/>
      <c r="B1183" s="20" t="str">
        <f aca="false">IF($X1183="","",INDEX('Per Line'!$D$2:$D$4001,$X1183))</f>
        <v/>
      </c>
      <c r="C1183" s="20" t="str">
        <f aca="false">IF($X1183="","",INDEX('Per Line'!$C$2:$C$4001,$X1183))</f>
        <v/>
      </c>
      <c r="D1183" s="20" t="str">
        <f aca="false">IF($X1183="","",INDEX('Per Line'!$A$2:$A$4001,$X1183))</f>
        <v/>
      </c>
      <c r="E1183" s="21" t="str">
        <f aca="false">IF($X1183="","",INDEX('Per Line'!$F$2:$F$4001,$X1183))</f>
        <v/>
      </c>
      <c r="F1183" s="20" t="str">
        <f aca="false">IF($X1183="","",INDEX('Per Line'!$G$2:$G$4001,$X1183))</f>
        <v/>
      </c>
      <c r="G1183" s="20" t="str">
        <f aca="false">IF($X1183="","",INDEX('Per Line'!$I$2:$I$4001,$X1183))</f>
        <v/>
      </c>
      <c r="H1183" s="20" t="str">
        <f aca="false">IF($X1183="","",INDEX('Per Line'!$J$2:$J$4001,$X1183))</f>
        <v/>
      </c>
      <c r="I1183" s="20" t="str">
        <f aca="false">IF($X1183="","",INDEX('Per Line'!$K$2:$K$4001,$X1183))</f>
        <v/>
      </c>
      <c r="J1183" s="20" t="str">
        <f aca="false">IF($X1183="","",INDEX('Per Line'!$L$2:$L$4001,$X1183))</f>
        <v/>
      </c>
      <c r="K1183" s="20" t="str">
        <f aca="false">IF($X1183="","",INDEX('Per Line'!$M$2:$M$4001,$X1183))</f>
        <v/>
      </c>
      <c r="L1183" s="22" t="str">
        <f aca="false">IF($X1183="","",K1183*V1183/100)</f>
        <v/>
      </c>
      <c r="M1183" s="20" t="str">
        <f aca="false">IF($X1183="","",INDEX('Per Line'!$Z$2:$Z$4001,$X1183))</f>
        <v/>
      </c>
      <c r="N1183" s="23" t="str">
        <f aca="false">IF($X1183="","",Settings!$C$7)</f>
        <v/>
      </c>
      <c r="O1183" s="22" t="str">
        <f aca="false">IF($X1183="","",SUMIFS('Per Line'!$Y$2:$Y$4001,'Per Line'!$D$2:$D$4001,$B1183,'Per Line'!$AJ$2:$AJ$4001,0))</f>
        <v/>
      </c>
      <c r="P1183" s="22" t="str">
        <f aca="false">IF($X1183="","",O1183*N1183)</f>
        <v/>
      </c>
      <c r="Q1183" s="23" t="str">
        <f aca="false">IF($X1183="","",Settings!$C$6)</f>
        <v/>
      </c>
      <c r="R1183" s="22" t="str">
        <f aca="false">IF($X1183="","",SUMIFS('Per Line'!$Y$2:$Y$4001,'Per Line'!$D$2:$D$4001,$B1183,'Per Line'!$AJ$2:$AJ$4001,1))</f>
        <v/>
      </c>
      <c r="S1183" s="22" t="str">
        <f aca="false">IF($X1183="","",R1183*Q1183)</f>
        <v/>
      </c>
      <c r="T1183" s="22" t="str">
        <f aca="false">IF($X1183="","",S1183+P1183)</f>
        <v/>
      </c>
      <c r="U1183" s="22" t="str">
        <f aca="false">IF($X1183="","",V1183-T1183)</f>
        <v/>
      </c>
      <c r="V1183" s="22" t="str">
        <f aca="false">IF($X1183="","",O1183+R1183)</f>
        <v/>
      </c>
      <c r="W1183" s="22" t="str">
        <f aca="false">IF($X1183="","",U1183-L1183)</f>
        <v/>
      </c>
      <c r="X1183" s="24" t="str">
        <f aca="false">IF(ROWS($X$2:$X1183)&lt;=MAX('Per Line'!$AI$2:$AI$4001),MATCH(ROWS($X$2:$X1183),'Per Line'!$AI$2:$AI$4001,0),"")</f>
        <v/>
      </c>
    </row>
    <row r="1184" customFormat="false" ht="15" hidden="false" customHeight="false" outlineLevel="0" collapsed="false">
      <c r="A1184" s="19"/>
      <c r="B1184" s="20" t="str">
        <f aca="false">IF($X1184="","",INDEX('Per Line'!$D$2:$D$4001,$X1184))</f>
        <v/>
      </c>
      <c r="C1184" s="20" t="str">
        <f aca="false">IF($X1184="","",INDEX('Per Line'!$C$2:$C$4001,$X1184))</f>
        <v/>
      </c>
      <c r="D1184" s="20" t="str">
        <f aca="false">IF($X1184="","",INDEX('Per Line'!$A$2:$A$4001,$X1184))</f>
        <v/>
      </c>
      <c r="E1184" s="21" t="str">
        <f aca="false">IF($X1184="","",INDEX('Per Line'!$F$2:$F$4001,$X1184))</f>
        <v/>
      </c>
      <c r="F1184" s="20" t="str">
        <f aca="false">IF($X1184="","",INDEX('Per Line'!$G$2:$G$4001,$X1184))</f>
        <v/>
      </c>
      <c r="G1184" s="20" t="str">
        <f aca="false">IF($X1184="","",INDEX('Per Line'!$I$2:$I$4001,$X1184))</f>
        <v/>
      </c>
      <c r="H1184" s="20" t="str">
        <f aca="false">IF($X1184="","",INDEX('Per Line'!$J$2:$J$4001,$X1184))</f>
        <v/>
      </c>
      <c r="I1184" s="20" t="str">
        <f aca="false">IF($X1184="","",INDEX('Per Line'!$K$2:$K$4001,$X1184))</f>
        <v/>
      </c>
      <c r="J1184" s="20" t="str">
        <f aca="false">IF($X1184="","",INDEX('Per Line'!$L$2:$L$4001,$X1184))</f>
        <v/>
      </c>
      <c r="K1184" s="20" t="str">
        <f aca="false">IF($X1184="","",INDEX('Per Line'!$M$2:$M$4001,$X1184))</f>
        <v/>
      </c>
      <c r="L1184" s="22" t="str">
        <f aca="false">IF($X1184="","",K1184*V1184/100)</f>
        <v/>
      </c>
      <c r="M1184" s="20" t="str">
        <f aca="false">IF($X1184="","",INDEX('Per Line'!$Z$2:$Z$4001,$X1184))</f>
        <v/>
      </c>
      <c r="N1184" s="23" t="str">
        <f aca="false">IF($X1184="","",Settings!$C$7)</f>
        <v/>
      </c>
      <c r="O1184" s="22" t="str">
        <f aca="false">IF($X1184="","",SUMIFS('Per Line'!$Y$2:$Y$4001,'Per Line'!$D$2:$D$4001,$B1184,'Per Line'!$AJ$2:$AJ$4001,0))</f>
        <v/>
      </c>
      <c r="P1184" s="22" t="str">
        <f aca="false">IF($X1184="","",O1184*N1184)</f>
        <v/>
      </c>
      <c r="Q1184" s="23" t="str">
        <f aca="false">IF($X1184="","",Settings!$C$6)</f>
        <v/>
      </c>
      <c r="R1184" s="22" t="str">
        <f aca="false">IF($X1184="","",SUMIFS('Per Line'!$Y$2:$Y$4001,'Per Line'!$D$2:$D$4001,$B1184,'Per Line'!$AJ$2:$AJ$4001,1))</f>
        <v/>
      </c>
      <c r="S1184" s="22" t="str">
        <f aca="false">IF($X1184="","",R1184*Q1184)</f>
        <v/>
      </c>
      <c r="T1184" s="22" t="str">
        <f aca="false">IF($X1184="","",S1184+P1184)</f>
        <v/>
      </c>
      <c r="U1184" s="22" t="str">
        <f aca="false">IF($X1184="","",V1184-T1184)</f>
        <v/>
      </c>
      <c r="V1184" s="22" t="str">
        <f aca="false">IF($X1184="","",O1184+R1184)</f>
        <v/>
      </c>
      <c r="W1184" s="22" t="str">
        <f aca="false">IF($X1184="","",U1184-L1184)</f>
        <v/>
      </c>
      <c r="X1184" s="24" t="str">
        <f aca="false">IF(ROWS($X$2:$X1184)&lt;=MAX('Per Line'!$AI$2:$AI$4001),MATCH(ROWS($X$2:$X1184),'Per Line'!$AI$2:$AI$4001,0),"")</f>
        <v/>
      </c>
    </row>
    <row r="1185" customFormat="false" ht="15" hidden="false" customHeight="false" outlineLevel="0" collapsed="false">
      <c r="A1185" s="19"/>
      <c r="B1185" s="20" t="str">
        <f aca="false">IF($X1185="","",INDEX('Per Line'!$D$2:$D$4001,$X1185))</f>
        <v/>
      </c>
      <c r="C1185" s="20" t="str">
        <f aca="false">IF($X1185="","",INDEX('Per Line'!$C$2:$C$4001,$X1185))</f>
        <v/>
      </c>
      <c r="D1185" s="20" t="str">
        <f aca="false">IF($X1185="","",INDEX('Per Line'!$A$2:$A$4001,$X1185))</f>
        <v/>
      </c>
      <c r="E1185" s="21" t="str">
        <f aca="false">IF($X1185="","",INDEX('Per Line'!$F$2:$F$4001,$X1185))</f>
        <v/>
      </c>
      <c r="F1185" s="20" t="str">
        <f aca="false">IF($X1185="","",INDEX('Per Line'!$G$2:$G$4001,$X1185))</f>
        <v/>
      </c>
      <c r="G1185" s="20" t="str">
        <f aca="false">IF($X1185="","",INDEX('Per Line'!$I$2:$I$4001,$X1185))</f>
        <v/>
      </c>
      <c r="H1185" s="20" t="str">
        <f aca="false">IF($X1185="","",INDEX('Per Line'!$J$2:$J$4001,$X1185))</f>
        <v/>
      </c>
      <c r="I1185" s="20" t="str">
        <f aca="false">IF($X1185="","",INDEX('Per Line'!$K$2:$K$4001,$X1185))</f>
        <v/>
      </c>
      <c r="J1185" s="20" t="str">
        <f aca="false">IF($X1185="","",INDEX('Per Line'!$L$2:$L$4001,$X1185))</f>
        <v/>
      </c>
      <c r="K1185" s="20" t="str">
        <f aca="false">IF($X1185="","",INDEX('Per Line'!$M$2:$M$4001,$X1185))</f>
        <v/>
      </c>
      <c r="L1185" s="22" t="str">
        <f aca="false">IF($X1185="","",K1185*V1185/100)</f>
        <v/>
      </c>
      <c r="M1185" s="20" t="str">
        <f aca="false">IF($X1185="","",INDEX('Per Line'!$Z$2:$Z$4001,$X1185))</f>
        <v/>
      </c>
      <c r="N1185" s="23" t="str">
        <f aca="false">IF($X1185="","",Settings!$C$7)</f>
        <v/>
      </c>
      <c r="O1185" s="22" t="str">
        <f aca="false">IF($X1185="","",SUMIFS('Per Line'!$Y$2:$Y$4001,'Per Line'!$D$2:$D$4001,$B1185,'Per Line'!$AJ$2:$AJ$4001,0))</f>
        <v/>
      </c>
      <c r="P1185" s="22" t="str">
        <f aca="false">IF($X1185="","",O1185*N1185)</f>
        <v/>
      </c>
      <c r="Q1185" s="23" t="str">
        <f aca="false">IF($X1185="","",Settings!$C$6)</f>
        <v/>
      </c>
      <c r="R1185" s="22" t="str">
        <f aca="false">IF($X1185="","",SUMIFS('Per Line'!$Y$2:$Y$4001,'Per Line'!$D$2:$D$4001,$B1185,'Per Line'!$AJ$2:$AJ$4001,1))</f>
        <v/>
      </c>
      <c r="S1185" s="22" t="str">
        <f aca="false">IF($X1185="","",R1185*Q1185)</f>
        <v/>
      </c>
      <c r="T1185" s="22" t="str">
        <f aca="false">IF($X1185="","",S1185+P1185)</f>
        <v/>
      </c>
      <c r="U1185" s="22" t="str">
        <f aca="false">IF($X1185="","",V1185-T1185)</f>
        <v/>
      </c>
      <c r="V1185" s="22" t="str">
        <f aca="false">IF($X1185="","",O1185+R1185)</f>
        <v/>
      </c>
      <c r="W1185" s="22" t="str">
        <f aca="false">IF($X1185="","",U1185-L1185)</f>
        <v/>
      </c>
      <c r="X1185" s="24" t="str">
        <f aca="false">IF(ROWS($X$2:$X1185)&lt;=MAX('Per Line'!$AI$2:$AI$4001),MATCH(ROWS($X$2:$X1185),'Per Line'!$AI$2:$AI$4001,0),"")</f>
        <v/>
      </c>
    </row>
    <row r="1186" customFormat="false" ht="15" hidden="false" customHeight="false" outlineLevel="0" collapsed="false">
      <c r="A1186" s="19"/>
      <c r="B1186" s="20" t="str">
        <f aca="false">IF($X1186="","",INDEX('Per Line'!$D$2:$D$4001,$X1186))</f>
        <v/>
      </c>
      <c r="C1186" s="20" t="str">
        <f aca="false">IF($X1186="","",INDEX('Per Line'!$C$2:$C$4001,$X1186))</f>
        <v/>
      </c>
      <c r="D1186" s="20" t="str">
        <f aca="false">IF($X1186="","",INDEX('Per Line'!$A$2:$A$4001,$X1186))</f>
        <v/>
      </c>
      <c r="E1186" s="21" t="str">
        <f aca="false">IF($X1186="","",INDEX('Per Line'!$F$2:$F$4001,$X1186))</f>
        <v/>
      </c>
      <c r="F1186" s="20" t="str">
        <f aca="false">IF($X1186="","",INDEX('Per Line'!$G$2:$G$4001,$X1186))</f>
        <v/>
      </c>
      <c r="G1186" s="20" t="str">
        <f aca="false">IF($X1186="","",INDEX('Per Line'!$I$2:$I$4001,$X1186))</f>
        <v/>
      </c>
      <c r="H1186" s="20" t="str">
        <f aca="false">IF($X1186="","",INDEX('Per Line'!$J$2:$J$4001,$X1186))</f>
        <v/>
      </c>
      <c r="I1186" s="20" t="str">
        <f aca="false">IF($X1186="","",INDEX('Per Line'!$K$2:$K$4001,$X1186))</f>
        <v/>
      </c>
      <c r="J1186" s="20" t="str">
        <f aca="false">IF($X1186="","",INDEX('Per Line'!$L$2:$L$4001,$X1186))</f>
        <v/>
      </c>
      <c r="K1186" s="20" t="str">
        <f aca="false">IF($X1186="","",INDEX('Per Line'!$M$2:$M$4001,$X1186))</f>
        <v/>
      </c>
      <c r="L1186" s="22" t="str">
        <f aca="false">IF($X1186="","",K1186*V1186/100)</f>
        <v/>
      </c>
      <c r="M1186" s="20" t="str">
        <f aca="false">IF($X1186="","",INDEX('Per Line'!$Z$2:$Z$4001,$X1186))</f>
        <v/>
      </c>
      <c r="N1186" s="23" t="str">
        <f aca="false">IF($X1186="","",Settings!$C$7)</f>
        <v/>
      </c>
      <c r="O1186" s="22" t="str">
        <f aca="false">IF($X1186="","",SUMIFS('Per Line'!$Y$2:$Y$4001,'Per Line'!$D$2:$D$4001,$B1186,'Per Line'!$AJ$2:$AJ$4001,0))</f>
        <v/>
      </c>
      <c r="P1186" s="22" t="str">
        <f aca="false">IF($X1186="","",O1186*N1186)</f>
        <v/>
      </c>
      <c r="Q1186" s="23" t="str">
        <f aca="false">IF($X1186="","",Settings!$C$6)</f>
        <v/>
      </c>
      <c r="R1186" s="22" t="str">
        <f aca="false">IF($X1186="","",SUMIFS('Per Line'!$Y$2:$Y$4001,'Per Line'!$D$2:$D$4001,$B1186,'Per Line'!$AJ$2:$AJ$4001,1))</f>
        <v/>
      </c>
      <c r="S1186" s="22" t="str">
        <f aca="false">IF($X1186="","",R1186*Q1186)</f>
        <v/>
      </c>
      <c r="T1186" s="22" t="str">
        <f aca="false">IF($X1186="","",S1186+P1186)</f>
        <v/>
      </c>
      <c r="U1186" s="22" t="str">
        <f aca="false">IF($X1186="","",V1186-T1186)</f>
        <v/>
      </c>
      <c r="V1186" s="22" t="str">
        <f aca="false">IF($X1186="","",O1186+R1186)</f>
        <v/>
      </c>
      <c r="W1186" s="22" t="str">
        <f aca="false">IF($X1186="","",U1186-L1186)</f>
        <v/>
      </c>
      <c r="X1186" s="24" t="str">
        <f aca="false">IF(ROWS($X$2:$X1186)&lt;=MAX('Per Line'!$AI$2:$AI$4001),MATCH(ROWS($X$2:$X1186),'Per Line'!$AI$2:$AI$4001,0),"")</f>
        <v/>
      </c>
    </row>
    <row r="1187" customFormat="false" ht="15" hidden="false" customHeight="false" outlineLevel="0" collapsed="false">
      <c r="A1187" s="19"/>
      <c r="B1187" s="20" t="str">
        <f aca="false">IF($X1187="","",INDEX('Per Line'!$D$2:$D$4001,$X1187))</f>
        <v/>
      </c>
      <c r="C1187" s="20" t="str">
        <f aca="false">IF($X1187="","",INDEX('Per Line'!$C$2:$C$4001,$X1187))</f>
        <v/>
      </c>
      <c r="D1187" s="20" t="str">
        <f aca="false">IF($X1187="","",INDEX('Per Line'!$A$2:$A$4001,$X1187))</f>
        <v/>
      </c>
      <c r="E1187" s="21" t="str">
        <f aca="false">IF($X1187="","",INDEX('Per Line'!$F$2:$F$4001,$X1187))</f>
        <v/>
      </c>
      <c r="F1187" s="20" t="str">
        <f aca="false">IF($X1187="","",INDEX('Per Line'!$G$2:$G$4001,$X1187))</f>
        <v/>
      </c>
      <c r="G1187" s="20" t="str">
        <f aca="false">IF($X1187="","",INDEX('Per Line'!$I$2:$I$4001,$X1187))</f>
        <v/>
      </c>
      <c r="H1187" s="20" t="str">
        <f aca="false">IF($X1187="","",INDEX('Per Line'!$J$2:$J$4001,$X1187))</f>
        <v/>
      </c>
      <c r="I1187" s="20" t="str">
        <f aca="false">IF($X1187="","",INDEX('Per Line'!$K$2:$K$4001,$X1187))</f>
        <v/>
      </c>
      <c r="J1187" s="20" t="str">
        <f aca="false">IF($X1187="","",INDEX('Per Line'!$L$2:$L$4001,$X1187))</f>
        <v/>
      </c>
      <c r="K1187" s="20" t="str">
        <f aca="false">IF($X1187="","",INDEX('Per Line'!$M$2:$M$4001,$X1187))</f>
        <v/>
      </c>
      <c r="L1187" s="22" t="str">
        <f aca="false">IF($X1187="","",K1187*V1187/100)</f>
        <v/>
      </c>
      <c r="M1187" s="20" t="str">
        <f aca="false">IF($X1187="","",INDEX('Per Line'!$Z$2:$Z$4001,$X1187))</f>
        <v/>
      </c>
      <c r="N1187" s="23" t="str">
        <f aca="false">IF($X1187="","",Settings!$C$7)</f>
        <v/>
      </c>
      <c r="O1187" s="22" t="str">
        <f aca="false">IF($X1187="","",SUMIFS('Per Line'!$Y$2:$Y$4001,'Per Line'!$D$2:$D$4001,$B1187,'Per Line'!$AJ$2:$AJ$4001,0))</f>
        <v/>
      </c>
      <c r="P1187" s="22" t="str">
        <f aca="false">IF($X1187="","",O1187*N1187)</f>
        <v/>
      </c>
      <c r="Q1187" s="23" t="str">
        <f aca="false">IF($X1187="","",Settings!$C$6)</f>
        <v/>
      </c>
      <c r="R1187" s="22" t="str">
        <f aca="false">IF($X1187="","",SUMIFS('Per Line'!$Y$2:$Y$4001,'Per Line'!$D$2:$D$4001,$B1187,'Per Line'!$AJ$2:$AJ$4001,1))</f>
        <v/>
      </c>
      <c r="S1187" s="22" t="str">
        <f aca="false">IF($X1187="","",R1187*Q1187)</f>
        <v/>
      </c>
      <c r="T1187" s="22" t="str">
        <f aca="false">IF($X1187="","",S1187+P1187)</f>
        <v/>
      </c>
      <c r="U1187" s="22" t="str">
        <f aca="false">IF($X1187="","",V1187-T1187)</f>
        <v/>
      </c>
      <c r="V1187" s="22" t="str">
        <f aca="false">IF($X1187="","",O1187+R1187)</f>
        <v/>
      </c>
      <c r="W1187" s="22" t="str">
        <f aca="false">IF($X1187="","",U1187-L1187)</f>
        <v/>
      </c>
      <c r="X1187" s="24" t="str">
        <f aca="false">IF(ROWS($X$2:$X1187)&lt;=MAX('Per Line'!$AI$2:$AI$4001),MATCH(ROWS($X$2:$X1187),'Per Line'!$AI$2:$AI$4001,0),"")</f>
        <v/>
      </c>
    </row>
    <row r="1188" customFormat="false" ht="15" hidden="false" customHeight="false" outlineLevel="0" collapsed="false">
      <c r="A1188" s="19"/>
      <c r="B1188" s="20" t="str">
        <f aca="false">IF($X1188="","",INDEX('Per Line'!$D$2:$D$4001,$X1188))</f>
        <v/>
      </c>
      <c r="C1188" s="20" t="str">
        <f aca="false">IF($X1188="","",INDEX('Per Line'!$C$2:$C$4001,$X1188))</f>
        <v/>
      </c>
      <c r="D1188" s="20" t="str">
        <f aca="false">IF($X1188="","",INDEX('Per Line'!$A$2:$A$4001,$X1188))</f>
        <v/>
      </c>
      <c r="E1188" s="21" t="str">
        <f aca="false">IF($X1188="","",INDEX('Per Line'!$F$2:$F$4001,$X1188))</f>
        <v/>
      </c>
      <c r="F1188" s="20" t="str">
        <f aca="false">IF($X1188="","",INDEX('Per Line'!$G$2:$G$4001,$X1188))</f>
        <v/>
      </c>
      <c r="G1188" s="20" t="str">
        <f aca="false">IF($X1188="","",INDEX('Per Line'!$I$2:$I$4001,$X1188))</f>
        <v/>
      </c>
      <c r="H1188" s="20" t="str">
        <f aca="false">IF($X1188="","",INDEX('Per Line'!$J$2:$J$4001,$X1188))</f>
        <v/>
      </c>
      <c r="I1188" s="20" t="str">
        <f aca="false">IF($X1188="","",INDEX('Per Line'!$K$2:$K$4001,$X1188))</f>
        <v/>
      </c>
      <c r="J1188" s="20" t="str">
        <f aca="false">IF($X1188="","",INDEX('Per Line'!$L$2:$L$4001,$X1188))</f>
        <v/>
      </c>
      <c r="K1188" s="20" t="str">
        <f aca="false">IF($X1188="","",INDEX('Per Line'!$M$2:$M$4001,$X1188))</f>
        <v/>
      </c>
      <c r="L1188" s="22" t="str">
        <f aca="false">IF($X1188="","",K1188*V1188/100)</f>
        <v/>
      </c>
      <c r="M1188" s="20" t="str">
        <f aca="false">IF($X1188="","",INDEX('Per Line'!$Z$2:$Z$4001,$X1188))</f>
        <v/>
      </c>
      <c r="N1188" s="23" t="str">
        <f aca="false">IF($X1188="","",Settings!$C$7)</f>
        <v/>
      </c>
      <c r="O1188" s="22" t="str">
        <f aca="false">IF($X1188="","",SUMIFS('Per Line'!$Y$2:$Y$4001,'Per Line'!$D$2:$D$4001,$B1188,'Per Line'!$AJ$2:$AJ$4001,0))</f>
        <v/>
      </c>
      <c r="P1188" s="22" t="str">
        <f aca="false">IF($X1188="","",O1188*N1188)</f>
        <v/>
      </c>
      <c r="Q1188" s="23" t="str">
        <f aca="false">IF($X1188="","",Settings!$C$6)</f>
        <v/>
      </c>
      <c r="R1188" s="22" t="str">
        <f aca="false">IF($X1188="","",SUMIFS('Per Line'!$Y$2:$Y$4001,'Per Line'!$D$2:$D$4001,$B1188,'Per Line'!$AJ$2:$AJ$4001,1))</f>
        <v/>
      </c>
      <c r="S1188" s="22" t="str">
        <f aca="false">IF($X1188="","",R1188*Q1188)</f>
        <v/>
      </c>
      <c r="T1188" s="22" t="str">
        <f aca="false">IF($X1188="","",S1188+P1188)</f>
        <v/>
      </c>
      <c r="U1188" s="22" t="str">
        <f aca="false">IF($X1188="","",V1188-T1188)</f>
        <v/>
      </c>
      <c r="V1188" s="22" t="str">
        <f aca="false">IF($X1188="","",O1188+R1188)</f>
        <v/>
      </c>
      <c r="W1188" s="22" t="str">
        <f aca="false">IF($X1188="","",U1188-L1188)</f>
        <v/>
      </c>
      <c r="X1188" s="24" t="str">
        <f aca="false">IF(ROWS($X$2:$X1188)&lt;=MAX('Per Line'!$AI$2:$AI$4001),MATCH(ROWS($X$2:$X1188),'Per Line'!$AI$2:$AI$4001,0),"")</f>
        <v/>
      </c>
    </row>
    <row r="1189" customFormat="false" ht="15" hidden="false" customHeight="false" outlineLevel="0" collapsed="false">
      <c r="A1189" s="19"/>
      <c r="B1189" s="20" t="str">
        <f aca="false">IF($X1189="","",INDEX('Per Line'!$D$2:$D$4001,$X1189))</f>
        <v/>
      </c>
      <c r="C1189" s="20" t="str">
        <f aca="false">IF($X1189="","",INDEX('Per Line'!$C$2:$C$4001,$X1189))</f>
        <v/>
      </c>
      <c r="D1189" s="20" t="str">
        <f aca="false">IF($X1189="","",INDEX('Per Line'!$A$2:$A$4001,$X1189))</f>
        <v/>
      </c>
      <c r="E1189" s="21" t="str">
        <f aca="false">IF($X1189="","",INDEX('Per Line'!$F$2:$F$4001,$X1189))</f>
        <v/>
      </c>
      <c r="F1189" s="20" t="str">
        <f aca="false">IF($X1189="","",INDEX('Per Line'!$G$2:$G$4001,$X1189))</f>
        <v/>
      </c>
      <c r="G1189" s="20" t="str">
        <f aca="false">IF($X1189="","",INDEX('Per Line'!$I$2:$I$4001,$X1189))</f>
        <v/>
      </c>
      <c r="H1189" s="20" t="str">
        <f aca="false">IF($X1189="","",INDEX('Per Line'!$J$2:$J$4001,$X1189))</f>
        <v/>
      </c>
      <c r="I1189" s="20" t="str">
        <f aca="false">IF($X1189="","",INDEX('Per Line'!$K$2:$K$4001,$X1189))</f>
        <v/>
      </c>
      <c r="J1189" s="20" t="str">
        <f aca="false">IF($X1189="","",INDEX('Per Line'!$L$2:$L$4001,$X1189))</f>
        <v/>
      </c>
      <c r="K1189" s="20" t="str">
        <f aca="false">IF($X1189="","",INDEX('Per Line'!$M$2:$M$4001,$X1189))</f>
        <v/>
      </c>
      <c r="L1189" s="22" t="str">
        <f aca="false">IF($X1189="","",K1189*V1189/100)</f>
        <v/>
      </c>
      <c r="M1189" s="20" t="str">
        <f aca="false">IF($X1189="","",INDEX('Per Line'!$Z$2:$Z$4001,$X1189))</f>
        <v/>
      </c>
      <c r="N1189" s="23" t="str">
        <f aca="false">IF($X1189="","",Settings!$C$7)</f>
        <v/>
      </c>
      <c r="O1189" s="22" t="str">
        <f aca="false">IF($X1189="","",SUMIFS('Per Line'!$Y$2:$Y$4001,'Per Line'!$D$2:$D$4001,$B1189,'Per Line'!$AJ$2:$AJ$4001,0))</f>
        <v/>
      </c>
      <c r="P1189" s="22" t="str">
        <f aca="false">IF($X1189="","",O1189*N1189)</f>
        <v/>
      </c>
      <c r="Q1189" s="23" t="str">
        <f aca="false">IF($X1189="","",Settings!$C$6)</f>
        <v/>
      </c>
      <c r="R1189" s="22" t="str">
        <f aca="false">IF($X1189="","",SUMIFS('Per Line'!$Y$2:$Y$4001,'Per Line'!$D$2:$D$4001,$B1189,'Per Line'!$AJ$2:$AJ$4001,1))</f>
        <v/>
      </c>
      <c r="S1189" s="22" t="str">
        <f aca="false">IF($X1189="","",R1189*Q1189)</f>
        <v/>
      </c>
      <c r="T1189" s="22" t="str">
        <f aca="false">IF($X1189="","",S1189+P1189)</f>
        <v/>
      </c>
      <c r="U1189" s="22" t="str">
        <f aca="false">IF($X1189="","",V1189-T1189)</f>
        <v/>
      </c>
      <c r="V1189" s="22" t="str">
        <f aca="false">IF($X1189="","",O1189+R1189)</f>
        <v/>
      </c>
      <c r="W1189" s="22" t="str">
        <f aca="false">IF($X1189="","",U1189-L1189)</f>
        <v/>
      </c>
      <c r="X1189" s="24" t="str">
        <f aca="false">IF(ROWS($X$2:$X1189)&lt;=MAX('Per Line'!$AI$2:$AI$4001),MATCH(ROWS($X$2:$X1189),'Per Line'!$AI$2:$AI$4001,0),"")</f>
        <v/>
      </c>
    </row>
    <row r="1190" customFormat="false" ht="15" hidden="false" customHeight="false" outlineLevel="0" collapsed="false">
      <c r="A1190" s="19"/>
      <c r="B1190" s="20" t="str">
        <f aca="false">IF($X1190="","",INDEX('Per Line'!$D$2:$D$4001,$X1190))</f>
        <v/>
      </c>
      <c r="C1190" s="20" t="str">
        <f aca="false">IF($X1190="","",INDEX('Per Line'!$C$2:$C$4001,$X1190))</f>
        <v/>
      </c>
      <c r="D1190" s="20" t="str">
        <f aca="false">IF($X1190="","",INDEX('Per Line'!$A$2:$A$4001,$X1190))</f>
        <v/>
      </c>
      <c r="E1190" s="21" t="str">
        <f aca="false">IF($X1190="","",INDEX('Per Line'!$F$2:$F$4001,$X1190))</f>
        <v/>
      </c>
      <c r="F1190" s="20" t="str">
        <f aca="false">IF($X1190="","",INDEX('Per Line'!$G$2:$G$4001,$X1190))</f>
        <v/>
      </c>
      <c r="G1190" s="20" t="str">
        <f aca="false">IF($X1190="","",INDEX('Per Line'!$I$2:$I$4001,$X1190))</f>
        <v/>
      </c>
      <c r="H1190" s="20" t="str">
        <f aca="false">IF($X1190="","",INDEX('Per Line'!$J$2:$J$4001,$X1190))</f>
        <v/>
      </c>
      <c r="I1190" s="20" t="str">
        <f aca="false">IF($X1190="","",INDEX('Per Line'!$K$2:$K$4001,$X1190))</f>
        <v/>
      </c>
      <c r="J1190" s="20" t="str">
        <f aca="false">IF($X1190="","",INDEX('Per Line'!$L$2:$L$4001,$X1190))</f>
        <v/>
      </c>
      <c r="K1190" s="20" t="str">
        <f aca="false">IF($X1190="","",INDEX('Per Line'!$M$2:$M$4001,$X1190))</f>
        <v/>
      </c>
      <c r="L1190" s="22" t="str">
        <f aca="false">IF($X1190="","",K1190*V1190/100)</f>
        <v/>
      </c>
      <c r="M1190" s="20" t="str">
        <f aca="false">IF($X1190="","",INDEX('Per Line'!$Z$2:$Z$4001,$X1190))</f>
        <v/>
      </c>
      <c r="N1190" s="23" t="str">
        <f aca="false">IF($X1190="","",Settings!$C$7)</f>
        <v/>
      </c>
      <c r="O1190" s="22" t="str">
        <f aca="false">IF($X1190="","",SUMIFS('Per Line'!$Y$2:$Y$4001,'Per Line'!$D$2:$D$4001,$B1190,'Per Line'!$AJ$2:$AJ$4001,0))</f>
        <v/>
      </c>
      <c r="P1190" s="22" t="str">
        <f aca="false">IF($X1190="","",O1190*N1190)</f>
        <v/>
      </c>
      <c r="Q1190" s="23" t="str">
        <f aca="false">IF($X1190="","",Settings!$C$6)</f>
        <v/>
      </c>
      <c r="R1190" s="22" t="str">
        <f aca="false">IF($X1190="","",SUMIFS('Per Line'!$Y$2:$Y$4001,'Per Line'!$D$2:$D$4001,$B1190,'Per Line'!$AJ$2:$AJ$4001,1))</f>
        <v/>
      </c>
      <c r="S1190" s="22" t="str">
        <f aca="false">IF($X1190="","",R1190*Q1190)</f>
        <v/>
      </c>
      <c r="T1190" s="22" t="str">
        <f aca="false">IF($X1190="","",S1190+P1190)</f>
        <v/>
      </c>
      <c r="U1190" s="22" t="str">
        <f aca="false">IF($X1190="","",V1190-T1190)</f>
        <v/>
      </c>
      <c r="V1190" s="22" t="str">
        <f aca="false">IF($X1190="","",O1190+R1190)</f>
        <v/>
      </c>
      <c r="W1190" s="22" t="str">
        <f aca="false">IF($X1190="","",U1190-L1190)</f>
        <v/>
      </c>
      <c r="X1190" s="24" t="str">
        <f aca="false">IF(ROWS($X$2:$X1190)&lt;=MAX('Per Line'!$AI$2:$AI$4001),MATCH(ROWS($X$2:$X1190),'Per Line'!$AI$2:$AI$4001,0),"")</f>
        <v/>
      </c>
    </row>
    <row r="1191" customFormat="false" ht="15" hidden="false" customHeight="false" outlineLevel="0" collapsed="false">
      <c r="A1191" s="19"/>
      <c r="B1191" s="20" t="str">
        <f aca="false">IF($X1191="","",INDEX('Per Line'!$D$2:$D$4001,$X1191))</f>
        <v/>
      </c>
      <c r="C1191" s="20" t="str">
        <f aca="false">IF($X1191="","",INDEX('Per Line'!$C$2:$C$4001,$X1191))</f>
        <v/>
      </c>
      <c r="D1191" s="20" t="str">
        <f aca="false">IF($X1191="","",INDEX('Per Line'!$A$2:$A$4001,$X1191))</f>
        <v/>
      </c>
      <c r="E1191" s="21" t="str">
        <f aca="false">IF($X1191="","",INDEX('Per Line'!$F$2:$F$4001,$X1191))</f>
        <v/>
      </c>
      <c r="F1191" s="20" t="str">
        <f aca="false">IF($X1191="","",INDEX('Per Line'!$G$2:$G$4001,$X1191))</f>
        <v/>
      </c>
      <c r="G1191" s="20" t="str">
        <f aca="false">IF($X1191="","",INDEX('Per Line'!$I$2:$I$4001,$X1191))</f>
        <v/>
      </c>
      <c r="H1191" s="20" t="str">
        <f aca="false">IF($X1191="","",INDEX('Per Line'!$J$2:$J$4001,$X1191))</f>
        <v/>
      </c>
      <c r="I1191" s="20" t="str">
        <f aca="false">IF($X1191="","",INDEX('Per Line'!$K$2:$K$4001,$X1191))</f>
        <v/>
      </c>
      <c r="J1191" s="20" t="str">
        <f aca="false">IF($X1191="","",INDEX('Per Line'!$L$2:$L$4001,$X1191))</f>
        <v/>
      </c>
      <c r="K1191" s="20" t="str">
        <f aca="false">IF($X1191="","",INDEX('Per Line'!$M$2:$M$4001,$X1191))</f>
        <v/>
      </c>
      <c r="L1191" s="22" t="str">
        <f aca="false">IF($X1191="","",K1191*V1191/100)</f>
        <v/>
      </c>
      <c r="M1191" s="20" t="str">
        <f aca="false">IF($X1191="","",INDEX('Per Line'!$Z$2:$Z$4001,$X1191))</f>
        <v/>
      </c>
      <c r="N1191" s="23" t="str">
        <f aca="false">IF($X1191="","",Settings!$C$7)</f>
        <v/>
      </c>
      <c r="O1191" s="22" t="str">
        <f aca="false">IF($X1191="","",SUMIFS('Per Line'!$Y$2:$Y$4001,'Per Line'!$D$2:$D$4001,$B1191,'Per Line'!$AJ$2:$AJ$4001,0))</f>
        <v/>
      </c>
      <c r="P1191" s="22" t="str">
        <f aca="false">IF($X1191="","",O1191*N1191)</f>
        <v/>
      </c>
      <c r="Q1191" s="23" t="str">
        <f aca="false">IF($X1191="","",Settings!$C$6)</f>
        <v/>
      </c>
      <c r="R1191" s="22" t="str">
        <f aca="false">IF($X1191="","",SUMIFS('Per Line'!$Y$2:$Y$4001,'Per Line'!$D$2:$D$4001,$B1191,'Per Line'!$AJ$2:$AJ$4001,1))</f>
        <v/>
      </c>
      <c r="S1191" s="22" t="str">
        <f aca="false">IF($X1191="","",R1191*Q1191)</f>
        <v/>
      </c>
      <c r="T1191" s="22" t="str">
        <f aca="false">IF($X1191="","",S1191+P1191)</f>
        <v/>
      </c>
      <c r="U1191" s="22" t="str">
        <f aca="false">IF($X1191="","",V1191-T1191)</f>
        <v/>
      </c>
      <c r="V1191" s="22" t="str">
        <f aca="false">IF($X1191="","",O1191+R1191)</f>
        <v/>
      </c>
      <c r="W1191" s="22" t="str">
        <f aca="false">IF($X1191="","",U1191-L1191)</f>
        <v/>
      </c>
      <c r="X1191" s="24" t="str">
        <f aca="false">IF(ROWS($X$2:$X1191)&lt;=MAX('Per Line'!$AI$2:$AI$4001),MATCH(ROWS($X$2:$X1191),'Per Line'!$AI$2:$AI$4001,0),"")</f>
        <v/>
      </c>
    </row>
    <row r="1192" customFormat="false" ht="15" hidden="false" customHeight="false" outlineLevel="0" collapsed="false">
      <c r="A1192" s="19"/>
      <c r="B1192" s="20" t="str">
        <f aca="false">IF($X1192="","",INDEX('Per Line'!$D$2:$D$4001,$X1192))</f>
        <v/>
      </c>
      <c r="C1192" s="20" t="str">
        <f aca="false">IF($X1192="","",INDEX('Per Line'!$C$2:$C$4001,$X1192))</f>
        <v/>
      </c>
      <c r="D1192" s="20" t="str">
        <f aca="false">IF($X1192="","",INDEX('Per Line'!$A$2:$A$4001,$X1192))</f>
        <v/>
      </c>
      <c r="E1192" s="21" t="str">
        <f aca="false">IF($X1192="","",INDEX('Per Line'!$F$2:$F$4001,$X1192))</f>
        <v/>
      </c>
      <c r="F1192" s="20" t="str">
        <f aca="false">IF($X1192="","",INDEX('Per Line'!$G$2:$G$4001,$X1192))</f>
        <v/>
      </c>
      <c r="G1192" s="20" t="str">
        <f aca="false">IF($X1192="","",INDEX('Per Line'!$I$2:$I$4001,$X1192))</f>
        <v/>
      </c>
      <c r="H1192" s="20" t="str">
        <f aca="false">IF($X1192="","",INDEX('Per Line'!$J$2:$J$4001,$X1192))</f>
        <v/>
      </c>
      <c r="I1192" s="20" t="str">
        <f aca="false">IF($X1192="","",INDEX('Per Line'!$K$2:$K$4001,$X1192))</f>
        <v/>
      </c>
      <c r="J1192" s="20" t="str">
        <f aca="false">IF($X1192="","",INDEX('Per Line'!$L$2:$L$4001,$X1192))</f>
        <v/>
      </c>
      <c r="K1192" s="20" t="str">
        <f aca="false">IF($X1192="","",INDEX('Per Line'!$M$2:$M$4001,$X1192))</f>
        <v/>
      </c>
      <c r="L1192" s="22" t="str">
        <f aca="false">IF($X1192="","",K1192*V1192/100)</f>
        <v/>
      </c>
      <c r="M1192" s="20" t="str">
        <f aca="false">IF($X1192="","",INDEX('Per Line'!$Z$2:$Z$4001,$X1192))</f>
        <v/>
      </c>
      <c r="N1192" s="23" t="str">
        <f aca="false">IF($X1192="","",Settings!$C$7)</f>
        <v/>
      </c>
      <c r="O1192" s="22" t="str">
        <f aca="false">IF($X1192="","",SUMIFS('Per Line'!$Y$2:$Y$4001,'Per Line'!$D$2:$D$4001,$B1192,'Per Line'!$AJ$2:$AJ$4001,0))</f>
        <v/>
      </c>
      <c r="P1192" s="22" t="str">
        <f aca="false">IF($X1192="","",O1192*N1192)</f>
        <v/>
      </c>
      <c r="Q1192" s="23" t="str">
        <f aca="false">IF($X1192="","",Settings!$C$6)</f>
        <v/>
      </c>
      <c r="R1192" s="22" t="str">
        <f aca="false">IF($X1192="","",SUMIFS('Per Line'!$Y$2:$Y$4001,'Per Line'!$D$2:$D$4001,$B1192,'Per Line'!$AJ$2:$AJ$4001,1))</f>
        <v/>
      </c>
      <c r="S1192" s="22" t="str">
        <f aca="false">IF($X1192="","",R1192*Q1192)</f>
        <v/>
      </c>
      <c r="T1192" s="22" t="str">
        <f aca="false">IF($X1192="","",S1192+P1192)</f>
        <v/>
      </c>
      <c r="U1192" s="22" t="str">
        <f aca="false">IF($X1192="","",V1192-T1192)</f>
        <v/>
      </c>
      <c r="V1192" s="22" t="str">
        <f aca="false">IF($X1192="","",O1192+R1192)</f>
        <v/>
      </c>
      <c r="W1192" s="22" t="str">
        <f aca="false">IF($X1192="","",U1192-L1192)</f>
        <v/>
      </c>
      <c r="X1192" s="24" t="str">
        <f aca="false">IF(ROWS($X$2:$X1192)&lt;=MAX('Per Line'!$AI$2:$AI$4001),MATCH(ROWS($X$2:$X1192),'Per Line'!$AI$2:$AI$4001,0),"")</f>
        <v/>
      </c>
    </row>
    <row r="1193" customFormat="false" ht="15" hidden="false" customHeight="false" outlineLevel="0" collapsed="false">
      <c r="A1193" s="19"/>
      <c r="B1193" s="20" t="str">
        <f aca="false">IF($X1193="","",INDEX('Per Line'!$D$2:$D$4001,$X1193))</f>
        <v/>
      </c>
      <c r="C1193" s="20" t="str">
        <f aca="false">IF($X1193="","",INDEX('Per Line'!$C$2:$C$4001,$X1193))</f>
        <v/>
      </c>
      <c r="D1193" s="20" t="str">
        <f aca="false">IF($X1193="","",INDEX('Per Line'!$A$2:$A$4001,$X1193))</f>
        <v/>
      </c>
      <c r="E1193" s="21" t="str">
        <f aca="false">IF($X1193="","",INDEX('Per Line'!$F$2:$F$4001,$X1193))</f>
        <v/>
      </c>
      <c r="F1193" s="20" t="str">
        <f aca="false">IF($X1193="","",INDEX('Per Line'!$G$2:$G$4001,$X1193))</f>
        <v/>
      </c>
      <c r="G1193" s="20" t="str">
        <f aca="false">IF($X1193="","",INDEX('Per Line'!$I$2:$I$4001,$X1193))</f>
        <v/>
      </c>
      <c r="H1193" s="20" t="str">
        <f aca="false">IF($X1193="","",INDEX('Per Line'!$J$2:$J$4001,$X1193))</f>
        <v/>
      </c>
      <c r="I1193" s="20" t="str">
        <f aca="false">IF($X1193="","",INDEX('Per Line'!$K$2:$K$4001,$X1193))</f>
        <v/>
      </c>
      <c r="J1193" s="20" t="str">
        <f aca="false">IF($X1193="","",INDEX('Per Line'!$L$2:$L$4001,$X1193))</f>
        <v/>
      </c>
      <c r="K1193" s="20" t="str">
        <f aca="false">IF($X1193="","",INDEX('Per Line'!$M$2:$M$4001,$X1193))</f>
        <v/>
      </c>
      <c r="L1193" s="22" t="str">
        <f aca="false">IF($X1193="","",K1193*V1193/100)</f>
        <v/>
      </c>
      <c r="M1193" s="20" t="str">
        <f aca="false">IF($X1193="","",INDEX('Per Line'!$Z$2:$Z$4001,$X1193))</f>
        <v/>
      </c>
      <c r="N1193" s="23" t="str">
        <f aca="false">IF($X1193="","",Settings!$C$7)</f>
        <v/>
      </c>
      <c r="O1193" s="22" t="str">
        <f aca="false">IF($X1193="","",SUMIFS('Per Line'!$Y$2:$Y$4001,'Per Line'!$D$2:$D$4001,$B1193,'Per Line'!$AJ$2:$AJ$4001,0))</f>
        <v/>
      </c>
      <c r="P1193" s="22" t="str">
        <f aca="false">IF($X1193="","",O1193*N1193)</f>
        <v/>
      </c>
      <c r="Q1193" s="23" t="str">
        <f aca="false">IF($X1193="","",Settings!$C$6)</f>
        <v/>
      </c>
      <c r="R1193" s="22" t="str">
        <f aca="false">IF($X1193="","",SUMIFS('Per Line'!$Y$2:$Y$4001,'Per Line'!$D$2:$D$4001,$B1193,'Per Line'!$AJ$2:$AJ$4001,1))</f>
        <v/>
      </c>
      <c r="S1193" s="22" t="str">
        <f aca="false">IF($X1193="","",R1193*Q1193)</f>
        <v/>
      </c>
      <c r="T1193" s="22" t="str">
        <f aca="false">IF($X1193="","",S1193+P1193)</f>
        <v/>
      </c>
      <c r="U1193" s="22" t="str">
        <f aca="false">IF($X1193="","",V1193-T1193)</f>
        <v/>
      </c>
      <c r="V1193" s="22" t="str">
        <f aca="false">IF($X1193="","",O1193+R1193)</f>
        <v/>
      </c>
      <c r="W1193" s="22" t="str">
        <f aca="false">IF($X1193="","",U1193-L1193)</f>
        <v/>
      </c>
      <c r="X1193" s="24" t="str">
        <f aca="false">IF(ROWS($X$2:$X1193)&lt;=MAX('Per Line'!$AI$2:$AI$4001),MATCH(ROWS($X$2:$X1193),'Per Line'!$AI$2:$AI$4001,0),"")</f>
        <v/>
      </c>
    </row>
    <row r="1194" customFormat="false" ht="15" hidden="false" customHeight="false" outlineLevel="0" collapsed="false">
      <c r="A1194" s="19"/>
      <c r="B1194" s="20" t="str">
        <f aca="false">IF($X1194="","",INDEX('Per Line'!$D$2:$D$4001,$X1194))</f>
        <v/>
      </c>
      <c r="C1194" s="20" t="str">
        <f aca="false">IF($X1194="","",INDEX('Per Line'!$C$2:$C$4001,$X1194))</f>
        <v/>
      </c>
      <c r="D1194" s="20" t="str">
        <f aca="false">IF($X1194="","",INDEX('Per Line'!$A$2:$A$4001,$X1194))</f>
        <v/>
      </c>
      <c r="E1194" s="21" t="str">
        <f aca="false">IF($X1194="","",INDEX('Per Line'!$F$2:$F$4001,$X1194))</f>
        <v/>
      </c>
      <c r="F1194" s="20" t="str">
        <f aca="false">IF($X1194="","",INDEX('Per Line'!$G$2:$G$4001,$X1194))</f>
        <v/>
      </c>
      <c r="G1194" s="20" t="str">
        <f aca="false">IF($X1194="","",INDEX('Per Line'!$I$2:$I$4001,$X1194))</f>
        <v/>
      </c>
      <c r="H1194" s="20" t="str">
        <f aca="false">IF($X1194="","",INDEX('Per Line'!$J$2:$J$4001,$X1194))</f>
        <v/>
      </c>
      <c r="I1194" s="20" t="str">
        <f aca="false">IF($X1194="","",INDEX('Per Line'!$K$2:$K$4001,$X1194))</f>
        <v/>
      </c>
      <c r="J1194" s="20" t="str">
        <f aca="false">IF($X1194="","",INDEX('Per Line'!$L$2:$L$4001,$X1194))</f>
        <v/>
      </c>
      <c r="K1194" s="20" t="str">
        <f aca="false">IF($X1194="","",INDEX('Per Line'!$M$2:$M$4001,$X1194))</f>
        <v/>
      </c>
      <c r="L1194" s="22" t="str">
        <f aca="false">IF($X1194="","",K1194*V1194/100)</f>
        <v/>
      </c>
      <c r="M1194" s="20" t="str">
        <f aca="false">IF($X1194="","",INDEX('Per Line'!$Z$2:$Z$4001,$X1194))</f>
        <v/>
      </c>
      <c r="N1194" s="23" t="str">
        <f aca="false">IF($X1194="","",Settings!$C$7)</f>
        <v/>
      </c>
      <c r="O1194" s="22" t="str">
        <f aca="false">IF($X1194="","",SUMIFS('Per Line'!$Y$2:$Y$4001,'Per Line'!$D$2:$D$4001,$B1194,'Per Line'!$AJ$2:$AJ$4001,0))</f>
        <v/>
      </c>
      <c r="P1194" s="22" t="str">
        <f aca="false">IF($X1194="","",O1194*N1194)</f>
        <v/>
      </c>
      <c r="Q1194" s="23" t="str">
        <f aca="false">IF($X1194="","",Settings!$C$6)</f>
        <v/>
      </c>
      <c r="R1194" s="22" t="str">
        <f aca="false">IF($X1194="","",SUMIFS('Per Line'!$Y$2:$Y$4001,'Per Line'!$D$2:$D$4001,$B1194,'Per Line'!$AJ$2:$AJ$4001,1))</f>
        <v/>
      </c>
      <c r="S1194" s="22" t="str">
        <f aca="false">IF($X1194="","",R1194*Q1194)</f>
        <v/>
      </c>
      <c r="T1194" s="22" t="str">
        <f aca="false">IF($X1194="","",S1194+P1194)</f>
        <v/>
      </c>
      <c r="U1194" s="22" t="str">
        <f aca="false">IF($X1194="","",V1194-T1194)</f>
        <v/>
      </c>
      <c r="V1194" s="22" t="str">
        <f aca="false">IF($X1194="","",O1194+R1194)</f>
        <v/>
      </c>
      <c r="W1194" s="22" t="str">
        <f aca="false">IF($X1194="","",U1194-L1194)</f>
        <v/>
      </c>
      <c r="X1194" s="24" t="str">
        <f aca="false">IF(ROWS($X$2:$X1194)&lt;=MAX('Per Line'!$AI$2:$AI$4001),MATCH(ROWS($X$2:$X1194),'Per Line'!$AI$2:$AI$4001,0),"")</f>
        <v/>
      </c>
    </row>
    <row r="1195" customFormat="false" ht="15" hidden="false" customHeight="false" outlineLevel="0" collapsed="false">
      <c r="A1195" s="19"/>
      <c r="B1195" s="20" t="str">
        <f aca="false">IF($X1195="","",INDEX('Per Line'!$D$2:$D$4001,$X1195))</f>
        <v/>
      </c>
      <c r="C1195" s="20" t="str">
        <f aca="false">IF($X1195="","",INDEX('Per Line'!$C$2:$C$4001,$X1195))</f>
        <v/>
      </c>
      <c r="D1195" s="20" t="str">
        <f aca="false">IF($X1195="","",INDEX('Per Line'!$A$2:$A$4001,$X1195))</f>
        <v/>
      </c>
      <c r="E1195" s="21" t="str">
        <f aca="false">IF($X1195="","",INDEX('Per Line'!$F$2:$F$4001,$X1195))</f>
        <v/>
      </c>
      <c r="F1195" s="20" t="str">
        <f aca="false">IF($X1195="","",INDEX('Per Line'!$G$2:$G$4001,$X1195))</f>
        <v/>
      </c>
      <c r="G1195" s="20" t="str">
        <f aca="false">IF($X1195="","",INDEX('Per Line'!$I$2:$I$4001,$X1195))</f>
        <v/>
      </c>
      <c r="H1195" s="20" t="str">
        <f aca="false">IF($X1195="","",INDEX('Per Line'!$J$2:$J$4001,$X1195))</f>
        <v/>
      </c>
      <c r="I1195" s="20" t="str">
        <f aca="false">IF($X1195="","",INDEX('Per Line'!$K$2:$K$4001,$X1195))</f>
        <v/>
      </c>
      <c r="J1195" s="20" t="str">
        <f aca="false">IF($X1195="","",INDEX('Per Line'!$L$2:$L$4001,$X1195))</f>
        <v/>
      </c>
      <c r="K1195" s="20" t="str">
        <f aca="false">IF($X1195="","",INDEX('Per Line'!$M$2:$M$4001,$X1195))</f>
        <v/>
      </c>
      <c r="L1195" s="22" t="str">
        <f aca="false">IF($X1195="","",K1195*V1195/100)</f>
        <v/>
      </c>
      <c r="M1195" s="20" t="str">
        <f aca="false">IF($X1195="","",INDEX('Per Line'!$Z$2:$Z$4001,$X1195))</f>
        <v/>
      </c>
      <c r="N1195" s="23" t="str">
        <f aca="false">IF($X1195="","",Settings!$C$7)</f>
        <v/>
      </c>
      <c r="O1195" s="22" t="str">
        <f aca="false">IF($X1195="","",SUMIFS('Per Line'!$Y$2:$Y$4001,'Per Line'!$D$2:$D$4001,$B1195,'Per Line'!$AJ$2:$AJ$4001,0))</f>
        <v/>
      </c>
      <c r="P1195" s="22" t="str">
        <f aca="false">IF($X1195="","",O1195*N1195)</f>
        <v/>
      </c>
      <c r="Q1195" s="23" t="str">
        <f aca="false">IF($X1195="","",Settings!$C$6)</f>
        <v/>
      </c>
      <c r="R1195" s="22" t="str">
        <f aca="false">IF($X1195="","",SUMIFS('Per Line'!$Y$2:$Y$4001,'Per Line'!$D$2:$D$4001,$B1195,'Per Line'!$AJ$2:$AJ$4001,1))</f>
        <v/>
      </c>
      <c r="S1195" s="22" t="str">
        <f aca="false">IF($X1195="","",R1195*Q1195)</f>
        <v/>
      </c>
      <c r="T1195" s="22" t="str">
        <f aca="false">IF($X1195="","",S1195+P1195)</f>
        <v/>
      </c>
      <c r="U1195" s="22" t="str">
        <f aca="false">IF($X1195="","",V1195-T1195)</f>
        <v/>
      </c>
      <c r="V1195" s="22" t="str">
        <f aca="false">IF($X1195="","",O1195+R1195)</f>
        <v/>
      </c>
      <c r="W1195" s="22" t="str">
        <f aca="false">IF($X1195="","",U1195-L1195)</f>
        <v/>
      </c>
      <c r="X1195" s="24" t="str">
        <f aca="false">IF(ROWS($X$2:$X1195)&lt;=MAX('Per Line'!$AI$2:$AI$4001),MATCH(ROWS($X$2:$X1195),'Per Line'!$AI$2:$AI$4001,0),"")</f>
        <v/>
      </c>
    </row>
    <row r="1196" customFormat="false" ht="15" hidden="false" customHeight="false" outlineLevel="0" collapsed="false">
      <c r="A1196" s="19"/>
      <c r="B1196" s="20" t="str">
        <f aca="false">IF($X1196="","",INDEX('Per Line'!$D$2:$D$4001,$X1196))</f>
        <v/>
      </c>
      <c r="C1196" s="20" t="str">
        <f aca="false">IF($X1196="","",INDEX('Per Line'!$C$2:$C$4001,$X1196))</f>
        <v/>
      </c>
      <c r="D1196" s="20" t="str">
        <f aca="false">IF($X1196="","",INDEX('Per Line'!$A$2:$A$4001,$X1196))</f>
        <v/>
      </c>
      <c r="E1196" s="21" t="str">
        <f aca="false">IF($X1196="","",INDEX('Per Line'!$F$2:$F$4001,$X1196))</f>
        <v/>
      </c>
      <c r="F1196" s="20" t="str">
        <f aca="false">IF($X1196="","",INDEX('Per Line'!$G$2:$G$4001,$X1196))</f>
        <v/>
      </c>
      <c r="G1196" s="20" t="str">
        <f aca="false">IF($X1196="","",INDEX('Per Line'!$I$2:$I$4001,$X1196))</f>
        <v/>
      </c>
      <c r="H1196" s="20" t="str">
        <f aca="false">IF($X1196="","",INDEX('Per Line'!$J$2:$J$4001,$X1196))</f>
        <v/>
      </c>
      <c r="I1196" s="20" t="str">
        <f aca="false">IF($X1196="","",INDEX('Per Line'!$K$2:$K$4001,$X1196))</f>
        <v/>
      </c>
      <c r="J1196" s="20" t="str">
        <f aca="false">IF($X1196="","",INDEX('Per Line'!$L$2:$L$4001,$X1196))</f>
        <v/>
      </c>
      <c r="K1196" s="20" t="str">
        <f aca="false">IF($X1196="","",INDEX('Per Line'!$M$2:$M$4001,$X1196))</f>
        <v/>
      </c>
      <c r="L1196" s="22" t="str">
        <f aca="false">IF($X1196="","",K1196*V1196/100)</f>
        <v/>
      </c>
      <c r="M1196" s="20" t="str">
        <f aca="false">IF($X1196="","",INDEX('Per Line'!$Z$2:$Z$4001,$X1196))</f>
        <v/>
      </c>
      <c r="N1196" s="23" t="str">
        <f aca="false">IF($X1196="","",Settings!$C$7)</f>
        <v/>
      </c>
      <c r="O1196" s="22" t="str">
        <f aca="false">IF($X1196="","",SUMIFS('Per Line'!$Y$2:$Y$4001,'Per Line'!$D$2:$D$4001,$B1196,'Per Line'!$AJ$2:$AJ$4001,0))</f>
        <v/>
      </c>
      <c r="P1196" s="22" t="str">
        <f aca="false">IF($X1196="","",O1196*N1196)</f>
        <v/>
      </c>
      <c r="Q1196" s="23" t="str">
        <f aca="false">IF($X1196="","",Settings!$C$6)</f>
        <v/>
      </c>
      <c r="R1196" s="22" t="str">
        <f aca="false">IF($X1196="","",SUMIFS('Per Line'!$Y$2:$Y$4001,'Per Line'!$D$2:$D$4001,$B1196,'Per Line'!$AJ$2:$AJ$4001,1))</f>
        <v/>
      </c>
      <c r="S1196" s="22" t="str">
        <f aca="false">IF($X1196="","",R1196*Q1196)</f>
        <v/>
      </c>
      <c r="T1196" s="22" t="str">
        <f aca="false">IF($X1196="","",S1196+P1196)</f>
        <v/>
      </c>
      <c r="U1196" s="22" t="str">
        <f aca="false">IF($X1196="","",V1196-T1196)</f>
        <v/>
      </c>
      <c r="V1196" s="22" t="str">
        <f aca="false">IF($X1196="","",O1196+R1196)</f>
        <v/>
      </c>
      <c r="W1196" s="22" t="str">
        <f aca="false">IF($X1196="","",U1196-L1196)</f>
        <v/>
      </c>
      <c r="X1196" s="24" t="str">
        <f aca="false">IF(ROWS($X$2:$X1196)&lt;=MAX('Per Line'!$AI$2:$AI$4001),MATCH(ROWS($X$2:$X1196),'Per Line'!$AI$2:$AI$4001,0),"")</f>
        <v/>
      </c>
    </row>
    <row r="1197" customFormat="false" ht="15" hidden="false" customHeight="false" outlineLevel="0" collapsed="false">
      <c r="A1197" s="19"/>
      <c r="B1197" s="20" t="str">
        <f aca="false">IF($X1197="","",INDEX('Per Line'!$D$2:$D$4001,$X1197))</f>
        <v/>
      </c>
      <c r="C1197" s="20" t="str">
        <f aca="false">IF($X1197="","",INDEX('Per Line'!$C$2:$C$4001,$X1197))</f>
        <v/>
      </c>
      <c r="D1197" s="20" t="str">
        <f aca="false">IF($X1197="","",INDEX('Per Line'!$A$2:$A$4001,$X1197))</f>
        <v/>
      </c>
      <c r="E1197" s="21" t="str">
        <f aca="false">IF($X1197="","",INDEX('Per Line'!$F$2:$F$4001,$X1197))</f>
        <v/>
      </c>
      <c r="F1197" s="20" t="str">
        <f aca="false">IF($X1197="","",INDEX('Per Line'!$G$2:$G$4001,$X1197))</f>
        <v/>
      </c>
      <c r="G1197" s="20" t="str">
        <f aca="false">IF($X1197="","",INDEX('Per Line'!$I$2:$I$4001,$X1197))</f>
        <v/>
      </c>
      <c r="H1197" s="20" t="str">
        <f aca="false">IF($X1197="","",INDEX('Per Line'!$J$2:$J$4001,$X1197))</f>
        <v/>
      </c>
      <c r="I1197" s="20" t="str">
        <f aca="false">IF($X1197="","",INDEX('Per Line'!$K$2:$K$4001,$X1197))</f>
        <v/>
      </c>
      <c r="J1197" s="20" t="str">
        <f aca="false">IF($X1197="","",INDEX('Per Line'!$L$2:$L$4001,$X1197))</f>
        <v/>
      </c>
      <c r="K1197" s="20" t="str">
        <f aca="false">IF($X1197="","",INDEX('Per Line'!$M$2:$M$4001,$X1197))</f>
        <v/>
      </c>
      <c r="L1197" s="22" t="str">
        <f aca="false">IF($X1197="","",K1197*V1197/100)</f>
        <v/>
      </c>
      <c r="M1197" s="20" t="str">
        <f aca="false">IF($X1197="","",INDEX('Per Line'!$Z$2:$Z$4001,$X1197))</f>
        <v/>
      </c>
      <c r="N1197" s="23" t="str">
        <f aca="false">IF($X1197="","",Settings!$C$7)</f>
        <v/>
      </c>
      <c r="O1197" s="22" t="str">
        <f aca="false">IF($X1197="","",SUMIFS('Per Line'!$Y$2:$Y$4001,'Per Line'!$D$2:$D$4001,$B1197,'Per Line'!$AJ$2:$AJ$4001,0))</f>
        <v/>
      </c>
      <c r="P1197" s="22" t="str">
        <f aca="false">IF($X1197="","",O1197*N1197)</f>
        <v/>
      </c>
      <c r="Q1197" s="23" t="str">
        <f aca="false">IF($X1197="","",Settings!$C$6)</f>
        <v/>
      </c>
      <c r="R1197" s="22" t="str">
        <f aca="false">IF($X1197="","",SUMIFS('Per Line'!$Y$2:$Y$4001,'Per Line'!$D$2:$D$4001,$B1197,'Per Line'!$AJ$2:$AJ$4001,1))</f>
        <v/>
      </c>
      <c r="S1197" s="22" t="str">
        <f aca="false">IF($X1197="","",R1197*Q1197)</f>
        <v/>
      </c>
      <c r="T1197" s="22" t="str">
        <f aca="false">IF($X1197="","",S1197+P1197)</f>
        <v/>
      </c>
      <c r="U1197" s="22" t="str">
        <f aca="false">IF($X1197="","",V1197-T1197)</f>
        <v/>
      </c>
      <c r="V1197" s="22" t="str">
        <f aca="false">IF($X1197="","",O1197+R1197)</f>
        <v/>
      </c>
      <c r="W1197" s="22" t="str">
        <f aca="false">IF($X1197="","",U1197-L1197)</f>
        <v/>
      </c>
      <c r="X1197" s="24" t="str">
        <f aca="false">IF(ROWS($X$2:$X1197)&lt;=MAX('Per Line'!$AI$2:$AI$4001),MATCH(ROWS($X$2:$X1197),'Per Line'!$AI$2:$AI$4001,0),"")</f>
        <v/>
      </c>
    </row>
    <row r="1198" customFormat="false" ht="15" hidden="false" customHeight="false" outlineLevel="0" collapsed="false">
      <c r="A1198" s="19"/>
      <c r="B1198" s="20" t="str">
        <f aca="false">IF($X1198="","",INDEX('Per Line'!$D$2:$D$4001,$X1198))</f>
        <v/>
      </c>
      <c r="C1198" s="20" t="str">
        <f aca="false">IF($X1198="","",INDEX('Per Line'!$C$2:$C$4001,$X1198))</f>
        <v/>
      </c>
      <c r="D1198" s="20" t="str">
        <f aca="false">IF($X1198="","",INDEX('Per Line'!$A$2:$A$4001,$X1198))</f>
        <v/>
      </c>
      <c r="E1198" s="21" t="str">
        <f aca="false">IF($X1198="","",INDEX('Per Line'!$F$2:$F$4001,$X1198))</f>
        <v/>
      </c>
      <c r="F1198" s="20" t="str">
        <f aca="false">IF($X1198="","",INDEX('Per Line'!$G$2:$G$4001,$X1198))</f>
        <v/>
      </c>
      <c r="G1198" s="20" t="str">
        <f aca="false">IF($X1198="","",INDEX('Per Line'!$I$2:$I$4001,$X1198))</f>
        <v/>
      </c>
      <c r="H1198" s="20" t="str">
        <f aca="false">IF($X1198="","",INDEX('Per Line'!$J$2:$J$4001,$X1198))</f>
        <v/>
      </c>
      <c r="I1198" s="20" t="str">
        <f aca="false">IF($X1198="","",INDEX('Per Line'!$K$2:$K$4001,$X1198))</f>
        <v/>
      </c>
      <c r="J1198" s="20" t="str">
        <f aca="false">IF($X1198="","",INDEX('Per Line'!$L$2:$L$4001,$X1198))</f>
        <v/>
      </c>
      <c r="K1198" s="20" t="str">
        <f aca="false">IF($X1198="","",INDEX('Per Line'!$M$2:$M$4001,$X1198))</f>
        <v/>
      </c>
      <c r="L1198" s="22" t="str">
        <f aca="false">IF($X1198="","",K1198*V1198/100)</f>
        <v/>
      </c>
      <c r="M1198" s="20" t="str">
        <f aca="false">IF($X1198="","",INDEX('Per Line'!$Z$2:$Z$4001,$X1198))</f>
        <v/>
      </c>
      <c r="N1198" s="23" t="str">
        <f aca="false">IF($X1198="","",Settings!$C$7)</f>
        <v/>
      </c>
      <c r="O1198" s="22" t="str">
        <f aca="false">IF($X1198="","",SUMIFS('Per Line'!$Y$2:$Y$4001,'Per Line'!$D$2:$D$4001,$B1198,'Per Line'!$AJ$2:$AJ$4001,0))</f>
        <v/>
      </c>
      <c r="P1198" s="22" t="str">
        <f aca="false">IF($X1198="","",O1198*N1198)</f>
        <v/>
      </c>
      <c r="Q1198" s="23" t="str">
        <f aca="false">IF($X1198="","",Settings!$C$6)</f>
        <v/>
      </c>
      <c r="R1198" s="22" t="str">
        <f aca="false">IF($X1198="","",SUMIFS('Per Line'!$Y$2:$Y$4001,'Per Line'!$D$2:$D$4001,$B1198,'Per Line'!$AJ$2:$AJ$4001,1))</f>
        <v/>
      </c>
      <c r="S1198" s="22" t="str">
        <f aca="false">IF($X1198="","",R1198*Q1198)</f>
        <v/>
      </c>
      <c r="T1198" s="22" t="str">
        <f aca="false">IF($X1198="","",S1198+P1198)</f>
        <v/>
      </c>
      <c r="U1198" s="22" t="str">
        <f aca="false">IF($X1198="","",V1198-T1198)</f>
        <v/>
      </c>
      <c r="V1198" s="22" t="str">
        <f aca="false">IF($X1198="","",O1198+R1198)</f>
        <v/>
      </c>
      <c r="W1198" s="22" t="str">
        <f aca="false">IF($X1198="","",U1198-L1198)</f>
        <v/>
      </c>
      <c r="X1198" s="24" t="str">
        <f aca="false">IF(ROWS($X$2:$X1198)&lt;=MAX('Per Line'!$AI$2:$AI$4001),MATCH(ROWS($X$2:$X1198),'Per Line'!$AI$2:$AI$4001,0),"")</f>
        <v/>
      </c>
    </row>
    <row r="1199" customFormat="false" ht="15" hidden="false" customHeight="false" outlineLevel="0" collapsed="false">
      <c r="A1199" s="19"/>
      <c r="B1199" s="20" t="str">
        <f aca="false">IF($X1199="","",INDEX('Per Line'!$D$2:$D$4001,$X1199))</f>
        <v/>
      </c>
      <c r="C1199" s="20" t="str">
        <f aca="false">IF($X1199="","",INDEX('Per Line'!$C$2:$C$4001,$X1199))</f>
        <v/>
      </c>
      <c r="D1199" s="20" t="str">
        <f aca="false">IF($X1199="","",INDEX('Per Line'!$A$2:$A$4001,$X1199))</f>
        <v/>
      </c>
      <c r="E1199" s="21" t="str">
        <f aca="false">IF($X1199="","",INDEX('Per Line'!$F$2:$F$4001,$X1199))</f>
        <v/>
      </c>
      <c r="F1199" s="20" t="str">
        <f aca="false">IF($X1199="","",INDEX('Per Line'!$G$2:$G$4001,$X1199))</f>
        <v/>
      </c>
      <c r="G1199" s="20" t="str">
        <f aca="false">IF($X1199="","",INDEX('Per Line'!$I$2:$I$4001,$X1199))</f>
        <v/>
      </c>
      <c r="H1199" s="20" t="str">
        <f aca="false">IF($X1199="","",INDEX('Per Line'!$J$2:$J$4001,$X1199))</f>
        <v/>
      </c>
      <c r="I1199" s="20" t="str">
        <f aca="false">IF($X1199="","",INDEX('Per Line'!$K$2:$K$4001,$X1199))</f>
        <v/>
      </c>
      <c r="J1199" s="20" t="str">
        <f aca="false">IF($X1199="","",INDEX('Per Line'!$L$2:$L$4001,$X1199))</f>
        <v/>
      </c>
      <c r="K1199" s="20" t="str">
        <f aca="false">IF($X1199="","",INDEX('Per Line'!$M$2:$M$4001,$X1199))</f>
        <v/>
      </c>
      <c r="L1199" s="22" t="str">
        <f aca="false">IF($X1199="","",K1199*V1199/100)</f>
        <v/>
      </c>
      <c r="M1199" s="20" t="str">
        <f aca="false">IF($X1199="","",INDEX('Per Line'!$Z$2:$Z$4001,$X1199))</f>
        <v/>
      </c>
      <c r="N1199" s="23" t="str">
        <f aca="false">IF($X1199="","",Settings!$C$7)</f>
        <v/>
      </c>
      <c r="O1199" s="22" t="str">
        <f aca="false">IF($X1199="","",SUMIFS('Per Line'!$Y$2:$Y$4001,'Per Line'!$D$2:$D$4001,$B1199,'Per Line'!$AJ$2:$AJ$4001,0))</f>
        <v/>
      </c>
      <c r="P1199" s="22" t="str">
        <f aca="false">IF($X1199="","",O1199*N1199)</f>
        <v/>
      </c>
      <c r="Q1199" s="23" t="str">
        <f aca="false">IF($X1199="","",Settings!$C$6)</f>
        <v/>
      </c>
      <c r="R1199" s="22" t="str">
        <f aca="false">IF($X1199="","",SUMIFS('Per Line'!$Y$2:$Y$4001,'Per Line'!$D$2:$D$4001,$B1199,'Per Line'!$AJ$2:$AJ$4001,1))</f>
        <v/>
      </c>
      <c r="S1199" s="22" t="str">
        <f aca="false">IF($X1199="","",R1199*Q1199)</f>
        <v/>
      </c>
      <c r="T1199" s="22" t="str">
        <f aca="false">IF($X1199="","",S1199+P1199)</f>
        <v/>
      </c>
      <c r="U1199" s="22" t="str">
        <f aca="false">IF($X1199="","",V1199-T1199)</f>
        <v/>
      </c>
      <c r="V1199" s="22" t="str">
        <f aca="false">IF($X1199="","",O1199+R1199)</f>
        <v/>
      </c>
      <c r="W1199" s="22" t="str">
        <f aca="false">IF($X1199="","",U1199-L1199)</f>
        <v/>
      </c>
      <c r="X1199" s="24" t="str">
        <f aca="false">IF(ROWS($X$2:$X1199)&lt;=MAX('Per Line'!$AI$2:$AI$4001),MATCH(ROWS($X$2:$X1199),'Per Line'!$AI$2:$AI$4001,0),"")</f>
        <v/>
      </c>
    </row>
    <row r="1200" customFormat="false" ht="15" hidden="false" customHeight="false" outlineLevel="0" collapsed="false">
      <c r="A1200" s="19"/>
      <c r="B1200" s="20" t="str">
        <f aca="false">IF($X1200="","",INDEX('Per Line'!$D$2:$D$4001,$X1200))</f>
        <v/>
      </c>
      <c r="C1200" s="20" t="str">
        <f aca="false">IF($X1200="","",INDEX('Per Line'!$C$2:$C$4001,$X1200))</f>
        <v/>
      </c>
      <c r="D1200" s="20" t="str">
        <f aca="false">IF($X1200="","",INDEX('Per Line'!$A$2:$A$4001,$X1200))</f>
        <v/>
      </c>
      <c r="E1200" s="21" t="str">
        <f aca="false">IF($X1200="","",INDEX('Per Line'!$F$2:$F$4001,$X1200))</f>
        <v/>
      </c>
      <c r="F1200" s="20" t="str">
        <f aca="false">IF($X1200="","",INDEX('Per Line'!$G$2:$G$4001,$X1200))</f>
        <v/>
      </c>
      <c r="G1200" s="20" t="str">
        <f aca="false">IF($X1200="","",INDEX('Per Line'!$I$2:$I$4001,$X1200))</f>
        <v/>
      </c>
      <c r="H1200" s="20" t="str">
        <f aca="false">IF($X1200="","",INDEX('Per Line'!$J$2:$J$4001,$X1200))</f>
        <v/>
      </c>
      <c r="I1200" s="20" t="str">
        <f aca="false">IF($X1200="","",INDEX('Per Line'!$K$2:$K$4001,$X1200))</f>
        <v/>
      </c>
      <c r="J1200" s="20" t="str">
        <f aca="false">IF($X1200="","",INDEX('Per Line'!$L$2:$L$4001,$X1200))</f>
        <v/>
      </c>
      <c r="K1200" s="20" t="str">
        <f aca="false">IF($X1200="","",INDEX('Per Line'!$M$2:$M$4001,$X1200))</f>
        <v/>
      </c>
      <c r="L1200" s="22" t="str">
        <f aca="false">IF($X1200="","",K1200*V1200/100)</f>
        <v/>
      </c>
      <c r="M1200" s="20" t="str">
        <f aca="false">IF($X1200="","",INDEX('Per Line'!$Z$2:$Z$4001,$X1200))</f>
        <v/>
      </c>
      <c r="N1200" s="23" t="str">
        <f aca="false">IF($X1200="","",Settings!$C$7)</f>
        <v/>
      </c>
      <c r="O1200" s="22" t="str">
        <f aca="false">IF($X1200="","",SUMIFS('Per Line'!$Y$2:$Y$4001,'Per Line'!$D$2:$D$4001,$B1200,'Per Line'!$AJ$2:$AJ$4001,0))</f>
        <v/>
      </c>
      <c r="P1200" s="22" t="str">
        <f aca="false">IF($X1200="","",O1200*N1200)</f>
        <v/>
      </c>
      <c r="Q1200" s="23" t="str">
        <f aca="false">IF($X1200="","",Settings!$C$6)</f>
        <v/>
      </c>
      <c r="R1200" s="22" t="str">
        <f aca="false">IF($X1200="","",SUMIFS('Per Line'!$Y$2:$Y$4001,'Per Line'!$D$2:$D$4001,$B1200,'Per Line'!$AJ$2:$AJ$4001,1))</f>
        <v/>
      </c>
      <c r="S1200" s="22" t="str">
        <f aca="false">IF($X1200="","",R1200*Q1200)</f>
        <v/>
      </c>
      <c r="T1200" s="22" t="str">
        <f aca="false">IF($X1200="","",S1200+P1200)</f>
        <v/>
      </c>
      <c r="U1200" s="22" t="str">
        <f aca="false">IF($X1200="","",V1200-T1200)</f>
        <v/>
      </c>
      <c r="V1200" s="22" t="str">
        <f aca="false">IF($X1200="","",O1200+R1200)</f>
        <v/>
      </c>
      <c r="W1200" s="22" t="str">
        <f aca="false">IF($X1200="","",U1200-L1200)</f>
        <v/>
      </c>
      <c r="X1200" s="24" t="str">
        <f aca="false">IF(ROWS($X$2:$X1200)&lt;=MAX('Per Line'!$AI$2:$AI$4001),MATCH(ROWS($X$2:$X1200),'Per Line'!$AI$2:$AI$4001,0),"")</f>
        <v/>
      </c>
    </row>
    <row r="1201" customFormat="false" ht="15" hidden="false" customHeight="false" outlineLevel="0" collapsed="false">
      <c r="A1201" s="19"/>
      <c r="B1201" s="20" t="str">
        <f aca="false">IF($X1201="","",INDEX('Per Line'!$D$2:$D$4001,$X1201))</f>
        <v/>
      </c>
      <c r="C1201" s="20" t="str">
        <f aca="false">IF($X1201="","",INDEX('Per Line'!$C$2:$C$4001,$X1201))</f>
        <v/>
      </c>
      <c r="D1201" s="20" t="str">
        <f aca="false">IF($X1201="","",INDEX('Per Line'!$A$2:$A$4001,$X1201))</f>
        <v/>
      </c>
      <c r="E1201" s="21" t="str">
        <f aca="false">IF($X1201="","",INDEX('Per Line'!$F$2:$F$4001,$X1201))</f>
        <v/>
      </c>
      <c r="F1201" s="20" t="str">
        <f aca="false">IF($X1201="","",INDEX('Per Line'!$G$2:$G$4001,$X1201))</f>
        <v/>
      </c>
      <c r="G1201" s="20" t="str">
        <f aca="false">IF($X1201="","",INDEX('Per Line'!$I$2:$I$4001,$X1201))</f>
        <v/>
      </c>
      <c r="H1201" s="20" t="str">
        <f aca="false">IF($X1201="","",INDEX('Per Line'!$J$2:$J$4001,$X1201))</f>
        <v/>
      </c>
      <c r="I1201" s="20" t="str">
        <f aca="false">IF($X1201="","",INDEX('Per Line'!$K$2:$K$4001,$X1201))</f>
        <v/>
      </c>
      <c r="J1201" s="20" t="str">
        <f aca="false">IF($X1201="","",INDEX('Per Line'!$L$2:$L$4001,$X1201))</f>
        <v/>
      </c>
      <c r="K1201" s="20" t="str">
        <f aca="false">IF($X1201="","",INDEX('Per Line'!$M$2:$M$4001,$X1201))</f>
        <v/>
      </c>
      <c r="L1201" s="22" t="str">
        <f aca="false">IF($X1201="","",K1201*V1201/100)</f>
        <v/>
      </c>
      <c r="M1201" s="20" t="str">
        <f aca="false">IF($X1201="","",INDEX('Per Line'!$Z$2:$Z$4001,$X1201))</f>
        <v/>
      </c>
      <c r="N1201" s="23" t="str">
        <f aca="false">IF($X1201="","",Settings!$C$7)</f>
        <v/>
      </c>
      <c r="O1201" s="22" t="str">
        <f aca="false">IF($X1201="","",SUMIFS('Per Line'!$Y$2:$Y$4001,'Per Line'!$D$2:$D$4001,$B1201,'Per Line'!$AJ$2:$AJ$4001,0))</f>
        <v/>
      </c>
      <c r="P1201" s="22" t="str">
        <f aca="false">IF($X1201="","",O1201*N1201)</f>
        <v/>
      </c>
      <c r="Q1201" s="23" t="str">
        <f aca="false">IF($X1201="","",Settings!$C$6)</f>
        <v/>
      </c>
      <c r="R1201" s="22" t="str">
        <f aca="false">IF($X1201="","",SUMIFS('Per Line'!$Y$2:$Y$4001,'Per Line'!$D$2:$D$4001,$B1201,'Per Line'!$AJ$2:$AJ$4001,1))</f>
        <v/>
      </c>
      <c r="S1201" s="22" t="str">
        <f aca="false">IF($X1201="","",R1201*Q1201)</f>
        <v/>
      </c>
      <c r="T1201" s="22" t="str">
        <f aca="false">IF($X1201="","",S1201+P1201)</f>
        <v/>
      </c>
      <c r="U1201" s="22" t="str">
        <f aca="false">IF($X1201="","",V1201-T1201)</f>
        <v/>
      </c>
      <c r="V1201" s="22" t="str">
        <f aca="false">IF($X1201="","",O1201+R1201)</f>
        <v/>
      </c>
      <c r="W1201" s="22" t="str">
        <f aca="false">IF($X1201="","",U1201-L1201)</f>
        <v/>
      </c>
      <c r="X1201" s="24" t="str">
        <f aca="false">IF(ROWS($X$2:$X1201)&lt;=MAX('Per Line'!$AI$2:$AI$4001),MATCH(ROWS($X$2:$X1201),'Per Line'!$AI$2:$AI$4001,0),"")</f>
        <v/>
      </c>
    </row>
    <row r="1202" customFormat="false" ht="15" hidden="false" customHeight="false" outlineLevel="0" collapsed="false">
      <c r="A1202" s="19"/>
      <c r="B1202" s="20" t="str">
        <f aca="false">IF($X1202="","",INDEX('Per Line'!$D$2:$D$4001,$X1202))</f>
        <v/>
      </c>
      <c r="C1202" s="20" t="str">
        <f aca="false">IF($X1202="","",INDEX('Per Line'!$C$2:$C$4001,$X1202))</f>
        <v/>
      </c>
      <c r="D1202" s="20" t="str">
        <f aca="false">IF($X1202="","",INDEX('Per Line'!$A$2:$A$4001,$X1202))</f>
        <v/>
      </c>
      <c r="E1202" s="21" t="str">
        <f aca="false">IF($X1202="","",INDEX('Per Line'!$F$2:$F$4001,$X1202))</f>
        <v/>
      </c>
      <c r="F1202" s="20" t="str">
        <f aca="false">IF($X1202="","",INDEX('Per Line'!$G$2:$G$4001,$X1202))</f>
        <v/>
      </c>
      <c r="G1202" s="20" t="str">
        <f aca="false">IF($X1202="","",INDEX('Per Line'!$I$2:$I$4001,$X1202))</f>
        <v/>
      </c>
      <c r="H1202" s="20" t="str">
        <f aca="false">IF($X1202="","",INDEX('Per Line'!$J$2:$J$4001,$X1202))</f>
        <v/>
      </c>
      <c r="I1202" s="20" t="str">
        <f aca="false">IF($X1202="","",INDEX('Per Line'!$K$2:$K$4001,$X1202))</f>
        <v/>
      </c>
      <c r="J1202" s="20" t="str">
        <f aca="false">IF($X1202="","",INDEX('Per Line'!$L$2:$L$4001,$X1202))</f>
        <v/>
      </c>
      <c r="K1202" s="20" t="str">
        <f aca="false">IF($X1202="","",INDEX('Per Line'!$M$2:$M$4001,$X1202))</f>
        <v/>
      </c>
      <c r="L1202" s="22" t="str">
        <f aca="false">IF($X1202="","",K1202*V1202/100)</f>
        <v/>
      </c>
      <c r="M1202" s="20" t="str">
        <f aca="false">IF($X1202="","",INDEX('Per Line'!$Z$2:$Z$4001,$X1202))</f>
        <v/>
      </c>
      <c r="N1202" s="23" t="str">
        <f aca="false">IF($X1202="","",Settings!$C$7)</f>
        <v/>
      </c>
      <c r="O1202" s="22" t="str">
        <f aca="false">IF($X1202="","",SUMIFS('Per Line'!$Y$2:$Y$4001,'Per Line'!$D$2:$D$4001,$B1202,'Per Line'!$AJ$2:$AJ$4001,0))</f>
        <v/>
      </c>
      <c r="P1202" s="22" t="str">
        <f aca="false">IF($X1202="","",O1202*N1202)</f>
        <v/>
      </c>
      <c r="Q1202" s="23" t="str">
        <f aca="false">IF($X1202="","",Settings!$C$6)</f>
        <v/>
      </c>
      <c r="R1202" s="22" t="str">
        <f aca="false">IF($X1202="","",SUMIFS('Per Line'!$Y$2:$Y$4001,'Per Line'!$D$2:$D$4001,$B1202,'Per Line'!$AJ$2:$AJ$4001,1))</f>
        <v/>
      </c>
      <c r="S1202" s="22" t="str">
        <f aca="false">IF($X1202="","",R1202*Q1202)</f>
        <v/>
      </c>
      <c r="T1202" s="22" t="str">
        <f aca="false">IF($X1202="","",S1202+P1202)</f>
        <v/>
      </c>
      <c r="U1202" s="22" t="str">
        <f aca="false">IF($X1202="","",V1202-T1202)</f>
        <v/>
      </c>
      <c r="V1202" s="22" t="str">
        <f aca="false">IF($X1202="","",O1202+R1202)</f>
        <v/>
      </c>
      <c r="W1202" s="22" t="str">
        <f aca="false">IF($X1202="","",U1202-L1202)</f>
        <v/>
      </c>
      <c r="X1202" s="24" t="str">
        <f aca="false">IF(ROWS($X$2:$X1202)&lt;=MAX('Per Line'!$AI$2:$AI$4001),MATCH(ROWS($X$2:$X1202),'Per Line'!$AI$2:$AI$4001,0),"")</f>
        <v/>
      </c>
    </row>
    <row r="1203" customFormat="false" ht="15" hidden="false" customHeight="false" outlineLevel="0" collapsed="false">
      <c r="A1203" s="19"/>
      <c r="B1203" s="20" t="str">
        <f aca="false">IF($X1203="","",INDEX('Per Line'!$D$2:$D$4001,$X1203))</f>
        <v/>
      </c>
      <c r="C1203" s="20" t="str">
        <f aca="false">IF($X1203="","",INDEX('Per Line'!$C$2:$C$4001,$X1203))</f>
        <v/>
      </c>
      <c r="D1203" s="20" t="str">
        <f aca="false">IF($X1203="","",INDEX('Per Line'!$A$2:$A$4001,$X1203))</f>
        <v/>
      </c>
      <c r="E1203" s="21" t="str">
        <f aca="false">IF($X1203="","",INDEX('Per Line'!$F$2:$F$4001,$X1203))</f>
        <v/>
      </c>
      <c r="F1203" s="20" t="str">
        <f aca="false">IF($X1203="","",INDEX('Per Line'!$G$2:$G$4001,$X1203))</f>
        <v/>
      </c>
      <c r="G1203" s="20" t="str">
        <f aca="false">IF($X1203="","",INDEX('Per Line'!$I$2:$I$4001,$X1203))</f>
        <v/>
      </c>
      <c r="H1203" s="20" t="str">
        <f aca="false">IF($X1203="","",INDEX('Per Line'!$J$2:$J$4001,$X1203))</f>
        <v/>
      </c>
      <c r="I1203" s="20" t="str">
        <f aca="false">IF($X1203="","",INDEX('Per Line'!$K$2:$K$4001,$X1203))</f>
        <v/>
      </c>
      <c r="J1203" s="20" t="str">
        <f aca="false">IF($X1203="","",INDEX('Per Line'!$L$2:$L$4001,$X1203))</f>
        <v/>
      </c>
      <c r="K1203" s="20" t="str">
        <f aca="false">IF($X1203="","",INDEX('Per Line'!$M$2:$M$4001,$X1203))</f>
        <v/>
      </c>
      <c r="L1203" s="22" t="str">
        <f aca="false">IF($X1203="","",K1203*V1203/100)</f>
        <v/>
      </c>
      <c r="M1203" s="20" t="str">
        <f aca="false">IF($X1203="","",INDEX('Per Line'!$Z$2:$Z$4001,$X1203))</f>
        <v/>
      </c>
      <c r="N1203" s="23" t="str">
        <f aca="false">IF($X1203="","",Settings!$C$7)</f>
        <v/>
      </c>
      <c r="O1203" s="22" t="str">
        <f aca="false">IF($X1203="","",SUMIFS('Per Line'!$Y$2:$Y$4001,'Per Line'!$D$2:$D$4001,$B1203,'Per Line'!$AJ$2:$AJ$4001,0))</f>
        <v/>
      </c>
      <c r="P1203" s="22" t="str">
        <f aca="false">IF($X1203="","",O1203*N1203)</f>
        <v/>
      </c>
      <c r="Q1203" s="23" t="str">
        <f aca="false">IF($X1203="","",Settings!$C$6)</f>
        <v/>
      </c>
      <c r="R1203" s="22" t="str">
        <f aca="false">IF($X1203="","",SUMIFS('Per Line'!$Y$2:$Y$4001,'Per Line'!$D$2:$D$4001,$B1203,'Per Line'!$AJ$2:$AJ$4001,1))</f>
        <v/>
      </c>
      <c r="S1203" s="22" t="str">
        <f aca="false">IF($X1203="","",R1203*Q1203)</f>
        <v/>
      </c>
      <c r="T1203" s="22" t="str">
        <f aca="false">IF($X1203="","",S1203+P1203)</f>
        <v/>
      </c>
      <c r="U1203" s="22" t="str">
        <f aca="false">IF($X1203="","",V1203-T1203)</f>
        <v/>
      </c>
      <c r="V1203" s="22" t="str">
        <f aca="false">IF($X1203="","",O1203+R1203)</f>
        <v/>
      </c>
      <c r="W1203" s="22" t="str">
        <f aca="false">IF($X1203="","",U1203-L1203)</f>
        <v/>
      </c>
      <c r="X1203" s="24" t="str">
        <f aca="false">IF(ROWS($X$2:$X1203)&lt;=MAX('Per Line'!$AI$2:$AI$4001),MATCH(ROWS($X$2:$X1203),'Per Line'!$AI$2:$AI$4001,0),"")</f>
        <v/>
      </c>
    </row>
    <row r="1204" customFormat="false" ht="15" hidden="false" customHeight="false" outlineLevel="0" collapsed="false">
      <c r="A1204" s="19"/>
      <c r="B1204" s="20" t="str">
        <f aca="false">IF($X1204="","",INDEX('Per Line'!$D$2:$D$4001,$X1204))</f>
        <v/>
      </c>
      <c r="C1204" s="20" t="str">
        <f aca="false">IF($X1204="","",INDEX('Per Line'!$C$2:$C$4001,$X1204))</f>
        <v/>
      </c>
      <c r="D1204" s="20" t="str">
        <f aca="false">IF($X1204="","",INDEX('Per Line'!$A$2:$A$4001,$X1204))</f>
        <v/>
      </c>
      <c r="E1204" s="21" t="str">
        <f aca="false">IF($X1204="","",INDEX('Per Line'!$F$2:$F$4001,$X1204))</f>
        <v/>
      </c>
      <c r="F1204" s="20" t="str">
        <f aca="false">IF($X1204="","",INDEX('Per Line'!$G$2:$G$4001,$X1204))</f>
        <v/>
      </c>
      <c r="G1204" s="20" t="str">
        <f aca="false">IF($X1204="","",INDEX('Per Line'!$I$2:$I$4001,$X1204))</f>
        <v/>
      </c>
      <c r="H1204" s="20" t="str">
        <f aca="false">IF($X1204="","",INDEX('Per Line'!$J$2:$J$4001,$X1204))</f>
        <v/>
      </c>
      <c r="I1204" s="20" t="str">
        <f aca="false">IF($X1204="","",INDEX('Per Line'!$K$2:$K$4001,$X1204))</f>
        <v/>
      </c>
      <c r="J1204" s="20" t="str">
        <f aca="false">IF($X1204="","",INDEX('Per Line'!$L$2:$L$4001,$X1204))</f>
        <v/>
      </c>
      <c r="K1204" s="20" t="str">
        <f aca="false">IF($X1204="","",INDEX('Per Line'!$M$2:$M$4001,$X1204))</f>
        <v/>
      </c>
      <c r="L1204" s="22" t="str">
        <f aca="false">IF($X1204="","",K1204*V1204/100)</f>
        <v/>
      </c>
      <c r="M1204" s="20" t="str">
        <f aca="false">IF($X1204="","",INDEX('Per Line'!$Z$2:$Z$4001,$X1204))</f>
        <v/>
      </c>
      <c r="N1204" s="23" t="str">
        <f aca="false">IF($X1204="","",Settings!$C$7)</f>
        <v/>
      </c>
      <c r="O1204" s="22" t="str">
        <f aca="false">IF($X1204="","",SUMIFS('Per Line'!$Y$2:$Y$4001,'Per Line'!$D$2:$D$4001,$B1204,'Per Line'!$AJ$2:$AJ$4001,0))</f>
        <v/>
      </c>
      <c r="P1204" s="22" t="str">
        <f aca="false">IF($X1204="","",O1204*N1204)</f>
        <v/>
      </c>
      <c r="Q1204" s="23" t="str">
        <f aca="false">IF($X1204="","",Settings!$C$6)</f>
        <v/>
      </c>
      <c r="R1204" s="22" t="str">
        <f aca="false">IF($X1204="","",SUMIFS('Per Line'!$Y$2:$Y$4001,'Per Line'!$D$2:$D$4001,$B1204,'Per Line'!$AJ$2:$AJ$4001,1))</f>
        <v/>
      </c>
      <c r="S1204" s="22" t="str">
        <f aca="false">IF($X1204="","",R1204*Q1204)</f>
        <v/>
      </c>
      <c r="T1204" s="22" t="str">
        <f aca="false">IF($X1204="","",S1204+P1204)</f>
        <v/>
      </c>
      <c r="U1204" s="22" t="str">
        <f aca="false">IF($X1204="","",V1204-T1204)</f>
        <v/>
      </c>
      <c r="V1204" s="22" t="str">
        <f aca="false">IF($X1204="","",O1204+R1204)</f>
        <v/>
      </c>
      <c r="W1204" s="22" t="str">
        <f aca="false">IF($X1204="","",U1204-L1204)</f>
        <v/>
      </c>
      <c r="X1204" s="24" t="str">
        <f aca="false">IF(ROWS($X$2:$X1204)&lt;=MAX('Per Line'!$AI$2:$AI$4001),MATCH(ROWS($X$2:$X1204),'Per Line'!$AI$2:$AI$4001,0),"")</f>
        <v/>
      </c>
    </row>
    <row r="1205" customFormat="false" ht="15" hidden="false" customHeight="false" outlineLevel="0" collapsed="false">
      <c r="A1205" s="19"/>
      <c r="B1205" s="20" t="str">
        <f aca="false">IF($X1205="","",INDEX('Per Line'!$D$2:$D$4001,$X1205))</f>
        <v/>
      </c>
      <c r="C1205" s="20" t="str">
        <f aca="false">IF($X1205="","",INDEX('Per Line'!$C$2:$C$4001,$X1205))</f>
        <v/>
      </c>
      <c r="D1205" s="20" t="str">
        <f aca="false">IF($X1205="","",INDEX('Per Line'!$A$2:$A$4001,$X1205))</f>
        <v/>
      </c>
      <c r="E1205" s="21" t="str">
        <f aca="false">IF($X1205="","",INDEX('Per Line'!$F$2:$F$4001,$X1205))</f>
        <v/>
      </c>
      <c r="F1205" s="20" t="str">
        <f aca="false">IF($X1205="","",INDEX('Per Line'!$G$2:$G$4001,$X1205))</f>
        <v/>
      </c>
      <c r="G1205" s="20" t="str">
        <f aca="false">IF($X1205="","",INDEX('Per Line'!$I$2:$I$4001,$X1205))</f>
        <v/>
      </c>
      <c r="H1205" s="20" t="str">
        <f aca="false">IF($X1205="","",INDEX('Per Line'!$J$2:$J$4001,$X1205))</f>
        <v/>
      </c>
      <c r="I1205" s="20" t="str">
        <f aca="false">IF($X1205="","",INDEX('Per Line'!$K$2:$K$4001,$X1205))</f>
        <v/>
      </c>
      <c r="J1205" s="20" t="str">
        <f aca="false">IF($X1205="","",INDEX('Per Line'!$L$2:$L$4001,$X1205))</f>
        <v/>
      </c>
      <c r="K1205" s="20" t="str">
        <f aca="false">IF($X1205="","",INDEX('Per Line'!$M$2:$M$4001,$X1205))</f>
        <v/>
      </c>
      <c r="L1205" s="22" t="str">
        <f aca="false">IF($X1205="","",K1205*V1205/100)</f>
        <v/>
      </c>
      <c r="M1205" s="20" t="str">
        <f aca="false">IF($X1205="","",INDEX('Per Line'!$Z$2:$Z$4001,$X1205))</f>
        <v/>
      </c>
      <c r="N1205" s="23" t="str">
        <f aca="false">IF($X1205="","",Settings!$C$7)</f>
        <v/>
      </c>
      <c r="O1205" s="22" t="str">
        <f aca="false">IF($X1205="","",SUMIFS('Per Line'!$Y$2:$Y$4001,'Per Line'!$D$2:$D$4001,$B1205,'Per Line'!$AJ$2:$AJ$4001,0))</f>
        <v/>
      </c>
      <c r="P1205" s="22" t="str">
        <f aca="false">IF($X1205="","",O1205*N1205)</f>
        <v/>
      </c>
      <c r="Q1205" s="23" t="str">
        <f aca="false">IF($X1205="","",Settings!$C$6)</f>
        <v/>
      </c>
      <c r="R1205" s="22" t="str">
        <f aca="false">IF($X1205="","",SUMIFS('Per Line'!$Y$2:$Y$4001,'Per Line'!$D$2:$D$4001,$B1205,'Per Line'!$AJ$2:$AJ$4001,1))</f>
        <v/>
      </c>
      <c r="S1205" s="22" t="str">
        <f aca="false">IF($X1205="","",R1205*Q1205)</f>
        <v/>
      </c>
      <c r="T1205" s="22" t="str">
        <f aca="false">IF($X1205="","",S1205+P1205)</f>
        <v/>
      </c>
      <c r="U1205" s="22" t="str">
        <f aca="false">IF($X1205="","",V1205-T1205)</f>
        <v/>
      </c>
      <c r="V1205" s="22" t="str">
        <f aca="false">IF($X1205="","",O1205+R1205)</f>
        <v/>
      </c>
      <c r="W1205" s="22" t="str">
        <f aca="false">IF($X1205="","",U1205-L1205)</f>
        <v/>
      </c>
      <c r="X1205" s="24" t="str">
        <f aca="false">IF(ROWS($X$2:$X1205)&lt;=MAX('Per Line'!$AI$2:$AI$4001),MATCH(ROWS($X$2:$X1205),'Per Line'!$AI$2:$AI$4001,0),"")</f>
        <v/>
      </c>
    </row>
    <row r="1206" customFormat="false" ht="15" hidden="false" customHeight="false" outlineLevel="0" collapsed="false">
      <c r="A1206" s="19"/>
      <c r="B1206" s="20" t="str">
        <f aca="false">IF($X1206="","",INDEX('Per Line'!$D$2:$D$4001,$X1206))</f>
        <v/>
      </c>
      <c r="C1206" s="20" t="str">
        <f aca="false">IF($X1206="","",INDEX('Per Line'!$C$2:$C$4001,$X1206))</f>
        <v/>
      </c>
      <c r="D1206" s="20" t="str">
        <f aca="false">IF($X1206="","",INDEX('Per Line'!$A$2:$A$4001,$X1206))</f>
        <v/>
      </c>
      <c r="E1206" s="21" t="str">
        <f aca="false">IF($X1206="","",INDEX('Per Line'!$F$2:$F$4001,$X1206))</f>
        <v/>
      </c>
      <c r="F1206" s="20" t="str">
        <f aca="false">IF($X1206="","",INDEX('Per Line'!$G$2:$G$4001,$X1206))</f>
        <v/>
      </c>
      <c r="G1206" s="20" t="str">
        <f aca="false">IF($X1206="","",INDEX('Per Line'!$I$2:$I$4001,$X1206))</f>
        <v/>
      </c>
      <c r="H1206" s="20" t="str">
        <f aca="false">IF($X1206="","",INDEX('Per Line'!$J$2:$J$4001,$X1206))</f>
        <v/>
      </c>
      <c r="I1206" s="20" t="str">
        <f aca="false">IF($X1206="","",INDEX('Per Line'!$K$2:$K$4001,$X1206))</f>
        <v/>
      </c>
      <c r="J1206" s="20" t="str">
        <f aca="false">IF($X1206="","",INDEX('Per Line'!$L$2:$L$4001,$X1206))</f>
        <v/>
      </c>
      <c r="K1206" s="20" t="str">
        <f aca="false">IF($X1206="","",INDEX('Per Line'!$M$2:$M$4001,$X1206))</f>
        <v/>
      </c>
      <c r="L1206" s="22" t="str">
        <f aca="false">IF($X1206="","",K1206*V1206/100)</f>
        <v/>
      </c>
      <c r="M1206" s="20" t="str">
        <f aca="false">IF($X1206="","",INDEX('Per Line'!$Z$2:$Z$4001,$X1206))</f>
        <v/>
      </c>
      <c r="N1206" s="23" t="str">
        <f aca="false">IF($X1206="","",Settings!$C$7)</f>
        <v/>
      </c>
      <c r="O1206" s="22" t="str">
        <f aca="false">IF($X1206="","",SUMIFS('Per Line'!$Y$2:$Y$4001,'Per Line'!$D$2:$D$4001,$B1206,'Per Line'!$AJ$2:$AJ$4001,0))</f>
        <v/>
      </c>
      <c r="P1206" s="22" t="str">
        <f aca="false">IF($X1206="","",O1206*N1206)</f>
        <v/>
      </c>
      <c r="Q1206" s="23" t="str">
        <f aca="false">IF($X1206="","",Settings!$C$6)</f>
        <v/>
      </c>
      <c r="R1206" s="22" t="str">
        <f aca="false">IF($X1206="","",SUMIFS('Per Line'!$Y$2:$Y$4001,'Per Line'!$D$2:$D$4001,$B1206,'Per Line'!$AJ$2:$AJ$4001,1))</f>
        <v/>
      </c>
      <c r="S1206" s="22" t="str">
        <f aca="false">IF($X1206="","",R1206*Q1206)</f>
        <v/>
      </c>
      <c r="T1206" s="22" t="str">
        <f aca="false">IF($X1206="","",S1206+P1206)</f>
        <v/>
      </c>
      <c r="U1206" s="22" t="str">
        <f aca="false">IF($X1206="","",V1206-T1206)</f>
        <v/>
      </c>
      <c r="V1206" s="22" t="str">
        <f aca="false">IF($X1206="","",O1206+R1206)</f>
        <v/>
      </c>
      <c r="W1206" s="22" t="str">
        <f aca="false">IF($X1206="","",U1206-L1206)</f>
        <v/>
      </c>
      <c r="X1206" s="24" t="str">
        <f aca="false">IF(ROWS($X$2:$X1206)&lt;=MAX('Per Line'!$AI$2:$AI$4001),MATCH(ROWS($X$2:$X1206),'Per Line'!$AI$2:$AI$4001,0),"")</f>
        <v/>
      </c>
    </row>
    <row r="1207" customFormat="false" ht="15" hidden="false" customHeight="false" outlineLevel="0" collapsed="false">
      <c r="A1207" s="19"/>
      <c r="B1207" s="20" t="str">
        <f aca="false">IF($X1207="","",INDEX('Per Line'!$D$2:$D$4001,$X1207))</f>
        <v/>
      </c>
      <c r="C1207" s="20" t="str">
        <f aca="false">IF($X1207="","",INDEX('Per Line'!$C$2:$C$4001,$X1207))</f>
        <v/>
      </c>
      <c r="D1207" s="20" t="str">
        <f aca="false">IF($X1207="","",INDEX('Per Line'!$A$2:$A$4001,$X1207))</f>
        <v/>
      </c>
      <c r="E1207" s="21" t="str">
        <f aca="false">IF($X1207="","",INDEX('Per Line'!$F$2:$F$4001,$X1207))</f>
        <v/>
      </c>
      <c r="F1207" s="20" t="str">
        <f aca="false">IF($X1207="","",INDEX('Per Line'!$G$2:$G$4001,$X1207))</f>
        <v/>
      </c>
      <c r="G1207" s="20" t="str">
        <f aca="false">IF($X1207="","",INDEX('Per Line'!$I$2:$I$4001,$X1207))</f>
        <v/>
      </c>
      <c r="H1207" s="20" t="str">
        <f aca="false">IF($X1207="","",INDEX('Per Line'!$J$2:$J$4001,$X1207))</f>
        <v/>
      </c>
      <c r="I1207" s="20" t="str">
        <f aca="false">IF($X1207="","",INDEX('Per Line'!$K$2:$K$4001,$X1207))</f>
        <v/>
      </c>
      <c r="J1207" s="20" t="str">
        <f aca="false">IF($X1207="","",INDEX('Per Line'!$L$2:$L$4001,$X1207))</f>
        <v/>
      </c>
      <c r="K1207" s="20" t="str">
        <f aca="false">IF($X1207="","",INDEX('Per Line'!$M$2:$M$4001,$X1207))</f>
        <v/>
      </c>
      <c r="L1207" s="22" t="str">
        <f aca="false">IF($X1207="","",K1207*V1207/100)</f>
        <v/>
      </c>
      <c r="M1207" s="20" t="str">
        <f aca="false">IF($X1207="","",INDEX('Per Line'!$Z$2:$Z$4001,$X1207))</f>
        <v/>
      </c>
      <c r="N1207" s="23" t="str">
        <f aca="false">IF($X1207="","",Settings!$C$7)</f>
        <v/>
      </c>
      <c r="O1207" s="22" t="str">
        <f aca="false">IF($X1207="","",SUMIFS('Per Line'!$Y$2:$Y$4001,'Per Line'!$D$2:$D$4001,$B1207,'Per Line'!$AJ$2:$AJ$4001,0))</f>
        <v/>
      </c>
      <c r="P1207" s="22" t="str">
        <f aca="false">IF($X1207="","",O1207*N1207)</f>
        <v/>
      </c>
      <c r="Q1207" s="23" t="str">
        <f aca="false">IF($X1207="","",Settings!$C$6)</f>
        <v/>
      </c>
      <c r="R1207" s="22" t="str">
        <f aca="false">IF($X1207="","",SUMIFS('Per Line'!$Y$2:$Y$4001,'Per Line'!$D$2:$D$4001,$B1207,'Per Line'!$AJ$2:$AJ$4001,1))</f>
        <v/>
      </c>
      <c r="S1207" s="22" t="str">
        <f aca="false">IF($X1207="","",R1207*Q1207)</f>
        <v/>
      </c>
      <c r="T1207" s="22" t="str">
        <f aca="false">IF($X1207="","",S1207+P1207)</f>
        <v/>
      </c>
      <c r="U1207" s="22" t="str">
        <f aca="false">IF($X1207="","",V1207-T1207)</f>
        <v/>
      </c>
      <c r="V1207" s="22" t="str">
        <f aca="false">IF($X1207="","",O1207+R1207)</f>
        <v/>
      </c>
      <c r="W1207" s="22" t="str">
        <f aca="false">IF($X1207="","",U1207-L1207)</f>
        <v/>
      </c>
      <c r="X1207" s="24" t="str">
        <f aca="false">IF(ROWS($X$2:$X1207)&lt;=MAX('Per Line'!$AI$2:$AI$4001),MATCH(ROWS($X$2:$X1207),'Per Line'!$AI$2:$AI$4001,0),"")</f>
        <v/>
      </c>
    </row>
    <row r="1208" customFormat="false" ht="15" hidden="false" customHeight="false" outlineLevel="0" collapsed="false">
      <c r="A1208" s="19"/>
      <c r="B1208" s="20" t="str">
        <f aca="false">IF($X1208="","",INDEX('Per Line'!$D$2:$D$4001,$X1208))</f>
        <v/>
      </c>
      <c r="C1208" s="20" t="str">
        <f aca="false">IF($X1208="","",INDEX('Per Line'!$C$2:$C$4001,$X1208))</f>
        <v/>
      </c>
      <c r="D1208" s="20" t="str">
        <f aca="false">IF($X1208="","",INDEX('Per Line'!$A$2:$A$4001,$X1208))</f>
        <v/>
      </c>
      <c r="E1208" s="21" t="str">
        <f aca="false">IF($X1208="","",INDEX('Per Line'!$F$2:$F$4001,$X1208))</f>
        <v/>
      </c>
      <c r="F1208" s="20" t="str">
        <f aca="false">IF($X1208="","",INDEX('Per Line'!$G$2:$G$4001,$X1208))</f>
        <v/>
      </c>
      <c r="G1208" s="20" t="str">
        <f aca="false">IF($X1208="","",INDEX('Per Line'!$I$2:$I$4001,$X1208))</f>
        <v/>
      </c>
      <c r="H1208" s="20" t="str">
        <f aca="false">IF($X1208="","",INDEX('Per Line'!$J$2:$J$4001,$X1208))</f>
        <v/>
      </c>
      <c r="I1208" s="20" t="str">
        <f aca="false">IF($X1208="","",INDEX('Per Line'!$K$2:$K$4001,$X1208))</f>
        <v/>
      </c>
      <c r="J1208" s="20" t="str">
        <f aca="false">IF($X1208="","",INDEX('Per Line'!$L$2:$L$4001,$X1208))</f>
        <v/>
      </c>
      <c r="K1208" s="20" t="str">
        <f aca="false">IF($X1208="","",INDEX('Per Line'!$M$2:$M$4001,$X1208))</f>
        <v/>
      </c>
      <c r="L1208" s="22" t="str">
        <f aca="false">IF($X1208="","",K1208*V1208/100)</f>
        <v/>
      </c>
      <c r="M1208" s="20" t="str">
        <f aca="false">IF($X1208="","",INDEX('Per Line'!$Z$2:$Z$4001,$X1208))</f>
        <v/>
      </c>
      <c r="N1208" s="23" t="str">
        <f aca="false">IF($X1208="","",Settings!$C$7)</f>
        <v/>
      </c>
      <c r="O1208" s="22" t="str">
        <f aca="false">IF($X1208="","",SUMIFS('Per Line'!$Y$2:$Y$4001,'Per Line'!$D$2:$D$4001,$B1208,'Per Line'!$AJ$2:$AJ$4001,0))</f>
        <v/>
      </c>
      <c r="P1208" s="22" t="str">
        <f aca="false">IF($X1208="","",O1208*N1208)</f>
        <v/>
      </c>
      <c r="Q1208" s="23" t="str">
        <f aca="false">IF($X1208="","",Settings!$C$6)</f>
        <v/>
      </c>
      <c r="R1208" s="22" t="str">
        <f aca="false">IF($X1208="","",SUMIFS('Per Line'!$Y$2:$Y$4001,'Per Line'!$D$2:$D$4001,$B1208,'Per Line'!$AJ$2:$AJ$4001,1))</f>
        <v/>
      </c>
      <c r="S1208" s="22" t="str">
        <f aca="false">IF($X1208="","",R1208*Q1208)</f>
        <v/>
      </c>
      <c r="T1208" s="22" t="str">
        <f aca="false">IF($X1208="","",S1208+P1208)</f>
        <v/>
      </c>
      <c r="U1208" s="22" t="str">
        <f aca="false">IF($X1208="","",V1208-T1208)</f>
        <v/>
      </c>
      <c r="V1208" s="22" t="str">
        <f aca="false">IF($X1208="","",O1208+R1208)</f>
        <v/>
      </c>
      <c r="W1208" s="22" t="str">
        <f aca="false">IF($X1208="","",U1208-L1208)</f>
        <v/>
      </c>
      <c r="X1208" s="24" t="str">
        <f aca="false">IF(ROWS($X$2:$X1208)&lt;=MAX('Per Line'!$AI$2:$AI$4001),MATCH(ROWS($X$2:$X1208),'Per Line'!$AI$2:$AI$4001,0),"")</f>
        <v/>
      </c>
    </row>
    <row r="1209" customFormat="false" ht="15" hidden="false" customHeight="false" outlineLevel="0" collapsed="false">
      <c r="A1209" s="19"/>
      <c r="B1209" s="20" t="str">
        <f aca="false">IF($X1209="","",INDEX('Per Line'!$D$2:$D$4001,$X1209))</f>
        <v/>
      </c>
      <c r="C1209" s="20" t="str">
        <f aca="false">IF($X1209="","",INDEX('Per Line'!$C$2:$C$4001,$X1209))</f>
        <v/>
      </c>
      <c r="D1209" s="20" t="str">
        <f aca="false">IF($X1209="","",INDEX('Per Line'!$A$2:$A$4001,$X1209))</f>
        <v/>
      </c>
      <c r="E1209" s="21" t="str">
        <f aca="false">IF($X1209="","",INDEX('Per Line'!$F$2:$F$4001,$X1209))</f>
        <v/>
      </c>
      <c r="F1209" s="20" t="str">
        <f aca="false">IF($X1209="","",INDEX('Per Line'!$G$2:$G$4001,$X1209))</f>
        <v/>
      </c>
      <c r="G1209" s="20" t="str">
        <f aca="false">IF($X1209="","",INDEX('Per Line'!$I$2:$I$4001,$X1209))</f>
        <v/>
      </c>
      <c r="H1209" s="20" t="str">
        <f aca="false">IF($X1209="","",INDEX('Per Line'!$J$2:$J$4001,$X1209))</f>
        <v/>
      </c>
      <c r="I1209" s="20" t="str">
        <f aca="false">IF($X1209="","",INDEX('Per Line'!$K$2:$K$4001,$X1209))</f>
        <v/>
      </c>
      <c r="J1209" s="20" t="str">
        <f aca="false">IF($X1209="","",INDEX('Per Line'!$L$2:$L$4001,$X1209))</f>
        <v/>
      </c>
      <c r="K1209" s="20" t="str">
        <f aca="false">IF($X1209="","",INDEX('Per Line'!$M$2:$M$4001,$X1209))</f>
        <v/>
      </c>
      <c r="L1209" s="22" t="str">
        <f aca="false">IF($X1209="","",K1209*V1209/100)</f>
        <v/>
      </c>
      <c r="M1209" s="20" t="str">
        <f aca="false">IF($X1209="","",INDEX('Per Line'!$Z$2:$Z$4001,$X1209))</f>
        <v/>
      </c>
      <c r="N1209" s="23" t="str">
        <f aca="false">IF($X1209="","",Settings!$C$7)</f>
        <v/>
      </c>
      <c r="O1209" s="22" t="str">
        <f aca="false">IF($X1209="","",SUMIFS('Per Line'!$Y$2:$Y$4001,'Per Line'!$D$2:$D$4001,$B1209,'Per Line'!$AJ$2:$AJ$4001,0))</f>
        <v/>
      </c>
      <c r="P1209" s="22" t="str">
        <f aca="false">IF($X1209="","",O1209*N1209)</f>
        <v/>
      </c>
      <c r="Q1209" s="23" t="str">
        <f aca="false">IF($X1209="","",Settings!$C$6)</f>
        <v/>
      </c>
      <c r="R1209" s="22" t="str">
        <f aca="false">IF($X1209="","",SUMIFS('Per Line'!$Y$2:$Y$4001,'Per Line'!$D$2:$D$4001,$B1209,'Per Line'!$AJ$2:$AJ$4001,1))</f>
        <v/>
      </c>
      <c r="S1209" s="22" t="str">
        <f aca="false">IF($X1209="","",R1209*Q1209)</f>
        <v/>
      </c>
      <c r="T1209" s="22" t="str">
        <f aca="false">IF($X1209="","",S1209+P1209)</f>
        <v/>
      </c>
      <c r="U1209" s="22" t="str">
        <f aca="false">IF($X1209="","",V1209-T1209)</f>
        <v/>
      </c>
      <c r="V1209" s="22" t="str">
        <f aca="false">IF($X1209="","",O1209+R1209)</f>
        <v/>
      </c>
      <c r="W1209" s="22" t="str">
        <f aca="false">IF($X1209="","",U1209-L1209)</f>
        <v/>
      </c>
      <c r="X1209" s="24" t="str">
        <f aca="false">IF(ROWS($X$2:$X1209)&lt;=MAX('Per Line'!$AI$2:$AI$4001),MATCH(ROWS($X$2:$X1209),'Per Line'!$AI$2:$AI$4001,0),"")</f>
        <v/>
      </c>
    </row>
    <row r="1210" customFormat="false" ht="15" hidden="false" customHeight="false" outlineLevel="0" collapsed="false">
      <c r="A1210" s="19"/>
      <c r="B1210" s="20" t="str">
        <f aca="false">IF($X1210="","",INDEX('Per Line'!$D$2:$D$4001,$X1210))</f>
        <v/>
      </c>
      <c r="C1210" s="20" t="str">
        <f aca="false">IF($X1210="","",INDEX('Per Line'!$C$2:$C$4001,$X1210))</f>
        <v/>
      </c>
      <c r="D1210" s="20" t="str">
        <f aca="false">IF($X1210="","",INDEX('Per Line'!$A$2:$A$4001,$X1210))</f>
        <v/>
      </c>
      <c r="E1210" s="21" t="str">
        <f aca="false">IF($X1210="","",INDEX('Per Line'!$F$2:$F$4001,$X1210))</f>
        <v/>
      </c>
      <c r="F1210" s="20" t="str">
        <f aca="false">IF($X1210="","",INDEX('Per Line'!$G$2:$G$4001,$X1210))</f>
        <v/>
      </c>
      <c r="G1210" s="20" t="str">
        <f aca="false">IF($X1210="","",INDEX('Per Line'!$I$2:$I$4001,$X1210))</f>
        <v/>
      </c>
      <c r="H1210" s="20" t="str">
        <f aca="false">IF($X1210="","",INDEX('Per Line'!$J$2:$J$4001,$X1210))</f>
        <v/>
      </c>
      <c r="I1210" s="20" t="str">
        <f aca="false">IF($X1210="","",INDEX('Per Line'!$K$2:$K$4001,$X1210))</f>
        <v/>
      </c>
      <c r="J1210" s="20" t="str">
        <f aca="false">IF($X1210="","",INDEX('Per Line'!$L$2:$L$4001,$X1210))</f>
        <v/>
      </c>
      <c r="K1210" s="20" t="str">
        <f aca="false">IF($X1210="","",INDEX('Per Line'!$M$2:$M$4001,$X1210))</f>
        <v/>
      </c>
      <c r="L1210" s="22" t="str">
        <f aca="false">IF($X1210="","",K1210*V1210/100)</f>
        <v/>
      </c>
      <c r="M1210" s="20" t="str">
        <f aca="false">IF($X1210="","",INDEX('Per Line'!$Z$2:$Z$4001,$X1210))</f>
        <v/>
      </c>
      <c r="N1210" s="23" t="str">
        <f aca="false">IF($X1210="","",Settings!$C$7)</f>
        <v/>
      </c>
      <c r="O1210" s="22" t="str">
        <f aca="false">IF($X1210="","",SUMIFS('Per Line'!$Y$2:$Y$4001,'Per Line'!$D$2:$D$4001,$B1210,'Per Line'!$AJ$2:$AJ$4001,0))</f>
        <v/>
      </c>
      <c r="P1210" s="22" t="str">
        <f aca="false">IF($X1210="","",O1210*N1210)</f>
        <v/>
      </c>
      <c r="Q1210" s="23" t="str">
        <f aca="false">IF($X1210="","",Settings!$C$6)</f>
        <v/>
      </c>
      <c r="R1210" s="22" t="str">
        <f aca="false">IF($X1210="","",SUMIFS('Per Line'!$Y$2:$Y$4001,'Per Line'!$D$2:$D$4001,$B1210,'Per Line'!$AJ$2:$AJ$4001,1))</f>
        <v/>
      </c>
      <c r="S1210" s="22" t="str">
        <f aca="false">IF($X1210="","",R1210*Q1210)</f>
        <v/>
      </c>
      <c r="T1210" s="22" t="str">
        <f aca="false">IF($X1210="","",S1210+P1210)</f>
        <v/>
      </c>
      <c r="U1210" s="22" t="str">
        <f aca="false">IF($X1210="","",V1210-T1210)</f>
        <v/>
      </c>
      <c r="V1210" s="22" t="str">
        <f aca="false">IF($X1210="","",O1210+R1210)</f>
        <v/>
      </c>
      <c r="W1210" s="22" t="str">
        <f aca="false">IF($X1210="","",U1210-L1210)</f>
        <v/>
      </c>
      <c r="X1210" s="24" t="str">
        <f aca="false">IF(ROWS($X$2:$X1210)&lt;=MAX('Per Line'!$AI$2:$AI$4001),MATCH(ROWS($X$2:$X1210),'Per Line'!$AI$2:$AI$4001,0),"")</f>
        <v/>
      </c>
    </row>
    <row r="1211" customFormat="false" ht="15" hidden="false" customHeight="false" outlineLevel="0" collapsed="false">
      <c r="A1211" s="19"/>
      <c r="B1211" s="20" t="str">
        <f aca="false">IF($X1211="","",INDEX('Per Line'!$D$2:$D$4001,$X1211))</f>
        <v/>
      </c>
      <c r="C1211" s="20" t="str">
        <f aca="false">IF($X1211="","",INDEX('Per Line'!$C$2:$C$4001,$X1211))</f>
        <v/>
      </c>
      <c r="D1211" s="20" t="str">
        <f aca="false">IF($X1211="","",INDEX('Per Line'!$A$2:$A$4001,$X1211))</f>
        <v/>
      </c>
      <c r="E1211" s="21" t="str">
        <f aca="false">IF($X1211="","",INDEX('Per Line'!$F$2:$F$4001,$X1211))</f>
        <v/>
      </c>
      <c r="F1211" s="20" t="str">
        <f aca="false">IF($X1211="","",INDEX('Per Line'!$G$2:$G$4001,$X1211))</f>
        <v/>
      </c>
      <c r="G1211" s="20" t="str">
        <f aca="false">IF($X1211="","",INDEX('Per Line'!$I$2:$I$4001,$X1211))</f>
        <v/>
      </c>
      <c r="H1211" s="20" t="str">
        <f aca="false">IF($X1211="","",INDEX('Per Line'!$J$2:$J$4001,$X1211))</f>
        <v/>
      </c>
      <c r="I1211" s="20" t="str">
        <f aca="false">IF($X1211="","",INDEX('Per Line'!$K$2:$K$4001,$X1211))</f>
        <v/>
      </c>
      <c r="J1211" s="20" t="str">
        <f aca="false">IF($X1211="","",INDEX('Per Line'!$L$2:$L$4001,$X1211))</f>
        <v/>
      </c>
      <c r="K1211" s="20" t="str">
        <f aca="false">IF($X1211="","",INDEX('Per Line'!$M$2:$M$4001,$X1211))</f>
        <v/>
      </c>
      <c r="L1211" s="22" t="str">
        <f aca="false">IF($X1211="","",K1211*V1211/100)</f>
        <v/>
      </c>
      <c r="M1211" s="20" t="str">
        <f aca="false">IF($X1211="","",INDEX('Per Line'!$Z$2:$Z$4001,$X1211))</f>
        <v/>
      </c>
      <c r="N1211" s="23" t="str">
        <f aca="false">IF($X1211="","",Settings!$C$7)</f>
        <v/>
      </c>
      <c r="O1211" s="22" t="str">
        <f aca="false">IF($X1211="","",SUMIFS('Per Line'!$Y$2:$Y$4001,'Per Line'!$D$2:$D$4001,$B1211,'Per Line'!$AJ$2:$AJ$4001,0))</f>
        <v/>
      </c>
      <c r="P1211" s="22" t="str">
        <f aca="false">IF($X1211="","",O1211*N1211)</f>
        <v/>
      </c>
      <c r="Q1211" s="23" t="str">
        <f aca="false">IF($X1211="","",Settings!$C$6)</f>
        <v/>
      </c>
      <c r="R1211" s="22" t="str">
        <f aca="false">IF($X1211="","",SUMIFS('Per Line'!$Y$2:$Y$4001,'Per Line'!$D$2:$D$4001,$B1211,'Per Line'!$AJ$2:$AJ$4001,1))</f>
        <v/>
      </c>
      <c r="S1211" s="22" t="str">
        <f aca="false">IF($X1211="","",R1211*Q1211)</f>
        <v/>
      </c>
      <c r="T1211" s="22" t="str">
        <f aca="false">IF($X1211="","",S1211+P1211)</f>
        <v/>
      </c>
      <c r="U1211" s="22" t="str">
        <f aca="false">IF($X1211="","",V1211-T1211)</f>
        <v/>
      </c>
      <c r="V1211" s="22" t="str">
        <f aca="false">IF($X1211="","",O1211+R1211)</f>
        <v/>
      </c>
      <c r="W1211" s="22" t="str">
        <f aca="false">IF($X1211="","",U1211-L1211)</f>
        <v/>
      </c>
      <c r="X1211" s="24" t="str">
        <f aca="false">IF(ROWS($X$2:$X1211)&lt;=MAX('Per Line'!$AI$2:$AI$4001),MATCH(ROWS($X$2:$X1211),'Per Line'!$AI$2:$AI$4001,0),"")</f>
        <v/>
      </c>
    </row>
    <row r="1212" customFormat="false" ht="15" hidden="false" customHeight="false" outlineLevel="0" collapsed="false">
      <c r="A1212" s="19"/>
      <c r="B1212" s="20" t="str">
        <f aca="false">IF($X1212="","",INDEX('Per Line'!$D$2:$D$4001,$X1212))</f>
        <v/>
      </c>
      <c r="C1212" s="20" t="str">
        <f aca="false">IF($X1212="","",INDEX('Per Line'!$C$2:$C$4001,$X1212))</f>
        <v/>
      </c>
      <c r="D1212" s="20" t="str">
        <f aca="false">IF($X1212="","",INDEX('Per Line'!$A$2:$A$4001,$X1212))</f>
        <v/>
      </c>
      <c r="E1212" s="21" t="str">
        <f aca="false">IF($X1212="","",INDEX('Per Line'!$F$2:$F$4001,$X1212))</f>
        <v/>
      </c>
      <c r="F1212" s="20" t="str">
        <f aca="false">IF($X1212="","",INDEX('Per Line'!$G$2:$G$4001,$X1212))</f>
        <v/>
      </c>
      <c r="G1212" s="20" t="str">
        <f aca="false">IF($X1212="","",INDEX('Per Line'!$I$2:$I$4001,$X1212))</f>
        <v/>
      </c>
      <c r="H1212" s="20" t="str">
        <f aca="false">IF($X1212="","",INDEX('Per Line'!$J$2:$J$4001,$X1212))</f>
        <v/>
      </c>
      <c r="I1212" s="20" t="str">
        <f aca="false">IF($X1212="","",INDEX('Per Line'!$K$2:$K$4001,$X1212))</f>
        <v/>
      </c>
      <c r="J1212" s="20" t="str">
        <f aca="false">IF($X1212="","",INDEX('Per Line'!$L$2:$L$4001,$X1212))</f>
        <v/>
      </c>
      <c r="K1212" s="20" t="str">
        <f aca="false">IF($X1212="","",INDEX('Per Line'!$M$2:$M$4001,$X1212))</f>
        <v/>
      </c>
      <c r="L1212" s="22" t="str">
        <f aca="false">IF($X1212="","",K1212*V1212/100)</f>
        <v/>
      </c>
      <c r="M1212" s="20" t="str">
        <f aca="false">IF($X1212="","",INDEX('Per Line'!$Z$2:$Z$4001,$X1212))</f>
        <v/>
      </c>
      <c r="N1212" s="23" t="str">
        <f aca="false">IF($X1212="","",Settings!$C$7)</f>
        <v/>
      </c>
      <c r="O1212" s="22" t="str">
        <f aca="false">IF($X1212="","",SUMIFS('Per Line'!$Y$2:$Y$4001,'Per Line'!$D$2:$D$4001,$B1212,'Per Line'!$AJ$2:$AJ$4001,0))</f>
        <v/>
      </c>
      <c r="P1212" s="22" t="str">
        <f aca="false">IF($X1212="","",O1212*N1212)</f>
        <v/>
      </c>
      <c r="Q1212" s="23" t="str">
        <f aca="false">IF($X1212="","",Settings!$C$6)</f>
        <v/>
      </c>
      <c r="R1212" s="22" t="str">
        <f aca="false">IF($X1212="","",SUMIFS('Per Line'!$Y$2:$Y$4001,'Per Line'!$D$2:$D$4001,$B1212,'Per Line'!$AJ$2:$AJ$4001,1))</f>
        <v/>
      </c>
      <c r="S1212" s="22" t="str">
        <f aca="false">IF($X1212="","",R1212*Q1212)</f>
        <v/>
      </c>
      <c r="T1212" s="22" t="str">
        <f aca="false">IF($X1212="","",S1212+P1212)</f>
        <v/>
      </c>
      <c r="U1212" s="22" t="str">
        <f aca="false">IF($X1212="","",V1212-T1212)</f>
        <v/>
      </c>
      <c r="V1212" s="22" t="str">
        <f aca="false">IF($X1212="","",O1212+R1212)</f>
        <v/>
      </c>
      <c r="W1212" s="22" t="str">
        <f aca="false">IF($X1212="","",U1212-L1212)</f>
        <v/>
      </c>
      <c r="X1212" s="24" t="str">
        <f aca="false">IF(ROWS($X$2:$X1212)&lt;=MAX('Per Line'!$AI$2:$AI$4001),MATCH(ROWS($X$2:$X1212),'Per Line'!$AI$2:$AI$4001,0),"")</f>
        <v/>
      </c>
    </row>
    <row r="1213" customFormat="false" ht="15" hidden="false" customHeight="false" outlineLevel="0" collapsed="false">
      <c r="A1213" s="19"/>
      <c r="B1213" s="20" t="str">
        <f aca="false">IF($X1213="","",INDEX('Per Line'!$D$2:$D$4001,$X1213))</f>
        <v/>
      </c>
      <c r="C1213" s="20" t="str">
        <f aca="false">IF($X1213="","",INDEX('Per Line'!$C$2:$C$4001,$X1213))</f>
        <v/>
      </c>
      <c r="D1213" s="20" t="str">
        <f aca="false">IF($X1213="","",INDEX('Per Line'!$A$2:$A$4001,$X1213))</f>
        <v/>
      </c>
      <c r="E1213" s="21" t="str">
        <f aca="false">IF($X1213="","",INDEX('Per Line'!$F$2:$F$4001,$X1213))</f>
        <v/>
      </c>
      <c r="F1213" s="20" t="str">
        <f aca="false">IF($X1213="","",INDEX('Per Line'!$G$2:$G$4001,$X1213))</f>
        <v/>
      </c>
      <c r="G1213" s="20" t="str">
        <f aca="false">IF($X1213="","",INDEX('Per Line'!$I$2:$I$4001,$X1213))</f>
        <v/>
      </c>
      <c r="H1213" s="20" t="str">
        <f aca="false">IF($X1213="","",INDEX('Per Line'!$J$2:$J$4001,$X1213))</f>
        <v/>
      </c>
      <c r="I1213" s="20" t="str">
        <f aca="false">IF($X1213="","",INDEX('Per Line'!$K$2:$K$4001,$X1213))</f>
        <v/>
      </c>
      <c r="J1213" s="20" t="str">
        <f aca="false">IF($X1213="","",INDEX('Per Line'!$L$2:$L$4001,$X1213))</f>
        <v/>
      </c>
      <c r="K1213" s="20" t="str">
        <f aca="false">IF($X1213="","",INDEX('Per Line'!$M$2:$M$4001,$X1213))</f>
        <v/>
      </c>
      <c r="L1213" s="22" t="str">
        <f aca="false">IF($X1213="","",K1213*V1213/100)</f>
        <v/>
      </c>
      <c r="M1213" s="20" t="str">
        <f aca="false">IF($X1213="","",INDEX('Per Line'!$Z$2:$Z$4001,$X1213))</f>
        <v/>
      </c>
      <c r="N1213" s="23" t="str">
        <f aca="false">IF($X1213="","",Settings!$C$7)</f>
        <v/>
      </c>
      <c r="O1213" s="22" t="str">
        <f aca="false">IF($X1213="","",SUMIFS('Per Line'!$Y$2:$Y$4001,'Per Line'!$D$2:$D$4001,$B1213,'Per Line'!$AJ$2:$AJ$4001,0))</f>
        <v/>
      </c>
      <c r="P1213" s="22" t="str">
        <f aca="false">IF($X1213="","",O1213*N1213)</f>
        <v/>
      </c>
      <c r="Q1213" s="23" t="str">
        <f aca="false">IF($X1213="","",Settings!$C$6)</f>
        <v/>
      </c>
      <c r="R1213" s="22" t="str">
        <f aca="false">IF($X1213="","",SUMIFS('Per Line'!$Y$2:$Y$4001,'Per Line'!$D$2:$D$4001,$B1213,'Per Line'!$AJ$2:$AJ$4001,1))</f>
        <v/>
      </c>
      <c r="S1213" s="22" t="str">
        <f aca="false">IF($X1213="","",R1213*Q1213)</f>
        <v/>
      </c>
      <c r="T1213" s="22" t="str">
        <f aca="false">IF($X1213="","",S1213+P1213)</f>
        <v/>
      </c>
      <c r="U1213" s="22" t="str">
        <f aca="false">IF($X1213="","",V1213-T1213)</f>
        <v/>
      </c>
      <c r="V1213" s="22" t="str">
        <f aca="false">IF($X1213="","",O1213+R1213)</f>
        <v/>
      </c>
      <c r="W1213" s="22" t="str">
        <f aca="false">IF($X1213="","",U1213-L1213)</f>
        <v/>
      </c>
      <c r="X1213" s="24" t="str">
        <f aca="false">IF(ROWS($X$2:$X1213)&lt;=MAX('Per Line'!$AI$2:$AI$4001),MATCH(ROWS($X$2:$X1213),'Per Line'!$AI$2:$AI$4001,0),"")</f>
        <v/>
      </c>
    </row>
    <row r="1214" customFormat="false" ht="15" hidden="false" customHeight="false" outlineLevel="0" collapsed="false">
      <c r="A1214" s="19"/>
      <c r="B1214" s="20" t="str">
        <f aca="false">IF($X1214="","",INDEX('Per Line'!$D$2:$D$4001,$X1214))</f>
        <v/>
      </c>
      <c r="C1214" s="20" t="str">
        <f aca="false">IF($X1214="","",INDEX('Per Line'!$C$2:$C$4001,$X1214))</f>
        <v/>
      </c>
      <c r="D1214" s="20" t="str">
        <f aca="false">IF($X1214="","",INDEX('Per Line'!$A$2:$A$4001,$X1214))</f>
        <v/>
      </c>
      <c r="E1214" s="21" t="str">
        <f aca="false">IF($X1214="","",INDEX('Per Line'!$F$2:$F$4001,$X1214))</f>
        <v/>
      </c>
      <c r="F1214" s="20" t="str">
        <f aca="false">IF($X1214="","",INDEX('Per Line'!$G$2:$G$4001,$X1214))</f>
        <v/>
      </c>
      <c r="G1214" s="20" t="str">
        <f aca="false">IF($X1214="","",INDEX('Per Line'!$I$2:$I$4001,$X1214))</f>
        <v/>
      </c>
      <c r="H1214" s="20" t="str">
        <f aca="false">IF($X1214="","",INDEX('Per Line'!$J$2:$J$4001,$X1214))</f>
        <v/>
      </c>
      <c r="I1214" s="20" t="str">
        <f aca="false">IF($X1214="","",INDEX('Per Line'!$K$2:$K$4001,$X1214))</f>
        <v/>
      </c>
      <c r="J1214" s="20" t="str">
        <f aca="false">IF($X1214="","",INDEX('Per Line'!$L$2:$L$4001,$X1214))</f>
        <v/>
      </c>
      <c r="K1214" s="20" t="str">
        <f aca="false">IF($X1214="","",INDEX('Per Line'!$M$2:$M$4001,$X1214))</f>
        <v/>
      </c>
      <c r="L1214" s="22" t="str">
        <f aca="false">IF($X1214="","",K1214*V1214/100)</f>
        <v/>
      </c>
      <c r="M1214" s="20" t="str">
        <f aca="false">IF($X1214="","",INDEX('Per Line'!$Z$2:$Z$4001,$X1214))</f>
        <v/>
      </c>
      <c r="N1214" s="23" t="str">
        <f aca="false">IF($X1214="","",Settings!$C$7)</f>
        <v/>
      </c>
      <c r="O1214" s="22" t="str">
        <f aca="false">IF($X1214="","",SUMIFS('Per Line'!$Y$2:$Y$4001,'Per Line'!$D$2:$D$4001,$B1214,'Per Line'!$AJ$2:$AJ$4001,0))</f>
        <v/>
      </c>
      <c r="P1214" s="22" t="str">
        <f aca="false">IF($X1214="","",O1214*N1214)</f>
        <v/>
      </c>
      <c r="Q1214" s="23" t="str">
        <f aca="false">IF($X1214="","",Settings!$C$6)</f>
        <v/>
      </c>
      <c r="R1214" s="22" t="str">
        <f aca="false">IF($X1214="","",SUMIFS('Per Line'!$Y$2:$Y$4001,'Per Line'!$D$2:$D$4001,$B1214,'Per Line'!$AJ$2:$AJ$4001,1))</f>
        <v/>
      </c>
      <c r="S1214" s="22" t="str">
        <f aca="false">IF($X1214="","",R1214*Q1214)</f>
        <v/>
      </c>
      <c r="T1214" s="22" t="str">
        <f aca="false">IF($X1214="","",S1214+P1214)</f>
        <v/>
      </c>
      <c r="U1214" s="22" t="str">
        <f aca="false">IF($X1214="","",V1214-T1214)</f>
        <v/>
      </c>
      <c r="V1214" s="22" t="str">
        <f aca="false">IF($X1214="","",O1214+R1214)</f>
        <v/>
      </c>
      <c r="W1214" s="22" t="str">
        <f aca="false">IF($X1214="","",U1214-L1214)</f>
        <v/>
      </c>
      <c r="X1214" s="24" t="str">
        <f aca="false">IF(ROWS($X$2:$X1214)&lt;=MAX('Per Line'!$AI$2:$AI$4001),MATCH(ROWS($X$2:$X1214),'Per Line'!$AI$2:$AI$4001,0),"")</f>
        <v/>
      </c>
    </row>
    <row r="1215" customFormat="false" ht="15" hidden="false" customHeight="false" outlineLevel="0" collapsed="false">
      <c r="A1215" s="19"/>
      <c r="B1215" s="20" t="str">
        <f aca="false">IF($X1215="","",INDEX('Per Line'!$D$2:$D$4001,$X1215))</f>
        <v/>
      </c>
      <c r="C1215" s="20" t="str">
        <f aca="false">IF($X1215="","",INDEX('Per Line'!$C$2:$C$4001,$X1215))</f>
        <v/>
      </c>
      <c r="D1215" s="20" t="str">
        <f aca="false">IF($X1215="","",INDEX('Per Line'!$A$2:$A$4001,$X1215))</f>
        <v/>
      </c>
      <c r="E1215" s="21" t="str">
        <f aca="false">IF($X1215="","",INDEX('Per Line'!$F$2:$F$4001,$X1215))</f>
        <v/>
      </c>
      <c r="F1215" s="20" t="str">
        <f aca="false">IF($X1215="","",INDEX('Per Line'!$G$2:$G$4001,$X1215))</f>
        <v/>
      </c>
      <c r="G1215" s="20" t="str">
        <f aca="false">IF($X1215="","",INDEX('Per Line'!$I$2:$I$4001,$X1215))</f>
        <v/>
      </c>
      <c r="H1215" s="20" t="str">
        <f aca="false">IF($X1215="","",INDEX('Per Line'!$J$2:$J$4001,$X1215))</f>
        <v/>
      </c>
      <c r="I1215" s="20" t="str">
        <f aca="false">IF($X1215="","",INDEX('Per Line'!$K$2:$K$4001,$X1215))</f>
        <v/>
      </c>
      <c r="J1215" s="20" t="str">
        <f aca="false">IF($X1215="","",INDEX('Per Line'!$L$2:$L$4001,$X1215))</f>
        <v/>
      </c>
      <c r="K1215" s="20" t="str">
        <f aca="false">IF($X1215="","",INDEX('Per Line'!$M$2:$M$4001,$X1215))</f>
        <v/>
      </c>
      <c r="L1215" s="22" t="str">
        <f aca="false">IF($X1215="","",K1215*V1215/100)</f>
        <v/>
      </c>
      <c r="M1215" s="20" t="str">
        <f aca="false">IF($X1215="","",INDEX('Per Line'!$Z$2:$Z$4001,$X1215))</f>
        <v/>
      </c>
      <c r="N1215" s="23" t="str">
        <f aca="false">IF($X1215="","",Settings!$C$7)</f>
        <v/>
      </c>
      <c r="O1215" s="22" t="str">
        <f aca="false">IF($X1215="","",SUMIFS('Per Line'!$Y$2:$Y$4001,'Per Line'!$D$2:$D$4001,$B1215,'Per Line'!$AJ$2:$AJ$4001,0))</f>
        <v/>
      </c>
      <c r="P1215" s="22" t="str">
        <f aca="false">IF($X1215="","",O1215*N1215)</f>
        <v/>
      </c>
      <c r="Q1215" s="23" t="str">
        <f aca="false">IF($X1215="","",Settings!$C$6)</f>
        <v/>
      </c>
      <c r="R1215" s="22" t="str">
        <f aca="false">IF($X1215="","",SUMIFS('Per Line'!$Y$2:$Y$4001,'Per Line'!$D$2:$D$4001,$B1215,'Per Line'!$AJ$2:$AJ$4001,1))</f>
        <v/>
      </c>
      <c r="S1215" s="22" t="str">
        <f aca="false">IF($X1215="","",R1215*Q1215)</f>
        <v/>
      </c>
      <c r="T1215" s="22" t="str">
        <f aca="false">IF($X1215="","",S1215+P1215)</f>
        <v/>
      </c>
      <c r="U1215" s="22" t="str">
        <f aca="false">IF($X1215="","",V1215-T1215)</f>
        <v/>
      </c>
      <c r="V1215" s="22" t="str">
        <f aca="false">IF($X1215="","",O1215+R1215)</f>
        <v/>
      </c>
      <c r="W1215" s="22" t="str">
        <f aca="false">IF($X1215="","",U1215-L1215)</f>
        <v/>
      </c>
      <c r="X1215" s="24" t="str">
        <f aca="false">IF(ROWS($X$2:$X1215)&lt;=MAX('Per Line'!$AI$2:$AI$4001),MATCH(ROWS($X$2:$X1215),'Per Line'!$AI$2:$AI$4001,0),"")</f>
        <v/>
      </c>
    </row>
    <row r="1216" customFormat="false" ht="15" hidden="false" customHeight="false" outlineLevel="0" collapsed="false">
      <c r="A1216" s="19"/>
      <c r="B1216" s="20" t="str">
        <f aca="false">IF($X1216="","",INDEX('Per Line'!$D$2:$D$4001,$X1216))</f>
        <v/>
      </c>
      <c r="C1216" s="20" t="str">
        <f aca="false">IF($X1216="","",INDEX('Per Line'!$C$2:$C$4001,$X1216))</f>
        <v/>
      </c>
      <c r="D1216" s="20" t="str">
        <f aca="false">IF($X1216="","",INDEX('Per Line'!$A$2:$A$4001,$X1216))</f>
        <v/>
      </c>
      <c r="E1216" s="21" t="str">
        <f aca="false">IF($X1216="","",INDEX('Per Line'!$F$2:$F$4001,$X1216))</f>
        <v/>
      </c>
      <c r="F1216" s="20" t="str">
        <f aca="false">IF($X1216="","",INDEX('Per Line'!$G$2:$G$4001,$X1216))</f>
        <v/>
      </c>
      <c r="G1216" s="20" t="str">
        <f aca="false">IF($X1216="","",INDEX('Per Line'!$I$2:$I$4001,$X1216))</f>
        <v/>
      </c>
      <c r="H1216" s="20" t="str">
        <f aca="false">IF($X1216="","",INDEX('Per Line'!$J$2:$J$4001,$X1216))</f>
        <v/>
      </c>
      <c r="I1216" s="20" t="str">
        <f aca="false">IF($X1216="","",INDEX('Per Line'!$K$2:$K$4001,$X1216))</f>
        <v/>
      </c>
      <c r="J1216" s="20" t="str">
        <f aca="false">IF($X1216="","",INDEX('Per Line'!$L$2:$L$4001,$X1216))</f>
        <v/>
      </c>
      <c r="K1216" s="20" t="str">
        <f aca="false">IF($X1216="","",INDEX('Per Line'!$M$2:$M$4001,$X1216))</f>
        <v/>
      </c>
      <c r="L1216" s="22" t="str">
        <f aca="false">IF($X1216="","",K1216*V1216/100)</f>
        <v/>
      </c>
      <c r="M1216" s="20" t="str">
        <f aca="false">IF($X1216="","",INDEX('Per Line'!$Z$2:$Z$4001,$X1216))</f>
        <v/>
      </c>
      <c r="N1216" s="23" t="str">
        <f aca="false">IF($X1216="","",Settings!$C$7)</f>
        <v/>
      </c>
      <c r="O1216" s="22" t="str">
        <f aca="false">IF($X1216="","",SUMIFS('Per Line'!$Y$2:$Y$4001,'Per Line'!$D$2:$D$4001,$B1216,'Per Line'!$AJ$2:$AJ$4001,0))</f>
        <v/>
      </c>
      <c r="P1216" s="22" t="str">
        <f aca="false">IF($X1216="","",O1216*N1216)</f>
        <v/>
      </c>
      <c r="Q1216" s="23" t="str">
        <f aca="false">IF($X1216="","",Settings!$C$6)</f>
        <v/>
      </c>
      <c r="R1216" s="22" t="str">
        <f aca="false">IF($X1216="","",SUMIFS('Per Line'!$Y$2:$Y$4001,'Per Line'!$D$2:$D$4001,$B1216,'Per Line'!$AJ$2:$AJ$4001,1))</f>
        <v/>
      </c>
      <c r="S1216" s="22" t="str">
        <f aca="false">IF($X1216="","",R1216*Q1216)</f>
        <v/>
      </c>
      <c r="T1216" s="22" t="str">
        <f aca="false">IF($X1216="","",S1216+P1216)</f>
        <v/>
      </c>
      <c r="U1216" s="22" t="str">
        <f aca="false">IF($X1216="","",V1216-T1216)</f>
        <v/>
      </c>
      <c r="V1216" s="22" t="str">
        <f aca="false">IF($X1216="","",O1216+R1216)</f>
        <v/>
      </c>
      <c r="W1216" s="22" t="str">
        <f aca="false">IF($X1216="","",U1216-L1216)</f>
        <v/>
      </c>
      <c r="X1216" s="24" t="str">
        <f aca="false">IF(ROWS($X$2:$X1216)&lt;=MAX('Per Line'!$AI$2:$AI$4001),MATCH(ROWS($X$2:$X1216),'Per Line'!$AI$2:$AI$4001,0),"")</f>
        <v/>
      </c>
    </row>
    <row r="1217" customFormat="false" ht="15" hidden="false" customHeight="false" outlineLevel="0" collapsed="false">
      <c r="A1217" s="19"/>
      <c r="B1217" s="20" t="str">
        <f aca="false">IF($X1217="","",INDEX('Per Line'!$D$2:$D$4001,$X1217))</f>
        <v/>
      </c>
      <c r="C1217" s="20" t="str">
        <f aca="false">IF($X1217="","",INDEX('Per Line'!$C$2:$C$4001,$X1217))</f>
        <v/>
      </c>
      <c r="D1217" s="20" t="str">
        <f aca="false">IF($X1217="","",INDEX('Per Line'!$A$2:$A$4001,$X1217))</f>
        <v/>
      </c>
      <c r="E1217" s="21" t="str">
        <f aca="false">IF($X1217="","",INDEX('Per Line'!$F$2:$F$4001,$X1217))</f>
        <v/>
      </c>
      <c r="F1217" s="20" t="str">
        <f aca="false">IF($X1217="","",INDEX('Per Line'!$G$2:$G$4001,$X1217))</f>
        <v/>
      </c>
      <c r="G1217" s="20" t="str">
        <f aca="false">IF($X1217="","",INDEX('Per Line'!$I$2:$I$4001,$X1217))</f>
        <v/>
      </c>
      <c r="H1217" s="20" t="str">
        <f aca="false">IF($X1217="","",INDEX('Per Line'!$J$2:$J$4001,$X1217))</f>
        <v/>
      </c>
      <c r="I1217" s="20" t="str">
        <f aca="false">IF($X1217="","",INDEX('Per Line'!$K$2:$K$4001,$X1217))</f>
        <v/>
      </c>
      <c r="J1217" s="20" t="str">
        <f aca="false">IF($X1217="","",INDEX('Per Line'!$L$2:$L$4001,$X1217))</f>
        <v/>
      </c>
      <c r="K1217" s="20" t="str">
        <f aca="false">IF($X1217="","",INDEX('Per Line'!$M$2:$M$4001,$X1217))</f>
        <v/>
      </c>
      <c r="L1217" s="22" t="str">
        <f aca="false">IF($X1217="","",K1217*V1217/100)</f>
        <v/>
      </c>
      <c r="M1217" s="20" t="str">
        <f aca="false">IF($X1217="","",INDEX('Per Line'!$Z$2:$Z$4001,$X1217))</f>
        <v/>
      </c>
      <c r="N1217" s="23" t="str">
        <f aca="false">IF($X1217="","",Settings!$C$7)</f>
        <v/>
      </c>
      <c r="O1217" s="22" t="str">
        <f aca="false">IF($X1217="","",SUMIFS('Per Line'!$Y$2:$Y$4001,'Per Line'!$D$2:$D$4001,$B1217,'Per Line'!$AJ$2:$AJ$4001,0))</f>
        <v/>
      </c>
      <c r="P1217" s="22" t="str">
        <f aca="false">IF($X1217="","",O1217*N1217)</f>
        <v/>
      </c>
      <c r="Q1217" s="23" t="str">
        <f aca="false">IF($X1217="","",Settings!$C$6)</f>
        <v/>
      </c>
      <c r="R1217" s="22" t="str">
        <f aca="false">IF($X1217="","",SUMIFS('Per Line'!$Y$2:$Y$4001,'Per Line'!$D$2:$D$4001,$B1217,'Per Line'!$AJ$2:$AJ$4001,1))</f>
        <v/>
      </c>
      <c r="S1217" s="22" t="str">
        <f aca="false">IF($X1217="","",R1217*Q1217)</f>
        <v/>
      </c>
      <c r="T1217" s="22" t="str">
        <f aca="false">IF($X1217="","",S1217+P1217)</f>
        <v/>
      </c>
      <c r="U1217" s="22" t="str">
        <f aca="false">IF($X1217="","",V1217-T1217)</f>
        <v/>
      </c>
      <c r="V1217" s="22" t="str">
        <f aca="false">IF($X1217="","",O1217+R1217)</f>
        <v/>
      </c>
      <c r="W1217" s="22" t="str">
        <f aca="false">IF($X1217="","",U1217-L1217)</f>
        <v/>
      </c>
      <c r="X1217" s="24" t="str">
        <f aca="false">IF(ROWS($X$2:$X1217)&lt;=MAX('Per Line'!$AI$2:$AI$4001),MATCH(ROWS($X$2:$X1217),'Per Line'!$AI$2:$AI$4001,0),"")</f>
        <v/>
      </c>
    </row>
    <row r="1218" customFormat="false" ht="15" hidden="false" customHeight="false" outlineLevel="0" collapsed="false">
      <c r="A1218" s="19"/>
      <c r="B1218" s="20" t="str">
        <f aca="false">IF($X1218="","",INDEX('Per Line'!$D$2:$D$4001,$X1218))</f>
        <v/>
      </c>
      <c r="C1218" s="20" t="str">
        <f aca="false">IF($X1218="","",INDEX('Per Line'!$C$2:$C$4001,$X1218))</f>
        <v/>
      </c>
      <c r="D1218" s="20" t="str">
        <f aca="false">IF($X1218="","",INDEX('Per Line'!$A$2:$A$4001,$X1218))</f>
        <v/>
      </c>
      <c r="E1218" s="21" t="str">
        <f aca="false">IF($X1218="","",INDEX('Per Line'!$F$2:$F$4001,$X1218))</f>
        <v/>
      </c>
      <c r="F1218" s="20" t="str">
        <f aca="false">IF($X1218="","",INDEX('Per Line'!$G$2:$G$4001,$X1218))</f>
        <v/>
      </c>
      <c r="G1218" s="20" t="str">
        <f aca="false">IF($X1218="","",INDEX('Per Line'!$I$2:$I$4001,$X1218))</f>
        <v/>
      </c>
      <c r="H1218" s="20" t="str">
        <f aca="false">IF($X1218="","",INDEX('Per Line'!$J$2:$J$4001,$X1218))</f>
        <v/>
      </c>
      <c r="I1218" s="20" t="str">
        <f aca="false">IF($X1218="","",INDEX('Per Line'!$K$2:$K$4001,$X1218))</f>
        <v/>
      </c>
      <c r="J1218" s="20" t="str">
        <f aca="false">IF($X1218="","",INDEX('Per Line'!$L$2:$L$4001,$X1218))</f>
        <v/>
      </c>
      <c r="K1218" s="20" t="str">
        <f aca="false">IF($X1218="","",INDEX('Per Line'!$M$2:$M$4001,$X1218))</f>
        <v/>
      </c>
      <c r="L1218" s="22" t="str">
        <f aca="false">IF($X1218="","",K1218*V1218/100)</f>
        <v/>
      </c>
      <c r="M1218" s="20" t="str">
        <f aca="false">IF($X1218="","",INDEX('Per Line'!$Z$2:$Z$4001,$X1218))</f>
        <v/>
      </c>
      <c r="N1218" s="23" t="str">
        <f aca="false">IF($X1218="","",Settings!$C$7)</f>
        <v/>
      </c>
      <c r="O1218" s="22" t="str">
        <f aca="false">IF($X1218="","",SUMIFS('Per Line'!$Y$2:$Y$4001,'Per Line'!$D$2:$D$4001,$B1218,'Per Line'!$AJ$2:$AJ$4001,0))</f>
        <v/>
      </c>
      <c r="P1218" s="22" t="str">
        <f aca="false">IF($X1218="","",O1218*N1218)</f>
        <v/>
      </c>
      <c r="Q1218" s="23" t="str">
        <f aca="false">IF($X1218="","",Settings!$C$6)</f>
        <v/>
      </c>
      <c r="R1218" s="22" t="str">
        <f aca="false">IF($X1218="","",SUMIFS('Per Line'!$Y$2:$Y$4001,'Per Line'!$D$2:$D$4001,$B1218,'Per Line'!$AJ$2:$AJ$4001,1))</f>
        <v/>
      </c>
      <c r="S1218" s="22" t="str">
        <f aca="false">IF($X1218="","",R1218*Q1218)</f>
        <v/>
      </c>
      <c r="T1218" s="22" t="str">
        <f aca="false">IF($X1218="","",S1218+P1218)</f>
        <v/>
      </c>
      <c r="U1218" s="22" t="str">
        <f aca="false">IF($X1218="","",V1218-T1218)</f>
        <v/>
      </c>
      <c r="V1218" s="22" t="str">
        <f aca="false">IF($X1218="","",O1218+R1218)</f>
        <v/>
      </c>
      <c r="W1218" s="22" t="str">
        <f aca="false">IF($X1218="","",U1218-L1218)</f>
        <v/>
      </c>
      <c r="X1218" s="24" t="str">
        <f aca="false">IF(ROWS($X$2:$X1218)&lt;=MAX('Per Line'!$AI$2:$AI$4001),MATCH(ROWS($X$2:$X1218),'Per Line'!$AI$2:$AI$4001,0),"")</f>
        <v/>
      </c>
    </row>
    <row r="1219" customFormat="false" ht="15" hidden="false" customHeight="false" outlineLevel="0" collapsed="false">
      <c r="A1219" s="19"/>
      <c r="B1219" s="20" t="str">
        <f aca="false">IF($X1219="","",INDEX('Per Line'!$D$2:$D$4001,$X1219))</f>
        <v/>
      </c>
      <c r="C1219" s="20" t="str">
        <f aca="false">IF($X1219="","",INDEX('Per Line'!$C$2:$C$4001,$X1219))</f>
        <v/>
      </c>
      <c r="D1219" s="20" t="str">
        <f aca="false">IF($X1219="","",INDEX('Per Line'!$A$2:$A$4001,$X1219))</f>
        <v/>
      </c>
      <c r="E1219" s="21" t="str">
        <f aca="false">IF($X1219="","",INDEX('Per Line'!$F$2:$F$4001,$X1219))</f>
        <v/>
      </c>
      <c r="F1219" s="20" t="str">
        <f aca="false">IF($X1219="","",INDEX('Per Line'!$G$2:$G$4001,$X1219))</f>
        <v/>
      </c>
      <c r="G1219" s="20" t="str">
        <f aca="false">IF($X1219="","",INDEX('Per Line'!$I$2:$I$4001,$X1219))</f>
        <v/>
      </c>
      <c r="H1219" s="20" t="str">
        <f aca="false">IF($X1219="","",INDEX('Per Line'!$J$2:$J$4001,$X1219))</f>
        <v/>
      </c>
      <c r="I1219" s="20" t="str">
        <f aca="false">IF($X1219="","",INDEX('Per Line'!$K$2:$K$4001,$X1219))</f>
        <v/>
      </c>
      <c r="J1219" s="20" t="str">
        <f aca="false">IF($X1219="","",INDEX('Per Line'!$L$2:$L$4001,$X1219))</f>
        <v/>
      </c>
      <c r="K1219" s="20" t="str">
        <f aca="false">IF($X1219="","",INDEX('Per Line'!$M$2:$M$4001,$X1219))</f>
        <v/>
      </c>
      <c r="L1219" s="22" t="str">
        <f aca="false">IF($X1219="","",K1219*V1219/100)</f>
        <v/>
      </c>
      <c r="M1219" s="20" t="str">
        <f aca="false">IF($X1219="","",INDEX('Per Line'!$Z$2:$Z$4001,$X1219))</f>
        <v/>
      </c>
      <c r="N1219" s="23" t="str">
        <f aca="false">IF($X1219="","",Settings!$C$7)</f>
        <v/>
      </c>
      <c r="O1219" s="22" t="str">
        <f aca="false">IF($X1219="","",SUMIFS('Per Line'!$Y$2:$Y$4001,'Per Line'!$D$2:$D$4001,$B1219,'Per Line'!$AJ$2:$AJ$4001,0))</f>
        <v/>
      </c>
      <c r="P1219" s="22" t="str">
        <f aca="false">IF($X1219="","",O1219*N1219)</f>
        <v/>
      </c>
      <c r="Q1219" s="23" t="str">
        <f aca="false">IF($X1219="","",Settings!$C$6)</f>
        <v/>
      </c>
      <c r="R1219" s="22" t="str">
        <f aca="false">IF($X1219="","",SUMIFS('Per Line'!$Y$2:$Y$4001,'Per Line'!$D$2:$D$4001,$B1219,'Per Line'!$AJ$2:$AJ$4001,1))</f>
        <v/>
      </c>
      <c r="S1219" s="22" t="str">
        <f aca="false">IF($X1219="","",R1219*Q1219)</f>
        <v/>
      </c>
      <c r="T1219" s="22" t="str">
        <f aca="false">IF($X1219="","",S1219+P1219)</f>
        <v/>
      </c>
      <c r="U1219" s="22" t="str">
        <f aca="false">IF($X1219="","",V1219-T1219)</f>
        <v/>
      </c>
      <c r="V1219" s="22" t="str">
        <f aca="false">IF($X1219="","",O1219+R1219)</f>
        <v/>
      </c>
      <c r="W1219" s="22" t="str">
        <f aca="false">IF($X1219="","",U1219-L1219)</f>
        <v/>
      </c>
      <c r="X1219" s="24" t="str">
        <f aca="false">IF(ROWS($X$2:$X1219)&lt;=MAX('Per Line'!$AI$2:$AI$4001),MATCH(ROWS($X$2:$X1219),'Per Line'!$AI$2:$AI$4001,0),"")</f>
        <v/>
      </c>
    </row>
    <row r="1220" customFormat="false" ht="15" hidden="false" customHeight="false" outlineLevel="0" collapsed="false">
      <c r="A1220" s="19"/>
      <c r="B1220" s="20" t="str">
        <f aca="false">IF($X1220="","",INDEX('Per Line'!$D$2:$D$4001,$X1220))</f>
        <v/>
      </c>
      <c r="C1220" s="20" t="str">
        <f aca="false">IF($X1220="","",INDEX('Per Line'!$C$2:$C$4001,$X1220))</f>
        <v/>
      </c>
      <c r="D1220" s="20" t="str">
        <f aca="false">IF($X1220="","",INDEX('Per Line'!$A$2:$A$4001,$X1220))</f>
        <v/>
      </c>
      <c r="E1220" s="21" t="str">
        <f aca="false">IF($X1220="","",INDEX('Per Line'!$F$2:$F$4001,$X1220))</f>
        <v/>
      </c>
      <c r="F1220" s="20" t="str">
        <f aca="false">IF($X1220="","",INDEX('Per Line'!$G$2:$G$4001,$X1220))</f>
        <v/>
      </c>
      <c r="G1220" s="20" t="str">
        <f aca="false">IF($X1220="","",INDEX('Per Line'!$I$2:$I$4001,$X1220))</f>
        <v/>
      </c>
      <c r="H1220" s="20" t="str">
        <f aca="false">IF($X1220="","",INDEX('Per Line'!$J$2:$J$4001,$X1220))</f>
        <v/>
      </c>
      <c r="I1220" s="20" t="str">
        <f aca="false">IF($X1220="","",INDEX('Per Line'!$K$2:$K$4001,$X1220))</f>
        <v/>
      </c>
      <c r="J1220" s="20" t="str">
        <f aca="false">IF($X1220="","",INDEX('Per Line'!$L$2:$L$4001,$X1220))</f>
        <v/>
      </c>
      <c r="K1220" s="20" t="str">
        <f aca="false">IF($X1220="","",INDEX('Per Line'!$M$2:$M$4001,$X1220))</f>
        <v/>
      </c>
      <c r="L1220" s="22" t="str">
        <f aca="false">IF($X1220="","",K1220*V1220/100)</f>
        <v/>
      </c>
      <c r="M1220" s="20" t="str">
        <f aca="false">IF($X1220="","",INDEX('Per Line'!$Z$2:$Z$4001,$X1220))</f>
        <v/>
      </c>
      <c r="N1220" s="23" t="str">
        <f aca="false">IF($X1220="","",Settings!$C$7)</f>
        <v/>
      </c>
      <c r="O1220" s="22" t="str">
        <f aca="false">IF($X1220="","",SUMIFS('Per Line'!$Y$2:$Y$4001,'Per Line'!$D$2:$D$4001,$B1220,'Per Line'!$AJ$2:$AJ$4001,0))</f>
        <v/>
      </c>
      <c r="P1220" s="22" t="str">
        <f aca="false">IF($X1220="","",O1220*N1220)</f>
        <v/>
      </c>
      <c r="Q1220" s="23" t="str">
        <f aca="false">IF($X1220="","",Settings!$C$6)</f>
        <v/>
      </c>
      <c r="R1220" s="22" t="str">
        <f aca="false">IF($X1220="","",SUMIFS('Per Line'!$Y$2:$Y$4001,'Per Line'!$D$2:$D$4001,$B1220,'Per Line'!$AJ$2:$AJ$4001,1))</f>
        <v/>
      </c>
      <c r="S1220" s="22" t="str">
        <f aca="false">IF($X1220="","",R1220*Q1220)</f>
        <v/>
      </c>
      <c r="T1220" s="22" t="str">
        <f aca="false">IF($X1220="","",S1220+P1220)</f>
        <v/>
      </c>
      <c r="U1220" s="22" t="str">
        <f aca="false">IF($X1220="","",V1220-T1220)</f>
        <v/>
      </c>
      <c r="V1220" s="22" t="str">
        <f aca="false">IF($X1220="","",O1220+R1220)</f>
        <v/>
      </c>
      <c r="W1220" s="22" t="str">
        <f aca="false">IF($X1220="","",U1220-L1220)</f>
        <v/>
      </c>
      <c r="X1220" s="24" t="str">
        <f aca="false">IF(ROWS($X$2:$X1220)&lt;=MAX('Per Line'!$AI$2:$AI$4001),MATCH(ROWS($X$2:$X1220),'Per Line'!$AI$2:$AI$4001,0),"")</f>
        <v/>
      </c>
    </row>
    <row r="1221" customFormat="false" ht="15" hidden="false" customHeight="false" outlineLevel="0" collapsed="false">
      <c r="A1221" s="19"/>
      <c r="B1221" s="20" t="str">
        <f aca="false">IF($X1221="","",INDEX('Per Line'!$D$2:$D$4001,$X1221))</f>
        <v/>
      </c>
      <c r="C1221" s="20" t="str">
        <f aca="false">IF($X1221="","",INDEX('Per Line'!$C$2:$C$4001,$X1221))</f>
        <v/>
      </c>
      <c r="D1221" s="20" t="str">
        <f aca="false">IF($X1221="","",INDEX('Per Line'!$A$2:$A$4001,$X1221))</f>
        <v/>
      </c>
      <c r="E1221" s="21" t="str">
        <f aca="false">IF($X1221="","",INDEX('Per Line'!$F$2:$F$4001,$X1221))</f>
        <v/>
      </c>
      <c r="F1221" s="20" t="str">
        <f aca="false">IF($X1221="","",INDEX('Per Line'!$G$2:$G$4001,$X1221))</f>
        <v/>
      </c>
      <c r="G1221" s="20" t="str">
        <f aca="false">IF($X1221="","",INDEX('Per Line'!$I$2:$I$4001,$X1221))</f>
        <v/>
      </c>
      <c r="H1221" s="20" t="str">
        <f aca="false">IF($X1221="","",INDEX('Per Line'!$J$2:$J$4001,$X1221))</f>
        <v/>
      </c>
      <c r="I1221" s="20" t="str">
        <f aca="false">IF($X1221="","",INDEX('Per Line'!$K$2:$K$4001,$X1221))</f>
        <v/>
      </c>
      <c r="J1221" s="20" t="str">
        <f aca="false">IF($X1221="","",INDEX('Per Line'!$L$2:$L$4001,$X1221))</f>
        <v/>
      </c>
      <c r="K1221" s="20" t="str">
        <f aca="false">IF($X1221="","",INDEX('Per Line'!$M$2:$M$4001,$X1221))</f>
        <v/>
      </c>
      <c r="L1221" s="22" t="str">
        <f aca="false">IF($X1221="","",K1221*V1221/100)</f>
        <v/>
      </c>
      <c r="M1221" s="20" t="str">
        <f aca="false">IF($X1221="","",INDEX('Per Line'!$Z$2:$Z$4001,$X1221))</f>
        <v/>
      </c>
      <c r="N1221" s="23" t="str">
        <f aca="false">IF($X1221="","",Settings!$C$7)</f>
        <v/>
      </c>
      <c r="O1221" s="22" t="str">
        <f aca="false">IF($X1221="","",SUMIFS('Per Line'!$Y$2:$Y$4001,'Per Line'!$D$2:$D$4001,$B1221,'Per Line'!$AJ$2:$AJ$4001,0))</f>
        <v/>
      </c>
      <c r="P1221" s="22" t="str">
        <f aca="false">IF($X1221="","",O1221*N1221)</f>
        <v/>
      </c>
      <c r="Q1221" s="23" t="str">
        <f aca="false">IF($X1221="","",Settings!$C$6)</f>
        <v/>
      </c>
      <c r="R1221" s="22" t="str">
        <f aca="false">IF($X1221="","",SUMIFS('Per Line'!$Y$2:$Y$4001,'Per Line'!$D$2:$D$4001,$B1221,'Per Line'!$AJ$2:$AJ$4001,1))</f>
        <v/>
      </c>
      <c r="S1221" s="22" t="str">
        <f aca="false">IF($X1221="","",R1221*Q1221)</f>
        <v/>
      </c>
      <c r="T1221" s="22" t="str">
        <f aca="false">IF($X1221="","",S1221+P1221)</f>
        <v/>
      </c>
      <c r="U1221" s="22" t="str">
        <f aca="false">IF($X1221="","",V1221-T1221)</f>
        <v/>
      </c>
      <c r="V1221" s="22" t="str">
        <f aca="false">IF($X1221="","",O1221+R1221)</f>
        <v/>
      </c>
      <c r="W1221" s="22" t="str">
        <f aca="false">IF($X1221="","",U1221-L1221)</f>
        <v/>
      </c>
      <c r="X1221" s="24" t="str">
        <f aca="false">IF(ROWS($X$2:$X1221)&lt;=MAX('Per Line'!$AI$2:$AI$4001),MATCH(ROWS($X$2:$X1221),'Per Line'!$AI$2:$AI$4001,0),"")</f>
        <v/>
      </c>
    </row>
    <row r="1222" customFormat="false" ht="15" hidden="false" customHeight="false" outlineLevel="0" collapsed="false">
      <c r="A1222" s="19"/>
      <c r="B1222" s="20" t="str">
        <f aca="false">IF($X1222="","",INDEX('Per Line'!$D$2:$D$4001,$X1222))</f>
        <v/>
      </c>
      <c r="C1222" s="20" t="str">
        <f aca="false">IF($X1222="","",INDEX('Per Line'!$C$2:$C$4001,$X1222))</f>
        <v/>
      </c>
      <c r="D1222" s="20" t="str">
        <f aca="false">IF($X1222="","",INDEX('Per Line'!$A$2:$A$4001,$X1222))</f>
        <v/>
      </c>
      <c r="E1222" s="21" t="str">
        <f aca="false">IF($X1222="","",INDEX('Per Line'!$F$2:$F$4001,$X1222))</f>
        <v/>
      </c>
      <c r="F1222" s="20" t="str">
        <f aca="false">IF($X1222="","",INDEX('Per Line'!$G$2:$G$4001,$X1222))</f>
        <v/>
      </c>
      <c r="G1222" s="20" t="str">
        <f aca="false">IF($X1222="","",INDEX('Per Line'!$I$2:$I$4001,$X1222))</f>
        <v/>
      </c>
      <c r="H1222" s="20" t="str">
        <f aca="false">IF($X1222="","",INDEX('Per Line'!$J$2:$J$4001,$X1222))</f>
        <v/>
      </c>
      <c r="I1222" s="20" t="str">
        <f aca="false">IF($X1222="","",INDEX('Per Line'!$K$2:$K$4001,$X1222))</f>
        <v/>
      </c>
      <c r="J1222" s="20" t="str">
        <f aca="false">IF($X1222="","",INDEX('Per Line'!$L$2:$L$4001,$X1222))</f>
        <v/>
      </c>
      <c r="K1222" s="20" t="str">
        <f aca="false">IF($X1222="","",INDEX('Per Line'!$M$2:$M$4001,$X1222))</f>
        <v/>
      </c>
      <c r="L1222" s="22" t="str">
        <f aca="false">IF($X1222="","",K1222*V1222/100)</f>
        <v/>
      </c>
      <c r="M1222" s="20" t="str">
        <f aca="false">IF($X1222="","",INDEX('Per Line'!$Z$2:$Z$4001,$X1222))</f>
        <v/>
      </c>
      <c r="N1222" s="23" t="str">
        <f aca="false">IF($X1222="","",Settings!$C$7)</f>
        <v/>
      </c>
      <c r="O1222" s="22" t="str">
        <f aca="false">IF($X1222="","",SUMIFS('Per Line'!$Y$2:$Y$4001,'Per Line'!$D$2:$D$4001,$B1222,'Per Line'!$AJ$2:$AJ$4001,0))</f>
        <v/>
      </c>
      <c r="P1222" s="22" t="str">
        <f aca="false">IF($X1222="","",O1222*N1222)</f>
        <v/>
      </c>
      <c r="Q1222" s="23" t="str">
        <f aca="false">IF($X1222="","",Settings!$C$6)</f>
        <v/>
      </c>
      <c r="R1222" s="22" t="str">
        <f aca="false">IF($X1222="","",SUMIFS('Per Line'!$Y$2:$Y$4001,'Per Line'!$D$2:$D$4001,$B1222,'Per Line'!$AJ$2:$AJ$4001,1))</f>
        <v/>
      </c>
      <c r="S1222" s="22" t="str">
        <f aca="false">IF($X1222="","",R1222*Q1222)</f>
        <v/>
      </c>
      <c r="T1222" s="22" t="str">
        <f aca="false">IF($X1222="","",S1222+P1222)</f>
        <v/>
      </c>
      <c r="U1222" s="22" t="str">
        <f aca="false">IF($X1222="","",V1222-T1222)</f>
        <v/>
      </c>
      <c r="V1222" s="22" t="str">
        <f aca="false">IF($X1222="","",O1222+R1222)</f>
        <v/>
      </c>
      <c r="W1222" s="22" t="str">
        <f aca="false">IF($X1222="","",U1222-L1222)</f>
        <v/>
      </c>
      <c r="X1222" s="24" t="str">
        <f aca="false">IF(ROWS($X$2:$X1222)&lt;=MAX('Per Line'!$AI$2:$AI$4001),MATCH(ROWS($X$2:$X1222),'Per Line'!$AI$2:$AI$4001,0),"")</f>
        <v/>
      </c>
    </row>
    <row r="1223" customFormat="false" ht="15" hidden="false" customHeight="false" outlineLevel="0" collapsed="false">
      <c r="A1223" s="19"/>
      <c r="B1223" s="20" t="str">
        <f aca="false">IF($X1223="","",INDEX('Per Line'!$D$2:$D$4001,$X1223))</f>
        <v/>
      </c>
      <c r="C1223" s="20" t="str">
        <f aca="false">IF($X1223="","",INDEX('Per Line'!$C$2:$C$4001,$X1223))</f>
        <v/>
      </c>
      <c r="D1223" s="20" t="str">
        <f aca="false">IF($X1223="","",INDEX('Per Line'!$A$2:$A$4001,$X1223))</f>
        <v/>
      </c>
      <c r="E1223" s="21" t="str">
        <f aca="false">IF($X1223="","",INDEX('Per Line'!$F$2:$F$4001,$X1223))</f>
        <v/>
      </c>
      <c r="F1223" s="20" t="str">
        <f aca="false">IF($X1223="","",INDEX('Per Line'!$G$2:$G$4001,$X1223))</f>
        <v/>
      </c>
      <c r="G1223" s="20" t="str">
        <f aca="false">IF($X1223="","",INDEX('Per Line'!$I$2:$I$4001,$X1223))</f>
        <v/>
      </c>
      <c r="H1223" s="20" t="str">
        <f aca="false">IF($X1223="","",INDEX('Per Line'!$J$2:$J$4001,$X1223))</f>
        <v/>
      </c>
      <c r="I1223" s="20" t="str">
        <f aca="false">IF($X1223="","",INDEX('Per Line'!$K$2:$K$4001,$X1223))</f>
        <v/>
      </c>
      <c r="J1223" s="20" t="str">
        <f aca="false">IF($X1223="","",INDEX('Per Line'!$L$2:$L$4001,$X1223))</f>
        <v/>
      </c>
      <c r="K1223" s="20" t="str">
        <f aca="false">IF($X1223="","",INDEX('Per Line'!$M$2:$M$4001,$X1223))</f>
        <v/>
      </c>
      <c r="L1223" s="22" t="str">
        <f aca="false">IF($X1223="","",K1223*V1223/100)</f>
        <v/>
      </c>
      <c r="M1223" s="20" t="str">
        <f aca="false">IF($X1223="","",INDEX('Per Line'!$Z$2:$Z$4001,$X1223))</f>
        <v/>
      </c>
      <c r="N1223" s="23" t="str">
        <f aca="false">IF($X1223="","",Settings!$C$7)</f>
        <v/>
      </c>
      <c r="O1223" s="22" t="str">
        <f aca="false">IF($X1223="","",SUMIFS('Per Line'!$Y$2:$Y$4001,'Per Line'!$D$2:$D$4001,$B1223,'Per Line'!$AJ$2:$AJ$4001,0))</f>
        <v/>
      </c>
      <c r="P1223" s="22" t="str">
        <f aca="false">IF($X1223="","",O1223*N1223)</f>
        <v/>
      </c>
      <c r="Q1223" s="23" t="str">
        <f aca="false">IF($X1223="","",Settings!$C$6)</f>
        <v/>
      </c>
      <c r="R1223" s="22" t="str">
        <f aca="false">IF($X1223="","",SUMIFS('Per Line'!$Y$2:$Y$4001,'Per Line'!$D$2:$D$4001,$B1223,'Per Line'!$AJ$2:$AJ$4001,1))</f>
        <v/>
      </c>
      <c r="S1223" s="22" t="str">
        <f aca="false">IF($X1223="","",R1223*Q1223)</f>
        <v/>
      </c>
      <c r="T1223" s="22" t="str">
        <f aca="false">IF($X1223="","",S1223+P1223)</f>
        <v/>
      </c>
      <c r="U1223" s="22" t="str">
        <f aca="false">IF($X1223="","",V1223-T1223)</f>
        <v/>
      </c>
      <c r="V1223" s="22" t="str">
        <f aca="false">IF($X1223="","",O1223+R1223)</f>
        <v/>
      </c>
      <c r="W1223" s="22" t="str">
        <f aca="false">IF($X1223="","",U1223-L1223)</f>
        <v/>
      </c>
      <c r="X1223" s="24" t="str">
        <f aca="false">IF(ROWS($X$2:$X1223)&lt;=MAX('Per Line'!$AI$2:$AI$4001),MATCH(ROWS($X$2:$X1223),'Per Line'!$AI$2:$AI$4001,0),"")</f>
        <v/>
      </c>
    </row>
    <row r="1224" customFormat="false" ht="15" hidden="false" customHeight="false" outlineLevel="0" collapsed="false">
      <c r="A1224" s="19"/>
      <c r="B1224" s="20" t="str">
        <f aca="false">IF($X1224="","",INDEX('Per Line'!$D$2:$D$4001,$X1224))</f>
        <v/>
      </c>
      <c r="C1224" s="20" t="str">
        <f aca="false">IF($X1224="","",INDEX('Per Line'!$C$2:$C$4001,$X1224))</f>
        <v/>
      </c>
      <c r="D1224" s="20" t="str">
        <f aca="false">IF($X1224="","",INDEX('Per Line'!$A$2:$A$4001,$X1224))</f>
        <v/>
      </c>
      <c r="E1224" s="21" t="str">
        <f aca="false">IF($X1224="","",INDEX('Per Line'!$F$2:$F$4001,$X1224))</f>
        <v/>
      </c>
      <c r="F1224" s="20" t="str">
        <f aca="false">IF($X1224="","",INDEX('Per Line'!$G$2:$G$4001,$X1224))</f>
        <v/>
      </c>
      <c r="G1224" s="20" t="str">
        <f aca="false">IF($X1224="","",INDEX('Per Line'!$I$2:$I$4001,$X1224))</f>
        <v/>
      </c>
      <c r="H1224" s="20" t="str">
        <f aca="false">IF($X1224="","",INDEX('Per Line'!$J$2:$J$4001,$X1224))</f>
        <v/>
      </c>
      <c r="I1224" s="20" t="str">
        <f aca="false">IF($X1224="","",INDEX('Per Line'!$K$2:$K$4001,$X1224))</f>
        <v/>
      </c>
      <c r="J1224" s="20" t="str">
        <f aca="false">IF($X1224="","",INDEX('Per Line'!$L$2:$L$4001,$X1224))</f>
        <v/>
      </c>
      <c r="K1224" s="20" t="str">
        <f aca="false">IF($X1224="","",INDEX('Per Line'!$M$2:$M$4001,$X1224))</f>
        <v/>
      </c>
      <c r="L1224" s="22" t="str">
        <f aca="false">IF($X1224="","",K1224*V1224/100)</f>
        <v/>
      </c>
      <c r="M1224" s="20" t="str">
        <f aca="false">IF($X1224="","",INDEX('Per Line'!$Z$2:$Z$4001,$X1224))</f>
        <v/>
      </c>
      <c r="N1224" s="23" t="str">
        <f aca="false">IF($X1224="","",Settings!$C$7)</f>
        <v/>
      </c>
      <c r="O1224" s="22" t="str">
        <f aca="false">IF($X1224="","",SUMIFS('Per Line'!$Y$2:$Y$4001,'Per Line'!$D$2:$D$4001,$B1224,'Per Line'!$AJ$2:$AJ$4001,0))</f>
        <v/>
      </c>
      <c r="P1224" s="22" t="str">
        <f aca="false">IF($X1224="","",O1224*N1224)</f>
        <v/>
      </c>
      <c r="Q1224" s="23" t="str">
        <f aca="false">IF($X1224="","",Settings!$C$6)</f>
        <v/>
      </c>
      <c r="R1224" s="22" t="str">
        <f aca="false">IF($X1224="","",SUMIFS('Per Line'!$Y$2:$Y$4001,'Per Line'!$D$2:$D$4001,$B1224,'Per Line'!$AJ$2:$AJ$4001,1))</f>
        <v/>
      </c>
      <c r="S1224" s="22" t="str">
        <f aca="false">IF($X1224="","",R1224*Q1224)</f>
        <v/>
      </c>
      <c r="T1224" s="22" t="str">
        <f aca="false">IF($X1224="","",S1224+P1224)</f>
        <v/>
      </c>
      <c r="U1224" s="22" t="str">
        <f aca="false">IF($X1224="","",V1224-T1224)</f>
        <v/>
      </c>
      <c r="V1224" s="22" t="str">
        <f aca="false">IF($X1224="","",O1224+R1224)</f>
        <v/>
      </c>
      <c r="W1224" s="22" t="str">
        <f aca="false">IF($X1224="","",U1224-L1224)</f>
        <v/>
      </c>
      <c r="X1224" s="24" t="str">
        <f aca="false">IF(ROWS($X$2:$X1224)&lt;=MAX('Per Line'!$AI$2:$AI$4001),MATCH(ROWS($X$2:$X1224),'Per Line'!$AI$2:$AI$4001,0),"")</f>
        <v/>
      </c>
    </row>
    <row r="1225" customFormat="false" ht="15" hidden="false" customHeight="false" outlineLevel="0" collapsed="false">
      <c r="A1225" s="19"/>
      <c r="B1225" s="20" t="str">
        <f aca="false">IF($X1225="","",INDEX('Per Line'!$D$2:$D$4001,$X1225))</f>
        <v/>
      </c>
      <c r="C1225" s="20" t="str">
        <f aca="false">IF($X1225="","",INDEX('Per Line'!$C$2:$C$4001,$X1225))</f>
        <v/>
      </c>
      <c r="D1225" s="20" t="str">
        <f aca="false">IF($X1225="","",INDEX('Per Line'!$A$2:$A$4001,$X1225))</f>
        <v/>
      </c>
      <c r="E1225" s="21" t="str">
        <f aca="false">IF($X1225="","",INDEX('Per Line'!$F$2:$F$4001,$X1225))</f>
        <v/>
      </c>
      <c r="F1225" s="20" t="str">
        <f aca="false">IF($X1225="","",INDEX('Per Line'!$G$2:$G$4001,$X1225))</f>
        <v/>
      </c>
      <c r="G1225" s="20" t="str">
        <f aca="false">IF($X1225="","",INDEX('Per Line'!$I$2:$I$4001,$X1225))</f>
        <v/>
      </c>
      <c r="H1225" s="20" t="str">
        <f aca="false">IF($X1225="","",INDEX('Per Line'!$J$2:$J$4001,$X1225))</f>
        <v/>
      </c>
      <c r="I1225" s="20" t="str">
        <f aca="false">IF($X1225="","",INDEX('Per Line'!$K$2:$K$4001,$X1225))</f>
        <v/>
      </c>
      <c r="J1225" s="20" t="str">
        <f aca="false">IF($X1225="","",INDEX('Per Line'!$L$2:$L$4001,$X1225))</f>
        <v/>
      </c>
      <c r="K1225" s="20" t="str">
        <f aca="false">IF($X1225="","",INDEX('Per Line'!$M$2:$M$4001,$X1225))</f>
        <v/>
      </c>
      <c r="L1225" s="22" t="str">
        <f aca="false">IF($X1225="","",K1225*V1225/100)</f>
        <v/>
      </c>
      <c r="M1225" s="20" t="str">
        <f aca="false">IF($X1225="","",INDEX('Per Line'!$Z$2:$Z$4001,$X1225))</f>
        <v/>
      </c>
      <c r="N1225" s="23" t="str">
        <f aca="false">IF($X1225="","",Settings!$C$7)</f>
        <v/>
      </c>
      <c r="O1225" s="22" t="str">
        <f aca="false">IF($X1225="","",SUMIFS('Per Line'!$Y$2:$Y$4001,'Per Line'!$D$2:$D$4001,$B1225,'Per Line'!$AJ$2:$AJ$4001,0))</f>
        <v/>
      </c>
      <c r="P1225" s="22" t="str">
        <f aca="false">IF($X1225="","",O1225*N1225)</f>
        <v/>
      </c>
      <c r="Q1225" s="23" t="str">
        <f aca="false">IF($X1225="","",Settings!$C$6)</f>
        <v/>
      </c>
      <c r="R1225" s="22" t="str">
        <f aca="false">IF($X1225="","",SUMIFS('Per Line'!$Y$2:$Y$4001,'Per Line'!$D$2:$D$4001,$B1225,'Per Line'!$AJ$2:$AJ$4001,1))</f>
        <v/>
      </c>
      <c r="S1225" s="22" t="str">
        <f aca="false">IF($X1225="","",R1225*Q1225)</f>
        <v/>
      </c>
      <c r="T1225" s="22" t="str">
        <f aca="false">IF($X1225="","",S1225+P1225)</f>
        <v/>
      </c>
      <c r="U1225" s="22" t="str">
        <f aca="false">IF($X1225="","",V1225-T1225)</f>
        <v/>
      </c>
      <c r="V1225" s="22" t="str">
        <f aca="false">IF($X1225="","",O1225+R1225)</f>
        <v/>
      </c>
      <c r="W1225" s="22" t="str">
        <f aca="false">IF($X1225="","",U1225-L1225)</f>
        <v/>
      </c>
      <c r="X1225" s="24" t="str">
        <f aca="false">IF(ROWS($X$2:$X1225)&lt;=MAX('Per Line'!$AI$2:$AI$4001),MATCH(ROWS($X$2:$X1225),'Per Line'!$AI$2:$AI$4001,0),"")</f>
        <v/>
      </c>
    </row>
    <row r="1226" customFormat="false" ht="15" hidden="false" customHeight="false" outlineLevel="0" collapsed="false">
      <c r="A1226" s="19"/>
      <c r="B1226" s="20" t="str">
        <f aca="false">IF($X1226="","",INDEX('Per Line'!$D$2:$D$4001,$X1226))</f>
        <v/>
      </c>
      <c r="C1226" s="20" t="str">
        <f aca="false">IF($X1226="","",INDEX('Per Line'!$C$2:$C$4001,$X1226))</f>
        <v/>
      </c>
      <c r="D1226" s="20" t="str">
        <f aca="false">IF($X1226="","",INDEX('Per Line'!$A$2:$A$4001,$X1226))</f>
        <v/>
      </c>
      <c r="E1226" s="21" t="str">
        <f aca="false">IF($X1226="","",INDEX('Per Line'!$F$2:$F$4001,$X1226))</f>
        <v/>
      </c>
      <c r="F1226" s="20" t="str">
        <f aca="false">IF($X1226="","",INDEX('Per Line'!$G$2:$G$4001,$X1226))</f>
        <v/>
      </c>
      <c r="G1226" s="20" t="str">
        <f aca="false">IF($X1226="","",INDEX('Per Line'!$I$2:$I$4001,$X1226))</f>
        <v/>
      </c>
      <c r="H1226" s="20" t="str">
        <f aca="false">IF($X1226="","",INDEX('Per Line'!$J$2:$J$4001,$X1226))</f>
        <v/>
      </c>
      <c r="I1226" s="20" t="str">
        <f aca="false">IF($X1226="","",INDEX('Per Line'!$K$2:$K$4001,$X1226))</f>
        <v/>
      </c>
      <c r="J1226" s="20" t="str">
        <f aca="false">IF($X1226="","",INDEX('Per Line'!$L$2:$L$4001,$X1226))</f>
        <v/>
      </c>
      <c r="K1226" s="20" t="str">
        <f aca="false">IF($X1226="","",INDEX('Per Line'!$M$2:$M$4001,$X1226))</f>
        <v/>
      </c>
      <c r="L1226" s="22" t="str">
        <f aca="false">IF($X1226="","",K1226*V1226/100)</f>
        <v/>
      </c>
      <c r="M1226" s="20" t="str">
        <f aca="false">IF($X1226="","",INDEX('Per Line'!$Z$2:$Z$4001,$X1226))</f>
        <v/>
      </c>
      <c r="N1226" s="23" t="str">
        <f aca="false">IF($X1226="","",Settings!$C$7)</f>
        <v/>
      </c>
      <c r="O1226" s="22" t="str">
        <f aca="false">IF($X1226="","",SUMIFS('Per Line'!$Y$2:$Y$4001,'Per Line'!$D$2:$D$4001,$B1226,'Per Line'!$AJ$2:$AJ$4001,0))</f>
        <v/>
      </c>
      <c r="P1226" s="22" t="str">
        <f aca="false">IF($X1226="","",O1226*N1226)</f>
        <v/>
      </c>
      <c r="Q1226" s="23" t="str">
        <f aca="false">IF($X1226="","",Settings!$C$6)</f>
        <v/>
      </c>
      <c r="R1226" s="22" t="str">
        <f aca="false">IF($X1226="","",SUMIFS('Per Line'!$Y$2:$Y$4001,'Per Line'!$D$2:$D$4001,$B1226,'Per Line'!$AJ$2:$AJ$4001,1))</f>
        <v/>
      </c>
      <c r="S1226" s="22" t="str">
        <f aca="false">IF($X1226="","",R1226*Q1226)</f>
        <v/>
      </c>
      <c r="T1226" s="22" t="str">
        <f aca="false">IF($X1226="","",S1226+P1226)</f>
        <v/>
      </c>
      <c r="U1226" s="22" t="str">
        <f aca="false">IF($X1226="","",V1226-T1226)</f>
        <v/>
      </c>
      <c r="V1226" s="22" t="str">
        <f aca="false">IF($X1226="","",O1226+R1226)</f>
        <v/>
      </c>
      <c r="W1226" s="22" t="str">
        <f aca="false">IF($X1226="","",U1226-L1226)</f>
        <v/>
      </c>
      <c r="X1226" s="24" t="str">
        <f aca="false">IF(ROWS($X$2:$X1226)&lt;=MAX('Per Line'!$AI$2:$AI$4001),MATCH(ROWS($X$2:$X1226),'Per Line'!$AI$2:$AI$4001,0),"")</f>
        <v/>
      </c>
    </row>
    <row r="1227" customFormat="false" ht="15" hidden="false" customHeight="false" outlineLevel="0" collapsed="false">
      <c r="A1227" s="19"/>
      <c r="B1227" s="20" t="str">
        <f aca="false">IF($X1227="","",INDEX('Per Line'!$D$2:$D$4001,$X1227))</f>
        <v/>
      </c>
      <c r="C1227" s="20" t="str">
        <f aca="false">IF($X1227="","",INDEX('Per Line'!$C$2:$C$4001,$X1227))</f>
        <v/>
      </c>
      <c r="D1227" s="20" t="str">
        <f aca="false">IF($X1227="","",INDEX('Per Line'!$A$2:$A$4001,$X1227))</f>
        <v/>
      </c>
      <c r="E1227" s="21" t="str">
        <f aca="false">IF($X1227="","",INDEX('Per Line'!$F$2:$F$4001,$X1227))</f>
        <v/>
      </c>
      <c r="F1227" s="20" t="str">
        <f aca="false">IF($X1227="","",INDEX('Per Line'!$G$2:$G$4001,$X1227))</f>
        <v/>
      </c>
      <c r="G1227" s="20" t="str">
        <f aca="false">IF($X1227="","",INDEX('Per Line'!$I$2:$I$4001,$X1227))</f>
        <v/>
      </c>
      <c r="H1227" s="20" t="str">
        <f aca="false">IF($X1227="","",INDEX('Per Line'!$J$2:$J$4001,$X1227))</f>
        <v/>
      </c>
      <c r="I1227" s="20" t="str">
        <f aca="false">IF($X1227="","",INDEX('Per Line'!$K$2:$K$4001,$X1227))</f>
        <v/>
      </c>
      <c r="J1227" s="20" t="str">
        <f aca="false">IF($X1227="","",INDEX('Per Line'!$L$2:$L$4001,$X1227))</f>
        <v/>
      </c>
      <c r="K1227" s="20" t="str">
        <f aca="false">IF($X1227="","",INDEX('Per Line'!$M$2:$M$4001,$X1227))</f>
        <v/>
      </c>
      <c r="L1227" s="22" t="str">
        <f aca="false">IF($X1227="","",K1227*V1227/100)</f>
        <v/>
      </c>
      <c r="M1227" s="20" t="str">
        <f aca="false">IF($X1227="","",INDEX('Per Line'!$Z$2:$Z$4001,$X1227))</f>
        <v/>
      </c>
      <c r="N1227" s="23" t="str">
        <f aca="false">IF($X1227="","",Settings!$C$7)</f>
        <v/>
      </c>
      <c r="O1227" s="22" t="str">
        <f aca="false">IF($X1227="","",SUMIFS('Per Line'!$Y$2:$Y$4001,'Per Line'!$D$2:$D$4001,$B1227,'Per Line'!$AJ$2:$AJ$4001,0))</f>
        <v/>
      </c>
      <c r="P1227" s="22" t="str">
        <f aca="false">IF($X1227="","",O1227*N1227)</f>
        <v/>
      </c>
      <c r="Q1227" s="23" t="str">
        <f aca="false">IF($X1227="","",Settings!$C$6)</f>
        <v/>
      </c>
      <c r="R1227" s="22" t="str">
        <f aca="false">IF($X1227="","",SUMIFS('Per Line'!$Y$2:$Y$4001,'Per Line'!$D$2:$D$4001,$B1227,'Per Line'!$AJ$2:$AJ$4001,1))</f>
        <v/>
      </c>
      <c r="S1227" s="22" t="str">
        <f aca="false">IF($X1227="","",R1227*Q1227)</f>
        <v/>
      </c>
      <c r="T1227" s="22" t="str">
        <f aca="false">IF($X1227="","",S1227+P1227)</f>
        <v/>
      </c>
      <c r="U1227" s="22" t="str">
        <f aca="false">IF($X1227="","",V1227-T1227)</f>
        <v/>
      </c>
      <c r="V1227" s="22" t="str">
        <f aca="false">IF($X1227="","",O1227+R1227)</f>
        <v/>
      </c>
      <c r="W1227" s="22" t="str">
        <f aca="false">IF($X1227="","",U1227-L1227)</f>
        <v/>
      </c>
      <c r="X1227" s="24" t="str">
        <f aca="false">IF(ROWS($X$2:$X1227)&lt;=MAX('Per Line'!$AI$2:$AI$4001),MATCH(ROWS($X$2:$X1227),'Per Line'!$AI$2:$AI$4001,0),"")</f>
        <v/>
      </c>
    </row>
    <row r="1228" customFormat="false" ht="15" hidden="false" customHeight="false" outlineLevel="0" collapsed="false">
      <c r="A1228" s="19"/>
      <c r="B1228" s="20" t="str">
        <f aca="false">IF($X1228="","",INDEX('Per Line'!$D$2:$D$4001,$X1228))</f>
        <v/>
      </c>
      <c r="C1228" s="20" t="str">
        <f aca="false">IF($X1228="","",INDEX('Per Line'!$C$2:$C$4001,$X1228))</f>
        <v/>
      </c>
      <c r="D1228" s="20" t="str">
        <f aca="false">IF($X1228="","",INDEX('Per Line'!$A$2:$A$4001,$X1228))</f>
        <v/>
      </c>
      <c r="E1228" s="21" t="str">
        <f aca="false">IF($X1228="","",INDEX('Per Line'!$F$2:$F$4001,$X1228))</f>
        <v/>
      </c>
      <c r="F1228" s="20" t="str">
        <f aca="false">IF($X1228="","",INDEX('Per Line'!$G$2:$G$4001,$X1228))</f>
        <v/>
      </c>
      <c r="G1228" s="20" t="str">
        <f aca="false">IF($X1228="","",INDEX('Per Line'!$I$2:$I$4001,$X1228))</f>
        <v/>
      </c>
      <c r="H1228" s="20" t="str">
        <f aca="false">IF($X1228="","",INDEX('Per Line'!$J$2:$J$4001,$X1228))</f>
        <v/>
      </c>
      <c r="I1228" s="20" t="str">
        <f aca="false">IF($X1228="","",INDEX('Per Line'!$K$2:$K$4001,$X1228))</f>
        <v/>
      </c>
      <c r="J1228" s="20" t="str">
        <f aca="false">IF($X1228="","",INDEX('Per Line'!$L$2:$L$4001,$X1228))</f>
        <v/>
      </c>
      <c r="K1228" s="20" t="str">
        <f aca="false">IF($X1228="","",INDEX('Per Line'!$M$2:$M$4001,$X1228))</f>
        <v/>
      </c>
      <c r="L1228" s="22" t="str">
        <f aca="false">IF($X1228="","",K1228*V1228/100)</f>
        <v/>
      </c>
      <c r="M1228" s="20" t="str">
        <f aca="false">IF($X1228="","",INDEX('Per Line'!$Z$2:$Z$4001,$X1228))</f>
        <v/>
      </c>
      <c r="N1228" s="23" t="str">
        <f aca="false">IF($X1228="","",Settings!$C$7)</f>
        <v/>
      </c>
      <c r="O1228" s="22" t="str">
        <f aca="false">IF($X1228="","",SUMIFS('Per Line'!$Y$2:$Y$4001,'Per Line'!$D$2:$D$4001,$B1228,'Per Line'!$AJ$2:$AJ$4001,0))</f>
        <v/>
      </c>
      <c r="P1228" s="22" t="str">
        <f aca="false">IF($X1228="","",O1228*N1228)</f>
        <v/>
      </c>
      <c r="Q1228" s="23" t="str">
        <f aca="false">IF($X1228="","",Settings!$C$6)</f>
        <v/>
      </c>
      <c r="R1228" s="22" t="str">
        <f aca="false">IF($X1228="","",SUMIFS('Per Line'!$Y$2:$Y$4001,'Per Line'!$D$2:$D$4001,$B1228,'Per Line'!$AJ$2:$AJ$4001,1))</f>
        <v/>
      </c>
      <c r="S1228" s="22" t="str">
        <f aca="false">IF($X1228="","",R1228*Q1228)</f>
        <v/>
      </c>
      <c r="T1228" s="22" t="str">
        <f aca="false">IF($X1228="","",S1228+P1228)</f>
        <v/>
      </c>
      <c r="U1228" s="22" t="str">
        <f aca="false">IF($X1228="","",V1228-T1228)</f>
        <v/>
      </c>
      <c r="V1228" s="22" t="str">
        <f aca="false">IF($X1228="","",O1228+R1228)</f>
        <v/>
      </c>
      <c r="W1228" s="22" t="str">
        <f aca="false">IF($X1228="","",U1228-L1228)</f>
        <v/>
      </c>
      <c r="X1228" s="24" t="str">
        <f aca="false">IF(ROWS($X$2:$X1228)&lt;=MAX('Per Line'!$AI$2:$AI$4001),MATCH(ROWS($X$2:$X1228),'Per Line'!$AI$2:$AI$4001,0),"")</f>
        <v/>
      </c>
    </row>
    <row r="1229" customFormat="false" ht="15" hidden="false" customHeight="false" outlineLevel="0" collapsed="false">
      <c r="A1229" s="19"/>
      <c r="B1229" s="20" t="str">
        <f aca="false">IF($X1229="","",INDEX('Per Line'!$D$2:$D$4001,$X1229))</f>
        <v/>
      </c>
      <c r="C1229" s="20" t="str">
        <f aca="false">IF($X1229="","",INDEX('Per Line'!$C$2:$C$4001,$X1229))</f>
        <v/>
      </c>
      <c r="D1229" s="20" t="str">
        <f aca="false">IF($X1229="","",INDEX('Per Line'!$A$2:$A$4001,$X1229))</f>
        <v/>
      </c>
      <c r="E1229" s="21" t="str">
        <f aca="false">IF($X1229="","",INDEX('Per Line'!$F$2:$F$4001,$X1229))</f>
        <v/>
      </c>
      <c r="F1229" s="20" t="str">
        <f aca="false">IF($X1229="","",INDEX('Per Line'!$G$2:$G$4001,$X1229))</f>
        <v/>
      </c>
      <c r="G1229" s="20" t="str">
        <f aca="false">IF($X1229="","",INDEX('Per Line'!$I$2:$I$4001,$X1229))</f>
        <v/>
      </c>
      <c r="H1229" s="20" t="str">
        <f aca="false">IF($X1229="","",INDEX('Per Line'!$J$2:$J$4001,$X1229))</f>
        <v/>
      </c>
      <c r="I1229" s="20" t="str">
        <f aca="false">IF($X1229="","",INDEX('Per Line'!$K$2:$K$4001,$X1229))</f>
        <v/>
      </c>
      <c r="J1229" s="20" t="str">
        <f aca="false">IF($X1229="","",INDEX('Per Line'!$L$2:$L$4001,$X1229))</f>
        <v/>
      </c>
      <c r="K1229" s="20" t="str">
        <f aca="false">IF($X1229="","",INDEX('Per Line'!$M$2:$M$4001,$X1229))</f>
        <v/>
      </c>
      <c r="L1229" s="22" t="str">
        <f aca="false">IF($X1229="","",K1229*V1229/100)</f>
        <v/>
      </c>
      <c r="M1229" s="20" t="str">
        <f aca="false">IF($X1229="","",INDEX('Per Line'!$Z$2:$Z$4001,$X1229))</f>
        <v/>
      </c>
      <c r="N1229" s="23" t="str">
        <f aca="false">IF($X1229="","",Settings!$C$7)</f>
        <v/>
      </c>
      <c r="O1229" s="22" t="str">
        <f aca="false">IF($X1229="","",SUMIFS('Per Line'!$Y$2:$Y$4001,'Per Line'!$D$2:$D$4001,$B1229,'Per Line'!$AJ$2:$AJ$4001,0))</f>
        <v/>
      </c>
      <c r="P1229" s="22" t="str">
        <f aca="false">IF($X1229="","",O1229*N1229)</f>
        <v/>
      </c>
      <c r="Q1229" s="23" t="str">
        <f aca="false">IF($X1229="","",Settings!$C$6)</f>
        <v/>
      </c>
      <c r="R1229" s="22" t="str">
        <f aca="false">IF($X1229="","",SUMIFS('Per Line'!$Y$2:$Y$4001,'Per Line'!$D$2:$D$4001,$B1229,'Per Line'!$AJ$2:$AJ$4001,1))</f>
        <v/>
      </c>
      <c r="S1229" s="22" t="str">
        <f aca="false">IF($X1229="","",R1229*Q1229)</f>
        <v/>
      </c>
      <c r="T1229" s="22" t="str">
        <f aca="false">IF($X1229="","",S1229+P1229)</f>
        <v/>
      </c>
      <c r="U1229" s="22" t="str">
        <f aca="false">IF($X1229="","",V1229-T1229)</f>
        <v/>
      </c>
      <c r="V1229" s="22" t="str">
        <f aca="false">IF($X1229="","",O1229+R1229)</f>
        <v/>
      </c>
      <c r="W1229" s="22" t="str">
        <f aca="false">IF($X1229="","",U1229-L1229)</f>
        <v/>
      </c>
      <c r="X1229" s="24" t="str">
        <f aca="false">IF(ROWS($X$2:$X1229)&lt;=MAX('Per Line'!$AI$2:$AI$4001),MATCH(ROWS($X$2:$X1229),'Per Line'!$AI$2:$AI$4001,0),"")</f>
        <v/>
      </c>
    </row>
    <row r="1230" customFormat="false" ht="15" hidden="false" customHeight="false" outlineLevel="0" collapsed="false">
      <c r="A1230" s="19"/>
      <c r="B1230" s="20" t="str">
        <f aca="false">IF($X1230="","",INDEX('Per Line'!$D$2:$D$4001,$X1230))</f>
        <v/>
      </c>
      <c r="C1230" s="20" t="str">
        <f aca="false">IF($X1230="","",INDEX('Per Line'!$C$2:$C$4001,$X1230))</f>
        <v/>
      </c>
      <c r="D1230" s="20" t="str">
        <f aca="false">IF($X1230="","",INDEX('Per Line'!$A$2:$A$4001,$X1230))</f>
        <v/>
      </c>
      <c r="E1230" s="21" t="str">
        <f aca="false">IF($X1230="","",INDEX('Per Line'!$F$2:$F$4001,$X1230))</f>
        <v/>
      </c>
      <c r="F1230" s="20" t="str">
        <f aca="false">IF($X1230="","",INDEX('Per Line'!$G$2:$G$4001,$X1230))</f>
        <v/>
      </c>
      <c r="G1230" s="20" t="str">
        <f aca="false">IF($X1230="","",INDEX('Per Line'!$I$2:$I$4001,$X1230))</f>
        <v/>
      </c>
      <c r="H1230" s="20" t="str">
        <f aca="false">IF($X1230="","",INDEX('Per Line'!$J$2:$J$4001,$X1230))</f>
        <v/>
      </c>
      <c r="I1230" s="20" t="str">
        <f aca="false">IF($X1230="","",INDEX('Per Line'!$K$2:$K$4001,$X1230))</f>
        <v/>
      </c>
      <c r="J1230" s="20" t="str">
        <f aca="false">IF($X1230="","",INDEX('Per Line'!$L$2:$L$4001,$X1230))</f>
        <v/>
      </c>
      <c r="K1230" s="20" t="str">
        <f aca="false">IF($X1230="","",INDEX('Per Line'!$M$2:$M$4001,$X1230))</f>
        <v/>
      </c>
      <c r="L1230" s="22" t="str">
        <f aca="false">IF($X1230="","",K1230*V1230/100)</f>
        <v/>
      </c>
      <c r="M1230" s="20" t="str">
        <f aca="false">IF($X1230="","",INDEX('Per Line'!$Z$2:$Z$4001,$X1230))</f>
        <v/>
      </c>
      <c r="N1230" s="23" t="str">
        <f aca="false">IF($X1230="","",Settings!$C$7)</f>
        <v/>
      </c>
      <c r="O1230" s="22" t="str">
        <f aca="false">IF($X1230="","",SUMIFS('Per Line'!$Y$2:$Y$4001,'Per Line'!$D$2:$D$4001,$B1230,'Per Line'!$AJ$2:$AJ$4001,0))</f>
        <v/>
      </c>
      <c r="P1230" s="22" t="str">
        <f aca="false">IF($X1230="","",O1230*N1230)</f>
        <v/>
      </c>
      <c r="Q1230" s="23" t="str">
        <f aca="false">IF($X1230="","",Settings!$C$6)</f>
        <v/>
      </c>
      <c r="R1230" s="22" t="str">
        <f aca="false">IF($X1230="","",SUMIFS('Per Line'!$Y$2:$Y$4001,'Per Line'!$D$2:$D$4001,$B1230,'Per Line'!$AJ$2:$AJ$4001,1))</f>
        <v/>
      </c>
      <c r="S1230" s="22" t="str">
        <f aca="false">IF($X1230="","",R1230*Q1230)</f>
        <v/>
      </c>
      <c r="T1230" s="22" t="str">
        <f aca="false">IF($X1230="","",S1230+P1230)</f>
        <v/>
      </c>
      <c r="U1230" s="22" t="str">
        <f aca="false">IF($X1230="","",V1230-T1230)</f>
        <v/>
      </c>
      <c r="V1230" s="22" t="str">
        <f aca="false">IF($X1230="","",O1230+R1230)</f>
        <v/>
      </c>
      <c r="W1230" s="22" t="str">
        <f aca="false">IF($X1230="","",U1230-L1230)</f>
        <v/>
      </c>
      <c r="X1230" s="24" t="str">
        <f aca="false">IF(ROWS($X$2:$X1230)&lt;=MAX('Per Line'!$AI$2:$AI$4001),MATCH(ROWS($X$2:$X1230),'Per Line'!$AI$2:$AI$4001,0),"")</f>
        <v/>
      </c>
    </row>
    <row r="1231" customFormat="false" ht="15" hidden="false" customHeight="false" outlineLevel="0" collapsed="false">
      <c r="A1231" s="19"/>
      <c r="B1231" s="20" t="str">
        <f aca="false">IF($X1231="","",INDEX('Per Line'!$D$2:$D$4001,$X1231))</f>
        <v/>
      </c>
      <c r="C1231" s="20" t="str">
        <f aca="false">IF($X1231="","",INDEX('Per Line'!$C$2:$C$4001,$X1231))</f>
        <v/>
      </c>
      <c r="D1231" s="20" t="str">
        <f aca="false">IF($X1231="","",INDEX('Per Line'!$A$2:$A$4001,$X1231))</f>
        <v/>
      </c>
      <c r="E1231" s="21" t="str">
        <f aca="false">IF($X1231="","",INDEX('Per Line'!$F$2:$F$4001,$X1231))</f>
        <v/>
      </c>
      <c r="F1231" s="20" t="str">
        <f aca="false">IF($X1231="","",INDEX('Per Line'!$G$2:$G$4001,$X1231))</f>
        <v/>
      </c>
      <c r="G1231" s="20" t="str">
        <f aca="false">IF($X1231="","",INDEX('Per Line'!$I$2:$I$4001,$X1231))</f>
        <v/>
      </c>
      <c r="H1231" s="20" t="str">
        <f aca="false">IF($X1231="","",INDEX('Per Line'!$J$2:$J$4001,$X1231))</f>
        <v/>
      </c>
      <c r="I1231" s="20" t="str">
        <f aca="false">IF($X1231="","",INDEX('Per Line'!$K$2:$K$4001,$X1231))</f>
        <v/>
      </c>
      <c r="J1231" s="20" t="str">
        <f aca="false">IF($X1231="","",INDEX('Per Line'!$L$2:$L$4001,$X1231))</f>
        <v/>
      </c>
      <c r="K1231" s="20" t="str">
        <f aca="false">IF($X1231="","",INDEX('Per Line'!$M$2:$M$4001,$X1231))</f>
        <v/>
      </c>
      <c r="L1231" s="22" t="str">
        <f aca="false">IF($X1231="","",K1231*V1231/100)</f>
        <v/>
      </c>
      <c r="M1231" s="20" t="str">
        <f aca="false">IF($X1231="","",INDEX('Per Line'!$Z$2:$Z$4001,$X1231))</f>
        <v/>
      </c>
      <c r="N1231" s="23" t="str">
        <f aca="false">IF($X1231="","",Settings!$C$7)</f>
        <v/>
      </c>
      <c r="O1231" s="22" t="str">
        <f aca="false">IF($X1231="","",SUMIFS('Per Line'!$Y$2:$Y$4001,'Per Line'!$D$2:$D$4001,$B1231,'Per Line'!$AJ$2:$AJ$4001,0))</f>
        <v/>
      </c>
      <c r="P1231" s="22" t="str">
        <f aca="false">IF($X1231="","",O1231*N1231)</f>
        <v/>
      </c>
      <c r="Q1231" s="23" t="str">
        <f aca="false">IF($X1231="","",Settings!$C$6)</f>
        <v/>
      </c>
      <c r="R1231" s="22" t="str">
        <f aca="false">IF($X1231="","",SUMIFS('Per Line'!$Y$2:$Y$4001,'Per Line'!$D$2:$D$4001,$B1231,'Per Line'!$AJ$2:$AJ$4001,1))</f>
        <v/>
      </c>
      <c r="S1231" s="22" t="str">
        <f aca="false">IF($X1231="","",R1231*Q1231)</f>
        <v/>
      </c>
      <c r="T1231" s="22" t="str">
        <f aca="false">IF($X1231="","",S1231+P1231)</f>
        <v/>
      </c>
      <c r="U1231" s="22" t="str">
        <f aca="false">IF($X1231="","",V1231-T1231)</f>
        <v/>
      </c>
      <c r="V1231" s="22" t="str">
        <f aca="false">IF($X1231="","",O1231+R1231)</f>
        <v/>
      </c>
      <c r="W1231" s="22" t="str">
        <f aca="false">IF($X1231="","",U1231-L1231)</f>
        <v/>
      </c>
      <c r="X1231" s="24" t="str">
        <f aca="false">IF(ROWS($X$2:$X1231)&lt;=MAX('Per Line'!$AI$2:$AI$4001),MATCH(ROWS($X$2:$X1231),'Per Line'!$AI$2:$AI$4001,0),"")</f>
        <v/>
      </c>
    </row>
    <row r="1232" customFormat="false" ht="15" hidden="false" customHeight="false" outlineLevel="0" collapsed="false">
      <c r="A1232" s="19"/>
      <c r="B1232" s="20" t="str">
        <f aca="false">IF($X1232="","",INDEX('Per Line'!$D$2:$D$4001,$X1232))</f>
        <v/>
      </c>
      <c r="C1232" s="20" t="str">
        <f aca="false">IF($X1232="","",INDEX('Per Line'!$C$2:$C$4001,$X1232))</f>
        <v/>
      </c>
      <c r="D1232" s="20" t="str">
        <f aca="false">IF($X1232="","",INDEX('Per Line'!$A$2:$A$4001,$X1232))</f>
        <v/>
      </c>
      <c r="E1232" s="21" t="str">
        <f aca="false">IF($X1232="","",INDEX('Per Line'!$F$2:$F$4001,$X1232))</f>
        <v/>
      </c>
      <c r="F1232" s="20" t="str">
        <f aca="false">IF($X1232="","",INDEX('Per Line'!$G$2:$G$4001,$X1232))</f>
        <v/>
      </c>
      <c r="G1232" s="20" t="str">
        <f aca="false">IF($X1232="","",INDEX('Per Line'!$I$2:$I$4001,$X1232))</f>
        <v/>
      </c>
      <c r="H1232" s="20" t="str">
        <f aca="false">IF($X1232="","",INDEX('Per Line'!$J$2:$J$4001,$X1232))</f>
        <v/>
      </c>
      <c r="I1232" s="20" t="str">
        <f aca="false">IF($X1232="","",INDEX('Per Line'!$K$2:$K$4001,$X1232))</f>
        <v/>
      </c>
      <c r="J1232" s="20" t="str">
        <f aca="false">IF($X1232="","",INDEX('Per Line'!$L$2:$L$4001,$X1232))</f>
        <v/>
      </c>
      <c r="K1232" s="20" t="str">
        <f aca="false">IF($X1232="","",INDEX('Per Line'!$M$2:$M$4001,$X1232))</f>
        <v/>
      </c>
      <c r="L1232" s="22" t="str">
        <f aca="false">IF($X1232="","",K1232*V1232/100)</f>
        <v/>
      </c>
      <c r="M1232" s="20" t="str">
        <f aca="false">IF($X1232="","",INDEX('Per Line'!$Z$2:$Z$4001,$X1232))</f>
        <v/>
      </c>
      <c r="N1232" s="23" t="str">
        <f aca="false">IF($X1232="","",Settings!$C$7)</f>
        <v/>
      </c>
      <c r="O1232" s="22" t="str">
        <f aca="false">IF($X1232="","",SUMIFS('Per Line'!$Y$2:$Y$4001,'Per Line'!$D$2:$D$4001,$B1232,'Per Line'!$AJ$2:$AJ$4001,0))</f>
        <v/>
      </c>
      <c r="P1232" s="22" t="str">
        <f aca="false">IF($X1232="","",O1232*N1232)</f>
        <v/>
      </c>
      <c r="Q1232" s="23" t="str">
        <f aca="false">IF($X1232="","",Settings!$C$6)</f>
        <v/>
      </c>
      <c r="R1232" s="22" t="str">
        <f aca="false">IF($X1232="","",SUMIFS('Per Line'!$Y$2:$Y$4001,'Per Line'!$D$2:$D$4001,$B1232,'Per Line'!$AJ$2:$AJ$4001,1))</f>
        <v/>
      </c>
      <c r="S1232" s="22" t="str">
        <f aca="false">IF($X1232="","",R1232*Q1232)</f>
        <v/>
      </c>
      <c r="T1232" s="22" t="str">
        <f aca="false">IF($X1232="","",S1232+P1232)</f>
        <v/>
      </c>
      <c r="U1232" s="22" t="str">
        <f aca="false">IF($X1232="","",V1232-T1232)</f>
        <v/>
      </c>
      <c r="V1232" s="22" t="str">
        <f aca="false">IF($X1232="","",O1232+R1232)</f>
        <v/>
      </c>
      <c r="W1232" s="22" t="str">
        <f aca="false">IF($X1232="","",U1232-L1232)</f>
        <v/>
      </c>
      <c r="X1232" s="24" t="str">
        <f aca="false">IF(ROWS($X$2:$X1232)&lt;=MAX('Per Line'!$AI$2:$AI$4001),MATCH(ROWS($X$2:$X1232),'Per Line'!$AI$2:$AI$4001,0),"")</f>
        <v/>
      </c>
    </row>
    <row r="1233" customFormat="false" ht="15" hidden="false" customHeight="false" outlineLevel="0" collapsed="false">
      <c r="A1233" s="19"/>
      <c r="B1233" s="20" t="str">
        <f aca="false">IF($X1233="","",INDEX('Per Line'!$D$2:$D$4001,$X1233))</f>
        <v/>
      </c>
      <c r="C1233" s="20" t="str">
        <f aca="false">IF($X1233="","",INDEX('Per Line'!$C$2:$C$4001,$X1233))</f>
        <v/>
      </c>
      <c r="D1233" s="20" t="str">
        <f aca="false">IF($X1233="","",INDEX('Per Line'!$A$2:$A$4001,$X1233))</f>
        <v/>
      </c>
      <c r="E1233" s="21" t="str">
        <f aca="false">IF($X1233="","",INDEX('Per Line'!$F$2:$F$4001,$X1233))</f>
        <v/>
      </c>
      <c r="F1233" s="20" t="str">
        <f aca="false">IF($X1233="","",INDEX('Per Line'!$G$2:$G$4001,$X1233))</f>
        <v/>
      </c>
      <c r="G1233" s="20" t="str">
        <f aca="false">IF($X1233="","",INDEX('Per Line'!$I$2:$I$4001,$X1233))</f>
        <v/>
      </c>
      <c r="H1233" s="20" t="str">
        <f aca="false">IF($X1233="","",INDEX('Per Line'!$J$2:$J$4001,$X1233))</f>
        <v/>
      </c>
      <c r="I1233" s="20" t="str">
        <f aca="false">IF($X1233="","",INDEX('Per Line'!$K$2:$K$4001,$X1233))</f>
        <v/>
      </c>
      <c r="J1233" s="20" t="str">
        <f aca="false">IF($X1233="","",INDEX('Per Line'!$L$2:$L$4001,$X1233))</f>
        <v/>
      </c>
      <c r="K1233" s="20" t="str">
        <f aca="false">IF($X1233="","",INDEX('Per Line'!$M$2:$M$4001,$X1233))</f>
        <v/>
      </c>
      <c r="L1233" s="22" t="str">
        <f aca="false">IF($X1233="","",K1233*V1233/100)</f>
        <v/>
      </c>
      <c r="M1233" s="20" t="str">
        <f aca="false">IF($X1233="","",INDEX('Per Line'!$Z$2:$Z$4001,$X1233))</f>
        <v/>
      </c>
      <c r="N1233" s="23" t="str">
        <f aca="false">IF($X1233="","",Settings!$C$7)</f>
        <v/>
      </c>
      <c r="O1233" s="22" t="str">
        <f aca="false">IF($X1233="","",SUMIFS('Per Line'!$Y$2:$Y$4001,'Per Line'!$D$2:$D$4001,$B1233,'Per Line'!$AJ$2:$AJ$4001,0))</f>
        <v/>
      </c>
      <c r="P1233" s="22" t="str">
        <f aca="false">IF($X1233="","",O1233*N1233)</f>
        <v/>
      </c>
      <c r="Q1233" s="23" t="str">
        <f aca="false">IF($X1233="","",Settings!$C$6)</f>
        <v/>
      </c>
      <c r="R1233" s="22" t="str">
        <f aca="false">IF($X1233="","",SUMIFS('Per Line'!$Y$2:$Y$4001,'Per Line'!$D$2:$D$4001,$B1233,'Per Line'!$AJ$2:$AJ$4001,1))</f>
        <v/>
      </c>
      <c r="S1233" s="22" t="str">
        <f aca="false">IF($X1233="","",R1233*Q1233)</f>
        <v/>
      </c>
      <c r="T1233" s="22" t="str">
        <f aca="false">IF($X1233="","",S1233+P1233)</f>
        <v/>
      </c>
      <c r="U1233" s="22" t="str">
        <f aca="false">IF($X1233="","",V1233-T1233)</f>
        <v/>
      </c>
      <c r="V1233" s="22" t="str">
        <f aca="false">IF($X1233="","",O1233+R1233)</f>
        <v/>
      </c>
      <c r="W1233" s="22" t="str">
        <f aca="false">IF($X1233="","",U1233-L1233)</f>
        <v/>
      </c>
      <c r="X1233" s="24" t="str">
        <f aca="false">IF(ROWS($X$2:$X1233)&lt;=MAX('Per Line'!$AI$2:$AI$4001),MATCH(ROWS($X$2:$X1233),'Per Line'!$AI$2:$AI$4001,0),"")</f>
        <v/>
      </c>
    </row>
    <row r="1234" customFormat="false" ht="15" hidden="false" customHeight="false" outlineLevel="0" collapsed="false">
      <c r="A1234" s="19"/>
      <c r="B1234" s="20" t="str">
        <f aca="false">IF($X1234="","",INDEX('Per Line'!$D$2:$D$4001,$X1234))</f>
        <v/>
      </c>
      <c r="C1234" s="20" t="str">
        <f aca="false">IF($X1234="","",INDEX('Per Line'!$C$2:$C$4001,$X1234))</f>
        <v/>
      </c>
      <c r="D1234" s="20" t="str">
        <f aca="false">IF($X1234="","",INDEX('Per Line'!$A$2:$A$4001,$X1234))</f>
        <v/>
      </c>
      <c r="E1234" s="21" t="str">
        <f aca="false">IF($X1234="","",INDEX('Per Line'!$F$2:$F$4001,$X1234))</f>
        <v/>
      </c>
      <c r="F1234" s="20" t="str">
        <f aca="false">IF($X1234="","",INDEX('Per Line'!$G$2:$G$4001,$X1234))</f>
        <v/>
      </c>
      <c r="G1234" s="20" t="str">
        <f aca="false">IF($X1234="","",INDEX('Per Line'!$I$2:$I$4001,$X1234))</f>
        <v/>
      </c>
      <c r="H1234" s="20" t="str">
        <f aca="false">IF($X1234="","",INDEX('Per Line'!$J$2:$J$4001,$X1234))</f>
        <v/>
      </c>
      <c r="I1234" s="20" t="str">
        <f aca="false">IF($X1234="","",INDEX('Per Line'!$K$2:$K$4001,$X1234))</f>
        <v/>
      </c>
      <c r="J1234" s="20" t="str">
        <f aca="false">IF($X1234="","",INDEX('Per Line'!$L$2:$L$4001,$X1234))</f>
        <v/>
      </c>
      <c r="K1234" s="20" t="str">
        <f aca="false">IF($X1234="","",INDEX('Per Line'!$M$2:$M$4001,$X1234))</f>
        <v/>
      </c>
      <c r="L1234" s="22" t="str">
        <f aca="false">IF($X1234="","",K1234*V1234/100)</f>
        <v/>
      </c>
      <c r="M1234" s="20" t="str">
        <f aca="false">IF($X1234="","",INDEX('Per Line'!$Z$2:$Z$4001,$X1234))</f>
        <v/>
      </c>
      <c r="N1234" s="23" t="str">
        <f aca="false">IF($X1234="","",Settings!$C$7)</f>
        <v/>
      </c>
      <c r="O1234" s="22" t="str">
        <f aca="false">IF($X1234="","",SUMIFS('Per Line'!$Y$2:$Y$4001,'Per Line'!$D$2:$D$4001,$B1234,'Per Line'!$AJ$2:$AJ$4001,0))</f>
        <v/>
      </c>
      <c r="P1234" s="22" t="str">
        <f aca="false">IF($X1234="","",O1234*N1234)</f>
        <v/>
      </c>
      <c r="Q1234" s="23" t="str">
        <f aca="false">IF($X1234="","",Settings!$C$6)</f>
        <v/>
      </c>
      <c r="R1234" s="22" t="str">
        <f aca="false">IF($X1234="","",SUMIFS('Per Line'!$Y$2:$Y$4001,'Per Line'!$D$2:$D$4001,$B1234,'Per Line'!$AJ$2:$AJ$4001,1))</f>
        <v/>
      </c>
      <c r="S1234" s="22" t="str">
        <f aca="false">IF($X1234="","",R1234*Q1234)</f>
        <v/>
      </c>
      <c r="T1234" s="22" t="str">
        <f aca="false">IF($X1234="","",S1234+P1234)</f>
        <v/>
      </c>
      <c r="U1234" s="22" t="str">
        <f aca="false">IF($X1234="","",V1234-T1234)</f>
        <v/>
      </c>
      <c r="V1234" s="22" t="str">
        <f aca="false">IF($X1234="","",O1234+R1234)</f>
        <v/>
      </c>
      <c r="W1234" s="22" t="str">
        <f aca="false">IF($X1234="","",U1234-L1234)</f>
        <v/>
      </c>
      <c r="X1234" s="24" t="str">
        <f aca="false">IF(ROWS($X$2:$X1234)&lt;=MAX('Per Line'!$AI$2:$AI$4001),MATCH(ROWS($X$2:$X1234),'Per Line'!$AI$2:$AI$4001,0),"")</f>
        <v/>
      </c>
    </row>
    <row r="1235" customFormat="false" ht="15" hidden="false" customHeight="false" outlineLevel="0" collapsed="false">
      <c r="A1235" s="19"/>
      <c r="B1235" s="20" t="str">
        <f aca="false">IF($X1235="","",INDEX('Per Line'!$D$2:$D$4001,$X1235))</f>
        <v/>
      </c>
      <c r="C1235" s="20" t="str">
        <f aca="false">IF($X1235="","",INDEX('Per Line'!$C$2:$C$4001,$X1235))</f>
        <v/>
      </c>
      <c r="D1235" s="20" t="str">
        <f aca="false">IF($X1235="","",INDEX('Per Line'!$A$2:$A$4001,$X1235))</f>
        <v/>
      </c>
      <c r="E1235" s="21" t="str">
        <f aca="false">IF($X1235="","",INDEX('Per Line'!$F$2:$F$4001,$X1235))</f>
        <v/>
      </c>
      <c r="F1235" s="20" t="str">
        <f aca="false">IF($X1235="","",INDEX('Per Line'!$G$2:$G$4001,$X1235))</f>
        <v/>
      </c>
      <c r="G1235" s="20" t="str">
        <f aca="false">IF($X1235="","",INDEX('Per Line'!$I$2:$I$4001,$X1235))</f>
        <v/>
      </c>
      <c r="H1235" s="20" t="str">
        <f aca="false">IF($X1235="","",INDEX('Per Line'!$J$2:$J$4001,$X1235))</f>
        <v/>
      </c>
      <c r="I1235" s="20" t="str">
        <f aca="false">IF($X1235="","",INDEX('Per Line'!$K$2:$K$4001,$X1235))</f>
        <v/>
      </c>
      <c r="J1235" s="20" t="str">
        <f aca="false">IF($X1235="","",INDEX('Per Line'!$L$2:$L$4001,$X1235))</f>
        <v/>
      </c>
      <c r="K1235" s="20" t="str">
        <f aca="false">IF($X1235="","",INDEX('Per Line'!$M$2:$M$4001,$X1235))</f>
        <v/>
      </c>
      <c r="L1235" s="22" t="str">
        <f aca="false">IF($X1235="","",K1235*V1235/100)</f>
        <v/>
      </c>
      <c r="M1235" s="20" t="str">
        <f aca="false">IF($X1235="","",INDEX('Per Line'!$Z$2:$Z$4001,$X1235))</f>
        <v/>
      </c>
      <c r="N1235" s="23" t="str">
        <f aca="false">IF($X1235="","",Settings!$C$7)</f>
        <v/>
      </c>
      <c r="O1235" s="22" t="str">
        <f aca="false">IF($X1235="","",SUMIFS('Per Line'!$Y$2:$Y$4001,'Per Line'!$D$2:$D$4001,$B1235,'Per Line'!$AJ$2:$AJ$4001,0))</f>
        <v/>
      </c>
      <c r="P1235" s="22" t="str">
        <f aca="false">IF($X1235="","",O1235*N1235)</f>
        <v/>
      </c>
      <c r="Q1235" s="23" t="str">
        <f aca="false">IF($X1235="","",Settings!$C$6)</f>
        <v/>
      </c>
      <c r="R1235" s="22" t="str">
        <f aca="false">IF($X1235="","",SUMIFS('Per Line'!$Y$2:$Y$4001,'Per Line'!$D$2:$D$4001,$B1235,'Per Line'!$AJ$2:$AJ$4001,1))</f>
        <v/>
      </c>
      <c r="S1235" s="22" t="str">
        <f aca="false">IF($X1235="","",R1235*Q1235)</f>
        <v/>
      </c>
      <c r="T1235" s="22" t="str">
        <f aca="false">IF($X1235="","",S1235+P1235)</f>
        <v/>
      </c>
      <c r="U1235" s="22" t="str">
        <f aca="false">IF($X1235="","",V1235-T1235)</f>
        <v/>
      </c>
      <c r="V1235" s="22" t="str">
        <f aca="false">IF($X1235="","",O1235+R1235)</f>
        <v/>
      </c>
      <c r="W1235" s="22" t="str">
        <f aca="false">IF($X1235="","",U1235-L1235)</f>
        <v/>
      </c>
      <c r="X1235" s="24" t="str">
        <f aca="false">IF(ROWS($X$2:$X1235)&lt;=MAX('Per Line'!$AI$2:$AI$4001),MATCH(ROWS($X$2:$X1235),'Per Line'!$AI$2:$AI$4001,0),"")</f>
        <v/>
      </c>
    </row>
    <row r="1236" customFormat="false" ht="15" hidden="false" customHeight="false" outlineLevel="0" collapsed="false">
      <c r="A1236" s="19"/>
      <c r="B1236" s="20" t="str">
        <f aca="false">IF($X1236="","",INDEX('Per Line'!$D$2:$D$4001,$X1236))</f>
        <v/>
      </c>
      <c r="C1236" s="20" t="str">
        <f aca="false">IF($X1236="","",INDEX('Per Line'!$C$2:$C$4001,$X1236))</f>
        <v/>
      </c>
      <c r="D1236" s="20" t="str">
        <f aca="false">IF($X1236="","",INDEX('Per Line'!$A$2:$A$4001,$X1236))</f>
        <v/>
      </c>
      <c r="E1236" s="21" t="str">
        <f aca="false">IF($X1236="","",INDEX('Per Line'!$F$2:$F$4001,$X1236))</f>
        <v/>
      </c>
      <c r="F1236" s="20" t="str">
        <f aca="false">IF($X1236="","",INDEX('Per Line'!$G$2:$G$4001,$X1236))</f>
        <v/>
      </c>
      <c r="G1236" s="20" t="str">
        <f aca="false">IF($X1236="","",INDEX('Per Line'!$I$2:$I$4001,$X1236))</f>
        <v/>
      </c>
      <c r="H1236" s="20" t="str">
        <f aca="false">IF($X1236="","",INDEX('Per Line'!$J$2:$J$4001,$X1236))</f>
        <v/>
      </c>
      <c r="I1236" s="20" t="str">
        <f aca="false">IF($X1236="","",INDEX('Per Line'!$K$2:$K$4001,$X1236))</f>
        <v/>
      </c>
      <c r="J1236" s="20" t="str">
        <f aca="false">IF($X1236="","",INDEX('Per Line'!$L$2:$L$4001,$X1236))</f>
        <v/>
      </c>
      <c r="K1236" s="20" t="str">
        <f aca="false">IF($X1236="","",INDEX('Per Line'!$M$2:$M$4001,$X1236))</f>
        <v/>
      </c>
      <c r="L1236" s="22" t="str">
        <f aca="false">IF($X1236="","",K1236*V1236/100)</f>
        <v/>
      </c>
      <c r="M1236" s="20" t="str">
        <f aca="false">IF($X1236="","",INDEX('Per Line'!$Z$2:$Z$4001,$X1236))</f>
        <v/>
      </c>
      <c r="N1236" s="23" t="str">
        <f aca="false">IF($X1236="","",Settings!$C$7)</f>
        <v/>
      </c>
      <c r="O1236" s="22" t="str">
        <f aca="false">IF($X1236="","",SUMIFS('Per Line'!$Y$2:$Y$4001,'Per Line'!$D$2:$D$4001,$B1236,'Per Line'!$AJ$2:$AJ$4001,0))</f>
        <v/>
      </c>
      <c r="P1236" s="22" t="str">
        <f aca="false">IF($X1236="","",O1236*N1236)</f>
        <v/>
      </c>
      <c r="Q1236" s="23" t="str">
        <f aca="false">IF($X1236="","",Settings!$C$6)</f>
        <v/>
      </c>
      <c r="R1236" s="22" t="str">
        <f aca="false">IF($X1236="","",SUMIFS('Per Line'!$Y$2:$Y$4001,'Per Line'!$D$2:$D$4001,$B1236,'Per Line'!$AJ$2:$AJ$4001,1))</f>
        <v/>
      </c>
      <c r="S1236" s="22" t="str">
        <f aca="false">IF($X1236="","",R1236*Q1236)</f>
        <v/>
      </c>
      <c r="T1236" s="22" t="str">
        <f aca="false">IF($X1236="","",S1236+P1236)</f>
        <v/>
      </c>
      <c r="U1236" s="22" t="str">
        <f aca="false">IF($X1236="","",V1236-T1236)</f>
        <v/>
      </c>
      <c r="V1236" s="22" t="str">
        <f aca="false">IF($X1236="","",O1236+R1236)</f>
        <v/>
      </c>
      <c r="W1236" s="22" t="str">
        <f aca="false">IF($X1236="","",U1236-L1236)</f>
        <v/>
      </c>
      <c r="X1236" s="24" t="str">
        <f aca="false">IF(ROWS($X$2:$X1236)&lt;=MAX('Per Line'!$AI$2:$AI$4001),MATCH(ROWS($X$2:$X1236),'Per Line'!$AI$2:$AI$4001,0),"")</f>
        <v/>
      </c>
    </row>
    <row r="1237" customFormat="false" ht="15" hidden="false" customHeight="false" outlineLevel="0" collapsed="false">
      <c r="A1237" s="19"/>
      <c r="B1237" s="20" t="str">
        <f aca="false">IF($X1237="","",INDEX('Per Line'!$D$2:$D$4001,$X1237))</f>
        <v/>
      </c>
      <c r="C1237" s="20" t="str">
        <f aca="false">IF($X1237="","",INDEX('Per Line'!$C$2:$C$4001,$X1237))</f>
        <v/>
      </c>
      <c r="D1237" s="20" t="str">
        <f aca="false">IF($X1237="","",INDEX('Per Line'!$A$2:$A$4001,$X1237))</f>
        <v/>
      </c>
      <c r="E1237" s="21" t="str">
        <f aca="false">IF($X1237="","",INDEX('Per Line'!$F$2:$F$4001,$X1237))</f>
        <v/>
      </c>
      <c r="F1237" s="20" t="str">
        <f aca="false">IF($X1237="","",INDEX('Per Line'!$G$2:$G$4001,$X1237))</f>
        <v/>
      </c>
      <c r="G1237" s="20" t="str">
        <f aca="false">IF($X1237="","",INDEX('Per Line'!$I$2:$I$4001,$X1237))</f>
        <v/>
      </c>
      <c r="H1237" s="20" t="str">
        <f aca="false">IF($X1237="","",INDEX('Per Line'!$J$2:$J$4001,$X1237))</f>
        <v/>
      </c>
      <c r="I1237" s="20" t="str">
        <f aca="false">IF($X1237="","",INDEX('Per Line'!$K$2:$K$4001,$X1237))</f>
        <v/>
      </c>
      <c r="J1237" s="20" t="str">
        <f aca="false">IF($X1237="","",INDEX('Per Line'!$L$2:$L$4001,$X1237))</f>
        <v/>
      </c>
      <c r="K1237" s="20" t="str">
        <f aca="false">IF($X1237="","",INDEX('Per Line'!$M$2:$M$4001,$X1237))</f>
        <v/>
      </c>
      <c r="L1237" s="22" t="str">
        <f aca="false">IF($X1237="","",K1237*V1237/100)</f>
        <v/>
      </c>
      <c r="M1237" s="20" t="str">
        <f aca="false">IF($X1237="","",INDEX('Per Line'!$Z$2:$Z$4001,$X1237))</f>
        <v/>
      </c>
      <c r="N1237" s="23" t="str">
        <f aca="false">IF($X1237="","",Settings!$C$7)</f>
        <v/>
      </c>
      <c r="O1237" s="22" t="str">
        <f aca="false">IF($X1237="","",SUMIFS('Per Line'!$Y$2:$Y$4001,'Per Line'!$D$2:$D$4001,$B1237,'Per Line'!$AJ$2:$AJ$4001,0))</f>
        <v/>
      </c>
      <c r="P1237" s="22" t="str">
        <f aca="false">IF($X1237="","",O1237*N1237)</f>
        <v/>
      </c>
      <c r="Q1237" s="23" t="str">
        <f aca="false">IF($X1237="","",Settings!$C$6)</f>
        <v/>
      </c>
      <c r="R1237" s="22" t="str">
        <f aca="false">IF($X1237="","",SUMIFS('Per Line'!$Y$2:$Y$4001,'Per Line'!$D$2:$D$4001,$B1237,'Per Line'!$AJ$2:$AJ$4001,1))</f>
        <v/>
      </c>
      <c r="S1237" s="22" t="str">
        <f aca="false">IF($X1237="","",R1237*Q1237)</f>
        <v/>
      </c>
      <c r="T1237" s="22" t="str">
        <f aca="false">IF($X1237="","",S1237+P1237)</f>
        <v/>
      </c>
      <c r="U1237" s="22" t="str">
        <f aca="false">IF($X1237="","",V1237-T1237)</f>
        <v/>
      </c>
      <c r="V1237" s="22" t="str">
        <f aca="false">IF($X1237="","",O1237+R1237)</f>
        <v/>
      </c>
      <c r="W1237" s="22" t="str">
        <f aca="false">IF($X1237="","",U1237-L1237)</f>
        <v/>
      </c>
      <c r="X1237" s="24" t="str">
        <f aca="false">IF(ROWS($X$2:$X1237)&lt;=MAX('Per Line'!$AI$2:$AI$4001),MATCH(ROWS($X$2:$X1237),'Per Line'!$AI$2:$AI$4001,0),"")</f>
        <v/>
      </c>
    </row>
    <row r="1238" customFormat="false" ht="15" hidden="false" customHeight="false" outlineLevel="0" collapsed="false">
      <c r="A1238" s="19"/>
      <c r="B1238" s="20" t="str">
        <f aca="false">IF($X1238="","",INDEX('Per Line'!$D$2:$D$4001,$X1238))</f>
        <v/>
      </c>
      <c r="C1238" s="20" t="str">
        <f aca="false">IF($X1238="","",INDEX('Per Line'!$C$2:$C$4001,$X1238))</f>
        <v/>
      </c>
      <c r="D1238" s="20" t="str">
        <f aca="false">IF($X1238="","",INDEX('Per Line'!$A$2:$A$4001,$X1238))</f>
        <v/>
      </c>
      <c r="E1238" s="21" t="str">
        <f aca="false">IF($X1238="","",INDEX('Per Line'!$F$2:$F$4001,$X1238))</f>
        <v/>
      </c>
      <c r="F1238" s="20" t="str">
        <f aca="false">IF($X1238="","",INDEX('Per Line'!$G$2:$G$4001,$X1238))</f>
        <v/>
      </c>
      <c r="G1238" s="20" t="str">
        <f aca="false">IF($X1238="","",INDEX('Per Line'!$I$2:$I$4001,$X1238))</f>
        <v/>
      </c>
      <c r="H1238" s="20" t="str">
        <f aca="false">IF($X1238="","",INDEX('Per Line'!$J$2:$J$4001,$X1238))</f>
        <v/>
      </c>
      <c r="I1238" s="20" t="str">
        <f aca="false">IF($X1238="","",INDEX('Per Line'!$K$2:$K$4001,$X1238))</f>
        <v/>
      </c>
      <c r="J1238" s="20" t="str">
        <f aca="false">IF($X1238="","",INDEX('Per Line'!$L$2:$L$4001,$X1238))</f>
        <v/>
      </c>
      <c r="K1238" s="20" t="str">
        <f aca="false">IF($X1238="","",INDEX('Per Line'!$M$2:$M$4001,$X1238))</f>
        <v/>
      </c>
      <c r="L1238" s="22" t="str">
        <f aca="false">IF($X1238="","",K1238*V1238/100)</f>
        <v/>
      </c>
      <c r="M1238" s="20" t="str">
        <f aca="false">IF($X1238="","",INDEX('Per Line'!$Z$2:$Z$4001,$X1238))</f>
        <v/>
      </c>
      <c r="N1238" s="23" t="str">
        <f aca="false">IF($X1238="","",Settings!$C$7)</f>
        <v/>
      </c>
      <c r="O1238" s="22" t="str">
        <f aca="false">IF($X1238="","",SUMIFS('Per Line'!$Y$2:$Y$4001,'Per Line'!$D$2:$D$4001,$B1238,'Per Line'!$AJ$2:$AJ$4001,0))</f>
        <v/>
      </c>
      <c r="P1238" s="22" t="str">
        <f aca="false">IF($X1238="","",O1238*N1238)</f>
        <v/>
      </c>
      <c r="Q1238" s="23" t="str">
        <f aca="false">IF($X1238="","",Settings!$C$6)</f>
        <v/>
      </c>
      <c r="R1238" s="22" t="str">
        <f aca="false">IF($X1238="","",SUMIFS('Per Line'!$Y$2:$Y$4001,'Per Line'!$D$2:$D$4001,$B1238,'Per Line'!$AJ$2:$AJ$4001,1))</f>
        <v/>
      </c>
      <c r="S1238" s="22" t="str">
        <f aca="false">IF($X1238="","",R1238*Q1238)</f>
        <v/>
      </c>
      <c r="T1238" s="22" t="str">
        <f aca="false">IF($X1238="","",S1238+P1238)</f>
        <v/>
      </c>
      <c r="U1238" s="22" t="str">
        <f aca="false">IF($X1238="","",V1238-T1238)</f>
        <v/>
      </c>
      <c r="V1238" s="22" t="str">
        <f aca="false">IF($X1238="","",O1238+R1238)</f>
        <v/>
      </c>
      <c r="W1238" s="22" t="str">
        <f aca="false">IF($X1238="","",U1238-L1238)</f>
        <v/>
      </c>
      <c r="X1238" s="24" t="str">
        <f aca="false">IF(ROWS($X$2:$X1238)&lt;=MAX('Per Line'!$AI$2:$AI$4001),MATCH(ROWS($X$2:$X1238),'Per Line'!$AI$2:$AI$4001,0),"")</f>
        <v/>
      </c>
    </row>
    <row r="1239" customFormat="false" ht="15" hidden="false" customHeight="false" outlineLevel="0" collapsed="false">
      <c r="A1239" s="19"/>
      <c r="B1239" s="20" t="str">
        <f aca="false">IF($X1239="","",INDEX('Per Line'!$D$2:$D$4001,$X1239))</f>
        <v/>
      </c>
      <c r="C1239" s="20" t="str">
        <f aca="false">IF($X1239="","",INDEX('Per Line'!$C$2:$C$4001,$X1239))</f>
        <v/>
      </c>
      <c r="D1239" s="20" t="str">
        <f aca="false">IF($X1239="","",INDEX('Per Line'!$A$2:$A$4001,$X1239))</f>
        <v/>
      </c>
      <c r="E1239" s="21" t="str">
        <f aca="false">IF($X1239="","",INDEX('Per Line'!$F$2:$F$4001,$X1239))</f>
        <v/>
      </c>
      <c r="F1239" s="20" t="str">
        <f aca="false">IF($X1239="","",INDEX('Per Line'!$G$2:$G$4001,$X1239))</f>
        <v/>
      </c>
      <c r="G1239" s="20" t="str">
        <f aca="false">IF($X1239="","",INDEX('Per Line'!$I$2:$I$4001,$X1239))</f>
        <v/>
      </c>
      <c r="H1239" s="20" t="str">
        <f aca="false">IF($X1239="","",INDEX('Per Line'!$J$2:$J$4001,$X1239))</f>
        <v/>
      </c>
      <c r="I1239" s="20" t="str">
        <f aca="false">IF($X1239="","",INDEX('Per Line'!$K$2:$K$4001,$X1239))</f>
        <v/>
      </c>
      <c r="J1239" s="20" t="str">
        <f aca="false">IF($X1239="","",INDEX('Per Line'!$L$2:$L$4001,$X1239))</f>
        <v/>
      </c>
      <c r="K1239" s="20" t="str">
        <f aca="false">IF($X1239="","",INDEX('Per Line'!$M$2:$M$4001,$X1239))</f>
        <v/>
      </c>
      <c r="L1239" s="22" t="str">
        <f aca="false">IF($X1239="","",K1239*V1239/100)</f>
        <v/>
      </c>
      <c r="M1239" s="20" t="str">
        <f aca="false">IF($X1239="","",INDEX('Per Line'!$Z$2:$Z$4001,$X1239))</f>
        <v/>
      </c>
      <c r="N1239" s="23" t="str">
        <f aca="false">IF($X1239="","",Settings!$C$7)</f>
        <v/>
      </c>
      <c r="O1239" s="22" t="str">
        <f aca="false">IF($X1239="","",SUMIFS('Per Line'!$Y$2:$Y$4001,'Per Line'!$D$2:$D$4001,$B1239,'Per Line'!$AJ$2:$AJ$4001,0))</f>
        <v/>
      </c>
      <c r="P1239" s="22" t="str">
        <f aca="false">IF($X1239="","",O1239*N1239)</f>
        <v/>
      </c>
      <c r="Q1239" s="23" t="str">
        <f aca="false">IF($X1239="","",Settings!$C$6)</f>
        <v/>
      </c>
      <c r="R1239" s="22" t="str">
        <f aca="false">IF($X1239="","",SUMIFS('Per Line'!$Y$2:$Y$4001,'Per Line'!$D$2:$D$4001,$B1239,'Per Line'!$AJ$2:$AJ$4001,1))</f>
        <v/>
      </c>
      <c r="S1239" s="22" t="str">
        <f aca="false">IF($X1239="","",R1239*Q1239)</f>
        <v/>
      </c>
      <c r="T1239" s="22" t="str">
        <f aca="false">IF($X1239="","",S1239+P1239)</f>
        <v/>
      </c>
      <c r="U1239" s="22" t="str">
        <f aca="false">IF($X1239="","",V1239-T1239)</f>
        <v/>
      </c>
      <c r="V1239" s="22" t="str">
        <f aca="false">IF($X1239="","",O1239+R1239)</f>
        <v/>
      </c>
      <c r="W1239" s="22" t="str">
        <f aca="false">IF($X1239="","",U1239-L1239)</f>
        <v/>
      </c>
      <c r="X1239" s="24" t="str">
        <f aca="false">IF(ROWS($X$2:$X1239)&lt;=MAX('Per Line'!$AI$2:$AI$4001),MATCH(ROWS($X$2:$X1239),'Per Line'!$AI$2:$AI$4001,0),"")</f>
        <v/>
      </c>
    </row>
    <row r="1240" customFormat="false" ht="15" hidden="false" customHeight="false" outlineLevel="0" collapsed="false">
      <c r="A1240" s="19"/>
      <c r="B1240" s="20" t="str">
        <f aca="false">IF($X1240="","",INDEX('Per Line'!$D$2:$D$4001,$X1240))</f>
        <v/>
      </c>
      <c r="C1240" s="20" t="str">
        <f aca="false">IF($X1240="","",INDEX('Per Line'!$C$2:$C$4001,$X1240))</f>
        <v/>
      </c>
      <c r="D1240" s="20" t="str">
        <f aca="false">IF($X1240="","",INDEX('Per Line'!$A$2:$A$4001,$X1240))</f>
        <v/>
      </c>
      <c r="E1240" s="21" t="str">
        <f aca="false">IF($X1240="","",INDEX('Per Line'!$F$2:$F$4001,$X1240))</f>
        <v/>
      </c>
      <c r="F1240" s="20" t="str">
        <f aca="false">IF($X1240="","",INDEX('Per Line'!$G$2:$G$4001,$X1240))</f>
        <v/>
      </c>
      <c r="G1240" s="20" t="str">
        <f aca="false">IF($X1240="","",INDEX('Per Line'!$I$2:$I$4001,$X1240))</f>
        <v/>
      </c>
      <c r="H1240" s="20" t="str">
        <f aca="false">IF($X1240="","",INDEX('Per Line'!$J$2:$J$4001,$X1240))</f>
        <v/>
      </c>
      <c r="I1240" s="20" t="str">
        <f aca="false">IF($X1240="","",INDEX('Per Line'!$K$2:$K$4001,$X1240))</f>
        <v/>
      </c>
      <c r="J1240" s="20" t="str">
        <f aca="false">IF($X1240="","",INDEX('Per Line'!$L$2:$L$4001,$X1240))</f>
        <v/>
      </c>
      <c r="K1240" s="20" t="str">
        <f aca="false">IF($X1240="","",INDEX('Per Line'!$M$2:$M$4001,$X1240))</f>
        <v/>
      </c>
      <c r="L1240" s="22" t="str">
        <f aca="false">IF($X1240="","",K1240*V1240/100)</f>
        <v/>
      </c>
      <c r="M1240" s="20" t="str">
        <f aca="false">IF($X1240="","",INDEX('Per Line'!$Z$2:$Z$4001,$X1240))</f>
        <v/>
      </c>
      <c r="N1240" s="23" t="str">
        <f aca="false">IF($X1240="","",Settings!$C$7)</f>
        <v/>
      </c>
      <c r="O1240" s="22" t="str">
        <f aca="false">IF($X1240="","",SUMIFS('Per Line'!$Y$2:$Y$4001,'Per Line'!$D$2:$D$4001,$B1240,'Per Line'!$AJ$2:$AJ$4001,0))</f>
        <v/>
      </c>
      <c r="P1240" s="22" t="str">
        <f aca="false">IF($X1240="","",O1240*N1240)</f>
        <v/>
      </c>
      <c r="Q1240" s="23" t="str">
        <f aca="false">IF($X1240="","",Settings!$C$6)</f>
        <v/>
      </c>
      <c r="R1240" s="22" t="str">
        <f aca="false">IF($X1240="","",SUMIFS('Per Line'!$Y$2:$Y$4001,'Per Line'!$D$2:$D$4001,$B1240,'Per Line'!$AJ$2:$AJ$4001,1))</f>
        <v/>
      </c>
      <c r="S1240" s="22" t="str">
        <f aca="false">IF($X1240="","",R1240*Q1240)</f>
        <v/>
      </c>
      <c r="T1240" s="22" t="str">
        <f aca="false">IF($X1240="","",S1240+P1240)</f>
        <v/>
      </c>
      <c r="U1240" s="22" t="str">
        <f aca="false">IF($X1240="","",V1240-T1240)</f>
        <v/>
      </c>
      <c r="V1240" s="22" t="str">
        <f aca="false">IF($X1240="","",O1240+R1240)</f>
        <v/>
      </c>
      <c r="W1240" s="22" t="str">
        <f aca="false">IF($X1240="","",U1240-L1240)</f>
        <v/>
      </c>
      <c r="X1240" s="24" t="str">
        <f aca="false">IF(ROWS($X$2:$X1240)&lt;=MAX('Per Line'!$AI$2:$AI$4001),MATCH(ROWS($X$2:$X1240),'Per Line'!$AI$2:$AI$4001,0),"")</f>
        <v/>
      </c>
    </row>
    <row r="1241" customFormat="false" ht="15" hidden="false" customHeight="false" outlineLevel="0" collapsed="false">
      <c r="A1241" s="19"/>
      <c r="B1241" s="20" t="str">
        <f aca="false">IF($X1241="","",INDEX('Per Line'!$D$2:$D$4001,$X1241))</f>
        <v/>
      </c>
      <c r="C1241" s="20" t="str">
        <f aca="false">IF($X1241="","",INDEX('Per Line'!$C$2:$C$4001,$X1241))</f>
        <v/>
      </c>
      <c r="D1241" s="20" t="str">
        <f aca="false">IF($X1241="","",INDEX('Per Line'!$A$2:$A$4001,$X1241))</f>
        <v/>
      </c>
      <c r="E1241" s="21" t="str">
        <f aca="false">IF($X1241="","",INDEX('Per Line'!$F$2:$F$4001,$X1241))</f>
        <v/>
      </c>
      <c r="F1241" s="20" t="str">
        <f aca="false">IF($X1241="","",INDEX('Per Line'!$G$2:$G$4001,$X1241))</f>
        <v/>
      </c>
      <c r="G1241" s="20" t="str">
        <f aca="false">IF($X1241="","",INDEX('Per Line'!$I$2:$I$4001,$X1241))</f>
        <v/>
      </c>
      <c r="H1241" s="20" t="str">
        <f aca="false">IF($X1241="","",INDEX('Per Line'!$J$2:$J$4001,$X1241))</f>
        <v/>
      </c>
      <c r="I1241" s="20" t="str">
        <f aca="false">IF($X1241="","",INDEX('Per Line'!$K$2:$K$4001,$X1241))</f>
        <v/>
      </c>
      <c r="J1241" s="20" t="str">
        <f aca="false">IF($X1241="","",INDEX('Per Line'!$L$2:$L$4001,$X1241))</f>
        <v/>
      </c>
      <c r="K1241" s="20" t="str">
        <f aca="false">IF($X1241="","",INDEX('Per Line'!$M$2:$M$4001,$X1241))</f>
        <v/>
      </c>
      <c r="L1241" s="22" t="str">
        <f aca="false">IF($X1241="","",K1241*V1241/100)</f>
        <v/>
      </c>
      <c r="M1241" s="20" t="str">
        <f aca="false">IF($X1241="","",INDEX('Per Line'!$Z$2:$Z$4001,$X1241))</f>
        <v/>
      </c>
      <c r="N1241" s="23" t="str">
        <f aca="false">IF($X1241="","",Settings!$C$7)</f>
        <v/>
      </c>
      <c r="O1241" s="22" t="str">
        <f aca="false">IF($X1241="","",SUMIFS('Per Line'!$Y$2:$Y$4001,'Per Line'!$D$2:$D$4001,$B1241,'Per Line'!$AJ$2:$AJ$4001,0))</f>
        <v/>
      </c>
      <c r="P1241" s="22" t="str">
        <f aca="false">IF($X1241="","",O1241*N1241)</f>
        <v/>
      </c>
      <c r="Q1241" s="23" t="str">
        <f aca="false">IF($X1241="","",Settings!$C$6)</f>
        <v/>
      </c>
      <c r="R1241" s="22" t="str">
        <f aca="false">IF($X1241="","",SUMIFS('Per Line'!$Y$2:$Y$4001,'Per Line'!$D$2:$D$4001,$B1241,'Per Line'!$AJ$2:$AJ$4001,1))</f>
        <v/>
      </c>
      <c r="S1241" s="22" t="str">
        <f aca="false">IF($X1241="","",R1241*Q1241)</f>
        <v/>
      </c>
      <c r="T1241" s="22" t="str">
        <f aca="false">IF($X1241="","",S1241+P1241)</f>
        <v/>
      </c>
      <c r="U1241" s="22" t="str">
        <f aca="false">IF($X1241="","",V1241-T1241)</f>
        <v/>
      </c>
      <c r="V1241" s="22" t="str">
        <f aca="false">IF($X1241="","",O1241+R1241)</f>
        <v/>
      </c>
      <c r="W1241" s="22" t="str">
        <f aca="false">IF($X1241="","",U1241-L1241)</f>
        <v/>
      </c>
      <c r="X1241" s="24" t="str">
        <f aca="false">IF(ROWS($X$2:$X1241)&lt;=MAX('Per Line'!$AI$2:$AI$4001),MATCH(ROWS($X$2:$X1241),'Per Line'!$AI$2:$AI$4001,0),"")</f>
        <v/>
      </c>
    </row>
    <row r="1242" customFormat="false" ht="15" hidden="false" customHeight="false" outlineLevel="0" collapsed="false">
      <c r="A1242" s="19"/>
      <c r="B1242" s="20" t="str">
        <f aca="false">IF($X1242="","",INDEX('Per Line'!$D$2:$D$4001,$X1242))</f>
        <v/>
      </c>
      <c r="C1242" s="20" t="str">
        <f aca="false">IF($X1242="","",INDEX('Per Line'!$C$2:$C$4001,$X1242))</f>
        <v/>
      </c>
      <c r="D1242" s="20" t="str">
        <f aca="false">IF($X1242="","",INDEX('Per Line'!$A$2:$A$4001,$X1242))</f>
        <v/>
      </c>
      <c r="E1242" s="21" t="str">
        <f aca="false">IF($X1242="","",INDEX('Per Line'!$F$2:$F$4001,$X1242))</f>
        <v/>
      </c>
      <c r="F1242" s="20" t="str">
        <f aca="false">IF($X1242="","",INDEX('Per Line'!$G$2:$G$4001,$X1242))</f>
        <v/>
      </c>
      <c r="G1242" s="20" t="str">
        <f aca="false">IF($X1242="","",INDEX('Per Line'!$I$2:$I$4001,$X1242))</f>
        <v/>
      </c>
      <c r="H1242" s="20" t="str">
        <f aca="false">IF($X1242="","",INDEX('Per Line'!$J$2:$J$4001,$X1242))</f>
        <v/>
      </c>
      <c r="I1242" s="20" t="str">
        <f aca="false">IF($X1242="","",INDEX('Per Line'!$K$2:$K$4001,$X1242))</f>
        <v/>
      </c>
      <c r="J1242" s="20" t="str">
        <f aca="false">IF($X1242="","",INDEX('Per Line'!$L$2:$L$4001,$X1242))</f>
        <v/>
      </c>
      <c r="K1242" s="20" t="str">
        <f aca="false">IF($X1242="","",INDEX('Per Line'!$M$2:$M$4001,$X1242))</f>
        <v/>
      </c>
      <c r="L1242" s="22" t="str">
        <f aca="false">IF($X1242="","",K1242*V1242/100)</f>
        <v/>
      </c>
      <c r="M1242" s="20" t="str">
        <f aca="false">IF($X1242="","",INDEX('Per Line'!$Z$2:$Z$4001,$X1242))</f>
        <v/>
      </c>
      <c r="N1242" s="23" t="str">
        <f aca="false">IF($X1242="","",Settings!$C$7)</f>
        <v/>
      </c>
      <c r="O1242" s="22" t="str">
        <f aca="false">IF($X1242="","",SUMIFS('Per Line'!$Y$2:$Y$4001,'Per Line'!$D$2:$D$4001,$B1242,'Per Line'!$AJ$2:$AJ$4001,0))</f>
        <v/>
      </c>
      <c r="P1242" s="22" t="str">
        <f aca="false">IF($X1242="","",O1242*N1242)</f>
        <v/>
      </c>
      <c r="Q1242" s="23" t="str">
        <f aca="false">IF($X1242="","",Settings!$C$6)</f>
        <v/>
      </c>
      <c r="R1242" s="22" t="str">
        <f aca="false">IF($X1242="","",SUMIFS('Per Line'!$Y$2:$Y$4001,'Per Line'!$D$2:$D$4001,$B1242,'Per Line'!$AJ$2:$AJ$4001,1))</f>
        <v/>
      </c>
      <c r="S1242" s="22" t="str">
        <f aca="false">IF($X1242="","",R1242*Q1242)</f>
        <v/>
      </c>
      <c r="T1242" s="22" t="str">
        <f aca="false">IF($X1242="","",S1242+P1242)</f>
        <v/>
      </c>
      <c r="U1242" s="22" t="str">
        <f aca="false">IF($X1242="","",V1242-T1242)</f>
        <v/>
      </c>
      <c r="V1242" s="22" t="str">
        <f aca="false">IF($X1242="","",O1242+R1242)</f>
        <v/>
      </c>
      <c r="W1242" s="22" t="str">
        <f aca="false">IF($X1242="","",U1242-L1242)</f>
        <v/>
      </c>
      <c r="X1242" s="24" t="str">
        <f aca="false">IF(ROWS($X$2:$X1242)&lt;=MAX('Per Line'!$AI$2:$AI$4001),MATCH(ROWS($X$2:$X1242),'Per Line'!$AI$2:$AI$4001,0),"")</f>
        <v/>
      </c>
    </row>
    <row r="1243" customFormat="false" ht="15" hidden="false" customHeight="false" outlineLevel="0" collapsed="false">
      <c r="A1243" s="19"/>
      <c r="B1243" s="20" t="str">
        <f aca="false">IF($X1243="","",INDEX('Per Line'!$D$2:$D$4001,$X1243))</f>
        <v/>
      </c>
      <c r="C1243" s="20" t="str">
        <f aca="false">IF($X1243="","",INDEX('Per Line'!$C$2:$C$4001,$X1243))</f>
        <v/>
      </c>
      <c r="D1243" s="20" t="str">
        <f aca="false">IF($X1243="","",INDEX('Per Line'!$A$2:$A$4001,$X1243))</f>
        <v/>
      </c>
      <c r="E1243" s="21" t="str">
        <f aca="false">IF($X1243="","",INDEX('Per Line'!$F$2:$F$4001,$X1243))</f>
        <v/>
      </c>
      <c r="F1243" s="20" t="str">
        <f aca="false">IF($X1243="","",INDEX('Per Line'!$G$2:$G$4001,$X1243))</f>
        <v/>
      </c>
      <c r="G1243" s="20" t="str">
        <f aca="false">IF($X1243="","",INDEX('Per Line'!$I$2:$I$4001,$X1243))</f>
        <v/>
      </c>
      <c r="H1243" s="20" t="str">
        <f aca="false">IF($X1243="","",INDEX('Per Line'!$J$2:$J$4001,$X1243))</f>
        <v/>
      </c>
      <c r="I1243" s="20" t="str">
        <f aca="false">IF($X1243="","",INDEX('Per Line'!$K$2:$K$4001,$X1243))</f>
        <v/>
      </c>
      <c r="J1243" s="20" t="str">
        <f aca="false">IF($X1243="","",INDEX('Per Line'!$L$2:$L$4001,$X1243))</f>
        <v/>
      </c>
      <c r="K1243" s="20" t="str">
        <f aca="false">IF($X1243="","",INDEX('Per Line'!$M$2:$M$4001,$X1243))</f>
        <v/>
      </c>
      <c r="L1243" s="22" t="str">
        <f aca="false">IF($X1243="","",K1243*V1243/100)</f>
        <v/>
      </c>
      <c r="M1243" s="20" t="str">
        <f aca="false">IF($X1243="","",INDEX('Per Line'!$Z$2:$Z$4001,$X1243))</f>
        <v/>
      </c>
      <c r="N1243" s="23" t="str">
        <f aca="false">IF($X1243="","",Settings!$C$7)</f>
        <v/>
      </c>
      <c r="O1243" s="22" t="str">
        <f aca="false">IF($X1243="","",SUMIFS('Per Line'!$Y$2:$Y$4001,'Per Line'!$D$2:$D$4001,$B1243,'Per Line'!$AJ$2:$AJ$4001,0))</f>
        <v/>
      </c>
      <c r="P1243" s="22" t="str">
        <f aca="false">IF($X1243="","",O1243*N1243)</f>
        <v/>
      </c>
      <c r="Q1243" s="23" t="str">
        <f aca="false">IF($X1243="","",Settings!$C$6)</f>
        <v/>
      </c>
      <c r="R1243" s="22" t="str">
        <f aca="false">IF($X1243="","",SUMIFS('Per Line'!$Y$2:$Y$4001,'Per Line'!$D$2:$D$4001,$B1243,'Per Line'!$AJ$2:$AJ$4001,1))</f>
        <v/>
      </c>
      <c r="S1243" s="22" t="str">
        <f aca="false">IF($X1243="","",R1243*Q1243)</f>
        <v/>
      </c>
      <c r="T1243" s="22" t="str">
        <f aca="false">IF($X1243="","",S1243+P1243)</f>
        <v/>
      </c>
      <c r="U1243" s="22" t="str">
        <f aca="false">IF($X1243="","",V1243-T1243)</f>
        <v/>
      </c>
      <c r="V1243" s="22" t="str">
        <f aca="false">IF($X1243="","",O1243+R1243)</f>
        <v/>
      </c>
      <c r="W1243" s="22" t="str">
        <f aca="false">IF($X1243="","",U1243-L1243)</f>
        <v/>
      </c>
      <c r="X1243" s="24" t="str">
        <f aca="false">IF(ROWS($X$2:$X1243)&lt;=MAX('Per Line'!$AI$2:$AI$4001),MATCH(ROWS($X$2:$X1243),'Per Line'!$AI$2:$AI$4001,0),"")</f>
        <v/>
      </c>
    </row>
    <row r="1244" customFormat="false" ht="15" hidden="false" customHeight="false" outlineLevel="0" collapsed="false">
      <c r="A1244" s="19"/>
      <c r="B1244" s="20" t="str">
        <f aca="false">IF($X1244="","",INDEX('Per Line'!$D$2:$D$4001,$X1244))</f>
        <v/>
      </c>
      <c r="C1244" s="20" t="str">
        <f aca="false">IF($X1244="","",INDEX('Per Line'!$C$2:$C$4001,$X1244))</f>
        <v/>
      </c>
      <c r="D1244" s="20" t="str">
        <f aca="false">IF($X1244="","",INDEX('Per Line'!$A$2:$A$4001,$X1244))</f>
        <v/>
      </c>
      <c r="E1244" s="21" t="str">
        <f aca="false">IF($X1244="","",INDEX('Per Line'!$F$2:$F$4001,$X1244))</f>
        <v/>
      </c>
      <c r="F1244" s="20" t="str">
        <f aca="false">IF($X1244="","",INDEX('Per Line'!$G$2:$G$4001,$X1244))</f>
        <v/>
      </c>
      <c r="G1244" s="20" t="str">
        <f aca="false">IF($X1244="","",INDEX('Per Line'!$I$2:$I$4001,$X1244))</f>
        <v/>
      </c>
      <c r="H1244" s="20" t="str">
        <f aca="false">IF($X1244="","",INDEX('Per Line'!$J$2:$J$4001,$X1244))</f>
        <v/>
      </c>
      <c r="I1244" s="20" t="str">
        <f aca="false">IF($X1244="","",INDEX('Per Line'!$K$2:$K$4001,$X1244))</f>
        <v/>
      </c>
      <c r="J1244" s="20" t="str">
        <f aca="false">IF($X1244="","",INDEX('Per Line'!$L$2:$L$4001,$X1244))</f>
        <v/>
      </c>
      <c r="K1244" s="20" t="str">
        <f aca="false">IF($X1244="","",INDEX('Per Line'!$M$2:$M$4001,$X1244))</f>
        <v/>
      </c>
      <c r="L1244" s="22" t="str">
        <f aca="false">IF($X1244="","",K1244*V1244/100)</f>
        <v/>
      </c>
      <c r="M1244" s="20" t="str">
        <f aca="false">IF($X1244="","",INDEX('Per Line'!$Z$2:$Z$4001,$X1244))</f>
        <v/>
      </c>
      <c r="N1244" s="23" t="str">
        <f aca="false">IF($X1244="","",Settings!$C$7)</f>
        <v/>
      </c>
      <c r="O1244" s="22" t="str">
        <f aca="false">IF($X1244="","",SUMIFS('Per Line'!$Y$2:$Y$4001,'Per Line'!$D$2:$D$4001,$B1244,'Per Line'!$AJ$2:$AJ$4001,0))</f>
        <v/>
      </c>
      <c r="P1244" s="22" t="str">
        <f aca="false">IF($X1244="","",O1244*N1244)</f>
        <v/>
      </c>
      <c r="Q1244" s="23" t="str">
        <f aca="false">IF($X1244="","",Settings!$C$6)</f>
        <v/>
      </c>
      <c r="R1244" s="22" t="str">
        <f aca="false">IF($X1244="","",SUMIFS('Per Line'!$Y$2:$Y$4001,'Per Line'!$D$2:$D$4001,$B1244,'Per Line'!$AJ$2:$AJ$4001,1))</f>
        <v/>
      </c>
      <c r="S1244" s="22" t="str">
        <f aca="false">IF($X1244="","",R1244*Q1244)</f>
        <v/>
      </c>
      <c r="T1244" s="22" t="str">
        <f aca="false">IF($X1244="","",S1244+P1244)</f>
        <v/>
      </c>
      <c r="U1244" s="22" t="str">
        <f aca="false">IF($X1244="","",V1244-T1244)</f>
        <v/>
      </c>
      <c r="V1244" s="22" t="str">
        <f aca="false">IF($X1244="","",O1244+R1244)</f>
        <v/>
      </c>
      <c r="W1244" s="22" t="str">
        <f aca="false">IF($X1244="","",U1244-L1244)</f>
        <v/>
      </c>
      <c r="X1244" s="24" t="str">
        <f aca="false">IF(ROWS($X$2:$X1244)&lt;=MAX('Per Line'!$AI$2:$AI$4001),MATCH(ROWS($X$2:$X1244),'Per Line'!$AI$2:$AI$4001,0),"")</f>
        <v/>
      </c>
    </row>
    <row r="1245" customFormat="false" ht="15" hidden="false" customHeight="false" outlineLevel="0" collapsed="false">
      <c r="A1245" s="19"/>
      <c r="B1245" s="20" t="str">
        <f aca="false">IF($X1245="","",INDEX('Per Line'!$D$2:$D$4001,$X1245))</f>
        <v/>
      </c>
      <c r="C1245" s="20" t="str">
        <f aca="false">IF($X1245="","",INDEX('Per Line'!$C$2:$C$4001,$X1245))</f>
        <v/>
      </c>
      <c r="D1245" s="20" t="str">
        <f aca="false">IF($X1245="","",INDEX('Per Line'!$A$2:$A$4001,$X1245))</f>
        <v/>
      </c>
      <c r="E1245" s="21" t="str">
        <f aca="false">IF($X1245="","",INDEX('Per Line'!$F$2:$F$4001,$X1245))</f>
        <v/>
      </c>
      <c r="F1245" s="20" t="str">
        <f aca="false">IF($X1245="","",INDEX('Per Line'!$G$2:$G$4001,$X1245))</f>
        <v/>
      </c>
      <c r="G1245" s="20" t="str">
        <f aca="false">IF($X1245="","",INDEX('Per Line'!$I$2:$I$4001,$X1245))</f>
        <v/>
      </c>
      <c r="H1245" s="20" t="str">
        <f aca="false">IF($X1245="","",INDEX('Per Line'!$J$2:$J$4001,$X1245))</f>
        <v/>
      </c>
      <c r="I1245" s="20" t="str">
        <f aca="false">IF($X1245="","",INDEX('Per Line'!$K$2:$K$4001,$X1245))</f>
        <v/>
      </c>
      <c r="J1245" s="20" t="str">
        <f aca="false">IF($X1245="","",INDEX('Per Line'!$L$2:$L$4001,$X1245))</f>
        <v/>
      </c>
      <c r="K1245" s="20" t="str">
        <f aca="false">IF($X1245="","",INDEX('Per Line'!$M$2:$M$4001,$X1245))</f>
        <v/>
      </c>
      <c r="L1245" s="22" t="str">
        <f aca="false">IF($X1245="","",K1245*V1245/100)</f>
        <v/>
      </c>
      <c r="M1245" s="20" t="str">
        <f aca="false">IF($X1245="","",INDEX('Per Line'!$Z$2:$Z$4001,$X1245))</f>
        <v/>
      </c>
      <c r="N1245" s="23" t="str">
        <f aca="false">IF($X1245="","",Settings!$C$7)</f>
        <v/>
      </c>
      <c r="O1245" s="22" t="str">
        <f aca="false">IF($X1245="","",SUMIFS('Per Line'!$Y$2:$Y$4001,'Per Line'!$D$2:$D$4001,$B1245,'Per Line'!$AJ$2:$AJ$4001,0))</f>
        <v/>
      </c>
      <c r="P1245" s="22" t="str">
        <f aca="false">IF($X1245="","",O1245*N1245)</f>
        <v/>
      </c>
      <c r="Q1245" s="23" t="str">
        <f aca="false">IF($X1245="","",Settings!$C$6)</f>
        <v/>
      </c>
      <c r="R1245" s="22" t="str">
        <f aca="false">IF($X1245="","",SUMIFS('Per Line'!$Y$2:$Y$4001,'Per Line'!$D$2:$D$4001,$B1245,'Per Line'!$AJ$2:$AJ$4001,1))</f>
        <v/>
      </c>
      <c r="S1245" s="22" t="str">
        <f aca="false">IF($X1245="","",R1245*Q1245)</f>
        <v/>
      </c>
      <c r="T1245" s="22" t="str">
        <f aca="false">IF($X1245="","",S1245+P1245)</f>
        <v/>
      </c>
      <c r="U1245" s="22" t="str">
        <f aca="false">IF($X1245="","",V1245-T1245)</f>
        <v/>
      </c>
      <c r="V1245" s="22" t="str">
        <f aca="false">IF($X1245="","",O1245+R1245)</f>
        <v/>
      </c>
      <c r="W1245" s="22" t="str">
        <f aca="false">IF($X1245="","",U1245-L1245)</f>
        <v/>
      </c>
      <c r="X1245" s="24" t="str">
        <f aca="false">IF(ROWS($X$2:$X1245)&lt;=MAX('Per Line'!$AI$2:$AI$4001),MATCH(ROWS($X$2:$X1245),'Per Line'!$AI$2:$AI$4001,0),"")</f>
        <v/>
      </c>
    </row>
    <row r="1246" customFormat="false" ht="15" hidden="false" customHeight="false" outlineLevel="0" collapsed="false">
      <c r="A1246" s="19"/>
      <c r="B1246" s="20" t="str">
        <f aca="false">IF($X1246="","",INDEX('Per Line'!$D$2:$D$4001,$X1246))</f>
        <v/>
      </c>
      <c r="C1246" s="20" t="str">
        <f aca="false">IF($X1246="","",INDEX('Per Line'!$C$2:$C$4001,$X1246))</f>
        <v/>
      </c>
      <c r="D1246" s="20" t="str">
        <f aca="false">IF($X1246="","",INDEX('Per Line'!$A$2:$A$4001,$X1246))</f>
        <v/>
      </c>
      <c r="E1246" s="21" t="str">
        <f aca="false">IF($X1246="","",INDEX('Per Line'!$F$2:$F$4001,$X1246))</f>
        <v/>
      </c>
      <c r="F1246" s="20" t="str">
        <f aca="false">IF($X1246="","",INDEX('Per Line'!$G$2:$G$4001,$X1246))</f>
        <v/>
      </c>
      <c r="G1246" s="20" t="str">
        <f aca="false">IF($X1246="","",INDEX('Per Line'!$I$2:$I$4001,$X1246))</f>
        <v/>
      </c>
      <c r="H1246" s="20" t="str">
        <f aca="false">IF($X1246="","",INDEX('Per Line'!$J$2:$J$4001,$X1246))</f>
        <v/>
      </c>
      <c r="I1246" s="20" t="str">
        <f aca="false">IF($X1246="","",INDEX('Per Line'!$K$2:$K$4001,$X1246))</f>
        <v/>
      </c>
      <c r="J1246" s="20" t="str">
        <f aca="false">IF($X1246="","",INDEX('Per Line'!$L$2:$L$4001,$X1246))</f>
        <v/>
      </c>
      <c r="K1246" s="20" t="str">
        <f aca="false">IF($X1246="","",INDEX('Per Line'!$M$2:$M$4001,$X1246))</f>
        <v/>
      </c>
      <c r="L1246" s="22" t="str">
        <f aca="false">IF($X1246="","",K1246*V1246/100)</f>
        <v/>
      </c>
      <c r="M1246" s="20" t="str">
        <f aca="false">IF($X1246="","",INDEX('Per Line'!$Z$2:$Z$4001,$X1246))</f>
        <v/>
      </c>
      <c r="N1246" s="23" t="str">
        <f aca="false">IF($X1246="","",Settings!$C$7)</f>
        <v/>
      </c>
      <c r="O1246" s="22" t="str">
        <f aca="false">IF($X1246="","",SUMIFS('Per Line'!$Y$2:$Y$4001,'Per Line'!$D$2:$D$4001,$B1246,'Per Line'!$AJ$2:$AJ$4001,0))</f>
        <v/>
      </c>
      <c r="P1246" s="22" t="str">
        <f aca="false">IF($X1246="","",O1246*N1246)</f>
        <v/>
      </c>
      <c r="Q1246" s="23" t="str">
        <f aca="false">IF($X1246="","",Settings!$C$6)</f>
        <v/>
      </c>
      <c r="R1246" s="22" t="str">
        <f aca="false">IF($X1246="","",SUMIFS('Per Line'!$Y$2:$Y$4001,'Per Line'!$D$2:$D$4001,$B1246,'Per Line'!$AJ$2:$AJ$4001,1))</f>
        <v/>
      </c>
      <c r="S1246" s="22" t="str">
        <f aca="false">IF($X1246="","",R1246*Q1246)</f>
        <v/>
      </c>
      <c r="T1246" s="22" t="str">
        <f aca="false">IF($X1246="","",S1246+P1246)</f>
        <v/>
      </c>
      <c r="U1246" s="22" t="str">
        <f aca="false">IF($X1246="","",V1246-T1246)</f>
        <v/>
      </c>
      <c r="V1246" s="22" t="str">
        <f aca="false">IF($X1246="","",O1246+R1246)</f>
        <v/>
      </c>
      <c r="W1246" s="22" t="str">
        <f aca="false">IF($X1246="","",U1246-L1246)</f>
        <v/>
      </c>
      <c r="X1246" s="24" t="str">
        <f aca="false">IF(ROWS($X$2:$X1246)&lt;=MAX('Per Line'!$AI$2:$AI$4001),MATCH(ROWS($X$2:$X1246),'Per Line'!$AI$2:$AI$4001,0),"")</f>
        <v/>
      </c>
    </row>
    <row r="1247" customFormat="false" ht="15" hidden="false" customHeight="false" outlineLevel="0" collapsed="false">
      <c r="A1247" s="19"/>
      <c r="B1247" s="20" t="str">
        <f aca="false">IF($X1247="","",INDEX('Per Line'!$D$2:$D$4001,$X1247))</f>
        <v/>
      </c>
      <c r="C1247" s="20" t="str">
        <f aca="false">IF($X1247="","",INDEX('Per Line'!$C$2:$C$4001,$X1247))</f>
        <v/>
      </c>
      <c r="D1247" s="20" t="str">
        <f aca="false">IF($X1247="","",INDEX('Per Line'!$A$2:$A$4001,$X1247))</f>
        <v/>
      </c>
      <c r="E1247" s="21" t="str">
        <f aca="false">IF($X1247="","",INDEX('Per Line'!$F$2:$F$4001,$X1247))</f>
        <v/>
      </c>
      <c r="F1247" s="20" t="str">
        <f aca="false">IF($X1247="","",INDEX('Per Line'!$G$2:$G$4001,$X1247))</f>
        <v/>
      </c>
      <c r="G1247" s="20" t="str">
        <f aca="false">IF($X1247="","",INDEX('Per Line'!$I$2:$I$4001,$X1247))</f>
        <v/>
      </c>
      <c r="H1247" s="20" t="str">
        <f aca="false">IF($X1247="","",INDEX('Per Line'!$J$2:$J$4001,$X1247))</f>
        <v/>
      </c>
      <c r="I1247" s="20" t="str">
        <f aca="false">IF($X1247="","",INDEX('Per Line'!$K$2:$K$4001,$X1247))</f>
        <v/>
      </c>
      <c r="J1247" s="20" t="str">
        <f aca="false">IF($X1247="","",INDEX('Per Line'!$L$2:$L$4001,$X1247))</f>
        <v/>
      </c>
      <c r="K1247" s="20" t="str">
        <f aca="false">IF($X1247="","",INDEX('Per Line'!$M$2:$M$4001,$X1247))</f>
        <v/>
      </c>
      <c r="L1247" s="22" t="str">
        <f aca="false">IF($X1247="","",K1247*V1247/100)</f>
        <v/>
      </c>
      <c r="M1247" s="20" t="str">
        <f aca="false">IF($X1247="","",INDEX('Per Line'!$Z$2:$Z$4001,$X1247))</f>
        <v/>
      </c>
      <c r="N1247" s="23" t="str">
        <f aca="false">IF($X1247="","",Settings!$C$7)</f>
        <v/>
      </c>
      <c r="O1247" s="22" t="str">
        <f aca="false">IF($X1247="","",SUMIFS('Per Line'!$Y$2:$Y$4001,'Per Line'!$D$2:$D$4001,$B1247,'Per Line'!$AJ$2:$AJ$4001,0))</f>
        <v/>
      </c>
      <c r="P1247" s="22" t="str">
        <f aca="false">IF($X1247="","",O1247*N1247)</f>
        <v/>
      </c>
      <c r="Q1247" s="23" t="str">
        <f aca="false">IF($X1247="","",Settings!$C$6)</f>
        <v/>
      </c>
      <c r="R1247" s="22" t="str">
        <f aca="false">IF($X1247="","",SUMIFS('Per Line'!$Y$2:$Y$4001,'Per Line'!$D$2:$D$4001,$B1247,'Per Line'!$AJ$2:$AJ$4001,1))</f>
        <v/>
      </c>
      <c r="S1247" s="22" t="str">
        <f aca="false">IF($X1247="","",R1247*Q1247)</f>
        <v/>
      </c>
      <c r="T1247" s="22" t="str">
        <f aca="false">IF($X1247="","",S1247+P1247)</f>
        <v/>
      </c>
      <c r="U1247" s="22" t="str">
        <f aca="false">IF($X1247="","",V1247-T1247)</f>
        <v/>
      </c>
      <c r="V1247" s="22" t="str">
        <f aca="false">IF($X1247="","",O1247+R1247)</f>
        <v/>
      </c>
      <c r="W1247" s="22" t="str">
        <f aca="false">IF($X1247="","",U1247-L1247)</f>
        <v/>
      </c>
      <c r="X1247" s="24" t="str">
        <f aca="false">IF(ROWS($X$2:$X1247)&lt;=MAX('Per Line'!$AI$2:$AI$4001),MATCH(ROWS($X$2:$X1247),'Per Line'!$AI$2:$AI$4001,0),"")</f>
        <v/>
      </c>
    </row>
    <row r="1248" customFormat="false" ht="15" hidden="false" customHeight="false" outlineLevel="0" collapsed="false">
      <c r="A1248" s="19"/>
      <c r="B1248" s="20" t="str">
        <f aca="false">IF($X1248="","",INDEX('Per Line'!$D$2:$D$4001,$X1248))</f>
        <v/>
      </c>
      <c r="C1248" s="20" t="str">
        <f aca="false">IF($X1248="","",INDEX('Per Line'!$C$2:$C$4001,$X1248))</f>
        <v/>
      </c>
      <c r="D1248" s="20" t="str">
        <f aca="false">IF($X1248="","",INDEX('Per Line'!$A$2:$A$4001,$X1248))</f>
        <v/>
      </c>
      <c r="E1248" s="21" t="str">
        <f aca="false">IF($X1248="","",INDEX('Per Line'!$F$2:$F$4001,$X1248))</f>
        <v/>
      </c>
      <c r="F1248" s="20" t="str">
        <f aca="false">IF($X1248="","",INDEX('Per Line'!$G$2:$G$4001,$X1248))</f>
        <v/>
      </c>
      <c r="G1248" s="20" t="str">
        <f aca="false">IF($X1248="","",INDEX('Per Line'!$I$2:$I$4001,$X1248))</f>
        <v/>
      </c>
      <c r="H1248" s="20" t="str">
        <f aca="false">IF($X1248="","",INDEX('Per Line'!$J$2:$J$4001,$X1248))</f>
        <v/>
      </c>
      <c r="I1248" s="20" t="str">
        <f aca="false">IF($X1248="","",INDEX('Per Line'!$K$2:$K$4001,$X1248))</f>
        <v/>
      </c>
      <c r="J1248" s="20" t="str">
        <f aca="false">IF($X1248="","",INDEX('Per Line'!$L$2:$L$4001,$X1248))</f>
        <v/>
      </c>
      <c r="K1248" s="20" t="str">
        <f aca="false">IF($X1248="","",INDEX('Per Line'!$M$2:$M$4001,$X1248))</f>
        <v/>
      </c>
      <c r="L1248" s="22" t="str">
        <f aca="false">IF($X1248="","",K1248*V1248/100)</f>
        <v/>
      </c>
      <c r="M1248" s="20" t="str">
        <f aca="false">IF($X1248="","",INDEX('Per Line'!$Z$2:$Z$4001,$X1248))</f>
        <v/>
      </c>
      <c r="N1248" s="23" t="str">
        <f aca="false">IF($X1248="","",Settings!$C$7)</f>
        <v/>
      </c>
      <c r="O1248" s="22" t="str">
        <f aca="false">IF($X1248="","",SUMIFS('Per Line'!$Y$2:$Y$4001,'Per Line'!$D$2:$D$4001,$B1248,'Per Line'!$AJ$2:$AJ$4001,0))</f>
        <v/>
      </c>
      <c r="P1248" s="22" t="str">
        <f aca="false">IF($X1248="","",O1248*N1248)</f>
        <v/>
      </c>
      <c r="Q1248" s="23" t="str">
        <f aca="false">IF($X1248="","",Settings!$C$6)</f>
        <v/>
      </c>
      <c r="R1248" s="22" t="str">
        <f aca="false">IF($X1248="","",SUMIFS('Per Line'!$Y$2:$Y$4001,'Per Line'!$D$2:$D$4001,$B1248,'Per Line'!$AJ$2:$AJ$4001,1))</f>
        <v/>
      </c>
      <c r="S1248" s="22" t="str">
        <f aca="false">IF($X1248="","",R1248*Q1248)</f>
        <v/>
      </c>
      <c r="T1248" s="22" t="str">
        <f aca="false">IF($X1248="","",S1248+P1248)</f>
        <v/>
      </c>
      <c r="U1248" s="22" t="str">
        <f aca="false">IF($X1248="","",V1248-T1248)</f>
        <v/>
      </c>
      <c r="V1248" s="22" t="str">
        <f aca="false">IF($X1248="","",O1248+R1248)</f>
        <v/>
      </c>
      <c r="W1248" s="22" t="str">
        <f aca="false">IF($X1248="","",U1248-L1248)</f>
        <v/>
      </c>
      <c r="X1248" s="24" t="str">
        <f aca="false">IF(ROWS($X$2:$X1248)&lt;=MAX('Per Line'!$AI$2:$AI$4001),MATCH(ROWS($X$2:$X1248),'Per Line'!$AI$2:$AI$4001,0),"")</f>
        <v/>
      </c>
    </row>
    <row r="1249" customFormat="false" ht="15" hidden="false" customHeight="false" outlineLevel="0" collapsed="false">
      <c r="A1249" s="19"/>
      <c r="B1249" s="20" t="str">
        <f aca="false">IF($X1249="","",INDEX('Per Line'!$D$2:$D$4001,$X1249))</f>
        <v/>
      </c>
      <c r="C1249" s="20" t="str">
        <f aca="false">IF($X1249="","",INDEX('Per Line'!$C$2:$C$4001,$X1249))</f>
        <v/>
      </c>
      <c r="D1249" s="20" t="str">
        <f aca="false">IF($X1249="","",INDEX('Per Line'!$A$2:$A$4001,$X1249))</f>
        <v/>
      </c>
      <c r="E1249" s="21" t="str">
        <f aca="false">IF($X1249="","",INDEX('Per Line'!$F$2:$F$4001,$X1249))</f>
        <v/>
      </c>
      <c r="F1249" s="20" t="str">
        <f aca="false">IF($X1249="","",INDEX('Per Line'!$G$2:$G$4001,$X1249))</f>
        <v/>
      </c>
      <c r="G1249" s="20" t="str">
        <f aca="false">IF($X1249="","",INDEX('Per Line'!$I$2:$I$4001,$X1249))</f>
        <v/>
      </c>
      <c r="H1249" s="20" t="str">
        <f aca="false">IF($X1249="","",INDEX('Per Line'!$J$2:$J$4001,$X1249))</f>
        <v/>
      </c>
      <c r="I1249" s="20" t="str">
        <f aca="false">IF($X1249="","",INDEX('Per Line'!$K$2:$K$4001,$X1249))</f>
        <v/>
      </c>
      <c r="J1249" s="20" t="str">
        <f aca="false">IF($X1249="","",INDEX('Per Line'!$L$2:$L$4001,$X1249))</f>
        <v/>
      </c>
      <c r="K1249" s="20" t="str">
        <f aca="false">IF($X1249="","",INDEX('Per Line'!$M$2:$M$4001,$X1249))</f>
        <v/>
      </c>
      <c r="L1249" s="22" t="str">
        <f aca="false">IF($X1249="","",K1249*V1249/100)</f>
        <v/>
      </c>
      <c r="M1249" s="20" t="str">
        <f aca="false">IF($X1249="","",INDEX('Per Line'!$Z$2:$Z$4001,$X1249))</f>
        <v/>
      </c>
      <c r="N1249" s="23" t="str">
        <f aca="false">IF($X1249="","",Settings!$C$7)</f>
        <v/>
      </c>
      <c r="O1249" s="22" t="str">
        <f aca="false">IF($X1249="","",SUMIFS('Per Line'!$Y$2:$Y$4001,'Per Line'!$D$2:$D$4001,$B1249,'Per Line'!$AJ$2:$AJ$4001,0))</f>
        <v/>
      </c>
      <c r="P1249" s="22" t="str">
        <f aca="false">IF($X1249="","",O1249*N1249)</f>
        <v/>
      </c>
      <c r="Q1249" s="23" t="str">
        <f aca="false">IF($X1249="","",Settings!$C$6)</f>
        <v/>
      </c>
      <c r="R1249" s="22" t="str">
        <f aca="false">IF($X1249="","",SUMIFS('Per Line'!$Y$2:$Y$4001,'Per Line'!$D$2:$D$4001,$B1249,'Per Line'!$AJ$2:$AJ$4001,1))</f>
        <v/>
      </c>
      <c r="S1249" s="22" t="str">
        <f aca="false">IF($X1249="","",R1249*Q1249)</f>
        <v/>
      </c>
      <c r="T1249" s="22" t="str">
        <f aca="false">IF($X1249="","",S1249+P1249)</f>
        <v/>
      </c>
      <c r="U1249" s="22" t="str">
        <f aca="false">IF($X1249="","",V1249-T1249)</f>
        <v/>
      </c>
      <c r="V1249" s="22" t="str">
        <f aca="false">IF($X1249="","",O1249+R1249)</f>
        <v/>
      </c>
      <c r="W1249" s="22" t="str">
        <f aca="false">IF($X1249="","",U1249-L1249)</f>
        <v/>
      </c>
      <c r="X1249" s="24" t="str">
        <f aca="false">IF(ROWS($X$2:$X1249)&lt;=MAX('Per Line'!$AI$2:$AI$4001),MATCH(ROWS($X$2:$X1249),'Per Line'!$AI$2:$AI$4001,0),"")</f>
        <v/>
      </c>
    </row>
    <row r="1250" customFormat="false" ht="15" hidden="false" customHeight="false" outlineLevel="0" collapsed="false">
      <c r="A1250" s="19"/>
      <c r="B1250" s="20" t="str">
        <f aca="false">IF($X1250="","",INDEX('Per Line'!$D$2:$D$4001,$X1250))</f>
        <v/>
      </c>
      <c r="C1250" s="20" t="str">
        <f aca="false">IF($X1250="","",INDEX('Per Line'!$C$2:$C$4001,$X1250))</f>
        <v/>
      </c>
      <c r="D1250" s="20" t="str">
        <f aca="false">IF($X1250="","",INDEX('Per Line'!$A$2:$A$4001,$X1250))</f>
        <v/>
      </c>
      <c r="E1250" s="21" t="str">
        <f aca="false">IF($X1250="","",INDEX('Per Line'!$F$2:$F$4001,$X1250))</f>
        <v/>
      </c>
      <c r="F1250" s="20" t="str">
        <f aca="false">IF($X1250="","",INDEX('Per Line'!$G$2:$G$4001,$X1250))</f>
        <v/>
      </c>
      <c r="G1250" s="20" t="str">
        <f aca="false">IF($X1250="","",INDEX('Per Line'!$I$2:$I$4001,$X1250))</f>
        <v/>
      </c>
      <c r="H1250" s="20" t="str">
        <f aca="false">IF($X1250="","",INDEX('Per Line'!$J$2:$J$4001,$X1250))</f>
        <v/>
      </c>
      <c r="I1250" s="20" t="str">
        <f aca="false">IF($X1250="","",INDEX('Per Line'!$K$2:$K$4001,$X1250))</f>
        <v/>
      </c>
      <c r="J1250" s="20" t="str">
        <f aca="false">IF($X1250="","",INDEX('Per Line'!$L$2:$L$4001,$X1250))</f>
        <v/>
      </c>
      <c r="K1250" s="20" t="str">
        <f aca="false">IF($X1250="","",INDEX('Per Line'!$M$2:$M$4001,$X1250))</f>
        <v/>
      </c>
      <c r="L1250" s="22" t="str">
        <f aca="false">IF($X1250="","",K1250*V1250/100)</f>
        <v/>
      </c>
      <c r="M1250" s="20" t="str">
        <f aca="false">IF($X1250="","",INDEX('Per Line'!$Z$2:$Z$4001,$X1250))</f>
        <v/>
      </c>
      <c r="N1250" s="23" t="str">
        <f aca="false">IF($X1250="","",Settings!$C$7)</f>
        <v/>
      </c>
      <c r="O1250" s="22" t="str">
        <f aca="false">IF($X1250="","",SUMIFS('Per Line'!$Y$2:$Y$4001,'Per Line'!$D$2:$D$4001,$B1250,'Per Line'!$AJ$2:$AJ$4001,0))</f>
        <v/>
      </c>
      <c r="P1250" s="22" t="str">
        <f aca="false">IF($X1250="","",O1250*N1250)</f>
        <v/>
      </c>
      <c r="Q1250" s="23" t="str">
        <f aca="false">IF($X1250="","",Settings!$C$6)</f>
        <v/>
      </c>
      <c r="R1250" s="22" t="str">
        <f aca="false">IF($X1250="","",SUMIFS('Per Line'!$Y$2:$Y$4001,'Per Line'!$D$2:$D$4001,$B1250,'Per Line'!$AJ$2:$AJ$4001,1))</f>
        <v/>
      </c>
      <c r="S1250" s="22" t="str">
        <f aca="false">IF($X1250="","",R1250*Q1250)</f>
        <v/>
      </c>
      <c r="T1250" s="22" t="str">
        <f aca="false">IF($X1250="","",S1250+P1250)</f>
        <v/>
      </c>
      <c r="U1250" s="22" t="str">
        <f aca="false">IF($X1250="","",V1250-T1250)</f>
        <v/>
      </c>
      <c r="V1250" s="22" t="str">
        <f aca="false">IF($X1250="","",O1250+R1250)</f>
        <v/>
      </c>
      <c r="W1250" s="22" t="str">
        <f aca="false">IF($X1250="","",U1250-L1250)</f>
        <v/>
      </c>
      <c r="X1250" s="24" t="str">
        <f aca="false">IF(ROWS($X$2:$X1250)&lt;=MAX('Per Line'!$AI$2:$AI$4001),MATCH(ROWS($X$2:$X1250),'Per Line'!$AI$2:$AI$4001,0),"")</f>
        <v/>
      </c>
    </row>
    <row r="1251" customFormat="false" ht="15" hidden="false" customHeight="false" outlineLevel="0" collapsed="false">
      <c r="A1251" s="19"/>
      <c r="B1251" s="20" t="str">
        <f aca="false">IF($X1251="","",INDEX('Per Line'!$D$2:$D$4001,$X1251))</f>
        <v/>
      </c>
      <c r="C1251" s="20" t="str">
        <f aca="false">IF($X1251="","",INDEX('Per Line'!$C$2:$C$4001,$X1251))</f>
        <v/>
      </c>
      <c r="D1251" s="20" t="str">
        <f aca="false">IF($X1251="","",INDEX('Per Line'!$A$2:$A$4001,$X1251))</f>
        <v/>
      </c>
      <c r="E1251" s="21" t="str">
        <f aca="false">IF($X1251="","",INDEX('Per Line'!$F$2:$F$4001,$X1251))</f>
        <v/>
      </c>
      <c r="F1251" s="20" t="str">
        <f aca="false">IF($X1251="","",INDEX('Per Line'!$G$2:$G$4001,$X1251))</f>
        <v/>
      </c>
      <c r="G1251" s="20" t="str">
        <f aca="false">IF($X1251="","",INDEX('Per Line'!$I$2:$I$4001,$X1251))</f>
        <v/>
      </c>
      <c r="H1251" s="20" t="str">
        <f aca="false">IF($X1251="","",INDEX('Per Line'!$J$2:$J$4001,$X1251))</f>
        <v/>
      </c>
      <c r="I1251" s="20" t="str">
        <f aca="false">IF($X1251="","",INDEX('Per Line'!$K$2:$K$4001,$X1251))</f>
        <v/>
      </c>
      <c r="J1251" s="20" t="str">
        <f aca="false">IF($X1251="","",INDEX('Per Line'!$L$2:$L$4001,$X1251))</f>
        <v/>
      </c>
      <c r="K1251" s="20" t="str">
        <f aca="false">IF($X1251="","",INDEX('Per Line'!$M$2:$M$4001,$X1251))</f>
        <v/>
      </c>
      <c r="L1251" s="22" t="str">
        <f aca="false">IF($X1251="","",K1251*V1251/100)</f>
        <v/>
      </c>
      <c r="M1251" s="20" t="str">
        <f aca="false">IF($X1251="","",INDEX('Per Line'!$Z$2:$Z$4001,$X1251))</f>
        <v/>
      </c>
      <c r="N1251" s="23" t="str">
        <f aca="false">IF($X1251="","",Settings!$C$7)</f>
        <v/>
      </c>
      <c r="O1251" s="22" t="str">
        <f aca="false">IF($X1251="","",SUMIFS('Per Line'!$Y$2:$Y$4001,'Per Line'!$D$2:$D$4001,$B1251,'Per Line'!$AJ$2:$AJ$4001,0))</f>
        <v/>
      </c>
      <c r="P1251" s="22" t="str">
        <f aca="false">IF($X1251="","",O1251*N1251)</f>
        <v/>
      </c>
      <c r="Q1251" s="23" t="str">
        <f aca="false">IF($X1251="","",Settings!$C$6)</f>
        <v/>
      </c>
      <c r="R1251" s="22" t="str">
        <f aca="false">IF($X1251="","",SUMIFS('Per Line'!$Y$2:$Y$4001,'Per Line'!$D$2:$D$4001,$B1251,'Per Line'!$AJ$2:$AJ$4001,1))</f>
        <v/>
      </c>
      <c r="S1251" s="22" t="str">
        <f aca="false">IF($X1251="","",R1251*Q1251)</f>
        <v/>
      </c>
      <c r="T1251" s="22" t="str">
        <f aca="false">IF($X1251="","",S1251+P1251)</f>
        <v/>
      </c>
      <c r="U1251" s="22" t="str">
        <f aca="false">IF($X1251="","",V1251-T1251)</f>
        <v/>
      </c>
      <c r="V1251" s="22" t="str">
        <f aca="false">IF($X1251="","",O1251+R1251)</f>
        <v/>
      </c>
      <c r="W1251" s="22" t="str">
        <f aca="false">IF($X1251="","",U1251-L1251)</f>
        <v/>
      </c>
      <c r="X1251" s="24" t="str">
        <f aca="false">IF(ROWS($X$2:$X1251)&lt;=MAX('Per Line'!$AI$2:$AI$4001),MATCH(ROWS($X$2:$X1251),'Per Line'!$AI$2:$AI$4001,0),"")</f>
        <v/>
      </c>
    </row>
    <row r="1252" customFormat="false" ht="15" hidden="false" customHeight="false" outlineLevel="0" collapsed="false">
      <c r="A1252" s="19"/>
      <c r="B1252" s="20" t="str">
        <f aca="false">IF($X1252="","",INDEX('Per Line'!$D$2:$D$4001,$X1252))</f>
        <v/>
      </c>
      <c r="C1252" s="20" t="str">
        <f aca="false">IF($X1252="","",INDEX('Per Line'!$C$2:$C$4001,$X1252))</f>
        <v/>
      </c>
      <c r="D1252" s="20" t="str">
        <f aca="false">IF($X1252="","",INDEX('Per Line'!$A$2:$A$4001,$X1252))</f>
        <v/>
      </c>
      <c r="E1252" s="21" t="str">
        <f aca="false">IF($X1252="","",INDEX('Per Line'!$F$2:$F$4001,$X1252))</f>
        <v/>
      </c>
      <c r="F1252" s="20" t="str">
        <f aca="false">IF($X1252="","",INDEX('Per Line'!$G$2:$G$4001,$X1252))</f>
        <v/>
      </c>
      <c r="G1252" s="20" t="str">
        <f aca="false">IF($X1252="","",INDEX('Per Line'!$I$2:$I$4001,$X1252))</f>
        <v/>
      </c>
      <c r="H1252" s="20" t="str">
        <f aca="false">IF($X1252="","",INDEX('Per Line'!$J$2:$J$4001,$X1252))</f>
        <v/>
      </c>
      <c r="I1252" s="20" t="str">
        <f aca="false">IF($X1252="","",INDEX('Per Line'!$K$2:$K$4001,$X1252))</f>
        <v/>
      </c>
      <c r="J1252" s="20" t="str">
        <f aca="false">IF($X1252="","",INDEX('Per Line'!$L$2:$L$4001,$X1252))</f>
        <v/>
      </c>
      <c r="K1252" s="20" t="str">
        <f aca="false">IF($X1252="","",INDEX('Per Line'!$M$2:$M$4001,$X1252))</f>
        <v/>
      </c>
      <c r="L1252" s="22" t="str">
        <f aca="false">IF($X1252="","",K1252*V1252/100)</f>
        <v/>
      </c>
      <c r="M1252" s="20" t="str">
        <f aca="false">IF($X1252="","",INDEX('Per Line'!$Z$2:$Z$4001,$X1252))</f>
        <v/>
      </c>
      <c r="N1252" s="23" t="str">
        <f aca="false">IF($X1252="","",Settings!$C$7)</f>
        <v/>
      </c>
      <c r="O1252" s="22" t="str">
        <f aca="false">IF($X1252="","",SUMIFS('Per Line'!$Y$2:$Y$4001,'Per Line'!$D$2:$D$4001,$B1252,'Per Line'!$AJ$2:$AJ$4001,0))</f>
        <v/>
      </c>
      <c r="P1252" s="22" t="str">
        <f aca="false">IF($X1252="","",O1252*N1252)</f>
        <v/>
      </c>
      <c r="Q1252" s="23" t="str">
        <f aca="false">IF($X1252="","",Settings!$C$6)</f>
        <v/>
      </c>
      <c r="R1252" s="22" t="str">
        <f aca="false">IF($X1252="","",SUMIFS('Per Line'!$Y$2:$Y$4001,'Per Line'!$D$2:$D$4001,$B1252,'Per Line'!$AJ$2:$AJ$4001,1))</f>
        <v/>
      </c>
      <c r="S1252" s="22" t="str">
        <f aca="false">IF($X1252="","",R1252*Q1252)</f>
        <v/>
      </c>
      <c r="T1252" s="22" t="str">
        <f aca="false">IF($X1252="","",S1252+P1252)</f>
        <v/>
      </c>
      <c r="U1252" s="22" t="str">
        <f aca="false">IF($X1252="","",V1252-T1252)</f>
        <v/>
      </c>
      <c r="V1252" s="22" t="str">
        <f aca="false">IF($X1252="","",O1252+R1252)</f>
        <v/>
      </c>
      <c r="W1252" s="22" t="str">
        <f aca="false">IF($X1252="","",U1252-L1252)</f>
        <v/>
      </c>
      <c r="X1252" s="24" t="str">
        <f aca="false">IF(ROWS($X$2:$X1252)&lt;=MAX('Per Line'!$AI$2:$AI$4001),MATCH(ROWS($X$2:$X1252),'Per Line'!$AI$2:$AI$4001,0),"")</f>
        <v/>
      </c>
    </row>
    <row r="1253" customFormat="false" ht="15" hidden="false" customHeight="false" outlineLevel="0" collapsed="false">
      <c r="A1253" s="19"/>
      <c r="B1253" s="20" t="str">
        <f aca="false">IF($X1253="","",INDEX('Per Line'!$D$2:$D$4001,$X1253))</f>
        <v/>
      </c>
      <c r="C1253" s="20" t="str">
        <f aca="false">IF($X1253="","",INDEX('Per Line'!$C$2:$C$4001,$X1253))</f>
        <v/>
      </c>
      <c r="D1253" s="20" t="str">
        <f aca="false">IF($X1253="","",INDEX('Per Line'!$A$2:$A$4001,$X1253))</f>
        <v/>
      </c>
      <c r="E1253" s="21" t="str">
        <f aca="false">IF($X1253="","",INDEX('Per Line'!$F$2:$F$4001,$X1253))</f>
        <v/>
      </c>
      <c r="F1253" s="20" t="str">
        <f aca="false">IF($X1253="","",INDEX('Per Line'!$G$2:$G$4001,$X1253))</f>
        <v/>
      </c>
      <c r="G1253" s="20" t="str">
        <f aca="false">IF($X1253="","",INDEX('Per Line'!$I$2:$I$4001,$X1253))</f>
        <v/>
      </c>
      <c r="H1253" s="20" t="str">
        <f aca="false">IF($X1253="","",INDEX('Per Line'!$J$2:$J$4001,$X1253))</f>
        <v/>
      </c>
      <c r="I1253" s="20" t="str">
        <f aca="false">IF($X1253="","",INDEX('Per Line'!$K$2:$K$4001,$X1253))</f>
        <v/>
      </c>
      <c r="J1253" s="20" t="str">
        <f aca="false">IF($X1253="","",INDEX('Per Line'!$L$2:$L$4001,$X1253))</f>
        <v/>
      </c>
      <c r="K1253" s="20" t="str">
        <f aca="false">IF($X1253="","",INDEX('Per Line'!$M$2:$M$4001,$X1253))</f>
        <v/>
      </c>
      <c r="L1253" s="22" t="str">
        <f aca="false">IF($X1253="","",K1253*V1253/100)</f>
        <v/>
      </c>
      <c r="M1253" s="20" t="str">
        <f aca="false">IF($X1253="","",INDEX('Per Line'!$Z$2:$Z$4001,$X1253))</f>
        <v/>
      </c>
      <c r="N1253" s="23" t="str">
        <f aca="false">IF($X1253="","",Settings!$C$7)</f>
        <v/>
      </c>
      <c r="O1253" s="22" t="str">
        <f aca="false">IF($X1253="","",SUMIFS('Per Line'!$Y$2:$Y$4001,'Per Line'!$D$2:$D$4001,$B1253,'Per Line'!$AJ$2:$AJ$4001,0))</f>
        <v/>
      </c>
      <c r="P1253" s="22" t="str">
        <f aca="false">IF($X1253="","",O1253*N1253)</f>
        <v/>
      </c>
      <c r="Q1253" s="23" t="str">
        <f aca="false">IF($X1253="","",Settings!$C$6)</f>
        <v/>
      </c>
      <c r="R1253" s="22" t="str">
        <f aca="false">IF($X1253="","",SUMIFS('Per Line'!$Y$2:$Y$4001,'Per Line'!$D$2:$D$4001,$B1253,'Per Line'!$AJ$2:$AJ$4001,1))</f>
        <v/>
      </c>
      <c r="S1253" s="22" t="str">
        <f aca="false">IF($X1253="","",R1253*Q1253)</f>
        <v/>
      </c>
      <c r="T1253" s="22" t="str">
        <f aca="false">IF($X1253="","",S1253+P1253)</f>
        <v/>
      </c>
      <c r="U1253" s="22" t="str">
        <f aca="false">IF($X1253="","",V1253-T1253)</f>
        <v/>
      </c>
      <c r="V1253" s="22" t="str">
        <f aca="false">IF($X1253="","",O1253+R1253)</f>
        <v/>
      </c>
      <c r="W1253" s="22" t="str">
        <f aca="false">IF($X1253="","",U1253-L1253)</f>
        <v/>
      </c>
      <c r="X1253" s="24" t="str">
        <f aca="false">IF(ROWS($X$2:$X1253)&lt;=MAX('Per Line'!$AI$2:$AI$4001),MATCH(ROWS($X$2:$X1253),'Per Line'!$AI$2:$AI$4001,0),"")</f>
        <v/>
      </c>
    </row>
    <row r="1254" customFormat="false" ht="15" hidden="false" customHeight="false" outlineLevel="0" collapsed="false">
      <c r="A1254" s="19"/>
      <c r="B1254" s="20" t="str">
        <f aca="false">IF($X1254="","",INDEX('Per Line'!$D$2:$D$4001,$X1254))</f>
        <v/>
      </c>
      <c r="C1254" s="20" t="str">
        <f aca="false">IF($X1254="","",INDEX('Per Line'!$C$2:$C$4001,$X1254))</f>
        <v/>
      </c>
      <c r="D1254" s="20" t="str">
        <f aca="false">IF($X1254="","",INDEX('Per Line'!$A$2:$A$4001,$X1254))</f>
        <v/>
      </c>
      <c r="E1254" s="21" t="str">
        <f aca="false">IF($X1254="","",INDEX('Per Line'!$F$2:$F$4001,$X1254))</f>
        <v/>
      </c>
      <c r="F1254" s="20" t="str">
        <f aca="false">IF($X1254="","",INDEX('Per Line'!$G$2:$G$4001,$X1254))</f>
        <v/>
      </c>
      <c r="G1254" s="20" t="str">
        <f aca="false">IF($X1254="","",INDEX('Per Line'!$I$2:$I$4001,$X1254))</f>
        <v/>
      </c>
      <c r="H1254" s="20" t="str">
        <f aca="false">IF($X1254="","",INDEX('Per Line'!$J$2:$J$4001,$X1254))</f>
        <v/>
      </c>
      <c r="I1254" s="20" t="str">
        <f aca="false">IF($X1254="","",INDEX('Per Line'!$K$2:$K$4001,$X1254))</f>
        <v/>
      </c>
      <c r="J1254" s="20" t="str">
        <f aca="false">IF($X1254="","",INDEX('Per Line'!$L$2:$L$4001,$X1254))</f>
        <v/>
      </c>
      <c r="K1254" s="20" t="str">
        <f aca="false">IF($X1254="","",INDEX('Per Line'!$M$2:$M$4001,$X1254))</f>
        <v/>
      </c>
      <c r="L1254" s="22" t="str">
        <f aca="false">IF($X1254="","",K1254*V1254/100)</f>
        <v/>
      </c>
      <c r="M1254" s="20" t="str">
        <f aca="false">IF($X1254="","",INDEX('Per Line'!$Z$2:$Z$4001,$X1254))</f>
        <v/>
      </c>
      <c r="N1254" s="23" t="str">
        <f aca="false">IF($X1254="","",Settings!$C$7)</f>
        <v/>
      </c>
      <c r="O1254" s="22" t="str">
        <f aca="false">IF($X1254="","",SUMIFS('Per Line'!$Y$2:$Y$4001,'Per Line'!$D$2:$D$4001,$B1254,'Per Line'!$AJ$2:$AJ$4001,0))</f>
        <v/>
      </c>
      <c r="P1254" s="22" t="str">
        <f aca="false">IF($X1254="","",O1254*N1254)</f>
        <v/>
      </c>
      <c r="Q1254" s="23" t="str">
        <f aca="false">IF($X1254="","",Settings!$C$6)</f>
        <v/>
      </c>
      <c r="R1254" s="22" t="str">
        <f aca="false">IF($X1254="","",SUMIFS('Per Line'!$Y$2:$Y$4001,'Per Line'!$D$2:$D$4001,$B1254,'Per Line'!$AJ$2:$AJ$4001,1))</f>
        <v/>
      </c>
      <c r="S1254" s="22" t="str">
        <f aca="false">IF($X1254="","",R1254*Q1254)</f>
        <v/>
      </c>
      <c r="T1254" s="22" t="str">
        <f aca="false">IF($X1254="","",S1254+P1254)</f>
        <v/>
      </c>
      <c r="U1254" s="22" t="str">
        <f aca="false">IF($X1254="","",V1254-T1254)</f>
        <v/>
      </c>
      <c r="V1254" s="22" t="str">
        <f aca="false">IF($X1254="","",O1254+R1254)</f>
        <v/>
      </c>
      <c r="W1254" s="22" t="str">
        <f aca="false">IF($X1254="","",U1254-L1254)</f>
        <v/>
      </c>
      <c r="X1254" s="24" t="str">
        <f aca="false">IF(ROWS($X$2:$X1254)&lt;=MAX('Per Line'!$AI$2:$AI$4001),MATCH(ROWS($X$2:$X1254),'Per Line'!$AI$2:$AI$4001,0),"")</f>
        <v/>
      </c>
    </row>
    <row r="1255" customFormat="false" ht="15" hidden="false" customHeight="false" outlineLevel="0" collapsed="false">
      <c r="A1255" s="19"/>
      <c r="B1255" s="20" t="str">
        <f aca="false">IF($X1255="","",INDEX('Per Line'!$D$2:$D$4001,$X1255))</f>
        <v/>
      </c>
      <c r="C1255" s="20" t="str">
        <f aca="false">IF($X1255="","",INDEX('Per Line'!$C$2:$C$4001,$X1255))</f>
        <v/>
      </c>
      <c r="D1255" s="20" t="str">
        <f aca="false">IF($X1255="","",INDEX('Per Line'!$A$2:$A$4001,$X1255))</f>
        <v/>
      </c>
      <c r="E1255" s="21" t="str">
        <f aca="false">IF($X1255="","",INDEX('Per Line'!$F$2:$F$4001,$X1255))</f>
        <v/>
      </c>
      <c r="F1255" s="20" t="str">
        <f aca="false">IF($X1255="","",INDEX('Per Line'!$G$2:$G$4001,$X1255))</f>
        <v/>
      </c>
      <c r="G1255" s="20" t="str">
        <f aca="false">IF($X1255="","",INDEX('Per Line'!$I$2:$I$4001,$X1255))</f>
        <v/>
      </c>
      <c r="H1255" s="20" t="str">
        <f aca="false">IF($X1255="","",INDEX('Per Line'!$J$2:$J$4001,$X1255))</f>
        <v/>
      </c>
      <c r="I1255" s="20" t="str">
        <f aca="false">IF($X1255="","",INDEX('Per Line'!$K$2:$K$4001,$X1255))</f>
        <v/>
      </c>
      <c r="J1255" s="20" t="str">
        <f aca="false">IF($X1255="","",INDEX('Per Line'!$L$2:$L$4001,$X1255))</f>
        <v/>
      </c>
      <c r="K1255" s="20" t="str">
        <f aca="false">IF($X1255="","",INDEX('Per Line'!$M$2:$M$4001,$X1255))</f>
        <v/>
      </c>
      <c r="L1255" s="22" t="str">
        <f aca="false">IF($X1255="","",K1255*V1255/100)</f>
        <v/>
      </c>
      <c r="M1255" s="20" t="str">
        <f aca="false">IF($X1255="","",INDEX('Per Line'!$Z$2:$Z$4001,$X1255))</f>
        <v/>
      </c>
      <c r="N1255" s="23" t="str">
        <f aca="false">IF($X1255="","",Settings!$C$7)</f>
        <v/>
      </c>
      <c r="O1255" s="22" t="str">
        <f aca="false">IF($X1255="","",SUMIFS('Per Line'!$Y$2:$Y$4001,'Per Line'!$D$2:$D$4001,$B1255,'Per Line'!$AJ$2:$AJ$4001,0))</f>
        <v/>
      </c>
      <c r="P1255" s="22" t="str">
        <f aca="false">IF($X1255="","",O1255*N1255)</f>
        <v/>
      </c>
      <c r="Q1255" s="23" t="str">
        <f aca="false">IF($X1255="","",Settings!$C$6)</f>
        <v/>
      </c>
      <c r="R1255" s="22" t="str">
        <f aca="false">IF($X1255="","",SUMIFS('Per Line'!$Y$2:$Y$4001,'Per Line'!$D$2:$D$4001,$B1255,'Per Line'!$AJ$2:$AJ$4001,1))</f>
        <v/>
      </c>
      <c r="S1255" s="22" t="str">
        <f aca="false">IF($X1255="","",R1255*Q1255)</f>
        <v/>
      </c>
      <c r="T1255" s="22" t="str">
        <f aca="false">IF($X1255="","",S1255+P1255)</f>
        <v/>
      </c>
      <c r="U1255" s="22" t="str">
        <f aca="false">IF($X1255="","",V1255-T1255)</f>
        <v/>
      </c>
      <c r="V1255" s="22" t="str">
        <f aca="false">IF($X1255="","",O1255+R1255)</f>
        <v/>
      </c>
      <c r="W1255" s="22" t="str">
        <f aca="false">IF($X1255="","",U1255-L1255)</f>
        <v/>
      </c>
      <c r="X1255" s="24" t="str">
        <f aca="false">IF(ROWS($X$2:$X1255)&lt;=MAX('Per Line'!$AI$2:$AI$4001),MATCH(ROWS($X$2:$X1255),'Per Line'!$AI$2:$AI$4001,0),"")</f>
        <v/>
      </c>
    </row>
    <row r="1256" customFormat="false" ht="15" hidden="false" customHeight="false" outlineLevel="0" collapsed="false">
      <c r="A1256" s="19"/>
      <c r="B1256" s="20" t="str">
        <f aca="false">IF($X1256="","",INDEX('Per Line'!$D$2:$D$4001,$X1256))</f>
        <v/>
      </c>
      <c r="C1256" s="20" t="str">
        <f aca="false">IF($X1256="","",INDEX('Per Line'!$C$2:$C$4001,$X1256))</f>
        <v/>
      </c>
      <c r="D1256" s="20" t="str">
        <f aca="false">IF($X1256="","",INDEX('Per Line'!$A$2:$A$4001,$X1256))</f>
        <v/>
      </c>
      <c r="E1256" s="21" t="str">
        <f aca="false">IF($X1256="","",INDEX('Per Line'!$F$2:$F$4001,$X1256))</f>
        <v/>
      </c>
      <c r="F1256" s="20" t="str">
        <f aca="false">IF($X1256="","",INDEX('Per Line'!$G$2:$G$4001,$X1256))</f>
        <v/>
      </c>
      <c r="G1256" s="20" t="str">
        <f aca="false">IF($X1256="","",INDEX('Per Line'!$I$2:$I$4001,$X1256))</f>
        <v/>
      </c>
      <c r="H1256" s="20" t="str">
        <f aca="false">IF($X1256="","",INDEX('Per Line'!$J$2:$J$4001,$X1256))</f>
        <v/>
      </c>
      <c r="I1256" s="20" t="str">
        <f aca="false">IF($X1256="","",INDEX('Per Line'!$K$2:$K$4001,$X1256))</f>
        <v/>
      </c>
      <c r="J1256" s="20" t="str">
        <f aca="false">IF($X1256="","",INDEX('Per Line'!$L$2:$L$4001,$X1256))</f>
        <v/>
      </c>
      <c r="K1256" s="20" t="str">
        <f aca="false">IF($X1256="","",INDEX('Per Line'!$M$2:$M$4001,$X1256))</f>
        <v/>
      </c>
      <c r="L1256" s="22" t="str">
        <f aca="false">IF($X1256="","",K1256*V1256/100)</f>
        <v/>
      </c>
      <c r="M1256" s="20" t="str">
        <f aca="false">IF($X1256="","",INDEX('Per Line'!$Z$2:$Z$4001,$X1256))</f>
        <v/>
      </c>
      <c r="N1256" s="23" t="str">
        <f aca="false">IF($X1256="","",Settings!$C$7)</f>
        <v/>
      </c>
      <c r="O1256" s="22" t="str">
        <f aca="false">IF($X1256="","",SUMIFS('Per Line'!$Y$2:$Y$4001,'Per Line'!$D$2:$D$4001,$B1256,'Per Line'!$AJ$2:$AJ$4001,0))</f>
        <v/>
      </c>
      <c r="P1256" s="22" t="str">
        <f aca="false">IF($X1256="","",O1256*N1256)</f>
        <v/>
      </c>
      <c r="Q1256" s="23" t="str">
        <f aca="false">IF($X1256="","",Settings!$C$6)</f>
        <v/>
      </c>
      <c r="R1256" s="22" t="str">
        <f aca="false">IF($X1256="","",SUMIFS('Per Line'!$Y$2:$Y$4001,'Per Line'!$D$2:$D$4001,$B1256,'Per Line'!$AJ$2:$AJ$4001,1))</f>
        <v/>
      </c>
      <c r="S1256" s="22" t="str">
        <f aca="false">IF($X1256="","",R1256*Q1256)</f>
        <v/>
      </c>
      <c r="T1256" s="22" t="str">
        <f aca="false">IF($X1256="","",S1256+P1256)</f>
        <v/>
      </c>
      <c r="U1256" s="22" t="str">
        <f aca="false">IF($X1256="","",V1256-T1256)</f>
        <v/>
      </c>
      <c r="V1256" s="22" t="str">
        <f aca="false">IF($X1256="","",O1256+R1256)</f>
        <v/>
      </c>
      <c r="W1256" s="22" t="str">
        <f aca="false">IF($X1256="","",U1256-L1256)</f>
        <v/>
      </c>
      <c r="X1256" s="24" t="str">
        <f aca="false">IF(ROWS($X$2:$X1256)&lt;=MAX('Per Line'!$AI$2:$AI$4001),MATCH(ROWS($X$2:$X1256),'Per Line'!$AI$2:$AI$4001,0),"")</f>
        <v/>
      </c>
    </row>
    <row r="1257" customFormat="false" ht="15" hidden="false" customHeight="false" outlineLevel="0" collapsed="false">
      <c r="A1257" s="19"/>
      <c r="B1257" s="20" t="str">
        <f aca="false">IF($X1257="","",INDEX('Per Line'!$D$2:$D$4001,$X1257))</f>
        <v/>
      </c>
      <c r="C1257" s="20" t="str">
        <f aca="false">IF($X1257="","",INDEX('Per Line'!$C$2:$C$4001,$X1257))</f>
        <v/>
      </c>
      <c r="D1257" s="20" t="str">
        <f aca="false">IF($X1257="","",INDEX('Per Line'!$A$2:$A$4001,$X1257))</f>
        <v/>
      </c>
      <c r="E1257" s="21" t="str">
        <f aca="false">IF($X1257="","",INDEX('Per Line'!$F$2:$F$4001,$X1257))</f>
        <v/>
      </c>
      <c r="F1257" s="20" t="str">
        <f aca="false">IF($X1257="","",INDEX('Per Line'!$G$2:$G$4001,$X1257))</f>
        <v/>
      </c>
      <c r="G1257" s="20" t="str">
        <f aca="false">IF($X1257="","",INDEX('Per Line'!$I$2:$I$4001,$X1257))</f>
        <v/>
      </c>
      <c r="H1257" s="20" t="str">
        <f aca="false">IF($X1257="","",INDEX('Per Line'!$J$2:$J$4001,$X1257))</f>
        <v/>
      </c>
      <c r="I1257" s="20" t="str">
        <f aca="false">IF($X1257="","",INDEX('Per Line'!$K$2:$K$4001,$X1257))</f>
        <v/>
      </c>
      <c r="J1257" s="20" t="str">
        <f aca="false">IF($X1257="","",INDEX('Per Line'!$L$2:$L$4001,$X1257))</f>
        <v/>
      </c>
      <c r="K1257" s="20" t="str">
        <f aca="false">IF($X1257="","",INDEX('Per Line'!$M$2:$M$4001,$X1257))</f>
        <v/>
      </c>
      <c r="L1257" s="22" t="str">
        <f aca="false">IF($X1257="","",K1257*V1257/100)</f>
        <v/>
      </c>
      <c r="M1257" s="20" t="str">
        <f aca="false">IF($X1257="","",INDEX('Per Line'!$Z$2:$Z$4001,$X1257))</f>
        <v/>
      </c>
      <c r="N1257" s="23" t="str">
        <f aca="false">IF($X1257="","",Settings!$C$7)</f>
        <v/>
      </c>
      <c r="O1257" s="22" t="str">
        <f aca="false">IF($X1257="","",SUMIFS('Per Line'!$Y$2:$Y$4001,'Per Line'!$D$2:$D$4001,$B1257,'Per Line'!$AJ$2:$AJ$4001,0))</f>
        <v/>
      </c>
      <c r="P1257" s="22" t="str">
        <f aca="false">IF($X1257="","",O1257*N1257)</f>
        <v/>
      </c>
      <c r="Q1257" s="23" t="str">
        <f aca="false">IF($X1257="","",Settings!$C$6)</f>
        <v/>
      </c>
      <c r="R1257" s="22" t="str">
        <f aca="false">IF($X1257="","",SUMIFS('Per Line'!$Y$2:$Y$4001,'Per Line'!$D$2:$D$4001,$B1257,'Per Line'!$AJ$2:$AJ$4001,1))</f>
        <v/>
      </c>
      <c r="S1257" s="22" t="str">
        <f aca="false">IF($X1257="","",R1257*Q1257)</f>
        <v/>
      </c>
      <c r="T1257" s="22" t="str">
        <f aca="false">IF($X1257="","",S1257+P1257)</f>
        <v/>
      </c>
      <c r="U1257" s="22" t="str">
        <f aca="false">IF($X1257="","",V1257-T1257)</f>
        <v/>
      </c>
      <c r="V1257" s="22" t="str">
        <f aca="false">IF($X1257="","",O1257+R1257)</f>
        <v/>
      </c>
      <c r="W1257" s="22" t="str">
        <f aca="false">IF($X1257="","",U1257-L1257)</f>
        <v/>
      </c>
      <c r="X1257" s="24" t="str">
        <f aca="false">IF(ROWS($X$2:$X1257)&lt;=MAX('Per Line'!$AI$2:$AI$4001),MATCH(ROWS($X$2:$X1257),'Per Line'!$AI$2:$AI$4001,0),"")</f>
        <v/>
      </c>
    </row>
    <row r="1258" customFormat="false" ht="15" hidden="false" customHeight="false" outlineLevel="0" collapsed="false">
      <c r="A1258" s="19"/>
      <c r="B1258" s="20" t="str">
        <f aca="false">IF($X1258="","",INDEX('Per Line'!$D$2:$D$4001,$X1258))</f>
        <v/>
      </c>
      <c r="C1258" s="20" t="str">
        <f aca="false">IF($X1258="","",INDEX('Per Line'!$C$2:$C$4001,$X1258))</f>
        <v/>
      </c>
      <c r="D1258" s="20" t="str">
        <f aca="false">IF($X1258="","",INDEX('Per Line'!$A$2:$A$4001,$X1258))</f>
        <v/>
      </c>
      <c r="E1258" s="21" t="str">
        <f aca="false">IF($X1258="","",INDEX('Per Line'!$F$2:$F$4001,$X1258))</f>
        <v/>
      </c>
      <c r="F1258" s="20" t="str">
        <f aca="false">IF($X1258="","",INDEX('Per Line'!$G$2:$G$4001,$X1258))</f>
        <v/>
      </c>
      <c r="G1258" s="20" t="str">
        <f aca="false">IF($X1258="","",INDEX('Per Line'!$I$2:$I$4001,$X1258))</f>
        <v/>
      </c>
      <c r="H1258" s="20" t="str">
        <f aca="false">IF($X1258="","",INDEX('Per Line'!$J$2:$J$4001,$X1258))</f>
        <v/>
      </c>
      <c r="I1258" s="20" t="str">
        <f aca="false">IF($X1258="","",INDEX('Per Line'!$K$2:$K$4001,$X1258))</f>
        <v/>
      </c>
      <c r="J1258" s="20" t="str">
        <f aca="false">IF($X1258="","",INDEX('Per Line'!$L$2:$L$4001,$X1258))</f>
        <v/>
      </c>
      <c r="K1258" s="20" t="str">
        <f aca="false">IF($X1258="","",INDEX('Per Line'!$M$2:$M$4001,$X1258))</f>
        <v/>
      </c>
      <c r="L1258" s="22" t="str">
        <f aca="false">IF($X1258="","",K1258*V1258/100)</f>
        <v/>
      </c>
      <c r="M1258" s="20" t="str">
        <f aca="false">IF($X1258="","",INDEX('Per Line'!$Z$2:$Z$4001,$X1258))</f>
        <v/>
      </c>
      <c r="N1258" s="23" t="str">
        <f aca="false">IF($X1258="","",Settings!$C$7)</f>
        <v/>
      </c>
      <c r="O1258" s="22" t="str">
        <f aca="false">IF($X1258="","",SUMIFS('Per Line'!$Y$2:$Y$4001,'Per Line'!$D$2:$D$4001,$B1258,'Per Line'!$AJ$2:$AJ$4001,0))</f>
        <v/>
      </c>
      <c r="P1258" s="22" t="str">
        <f aca="false">IF($X1258="","",O1258*N1258)</f>
        <v/>
      </c>
      <c r="Q1258" s="23" t="str">
        <f aca="false">IF($X1258="","",Settings!$C$6)</f>
        <v/>
      </c>
      <c r="R1258" s="22" t="str">
        <f aca="false">IF($X1258="","",SUMIFS('Per Line'!$Y$2:$Y$4001,'Per Line'!$D$2:$D$4001,$B1258,'Per Line'!$AJ$2:$AJ$4001,1))</f>
        <v/>
      </c>
      <c r="S1258" s="22" t="str">
        <f aca="false">IF($X1258="","",R1258*Q1258)</f>
        <v/>
      </c>
      <c r="T1258" s="22" t="str">
        <f aca="false">IF($X1258="","",S1258+P1258)</f>
        <v/>
      </c>
      <c r="U1258" s="22" t="str">
        <f aca="false">IF($X1258="","",V1258-T1258)</f>
        <v/>
      </c>
      <c r="V1258" s="22" t="str">
        <f aca="false">IF($X1258="","",O1258+R1258)</f>
        <v/>
      </c>
      <c r="W1258" s="22" t="str">
        <f aca="false">IF($X1258="","",U1258-L1258)</f>
        <v/>
      </c>
      <c r="X1258" s="24" t="str">
        <f aca="false">IF(ROWS($X$2:$X1258)&lt;=MAX('Per Line'!$AI$2:$AI$4001),MATCH(ROWS($X$2:$X1258),'Per Line'!$AI$2:$AI$4001,0),"")</f>
        <v/>
      </c>
    </row>
    <row r="1259" customFormat="false" ht="15" hidden="false" customHeight="false" outlineLevel="0" collapsed="false">
      <c r="A1259" s="19"/>
      <c r="B1259" s="20" t="str">
        <f aca="false">IF($X1259="","",INDEX('Per Line'!$D$2:$D$4001,$X1259))</f>
        <v/>
      </c>
      <c r="C1259" s="20" t="str">
        <f aca="false">IF($X1259="","",INDEX('Per Line'!$C$2:$C$4001,$X1259))</f>
        <v/>
      </c>
      <c r="D1259" s="20" t="str">
        <f aca="false">IF($X1259="","",INDEX('Per Line'!$A$2:$A$4001,$X1259))</f>
        <v/>
      </c>
      <c r="E1259" s="21" t="str">
        <f aca="false">IF($X1259="","",INDEX('Per Line'!$F$2:$F$4001,$X1259))</f>
        <v/>
      </c>
      <c r="F1259" s="20" t="str">
        <f aca="false">IF($X1259="","",INDEX('Per Line'!$G$2:$G$4001,$X1259))</f>
        <v/>
      </c>
      <c r="G1259" s="20" t="str">
        <f aca="false">IF($X1259="","",INDEX('Per Line'!$I$2:$I$4001,$X1259))</f>
        <v/>
      </c>
      <c r="H1259" s="20" t="str">
        <f aca="false">IF($X1259="","",INDEX('Per Line'!$J$2:$J$4001,$X1259))</f>
        <v/>
      </c>
      <c r="I1259" s="20" t="str">
        <f aca="false">IF($X1259="","",INDEX('Per Line'!$K$2:$K$4001,$X1259))</f>
        <v/>
      </c>
      <c r="J1259" s="20" t="str">
        <f aca="false">IF($X1259="","",INDEX('Per Line'!$L$2:$L$4001,$X1259))</f>
        <v/>
      </c>
      <c r="K1259" s="20" t="str">
        <f aca="false">IF($X1259="","",INDEX('Per Line'!$M$2:$M$4001,$X1259))</f>
        <v/>
      </c>
      <c r="L1259" s="22" t="str">
        <f aca="false">IF($X1259="","",K1259*V1259/100)</f>
        <v/>
      </c>
      <c r="M1259" s="20" t="str">
        <f aca="false">IF($X1259="","",INDEX('Per Line'!$Z$2:$Z$4001,$X1259))</f>
        <v/>
      </c>
      <c r="N1259" s="23" t="str">
        <f aca="false">IF($X1259="","",Settings!$C$7)</f>
        <v/>
      </c>
      <c r="O1259" s="22" t="str">
        <f aca="false">IF($X1259="","",SUMIFS('Per Line'!$Y$2:$Y$4001,'Per Line'!$D$2:$D$4001,$B1259,'Per Line'!$AJ$2:$AJ$4001,0))</f>
        <v/>
      </c>
      <c r="P1259" s="22" t="str">
        <f aca="false">IF($X1259="","",O1259*N1259)</f>
        <v/>
      </c>
      <c r="Q1259" s="23" t="str">
        <f aca="false">IF($X1259="","",Settings!$C$6)</f>
        <v/>
      </c>
      <c r="R1259" s="22" t="str">
        <f aca="false">IF($X1259="","",SUMIFS('Per Line'!$Y$2:$Y$4001,'Per Line'!$D$2:$D$4001,$B1259,'Per Line'!$AJ$2:$AJ$4001,1))</f>
        <v/>
      </c>
      <c r="S1259" s="22" t="str">
        <f aca="false">IF($X1259="","",R1259*Q1259)</f>
        <v/>
      </c>
      <c r="T1259" s="22" t="str">
        <f aca="false">IF($X1259="","",S1259+P1259)</f>
        <v/>
      </c>
      <c r="U1259" s="22" t="str">
        <f aca="false">IF($X1259="","",V1259-T1259)</f>
        <v/>
      </c>
      <c r="V1259" s="22" t="str">
        <f aca="false">IF($X1259="","",O1259+R1259)</f>
        <v/>
      </c>
      <c r="W1259" s="22" t="str">
        <f aca="false">IF($X1259="","",U1259-L1259)</f>
        <v/>
      </c>
      <c r="X1259" s="24" t="str">
        <f aca="false">IF(ROWS($X$2:$X1259)&lt;=MAX('Per Line'!$AI$2:$AI$4001),MATCH(ROWS($X$2:$X1259),'Per Line'!$AI$2:$AI$4001,0),"")</f>
        <v/>
      </c>
    </row>
    <row r="1260" customFormat="false" ht="15" hidden="false" customHeight="false" outlineLevel="0" collapsed="false">
      <c r="A1260" s="19"/>
      <c r="B1260" s="20" t="str">
        <f aca="false">IF($X1260="","",INDEX('Per Line'!$D$2:$D$4001,$X1260))</f>
        <v/>
      </c>
      <c r="C1260" s="20" t="str">
        <f aca="false">IF($X1260="","",INDEX('Per Line'!$C$2:$C$4001,$X1260))</f>
        <v/>
      </c>
      <c r="D1260" s="20" t="str">
        <f aca="false">IF($X1260="","",INDEX('Per Line'!$A$2:$A$4001,$X1260))</f>
        <v/>
      </c>
      <c r="E1260" s="21" t="str">
        <f aca="false">IF($X1260="","",INDEX('Per Line'!$F$2:$F$4001,$X1260))</f>
        <v/>
      </c>
      <c r="F1260" s="20" t="str">
        <f aca="false">IF($X1260="","",INDEX('Per Line'!$G$2:$G$4001,$X1260))</f>
        <v/>
      </c>
      <c r="G1260" s="20" t="str">
        <f aca="false">IF($X1260="","",INDEX('Per Line'!$I$2:$I$4001,$X1260))</f>
        <v/>
      </c>
      <c r="H1260" s="20" t="str">
        <f aca="false">IF($X1260="","",INDEX('Per Line'!$J$2:$J$4001,$X1260))</f>
        <v/>
      </c>
      <c r="I1260" s="20" t="str">
        <f aca="false">IF($X1260="","",INDEX('Per Line'!$K$2:$K$4001,$X1260))</f>
        <v/>
      </c>
      <c r="J1260" s="20" t="str">
        <f aca="false">IF($X1260="","",INDEX('Per Line'!$L$2:$L$4001,$X1260))</f>
        <v/>
      </c>
      <c r="K1260" s="20" t="str">
        <f aca="false">IF($X1260="","",INDEX('Per Line'!$M$2:$M$4001,$X1260))</f>
        <v/>
      </c>
      <c r="L1260" s="22" t="str">
        <f aca="false">IF($X1260="","",K1260*V1260/100)</f>
        <v/>
      </c>
      <c r="M1260" s="20" t="str">
        <f aca="false">IF($X1260="","",INDEX('Per Line'!$Z$2:$Z$4001,$X1260))</f>
        <v/>
      </c>
      <c r="N1260" s="23" t="str">
        <f aca="false">IF($X1260="","",Settings!$C$7)</f>
        <v/>
      </c>
      <c r="O1260" s="22" t="str">
        <f aca="false">IF($X1260="","",SUMIFS('Per Line'!$Y$2:$Y$4001,'Per Line'!$D$2:$D$4001,$B1260,'Per Line'!$AJ$2:$AJ$4001,0))</f>
        <v/>
      </c>
      <c r="P1260" s="22" t="str">
        <f aca="false">IF($X1260="","",O1260*N1260)</f>
        <v/>
      </c>
      <c r="Q1260" s="23" t="str">
        <f aca="false">IF($X1260="","",Settings!$C$6)</f>
        <v/>
      </c>
      <c r="R1260" s="22" t="str">
        <f aca="false">IF($X1260="","",SUMIFS('Per Line'!$Y$2:$Y$4001,'Per Line'!$D$2:$D$4001,$B1260,'Per Line'!$AJ$2:$AJ$4001,1))</f>
        <v/>
      </c>
      <c r="S1260" s="22" t="str">
        <f aca="false">IF($X1260="","",R1260*Q1260)</f>
        <v/>
      </c>
      <c r="T1260" s="22" t="str">
        <f aca="false">IF($X1260="","",S1260+P1260)</f>
        <v/>
      </c>
      <c r="U1260" s="22" t="str">
        <f aca="false">IF($X1260="","",V1260-T1260)</f>
        <v/>
      </c>
      <c r="V1260" s="22" t="str">
        <f aca="false">IF($X1260="","",O1260+R1260)</f>
        <v/>
      </c>
      <c r="W1260" s="22" t="str">
        <f aca="false">IF($X1260="","",U1260-L1260)</f>
        <v/>
      </c>
      <c r="X1260" s="24" t="str">
        <f aca="false">IF(ROWS($X$2:$X1260)&lt;=MAX('Per Line'!$AI$2:$AI$4001),MATCH(ROWS($X$2:$X1260),'Per Line'!$AI$2:$AI$4001,0),"")</f>
        <v/>
      </c>
    </row>
    <row r="1261" customFormat="false" ht="15" hidden="false" customHeight="false" outlineLevel="0" collapsed="false">
      <c r="A1261" s="19"/>
      <c r="B1261" s="20" t="str">
        <f aca="false">IF($X1261="","",INDEX('Per Line'!$D$2:$D$4001,$X1261))</f>
        <v/>
      </c>
      <c r="C1261" s="20" t="str">
        <f aca="false">IF($X1261="","",INDEX('Per Line'!$C$2:$C$4001,$X1261))</f>
        <v/>
      </c>
      <c r="D1261" s="20" t="str">
        <f aca="false">IF($X1261="","",INDEX('Per Line'!$A$2:$A$4001,$X1261))</f>
        <v/>
      </c>
      <c r="E1261" s="21" t="str">
        <f aca="false">IF($X1261="","",INDEX('Per Line'!$F$2:$F$4001,$X1261))</f>
        <v/>
      </c>
      <c r="F1261" s="20" t="str">
        <f aca="false">IF($X1261="","",INDEX('Per Line'!$G$2:$G$4001,$X1261))</f>
        <v/>
      </c>
      <c r="G1261" s="20" t="str">
        <f aca="false">IF($X1261="","",INDEX('Per Line'!$I$2:$I$4001,$X1261))</f>
        <v/>
      </c>
      <c r="H1261" s="20" t="str">
        <f aca="false">IF($X1261="","",INDEX('Per Line'!$J$2:$J$4001,$X1261))</f>
        <v/>
      </c>
      <c r="I1261" s="20" t="str">
        <f aca="false">IF($X1261="","",INDEX('Per Line'!$K$2:$K$4001,$X1261))</f>
        <v/>
      </c>
      <c r="J1261" s="20" t="str">
        <f aca="false">IF($X1261="","",INDEX('Per Line'!$L$2:$L$4001,$X1261))</f>
        <v/>
      </c>
      <c r="K1261" s="20" t="str">
        <f aca="false">IF($X1261="","",INDEX('Per Line'!$M$2:$M$4001,$X1261))</f>
        <v/>
      </c>
      <c r="L1261" s="22" t="str">
        <f aca="false">IF($X1261="","",K1261*V1261/100)</f>
        <v/>
      </c>
      <c r="M1261" s="20" t="str">
        <f aca="false">IF($X1261="","",INDEX('Per Line'!$Z$2:$Z$4001,$X1261))</f>
        <v/>
      </c>
      <c r="N1261" s="23" t="str">
        <f aca="false">IF($X1261="","",Settings!$C$7)</f>
        <v/>
      </c>
      <c r="O1261" s="22" t="str">
        <f aca="false">IF($X1261="","",SUMIFS('Per Line'!$Y$2:$Y$4001,'Per Line'!$D$2:$D$4001,$B1261,'Per Line'!$AJ$2:$AJ$4001,0))</f>
        <v/>
      </c>
      <c r="P1261" s="22" t="str">
        <f aca="false">IF($X1261="","",O1261*N1261)</f>
        <v/>
      </c>
      <c r="Q1261" s="23" t="str">
        <f aca="false">IF($X1261="","",Settings!$C$6)</f>
        <v/>
      </c>
      <c r="R1261" s="22" t="str">
        <f aca="false">IF($X1261="","",SUMIFS('Per Line'!$Y$2:$Y$4001,'Per Line'!$D$2:$D$4001,$B1261,'Per Line'!$AJ$2:$AJ$4001,1))</f>
        <v/>
      </c>
      <c r="S1261" s="22" t="str">
        <f aca="false">IF($X1261="","",R1261*Q1261)</f>
        <v/>
      </c>
      <c r="T1261" s="22" t="str">
        <f aca="false">IF($X1261="","",S1261+P1261)</f>
        <v/>
      </c>
      <c r="U1261" s="22" t="str">
        <f aca="false">IF($X1261="","",V1261-T1261)</f>
        <v/>
      </c>
      <c r="V1261" s="22" t="str">
        <f aca="false">IF($X1261="","",O1261+R1261)</f>
        <v/>
      </c>
      <c r="W1261" s="22" t="str">
        <f aca="false">IF($X1261="","",U1261-L1261)</f>
        <v/>
      </c>
      <c r="X1261" s="24" t="str">
        <f aca="false">IF(ROWS($X$2:$X1261)&lt;=MAX('Per Line'!$AI$2:$AI$4001),MATCH(ROWS($X$2:$X1261),'Per Line'!$AI$2:$AI$4001,0),"")</f>
        <v/>
      </c>
    </row>
    <row r="1262" customFormat="false" ht="15" hidden="false" customHeight="false" outlineLevel="0" collapsed="false">
      <c r="A1262" s="19"/>
      <c r="B1262" s="20" t="str">
        <f aca="false">IF($X1262="","",INDEX('Per Line'!$D$2:$D$4001,$X1262))</f>
        <v/>
      </c>
      <c r="C1262" s="20" t="str">
        <f aca="false">IF($X1262="","",INDEX('Per Line'!$C$2:$C$4001,$X1262))</f>
        <v/>
      </c>
      <c r="D1262" s="20" t="str">
        <f aca="false">IF($X1262="","",INDEX('Per Line'!$A$2:$A$4001,$X1262))</f>
        <v/>
      </c>
      <c r="E1262" s="21" t="str">
        <f aca="false">IF($X1262="","",INDEX('Per Line'!$F$2:$F$4001,$X1262))</f>
        <v/>
      </c>
      <c r="F1262" s="20" t="str">
        <f aca="false">IF($X1262="","",INDEX('Per Line'!$G$2:$G$4001,$X1262))</f>
        <v/>
      </c>
      <c r="G1262" s="20" t="str">
        <f aca="false">IF($X1262="","",INDEX('Per Line'!$I$2:$I$4001,$X1262))</f>
        <v/>
      </c>
      <c r="H1262" s="20" t="str">
        <f aca="false">IF($X1262="","",INDEX('Per Line'!$J$2:$J$4001,$X1262))</f>
        <v/>
      </c>
      <c r="I1262" s="20" t="str">
        <f aca="false">IF($X1262="","",INDEX('Per Line'!$K$2:$K$4001,$X1262))</f>
        <v/>
      </c>
      <c r="J1262" s="20" t="str">
        <f aca="false">IF($X1262="","",INDEX('Per Line'!$L$2:$L$4001,$X1262))</f>
        <v/>
      </c>
      <c r="K1262" s="20" t="str">
        <f aca="false">IF($X1262="","",INDEX('Per Line'!$M$2:$M$4001,$X1262))</f>
        <v/>
      </c>
      <c r="L1262" s="22" t="str">
        <f aca="false">IF($X1262="","",K1262*V1262/100)</f>
        <v/>
      </c>
      <c r="M1262" s="20" t="str">
        <f aca="false">IF($X1262="","",INDEX('Per Line'!$Z$2:$Z$4001,$X1262))</f>
        <v/>
      </c>
      <c r="N1262" s="23" t="str">
        <f aca="false">IF($X1262="","",Settings!$C$7)</f>
        <v/>
      </c>
      <c r="O1262" s="22" t="str">
        <f aca="false">IF($X1262="","",SUMIFS('Per Line'!$Y$2:$Y$4001,'Per Line'!$D$2:$D$4001,$B1262,'Per Line'!$AJ$2:$AJ$4001,0))</f>
        <v/>
      </c>
      <c r="P1262" s="22" t="str">
        <f aca="false">IF($X1262="","",O1262*N1262)</f>
        <v/>
      </c>
      <c r="Q1262" s="23" t="str">
        <f aca="false">IF($X1262="","",Settings!$C$6)</f>
        <v/>
      </c>
      <c r="R1262" s="22" t="str">
        <f aca="false">IF($X1262="","",SUMIFS('Per Line'!$Y$2:$Y$4001,'Per Line'!$D$2:$D$4001,$B1262,'Per Line'!$AJ$2:$AJ$4001,1))</f>
        <v/>
      </c>
      <c r="S1262" s="22" t="str">
        <f aca="false">IF($X1262="","",R1262*Q1262)</f>
        <v/>
      </c>
      <c r="T1262" s="22" t="str">
        <f aca="false">IF($X1262="","",S1262+P1262)</f>
        <v/>
      </c>
      <c r="U1262" s="22" t="str">
        <f aca="false">IF($X1262="","",V1262-T1262)</f>
        <v/>
      </c>
      <c r="V1262" s="22" t="str">
        <f aca="false">IF($X1262="","",O1262+R1262)</f>
        <v/>
      </c>
      <c r="W1262" s="22" t="str">
        <f aca="false">IF($X1262="","",U1262-L1262)</f>
        <v/>
      </c>
      <c r="X1262" s="24" t="str">
        <f aca="false">IF(ROWS($X$2:$X1262)&lt;=MAX('Per Line'!$AI$2:$AI$4001),MATCH(ROWS($X$2:$X1262),'Per Line'!$AI$2:$AI$4001,0),"")</f>
        <v/>
      </c>
    </row>
    <row r="1263" customFormat="false" ht="15" hidden="false" customHeight="false" outlineLevel="0" collapsed="false">
      <c r="A1263" s="19"/>
      <c r="B1263" s="20" t="str">
        <f aca="false">IF($X1263="","",INDEX('Per Line'!$D$2:$D$4001,$X1263))</f>
        <v/>
      </c>
      <c r="C1263" s="20" t="str">
        <f aca="false">IF($X1263="","",INDEX('Per Line'!$C$2:$C$4001,$X1263))</f>
        <v/>
      </c>
      <c r="D1263" s="20" t="str">
        <f aca="false">IF($X1263="","",INDEX('Per Line'!$A$2:$A$4001,$X1263))</f>
        <v/>
      </c>
      <c r="E1263" s="21" t="str">
        <f aca="false">IF($X1263="","",INDEX('Per Line'!$F$2:$F$4001,$X1263))</f>
        <v/>
      </c>
      <c r="F1263" s="20" t="str">
        <f aca="false">IF($X1263="","",INDEX('Per Line'!$G$2:$G$4001,$X1263))</f>
        <v/>
      </c>
      <c r="G1263" s="20" t="str">
        <f aca="false">IF($X1263="","",INDEX('Per Line'!$I$2:$I$4001,$X1263))</f>
        <v/>
      </c>
      <c r="H1263" s="20" t="str">
        <f aca="false">IF($X1263="","",INDEX('Per Line'!$J$2:$J$4001,$X1263))</f>
        <v/>
      </c>
      <c r="I1263" s="20" t="str">
        <f aca="false">IF($X1263="","",INDEX('Per Line'!$K$2:$K$4001,$X1263))</f>
        <v/>
      </c>
      <c r="J1263" s="20" t="str">
        <f aca="false">IF($X1263="","",INDEX('Per Line'!$L$2:$L$4001,$X1263))</f>
        <v/>
      </c>
      <c r="K1263" s="20" t="str">
        <f aca="false">IF($X1263="","",INDEX('Per Line'!$M$2:$M$4001,$X1263))</f>
        <v/>
      </c>
      <c r="L1263" s="22" t="str">
        <f aca="false">IF($X1263="","",K1263*V1263/100)</f>
        <v/>
      </c>
      <c r="M1263" s="20" t="str">
        <f aca="false">IF($X1263="","",INDEX('Per Line'!$Z$2:$Z$4001,$X1263))</f>
        <v/>
      </c>
      <c r="N1263" s="23" t="str">
        <f aca="false">IF($X1263="","",Settings!$C$7)</f>
        <v/>
      </c>
      <c r="O1263" s="22" t="str">
        <f aca="false">IF($X1263="","",SUMIFS('Per Line'!$Y$2:$Y$4001,'Per Line'!$D$2:$D$4001,$B1263,'Per Line'!$AJ$2:$AJ$4001,0))</f>
        <v/>
      </c>
      <c r="P1263" s="22" t="str">
        <f aca="false">IF($X1263="","",O1263*N1263)</f>
        <v/>
      </c>
      <c r="Q1263" s="23" t="str">
        <f aca="false">IF($X1263="","",Settings!$C$6)</f>
        <v/>
      </c>
      <c r="R1263" s="22" t="str">
        <f aca="false">IF($X1263="","",SUMIFS('Per Line'!$Y$2:$Y$4001,'Per Line'!$D$2:$D$4001,$B1263,'Per Line'!$AJ$2:$AJ$4001,1))</f>
        <v/>
      </c>
      <c r="S1263" s="22" t="str">
        <f aca="false">IF($X1263="","",R1263*Q1263)</f>
        <v/>
      </c>
      <c r="T1263" s="22" t="str">
        <f aca="false">IF($X1263="","",S1263+P1263)</f>
        <v/>
      </c>
      <c r="U1263" s="22" t="str">
        <f aca="false">IF($X1263="","",V1263-T1263)</f>
        <v/>
      </c>
      <c r="V1263" s="22" t="str">
        <f aca="false">IF($X1263="","",O1263+R1263)</f>
        <v/>
      </c>
      <c r="W1263" s="22" t="str">
        <f aca="false">IF($X1263="","",U1263-L1263)</f>
        <v/>
      </c>
      <c r="X1263" s="24" t="str">
        <f aca="false">IF(ROWS($X$2:$X1263)&lt;=MAX('Per Line'!$AI$2:$AI$4001),MATCH(ROWS($X$2:$X1263),'Per Line'!$AI$2:$AI$4001,0),"")</f>
        <v/>
      </c>
    </row>
    <row r="1264" customFormat="false" ht="15" hidden="false" customHeight="false" outlineLevel="0" collapsed="false">
      <c r="A1264" s="19"/>
      <c r="B1264" s="20" t="str">
        <f aca="false">IF($X1264="","",INDEX('Per Line'!$D$2:$D$4001,$X1264))</f>
        <v/>
      </c>
      <c r="C1264" s="20" t="str">
        <f aca="false">IF($X1264="","",INDEX('Per Line'!$C$2:$C$4001,$X1264))</f>
        <v/>
      </c>
      <c r="D1264" s="20" t="str">
        <f aca="false">IF($X1264="","",INDEX('Per Line'!$A$2:$A$4001,$X1264))</f>
        <v/>
      </c>
      <c r="E1264" s="21" t="str">
        <f aca="false">IF($X1264="","",INDEX('Per Line'!$F$2:$F$4001,$X1264))</f>
        <v/>
      </c>
      <c r="F1264" s="20" t="str">
        <f aca="false">IF($X1264="","",INDEX('Per Line'!$G$2:$G$4001,$X1264))</f>
        <v/>
      </c>
      <c r="G1264" s="20" t="str">
        <f aca="false">IF($X1264="","",INDEX('Per Line'!$I$2:$I$4001,$X1264))</f>
        <v/>
      </c>
      <c r="H1264" s="20" t="str">
        <f aca="false">IF($X1264="","",INDEX('Per Line'!$J$2:$J$4001,$X1264))</f>
        <v/>
      </c>
      <c r="I1264" s="20" t="str">
        <f aca="false">IF($X1264="","",INDEX('Per Line'!$K$2:$K$4001,$X1264))</f>
        <v/>
      </c>
      <c r="J1264" s="20" t="str">
        <f aca="false">IF($X1264="","",INDEX('Per Line'!$L$2:$L$4001,$X1264))</f>
        <v/>
      </c>
      <c r="K1264" s="20" t="str">
        <f aca="false">IF($X1264="","",INDEX('Per Line'!$M$2:$M$4001,$X1264))</f>
        <v/>
      </c>
      <c r="L1264" s="22" t="str">
        <f aca="false">IF($X1264="","",K1264*V1264/100)</f>
        <v/>
      </c>
      <c r="M1264" s="20" t="str">
        <f aca="false">IF($X1264="","",INDEX('Per Line'!$Z$2:$Z$4001,$X1264))</f>
        <v/>
      </c>
      <c r="N1264" s="23" t="str">
        <f aca="false">IF($X1264="","",Settings!$C$7)</f>
        <v/>
      </c>
      <c r="O1264" s="22" t="str">
        <f aca="false">IF($X1264="","",SUMIFS('Per Line'!$Y$2:$Y$4001,'Per Line'!$D$2:$D$4001,$B1264,'Per Line'!$AJ$2:$AJ$4001,0))</f>
        <v/>
      </c>
      <c r="P1264" s="22" t="str">
        <f aca="false">IF($X1264="","",O1264*N1264)</f>
        <v/>
      </c>
      <c r="Q1264" s="23" t="str">
        <f aca="false">IF($X1264="","",Settings!$C$6)</f>
        <v/>
      </c>
      <c r="R1264" s="22" t="str">
        <f aca="false">IF($X1264="","",SUMIFS('Per Line'!$Y$2:$Y$4001,'Per Line'!$D$2:$D$4001,$B1264,'Per Line'!$AJ$2:$AJ$4001,1))</f>
        <v/>
      </c>
      <c r="S1264" s="22" t="str">
        <f aca="false">IF($X1264="","",R1264*Q1264)</f>
        <v/>
      </c>
      <c r="T1264" s="22" t="str">
        <f aca="false">IF($X1264="","",S1264+P1264)</f>
        <v/>
      </c>
      <c r="U1264" s="22" t="str">
        <f aca="false">IF($X1264="","",V1264-T1264)</f>
        <v/>
      </c>
      <c r="V1264" s="22" t="str">
        <f aca="false">IF($X1264="","",O1264+R1264)</f>
        <v/>
      </c>
      <c r="W1264" s="22" t="str">
        <f aca="false">IF($X1264="","",U1264-L1264)</f>
        <v/>
      </c>
      <c r="X1264" s="24" t="str">
        <f aca="false">IF(ROWS($X$2:$X1264)&lt;=MAX('Per Line'!$AI$2:$AI$4001),MATCH(ROWS($X$2:$X1264),'Per Line'!$AI$2:$AI$4001,0),"")</f>
        <v/>
      </c>
    </row>
    <row r="1265" customFormat="false" ht="15" hidden="false" customHeight="false" outlineLevel="0" collapsed="false">
      <c r="A1265" s="19"/>
      <c r="B1265" s="20" t="str">
        <f aca="false">IF($X1265="","",INDEX('Per Line'!$D$2:$D$4001,$X1265))</f>
        <v/>
      </c>
      <c r="C1265" s="20" t="str">
        <f aca="false">IF($X1265="","",INDEX('Per Line'!$C$2:$C$4001,$X1265))</f>
        <v/>
      </c>
      <c r="D1265" s="20" t="str">
        <f aca="false">IF($X1265="","",INDEX('Per Line'!$A$2:$A$4001,$X1265))</f>
        <v/>
      </c>
      <c r="E1265" s="21" t="str">
        <f aca="false">IF($X1265="","",INDEX('Per Line'!$F$2:$F$4001,$X1265))</f>
        <v/>
      </c>
      <c r="F1265" s="20" t="str">
        <f aca="false">IF($X1265="","",INDEX('Per Line'!$G$2:$G$4001,$X1265))</f>
        <v/>
      </c>
      <c r="G1265" s="20" t="str">
        <f aca="false">IF($X1265="","",INDEX('Per Line'!$I$2:$I$4001,$X1265))</f>
        <v/>
      </c>
      <c r="H1265" s="20" t="str">
        <f aca="false">IF($X1265="","",INDEX('Per Line'!$J$2:$J$4001,$X1265))</f>
        <v/>
      </c>
      <c r="I1265" s="20" t="str">
        <f aca="false">IF($X1265="","",INDEX('Per Line'!$K$2:$K$4001,$X1265))</f>
        <v/>
      </c>
      <c r="J1265" s="20" t="str">
        <f aca="false">IF($X1265="","",INDEX('Per Line'!$L$2:$L$4001,$X1265))</f>
        <v/>
      </c>
      <c r="K1265" s="20" t="str">
        <f aca="false">IF($X1265="","",INDEX('Per Line'!$M$2:$M$4001,$X1265))</f>
        <v/>
      </c>
      <c r="L1265" s="22" t="str">
        <f aca="false">IF($X1265="","",K1265*V1265/100)</f>
        <v/>
      </c>
      <c r="M1265" s="20" t="str">
        <f aca="false">IF($X1265="","",INDEX('Per Line'!$Z$2:$Z$4001,$X1265))</f>
        <v/>
      </c>
      <c r="N1265" s="23" t="str">
        <f aca="false">IF($X1265="","",Settings!$C$7)</f>
        <v/>
      </c>
      <c r="O1265" s="22" t="str">
        <f aca="false">IF($X1265="","",SUMIFS('Per Line'!$Y$2:$Y$4001,'Per Line'!$D$2:$D$4001,$B1265,'Per Line'!$AJ$2:$AJ$4001,0))</f>
        <v/>
      </c>
      <c r="P1265" s="22" t="str">
        <f aca="false">IF($X1265="","",O1265*N1265)</f>
        <v/>
      </c>
      <c r="Q1265" s="23" t="str">
        <f aca="false">IF($X1265="","",Settings!$C$6)</f>
        <v/>
      </c>
      <c r="R1265" s="22" t="str">
        <f aca="false">IF($X1265="","",SUMIFS('Per Line'!$Y$2:$Y$4001,'Per Line'!$D$2:$D$4001,$B1265,'Per Line'!$AJ$2:$AJ$4001,1))</f>
        <v/>
      </c>
      <c r="S1265" s="22" t="str">
        <f aca="false">IF($X1265="","",R1265*Q1265)</f>
        <v/>
      </c>
      <c r="T1265" s="22" t="str">
        <f aca="false">IF($X1265="","",S1265+P1265)</f>
        <v/>
      </c>
      <c r="U1265" s="22" t="str">
        <f aca="false">IF($X1265="","",V1265-T1265)</f>
        <v/>
      </c>
      <c r="V1265" s="22" t="str">
        <f aca="false">IF($X1265="","",O1265+R1265)</f>
        <v/>
      </c>
      <c r="W1265" s="22" t="str">
        <f aca="false">IF($X1265="","",U1265-L1265)</f>
        <v/>
      </c>
      <c r="X1265" s="24" t="str">
        <f aca="false">IF(ROWS($X$2:$X1265)&lt;=MAX('Per Line'!$AI$2:$AI$4001),MATCH(ROWS($X$2:$X1265),'Per Line'!$AI$2:$AI$4001,0),"")</f>
        <v/>
      </c>
    </row>
    <row r="1266" customFormat="false" ht="15" hidden="false" customHeight="false" outlineLevel="0" collapsed="false">
      <c r="A1266" s="19"/>
      <c r="B1266" s="20" t="str">
        <f aca="false">IF($X1266="","",INDEX('Per Line'!$D$2:$D$4001,$X1266))</f>
        <v/>
      </c>
      <c r="C1266" s="20" t="str">
        <f aca="false">IF($X1266="","",INDEX('Per Line'!$C$2:$C$4001,$X1266))</f>
        <v/>
      </c>
      <c r="D1266" s="20" t="str">
        <f aca="false">IF($X1266="","",INDEX('Per Line'!$A$2:$A$4001,$X1266))</f>
        <v/>
      </c>
      <c r="E1266" s="21" t="str">
        <f aca="false">IF($X1266="","",INDEX('Per Line'!$F$2:$F$4001,$X1266))</f>
        <v/>
      </c>
      <c r="F1266" s="20" t="str">
        <f aca="false">IF($X1266="","",INDEX('Per Line'!$G$2:$G$4001,$X1266))</f>
        <v/>
      </c>
      <c r="G1266" s="20" t="str">
        <f aca="false">IF($X1266="","",INDEX('Per Line'!$I$2:$I$4001,$X1266))</f>
        <v/>
      </c>
      <c r="H1266" s="20" t="str">
        <f aca="false">IF($X1266="","",INDEX('Per Line'!$J$2:$J$4001,$X1266))</f>
        <v/>
      </c>
      <c r="I1266" s="20" t="str">
        <f aca="false">IF($X1266="","",INDEX('Per Line'!$K$2:$K$4001,$X1266))</f>
        <v/>
      </c>
      <c r="J1266" s="20" t="str">
        <f aca="false">IF($X1266="","",INDEX('Per Line'!$L$2:$L$4001,$X1266))</f>
        <v/>
      </c>
      <c r="K1266" s="20" t="str">
        <f aca="false">IF($X1266="","",INDEX('Per Line'!$M$2:$M$4001,$X1266))</f>
        <v/>
      </c>
      <c r="L1266" s="22" t="str">
        <f aca="false">IF($X1266="","",K1266*V1266/100)</f>
        <v/>
      </c>
      <c r="M1266" s="20" t="str">
        <f aca="false">IF($X1266="","",INDEX('Per Line'!$Z$2:$Z$4001,$X1266))</f>
        <v/>
      </c>
      <c r="N1266" s="23" t="str">
        <f aca="false">IF($X1266="","",Settings!$C$7)</f>
        <v/>
      </c>
      <c r="O1266" s="22" t="str">
        <f aca="false">IF($X1266="","",SUMIFS('Per Line'!$Y$2:$Y$4001,'Per Line'!$D$2:$D$4001,$B1266,'Per Line'!$AJ$2:$AJ$4001,0))</f>
        <v/>
      </c>
      <c r="P1266" s="22" t="str">
        <f aca="false">IF($X1266="","",O1266*N1266)</f>
        <v/>
      </c>
      <c r="Q1266" s="23" t="str">
        <f aca="false">IF($X1266="","",Settings!$C$6)</f>
        <v/>
      </c>
      <c r="R1266" s="22" t="str">
        <f aca="false">IF($X1266="","",SUMIFS('Per Line'!$Y$2:$Y$4001,'Per Line'!$D$2:$D$4001,$B1266,'Per Line'!$AJ$2:$AJ$4001,1))</f>
        <v/>
      </c>
      <c r="S1266" s="22" t="str">
        <f aca="false">IF($X1266="","",R1266*Q1266)</f>
        <v/>
      </c>
      <c r="T1266" s="22" t="str">
        <f aca="false">IF($X1266="","",S1266+P1266)</f>
        <v/>
      </c>
      <c r="U1266" s="22" t="str">
        <f aca="false">IF($X1266="","",V1266-T1266)</f>
        <v/>
      </c>
      <c r="V1266" s="22" t="str">
        <f aca="false">IF($X1266="","",O1266+R1266)</f>
        <v/>
      </c>
      <c r="W1266" s="22" t="str">
        <f aca="false">IF($X1266="","",U1266-L1266)</f>
        <v/>
      </c>
      <c r="X1266" s="24" t="str">
        <f aca="false">IF(ROWS($X$2:$X1266)&lt;=MAX('Per Line'!$AI$2:$AI$4001),MATCH(ROWS($X$2:$X1266),'Per Line'!$AI$2:$AI$4001,0),"")</f>
        <v/>
      </c>
    </row>
    <row r="1267" customFormat="false" ht="15" hidden="false" customHeight="false" outlineLevel="0" collapsed="false">
      <c r="A1267" s="19"/>
      <c r="B1267" s="20" t="str">
        <f aca="false">IF($X1267="","",INDEX('Per Line'!$D$2:$D$4001,$X1267))</f>
        <v/>
      </c>
      <c r="C1267" s="20" t="str">
        <f aca="false">IF($X1267="","",INDEX('Per Line'!$C$2:$C$4001,$X1267))</f>
        <v/>
      </c>
      <c r="D1267" s="20" t="str">
        <f aca="false">IF($X1267="","",INDEX('Per Line'!$A$2:$A$4001,$X1267))</f>
        <v/>
      </c>
      <c r="E1267" s="21" t="str">
        <f aca="false">IF($X1267="","",INDEX('Per Line'!$F$2:$F$4001,$X1267))</f>
        <v/>
      </c>
      <c r="F1267" s="20" t="str">
        <f aca="false">IF($X1267="","",INDEX('Per Line'!$G$2:$G$4001,$X1267))</f>
        <v/>
      </c>
      <c r="G1267" s="20" t="str">
        <f aca="false">IF($X1267="","",INDEX('Per Line'!$I$2:$I$4001,$X1267))</f>
        <v/>
      </c>
      <c r="H1267" s="20" t="str">
        <f aca="false">IF($X1267="","",INDEX('Per Line'!$J$2:$J$4001,$X1267))</f>
        <v/>
      </c>
      <c r="I1267" s="20" t="str">
        <f aca="false">IF($X1267="","",INDEX('Per Line'!$K$2:$K$4001,$X1267))</f>
        <v/>
      </c>
      <c r="J1267" s="20" t="str">
        <f aca="false">IF($X1267="","",INDEX('Per Line'!$L$2:$L$4001,$X1267))</f>
        <v/>
      </c>
      <c r="K1267" s="20" t="str">
        <f aca="false">IF($X1267="","",INDEX('Per Line'!$M$2:$M$4001,$X1267))</f>
        <v/>
      </c>
      <c r="L1267" s="22" t="str">
        <f aca="false">IF($X1267="","",K1267*V1267/100)</f>
        <v/>
      </c>
      <c r="M1267" s="20" t="str">
        <f aca="false">IF($X1267="","",INDEX('Per Line'!$Z$2:$Z$4001,$X1267))</f>
        <v/>
      </c>
      <c r="N1267" s="23" t="str">
        <f aca="false">IF($X1267="","",Settings!$C$7)</f>
        <v/>
      </c>
      <c r="O1267" s="22" t="str">
        <f aca="false">IF($X1267="","",SUMIFS('Per Line'!$Y$2:$Y$4001,'Per Line'!$D$2:$D$4001,$B1267,'Per Line'!$AJ$2:$AJ$4001,0))</f>
        <v/>
      </c>
      <c r="P1267" s="22" t="str">
        <f aca="false">IF($X1267="","",O1267*N1267)</f>
        <v/>
      </c>
      <c r="Q1267" s="23" t="str">
        <f aca="false">IF($X1267="","",Settings!$C$6)</f>
        <v/>
      </c>
      <c r="R1267" s="22" t="str">
        <f aca="false">IF($X1267="","",SUMIFS('Per Line'!$Y$2:$Y$4001,'Per Line'!$D$2:$D$4001,$B1267,'Per Line'!$AJ$2:$AJ$4001,1))</f>
        <v/>
      </c>
      <c r="S1267" s="22" t="str">
        <f aca="false">IF($X1267="","",R1267*Q1267)</f>
        <v/>
      </c>
      <c r="T1267" s="22" t="str">
        <f aca="false">IF($X1267="","",S1267+P1267)</f>
        <v/>
      </c>
      <c r="U1267" s="22" t="str">
        <f aca="false">IF($X1267="","",V1267-T1267)</f>
        <v/>
      </c>
      <c r="V1267" s="22" t="str">
        <f aca="false">IF($X1267="","",O1267+R1267)</f>
        <v/>
      </c>
      <c r="W1267" s="22" t="str">
        <f aca="false">IF($X1267="","",U1267-L1267)</f>
        <v/>
      </c>
      <c r="X1267" s="24" t="str">
        <f aca="false">IF(ROWS($X$2:$X1267)&lt;=MAX('Per Line'!$AI$2:$AI$4001),MATCH(ROWS($X$2:$X1267),'Per Line'!$AI$2:$AI$4001,0),"")</f>
        <v/>
      </c>
    </row>
    <row r="1268" customFormat="false" ht="15" hidden="false" customHeight="false" outlineLevel="0" collapsed="false">
      <c r="A1268" s="19"/>
      <c r="B1268" s="20" t="str">
        <f aca="false">IF($X1268="","",INDEX('Per Line'!$D$2:$D$4001,$X1268))</f>
        <v/>
      </c>
      <c r="C1268" s="20" t="str">
        <f aca="false">IF($X1268="","",INDEX('Per Line'!$C$2:$C$4001,$X1268))</f>
        <v/>
      </c>
      <c r="D1268" s="20" t="str">
        <f aca="false">IF($X1268="","",INDEX('Per Line'!$A$2:$A$4001,$X1268))</f>
        <v/>
      </c>
      <c r="E1268" s="21" t="str">
        <f aca="false">IF($X1268="","",INDEX('Per Line'!$F$2:$F$4001,$X1268))</f>
        <v/>
      </c>
      <c r="F1268" s="20" t="str">
        <f aca="false">IF($X1268="","",INDEX('Per Line'!$G$2:$G$4001,$X1268))</f>
        <v/>
      </c>
      <c r="G1268" s="20" t="str">
        <f aca="false">IF($X1268="","",INDEX('Per Line'!$I$2:$I$4001,$X1268))</f>
        <v/>
      </c>
      <c r="H1268" s="20" t="str">
        <f aca="false">IF($X1268="","",INDEX('Per Line'!$J$2:$J$4001,$X1268))</f>
        <v/>
      </c>
      <c r="I1268" s="20" t="str">
        <f aca="false">IF($X1268="","",INDEX('Per Line'!$K$2:$K$4001,$X1268))</f>
        <v/>
      </c>
      <c r="J1268" s="20" t="str">
        <f aca="false">IF($X1268="","",INDEX('Per Line'!$L$2:$L$4001,$X1268))</f>
        <v/>
      </c>
      <c r="K1268" s="20" t="str">
        <f aca="false">IF($X1268="","",INDEX('Per Line'!$M$2:$M$4001,$X1268))</f>
        <v/>
      </c>
      <c r="L1268" s="22" t="str">
        <f aca="false">IF($X1268="","",K1268*V1268/100)</f>
        <v/>
      </c>
      <c r="M1268" s="20" t="str">
        <f aca="false">IF($X1268="","",INDEX('Per Line'!$Z$2:$Z$4001,$X1268))</f>
        <v/>
      </c>
      <c r="N1268" s="23" t="str">
        <f aca="false">IF($X1268="","",Settings!$C$7)</f>
        <v/>
      </c>
      <c r="O1268" s="22" t="str">
        <f aca="false">IF($X1268="","",SUMIFS('Per Line'!$Y$2:$Y$4001,'Per Line'!$D$2:$D$4001,$B1268,'Per Line'!$AJ$2:$AJ$4001,0))</f>
        <v/>
      </c>
      <c r="P1268" s="22" t="str">
        <f aca="false">IF($X1268="","",O1268*N1268)</f>
        <v/>
      </c>
      <c r="Q1268" s="23" t="str">
        <f aca="false">IF($X1268="","",Settings!$C$6)</f>
        <v/>
      </c>
      <c r="R1268" s="22" t="str">
        <f aca="false">IF($X1268="","",SUMIFS('Per Line'!$Y$2:$Y$4001,'Per Line'!$D$2:$D$4001,$B1268,'Per Line'!$AJ$2:$AJ$4001,1))</f>
        <v/>
      </c>
      <c r="S1268" s="22" t="str">
        <f aca="false">IF($X1268="","",R1268*Q1268)</f>
        <v/>
      </c>
      <c r="T1268" s="22" t="str">
        <f aca="false">IF($X1268="","",S1268+P1268)</f>
        <v/>
      </c>
      <c r="U1268" s="22" t="str">
        <f aca="false">IF($X1268="","",V1268-T1268)</f>
        <v/>
      </c>
      <c r="V1268" s="22" t="str">
        <f aca="false">IF($X1268="","",O1268+R1268)</f>
        <v/>
      </c>
      <c r="W1268" s="22" t="str">
        <f aca="false">IF($X1268="","",U1268-L1268)</f>
        <v/>
      </c>
      <c r="X1268" s="24" t="str">
        <f aca="false">IF(ROWS($X$2:$X1268)&lt;=MAX('Per Line'!$AI$2:$AI$4001),MATCH(ROWS($X$2:$X1268),'Per Line'!$AI$2:$AI$4001,0),"")</f>
        <v/>
      </c>
    </row>
    <row r="1269" customFormat="false" ht="15" hidden="false" customHeight="false" outlineLevel="0" collapsed="false">
      <c r="A1269" s="19"/>
      <c r="B1269" s="20" t="str">
        <f aca="false">IF($X1269="","",INDEX('Per Line'!$D$2:$D$4001,$X1269))</f>
        <v/>
      </c>
      <c r="C1269" s="20" t="str">
        <f aca="false">IF($X1269="","",INDEX('Per Line'!$C$2:$C$4001,$X1269))</f>
        <v/>
      </c>
      <c r="D1269" s="20" t="str">
        <f aca="false">IF($X1269="","",INDEX('Per Line'!$A$2:$A$4001,$X1269))</f>
        <v/>
      </c>
      <c r="E1269" s="21" t="str">
        <f aca="false">IF($X1269="","",INDEX('Per Line'!$F$2:$F$4001,$X1269))</f>
        <v/>
      </c>
      <c r="F1269" s="20" t="str">
        <f aca="false">IF($X1269="","",INDEX('Per Line'!$G$2:$G$4001,$X1269))</f>
        <v/>
      </c>
      <c r="G1269" s="20" t="str">
        <f aca="false">IF($X1269="","",INDEX('Per Line'!$I$2:$I$4001,$X1269))</f>
        <v/>
      </c>
      <c r="H1269" s="20" t="str">
        <f aca="false">IF($X1269="","",INDEX('Per Line'!$J$2:$J$4001,$X1269))</f>
        <v/>
      </c>
      <c r="I1269" s="20" t="str">
        <f aca="false">IF($X1269="","",INDEX('Per Line'!$K$2:$K$4001,$X1269))</f>
        <v/>
      </c>
      <c r="J1269" s="20" t="str">
        <f aca="false">IF($X1269="","",INDEX('Per Line'!$L$2:$L$4001,$X1269))</f>
        <v/>
      </c>
      <c r="K1269" s="20" t="str">
        <f aca="false">IF($X1269="","",INDEX('Per Line'!$M$2:$M$4001,$X1269))</f>
        <v/>
      </c>
      <c r="L1269" s="22" t="str">
        <f aca="false">IF($X1269="","",K1269*V1269/100)</f>
        <v/>
      </c>
      <c r="M1269" s="20" t="str">
        <f aca="false">IF($X1269="","",INDEX('Per Line'!$Z$2:$Z$4001,$X1269))</f>
        <v/>
      </c>
      <c r="N1269" s="23" t="str">
        <f aca="false">IF($X1269="","",Settings!$C$7)</f>
        <v/>
      </c>
      <c r="O1269" s="22" t="str">
        <f aca="false">IF($X1269="","",SUMIFS('Per Line'!$Y$2:$Y$4001,'Per Line'!$D$2:$D$4001,$B1269,'Per Line'!$AJ$2:$AJ$4001,0))</f>
        <v/>
      </c>
      <c r="P1269" s="22" t="str">
        <f aca="false">IF($X1269="","",O1269*N1269)</f>
        <v/>
      </c>
      <c r="Q1269" s="23" t="str">
        <f aca="false">IF($X1269="","",Settings!$C$6)</f>
        <v/>
      </c>
      <c r="R1269" s="22" t="str">
        <f aca="false">IF($X1269="","",SUMIFS('Per Line'!$Y$2:$Y$4001,'Per Line'!$D$2:$D$4001,$B1269,'Per Line'!$AJ$2:$AJ$4001,1))</f>
        <v/>
      </c>
      <c r="S1269" s="22" t="str">
        <f aca="false">IF($X1269="","",R1269*Q1269)</f>
        <v/>
      </c>
      <c r="T1269" s="22" t="str">
        <f aca="false">IF($X1269="","",S1269+P1269)</f>
        <v/>
      </c>
      <c r="U1269" s="22" t="str">
        <f aca="false">IF($X1269="","",V1269-T1269)</f>
        <v/>
      </c>
      <c r="V1269" s="22" t="str">
        <f aca="false">IF($X1269="","",O1269+R1269)</f>
        <v/>
      </c>
      <c r="W1269" s="22" t="str">
        <f aca="false">IF($X1269="","",U1269-L1269)</f>
        <v/>
      </c>
      <c r="X1269" s="24" t="str">
        <f aca="false">IF(ROWS($X$2:$X1269)&lt;=MAX('Per Line'!$AI$2:$AI$4001),MATCH(ROWS($X$2:$X1269),'Per Line'!$AI$2:$AI$4001,0),"")</f>
        <v/>
      </c>
    </row>
    <row r="1270" customFormat="false" ht="15" hidden="false" customHeight="false" outlineLevel="0" collapsed="false">
      <c r="A1270" s="19"/>
      <c r="B1270" s="20" t="str">
        <f aca="false">IF($X1270="","",INDEX('Per Line'!$D$2:$D$4001,$X1270))</f>
        <v/>
      </c>
      <c r="C1270" s="20" t="str">
        <f aca="false">IF($X1270="","",INDEX('Per Line'!$C$2:$C$4001,$X1270))</f>
        <v/>
      </c>
      <c r="D1270" s="20" t="str">
        <f aca="false">IF($X1270="","",INDEX('Per Line'!$A$2:$A$4001,$X1270))</f>
        <v/>
      </c>
      <c r="E1270" s="21" t="str">
        <f aca="false">IF($X1270="","",INDEX('Per Line'!$F$2:$F$4001,$X1270))</f>
        <v/>
      </c>
      <c r="F1270" s="20" t="str">
        <f aca="false">IF($X1270="","",INDEX('Per Line'!$G$2:$G$4001,$X1270))</f>
        <v/>
      </c>
      <c r="G1270" s="20" t="str">
        <f aca="false">IF($X1270="","",INDEX('Per Line'!$I$2:$I$4001,$X1270))</f>
        <v/>
      </c>
      <c r="H1270" s="20" t="str">
        <f aca="false">IF($X1270="","",INDEX('Per Line'!$J$2:$J$4001,$X1270))</f>
        <v/>
      </c>
      <c r="I1270" s="20" t="str">
        <f aca="false">IF($X1270="","",INDEX('Per Line'!$K$2:$K$4001,$X1270))</f>
        <v/>
      </c>
      <c r="J1270" s="20" t="str">
        <f aca="false">IF($X1270="","",INDEX('Per Line'!$L$2:$L$4001,$X1270))</f>
        <v/>
      </c>
      <c r="K1270" s="20" t="str">
        <f aca="false">IF($X1270="","",INDEX('Per Line'!$M$2:$M$4001,$X1270))</f>
        <v/>
      </c>
      <c r="L1270" s="22" t="str">
        <f aca="false">IF($X1270="","",K1270*V1270/100)</f>
        <v/>
      </c>
      <c r="M1270" s="20" t="str">
        <f aca="false">IF($X1270="","",INDEX('Per Line'!$Z$2:$Z$4001,$X1270))</f>
        <v/>
      </c>
      <c r="N1270" s="23" t="str">
        <f aca="false">IF($X1270="","",Settings!$C$7)</f>
        <v/>
      </c>
      <c r="O1270" s="22" t="str">
        <f aca="false">IF($X1270="","",SUMIFS('Per Line'!$Y$2:$Y$4001,'Per Line'!$D$2:$D$4001,$B1270,'Per Line'!$AJ$2:$AJ$4001,0))</f>
        <v/>
      </c>
      <c r="P1270" s="22" t="str">
        <f aca="false">IF($X1270="","",O1270*N1270)</f>
        <v/>
      </c>
      <c r="Q1270" s="23" t="str">
        <f aca="false">IF($X1270="","",Settings!$C$6)</f>
        <v/>
      </c>
      <c r="R1270" s="22" t="str">
        <f aca="false">IF($X1270="","",SUMIFS('Per Line'!$Y$2:$Y$4001,'Per Line'!$D$2:$D$4001,$B1270,'Per Line'!$AJ$2:$AJ$4001,1))</f>
        <v/>
      </c>
      <c r="S1270" s="22" t="str">
        <f aca="false">IF($X1270="","",R1270*Q1270)</f>
        <v/>
      </c>
      <c r="T1270" s="22" t="str">
        <f aca="false">IF($X1270="","",S1270+P1270)</f>
        <v/>
      </c>
      <c r="U1270" s="22" t="str">
        <f aca="false">IF($X1270="","",V1270-T1270)</f>
        <v/>
      </c>
      <c r="V1270" s="22" t="str">
        <f aca="false">IF($X1270="","",O1270+R1270)</f>
        <v/>
      </c>
      <c r="W1270" s="22" t="str">
        <f aca="false">IF($X1270="","",U1270-L1270)</f>
        <v/>
      </c>
      <c r="X1270" s="24" t="str">
        <f aca="false">IF(ROWS($X$2:$X1270)&lt;=MAX('Per Line'!$AI$2:$AI$4001),MATCH(ROWS($X$2:$X1270),'Per Line'!$AI$2:$AI$4001,0),"")</f>
        <v/>
      </c>
    </row>
    <row r="1271" customFormat="false" ht="15" hidden="false" customHeight="false" outlineLevel="0" collapsed="false">
      <c r="A1271" s="19"/>
      <c r="B1271" s="20" t="str">
        <f aca="false">IF($X1271="","",INDEX('Per Line'!$D$2:$D$4001,$X1271))</f>
        <v/>
      </c>
      <c r="C1271" s="20" t="str">
        <f aca="false">IF($X1271="","",INDEX('Per Line'!$C$2:$C$4001,$X1271))</f>
        <v/>
      </c>
      <c r="D1271" s="20" t="str">
        <f aca="false">IF($X1271="","",INDEX('Per Line'!$A$2:$A$4001,$X1271))</f>
        <v/>
      </c>
      <c r="E1271" s="21" t="str">
        <f aca="false">IF($X1271="","",INDEX('Per Line'!$F$2:$F$4001,$X1271))</f>
        <v/>
      </c>
      <c r="F1271" s="20" t="str">
        <f aca="false">IF($X1271="","",INDEX('Per Line'!$G$2:$G$4001,$X1271))</f>
        <v/>
      </c>
      <c r="G1271" s="20" t="str">
        <f aca="false">IF($X1271="","",INDEX('Per Line'!$I$2:$I$4001,$X1271))</f>
        <v/>
      </c>
      <c r="H1271" s="20" t="str">
        <f aca="false">IF($X1271="","",INDEX('Per Line'!$J$2:$J$4001,$X1271))</f>
        <v/>
      </c>
      <c r="I1271" s="20" t="str">
        <f aca="false">IF($X1271="","",INDEX('Per Line'!$K$2:$K$4001,$X1271))</f>
        <v/>
      </c>
      <c r="J1271" s="20" t="str">
        <f aca="false">IF($X1271="","",INDEX('Per Line'!$L$2:$L$4001,$X1271))</f>
        <v/>
      </c>
      <c r="K1271" s="20" t="str">
        <f aca="false">IF($X1271="","",INDEX('Per Line'!$M$2:$M$4001,$X1271))</f>
        <v/>
      </c>
      <c r="L1271" s="22" t="str">
        <f aca="false">IF($X1271="","",K1271*V1271/100)</f>
        <v/>
      </c>
      <c r="M1271" s="20" t="str">
        <f aca="false">IF($X1271="","",INDEX('Per Line'!$Z$2:$Z$4001,$X1271))</f>
        <v/>
      </c>
      <c r="N1271" s="23" t="str">
        <f aca="false">IF($X1271="","",Settings!$C$7)</f>
        <v/>
      </c>
      <c r="O1271" s="22" t="str">
        <f aca="false">IF($X1271="","",SUMIFS('Per Line'!$Y$2:$Y$4001,'Per Line'!$D$2:$D$4001,$B1271,'Per Line'!$AJ$2:$AJ$4001,0))</f>
        <v/>
      </c>
      <c r="P1271" s="22" t="str">
        <f aca="false">IF($X1271="","",O1271*N1271)</f>
        <v/>
      </c>
      <c r="Q1271" s="23" t="str">
        <f aca="false">IF($X1271="","",Settings!$C$6)</f>
        <v/>
      </c>
      <c r="R1271" s="22" t="str">
        <f aca="false">IF($X1271="","",SUMIFS('Per Line'!$Y$2:$Y$4001,'Per Line'!$D$2:$D$4001,$B1271,'Per Line'!$AJ$2:$AJ$4001,1))</f>
        <v/>
      </c>
      <c r="S1271" s="22" t="str">
        <f aca="false">IF($X1271="","",R1271*Q1271)</f>
        <v/>
      </c>
      <c r="T1271" s="22" t="str">
        <f aca="false">IF($X1271="","",S1271+P1271)</f>
        <v/>
      </c>
      <c r="U1271" s="22" t="str">
        <f aca="false">IF($X1271="","",V1271-T1271)</f>
        <v/>
      </c>
      <c r="V1271" s="22" t="str">
        <f aca="false">IF($X1271="","",O1271+R1271)</f>
        <v/>
      </c>
      <c r="W1271" s="22" t="str">
        <f aca="false">IF($X1271="","",U1271-L1271)</f>
        <v/>
      </c>
      <c r="X1271" s="24" t="str">
        <f aca="false">IF(ROWS($X$2:$X1271)&lt;=MAX('Per Line'!$AI$2:$AI$4001),MATCH(ROWS($X$2:$X1271),'Per Line'!$AI$2:$AI$4001,0),"")</f>
        <v/>
      </c>
    </row>
    <row r="1272" customFormat="false" ht="15" hidden="false" customHeight="false" outlineLevel="0" collapsed="false">
      <c r="A1272" s="19"/>
      <c r="B1272" s="20" t="str">
        <f aca="false">IF($X1272="","",INDEX('Per Line'!$D$2:$D$4001,$X1272))</f>
        <v/>
      </c>
      <c r="C1272" s="20" t="str">
        <f aca="false">IF($X1272="","",INDEX('Per Line'!$C$2:$C$4001,$X1272))</f>
        <v/>
      </c>
      <c r="D1272" s="20" t="str">
        <f aca="false">IF($X1272="","",INDEX('Per Line'!$A$2:$A$4001,$X1272))</f>
        <v/>
      </c>
      <c r="E1272" s="21" t="str">
        <f aca="false">IF($X1272="","",INDEX('Per Line'!$F$2:$F$4001,$X1272))</f>
        <v/>
      </c>
      <c r="F1272" s="20" t="str">
        <f aca="false">IF($X1272="","",INDEX('Per Line'!$G$2:$G$4001,$X1272))</f>
        <v/>
      </c>
      <c r="G1272" s="20" t="str">
        <f aca="false">IF($X1272="","",INDEX('Per Line'!$I$2:$I$4001,$X1272))</f>
        <v/>
      </c>
      <c r="H1272" s="20" t="str">
        <f aca="false">IF($X1272="","",INDEX('Per Line'!$J$2:$J$4001,$X1272))</f>
        <v/>
      </c>
      <c r="I1272" s="20" t="str">
        <f aca="false">IF($X1272="","",INDEX('Per Line'!$K$2:$K$4001,$X1272))</f>
        <v/>
      </c>
      <c r="J1272" s="20" t="str">
        <f aca="false">IF($X1272="","",INDEX('Per Line'!$L$2:$L$4001,$X1272))</f>
        <v/>
      </c>
      <c r="K1272" s="20" t="str">
        <f aca="false">IF($X1272="","",INDEX('Per Line'!$M$2:$M$4001,$X1272))</f>
        <v/>
      </c>
      <c r="L1272" s="22" t="str">
        <f aca="false">IF($X1272="","",K1272*V1272/100)</f>
        <v/>
      </c>
      <c r="M1272" s="20" t="str">
        <f aca="false">IF($X1272="","",INDEX('Per Line'!$Z$2:$Z$4001,$X1272))</f>
        <v/>
      </c>
      <c r="N1272" s="23" t="str">
        <f aca="false">IF($X1272="","",Settings!$C$7)</f>
        <v/>
      </c>
      <c r="O1272" s="22" t="str">
        <f aca="false">IF($X1272="","",SUMIFS('Per Line'!$Y$2:$Y$4001,'Per Line'!$D$2:$D$4001,$B1272,'Per Line'!$AJ$2:$AJ$4001,0))</f>
        <v/>
      </c>
      <c r="P1272" s="22" t="str">
        <f aca="false">IF($X1272="","",O1272*N1272)</f>
        <v/>
      </c>
      <c r="Q1272" s="23" t="str">
        <f aca="false">IF($X1272="","",Settings!$C$6)</f>
        <v/>
      </c>
      <c r="R1272" s="22" t="str">
        <f aca="false">IF($X1272="","",SUMIFS('Per Line'!$Y$2:$Y$4001,'Per Line'!$D$2:$D$4001,$B1272,'Per Line'!$AJ$2:$AJ$4001,1))</f>
        <v/>
      </c>
      <c r="S1272" s="22" t="str">
        <f aca="false">IF($X1272="","",R1272*Q1272)</f>
        <v/>
      </c>
      <c r="T1272" s="22" t="str">
        <f aca="false">IF($X1272="","",S1272+P1272)</f>
        <v/>
      </c>
      <c r="U1272" s="22" t="str">
        <f aca="false">IF($X1272="","",V1272-T1272)</f>
        <v/>
      </c>
      <c r="V1272" s="22" t="str">
        <f aca="false">IF($X1272="","",O1272+R1272)</f>
        <v/>
      </c>
      <c r="W1272" s="22" t="str">
        <f aca="false">IF($X1272="","",U1272-L1272)</f>
        <v/>
      </c>
      <c r="X1272" s="24" t="str">
        <f aca="false">IF(ROWS($X$2:$X1272)&lt;=MAX('Per Line'!$AI$2:$AI$4001),MATCH(ROWS($X$2:$X1272),'Per Line'!$AI$2:$AI$4001,0),"")</f>
        <v/>
      </c>
    </row>
    <row r="1273" customFormat="false" ht="15" hidden="false" customHeight="false" outlineLevel="0" collapsed="false">
      <c r="A1273" s="19"/>
      <c r="B1273" s="20" t="str">
        <f aca="false">IF($X1273="","",INDEX('Per Line'!$D$2:$D$4001,$X1273))</f>
        <v/>
      </c>
      <c r="C1273" s="20" t="str">
        <f aca="false">IF($X1273="","",INDEX('Per Line'!$C$2:$C$4001,$X1273))</f>
        <v/>
      </c>
      <c r="D1273" s="20" t="str">
        <f aca="false">IF($X1273="","",INDEX('Per Line'!$A$2:$A$4001,$X1273))</f>
        <v/>
      </c>
      <c r="E1273" s="21" t="str">
        <f aca="false">IF($X1273="","",INDEX('Per Line'!$F$2:$F$4001,$X1273))</f>
        <v/>
      </c>
      <c r="F1273" s="20" t="str">
        <f aca="false">IF($X1273="","",INDEX('Per Line'!$G$2:$G$4001,$X1273))</f>
        <v/>
      </c>
      <c r="G1273" s="20" t="str">
        <f aca="false">IF($X1273="","",INDEX('Per Line'!$I$2:$I$4001,$X1273))</f>
        <v/>
      </c>
      <c r="H1273" s="20" t="str">
        <f aca="false">IF($X1273="","",INDEX('Per Line'!$J$2:$J$4001,$X1273))</f>
        <v/>
      </c>
      <c r="I1273" s="20" t="str">
        <f aca="false">IF($X1273="","",INDEX('Per Line'!$K$2:$K$4001,$X1273))</f>
        <v/>
      </c>
      <c r="J1273" s="20" t="str">
        <f aca="false">IF($X1273="","",INDEX('Per Line'!$L$2:$L$4001,$X1273))</f>
        <v/>
      </c>
      <c r="K1273" s="20" t="str">
        <f aca="false">IF($X1273="","",INDEX('Per Line'!$M$2:$M$4001,$X1273))</f>
        <v/>
      </c>
      <c r="L1273" s="22" t="str">
        <f aca="false">IF($X1273="","",K1273*V1273/100)</f>
        <v/>
      </c>
      <c r="M1273" s="20" t="str">
        <f aca="false">IF($X1273="","",INDEX('Per Line'!$Z$2:$Z$4001,$X1273))</f>
        <v/>
      </c>
      <c r="N1273" s="23" t="str">
        <f aca="false">IF($X1273="","",Settings!$C$7)</f>
        <v/>
      </c>
      <c r="O1273" s="22" t="str">
        <f aca="false">IF($X1273="","",SUMIFS('Per Line'!$Y$2:$Y$4001,'Per Line'!$D$2:$D$4001,$B1273,'Per Line'!$AJ$2:$AJ$4001,0))</f>
        <v/>
      </c>
      <c r="P1273" s="22" t="str">
        <f aca="false">IF($X1273="","",O1273*N1273)</f>
        <v/>
      </c>
      <c r="Q1273" s="23" t="str">
        <f aca="false">IF($X1273="","",Settings!$C$6)</f>
        <v/>
      </c>
      <c r="R1273" s="22" t="str">
        <f aca="false">IF($X1273="","",SUMIFS('Per Line'!$Y$2:$Y$4001,'Per Line'!$D$2:$D$4001,$B1273,'Per Line'!$AJ$2:$AJ$4001,1))</f>
        <v/>
      </c>
      <c r="S1273" s="22" t="str">
        <f aca="false">IF($X1273="","",R1273*Q1273)</f>
        <v/>
      </c>
      <c r="T1273" s="22" t="str">
        <f aca="false">IF($X1273="","",S1273+P1273)</f>
        <v/>
      </c>
      <c r="U1273" s="22" t="str">
        <f aca="false">IF($X1273="","",V1273-T1273)</f>
        <v/>
      </c>
      <c r="V1273" s="22" t="str">
        <f aca="false">IF($X1273="","",O1273+R1273)</f>
        <v/>
      </c>
      <c r="W1273" s="22" t="str">
        <f aca="false">IF($X1273="","",U1273-L1273)</f>
        <v/>
      </c>
      <c r="X1273" s="24" t="str">
        <f aca="false">IF(ROWS($X$2:$X1273)&lt;=MAX('Per Line'!$AI$2:$AI$4001),MATCH(ROWS($X$2:$X1273),'Per Line'!$AI$2:$AI$4001,0),"")</f>
        <v/>
      </c>
    </row>
    <row r="1274" customFormat="false" ht="15" hidden="false" customHeight="false" outlineLevel="0" collapsed="false">
      <c r="A1274" s="19"/>
      <c r="B1274" s="20" t="str">
        <f aca="false">IF($X1274="","",INDEX('Per Line'!$D$2:$D$4001,$X1274))</f>
        <v/>
      </c>
      <c r="C1274" s="20" t="str">
        <f aca="false">IF($X1274="","",INDEX('Per Line'!$C$2:$C$4001,$X1274))</f>
        <v/>
      </c>
      <c r="D1274" s="20" t="str">
        <f aca="false">IF($X1274="","",INDEX('Per Line'!$A$2:$A$4001,$X1274))</f>
        <v/>
      </c>
      <c r="E1274" s="21" t="str">
        <f aca="false">IF($X1274="","",INDEX('Per Line'!$F$2:$F$4001,$X1274))</f>
        <v/>
      </c>
      <c r="F1274" s="20" t="str">
        <f aca="false">IF($X1274="","",INDEX('Per Line'!$G$2:$G$4001,$X1274))</f>
        <v/>
      </c>
      <c r="G1274" s="20" t="str">
        <f aca="false">IF($X1274="","",INDEX('Per Line'!$I$2:$I$4001,$X1274))</f>
        <v/>
      </c>
      <c r="H1274" s="20" t="str">
        <f aca="false">IF($X1274="","",INDEX('Per Line'!$J$2:$J$4001,$X1274))</f>
        <v/>
      </c>
      <c r="I1274" s="20" t="str">
        <f aca="false">IF($X1274="","",INDEX('Per Line'!$K$2:$K$4001,$X1274))</f>
        <v/>
      </c>
      <c r="J1274" s="20" t="str">
        <f aca="false">IF($X1274="","",INDEX('Per Line'!$L$2:$L$4001,$X1274))</f>
        <v/>
      </c>
      <c r="K1274" s="20" t="str">
        <f aca="false">IF($X1274="","",INDEX('Per Line'!$M$2:$M$4001,$X1274))</f>
        <v/>
      </c>
      <c r="L1274" s="22" t="str">
        <f aca="false">IF($X1274="","",K1274*V1274/100)</f>
        <v/>
      </c>
      <c r="M1274" s="20" t="str">
        <f aca="false">IF($X1274="","",INDEX('Per Line'!$Z$2:$Z$4001,$X1274))</f>
        <v/>
      </c>
      <c r="N1274" s="23" t="str">
        <f aca="false">IF($X1274="","",Settings!$C$7)</f>
        <v/>
      </c>
      <c r="O1274" s="22" t="str">
        <f aca="false">IF($X1274="","",SUMIFS('Per Line'!$Y$2:$Y$4001,'Per Line'!$D$2:$D$4001,$B1274,'Per Line'!$AJ$2:$AJ$4001,0))</f>
        <v/>
      </c>
      <c r="P1274" s="22" t="str">
        <f aca="false">IF($X1274="","",O1274*N1274)</f>
        <v/>
      </c>
      <c r="Q1274" s="23" t="str">
        <f aca="false">IF($X1274="","",Settings!$C$6)</f>
        <v/>
      </c>
      <c r="R1274" s="22" t="str">
        <f aca="false">IF($X1274="","",SUMIFS('Per Line'!$Y$2:$Y$4001,'Per Line'!$D$2:$D$4001,$B1274,'Per Line'!$AJ$2:$AJ$4001,1))</f>
        <v/>
      </c>
      <c r="S1274" s="22" t="str">
        <f aca="false">IF($X1274="","",R1274*Q1274)</f>
        <v/>
      </c>
      <c r="T1274" s="22" t="str">
        <f aca="false">IF($X1274="","",S1274+P1274)</f>
        <v/>
      </c>
      <c r="U1274" s="22" t="str">
        <f aca="false">IF($X1274="","",V1274-T1274)</f>
        <v/>
      </c>
      <c r="V1274" s="22" t="str">
        <f aca="false">IF($X1274="","",O1274+R1274)</f>
        <v/>
      </c>
      <c r="W1274" s="22" t="str">
        <f aca="false">IF($X1274="","",U1274-L1274)</f>
        <v/>
      </c>
      <c r="X1274" s="24" t="str">
        <f aca="false">IF(ROWS($X$2:$X1274)&lt;=MAX('Per Line'!$AI$2:$AI$4001),MATCH(ROWS($X$2:$X1274),'Per Line'!$AI$2:$AI$4001,0),"")</f>
        <v/>
      </c>
    </row>
    <row r="1275" customFormat="false" ht="15" hidden="false" customHeight="false" outlineLevel="0" collapsed="false">
      <c r="A1275" s="19"/>
      <c r="B1275" s="20" t="str">
        <f aca="false">IF($X1275="","",INDEX('Per Line'!$D$2:$D$4001,$X1275))</f>
        <v/>
      </c>
      <c r="C1275" s="20" t="str">
        <f aca="false">IF($X1275="","",INDEX('Per Line'!$C$2:$C$4001,$X1275))</f>
        <v/>
      </c>
      <c r="D1275" s="20" t="str">
        <f aca="false">IF($X1275="","",INDEX('Per Line'!$A$2:$A$4001,$X1275))</f>
        <v/>
      </c>
      <c r="E1275" s="21" t="str">
        <f aca="false">IF($X1275="","",INDEX('Per Line'!$F$2:$F$4001,$X1275))</f>
        <v/>
      </c>
      <c r="F1275" s="20" t="str">
        <f aca="false">IF($X1275="","",INDEX('Per Line'!$G$2:$G$4001,$X1275))</f>
        <v/>
      </c>
      <c r="G1275" s="20" t="str">
        <f aca="false">IF($X1275="","",INDEX('Per Line'!$I$2:$I$4001,$X1275))</f>
        <v/>
      </c>
      <c r="H1275" s="20" t="str">
        <f aca="false">IF($X1275="","",INDEX('Per Line'!$J$2:$J$4001,$X1275))</f>
        <v/>
      </c>
      <c r="I1275" s="20" t="str">
        <f aca="false">IF($X1275="","",INDEX('Per Line'!$K$2:$K$4001,$X1275))</f>
        <v/>
      </c>
      <c r="J1275" s="20" t="str">
        <f aca="false">IF($X1275="","",INDEX('Per Line'!$L$2:$L$4001,$X1275))</f>
        <v/>
      </c>
      <c r="K1275" s="20" t="str">
        <f aca="false">IF($X1275="","",INDEX('Per Line'!$M$2:$M$4001,$X1275))</f>
        <v/>
      </c>
      <c r="L1275" s="22" t="str">
        <f aca="false">IF($X1275="","",K1275*V1275/100)</f>
        <v/>
      </c>
      <c r="M1275" s="20" t="str">
        <f aca="false">IF($X1275="","",INDEX('Per Line'!$Z$2:$Z$4001,$X1275))</f>
        <v/>
      </c>
      <c r="N1275" s="23" t="str">
        <f aca="false">IF($X1275="","",Settings!$C$7)</f>
        <v/>
      </c>
      <c r="O1275" s="22" t="str">
        <f aca="false">IF($X1275="","",SUMIFS('Per Line'!$Y$2:$Y$4001,'Per Line'!$D$2:$D$4001,$B1275,'Per Line'!$AJ$2:$AJ$4001,0))</f>
        <v/>
      </c>
      <c r="P1275" s="22" t="str">
        <f aca="false">IF($X1275="","",O1275*N1275)</f>
        <v/>
      </c>
      <c r="Q1275" s="23" t="str">
        <f aca="false">IF($X1275="","",Settings!$C$6)</f>
        <v/>
      </c>
      <c r="R1275" s="22" t="str">
        <f aca="false">IF($X1275="","",SUMIFS('Per Line'!$Y$2:$Y$4001,'Per Line'!$D$2:$D$4001,$B1275,'Per Line'!$AJ$2:$AJ$4001,1))</f>
        <v/>
      </c>
      <c r="S1275" s="22" t="str">
        <f aca="false">IF($X1275="","",R1275*Q1275)</f>
        <v/>
      </c>
      <c r="T1275" s="22" t="str">
        <f aca="false">IF($X1275="","",S1275+P1275)</f>
        <v/>
      </c>
      <c r="U1275" s="22" t="str">
        <f aca="false">IF($X1275="","",V1275-T1275)</f>
        <v/>
      </c>
      <c r="V1275" s="22" t="str">
        <f aca="false">IF($X1275="","",O1275+R1275)</f>
        <v/>
      </c>
      <c r="W1275" s="22" t="str">
        <f aca="false">IF($X1275="","",U1275-L1275)</f>
        <v/>
      </c>
      <c r="X1275" s="24" t="str">
        <f aca="false">IF(ROWS($X$2:$X1275)&lt;=MAX('Per Line'!$AI$2:$AI$4001),MATCH(ROWS($X$2:$X1275),'Per Line'!$AI$2:$AI$4001,0),"")</f>
        <v/>
      </c>
    </row>
    <row r="1276" customFormat="false" ht="15" hidden="false" customHeight="false" outlineLevel="0" collapsed="false">
      <c r="A1276" s="19"/>
      <c r="B1276" s="20" t="str">
        <f aca="false">IF($X1276="","",INDEX('Per Line'!$D$2:$D$4001,$X1276))</f>
        <v/>
      </c>
      <c r="C1276" s="20" t="str">
        <f aca="false">IF($X1276="","",INDEX('Per Line'!$C$2:$C$4001,$X1276))</f>
        <v/>
      </c>
      <c r="D1276" s="20" t="str">
        <f aca="false">IF($X1276="","",INDEX('Per Line'!$A$2:$A$4001,$X1276))</f>
        <v/>
      </c>
      <c r="E1276" s="21" t="str">
        <f aca="false">IF($X1276="","",INDEX('Per Line'!$F$2:$F$4001,$X1276))</f>
        <v/>
      </c>
      <c r="F1276" s="20" t="str">
        <f aca="false">IF($X1276="","",INDEX('Per Line'!$G$2:$G$4001,$X1276))</f>
        <v/>
      </c>
      <c r="G1276" s="20" t="str">
        <f aca="false">IF($X1276="","",INDEX('Per Line'!$I$2:$I$4001,$X1276))</f>
        <v/>
      </c>
      <c r="H1276" s="20" t="str">
        <f aca="false">IF($X1276="","",INDEX('Per Line'!$J$2:$J$4001,$X1276))</f>
        <v/>
      </c>
      <c r="I1276" s="20" t="str">
        <f aca="false">IF($X1276="","",INDEX('Per Line'!$K$2:$K$4001,$X1276))</f>
        <v/>
      </c>
      <c r="J1276" s="20" t="str">
        <f aca="false">IF($X1276="","",INDEX('Per Line'!$L$2:$L$4001,$X1276))</f>
        <v/>
      </c>
      <c r="K1276" s="20" t="str">
        <f aca="false">IF($X1276="","",INDEX('Per Line'!$M$2:$M$4001,$X1276))</f>
        <v/>
      </c>
      <c r="L1276" s="22" t="str">
        <f aca="false">IF($X1276="","",K1276*V1276/100)</f>
        <v/>
      </c>
      <c r="M1276" s="20" t="str">
        <f aca="false">IF($X1276="","",INDEX('Per Line'!$Z$2:$Z$4001,$X1276))</f>
        <v/>
      </c>
      <c r="N1276" s="23" t="str">
        <f aca="false">IF($X1276="","",Settings!$C$7)</f>
        <v/>
      </c>
      <c r="O1276" s="22" t="str">
        <f aca="false">IF($X1276="","",SUMIFS('Per Line'!$Y$2:$Y$4001,'Per Line'!$D$2:$D$4001,$B1276,'Per Line'!$AJ$2:$AJ$4001,0))</f>
        <v/>
      </c>
      <c r="P1276" s="22" t="str">
        <f aca="false">IF($X1276="","",O1276*N1276)</f>
        <v/>
      </c>
      <c r="Q1276" s="23" t="str">
        <f aca="false">IF($X1276="","",Settings!$C$6)</f>
        <v/>
      </c>
      <c r="R1276" s="22" t="str">
        <f aca="false">IF($X1276="","",SUMIFS('Per Line'!$Y$2:$Y$4001,'Per Line'!$D$2:$D$4001,$B1276,'Per Line'!$AJ$2:$AJ$4001,1))</f>
        <v/>
      </c>
      <c r="S1276" s="22" t="str">
        <f aca="false">IF($X1276="","",R1276*Q1276)</f>
        <v/>
      </c>
      <c r="T1276" s="22" t="str">
        <f aca="false">IF($X1276="","",S1276+P1276)</f>
        <v/>
      </c>
      <c r="U1276" s="22" t="str">
        <f aca="false">IF($X1276="","",V1276-T1276)</f>
        <v/>
      </c>
      <c r="V1276" s="22" t="str">
        <f aca="false">IF($X1276="","",O1276+R1276)</f>
        <v/>
      </c>
      <c r="W1276" s="22" t="str">
        <f aca="false">IF($X1276="","",U1276-L1276)</f>
        <v/>
      </c>
      <c r="X1276" s="24" t="str">
        <f aca="false">IF(ROWS($X$2:$X1276)&lt;=MAX('Per Line'!$AI$2:$AI$4001),MATCH(ROWS($X$2:$X1276),'Per Line'!$AI$2:$AI$4001,0),"")</f>
        <v/>
      </c>
    </row>
    <row r="1277" customFormat="false" ht="15" hidden="false" customHeight="false" outlineLevel="0" collapsed="false">
      <c r="A1277" s="19"/>
      <c r="B1277" s="20" t="str">
        <f aca="false">IF($X1277="","",INDEX('Per Line'!$D$2:$D$4001,$X1277))</f>
        <v/>
      </c>
      <c r="C1277" s="20" t="str">
        <f aca="false">IF($X1277="","",INDEX('Per Line'!$C$2:$C$4001,$X1277))</f>
        <v/>
      </c>
      <c r="D1277" s="20" t="str">
        <f aca="false">IF($X1277="","",INDEX('Per Line'!$A$2:$A$4001,$X1277))</f>
        <v/>
      </c>
      <c r="E1277" s="21" t="str">
        <f aca="false">IF($X1277="","",INDEX('Per Line'!$F$2:$F$4001,$X1277))</f>
        <v/>
      </c>
      <c r="F1277" s="20" t="str">
        <f aca="false">IF($X1277="","",INDEX('Per Line'!$G$2:$G$4001,$X1277))</f>
        <v/>
      </c>
      <c r="G1277" s="20" t="str">
        <f aca="false">IF($X1277="","",INDEX('Per Line'!$I$2:$I$4001,$X1277))</f>
        <v/>
      </c>
      <c r="H1277" s="20" t="str">
        <f aca="false">IF($X1277="","",INDEX('Per Line'!$J$2:$J$4001,$X1277))</f>
        <v/>
      </c>
      <c r="I1277" s="20" t="str">
        <f aca="false">IF($X1277="","",INDEX('Per Line'!$K$2:$K$4001,$X1277))</f>
        <v/>
      </c>
      <c r="J1277" s="20" t="str">
        <f aca="false">IF($X1277="","",INDEX('Per Line'!$L$2:$L$4001,$X1277))</f>
        <v/>
      </c>
      <c r="K1277" s="20" t="str">
        <f aca="false">IF($X1277="","",INDEX('Per Line'!$M$2:$M$4001,$X1277))</f>
        <v/>
      </c>
      <c r="L1277" s="22" t="str">
        <f aca="false">IF($X1277="","",K1277*V1277/100)</f>
        <v/>
      </c>
      <c r="M1277" s="20" t="str">
        <f aca="false">IF($X1277="","",INDEX('Per Line'!$Z$2:$Z$4001,$X1277))</f>
        <v/>
      </c>
      <c r="N1277" s="23" t="str">
        <f aca="false">IF($X1277="","",Settings!$C$7)</f>
        <v/>
      </c>
      <c r="O1277" s="22" t="str">
        <f aca="false">IF($X1277="","",SUMIFS('Per Line'!$Y$2:$Y$4001,'Per Line'!$D$2:$D$4001,$B1277,'Per Line'!$AJ$2:$AJ$4001,0))</f>
        <v/>
      </c>
      <c r="P1277" s="22" t="str">
        <f aca="false">IF($X1277="","",O1277*N1277)</f>
        <v/>
      </c>
      <c r="Q1277" s="23" t="str">
        <f aca="false">IF($X1277="","",Settings!$C$6)</f>
        <v/>
      </c>
      <c r="R1277" s="22" t="str">
        <f aca="false">IF($X1277="","",SUMIFS('Per Line'!$Y$2:$Y$4001,'Per Line'!$D$2:$D$4001,$B1277,'Per Line'!$AJ$2:$AJ$4001,1))</f>
        <v/>
      </c>
      <c r="S1277" s="22" t="str">
        <f aca="false">IF($X1277="","",R1277*Q1277)</f>
        <v/>
      </c>
      <c r="T1277" s="22" t="str">
        <f aca="false">IF($X1277="","",S1277+P1277)</f>
        <v/>
      </c>
      <c r="U1277" s="22" t="str">
        <f aca="false">IF($X1277="","",V1277-T1277)</f>
        <v/>
      </c>
      <c r="V1277" s="22" t="str">
        <f aca="false">IF($X1277="","",O1277+R1277)</f>
        <v/>
      </c>
      <c r="W1277" s="22" t="str">
        <f aca="false">IF($X1277="","",U1277-L1277)</f>
        <v/>
      </c>
      <c r="X1277" s="24" t="str">
        <f aca="false">IF(ROWS($X$2:$X1277)&lt;=MAX('Per Line'!$AI$2:$AI$4001),MATCH(ROWS($X$2:$X1277),'Per Line'!$AI$2:$AI$4001,0),"")</f>
        <v/>
      </c>
    </row>
    <row r="1278" customFormat="false" ht="15" hidden="false" customHeight="false" outlineLevel="0" collapsed="false">
      <c r="A1278" s="19"/>
      <c r="B1278" s="20" t="str">
        <f aca="false">IF($X1278="","",INDEX('Per Line'!$D$2:$D$4001,$X1278))</f>
        <v/>
      </c>
      <c r="C1278" s="20" t="str">
        <f aca="false">IF($X1278="","",INDEX('Per Line'!$C$2:$C$4001,$X1278))</f>
        <v/>
      </c>
      <c r="D1278" s="20" t="str">
        <f aca="false">IF($X1278="","",INDEX('Per Line'!$A$2:$A$4001,$X1278))</f>
        <v/>
      </c>
      <c r="E1278" s="21" t="str">
        <f aca="false">IF($X1278="","",INDEX('Per Line'!$F$2:$F$4001,$X1278))</f>
        <v/>
      </c>
      <c r="F1278" s="20" t="str">
        <f aca="false">IF($X1278="","",INDEX('Per Line'!$G$2:$G$4001,$X1278))</f>
        <v/>
      </c>
      <c r="G1278" s="20" t="str">
        <f aca="false">IF($X1278="","",INDEX('Per Line'!$I$2:$I$4001,$X1278))</f>
        <v/>
      </c>
      <c r="H1278" s="20" t="str">
        <f aca="false">IF($X1278="","",INDEX('Per Line'!$J$2:$J$4001,$X1278))</f>
        <v/>
      </c>
      <c r="I1278" s="20" t="str">
        <f aca="false">IF($X1278="","",INDEX('Per Line'!$K$2:$K$4001,$X1278))</f>
        <v/>
      </c>
      <c r="J1278" s="20" t="str">
        <f aca="false">IF($X1278="","",INDEX('Per Line'!$L$2:$L$4001,$X1278))</f>
        <v/>
      </c>
      <c r="K1278" s="20" t="str">
        <f aca="false">IF($X1278="","",INDEX('Per Line'!$M$2:$M$4001,$X1278))</f>
        <v/>
      </c>
      <c r="L1278" s="22" t="str">
        <f aca="false">IF($X1278="","",K1278*V1278/100)</f>
        <v/>
      </c>
      <c r="M1278" s="20" t="str">
        <f aca="false">IF($X1278="","",INDEX('Per Line'!$Z$2:$Z$4001,$X1278))</f>
        <v/>
      </c>
      <c r="N1278" s="23" t="str">
        <f aca="false">IF($X1278="","",Settings!$C$7)</f>
        <v/>
      </c>
      <c r="O1278" s="22" t="str">
        <f aca="false">IF($X1278="","",SUMIFS('Per Line'!$Y$2:$Y$4001,'Per Line'!$D$2:$D$4001,$B1278,'Per Line'!$AJ$2:$AJ$4001,0))</f>
        <v/>
      </c>
      <c r="P1278" s="22" t="str">
        <f aca="false">IF($X1278="","",O1278*N1278)</f>
        <v/>
      </c>
      <c r="Q1278" s="23" t="str">
        <f aca="false">IF($X1278="","",Settings!$C$6)</f>
        <v/>
      </c>
      <c r="R1278" s="22" t="str">
        <f aca="false">IF($X1278="","",SUMIFS('Per Line'!$Y$2:$Y$4001,'Per Line'!$D$2:$D$4001,$B1278,'Per Line'!$AJ$2:$AJ$4001,1))</f>
        <v/>
      </c>
      <c r="S1278" s="22" t="str">
        <f aca="false">IF($X1278="","",R1278*Q1278)</f>
        <v/>
      </c>
      <c r="T1278" s="22" t="str">
        <f aca="false">IF($X1278="","",S1278+P1278)</f>
        <v/>
      </c>
      <c r="U1278" s="22" t="str">
        <f aca="false">IF($X1278="","",V1278-T1278)</f>
        <v/>
      </c>
      <c r="V1278" s="22" t="str">
        <f aca="false">IF($X1278="","",O1278+R1278)</f>
        <v/>
      </c>
      <c r="W1278" s="22" t="str">
        <f aca="false">IF($X1278="","",U1278-L1278)</f>
        <v/>
      </c>
      <c r="X1278" s="24" t="str">
        <f aca="false">IF(ROWS($X$2:$X1278)&lt;=MAX('Per Line'!$AI$2:$AI$4001),MATCH(ROWS($X$2:$X1278),'Per Line'!$AI$2:$AI$4001,0),"")</f>
        <v/>
      </c>
    </row>
    <row r="1279" customFormat="false" ht="15" hidden="false" customHeight="false" outlineLevel="0" collapsed="false">
      <c r="A1279" s="19"/>
      <c r="B1279" s="20" t="str">
        <f aca="false">IF($X1279="","",INDEX('Per Line'!$D$2:$D$4001,$X1279))</f>
        <v/>
      </c>
      <c r="C1279" s="20" t="str">
        <f aca="false">IF($X1279="","",INDEX('Per Line'!$C$2:$C$4001,$X1279))</f>
        <v/>
      </c>
      <c r="D1279" s="20" t="str">
        <f aca="false">IF($X1279="","",INDEX('Per Line'!$A$2:$A$4001,$X1279))</f>
        <v/>
      </c>
      <c r="E1279" s="21" t="str">
        <f aca="false">IF($X1279="","",INDEX('Per Line'!$F$2:$F$4001,$X1279))</f>
        <v/>
      </c>
      <c r="F1279" s="20" t="str">
        <f aca="false">IF($X1279="","",INDEX('Per Line'!$G$2:$G$4001,$X1279))</f>
        <v/>
      </c>
      <c r="G1279" s="20" t="str">
        <f aca="false">IF($X1279="","",INDEX('Per Line'!$I$2:$I$4001,$X1279))</f>
        <v/>
      </c>
      <c r="H1279" s="20" t="str">
        <f aca="false">IF($X1279="","",INDEX('Per Line'!$J$2:$J$4001,$X1279))</f>
        <v/>
      </c>
      <c r="I1279" s="20" t="str">
        <f aca="false">IF($X1279="","",INDEX('Per Line'!$K$2:$K$4001,$X1279))</f>
        <v/>
      </c>
      <c r="J1279" s="20" t="str">
        <f aca="false">IF($X1279="","",INDEX('Per Line'!$L$2:$L$4001,$X1279))</f>
        <v/>
      </c>
      <c r="K1279" s="20" t="str">
        <f aca="false">IF($X1279="","",INDEX('Per Line'!$M$2:$M$4001,$X1279))</f>
        <v/>
      </c>
      <c r="L1279" s="22" t="str">
        <f aca="false">IF($X1279="","",K1279*V1279/100)</f>
        <v/>
      </c>
      <c r="M1279" s="20" t="str">
        <f aca="false">IF($X1279="","",INDEX('Per Line'!$Z$2:$Z$4001,$X1279))</f>
        <v/>
      </c>
      <c r="N1279" s="23" t="str">
        <f aca="false">IF($X1279="","",Settings!$C$7)</f>
        <v/>
      </c>
      <c r="O1279" s="22" t="str">
        <f aca="false">IF($X1279="","",SUMIFS('Per Line'!$Y$2:$Y$4001,'Per Line'!$D$2:$D$4001,$B1279,'Per Line'!$AJ$2:$AJ$4001,0))</f>
        <v/>
      </c>
      <c r="P1279" s="22" t="str">
        <f aca="false">IF($X1279="","",O1279*N1279)</f>
        <v/>
      </c>
      <c r="Q1279" s="23" t="str">
        <f aca="false">IF($X1279="","",Settings!$C$6)</f>
        <v/>
      </c>
      <c r="R1279" s="22" t="str">
        <f aca="false">IF($X1279="","",SUMIFS('Per Line'!$Y$2:$Y$4001,'Per Line'!$D$2:$D$4001,$B1279,'Per Line'!$AJ$2:$AJ$4001,1))</f>
        <v/>
      </c>
      <c r="S1279" s="22" t="str">
        <f aca="false">IF($X1279="","",R1279*Q1279)</f>
        <v/>
      </c>
      <c r="T1279" s="22" t="str">
        <f aca="false">IF($X1279="","",S1279+P1279)</f>
        <v/>
      </c>
      <c r="U1279" s="22" t="str">
        <f aca="false">IF($X1279="","",V1279-T1279)</f>
        <v/>
      </c>
      <c r="V1279" s="22" t="str">
        <f aca="false">IF($X1279="","",O1279+R1279)</f>
        <v/>
      </c>
      <c r="W1279" s="22" t="str">
        <f aca="false">IF($X1279="","",U1279-L1279)</f>
        <v/>
      </c>
      <c r="X1279" s="24" t="str">
        <f aca="false">IF(ROWS($X$2:$X1279)&lt;=MAX('Per Line'!$AI$2:$AI$4001),MATCH(ROWS($X$2:$X1279),'Per Line'!$AI$2:$AI$4001,0),"")</f>
        <v/>
      </c>
    </row>
    <row r="1280" customFormat="false" ht="15" hidden="false" customHeight="false" outlineLevel="0" collapsed="false">
      <c r="A1280" s="19"/>
      <c r="B1280" s="20" t="str">
        <f aca="false">IF($X1280="","",INDEX('Per Line'!$D$2:$D$4001,$X1280))</f>
        <v/>
      </c>
      <c r="C1280" s="20" t="str">
        <f aca="false">IF($X1280="","",INDEX('Per Line'!$C$2:$C$4001,$X1280))</f>
        <v/>
      </c>
      <c r="D1280" s="20" t="str">
        <f aca="false">IF($X1280="","",INDEX('Per Line'!$A$2:$A$4001,$X1280))</f>
        <v/>
      </c>
      <c r="E1280" s="21" t="str">
        <f aca="false">IF($X1280="","",INDEX('Per Line'!$F$2:$F$4001,$X1280))</f>
        <v/>
      </c>
      <c r="F1280" s="20" t="str">
        <f aca="false">IF($X1280="","",INDEX('Per Line'!$G$2:$G$4001,$X1280))</f>
        <v/>
      </c>
      <c r="G1280" s="20" t="str">
        <f aca="false">IF($X1280="","",INDEX('Per Line'!$I$2:$I$4001,$X1280))</f>
        <v/>
      </c>
      <c r="H1280" s="20" t="str">
        <f aca="false">IF($X1280="","",INDEX('Per Line'!$J$2:$J$4001,$X1280))</f>
        <v/>
      </c>
      <c r="I1280" s="20" t="str">
        <f aca="false">IF($X1280="","",INDEX('Per Line'!$K$2:$K$4001,$X1280))</f>
        <v/>
      </c>
      <c r="J1280" s="20" t="str">
        <f aca="false">IF($X1280="","",INDEX('Per Line'!$L$2:$L$4001,$X1280))</f>
        <v/>
      </c>
      <c r="K1280" s="20" t="str">
        <f aca="false">IF($X1280="","",INDEX('Per Line'!$M$2:$M$4001,$X1280))</f>
        <v/>
      </c>
      <c r="L1280" s="22" t="str">
        <f aca="false">IF($X1280="","",K1280*V1280/100)</f>
        <v/>
      </c>
      <c r="M1280" s="20" t="str">
        <f aca="false">IF($X1280="","",INDEX('Per Line'!$Z$2:$Z$4001,$X1280))</f>
        <v/>
      </c>
      <c r="N1280" s="23" t="str">
        <f aca="false">IF($X1280="","",Settings!$C$7)</f>
        <v/>
      </c>
      <c r="O1280" s="22" t="str">
        <f aca="false">IF($X1280="","",SUMIFS('Per Line'!$Y$2:$Y$4001,'Per Line'!$D$2:$D$4001,$B1280,'Per Line'!$AJ$2:$AJ$4001,0))</f>
        <v/>
      </c>
      <c r="P1280" s="22" t="str">
        <f aca="false">IF($X1280="","",O1280*N1280)</f>
        <v/>
      </c>
      <c r="Q1280" s="23" t="str">
        <f aca="false">IF($X1280="","",Settings!$C$6)</f>
        <v/>
      </c>
      <c r="R1280" s="22" t="str">
        <f aca="false">IF($X1280="","",SUMIFS('Per Line'!$Y$2:$Y$4001,'Per Line'!$D$2:$D$4001,$B1280,'Per Line'!$AJ$2:$AJ$4001,1))</f>
        <v/>
      </c>
      <c r="S1280" s="22" t="str">
        <f aca="false">IF($X1280="","",R1280*Q1280)</f>
        <v/>
      </c>
      <c r="T1280" s="22" t="str">
        <f aca="false">IF($X1280="","",S1280+P1280)</f>
        <v/>
      </c>
      <c r="U1280" s="22" t="str">
        <f aca="false">IF($X1280="","",V1280-T1280)</f>
        <v/>
      </c>
      <c r="V1280" s="22" t="str">
        <f aca="false">IF($X1280="","",O1280+R1280)</f>
        <v/>
      </c>
      <c r="W1280" s="22" t="str">
        <f aca="false">IF($X1280="","",U1280-L1280)</f>
        <v/>
      </c>
      <c r="X1280" s="24" t="str">
        <f aca="false">IF(ROWS($X$2:$X1280)&lt;=MAX('Per Line'!$AI$2:$AI$4001),MATCH(ROWS($X$2:$X1280),'Per Line'!$AI$2:$AI$4001,0),"")</f>
        <v/>
      </c>
    </row>
    <row r="1281" customFormat="false" ht="15" hidden="false" customHeight="false" outlineLevel="0" collapsed="false">
      <c r="A1281" s="19"/>
      <c r="B1281" s="20" t="str">
        <f aca="false">IF($X1281="","",INDEX('Per Line'!$D$2:$D$4001,$X1281))</f>
        <v/>
      </c>
      <c r="C1281" s="20" t="str">
        <f aca="false">IF($X1281="","",INDEX('Per Line'!$C$2:$C$4001,$X1281))</f>
        <v/>
      </c>
      <c r="D1281" s="20" t="str">
        <f aca="false">IF($X1281="","",INDEX('Per Line'!$A$2:$A$4001,$X1281))</f>
        <v/>
      </c>
      <c r="E1281" s="21" t="str">
        <f aca="false">IF($X1281="","",INDEX('Per Line'!$F$2:$F$4001,$X1281))</f>
        <v/>
      </c>
      <c r="F1281" s="20" t="str">
        <f aca="false">IF($X1281="","",INDEX('Per Line'!$G$2:$G$4001,$X1281))</f>
        <v/>
      </c>
      <c r="G1281" s="20" t="str">
        <f aca="false">IF($X1281="","",INDEX('Per Line'!$I$2:$I$4001,$X1281))</f>
        <v/>
      </c>
      <c r="H1281" s="20" t="str">
        <f aca="false">IF($X1281="","",INDEX('Per Line'!$J$2:$J$4001,$X1281))</f>
        <v/>
      </c>
      <c r="I1281" s="20" t="str">
        <f aca="false">IF($X1281="","",INDEX('Per Line'!$K$2:$K$4001,$X1281))</f>
        <v/>
      </c>
      <c r="J1281" s="20" t="str">
        <f aca="false">IF($X1281="","",INDEX('Per Line'!$L$2:$L$4001,$X1281))</f>
        <v/>
      </c>
      <c r="K1281" s="20" t="str">
        <f aca="false">IF($X1281="","",INDEX('Per Line'!$M$2:$M$4001,$X1281))</f>
        <v/>
      </c>
      <c r="L1281" s="22" t="str">
        <f aca="false">IF($X1281="","",K1281*V1281/100)</f>
        <v/>
      </c>
      <c r="M1281" s="20" t="str">
        <f aca="false">IF($X1281="","",INDEX('Per Line'!$Z$2:$Z$4001,$X1281))</f>
        <v/>
      </c>
      <c r="N1281" s="23" t="str">
        <f aca="false">IF($X1281="","",Settings!$C$7)</f>
        <v/>
      </c>
      <c r="O1281" s="22" t="str">
        <f aca="false">IF($X1281="","",SUMIFS('Per Line'!$Y$2:$Y$4001,'Per Line'!$D$2:$D$4001,$B1281,'Per Line'!$AJ$2:$AJ$4001,0))</f>
        <v/>
      </c>
      <c r="P1281" s="22" t="str">
        <f aca="false">IF($X1281="","",O1281*N1281)</f>
        <v/>
      </c>
      <c r="Q1281" s="23" t="str">
        <f aca="false">IF($X1281="","",Settings!$C$6)</f>
        <v/>
      </c>
      <c r="R1281" s="22" t="str">
        <f aca="false">IF($X1281="","",SUMIFS('Per Line'!$Y$2:$Y$4001,'Per Line'!$D$2:$D$4001,$B1281,'Per Line'!$AJ$2:$AJ$4001,1))</f>
        <v/>
      </c>
      <c r="S1281" s="22" t="str">
        <f aca="false">IF($X1281="","",R1281*Q1281)</f>
        <v/>
      </c>
      <c r="T1281" s="22" t="str">
        <f aca="false">IF($X1281="","",S1281+P1281)</f>
        <v/>
      </c>
      <c r="U1281" s="22" t="str">
        <f aca="false">IF($X1281="","",V1281-T1281)</f>
        <v/>
      </c>
      <c r="V1281" s="22" t="str">
        <f aca="false">IF($X1281="","",O1281+R1281)</f>
        <v/>
      </c>
      <c r="W1281" s="22" t="str">
        <f aca="false">IF($X1281="","",U1281-L1281)</f>
        <v/>
      </c>
      <c r="X1281" s="24" t="str">
        <f aca="false">IF(ROWS($X$2:$X1281)&lt;=MAX('Per Line'!$AI$2:$AI$4001),MATCH(ROWS($X$2:$X1281),'Per Line'!$AI$2:$AI$4001,0),"")</f>
        <v/>
      </c>
    </row>
    <row r="1282" customFormat="false" ht="15" hidden="false" customHeight="false" outlineLevel="0" collapsed="false">
      <c r="A1282" s="19"/>
      <c r="B1282" s="20" t="str">
        <f aca="false">IF($X1282="","",INDEX('Per Line'!$D$2:$D$4001,$X1282))</f>
        <v/>
      </c>
      <c r="C1282" s="20" t="str">
        <f aca="false">IF($X1282="","",INDEX('Per Line'!$C$2:$C$4001,$X1282))</f>
        <v/>
      </c>
      <c r="D1282" s="20" t="str">
        <f aca="false">IF($X1282="","",INDEX('Per Line'!$A$2:$A$4001,$X1282))</f>
        <v/>
      </c>
      <c r="E1282" s="21" t="str">
        <f aca="false">IF($X1282="","",INDEX('Per Line'!$F$2:$F$4001,$X1282))</f>
        <v/>
      </c>
      <c r="F1282" s="20" t="str">
        <f aca="false">IF($X1282="","",INDEX('Per Line'!$G$2:$G$4001,$X1282))</f>
        <v/>
      </c>
      <c r="G1282" s="20" t="str">
        <f aca="false">IF($X1282="","",INDEX('Per Line'!$I$2:$I$4001,$X1282))</f>
        <v/>
      </c>
      <c r="H1282" s="20" t="str">
        <f aca="false">IF($X1282="","",INDEX('Per Line'!$J$2:$J$4001,$X1282))</f>
        <v/>
      </c>
      <c r="I1282" s="20" t="str">
        <f aca="false">IF($X1282="","",INDEX('Per Line'!$K$2:$K$4001,$X1282))</f>
        <v/>
      </c>
      <c r="J1282" s="20" t="str">
        <f aca="false">IF($X1282="","",INDEX('Per Line'!$L$2:$L$4001,$X1282))</f>
        <v/>
      </c>
      <c r="K1282" s="20" t="str">
        <f aca="false">IF($X1282="","",INDEX('Per Line'!$M$2:$M$4001,$X1282))</f>
        <v/>
      </c>
      <c r="L1282" s="22" t="str">
        <f aca="false">IF($X1282="","",K1282*V1282/100)</f>
        <v/>
      </c>
      <c r="M1282" s="20" t="str">
        <f aca="false">IF($X1282="","",INDEX('Per Line'!$Z$2:$Z$4001,$X1282))</f>
        <v/>
      </c>
      <c r="N1282" s="23" t="str">
        <f aca="false">IF($X1282="","",Settings!$C$7)</f>
        <v/>
      </c>
      <c r="O1282" s="22" t="str">
        <f aca="false">IF($X1282="","",SUMIFS('Per Line'!$Y$2:$Y$4001,'Per Line'!$D$2:$D$4001,$B1282,'Per Line'!$AJ$2:$AJ$4001,0))</f>
        <v/>
      </c>
      <c r="P1282" s="22" t="str">
        <f aca="false">IF($X1282="","",O1282*N1282)</f>
        <v/>
      </c>
      <c r="Q1282" s="23" t="str">
        <f aca="false">IF($X1282="","",Settings!$C$6)</f>
        <v/>
      </c>
      <c r="R1282" s="22" t="str">
        <f aca="false">IF($X1282="","",SUMIFS('Per Line'!$Y$2:$Y$4001,'Per Line'!$D$2:$D$4001,$B1282,'Per Line'!$AJ$2:$AJ$4001,1))</f>
        <v/>
      </c>
      <c r="S1282" s="22" t="str">
        <f aca="false">IF($X1282="","",R1282*Q1282)</f>
        <v/>
      </c>
      <c r="T1282" s="22" t="str">
        <f aca="false">IF($X1282="","",S1282+P1282)</f>
        <v/>
      </c>
      <c r="U1282" s="22" t="str">
        <f aca="false">IF($X1282="","",V1282-T1282)</f>
        <v/>
      </c>
      <c r="V1282" s="22" t="str">
        <f aca="false">IF($X1282="","",O1282+R1282)</f>
        <v/>
      </c>
      <c r="W1282" s="22" t="str">
        <f aca="false">IF($X1282="","",U1282-L1282)</f>
        <v/>
      </c>
      <c r="X1282" s="24" t="str">
        <f aca="false">IF(ROWS($X$2:$X1282)&lt;=MAX('Per Line'!$AI$2:$AI$4001),MATCH(ROWS($X$2:$X1282),'Per Line'!$AI$2:$AI$4001,0),"")</f>
        <v/>
      </c>
    </row>
    <row r="1283" customFormat="false" ht="15" hidden="false" customHeight="false" outlineLevel="0" collapsed="false">
      <c r="A1283" s="19"/>
      <c r="B1283" s="20" t="str">
        <f aca="false">IF($X1283="","",INDEX('Per Line'!$D$2:$D$4001,$X1283))</f>
        <v/>
      </c>
      <c r="C1283" s="20" t="str">
        <f aca="false">IF($X1283="","",INDEX('Per Line'!$C$2:$C$4001,$X1283))</f>
        <v/>
      </c>
      <c r="D1283" s="20" t="str">
        <f aca="false">IF($X1283="","",INDEX('Per Line'!$A$2:$A$4001,$X1283))</f>
        <v/>
      </c>
      <c r="E1283" s="21" t="str">
        <f aca="false">IF($X1283="","",INDEX('Per Line'!$F$2:$F$4001,$X1283))</f>
        <v/>
      </c>
      <c r="F1283" s="20" t="str">
        <f aca="false">IF($X1283="","",INDEX('Per Line'!$G$2:$G$4001,$X1283))</f>
        <v/>
      </c>
      <c r="G1283" s="20" t="str">
        <f aca="false">IF($X1283="","",INDEX('Per Line'!$I$2:$I$4001,$X1283))</f>
        <v/>
      </c>
      <c r="H1283" s="20" t="str">
        <f aca="false">IF($X1283="","",INDEX('Per Line'!$J$2:$J$4001,$X1283))</f>
        <v/>
      </c>
      <c r="I1283" s="20" t="str">
        <f aca="false">IF($X1283="","",INDEX('Per Line'!$K$2:$K$4001,$X1283))</f>
        <v/>
      </c>
      <c r="J1283" s="20" t="str">
        <f aca="false">IF($X1283="","",INDEX('Per Line'!$L$2:$L$4001,$X1283))</f>
        <v/>
      </c>
      <c r="K1283" s="20" t="str">
        <f aca="false">IF($X1283="","",INDEX('Per Line'!$M$2:$M$4001,$X1283))</f>
        <v/>
      </c>
      <c r="L1283" s="22" t="str">
        <f aca="false">IF($X1283="","",K1283*V1283/100)</f>
        <v/>
      </c>
      <c r="M1283" s="20" t="str">
        <f aca="false">IF($X1283="","",INDEX('Per Line'!$Z$2:$Z$4001,$X1283))</f>
        <v/>
      </c>
      <c r="N1283" s="23" t="str">
        <f aca="false">IF($X1283="","",Settings!$C$7)</f>
        <v/>
      </c>
      <c r="O1283" s="22" t="str">
        <f aca="false">IF($X1283="","",SUMIFS('Per Line'!$Y$2:$Y$4001,'Per Line'!$D$2:$D$4001,$B1283,'Per Line'!$AJ$2:$AJ$4001,0))</f>
        <v/>
      </c>
      <c r="P1283" s="22" t="str">
        <f aca="false">IF($X1283="","",O1283*N1283)</f>
        <v/>
      </c>
      <c r="Q1283" s="23" t="str">
        <f aca="false">IF($X1283="","",Settings!$C$6)</f>
        <v/>
      </c>
      <c r="R1283" s="22" t="str">
        <f aca="false">IF($X1283="","",SUMIFS('Per Line'!$Y$2:$Y$4001,'Per Line'!$D$2:$D$4001,$B1283,'Per Line'!$AJ$2:$AJ$4001,1))</f>
        <v/>
      </c>
      <c r="S1283" s="22" t="str">
        <f aca="false">IF($X1283="","",R1283*Q1283)</f>
        <v/>
      </c>
      <c r="T1283" s="22" t="str">
        <f aca="false">IF($X1283="","",S1283+P1283)</f>
        <v/>
      </c>
      <c r="U1283" s="22" t="str">
        <f aca="false">IF($X1283="","",V1283-T1283)</f>
        <v/>
      </c>
      <c r="V1283" s="22" t="str">
        <f aca="false">IF($X1283="","",O1283+R1283)</f>
        <v/>
      </c>
      <c r="W1283" s="22" t="str">
        <f aca="false">IF($X1283="","",U1283-L1283)</f>
        <v/>
      </c>
      <c r="X1283" s="24" t="str">
        <f aca="false">IF(ROWS($X$2:$X1283)&lt;=MAX('Per Line'!$AI$2:$AI$4001),MATCH(ROWS($X$2:$X1283),'Per Line'!$AI$2:$AI$4001,0),"")</f>
        <v/>
      </c>
    </row>
    <row r="1284" customFormat="false" ht="15" hidden="false" customHeight="false" outlineLevel="0" collapsed="false">
      <c r="A1284" s="19"/>
      <c r="B1284" s="20" t="str">
        <f aca="false">IF($X1284="","",INDEX('Per Line'!$D$2:$D$4001,$X1284))</f>
        <v/>
      </c>
      <c r="C1284" s="20" t="str">
        <f aca="false">IF($X1284="","",INDEX('Per Line'!$C$2:$C$4001,$X1284))</f>
        <v/>
      </c>
      <c r="D1284" s="20" t="str">
        <f aca="false">IF($X1284="","",INDEX('Per Line'!$A$2:$A$4001,$X1284))</f>
        <v/>
      </c>
      <c r="E1284" s="21" t="str">
        <f aca="false">IF($X1284="","",INDEX('Per Line'!$F$2:$F$4001,$X1284))</f>
        <v/>
      </c>
      <c r="F1284" s="20" t="str">
        <f aca="false">IF($X1284="","",INDEX('Per Line'!$G$2:$G$4001,$X1284))</f>
        <v/>
      </c>
      <c r="G1284" s="20" t="str">
        <f aca="false">IF($X1284="","",INDEX('Per Line'!$I$2:$I$4001,$X1284))</f>
        <v/>
      </c>
      <c r="H1284" s="20" t="str">
        <f aca="false">IF($X1284="","",INDEX('Per Line'!$J$2:$J$4001,$X1284))</f>
        <v/>
      </c>
      <c r="I1284" s="20" t="str">
        <f aca="false">IF($X1284="","",INDEX('Per Line'!$K$2:$K$4001,$X1284))</f>
        <v/>
      </c>
      <c r="J1284" s="20" t="str">
        <f aca="false">IF($X1284="","",INDEX('Per Line'!$L$2:$L$4001,$X1284))</f>
        <v/>
      </c>
      <c r="K1284" s="20" t="str">
        <f aca="false">IF($X1284="","",INDEX('Per Line'!$M$2:$M$4001,$X1284))</f>
        <v/>
      </c>
      <c r="L1284" s="22" t="str">
        <f aca="false">IF($X1284="","",K1284*V1284/100)</f>
        <v/>
      </c>
      <c r="M1284" s="20" t="str">
        <f aca="false">IF($X1284="","",INDEX('Per Line'!$Z$2:$Z$4001,$X1284))</f>
        <v/>
      </c>
      <c r="N1284" s="23" t="str">
        <f aca="false">IF($X1284="","",Settings!$C$7)</f>
        <v/>
      </c>
      <c r="O1284" s="22" t="str">
        <f aca="false">IF($X1284="","",SUMIFS('Per Line'!$Y$2:$Y$4001,'Per Line'!$D$2:$D$4001,$B1284,'Per Line'!$AJ$2:$AJ$4001,0))</f>
        <v/>
      </c>
      <c r="P1284" s="22" t="str">
        <f aca="false">IF($X1284="","",O1284*N1284)</f>
        <v/>
      </c>
      <c r="Q1284" s="23" t="str">
        <f aca="false">IF($X1284="","",Settings!$C$6)</f>
        <v/>
      </c>
      <c r="R1284" s="22" t="str">
        <f aca="false">IF($X1284="","",SUMIFS('Per Line'!$Y$2:$Y$4001,'Per Line'!$D$2:$D$4001,$B1284,'Per Line'!$AJ$2:$AJ$4001,1))</f>
        <v/>
      </c>
      <c r="S1284" s="22" t="str">
        <f aca="false">IF($X1284="","",R1284*Q1284)</f>
        <v/>
      </c>
      <c r="T1284" s="22" t="str">
        <f aca="false">IF($X1284="","",S1284+P1284)</f>
        <v/>
      </c>
      <c r="U1284" s="22" t="str">
        <f aca="false">IF($X1284="","",V1284-T1284)</f>
        <v/>
      </c>
      <c r="V1284" s="22" t="str">
        <f aca="false">IF($X1284="","",O1284+R1284)</f>
        <v/>
      </c>
      <c r="W1284" s="22" t="str">
        <f aca="false">IF($X1284="","",U1284-L1284)</f>
        <v/>
      </c>
      <c r="X1284" s="24" t="str">
        <f aca="false">IF(ROWS($X$2:$X1284)&lt;=MAX('Per Line'!$AI$2:$AI$4001),MATCH(ROWS($X$2:$X1284),'Per Line'!$AI$2:$AI$4001,0),"")</f>
        <v/>
      </c>
    </row>
    <row r="1285" customFormat="false" ht="15" hidden="false" customHeight="false" outlineLevel="0" collapsed="false">
      <c r="A1285" s="19"/>
      <c r="B1285" s="20" t="str">
        <f aca="false">IF($X1285="","",INDEX('Per Line'!$D$2:$D$4001,$X1285))</f>
        <v/>
      </c>
      <c r="C1285" s="20" t="str">
        <f aca="false">IF($X1285="","",INDEX('Per Line'!$C$2:$C$4001,$X1285))</f>
        <v/>
      </c>
      <c r="D1285" s="20" t="str">
        <f aca="false">IF($X1285="","",INDEX('Per Line'!$A$2:$A$4001,$X1285))</f>
        <v/>
      </c>
      <c r="E1285" s="21" t="str">
        <f aca="false">IF($X1285="","",INDEX('Per Line'!$F$2:$F$4001,$X1285))</f>
        <v/>
      </c>
      <c r="F1285" s="20" t="str">
        <f aca="false">IF($X1285="","",INDEX('Per Line'!$G$2:$G$4001,$X1285))</f>
        <v/>
      </c>
      <c r="G1285" s="20" t="str">
        <f aca="false">IF($X1285="","",INDEX('Per Line'!$I$2:$I$4001,$X1285))</f>
        <v/>
      </c>
      <c r="H1285" s="20" t="str">
        <f aca="false">IF($X1285="","",INDEX('Per Line'!$J$2:$J$4001,$X1285))</f>
        <v/>
      </c>
      <c r="I1285" s="20" t="str">
        <f aca="false">IF($X1285="","",INDEX('Per Line'!$K$2:$K$4001,$X1285))</f>
        <v/>
      </c>
      <c r="J1285" s="20" t="str">
        <f aca="false">IF($X1285="","",INDEX('Per Line'!$L$2:$L$4001,$X1285))</f>
        <v/>
      </c>
      <c r="K1285" s="20" t="str">
        <f aca="false">IF($X1285="","",INDEX('Per Line'!$M$2:$M$4001,$X1285))</f>
        <v/>
      </c>
      <c r="L1285" s="22" t="str">
        <f aca="false">IF($X1285="","",K1285*V1285/100)</f>
        <v/>
      </c>
      <c r="M1285" s="20" t="str">
        <f aca="false">IF($X1285="","",INDEX('Per Line'!$Z$2:$Z$4001,$X1285))</f>
        <v/>
      </c>
      <c r="N1285" s="23" t="str">
        <f aca="false">IF($X1285="","",Settings!$C$7)</f>
        <v/>
      </c>
      <c r="O1285" s="22" t="str">
        <f aca="false">IF($X1285="","",SUMIFS('Per Line'!$Y$2:$Y$4001,'Per Line'!$D$2:$D$4001,$B1285,'Per Line'!$AJ$2:$AJ$4001,0))</f>
        <v/>
      </c>
      <c r="P1285" s="22" t="str">
        <f aca="false">IF($X1285="","",O1285*N1285)</f>
        <v/>
      </c>
      <c r="Q1285" s="23" t="str">
        <f aca="false">IF($X1285="","",Settings!$C$6)</f>
        <v/>
      </c>
      <c r="R1285" s="22" t="str">
        <f aca="false">IF($X1285="","",SUMIFS('Per Line'!$Y$2:$Y$4001,'Per Line'!$D$2:$D$4001,$B1285,'Per Line'!$AJ$2:$AJ$4001,1))</f>
        <v/>
      </c>
      <c r="S1285" s="22" t="str">
        <f aca="false">IF($X1285="","",R1285*Q1285)</f>
        <v/>
      </c>
      <c r="T1285" s="22" t="str">
        <f aca="false">IF($X1285="","",S1285+P1285)</f>
        <v/>
      </c>
      <c r="U1285" s="22" t="str">
        <f aca="false">IF($X1285="","",V1285-T1285)</f>
        <v/>
      </c>
      <c r="V1285" s="22" t="str">
        <f aca="false">IF($X1285="","",O1285+R1285)</f>
        <v/>
      </c>
      <c r="W1285" s="22" t="str">
        <f aca="false">IF($X1285="","",U1285-L1285)</f>
        <v/>
      </c>
      <c r="X1285" s="24" t="str">
        <f aca="false">IF(ROWS($X$2:$X1285)&lt;=MAX('Per Line'!$AI$2:$AI$4001),MATCH(ROWS($X$2:$X1285),'Per Line'!$AI$2:$AI$4001,0),"")</f>
        <v/>
      </c>
    </row>
    <row r="1286" customFormat="false" ht="15" hidden="false" customHeight="false" outlineLevel="0" collapsed="false">
      <c r="A1286" s="19"/>
      <c r="B1286" s="20" t="str">
        <f aca="false">IF($X1286="","",INDEX('Per Line'!$D$2:$D$4001,$X1286))</f>
        <v/>
      </c>
      <c r="C1286" s="20" t="str">
        <f aca="false">IF($X1286="","",INDEX('Per Line'!$C$2:$C$4001,$X1286))</f>
        <v/>
      </c>
      <c r="D1286" s="20" t="str">
        <f aca="false">IF($X1286="","",INDEX('Per Line'!$A$2:$A$4001,$X1286))</f>
        <v/>
      </c>
      <c r="E1286" s="21" t="str">
        <f aca="false">IF($X1286="","",INDEX('Per Line'!$F$2:$F$4001,$X1286))</f>
        <v/>
      </c>
      <c r="F1286" s="20" t="str">
        <f aca="false">IF($X1286="","",INDEX('Per Line'!$G$2:$G$4001,$X1286))</f>
        <v/>
      </c>
      <c r="G1286" s="20" t="str">
        <f aca="false">IF($X1286="","",INDEX('Per Line'!$I$2:$I$4001,$X1286))</f>
        <v/>
      </c>
      <c r="H1286" s="20" t="str">
        <f aca="false">IF($X1286="","",INDEX('Per Line'!$J$2:$J$4001,$X1286))</f>
        <v/>
      </c>
      <c r="I1286" s="20" t="str">
        <f aca="false">IF($X1286="","",INDEX('Per Line'!$K$2:$K$4001,$X1286))</f>
        <v/>
      </c>
      <c r="J1286" s="20" t="str">
        <f aca="false">IF($X1286="","",INDEX('Per Line'!$L$2:$L$4001,$X1286))</f>
        <v/>
      </c>
      <c r="K1286" s="20" t="str">
        <f aca="false">IF($X1286="","",INDEX('Per Line'!$M$2:$M$4001,$X1286))</f>
        <v/>
      </c>
      <c r="L1286" s="22" t="str">
        <f aca="false">IF($X1286="","",K1286*V1286/100)</f>
        <v/>
      </c>
      <c r="M1286" s="20" t="str">
        <f aca="false">IF($X1286="","",INDEX('Per Line'!$Z$2:$Z$4001,$X1286))</f>
        <v/>
      </c>
      <c r="N1286" s="23" t="str">
        <f aca="false">IF($X1286="","",Settings!$C$7)</f>
        <v/>
      </c>
      <c r="O1286" s="22" t="str">
        <f aca="false">IF($X1286="","",SUMIFS('Per Line'!$Y$2:$Y$4001,'Per Line'!$D$2:$D$4001,$B1286,'Per Line'!$AJ$2:$AJ$4001,0))</f>
        <v/>
      </c>
      <c r="P1286" s="22" t="str">
        <f aca="false">IF($X1286="","",O1286*N1286)</f>
        <v/>
      </c>
      <c r="Q1286" s="23" t="str">
        <f aca="false">IF($X1286="","",Settings!$C$6)</f>
        <v/>
      </c>
      <c r="R1286" s="22" t="str">
        <f aca="false">IF($X1286="","",SUMIFS('Per Line'!$Y$2:$Y$4001,'Per Line'!$D$2:$D$4001,$B1286,'Per Line'!$AJ$2:$AJ$4001,1))</f>
        <v/>
      </c>
      <c r="S1286" s="22" t="str">
        <f aca="false">IF($X1286="","",R1286*Q1286)</f>
        <v/>
      </c>
      <c r="T1286" s="22" t="str">
        <f aca="false">IF($X1286="","",S1286+P1286)</f>
        <v/>
      </c>
      <c r="U1286" s="22" t="str">
        <f aca="false">IF($X1286="","",V1286-T1286)</f>
        <v/>
      </c>
      <c r="V1286" s="22" t="str">
        <f aca="false">IF($X1286="","",O1286+R1286)</f>
        <v/>
      </c>
      <c r="W1286" s="22" t="str">
        <f aca="false">IF($X1286="","",U1286-L1286)</f>
        <v/>
      </c>
      <c r="X1286" s="24" t="str">
        <f aca="false">IF(ROWS($X$2:$X1286)&lt;=MAX('Per Line'!$AI$2:$AI$4001),MATCH(ROWS($X$2:$X1286),'Per Line'!$AI$2:$AI$4001,0),"")</f>
        <v/>
      </c>
    </row>
    <row r="1287" customFormat="false" ht="15" hidden="false" customHeight="false" outlineLevel="0" collapsed="false">
      <c r="A1287" s="19"/>
      <c r="B1287" s="20" t="str">
        <f aca="false">IF($X1287="","",INDEX('Per Line'!$D$2:$D$4001,$X1287))</f>
        <v/>
      </c>
      <c r="C1287" s="20" t="str">
        <f aca="false">IF($X1287="","",INDEX('Per Line'!$C$2:$C$4001,$X1287))</f>
        <v/>
      </c>
      <c r="D1287" s="20" t="str">
        <f aca="false">IF($X1287="","",INDEX('Per Line'!$A$2:$A$4001,$X1287))</f>
        <v/>
      </c>
      <c r="E1287" s="21" t="str">
        <f aca="false">IF($X1287="","",INDEX('Per Line'!$F$2:$F$4001,$X1287))</f>
        <v/>
      </c>
      <c r="F1287" s="20" t="str">
        <f aca="false">IF($X1287="","",INDEX('Per Line'!$G$2:$G$4001,$X1287))</f>
        <v/>
      </c>
      <c r="G1287" s="20" t="str">
        <f aca="false">IF($X1287="","",INDEX('Per Line'!$I$2:$I$4001,$X1287))</f>
        <v/>
      </c>
      <c r="H1287" s="20" t="str">
        <f aca="false">IF($X1287="","",INDEX('Per Line'!$J$2:$J$4001,$X1287))</f>
        <v/>
      </c>
      <c r="I1287" s="20" t="str">
        <f aca="false">IF($X1287="","",INDEX('Per Line'!$K$2:$K$4001,$X1287))</f>
        <v/>
      </c>
      <c r="J1287" s="20" t="str">
        <f aca="false">IF($X1287="","",INDEX('Per Line'!$L$2:$L$4001,$X1287))</f>
        <v/>
      </c>
      <c r="K1287" s="20" t="str">
        <f aca="false">IF($X1287="","",INDEX('Per Line'!$M$2:$M$4001,$X1287))</f>
        <v/>
      </c>
      <c r="L1287" s="22" t="str">
        <f aca="false">IF($X1287="","",K1287*V1287/100)</f>
        <v/>
      </c>
      <c r="M1287" s="20" t="str">
        <f aca="false">IF($X1287="","",INDEX('Per Line'!$Z$2:$Z$4001,$X1287))</f>
        <v/>
      </c>
      <c r="N1287" s="23" t="str">
        <f aca="false">IF($X1287="","",Settings!$C$7)</f>
        <v/>
      </c>
      <c r="O1287" s="22" t="str">
        <f aca="false">IF($X1287="","",SUMIFS('Per Line'!$Y$2:$Y$4001,'Per Line'!$D$2:$D$4001,$B1287,'Per Line'!$AJ$2:$AJ$4001,0))</f>
        <v/>
      </c>
      <c r="P1287" s="22" t="str">
        <f aca="false">IF($X1287="","",O1287*N1287)</f>
        <v/>
      </c>
      <c r="Q1287" s="23" t="str">
        <f aca="false">IF($X1287="","",Settings!$C$6)</f>
        <v/>
      </c>
      <c r="R1287" s="22" t="str">
        <f aca="false">IF($X1287="","",SUMIFS('Per Line'!$Y$2:$Y$4001,'Per Line'!$D$2:$D$4001,$B1287,'Per Line'!$AJ$2:$AJ$4001,1))</f>
        <v/>
      </c>
      <c r="S1287" s="22" t="str">
        <f aca="false">IF($X1287="","",R1287*Q1287)</f>
        <v/>
      </c>
      <c r="T1287" s="22" t="str">
        <f aca="false">IF($X1287="","",S1287+P1287)</f>
        <v/>
      </c>
      <c r="U1287" s="22" t="str">
        <f aca="false">IF($X1287="","",V1287-T1287)</f>
        <v/>
      </c>
      <c r="V1287" s="22" t="str">
        <f aca="false">IF($X1287="","",O1287+R1287)</f>
        <v/>
      </c>
      <c r="W1287" s="22" t="str">
        <f aca="false">IF($X1287="","",U1287-L1287)</f>
        <v/>
      </c>
      <c r="X1287" s="24" t="str">
        <f aca="false">IF(ROWS($X$2:$X1287)&lt;=MAX('Per Line'!$AI$2:$AI$4001),MATCH(ROWS($X$2:$X1287),'Per Line'!$AI$2:$AI$4001,0),"")</f>
        <v/>
      </c>
    </row>
    <row r="1288" customFormat="false" ht="15" hidden="false" customHeight="false" outlineLevel="0" collapsed="false">
      <c r="A1288" s="19"/>
      <c r="B1288" s="20" t="str">
        <f aca="false">IF($X1288="","",INDEX('Per Line'!$D$2:$D$4001,$X1288))</f>
        <v/>
      </c>
      <c r="C1288" s="20" t="str">
        <f aca="false">IF($X1288="","",INDEX('Per Line'!$C$2:$C$4001,$X1288))</f>
        <v/>
      </c>
      <c r="D1288" s="20" t="str">
        <f aca="false">IF($X1288="","",INDEX('Per Line'!$A$2:$A$4001,$X1288))</f>
        <v/>
      </c>
      <c r="E1288" s="21" t="str">
        <f aca="false">IF($X1288="","",INDEX('Per Line'!$F$2:$F$4001,$X1288))</f>
        <v/>
      </c>
      <c r="F1288" s="20" t="str">
        <f aca="false">IF($X1288="","",INDEX('Per Line'!$G$2:$G$4001,$X1288))</f>
        <v/>
      </c>
      <c r="G1288" s="20" t="str">
        <f aca="false">IF($X1288="","",INDEX('Per Line'!$I$2:$I$4001,$X1288))</f>
        <v/>
      </c>
      <c r="H1288" s="20" t="str">
        <f aca="false">IF($X1288="","",INDEX('Per Line'!$J$2:$J$4001,$X1288))</f>
        <v/>
      </c>
      <c r="I1288" s="20" t="str">
        <f aca="false">IF($X1288="","",INDEX('Per Line'!$K$2:$K$4001,$X1288))</f>
        <v/>
      </c>
      <c r="J1288" s="20" t="str">
        <f aca="false">IF($X1288="","",INDEX('Per Line'!$L$2:$L$4001,$X1288))</f>
        <v/>
      </c>
      <c r="K1288" s="20" t="str">
        <f aca="false">IF($X1288="","",INDEX('Per Line'!$M$2:$M$4001,$X1288))</f>
        <v/>
      </c>
      <c r="L1288" s="22" t="str">
        <f aca="false">IF($X1288="","",K1288*V1288/100)</f>
        <v/>
      </c>
      <c r="M1288" s="20" t="str">
        <f aca="false">IF($X1288="","",INDEX('Per Line'!$Z$2:$Z$4001,$X1288))</f>
        <v/>
      </c>
      <c r="N1288" s="23" t="str">
        <f aca="false">IF($X1288="","",Settings!$C$7)</f>
        <v/>
      </c>
      <c r="O1288" s="22" t="str">
        <f aca="false">IF($X1288="","",SUMIFS('Per Line'!$Y$2:$Y$4001,'Per Line'!$D$2:$D$4001,$B1288,'Per Line'!$AJ$2:$AJ$4001,0))</f>
        <v/>
      </c>
      <c r="P1288" s="22" t="str">
        <f aca="false">IF($X1288="","",O1288*N1288)</f>
        <v/>
      </c>
      <c r="Q1288" s="23" t="str">
        <f aca="false">IF($X1288="","",Settings!$C$6)</f>
        <v/>
      </c>
      <c r="R1288" s="22" t="str">
        <f aca="false">IF($X1288="","",SUMIFS('Per Line'!$Y$2:$Y$4001,'Per Line'!$D$2:$D$4001,$B1288,'Per Line'!$AJ$2:$AJ$4001,1))</f>
        <v/>
      </c>
      <c r="S1288" s="22" t="str">
        <f aca="false">IF($X1288="","",R1288*Q1288)</f>
        <v/>
      </c>
      <c r="T1288" s="22" t="str">
        <f aca="false">IF($X1288="","",S1288+P1288)</f>
        <v/>
      </c>
      <c r="U1288" s="22" t="str">
        <f aca="false">IF($X1288="","",V1288-T1288)</f>
        <v/>
      </c>
      <c r="V1288" s="22" t="str">
        <f aca="false">IF($X1288="","",O1288+R1288)</f>
        <v/>
      </c>
      <c r="W1288" s="22" t="str">
        <f aca="false">IF($X1288="","",U1288-L1288)</f>
        <v/>
      </c>
      <c r="X1288" s="24" t="str">
        <f aca="false">IF(ROWS($X$2:$X1288)&lt;=MAX('Per Line'!$AI$2:$AI$4001),MATCH(ROWS($X$2:$X1288),'Per Line'!$AI$2:$AI$4001,0),"")</f>
        <v/>
      </c>
    </row>
    <row r="1289" customFormat="false" ht="15" hidden="false" customHeight="false" outlineLevel="0" collapsed="false">
      <c r="A1289" s="19"/>
      <c r="B1289" s="20" t="str">
        <f aca="false">IF($X1289="","",INDEX('Per Line'!$D$2:$D$4001,$X1289))</f>
        <v/>
      </c>
      <c r="C1289" s="20" t="str">
        <f aca="false">IF($X1289="","",INDEX('Per Line'!$C$2:$C$4001,$X1289))</f>
        <v/>
      </c>
      <c r="D1289" s="20" t="str">
        <f aca="false">IF($X1289="","",INDEX('Per Line'!$A$2:$A$4001,$X1289))</f>
        <v/>
      </c>
      <c r="E1289" s="21" t="str">
        <f aca="false">IF($X1289="","",INDEX('Per Line'!$F$2:$F$4001,$X1289))</f>
        <v/>
      </c>
      <c r="F1289" s="20" t="str">
        <f aca="false">IF($X1289="","",INDEX('Per Line'!$G$2:$G$4001,$X1289))</f>
        <v/>
      </c>
      <c r="G1289" s="20" t="str">
        <f aca="false">IF($X1289="","",INDEX('Per Line'!$I$2:$I$4001,$X1289))</f>
        <v/>
      </c>
      <c r="H1289" s="20" t="str">
        <f aca="false">IF($X1289="","",INDEX('Per Line'!$J$2:$J$4001,$X1289))</f>
        <v/>
      </c>
      <c r="I1289" s="20" t="str">
        <f aca="false">IF($X1289="","",INDEX('Per Line'!$K$2:$K$4001,$X1289))</f>
        <v/>
      </c>
      <c r="J1289" s="20" t="str">
        <f aca="false">IF($X1289="","",INDEX('Per Line'!$L$2:$L$4001,$X1289))</f>
        <v/>
      </c>
      <c r="K1289" s="20" t="str">
        <f aca="false">IF($X1289="","",INDEX('Per Line'!$M$2:$M$4001,$X1289))</f>
        <v/>
      </c>
      <c r="L1289" s="22" t="str">
        <f aca="false">IF($X1289="","",K1289*V1289/100)</f>
        <v/>
      </c>
      <c r="M1289" s="20" t="str">
        <f aca="false">IF($X1289="","",INDEX('Per Line'!$Z$2:$Z$4001,$X1289))</f>
        <v/>
      </c>
      <c r="N1289" s="23" t="str">
        <f aca="false">IF($X1289="","",Settings!$C$7)</f>
        <v/>
      </c>
      <c r="O1289" s="22" t="str">
        <f aca="false">IF($X1289="","",SUMIFS('Per Line'!$Y$2:$Y$4001,'Per Line'!$D$2:$D$4001,$B1289,'Per Line'!$AJ$2:$AJ$4001,0))</f>
        <v/>
      </c>
      <c r="P1289" s="22" t="str">
        <f aca="false">IF($X1289="","",O1289*N1289)</f>
        <v/>
      </c>
      <c r="Q1289" s="23" t="str">
        <f aca="false">IF($X1289="","",Settings!$C$6)</f>
        <v/>
      </c>
      <c r="R1289" s="22" t="str">
        <f aca="false">IF($X1289="","",SUMIFS('Per Line'!$Y$2:$Y$4001,'Per Line'!$D$2:$D$4001,$B1289,'Per Line'!$AJ$2:$AJ$4001,1))</f>
        <v/>
      </c>
      <c r="S1289" s="22" t="str">
        <f aca="false">IF($X1289="","",R1289*Q1289)</f>
        <v/>
      </c>
      <c r="T1289" s="22" t="str">
        <f aca="false">IF($X1289="","",S1289+P1289)</f>
        <v/>
      </c>
      <c r="U1289" s="22" t="str">
        <f aca="false">IF($X1289="","",V1289-T1289)</f>
        <v/>
      </c>
      <c r="V1289" s="22" t="str">
        <f aca="false">IF($X1289="","",O1289+R1289)</f>
        <v/>
      </c>
      <c r="W1289" s="22" t="str">
        <f aca="false">IF($X1289="","",U1289-L1289)</f>
        <v/>
      </c>
      <c r="X1289" s="24" t="str">
        <f aca="false">IF(ROWS($X$2:$X1289)&lt;=MAX('Per Line'!$AI$2:$AI$4001),MATCH(ROWS($X$2:$X1289),'Per Line'!$AI$2:$AI$4001,0),"")</f>
        <v/>
      </c>
    </row>
    <row r="1290" customFormat="false" ht="15" hidden="false" customHeight="false" outlineLevel="0" collapsed="false">
      <c r="A1290" s="19"/>
      <c r="B1290" s="20" t="str">
        <f aca="false">IF($X1290="","",INDEX('Per Line'!$D$2:$D$4001,$X1290))</f>
        <v/>
      </c>
      <c r="C1290" s="20" t="str">
        <f aca="false">IF($X1290="","",INDEX('Per Line'!$C$2:$C$4001,$X1290))</f>
        <v/>
      </c>
      <c r="D1290" s="20" t="str">
        <f aca="false">IF($X1290="","",INDEX('Per Line'!$A$2:$A$4001,$X1290))</f>
        <v/>
      </c>
      <c r="E1290" s="21" t="str">
        <f aca="false">IF($X1290="","",INDEX('Per Line'!$F$2:$F$4001,$X1290))</f>
        <v/>
      </c>
      <c r="F1290" s="20" t="str">
        <f aca="false">IF($X1290="","",INDEX('Per Line'!$G$2:$G$4001,$X1290))</f>
        <v/>
      </c>
      <c r="G1290" s="20" t="str">
        <f aca="false">IF($X1290="","",INDEX('Per Line'!$I$2:$I$4001,$X1290))</f>
        <v/>
      </c>
      <c r="H1290" s="20" t="str">
        <f aca="false">IF($X1290="","",INDEX('Per Line'!$J$2:$J$4001,$X1290))</f>
        <v/>
      </c>
      <c r="I1290" s="20" t="str">
        <f aca="false">IF($X1290="","",INDEX('Per Line'!$K$2:$K$4001,$X1290))</f>
        <v/>
      </c>
      <c r="J1290" s="20" t="str">
        <f aca="false">IF($X1290="","",INDEX('Per Line'!$L$2:$L$4001,$X1290))</f>
        <v/>
      </c>
      <c r="K1290" s="20" t="str">
        <f aca="false">IF($X1290="","",INDEX('Per Line'!$M$2:$M$4001,$X1290))</f>
        <v/>
      </c>
      <c r="L1290" s="22" t="str">
        <f aca="false">IF($X1290="","",K1290*V1290/100)</f>
        <v/>
      </c>
      <c r="M1290" s="20" t="str">
        <f aca="false">IF($X1290="","",INDEX('Per Line'!$Z$2:$Z$4001,$X1290))</f>
        <v/>
      </c>
      <c r="N1290" s="23" t="str">
        <f aca="false">IF($X1290="","",Settings!$C$7)</f>
        <v/>
      </c>
      <c r="O1290" s="22" t="str">
        <f aca="false">IF($X1290="","",SUMIFS('Per Line'!$Y$2:$Y$4001,'Per Line'!$D$2:$D$4001,$B1290,'Per Line'!$AJ$2:$AJ$4001,0))</f>
        <v/>
      </c>
      <c r="P1290" s="22" t="str">
        <f aca="false">IF($X1290="","",O1290*N1290)</f>
        <v/>
      </c>
      <c r="Q1290" s="23" t="str">
        <f aca="false">IF($X1290="","",Settings!$C$6)</f>
        <v/>
      </c>
      <c r="R1290" s="22" t="str">
        <f aca="false">IF($X1290="","",SUMIFS('Per Line'!$Y$2:$Y$4001,'Per Line'!$D$2:$D$4001,$B1290,'Per Line'!$AJ$2:$AJ$4001,1))</f>
        <v/>
      </c>
      <c r="S1290" s="22" t="str">
        <f aca="false">IF($X1290="","",R1290*Q1290)</f>
        <v/>
      </c>
      <c r="T1290" s="22" t="str">
        <f aca="false">IF($X1290="","",S1290+P1290)</f>
        <v/>
      </c>
      <c r="U1290" s="22" t="str">
        <f aca="false">IF($X1290="","",V1290-T1290)</f>
        <v/>
      </c>
      <c r="V1290" s="22" t="str">
        <f aca="false">IF($X1290="","",O1290+R1290)</f>
        <v/>
      </c>
      <c r="W1290" s="22" t="str">
        <f aca="false">IF($X1290="","",U1290-L1290)</f>
        <v/>
      </c>
      <c r="X1290" s="24" t="str">
        <f aca="false">IF(ROWS($X$2:$X1290)&lt;=MAX('Per Line'!$AI$2:$AI$4001),MATCH(ROWS($X$2:$X1290),'Per Line'!$AI$2:$AI$4001,0),"")</f>
        <v/>
      </c>
    </row>
    <row r="1291" customFormat="false" ht="15" hidden="false" customHeight="false" outlineLevel="0" collapsed="false">
      <c r="A1291" s="19"/>
      <c r="B1291" s="20" t="str">
        <f aca="false">IF($X1291="","",INDEX('Per Line'!$D$2:$D$4001,$X1291))</f>
        <v/>
      </c>
      <c r="C1291" s="20" t="str">
        <f aca="false">IF($X1291="","",INDEX('Per Line'!$C$2:$C$4001,$X1291))</f>
        <v/>
      </c>
      <c r="D1291" s="20" t="str">
        <f aca="false">IF($X1291="","",INDEX('Per Line'!$A$2:$A$4001,$X1291))</f>
        <v/>
      </c>
      <c r="E1291" s="21" t="str">
        <f aca="false">IF($X1291="","",INDEX('Per Line'!$F$2:$F$4001,$X1291))</f>
        <v/>
      </c>
      <c r="F1291" s="20" t="str">
        <f aca="false">IF($X1291="","",INDEX('Per Line'!$G$2:$G$4001,$X1291))</f>
        <v/>
      </c>
      <c r="G1291" s="20" t="str">
        <f aca="false">IF($X1291="","",INDEX('Per Line'!$I$2:$I$4001,$X1291))</f>
        <v/>
      </c>
      <c r="H1291" s="20" t="str">
        <f aca="false">IF($X1291="","",INDEX('Per Line'!$J$2:$J$4001,$X1291))</f>
        <v/>
      </c>
      <c r="I1291" s="20" t="str">
        <f aca="false">IF($X1291="","",INDEX('Per Line'!$K$2:$K$4001,$X1291))</f>
        <v/>
      </c>
      <c r="J1291" s="20" t="str">
        <f aca="false">IF($X1291="","",INDEX('Per Line'!$L$2:$L$4001,$X1291))</f>
        <v/>
      </c>
      <c r="K1291" s="20" t="str">
        <f aca="false">IF($X1291="","",INDEX('Per Line'!$M$2:$M$4001,$X1291))</f>
        <v/>
      </c>
      <c r="L1291" s="22" t="str">
        <f aca="false">IF($X1291="","",K1291*V1291/100)</f>
        <v/>
      </c>
      <c r="M1291" s="20" t="str">
        <f aca="false">IF($X1291="","",INDEX('Per Line'!$Z$2:$Z$4001,$X1291))</f>
        <v/>
      </c>
      <c r="N1291" s="23" t="str">
        <f aca="false">IF($X1291="","",Settings!$C$7)</f>
        <v/>
      </c>
      <c r="O1291" s="22" t="str">
        <f aca="false">IF($X1291="","",SUMIFS('Per Line'!$Y$2:$Y$4001,'Per Line'!$D$2:$D$4001,$B1291,'Per Line'!$AJ$2:$AJ$4001,0))</f>
        <v/>
      </c>
      <c r="P1291" s="22" t="str">
        <f aca="false">IF($X1291="","",O1291*N1291)</f>
        <v/>
      </c>
      <c r="Q1291" s="23" t="str">
        <f aca="false">IF($X1291="","",Settings!$C$6)</f>
        <v/>
      </c>
      <c r="R1291" s="22" t="str">
        <f aca="false">IF($X1291="","",SUMIFS('Per Line'!$Y$2:$Y$4001,'Per Line'!$D$2:$D$4001,$B1291,'Per Line'!$AJ$2:$AJ$4001,1))</f>
        <v/>
      </c>
      <c r="S1291" s="22" t="str">
        <f aca="false">IF($X1291="","",R1291*Q1291)</f>
        <v/>
      </c>
      <c r="T1291" s="22" t="str">
        <f aca="false">IF($X1291="","",S1291+P1291)</f>
        <v/>
      </c>
      <c r="U1291" s="22" t="str">
        <f aca="false">IF($X1291="","",V1291-T1291)</f>
        <v/>
      </c>
      <c r="V1291" s="22" t="str">
        <f aca="false">IF($X1291="","",O1291+R1291)</f>
        <v/>
      </c>
      <c r="W1291" s="22" t="str">
        <f aca="false">IF($X1291="","",U1291-L1291)</f>
        <v/>
      </c>
      <c r="X1291" s="24" t="str">
        <f aca="false">IF(ROWS($X$2:$X1291)&lt;=MAX('Per Line'!$AI$2:$AI$4001),MATCH(ROWS($X$2:$X1291),'Per Line'!$AI$2:$AI$4001,0),"")</f>
        <v/>
      </c>
    </row>
    <row r="1292" customFormat="false" ht="15" hidden="false" customHeight="false" outlineLevel="0" collapsed="false">
      <c r="A1292" s="19"/>
      <c r="B1292" s="20" t="str">
        <f aca="false">IF($X1292="","",INDEX('Per Line'!$D$2:$D$4001,$X1292))</f>
        <v/>
      </c>
      <c r="C1292" s="20" t="str">
        <f aca="false">IF($X1292="","",INDEX('Per Line'!$C$2:$C$4001,$X1292))</f>
        <v/>
      </c>
      <c r="D1292" s="20" t="str">
        <f aca="false">IF($X1292="","",INDEX('Per Line'!$A$2:$A$4001,$X1292))</f>
        <v/>
      </c>
      <c r="E1292" s="21" t="str">
        <f aca="false">IF($X1292="","",INDEX('Per Line'!$F$2:$F$4001,$X1292))</f>
        <v/>
      </c>
      <c r="F1292" s="20" t="str">
        <f aca="false">IF($X1292="","",INDEX('Per Line'!$G$2:$G$4001,$X1292))</f>
        <v/>
      </c>
      <c r="G1292" s="20" t="str">
        <f aca="false">IF($X1292="","",INDEX('Per Line'!$I$2:$I$4001,$X1292))</f>
        <v/>
      </c>
      <c r="H1292" s="20" t="str">
        <f aca="false">IF($X1292="","",INDEX('Per Line'!$J$2:$J$4001,$X1292))</f>
        <v/>
      </c>
      <c r="I1292" s="20" t="str">
        <f aca="false">IF($X1292="","",INDEX('Per Line'!$K$2:$K$4001,$X1292))</f>
        <v/>
      </c>
      <c r="J1292" s="20" t="str">
        <f aca="false">IF($X1292="","",INDEX('Per Line'!$L$2:$L$4001,$X1292))</f>
        <v/>
      </c>
      <c r="K1292" s="20" t="str">
        <f aca="false">IF($X1292="","",INDEX('Per Line'!$M$2:$M$4001,$X1292))</f>
        <v/>
      </c>
      <c r="L1292" s="22" t="str">
        <f aca="false">IF($X1292="","",K1292*V1292/100)</f>
        <v/>
      </c>
      <c r="M1292" s="20" t="str">
        <f aca="false">IF($X1292="","",INDEX('Per Line'!$Z$2:$Z$4001,$X1292))</f>
        <v/>
      </c>
      <c r="N1292" s="23" t="str">
        <f aca="false">IF($X1292="","",Settings!$C$7)</f>
        <v/>
      </c>
      <c r="O1292" s="22" t="str">
        <f aca="false">IF($X1292="","",SUMIFS('Per Line'!$Y$2:$Y$4001,'Per Line'!$D$2:$D$4001,$B1292,'Per Line'!$AJ$2:$AJ$4001,0))</f>
        <v/>
      </c>
      <c r="P1292" s="22" t="str">
        <f aca="false">IF($X1292="","",O1292*N1292)</f>
        <v/>
      </c>
      <c r="Q1292" s="23" t="str">
        <f aca="false">IF($X1292="","",Settings!$C$6)</f>
        <v/>
      </c>
      <c r="R1292" s="22" t="str">
        <f aca="false">IF($X1292="","",SUMIFS('Per Line'!$Y$2:$Y$4001,'Per Line'!$D$2:$D$4001,$B1292,'Per Line'!$AJ$2:$AJ$4001,1))</f>
        <v/>
      </c>
      <c r="S1292" s="22" t="str">
        <f aca="false">IF($X1292="","",R1292*Q1292)</f>
        <v/>
      </c>
      <c r="T1292" s="22" t="str">
        <f aca="false">IF($X1292="","",S1292+P1292)</f>
        <v/>
      </c>
      <c r="U1292" s="22" t="str">
        <f aca="false">IF($X1292="","",V1292-T1292)</f>
        <v/>
      </c>
      <c r="V1292" s="22" t="str">
        <f aca="false">IF($X1292="","",O1292+R1292)</f>
        <v/>
      </c>
      <c r="W1292" s="22" t="str">
        <f aca="false">IF($X1292="","",U1292-L1292)</f>
        <v/>
      </c>
      <c r="X1292" s="24" t="str">
        <f aca="false">IF(ROWS($X$2:$X1292)&lt;=MAX('Per Line'!$AI$2:$AI$4001),MATCH(ROWS($X$2:$X1292),'Per Line'!$AI$2:$AI$4001,0),"")</f>
        <v/>
      </c>
    </row>
    <row r="1293" customFormat="false" ht="15" hidden="false" customHeight="false" outlineLevel="0" collapsed="false">
      <c r="A1293" s="19"/>
      <c r="B1293" s="20" t="str">
        <f aca="false">IF($X1293="","",INDEX('Per Line'!$D$2:$D$4001,$X1293))</f>
        <v/>
      </c>
      <c r="C1293" s="20" t="str">
        <f aca="false">IF($X1293="","",INDEX('Per Line'!$C$2:$C$4001,$X1293))</f>
        <v/>
      </c>
      <c r="D1293" s="20" t="str">
        <f aca="false">IF($X1293="","",INDEX('Per Line'!$A$2:$A$4001,$X1293))</f>
        <v/>
      </c>
      <c r="E1293" s="21" t="str">
        <f aca="false">IF($X1293="","",INDEX('Per Line'!$F$2:$F$4001,$X1293))</f>
        <v/>
      </c>
      <c r="F1293" s="20" t="str">
        <f aca="false">IF($X1293="","",INDEX('Per Line'!$G$2:$G$4001,$X1293))</f>
        <v/>
      </c>
      <c r="G1293" s="20" t="str">
        <f aca="false">IF($X1293="","",INDEX('Per Line'!$I$2:$I$4001,$X1293))</f>
        <v/>
      </c>
      <c r="H1293" s="20" t="str">
        <f aca="false">IF($X1293="","",INDEX('Per Line'!$J$2:$J$4001,$X1293))</f>
        <v/>
      </c>
      <c r="I1293" s="20" t="str">
        <f aca="false">IF($X1293="","",INDEX('Per Line'!$K$2:$K$4001,$X1293))</f>
        <v/>
      </c>
      <c r="J1293" s="20" t="str">
        <f aca="false">IF($X1293="","",INDEX('Per Line'!$L$2:$L$4001,$X1293))</f>
        <v/>
      </c>
      <c r="K1293" s="20" t="str">
        <f aca="false">IF($X1293="","",INDEX('Per Line'!$M$2:$M$4001,$X1293))</f>
        <v/>
      </c>
      <c r="L1293" s="22" t="str">
        <f aca="false">IF($X1293="","",K1293*V1293/100)</f>
        <v/>
      </c>
      <c r="M1293" s="20" t="str">
        <f aca="false">IF($X1293="","",INDEX('Per Line'!$Z$2:$Z$4001,$X1293))</f>
        <v/>
      </c>
      <c r="N1293" s="23" t="str">
        <f aca="false">IF($X1293="","",Settings!$C$7)</f>
        <v/>
      </c>
      <c r="O1293" s="22" t="str">
        <f aca="false">IF($X1293="","",SUMIFS('Per Line'!$Y$2:$Y$4001,'Per Line'!$D$2:$D$4001,$B1293,'Per Line'!$AJ$2:$AJ$4001,0))</f>
        <v/>
      </c>
      <c r="P1293" s="22" t="str">
        <f aca="false">IF($X1293="","",O1293*N1293)</f>
        <v/>
      </c>
      <c r="Q1293" s="23" t="str">
        <f aca="false">IF($X1293="","",Settings!$C$6)</f>
        <v/>
      </c>
      <c r="R1293" s="22" t="str">
        <f aca="false">IF($X1293="","",SUMIFS('Per Line'!$Y$2:$Y$4001,'Per Line'!$D$2:$D$4001,$B1293,'Per Line'!$AJ$2:$AJ$4001,1))</f>
        <v/>
      </c>
      <c r="S1293" s="22" t="str">
        <f aca="false">IF($X1293="","",R1293*Q1293)</f>
        <v/>
      </c>
      <c r="T1293" s="22" t="str">
        <f aca="false">IF($X1293="","",S1293+P1293)</f>
        <v/>
      </c>
      <c r="U1293" s="22" t="str">
        <f aca="false">IF($X1293="","",V1293-T1293)</f>
        <v/>
      </c>
      <c r="V1293" s="22" t="str">
        <f aca="false">IF($X1293="","",O1293+R1293)</f>
        <v/>
      </c>
      <c r="W1293" s="22" t="str">
        <f aca="false">IF($X1293="","",U1293-L1293)</f>
        <v/>
      </c>
      <c r="X1293" s="24" t="str">
        <f aca="false">IF(ROWS($X$2:$X1293)&lt;=MAX('Per Line'!$AI$2:$AI$4001),MATCH(ROWS($X$2:$X1293),'Per Line'!$AI$2:$AI$4001,0),"")</f>
        <v/>
      </c>
    </row>
    <row r="1294" customFormat="false" ht="15" hidden="false" customHeight="false" outlineLevel="0" collapsed="false">
      <c r="A1294" s="19"/>
      <c r="B1294" s="20" t="str">
        <f aca="false">IF($X1294="","",INDEX('Per Line'!$D$2:$D$4001,$X1294))</f>
        <v/>
      </c>
      <c r="C1294" s="20" t="str">
        <f aca="false">IF($X1294="","",INDEX('Per Line'!$C$2:$C$4001,$X1294))</f>
        <v/>
      </c>
      <c r="D1294" s="20" t="str">
        <f aca="false">IF($X1294="","",INDEX('Per Line'!$A$2:$A$4001,$X1294))</f>
        <v/>
      </c>
      <c r="E1294" s="21" t="str">
        <f aca="false">IF($X1294="","",INDEX('Per Line'!$F$2:$F$4001,$X1294))</f>
        <v/>
      </c>
      <c r="F1294" s="20" t="str">
        <f aca="false">IF($X1294="","",INDEX('Per Line'!$G$2:$G$4001,$X1294))</f>
        <v/>
      </c>
      <c r="G1294" s="20" t="str">
        <f aca="false">IF($X1294="","",INDEX('Per Line'!$I$2:$I$4001,$X1294))</f>
        <v/>
      </c>
      <c r="H1294" s="20" t="str">
        <f aca="false">IF($X1294="","",INDEX('Per Line'!$J$2:$J$4001,$X1294))</f>
        <v/>
      </c>
      <c r="I1294" s="20" t="str">
        <f aca="false">IF($X1294="","",INDEX('Per Line'!$K$2:$K$4001,$X1294))</f>
        <v/>
      </c>
      <c r="J1294" s="20" t="str">
        <f aca="false">IF($X1294="","",INDEX('Per Line'!$L$2:$L$4001,$X1294))</f>
        <v/>
      </c>
      <c r="K1294" s="20" t="str">
        <f aca="false">IF($X1294="","",INDEX('Per Line'!$M$2:$M$4001,$X1294))</f>
        <v/>
      </c>
      <c r="L1294" s="22" t="str">
        <f aca="false">IF($X1294="","",K1294*V1294/100)</f>
        <v/>
      </c>
      <c r="M1294" s="20" t="str">
        <f aca="false">IF($X1294="","",INDEX('Per Line'!$Z$2:$Z$4001,$X1294))</f>
        <v/>
      </c>
      <c r="N1294" s="23" t="str">
        <f aca="false">IF($X1294="","",Settings!$C$7)</f>
        <v/>
      </c>
      <c r="O1294" s="22" t="str">
        <f aca="false">IF($X1294="","",SUMIFS('Per Line'!$Y$2:$Y$4001,'Per Line'!$D$2:$D$4001,$B1294,'Per Line'!$AJ$2:$AJ$4001,0))</f>
        <v/>
      </c>
      <c r="P1294" s="22" t="str">
        <f aca="false">IF($X1294="","",O1294*N1294)</f>
        <v/>
      </c>
      <c r="Q1294" s="23" t="str">
        <f aca="false">IF($X1294="","",Settings!$C$6)</f>
        <v/>
      </c>
      <c r="R1294" s="22" t="str">
        <f aca="false">IF($X1294="","",SUMIFS('Per Line'!$Y$2:$Y$4001,'Per Line'!$D$2:$D$4001,$B1294,'Per Line'!$AJ$2:$AJ$4001,1))</f>
        <v/>
      </c>
      <c r="S1294" s="22" t="str">
        <f aca="false">IF($X1294="","",R1294*Q1294)</f>
        <v/>
      </c>
      <c r="T1294" s="22" t="str">
        <f aca="false">IF($X1294="","",S1294+P1294)</f>
        <v/>
      </c>
      <c r="U1294" s="22" t="str">
        <f aca="false">IF($X1294="","",V1294-T1294)</f>
        <v/>
      </c>
      <c r="V1294" s="22" t="str">
        <f aca="false">IF($X1294="","",O1294+R1294)</f>
        <v/>
      </c>
      <c r="W1294" s="22" t="str">
        <f aca="false">IF($X1294="","",U1294-L1294)</f>
        <v/>
      </c>
      <c r="X1294" s="24" t="str">
        <f aca="false">IF(ROWS($X$2:$X1294)&lt;=MAX('Per Line'!$AI$2:$AI$4001),MATCH(ROWS($X$2:$X1294),'Per Line'!$AI$2:$AI$4001,0),"")</f>
        <v/>
      </c>
    </row>
    <row r="1295" customFormat="false" ht="15" hidden="false" customHeight="false" outlineLevel="0" collapsed="false">
      <c r="A1295" s="19"/>
      <c r="B1295" s="20" t="str">
        <f aca="false">IF($X1295="","",INDEX('Per Line'!$D$2:$D$4001,$X1295))</f>
        <v/>
      </c>
      <c r="C1295" s="20" t="str">
        <f aca="false">IF($X1295="","",INDEX('Per Line'!$C$2:$C$4001,$X1295))</f>
        <v/>
      </c>
      <c r="D1295" s="20" t="str">
        <f aca="false">IF($X1295="","",INDEX('Per Line'!$A$2:$A$4001,$X1295))</f>
        <v/>
      </c>
      <c r="E1295" s="21" t="str">
        <f aca="false">IF($X1295="","",INDEX('Per Line'!$F$2:$F$4001,$X1295))</f>
        <v/>
      </c>
      <c r="F1295" s="20" t="str">
        <f aca="false">IF($X1295="","",INDEX('Per Line'!$G$2:$G$4001,$X1295))</f>
        <v/>
      </c>
      <c r="G1295" s="20" t="str">
        <f aca="false">IF($X1295="","",INDEX('Per Line'!$I$2:$I$4001,$X1295))</f>
        <v/>
      </c>
      <c r="H1295" s="20" t="str">
        <f aca="false">IF($X1295="","",INDEX('Per Line'!$J$2:$J$4001,$X1295))</f>
        <v/>
      </c>
      <c r="I1295" s="20" t="str">
        <f aca="false">IF($X1295="","",INDEX('Per Line'!$K$2:$K$4001,$X1295))</f>
        <v/>
      </c>
      <c r="J1295" s="20" t="str">
        <f aca="false">IF($X1295="","",INDEX('Per Line'!$L$2:$L$4001,$X1295))</f>
        <v/>
      </c>
      <c r="K1295" s="20" t="str">
        <f aca="false">IF($X1295="","",INDEX('Per Line'!$M$2:$M$4001,$X1295))</f>
        <v/>
      </c>
      <c r="L1295" s="22" t="str">
        <f aca="false">IF($X1295="","",K1295*V1295/100)</f>
        <v/>
      </c>
      <c r="M1295" s="20" t="str">
        <f aca="false">IF($X1295="","",INDEX('Per Line'!$Z$2:$Z$4001,$X1295))</f>
        <v/>
      </c>
      <c r="N1295" s="23" t="str">
        <f aca="false">IF($X1295="","",Settings!$C$7)</f>
        <v/>
      </c>
      <c r="O1295" s="22" t="str">
        <f aca="false">IF($X1295="","",SUMIFS('Per Line'!$Y$2:$Y$4001,'Per Line'!$D$2:$D$4001,$B1295,'Per Line'!$AJ$2:$AJ$4001,0))</f>
        <v/>
      </c>
      <c r="P1295" s="22" t="str">
        <f aca="false">IF($X1295="","",O1295*N1295)</f>
        <v/>
      </c>
      <c r="Q1295" s="23" t="str">
        <f aca="false">IF($X1295="","",Settings!$C$6)</f>
        <v/>
      </c>
      <c r="R1295" s="22" t="str">
        <f aca="false">IF($X1295="","",SUMIFS('Per Line'!$Y$2:$Y$4001,'Per Line'!$D$2:$D$4001,$B1295,'Per Line'!$AJ$2:$AJ$4001,1))</f>
        <v/>
      </c>
      <c r="S1295" s="22" t="str">
        <f aca="false">IF($X1295="","",R1295*Q1295)</f>
        <v/>
      </c>
      <c r="T1295" s="22" t="str">
        <f aca="false">IF($X1295="","",S1295+P1295)</f>
        <v/>
      </c>
      <c r="U1295" s="22" t="str">
        <f aca="false">IF($X1295="","",V1295-T1295)</f>
        <v/>
      </c>
      <c r="V1295" s="22" t="str">
        <f aca="false">IF($X1295="","",O1295+R1295)</f>
        <v/>
      </c>
      <c r="W1295" s="22" t="str">
        <f aca="false">IF($X1295="","",U1295-L1295)</f>
        <v/>
      </c>
      <c r="X1295" s="24" t="str">
        <f aca="false">IF(ROWS($X$2:$X1295)&lt;=MAX('Per Line'!$AI$2:$AI$4001),MATCH(ROWS($X$2:$X1295),'Per Line'!$AI$2:$AI$4001,0),"")</f>
        <v/>
      </c>
    </row>
    <row r="1296" customFormat="false" ht="15" hidden="false" customHeight="false" outlineLevel="0" collapsed="false">
      <c r="A1296" s="19"/>
      <c r="B1296" s="20" t="str">
        <f aca="false">IF($X1296="","",INDEX('Per Line'!$D$2:$D$4001,$X1296))</f>
        <v/>
      </c>
      <c r="C1296" s="20" t="str">
        <f aca="false">IF($X1296="","",INDEX('Per Line'!$C$2:$C$4001,$X1296))</f>
        <v/>
      </c>
      <c r="D1296" s="20" t="str">
        <f aca="false">IF($X1296="","",INDEX('Per Line'!$A$2:$A$4001,$X1296))</f>
        <v/>
      </c>
      <c r="E1296" s="21" t="str">
        <f aca="false">IF($X1296="","",INDEX('Per Line'!$F$2:$F$4001,$X1296))</f>
        <v/>
      </c>
      <c r="F1296" s="20" t="str">
        <f aca="false">IF($X1296="","",INDEX('Per Line'!$G$2:$G$4001,$X1296))</f>
        <v/>
      </c>
      <c r="G1296" s="20" t="str">
        <f aca="false">IF($X1296="","",INDEX('Per Line'!$I$2:$I$4001,$X1296))</f>
        <v/>
      </c>
      <c r="H1296" s="20" t="str">
        <f aca="false">IF($X1296="","",INDEX('Per Line'!$J$2:$J$4001,$X1296))</f>
        <v/>
      </c>
      <c r="I1296" s="20" t="str">
        <f aca="false">IF($X1296="","",INDEX('Per Line'!$K$2:$K$4001,$X1296))</f>
        <v/>
      </c>
      <c r="J1296" s="20" t="str">
        <f aca="false">IF($X1296="","",INDEX('Per Line'!$L$2:$L$4001,$X1296))</f>
        <v/>
      </c>
      <c r="K1296" s="20" t="str">
        <f aca="false">IF($X1296="","",INDEX('Per Line'!$M$2:$M$4001,$X1296))</f>
        <v/>
      </c>
      <c r="L1296" s="22" t="str">
        <f aca="false">IF($X1296="","",K1296*V1296/100)</f>
        <v/>
      </c>
      <c r="M1296" s="20" t="str">
        <f aca="false">IF($X1296="","",INDEX('Per Line'!$Z$2:$Z$4001,$X1296))</f>
        <v/>
      </c>
      <c r="N1296" s="23" t="str">
        <f aca="false">IF($X1296="","",Settings!$C$7)</f>
        <v/>
      </c>
      <c r="O1296" s="22" t="str">
        <f aca="false">IF($X1296="","",SUMIFS('Per Line'!$Y$2:$Y$4001,'Per Line'!$D$2:$D$4001,$B1296,'Per Line'!$AJ$2:$AJ$4001,0))</f>
        <v/>
      </c>
      <c r="P1296" s="22" t="str">
        <f aca="false">IF($X1296="","",O1296*N1296)</f>
        <v/>
      </c>
      <c r="Q1296" s="23" t="str">
        <f aca="false">IF($X1296="","",Settings!$C$6)</f>
        <v/>
      </c>
      <c r="R1296" s="22" t="str">
        <f aca="false">IF($X1296="","",SUMIFS('Per Line'!$Y$2:$Y$4001,'Per Line'!$D$2:$D$4001,$B1296,'Per Line'!$AJ$2:$AJ$4001,1))</f>
        <v/>
      </c>
      <c r="S1296" s="22" t="str">
        <f aca="false">IF($X1296="","",R1296*Q1296)</f>
        <v/>
      </c>
      <c r="T1296" s="22" t="str">
        <f aca="false">IF($X1296="","",S1296+P1296)</f>
        <v/>
      </c>
      <c r="U1296" s="22" t="str">
        <f aca="false">IF($X1296="","",V1296-T1296)</f>
        <v/>
      </c>
      <c r="V1296" s="22" t="str">
        <f aca="false">IF($X1296="","",O1296+R1296)</f>
        <v/>
      </c>
      <c r="W1296" s="22" t="str">
        <f aca="false">IF($X1296="","",U1296-L1296)</f>
        <v/>
      </c>
      <c r="X1296" s="24" t="str">
        <f aca="false">IF(ROWS($X$2:$X1296)&lt;=MAX('Per Line'!$AI$2:$AI$4001),MATCH(ROWS($X$2:$X1296),'Per Line'!$AI$2:$AI$4001,0),"")</f>
        <v/>
      </c>
    </row>
    <row r="1297" customFormat="false" ht="15" hidden="false" customHeight="false" outlineLevel="0" collapsed="false">
      <c r="A1297" s="19"/>
      <c r="B1297" s="20" t="str">
        <f aca="false">IF($X1297="","",INDEX('Per Line'!$D$2:$D$4001,$X1297))</f>
        <v/>
      </c>
      <c r="C1297" s="20" t="str">
        <f aca="false">IF($X1297="","",INDEX('Per Line'!$C$2:$C$4001,$X1297))</f>
        <v/>
      </c>
      <c r="D1297" s="20" t="str">
        <f aca="false">IF($X1297="","",INDEX('Per Line'!$A$2:$A$4001,$X1297))</f>
        <v/>
      </c>
      <c r="E1297" s="21" t="str">
        <f aca="false">IF($X1297="","",INDEX('Per Line'!$F$2:$F$4001,$X1297))</f>
        <v/>
      </c>
      <c r="F1297" s="20" t="str">
        <f aca="false">IF($X1297="","",INDEX('Per Line'!$G$2:$G$4001,$X1297))</f>
        <v/>
      </c>
      <c r="G1297" s="20" t="str">
        <f aca="false">IF($X1297="","",INDEX('Per Line'!$I$2:$I$4001,$X1297))</f>
        <v/>
      </c>
      <c r="H1297" s="20" t="str">
        <f aca="false">IF($X1297="","",INDEX('Per Line'!$J$2:$J$4001,$X1297))</f>
        <v/>
      </c>
      <c r="I1297" s="20" t="str">
        <f aca="false">IF($X1297="","",INDEX('Per Line'!$K$2:$K$4001,$X1297))</f>
        <v/>
      </c>
      <c r="J1297" s="20" t="str">
        <f aca="false">IF($X1297="","",INDEX('Per Line'!$L$2:$L$4001,$X1297))</f>
        <v/>
      </c>
      <c r="K1297" s="20" t="str">
        <f aca="false">IF($X1297="","",INDEX('Per Line'!$M$2:$M$4001,$X1297))</f>
        <v/>
      </c>
      <c r="L1297" s="22" t="str">
        <f aca="false">IF($X1297="","",K1297*V1297/100)</f>
        <v/>
      </c>
      <c r="M1297" s="20" t="str">
        <f aca="false">IF($X1297="","",INDEX('Per Line'!$Z$2:$Z$4001,$X1297))</f>
        <v/>
      </c>
      <c r="N1297" s="23" t="str">
        <f aca="false">IF($X1297="","",Settings!$C$7)</f>
        <v/>
      </c>
      <c r="O1297" s="22" t="str">
        <f aca="false">IF($X1297="","",SUMIFS('Per Line'!$Y$2:$Y$4001,'Per Line'!$D$2:$D$4001,$B1297,'Per Line'!$AJ$2:$AJ$4001,0))</f>
        <v/>
      </c>
      <c r="P1297" s="22" t="str">
        <f aca="false">IF($X1297="","",O1297*N1297)</f>
        <v/>
      </c>
      <c r="Q1297" s="23" t="str">
        <f aca="false">IF($X1297="","",Settings!$C$6)</f>
        <v/>
      </c>
      <c r="R1297" s="22" t="str">
        <f aca="false">IF($X1297="","",SUMIFS('Per Line'!$Y$2:$Y$4001,'Per Line'!$D$2:$D$4001,$B1297,'Per Line'!$AJ$2:$AJ$4001,1))</f>
        <v/>
      </c>
      <c r="S1297" s="22" t="str">
        <f aca="false">IF($X1297="","",R1297*Q1297)</f>
        <v/>
      </c>
      <c r="T1297" s="22" t="str">
        <f aca="false">IF($X1297="","",S1297+P1297)</f>
        <v/>
      </c>
      <c r="U1297" s="22" t="str">
        <f aca="false">IF($X1297="","",V1297-T1297)</f>
        <v/>
      </c>
      <c r="V1297" s="22" t="str">
        <f aca="false">IF($X1297="","",O1297+R1297)</f>
        <v/>
      </c>
      <c r="W1297" s="22" t="str">
        <f aca="false">IF($X1297="","",U1297-L1297)</f>
        <v/>
      </c>
      <c r="X1297" s="24" t="str">
        <f aca="false">IF(ROWS($X$2:$X1297)&lt;=MAX('Per Line'!$AI$2:$AI$4001),MATCH(ROWS($X$2:$X1297),'Per Line'!$AI$2:$AI$4001,0),"")</f>
        <v/>
      </c>
    </row>
    <row r="1298" customFormat="false" ht="15" hidden="false" customHeight="false" outlineLevel="0" collapsed="false">
      <c r="A1298" s="19"/>
      <c r="B1298" s="20" t="str">
        <f aca="false">IF($X1298="","",INDEX('Per Line'!$D$2:$D$4001,$X1298))</f>
        <v/>
      </c>
      <c r="C1298" s="20" t="str">
        <f aca="false">IF($X1298="","",INDEX('Per Line'!$C$2:$C$4001,$X1298))</f>
        <v/>
      </c>
      <c r="D1298" s="20" t="str">
        <f aca="false">IF($X1298="","",INDEX('Per Line'!$A$2:$A$4001,$X1298))</f>
        <v/>
      </c>
      <c r="E1298" s="21" t="str">
        <f aca="false">IF($X1298="","",INDEX('Per Line'!$F$2:$F$4001,$X1298))</f>
        <v/>
      </c>
      <c r="F1298" s="20" t="str">
        <f aca="false">IF($X1298="","",INDEX('Per Line'!$G$2:$G$4001,$X1298))</f>
        <v/>
      </c>
      <c r="G1298" s="20" t="str">
        <f aca="false">IF($X1298="","",INDEX('Per Line'!$I$2:$I$4001,$X1298))</f>
        <v/>
      </c>
      <c r="H1298" s="20" t="str">
        <f aca="false">IF($X1298="","",INDEX('Per Line'!$J$2:$J$4001,$X1298))</f>
        <v/>
      </c>
      <c r="I1298" s="20" t="str">
        <f aca="false">IF($X1298="","",INDEX('Per Line'!$K$2:$K$4001,$X1298))</f>
        <v/>
      </c>
      <c r="J1298" s="20" t="str">
        <f aca="false">IF($X1298="","",INDEX('Per Line'!$L$2:$L$4001,$X1298))</f>
        <v/>
      </c>
      <c r="K1298" s="20" t="str">
        <f aca="false">IF($X1298="","",INDEX('Per Line'!$M$2:$M$4001,$X1298))</f>
        <v/>
      </c>
      <c r="L1298" s="22" t="str">
        <f aca="false">IF($X1298="","",K1298*V1298/100)</f>
        <v/>
      </c>
      <c r="M1298" s="20" t="str">
        <f aca="false">IF($X1298="","",INDEX('Per Line'!$Z$2:$Z$4001,$X1298))</f>
        <v/>
      </c>
      <c r="N1298" s="23" t="str">
        <f aca="false">IF($X1298="","",Settings!$C$7)</f>
        <v/>
      </c>
      <c r="O1298" s="22" t="str">
        <f aca="false">IF($X1298="","",SUMIFS('Per Line'!$Y$2:$Y$4001,'Per Line'!$D$2:$D$4001,$B1298,'Per Line'!$AJ$2:$AJ$4001,0))</f>
        <v/>
      </c>
      <c r="P1298" s="22" t="str">
        <f aca="false">IF($X1298="","",O1298*N1298)</f>
        <v/>
      </c>
      <c r="Q1298" s="23" t="str">
        <f aca="false">IF($X1298="","",Settings!$C$6)</f>
        <v/>
      </c>
      <c r="R1298" s="22" t="str">
        <f aca="false">IF($X1298="","",SUMIFS('Per Line'!$Y$2:$Y$4001,'Per Line'!$D$2:$D$4001,$B1298,'Per Line'!$AJ$2:$AJ$4001,1))</f>
        <v/>
      </c>
      <c r="S1298" s="22" t="str">
        <f aca="false">IF($X1298="","",R1298*Q1298)</f>
        <v/>
      </c>
      <c r="T1298" s="22" t="str">
        <f aca="false">IF($X1298="","",S1298+P1298)</f>
        <v/>
      </c>
      <c r="U1298" s="22" t="str">
        <f aca="false">IF($X1298="","",V1298-T1298)</f>
        <v/>
      </c>
      <c r="V1298" s="22" t="str">
        <f aca="false">IF($X1298="","",O1298+R1298)</f>
        <v/>
      </c>
      <c r="W1298" s="22" t="str">
        <f aca="false">IF($X1298="","",U1298-L1298)</f>
        <v/>
      </c>
      <c r="X1298" s="24" t="str">
        <f aca="false">IF(ROWS($X$2:$X1298)&lt;=MAX('Per Line'!$AI$2:$AI$4001),MATCH(ROWS($X$2:$X1298),'Per Line'!$AI$2:$AI$4001,0),"")</f>
        <v/>
      </c>
    </row>
    <row r="1299" customFormat="false" ht="15" hidden="false" customHeight="false" outlineLevel="0" collapsed="false">
      <c r="A1299" s="19"/>
      <c r="B1299" s="20" t="str">
        <f aca="false">IF($X1299="","",INDEX('Per Line'!$D$2:$D$4001,$X1299))</f>
        <v/>
      </c>
      <c r="C1299" s="20" t="str">
        <f aca="false">IF($X1299="","",INDEX('Per Line'!$C$2:$C$4001,$X1299))</f>
        <v/>
      </c>
      <c r="D1299" s="20" t="str">
        <f aca="false">IF($X1299="","",INDEX('Per Line'!$A$2:$A$4001,$X1299))</f>
        <v/>
      </c>
      <c r="E1299" s="21" t="str">
        <f aca="false">IF($X1299="","",INDEX('Per Line'!$F$2:$F$4001,$X1299))</f>
        <v/>
      </c>
      <c r="F1299" s="20" t="str">
        <f aca="false">IF($X1299="","",INDEX('Per Line'!$G$2:$G$4001,$X1299))</f>
        <v/>
      </c>
      <c r="G1299" s="20" t="str">
        <f aca="false">IF($X1299="","",INDEX('Per Line'!$I$2:$I$4001,$X1299))</f>
        <v/>
      </c>
      <c r="H1299" s="20" t="str">
        <f aca="false">IF($X1299="","",INDEX('Per Line'!$J$2:$J$4001,$X1299))</f>
        <v/>
      </c>
      <c r="I1299" s="20" t="str">
        <f aca="false">IF($X1299="","",INDEX('Per Line'!$K$2:$K$4001,$X1299))</f>
        <v/>
      </c>
      <c r="J1299" s="20" t="str">
        <f aca="false">IF($X1299="","",INDEX('Per Line'!$L$2:$L$4001,$X1299))</f>
        <v/>
      </c>
      <c r="K1299" s="20" t="str">
        <f aca="false">IF($X1299="","",INDEX('Per Line'!$M$2:$M$4001,$X1299))</f>
        <v/>
      </c>
      <c r="L1299" s="22" t="str">
        <f aca="false">IF($X1299="","",K1299*V1299/100)</f>
        <v/>
      </c>
      <c r="M1299" s="20" t="str">
        <f aca="false">IF($X1299="","",INDEX('Per Line'!$Z$2:$Z$4001,$X1299))</f>
        <v/>
      </c>
      <c r="N1299" s="23" t="str">
        <f aca="false">IF($X1299="","",Settings!$C$7)</f>
        <v/>
      </c>
      <c r="O1299" s="22" t="str">
        <f aca="false">IF($X1299="","",SUMIFS('Per Line'!$Y$2:$Y$4001,'Per Line'!$D$2:$D$4001,$B1299,'Per Line'!$AJ$2:$AJ$4001,0))</f>
        <v/>
      </c>
      <c r="P1299" s="22" t="str">
        <f aca="false">IF($X1299="","",O1299*N1299)</f>
        <v/>
      </c>
      <c r="Q1299" s="23" t="str">
        <f aca="false">IF($X1299="","",Settings!$C$6)</f>
        <v/>
      </c>
      <c r="R1299" s="22" t="str">
        <f aca="false">IF($X1299="","",SUMIFS('Per Line'!$Y$2:$Y$4001,'Per Line'!$D$2:$D$4001,$B1299,'Per Line'!$AJ$2:$AJ$4001,1))</f>
        <v/>
      </c>
      <c r="S1299" s="22" t="str">
        <f aca="false">IF($X1299="","",R1299*Q1299)</f>
        <v/>
      </c>
      <c r="T1299" s="22" t="str">
        <f aca="false">IF($X1299="","",S1299+P1299)</f>
        <v/>
      </c>
      <c r="U1299" s="22" t="str">
        <f aca="false">IF($X1299="","",V1299-T1299)</f>
        <v/>
      </c>
      <c r="V1299" s="22" t="str">
        <f aca="false">IF($X1299="","",O1299+R1299)</f>
        <v/>
      </c>
      <c r="W1299" s="22" t="str">
        <f aca="false">IF($X1299="","",U1299-L1299)</f>
        <v/>
      </c>
      <c r="X1299" s="24" t="str">
        <f aca="false">IF(ROWS($X$2:$X1299)&lt;=MAX('Per Line'!$AI$2:$AI$4001),MATCH(ROWS($X$2:$X1299),'Per Line'!$AI$2:$AI$4001,0),"")</f>
        <v/>
      </c>
    </row>
    <row r="1300" customFormat="false" ht="15" hidden="false" customHeight="false" outlineLevel="0" collapsed="false">
      <c r="A1300" s="19"/>
      <c r="B1300" s="20" t="str">
        <f aca="false">IF($X1300="","",INDEX('Per Line'!$D$2:$D$4001,$X1300))</f>
        <v/>
      </c>
      <c r="C1300" s="20" t="str">
        <f aca="false">IF($X1300="","",INDEX('Per Line'!$C$2:$C$4001,$X1300))</f>
        <v/>
      </c>
      <c r="D1300" s="20" t="str">
        <f aca="false">IF($X1300="","",INDEX('Per Line'!$A$2:$A$4001,$X1300))</f>
        <v/>
      </c>
      <c r="E1300" s="21" t="str">
        <f aca="false">IF($X1300="","",INDEX('Per Line'!$F$2:$F$4001,$X1300))</f>
        <v/>
      </c>
      <c r="F1300" s="20" t="str">
        <f aca="false">IF($X1300="","",INDEX('Per Line'!$G$2:$G$4001,$X1300))</f>
        <v/>
      </c>
      <c r="G1300" s="20" t="str">
        <f aca="false">IF($X1300="","",INDEX('Per Line'!$I$2:$I$4001,$X1300))</f>
        <v/>
      </c>
      <c r="H1300" s="20" t="str">
        <f aca="false">IF($X1300="","",INDEX('Per Line'!$J$2:$J$4001,$X1300))</f>
        <v/>
      </c>
      <c r="I1300" s="20" t="str">
        <f aca="false">IF($X1300="","",INDEX('Per Line'!$K$2:$K$4001,$X1300))</f>
        <v/>
      </c>
      <c r="J1300" s="20" t="str">
        <f aca="false">IF($X1300="","",INDEX('Per Line'!$L$2:$L$4001,$X1300))</f>
        <v/>
      </c>
      <c r="K1300" s="20" t="str">
        <f aca="false">IF($X1300="","",INDEX('Per Line'!$M$2:$M$4001,$X1300))</f>
        <v/>
      </c>
      <c r="L1300" s="22" t="str">
        <f aca="false">IF($X1300="","",K1300*V1300/100)</f>
        <v/>
      </c>
      <c r="M1300" s="20" t="str">
        <f aca="false">IF($X1300="","",INDEX('Per Line'!$Z$2:$Z$4001,$X1300))</f>
        <v/>
      </c>
      <c r="N1300" s="23" t="str">
        <f aca="false">IF($X1300="","",Settings!$C$7)</f>
        <v/>
      </c>
      <c r="O1300" s="22" t="str">
        <f aca="false">IF($X1300="","",SUMIFS('Per Line'!$Y$2:$Y$4001,'Per Line'!$D$2:$D$4001,$B1300,'Per Line'!$AJ$2:$AJ$4001,0))</f>
        <v/>
      </c>
      <c r="P1300" s="22" t="str">
        <f aca="false">IF($X1300="","",O1300*N1300)</f>
        <v/>
      </c>
      <c r="Q1300" s="23" t="str">
        <f aca="false">IF($X1300="","",Settings!$C$6)</f>
        <v/>
      </c>
      <c r="R1300" s="22" t="str">
        <f aca="false">IF($X1300="","",SUMIFS('Per Line'!$Y$2:$Y$4001,'Per Line'!$D$2:$D$4001,$B1300,'Per Line'!$AJ$2:$AJ$4001,1))</f>
        <v/>
      </c>
      <c r="S1300" s="22" t="str">
        <f aca="false">IF($X1300="","",R1300*Q1300)</f>
        <v/>
      </c>
      <c r="T1300" s="22" t="str">
        <f aca="false">IF($X1300="","",S1300+P1300)</f>
        <v/>
      </c>
      <c r="U1300" s="22" t="str">
        <f aca="false">IF($X1300="","",V1300-T1300)</f>
        <v/>
      </c>
      <c r="V1300" s="22" t="str">
        <f aca="false">IF($X1300="","",O1300+R1300)</f>
        <v/>
      </c>
      <c r="W1300" s="22" t="str">
        <f aca="false">IF($X1300="","",U1300-L1300)</f>
        <v/>
      </c>
      <c r="X1300" s="24" t="str">
        <f aca="false">IF(ROWS($X$2:$X1300)&lt;=MAX('Per Line'!$AI$2:$AI$4001),MATCH(ROWS($X$2:$X1300),'Per Line'!$AI$2:$AI$4001,0),"")</f>
        <v/>
      </c>
    </row>
    <row r="1301" customFormat="false" ht="15" hidden="false" customHeight="false" outlineLevel="0" collapsed="false">
      <c r="A1301" s="19"/>
      <c r="B1301" s="20" t="str">
        <f aca="false">IF($X1301="","",INDEX('Per Line'!$D$2:$D$4001,$X1301))</f>
        <v/>
      </c>
      <c r="C1301" s="20" t="str">
        <f aca="false">IF($X1301="","",INDEX('Per Line'!$C$2:$C$4001,$X1301))</f>
        <v/>
      </c>
      <c r="D1301" s="20" t="str">
        <f aca="false">IF($X1301="","",INDEX('Per Line'!$A$2:$A$4001,$X1301))</f>
        <v/>
      </c>
      <c r="E1301" s="21" t="str">
        <f aca="false">IF($X1301="","",INDEX('Per Line'!$F$2:$F$4001,$X1301))</f>
        <v/>
      </c>
      <c r="F1301" s="20" t="str">
        <f aca="false">IF($X1301="","",INDEX('Per Line'!$G$2:$G$4001,$X1301))</f>
        <v/>
      </c>
      <c r="G1301" s="20" t="str">
        <f aca="false">IF($X1301="","",INDEX('Per Line'!$I$2:$I$4001,$X1301))</f>
        <v/>
      </c>
      <c r="H1301" s="20" t="str">
        <f aca="false">IF($X1301="","",INDEX('Per Line'!$J$2:$J$4001,$X1301))</f>
        <v/>
      </c>
      <c r="I1301" s="20" t="str">
        <f aca="false">IF($X1301="","",INDEX('Per Line'!$K$2:$K$4001,$X1301))</f>
        <v/>
      </c>
      <c r="J1301" s="20" t="str">
        <f aca="false">IF($X1301="","",INDEX('Per Line'!$L$2:$L$4001,$X1301))</f>
        <v/>
      </c>
      <c r="K1301" s="20" t="str">
        <f aca="false">IF($X1301="","",INDEX('Per Line'!$M$2:$M$4001,$X1301))</f>
        <v/>
      </c>
      <c r="L1301" s="22" t="str">
        <f aca="false">IF($X1301="","",K1301*V1301/100)</f>
        <v/>
      </c>
      <c r="M1301" s="20" t="str">
        <f aca="false">IF($X1301="","",INDEX('Per Line'!$Z$2:$Z$4001,$X1301))</f>
        <v/>
      </c>
      <c r="N1301" s="23" t="str">
        <f aca="false">IF($X1301="","",Settings!$C$7)</f>
        <v/>
      </c>
      <c r="O1301" s="22" t="str">
        <f aca="false">IF($X1301="","",SUMIFS('Per Line'!$Y$2:$Y$4001,'Per Line'!$D$2:$D$4001,$B1301,'Per Line'!$AJ$2:$AJ$4001,0))</f>
        <v/>
      </c>
      <c r="P1301" s="22" t="str">
        <f aca="false">IF($X1301="","",O1301*N1301)</f>
        <v/>
      </c>
      <c r="Q1301" s="23" t="str">
        <f aca="false">IF($X1301="","",Settings!$C$6)</f>
        <v/>
      </c>
      <c r="R1301" s="22" t="str">
        <f aca="false">IF($X1301="","",SUMIFS('Per Line'!$Y$2:$Y$4001,'Per Line'!$D$2:$D$4001,$B1301,'Per Line'!$AJ$2:$AJ$4001,1))</f>
        <v/>
      </c>
      <c r="S1301" s="22" t="str">
        <f aca="false">IF($X1301="","",R1301*Q1301)</f>
        <v/>
      </c>
      <c r="T1301" s="22" t="str">
        <f aca="false">IF($X1301="","",S1301+P1301)</f>
        <v/>
      </c>
      <c r="U1301" s="22" t="str">
        <f aca="false">IF($X1301="","",V1301-T1301)</f>
        <v/>
      </c>
      <c r="V1301" s="22" t="str">
        <f aca="false">IF($X1301="","",O1301+R1301)</f>
        <v/>
      </c>
      <c r="W1301" s="22" t="str">
        <f aca="false">IF($X1301="","",U1301-L1301)</f>
        <v/>
      </c>
      <c r="X1301" s="24" t="str">
        <f aca="false">IF(ROWS($X$2:$X1301)&lt;=MAX('Per Line'!$AI$2:$AI$4001),MATCH(ROWS($X$2:$X1301),'Per Line'!$AI$2:$AI$4001,0),"")</f>
        <v/>
      </c>
    </row>
    <row r="1302" customFormat="false" ht="15" hidden="false" customHeight="false" outlineLevel="0" collapsed="false">
      <c r="A1302" s="19"/>
      <c r="B1302" s="20" t="str">
        <f aca="false">IF($X1302="","",INDEX('Per Line'!$D$2:$D$4001,$X1302))</f>
        <v/>
      </c>
      <c r="C1302" s="20" t="str">
        <f aca="false">IF($X1302="","",INDEX('Per Line'!$C$2:$C$4001,$X1302))</f>
        <v/>
      </c>
      <c r="D1302" s="20" t="str">
        <f aca="false">IF($X1302="","",INDEX('Per Line'!$A$2:$A$4001,$X1302))</f>
        <v/>
      </c>
      <c r="E1302" s="21" t="str">
        <f aca="false">IF($X1302="","",INDEX('Per Line'!$F$2:$F$4001,$X1302))</f>
        <v/>
      </c>
      <c r="F1302" s="20" t="str">
        <f aca="false">IF($X1302="","",INDEX('Per Line'!$G$2:$G$4001,$X1302))</f>
        <v/>
      </c>
      <c r="G1302" s="20" t="str">
        <f aca="false">IF($X1302="","",INDEX('Per Line'!$I$2:$I$4001,$X1302))</f>
        <v/>
      </c>
      <c r="H1302" s="20" t="str">
        <f aca="false">IF($X1302="","",INDEX('Per Line'!$J$2:$J$4001,$X1302))</f>
        <v/>
      </c>
      <c r="I1302" s="20" t="str">
        <f aca="false">IF($X1302="","",INDEX('Per Line'!$K$2:$K$4001,$X1302))</f>
        <v/>
      </c>
      <c r="J1302" s="20" t="str">
        <f aca="false">IF($X1302="","",INDEX('Per Line'!$L$2:$L$4001,$X1302))</f>
        <v/>
      </c>
      <c r="K1302" s="20" t="str">
        <f aca="false">IF($X1302="","",INDEX('Per Line'!$M$2:$M$4001,$X1302))</f>
        <v/>
      </c>
      <c r="L1302" s="22" t="str">
        <f aca="false">IF($X1302="","",K1302*V1302/100)</f>
        <v/>
      </c>
      <c r="M1302" s="20" t="str">
        <f aca="false">IF($X1302="","",INDEX('Per Line'!$Z$2:$Z$4001,$X1302))</f>
        <v/>
      </c>
      <c r="N1302" s="23" t="str">
        <f aca="false">IF($X1302="","",Settings!$C$7)</f>
        <v/>
      </c>
      <c r="O1302" s="22" t="str">
        <f aca="false">IF($X1302="","",SUMIFS('Per Line'!$Y$2:$Y$4001,'Per Line'!$D$2:$D$4001,$B1302,'Per Line'!$AJ$2:$AJ$4001,0))</f>
        <v/>
      </c>
      <c r="P1302" s="22" t="str">
        <f aca="false">IF($X1302="","",O1302*N1302)</f>
        <v/>
      </c>
      <c r="Q1302" s="23" t="str">
        <f aca="false">IF($X1302="","",Settings!$C$6)</f>
        <v/>
      </c>
      <c r="R1302" s="22" t="str">
        <f aca="false">IF($X1302="","",SUMIFS('Per Line'!$Y$2:$Y$4001,'Per Line'!$D$2:$D$4001,$B1302,'Per Line'!$AJ$2:$AJ$4001,1))</f>
        <v/>
      </c>
      <c r="S1302" s="22" t="str">
        <f aca="false">IF($X1302="","",R1302*Q1302)</f>
        <v/>
      </c>
      <c r="T1302" s="22" t="str">
        <f aca="false">IF($X1302="","",S1302+P1302)</f>
        <v/>
      </c>
      <c r="U1302" s="22" t="str">
        <f aca="false">IF($X1302="","",V1302-T1302)</f>
        <v/>
      </c>
      <c r="V1302" s="22" t="str">
        <f aca="false">IF($X1302="","",O1302+R1302)</f>
        <v/>
      </c>
      <c r="W1302" s="22" t="str">
        <f aca="false">IF($X1302="","",U1302-L1302)</f>
        <v/>
      </c>
      <c r="X1302" s="24" t="str">
        <f aca="false">IF(ROWS($X$2:$X1302)&lt;=MAX('Per Line'!$AI$2:$AI$4001),MATCH(ROWS($X$2:$X1302),'Per Line'!$AI$2:$AI$4001,0),"")</f>
        <v/>
      </c>
    </row>
    <row r="1303" customFormat="false" ht="15" hidden="false" customHeight="false" outlineLevel="0" collapsed="false">
      <c r="A1303" s="19"/>
      <c r="B1303" s="20" t="str">
        <f aca="false">IF($X1303="","",INDEX('Per Line'!$D$2:$D$4001,$X1303))</f>
        <v/>
      </c>
      <c r="C1303" s="20" t="str">
        <f aca="false">IF($X1303="","",INDEX('Per Line'!$C$2:$C$4001,$X1303))</f>
        <v/>
      </c>
      <c r="D1303" s="20" t="str">
        <f aca="false">IF($X1303="","",INDEX('Per Line'!$A$2:$A$4001,$X1303))</f>
        <v/>
      </c>
      <c r="E1303" s="21" t="str">
        <f aca="false">IF($X1303="","",INDEX('Per Line'!$F$2:$F$4001,$X1303))</f>
        <v/>
      </c>
      <c r="F1303" s="20" t="str">
        <f aca="false">IF($X1303="","",INDEX('Per Line'!$G$2:$G$4001,$X1303))</f>
        <v/>
      </c>
      <c r="G1303" s="20" t="str">
        <f aca="false">IF($X1303="","",INDEX('Per Line'!$I$2:$I$4001,$X1303))</f>
        <v/>
      </c>
      <c r="H1303" s="20" t="str">
        <f aca="false">IF($X1303="","",INDEX('Per Line'!$J$2:$J$4001,$X1303))</f>
        <v/>
      </c>
      <c r="I1303" s="20" t="str">
        <f aca="false">IF($X1303="","",INDEX('Per Line'!$K$2:$K$4001,$X1303))</f>
        <v/>
      </c>
      <c r="J1303" s="20" t="str">
        <f aca="false">IF($X1303="","",INDEX('Per Line'!$L$2:$L$4001,$X1303))</f>
        <v/>
      </c>
      <c r="K1303" s="20" t="str">
        <f aca="false">IF($X1303="","",INDEX('Per Line'!$M$2:$M$4001,$X1303))</f>
        <v/>
      </c>
      <c r="L1303" s="22" t="str">
        <f aca="false">IF($X1303="","",K1303*V1303/100)</f>
        <v/>
      </c>
      <c r="M1303" s="20" t="str">
        <f aca="false">IF($X1303="","",INDEX('Per Line'!$Z$2:$Z$4001,$X1303))</f>
        <v/>
      </c>
      <c r="N1303" s="23" t="str">
        <f aca="false">IF($X1303="","",Settings!$C$7)</f>
        <v/>
      </c>
      <c r="O1303" s="22" t="str">
        <f aca="false">IF($X1303="","",SUMIFS('Per Line'!$Y$2:$Y$4001,'Per Line'!$D$2:$D$4001,$B1303,'Per Line'!$AJ$2:$AJ$4001,0))</f>
        <v/>
      </c>
      <c r="P1303" s="22" t="str">
        <f aca="false">IF($X1303="","",O1303*N1303)</f>
        <v/>
      </c>
      <c r="Q1303" s="23" t="str">
        <f aca="false">IF($X1303="","",Settings!$C$6)</f>
        <v/>
      </c>
      <c r="R1303" s="22" t="str">
        <f aca="false">IF($X1303="","",SUMIFS('Per Line'!$Y$2:$Y$4001,'Per Line'!$D$2:$D$4001,$B1303,'Per Line'!$AJ$2:$AJ$4001,1))</f>
        <v/>
      </c>
      <c r="S1303" s="22" t="str">
        <f aca="false">IF($X1303="","",R1303*Q1303)</f>
        <v/>
      </c>
      <c r="T1303" s="22" t="str">
        <f aca="false">IF($X1303="","",S1303+P1303)</f>
        <v/>
      </c>
      <c r="U1303" s="22" t="str">
        <f aca="false">IF($X1303="","",V1303-T1303)</f>
        <v/>
      </c>
      <c r="V1303" s="22" t="str">
        <f aca="false">IF($X1303="","",O1303+R1303)</f>
        <v/>
      </c>
      <c r="W1303" s="22" t="str">
        <f aca="false">IF($X1303="","",U1303-L1303)</f>
        <v/>
      </c>
      <c r="X1303" s="24" t="str">
        <f aca="false">IF(ROWS($X$2:$X1303)&lt;=MAX('Per Line'!$AI$2:$AI$4001),MATCH(ROWS($X$2:$X1303),'Per Line'!$AI$2:$AI$4001,0),"")</f>
        <v/>
      </c>
    </row>
    <row r="1304" customFormat="false" ht="15" hidden="false" customHeight="false" outlineLevel="0" collapsed="false">
      <c r="A1304" s="19"/>
      <c r="B1304" s="20" t="str">
        <f aca="false">IF($X1304="","",INDEX('Per Line'!$D$2:$D$4001,$X1304))</f>
        <v/>
      </c>
      <c r="C1304" s="20" t="str">
        <f aca="false">IF($X1304="","",INDEX('Per Line'!$C$2:$C$4001,$X1304))</f>
        <v/>
      </c>
      <c r="D1304" s="20" t="str">
        <f aca="false">IF($X1304="","",INDEX('Per Line'!$A$2:$A$4001,$X1304))</f>
        <v/>
      </c>
      <c r="E1304" s="21" t="str">
        <f aca="false">IF($X1304="","",INDEX('Per Line'!$F$2:$F$4001,$X1304))</f>
        <v/>
      </c>
      <c r="F1304" s="20" t="str">
        <f aca="false">IF($X1304="","",INDEX('Per Line'!$G$2:$G$4001,$X1304))</f>
        <v/>
      </c>
      <c r="G1304" s="20" t="str">
        <f aca="false">IF($X1304="","",INDEX('Per Line'!$I$2:$I$4001,$X1304))</f>
        <v/>
      </c>
      <c r="H1304" s="20" t="str">
        <f aca="false">IF($X1304="","",INDEX('Per Line'!$J$2:$J$4001,$X1304))</f>
        <v/>
      </c>
      <c r="I1304" s="20" t="str">
        <f aca="false">IF($X1304="","",INDEX('Per Line'!$K$2:$K$4001,$X1304))</f>
        <v/>
      </c>
      <c r="J1304" s="20" t="str">
        <f aca="false">IF($X1304="","",INDEX('Per Line'!$L$2:$L$4001,$X1304))</f>
        <v/>
      </c>
      <c r="K1304" s="20" t="str">
        <f aca="false">IF($X1304="","",INDEX('Per Line'!$M$2:$M$4001,$X1304))</f>
        <v/>
      </c>
      <c r="L1304" s="22" t="str">
        <f aca="false">IF($X1304="","",K1304*V1304/100)</f>
        <v/>
      </c>
      <c r="M1304" s="20" t="str">
        <f aca="false">IF($X1304="","",INDEX('Per Line'!$Z$2:$Z$4001,$X1304))</f>
        <v/>
      </c>
      <c r="N1304" s="23" t="str">
        <f aca="false">IF($X1304="","",Settings!$C$7)</f>
        <v/>
      </c>
      <c r="O1304" s="22" t="str">
        <f aca="false">IF($X1304="","",SUMIFS('Per Line'!$Y$2:$Y$4001,'Per Line'!$D$2:$D$4001,$B1304,'Per Line'!$AJ$2:$AJ$4001,0))</f>
        <v/>
      </c>
      <c r="P1304" s="22" t="str">
        <f aca="false">IF($X1304="","",O1304*N1304)</f>
        <v/>
      </c>
      <c r="Q1304" s="23" t="str">
        <f aca="false">IF($X1304="","",Settings!$C$6)</f>
        <v/>
      </c>
      <c r="R1304" s="22" t="str">
        <f aca="false">IF($X1304="","",SUMIFS('Per Line'!$Y$2:$Y$4001,'Per Line'!$D$2:$D$4001,$B1304,'Per Line'!$AJ$2:$AJ$4001,1))</f>
        <v/>
      </c>
      <c r="S1304" s="22" t="str">
        <f aca="false">IF($X1304="","",R1304*Q1304)</f>
        <v/>
      </c>
      <c r="T1304" s="22" t="str">
        <f aca="false">IF($X1304="","",S1304+P1304)</f>
        <v/>
      </c>
      <c r="U1304" s="22" t="str">
        <f aca="false">IF($X1304="","",V1304-T1304)</f>
        <v/>
      </c>
      <c r="V1304" s="22" t="str">
        <f aca="false">IF($X1304="","",O1304+R1304)</f>
        <v/>
      </c>
      <c r="W1304" s="22" t="str">
        <f aca="false">IF($X1304="","",U1304-L1304)</f>
        <v/>
      </c>
      <c r="X1304" s="24" t="str">
        <f aca="false">IF(ROWS($X$2:$X1304)&lt;=MAX('Per Line'!$AI$2:$AI$4001),MATCH(ROWS($X$2:$X1304),'Per Line'!$AI$2:$AI$4001,0),"")</f>
        <v/>
      </c>
    </row>
    <row r="1305" customFormat="false" ht="15" hidden="false" customHeight="false" outlineLevel="0" collapsed="false">
      <c r="A1305" s="19"/>
      <c r="B1305" s="20" t="str">
        <f aca="false">IF($X1305="","",INDEX('Per Line'!$D$2:$D$4001,$X1305))</f>
        <v/>
      </c>
      <c r="C1305" s="20" t="str">
        <f aca="false">IF($X1305="","",INDEX('Per Line'!$C$2:$C$4001,$X1305))</f>
        <v/>
      </c>
      <c r="D1305" s="20" t="str">
        <f aca="false">IF($X1305="","",INDEX('Per Line'!$A$2:$A$4001,$X1305))</f>
        <v/>
      </c>
      <c r="E1305" s="21" t="str">
        <f aca="false">IF($X1305="","",INDEX('Per Line'!$F$2:$F$4001,$X1305))</f>
        <v/>
      </c>
      <c r="F1305" s="20" t="str">
        <f aca="false">IF($X1305="","",INDEX('Per Line'!$G$2:$G$4001,$X1305))</f>
        <v/>
      </c>
      <c r="G1305" s="20" t="str">
        <f aca="false">IF($X1305="","",INDEX('Per Line'!$I$2:$I$4001,$X1305))</f>
        <v/>
      </c>
      <c r="H1305" s="20" t="str">
        <f aca="false">IF($X1305="","",INDEX('Per Line'!$J$2:$J$4001,$X1305))</f>
        <v/>
      </c>
      <c r="I1305" s="20" t="str">
        <f aca="false">IF($X1305="","",INDEX('Per Line'!$K$2:$K$4001,$X1305))</f>
        <v/>
      </c>
      <c r="J1305" s="20" t="str">
        <f aca="false">IF($X1305="","",INDEX('Per Line'!$L$2:$L$4001,$X1305))</f>
        <v/>
      </c>
      <c r="K1305" s="20" t="str">
        <f aca="false">IF($X1305="","",INDEX('Per Line'!$M$2:$M$4001,$X1305))</f>
        <v/>
      </c>
      <c r="L1305" s="22" t="str">
        <f aca="false">IF($X1305="","",K1305*V1305/100)</f>
        <v/>
      </c>
      <c r="M1305" s="20" t="str">
        <f aca="false">IF($X1305="","",INDEX('Per Line'!$Z$2:$Z$4001,$X1305))</f>
        <v/>
      </c>
      <c r="N1305" s="23" t="str">
        <f aca="false">IF($X1305="","",Settings!$C$7)</f>
        <v/>
      </c>
      <c r="O1305" s="22" t="str">
        <f aca="false">IF($X1305="","",SUMIFS('Per Line'!$Y$2:$Y$4001,'Per Line'!$D$2:$D$4001,$B1305,'Per Line'!$AJ$2:$AJ$4001,0))</f>
        <v/>
      </c>
      <c r="P1305" s="22" t="str">
        <f aca="false">IF($X1305="","",O1305*N1305)</f>
        <v/>
      </c>
      <c r="Q1305" s="23" t="str">
        <f aca="false">IF($X1305="","",Settings!$C$6)</f>
        <v/>
      </c>
      <c r="R1305" s="22" t="str">
        <f aca="false">IF($X1305="","",SUMIFS('Per Line'!$Y$2:$Y$4001,'Per Line'!$D$2:$D$4001,$B1305,'Per Line'!$AJ$2:$AJ$4001,1))</f>
        <v/>
      </c>
      <c r="S1305" s="22" t="str">
        <f aca="false">IF($X1305="","",R1305*Q1305)</f>
        <v/>
      </c>
      <c r="T1305" s="22" t="str">
        <f aca="false">IF($X1305="","",S1305+P1305)</f>
        <v/>
      </c>
      <c r="U1305" s="22" t="str">
        <f aca="false">IF($X1305="","",V1305-T1305)</f>
        <v/>
      </c>
      <c r="V1305" s="22" t="str">
        <f aca="false">IF($X1305="","",O1305+R1305)</f>
        <v/>
      </c>
      <c r="W1305" s="22" t="str">
        <f aca="false">IF($X1305="","",U1305-L1305)</f>
        <v/>
      </c>
      <c r="X1305" s="24" t="str">
        <f aca="false">IF(ROWS($X$2:$X1305)&lt;=MAX('Per Line'!$AI$2:$AI$4001),MATCH(ROWS($X$2:$X1305),'Per Line'!$AI$2:$AI$4001,0),"")</f>
        <v/>
      </c>
    </row>
    <row r="1306" customFormat="false" ht="15" hidden="false" customHeight="false" outlineLevel="0" collapsed="false">
      <c r="A1306" s="19"/>
      <c r="B1306" s="20" t="str">
        <f aca="false">IF($X1306="","",INDEX('Per Line'!$D$2:$D$4001,$X1306))</f>
        <v/>
      </c>
      <c r="C1306" s="20" t="str">
        <f aca="false">IF($X1306="","",INDEX('Per Line'!$C$2:$C$4001,$X1306))</f>
        <v/>
      </c>
      <c r="D1306" s="20" t="str">
        <f aca="false">IF($X1306="","",INDEX('Per Line'!$A$2:$A$4001,$X1306))</f>
        <v/>
      </c>
      <c r="E1306" s="21" t="str">
        <f aca="false">IF($X1306="","",INDEX('Per Line'!$F$2:$F$4001,$X1306))</f>
        <v/>
      </c>
      <c r="F1306" s="20" t="str">
        <f aca="false">IF($X1306="","",INDEX('Per Line'!$G$2:$G$4001,$X1306))</f>
        <v/>
      </c>
      <c r="G1306" s="20" t="str">
        <f aca="false">IF($X1306="","",INDEX('Per Line'!$I$2:$I$4001,$X1306))</f>
        <v/>
      </c>
      <c r="H1306" s="20" t="str">
        <f aca="false">IF($X1306="","",INDEX('Per Line'!$J$2:$J$4001,$X1306))</f>
        <v/>
      </c>
      <c r="I1306" s="20" t="str">
        <f aca="false">IF($X1306="","",INDEX('Per Line'!$K$2:$K$4001,$X1306))</f>
        <v/>
      </c>
      <c r="J1306" s="20" t="str">
        <f aca="false">IF($X1306="","",INDEX('Per Line'!$L$2:$L$4001,$X1306))</f>
        <v/>
      </c>
      <c r="K1306" s="20" t="str">
        <f aca="false">IF($X1306="","",INDEX('Per Line'!$M$2:$M$4001,$X1306))</f>
        <v/>
      </c>
      <c r="L1306" s="22" t="str">
        <f aca="false">IF($X1306="","",K1306*V1306/100)</f>
        <v/>
      </c>
      <c r="M1306" s="20" t="str">
        <f aca="false">IF($X1306="","",INDEX('Per Line'!$Z$2:$Z$4001,$X1306))</f>
        <v/>
      </c>
      <c r="N1306" s="23" t="str">
        <f aca="false">IF($X1306="","",Settings!$C$7)</f>
        <v/>
      </c>
      <c r="O1306" s="22" t="str">
        <f aca="false">IF($X1306="","",SUMIFS('Per Line'!$Y$2:$Y$4001,'Per Line'!$D$2:$D$4001,$B1306,'Per Line'!$AJ$2:$AJ$4001,0))</f>
        <v/>
      </c>
      <c r="P1306" s="22" t="str">
        <f aca="false">IF($X1306="","",O1306*N1306)</f>
        <v/>
      </c>
      <c r="Q1306" s="23" t="str">
        <f aca="false">IF($X1306="","",Settings!$C$6)</f>
        <v/>
      </c>
      <c r="R1306" s="22" t="str">
        <f aca="false">IF($X1306="","",SUMIFS('Per Line'!$Y$2:$Y$4001,'Per Line'!$D$2:$D$4001,$B1306,'Per Line'!$AJ$2:$AJ$4001,1))</f>
        <v/>
      </c>
      <c r="S1306" s="22" t="str">
        <f aca="false">IF($X1306="","",R1306*Q1306)</f>
        <v/>
      </c>
      <c r="T1306" s="22" t="str">
        <f aca="false">IF($X1306="","",S1306+P1306)</f>
        <v/>
      </c>
      <c r="U1306" s="22" t="str">
        <f aca="false">IF($X1306="","",V1306-T1306)</f>
        <v/>
      </c>
      <c r="V1306" s="22" t="str">
        <f aca="false">IF($X1306="","",O1306+R1306)</f>
        <v/>
      </c>
      <c r="W1306" s="22" t="str">
        <f aca="false">IF($X1306="","",U1306-L1306)</f>
        <v/>
      </c>
      <c r="X1306" s="24" t="str">
        <f aca="false">IF(ROWS($X$2:$X1306)&lt;=MAX('Per Line'!$AI$2:$AI$4001),MATCH(ROWS($X$2:$X1306),'Per Line'!$AI$2:$AI$4001,0),"")</f>
        <v/>
      </c>
    </row>
    <row r="1307" customFormat="false" ht="15" hidden="false" customHeight="false" outlineLevel="0" collapsed="false">
      <c r="A1307" s="19"/>
      <c r="B1307" s="20" t="str">
        <f aca="false">IF($X1307="","",INDEX('Per Line'!$D$2:$D$4001,$X1307))</f>
        <v/>
      </c>
      <c r="C1307" s="20" t="str">
        <f aca="false">IF($X1307="","",INDEX('Per Line'!$C$2:$C$4001,$X1307))</f>
        <v/>
      </c>
      <c r="D1307" s="20" t="str">
        <f aca="false">IF($X1307="","",INDEX('Per Line'!$A$2:$A$4001,$X1307))</f>
        <v/>
      </c>
      <c r="E1307" s="21" t="str">
        <f aca="false">IF($X1307="","",INDEX('Per Line'!$F$2:$F$4001,$X1307))</f>
        <v/>
      </c>
      <c r="F1307" s="20" t="str">
        <f aca="false">IF($X1307="","",INDEX('Per Line'!$G$2:$G$4001,$X1307))</f>
        <v/>
      </c>
      <c r="G1307" s="20" t="str">
        <f aca="false">IF($X1307="","",INDEX('Per Line'!$I$2:$I$4001,$X1307))</f>
        <v/>
      </c>
      <c r="H1307" s="20" t="str">
        <f aca="false">IF($X1307="","",INDEX('Per Line'!$J$2:$J$4001,$X1307))</f>
        <v/>
      </c>
      <c r="I1307" s="20" t="str">
        <f aca="false">IF($X1307="","",INDEX('Per Line'!$K$2:$K$4001,$X1307))</f>
        <v/>
      </c>
      <c r="J1307" s="20" t="str">
        <f aca="false">IF($X1307="","",INDEX('Per Line'!$L$2:$L$4001,$X1307))</f>
        <v/>
      </c>
      <c r="K1307" s="20" t="str">
        <f aca="false">IF($X1307="","",INDEX('Per Line'!$M$2:$M$4001,$X1307))</f>
        <v/>
      </c>
      <c r="L1307" s="22" t="str">
        <f aca="false">IF($X1307="","",K1307*V1307/100)</f>
        <v/>
      </c>
      <c r="M1307" s="20" t="str">
        <f aca="false">IF($X1307="","",INDEX('Per Line'!$Z$2:$Z$4001,$X1307))</f>
        <v/>
      </c>
      <c r="N1307" s="23" t="str">
        <f aca="false">IF($X1307="","",Settings!$C$7)</f>
        <v/>
      </c>
      <c r="O1307" s="22" t="str">
        <f aca="false">IF($X1307="","",SUMIFS('Per Line'!$Y$2:$Y$4001,'Per Line'!$D$2:$D$4001,$B1307,'Per Line'!$AJ$2:$AJ$4001,0))</f>
        <v/>
      </c>
      <c r="P1307" s="22" t="str">
        <f aca="false">IF($X1307="","",O1307*N1307)</f>
        <v/>
      </c>
      <c r="Q1307" s="23" t="str">
        <f aca="false">IF($X1307="","",Settings!$C$6)</f>
        <v/>
      </c>
      <c r="R1307" s="22" t="str">
        <f aca="false">IF($X1307="","",SUMIFS('Per Line'!$Y$2:$Y$4001,'Per Line'!$D$2:$D$4001,$B1307,'Per Line'!$AJ$2:$AJ$4001,1))</f>
        <v/>
      </c>
      <c r="S1307" s="22" t="str">
        <f aca="false">IF($X1307="","",R1307*Q1307)</f>
        <v/>
      </c>
      <c r="T1307" s="22" t="str">
        <f aca="false">IF($X1307="","",S1307+P1307)</f>
        <v/>
      </c>
      <c r="U1307" s="22" t="str">
        <f aca="false">IF($X1307="","",V1307-T1307)</f>
        <v/>
      </c>
      <c r="V1307" s="22" t="str">
        <f aca="false">IF($X1307="","",O1307+R1307)</f>
        <v/>
      </c>
      <c r="W1307" s="22" t="str">
        <f aca="false">IF($X1307="","",U1307-L1307)</f>
        <v/>
      </c>
      <c r="X1307" s="24" t="str">
        <f aca="false">IF(ROWS($X$2:$X1307)&lt;=MAX('Per Line'!$AI$2:$AI$4001),MATCH(ROWS($X$2:$X1307),'Per Line'!$AI$2:$AI$4001,0),"")</f>
        <v/>
      </c>
    </row>
    <row r="1308" customFormat="false" ht="15" hidden="false" customHeight="false" outlineLevel="0" collapsed="false">
      <c r="A1308" s="19"/>
      <c r="B1308" s="20" t="str">
        <f aca="false">IF($X1308="","",INDEX('Per Line'!$D$2:$D$4001,$X1308))</f>
        <v/>
      </c>
      <c r="C1308" s="20" t="str">
        <f aca="false">IF($X1308="","",INDEX('Per Line'!$C$2:$C$4001,$X1308))</f>
        <v/>
      </c>
      <c r="D1308" s="20" t="str">
        <f aca="false">IF($X1308="","",INDEX('Per Line'!$A$2:$A$4001,$X1308))</f>
        <v/>
      </c>
      <c r="E1308" s="21" t="str">
        <f aca="false">IF($X1308="","",INDEX('Per Line'!$F$2:$F$4001,$X1308))</f>
        <v/>
      </c>
      <c r="F1308" s="20" t="str">
        <f aca="false">IF($X1308="","",INDEX('Per Line'!$G$2:$G$4001,$X1308))</f>
        <v/>
      </c>
      <c r="G1308" s="20" t="str">
        <f aca="false">IF($X1308="","",INDEX('Per Line'!$I$2:$I$4001,$X1308))</f>
        <v/>
      </c>
      <c r="H1308" s="20" t="str">
        <f aca="false">IF($X1308="","",INDEX('Per Line'!$J$2:$J$4001,$X1308))</f>
        <v/>
      </c>
      <c r="I1308" s="20" t="str">
        <f aca="false">IF($X1308="","",INDEX('Per Line'!$K$2:$K$4001,$X1308))</f>
        <v/>
      </c>
      <c r="J1308" s="20" t="str">
        <f aca="false">IF($X1308="","",INDEX('Per Line'!$L$2:$L$4001,$X1308))</f>
        <v/>
      </c>
      <c r="K1308" s="20" t="str">
        <f aca="false">IF($X1308="","",INDEX('Per Line'!$M$2:$M$4001,$X1308))</f>
        <v/>
      </c>
      <c r="L1308" s="22" t="str">
        <f aca="false">IF($X1308="","",K1308*V1308/100)</f>
        <v/>
      </c>
      <c r="M1308" s="20" t="str">
        <f aca="false">IF($X1308="","",INDEX('Per Line'!$Z$2:$Z$4001,$X1308))</f>
        <v/>
      </c>
      <c r="N1308" s="23" t="str">
        <f aca="false">IF($X1308="","",Settings!$C$7)</f>
        <v/>
      </c>
      <c r="O1308" s="22" t="str">
        <f aca="false">IF($X1308="","",SUMIFS('Per Line'!$Y$2:$Y$4001,'Per Line'!$D$2:$D$4001,$B1308,'Per Line'!$AJ$2:$AJ$4001,0))</f>
        <v/>
      </c>
      <c r="P1308" s="22" t="str">
        <f aca="false">IF($X1308="","",O1308*N1308)</f>
        <v/>
      </c>
      <c r="Q1308" s="23" t="str">
        <f aca="false">IF($X1308="","",Settings!$C$6)</f>
        <v/>
      </c>
      <c r="R1308" s="22" t="str">
        <f aca="false">IF($X1308="","",SUMIFS('Per Line'!$Y$2:$Y$4001,'Per Line'!$D$2:$D$4001,$B1308,'Per Line'!$AJ$2:$AJ$4001,1))</f>
        <v/>
      </c>
      <c r="S1308" s="22" t="str">
        <f aca="false">IF($X1308="","",R1308*Q1308)</f>
        <v/>
      </c>
      <c r="T1308" s="22" t="str">
        <f aca="false">IF($X1308="","",S1308+P1308)</f>
        <v/>
      </c>
      <c r="U1308" s="22" t="str">
        <f aca="false">IF($X1308="","",V1308-T1308)</f>
        <v/>
      </c>
      <c r="V1308" s="22" t="str">
        <f aca="false">IF($X1308="","",O1308+R1308)</f>
        <v/>
      </c>
      <c r="W1308" s="22" t="str">
        <f aca="false">IF($X1308="","",U1308-L1308)</f>
        <v/>
      </c>
      <c r="X1308" s="24" t="str">
        <f aca="false">IF(ROWS($X$2:$X1308)&lt;=MAX('Per Line'!$AI$2:$AI$4001),MATCH(ROWS($X$2:$X1308),'Per Line'!$AI$2:$AI$4001,0),"")</f>
        <v/>
      </c>
    </row>
    <row r="1309" customFormat="false" ht="15" hidden="false" customHeight="false" outlineLevel="0" collapsed="false">
      <c r="A1309" s="19"/>
      <c r="B1309" s="20" t="str">
        <f aca="false">IF($X1309="","",INDEX('Per Line'!$D$2:$D$4001,$X1309))</f>
        <v/>
      </c>
      <c r="C1309" s="20" t="str">
        <f aca="false">IF($X1309="","",INDEX('Per Line'!$C$2:$C$4001,$X1309))</f>
        <v/>
      </c>
      <c r="D1309" s="20" t="str">
        <f aca="false">IF($X1309="","",INDEX('Per Line'!$A$2:$A$4001,$X1309))</f>
        <v/>
      </c>
      <c r="E1309" s="21" t="str">
        <f aca="false">IF($X1309="","",INDEX('Per Line'!$F$2:$F$4001,$X1309))</f>
        <v/>
      </c>
      <c r="F1309" s="20" t="str">
        <f aca="false">IF($X1309="","",INDEX('Per Line'!$G$2:$G$4001,$X1309))</f>
        <v/>
      </c>
      <c r="G1309" s="20" t="str">
        <f aca="false">IF($X1309="","",INDEX('Per Line'!$I$2:$I$4001,$X1309))</f>
        <v/>
      </c>
      <c r="H1309" s="20" t="str">
        <f aca="false">IF($X1309="","",INDEX('Per Line'!$J$2:$J$4001,$X1309))</f>
        <v/>
      </c>
      <c r="I1309" s="20" t="str">
        <f aca="false">IF($X1309="","",INDEX('Per Line'!$K$2:$K$4001,$X1309))</f>
        <v/>
      </c>
      <c r="J1309" s="20" t="str">
        <f aca="false">IF($X1309="","",INDEX('Per Line'!$L$2:$L$4001,$X1309))</f>
        <v/>
      </c>
      <c r="K1309" s="20" t="str">
        <f aca="false">IF($X1309="","",INDEX('Per Line'!$M$2:$M$4001,$X1309))</f>
        <v/>
      </c>
      <c r="L1309" s="22" t="str">
        <f aca="false">IF($X1309="","",K1309*V1309/100)</f>
        <v/>
      </c>
      <c r="M1309" s="20" t="str">
        <f aca="false">IF($X1309="","",INDEX('Per Line'!$Z$2:$Z$4001,$X1309))</f>
        <v/>
      </c>
      <c r="N1309" s="23" t="str">
        <f aca="false">IF($X1309="","",Settings!$C$7)</f>
        <v/>
      </c>
      <c r="O1309" s="22" t="str">
        <f aca="false">IF($X1309="","",SUMIFS('Per Line'!$Y$2:$Y$4001,'Per Line'!$D$2:$D$4001,$B1309,'Per Line'!$AJ$2:$AJ$4001,0))</f>
        <v/>
      </c>
      <c r="P1309" s="22" t="str">
        <f aca="false">IF($X1309="","",O1309*N1309)</f>
        <v/>
      </c>
      <c r="Q1309" s="23" t="str">
        <f aca="false">IF($X1309="","",Settings!$C$6)</f>
        <v/>
      </c>
      <c r="R1309" s="22" t="str">
        <f aca="false">IF($X1309="","",SUMIFS('Per Line'!$Y$2:$Y$4001,'Per Line'!$D$2:$D$4001,$B1309,'Per Line'!$AJ$2:$AJ$4001,1))</f>
        <v/>
      </c>
      <c r="S1309" s="22" t="str">
        <f aca="false">IF($X1309="","",R1309*Q1309)</f>
        <v/>
      </c>
      <c r="T1309" s="22" t="str">
        <f aca="false">IF($X1309="","",S1309+P1309)</f>
        <v/>
      </c>
      <c r="U1309" s="22" t="str">
        <f aca="false">IF($X1309="","",V1309-T1309)</f>
        <v/>
      </c>
      <c r="V1309" s="22" t="str">
        <f aca="false">IF($X1309="","",O1309+R1309)</f>
        <v/>
      </c>
      <c r="W1309" s="22" t="str">
        <f aca="false">IF($X1309="","",U1309-L1309)</f>
        <v/>
      </c>
      <c r="X1309" s="24" t="str">
        <f aca="false">IF(ROWS($X$2:$X1309)&lt;=MAX('Per Line'!$AI$2:$AI$4001),MATCH(ROWS($X$2:$X1309),'Per Line'!$AI$2:$AI$4001,0),"")</f>
        <v/>
      </c>
    </row>
    <row r="1310" customFormat="false" ht="15" hidden="false" customHeight="false" outlineLevel="0" collapsed="false">
      <c r="A1310" s="19"/>
      <c r="B1310" s="20" t="str">
        <f aca="false">IF($X1310="","",INDEX('Per Line'!$D$2:$D$4001,$X1310))</f>
        <v/>
      </c>
      <c r="C1310" s="20" t="str">
        <f aca="false">IF($X1310="","",INDEX('Per Line'!$C$2:$C$4001,$X1310))</f>
        <v/>
      </c>
      <c r="D1310" s="20" t="str">
        <f aca="false">IF($X1310="","",INDEX('Per Line'!$A$2:$A$4001,$X1310))</f>
        <v/>
      </c>
      <c r="E1310" s="21" t="str">
        <f aca="false">IF($X1310="","",INDEX('Per Line'!$F$2:$F$4001,$X1310))</f>
        <v/>
      </c>
      <c r="F1310" s="20" t="str">
        <f aca="false">IF($X1310="","",INDEX('Per Line'!$G$2:$G$4001,$X1310))</f>
        <v/>
      </c>
      <c r="G1310" s="20" t="str">
        <f aca="false">IF($X1310="","",INDEX('Per Line'!$I$2:$I$4001,$X1310))</f>
        <v/>
      </c>
      <c r="H1310" s="20" t="str">
        <f aca="false">IF($X1310="","",INDEX('Per Line'!$J$2:$J$4001,$X1310))</f>
        <v/>
      </c>
      <c r="I1310" s="20" t="str">
        <f aca="false">IF($X1310="","",INDEX('Per Line'!$K$2:$K$4001,$X1310))</f>
        <v/>
      </c>
      <c r="J1310" s="20" t="str">
        <f aca="false">IF($X1310="","",INDEX('Per Line'!$L$2:$L$4001,$X1310))</f>
        <v/>
      </c>
      <c r="K1310" s="20" t="str">
        <f aca="false">IF($X1310="","",INDEX('Per Line'!$M$2:$M$4001,$X1310))</f>
        <v/>
      </c>
      <c r="L1310" s="22" t="str">
        <f aca="false">IF($X1310="","",K1310*V1310/100)</f>
        <v/>
      </c>
      <c r="M1310" s="20" t="str">
        <f aca="false">IF($X1310="","",INDEX('Per Line'!$Z$2:$Z$4001,$X1310))</f>
        <v/>
      </c>
      <c r="N1310" s="23" t="str">
        <f aca="false">IF($X1310="","",Settings!$C$7)</f>
        <v/>
      </c>
      <c r="O1310" s="22" t="str">
        <f aca="false">IF($X1310="","",SUMIFS('Per Line'!$Y$2:$Y$4001,'Per Line'!$D$2:$D$4001,$B1310,'Per Line'!$AJ$2:$AJ$4001,0))</f>
        <v/>
      </c>
      <c r="P1310" s="22" t="str">
        <f aca="false">IF($X1310="","",O1310*N1310)</f>
        <v/>
      </c>
      <c r="Q1310" s="23" t="str">
        <f aca="false">IF($X1310="","",Settings!$C$6)</f>
        <v/>
      </c>
      <c r="R1310" s="22" t="str">
        <f aca="false">IF($X1310="","",SUMIFS('Per Line'!$Y$2:$Y$4001,'Per Line'!$D$2:$D$4001,$B1310,'Per Line'!$AJ$2:$AJ$4001,1))</f>
        <v/>
      </c>
      <c r="S1310" s="22" t="str">
        <f aca="false">IF($X1310="","",R1310*Q1310)</f>
        <v/>
      </c>
      <c r="T1310" s="22" t="str">
        <f aca="false">IF($X1310="","",S1310+P1310)</f>
        <v/>
      </c>
      <c r="U1310" s="22" t="str">
        <f aca="false">IF($X1310="","",V1310-T1310)</f>
        <v/>
      </c>
      <c r="V1310" s="22" t="str">
        <f aca="false">IF($X1310="","",O1310+R1310)</f>
        <v/>
      </c>
      <c r="W1310" s="22" t="str">
        <f aca="false">IF($X1310="","",U1310-L1310)</f>
        <v/>
      </c>
      <c r="X1310" s="24" t="str">
        <f aca="false">IF(ROWS($X$2:$X1310)&lt;=MAX('Per Line'!$AI$2:$AI$4001),MATCH(ROWS($X$2:$X1310),'Per Line'!$AI$2:$AI$4001,0),"")</f>
        <v/>
      </c>
    </row>
    <row r="1311" customFormat="false" ht="15" hidden="false" customHeight="false" outlineLevel="0" collapsed="false">
      <c r="A1311" s="19"/>
      <c r="B1311" s="20" t="str">
        <f aca="false">IF($X1311="","",INDEX('Per Line'!$D$2:$D$4001,$X1311))</f>
        <v/>
      </c>
      <c r="C1311" s="20" t="str">
        <f aca="false">IF($X1311="","",INDEX('Per Line'!$C$2:$C$4001,$X1311))</f>
        <v/>
      </c>
      <c r="D1311" s="20" t="str">
        <f aca="false">IF($X1311="","",INDEX('Per Line'!$A$2:$A$4001,$X1311))</f>
        <v/>
      </c>
      <c r="E1311" s="21" t="str">
        <f aca="false">IF($X1311="","",INDEX('Per Line'!$F$2:$F$4001,$X1311))</f>
        <v/>
      </c>
      <c r="F1311" s="20" t="str">
        <f aca="false">IF($X1311="","",INDEX('Per Line'!$G$2:$G$4001,$X1311))</f>
        <v/>
      </c>
      <c r="G1311" s="20" t="str">
        <f aca="false">IF($X1311="","",INDEX('Per Line'!$I$2:$I$4001,$X1311))</f>
        <v/>
      </c>
      <c r="H1311" s="20" t="str">
        <f aca="false">IF($X1311="","",INDEX('Per Line'!$J$2:$J$4001,$X1311))</f>
        <v/>
      </c>
      <c r="I1311" s="20" t="str">
        <f aca="false">IF($X1311="","",INDEX('Per Line'!$K$2:$K$4001,$X1311))</f>
        <v/>
      </c>
      <c r="J1311" s="20" t="str">
        <f aca="false">IF($X1311="","",INDEX('Per Line'!$L$2:$L$4001,$X1311))</f>
        <v/>
      </c>
      <c r="K1311" s="20" t="str">
        <f aca="false">IF($X1311="","",INDEX('Per Line'!$M$2:$M$4001,$X1311))</f>
        <v/>
      </c>
      <c r="L1311" s="22" t="str">
        <f aca="false">IF($X1311="","",K1311*V1311/100)</f>
        <v/>
      </c>
      <c r="M1311" s="20" t="str">
        <f aca="false">IF($X1311="","",INDEX('Per Line'!$Z$2:$Z$4001,$X1311))</f>
        <v/>
      </c>
      <c r="N1311" s="23" t="str">
        <f aca="false">IF($X1311="","",Settings!$C$7)</f>
        <v/>
      </c>
      <c r="O1311" s="22" t="str">
        <f aca="false">IF($X1311="","",SUMIFS('Per Line'!$Y$2:$Y$4001,'Per Line'!$D$2:$D$4001,$B1311,'Per Line'!$AJ$2:$AJ$4001,0))</f>
        <v/>
      </c>
      <c r="P1311" s="22" t="str">
        <f aca="false">IF($X1311="","",O1311*N1311)</f>
        <v/>
      </c>
      <c r="Q1311" s="23" t="str">
        <f aca="false">IF($X1311="","",Settings!$C$6)</f>
        <v/>
      </c>
      <c r="R1311" s="22" t="str">
        <f aca="false">IF($X1311="","",SUMIFS('Per Line'!$Y$2:$Y$4001,'Per Line'!$D$2:$D$4001,$B1311,'Per Line'!$AJ$2:$AJ$4001,1))</f>
        <v/>
      </c>
      <c r="S1311" s="22" t="str">
        <f aca="false">IF($X1311="","",R1311*Q1311)</f>
        <v/>
      </c>
      <c r="T1311" s="22" t="str">
        <f aca="false">IF($X1311="","",S1311+P1311)</f>
        <v/>
      </c>
      <c r="U1311" s="22" t="str">
        <f aca="false">IF($X1311="","",V1311-T1311)</f>
        <v/>
      </c>
      <c r="V1311" s="22" t="str">
        <f aca="false">IF($X1311="","",O1311+R1311)</f>
        <v/>
      </c>
      <c r="W1311" s="22" t="str">
        <f aca="false">IF($X1311="","",U1311-L1311)</f>
        <v/>
      </c>
      <c r="X1311" s="24" t="str">
        <f aca="false">IF(ROWS($X$2:$X1311)&lt;=MAX('Per Line'!$AI$2:$AI$4001),MATCH(ROWS($X$2:$X1311),'Per Line'!$AI$2:$AI$4001,0),"")</f>
        <v/>
      </c>
    </row>
    <row r="1312" customFormat="false" ht="15" hidden="false" customHeight="false" outlineLevel="0" collapsed="false">
      <c r="A1312" s="19"/>
      <c r="B1312" s="20" t="str">
        <f aca="false">IF($X1312="","",INDEX('Per Line'!$D$2:$D$4001,$X1312))</f>
        <v/>
      </c>
      <c r="C1312" s="20" t="str">
        <f aca="false">IF($X1312="","",INDEX('Per Line'!$C$2:$C$4001,$X1312))</f>
        <v/>
      </c>
      <c r="D1312" s="20" t="str">
        <f aca="false">IF($X1312="","",INDEX('Per Line'!$A$2:$A$4001,$X1312))</f>
        <v/>
      </c>
      <c r="E1312" s="21" t="str">
        <f aca="false">IF($X1312="","",INDEX('Per Line'!$F$2:$F$4001,$X1312))</f>
        <v/>
      </c>
      <c r="F1312" s="20" t="str">
        <f aca="false">IF($X1312="","",INDEX('Per Line'!$G$2:$G$4001,$X1312))</f>
        <v/>
      </c>
      <c r="G1312" s="20" t="str">
        <f aca="false">IF($X1312="","",INDEX('Per Line'!$I$2:$I$4001,$X1312))</f>
        <v/>
      </c>
      <c r="H1312" s="20" t="str">
        <f aca="false">IF($X1312="","",INDEX('Per Line'!$J$2:$J$4001,$X1312))</f>
        <v/>
      </c>
      <c r="I1312" s="20" t="str">
        <f aca="false">IF($X1312="","",INDEX('Per Line'!$K$2:$K$4001,$X1312))</f>
        <v/>
      </c>
      <c r="J1312" s="20" t="str">
        <f aca="false">IF($X1312="","",INDEX('Per Line'!$L$2:$L$4001,$X1312))</f>
        <v/>
      </c>
      <c r="K1312" s="20" t="str">
        <f aca="false">IF($X1312="","",INDEX('Per Line'!$M$2:$M$4001,$X1312))</f>
        <v/>
      </c>
      <c r="L1312" s="22" t="str">
        <f aca="false">IF($X1312="","",K1312*V1312/100)</f>
        <v/>
      </c>
      <c r="M1312" s="20" t="str">
        <f aca="false">IF($X1312="","",INDEX('Per Line'!$Z$2:$Z$4001,$X1312))</f>
        <v/>
      </c>
      <c r="N1312" s="23" t="str">
        <f aca="false">IF($X1312="","",Settings!$C$7)</f>
        <v/>
      </c>
      <c r="O1312" s="22" t="str">
        <f aca="false">IF($X1312="","",SUMIFS('Per Line'!$Y$2:$Y$4001,'Per Line'!$D$2:$D$4001,$B1312,'Per Line'!$AJ$2:$AJ$4001,0))</f>
        <v/>
      </c>
      <c r="P1312" s="22" t="str">
        <f aca="false">IF($X1312="","",O1312*N1312)</f>
        <v/>
      </c>
      <c r="Q1312" s="23" t="str">
        <f aca="false">IF($X1312="","",Settings!$C$6)</f>
        <v/>
      </c>
      <c r="R1312" s="22" t="str">
        <f aca="false">IF($X1312="","",SUMIFS('Per Line'!$Y$2:$Y$4001,'Per Line'!$D$2:$D$4001,$B1312,'Per Line'!$AJ$2:$AJ$4001,1))</f>
        <v/>
      </c>
      <c r="S1312" s="22" t="str">
        <f aca="false">IF($X1312="","",R1312*Q1312)</f>
        <v/>
      </c>
      <c r="T1312" s="22" t="str">
        <f aca="false">IF($X1312="","",S1312+P1312)</f>
        <v/>
      </c>
      <c r="U1312" s="22" t="str">
        <f aca="false">IF($X1312="","",V1312-T1312)</f>
        <v/>
      </c>
      <c r="V1312" s="22" t="str">
        <f aca="false">IF($X1312="","",O1312+R1312)</f>
        <v/>
      </c>
      <c r="W1312" s="22" t="str">
        <f aca="false">IF($X1312="","",U1312-L1312)</f>
        <v/>
      </c>
      <c r="X1312" s="24" t="str">
        <f aca="false">IF(ROWS($X$2:$X1312)&lt;=MAX('Per Line'!$AI$2:$AI$4001),MATCH(ROWS($X$2:$X1312),'Per Line'!$AI$2:$AI$4001,0),"")</f>
        <v/>
      </c>
    </row>
    <row r="1313" customFormat="false" ht="15" hidden="false" customHeight="false" outlineLevel="0" collapsed="false">
      <c r="A1313" s="19"/>
      <c r="B1313" s="20" t="str">
        <f aca="false">IF($X1313="","",INDEX('Per Line'!$D$2:$D$4001,$X1313))</f>
        <v/>
      </c>
      <c r="C1313" s="20" t="str">
        <f aca="false">IF($X1313="","",INDEX('Per Line'!$C$2:$C$4001,$X1313))</f>
        <v/>
      </c>
      <c r="D1313" s="20" t="str">
        <f aca="false">IF($X1313="","",INDEX('Per Line'!$A$2:$A$4001,$X1313))</f>
        <v/>
      </c>
      <c r="E1313" s="21" t="str">
        <f aca="false">IF($X1313="","",INDEX('Per Line'!$F$2:$F$4001,$X1313))</f>
        <v/>
      </c>
      <c r="F1313" s="20" t="str">
        <f aca="false">IF($X1313="","",INDEX('Per Line'!$G$2:$G$4001,$X1313))</f>
        <v/>
      </c>
      <c r="G1313" s="20" t="str">
        <f aca="false">IF($X1313="","",INDEX('Per Line'!$I$2:$I$4001,$X1313))</f>
        <v/>
      </c>
      <c r="H1313" s="20" t="str">
        <f aca="false">IF($X1313="","",INDEX('Per Line'!$J$2:$J$4001,$X1313))</f>
        <v/>
      </c>
      <c r="I1313" s="20" t="str">
        <f aca="false">IF($X1313="","",INDEX('Per Line'!$K$2:$K$4001,$X1313))</f>
        <v/>
      </c>
      <c r="J1313" s="20" t="str">
        <f aca="false">IF($X1313="","",INDEX('Per Line'!$L$2:$L$4001,$X1313))</f>
        <v/>
      </c>
      <c r="K1313" s="20" t="str">
        <f aca="false">IF($X1313="","",INDEX('Per Line'!$M$2:$M$4001,$X1313))</f>
        <v/>
      </c>
      <c r="L1313" s="22" t="str">
        <f aca="false">IF($X1313="","",K1313*V1313/100)</f>
        <v/>
      </c>
      <c r="M1313" s="20" t="str">
        <f aca="false">IF($X1313="","",INDEX('Per Line'!$Z$2:$Z$4001,$X1313))</f>
        <v/>
      </c>
      <c r="N1313" s="23" t="str">
        <f aca="false">IF($X1313="","",Settings!$C$7)</f>
        <v/>
      </c>
      <c r="O1313" s="22" t="str">
        <f aca="false">IF($X1313="","",SUMIFS('Per Line'!$Y$2:$Y$4001,'Per Line'!$D$2:$D$4001,$B1313,'Per Line'!$AJ$2:$AJ$4001,0))</f>
        <v/>
      </c>
      <c r="P1313" s="22" t="str">
        <f aca="false">IF($X1313="","",O1313*N1313)</f>
        <v/>
      </c>
      <c r="Q1313" s="23" t="str">
        <f aca="false">IF($X1313="","",Settings!$C$6)</f>
        <v/>
      </c>
      <c r="R1313" s="22" t="str">
        <f aca="false">IF($X1313="","",SUMIFS('Per Line'!$Y$2:$Y$4001,'Per Line'!$D$2:$D$4001,$B1313,'Per Line'!$AJ$2:$AJ$4001,1))</f>
        <v/>
      </c>
      <c r="S1313" s="22" t="str">
        <f aca="false">IF($X1313="","",R1313*Q1313)</f>
        <v/>
      </c>
      <c r="T1313" s="22" t="str">
        <f aca="false">IF($X1313="","",S1313+P1313)</f>
        <v/>
      </c>
      <c r="U1313" s="22" t="str">
        <f aca="false">IF($X1313="","",V1313-T1313)</f>
        <v/>
      </c>
      <c r="V1313" s="22" t="str">
        <f aca="false">IF($X1313="","",O1313+R1313)</f>
        <v/>
      </c>
      <c r="W1313" s="22" t="str">
        <f aca="false">IF($X1313="","",U1313-L1313)</f>
        <v/>
      </c>
      <c r="X1313" s="24" t="str">
        <f aca="false">IF(ROWS($X$2:$X1313)&lt;=MAX('Per Line'!$AI$2:$AI$4001),MATCH(ROWS($X$2:$X1313),'Per Line'!$AI$2:$AI$4001,0),"")</f>
        <v/>
      </c>
    </row>
    <row r="1314" customFormat="false" ht="15" hidden="false" customHeight="false" outlineLevel="0" collapsed="false">
      <c r="A1314" s="19"/>
      <c r="B1314" s="20" t="str">
        <f aca="false">IF($X1314="","",INDEX('Per Line'!$D$2:$D$4001,$X1314))</f>
        <v/>
      </c>
      <c r="C1314" s="20" t="str">
        <f aca="false">IF($X1314="","",INDEX('Per Line'!$C$2:$C$4001,$X1314))</f>
        <v/>
      </c>
      <c r="D1314" s="20" t="str">
        <f aca="false">IF($X1314="","",INDEX('Per Line'!$A$2:$A$4001,$X1314))</f>
        <v/>
      </c>
      <c r="E1314" s="21" t="str">
        <f aca="false">IF($X1314="","",INDEX('Per Line'!$F$2:$F$4001,$X1314))</f>
        <v/>
      </c>
      <c r="F1314" s="20" t="str">
        <f aca="false">IF($X1314="","",INDEX('Per Line'!$G$2:$G$4001,$X1314))</f>
        <v/>
      </c>
      <c r="G1314" s="20" t="str">
        <f aca="false">IF($X1314="","",INDEX('Per Line'!$I$2:$I$4001,$X1314))</f>
        <v/>
      </c>
      <c r="H1314" s="20" t="str">
        <f aca="false">IF($X1314="","",INDEX('Per Line'!$J$2:$J$4001,$X1314))</f>
        <v/>
      </c>
      <c r="I1314" s="20" t="str">
        <f aca="false">IF($X1314="","",INDEX('Per Line'!$K$2:$K$4001,$X1314))</f>
        <v/>
      </c>
      <c r="J1314" s="20" t="str">
        <f aca="false">IF($X1314="","",INDEX('Per Line'!$L$2:$L$4001,$X1314))</f>
        <v/>
      </c>
      <c r="K1314" s="20" t="str">
        <f aca="false">IF($X1314="","",INDEX('Per Line'!$M$2:$M$4001,$X1314))</f>
        <v/>
      </c>
      <c r="L1314" s="22" t="str">
        <f aca="false">IF($X1314="","",K1314*V1314/100)</f>
        <v/>
      </c>
      <c r="M1314" s="20" t="str">
        <f aca="false">IF($X1314="","",INDEX('Per Line'!$Z$2:$Z$4001,$X1314))</f>
        <v/>
      </c>
      <c r="N1314" s="23" t="str">
        <f aca="false">IF($X1314="","",Settings!$C$7)</f>
        <v/>
      </c>
      <c r="O1314" s="22" t="str">
        <f aca="false">IF($X1314="","",SUMIFS('Per Line'!$Y$2:$Y$4001,'Per Line'!$D$2:$D$4001,$B1314,'Per Line'!$AJ$2:$AJ$4001,0))</f>
        <v/>
      </c>
      <c r="P1314" s="22" t="str">
        <f aca="false">IF($X1314="","",O1314*N1314)</f>
        <v/>
      </c>
      <c r="Q1314" s="23" t="str">
        <f aca="false">IF($X1314="","",Settings!$C$6)</f>
        <v/>
      </c>
      <c r="R1314" s="22" t="str">
        <f aca="false">IF($X1314="","",SUMIFS('Per Line'!$Y$2:$Y$4001,'Per Line'!$D$2:$D$4001,$B1314,'Per Line'!$AJ$2:$AJ$4001,1))</f>
        <v/>
      </c>
      <c r="S1314" s="22" t="str">
        <f aca="false">IF($X1314="","",R1314*Q1314)</f>
        <v/>
      </c>
      <c r="T1314" s="22" t="str">
        <f aca="false">IF($X1314="","",S1314+P1314)</f>
        <v/>
      </c>
      <c r="U1314" s="22" t="str">
        <f aca="false">IF($X1314="","",V1314-T1314)</f>
        <v/>
      </c>
      <c r="V1314" s="22" t="str">
        <f aca="false">IF($X1314="","",O1314+R1314)</f>
        <v/>
      </c>
      <c r="W1314" s="22" t="str">
        <f aca="false">IF($X1314="","",U1314-L1314)</f>
        <v/>
      </c>
      <c r="X1314" s="24" t="str">
        <f aca="false">IF(ROWS($X$2:$X1314)&lt;=MAX('Per Line'!$AI$2:$AI$4001),MATCH(ROWS($X$2:$X1314),'Per Line'!$AI$2:$AI$4001,0),"")</f>
        <v/>
      </c>
    </row>
    <row r="1315" customFormat="false" ht="15" hidden="false" customHeight="false" outlineLevel="0" collapsed="false">
      <c r="A1315" s="19"/>
      <c r="B1315" s="20" t="str">
        <f aca="false">IF($X1315="","",INDEX('Per Line'!$D$2:$D$4001,$X1315))</f>
        <v/>
      </c>
      <c r="C1315" s="20" t="str">
        <f aca="false">IF($X1315="","",INDEX('Per Line'!$C$2:$C$4001,$X1315))</f>
        <v/>
      </c>
      <c r="D1315" s="20" t="str">
        <f aca="false">IF($X1315="","",INDEX('Per Line'!$A$2:$A$4001,$X1315))</f>
        <v/>
      </c>
      <c r="E1315" s="21" t="str">
        <f aca="false">IF($X1315="","",INDEX('Per Line'!$F$2:$F$4001,$X1315))</f>
        <v/>
      </c>
      <c r="F1315" s="20" t="str">
        <f aca="false">IF($X1315="","",INDEX('Per Line'!$G$2:$G$4001,$X1315))</f>
        <v/>
      </c>
      <c r="G1315" s="20" t="str">
        <f aca="false">IF($X1315="","",INDEX('Per Line'!$I$2:$I$4001,$X1315))</f>
        <v/>
      </c>
      <c r="H1315" s="20" t="str">
        <f aca="false">IF($X1315="","",INDEX('Per Line'!$J$2:$J$4001,$X1315))</f>
        <v/>
      </c>
      <c r="I1315" s="20" t="str">
        <f aca="false">IF($X1315="","",INDEX('Per Line'!$K$2:$K$4001,$X1315))</f>
        <v/>
      </c>
      <c r="J1315" s="20" t="str">
        <f aca="false">IF($X1315="","",INDEX('Per Line'!$L$2:$L$4001,$X1315))</f>
        <v/>
      </c>
      <c r="K1315" s="20" t="str">
        <f aca="false">IF($X1315="","",INDEX('Per Line'!$M$2:$M$4001,$X1315))</f>
        <v/>
      </c>
      <c r="L1315" s="22" t="str">
        <f aca="false">IF($X1315="","",K1315*V1315/100)</f>
        <v/>
      </c>
      <c r="M1315" s="20" t="str">
        <f aca="false">IF($X1315="","",INDEX('Per Line'!$Z$2:$Z$4001,$X1315))</f>
        <v/>
      </c>
      <c r="N1315" s="23" t="str">
        <f aca="false">IF($X1315="","",Settings!$C$7)</f>
        <v/>
      </c>
      <c r="O1315" s="22" t="str">
        <f aca="false">IF($X1315="","",SUMIFS('Per Line'!$Y$2:$Y$4001,'Per Line'!$D$2:$D$4001,$B1315,'Per Line'!$AJ$2:$AJ$4001,0))</f>
        <v/>
      </c>
      <c r="P1315" s="22" t="str">
        <f aca="false">IF($X1315="","",O1315*N1315)</f>
        <v/>
      </c>
      <c r="Q1315" s="23" t="str">
        <f aca="false">IF($X1315="","",Settings!$C$6)</f>
        <v/>
      </c>
      <c r="R1315" s="22" t="str">
        <f aca="false">IF($X1315="","",SUMIFS('Per Line'!$Y$2:$Y$4001,'Per Line'!$D$2:$D$4001,$B1315,'Per Line'!$AJ$2:$AJ$4001,1))</f>
        <v/>
      </c>
      <c r="S1315" s="22" t="str">
        <f aca="false">IF($X1315="","",R1315*Q1315)</f>
        <v/>
      </c>
      <c r="T1315" s="22" t="str">
        <f aca="false">IF($X1315="","",S1315+P1315)</f>
        <v/>
      </c>
      <c r="U1315" s="22" t="str">
        <f aca="false">IF($X1315="","",V1315-T1315)</f>
        <v/>
      </c>
      <c r="V1315" s="22" t="str">
        <f aca="false">IF($X1315="","",O1315+R1315)</f>
        <v/>
      </c>
      <c r="W1315" s="22" t="str">
        <f aca="false">IF($X1315="","",U1315-L1315)</f>
        <v/>
      </c>
      <c r="X1315" s="24" t="str">
        <f aca="false">IF(ROWS($X$2:$X1315)&lt;=MAX('Per Line'!$AI$2:$AI$4001),MATCH(ROWS($X$2:$X1315),'Per Line'!$AI$2:$AI$4001,0),"")</f>
        <v/>
      </c>
    </row>
    <row r="1316" customFormat="false" ht="15" hidden="false" customHeight="false" outlineLevel="0" collapsed="false">
      <c r="A1316" s="19"/>
      <c r="B1316" s="20" t="str">
        <f aca="false">IF($X1316="","",INDEX('Per Line'!$D$2:$D$4001,$X1316))</f>
        <v/>
      </c>
      <c r="C1316" s="20" t="str">
        <f aca="false">IF($X1316="","",INDEX('Per Line'!$C$2:$C$4001,$X1316))</f>
        <v/>
      </c>
      <c r="D1316" s="20" t="str">
        <f aca="false">IF($X1316="","",INDEX('Per Line'!$A$2:$A$4001,$X1316))</f>
        <v/>
      </c>
      <c r="E1316" s="21" t="str">
        <f aca="false">IF($X1316="","",INDEX('Per Line'!$F$2:$F$4001,$X1316))</f>
        <v/>
      </c>
      <c r="F1316" s="20" t="str">
        <f aca="false">IF($X1316="","",INDEX('Per Line'!$G$2:$G$4001,$X1316))</f>
        <v/>
      </c>
      <c r="G1316" s="20" t="str">
        <f aca="false">IF($X1316="","",INDEX('Per Line'!$I$2:$I$4001,$X1316))</f>
        <v/>
      </c>
      <c r="H1316" s="20" t="str">
        <f aca="false">IF($X1316="","",INDEX('Per Line'!$J$2:$J$4001,$X1316))</f>
        <v/>
      </c>
      <c r="I1316" s="20" t="str">
        <f aca="false">IF($X1316="","",INDEX('Per Line'!$K$2:$K$4001,$X1316))</f>
        <v/>
      </c>
      <c r="J1316" s="20" t="str">
        <f aca="false">IF($X1316="","",INDEX('Per Line'!$L$2:$L$4001,$X1316))</f>
        <v/>
      </c>
      <c r="K1316" s="20" t="str">
        <f aca="false">IF($X1316="","",INDEX('Per Line'!$M$2:$M$4001,$X1316))</f>
        <v/>
      </c>
      <c r="L1316" s="22" t="str">
        <f aca="false">IF($X1316="","",K1316*V1316/100)</f>
        <v/>
      </c>
      <c r="M1316" s="20" t="str">
        <f aca="false">IF($X1316="","",INDEX('Per Line'!$Z$2:$Z$4001,$X1316))</f>
        <v/>
      </c>
      <c r="N1316" s="23" t="str">
        <f aca="false">IF($X1316="","",Settings!$C$7)</f>
        <v/>
      </c>
      <c r="O1316" s="22" t="str">
        <f aca="false">IF($X1316="","",SUMIFS('Per Line'!$Y$2:$Y$4001,'Per Line'!$D$2:$D$4001,$B1316,'Per Line'!$AJ$2:$AJ$4001,0))</f>
        <v/>
      </c>
      <c r="P1316" s="22" t="str">
        <f aca="false">IF($X1316="","",O1316*N1316)</f>
        <v/>
      </c>
      <c r="Q1316" s="23" t="str">
        <f aca="false">IF($X1316="","",Settings!$C$6)</f>
        <v/>
      </c>
      <c r="R1316" s="22" t="str">
        <f aca="false">IF($X1316="","",SUMIFS('Per Line'!$Y$2:$Y$4001,'Per Line'!$D$2:$D$4001,$B1316,'Per Line'!$AJ$2:$AJ$4001,1))</f>
        <v/>
      </c>
      <c r="S1316" s="22" t="str">
        <f aca="false">IF($X1316="","",R1316*Q1316)</f>
        <v/>
      </c>
      <c r="T1316" s="22" t="str">
        <f aca="false">IF($X1316="","",S1316+P1316)</f>
        <v/>
      </c>
      <c r="U1316" s="22" t="str">
        <f aca="false">IF($X1316="","",V1316-T1316)</f>
        <v/>
      </c>
      <c r="V1316" s="22" t="str">
        <f aca="false">IF($X1316="","",O1316+R1316)</f>
        <v/>
      </c>
      <c r="W1316" s="22" t="str">
        <f aca="false">IF($X1316="","",U1316-L1316)</f>
        <v/>
      </c>
      <c r="X1316" s="24" t="str">
        <f aca="false">IF(ROWS($X$2:$X1316)&lt;=MAX('Per Line'!$AI$2:$AI$4001),MATCH(ROWS($X$2:$X1316),'Per Line'!$AI$2:$AI$4001,0),"")</f>
        <v/>
      </c>
    </row>
    <row r="1317" customFormat="false" ht="15" hidden="false" customHeight="false" outlineLevel="0" collapsed="false">
      <c r="A1317" s="19"/>
      <c r="B1317" s="20" t="str">
        <f aca="false">IF($X1317="","",INDEX('Per Line'!$D$2:$D$4001,$X1317))</f>
        <v/>
      </c>
      <c r="C1317" s="20" t="str">
        <f aca="false">IF($X1317="","",INDEX('Per Line'!$C$2:$C$4001,$X1317))</f>
        <v/>
      </c>
      <c r="D1317" s="20" t="str">
        <f aca="false">IF($X1317="","",INDEX('Per Line'!$A$2:$A$4001,$X1317))</f>
        <v/>
      </c>
      <c r="E1317" s="21" t="str">
        <f aca="false">IF($X1317="","",INDEX('Per Line'!$F$2:$F$4001,$X1317))</f>
        <v/>
      </c>
      <c r="F1317" s="20" t="str">
        <f aca="false">IF($X1317="","",INDEX('Per Line'!$G$2:$G$4001,$X1317))</f>
        <v/>
      </c>
      <c r="G1317" s="20" t="str">
        <f aca="false">IF($X1317="","",INDEX('Per Line'!$I$2:$I$4001,$X1317))</f>
        <v/>
      </c>
      <c r="H1317" s="20" t="str">
        <f aca="false">IF($X1317="","",INDEX('Per Line'!$J$2:$J$4001,$X1317))</f>
        <v/>
      </c>
      <c r="I1317" s="20" t="str">
        <f aca="false">IF($X1317="","",INDEX('Per Line'!$K$2:$K$4001,$X1317))</f>
        <v/>
      </c>
      <c r="J1317" s="20" t="str">
        <f aca="false">IF($X1317="","",INDEX('Per Line'!$L$2:$L$4001,$X1317))</f>
        <v/>
      </c>
      <c r="K1317" s="20" t="str">
        <f aca="false">IF($X1317="","",INDEX('Per Line'!$M$2:$M$4001,$X1317))</f>
        <v/>
      </c>
      <c r="L1317" s="22" t="str">
        <f aca="false">IF($X1317="","",K1317*V1317/100)</f>
        <v/>
      </c>
      <c r="M1317" s="20" t="str">
        <f aca="false">IF($X1317="","",INDEX('Per Line'!$Z$2:$Z$4001,$X1317))</f>
        <v/>
      </c>
      <c r="N1317" s="23" t="str">
        <f aca="false">IF($X1317="","",Settings!$C$7)</f>
        <v/>
      </c>
      <c r="O1317" s="22" t="str">
        <f aca="false">IF($X1317="","",SUMIFS('Per Line'!$Y$2:$Y$4001,'Per Line'!$D$2:$D$4001,$B1317,'Per Line'!$AJ$2:$AJ$4001,0))</f>
        <v/>
      </c>
      <c r="P1317" s="22" t="str">
        <f aca="false">IF($X1317="","",O1317*N1317)</f>
        <v/>
      </c>
      <c r="Q1317" s="23" t="str">
        <f aca="false">IF($X1317="","",Settings!$C$6)</f>
        <v/>
      </c>
      <c r="R1317" s="22" t="str">
        <f aca="false">IF($X1317="","",SUMIFS('Per Line'!$Y$2:$Y$4001,'Per Line'!$D$2:$D$4001,$B1317,'Per Line'!$AJ$2:$AJ$4001,1))</f>
        <v/>
      </c>
      <c r="S1317" s="22" t="str">
        <f aca="false">IF($X1317="","",R1317*Q1317)</f>
        <v/>
      </c>
      <c r="T1317" s="22" t="str">
        <f aca="false">IF($X1317="","",S1317+P1317)</f>
        <v/>
      </c>
      <c r="U1317" s="22" t="str">
        <f aca="false">IF($X1317="","",V1317-T1317)</f>
        <v/>
      </c>
      <c r="V1317" s="22" t="str">
        <f aca="false">IF($X1317="","",O1317+R1317)</f>
        <v/>
      </c>
      <c r="W1317" s="22" t="str">
        <f aca="false">IF($X1317="","",U1317-L1317)</f>
        <v/>
      </c>
      <c r="X1317" s="24" t="str">
        <f aca="false">IF(ROWS($X$2:$X1317)&lt;=MAX('Per Line'!$AI$2:$AI$4001),MATCH(ROWS($X$2:$X1317),'Per Line'!$AI$2:$AI$4001,0),"")</f>
        <v/>
      </c>
    </row>
    <row r="1318" customFormat="false" ht="15" hidden="false" customHeight="false" outlineLevel="0" collapsed="false">
      <c r="A1318" s="19"/>
      <c r="B1318" s="20" t="str">
        <f aca="false">IF($X1318="","",INDEX('Per Line'!$D$2:$D$4001,$X1318))</f>
        <v/>
      </c>
      <c r="C1318" s="20" t="str">
        <f aca="false">IF($X1318="","",INDEX('Per Line'!$C$2:$C$4001,$X1318))</f>
        <v/>
      </c>
      <c r="D1318" s="20" t="str">
        <f aca="false">IF($X1318="","",INDEX('Per Line'!$A$2:$A$4001,$X1318))</f>
        <v/>
      </c>
      <c r="E1318" s="21" t="str">
        <f aca="false">IF($X1318="","",INDEX('Per Line'!$F$2:$F$4001,$X1318))</f>
        <v/>
      </c>
      <c r="F1318" s="20" t="str">
        <f aca="false">IF($X1318="","",INDEX('Per Line'!$G$2:$G$4001,$X1318))</f>
        <v/>
      </c>
      <c r="G1318" s="20" t="str">
        <f aca="false">IF($X1318="","",INDEX('Per Line'!$I$2:$I$4001,$X1318))</f>
        <v/>
      </c>
      <c r="H1318" s="20" t="str">
        <f aca="false">IF($X1318="","",INDEX('Per Line'!$J$2:$J$4001,$X1318))</f>
        <v/>
      </c>
      <c r="I1318" s="20" t="str">
        <f aca="false">IF($X1318="","",INDEX('Per Line'!$K$2:$K$4001,$X1318))</f>
        <v/>
      </c>
      <c r="J1318" s="20" t="str">
        <f aca="false">IF($X1318="","",INDEX('Per Line'!$L$2:$L$4001,$X1318))</f>
        <v/>
      </c>
      <c r="K1318" s="20" t="str">
        <f aca="false">IF($X1318="","",INDEX('Per Line'!$M$2:$M$4001,$X1318))</f>
        <v/>
      </c>
      <c r="L1318" s="22" t="str">
        <f aca="false">IF($X1318="","",K1318*V1318/100)</f>
        <v/>
      </c>
      <c r="M1318" s="20" t="str">
        <f aca="false">IF($X1318="","",INDEX('Per Line'!$Z$2:$Z$4001,$X1318))</f>
        <v/>
      </c>
      <c r="N1318" s="23" t="str">
        <f aca="false">IF($X1318="","",Settings!$C$7)</f>
        <v/>
      </c>
      <c r="O1318" s="22" t="str">
        <f aca="false">IF($X1318="","",SUMIFS('Per Line'!$Y$2:$Y$4001,'Per Line'!$D$2:$D$4001,$B1318,'Per Line'!$AJ$2:$AJ$4001,0))</f>
        <v/>
      </c>
      <c r="P1318" s="22" t="str">
        <f aca="false">IF($X1318="","",O1318*N1318)</f>
        <v/>
      </c>
      <c r="Q1318" s="23" t="str">
        <f aca="false">IF($X1318="","",Settings!$C$6)</f>
        <v/>
      </c>
      <c r="R1318" s="22" t="str">
        <f aca="false">IF($X1318="","",SUMIFS('Per Line'!$Y$2:$Y$4001,'Per Line'!$D$2:$D$4001,$B1318,'Per Line'!$AJ$2:$AJ$4001,1))</f>
        <v/>
      </c>
      <c r="S1318" s="22" t="str">
        <f aca="false">IF($X1318="","",R1318*Q1318)</f>
        <v/>
      </c>
      <c r="T1318" s="22" t="str">
        <f aca="false">IF($X1318="","",S1318+P1318)</f>
        <v/>
      </c>
      <c r="U1318" s="22" t="str">
        <f aca="false">IF($X1318="","",V1318-T1318)</f>
        <v/>
      </c>
      <c r="V1318" s="22" t="str">
        <f aca="false">IF($X1318="","",O1318+R1318)</f>
        <v/>
      </c>
      <c r="W1318" s="22" t="str">
        <f aca="false">IF($X1318="","",U1318-L1318)</f>
        <v/>
      </c>
      <c r="X1318" s="24" t="str">
        <f aca="false">IF(ROWS($X$2:$X1318)&lt;=MAX('Per Line'!$AI$2:$AI$4001),MATCH(ROWS($X$2:$X1318),'Per Line'!$AI$2:$AI$4001,0),"")</f>
        <v/>
      </c>
    </row>
    <row r="1319" customFormat="false" ht="15" hidden="false" customHeight="false" outlineLevel="0" collapsed="false">
      <c r="A1319" s="19"/>
      <c r="B1319" s="20" t="str">
        <f aca="false">IF($X1319="","",INDEX('Per Line'!$D$2:$D$4001,$X1319))</f>
        <v/>
      </c>
      <c r="C1319" s="20" t="str">
        <f aca="false">IF($X1319="","",INDEX('Per Line'!$C$2:$C$4001,$X1319))</f>
        <v/>
      </c>
      <c r="D1319" s="20" t="str">
        <f aca="false">IF($X1319="","",INDEX('Per Line'!$A$2:$A$4001,$X1319))</f>
        <v/>
      </c>
      <c r="E1319" s="21" t="str">
        <f aca="false">IF($X1319="","",INDEX('Per Line'!$F$2:$F$4001,$X1319))</f>
        <v/>
      </c>
      <c r="F1319" s="20" t="str">
        <f aca="false">IF($X1319="","",INDEX('Per Line'!$G$2:$G$4001,$X1319))</f>
        <v/>
      </c>
      <c r="G1319" s="20" t="str">
        <f aca="false">IF($X1319="","",INDEX('Per Line'!$I$2:$I$4001,$X1319))</f>
        <v/>
      </c>
      <c r="H1319" s="20" t="str">
        <f aca="false">IF($X1319="","",INDEX('Per Line'!$J$2:$J$4001,$X1319))</f>
        <v/>
      </c>
      <c r="I1319" s="20" t="str">
        <f aca="false">IF($X1319="","",INDEX('Per Line'!$K$2:$K$4001,$X1319))</f>
        <v/>
      </c>
      <c r="J1319" s="20" t="str">
        <f aca="false">IF($X1319="","",INDEX('Per Line'!$L$2:$L$4001,$X1319))</f>
        <v/>
      </c>
      <c r="K1319" s="20" t="str">
        <f aca="false">IF($X1319="","",INDEX('Per Line'!$M$2:$M$4001,$X1319))</f>
        <v/>
      </c>
      <c r="L1319" s="22" t="str">
        <f aca="false">IF($X1319="","",K1319*V1319/100)</f>
        <v/>
      </c>
      <c r="M1319" s="20" t="str">
        <f aca="false">IF($X1319="","",INDEX('Per Line'!$Z$2:$Z$4001,$X1319))</f>
        <v/>
      </c>
      <c r="N1319" s="23" t="str">
        <f aca="false">IF($X1319="","",Settings!$C$7)</f>
        <v/>
      </c>
      <c r="O1319" s="22" t="str">
        <f aca="false">IF($X1319="","",SUMIFS('Per Line'!$Y$2:$Y$4001,'Per Line'!$D$2:$D$4001,$B1319,'Per Line'!$AJ$2:$AJ$4001,0))</f>
        <v/>
      </c>
      <c r="P1319" s="22" t="str">
        <f aca="false">IF($X1319="","",O1319*N1319)</f>
        <v/>
      </c>
      <c r="Q1319" s="23" t="str">
        <f aca="false">IF($X1319="","",Settings!$C$6)</f>
        <v/>
      </c>
      <c r="R1319" s="22" t="str">
        <f aca="false">IF($X1319="","",SUMIFS('Per Line'!$Y$2:$Y$4001,'Per Line'!$D$2:$D$4001,$B1319,'Per Line'!$AJ$2:$AJ$4001,1))</f>
        <v/>
      </c>
      <c r="S1319" s="22" t="str">
        <f aca="false">IF($X1319="","",R1319*Q1319)</f>
        <v/>
      </c>
      <c r="T1319" s="22" t="str">
        <f aca="false">IF($X1319="","",S1319+P1319)</f>
        <v/>
      </c>
      <c r="U1319" s="22" t="str">
        <f aca="false">IF($X1319="","",V1319-T1319)</f>
        <v/>
      </c>
      <c r="V1319" s="22" t="str">
        <f aca="false">IF($X1319="","",O1319+R1319)</f>
        <v/>
      </c>
      <c r="W1319" s="22" t="str">
        <f aca="false">IF($X1319="","",U1319-L1319)</f>
        <v/>
      </c>
      <c r="X1319" s="24" t="str">
        <f aca="false">IF(ROWS($X$2:$X1319)&lt;=MAX('Per Line'!$AI$2:$AI$4001),MATCH(ROWS($X$2:$X1319),'Per Line'!$AI$2:$AI$4001,0),"")</f>
        <v/>
      </c>
    </row>
    <row r="1320" customFormat="false" ht="15" hidden="false" customHeight="false" outlineLevel="0" collapsed="false">
      <c r="A1320" s="19"/>
      <c r="B1320" s="20" t="str">
        <f aca="false">IF($X1320="","",INDEX('Per Line'!$D$2:$D$4001,$X1320))</f>
        <v/>
      </c>
      <c r="C1320" s="20" t="str">
        <f aca="false">IF($X1320="","",INDEX('Per Line'!$C$2:$C$4001,$X1320))</f>
        <v/>
      </c>
      <c r="D1320" s="20" t="str">
        <f aca="false">IF($X1320="","",INDEX('Per Line'!$A$2:$A$4001,$X1320))</f>
        <v/>
      </c>
      <c r="E1320" s="21" t="str">
        <f aca="false">IF($X1320="","",INDEX('Per Line'!$F$2:$F$4001,$X1320))</f>
        <v/>
      </c>
      <c r="F1320" s="20" t="str">
        <f aca="false">IF($X1320="","",INDEX('Per Line'!$G$2:$G$4001,$X1320))</f>
        <v/>
      </c>
      <c r="G1320" s="20" t="str">
        <f aca="false">IF($X1320="","",INDEX('Per Line'!$I$2:$I$4001,$X1320))</f>
        <v/>
      </c>
      <c r="H1320" s="20" t="str">
        <f aca="false">IF($X1320="","",INDEX('Per Line'!$J$2:$J$4001,$X1320))</f>
        <v/>
      </c>
      <c r="I1320" s="20" t="str">
        <f aca="false">IF($X1320="","",INDEX('Per Line'!$K$2:$K$4001,$X1320))</f>
        <v/>
      </c>
      <c r="J1320" s="20" t="str">
        <f aca="false">IF($X1320="","",INDEX('Per Line'!$L$2:$L$4001,$X1320))</f>
        <v/>
      </c>
      <c r="K1320" s="20" t="str">
        <f aca="false">IF($X1320="","",INDEX('Per Line'!$M$2:$M$4001,$X1320))</f>
        <v/>
      </c>
      <c r="L1320" s="22" t="str">
        <f aca="false">IF($X1320="","",K1320*V1320/100)</f>
        <v/>
      </c>
      <c r="M1320" s="20" t="str">
        <f aca="false">IF($X1320="","",INDEX('Per Line'!$Z$2:$Z$4001,$X1320))</f>
        <v/>
      </c>
      <c r="N1320" s="23" t="str">
        <f aca="false">IF($X1320="","",Settings!$C$7)</f>
        <v/>
      </c>
      <c r="O1320" s="22" t="str">
        <f aca="false">IF($X1320="","",SUMIFS('Per Line'!$Y$2:$Y$4001,'Per Line'!$D$2:$D$4001,$B1320,'Per Line'!$AJ$2:$AJ$4001,0))</f>
        <v/>
      </c>
      <c r="P1320" s="22" t="str">
        <f aca="false">IF($X1320="","",O1320*N1320)</f>
        <v/>
      </c>
      <c r="Q1320" s="23" t="str">
        <f aca="false">IF($X1320="","",Settings!$C$6)</f>
        <v/>
      </c>
      <c r="R1320" s="22" t="str">
        <f aca="false">IF($X1320="","",SUMIFS('Per Line'!$Y$2:$Y$4001,'Per Line'!$D$2:$D$4001,$B1320,'Per Line'!$AJ$2:$AJ$4001,1))</f>
        <v/>
      </c>
      <c r="S1320" s="22" t="str">
        <f aca="false">IF($X1320="","",R1320*Q1320)</f>
        <v/>
      </c>
      <c r="T1320" s="22" t="str">
        <f aca="false">IF($X1320="","",S1320+P1320)</f>
        <v/>
      </c>
      <c r="U1320" s="22" t="str">
        <f aca="false">IF($X1320="","",V1320-T1320)</f>
        <v/>
      </c>
      <c r="V1320" s="22" t="str">
        <f aca="false">IF($X1320="","",O1320+R1320)</f>
        <v/>
      </c>
      <c r="W1320" s="22" t="str">
        <f aca="false">IF($X1320="","",U1320-L1320)</f>
        <v/>
      </c>
      <c r="X1320" s="24" t="str">
        <f aca="false">IF(ROWS($X$2:$X1320)&lt;=MAX('Per Line'!$AI$2:$AI$4001),MATCH(ROWS($X$2:$X1320),'Per Line'!$AI$2:$AI$4001,0),"")</f>
        <v/>
      </c>
    </row>
    <row r="1321" customFormat="false" ht="15" hidden="false" customHeight="false" outlineLevel="0" collapsed="false">
      <c r="A1321" s="19"/>
      <c r="B1321" s="20" t="str">
        <f aca="false">IF($X1321="","",INDEX('Per Line'!$D$2:$D$4001,$X1321))</f>
        <v/>
      </c>
      <c r="C1321" s="20" t="str">
        <f aca="false">IF($X1321="","",INDEX('Per Line'!$C$2:$C$4001,$X1321))</f>
        <v/>
      </c>
      <c r="D1321" s="20" t="str">
        <f aca="false">IF($X1321="","",INDEX('Per Line'!$A$2:$A$4001,$X1321))</f>
        <v/>
      </c>
      <c r="E1321" s="21" t="str">
        <f aca="false">IF($X1321="","",INDEX('Per Line'!$F$2:$F$4001,$X1321))</f>
        <v/>
      </c>
      <c r="F1321" s="20" t="str">
        <f aca="false">IF($X1321="","",INDEX('Per Line'!$G$2:$G$4001,$X1321))</f>
        <v/>
      </c>
      <c r="G1321" s="20" t="str">
        <f aca="false">IF($X1321="","",INDEX('Per Line'!$I$2:$I$4001,$X1321))</f>
        <v/>
      </c>
      <c r="H1321" s="20" t="str">
        <f aca="false">IF($X1321="","",INDEX('Per Line'!$J$2:$J$4001,$X1321))</f>
        <v/>
      </c>
      <c r="I1321" s="20" t="str">
        <f aca="false">IF($X1321="","",INDEX('Per Line'!$K$2:$K$4001,$X1321))</f>
        <v/>
      </c>
      <c r="J1321" s="20" t="str">
        <f aca="false">IF($X1321="","",INDEX('Per Line'!$L$2:$L$4001,$X1321))</f>
        <v/>
      </c>
      <c r="K1321" s="20" t="str">
        <f aca="false">IF($X1321="","",INDEX('Per Line'!$M$2:$M$4001,$X1321))</f>
        <v/>
      </c>
      <c r="L1321" s="22" t="str">
        <f aca="false">IF($X1321="","",K1321*V1321/100)</f>
        <v/>
      </c>
      <c r="M1321" s="20" t="str">
        <f aca="false">IF($X1321="","",INDEX('Per Line'!$Z$2:$Z$4001,$X1321))</f>
        <v/>
      </c>
      <c r="N1321" s="23" t="str">
        <f aca="false">IF($X1321="","",Settings!$C$7)</f>
        <v/>
      </c>
      <c r="O1321" s="22" t="str">
        <f aca="false">IF($X1321="","",SUMIFS('Per Line'!$Y$2:$Y$4001,'Per Line'!$D$2:$D$4001,$B1321,'Per Line'!$AJ$2:$AJ$4001,0))</f>
        <v/>
      </c>
      <c r="P1321" s="22" t="str">
        <f aca="false">IF($X1321="","",O1321*N1321)</f>
        <v/>
      </c>
      <c r="Q1321" s="23" t="str">
        <f aca="false">IF($X1321="","",Settings!$C$6)</f>
        <v/>
      </c>
      <c r="R1321" s="22" t="str">
        <f aca="false">IF($X1321="","",SUMIFS('Per Line'!$Y$2:$Y$4001,'Per Line'!$D$2:$D$4001,$B1321,'Per Line'!$AJ$2:$AJ$4001,1))</f>
        <v/>
      </c>
      <c r="S1321" s="22" t="str">
        <f aca="false">IF($X1321="","",R1321*Q1321)</f>
        <v/>
      </c>
      <c r="T1321" s="22" t="str">
        <f aca="false">IF($X1321="","",S1321+P1321)</f>
        <v/>
      </c>
      <c r="U1321" s="22" t="str">
        <f aca="false">IF($X1321="","",V1321-T1321)</f>
        <v/>
      </c>
      <c r="V1321" s="22" t="str">
        <f aca="false">IF($X1321="","",O1321+R1321)</f>
        <v/>
      </c>
      <c r="W1321" s="22" t="str">
        <f aca="false">IF($X1321="","",U1321-L1321)</f>
        <v/>
      </c>
      <c r="X1321" s="24" t="str">
        <f aca="false">IF(ROWS($X$2:$X1321)&lt;=MAX('Per Line'!$AI$2:$AI$4001),MATCH(ROWS($X$2:$X1321),'Per Line'!$AI$2:$AI$4001,0),"")</f>
        <v/>
      </c>
    </row>
    <row r="1322" customFormat="false" ht="15" hidden="false" customHeight="false" outlineLevel="0" collapsed="false">
      <c r="A1322" s="19"/>
      <c r="B1322" s="20" t="str">
        <f aca="false">IF($X1322="","",INDEX('Per Line'!$D$2:$D$4001,$X1322))</f>
        <v/>
      </c>
      <c r="C1322" s="20" t="str">
        <f aca="false">IF($X1322="","",INDEX('Per Line'!$C$2:$C$4001,$X1322))</f>
        <v/>
      </c>
      <c r="D1322" s="20" t="str">
        <f aca="false">IF($X1322="","",INDEX('Per Line'!$A$2:$A$4001,$X1322))</f>
        <v/>
      </c>
      <c r="E1322" s="21" t="str">
        <f aca="false">IF($X1322="","",INDEX('Per Line'!$F$2:$F$4001,$X1322))</f>
        <v/>
      </c>
      <c r="F1322" s="20" t="str">
        <f aca="false">IF($X1322="","",INDEX('Per Line'!$G$2:$G$4001,$X1322))</f>
        <v/>
      </c>
      <c r="G1322" s="20" t="str">
        <f aca="false">IF($X1322="","",INDEX('Per Line'!$I$2:$I$4001,$X1322))</f>
        <v/>
      </c>
      <c r="H1322" s="20" t="str">
        <f aca="false">IF($X1322="","",INDEX('Per Line'!$J$2:$J$4001,$X1322))</f>
        <v/>
      </c>
      <c r="I1322" s="20" t="str">
        <f aca="false">IF($X1322="","",INDEX('Per Line'!$K$2:$K$4001,$X1322))</f>
        <v/>
      </c>
      <c r="J1322" s="20" t="str">
        <f aca="false">IF($X1322="","",INDEX('Per Line'!$L$2:$L$4001,$X1322))</f>
        <v/>
      </c>
      <c r="K1322" s="20" t="str">
        <f aca="false">IF($X1322="","",INDEX('Per Line'!$M$2:$M$4001,$X1322))</f>
        <v/>
      </c>
      <c r="L1322" s="22" t="str">
        <f aca="false">IF($X1322="","",K1322*V1322/100)</f>
        <v/>
      </c>
      <c r="M1322" s="20" t="str">
        <f aca="false">IF($X1322="","",INDEX('Per Line'!$Z$2:$Z$4001,$X1322))</f>
        <v/>
      </c>
      <c r="N1322" s="23" t="str">
        <f aca="false">IF($X1322="","",Settings!$C$7)</f>
        <v/>
      </c>
      <c r="O1322" s="22" t="str">
        <f aca="false">IF($X1322="","",SUMIFS('Per Line'!$Y$2:$Y$4001,'Per Line'!$D$2:$D$4001,$B1322,'Per Line'!$AJ$2:$AJ$4001,0))</f>
        <v/>
      </c>
      <c r="P1322" s="22" t="str">
        <f aca="false">IF($X1322="","",O1322*N1322)</f>
        <v/>
      </c>
      <c r="Q1322" s="23" t="str">
        <f aca="false">IF($X1322="","",Settings!$C$6)</f>
        <v/>
      </c>
      <c r="R1322" s="22" t="str">
        <f aca="false">IF($X1322="","",SUMIFS('Per Line'!$Y$2:$Y$4001,'Per Line'!$D$2:$D$4001,$B1322,'Per Line'!$AJ$2:$AJ$4001,1))</f>
        <v/>
      </c>
      <c r="S1322" s="22" t="str">
        <f aca="false">IF($X1322="","",R1322*Q1322)</f>
        <v/>
      </c>
      <c r="T1322" s="22" t="str">
        <f aca="false">IF($X1322="","",S1322+P1322)</f>
        <v/>
      </c>
      <c r="U1322" s="22" t="str">
        <f aca="false">IF($X1322="","",V1322-T1322)</f>
        <v/>
      </c>
      <c r="V1322" s="22" t="str">
        <f aca="false">IF($X1322="","",O1322+R1322)</f>
        <v/>
      </c>
      <c r="W1322" s="22" t="str">
        <f aca="false">IF($X1322="","",U1322-L1322)</f>
        <v/>
      </c>
      <c r="X1322" s="24" t="str">
        <f aca="false">IF(ROWS($X$2:$X1322)&lt;=MAX('Per Line'!$AI$2:$AI$4001),MATCH(ROWS($X$2:$X1322),'Per Line'!$AI$2:$AI$4001,0),"")</f>
        <v/>
      </c>
    </row>
    <row r="1323" customFormat="false" ht="15" hidden="false" customHeight="false" outlineLevel="0" collapsed="false">
      <c r="A1323" s="19"/>
      <c r="B1323" s="20" t="str">
        <f aca="false">IF($X1323="","",INDEX('Per Line'!$D$2:$D$4001,$X1323))</f>
        <v/>
      </c>
      <c r="C1323" s="20" t="str">
        <f aca="false">IF($X1323="","",INDEX('Per Line'!$C$2:$C$4001,$X1323))</f>
        <v/>
      </c>
      <c r="D1323" s="20" t="str">
        <f aca="false">IF($X1323="","",INDEX('Per Line'!$A$2:$A$4001,$X1323))</f>
        <v/>
      </c>
      <c r="E1323" s="21" t="str">
        <f aca="false">IF($X1323="","",INDEX('Per Line'!$F$2:$F$4001,$X1323))</f>
        <v/>
      </c>
      <c r="F1323" s="20" t="str">
        <f aca="false">IF($X1323="","",INDEX('Per Line'!$G$2:$G$4001,$X1323))</f>
        <v/>
      </c>
      <c r="G1323" s="20" t="str">
        <f aca="false">IF($X1323="","",INDEX('Per Line'!$I$2:$I$4001,$X1323))</f>
        <v/>
      </c>
      <c r="H1323" s="20" t="str">
        <f aca="false">IF($X1323="","",INDEX('Per Line'!$J$2:$J$4001,$X1323))</f>
        <v/>
      </c>
      <c r="I1323" s="20" t="str">
        <f aca="false">IF($X1323="","",INDEX('Per Line'!$K$2:$K$4001,$X1323))</f>
        <v/>
      </c>
      <c r="J1323" s="20" t="str">
        <f aca="false">IF($X1323="","",INDEX('Per Line'!$L$2:$L$4001,$X1323))</f>
        <v/>
      </c>
      <c r="K1323" s="20" t="str">
        <f aca="false">IF($X1323="","",INDEX('Per Line'!$M$2:$M$4001,$X1323))</f>
        <v/>
      </c>
      <c r="L1323" s="22" t="str">
        <f aca="false">IF($X1323="","",K1323*V1323/100)</f>
        <v/>
      </c>
      <c r="M1323" s="20" t="str">
        <f aca="false">IF($X1323="","",INDEX('Per Line'!$Z$2:$Z$4001,$X1323))</f>
        <v/>
      </c>
      <c r="N1323" s="23" t="str">
        <f aca="false">IF($X1323="","",Settings!$C$7)</f>
        <v/>
      </c>
      <c r="O1323" s="22" t="str">
        <f aca="false">IF($X1323="","",SUMIFS('Per Line'!$Y$2:$Y$4001,'Per Line'!$D$2:$D$4001,$B1323,'Per Line'!$AJ$2:$AJ$4001,0))</f>
        <v/>
      </c>
      <c r="P1323" s="22" t="str">
        <f aca="false">IF($X1323="","",O1323*N1323)</f>
        <v/>
      </c>
      <c r="Q1323" s="23" t="str">
        <f aca="false">IF($X1323="","",Settings!$C$6)</f>
        <v/>
      </c>
      <c r="R1323" s="22" t="str">
        <f aca="false">IF($X1323="","",SUMIFS('Per Line'!$Y$2:$Y$4001,'Per Line'!$D$2:$D$4001,$B1323,'Per Line'!$AJ$2:$AJ$4001,1))</f>
        <v/>
      </c>
      <c r="S1323" s="22" t="str">
        <f aca="false">IF($X1323="","",R1323*Q1323)</f>
        <v/>
      </c>
      <c r="T1323" s="22" t="str">
        <f aca="false">IF($X1323="","",S1323+P1323)</f>
        <v/>
      </c>
      <c r="U1323" s="22" t="str">
        <f aca="false">IF($X1323="","",V1323-T1323)</f>
        <v/>
      </c>
      <c r="V1323" s="22" t="str">
        <f aca="false">IF($X1323="","",O1323+R1323)</f>
        <v/>
      </c>
      <c r="W1323" s="22" t="str">
        <f aca="false">IF($X1323="","",U1323-L1323)</f>
        <v/>
      </c>
      <c r="X1323" s="24" t="str">
        <f aca="false">IF(ROWS($X$2:$X1323)&lt;=MAX('Per Line'!$AI$2:$AI$4001),MATCH(ROWS($X$2:$X1323),'Per Line'!$AI$2:$AI$4001,0),"")</f>
        <v/>
      </c>
    </row>
    <row r="1324" customFormat="false" ht="15" hidden="false" customHeight="false" outlineLevel="0" collapsed="false">
      <c r="A1324" s="19"/>
      <c r="B1324" s="20" t="str">
        <f aca="false">IF($X1324="","",INDEX('Per Line'!$D$2:$D$4001,$X1324))</f>
        <v/>
      </c>
      <c r="C1324" s="20" t="str">
        <f aca="false">IF($X1324="","",INDEX('Per Line'!$C$2:$C$4001,$X1324))</f>
        <v/>
      </c>
      <c r="D1324" s="20" t="str">
        <f aca="false">IF($X1324="","",INDEX('Per Line'!$A$2:$A$4001,$X1324))</f>
        <v/>
      </c>
      <c r="E1324" s="21" t="str">
        <f aca="false">IF($X1324="","",INDEX('Per Line'!$F$2:$F$4001,$X1324))</f>
        <v/>
      </c>
      <c r="F1324" s="20" t="str">
        <f aca="false">IF($X1324="","",INDEX('Per Line'!$G$2:$G$4001,$X1324))</f>
        <v/>
      </c>
      <c r="G1324" s="20" t="str">
        <f aca="false">IF($X1324="","",INDEX('Per Line'!$I$2:$I$4001,$X1324))</f>
        <v/>
      </c>
      <c r="H1324" s="20" t="str">
        <f aca="false">IF($X1324="","",INDEX('Per Line'!$J$2:$J$4001,$X1324))</f>
        <v/>
      </c>
      <c r="I1324" s="20" t="str">
        <f aca="false">IF($X1324="","",INDEX('Per Line'!$K$2:$K$4001,$X1324))</f>
        <v/>
      </c>
      <c r="J1324" s="20" t="str">
        <f aca="false">IF($X1324="","",INDEX('Per Line'!$L$2:$L$4001,$X1324))</f>
        <v/>
      </c>
      <c r="K1324" s="20" t="str">
        <f aca="false">IF($X1324="","",INDEX('Per Line'!$M$2:$M$4001,$X1324))</f>
        <v/>
      </c>
      <c r="L1324" s="22" t="str">
        <f aca="false">IF($X1324="","",K1324*V1324/100)</f>
        <v/>
      </c>
      <c r="M1324" s="20" t="str">
        <f aca="false">IF($X1324="","",INDEX('Per Line'!$Z$2:$Z$4001,$X1324))</f>
        <v/>
      </c>
      <c r="N1324" s="23" t="str">
        <f aca="false">IF($X1324="","",Settings!$C$7)</f>
        <v/>
      </c>
      <c r="O1324" s="22" t="str">
        <f aca="false">IF($X1324="","",SUMIFS('Per Line'!$Y$2:$Y$4001,'Per Line'!$D$2:$D$4001,$B1324,'Per Line'!$AJ$2:$AJ$4001,0))</f>
        <v/>
      </c>
      <c r="P1324" s="22" t="str">
        <f aca="false">IF($X1324="","",O1324*N1324)</f>
        <v/>
      </c>
      <c r="Q1324" s="23" t="str">
        <f aca="false">IF($X1324="","",Settings!$C$6)</f>
        <v/>
      </c>
      <c r="R1324" s="22" t="str">
        <f aca="false">IF($X1324="","",SUMIFS('Per Line'!$Y$2:$Y$4001,'Per Line'!$D$2:$D$4001,$B1324,'Per Line'!$AJ$2:$AJ$4001,1))</f>
        <v/>
      </c>
      <c r="S1324" s="22" t="str">
        <f aca="false">IF($X1324="","",R1324*Q1324)</f>
        <v/>
      </c>
      <c r="T1324" s="22" t="str">
        <f aca="false">IF($X1324="","",S1324+P1324)</f>
        <v/>
      </c>
      <c r="U1324" s="22" t="str">
        <f aca="false">IF($X1324="","",V1324-T1324)</f>
        <v/>
      </c>
      <c r="V1324" s="22" t="str">
        <f aca="false">IF($X1324="","",O1324+R1324)</f>
        <v/>
      </c>
      <c r="W1324" s="22" t="str">
        <f aca="false">IF($X1324="","",U1324-L1324)</f>
        <v/>
      </c>
      <c r="X1324" s="24" t="str">
        <f aca="false">IF(ROWS($X$2:$X1324)&lt;=MAX('Per Line'!$AI$2:$AI$4001),MATCH(ROWS($X$2:$X1324),'Per Line'!$AI$2:$AI$4001,0),"")</f>
        <v/>
      </c>
    </row>
    <row r="1325" customFormat="false" ht="15" hidden="false" customHeight="false" outlineLevel="0" collapsed="false">
      <c r="A1325" s="19"/>
      <c r="B1325" s="20" t="str">
        <f aca="false">IF($X1325="","",INDEX('Per Line'!$D$2:$D$4001,$X1325))</f>
        <v/>
      </c>
      <c r="C1325" s="20" t="str">
        <f aca="false">IF($X1325="","",INDEX('Per Line'!$C$2:$C$4001,$X1325))</f>
        <v/>
      </c>
      <c r="D1325" s="20" t="str">
        <f aca="false">IF($X1325="","",INDEX('Per Line'!$A$2:$A$4001,$X1325))</f>
        <v/>
      </c>
      <c r="E1325" s="21" t="str">
        <f aca="false">IF($X1325="","",INDEX('Per Line'!$F$2:$F$4001,$X1325))</f>
        <v/>
      </c>
      <c r="F1325" s="20" t="str">
        <f aca="false">IF($X1325="","",INDEX('Per Line'!$G$2:$G$4001,$X1325))</f>
        <v/>
      </c>
      <c r="G1325" s="20" t="str">
        <f aca="false">IF($X1325="","",INDEX('Per Line'!$I$2:$I$4001,$X1325))</f>
        <v/>
      </c>
      <c r="H1325" s="20" t="str">
        <f aca="false">IF($X1325="","",INDEX('Per Line'!$J$2:$J$4001,$X1325))</f>
        <v/>
      </c>
      <c r="I1325" s="20" t="str">
        <f aca="false">IF($X1325="","",INDEX('Per Line'!$K$2:$K$4001,$X1325))</f>
        <v/>
      </c>
      <c r="J1325" s="20" t="str">
        <f aca="false">IF($X1325="","",INDEX('Per Line'!$L$2:$L$4001,$X1325))</f>
        <v/>
      </c>
      <c r="K1325" s="20" t="str">
        <f aca="false">IF($X1325="","",INDEX('Per Line'!$M$2:$M$4001,$X1325))</f>
        <v/>
      </c>
      <c r="L1325" s="22" t="str">
        <f aca="false">IF($X1325="","",K1325*V1325/100)</f>
        <v/>
      </c>
      <c r="M1325" s="20" t="str">
        <f aca="false">IF($X1325="","",INDEX('Per Line'!$Z$2:$Z$4001,$X1325))</f>
        <v/>
      </c>
      <c r="N1325" s="23" t="str">
        <f aca="false">IF($X1325="","",Settings!$C$7)</f>
        <v/>
      </c>
      <c r="O1325" s="22" t="str">
        <f aca="false">IF($X1325="","",SUMIFS('Per Line'!$Y$2:$Y$4001,'Per Line'!$D$2:$D$4001,$B1325,'Per Line'!$AJ$2:$AJ$4001,0))</f>
        <v/>
      </c>
      <c r="P1325" s="22" t="str">
        <f aca="false">IF($X1325="","",O1325*N1325)</f>
        <v/>
      </c>
      <c r="Q1325" s="23" t="str">
        <f aca="false">IF($X1325="","",Settings!$C$6)</f>
        <v/>
      </c>
      <c r="R1325" s="22" t="str">
        <f aca="false">IF($X1325="","",SUMIFS('Per Line'!$Y$2:$Y$4001,'Per Line'!$D$2:$D$4001,$B1325,'Per Line'!$AJ$2:$AJ$4001,1))</f>
        <v/>
      </c>
      <c r="S1325" s="22" t="str">
        <f aca="false">IF($X1325="","",R1325*Q1325)</f>
        <v/>
      </c>
      <c r="T1325" s="22" t="str">
        <f aca="false">IF($X1325="","",S1325+P1325)</f>
        <v/>
      </c>
      <c r="U1325" s="22" t="str">
        <f aca="false">IF($X1325="","",V1325-T1325)</f>
        <v/>
      </c>
      <c r="V1325" s="22" t="str">
        <f aca="false">IF($X1325="","",O1325+R1325)</f>
        <v/>
      </c>
      <c r="W1325" s="22" t="str">
        <f aca="false">IF($X1325="","",U1325-L1325)</f>
        <v/>
      </c>
      <c r="X1325" s="24" t="str">
        <f aca="false">IF(ROWS($X$2:$X1325)&lt;=MAX('Per Line'!$AI$2:$AI$4001),MATCH(ROWS($X$2:$X1325),'Per Line'!$AI$2:$AI$4001,0),"")</f>
        <v/>
      </c>
    </row>
    <row r="1326" customFormat="false" ht="15" hidden="false" customHeight="false" outlineLevel="0" collapsed="false">
      <c r="A1326" s="19"/>
      <c r="B1326" s="20" t="str">
        <f aca="false">IF($X1326="","",INDEX('Per Line'!$D$2:$D$4001,$X1326))</f>
        <v/>
      </c>
      <c r="C1326" s="20" t="str">
        <f aca="false">IF($X1326="","",INDEX('Per Line'!$C$2:$C$4001,$X1326))</f>
        <v/>
      </c>
      <c r="D1326" s="20" t="str">
        <f aca="false">IF($X1326="","",INDEX('Per Line'!$A$2:$A$4001,$X1326))</f>
        <v/>
      </c>
      <c r="E1326" s="21" t="str">
        <f aca="false">IF($X1326="","",INDEX('Per Line'!$F$2:$F$4001,$X1326))</f>
        <v/>
      </c>
      <c r="F1326" s="20" t="str">
        <f aca="false">IF($X1326="","",INDEX('Per Line'!$G$2:$G$4001,$X1326))</f>
        <v/>
      </c>
      <c r="G1326" s="20" t="str">
        <f aca="false">IF($X1326="","",INDEX('Per Line'!$I$2:$I$4001,$X1326))</f>
        <v/>
      </c>
      <c r="H1326" s="20" t="str">
        <f aca="false">IF($X1326="","",INDEX('Per Line'!$J$2:$J$4001,$X1326))</f>
        <v/>
      </c>
      <c r="I1326" s="20" t="str">
        <f aca="false">IF($X1326="","",INDEX('Per Line'!$K$2:$K$4001,$X1326))</f>
        <v/>
      </c>
      <c r="J1326" s="20" t="str">
        <f aca="false">IF($X1326="","",INDEX('Per Line'!$L$2:$L$4001,$X1326))</f>
        <v/>
      </c>
      <c r="K1326" s="20" t="str">
        <f aca="false">IF($X1326="","",INDEX('Per Line'!$M$2:$M$4001,$X1326))</f>
        <v/>
      </c>
      <c r="L1326" s="22" t="str">
        <f aca="false">IF($X1326="","",K1326*V1326/100)</f>
        <v/>
      </c>
      <c r="M1326" s="20" t="str">
        <f aca="false">IF($X1326="","",INDEX('Per Line'!$Z$2:$Z$4001,$X1326))</f>
        <v/>
      </c>
      <c r="N1326" s="23" t="str">
        <f aca="false">IF($X1326="","",Settings!$C$7)</f>
        <v/>
      </c>
      <c r="O1326" s="22" t="str">
        <f aca="false">IF($X1326="","",SUMIFS('Per Line'!$Y$2:$Y$4001,'Per Line'!$D$2:$D$4001,$B1326,'Per Line'!$AJ$2:$AJ$4001,0))</f>
        <v/>
      </c>
      <c r="P1326" s="22" t="str">
        <f aca="false">IF($X1326="","",O1326*N1326)</f>
        <v/>
      </c>
      <c r="Q1326" s="23" t="str">
        <f aca="false">IF($X1326="","",Settings!$C$6)</f>
        <v/>
      </c>
      <c r="R1326" s="22" t="str">
        <f aca="false">IF($X1326="","",SUMIFS('Per Line'!$Y$2:$Y$4001,'Per Line'!$D$2:$D$4001,$B1326,'Per Line'!$AJ$2:$AJ$4001,1))</f>
        <v/>
      </c>
      <c r="S1326" s="22" t="str">
        <f aca="false">IF($X1326="","",R1326*Q1326)</f>
        <v/>
      </c>
      <c r="T1326" s="22" t="str">
        <f aca="false">IF($X1326="","",S1326+P1326)</f>
        <v/>
      </c>
      <c r="U1326" s="22" t="str">
        <f aca="false">IF($X1326="","",V1326-T1326)</f>
        <v/>
      </c>
      <c r="V1326" s="22" t="str">
        <f aca="false">IF($X1326="","",O1326+R1326)</f>
        <v/>
      </c>
      <c r="W1326" s="22" t="str">
        <f aca="false">IF($X1326="","",U1326-L1326)</f>
        <v/>
      </c>
      <c r="X1326" s="24" t="str">
        <f aca="false">IF(ROWS($X$2:$X1326)&lt;=MAX('Per Line'!$AI$2:$AI$4001),MATCH(ROWS($X$2:$X1326),'Per Line'!$AI$2:$AI$4001,0),"")</f>
        <v/>
      </c>
    </row>
    <row r="1327" customFormat="false" ht="15" hidden="false" customHeight="false" outlineLevel="0" collapsed="false">
      <c r="A1327" s="19"/>
      <c r="B1327" s="20" t="str">
        <f aca="false">IF($X1327="","",INDEX('Per Line'!$D$2:$D$4001,$X1327))</f>
        <v/>
      </c>
      <c r="C1327" s="20" t="str">
        <f aca="false">IF($X1327="","",INDEX('Per Line'!$C$2:$C$4001,$X1327))</f>
        <v/>
      </c>
      <c r="D1327" s="20" t="str">
        <f aca="false">IF($X1327="","",INDEX('Per Line'!$A$2:$A$4001,$X1327))</f>
        <v/>
      </c>
      <c r="E1327" s="21" t="str">
        <f aca="false">IF($X1327="","",INDEX('Per Line'!$F$2:$F$4001,$X1327))</f>
        <v/>
      </c>
      <c r="F1327" s="20" t="str">
        <f aca="false">IF($X1327="","",INDEX('Per Line'!$G$2:$G$4001,$X1327))</f>
        <v/>
      </c>
      <c r="G1327" s="20" t="str">
        <f aca="false">IF($X1327="","",INDEX('Per Line'!$I$2:$I$4001,$X1327))</f>
        <v/>
      </c>
      <c r="H1327" s="20" t="str">
        <f aca="false">IF($X1327="","",INDEX('Per Line'!$J$2:$J$4001,$X1327))</f>
        <v/>
      </c>
      <c r="I1327" s="20" t="str">
        <f aca="false">IF($X1327="","",INDEX('Per Line'!$K$2:$K$4001,$X1327))</f>
        <v/>
      </c>
      <c r="J1327" s="20" t="str">
        <f aca="false">IF($X1327="","",INDEX('Per Line'!$L$2:$L$4001,$X1327))</f>
        <v/>
      </c>
      <c r="K1327" s="20" t="str">
        <f aca="false">IF($X1327="","",INDEX('Per Line'!$M$2:$M$4001,$X1327))</f>
        <v/>
      </c>
      <c r="L1327" s="22" t="str">
        <f aca="false">IF($X1327="","",K1327*V1327/100)</f>
        <v/>
      </c>
      <c r="M1327" s="20" t="str">
        <f aca="false">IF($X1327="","",INDEX('Per Line'!$Z$2:$Z$4001,$X1327))</f>
        <v/>
      </c>
      <c r="N1327" s="23" t="str">
        <f aca="false">IF($X1327="","",Settings!$C$7)</f>
        <v/>
      </c>
      <c r="O1327" s="22" t="str">
        <f aca="false">IF($X1327="","",SUMIFS('Per Line'!$Y$2:$Y$4001,'Per Line'!$D$2:$D$4001,$B1327,'Per Line'!$AJ$2:$AJ$4001,0))</f>
        <v/>
      </c>
      <c r="P1327" s="22" t="str">
        <f aca="false">IF($X1327="","",O1327*N1327)</f>
        <v/>
      </c>
      <c r="Q1327" s="23" t="str">
        <f aca="false">IF($X1327="","",Settings!$C$6)</f>
        <v/>
      </c>
      <c r="R1327" s="22" t="str">
        <f aca="false">IF($X1327="","",SUMIFS('Per Line'!$Y$2:$Y$4001,'Per Line'!$D$2:$D$4001,$B1327,'Per Line'!$AJ$2:$AJ$4001,1))</f>
        <v/>
      </c>
      <c r="S1327" s="22" t="str">
        <f aca="false">IF($X1327="","",R1327*Q1327)</f>
        <v/>
      </c>
      <c r="T1327" s="22" t="str">
        <f aca="false">IF($X1327="","",S1327+P1327)</f>
        <v/>
      </c>
      <c r="U1327" s="22" t="str">
        <f aca="false">IF($X1327="","",V1327-T1327)</f>
        <v/>
      </c>
      <c r="V1327" s="22" t="str">
        <f aca="false">IF($X1327="","",O1327+R1327)</f>
        <v/>
      </c>
      <c r="W1327" s="22" t="str">
        <f aca="false">IF($X1327="","",U1327-L1327)</f>
        <v/>
      </c>
      <c r="X1327" s="24" t="str">
        <f aca="false">IF(ROWS($X$2:$X1327)&lt;=MAX('Per Line'!$AI$2:$AI$4001),MATCH(ROWS($X$2:$X1327),'Per Line'!$AI$2:$AI$4001,0),"")</f>
        <v/>
      </c>
    </row>
    <row r="1328" customFormat="false" ht="15" hidden="false" customHeight="false" outlineLevel="0" collapsed="false">
      <c r="A1328" s="19"/>
      <c r="B1328" s="20" t="str">
        <f aca="false">IF($X1328="","",INDEX('Per Line'!$D$2:$D$4001,$X1328))</f>
        <v/>
      </c>
      <c r="C1328" s="20" t="str">
        <f aca="false">IF($X1328="","",INDEX('Per Line'!$C$2:$C$4001,$X1328))</f>
        <v/>
      </c>
      <c r="D1328" s="20" t="str">
        <f aca="false">IF($X1328="","",INDEX('Per Line'!$A$2:$A$4001,$X1328))</f>
        <v/>
      </c>
      <c r="E1328" s="21" t="str">
        <f aca="false">IF($X1328="","",INDEX('Per Line'!$F$2:$F$4001,$X1328))</f>
        <v/>
      </c>
      <c r="F1328" s="20" t="str">
        <f aca="false">IF($X1328="","",INDEX('Per Line'!$G$2:$G$4001,$X1328))</f>
        <v/>
      </c>
      <c r="G1328" s="20" t="str">
        <f aca="false">IF($X1328="","",INDEX('Per Line'!$I$2:$I$4001,$X1328))</f>
        <v/>
      </c>
      <c r="H1328" s="20" t="str">
        <f aca="false">IF($X1328="","",INDEX('Per Line'!$J$2:$J$4001,$X1328))</f>
        <v/>
      </c>
      <c r="I1328" s="20" t="str">
        <f aca="false">IF($X1328="","",INDEX('Per Line'!$K$2:$K$4001,$X1328))</f>
        <v/>
      </c>
      <c r="J1328" s="20" t="str">
        <f aca="false">IF($X1328="","",INDEX('Per Line'!$L$2:$L$4001,$X1328))</f>
        <v/>
      </c>
      <c r="K1328" s="20" t="str">
        <f aca="false">IF($X1328="","",INDEX('Per Line'!$M$2:$M$4001,$X1328))</f>
        <v/>
      </c>
      <c r="L1328" s="22" t="str">
        <f aca="false">IF($X1328="","",K1328*V1328/100)</f>
        <v/>
      </c>
      <c r="M1328" s="20" t="str">
        <f aca="false">IF($X1328="","",INDEX('Per Line'!$Z$2:$Z$4001,$X1328))</f>
        <v/>
      </c>
      <c r="N1328" s="23" t="str">
        <f aca="false">IF($X1328="","",Settings!$C$7)</f>
        <v/>
      </c>
      <c r="O1328" s="22" t="str">
        <f aca="false">IF($X1328="","",SUMIFS('Per Line'!$Y$2:$Y$4001,'Per Line'!$D$2:$D$4001,$B1328,'Per Line'!$AJ$2:$AJ$4001,0))</f>
        <v/>
      </c>
      <c r="P1328" s="22" t="str">
        <f aca="false">IF($X1328="","",O1328*N1328)</f>
        <v/>
      </c>
      <c r="Q1328" s="23" t="str">
        <f aca="false">IF($X1328="","",Settings!$C$6)</f>
        <v/>
      </c>
      <c r="R1328" s="22" t="str">
        <f aca="false">IF($X1328="","",SUMIFS('Per Line'!$Y$2:$Y$4001,'Per Line'!$D$2:$D$4001,$B1328,'Per Line'!$AJ$2:$AJ$4001,1))</f>
        <v/>
      </c>
      <c r="S1328" s="22" t="str">
        <f aca="false">IF($X1328="","",R1328*Q1328)</f>
        <v/>
      </c>
      <c r="T1328" s="22" t="str">
        <f aca="false">IF($X1328="","",S1328+P1328)</f>
        <v/>
      </c>
      <c r="U1328" s="22" t="str">
        <f aca="false">IF($X1328="","",V1328-T1328)</f>
        <v/>
      </c>
      <c r="V1328" s="22" t="str">
        <f aca="false">IF($X1328="","",O1328+R1328)</f>
        <v/>
      </c>
      <c r="W1328" s="22" t="str">
        <f aca="false">IF($X1328="","",U1328-L1328)</f>
        <v/>
      </c>
      <c r="X1328" s="24" t="str">
        <f aca="false">IF(ROWS($X$2:$X1328)&lt;=MAX('Per Line'!$AI$2:$AI$4001),MATCH(ROWS($X$2:$X1328),'Per Line'!$AI$2:$AI$4001,0),"")</f>
        <v/>
      </c>
    </row>
    <row r="1329" customFormat="false" ht="15" hidden="false" customHeight="false" outlineLevel="0" collapsed="false">
      <c r="A1329" s="19"/>
      <c r="B1329" s="20" t="str">
        <f aca="false">IF($X1329="","",INDEX('Per Line'!$D$2:$D$4001,$X1329))</f>
        <v/>
      </c>
      <c r="C1329" s="20" t="str">
        <f aca="false">IF($X1329="","",INDEX('Per Line'!$C$2:$C$4001,$X1329))</f>
        <v/>
      </c>
      <c r="D1329" s="20" t="str">
        <f aca="false">IF($X1329="","",INDEX('Per Line'!$A$2:$A$4001,$X1329))</f>
        <v/>
      </c>
      <c r="E1329" s="21" t="str">
        <f aca="false">IF($X1329="","",INDEX('Per Line'!$F$2:$F$4001,$X1329))</f>
        <v/>
      </c>
      <c r="F1329" s="20" t="str">
        <f aca="false">IF($X1329="","",INDEX('Per Line'!$G$2:$G$4001,$X1329))</f>
        <v/>
      </c>
      <c r="G1329" s="20" t="str">
        <f aca="false">IF($X1329="","",INDEX('Per Line'!$I$2:$I$4001,$X1329))</f>
        <v/>
      </c>
      <c r="H1329" s="20" t="str">
        <f aca="false">IF($X1329="","",INDEX('Per Line'!$J$2:$J$4001,$X1329))</f>
        <v/>
      </c>
      <c r="I1329" s="20" t="str">
        <f aca="false">IF($X1329="","",INDEX('Per Line'!$K$2:$K$4001,$X1329))</f>
        <v/>
      </c>
      <c r="J1329" s="20" t="str">
        <f aca="false">IF($X1329="","",INDEX('Per Line'!$L$2:$L$4001,$X1329))</f>
        <v/>
      </c>
      <c r="K1329" s="20" t="str">
        <f aca="false">IF($X1329="","",INDEX('Per Line'!$M$2:$M$4001,$X1329))</f>
        <v/>
      </c>
      <c r="L1329" s="22" t="str">
        <f aca="false">IF($X1329="","",K1329*V1329/100)</f>
        <v/>
      </c>
      <c r="M1329" s="20" t="str">
        <f aca="false">IF($X1329="","",INDEX('Per Line'!$Z$2:$Z$4001,$X1329))</f>
        <v/>
      </c>
      <c r="N1329" s="23" t="str">
        <f aca="false">IF($X1329="","",Settings!$C$7)</f>
        <v/>
      </c>
      <c r="O1329" s="22" t="str">
        <f aca="false">IF($X1329="","",SUMIFS('Per Line'!$Y$2:$Y$4001,'Per Line'!$D$2:$D$4001,$B1329,'Per Line'!$AJ$2:$AJ$4001,0))</f>
        <v/>
      </c>
      <c r="P1329" s="22" t="str">
        <f aca="false">IF($X1329="","",O1329*N1329)</f>
        <v/>
      </c>
      <c r="Q1329" s="23" t="str">
        <f aca="false">IF($X1329="","",Settings!$C$6)</f>
        <v/>
      </c>
      <c r="R1329" s="22" t="str">
        <f aca="false">IF($X1329="","",SUMIFS('Per Line'!$Y$2:$Y$4001,'Per Line'!$D$2:$D$4001,$B1329,'Per Line'!$AJ$2:$AJ$4001,1))</f>
        <v/>
      </c>
      <c r="S1329" s="22" t="str">
        <f aca="false">IF($X1329="","",R1329*Q1329)</f>
        <v/>
      </c>
      <c r="T1329" s="22" t="str">
        <f aca="false">IF($X1329="","",S1329+P1329)</f>
        <v/>
      </c>
      <c r="U1329" s="22" t="str">
        <f aca="false">IF($X1329="","",V1329-T1329)</f>
        <v/>
      </c>
      <c r="V1329" s="22" t="str">
        <f aca="false">IF($X1329="","",O1329+R1329)</f>
        <v/>
      </c>
      <c r="W1329" s="22" t="str">
        <f aca="false">IF($X1329="","",U1329-L1329)</f>
        <v/>
      </c>
      <c r="X1329" s="24" t="str">
        <f aca="false">IF(ROWS($X$2:$X1329)&lt;=MAX('Per Line'!$AI$2:$AI$4001),MATCH(ROWS($X$2:$X1329),'Per Line'!$AI$2:$AI$4001,0),"")</f>
        <v/>
      </c>
    </row>
    <row r="1330" customFormat="false" ht="15" hidden="false" customHeight="false" outlineLevel="0" collapsed="false">
      <c r="A1330" s="19"/>
      <c r="B1330" s="20" t="str">
        <f aca="false">IF($X1330="","",INDEX('Per Line'!$D$2:$D$4001,$X1330))</f>
        <v/>
      </c>
      <c r="C1330" s="20" t="str">
        <f aca="false">IF($X1330="","",INDEX('Per Line'!$C$2:$C$4001,$X1330))</f>
        <v/>
      </c>
      <c r="D1330" s="20" t="str">
        <f aca="false">IF($X1330="","",INDEX('Per Line'!$A$2:$A$4001,$X1330))</f>
        <v/>
      </c>
      <c r="E1330" s="21" t="str">
        <f aca="false">IF($X1330="","",INDEX('Per Line'!$F$2:$F$4001,$X1330))</f>
        <v/>
      </c>
      <c r="F1330" s="20" t="str">
        <f aca="false">IF($X1330="","",INDEX('Per Line'!$G$2:$G$4001,$X1330))</f>
        <v/>
      </c>
      <c r="G1330" s="20" t="str">
        <f aca="false">IF($X1330="","",INDEX('Per Line'!$I$2:$I$4001,$X1330))</f>
        <v/>
      </c>
      <c r="H1330" s="20" t="str">
        <f aca="false">IF($X1330="","",INDEX('Per Line'!$J$2:$J$4001,$X1330))</f>
        <v/>
      </c>
      <c r="I1330" s="20" t="str">
        <f aca="false">IF($X1330="","",INDEX('Per Line'!$K$2:$K$4001,$X1330))</f>
        <v/>
      </c>
      <c r="J1330" s="20" t="str">
        <f aca="false">IF($X1330="","",INDEX('Per Line'!$L$2:$L$4001,$X1330))</f>
        <v/>
      </c>
      <c r="K1330" s="20" t="str">
        <f aca="false">IF($X1330="","",INDEX('Per Line'!$M$2:$M$4001,$X1330))</f>
        <v/>
      </c>
      <c r="L1330" s="22" t="str">
        <f aca="false">IF($X1330="","",K1330*V1330/100)</f>
        <v/>
      </c>
      <c r="M1330" s="20" t="str">
        <f aca="false">IF($X1330="","",INDEX('Per Line'!$Z$2:$Z$4001,$X1330))</f>
        <v/>
      </c>
      <c r="N1330" s="23" t="str">
        <f aca="false">IF($X1330="","",Settings!$C$7)</f>
        <v/>
      </c>
      <c r="O1330" s="22" t="str">
        <f aca="false">IF($X1330="","",SUMIFS('Per Line'!$Y$2:$Y$4001,'Per Line'!$D$2:$D$4001,$B1330,'Per Line'!$AJ$2:$AJ$4001,0))</f>
        <v/>
      </c>
      <c r="P1330" s="22" t="str">
        <f aca="false">IF($X1330="","",O1330*N1330)</f>
        <v/>
      </c>
      <c r="Q1330" s="23" t="str">
        <f aca="false">IF($X1330="","",Settings!$C$6)</f>
        <v/>
      </c>
      <c r="R1330" s="22" t="str">
        <f aca="false">IF($X1330="","",SUMIFS('Per Line'!$Y$2:$Y$4001,'Per Line'!$D$2:$D$4001,$B1330,'Per Line'!$AJ$2:$AJ$4001,1))</f>
        <v/>
      </c>
      <c r="S1330" s="22" t="str">
        <f aca="false">IF($X1330="","",R1330*Q1330)</f>
        <v/>
      </c>
      <c r="T1330" s="22" t="str">
        <f aca="false">IF($X1330="","",S1330+P1330)</f>
        <v/>
      </c>
      <c r="U1330" s="22" t="str">
        <f aca="false">IF($X1330="","",V1330-T1330)</f>
        <v/>
      </c>
      <c r="V1330" s="22" t="str">
        <f aca="false">IF($X1330="","",O1330+R1330)</f>
        <v/>
      </c>
      <c r="W1330" s="22" t="str">
        <f aca="false">IF($X1330="","",U1330-L1330)</f>
        <v/>
      </c>
      <c r="X1330" s="24" t="str">
        <f aca="false">IF(ROWS($X$2:$X1330)&lt;=MAX('Per Line'!$AI$2:$AI$4001),MATCH(ROWS($X$2:$X1330),'Per Line'!$AI$2:$AI$4001,0),"")</f>
        <v/>
      </c>
    </row>
    <row r="1331" customFormat="false" ht="15" hidden="false" customHeight="false" outlineLevel="0" collapsed="false">
      <c r="A1331" s="19"/>
      <c r="B1331" s="20" t="str">
        <f aca="false">IF($X1331="","",INDEX('Per Line'!$D$2:$D$4001,$X1331))</f>
        <v/>
      </c>
      <c r="C1331" s="20" t="str">
        <f aca="false">IF($X1331="","",INDEX('Per Line'!$C$2:$C$4001,$X1331))</f>
        <v/>
      </c>
      <c r="D1331" s="20" t="str">
        <f aca="false">IF($X1331="","",INDEX('Per Line'!$A$2:$A$4001,$X1331))</f>
        <v/>
      </c>
      <c r="E1331" s="21" t="str">
        <f aca="false">IF($X1331="","",INDEX('Per Line'!$F$2:$F$4001,$X1331))</f>
        <v/>
      </c>
      <c r="F1331" s="20" t="str">
        <f aca="false">IF($X1331="","",INDEX('Per Line'!$G$2:$G$4001,$X1331))</f>
        <v/>
      </c>
      <c r="G1331" s="20" t="str">
        <f aca="false">IF($X1331="","",INDEX('Per Line'!$I$2:$I$4001,$X1331))</f>
        <v/>
      </c>
      <c r="H1331" s="20" t="str">
        <f aca="false">IF($X1331="","",INDEX('Per Line'!$J$2:$J$4001,$X1331))</f>
        <v/>
      </c>
      <c r="I1331" s="20" t="str">
        <f aca="false">IF($X1331="","",INDEX('Per Line'!$K$2:$K$4001,$X1331))</f>
        <v/>
      </c>
      <c r="J1331" s="20" t="str">
        <f aca="false">IF($X1331="","",INDEX('Per Line'!$L$2:$L$4001,$X1331))</f>
        <v/>
      </c>
      <c r="K1331" s="20" t="str">
        <f aca="false">IF($X1331="","",INDEX('Per Line'!$M$2:$M$4001,$X1331))</f>
        <v/>
      </c>
      <c r="L1331" s="22" t="str">
        <f aca="false">IF($X1331="","",K1331*V1331/100)</f>
        <v/>
      </c>
      <c r="M1331" s="20" t="str">
        <f aca="false">IF($X1331="","",INDEX('Per Line'!$Z$2:$Z$4001,$X1331))</f>
        <v/>
      </c>
      <c r="N1331" s="23" t="str">
        <f aca="false">IF($X1331="","",Settings!$C$7)</f>
        <v/>
      </c>
      <c r="O1331" s="22" t="str">
        <f aca="false">IF($X1331="","",SUMIFS('Per Line'!$Y$2:$Y$4001,'Per Line'!$D$2:$D$4001,$B1331,'Per Line'!$AJ$2:$AJ$4001,0))</f>
        <v/>
      </c>
      <c r="P1331" s="22" t="str">
        <f aca="false">IF($X1331="","",O1331*N1331)</f>
        <v/>
      </c>
      <c r="Q1331" s="23" t="str">
        <f aca="false">IF($X1331="","",Settings!$C$6)</f>
        <v/>
      </c>
      <c r="R1331" s="22" t="str">
        <f aca="false">IF($X1331="","",SUMIFS('Per Line'!$Y$2:$Y$4001,'Per Line'!$D$2:$D$4001,$B1331,'Per Line'!$AJ$2:$AJ$4001,1))</f>
        <v/>
      </c>
      <c r="S1331" s="22" t="str">
        <f aca="false">IF($X1331="","",R1331*Q1331)</f>
        <v/>
      </c>
      <c r="T1331" s="22" t="str">
        <f aca="false">IF($X1331="","",S1331+P1331)</f>
        <v/>
      </c>
      <c r="U1331" s="22" t="str">
        <f aca="false">IF($X1331="","",V1331-T1331)</f>
        <v/>
      </c>
      <c r="V1331" s="22" t="str">
        <f aca="false">IF($X1331="","",O1331+R1331)</f>
        <v/>
      </c>
      <c r="W1331" s="22" t="str">
        <f aca="false">IF($X1331="","",U1331-L1331)</f>
        <v/>
      </c>
      <c r="X1331" s="24" t="str">
        <f aca="false">IF(ROWS($X$2:$X1331)&lt;=MAX('Per Line'!$AI$2:$AI$4001),MATCH(ROWS($X$2:$X1331),'Per Line'!$AI$2:$AI$4001,0),"")</f>
        <v/>
      </c>
    </row>
    <row r="1332" customFormat="false" ht="15" hidden="false" customHeight="false" outlineLevel="0" collapsed="false">
      <c r="A1332" s="19"/>
      <c r="B1332" s="20" t="str">
        <f aca="false">IF($X1332="","",INDEX('Per Line'!$D$2:$D$4001,$X1332))</f>
        <v/>
      </c>
      <c r="C1332" s="20" t="str">
        <f aca="false">IF($X1332="","",INDEX('Per Line'!$C$2:$C$4001,$X1332))</f>
        <v/>
      </c>
      <c r="D1332" s="20" t="str">
        <f aca="false">IF($X1332="","",INDEX('Per Line'!$A$2:$A$4001,$X1332))</f>
        <v/>
      </c>
      <c r="E1332" s="21" t="str">
        <f aca="false">IF($X1332="","",INDEX('Per Line'!$F$2:$F$4001,$X1332))</f>
        <v/>
      </c>
      <c r="F1332" s="20" t="str">
        <f aca="false">IF($X1332="","",INDEX('Per Line'!$G$2:$G$4001,$X1332))</f>
        <v/>
      </c>
      <c r="G1332" s="20" t="str">
        <f aca="false">IF($X1332="","",INDEX('Per Line'!$I$2:$I$4001,$X1332))</f>
        <v/>
      </c>
      <c r="H1332" s="20" t="str">
        <f aca="false">IF($X1332="","",INDEX('Per Line'!$J$2:$J$4001,$X1332))</f>
        <v/>
      </c>
      <c r="I1332" s="20" t="str">
        <f aca="false">IF($X1332="","",INDEX('Per Line'!$K$2:$K$4001,$X1332))</f>
        <v/>
      </c>
      <c r="J1332" s="20" t="str">
        <f aca="false">IF($X1332="","",INDEX('Per Line'!$L$2:$L$4001,$X1332))</f>
        <v/>
      </c>
      <c r="K1332" s="20" t="str">
        <f aca="false">IF($X1332="","",INDEX('Per Line'!$M$2:$M$4001,$X1332))</f>
        <v/>
      </c>
      <c r="L1332" s="22" t="str">
        <f aca="false">IF($X1332="","",K1332*V1332/100)</f>
        <v/>
      </c>
      <c r="M1332" s="20" t="str">
        <f aca="false">IF($X1332="","",INDEX('Per Line'!$Z$2:$Z$4001,$X1332))</f>
        <v/>
      </c>
      <c r="N1332" s="23" t="str">
        <f aca="false">IF($X1332="","",Settings!$C$7)</f>
        <v/>
      </c>
      <c r="O1332" s="22" t="str">
        <f aca="false">IF($X1332="","",SUMIFS('Per Line'!$Y$2:$Y$4001,'Per Line'!$D$2:$D$4001,$B1332,'Per Line'!$AJ$2:$AJ$4001,0))</f>
        <v/>
      </c>
      <c r="P1332" s="22" t="str">
        <f aca="false">IF($X1332="","",O1332*N1332)</f>
        <v/>
      </c>
      <c r="Q1332" s="23" t="str">
        <f aca="false">IF($X1332="","",Settings!$C$6)</f>
        <v/>
      </c>
      <c r="R1332" s="22" t="str">
        <f aca="false">IF($X1332="","",SUMIFS('Per Line'!$Y$2:$Y$4001,'Per Line'!$D$2:$D$4001,$B1332,'Per Line'!$AJ$2:$AJ$4001,1))</f>
        <v/>
      </c>
      <c r="S1332" s="22" t="str">
        <f aca="false">IF($X1332="","",R1332*Q1332)</f>
        <v/>
      </c>
      <c r="T1332" s="22" t="str">
        <f aca="false">IF($X1332="","",S1332+P1332)</f>
        <v/>
      </c>
      <c r="U1332" s="22" t="str">
        <f aca="false">IF($X1332="","",V1332-T1332)</f>
        <v/>
      </c>
      <c r="V1332" s="22" t="str">
        <f aca="false">IF($X1332="","",O1332+R1332)</f>
        <v/>
      </c>
      <c r="W1332" s="22" t="str">
        <f aca="false">IF($X1332="","",U1332-L1332)</f>
        <v/>
      </c>
      <c r="X1332" s="24" t="str">
        <f aca="false">IF(ROWS($X$2:$X1332)&lt;=MAX('Per Line'!$AI$2:$AI$4001),MATCH(ROWS($X$2:$X1332),'Per Line'!$AI$2:$AI$4001,0),"")</f>
        <v/>
      </c>
    </row>
    <row r="1333" customFormat="false" ht="15" hidden="false" customHeight="false" outlineLevel="0" collapsed="false">
      <c r="A1333" s="19"/>
      <c r="B1333" s="20" t="str">
        <f aca="false">IF($X1333="","",INDEX('Per Line'!$D$2:$D$4001,$X1333))</f>
        <v/>
      </c>
      <c r="C1333" s="20" t="str">
        <f aca="false">IF($X1333="","",INDEX('Per Line'!$C$2:$C$4001,$X1333))</f>
        <v/>
      </c>
      <c r="D1333" s="20" t="str">
        <f aca="false">IF($X1333="","",INDEX('Per Line'!$A$2:$A$4001,$X1333))</f>
        <v/>
      </c>
      <c r="E1333" s="21" t="str">
        <f aca="false">IF($X1333="","",INDEX('Per Line'!$F$2:$F$4001,$X1333))</f>
        <v/>
      </c>
      <c r="F1333" s="20" t="str">
        <f aca="false">IF($X1333="","",INDEX('Per Line'!$G$2:$G$4001,$X1333))</f>
        <v/>
      </c>
      <c r="G1333" s="20" t="str">
        <f aca="false">IF($X1333="","",INDEX('Per Line'!$I$2:$I$4001,$X1333))</f>
        <v/>
      </c>
      <c r="H1333" s="20" t="str">
        <f aca="false">IF($X1333="","",INDEX('Per Line'!$J$2:$J$4001,$X1333))</f>
        <v/>
      </c>
      <c r="I1333" s="20" t="str">
        <f aca="false">IF($X1333="","",INDEX('Per Line'!$K$2:$K$4001,$X1333))</f>
        <v/>
      </c>
      <c r="J1333" s="20" t="str">
        <f aca="false">IF($X1333="","",INDEX('Per Line'!$L$2:$L$4001,$X1333))</f>
        <v/>
      </c>
      <c r="K1333" s="20" t="str">
        <f aca="false">IF($X1333="","",INDEX('Per Line'!$M$2:$M$4001,$X1333))</f>
        <v/>
      </c>
      <c r="L1333" s="22" t="str">
        <f aca="false">IF($X1333="","",K1333*V1333/100)</f>
        <v/>
      </c>
      <c r="M1333" s="20" t="str">
        <f aca="false">IF($X1333="","",INDEX('Per Line'!$Z$2:$Z$4001,$X1333))</f>
        <v/>
      </c>
      <c r="N1333" s="23" t="str">
        <f aca="false">IF($X1333="","",Settings!$C$7)</f>
        <v/>
      </c>
      <c r="O1333" s="22" t="str">
        <f aca="false">IF($X1333="","",SUMIFS('Per Line'!$Y$2:$Y$4001,'Per Line'!$D$2:$D$4001,$B1333,'Per Line'!$AJ$2:$AJ$4001,0))</f>
        <v/>
      </c>
      <c r="P1333" s="22" t="str">
        <f aca="false">IF($X1333="","",O1333*N1333)</f>
        <v/>
      </c>
      <c r="Q1333" s="23" t="str">
        <f aca="false">IF($X1333="","",Settings!$C$6)</f>
        <v/>
      </c>
      <c r="R1333" s="22" t="str">
        <f aca="false">IF($X1333="","",SUMIFS('Per Line'!$Y$2:$Y$4001,'Per Line'!$D$2:$D$4001,$B1333,'Per Line'!$AJ$2:$AJ$4001,1))</f>
        <v/>
      </c>
      <c r="S1333" s="22" t="str">
        <f aca="false">IF($X1333="","",R1333*Q1333)</f>
        <v/>
      </c>
      <c r="T1333" s="22" t="str">
        <f aca="false">IF($X1333="","",S1333+P1333)</f>
        <v/>
      </c>
      <c r="U1333" s="22" t="str">
        <f aca="false">IF($X1333="","",V1333-T1333)</f>
        <v/>
      </c>
      <c r="V1333" s="22" t="str">
        <f aca="false">IF($X1333="","",O1333+R1333)</f>
        <v/>
      </c>
      <c r="W1333" s="22" t="str">
        <f aca="false">IF($X1333="","",U1333-L1333)</f>
        <v/>
      </c>
      <c r="X1333" s="24" t="str">
        <f aca="false">IF(ROWS($X$2:$X1333)&lt;=MAX('Per Line'!$AI$2:$AI$4001),MATCH(ROWS($X$2:$X1333),'Per Line'!$AI$2:$AI$4001,0),"")</f>
        <v/>
      </c>
    </row>
    <row r="1334" customFormat="false" ht="15" hidden="false" customHeight="false" outlineLevel="0" collapsed="false">
      <c r="A1334" s="19"/>
      <c r="B1334" s="20" t="str">
        <f aca="false">IF($X1334="","",INDEX('Per Line'!$D$2:$D$4001,$X1334))</f>
        <v/>
      </c>
      <c r="C1334" s="20" t="str">
        <f aca="false">IF($X1334="","",INDEX('Per Line'!$C$2:$C$4001,$X1334))</f>
        <v/>
      </c>
      <c r="D1334" s="20" t="str">
        <f aca="false">IF($X1334="","",INDEX('Per Line'!$A$2:$A$4001,$X1334))</f>
        <v/>
      </c>
      <c r="E1334" s="21" t="str">
        <f aca="false">IF($X1334="","",INDEX('Per Line'!$F$2:$F$4001,$X1334))</f>
        <v/>
      </c>
      <c r="F1334" s="20" t="str">
        <f aca="false">IF($X1334="","",INDEX('Per Line'!$G$2:$G$4001,$X1334))</f>
        <v/>
      </c>
      <c r="G1334" s="20" t="str">
        <f aca="false">IF($X1334="","",INDEX('Per Line'!$I$2:$I$4001,$X1334))</f>
        <v/>
      </c>
      <c r="H1334" s="20" t="str">
        <f aca="false">IF($X1334="","",INDEX('Per Line'!$J$2:$J$4001,$X1334))</f>
        <v/>
      </c>
      <c r="I1334" s="20" t="str">
        <f aca="false">IF($X1334="","",INDEX('Per Line'!$K$2:$K$4001,$X1334))</f>
        <v/>
      </c>
      <c r="J1334" s="20" t="str">
        <f aca="false">IF($X1334="","",INDEX('Per Line'!$L$2:$L$4001,$X1334))</f>
        <v/>
      </c>
      <c r="K1334" s="20" t="str">
        <f aca="false">IF($X1334="","",INDEX('Per Line'!$M$2:$M$4001,$X1334))</f>
        <v/>
      </c>
      <c r="L1334" s="22" t="str">
        <f aca="false">IF($X1334="","",K1334*V1334/100)</f>
        <v/>
      </c>
      <c r="M1334" s="20" t="str">
        <f aca="false">IF($X1334="","",INDEX('Per Line'!$Z$2:$Z$4001,$X1334))</f>
        <v/>
      </c>
      <c r="N1334" s="23" t="str">
        <f aca="false">IF($X1334="","",Settings!$C$7)</f>
        <v/>
      </c>
      <c r="O1334" s="22" t="str">
        <f aca="false">IF($X1334="","",SUMIFS('Per Line'!$Y$2:$Y$4001,'Per Line'!$D$2:$D$4001,$B1334,'Per Line'!$AJ$2:$AJ$4001,0))</f>
        <v/>
      </c>
      <c r="P1334" s="22" t="str">
        <f aca="false">IF($X1334="","",O1334*N1334)</f>
        <v/>
      </c>
      <c r="Q1334" s="23" t="str">
        <f aca="false">IF($X1334="","",Settings!$C$6)</f>
        <v/>
      </c>
      <c r="R1334" s="22" t="str">
        <f aca="false">IF($X1334="","",SUMIFS('Per Line'!$Y$2:$Y$4001,'Per Line'!$D$2:$D$4001,$B1334,'Per Line'!$AJ$2:$AJ$4001,1))</f>
        <v/>
      </c>
      <c r="S1334" s="22" t="str">
        <f aca="false">IF($X1334="","",R1334*Q1334)</f>
        <v/>
      </c>
      <c r="T1334" s="22" t="str">
        <f aca="false">IF($X1334="","",S1334+P1334)</f>
        <v/>
      </c>
      <c r="U1334" s="22" t="str">
        <f aca="false">IF($X1334="","",V1334-T1334)</f>
        <v/>
      </c>
      <c r="V1334" s="22" t="str">
        <f aca="false">IF($X1334="","",O1334+R1334)</f>
        <v/>
      </c>
      <c r="W1334" s="22" t="str">
        <f aca="false">IF($X1334="","",U1334-L1334)</f>
        <v/>
      </c>
      <c r="X1334" s="24" t="str">
        <f aca="false">IF(ROWS($X$2:$X1334)&lt;=MAX('Per Line'!$AI$2:$AI$4001),MATCH(ROWS($X$2:$X1334),'Per Line'!$AI$2:$AI$4001,0),"")</f>
        <v/>
      </c>
    </row>
    <row r="1335" customFormat="false" ht="15" hidden="false" customHeight="false" outlineLevel="0" collapsed="false">
      <c r="A1335" s="19"/>
      <c r="B1335" s="20" t="str">
        <f aca="false">IF($X1335="","",INDEX('Per Line'!$D$2:$D$4001,$X1335))</f>
        <v/>
      </c>
      <c r="C1335" s="20" t="str">
        <f aca="false">IF($X1335="","",INDEX('Per Line'!$C$2:$C$4001,$X1335))</f>
        <v/>
      </c>
      <c r="D1335" s="20" t="str">
        <f aca="false">IF($X1335="","",INDEX('Per Line'!$A$2:$A$4001,$X1335))</f>
        <v/>
      </c>
      <c r="E1335" s="21" t="str">
        <f aca="false">IF($X1335="","",INDEX('Per Line'!$F$2:$F$4001,$X1335))</f>
        <v/>
      </c>
      <c r="F1335" s="20" t="str">
        <f aca="false">IF($X1335="","",INDEX('Per Line'!$G$2:$G$4001,$X1335))</f>
        <v/>
      </c>
      <c r="G1335" s="20" t="str">
        <f aca="false">IF($X1335="","",INDEX('Per Line'!$I$2:$I$4001,$X1335))</f>
        <v/>
      </c>
      <c r="H1335" s="20" t="str">
        <f aca="false">IF($X1335="","",INDEX('Per Line'!$J$2:$J$4001,$X1335))</f>
        <v/>
      </c>
      <c r="I1335" s="20" t="str">
        <f aca="false">IF($X1335="","",INDEX('Per Line'!$K$2:$K$4001,$X1335))</f>
        <v/>
      </c>
      <c r="J1335" s="20" t="str">
        <f aca="false">IF($X1335="","",INDEX('Per Line'!$L$2:$L$4001,$X1335))</f>
        <v/>
      </c>
      <c r="K1335" s="20" t="str">
        <f aca="false">IF($X1335="","",INDEX('Per Line'!$M$2:$M$4001,$X1335))</f>
        <v/>
      </c>
      <c r="L1335" s="22" t="str">
        <f aca="false">IF($X1335="","",K1335*V1335/100)</f>
        <v/>
      </c>
      <c r="M1335" s="20" t="str">
        <f aca="false">IF($X1335="","",INDEX('Per Line'!$Z$2:$Z$4001,$X1335))</f>
        <v/>
      </c>
      <c r="N1335" s="23" t="str">
        <f aca="false">IF($X1335="","",Settings!$C$7)</f>
        <v/>
      </c>
      <c r="O1335" s="22" t="str">
        <f aca="false">IF($X1335="","",SUMIFS('Per Line'!$Y$2:$Y$4001,'Per Line'!$D$2:$D$4001,$B1335,'Per Line'!$AJ$2:$AJ$4001,0))</f>
        <v/>
      </c>
      <c r="P1335" s="22" t="str">
        <f aca="false">IF($X1335="","",O1335*N1335)</f>
        <v/>
      </c>
      <c r="Q1335" s="23" t="str">
        <f aca="false">IF($X1335="","",Settings!$C$6)</f>
        <v/>
      </c>
      <c r="R1335" s="22" t="str">
        <f aca="false">IF($X1335="","",SUMIFS('Per Line'!$Y$2:$Y$4001,'Per Line'!$D$2:$D$4001,$B1335,'Per Line'!$AJ$2:$AJ$4001,1))</f>
        <v/>
      </c>
      <c r="S1335" s="22" t="str">
        <f aca="false">IF($X1335="","",R1335*Q1335)</f>
        <v/>
      </c>
      <c r="T1335" s="22" t="str">
        <f aca="false">IF($X1335="","",S1335+P1335)</f>
        <v/>
      </c>
      <c r="U1335" s="22" t="str">
        <f aca="false">IF($X1335="","",V1335-T1335)</f>
        <v/>
      </c>
      <c r="V1335" s="22" t="str">
        <f aca="false">IF($X1335="","",O1335+R1335)</f>
        <v/>
      </c>
      <c r="W1335" s="22" t="str">
        <f aca="false">IF($X1335="","",U1335-L1335)</f>
        <v/>
      </c>
      <c r="X1335" s="24" t="str">
        <f aca="false">IF(ROWS($X$2:$X1335)&lt;=MAX('Per Line'!$AI$2:$AI$4001),MATCH(ROWS($X$2:$X1335),'Per Line'!$AI$2:$AI$4001,0),"")</f>
        <v/>
      </c>
    </row>
    <row r="1336" customFormat="false" ht="15" hidden="false" customHeight="false" outlineLevel="0" collapsed="false">
      <c r="A1336" s="19"/>
      <c r="B1336" s="20" t="str">
        <f aca="false">IF($X1336="","",INDEX('Per Line'!$D$2:$D$4001,$X1336))</f>
        <v/>
      </c>
      <c r="C1336" s="20" t="str">
        <f aca="false">IF($X1336="","",INDEX('Per Line'!$C$2:$C$4001,$X1336))</f>
        <v/>
      </c>
      <c r="D1336" s="20" t="str">
        <f aca="false">IF($X1336="","",INDEX('Per Line'!$A$2:$A$4001,$X1336))</f>
        <v/>
      </c>
      <c r="E1336" s="21" t="str">
        <f aca="false">IF($X1336="","",INDEX('Per Line'!$F$2:$F$4001,$X1336))</f>
        <v/>
      </c>
      <c r="F1336" s="20" t="str">
        <f aca="false">IF($X1336="","",INDEX('Per Line'!$G$2:$G$4001,$X1336))</f>
        <v/>
      </c>
      <c r="G1336" s="20" t="str">
        <f aca="false">IF($X1336="","",INDEX('Per Line'!$I$2:$I$4001,$X1336))</f>
        <v/>
      </c>
      <c r="H1336" s="20" t="str">
        <f aca="false">IF($X1336="","",INDEX('Per Line'!$J$2:$J$4001,$X1336))</f>
        <v/>
      </c>
      <c r="I1336" s="20" t="str">
        <f aca="false">IF($X1336="","",INDEX('Per Line'!$K$2:$K$4001,$X1336))</f>
        <v/>
      </c>
      <c r="J1336" s="20" t="str">
        <f aca="false">IF($X1336="","",INDEX('Per Line'!$L$2:$L$4001,$X1336))</f>
        <v/>
      </c>
      <c r="K1336" s="20" t="str">
        <f aca="false">IF($X1336="","",INDEX('Per Line'!$M$2:$M$4001,$X1336))</f>
        <v/>
      </c>
      <c r="L1336" s="22" t="str">
        <f aca="false">IF($X1336="","",K1336*V1336/100)</f>
        <v/>
      </c>
      <c r="M1336" s="20" t="str">
        <f aca="false">IF($X1336="","",INDEX('Per Line'!$Z$2:$Z$4001,$X1336))</f>
        <v/>
      </c>
      <c r="N1336" s="23" t="str">
        <f aca="false">IF($X1336="","",Settings!$C$7)</f>
        <v/>
      </c>
      <c r="O1336" s="22" t="str">
        <f aca="false">IF($X1336="","",SUMIFS('Per Line'!$Y$2:$Y$4001,'Per Line'!$D$2:$D$4001,$B1336,'Per Line'!$AJ$2:$AJ$4001,0))</f>
        <v/>
      </c>
      <c r="P1336" s="22" t="str">
        <f aca="false">IF($X1336="","",O1336*N1336)</f>
        <v/>
      </c>
      <c r="Q1336" s="23" t="str">
        <f aca="false">IF($X1336="","",Settings!$C$6)</f>
        <v/>
      </c>
      <c r="R1336" s="22" t="str">
        <f aca="false">IF($X1336="","",SUMIFS('Per Line'!$Y$2:$Y$4001,'Per Line'!$D$2:$D$4001,$B1336,'Per Line'!$AJ$2:$AJ$4001,1))</f>
        <v/>
      </c>
      <c r="S1336" s="22" t="str">
        <f aca="false">IF($X1336="","",R1336*Q1336)</f>
        <v/>
      </c>
      <c r="T1336" s="22" t="str">
        <f aca="false">IF($X1336="","",S1336+P1336)</f>
        <v/>
      </c>
      <c r="U1336" s="22" t="str">
        <f aca="false">IF($X1336="","",V1336-T1336)</f>
        <v/>
      </c>
      <c r="V1336" s="22" t="str">
        <f aca="false">IF($X1336="","",O1336+R1336)</f>
        <v/>
      </c>
      <c r="W1336" s="22" t="str">
        <f aca="false">IF($X1336="","",U1336-L1336)</f>
        <v/>
      </c>
      <c r="X1336" s="24" t="str">
        <f aca="false">IF(ROWS($X$2:$X1336)&lt;=MAX('Per Line'!$AI$2:$AI$4001),MATCH(ROWS($X$2:$X1336),'Per Line'!$AI$2:$AI$4001,0),"")</f>
        <v/>
      </c>
    </row>
    <row r="1337" customFormat="false" ht="15" hidden="false" customHeight="false" outlineLevel="0" collapsed="false">
      <c r="A1337" s="19"/>
      <c r="B1337" s="20" t="str">
        <f aca="false">IF($X1337="","",INDEX('Per Line'!$D$2:$D$4001,$X1337))</f>
        <v/>
      </c>
      <c r="C1337" s="20" t="str">
        <f aca="false">IF($X1337="","",INDEX('Per Line'!$C$2:$C$4001,$X1337))</f>
        <v/>
      </c>
      <c r="D1337" s="20" t="str">
        <f aca="false">IF($X1337="","",INDEX('Per Line'!$A$2:$A$4001,$X1337))</f>
        <v/>
      </c>
      <c r="E1337" s="21" t="str">
        <f aca="false">IF($X1337="","",INDEX('Per Line'!$F$2:$F$4001,$X1337))</f>
        <v/>
      </c>
      <c r="F1337" s="20" t="str">
        <f aca="false">IF($X1337="","",INDEX('Per Line'!$G$2:$G$4001,$X1337))</f>
        <v/>
      </c>
      <c r="G1337" s="20" t="str">
        <f aca="false">IF($X1337="","",INDEX('Per Line'!$I$2:$I$4001,$X1337))</f>
        <v/>
      </c>
      <c r="H1337" s="20" t="str">
        <f aca="false">IF($X1337="","",INDEX('Per Line'!$J$2:$J$4001,$X1337))</f>
        <v/>
      </c>
      <c r="I1337" s="20" t="str">
        <f aca="false">IF($X1337="","",INDEX('Per Line'!$K$2:$K$4001,$X1337))</f>
        <v/>
      </c>
      <c r="J1337" s="20" t="str">
        <f aca="false">IF($X1337="","",INDEX('Per Line'!$L$2:$L$4001,$X1337))</f>
        <v/>
      </c>
      <c r="K1337" s="20" t="str">
        <f aca="false">IF($X1337="","",INDEX('Per Line'!$M$2:$M$4001,$X1337))</f>
        <v/>
      </c>
      <c r="L1337" s="22" t="str">
        <f aca="false">IF($X1337="","",K1337*V1337/100)</f>
        <v/>
      </c>
      <c r="M1337" s="20" t="str">
        <f aca="false">IF($X1337="","",INDEX('Per Line'!$Z$2:$Z$4001,$X1337))</f>
        <v/>
      </c>
      <c r="N1337" s="23" t="str">
        <f aca="false">IF($X1337="","",Settings!$C$7)</f>
        <v/>
      </c>
      <c r="O1337" s="22" t="str">
        <f aca="false">IF($X1337="","",SUMIFS('Per Line'!$Y$2:$Y$4001,'Per Line'!$D$2:$D$4001,$B1337,'Per Line'!$AJ$2:$AJ$4001,0))</f>
        <v/>
      </c>
      <c r="P1337" s="22" t="str">
        <f aca="false">IF($X1337="","",O1337*N1337)</f>
        <v/>
      </c>
      <c r="Q1337" s="23" t="str">
        <f aca="false">IF($X1337="","",Settings!$C$6)</f>
        <v/>
      </c>
      <c r="R1337" s="22" t="str">
        <f aca="false">IF($X1337="","",SUMIFS('Per Line'!$Y$2:$Y$4001,'Per Line'!$D$2:$D$4001,$B1337,'Per Line'!$AJ$2:$AJ$4001,1))</f>
        <v/>
      </c>
      <c r="S1337" s="22" t="str">
        <f aca="false">IF($X1337="","",R1337*Q1337)</f>
        <v/>
      </c>
      <c r="T1337" s="22" t="str">
        <f aca="false">IF($X1337="","",S1337+P1337)</f>
        <v/>
      </c>
      <c r="U1337" s="22" t="str">
        <f aca="false">IF($X1337="","",V1337-T1337)</f>
        <v/>
      </c>
      <c r="V1337" s="22" t="str">
        <f aca="false">IF($X1337="","",O1337+R1337)</f>
        <v/>
      </c>
      <c r="W1337" s="22" t="str">
        <f aca="false">IF($X1337="","",U1337-L1337)</f>
        <v/>
      </c>
      <c r="X1337" s="24" t="str">
        <f aca="false">IF(ROWS($X$2:$X1337)&lt;=MAX('Per Line'!$AI$2:$AI$4001),MATCH(ROWS($X$2:$X1337),'Per Line'!$AI$2:$AI$4001,0),"")</f>
        <v/>
      </c>
    </row>
    <row r="1338" customFormat="false" ht="15" hidden="false" customHeight="false" outlineLevel="0" collapsed="false">
      <c r="A1338" s="19"/>
      <c r="B1338" s="20" t="str">
        <f aca="false">IF($X1338="","",INDEX('Per Line'!$D$2:$D$4001,$X1338))</f>
        <v/>
      </c>
      <c r="C1338" s="20" t="str">
        <f aca="false">IF($X1338="","",INDEX('Per Line'!$C$2:$C$4001,$X1338))</f>
        <v/>
      </c>
      <c r="D1338" s="20" t="str">
        <f aca="false">IF($X1338="","",INDEX('Per Line'!$A$2:$A$4001,$X1338))</f>
        <v/>
      </c>
      <c r="E1338" s="21" t="str">
        <f aca="false">IF($X1338="","",INDEX('Per Line'!$F$2:$F$4001,$X1338))</f>
        <v/>
      </c>
      <c r="F1338" s="20" t="str">
        <f aca="false">IF($X1338="","",INDEX('Per Line'!$G$2:$G$4001,$X1338))</f>
        <v/>
      </c>
      <c r="G1338" s="20" t="str">
        <f aca="false">IF($X1338="","",INDEX('Per Line'!$I$2:$I$4001,$X1338))</f>
        <v/>
      </c>
      <c r="H1338" s="20" t="str">
        <f aca="false">IF($X1338="","",INDEX('Per Line'!$J$2:$J$4001,$X1338))</f>
        <v/>
      </c>
      <c r="I1338" s="20" t="str">
        <f aca="false">IF($X1338="","",INDEX('Per Line'!$K$2:$K$4001,$X1338))</f>
        <v/>
      </c>
      <c r="J1338" s="20" t="str">
        <f aca="false">IF($X1338="","",INDEX('Per Line'!$L$2:$L$4001,$X1338))</f>
        <v/>
      </c>
      <c r="K1338" s="20" t="str">
        <f aca="false">IF($X1338="","",INDEX('Per Line'!$M$2:$M$4001,$X1338))</f>
        <v/>
      </c>
      <c r="L1338" s="22" t="str">
        <f aca="false">IF($X1338="","",K1338*V1338/100)</f>
        <v/>
      </c>
      <c r="M1338" s="20" t="str">
        <f aca="false">IF($X1338="","",INDEX('Per Line'!$Z$2:$Z$4001,$X1338))</f>
        <v/>
      </c>
      <c r="N1338" s="23" t="str">
        <f aca="false">IF($X1338="","",Settings!$C$7)</f>
        <v/>
      </c>
      <c r="O1338" s="22" t="str">
        <f aca="false">IF($X1338="","",SUMIFS('Per Line'!$Y$2:$Y$4001,'Per Line'!$D$2:$D$4001,$B1338,'Per Line'!$AJ$2:$AJ$4001,0))</f>
        <v/>
      </c>
      <c r="P1338" s="22" t="str">
        <f aca="false">IF($X1338="","",O1338*N1338)</f>
        <v/>
      </c>
      <c r="Q1338" s="23" t="str">
        <f aca="false">IF($X1338="","",Settings!$C$6)</f>
        <v/>
      </c>
      <c r="R1338" s="22" t="str">
        <f aca="false">IF($X1338="","",SUMIFS('Per Line'!$Y$2:$Y$4001,'Per Line'!$D$2:$D$4001,$B1338,'Per Line'!$AJ$2:$AJ$4001,1))</f>
        <v/>
      </c>
      <c r="S1338" s="22" t="str">
        <f aca="false">IF($X1338="","",R1338*Q1338)</f>
        <v/>
      </c>
      <c r="T1338" s="22" t="str">
        <f aca="false">IF($X1338="","",S1338+P1338)</f>
        <v/>
      </c>
      <c r="U1338" s="22" t="str">
        <f aca="false">IF($X1338="","",V1338-T1338)</f>
        <v/>
      </c>
      <c r="V1338" s="22" t="str">
        <f aca="false">IF($X1338="","",O1338+R1338)</f>
        <v/>
      </c>
      <c r="W1338" s="22" t="str">
        <f aca="false">IF($X1338="","",U1338-L1338)</f>
        <v/>
      </c>
      <c r="X1338" s="24" t="str">
        <f aca="false">IF(ROWS($X$2:$X1338)&lt;=MAX('Per Line'!$AI$2:$AI$4001),MATCH(ROWS($X$2:$X1338),'Per Line'!$AI$2:$AI$4001,0),"")</f>
        <v/>
      </c>
    </row>
    <row r="1339" customFormat="false" ht="15" hidden="false" customHeight="false" outlineLevel="0" collapsed="false">
      <c r="A1339" s="19"/>
      <c r="B1339" s="20" t="str">
        <f aca="false">IF($X1339="","",INDEX('Per Line'!$D$2:$D$4001,$X1339))</f>
        <v/>
      </c>
      <c r="C1339" s="20" t="str">
        <f aca="false">IF($X1339="","",INDEX('Per Line'!$C$2:$C$4001,$X1339))</f>
        <v/>
      </c>
      <c r="D1339" s="20" t="str">
        <f aca="false">IF($X1339="","",INDEX('Per Line'!$A$2:$A$4001,$X1339))</f>
        <v/>
      </c>
      <c r="E1339" s="21" t="str">
        <f aca="false">IF($X1339="","",INDEX('Per Line'!$F$2:$F$4001,$X1339))</f>
        <v/>
      </c>
      <c r="F1339" s="20" t="str">
        <f aca="false">IF($X1339="","",INDEX('Per Line'!$G$2:$G$4001,$X1339))</f>
        <v/>
      </c>
      <c r="G1339" s="20" t="str">
        <f aca="false">IF($X1339="","",INDEX('Per Line'!$I$2:$I$4001,$X1339))</f>
        <v/>
      </c>
      <c r="H1339" s="20" t="str">
        <f aca="false">IF($X1339="","",INDEX('Per Line'!$J$2:$J$4001,$X1339))</f>
        <v/>
      </c>
      <c r="I1339" s="20" t="str">
        <f aca="false">IF($X1339="","",INDEX('Per Line'!$K$2:$K$4001,$X1339))</f>
        <v/>
      </c>
      <c r="J1339" s="20" t="str">
        <f aca="false">IF($X1339="","",INDEX('Per Line'!$L$2:$L$4001,$X1339))</f>
        <v/>
      </c>
      <c r="K1339" s="20" t="str">
        <f aca="false">IF($X1339="","",INDEX('Per Line'!$M$2:$M$4001,$X1339))</f>
        <v/>
      </c>
      <c r="L1339" s="22" t="str">
        <f aca="false">IF($X1339="","",K1339*V1339/100)</f>
        <v/>
      </c>
      <c r="M1339" s="20" t="str">
        <f aca="false">IF($X1339="","",INDEX('Per Line'!$Z$2:$Z$4001,$X1339))</f>
        <v/>
      </c>
      <c r="N1339" s="23" t="str">
        <f aca="false">IF($X1339="","",Settings!$C$7)</f>
        <v/>
      </c>
      <c r="O1339" s="22" t="str">
        <f aca="false">IF($X1339="","",SUMIFS('Per Line'!$Y$2:$Y$4001,'Per Line'!$D$2:$D$4001,$B1339,'Per Line'!$AJ$2:$AJ$4001,0))</f>
        <v/>
      </c>
      <c r="P1339" s="22" t="str">
        <f aca="false">IF($X1339="","",O1339*N1339)</f>
        <v/>
      </c>
      <c r="Q1339" s="23" t="str">
        <f aca="false">IF($X1339="","",Settings!$C$6)</f>
        <v/>
      </c>
      <c r="R1339" s="22" t="str">
        <f aca="false">IF($X1339="","",SUMIFS('Per Line'!$Y$2:$Y$4001,'Per Line'!$D$2:$D$4001,$B1339,'Per Line'!$AJ$2:$AJ$4001,1))</f>
        <v/>
      </c>
      <c r="S1339" s="22" t="str">
        <f aca="false">IF($X1339="","",R1339*Q1339)</f>
        <v/>
      </c>
      <c r="T1339" s="22" t="str">
        <f aca="false">IF($X1339="","",S1339+P1339)</f>
        <v/>
      </c>
      <c r="U1339" s="22" t="str">
        <f aca="false">IF($X1339="","",V1339-T1339)</f>
        <v/>
      </c>
      <c r="V1339" s="22" t="str">
        <f aca="false">IF($X1339="","",O1339+R1339)</f>
        <v/>
      </c>
      <c r="W1339" s="22" t="str">
        <f aca="false">IF($X1339="","",U1339-L1339)</f>
        <v/>
      </c>
      <c r="X1339" s="24" t="str">
        <f aca="false">IF(ROWS($X$2:$X1339)&lt;=MAX('Per Line'!$AI$2:$AI$4001),MATCH(ROWS($X$2:$X1339),'Per Line'!$AI$2:$AI$4001,0),"")</f>
        <v/>
      </c>
    </row>
    <row r="1340" customFormat="false" ht="15" hidden="false" customHeight="false" outlineLevel="0" collapsed="false">
      <c r="A1340" s="19"/>
      <c r="B1340" s="20" t="str">
        <f aca="false">IF($X1340="","",INDEX('Per Line'!$D$2:$D$4001,$X1340))</f>
        <v/>
      </c>
      <c r="C1340" s="20" t="str">
        <f aca="false">IF($X1340="","",INDEX('Per Line'!$C$2:$C$4001,$X1340))</f>
        <v/>
      </c>
      <c r="D1340" s="20" t="str">
        <f aca="false">IF($X1340="","",INDEX('Per Line'!$A$2:$A$4001,$X1340))</f>
        <v/>
      </c>
      <c r="E1340" s="21" t="str">
        <f aca="false">IF($X1340="","",INDEX('Per Line'!$F$2:$F$4001,$X1340))</f>
        <v/>
      </c>
      <c r="F1340" s="20" t="str">
        <f aca="false">IF($X1340="","",INDEX('Per Line'!$G$2:$G$4001,$X1340))</f>
        <v/>
      </c>
      <c r="G1340" s="20" t="str">
        <f aca="false">IF($X1340="","",INDEX('Per Line'!$I$2:$I$4001,$X1340))</f>
        <v/>
      </c>
      <c r="H1340" s="20" t="str">
        <f aca="false">IF($X1340="","",INDEX('Per Line'!$J$2:$J$4001,$X1340))</f>
        <v/>
      </c>
      <c r="I1340" s="20" t="str">
        <f aca="false">IF($X1340="","",INDEX('Per Line'!$K$2:$K$4001,$X1340))</f>
        <v/>
      </c>
      <c r="J1340" s="20" t="str">
        <f aca="false">IF($X1340="","",INDEX('Per Line'!$L$2:$L$4001,$X1340))</f>
        <v/>
      </c>
      <c r="K1340" s="20" t="str">
        <f aca="false">IF($X1340="","",INDEX('Per Line'!$M$2:$M$4001,$X1340))</f>
        <v/>
      </c>
      <c r="L1340" s="22" t="str">
        <f aca="false">IF($X1340="","",K1340*V1340/100)</f>
        <v/>
      </c>
      <c r="M1340" s="20" t="str">
        <f aca="false">IF($X1340="","",INDEX('Per Line'!$Z$2:$Z$4001,$X1340))</f>
        <v/>
      </c>
      <c r="N1340" s="23" t="str">
        <f aca="false">IF($X1340="","",Settings!$C$7)</f>
        <v/>
      </c>
      <c r="O1340" s="22" t="str">
        <f aca="false">IF($X1340="","",SUMIFS('Per Line'!$Y$2:$Y$4001,'Per Line'!$D$2:$D$4001,$B1340,'Per Line'!$AJ$2:$AJ$4001,0))</f>
        <v/>
      </c>
      <c r="P1340" s="22" t="str">
        <f aca="false">IF($X1340="","",O1340*N1340)</f>
        <v/>
      </c>
      <c r="Q1340" s="23" t="str">
        <f aca="false">IF($X1340="","",Settings!$C$6)</f>
        <v/>
      </c>
      <c r="R1340" s="22" t="str">
        <f aca="false">IF($X1340="","",SUMIFS('Per Line'!$Y$2:$Y$4001,'Per Line'!$D$2:$D$4001,$B1340,'Per Line'!$AJ$2:$AJ$4001,1))</f>
        <v/>
      </c>
      <c r="S1340" s="22" t="str">
        <f aca="false">IF($X1340="","",R1340*Q1340)</f>
        <v/>
      </c>
      <c r="T1340" s="22" t="str">
        <f aca="false">IF($X1340="","",S1340+P1340)</f>
        <v/>
      </c>
      <c r="U1340" s="22" t="str">
        <f aca="false">IF($X1340="","",V1340-T1340)</f>
        <v/>
      </c>
      <c r="V1340" s="22" t="str">
        <f aca="false">IF($X1340="","",O1340+R1340)</f>
        <v/>
      </c>
      <c r="W1340" s="22" t="str">
        <f aca="false">IF($X1340="","",U1340-L1340)</f>
        <v/>
      </c>
      <c r="X1340" s="24" t="str">
        <f aca="false">IF(ROWS($X$2:$X1340)&lt;=MAX('Per Line'!$AI$2:$AI$4001),MATCH(ROWS($X$2:$X1340),'Per Line'!$AI$2:$AI$4001,0),"")</f>
        <v/>
      </c>
    </row>
    <row r="1341" customFormat="false" ht="15" hidden="false" customHeight="false" outlineLevel="0" collapsed="false">
      <c r="A1341" s="19"/>
      <c r="B1341" s="20" t="str">
        <f aca="false">IF($X1341="","",INDEX('Per Line'!$D$2:$D$4001,$X1341))</f>
        <v/>
      </c>
      <c r="C1341" s="20" t="str">
        <f aca="false">IF($X1341="","",INDEX('Per Line'!$C$2:$C$4001,$X1341))</f>
        <v/>
      </c>
      <c r="D1341" s="20" t="str">
        <f aca="false">IF($X1341="","",INDEX('Per Line'!$A$2:$A$4001,$X1341))</f>
        <v/>
      </c>
      <c r="E1341" s="21" t="str">
        <f aca="false">IF($X1341="","",INDEX('Per Line'!$F$2:$F$4001,$X1341))</f>
        <v/>
      </c>
      <c r="F1341" s="20" t="str">
        <f aca="false">IF($X1341="","",INDEX('Per Line'!$G$2:$G$4001,$X1341))</f>
        <v/>
      </c>
      <c r="G1341" s="20" t="str">
        <f aca="false">IF($X1341="","",INDEX('Per Line'!$I$2:$I$4001,$X1341))</f>
        <v/>
      </c>
      <c r="H1341" s="20" t="str">
        <f aca="false">IF($X1341="","",INDEX('Per Line'!$J$2:$J$4001,$X1341))</f>
        <v/>
      </c>
      <c r="I1341" s="20" t="str">
        <f aca="false">IF($X1341="","",INDEX('Per Line'!$K$2:$K$4001,$X1341))</f>
        <v/>
      </c>
      <c r="J1341" s="20" t="str">
        <f aca="false">IF($X1341="","",INDEX('Per Line'!$L$2:$L$4001,$X1341))</f>
        <v/>
      </c>
      <c r="K1341" s="20" t="str">
        <f aca="false">IF($X1341="","",INDEX('Per Line'!$M$2:$M$4001,$X1341))</f>
        <v/>
      </c>
      <c r="L1341" s="22" t="str">
        <f aca="false">IF($X1341="","",K1341*V1341/100)</f>
        <v/>
      </c>
      <c r="M1341" s="20" t="str">
        <f aca="false">IF($X1341="","",INDEX('Per Line'!$Z$2:$Z$4001,$X1341))</f>
        <v/>
      </c>
      <c r="N1341" s="23" t="str">
        <f aca="false">IF($X1341="","",Settings!$C$7)</f>
        <v/>
      </c>
      <c r="O1341" s="22" t="str">
        <f aca="false">IF($X1341="","",SUMIFS('Per Line'!$Y$2:$Y$4001,'Per Line'!$D$2:$D$4001,$B1341,'Per Line'!$AJ$2:$AJ$4001,0))</f>
        <v/>
      </c>
      <c r="P1341" s="22" t="str">
        <f aca="false">IF($X1341="","",O1341*N1341)</f>
        <v/>
      </c>
      <c r="Q1341" s="23" t="str">
        <f aca="false">IF($X1341="","",Settings!$C$6)</f>
        <v/>
      </c>
      <c r="R1341" s="22" t="str">
        <f aca="false">IF($X1341="","",SUMIFS('Per Line'!$Y$2:$Y$4001,'Per Line'!$D$2:$D$4001,$B1341,'Per Line'!$AJ$2:$AJ$4001,1))</f>
        <v/>
      </c>
      <c r="S1341" s="22" t="str">
        <f aca="false">IF($X1341="","",R1341*Q1341)</f>
        <v/>
      </c>
      <c r="T1341" s="22" t="str">
        <f aca="false">IF($X1341="","",S1341+P1341)</f>
        <v/>
      </c>
      <c r="U1341" s="22" t="str">
        <f aca="false">IF($X1341="","",V1341-T1341)</f>
        <v/>
      </c>
      <c r="V1341" s="22" t="str">
        <f aca="false">IF($X1341="","",O1341+R1341)</f>
        <v/>
      </c>
      <c r="W1341" s="22" t="str">
        <f aca="false">IF($X1341="","",U1341-L1341)</f>
        <v/>
      </c>
      <c r="X1341" s="24" t="str">
        <f aca="false">IF(ROWS($X$2:$X1341)&lt;=MAX('Per Line'!$AI$2:$AI$4001),MATCH(ROWS($X$2:$X1341),'Per Line'!$AI$2:$AI$4001,0),"")</f>
        <v/>
      </c>
    </row>
    <row r="1342" customFormat="false" ht="15" hidden="false" customHeight="false" outlineLevel="0" collapsed="false">
      <c r="A1342" s="19"/>
      <c r="B1342" s="20" t="str">
        <f aca="false">IF($X1342="","",INDEX('Per Line'!$D$2:$D$4001,$X1342))</f>
        <v/>
      </c>
      <c r="C1342" s="20" t="str">
        <f aca="false">IF($X1342="","",INDEX('Per Line'!$C$2:$C$4001,$X1342))</f>
        <v/>
      </c>
      <c r="D1342" s="20" t="str">
        <f aca="false">IF($X1342="","",INDEX('Per Line'!$A$2:$A$4001,$X1342))</f>
        <v/>
      </c>
      <c r="E1342" s="21" t="str">
        <f aca="false">IF($X1342="","",INDEX('Per Line'!$F$2:$F$4001,$X1342))</f>
        <v/>
      </c>
      <c r="F1342" s="20" t="str">
        <f aca="false">IF($X1342="","",INDEX('Per Line'!$G$2:$G$4001,$X1342))</f>
        <v/>
      </c>
      <c r="G1342" s="20" t="str">
        <f aca="false">IF($X1342="","",INDEX('Per Line'!$I$2:$I$4001,$X1342))</f>
        <v/>
      </c>
      <c r="H1342" s="20" t="str">
        <f aca="false">IF($X1342="","",INDEX('Per Line'!$J$2:$J$4001,$X1342))</f>
        <v/>
      </c>
      <c r="I1342" s="20" t="str">
        <f aca="false">IF($X1342="","",INDEX('Per Line'!$K$2:$K$4001,$X1342))</f>
        <v/>
      </c>
      <c r="J1342" s="20" t="str">
        <f aca="false">IF($X1342="","",INDEX('Per Line'!$L$2:$L$4001,$X1342))</f>
        <v/>
      </c>
      <c r="K1342" s="20" t="str">
        <f aca="false">IF($X1342="","",INDEX('Per Line'!$M$2:$M$4001,$X1342))</f>
        <v/>
      </c>
      <c r="L1342" s="22" t="str">
        <f aca="false">IF($X1342="","",K1342*V1342/100)</f>
        <v/>
      </c>
      <c r="M1342" s="20" t="str">
        <f aca="false">IF($X1342="","",INDEX('Per Line'!$Z$2:$Z$4001,$X1342))</f>
        <v/>
      </c>
      <c r="N1342" s="23" t="str">
        <f aca="false">IF($X1342="","",Settings!$C$7)</f>
        <v/>
      </c>
      <c r="O1342" s="22" t="str">
        <f aca="false">IF($X1342="","",SUMIFS('Per Line'!$Y$2:$Y$4001,'Per Line'!$D$2:$D$4001,$B1342,'Per Line'!$AJ$2:$AJ$4001,0))</f>
        <v/>
      </c>
      <c r="P1342" s="22" t="str">
        <f aca="false">IF($X1342="","",O1342*N1342)</f>
        <v/>
      </c>
      <c r="Q1342" s="23" t="str">
        <f aca="false">IF($X1342="","",Settings!$C$6)</f>
        <v/>
      </c>
      <c r="R1342" s="22" t="str">
        <f aca="false">IF($X1342="","",SUMIFS('Per Line'!$Y$2:$Y$4001,'Per Line'!$D$2:$D$4001,$B1342,'Per Line'!$AJ$2:$AJ$4001,1))</f>
        <v/>
      </c>
      <c r="S1342" s="22" t="str">
        <f aca="false">IF($X1342="","",R1342*Q1342)</f>
        <v/>
      </c>
      <c r="T1342" s="22" t="str">
        <f aca="false">IF($X1342="","",S1342+P1342)</f>
        <v/>
      </c>
      <c r="U1342" s="22" t="str">
        <f aca="false">IF($X1342="","",V1342-T1342)</f>
        <v/>
      </c>
      <c r="V1342" s="22" t="str">
        <f aca="false">IF($X1342="","",O1342+R1342)</f>
        <v/>
      </c>
      <c r="W1342" s="22" t="str">
        <f aca="false">IF($X1342="","",U1342-L1342)</f>
        <v/>
      </c>
      <c r="X1342" s="24" t="str">
        <f aca="false">IF(ROWS($X$2:$X1342)&lt;=MAX('Per Line'!$AI$2:$AI$4001),MATCH(ROWS($X$2:$X1342),'Per Line'!$AI$2:$AI$4001,0),"")</f>
        <v/>
      </c>
    </row>
    <row r="1343" customFormat="false" ht="15" hidden="false" customHeight="false" outlineLevel="0" collapsed="false">
      <c r="A1343" s="19"/>
      <c r="B1343" s="20" t="str">
        <f aca="false">IF($X1343="","",INDEX('Per Line'!$D$2:$D$4001,$X1343))</f>
        <v/>
      </c>
      <c r="C1343" s="20" t="str">
        <f aca="false">IF($X1343="","",INDEX('Per Line'!$C$2:$C$4001,$X1343))</f>
        <v/>
      </c>
      <c r="D1343" s="20" t="str">
        <f aca="false">IF($X1343="","",INDEX('Per Line'!$A$2:$A$4001,$X1343))</f>
        <v/>
      </c>
      <c r="E1343" s="21" t="str">
        <f aca="false">IF($X1343="","",INDEX('Per Line'!$F$2:$F$4001,$X1343))</f>
        <v/>
      </c>
      <c r="F1343" s="20" t="str">
        <f aca="false">IF($X1343="","",INDEX('Per Line'!$G$2:$G$4001,$X1343))</f>
        <v/>
      </c>
      <c r="G1343" s="20" t="str">
        <f aca="false">IF($X1343="","",INDEX('Per Line'!$I$2:$I$4001,$X1343))</f>
        <v/>
      </c>
      <c r="H1343" s="20" t="str">
        <f aca="false">IF($X1343="","",INDEX('Per Line'!$J$2:$J$4001,$X1343))</f>
        <v/>
      </c>
      <c r="I1343" s="20" t="str">
        <f aca="false">IF($X1343="","",INDEX('Per Line'!$K$2:$K$4001,$X1343))</f>
        <v/>
      </c>
      <c r="J1343" s="20" t="str">
        <f aca="false">IF($X1343="","",INDEX('Per Line'!$L$2:$L$4001,$X1343))</f>
        <v/>
      </c>
      <c r="K1343" s="20" t="str">
        <f aca="false">IF($X1343="","",INDEX('Per Line'!$M$2:$M$4001,$X1343))</f>
        <v/>
      </c>
      <c r="L1343" s="22" t="str">
        <f aca="false">IF($X1343="","",K1343*V1343/100)</f>
        <v/>
      </c>
      <c r="M1343" s="20" t="str">
        <f aca="false">IF($X1343="","",INDEX('Per Line'!$Z$2:$Z$4001,$X1343))</f>
        <v/>
      </c>
      <c r="N1343" s="23" t="str">
        <f aca="false">IF($X1343="","",Settings!$C$7)</f>
        <v/>
      </c>
      <c r="O1343" s="22" t="str">
        <f aca="false">IF($X1343="","",SUMIFS('Per Line'!$Y$2:$Y$4001,'Per Line'!$D$2:$D$4001,$B1343,'Per Line'!$AJ$2:$AJ$4001,0))</f>
        <v/>
      </c>
      <c r="P1343" s="22" t="str">
        <f aca="false">IF($X1343="","",O1343*N1343)</f>
        <v/>
      </c>
      <c r="Q1343" s="23" t="str">
        <f aca="false">IF($X1343="","",Settings!$C$6)</f>
        <v/>
      </c>
      <c r="R1343" s="22" t="str">
        <f aca="false">IF($X1343="","",SUMIFS('Per Line'!$Y$2:$Y$4001,'Per Line'!$D$2:$D$4001,$B1343,'Per Line'!$AJ$2:$AJ$4001,1))</f>
        <v/>
      </c>
      <c r="S1343" s="22" t="str">
        <f aca="false">IF($X1343="","",R1343*Q1343)</f>
        <v/>
      </c>
      <c r="T1343" s="22" t="str">
        <f aca="false">IF($X1343="","",S1343+P1343)</f>
        <v/>
      </c>
      <c r="U1343" s="22" t="str">
        <f aca="false">IF($X1343="","",V1343-T1343)</f>
        <v/>
      </c>
      <c r="V1343" s="22" t="str">
        <f aca="false">IF($X1343="","",O1343+R1343)</f>
        <v/>
      </c>
      <c r="W1343" s="22" t="str">
        <f aca="false">IF($X1343="","",U1343-L1343)</f>
        <v/>
      </c>
      <c r="X1343" s="24" t="str">
        <f aca="false">IF(ROWS($X$2:$X1343)&lt;=MAX('Per Line'!$AI$2:$AI$4001),MATCH(ROWS($X$2:$X1343),'Per Line'!$AI$2:$AI$4001,0),"")</f>
        <v/>
      </c>
    </row>
    <row r="1344" customFormat="false" ht="15" hidden="false" customHeight="false" outlineLevel="0" collapsed="false">
      <c r="A1344" s="19"/>
      <c r="B1344" s="20" t="str">
        <f aca="false">IF($X1344="","",INDEX('Per Line'!$D$2:$D$4001,$X1344))</f>
        <v/>
      </c>
      <c r="C1344" s="20" t="str">
        <f aca="false">IF($X1344="","",INDEX('Per Line'!$C$2:$C$4001,$X1344))</f>
        <v/>
      </c>
      <c r="D1344" s="20" t="str">
        <f aca="false">IF($X1344="","",INDEX('Per Line'!$A$2:$A$4001,$X1344))</f>
        <v/>
      </c>
      <c r="E1344" s="21" t="str">
        <f aca="false">IF($X1344="","",INDEX('Per Line'!$F$2:$F$4001,$X1344))</f>
        <v/>
      </c>
      <c r="F1344" s="20" t="str">
        <f aca="false">IF($X1344="","",INDEX('Per Line'!$G$2:$G$4001,$X1344))</f>
        <v/>
      </c>
      <c r="G1344" s="20" t="str">
        <f aca="false">IF($X1344="","",INDEX('Per Line'!$I$2:$I$4001,$X1344))</f>
        <v/>
      </c>
      <c r="H1344" s="20" t="str">
        <f aca="false">IF($X1344="","",INDEX('Per Line'!$J$2:$J$4001,$X1344))</f>
        <v/>
      </c>
      <c r="I1344" s="20" t="str">
        <f aca="false">IF($X1344="","",INDEX('Per Line'!$K$2:$K$4001,$X1344))</f>
        <v/>
      </c>
      <c r="J1344" s="20" t="str">
        <f aca="false">IF($X1344="","",INDEX('Per Line'!$L$2:$L$4001,$X1344))</f>
        <v/>
      </c>
      <c r="K1344" s="20" t="str">
        <f aca="false">IF($X1344="","",INDEX('Per Line'!$M$2:$M$4001,$X1344))</f>
        <v/>
      </c>
      <c r="L1344" s="22" t="str">
        <f aca="false">IF($X1344="","",K1344*V1344/100)</f>
        <v/>
      </c>
      <c r="M1344" s="20" t="str">
        <f aca="false">IF($X1344="","",INDEX('Per Line'!$Z$2:$Z$4001,$X1344))</f>
        <v/>
      </c>
      <c r="N1344" s="23" t="str">
        <f aca="false">IF($X1344="","",Settings!$C$7)</f>
        <v/>
      </c>
      <c r="O1344" s="22" t="str">
        <f aca="false">IF($X1344="","",SUMIFS('Per Line'!$Y$2:$Y$4001,'Per Line'!$D$2:$D$4001,$B1344,'Per Line'!$AJ$2:$AJ$4001,0))</f>
        <v/>
      </c>
      <c r="P1344" s="22" t="str">
        <f aca="false">IF($X1344="","",O1344*N1344)</f>
        <v/>
      </c>
      <c r="Q1344" s="23" t="str">
        <f aca="false">IF($X1344="","",Settings!$C$6)</f>
        <v/>
      </c>
      <c r="R1344" s="22" t="str">
        <f aca="false">IF($X1344="","",SUMIFS('Per Line'!$Y$2:$Y$4001,'Per Line'!$D$2:$D$4001,$B1344,'Per Line'!$AJ$2:$AJ$4001,1))</f>
        <v/>
      </c>
      <c r="S1344" s="22" t="str">
        <f aca="false">IF($X1344="","",R1344*Q1344)</f>
        <v/>
      </c>
      <c r="T1344" s="22" t="str">
        <f aca="false">IF($X1344="","",S1344+P1344)</f>
        <v/>
      </c>
      <c r="U1344" s="22" t="str">
        <f aca="false">IF($X1344="","",V1344-T1344)</f>
        <v/>
      </c>
      <c r="V1344" s="22" t="str">
        <f aca="false">IF($X1344="","",O1344+R1344)</f>
        <v/>
      </c>
      <c r="W1344" s="22" t="str">
        <f aca="false">IF($X1344="","",U1344-L1344)</f>
        <v/>
      </c>
      <c r="X1344" s="24" t="str">
        <f aca="false">IF(ROWS($X$2:$X1344)&lt;=MAX('Per Line'!$AI$2:$AI$4001),MATCH(ROWS($X$2:$X1344),'Per Line'!$AI$2:$AI$4001,0),"")</f>
        <v/>
      </c>
    </row>
    <row r="1345" customFormat="false" ht="15" hidden="false" customHeight="false" outlineLevel="0" collapsed="false">
      <c r="A1345" s="19"/>
      <c r="B1345" s="20" t="str">
        <f aca="false">IF($X1345="","",INDEX('Per Line'!$D$2:$D$4001,$X1345))</f>
        <v/>
      </c>
      <c r="C1345" s="20" t="str">
        <f aca="false">IF($X1345="","",INDEX('Per Line'!$C$2:$C$4001,$X1345))</f>
        <v/>
      </c>
      <c r="D1345" s="20" t="str">
        <f aca="false">IF($X1345="","",INDEX('Per Line'!$A$2:$A$4001,$X1345))</f>
        <v/>
      </c>
      <c r="E1345" s="21" t="str">
        <f aca="false">IF($X1345="","",INDEX('Per Line'!$F$2:$F$4001,$X1345))</f>
        <v/>
      </c>
      <c r="F1345" s="20" t="str">
        <f aca="false">IF($X1345="","",INDEX('Per Line'!$G$2:$G$4001,$X1345))</f>
        <v/>
      </c>
      <c r="G1345" s="20" t="str">
        <f aca="false">IF($X1345="","",INDEX('Per Line'!$I$2:$I$4001,$X1345))</f>
        <v/>
      </c>
      <c r="H1345" s="20" t="str">
        <f aca="false">IF($X1345="","",INDEX('Per Line'!$J$2:$J$4001,$X1345))</f>
        <v/>
      </c>
      <c r="I1345" s="20" t="str">
        <f aca="false">IF($X1345="","",INDEX('Per Line'!$K$2:$K$4001,$X1345))</f>
        <v/>
      </c>
      <c r="J1345" s="20" t="str">
        <f aca="false">IF($X1345="","",INDEX('Per Line'!$L$2:$L$4001,$X1345))</f>
        <v/>
      </c>
      <c r="K1345" s="20" t="str">
        <f aca="false">IF($X1345="","",INDEX('Per Line'!$M$2:$M$4001,$X1345))</f>
        <v/>
      </c>
      <c r="L1345" s="22" t="str">
        <f aca="false">IF($X1345="","",K1345*V1345/100)</f>
        <v/>
      </c>
      <c r="M1345" s="20" t="str">
        <f aca="false">IF($X1345="","",INDEX('Per Line'!$Z$2:$Z$4001,$X1345))</f>
        <v/>
      </c>
      <c r="N1345" s="23" t="str">
        <f aca="false">IF($X1345="","",Settings!$C$7)</f>
        <v/>
      </c>
      <c r="O1345" s="22" t="str">
        <f aca="false">IF($X1345="","",SUMIFS('Per Line'!$Y$2:$Y$4001,'Per Line'!$D$2:$D$4001,$B1345,'Per Line'!$AJ$2:$AJ$4001,0))</f>
        <v/>
      </c>
      <c r="P1345" s="22" t="str">
        <f aca="false">IF($X1345="","",O1345*N1345)</f>
        <v/>
      </c>
      <c r="Q1345" s="23" t="str">
        <f aca="false">IF($X1345="","",Settings!$C$6)</f>
        <v/>
      </c>
      <c r="R1345" s="22" t="str">
        <f aca="false">IF($X1345="","",SUMIFS('Per Line'!$Y$2:$Y$4001,'Per Line'!$D$2:$D$4001,$B1345,'Per Line'!$AJ$2:$AJ$4001,1))</f>
        <v/>
      </c>
      <c r="S1345" s="22" t="str">
        <f aca="false">IF($X1345="","",R1345*Q1345)</f>
        <v/>
      </c>
      <c r="T1345" s="22" t="str">
        <f aca="false">IF($X1345="","",S1345+P1345)</f>
        <v/>
      </c>
      <c r="U1345" s="22" t="str">
        <f aca="false">IF($X1345="","",V1345-T1345)</f>
        <v/>
      </c>
      <c r="V1345" s="22" t="str">
        <f aca="false">IF($X1345="","",O1345+R1345)</f>
        <v/>
      </c>
      <c r="W1345" s="22" t="str">
        <f aca="false">IF($X1345="","",U1345-L1345)</f>
        <v/>
      </c>
      <c r="X1345" s="24" t="str">
        <f aca="false">IF(ROWS($X$2:$X1345)&lt;=MAX('Per Line'!$AI$2:$AI$4001),MATCH(ROWS($X$2:$X1345),'Per Line'!$AI$2:$AI$4001,0),"")</f>
        <v/>
      </c>
    </row>
    <row r="1346" customFormat="false" ht="15" hidden="false" customHeight="false" outlineLevel="0" collapsed="false">
      <c r="A1346" s="19"/>
      <c r="B1346" s="20" t="str">
        <f aca="false">IF($X1346="","",INDEX('Per Line'!$D$2:$D$4001,$X1346))</f>
        <v/>
      </c>
      <c r="C1346" s="20" t="str">
        <f aca="false">IF($X1346="","",INDEX('Per Line'!$C$2:$C$4001,$X1346))</f>
        <v/>
      </c>
      <c r="D1346" s="20" t="str">
        <f aca="false">IF($X1346="","",INDEX('Per Line'!$A$2:$A$4001,$X1346))</f>
        <v/>
      </c>
      <c r="E1346" s="21" t="str">
        <f aca="false">IF($X1346="","",INDEX('Per Line'!$F$2:$F$4001,$X1346))</f>
        <v/>
      </c>
      <c r="F1346" s="20" t="str">
        <f aca="false">IF($X1346="","",INDEX('Per Line'!$G$2:$G$4001,$X1346))</f>
        <v/>
      </c>
      <c r="G1346" s="20" t="str">
        <f aca="false">IF($X1346="","",INDEX('Per Line'!$I$2:$I$4001,$X1346))</f>
        <v/>
      </c>
      <c r="H1346" s="20" t="str">
        <f aca="false">IF($X1346="","",INDEX('Per Line'!$J$2:$J$4001,$X1346))</f>
        <v/>
      </c>
      <c r="I1346" s="20" t="str">
        <f aca="false">IF($X1346="","",INDEX('Per Line'!$K$2:$K$4001,$X1346))</f>
        <v/>
      </c>
      <c r="J1346" s="20" t="str">
        <f aca="false">IF($X1346="","",INDEX('Per Line'!$L$2:$L$4001,$X1346))</f>
        <v/>
      </c>
      <c r="K1346" s="20" t="str">
        <f aca="false">IF($X1346="","",INDEX('Per Line'!$M$2:$M$4001,$X1346))</f>
        <v/>
      </c>
      <c r="L1346" s="22" t="str">
        <f aca="false">IF($X1346="","",K1346*V1346/100)</f>
        <v/>
      </c>
      <c r="M1346" s="20" t="str">
        <f aca="false">IF($X1346="","",INDEX('Per Line'!$Z$2:$Z$4001,$X1346))</f>
        <v/>
      </c>
      <c r="N1346" s="23" t="str">
        <f aca="false">IF($X1346="","",Settings!$C$7)</f>
        <v/>
      </c>
      <c r="O1346" s="22" t="str">
        <f aca="false">IF($X1346="","",SUMIFS('Per Line'!$Y$2:$Y$4001,'Per Line'!$D$2:$D$4001,$B1346,'Per Line'!$AJ$2:$AJ$4001,0))</f>
        <v/>
      </c>
      <c r="P1346" s="22" t="str">
        <f aca="false">IF($X1346="","",O1346*N1346)</f>
        <v/>
      </c>
      <c r="Q1346" s="23" t="str">
        <f aca="false">IF($X1346="","",Settings!$C$6)</f>
        <v/>
      </c>
      <c r="R1346" s="22" t="str">
        <f aca="false">IF($X1346="","",SUMIFS('Per Line'!$Y$2:$Y$4001,'Per Line'!$D$2:$D$4001,$B1346,'Per Line'!$AJ$2:$AJ$4001,1))</f>
        <v/>
      </c>
      <c r="S1346" s="22" t="str">
        <f aca="false">IF($X1346="","",R1346*Q1346)</f>
        <v/>
      </c>
      <c r="T1346" s="22" t="str">
        <f aca="false">IF($X1346="","",S1346+P1346)</f>
        <v/>
      </c>
      <c r="U1346" s="22" t="str">
        <f aca="false">IF($X1346="","",V1346-T1346)</f>
        <v/>
      </c>
      <c r="V1346" s="22" t="str">
        <f aca="false">IF($X1346="","",O1346+R1346)</f>
        <v/>
      </c>
      <c r="W1346" s="22" t="str">
        <f aca="false">IF($X1346="","",U1346-L1346)</f>
        <v/>
      </c>
      <c r="X1346" s="24" t="str">
        <f aca="false">IF(ROWS($X$2:$X1346)&lt;=MAX('Per Line'!$AI$2:$AI$4001),MATCH(ROWS($X$2:$X1346),'Per Line'!$AI$2:$AI$4001,0),"")</f>
        <v/>
      </c>
    </row>
    <row r="1347" customFormat="false" ht="15" hidden="false" customHeight="false" outlineLevel="0" collapsed="false">
      <c r="A1347" s="19"/>
      <c r="B1347" s="20" t="str">
        <f aca="false">IF($X1347="","",INDEX('Per Line'!$D$2:$D$4001,$X1347))</f>
        <v/>
      </c>
      <c r="C1347" s="20" t="str">
        <f aca="false">IF($X1347="","",INDEX('Per Line'!$C$2:$C$4001,$X1347))</f>
        <v/>
      </c>
      <c r="D1347" s="20" t="str">
        <f aca="false">IF($X1347="","",INDEX('Per Line'!$A$2:$A$4001,$X1347))</f>
        <v/>
      </c>
      <c r="E1347" s="21" t="str">
        <f aca="false">IF($X1347="","",INDEX('Per Line'!$F$2:$F$4001,$X1347))</f>
        <v/>
      </c>
      <c r="F1347" s="20" t="str">
        <f aca="false">IF($X1347="","",INDEX('Per Line'!$G$2:$G$4001,$X1347))</f>
        <v/>
      </c>
      <c r="G1347" s="20" t="str">
        <f aca="false">IF($X1347="","",INDEX('Per Line'!$I$2:$I$4001,$X1347))</f>
        <v/>
      </c>
      <c r="H1347" s="20" t="str">
        <f aca="false">IF($X1347="","",INDEX('Per Line'!$J$2:$J$4001,$X1347))</f>
        <v/>
      </c>
      <c r="I1347" s="20" t="str">
        <f aca="false">IF($X1347="","",INDEX('Per Line'!$K$2:$K$4001,$X1347))</f>
        <v/>
      </c>
      <c r="J1347" s="20" t="str">
        <f aca="false">IF($X1347="","",INDEX('Per Line'!$L$2:$L$4001,$X1347))</f>
        <v/>
      </c>
      <c r="K1347" s="20" t="str">
        <f aca="false">IF($X1347="","",INDEX('Per Line'!$M$2:$M$4001,$X1347))</f>
        <v/>
      </c>
      <c r="L1347" s="22" t="str">
        <f aca="false">IF($X1347="","",K1347*V1347/100)</f>
        <v/>
      </c>
      <c r="M1347" s="20" t="str">
        <f aca="false">IF($X1347="","",INDEX('Per Line'!$Z$2:$Z$4001,$X1347))</f>
        <v/>
      </c>
      <c r="N1347" s="23" t="str">
        <f aca="false">IF($X1347="","",Settings!$C$7)</f>
        <v/>
      </c>
      <c r="O1347" s="22" t="str">
        <f aca="false">IF($X1347="","",SUMIFS('Per Line'!$Y$2:$Y$4001,'Per Line'!$D$2:$D$4001,$B1347,'Per Line'!$AJ$2:$AJ$4001,0))</f>
        <v/>
      </c>
      <c r="P1347" s="22" t="str">
        <f aca="false">IF($X1347="","",O1347*N1347)</f>
        <v/>
      </c>
      <c r="Q1347" s="23" t="str">
        <f aca="false">IF($X1347="","",Settings!$C$6)</f>
        <v/>
      </c>
      <c r="R1347" s="22" t="str">
        <f aca="false">IF($X1347="","",SUMIFS('Per Line'!$Y$2:$Y$4001,'Per Line'!$D$2:$D$4001,$B1347,'Per Line'!$AJ$2:$AJ$4001,1))</f>
        <v/>
      </c>
      <c r="S1347" s="22" t="str">
        <f aca="false">IF($X1347="","",R1347*Q1347)</f>
        <v/>
      </c>
      <c r="T1347" s="22" t="str">
        <f aca="false">IF($X1347="","",S1347+P1347)</f>
        <v/>
      </c>
      <c r="U1347" s="22" t="str">
        <f aca="false">IF($X1347="","",V1347-T1347)</f>
        <v/>
      </c>
      <c r="V1347" s="22" t="str">
        <f aca="false">IF($X1347="","",O1347+R1347)</f>
        <v/>
      </c>
      <c r="W1347" s="22" t="str">
        <f aca="false">IF($X1347="","",U1347-L1347)</f>
        <v/>
      </c>
      <c r="X1347" s="24" t="str">
        <f aca="false">IF(ROWS($X$2:$X1347)&lt;=MAX('Per Line'!$AI$2:$AI$4001),MATCH(ROWS($X$2:$X1347),'Per Line'!$AI$2:$AI$4001,0),"")</f>
        <v/>
      </c>
    </row>
    <row r="1348" customFormat="false" ht="15" hidden="false" customHeight="false" outlineLevel="0" collapsed="false">
      <c r="A1348" s="19"/>
      <c r="B1348" s="20" t="str">
        <f aca="false">IF($X1348="","",INDEX('Per Line'!$D$2:$D$4001,$X1348))</f>
        <v/>
      </c>
      <c r="C1348" s="20" t="str">
        <f aca="false">IF($X1348="","",INDEX('Per Line'!$C$2:$C$4001,$X1348))</f>
        <v/>
      </c>
      <c r="D1348" s="20" t="str">
        <f aca="false">IF($X1348="","",INDEX('Per Line'!$A$2:$A$4001,$X1348))</f>
        <v/>
      </c>
      <c r="E1348" s="21" t="str">
        <f aca="false">IF($X1348="","",INDEX('Per Line'!$F$2:$F$4001,$X1348))</f>
        <v/>
      </c>
      <c r="F1348" s="20" t="str">
        <f aca="false">IF($X1348="","",INDEX('Per Line'!$G$2:$G$4001,$X1348))</f>
        <v/>
      </c>
      <c r="G1348" s="20" t="str">
        <f aca="false">IF($X1348="","",INDEX('Per Line'!$I$2:$I$4001,$X1348))</f>
        <v/>
      </c>
      <c r="H1348" s="20" t="str">
        <f aca="false">IF($X1348="","",INDEX('Per Line'!$J$2:$J$4001,$X1348))</f>
        <v/>
      </c>
      <c r="I1348" s="20" t="str">
        <f aca="false">IF($X1348="","",INDEX('Per Line'!$K$2:$K$4001,$X1348))</f>
        <v/>
      </c>
      <c r="J1348" s="20" t="str">
        <f aca="false">IF($X1348="","",INDEX('Per Line'!$L$2:$L$4001,$X1348))</f>
        <v/>
      </c>
      <c r="K1348" s="20" t="str">
        <f aca="false">IF($X1348="","",INDEX('Per Line'!$M$2:$M$4001,$X1348))</f>
        <v/>
      </c>
      <c r="L1348" s="22" t="str">
        <f aca="false">IF($X1348="","",K1348*V1348/100)</f>
        <v/>
      </c>
      <c r="M1348" s="20" t="str">
        <f aca="false">IF($X1348="","",INDEX('Per Line'!$Z$2:$Z$4001,$X1348))</f>
        <v/>
      </c>
      <c r="N1348" s="23" t="str">
        <f aca="false">IF($X1348="","",Settings!$C$7)</f>
        <v/>
      </c>
      <c r="O1348" s="22" t="str">
        <f aca="false">IF($X1348="","",SUMIFS('Per Line'!$Y$2:$Y$4001,'Per Line'!$D$2:$D$4001,$B1348,'Per Line'!$AJ$2:$AJ$4001,0))</f>
        <v/>
      </c>
      <c r="P1348" s="22" t="str">
        <f aca="false">IF($X1348="","",O1348*N1348)</f>
        <v/>
      </c>
      <c r="Q1348" s="23" t="str">
        <f aca="false">IF($X1348="","",Settings!$C$6)</f>
        <v/>
      </c>
      <c r="R1348" s="22" t="str">
        <f aca="false">IF($X1348="","",SUMIFS('Per Line'!$Y$2:$Y$4001,'Per Line'!$D$2:$D$4001,$B1348,'Per Line'!$AJ$2:$AJ$4001,1))</f>
        <v/>
      </c>
      <c r="S1348" s="22" t="str">
        <f aca="false">IF($X1348="","",R1348*Q1348)</f>
        <v/>
      </c>
      <c r="T1348" s="22" t="str">
        <f aca="false">IF($X1348="","",S1348+P1348)</f>
        <v/>
      </c>
      <c r="U1348" s="22" t="str">
        <f aca="false">IF($X1348="","",V1348-T1348)</f>
        <v/>
      </c>
      <c r="V1348" s="22" t="str">
        <f aca="false">IF($X1348="","",O1348+R1348)</f>
        <v/>
      </c>
      <c r="W1348" s="22" t="str">
        <f aca="false">IF($X1348="","",U1348-L1348)</f>
        <v/>
      </c>
      <c r="X1348" s="24" t="str">
        <f aca="false">IF(ROWS($X$2:$X1348)&lt;=MAX('Per Line'!$AI$2:$AI$4001),MATCH(ROWS($X$2:$X1348),'Per Line'!$AI$2:$AI$4001,0),"")</f>
        <v/>
      </c>
    </row>
    <row r="1349" customFormat="false" ht="15" hidden="false" customHeight="false" outlineLevel="0" collapsed="false">
      <c r="A1349" s="19"/>
      <c r="B1349" s="20" t="str">
        <f aca="false">IF($X1349="","",INDEX('Per Line'!$D$2:$D$4001,$X1349))</f>
        <v/>
      </c>
      <c r="C1349" s="20" t="str">
        <f aca="false">IF($X1349="","",INDEX('Per Line'!$C$2:$C$4001,$X1349))</f>
        <v/>
      </c>
      <c r="D1349" s="20" t="str">
        <f aca="false">IF($X1349="","",INDEX('Per Line'!$A$2:$A$4001,$X1349))</f>
        <v/>
      </c>
      <c r="E1349" s="21" t="str">
        <f aca="false">IF($X1349="","",INDEX('Per Line'!$F$2:$F$4001,$X1349))</f>
        <v/>
      </c>
      <c r="F1349" s="20" t="str">
        <f aca="false">IF($X1349="","",INDEX('Per Line'!$G$2:$G$4001,$X1349))</f>
        <v/>
      </c>
      <c r="G1349" s="20" t="str">
        <f aca="false">IF($X1349="","",INDEX('Per Line'!$I$2:$I$4001,$X1349))</f>
        <v/>
      </c>
      <c r="H1349" s="20" t="str">
        <f aca="false">IF($X1349="","",INDEX('Per Line'!$J$2:$J$4001,$X1349))</f>
        <v/>
      </c>
      <c r="I1349" s="20" t="str">
        <f aca="false">IF($X1349="","",INDEX('Per Line'!$K$2:$K$4001,$X1349))</f>
        <v/>
      </c>
      <c r="J1349" s="20" t="str">
        <f aca="false">IF($X1349="","",INDEX('Per Line'!$L$2:$L$4001,$X1349))</f>
        <v/>
      </c>
      <c r="K1349" s="20" t="str">
        <f aca="false">IF($X1349="","",INDEX('Per Line'!$M$2:$M$4001,$X1349))</f>
        <v/>
      </c>
      <c r="L1349" s="22" t="str">
        <f aca="false">IF($X1349="","",K1349*V1349/100)</f>
        <v/>
      </c>
      <c r="M1349" s="20" t="str">
        <f aca="false">IF($X1349="","",INDEX('Per Line'!$Z$2:$Z$4001,$X1349))</f>
        <v/>
      </c>
      <c r="N1349" s="23" t="str">
        <f aca="false">IF($X1349="","",Settings!$C$7)</f>
        <v/>
      </c>
      <c r="O1349" s="22" t="str">
        <f aca="false">IF($X1349="","",SUMIFS('Per Line'!$Y$2:$Y$4001,'Per Line'!$D$2:$D$4001,$B1349,'Per Line'!$AJ$2:$AJ$4001,0))</f>
        <v/>
      </c>
      <c r="P1349" s="22" t="str">
        <f aca="false">IF($X1349="","",O1349*N1349)</f>
        <v/>
      </c>
      <c r="Q1349" s="23" t="str">
        <f aca="false">IF($X1349="","",Settings!$C$6)</f>
        <v/>
      </c>
      <c r="R1349" s="22" t="str">
        <f aca="false">IF($X1349="","",SUMIFS('Per Line'!$Y$2:$Y$4001,'Per Line'!$D$2:$D$4001,$B1349,'Per Line'!$AJ$2:$AJ$4001,1))</f>
        <v/>
      </c>
      <c r="S1349" s="22" t="str">
        <f aca="false">IF($X1349="","",R1349*Q1349)</f>
        <v/>
      </c>
      <c r="T1349" s="22" t="str">
        <f aca="false">IF($X1349="","",S1349+P1349)</f>
        <v/>
      </c>
      <c r="U1349" s="22" t="str">
        <f aca="false">IF($X1349="","",V1349-T1349)</f>
        <v/>
      </c>
      <c r="V1349" s="22" t="str">
        <f aca="false">IF($X1349="","",O1349+R1349)</f>
        <v/>
      </c>
      <c r="W1349" s="22" t="str">
        <f aca="false">IF($X1349="","",U1349-L1349)</f>
        <v/>
      </c>
      <c r="X1349" s="24" t="str">
        <f aca="false">IF(ROWS($X$2:$X1349)&lt;=MAX('Per Line'!$AI$2:$AI$4001),MATCH(ROWS($X$2:$X1349),'Per Line'!$AI$2:$AI$4001,0),"")</f>
        <v/>
      </c>
    </row>
    <row r="1350" customFormat="false" ht="15" hidden="false" customHeight="false" outlineLevel="0" collapsed="false">
      <c r="A1350" s="19"/>
      <c r="B1350" s="20" t="str">
        <f aca="false">IF($X1350="","",INDEX('Per Line'!$D$2:$D$4001,$X1350))</f>
        <v/>
      </c>
      <c r="C1350" s="20" t="str">
        <f aca="false">IF($X1350="","",INDEX('Per Line'!$C$2:$C$4001,$X1350))</f>
        <v/>
      </c>
      <c r="D1350" s="20" t="str">
        <f aca="false">IF($X1350="","",INDEX('Per Line'!$A$2:$A$4001,$X1350))</f>
        <v/>
      </c>
      <c r="E1350" s="21" t="str">
        <f aca="false">IF($X1350="","",INDEX('Per Line'!$F$2:$F$4001,$X1350))</f>
        <v/>
      </c>
      <c r="F1350" s="20" t="str">
        <f aca="false">IF($X1350="","",INDEX('Per Line'!$G$2:$G$4001,$X1350))</f>
        <v/>
      </c>
      <c r="G1350" s="20" t="str">
        <f aca="false">IF($X1350="","",INDEX('Per Line'!$I$2:$I$4001,$X1350))</f>
        <v/>
      </c>
      <c r="H1350" s="20" t="str">
        <f aca="false">IF($X1350="","",INDEX('Per Line'!$J$2:$J$4001,$X1350))</f>
        <v/>
      </c>
      <c r="I1350" s="20" t="str">
        <f aca="false">IF($X1350="","",INDEX('Per Line'!$K$2:$K$4001,$X1350))</f>
        <v/>
      </c>
      <c r="J1350" s="20" t="str">
        <f aca="false">IF($X1350="","",INDEX('Per Line'!$L$2:$L$4001,$X1350))</f>
        <v/>
      </c>
      <c r="K1350" s="20" t="str">
        <f aca="false">IF($X1350="","",INDEX('Per Line'!$M$2:$M$4001,$X1350))</f>
        <v/>
      </c>
      <c r="L1350" s="22" t="str">
        <f aca="false">IF($X1350="","",K1350*V1350/100)</f>
        <v/>
      </c>
      <c r="M1350" s="20" t="str">
        <f aca="false">IF($X1350="","",INDEX('Per Line'!$Z$2:$Z$4001,$X1350))</f>
        <v/>
      </c>
      <c r="N1350" s="23" t="str">
        <f aca="false">IF($X1350="","",Settings!$C$7)</f>
        <v/>
      </c>
      <c r="O1350" s="22" t="str">
        <f aca="false">IF($X1350="","",SUMIFS('Per Line'!$Y$2:$Y$4001,'Per Line'!$D$2:$D$4001,$B1350,'Per Line'!$AJ$2:$AJ$4001,0))</f>
        <v/>
      </c>
      <c r="P1350" s="22" t="str">
        <f aca="false">IF($X1350="","",O1350*N1350)</f>
        <v/>
      </c>
      <c r="Q1350" s="23" t="str">
        <f aca="false">IF($X1350="","",Settings!$C$6)</f>
        <v/>
      </c>
      <c r="R1350" s="22" t="str">
        <f aca="false">IF($X1350="","",SUMIFS('Per Line'!$Y$2:$Y$4001,'Per Line'!$D$2:$D$4001,$B1350,'Per Line'!$AJ$2:$AJ$4001,1))</f>
        <v/>
      </c>
      <c r="S1350" s="22" t="str">
        <f aca="false">IF($X1350="","",R1350*Q1350)</f>
        <v/>
      </c>
      <c r="T1350" s="22" t="str">
        <f aca="false">IF($X1350="","",S1350+P1350)</f>
        <v/>
      </c>
      <c r="U1350" s="22" t="str">
        <f aca="false">IF($X1350="","",V1350-T1350)</f>
        <v/>
      </c>
      <c r="V1350" s="22" t="str">
        <f aca="false">IF($X1350="","",O1350+R1350)</f>
        <v/>
      </c>
      <c r="W1350" s="22" t="str">
        <f aca="false">IF($X1350="","",U1350-L1350)</f>
        <v/>
      </c>
      <c r="X1350" s="24" t="str">
        <f aca="false">IF(ROWS($X$2:$X1350)&lt;=MAX('Per Line'!$AI$2:$AI$4001),MATCH(ROWS($X$2:$X1350),'Per Line'!$AI$2:$AI$4001,0),"")</f>
        <v/>
      </c>
    </row>
    <row r="1351" customFormat="false" ht="15" hidden="false" customHeight="false" outlineLevel="0" collapsed="false">
      <c r="A1351" s="19"/>
      <c r="B1351" s="20" t="str">
        <f aca="false">IF($X1351="","",INDEX('Per Line'!$D$2:$D$4001,$X1351))</f>
        <v/>
      </c>
      <c r="C1351" s="20" t="str">
        <f aca="false">IF($X1351="","",INDEX('Per Line'!$C$2:$C$4001,$X1351))</f>
        <v/>
      </c>
      <c r="D1351" s="20" t="str">
        <f aca="false">IF($X1351="","",INDEX('Per Line'!$A$2:$A$4001,$X1351))</f>
        <v/>
      </c>
      <c r="E1351" s="21" t="str">
        <f aca="false">IF($X1351="","",INDEX('Per Line'!$F$2:$F$4001,$X1351))</f>
        <v/>
      </c>
      <c r="F1351" s="20" t="str">
        <f aca="false">IF($X1351="","",INDEX('Per Line'!$G$2:$G$4001,$X1351))</f>
        <v/>
      </c>
      <c r="G1351" s="20" t="str">
        <f aca="false">IF($X1351="","",INDEX('Per Line'!$I$2:$I$4001,$X1351))</f>
        <v/>
      </c>
      <c r="H1351" s="20" t="str">
        <f aca="false">IF($X1351="","",INDEX('Per Line'!$J$2:$J$4001,$X1351))</f>
        <v/>
      </c>
      <c r="I1351" s="20" t="str">
        <f aca="false">IF($X1351="","",INDEX('Per Line'!$K$2:$K$4001,$X1351))</f>
        <v/>
      </c>
      <c r="J1351" s="20" t="str">
        <f aca="false">IF($X1351="","",INDEX('Per Line'!$L$2:$L$4001,$X1351))</f>
        <v/>
      </c>
      <c r="K1351" s="20" t="str">
        <f aca="false">IF($X1351="","",INDEX('Per Line'!$M$2:$M$4001,$X1351))</f>
        <v/>
      </c>
      <c r="L1351" s="22" t="str">
        <f aca="false">IF($X1351="","",K1351*V1351/100)</f>
        <v/>
      </c>
      <c r="M1351" s="20" t="str">
        <f aca="false">IF($X1351="","",INDEX('Per Line'!$Z$2:$Z$4001,$X1351))</f>
        <v/>
      </c>
      <c r="N1351" s="23" t="str">
        <f aca="false">IF($X1351="","",Settings!$C$7)</f>
        <v/>
      </c>
      <c r="O1351" s="22" t="str">
        <f aca="false">IF($X1351="","",SUMIFS('Per Line'!$Y$2:$Y$4001,'Per Line'!$D$2:$D$4001,$B1351,'Per Line'!$AJ$2:$AJ$4001,0))</f>
        <v/>
      </c>
      <c r="P1351" s="22" t="str">
        <f aca="false">IF($X1351="","",O1351*N1351)</f>
        <v/>
      </c>
      <c r="Q1351" s="23" t="str">
        <f aca="false">IF($X1351="","",Settings!$C$6)</f>
        <v/>
      </c>
      <c r="R1351" s="22" t="str">
        <f aca="false">IF($X1351="","",SUMIFS('Per Line'!$Y$2:$Y$4001,'Per Line'!$D$2:$D$4001,$B1351,'Per Line'!$AJ$2:$AJ$4001,1))</f>
        <v/>
      </c>
      <c r="S1351" s="22" t="str">
        <f aca="false">IF($X1351="","",R1351*Q1351)</f>
        <v/>
      </c>
      <c r="T1351" s="22" t="str">
        <f aca="false">IF($X1351="","",S1351+P1351)</f>
        <v/>
      </c>
      <c r="U1351" s="22" t="str">
        <f aca="false">IF($X1351="","",V1351-T1351)</f>
        <v/>
      </c>
      <c r="V1351" s="22" t="str">
        <f aca="false">IF($X1351="","",O1351+R1351)</f>
        <v/>
      </c>
      <c r="W1351" s="22" t="str">
        <f aca="false">IF($X1351="","",U1351-L1351)</f>
        <v/>
      </c>
      <c r="X1351" s="24" t="str">
        <f aca="false">IF(ROWS($X$2:$X1351)&lt;=MAX('Per Line'!$AI$2:$AI$4001),MATCH(ROWS($X$2:$X1351),'Per Line'!$AI$2:$AI$4001,0),"")</f>
        <v/>
      </c>
    </row>
    <row r="1352" customFormat="false" ht="15" hidden="false" customHeight="false" outlineLevel="0" collapsed="false">
      <c r="A1352" s="19"/>
      <c r="B1352" s="20" t="str">
        <f aca="false">IF($X1352="","",INDEX('Per Line'!$D$2:$D$4001,$X1352))</f>
        <v/>
      </c>
      <c r="C1352" s="20" t="str">
        <f aca="false">IF($X1352="","",INDEX('Per Line'!$C$2:$C$4001,$X1352))</f>
        <v/>
      </c>
      <c r="D1352" s="20" t="str">
        <f aca="false">IF($X1352="","",INDEX('Per Line'!$A$2:$A$4001,$X1352))</f>
        <v/>
      </c>
      <c r="E1352" s="21" t="str">
        <f aca="false">IF($X1352="","",INDEX('Per Line'!$F$2:$F$4001,$X1352))</f>
        <v/>
      </c>
      <c r="F1352" s="20" t="str">
        <f aca="false">IF($X1352="","",INDEX('Per Line'!$G$2:$G$4001,$X1352))</f>
        <v/>
      </c>
      <c r="G1352" s="20" t="str">
        <f aca="false">IF($X1352="","",INDEX('Per Line'!$I$2:$I$4001,$X1352))</f>
        <v/>
      </c>
      <c r="H1352" s="20" t="str">
        <f aca="false">IF($X1352="","",INDEX('Per Line'!$J$2:$J$4001,$X1352))</f>
        <v/>
      </c>
      <c r="I1352" s="20" t="str">
        <f aca="false">IF($X1352="","",INDEX('Per Line'!$K$2:$K$4001,$X1352))</f>
        <v/>
      </c>
      <c r="J1352" s="20" t="str">
        <f aca="false">IF($X1352="","",INDEX('Per Line'!$L$2:$L$4001,$X1352))</f>
        <v/>
      </c>
      <c r="K1352" s="20" t="str">
        <f aca="false">IF($X1352="","",INDEX('Per Line'!$M$2:$M$4001,$X1352))</f>
        <v/>
      </c>
      <c r="L1352" s="22" t="str">
        <f aca="false">IF($X1352="","",K1352*V1352/100)</f>
        <v/>
      </c>
      <c r="M1352" s="20" t="str">
        <f aca="false">IF($X1352="","",INDEX('Per Line'!$Z$2:$Z$4001,$X1352))</f>
        <v/>
      </c>
      <c r="N1352" s="23" t="str">
        <f aca="false">IF($X1352="","",Settings!$C$7)</f>
        <v/>
      </c>
      <c r="O1352" s="22" t="str">
        <f aca="false">IF($X1352="","",SUMIFS('Per Line'!$Y$2:$Y$4001,'Per Line'!$D$2:$D$4001,$B1352,'Per Line'!$AJ$2:$AJ$4001,0))</f>
        <v/>
      </c>
      <c r="P1352" s="22" t="str">
        <f aca="false">IF($X1352="","",O1352*N1352)</f>
        <v/>
      </c>
      <c r="Q1352" s="23" t="str">
        <f aca="false">IF($X1352="","",Settings!$C$6)</f>
        <v/>
      </c>
      <c r="R1352" s="22" t="str">
        <f aca="false">IF($X1352="","",SUMIFS('Per Line'!$Y$2:$Y$4001,'Per Line'!$D$2:$D$4001,$B1352,'Per Line'!$AJ$2:$AJ$4001,1))</f>
        <v/>
      </c>
      <c r="S1352" s="22" t="str">
        <f aca="false">IF($X1352="","",R1352*Q1352)</f>
        <v/>
      </c>
      <c r="T1352" s="22" t="str">
        <f aca="false">IF($X1352="","",S1352+P1352)</f>
        <v/>
      </c>
      <c r="U1352" s="22" t="str">
        <f aca="false">IF($X1352="","",V1352-T1352)</f>
        <v/>
      </c>
      <c r="V1352" s="22" t="str">
        <f aca="false">IF($X1352="","",O1352+R1352)</f>
        <v/>
      </c>
      <c r="W1352" s="22" t="str">
        <f aca="false">IF($X1352="","",U1352-L1352)</f>
        <v/>
      </c>
      <c r="X1352" s="24" t="str">
        <f aca="false">IF(ROWS($X$2:$X1352)&lt;=MAX('Per Line'!$AI$2:$AI$4001),MATCH(ROWS($X$2:$X1352),'Per Line'!$AI$2:$AI$4001,0),"")</f>
        <v/>
      </c>
    </row>
    <row r="1353" customFormat="false" ht="15" hidden="false" customHeight="false" outlineLevel="0" collapsed="false">
      <c r="A1353" s="19"/>
      <c r="B1353" s="20" t="str">
        <f aca="false">IF($X1353="","",INDEX('Per Line'!$D$2:$D$4001,$X1353))</f>
        <v/>
      </c>
      <c r="C1353" s="20" t="str">
        <f aca="false">IF($X1353="","",INDEX('Per Line'!$C$2:$C$4001,$X1353))</f>
        <v/>
      </c>
      <c r="D1353" s="20" t="str">
        <f aca="false">IF($X1353="","",INDEX('Per Line'!$A$2:$A$4001,$X1353))</f>
        <v/>
      </c>
      <c r="E1353" s="21" t="str">
        <f aca="false">IF($X1353="","",INDEX('Per Line'!$F$2:$F$4001,$X1353))</f>
        <v/>
      </c>
      <c r="F1353" s="20" t="str">
        <f aca="false">IF($X1353="","",INDEX('Per Line'!$G$2:$G$4001,$X1353))</f>
        <v/>
      </c>
      <c r="G1353" s="20" t="str">
        <f aca="false">IF($X1353="","",INDEX('Per Line'!$I$2:$I$4001,$X1353))</f>
        <v/>
      </c>
      <c r="H1353" s="20" t="str">
        <f aca="false">IF($X1353="","",INDEX('Per Line'!$J$2:$J$4001,$X1353))</f>
        <v/>
      </c>
      <c r="I1353" s="20" t="str">
        <f aca="false">IF($X1353="","",INDEX('Per Line'!$K$2:$K$4001,$X1353))</f>
        <v/>
      </c>
      <c r="J1353" s="20" t="str">
        <f aca="false">IF($X1353="","",INDEX('Per Line'!$L$2:$L$4001,$X1353))</f>
        <v/>
      </c>
      <c r="K1353" s="20" t="str">
        <f aca="false">IF($X1353="","",INDEX('Per Line'!$M$2:$M$4001,$X1353))</f>
        <v/>
      </c>
      <c r="L1353" s="22" t="str">
        <f aca="false">IF($X1353="","",K1353*V1353/100)</f>
        <v/>
      </c>
      <c r="M1353" s="20" t="str">
        <f aca="false">IF($X1353="","",INDEX('Per Line'!$Z$2:$Z$4001,$X1353))</f>
        <v/>
      </c>
      <c r="N1353" s="23" t="str">
        <f aca="false">IF($X1353="","",Settings!$C$7)</f>
        <v/>
      </c>
      <c r="O1353" s="22" t="str">
        <f aca="false">IF($X1353="","",SUMIFS('Per Line'!$Y$2:$Y$4001,'Per Line'!$D$2:$D$4001,$B1353,'Per Line'!$AJ$2:$AJ$4001,0))</f>
        <v/>
      </c>
      <c r="P1353" s="22" t="str">
        <f aca="false">IF($X1353="","",O1353*N1353)</f>
        <v/>
      </c>
      <c r="Q1353" s="23" t="str">
        <f aca="false">IF($X1353="","",Settings!$C$6)</f>
        <v/>
      </c>
      <c r="R1353" s="22" t="str">
        <f aca="false">IF($X1353="","",SUMIFS('Per Line'!$Y$2:$Y$4001,'Per Line'!$D$2:$D$4001,$B1353,'Per Line'!$AJ$2:$AJ$4001,1))</f>
        <v/>
      </c>
      <c r="S1353" s="22" t="str">
        <f aca="false">IF($X1353="","",R1353*Q1353)</f>
        <v/>
      </c>
      <c r="T1353" s="22" t="str">
        <f aca="false">IF($X1353="","",S1353+P1353)</f>
        <v/>
      </c>
      <c r="U1353" s="22" t="str">
        <f aca="false">IF($X1353="","",V1353-T1353)</f>
        <v/>
      </c>
      <c r="V1353" s="22" t="str">
        <f aca="false">IF($X1353="","",O1353+R1353)</f>
        <v/>
      </c>
      <c r="W1353" s="22" t="str">
        <f aca="false">IF($X1353="","",U1353-L1353)</f>
        <v/>
      </c>
      <c r="X1353" s="24" t="str">
        <f aca="false">IF(ROWS($X$2:$X1353)&lt;=MAX('Per Line'!$AI$2:$AI$4001),MATCH(ROWS($X$2:$X1353),'Per Line'!$AI$2:$AI$4001,0),"")</f>
        <v/>
      </c>
    </row>
    <row r="1354" customFormat="false" ht="15" hidden="false" customHeight="false" outlineLevel="0" collapsed="false">
      <c r="A1354" s="19"/>
      <c r="B1354" s="20" t="str">
        <f aca="false">IF($X1354="","",INDEX('Per Line'!$D$2:$D$4001,$X1354))</f>
        <v/>
      </c>
      <c r="C1354" s="20" t="str">
        <f aca="false">IF($X1354="","",INDEX('Per Line'!$C$2:$C$4001,$X1354))</f>
        <v/>
      </c>
      <c r="D1354" s="20" t="str">
        <f aca="false">IF($X1354="","",INDEX('Per Line'!$A$2:$A$4001,$X1354))</f>
        <v/>
      </c>
      <c r="E1354" s="21" t="str">
        <f aca="false">IF($X1354="","",INDEX('Per Line'!$F$2:$F$4001,$X1354))</f>
        <v/>
      </c>
      <c r="F1354" s="20" t="str">
        <f aca="false">IF($X1354="","",INDEX('Per Line'!$G$2:$G$4001,$X1354))</f>
        <v/>
      </c>
      <c r="G1354" s="20" t="str">
        <f aca="false">IF($X1354="","",INDEX('Per Line'!$I$2:$I$4001,$X1354))</f>
        <v/>
      </c>
      <c r="H1354" s="20" t="str">
        <f aca="false">IF($X1354="","",INDEX('Per Line'!$J$2:$J$4001,$X1354))</f>
        <v/>
      </c>
      <c r="I1354" s="20" t="str">
        <f aca="false">IF($X1354="","",INDEX('Per Line'!$K$2:$K$4001,$X1354))</f>
        <v/>
      </c>
      <c r="J1354" s="20" t="str">
        <f aca="false">IF($X1354="","",INDEX('Per Line'!$L$2:$L$4001,$X1354))</f>
        <v/>
      </c>
      <c r="K1354" s="20" t="str">
        <f aca="false">IF($X1354="","",INDEX('Per Line'!$M$2:$M$4001,$X1354))</f>
        <v/>
      </c>
      <c r="L1354" s="22" t="str">
        <f aca="false">IF($X1354="","",K1354*V1354/100)</f>
        <v/>
      </c>
      <c r="M1354" s="20" t="str">
        <f aca="false">IF($X1354="","",INDEX('Per Line'!$Z$2:$Z$4001,$X1354))</f>
        <v/>
      </c>
      <c r="N1354" s="23" t="str">
        <f aca="false">IF($X1354="","",Settings!$C$7)</f>
        <v/>
      </c>
      <c r="O1354" s="22" t="str">
        <f aca="false">IF($X1354="","",SUMIFS('Per Line'!$Y$2:$Y$4001,'Per Line'!$D$2:$D$4001,$B1354,'Per Line'!$AJ$2:$AJ$4001,0))</f>
        <v/>
      </c>
      <c r="P1354" s="22" t="str">
        <f aca="false">IF($X1354="","",O1354*N1354)</f>
        <v/>
      </c>
      <c r="Q1354" s="23" t="str">
        <f aca="false">IF($X1354="","",Settings!$C$6)</f>
        <v/>
      </c>
      <c r="R1354" s="22" t="str">
        <f aca="false">IF($X1354="","",SUMIFS('Per Line'!$Y$2:$Y$4001,'Per Line'!$D$2:$D$4001,$B1354,'Per Line'!$AJ$2:$AJ$4001,1))</f>
        <v/>
      </c>
      <c r="S1354" s="22" t="str">
        <f aca="false">IF($X1354="","",R1354*Q1354)</f>
        <v/>
      </c>
      <c r="T1354" s="22" t="str">
        <f aca="false">IF($X1354="","",S1354+P1354)</f>
        <v/>
      </c>
      <c r="U1354" s="22" t="str">
        <f aca="false">IF($X1354="","",V1354-T1354)</f>
        <v/>
      </c>
      <c r="V1354" s="22" t="str">
        <f aca="false">IF($X1354="","",O1354+R1354)</f>
        <v/>
      </c>
      <c r="W1354" s="22" t="str">
        <f aca="false">IF($X1354="","",U1354-L1354)</f>
        <v/>
      </c>
      <c r="X1354" s="24" t="str">
        <f aca="false">IF(ROWS($X$2:$X1354)&lt;=MAX('Per Line'!$AI$2:$AI$4001),MATCH(ROWS($X$2:$X1354),'Per Line'!$AI$2:$AI$4001,0),"")</f>
        <v/>
      </c>
    </row>
    <row r="1355" customFormat="false" ht="15" hidden="false" customHeight="false" outlineLevel="0" collapsed="false">
      <c r="A1355" s="19"/>
      <c r="B1355" s="20" t="str">
        <f aca="false">IF($X1355="","",INDEX('Per Line'!$D$2:$D$4001,$X1355))</f>
        <v/>
      </c>
      <c r="C1355" s="20" t="str">
        <f aca="false">IF($X1355="","",INDEX('Per Line'!$C$2:$C$4001,$X1355))</f>
        <v/>
      </c>
      <c r="D1355" s="20" t="str">
        <f aca="false">IF($X1355="","",INDEX('Per Line'!$A$2:$A$4001,$X1355))</f>
        <v/>
      </c>
      <c r="E1355" s="21" t="str">
        <f aca="false">IF($X1355="","",INDEX('Per Line'!$F$2:$F$4001,$X1355))</f>
        <v/>
      </c>
      <c r="F1355" s="20" t="str">
        <f aca="false">IF($X1355="","",INDEX('Per Line'!$G$2:$G$4001,$X1355))</f>
        <v/>
      </c>
      <c r="G1355" s="20" t="str">
        <f aca="false">IF($X1355="","",INDEX('Per Line'!$I$2:$I$4001,$X1355))</f>
        <v/>
      </c>
      <c r="H1355" s="20" t="str">
        <f aca="false">IF($X1355="","",INDEX('Per Line'!$J$2:$J$4001,$X1355))</f>
        <v/>
      </c>
      <c r="I1355" s="20" t="str">
        <f aca="false">IF($X1355="","",INDEX('Per Line'!$K$2:$K$4001,$X1355))</f>
        <v/>
      </c>
      <c r="J1355" s="20" t="str">
        <f aca="false">IF($X1355="","",INDEX('Per Line'!$L$2:$L$4001,$X1355))</f>
        <v/>
      </c>
      <c r="K1355" s="20" t="str">
        <f aca="false">IF($X1355="","",INDEX('Per Line'!$M$2:$M$4001,$X1355))</f>
        <v/>
      </c>
      <c r="L1355" s="22" t="str">
        <f aca="false">IF($X1355="","",K1355*V1355/100)</f>
        <v/>
      </c>
      <c r="M1355" s="20" t="str">
        <f aca="false">IF($X1355="","",INDEX('Per Line'!$Z$2:$Z$4001,$X1355))</f>
        <v/>
      </c>
      <c r="N1355" s="23" t="str">
        <f aca="false">IF($X1355="","",Settings!$C$7)</f>
        <v/>
      </c>
      <c r="O1355" s="22" t="str">
        <f aca="false">IF($X1355="","",SUMIFS('Per Line'!$Y$2:$Y$4001,'Per Line'!$D$2:$D$4001,$B1355,'Per Line'!$AJ$2:$AJ$4001,0))</f>
        <v/>
      </c>
      <c r="P1355" s="22" t="str">
        <f aca="false">IF($X1355="","",O1355*N1355)</f>
        <v/>
      </c>
      <c r="Q1355" s="23" t="str">
        <f aca="false">IF($X1355="","",Settings!$C$6)</f>
        <v/>
      </c>
      <c r="R1355" s="22" t="str">
        <f aca="false">IF($X1355="","",SUMIFS('Per Line'!$Y$2:$Y$4001,'Per Line'!$D$2:$D$4001,$B1355,'Per Line'!$AJ$2:$AJ$4001,1))</f>
        <v/>
      </c>
      <c r="S1355" s="22" t="str">
        <f aca="false">IF($X1355="","",R1355*Q1355)</f>
        <v/>
      </c>
      <c r="T1355" s="22" t="str">
        <f aca="false">IF($X1355="","",S1355+P1355)</f>
        <v/>
      </c>
      <c r="U1355" s="22" t="str">
        <f aca="false">IF($X1355="","",V1355-T1355)</f>
        <v/>
      </c>
      <c r="V1355" s="22" t="str">
        <f aca="false">IF($X1355="","",O1355+R1355)</f>
        <v/>
      </c>
      <c r="W1355" s="22" t="str">
        <f aca="false">IF($X1355="","",U1355-L1355)</f>
        <v/>
      </c>
      <c r="X1355" s="24" t="str">
        <f aca="false">IF(ROWS($X$2:$X1355)&lt;=MAX('Per Line'!$AI$2:$AI$4001),MATCH(ROWS($X$2:$X1355),'Per Line'!$AI$2:$AI$4001,0),"")</f>
        <v/>
      </c>
    </row>
    <row r="1356" customFormat="false" ht="15" hidden="false" customHeight="false" outlineLevel="0" collapsed="false">
      <c r="A1356" s="19"/>
      <c r="B1356" s="20" t="str">
        <f aca="false">IF($X1356="","",INDEX('Per Line'!$D$2:$D$4001,$X1356))</f>
        <v/>
      </c>
      <c r="C1356" s="20" t="str">
        <f aca="false">IF($X1356="","",INDEX('Per Line'!$C$2:$C$4001,$X1356))</f>
        <v/>
      </c>
      <c r="D1356" s="20" t="str">
        <f aca="false">IF($X1356="","",INDEX('Per Line'!$A$2:$A$4001,$X1356))</f>
        <v/>
      </c>
      <c r="E1356" s="21" t="str">
        <f aca="false">IF($X1356="","",INDEX('Per Line'!$F$2:$F$4001,$X1356))</f>
        <v/>
      </c>
      <c r="F1356" s="20" t="str">
        <f aca="false">IF($X1356="","",INDEX('Per Line'!$G$2:$G$4001,$X1356))</f>
        <v/>
      </c>
      <c r="G1356" s="20" t="str">
        <f aca="false">IF($X1356="","",INDEX('Per Line'!$I$2:$I$4001,$X1356))</f>
        <v/>
      </c>
      <c r="H1356" s="20" t="str">
        <f aca="false">IF($X1356="","",INDEX('Per Line'!$J$2:$J$4001,$X1356))</f>
        <v/>
      </c>
      <c r="I1356" s="20" t="str">
        <f aca="false">IF($X1356="","",INDEX('Per Line'!$K$2:$K$4001,$X1356))</f>
        <v/>
      </c>
      <c r="J1356" s="20" t="str">
        <f aca="false">IF($X1356="","",INDEX('Per Line'!$L$2:$L$4001,$X1356))</f>
        <v/>
      </c>
      <c r="K1356" s="20" t="str">
        <f aca="false">IF($X1356="","",INDEX('Per Line'!$M$2:$M$4001,$X1356))</f>
        <v/>
      </c>
      <c r="L1356" s="22" t="str">
        <f aca="false">IF($X1356="","",K1356*V1356/100)</f>
        <v/>
      </c>
      <c r="M1356" s="20" t="str">
        <f aca="false">IF($X1356="","",INDEX('Per Line'!$Z$2:$Z$4001,$X1356))</f>
        <v/>
      </c>
      <c r="N1356" s="23" t="str">
        <f aca="false">IF($X1356="","",Settings!$C$7)</f>
        <v/>
      </c>
      <c r="O1356" s="22" t="str">
        <f aca="false">IF($X1356="","",SUMIFS('Per Line'!$Y$2:$Y$4001,'Per Line'!$D$2:$D$4001,$B1356,'Per Line'!$AJ$2:$AJ$4001,0))</f>
        <v/>
      </c>
      <c r="P1356" s="22" t="str">
        <f aca="false">IF($X1356="","",O1356*N1356)</f>
        <v/>
      </c>
      <c r="Q1356" s="23" t="str">
        <f aca="false">IF($X1356="","",Settings!$C$6)</f>
        <v/>
      </c>
      <c r="R1356" s="22" t="str">
        <f aca="false">IF($X1356="","",SUMIFS('Per Line'!$Y$2:$Y$4001,'Per Line'!$D$2:$D$4001,$B1356,'Per Line'!$AJ$2:$AJ$4001,1))</f>
        <v/>
      </c>
      <c r="S1356" s="22" t="str">
        <f aca="false">IF($X1356="","",R1356*Q1356)</f>
        <v/>
      </c>
      <c r="T1356" s="22" t="str">
        <f aca="false">IF($X1356="","",S1356+P1356)</f>
        <v/>
      </c>
      <c r="U1356" s="22" t="str">
        <f aca="false">IF($X1356="","",V1356-T1356)</f>
        <v/>
      </c>
      <c r="V1356" s="22" t="str">
        <f aca="false">IF($X1356="","",O1356+R1356)</f>
        <v/>
      </c>
      <c r="W1356" s="22" t="str">
        <f aca="false">IF($X1356="","",U1356-L1356)</f>
        <v/>
      </c>
      <c r="X1356" s="24" t="str">
        <f aca="false">IF(ROWS($X$2:$X1356)&lt;=MAX('Per Line'!$AI$2:$AI$4001),MATCH(ROWS($X$2:$X1356),'Per Line'!$AI$2:$AI$4001,0),"")</f>
        <v/>
      </c>
    </row>
    <row r="1357" customFormat="false" ht="15" hidden="false" customHeight="false" outlineLevel="0" collapsed="false">
      <c r="A1357" s="19"/>
      <c r="B1357" s="20" t="str">
        <f aca="false">IF($X1357="","",INDEX('Per Line'!$D$2:$D$4001,$X1357))</f>
        <v/>
      </c>
      <c r="C1357" s="20" t="str">
        <f aca="false">IF($X1357="","",INDEX('Per Line'!$C$2:$C$4001,$X1357))</f>
        <v/>
      </c>
      <c r="D1357" s="20" t="str">
        <f aca="false">IF($X1357="","",INDEX('Per Line'!$A$2:$A$4001,$X1357))</f>
        <v/>
      </c>
      <c r="E1357" s="21" t="str">
        <f aca="false">IF($X1357="","",INDEX('Per Line'!$F$2:$F$4001,$X1357))</f>
        <v/>
      </c>
      <c r="F1357" s="20" t="str">
        <f aca="false">IF($X1357="","",INDEX('Per Line'!$G$2:$G$4001,$X1357))</f>
        <v/>
      </c>
      <c r="G1357" s="20" t="str">
        <f aca="false">IF($X1357="","",INDEX('Per Line'!$I$2:$I$4001,$X1357))</f>
        <v/>
      </c>
      <c r="H1357" s="20" t="str">
        <f aca="false">IF($X1357="","",INDEX('Per Line'!$J$2:$J$4001,$X1357))</f>
        <v/>
      </c>
      <c r="I1357" s="20" t="str">
        <f aca="false">IF($X1357="","",INDEX('Per Line'!$K$2:$K$4001,$X1357))</f>
        <v/>
      </c>
      <c r="J1357" s="20" t="str">
        <f aca="false">IF($X1357="","",INDEX('Per Line'!$L$2:$L$4001,$X1357))</f>
        <v/>
      </c>
      <c r="K1357" s="20" t="str">
        <f aca="false">IF($X1357="","",INDEX('Per Line'!$M$2:$M$4001,$X1357))</f>
        <v/>
      </c>
      <c r="L1357" s="22" t="str">
        <f aca="false">IF($X1357="","",K1357*V1357/100)</f>
        <v/>
      </c>
      <c r="M1357" s="20" t="str">
        <f aca="false">IF($X1357="","",INDEX('Per Line'!$Z$2:$Z$4001,$X1357))</f>
        <v/>
      </c>
      <c r="N1357" s="23" t="str">
        <f aca="false">IF($X1357="","",Settings!$C$7)</f>
        <v/>
      </c>
      <c r="O1357" s="22" t="str">
        <f aca="false">IF($X1357="","",SUMIFS('Per Line'!$Y$2:$Y$4001,'Per Line'!$D$2:$D$4001,$B1357,'Per Line'!$AJ$2:$AJ$4001,0))</f>
        <v/>
      </c>
      <c r="P1357" s="22" t="str">
        <f aca="false">IF($X1357="","",O1357*N1357)</f>
        <v/>
      </c>
      <c r="Q1357" s="23" t="str">
        <f aca="false">IF($X1357="","",Settings!$C$6)</f>
        <v/>
      </c>
      <c r="R1357" s="22" t="str">
        <f aca="false">IF($X1357="","",SUMIFS('Per Line'!$Y$2:$Y$4001,'Per Line'!$D$2:$D$4001,$B1357,'Per Line'!$AJ$2:$AJ$4001,1))</f>
        <v/>
      </c>
      <c r="S1357" s="22" t="str">
        <f aca="false">IF($X1357="","",R1357*Q1357)</f>
        <v/>
      </c>
      <c r="T1357" s="22" t="str">
        <f aca="false">IF($X1357="","",S1357+P1357)</f>
        <v/>
      </c>
      <c r="U1357" s="22" t="str">
        <f aca="false">IF($X1357="","",V1357-T1357)</f>
        <v/>
      </c>
      <c r="V1357" s="22" t="str">
        <f aca="false">IF($X1357="","",O1357+R1357)</f>
        <v/>
      </c>
      <c r="W1357" s="22" t="str">
        <f aca="false">IF($X1357="","",U1357-L1357)</f>
        <v/>
      </c>
      <c r="X1357" s="24" t="str">
        <f aca="false">IF(ROWS($X$2:$X1357)&lt;=MAX('Per Line'!$AI$2:$AI$4001),MATCH(ROWS($X$2:$X1357),'Per Line'!$AI$2:$AI$4001,0),"")</f>
        <v/>
      </c>
    </row>
    <row r="1358" customFormat="false" ht="15" hidden="false" customHeight="false" outlineLevel="0" collapsed="false">
      <c r="A1358" s="19"/>
      <c r="B1358" s="20" t="str">
        <f aca="false">IF($X1358="","",INDEX('Per Line'!$D$2:$D$4001,$X1358))</f>
        <v/>
      </c>
      <c r="C1358" s="20" t="str">
        <f aca="false">IF($X1358="","",INDEX('Per Line'!$C$2:$C$4001,$X1358))</f>
        <v/>
      </c>
      <c r="D1358" s="20" t="str">
        <f aca="false">IF($X1358="","",INDEX('Per Line'!$A$2:$A$4001,$X1358))</f>
        <v/>
      </c>
      <c r="E1358" s="21" t="str">
        <f aca="false">IF($X1358="","",INDEX('Per Line'!$F$2:$F$4001,$X1358))</f>
        <v/>
      </c>
      <c r="F1358" s="20" t="str">
        <f aca="false">IF($X1358="","",INDEX('Per Line'!$G$2:$G$4001,$X1358))</f>
        <v/>
      </c>
      <c r="G1358" s="20" t="str">
        <f aca="false">IF($X1358="","",INDEX('Per Line'!$I$2:$I$4001,$X1358))</f>
        <v/>
      </c>
      <c r="H1358" s="20" t="str">
        <f aca="false">IF($X1358="","",INDEX('Per Line'!$J$2:$J$4001,$X1358))</f>
        <v/>
      </c>
      <c r="I1358" s="20" t="str">
        <f aca="false">IF($X1358="","",INDEX('Per Line'!$K$2:$K$4001,$X1358))</f>
        <v/>
      </c>
      <c r="J1358" s="20" t="str">
        <f aca="false">IF($X1358="","",INDEX('Per Line'!$L$2:$L$4001,$X1358))</f>
        <v/>
      </c>
      <c r="K1358" s="20" t="str">
        <f aca="false">IF($X1358="","",INDEX('Per Line'!$M$2:$M$4001,$X1358))</f>
        <v/>
      </c>
      <c r="L1358" s="22" t="str">
        <f aca="false">IF($X1358="","",K1358*V1358/100)</f>
        <v/>
      </c>
      <c r="M1358" s="20" t="str">
        <f aca="false">IF($X1358="","",INDEX('Per Line'!$Z$2:$Z$4001,$X1358))</f>
        <v/>
      </c>
      <c r="N1358" s="23" t="str">
        <f aca="false">IF($X1358="","",Settings!$C$7)</f>
        <v/>
      </c>
      <c r="O1358" s="22" t="str">
        <f aca="false">IF($X1358="","",SUMIFS('Per Line'!$Y$2:$Y$4001,'Per Line'!$D$2:$D$4001,$B1358,'Per Line'!$AJ$2:$AJ$4001,0))</f>
        <v/>
      </c>
      <c r="P1358" s="22" t="str">
        <f aca="false">IF($X1358="","",O1358*N1358)</f>
        <v/>
      </c>
      <c r="Q1358" s="23" t="str">
        <f aca="false">IF($X1358="","",Settings!$C$6)</f>
        <v/>
      </c>
      <c r="R1358" s="22" t="str">
        <f aca="false">IF($X1358="","",SUMIFS('Per Line'!$Y$2:$Y$4001,'Per Line'!$D$2:$D$4001,$B1358,'Per Line'!$AJ$2:$AJ$4001,1))</f>
        <v/>
      </c>
      <c r="S1358" s="22" t="str">
        <f aca="false">IF($X1358="","",R1358*Q1358)</f>
        <v/>
      </c>
      <c r="T1358" s="22" t="str">
        <f aca="false">IF($X1358="","",S1358+P1358)</f>
        <v/>
      </c>
      <c r="U1358" s="22" t="str">
        <f aca="false">IF($X1358="","",V1358-T1358)</f>
        <v/>
      </c>
      <c r="V1358" s="22" t="str">
        <f aca="false">IF($X1358="","",O1358+R1358)</f>
        <v/>
      </c>
      <c r="W1358" s="22" t="str">
        <f aca="false">IF($X1358="","",U1358-L1358)</f>
        <v/>
      </c>
      <c r="X1358" s="24" t="str">
        <f aca="false">IF(ROWS($X$2:$X1358)&lt;=MAX('Per Line'!$AI$2:$AI$4001),MATCH(ROWS($X$2:$X1358),'Per Line'!$AI$2:$AI$4001,0),"")</f>
        <v/>
      </c>
    </row>
    <row r="1359" customFormat="false" ht="15" hidden="false" customHeight="false" outlineLevel="0" collapsed="false">
      <c r="A1359" s="19"/>
      <c r="B1359" s="20" t="str">
        <f aca="false">IF($X1359="","",INDEX('Per Line'!$D$2:$D$4001,$X1359))</f>
        <v/>
      </c>
      <c r="C1359" s="20" t="str">
        <f aca="false">IF($X1359="","",INDEX('Per Line'!$C$2:$C$4001,$X1359))</f>
        <v/>
      </c>
      <c r="D1359" s="20" t="str">
        <f aca="false">IF($X1359="","",INDEX('Per Line'!$A$2:$A$4001,$X1359))</f>
        <v/>
      </c>
      <c r="E1359" s="21" t="str">
        <f aca="false">IF($X1359="","",INDEX('Per Line'!$F$2:$F$4001,$X1359))</f>
        <v/>
      </c>
      <c r="F1359" s="20" t="str">
        <f aca="false">IF($X1359="","",INDEX('Per Line'!$G$2:$G$4001,$X1359))</f>
        <v/>
      </c>
      <c r="G1359" s="20" t="str">
        <f aca="false">IF($X1359="","",INDEX('Per Line'!$I$2:$I$4001,$X1359))</f>
        <v/>
      </c>
      <c r="H1359" s="20" t="str">
        <f aca="false">IF($X1359="","",INDEX('Per Line'!$J$2:$J$4001,$X1359))</f>
        <v/>
      </c>
      <c r="I1359" s="20" t="str">
        <f aca="false">IF($X1359="","",INDEX('Per Line'!$K$2:$K$4001,$X1359))</f>
        <v/>
      </c>
      <c r="J1359" s="20" t="str">
        <f aca="false">IF($X1359="","",INDEX('Per Line'!$L$2:$L$4001,$X1359))</f>
        <v/>
      </c>
      <c r="K1359" s="20" t="str">
        <f aca="false">IF($X1359="","",INDEX('Per Line'!$M$2:$M$4001,$X1359))</f>
        <v/>
      </c>
      <c r="L1359" s="22" t="str">
        <f aca="false">IF($X1359="","",K1359*V1359/100)</f>
        <v/>
      </c>
      <c r="M1359" s="20" t="str">
        <f aca="false">IF($X1359="","",INDEX('Per Line'!$Z$2:$Z$4001,$X1359))</f>
        <v/>
      </c>
      <c r="N1359" s="23" t="str">
        <f aca="false">IF($X1359="","",Settings!$C$7)</f>
        <v/>
      </c>
      <c r="O1359" s="22" t="str">
        <f aca="false">IF($X1359="","",SUMIFS('Per Line'!$Y$2:$Y$4001,'Per Line'!$D$2:$D$4001,$B1359,'Per Line'!$AJ$2:$AJ$4001,0))</f>
        <v/>
      </c>
      <c r="P1359" s="22" t="str">
        <f aca="false">IF($X1359="","",O1359*N1359)</f>
        <v/>
      </c>
      <c r="Q1359" s="23" t="str">
        <f aca="false">IF($X1359="","",Settings!$C$6)</f>
        <v/>
      </c>
      <c r="R1359" s="22" t="str">
        <f aca="false">IF($X1359="","",SUMIFS('Per Line'!$Y$2:$Y$4001,'Per Line'!$D$2:$D$4001,$B1359,'Per Line'!$AJ$2:$AJ$4001,1))</f>
        <v/>
      </c>
      <c r="S1359" s="22" t="str">
        <f aca="false">IF($X1359="","",R1359*Q1359)</f>
        <v/>
      </c>
      <c r="T1359" s="22" t="str">
        <f aca="false">IF($X1359="","",S1359+P1359)</f>
        <v/>
      </c>
      <c r="U1359" s="22" t="str">
        <f aca="false">IF($X1359="","",V1359-T1359)</f>
        <v/>
      </c>
      <c r="V1359" s="22" t="str">
        <f aca="false">IF($X1359="","",O1359+R1359)</f>
        <v/>
      </c>
      <c r="W1359" s="22" t="str">
        <f aca="false">IF($X1359="","",U1359-L1359)</f>
        <v/>
      </c>
      <c r="X1359" s="24" t="str">
        <f aca="false">IF(ROWS($X$2:$X1359)&lt;=MAX('Per Line'!$AI$2:$AI$4001),MATCH(ROWS($X$2:$X1359),'Per Line'!$AI$2:$AI$4001,0),"")</f>
        <v/>
      </c>
    </row>
    <row r="1360" customFormat="false" ht="15" hidden="false" customHeight="false" outlineLevel="0" collapsed="false">
      <c r="A1360" s="19"/>
      <c r="B1360" s="20" t="str">
        <f aca="false">IF($X1360="","",INDEX('Per Line'!$D$2:$D$4001,$X1360))</f>
        <v/>
      </c>
      <c r="C1360" s="20" t="str">
        <f aca="false">IF($X1360="","",INDEX('Per Line'!$C$2:$C$4001,$X1360))</f>
        <v/>
      </c>
      <c r="D1360" s="20" t="str">
        <f aca="false">IF($X1360="","",INDEX('Per Line'!$A$2:$A$4001,$X1360))</f>
        <v/>
      </c>
      <c r="E1360" s="21" t="str">
        <f aca="false">IF($X1360="","",INDEX('Per Line'!$F$2:$F$4001,$X1360))</f>
        <v/>
      </c>
      <c r="F1360" s="20" t="str">
        <f aca="false">IF($X1360="","",INDEX('Per Line'!$G$2:$G$4001,$X1360))</f>
        <v/>
      </c>
      <c r="G1360" s="20" t="str">
        <f aca="false">IF($X1360="","",INDEX('Per Line'!$I$2:$I$4001,$X1360))</f>
        <v/>
      </c>
      <c r="H1360" s="20" t="str">
        <f aca="false">IF($X1360="","",INDEX('Per Line'!$J$2:$J$4001,$X1360))</f>
        <v/>
      </c>
      <c r="I1360" s="20" t="str">
        <f aca="false">IF($X1360="","",INDEX('Per Line'!$K$2:$K$4001,$X1360))</f>
        <v/>
      </c>
      <c r="J1360" s="20" t="str">
        <f aca="false">IF($X1360="","",INDEX('Per Line'!$L$2:$L$4001,$X1360))</f>
        <v/>
      </c>
      <c r="K1360" s="20" t="str">
        <f aca="false">IF($X1360="","",INDEX('Per Line'!$M$2:$M$4001,$X1360))</f>
        <v/>
      </c>
      <c r="L1360" s="22" t="str">
        <f aca="false">IF($X1360="","",K1360*V1360/100)</f>
        <v/>
      </c>
      <c r="M1360" s="20" t="str">
        <f aca="false">IF($X1360="","",INDEX('Per Line'!$Z$2:$Z$4001,$X1360))</f>
        <v/>
      </c>
      <c r="N1360" s="23" t="str">
        <f aca="false">IF($X1360="","",Settings!$C$7)</f>
        <v/>
      </c>
      <c r="O1360" s="22" t="str">
        <f aca="false">IF($X1360="","",SUMIFS('Per Line'!$Y$2:$Y$4001,'Per Line'!$D$2:$D$4001,$B1360,'Per Line'!$AJ$2:$AJ$4001,0))</f>
        <v/>
      </c>
      <c r="P1360" s="22" t="str">
        <f aca="false">IF($X1360="","",O1360*N1360)</f>
        <v/>
      </c>
      <c r="Q1360" s="23" t="str">
        <f aca="false">IF($X1360="","",Settings!$C$6)</f>
        <v/>
      </c>
      <c r="R1360" s="22" t="str">
        <f aca="false">IF($X1360="","",SUMIFS('Per Line'!$Y$2:$Y$4001,'Per Line'!$D$2:$D$4001,$B1360,'Per Line'!$AJ$2:$AJ$4001,1))</f>
        <v/>
      </c>
      <c r="S1360" s="22" t="str">
        <f aca="false">IF($X1360="","",R1360*Q1360)</f>
        <v/>
      </c>
      <c r="T1360" s="22" t="str">
        <f aca="false">IF($X1360="","",S1360+P1360)</f>
        <v/>
      </c>
      <c r="U1360" s="22" t="str">
        <f aca="false">IF($X1360="","",V1360-T1360)</f>
        <v/>
      </c>
      <c r="V1360" s="22" t="str">
        <f aca="false">IF($X1360="","",O1360+R1360)</f>
        <v/>
      </c>
      <c r="W1360" s="22" t="str">
        <f aca="false">IF($X1360="","",U1360-L1360)</f>
        <v/>
      </c>
      <c r="X1360" s="24" t="str">
        <f aca="false">IF(ROWS($X$2:$X1360)&lt;=MAX('Per Line'!$AI$2:$AI$4001),MATCH(ROWS($X$2:$X1360),'Per Line'!$AI$2:$AI$4001,0),"")</f>
        <v/>
      </c>
    </row>
    <row r="1361" customFormat="false" ht="15" hidden="false" customHeight="false" outlineLevel="0" collapsed="false">
      <c r="A1361" s="19"/>
      <c r="B1361" s="20" t="str">
        <f aca="false">IF($X1361="","",INDEX('Per Line'!$D$2:$D$4001,$X1361))</f>
        <v/>
      </c>
      <c r="C1361" s="20" t="str">
        <f aca="false">IF($X1361="","",INDEX('Per Line'!$C$2:$C$4001,$X1361))</f>
        <v/>
      </c>
      <c r="D1361" s="20" t="str">
        <f aca="false">IF($X1361="","",INDEX('Per Line'!$A$2:$A$4001,$X1361))</f>
        <v/>
      </c>
      <c r="E1361" s="21" t="str">
        <f aca="false">IF($X1361="","",INDEX('Per Line'!$F$2:$F$4001,$X1361))</f>
        <v/>
      </c>
      <c r="F1361" s="20" t="str">
        <f aca="false">IF($X1361="","",INDEX('Per Line'!$G$2:$G$4001,$X1361))</f>
        <v/>
      </c>
      <c r="G1361" s="20" t="str">
        <f aca="false">IF($X1361="","",INDEX('Per Line'!$I$2:$I$4001,$X1361))</f>
        <v/>
      </c>
      <c r="H1361" s="20" t="str">
        <f aca="false">IF($X1361="","",INDEX('Per Line'!$J$2:$J$4001,$X1361))</f>
        <v/>
      </c>
      <c r="I1361" s="20" t="str">
        <f aca="false">IF($X1361="","",INDEX('Per Line'!$K$2:$K$4001,$X1361))</f>
        <v/>
      </c>
      <c r="J1361" s="20" t="str">
        <f aca="false">IF($X1361="","",INDEX('Per Line'!$L$2:$L$4001,$X1361))</f>
        <v/>
      </c>
      <c r="K1361" s="20" t="str">
        <f aca="false">IF($X1361="","",INDEX('Per Line'!$M$2:$M$4001,$X1361))</f>
        <v/>
      </c>
      <c r="L1361" s="22" t="str">
        <f aca="false">IF($X1361="","",K1361*V1361/100)</f>
        <v/>
      </c>
      <c r="M1361" s="20" t="str">
        <f aca="false">IF($X1361="","",INDEX('Per Line'!$Z$2:$Z$4001,$X1361))</f>
        <v/>
      </c>
      <c r="N1361" s="23" t="str">
        <f aca="false">IF($X1361="","",Settings!$C$7)</f>
        <v/>
      </c>
      <c r="O1361" s="22" t="str">
        <f aca="false">IF($X1361="","",SUMIFS('Per Line'!$Y$2:$Y$4001,'Per Line'!$D$2:$D$4001,$B1361,'Per Line'!$AJ$2:$AJ$4001,0))</f>
        <v/>
      </c>
      <c r="P1361" s="22" t="str">
        <f aca="false">IF($X1361="","",O1361*N1361)</f>
        <v/>
      </c>
      <c r="Q1361" s="23" t="str">
        <f aca="false">IF($X1361="","",Settings!$C$6)</f>
        <v/>
      </c>
      <c r="R1361" s="22" t="str">
        <f aca="false">IF($X1361="","",SUMIFS('Per Line'!$Y$2:$Y$4001,'Per Line'!$D$2:$D$4001,$B1361,'Per Line'!$AJ$2:$AJ$4001,1))</f>
        <v/>
      </c>
      <c r="S1361" s="22" t="str">
        <f aca="false">IF($X1361="","",R1361*Q1361)</f>
        <v/>
      </c>
      <c r="T1361" s="22" t="str">
        <f aca="false">IF($X1361="","",S1361+P1361)</f>
        <v/>
      </c>
      <c r="U1361" s="22" t="str">
        <f aca="false">IF($X1361="","",V1361-T1361)</f>
        <v/>
      </c>
      <c r="V1361" s="22" t="str">
        <f aca="false">IF($X1361="","",O1361+R1361)</f>
        <v/>
      </c>
      <c r="W1361" s="22" t="str">
        <f aca="false">IF($X1361="","",U1361-L1361)</f>
        <v/>
      </c>
      <c r="X1361" s="24" t="str">
        <f aca="false">IF(ROWS($X$2:$X1361)&lt;=MAX('Per Line'!$AI$2:$AI$4001),MATCH(ROWS($X$2:$X1361),'Per Line'!$AI$2:$AI$4001,0),"")</f>
        <v/>
      </c>
    </row>
    <row r="1362" customFormat="false" ht="15" hidden="false" customHeight="false" outlineLevel="0" collapsed="false">
      <c r="A1362" s="19"/>
      <c r="B1362" s="20" t="str">
        <f aca="false">IF($X1362="","",INDEX('Per Line'!$D$2:$D$4001,$X1362))</f>
        <v/>
      </c>
      <c r="C1362" s="20" t="str">
        <f aca="false">IF($X1362="","",INDEX('Per Line'!$C$2:$C$4001,$X1362))</f>
        <v/>
      </c>
      <c r="D1362" s="20" t="str">
        <f aca="false">IF($X1362="","",INDEX('Per Line'!$A$2:$A$4001,$X1362))</f>
        <v/>
      </c>
      <c r="E1362" s="21" t="str">
        <f aca="false">IF($X1362="","",INDEX('Per Line'!$F$2:$F$4001,$X1362))</f>
        <v/>
      </c>
      <c r="F1362" s="20" t="str">
        <f aca="false">IF($X1362="","",INDEX('Per Line'!$G$2:$G$4001,$X1362))</f>
        <v/>
      </c>
      <c r="G1362" s="20" t="str">
        <f aca="false">IF($X1362="","",INDEX('Per Line'!$I$2:$I$4001,$X1362))</f>
        <v/>
      </c>
      <c r="H1362" s="20" t="str">
        <f aca="false">IF($X1362="","",INDEX('Per Line'!$J$2:$J$4001,$X1362))</f>
        <v/>
      </c>
      <c r="I1362" s="20" t="str">
        <f aca="false">IF($X1362="","",INDEX('Per Line'!$K$2:$K$4001,$X1362))</f>
        <v/>
      </c>
      <c r="J1362" s="20" t="str">
        <f aca="false">IF($X1362="","",INDEX('Per Line'!$L$2:$L$4001,$X1362))</f>
        <v/>
      </c>
      <c r="K1362" s="20" t="str">
        <f aca="false">IF($X1362="","",INDEX('Per Line'!$M$2:$M$4001,$X1362))</f>
        <v/>
      </c>
      <c r="L1362" s="22" t="str">
        <f aca="false">IF($X1362="","",K1362*V1362/100)</f>
        <v/>
      </c>
      <c r="M1362" s="20" t="str">
        <f aca="false">IF($X1362="","",INDEX('Per Line'!$Z$2:$Z$4001,$X1362))</f>
        <v/>
      </c>
      <c r="N1362" s="23" t="str">
        <f aca="false">IF($X1362="","",Settings!$C$7)</f>
        <v/>
      </c>
      <c r="O1362" s="22" t="str">
        <f aca="false">IF($X1362="","",SUMIFS('Per Line'!$Y$2:$Y$4001,'Per Line'!$D$2:$D$4001,$B1362,'Per Line'!$AJ$2:$AJ$4001,0))</f>
        <v/>
      </c>
      <c r="P1362" s="22" t="str">
        <f aca="false">IF($X1362="","",O1362*N1362)</f>
        <v/>
      </c>
      <c r="Q1362" s="23" t="str">
        <f aca="false">IF($X1362="","",Settings!$C$6)</f>
        <v/>
      </c>
      <c r="R1362" s="22" t="str">
        <f aca="false">IF($X1362="","",SUMIFS('Per Line'!$Y$2:$Y$4001,'Per Line'!$D$2:$D$4001,$B1362,'Per Line'!$AJ$2:$AJ$4001,1))</f>
        <v/>
      </c>
      <c r="S1362" s="22" t="str">
        <f aca="false">IF($X1362="","",R1362*Q1362)</f>
        <v/>
      </c>
      <c r="T1362" s="22" t="str">
        <f aca="false">IF($X1362="","",S1362+P1362)</f>
        <v/>
      </c>
      <c r="U1362" s="22" t="str">
        <f aca="false">IF($X1362="","",V1362-T1362)</f>
        <v/>
      </c>
      <c r="V1362" s="22" t="str">
        <f aca="false">IF($X1362="","",O1362+R1362)</f>
        <v/>
      </c>
      <c r="W1362" s="22" t="str">
        <f aca="false">IF($X1362="","",U1362-L1362)</f>
        <v/>
      </c>
      <c r="X1362" s="24" t="str">
        <f aca="false">IF(ROWS($X$2:$X1362)&lt;=MAX('Per Line'!$AI$2:$AI$4001),MATCH(ROWS($X$2:$X1362),'Per Line'!$AI$2:$AI$4001,0),"")</f>
        <v/>
      </c>
    </row>
    <row r="1363" customFormat="false" ht="15" hidden="false" customHeight="false" outlineLevel="0" collapsed="false">
      <c r="A1363" s="19"/>
      <c r="B1363" s="20" t="str">
        <f aca="false">IF($X1363="","",INDEX('Per Line'!$D$2:$D$4001,$X1363))</f>
        <v/>
      </c>
      <c r="C1363" s="20" t="str">
        <f aca="false">IF($X1363="","",INDEX('Per Line'!$C$2:$C$4001,$X1363))</f>
        <v/>
      </c>
      <c r="D1363" s="20" t="str">
        <f aca="false">IF($X1363="","",INDEX('Per Line'!$A$2:$A$4001,$X1363))</f>
        <v/>
      </c>
      <c r="E1363" s="21" t="str">
        <f aca="false">IF($X1363="","",INDEX('Per Line'!$F$2:$F$4001,$X1363))</f>
        <v/>
      </c>
      <c r="F1363" s="20" t="str">
        <f aca="false">IF($X1363="","",INDEX('Per Line'!$G$2:$G$4001,$X1363))</f>
        <v/>
      </c>
      <c r="G1363" s="20" t="str">
        <f aca="false">IF($X1363="","",INDEX('Per Line'!$I$2:$I$4001,$X1363))</f>
        <v/>
      </c>
      <c r="H1363" s="20" t="str">
        <f aca="false">IF($X1363="","",INDEX('Per Line'!$J$2:$J$4001,$X1363))</f>
        <v/>
      </c>
      <c r="I1363" s="20" t="str">
        <f aca="false">IF($X1363="","",INDEX('Per Line'!$K$2:$K$4001,$X1363))</f>
        <v/>
      </c>
      <c r="J1363" s="20" t="str">
        <f aca="false">IF($X1363="","",INDEX('Per Line'!$L$2:$L$4001,$X1363))</f>
        <v/>
      </c>
      <c r="K1363" s="20" t="str">
        <f aca="false">IF($X1363="","",INDEX('Per Line'!$M$2:$M$4001,$X1363))</f>
        <v/>
      </c>
      <c r="L1363" s="22" t="str">
        <f aca="false">IF($X1363="","",K1363*V1363/100)</f>
        <v/>
      </c>
      <c r="M1363" s="20" t="str">
        <f aca="false">IF($X1363="","",INDEX('Per Line'!$Z$2:$Z$4001,$X1363))</f>
        <v/>
      </c>
      <c r="N1363" s="23" t="str">
        <f aca="false">IF($X1363="","",Settings!$C$7)</f>
        <v/>
      </c>
      <c r="O1363" s="22" t="str">
        <f aca="false">IF($X1363="","",SUMIFS('Per Line'!$Y$2:$Y$4001,'Per Line'!$D$2:$D$4001,$B1363,'Per Line'!$AJ$2:$AJ$4001,0))</f>
        <v/>
      </c>
      <c r="P1363" s="22" t="str">
        <f aca="false">IF($X1363="","",O1363*N1363)</f>
        <v/>
      </c>
      <c r="Q1363" s="23" t="str">
        <f aca="false">IF($X1363="","",Settings!$C$6)</f>
        <v/>
      </c>
      <c r="R1363" s="22" t="str">
        <f aca="false">IF($X1363="","",SUMIFS('Per Line'!$Y$2:$Y$4001,'Per Line'!$D$2:$D$4001,$B1363,'Per Line'!$AJ$2:$AJ$4001,1))</f>
        <v/>
      </c>
      <c r="S1363" s="22" t="str">
        <f aca="false">IF($X1363="","",R1363*Q1363)</f>
        <v/>
      </c>
      <c r="T1363" s="22" t="str">
        <f aca="false">IF($X1363="","",S1363+P1363)</f>
        <v/>
      </c>
      <c r="U1363" s="22" t="str">
        <f aca="false">IF($X1363="","",V1363-T1363)</f>
        <v/>
      </c>
      <c r="V1363" s="22" t="str">
        <f aca="false">IF($X1363="","",O1363+R1363)</f>
        <v/>
      </c>
      <c r="W1363" s="22" t="str">
        <f aca="false">IF($X1363="","",U1363-L1363)</f>
        <v/>
      </c>
      <c r="X1363" s="24" t="str">
        <f aca="false">IF(ROWS($X$2:$X1363)&lt;=MAX('Per Line'!$AI$2:$AI$4001),MATCH(ROWS($X$2:$X1363),'Per Line'!$AI$2:$AI$4001,0),"")</f>
        <v/>
      </c>
    </row>
    <row r="1364" customFormat="false" ht="15" hidden="false" customHeight="false" outlineLevel="0" collapsed="false">
      <c r="A1364" s="19"/>
      <c r="B1364" s="20" t="str">
        <f aca="false">IF($X1364="","",INDEX('Per Line'!$D$2:$D$4001,$X1364))</f>
        <v/>
      </c>
      <c r="C1364" s="20" t="str">
        <f aca="false">IF($X1364="","",INDEX('Per Line'!$C$2:$C$4001,$X1364))</f>
        <v/>
      </c>
      <c r="D1364" s="20" t="str">
        <f aca="false">IF($X1364="","",INDEX('Per Line'!$A$2:$A$4001,$X1364))</f>
        <v/>
      </c>
      <c r="E1364" s="21" t="str">
        <f aca="false">IF($X1364="","",INDEX('Per Line'!$F$2:$F$4001,$X1364))</f>
        <v/>
      </c>
      <c r="F1364" s="20" t="str">
        <f aca="false">IF($X1364="","",INDEX('Per Line'!$G$2:$G$4001,$X1364))</f>
        <v/>
      </c>
      <c r="G1364" s="20" t="str">
        <f aca="false">IF($X1364="","",INDEX('Per Line'!$I$2:$I$4001,$X1364))</f>
        <v/>
      </c>
      <c r="H1364" s="20" t="str">
        <f aca="false">IF($X1364="","",INDEX('Per Line'!$J$2:$J$4001,$X1364))</f>
        <v/>
      </c>
      <c r="I1364" s="20" t="str">
        <f aca="false">IF($X1364="","",INDEX('Per Line'!$K$2:$K$4001,$X1364))</f>
        <v/>
      </c>
      <c r="J1364" s="20" t="str">
        <f aca="false">IF($X1364="","",INDEX('Per Line'!$L$2:$L$4001,$X1364))</f>
        <v/>
      </c>
      <c r="K1364" s="20" t="str">
        <f aca="false">IF($X1364="","",INDEX('Per Line'!$M$2:$M$4001,$X1364))</f>
        <v/>
      </c>
      <c r="L1364" s="22" t="str">
        <f aca="false">IF($X1364="","",K1364*V1364/100)</f>
        <v/>
      </c>
      <c r="M1364" s="20" t="str">
        <f aca="false">IF($X1364="","",INDEX('Per Line'!$Z$2:$Z$4001,$X1364))</f>
        <v/>
      </c>
      <c r="N1364" s="23" t="str">
        <f aca="false">IF($X1364="","",Settings!$C$7)</f>
        <v/>
      </c>
      <c r="O1364" s="22" t="str">
        <f aca="false">IF($X1364="","",SUMIFS('Per Line'!$Y$2:$Y$4001,'Per Line'!$D$2:$D$4001,$B1364,'Per Line'!$AJ$2:$AJ$4001,0))</f>
        <v/>
      </c>
      <c r="P1364" s="22" t="str">
        <f aca="false">IF($X1364="","",O1364*N1364)</f>
        <v/>
      </c>
      <c r="Q1364" s="23" t="str">
        <f aca="false">IF($X1364="","",Settings!$C$6)</f>
        <v/>
      </c>
      <c r="R1364" s="22" t="str">
        <f aca="false">IF($X1364="","",SUMIFS('Per Line'!$Y$2:$Y$4001,'Per Line'!$D$2:$D$4001,$B1364,'Per Line'!$AJ$2:$AJ$4001,1))</f>
        <v/>
      </c>
      <c r="S1364" s="22" t="str">
        <f aca="false">IF($X1364="","",R1364*Q1364)</f>
        <v/>
      </c>
      <c r="T1364" s="22" t="str">
        <f aca="false">IF($X1364="","",S1364+P1364)</f>
        <v/>
      </c>
      <c r="U1364" s="22" t="str">
        <f aca="false">IF($X1364="","",V1364-T1364)</f>
        <v/>
      </c>
      <c r="V1364" s="22" t="str">
        <f aca="false">IF($X1364="","",O1364+R1364)</f>
        <v/>
      </c>
      <c r="W1364" s="22" t="str">
        <f aca="false">IF($X1364="","",U1364-L1364)</f>
        <v/>
      </c>
      <c r="X1364" s="24" t="str">
        <f aca="false">IF(ROWS($X$2:$X1364)&lt;=MAX('Per Line'!$AI$2:$AI$4001),MATCH(ROWS($X$2:$X1364),'Per Line'!$AI$2:$AI$4001,0),"")</f>
        <v/>
      </c>
    </row>
    <row r="1365" customFormat="false" ht="15" hidden="false" customHeight="false" outlineLevel="0" collapsed="false">
      <c r="A1365" s="19"/>
      <c r="B1365" s="20" t="str">
        <f aca="false">IF($X1365="","",INDEX('Per Line'!$D$2:$D$4001,$X1365))</f>
        <v/>
      </c>
      <c r="C1365" s="20" t="str">
        <f aca="false">IF($X1365="","",INDEX('Per Line'!$C$2:$C$4001,$X1365))</f>
        <v/>
      </c>
      <c r="D1365" s="20" t="str">
        <f aca="false">IF($X1365="","",INDEX('Per Line'!$A$2:$A$4001,$X1365))</f>
        <v/>
      </c>
      <c r="E1365" s="21" t="str">
        <f aca="false">IF($X1365="","",INDEX('Per Line'!$F$2:$F$4001,$X1365))</f>
        <v/>
      </c>
      <c r="F1365" s="20" t="str">
        <f aca="false">IF($X1365="","",INDEX('Per Line'!$G$2:$G$4001,$X1365))</f>
        <v/>
      </c>
      <c r="G1365" s="20" t="str">
        <f aca="false">IF($X1365="","",INDEX('Per Line'!$I$2:$I$4001,$X1365))</f>
        <v/>
      </c>
      <c r="H1365" s="20" t="str">
        <f aca="false">IF($X1365="","",INDEX('Per Line'!$J$2:$J$4001,$X1365))</f>
        <v/>
      </c>
      <c r="I1365" s="20" t="str">
        <f aca="false">IF($X1365="","",INDEX('Per Line'!$K$2:$K$4001,$X1365))</f>
        <v/>
      </c>
      <c r="J1365" s="20" t="str">
        <f aca="false">IF($X1365="","",INDEX('Per Line'!$L$2:$L$4001,$X1365))</f>
        <v/>
      </c>
      <c r="K1365" s="20" t="str">
        <f aca="false">IF($X1365="","",INDEX('Per Line'!$M$2:$M$4001,$X1365))</f>
        <v/>
      </c>
      <c r="L1365" s="22" t="str">
        <f aca="false">IF($X1365="","",K1365*V1365/100)</f>
        <v/>
      </c>
      <c r="M1365" s="20" t="str">
        <f aca="false">IF($X1365="","",INDEX('Per Line'!$Z$2:$Z$4001,$X1365))</f>
        <v/>
      </c>
      <c r="N1365" s="23" t="str">
        <f aca="false">IF($X1365="","",Settings!$C$7)</f>
        <v/>
      </c>
      <c r="O1365" s="22" t="str">
        <f aca="false">IF($X1365="","",SUMIFS('Per Line'!$Y$2:$Y$4001,'Per Line'!$D$2:$D$4001,$B1365,'Per Line'!$AJ$2:$AJ$4001,0))</f>
        <v/>
      </c>
      <c r="P1365" s="22" t="str">
        <f aca="false">IF($X1365="","",O1365*N1365)</f>
        <v/>
      </c>
      <c r="Q1365" s="23" t="str">
        <f aca="false">IF($X1365="","",Settings!$C$6)</f>
        <v/>
      </c>
      <c r="R1365" s="22" t="str">
        <f aca="false">IF($X1365="","",SUMIFS('Per Line'!$Y$2:$Y$4001,'Per Line'!$D$2:$D$4001,$B1365,'Per Line'!$AJ$2:$AJ$4001,1))</f>
        <v/>
      </c>
      <c r="S1365" s="22" t="str">
        <f aca="false">IF($X1365="","",R1365*Q1365)</f>
        <v/>
      </c>
      <c r="T1365" s="22" t="str">
        <f aca="false">IF($X1365="","",S1365+P1365)</f>
        <v/>
      </c>
      <c r="U1365" s="22" t="str">
        <f aca="false">IF($X1365="","",V1365-T1365)</f>
        <v/>
      </c>
      <c r="V1365" s="22" t="str">
        <f aca="false">IF($X1365="","",O1365+R1365)</f>
        <v/>
      </c>
      <c r="W1365" s="22" t="str">
        <f aca="false">IF($X1365="","",U1365-L1365)</f>
        <v/>
      </c>
      <c r="X1365" s="24" t="str">
        <f aca="false">IF(ROWS($X$2:$X1365)&lt;=MAX('Per Line'!$AI$2:$AI$4001),MATCH(ROWS($X$2:$X1365),'Per Line'!$AI$2:$AI$4001,0),"")</f>
        <v/>
      </c>
    </row>
    <row r="1366" customFormat="false" ht="15" hidden="false" customHeight="false" outlineLevel="0" collapsed="false">
      <c r="A1366" s="19"/>
      <c r="B1366" s="20" t="str">
        <f aca="false">IF($X1366="","",INDEX('Per Line'!$D$2:$D$4001,$X1366))</f>
        <v/>
      </c>
      <c r="C1366" s="20" t="str">
        <f aca="false">IF($X1366="","",INDEX('Per Line'!$C$2:$C$4001,$X1366))</f>
        <v/>
      </c>
      <c r="D1366" s="20" t="str">
        <f aca="false">IF($X1366="","",INDEX('Per Line'!$A$2:$A$4001,$X1366))</f>
        <v/>
      </c>
      <c r="E1366" s="21" t="str">
        <f aca="false">IF($X1366="","",INDEX('Per Line'!$F$2:$F$4001,$X1366))</f>
        <v/>
      </c>
      <c r="F1366" s="20" t="str">
        <f aca="false">IF($X1366="","",INDEX('Per Line'!$G$2:$G$4001,$X1366))</f>
        <v/>
      </c>
      <c r="G1366" s="20" t="str">
        <f aca="false">IF($X1366="","",INDEX('Per Line'!$I$2:$I$4001,$X1366))</f>
        <v/>
      </c>
      <c r="H1366" s="20" t="str">
        <f aca="false">IF($X1366="","",INDEX('Per Line'!$J$2:$J$4001,$X1366))</f>
        <v/>
      </c>
      <c r="I1366" s="20" t="str">
        <f aca="false">IF($X1366="","",INDEX('Per Line'!$K$2:$K$4001,$X1366))</f>
        <v/>
      </c>
      <c r="J1366" s="20" t="str">
        <f aca="false">IF($X1366="","",INDEX('Per Line'!$L$2:$L$4001,$X1366))</f>
        <v/>
      </c>
      <c r="K1366" s="20" t="str">
        <f aca="false">IF($X1366="","",INDEX('Per Line'!$M$2:$M$4001,$X1366))</f>
        <v/>
      </c>
      <c r="L1366" s="22" t="str">
        <f aca="false">IF($X1366="","",K1366*V1366/100)</f>
        <v/>
      </c>
      <c r="M1366" s="20" t="str">
        <f aca="false">IF($X1366="","",INDEX('Per Line'!$Z$2:$Z$4001,$X1366))</f>
        <v/>
      </c>
      <c r="N1366" s="23" t="str">
        <f aca="false">IF($X1366="","",Settings!$C$7)</f>
        <v/>
      </c>
      <c r="O1366" s="22" t="str">
        <f aca="false">IF($X1366="","",SUMIFS('Per Line'!$Y$2:$Y$4001,'Per Line'!$D$2:$D$4001,$B1366,'Per Line'!$AJ$2:$AJ$4001,0))</f>
        <v/>
      </c>
      <c r="P1366" s="22" t="str">
        <f aca="false">IF($X1366="","",O1366*N1366)</f>
        <v/>
      </c>
      <c r="Q1366" s="23" t="str">
        <f aca="false">IF($X1366="","",Settings!$C$6)</f>
        <v/>
      </c>
      <c r="R1366" s="22" t="str">
        <f aca="false">IF($X1366="","",SUMIFS('Per Line'!$Y$2:$Y$4001,'Per Line'!$D$2:$D$4001,$B1366,'Per Line'!$AJ$2:$AJ$4001,1))</f>
        <v/>
      </c>
      <c r="S1366" s="22" t="str">
        <f aca="false">IF($X1366="","",R1366*Q1366)</f>
        <v/>
      </c>
      <c r="T1366" s="22" t="str">
        <f aca="false">IF($X1366="","",S1366+P1366)</f>
        <v/>
      </c>
      <c r="U1366" s="22" t="str">
        <f aca="false">IF($X1366="","",V1366-T1366)</f>
        <v/>
      </c>
      <c r="V1366" s="22" t="str">
        <f aca="false">IF($X1366="","",O1366+R1366)</f>
        <v/>
      </c>
      <c r="W1366" s="22" t="str">
        <f aca="false">IF($X1366="","",U1366-L1366)</f>
        <v/>
      </c>
      <c r="X1366" s="24" t="str">
        <f aca="false">IF(ROWS($X$2:$X1366)&lt;=MAX('Per Line'!$AI$2:$AI$4001),MATCH(ROWS($X$2:$X1366),'Per Line'!$AI$2:$AI$4001,0),"")</f>
        <v/>
      </c>
    </row>
    <row r="1367" customFormat="false" ht="15" hidden="false" customHeight="false" outlineLevel="0" collapsed="false">
      <c r="A1367" s="19"/>
      <c r="B1367" s="20" t="str">
        <f aca="false">IF($X1367="","",INDEX('Per Line'!$D$2:$D$4001,$X1367))</f>
        <v/>
      </c>
      <c r="C1367" s="20" t="str">
        <f aca="false">IF($X1367="","",INDEX('Per Line'!$C$2:$C$4001,$X1367))</f>
        <v/>
      </c>
      <c r="D1367" s="20" t="str">
        <f aca="false">IF($X1367="","",INDEX('Per Line'!$A$2:$A$4001,$X1367))</f>
        <v/>
      </c>
      <c r="E1367" s="21" t="str">
        <f aca="false">IF($X1367="","",INDEX('Per Line'!$F$2:$F$4001,$X1367))</f>
        <v/>
      </c>
      <c r="F1367" s="20" t="str">
        <f aca="false">IF($X1367="","",INDEX('Per Line'!$G$2:$G$4001,$X1367))</f>
        <v/>
      </c>
      <c r="G1367" s="20" t="str">
        <f aca="false">IF($X1367="","",INDEX('Per Line'!$I$2:$I$4001,$X1367))</f>
        <v/>
      </c>
      <c r="H1367" s="20" t="str">
        <f aca="false">IF($X1367="","",INDEX('Per Line'!$J$2:$J$4001,$X1367))</f>
        <v/>
      </c>
      <c r="I1367" s="20" t="str">
        <f aca="false">IF($X1367="","",INDEX('Per Line'!$K$2:$K$4001,$X1367))</f>
        <v/>
      </c>
      <c r="J1367" s="20" t="str">
        <f aca="false">IF($X1367="","",INDEX('Per Line'!$L$2:$L$4001,$X1367))</f>
        <v/>
      </c>
      <c r="K1367" s="20" t="str">
        <f aca="false">IF($X1367="","",INDEX('Per Line'!$M$2:$M$4001,$X1367))</f>
        <v/>
      </c>
      <c r="L1367" s="22" t="str">
        <f aca="false">IF($X1367="","",K1367*V1367/100)</f>
        <v/>
      </c>
      <c r="M1367" s="20" t="str">
        <f aca="false">IF($X1367="","",INDEX('Per Line'!$Z$2:$Z$4001,$X1367))</f>
        <v/>
      </c>
      <c r="N1367" s="23" t="str">
        <f aca="false">IF($X1367="","",Settings!$C$7)</f>
        <v/>
      </c>
      <c r="O1367" s="22" t="str">
        <f aca="false">IF($X1367="","",SUMIFS('Per Line'!$Y$2:$Y$4001,'Per Line'!$D$2:$D$4001,$B1367,'Per Line'!$AJ$2:$AJ$4001,0))</f>
        <v/>
      </c>
      <c r="P1367" s="22" t="str">
        <f aca="false">IF($X1367="","",O1367*N1367)</f>
        <v/>
      </c>
      <c r="Q1367" s="23" t="str">
        <f aca="false">IF($X1367="","",Settings!$C$6)</f>
        <v/>
      </c>
      <c r="R1367" s="22" t="str">
        <f aca="false">IF($X1367="","",SUMIFS('Per Line'!$Y$2:$Y$4001,'Per Line'!$D$2:$D$4001,$B1367,'Per Line'!$AJ$2:$AJ$4001,1))</f>
        <v/>
      </c>
      <c r="S1367" s="22" t="str">
        <f aca="false">IF($X1367="","",R1367*Q1367)</f>
        <v/>
      </c>
      <c r="T1367" s="22" t="str">
        <f aca="false">IF($X1367="","",S1367+P1367)</f>
        <v/>
      </c>
      <c r="U1367" s="22" t="str">
        <f aca="false">IF($X1367="","",V1367-T1367)</f>
        <v/>
      </c>
      <c r="V1367" s="22" t="str">
        <f aca="false">IF($X1367="","",O1367+R1367)</f>
        <v/>
      </c>
      <c r="W1367" s="22" t="str">
        <f aca="false">IF($X1367="","",U1367-L1367)</f>
        <v/>
      </c>
      <c r="X1367" s="24" t="str">
        <f aca="false">IF(ROWS($X$2:$X1367)&lt;=MAX('Per Line'!$AI$2:$AI$4001),MATCH(ROWS($X$2:$X1367),'Per Line'!$AI$2:$AI$4001,0),"")</f>
        <v/>
      </c>
    </row>
    <row r="1368" customFormat="false" ht="15" hidden="false" customHeight="false" outlineLevel="0" collapsed="false">
      <c r="A1368" s="19"/>
      <c r="B1368" s="20" t="str">
        <f aca="false">IF($X1368="","",INDEX('Per Line'!$D$2:$D$4001,$X1368))</f>
        <v/>
      </c>
      <c r="C1368" s="20" t="str">
        <f aca="false">IF($X1368="","",INDEX('Per Line'!$C$2:$C$4001,$X1368))</f>
        <v/>
      </c>
      <c r="D1368" s="20" t="str">
        <f aca="false">IF($X1368="","",INDEX('Per Line'!$A$2:$A$4001,$X1368))</f>
        <v/>
      </c>
      <c r="E1368" s="21" t="str">
        <f aca="false">IF($X1368="","",INDEX('Per Line'!$F$2:$F$4001,$X1368))</f>
        <v/>
      </c>
      <c r="F1368" s="20" t="str">
        <f aca="false">IF($X1368="","",INDEX('Per Line'!$G$2:$G$4001,$X1368))</f>
        <v/>
      </c>
      <c r="G1368" s="20" t="str">
        <f aca="false">IF($X1368="","",INDEX('Per Line'!$I$2:$I$4001,$X1368))</f>
        <v/>
      </c>
      <c r="H1368" s="20" t="str">
        <f aca="false">IF($X1368="","",INDEX('Per Line'!$J$2:$J$4001,$X1368))</f>
        <v/>
      </c>
      <c r="I1368" s="20" t="str">
        <f aca="false">IF($X1368="","",INDEX('Per Line'!$K$2:$K$4001,$X1368))</f>
        <v/>
      </c>
      <c r="J1368" s="20" t="str">
        <f aca="false">IF($X1368="","",INDEX('Per Line'!$L$2:$L$4001,$X1368))</f>
        <v/>
      </c>
      <c r="K1368" s="20" t="str">
        <f aca="false">IF($X1368="","",INDEX('Per Line'!$M$2:$M$4001,$X1368))</f>
        <v/>
      </c>
      <c r="L1368" s="22" t="str">
        <f aca="false">IF($X1368="","",K1368*V1368/100)</f>
        <v/>
      </c>
      <c r="M1368" s="20" t="str">
        <f aca="false">IF($X1368="","",INDEX('Per Line'!$Z$2:$Z$4001,$X1368))</f>
        <v/>
      </c>
      <c r="N1368" s="23" t="str">
        <f aca="false">IF($X1368="","",Settings!$C$7)</f>
        <v/>
      </c>
      <c r="O1368" s="22" t="str">
        <f aca="false">IF($X1368="","",SUMIFS('Per Line'!$Y$2:$Y$4001,'Per Line'!$D$2:$D$4001,$B1368,'Per Line'!$AJ$2:$AJ$4001,0))</f>
        <v/>
      </c>
      <c r="P1368" s="22" t="str">
        <f aca="false">IF($X1368="","",O1368*N1368)</f>
        <v/>
      </c>
      <c r="Q1368" s="23" t="str">
        <f aca="false">IF($X1368="","",Settings!$C$6)</f>
        <v/>
      </c>
      <c r="R1368" s="22" t="str">
        <f aca="false">IF($X1368="","",SUMIFS('Per Line'!$Y$2:$Y$4001,'Per Line'!$D$2:$D$4001,$B1368,'Per Line'!$AJ$2:$AJ$4001,1))</f>
        <v/>
      </c>
      <c r="S1368" s="22" t="str">
        <f aca="false">IF($X1368="","",R1368*Q1368)</f>
        <v/>
      </c>
      <c r="T1368" s="22" t="str">
        <f aca="false">IF($X1368="","",S1368+P1368)</f>
        <v/>
      </c>
      <c r="U1368" s="22" t="str">
        <f aca="false">IF($X1368="","",V1368-T1368)</f>
        <v/>
      </c>
      <c r="V1368" s="22" t="str">
        <f aca="false">IF($X1368="","",O1368+R1368)</f>
        <v/>
      </c>
      <c r="W1368" s="22" t="str">
        <f aca="false">IF($X1368="","",U1368-L1368)</f>
        <v/>
      </c>
      <c r="X1368" s="24" t="str">
        <f aca="false">IF(ROWS($X$2:$X1368)&lt;=MAX('Per Line'!$AI$2:$AI$4001),MATCH(ROWS($X$2:$X1368),'Per Line'!$AI$2:$AI$4001,0),"")</f>
        <v/>
      </c>
    </row>
    <row r="1369" customFormat="false" ht="15" hidden="false" customHeight="false" outlineLevel="0" collapsed="false">
      <c r="A1369" s="19"/>
      <c r="B1369" s="20" t="str">
        <f aca="false">IF($X1369="","",INDEX('Per Line'!$D$2:$D$4001,$X1369))</f>
        <v/>
      </c>
      <c r="C1369" s="20" t="str">
        <f aca="false">IF($X1369="","",INDEX('Per Line'!$C$2:$C$4001,$X1369))</f>
        <v/>
      </c>
      <c r="D1369" s="20" t="str">
        <f aca="false">IF($X1369="","",INDEX('Per Line'!$A$2:$A$4001,$X1369))</f>
        <v/>
      </c>
      <c r="E1369" s="21" t="str">
        <f aca="false">IF($X1369="","",INDEX('Per Line'!$F$2:$F$4001,$X1369))</f>
        <v/>
      </c>
      <c r="F1369" s="20" t="str">
        <f aca="false">IF($X1369="","",INDEX('Per Line'!$G$2:$G$4001,$X1369))</f>
        <v/>
      </c>
      <c r="G1369" s="20" t="str">
        <f aca="false">IF($X1369="","",INDEX('Per Line'!$I$2:$I$4001,$X1369))</f>
        <v/>
      </c>
      <c r="H1369" s="20" t="str">
        <f aca="false">IF($X1369="","",INDEX('Per Line'!$J$2:$J$4001,$X1369))</f>
        <v/>
      </c>
      <c r="I1369" s="20" t="str">
        <f aca="false">IF($X1369="","",INDEX('Per Line'!$K$2:$K$4001,$X1369))</f>
        <v/>
      </c>
      <c r="J1369" s="20" t="str">
        <f aca="false">IF($X1369="","",INDEX('Per Line'!$L$2:$L$4001,$X1369))</f>
        <v/>
      </c>
      <c r="K1369" s="20" t="str">
        <f aca="false">IF($X1369="","",INDEX('Per Line'!$M$2:$M$4001,$X1369))</f>
        <v/>
      </c>
      <c r="L1369" s="22" t="str">
        <f aca="false">IF($X1369="","",K1369*V1369/100)</f>
        <v/>
      </c>
      <c r="M1369" s="20" t="str">
        <f aca="false">IF($X1369="","",INDEX('Per Line'!$Z$2:$Z$4001,$X1369))</f>
        <v/>
      </c>
      <c r="N1369" s="23" t="str">
        <f aca="false">IF($X1369="","",Settings!$C$7)</f>
        <v/>
      </c>
      <c r="O1369" s="22" t="str">
        <f aca="false">IF($X1369="","",SUMIFS('Per Line'!$Y$2:$Y$4001,'Per Line'!$D$2:$D$4001,$B1369,'Per Line'!$AJ$2:$AJ$4001,0))</f>
        <v/>
      </c>
      <c r="P1369" s="22" t="str">
        <f aca="false">IF($X1369="","",O1369*N1369)</f>
        <v/>
      </c>
      <c r="Q1369" s="23" t="str">
        <f aca="false">IF($X1369="","",Settings!$C$6)</f>
        <v/>
      </c>
      <c r="R1369" s="22" t="str">
        <f aca="false">IF($X1369="","",SUMIFS('Per Line'!$Y$2:$Y$4001,'Per Line'!$D$2:$D$4001,$B1369,'Per Line'!$AJ$2:$AJ$4001,1))</f>
        <v/>
      </c>
      <c r="S1369" s="22" t="str">
        <f aca="false">IF($X1369="","",R1369*Q1369)</f>
        <v/>
      </c>
      <c r="T1369" s="22" t="str">
        <f aca="false">IF($X1369="","",S1369+P1369)</f>
        <v/>
      </c>
      <c r="U1369" s="22" t="str">
        <f aca="false">IF($X1369="","",V1369-T1369)</f>
        <v/>
      </c>
      <c r="V1369" s="22" t="str">
        <f aca="false">IF($X1369="","",O1369+R1369)</f>
        <v/>
      </c>
      <c r="W1369" s="22" t="str">
        <f aca="false">IF($X1369="","",U1369-L1369)</f>
        <v/>
      </c>
      <c r="X1369" s="24" t="str">
        <f aca="false">IF(ROWS($X$2:$X1369)&lt;=MAX('Per Line'!$AI$2:$AI$4001),MATCH(ROWS($X$2:$X1369),'Per Line'!$AI$2:$AI$4001,0),"")</f>
        <v/>
      </c>
    </row>
    <row r="1370" customFormat="false" ht="15" hidden="false" customHeight="false" outlineLevel="0" collapsed="false">
      <c r="A1370" s="19"/>
      <c r="B1370" s="20" t="str">
        <f aca="false">IF($X1370="","",INDEX('Per Line'!$D$2:$D$4001,$X1370))</f>
        <v/>
      </c>
      <c r="C1370" s="20" t="str">
        <f aca="false">IF($X1370="","",INDEX('Per Line'!$C$2:$C$4001,$X1370))</f>
        <v/>
      </c>
      <c r="D1370" s="20" t="str">
        <f aca="false">IF($X1370="","",INDEX('Per Line'!$A$2:$A$4001,$X1370))</f>
        <v/>
      </c>
      <c r="E1370" s="21" t="str">
        <f aca="false">IF($X1370="","",INDEX('Per Line'!$F$2:$F$4001,$X1370))</f>
        <v/>
      </c>
      <c r="F1370" s="20" t="str">
        <f aca="false">IF($X1370="","",INDEX('Per Line'!$G$2:$G$4001,$X1370))</f>
        <v/>
      </c>
      <c r="G1370" s="20" t="str">
        <f aca="false">IF($X1370="","",INDEX('Per Line'!$I$2:$I$4001,$X1370))</f>
        <v/>
      </c>
      <c r="H1370" s="20" t="str">
        <f aca="false">IF($X1370="","",INDEX('Per Line'!$J$2:$J$4001,$X1370))</f>
        <v/>
      </c>
      <c r="I1370" s="20" t="str">
        <f aca="false">IF($X1370="","",INDEX('Per Line'!$K$2:$K$4001,$X1370))</f>
        <v/>
      </c>
      <c r="J1370" s="20" t="str">
        <f aca="false">IF($X1370="","",INDEX('Per Line'!$L$2:$L$4001,$X1370))</f>
        <v/>
      </c>
      <c r="K1370" s="20" t="str">
        <f aca="false">IF($X1370="","",INDEX('Per Line'!$M$2:$M$4001,$X1370))</f>
        <v/>
      </c>
      <c r="L1370" s="22" t="str">
        <f aca="false">IF($X1370="","",K1370*V1370/100)</f>
        <v/>
      </c>
      <c r="M1370" s="20" t="str">
        <f aca="false">IF($X1370="","",INDEX('Per Line'!$Z$2:$Z$4001,$X1370))</f>
        <v/>
      </c>
      <c r="N1370" s="23" t="str">
        <f aca="false">IF($X1370="","",Settings!$C$7)</f>
        <v/>
      </c>
      <c r="O1370" s="22" t="str">
        <f aca="false">IF($X1370="","",SUMIFS('Per Line'!$Y$2:$Y$4001,'Per Line'!$D$2:$D$4001,$B1370,'Per Line'!$AJ$2:$AJ$4001,0))</f>
        <v/>
      </c>
      <c r="P1370" s="22" t="str">
        <f aca="false">IF($X1370="","",O1370*N1370)</f>
        <v/>
      </c>
      <c r="Q1370" s="23" t="str">
        <f aca="false">IF($X1370="","",Settings!$C$6)</f>
        <v/>
      </c>
      <c r="R1370" s="22" t="str">
        <f aca="false">IF($X1370="","",SUMIFS('Per Line'!$Y$2:$Y$4001,'Per Line'!$D$2:$D$4001,$B1370,'Per Line'!$AJ$2:$AJ$4001,1))</f>
        <v/>
      </c>
      <c r="S1370" s="22" t="str">
        <f aca="false">IF($X1370="","",R1370*Q1370)</f>
        <v/>
      </c>
      <c r="T1370" s="22" t="str">
        <f aca="false">IF($X1370="","",S1370+P1370)</f>
        <v/>
      </c>
      <c r="U1370" s="22" t="str">
        <f aca="false">IF($X1370="","",V1370-T1370)</f>
        <v/>
      </c>
      <c r="V1370" s="22" t="str">
        <f aca="false">IF($X1370="","",O1370+R1370)</f>
        <v/>
      </c>
      <c r="W1370" s="22" t="str">
        <f aca="false">IF($X1370="","",U1370-L1370)</f>
        <v/>
      </c>
      <c r="X1370" s="24" t="str">
        <f aca="false">IF(ROWS($X$2:$X1370)&lt;=MAX('Per Line'!$AI$2:$AI$4001),MATCH(ROWS($X$2:$X1370),'Per Line'!$AI$2:$AI$4001,0),"")</f>
        <v/>
      </c>
    </row>
    <row r="1371" customFormat="false" ht="15" hidden="false" customHeight="false" outlineLevel="0" collapsed="false">
      <c r="A1371" s="19"/>
      <c r="B1371" s="20" t="str">
        <f aca="false">IF($X1371="","",INDEX('Per Line'!$D$2:$D$4001,$X1371))</f>
        <v/>
      </c>
      <c r="C1371" s="20" t="str">
        <f aca="false">IF($X1371="","",INDEX('Per Line'!$C$2:$C$4001,$X1371))</f>
        <v/>
      </c>
      <c r="D1371" s="20" t="str">
        <f aca="false">IF($X1371="","",INDEX('Per Line'!$A$2:$A$4001,$X1371))</f>
        <v/>
      </c>
      <c r="E1371" s="21" t="str">
        <f aca="false">IF($X1371="","",INDEX('Per Line'!$F$2:$F$4001,$X1371))</f>
        <v/>
      </c>
      <c r="F1371" s="20" t="str">
        <f aca="false">IF($X1371="","",INDEX('Per Line'!$G$2:$G$4001,$X1371))</f>
        <v/>
      </c>
      <c r="G1371" s="20" t="str">
        <f aca="false">IF($X1371="","",INDEX('Per Line'!$I$2:$I$4001,$X1371))</f>
        <v/>
      </c>
      <c r="H1371" s="20" t="str">
        <f aca="false">IF($X1371="","",INDEX('Per Line'!$J$2:$J$4001,$X1371))</f>
        <v/>
      </c>
      <c r="I1371" s="20" t="str">
        <f aca="false">IF($X1371="","",INDEX('Per Line'!$K$2:$K$4001,$X1371))</f>
        <v/>
      </c>
      <c r="J1371" s="20" t="str">
        <f aca="false">IF($X1371="","",INDEX('Per Line'!$L$2:$L$4001,$X1371))</f>
        <v/>
      </c>
      <c r="K1371" s="20" t="str">
        <f aca="false">IF($X1371="","",INDEX('Per Line'!$M$2:$M$4001,$X1371))</f>
        <v/>
      </c>
      <c r="L1371" s="22" t="str">
        <f aca="false">IF($X1371="","",K1371*V1371/100)</f>
        <v/>
      </c>
      <c r="M1371" s="20" t="str">
        <f aca="false">IF($X1371="","",INDEX('Per Line'!$Z$2:$Z$4001,$X1371))</f>
        <v/>
      </c>
      <c r="N1371" s="23" t="str">
        <f aca="false">IF($X1371="","",Settings!$C$7)</f>
        <v/>
      </c>
      <c r="O1371" s="22" t="str">
        <f aca="false">IF($X1371="","",SUMIFS('Per Line'!$Y$2:$Y$4001,'Per Line'!$D$2:$D$4001,$B1371,'Per Line'!$AJ$2:$AJ$4001,0))</f>
        <v/>
      </c>
      <c r="P1371" s="22" t="str">
        <f aca="false">IF($X1371="","",O1371*N1371)</f>
        <v/>
      </c>
      <c r="Q1371" s="23" t="str">
        <f aca="false">IF($X1371="","",Settings!$C$6)</f>
        <v/>
      </c>
      <c r="R1371" s="22" t="str">
        <f aca="false">IF($X1371="","",SUMIFS('Per Line'!$Y$2:$Y$4001,'Per Line'!$D$2:$D$4001,$B1371,'Per Line'!$AJ$2:$AJ$4001,1))</f>
        <v/>
      </c>
      <c r="S1371" s="22" t="str">
        <f aca="false">IF($X1371="","",R1371*Q1371)</f>
        <v/>
      </c>
      <c r="T1371" s="22" t="str">
        <f aca="false">IF($X1371="","",S1371+P1371)</f>
        <v/>
      </c>
      <c r="U1371" s="22" t="str">
        <f aca="false">IF($X1371="","",V1371-T1371)</f>
        <v/>
      </c>
      <c r="V1371" s="22" t="str">
        <f aca="false">IF($X1371="","",O1371+R1371)</f>
        <v/>
      </c>
      <c r="W1371" s="22" t="str">
        <f aca="false">IF($X1371="","",U1371-L1371)</f>
        <v/>
      </c>
      <c r="X1371" s="24" t="str">
        <f aca="false">IF(ROWS($X$2:$X1371)&lt;=MAX('Per Line'!$AI$2:$AI$4001),MATCH(ROWS($X$2:$X1371),'Per Line'!$AI$2:$AI$4001,0),"")</f>
        <v/>
      </c>
    </row>
    <row r="1372" customFormat="false" ht="15" hidden="false" customHeight="false" outlineLevel="0" collapsed="false">
      <c r="A1372" s="19"/>
      <c r="B1372" s="20" t="str">
        <f aca="false">IF($X1372="","",INDEX('Per Line'!$D$2:$D$4001,$X1372))</f>
        <v/>
      </c>
      <c r="C1372" s="20" t="str">
        <f aca="false">IF($X1372="","",INDEX('Per Line'!$C$2:$C$4001,$X1372))</f>
        <v/>
      </c>
      <c r="D1372" s="20" t="str">
        <f aca="false">IF($X1372="","",INDEX('Per Line'!$A$2:$A$4001,$X1372))</f>
        <v/>
      </c>
      <c r="E1372" s="21" t="str">
        <f aca="false">IF($X1372="","",INDEX('Per Line'!$F$2:$F$4001,$X1372))</f>
        <v/>
      </c>
      <c r="F1372" s="20" t="str">
        <f aca="false">IF($X1372="","",INDEX('Per Line'!$G$2:$G$4001,$X1372))</f>
        <v/>
      </c>
      <c r="G1372" s="20" t="str">
        <f aca="false">IF($X1372="","",INDEX('Per Line'!$I$2:$I$4001,$X1372))</f>
        <v/>
      </c>
      <c r="H1372" s="20" t="str">
        <f aca="false">IF($X1372="","",INDEX('Per Line'!$J$2:$J$4001,$X1372))</f>
        <v/>
      </c>
      <c r="I1372" s="20" t="str">
        <f aca="false">IF($X1372="","",INDEX('Per Line'!$K$2:$K$4001,$X1372))</f>
        <v/>
      </c>
      <c r="J1372" s="20" t="str">
        <f aca="false">IF($X1372="","",INDEX('Per Line'!$L$2:$L$4001,$X1372))</f>
        <v/>
      </c>
      <c r="K1372" s="20" t="str">
        <f aca="false">IF($X1372="","",INDEX('Per Line'!$M$2:$M$4001,$X1372))</f>
        <v/>
      </c>
      <c r="L1372" s="22" t="str">
        <f aca="false">IF($X1372="","",K1372*V1372/100)</f>
        <v/>
      </c>
      <c r="M1372" s="20" t="str">
        <f aca="false">IF($X1372="","",INDEX('Per Line'!$Z$2:$Z$4001,$X1372))</f>
        <v/>
      </c>
      <c r="N1372" s="23" t="str">
        <f aca="false">IF($X1372="","",Settings!$C$7)</f>
        <v/>
      </c>
      <c r="O1372" s="22" t="str">
        <f aca="false">IF($X1372="","",SUMIFS('Per Line'!$Y$2:$Y$4001,'Per Line'!$D$2:$D$4001,$B1372,'Per Line'!$AJ$2:$AJ$4001,0))</f>
        <v/>
      </c>
      <c r="P1372" s="22" t="str">
        <f aca="false">IF($X1372="","",O1372*N1372)</f>
        <v/>
      </c>
      <c r="Q1372" s="23" t="str">
        <f aca="false">IF($X1372="","",Settings!$C$6)</f>
        <v/>
      </c>
      <c r="R1372" s="22" t="str">
        <f aca="false">IF($X1372="","",SUMIFS('Per Line'!$Y$2:$Y$4001,'Per Line'!$D$2:$D$4001,$B1372,'Per Line'!$AJ$2:$AJ$4001,1))</f>
        <v/>
      </c>
      <c r="S1372" s="22" t="str">
        <f aca="false">IF($X1372="","",R1372*Q1372)</f>
        <v/>
      </c>
      <c r="T1372" s="22" t="str">
        <f aca="false">IF($X1372="","",S1372+P1372)</f>
        <v/>
      </c>
      <c r="U1372" s="22" t="str">
        <f aca="false">IF($X1372="","",V1372-T1372)</f>
        <v/>
      </c>
      <c r="V1372" s="22" t="str">
        <f aca="false">IF($X1372="","",O1372+R1372)</f>
        <v/>
      </c>
      <c r="W1372" s="22" t="str">
        <f aca="false">IF($X1372="","",U1372-L1372)</f>
        <v/>
      </c>
      <c r="X1372" s="24" t="str">
        <f aca="false">IF(ROWS($X$2:$X1372)&lt;=MAX('Per Line'!$AI$2:$AI$4001),MATCH(ROWS($X$2:$X1372),'Per Line'!$AI$2:$AI$4001,0),"")</f>
        <v/>
      </c>
    </row>
    <row r="1373" customFormat="false" ht="15" hidden="false" customHeight="false" outlineLevel="0" collapsed="false">
      <c r="A1373" s="19"/>
      <c r="B1373" s="20" t="str">
        <f aca="false">IF($X1373="","",INDEX('Per Line'!$D$2:$D$4001,$X1373))</f>
        <v/>
      </c>
      <c r="C1373" s="20" t="str">
        <f aca="false">IF($X1373="","",INDEX('Per Line'!$C$2:$C$4001,$X1373))</f>
        <v/>
      </c>
      <c r="D1373" s="20" t="str">
        <f aca="false">IF($X1373="","",INDEX('Per Line'!$A$2:$A$4001,$X1373))</f>
        <v/>
      </c>
      <c r="E1373" s="21" t="str">
        <f aca="false">IF($X1373="","",INDEX('Per Line'!$F$2:$F$4001,$X1373))</f>
        <v/>
      </c>
      <c r="F1373" s="20" t="str">
        <f aca="false">IF($X1373="","",INDEX('Per Line'!$G$2:$G$4001,$X1373))</f>
        <v/>
      </c>
      <c r="G1373" s="20" t="str">
        <f aca="false">IF($X1373="","",INDEX('Per Line'!$I$2:$I$4001,$X1373))</f>
        <v/>
      </c>
      <c r="H1373" s="20" t="str">
        <f aca="false">IF($X1373="","",INDEX('Per Line'!$J$2:$J$4001,$X1373))</f>
        <v/>
      </c>
      <c r="I1373" s="20" t="str">
        <f aca="false">IF($X1373="","",INDEX('Per Line'!$K$2:$K$4001,$X1373))</f>
        <v/>
      </c>
      <c r="J1373" s="20" t="str">
        <f aca="false">IF($X1373="","",INDEX('Per Line'!$L$2:$L$4001,$X1373))</f>
        <v/>
      </c>
      <c r="K1373" s="20" t="str">
        <f aca="false">IF($X1373="","",INDEX('Per Line'!$M$2:$M$4001,$X1373))</f>
        <v/>
      </c>
      <c r="L1373" s="22" t="str">
        <f aca="false">IF($X1373="","",K1373*V1373/100)</f>
        <v/>
      </c>
      <c r="M1373" s="20" t="str">
        <f aca="false">IF($X1373="","",INDEX('Per Line'!$Z$2:$Z$4001,$X1373))</f>
        <v/>
      </c>
      <c r="N1373" s="23" t="str">
        <f aca="false">IF($X1373="","",Settings!$C$7)</f>
        <v/>
      </c>
      <c r="O1373" s="22" t="str">
        <f aca="false">IF($X1373="","",SUMIFS('Per Line'!$Y$2:$Y$4001,'Per Line'!$D$2:$D$4001,$B1373,'Per Line'!$AJ$2:$AJ$4001,0))</f>
        <v/>
      </c>
      <c r="P1373" s="22" t="str">
        <f aca="false">IF($X1373="","",O1373*N1373)</f>
        <v/>
      </c>
      <c r="Q1373" s="23" t="str">
        <f aca="false">IF($X1373="","",Settings!$C$6)</f>
        <v/>
      </c>
      <c r="R1373" s="22" t="str">
        <f aca="false">IF($X1373="","",SUMIFS('Per Line'!$Y$2:$Y$4001,'Per Line'!$D$2:$D$4001,$B1373,'Per Line'!$AJ$2:$AJ$4001,1))</f>
        <v/>
      </c>
      <c r="S1373" s="22" t="str">
        <f aca="false">IF($X1373="","",R1373*Q1373)</f>
        <v/>
      </c>
      <c r="T1373" s="22" t="str">
        <f aca="false">IF($X1373="","",S1373+P1373)</f>
        <v/>
      </c>
      <c r="U1373" s="22" t="str">
        <f aca="false">IF($X1373="","",V1373-T1373)</f>
        <v/>
      </c>
      <c r="V1373" s="22" t="str">
        <f aca="false">IF($X1373="","",O1373+R1373)</f>
        <v/>
      </c>
      <c r="W1373" s="22" t="str">
        <f aca="false">IF($X1373="","",U1373-L1373)</f>
        <v/>
      </c>
      <c r="X1373" s="24" t="str">
        <f aca="false">IF(ROWS($X$2:$X1373)&lt;=MAX('Per Line'!$AI$2:$AI$4001),MATCH(ROWS($X$2:$X1373),'Per Line'!$AI$2:$AI$4001,0),"")</f>
        <v/>
      </c>
    </row>
    <row r="1374" customFormat="false" ht="15" hidden="false" customHeight="false" outlineLevel="0" collapsed="false">
      <c r="A1374" s="19"/>
      <c r="B1374" s="20" t="str">
        <f aca="false">IF($X1374="","",INDEX('Per Line'!$D$2:$D$4001,$X1374))</f>
        <v/>
      </c>
      <c r="C1374" s="20" t="str">
        <f aca="false">IF($X1374="","",INDEX('Per Line'!$C$2:$C$4001,$X1374))</f>
        <v/>
      </c>
      <c r="D1374" s="20" t="str">
        <f aca="false">IF($X1374="","",INDEX('Per Line'!$A$2:$A$4001,$X1374))</f>
        <v/>
      </c>
      <c r="E1374" s="21" t="str">
        <f aca="false">IF($X1374="","",INDEX('Per Line'!$F$2:$F$4001,$X1374))</f>
        <v/>
      </c>
      <c r="F1374" s="20" t="str">
        <f aca="false">IF($X1374="","",INDEX('Per Line'!$G$2:$G$4001,$X1374))</f>
        <v/>
      </c>
      <c r="G1374" s="20" t="str">
        <f aca="false">IF($X1374="","",INDEX('Per Line'!$I$2:$I$4001,$X1374))</f>
        <v/>
      </c>
      <c r="H1374" s="20" t="str">
        <f aca="false">IF($X1374="","",INDEX('Per Line'!$J$2:$J$4001,$X1374))</f>
        <v/>
      </c>
      <c r="I1374" s="20" t="str">
        <f aca="false">IF($X1374="","",INDEX('Per Line'!$K$2:$K$4001,$X1374))</f>
        <v/>
      </c>
      <c r="J1374" s="20" t="str">
        <f aca="false">IF($X1374="","",INDEX('Per Line'!$L$2:$L$4001,$X1374))</f>
        <v/>
      </c>
      <c r="K1374" s="20" t="str">
        <f aca="false">IF($X1374="","",INDEX('Per Line'!$M$2:$M$4001,$X1374))</f>
        <v/>
      </c>
      <c r="L1374" s="22" t="str">
        <f aca="false">IF($X1374="","",K1374*V1374/100)</f>
        <v/>
      </c>
      <c r="M1374" s="20" t="str">
        <f aca="false">IF($X1374="","",INDEX('Per Line'!$Z$2:$Z$4001,$X1374))</f>
        <v/>
      </c>
      <c r="N1374" s="23" t="str">
        <f aca="false">IF($X1374="","",Settings!$C$7)</f>
        <v/>
      </c>
      <c r="O1374" s="22" t="str">
        <f aca="false">IF($X1374="","",SUMIFS('Per Line'!$Y$2:$Y$4001,'Per Line'!$D$2:$D$4001,$B1374,'Per Line'!$AJ$2:$AJ$4001,0))</f>
        <v/>
      </c>
      <c r="P1374" s="22" t="str">
        <f aca="false">IF($X1374="","",O1374*N1374)</f>
        <v/>
      </c>
      <c r="Q1374" s="23" t="str">
        <f aca="false">IF($X1374="","",Settings!$C$6)</f>
        <v/>
      </c>
      <c r="R1374" s="22" t="str">
        <f aca="false">IF($X1374="","",SUMIFS('Per Line'!$Y$2:$Y$4001,'Per Line'!$D$2:$D$4001,$B1374,'Per Line'!$AJ$2:$AJ$4001,1))</f>
        <v/>
      </c>
      <c r="S1374" s="22" t="str">
        <f aca="false">IF($X1374="","",R1374*Q1374)</f>
        <v/>
      </c>
      <c r="T1374" s="22" t="str">
        <f aca="false">IF($X1374="","",S1374+P1374)</f>
        <v/>
      </c>
      <c r="U1374" s="22" t="str">
        <f aca="false">IF($X1374="","",V1374-T1374)</f>
        <v/>
      </c>
      <c r="V1374" s="22" t="str">
        <f aca="false">IF($X1374="","",O1374+R1374)</f>
        <v/>
      </c>
      <c r="W1374" s="22" t="str">
        <f aca="false">IF($X1374="","",U1374-L1374)</f>
        <v/>
      </c>
      <c r="X1374" s="24" t="str">
        <f aca="false">IF(ROWS($X$2:$X1374)&lt;=MAX('Per Line'!$AI$2:$AI$4001),MATCH(ROWS($X$2:$X1374),'Per Line'!$AI$2:$AI$4001,0),"")</f>
        <v/>
      </c>
    </row>
    <row r="1375" customFormat="false" ht="15" hidden="false" customHeight="false" outlineLevel="0" collapsed="false">
      <c r="A1375" s="19"/>
      <c r="B1375" s="20" t="str">
        <f aca="false">IF($X1375="","",INDEX('Per Line'!$D$2:$D$4001,$X1375))</f>
        <v/>
      </c>
      <c r="C1375" s="20" t="str">
        <f aca="false">IF($X1375="","",INDEX('Per Line'!$C$2:$C$4001,$X1375))</f>
        <v/>
      </c>
      <c r="D1375" s="20" t="str">
        <f aca="false">IF($X1375="","",INDEX('Per Line'!$A$2:$A$4001,$X1375))</f>
        <v/>
      </c>
      <c r="E1375" s="21" t="str">
        <f aca="false">IF($X1375="","",INDEX('Per Line'!$F$2:$F$4001,$X1375))</f>
        <v/>
      </c>
      <c r="F1375" s="20" t="str">
        <f aca="false">IF($X1375="","",INDEX('Per Line'!$G$2:$G$4001,$X1375))</f>
        <v/>
      </c>
      <c r="G1375" s="20" t="str">
        <f aca="false">IF($X1375="","",INDEX('Per Line'!$I$2:$I$4001,$X1375))</f>
        <v/>
      </c>
      <c r="H1375" s="20" t="str">
        <f aca="false">IF($X1375="","",INDEX('Per Line'!$J$2:$J$4001,$X1375))</f>
        <v/>
      </c>
      <c r="I1375" s="20" t="str">
        <f aca="false">IF($X1375="","",INDEX('Per Line'!$K$2:$K$4001,$X1375))</f>
        <v/>
      </c>
      <c r="J1375" s="20" t="str">
        <f aca="false">IF($X1375="","",INDEX('Per Line'!$L$2:$L$4001,$X1375))</f>
        <v/>
      </c>
      <c r="K1375" s="20" t="str">
        <f aca="false">IF($X1375="","",INDEX('Per Line'!$M$2:$M$4001,$X1375))</f>
        <v/>
      </c>
      <c r="L1375" s="22" t="str">
        <f aca="false">IF($X1375="","",K1375*V1375/100)</f>
        <v/>
      </c>
      <c r="M1375" s="20" t="str">
        <f aca="false">IF($X1375="","",INDEX('Per Line'!$Z$2:$Z$4001,$X1375))</f>
        <v/>
      </c>
      <c r="N1375" s="23" t="str">
        <f aca="false">IF($X1375="","",Settings!$C$7)</f>
        <v/>
      </c>
      <c r="O1375" s="22" t="str">
        <f aca="false">IF($X1375="","",SUMIFS('Per Line'!$Y$2:$Y$4001,'Per Line'!$D$2:$D$4001,$B1375,'Per Line'!$AJ$2:$AJ$4001,0))</f>
        <v/>
      </c>
      <c r="P1375" s="22" t="str">
        <f aca="false">IF($X1375="","",O1375*N1375)</f>
        <v/>
      </c>
      <c r="Q1375" s="23" t="str">
        <f aca="false">IF($X1375="","",Settings!$C$6)</f>
        <v/>
      </c>
      <c r="R1375" s="22" t="str">
        <f aca="false">IF($X1375="","",SUMIFS('Per Line'!$Y$2:$Y$4001,'Per Line'!$D$2:$D$4001,$B1375,'Per Line'!$AJ$2:$AJ$4001,1))</f>
        <v/>
      </c>
      <c r="S1375" s="22" t="str">
        <f aca="false">IF($X1375="","",R1375*Q1375)</f>
        <v/>
      </c>
      <c r="T1375" s="22" t="str">
        <f aca="false">IF($X1375="","",S1375+P1375)</f>
        <v/>
      </c>
      <c r="U1375" s="22" t="str">
        <f aca="false">IF($X1375="","",V1375-T1375)</f>
        <v/>
      </c>
      <c r="V1375" s="22" t="str">
        <f aca="false">IF($X1375="","",O1375+R1375)</f>
        <v/>
      </c>
      <c r="W1375" s="22" t="str">
        <f aca="false">IF($X1375="","",U1375-L1375)</f>
        <v/>
      </c>
      <c r="X1375" s="24" t="str">
        <f aca="false">IF(ROWS($X$2:$X1375)&lt;=MAX('Per Line'!$AI$2:$AI$4001),MATCH(ROWS($X$2:$X1375),'Per Line'!$AI$2:$AI$4001,0),"")</f>
        <v/>
      </c>
    </row>
    <row r="1376" customFormat="false" ht="15" hidden="false" customHeight="false" outlineLevel="0" collapsed="false">
      <c r="A1376" s="19"/>
      <c r="B1376" s="20" t="str">
        <f aca="false">IF($X1376="","",INDEX('Per Line'!$D$2:$D$4001,$X1376))</f>
        <v/>
      </c>
      <c r="C1376" s="20" t="str">
        <f aca="false">IF($X1376="","",INDEX('Per Line'!$C$2:$C$4001,$X1376))</f>
        <v/>
      </c>
      <c r="D1376" s="20" t="str">
        <f aca="false">IF($X1376="","",INDEX('Per Line'!$A$2:$A$4001,$X1376))</f>
        <v/>
      </c>
      <c r="E1376" s="21" t="str">
        <f aca="false">IF($X1376="","",INDEX('Per Line'!$F$2:$F$4001,$X1376))</f>
        <v/>
      </c>
      <c r="F1376" s="20" t="str">
        <f aca="false">IF($X1376="","",INDEX('Per Line'!$G$2:$G$4001,$X1376))</f>
        <v/>
      </c>
      <c r="G1376" s="20" t="str">
        <f aca="false">IF($X1376="","",INDEX('Per Line'!$I$2:$I$4001,$X1376))</f>
        <v/>
      </c>
      <c r="H1376" s="20" t="str">
        <f aca="false">IF($X1376="","",INDEX('Per Line'!$J$2:$J$4001,$X1376))</f>
        <v/>
      </c>
      <c r="I1376" s="20" t="str">
        <f aca="false">IF($X1376="","",INDEX('Per Line'!$K$2:$K$4001,$X1376))</f>
        <v/>
      </c>
      <c r="J1376" s="20" t="str">
        <f aca="false">IF($X1376="","",INDEX('Per Line'!$L$2:$L$4001,$X1376))</f>
        <v/>
      </c>
      <c r="K1376" s="20" t="str">
        <f aca="false">IF($X1376="","",INDEX('Per Line'!$M$2:$M$4001,$X1376))</f>
        <v/>
      </c>
      <c r="L1376" s="22" t="str">
        <f aca="false">IF($X1376="","",K1376*V1376/100)</f>
        <v/>
      </c>
      <c r="M1376" s="20" t="str">
        <f aca="false">IF($X1376="","",INDEX('Per Line'!$Z$2:$Z$4001,$X1376))</f>
        <v/>
      </c>
      <c r="N1376" s="23" t="str">
        <f aca="false">IF($X1376="","",Settings!$C$7)</f>
        <v/>
      </c>
      <c r="O1376" s="22" t="str">
        <f aca="false">IF($X1376="","",SUMIFS('Per Line'!$Y$2:$Y$4001,'Per Line'!$D$2:$D$4001,$B1376,'Per Line'!$AJ$2:$AJ$4001,0))</f>
        <v/>
      </c>
      <c r="P1376" s="22" t="str">
        <f aca="false">IF($X1376="","",O1376*N1376)</f>
        <v/>
      </c>
      <c r="Q1376" s="23" t="str">
        <f aca="false">IF($X1376="","",Settings!$C$6)</f>
        <v/>
      </c>
      <c r="R1376" s="22" t="str">
        <f aca="false">IF($X1376="","",SUMIFS('Per Line'!$Y$2:$Y$4001,'Per Line'!$D$2:$D$4001,$B1376,'Per Line'!$AJ$2:$AJ$4001,1))</f>
        <v/>
      </c>
      <c r="S1376" s="22" t="str">
        <f aca="false">IF($X1376="","",R1376*Q1376)</f>
        <v/>
      </c>
      <c r="T1376" s="22" t="str">
        <f aca="false">IF($X1376="","",S1376+P1376)</f>
        <v/>
      </c>
      <c r="U1376" s="22" t="str">
        <f aca="false">IF($X1376="","",V1376-T1376)</f>
        <v/>
      </c>
      <c r="V1376" s="22" t="str">
        <f aca="false">IF($X1376="","",O1376+R1376)</f>
        <v/>
      </c>
      <c r="W1376" s="22" t="str">
        <f aca="false">IF($X1376="","",U1376-L1376)</f>
        <v/>
      </c>
      <c r="X1376" s="24" t="str">
        <f aca="false">IF(ROWS($X$2:$X1376)&lt;=MAX('Per Line'!$AI$2:$AI$4001),MATCH(ROWS($X$2:$X1376),'Per Line'!$AI$2:$AI$4001,0),"")</f>
        <v/>
      </c>
    </row>
    <row r="1377" customFormat="false" ht="15" hidden="false" customHeight="false" outlineLevel="0" collapsed="false">
      <c r="A1377" s="19"/>
      <c r="B1377" s="20" t="str">
        <f aca="false">IF($X1377="","",INDEX('Per Line'!$D$2:$D$4001,$X1377))</f>
        <v/>
      </c>
      <c r="C1377" s="20" t="str">
        <f aca="false">IF($X1377="","",INDEX('Per Line'!$C$2:$C$4001,$X1377))</f>
        <v/>
      </c>
      <c r="D1377" s="20" t="str">
        <f aca="false">IF($X1377="","",INDEX('Per Line'!$A$2:$A$4001,$X1377))</f>
        <v/>
      </c>
      <c r="E1377" s="21" t="str">
        <f aca="false">IF($X1377="","",INDEX('Per Line'!$F$2:$F$4001,$X1377))</f>
        <v/>
      </c>
      <c r="F1377" s="20" t="str">
        <f aca="false">IF($X1377="","",INDEX('Per Line'!$G$2:$G$4001,$X1377))</f>
        <v/>
      </c>
      <c r="G1377" s="20" t="str">
        <f aca="false">IF($X1377="","",INDEX('Per Line'!$I$2:$I$4001,$X1377))</f>
        <v/>
      </c>
      <c r="H1377" s="20" t="str">
        <f aca="false">IF($X1377="","",INDEX('Per Line'!$J$2:$J$4001,$X1377))</f>
        <v/>
      </c>
      <c r="I1377" s="20" t="str">
        <f aca="false">IF($X1377="","",INDEX('Per Line'!$K$2:$K$4001,$X1377))</f>
        <v/>
      </c>
      <c r="J1377" s="20" t="str">
        <f aca="false">IF($X1377="","",INDEX('Per Line'!$L$2:$L$4001,$X1377))</f>
        <v/>
      </c>
      <c r="K1377" s="20" t="str">
        <f aca="false">IF($X1377="","",INDEX('Per Line'!$M$2:$M$4001,$X1377))</f>
        <v/>
      </c>
      <c r="L1377" s="22" t="str">
        <f aca="false">IF($X1377="","",K1377*V1377/100)</f>
        <v/>
      </c>
      <c r="M1377" s="20" t="str">
        <f aca="false">IF($X1377="","",INDEX('Per Line'!$Z$2:$Z$4001,$X1377))</f>
        <v/>
      </c>
      <c r="N1377" s="23" t="str">
        <f aca="false">IF($X1377="","",Settings!$C$7)</f>
        <v/>
      </c>
      <c r="O1377" s="22" t="str">
        <f aca="false">IF($X1377="","",SUMIFS('Per Line'!$Y$2:$Y$4001,'Per Line'!$D$2:$D$4001,$B1377,'Per Line'!$AJ$2:$AJ$4001,0))</f>
        <v/>
      </c>
      <c r="P1377" s="22" t="str">
        <f aca="false">IF($X1377="","",O1377*N1377)</f>
        <v/>
      </c>
      <c r="Q1377" s="23" t="str">
        <f aca="false">IF($X1377="","",Settings!$C$6)</f>
        <v/>
      </c>
      <c r="R1377" s="22" t="str">
        <f aca="false">IF($X1377="","",SUMIFS('Per Line'!$Y$2:$Y$4001,'Per Line'!$D$2:$D$4001,$B1377,'Per Line'!$AJ$2:$AJ$4001,1))</f>
        <v/>
      </c>
      <c r="S1377" s="22" t="str">
        <f aca="false">IF($X1377="","",R1377*Q1377)</f>
        <v/>
      </c>
      <c r="T1377" s="22" t="str">
        <f aca="false">IF($X1377="","",S1377+P1377)</f>
        <v/>
      </c>
      <c r="U1377" s="22" t="str">
        <f aca="false">IF($X1377="","",V1377-T1377)</f>
        <v/>
      </c>
      <c r="V1377" s="22" t="str">
        <f aca="false">IF($X1377="","",O1377+R1377)</f>
        <v/>
      </c>
      <c r="W1377" s="22" t="str">
        <f aca="false">IF($X1377="","",U1377-L1377)</f>
        <v/>
      </c>
      <c r="X1377" s="24" t="str">
        <f aca="false">IF(ROWS($X$2:$X1377)&lt;=MAX('Per Line'!$AI$2:$AI$4001),MATCH(ROWS($X$2:$X1377),'Per Line'!$AI$2:$AI$4001,0),"")</f>
        <v/>
      </c>
    </row>
    <row r="1378" customFormat="false" ht="15" hidden="false" customHeight="false" outlineLevel="0" collapsed="false">
      <c r="A1378" s="19"/>
      <c r="B1378" s="20" t="str">
        <f aca="false">IF($X1378="","",INDEX('Per Line'!$D$2:$D$4001,$X1378))</f>
        <v/>
      </c>
      <c r="C1378" s="20" t="str">
        <f aca="false">IF($X1378="","",INDEX('Per Line'!$C$2:$C$4001,$X1378))</f>
        <v/>
      </c>
      <c r="D1378" s="20" t="str">
        <f aca="false">IF($X1378="","",INDEX('Per Line'!$A$2:$A$4001,$X1378))</f>
        <v/>
      </c>
      <c r="E1378" s="21" t="str">
        <f aca="false">IF($X1378="","",INDEX('Per Line'!$F$2:$F$4001,$X1378))</f>
        <v/>
      </c>
      <c r="F1378" s="20" t="str">
        <f aca="false">IF($X1378="","",INDEX('Per Line'!$G$2:$G$4001,$X1378))</f>
        <v/>
      </c>
      <c r="G1378" s="20" t="str">
        <f aca="false">IF($X1378="","",INDEX('Per Line'!$I$2:$I$4001,$X1378))</f>
        <v/>
      </c>
      <c r="H1378" s="20" t="str">
        <f aca="false">IF($X1378="","",INDEX('Per Line'!$J$2:$J$4001,$X1378))</f>
        <v/>
      </c>
      <c r="I1378" s="20" t="str">
        <f aca="false">IF($X1378="","",INDEX('Per Line'!$K$2:$K$4001,$X1378))</f>
        <v/>
      </c>
      <c r="J1378" s="20" t="str">
        <f aca="false">IF($X1378="","",INDEX('Per Line'!$L$2:$L$4001,$X1378))</f>
        <v/>
      </c>
      <c r="K1378" s="20" t="str">
        <f aca="false">IF($X1378="","",INDEX('Per Line'!$M$2:$M$4001,$X1378))</f>
        <v/>
      </c>
      <c r="L1378" s="22" t="str">
        <f aca="false">IF($X1378="","",K1378*V1378/100)</f>
        <v/>
      </c>
      <c r="M1378" s="20" t="str">
        <f aca="false">IF($X1378="","",INDEX('Per Line'!$Z$2:$Z$4001,$X1378))</f>
        <v/>
      </c>
      <c r="N1378" s="23" t="str">
        <f aca="false">IF($X1378="","",Settings!$C$7)</f>
        <v/>
      </c>
      <c r="O1378" s="22" t="str">
        <f aca="false">IF($X1378="","",SUMIFS('Per Line'!$Y$2:$Y$4001,'Per Line'!$D$2:$D$4001,$B1378,'Per Line'!$AJ$2:$AJ$4001,0))</f>
        <v/>
      </c>
      <c r="P1378" s="22" t="str">
        <f aca="false">IF($X1378="","",O1378*N1378)</f>
        <v/>
      </c>
      <c r="Q1378" s="23" t="str">
        <f aca="false">IF($X1378="","",Settings!$C$6)</f>
        <v/>
      </c>
      <c r="R1378" s="22" t="str">
        <f aca="false">IF($X1378="","",SUMIFS('Per Line'!$Y$2:$Y$4001,'Per Line'!$D$2:$D$4001,$B1378,'Per Line'!$AJ$2:$AJ$4001,1))</f>
        <v/>
      </c>
      <c r="S1378" s="22" t="str">
        <f aca="false">IF($X1378="","",R1378*Q1378)</f>
        <v/>
      </c>
      <c r="T1378" s="22" t="str">
        <f aca="false">IF($X1378="","",S1378+P1378)</f>
        <v/>
      </c>
      <c r="U1378" s="22" t="str">
        <f aca="false">IF($X1378="","",V1378-T1378)</f>
        <v/>
      </c>
      <c r="V1378" s="22" t="str">
        <f aca="false">IF($X1378="","",O1378+R1378)</f>
        <v/>
      </c>
      <c r="W1378" s="22" t="str">
        <f aca="false">IF($X1378="","",U1378-L1378)</f>
        <v/>
      </c>
      <c r="X1378" s="24" t="str">
        <f aca="false">IF(ROWS($X$2:$X1378)&lt;=MAX('Per Line'!$AI$2:$AI$4001),MATCH(ROWS($X$2:$X1378),'Per Line'!$AI$2:$AI$4001,0),"")</f>
        <v/>
      </c>
    </row>
    <row r="1379" customFormat="false" ht="15" hidden="false" customHeight="false" outlineLevel="0" collapsed="false">
      <c r="A1379" s="19"/>
      <c r="B1379" s="20" t="str">
        <f aca="false">IF($X1379="","",INDEX('Per Line'!$D$2:$D$4001,$X1379))</f>
        <v/>
      </c>
      <c r="C1379" s="20" t="str">
        <f aca="false">IF($X1379="","",INDEX('Per Line'!$C$2:$C$4001,$X1379))</f>
        <v/>
      </c>
      <c r="D1379" s="20" t="str">
        <f aca="false">IF($X1379="","",INDEX('Per Line'!$A$2:$A$4001,$X1379))</f>
        <v/>
      </c>
      <c r="E1379" s="21" t="str">
        <f aca="false">IF($X1379="","",INDEX('Per Line'!$F$2:$F$4001,$X1379))</f>
        <v/>
      </c>
      <c r="F1379" s="20" t="str">
        <f aca="false">IF($X1379="","",INDEX('Per Line'!$G$2:$G$4001,$X1379))</f>
        <v/>
      </c>
      <c r="G1379" s="20" t="str">
        <f aca="false">IF($X1379="","",INDEX('Per Line'!$I$2:$I$4001,$X1379))</f>
        <v/>
      </c>
      <c r="H1379" s="20" t="str">
        <f aca="false">IF($X1379="","",INDEX('Per Line'!$J$2:$J$4001,$X1379))</f>
        <v/>
      </c>
      <c r="I1379" s="20" t="str">
        <f aca="false">IF($X1379="","",INDEX('Per Line'!$K$2:$K$4001,$X1379))</f>
        <v/>
      </c>
      <c r="J1379" s="20" t="str">
        <f aca="false">IF($X1379="","",INDEX('Per Line'!$L$2:$L$4001,$X1379))</f>
        <v/>
      </c>
      <c r="K1379" s="20" t="str">
        <f aca="false">IF($X1379="","",INDEX('Per Line'!$M$2:$M$4001,$X1379))</f>
        <v/>
      </c>
      <c r="L1379" s="22" t="str">
        <f aca="false">IF($X1379="","",K1379*V1379/100)</f>
        <v/>
      </c>
      <c r="M1379" s="20" t="str">
        <f aca="false">IF($X1379="","",INDEX('Per Line'!$Z$2:$Z$4001,$X1379))</f>
        <v/>
      </c>
      <c r="N1379" s="23" t="str">
        <f aca="false">IF($X1379="","",Settings!$C$7)</f>
        <v/>
      </c>
      <c r="O1379" s="22" t="str">
        <f aca="false">IF($X1379="","",SUMIFS('Per Line'!$Y$2:$Y$4001,'Per Line'!$D$2:$D$4001,$B1379,'Per Line'!$AJ$2:$AJ$4001,0))</f>
        <v/>
      </c>
      <c r="P1379" s="22" t="str">
        <f aca="false">IF($X1379="","",O1379*N1379)</f>
        <v/>
      </c>
      <c r="Q1379" s="23" t="str">
        <f aca="false">IF($X1379="","",Settings!$C$6)</f>
        <v/>
      </c>
      <c r="R1379" s="22" t="str">
        <f aca="false">IF($X1379="","",SUMIFS('Per Line'!$Y$2:$Y$4001,'Per Line'!$D$2:$D$4001,$B1379,'Per Line'!$AJ$2:$AJ$4001,1))</f>
        <v/>
      </c>
      <c r="S1379" s="22" t="str">
        <f aca="false">IF($X1379="","",R1379*Q1379)</f>
        <v/>
      </c>
      <c r="T1379" s="22" t="str">
        <f aca="false">IF($X1379="","",S1379+P1379)</f>
        <v/>
      </c>
      <c r="U1379" s="22" t="str">
        <f aca="false">IF($X1379="","",V1379-T1379)</f>
        <v/>
      </c>
      <c r="V1379" s="22" t="str">
        <f aca="false">IF($X1379="","",O1379+R1379)</f>
        <v/>
      </c>
      <c r="W1379" s="22" t="str">
        <f aca="false">IF($X1379="","",U1379-L1379)</f>
        <v/>
      </c>
      <c r="X1379" s="24" t="str">
        <f aca="false">IF(ROWS($X$2:$X1379)&lt;=MAX('Per Line'!$AI$2:$AI$4001),MATCH(ROWS($X$2:$X1379),'Per Line'!$AI$2:$AI$4001,0),"")</f>
        <v/>
      </c>
    </row>
    <row r="1380" customFormat="false" ht="15" hidden="false" customHeight="false" outlineLevel="0" collapsed="false">
      <c r="A1380" s="19"/>
      <c r="B1380" s="20" t="str">
        <f aca="false">IF($X1380="","",INDEX('Per Line'!$D$2:$D$4001,$X1380))</f>
        <v/>
      </c>
      <c r="C1380" s="20" t="str">
        <f aca="false">IF($X1380="","",INDEX('Per Line'!$C$2:$C$4001,$X1380))</f>
        <v/>
      </c>
      <c r="D1380" s="20" t="str">
        <f aca="false">IF($X1380="","",INDEX('Per Line'!$A$2:$A$4001,$X1380))</f>
        <v/>
      </c>
      <c r="E1380" s="21" t="str">
        <f aca="false">IF($X1380="","",INDEX('Per Line'!$F$2:$F$4001,$X1380))</f>
        <v/>
      </c>
      <c r="F1380" s="20" t="str">
        <f aca="false">IF($X1380="","",INDEX('Per Line'!$G$2:$G$4001,$X1380))</f>
        <v/>
      </c>
      <c r="G1380" s="20" t="str">
        <f aca="false">IF($X1380="","",INDEX('Per Line'!$I$2:$I$4001,$X1380))</f>
        <v/>
      </c>
      <c r="H1380" s="20" t="str">
        <f aca="false">IF($X1380="","",INDEX('Per Line'!$J$2:$J$4001,$X1380))</f>
        <v/>
      </c>
      <c r="I1380" s="20" t="str">
        <f aca="false">IF($X1380="","",INDEX('Per Line'!$K$2:$K$4001,$X1380))</f>
        <v/>
      </c>
      <c r="J1380" s="20" t="str">
        <f aca="false">IF($X1380="","",INDEX('Per Line'!$L$2:$L$4001,$X1380))</f>
        <v/>
      </c>
      <c r="K1380" s="20" t="str">
        <f aca="false">IF($X1380="","",INDEX('Per Line'!$M$2:$M$4001,$X1380))</f>
        <v/>
      </c>
      <c r="L1380" s="22" t="str">
        <f aca="false">IF($X1380="","",K1380*V1380/100)</f>
        <v/>
      </c>
      <c r="M1380" s="20" t="str">
        <f aca="false">IF($X1380="","",INDEX('Per Line'!$Z$2:$Z$4001,$X1380))</f>
        <v/>
      </c>
      <c r="N1380" s="23" t="str">
        <f aca="false">IF($X1380="","",Settings!$C$7)</f>
        <v/>
      </c>
      <c r="O1380" s="22" t="str">
        <f aca="false">IF($X1380="","",SUMIFS('Per Line'!$Y$2:$Y$4001,'Per Line'!$D$2:$D$4001,$B1380,'Per Line'!$AJ$2:$AJ$4001,0))</f>
        <v/>
      </c>
      <c r="P1380" s="22" t="str">
        <f aca="false">IF($X1380="","",O1380*N1380)</f>
        <v/>
      </c>
      <c r="Q1380" s="23" t="str">
        <f aca="false">IF($X1380="","",Settings!$C$6)</f>
        <v/>
      </c>
      <c r="R1380" s="22" t="str">
        <f aca="false">IF($X1380="","",SUMIFS('Per Line'!$Y$2:$Y$4001,'Per Line'!$D$2:$D$4001,$B1380,'Per Line'!$AJ$2:$AJ$4001,1))</f>
        <v/>
      </c>
      <c r="S1380" s="22" t="str">
        <f aca="false">IF($X1380="","",R1380*Q1380)</f>
        <v/>
      </c>
      <c r="T1380" s="22" t="str">
        <f aca="false">IF($X1380="","",S1380+P1380)</f>
        <v/>
      </c>
      <c r="U1380" s="22" t="str">
        <f aca="false">IF($X1380="","",V1380-T1380)</f>
        <v/>
      </c>
      <c r="V1380" s="22" t="str">
        <f aca="false">IF($X1380="","",O1380+R1380)</f>
        <v/>
      </c>
      <c r="W1380" s="22" t="str">
        <f aca="false">IF($X1380="","",U1380-L1380)</f>
        <v/>
      </c>
      <c r="X1380" s="24" t="str">
        <f aca="false">IF(ROWS($X$2:$X1380)&lt;=MAX('Per Line'!$AI$2:$AI$4001),MATCH(ROWS($X$2:$X1380),'Per Line'!$AI$2:$AI$4001,0),"")</f>
        <v/>
      </c>
    </row>
    <row r="1381" customFormat="false" ht="15" hidden="false" customHeight="false" outlineLevel="0" collapsed="false">
      <c r="A1381" s="19"/>
      <c r="B1381" s="20" t="str">
        <f aca="false">IF($X1381="","",INDEX('Per Line'!$D$2:$D$4001,$X1381))</f>
        <v/>
      </c>
      <c r="C1381" s="20" t="str">
        <f aca="false">IF($X1381="","",INDEX('Per Line'!$C$2:$C$4001,$X1381))</f>
        <v/>
      </c>
      <c r="D1381" s="20" t="str">
        <f aca="false">IF($X1381="","",INDEX('Per Line'!$A$2:$A$4001,$X1381))</f>
        <v/>
      </c>
      <c r="E1381" s="21" t="str">
        <f aca="false">IF($X1381="","",INDEX('Per Line'!$F$2:$F$4001,$X1381))</f>
        <v/>
      </c>
      <c r="F1381" s="20" t="str">
        <f aca="false">IF($X1381="","",INDEX('Per Line'!$G$2:$G$4001,$X1381))</f>
        <v/>
      </c>
      <c r="G1381" s="20" t="str">
        <f aca="false">IF($X1381="","",INDEX('Per Line'!$I$2:$I$4001,$X1381))</f>
        <v/>
      </c>
      <c r="H1381" s="20" t="str">
        <f aca="false">IF($X1381="","",INDEX('Per Line'!$J$2:$J$4001,$X1381))</f>
        <v/>
      </c>
      <c r="I1381" s="20" t="str">
        <f aca="false">IF($X1381="","",INDEX('Per Line'!$K$2:$K$4001,$X1381))</f>
        <v/>
      </c>
      <c r="J1381" s="20" t="str">
        <f aca="false">IF($X1381="","",INDEX('Per Line'!$L$2:$L$4001,$X1381))</f>
        <v/>
      </c>
      <c r="K1381" s="20" t="str">
        <f aca="false">IF($X1381="","",INDEX('Per Line'!$M$2:$M$4001,$X1381))</f>
        <v/>
      </c>
      <c r="L1381" s="22" t="str">
        <f aca="false">IF($X1381="","",K1381*V1381/100)</f>
        <v/>
      </c>
      <c r="M1381" s="20" t="str">
        <f aca="false">IF($X1381="","",INDEX('Per Line'!$Z$2:$Z$4001,$X1381))</f>
        <v/>
      </c>
      <c r="N1381" s="23" t="str">
        <f aca="false">IF($X1381="","",Settings!$C$7)</f>
        <v/>
      </c>
      <c r="O1381" s="22" t="str">
        <f aca="false">IF($X1381="","",SUMIFS('Per Line'!$Y$2:$Y$4001,'Per Line'!$D$2:$D$4001,$B1381,'Per Line'!$AJ$2:$AJ$4001,0))</f>
        <v/>
      </c>
      <c r="P1381" s="22" t="str">
        <f aca="false">IF($X1381="","",O1381*N1381)</f>
        <v/>
      </c>
      <c r="Q1381" s="23" t="str">
        <f aca="false">IF($X1381="","",Settings!$C$6)</f>
        <v/>
      </c>
      <c r="R1381" s="22" t="str">
        <f aca="false">IF($X1381="","",SUMIFS('Per Line'!$Y$2:$Y$4001,'Per Line'!$D$2:$D$4001,$B1381,'Per Line'!$AJ$2:$AJ$4001,1))</f>
        <v/>
      </c>
      <c r="S1381" s="22" t="str">
        <f aca="false">IF($X1381="","",R1381*Q1381)</f>
        <v/>
      </c>
      <c r="T1381" s="22" t="str">
        <f aca="false">IF($X1381="","",S1381+P1381)</f>
        <v/>
      </c>
      <c r="U1381" s="22" t="str">
        <f aca="false">IF($X1381="","",V1381-T1381)</f>
        <v/>
      </c>
      <c r="V1381" s="22" t="str">
        <f aca="false">IF($X1381="","",O1381+R1381)</f>
        <v/>
      </c>
      <c r="W1381" s="22" t="str">
        <f aca="false">IF($X1381="","",U1381-L1381)</f>
        <v/>
      </c>
      <c r="X1381" s="24" t="str">
        <f aca="false">IF(ROWS($X$2:$X1381)&lt;=MAX('Per Line'!$AI$2:$AI$4001),MATCH(ROWS($X$2:$X1381),'Per Line'!$AI$2:$AI$4001,0),"")</f>
        <v/>
      </c>
    </row>
    <row r="1382" customFormat="false" ht="15" hidden="false" customHeight="false" outlineLevel="0" collapsed="false">
      <c r="A1382" s="19"/>
      <c r="B1382" s="20" t="str">
        <f aca="false">IF($X1382="","",INDEX('Per Line'!$D$2:$D$4001,$X1382))</f>
        <v/>
      </c>
      <c r="C1382" s="20" t="str">
        <f aca="false">IF($X1382="","",INDEX('Per Line'!$C$2:$C$4001,$X1382))</f>
        <v/>
      </c>
      <c r="D1382" s="20" t="str">
        <f aca="false">IF($X1382="","",INDEX('Per Line'!$A$2:$A$4001,$X1382))</f>
        <v/>
      </c>
      <c r="E1382" s="21" t="str">
        <f aca="false">IF($X1382="","",INDEX('Per Line'!$F$2:$F$4001,$X1382))</f>
        <v/>
      </c>
      <c r="F1382" s="20" t="str">
        <f aca="false">IF($X1382="","",INDEX('Per Line'!$G$2:$G$4001,$X1382))</f>
        <v/>
      </c>
      <c r="G1382" s="20" t="str">
        <f aca="false">IF($X1382="","",INDEX('Per Line'!$I$2:$I$4001,$X1382))</f>
        <v/>
      </c>
      <c r="H1382" s="20" t="str">
        <f aca="false">IF($X1382="","",INDEX('Per Line'!$J$2:$J$4001,$X1382))</f>
        <v/>
      </c>
      <c r="I1382" s="20" t="str">
        <f aca="false">IF($X1382="","",INDEX('Per Line'!$K$2:$K$4001,$X1382))</f>
        <v/>
      </c>
      <c r="J1382" s="20" t="str">
        <f aca="false">IF($X1382="","",INDEX('Per Line'!$L$2:$L$4001,$X1382))</f>
        <v/>
      </c>
      <c r="K1382" s="20" t="str">
        <f aca="false">IF($X1382="","",INDEX('Per Line'!$M$2:$M$4001,$X1382))</f>
        <v/>
      </c>
      <c r="L1382" s="22" t="str">
        <f aca="false">IF($X1382="","",K1382*V1382/100)</f>
        <v/>
      </c>
      <c r="M1382" s="20" t="str">
        <f aca="false">IF($X1382="","",INDEX('Per Line'!$Z$2:$Z$4001,$X1382))</f>
        <v/>
      </c>
      <c r="N1382" s="23" t="str">
        <f aca="false">IF($X1382="","",Settings!$C$7)</f>
        <v/>
      </c>
      <c r="O1382" s="22" t="str">
        <f aca="false">IF($X1382="","",SUMIFS('Per Line'!$Y$2:$Y$4001,'Per Line'!$D$2:$D$4001,$B1382,'Per Line'!$AJ$2:$AJ$4001,0))</f>
        <v/>
      </c>
      <c r="P1382" s="22" t="str">
        <f aca="false">IF($X1382="","",O1382*N1382)</f>
        <v/>
      </c>
      <c r="Q1382" s="23" t="str">
        <f aca="false">IF($X1382="","",Settings!$C$6)</f>
        <v/>
      </c>
      <c r="R1382" s="22" t="str">
        <f aca="false">IF($X1382="","",SUMIFS('Per Line'!$Y$2:$Y$4001,'Per Line'!$D$2:$D$4001,$B1382,'Per Line'!$AJ$2:$AJ$4001,1))</f>
        <v/>
      </c>
      <c r="S1382" s="22" t="str">
        <f aca="false">IF($X1382="","",R1382*Q1382)</f>
        <v/>
      </c>
      <c r="T1382" s="22" t="str">
        <f aca="false">IF($X1382="","",S1382+P1382)</f>
        <v/>
      </c>
      <c r="U1382" s="22" t="str">
        <f aca="false">IF($X1382="","",V1382-T1382)</f>
        <v/>
      </c>
      <c r="V1382" s="22" t="str">
        <f aca="false">IF($X1382="","",O1382+R1382)</f>
        <v/>
      </c>
      <c r="W1382" s="22" t="str">
        <f aca="false">IF($X1382="","",U1382-L1382)</f>
        <v/>
      </c>
      <c r="X1382" s="24" t="str">
        <f aca="false">IF(ROWS($X$2:$X1382)&lt;=MAX('Per Line'!$AI$2:$AI$4001),MATCH(ROWS($X$2:$X1382),'Per Line'!$AI$2:$AI$4001,0),"")</f>
        <v/>
      </c>
    </row>
    <row r="1383" customFormat="false" ht="15" hidden="false" customHeight="false" outlineLevel="0" collapsed="false">
      <c r="A1383" s="19"/>
      <c r="B1383" s="20" t="str">
        <f aca="false">IF($X1383="","",INDEX('Per Line'!$D$2:$D$4001,$X1383))</f>
        <v/>
      </c>
      <c r="C1383" s="20" t="str">
        <f aca="false">IF($X1383="","",INDEX('Per Line'!$C$2:$C$4001,$X1383))</f>
        <v/>
      </c>
      <c r="D1383" s="20" t="str">
        <f aca="false">IF($X1383="","",INDEX('Per Line'!$A$2:$A$4001,$X1383))</f>
        <v/>
      </c>
      <c r="E1383" s="21" t="str">
        <f aca="false">IF($X1383="","",INDEX('Per Line'!$F$2:$F$4001,$X1383))</f>
        <v/>
      </c>
      <c r="F1383" s="20" t="str">
        <f aca="false">IF($X1383="","",INDEX('Per Line'!$G$2:$G$4001,$X1383))</f>
        <v/>
      </c>
      <c r="G1383" s="20" t="str">
        <f aca="false">IF($X1383="","",INDEX('Per Line'!$I$2:$I$4001,$X1383))</f>
        <v/>
      </c>
      <c r="H1383" s="20" t="str">
        <f aca="false">IF($X1383="","",INDEX('Per Line'!$J$2:$J$4001,$X1383))</f>
        <v/>
      </c>
      <c r="I1383" s="20" t="str">
        <f aca="false">IF($X1383="","",INDEX('Per Line'!$K$2:$K$4001,$X1383))</f>
        <v/>
      </c>
      <c r="J1383" s="20" t="str">
        <f aca="false">IF($X1383="","",INDEX('Per Line'!$L$2:$L$4001,$X1383))</f>
        <v/>
      </c>
      <c r="K1383" s="20" t="str">
        <f aca="false">IF($X1383="","",INDEX('Per Line'!$M$2:$M$4001,$X1383))</f>
        <v/>
      </c>
      <c r="L1383" s="22" t="str">
        <f aca="false">IF($X1383="","",K1383*V1383/100)</f>
        <v/>
      </c>
      <c r="M1383" s="20" t="str">
        <f aca="false">IF($X1383="","",INDEX('Per Line'!$Z$2:$Z$4001,$X1383))</f>
        <v/>
      </c>
      <c r="N1383" s="23" t="str">
        <f aca="false">IF($X1383="","",Settings!$C$7)</f>
        <v/>
      </c>
      <c r="O1383" s="22" t="str">
        <f aca="false">IF($X1383="","",SUMIFS('Per Line'!$Y$2:$Y$4001,'Per Line'!$D$2:$D$4001,$B1383,'Per Line'!$AJ$2:$AJ$4001,0))</f>
        <v/>
      </c>
      <c r="P1383" s="22" t="str">
        <f aca="false">IF($X1383="","",O1383*N1383)</f>
        <v/>
      </c>
      <c r="Q1383" s="23" t="str">
        <f aca="false">IF($X1383="","",Settings!$C$6)</f>
        <v/>
      </c>
      <c r="R1383" s="22" t="str">
        <f aca="false">IF($X1383="","",SUMIFS('Per Line'!$Y$2:$Y$4001,'Per Line'!$D$2:$D$4001,$B1383,'Per Line'!$AJ$2:$AJ$4001,1))</f>
        <v/>
      </c>
      <c r="S1383" s="22" t="str">
        <f aca="false">IF($X1383="","",R1383*Q1383)</f>
        <v/>
      </c>
      <c r="T1383" s="22" t="str">
        <f aca="false">IF($X1383="","",S1383+P1383)</f>
        <v/>
      </c>
      <c r="U1383" s="22" t="str">
        <f aca="false">IF($X1383="","",V1383-T1383)</f>
        <v/>
      </c>
      <c r="V1383" s="22" t="str">
        <f aca="false">IF($X1383="","",O1383+R1383)</f>
        <v/>
      </c>
      <c r="W1383" s="22" t="str">
        <f aca="false">IF($X1383="","",U1383-L1383)</f>
        <v/>
      </c>
      <c r="X1383" s="24" t="str">
        <f aca="false">IF(ROWS($X$2:$X1383)&lt;=MAX('Per Line'!$AI$2:$AI$4001),MATCH(ROWS($X$2:$X1383),'Per Line'!$AI$2:$AI$4001,0),"")</f>
        <v/>
      </c>
    </row>
    <row r="1384" customFormat="false" ht="15" hidden="false" customHeight="false" outlineLevel="0" collapsed="false">
      <c r="A1384" s="19"/>
      <c r="B1384" s="20" t="str">
        <f aca="false">IF($X1384="","",INDEX('Per Line'!$D$2:$D$4001,$X1384))</f>
        <v/>
      </c>
      <c r="C1384" s="20" t="str">
        <f aca="false">IF($X1384="","",INDEX('Per Line'!$C$2:$C$4001,$X1384))</f>
        <v/>
      </c>
      <c r="D1384" s="20" t="str">
        <f aca="false">IF($X1384="","",INDEX('Per Line'!$A$2:$A$4001,$X1384))</f>
        <v/>
      </c>
      <c r="E1384" s="21" t="str">
        <f aca="false">IF($X1384="","",INDEX('Per Line'!$F$2:$F$4001,$X1384))</f>
        <v/>
      </c>
      <c r="F1384" s="20" t="str">
        <f aca="false">IF($X1384="","",INDEX('Per Line'!$G$2:$G$4001,$X1384))</f>
        <v/>
      </c>
      <c r="G1384" s="20" t="str">
        <f aca="false">IF($X1384="","",INDEX('Per Line'!$I$2:$I$4001,$X1384))</f>
        <v/>
      </c>
      <c r="H1384" s="20" t="str">
        <f aca="false">IF($X1384="","",INDEX('Per Line'!$J$2:$J$4001,$X1384))</f>
        <v/>
      </c>
      <c r="I1384" s="20" t="str">
        <f aca="false">IF($X1384="","",INDEX('Per Line'!$K$2:$K$4001,$X1384))</f>
        <v/>
      </c>
      <c r="J1384" s="20" t="str">
        <f aca="false">IF($X1384="","",INDEX('Per Line'!$L$2:$L$4001,$X1384))</f>
        <v/>
      </c>
      <c r="K1384" s="20" t="str">
        <f aca="false">IF($X1384="","",INDEX('Per Line'!$M$2:$M$4001,$X1384))</f>
        <v/>
      </c>
      <c r="L1384" s="22" t="str">
        <f aca="false">IF($X1384="","",K1384*V1384/100)</f>
        <v/>
      </c>
      <c r="M1384" s="20" t="str">
        <f aca="false">IF($X1384="","",INDEX('Per Line'!$Z$2:$Z$4001,$X1384))</f>
        <v/>
      </c>
      <c r="N1384" s="23" t="str">
        <f aca="false">IF($X1384="","",Settings!$C$7)</f>
        <v/>
      </c>
      <c r="O1384" s="22" t="str">
        <f aca="false">IF($X1384="","",SUMIFS('Per Line'!$Y$2:$Y$4001,'Per Line'!$D$2:$D$4001,$B1384,'Per Line'!$AJ$2:$AJ$4001,0))</f>
        <v/>
      </c>
      <c r="P1384" s="22" t="str">
        <f aca="false">IF($X1384="","",O1384*N1384)</f>
        <v/>
      </c>
      <c r="Q1384" s="23" t="str">
        <f aca="false">IF($X1384="","",Settings!$C$6)</f>
        <v/>
      </c>
      <c r="R1384" s="22" t="str">
        <f aca="false">IF($X1384="","",SUMIFS('Per Line'!$Y$2:$Y$4001,'Per Line'!$D$2:$D$4001,$B1384,'Per Line'!$AJ$2:$AJ$4001,1))</f>
        <v/>
      </c>
      <c r="S1384" s="22" t="str">
        <f aca="false">IF($X1384="","",R1384*Q1384)</f>
        <v/>
      </c>
      <c r="T1384" s="22" t="str">
        <f aca="false">IF($X1384="","",S1384+P1384)</f>
        <v/>
      </c>
      <c r="U1384" s="22" t="str">
        <f aca="false">IF($X1384="","",V1384-T1384)</f>
        <v/>
      </c>
      <c r="V1384" s="22" t="str">
        <f aca="false">IF($X1384="","",O1384+R1384)</f>
        <v/>
      </c>
      <c r="W1384" s="22" t="str">
        <f aca="false">IF($X1384="","",U1384-L1384)</f>
        <v/>
      </c>
      <c r="X1384" s="24" t="str">
        <f aca="false">IF(ROWS($X$2:$X1384)&lt;=MAX('Per Line'!$AI$2:$AI$4001),MATCH(ROWS($X$2:$X1384),'Per Line'!$AI$2:$AI$4001,0),"")</f>
        <v/>
      </c>
    </row>
    <row r="1385" customFormat="false" ht="15" hidden="false" customHeight="false" outlineLevel="0" collapsed="false">
      <c r="A1385" s="19"/>
      <c r="B1385" s="20" t="str">
        <f aca="false">IF($X1385="","",INDEX('Per Line'!$D$2:$D$4001,$X1385))</f>
        <v/>
      </c>
      <c r="C1385" s="20" t="str">
        <f aca="false">IF($X1385="","",INDEX('Per Line'!$C$2:$C$4001,$X1385))</f>
        <v/>
      </c>
      <c r="D1385" s="20" t="str">
        <f aca="false">IF($X1385="","",INDEX('Per Line'!$A$2:$A$4001,$X1385))</f>
        <v/>
      </c>
      <c r="E1385" s="21" t="str">
        <f aca="false">IF($X1385="","",INDEX('Per Line'!$F$2:$F$4001,$X1385))</f>
        <v/>
      </c>
      <c r="F1385" s="20" t="str">
        <f aca="false">IF($X1385="","",INDEX('Per Line'!$G$2:$G$4001,$X1385))</f>
        <v/>
      </c>
      <c r="G1385" s="20" t="str">
        <f aca="false">IF($X1385="","",INDEX('Per Line'!$I$2:$I$4001,$X1385))</f>
        <v/>
      </c>
      <c r="H1385" s="20" t="str">
        <f aca="false">IF($X1385="","",INDEX('Per Line'!$J$2:$J$4001,$X1385))</f>
        <v/>
      </c>
      <c r="I1385" s="20" t="str">
        <f aca="false">IF($X1385="","",INDEX('Per Line'!$K$2:$K$4001,$X1385))</f>
        <v/>
      </c>
      <c r="J1385" s="20" t="str">
        <f aca="false">IF($X1385="","",INDEX('Per Line'!$L$2:$L$4001,$X1385))</f>
        <v/>
      </c>
      <c r="K1385" s="20" t="str">
        <f aca="false">IF($X1385="","",INDEX('Per Line'!$M$2:$M$4001,$X1385))</f>
        <v/>
      </c>
      <c r="L1385" s="22" t="str">
        <f aca="false">IF($X1385="","",K1385*V1385/100)</f>
        <v/>
      </c>
      <c r="M1385" s="20" t="str">
        <f aca="false">IF($X1385="","",INDEX('Per Line'!$Z$2:$Z$4001,$X1385))</f>
        <v/>
      </c>
      <c r="N1385" s="23" t="str">
        <f aca="false">IF($X1385="","",Settings!$C$7)</f>
        <v/>
      </c>
      <c r="O1385" s="22" t="str">
        <f aca="false">IF($X1385="","",SUMIFS('Per Line'!$Y$2:$Y$4001,'Per Line'!$D$2:$D$4001,$B1385,'Per Line'!$AJ$2:$AJ$4001,0))</f>
        <v/>
      </c>
      <c r="P1385" s="22" t="str">
        <f aca="false">IF($X1385="","",O1385*N1385)</f>
        <v/>
      </c>
      <c r="Q1385" s="23" t="str">
        <f aca="false">IF($X1385="","",Settings!$C$6)</f>
        <v/>
      </c>
      <c r="R1385" s="22" t="str">
        <f aca="false">IF($X1385="","",SUMIFS('Per Line'!$Y$2:$Y$4001,'Per Line'!$D$2:$D$4001,$B1385,'Per Line'!$AJ$2:$AJ$4001,1))</f>
        <v/>
      </c>
      <c r="S1385" s="22" t="str">
        <f aca="false">IF($X1385="","",R1385*Q1385)</f>
        <v/>
      </c>
      <c r="T1385" s="22" t="str">
        <f aca="false">IF($X1385="","",S1385+P1385)</f>
        <v/>
      </c>
      <c r="U1385" s="22" t="str">
        <f aca="false">IF($X1385="","",V1385-T1385)</f>
        <v/>
      </c>
      <c r="V1385" s="22" t="str">
        <f aca="false">IF($X1385="","",O1385+R1385)</f>
        <v/>
      </c>
      <c r="W1385" s="22" t="str">
        <f aca="false">IF($X1385="","",U1385-L1385)</f>
        <v/>
      </c>
      <c r="X1385" s="24" t="str">
        <f aca="false">IF(ROWS($X$2:$X1385)&lt;=MAX('Per Line'!$AI$2:$AI$4001),MATCH(ROWS($X$2:$X1385),'Per Line'!$AI$2:$AI$4001,0),"")</f>
        <v/>
      </c>
    </row>
    <row r="1386" customFormat="false" ht="15" hidden="false" customHeight="false" outlineLevel="0" collapsed="false">
      <c r="A1386" s="19"/>
      <c r="B1386" s="20" t="str">
        <f aca="false">IF($X1386="","",INDEX('Per Line'!$D$2:$D$4001,$X1386))</f>
        <v/>
      </c>
      <c r="C1386" s="20" t="str">
        <f aca="false">IF($X1386="","",INDEX('Per Line'!$C$2:$C$4001,$X1386))</f>
        <v/>
      </c>
      <c r="D1386" s="20" t="str">
        <f aca="false">IF($X1386="","",INDEX('Per Line'!$A$2:$A$4001,$X1386))</f>
        <v/>
      </c>
      <c r="E1386" s="21" t="str">
        <f aca="false">IF($X1386="","",INDEX('Per Line'!$F$2:$F$4001,$X1386))</f>
        <v/>
      </c>
      <c r="F1386" s="20" t="str">
        <f aca="false">IF($X1386="","",INDEX('Per Line'!$G$2:$G$4001,$X1386))</f>
        <v/>
      </c>
      <c r="G1386" s="20" t="str">
        <f aca="false">IF($X1386="","",INDEX('Per Line'!$I$2:$I$4001,$X1386))</f>
        <v/>
      </c>
      <c r="H1386" s="20" t="str">
        <f aca="false">IF($X1386="","",INDEX('Per Line'!$J$2:$J$4001,$X1386))</f>
        <v/>
      </c>
      <c r="I1386" s="20" t="str">
        <f aca="false">IF($X1386="","",INDEX('Per Line'!$K$2:$K$4001,$X1386))</f>
        <v/>
      </c>
      <c r="J1386" s="20" t="str">
        <f aca="false">IF($X1386="","",INDEX('Per Line'!$L$2:$L$4001,$X1386))</f>
        <v/>
      </c>
      <c r="K1386" s="20" t="str">
        <f aca="false">IF($X1386="","",INDEX('Per Line'!$M$2:$M$4001,$X1386))</f>
        <v/>
      </c>
      <c r="L1386" s="22" t="str">
        <f aca="false">IF($X1386="","",K1386*V1386/100)</f>
        <v/>
      </c>
      <c r="M1386" s="20" t="str">
        <f aca="false">IF($X1386="","",INDEX('Per Line'!$Z$2:$Z$4001,$X1386))</f>
        <v/>
      </c>
      <c r="N1386" s="23" t="str">
        <f aca="false">IF($X1386="","",Settings!$C$7)</f>
        <v/>
      </c>
      <c r="O1386" s="22" t="str">
        <f aca="false">IF($X1386="","",SUMIFS('Per Line'!$Y$2:$Y$4001,'Per Line'!$D$2:$D$4001,$B1386,'Per Line'!$AJ$2:$AJ$4001,0))</f>
        <v/>
      </c>
      <c r="P1386" s="22" t="str">
        <f aca="false">IF($X1386="","",O1386*N1386)</f>
        <v/>
      </c>
      <c r="Q1386" s="23" t="str">
        <f aca="false">IF($X1386="","",Settings!$C$6)</f>
        <v/>
      </c>
      <c r="R1386" s="22" t="str">
        <f aca="false">IF($X1386="","",SUMIFS('Per Line'!$Y$2:$Y$4001,'Per Line'!$D$2:$D$4001,$B1386,'Per Line'!$AJ$2:$AJ$4001,1))</f>
        <v/>
      </c>
      <c r="S1386" s="22" t="str">
        <f aca="false">IF($X1386="","",R1386*Q1386)</f>
        <v/>
      </c>
      <c r="T1386" s="22" t="str">
        <f aca="false">IF($X1386="","",S1386+P1386)</f>
        <v/>
      </c>
      <c r="U1386" s="22" t="str">
        <f aca="false">IF($X1386="","",V1386-T1386)</f>
        <v/>
      </c>
      <c r="V1386" s="22" t="str">
        <f aca="false">IF($X1386="","",O1386+R1386)</f>
        <v/>
      </c>
      <c r="W1386" s="22" t="str">
        <f aca="false">IF($X1386="","",U1386-L1386)</f>
        <v/>
      </c>
      <c r="X1386" s="24" t="str">
        <f aca="false">IF(ROWS($X$2:$X1386)&lt;=MAX('Per Line'!$AI$2:$AI$4001),MATCH(ROWS($X$2:$X1386),'Per Line'!$AI$2:$AI$4001,0),"")</f>
        <v/>
      </c>
    </row>
    <row r="1387" customFormat="false" ht="15" hidden="false" customHeight="false" outlineLevel="0" collapsed="false">
      <c r="A1387" s="19"/>
      <c r="B1387" s="20" t="str">
        <f aca="false">IF($X1387="","",INDEX('Per Line'!$D$2:$D$4001,$X1387))</f>
        <v/>
      </c>
      <c r="C1387" s="20" t="str">
        <f aca="false">IF($X1387="","",INDEX('Per Line'!$C$2:$C$4001,$X1387))</f>
        <v/>
      </c>
      <c r="D1387" s="20" t="str">
        <f aca="false">IF($X1387="","",INDEX('Per Line'!$A$2:$A$4001,$X1387))</f>
        <v/>
      </c>
      <c r="E1387" s="21" t="str">
        <f aca="false">IF($X1387="","",INDEX('Per Line'!$F$2:$F$4001,$X1387))</f>
        <v/>
      </c>
      <c r="F1387" s="20" t="str">
        <f aca="false">IF($X1387="","",INDEX('Per Line'!$G$2:$G$4001,$X1387))</f>
        <v/>
      </c>
      <c r="G1387" s="20" t="str">
        <f aca="false">IF($X1387="","",INDEX('Per Line'!$I$2:$I$4001,$X1387))</f>
        <v/>
      </c>
      <c r="H1387" s="20" t="str">
        <f aca="false">IF($X1387="","",INDEX('Per Line'!$J$2:$J$4001,$X1387))</f>
        <v/>
      </c>
      <c r="I1387" s="20" t="str">
        <f aca="false">IF($X1387="","",INDEX('Per Line'!$K$2:$K$4001,$X1387))</f>
        <v/>
      </c>
      <c r="J1387" s="20" t="str">
        <f aca="false">IF($X1387="","",INDEX('Per Line'!$L$2:$L$4001,$X1387))</f>
        <v/>
      </c>
      <c r="K1387" s="20" t="str">
        <f aca="false">IF($X1387="","",INDEX('Per Line'!$M$2:$M$4001,$X1387))</f>
        <v/>
      </c>
      <c r="L1387" s="22" t="str">
        <f aca="false">IF($X1387="","",K1387*V1387/100)</f>
        <v/>
      </c>
      <c r="M1387" s="20" t="str">
        <f aca="false">IF($X1387="","",INDEX('Per Line'!$Z$2:$Z$4001,$X1387))</f>
        <v/>
      </c>
      <c r="N1387" s="23" t="str">
        <f aca="false">IF($X1387="","",Settings!$C$7)</f>
        <v/>
      </c>
      <c r="O1387" s="22" t="str">
        <f aca="false">IF($X1387="","",SUMIFS('Per Line'!$Y$2:$Y$4001,'Per Line'!$D$2:$D$4001,$B1387,'Per Line'!$AJ$2:$AJ$4001,0))</f>
        <v/>
      </c>
      <c r="P1387" s="22" t="str">
        <f aca="false">IF($X1387="","",O1387*N1387)</f>
        <v/>
      </c>
      <c r="Q1387" s="23" t="str">
        <f aca="false">IF($X1387="","",Settings!$C$6)</f>
        <v/>
      </c>
      <c r="R1387" s="22" t="str">
        <f aca="false">IF($X1387="","",SUMIFS('Per Line'!$Y$2:$Y$4001,'Per Line'!$D$2:$D$4001,$B1387,'Per Line'!$AJ$2:$AJ$4001,1))</f>
        <v/>
      </c>
      <c r="S1387" s="22" t="str">
        <f aca="false">IF($X1387="","",R1387*Q1387)</f>
        <v/>
      </c>
      <c r="T1387" s="22" t="str">
        <f aca="false">IF($X1387="","",S1387+P1387)</f>
        <v/>
      </c>
      <c r="U1387" s="22" t="str">
        <f aca="false">IF($X1387="","",V1387-T1387)</f>
        <v/>
      </c>
      <c r="V1387" s="22" t="str">
        <f aca="false">IF($X1387="","",O1387+R1387)</f>
        <v/>
      </c>
      <c r="W1387" s="22" t="str">
        <f aca="false">IF($X1387="","",U1387-L1387)</f>
        <v/>
      </c>
      <c r="X1387" s="24" t="str">
        <f aca="false">IF(ROWS($X$2:$X1387)&lt;=MAX('Per Line'!$AI$2:$AI$4001),MATCH(ROWS($X$2:$X1387),'Per Line'!$AI$2:$AI$4001,0),"")</f>
        <v/>
      </c>
    </row>
    <row r="1388" customFormat="false" ht="15" hidden="false" customHeight="false" outlineLevel="0" collapsed="false">
      <c r="A1388" s="19"/>
      <c r="B1388" s="20" t="str">
        <f aca="false">IF($X1388="","",INDEX('Per Line'!$D$2:$D$4001,$X1388))</f>
        <v/>
      </c>
      <c r="C1388" s="20" t="str">
        <f aca="false">IF($X1388="","",INDEX('Per Line'!$C$2:$C$4001,$X1388))</f>
        <v/>
      </c>
      <c r="D1388" s="20" t="str">
        <f aca="false">IF($X1388="","",INDEX('Per Line'!$A$2:$A$4001,$X1388))</f>
        <v/>
      </c>
      <c r="E1388" s="21" t="str">
        <f aca="false">IF($X1388="","",INDEX('Per Line'!$F$2:$F$4001,$X1388))</f>
        <v/>
      </c>
      <c r="F1388" s="20" t="str">
        <f aca="false">IF($X1388="","",INDEX('Per Line'!$G$2:$G$4001,$X1388))</f>
        <v/>
      </c>
      <c r="G1388" s="20" t="str">
        <f aca="false">IF($X1388="","",INDEX('Per Line'!$I$2:$I$4001,$X1388))</f>
        <v/>
      </c>
      <c r="H1388" s="20" t="str">
        <f aca="false">IF($X1388="","",INDEX('Per Line'!$J$2:$J$4001,$X1388))</f>
        <v/>
      </c>
      <c r="I1388" s="20" t="str">
        <f aca="false">IF($X1388="","",INDEX('Per Line'!$K$2:$K$4001,$X1388))</f>
        <v/>
      </c>
      <c r="J1388" s="20" t="str">
        <f aca="false">IF($X1388="","",INDEX('Per Line'!$L$2:$L$4001,$X1388))</f>
        <v/>
      </c>
      <c r="K1388" s="20" t="str">
        <f aca="false">IF($X1388="","",INDEX('Per Line'!$M$2:$M$4001,$X1388))</f>
        <v/>
      </c>
      <c r="L1388" s="22" t="str">
        <f aca="false">IF($X1388="","",K1388*V1388/100)</f>
        <v/>
      </c>
      <c r="M1388" s="20" t="str">
        <f aca="false">IF($X1388="","",INDEX('Per Line'!$Z$2:$Z$4001,$X1388))</f>
        <v/>
      </c>
      <c r="N1388" s="23" t="str">
        <f aca="false">IF($X1388="","",Settings!$C$7)</f>
        <v/>
      </c>
      <c r="O1388" s="22" t="str">
        <f aca="false">IF($X1388="","",SUMIFS('Per Line'!$Y$2:$Y$4001,'Per Line'!$D$2:$D$4001,$B1388,'Per Line'!$AJ$2:$AJ$4001,0))</f>
        <v/>
      </c>
      <c r="P1388" s="22" t="str">
        <f aca="false">IF($X1388="","",O1388*N1388)</f>
        <v/>
      </c>
      <c r="Q1388" s="23" t="str">
        <f aca="false">IF($X1388="","",Settings!$C$6)</f>
        <v/>
      </c>
      <c r="R1388" s="22" t="str">
        <f aca="false">IF($X1388="","",SUMIFS('Per Line'!$Y$2:$Y$4001,'Per Line'!$D$2:$D$4001,$B1388,'Per Line'!$AJ$2:$AJ$4001,1))</f>
        <v/>
      </c>
      <c r="S1388" s="22" t="str">
        <f aca="false">IF($X1388="","",R1388*Q1388)</f>
        <v/>
      </c>
      <c r="T1388" s="22" t="str">
        <f aca="false">IF($X1388="","",S1388+P1388)</f>
        <v/>
      </c>
      <c r="U1388" s="22" t="str">
        <f aca="false">IF($X1388="","",V1388-T1388)</f>
        <v/>
      </c>
      <c r="V1388" s="22" t="str">
        <f aca="false">IF($X1388="","",O1388+R1388)</f>
        <v/>
      </c>
      <c r="W1388" s="22" t="str">
        <f aca="false">IF($X1388="","",U1388-L1388)</f>
        <v/>
      </c>
      <c r="X1388" s="24" t="str">
        <f aca="false">IF(ROWS($X$2:$X1388)&lt;=MAX('Per Line'!$AI$2:$AI$4001),MATCH(ROWS($X$2:$X1388),'Per Line'!$AI$2:$AI$4001,0),"")</f>
        <v/>
      </c>
    </row>
    <row r="1389" customFormat="false" ht="15" hidden="false" customHeight="false" outlineLevel="0" collapsed="false">
      <c r="A1389" s="19"/>
      <c r="B1389" s="20" t="str">
        <f aca="false">IF($X1389="","",INDEX('Per Line'!$D$2:$D$4001,$X1389))</f>
        <v/>
      </c>
      <c r="C1389" s="20" t="str">
        <f aca="false">IF($X1389="","",INDEX('Per Line'!$C$2:$C$4001,$X1389))</f>
        <v/>
      </c>
      <c r="D1389" s="20" t="str">
        <f aca="false">IF($X1389="","",INDEX('Per Line'!$A$2:$A$4001,$X1389))</f>
        <v/>
      </c>
      <c r="E1389" s="21" t="str">
        <f aca="false">IF($X1389="","",INDEX('Per Line'!$F$2:$F$4001,$X1389))</f>
        <v/>
      </c>
      <c r="F1389" s="20" t="str">
        <f aca="false">IF($X1389="","",INDEX('Per Line'!$G$2:$G$4001,$X1389))</f>
        <v/>
      </c>
      <c r="G1389" s="20" t="str">
        <f aca="false">IF($X1389="","",INDEX('Per Line'!$I$2:$I$4001,$X1389))</f>
        <v/>
      </c>
      <c r="H1389" s="20" t="str">
        <f aca="false">IF($X1389="","",INDEX('Per Line'!$J$2:$J$4001,$X1389))</f>
        <v/>
      </c>
      <c r="I1389" s="20" t="str">
        <f aca="false">IF($X1389="","",INDEX('Per Line'!$K$2:$K$4001,$X1389))</f>
        <v/>
      </c>
      <c r="J1389" s="20" t="str">
        <f aca="false">IF($X1389="","",INDEX('Per Line'!$L$2:$L$4001,$X1389))</f>
        <v/>
      </c>
      <c r="K1389" s="20" t="str">
        <f aca="false">IF($X1389="","",INDEX('Per Line'!$M$2:$M$4001,$X1389))</f>
        <v/>
      </c>
      <c r="L1389" s="22" t="str">
        <f aca="false">IF($X1389="","",K1389*V1389/100)</f>
        <v/>
      </c>
      <c r="M1389" s="20" t="str">
        <f aca="false">IF($X1389="","",INDEX('Per Line'!$Z$2:$Z$4001,$X1389))</f>
        <v/>
      </c>
      <c r="N1389" s="23" t="str">
        <f aca="false">IF($X1389="","",Settings!$C$7)</f>
        <v/>
      </c>
      <c r="O1389" s="22" t="str">
        <f aca="false">IF($X1389="","",SUMIFS('Per Line'!$Y$2:$Y$4001,'Per Line'!$D$2:$D$4001,$B1389,'Per Line'!$AJ$2:$AJ$4001,0))</f>
        <v/>
      </c>
      <c r="P1389" s="22" t="str">
        <f aca="false">IF($X1389="","",O1389*N1389)</f>
        <v/>
      </c>
      <c r="Q1389" s="23" t="str">
        <f aca="false">IF($X1389="","",Settings!$C$6)</f>
        <v/>
      </c>
      <c r="R1389" s="22" t="str">
        <f aca="false">IF($X1389="","",SUMIFS('Per Line'!$Y$2:$Y$4001,'Per Line'!$D$2:$D$4001,$B1389,'Per Line'!$AJ$2:$AJ$4001,1))</f>
        <v/>
      </c>
      <c r="S1389" s="22" t="str">
        <f aca="false">IF($X1389="","",R1389*Q1389)</f>
        <v/>
      </c>
      <c r="T1389" s="22" t="str">
        <f aca="false">IF($X1389="","",S1389+P1389)</f>
        <v/>
      </c>
      <c r="U1389" s="22" t="str">
        <f aca="false">IF($X1389="","",V1389-T1389)</f>
        <v/>
      </c>
      <c r="V1389" s="22" t="str">
        <f aca="false">IF($X1389="","",O1389+R1389)</f>
        <v/>
      </c>
      <c r="W1389" s="22" t="str">
        <f aca="false">IF($X1389="","",U1389-L1389)</f>
        <v/>
      </c>
      <c r="X1389" s="24" t="str">
        <f aca="false">IF(ROWS($X$2:$X1389)&lt;=MAX('Per Line'!$AI$2:$AI$4001),MATCH(ROWS($X$2:$X1389),'Per Line'!$AI$2:$AI$4001,0),"")</f>
        <v/>
      </c>
    </row>
    <row r="1390" customFormat="false" ht="15" hidden="false" customHeight="false" outlineLevel="0" collapsed="false">
      <c r="A1390" s="19"/>
      <c r="B1390" s="20" t="str">
        <f aca="false">IF($X1390="","",INDEX('Per Line'!$D$2:$D$4001,$X1390))</f>
        <v/>
      </c>
      <c r="C1390" s="20" t="str">
        <f aca="false">IF($X1390="","",INDEX('Per Line'!$C$2:$C$4001,$X1390))</f>
        <v/>
      </c>
      <c r="D1390" s="20" t="str">
        <f aca="false">IF($X1390="","",INDEX('Per Line'!$A$2:$A$4001,$X1390))</f>
        <v/>
      </c>
      <c r="E1390" s="21" t="str">
        <f aca="false">IF($X1390="","",INDEX('Per Line'!$F$2:$F$4001,$X1390))</f>
        <v/>
      </c>
      <c r="F1390" s="20" t="str">
        <f aca="false">IF($X1390="","",INDEX('Per Line'!$G$2:$G$4001,$X1390))</f>
        <v/>
      </c>
      <c r="G1390" s="20" t="str">
        <f aca="false">IF($X1390="","",INDEX('Per Line'!$I$2:$I$4001,$X1390))</f>
        <v/>
      </c>
      <c r="H1390" s="20" t="str">
        <f aca="false">IF($X1390="","",INDEX('Per Line'!$J$2:$J$4001,$X1390))</f>
        <v/>
      </c>
      <c r="I1390" s="20" t="str">
        <f aca="false">IF($X1390="","",INDEX('Per Line'!$K$2:$K$4001,$X1390))</f>
        <v/>
      </c>
      <c r="J1390" s="20" t="str">
        <f aca="false">IF($X1390="","",INDEX('Per Line'!$L$2:$L$4001,$X1390))</f>
        <v/>
      </c>
      <c r="K1390" s="20" t="str">
        <f aca="false">IF($X1390="","",INDEX('Per Line'!$M$2:$M$4001,$X1390))</f>
        <v/>
      </c>
      <c r="L1390" s="22" t="str">
        <f aca="false">IF($X1390="","",K1390*V1390/100)</f>
        <v/>
      </c>
      <c r="M1390" s="20" t="str">
        <f aca="false">IF($X1390="","",INDEX('Per Line'!$Z$2:$Z$4001,$X1390))</f>
        <v/>
      </c>
      <c r="N1390" s="23" t="str">
        <f aca="false">IF($X1390="","",Settings!$C$7)</f>
        <v/>
      </c>
      <c r="O1390" s="22" t="str">
        <f aca="false">IF($X1390="","",SUMIFS('Per Line'!$Y$2:$Y$4001,'Per Line'!$D$2:$D$4001,$B1390,'Per Line'!$AJ$2:$AJ$4001,0))</f>
        <v/>
      </c>
      <c r="P1390" s="22" t="str">
        <f aca="false">IF($X1390="","",O1390*N1390)</f>
        <v/>
      </c>
      <c r="Q1390" s="23" t="str">
        <f aca="false">IF($X1390="","",Settings!$C$6)</f>
        <v/>
      </c>
      <c r="R1390" s="22" t="str">
        <f aca="false">IF($X1390="","",SUMIFS('Per Line'!$Y$2:$Y$4001,'Per Line'!$D$2:$D$4001,$B1390,'Per Line'!$AJ$2:$AJ$4001,1))</f>
        <v/>
      </c>
      <c r="S1390" s="22" t="str">
        <f aca="false">IF($X1390="","",R1390*Q1390)</f>
        <v/>
      </c>
      <c r="T1390" s="22" t="str">
        <f aca="false">IF($X1390="","",S1390+P1390)</f>
        <v/>
      </c>
      <c r="U1390" s="22" t="str">
        <f aca="false">IF($X1390="","",V1390-T1390)</f>
        <v/>
      </c>
      <c r="V1390" s="22" t="str">
        <f aca="false">IF($X1390="","",O1390+R1390)</f>
        <v/>
      </c>
      <c r="W1390" s="22" t="str">
        <f aca="false">IF($X1390="","",U1390-L1390)</f>
        <v/>
      </c>
      <c r="X1390" s="24" t="str">
        <f aca="false">IF(ROWS($X$2:$X1390)&lt;=MAX('Per Line'!$AI$2:$AI$4001),MATCH(ROWS($X$2:$X1390),'Per Line'!$AI$2:$AI$4001,0),"")</f>
        <v/>
      </c>
    </row>
    <row r="1391" customFormat="false" ht="15" hidden="false" customHeight="false" outlineLevel="0" collapsed="false">
      <c r="A1391" s="19"/>
      <c r="B1391" s="20" t="str">
        <f aca="false">IF($X1391="","",INDEX('Per Line'!$D$2:$D$4001,$X1391))</f>
        <v/>
      </c>
      <c r="C1391" s="20" t="str">
        <f aca="false">IF($X1391="","",INDEX('Per Line'!$C$2:$C$4001,$X1391))</f>
        <v/>
      </c>
      <c r="D1391" s="20" t="str">
        <f aca="false">IF($X1391="","",INDEX('Per Line'!$A$2:$A$4001,$X1391))</f>
        <v/>
      </c>
      <c r="E1391" s="21" t="str">
        <f aca="false">IF($X1391="","",INDEX('Per Line'!$F$2:$F$4001,$X1391))</f>
        <v/>
      </c>
      <c r="F1391" s="20" t="str">
        <f aca="false">IF($X1391="","",INDEX('Per Line'!$G$2:$G$4001,$X1391))</f>
        <v/>
      </c>
      <c r="G1391" s="20" t="str">
        <f aca="false">IF($X1391="","",INDEX('Per Line'!$I$2:$I$4001,$X1391))</f>
        <v/>
      </c>
      <c r="H1391" s="20" t="str">
        <f aca="false">IF($X1391="","",INDEX('Per Line'!$J$2:$J$4001,$X1391))</f>
        <v/>
      </c>
      <c r="I1391" s="20" t="str">
        <f aca="false">IF($X1391="","",INDEX('Per Line'!$K$2:$K$4001,$X1391))</f>
        <v/>
      </c>
      <c r="J1391" s="20" t="str">
        <f aca="false">IF($X1391="","",INDEX('Per Line'!$L$2:$L$4001,$X1391))</f>
        <v/>
      </c>
      <c r="K1391" s="20" t="str">
        <f aca="false">IF($X1391="","",INDEX('Per Line'!$M$2:$M$4001,$X1391))</f>
        <v/>
      </c>
      <c r="L1391" s="22" t="str">
        <f aca="false">IF($X1391="","",K1391*V1391/100)</f>
        <v/>
      </c>
      <c r="M1391" s="20" t="str">
        <f aca="false">IF($X1391="","",INDEX('Per Line'!$Z$2:$Z$4001,$X1391))</f>
        <v/>
      </c>
      <c r="N1391" s="23" t="str">
        <f aca="false">IF($X1391="","",Settings!$C$7)</f>
        <v/>
      </c>
      <c r="O1391" s="22" t="str">
        <f aca="false">IF($X1391="","",SUMIFS('Per Line'!$Y$2:$Y$4001,'Per Line'!$D$2:$D$4001,$B1391,'Per Line'!$AJ$2:$AJ$4001,0))</f>
        <v/>
      </c>
      <c r="P1391" s="22" t="str">
        <f aca="false">IF($X1391="","",O1391*N1391)</f>
        <v/>
      </c>
      <c r="Q1391" s="23" t="str">
        <f aca="false">IF($X1391="","",Settings!$C$6)</f>
        <v/>
      </c>
      <c r="R1391" s="22" t="str">
        <f aca="false">IF($X1391="","",SUMIFS('Per Line'!$Y$2:$Y$4001,'Per Line'!$D$2:$D$4001,$B1391,'Per Line'!$AJ$2:$AJ$4001,1))</f>
        <v/>
      </c>
      <c r="S1391" s="22" t="str">
        <f aca="false">IF($X1391="","",R1391*Q1391)</f>
        <v/>
      </c>
      <c r="T1391" s="22" t="str">
        <f aca="false">IF($X1391="","",S1391+P1391)</f>
        <v/>
      </c>
      <c r="U1391" s="22" t="str">
        <f aca="false">IF($X1391="","",V1391-T1391)</f>
        <v/>
      </c>
      <c r="V1391" s="22" t="str">
        <f aca="false">IF($X1391="","",O1391+R1391)</f>
        <v/>
      </c>
      <c r="W1391" s="22" t="str">
        <f aca="false">IF($X1391="","",U1391-L1391)</f>
        <v/>
      </c>
      <c r="X1391" s="24" t="str">
        <f aca="false">IF(ROWS($X$2:$X1391)&lt;=MAX('Per Line'!$AI$2:$AI$4001),MATCH(ROWS($X$2:$X1391),'Per Line'!$AI$2:$AI$4001,0),"")</f>
        <v/>
      </c>
    </row>
    <row r="1392" customFormat="false" ht="15" hidden="false" customHeight="false" outlineLevel="0" collapsed="false">
      <c r="A1392" s="19"/>
      <c r="B1392" s="20" t="str">
        <f aca="false">IF($X1392="","",INDEX('Per Line'!$D$2:$D$4001,$X1392))</f>
        <v/>
      </c>
      <c r="C1392" s="20" t="str">
        <f aca="false">IF($X1392="","",INDEX('Per Line'!$C$2:$C$4001,$X1392))</f>
        <v/>
      </c>
      <c r="D1392" s="20" t="str">
        <f aca="false">IF($X1392="","",INDEX('Per Line'!$A$2:$A$4001,$X1392))</f>
        <v/>
      </c>
      <c r="E1392" s="21" t="str">
        <f aca="false">IF($X1392="","",INDEX('Per Line'!$F$2:$F$4001,$X1392))</f>
        <v/>
      </c>
      <c r="F1392" s="20" t="str">
        <f aca="false">IF($X1392="","",INDEX('Per Line'!$G$2:$G$4001,$X1392))</f>
        <v/>
      </c>
      <c r="G1392" s="20" t="str">
        <f aca="false">IF($X1392="","",INDEX('Per Line'!$I$2:$I$4001,$X1392))</f>
        <v/>
      </c>
      <c r="H1392" s="20" t="str">
        <f aca="false">IF($X1392="","",INDEX('Per Line'!$J$2:$J$4001,$X1392))</f>
        <v/>
      </c>
      <c r="I1392" s="20" t="str">
        <f aca="false">IF($X1392="","",INDEX('Per Line'!$K$2:$K$4001,$X1392))</f>
        <v/>
      </c>
      <c r="J1392" s="20" t="str">
        <f aca="false">IF($X1392="","",INDEX('Per Line'!$L$2:$L$4001,$X1392))</f>
        <v/>
      </c>
      <c r="K1392" s="20" t="str">
        <f aca="false">IF($X1392="","",INDEX('Per Line'!$M$2:$M$4001,$X1392))</f>
        <v/>
      </c>
      <c r="L1392" s="22" t="str">
        <f aca="false">IF($X1392="","",K1392*V1392/100)</f>
        <v/>
      </c>
      <c r="M1392" s="20" t="str">
        <f aca="false">IF($X1392="","",INDEX('Per Line'!$Z$2:$Z$4001,$X1392))</f>
        <v/>
      </c>
      <c r="N1392" s="23" t="str">
        <f aca="false">IF($X1392="","",Settings!$C$7)</f>
        <v/>
      </c>
      <c r="O1392" s="22" t="str">
        <f aca="false">IF($X1392="","",SUMIFS('Per Line'!$Y$2:$Y$4001,'Per Line'!$D$2:$D$4001,$B1392,'Per Line'!$AJ$2:$AJ$4001,0))</f>
        <v/>
      </c>
      <c r="P1392" s="22" t="str">
        <f aca="false">IF($X1392="","",O1392*N1392)</f>
        <v/>
      </c>
      <c r="Q1392" s="23" t="str">
        <f aca="false">IF($X1392="","",Settings!$C$6)</f>
        <v/>
      </c>
      <c r="R1392" s="22" t="str">
        <f aca="false">IF($X1392="","",SUMIFS('Per Line'!$Y$2:$Y$4001,'Per Line'!$D$2:$D$4001,$B1392,'Per Line'!$AJ$2:$AJ$4001,1))</f>
        <v/>
      </c>
      <c r="S1392" s="22" t="str">
        <f aca="false">IF($X1392="","",R1392*Q1392)</f>
        <v/>
      </c>
      <c r="T1392" s="22" t="str">
        <f aca="false">IF($X1392="","",S1392+P1392)</f>
        <v/>
      </c>
      <c r="U1392" s="22" t="str">
        <f aca="false">IF($X1392="","",V1392-T1392)</f>
        <v/>
      </c>
      <c r="V1392" s="22" t="str">
        <f aca="false">IF($X1392="","",O1392+R1392)</f>
        <v/>
      </c>
      <c r="W1392" s="22" t="str">
        <f aca="false">IF($X1392="","",U1392-L1392)</f>
        <v/>
      </c>
      <c r="X1392" s="24" t="str">
        <f aca="false">IF(ROWS($X$2:$X1392)&lt;=MAX('Per Line'!$AI$2:$AI$4001),MATCH(ROWS($X$2:$X1392),'Per Line'!$AI$2:$AI$4001,0),"")</f>
        <v/>
      </c>
    </row>
    <row r="1393" customFormat="false" ht="15" hidden="false" customHeight="false" outlineLevel="0" collapsed="false">
      <c r="A1393" s="19"/>
      <c r="B1393" s="20" t="str">
        <f aca="false">IF($X1393="","",INDEX('Per Line'!$D$2:$D$4001,$X1393))</f>
        <v/>
      </c>
      <c r="C1393" s="20" t="str">
        <f aca="false">IF($X1393="","",INDEX('Per Line'!$C$2:$C$4001,$X1393))</f>
        <v/>
      </c>
      <c r="D1393" s="20" t="str">
        <f aca="false">IF($X1393="","",INDEX('Per Line'!$A$2:$A$4001,$X1393))</f>
        <v/>
      </c>
      <c r="E1393" s="21" t="str">
        <f aca="false">IF($X1393="","",INDEX('Per Line'!$F$2:$F$4001,$X1393))</f>
        <v/>
      </c>
      <c r="F1393" s="20" t="str">
        <f aca="false">IF($X1393="","",INDEX('Per Line'!$G$2:$G$4001,$X1393))</f>
        <v/>
      </c>
      <c r="G1393" s="20" t="str">
        <f aca="false">IF($X1393="","",INDEX('Per Line'!$I$2:$I$4001,$X1393))</f>
        <v/>
      </c>
      <c r="H1393" s="20" t="str">
        <f aca="false">IF($X1393="","",INDEX('Per Line'!$J$2:$J$4001,$X1393))</f>
        <v/>
      </c>
      <c r="I1393" s="20" t="str">
        <f aca="false">IF($X1393="","",INDEX('Per Line'!$K$2:$K$4001,$X1393))</f>
        <v/>
      </c>
      <c r="J1393" s="20" t="str">
        <f aca="false">IF($X1393="","",INDEX('Per Line'!$L$2:$L$4001,$X1393))</f>
        <v/>
      </c>
      <c r="K1393" s="20" t="str">
        <f aca="false">IF($X1393="","",INDEX('Per Line'!$M$2:$M$4001,$X1393))</f>
        <v/>
      </c>
      <c r="L1393" s="22" t="str">
        <f aca="false">IF($X1393="","",K1393*V1393/100)</f>
        <v/>
      </c>
      <c r="M1393" s="20" t="str">
        <f aca="false">IF($X1393="","",INDEX('Per Line'!$Z$2:$Z$4001,$X1393))</f>
        <v/>
      </c>
      <c r="N1393" s="23" t="str">
        <f aca="false">IF($X1393="","",Settings!$C$7)</f>
        <v/>
      </c>
      <c r="O1393" s="22" t="str">
        <f aca="false">IF($X1393="","",SUMIFS('Per Line'!$Y$2:$Y$4001,'Per Line'!$D$2:$D$4001,$B1393,'Per Line'!$AJ$2:$AJ$4001,0))</f>
        <v/>
      </c>
      <c r="P1393" s="22" t="str">
        <f aca="false">IF($X1393="","",O1393*N1393)</f>
        <v/>
      </c>
      <c r="Q1393" s="23" t="str">
        <f aca="false">IF($X1393="","",Settings!$C$6)</f>
        <v/>
      </c>
      <c r="R1393" s="22" t="str">
        <f aca="false">IF($X1393="","",SUMIFS('Per Line'!$Y$2:$Y$4001,'Per Line'!$D$2:$D$4001,$B1393,'Per Line'!$AJ$2:$AJ$4001,1))</f>
        <v/>
      </c>
      <c r="S1393" s="22" t="str">
        <f aca="false">IF($X1393="","",R1393*Q1393)</f>
        <v/>
      </c>
      <c r="T1393" s="22" t="str">
        <f aca="false">IF($X1393="","",S1393+P1393)</f>
        <v/>
      </c>
      <c r="U1393" s="22" t="str">
        <f aca="false">IF($X1393="","",V1393-T1393)</f>
        <v/>
      </c>
      <c r="V1393" s="22" t="str">
        <f aca="false">IF($X1393="","",O1393+R1393)</f>
        <v/>
      </c>
      <c r="W1393" s="22" t="str">
        <f aca="false">IF($X1393="","",U1393-L1393)</f>
        <v/>
      </c>
      <c r="X1393" s="24" t="str">
        <f aca="false">IF(ROWS($X$2:$X1393)&lt;=MAX('Per Line'!$AI$2:$AI$4001),MATCH(ROWS($X$2:$X1393),'Per Line'!$AI$2:$AI$4001,0),"")</f>
        <v/>
      </c>
    </row>
    <row r="1394" customFormat="false" ht="15" hidden="false" customHeight="false" outlineLevel="0" collapsed="false">
      <c r="A1394" s="19"/>
      <c r="B1394" s="20" t="str">
        <f aca="false">IF($X1394="","",INDEX('Per Line'!$D$2:$D$4001,$X1394))</f>
        <v/>
      </c>
      <c r="C1394" s="20" t="str">
        <f aca="false">IF($X1394="","",INDEX('Per Line'!$C$2:$C$4001,$X1394))</f>
        <v/>
      </c>
      <c r="D1394" s="20" t="str">
        <f aca="false">IF($X1394="","",INDEX('Per Line'!$A$2:$A$4001,$X1394))</f>
        <v/>
      </c>
      <c r="E1394" s="21" t="str">
        <f aca="false">IF($X1394="","",INDEX('Per Line'!$F$2:$F$4001,$X1394))</f>
        <v/>
      </c>
      <c r="F1394" s="20" t="str">
        <f aca="false">IF($X1394="","",INDEX('Per Line'!$G$2:$G$4001,$X1394))</f>
        <v/>
      </c>
      <c r="G1394" s="20" t="str">
        <f aca="false">IF($X1394="","",INDEX('Per Line'!$I$2:$I$4001,$X1394))</f>
        <v/>
      </c>
      <c r="H1394" s="20" t="str">
        <f aca="false">IF($X1394="","",INDEX('Per Line'!$J$2:$J$4001,$X1394))</f>
        <v/>
      </c>
      <c r="I1394" s="20" t="str">
        <f aca="false">IF($X1394="","",INDEX('Per Line'!$K$2:$K$4001,$X1394))</f>
        <v/>
      </c>
      <c r="J1394" s="20" t="str">
        <f aca="false">IF($X1394="","",INDEX('Per Line'!$L$2:$L$4001,$X1394))</f>
        <v/>
      </c>
      <c r="K1394" s="20" t="str">
        <f aca="false">IF($X1394="","",INDEX('Per Line'!$M$2:$M$4001,$X1394))</f>
        <v/>
      </c>
      <c r="L1394" s="22" t="str">
        <f aca="false">IF($X1394="","",K1394*V1394/100)</f>
        <v/>
      </c>
      <c r="M1394" s="20" t="str">
        <f aca="false">IF($X1394="","",INDEX('Per Line'!$Z$2:$Z$4001,$X1394))</f>
        <v/>
      </c>
      <c r="N1394" s="23" t="str">
        <f aca="false">IF($X1394="","",Settings!$C$7)</f>
        <v/>
      </c>
      <c r="O1394" s="22" t="str">
        <f aca="false">IF($X1394="","",SUMIFS('Per Line'!$Y$2:$Y$4001,'Per Line'!$D$2:$D$4001,$B1394,'Per Line'!$AJ$2:$AJ$4001,0))</f>
        <v/>
      </c>
      <c r="P1394" s="22" t="str">
        <f aca="false">IF($X1394="","",O1394*N1394)</f>
        <v/>
      </c>
      <c r="Q1394" s="23" t="str">
        <f aca="false">IF($X1394="","",Settings!$C$6)</f>
        <v/>
      </c>
      <c r="R1394" s="22" t="str">
        <f aca="false">IF($X1394="","",SUMIFS('Per Line'!$Y$2:$Y$4001,'Per Line'!$D$2:$D$4001,$B1394,'Per Line'!$AJ$2:$AJ$4001,1))</f>
        <v/>
      </c>
      <c r="S1394" s="22" t="str">
        <f aca="false">IF($X1394="","",R1394*Q1394)</f>
        <v/>
      </c>
      <c r="T1394" s="22" t="str">
        <f aca="false">IF($X1394="","",S1394+P1394)</f>
        <v/>
      </c>
      <c r="U1394" s="22" t="str">
        <f aca="false">IF($X1394="","",V1394-T1394)</f>
        <v/>
      </c>
      <c r="V1394" s="22" t="str">
        <f aca="false">IF($X1394="","",O1394+R1394)</f>
        <v/>
      </c>
      <c r="W1394" s="22" t="str">
        <f aca="false">IF($X1394="","",U1394-L1394)</f>
        <v/>
      </c>
      <c r="X1394" s="24" t="str">
        <f aca="false">IF(ROWS($X$2:$X1394)&lt;=MAX('Per Line'!$AI$2:$AI$4001),MATCH(ROWS($X$2:$X1394),'Per Line'!$AI$2:$AI$4001,0),"")</f>
        <v/>
      </c>
    </row>
    <row r="1395" customFormat="false" ht="15" hidden="false" customHeight="false" outlineLevel="0" collapsed="false">
      <c r="A1395" s="19"/>
      <c r="B1395" s="20" t="str">
        <f aca="false">IF($X1395="","",INDEX('Per Line'!$D$2:$D$4001,$X1395))</f>
        <v/>
      </c>
      <c r="C1395" s="20" t="str">
        <f aca="false">IF($X1395="","",INDEX('Per Line'!$C$2:$C$4001,$X1395))</f>
        <v/>
      </c>
      <c r="D1395" s="20" t="str">
        <f aca="false">IF($X1395="","",INDEX('Per Line'!$A$2:$A$4001,$X1395))</f>
        <v/>
      </c>
      <c r="E1395" s="21" t="str">
        <f aca="false">IF($X1395="","",INDEX('Per Line'!$F$2:$F$4001,$X1395))</f>
        <v/>
      </c>
      <c r="F1395" s="20" t="str">
        <f aca="false">IF($X1395="","",INDEX('Per Line'!$G$2:$G$4001,$X1395))</f>
        <v/>
      </c>
      <c r="G1395" s="20" t="str">
        <f aca="false">IF($X1395="","",INDEX('Per Line'!$I$2:$I$4001,$X1395))</f>
        <v/>
      </c>
      <c r="H1395" s="20" t="str">
        <f aca="false">IF($X1395="","",INDEX('Per Line'!$J$2:$J$4001,$X1395))</f>
        <v/>
      </c>
      <c r="I1395" s="20" t="str">
        <f aca="false">IF($X1395="","",INDEX('Per Line'!$K$2:$K$4001,$X1395))</f>
        <v/>
      </c>
      <c r="J1395" s="20" t="str">
        <f aca="false">IF($X1395="","",INDEX('Per Line'!$L$2:$L$4001,$X1395))</f>
        <v/>
      </c>
      <c r="K1395" s="20" t="str">
        <f aca="false">IF($X1395="","",INDEX('Per Line'!$M$2:$M$4001,$X1395))</f>
        <v/>
      </c>
      <c r="L1395" s="22" t="str">
        <f aca="false">IF($X1395="","",K1395*V1395/100)</f>
        <v/>
      </c>
      <c r="M1395" s="20" t="str">
        <f aca="false">IF($X1395="","",INDEX('Per Line'!$Z$2:$Z$4001,$X1395))</f>
        <v/>
      </c>
      <c r="N1395" s="23" t="str">
        <f aca="false">IF($X1395="","",Settings!$C$7)</f>
        <v/>
      </c>
      <c r="O1395" s="22" t="str">
        <f aca="false">IF($X1395="","",SUMIFS('Per Line'!$Y$2:$Y$4001,'Per Line'!$D$2:$D$4001,$B1395,'Per Line'!$AJ$2:$AJ$4001,0))</f>
        <v/>
      </c>
      <c r="P1395" s="22" t="str">
        <f aca="false">IF($X1395="","",O1395*N1395)</f>
        <v/>
      </c>
      <c r="Q1395" s="23" t="str">
        <f aca="false">IF($X1395="","",Settings!$C$6)</f>
        <v/>
      </c>
      <c r="R1395" s="22" t="str">
        <f aca="false">IF($X1395="","",SUMIFS('Per Line'!$Y$2:$Y$4001,'Per Line'!$D$2:$D$4001,$B1395,'Per Line'!$AJ$2:$AJ$4001,1))</f>
        <v/>
      </c>
      <c r="S1395" s="22" t="str">
        <f aca="false">IF($X1395="","",R1395*Q1395)</f>
        <v/>
      </c>
      <c r="T1395" s="22" t="str">
        <f aca="false">IF($X1395="","",S1395+P1395)</f>
        <v/>
      </c>
      <c r="U1395" s="22" t="str">
        <f aca="false">IF($X1395="","",V1395-T1395)</f>
        <v/>
      </c>
      <c r="V1395" s="22" t="str">
        <f aca="false">IF($X1395="","",O1395+R1395)</f>
        <v/>
      </c>
      <c r="W1395" s="22" t="str">
        <f aca="false">IF($X1395="","",U1395-L1395)</f>
        <v/>
      </c>
      <c r="X1395" s="24" t="str">
        <f aca="false">IF(ROWS($X$2:$X1395)&lt;=MAX('Per Line'!$AI$2:$AI$4001),MATCH(ROWS($X$2:$X1395),'Per Line'!$AI$2:$AI$4001,0),"")</f>
        <v/>
      </c>
    </row>
    <row r="1396" customFormat="false" ht="15" hidden="false" customHeight="false" outlineLevel="0" collapsed="false">
      <c r="A1396" s="19"/>
      <c r="B1396" s="20" t="str">
        <f aca="false">IF($X1396="","",INDEX('Per Line'!$D$2:$D$4001,$X1396))</f>
        <v/>
      </c>
      <c r="C1396" s="20" t="str">
        <f aca="false">IF($X1396="","",INDEX('Per Line'!$C$2:$C$4001,$X1396))</f>
        <v/>
      </c>
      <c r="D1396" s="20" t="str">
        <f aca="false">IF($X1396="","",INDEX('Per Line'!$A$2:$A$4001,$X1396))</f>
        <v/>
      </c>
      <c r="E1396" s="21" t="str">
        <f aca="false">IF($X1396="","",INDEX('Per Line'!$F$2:$F$4001,$X1396))</f>
        <v/>
      </c>
      <c r="F1396" s="20" t="str">
        <f aca="false">IF($X1396="","",INDEX('Per Line'!$G$2:$G$4001,$X1396))</f>
        <v/>
      </c>
      <c r="G1396" s="20" t="str">
        <f aca="false">IF($X1396="","",INDEX('Per Line'!$I$2:$I$4001,$X1396))</f>
        <v/>
      </c>
      <c r="H1396" s="20" t="str">
        <f aca="false">IF($X1396="","",INDEX('Per Line'!$J$2:$J$4001,$X1396))</f>
        <v/>
      </c>
      <c r="I1396" s="20" t="str">
        <f aca="false">IF($X1396="","",INDEX('Per Line'!$K$2:$K$4001,$X1396))</f>
        <v/>
      </c>
      <c r="J1396" s="20" t="str">
        <f aca="false">IF($X1396="","",INDEX('Per Line'!$L$2:$L$4001,$X1396))</f>
        <v/>
      </c>
      <c r="K1396" s="20" t="str">
        <f aca="false">IF($X1396="","",INDEX('Per Line'!$M$2:$M$4001,$X1396))</f>
        <v/>
      </c>
      <c r="L1396" s="22" t="str">
        <f aca="false">IF($X1396="","",K1396*V1396/100)</f>
        <v/>
      </c>
      <c r="M1396" s="20" t="str">
        <f aca="false">IF($X1396="","",INDEX('Per Line'!$Z$2:$Z$4001,$X1396))</f>
        <v/>
      </c>
      <c r="N1396" s="23" t="str">
        <f aca="false">IF($X1396="","",Settings!$C$7)</f>
        <v/>
      </c>
      <c r="O1396" s="22" t="str">
        <f aca="false">IF($X1396="","",SUMIFS('Per Line'!$Y$2:$Y$4001,'Per Line'!$D$2:$D$4001,$B1396,'Per Line'!$AJ$2:$AJ$4001,0))</f>
        <v/>
      </c>
      <c r="P1396" s="22" t="str">
        <f aca="false">IF($X1396="","",O1396*N1396)</f>
        <v/>
      </c>
      <c r="Q1396" s="23" t="str">
        <f aca="false">IF($X1396="","",Settings!$C$6)</f>
        <v/>
      </c>
      <c r="R1396" s="22" t="str">
        <f aca="false">IF($X1396="","",SUMIFS('Per Line'!$Y$2:$Y$4001,'Per Line'!$D$2:$D$4001,$B1396,'Per Line'!$AJ$2:$AJ$4001,1))</f>
        <v/>
      </c>
      <c r="S1396" s="22" t="str">
        <f aca="false">IF($X1396="","",R1396*Q1396)</f>
        <v/>
      </c>
      <c r="T1396" s="22" t="str">
        <f aca="false">IF($X1396="","",S1396+P1396)</f>
        <v/>
      </c>
      <c r="U1396" s="22" t="str">
        <f aca="false">IF($X1396="","",V1396-T1396)</f>
        <v/>
      </c>
      <c r="V1396" s="22" t="str">
        <f aca="false">IF($X1396="","",O1396+R1396)</f>
        <v/>
      </c>
      <c r="W1396" s="22" t="str">
        <f aca="false">IF($X1396="","",U1396-L1396)</f>
        <v/>
      </c>
      <c r="X1396" s="24" t="str">
        <f aca="false">IF(ROWS($X$2:$X1396)&lt;=MAX('Per Line'!$AI$2:$AI$4001),MATCH(ROWS($X$2:$X1396),'Per Line'!$AI$2:$AI$4001,0),"")</f>
        <v/>
      </c>
    </row>
    <row r="1397" customFormat="false" ht="15" hidden="false" customHeight="false" outlineLevel="0" collapsed="false">
      <c r="A1397" s="19"/>
      <c r="B1397" s="20" t="str">
        <f aca="false">IF($X1397="","",INDEX('Per Line'!$D$2:$D$4001,$X1397))</f>
        <v/>
      </c>
      <c r="C1397" s="20" t="str">
        <f aca="false">IF($X1397="","",INDEX('Per Line'!$C$2:$C$4001,$X1397))</f>
        <v/>
      </c>
      <c r="D1397" s="20" t="str">
        <f aca="false">IF($X1397="","",INDEX('Per Line'!$A$2:$A$4001,$X1397))</f>
        <v/>
      </c>
      <c r="E1397" s="21" t="str">
        <f aca="false">IF($X1397="","",INDEX('Per Line'!$F$2:$F$4001,$X1397))</f>
        <v/>
      </c>
      <c r="F1397" s="20" t="str">
        <f aca="false">IF($X1397="","",INDEX('Per Line'!$G$2:$G$4001,$X1397))</f>
        <v/>
      </c>
      <c r="G1397" s="20" t="str">
        <f aca="false">IF($X1397="","",INDEX('Per Line'!$I$2:$I$4001,$X1397))</f>
        <v/>
      </c>
      <c r="H1397" s="20" t="str">
        <f aca="false">IF($X1397="","",INDEX('Per Line'!$J$2:$J$4001,$X1397))</f>
        <v/>
      </c>
      <c r="I1397" s="20" t="str">
        <f aca="false">IF($X1397="","",INDEX('Per Line'!$K$2:$K$4001,$X1397))</f>
        <v/>
      </c>
      <c r="J1397" s="20" t="str">
        <f aca="false">IF($X1397="","",INDEX('Per Line'!$L$2:$L$4001,$X1397))</f>
        <v/>
      </c>
      <c r="K1397" s="20" t="str">
        <f aca="false">IF($X1397="","",INDEX('Per Line'!$M$2:$M$4001,$X1397))</f>
        <v/>
      </c>
      <c r="L1397" s="22" t="str">
        <f aca="false">IF($X1397="","",K1397*V1397/100)</f>
        <v/>
      </c>
      <c r="M1397" s="20" t="str">
        <f aca="false">IF($X1397="","",INDEX('Per Line'!$Z$2:$Z$4001,$X1397))</f>
        <v/>
      </c>
      <c r="N1397" s="23" t="str">
        <f aca="false">IF($X1397="","",Settings!$C$7)</f>
        <v/>
      </c>
      <c r="O1397" s="22" t="str">
        <f aca="false">IF($X1397="","",SUMIFS('Per Line'!$Y$2:$Y$4001,'Per Line'!$D$2:$D$4001,$B1397,'Per Line'!$AJ$2:$AJ$4001,0))</f>
        <v/>
      </c>
      <c r="P1397" s="22" t="str">
        <f aca="false">IF($X1397="","",O1397*N1397)</f>
        <v/>
      </c>
      <c r="Q1397" s="23" t="str">
        <f aca="false">IF($X1397="","",Settings!$C$6)</f>
        <v/>
      </c>
      <c r="R1397" s="22" t="str">
        <f aca="false">IF($X1397="","",SUMIFS('Per Line'!$Y$2:$Y$4001,'Per Line'!$D$2:$D$4001,$B1397,'Per Line'!$AJ$2:$AJ$4001,1))</f>
        <v/>
      </c>
      <c r="S1397" s="22" t="str">
        <f aca="false">IF($X1397="","",R1397*Q1397)</f>
        <v/>
      </c>
      <c r="T1397" s="22" t="str">
        <f aca="false">IF($X1397="","",S1397+P1397)</f>
        <v/>
      </c>
      <c r="U1397" s="22" t="str">
        <f aca="false">IF($X1397="","",V1397-T1397)</f>
        <v/>
      </c>
      <c r="V1397" s="22" t="str">
        <f aca="false">IF($X1397="","",O1397+R1397)</f>
        <v/>
      </c>
      <c r="W1397" s="22" t="str">
        <f aca="false">IF($X1397="","",U1397-L1397)</f>
        <v/>
      </c>
      <c r="X1397" s="24" t="str">
        <f aca="false">IF(ROWS($X$2:$X1397)&lt;=MAX('Per Line'!$AI$2:$AI$4001),MATCH(ROWS($X$2:$X1397),'Per Line'!$AI$2:$AI$4001,0),"")</f>
        <v/>
      </c>
    </row>
    <row r="1398" customFormat="false" ht="15" hidden="false" customHeight="false" outlineLevel="0" collapsed="false">
      <c r="A1398" s="19"/>
      <c r="B1398" s="20" t="str">
        <f aca="false">IF($X1398="","",INDEX('Per Line'!$D$2:$D$4001,$X1398))</f>
        <v/>
      </c>
      <c r="C1398" s="20" t="str">
        <f aca="false">IF($X1398="","",INDEX('Per Line'!$C$2:$C$4001,$X1398))</f>
        <v/>
      </c>
      <c r="D1398" s="20" t="str">
        <f aca="false">IF($X1398="","",INDEX('Per Line'!$A$2:$A$4001,$X1398))</f>
        <v/>
      </c>
      <c r="E1398" s="21" t="str">
        <f aca="false">IF($X1398="","",INDEX('Per Line'!$F$2:$F$4001,$X1398))</f>
        <v/>
      </c>
      <c r="F1398" s="20" t="str">
        <f aca="false">IF($X1398="","",INDEX('Per Line'!$G$2:$G$4001,$X1398))</f>
        <v/>
      </c>
      <c r="G1398" s="20" t="str">
        <f aca="false">IF($X1398="","",INDEX('Per Line'!$I$2:$I$4001,$X1398))</f>
        <v/>
      </c>
      <c r="H1398" s="20" t="str">
        <f aca="false">IF($X1398="","",INDEX('Per Line'!$J$2:$J$4001,$X1398))</f>
        <v/>
      </c>
      <c r="I1398" s="20" t="str">
        <f aca="false">IF($X1398="","",INDEX('Per Line'!$K$2:$K$4001,$X1398))</f>
        <v/>
      </c>
      <c r="J1398" s="20" t="str">
        <f aca="false">IF($X1398="","",INDEX('Per Line'!$L$2:$L$4001,$X1398))</f>
        <v/>
      </c>
      <c r="K1398" s="20" t="str">
        <f aca="false">IF($X1398="","",INDEX('Per Line'!$M$2:$M$4001,$X1398))</f>
        <v/>
      </c>
      <c r="L1398" s="22" t="str">
        <f aca="false">IF($X1398="","",K1398*V1398/100)</f>
        <v/>
      </c>
      <c r="M1398" s="20" t="str">
        <f aca="false">IF($X1398="","",INDEX('Per Line'!$Z$2:$Z$4001,$X1398))</f>
        <v/>
      </c>
      <c r="N1398" s="23" t="str">
        <f aca="false">IF($X1398="","",Settings!$C$7)</f>
        <v/>
      </c>
      <c r="O1398" s="22" t="str">
        <f aca="false">IF($X1398="","",SUMIFS('Per Line'!$Y$2:$Y$4001,'Per Line'!$D$2:$D$4001,$B1398,'Per Line'!$AJ$2:$AJ$4001,0))</f>
        <v/>
      </c>
      <c r="P1398" s="22" t="str">
        <f aca="false">IF($X1398="","",O1398*N1398)</f>
        <v/>
      </c>
      <c r="Q1398" s="23" t="str">
        <f aca="false">IF($X1398="","",Settings!$C$6)</f>
        <v/>
      </c>
      <c r="R1398" s="22" t="str">
        <f aca="false">IF($X1398="","",SUMIFS('Per Line'!$Y$2:$Y$4001,'Per Line'!$D$2:$D$4001,$B1398,'Per Line'!$AJ$2:$AJ$4001,1))</f>
        <v/>
      </c>
      <c r="S1398" s="22" t="str">
        <f aca="false">IF($X1398="","",R1398*Q1398)</f>
        <v/>
      </c>
      <c r="T1398" s="22" t="str">
        <f aca="false">IF($X1398="","",S1398+P1398)</f>
        <v/>
      </c>
      <c r="U1398" s="22" t="str">
        <f aca="false">IF($X1398="","",V1398-T1398)</f>
        <v/>
      </c>
      <c r="V1398" s="22" t="str">
        <f aca="false">IF($X1398="","",O1398+R1398)</f>
        <v/>
      </c>
      <c r="W1398" s="22" t="str">
        <f aca="false">IF($X1398="","",U1398-L1398)</f>
        <v/>
      </c>
      <c r="X1398" s="24" t="str">
        <f aca="false">IF(ROWS($X$2:$X1398)&lt;=MAX('Per Line'!$AI$2:$AI$4001),MATCH(ROWS($X$2:$X1398),'Per Line'!$AI$2:$AI$4001,0),"")</f>
        <v/>
      </c>
    </row>
    <row r="1399" customFormat="false" ht="15" hidden="false" customHeight="false" outlineLevel="0" collapsed="false">
      <c r="A1399" s="19"/>
      <c r="B1399" s="20" t="str">
        <f aca="false">IF($X1399="","",INDEX('Per Line'!$D$2:$D$4001,$X1399))</f>
        <v/>
      </c>
      <c r="C1399" s="20" t="str">
        <f aca="false">IF($X1399="","",INDEX('Per Line'!$C$2:$C$4001,$X1399))</f>
        <v/>
      </c>
      <c r="D1399" s="20" t="str">
        <f aca="false">IF($X1399="","",INDEX('Per Line'!$A$2:$A$4001,$X1399))</f>
        <v/>
      </c>
      <c r="E1399" s="21" t="str">
        <f aca="false">IF($X1399="","",INDEX('Per Line'!$F$2:$F$4001,$X1399))</f>
        <v/>
      </c>
      <c r="F1399" s="20" t="str">
        <f aca="false">IF($X1399="","",INDEX('Per Line'!$G$2:$G$4001,$X1399))</f>
        <v/>
      </c>
      <c r="G1399" s="20" t="str">
        <f aca="false">IF($X1399="","",INDEX('Per Line'!$I$2:$I$4001,$X1399))</f>
        <v/>
      </c>
      <c r="H1399" s="20" t="str">
        <f aca="false">IF($X1399="","",INDEX('Per Line'!$J$2:$J$4001,$X1399))</f>
        <v/>
      </c>
      <c r="I1399" s="20" t="str">
        <f aca="false">IF($X1399="","",INDEX('Per Line'!$K$2:$K$4001,$X1399))</f>
        <v/>
      </c>
      <c r="J1399" s="20" t="str">
        <f aca="false">IF($X1399="","",INDEX('Per Line'!$L$2:$L$4001,$X1399))</f>
        <v/>
      </c>
      <c r="K1399" s="20" t="str">
        <f aca="false">IF($X1399="","",INDEX('Per Line'!$M$2:$M$4001,$X1399))</f>
        <v/>
      </c>
      <c r="L1399" s="22" t="str">
        <f aca="false">IF($X1399="","",K1399*V1399/100)</f>
        <v/>
      </c>
      <c r="M1399" s="20" t="str">
        <f aca="false">IF($X1399="","",INDEX('Per Line'!$Z$2:$Z$4001,$X1399))</f>
        <v/>
      </c>
      <c r="N1399" s="23" t="str">
        <f aca="false">IF($X1399="","",Settings!$C$7)</f>
        <v/>
      </c>
      <c r="O1399" s="22" t="str">
        <f aca="false">IF($X1399="","",SUMIFS('Per Line'!$Y$2:$Y$4001,'Per Line'!$D$2:$D$4001,$B1399,'Per Line'!$AJ$2:$AJ$4001,0))</f>
        <v/>
      </c>
      <c r="P1399" s="22" t="str">
        <f aca="false">IF($X1399="","",O1399*N1399)</f>
        <v/>
      </c>
      <c r="Q1399" s="23" t="str">
        <f aca="false">IF($X1399="","",Settings!$C$6)</f>
        <v/>
      </c>
      <c r="R1399" s="22" t="str">
        <f aca="false">IF($X1399="","",SUMIFS('Per Line'!$Y$2:$Y$4001,'Per Line'!$D$2:$D$4001,$B1399,'Per Line'!$AJ$2:$AJ$4001,1))</f>
        <v/>
      </c>
      <c r="S1399" s="22" t="str">
        <f aca="false">IF($X1399="","",R1399*Q1399)</f>
        <v/>
      </c>
      <c r="T1399" s="22" t="str">
        <f aca="false">IF($X1399="","",S1399+P1399)</f>
        <v/>
      </c>
      <c r="U1399" s="22" t="str">
        <f aca="false">IF($X1399="","",V1399-T1399)</f>
        <v/>
      </c>
      <c r="V1399" s="22" t="str">
        <f aca="false">IF($X1399="","",O1399+R1399)</f>
        <v/>
      </c>
      <c r="W1399" s="22" t="str">
        <f aca="false">IF($X1399="","",U1399-L1399)</f>
        <v/>
      </c>
      <c r="X1399" s="24" t="str">
        <f aca="false">IF(ROWS($X$2:$X1399)&lt;=MAX('Per Line'!$AI$2:$AI$4001),MATCH(ROWS($X$2:$X1399),'Per Line'!$AI$2:$AI$4001,0),"")</f>
        <v/>
      </c>
    </row>
    <row r="1400" customFormat="false" ht="15" hidden="false" customHeight="false" outlineLevel="0" collapsed="false">
      <c r="A1400" s="19"/>
      <c r="B1400" s="20" t="str">
        <f aca="false">IF($X1400="","",INDEX('Per Line'!$D$2:$D$4001,$X1400))</f>
        <v/>
      </c>
      <c r="C1400" s="20" t="str">
        <f aca="false">IF($X1400="","",INDEX('Per Line'!$C$2:$C$4001,$X1400))</f>
        <v/>
      </c>
      <c r="D1400" s="20" t="str">
        <f aca="false">IF($X1400="","",INDEX('Per Line'!$A$2:$A$4001,$X1400))</f>
        <v/>
      </c>
      <c r="E1400" s="21" t="str">
        <f aca="false">IF($X1400="","",INDEX('Per Line'!$F$2:$F$4001,$X1400))</f>
        <v/>
      </c>
      <c r="F1400" s="20" t="str">
        <f aca="false">IF($X1400="","",INDEX('Per Line'!$G$2:$G$4001,$X1400))</f>
        <v/>
      </c>
      <c r="G1400" s="20" t="str">
        <f aca="false">IF($X1400="","",INDEX('Per Line'!$I$2:$I$4001,$X1400))</f>
        <v/>
      </c>
      <c r="H1400" s="20" t="str">
        <f aca="false">IF($X1400="","",INDEX('Per Line'!$J$2:$J$4001,$X1400))</f>
        <v/>
      </c>
      <c r="I1400" s="20" t="str">
        <f aca="false">IF($X1400="","",INDEX('Per Line'!$K$2:$K$4001,$X1400))</f>
        <v/>
      </c>
      <c r="J1400" s="20" t="str">
        <f aca="false">IF($X1400="","",INDEX('Per Line'!$L$2:$L$4001,$X1400))</f>
        <v/>
      </c>
      <c r="K1400" s="20" t="str">
        <f aca="false">IF($X1400="","",INDEX('Per Line'!$M$2:$M$4001,$X1400))</f>
        <v/>
      </c>
      <c r="L1400" s="22" t="str">
        <f aca="false">IF($X1400="","",K1400*V1400/100)</f>
        <v/>
      </c>
      <c r="M1400" s="20" t="str">
        <f aca="false">IF($X1400="","",INDEX('Per Line'!$Z$2:$Z$4001,$X1400))</f>
        <v/>
      </c>
      <c r="N1400" s="23" t="str">
        <f aca="false">IF($X1400="","",Settings!$C$7)</f>
        <v/>
      </c>
      <c r="O1400" s="22" t="str">
        <f aca="false">IF($X1400="","",SUMIFS('Per Line'!$Y$2:$Y$4001,'Per Line'!$D$2:$D$4001,$B1400,'Per Line'!$AJ$2:$AJ$4001,0))</f>
        <v/>
      </c>
      <c r="P1400" s="22" t="str">
        <f aca="false">IF($X1400="","",O1400*N1400)</f>
        <v/>
      </c>
      <c r="Q1400" s="23" t="str">
        <f aca="false">IF($X1400="","",Settings!$C$6)</f>
        <v/>
      </c>
      <c r="R1400" s="22" t="str">
        <f aca="false">IF($X1400="","",SUMIFS('Per Line'!$Y$2:$Y$4001,'Per Line'!$D$2:$D$4001,$B1400,'Per Line'!$AJ$2:$AJ$4001,1))</f>
        <v/>
      </c>
      <c r="S1400" s="22" t="str">
        <f aca="false">IF($X1400="","",R1400*Q1400)</f>
        <v/>
      </c>
      <c r="T1400" s="22" t="str">
        <f aca="false">IF($X1400="","",S1400+P1400)</f>
        <v/>
      </c>
      <c r="U1400" s="22" t="str">
        <f aca="false">IF($X1400="","",V1400-T1400)</f>
        <v/>
      </c>
      <c r="V1400" s="22" t="str">
        <f aca="false">IF($X1400="","",O1400+R1400)</f>
        <v/>
      </c>
      <c r="W1400" s="22" t="str">
        <f aca="false">IF($X1400="","",U1400-L1400)</f>
        <v/>
      </c>
      <c r="X1400" s="24" t="str">
        <f aca="false">IF(ROWS($X$2:$X1400)&lt;=MAX('Per Line'!$AI$2:$AI$4001),MATCH(ROWS($X$2:$X1400),'Per Line'!$AI$2:$AI$4001,0),"")</f>
        <v/>
      </c>
    </row>
    <row r="1401" customFormat="false" ht="15" hidden="false" customHeight="false" outlineLevel="0" collapsed="false">
      <c r="A1401" s="19"/>
      <c r="B1401" s="20" t="str">
        <f aca="false">IF($X1401="","",INDEX('Per Line'!$D$2:$D$4001,$X1401))</f>
        <v/>
      </c>
      <c r="C1401" s="20" t="str">
        <f aca="false">IF($X1401="","",INDEX('Per Line'!$C$2:$C$4001,$X1401))</f>
        <v/>
      </c>
      <c r="D1401" s="20" t="str">
        <f aca="false">IF($X1401="","",INDEX('Per Line'!$A$2:$A$4001,$X1401))</f>
        <v/>
      </c>
      <c r="E1401" s="21" t="str">
        <f aca="false">IF($X1401="","",INDEX('Per Line'!$F$2:$F$4001,$X1401))</f>
        <v/>
      </c>
      <c r="F1401" s="20" t="str">
        <f aca="false">IF($X1401="","",INDEX('Per Line'!$G$2:$G$4001,$X1401))</f>
        <v/>
      </c>
      <c r="G1401" s="20" t="str">
        <f aca="false">IF($X1401="","",INDEX('Per Line'!$I$2:$I$4001,$X1401))</f>
        <v/>
      </c>
      <c r="H1401" s="20" t="str">
        <f aca="false">IF($X1401="","",INDEX('Per Line'!$J$2:$J$4001,$X1401))</f>
        <v/>
      </c>
      <c r="I1401" s="20" t="str">
        <f aca="false">IF($X1401="","",INDEX('Per Line'!$K$2:$K$4001,$X1401))</f>
        <v/>
      </c>
      <c r="J1401" s="20" t="str">
        <f aca="false">IF($X1401="","",INDEX('Per Line'!$L$2:$L$4001,$X1401))</f>
        <v/>
      </c>
      <c r="K1401" s="20" t="str">
        <f aca="false">IF($X1401="","",INDEX('Per Line'!$M$2:$M$4001,$X1401))</f>
        <v/>
      </c>
      <c r="L1401" s="22" t="str">
        <f aca="false">IF($X1401="","",K1401*V1401/100)</f>
        <v/>
      </c>
      <c r="M1401" s="20" t="str">
        <f aca="false">IF($X1401="","",INDEX('Per Line'!$Z$2:$Z$4001,$X1401))</f>
        <v/>
      </c>
      <c r="N1401" s="23" t="str">
        <f aca="false">IF($X1401="","",Settings!$C$7)</f>
        <v/>
      </c>
      <c r="O1401" s="22" t="str">
        <f aca="false">IF($X1401="","",SUMIFS('Per Line'!$Y$2:$Y$4001,'Per Line'!$D$2:$D$4001,$B1401,'Per Line'!$AJ$2:$AJ$4001,0))</f>
        <v/>
      </c>
      <c r="P1401" s="22" t="str">
        <f aca="false">IF($X1401="","",O1401*N1401)</f>
        <v/>
      </c>
      <c r="Q1401" s="23" t="str">
        <f aca="false">IF($X1401="","",Settings!$C$6)</f>
        <v/>
      </c>
      <c r="R1401" s="22" t="str">
        <f aca="false">IF($X1401="","",SUMIFS('Per Line'!$Y$2:$Y$4001,'Per Line'!$D$2:$D$4001,$B1401,'Per Line'!$AJ$2:$AJ$4001,1))</f>
        <v/>
      </c>
      <c r="S1401" s="22" t="str">
        <f aca="false">IF($X1401="","",R1401*Q1401)</f>
        <v/>
      </c>
      <c r="T1401" s="22" t="str">
        <f aca="false">IF($X1401="","",S1401+P1401)</f>
        <v/>
      </c>
      <c r="U1401" s="22" t="str">
        <f aca="false">IF($X1401="","",V1401-T1401)</f>
        <v/>
      </c>
      <c r="V1401" s="22" t="str">
        <f aca="false">IF($X1401="","",O1401+R1401)</f>
        <v/>
      </c>
      <c r="W1401" s="22" t="str">
        <f aca="false">IF($X1401="","",U1401-L1401)</f>
        <v/>
      </c>
      <c r="X1401" s="24" t="str">
        <f aca="false">IF(ROWS($X$2:$X1401)&lt;=MAX('Per Line'!$AI$2:$AI$4001),MATCH(ROWS($X$2:$X1401),'Per Line'!$AI$2:$AI$4001,0),"")</f>
        <v/>
      </c>
    </row>
    <row r="1402" customFormat="false" ht="15" hidden="false" customHeight="false" outlineLevel="0" collapsed="false">
      <c r="A1402" s="19"/>
      <c r="B1402" s="20" t="str">
        <f aca="false">IF($X1402="","",INDEX('Per Line'!$D$2:$D$4001,$X1402))</f>
        <v/>
      </c>
      <c r="C1402" s="20" t="str">
        <f aca="false">IF($X1402="","",INDEX('Per Line'!$C$2:$C$4001,$X1402))</f>
        <v/>
      </c>
      <c r="D1402" s="20" t="str">
        <f aca="false">IF($X1402="","",INDEX('Per Line'!$A$2:$A$4001,$X1402))</f>
        <v/>
      </c>
      <c r="E1402" s="21" t="str">
        <f aca="false">IF($X1402="","",INDEX('Per Line'!$F$2:$F$4001,$X1402))</f>
        <v/>
      </c>
      <c r="F1402" s="20" t="str">
        <f aca="false">IF($X1402="","",INDEX('Per Line'!$G$2:$G$4001,$X1402))</f>
        <v/>
      </c>
      <c r="G1402" s="20" t="str">
        <f aca="false">IF($X1402="","",INDEX('Per Line'!$I$2:$I$4001,$X1402))</f>
        <v/>
      </c>
      <c r="H1402" s="20" t="str">
        <f aca="false">IF($X1402="","",INDEX('Per Line'!$J$2:$J$4001,$X1402))</f>
        <v/>
      </c>
      <c r="I1402" s="20" t="str">
        <f aca="false">IF($X1402="","",INDEX('Per Line'!$K$2:$K$4001,$X1402))</f>
        <v/>
      </c>
      <c r="J1402" s="20" t="str">
        <f aca="false">IF($X1402="","",INDEX('Per Line'!$L$2:$L$4001,$X1402))</f>
        <v/>
      </c>
      <c r="K1402" s="20" t="str">
        <f aca="false">IF($X1402="","",INDEX('Per Line'!$M$2:$M$4001,$X1402))</f>
        <v/>
      </c>
      <c r="L1402" s="22" t="str">
        <f aca="false">IF($X1402="","",K1402*V1402/100)</f>
        <v/>
      </c>
      <c r="M1402" s="20" t="str">
        <f aca="false">IF($X1402="","",INDEX('Per Line'!$Z$2:$Z$4001,$X1402))</f>
        <v/>
      </c>
      <c r="N1402" s="23" t="str">
        <f aca="false">IF($X1402="","",Settings!$C$7)</f>
        <v/>
      </c>
      <c r="O1402" s="22" t="str">
        <f aca="false">IF($X1402="","",SUMIFS('Per Line'!$Y$2:$Y$4001,'Per Line'!$D$2:$D$4001,$B1402,'Per Line'!$AJ$2:$AJ$4001,0))</f>
        <v/>
      </c>
      <c r="P1402" s="22" t="str">
        <f aca="false">IF($X1402="","",O1402*N1402)</f>
        <v/>
      </c>
      <c r="Q1402" s="23" t="str">
        <f aca="false">IF($X1402="","",Settings!$C$6)</f>
        <v/>
      </c>
      <c r="R1402" s="22" t="str">
        <f aca="false">IF($X1402="","",SUMIFS('Per Line'!$Y$2:$Y$4001,'Per Line'!$D$2:$D$4001,$B1402,'Per Line'!$AJ$2:$AJ$4001,1))</f>
        <v/>
      </c>
      <c r="S1402" s="22" t="str">
        <f aca="false">IF($X1402="","",R1402*Q1402)</f>
        <v/>
      </c>
      <c r="T1402" s="22" t="str">
        <f aca="false">IF($X1402="","",S1402+P1402)</f>
        <v/>
      </c>
      <c r="U1402" s="22" t="str">
        <f aca="false">IF($X1402="","",V1402-T1402)</f>
        <v/>
      </c>
      <c r="V1402" s="22" t="str">
        <f aca="false">IF($X1402="","",O1402+R1402)</f>
        <v/>
      </c>
      <c r="W1402" s="22" t="str">
        <f aca="false">IF($X1402="","",U1402-L1402)</f>
        <v/>
      </c>
      <c r="X1402" s="24" t="str">
        <f aca="false">IF(ROWS($X$2:$X1402)&lt;=MAX('Per Line'!$AI$2:$AI$4001),MATCH(ROWS($X$2:$X1402),'Per Line'!$AI$2:$AI$4001,0),"")</f>
        <v/>
      </c>
    </row>
    <row r="1403" customFormat="false" ht="15" hidden="false" customHeight="false" outlineLevel="0" collapsed="false">
      <c r="A1403" s="19"/>
      <c r="B1403" s="20" t="str">
        <f aca="false">IF($X1403="","",INDEX('Per Line'!$D$2:$D$4001,$X1403))</f>
        <v/>
      </c>
      <c r="C1403" s="20" t="str">
        <f aca="false">IF($X1403="","",INDEX('Per Line'!$C$2:$C$4001,$X1403))</f>
        <v/>
      </c>
      <c r="D1403" s="20" t="str">
        <f aca="false">IF($X1403="","",INDEX('Per Line'!$A$2:$A$4001,$X1403))</f>
        <v/>
      </c>
      <c r="E1403" s="21" t="str">
        <f aca="false">IF($X1403="","",INDEX('Per Line'!$F$2:$F$4001,$X1403))</f>
        <v/>
      </c>
      <c r="F1403" s="20" t="str">
        <f aca="false">IF($X1403="","",INDEX('Per Line'!$G$2:$G$4001,$X1403))</f>
        <v/>
      </c>
      <c r="G1403" s="20" t="str">
        <f aca="false">IF($X1403="","",INDEX('Per Line'!$I$2:$I$4001,$X1403))</f>
        <v/>
      </c>
      <c r="H1403" s="20" t="str">
        <f aca="false">IF($X1403="","",INDEX('Per Line'!$J$2:$J$4001,$X1403))</f>
        <v/>
      </c>
      <c r="I1403" s="20" t="str">
        <f aca="false">IF($X1403="","",INDEX('Per Line'!$K$2:$K$4001,$X1403))</f>
        <v/>
      </c>
      <c r="J1403" s="20" t="str">
        <f aca="false">IF($X1403="","",INDEX('Per Line'!$L$2:$L$4001,$X1403))</f>
        <v/>
      </c>
      <c r="K1403" s="20" t="str">
        <f aca="false">IF($X1403="","",INDEX('Per Line'!$M$2:$M$4001,$X1403))</f>
        <v/>
      </c>
      <c r="L1403" s="22" t="str">
        <f aca="false">IF($X1403="","",K1403*V1403/100)</f>
        <v/>
      </c>
      <c r="M1403" s="20" t="str">
        <f aca="false">IF($X1403="","",INDEX('Per Line'!$Z$2:$Z$4001,$X1403))</f>
        <v/>
      </c>
      <c r="N1403" s="23" t="str">
        <f aca="false">IF($X1403="","",Settings!$C$7)</f>
        <v/>
      </c>
      <c r="O1403" s="22" t="str">
        <f aca="false">IF($X1403="","",SUMIFS('Per Line'!$Y$2:$Y$4001,'Per Line'!$D$2:$D$4001,$B1403,'Per Line'!$AJ$2:$AJ$4001,0))</f>
        <v/>
      </c>
      <c r="P1403" s="22" t="str">
        <f aca="false">IF($X1403="","",O1403*N1403)</f>
        <v/>
      </c>
      <c r="Q1403" s="23" t="str">
        <f aca="false">IF($X1403="","",Settings!$C$6)</f>
        <v/>
      </c>
      <c r="R1403" s="22" t="str">
        <f aca="false">IF($X1403="","",SUMIFS('Per Line'!$Y$2:$Y$4001,'Per Line'!$D$2:$D$4001,$B1403,'Per Line'!$AJ$2:$AJ$4001,1))</f>
        <v/>
      </c>
      <c r="S1403" s="22" t="str">
        <f aca="false">IF($X1403="","",R1403*Q1403)</f>
        <v/>
      </c>
      <c r="T1403" s="22" t="str">
        <f aca="false">IF($X1403="","",S1403+P1403)</f>
        <v/>
      </c>
      <c r="U1403" s="22" t="str">
        <f aca="false">IF($X1403="","",V1403-T1403)</f>
        <v/>
      </c>
      <c r="V1403" s="22" t="str">
        <f aca="false">IF($X1403="","",O1403+R1403)</f>
        <v/>
      </c>
      <c r="W1403" s="22" t="str">
        <f aca="false">IF($X1403="","",U1403-L1403)</f>
        <v/>
      </c>
      <c r="X1403" s="24" t="str">
        <f aca="false">IF(ROWS($X$2:$X1403)&lt;=MAX('Per Line'!$AI$2:$AI$4001),MATCH(ROWS($X$2:$X1403),'Per Line'!$AI$2:$AI$4001,0),"")</f>
        <v/>
      </c>
    </row>
    <row r="1404" customFormat="false" ht="15" hidden="false" customHeight="false" outlineLevel="0" collapsed="false">
      <c r="A1404" s="19"/>
      <c r="B1404" s="20" t="str">
        <f aca="false">IF($X1404="","",INDEX('Per Line'!$D$2:$D$4001,$X1404))</f>
        <v/>
      </c>
      <c r="C1404" s="20" t="str">
        <f aca="false">IF($X1404="","",INDEX('Per Line'!$C$2:$C$4001,$X1404))</f>
        <v/>
      </c>
      <c r="D1404" s="20" t="str">
        <f aca="false">IF($X1404="","",INDEX('Per Line'!$A$2:$A$4001,$X1404))</f>
        <v/>
      </c>
      <c r="E1404" s="21" t="str">
        <f aca="false">IF($X1404="","",INDEX('Per Line'!$F$2:$F$4001,$X1404))</f>
        <v/>
      </c>
      <c r="F1404" s="20" t="str">
        <f aca="false">IF($X1404="","",INDEX('Per Line'!$G$2:$G$4001,$X1404))</f>
        <v/>
      </c>
      <c r="G1404" s="20" t="str">
        <f aca="false">IF($X1404="","",INDEX('Per Line'!$I$2:$I$4001,$X1404))</f>
        <v/>
      </c>
      <c r="H1404" s="20" t="str">
        <f aca="false">IF($X1404="","",INDEX('Per Line'!$J$2:$J$4001,$X1404))</f>
        <v/>
      </c>
      <c r="I1404" s="20" t="str">
        <f aca="false">IF($X1404="","",INDEX('Per Line'!$K$2:$K$4001,$X1404))</f>
        <v/>
      </c>
      <c r="J1404" s="20" t="str">
        <f aca="false">IF($X1404="","",INDEX('Per Line'!$L$2:$L$4001,$X1404))</f>
        <v/>
      </c>
      <c r="K1404" s="20" t="str">
        <f aca="false">IF($X1404="","",INDEX('Per Line'!$M$2:$M$4001,$X1404))</f>
        <v/>
      </c>
      <c r="L1404" s="22" t="str">
        <f aca="false">IF($X1404="","",K1404*V1404/100)</f>
        <v/>
      </c>
      <c r="M1404" s="20" t="str">
        <f aca="false">IF($X1404="","",INDEX('Per Line'!$Z$2:$Z$4001,$X1404))</f>
        <v/>
      </c>
      <c r="N1404" s="23" t="str">
        <f aca="false">IF($X1404="","",Settings!$C$7)</f>
        <v/>
      </c>
      <c r="O1404" s="22" t="str">
        <f aca="false">IF($X1404="","",SUMIFS('Per Line'!$Y$2:$Y$4001,'Per Line'!$D$2:$D$4001,$B1404,'Per Line'!$AJ$2:$AJ$4001,0))</f>
        <v/>
      </c>
      <c r="P1404" s="22" t="str">
        <f aca="false">IF($X1404="","",O1404*N1404)</f>
        <v/>
      </c>
      <c r="Q1404" s="23" t="str">
        <f aca="false">IF($X1404="","",Settings!$C$6)</f>
        <v/>
      </c>
      <c r="R1404" s="22" t="str">
        <f aca="false">IF($X1404="","",SUMIFS('Per Line'!$Y$2:$Y$4001,'Per Line'!$D$2:$D$4001,$B1404,'Per Line'!$AJ$2:$AJ$4001,1))</f>
        <v/>
      </c>
      <c r="S1404" s="22" t="str">
        <f aca="false">IF($X1404="","",R1404*Q1404)</f>
        <v/>
      </c>
      <c r="T1404" s="22" t="str">
        <f aca="false">IF($X1404="","",S1404+P1404)</f>
        <v/>
      </c>
      <c r="U1404" s="22" t="str">
        <f aca="false">IF($X1404="","",V1404-T1404)</f>
        <v/>
      </c>
      <c r="V1404" s="22" t="str">
        <f aca="false">IF($X1404="","",O1404+R1404)</f>
        <v/>
      </c>
      <c r="W1404" s="22" t="str">
        <f aca="false">IF($X1404="","",U1404-L1404)</f>
        <v/>
      </c>
      <c r="X1404" s="24" t="str">
        <f aca="false">IF(ROWS($X$2:$X1404)&lt;=MAX('Per Line'!$AI$2:$AI$4001),MATCH(ROWS($X$2:$X1404),'Per Line'!$AI$2:$AI$4001,0),"")</f>
        <v/>
      </c>
    </row>
    <row r="1405" customFormat="false" ht="15" hidden="false" customHeight="false" outlineLevel="0" collapsed="false">
      <c r="A1405" s="19"/>
      <c r="B1405" s="20" t="str">
        <f aca="false">IF($X1405="","",INDEX('Per Line'!$D$2:$D$4001,$X1405))</f>
        <v/>
      </c>
      <c r="C1405" s="20" t="str">
        <f aca="false">IF($X1405="","",INDEX('Per Line'!$C$2:$C$4001,$X1405))</f>
        <v/>
      </c>
      <c r="D1405" s="20" t="str">
        <f aca="false">IF($X1405="","",INDEX('Per Line'!$A$2:$A$4001,$X1405))</f>
        <v/>
      </c>
      <c r="E1405" s="21" t="str">
        <f aca="false">IF($X1405="","",INDEX('Per Line'!$F$2:$F$4001,$X1405))</f>
        <v/>
      </c>
      <c r="F1405" s="20" t="str">
        <f aca="false">IF($X1405="","",INDEX('Per Line'!$G$2:$G$4001,$X1405))</f>
        <v/>
      </c>
      <c r="G1405" s="20" t="str">
        <f aca="false">IF($X1405="","",INDEX('Per Line'!$I$2:$I$4001,$X1405))</f>
        <v/>
      </c>
      <c r="H1405" s="20" t="str">
        <f aca="false">IF($X1405="","",INDEX('Per Line'!$J$2:$J$4001,$X1405))</f>
        <v/>
      </c>
      <c r="I1405" s="20" t="str">
        <f aca="false">IF($X1405="","",INDEX('Per Line'!$K$2:$K$4001,$X1405))</f>
        <v/>
      </c>
      <c r="J1405" s="20" t="str">
        <f aca="false">IF($X1405="","",INDEX('Per Line'!$L$2:$L$4001,$X1405))</f>
        <v/>
      </c>
      <c r="K1405" s="20" t="str">
        <f aca="false">IF($X1405="","",INDEX('Per Line'!$M$2:$M$4001,$X1405))</f>
        <v/>
      </c>
      <c r="L1405" s="22" t="str">
        <f aca="false">IF($X1405="","",K1405*V1405/100)</f>
        <v/>
      </c>
      <c r="M1405" s="20" t="str">
        <f aca="false">IF($X1405="","",INDEX('Per Line'!$Z$2:$Z$4001,$X1405))</f>
        <v/>
      </c>
      <c r="N1405" s="23" t="str">
        <f aca="false">IF($X1405="","",Settings!$C$7)</f>
        <v/>
      </c>
      <c r="O1405" s="22" t="str">
        <f aca="false">IF($X1405="","",SUMIFS('Per Line'!$Y$2:$Y$4001,'Per Line'!$D$2:$D$4001,$B1405,'Per Line'!$AJ$2:$AJ$4001,0))</f>
        <v/>
      </c>
      <c r="P1405" s="22" t="str">
        <f aca="false">IF($X1405="","",O1405*N1405)</f>
        <v/>
      </c>
      <c r="Q1405" s="23" t="str">
        <f aca="false">IF($X1405="","",Settings!$C$6)</f>
        <v/>
      </c>
      <c r="R1405" s="22" t="str">
        <f aca="false">IF($X1405="","",SUMIFS('Per Line'!$Y$2:$Y$4001,'Per Line'!$D$2:$D$4001,$B1405,'Per Line'!$AJ$2:$AJ$4001,1))</f>
        <v/>
      </c>
      <c r="S1405" s="22" t="str">
        <f aca="false">IF($X1405="","",R1405*Q1405)</f>
        <v/>
      </c>
      <c r="T1405" s="22" t="str">
        <f aca="false">IF($X1405="","",S1405+P1405)</f>
        <v/>
      </c>
      <c r="U1405" s="22" t="str">
        <f aca="false">IF($X1405="","",V1405-T1405)</f>
        <v/>
      </c>
      <c r="V1405" s="22" t="str">
        <f aca="false">IF($X1405="","",O1405+R1405)</f>
        <v/>
      </c>
      <c r="W1405" s="22" t="str">
        <f aca="false">IF($X1405="","",U1405-L1405)</f>
        <v/>
      </c>
      <c r="X1405" s="24" t="str">
        <f aca="false">IF(ROWS($X$2:$X1405)&lt;=MAX('Per Line'!$AI$2:$AI$4001),MATCH(ROWS($X$2:$X1405),'Per Line'!$AI$2:$AI$4001,0),"")</f>
        <v/>
      </c>
    </row>
    <row r="1406" customFormat="false" ht="15" hidden="false" customHeight="false" outlineLevel="0" collapsed="false">
      <c r="A1406" s="19"/>
      <c r="B1406" s="20" t="str">
        <f aca="false">IF($X1406="","",INDEX('Per Line'!$D$2:$D$4001,$X1406))</f>
        <v/>
      </c>
      <c r="C1406" s="20" t="str">
        <f aca="false">IF($X1406="","",INDEX('Per Line'!$C$2:$C$4001,$X1406))</f>
        <v/>
      </c>
      <c r="D1406" s="20" t="str">
        <f aca="false">IF($X1406="","",INDEX('Per Line'!$A$2:$A$4001,$X1406))</f>
        <v/>
      </c>
      <c r="E1406" s="21" t="str">
        <f aca="false">IF($X1406="","",INDEX('Per Line'!$F$2:$F$4001,$X1406))</f>
        <v/>
      </c>
      <c r="F1406" s="20" t="str">
        <f aca="false">IF($X1406="","",INDEX('Per Line'!$G$2:$G$4001,$X1406))</f>
        <v/>
      </c>
      <c r="G1406" s="20" t="str">
        <f aca="false">IF($X1406="","",INDEX('Per Line'!$I$2:$I$4001,$X1406))</f>
        <v/>
      </c>
      <c r="H1406" s="20" t="str">
        <f aca="false">IF($X1406="","",INDEX('Per Line'!$J$2:$J$4001,$X1406))</f>
        <v/>
      </c>
      <c r="I1406" s="20" t="str">
        <f aca="false">IF($X1406="","",INDEX('Per Line'!$K$2:$K$4001,$X1406))</f>
        <v/>
      </c>
      <c r="J1406" s="20" t="str">
        <f aca="false">IF($X1406="","",INDEX('Per Line'!$L$2:$L$4001,$X1406))</f>
        <v/>
      </c>
      <c r="K1406" s="20" t="str">
        <f aca="false">IF($X1406="","",INDEX('Per Line'!$M$2:$M$4001,$X1406))</f>
        <v/>
      </c>
      <c r="L1406" s="22" t="str">
        <f aca="false">IF($X1406="","",K1406*V1406/100)</f>
        <v/>
      </c>
      <c r="M1406" s="20" t="str">
        <f aca="false">IF($X1406="","",INDEX('Per Line'!$Z$2:$Z$4001,$X1406))</f>
        <v/>
      </c>
      <c r="N1406" s="23" t="str">
        <f aca="false">IF($X1406="","",Settings!$C$7)</f>
        <v/>
      </c>
      <c r="O1406" s="22" t="str">
        <f aca="false">IF($X1406="","",SUMIFS('Per Line'!$Y$2:$Y$4001,'Per Line'!$D$2:$D$4001,$B1406,'Per Line'!$AJ$2:$AJ$4001,0))</f>
        <v/>
      </c>
      <c r="P1406" s="22" t="str">
        <f aca="false">IF($X1406="","",O1406*N1406)</f>
        <v/>
      </c>
      <c r="Q1406" s="23" t="str">
        <f aca="false">IF($X1406="","",Settings!$C$6)</f>
        <v/>
      </c>
      <c r="R1406" s="22" t="str">
        <f aca="false">IF($X1406="","",SUMIFS('Per Line'!$Y$2:$Y$4001,'Per Line'!$D$2:$D$4001,$B1406,'Per Line'!$AJ$2:$AJ$4001,1))</f>
        <v/>
      </c>
      <c r="S1406" s="22" t="str">
        <f aca="false">IF($X1406="","",R1406*Q1406)</f>
        <v/>
      </c>
      <c r="T1406" s="22" t="str">
        <f aca="false">IF($X1406="","",S1406+P1406)</f>
        <v/>
      </c>
      <c r="U1406" s="22" t="str">
        <f aca="false">IF($X1406="","",V1406-T1406)</f>
        <v/>
      </c>
      <c r="V1406" s="22" t="str">
        <f aca="false">IF($X1406="","",O1406+R1406)</f>
        <v/>
      </c>
      <c r="W1406" s="22" t="str">
        <f aca="false">IF($X1406="","",U1406-L1406)</f>
        <v/>
      </c>
      <c r="X1406" s="24" t="str">
        <f aca="false">IF(ROWS($X$2:$X1406)&lt;=MAX('Per Line'!$AI$2:$AI$4001),MATCH(ROWS($X$2:$X1406),'Per Line'!$AI$2:$AI$4001,0),"")</f>
        <v/>
      </c>
    </row>
    <row r="1407" customFormat="false" ht="15" hidden="false" customHeight="false" outlineLevel="0" collapsed="false">
      <c r="A1407" s="19"/>
      <c r="B1407" s="20" t="str">
        <f aca="false">IF($X1407="","",INDEX('Per Line'!$D$2:$D$4001,$X1407))</f>
        <v/>
      </c>
      <c r="C1407" s="20" t="str">
        <f aca="false">IF($X1407="","",INDEX('Per Line'!$C$2:$C$4001,$X1407))</f>
        <v/>
      </c>
      <c r="D1407" s="20" t="str">
        <f aca="false">IF($X1407="","",INDEX('Per Line'!$A$2:$A$4001,$X1407))</f>
        <v/>
      </c>
      <c r="E1407" s="21" t="str">
        <f aca="false">IF($X1407="","",INDEX('Per Line'!$F$2:$F$4001,$X1407))</f>
        <v/>
      </c>
      <c r="F1407" s="20" t="str">
        <f aca="false">IF($X1407="","",INDEX('Per Line'!$G$2:$G$4001,$X1407))</f>
        <v/>
      </c>
      <c r="G1407" s="20" t="str">
        <f aca="false">IF($X1407="","",INDEX('Per Line'!$I$2:$I$4001,$X1407))</f>
        <v/>
      </c>
      <c r="H1407" s="20" t="str">
        <f aca="false">IF($X1407="","",INDEX('Per Line'!$J$2:$J$4001,$X1407))</f>
        <v/>
      </c>
      <c r="I1407" s="20" t="str">
        <f aca="false">IF($X1407="","",INDEX('Per Line'!$K$2:$K$4001,$X1407))</f>
        <v/>
      </c>
      <c r="J1407" s="20" t="str">
        <f aca="false">IF($X1407="","",INDEX('Per Line'!$L$2:$L$4001,$X1407))</f>
        <v/>
      </c>
      <c r="K1407" s="20" t="str">
        <f aca="false">IF($X1407="","",INDEX('Per Line'!$M$2:$M$4001,$X1407))</f>
        <v/>
      </c>
      <c r="L1407" s="22" t="str">
        <f aca="false">IF($X1407="","",K1407*V1407/100)</f>
        <v/>
      </c>
      <c r="M1407" s="20" t="str">
        <f aca="false">IF($X1407="","",INDEX('Per Line'!$Z$2:$Z$4001,$X1407))</f>
        <v/>
      </c>
      <c r="N1407" s="23" t="str">
        <f aca="false">IF($X1407="","",Settings!$C$7)</f>
        <v/>
      </c>
      <c r="O1407" s="22" t="str">
        <f aca="false">IF($X1407="","",SUMIFS('Per Line'!$Y$2:$Y$4001,'Per Line'!$D$2:$D$4001,$B1407,'Per Line'!$AJ$2:$AJ$4001,0))</f>
        <v/>
      </c>
      <c r="P1407" s="22" t="str">
        <f aca="false">IF($X1407="","",O1407*N1407)</f>
        <v/>
      </c>
      <c r="Q1407" s="23" t="str">
        <f aca="false">IF($X1407="","",Settings!$C$6)</f>
        <v/>
      </c>
      <c r="R1407" s="22" t="str">
        <f aca="false">IF($X1407="","",SUMIFS('Per Line'!$Y$2:$Y$4001,'Per Line'!$D$2:$D$4001,$B1407,'Per Line'!$AJ$2:$AJ$4001,1))</f>
        <v/>
      </c>
      <c r="S1407" s="22" t="str">
        <f aca="false">IF($X1407="","",R1407*Q1407)</f>
        <v/>
      </c>
      <c r="T1407" s="22" t="str">
        <f aca="false">IF($X1407="","",S1407+P1407)</f>
        <v/>
      </c>
      <c r="U1407" s="22" t="str">
        <f aca="false">IF($X1407="","",V1407-T1407)</f>
        <v/>
      </c>
      <c r="V1407" s="22" t="str">
        <f aca="false">IF($X1407="","",O1407+R1407)</f>
        <v/>
      </c>
      <c r="W1407" s="22" t="str">
        <f aca="false">IF($X1407="","",U1407-L1407)</f>
        <v/>
      </c>
      <c r="X1407" s="24" t="str">
        <f aca="false">IF(ROWS($X$2:$X1407)&lt;=MAX('Per Line'!$AI$2:$AI$4001),MATCH(ROWS($X$2:$X1407),'Per Line'!$AI$2:$AI$4001,0),"")</f>
        <v/>
      </c>
    </row>
    <row r="1408" customFormat="false" ht="15" hidden="false" customHeight="false" outlineLevel="0" collapsed="false">
      <c r="A1408" s="19"/>
      <c r="B1408" s="20" t="str">
        <f aca="false">IF($X1408="","",INDEX('Per Line'!$D$2:$D$4001,$X1408))</f>
        <v/>
      </c>
      <c r="C1408" s="20" t="str">
        <f aca="false">IF($X1408="","",INDEX('Per Line'!$C$2:$C$4001,$X1408))</f>
        <v/>
      </c>
      <c r="D1408" s="20" t="str">
        <f aca="false">IF($X1408="","",INDEX('Per Line'!$A$2:$A$4001,$X1408))</f>
        <v/>
      </c>
      <c r="E1408" s="21" t="str">
        <f aca="false">IF($X1408="","",INDEX('Per Line'!$F$2:$F$4001,$X1408))</f>
        <v/>
      </c>
      <c r="F1408" s="20" t="str">
        <f aca="false">IF($X1408="","",INDEX('Per Line'!$G$2:$G$4001,$X1408))</f>
        <v/>
      </c>
      <c r="G1408" s="20" t="str">
        <f aca="false">IF($X1408="","",INDEX('Per Line'!$I$2:$I$4001,$X1408))</f>
        <v/>
      </c>
      <c r="H1408" s="20" t="str">
        <f aca="false">IF($X1408="","",INDEX('Per Line'!$J$2:$J$4001,$X1408))</f>
        <v/>
      </c>
      <c r="I1408" s="20" t="str">
        <f aca="false">IF($X1408="","",INDEX('Per Line'!$K$2:$K$4001,$X1408))</f>
        <v/>
      </c>
      <c r="J1408" s="20" t="str">
        <f aca="false">IF($X1408="","",INDEX('Per Line'!$L$2:$L$4001,$X1408))</f>
        <v/>
      </c>
      <c r="K1408" s="20" t="str">
        <f aca="false">IF($X1408="","",INDEX('Per Line'!$M$2:$M$4001,$X1408))</f>
        <v/>
      </c>
      <c r="L1408" s="22" t="str">
        <f aca="false">IF($X1408="","",K1408*V1408/100)</f>
        <v/>
      </c>
      <c r="M1408" s="20" t="str">
        <f aca="false">IF($X1408="","",INDEX('Per Line'!$Z$2:$Z$4001,$X1408))</f>
        <v/>
      </c>
      <c r="N1408" s="23" t="str">
        <f aca="false">IF($X1408="","",Settings!$C$7)</f>
        <v/>
      </c>
      <c r="O1408" s="22" t="str">
        <f aca="false">IF($X1408="","",SUMIFS('Per Line'!$Y$2:$Y$4001,'Per Line'!$D$2:$D$4001,$B1408,'Per Line'!$AJ$2:$AJ$4001,0))</f>
        <v/>
      </c>
      <c r="P1408" s="22" t="str">
        <f aca="false">IF($X1408="","",O1408*N1408)</f>
        <v/>
      </c>
      <c r="Q1408" s="23" t="str">
        <f aca="false">IF($X1408="","",Settings!$C$6)</f>
        <v/>
      </c>
      <c r="R1408" s="22" t="str">
        <f aca="false">IF($X1408="","",SUMIFS('Per Line'!$Y$2:$Y$4001,'Per Line'!$D$2:$D$4001,$B1408,'Per Line'!$AJ$2:$AJ$4001,1))</f>
        <v/>
      </c>
      <c r="S1408" s="22" t="str">
        <f aca="false">IF($X1408="","",R1408*Q1408)</f>
        <v/>
      </c>
      <c r="T1408" s="22" t="str">
        <f aca="false">IF($X1408="","",S1408+P1408)</f>
        <v/>
      </c>
      <c r="U1408" s="22" t="str">
        <f aca="false">IF($X1408="","",V1408-T1408)</f>
        <v/>
      </c>
      <c r="V1408" s="22" t="str">
        <f aca="false">IF($X1408="","",O1408+R1408)</f>
        <v/>
      </c>
      <c r="W1408" s="22" t="str">
        <f aca="false">IF($X1408="","",U1408-L1408)</f>
        <v/>
      </c>
      <c r="X1408" s="24" t="str">
        <f aca="false">IF(ROWS($X$2:$X1408)&lt;=MAX('Per Line'!$AI$2:$AI$4001),MATCH(ROWS($X$2:$X1408),'Per Line'!$AI$2:$AI$4001,0),"")</f>
        <v/>
      </c>
    </row>
    <row r="1409" customFormat="false" ht="15" hidden="false" customHeight="false" outlineLevel="0" collapsed="false">
      <c r="A1409" s="19"/>
      <c r="B1409" s="20" t="str">
        <f aca="false">IF($X1409="","",INDEX('Per Line'!$D$2:$D$4001,$X1409))</f>
        <v/>
      </c>
      <c r="C1409" s="20" t="str">
        <f aca="false">IF($X1409="","",INDEX('Per Line'!$C$2:$C$4001,$X1409))</f>
        <v/>
      </c>
      <c r="D1409" s="20" t="str">
        <f aca="false">IF($X1409="","",INDEX('Per Line'!$A$2:$A$4001,$X1409))</f>
        <v/>
      </c>
      <c r="E1409" s="21" t="str">
        <f aca="false">IF($X1409="","",INDEX('Per Line'!$F$2:$F$4001,$X1409))</f>
        <v/>
      </c>
      <c r="F1409" s="20" t="str">
        <f aca="false">IF($X1409="","",INDEX('Per Line'!$G$2:$G$4001,$X1409))</f>
        <v/>
      </c>
      <c r="G1409" s="20" t="str">
        <f aca="false">IF($X1409="","",INDEX('Per Line'!$I$2:$I$4001,$X1409))</f>
        <v/>
      </c>
      <c r="H1409" s="20" t="str">
        <f aca="false">IF($X1409="","",INDEX('Per Line'!$J$2:$J$4001,$X1409))</f>
        <v/>
      </c>
      <c r="I1409" s="20" t="str">
        <f aca="false">IF($X1409="","",INDEX('Per Line'!$K$2:$K$4001,$X1409))</f>
        <v/>
      </c>
      <c r="J1409" s="20" t="str">
        <f aca="false">IF($X1409="","",INDEX('Per Line'!$L$2:$L$4001,$X1409))</f>
        <v/>
      </c>
      <c r="K1409" s="20" t="str">
        <f aca="false">IF($X1409="","",INDEX('Per Line'!$M$2:$M$4001,$X1409))</f>
        <v/>
      </c>
      <c r="L1409" s="22" t="str">
        <f aca="false">IF($X1409="","",K1409*V1409/100)</f>
        <v/>
      </c>
      <c r="M1409" s="20" t="str">
        <f aca="false">IF($X1409="","",INDEX('Per Line'!$Z$2:$Z$4001,$X1409))</f>
        <v/>
      </c>
      <c r="N1409" s="23" t="str">
        <f aca="false">IF($X1409="","",Settings!$C$7)</f>
        <v/>
      </c>
      <c r="O1409" s="22" t="str">
        <f aca="false">IF($X1409="","",SUMIFS('Per Line'!$Y$2:$Y$4001,'Per Line'!$D$2:$D$4001,$B1409,'Per Line'!$AJ$2:$AJ$4001,0))</f>
        <v/>
      </c>
      <c r="P1409" s="22" t="str">
        <f aca="false">IF($X1409="","",O1409*N1409)</f>
        <v/>
      </c>
      <c r="Q1409" s="23" t="str">
        <f aca="false">IF($X1409="","",Settings!$C$6)</f>
        <v/>
      </c>
      <c r="R1409" s="22" t="str">
        <f aca="false">IF($X1409="","",SUMIFS('Per Line'!$Y$2:$Y$4001,'Per Line'!$D$2:$D$4001,$B1409,'Per Line'!$AJ$2:$AJ$4001,1))</f>
        <v/>
      </c>
      <c r="S1409" s="22" t="str">
        <f aca="false">IF($X1409="","",R1409*Q1409)</f>
        <v/>
      </c>
      <c r="T1409" s="22" t="str">
        <f aca="false">IF($X1409="","",S1409+P1409)</f>
        <v/>
      </c>
      <c r="U1409" s="22" t="str">
        <f aca="false">IF($X1409="","",V1409-T1409)</f>
        <v/>
      </c>
      <c r="V1409" s="22" t="str">
        <f aca="false">IF($X1409="","",O1409+R1409)</f>
        <v/>
      </c>
      <c r="W1409" s="22" t="str">
        <f aca="false">IF($X1409="","",U1409-L1409)</f>
        <v/>
      </c>
      <c r="X1409" s="24" t="str">
        <f aca="false">IF(ROWS($X$2:$X1409)&lt;=MAX('Per Line'!$AI$2:$AI$4001),MATCH(ROWS($X$2:$X1409),'Per Line'!$AI$2:$AI$4001,0),"")</f>
        <v/>
      </c>
    </row>
    <row r="1410" customFormat="false" ht="15" hidden="false" customHeight="false" outlineLevel="0" collapsed="false">
      <c r="A1410" s="19"/>
      <c r="B1410" s="20" t="str">
        <f aca="false">IF($X1410="","",INDEX('Per Line'!$D$2:$D$4001,$X1410))</f>
        <v/>
      </c>
      <c r="C1410" s="20" t="str">
        <f aca="false">IF($X1410="","",INDEX('Per Line'!$C$2:$C$4001,$X1410))</f>
        <v/>
      </c>
      <c r="D1410" s="20" t="str">
        <f aca="false">IF($X1410="","",INDEX('Per Line'!$A$2:$A$4001,$X1410))</f>
        <v/>
      </c>
      <c r="E1410" s="21" t="str">
        <f aca="false">IF($X1410="","",INDEX('Per Line'!$F$2:$F$4001,$X1410))</f>
        <v/>
      </c>
      <c r="F1410" s="20" t="str">
        <f aca="false">IF($X1410="","",INDEX('Per Line'!$G$2:$G$4001,$X1410))</f>
        <v/>
      </c>
      <c r="G1410" s="20" t="str">
        <f aca="false">IF($X1410="","",INDEX('Per Line'!$I$2:$I$4001,$X1410))</f>
        <v/>
      </c>
      <c r="H1410" s="20" t="str">
        <f aca="false">IF($X1410="","",INDEX('Per Line'!$J$2:$J$4001,$X1410))</f>
        <v/>
      </c>
      <c r="I1410" s="20" t="str">
        <f aca="false">IF($X1410="","",INDEX('Per Line'!$K$2:$K$4001,$X1410))</f>
        <v/>
      </c>
      <c r="J1410" s="20" t="str">
        <f aca="false">IF($X1410="","",INDEX('Per Line'!$L$2:$L$4001,$X1410))</f>
        <v/>
      </c>
      <c r="K1410" s="20" t="str">
        <f aca="false">IF($X1410="","",INDEX('Per Line'!$M$2:$M$4001,$X1410))</f>
        <v/>
      </c>
      <c r="L1410" s="22" t="str">
        <f aca="false">IF($X1410="","",K1410*V1410/100)</f>
        <v/>
      </c>
      <c r="M1410" s="20" t="str">
        <f aca="false">IF($X1410="","",INDEX('Per Line'!$Z$2:$Z$4001,$X1410))</f>
        <v/>
      </c>
      <c r="N1410" s="23" t="str">
        <f aca="false">IF($X1410="","",Settings!$C$7)</f>
        <v/>
      </c>
      <c r="O1410" s="22" t="str">
        <f aca="false">IF($X1410="","",SUMIFS('Per Line'!$Y$2:$Y$4001,'Per Line'!$D$2:$D$4001,$B1410,'Per Line'!$AJ$2:$AJ$4001,0))</f>
        <v/>
      </c>
      <c r="P1410" s="22" t="str">
        <f aca="false">IF($X1410="","",O1410*N1410)</f>
        <v/>
      </c>
      <c r="Q1410" s="23" t="str">
        <f aca="false">IF($X1410="","",Settings!$C$6)</f>
        <v/>
      </c>
      <c r="R1410" s="22" t="str">
        <f aca="false">IF($X1410="","",SUMIFS('Per Line'!$Y$2:$Y$4001,'Per Line'!$D$2:$D$4001,$B1410,'Per Line'!$AJ$2:$AJ$4001,1))</f>
        <v/>
      </c>
      <c r="S1410" s="22" t="str">
        <f aca="false">IF($X1410="","",R1410*Q1410)</f>
        <v/>
      </c>
      <c r="T1410" s="22" t="str">
        <f aca="false">IF($X1410="","",S1410+P1410)</f>
        <v/>
      </c>
      <c r="U1410" s="22" t="str">
        <f aca="false">IF($X1410="","",V1410-T1410)</f>
        <v/>
      </c>
      <c r="V1410" s="22" t="str">
        <f aca="false">IF($X1410="","",O1410+R1410)</f>
        <v/>
      </c>
      <c r="W1410" s="22" t="str">
        <f aca="false">IF($X1410="","",U1410-L1410)</f>
        <v/>
      </c>
      <c r="X1410" s="24" t="str">
        <f aca="false">IF(ROWS($X$2:$X1410)&lt;=MAX('Per Line'!$AI$2:$AI$4001),MATCH(ROWS($X$2:$X1410),'Per Line'!$AI$2:$AI$4001,0),"")</f>
        <v/>
      </c>
    </row>
    <row r="1411" customFormat="false" ht="15" hidden="false" customHeight="false" outlineLevel="0" collapsed="false">
      <c r="A1411" s="19"/>
      <c r="B1411" s="20" t="str">
        <f aca="false">IF($X1411="","",INDEX('Per Line'!$D$2:$D$4001,$X1411))</f>
        <v/>
      </c>
      <c r="C1411" s="20" t="str">
        <f aca="false">IF($X1411="","",INDEX('Per Line'!$C$2:$C$4001,$X1411))</f>
        <v/>
      </c>
      <c r="D1411" s="20" t="str">
        <f aca="false">IF($X1411="","",INDEX('Per Line'!$A$2:$A$4001,$X1411))</f>
        <v/>
      </c>
      <c r="E1411" s="21" t="str">
        <f aca="false">IF($X1411="","",INDEX('Per Line'!$F$2:$F$4001,$X1411))</f>
        <v/>
      </c>
      <c r="F1411" s="20" t="str">
        <f aca="false">IF($X1411="","",INDEX('Per Line'!$G$2:$G$4001,$X1411))</f>
        <v/>
      </c>
      <c r="G1411" s="20" t="str">
        <f aca="false">IF($X1411="","",INDEX('Per Line'!$I$2:$I$4001,$X1411))</f>
        <v/>
      </c>
      <c r="H1411" s="20" t="str">
        <f aca="false">IF($X1411="","",INDEX('Per Line'!$J$2:$J$4001,$X1411))</f>
        <v/>
      </c>
      <c r="I1411" s="20" t="str">
        <f aca="false">IF($X1411="","",INDEX('Per Line'!$K$2:$K$4001,$X1411))</f>
        <v/>
      </c>
      <c r="J1411" s="20" t="str">
        <f aca="false">IF($X1411="","",INDEX('Per Line'!$L$2:$L$4001,$X1411))</f>
        <v/>
      </c>
      <c r="K1411" s="20" t="str">
        <f aca="false">IF($X1411="","",INDEX('Per Line'!$M$2:$M$4001,$X1411))</f>
        <v/>
      </c>
      <c r="L1411" s="22" t="str">
        <f aca="false">IF($X1411="","",K1411*V1411/100)</f>
        <v/>
      </c>
      <c r="M1411" s="20" t="str">
        <f aca="false">IF($X1411="","",INDEX('Per Line'!$Z$2:$Z$4001,$X1411))</f>
        <v/>
      </c>
      <c r="N1411" s="23" t="str">
        <f aca="false">IF($X1411="","",Settings!$C$7)</f>
        <v/>
      </c>
      <c r="O1411" s="22" t="str">
        <f aca="false">IF($X1411="","",SUMIFS('Per Line'!$Y$2:$Y$4001,'Per Line'!$D$2:$D$4001,$B1411,'Per Line'!$AJ$2:$AJ$4001,0))</f>
        <v/>
      </c>
      <c r="P1411" s="22" t="str">
        <f aca="false">IF($X1411="","",O1411*N1411)</f>
        <v/>
      </c>
      <c r="Q1411" s="23" t="str">
        <f aca="false">IF($X1411="","",Settings!$C$6)</f>
        <v/>
      </c>
      <c r="R1411" s="22" t="str">
        <f aca="false">IF($X1411="","",SUMIFS('Per Line'!$Y$2:$Y$4001,'Per Line'!$D$2:$D$4001,$B1411,'Per Line'!$AJ$2:$AJ$4001,1))</f>
        <v/>
      </c>
      <c r="S1411" s="22" t="str">
        <f aca="false">IF($X1411="","",R1411*Q1411)</f>
        <v/>
      </c>
      <c r="T1411" s="22" t="str">
        <f aca="false">IF($X1411="","",S1411+P1411)</f>
        <v/>
      </c>
      <c r="U1411" s="22" t="str">
        <f aca="false">IF($X1411="","",V1411-T1411)</f>
        <v/>
      </c>
      <c r="V1411" s="22" t="str">
        <f aca="false">IF($X1411="","",O1411+R1411)</f>
        <v/>
      </c>
      <c r="W1411" s="22" t="str">
        <f aca="false">IF($X1411="","",U1411-L1411)</f>
        <v/>
      </c>
      <c r="X1411" s="24" t="str">
        <f aca="false">IF(ROWS($X$2:$X1411)&lt;=MAX('Per Line'!$AI$2:$AI$4001),MATCH(ROWS($X$2:$X1411),'Per Line'!$AI$2:$AI$4001,0),"")</f>
        <v/>
      </c>
    </row>
    <row r="1412" customFormat="false" ht="15" hidden="false" customHeight="false" outlineLevel="0" collapsed="false">
      <c r="A1412" s="19"/>
      <c r="B1412" s="20" t="str">
        <f aca="false">IF($X1412="","",INDEX('Per Line'!$D$2:$D$4001,$X1412))</f>
        <v/>
      </c>
      <c r="C1412" s="20" t="str">
        <f aca="false">IF($X1412="","",INDEX('Per Line'!$C$2:$C$4001,$X1412))</f>
        <v/>
      </c>
      <c r="D1412" s="20" t="str">
        <f aca="false">IF($X1412="","",INDEX('Per Line'!$A$2:$A$4001,$X1412))</f>
        <v/>
      </c>
      <c r="E1412" s="21" t="str">
        <f aca="false">IF($X1412="","",INDEX('Per Line'!$F$2:$F$4001,$X1412))</f>
        <v/>
      </c>
      <c r="F1412" s="20" t="str">
        <f aca="false">IF($X1412="","",INDEX('Per Line'!$G$2:$G$4001,$X1412))</f>
        <v/>
      </c>
      <c r="G1412" s="20" t="str">
        <f aca="false">IF($X1412="","",INDEX('Per Line'!$I$2:$I$4001,$X1412))</f>
        <v/>
      </c>
      <c r="H1412" s="20" t="str">
        <f aca="false">IF($X1412="","",INDEX('Per Line'!$J$2:$J$4001,$X1412))</f>
        <v/>
      </c>
      <c r="I1412" s="20" t="str">
        <f aca="false">IF($X1412="","",INDEX('Per Line'!$K$2:$K$4001,$X1412))</f>
        <v/>
      </c>
      <c r="J1412" s="20" t="str">
        <f aca="false">IF($X1412="","",INDEX('Per Line'!$L$2:$L$4001,$X1412))</f>
        <v/>
      </c>
      <c r="K1412" s="20" t="str">
        <f aca="false">IF($X1412="","",INDEX('Per Line'!$M$2:$M$4001,$X1412))</f>
        <v/>
      </c>
      <c r="L1412" s="22" t="str">
        <f aca="false">IF($X1412="","",K1412*V1412/100)</f>
        <v/>
      </c>
      <c r="M1412" s="20" t="str">
        <f aca="false">IF($X1412="","",INDEX('Per Line'!$Z$2:$Z$4001,$X1412))</f>
        <v/>
      </c>
      <c r="N1412" s="23" t="str">
        <f aca="false">IF($X1412="","",Settings!$C$7)</f>
        <v/>
      </c>
      <c r="O1412" s="22" t="str">
        <f aca="false">IF($X1412="","",SUMIFS('Per Line'!$Y$2:$Y$4001,'Per Line'!$D$2:$D$4001,$B1412,'Per Line'!$AJ$2:$AJ$4001,0))</f>
        <v/>
      </c>
      <c r="P1412" s="22" t="str">
        <f aca="false">IF($X1412="","",O1412*N1412)</f>
        <v/>
      </c>
      <c r="Q1412" s="23" t="str">
        <f aca="false">IF($X1412="","",Settings!$C$6)</f>
        <v/>
      </c>
      <c r="R1412" s="22" t="str">
        <f aca="false">IF($X1412="","",SUMIFS('Per Line'!$Y$2:$Y$4001,'Per Line'!$D$2:$D$4001,$B1412,'Per Line'!$AJ$2:$AJ$4001,1))</f>
        <v/>
      </c>
      <c r="S1412" s="22" t="str">
        <f aca="false">IF($X1412="","",R1412*Q1412)</f>
        <v/>
      </c>
      <c r="T1412" s="22" t="str">
        <f aca="false">IF($X1412="","",S1412+P1412)</f>
        <v/>
      </c>
      <c r="U1412" s="22" t="str">
        <f aca="false">IF($X1412="","",V1412-T1412)</f>
        <v/>
      </c>
      <c r="V1412" s="22" t="str">
        <f aca="false">IF($X1412="","",O1412+R1412)</f>
        <v/>
      </c>
      <c r="W1412" s="22" t="str">
        <f aca="false">IF($X1412="","",U1412-L1412)</f>
        <v/>
      </c>
      <c r="X1412" s="24" t="str">
        <f aca="false">IF(ROWS($X$2:$X1412)&lt;=MAX('Per Line'!$AI$2:$AI$4001),MATCH(ROWS($X$2:$X1412),'Per Line'!$AI$2:$AI$4001,0),"")</f>
        <v/>
      </c>
    </row>
    <row r="1413" customFormat="false" ht="15" hidden="false" customHeight="false" outlineLevel="0" collapsed="false">
      <c r="A1413" s="19"/>
      <c r="B1413" s="20" t="str">
        <f aca="false">IF($X1413="","",INDEX('Per Line'!$D$2:$D$4001,$X1413))</f>
        <v/>
      </c>
      <c r="C1413" s="20" t="str">
        <f aca="false">IF($X1413="","",INDEX('Per Line'!$C$2:$C$4001,$X1413))</f>
        <v/>
      </c>
      <c r="D1413" s="20" t="str">
        <f aca="false">IF($X1413="","",INDEX('Per Line'!$A$2:$A$4001,$X1413))</f>
        <v/>
      </c>
      <c r="E1413" s="21" t="str">
        <f aca="false">IF($X1413="","",INDEX('Per Line'!$F$2:$F$4001,$X1413))</f>
        <v/>
      </c>
      <c r="F1413" s="20" t="str">
        <f aca="false">IF($X1413="","",INDEX('Per Line'!$G$2:$G$4001,$X1413))</f>
        <v/>
      </c>
      <c r="G1413" s="20" t="str">
        <f aca="false">IF($X1413="","",INDEX('Per Line'!$I$2:$I$4001,$X1413))</f>
        <v/>
      </c>
      <c r="H1413" s="20" t="str">
        <f aca="false">IF($X1413="","",INDEX('Per Line'!$J$2:$J$4001,$X1413))</f>
        <v/>
      </c>
      <c r="I1413" s="20" t="str">
        <f aca="false">IF($X1413="","",INDEX('Per Line'!$K$2:$K$4001,$X1413))</f>
        <v/>
      </c>
      <c r="J1413" s="20" t="str">
        <f aca="false">IF($X1413="","",INDEX('Per Line'!$L$2:$L$4001,$X1413))</f>
        <v/>
      </c>
      <c r="K1413" s="20" t="str">
        <f aca="false">IF($X1413="","",INDEX('Per Line'!$M$2:$M$4001,$X1413))</f>
        <v/>
      </c>
      <c r="L1413" s="22" t="str">
        <f aca="false">IF($X1413="","",K1413*V1413/100)</f>
        <v/>
      </c>
      <c r="M1413" s="20" t="str">
        <f aca="false">IF($X1413="","",INDEX('Per Line'!$Z$2:$Z$4001,$X1413))</f>
        <v/>
      </c>
      <c r="N1413" s="23" t="str">
        <f aca="false">IF($X1413="","",Settings!$C$7)</f>
        <v/>
      </c>
      <c r="O1413" s="22" t="str">
        <f aca="false">IF($X1413="","",SUMIFS('Per Line'!$Y$2:$Y$4001,'Per Line'!$D$2:$D$4001,$B1413,'Per Line'!$AJ$2:$AJ$4001,0))</f>
        <v/>
      </c>
      <c r="P1413" s="22" t="str">
        <f aca="false">IF($X1413="","",O1413*N1413)</f>
        <v/>
      </c>
      <c r="Q1413" s="23" t="str">
        <f aca="false">IF($X1413="","",Settings!$C$6)</f>
        <v/>
      </c>
      <c r="R1413" s="22" t="str">
        <f aca="false">IF($X1413="","",SUMIFS('Per Line'!$Y$2:$Y$4001,'Per Line'!$D$2:$D$4001,$B1413,'Per Line'!$AJ$2:$AJ$4001,1))</f>
        <v/>
      </c>
      <c r="S1413" s="22" t="str">
        <f aca="false">IF($X1413="","",R1413*Q1413)</f>
        <v/>
      </c>
      <c r="T1413" s="22" t="str">
        <f aca="false">IF($X1413="","",S1413+P1413)</f>
        <v/>
      </c>
      <c r="U1413" s="22" t="str">
        <f aca="false">IF($X1413="","",V1413-T1413)</f>
        <v/>
      </c>
      <c r="V1413" s="22" t="str">
        <f aca="false">IF($X1413="","",O1413+R1413)</f>
        <v/>
      </c>
      <c r="W1413" s="22" t="str">
        <f aca="false">IF($X1413="","",U1413-L1413)</f>
        <v/>
      </c>
      <c r="X1413" s="24" t="str">
        <f aca="false">IF(ROWS($X$2:$X1413)&lt;=MAX('Per Line'!$AI$2:$AI$4001),MATCH(ROWS($X$2:$X1413),'Per Line'!$AI$2:$AI$4001,0),"")</f>
        <v/>
      </c>
    </row>
    <row r="1414" customFormat="false" ht="15" hidden="false" customHeight="false" outlineLevel="0" collapsed="false">
      <c r="A1414" s="19"/>
      <c r="B1414" s="20" t="str">
        <f aca="false">IF($X1414="","",INDEX('Per Line'!$D$2:$D$4001,$X1414))</f>
        <v/>
      </c>
      <c r="C1414" s="20" t="str">
        <f aca="false">IF($X1414="","",INDEX('Per Line'!$C$2:$C$4001,$X1414))</f>
        <v/>
      </c>
      <c r="D1414" s="20" t="str">
        <f aca="false">IF($X1414="","",INDEX('Per Line'!$A$2:$A$4001,$X1414))</f>
        <v/>
      </c>
      <c r="E1414" s="21" t="str">
        <f aca="false">IF($X1414="","",INDEX('Per Line'!$F$2:$F$4001,$X1414))</f>
        <v/>
      </c>
      <c r="F1414" s="20" t="str">
        <f aca="false">IF($X1414="","",INDEX('Per Line'!$G$2:$G$4001,$X1414))</f>
        <v/>
      </c>
      <c r="G1414" s="20" t="str">
        <f aca="false">IF($X1414="","",INDEX('Per Line'!$I$2:$I$4001,$X1414))</f>
        <v/>
      </c>
      <c r="H1414" s="20" t="str">
        <f aca="false">IF($X1414="","",INDEX('Per Line'!$J$2:$J$4001,$X1414))</f>
        <v/>
      </c>
      <c r="I1414" s="20" t="str">
        <f aca="false">IF($X1414="","",INDEX('Per Line'!$K$2:$K$4001,$X1414))</f>
        <v/>
      </c>
      <c r="J1414" s="20" t="str">
        <f aca="false">IF($X1414="","",INDEX('Per Line'!$L$2:$L$4001,$X1414))</f>
        <v/>
      </c>
      <c r="K1414" s="20" t="str">
        <f aca="false">IF($X1414="","",INDEX('Per Line'!$M$2:$M$4001,$X1414))</f>
        <v/>
      </c>
      <c r="L1414" s="22" t="str">
        <f aca="false">IF($X1414="","",K1414*V1414/100)</f>
        <v/>
      </c>
      <c r="M1414" s="20" t="str">
        <f aca="false">IF($X1414="","",INDEX('Per Line'!$Z$2:$Z$4001,$X1414))</f>
        <v/>
      </c>
      <c r="N1414" s="23" t="str">
        <f aca="false">IF($X1414="","",Settings!$C$7)</f>
        <v/>
      </c>
      <c r="O1414" s="22" t="str">
        <f aca="false">IF($X1414="","",SUMIFS('Per Line'!$Y$2:$Y$4001,'Per Line'!$D$2:$D$4001,$B1414,'Per Line'!$AJ$2:$AJ$4001,0))</f>
        <v/>
      </c>
      <c r="P1414" s="22" t="str">
        <f aca="false">IF($X1414="","",O1414*N1414)</f>
        <v/>
      </c>
      <c r="Q1414" s="23" t="str">
        <f aca="false">IF($X1414="","",Settings!$C$6)</f>
        <v/>
      </c>
      <c r="R1414" s="22" t="str">
        <f aca="false">IF($X1414="","",SUMIFS('Per Line'!$Y$2:$Y$4001,'Per Line'!$D$2:$D$4001,$B1414,'Per Line'!$AJ$2:$AJ$4001,1))</f>
        <v/>
      </c>
      <c r="S1414" s="22" t="str">
        <f aca="false">IF($X1414="","",R1414*Q1414)</f>
        <v/>
      </c>
      <c r="T1414" s="22" t="str">
        <f aca="false">IF($X1414="","",S1414+P1414)</f>
        <v/>
      </c>
      <c r="U1414" s="22" t="str">
        <f aca="false">IF($X1414="","",V1414-T1414)</f>
        <v/>
      </c>
      <c r="V1414" s="22" t="str">
        <f aca="false">IF($X1414="","",O1414+R1414)</f>
        <v/>
      </c>
      <c r="W1414" s="22" t="str">
        <f aca="false">IF($X1414="","",U1414-L1414)</f>
        <v/>
      </c>
      <c r="X1414" s="24" t="str">
        <f aca="false">IF(ROWS($X$2:$X1414)&lt;=MAX('Per Line'!$AI$2:$AI$4001),MATCH(ROWS($X$2:$X1414),'Per Line'!$AI$2:$AI$4001,0),"")</f>
        <v/>
      </c>
    </row>
    <row r="1415" customFormat="false" ht="15" hidden="false" customHeight="false" outlineLevel="0" collapsed="false">
      <c r="A1415" s="19"/>
      <c r="B1415" s="20" t="str">
        <f aca="false">IF($X1415="","",INDEX('Per Line'!$D$2:$D$4001,$X1415))</f>
        <v/>
      </c>
      <c r="C1415" s="20" t="str">
        <f aca="false">IF($X1415="","",INDEX('Per Line'!$C$2:$C$4001,$X1415))</f>
        <v/>
      </c>
      <c r="D1415" s="20" t="str">
        <f aca="false">IF($X1415="","",INDEX('Per Line'!$A$2:$A$4001,$X1415))</f>
        <v/>
      </c>
      <c r="E1415" s="21" t="str">
        <f aca="false">IF($X1415="","",INDEX('Per Line'!$F$2:$F$4001,$X1415))</f>
        <v/>
      </c>
      <c r="F1415" s="20" t="str">
        <f aca="false">IF($X1415="","",INDEX('Per Line'!$G$2:$G$4001,$X1415))</f>
        <v/>
      </c>
      <c r="G1415" s="20" t="str">
        <f aca="false">IF($X1415="","",INDEX('Per Line'!$I$2:$I$4001,$X1415))</f>
        <v/>
      </c>
      <c r="H1415" s="20" t="str">
        <f aca="false">IF($X1415="","",INDEX('Per Line'!$J$2:$J$4001,$X1415))</f>
        <v/>
      </c>
      <c r="I1415" s="20" t="str">
        <f aca="false">IF($X1415="","",INDEX('Per Line'!$K$2:$K$4001,$X1415))</f>
        <v/>
      </c>
      <c r="J1415" s="20" t="str">
        <f aca="false">IF($X1415="","",INDEX('Per Line'!$L$2:$L$4001,$X1415))</f>
        <v/>
      </c>
      <c r="K1415" s="20" t="str">
        <f aca="false">IF($X1415="","",INDEX('Per Line'!$M$2:$M$4001,$X1415))</f>
        <v/>
      </c>
      <c r="L1415" s="22" t="str">
        <f aca="false">IF($X1415="","",K1415*V1415/100)</f>
        <v/>
      </c>
      <c r="M1415" s="20" t="str">
        <f aca="false">IF($X1415="","",INDEX('Per Line'!$Z$2:$Z$4001,$X1415))</f>
        <v/>
      </c>
      <c r="N1415" s="23" t="str">
        <f aca="false">IF($X1415="","",Settings!$C$7)</f>
        <v/>
      </c>
      <c r="O1415" s="22" t="str">
        <f aca="false">IF($X1415="","",SUMIFS('Per Line'!$Y$2:$Y$4001,'Per Line'!$D$2:$D$4001,$B1415,'Per Line'!$AJ$2:$AJ$4001,0))</f>
        <v/>
      </c>
      <c r="P1415" s="22" t="str">
        <f aca="false">IF($X1415="","",O1415*N1415)</f>
        <v/>
      </c>
      <c r="Q1415" s="23" t="str">
        <f aca="false">IF($X1415="","",Settings!$C$6)</f>
        <v/>
      </c>
      <c r="R1415" s="22" t="str">
        <f aca="false">IF($X1415="","",SUMIFS('Per Line'!$Y$2:$Y$4001,'Per Line'!$D$2:$D$4001,$B1415,'Per Line'!$AJ$2:$AJ$4001,1))</f>
        <v/>
      </c>
      <c r="S1415" s="22" t="str">
        <f aca="false">IF($X1415="","",R1415*Q1415)</f>
        <v/>
      </c>
      <c r="T1415" s="22" t="str">
        <f aca="false">IF($X1415="","",S1415+P1415)</f>
        <v/>
      </c>
      <c r="U1415" s="22" t="str">
        <f aca="false">IF($X1415="","",V1415-T1415)</f>
        <v/>
      </c>
      <c r="V1415" s="22" t="str">
        <f aca="false">IF($X1415="","",O1415+R1415)</f>
        <v/>
      </c>
      <c r="W1415" s="22" t="str">
        <f aca="false">IF($X1415="","",U1415-L1415)</f>
        <v/>
      </c>
      <c r="X1415" s="24" t="str">
        <f aca="false">IF(ROWS($X$2:$X1415)&lt;=MAX('Per Line'!$AI$2:$AI$4001),MATCH(ROWS($X$2:$X1415),'Per Line'!$AI$2:$AI$4001,0),"")</f>
        <v/>
      </c>
    </row>
    <row r="1416" customFormat="false" ht="15" hidden="false" customHeight="false" outlineLevel="0" collapsed="false">
      <c r="A1416" s="19"/>
      <c r="B1416" s="20" t="str">
        <f aca="false">IF($X1416="","",INDEX('Per Line'!$D$2:$D$4001,$X1416))</f>
        <v/>
      </c>
      <c r="C1416" s="20" t="str">
        <f aca="false">IF($X1416="","",INDEX('Per Line'!$C$2:$C$4001,$X1416))</f>
        <v/>
      </c>
      <c r="D1416" s="20" t="str">
        <f aca="false">IF($X1416="","",INDEX('Per Line'!$A$2:$A$4001,$X1416))</f>
        <v/>
      </c>
      <c r="E1416" s="21" t="str">
        <f aca="false">IF($X1416="","",INDEX('Per Line'!$F$2:$F$4001,$X1416))</f>
        <v/>
      </c>
      <c r="F1416" s="20" t="str">
        <f aca="false">IF($X1416="","",INDEX('Per Line'!$G$2:$G$4001,$X1416))</f>
        <v/>
      </c>
      <c r="G1416" s="20" t="str">
        <f aca="false">IF($X1416="","",INDEX('Per Line'!$I$2:$I$4001,$X1416))</f>
        <v/>
      </c>
      <c r="H1416" s="20" t="str">
        <f aca="false">IF($X1416="","",INDEX('Per Line'!$J$2:$J$4001,$X1416))</f>
        <v/>
      </c>
      <c r="I1416" s="20" t="str">
        <f aca="false">IF($X1416="","",INDEX('Per Line'!$K$2:$K$4001,$X1416))</f>
        <v/>
      </c>
      <c r="J1416" s="20" t="str">
        <f aca="false">IF($X1416="","",INDEX('Per Line'!$L$2:$L$4001,$X1416))</f>
        <v/>
      </c>
      <c r="K1416" s="20" t="str">
        <f aca="false">IF($X1416="","",INDEX('Per Line'!$M$2:$M$4001,$X1416))</f>
        <v/>
      </c>
      <c r="L1416" s="22" t="str">
        <f aca="false">IF($X1416="","",K1416*V1416/100)</f>
        <v/>
      </c>
      <c r="M1416" s="20" t="str">
        <f aca="false">IF($X1416="","",INDEX('Per Line'!$Z$2:$Z$4001,$X1416))</f>
        <v/>
      </c>
      <c r="N1416" s="23" t="str">
        <f aca="false">IF($X1416="","",Settings!$C$7)</f>
        <v/>
      </c>
      <c r="O1416" s="22" t="str">
        <f aca="false">IF($X1416="","",SUMIFS('Per Line'!$Y$2:$Y$4001,'Per Line'!$D$2:$D$4001,$B1416,'Per Line'!$AJ$2:$AJ$4001,0))</f>
        <v/>
      </c>
      <c r="P1416" s="22" t="str">
        <f aca="false">IF($X1416="","",O1416*N1416)</f>
        <v/>
      </c>
      <c r="Q1416" s="23" t="str">
        <f aca="false">IF($X1416="","",Settings!$C$6)</f>
        <v/>
      </c>
      <c r="R1416" s="22" t="str">
        <f aca="false">IF($X1416="","",SUMIFS('Per Line'!$Y$2:$Y$4001,'Per Line'!$D$2:$D$4001,$B1416,'Per Line'!$AJ$2:$AJ$4001,1))</f>
        <v/>
      </c>
      <c r="S1416" s="22" t="str">
        <f aca="false">IF($X1416="","",R1416*Q1416)</f>
        <v/>
      </c>
      <c r="T1416" s="22" t="str">
        <f aca="false">IF($X1416="","",S1416+P1416)</f>
        <v/>
      </c>
      <c r="U1416" s="22" t="str">
        <f aca="false">IF($X1416="","",V1416-T1416)</f>
        <v/>
      </c>
      <c r="V1416" s="22" t="str">
        <f aca="false">IF($X1416="","",O1416+R1416)</f>
        <v/>
      </c>
      <c r="W1416" s="22" t="str">
        <f aca="false">IF($X1416="","",U1416-L1416)</f>
        <v/>
      </c>
      <c r="X1416" s="24" t="str">
        <f aca="false">IF(ROWS($X$2:$X1416)&lt;=MAX('Per Line'!$AI$2:$AI$4001),MATCH(ROWS($X$2:$X1416),'Per Line'!$AI$2:$AI$4001,0),"")</f>
        <v/>
      </c>
    </row>
    <row r="1417" customFormat="false" ht="15" hidden="false" customHeight="false" outlineLevel="0" collapsed="false">
      <c r="A1417" s="19"/>
      <c r="B1417" s="20" t="str">
        <f aca="false">IF($X1417="","",INDEX('Per Line'!$D$2:$D$4001,$X1417))</f>
        <v/>
      </c>
      <c r="C1417" s="20" t="str">
        <f aca="false">IF($X1417="","",INDEX('Per Line'!$C$2:$C$4001,$X1417))</f>
        <v/>
      </c>
      <c r="D1417" s="20" t="str">
        <f aca="false">IF($X1417="","",INDEX('Per Line'!$A$2:$A$4001,$X1417))</f>
        <v/>
      </c>
      <c r="E1417" s="21" t="str">
        <f aca="false">IF($X1417="","",INDEX('Per Line'!$F$2:$F$4001,$X1417))</f>
        <v/>
      </c>
      <c r="F1417" s="20" t="str">
        <f aca="false">IF($X1417="","",INDEX('Per Line'!$G$2:$G$4001,$X1417))</f>
        <v/>
      </c>
      <c r="G1417" s="20" t="str">
        <f aca="false">IF($X1417="","",INDEX('Per Line'!$I$2:$I$4001,$X1417))</f>
        <v/>
      </c>
      <c r="H1417" s="20" t="str">
        <f aca="false">IF($X1417="","",INDEX('Per Line'!$J$2:$J$4001,$X1417))</f>
        <v/>
      </c>
      <c r="I1417" s="20" t="str">
        <f aca="false">IF($X1417="","",INDEX('Per Line'!$K$2:$K$4001,$X1417))</f>
        <v/>
      </c>
      <c r="J1417" s="20" t="str">
        <f aca="false">IF($X1417="","",INDEX('Per Line'!$L$2:$L$4001,$X1417))</f>
        <v/>
      </c>
      <c r="K1417" s="20" t="str">
        <f aca="false">IF($X1417="","",INDEX('Per Line'!$M$2:$M$4001,$X1417))</f>
        <v/>
      </c>
      <c r="L1417" s="22" t="str">
        <f aca="false">IF($X1417="","",K1417*V1417/100)</f>
        <v/>
      </c>
      <c r="M1417" s="20" t="str">
        <f aca="false">IF($X1417="","",INDEX('Per Line'!$Z$2:$Z$4001,$X1417))</f>
        <v/>
      </c>
      <c r="N1417" s="23" t="str">
        <f aca="false">IF($X1417="","",Settings!$C$7)</f>
        <v/>
      </c>
      <c r="O1417" s="22" t="str">
        <f aca="false">IF($X1417="","",SUMIFS('Per Line'!$Y$2:$Y$4001,'Per Line'!$D$2:$D$4001,$B1417,'Per Line'!$AJ$2:$AJ$4001,0))</f>
        <v/>
      </c>
      <c r="P1417" s="22" t="str">
        <f aca="false">IF($X1417="","",O1417*N1417)</f>
        <v/>
      </c>
      <c r="Q1417" s="23" t="str">
        <f aca="false">IF($X1417="","",Settings!$C$6)</f>
        <v/>
      </c>
      <c r="R1417" s="22" t="str">
        <f aca="false">IF($X1417="","",SUMIFS('Per Line'!$Y$2:$Y$4001,'Per Line'!$D$2:$D$4001,$B1417,'Per Line'!$AJ$2:$AJ$4001,1))</f>
        <v/>
      </c>
      <c r="S1417" s="22" t="str">
        <f aca="false">IF($X1417="","",R1417*Q1417)</f>
        <v/>
      </c>
      <c r="T1417" s="22" t="str">
        <f aca="false">IF($X1417="","",S1417+P1417)</f>
        <v/>
      </c>
      <c r="U1417" s="22" t="str">
        <f aca="false">IF($X1417="","",V1417-T1417)</f>
        <v/>
      </c>
      <c r="V1417" s="22" t="str">
        <f aca="false">IF($X1417="","",O1417+R1417)</f>
        <v/>
      </c>
      <c r="W1417" s="22" t="str">
        <f aca="false">IF($X1417="","",U1417-L1417)</f>
        <v/>
      </c>
      <c r="X1417" s="24" t="str">
        <f aca="false">IF(ROWS($X$2:$X1417)&lt;=MAX('Per Line'!$AI$2:$AI$4001),MATCH(ROWS($X$2:$X1417),'Per Line'!$AI$2:$AI$4001,0),"")</f>
        <v/>
      </c>
    </row>
    <row r="1418" customFormat="false" ht="15" hidden="false" customHeight="false" outlineLevel="0" collapsed="false">
      <c r="A1418" s="19"/>
      <c r="B1418" s="20" t="str">
        <f aca="false">IF($X1418="","",INDEX('Per Line'!$D$2:$D$4001,$X1418))</f>
        <v/>
      </c>
      <c r="C1418" s="20" t="str">
        <f aca="false">IF($X1418="","",INDEX('Per Line'!$C$2:$C$4001,$X1418))</f>
        <v/>
      </c>
      <c r="D1418" s="20" t="str">
        <f aca="false">IF($X1418="","",INDEX('Per Line'!$A$2:$A$4001,$X1418))</f>
        <v/>
      </c>
      <c r="E1418" s="21" t="str">
        <f aca="false">IF($X1418="","",INDEX('Per Line'!$F$2:$F$4001,$X1418))</f>
        <v/>
      </c>
      <c r="F1418" s="20" t="str">
        <f aca="false">IF($X1418="","",INDEX('Per Line'!$G$2:$G$4001,$X1418))</f>
        <v/>
      </c>
      <c r="G1418" s="20" t="str">
        <f aca="false">IF($X1418="","",INDEX('Per Line'!$I$2:$I$4001,$X1418))</f>
        <v/>
      </c>
      <c r="H1418" s="20" t="str">
        <f aca="false">IF($X1418="","",INDEX('Per Line'!$J$2:$J$4001,$X1418))</f>
        <v/>
      </c>
      <c r="I1418" s="20" t="str">
        <f aca="false">IF($X1418="","",INDEX('Per Line'!$K$2:$K$4001,$X1418))</f>
        <v/>
      </c>
      <c r="J1418" s="20" t="str">
        <f aca="false">IF($X1418="","",INDEX('Per Line'!$L$2:$L$4001,$X1418))</f>
        <v/>
      </c>
      <c r="K1418" s="20" t="str">
        <f aca="false">IF($X1418="","",INDEX('Per Line'!$M$2:$M$4001,$X1418))</f>
        <v/>
      </c>
      <c r="L1418" s="22" t="str">
        <f aca="false">IF($X1418="","",K1418*V1418/100)</f>
        <v/>
      </c>
      <c r="M1418" s="20" t="str">
        <f aca="false">IF($X1418="","",INDEX('Per Line'!$Z$2:$Z$4001,$X1418))</f>
        <v/>
      </c>
      <c r="N1418" s="23" t="str">
        <f aca="false">IF($X1418="","",Settings!$C$7)</f>
        <v/>
      </c>
      <c r="O1418" s="22" t="str">
        <f aca="false">IF($X1418="","",SUMIFS('Per Line'!$Y$2:$Y$4001,'Per Line'!$D$2:$D$4001,$B1418,'Per Line'!$AJ$2:$AJ$4001,0))</f>
        <v/>
      </c>
      <c r="P1418" s="22" t="str">
        <f aca="false">IF($X1418="","",O1418*N1418)</f>
        <v/>
      </c>
      <c r="Q1418" s="23" t="str">
        <f aca="false">IF($X1418="","",Settings!$C$6)</f>
        <v/>
      </c>
      <c r="R1418" s="22" t="str">
        <f aca="false">IF($X1418="","",SUMIFS('Per Line'!$Y$2:$Y$4001,'Per Line'!$D$2:$D$4001,$B1418,'Per Line'!$AJ$2:$AJ$4001,1))</f>
        <v/>
      </c>
      <c r="S1418" s="22" t="str">
        <f aca="false">IF($X1418="","",R1418*Q1418)</f>
        <v/>
      </c>
      <c r="T1418" s="22" t="str">
        <f aca="false">IF($X1418="","",S1418+P1418)</f>
        <v/>
      </c>
      <c r="U1418" s="22" t="str">
        <f aca="false">IF($X1418="","",V1418-T1418)</f>
        <v/>
      </c>
      <c r="V1418" s="22" t="str">
        <f aca="false">IF($X1418="","",O1418+R1418)</f>
        <v/>
      </c>
      <c r="W1418" s="22" t="str">
        <f aca="false">IF($X1418="","",U1418-L1418)</f>
        <v/>
      </c>
      <c r="X1418" s="24" t="str">
        <f aca="false">IF(ROWS($X$2:$X1418)&lt;=MAX('Per Line'!$AI$2:$AI$4001),MATCH(ROWS($X$2:$X1418),'Per Line'!$AI$2:$AI$4001,0),"")</f>
        <v/>
      </c>
    </row>
    <row r="1419" customFormat="false" ht="15" hidden="false" customHeight="false" outlineLevel="0" collapsed="false">
      <c r="A1419" s="19"/>
      <c r="B1419" s="20" t="str">
        <f aca="false">IF($X1419="","",INDEX('Per Line'!$D$2:$D$4001,$X1419))</f>
        <v/>
      </c>
      <c r="C1419" s="20" t="str">
        <f aca="false">IF($X1419="","",INDEX('Per Line'!$C$2:$C$4001,$X1419))</f>
        <v/>
      </c>
      <c r="D1419" s="20" t="str">
        <f aca="false">IF($X1419="","",INDEX('Per Line'!$A$2:$A$4001,$X1419))</f>
        <v/>
      </c>
      <c r="E1419" s="21" t="str">
        <f aca="false">IF($X1419="","",INDEX('Per Line'!$F$2:$F$4001,$X1419))</f>
        <v/>
      </c>
      <c r="F1419" s="20" t="str">
        <f aca="false">IF($X1419="","",INDEX('Per Line'!$G$2:$G$4001,$X1419))</f>
        <v/>
      </c>
      <c r="G1419" s="20" t="str">
        <f aca="false">IF($X1419="","",INDEX('Per Line'!$I$2:$I$4001,$X1419))</f>
        <v/>
      </c>
      <c r="H1419" s="20" t="str">
        <f aca="false">IF($X1419="","",INDEX('Per Line'!$J$2:$J$4001,$X1419))</f>
        <v/>
      </c>
      <c r="I1419" s="20" t="str">
        <f aca="false">IF($X1419="","",INDEX('Per Line'!$K$2:$K$4001,$X1419))</f>
        <v/>
      </c>
      <c r="J1419" s="20" t="str">
        <f aca="false">IF($X1419="","",INDEX('Per Line'!$L$2:$L$4001,$X1419))</f>
        <v/>
      </c>
      <c r="K1419" s="20" t="str">
        <f aca="false">IF($X1419="","",INDEX('Per Line'!$M$2:$M$4001,$X1419))</f>
        <v/>
      </c>
      <c r="L1419" s="22" t="str">
        <f aca="false">IF($X1419="","",K1419*V1419/100)</f>
        <v/>
      </c>
      <c r="M1419" s="20" t="str">
        <f aca="false">IF($X1419="","",INDEX('Per Line'!$Z$2:$Z$4001,$X1419))</f>
        <v/>
      </c>
      <c r="N1419" s="23" t="str">
        <f aca="false">IF($X1419="","",Settings!$C$7)</f>
        <v/>
      </c>
      <c r="O1419" s="22" t="str">
        <f aca="false">IF($X1419="","",SUMIFS('Per Line'!$Y$2:$Y$4001,'Per Line'!$D$2:$D$4001,$B1419,'Per Line'!$AJ$2:$AJ$4001,0))</f>
        <v/>
      </c>
      <c r="P1419" s="22" t="str">
        <f aca="false">IF($X1419="","",O1419*N1419)</f>
        <v/>
      </c>
      <c r="Q1419" s="23" t="str">
        <f aca="false">IF($X1419="","",Settings!$C$6)</f>
        <v/>
      </c>
      <c r="R1419" s="22" t="str">
        <f aca="false">IF($X1419="","",SUMIFS('Per Line'!$Y$2:$Y$4001,'Per Line'!$D$2:$D$4001,$B1419,'Per Line'!$AJ$2:$AJ$4001,1))</f>
        <v/>
      </c>
      <c r="S1419" s="22" t="str">
        <f aca="false">IF($X1419="","",R1419*Q1419)</f>
        <v/>
      </c>
      <c r="T1419" s="22" t="str">
        <f aca="false">IF($X1419="","",S1419+P1419)</f>
        <v/>
      </c>
      <c r="U1419" s="22" t="str">
        <f aca="false">IF($X1419="","",V1419-T1419)</f>
        <v/>
      </c>
      <c r="V1419" s="22" t="str">
        <f aca="false">IF($X1419="","",O1419+R1419)</f>
        <v/>
      </c>
      <c r="W1419" s="22" t="str">
        <f aca="false">IF($X1419="","",U1419-L1419)</f>
        <v/>
      </c>
      <c r="X1419" s="24" t="str">
        <f aca="false">IF(ROWS($X$2:$X1419)&lt;=MAX('Per Line'!$AI$2:$AI$4001),MATCH(ROWS($X$2:$X1419),'Per Line'!$AI$2:$AI$4001,0),"")</f>
        <v/>
      </c>
    </row>
    <row r="1420" customFormat="false" ht="15" hidden="false" customHeight="false" outlineLevel="0" collapsed="false">
      <c r="A1420" s="19"/>
      <c r="B1420" s="20" t="str">
        <f aca="false">IF($X1420="","",INDEX('Per Line'!$D$2:$D$4001,$X1420))</f>
        <v/>
      </c>
      <c r="C1420" s="20" t="str">
        <f aca="false">IF($X1420="","",INDEX('Per Line'!$C$2:$C$4001,$X1420))</f>
        <v/>
      </c>
      <c r="D1420" s="20" t="str">
        <f aca="false">IF($X1420="","",INDEX('Per Line'!$A$2:$A$4001,$X1420))</f>
        <v/>
      </c>
      <c r="E1420" s="21" t="str">
        <f aca="false">IF($X1420="","",INDEX('Per Line'!$F$2:$F$4001,$X1420))</f>
        <v/>
      </c>
      <c r="F1420" s="20" t="str">
        <f aca="false">IF($X1420="","",INDEX('Per Line'!$G$2:$G$4001,$X1420))</f>
        <v/>
      </c>
      <c r="G1420" s="20" t="str">
        <f aca="false">IF($X1420="","",INDEX('Per Line'!$I$2:$I$4001,$X1420))</f>
        <v/>
      </c>
      <c r="H1420" s="20" t="str">
        <f aca="false">IF($X1420="","",INDEX('Per Line'!$J$2:$J$4001,$X1420))</f>
        <v/>
      </c>
      <c r="I1420" s="20" t="str">
        <f aca="false">IF($X1420="","",INDEX('Per Line'!$K$2:$K$4001,$X1420))</f>
        <v/>
      </c>
      <c r="J1420" s="20" t="str">
        <f aca="false">IF($X1420="","",INDEX('Per Line'!$L$2:$L$4001,$X1420))</f>
        <v/>
      </c>
      <c r="K1420" s="20" t="str">
        <f aca="false">IF($X1420="","",INDEX('Per Line'!$M$2:$M$4001,$X1420))</f>
        <v/>
      </c>
      <c r="L1420" s="22" t="str">
        <f aca="false">IF($X1420="","",K1420*V1420/100)</f>
        <v/>
      </c>
      <c r="M1420" s="20" t="str">
        <f aca="false">IF($X1420="","",INDEX('Per Line'!$Z$2:$Z$4001,$X1420))</f>
        <v/>
      </c>
      <c r="N1420" s="23" t="str">
        <f aca="false">IF($X1420="","",Settings!$C$7)</f>
        <v/>
      </c>
      <c r="O1420" s="22" t="str">
        <f aca="false">IF($X1420="","",SUMIFS('Per Line'!$Y$2:$Y$4001,'Per Line'!$D$2:$D$4001,$B1420,'Per Line'!$AJ$2:$AJ$4001,0))</f>
        <v/>
      </c>
      <c r="P1420" s="22" t="str">
        <f aca="false">IF($X1420="","",O1420*N1420)</f>
        <v/>
      </c>
      <c r="Q1420" s="23" t="str">
        <f aca="false">IF($X1420="","",Settings!$C$6)</f>
        <v/>
      </c>
      <c r="R1420" s="22" t="str">
        <f aca="false">IF($X1420="","",SUMIFS('Per Line'!$Y$2:$Y$4001,'Per Line'!$D$2:$D$4001,$B1420,'Per Line'!$AJ$2:$AJ$4001,1))</f>
        <v/>
      </c>
      <c r="S1420" s="22" t="str">
        <f aca="false">IF($X1420="","",R1420*Q1420)</f>
        <v/>
      </c>
      <c r="T1420" s="22" t="str">
        <f aca="false">IF($X1420="","",S1420+P1420)</f>
        <v/>
      </c>
      <c r="U1420" s="22" t="str">
        <f aca="false">IF($X1420="","",V1420-T1420)</f>
        <v/>
      </c>
      <c r="V1420" s="22" t="str">
        <f aca="false">IF($X1420="","",O1420+R1420)</f>
        <v/>
      </c>
      <c r="W1420" s="22" t="str">
        <f aca="false">IF($X1420="","",U1420-L1420)</f>
        <v/>
      </c>
      <c r="X1420" s="24" t="str">
        <f aca="false">IF(ROWS($X$2:$X1420)&lt;=MAX('Per Line'!$AI$2:$AI$4001),MATCH(ROWS($X$2:$X1420),'Per Line'!$AI$2:$AI$4001,0),"")</f>
        <v/>
      </c>
    </row>
    <row r="1421" customFormat="false" ht="15" hidden="false" customHeight="false" outlineLevel="0" collapsed="false">
      <c r="A1421" s="19"/>
      <c r="B1421" s="20" t="str">
        <f aca="false">IF($X1421="","",INDEX('Per Line'!$D$2:$D$4001,$X1421))</f>
        <v/>
      </c>
      <c r="C1421" s="20" t="str">
        <f aca="false">IF($X1421="","",INDEX('Per Line'!$C$2:$C$4001,$X1421))</f>
        <v/>
      </c>
      <c r="D1421" s="20" t="str">
        <f aca="false">IF($X1421="","",INDEX('Per Line'!$A$2:$A$4001,$X1421))</f>
        <v/>
      </c>
      <c r="E1421" s="21" t="str">
        <f aca="false">IF($X1421="","",INDEX('Per Line'!$F$2:$F$4001,$X1421))</f>
        <v/>
      </c>
      <c r="F1421" s="20" t="str">
        <f aca="false">IF($X1421="","",INDEX('Per Line'!$G$2:$G$4001,$X1421))</f>
        <v/>
      </c>
      <c r="G1421" s="20" t="str">
        <f aca="false">IF($X1421="","",INDEX('Per Line'!$I$2:$I$4001,$X1421))</f>
        <v/>
      </c>
      <c r="H1421" s="20" t="str">
        <f aca="false">IF($X1421="","",INDEX('Per Line'!$J$2:$J$4001,$X1421))</f>
        <v/>
      </c>
      <c r="I1421" s="20" t="str">
        <f aca="false">IF($X1421="","",INDEX('Per Line'!$K$2:$K$4001,$X1421))</f>
        <v/>
      </c>
      <c r="J1421" s="20" t="str">
        <f aca="false">IF($X1421="","",INDEX('Per Line'!$L$2:$L$4001,$X1421))</f>
        <v/>
      </c>
      <c r="K1421" s="20" t="str">
        <f aca="false">IF($X1421="","",INDEX('Per Line'!$M$2:$M$4001,$X1421))</f>
        <v/>
      </c>
      <c r="L1421" s="22" t="str">
        <f aca="false">IF($X1421="","",K1421*V1421/100)</f>
        <v/>
      </c>
      <c r="M1421" s="20" t="str">
        <f aca="false">IF($X1421="","",INDEX('Per Line'!$Z$2:$Z$4001,$X1421))</f>
        <v/>
      </c>
      <c r="N1421" s="23" t="str">
        <f aca="false">IF($X1421="","",Settings!$C$7)</f>
        <v/>
      </c>
      <c r="O1421" s="22" t="str">
        <f aca="false">IF($X1421="","",SUMIFS('Per Line'!$Y$2:$Y$4001,'Per Line'!$D$2:$D$4001,$B1421,'Per Line'!$AJ$2:$AJ$4001,0))</f>
        <v/>
      </c>
      <c r="P1421" s="22" t="str">
        <f aca="false">IF($X1421="","",O1421*N1421)</f>
        <v/>
      </c>
      <c r="Q1421" s="23" t="str">
        <f aca="false">IF($X1421="","",Settings!$C$6)</f>
        <v/>
      </c>
      <c r="R1421" s="22" t="str">
        <f aca="false">IF($X1421="","",SUMIFS('Per Line'!$Y$2:$Y$4001,'Per Line'!$D$2:$D$4001,$B1421,'Per Line'!$AJ$2:$AJ$4001,1))</f>
        <v/>
      </c>
      <c r="S1421" s="22" t="str">
        <f aca="false">IF($X1421="","",R1421*Q1421)</f>
        <v/>
      </c>
      <c r="T1421" s="22" t="str">
        <f aca="false">IF($X1421="","",S1421+P1421)</f>
        <v/>
      </c>
      <c r="U1421" s="22" t="str">
        <f aca="false">IF($X1421="","",V1421-T1421)</f>
        <v/>
      </c>
      <c r="V1421" s="22" t="str">
        <f aca="false">IF($X1421="","",O1421+R1421)</f>
        <v/>
      </c>
      <c r="W1421" s="22" t="str">
        <f aca="false">IF($X1421="","",U1421-L1421)</f>
        <v/>
      </c>
      <c r="X1421" s="24" t="str">
        <f aca="false">IF(ROWS($X$2:$X1421)&lt;=MAX('Per Line'!$AI$2:$AI$4001),MATCH(ROWS($X$2:$X1421),'Per Line'!$AI$2:$AI$4001,0),"")</f>
        <v/>
      </c>
    </row>
    <row r="1422" customFormat="false" ht="15" hidden="false" customHeight="false" outlineLevel="0" collapsed="false">
      <c r="A1422" s="19"/>
      <c r="B1422" s="20" t="str">
        <f aca="false">IF($X1422="","",INDEX('Per Line'!$D$2:$D$4001,$X1422))</f>
        <v/>
      </c>
      <c r="C1422" s="20" t="str">
        <f aca="false">IF($X1422="","",INDEX('Per Line'!$C$2:$C$4001,$X1422))</f>
        <v/>
      </c>
      <c r="D1422" s="20" t="str">
        <f aca="false">IF($X1422="","",INDEX('Per Line'!$A$2:$A$4001,$X1422))</f>
        <v/>
      </c>
      <c r="E1422" s="21" t="str">
        <f aca="false">IF($X1422="","",INDEX('Per Line'!$F$2:$F$4001,$X1422))</f>
        <v/>
      </c>
      <c r="F1422" s="20" t="str">
        <f aca="false">IF($X1422="","",INDEX('Per Line'!$G$2:$G$4001,$X1422))</f>
        <v/>
      </c>
      <c r="G1422" s="20" t="str">
        <f aca="false">IF($X1422="","",INDEX('Per Line'!$I$2:$I$4001,$X1422))</f>
        <v/>
      </c>
      <c r="H1422" s="20" t="str">
        <f aca="false">IF($X1422="","",INDEX('Per Line'!$J$2:$J$4001,$X1422))</f>
        <v/>
      </c>
      <c r="I1422" s="20" t="str">
        <f aca="false">IF($X1422="","",INDEX('Per Line'!$K$2:$K$4001,$X1422))</f>
        <v/>
      </c>
      <c r="J1422" s="20" t="str">
        <f aca="false">IF($X1422="","",INDEX('Per Line'!$L$2:$L$4001,$X1422))</f>
        <v/>
      </c>
      <c r="K1422" s="20" t="str">
        <f aca="false">IF($X1422="","",INDEX('Per Line'!$M$2:$M$4001,$X1422))</f>
        <v/>
      </c>
      <c r="L1422" s="22" t="str">
        <f aca="false">IF($X1422="","",K1422*V1422/100)</f>
        <v/>
      </c>
      <c r="M1422" s="20" t="str">
        <f aca="false">IF($X1422="","",INDEX('Per Line'!$Z$2:$Z$4001,$X1422))</f>
        <v/>
      </c>
      <c r="N1422" s="23" t="str">
        <f aca="false">IF($X1422="","",Settings!$C$7)</f>
        <v/>
      </c>
      <c r="O1422" s="22" t="str">
        <f aca="false">IF($X1422="","",SUMIFS('Per Line'!$Y$2:$Y$4001,'Per Line'!$D$2:$D$4001,$B1422,'Per Line'!$AJ$2:$AJ$4001,0))</f>
        <v/>
      </c>
      <c r="P1422" s="22" t="str">
        <f aca="false">IF($X1422="","",O1422*N1422)</f>
        <v/>
      </c>
      <c r="Q1422" s="23" t="str">
        <f aca="false">IF($X1422="","",Settings!$C$6)</f>
        <v/>
      </c>
      <c r="R1422" s="22" t="str">
        <f aca="false">IF($X1422="","",SUMIFS('Per Line'!$Y$2:$Y$4001,'Per Line'!$D$2:$D$4001,$B1422,'Per Line'!$AJ$2:$AJ$4001,1))</f>
        <v/>
      </c>
      <c r="S1422" s="22" t="str">
        <f aca="false">IF($X1422="","",R1422*Q1422)</f>
        <v/>
      </c>
      <c r="T1422" s="22" t="str">
        <f aca="false">IF($X1422="","",S1422+P1422)</f>
        <v/>
      </c>
      <c r="U1422" s="22" t="str">
        <f aca="false">IF($X1422="","",V1422-T1422)</f>
        <v/>
      </c>
      <c r="V1422" s="22" t="str">
        <f aca="false">IF($X1422="","",O1422+R1422)</f>
        <v/>
      </c>
      <c r="W1422" s="22" t="str">
        <f aca="false">IF($X1422="","",U1422-L1422)</f>
        <v/>
      </c>
      <c r="X1422" s="24" t="str">
        <f aca="false">IF(ROWS($X$2:$X1422)&lt;=MAX('Per Line'!$AI$2:$AI$4001),MATCH(ROWS($X$2:$X1422),'Per Line'!$AI$2:$AI$4001,0),"")</f>
        <v/>
      </c>
    </row>
    <row r="1423" customFormat="false" ht="15" hidden="false" customHeight="false" outlineLevel="0" collapsed="false">
      <c r="A1423" s="19"/>
      <c r="B1423" s="20" t="str">
        <f aca="false">IF($X1423="","",INDEX('Per Line'!$D$2:$D$4001,$X1423))</f>
        <v/>
      </c>
      <c r="C1423" s="20" t="str">
        <f aca="false">IF($X1423="","",INDEX('Per Line'!$C$2:$C$4001,$X1423))</f>
        <v/>
      </c>
      <c r="D1423" s="20" t="str">
        <f aca="false">IF($X1423="","",INDEX('Per Line'!$A$2:$A$4001,$X1423))</f>
        <v/>
      </c>
      <c r="E1423" s="21" t="str">
        <f aca="false">IF($X1423="","",INDEX('Per Line'!$F$2:$F$4001,$X1423))</f>
        <v/>
      </c>
      <c r="F1423" s="20" t="str">
        <f aca="false">IF($X1423="","",INDEX('Per Line'!$G$2:$G$4001,$X1423))</f>
        <v/>
      </c>
      <c r="G1423" s="20" t="str">
        <f aca="false">IF($X1423="","",INDEX('Per Line'!$I$2:$I$4001,$X1423))</f>
        <v/>
      </c>
      <c r="H1423" s="20" t="str">
        <f aca="false">IF($X1423="","",INDEX('Per Line'!$J$2:$J$4001,$X1423))</f>
        <v/>
      </c>
      <c r="I1423" s="20" t="str">
        <f aca="false">IF($X1423="","",INDEX('Per Line'!$K$2:$K$4001,$X1423))</f>
        <v/>
      </c>
      <c r="J1423" s="20" t="str">
        <f aca="false">IF($X1423="","",INDEX('Per Line'!$L$2:$L$4001,$X1423))</f>
        <v/>
      </c>
      <c r="K1423" s="20" t="str">
        <f aca="false">IF($X1423="","",INDEX('Per Line'!$M$2:$M$4001,$X1423))</f>
        <v/>
      </c>
      <c r="L1423" s="22" t="str">
        <f aca="false">IF($X1423="","",K1423*V1423/100)</f>
        <v/>
      </c>
      <c r="M1423" s="20" t="str">
        <f aca="false">IF($X1423="","",INDEX('Per Line'!$Z$2:$Z$4001,$X1423))</f>
        <v/>
      </c>
      <c r="N1423" s="23" t="str">
        <f aca="false">IF($X1423="","",Settings!$C$7)</f>
        <v/>
      </c>
      <c r="O1423" s="22" t="str">
        <f aca="false">IF($X1423="","",SUMIFS('Per Line'!$Y$2:$Y$4001,'Per Line'!$D$2:$D$4001,$B1423,'Per Line'!$AJ$2:$AJ$4001,0))</f>
        <v/>
      </c>
      <c r="P1423" s="22" t="str">
        <f aca="false">IF($X1423="","",O1423*N1423)</f>
        <v/>
      </c>
      <c r="Q1423" s="23" t="str">
        <f aca="false">IF($X1423="","",Settings!$C$6)</f>
        <v/>
      </c>
      <c r="R1423" s="22" t="str">
        <f aca="false">IF($X1423="","",SUMIFS('Per Line'!$Y$2:$Y$4001,'Per Line'!$D$2:$D$4001,$B1423,'Per Line'!$AJ$2:$AJ$4001,1))</f>
        <v/>
      </c>
      <c r="S1423" s="22" t="str">
        <f aca="false">IF($X1423="","",R1423*Q1423)</f>
        <v/>
      </c>
      <c r="T1423" s="22" t="str">
        <f aca="false">IF($X1423="","",S1423+P1423)</f>
        <v/>
      </c>
      <c r="U1423" s="22" t="str">
        <f aca="false">IF($X1423="","",V1423-T1423)</f>
        <v/>
      </c>
      <c r="V1423" s="22" t="str">
        <f aca="false">IF($X1423="","",O1423+R1423)</f>
        <v/>
      </c>
      <c r="W1423" s="22" t="str">
        <f aca="false">IF($X1423="","",U1423-L1423)</f>
        <v/>
      </c>
      <c r="X1423" s="24" t="str">
        <f aca="false">IF(ROWS($X$2:$X1423)&lt;=MAX('Per Line'!$AI$2:$AI$4001),MATCH(ROWS($X$2:$X1423),'Per Line'!$AI$2:$AI$4001,0),"")</f>
        <v/>
      </c>
    </row>
    <row r="1424" customFormat="false" ht="15" hidden="false" customHeight="false" outlineLevel="0" collapsed="false">
      <c r="A1424" s="19"/>
      <c r="B1424" s="20" t="str">
        <f aca="false">IF($X1424="","",INDEX('Per Line'!$D$2:$D$4001,$X1424))</f>
        <v/>
      </c>
      <c r="C1424" s="20" t="str">
        <f aca="false">IF($X1424="","",INDEX('Per Line'!$C$2:$C$4001,$X1424))</f>
        <v/>
      </c>
      <c r="D1424" s="20" t="str">
        <f aca="false">IF($X1424="","",INDEX('Per Line'!$A$2:$A$4001,$X1424))</f>
        <v/>
      </c>
      <c r="E1424" s="21" t="str">
        <f aca="false">IF($X1424="","",INDEX('Per Line'!$F$2:$F$4001,$X1424))</f>
        <v/>
      </c>
      <c r="F1424" s="20" t="str">
        <f aca="false">IF($X1424="","",INDEX('Per Line'!$G$2:$G$4001,$X1424))</f>
        <v/>
      </c>
      <c r="G1424" s="20" t="str">
        <f aca="false">IF($X1424="","",INDEX('Per Line'!$I$2:$I$4001,$X1424))</f>
        <v/>
      </c>
      <c r="H1424" s="20" t="str">
        <f aca="false">IF($X1424="","",INDEX('Per Line'!$J$2:$J$4001,$X1424))</f>
        <v/>
      </c>
      <c r="I1424" s="20" t="str">
        <f aca="false">IF($X1424="","",INDEX('Per Line'!$K$2:$K$4001,$X1424))</f>
        <v/>
      </c>
      <c r="J1424" s="20" t="str">
        <f aca="false">IF($X1424="","",INDEX('Per Line'!$L$2:$L$4001,$X1424))</f>
        <v/>
      </c>
      <c r="K1424" s="20" t="str">
        <f aca="false">IF($X1424="","",INDEX('Per Line'!$M$2:$M$4001,$X1424))</f>
        <v/>
      </c>
      <c r="L1424" s="22" t="str">
        <f aca="false">IF($X1424="","",K1424*V1424/100)</f>
        <v/>
      </c>
      <c r="M1424" s="20" t="str">
        <f aca="false">IF($X1424="","",INDEX('Per Line'!$Z$2:$Z$4001,$X1424))</f>
        <v/>
      </c>
      <c r="N1424" s="23" t="str">
        <f aca="false">IF($X1424="","",Settings!$C$7)</f>
        <v/>
      </c>
      <c r="O1424" s="22" t="str">
        <f aca="false">IF($X1424="","",SUMIFS('Per Line'!$Y$2:$Y$4001,'Per Line'!$D$2:$D$4001,$B1424,'Per Line'!$AJ$2:$AJ$4001,0))</f>
        <v/>
      </c>
      <c r="P1424" s="22" t="str">
        <f aca="false">IF($X1424="","",O1424*N1424)</f>
        <v/>
      </c>
      <c r="Q1424" s="23" t="str">
        <f aca="false">IF($X1424="","",Settings!$C$6)</f>
        <v/>
      </c>
      <c r="R1424" s="22" t="str">
        <f aca="false">IF($X1424="","",SUMIFS('Per Line'!$Y$2:$Y$4001,'Per Line'!$D$2:$D$4001,$B1424,'Per Line'!$AJ$2:$AJ$4001,1))</f>
        <v/>
      </c>
      <c r="S1424" s="22" t="str">
        <f aca="false">IF($X1424="","",R1424*Q1424)</f>
        <v/>
      </c>
      <c r="T1424" s="22" t="str">
        <f aca="false">IF($X1424="","",S1424+P1424)</f>
        <v/>
      </c>
      <c r="U1424" s="22" t="str">
        <f aca="false">IF($X1424="","",V1424-T1424)</f>
        <v/>
      </c>
      <c r="V1424" s="22" t="str">
        <f aca="false">IF($X1424="","",O1424+R1424)</f>
        <v/>
      </c>
      <c r="W1424" s="22" t="str">
        <f aca="false">IF($X1424="","",U1424-L1424)</f>
        <v/>
      </c>
      <c r="X1424" s="24" t="str">
        <f aca="false">IF(ROWS($X$2:$X1424)&lt;=MAX('Per Line'!$AI$2:$AI$4001),MATCH(ROWS($X$2:$X1424),'Per Line'!$AI$2:$AI$4001,0),"")</f>
        <v/>
      </c>
    </row>
    <row r="1425" customFormat="false" ht="15" hidden="false" customHeight="false" outlineLevel="0" collapsed="false">
      <c r="A1425" s="19"/>
      <c r="B1425" s="20" t="str">
        <f aca="false">IF($X1425="","",INDEX('Per Line'!$D$2:$D$4001,$X1425))</f>
        <v/>
      </c>
      <c r="C1425" s="20" t="str">
        <f aca="false">IF($X1425="","",INDEX('Per Line'!$C$2:$C$4001,$X1425))</f>
        <v/>
      </c>
      <c r="D1425" s="20" t="str">
        <f aca="false">IF($X1425="","",INDEX('Per Line'!$A$2:$A$4001,$X1425))</f>
        <v/>
      </c>
      <c r="E1425" s="21" t="str">
        <f aca="false">IF($X1425="","",INDEX('Per Line'!$F$2:$F$4001,$X1425))</f>
        <v/>
      </c>
      <c r="F1425" s="20" t="str">
        <f aca="false">IF($X1425="","",INDEX('Per Line'!$G$2:$G$4001,$X1425))</f>
        <v/>
      </c>
      <c r="G1425" s="20" t="str">
        <f aca="false">IF($X1425="","",INDEX('Per Line'!$I$2:$I$4001,$X1425))</f>
        <v/>
      </c>
      <c r="H1425" s="20" t="str">
        <f aca="false">IF($X1425="","",INDEX('Per Line'!$J$2:$J$4001,$X1425))</f>
        <v/>
      </c>
      <c r="I1425" s="20" t="str">
        <f aca="false">IF($X1425="","",INDEX('Per Line'!$K$2:$K$4001,$X1425))</f>
        <v/>
      </c>
      <c r="J1425" s="20" t="str">
        <f aca="false">IF($X1425="","",INDEX('Per Line'!$L$2:$L$4001,$X1425))</f>
        <v/>
      </c>
      <c r="K1425" s="20" t="str">
        <f aca="false">IF($X1425="","",INDEX('Per Line'!$M$2:$M$4001,$X1425))</f>
        <v/>
      </c>
      <c r="L1425" s="22" t="str">
        <f aca="false">IF($X1425="","",K1425*V1425/100)</f>
        <v/>
      </c>
      <c r="M1425" s="20" t="str">
        <f aca="false">IF($X1425="","",INDEX('Per Line'!$Z$2:$Z$4001,$X1425))</f>
        <v/>
      </c>
      <c r="N1425" s="23" t="str">
        <f aca="false">IF($X1425="","",Settings!$C$7)</f>
        <v/>
      </c>
      <c r="O1425" s="22" t="str">
        <f aca="false">IF($X1425="","",SUMIFS('Per Line'!$Y$2:$Y$4001,'Per Line'!$D$2:$D$4001,$B1425,'Per Line'!$AJ$2:$AJ$4001,0))</f>
        <v/>
      </c>
      <c r="P1425" s="22" t="str">
        <f aca="false">IF($X1425="","",O1425*N1425)</f>
        <v/>
      </c>
      <c r="Q1425" s="23" t="str">
        <f aca="false">IF($X1425="","",Settings!$C$6)</f>
        <v/>
      </c>
      <c r="R1425" s="22" t="str">
        <f aca="false">IF($X1425="","",SUMIFS('Per Line'!$Y$2:$Y$4001,'Per Line'!$D$2:$D$4001,$B1425,'Per Line'!$AJ$2:$AJ$4001,1))</f>
        <v/>
      </c>
      <c r="S1425" s="22" t="str">
        <f aca="false">IF($X1425="","",R1425*Q1425)</f>
        <v/>
      </c>
      <c r="T1425" s="22" t="str">
        <f aca="false">IF($X1425="","",S1425+P1425)</f>
        <v/>
      </c>
      <c r="U1425" s="22" t="str">
        <f aca="false">IF($X1425="","",V1425-T1425)</f>
        <v/>
      </c>
      <c r="V1425" s="22" t="str">
        <f aca="false">IF($X1425="","",O1425+R1425)</f>
        <v/>
      </c>
      <c r="W1425" s="22" t="str">
        <f aca="false">IF($X1425="","",U1425-L1425)</f>
        <v/>
      </c>
      <c r="X1425" s="24" t="str">
        <f aca="false">IF(ROWS($X$2:$X1425)&lt;=MAX('Per Line'!$AI$2:$AI$4001),MATCH(ROWS($X$2:$X1425),'Per Line'!$AI$2:$AI$4001,0),"")</f>
        <v/>
      </c>
    </row>
    <row r="1426" customFormat="false" ht="15" hidden="false" customHeight="false" outlineLevel="0" collapsed="false">
      <c r="A1426" s="19"/>
      <c r="B1426" s="20" t="str">
        <f aca="false">IF($X1426="","",INDEX('Per Line'!$D$2:$D$4001,$X1426))</f>
        <v/>
      </c>
      <c r="C1426" s="20" t="str">
        <f aca="false">IF($X1426="","",INDEX('Per Line'!$C$2:$C$4001,$X1426))</f>
        <v/>
      </c>
      <c r="D1426" s="20" t="str">
        <f aca="false">IF($X1426="","",INDEX('Per Line'!$A$2:$A$4001,$X1426))</f>
        <v/>
      </c>
      <c r="E1426" s="21" t="str">
        <f aca="false">IF($X1426="","",INDEX('Per Line'!$F$2:$F$4001,$X1426))</f>
        <v/>
      </c>
      <c r="F1426" s="20" t="str">
        <f aca="false">IF($X1426="","",INDEX('Per Line'!$G$2:$G$4001,$X1426))</f>
        <v/>
      </c>
      <c r="G1426" s="20" t="str">
        <f aca="false">IF($X1426="","",INDEX('Per Line'!$I$2:$I$4001,$X1426))</f>
        <v/>
      </c>
      <c r="H1426" s="20" t="str">
        <f aca="false">IF($X1426="","",INDEX('Per Line'!$J$2:$J$4001,$X1426))</f>
        <v/>
      </c>
      <c r="I1426" s="20" t="str">
        <f aca="false">IF($X1426="","",INDEX('Per Line'!$K$2:$K$4001,$X1426))</f>
        <v/>
      </c>
      <c r="J1426" s="20" t="str">
        <f aca="false">IF($X1426="","",INDEX('Per Line'!$L$2:$L$4001,$X1426))</f>
        <v/>
      </c>
      <c r="K1426" s="20" t="str">
        <f aca="false">IF($X1426="","",INDEX('Per Line'!$M$2:$M$4001,$X1426))</f>
        <v/>
      </c>
      <c r="L1426" s="22" t="str">
        <f aca="false">IF($X1426="","",K1426*V1426/100)</f>
        <v/>
      </c>
      <c r="M1426" s="20" t="str">
        <f aca="false">IF($X1426="","",INDEX('Per Line'!$Z$2:$Z$4001,$X1426))</f>
        <v/>
      </c>
      <c r="N1426" s="23" t="str">
        <f aca="false">IF($X1426="","",Settings!$C$7)</f>
        <v/>
      </c>
      <c r="O1426" s="22" t="str">
        <f aca="false">IF($X1426="","",SUMIFS('Per Line'!$Y$2:$Y$4001,'Per Line'!$D$2:$D$4001,$B1426,'Per Line'!$AJ$2:$AJ$4001,0))</f>
        <v/>
      </c>
      <c r="P1426" s="22" t="str">
        <f aca="false">IF($X1426="","",O1426*N1426)</f>
        <v/>
      </c>
      <c r="Q1426" s="23" t="str">
        <f aca="false">IF($X1426="","",Settings!$C$6)</f>
        <v/>
      </c>
      <c r="R1426" s="22" t="str">
        <f aca="false">IF($X1426="","",SUMIFS('Per Line'!$Y$2:$Y$4001,'Per Line'!$D$2:$D$4001,$B1426,'Per Line'!$AJ$2:$AJ$4001,1))</f>
        <v/>
      </c>
      <c r="S1426" s="22" t="str">
        <f aca="false">IF($X1426="","",R1426*Q1426)</f>
        <v/>
      </c>
      <c r="T1426" s="22" t="str">
        <f aca="false">IF($X1426="","",S1426+P1426)</f>
        <v/>
      </c>
      <c r="U1426" s="22" t="str">
        <f aca="false">IF($X1426="","",V1426-T1426)</f>
        <v/>
      </c>
      <c r="V1426" s="22" t="str">
        <f aca="false">IF($X1426="","",O1426+R1426)</f>
        <v/>
      </c>
      <c r="W1426" s="22" t="str">
        <f aca="false">IF($X1426="","",U1426-L1426)</f>
        <v/>
      </c>
      <c r="X1426" s="24" t="str">
        <f aca="false">IF(ROWS($X$2:$X1426)&lt;=MAX('Per Line'!$AI$2:$AI$4001),MATCH(ROWS($X$2:$X1426),'Per Line'!$AI$2:$AI$4001,0),"")</f>
        <v/>
      </c>
    </row>
    <row r="1427" customFormat="false" ht="15" hidden="false" customHeight="false" outlineLevel="0" collapsed="false">
      <c r="A1427" s="19"/>
      <c r="B1427" s="20" t="str">
        <f aca="false">IF($X1427="","",INDEX('Per Line'!$D$2:$D$4001,$X1427))</f>
        <v/>
      </c>
      <c r="C1427" s="20" t="str">
        <f aca="false">IF($X1427="","",INDEX('Per Line'!$C$2:$C$4001,$X1427))</f>
        <v/>
      </c>
      <c r="D1427" s="20" t="str">
        <f aca="false">IF($X1427="","",INDEX('Per Line'!$A$2:$A$4001,$X1427))</f>
        <v/>
      </c>
      <c r="E1427" s="21" t="str">
        <f aca="false">IF($X1427="","",INDEX('Per Line'!$F$2:$F$4001,$X1427))</f>
        <v/>
      </c>
      <c r="F1427" s="20" t="str">
        <f aca="false">IF($X1427="","",INDEX('Per Line'!$G$2:$G$4001,$X1427))</f>
        <v/>
      </c>
      <c r="G1427" s="20" t="str">
        <f aca="false">IF($X1427="","",INDEX('Per Line'!$I$2:$I$4001,$X1427))</f>
        <v/>
      </c>
      <c r="H1427" s="20" t="str">
        <f aca="false">IF($X1427="","",INDEX('Per Line'!$J$2:$J$4001,$X1427))</f>
        <v/>
      </c>
      <c r="I1427" s="20" t="str">
        <f aca="false">IF($X1427="","",INDEX('Per Line'!$K$2:$K$4001,$X1427))</f>
        <v/>
      </c>
      <c r="J1427" s="20" t="str">
        <f aca="false">IF($X1427="","",INDEX('Per Line'!$L$2:$L$4001,$X1427))</f>
        <v/>
      </c>
      <c r="K1427" s="20" t="str">
        <f aca="false">IF($X1427="","",INDEX('Per Line'!$M$2:$M$4001,$X1427))</f>
        <v/>
      </c>
      <c r="L1427" s="22" t="str">
        <f aca="false">IF($X1427="","",K1427*V1427/100)</f>
        <v/>
      </c>
      <c r="M1427" s="20" t="str">
        <f aca="false">IF($X1427="","",INDEX('Per Line'!$Z$2:$Z$4001,$X1427))</f>
        <v/>
      </c>
      <c r="N1427" s="23" t="str">
        <f aca="false">IF($X1427="","",Settings!$C$7)</f>
        <v/>
      </c>
      <c r="O1427" s="22" t="str">
        <f aca="false">IF($X1427="","",SUMIFS('Per Line'!$Y$2:$Y$4001,'Per Line'!$D$2:$D$4001,$B1427,'Per Line'!$AJ$2:$AJ$4001,0))</f>
        <v/>
      </c>
      <c r="P1427" s="22" t="str">
        <f aca="false">IF($X1427="","",O1427*N1427)</f>
        <v/>
      </c>
      <c r="Q1427" s="23" t="str">
        <f aca="false">IF($X1427="","",Settings!$C$6)</f>
        <v/>
      </c>
      <c r="R1427" s="22" t="str">
        <f aca="false">IF($X1427="","",SUMIFS('Per Line'!$Y$2:$Y$4001,'Per Line'!$D$2:$D$4001,$B1427,'Per Line'!$AJ$2:$AJ$4001,1))</f>
        <v/>
      </c>
      <c r="S1427" s="22" t="str">
        <f aca="false">IF($X1427="","",R1427*Q1427)</f>
        <v/>
      </c>
      <c r="T1427" s="22" t="str">
        <f aca="false">IF($X1427="","",S1427+P1427)</f>
        <v/>
      </c>
      <c r="U1427" s="22" t="str">
        <f aca="false">IF($X1427="","",V1427-T1427)</f>
        <v/>
      </c>
      <c r="V1427" s="22" t="str">
        <f aca="false">IF($X1427="","",O1427+R1427)</f>
        <v/>
      </c>
      <c r="W1427" s="22" t="str">
        <f aca="false">IF($X1427="","",U1427-L1427)</f>
        <v/>
      </c>
      <c r="X1427" s="24" t="str">
        <f aca="false">IF(ROWS($X$2:$X1427)&lt;=MAX('Per Line'!$AI$2:$AI$4001),MATCH(ROWS($X$2:$X1427),'Per Line'!$AI$2:$AI$4001,0),"")</f>
        <v/>
      </c>
    </row>
    <row r="1428" customFormat="false" ht="15" hidden="false" customHeight="false" outlineLevel="0" collapsed="false">
      <c r="A1428" s="19"/>
      <c r="B1428" s="20" t="str">
        <f aca="false">IF($X1428="","",INDEX('Per Line'!$D$2:$D$4001,$X1428))</f>
        <v/>
      </c>
      <c r="C1428" s="20" t="str">
        <f aca="false">IF($X1428="","",INDEX('Per Line'!$C$2:$C$4001,$X1428))</f>
        <v/>
      </c>
      <c r="D1428" s="20" t="str">
        <f aca="false">IF($X1428="","",INDEX('Per Line'!$A$2:$A$4001,$X1428))</f>
        <v/>
      </c>
      <c r="E1428" s="21" t="str">
        <f aca="false">IF($X1428="","",INDEX('Per Line'!$F$2:$F$4001,$X1428))</f>
        <v/>
      </c>
      <c r="F1428" s="20" t="str">
        <f aca="false">IF($X1428="","",INDEX('Per Line'!$G$2:$G$4001,$X1428))</f>
        <v/>
      </c>
      <c r="G1428" s="20" t="str">
        <f aca="false">IF($X1428="","",INDEX('Per Line'!$I$2:$I$4001,$X1428))</f>
        <v/>
      </c>
      <c r="H1428" s="20" t="str">
        <f aca="false">IF($X1428="","",INDEX('Per Line'!$J$2:$J$4001,$X1428))</f>
        <v/>
      </c>
      <c r="I1428" s="20" t="str">
        <f aca="false">IF($X1428="","",INDEX('Per Line'!$K$2:$K$4001,$X1428))</f>
        <v/>
      </c>
      <c r="J1428" s="20" t="str">
        <f aca="false">IF($X1428="","",INDEX('Per Line'!$L$2:$L$4001,$X1428))</f>
        <v/>
      </c>
      <c r="K1428" s="20" t="str">
        <f aca="false">IF($X1428="","",INDEX('Per Line'!$M$2:$M$4001,$X1428))</f>
        <v/>
      </c>
      <c r="L1428" s="22" t="str">
        <f aca="false">IF($X1428="","",K1428*V1428/100)</f>
        <v/>
      </c>
      <c r="M1428" s="20" t="str">
        <f aca="false">IF($X1428="","",INDEX('Per Line'!$Z$2:$Z$4001,$X1428))</f>
        <v/>
      </c>
      <c r="N1428" s="23" t="str">
        <f aca="false">IF($X1428="","",Settings!$C$7)</f>
        <v/>
      </c>
      <c r="O1428" s="22" t="str">
        <f aca="false">IF($X1428="","",SUMIFS('Per Line'!$Y$2:$Y$4001,'Per Line'!$D$2:$D$4001,$B1428,'Per Line'!$AJ$2:$AJ$4001,0))</f>
        <v/>
      </c>
      <c r="P1428" s="22" t="str">
        <f aca="false">IF($X1428="","",O1428*N1428)</f>
        <v/>
      </c>
      <c r="Q1428" s="23" t="str">
        <f aca="false">IF($X1428="","",Settings!$C$6)</f>
        <v/>
      </c>
      <c r="R1428" s="22" t="str">
        <f aca="false">IF($X1428="","",SUMIFS('Per Line'!$Y$2:$Y$4001,'Per Line'!$D$2:$D$4001,$B1428,'Per Line'!$AJ$2:$AJ$4001,1))</f>
        <v/>
      </c>
      <c r="S1428" s="22" t="str">
        <f aca="false">IF($X1428="","",R1428*Q1428)</f>
        <v/>
      </c>
      <c r="T1428" s="22" t="str">
        <f aca="false">IF($X1428="","",S1428+P1428)</f>
        <v/>
      </c>
      <c r="U1428" s="22" t="str">
        <f aca="false">IF($X1428="","",V1428-T1428)</f>
        <v/>
      </c>
      <c r="V1428" s="22" t="str">
        <f aca="false">IF($X1428="","",O1428+R1428)</f>
        <v/>
      </c>
      <c r="W1428" s="22" t="str">
        <f aca="false">IF($X1428="","",U1428-L1428)</f>
        <v/>
      </c>
      <c r="X1428" s="24" t="str">
        <f aca="false">IF(ROWS($X$2:$X1428)&lt;=MAX('Per Line'!$AI$2:$AI$4001),MATCH(ROWS($X$2:$X1428),'Per Line'!$AI$2:$AI$4001,0),"")</f>
        <v/>
      </c>
    </row>
    <row r="1429" customFormat="false" ht="15" hidden="false" customHeight="false" outlineLevel="0" collapsed="false">
      <c r="A1429" s="19"/>
      <c r="B1429" s="20" t="str">
        <f aca="false">IF($X1429="","",INDEX('Per Line'!$D$2:$D$4001,$X1429))</f>
        <v/>
      </c>
      <c r="C1429" s="20" t="str">
        <f aca="false">IF($X1429="","",INDEX('Per Line'!$C$2:$C$4001,$X1429))</f>
        <v/>
      </c>
      <c r="D1429" s="20" t="str">
        <f aca="false">IF($X1429="","",INDEX('Per Line'!$A$2:$A$4001,$X1429))</f>
        <v/>
      </c>
      <c r="E1429" s="21" t="str">
        <f aca="false">IF($X1429="","",INDEX('Per Line'!$F$2:$F$4001,$X1429))</f>
        <v/>
      </c>
      <c r="F1429" s="20" t="str">
        <f aca="false">IF($X1429="","",INDEX('Per Line'!$G$2:$G$4001,$X1429))</f>
        <v/>
      </c>
      <c r="G1429" s="20" t="str">
        <f aca="false">IF($X1429="","",INDEX('Per Line'!$I$2:$I$4001,$X1429))</f>
        <v/>
      </c>
      <c r="H1429" s="20" t="str">
        <f aca="false">IF($X1429="","",INDEX('Per Line'!$J$2:$J$4001,$X1429))</f>
        <v/>
      </c>
      <c r="I1429" s="20" t="str">
        <f aca="false">IF($X1429="","",INDEX('Per Line'!$K$2:$K$4001,$X1429))</f>
        <v/>
      </c>
      <c r="J1429" s="20" t="str">
        <f aca="false">IF($X1429="","",INDEX('Per Line'!$L$2:$L$4001,$X1429))</f>
        <v/>
      </c>
      <c r="K1429" s="20" t="str">
        <f aca="false">IF($X1429="","",INDEX('Per Line'!$M$2:$M$4001,$X1429))</f>
        <v/>
      </c>
      <c r="L1429" s="22" t="str">
        <f aca="false">IF($X1429="","",K1429*V1429/100)</f>
        <v/>
      </c>
      <c r="M1429" s="20" t="str">
        <f aca="false">IF($X1429="","",INDEX('Per Line'!$Z$2:$Z$4001,$X1429))</f>
        <v/>
      </c>
      <c r="N1429" s="23" t="str">
        <f aca="false">IF($X1429="","",Settings!$C$7)</f>
        <v/>
      </c>
      <c r="O1429" s="22" t="str">
        <f aca="false">IF($X1429="","",SUMIFS('Per Line'!$Y$2:$Y$4001,'Per Line'!$D$2:$D$4001,$B1429,'Per Line'!$AJ$2:$AJ$4001,0))</f>
        <v/>
      </c>
      <c r="P1429" s="22" t="str">
        <f aca="false">IF($X1429="","",O1429*N1429)</f>
        <v/>
      </c>
      <c r="Q1429" s="23" t="str">
        <f aca="false">IF($X1429="","",Settings!$C$6)</f>
        <v/>
      </c>
      <c r="R1429" s="22" t="str">
        <f aca="false">IF($X1429="","",SUMIFS('Per Line'!$Y$2:$Y$4001,'Per Line'!$D$2:$D$4001,$B1429,'Per Line'!$AJ$2:$AJ$4001,1))</f>
        <v/>
      </c>
      <c r="S1429" s="22" t="str">
        <f aca="false">IF($X1429="","",R1429*Q1429)</f>
        <v/>
      </c>
      <c r="T1429" s="22" t="str">
        <f aca="false">IF($X1429="","",S1429+P1429)</f>
        <v/>
      </c>
      <c r="U1429" s="22" t="str">
        <f aca="false">IF($X1429="","",V1429-T1429)</f>
        <v/>
      </c>
      <c r="V1429" s="22" t="str">
        <f aca="false">IF($X1429="","",O1429+R1429)</f>
        <v/>
      </c>
      <c r="W1429" s="22" t="str">
        <f aca="false">IF($X1429="","",U1429-L1429)</f>
        <v/>
      </c>
      <c r="X1429" s="24" t="str">
        <f aca="false">IF(ROWS($X$2:$X1429)&lt;=MAX('Per Line'!$AI$2:$AI$4001),MATCH(ROWS($X$2:$X1429),'Per Line'!$AI$2:$AI$4001,0),"")</f>
        <v/>
      </c>
    </row>
    <row r="1430" customFormat="false" ht="15" hidden="false" customHeight="false" outlineLevel="0" collapsed="false">
      <c r="A1430" s="19"/>
      <c r="B1430" s="20" t="str">
        <f aca="false">IF($X1430="","",INDEX('Per Line'!$D$2:$D$4001,$X1430))</f>
        <v/>
      </c>
      <c r="C1430" s="20" t="str">
        <f aca="false">IF($X1430="","",INDEX('Per Line'!$C$2:$C$4001,$X1430))</f>
        <v/>
      </c>
      <c r="D1430" s="20" t="str">
        <f aca="false">IF($X1430="","",INDEX('Per Line'!$A$2:$A$4001,$X1430))</f>
        <v/>
      </c>
      <c r="E1430" s="21" t="str">
        <f aca="false">IF($X1430="","",INDEX('Per Line'!$F$2:$F$4001,$X1430))</f>
        <v/>
      </c>
      <c r="F1430" s="20" t="str">
        <f aca="false">IF($X1430="","",INDEX('Per Line'!$G$2:$G$4001,$X1430))</f>
        <v/>
      </c>
      <c r="G1430" s="20" t="str">
        <f aca="false">IF($X1430="","",INDEX('Per Line'!$I$2:$I$4001,$X1430))</f>
        <v/>
      </c>
      <c r="H1430" s="20" t="str">
        <f aca="false">IF($X1430="","",INDEX('Per Line'!$J$2:$J$4001,$X1430))</f>
        <v/>
      </c>
      <c r="I1430" s="20" t="str">
        <f aca="false">IF($X1430="","",INDEX('Per Line'!$K$2:$K$4001,$X1430))</f>
        <v/>
      </c>
      <c r="J1430" s="20" t="str">
        <f aca="false">IF($X1430="","",INDEX('Per Line'!$L$2:$L$4001,$X1430))</f>
        <v/>
      </c>
      <c r="K1430" s="20" t="str">
        <f aca="false">IF($X1430="","",INDEX('Per Line'!$M$2:$M$4001,$X1430))</f>
        <v/>
      </c>
      <c r="L1430" s="22" t="str">
        <f aca="false">IF($X1430="","",K1430*V1430/100)</f>
        <v/>
      </c>
      <c r="M1430" s="20" t="str">
        <f aca="false">IF($X1430="","",INDEX('Per Line'!$Z$2:$Z$4001,$X1430))</f>
        <v/>
      </c>
      <c r="N1430" s="23" t="str">
        <f aca="false">IF($X1430="","",Settings!$C$7)</f>
        <v/>
      </c>
      <c r="O1430" s="22" t="str">
        <f aca="false">IF($X1430="","",SUMIFS('Per Line'!$Y$2:$Y$4001,'Per Line'!$D$2:$D$4001,$B1430,'Per Line'!$AJ$2:$AJ$4001,0))</f>
        <v/>
      </c>
      <c r="P1430" s="22" t="str">
        <f aca="false">IF($X1430="","",O1430*N1430)</f>
        <v/>
      </c>
      <c r="Q1430" s="23" t="str">
        <f aca="false">IF($X1430="","",Settings!$C$6)</f>
        <v/>
      </c>
      <c r="R1430" s="22" t="str">
        <f aca="false">IF($X1430="","",SUMIFS('Per Line'!$Y$2:$Y$4001,'Per Line'!$D$2:$D$4001,$B1430,'Per Line'!$AJ$2:$AJ$4001,1))</f>
        <v/>
      </c>
      <c r="S1430" s="22" t="str">
        <f aca="false">IF($X1430="","",R1430*Q1430)</f>
        <v/>
      </c>
      <c r="T1430" s="22" t="str">
        <f aca="false">IF($X1430="","",S1430+P1430)</f>
        <v/>
      </c>
      <c r="U1430" s="22" t="str">
        <f aca="false">IF($X1430="","",V1430-T1430)</f>
        <v/>
      </c>
      <c r="V1430" s="22" t="str">
        <f aca="false">IF($X1430="","",O1430+R1430)</f>
        <v/>
      </c>
      <c r="W1430" s="22" t="str">
        <f aca="false">IF($X1430="","",U1430-L1430)</f>
        <v/>
      </c>
      <c r="X1430" s="24" t="str">
        <f aca="false">IF(ROWS($X$2:$X1430)&lt;=MAX('Per Line'!$AI$2:$AI$4001),MATCH(ROWS($X$2:$X1430),'Per Line'!$AI$2:$AI$4001,0),"")</f>
        <v/>
      </c>
    </row>
    <row r="1431" customFormat="false" ht="15" hidden="false" customHeight="false" outlineLevel="0" collapsed="false">
      <c r="A1431" s="19"/>
      <c r="B1431" s="20" t="str">
        <f aca="false">IF($X1431="","",INDEX('Per Line'!$D$2:$D$4001,$X1431))</f>
        <v/>
      </c>
      <c r="C1431" s="20" t="str">
        <f aca="false">IF($X1431="","",INDEX('Per Line'!$C$2:$C$4001,$X1431))</f>
        <v/>
      </c>
      <c r="D1431" s="20" t="str">
        <f aca="false">IF($X1431="","",INDEX('Per Line'!$A$2:$A$4001,$X1431))</f>
        <v/>
      </c>
      <c r="E1431" s="21" t="str">
        <f aca="false">IF($X1431="","",INDEX('Per Line'!$F$2:$F$4001,$X1431))</f>
        <v/>
      </c>
      <c r="F1431" s="20" t="str">
        <f aca="false">IF($X1431="","",INDEX('Per Line'!$G$2:$G$4001,$X1431))</f>
        <v/>
      </c>
      <c r="G1431" s="20" t="str">
        <f aca="false">IF($X1431="","",INDEX('Per Line'!$I$2:$I$4001,$X1431))</f>
        <v/>
      </c>
      <c r="H1431" s="20" t="str">
        <f aca="false">IF($X1431="","",INDEX('Per Line'!$J$2:$J$4001,$X1431))</f>
        <v/>
      </c>
      <c r="I1431" s="20" t="str">
        <f aca="false">IF($X1431="","",INDEX('Per Line'!$K$2:$K$4001,$X1431))</f>
        <v/>
      </c>
      <c r="J1431" s="20" t="str">
        <f aca="false">IF($X1431="","",INDEX('Per Line'!$L$2:$L$4001,$X1431))</f>
        <v/>
      </c>
      <c r="K1431" s="20" t="str">
        <f aca="false">IF($X1431="","",INDEX('Per Line'!$M$2:$M$4001,$X1431))</f>
        <v/>
      </c>
      <c r="L1431" s="22" t="str">
        <f aca="false">IF($X1431="","",K1431*V1431/100)</f>
        <v/>
      </c>
      <c r="M1431" s="20" t="str">
        <f aca="false">IF($X1431="","",INDEX('Per Line'!$Z$2:$Z$4001,$X1431))</f>
        <v/>
      </c>
      <c r="N1431" s="23" t="str">
        <f aca="false">IF($X1431="","",Settings!$C$7)</f>
        <v/>
      </c>
      <c r="O1431" s="22" t="str">
        <f aca="false">IF($X1431="","",SUMIFS('Per Line'!$Y$2:$Y$4001,'Per Line'!$D$2:$D$4001,$B1431,'Per Line'!$AJ$2:$AJ$4001,0))</f>
        <v/>
      </c>
      <c r="P1431" s="22" t="str">
        <f aca="false">IF($X1431="","",O1431*N1431)</f>
        <v/>
      </c>
      <c r="Q1431" s="23" t="str">
        <f aca="false">IF($X1431="","",Settings!$C$6)</f>
        <v/>
      </c>
      <c r="R1431" s="22" t="str">
        <f aca="false">IF($X1431="","",SUMIFS('Per Line'!$Y$2:$Y$4001,'Per Line'!$D$2:$D$4001,$B1431,'Per Line'!$AJ$2:$AJ$4001,1))</f>
        <v/>
      </c>
      <c r="S1431" s="22" t="str">
        <f aca="false">IF($X1431="","",R1431*Q1431)</f>
        <v/>
      </c>
      <c r="T1431" s="22" t="str">
        <f aca="false">IF($X1431="","",S1431+P1431)</f>
        <v/>
      </c>
      <c r="U1431" s="22" t="str">
        <f aca="false">IF($X1431="","",V1431-T1431)</f>
        <v/>
      </c>
      <c r="V1431" s="22" t="str">
        <f aca="false">IF($X1431="","",O1431+R1431)</f>
        <v/>
      </c>
      <c r="W1431" s="22" t="str">
        <f aca="false">IF($X1431="","",U1431-L1431)</f>
        <v/>
      </c>
      <c r="X1431" s="24" t="str">
        <f aca="false">IF(ROWS($X$2:$X1431)&lt;=MAX('Per Line'!$AI$2:$AI$4001),MATCH(ROWS($X$2:$X1431),'Per Line'!$AI$2:$AI$4001,0),"")</f>
        <v/>
      </c>
    </row>
    <row r="1432" customFormat="false" ht="15" hidden="false" customHeight="false" outlineLevel="0" collapsed="false">
      <c r="A1432" s="19"/>
      <c r="B1432" s="20" t="str">
        <f aca="false">IF($X1432="","",INDEX('Per Line'!$D$2:$D$4001,$X1432))</f>
        <v/>
      </c>
      <c r="C1432" s="20" t="str">
        <f aca="false">IF($X1432="","",INDEX('Per Line'!$C$2:$C$4001,$X1432))</f>
        <v/>
      </c>
      <c r="D1432" s="20" t="str">
        <f aca="false">IF($X1432="","",INDEX('Per Line'!$A$2:$A$4001,$X1432))</f>
        <v/>
      </c>
      <c r="E1432" s="21" t="str">
        <f aca="false">IF($X1432="","",INDEX('Per Line'!$F$2:$F$4001,$X1432))</f>
        <v/>
      </c>
      <c r="F1432" s="20" t="str">
        <f aca="false">IF($X1432="","",INDEX('Per Line'!$G$2:$G$4001,$X1432))</f>
        <v/>
      </c>
      <c r="G1432" s="20" t="str">
        <f aca="false">IF($X1432="","",INDEX('Per Line'!$I$2:$I$4001,$X1432))</f>
        <v/>
      </c>
      <c r="H1432" s="20" t="str">
        <f aca="false">IF($X1432="","",INDEX('Per Line'!$J$2:$J$4001,$X1432))</f>
        <v/>
      </c>
      <c r="I1432" s="20" t="str">
        <f aca="false">IF($X1432="","",INDEX('Per Line'!$K$2:$K$4001,$X1432))</f>
        <v/>
      </c>
      <c r="J1432" s="20" t="str">
        <f aca="false">IF($X1432="","",INDEX('Per Line'!$L$2:$L$4001,$X1432))</f>
        <v/>
      </c>
      <c r="K1432" s="20" t="str">
        <f aca="false">IF($X1432="","",INDEX('Per Line'!$M$2:$M$4001,$X1432))</f>
        <v/>
      </c>
      <c r="L1432" s="22" t="str">
        <f aca="false">IF($X1432="","",K1432*V1432/100)</f>
        <v/>
      </c>
      <c r="M1432" s="20" t="str">
        <f aca="false">IF($X1432="","",INDEX('Per Line'!$Z$2:$Z$4001,$X1432))</f>
        <v/>
      </c>
      <c r="N1432" s="23" t="str">
        <f aca="false">IF($X1432="","",Settings!$C$7)</f>
        <v/>
      </c>
      <c r="O1432" s="22" t="str">
        <f aca="false">IF($X1432="","",SUMIFS('Per Line'!$Y$2:$Y$4001,'Per Line'!$D$2:$D$4001,$B1432,'Per Line'!$AJ$2:$AJ$4001,0))</f>
        <v/>
      </c>
      <c r="P1432" s="22" t="str">
        <f aca="false">IF($X1432="","",O1432*N1432)</f>
        <v/>
      </c>
      <c r="Q1432" s="23" t="str">
        <f aca="false">IF($X1432="","",Settings!$C$6)</f>
        <v/>
      </c>
      <c r="R1432" s="22" t="str">
        <f aca="false">IF($X1432="","",SUMIFS('Per Line'!$Y$2:$Y$4001,'Per Line'!$D$2:$D$4001,$B1432,'Per Line'!$AJ$2:$AJ$4001,1))</f>
        <v/>
      </c>
      <c r="S1432" s="22" t="str">
        <f aca="false">IF($X1432="","",R1432*Q1432)</f>
        <v/>
      </c>
      <c r="T1432" s="22" t="str">
        <f aca="false">IF($X1432="","",S1432+P1432)</f>
        <v/>
      </c>
      <c r="U1432" s="22" t="str">
        <f aca="false">IF($X1432="","",V1432-T1432)</f>
        <v/>
      </c>
      <c r="V1432" s="22" t="str">
        <f aca="false">IF($X1432="","",O1432+R1432)</f>
        <v/>
      </c>
      <c r="W1432" s="22" t="str">
        <f aca="false">IF($X1432="","",U1432-L1432)</f>
        <v/>
      </c>
      <c r="X1432" s="24" t="str">
        <f aca="false">IF(ROWS($X$2:$X1432)&lt;=MAX('Per Line'!$AI$2:$AI$4001),MATCH(ROWS($X$2:$X1432),'Per Line'!$AI$2:$AI$4001,0),"")</f>
        <v/>
      </c>
    </row>
    <row r="1433" customFormat="false" ht="15" hidden="false" customHeight="false" outlineLevel="0" collapsed="false">
      <c r="A1433" s="19"/>
      <c r="B1433" s="20" t="str">
        <f aca="false">IF($X1433="","",INDEX('Per Line'!$D$2:$D$4001,$X1433))</f>
        <v/>
      </c>
      <c r="C1433" s="20" t="str">
        <f aca="false">IF($X1433="","",INDEX('Per Line'!$C$2:$C$4001,$X1433))</f>
        <v/>
      </c>
      <c r="D1433" s="20" t="str">
        <f aca="false">IF($X1433="","",INDEX('Per Line'!$A$2:$A$4001,$X1433))</f>
        <v/>
      </c>
      <c r="E1433" s="21" t="str">
        <f aca="false">IF($X1433="","",INDEX('Per Line'!$F$2:$F$4001,$X1433))</f>
        <v/>
      </c>
      <c r="F1433" s="20" t="str">
        <f aca="false">IF($X1433="","",INDEX('Per Line'!$G$2:$G$4001,$X1433))</f>
        <v/>
      </c>
      <c r="G1433" s="20" t="str">
        <f aca="false">IF($X1433="","",INDEX('Per Line'!$I$2:$I$4001,$X1433))</f>
        <v/>
      </c>
      <c r="H1433" s="20" t="str">
        <f aca="false">IF($X1433="","",INDEX('Per Line'!$J$2:$J$4001,$X1433))</f>
        <v/>
      </c>
      <c r="I1433" s="20" t="str">
        <f aca="false">IF($X1433="","",INDEX('Per Line'!$K$2:$K$4001,$X1433))</f>
        <v/>
      </c>
      <c r="J1433" s="20" t="str">
        <f aca="false">IF($X1433="","",INDEX('Per Line'!$L$2:$L$4001,$X1433))</f>
        <v/>
      </c>
      <c r="K1433" s="20" t="str">
        <f aca="false">IF($X1433="","",INDEX('Per Line'!$M$2:$M$4001,$X1433))</f>
        <v/>
      </c>
      <c r="L1433" s="22" t="str">
        <f aca="false">IF($X1433="","",K1433*V1433/100)</f>
        <v/>
      </c>
      <c r="M1433" s="20" t="str">
        <f aca="false">IF($X1433="","",INDEX('Per Line'!$Z$2:$Z$4001,$X1433))</f>
        <v/>
      </c>
      <c r="N1433" s="23" t="str">
        <f aca="false">IF($X1433="","",Settings!$C$7)</f>
        <v/>
      </c>
      <c r="O1433" s="22" t="str">
        <f aca="false">IF($X1433="","",SUMIFS('Per Line'!$Y$2:$Y$4001,'Per Line'!$D$2:$D$4001,$B1433,'Per Line'!$AJ$2:$AJ$4001,0))</f>
        <v/>
      </c>
      <c r="P1433" s="22" t="str">
        <f aca="false">IF($X1433="","",O1433*N1433)</f>
        <v/>
      </c>
      <c r="Q1433" s="23" t="str">
        <f aca="false">IF($X1433="","",Settings!$C$6)</f>
        <v/>
      </c>
      <c r="R1433" s="22" t="str">
        <f aca="false">IF($X1433="","",SUMIFS('Per Line'!$Y$2:$Y$4001,'Per Line'!$D$2:$D$4001,$B1433,'Per Line'!$AJ$2:$AJ$4001,1))</f>
        <v/>
      </c>
      <c r="S1433" s="22" t="str">
        <f aca="false">IF($X1433="","",R1433*Q1433)</f>
        <v/>
      </c>
      <c r="T1433" s="22" t="str">
        <f aca="false">IF($X1433="","",S1433+P1433)</f>
        <v/>
      </c>
      <c r="U1433" s="22" t="str">
        <f aca="false">IF($X1433="","",V1433-T1433)</f>
        <v/>
      </c>
      <c r="V1433" s="22" t="str">
        <f aca="false">IF($X1433="","",O1433+R1433)</f>
        <v/>
      </c>
      <c r="W1433" s="22" t="str">
        <f aca="false">IF($X1433="","",U1433-L1433)</f>
        <v/>
      </c>
      <c r="X1433" s="24" t="str">
        <f aca="false">IF(ROWS($X$2:$X1433)&lt;=MAX('Per Line'!$AI$2:$AI$4001),MATCH(ROWS($X$2:$X1433),'Per Line'!$AI$2:$AI$4001,0),"")</f>
        <v/>
      </c>
    </row>
    <row r="1434" customFormat="false" ht="15" hidden="false" customHeight="false" outlineLevel="0" collapsed="false">
      <c r="A1434" s="19"/>
      <c r="B1434" s="20" t="str">
        <f aca="false">IF($X1434="","",INDEX('Per Line'!$D$2:$D$4001,$X1434))</f>
        <v/>
      </c>
      <c r="C1434" s="20" t="str">
        <f aca="false">IF($X1434="","",INDEX('Per Line'!$C$2:$C$4001,$X1434))</f>
        <v/>
      </c>
      <c r="D1434" s="20" t="str">
        <f aca="false">IF($X1434="","",INDEX('Per Line'!$A$2:$A$4001,$X1434))</f>
        <v/>
      </c>
      <c r="E1434" s="21" t="str">
        <f aca="false">IF($X1434="","",INDEX('Per Line'!$F$2:$F$4001,$X1434))</f>
        <v/>
      </c>
      <c r="F1434" s="20" t="str">
        <f aca="false">IF($X1434="","",INDEX('Per Line'!$G$2:$G$4001,$X1434))</f>
        <v/>
      </c>
      <c r="G1434" s="20" t="str">
        <f aca="false">IF($X1434="","",INDEX('Per Line'!$I$2:$I$4001,$X1434))</f>
        <v/>
      </c>
      <c r="H1434" s="20" t="str">
        <f aca="false">IF($X1434="","",INDEX('Per Line'!$J$2:$J$4001,$X1434))</f>
        <v/>
      </c>
      <c r="I1434" s="20" t="str">
        <f aca="false">IF($X1434="","",INDEX('Per Line'!$K$2:$K$4001,$X1434))</f>
        <v/>
      </c>
      <c r="J1434" s="20" t="str">
        <f aca="false">IF($X1434="","",INDEX('Per Line'!$L$2:$L$4001,$X1434))</f>
        <v/>
      </c>
      <c r="K1434" s="20" t="str">
        <f aca="false">IF($X1434="","",INDEX('Per Line'!$M$2:$M$4001,$X1434))</f>
        <v/>
      </c>
      <c r="L1434" s="22" t="str">
        <f aca="false">IF($X1434="","",K1434*V1434/100)</f>
        <v/>
      </c>
      <c r="M1434" s="20" t="str">
        <f aca="false">IF($X1434="","",INDEX('Per Line'!$Z$2:$Z$4001,$X1434))</f>
        <v/>
      </c>
      <c r="N1434" s="23" t="str">
        <f aca="false">IF($X1434="","",Settings!$C$7)</f>
        <v/>
      </c>
      <c r="O1434" s="22" t="str">
        <f aca="false">IF($X1434="","",SUMIFS('Per Line'!$Y$2:$Y$4001,'Per Line'!$D$2:$D$4001,$B1434,'Per Line'!$AJ$2:$AJ$4001,0))</f>
        <v/>
      </c>
      <c r="P1434" s="22" t="str">
        <f aca="false">IF($X1434="","",O1434*N1434)</f>
        <v/>
      </c>
      <c r="Q1434" s="23" t="str">
        <f aca="false">IF($X1434="","",Settings!$C$6)</f>
        <v/>
      </c>
      <c r="R1434" s="22" t="str">
        <f aca="false">IF($X1434="","",SUMIFS('Per Line'!$Y$2:$Y$4001,'Per Line'!$D$2:$D$4001,$B1434,'Per Line'!$AJ$2:$AJ$4001,1))</f>
        <v/>
      </c>
      <c r="S1434" s="22" t="str">
        <f aca="false">IF($X1434="","",R1434*Q1434)</f>
        <v/>
      </c>
      <c r="T1434" s="22" t="str">
        <f aca="false">IF($X1434="","",S1434+P1434)</f>
        <v/>
      </c>
      <c r="U1434" s="22" t="str">
        <f aca="false">IF($X1434="","",V1434-T1434)</f>
        <v/>
      </c>
      <c r="V1434" s="22" t="str">
        <f aca="false">IF($X1434="","",O1434+R1434)</f>
        <v/>
      </c>
      <c r="W1434" s="22" t="str">
        <f aca="false">IF($X1434="","",U1434-L1434)</f>
        <v/>
      </c>
      <c r="X1434" s="24" t="str">
        <f aca="false">IF(ROWS($X$2:$X1434)&lt;=MAX('Per Line'!$AI$2:$AI$4001),MATCH(ROWS($X$2:$X1434),'Per Line'!$AI$2:$AI$4001,0),"")</f>
        <v/>
      </c>
    </row>
    <row r="1435" customFormat="false" ht="15" hidden="false" customHeight="false" outlineLevel="0" collapsed="false">
      <c r="A1435" s="19"/>
      <c r="B1435" s="20" t="str">
        <f aca="false">IF($X1435="","",INDEX('Per Line'!$D$2:$D$4001,$X1435))</f>
        <v/>
      </c>
      <c r="C1435" s="20" t="str">
        <f aca="false">IF($X1435="","",INDEX('Per Line'!$C$2:$C$4001,$X1435))</f>
        <v/>
      </c>
      <c r="D1435" s="20" t="str">
        <f aca="false">IF($X1435="","",INDEX('Per Line'!$A$2:$A$4001,$X1435))</f>
        <v/>
      </c>
      <c r="E1435" s="21" t="str">
        <f aca="false">IF($X1435="","",INDEX('Per Line'!$F$2:$F$4001,$X1435))</f>
        <v/>
      </c>
      <c r="F1435" s="20" t="str">
        <f aca="false">IF($X1435="","",INDEX('Per Line'!$G$2:$G$4001,$X1435))</f>
        <v/>
      </c>
      <c r="G1435" s="20" t="str">
        <f aca="false">IF($X1435="","",INDEX('Per Line'!$I$2:$I$4001,$X1435))</f>
        <v/>
      </c>
      <c r="H1435" s="20" t="str">
        <f aca="false">IF($X1435="","",INDEX('Per Line'!$J$2:$J$4001,$X1435))</f>
        <v/>
      </c>
      <c r="I1435" s="20" t="str">
        <f aca="false">IF($X1435="","",INDEX('Per Line'!$K$2:$K$4001,$X1435))</f>
        <v/>
      </c>
      <c r="J1435" s="20" t="str">
        <f aca="false">IF($X1435="","",INDEX('Per Line'!$L$2:$L$4001,$X1435))</f>
        <v/>
      </c>
      <c r="K1435" s="20" t="str">
        <f aca="false">IF($X1435="","",INDEX('Per Line'!$M$2:$M$4001,$X1435))</f>
        <v/>
      </c>
      <c r="L1435" s="22" t="str">
        <f aca="false">IF($X1435="","",K1435*V1435/100)</f>
        <v/>
      </c>
      <c r="M1435" s="20" t="str">
        <f aca="false">IF($X1435="","",INDEX('Per Line'!$Z$2:$Z$4001,$X1435))</f>
        <v/>
      </c>
      <c r="N1435" s="23" t="str">
        <f aca="false">IF($X1435="","",Settings!$C$7)</f>
        <v/>
      </c>
      <c r="O1435" s="22" t="str">
        <f aca="false">IF($X1435="","",SUMIFS('Per Line'!$Y$2:$Y$4001,'Per Line'!$D$2:$D$4001,$B1435,'Per Line'!$AJ$2:$AJ$4001,0))</f>
        <v/>
      </c>
      <c r="P1435" s="22" t="str">
        <f aca="false">IF($X1435="","",O1435*N1435)</f>
        <v/>
      </c>
      <c r="Q1435" s="23" t="str">
        <f aca="false">IF($X1435="","",Settings!$C$6)</f>
        <v/>
      </c>
      <c r="R1435" s="22" t="str">
        <f aca="false">IF($X1435="","",SUMIFS('Per Line'!$Y$2:$Y$4001,'Per Line'!$D$2:$D$4001,$B1435,'Per Line'!$AJ$2:$AJ$4001,1))</f>
        <v/>
      </c>
      <c r="S1435" s="22" t="str">
        <f aca="false">IF($X1435="","",R1435*Q1435)</f>
        <v/>
      </c>
      <c r="T1435" s="22" t="str">
        <f aca="false">IF($X1435="","",S1435+P1435)</f>
        <v/>
      </c>
      <c r="U1435" s="22" t="str">
        <f aca="false">IF($X1435="","",V1435-T1435)</f>
        <v/>
      </c>
      <c r="V1435" s="22" t="str">
        <f aca="false">IF($X1435="","",O1435+R1435)</f>
        <v/>
      </c>
      <c r="W1435" s="22" t="str">
        <f aca="false">IF($X1435="","",U1435-L1435)</f>
        <v/>
      </c>
      <c r="X1435" s="24" t="str">
        <f aca="false">IF(ROWS($X$2:$X1435)&lt;=MAX('Per Line'!$AI$2:$AI$4001),MATCH(ROWS($X$2:$X1435),'Per Line'!$AI$2:$AI$4001,0),"")</f>
        <v/>
      </c>
    </row>
    <row r="1436" customFormat="false" ht="15" hidden="false" customHeight="false" outlineLevel="0" collapsed="false">
      <c r="A1436" s="19"/>
      <c r="B1436" s="20" t="str">
        <f aca="false">IF($X1436="","",INDEX('Per Line'!$D$2:$D$4001,$X1436))</f>
        <v/>
      </c>
      <c r="C1436" s="20" t="str">
        <f aca="false">IF($X1436="","",INDEX('Per Line'!$C$2:$C$4001,$X1436))</f>
        <v/>
      </c>
      <c r="D1436" s="20" t="str">
        <f aca="false">IF($X1436="","",INDEX('Per Line'!$A$2:$A$4001,$X1436))</f>
        <v/>
      </c>
      <c r="E1436" s="21" t="str">
        <f aca="false">IF($X1436="","",INDEX('Per Line'!$F$2:$F$4001,$X1436))</f>
        <v/>
      </c>
      <c r="F1436" s="20" t="str">
        <f aca="false">IF($X1436="","",INDEX('Per Line'!$G$2:$G$4001,$X1436))</f>
        <v/>
      </c>
      <c r="G1436" s="20" t="str">
        <f aca="false">IF($X1436="","",INDEX('Per Line'!$I$2:$I$4001,$X1436))</f>
        <v/>
      </c>
      <c r="H1436" s="20" t="str">
        <f aca="false">IF($X1436="","",INDEX('Per Line'!$J$2:$J$4001,$X1436))</f>
        <v/>
      </c>
      <c r="I1436" s="20" t="str">
        <f aca="false">IF($X1436="","",INDEX('Per Line'!$K$2:$K$4001,$X1436))</f>
        <v/>
      </c>
      <c r="J1436" s="20" t="str">
        <f aca="false">IF($X1436="","",INDEX('Per Line'!$L$2:$L$4001,$X1436))</f>
        <v/>
      </c>
      <c r="K1436" s="20" t="str">
        <f aca="false">IF($X1436="","",INDEX('Per Line'!$M$2:$M$4001,$X1436))</f>
        <v/>
      </c>
      <c r="L1436" s="22" t="str">
        <f aca="false">IF($X1436="","",K1436*V1436/100)</f>
        <v/>
      </c>
      <c r="M1436" s="20" t="str">
        <f aca="false">IF($X1436="","",INDEX('Per Line'!$Z$2:$Z$4001,$X1436))</f>
        <v/>
      </c>
      <c r="N1436" s="23" t="str">
        <f aca="false">IF($X1436="","",Settings!$C$7)</f>
        <v/>
      </c>
      <c r="O1436" s="22" t="str">
        <f aca="false">IF($X1436="","",SUMIFS('Per Line'!$Y$2:$Y$4001,'Per Line'!$D$2:$D$4001,$B1436,'Per Line'!$AJ$2:$AJ$4001,0))</f>
        <v/>
      </c>
      <c r="P1436" s="22" t="str">
        <f aca="false">IF($X1436="","",O1436*N1436)</f>
        <v/>
      </c>
      <c r="Q1436" s="23" t="str">
        <f aca="false">IF($X1436="","",Settings!$C$6)</f>
        <v/>
      </c>
      <c r="R1436" s="22" t="str">
        <f aca="false">IF($X1436="","",SUMIFS('Per Line'!$Y$2:$Y$4001,'Per Line'!$D$2:$D$4001,$B1436,'Per Line'!$AJ$2:$AJ$4001,1))</f>
        <v/>
      </c>
      <c r="S1436" s="22" t="str">
        <f aca="false">IF($X1436="","",R1436*Q1436)</f>
        <v/>
      </c>
      <c r="T1436" s="22" t="str">
        <f aca="false">IF($X1436="","",S1436+P1436)</f>
        <v/>
      </c>
      <c r="U1436" s="22" t="str">
        <f aca="false">IF($X1436="","",V1436-T1436)</f>
        <v/>
      </c>
      <c r="V1436" s="22" t="str">
        <f aca="false">IF($X1436="","",O1436+R1436)</f>
        <v/>
      </c>
      <c r="W1436" s="22" t="str">
        <f aca="false">IF($X1436="","",U1436-L1436)</f>
        <v/>
      </c>
      <c r="X1436" s="24" t="str">
        <f aca="false">IF(ROWS($X$2:$X1436)&lt;=MAX('Per Line'!$AI$2:$AI$4001),MATCH(ROWS($X$2:$X1436),'Per Line'!$AI$2:$AI$4001,0),"")</f>
        <v/>
      </c>
    </row>
    <row r="1437" customFormat="false" ht="15" hidden="false" customHeight="false" outlineLevel="0" collapsed="false">
      <c r="A1437" s="19"/>
      <c r="B1437" s="20" t="str">
        <f aca="false">IF($X1437="","",INDEX('Per Line'!$D$2:$D$4001,$X1437))</f>
        <v/>
      </c>
      <c r="C1437" s="20" t="str">
        <f aca="false">IF($X1437="","",INDEX('Per Line'!$C$2:$C$4001,$X1437))</f>
        <v/>
      </c>
      <c r="D1437" s="20" t="str">
        <f aca="false">IF($X1437="","",INDEX('Per Line'!$A$2:$A$4001,$X1437))</f>
        <v/>
      </c>
      <c r="E1437" s="21" t="str">
        <f aca="false">IF($X1437="","",INDEX('Per Line'!$F$2:$F$4001,$X1437))</f>
        <v/>
      </c>
      <c r="F1437" s="20" t="str">
        <f aca="false">IF($X1437="","",INDEX('Per Line'!$G$2:$G$4001,$X1437))</f>
        <v/>
      </c>
      <c r="G1437" s="20" t="str">
        <f aca="false">IF($X1437="","",INDEX('Per Line'!$I$2:$I$4001,$X1437))</f>
        <v/>
      </c>
      <c r="H1437" s="20" t="str">
        <f aca="false">IF($X1437="","",INDEX('Per Line'!$J$2:$J$4001,$X1437))</f>
        <v/>
      </c>
      <c r="I1437" s="20" t="str">
        <f aca="false">IF($X1437="","",INDEX('Per Line'!$K$2:$K$4001,$X1437))</f>
        <v/>
      </c>
      <c r="J1437" s="20" t="str">
        <f aca="false">IF($X1437="","",INDEX('Per Line'!$L$2:$L$4001,$X1437))</f>
        <v/>
      </c>
      <c r="K1437" s="20" t="str">
        <f aca="false">IF($X1437="","",INDEX('Per Line'!$M$2:$M$4001,$X1437))</f>
        <v/>
      </c>
      <c r="L1437" s="22" t="str">
        <f aca="false">IF($X1437="","",K1437*V1437/100)</f>
        <v/>
      </c>
      <c r="M1437" s="20" t="str">
        <f aca="false">IF($X1437="","",INDEX('Per Line'!$Z$2:$Z$4001,$X1437))</f>
        <v/>
      </c>
      <c r="N1437" s="23" t="str">
        <f aca="false">IF($X1437="","",Settings!$C$7)</f>
        <v/>
      </c>
      <c r="O1437" s="22" t="str">
        <f aca="false">IF($X1437="","",SUMIFS('Per Line'!$Y$2:$Y$4001,'Per Line'!$D$2:$D$4001,$B1437,'Per Line'!$AJ$2:$AJ$4001,0))</f>
        <v/>
      </c>
      <c r="P1437" s="22" t="str">
        <f aca="false">IF($X1437="","",O1437*N1437)</f>
        <v/>
      </c>
      <c r="Q1437" s="23" t="str">
        <f aca="false">IF($X1437="","",Settings!$C$6)</f>
        <v/>
      </c>
      <c r="R1437" s="22" t="str">
        <f aca="false">IF($X1437="","",SUMIFS('Per Line'!$Y$2:$Y$4001,'Per Line'!$D$2:$D$4001,$B1437,'Per Line'!$AJ$2:$AJ$4001,1))</f>
        <v/>
      </c>
      <c r="S1437" s="22" t="str">
        <f aca="false">IF($X1437="","",R1437*Q1437)</f>
        <v/>
      </c>
      <c r="T1437" s="22" t="str">
        <f aca="false">IF($X1437="","",S1437+P1437)</f>
        <v/>
      </c>
      <c r="U1437" s="22" t="str">
        <f aca="false">IF($X1437="","",V1437-T1437)</f>
        <v/>
      </c>
      <c r="V1437" s="22" t="str">
        <f aca="false">IF($X1437="","",O1437+R1437)</f>
        <v/>
      </c>
      <c r="W1437" s="22" t="str">
        <f aca="false">IF($X1437="","",U1437-L1437)</f>
        <v/>
      </c>
      <c r="X1437" s="24" t="str">
        <f aca="false">IF(ROWS($X$2:$X1437)&lt;=MAX('Per Line'!$AI$2:$AI$4001),MATCH(ROWS($X$2:$X1437),'Per Line'!$AI$2:$AI$4001,0),"")</f>
        <v/>
      </c>
    </row>
    <row r="1438" customFormat="false" ht="15" hidden="false" customHeight="false" outlineLevel="0" collapsed="false">
      <c r="A1438" s="19"/>
      <c r="B1438" s="20" t="str">
        <f aca="false">IF($X1438="","",INDEX('Per Line'!$D$2:$D$4001,$X1438))</f>
        <v/>
      </c>
      <c r="C1438" s="20" t="str">
        <f aca="false">IF($X1438="","",INDEX('Per Line'!$C$2:$C$4001,$X1438))</f>
        <v/>
      </c>
      <c r="D1438" s="20" t="str">
        <f aca="false">IF($X1438="","",INDEX('Per Line'!$A$2:$A$4001,$X1438))</f>
        <v/>
      </c>
      <c r="E1438" s="21" t="str">
        <f aca="false">IF($X1438="","",INDEX('Per Line'!$F$2:$F$4001,$X1438))</f>
        <v/>
      </c>
      <c r="F1438" s="20" t="str">
        <f aca="false">IF($X1438="","",INDEX('Per Line'!$G$2:$G$4001,$X1438))</f>
        <v/>
      </c>
      <c r="G1438" s="20" t="str">
        <f aca="false">IF($X1438="","",INDEX('Per Line'!$I$2:$I$4001,$X1438))</f>
        <v/>
      </c>
      <c r="H1438" s="20" t="str">
        <f aca="false">IF($X1438="","",INDEX('Per Line'!$J$2:$J$4001,$X1438))</f>
        <v/>
      </c>
      <c r="I1438" s="20" t="str">
        <f aca="false">IF($X1438="","",INDEX('Per Line'!$K$2:$K$4001,$X1438))</f>
        <v/>
      </c>
      <c r="J1438" s="20" t="str">
        <f aca="false">IF($X1438="","",INDEX('Per Line'!$L$2:$L$4001,$X1438))</f>
        <v/>
      </c>
      <c r="K1438" s="20" t="str">
        <f aca="false">IF($X1438="","",INDEX('Per Line'!$M$2:$M$4001,$X1438))</f>
        <v/>
      </c>
      <c r="L1438" s="22" t="str">
        <f aca="false">IF($X1438="","",K1438*V1438/100)</f>
        <v/>
      </c>
      <c r="M1438" s="20" t="str">
        <f aca="false">IF($X1438="","",INDEX('Per Line'!$Z$2:$Z$4001,$X1438))</f>
        <v/>
      </c>
      <c r="N1438" s="23" t="str">
        <f aca="false">IF($X1438="","",Settings!$C$7)</f>
        <v/>
      </c>
      <c r="O1438" s="22" t="str">
        <f aca="false">IF($X1438="","",SUMIFS('Per Line'!$Y$2:$Y$4001,'Per Line'!$D$2:$D$4001,$B1438,'Per Line'!$AJ$2:$AJ$4001,0))</f>
        <v/>
      </c>
      <c r="P1438" s="22" t="str">
        <f aca="false">IF($X1438="","",O1438*N1438)</f>
        <v/>
      </c>
      <c r="Q1438" s="23" t="str">
        <f aca="false">IF($X1438="","",Settings!$C$6)</f>
        <v/>
      </c>
      <c r="R1438" s="22" t="str">
        <f aca="false">IF($X1438="","",SUMIFS('Per Line'!$Y$2:$Y$4001,'Per Line'!$D$2:$D$4001,$B1438,'Per Line'!$AJ$2:$AJ$4001,1))</f>
        <v/>
      </c>
      <c r="S1438" s="22" t="str">
        <f aca="false">IF($X1438="","",R1438*Q1438)</f>
        <v/>
      </c>
      <c r="T1438" s="22" t="str">
        <f aca="false">IF($X1438="","",S1438+P1438)</f>
        <v/>
      </c>
      <c r="U1438" s="22" t="str">
        <f aca="false">IF($X1438="","",V1438-T1438)</f>
        <v/>
      </c>
      <c r="V1438" s="22" t="str">
        <f aca="false">IF($X1438="","",O1438+R1438)</f>
        <v/>
      </c>
      <c r="W1438" s="22" t="str">
        <f aca="false">IF($X1438="","",U1438-L1438)</f>
        <v/>
      </c>
      <c r="X1438" s="24" t="str">
        <f aca="false">IF(ROWS($X$2:$X1438)&lt;=MAX('Per Line'!$AI$2:$AI$4001),MATCH(ROWS($X$2:$X1438),'Per Line'!$AI$2:$AI$4001,0),"")</f>
        <v/>
      </c>
    </row>
    <row r="1439" customFormat="false" ht="15" hidden="false" customHeight="false" outlineLevel="0" collapsed="false">
      <c r="A1439" s="19"/>
      <c r="B1439" s="20" t="str">
        <f aca="false">IF($X1439="","",INDEX('Per Line'!$D$2:$D$4001,$X1439))</f>
        <v/>
      </c>
      <c r="C1439" s="20" t="str">
        <f aca="false">IF($X1439="","",INDEX('Per Line'!$C$2:$C$4001,$X1439))</f>
        <v/>
      </c>
      <c r="D1439" s="20" t="str">
        <f aca="false">IF($X1439="","",INDEX('Per Line'!$A$2:$A$4001,$X1439))</f>
        <v/>
      </c>
      <c r="E1439" s="21" t="str">
        <f aca="false">IF($X1439="","",INDEX('Per Line'!$F$2:$F$4001,$X1439))</f>
        <v/>
      </c>
      <c r="F1439" s="20" t="str">
        <f aca="false">IF($X1439="","",INDEX('Per Line'!$G$2:$G$4001,$X1439))</f>
        <v/>
      </c>
      <c r="G1439" s="20" t="str">
        <f aca="false">IF($X1439="","",INDEX('Per Line'!$I$2:$I$4001,$X1439))</f>
        <v/>
      </c>
      <c r="H1439" s="20" t="str">
        <f aca="false">IF($X1439="","",INDEX('Per Line'!$J$2:$J$4001,$X1439))</f>
        <v/>
      </c>
      <c r="I1439" s="20" t="str">
        <f aca="false">IF($X1439="","",INDEX('Per Line'!$K$2:$K$4001,$X1439))</f>
        <v/>
      </c>
      <c r="J1439" s="20" t="str">
        <f aca="false">IF($X1439="","",INDEX('Per Line'!$L$2:$L$4001,$X1439))</f>
        <v/>
      </c>
      <c r="K1439" s="20" t="str">
        <f aca="false">IF($X1439="","",INDEX('Per Line'!$M$2:$M$4001,$X1439))</f>
        <v/>
      </c>
      <c r="L1439" s="22" t="str">
        <f aca="false">IF($X1439="","",K1439*V1439/100)</f>
        <v/>
      </c>
      <c r="M1439" s="20" t="str">
        <f aca="false">IF($X1439="","",INDEX('Per Line'!$Z$2:$Z$4001,$X1439))</f>
        <v/>
      </c>
      <c r="N1439" s="23" t="str">
        <f aca="false">IF($X1439="","",Settings!$C$7)</f>
        <v/>
      </c>
      <c r="O1439" s="22" t="str">
        <f aca="false">IF($X1439="","",SUMIFS('Per Line'!$Y$2:$Y$4001,'Per Line'!$D$2:$D$4001,$B1439,'Per Line'!$AJ$2:$AJ$4001,0))</f>
        <v/>
      </c>
      <c r="P1439" s="22" t="str">
        <f aca="false">IF($X1439="","",O1439*N1439)</f>
        <v/>
      </c>
      <c r="Q1439" s="23" t="str">
        <f aca="false">IF($X1439="","",Settings!$C$6)</f>
        <v/>
      </c>
      <c r="R1439" s="22" t="str">
        <f aca="false">IF($X1439="","",SUMIFS('Per Line'!$Y$2:$Y$4001,'Per Line'!$D$2:$D$4001,$B1439,'Per Line'!$AJ$2:$AJ$4001,1))</f>
        <v/>
      </c>
      <c r="S1439" s="22" t="str">
        <f aca="false">IF($X1439="","",R1439*Q1439)</f>
        <v/>
      </c>
      <c r="T1439" s="22" t="str">
        <f aca="false">IF($X1439="","",S1439+P1439)</f>
        <v/>
      </c>
      <c r="U1439" s="22" t="str">
        <f aca="false">IF($X1439="","",V1439-T1439)</f>
        <v/>
      </c>
      <c r="V1439" s="22" t="str">
        <f aca="false">IF($X1439="","",O1439+R1439)</f>
        <v/>
      </c>
      <c r="W1439" s="22" t="str">
        <f aca="false">IF($X1439="","",U1439-L1439)</f>
        <v/>
      </c>
      <c r="X1439" s="24" t="str">
        <f aca="false">IF(ROWS($X$2:$X1439)&lt;=MAX('Per Line'!$AI$2:$AI$4001),MATCH(ROWS($X$2:$X1439),'Per Line'!$AI$2:$AI$4001,0),"")</f>
        <v/>
      </c>
    </row>
    <row r="1440" customFormat="false" ht="15" hidden="false" customHeight="false" outlineLevel="0" collapsed="false">
      <c r="A1440" s="19"/>
      <c r="B1440" s="20" t="str">
        <f aca="false">IF($X1440="","",INDEX('Per Line'!$D$2:$D$4001,$X1440))</f>
        <v/>
      </c>
      <c r="C1440" s="20" t="str">
        <f aca="false">IF($X1440="","",INDEX('Per Line'!$C$2:$C$4001,$X1440))</f>
        <v/>
      </c>
      <c r="D1440" s="20" t="str">
        <f aca="false">IF($X1440="","",INDEX('Per Line'!$A$2:$A$4001,$X1440))</f>
        <v/>
      </c>
      <c r="E1440" s="21" t="str">
        <f aca="false">IF($X1440="","",INDEX('Per Line'!$F$2:$F$4001,$X1440))</f>
        <v/>
      </c>
      <c r="F1440" s="20" t="str">
        <f aca="false">IF($X1440="","",INDEX('Per Line'!$G$2:$G$4001,$X1440))</f>
        <v/>
      </c>
      <c r="G1440" s="20" t="str">
        <f aca="false">IF($X1440="","",INDEX('Per Line'!$I$2:$I$4001,$X1440))</f>
        <v/>
      </c>
      <c r="H1440" s="20" t="str">
        <f aca="false">IF($X1440="","",INDEX('Per Line'!$J$2:$J$4001,$X1440))</f>
        <v/>
      </c>
      <c r="I1440" s="20" t="str">
        <f aca="false">IF($X1440="","",INDEX('Per Line'!$K$2:$K$4001,$X1440))</f>
        <v/>
      </c>
      <c r="J1440" s="20" t="str">
        <f aca="false">IF($X1440="","",INDEX('Per Line'!$L$2:$L$4001,$X1440))</f>
        <v/>
      </c>
      <c r="K1440" s="20" t="str">
        <f aca="false">IF($X1440="","",INDEX('Per Line'!$M$2:$M$4001,$X1440))</f>
        <v/>
      </c>
      <c r="L1440" s="22" t="str">
        <f aca="false">IF($X1440="","",K1440*V1440/100)</f>
        <v/>
      </c>
      <c r="M1440" s="20" t="str">
        <f aca="false">IF($X1440="","",INDEX('Per Line'!$Z$2:$Z$4001,$X1440))</f>
        <v/>
      </c>
      <c r="N1440" s="23" t="str">
        <f aca="false">IF($X1440="","",Settings!$C$7)</f>
        <v/>
      </c>
      <c r="O1440" s="22" t="str">
        <f aca="false">IF($X1440="","",SUMIFS('Per Line'!$Y$2:$Y$4001,'Per Line'!$D$2:$D$4001,$B1440,'Per Line'!$AJ$2:$AJ$4001,0))</f>
        <v/>
      </c>
      <c r="P1440" s="22" t="str">
        <f aca="false">IF($X1440="","",O1440*N1440)</f>
        <v/>
      </c>
      <c r="Q1440" s="23" t="str">
        <f aca="false">IF($X1440="","",Settings!$C$6)</f>
        <v/>
      </c>
      <c r="R1440" s="22" t="str">
        <f aca="false">IF($X1440="","",SUMIFS('Per Line'!$Y$2:$Y$4001,'Per Line'!$D$2:$D$4001,$B1440,'Per Line'!$AJ$2:$AJ$4001,1))</f>
        <v/>
      </c>
      <c r="S1440" s="22" t="str">
        <f aca="false">IF($X1440="","",R1440*Q1440)</f>
        <v/>
      </c>
      <c r="T1440" s="22" t="str">
        <f aca="false">IF($X1440="","",S1440+P1440)</f>
        <v/>
      </c>
      <c r="U1440" s="22" t="str">
        <f aca="false">IF($X1440="","",V1440-T1440)</f>
        <v/>
      </c>
      <c r="V1440" s="22" t="str">
        <f aca="false">IF($X1440="","",O1440+R1440)</f>
        <v/>
      </c>
      <c r="W1440" s="22" t="str">
        <f aca="false">IF($X1440="","",U1440-L1440)</f>
        <v/>
      </c>
      <c r="X1440" s="24" t="str">
        <f aca="false">IF(ROWS($X$2:$X1440)&lt;=MAX('Per Line'!$AI$2:$AI$4001),MATCH(ROWS($X$2:$X1440),'Per Line'!$AI$2:$AI$4001,0),"")</f>
        <v/>
      </c>
    </row>
    <row r="1441" customFormat="false" ht="15" hidden="false" customHeight="false" outlineLevel="0" collapsed="false">
      <c r="A1441" s="19"/>
      <c r="B1441" s="20" t="str">
        <f aca="false">IF($X1441="","",INDEX('Per Line'!$D$2:$D$4001,$X1441))</f>
        <v/>
      </c>
      <c r="C1441" s="20" t="str">
        <f aca="false">IF($X1441="","",INDEX('Per Line'!$C$2:$C$4001,$X1441))</f>
        <v/>
      </c>
      <c r="D1441" s="20" t="str">
        <f aca="false">IF($X1441="","",INDEX('Per Line'!$A$2:$A$4001,$X1441))</f>
        <v/>
      </c>
      <c r="E1441" s="21" t="str">
        <f aca="false">IF($X1441="","",INDEX('Per Line'!$F$2:$F$4001,$X1441))</f>
        <v/>
      </c>
      <c r="F1441" s="20" t="str">
        <f aca="false">IF($X1441="","",INDEX('Per Line'!$G$2:$G$4001,$X1441))</f>
        <v/>
      </c>
      <c r="G1441" s="20" t="str">
        <f aca="false">IF($X1441="","",INDEX('Per Line'!$I$2:$I$4001,$X1441))</f>
        <v/>
      </c>
      <c r="H1441" s="20" t="str">
        <f aca="false">IF($X1441="","",INDEX('Per Line'!$J$2:$J$4001,$X1441))</f>
        <v/>
      </c>
      <c r="I1441" s="20" t="str">
        <f aca="false">IF($X1441="","",INDEX('Per Line'!$K$2:$K$4001,$X1441))</f>
        <v/>
      </c>
      <c r="J1441" s="20" t="str">
        <f aca="false">IF($X1441="","",INDEX('Per Line'!$L$2:$L$4001,$X1441))</f>
        <v/>
      </c>
      <c r="K1441" s="20" t="str">
        <f aca="false">IF($X1441="","",INDEX('Per Line'!$M$2:$M$4001,$X1441))</f>
        <v/>
      </c>
      <c r="L1441" s="22" t="str">
        <f aca="false">IF($X1441="","",K1441*V1441/100)</f>
        <v/>
      </c>
      <c r="M1441" s="20" t="str">
        <f aca="false">IF($X1441="","",INDEX('Per Line'!$Z$2:$Z$4001,$X1441))</f>
        <v/>
      </c>
      <c r="N1441" s="23" t="str">
        <f aca="false">IF($X1441="","",Settings!$C$7)</f>
        <v/>
      </c>
      <c r="O1441" s="22" t="str">
        <f aca="false">IF($X1441="","",SUMIFS('Per Line'!$Y$2:$Y$4001,'Per Line'!$D$2:$D$4001,$B1441,'Per Line'!$AJ$2:$AJ$4001,0))</f>
        <v/>
      </c>
      <c r="P1441" s="22" t="str">
        <f aca="false">IF($X1441="","",O1441*N1441)</f>
        <v/>
      </c>
      <c r="Q1441" s="23" t="str">
        <f aca="false">IF($X1441="","",Settings!$C$6)</f>
        <v/>
      </c>
      <c r="R1441" s="22" t="str">
        <f aca="false">IF($X1441="","",SUMIFS('Per Line'!$Y$2:$Y$4001,'Per Line'!$D$2:$D$4001,$B1441,'Per Line'!$AJ$2:$AJ$4001,1))</f>
        <v/>
      </c>
      <c r="S1441" s="22" t="str">
        <f aca="false">IF($X1441="","",R1441*Q1441)</f>
        <v/>
      </c>
      <c r="T1441" s="22" t="str">
        <f aca="false">IF($X1441="","",S1441+P1441)</f>
        <v/>
      </c>
      <c r="U1441" s="22" t="str">
        <f aca="false">IF($X1441="","",V1441-T1441)</f>
        <v/>
      </c>
      <c r="V1441" s="22" t="str">
        <f aca="false">IF($X1441="","",O1441+R1441)</f>
        <v/>
      </c>
      <c r="W1441" s="22" t="str">
        <f aca="false">IF($X1441="","",U1441-L1441)</f>
        <v/>
      </c>
      <c r="X1441" s="24" t="str">
        <f aca="false">IF(ROWS($X$2:$X1441)&lt;=MAX('Per Line'!$AI$2:$AI$4001),MATCH(ROWS($X$2:$X1441),'Per Line'!$AI$2:$AI$4001,0),"")</f>
        <v/>
      </c>
    </row>
    <row r="1442" customFormat="false" ht="15" hidden="false" customHeight="false" outlineLevel="0" collapsed="false">
      <c r="A1442" s="19"/>
      <c r="B1442" s="20" t="str">
        <f aca="false">IF($X1442="","",INDEX('Per Line'!$D$2:$D$4001,$X1442))</f>
        <v/>
      </c>
      <c r="C1442" s="20" t="str">
        <f aca="false">IF($X1442="","",INDEX('Per Line'!$C$2:$C$4001,$X1442))</f>
        <v/>
      </c>
      <c r="D1442" s="20" t="str">
        <f aca="false">IF($X1442="","",INDEX('Per Line'!$A$2:$A$4001,$X1442))</f>
        <v/>
      </c>
      <c r="E1442" s="21" t="str">
        <f aca="false">IF($X1442="","",INDEX('Per Line'!$F$2:$F$4001,$X1442))</f>
        <v/>
      </c>
      <c r="F1442" s="20" t="str">
        <f aca="false">IF($X1442="","",INDEX('Per Line'!$G$2:$G$4001,$X1442))</f>
        <v/>
      </c>
      <c r="G1442" s="20" t="str">
        <f aca="false">IF($X1442="","",INDEX('Per Line'!$I$2:$I$4001,$X1442))</f>
        <v/>
      </c>
      <c r="H1442" s="20" t="str">
        <f aca="false">IF($X1442="","",INDEX('Per Line'!$J$2:$J$4001,$X1442))</f>
        <v/>
      </c>
      <c r="I1442" s="20" t="str">
        <f aca="false">IF($X1442="","",INDEX('Per Line'!$K$2:$K$4001,$X1442))</f>
        <v/>
      </c>
      <c r="J1442" s="20" t="str">
        <f aca="false">IF($X1442="","",INDEX('Per Line'!$L$2:$L$4001,$X1442))</f>
        <v/>
      </c>
      <c r="K1442" s="20" t="str">
        <f aca="false">IF($X1442="","",INDEX('Per Line'!$M$2:$M$4001,$X1442))</f>
        <v/>
      </c>
      <c r="L1442" s="22" t="str">
        <f aca="false">IF($X1442="","",K1442*V1442/100)</f>
        <v/>
      </c>
      <c r="M1442" s="20" t="str">
        <f aca="false">IF($X1442="","",INDEX('Per Line'!$Z$2:$Z$4001,$X1442))</f>
        <v/>
      </c>
      <c r="N1442" s="23" t="str">
        <f aca="false">IF($X1442="","",Settings!$C$7)</f>
        <v/>
      </c>
      <c r="O1442" s="22" t="str">
        <f aca="false">IF($X1442="","",SUMIFS('Per Line'!$Y$2:$Y$4001,'Per Line'!$D$2:$D$4001,$B1442,'Per Line'!$AJ$2:$AJ$4001,0))</f>
        <v/>
      </c>
      <c r="P1442" s="22" t="str">
        <f aca="false">IF($X1442="","",O1442*N1442)</f>
        <v/>
      </c>
      <c r="Q1442" s="23" t="str">
        <f aca="false">IF($X1442="","",Settings!$C$6)</f>
        <v/>
      </c>
      <c r="R1442" s="22" t="str">
        <f aca="false">IF($X1442="","",SUMIFS('Per Line'!$Y$2:$Y$4001,'Per Line'!$D$2:$D$4001,$B1442,'Per Line'!$AJ$2:$AJ$4001,1))</f>
        <v/>
      </c>
      <c r="S1442" s="22" t="str">
        <f aca="false">IF($X1442="","",R1442*Q1442)</f>
        <v/>
      </c>
      <c r="T1442" s="22" t="str">
        <f aca="false">IF($X1442="","",S1442+P1442)</f>
        <v/>
      </c>
      <c r="U1442" s="22" t="str">
        <f aca="false">IF($X1442="","",V1442-T1442)</f>
        <v/>
      </c>
      <c r="V1442" s="22" t="str">
        <f aca="false">IF($X1442="","",O1442+R1442)</f>
        <v/>
      </c>
      <c r="W1442" s="22" t="str">
        <f aca="false">IF($X1442="","",U1442-L1442)</f>
        <v/>
      </c>
      <c r="X1442" s="24" t="str">
        <f aca="false">IF(ROWS($X$2:$X1442)&lt;=MAX('Per Line'!$AI$2:$AI$4001),MATCH(ROWS($X$2:$X1442),'Per Line'!$AI$2:$AI$4001,0),"")</f>
        <v/>
      </c>
    </row>
    <row r="1443" customFormat="false" ht="15" hidden="false" customHeight="false" outlineLevel="0" collapsed="false">
      <c r="A1443" s="19"/>
      <c r="B1443" s="20" t="str">
        <f aca="false">IF($X1443="","",INDEX('Per Line'!$D$2:$D$4001,$X1443))</f>
        <v/>
      </c>
      <c r="C1443" s="20" t="str">
        <f aca="false">IF($X1443="","",INDEX('Per Line'!$C$2:$C$4001,$X1443))</f>
        <v/>
      </c>
      <c r="D1443" s="20" t="str">
        <f aca="false">IF($X1443="","",INDEX('Per Line'!$A$2:$A$4001,$X1443))</f>
        <v/>
      </c>
      <c r="E1443" s="21" t="str">
        <f aca="false">IF($X1443="","",INDEX('Per Line'!$F$2:$F$4001,$X1443))</f>
        <v/>
      </c>
      <c r="F1443" s="20" t="str">
        <f aca="false">IF($X1443="","",INDEX('Per Line'!$G$2:$G$4001,$X1443))</f>
        <v/>
      </c>
      <c r="G1443" s="20" t="str">
        <f aca="false">IF($X1443="","",INDEX('Per Line'!$I$2:$I$4001,$X1443))</f>
        <v/>
      </c>
      <c r="H1443" s="20" t="str">
        <f aca="false">IF($X1443="","",INDEX('Per Line'!$J$2:$J$4001,$X1443))</f>
        <v/>
      </c>
      <c r="I1443" s="20" t="str">
        <f aca="false">IF($X1443="","",INDEX('Per Line'!$K$2:$K$4001,$X1443))</f>
        <v/>
      </c>
      <c r="J1443" s="20" t="str">
        <f aca="false">IF($X1443="","",INDEX('Per Line'!$L$2:$L$4001,$X1443))</f>
        <v/>
      </c>
      <c r="K1443" s="20" t="str">
        <f aca="false">IF($X1443="","",INDEX('Per Line'!$M$2:$M$4001,$X1443))</f>
        <v/>
      </c>
      <c r="L1443" s="22" t="str">
        <f aca="false">IF($X1443="","",K1443*V1443/100)</f>
        <v/>
      </c>
      <c r="M1443" s="20" t="str">
        <f aca="false">IF($X1443="","",INDEX('Per Line'!$Z$2:$Z$4001,$X1443))</f>
        <v/>
      </c>
      <c r="N1443" s="23" t="str">
        <f aca="false">IF($X1443="","",Settings!$C$7)</f>
        <v/>
      </c>
      <c r="O1443" s="22" t="str">
        <f aca="false">IF($X1443="","",SUMIFS('Per Line'!$Y$2:$Y$4001,'Per Line'!$D$2:$D$4001,$B1443,'Per Line'!$AJ$2:$AJ$4001,0))</f>
        <v/>
      </c>
      <c r="P1443" s="22" t="str">
        <f aca="false">IF($X1443="","",O1443*N1443)</f>
        <v/>
      </c>
      <c r="Q1443" s="23" t="str">
        <f aca="false">IF($X1443="","",Settings!$C$6)</f>
        <v/>
      </c>
      <c r="R1443" s="22" t="str">
        <f aca="false">IF($X1443="","",SUMIFS('Per Line'!$Y$2:$Y$4001,'Per Line'!$D$2:$D$4001,$B1443,'Per Line'!$AJ$2:$AJ$4001,1))</f>
        <v/>
      </c>
      <c r="S1443" s="22" t="str">
        <f aca="false">IF($X1443="","",R1443*Q1443)</f>
        <v/>
      </c>
      <c r="T1443" s="22" t="str">
        <f aca="false">IF($X1443="","",S1443+P1443)</f>
        <v/>
      </c>
      <c r="U1443" s="22" t="str">
        <f aca="false">IF($X1443="","",V1443-T1443)</f>
        <v/>
      </c>
      <c r="V1443" s="22" t="str">
        <f aca="false">IF($X1443="","",O1443+R1443)</f>
        <v/>
      </c>
      <c r="W1443" s="22" t="str">
        <f aca="false">IF($X1443="","",U1443-L1443)</f>
        <v/>
      </c>
      <c r="X1443" s="24" t="str">
        <f aca="false">IF(ROWS($X$2:$X1443)&lt;=MAX('Per Line'!$AI$2:$AI$4001),MATCH(ROWS($X$2:$X1443),'Per Line'!$AI$2:$AI$4001,0),"")</f>
        <v/>
      </c>
    </row>
    <row r="1444" customFormat="false" ht="15" hidden="false" customHeight="false" outlineLevel="0" collapsed="false">
      <c r="A1444" s="19"/>
      <c r="B1444" s="20" t="str">
        <f aca="false">IF($X1444="","",INDEX('Per Line'!$D$2:$D$4001,$X1444))</f>
        <v/>
      </c>
      <c r="C1444" s="20" t="str">
        <f aca="false">IF($X1444="","",INDEX('Per Line'!$C$2:$C$4001,$X1444))</f>
        <v/>
      </c>
      <c r="D1444" s="20" t="str">
        <f aca="false">IF($X1444="","",INDEX('Per Line'!$A$2:$A$4001,$X1444))</f>
        <v/>
      </c>
      <c r="E1444" s="21" t="str">
        <f aca="false">IF($X1444="","",INDEX('Per Line'!$F$2:$F$4001,$X1444))</f>
        <v/>
      </c>
      <c r="F1444" s="20" t="str">
        <f aca="false">IF($X1444="","",INDEX('Per Line'!$G$2:$G$4001,$X1444))</f>
        <v/>
      </c>
      <c r="G1444" s="20" t="str">
        <f aca="false">IF($X1444="","",INDEX('Per Line'!$I$2:$I$4001,$X1444))</f>
        <v/>
      </c>
      <c r="H1444" s="20" t="str">
        <f aca="false">IF($X1444="","",INDEX('Per Line'!$J$2:$J$4001,$X1444))</f>
        <v/>
      </c>
      <c r="I1444" s="20" t="str">
        <f aca="false">IF($X1444="","",INDEX('Per Line'!$K$2:$K$4001,$X1444))</f>
        <v/>
      </c>
      <c r="J1444" s="20" t="str">
        <f aca="false">IF($X1444="","",INDEX('Per Line'!$L$2:$L$4001,$X1444))</f>
        <v/>
      </c>
      <c r="K1444" s="20" t="str">
        <f aca="false">IF($X1444="","",INDEX('Per Line'!$M$2:$M$4001,$X1444))</f>
        <v/>
      </c>
      <c r="L1444" s="22" t="str">
        <f aca="false">IF($X1444="","",K1444*V1444/100)</f>
        <v/>
      </c>
      <c r="M1444" s="20" t="str">
        <f aca="false">IF($X1444="","",INDEX('Per Line'!$Z$2:$Z$4001,$X1444))</f>
        <v/>
      </c>
      <c r="N1444" s="23" t="str">
        <f aca="false">IF($X1444="","",Settings!$C$7)</f>
        <v/>
      </c>
      <c r="O1444" s="22" t="str">
        <f aca="false">IF($X1444="","",SUMIFS('Per Line'!$Y$2:$Y$4001,'Per Line'!$D$2:$D$4001,$B1444,'Per Line'!$AJ$2:$AJ$4001,0))</f>
        <v/>
      </c>
      <c r="P1444" s="22" t="str">
        <f aca="false">IF($X1444="","",O1444*N1444)</f>
        <v/>
      </c>
      <c r="Q1444" s="23" t="str">
        <f aca="false">IF($X1444="","",Settings!$C$6)</f>
        <v/>
      </c>
      <c r="R1444" s="22" t="str">
        <f aca="false">IF($X1444="","",SUMIFS('Per Line'!$Y$2:$Y$4001,'Per Line'!$D$2:$D$4001,$B1444,'Per Line'!$AJ$2:$AJ$4001,1))</f>
        <v/>
      </c>
      <c r="S1444" s="22" t="str">
        <f aca="false">IF($X1444="","",R1444*Q1444)</f>
        <v/>
      </c>
      <c r="T1444" s="22" t="str">
        <f aca="false">IF($X1444="","",S1444+P1444)</f>
        <v/>
      </c>
      <c r="U1444" s="22" t="str">
        <f aca="false">IF($X1444="","",V1444-T1444)</f>
        <v/>
      </c>
      <c r="V1444" s="22" t="str">
        <f aca="false">IF($X1444="","",O1444+R1444)</f>
        <v/>
      </c>
      <c r="W1444" s="22" t="str">
        <f aca="false">IF($X1444="","",U1444-L1444)</f>
        <v/>
      </c>
      <c r="X1444" s="24" t="str">
        <f aca="false">IF(ROWS($X$2:$X1444)&lt;=MAX('Per Line'!$AI$2:$AI$4001),MATCH(ROWS($X$2:$X1444),'Per Line'!$AI$2:$AI$4001,0),"")</f>
        <v/>
      </c>
    </row>
    <row r="1445" customFormat="false" ht="15" hidden="false" customHeight="false" outlineLevel="0" collapsed="false">
      <c r="A1445" s="19"/>
      <c r="B1445" s="20" t="str">
        <f aca="false">IF($X1445="","",INDEX('Per Line'!$D$2:$D$4001,$X1445))</f>
        <v/>
      </c>
      <c r="C1445" s="20" t="str">
        <f aca="false">IF($X1445="","",INDEX('Per Line'!$C$2:$C$4001,$X1445))</f>
        <v/>
      </c>
      <c r="D1445" s="20" t="str">
        <f aca="false">IF($X1445="","",INDEX('Per Line'!$A$2:$A$4001,$X1445))</f>
        <v/>
      </c>
      <c r="E1445" s="21" t="str">
        <f aca="false">IF($X1445="","",INDEX('Per Line'!$F$2:$F$4001,$X1445))</f>
        <v/>
      </c>
      <c r="F1445" s="20" t="str">
        <f aca="false">IF($X1445="","",INDEX('Per Line'!$G$2:$G$4001,$X1445))</f>
        <v/>
      </c>
      <c r="G1445" s="20" t="str">
        <f aca="false">IF($X1445="","",INDEX('Per Line'!$I$2:$I$4001,$X1445))</f>
        <v/>
      </c>
      <c r="H1445" s="20" t="str">
        <f aca="false">IF($X1445="","",INDEX('Per Line'!$J$2:$J$4001,$X1445))</f>
        <v/>
      </c>
      <c r="I1445" s="20" t="str">
        <f aca="false">IF($X1445="","",INDEX('Per Line'!$K$2:$K$4001,$X1445))</f>
        <v/>
      </c>
      <c r="J1445" s="20" t="str">
        <f aca="false">IF($X1445="","",INDEX('Per Line'!$L$2:$L$4001,$X1445))</f>
        <v/>
      </c>
      <c r="K1445" s="20" t="str">
        <f aca="false">IF($X1445="","",INDEX('Per Line'!$M$2:$M$4001,$X1445))</f>
        <v/>
      </c>
      <c r="L1445" s="22" t="str">
        <f aca="false">IF($X1445="","",K1445*V1445/100)</f>
        <v/>
      </c>
      <c r="M1445" s="20" t="str">
        <f aca="false">IF($X1445="","",INDEX('Per Line'!$Z$2:$Z$4001,$X1445))</f>
        <v/>
      </c>
      <c r="N1445" s="23" t="str">
        <f aca="false">IF($X1445="","",Settings!$C$7)</f>
        <v/>
      </c>
      <c r="O1445" s="22" t="str">
        <f aca="false">IF($X1445="","",SUMIFS('Per Line'!$Y$2:$Y$4001,'Per Line'!$D$2:$D$4001,$B1445,'Per Line'!$AJ$2:$AJ$4001,0))</f>
        <v/>
      </c>
      <c r="P1445" s="22" t="str">
        <f aca="false">IF($X1445="","",O1445*N1445)</f>
        <v/>
      </c>
      <c r="Q1445" s="23" t="str">
        <f aca="false">IF($X1445="","",Settings!$C$6)</f>
        <v/>
      </c>
      <c r="R1445" s="22" t="str">
        <f aca="false">IF($X1445="","",SUMIFS('Per Line'!$Y$2:$Y$4001,'Per Line'!$D$2:$D$4001,$B1445,'Per Line'!$AJ$2:$AJ$4001,1))</f>
        <v/>
      </c>
      <c r="S1445" s="22" t="str">
        <f aca="false">IF($X1445="","",R1445*Q1445)</f>
        <v/>
      </c>
      <c r="T1445" s="22" t="str">
        <f aca="false">IF($X1445="","",S1445+P1445)</f>
        <v/>
      </c>
      <c r="U1445" s="22" t="str">
        <f aca="false">IF($X1445="","",V1445-T1445)</f>
        <v/>
      </c>
      <c r="V1445" s="22" t="str">
        <f aca="false">IF($X1445="","",O1445+R1445)</f>
        <v/>
      </c>
      <c r="W1445" s="22" t="str">
        <f aca="false">IF($X1445="","",U1445-L1445)</f>
        <v/>
      </c>
      <c r="X1445" s="24" t="str">
        <f aca="false">IF(ROWS($X$2:$X1445)&lt;=MAX('Per Line'!$AI$2:$AI$4001),MATCH(ROWS($X$2:$X1445),'Per Line'!$AI$2:$AI$4001,0),"")</f>
        <v/>
      </c>
    </row>
    <row r="1446" customFormat="false" ht="15" hidden="false" customHeight="false" outlineLevel="0" collapsed="false">
      <c r="A1446" s="19"/>
      <c r="B1446" s="20" t="str">
        <f aca="false">IF($X1446="","",INDEX('Per Line'!$D$2:$D$4001,$X1446))</f>
        <v/>
      </c>
      <c r="C1446" s="20" t="str">
        <f aca="false">IF($X1446="","",INDEX('Per Line'!$C$2:$C$4001,$X1446))</f>
        <v/>
      </c>
      <c r="D1446" s="20" t="str">
        <f aca="false">IF($X1446="","",INDEX('Per Line'!$A$2:$A$4001,$X1446))</f>
        <v/>
      </c>
      <c r="E1446" s="21" t="str">
        <f aca="false">IF($X1446="","",INDEX('Per Line'!$F$2:$F$4001,$X1446))</f>
        <v/>
      </c>
      <c r="F1446" s="20" t="str">
        <f aca="false">IF($X1446="","",INDEX('Per Line'!$G$2:$G$4001,$X1446))</f>
        <v/>
      </c>
      <c r="G1446" s="20" t="str">
        <f aca="false">IF($X1446="","",INDEX('Per Line'!$I$2:$I$4001,$X1446))</f>
        <v/>
      </c>
      <c r="H1446" s="20" t="str">
        <f aca="false">IF($X1446="","",INDEX('Per Line'!$J$2:$J$4001,$X1446))</f>
        <v/>
      </c>
      <c r="I1446" s="20" t="str">
        <f aca="false">IF($X1446="","",INDEX('Per Line'!$K$2:$K$4001,$X1446))</f>
        <v/>
      </c>
      <c r="J1446" s="20" t="str">
        <f aca="false">IF($X1446="","",INDEX('Per Line'!$L$2:$L$4001,$X1446))</f>
        <v/>
      </c>
      <c r="K1446" s="20" t="str">
        <f aca="false">IF($X1446="","",INDEX('Per Line'!$M$2:$M$4001,$X1446))</f>
        <v/>
      </c>
      <c r="L1446" s="22" t="str">
        <f aca="false">IF($X1446="","",K1446*V1446/100)</f>
        <v/>
      </c>
      <c r="M1446" s="20" t="str">
        <f aca="false">IF($X1446="","",INDEX('Per Line'!$Z$2:$Z$4001,$X1446))</f>
        <v/>
      </c>
      <c r="N1446" s="23" t="str">
        <f aca="false">IF($X1446="","",Settings!$C$7)</f>
        <v/>
      </c>
      <c r="O1446" s="22" t="str">
        <f aca="false">IF($X1446="","",SUMIFS('Per Line'!$Y$2:$Y$4001,'Per Line'!$D$2:$D$4001,$B1446,'Per Line'!$AJ$2:$AJ$4001,0))</f>
        <v/>
      </c>
      <c r="P1446" s="22" t="str">
        <f aca="false">IF($X1446="","",O1446*N1446)</f>
        <v/>
      </c>
      <c r="Q1446" s="23" t="str">
        <f aca="false">IF($X1446="","",Settings!$C$6)</f>
        <v/>
      </c>
      <c r="R1446" s="22" t="str">
        <f aca="false">IF($X1446="","",SUMIFS('Per Line'!$Y$2:$Y$4001,'Per Line'!$D$2:$D$4001,$B1446,'Per Line'!$AJ$2:$AJ$4001,1))</f>
        <v/>
      </c>
      <c r="S1446" s="22" t="str">
        <f aca="false">IF($X1446="","",R1446*Q1446)</f>
        <v/>
      </c>
      <c r="T1446" s="22" t="str">
        <f aca="false">IF($X1446="","",S1446+P1446)</f>
        <v/>
      </c>
      <c r="U1446" s="22" t="str">
        <f aca="false">IF($X1446="","",V1446-T1446)</f>
        <v/>
      </c>
      <c r="V1446" s="22" t="str">
        <f aca="false">IF($X1446="","",O1446+R1446)</f>
        <v/>
      </c>
      <c r="W1446" s="22" t="str">
        <f aca="false">IF($X1446="","",U1446-L1446)</f>
        <v/>
      </c>
      <c r="X1446" s="24" t="str">
        <f aca="false">IF(ROWS($X$2:$X1446)&lt;=MAX('Per Line'!$AI$2:$AI$4001),MATCH(ROWS($X$2:$X1446),'Per Line'!$AI$2:$AI$4001,0),"")</f>
        <v/>
      </c>
    </row>
    <row r="1447" customFormat="false" ht="15" hidden="false" customHeight="false" outlineLevel="0" collapsed="false">
      <c r="A1447" s="19"/>
      <c r="B1447" s="20" t="str">
        <f aca="false">IF($X1447="","",INDEX('Per Line'!$D$2:$D$4001,$X1447))</f>
        <v/>
      </c>
      <c r="C1447" s="20" t="str">
        <f aca="false">IF($X1447="","",INDEX('Per Line'!$C$2:$C$4001,$X1447))</f>
        <v/>
      </c>
      <c r="D1447" s="20" t="str">
        <f aca="false">IF($X1447="","",INDEX('Per Line'!$A$2:$A$4001,$X1447))</f>
        <v/>
      </c>
      <c r="E1447" s="21" t="str">
        <f aca="false">IF($X1447="","",INDEX('Per Line'!$F$2:$F$4001,$X1447))</f>
        <v/>
      </c>
      <c r="F1447" s="20" t="str">
        <f aca="false">IF($X1447="","",INDEX('Per Line'!$G$2:$G$4001,$X1447))</f>
        <v/>
      </c>
      <c r="G1447" s="20" t="str">
        <f aca="false">IF($X1447="","",INDEX('Per Line'!$I$2:$I$4001,$X1447))</f>
        <v/>
      </c>
      <c r="H1447" s="20" t="str">
        <f aca="false">IF($X1447="","",INDEX('Per Line'!$J$2:$J$4001,$X1447))</f>
        <v/>
      </c>
      <c r="I1447" s="20" t="str">
        <f aca="false">IF($X1447="","",INDEX('Per Line'!$K$2:$K$4001,$X1447))</f>
        <v/>
      </c>
      <c r="J1447" s="20" t="str">
        <f aca="false">IF($X1447="","",INDEX('Per Line'!$L$2:$L$4001,$X1447))</f>
        <v/>
      </c>
      <c r="K1447" s="20" t="str">
        <f aca="false">IF($X1447="","",INDEX('Per Line'!$M$2:$M$4001,$X1447))</f>
        <v/>
      </c>
      <c r="L1447" s="22" t="str">
        <f aca="false">IF($X1447="","",K1447*V1447/100)</f>
        <v/>
      </c>
      <c r="M1447" s="20" t="str">
        <f aca="false">IF($X1447="","",INDEX('Per Line'!$Z$2:$Z$4001,$X1447))</f>
        <v/>
      </c>
      <c r="N1447" s="23" t="str">
        <f aca="false">IF($X1447="","",Settings!$C$7)</f>
        <v/>
      </c>
      <c r="O1447" s="22" t="str">
        <f aca="false">IF($X1447="","",SUMIFS('Per Line'!$Y$2:$Y$4001,'Per Line'!$D$2:$D$4001,$B1447,'Per Line'!$AJ$2:$AJ$4001,0))</f>
        <v/>
      </c>
      <c r="P1447" s="22" t="str">
        <f aca="false">IF($X1447="","",O1447*N1447)</f>
        <v/>
      </c>
      <c r="Q1447" s="23" t="str">
        <f aca="false">IF($X1447="","",Settings!$C$6)</f>
        <v/>
      </c>
      <c r="R1447" s="22" t="str">
        <f aca="false">IF($X1447="","",SUMIFS('Per Line'!$Y$2:$Y$4001,'Per Line'!$D$2:$D$4001,$B1447,'Per Line'!$AJ$2:$AJ$4001,1))</f>
        <v/>
      </c>
      <c r="S1447" s="22" t="str">
        <f aca="false">IF($X1447="","",R1447*Q1447)</f>
        <v/>
      </c>
      <c r="T1447" s="22" t="str">
        <f aca="false">IF($X1447="","",S1447+P1447)</f>
        <v/>
      </c>
      <c r="U1447" s="22" t="str">
        <f aca="false">IF($X1447="","",V1447-T1447)</f>
        <v/>
      </c>
      <c r="V1447" s="22" t="str">
        <f aca="false">IF($X1447="","",O1447+R1447)</f>
        <v/>
      </c>
      <c r="W1447" s="22" t="str">
        <f aca="false">IF($X1447="","",U1447-L1447)</f>
        <v/>
      </c>
      <c r="X1447" s="24" t="str">
        <f aca="false">IF(ROWS($X$2:$X1447)&lt;=MAX('Per Line'!$AI$2:$AI$4001),MATCH(ROWS($X$2:$X1447),'Per Line'!$AI$2:$AI$4001,0),"")</f>
        <v/>
      </c>
    </row>
    <row r="1448" customFormat="false" ht="15" hidden="false" customHeight="false" outlineLevel="0" collapsed="false">
      <c r="A1448" s="19"/>
      <c r="B1448" s="20" t="str">
        <f aca="false">IF($X1448="","",INDEX('Per Line'!$D$2:$D$4001,$X1448))</f>
        <v/>
      </c>
      <c r="C1448" s="20" t="str">
        <f aca="false">IF($X1448="","",INDEX('Per Line'!$C$2:$C$4001,$X1448))</f>
        <v/>
      </c>
      <c r="D1448" s="20" t="str">
        <f aca="false">IF($X1448="","",INDEX('Per Line'!$A$2:$A$4001,$X1448))</f>
        <v/>
      </c>
      <c r="E1448" s="21" t="str">
        <f aca="false">IF($X1448="","",INDEX('Per Line'!$F$2:$F$4001,$X1448))</f>
        <v/>
      </c>
      <c r="F1448" s="20" t="str">
        <f aca="false">IF($X1448="","",INDEX('Per Line'!$G$2:$G$4001,$X1448))</f>
        <v/>
      </c>
      <c r="G1448" s="20" t="str">
        <f aca="false">IF($X1448="","",INDEX('Per Line'!$I$2:$I$4001,$X1448))</f>
        <v/>
      </c>
      <c r="H1448" s="20" t="str">
        <f aca="false">IF($X1448="","",INDEX('Per Line'!$J$2:$J$4001,$X1448))</f>
        <v/>
      </c>
      <c r="I1448" s="20" t="str">
        <f aca="false">IF($X1448="","",INDEX('Per Line'!$K$2:$K$4001,$X1448))</f>
        <v/>
      </c>
      <c r="J1448" s="20" t="str">
        <f aca="false">IF($X1448="","",INDEX('Per Line'!$L$2:$L$4001,$X1448))</f>
        <v/>
      </c>
      <c r="K1448" s="20" t="str">
        <f aca="false">IF($X1448="","",INDEX('Per Line'!$M$2:$M$4001,$X1448))</f>
        <v/>
      </c>
      <c r="L1448" s="22" t="str">
        <f aca="false">IF($X1448="","",K1448*V1448/100)</f>
        <v/>
      </c>
      <c r="M1448" s="20" t="str">
        <f aca="false">IF($X1448="","",INDEX('Per Line'!$Z$2:$Z$4001,$X1448))</f>
        <v/>
      </c>
      <c r="N1448" s="23" t="str">
        <f aca="false">IF($X1448="","",Settings!$C$7)</f>
        <v/>
      </c>
      <c r="O1448" s="22" t="str">
        <f aca="false">IF($X1448="","",SUMIFS('Per Line'!$Y$2:$Y$4001,'Per Line'!$D$2:$D$4001,$B1448,'Per Line'!$AJ$2:$AJ$4001,0))</f>
        <v/>
      </c>
      <c r="P1448" s="22" t="str">
        <f aca="false">IF($X1448="","",O1448*N1448)</f>
        <v/>
      </c>
      <c r="Q1448" s="23" t="str">
        <f aca="false">IF($X1448="","",Settings!$C$6)</f>
        <v/>
      </c>
      <c r="R1448" s="22" t="str">
        <f aca="false">IF($X1448="","",SUMIFS('Per Line'!$Y$2:$Y$4001,'Per Line'!$D$2:$D$4001,$B1448,'Per Line'!$AJ$2:$AJ$4001,1))</f>
        <v/>
      </c>
      <c r="S1448" s="22" t="str">
        <f aca="false">IF($X1448="","",R1448*Q1448)</f>
        <v/>
      </c>
      <c r="T1448" s="22" t="str">
        <f aca="false">IF($X1448="","",S1448+P1448)</f>
        <v/>
      </c>
      <c r="U1448" s="22" t="str">
        <f aca="false">IF($X1448="","",V1448-T1448)</f>
        <v/>
      </c>
      <c r="V1448" s="22" t="str">
        <f aca="false">IF($X1448="","",O1448+R1448)</f>
        <v/>
      </c>
      <c r="W1448" s="22" t="str">
        <f aca="false">IF($X1448="","",U1448-L1448)</f>
        <v/>
      </c>
      <c r="X1448" s="24" t="str">
        <f aca="false">IF(ROWS($X$2:$X1448)&lt;=MAX('Per Line'!$AI$2:$AI$4001),MATCH(ROWS($X$2:$X1448),'Per Line'!$AI$2:$AI$4001,0),"")</f>
        <v/>
      </c>
    </row>
    <row r="1449" customFormat="false" ht="15" hidden="false" customHeight="false" outlineLevel="0" collapsed="false">
      <c r="A1449" s="19"/>
      <c r="B1449" s="20" t="str">
        <f aca="false">IF($X1449="","",INDEX('Per Line'!$D$2:$D$4001,$X1449))</f>
        <v/>
      </c>
      <c r="C1449" s="20" t="str">
        <f aca="false">IF($X1449="","",INDEX('Per Line'!$C$2:$C$4001,$X1449))</f>
        <v/>
      </c>
      <c r="D1449" s="20" t="str">
        <f aca="false">IF($X1449="","",INDEX('Per Line'!$A$2:$A$4001,$X1449))</f>
        <v/>
      </c>
      <c r="E1449" s="21" t="str">
        <f aca="false">IF($X1449="","",INDEX('Per Line'!$F$2:$F$4001,$X1449))</f>
        <v/>
      </c>
      <c r="F1449" s="20" t="str">
        <f aca="false">IF($X1449="","",INDEX('Per Line'!$G$2:$G$4001,$X1449))</f>
        <v/>
      </c>
      <c r="G1449" s="20" t="str">
        <f aca="false">IF($X1449="","",INDEX('Per Line'!$I$2:$I$4001,$X1449))</f>
        <v/>
      </c>
      <c r="H1449" s="20" t="str">
        <f aca="false">IF($X1449="","",INDEX('Per Line'!$J$2:$J$4001,$X1449))</f>
        <v/>
      </c>
      <c r="I1449" s="20" t="str">
        <f aca="false">IF($X1449="","",INDEX('Per Line'!$K$2:$K$4001,$X1449))</f>
        <v/>
      </c>
      <c r="J1449" s="20" t="str">
        <f aca="false">IF($X1449="","",INDEX('Per Line'!$L$2:$L$4001,$X1449))</f>
        <v/>
      </c>
      <c r="K1449" s="20" t="str">
        <f aca="false">IF($X1449="","",INDEX('Per Line'!$M$2:$M$4001,$X1449))</f>
        <v/>
      </c>
      <c r="L1449" s="22" t="str">
        <f aca="false">IF($X1449="","",K1449*V1449/100)</f>
        <v/>
      </c>
      <c r="M1449" s="20" t="str">
        <f aca="false">IF($X1449="","",INDEX('Per Line'!$Z$2:$Z$4001,$X1449))</f>
        <v/>
      </c>
      <c r="N1449" s="23" t="str">
        <f aca="false">IF($X1449="","",Settings!$C$7)</f>
        <v/>
      </c>
      <c r="O1449" s="22" t="str">
        <f aca="false">IF($X1449="","",SUMIFS('Per Line'!$Y$2:$Y$4001,'Per Line'!$D$2:$D$4001,$B1449,'Per Line'!$AJ$2:$AJ$4001,0))</f>
        <v/>
      </c>
      <c r="P1449" s="22" t="str">
        <f aca="false">IF($X1449="","",O1449*N1449)</f>
        <v/>
      </c>
      <c r="Q1449" s="23" t="str">
        <f aca="false">IF($X1449="","",Settings!$C$6)</f>
        <v/>
      </c>
      <c r="R1449" s="22" t="str">
        <f aca="false">IF($X1449="","",SUMIFS('Per Line'!$Y$2:$Y$4001,'Per Line'!$D$2:$D$4001,$B1449,'Per Line'!$AJ$2:$AJ$4001,1))</f>
        <v/>
      </c>
      <c r="S1449" s="22" t="str">
        <f aca="false">IF($X1449="","",R1449*Q1449)</f>
        <v/>
      </c>
      <c r="T1449" s="22" t="str">
        <f aca="false">IF($X1449="","",S1449+P1449)</f>
        <v/>
      </c>
      <c r="U1449" s="22" t="str">
        <f aca="false">IF($X1449="","",V1449-T1449)</f>
        <v/>
      </c>
      <c r="V1449" s="22" t="str">
        <f aca="false">IF($X1449="","",O1449+R1449)</f>
        <v/>
      </c>
      <c r="W1449" s="22" t="str">
        <f aca="false">IF($X1449="","",U1449-L1449)</f>
        <v/>
      </c>
      <c r="X1449" s="24" t="str">
        <f aca="false">IF(ROWS($X$2:$X1449)&lt;=MAX('Per Line'!$AI$2:$AI$4001),MATCH(ROWS($X$2:$X1449),'Per Line'!$AI$2:$AI$4001,0),"")</f>
        <v/>
      </c>
    </row>
    <row r="1450" customFormat="false" ht="15" hidden="false" customHeight="false" outlineLevel="0" collapsed="false">
      <c r="A1450" s="19"/>
      <c r="B1450" s="20" t="str">
        <f aca="false">IF($X1450="","",INDEX('Per Line'!$D$2:$D$4001,$X1450))</f>
        <v/>
      </c>
      <c r="C1450" s="20" t="str">
        <f aca="false">IF($X1450="","",INDEX('Per Line'!$C$2:$C$4001,$X1450))</f>
        <v/>
      </c>
      <c r="D1450" s="20" t="str">
        <f aca="false">IF($X1450="","",INDEX('Per Line'!$A$2:$A$4001,$X1450))</f>
        <v/>
      </c>
      <c r="E1450" s="21" t="str">
        <f aca="false">IF($X1450="","",INDEX('Per Line'!$F$2:$F$4001,$X1450))</f>
        <v/>
      </c>
      <c r="F1450" s="20" t="str">
        <f aca="false">IF($X1450="","",INDEX('Per Line'!$G$2:$G$4001,$X1450))</f>
        <v/>
      </c>
      <c r="G1450" s="20" t="str">
        <f aca="false">IF($X1450="","",INDEX('Per Line'!$I$2:$I$4001,$X1450))</f>
        <v/>
      </c>
      <c r="H1450" s="20" t="str">
        <f aca="false">IF($X1450="","",INDEX('Per Line'!$J$2:$J$4001,$X1450))</f>
        <v/>
      </c>
      <c r="I1450" s="20" t="str">
        <f aca="false">IF($X1450="","",INDEX('Per Line'!$K$2:$K$4001,$X1450))</f>
        <v/>
      </c>
      <c r="J1450" s="20" t="str">
        <f aca="false">IF($X1450="","",INDEX('Per Line'!$L$2:$L$4001,$X1450))</f>
        <v/>
      </c>
      <c r="K1450" s="20" t="str">
        <f aca="false">IF($X1450="","",INDEX('Per Line'!$M$2:$M$4001,$X1450))</f>
        <v/>
      </c>
      <c r="L1450" s="22" t="str">
        <f aca="false">IF($X1450="","",K1450*V1450/100)</f>
        <v/>
      </c>
      <c r="M1450" s="20" t="str">
        <f aca="false">IF($X1450="","",INDEX('Per Line'!$Z$2:$Z$4001,$X1450))</f>
        <v/>
      </c>
      <c r="N1450" s="23" t="str">
        <f aca="false">IF($X1450="","",Settings!$C$7)</f>
        <v/>
      </c>
      <c r="O1450" s="22" t="str">
        <f aca="false">IF($X1450="","",SUMIFS('Per Line'!$Y$2:$Y$4001,'Per Line'!$D$2:$D$4001,$B1450,'Per Line'!$AJ$2:$AJ$4001,0))</f>
        <v/>
      </c>
      <c r="P1450" s="22" t="str">
        <f aca="false">IF($X1450="","",O1450*N1450)</f>
        <v/>
      </c>
      <c r="Q1450" s="23" t="str">
        <f aca="false">IF($X1450="","",Settings!$C$6)</f>
        <v/>
      </c>
      <c r="R1450" s="22" t="str">
        <f aca="false">IF($X1450="","",SUMIFS('Per Line'!$Y$2:$Y$4001,'Per Line'!$D$2:$D$4001,$B1450,'Per Line'!$AJ$2:$AJ$4001,1))</f>
        <v/>
      </c>
      <c r="S1450" s="22" t="str">
        <f aca="false">IF($X1450="","",R1450*Q1450)</f>
        <v/>
      </c>
      <c r="T1450" s="22" t="str">
        <f aca="false">IF($X1450="","",S1450+P1450)</f>
        <v/>
      </c>
      <c r="U1450" s="22" t="str">
        <f aca="false">IF($X1450="","",V1450-T1450)</f>
        <v/>
      </c>
      <c r="V1450" s="22" t="str">
        <f aca="false">IF($X1450="","",O1450+R1450)</f>
        <v/>
      </c>
      <c r="W1450" s="22" t="str">
        <f aca="false">IF($X1450="","",U1450-L1450)</f>
        <v/>
      </c>
      <c r="X1450" s="24" t="str">
        <f aca="false">IF(ROWS($X$2:$X1450)&lt;=MAX('Per Line'!$AI$2:$AI$4001),MATCH(ROWS($X$2:$X1450),'Per Line'!$AI$2:$AI$4001,0),"")</f>
        <v/>
      </c>
    </row>
    <row r="1451" customFormat="false" ht="15" hidden="false" customHeight="false" outlineLevel="0" collapsed="false">
      <c r="A1451" s="19"/>
      <c r="B1451" s="20" t="str">
        <f aca="false">IF($X1451="","",INDEX('Per Line'!$D$2:$D$4001,$X1451))</f>
        <v/>
      </c>
      <c r="C1451" s="20" t="str">
        <f aca="false">IF($X1451="","",INDEX('Per Line'!$C$2:$C$4001,$X1451))</f>
        <v/>
      </c>
      <c r="D1451" s="20" t="str">
        <f aca="false">IF($X1451="","",INDEX('Per Line'!$A$2:$A$4001,$X1451))</f>
        <v/>
      </c>
      <c r="E1451" s="21" t="str">
        <f aca="false">IF($X1451="","",INDEX('Per Line'!$F$2:$F$4001,$X1451))</f>
        <v/>
      </c>
      <c r="F1451" s="20" t="str">
        <f aca="false">IF($X1451="","",INDEX('Per Line'!$G$2:$G$4001,$X1451))</f>
        <v/>
      </c>
      <c r="G1451" s="20" t="str">
        <f aca="false">IF($X1451="","",INDEX('Per Line'!$I$2:$I$4001,$X1451))</f>
        <v/>
      </c>
      <c r="H1451" s="20" t="str">
        <f aca="false">IF($X1451="","",INDEX('Per Line'!$J$2:$J$4001,$X1451))</f>
        <v/>
      </c>
      <c r="I1451" s="20" t="str">
        <f aca="false">IF($X1451="","",INDEX('Per Line'!$K$2:$K$4001,$X1451))</f>
        <v/>
      </c>
      <c r="J1451" s="20" t="str">
        <f aca="false">IF($X1451="","",INDEX('Per Line'!$L$2:$L$4001,$X1451))</f>
        <v/>
      </c>
      <c r="K1451" s="20" t="str">
        <f aca="false">IF($X1451="","",INDEX('Per Line'!$M$2:$M$4001,$X1451))</f>
        <v/>
      </c>
      <c r="L1451" s="22" t="str">
        <f aca="false">IF($X1451="","",K1451*V1451/100)</f>
        <v/>
      </c>
      <c r="M1451" s="20" t="str">
        <f aca="false">IF($X1451="","",INDEX('Per Line'!$Z$2:$Z$4001,$X1451))</f>
        <v/>
      </c>
      <c r="N1451" s="23" t="str">
        <f aca="false">IF($X1451="","",Settings!$C$7)</f>
        <v/>
      </c>
      <c r="O1451" s="22" t="str">
        <f aca="false">IF($X1451="","",SUMIFS('Per Line'!$Y$2:$Y$4001,'Per Line'!$D$2:$D$4001,$B1451,'Per Line'!$AJ$2:$AJ$4001,0))</f>
        <v/>
      </c>
      <c r="P1451" s="22" t="str">
        <f aca="false">IF($X1451="","",O1451*N1451)</f>
        <v/>
      </c>
      <c r="Q1451" s="23" t="str">
        <f aca="false">IF($X1451="","",Settings!$C$6)</f>
        <v/>
      </c>
      <c r="R1451" s="22" t="str">
        <f aca="false">IF($X1451="","",SUMIFS('Per Line'!$Y$2:$Y$4001,'Per Line'!$D$2:$D$4001,$B1451,'Per Line'!$AJ$2:$AJ$4001,1))</f>
        <v/>
      </c>
      <c r="S1451" s="22" t="str">
        <f aca="false">IF($X1451="","",R1451*Q1451)</f>
        <v/>
      </c>
      <c r="T1451" s="22" t="str">
        <f aca="false">IF($X1451="","",S1451+P1451)</f>
        <v/>
      </c>
      <c r="U1451" s="22" t="str">
        <f aca="false">IF($X1451="","",V1451-T1451)</f>
        <v/>
      </c>
      <c r="V1451" s="22" t="str">
        <f aca="false">IF($X1451="","",O1451+R1451)</f>
        <v/>
      </c>
      <c r="W1451" s="22" t="str">
        <f aca="false">IF($X1451="","",U1451-L1451)</f>
        <v/>
      </c>
      <c r="X1451" s="24" t="str">
        <f aca="false">IF(ROWS($X$2:$X1451)&lt;=MAX('Per Line'!$AI$2:$AI$4001),MATCH(ROWS($X$2:$X1451),'Per Line'!$AI$2:$AI$4001,0),"")</f>
        <v/>
      </c>
    </row>
    <row r="1452" customFormat="false" ht="15" hidden="false" customHeight="false" outlineLevel="0" collapsed="false">
      <c r="A1452" s="19"/>
      <c r="B1452" s="20" t="str">
        <f aca="false">IF($X1452="","",INDEX('Per Line'!$D$2:$D$4001,$X1452))</f>
        <v/>
      </c>
      <c r="C1452" s="20" t="str">
        <f aca="false">IF($X1452="","",INDEX('Per Line'!$C$2:$C$4001,$X1452))</f>
        <v/>
      </c>
      <c r="D1452" s="20" t="str">
        <f aca="false">IF($X1452="","",INDEX('Per Line'!$A$2:$A$4001,$X1452))</f>
        <v/>
      </c>
      <c r="E1452" s="21" t="str">
        <f aca="false">IF($X1452="","",INDEX('Per Line'!$F$2:$F$4001,$X1452))</f>
        <v/>
      </c>
      <c r="F1452" s="20" t="str">
        <f aca="false">IF($X1452="","",INDEX('Per Line'!$G$2:$G$4001,$X1452))</f>
        <v/>
      </c>
      <c r="G1452" s="20" t="str">
        <f aca="false">IF($X1452="","",INDEX('Per Line'!$I$2:$I$4001,$X1452))</f>
        <v/>
      </c>
      <c r="H1452" s="20" t="str">
        <f aca="false">IF($X1452="","",INDEX('Per Line'!$J$2:$J$4001,$X1452))</f>
        <v/>
      </c>
      <c r="I1452" s="20" t="str">
        <f aca="false">IF($X1452="","",INDEX('Per Line'!$K$2:$K$4001,$X1452))</f>
        <v/>
      </c>
      <c r="J1452" s="20" t="str">
        <f aca="false">IF($X1452="","",INDEX('Per Line'!$L$2:$L$4001,$X1452))</f>
        <v/>
      </c>
      <c r="K1452" s="20" t="str">
        <f aca="false">IF($X1452="","",INDEX('Per Line'!$M$2:$M$4001,$X1452))</f>
        <v/>
      </c>
      <c r="L1452" s="22" t="str">
        <f aca="false">IF($X1452="","",K1452*V1452/100)</f>
        <v/>
      </c>
      <c r="M1452" s="20" t="str">
        <f aca="false">IF($X1452="","",INDEX('Per Line'!$Z$2:$Z$4001,$X1452))</f>
        <v/>
      </c>
      <c r="N1452" s="23" t="str">
        <f aca="false">IF($X1452="","",Settings!$C$7)</f>
        <v/>
      </c>
      <c r="O1452" s="22" t="str">
        <f aca="false">IF($X1452="","",SUMIFS('Per Line'!$Y$2:$Y$4001,'Per Line'!$D$2:$D$4001,$B1452,'Per Line'!$AJ$2:$AJ$4001,0))</f>
        <v/>
      </c>
      <c r="P1452" s="22" t="str">
        <f aca="false">IF($X1452="","",O1452*N1452)</f>
        <v/>
      </c>
      <c r="Q1452" s="23" t="str">
        <f aca="false">IF($X1452="","",Settings!$C$6)</f>
        <v/>
      </c>
      <c r="R1452" s="22" t="str">
        <f aca="false">IF($X1452="","",SUMIFS('Per Line'!$Y$2:$Y$4001,'Per Line'!$D$2:$D$4001,$B1452,'Per Line'!$AJ$2:$AJ$4001,1))</f>
        <v/>
      </c>
      <c r="S1452" s="22" t="str">
        <f aca="false">IF($X1452="","",R1452*Q1452)</f>
        <v/>
      </c>
      <c r="T1452" s="22" t="str">
        <f aca="false">IF($X1452="","",S1452+P1452)</f>
        <v/>
      </c>
      <c r="U1452" s="22" t="str">
        <f aca="false">IF($X1452="","",V1452-T1452)</f>
        <v/>
      </c>
      <c r="V1452" s="22" t="str">
        <f aca="false">IF($X1452="","",O1452+R1452)</f>
        <v/>
      </c>
      <c r="W1452" s="22" t="str">
        <f aca="false">IF($X1452="","",U1452-L1452)</f>
        <v/>
      </c>
      <c r="X1452" s="24" t="str">
        <f aca="false">IF(ROWS($X$2:$X1452)&lt;=MAX('Per Line'!$AI$2:$AI$4001),MATCH(ROWS($X$2:$X1452),'Per Line'!$AI$2:$AI$4001,0),"")</f>
        <v/>
      </c>
    </row>
    <row r="1453" customFormat="false" ht="15" hidden="false" customHeight="false" outlineLevel="0" collapsed="false">
      <c r="A1453" s="19"/>
      <c r="B1453" s="20" t="str">
        <f aca="false">IF($X1453="","",INDEX('Per Line'!$D$2:$D$4001,$X1453))</f>
        <v/>
      </c>
      <c r="C1453" s="20" t="str">
        <f aca="false">IF($X1453="","",INDEX('Per Line'!$C$2:$C$4001,$X1453))</f>
        <v/>
      </c>
      <c r="D1453" s="20" t="str">
        <f aca="false">IF($X1453="","",INDEX('Per Line'!$A$2:$A$4001,$X1453))</f>
        <v/>
      </c>
      <c r="E1453" s="21" t="str">
        <f aca="false">IF($X1453="","",INDEX('Per Line'!$F$2:$F$4001,$X1453))</f>
        <v/>
      </c>
      <c r="F1453" s="20" t="str">
        <f aca="false">IF($X1453="","",INDEX('Per Line'!$G$2:$G$4001,$X1453))</f>
        <v/>
      </c>
      <c r="G1453" s="20" t="str">
        <f aca="false">IF($X1453="","",INDEX('Per Line'!$I$2:$I$4001,$X1453))</f>
        <v/>
      </c>
      <c r="H1453" s="20" t="str">
        <f aca="false">IF($X1453="","",INDEX('Per Line'!$J$2:$J$4001,$X1453))</f>
        <v/>
      </c>
      <c r="I1453" s="20" t="str">
        <f aca="false">IF($X1453="","",INDEX('Per Line'!$K$2:$K$4001,$X1453))</f>
        <v/>
      </c>
      <c r="J1453" s="20" t="str">
        <f aca="false">IF($X1453="","",INDEX('Per Line'!$L$2:$L$4001,$X1453))</f>
        <v/>
      </c>
      <c r="K1453" s="20" t="str">
        <f aca="false">IF($X1453="","",INDEX('Per Line'!$M$2:$M$4001,$X1453))</f>
        <v/>
      </c>
      <c r="L1453" s="22" t="str">
        <f aca="false">IF($X1453="","",K1453*V1453/100)</f>
        <v/>
      </c>
      <c r="M1453" s="20" t="str">
        <f aca="false">IF($X1453="","",INDEX('Per Line'!$Z$2:$Z$4001,$X1453))</f>
        <v/>
      </c>
      <c r="N1453" s="23" t="str">
        <f aca="false">IF($X1453="","",Settings!$C$7)</f>
        <v/>
      </c>
      <c r="O1453" s="22" t="str">
        <f aca="false">IF($X1453="","",SUMIFS('Per Line'!$Y$2:$Y$4001,'Per Line'!$D$2:$D$4001,$B1453,'Per Line'!$AJ$2:$AJ$4001,0))</f>
        <v/>
      </c>
      <c r="P1453" s="22" t="str">
        <f aca="false">IF($X1453="","",O1453*N1453)</f>
        <v/>
      </c>
      <c r="Q1453" s="23" t="str">
        <f aca="false">IF($X1453="","",Settings!$C$6)</f>
        <v/>
      </c>
      <c r="R1453" s="22" t="str">
        <f aca="false">IF($X1453="","",SUMIFS('Per Line'!$Y$2:$Y$4001,'Per Line'!$D$2:$D$4001,$B1453,'Per Line'!$AJ$2:$AJ$4001,1))</f>
        <v/>
      </c>
      <c r="S1453" s="22" t="str">
        <f aca="false">IF($X1453="","",R1453*Q1453)</f>
        <v/>
      </c>
      <c r="T1453" s="22" t="str">
        <f aca="false">IF($X1453="","",S1453+P1453)</f>
        <v/>
      </c>
      <c r="U1453" s="22" t="str">
        <f aca="false">IF($X1453="","",V1453-T1453)</f>
        <v/>
      </c>
      <c r="V1453" s="22" t="str">
        <f aca="false">IF($X1453="","",O1453+R1453)</f>
        <v/>
      </c>
      <c r="W1453" s="22" t="str">
        <f aca="false">IF($X1453="","",U1453-L1453)</f>
        <v/>
      </c>
      <c r="X1453" s="24" t="str">
        <f aca="false">IF(ROWS($X$2:$X1453)&lt;=MAX('Per Line'!$AI$2:$AI$4001),MATCH(ROWS($X$2:$X1453),'Per Line'!$AI$2:$AI$4001,0),"")</f>
        <v/>
      </c>
    </row>
    <row r="1454" customFormat="false" ht="15" hidden="false" customHeight="false" outlineLevel="0" collapsed="false">
      <c r="A1454" s="19"/>
      <c r="B1454" s="20" t="str">
        <f aca="false">IF($X1454="","",INDEX('Per Line'!$D$2:$D$4001,$X1454))</f>
        <v/>
      </c>
      <c r="C1454" s="20" t="str">
        <f aca="false">IF($X1454="","",INDEX('Per Line'!$C$2:$C$4001,$X1454))</f>
        <v/>
      </c>
      <c r="D1454" s="20" t="str">
        <f aca="false">IF($X1454="","",INDEX('Per Line'!$A$2:$A$4001,$X1454))</f>
        <v/>
      </c>
      <c r="E1454" s="21" t="str">
        <f aca="false">IF($X1454="","",INDEX('Per Line'!$F$2:$F$4001,$X1454))</f>
        <v/>
      </c>
      <c r="F1454" s="20" t="str">
        <f aca="false">IF($X1454="","",INDEX('Per Line'!$G$2:$G$4001,$X1454))</f>
        <v/>
      </c>
      <c r="G1454" s="20" t="str">
        <f aca="false">IF($X1454="","",INDEX('Per Line'!$I$2:$I$4001,$X1454))</f>
        <v/>
      </c>
      <c r="H1454" s="20" t="str">
        <f aca="false">IF($X1454="","",INDEX('Per Line'!$J$2:$J$4001,$X1454))</f>
        <v/>
      </c>
      <c r="I1454" s="20" t="str">
        <f aca="false">IF($X1454="","",INDEX('Per Line'!$K$2:$K$4001,$X1454))</f>
        <v/>
      </c>
      <c r="J1454" s="20" t="str">
        <f aca="false">IF($X1454="","",INDEX('Per Line'!$L$2:$L$4001,$X1454))</f>
        <v/>
      </c>
      <c r="K1454" s="20" t="str">
        <f aca="false">IF($X1454="","",INDEX('Per Line'!$M$2:$M$4001,$X1454))</f>
        <v/>
      </c>
      <c r="L1454" s="22" t="str">
        <f aca="false">IF($X1454="","",K1454*V1454/100)</f>
        <v/>
      </c>
      <c r="M1454" s="20" t="str">
        <f aca="false">IF($X1454="","",INDEX('Per Line'!$Z$2:$Z$4001,$X1454))</f>
        <v/>
      </c>
      <c r="N1454" s="23" t="str">
        <f aca="false">IF($X1454="","",Settings!$C$7)</f>
        <v/>
      </c>
      <c r="O1454" s="22" t="str">
        <f aca="false">IF($X1454="","",SUMIFS('Per Line'!$Y$2:$Y$4001,'Per Line'!$D$2:$D$4001,$B1454,'Per Line'!$AJ$2:$AJ$4001,0))</f>
        <v/>
      </c>
      <c r="P1454" s="22" t="str">
        <f aca="false">IF($X1454="","",O1454*N1454)</f>
        <v/>
      </c>
      <c r="Q1454" s="23" t="str">
        <f aca="false">IF($X1454="","",Settings!$C$6)</f>
        <v/>
      </c>
      <c r="R1454" s="22" t="str">
        <f aca="false">IF($X1454="","",SUMIFS('Per Line'!$Y$2:$Y$4001,'Per Line'!$D$2:$D$4001,$B1454,'Per Line'!$AJ$2:$AJ$4001,1))</f>
        <v/>
      </c>
      <c r="S1454" s="22" t="str">
        <f aca="false">IF($X1454="","",R1454*Q1454)</f>
        <v/>
      </c>
      <c r="T1454" s="22" t="str">
        <f aca="false">IF($X1454="","",S1454+P1454)</f>
        <v/>
      </c>
      <c r="U1454" s="22" t="str">
        <f aca="false">IF($X1454="","",V1454-T1454)</f>
        <v/>
      </c>
      <c r="V1454" s="22" t="str">
        <f aca="false">IF($X1454="","",O1454+R1454)</f>
        <v/>
      </c>
      <c r="W1454" s="22" t="str">
        <f aca="false">IF($X1454="","",U1454-L1454)</f>
        <v/>
      </c>
      <c r="X1454" s="24" t="str">
        <f aca="false">IF(ROWS($X$2:$X1454)&lt;=MAX('Per Line'!$AI$2:$AI$4001),MATCH(ROWS($X$2:$X1454),'Per Line'!$AI$2:$AI$4001,0),"")</f>
        <v/>
      </c>
    </row>
    <row r="1455" customFormat="false" ht="15" hidden="false" customHeight="false" outlineLevel="0" collapsed="false">
      <c r="A1455" s="19"/>
      <c r="B1455" s="20" t="str">
        <f aca="false">IF($X1455="","",INDEX('Per Line'!$D$2:$D$4001,$X1455))</f>
        <v/>
      </c>
      <c r="C1455" s="20" t="str">
        <f aca="false">IF($X1455="","",INDEX('Per Line'!$C$2:$C$4001,$X1455))</f>
        <v/>
      </c>
      <c r="D1455" s="20" t="str">
        <f aca="false">IF($X1455="","",INDEX('Per Line'!$A$2:$A$4001,$X1455))</f>
        <v/>
      </c>
      <c r="E1455" s="21" t="str">
        <f aca="false">IF($X1455="","",INDEX('Per Line'!$F$2:$F$4001,$X1455))</f>
        <v/>
      </c>
      <c r="F1455" s="20" t="str">
        <f aca="false">IF($X1455="","",INDEX('Per Line'!$G$2:$G$4001,$X1455))</f>
        <v/>
      </c>
      <c r="G1455" s="20" t="str">
        <f aca="false">IF($X1455="","",INDEX('Per Line'!$I$2:$I$4001,$X1455))</f>
        <v/>
      </c>
      <c r="H1455" s="20" t="str">
        <f aca="false">IF($X1455="","",INDEX('Per Line'!$J$2:$J$4001,$X1455))</f>
        <v/>
      </c>
      <c r="I1455" s="20" t="str">
        <f aca="false">IF($X1455="","",INDEX('Per Line'!$K$2:$K$4001,$X1455))</f>
        <v/>
      </c>
      <c r="J1455" s="20" t="str">
        <f aca="false">IF($X1455="","",INDEX('Per Line'!$L$2:$L$4001,$X1455))</f>
        <v/>
      </c>
      <c r="K1455" s="20" t="str">
        <f aca="false">IF($X1455="","",INDEX('Per Line'!$M$2:$M$4001,$X1455))</f>
        <v/>
      </c>
      <c r="L1455" s="22" t="str">
        <f aca="false">IF($X1455="","",K1455*V1455/100)</f>
        <v/>
      </c>
      <c r="M1455" s="20" t="str">
        <f aca="false">IF($X1455="","",INDEX('Per Line'!$Z$2:$Z$4001,$X1455))</f>
        <v/>
      </c>
      <c r="N1455" s="23" t="str">
        <f aca="false">IF($X1455="","",Settings!$C$7)</f>
        <v/>
      </c>
      <c r="O1455" s="22" t="str">
        <f aca="false">IF($X1455="","",SUMIFS('Per Line'!$Y$2:$Y$4001,'Per Line'!$D$2:$D$4001,$B1455,'Per Line'!$AJ$2:$AJ$4001,0))</f>
        <v/>
      </c>
      <c r="P1455" s="22" t="str">
        <f aca="false">IF($X1455="","",O1455*N1455)</f>
        <v/>
      </c>
      <c r="Q1455" s="23" t="str">
        <f aca="false">IF($X1455="","",Settings!$C$6)</f>
        <v/>
      </c>
      <c r="R1455" s="22" t="str">
        <f aca="false">IF($X1455="","",SUMIFS('Per Line'!$Y$2:$Y$4001,'Per Line'!$D$2:$D$4001,$B1455,'Per Line'!$AJ$2:$AJ$4001,1))</f>
        <v/>
      </c>
      <c r="S1455" s="22" t="str">
        <f aca="false">IF($X1455="","",R1455*Q1455)</f>
        <v/>
      </c>
      <c r="T1455" s="22" t="str">
        <f aca="false">IF($X1455="","",S1455+P1455)</f>
        <v/>
      </c>
      <c r="U1455" s="22" t="str">
        <f aca="false">IF($X1455="","",V1455-T1455)</f>
        <v/>
      </c>
      <c r="V1455" s="22" t="str">
        <f aca="false">IF($X1455="","",O1455+R1455)</f>
        <v/>
      </c>
      <c r="W1455" s="22" t="str">
        <f aca="false">IF($X1455="","",U1455-L1455)</f>
        <v/>
      </c>
      <c r="X1455" s="24" t="str">
        <f aca="false">IF(ROWS($X$2:$X1455)&lt;=MAX('Per Line'!$AI$2:$AI$4001),MATCH(ROWS($X$2:$X1455),'Per Line'!$AI$2:$AI$4001,0),"")</f>
        <v/>
      </c>
    </row>
    <row r="1456" customFormat="false" ht="15" hidden="false" customHeight="false" outlineLevel="0" collapsed="false">
      <c r="A1456" s="19"/>
      <c r="B1456" s="20" t="str">
        <f aca="false">IF($X1456="","",INDEX('Per Line'!$D$2:$D$4001,$X1456))</f>
        <v/>
      </c>
      <c r="C1456" s="20" t="str">
        <f aca="false">IF($X1456="","",INDEX('Per Line'!$C$2:$C$4001,$X1456))</f>
        <v/>
      </c>
      <c r="D1456" s="20" t="str">
        <f aca="false">IF($X1456="","",INDEX('Per Line'!$A$2:$A$4001,$X1456))</f>
        <v/>
      </c>
      <c r="E1456" s="21" t="str">
        <f aca="false">IF($X1456="","",INDEX('Per Line'!$F$2:$F$4001,$X1456))</f>
        <v/>
      </c>
      <c r="F1456" s="20" t="str">
        <f aca="false">IF($X1456="","",INDEX('Per Line'!$G$2:$G$4001,$X1456))</f>
        <v/>
      </c>
      <c r="G1456" s="20" t="str">
        <f aca="false">IF($X1456="","",INDEX('Per Line'!$I$2:$I$4001,$X1456))</f>
        <v/>
      </c>
      <c r="H1456" s="20" t="str">
        <f aca="false">IF($X1456="","",INDEX('Per Line'!$J$2:$J$4001,$X1456))</f>
        <v/>
      </c>
      <c r="I1456" s="20" t="str">
        <f aca="false">IF($X1456="","",INDEX('Per Line'!$K$2:$K$4001,$X1456))</f>
        <v/>
      </c>
      <c r="J1456" s="20" t="str">
        <f aca="false">IF($X1456="","",INDEX('Per Line'!$L$2:$L$4001,$X1456))</f>
        <v/>
      </c>
      <c r="K1456" s="20" t="str">
        <f aca="false">IF($X1456="","",INDEX('Per Line'!$M$2:$M$4001,$X1456))</f>
        <v/>
      </c>
      <c r="L1456" s="22" t="str">
        <f aca="false">IF($X1456="","",K1456*V1456/100)</f>
        <v/>
      </c>
      <c r="M1456" s="20" t="str">
        <f aca="false">IF($X1456="","",INDEX('Per Line'!$Z$2:$Z$4001,$X1456))</f>
        <v/>
      </c>
      <c r="N1456" s="23" t="str">
        <f aca="false">IF($X1456="","",Settings!$C$7)</f>
        <v/>
      </c>
      <c r="O1456" s="22" t="str">
        <f aca="false">IF($X1456="","",SUMIFS('Per Line'!$Y$2:$Y$4001,'Per Line'!$D$2:$D$4001,$B1456,'Per Line'!$AJ$2:$AJ$4001,0))</f>
        <v/>
      </c>
      <c r="P1456" s="22" t="str">
        <f aca="false">IF($X1456="","",O1456*N1456)</f>
        <v/>
      </c>
      <c r="Q1456" s="23" t="str">
        <f aca="false">IF($X1456="","",Settings!$C$6)</f>
        <v/>
      </c>
      <c r="R1456" s="22" t="str">
        <f aca="false">IF($X1456="","",SUMIFS('Per Line'!$Y$2:$Y$4001,'Per Line'!$D$2:$D$4001,$B1456,'Per Line'!$AJ$2:$AJ$4001,1))</f>
        <v/>
      </c>
      <c r="S1456" s="22" t="str">
        <f aca="false">IF($X1456="","",R1456*Q1456)</f>
        <v/>
      </c>
      <c r="T1456" s="22" t="str">
        <f aca="false">IF($X1456="","",S1456+P1456)</f>
        <v/>
      </c>
      <c r="U1456" s="22" t="str">
        <f aca="false">IF($X1456="","",V1456-T1456)</f>
        <v/>
      </c>
      <c r="V1456" s="22" t="str">
        <f aca="false">IF($X1456="","",O1456+R1456)</f>
        <v/>
      </c>
      <c r="W1456" s="22" t="str">
        <f aca="false">IF($X1456="","",U1456-L1456)</f>
        <v/>
      </c>
      <c r="X1456" s="24" t="str">
        <f aca="false">IF(ROWS($X$2:$X1456)&lt;=MAX('Per Line'!$AI$2:$AI$4001),MATCH(ROWS($X$2:$X1456),'Per Line'!$AI$2:$AI$4001,0),"")</f>
        <v/>
      </c>
    </row>
    <row r="1457" customFormat="false" ht="15" hidden="false" customHeight="false" outlineLevel="0" collapsed="false">
      <c r="A1457" s="19"/>
      <c r="B1457" s="20" t="str">
        <f aca="false">IF($X1457="","",INDEX('Per Line'!$D$2:$D$4001,$X1457))</f>
        <v/>
      </c>
      <c r="C1457" s="20" t="str">
        <f aca="false">IF($X1457="","",INDEX('Per Line'!$C$2:$C$4001,$X1457))</f>
        <v/>
      </c>
      <c r="D1457" s="20" t="str">
        <f aca="false">IF($X1457="","",INDEX('Per Line'!$A$2:$A$4001,$X1457))</f>
        <v/>
      </c>
      <c r="E1457" s="21" t="str">
        <f aca="false">IF($X1457="","",INDEX('Per Line'!$F$2:$F$4001,$X1457))</f>
        <v/>
      </c>
      <c r="F1457" s="20" t="str">
        <f aca="false">IF($X1457="","",INDEX('Per Line'!$G$2:$G$4001,$X1457))</f>
        <v/>
      </c>
      <c r="G1457" s="20" t="str">
        <f aca="false">IF($X1457="","",INDEX('Per Line'!$I$2:$I$4001,$X1457))</f>
        <v/>
      </c>
      <c r="H1457" s="20" t="str">
        <f aca="false">IF($X1457="","",INDEX('Per Line'!$J$2:$J$4001,$X1457))</f>
        <v/>
      </c>
      <c r="I1457" s="20" t="str">
        <f aca="false">IF($X1457="","",INDEX('Per Line'!$K$2:$K$4001,$X1457))</f>
        <v/>
      </c>
      <c r="J1457" s="20" t="str">
        <f aca="false">IF($X1457="","",INDEX('Per Line'!$L$2:$L$4001,$X1457))</f>
        <v/>
      </c>
      <c r="K1457" s="20" t="str">
        <f aca="false">IF($X1457="","",INDEX('Per Line'!$M$2:$M$4001,$X1457))</f>
        <v/>
      </c>
      <c r="L1457" s="22" t="str">
        <f aca="false">IF($X1457="","",K1457*V1457/100)</f>
        <v/>
      </c>
      <c r="M1457" s="20" t="str">
        <f aca="false">IF($X1457="","",INDEX('Per Line'!$Z$2:$Z$4001,$X1457))</f>
        <v/>
      </c>
      <c r="N1457" s="23" t="str">
        <f aca="false">IF($X1457="","",Settings!$C$7)</f>
        <v/>
      </c>
      <c r="O1457" s="22" t="str">
        <f aca="false">IF($X1457="","",SUMIFS('Per Line'!$Y$2:$Y$4001,'Per Line'!$D$2:$D$4001,$B1457,'Per Line'!$AJ$2:$AJ$4001,0))</f>
        <v/>
      </c>
      <c r="P1457" s="22" t="str">
        <f aca="false">IF($X1457="","",O1457*N1457)</f>
        <v/>
      </c>
      <c r="Q1457" s="23" t="str">
        <f aca="false">IF($X1457="","",Settings!$C$6)</f>
        <v/>
      </c>
      <c r="R1457" s="22" t="str">
        <f aca="false">IF($X1457="","",SUMIFS('Per Line'!$Y$2:$Y$4001,'Per Line'!$D$2:$D$4001,$B1457,'Per Line'!$AJ$2:$AJ$4001,1))</f>
        <v/>
      </c>
      <c r="S1457" s="22" t="str">
        <f aca="false">IF($X1457="","",R1457*Q1457)</f>
        <v/>
      </c>
      <c r="T1457" s="22" t="str">
        <f aca="false">IF($X1457="","",S1457+P1457)</f>
        <v/>
      </c>
      <c r="U1457" s="22" t="str">
        <f aca="false">IF($X1457="","",V1457-T1457)</f>
        <v/>
      </c>
      <c r="V1457" s="22" t="str">
        <f aca="false">IF($X1457="","",O1457+R1457)</f>
        <v/>
      </c>
      <c r="W1457" s="22" t="str">
        <f aca="false">IF($X1457="","",U1457-L1457)</f>
        <v/>
      </c>
      <c r="X1457" s="24" t="str">
        <f aca="false">IF(ROWS($X$2:$X1457)&lt;=MAX('Per Line'!$AI$2:$AI$4001),MATCH(ROWS($X$2:$X1457),'Per Line'!$AI$2:$AI$4001,0),"")</f>
        <v/>
      </c>
    </row>
    <row r="1458" customFormat="false" ht="15" hidden="false" customHeight="false" outlineLevel="0" collapsed="false">
      <c r="A1458" s="19"/>
      <c r="B1458" s="20" t="str">
        <f aca="false">IF($X1458="","",INDEX('Per Line'!$D$2:$D$4001,$X1458))</f>
        <v/>
      </c>
      <c r="C1458" s="20" t="str">
        <f aca="false">IF($X1458="","",INDEX('Per Line'!$C$2:$C$4001,$X1458))</f>
        <v/>
      </c>
      <c r="D1458" s="20" t="str">
        <f aca="false">IF($X1458="","",INDEX('Per Line'!$A$2:$A$4001,$X1458))</f>
        <v/>
      </c>
      <c r="E1458" s="21" t="str">
        <f aca="false">IF($X1458="","",INDEX('Per Line'!$F$2:$F$4001,$X1458))</f>
        <v/>
      </c>
      <c r="F1458" s="20" t="str">
        <f aca="false">IF($X1458="","",INDEX('Per Line'!$G$2:$G$4001,$X1458))</f>
        <v/>
      </c>
      <c r="G1458" s="20" t="str">
        <f aca="false">IF($X1458="","",INDEX('Per Line'!$I$2:$I$4001,$X1458))</f>
        <v/>
      </c>
      <c r="H1458" s="20" t="str">
        <f aca="false">IF($X1458="","",INDEX('Per Line'!$J$2:$J$4001,$X1458))</f>
        <v/>
      </c>
      <c r="I1458" s="20" t="str">
        <f aca="false">IF($X1458="","",INDEX('Per Line'!$K$2:$K$4001,$X1458))</f>
        <v/>
      </c>
      <c r="J1458" s="20" t="str">
        <f aca="false">IF($X1458="","",INDEX('Per Line'!$L$2:$L$4001,$X1458))</f>
        <v/>
      </c>
      <c r="K1458" s="20" t="str">
        <f aca="false">IF($X1458="","",INDEX('Per Line'!$M$2:$M$4001,$X1458))</f>
        <v/>
      </c>
      <c r="L1458" s="22" t="str">
        <f aca="false">IF($X1458="","",K1458*V1458/100)</f>
        <v/>
      </c>
      <c r="M1458" s="20" t="str">
        <f aca="false">IF($X1458="","",INDEX('Per Line'!$Z$2:$Z$4001,$X1458))</f>
        <v/>
      </c>
      <c r="N1458" s="23" t="str">
        <f aca="false">IF($X1458="","",Settings!$C$7)</f>
        <v/>
      </c>
      <c r="O1458" s="22" t="str">
        <f aca="false">IF($X1458="","",SUMIFS('Per Line'!$Y$2:$Y$4001,'Per Line'!$D$2:$D$4001,$B1458,'Per Line'!$AJ$2:$AJ$4001,0))</f>
        <v/>
      </c>
      <c r="P1458" s="22" t="str">
        <f aca="false">IF($X1458="","",O1458*N1458)</f>
        <v/>
      </c>
      <c r="Q1458" s="23" t="str">
        <f aca="false">IF($X1458="","",Settings!$C$6)</f>
        <v/>
      </c>
      <c r="R1458" s="22" t="str">
        <f aca="false">IF($X1458="","",SUMIFS('Per Line'!$Y$2:$Y$4001,'Per Line'!$D$2:$D$4001,$B1458,'Per Line'!$AJ$2:$AJ$4001,1))</f>
        <v/>
      </c>
      <c r="S1458" s="22" t="str">
        <f aca="false">IF($X1458="","",R1458*Q1458)</f>
        <v/>
      </c>
      <c r="T1458" s="22" t="str">
        <f aca="false">IF($X1458="","",S1458+P1458)</f>
        <v/>
      </c>
      <c r="U1458" s="22" t="str">
        <f aca="false">IF($X1458="","",V1458-T1458)</f>
        <v/>
      </c>
      <c r="V1458" s="22" t="str">
        <f aca="false">IF($X1458="","",O1458+R1458)</f>
        <v/>
      </c>
      <c r="W1458" s="22" t="str">
        <f aca="false">IF($X1458="","",U1458-L1458)</f>
        <v/>
      </c>
      <c r="X1458" s="24" t="str">
        <f aca="false">IF(ROWS($X$2:$X1458)&lt;=MAX('Per Line'!$AI$2:$AI$4001),MATCH(ROWS($X$2:$X1458),'Per Line'!$AI$2:$AI$4001,0),"")</f>
        <v/>
      </c>
    </row>
    <row r="1459" customFormat="false" ht="15" hidden="false" customHeight="false" outlineLevel="0" collapsed="false">
      <c r="A1459" s="19"/>
      <c r="B1459" s="20" t="str">
        <f aca="false">IF($X1459="","",INDEX('Per Line'!$D$2:$D$4001,$X1459))</f>
        <v/>
      </c>
      <c r="C1459" s="20" t="str">
        <f aca="false">IF($X1459="","",INDEX('Per Line'!$C$2:$C$4001,$X1459))</f>
        <v/>
      </c>
      <c r="D1459" s="20" t="str">
        <f aca="false">IF($X1459="","",INDEX('Per Line'!$A$2:$A$4001,$X1459))</f>
        <v/>
      </c>
      <c r="E1459" s="21" t="str">
        <f aca="false">IF($X1459="","",INDEX('Per Line'!$F$2:$F$4001,$X1459))</f>
        <v/>
      </c>
      <c r="F1459" s="20" t="str">
        <f aca="false">IF($X1459="","",INDEX('Per Line'!$G$2:$G$4001,$X1459))</f>
        <v/>
      </c>
      <c r="G1459" s="20" t="str">
        <f aca="false">IF($X1459="","",INDEX('Per Line'!$I$2:$I$4001,$X1459))</f>
        <v/>
      </c>
      <c r="H1459" s="20" t="str">
        <f aca="false">IF($X1459="","",INDEX('Per Line'!$J$2:$J$4001,$X1459))</f>
        <v/>
      </c>
      <c r="I1459" s="20" t="str">
        <f aca="false">IF($X1459="","",INDEX('Per Line'!$K$2:$K$4001,$X1459))</f>
        <v/>
      </c>
      <c r="J1459" s="20" t="str">
        <f aca="false">IF($X1459="","",INDEX('Per Line'!$L$2:$L$4001,$X1459))</f>
        <v/>
      </c>
      <c r="K1459" s="20" t="str">
        <f aca="false">IF($X1459="","",INDEX('Per Line'!$M$2:$M$4001,$X1459))</f>
        <v/>
      </c>
      <c r="L1459" s="22" t="str">
        <f aca="false">IF($X1459="","",K1459*V1459/100)</f>
        <v/>
      </c>
      <c r="M1459" s="20" t="str">
        <f aca="false">IF($X1459="","",INDEX('Per Line'!$Z$2:$Z$4001,$X1459))</f>
        <v/>
      </c>
      <c r="N1459" s="23" t="str">
        <f aca="false">IF($X1459="","",Settings!$C$7)</f>
        <v/>
      </c>
      <c r="O1459" s="22" t="str">
        <f aca="false">IF($X1459="","",SUMIFS('Per Line'!$Y$2:$Y$4001,'Per Line'!$D$2:$D$4001,$B1459,'Per Line'!$AJ$2:$AJ$4001,0))</f>
        <v/>
      </c>
      <c r="P1459" s="22" t="str">
        <f aca="false">IF($X1459="","",O1459*N1459)</f>
        <v/>
      </c>
      <c r="Q1459" s="23" t="str">
        <f aca="false">IF($X1459="","",Settings!$C$6)</f>
        <v/>
      </c>
      <c r="R1459" s="22" t="str">
        <f aca="false">IF($X1459="","",SUMIFS('Per Line'!$Y$2:$Y$4001,'Per Line'!$D$2:$D$4001,$B1459,'Per Line'!$AJ$2:$AJ$4001,1))</f>
        <v/>
      </c>
      <c r="S1459" s="22" t="str">
        <f aca="false">IF($X1459="","",R1459*Q1459)</f>
        <v/>
      </c>
      <c r="T1459" s="22" t="str">
        <f aca="false">IF($X1459="","",S1459+P1459)</f>
        <v/>
      </c>
      <c r="U1459" s="22" t="str">
        <f aca="false">IF($X1459="","",V1459-T1459)</f>
        <v/>
      </c>
      <c r="V1459" s="22" t="str">
        <f aca="false">IF($X1459="","",O1459+R1459)</f>
        <v/>
      </c>
      <c r="W1459" s="22" t="str">
        <f aca="false">IF($X1459="","",U1459-L1459)</f>
        <v/>
      </c>
      <c r="X1459" s="24" t="str">
        <f aca="false">IF(ROWS($X$2:$X1459)&lt;=MAX('Per Line'!$AI$2:$AI$4001),MATCH(ROWS($X$2:$X1459),'Per Line'!$AI$2:$AI$4001,0),"")</f>
        <v/>
      </c>
    </row>
    <row r="1460" customFormat="false" ht="15" hidden="false" customHeight="false" outlineLevel="0" collapsed="false">
      <c r="A1460" s="19"/>
      <c r="B1460" s="20" t="str">
        <f aca="false">IF($X1460="","",INDEX('Per Line'!$D$2:$D$4001,$X1460))</f>
        <v/>
      </c>
      <c r="C1460" s="20" t="str">
        <f aca="false">IF($X1460="","",INDEX('Per Line'!$C$2:$C$4001,$X1460))</f>
        <v/>
      </c>
      <c r="D1460" s="20" t="str">
        <f aca="false">IF($X1460="","",INDEX('Per Line'!$A$2:$A$4001,$X1460))</f>
        <v/>
      </c>
      <c r="E1460" s="21" t="str">
        <f aca="false">IF($X1460="","",INDEX('Per Line'!$F$2:$F$4001,$X1460))</f>
        <v/>
      </c>
      <c r="F1460" s="20" t="str">
        <f aca="false">IF($X1460="","",INDEX('Per Line'!$G$2:$G$4001,$X1460))</f>
        <v/>
      </c>
      <c r="G1460" s="20" t="str">
        <f aca="false">IF($X1460="","",INDEX('Per Line'!$I$2:$I$4001,$X1460))</f>
        <v/>
      </c>
      <c r="H1460" s="20" t="str">
        <f aca="false">IF($X1460="","",INDEX('Per Line'!$J$2:$J$4001,$X1460))</f>
        <v/>
      </c>
      <c r="I1460" s="20" t="str">
        <f aca="false">IF($X1460="","",INDEX('Per Line'!$K$2:$K$4001,$X1460))</f>
        <v/>
      </c>
      <c r="J1460" s="20" t="str">
        <f aca="false">IF($X1460="","",INDEX('Per Line'!$L$2:$L$4001,$X1460))</f>
        <v/>
      </c>
      <c r="K1460" s="20" t="str">
        <f aca="false">IF($X1460="","",INDEX('Per Line'!$M$2:$M$4001,$X1460))</f>
        <v/>
      </c>
      <c r="L1460" s="22" t="str">
        <f aca="false">IF($X1460="","",K1460*V1460/100)</f>
        <v/>
      </c>
      <c r="M1460" s="20" t="str">
        <f aca="false">IF($X1460="","",INDEX('Per Line'!$Z$2:$Z$4001,$X1460))</f>
        <v/>
      </c>
      <c r="N1460" s="23" t="str">
        <f aca="false">IF($X1460="","",Settings!$C$7)</f>
        <v/>
      </c>
      <c r="O1460" s="22" t="str">
        <f aca="false">IF($X1460="","",SUMIFS('Per Line'!$Y$2:$Y$4001,'Per Line'!$D$2:$D$4001,$B1460,'Per Line'!$AJ$2:$AJ$4001,0))</f>
        <v/>
      </c>
      <c r="P1460" s="22" t="str">
        <f aca="false">IF($X1460="","",O1460*N1460)</f>
        <v/>
      </c>
      <c r="Q1460" s="23" t="str">
        <f aca="false">IF($X1460="","",Settings!$C$6)</f>
        <v/>
      </c>
      <c r="R1460" s="22" t="str">
        <f aca="false">IF($X1460="","",SUMIFS('Per Line'!$Y$2:$Y$4001,'Per Line'!$D$2:$D$4001,$B1460,'Per Line'!$AJ$2:$AJ$4001,1))</f>
        <v/>
      </c>
      <c r="S1460" s="22" t="str">
        <f aca="false">IF($X1460="","",R1460*Q1460)</f>
        <v/>
      </c>
      <c r="T1460" s="22" t="str">
        <f aca="false">IF($X1460="","",S1460+P1460)</f>
        <v/>
      </c>
      <c r="U1460" s="22" t="str">
        <f aca="false">IF($X1460="","",V1460-T1460)</f>
        <v/>
      </c>
      <c r="V1460" s="22" t="str">
        <f aca="false">IF($X1460="","",O1460+R1460)</f>
        <v/>
      </c>
      <c r="W1460" s="22" t="str">
        <f aca="false">IF($X1460="","",U1460-L1460)</f>
        <v/>
      </c>
      <c r="X1460" s="24" t="str">
        <f aca="false">IF(ROWS($X$2:$X1460)&lt;=MAX('Per Line'!$AI$2:$AI$4001),MATCH(ROWS($X$2:$X1460),'Per Line'!$AI$2:$AI$4001,0),"")</f>
        <v/>
      </c>
    </row>
    <row r="1461" customFormat="false" ht="15" hidden="false" customHeight="false" outlineLevel="0" collapsed="false">
      <c r="A1461" s="19"/>
      <c r="B1461" s="20" t="str">
        <f aca="false">IF($X1461="","",INDEX('Per Line'!$D$2:$D$4001,$X1461))</f>
        <v/>
      </c>
      <c r="C1461" s="20" t="str">
        <f aca="false">IF($X1461="","",INDEX('Per Line'!$C$2:$C$4001,$X1461))</f>
        <v/>
      </c>
      <c r="D1461" s="20" t="str">
        <f aca="false">IF($X1461="","",INDEX('Per Line'!$A$2:$A$4001,$X1461))</f>
        <v/>
      </c>
      <c r="E1461" s="21" t="str">
        <f aca="false">IF($X1461="","",INDEX('Per Line'!$F$2:$F$4001,$X1461))</f>
        <v/>
      </c>
      <c r="F1461" s="20" t="str">
        <f aca="false">IF($X1461="","",INDEX('Per Line'!$G$2:$G$4001,$X1461))</f>
        <v/>
      </c>
      <c r="G1461" s="20" t="str">
        <f aca="false">IF($X1461="","",INDEX('Per Line'!$I$2:$I$4001,$X1461))</f>
        <v/>
      </c>
      <c r="H1461" s="20" t="str">
        <f aca="false">IF($X1461="","",INDEX('Per Line'!$J$2:$J$4001,$X1461))</f>
        <v/>
      </c>
      <c r="I1461" s="20" t="str">
        <f aca="false">IF($X1461="","",INDEX('Per Line'!$K$2:$K$4001,$X1461))</f>
        <v/>
      </c>
      <c r="J1461" s="20" t="str">
        <f aca="false">IF($X1461="","",INDEX('Per Line'!$L$2:$L$4001,$X1461))</f>
        <v/>
      </c>
      <c r="K1461" s="20" t="str">
        <f aca="false">IF($X1461="","",INDEX('Per Line'!$M$2:$M$4001,$X1461))</f>
        <v/>
      </c>
      <c r="L1461" s="22" t="str">
        <f aca="false">IF($X1461="","",K1461*V1461/100)</f>
        <v/>
      </c>
      <c r="M1461" s="20" t="str">
        <f aca="false">IF($X1461="","",INDEX('Per Line'!$Z$2:$Z$4001,$X1461))</f>
        <v/>
      </c>
      <c r="N1461" s="23" t="str">
        <f aca="false">IF($X1461="","",Settings!$C$7)</f>
        <v/>
      </c>
      <c r="O1461" s="22" t="str">
        <f aca="false">IF($X1461="","",SUMIFS('Per Line'!$Y$2:$Y$4001,'Per Line'!$D$2:$D$4001,$B1461,'Per Line'!$AJ$2:$AJ$4001,0))</f>
        <v/>
      </c>
      <c r="P1461" s="22" t="str">
        <f aca="false">IF($X1461="","",O1461*N1461)</f>
        <v/>
      </c>
      <c r="Q1461" s="23" t="str">
        <f aca="false">IF($X1461="","",Settings!$C$6)</f>
        <v/>
      </c>
      <c r="R1461" s="22" t="str">
        <f aca="false">IF($X1461="","",SUMIFS('Per Line'!$Y$2:$Y$4001,'Per Line'!$D$2:$D$4001,$B1461,'Per Line'!$AJ$2:$AJ$4001,1))</f>
        <v/>
      </c>
      <c r="S1461" s="22" t="str">
        <f aca="false">IF($X1461="","",R1461*Q1461)</f>
        <v/>
      </c>
      <c r="T1461" s="22" t="str">
        <f aca="false">IF($X1461="","",S1461+P1461)</f>
        <v/>
      </c>
      <c r="U1461" s="22" t="str">
        <f aca="false">IF($X1461="","",V1461-T1461)</f>
        <v/>
      </c>
      <c r="V1461" s="22" t="str">
        <f aca="false">IF($X1461="","",O1461+R1461)</f>
        <v/>
      </c>
      <c r="W1461" s="22" t="str">
        <f aca="false">IF($X1461="","",U1461-L1461)</f>
        <v/>
      </c>
      <c r="X1461" s="24" t="str">
        <f aca="false">IF(ROWS($X$2:$X1461)&lt;=MAX('Per Line'!$AI$2:$AI$4001),MATCH(ROWS($X$2:$X1461),'Per Line'!$AI$2:$AI$4001,0),"")</f>
        <v/>
      </c>
    </row>
    <row r="1462" customFormat="false" ht="15" hidden="false" customHeight="false" outlineLevel="0" collapsed="false">
      <c r="A1462" s="19"/>
      <c r="B1462" s="20" t="str">
        <f aca="false">IF($X1462="","",INDEX('Per Line'!$D$2:$D$4001,$X1462))</f>
        <v/>
      </c>
      <c r="C1462" s="20" t="str">
        <f aca="false">IF($X1462="","",INDEX('Per Line'!$C$2:$C$4001,$X1462))</f>
        <v/>
      </c>
      <c r="D1462" s="20" t="str">
        <f aca="false">IF($X1462="","",INDEX('Per Line'!$A$2:$A$4001,$X1462))</f>
        <v/>
      </c>
      <c r="E1462" s="21" t="str">
        <f aca="false">IF($X1462="","",INDEX('Per Line'!$F$2:$F$4001,$X1462))</f>
        <v/>
      </c>
      <c r="F1462" s="20" t="str">
        <f aca="false">IF($X1462="","",INDEX('Per Line'!$G$2:$G$4001,$X1462))</f>
        <v/>
      </c>
      <c r="G1462" s="20" t="str">
        <f aca="false">IF($X1462="","",INDEX('Per Line'!$I$2:$I$4001,$X1462))</f>
        <v/>
      </c>
      <c r="H1462" s="20" t="str">
        <f aca="false">IF($X1462="","",INDEX('Per Line'!$J$2:$J$4001,$X1462))</f>
        <v/>
      </c>
      <c r="I1462" s="20" t="str">
        <f aca="false">IF($X1462="","",INDEX('Per Line'!$K$2:$K$4001,$X1462))</f>
        <v/>
      </c>
      <c r="J1462" s="20" t="str">
        <f aca="false">IF($X1462="","",INDEX('Per Line'!$L$2:$L$4001,$X1462))</f>
        <v/>
      </c>
      <c r="K1462" s="20" t="str">
        <f aca="false">IF($X1462="","",INDEX('Per Line'!$M$2:$M$4001,$X1462))</f>
        <v/>
      </c>
      <c r="L1462" s="22" t="str">
        <f aca="false">IF($X1462="","",K1462*V1462/100)</f>
        <v/>
      </c>
      <c r="M1462" s="20" t="str">
        <f aca="false">IF($X1462="","",INDEX('Per Line'!$Z$2:$Z$4001,$X1462))</f>
        <v/>
      </c>
      <c r="N1462" s="23" t="str">
        <f aca="false">IF($X1462="","",Settings!$C$7)</f>
        <v/>
      </c>
      <c r="O1462" s="22" t="str">
        <f aca="false">IF($X1462="","",SUMIFS('Per Line'!$Y$2:$Y$4001,'Per Line'!$D$2:$D$4001,$B1462,'Per Line'!$AJ$2:$AJ$4001,0))</f>
        <v/>
      </c>
      <c r="P1462" s="22" t="str">
        <f aca="false">IF($X1462="","",O1462*N1462)</f>
        <v/>
      </c>
      <c r="Q1462" s="23" t="str">
        <f aca="false">IF($X1462="","",Settings!$C$6)</f>
        <v/>
      </c>
      <c r="R1462" s="22" t="str">
        <f aca="false">IF($X1462="","",SUMIFS('Per Line'!$Y$2:$Y$4001,'Per Line'!$D$2:$D$4001,$B1462,'Per Line'!$AJ$2:$AJ$4001,1))</f>
        <v/>
      </c>
      <c r="S1462" s="22" t="str">
        <f aca="false">IF($X1462="","",R1462*Q1462)</f>
        <v/>
      </c>
      <c r="T1462" s="22" t="str">
        <f aca="false">IF($X1462="","",S1462+P1462)</f>
        <v/>
      </c>
      <c r="U1462" s="22" t="str">
        <f aca="false">IF($X1462="","",V1462-T1462)</f>
        <v/>
      </c>
      <c r="V1462" s="22" t="str">
        <f aca="false">IF($X1462="","",O1462+R1462)</f>
        <v/>
      </c>
      <c r="W1462" s="22" t="str">
        <f aca="false">IF($X1462="","",U1462-L1462)</f>
        <v/>
      </c>
      <c r="X1462" s="24" t="str">
        <f aca="false">IF(ROWS($X$2:$X1462)&lt;=MAX('Per Line'!$AI$2:$AI$4001),MATCH(ROWS($X$2:$X1462),'Per Line'!$AI$2:$AI$4001,0),"")</f>
        <v/>
      </c>
    </row>
    <row r="1463" customFormat="false" ht="15" hidden="false" customHeight="false" outlineLevel="0" collapsed="false">
      <c r="A1463" s="19"/>
      <c r="B1463" s="20" t="str">
        <f aca="false">IF($X1463="","",INDEX('Per Line'!$D$2:$D$4001,$X1463))</f>
        <v/>
      </c>
      <c r="C1463" s="20" t="str">
        <f aca="false">IF($X1463="","",INDEX('Per Line'!$C$2:$C$4001,$X1463))</f>
        <v/>
      </c>
      <c r="D1463" s="20" t="str">
        <f aca="false">IF($X1463="","",INDEX('Per Line'!$A$2:$A$4001,$X1463))</f>
        <v/>
      </c>
      <c r="E1463" s="21" t="str">
        <f aca="false">IF($X1463="","",INDEX('Per Line'!$F$2:$F$4001,$X1463))</f>
        <v/>
      </c>
      <c r="F1463" s="20" t="str">
        <f aca="false">IF($X1463="","",INDEX('Per Line'!$G$2:$G$4001,$X1463))</f>
        <v/>
      </c>
      <c r="G1463" s="20" t="str">
        <f aca="false">IF($X1463="","",INDEX('Per Line'!$I$2:$I$4001,$X1463))</f>
        <v/>
      </c>
      <c r="H1463" s="20" t="str">
        <f aca="false">IF($X1463="","",INDEX('Per Line'!$J$2:$J$4001,$X1463))</f>
        <v/>
      </c>
      <c r="I1463" s="20" t="str">
        <f aca="false">IF($X1463="","",INDEX('Per Line'!$K$2:$K$4001,$X1463))</f>
        <v/>
      </c>
      <c r="J1463" s="20" t="str">
        <f aca="false">IF($X1463="","",INDEX('Per Line'!$L$2:$L$4001,$X1463))</f>
        <v/>
      </c>
      <c r="K1463" s="20" t="str">
        <f aca="false">IF($X1463="","",INDEX('Per Line'!$M$2:$M$4001,$X1463))</f>
        <v/>
      </c>
      <c r="L1463" s="22" t="str">
        <f aca="false">IF($X1463="","",K1463*V1463/100)</f>
        <v/>
      </c>
      <c r="M1463" s="20" t="str">
        <f aca="false">IF($X1463="","",INDEX('Per Line'!$Z$2:$Z$4001,$X1463))</f>
        <v/>
      </c>
      <c r="N1463" s="23" t="str">
        <f aca="false">IF($X1463="","",Settings!$C$7)</f>
        <v/>
      </c>
      <c r="O1463" s="22" t="str">
        <f aca="false">IF($X1463="","",SUMIFS('Per Line'!$Y$2:$Y$4001,'Per Line'!$D$2:$D$4001,$B1463,'Per Line'!$AJ$2:$AJ$4001,0))</f>
        <v/>
      </c>
      <c r="P1463" s="22" t="str">
        <f aca="false">IF($X1463="","",O1463*N1463)</f>
        <v/>
      </c>
      <c r="Q1463" s="23" t="str">
        <f aca="false">IF($X1463="","",Settings!$C$6)</f>
        <v/>
      </c>
      <c r="R1463" s="22" t="str">
        <f aca="false">IF($X1463="","",SUMIFS('Per Line'!$Y$2:$Y$4001,'Per Line'!$D$2:$D$4001,$B1463,'Per Line'!$AJ$2:$AJ$4001,1))</f>
        <v/>
      </c>
      <c r="S1463" s="22" t="str">
        <f aca="false">IF($X1463="","",R1463*Q1463)</f>
        <v/>
      </c>
      <c r="T1463" s="22" t="str">
        <f aca="false">IF($X1463="","",S1463+P1463)</f>
        <v/>
      </c>
      <c r="U1463" s="22" t="str">
        <f aca="false">IF($X1463="","",V1463-T1463)</f>
        <v/>
      </c>
      <c r="V1463" s="22" t="str">
        <f aca="false">IF($X1463="","",O1463+R1463)</f>
        <v/>
      </c>
      <c r="W1463" s="22" t="str">
        <f aca="false">IF($X1463="","",U1463-L1463)</f>
        <v/>
      </c>
      <c r="X1463" s="24" t="str">
        <f aca="false">IF(ROWS($X$2:$X1463)&lt;=MAX('Per Line'!$AI$2:$AI$4001),MATCH(ROWS($X$2:$X1463),'Per Line'!$AI$2:$AI$4001,0),"")</f>
        <v/>
      </c>
    </row>
    <row r="1464" customFormat="false" ht="15" hidden="false" customHeight="false" outlineLevel="0" collapsed="false">
      <c r="A1464" s="19"/>
      <c r="B1464" s="20" t="str">
        <f aca="false">IF($X1464="","",INDEX('Per Line'!$D$2:$D$4001,$X1464))</f>
        <v/>
      </c>
      <c r="C1464" s="20" t="str">
        <f aca="false">IF($X1464="","",INDEX('Per Line'!$C$2:$C$4001,$X1464))</f>
        <v/>
      </c>
      <c r="D1464" s="20" t="str">
        <f aca="false">IF($X1464="","",INDEX('Per Line'!$A$2:$A$4001,$X1464))</f>
        <v/>
      </c>
      <c r="E1464" s="21" t="str">
        <f aca="false">IF($X1464="","",INDEX('Per Line'!$F$2:$F$4001,$X1464))</f>
        <v/>
      </c>
      <c r="F1464" s="20" t="str">
        <f aca="false">IF($X1464="","",INDEX('Per Line'!$G$2:$G$4001,$X1464))</f>
        <v/>
      </c>
      <c r="G1464" s="20" t="str">
        <f aca="false">IF($X1464="","",INDEX('Per Line'!$I$2:$I$4001,$X1464))</f>
        <v/>
      </c>
      <c r="H1464" s="20" t="str">
        <f aca="false">IF($X1464="","",INDEX('Per Line'!$J$2:$J$4001,$X1464))</f>
        <v/>
      </c>
      <c r="I1464" s="20" t="str">
        <f aca="false">IF($X1464="","",INDEX('Per Line'!$K$2:$K$4001,$X1464))</f>
        <v/>
      </c>
      <c r="J1464" s="20" t="str">
        <f aca="false">IF($X1464="","",INDEX('Per Line'!$L$2:$L$4001,$X1464))</f>
        <v/>
      </c>
      <c r="K1464" s="20" t="str">
        <f aca="false">IF($X1464="","",INDEX('Per Line'!$M$2:$M$4001,$X1464))</f>
        <v/>
      </c>
      <c r="L1464" s="22" t="str">
        <f aca="false">IF($X1464="","",K1464*V1464/100)</f>
        <v/>
      </c>
      <c r="M1464" s="20" t="str">
        <f aca="false">IF($X1464="","",INDEX('Per Line'!$Z$2:$Z$4001,$X1464))</f>
        <v/>
      </c>
      <c r="N1464" s="23" t="str">
        <f aca="false">IF($X1464="","",Settings!$C$7)</f>
        <v/>
      </c>
      <c r="O1464" s="22" t="str">
        <f aca="false">IF($X1464="","",SUMIFS('Per Line'!$Y$2:$Y$4001,'Per Line'!$D$2:$D$4001,$B1464,'Per Line'!$AJ$2:$AJ$4001,0))</f>
        <v/>
      </c>
      <c r="P1464" s="22" t="str">
        <f aca="false">IF($X1464="","",O1464*N1464)</f>
        <v/>
      </c>
      <c r="Q1464" s="23" t="str">
        <f aca="false">IF($X1464="","",Settings!$C$6)</f>
        <v/>
      </c>
      <c r="R1464" s="22" t="str">
        <f aca="false">IF($X1464="","",SUMIFS('Per Line'!$Y$2:$Y$4001,'Per Line'!$D$2:$D$4001,$B1464,'Per Line'!$AJ$2:$AJ$4001,1))</f>
        <v/>
      </c>
      <c r="S1464" s="22" t="str">
        <f aca="false">IF($X1464="","",R1464*Q1464)</f>
        <v/>
      </c>
      <c r="T1464" s="22" t="str">
        <f aca="false">IF($X1464="","",S1464+P1464)</f>
        <v/>
      </c>
      <c r="U1464" s="22" t="str">
        <f aca="false">IF($X1464="","",V1464-T1464)</f>
        <v/>
      </c>
      <c r="V1464" s="22" t="str">
        <f aca="false">IF($X1464="","",O1464+R1464)</f>
        <v/>
      </c>
      <c r="W1464" s="22" t="str">
        <f aca="false">IF($X1464="","",U1464-L1464)</f>
        <v/>
      </c>
      <c r="X1464" s="24" t="str">
        <f aca="false">IF(ROWS($X$2:$X1464)&lt;=MAX('Per Line'!$AI$2:$AI$4001),MATCH(ROWS($X$2:$X1464),'Per Line'!$AI$2:$AI$4001,0),"")</f>
        <v/>
      </c>
    </row>
    <row r="1465" customFormat="false" ht="15" hidden="false" customHeight="false" outlineLevel="0" collapsed="false">
      <c r="A1465" s="19"/>
      <c r="B1465" s="20" t="str">
        <f aca="false">IF($X1465="","",INDEX('Per Line'!$D$2:$D$4001,$X1465))</f>
        <v/>
      </c>
      <c r="C1465" s="20" t="str">
        <f aca="false">IF($X1465="","",INDEX('Per Line'!$C$2:$C$4001,$X1465))</f>
        <v/>
      </c>
      <c r="D1465" s="20" t="str">
        <f aca="false">IF($X1465="","",INDEX('Per Line'!$A$2:$A$4001,$X1465))</f>
        <v/>
      </c>
      <c r="E1465" s="21" t="str">
        <f aca="false">IF($X1465="","",INDEX('Per Line'!$F$2:$F$4001,$X1465))</f>
        <v/>
      </c>
      <c r="F1465" s="20" t="str">
        <f aca="false">IF($X1465="","",INDEX('Per Line'!$G$2:$G$4001,$X1465))</f>
        <v/>
      </c>
      <c r="G1465" s="20" t="str">
        <f aca="false">IF($X1465="","",INDEX('Per Line'!$I$2:$I$4001,$X1465))</f>
        <v/>
      </c>
      <c r="H1465" s="20" t="str">
        <f aca="false">IF($X1465="","",INDEX('Per Line'!$J$2:$J$4001,$X1465))</f>
        <v/>
      </c>
      <c r="I1465" s="20" t="str">
        <f aca="false">IF($X1465="","",INDEX('Per Line'!$K$2:$K$4001,$X1465))</f>
        <v/>
      </c>
      <c r="J1465" s="20" t="str">
        <f aca="false">IF($X1465="","",INDEX('Per Line'!$L$2:$L$4001,$X1465))</f>
        <v/>
      </c>
      <c r="K1465" s="20" t="str">
        <f aca="false">IF($X1465="","",INDEX('Per Line'!$M$2:$M$4001,$X1465))</f>
        <v/>
      </c>
      <c r="L1465" s="22" t="str">
        <f aca="false">IF($X1465="","",K1465*V1465/100)</f>
        <v/>
      </c>
      <c r="M1465" s="20" t="str">
        <f aca="false">IF($X1465="","",INDEX('Per Line'!$Z$2:$Z$4001,$X1465))</f>
        <v/>
      </c>
      <c r="N1465" s="23" t="str">
        <f aca="false">IF($X1465="","",Settings!$C$7)</f>
        <v/>
      </c>
      <c r="O1465" s="22" t="str">
        <f aca="false">IF($X1465="","",SUMIFS('Per Line'!$Y$2:$Y$4001,'Per Line'!$D$2:$D$4001,$B1465,'Per Line'!$AJ$2:$AJ$4001,0))</f>
        <v/>
      </c>
      <c r="P1465" s="22" t="str">
        <f aca="false">IF($X1465="","",O1465*N1465)</f>
        <v/>
      </c>
      <c r="Q1465" s="23" t="str">
        <f aca="false">IF($X1465="","",Settings!$C$6)</f>
        <v/>
      </c>
      <c r="R1465" s="22" t="str">
        <f aca="false">IF($X1465="","",SUMIFS('Per Line'!$Y$2:$Y$4001,'Per Line'!$D$2:$D$4001,$B1465,'Per Line'!$AJ$2:$AJ$4001,1))</f>
        <v/>
      </c>
      <c r="S1465" s="22" t="str">
        <f aca="false">IF($X1465="","",R1465*Q1465)</f>
        <v/>
      </c>
      <c r="T1465" s="22" t="str">
        <f aca="false">IF($X1465="","",S1465+P1465)</f>
        <v/>
      </c>
      <c r="U1465" s="22" t="str">
        <f aca="false">IF($X1465="","",V1465-T1465)</f>
        <v/>
      </c>
      <c r="V1465" s="22" t="str">
        <f aca="false">IF($X1465="","",O1465+R1465)</f>
        <v/>
      </c>
      <c r="W1465" s="22" t="str">
        <f aca="false">IF($X1465="","",U1465-L1465)</f>
        <v/>
      </c>
      <c r="X1465" s="24" t="str">
        <f aca="false">IF(ROWS($X$2:$X1465)&lt;=MAX('Per Line'!$AI$2:$AI$4001),MATCH(ROWS($X$2:$X1465),'Per Line'!$AI$2:$AI$4001,0),"")</f>
        <v/>
      </c>
    </row>
    <row r="1466" customFormat="false" ht="15" hidden="false" customHeight="false" outlineLevel="0" collapsed="false">
      <c r="A1466" s="19"/>
      <c r="B1466" s="20" t="str">
        <f aca="false">IF($X1466="","",INDEX('Per Line'!$D$2:$D$4001,$X1466))</f>
        <v/>
      </c>
      <c r="C1466" s="20" t="str">
        <f aca="false">IF($X1466="","",INDEX('Per Line'!$C$2:$C$4001,$X1466))</f>
        <v/>
      </c>
      <c r="D1466" s="20" t="str">
        <f aca="false">IF($X1466="","",INDEX('Per Line'!$A$2:$A$4001,$X1466))</f>
        <v/>
      </c>
      <c r="E1466" s="21" t="str">
        <f aca="false">IF($X1466="","",INDEX('Per Line'!$F$2:$F$4001,$X1466))</f>
        <v/>
      </c>
      <c r="F1466" s="20" t="str">
        <f aca="false">IF($X1466="","",INDEX('Per Line'!$G$2:$G$4001,$X1466))</f>
        <v/>
      </c>
      <c r="G1466" s="20" t="str">
        <f aca="false">IF($X1466="","",INDEX('Per Line'!$I$2:$I$4001,$X1466))</f>
        <v/>
      </c>
      <c r="H1466" s="20" t="str">
        <f aca="false">IF($X1466="","",INDEX('Per Line'!$J$2:$J$4001,$X1466))</f>
        <v/>
      </c>
      <c r="I1466" s="20" t="str">
        <f aca="false">IF($X1466="","",INDEX('Per Line'!$K$2:$K$4001,$X1466))</f>
        <v/>
      </c>
      <c r="J1466" s="20" t="str">
        <f aca="false">IF($X1466="","",INDEX('Per Line'!$L$2:$L$4001,$X1466))</f>
        <v/>
      </c>
      <c r="K1466" s="20" t="str">
        <f aca="false">IF($X1466="","",INDEX('Per Line'!$M$2:$M$4001,$X1466))</f>
        <v/>
      </c>
      <c r="L1466" s="22" t="str">
        <f aca="false">IF($X1466="","",K1466*V1466/100)</f>
        <v/>
      </c>
      <c r="M1466" s="20" t="str">
        <f aca="false">IF($X1466="","",INDEX('Per Line'!$Z$2:$Z$4001,$X1466))</f>
        <v/>
      </c>
      <c r="N1466" s="23" t="str">
        <f aca="false">IF($X1466="","",Settings!$C$7)</f>
        <v/>
      </c>
      <c r="O1466" s="22" t="str">
        <f aca="false">IF($X1466="","",SUMIFS('Per Line'!$Y$2:$Y$4001,'Per Line'!$D$2:$D$4001,$B1466,'Per Line'!$AJ$2:$AJ$4001,0))</f>
        <v/>
      </c>
      <c r="P1466" s="22" t="str">
        <f aca="false">IF($X1466="","",O1466*N1466)</f>
        <v/>
      </c>
      <c r="Q1466" s="23" t="str">
        <f aca="false">IF($X1466="","",Settings!$C$6)</f>
        <v/>
      </c>
      <c r="R1466" s="22" t="str">
        <f aca="false">IF($X1466="","",SUMIFS('Per Line'!$Y$2:$Y$4001,'Per Line'!$D$2:$D$4001,$B1466,'Per Line'!$AJ$2:$AJ$4001,1))</f>
        <v/>
      </c>
      <c r="S1466" s="22" t="str">
        <f aca="false">IF($X1466="","",R1466*Q1466)</f>
        <v/>
      </c>
      <c r="T1466" s="22" t="str">
        <f aca="false">IF($X1466="","",S1466+P1466)</f>
        <v/>
      </c>
      <c r="U1466" s="22" t="str">
        <f aca="false">IF($X1466="","",V1466-T1466)</f>
        <v/>
      </c>
      <c r="V1466" s="22" t="str">
        <f aca="false">IF($X1466="","",O1466+R1466)</f>
        <v/>
      </c>
      <c r="W1466" s="22" t="str">
        <f aca="false">IF($X1466="","",U1466-L1466)</f>
        <v/>
      </c>
      <c r="X1466" s="24" t="str">
        <f aca="false">IF(ROWS($X$2:$X1466)&lt;=MAX('Per Line'!$AI$2:$AI$4001),MATCH(ROWS($X$2:$X1466),'Per Line'!$AI$2:$AI$4001,0),"")</f>
        <v/>
      </c>
    </row>
    <row r="1467" customFormat="false" ht="15" hidden="false" customHeight="false" outlineLevel="0" collapsed="false">
      <c r="A1467" s="19"/>
      <c r="B1467" s="20" t="str">
        <f aca="false">IF($X1467="","",INDEX('Per Line'!$D$2:$D$4001,$X1467))</f>
        <v/>
      </c>
      <c r="C1467" s="20" t="str">
        <f aca="false">IF($X1467="","",INDEX('Per Line'!$C$2:$C$4001,$X1467))</f>
        <v/>
      </c>
      <c r="D1467" s="20" t="str">
        <f aca="false">IF($X1467="","",INDEX('Per Line'!$A$2:$A$4001,$X1467))</f>
        <v/>
      </c>
      <c r="E1467" s="21" t="str">
        <f aca="false">IF($X1467="","",INDEX('Per Line'!$F$2:$F$4001,$X1467))</f>
        <v/>
      </c>
      <c r="F1467" s="20" t="str">
        <f aca="false">IF($X1467="","",INDEX('Per Line'!$G$2:$G$4001,$X1467))</f>
        <v/>
      </c>
      <c r="G1467" s="20" t="str">
        <f aca="false">IF($X1467="","",INDEX('Per Line'!$I$2:$I$4001,$X1467))</f>
        <v/>
      </c>
      <c r="H1467" s="20" t="str">
        <f aca="false">IF($X1467="","",INDEX('Per Line'!$J$2:$J$4001,$X1467))</f>
        <v/>
      </c>
      <c r="I1467" s="20" t="str">
        <f aca="false">IF($X1467="","",INDEX('Per Line'!$K$2:$K$4001,$X1467))</f>
        <v/>
      </c>
      <c r="J1467" s="20" t="str">
        <f aca="false">IF($X1467="","",INDEX('Per Line'!$L$2:$L$4001,$X1467))</f>
        <v/>
      </c>
      <c r="K1467" s="20" t="str">
        <f aca="false">IF($X1467="","",INDEX('Per Line'!$M$2:$M$4001,$X1467))</f>
        <v/>
      </c>
      <c r="L1467" s="22" t="str">
        <f aca="false">IF($X1467="","",K1467*V1467/100)</f>
        <v/>
      </c>
      <c r="M1467" s="20" t="str">
        <f aca="false">IF($X1467="","",INDEX('Per Line'!$Z$2:$Z$4001,$X1467))</f>
        <v/>
      </c>
      <c r="N1467" s="23" t="str">
        <f aca="false">IF($X1467="","",Settings!$C$7)</f>
        <v/>
      </c>
      <c r="O1467" s="22" t="str">
        <f aca="false">IF($X1467="","",SUMIFS('Per Line'!$Y$2:$Y$4001,'Per Line'!$D$2:$D$4001,$B1467,'Per Line'!$AJ$2:$AJ$4001,0))</f>
        <v/>
      </c>
      <c r="P1467" s="22" t="str">
        <f aca="false">IF($X1467="","",O1467*N1467)</f>
        <v/>
      </c>
      <c r="Q1467" s="23" t="str">
        <f aca="false">IF($X1467="","",Settings!$C$6)</f>
        <v/>
      </c>
      <c r="R1467" s="22" t="str">
        <f aca="false">IF($X1467="","",SUMIFS('Per Line'!$Y$2:$Y$4001,'Per Line'!$D$2:$D$4001,$B1467,'Per Line'!$AJ$2:$AJ$4001,1))</f>
        <v/>
      </c>
      <c r="S1467" s="22" t="str">
        <f aca="false">IF($X1467="","",R1467*Q1467)</f>
        <v/>
      </c>
      <c r="T1467" s="22" t="str">
        <f aca="false">IF($X1467="","",S1467+P1467)</f>
        <v/>
      </c>
      <c r="U1467" s="22" t="str">
        <f aca="false">IF($X1467="","",V1467-T1467)</f>
        <v/>
      </c>
      <c r="V1467" s="22" t="str">
        <f aca="false">IF($X1467="","",O1467+R1467)</f>
        <v/>
      </c>
      <c r="W1467" s="22" t="str">
        <f aca="false">IF($X1467="","",U1467-L1467)</f>
        <v/>
      </c>
      <c r="X1467" s="24" t="str">
        <f aca="false">IF(ROWS($X$2:$X1467)&lt;=MAX('Per Line'!$AI$2:$AI$4001),MATCH(ROWS($X$2:$X1467),'Per Line'!$AI$2:$AI$4001,0),"")</f>
        <v/>
      </c>
    </row>
    <row r="1468" customFormat="false" ht="15" hidden="false" customHeight="false" outlineLevel="0" collapsed="false">
      <c r="A1468" s="19"/>
      <c r="B1468" s="20" t="str">
        <f aca="false">IF($X1468="","",INDEX('Per Line'!$D$2:$D$4001,$X1468))</f>
        <v/>
      </c>
      <c r="C1468" s="20" t="str">
        <f aca="false">IF($X1468="","",INDEX('Per Line'!$C$2:$C$4001,$X1468))</f>
        <v/>
      </c>
      <c r="D1468" s="20" t="str">
        <f aca="false">IF($X1468="","",INDEX('Per Line'!$A$2:$A$4001,$X1468))</f>
        <v/>
      </c>
      <c r="E1468" s="21" t="str">
        <f aca="false">IF($X1468="","",INDEX('Per Line'!$F$2:$F$4001,$X1468))</f>
        <v/>
      </c>
      <c r="F1468" s="20" t="str">
        <f aca="false">IF($X1468="","",INDEX('Per Line'!$G$2:$G$4001,$X1468))</f>
        <v/>
      </c>
      <c r="G1468" s="20" t="str">
        <f aca="false">IF($X1468="","",INDEX('Per Line'!$I$2:$I$4001,$X1468))</f>
        <v/>
      </c>
      <c r="H1468" s="20" t="str">
        <f aca="false">IF($X1468="","",INDEX('Per Line'!$J$2:$J$4001,$X1468))</f>
        <v/>
      </c>
      <c r="I1468" s="20" t="str">
        <f aca="false">IF($X1468="","",INDEX('Per Line'!$K$2:$K$4001,$X1468))</f>
        <v/>
      </c>
      <c r="J1468" s="20" t="str">
        <f aca="false">IF($X1468="","",INDEX('Per Line'!$L$2:$L$4001,$X1468))</f>
        <v/>
      </c>
      <c r="K1468" s="20" t="str">
        <f aca="false">IF($X1468="","",INDEX('Per Line'!$M$2:$M$4001,$X1468))</f>
        <v/>
      </c>
      <c r="L1468" s="22" t="str">
        <f aca="false">IF($X1468="","",K1468*V1468/100)</f>
        <v/>
      </c>
      <c r="M1468" s="20" t="str">
        <f aca="false">IF($X1468="","",INDEX('Per Line'!$Z$2:$Z$4001,$X1468))</f>
        <v/>
      </c>
      <c r="N1468" s="23" t="str">
        <f aca="false">IF($X1468="","",Settings!$C$7)</f>
        <v/>
      </c>
      <c r="O1468" s="22" t="str">
        <f aca="false">IF($X1468="","",SUMIFS('Per Line'!$Y$2:$Y$4001,'Per Line'!$D$2:$D$4001,$B1468,'Per Line'!$AJ$2:$AJ$4001,0))</f>
        <v/>
      </c>
      <c r="P1468" s="22" t="str">
        <f aca="false">IF($X1468="","",O1468*N1468)</f>
        <v/>
      </c>
      <c r="Q1468" s="23" t="str">
        <f aca="false">IF($X1468="","",Settings!$C$6)</f>
        <v/>
      </c>
      <c r="R1468" s="22" t="str">
        <f aca="false">IF($X1468="","",SUMIFS('Per Line'!$Y$2:$Y$4001,'Per Line'!$D$2:$D$4001,$B1468,'Per Line'!$AJ$2:$AJ$4001,1))</f>
        <v/>
      </c>
      <c r="S1468" s="22" t="str">
        <f aca="false">IF($X1468="","",R1468*Q1468)</f>
        <v/>
      </c>
      <c r="T1468" s="22" t="str">
        <f aca="false">IF($X1468="","",S1468+P1468)</f>
        <v/>
      </c>
      <c r="U1468" s="22" t="str">
        <f aca="false">IF($X1468="","",V1468-T1468)</f>
        <v/>
      </c>
      <c r="V1468" s="22" t="str">
        <f aca="false">IF($X1468="","",O1468+R1468)</f>
        <v/>
      </c>
      <c r="W1468" s="22" t="str">
        <f aca="false">IF($X1468="","",U1468-L1468)</f>
        <v/>
      </c>
      <c r="X1468" s="24" t="str">
        <f aca="false">IF(ROWS($X$2:$X1468)&lt;=MAX('Per Line'!$AI$2:$AI$4001),MATCH(ROWS($X$2:$X1468),'Per Line'!$AI$2:$AI$4001,0),"")</f>
        <v/>
      </c>
    </row>
    <row r="1469" customFormat="false" ht="15" hidden="false" customHeight="false" outlineLevel="0" collapsed="false">
      <c r="A1469" s="19"/>
      <c r="B1469" s="20" t="str">
        <f aca="false">IF($X1469="","",INDEX('Per Line'!$D$2:$D$4001,$X1469))</f>
        <v/>
      </c>
      <c r="C1469" s="20" t="str">
        <f aca="false">IF($X1469="","",INDEX('Per Line'!$C$2:$C$4001,$X1469))</f>
        <v/>
      </c>
      <c r="D1469" s="20" t="str">
        <f aca="false">IF($X1469="","",INDEX('Per Line'!$A$2:$A$4001,$X1469))</f>
        <v/>
      </c>
      <c r="E1469" s="21" t="str">
        <f aca="false">IF($X1469="","",INDEX('Per Line'!$F$2:$F$4001,$X1469))</f>
        <v/>
      </c>
      <c r="F1469" s="20" t="str">
        <f aca="false">IF($X1469="","",INDEX('Per Line'!$G$2:$G$4001,$X1469))</f>
        <v/>
      </c>
      <c r="G1469" s="20" t="str">
        <f aca="false">IF($X1469="","",INDEX('Per Line'!$I$2:$I$4001,$X1469))</f>
        <v/>
      </c>
      <c r="H1469" s="20" t="str">
        <f aca="false">IF($X1469="","",INDEX('Per Line'!$J$2:$J$4001,$X1469))</f>
        <v/>
      </c>
      <c r="I1469" s="20" t="str">
        <f aca="false">IF($X1469="","",INDEX('Per Line'!$K$2:$K$4001,$X1469))</f>
        <v/>
      </c>
      <c r="J1469" s="20" t="str">
        <f aca="false">IF($X1469="","",INDEX('Per Line'!$L$2:$L$4001,$X1469))</f>
        <v/>
      </c>
      <c r="K1469" s="20" t="str">
        <f aca="false">IF($X1469="","",INDEX('Per Line'!$M$2:$M$4001,$X1469))</f>
        <v/>
      </c>
      <c r="L1469" s="22" t="str">
        <f aca="false">IF($X1469="","",K1469*V1469/100)</f>
        <v/>
      </c>
      <c r="M1469" s="20" t="str">
        <f aca="false">IF($X1469="","",INDEX('Per Line'!$Z$2:$Z$4001,$X1469))</f>
        <v/>
      </c>
      <c r="N1469" s="23" t="str">
        <f aca="false">IF($X1469="","",Settings!$C$7)</f>
        <v/>
      </c>
      <c r="O1469" s="22" t="str">
        <f aca="false">IF($X1469="","",SUMIFS('Per Line'!$Y$2:$Y$4001,'Per Line'!$D$2:$D$4001,$B1469,'Per Line'!$AJ$2:$AJ$4001,0))</f>
        <v/>
      </c>
      <c r="P1469" s="22" t="str">
        <f aca="false">IF($X1469="","",O1469*N1469)</f>
        <v/>
      </c>
      <c r="Q1469" s="23" t="str">
        <f aca="false">IF($X1469="","",Settings!$C$6)</f>
        <v/>
      </c>
      <c r="R1469" s="22" t="str">
        <f aca="false">IF($X1469="","",SUMIFS('Per Line'!$Y$2:$Y$4001,'Per Line'!$D$2:$D$4001,$B1469,'Per Line'!$AJ$2:$AJ$4001,1))</f>
        <v/>
      </c>
      <c r="S1469" s="22" t="str">
        <f aca="false">IF($X1469="","",R1469*Q1469)</f>
        <v/>
      </c>
      <c r="T1469" s="22" t="str">
        <f aca="false">IF($X1469="","",S1469+P1469)</f>
        <v/>
      </c>
      <c r="U1469" s="22" t="str">
        <f aca="false">IF($X1469="","",V1469-T1469)</f>
        <v/>
      </c>
      <c r="V1469" s="22" t="str">
        <f aca="false">IF($X1469="","",O1469+R1469)</f>
        <v/>
      </c>
      <c r="W1469" s="22" t="str">
        <f aca="false">IF($X1469="","",U1469-L1469)</f>
        <v/>
      </c>
      <c r="X1469" s="24" t="str">
        <f aca="false">IF(ROWS($X$2:$X1469)&lt;=MAX('Per Line'!$AI$2:$AI$4001),MATCH(ROWS($X$2:$X1469),'Per Line'!$AI$2:$AI$4001,0),"")</f>
        <v/>
      </c>
    </row>
    <row r="1470" customFormat="false" ht="15" hidden="false" customHeight="false" outlineLevel="0" collapsed="false">
      <c r="A1470" s="19"/>
      <c r="B1470" s="20" t="str">
        <f aca="false">IF($X1470="","",INDEX('Per Line'!$D$2:$D$4001,$X1470))</f>
        <v/>
      </c>
      <c r="C1470" s="20" t="str">
        <f aca="false">IF($X1470="","",INDEX('Per Line'!$C$2:$C$4001,$X1470))</f>
        <v/>
      </c>
      <c r="D1470" s="20" t="str">
        <f aca="false">IF($X1470="","",INDEX('Per Line'!$A$2:$A$4001,$X1470))</f>
        <v/>
      </c>
      <c r="E1470" s="21" t="str">
        <f aca="false">IF($X1470="","",INDEX('Per Line'!$F$2:$F$4001,$X1470))</f>
        <v/>
      </c>
      <c r="F1470" s="20" t="str">
        <f aca="false">IF($X1470="","",INDEX('Per Line'!$G$2:$G$4001,$X1470))</f>
        <v/>
      </c>
      <c r="G1470" s="20" t="str">
        <f aca="false">IF($X1470="","",INDEX('Per Line'!$I$2:$I$4001,$X1470))</f>
        <v/>
      </c>
      <c r="H1470" s="20" t="str">
        <f aca="false">IF($X1470="","",INDEX('Per Line'!$J$2:$J$4001,$X1470))</f>
        <v/>
      </c>
      <c r="I1470" s="20" t="str">
        <f aca="false">IF($X1470="","",INDEX('Per Line'!$K$2:$K$4001,$X1470))</f>
        <v/>
      </c>
      <c r="J1470" s="20" t="str">
        <f aca="false">IF($X1470="","",INDEX('Per Line'!$L$2:$L$4001,$X1470))</f>
        <v/>
      </c>
      <c r="K1470" s="20" t="str">
        <f aca="false">IF($X1470="","",INDEX('Per Line'!$M$2:$M$4001,$X1470))</f>
        <v/>
      </c>
      <c r="L1470" s="22" t="str">
        <f aca="false">IF($X1470="","",K1470*V1470/100)</f>
        <v/>
      </c>
      <c r="M1470" s="20" t="str">
        <f aca="false">IF($X1470="","",INDEX('Per Line'!$Z$2:$Z$4001,$X1470))</f>
        <v/>
      </c>
      <c r="N1470" s="23" t="str">
        <f aca="false">IF($X1470="","",Settings!$C$7)</f>
        <v/>
      </c>
      <c r="O1470" s="22" t="str">
        <f aca="false">IF($X1470="","",SUMIFS('Per Line'!$Y$2:$Y$4001,'Per Line'!$D$2:$D$4001,$B1470,'Per Line'!$AJ$2:$AJ$4001,0))</f>
        <v/>
      </c>
      <c r="P1470" s="22" t="str">
        <f aca="false">IF($X1470="","",O1470*N1470)</f>
        <v/>
      </c>
      <c r="Q1470" s="23" t="str">
        <f aca="false">IF($X1470="","",Settings!$C$6)</f>
        <v/>
      </c>
      <c r="R1470" s="22" t="str">
        <f aca="false">IF($X1470="","",SUMIFS('Per Line'!$Y$2:$Y$4001,'Per Line'!$D$2:$D$4001,$B1470,'Per Line'!$AJ$2:$AJ$4001,1))</f>
        <v/>
      </c>
      <c r="S1470" s="22" t="str">
        <f aca="false">IF($X1470="","",R1470*Q1470)</f>
        <v/>
      </c>
      <c r="T1470" s="22" t="str">
        <f aca="false">IF($X1470="","",S1470+P1470)</f>
        <v/>
      </c>
      <c r="U1470" s="22" t="str">
        <f aca="false">IF($X1470="","",V1470-T1470)</f>
        <v/>
      </c>
      <c r="V1470" s="22" t="str">
        <f aca="false">IF($X1470="","",O1470+R1470)</f>
        <v/>
      </c>
      <c r="W1470" s="22" t="str">
        <f aca="false">IF($X1470="","",U1470-L1470)</f>
        <v/>
      </c>
      <c r="X1470" s="24" t="str">
        <f aca="false">IF(ROWS($X$2:$X1470)&lt;=MAX('Per Line'!$AI$2:$AI$4001),MATCH(ROWS($X$2:$X1470),'Per Line'!$AI$2:$AI$4001,0),"")</f>
        <v/>
      </c>
    </row>
    <row r="1471" customFormat="false" ht="15" hidden="false" customHeight="false" outlineLevel="0" collapsed="false">
      <c r="A1471" s="19"/>
      <c r="B1471" s="20" t="str">
        <f aca="false">IF($X1471="","",INDEX('Per Line'!$D$2:$D$4001,$X1471))</f>
        <v/>
      </c>
      <c r="C1471" s="20" t="str">
        <f aca="false">IF($X1471="","",INDEX('Per Line'!$C$2:$C$4001,$X1471))</f>
        <v/>
      </c>
      <c r="D1471" s="20" t="str">
        <f aca="false">IF($X1471="","",INDEX('Per Line'!$A$2:$A$4001,$X1471))</f>
        <v/>
      </c>
      <c r="E1471" s="21" t="str">
        <f aca="false">IF($X1471="","",INDEX('Per Line'!$F$2:$F$4001,$X1471))</f>
        <v/>
      </c>
      <c r="F1471" s="20" t="str">
        <f aca="false">IF($X1471="","",INDEX('Per Line'!$G$2:$G$4001,$X1471))</f>
        <v/>
      </c>
      <c r="G1471" s="20" t="str">
        <f aca="false">IF($X1471="","",INDEX('Per Line'!$I$2:$I$4001,$X1471))</f>
        <v/>
      </c>
      <c r="H1471" s="20" t="str">
        <f aca="false">IF($X1471="","",INDEX('Per Line'!$J$2:$J$4001,$X1471))</f>
        <v/>
      </c>
      <c r="I1471" s="20" t="str">
        <f aca="false">IF($X1471="","",INDEX('Per Line'!$K$2:$K$4001,$X1471))</f>
        <v/>
      </c>
      <c r="J1471" s="20" t="str">
        <f aca="false">IF($X1471="","",INDEX('Per Line'!$L$2:$L$4001,$X1471))</f>
        <v/>
      </c>
      <c r="K1471" s="20" t="str">
        <f aca="false">IF($X1471="","",INDEX('Per Line'!$M$2:$M$4001,$X1471))</f>
        <v/>
      </c>
      <c r="L1471" s="22" t="str">
        <f aca="false">IF($X1471="","",K1471*V1471/100)</f>
        <v/>
      </c>
      <c r="M1471" s="20" t="str">
        <f aca="false">IF($X1471="","",INDEX('Per Line'!$Z$2:$Z$4001,$X1471))</f>
        <v/>
      </c>
      <c r="N1471" s="23" t="str">
        <f aca="false">IF($X1471="","",Settings!$C$7)</f>
        <v/>
      </c>
      <c r="O1471" s="22" t="str">
        <f aca="false">IF($X1471="","",SUMIFS('Per Line'!$Y$2:$Y$4001,'Per Line'!$D$2:$D$4001,$B1471,'Per Line'!$AJ$2:$AJ$4001,0))</f>
        <v/>
      </c>
      <c r="P1471" s="22" t="str">
        <f aca="false">IF($X1471="","",O1471*N1471)</f>
        <v/>
      </c>
      <c r="Q1471" s="23" t="str">
        <f aca="false">IF($X1471="","",Settings!$C$6)</f>
        <v/>
      </c>
      <c r="R1471" s="22" t="str">
        <f aca="false">IF($X1471="","",SUMIFS('Per Line'!$Y$2:$Y$4001,'Per Line'!$D$2:$D$4001,$B1471,'Per Line'!$AJ$2:$AJ$4001,1))</f>
        <v/>
      </c>
      <c r="S1471" s="22" t="str">
        <f aca="false">IF($X1471="","",R1471*Q1471)</f>
        <v/>
      </c>
      <c r="T1471" s="22" t="str">
        <f aca="false">IF($X1471="","",S1471+P1471)</f>
        <v/>
      </c>
      <c r="U1471" s="22" t="str">
        <f aca="false">IF($X1471="","",V1471-T1471)</f>
        <v/>
      </c>
      <c r="V1471" s="22" t="str">
        <f aca="false">IF($X1471="","",O1471+R1471)</f>
        <v/>
      </c>
      <c r="W1471" s="22" t="str">
        <f aca="false">IF($X1471="","",U1471-L1471)</f>
        <v/>
      </c>
      <c r="X1471" s="24" t="str">
        <f aca="false">IF(ROWS($X$2:$X1471)&lt;=MAX('Per Line'!$AI$2:$AI$4001),MATCH(ROWS($X$2:$X1471),'Per Line'!$AI$2:$AI$4001,0),"")</f>
        <v/>
      </c>
    </row>
    <row r="1472" customFormat="false" ht="15" hidden="false" customHeight="false" outlineLevel="0" collapsed="false">
      <c r="A1472" s="19"/>
      <c r="B1472" s="20" t="str">
        <f aca="false">IF($X1472="","",INDEX('Per Line'!$D$2:$D$4001,$X1472))</f>
        <v/>
      </c>
      <c r="C1472" s="20" t="str">
        <f aca="false">IF($X1472="","",INDEX('Per Line'!$C$2:$C$4001,$X1472))</f>
        <v/>
      </c>
      <c r="D1472" s="20" t="str">
        <f aca="false">IF($X1472="","",INDEX('Per Line'!$A$2:$A$4001,$X1472))</f>
        <v/>
      </c>
      <c r="E1472" s="21" t="str">
        <f aca="false">IF($X1472="","",INDEX('Per Line'!$F$2:$F$4001,$X1472))</f>
        <v/>
      </c>
      <c r="F1472" s="20" t="str">
        <f aca="false">IF($X1472="","",INDEX('Per Line'!$G$2:$G$4001,$X1472))</f>
        <v/>
      </c>
      <c r="G1472" s="20" t="str">
        <f aca="false">IF($X1472="","",INDEX('Per Line'!$I$2:$I$4001,$X1472))</f>
        <v/>
      </c>
      <c r="H1472" s="20" t="str">
        <f aca="false">IF($X1472="","",INDEX('Per Line'!$J$2:$J$4001,$X1472))</f>
        <v/>
      </c>
      <c r="I1472" s="20" t="str">
        <f aca="false">IF($X1472="","",INDEX('Per Line'!$K$2:$K$4001,$X1472))</f>
        <v/>
      </c>
      <c r="J1472" s="20" t="str">
        <f aca="false">IF($X1472="","",INDEX('Per Line'!$L$2:$L$4001,$X1472))</f>
        <v/>
      </c>
      <c r="K1472" s="20" t="str">
        <f aca="false">IF($X1472="","",INDEX('Per Line'!$M$2:$M$4001,$X1472))</f>
        <v/>
      </c>
      <c r="L1472" s="22" t="str">
        <f aca="false">IF($X1472="","",K1472*V1472/100)</f>
        <v/>
      </c>
      <c r="M1472" s="20" t="str">
        <f aca="false">IF($X1472="","",INDEX('Per Line'!$Z$2:$Z$4001,$X1472))</f>
        <v/>
      </c>
      <c r="N1472" s="23" t="str">
        <f aca="false">IF($X1472="","",Settings!$C$7)</f>
        <v/>
      </c>
      <c r="O1472" s="22" t="str">
        <f aca="false">IF($X1472="","",SUMIFS('Per Line'!$Y$2:$Y$4001,'Per Line'!$D$2:$D$4001,$B1472,'Per Line'!$AJ$2:$AJ$4001,0))</f>
        <v/>
      </c>
      <c r="P1472" s="22" t="str">
        <f aca="false">IF($X1472="","",O1472*N1472)</f>
        <v/>
      </c>
      <c r="Q1472" s="23" t="str">
        <f aca="false">IF($X1472="","",Settings!$C$6)</f>
        <v/>
      </c>
      <c r="R1472" s="22" t="str">
        <f aca="false">IF($X1472="","",SUMIFS('Per Line'!$Y$2:$Y$4001,'Per Line'!$D$2:$D$4001,$B1472,'Per Line'!$AJ$2:$AJ$4001,1))</f>
        <v/>
      </c>
      <c r="S1472" s="22" t="str">
        <f aca="false">IF($X1472="","",R1472*Q1472)</f>
        <v/>
      </c>
      <c r="T1472" s="22" t="str">
        <f aca="false">IF($X1472="","",S1472+P1472)</f>
        <v/>
      </c>
      <c r="U1472" s="22" t="str">
        <f aca="false">IF($X1472="","",V1472-T1472)</f>
        <v/>
      </c>
      <c r="V1472" s="22" t="str">
        <f aca="false">IF($X1472="","",O1472+R1472)</f>
        <v/>
      </c>
      <c r="W1472" s="22" t="str">
        <f aca="false">IF($X1472="","",U1472-L1472)</f>
        <v/>
      </c>
      <c r="X1472" s="24" t="str">
        <f aca="false">IF(ROWS($X$2:$X1472)&lt;=MAX('Per Line'!$AI$2:$AI$4001),MATCH(ROWS($X$2:$X1472),'Per Line'!$AI$2:$AI$4001,0),"")</f>
        <v/>
      </c>
    </row>
    <row r="1473" customFormat="false" ht="15" hidden="false" customHeight="false" outlineLevel="0" collapsed="false">
      <c r="A1473" s="19"/>
      <c r="B1473" s="20" t="str">
        <f aca="false">IF($X1473="","",INDEX('Per Line'!$D$2:$D$4001,$X1473))</f>
        <v/>
      </c>
      <c r="C1473" s="20" t="str">
        <f aca="false">IF($X1473="","",INDEX('Per Line'!$C$2:$C$4001,$X1473))</f>
        <v/>
      </c>
      <c r="D1473" s="20" t="str">
        <f aca="false">IF($X1473="","",INDEX('Per Line'!$A$2:$A$4001,$X1473))</f>
        <v/>
      </c>
      <c r="E1473" s="21" t="str">
        <f aca="false">IF($X1473="","",INDEX('Per Line'!$F$2:$F$4001,$X1473))</f>
        <v/>
      </c>
      <c r="F1473" s="20" t="str">
        <f aca="false">IF($X1473="","",INDEX('Per Line'!$G$2:$G$4001,$X1473))</f>
        <v/>
      </c>
      <c r="G1473" s="20" t="str">
        <f aca="false">IF($X1473="","",INDEX('Per Line'!$I$2:$I$4001,$X1473))</f>
        <v/>
      </c>
      <c r="H1473" s="20" t="str">
        <f aca="false">IF($X1473="","",INDEX('Per Line'!$J$2:$J$4001,$X1473))</f>
        <v/>
      </c>
      <c r="I1473" s="20" t="str">
        <f aca="false">IF($X1473="","",INDEX('Per Line'!$K$2:$K$4001,$X1473))</f>
        <v/>
      </c>
      <c r="J1473" s="20" t="str">
        <f aca="false">IF($X1473="","",INDEX('Per Line'!$L$2:$L$4001,$X1473))</f>
        <v/>
      </c>
      <c r="K1473" s="20" t="str">
        <f aca="false">IF($X1473="","",INDEX('Per Line'!$M$2:$M$4001,$X1473))</f>
        <v/>
      </c>
      <c r="L1473" s="22" t="str">
        <f aca="false">IF($X1473="","",K1473*V1473/100)</f>
        <v/>
      </c>
      <c r="M1473" s="20" t="str">
        <f aca="false">IF($X1473="","",INDEX('Per Line'!$Z$2:$Z$4001,$X1473))</f>
        <v/>
      </c>
      <c r="N1473" s="23" t="str">
        <f aca="false">IF($X1473="","",Settings!$C$7)</f>
        <v/>
      </c>
      <c r="O1473" s="22" t="str">
        <f aca="false">IF($X1473="","",SUMIFS('Per Line'!$Y$2:$Y$4001,'Per Line'!$D$2:$D$4001,$B1473,'Per Line'!$AJ$2:$AJ$4001,0))</f>
        <v/>
      </c>
      <c r="P1473" s="22" t="str">
        <f aca="false">IF($X1473="","",O1473*N1473)</f>
        <v/>
      </c>
      <c r="Q1473" s="23" t="str">
        <f aca="false">IF($X1473="","",Settings!$C$6)</f>
        <v/>
      </c>
      <c r="R1473" s="22" t="str">
        <f aca="false">IF($X1473="","",SUMIFS('Per Line'!$Y$2:$Y$4001,'Per Line'!$D$2:$D$4001,$B1473,'Per Line'!$AJ$2:$AJ$4001,1))</f>
        <v/>
      </c>
      <c r="S1473" s="22" t="str">
        <f aca="false">IF($X1473="","",R1473*Q1473)</f>
        <v/>
      </c>
      <c r="T1473" s="22" t="str">
        <f aca="false">IF($X1473="","",S1473+P1473)</f>
        <v/>
      </c>
      <c r="U1473" s="22" t="str">
        <f aca="false">IF($X1473="","",V1473-T1473)</f>
        <v/>
      </c>
      <c r="V1473" s="22" t="str">
        <f aca="false">IF($X1473="","",O1473+R1473)</f>
        <v/>
      </c>
      <c r="W1473" s="22" t="str">
        <f aca="false">IF($X1473="","",U1473-L1473)</f>
        <v/>
      </c>
      <c r="X1473" s="24" t="str">
        <f aca="false">IF(ROWS($X$2:$X1473)&lt;=MAX('Per Line'!$AI$2:$AI$4001),MATCH(ROWS($X$2:$X1473),'Per Line'!$AI$2:$AI$4001,0),"")</f>
        <v/>
      </c>
    </row>
    <row r="1474" customFormat="false" ht="15" hidden="false" customHeight="false" outlineLevel="0" collapsed="false">
      <c r="A1474" s="19"/>
      <c r="B1474" s="20" t="str">
        <f aca="false">IF($X1474="","",INDEX('Per Line'!$D$2:$D$4001,$X1474))</f>
        <v/>
      </c>
      <c r="C1474" s="20" t="str">
        <f aca="false">IF($X1474="","",INDEX('Per Line'!$C$2:$C$4001,$X1474))</f>
        <v/>
      </c>
      <c r="D1474" s="20" t="str">
        <f aca="false">IF($X1474="","",INDEX('Per Line'!$A$2:$A$4001,$X1474))</f>
        <v/>
      </c>
      <c r="E1474" s="21" t="str">
        <f aca="false">IF($X1474="","",INDEX('Per Line'!$F$2:$F$4001,$X1474))</f>
        <v/>
      </c>
      <c r="F1474" s="20" t="str">
        <f aca="false">IF($X1474="","",INDEX('Per Line'!$G$2:$G$4001,$X1474))</f>
        <v/>
      </c>
      <c r="G1474" s="20" t="str">
        <f aca="false">IF($X1474="","",INDEX('Per Line'!$I$2:$I$4001,$X1474))</f>
        <v/>
      </c>
      <c r="H1474" s="20" t="str">
        <f aca="false">IF($X1474="","",INDEX('Per Line'!$J$2:$J$4001,$X1474))</f>
        <v/>
      </c>
      <c r="I1474" s="20" t="str">
        <f aca="false">IF($X1474="","",INDEX('Per Line'!$K$2:$K$4001,$X1474))</f>
        <v/>
      </c>
      <c r="J1474" s="20" t="str">
        <f aca="false">IF($X1474="","",INDEX('Per Line'!$L$2:$L$4001,$X1474))</f>
        <v/>
      </c>
      <c r="K1474" s="20" t="str">
        <f aca="false">IF($X1474="","",INDEX('Per Line'!$M$2:$M$4001,$X1474))</f>
        <v/>
      </c>
      <c r="L1474" s="22" t="str">
        <f aca="false">IF($X1474="","",K1474*V1474/100)</f>
        <v/>
      </c>
      <c r="M1474" s="20" t="str">
        <f aca="false">IF($X1474="","",INDEX('Per Line'!$Z$2:$Z$4001,$X1474))</f>
        <v/>
      </c>
      <c r="N1474" s="23" t="str">
        <f aca="false">IF($X1474="","",Settings!$C$7)</f>
        <v/>
      </c>
      <c r="O1474" s="22" t="str">
        <f aca="false">IF($X1474="","",SUMIFS('Per Line'!$Y$2:$Y$4001,'Per Line'!$D$2:$D$4001,$B1474,'Per Line'!$AJ$2:$AJ$4001,0))</f>
        <v/>
      </c>
      <c r="P1474" s="22" t="str">
        <f aca="false">IF($X1474="","",O1474*N1474)</f>
        <v/>
      </c>
      <c r="Q1474" s="23" t="str">
        <f aca="false">IF($X1474="","",Settings!$C$6)</f>
        <v/>
      </c>
      <c r="R1474" s="22" t="str">
        <f aca="false">IF($X1474="","",SUMIFS('Per Line'!$Y$2:$Y$4001,'Per Line'!$D$2:$D$4001,$B1474,'Per Line'!$AJ$2:$AJ$4001,1))</f>
        <v/>
      </c>
      <c r="S1474" s="22" t="str">
        <f aca="false">IF($X1474="","",R1474*Q1474)</f>
        <v/>
      </c>
      <c r="T1474" s="22" t="str">
        <f aca="false">IF($X1474="","",S1474+P1474)</f>
        <v/>
      </c>
      <c r="U1474" s="22" t="str">
        <f aca="false">IF($X1474="","",V1474-T1474)</f>
        <v/>
      </c>
      <c r="V1474" s="22" t="str">
        <f aca="false">IF($X1474="","",O1474+R1474)</f>
        <v/>
      </c>
      <c r="W1474" s="22" t="str">
        <f aca="false">IF($X1474="","",U1474-L1474)</f>
        <v/>
      </c>
      <c r="X1474" s="24" t="str">
        <f aca="false">IF(ROWS($X$2:$X1474)&lt;=MAX('Per Line'!$AI$2:$AI$4001),MATCH(ROWS($X$2:$X1474),'Per Line'!$AI$2:$AI$4001,0),"")</f>
        <v/>
      </c>
    </row>
    <row r="1475" customFormat="false" ht="15" hidden="false" customHeight="false" outlineLevel="0" collapsed="false">
      <c r="A1475" s="19"/>
      <c r="B1475" s="20" t="str">
        <f aca="false">IF($X1475="","",INDEX('Per Line'!$D$2:$D$4001,$X1475))</f>
        <v/>
      </c>
      <c r="C1475" s="20" t="str">
        <f aca="false">IF($X1475="","",INDEX('Per Line'!$C$2:$C$4001,$X1475))</f>
        <v/>
      </c>
      <c r="D1475" s="20" t="str">
        <f aca="false">IF($X1475="","",INDEX('Per Line'!$A$2:$A$4001,$X1475))</f>
        <v/>
      </c>
      <c r="E1475" s="21" t="str">
        <f aca="false">IF($X1475="","",INDEX('Per Line'!$F$2:$F$4001,$X1475))</f>
        <v/>
      </c>
      <c r="F1475" s="20" t="str">
        <f aca="false">IF($X1475="","",INDEX('Per Line'!$G$2:$G$4001,$X1475))</f>
        <v/>
      </c>
      <c r="G1475" s="20" t="str">
        <f aca="false">IF($X1475="","",INDEX('Per Line'!$I$2:$I$4001,$X1475))</f>
        <v/>
      </c>
      <c r="H1475" s="20" t="str">
        <f aca="false">IF($X1475="","",INDEX('Per Line'!$J$2:$J$4001,$X1475))</f>
        <v/>
      </c>
      <c r="I1475" s="20" t="str">
        <f aca="false">IF($X1475="","",INDEX('Per Line'!$K$2:$K$4001,$X1475))</f>
        <v/>
      </c>
      <c r="J1475" s="20" t="str">
        <f aca="false">IF($X1475="","",INDEX('Per Line'!$L$2:$L$4001,$X1475))</f>
        <v/>
      </c>
      <c r="K1475" s="20" t="str">
        <f aca="false">IF($X1475="","",INDEX('Per Line'!$M$2:$M$4001,$X1475))</f>
        <v/>
      </c>
      <c r="L1475" s="22" t="str">
        <f aca="false">IF($X1475="","",K1475*V1475/100)</f>
        <v/>
      </c>
      <c r="M1475" s="20" t="str">
        <f aca="false">IF($X1475="","",INDEX('Per Line'!$Z$2:$Z$4001,$X1475))</f>
        <v/>
      </c>
      <c r="N1475" s="23" t="str">
        <f aca="false">IF($X1475="","",Settings!$C$7)</f>
        <v/>
      </c>
      <c r="O1475" s="22" t="str">
        <f aca="false">IF($X1475="","",SUMIFS('Per Line'!$Y$2:$Y$4001,'Per Line'!$D$2:$D$4001,$B1475,'Per Line'!$AJ$2:$AJ$4001,0))</f>
        <v/>
      </c>
      <c r="P1475" s="22" t="str">
        <f aca="false">IF($X1475="","",O1475*N1475)</f>
        <v/>
      </c>
      <c r="Q1475" s="23" t="str">
        <f aca="false">IF($X1475="","",Settings!$C$6)</f>
        <v/>
      </c>
      <c r="R1475" s="22" t="str">
        <f aca="false">IF($X1475="","",SUMIFS('Per Line'!$Y$2:$Y$4001,'Per Line'!$D$2:$D$4001,$B1475,'Per Line'!$AJ$2:$AJ$4001,1))</f>
        <v/>
      </c>
      <c r="S1475" s="22" t="str">
        <f aca="false">IF($X1475="","",R1475*Q1475)</f>
        <v/>
      </c>
      <c r="T1475" s="22" t="str">
        <f aca="false">IF($X1475="","",S1475+P1475)</f>
        <v/>
      </c>
      <c r="U1475" s="22" t="str">
        <f aca="false">IF($X1475="","",V1475-T1475)</f>
        <v/>
      </c>
      <c r="V1475" s="22" t="str">
        <f aca="false">IF($X1475="","",O1475+R1475)</f>
        <v/>
      </c>
      <c r="W1475" s="22" t="str">
        <f aca="false">IF($X1475="","",U1475-L1475)</f>
        <v/>
      </c>
      <c r="X1475" s="24" t="str">
        <f aca="false">IF(ROWS($X$2:$X1475)&lt;=MAX('Per Line'!$AI$2:$AI$4001),MATCH(ROWS($X$2:$X1475),'Per Line'!$AI$2:$AI$4001,0),"")</f>
        <v/>
      </c>
    </row>
    <row r="1476" customFormat="false" ht="15" hidden="false" customHeight="false" outlineLevel="0" collapsed="false">
      <c r="A1476" s="19"/>
      <c r="B1476" s="20" t="str">
        <f aca="false">IF($X1476="","",INDEX('Per Line'!$D$2:$D$4001,$X1476))</f>
        <v/>
      </c>
      <c r="C1476" s="20" t="str">
        <f aca="false">IF($X1476="","",INDEX('Per Line'!$C$2:$C$4001,$X1476))</f>
        <v/>
      </c>
      <c r="D1476" s="20" t="str">
        <f aca="false">IF($X1476="","",INDEX('Per Line'!$A$2:$A$4001,$X1476))</f>
        <v/>
      </c>
      <c r="E1476" s="21" t="str">
        <f aca="false">IF($X1476="","",INDEX('Per Line'!$F$2:$F$4001,$X1476))</f>
        <v/>
      </c>
      <c r="F1476" s="20" t="str">
        <f aca="false">IF($X1476="","",INDEX('Per Line'!$G$2:$G$4001,$X1476))</f>
        <v/>
      </c>
      <c r="G1476" s="20" t="str">
        <f aca="false">IF($X1476="","",INDEX('Per Line'!$I$2:$I$4001,$X1476))</f>
        <v/>
      </c>
      <c r="H1476" s="20" t="str">
        <f aca="false">IF($X1476="","",INDEX('Per Line'!$J$2:$J$4001,$X1476))</f>
        <v/>
      </c>
      <c r="I1476" s="20" t="str">
        <f aca="false">IF($X1476="","",INDEX('Per Line'!$K$2:$K$4001,$X1476))</f>
        <v/>
      </c>
      <c r="J1476" s="20" t="str">
        <f aca="false">IF($X1476="","",INDEX('Per Line'!$L$2:$L$4001,$X1476))</f>
        <v/>
      </c>
      <c r="K1476" s="20" t="str">
        <f aca="false">IF($X1476="","",INDEX('Per Line'!$M$2:$M$4001,$X1476))</f>
        <v/>
      </c>
      <c r="L1476" s="22" t="str">
        <f aca="false">IF($X1476="","",K1476*V1476/100)</f>
        <v/>
      </c>
      <c r="M1476" s="20" t="str">
        <f aca="false">IF($X1476="","",INDEX('Per Line'!$Z$2:$Z$4001,$X1476))</f>
        <v/>
      </c>
      <c r="N1476" s="23" t="str">
        <f aca="false">IF($X1476="","",Settings!$C$7)</f>
        <v/>
      </c>
      <c r="O1476" s="22" t="str">
        <f aca="false">IF($X1476="","",SUMIFS('Per Line'!$Y$2:$Y$4001,'Per Line'!$D$2:$D$4001,$B1476,'Per Line'!$AJ$2:$AJ$4001,0))</f>
        <v/>
      </c>
      <c r="P1476" s="22" t="str">
        <f aca="false">IF($X1476="","",O1476*N1476)</f>
        <v/>
      </c>
      <c r="Q1476" s="23" t="str">
        <f aca="false">IF($X1476="","",Settings!$C$6)</f>
        <v/>
      </c>
      <c r="R1476" s="22" t="str">
        <f aca="false">IF($X1476="","",SUMIFS('Per Line'!$Y$2:$Y$4001,'Per Line'!$D$2:$D$4001,$B1476,'Per Line'!$AJ$2:$AJ$4001,1))</f>
        <v/>
      </c>
      <c r="S1476" s="22" t="str">
        <f aca="false">IF($X1476="","",R1476*Q1476)</f>
        <v/>
      </c>
      <c r="T1476" s="22" t="str">
        <f aca="false">IF($X1476="","",S1476+P1476)</f>
        <v/>
      </c>
      <c r="U1476" s="22" t="str">
        <f aca="false">IF($X1476="","",V1476-T1476)</f>
        <v/>
      </c>
      <c r="V1476" s="22" t="str">
        <f aca="false">IF($X1476="","",O1476+R1476)</f>
        <v/>
      </c>
      <c r="W1476" s="22" t="str">
        <f aca="false">IF($X1476="","",U1476-L1476)</f>
        <v/>
      </c>
      <c r="X1476" s="24" t="str">
        <f aca="false">IF(ROWS($X$2:$X1476)&lt;=MAX('Per Line'!$AI$2:$AI$4001),MATCH(ROWS($X$2:$X1476),'Per Line'!$AI$2:$AI$4001,0),"")</f>
        <v/>
      </c>
    </row>
    <row r="1477" customFormat="false" ht="15" hidden="false" customHeight="false" outlineLevel="0" collapsed="false">
      <c r="A1477" s="19"/>
      <c r="B1477" s="20" t="str">
        <f aca="false">IF($X1477="","",INDEX('Per Line'!$D$2:$D$4001,$X1477))</f>
        <v/>
      </c>
      <c r="C1477" s="20" t="str">
        <f aca="false">IF($X1477="","",INDEX('Per Line'!$C$2:$C$4001,$X1477))</f>
        <v/>
      </c>
      <c r="D1477" s="20" t="str">
        <f aca="false">IF($X1477="","",INDEX('Per Line'!$A$2:$A$4001,$X1477))</f>
        <v/>
      </c>
      <c r="E1477" s="21" t="str">
        <f aca="false">IF($X1477="","",INDEX('Per Line'!$F$2:$F$4001,$X1477))</f>
        <v/>
      </c>
      <c r="F1477" s="20" t="str">
        <f aca="false">IF($X1477="","",INDEX('Per Line'!$G$2:$G$4001,$X1477))</f>
        <v/>
      </c>
      <c r="G1477" s="20" t="str">
        <f aca="false">IF($X1477="","",INDEX('Per Line'!$I$2:$I$4001,$X1477))</f>
        <v/>
      </c>
      <c r="H1477" s="20" t="str">
        <f aca="false">IF($X1477="","",INDEX('Per Line'!$J$2:$J$4001,$X1477))</f>
        <v/>
      </c>
      <c r="I1477" s="20" t="str">
        <f aca="false">IF($X1477="","",INDEX('Per Line'!$K$2:$K$4001,$X1477))</f>
        <v/>
      </c>
      <c r="J1477" s="20" t="str">
        <f aca="false">IF($X1477="","",INDEX('Per Line'!$L$2:$L$4001,$X1477))</f>
        <v/>
      </c>
      <c r="K1477" s="20" t="str">
        <f aca="false">IF($X1477="","",INDEX('Per Line'!$M$2:$M$4001,$X1477))</f>
        <v/>
      </c>
      <c r="L1477" s="22" t="str">
        <f aca="false">IF($X1477="","",K1477*V1477/100)</f>
        <v/>
      </c>
      <c r="M1477" s="20" t="str">
        <f aca="false">IF($X1477="","",INDEX('Per Line'!$Z$2:$Z$4001,$X1477))</f>
        <v/>
      </c>
      <c r="N1477" s="23" t="str">
        <f aca="false">IF($X1477="","",Settings!$C$7)</f>
        <v/>
      </c>
      <c r="O1477" s="22" t="str">
        <f aca="false">IF($X1477="","",SUMIFS('Per Line'!$Y$2:$Y$4001,'Per Line'!$D$2:$D$4001,$B1477,'Per Line'!$AJ$2:$AJ$4001,0))</f>
        <v/>
      </c>
      <c r="P1477" s="22" t="str">
        <f aca="false">IF($X1477="","",O1477*N1477)</f>
        <v/>
      </c>
      <c r="Q1477" s="23" t="str">
        <f aca="false">IF($X1477="","",Settings!$C$6)</f>
        <v/>
      </c>
      <c r="R1477" s="22" t="str">
        <f aca="false">IF($X1477="","",SUMIFS('Per Line'!$Y$2:$Y$4001,'Per Line'!$D$2:$D$4001,$B1477,'Per Line'!$AJ$2:$AJ$4001,1))</f>
        <v/>
      </c>
      <c r="S1477" s="22" t="str">
        <f aca="false">IF($X1477="","",R1477*Q1477)</f>
        <v/>
      </c>
      <c r="T1477" s="22" t="str">
        <f aca="false">IF($X1477="","",S1477+P1477)</f>
        <v/>
      </c>
      <c r="U1477" s="22" t="str">
        <f aca="false">IF($X1477="","",V1477-T1477)</f>
        <v/>
      </c>
      <c r="V1477" s="22" t="str">
        <f aca="false">IF($X1477="","",O1477+R1477)</f>
        <v/>
      </c>
      <c r="W1477" s="22" t="str">
        <f aca="false">IF($X1477="","",U1477-L1477)</f>
        <v/>
      </c>
      <c r="X1477" s="24" t="str">
        <f aca="false">IF(ROWS($X$2:$X1477)&lt;=MAX('Per Line'!$AI$2:$AI$4001),MATCH(ROWS($X$2:$X1477),'Per Line'!$AI$2:$AI$4001,0),"")</f>
        <v/>
      </c>
    </row>
    <row r="1478" customFormat="false" ht="15" hidden="false" customHeight="false" outlineLevel="0" collapsed="false">
      <c r="A1478" s="19"/>
      <c r="B1478" s="20" t="str">
        <f aca="false">IF($X1478="","",INDEX('Per Line'!$D$2:$D$4001,$X1478))</f>
        <v/>
      </c>
      <c r="C1478" s="20" t="str">
        <f aca="false">IF($X1478="","",INDEX('Per Line'!$C$2:$C$4001,$X1478))</f>
        <v/>
      </c>
      <c r="D1478" s="20" t="str">
        <f aca="false">IF($X1478="","",INDEX('Per Line'!$A$2:$A$4001,$X1478))</f>
        <v/>
      </c>
      <c r="E1478" s="21" t="str">
        <f aca="false">IF($X1478="","",INDEX('Per Line'!$F$2:$F$4001,$X1478))</f>
        <v/>
      </c>
      <c r="F1478" s="20" t="str">
        <f aca="false">IF($X1478="","",INDEX('Per Line'!$G$2:$G$4001,$X1478))</f>
        <v/>
      </c>
      <c r="G1478" s="20" t="str">
        <f aca="false">IF($X1478="","",INDEX('Per Line'!$I$2:$I$4001,$X1478))</f>
        <v/>
      </c>
      <c r="H1478" s="20" t="str">
        <f aca="false">IF($X1478="","",INDEX('Per Line'!$J$2:$J$4001,$X1478))</f>
        <v/>
      </c>
      <c r="I1478" s="20" t="str">
        <f aca="false">IF($X1478="","",INDEX('Per Line'!$K$2:$K$4001,$X1478))</f>
        <v/>
      </c>
      <c r="J1478" s="20" t="str">
        <f aca="false">IF($X1478="","",INDEX('Per Line'!$L$2:$L$4001,$X1478))</f>
        <v/>
      </c>
      <c r="K1478" s="20" t="str">
        <f aca="false">IF($X1478="","",INDEX('Per Line'!$M$2:$M$4001,$X1478))</f>
        <v/>
      </c>
      <c r="L1478" s="22" t="str">
        <f aca="false">IF($X1478="","",K1478*V1478/100)</f>
        <v/>
      </c>
      <c r="M1478" s="20" t="str">
        <f aca="false">IF($X1478="","",INDEX('Per Line'!$Z$2:$Z$4001,$X1478))</f>
        <v/>
      </c>
      <c r="N1478" s="23" t="str">
        <f aca="false">IF($X1478="","",Settings!$C$7)</f>
        <v/>
      </c>
      <c r="O1478" s="22" t="str">
        <f aca="false">IF($X1478="","",SUMIFS('Per Line'!$Y$2:$Y$4001,'Per Line'!$D$2:$D$4001,$B1478,'Per Line'!$AJ$2:$AJ$4001,0))</f>
        <v/>
      </c>
      <c r="P1478" s="22" t="str">
        <f aca="false">IF($X1478="","",O1478*N1478)</f>
        <v/>
      </c>
      <c r="Q1478" s="23" t="str">
        <f aca="false">IF($X1478="","",Settings!$C$6)</f>
        <v/>
      </c>
      <c r="R1478" s="22" t="str">
        <f aca="false">IF($X1478="","",SUMIFS('Per Line'!$Y$2:$Y$4001,'Per Line'!$D$2:$D$4001,$B1478,'Per Line'!$AJ$2:$AJ$4001,1))</f>
        <v/>
      </c>
      <c r="S1478" s="22" t="str">
        <f aca="false">IF($X1478="","",R1478*Q1478)</f>
        <v/>
      </c>
      <c r="T1478" s="22" t="str">
        <f aca="false">IF($X1478="","",S1478+P1478)</f>
        <v/>
      </c>
      <c r="U1478" s="22" t="str">
        <f aca="false">IF($X1478="","",V1478-T1478)</f>
        <v/>
      </c>
      <c r="V1478" s="22" t="str">
        <f aca="false">IF($X1478="","",O1478+R1478)</f>
        <v/>
      </c>
      <c r="W1478" s="22" t="str">
        <f aca="false">IF($X1478="","",U1478-L1478)</f>
        <v/>
      </c>
      <c r="X1478" s="24" t="str">
        <f aca="false">IF(ROWS($X$2:$X1478)&lt;=MAX('Per Line'!$AI$2:$AI$4001),MATCH(ROWS($X$2:$X1478),'Per Line'!$AI$2:$AI$4001,0),"")</f>
        <v/>
      </c>
    </row>
    <row r="1479" customFormat="false" ht="15" hidden="false" customHeight="false" outlineLevel="0" collapsed="false">
      <c r="A1479" s="19"/>
      <c r="B1479" s="20" t="str">
        <f aca="false">IF($X1479="","",INDEX('Per Line'!$D$2:$D$4001,$X1479))</f>
        <v/>
      </c>
      <c r="C1479" s="20" t="str">
        <f aca="false">IF($X1479="","",INDEX('Per Line'!$C$2:$C$4001,$X1479))</f>
        <v/>
      </c>
      <c r="D1479" s="20" t="str">
        <f aca="false">IF($X1479="","",INDEX('Per Line'!$A$2:$A$4001,$X1479))</f>
        <v/>
      </c>
      <c r="E1479" s="21" t="str">
        <f aca="false">IF($X1479="","",INDEX('Per Line'!$F$2:$F$4001,$X1479))</f>
        <v/>
      </c>
      <c r="F1479" s="20" t="str">
        <f aca="false">IF($X1479="","",INDEX('Per Line'!$G$2:$G$4001,$X1479))</f>
        <v/>
      </c>
      <c r="G1479" s="20" t="str">
        <f aca="false">IF($X1479="","",INDEX('Per Line'!$I$2:$I$4001,$X1479))</f>
        <v/>
      </c>
      <c r="H1479" s="20" t="str">
        <f aca="false">IF($X1479="","",INDEX('Per Line'!$J$2:$J$4001,$X1479))</f>
        <v/>
      </c>
      <c r="I1479" s="20" t="str">
        <f aca="false">IF($X1479="","",INDEX('Per Line'!$K$2:$K$4001,$X1479))</f>
        <v/>
      </c>
      <c r="J1479" s="20" t="str">
        <f aca="false">IF($X1479="","",INDEX('Per Line'!$L$2:$L$4001,$X1479))</f>
        <v/>
      </c>
      <c r="K1479" s="20" t="str">
        <f aca="false">IF($X1479="","",INDEX('Per Line'!$M$2:$M$4001,$X1479))</f>
        <v/>
      </c>
      <c r="L1479" s="22" t="str">
        <f aca="false">IF($X1479="","",K1479*V1479/100)</f>
        <v/>
      </c>
      <c r="M1479" s="20" t="str">
        <f aca="false">IF($X1479="","",INDEX('Per Line'!$Z$2:$Z$4001,$X1479))</f>
        <v/>
      </c>
      <c r="N1479" s="23" t="str">
        <f aca="false">IF($X1479="","",Settings!$C$7)</f>
        <v/>
      </c>
      <c r="O1479" s="22" t="str">
        <f aca="false">IF($X1479="","",SUMIFS('Per Line'!$Y$2:$Y$4001,'Per Line'!$D$2:$D$4001,$B1479,'Per Line'!$AJ$2:$AJ$4001,0))</f>
        <v/>
      </c>
      <c r="P1479" s="22" t="str">
        <f aca="false">IF($X1479="","",O1479*N1479)</f>
        <v/>
      </c>
      <c r="Q1479" s="23" t="str">
        <f aca="false">IF($X1479="","",Settings!$C$6)</f>
        <v/>
      </c>
      <c r="R1479" s="22" t="str">
        <f aca="false">IF($X1479="","",SUMIFS('Per Line'!$Y$2:$Y$4001,'Per Line'!$D$2:$D$4001,$B1479,'Per Line'!$AJ$2:$AJ$4001,1))</f>
        <v/>
      </c>
      <c r="S1479" s="22" t="str">
        <f aca="false">IF($X1479="","",R1479*Q1479)</f>
        <v/>
      </c>
      <c r="T1479" s="22" t="str">
        <f aca="false">IF($X1479="","",S1479+P1479)</f>
        <v/>
      </c>
      <c r="U1479" s="22" t="str">
        <f aca="false">IF($X1479="","",V1479-T1479)</f>
        <v/>
      </c>
      <c r="V1479" s="22" t="str">
        <f aca="false">IF($X1479="","",O1479+R1479)</f>
        <v/>
      </c>
      <c r="W1479" s="22" t="str">
        <f aca="false">IF($X1479="","",U1479-L1479)</f>
        <v/>
      </c>
      <c r="X1479" s="24" t="str">
        <f aca="false">IF(ROWS($X$2:$X1479)&lt;=MAX('Per Line'!$AI$2:$AI$4001),MATCH(ROWS($X$2:$X1479),'Per Line'!$AI$2:$AI$4001,0),"")</f>
        <v/>
      </c>
    </row>
    <row r="1480" customFormat="false" ht="15" hidden="false" customHeight="false" outlineLevel="0" collapsed="false">
      <c r="A1480" s="19"/>
      <c r="B1480" s="20" t="str">
        <f aca="false">IF($X1480="","",INDEX('Per Line'!$D$2:$D$4001,$X1480))</f>
        <v/>
      </c>
      <c r="C1480" s="20" t="str">
        <f aca="false">IF($X1480="","",INDEX('Per Line'!$C$2:$C$4001,$X1480))</f>
        <v/>
      </c>
      <c r="D1480" s="20" t="str">
        <f aca="false">IF($X1480="","",INDEX('Per Line'!$A$2:$A$4001,$X1480))</f>
        <v/>
      </c>
      <c r="E1480" s="21" t="str">
        <f aca="false">IF($X1480="","",INDEX('Per Line'!$F$2:$F$4001,$X1480))</f>
        <v/>
      </c>
      <c r="F1480" s="20" t="str">
        <f aca="false">IF($X1480="","",INDEX('Per Line'!$G$2:$G$4001,$X1480))</f>
        <v/>
      </c>
      <c r="G1480" s="20" t="str">
        <f aca="false">IF($X1480="","",INDEX('Per Line'!$I$2:$I$4001,$X1480))</f>
        <v/>
      </c>
      <c r="H1480" s="20" t="str">
        <f aca="false">IF($X1480="","",INDEX('Per Line'!$J$2:$J$4001,$X1480))</f>
        <v/>
      </c>
      <c r="I1480" s="20" t="str">
        <f aca="false">IF($X1480="","",INDEX('Per Line'!$K$2:$K$4001,$X1480))</f>
        <v/>
      </c>
      <c r="J1480" s="20" t="str">
        <f aca="false">IF($X1480="","",INDEX('Per Line'!$L$2:$L$4001,$X1480))</f>
        <v/>
      </c>
      <c r="K1480" s="20" t="str">
        <f aca="false">IF($X1480="","",INDEX('Per Line'!$M$2:$M$4001,$X1480))</f>
        <v/>
      </c>
      <c r="L1480" s="22" t="str">
        <f aca="false">IF($X1480="","",K1480*V1480/100)</f>
        <v/>
      </c>
      <c r="M1480" s="20" t="str">
        <f aca="false">IF($X1480="","",INDEX('Per Line'!$Z$2:$Z$4001,$X1480))</f>
        <v/>
      </c>
      <c r="N1480" s="23" t="str">
        <f aca="false">IF($X1480="","",Settings!$C$7)</f>
        <v/>
      </c>
      <c r="O1480" s="22" t="str">
        <f aca="false">IF($X1480="","",SUMIFS('Per Line'!$Y$2:$Y$4001,'Per Line'!$D$2:$D$4001,$B1480,'Per Line'!$AJ$2:$AJ$4001,0))</f>
        <v/>
      </c>
      <c r="P1480" s="22" t="str">
        <f aca="false">IF($X1480="","",O1480*N1480)</f>
        <v/>
      </c>
      <c r="Q1480" s="23" t="str">
        <f aca="false">IF($X1480="","",Settings!$C$6)</f>
        <v/>
      </c>
      <c r="R1480" s="22" t="str">
        <f aca="false">IF($X1480="","",SUMIFS('Per Line'!$Y$2:$Y$4001,'Per Line'!$D$2:$D$4001,$B1480,'Per Line'!$AJ$2:$AJ$4001,1))</f>
        <v/>
      </c>
      <c r="S1480" s="22" t="str">
        <f aca="false">IF($X1480="","",R1480*Q1480)</f>
        <v/>
      </c>
      <c r="T1480" s="22" t="str">
        <f aca="false">IF($X1480="","",S1480+P1480)</f>
        <v/>
      </c>
      <c r="U1480" s="22" t="str">
        <f aca="false">IF($X1480="","",V1480-T1480)</f>
        <v/>
      </c>
      <c r="V1480" s="22" t="str">
        <f aca="false">IF($X1480="","",O1480+R1480)</f>
        <v/>
      </c>
      <c r="W1480" s="22" t="str">
        <f aca="false">IF($X1480="","",U1480-L1480)</f>
        <v/>
      </c>
      <c r="X1480" s="24" t="str">
        <f aca="false">IF(ROWS($X$2:$X1480)&lt;=MAX('Per Line'!$AI$2:$AI$4001),MATCH(ROWS($X$2:$X1480),'Per Line'!$AI$2:$AI$4001,0),"")</f>
        <v/>
      </c>
    </row>
    <row r="1481" customFormat="false" ht="15" hidden="false" customHeight="false" outlineLevel="0" collapsed="false">
      <c r="A1481" s="19"/>
      <c r="B1481" s="20" t="str">
        <f aca="false">IF($X1481="","",INDEX('Per Line'!$D$2:$D$4001,$X1481))</f>
        <v/>
      </c>
      <c r="C1481" s="20" t="str">
        <f aca="false">IF($X1481="","",INDEX('Per Line'!$C$2:$C$4001,$X1481))</f>
        <v/>
      </c>
      <c r="D1481" s="20" t="str">
        <f aca="false">IF($X1481="","",INDEX('Per Line'!$A$2:$A$4001,$X1481))</f>
        <v/>
      </c>
      <c r="E1481" s="21" t="str">
        <f aca="false">IF($X1481="","",INDEX('Per Line'!$F$2:$F$4001,$X1481))</f>
        <v/>
      </c>
      <c r="F1481" s="20" t="str">
        <f aca="false">IF($X1481="","",INDEX('Per Line'!$G$2:$G$4001,$X1481))</f>
        <v/>
      </c>
      <c r="G1481" s="20" t="str">
        <f aca="false">IF($X1481="","",INDEX('Per Line'!$I$2:$I$4001,$X1481))</f>
        <v/>
      </c>
      <c r="H1481" s="20" t="str">
        <f aca="false">IF($X1481="","",INDEX('Per Line'!$J$2:$J$4001,$X1481))</f>
        <v/>
      </c>
      <c r="I1481" s="20" t="str">
        <f aca="false">IF($X1481="","",INDEX('Per Line'!$K$2:$K$4001,$X1481))</f>
        <v/>
      </c>
      <c r="J1481" s="20" t="str">
        <f aca="false">IF($X1481="","",INDEX('Per Line'!$L$2:$L$4001,$X1481))</f>
        <v/>
      </c>
      <c r="K1481" s="20" t="str">
        <f aca="false">IF($X1481="","",INDEX('Per Line'!$M$2:$M$4001,$X1481))</f>
        <v/>
      </c>
      <c r="L1481" s="22" t="str">
        <f aca="false">IF($X1481="","",K1481*V1481/100)</f>
        <v/>
      </c>
      <c r="M1481" s="20" t="str">
        <f aca="false">IF($X1481="","",INDEX('Per Line'!$Z$2:$Z$4001,$X1481))</f>
        <v/>
      </c>
      <c r="N1481" s="23" t="str">
        <f aca="false">IF($X1481="","",Settings!$C$7)</f>
        <v/>
      </c>
      <c r="O1481" s="22" t="str">
        <f aca="false">IF($X1481="","",SUMIFS('Per Line'!$Y$2:$Y$4001,'Per Line'!$D$2:$D$4001,$B1481,'Per Line'!$AJ$2:$AJ$4001,0))</f>
        <v/>
      </c>
      <c r="P1481" s="22" t="str">
        <f aca="false">IF($X1481="","",O1481*N1481)</f>
        <v/>
      </c>
      <c r="Q1481" s="23" t="str">
        <f aca="false">IF($X1481="","",Settings!$C$6)</f>
        <v/>
      </c>
      <c r="R1481" s="22" t="str">
        <f aca="false">IF($X1481="","",SUMIFS('Per Line'!$Y$2:$Y$4001,'Per Line'!$D$2:$D$4001,$B1481,'Per Line'!$AJ$2:$AJ$4001,1))</f>
        <v/>
      </c>
      <c r="S1481" s="22" t="str">
        <f aca="false">IF($X1481="","",R1481*Q1481)</f>
        <v/>
      </c>
      <c r="T1481" s="22" t="str">
        <f aca="false">IF($X1481="","",S1481+P1481)</f>
        <v/>
      </c>
      <c r="U1481" s="22" t="str">
        <f aca="false">IF($X1481="","",V1481-T1481)</f>
        <v/>
      </c>
      <c r="V1481" s="22" t="str">
        <f aca="false">IF($X1481="","",O1481+R1481)</f>
        <v/>
      </c>
      <c r="W1481" s="22" t="str">
        <f aca="false">IF($X1481="","",U1481-L1481)</f>
        <v/>
      </c>
      <c r="X1481" s="24" t="str">
        <f aca="false">IF(ROWS($X$2:$X1481)&lt;=MAX('Per Line'!$AI$2:$AI$4001),MATCH(ROWS($X$2:$X1481),'Per Line'!$AI$2:$AI$4001,0),"")</f>
        <v/>
      </c>
    </row>
    <row r="1482" customFormat="false" ht="15" hidden="false" customHeight="false" outlineLevel="0" collapsed="false">
      <c r="A1482" s="19"/>
      <c r="B1482" s="20" t="str">
        <f aca="false">IF($X1482="","",INDEX('Per Line'!$D$2:$D$4001,$X1482))</f>
        <v/>
      </c>
      <c r="C1482" s="20" t="str">
        <f aca="false">IF($X1482="","",INDEX('Per Line'!$C$2:$C$4001,$X1482))</f>
        <v/>
      </c>
      <c r="D1482" s="20" t="str">
        <f aca="false">IF($X1482="","",INDEX('Per Line'!$A$2:$A$4001,$X1482))</f>
        <v/>
      </c>
      <c r="E1482" s="21" t="str">
        <f aca="false">IF($X1482="","",INDEX('Per Line'!$F$2:$F$4001,$X1482))</f>
        <v/>
      </c>
      <c r="F1482" s="20" t="str">
        <f aca="false">IF($X1482="","",INDEX('Per Line'!$G$2:$G$4001,$X1482))</f>
        <v/>
      </c>
      <c r="G1482" s="20" t="str">
        <f aca="false">IF($X1482="","",INDEX('Per Line'!$I$2:$I$4001,$X1482))</f>
        <v/>
      </c>
      <c r="H1482" s="20" t="str">
        <f aca="false">IF($X1482="","",INDEX('Per Line'!$J$2:$J$4001,$X1482))</f>
        <v/>
      </c>
      <c r="I1482" s="20" t="str">
        <f aca="false">IF($X1482="","",INDEX('Per Line'!$K$2:$K$4001,$X1482))</f>
        <v/>
      </c>
      <c r="J1482" s="20" t="str">
        <f aca="false">IF($X1482="","",INDEX('Per Line'!$L$2:$L$4001,$X1482))</f>
        <v/>
      </c>
      <c r="K1482" s="20" t="str">
        <f aca="false">IF($X1482="","",INDEX('Per Line'!$M$2:$M$4001,$X1482))</f>
        <v/>
      </c>
      <c r="L1482" s="22" t="str">
        <f aca="false">IF($X1482="","",K1482*V1482/100)</f>
        <v/>
      </c>
      <c r="M1482" s="20" t="str">
        <f aca="false">IF($X1482="","",INDEX('Per Line'!$Z$2:$Z$4001,$X1482))</f>
        <v/>
      </c>
      <c r="N1482" s="23" t="str">
        <f aca="false">IF($X1482="","",Settings!$C$7)</f>
        <v/>
      </c>
      <c r="O1482" s="22" t="str">
        <f aca="false">IF($X1482="","",SUMIFS('Per Line'!$Y$2:$Y$4001,'Per Line'!$D$2:$D$4001,$B1482,'Per Line'!$AJ$2:$AJ$4001,0))</f>
        <v/>
      </c>
      <c r="P1482" s="22" t="str">
        <f aca="false">IF($X1482="","",O1482*N1482)</f>
        <v/>
      </c>
      <c r="Q1482" s="23" t="str">
        <f aca="false">IF($X1482="","",Settings!$C$6)</f>
        <v/>
      </c>
      <c r="R1482" s="22" t="str">
        <f aca="false">IF($X1482="","",SUMIFS('Per Line'!$Y$2:$Y$4001,'Per Line'!$D$2:$D$4001,$B1482,'Per Line'!$AJ$2:$AJ$4001,1))</f>
        <v/>
      </c>
      <c r="S1482" s="22" t="str">
        <f aca="false">IF($X1482="","",R1482*Q1482)</f>
        <v/>
      </c>
      <c r="T1482" s="22" t="str">
        <f aca="false">IF($X1482="","",S1482+P1482)</f>
        <v/>
      </c>
      <c r="U1482" s="22" t="str">
        <f aca="false">IF($X1482="","",V1482-T1482)</f>
        <v/>
      </c>
      <c r="V1482" s="22" t="str">
        <f aca="false">IF($X1482="","",O1482+R1482)</f>
        <v/>
      </c>
      <c r="W1482" s="22" t="str">
        <f aca="false">IF($X1482="","",U1482-L1482)</f>
        <v/>
      </c>
      <c r="X1482" s="24" t="str">
        <f aca="false">IF(ROWS($X$2:$X1482)&lt;=MAX('Per Line'!$AI$2:$AI$4001),MATCH(ROWS($X$2:$X1482),'Per Line'!$AI$2:$AI$4001,0),"")</f>
        <v/>
      </c>
    </row>
    <row r="1483" customFormat="false" ht="15" hidden="false" customHeight="false" outlineLevel="0" collapsed="false">
      <c r="A1483" s="19"/>
      <c r="B1483" s="20" t="str">
        <f aca="false">IF($X1483="","",INDEX('Per Line'!$D$2:$D$4001,$X1483))</f>
        <v/>
      </c>
      <c r="C1483" s="20" t="str">
        <f aca="false">IF($X1483="","",INDEX('Per Line'!$C$2:$C$4001,$X1483))</f>
        <v/>
      </c>
      <c r="D1483" s="20" t="str">
        <f aca="false">IF($X1483="","",INDEX('Per Line'!$A$2:$A$4001,$X1483))</f>
        <v/>
      </c>
      <c r="E1483" s="21" t="str">
        <f aca="false">IF($X1483="","",INDEX('Per Line'!$F$2:$F$4001,$X1483))</f>
        <v/>
      </c>
      <c r="F1483" s="20" t="str">
        <f aca="false">IF($X1483="","",INDEX('Per Line'!$G$2:$G$4001,$X1483))</f>
        <v/>
      </c>
      <c r="G1483" s="20" t="str">
        <f aca="false">IF($X1483="","",INDEX('Per Line'!$I$2:$I$4001,$X1483))</f>
        <v/>
      </c>
      <c r="H1483" s="20" t="str">
        <f aca="false">IF($X1483="","",INDEX('Per Line'!$J$2:$J$4001,$X1483))</f>
        <v/>
      </c>
      <c r="I1483" s="20" t="str">
        <f aca="false">IF($X1483="","",INDEX('Per Line'!$K$2:$K$4001,$X1483))</f>
        <v/>
      </c>
      <c r="J1483" s="20" t="str">
        <f aca="false">IF($X1483="","",INDEX('Per Line'!$L$2:$L$4001,$X1483))</f>
        <v/>
      </c>
      <c r="K1483" s="20" t="str">
        <f aca="false">IF($X1483="","",INDEX('Per Line'!$M$2:$M$4001,$X1483))</f>
        <v/>
      </c>
      <c r="L1483" s="22" t="str">
        <f aca="false">IF($X1483="","",K1483*V1483/100)</f>
        <v/>
      </c>
      <c r="M1483" s="20" t="str">
        <f aca="false">IF($X1483="","",INDEX('Per Line'!$Z$2:$Z$4001,$X1483))</f>
        <v/>
      </c>
      <c r="N1483" s="23" t="str">
        <f aca="false">IF($X1483="","",Settings!$C$7)</f>
        <v/>
      </c>
      <c r="O1483" s="22" t="str">
        <f aca="false">IF($X1483="","",SUMIFS('Per Line'!$Y$2:$Y$4001,'Per Line'!$D$2:$D$4001,$B1483,'Per Line'!$AJ$2:$AJ$4001,0))</f>
        <v/>
      </c>
      <c r="P1483" s="22" t="str">
        <f aca="false">IF($X1483="","",O1483*N1483)</f>
        <v/>
      </c>
      <c r="Q1483" s="23" t="str">
        <f aca="false">IF($X1483="","",Settings!$C$6)</f>
        <v/>
      </c>
      <c r="R1483" s="22" t="str">
        <f aca="false">IF($X1483="","",SUMIFS('Per Line'!$Y$2:$Y$4001,'Per Line'!$D$2:$D$4001,$B1483,'Per Line'!$AJ$2:$AJ$4001,1))</f>
        <v/>
      </c>
      <c r="S1483" s="22" t="str">
        <f aca="false">IF($X1483="","",R1483*Q1483)</f>
        <v/>
      </c>
      <c r="T1483" s="22" t="str">
        <f aca="false">IF($X1483="","",S1483+P1483)</f>
        <v/>
      </c>
      <c r="U1483" s="22" t="str">
        <f aca="false">IF($X1483="","",V1483-T1483)</f>
        <v/>
      </c>
      <c r="V1483" s="22" t="str">
        <f aca="false">IF($X1483="","",O1483+R1483)</f>
        <v/>
      </c>
      <c r="W1483" s="22" t="str">
        <f aca="false">IF($X1483="","",U1483-L1483)</f>
        <v/>
      </c>
      <c r="X1483" s="24" t="str">
        <f aca="false">IF(ROWS($X$2:$X1483)&lt;=MAX('Per Line'!$AI$2:$AI$4001),MATCH(ROWS($X$2:$X1483),'Per Line'!$AI$2:$AI$4001,0),"")</f>
        <v/>
      </c>
    </row>
    <row r="1484" customFormat="false" ht="15" hidden="false" customHeight="false" outlineLevel="0" collapsed="false">
      <c r="A1484" s="19"/>
      <c r="B1484" s="20" t="str">
        <f aca="false">IF($X1484="","",INDEX('Per Line'!$D$2:$D$4001,$X1484))</f>
        <v/>
      </c>
      <c r="C1484" s="20" t="str">
        <f aca="false">IF($X1484="","",INDEX('Per Line'!$C$2:$C$4001,$X1484))</f>
        <v/>
      </c>
      <c r="D1484" s="20" t="str">
        <f aca="false">IF($X1484="","",INDEX('Per Line'!$A$2:$A$4001,$X1484))</f>
        <v/>
      </c>
      <c r="E1484" s="21" t="str">
        <f aca="false">IF($X1484="","",INDEX('Per Line'!$F$2:$F$4001,$X1484))</f>
        <v/>
      </c>
      <c r="F1484" s="20" t="str">
        <f aca="false">IF($X1484="","",INDEX('Per Line'!$G$2:$G$4001,$X1484))</f>
        <v/>
      </c>
      <c r="G1484" s="20" t="str">
        <f aca="false">IF($X1484="","",INDEX('Per Line'!$I$2:$I$4001,$X1484))</f>
        <v/>
      </c>
      <c r="H1484" s="20" t="str">
        <f aca="false">IF($X1484="","",INDEX('Per Line'!$J$2:$J$4001,$X1484))</f>
        <v/>
      </c>
      <c r="I1484" s="20" t="str">
        <f aca="false">IF($X1484="","",INDEX('Per Line'!$K$2:$K$4001,$X1484))</f>
        <v/>
      </c>
      <c r="J1484" s="20" t="str">
        <f aca="false">IF($X1484="","",INDEX('Per Line'!$L$2:$L$4001,$X1484))</f>
        <v/>
      </c>
      <c r="K1484" s="20" t="str">
        <f aca="false">IF($X1484="","",INDEX('Per Line'!$M$2:$M$4001,$X1484))</f>
        <v/>
      </c>
      <c r="L1484" s="22" t="str">
        <f aca="false">IF($X1484="","",K1484*V1484/100)</f>
        <v/>
      </c>
      <c r="M1484" s="20" t="str">
        <f aca="false">IF($X1484="","",INDEX('Per Line'!$Z$2:$Z$4001,$X1484))</f>
        <v/>
      </c>
      <c r="N1484" s="23" t="str">
        <f aca="false">IF($X1484="","",Settings!$C$7)</f>
        <v/>
      </c>
      <c r="O1484" s="22" t="str">
        <f aca="false">IF($X1484="","",SUMIFS('Per Line'!$Y$2:$Y$4001,'Per Line'!$D$2:$D$4001,$B1484,'Per Line'!$AJ$2:$AJ$4001,0))</f>
        <v/>
      </c>
      <c r="P1484" s="22" t="str">
        <f aca="false">IF($X1484="","",O1484*N1484)</f>
        <v/>
      </c>
      <c r="Q1484" s="23" t="str">
        <f aca="false">IF($X1484="","",Settings!$C$6)</f>
        <v/>
      </c>
      <c r="R1484" s="22" t="str">
        <f aca="false">IF($X1484="","",SUMIFS('Per Line'!$Y$2:$Y$4001,'Per Line'!$D$2:$D$4001,$B1484,'Per Line'!$AJ$2:$AJ$4001,1))</f>
        <v/>
      </c>
      <c r="S1484" s="22" t="str">
        <f aca="false">IF($X1484="","",R1484*Q1484)</f>
        <v/>
      </c>
      <c r="T1484" s="22" t="str">
        <f aca="false">IF($X1484="","",S1484+P1484)</f>
        <v/>
      </c>
      <c r="U1484" s="22" t="str">
        <f aca="false">IF($X1484="","",V1484-T1484)</f>
        <v/>
      </c>
      <c r="V1484" s="22" t="str">
        <f aca="false">IF($X1484="","",O1484+R1484)</f>
        <v/>
      </c>
      <c r="W1484" s="22" t="str">
        <f aca="false">IF($X1484="","",U1484-L1484)</f>
        <v/>
      </c>
      <c r="X1484" s="24" t="str">
        <f aca="false">IF(ROWS($X$2:$X1484)&lt;=MAX('Per Line'!$AI$2:$AI$4001),MATCH(ROWS($X$2:$X1484),'Per Line'!$AI$2:$AI$4001,0),"")</f>
        <v/>
      </c>
    </row>
    <row r="1485" customFormat="false" ht="15" hidden="false" customHeight="false" outlineLevel="0" collapsed="false">
      <c r="A1485" s="19"/>
      <c r="B1485" s="20" t="str">
        <f aca="false">IF($X1485="","",INDEX('Per Line'!$D$2:$D$4001,$X1485))</f>
        <v/>
      </c>
      <c r="C1485" s="20" t="str">
        <f aca="false">IF($X1485="","",INDEX('Per Line'!$C$2:$C$4001,$X1485))</f>
        <v/>
      </c>
      <c r="D1485" s="20" t="str">
        <f aca="false">IF($X1485="","",INDEX('Per Line'!$A$2:$A$4001,$X1485))</f>
        <v/>
      </c>
      <c r="E1485" s="21" t="str">
        <f aca="false">IF($X1485="","",INDEX('Per Line'!$F$2:$F$4001,$X1485))</f>
        <v/>
      </c>
      <c r="F1485" s="20" t="str">
        <f aca="false">IF($X1485="","",INDEX('Per Line'!$G$2:$G$4001,$X1485))</f>
        <v/>
      </c>
      <c r="G1485" s="20" t="str">
        <f aca="false">IF($X1485="","",INDEX('Per Line'!$I$2:$I$4001,$X1485))</f>
        <v/>
      </c>
      <c r="H1485" s="20" t="str">
        <f aca="false">IF($X1485="","",INDEX('Per Line'!$J$2:$J$4001,$X1485))</f>
        <v/>
      </c>
      <c r="I1485" s="20" t="str">
        <f aca="false">IF($X1485="","",INDEX('Per Line'!$K$2:$K$4001,$X1485))</f>
        <v/>
      </c>
      <c r="J1485" s="20" t="str">
        <f aca="false">IF($X1485="","",INDEX('Per Line'!$L$2:$L$4001,$X1485))</f>
        <v/>
      </c>
      <c r="K1485" s="20" t="str">
        <f aca="false">IF($X1485="","",INDEX('Per Line'!$M$2:$M$4001,$X1485))</f>
        <v/>
      </c>
      <c r="L1485" s="22" t="str">
        <f aca="false">IF($X1485="","",K1485*V1485/100)</f>
        <v/>
      </c>
      <c r="M1485" s="20" t="str">
        <f aca="false">IF($X1485="","",INDEX('Per Line'!$Z$2:$Z$4001,$X1485))</f>
        <v/>
      </c>
      <c r="N1485" s="23" t="str">
        <f aca="false">IF($X1485="","",Settings!$C$7)</f>
        <v/>
      </c>
      <c r="O1485" s="22" t="str">
        <f aca="false">IF($X1485="","",SUMIFS('Per Line'!$Y$2:$Y$4001,'Per Line'!$D$2:$D$4001,$B1485,'Per Line'!$AJ$2:$AJ$4001,0))</f>
        <v/>
      </c>
      <c r="P1485" s="22" t="str">
        <f aca="false">IF($X1485="","",O1485*N1485)</f>
        <v/>
      </c>
      <c r="Q1485" s="23" t="str">
        <f aca="false">IF($X1485="","",Settings!$C$6)</f>
        <v/>
      </c>
      <c r="R1485" s="22" t="str">
        <f aca="false">IF($X1485="","",SUMIFS('Per Line'!$Y$2:$Y$4001,'Per Line'!$D$2:$D$4001,$B1485,'Per Line'!$AJ$2:$AJ$4001,1))</f>
        <v/>
      </c>
      <c r="S1485" s="22" t="str">
        <f aca="false">IF($X1485="","",R1485*Q1485)</f>
        <v/>
      </c>
      <c r="T1485" s="22" t="str">
        <f aca="false">IF($X1485="","",S1485+P1485)</f>
        <v/>
      </c>
      <c r="U1485" s="22" t="str">
        <f aca="false">IF($X1485="","",V1485-T1485)</f>
        <v/>
      </c>
      <c r="V1485" s="22" t="str">
        <f aca="false">IF($X1485="","",O1485+R1485)</f>
        <v/>
      </c>
      <c r="W1485" s="22" t="str">
        <f aca="false">IF($X1485="","",U1485-L1485)</f>
        <v/>
      </c>
      <c r="X1485" s="24" t="str">
        <f aca="false">IF(ROWS($X$2:$X1485)&lt;=MAX('Per Line'!$AI$2:$AI$4001),MATCH(ROWS($X$2:$X1485),'Per Line'!$AI$2:$AI$4001,0),"")</f>
        <v/>
      </c>
    </row>
    <row r="1486" customFormat="false" ht="15" hidden="false" customHeight="false" outlineLevel="0" collapsed="false">
      <c r="A1486" s="19"/>
      <c r="B1486" s="20" t="str">
        <f aca="false">IF($X1486="","",INDEX('Per Line'!$D$2:$D$4001,$X1486))</f>
        <v/>
      </c>
      <c r="C1486" s="20" t="str">
        <f aca="false">IF($X1486="","",INDEX('Per Line'!$C$2:$C$4001,$X1486))</f>
        <v/>
      </c>
      <c r="D1486" s="20" t="str">
        <f aca="false">IF($X1486="","",INDEX('Per Line'!$A$2:$A$4001,$X1486))</f>
        <v/>
      </c>
      <c r="E1486" s="21" t="str">
        <f aca="false">IF($X1486="","",INDEX('Per Line'!$F$2:$F$4001,$X1486))</f>
        <v/>
      </c>
      <c r="F1486" s="20" t="str">
        <f aca="false">IF($X1486="","",INDEX('Per Line'!$G$2:$G$4001,$X1486))</f>
        <v/>
      </c>
      <c r="G1486" s="20" t="str">
        <f aca="false">IF($X1486="","",INDEX('Per Line'!$I$2:$I$4001,$X1486))</f>
        <v/>
      </c>
      <c r="H1486" s="20" t="str">
        <f aca="false">IF($X1486="","",INDEX('Per Line'!$J$2:$J$4001,$X1486))</f>
        <v/>
      </c>
      <c r="I1486" s="20" t="str">
        <f aca="false">IF($X1486="","",INDEX('Per Line'!$K$2:$K$4001,$X1486))</f>
        <v/>
      </c>
      <c r="J1486" s="20" t="str">
        <f aca="false">IF($X1486="","",INDEX('Per Line'!$L$2:$L$4001,$X1486))</f>
        <v/>
      </c>
      <c r="K1486" s="20" t="str">
        <f aca="false">IF($X1486="","",INDEX('Per Line'!$M$2:$M$4001,$X1486))</f>
        <v/>
      </c>
      <c r="L1486" s="22" t="str">
        <f aca="false">IF($X1486="","",K1486*V1486/100)</f>
        <v/>
      </c>
      <c r="M1486" s="20" t="str">
        <f aca="false">IF($X1486="","",INDEX('Per Line'!$Z$2:$Z$4001,$X1486))</f>
        <v/>
      </c>
      <c r="N1486" s="23" t="str">
        <f aca="false">IF($X1486="","",Settings!$C$7)</f>
        <v/>
      </c>
      <c r="O1486" s="22" t="str">
        <f aca="false">IF($X1486="","",SUMIFS('Per Line'!$Y$2:$Y$4001,'Per Line'!$D$2:$D$4001,$B1486,'Per Line'!$AJ$2:$AJ$4001,0))</f>
        <v/>
      </c>
      <c r="P1486" s="22" t="str">
        <f aca="false">IF($X1486="","",O1486*N1486)</f>
        <v/>
      </c>
      <c r="Q1486" s="23" t="str">
        <f aca="false">IF($X1486="","",Settings!$C$6)</f>
        <v/>
      </c>
      <c r="R1486" s="22" t="str">
        <f aca="false">IF($X1486="","",SUMIFS('Per Line'!$Y$2:$Y$4001,'Per Line'!$D$2:$D$4001,$B1486,'Per Line'!$AJ$2:$AJ$4001,1))</f>
        <v/>
      </c>
      <c r="S1486" s="22" t="str">
        <f aca="false">IF($X1486="","",R1486*Q1486)</f>
        <v/>
      </c>
      <c r="T1486" s="22" t="str">
        <f aca="false">IF($X1486="","",S1486+P1486)</f>
        <v/>
      </c>
      <c r="U1486" s="22" t="str">
        <f aca="false">IF($X1486="","",V1486-T1486)</f>
        <v/>
      </c>
      <c r="V1486" s="22" t="str">
        <f aca="false">IF($X1486="","",O1486+R1486)</f>
        <v/>
      </c>
      <c r="W1486" s="22" t="str">
        <f aca="false">IF($X1486="","",U1486-L1486)</f>
        <v/>
      </c>
      <c r="X1486" s="24" t="str">
        <f aca="false">IF(ROWS($X$2:$X1486)&lt;=MAX('Per Line'!$AI$2:$AI$4001),MATCH(ROWS($X$2:$X1486),'Per Line'!$AI$2:$AI$4001,0),"")</f>
        <v/>
      </c>
    </row>
    <row r="1487" customFormat="false" ht="15" hidden="false" customHeight="false" outlineLevel="0" collapsed="false">
      <c r="A1487" s="19"/>
      <c r="B1487" s="20" t="str">
        <f aca="false">IF($X1487="","",INDEX('Per Line'!$D$2:$D$4001,$X1487))</f>
        <v/>
      </c>
      <c r="C1487" s="20" t="str">
        <f aca="false">IF($X1487="","",INDEX('Per Line'!$C$2:$C$4001,$X1487))</f>
        <v/>
      </c>
      <c r="D1487" s="20" t="str">
        <f aca="false">IF($X1487="","",INDEX('Per Line'!$A$2:$A$4001,$X1487))</f>
        <v/>
      </c>
      <c r="E1487" s="21" t="str">
        <f aca="false">IF($X1487="","",INDEX('Per Line'!$F$2:$F$4001,$X1487))</f>
        <v/>
      </c>
      <c r="F1487" s="20" t="str">
        <f aca="false">IF($X1487="","",INDEX('Per Line'!$G$2:$G$4001,$X1487))</f>
        <v/>
      </c>
      <c r="G1487" s="20" t="str">
        <f aca="false">IF($X1487="","",INDEX('Per Line'!$I$2:$I$4001,$X1487))</f>
        <v/>
      </c>
      <c r="H1487" s="20" t="str">
        <f aca="false">IF($X1487="","",INDEX('Per Line'!$J$2:$J$4001,$X1487))</f>
        <v/>
      </c>
      <c r="I1487" s="20" t="str">
        <f aca="false">IF($X1487="","",INDEX('Per Line'!$K$2:$K$4001,$X1487))</f>
        <v/>
      </c>
      <c r="J1487" s="20" t="str">
        <f aca="false">IF($X1487="","",INDEX('Per Line'!$L$2:$L$4001,$X1487))</f>
        <v/>
      </c>
      <c r="K1487" s="20" t="str">
        <f aca="false">IF($X1487="","",INDEX('Per Line'!$M$2:$M$4001,$X1487))</f>
        <v/>
      </c>
      <c r="L1487" s="22" t="str">
        <f aca="false">IF($X1487="","",K1487*V1487/100)</f>
        <v/>
      </c>
      <c r="M1487" s="20" t="str">
        <f aca="false">IF($X1487="","",INDEX('Per Line'!$Z$2:$Z$4001,$X1487))</f>
        <v/>
      </c>
      <c r="N1487" s="23" t="str">
        <f aca="false">IF($X1487="","",Settings!$C$7)</f>
        <v/>
      </c>
      <c r="O1487" s="22" t="str">
        <f aca="false">IF($X1487="","",SUMIFS('Per Line'!$Y$2:$Y$4001,'Per Line'!$D$2:$D$4001,$B1487,'Per Line'!$AJ$2:$AJ$4001,0))</f>
        <v/>
      </c>
      <c r="P1487" s="22" t="str">
        <f aca="false">IF($X1487="","",O1487*N1487)</f>
        <v/>
      </c>
      <c r="Q1487" s="23" t="str">
        <f aca="false">IF($X1487="","",Settings!$C$6)</f>
        <v/>
      </c>
      <c r="R1487" s="22" t="str">
        <f aca="false">IF($X1487="","",SUMIFS('Per Line'!$Y$2:$Y$4001,'Per Line'!$D$2:$D$4001,$B1487,'Per Line'!$AJ$2:$AJ$4001,1))</f>
        <v/>
      </c>
      <c r="S1487" s="22" t="str">
        <f aca="false">IF($X1487="","",R1487*Q1487)</f>
        <v/>
      </c>
      <c r="T1487" s="22" t="str">
        <f aca="false">IF($X1487="","",S1487+P1487)</f>
        <v/>
      </c>
      <c r="U1487" s="22" t="str">
        <f aca="false">IF($X1487="","",V1487-T1487)</f>
        <v/>
      </c>
      <c r="V1487" s="22" t="str">
        <f aca="false">IF($X1487="","",O1487+R1487)</f>
        <v/>
      </c>
      <c r="W1487" s="22" t="str">
        <f aca="false">IF($X1487="","",U1487-L1487)</f>
        <v/>
      </c>
      <c r="X1487" s="24" t="str">
        <f aca="false">IF(ROWS($X$2:$X1487)&lt;=MAX('Per Line'!$AI$2:$AI$4001),MATCH(ROWS($X$2:$X1487),'Per Line'!$AI$2:$AI$4001,0),"")</f>
        <v/>
      </c>
    </row>
    <row r="1488" customFormat="false" ht="15" hidden="false" customHeight="false" outlineLevel="0" collapsed="false">
      <c r="A1488" s="19"/>
      <c r="B1488" s="20" t="str">
        <f aca="false">IF($X1488="","",INDEX('Per Line'!$D$2:$D$4001,$X1488))</f>
        <v/>
      </c>
      <c r="C1488" s="20" t="str">
        <f aca="false">IF($X1488="","",INDEX('Per Line'!$C$2:$C$4001,$X1488))</f>
        <v/>
      </c>
      <c r="D1488" s="20" t="str">
        <f aca="false">IF($X1488="","",INDEX('Per Line'!$A$2:$A$4001,$X1488))</f>
        <v/>
      </c>
      <c r="E1488" s="21" t="str">
        <f aca="false">IF($X1488="","",INDEX('Per Line'!$F$2:$F$4001,$X1488))</f>
        <v/>
      </c>
      <c r="F1488" s="20" t="str">
        <f aca="false">IF($X1488="","",INDEX('Per Line'!$G$2:$G$4001,$X1488))</f>
        <v/>
      </c>
      <c r="G1488" s="20" t="str">
        <f aca="false">IF($X1488="","",INDEX('Per Line'!$I$2:$I$4001,$X1488))</f>
        <v/>
      </c>
      <c r="H1488" s="20" t="str">
        <f aca="false">IF($X1488="","",INDEX('Per Line'!$J$2:$J$4001,$X1488))</f>
        <v/>
      </c>
      <c r="I1488" s="20" t="str">
        <f aca="false">IF($X1488="","",INDEX('Per Line'!$K$2:$K$4001,$X1488))</f>
        <v/>
      </c>
      <c r="J1488" s="20" t="str">
        <f aca="false">IF($X1488="","",INDEX('Per Line'!$L$2:$L$4001,$X1488))</f>
        <v/>
      </c>
      <c r="K1488" s="20" t="str">
        <f aca="false">IF($X1488="","",INDEX('Per Line'!$M$2:$M$4001,$X1488))</f>
        <v/>
      </c>
      <c r="L1488" s="22" t="str">
        <f aca="false">IF($X1488="","",K1488*V1488/100)</f>
        <v/>
      </c>
      <c r="M1488" s="20" t="str">
        <f aca="false">IF($X1488="","",INDEX('Per Line'!$Z$2:$Z$4001,$X1488))</f>
        <v/>
      </c>
      <c r="N1488" s="23" t="str">
        <f aca="false">IF($X1488="","",Settings!$C$7)</f>
        <v/>
      </c>
      <c r="O1488" s="22" t="str">
        <f aca="false">IF($X1488="","",SUMIFS('Per Line'!$Y$2:$Y$4001,'Per Line'!$D$2:$D$4001,$B1488,'Per Line'!$AJ$2:$AJ$4001,0))</f>
        <v/>
      </c>
      <c r="P1488" s="22" t="str">
        <f aca="false">IF($X1488="","",O1488*N1488)</f>
        <v/>
      </c>
      <c r="Q1488" s="23" t="str">
        <f aca="false">IF($X1488="","",Settings!$C$6)</f>
        <v/>
      </c>
      <c r="R1488" s="22" t="str">
        <f aca="false">IF($X1488="","",SUMIFS('Per Line'!$Y$2:$Y$4001,'Per Line'!$D$2:$D$4001,$B1488,'Per Line'!$AJ$2:$AJ$4001,1))</f>
        <v/>
      </c>
      <c r="S1488" s="22" t="str">
        <f aca="false">IF($X1488="","",R1488*Q1488)</f>
        <v/>
      </c>
      <c r="T1488" s="22" t="str">
        <f aca="false">IF($X1488="","",S1488+P1488)</f>
        <v/>
      </c>
      <c r="U1488" s="22" t="str">
        <f aca="false">IF($X1488="","",V1488-T1488)</f>
        <v/>
      </c>
      <c r="V1488" s="22" t="str">
        <f aca="false">IF($X1488="","",O1488+R1488)</f>
        <v/>
      </c>
      <c r="W1488" s="22" t="str">
        <f aca="false">IF($X1488="","",U1488-L1488)</f>
        <v/>
      </c>
      <c r="X1488" s="24" t="str">
        <f aca="false">IF(ROWS($X$2:$X1488)&lt;=MAX('Per Line'!$AI$2:$AI$4001),MATCH(ROWS($X$2:$X1488),'Per Line'!$AI$2:$AI$4001,0),"")</f>
        <v/>
      </c>
    </row>
    <row r="1489" customFormat="false" ht="15" hidden="false" customHeight="false" outlineLevel="0" collapsed="false">
      <c r="A1489" s="19"/>
      <c r="B1489" s="20" t="str">
        <f aca="false">IF($X1489="","",INDEX('Per Line'!$D$2:$D$4001,$X1489))</f>
        <v/>
      </c>
      <c r="C1489" s="20" t="str">
        <f aca="false">IF($X1489="","",INDEX('Per Line'!$C$2:$C$4001,$X1489))</f>
        <v/>
      </c>
      <c r="D1489" s="20" t="str">
        <f aca="false">IF($X1489="","",INDEX('Per Line'!$A$2:$A$4001,$X1489))</f>
        <v/>
      </c>
      <c r="E1489" s="21" t="str">
        <f aca="false">IF($X1489="","",INDEX('Per Line'!$F$2:$F$4001,$X1489))</f>
        <v/>
      </c>
      <c r="F1489" s="20" t="str">
        <f aca="false">IF($X1489="","",INDEX('Per Line'!$G$2:$G$4001,$X1489))</f>
        <v/>
      </c>
      <c r="G1489" s="20" t="str">
        <f aca="false">IF($X1489="","",INDEX('Per Line'!$I$2:$I$4001,$X1489))</f>
        <v/>
      </c>
      <c r="H1489" s="20" t="str">
        <f aca="false">IF($X1489="","",INDEX('Per Line'!$J$2:$J$4001,$X1489))</f>
        <v/>
      </c>
      <c r="I1489" s="20" t="str">
        <f aca="false">IF($X1489="","",INDEX('Per Line'!$K$2:$K$4001,$X1489))</f>
        <v/>
      </c>
      <c r="J1489" s="20" t="str">
        <f aca="false">IF($X1489="","",INDEX('Per Line'!$L$2:$L$4001,$X1489))</f>
        <v/>
      </c>
      <c r="K1489" s="20" t="str">
        <f aca="false">IF($X1489="","",INDEX('Per Line'!$M$2:$M$4001,$X1489))</f>
        <v/>
      </c>
      <c r="L1489" s="22" t="str">
        <f aca="false">IF($X1489="","",K1489*V1489/100)</f>
        <v/>
      </c>
      <c r="M1489" s="20" t="str">
        <f aca="false">IF($X1489="","",INDEX('Per Line'!$Z$2:$Z$4001,$X1489))</f>
        <v/>
      </c>
      <c r="N1489" s="23" t="str">
        <f aca="false">IF($X1489="","",Settings!$C$7)</f>
        <v/>
      </c>
      <c r="O1489" s="22" t="str">
        <f aca="false">IF($X1489="","",SUMIFS('Per Line'!$Y$2:$Y$4001,'Per Line'!$D$2:$D$4001,$B1489,'Per Line'!$AJ$2:$AJ$4001,0))</f>
        <v/>
      </c>
      <c r="P1489" s="22" t="str">
        <f aca="false">IF($X1489="","",O1489*N1489)</f>
        <v/>
      </c>
      <c r="Q1489" s="23" t="str">
        <f aca="false">IF($X1489="","",Settings!$C$6)</f>
        <v/>
      </c>
      <c r="R1489" s="22" t="str">
        <f aca="false">IF($X1489="","",SUMIFS('Per Line'!$Y$2:$Y$4001,'Per Line'!$D$2:$D$4001,$B1489,'Per Line'!$AJ$2:$AJ$4001,1))</f>
        <v/>
      </c>
      <c r="S1489" s="22" t="str">
        <f aca="false">IF($X1489="","",R1489*Q1489)</f>
        <v/>
      </c>
      <c r="T1489" s="22" t="str">
        <f aca="false">IF($X1489="","",S1489+P1489)</f>
        <v/>
      </c>
      <c r="U1489" s="22" t="str">
        <f aca="false">IF($X1489="","",V1489-T1489)</f>
        <v/>
      </c>
      <c r="V1489" s="22" t="str">
        <f aca="false">IF($X1489="","",O1489+R1489)</f>
        <v/>
      </c>
      <c r="W1489" s="22" t="str">
        <f aca="false">IF($X1489="","",U1489-L1489)</f>
        <v/>
      </c>
      <c r="X1489" s="24" t="str">
        <f aca="false">IF(ROWS($X$2:$X1489)&lt;=MAX('Per Line'!$AI$2:$AI$4001),MATCH(ROWS($X$2:$X1489),'Per Line'!$AI$2:$AI$4001,0),"")</f>
        <v/>
      </c>
    </row>
    <row r="1490" customFormat="false" ht="15" hidden="false" customHeight="false" outlineLevel="0" collapsed="false">
      <c r="A1490" s="19"/>
      <c r="B1490" s="20" t="str">
        <f aca="false">IF($X1490="","",INDEX('Per Line'!$D$2:$D$4001,$X1490))</f>
        <v/>
      </c>
      <c r="C1490" s="20" t="str">
        <f aca="false">IF($X1490="","",INDEX('Per Line'!$C$2:$C$4001,$X1490))</f>
        <v/>
      </c>
      <c r="D1490" s="20" t="str">
        <f aca="false">IF($X1490="","",INDEX('Per Line'!$A$2:$A$4001,$X1490))</f>
        <v/>
      </c>
      <c r="E1490" s="21" t="str">
        <f aca="false">IF($X1490="","",INDEX('Per Line'!$F$2:$F$4001,$X1490))</f>
        <v/>
      </c>
      <c r="F1490" s="20" t="str">
        <f aca="false">IF($X1490="","",INDEX('Per Line'!$G$2:$G$4001,$X1490))</f>
        <v/>
      </c>
      <c r="G1490" s="20" t="str">
        <f aca="false">IF($X1490="","",INDEX('Per Line'!$I$2:$I$4001,$X1490))</f>
        <v/>
      </c>
      <c r="H1490" s="20" t="str">
        <f aca="false">IF($X1490="","",INDEX('Per Line'!$J$2:$J$4001,$X1490))</f>
        <v/>
      </c>
      <c r="I1490" s="20" t="str">
        <f aca="false">IF($X1490="","",INDEX('Per Line'!$K$2:$K$4001,$X1490))</f>
        <v/>
      </c>
      <c r="J1490" s="20" t="str">
        <f aca="false">IF($X1490="","",INDEX('Per Line'!$L$2:$L$4001,$X1490))</f>
        <v/>
      </c>
      <c r="K1490" s="20" t="str">
        <f aca="false">IF($X1490="","",INDEX('Per Line'!$M$2:$M$4001,$X1490))</f>
        <v/>
      </c>
      <c r="L1490" s="22" t="str">
        <f aca="false">IF($X1490="","",K1490*V1490/100)</f>
        <v/>
      </c>
      <c r="M1490" s="20" t="str">
        <f aca="false">IF($X1490="","",INDEX('Per Line'!$Z$2:$Z$4001,$X1490))</f>
        <v/>
      </c>
      <c r="N1490" s="23" t="str">
        <f aca="false">IF($X1490="","",Settings!$C$7)</f>
        <v/>
      </c>
      <c r="O1490" s="22" t="str">
        <f aca="false">IF($X1490="","",SUMIFS('Per Line'!$Y$2:$Y$4001,'Per Line'!$D$2:$D$4001,$B1490,'Per Line'!$AJ$2:$AJ$4001,0))</f>
        <v/>
      </c>
      <c r="P1490" s="22" t="str">
        <f aca="false">IF($X1490="","",O1490*N1490)</f>
        <v/>
      </c>
      <c r="Q1490" s="23" t="str">
        <f aca="false">IF($X1490="","",Settings!$C$6)</f>
        <v/>
      </c>
      <c r="R1490" s="22" t="str">
        <f aca="false">IF($X1490="","",SUMIFS('Per Line'!$Y$2:$Y$4001,'Per Line'!$D$2:$D$4001,$B1490,'Per Line'!$AJ$2:$AJ$4001,1))</f>
        <v/>
      </c>
      <c r="S1490" s="22" t="str">
        <f aca="false">IF($X1490="","",R1490*Q1490)</f>
        <v/>
      </c>
      <c r="T1490" s="22" t="str">
        <f aca="false">IF($X1490="","",S1490+P1490)</f>
        <v/>
      </c>
      <c r="U1490" s="22" t="str">
        <f aca="false">IF($X1490="","",V1490-T1490)</f>
        <v/>
      </c>
      <c r="V1490" s="22" t="str">
        <f aca="false">IF($X1490="","",O1490+R1490)</f>
        <v/>
      </c>
      <c r="W1490" s="22" t="str">
        <f aca="false">IF($X1490="","",U1490-L1490)</f>
        <v/>
      </c>
      <c r="X1490" s="24" t="str">
        <f aca="false">IF(ROWS($X$2:$X1490)&lt;=MAX('Per Line'!$AI$2:$AI$4001),MATCH(ROWS($X$2:$X1490),'Per Line'!$AI$2:$AI$4001,0),"")</f>
        <v/>
      </c>
    </row>
    <row r="1491" customFormat="false" ht="15" hidden="false" customHeight="false" outlineLevel="0" collapsed="false">
      <c r="A1491" s="19"/>
      <c r="B1491" s="20" t="str">
        <f aca="false">IF($X1491="","",INDEX('Per Line'!$D$2:$D$4001,$X1491))</f>
        <v/>
      </c>
      <c r="C1491" s="20" t="str">
        <f aca="false">IF($X1491="","",INDEX('Per Line'!$C$2:$C$4001,$X1491))</f>
        <v/>
      </c>
      <c r="D1491" s="20" t="str">
        <f aca="false">IF($X1491="","",INDEX('Per Line'!$A$2:$A$4001,$X1491))</f>
        <v/>
      </c>
      <c r="E1491" s="21" t="str">
        <f aca="false">IF($X1491="","",INDEX('Per Line'!$F$2:$F$4001,$X1491))</f>
        <v/>
      </c>
      <c r="F1491" s="20" t="str">
        <f aca="false">IF($X1491="","",INDEX('Per Line'!$G$2:$G$4001,$X1491))</f>
        <v/>
      </c>
      <c r="G1491" s="20" t="str">
        <f aca="false">IF($X1491="","",INDEX('Per Line'!$I$2:$I$4001,$X1491))</f>
        <v/>
      </c>
      <c r="H1491" s="20" t="str">
        <f aca="false">IF($X1491="","",INDEX('Per Line'!$J$2:$J$4001,$X1491))</f>
        <v/>
      </c>
      <c r="I1491" s="20" t="str">
        <f aca="false">IF($X1491="","",INDEX('Per Line'!$K$2:$K$4001,$X1491))</f>
        <v/>
      </c>
      <c r="J1491" s="20" t="str">
        <f aca="false">IF($X1491="","",INDEX('Per Line'!$L$2:$L$4001,$X1491))</f>
        <v/>
      </c>
      <c r="K1491" s="20" t="str">
        <f aca="false">IF($X1491="","",INDEX('Per Line'!$M$2:$M$4001,$X1491))</f>
        <v/>
      </c>
      <c r="L1491" s="22" t="str">
        <f aca="false">IF($X1491="","",K1491*V1491/100)</f>
        <v/>
      </c>
      <c r="M1491" s="20" t="str">
        <f aca="false">IF($X1491="","",INDEX('Per Line'!$Z$2:$Z$4001,$X1491))</f>
        <v/>
      </c>
      <c r="N1491" s="23" t="str">
        <f aca="false">IF($X1491="","",Settings!$C$7)</f>
        <v/>
      </c>
      <c r="O1491" s="22" t="str">
        <f aca="false">IF($X1491="","",SUMIFS('Per Line'!$Y$2:$Y$4001,'Per Line'!$D$2:$D$4001,$B1491,'Per Line'!$AJ$2:$AJ$4001,0))</f>
        <v/>
      </c>
      <c r="P1491" s="22" t="str">
        <f aca="false">IF($X1491="","",O1491*N1491)</f>
        <v/>
      </c>
      <c r="Q1491" s="23" t="str">
        <f aca="false">IF($X1491="","",Settings!$C$6)</f>
        <v/>
      </c>
      <c r="R1491" s="22" t="str">
        <f aca="false">IF($X1491="","",SUMIFS('Per Line'!$Y$2:$Y$4001,'Per Line'!$D$2:$D$4001,$B1491,'Per Line'!$AJ$2:$AJ$4001,1))</f>
        <v/>
      </c>
      <c r="S1491" s="22" t="str">
        <f aca="false">IF($X1491="","",R1491*Q1491)</f>
        <v/>
      </c>
      <c r="T1491" s="22" t="str">
        <f aca="false">IF($X1491="","",S1491+P1491)</f>
        <v/>
      </c>
      <c r="U1491" s="22" t="str">
        <f aca="false">IF($X1491="","",V1491-T1491)</f>
        <v/>
      </c>
      <c r="V1491" s="22" t="str">
        <f aca="false">IF($X1491="","",O1491+R1491)</f>
        <v/>
      </c>
      <c r="W1491" s="22" t="str">
        <f aca="false">IF($X1491="","",U1491-L1491)</f>
        <v/>
      </c>
      <c r="X1491" s="24" t="str">
        <f aca="false">IF(ROWS($X$2:$X1491)&lt;=MAX('Per Line'!$AI$2:$AI$4001),MATCH(ROWS($X$2:$X1491),'Per Line'!$AI$2:$AI$4001,0),"")</f>
        <v/>
      </c>
    </row>
    <row r="1492" customFormat="false" ht="15" hidden="false" customHeight="false" outlineLevel="0" collapsed="false">
      <c r="A1492" s="19"/>
      <c r="B1492" s="20" t="str">
        <f aca="false">IF($X1492="","",INDEX('Per Line'!$D$2:$D$4001,$X1492))</f>
        <v/>
      </c>
      <c r="C1492" s="20" t="str">
        <f aca="false">IF($X1492="","",INDEX('Per Line'!$C$2:$C$4001,$X1492))</f>
        <v/>
      </c>
      <c r="D1492" s="20" t="str">
        <f aca="false">IF($X1492="","",INDEX('Per Line'!$A$2:$A$4001,$X1492))</f>
        <v/>
      </c>
      <c r="E1492" s="21" t="str">
        <f aca="false">IF($X1492="","",INDEX('Per Line'!$F$2:$F$4001,$X1492))</f>
        <v/>
      </c>
      <c r="F1492" s="20" t="str">
        <f aca="false">IF($X1492="","",INDEX('Per Line'!$G$2:$G$4001,$X1492))</f>
        <v/>
      </c>
      <c r="G1492" s="20" t="str">
        <f aca="false">IF($X1492="","",INDEX('Per Line'!$I$2:$I$4001,$X1492))</f>
        <v/>
      </c>
      <c r="H1492" s="20" t="str">
        <f aca="false">IF($X1492="","",INDEX('Per Line'!$J$2:$J$4001,$X1492))</f>
        <v/>
      </c>
      <c r="I1492" s="20" t="str">
        <f aca="false">IF($X1492="","",INDEX('Per Line'!$K$2:$K$4001,$X1492))</f>
        <v/>
      </c>
      <c r="J1492" s="20" t="str">
        <f aca="false">IF($X1492="","",INDEX('Per Line'!$L$2:$L$4001,$X1492))</f>
        <v/>
      </c>
      <c r="K1492" s="20" t="str">
        <f aca="false">IF($X1492="","",INDEX('Per Line'!$M$2:$M$4001,$X1492))</f>
        <v/>
      </c>
      <c r="L1492" s="22" t="str">
        <f aca="false">IF($X1492="","",K1492*V1492/100)</f>
        <v/>
      </c>
      <c r="M1492" s="20" t="str">
        <f aca="false">IF($X1492="","",INDEX('Per Line'!$Z$2:$Z$4001,$X1492))</f>
        <v/>
      </c>
      <c r="N1492" s="23" t="str">
        <f aca="false">IF($X1492="","",Settings!$C$7)</f>
        <v/>
      </c>
      <c r="O1492" s="22" t="str">
        <f aca="false">IF($X1492="","",SUMIFS('Per Line'!$Y$2:$Y$4001,'Per Line'!$D$2:$D$4001,$B1492,'Per Line'!$AJ$2:$AJ$4001,0))</f>
        <v/>
      </c>
      <c r="P1492" s="22" t="str">
        <f aca="false">IF($X1492="","",O1492*N1492)</f>
        <v/>
      </c>
      <c r="Q1492" s="23" t="str">
        <f aca="false">IF($X1492="","",Settings!$C$6)</f>
        <v/>
      </c>
      <c r="R1492" s="22" t="str">
        <f aca="false">IF($X1492="","",SUMIFS('Per Line'!$Y$2:$Y$4001,'Per Line'!$D$2:$D$4001,$B1492,'Per Line'!$AJ$2:$AJ$4001,1))</f>
        <v/>
      </c>
      <c r="S1492" s="22" t="str">
        <f aca="false">IF($X1492="","",R1492*Q1492)</f>
        <v/>
      </c>
      <c r="T1492" s="22" t="str">
        <f aca="false">IF($X1492="","",S1492+P1492)</f>
        <v/>
      </c>
      <c r="U1492" s="22" t="str">
        <f aca="false">IF($X1492="","",V1492-T1492)</f>
        <v/>
      </c>
      <c r="V1492" s="22" t="str">
        <f aca="false">IF($X1492="","",O1492+R1492)</f>
        <v/>
      </c>
      <c r="W1492" s="22" t="str">
        <f aca="false">IF($X1492="","",U1492-L1492)</f>
        <v/>
      </c>
      <c r="X1492" s="24" t="str">
        <f aca="false">IF(ROWS($X$2:$X1492)&lt;=MAX('Per Line'!$AI$2:$AI$4001),MATCH(ROWS($X$2:$X1492),'Per Line'!$AI$2:$AI$4001,0),"")</f>
        <v/>
      </c>
    </row>
    <row r="1493" customFormat="false" ht="15" hidden="false" customHeight="false" outlineLevel="0" collapsed="false">
      <c r="A1493" s="19"/>
      <c r="B1493" s="20" t="str">
        <f aca="false">IF($X1493="","",INDEX('Per Line'!$D$2:$D$4001,$X1493))</f>
        <v/>
      </c>
      <c r="C1493" s="20" t="str">
        <f aca="false">IF($X1493="","",INDEX('Per Line'!$C$2:$C$4001,$X1493))</f>
        <v/>
      </c>
      <c r="D1493" s="20" t="str">
        <f aca="false">IF($X1493="","",INDEX('Per Line'!$A$2:$A$4001,$X1493))</f>
        <v/>
      </c>
      <c r="E1493" s="21" t="str">
        <f aca="false">IF($X1493="","",INDEX('Per Line'!$F$2:$F$4001,$X1493))</f>
        <v/>
      </c>
      <c r="F1493" s="20" t="str">
        <f aca="false">IF($X1493="","",INDEX('Per Line'!$G$2:$G$4001,$X1493))</f>
        <v/>
      </c>
      <c r="G1493" s="20" t="str">
        <f aca="false">IF($X1493="","",INDEX('Per Line'!$I$2:$I$4001,$X1493))</f>
        <v/>
      </c>
      <c r="H1493" s="20" t="str">
        <f aca="false">IF($X1493="","",INDEX('Per Line'!$J$2:$J$4001,$X1493))</f>
        <v/>
      </c>
      <c r="I1493" s="20" t="str">
        <f aca="false">IF($X1493="","",INDEX('Per Line'!$K$2:$K$4001,$X1493))</f>
        <v/>
      </c>
      <c r="J1493" s="20" t="str">
        <f aca="false">IF($X1493="","",INDEX('Per Line'!$L$2:$L$4001,$X1493))</f>
        <v/>
      </c>
      <c r="K1493" s="20" t="str">
        <f aca="false">IF($X1493="","",INDEX('Per Line'!$M$2:$M$4001,$X1493))</f>
        <v/>
      </c>
      <c r="L1493" s="22" t="str">
        <f aca="false">IF($X1493="","",K1493*V1493/100)</f>
        <v/>
      </c>
      <c r="M1493" s="20" t="str">
        <f aca="false">IF($X1493="","",INDEX('Per Line'!$Z$2:$Z$4001,$X1493))</f>
        <v/>
      </c>
      <c r="N1493" s="23" t="str">
        <f aca="false">IF($X1493="","",Settings!$C$7)</f>
        <v/>
      </c>
      <c r="O1493" s="22" t="str">
        <f aca="false">IF($X1493="","",SUMIFS('Per Line'!$Y$2:$Y$4001,'Per Line'!$D$2:$D$4001,$B1493,'Per Line'!$AJ$2:$AJ$4001,0))</f>
        <v/>
      </c>
      <c r="P1493" s="22" t="str">
        <f aca="false">IF($X1493="","",O1493*N1493)</f>
        <v/>
      </c>
      <c r="Q1493" s="23" t="str">
        <f aca="false">IF($X1493="","",Settings!$C$6)</f>
        <v/>
      </c>
      <c r="R1493" s="22" t="str">
        <f aca="false">IF($X1493="","",SUMIFS('Per Line'!$Y$2:$Y$4001,'Per Line'!$D$2:$D$4001,$B1493,'Per Line'!$AJ$2:$AJ$4001,1))</f>
        <v/>
      </c>
      <c r="S1493" s="22" t="str">
        <f aca="false">IF($X1493="","",R1493*Q1493)</f>
        <v/>
      </c>
      <c r="T1493" s="22" t="str">
        <f aca="false">IF($X1493="","",S1493+P1493)</f>
        <v/>
      </c>
      <c r="U1493" s="22" t="str">
        <f aca="false">IF($X1493="","",V1493-T1493)</f>
        <v/>
      </c>
      <c r="V1493" s="22" t="str">
        <f aca="false">IF($X1493="","",O1493+R1493)</f>
        <v/>
      </c>
      <c r="W1493" s="22" t="str">
        <f aca="false">IF($X1493="","",U1493-L1493)</f>
        <v/>
      </c>
      <c r="X1493" s="24" t="str">
        <f aca="false">IF(ROWS($X$2:$X1493)&lt;=MAX('Per Line'!$AI$2:$AI$4001),MATCH(ROWS($X$2:$X1493),'Per Line'!$AI$2:$AI$4001,0),"")</f>
        <v/>
      </c>
    </row>
    <row r="1494" customFormat="false" ht="15" hidden="false" customHeight="false" outlineLevel="0" collapsed="false">
      <c r="A1494" s="19"/>
      <c r="B1494" s="20" t="str">
        <f aca="false">IF($X1494="","",INDEX('Per Line'!$D$2:$D$4001,$X1494))</f>
        <v/>
      </c>
      <c r="C1494" s="20" t="str">
        <f aca="false">IF($X1494="","",INDEX('Per Line'!$C$2:$C$4001,$X1494))</f>
        <v/>
      </c>
      <c r="D1494" s="20" t="str">
        <f aca="false">IF($X1494="","",INDEX('Per Line'!$A$2:$A$4001,$X1494))</f>
        <v/>
      </c>
      <c r="E1494" s="21" t="str">
        <f aca="false">IF($X1494="","",INDEX('Per Line'!$F$2:$F$4001,$X1494))</f>
        <v/>
      </c>
      <c r="F1494" s="20" t="str">
        <f aca="false">IF($X1494="","",INDEX('Per Line'!$G$2:$G$4001,$X1494))</f>
        <v/>
      </c>
      <c r="G1494" s="20" t="str">
        <f aca="false">IF($X1494="","",INDEX('Per Line'!$I$2:$I$4001,$X1494))</f>
        <v/>
      </c>
      <c r="H1494" s="20" t="str">
        <f aca="false">IF($X1494="","",INDEX('Per Line'!$J$2:$J$4001,$X1494))</f>
        <v/>
      </c>
      <c r="I1494" s="20" t="str">
        <f aca="false">IF($X1494="","",INDEX('Per Line'!$K$2:$K$4001,$X1494))</f>
        <v/>
      </c>
      <c r="J1494" s="20" t="str">
        <f aca="false">IF($X1494="","",INDEX('Per Line'!$L$2:$L$4001,$X1494))</f>
        <v/>
      </c>
      <c r="K1494" s="20" t="str">
        <f aca="false">IF($X1494="","",INDEX('Per Line'!$M$2:$M$4001,$X1494))</f>
        <v/>
      </c>
      <c r="L1494" s="22" t="str">
        <f aca="false">IF($X1494="","",K1494*V1494/100)</f>
        <v/>
      </c>
      <c r="M1494" s="20" t="str">
        <f aca="false">IF($X1494="","",INDEX('Per Line'!$Z$2:$Z$4001,$X1494))</f>
        <v/>
      </c>
      <c r="N1494" s="23" t="str">
        <f aca="false">IF($X1494="","",Settings!$C$7)</f>
        <v/>
      </c>
      <c r="O1494" s="22" t="str">
        <f aca="false">IF($X1494="","",SUMIFS('Per Line'!$Y$2:$Y$4001,'Per Line'!$D$2:$D$4001,$B1494,'Per Line'!$AJ$2:$AJ$4001,0))</f>
        <v/>
      </c>
      <c r="P1494" s="22" t="str">
        <f aca="false">IF($X1494="","",O1494*N1494)</f>
        <v/>
      </c>
      <c r="Q1494" s="23" t="str">
        <f aca="false">IF($X1494="","",Settings!$C$6)</f>
        <v/>
      </c>
      <c r="R1494" s="22" t="str">
        <f aca="false">IF($X1494="","",SUMIFS('Per Line'!$Y$2:$Y$4001,'Per Line'!$D$2:$D$4001,$B1494,'Per Line'!$AJ$2:$AJ$4001,1))</f>
        <v/>
      </c>
      <c r="S1494" s="22" t="str">
        <f aca="false">IF($X1494="","",R1494*Q1494)</f>
        <v/>
      </c>
      <c r="T1494" s="22" t="str">
        <f aca="false">IF($X1494="","",S1494+P1494)</f>
        <v/>
      </c>
      <c r="U1494" s="22" t="str">
        <f aca="false">IF($X1494="","",V1494-T1494)</f>
        <v/>
      </c>
      <c r="V1494" s="22" t="str">
        <f aca="false">IF($X1494="","",O1494+R1494)</f>
        <v/>
      </c>
      <c r="W1494" s="22" t="str">
        <f aca="false">IF($X1494="","",U1494-L1494)</f>
        <v/>
      </c>
      <c r="X1494" s="24" t="str">
        <f aca="false">IF(ROWS($X$2:$X1494)&lt;=MAX('Per Line'!$AI$2:$AI$4001),MATCH(ROWS($X$2:$X1494),'Per Line'!$AI$2:$AI$4001,0),"")</f>
        <v/>
      </c>
    </row>
    <row r="1495" customFormat="false" ht="15" hidden="false" customHeight="false" outlineLevel="0" collapsed="false">
      <c r="A1495" s="19"/>
      <c r="B1495" s="20" t="str">
        <f aca="false">IF($X1495="","",INDEX('Per Line'!$D$2:$D$4001,$X1495))</f>
        <v/>
      </c>
      <c r="C1495" s="20" t="str">
        <f aca="false">IF($X1495="","",INDEX('Per Line'!$C$2:$C$4001,$X1495))</f>
        <v/>
      </c>
      <c r="D1495" s="20" t="str">
        <f aca="false">IF($X1495="","",INDEX('Per Line'!$A$2:$A$4001,$X1495))</f>
        <v/>
      </c>
      <c r="E1495" s="21" t="str">
        <f aca="false">IF($X1495="","",INDEX('Per Line'!$F$2:$F$4001,$X1495))</f>
        <v/>
      </c>
      <c r="F1495" s="20" t="str">
        <f aca="false">IF($X1495="","",INDEX('Per Line'!$G$2:$G$4001,$X1495))</f>
        <v/>
      </c>
      <c r="G1495" s="20" t="str">
        <f aca="false">IF($X1495="","",INDEX('Per Line'!$I$2:$I$4001,$X1495))</f>
        <v/>
      </c>
      <c r="H1495" s="20" t="str">
        <f aca="false">IF($X1495="","",INDEX('Per Line'!$J$2:$J$4001,$X1495))</f>
        <v/>
      </c>
      <c r="I1495" s="20" t="str">
        <f aca="false">IF($X1495="","",INDEX('Per Line'!$K$2:$K$4001,$X1495))</f>
        <v/>
      </c>
      <c r="J1495" s="20" t="str">
        <f aca="false">IF($X1495="","",INDEX('Per Line'!$L$2:$L$4001,$X1495))</f>
        <v/>
      </c>
      <c r="K1495" s="20" t="str">
        <f aca="false">IF($X1495="","",INDEX('Per Line'!$M$2:$M$4001,$X1495))</f>
        <v/>
      </c>
      <c r="L1495" s="22" t="str">
        <f aca="false">IF($X1495="","",K1495*V1495/100)</f>
        <v/>
      </c>
      <c r="M1495" s="20" t="str">
        <f aca="false">IF($X1495="","",INDEX('Per Line'!$Z$2:$Z$4001,$X1495))</f>
        <v/>
      </c>
      <c r="N1495" s="23" t="str">
        <f aca="false">IF($X1495="","",Settings!$C$7)</f>
        <v/>
      </c>
      <c r="O1495" s="22" t="str">
        <f aca="false">IF($X1495="","",SUMIFS('Per Line'!$Y$2:$Y$4001,'Per Line'!$D$2:$D$4001,$B1495,'Per Line'!$AJ$2:$AJ$4001,0))</f>
        <v/>
      </c>
      <c r="P1495" s="22" t="str">
        <f aca="false">IF($X1495="","",O1495*N1495)</f>
        <v/>
      </c>
      <c r="Q1495" s="23" t="str">
        <f aca="false">IF($X1495="","",Settings!$C$6)</f>
        <v/>
      </c>
      <c r="R1495" s="22" t="str">
        <f aca="false">IF($X1495="","",SUMIFS('Per Line'!$Y$2:$Y$4001,'Per Line'!$D$2:$D$4001,$B1495,'Per Line'!$AJ$2:$AJ$4001,1))</f>
        <v/>
      </c>
      <c r="S1495" s="22" t="str">
        <f aca="false">IF($X1495="","",R1495*Q1495)</f>
        <v/>
      </c>
      <c r="T1495" s="22" t="str">
        <f aca="false">IF($X1495="","",S1495+P1495)</f>
        <v/>
      </c>
      <c r="U1495" s="22" t="str">
        <f aca="false">IF($X1495="","",V1495-T1495)</f>
        <v/>
      </c>
      <c r="V1495" s="22" t="str">
        <f aca="false">IF($X1495="","",O1495+R1495)</f>
        <v/>
      </c>
      <c r="W1495" s="22" t="str">
        <f aca="false">IF($X1495="","",U1495-L1495)</f>
        <v/>
      </c>
      <c r="X1495" s="24" t="str">
        <f aca="false">IF(ROWS($X$2:$X1495)&lt;=MAX('Per Line'!$AI$2:$AI$4001),MATCH(ROWS($X$2:$X1495),'Per Line'!$AI$2:$AI$4001,0),"")</f>
        <v/>
      </c>
    </row>
    <row r="1496" customFormat="false" ht="15" hidden="false" customHeight="false" outlineLevel="0" collapsed="false">
      <c r="A1496" s="19"/>
      <c r="B1496" s="20" t="str">
        <f aca="false">IF($X1496="","",INDEX('Per Line'!$D$2:$D$4001,$X1496))</f>
        <v/>
      </c>
      <c r="C1496" s="20" t="str">
        <f aca="false">IF($X1496="","",INDEX('Per Line'!$C$2:$C$4001,$X1496))</f>
        <v/>
      </c>
      <c r="D1496" s="20" t="str">
        <f aca="false">IF($X1496="","",INDEX('Per Line'!$A$2:$A$4001,$X1496))</f>
        <v/>
      </c>
      <c r="E1496" s="21" t="str">
        <f aca="false">IF($X1496="","",INDEX('Per Line'!$F$2:$F$4001,$X1496))</f>
        <v/>
      </c>
      <c r="F1496" s="20" t="str">
        <f aca="false">IF($X1496="","",INDEX('Per Line'!$G$2:$G$4001,$X1496))</f>
        <v/>
      </c>
      <c r="G1496" s="20" t="str">
        <f aca="false">IF($X1496="","",INDEX('Per Line'!$I$2:$I$4001,$X1496))</f>
        <v/>
      </c>
      <c r="H1496" s="20" t="str">
        <f aca="false">IF($X1496="","",INDEX('Per Line'!$J$2:$J$4001,$X1496))</f>
        <v/>
      </c>
      <c r="I1496" s="20" t="str">
        <f aca="false">IF($X1496="","",INDEX('Per Line'!$K$2:$K$4001,$X1496))</f>
        <v/>
      </c>
      <c r="J1496" s="20" t="str">
        <f aca="false">IF($X1496="","",INDEX('Per Line'!$L$2:$L$4001,$X1496))</f>
        <v/>
      </c>
      <c r="K1496" s="20" t="str">
        <f aca="false">IF($X1496="","",INDEX('Per Line'!$M$2:$M$4001,$X1496))</f>
        <v/>
      </c>
      <c r="L1496" s="22" t="str">
        <f aca="false">IF($X1496="","",K1496*V1496/100)</f>
        <v/>
      </c>
      <c r="M1496" s="20" t="str">
        <f aca="false">IF($X1496="","",INDEX('Per Line'!$Z$2:$Z$4001,$X1496))</f>
        <v/>
      </c>
      <c r="N1496" s="23" t="str">
        <f aca="false">IF($X1496="","",Settings!$C$7)</f>
        <v/>
      </c>
      <c r="O1496" s="22" t="str">
        <f aca="false">IF($X1496="","",SUMIFS('Per Line'!$Y$2:$Y$4001,'Per Line'!$D$2:$D$4001,$B1496,'Per Line'!$AJ$2:$AJ$4001,0))</f>
        <v/>
      </c>
      <c r="P1496" s="22" t="str">
        <f aca="false">IF($X1496="","",O1496*N1496)</f>
        <v/>
      </c>
      <c r="Q1496" s="23" t="str">
        <f aca="false">IF($X1496="","",Settings!$C$6)</f>
        <v/>
      </c>
      <c r="R1496" s="22" t="str">
        <f aca="false">IF($X1496="","",SUMIFS('Per Line'!$Y$2:$Y$4001,'Per Line'!$D$2:$D$4001,$B1496,'Per Line'!$AJ$2:$AJ$4001,1))</f>
        <v/>
      </c>
      <c r="S1496" s="22" t="str">
        <f aca="false">IF($X1496="","",R1496*Q1496)</f>
        <v/>
      </c>
      <c r="T1496" s="22" t="str">
        <f aca="false">IF($X1496="","",S1496+P1496)</f>
        <v/>
      </c>
      <c r="U1496" s="22" t="str">
        <f aca="false">IF($X1496="","",V1496-T1496)</f>
        <v/>
      </c>
      <c r="V1496" s="22" t="str">
        <f aca="false">IF($X1496="","",O1496+R1496)</f>
        <v/>
      </c>
      <c r="W1496" s="22" t="str">
        <f aca="false">IF($X1496="","",U1496-L1496)</f>
        <v/>
      </c>
      <c r="X1496" s="24" t="str">
        <f aca="false">IF(ROWS($X$2:$X1496)&lt;=MAX('Per Line'!$AI$2:$AI$4001),MATCH(ROWS($X$2:$X1496),'Per Line'!$AI$2:$AI$4001,0),"")</f>
        <v/>
      </c>
    </row>
    <row r="1497" customFormat="false" ht="15" hidden="false" customHeight="false" outlineLevel="0" collapsed="false">
      <c r="A1497" s="19"/>
      <c r="B1497" s="20" t="str">
        <f aca="false">IF($X1497="","",INDEX('Per Line'!$D$2:$D$4001,$X1497))</f>
        <v/>
      </c>
      <c r="C1497" s="20" t="str">
        <f aca="false">IF($X1497="","",INDEX('Per Line'!$C$2:$C$4001,$X1497))</f>
        <v/>
      </c>
      <c r="D1497" s="20" t="str">
        <f aca="false">IF($X1497="","",INDEX('Per Line'!$A$2:$A$4001,$X1497))</f>
        <v/>
      </c>
      <c r="E1497" s="21" t="str">
        <f aca="false">IF($X1497="","",INDEX('Per Line'!$F$2:$F$4001,$X1497))</f>
        <v/>
      </c>
      <c r="F1497" s="20" t="str">
        <f aca="false">IF($X1497="","",INDEX('Per Line'!$G$2:$G$4001,$X1497))</f>
        <v/>
      </c>
      <c r="G1497" s="20" t="str">
        <f aca="false">IF($X1497="","",INDEX('Per Line'!$I$2:$I$4001,$X1497))</f>
        <v/>
      </c>
      <c r="H1497" s="20" t="str">
        <f aca="false">IF($X1497="","",INDEX('Per Line'!$J$2:$J$4001,$X1497))</f>
        <v/>
      </c>
      <c r="I1497" s="20" t="str">
        <f aca="false">IF($X1497="","",INDEX('Per Line'!$K$2:$K$4001,$X1497))</f>
        <v/>
      </c>
      <c r="J1497" s="20" t="str">
        <f aca="false">IF($X1497="","",INDEX('Per Line'!$L$2:$L$4001,$X1497))</f>
        <v/>
      </c>
      <c r="K1497" s="20" t="str">
        <f aca="false">IF($X1497="","",INDEX('Per Line'!$M$2:$M$4001,$X1497))</f>
        <v/>
      </c>
      <c r="L1497" s="22" t="str">
        <f aca="false">IF($X1497="","",K1497*V1497/100)</f>
        <v/>
      </c>
      <c r="M1497" s="20" t="str">
        <f aca="false">IF($X1497="","",INDEX('Per Line'!$Z$2:$Z$4001,$X1497))</f>
        <v/>
      </c>
      <c r="N1497" s="23" t="str">
        <f aca="false">IF($X1497="","",Settings!$C$7)</f>
        <v/>
      </c>
      <c r="O1497" s="22" t="str">
        <f aca="false">IF($X1497="","",SUMIFS('Per Line'!$Y$2:$Y$4001,'Per Line'!$D$2:$D$4001,$B1497,'Per Line'!$AJ$2:$AJ$4001,0))</f>
        <v/>
      </c>
      <c r="P1497" s="22" t="str">
        <f aca="false">IF($X1497="","",O1497*N1497)</f>
        <v/>
      </c>
      <c r="Q1497" s="23" t="str">
        <f aca="false">IF($X1497="","",Settings!$C$6)</f>
        <v/>
      </c>
      <c r="R1497" s="22" t="str">
        <f aca="false">IF($X1497="","",SUMIFS('Per Line'!$Y$2:$Y$4001,'Per Line'!$D$2:$D$4001,$B1497,'Per Line'!$AJ$2:$AJ$4001,1))</f>
        <v/>
      </c>
      <c r="S1497" s="22" t="str">
        <f aca="false">IF($X1497="","",R1497*Q1497)</f>
        <v/>
      </c>
      <c r="T1497" s="22" t="str">
        <f aca="false">IF($X1497="","",S1497+P1497)</f>
        <v/>
      </c>
      <c r="U1497" s="22" t="str">
        <f aca="false">IF($X1497="","",V1497-T1497)</f>
        <v/>
      </c>
      <c r="V1497" s="22" t="str">
        <f aca="false">IF($X1497="","",O1497+R1497)</f>
        <v/>
      </c>
      <c r="W1497" s="22" t="str">
        <f aca="false">IF($X1497="","",U1497-L1497)</f>
        <v/>
      </c>
      <c r="X1497" s="24" t="str">
        <f aca="false">IF(ROWS($X$2:$X1497)&lt;=MAX('Per Line'!$AI$2:$AI$4001),MATCH(ROWS($X$2:$X1497),'Per Line'!$AI$2:$AI$4001,0),"")</f>
        <v/>
      </c>
    </row>
    <row r="1498" customFormat="false" ht="15" hidden="false" customHeight="false" outlineLevel="0" collapsed="false">
      <c r="A1498" s="19"/>
      <c r="B1498" s="20" t="str">
        <f aca="false">IF($X1498="","",INDEX('Per Line'!$D$2:$D$4001,$X1498))</f>
        <v/>
      </c>
      <c r="C1498" s="20" t="str">
        <f aca="false">IF($X1498="","",INDEX('Per Line'!$C$2:$C$4001,$X1498))</f>
        <v/>
      </c>
      <c r="D1498" s="20" t="str">
        <f aca="false">IF($X1498="","",INDEX('Per Line'!$A$2:$A$4001,$X1498))</f>
        <v/>
      </c>
      <c r="E1498" s="21" t="str">
        <f aca="false">IF($X1498="","",INDEX('Per Line'!$F$2:$F$4001,$X1498))</f>
        <v/>
      </c>
      <c r="F1498" s="20" t="str">
        <f aca="false">IF($X1498="","",INDEX('Per Line'!$G$2:$G$4001,$X1498))</f>
        <v/>
      </c>
      <c r="G1498" s="20" t="str">
        <f aca="false">IF($X1498="","",INDEX('Per Line'!$I$2:$I$4001,$X1498))</f>
        <v/>
      </c>
      <c r="H1498" s="20" t="str">
        <f aca="false">IF($X1498="","",INDEX('Per Line'!$J$2:$J$4001,$X1498))</f>
        <v/>
      </c>
      <c r="I1498" s="20" t="str">
        <f aca="false">IF($X1498="","",INDEX('Per Line'!$K$2:$K$4001,$X1498))</f>
        <v/>
      </c>
      <c r="J1498" s="20" t="str">
        <f aca="false">IF($X1498="","",INDEX('Per Line'!$L$2:$L$4001,$X1498))</f>
        <v/>
      </c>
      <c r="K1498" s="20" t="str">
        <f aca="false">IF($X1498="","",INDEX('Per Line'!$M$2:$M$4001,$X1498))</f>
        <v/>
      </c>
      <c r="L1498" s="22" t="str">
        <f aca="false">IF($X1498="","",K1498*V1498/100)</f>
        <v/>
      </c>
      <c r="M1498" s="20" t="str">
        <f aca="false">IF($X1498="","",INDEX('Per Line'!$Z$2:$Z$4001,$X1498))</f>
        <v/>
      </c>
      <c r="N1498" s="23" t="str">
        <f aca="false">IF($X1498="","",Settings!$C$7)</f>
        <v/>
      </c>
      <c r="O1498" s="22" t="str">
        <f aca="false">IF($X1498="","",SUMIFS('Per Line'!$Y$2:$Y$4001,'Per Line'!$D$2:$D$4001,$B1498,'Per Line'!$AJ$2:$AJ$4001,0))</f>
        <v/>
      </c>
      <c r="P1498" s="22" t="str">
        <f aca="false">IF($X1498="","",O1498*N1498)</f>
        <v/>
      </c>
      <c r="Q1498" s="23" t="str">
        <f aca="false">IF($X1498="","",Settings!$C$6)</f>
        <v/>
      </c>
      <c r="R1498" s="22" t="str">
        <f aca="false">IF($X1498="","",SUMIFS('Per Line'!$Y$2:$Y$4001,'Per Line'!$D$2:$D$4001,$B1498,'Per Line'!$AJ$2:$AJ$4001,1))</f>
        <v/>
      </c>
      <c r="S1498" s="22" t="str">
        <f aca="false">IF($X1498="","",R1498*Q1498)</f>
        <v/>
      </c>
      <c r="T1498" s="22" t="str">
        <f aca="false">IF($X1498="","",S1498+P1498)</f>
        <v/>
      </c>
      <c r="U1498" s="22" t="str">
        <f aca="false">IF($X1498="","",V1498-T1498)</f>
        <v/>
      </c>
      <c r="V1498" s="22" t="str">
        <f aca="false">IF($X1498="","",O1498+R1498)</f>
        <v/>
      </c>
      <c r="W1498" s="22" t="str">
        <f aca="false">IF($X1498="","",U1498-L1498)</f>
        <v/>
      </c>
      <c r="X1498" s="24" t="str">
        <f aca="false">IF(ROWS($X$2:$X1498)&lt;=MAX('Per Line'!$AI$2:$AI$4001),MATCH(ROWS($X$2:$X1498),'Per Line'!$AI$2:$AI$4001,0),"")</f>
        <v/>
      </c>
    </row>
    <row r="1499" customFormat="false" ht="15" hidden="false" customHeight="false" outlineLevel="0" collapsed="false">
      <c r="A1499" s="19"/>
      <c r="B1499" s="20" t="str">
        <f aca="false">IF($X1499="","",INDEX('Per Line'!$D$2:$D$4001,$X1499))</f>
        <v/>
      </c>
      <c r="C1499" s="20" t="str">
        <f aca="false">IF($X1499="","",INDEX('Per Line'!$C$2:$C$4001,$X1499))</f>
        <v/>
      </c>
      <c r="D1499" s="20" t="str">
        <f aca="false">IF($X1499="","",INDEX('Per Line'!$A$2:$A$4001,$X1499))</f>
        <v/>
      </c>
      <c r="E1499" s="21" t="str">
        <f aca="false">IF($X1499="","",INDEX('Per Line'!$F$2:$F$4001,$X1499))</f>
        <v/>
      </c>
      <c r="F1499" s="20" t="str">
        <f aca="false">IF($X1499="","",INDEX('Per Line'!$G$2:$G$4001,$X1499))</f>
        <v/>
      </c>
      <c r="G1499" s="20" t="str">
        <f aca="false">IF($X1499="","",INDEX('Per Line'!$I$2:$I$4001,$X1499))</f>
        <v/>
      </c>
      <c r="H1499" s="20" t="str">
        <f aca="false">IF($X1499="","",INDEX('Per Line'!$J$2:$J$4001,$X1499))</f>
        <v/>
      </c>
      <c r="I1499" s="20" t="str">
        <f aca="false">IF($X1499="","",INDEX('Per Line'!$K$2:$K$4001,$X1499))</f>
        <v/>
      </c>
      <c r="J1499" s="20" t="str">
        <f aca="false">IF($X1499="","",INDEX('Per Line'!$L$2:$L$4001,$X1499))</f>
        <v/>
      </c>
      <c r="K1499" s="20" t="str">
        <f aca="false">IF($X1499="","",INDEX('Per Line'!$M$2:$M$4001,$X1499))</f>
        <v/>
      </c>
      <c r="L1499" s="22" t="str">
        <f aca="false">IF($X1499="","",K1499*V1499/100)</f>
        <v/>
      </c>
      <c r="M1499" s="20" t="str">
        <f aca="false">IF($X1499="","",INDEX('Per Line'!$Z$2:$Z$4001,$X1499))</f>
        <v/>
      </c>
      <c r="N1499" s="23" t="str">
        <f aca="false">IF($X1499="","",Settings!$C$7)</f>
        <v/>
      </c>
      <c r="O1499" s="22" t="str">
        <f aca="false">IF($X1499="","",SUMIFS('Per Line'!$Y$2:$Y$4001,'Per Line'!$D$2:$D$4001,$B1499,'Per Line'!$AJ$2:$AJ$4001,0))</f>
        <v/>
      </c>
      <c r="P1499" s="22" t="str">
        <f aca="false">IF($X1499="","",O1499*N1499)</f>
        <v/>
      </c>
      <c r="Q1499" s="23" t="str">
        <f aca="false">IF($X1499="","",Settings!$C$6)</f>
        <v/>
      </c>
      <c r="R1499" s="22" t="str">
        <f aca="false">IF($X1499="","",SUMIFS('Per Line'!$Y$2:$Y$4001,'Per Line'!$D$2:$D$4001,$B1499,'Per Line'!$AJ$2:$AJ$4001,1))</f>
        <v/>
      </c>
      <c r="S1499" s="22" t="str">
        <f aca="false">IF($X1499="","",R1499*Q1499)</f>
        <v/>
      </c>
      <c r="T1499" s="22" t="str">
        <f aca="false">IF($X1499="","",S1499+P1499)</f>
        <v/>
      </c>
      <c r="U1499" s="22" t="str">
        <f aca="false">IF($X1499="","",V1499-T1499)</f>
        <v/>
      </c>
      <c r="V1499" s="22" t="str">
        <f aca="false">IF($X1499="","",O1499+R1499)</f>
        <v/>
      </c>
      <c r="W1499" s="22" t="str">
        <f aca="false">IF($X1499="","",U1499-L1499)</f>
        <v/>
      </c>
      <c r="X1499" s="24" t="str">
        <f aca="false">IF(ROWS($X$2:$X1499)&lt;=MAX('Per Line'!$AI$2:$AI$4001),MATCH(ROWS($X$2:$X1499),'Per Line'!$AI$2:$AI$4001,0),"")</f>
        <v/>
      </c>
    </row>
    <row r="1500" customFormat="false" ht="15" hidden="false" customHeight="false" outlineLevel="0" collapsed="false">
      <c r="A1500" s="19"/>
      <c r="B1500" s="20" t="str">
        <f aca="false">IF($X1500="","",INDEX('Per Line'!$D$2:$D$4001,$X1500))</f>
        <v/>
      </c>
      <c r="C1500" s="20" t="str">
        <f aca="false">IF($X1500="","",INDEX('Per Line'!$C$2:$C$4001,$X1500))</f>
        <v/>
      </c>
      <c r="D1500" s="20" t="str">
        <f aca="false">IF($X1500="","",INDEX('Per Line'!$A$2:$A$4001,$X1500))</f>
        <v/>
      </c>
      <c r="E1500" s="21" t="str">
        <f aca="false">IF($X1500="","",INDEX('Per Line'!$F$2:$F$4001,$X1500))</f>
        <v/>
      </c>
      <c r="F1500" s="20" t="str">
        <f aca="false">IF($X1500="","",INDEX('Per Line'!$G$2:$G$4001,$X1500))</f>
        <v/>
      </c>
      <c r="G1500" s="20" t="str">
        <f aca="false">IF($X1500="","",INDEX('Per Line'!$I$2:$I$4001,$X1500))</f>
        <v/>
      </c>
      <c r="H1500" s="20" t="str">
        <f aca="false">IF($X1500="","",INDEX('Per Line'!$J$2:$J$4001,$X1500))</f>
        <v/>
      </c>
      <c r="I1500" s="20" t="str">
        <f aca="false">IF($X1500="","",INDEX('Per Line'!$K$2:$K$4001,$X1500))</f>
        <v/>
      </c>
      <c r="J1500" s="20" t="str">
        <f aca="false">IF($X1500="","",INDEX('Per Line'!$L$2:$L$4001,$X1500))</f>
        <v/>
      </c>
      <c r="K1500" s="20" t="str">
        <f aca="false">IF($X1500="","",INDEX('Per Line'!$M$2:$M$4001,$X1500))</f>
        <v/>
      </c>
      <c r="L1500" s="22" t="str">
        <f aca="false">IF($X1500="","",K1500*V1500/100)</f>
        <v/>
      </c>
      <c r="M1500" s="20" t="str">
        <f aca="false">IF($X1500="","",INDEX('Per Line'!$Z$2:$Z$4001,$X1500))</f>
        <v/>
      </c>
      <c r="N1500" s="23" t="str">
        <f aca="false">IF($X1500="","",Settings!$C$7)</f>
        <v/>
      </c>
      <c r="O1500" s="22" t="str">
        <f aca="false">IF($X1500="","",SUMIFS('Per Line'!$Y$2:$Y$4001,'Per Line'!$D$2:$D$4001,$B1500,'Per Line'!$AJ$2:$AJ$4001,0))</f>
        <v/>
      </c>
      <c r="P1500" s="22" t="str">
        <f aca="false">IF($X1500="","",O1500*N1500)</f>
        <v/>
      </c>
      <c r="Q1500" s="23" t="str">
        <f aca="false">IF($X1500="","",Settings!$C$6)</f>
        <v/>
      </c>
      <c r="R1500" s="22" t="str">
        <f aca="false">IF($X1500="","",SUMIFS('Per Line'!$Y$2:$Y$4001,'Per Line'!$D$2:$D$4001,$B1500,'Per Line'!$AJ$2:$AJ$4001,1))</f>
        <v/>
      </c>
      <c r="S1500" s="22" t="str">
        <f aca="false">IF($X1500="","",R1500*Q1500)</f>
        <v/>
      </c>
      <c r="T1500" s="22" t="str">
        <f aca="false">IF($X1500="","",S1500+P1500)</f>
        <v/>
      </c>
      <c r="U1500" s="22" t="str">
        <f aca="false">IF($X1500="","",V1500-T1500)</f>
        <v/>
      </c>
      <c r="V1500" s="22" t="str">
        <f aca="false">IF($X1500="","",O1500+R1500)</f>
        <v/>
      </c>
      <c r="W1500" s="22" t="str">
        <f aca="false">IF($X1500="","",U1500-L1500)</f>
        <v/>
      </c>
      <c r="X1500" s="24" t="str">
        <f aca="false">IF(ROWS($X$2:$X1500)&lt;=MAX('Per Line'!$AI$2:$AI$4001),MATCH(ROWS($X$2:$X1500),'Per Line'!$AI$2:$AI$4001,0),"")</f>
        <v/>
      </c>
    </row>
    <row r="1501" customFormat="false" ht="15" hidden="false" customHeight="false" outlineLevel="0" collapsed="false">
      <c r="A1501" s="19"/>
      <c r="B1501" s="20" t="str">
        <f aca="false">IF($X1501="","",INDEX('Per Line'!$D$2:$D$4001,$X1501))</f>
        <v/>
      </c>
      <c r="C1501" s="20" t="str">
        <f aca="false">IF($X1501="","",INDEX('Per Line'!$C$2:$C$4001,$X1501))</f>
        <v/>
      </c>
      <c r="D1501" s="20" t="str">
        <f aca="false">IF($X1501="","",INDEX('Per Line'!$A$2:$A$4001,$X1501))</f>
        <v/>
      </c>
      <c r="E1501" s="21" t="str">
        <f aca="false">IF($X1501="","",INDEX('Per Line'!$F$2:$F$4001,$X1501))</f>
        <v/>
      </c>
      <c r="F1501" s="20" t="str">
        <f aca="false">IF($X1501="","",INDEX('Per Line'!$G$2:$G$4001,$X1501))</f>
        <v/>
      </c>
      <c r="G1501" s="20" t="str">
        <f aca="false">IF($X1501="","",INDEX('Per Line'!$I$2:$I$4001,$X1501))</f>
        <v/>
      </c>
      <c r="H1501" s="20" t="str">
        <f aca="false">IF($X1501="","",INDEX('Per Line'!$J$2:$J$4001,$X1501))</f>
        <v/>
      </c>
      <c r="I1501" s="20" t="str">
        <f aca="false">IF($X1501="","",INDEX('Per Line'!$K$2:$K$4001,$X1501))</f>
        <v/>
      </c>
      <c r="J1501" s="20" t="str">
        <f aca="false">IF($X1501="","",INDEX('Per Line'!$L$2:$L$4001,$X1501))</f>
        <v/>
      </c>
      <c r="K1501" s="20" t="str">
        <f aca="false">IF($X1501="","",INDEX('Per Line'!$M$2:$M$4001,$X1501))</f>
        <v/>
      </c>
      <c r="L1501" s="22" t="str">
        <f aca="false">IF($X1501="","",K1501*V1501/100)</f>
        <v/>
      </c>
      <c r="M1501" s="20" t="str">
        <f aca="false">IF($X1501="","",INDEX('Per Line'!$Z$2:$Z$4001,$X1501))</f>
        <v/>
      </c>
      <c r="N1501" s="23" t="str">
        <f aca="false">IF($X1501="","",Settings!$C$7)</f>
        <v/>
      </c>
      <c r="O1501" s="22" t="str">
        <f aca="false">IF($X1501="","",SUMIFS('Per Line'!$Y$2:$Y$4001,'Per Line'!$D$2:$D$4001,$B1501,'Per Line'!$AJ$2:$AJ$4001,0))</f>
        <v/>
      </c>
      <c r="P1501" s="22" t="str">
        <f aca="false">IF($X1501="","",O1501*N1501)</f>
        <v/>
      </c>
      <c r="Q1501" s="23" t="str">
        <f aca="false">IF($X1501="","",Settings!$C$6)</f>
        <v/>
      </c>
      <c r="R1501" s="22" t="str">
        <f aca="false">IF($X1501="","",SUMIFS('Per Line'!$Y$2:$Y$4001,'Per Line'!$D$2:$D$4001,$B1501,'Per Line'!$AJ$2:$AJ$4001,1))</f>
        <v/>
      </c>
      <c r="S1501" s="22" t="str">
        <f aca="false">IF($X1501="","",R1501*Q1501)</f>
        <v/>
      </c>
      <c r="T1501" s="22" t="str">
        <f aca="false">IF($X1501="","",S1501+P1501)</f>
        <v/>
      </c>
      <c r="U1501" s="22" t="str">
        <f aca="false">IF($X1501="","",V1501-T1501)</f>
        <v/>
      </c>
      <c r="V1501" s="22" t="str">
        <f aca="false">IF($X1501="","",O1501+R1501)</f>
        <v/>
      </c>
      <c r="W1501" s="22" t="str">
        <f aca="false">IF($X1501="","",U1501-L1501)</f>
        <v/>
      </c>
      <c r="X1501" s="24" t="str">
        <f aca="false">IF(ROWS($X$2:$X1501)&lt;=MAX('Per Line'!$AI$2:$AI$4001),MATCH(ROWS($X$2:$X1501),'Per Line'!$AI$2:$AI$4001,0),"")</f>
        <v/>
      </c>
    </row>
  </sheetData>
  <autoFilter ref="A1:X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2026-10-06T12:15:54Z</dcterms:created>
  <dc:creator>openpyxl</dc:creator>
  <dc:description/>
  <dc:language>en-US</dc:language>
  <cp:lastModifiedBy/>
  <dcterms:modified xsi:type="dcterms:W3CDTF">2026-10-06T12:15:59Z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